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fileSharing readOnlyRecommended="1" userName="Alexandre Oliveira" algorithmName="SHA-512" hashValue="gMDHjJD+21n756MkLll1r+pdyYVj125zkKcFL7rvHD2/UC3jes/n/PUH8gQsKIbvKi9pbn495McFPeJKOW/DHw==" saltValue="ItxVK7hy+A7r+1Ecre18qQ==" spinCount="100000"/>
  <workbookPr/>
  <mc:AlternateContent xmlns:mc="http://schemas.openxmlformats.org/markup-compatibility/2006">
    <mc:Choice Requires="x15">
      <x15ac:absPath xmlns:x15ac="http://schemas.microsoft.com/office/spreadsheetml/2010/11/ac" url="T:\ELUS\Formulários\Modelo de Certificado Acreditado\Banco de dados de padrões\"/>
    </mc:Choice>
  </mc:AlternateContent>
  <xr:revisionPtr revIDLastSave="0" documentId="13_ncr:10001_{5882B4B2-1D7A-4D1C-AB78-932DC751FE56}" xr6:coauthVersionLast="47" xr6:coauthVersionMax="47" xr10:uidLastSave="{00000000-0000-0000-0000-000000000000}"/>
  <bookViews>
    <workbookView xWindow="-108" yWindow="-108" windowWidth="23256" windowHeight="13896" xr2:uid="{00000000-000D-0000-FFFF-FFFF00000000}"/>
  </bookViews>
  <sheets>
    <sheet name="Controle" sheetId="2" r:id="rId1"/>
    <sheet name="Cadastro dos Padrões" sheetId="1" r:id="rId2"/>
    <sheet name="Histórico de revisões" sheetId="4" r:id="rId3"/>
    <sheet name="Planilha1" sheetId="3" state="hidden" r:id="rId4"/>
    <sheet name="Planilha2" sheetId="5" state="hidden" r:id="rId5"/>
  </sheets>
  <externalReferences>
    <externalReference r:id="rId6"/>
    <externalReference r:id="rId7"/>
  </externalReferences>
  <definedNames>
    <definedName name="_xlnm._FilterDatabase" localSheetId="0" hidden="1">Controle!$A$5:$BO$106</definedName>
    <definedName name="_Z99999">[1]Cliente!#REF!</definedName>
    <definedName name="_ZZ99">[1]Cliente!#REF!</definedName>
    <definedName name="capacidade">[2]Dados!$F$11</definedName>
    <definedName name="CERTIFICADO">[1]Cliente!$Y$8</definedName>
    <definedName name="data_receb">[2]Dados!$E$7</definedName>
    <definedName name="DATA_RECEBIMENTO">[1]Cliente!#REF!</definedName>
    <definedName name="ENTRADA">[1]Cliente!#REF!</definedName>
    <definedName name="equip">[2]Dados!$C$10</definedName>
    <definedName name="n_cert">[2]Dados!$C$8</definedName>
    <definedName name="n_ident">[2]Dados!$C$13</definedName>
    <definedName name="n_serie">[2]Dados!$C$14</definedName>
    <definedName name="pressão">[2]Dados!$D$27</definedName>
    <definedName name="proced">[2]Dados!$F$13</definedName>
    <definedName name="resolução">[2]Dados!$F$10</definedName>
    <definedName name="solver_adj" hidden="1">[2]Dados!#REF!</definedName>
    <definedName name="solver_cvg" hidden="1">0.001</definedName>
    <definedName name="solver_drv" hidden="1">1</definedName>
    <definedName name="solver_est" hidden="1">1</definedName>
    <definedName name="solver_itr" hidden="1">100</definedName>
    <definedName name="solver_lhs1" hidden="1">[2]Dados!#REF!</definedName>
    <definedName name="solver_lhs2" hidden="1">[2]Dados!#REF!</definedName>
    <definedName name="solver_lin" hidden="1">2</definedName>
    <definedName name="solver_neg" hidden="1">2</definedName>
    <definedName name="solver_num" hidden="1">2</definedName>
    <definedName name="solver_nwt" hidden="1">1</definedName>
    <definedName name="solver_opt" hidden="1">[2]Dados!#REF!</definedName>
    <definedName name="solver_pre" hidden="1">0.000001</definedName>
    <definedName name="solver_rel1" hidden="1">2</definedName>
    <definedName name="solver_rel2" hidden="1">2</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temp_ar">[2]Dados!$D$25</definedName>
    <definedName name="temp_carr">#REF!</definedName>
    <definedName name="umid">[2]Dados!#REF!</definedName>
    <definedName name="unid_e">[2]Dados!$D$31</definedName>
    <definedName name="versão">[2]Dados!$F$14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4" l="1"/>
  <c r="B325" i="1"/>
  <c r="C325" i="1" s="1"/>
  <c r="D325" i="1" s="1"/>
  <c r="G325" i="1" s="1"/>
  <c r="H325" i="1" s="1"/>
  <c r="E322" i="1"/>
  <c r="G319" i="1"/>
  <c r="F319" i="1"/>
  <c r="D319" i="1"/>
  <c r="B281" i="1"/>
  <c r="C281" i="1" s="1"/>
  <c r="D281" i="1" s="1"/>
  <c r="G281" i="1" s="1"/>
  <c r="H281" i="1" s="1"/>
  <c r="E278" i="1"/>
  <c r="G275" i="1"/>
  <c r="F275" i="1"/>
  <c r="D275" i="1"/>
  <c r="B237" i="1"/>
  <c r="C237" i="1" s="1"/>
  <c r="D237" i="1" s="1"/>
  <c r="G237" i="1" s="1"/>
  <c r="H237" i="1" s="1"/>
  <c r="E234" i="1"/>
  <c r="G231" i="1"/>
  <c r="F231" i="1"/>
  <c r="D231" i="1"/>
  <c r="B3449" i="1" l="1"/>
  <c r="C3449" i="1" s="1"/>
  <c r="D3449" i="1" s="1"/>
  <c r="G3449" i="1" s="1"/>
  <c r="H3449" i="1" s="1"/>
  <c r="E3446" i="1"/>
  <c r="G3443" i="1"/>
  <c r="F3443" i="1"/>
  <c r="D3443" i="1"/>
  <c r="B3405" i="1"/>
  <c r="C3405" i="1" s="1"/>
  <c r="D3405" i="1" s="1"/>
  <c r="G3405" i="1" s="1"/>
  <c r="H3405" i="1" s="1"/>
  <c r="E3402" i="1"/>
  <c r="G3399" i="1"/>
  <c r="F3399" i="1"/>
  <c r="D3399" i="1"/>
  <c r="B3361" i="1"/>
  <c r="C3361" i="1" s="1"/>
  <c r="D3361" i="1" s="1"/>
  <c r="G3361" i="1" s="1"/>
  <c r="H3361" i="1" s="1"/>
  <c r="E3358" i="1"/>
  <c r="G3355" i="1"/>
  <c r="F3355" i="1"/>
  <c r="D3355" i="1"/>
  <c r="B3317" i="1"/>
  <c r="C3317" i="1" s="1"/>
  <c r="D3317" i="1" s="1"/>
  <c r="G3317" i="1" s="1"/>
  <c r="H3317" i="1" s="1"/>
  <c r="E3314" i="1"/>
  <c r="G3311" i="1"/>
  <c r="F3311" i="1"/>
  <c r="D3311" i="1"/>
  <c r="B3273" i="1"/>
  <c r="C3273" i="1" s="1"/>
  <c r="D3273" i="1" s="1"/>
  <c r="G3273" i="1" s="1"/>
  <c r="H3273" i="1" s="1"/>
  <c r="E3270" i="1"/>
  <c r="G3267" i="1"/>
  <c r="F3267" i="1"/>
  <c r="D3267" i="1"/>
  <c r="B3229" i="1"/>
  <c r="C3229" i="1" s="1"/>
  <c r="D3229" i="1" s="1"/>
  <c r="G3229" i="1" s="1"/>
  <c r="H3229" i="1" s="1"/>
  <c r="E3226" i="1"/>
  <c r="G3223" i="1"/>
  <c r="F3223" i="1"/>
  <c r="D3223" i="1"/>
  <c r="B3141" i="1" l="1"/>
  <c r="C3141" i="1" s="1"/>
  <c r="D3141" i="1" s="1"/>
  <c r="G3141" i="1" s="1"/>
  <c r="H3141" i="1" s="1"/>
  <c r="E3138" i="1"/>
  <c r="G3135" i="1"/>
  <c r="F3135" i="1"/>
  <c r="D3135" i="1"/>
  <c r="B3097" i="1"/>
  <c r="C3097" i="1" s="1"/>
  <c r="D3097" i="1" s="1"/>
  <c r="G3097" i="1" s="1"/>
  <c r="H3097" i="1" s="1"/>
  <c r="E3094" i="1"/>
  <c r="G3091" i="1"/>
  <c r="F3091" i="1"/>
  <c r="D3091" i="1"/>
  <c r="B3053" i="1"/>
  <c r="C3053" i="1" s="1"/>
  <c r="D3053" i="1" s="1"/>
  <c r="G3053" i="1" s="1"/>
  <c r="H3053" i="1" s="1"/>
  <c r="E3050" i="1"/>
  <c r="G3047" i="1"/>
  <c r="F3047" i="1"/>
  <c r="D3047" i="1"/>
  <c r="B3009" i="1"/>
  <c r="C3009" i="1" s="1"/>
  <c r="D3009" i="1" s="1"/>
  <c r="G3009" i="1" s="1"/>
  <c r="H3009" i="1" s="1"/>
  <c r="E3006" i="1"/>
  <c r="G3003" i="1"/>
  <c r="F3003" i="1"/>
  <c r="D3003" i="1"/>
  <c r="B2965" i="1"/>
  <c r="C2965" i="1" s="1"/>
  <c r="D2965" i="1" s="1"/>
  <c r="G2965" i="1" s="1"/>
  <c r="H2965" i="1" s="1"/>
  <c r="E2962" i="1"/>
  <c r="G2959" i="1"/>
  <c r="F2959" i="1"/>
  <c r="D2959" i="1"/>
  <c r="B2921" i="1"/>
  <c r="C2921" i="1" s="1"/>
  <c r="D2921" i="1" s="1"/>
  <c r="G2921" i="1" s="1"/>
  <c r="H2921" i="1" s="1"/>
  <c r="E2918" i="1"/>
  <c r="G2915" i="1"/>
  <c r="F2915" i="1"/>
  <c r="D2915" i="1"/>
  <c r="B2877" i="1"/>
  <c r="C2877" i="1" s="1"/>
  <c r="D2877" i="1" s="1"/>
  <c r="G2877" i="1" s="1"/>
  <c r="H2877" i="1" s="1"/>
  <c r="E2874" i="1"/>
  <c r="G2871" i="1"/>
  <c r="F2871" i="1"/>
  <c r="D2871" i="1"/>
  <c r="B2833" i="1"/>
  <c r="C2833" i="1" s="1"/>
  <c r="D2833" i="1" s="1"/>
  <c r="G2833" i="1" s="1"/>
  <c r="H2833" i="1" s="1"/>
  <c r="E2830" i="1"/>
  <c r="G2827" i="1"/>
  <c r="F2827" i="1"/>
  <c r="D2827" i="1"/>
  <c r="B2657" i="1"/>
  <c r="C2657" i="1" s="1"/>
  <c r="D2657" i="1" s="1"/>
  <c r="G2657" i="1" s="1"/>
  <c r="H2657" i="1" s="1"/>
  <c r="E2654" i="1"/>
  <c r="G2651" i="1"/>
  <c r="F2651" i="1"/>
  <c r="D2651" i="1"/>
  <c r="B2613" i="1"/>
  <c r="C2613" i="1" s="1"/>
  <c r="D2613" i="1" s="1"/>
  <c r="G2613" i="1" s="1"/>
  <c r="H2613" i="1" s="1"/>
  <c r="E2610" i="1"/>
  <c r="G2607" i="1"/>
  <c r="F2607" i="1"/>
  <c r="D2607" i="1"/>
  <c r="B2569" i="1"/>
  <c r="C2569" i="1" s="1"/>
  <c r="D2569" i="1" s="1"/>
  <c r="G2569" i="1" s="1"/>
  <c r="H2569" i="1" s="1"/>
  <c r="E2566" i="1"/>
  <c r="G2563" i="1"/>
  <c r="F2563" i="1"/>
  <c r="D2563" i="1"/>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1" i="4"/>
  <c r="A20" i="4"/>
  <c r="A9" i="4"/>
  <c r="D4" i="4"/>
  <c r="A10" i="4" l="1"/>
  <c r="A11" i="4" l="1"/>
  <c r="B413" i="1"/>
  <c r="C413" i="1" s="1"/>
  <c r="D413" i="1" s="1"/>
  <c r="G413" i="1" s="1"/>
  <c r="H413" i="1" s="1"/>
  <c r="E410" i="1"/>
  <c r="G407" i="1"/>
  <c r="F407" i="1"/>
  <c r="D407" i="1"/>
  <c r="B369" i="1"/>
  <c r="C369" i="1" s="1"/>
  <c r="D369" i="1" s="1"/>
  <c r="G369" i="1" s="1"/>
  <c r="H369" i="1" s="1"/>
  <c r="E366" i="1"/>
  <c r="G363" i="1"/>
  <c r="F363" i="1"/>
  <c r="D363" i="1"/>
  <c r="N26" i="3"/>
  <c r="N27" i="3"/>
  <c r="N28" i="3"/>
  <c r="N29" i="3"/>
  <c r="N25" i="3"/>
  <c r="K26" i="3"/>
  <c r="K27" i="3"/>
  <c r="K28" i="3"/>
  <c r="K29" i="3"/>
  <c r="K25" i="3"/>
  <c r="I35" i="3"/>
  <c r="I34" i="3"/>
  <c r="I33" i="3"/>
  <c r="I32" i="3"/>
  <c r="I31" i="3"/>
  <c r="I29" i="3"/>
  <c r="I28" i="3"/>
  <c r="I27" i="3"/>
  <c r="I26" i="3"/>
  <c r="I25" i="3"/>
  <c r="I20" i="3"/>
  <c r="I21" i="3"/>
  <c r="I22" i="3"/>
  <c r="I23" i="3"/>
  <c r="I19" i="3"/>
  <c r="B522" i="1"/>
  <c r="B521" i="1"/>
  <c r="B523" i="1"/>
  <c r="B524" i="1"/>
  <c r="C523" i="1"/>
  <c r="C522" i="1"/>
  <c r="K22" i="3" l="1"/>
  <c r="A12" i="4"/>
  <c r="L19" i="3"/>
  <c r="M27" i="3"/>
  <c r="L27" i="3" s="1"/>
  <c r="K23" i="3"/>
  <c r="M28" i="3"/>
  <c r="L28" i="3" s="1"/>
  <c r="K21" i="3"/>
  <c r="K20" i="3"/>
  <c r="K19" i="3"/>
  <c r="L22" i="3"/>
  <c r="M25" i="3"/>
  <c r="L21" i="3"/>
  <c r="M29" i="3"/>
  <c r="L23" i="3"/>
  <c r="M26" i="3"/>
  <c r="L26" i="3" s="1"/>
  <c r="L20" i="3"/>
  <c r="C1269" i="1"/>
  <c r="A13" i="4" l="1"/>
  <c r="A15" i="4" s="1"/>
  <c r="A16" i="4" s="1"/>
  <c r="A18" i="4" s="1"/>
  <c r="A19" i="4" s="1"/>
  <c r="M19" i="3"/>
  <c r="M22" i="3"/>
  <c r="M21" i="3"/>
  <c r="L25" i="3"/>
  <c r="M20" i="3"/>
  <c r="M23" i="3"/>
  <c r="L29" i="3"/>
  <c r="C2111" i="1"/>
  <c r="B2111" i="1"/>
  <c r="C2110" i="1"/>
  <c r="B2110" i="1"/>
  <c r="C2109" i="1"/>
  <c r="B2109" i="1"/>
  <c r="C2108" i="1"/>
  <c r="B2108" i="1"/>
  <c r="C2107" i="1"/>
  <c r="B2107" i="1"/>
  <c r="G2106" i="1"/>
  <c r="F2106" i="1"/>
  <c r="C2106" i="1"/>
  <c r="B2106" i="1"/>
  <c r="C2105" i="1"/>
  <c r="B2105" i="1"/>
  <c r="C2104" i="1"/>
  <c r="B2104" i="1"/>
  <c r="C2103" i="1"/>
  <c r="B2103" i="1"/>
  <c r="C2102" i="1"/>
  <c r="B2102" i="1"/>
  <c r="B2085" i="1"/>
  <c r="C2085" i="1" s="1"/>
  <c r="D2085" i="1" s="1"/>
  <c r="G2085" i="1" s="1"/>
  <c r="H2085" i="1" s="1"/>
  <c r="E2082" i="1"/>
  <c r="G2079" i="1"/>
  <c r="F2079" i="1"/>
  <c r="D2079" i="1"/>
  <c r="C2067" i="1"/>
  <c r="B2067" i="1"/>
  <c r="C2066" i="1"/>
  <c r="B2066" i="1"/>
  <c r="C2065" i="1"/>
  <c r="B2065" i="1"/>
  <c r="C2064" i="1"/>
  <c r="B2064" i="1"/>
  <c r="C2063" i="1"/>
  <c r="B2063" i="1"/>
  <c r="G2062" i="1"/>
  <c r="F2062" i="1"/>
  <c r="C2062" i="1"/>
  <c r="B2062" i="1"/>
  <c r="C2061" i="1"/>
  <c r="B2061" i="1"/>
  <c r="C2060" i="1"/>
  <c r="B2060" i="1"/>
  <c r="C2059" i="1"/>
  <c r="B2059" i="1"/>
  <c r="C2058" i="1"/>
  <c r="B2058" i="1"/>
  <c r="B2041" i="1"/>
  <c r="C2041" i="1" s="1"/>
  <c r="D2041" i="1" s="1"/>
  <c r="G2041" i="1" s="1"/>
  <c r="H2041" i="1" s="1"/>
  <c r="E2038" i="1"/>
  <c r="G2035" i="1"/>
  <c r="F2035" i="1"/>
  <c r="D2035" i="1"/>
  <c r="C2023" i="1"/>
  <c r="B2023" i="1"/>
  <c r="C2022" i="1"/>
  <c r="B2022" i="1"/>
  <c r="C2021" i="1"/>
  <c r="B2021" i="1"/>
  <c r="C2020" i="1"/>
  <c r="B2020" i="1"/>
  <c r="C2019" i="1"/>
  <c r="B2019" i="1"/>
  <c r="G2018" i="1"/>
  <c r="F2018" i="1"/>
  <c r="C2018" i="1"/>
  <c r="B2018" i="1"/>
  <c r="C2017" i="1"/>
  <c r="B2017" i="1"/>
  <c r="C2016" i="1"/>
  <c r="B2016" i="1"/>
  <c r="C2015" i="1"/>
  <c r="B2015" i="1"/>
  <c r="C2014" i="1"/>
  <c r="B2014" i="1"/>
  <c r="B1997" i="1"/>
  <c r="C1997" i="1" s="1"/>
  <c r="D1997" i="1" s="1"/>
  <c r="G1997" i="1" s="1"/>
  <c r="H1997" i="1" s="1"/>
  <c r="E1994" i="1"/>
  <c r="G1991" i="1"/>
  <c r="F1991" i="1"/>
  <c r="D1991" i="1"/>
  <c r="C1979" i="1"/>
  <c r="B1979" i="1"/>
  <c r="C1978" i="1"/>
  <c r="B1978" i="1"/>
  <c r="C1977" i="1"/>
  <c r="B1977" i="1"/>
  <c r="C1976" i="1"/>
  <c r="B1976" i="1"/>
  <c r="C1975" i="1"/>
  <c r="B1975" i="1"/>
  <c r="G1974" i="1"/>
  <c r="F1974" i="1"/>
  <c r="C1974" i="1"/>
  <c r="B1974" i="1"/>
  <c r="C1973" i="1"/>
  <c r="B1973" i="1"/>
  <c r="C1972" i="1"/>
  <c r="B1972" i="1"/>
  <c r="C1971" i="1"/>
  <c r="B1971" i="1"/>
  <c r="C1970" i="1"/>
  <c r="B1970" i="1"/>
  <c r="B1953" i="1"/>
  <c r="C1953" i="1" s="1"/>
  <c r="D1953" i="1" s="1"/>
  <c r="G1953" i="1" s="1"/>
  <c r="H1953" i="1" s="1"/>
  <c r="E1950" i="1"/>
  <c r="G1947" i="1"/>
  <c r="F1947" i="1"/>
  <c r="D1947" i="1"/>
  <c r="C1935" i="1"/>
  <c r="B1935" i="1"/>
  <c r="C1934" i="1"/>
  <c r="B1934" i="1"/>
  <c r="C1933" i="1"/>
  <c r="B1933" i="1"/>
  <c r="C1932" i="1"/>
  <c r="B1932" i="1"/>
  <c r="C1931" i="1"/>
  <c r="B1931" i="1"/>
  <c r="G1930" i="1"/>
  <c r="F1930" i="1"/>
  <c r="C1930" i="1"/>
  <c r="B1930" i="1"/>
  <c r="C1929" i="1"/>
  <c r="B1929" i="1"/>
  <c r="C1928" i="1"/>
  <c r="B1928" i="1"/>
  <c r="C1927" i="1"/>
  <c r="B1927" i="1"/>
  <c r="C1926" i="1"/>
  <c r="B1926" i="1"/>
  <c r="B1909" i="1"/>
  <c r="C1909" i="1" s="1"/>
  <c r="D1909" i="1" s="1"/>
  <c r="G1909" i="1" s="1"/>
  <c r="H1909" i="1" s="1"/>
  <c r="E1906" i="1"/>
  <c r="G1903" i="1"/>
  <c r="F1903" i="1"/>
  <c r="D1903" i="1"/>
  <c r="C1891" i="1"/>
  <c r="B1891" i="1"/>
  <c r="C1890" i="1"/>
  <c r="B1890" i="1"/>
  <c r="C1889" i="1"/>
  <c r="B1889" i="1"/>
  <c r="C1888" i="1"/>
  <c r="B1888" i="1"/>
  <c r="C1887" i="1"/>
  <c r="B1887" i="1"/>
  <c r="G1886" i="1"/>
  <c r="F1886" i="1"/>
  <c r="C1886" i="1"/>
  <c r="B1886" i="1"/>
  <c r="C1885" i="1"/>
  <c r="B1885" i="1"/>
  <c r="C1884" i="1"/>
  <c r="B1884" i="1"/>
  <c r="C1883" i="1"/>
  <c r="B1883" i="1"/>
  <c r="C1882" i="1"/>
  <c r="B1882" i="1"/>
  <c r="B1865" i="1"/>
  <c r="C1865" i="1" s="1"/>
  <c r="D1865" i="1" s="1"/>
  <c r="G1865" i="1" s="1"/>
  <c r="H1865" i="1" s="1"/>
  <c r="E1862" i="1"/>
  <c r="G1859" i="1"/>
  <c r="F1859" i="1"/>
  <c r="D1859" i="1"/>
  <c r="C1847" i="1"/>
  <c r="B1847" i="1"/>
  <c r="C1846" i="1"/>
  <c r="B1846" i="1"/>
  <c r="C1845" i="1"/>
  <c r="B1845" i="1"/>
  <c r="C1844" i="1"/>
  <c r="B1844" i="1"/>
  <c r="C1843" i="1"/>
  <c r="B1843" i="1"/>
  <c r="G1842" i="1"/>
  <c r="F1842" i="1"/>
  <c r="C1842" i="1"/>
  <c r="B1842" i="1"/>
  <c r="C1841" i="1"/>
  <c r="B1841" i="1"/>
  <c r="C1840" i="1"/>
  <c r="B1840" i="1"/>
  <c r="C1839" i="1"/>
  <c r="B1839" i="1"/>
  <c r="C1838" i="1"/>
  <c r="B1838" i="1"/>
  <c r="B1821" i="1"/>
  <c r="C1821" i="1" s="1"/>
  <c r="D1821" i="1" s="1"/>
  <c r="G1821" i="1" s="1"/>
  <c r="H1821" i="1" s="1"/>
  <c r="E1818" i="1"/>
  <c r="G1815" i="1"/>
  <c r="F1815" i="1"/>
  <c r="D1815" i="1"/>
  <c r="C1803" i="1"/>
  <c r="B1803" i="1"/>
  <c r="C1802" i="1"/>
  <c r="B1802" i="1"/>
  <c r="C1801" i="1"/>
  <c r="B1801" i="1"/>
  <c r="C1800" i="1"/>
  <c r="B1800" i="1"/>
  <c r="C1799" i="1"/>
  <c r="B1799" i="1"/>
  <c r="G1798" i="1"/>
  <c r="F1798" i="1"/>
  <c r="C1798" i="1"/>
  <c r="B1798" i="1"/>
  <c r="C1797" i="1"/>
  <c r="B1797" i="1"/>
  <c r="C1796" i="1"/>
  <c r="B1796" i="1"/>
  <c r="C1795" i="1"/>
  <c r="B1795" i="1"/>
  <c r="C1794" i="1"/>
  <c r="B1794" i="1"/>
  <c r="B1777" i="1"/>
  <c r="C1777" i="1" s="1"/>
  <c r="D1777" i="1" s="1"/>
  <c r="G1777" i="1" s="1"/>
  <c r="H1777" i="1" s="1"/>
  <c r="E1774" i="1"/>
  <c r="G1771" i="1"/>
  <c r="F1771" i="1"/>
  <c r="D1771" i="1"/>
  <c r="C1759" i="1"/>
  <c r="B1759" i="1"/>
  <c r="C1758" i="1"/>
  <c r="B1758" i="1"/>
  <c r="C1757" i="1"/>
  <c r="B1757" i="1"/>
  <c r="C1756" i="1"/>
  <c r="B1756" i="1"/>
  <c r="C1755" i="1"/>
  <c r="B1755" i="1"/>
  <c r="G1754" i="1"/>
  <c r="F1754" i="1"/>
  <c r="C1754" i="1"/>
  <c r="B1754" i="1"/>
  <c r="C1753" i="1"/>
  <c r="B1753" i="1"/>
  <c r="C1752" i="1"/>
  <c r="B1752" i="1"/>
  <c r="C1751" i="1"/>
  <c r="B1751" i="1"/>
  <c r="C1750" i="1"/>
  <c r="B1750" i="1"/>
  <c r="B1733" i="1"/>
  <c r="C1733" i="1" s="1"/>
  <c r="D1733" i="1" s="1"/>
  <c r="G1733" i="1" s="1"/>
  <c r="H1733" i="1" s="1"/>
  <c r="E1730" i="1"/>
  <c r="G1727" i="1"/>
  <c r="F1727" i="1"/>
  <c r="D1727" i="1"/>
  <c r="C1715" i="1"/>
  <c r="B1715" i="1"/>
  <c r="C1714" i="1"/>
  <c r="B1714" i="1"/>
  <c r="C1713" i="1"/>
  <c r="B1713" i="1"/>
  <c r="C1712" i="1"/>
  <c r="B1712" i="1"/>
  <c r="C1711" i="1"/>
  <c r="B1711" i="1"/>
  <c r="G1710" i="1"/>
  <c r="F1710" i="1"/>
  <c r="C1710" i="1"/>
  <c r="B1710" i="1"/>
  <c r="C1709" i="1"/>
  <c r="B1709" i="1"/>
  <c r="C1708" i="1"/>
  <c r="B1708" i="1"/>
  <c r="C1707" i="1"/>
  <c r="B1707" i="1"/>
  <c r="C1706" i="1"/>
  <c r="B1706" i="1"/>
  <c r="B1689" i="1"/>
  <c r="C1689" i="1" s="1"/>
  <c r="D1689" i="1" s="1"/>
  <c r="G1689" i="1" s="1"/>
  <c r="H1689" i="1" s="1"/>
  <c r="E1686" i="1"/>
  <c r="G1683" i="1"/>
  <c r="F1683" i="1"/>
  <c r="D1683" i="1"/>
  <c r="V4359" i="1"/>
  <c r="V4360" i="1" s="1"/>
  <c r="V4361" i="1" s="1"/>
  <c r="V4362" i="1" s="1"/>
  <c r="V4363" i="1" s="1"/>
  <c r="V4364" i="1" s="1"/>
  <c r="V4365" i="1" s="1"/>
  <c r="V4366" i="1" s="1"/>
  <c r="V4367" i="1" s="1"/>
  <c r="V4368" i="1" s="1"/>
  <c r="V4369" i="1" s="1"/>
  <c r="V4370" i="1" s="1"/>
  <c r="V4371" i="1" s="1"/>
  <c r="V4372" i="1" s="1"/>
  <c r="V4373" i="1" s="1"/>
  <c r="V4374" i="1" s="1"/>
  <c r="V4375" i="1" s="1"/>
  <c r="V4376" i="1" s="1"/>
  <c r="V4377" i="1" s="1"/>
  <c r="V4378" i="1" s="1"/>
  <c r="V4379" i="1" s="1"/>
  <c r="V4380" i="1" s="1"/>
  <c r="V4381" i="1" s="1"/>
  <c r="V4382" i="1" s="1"/>
  <c r="V4383" i="1" s="1"/>
  <c r="V4384" i="1" s="1"/>
  <c r="V4385" i="1" s="1"/>
  <c r="V4386" i="1" s="1"/>
  <c r="V4387" i="1" s="1"/>
  <c r="V4388" i="1" s="1"/>
  <c r="V4389" i="1" s="1"/>
  <c r="V4390" i="1" s="1"/>
  <c r="V4391" i="1" s="1"/>
  <c r="V4392" i="1" s="1"/>
  <c r="V4393" i="1" s="1"/>
  <c r="V4394" i="1" s="1"/>
  <c r="V4395" i="1" s="1"/>
  <c r="V4396" i="1" s="1"/>
  <c r="V4397" i="1" s="1"/>
  <c r="V4398" i="1" s="1"/>
  <c r="V4399" i="1" s="1"/>
  <c r="V4400" i="1" s="1"/>
  <c r="V4315" i="1"/>
  <c r="V4316" i="1" s="1"/>
  <c r="V4317" i="1" s="1"/>
  <c r="V4318" i="1" s="1"/>
  <c r="V4319" i="1" s="1"/>
  <c r="V4320" i="1" s="1"/>
  <c r="V4321" i="1" s="1"/>
  <c r="V4322" i="1" s="1"/>
  <c r="V4323" i="1" s="1"/>
  <c r="V4324" i="1" s="1"/>
  <c r="V4325" i="1" s="1"/>
  <c r="V4326" i="1" s="1"/>
  <c r="V4327" i="1" s="1"/>
  <c r="V4328" i="1" s="1"/>
  <c r="V4329" i="1" s="1"/>
  <c r="V4330" i="1" s="1"/>
  <c r="V4331" i="1" s="1"/>
  <c r="V4332" i="1" s="1"/>
  <c r="V4333" i="1" s="1"/>
  <c r="V4334" i="1" s="1"/>
  <c r="V4335" i="1" s="1"/>
  <c r="V4336" i="1" s="1"/>
  <c r="V4337" i="1" s="1"/>
  <c r="V4338" i="1" s="1"/>
  <c r="V4339" i="1" s="1"/>
  <c r="V4340" i="1" s="1"/>
  <c r="V4341" i="1" s="1"/>
  <c r="V4342" i="1" s="1"/>
  <c r="V4343" i="1" s="1"/>
  <c r="V4344" i="1" s="1"/>
  <c r="V4345" i="1" s="1"/>
  <c r="V4346" i="1" s="1"/>
  <c r="V4347" i="1" s="1"/>
  <c r="V4348" i="1" s="1"/>
  <c r="V4349" i="1" s="1"/>
  <c r="V4350" i="1" s="1"/>
  <c r="V4351" i="1" s="1"/>
  <c r="V4352" i="1" s="1"/>
  <c r="V4353" i="1" s="1"/>
  <c r="V4354" i="1" s="1"/>
  <c r="V4355" i="1" s="1"/>
  <c r="V4356" i="1" s="1"/>
  <c r="C4355" i="1"/>
  <c r="B4355" i="1"/>
  <c r="C4354" i="1"/>
  <c r="B4354" i="1"/>
  <c r="C4353" i="1"/>
  <c r="B4353" i="1"/>
  <c r="J4352" i="1"/>
  <c r="C4352" i="1"/>
  <c r="B4352" i="1"/>
  <c r="J4351" i="1"/>
  <c r="C4351" i="1"/>
  <c r="B4351" i="1"/>
  <c r="K4350" i="1" a="1"/>
  <c r="P4352" i="1" s="1"/>
  <c r="J4350" i="1"/>
  <c r="G4350" i="1"/>
  <c r="F4350" i="1"/>
  <c r="E4350" i="1"/>
  <c r="C4350" i="1"/>
  <c r="B4350" i="1"/>
  <c r="C4349" i="1"/>
  <c r="B4349" i="1"/>
  <c r="J4348" i="1"/>
  <c r="E4348" i="1"/>
  <c r="C4348" i="1"/>
  <c r="B4348" i="1"/>
  <c r="J4347" i="1"/>
  <c r="C4347" i="1"/>
  <c r="B4347" i="1"/>
  <c r="K4346" i="1" a="1"/>
  <c r="O4348" i="1" s="1"/>
  <c r="J4346" i="1"/>
  <c r="E4346" i="1"/>
  <c r="C4346" i="1"/>
  <c r="B4346" i="1"/>
  <c r="J4344" i="1"/>
  <c r="J4343" i="1"/>
  <c r="K4342" i="1" a="1"/>
  <c r="P4344" i="1" s="1"/>
  <c r="J4342" i="1"/>
  <c r="J4340" i="1"/>
  <c r="J4339" i="1"/>
  <c r="K4338" i="1" a="1"/>
  <c r="P4339" i="1" s="1"/>
  <c r="J4338" i="1"/>
  <c r="J4336" i="1"/>
  <c r="J4335" i="1"/>
  <c r="K4334" i="1" a="1"/>
  <c r="N4336" i="1" s="1"/>
  <c r="J4334" i="1"/>
  <c r="J4332" i="1"/>
  <c r="J4331" i="1"/>
  <c r="K4330" i="1" a="1"/>
  <c r="L4332" i="1" s="1"/>
  <c r="J4330" i="1"/>
  <c r="B4329" i="1"/>
  <c r="C4329" i="1" s="1"/>
  <c r="D4329" i="1" s="1"/>
  <c r="G4329" i="1" s="1"/>
  <c r="H4329" i="1" s="1"/>
  <c r="J4328" i="1"/>
  <c r="J4327" i="1"/>
  <c r="K4326" i="1" a="1"/>
  <c r="L4328" i="1" s="1"/>
  <c r="J4326" i="1"/>
  <c r="E4326" i="1"/>
  <c r="J4324" i="1"/>
  <c r="J4323" i="1"/>
  <c r="G4323" i="1"/>
  <c r="F4323" i="1"/>
  <c r="D4323" i="1"/>
  <c r="K4322" i="1" a="1"/>
  <c r="L4324" i="1" s="1"/>
  <c r="J4322" i="1"/>
  <c r="J4317" i="1"/>
  <c r="O4320" i="1" s="1"/>
  <c r="V4271" i="1"/>
  <c r="V4272" i="1" s="1"/>
  <c r="V4273" i="1" s="1"/>
  <c r="V4274" i="1" s="1"/>
  <c r="V4275" i="1" s="1"/>
  <c r="V4276" i="1" s="1"/>
  <c r="V4277" i="1" s="1"/>
  <c r="V4278" i="1" s="1"/>
  <c r="V4279" i="1" s="1"/>
  <c r="V4280" i="1" s="1"/>
  <c r="V4281" i="1" s="1"/>
  <c r="V4282" i="1" s="1"/>
  <c r="V4283" i="1" s="1"/>
  <c r="V4284" i="1" s="1"/>
  <c r="V4285" i="1" s="1"/>
  <c r="V4286" i="1" s="1"/>
  <c r="V4287" i="1" s="1"/>
  <c r="V4288" i="1" s="1"/>
  <c r="V4289" i="1" s="1"/>
  <c r="V4290" i="1" s="1"/>
  <c r="V4291" i="1" s="1"/>
  <c r="V4292" i="1" s="1"/>
  <c r="V4293" i="1" s="1"/>
  <c r="V4294" i="1" s="1"/>
  <c r="V4295" i="1" s="1"/>
  <c r="V4296" i="1" s="1"/>
  <c r="V4297" i="1" s="1"/>
  <c r="V4298" i="1" s="1"/>
  <c r="V4299" i="1" s="1"/>
  <c r="V4300" i="1" s="1"/>
  <c r="V4301" i="1" s="1"/>
  <c r="V4302" i="1" s="1"/>
  <c r="V4303" i="1" s="1"/>
  <c r="V4304" i="1" s="1"/>
  <c r="V4305" i="1" s="1"/>
  <c r="V4306" i="1" s="1"/>
  <c r="V4307" i="1" s="1"/>
  <c r="V4308" i="1" s="1"/>
  <c r="V4309" i="1" s="1"/>
  <c r="V4310" i="1" s="1"/>
  <c r="V4311" i="1" s="1"/>
  <c r="V4312" i="1" s="1"/>
  <c r="V4227" i="1"/>
  <c r="V4228" i="1" s="1"/>
  <c r="V4229" i="1" s="1"/>
  <c r="V4230" i="1" s="1"/>
  <c r="V4231" i="1" s="1"/>
  <c r="V4232" i="1" s="1"/>
  <c r="V4233" i="1" s="1"/>
  <c r="V4234" i="1" s="1"/>
  <c r="V4235" i="1" s="1"/>
  <c r="V4236" i="1" s="1"/>
  <c r="V4237" i="1" s="1"/>
  <c r="V4238" i="1" s="1"/>
  <c r="V4239" i="1" s="1"/>
  <c r="V4240" i="1" s="1"/>
  <c r="V4241" i="1" s="1"/>
  <c r="V4242" i="1" s="1"/>
  <c r="V4243" i="1" s="1"/>
  <c r="V4244" i="1" s="1"/>
  <c r="V4245" i="1" s="1"/>
  <c r="V4246" i="1" s="1"/>
  <c r="V4247" i="1" s="1"/>
  <c r="V4248" i="1" s="1"/>
  <c r="V4249" i="1" s="1"/>
  <c r="V4250" i="1" s="1"/>
  <c r="V4251" i="1" s="1"/>
  <c r="V4252" i="1" s="1"/>
  <c r="V4253" i="1" s="1"/>
  <c r="V4254" i="1" s="1"/>
  <c r="V4255" i="1" s="1"/>
  <c r="V4256" i="1" s="1"/>
  <c r="V4257" i="1" s="1"/>
  <c r="V4258" i="1" s="1"/>
  <c r="V4259" i="1" s="1"/>
  <c r="V4260" i="1" s="1"/>
  <c r="V4261" i="1" s="1"/>
  <c r="V4262" i="1" s="1"/>
  <c r="V4263" i="1" s="1"/>
  <c r="V4264" i="1" s="1"/>
  <c r="V4265" i="1" s="1"/>
  <c r="V4266" i="1" s="1"/>
  <c r="V4267" i="1" s="1"/>
  <c r="V4268" i="1" s="1"/>
  <c r="V4183" i="1"/>
  <c r="V4184" i="1" s="1"/>
  <c r="V4185" i="1" s="1"/>
  <c r="V4186" i="1" s="1"/>
  <c r="V4187" i="1" s="1"/>
  <c r="V4188" i="1" s="1"/>
  <c r="V4189" i="1" s="1"/>
  <c r="V4190" i="1" s="1"/>
  <c r="V4191" i="1" s="1"/>
  <c r="V4192" i="1" s="1"/>
  <c r="V4193" i="1" s="1"/>
  <c r="V4194" i="1" s="1"/>
  <c r="V4195" i="1" s="1"/>
  <c r="V4196" i="1" s="1"/>
  <c r="V4197" i="1" s="1"/>
  <c r="V4198" i="1" s="1"/>
  <c r="V4199" i="1" s="1"/>
  <c r="V4200" i="1" s="1"/>
  <c r="V4201" i="1" s="1"/>
  <c r="V4202" i="1" s="1"/>
  <c r="V4203" i="1" s="1"/>
  <c r="V4204" i="1" s="1"/>
  <c r="V4205" i="1" s="1"/>
  <c r="V4206" i="1" s="1"/>
  <c r="V4207" i="1" s="1"/>
  <c r="V4208" i="1" s="1"/>
  <c r="V4209" i="1" s="1"/>
  <c r="V4210" i="1" s="1"/>
  <c r="V4211" i="1" s="1"/>
  <c r="V4212" i="1" s="1"/>
  <c r="V4213" i="1" s="1"/>
  <c r="V4214" i="1" s="1"/>
  <c r="V4215" i="1" s="1"/>
  <c r="V4216" i="1" s="1"/>
  <c r="V4217" i="1" s="1"/>
  <c r="V4218" i="1" s="1"/>
  <c r="V4219" i="1" s="1"/>
  <c r="V4220" i="1" s="1"/>
  <c r="V4221" i="1" s="1"/>
  <c r="V4222" i="1" s="1"/>
  <c r="V4223" i="1" s="1"/>
  <c r="V4224" i="1" s="1"/>
  <c r="V4139" i="1"/>
  <c r="V4140" i="1" s="1"/>
  <c r="V4141" i="1" s="1"/>
  <c r="V4142" i="1" s="1"/>
  <c r="V4143" i="1" s="1"/>
  <c r="V4144" i="1" s="1"/>
  <c r="V4145" i="1" s="1"/>
  <c r="V4146" i="1" s="1"/>
  <c r="V4147" i="1" s="1"/>
  <c r="V4148" i="1" s="1"/>
  <c r="V4149" i="1" s="1"/>
  <c r="V4150" i="1" s="1"/>
  <c r="V4151" i="1" s="1"/>
  <c r="V4152" i="1" s="1"/>
  <c r="V4153" i="1" s="1"/>
  <c r="V4154" i="1" s="1"/>
  <c r="V4155" i="1" s="1"/>
  <c r="V4156" i="1" s="1"/>
  <c r="V4157" i="1" s="1"/>
  <c r="V4158" i="1" s="1"/>
  <c r="V4159" i="1" s="1"/>
  <c r="V4160" i="1" s="1"/>
  <c r="V4161" i="1" s="1"/>
  <c r="V4162" i="1" s="1"/>
  <c r="V4163" i="1" s="1"/>
  <c r="V4164" i="1" s="1"/>
  <c r="V4165" i="1" s="1"/>
  <c r="V4166" i="1" s="1"/>
  <c r="V4167" i="1" s="1"/>
  <c r="V4168" i="1" s="1"/>
  <c r="V4169" i="1" s="1"/>
  <c r="V4170" i="1" s="1"/>
  <c r="V4171" i="1" s="1"/>
  <c r="V4172" i="1" s="1"/>
  <c r="V4173" i="1" s="1"/>
  <c r="V4174" i="1" s="1"/>
  <c r="V4175" i="1" s="1"/>
  <c r="V4176" i="1" s="1"/>
  <c r="V4177" i="1" s="1"/>
  <c r="V4178" i="1" s="1"/>
  <c r="V4179" i="1" s="1"/>
  <c r="V4180" i="1" s="1"/>
  <c r="V4095" i="1"/>
  <c r="V4096" i="1" s="1"/>
  <c r="V4097" i="1" s="1"/>
  <c r="V4098" i="1" s="1"/>
  <c r="V4099" i="1" s="1"/>
  <c r="V4100" i="1" s="1"/>
  <c r="V4101" i="1" s="1"/>
  <c r="V4102" i="1" s="1"/>
  <c r="V4103" i="1" s="1"/>
  <c r="V4104" i="1" s="1"/>
  <c r="V4105" i="1" s="1"/>
  <c r="V4106" i="1" s="1"/>
  <c r="V4107" i="1" s="1"/>
  <c r="V4108" i="1" s="1"/>
  <c r="V4109" i="1" s="1"/>
  <c r="V4110" i="1" s="1"/>
  <c r="V4111" i="1" s="1"/>
  <c r="V4112" i="1" s="1"/>
  <c r="V4113" i="1" s="1"/>
  <c r="V4114" i="1" s="1"/>
  <c r="V4115" i="1" s="1"/>
  <c r="V4116" i="1" s="1"/>
  <c r="V4117" i="1" s="1"/>
  <c r="V4118" i="1" s="1"/>
  <c r="V4119" i="1" s="1"/>
  <c r="V4120" i="1" s="1"/>
  <c r="V4121" i="1" s="1"/>
  <c r="V4122" i="1" s="1"/>
  <c r="V4123" i="1" s="1"/>
  <c r="V4124" i="1" s="1"/>
  <c r="V4125" i="1" s="1"/>
  <c r="V4126" i="1" s="1"/>
  <c r="V4127" i="1" s="1"/>
  <c r="V4128" i="1" s="1"/>
  <c r="V4129" i="1" s="1"/>
  <c r="V4130" i="1" s="1"/>
  <c r="V4131" i="1" s="1"/>
  <c r="V4132" i="1" s="1"/>
  <c r="V4133" i="1" s="1"/>
  <c r="V4134" i="1" s="1"/>
  <c r="V4135" i="1" s="1"/>
  <c r="V4136" i="1" s="1"/>
  <c r="V4051" i="1"/>
  <c r="V4052" i="1" s="1"/>
  <c r="V4053" i="1" s="1"/>
  <c r="V4054" i="1" s="1"/>
  <c r="V4055" i="1" s="1"/>
  <c r="V4056" i="1" s="1"/>
  <c r="V4057" i="1" s="1"/>
  <c r="V4058" i="1" s="1"/>
  <c r="V4059" i="1" s="1"/>
  <c r="V4060" i="1" s="1"/>
  <c r="V4061" i="1" s="1"/>
  <c r="V4062" i="1" s="1"/>
  <c r="V4063" i="1" s="1"/>
  <c r="V4064" i="1" s="1"/>
  <c r="V4065" i="1" s="1"/>
  <c r="V4066" i="1" s="1"/>
  <c r="V4067" i="1" s="1"/>
  <c r="V4068" i="1" s="1"/>
  <c r="V4069" i="1" s="1"/>
  <c r="V4070" i="1" s="1"/>
  <c r="V4071" i="1" s="1"/>
  <c r="V4072" i="1" s="1"/>
  <c r="V4073" i="1" s="1"/>
  <c r="V4074" i="1" s="1"/>
  <c r="V4075" i="1" s="1"/>
  <c r="V4076" i="1" s="1"/>
  <c r="V4077" i="1" s="1"/>
  <c r="V4078" i="1" s="1"/>
  <c r="V4079" i="1" s="1"/>
  <c r="V4080" i="1" s="1"/>
  <c r="V4081" i="1" s="1"/>
  <c r="V4082" i="1" s="1"/>
  <c r="V4083" i="1" s="1"/>
  <c r="V4084" i="1" s="1"/>
  <c r="V4085" i="1" s="1"/>
  <c r="V4086" i="1" s="1"/>
  <c r="V4087" i="1" s="1"/>
  <c r="V4088" i="1" s="1"/>
  <c r="V4089" i="1" s="1"/>
  <c r="V4090" i="1" s="1"/>
  <c r="V4091" i="1" s="1"/>
  <c r="V4092" i="1" s="1"/>
  <c r="V4007" i="1"/>
  <c r="V4008" i="1" s="1"/>
  <c r="V4009" i="1" s="1"/>
  <c r="V4010" i="1" s="1"/>
  <c r="V4011" i="1" s="1"/>
  <c r="V4012" i="1" s="1"/>
  <c r="V4013" i="1" s="1"/>
  <c r="V4014" i="1" s="1"/>
  <c r="V4015" i="1" s="1"/>
  <c r="V4016" i="1" s="1"/>
  <c r="V4017" i="1" s="1"/>
  <c r="V4018" i="1" s="1"/>
  <c r="V4019" i="1" s="1"/>
  <c r="V4020" i="1" s="1"/>
  <c r="V4021" i="1" s="1"/>
  <c r="V4022" i="1" s="1"/>
  <c r="V4023" i="1" s="1"/>
  <c r="V4024" i="1" s="1"/>
  <c r="V4025" i="1" s="1"/>
  <c r="V4026" i="1" s="1"/>
  <c r="V4027" i="1" s="1"/>
  <c r="V4028" i="1" s="1"/>
  <c r="V4029" i="1" s="1"/>
  <c r="V4030" i="1" s="1"/>
  <c r="V4031" i="1" s="1"/>
  <c r="V4032" i="1" s="1"/>
  <c r="V4033" i="1" s="1"/>
  <c r="V4034" i="1" s="1"/>
  <c r="V4035" i="1" s="1"/>
  <c r="V4036" i="1" s="1"/>
  <c r="V4037" i="1" s="1"/>
  <c r="V4038" i="1" s="1"/>
  <c r="V4039" i="1" s="1"/>
  <c r="V4040" i="1" s="1"/>
  <c r="V4041" i="1" s="1"/>
  <c r="V4042" i="1" s="1"/>
  <c r="V4043" i="1" s="1"/>
  <c r="V4044" i="1" s="1"/>
  <c r="V4045" i="1" s="1"/>
  <c r="V4046" i="1" s="1"/>
  <c r="V4047" i="1" s="1"/>
  <c r="V4048" i="1" s="1"/>
  <c r="V3963" i="1"/>
  <c r="V3964" i="1" s="1"/>
  <c r="V3965" i="1" s="1"/>
  <c r="V3966" i="1" s="1"/>
  <c r="V3967" i="1" s="1"/>
  <c r="V3968" i="1" s="1"/>
  <c r="V3969" i="1" s="1"/>
  <c r="V3970" i="1" s="1"/>
  <c r="V3971" i="1" s="1"/>
  <c r="V3972" i="1" s="1"/>
  <c r="V3973" i="1" s="1"/>
  <c r="V3974" i="1" s="1"/>
  <c r="V3975" i="1" s="1"/>
  <c r="V3976" i="1" s="1"/>
  <c r="V3977" i="1" s="1"/>
  <c r="V3978" i="1" s="1"/>
  <c r="V3979" i="1" s="1"/>
  <c r="V3980" i="1" s="1"/>
  <c r="V3981" i="1" s="1"/>
  <c r="V3982" i="1" s="1"/>
  <c r="V3983" i="1" s="1"/>
  <c r="V3984" i="1" s="1"/>
  <c r="V3985" i="1" s="1"/>
  <c r="V3986" i="1" s="1"/>
  <c r="V3987" i="1" s="1"/>
  <c r="V3988" i="1" s="1"/>
  <c r="V3989" i="1" s="1"/>
  <c r="V3990" i="1" s="1"/>
  <c r="V3991" i="1" s="1"/>
  <c r="V3992" i="1" s="1"/>
  <c r="V3993" i="1" s="1"/>
  <c r="V3994" i="1" s="1"/>
  <c r="V3995" i="1" s="1"/>
  <c r="V3996" i="1" s="1"/>
  <c r="V3997" i="1" s="1"/>
  <c r="V3998" i="1" s="1"/>
  <c r="V3999" i="1" s="1"/>
  <c r="V4000" i="1" s="1"/>
  <c r="V4001" i="1" s="1"/>
  <c r="V4002" i="1" s="1"/>
  <c r="V4003" i="1" s="1"/>
  <c r="V4004" i="1" s="1"/>
  <c r="V3919" i="1"/>
  <c r="V3920" i="1" s="1"/>
  <c r="V3921" i="1" s="1"/>
  <c r="V3922" i="1" s="1"/>
  <c r="V3923" i="1" s="1"/>
  <c r="V3924" i="1" s="1"/>
  <c r="V3925" i="1" s="1"/>
  <c r="V3926" i="1" s="1"/>
  <c r="V3927" i="1" s="1"/>
  <c r="V3928" i="1" s="1"/>
  <c r="V3929" i="1" s="1"/>
  <c r="V3930" i="1" s="1"/>
  <c r="V3931" i="1" s="1"/>
  <c r="V3932" i="1" s="1"/>
  <c r="V3933" i="1" s="1"/>
  <c r="V3934" i="1" s="1"/>
  <c r="V3935" i="1" s="1"/>
  <c r="V3936" i="1" s="1"/>
  <c r="V3937" i="1" s="1"/>
  <c r="V3938" i="1" s="1"/>
  <c r="V3939" i="1" s="1"/>
  <c r="V3940" i="1" s="1"/>
  <c r="V3941" i="1" s="1"/>
  <c r="V3942" i="1" s="1"/>
  <c r="V3943" i="1" s="1"/>
  <c r="V3944" i="1" s="1"/>
  <c r="V3945" i="1" s="1"/>
  <c r="V3946" i="1" s="1"/>
  <c r="V3947" i="1" s="1"/>
  <c r="V3948" i="1" s="1"/>
  <c r="V3949" i="1" s="1"/>
  <c r="V3950" i="1" s="1"/>
  <c r="V3951" i="1" s="1"/>
  <c r="V3952" i="1" s="1"/>
  <c r="V3953" i="1" s="1"/>
  <c r="V3954" i="1" s="1"/>
  <c r="V3955" i="1" s="1"/>
  <c r="V3956" i="1" s="1"/>
  <c r="V3957" i="1" s="1"/>
  <c r="V3958" i="1" s="1"/>
  <c r="V3959" i="1" s="1"/>
  <c r="V3960" i="1" s="1"/>
  <c r="V3875" i="1"/>
  <c r="V3876" i="1" s="1"/>
  <c r="V3877" i="1" s="1"/>
  <c r="V3878" i="1" s="1"/>
  <c r="V3879" i="1" s="1"/>
  <c r="V3880" i="1" s="1"/>
  <c r="V3881" i="1" s="1"/>
  <c r="V3882" i="1" s="1"/>
  <c r="V3883" i="1" s="1"/>
  <c r="V3884" i="1" s="1"/>
  <c r="V3885" i="1" s="1"/>
  <c r="V3886" i="1" s="1"/>
  <c r="V3887" i="1" s="1"/>
  <c r="V3888" i="1" s="1"/>
  <c r="V3889" i="1" s="1"/>
  <c r="V3890" i="1" s="1"/>
  <c r="V3891" i="1" s="1"/>
  <c r="V3892" i="1" s="1"/>
  <c r="V3893" i="1" s="1"/>
  <c r="V3894" i="1" s="1"/>
  <c r="V3895" i="1" s="1"/>
  <c r="V3896" i="1" s="1"/>
  <c r="V3897" i="1" s="1"/>
  <c r="V3898" i="1" s="1"/>
  <c r="V3899" i="1" s="1"/>
  <c r="V3900" i="1" s="1"/>
  <c r="V3901" i="1" s="1"/>
  <c r="V3902" i="1" s="1"/>
  <c r="V3903" i="1" s="1"/>
  <c r="V3904" i="1" s="1"/>
  <c r="V3905" i="1" s="1"/>
  <c r="V3906" i="1" s="1"/>
  <c r="V3907" i="1" s="1"/>
  <c r="V3908" i="1" s="1"/>
  <c r="V3909" i="1" s="1"/>
  <c r="V3910" i="1" s="1"/>
  <c r="V3911" i="1" s="1"/>
  <c r="V3912" i="1" s="1"/>
  <c r="V3913" i="1" s="1"/>
  <c r="V3914" i="1" s="1"/>
  <c r="V3915" i="1" s="1"/>
  <c r="V3916" i="1" s="1"/>
  <c r="V3831" i="1"/>
  <c r="V3832" i="1" s="1"/>
  <c r="V3833" i="1" s="1"/>
  <c r="V3834" i="1" s="1"/>
  <c r="V3835" i="1" s="1"/>
  <c r="V3836" i="1" s="1"/>
  <c r="V3837" i="1" s="1"/>
  <c r="V3838" i="1" s="1"/>
  <c r="V3839" i="1" s="1"/>
  <c r="V3840" i="1" s="1"/>
  <c r="V3841" i="1" s="1"/>
  <c r="V3842" i="1" s="1"/>
  <c r="V3843" i="1" s="1"/>
  <c r="V3844" i="1" s="1"/>
  <c r="V3845" i="1" s="1"/>
  <c r="V3846" i="1" s="1"/>
  <c r="V3847" i="1" s="1"/>
  <c r="V3848" i="1" s="1"/>
  <c r="V3849" i="1" s="1"/>
  <c r="V3850" i="1" s="1"/>
  <c r="V3851" i="1" s="1"/>
  <c r="V3852" i="1" s="1"/>
  <c r="V3853" i="1" s="1"/>
  <c r="V3854" i="1" s="1"/>
  <c r="V3855" i="1" s="1"/>
  <c r="V3856" i="1" s="1"/>
  <c r="V3857" i="1" s="1"/>
  <c r="V3858" i="1" s="1"/>
  <c r="V3859" i="1" s="1"/>
  <c r="V3860" i="1" s="1"/>
  <c r="V3861" i="1" s="1"/>
  <c r="V3862" i="1" s="1"/>
  <c r="V3863" i="1" s="1"/>
  <c r="V3864" i="1" s="1"/>
  <c r="V3865" i="1" s="1"/>
  <c r="V3866" i="1" s="1"/>
  <c r="V3867" i="1" s="1"/>
  <c r="V3868" i="1" s="1"/>
  <c r="V3869" i="1" s="1"/>
  <c r="V3870" i="1" s="1"/>
  <c r="V3871" i="1" s="1"/>
  <c r="V3872" i="1" s="1"/>
  <c r="V3787" i="1"/>
  <c r="V3788" i="1" s="1"/>
  <c r="V3789" i="1" s="1"/>
  <c r="V3790" i="1" s="1"/>
  <c r="V3791" i="1" s="1"/>
  <c r="V3792" i="1" s="1"/>
  <c r="V3793" i="1" s="1"/>
  <c r="V3794" i="1" s="1"/>
  <c r="V3795" i="1" s="1"/>
  <c r="V3796" i="1" s="1"/>
  <c r="V3797" i="1" s="1"/>
  <c r="V3798" i="1" s="1"/>
  <c r="V3799" i="1" s="1"/>
  <c r="V3800" i="1" s="1"/>
  <c r="V3801" i="1" s="1"/>
  <c r="V3802" i="1" s="1"/>
  <c r="V3803" i="1" s="1"/>
  <c r="V3804" i="1" s="1"/>
  <c r="V3805" i="1" s="1"/>
  <c r="V3806" i="1" s="1"/>
  <c r="V3807" i="1" s="1"/>
  <c r="V3808" i="1" s="1"/>
  <c r="V3809" i="1" s="1"/>
  <c r="V3810" i="1" s="1"/>
  <c r="V3811" i="1" s="1"/>
  <c r="V3812" i="1" s="1"/>
  <c r="V3813" i="1" s="1"/>
  <c r="V3814" i="1" s="1"/>
  <c r="V3815" i="1" s="1"/>
  <c r="V3816" i="1" s="1"/>
  <c r="V3817" i="1" s="1"/>
  <c r="V3818" i="1" s="1"/>
  <c r="V3819" i="1" s="1"/>
  <c r="V3820" i="1" s="1"/>
  <c r="V3821" i="1" s="1"/>
  <c r="V3822" i="1" s="1"/>
  <c r="V3823" i="1" s="1"/>
  <c r="V3824" i="1" s="1"/>
  <c r="V3825" i="1" s="1"/>
  <c r="V3826" i="1" s="1"/>
  <c r="V3827" i="1" s="1"/>
  <c r="V3828" i="1" s="1"/>
  <c r="V3743" i="1"/>
  <c r="V3744" i="1" s="1"/>
  <c r="V3745" i="1" s="1"/>
  <c r="V3746" i="1" s="1"/>
  <c r="V3747" i="1" s="1"/>
  <c r="V3748" i="1" s="1"/>
  <c r="V3749" i="1" s="1"/>
  <c r="V3750" i="1" s="1"/>
  <c r="V3751" i="1" s="1"/>
  <c r="V3752" i="1" s="1"/>
  <c r="V3753" i="1" s="1"/>
  <c r="V3754" i="1" s="1"/>
  <c r="V3755" i="1" s="1"/>
  <c r="V3756" i="1" s="1"/>
  <c r="V3757" i="1" s="1"/>
  <c r="V3758" i="1" s="1"/>
  <c r="V3759" i="1" s="1"/>
  <c r="V3760" i="1" s="1"/>
  <c r="V3761" i="1" s="1"/>
  <c r="V3762" i="1" s="1"/>
  <c r="V3763" i="1" s="1"/>
  <c r="V3764" i="1" s="1"/>
  <c r="V3765" i="1" s="1"/>
  <c r="V3766" i="1" s="1"/>
  <c r="V3767" i="1" s="1"/>
  <c r="V3768" i="1" s="1"/>
  <c r="V3769" i="1" s="1"/>
  <c r="V3770" i="1" s="1"/>
  <c r="V3771" i="1" s="1"/>
  <c r="V3772" i="1" s="1"/>
  <c r="V3773" i="1" s="1"/>
  <c r="V3774" i="1" s="1"/>
  <c r="V3775" i="1" s="1"/>
  <c r="V3776" i="1" s="1"/>
  <c r="V3777" i="1" s="1"/>
  <c r="V3778" i="1" s="1"/>
  <c r="V3779" i="1" s="1"/>
  <c r="V3780" i="1" s="1"/>
  <c r="V3781" i="1" s="1"/>
  <c r="V3782" i="1" s="1"/>
  <c r="V3783" i="1" s="1"/>
  <c r="V3784" i="1" s="1"/>
  <c r="V3699" i="1"/>
  <c r="V3700" i="1" s="1"/>
  <c r="V3701" i="1" s="1"/>
  <c r="V3702" i="1" s="1"/>
  <c r="V3703" i="1" s="1"/>
  <c r="V3704" i="1" s="1"/>
  <c r="V3705" i="1" s="1"/>
  <c r="V3706" i="1" s="1"/>
  <c r="V3707" i="1" s="1"/>
  <c r="V3708" i="1" s="1"/>
  <c r="V3709" i="1" s="1"/>
  <c r="V3710" i="1" s="1"/>
  <c r="V3711" i="1" s="1"/>
  <c r="V3712" i="1" s="1"/>
  <c r="V3713" i="1" s="1"/>
  <c r="V3714" i="1" s="1"/>
  <c r="V3715" i="1" s="1"/>
  <c r="V3716" i="1" s="1"/>
  <c r="V3717" i="1" s="1"/>
  <c r="V3718" i="1" s="1"/>
  <c r="V3719" i="1" s="1"/>
  <c r="V3720" i="1" s="1"/>
  <c r="V3721" i="1" s="1"/>
  <c r="V3722" i="1" s="1"/>
  <c r="V3723" i="1" s="1"/>
  <c r="V3724" i="1" s="1"/>
  <c r="V3725" i="1" s="1"/>
  <c r="V3726" i="1" s="1"/>
  <c r="V3727" i="1" s="1"/>
  <c r="V3728" i="1" s="1"/>
  <c r="V3729" i="1" s="1"/>
  <c r="V3730" i="1" s="1"/>
  <c r="V3731" i="1" s="1"/>
  <c r="V3732" i="1" s="1"/>
  <c r="V3733" i="1" s="1"/>
  <c r="V3734" i="1" s="1"/>
  <c r="V3735" i="1" s="1"/>
  <c r="V3736" i="1" s="1"/>
  <c r="V3737" i="1" s="1"/>
  <c r="V3738" i="1" s="1"/>
  <c r="V3739" i="1" s="1"/>
  <c r="V3740" i="1" s="1"/>
  <c r="V3655" i="1"/>
  <c r="V3656" i="1" s="1"/>
  <c r="V3657" i="1" s="1"/>
  <c r="V3658" i="1" s="1"/>
  <c r="V3659" i="1" s="1"/>
  <c r="V3660" i="1" s="1"/>
  <c r="V3661" i="1" s="1"/>
  <c r="V3662" i="1" s="1"/>
  <c r="V3663" i="1" s="1"/>
  <c r="V3664" i="1" s="1"/>
  <c r="V3665" i="1" s="1"/>
  <c r="V3666" i="1" s="1"/>
  <c r="V3667" i="1" s="1"/>
  <c r="V3668" i="1" s="1"/>
  <c r="V3669" i="1" s="1"/>
  <c r="V3670" i="1" s="1"/>
  <c r="V3671" i="1" s="1"/>
  <c r="V3672" i="1" s="1"/>
  <c r="V3673" i="1" s="1"/>
  <c r="V3674" i="1" s="1"/>
  <c r="V3675" i="1" s="1"/>
  <c r="V3676" i="1" s="1"/>
  <c r="V3677" i="1" s="1"/>
  <c r="V3678" i="1" s="1"/>
  <c r="V3679" i="1" s="1"/>
  <c r="V3680" i="1" s="1"/>
  <c r="V3681" i="1" s="1"/>
  <c r="V3682" i="1" s="1"/>
  <c r="V3683" i="1" s="1"/>
  <c r="V3684" i="1" s="1"/>
  <c r="V3685" i="1" s="1"/>
  <c r="V3686" i="1" s="1"/>
  <c r="V3687" i="1" s="1"/>
  <c r="V3688" i="1" s="1"/>
  <c r="V3689" i="1" s="1"/>
  <c r="V3690" i="1" s="1"/>
  <c r="V3691" i="1" s="1"/>
  <c r="V3692" i="1" s="1"/>
  <c r="V3693" i="1" s="1"/>
  <c r="V3694" i="1" s="1"/>
  <c r="V3695" i="1" s="1"/>
  <c r="V3696" i="1" s="1"/>
  <c r="V3611" i="1"/>
  <c r="V3612" i="1" s="1"/>
  <c r="V3613" i="1" s="1"/>
  <c r="V3614" i="1" s="1"/>
  <c r="V3615" i="1" s="1"/>
  <c r="V3616" i="1" s="1"/>
  <c r="V3617" i="1" s="1"/>
  <c r="V3618" i="1" s="1"/>
  <c r="V3619" i="1" s="1"/>
  <c r="V3620" i="1" s="1"/>
  <c r="V3621" i="1" s="1"/>
  <c r="V3622" i="1" s="1"/>
  <c r="V3623" i="1" s="1"/>
  <c r="V3624" i="1" s="1"/>
  <c r="V3625" i="1" s="1"/>
  <c r="V3626" i="1" s="1"/>
  <c r="V3627" i="1" s="1"/>
  <c r="V3628" i="1" s="1"/>
  <c r="V3629" i="1" s="1"/>
  <c r="V3630" i="1" s="1"/>
  <c r="V3631" i="1" s="1"/>
  <c r="V3632" i="1" s="1"/>
  <c r="V3633" i="1" s="1"/>
  <c r="V3634" i="1" s="1"/>
  <c r="V3635" i="1" s="1"/>
  <c r="V3636" i="1" s="1"/>
  <c r="V3637" i="1" s="1"/>
  <c r="V3638" i="1" s="1"/>
  <c r="V3639" i="1" s="1"/>
  <c r="V3640" i="1" s="1"/>
  <c r="V3641" i="1" s="1"/>
  <c r="V3642" i="1" s="1"/>
  <c r="V3643" i="1" s="1"/>
  <c r="V3644" i="1" s="1"/>
  <c r="V3645" i="1" s="1"/>
  <c r="V3646" i="1" s="1"/>
  <c r="V3647" i="1" s="1"/>
  <c r="V3648" i="1" s="1"/>
  <c r="V3649" i="1" s="1"/>
  <c r="V3650" i="1" s="1"/>
  <c r="V3651" i="1" s="1"/>
  <c r="V3652" i="1" s="1"/>
  <c r="V3567" i="1"/>
  <c r="V3568" i="1" s="1"/>
  <c r="V3569" i="1" s="1"/>
  <c r="V3570" i="1" s="1"/>
  <c r="V3571" i="1" s="1"/>
  <c r="V3572" i="1" s="1"/>
  <c r="V3573" i="1" s="1"/>
  <c r="V3574" i="1" s="1"/>
  <c r="V3575" i="1" s="1"/>
  <c r="V3576" i="1" s="1"/>
  <c r="V3577" i="1" s="1"/>
  <c r="V3578" i="1" s="1"/>
  <c r="V3579" i="1" s="1"/>
  <c r="V3580" i="1" s="1"/>
  <c r="V3581" i="1" s="1"/>
  <c r="V3582" i="1" s="1"/>
  <c r="V3583" i="1" s="1"/>
  <c r="V3584" i="1" s="1"/>
  <c r="V3585" i="1" s="1"/>
  <c r="V3586" i="1" s="1"/>
  <c r="V3587" i="1" s="1"/>
  <c r="V3588" i="1" s="1"/>
  <c r="V3589" i="1" s="1"/>
  <c r="V3590" i="1" s="1"/>
  <c r="V3591" i="1" s="1"/>
  <c r="V3592" i="1" s="1"/>
  <c r="V3593" i="1" s="1"/>
  <c r="V3594" i="1" s="1"/>
  <c r="V3595" i="1" s="1"/>
  <c r="V3596" i="1" s="1"/>
  <c r="V3597" i="1" s="1"/>
  <c r="V3598" i="1" s="1"/>
  <c r="V3599" i="1" s="1"/>
  <c r="V3600" i="1" s="1"/>
  <c r="V3601" i="1" s="1"/>
  <c r="V3602" i="1" s="1"/>
  <c r="V3603" i="1" s="1"/>
  <c r="V3604" i="1" s="1"/>
  <c r="V3605" i="1" s="1"/>
  <c r="V3606" i="1" s="1"/>
  <c r="V3607" i="1" s="1"/>
  <c r="V3608" i="1" s="1"/>
  <c r="V3523" i="1"/>
  <c r="V3524" i="1" s="1"/>
  <c r="V3525" i="1" s="1"/>
  <c r="V3526" i="1" s="1"/>
  <c r="V3527" i="1" s="1"/>
  <c r="V3528" i="1" s="1"/>
  <c r="V3529" i="1" s="1"/>
  <c r="V3530" i="1" s="1"/>
  <c r="V3531" i="1" s="1"/>
  <c r="V3532" i="1" s="1"/>
  <c r="V3533" i="1" s="1"/>
  <c r="V3534" i="1" s="1"/>
  <c r="V3535" i="1" s="1"/>
  <c r="V3536" i="1" s="1"/>
  <c r="V3537" i="1" s="1"/>
  <c r="V3538" i="1" s="1"/>
  <c r="V3539" i="1" s="1"/>
  <c r="V3540" i="1" s="1"/>
  <c r="V3541" i="1" s="1"/>
  <c r="V3542" i="1" s="1"/>
  <c r="V3543" i="1" s="1"/>
  <c r="V3544" i="1" s="1"/>
  <c r="V3545" i="1" s="1"/>
  <c r="V3546" i="1" s="1"/>
  <c r="V3547" i="1" s="1"/>
  <c r="V3548" i="1" s="1"/>
  <c r="V3549" i="1" s="1"/>
  <c r="V3550" i="1" s="1"/>
  <c r="V3551" i="1" s="1"/>
  <c r="V3552" i="1" s="1"/>
  <c r="V3553" i="1" s="1"/>
  <c r="V3554" i="1" s="1"/>
  <c r="V3555" i="1" s="1"/>
  <c r="V3556" i="1" s="1"/>
  <c r="V3557" i="1" s="1"/>
  <c r="V3558" i="1" s="1"/>
  <c r="V3559" i="1" s="1"/>
  <c r="V3560" i="1" s="1"/>
  <c r="V3561" i="1" s="1"/>
  <c r="V3562" i="1" s="1"/>
  <c r="V3563" i="1" s="1"/>
  <c r="V3564" i="1" s="1"/>
  <c r="V3479" i="1"/>
  <c r="V3480" i="1" s="1"/>
  <c r="V3481" i="1" s="1"/>
  <c r="V3482" i="1" s="1"/>
  <c r="V3483" i="1" s="1"/>
  <c r="V3484" i="1" s="1"/>
  <c r="V3485" i="1" s="1"/>
  <c r="V3486" i="1" s="1"/>
  <c r="V3487" i="1" s="1"/>
  <c r="V3488" i="1" s="1"/>
  <c r="V3489" i="1" s="1"/>
  <c r="V3490" i="1" s="1"/>
  <c r="V3491" i="1" s="1"/>
  <c r="V3492" i="1" s="1"/>
  <c r="V3493" i="1" s="1"/>
  <c r="V3494" i="1" s="1"/>
  <c r="V3495" i="1" s="1"/>
  <c r="V3496" i="1" s="1"/>
  <c r="V3497" i="1" s="1"/>
  <c r="V3498" i="1" s="1"/>
  <c r="V3499" i="1" s="1"/>
  <c r="V3500" i="1" s="1"/>
  <c r="V3501" i="1" s="1"/>
  <c r="V3502" i="1" s="1"/>
  <c r="V3503" i="1" s="1"/>
  <c r="V3504" i="1" s="1"/>
  <c r="V3505" i="1" s="1"/>
  <c r="V3506" i="1" s="1"/>
  <c r="V3507" i="1" s="1"/>
  <c r="V3508" i="1" s="1"/>
  <c r="V3509" i="1" s="1"/>
  <c r="V3510" i="1" s="1"/>
  <c r="V3511" i="1" s="1"/>
  <c r="V3512" i="1" s="1"/>
  <c r="V3513" i="1" s="1"/>
  <c r="V3514" i="1" s="1"/>
  <c r="V3515" i="1" s="1"/>
  <c r="V3516" i="1" s="1"/>
  <c r="V3517" i="1" s="1"/>
  <c r="V3518" i="1" s="1"/>
  <c r="V3519" i="1" s="1"/>
  <c r="V3520" i="1" s="1"/>
  <c r="V3435" i="1"/>
  <c r="V3436" i="1" s="1"/>
  <c r="V3437" i="1" s="1"/>
  <c r="V3438" i="1" s="1"/>
  <c r="V3439" i="1" s="1"/>
  <c r="V3440" i="1" s="1"/>
  <c r="V3441" i="1" s="1"/>
  <c r="V3442" i="1" s="1"/>
  <c r="V3443" i="1" s="1"/>
  <c r="V3444" i="1" s="1"/>
  <c r="V3445" i="1" s="1"/>
  <c r="V3446" i="1" s="1"/>
  <c r="V3447" i="1" s="1"/>
  <c r="V3448" i="1" s="1"/>
  <c r="V3449" i="1" s="1"/>
  <c r="V3450" i="1" s="1"/>
  <c r="V3451" i="1" s="1"/>
  <c r="V3452" i="1" s="1"/>
  <c r="V3453" i="1" s="1"/>
  <c r="V3454" i="1" s="1"/>
  <c r="V3455" i="1" s="1"/>
  <c r="V3456" i="1" s="1"/>
  <c r="V3457" i="1" s="1"/>
  <c r="V3458" i="1" s="1"/>
  <c r="V3459" i="1" s="1"/>
  <c r="V3460" i="1" s="1"/>
  <c r="V3461" i="1" s="1"/>
  <c r="V3462" i="1" s="1"/>
  <c r="V3463" i="1" s="1"/>
  <c r="V3464" i="1" s="1"/>
  <c r="V3465" i="1" s="1"/>
  <c r="V3466" i="1" s="1"/>
  <c r="V3467" i="1" s="1"/>
  <c r="V3468" i="1" s="1"/>
  <c r="V3469" i="1" s="1"/>
  <c r="V3470" i="1" s="1"/>
  <c r="V3471" i="1" s="1"/>
  <c r="V3472" i="1" s="1"/>
  <c r="V3473" i="1" s="1"/>
  <c r="V3474" i="1" s="1"/>
  <c r="V3475" i="1" s="1"/>
  <c r="V3476" i="1" s="1"/>
  <c r="V3391" i="1"/>
  <c r="V3392" i="1" s="1"/>
  <c r="V3393" i="1" s="1"/>
  <c r="V3394" i="1" s="1"/>
  <c r="V3395" i="1" s="1"/>
  <c r="V3396" i="1" s="1"/>
  <c r="V3397" i="1" s="1"/>
  <c r="V3398" i="1" s="1"/>
  <c r="V3399" i="1" s="1"/>
  <c r="V3400" i="1" s="1"/>
  <c r="V3401" i="1" s="1"/>
  <c r="V3402" i="1" s="1"/>
  <c r="V3403" i="1" s="1"/>
  <c r="V3404" i="1" s="1"/>
  <c r="V3405" i="1" s="1"/>
  <c r="V3406" i="1" s="1"/>
  <c r="V3407" i="1" s="1"/>
  <c r="V3408" i="1" s="1"/>
  <c r="V3409" i="1" s="1"/>
  <c r="V3410" i="1" s="1"/>
  <c r="V3411" i="1" s="1"/>
  <c r="V3412" i="1" s="1"/>
  <c r="V3413" i="1" s="1"/>
  <c r="V3414" i="1" s="1"/>
  <c r="V3415" i="1" s="1"/>
  <c r="V3416" i="1" s="1"/>
  <c r="V3417" i="1" s="1"/>
  <c r="V3418" i="1" s="1"/>
  <c r="V3419" i="1" s="1"/>
  <c r="V3420" i="1" s="1"/>
  <c r="V3421" i="1" s="1"/>
  <c r="V3422" i="1" s="1"/>
  <c r="V3423" i="1" s="1"/>
  <c r="V3424" i="1" s="1"/>
  <c r="V3425" i="1" s="1"/>
  <c r="V3426" i="1" s="1"/>
  <c r="V3427" i="1" s="1"/>
  <c r="V3428" i="1" s="1"/>
  <c r="V3429" i="1" s="1"/>
  <c r="V3430" i="1" s="1"/>
  <c r="V3431" i="1" s="1"/>
  <c r="V3432" i="1" s="1"/>
  <c r="V3347" i="1"/>
  <c r="V3348" i="1" s="1"/>
  <c r="V3349" i="1" s="1"/>
  <c r="V3350" i="1" s="1"/>
  <c r="V3351" i="1" s="1"/>
  <c r="V3352" i="1" s="1"/>
  <c r="V3353" i="1" s="1"/>
  <c r="V3354" i="1" s="1"/>
  <c r="V3355" i="1" s="1"/>
  <c r="V3356" i="1" s="1"/>
  <c r="V3357" i="1" s="1"/>
  <c r="V3358" i="1" s="1"/>
  <c r="V3359" i="1" s="1"/>
  <c r="V3360" i="1" s="1"/>
  <c r="V3361" i="1" s="1"/>
  <c r="V3362" i="1" s="1"/>
  <c r="V3363" i="1" s="1"/>
  <c r="V3364" i="1" s="1"/>
  <c r="V3365" i="1" s="1"/>
  <c r="V3366" i="1" s="1"/>
  <c r="V3367" i="1" s="1"/>
  <c r="V3368" i="1" s="1"/>
  <c r="V3369" i="1" s="1"/>
  <c r="V3370" i="1" s="1"/>
  <c r="V3371" i="1" s="1"/>
  <c r="V3372" i="1" s="1"/>
  <c r="V3373" i="1" s="1"/>
  <c r="V3374" i="1" s="1"/>
  <c r="V3375" i="1" s="1"/>
  <c r="V3376" i="1" s="1"/>
  <c r="V3377" i="1" s="1"/>
  <c r="V3378" i="1" s="1"/>
  <c r="V3379" i="1" s="1"/>
  <c r="V3380" i="1" s="1"/>
  <c r="V3381" i="1" s="1"/>
  <c r="V3382" i="1" s="1"/>
  <c r="V3383" i="1" s="1"/>
  <c r="V3384" i="1" s="1"/>
  <c r="V3385" i="1" s="1"/>
  <c r="V3386" i="1" s="1"/>
  <c r="V3387" i="1" s="1"/>
  <c r="V3388" i="1" s="1"/>
  <c r="V3303" i="1"/>
  <c r="V3304" i="1" s="1"/>
  <c r="V3305" i="1" s="1"/>
  <c r="V3306" i="1" s="1"/>
  <c r="V3307" i="1" s="1"/>
  <c r="V3308" i="1" s="1"/>
  <c r="V3309" i="1" s="1"/>
  <c r="V3310" i="1" s="1"/>
  <c r="V3311" i="1" s="1"/>
  <c r="V3312" i="1" s="1"/>
  <c r="V3313" i="1" s="1"/>
  <c r="V3314" i="1" s="1"/>
  <c r="V3315" i="1" s="1"/>
  <c r="V3316" i="1" s="1"/>
  <c r="V3317" i="1" s="1"/>
  <c r="V3318" i="1" s="1"/>
  <c r="V3319" i="1" s="1"/>
  <c r="V3320" i="1" s="1"/>
  <c r="V3321" i="1" s="1"/>
  <c r="V3322" i="1" s="1"/>
  <c r="V3323" i="1" s="1"/>
  <c r="V3324" i="1" s="1"/>
  <c r="V3325" i="1" s="1"/>
  <c r="V3326" i="1" s="1"/>
  <c r="V3327" i="1" s="1"/>
  <c r="V3328" i="1" s="1"/>
  <c r="V3329" i="1" s="1"/>
  <c r="V3330" i="1" s="1"/>
  <c r="V3331" i="1" s="1"/>
  <c r="V3332" i="1" s="1"/>
  <c r="V3333" i="1" s="1"/>
  <c r="V3334" i="1" s="1"/>
  <c r="V3335" i="1" s="1"/>
  <c r="V3336" i="1" s="1"/>
  <c r="V3337" i="1" s="1"/>
  <c r="V3338" i="1" s="1"/>
  <c r="V3339" i="1" s="1"/>
  <c r="V3340" i="1" s="1"/>
  <c r="V3341" i="1" s="1"/>
  <c r="V3342" i="1" s="1"/>
  <c r="V3343" i="1" s="1"/>
  <c r="V3344" i="1" s="1"/>
  <c r="V3259" i="1"/>
  <c r="V3260" i="1" s="1"/>
  <c r="V3261" i="1" s="1"/>
  <c r="V3262" i="1" s="1"/>
  <c r="V3263" i="1" s="1"/>
  <c r="V3264" i="1" s="1"/>
  <c r="V3265" i="1" s="1"/>
  <c r="V3266" i="1" s="1"/>
  <c r="V3267" i="1" s="1"/>
  <c r="V3268" i="1" s="1"/>
  <c r="V3269" i="1" s="1"/>
  <c r="V3270" i="1" s="1"/>
  <c r="V3271" i="1" s="1"/>
  <c r="V3272" i="1" s="1"/>
  <c r="V3273" i="1" s="1"/>
  <c r="V3274" i="1" s="1"/>
  <c r="V3275" i="1" s="1"/>
  <c r="V3276" i="1" s="1"/>
  <c r="V3277" i="1" s="1"/>
  <c r="V3278" i="1" s="1"/>
  <c r="V3279" i="1" s="1"/>
  <c r="V3280" i="1" s="1"/>
  <c r="V3281" i="1" s="1"/>
  <c r="V3282" i="1" s="1"/>
  <c r="V3283" i="1" s="1"/>
  <c r="V3284" i="1" s="1"/>
  <c r="V3285" i="1" s="1"/>
  <c r="V3286" i="1" s="1"/>
  <c r="V3287" i="1" s="1"/>
  <c r="V3288" i="1" s="1"/>
  <c r="V3289" i="1" s="1"/>
  <c r="V3290" i="1" s="1"/>
  <c r="V3291" i="1" s="1"/>
  <c r="V3292" i="1" s="1"/>
  <c r="V3293" i="1" s="1"/>
  <c r="V3294" i="1" s="1"/>
  <c r="V3295" i="1" s="1"/>
  <c r="V3296" i="1" s="1"/>
  <c r="V3297" i="1" s="1"/>
  <c r="V3298" i="1" s="1"/>
  <c r="V3299" i="1" s="1"/>
  <c r="V3300" i="1" s="1"/>
  <c r="V3215" i="1"/>
  <c r="V3216" i="1" s="1"/>
  <c r="V3217" i="1" s="1"/>
  <c r="V3218" i="1" s="1"/>
  <c r="V3219" i="1" s="1"/>
  <c r="V3220" i="1" s="1"/>
  <c r="V3221" i="1" s="1"/>
  <c r="V3222" i="1" s="1"/>
  <c r="V3223" i="1" s="1"/>
  <c r="V3224" i="1" s="1"/>
  <c r="V3225" i="1" s="1"/>
  <c r="V3226" i="1" s="1"/>
  <c r="V3227" i="1" s="1"/>
  <c r="V3228" i="1" s="1"/>
  <c r="V3229" i="1" s="1"/>
  <c r="V3230" i="1" s="1"/>
  <c r="V3231" i="1" s="1"/>
  <c r="V3232" i="1" s="1"/>
  <c r="V3233" i="1" s="1"/>
  <c r="V3234" i="1" s="1"/>
  <c r="V3235" i="1" s="1"/>
  <c r="V3236" i="1" s="1"/>
  <c r="V3237" i="1" s="1"/>
  <c r="V3238" i="1" s="1"/>
  <c r="V3239" i="1" s="1"/>
  <c r="V3240" i="1" s="1"/>
  <c r="V3241" i="1" s="1"/>
  <c r="V3242" i="1" s="1"/>
  <c r="V3243" i="1" s="1"/>
  <c r="V3244" i="1" s="1"/>
  <c r="V3245" i="1" s="1"/>
  <c r="V3246" i="1" s="1"/>
  <c r="V3247" i="1" s="1"/>
  <c r="V3248" i="1" s="1"/>
  <c r="V3249" i="1" s="1"/>
  <c r="V3250" i="1" s="1"/>
  <c r="V3251" i="1" s="1"/>
  <c r="V3252" i="1" s="1"/>
  <c r="V3253" i="1" s="1"/>
  <c r="V3254" i="1" s="1"/>
  <c r="V3255" i="1" s="1"/>
  <c r="V3256" i="1" s="1"/>
  <c r="V3171" i="1"/>
  <c r="V3172" i="1" s="1"/>
  <c r="V3173" i="1" s="1"/>
  <c r="V3174" i="1" s="1"/>
  <c r="V3175" i="1" s="1"/>
  <c r="V3176" i="1" s="1"/>
  <c r="V3177" i="1" s="1"/>
  <c r="V3178" i="1" s="1"/>
  <c r="V3179" i="1" s="1"/>
  <c r="V3180" i="1" s="1"/>
  <c r="V3181" i="1" s="1"/>
  <c r="V3182" i="1" s="1"/>
  <c r="V3183" i="1" s="1"/>
  <c r="V3184" i="1" s="1"/>
  <c r="V3185" i="1" s="1"/>
  <c r="V3186" i="1" s="1"/>
  <c r="V3187" i="1" s="1"/>
  <c r="V3188" i="1" s="1"/>
  <c r="V3189" i="1" s="1"/>
  <c r="V3190" i="1" s="1"/>
  <c r="V3191" i="1" s="1"/>
  <c r="V3192" i="1" s="1"/>
  <c r="V3193" i="1" s="1"/>
  <c r="V3194" i="1" s="1"/>
  <c r="V3195" i="1" s="1"/>
  <c r="V3196" i="1" s="1"/>
  <c r="V3197" i="1" s="1"/>
  <c r="V3198" i="1" s="1"/>
  <c r="V3199" i="1" s="1"/>
  <c r="V3200" i="1" s="1"/>
  <c r="V3201" i="1" s="1"/>
  <c r="V3202" i="1" s="1"/>
  <c r="V3203" i="1" s="1"/>
  <c r="V3204" i="1" s="1"/>
  <c r="V3205" i="1" s="1"/>
  <c r="V3206" i="1" s="1"/>
  <c r="V3207" i="1" s="1"/>
  <c r="V3208" i="1" s="1"/>
  <c r="V3209" i="1" s="1"/>
  <c r="V3210" i="1" s="1"/>
  <c r="V3211" i="1" s="1"/>
  <c r="V3212" i="1" s="1"/>
  <c r="V3127" i="1"/>
  <c r="V3128" i="1" s="1"/>
  <c r="V3129" i="1" s="1"/>
  <c r="V3130" i="1" s="1"/>
  <c r="V3131" i="1" s="1"/>
  <c r="V3132" i="1" s="1"/>
  <c r="V3133" i="1" s="1"/>
  <c r="V3134" i="1" s="1"/>
  <c r="V3135" i="1" s="1"/>
  <c r="V3136" i="1" s="1"/>
  <c r="V3137" i="1" s="1"/>
  <c r="V3138" i="1" s="1"/>
  <c r="V3139" i="1" s="1"/>
  <c r="V3140" i="1" s="1"/>
  <c r="V3141" i="1" s="1"/>
  <c r="V3142" i="1" s="1"/>
  <c r="V3143" i="1" s="1"/>
  <c r="V3144" i="1" s="1"/>
  <c r="V3145" i="1" s="1"/>
  <c r="V3146" i="1" s="1"/>
  <c r="V3147" i="1" s="1"/>
  <c r="V3148" i="1" s="1"/>
  <c r="V3149" i="1" s="1"/>
  <c r="V3150" i="1" s="1"/>
  <c r="V3151" i="1" s="1"/>
  <c r="V3152" i="1" s="1"/>
  <c r="V3153" i="1" s="1"/>
  <c r="V3154" i="1" s="1"/>
  <c r="V3155" i="1" s="1"/>
  <c r="V3156" i="1" s="1"/>
  <c r="V3157" i="1" s="1"/>
  <c r="V3158" i="1" s="1"/>
  <c r="V3159" i="1" s="1"/>
  <c r="V3160" i="1" s="1"/>
  <c r="V3161" i="1" s="1"/>
  <c r="V3162" i="1" s="1"/>
  <c r="V3163" i="1" s="1"/>
  <c r="V3164" i="1" s="1"/>
  <c r="V3165" i="1" s="1"/>
  <c r="V3166" i="1" s="1"/>
  <c r="V3167" i="1" s="1"/>
  <c r="V3168" i="1" s="1"/>
  <c r="V3083" i="1"/>
  <c r="V3084" i="1" s="1"/>
  <c r="V3085" i="1" s="1"/>
  <c r="V3086" i="1" s="1"/>
  <c r="V3087" i="1" s="1"/>
  <c r="V3088" i="1" s="1"/>
  <c r="V3089" i="1" s="1"/>
  <c r="V3090" i="1" s="1"/>
  <c r="V3091" i="1" s="1"/>
  <c r="V3092" i="1" s="1"/>
  <c r="V3093" i="1" s="1"/>
  <c r="V3094" i="1" s="1"/>
  <c r="V3095" i="1" s="1"/>
  <c r="V3096" i="1" s="1"/>
  <c r="V3097" i="1" s="1"/>
  <c r="V3098" i="1" s="1"/>
  <c r="V3099" i="1" s="1"/>
  <c r="V3100" i="1" s="1"/>
  <c r="V3101" i="1" s="1"/>
  <c r="V3102" i="1" s="1"/>
  <c r="V3103" i="1" s="1"/>
  <c r="V3104" i="1" s="1"/>
  <c r="V3105" i="1" s="1"/>
  <c r="V3106" i="1" s="1"/>
  <c r="V3107" i="1" s="1"/>
  <c r="V3108" i="1" s="1"/>
  <c r="V3109" i="1" s="1"/>
  <c r="V3110" i="1" s="1"/>
  <c r="V3111" i="1" s="1"/>
  <c r="V3112" i="1" s="1"/>
  <c r="V3113" i="1" s="1"/>
  <c r="V3114" i="1" s="1"/>
  <c r="V3115" i="1" s="1"/>
  <c r="V3116" i="1" s="1"/>
  <c r="V3117" i="1" s="1"/>
  <c r="V3118" i="1" s="1"/>
  <c r="V3119" i="1" s="1"/>
  <c r="V3120" i="1" s="1"/>
  <c r="V3121" i="1" s="1"/>
  <c r="V3122" i="1" s="1"/>
  <c r="V3123" i="1" s="1"/>
  <c r="V3124" i="1" s="1"/>
  <c r="V3039" i="1"/>
  <c r="V3040" i="1" s="1"/>
  <c r="V3041" i="1" s="1"/>
  <c r="V3042" i="1" s="1"/>
  <c r="V3043" i="1" s="1"/>
  <c r="V3044" i="1" s="1"/>
  <c r="V3045" i="1" s="1"/>
  <c r="V3046" i="1" s="1"/>
  <c r="V3047" i="1" s="1"/>
  <c r="V3048" i="1" s="1"/>
  <c r="V3049" i="1" s="1"/>
  <c r="V3050" i="1" s="1"/>
  <c r="V3051" i="1" s="1"/>
  <c r="V3052" i="1" s="1"/>
  <c r="V3053" i="1" s="1"/>
  <c r="V3054" i="1" s="1"/>
  <c r="V3055" i="1" s="1"/>
  <c r="V3056" i="1" s="1"/>
  <c r="V3057" i="1" s="1"/>
  <c r="V3058" i="1" s="1"/>
  <c r="V3059" i="1" s="1"/>
  <c r="V3060" i="1" s="1"/>
  <c r="V3061" i="1" s="1"/>
  <c r="V3062" i="1" s="1"/>
  <c r="V3063" i="1" s="1"/>
  <c r="V3064" i="1" s="1"/>
  <c r="V3065" i="1" s="1"/>
  <c r="V3066" i="1" s="1"/>
  <c r="V3067" i="1" s="1"/>
  <c r="V3068" i="1" s="1"/>
  <c r="V3069" i="1" s="1"/>
  <c r="V3070" i="1" s="1"/>
  <c r="V3071" i="1" s="1"/>
  <c r="V3072" i="1" s="1"/>
  <c r="V3073" i="1" s="1"/>
  <c r="V3074" i="1" s="1"/>
  <c r="V3075" i="1" s="1"/>
  <c r="V3076" i="1" s="1"/>
  <c r="V3077" i="1" s="1"/>
  <c r="V3078" i="1" s="1"/>
  <c r="V3079" i="1" s="1"/>
  <c r="V3080" i="1" s="1"/>
  <c r="V2995" i="1"/>
  <c r="V2996" i="1" s="1"/>
  <c r="V2997" i="1" s="1"/>
  <c r="V2998" i="1" s="1"/>
  <c r="V2999" i="1" s="1"/>
  <c r="V3000" i="1" s="1"/>
  <c r="V3001" i="1" s="1"/>
  <c r="V3002" i="1" s="1"/>
  <c r="V3003" i="1" s="1"/>
  <c r="V3004" i="1" s="1"/>
  <c r="V3005" i="1" s="1"/>
  <c r="V3006" i="1" s="1"/>
  <c r="V3007" i="1" s="1"/>
  <c r="V3008" i="1" s="1"/>
  <c r="V3009" i="1" s="1"/>
  <c r="V3010" i="1" s="1"/>
  <c r="V3011" i="1" s="1"/>
  <c r="V3012" i="1" s="1"/>
  <c r="V3013" i="1" s="1"/>
  <c r="V3014" i="1" s="1"/>
  <c r="V3015" i="1" s="1"/>
  <c r="V3016" i="1" s="1"/>
  <c r="V3017" i="1" s="1"/>
  <c r="V3018" i="1" s="1"/>
  <c r="V3019" i="1" s="1"/>
  <c r="V3020" i="1" s="1"/>
  <c r="V3021" i="1" s="1"/>
  <c r="V3022" i="1" s="1"/>
  <c r="V3023" i="1" s="1"/>
  <c r="V3024" i="1" s="1"/>
  <c r="V3025" i="1" s="1"/>
  <c r="V3026" i="1" s="1"/>
  <c r="V3027" i="1" s="1"/>
  <c r="V3028" i="1" s="1"/>
  <c r="V3029" i="1" s="1"/>
  <c r="V3030" i="1" s="1"/>
  <c r="V3031" i="1" s="1"/>
  <c r="V3032" i="1" s="1"/>
  <c r="V3033" i="1" s="1"/>
  <c r="V3034" i="1" s="1"/>
  <c r="V3035" i="1" s="1"/>
  <c r="V3036" i="1" s="1"/>
  <c r="V2951" i="1"/>
  <c r="V2952" i="1" s="1"/>
  <c r="V2953" i="1" s="1"/>
  <c r="V2954" i="1" s="1"/>
  <c r="V2955" i="1" s="1"/>
  <c r="V2956" i="1" s="1"/>
  <c r="V2957" i="1" s="1"/>
  <c r="V2958" i="1" s="1"/>
  <c r="V2959" i="1" s="1"/>
  <c r="V2960" i="1" s="1"/>
  <c r="V2961" i="1" s="1"/>
  <c r="V2962" i="1" s="1"/>
  <c r="V2963" i="1" s="1"/>
  <c r="V2964" i="1" s="1"/>
  <c r="V2965" i="1" s="1"/>
  <c r="V2966" i="1" s="1"/>
  <c r="V2967" i="1" s="1"/>
  <c r="V2968" i="1" s="1"/>
  <c r="V2969" i="1" s="1"/>
  <c r="V2970" i="1" s="1"/>
  <c r="V2971" i="1" s="1"/>
  <c r="V2972" i="1" s="1"/>
  <c r="V2973" i="1" s="1"/>
  <c r="V2974" i="1" s="1"/>
  <c r="V2975" i="1" s="1"/>
  <c r="V2976" i="1" s="1"/>
  <c r="V2977" i="1" s="1"/>
  <c r="V2978" i="1" s="1"/>
  <c r="V2979" i="1" s="1"/>
  <c r="V2980" i="1" s="1"/>
  <c r="V2981" i="1" s="1"/>
  <c r="V2982" i="1" s="1"/>
  <c r="V2983" i="1" s="1"/>
  <c r="V2984" i="1" s="1"/>
  <c r="V2985" i="1" s="1"/>
  <c r="V2986" i="1" s="1"/>
  <c r="V2987" i="1" s="1"/>
  <c r="V2988" i="1" s="1"/>
  <c r="V2989" i="1" s="1"/>
  <c r="V2990" i="1" s="1"/>
  <c r="V2991" i="1" s="1"/>
  <c r="V2992" i="1" s="1"/>
  <c r="V2907" i="1"/>
  <c r="V2908" i="1" s="1"/>
  <c r="V2909" i="1" s="1"/>
  <c r="V2910" i="1" s="1"/>
  <c r="V2911" i="1" s="1"/>
  <c r="V2912" i="1" s="1"/>
  <c r="V2913" i="1" s="1"/>
  <c r="V2914" i="1" s="1"/>
  <c r="V2915" i="1" s="1"/>
  <c r="V2916" i="1" s="1"/>
  <c r="V2917" i="1" s="1"/>
  <c r="V2918" i="1" s="1"/>
  <c r="V2919" i="1" s="1"/>
  <c r="V2920" i="1" s="1"/>
  <c r="V2921" i="1" s="1"/>
  <c r="V2922" i="1" s="1"/>
  <c r="V2923" i="1" s="1"/>
  <c r="V2924" i="1" s="1"/>
  <c r="V2925" i="1" s="1"/>
  <c r="V2926" i="1" s="1"/>
  <c r="V2927" i="1" s="1"/>
  <c r="V2928" i="1" s="1"/>
  <c r="V2929" i="1" s="1"/>
  <c r="V2930" i="1" s="1"/>
  <c r="V2931" i="1" s="1"/>
  <c r="V2932" i="1" s="1"/>
  <c r="V2933" i="1" s="1"/>
  <c r="V2934" i="1" s="1"/>
  <c r="V2935" i="1" s="1"/>
  <c r="V2936" i="1" s="1"/>
  <c r="V2937" i="1" s="1"/>
  <c r="V2938" i="1" s="1"/>
  <c r="V2939" i="1" s="1"/>
  <c r="V2940" i="1" s="1"/>
  <c r="V2941" i="1" s="1"/>
  <c r="V2942" i="1" s="1"/>
  <c r="V2943" i="1" s="1"/>
  <c r="V2944" i="1" s="1"/>
  <c r="V2945" i="1" s="1"/>
  <c r="V2946" i="1" s="1"/>
  <c r="V2947" i="1" s="1"/>
  <c r="V2948" i="1" s="1"/>
  <c r="V2863" i="1"/>
  <c r="V2864" i="1" s="1"/>
  <c r="V2865" i="1" s="1"/>
  <c r="V2866" i="1" s="1"/>
  <c r="V2867" i="1" s="1"/>
  <c r="V2868" i="1" s="1"/>
  <c r="V2869" i="1" s="1"/>
  <c r="V2870" i="1" s="1"/>
  <c r="V2871" i="1" s="1"/>
  <c r="V2872" i="1" s="1"/>
  <c r="V2873" i="1" s="1"/>
  <c r="V2874" i="1" s="1"/>
  <c r="V2875" i="1" s="1"/>
  <c r="V2876" i="1" s="1"/>
  <c r="V2877" i="1" s="1"/>
  <c r="V2878" i="1" s="1"/>
  <c r="V2879" i="1" s="1"/>
  <c r="V2880" i="1" s="1"/>
  <c r="V2881" i="1" s="1"/>
  <c r="V2882" i="1" s="1"/>
  <c r="V2883" i="1" s="1"/>
  <c r="V2884" i="1" s="1"/>
  <c r="V2885" i="1" s="1"/>
  <c r="V2886" i="1" s="1"/>
  <c r="V2887" i="1" s="1"/>
  <c r="V2888" i="1" s="1"/>
  <c r="V2889" i="1" s="1"/>
  <c r="V2890" i="1" s="1"/>
  <c r="V2891" i="1" s="1"/>
  <c r="V2892" i="1" s="1"/>
  <c r="V2893" i="1" s="1"/>
  <c r="V2894" i="1" s="1"/>
  <c r="V2895" i="1" s="1"/>
  <c r="V2896" i="1" s="1"/>
  <c r="V2897" i="1" s="1"/>
  <c r="V2898" i="1" s="1"/>
  <c r="V2899" i="1" s="1"/>
  <c r="V2900" i="1" s="1"/>
  <c r="V2901" i="1" s="1"/>
  <c r="V2902" i="1" s="1"/>
  <c r="V2903" i="1" s="1"/>
  <c r="V2904" i="1" s="1"/>
  <c r="V2819" i="1"/>
  <c r="V2820" i="1" s="1"/>
  <c r="V2821" i="1" s="1"/>
  <c r="V2822" i="1" s="1"/>
  <c r="V2823" i="1" s="1"/>
  <c r="V2824" i="1" s="1"/>
  <c r="V2825" i="1" s="1"/>
  <c r="V2826" i="1" s="1"/>
  <c r="V2827" i="1" s="1"/>
  <c r="V2828" i="1" s="1"/>
  <c r="V2829" i="1" s="1"/>
  <c r="V2830" i="1" s="1"/>
  <c r="V2831" i="1" s="1"/>
  <c r="V2832" i="1" s="1"/>
  <c r="V2833" i="1" s="1"/>
  <c r="V2834" i="1" s="1"/>
  <c r="V2835" i="1" s="1"/>
  <c r="V2836" i="1" s="1"/>
  <c r="V2837" i="1" s="1"/>
  <c r="V2838" i="1" s="1"/>
  <c r="V2839" i="1" s="1"/>
  <c r="V2840" i="1" s="1"/>
  <c r="V2841" i="1" s="1"/>
  <c r="V2842" i="1" s="1"/>
  <c r="V2843" i="1" s="1"/>
  <c r="V2844" i="1" s="1"/>
  <c r="V2845" i="1" s="1"/>
  <c r="V2846" i="1" s="1"/>
  <c r="V2847" i="1" s="1"/>
  <c r="V2848" i="1" s="1"/>
  <c r="V2849" i="1" s="1"/>
  <c r="V2850" i="1" s="1"/>
  <c r="V2851" i="1" s="1"/>
  <c r="V2852" i="1" s="1"/>
  <c r="V2853" i="1" s="1"/>
  <c r="V2854" i="1" s="1"/>
  <c r="V2855" i="1" s="1"/>
  <c r="V2856" i="1" s="1"/>
  <c r="V2857" i="1" s="1"/>
  <c r="V2858" i="1" s="1"/>
  <c r="V2859" i="1" s="1"/>
  <c r="V2860" i="1" s="1"/>
  <c r="V2775" i="1"/>
  <c r="V2776" i="1" s="1"/>
  <c r="V2777" i="1" s="1"/>
  <c r="V2778" i="1" s="1"/>
  <c r="V2779" i="1" s="1"/>
  <c r="V2780" i="1" s="1"/>
  <c r="V2781" i="1" s="1"/>
  <c r="V2782" i="1" s="1"/>
  <c r="V2783" i="1" s="1"/>
  <c r="V2784" i="1" s="1"/>
  <c r="V2785" i="1" s="1"/>
  <c r="V2786" i="1" s="1"/>
  <c r="V2787" i="1" s="1"/>
  <c r="V2788" i="1" s="1"/>
  <c r="V2789" i="1" s="1"/>
  <c r="V2790" i="1" s="1"/>
  <c r="V2791" i="1" s="1"/>
  <c r="V2792" i="1" s="1"/>
  <c r="V2793" i="1" s="1"/>
  <c r="V2794" i="1" s="1"/>
  <c r="V2795" i="1" s="1"/>
  <c r="V2796" i="1" s="1"/>
  <c r="V2797" i="1" s="1"/>
  <c r="V2798" i="1" s="1"/>
  <c r="V2799" i="1" s="1"/>
  <c r="V2800" i="1" s="1"/>
  <c r="V2801" i="1" s="1"/>
  <c r="V2802" i="1" s="1"/>
  <c r="V2803" i="1" s="1"/>
  <c r="V2804" i="1" s="1"/>
  <c r="V2805" i="1" s="1"/>
  <c r="V2806" i="1" s="1"/>
  <c r="V2807" i="1" s="1"/>
  <c r="V2808" i="1" s="1"/>
  <c r="V2809" i="1" s="1"/>
  <c r="V2810" i="1" s="1"/>
  <c r="V2811" i="1" s="1"/>
  <c r="V2812" i="1" s="1"/>
  <c r="V2813" i="1" s="1"/>
  <c r="V2814" i="1" s="1"/>
  <c r="V2815" i="1" s="1"/>
  <c r="V2816" i="1" s="1"/>
  <c r="V2731" i="1"/>
  <c r="V2732" i="1" s="1"/>
  <c r="V2733" i="1" s="1"/>
  <c r="V2734" i="1" s="1"/>
  <c r="V2735" i="1" s="1"/>
  <c r="V2736" i="1" s="1"/>
  <c r="V2737" i="1" s="1"/>
  <c r="V2738" i="1" s="1"/>
  <c r="V2739" i="1" s="1"/>
  <c r="V2740" i="1" s="1"/>
  <c r="V2741" i="1" s="1"/>
  <c r="V2742" i="1" s="1"/>
  <c r="V2743" i="1" s="1"/>
  <c r="V2744" i="1" s="1"/>
  <c r="V2745" i="1" s="1"/>
  <c r="V2746" i="1" s="1"/>
  <c r="V2747" i="1" s="1"/>
  <c r="V2748" i="1" s="1"/>
  <c r="V2749" i="1" s="1"/>
  <c r="V2750" i="1" s="1"/>
  <c r="V2751" i="1" s="1"/>
  <c r="V2752" i="1" s="1"/>
  <c r="V2753" i="1" s="1"/>
  <c r="V2754" i="1" s="1"/>
  <c r="V2755" i="1" s="1"/>
  <c r="V2756" i="1" s="1"/>
  <c r="V2757" i="1" s="1"/>
  <c r="V2758" i="1" s="1"/>
  <c r="V2759" i="1" s="1"/>
  <c r="V2760" i="1" s="1"/>
  <c r="V2761" i="1" s="1"/>
  <c r="V2762" i="1" s="1"/>
  <c r="V2763" i="1" s="1"/>
  <c r="V2764" i="1" s="1"/>
  <c r="V2765" i="1" s="1"/>
  <c r="V2766" i="1" s="1"/>
  <c r="V2767" i="1" s="1"/>
  <c r="V2768" i="1" s="1"/>
  <c r="V2769" i="1" s="1"/>
  <c r="V2770" i="1" s="1"/>
  <c r="V2771" i="1" s="1"/>
  <c r="V2772" i="1" s="1"/>
  <c r="V2687" i="1"/>
  <c r="V2688" i="1" s="1"/>
  <c r="V2689" i="1" s="1"/>
  <c r="V2690" i="1" s="1"/>
  <c r="V2691" i="1" s="1"/>
  <c r="V2692" i="1" s="1"/>
  <c r="V2693" i="1" s="1"/>
  <c r="V2694" i="1" s="1"/>
  <c r="V2695" i="1" s="1"/>
  <c r="V2696" i="1" s="1"/>
  <c r="V2697" i="1" s="1"/>
  <c r="V2698" i="1" s="1"/>
  <c r="V2699" i="1" s="1"/>
  <c r="V2700" i="1" s="1"/>
  <c r="V2701" i="1" s="1"/>
  <c r="V2702" i="1" s="1"/>
  <c r="V2703" i="1" s="1"/>
  <c r="V2704" i="1" s="1"/>
  <c r="V2705" i="1" s="1"/>
  <c r="V2706" i="1" s="1"/>
  <c r="V2707" i="1" s="1"/>
  <c r="V2708" i="1" s="1"/>
  <c r="V2709" i="1" s="1"/>
  <c r="V2710" i="1" s="1"/>
  <c r="V2711" i="1" s="1"/>
  <c r="V2712" i="1" s="1"/>
  <c r="V2713" i="1" s="1"/>
  <c r="V2714" i="1" s="1"/>
  <c r="V2715" i="1" s="1"/>
  <c r="V2716" i="1" s="1"/>
  <c r="V2717" i="1" s="1"/>
  <c r="V2718" i="1" s="1"/>
  <c r="V2719" i="1" s="1"/>
  <c r="V2720" i="1" s="1"/>
  <c r="V2721" i="1" s="1"/>
  <c r="V2722" i="1" s="1"/>
  <c r="V2723" i="1" s="1"/>
  <c r="V2724" i="1" s="1"/>
  <c r="V2725" i="1" s="1"/>
  <c r="V2726" i="1" s="1"/>
  <c r="V2727" i="1" s="1"/>
  <c r="V2728" i="1" s="1"/>
  <c r="V2643" i="1"/>
  <c r="V2644" i="1" s="1"/>
  <c r="V2645" i="1" s="1"/>
  <c r="V2646" i="1" s="1"/>
  <c r="V2647" i="1" s="1"/>
  <c r="V2648" i="1" s="1"/>
  <c r="V2649" i="1" s="1"/>
  <c r="V2650" i="1" s="1"/>
  <c r="V2651" i="1" s="1"/>
  <c r="V2652" i="1" s="1"/>
  <c r="V2653" i="1" s="1"/>
  <c r="V2654" i="1" s="1"/>
  <c r="V2655" i="1" s="1"/>
  <c r="V2656" i="1" s="1"/>
  <c r="V2657" i="1" s="1"/>
  <c r="V2658" i="1" s="1"/>
  <c r="V2659" i="1" s="1"/>
  <c r="V2660" i="1" s="1"/>
  <c r="V2661" i="1" s="1"/>
  <c r="V2662" i="1" s="1"/>
  <c r="V2663" i="1" s="1"/>
  <c r="V2664" i="1" s="1"/>
  <c r="V2665" i="1" s="1"/>
  <c r="V2666" i="1" s="1"/>
  <c r="V2667" i="1" s="1"/>
  <c r="V2668" i="1" s="1"/>
  <c r="V2669" i="1" s="1"/>
  <c r="V2670" i="1" s="1"/>
  <c r="V2671" i="1" s="1"/>
  <c r="V2672" i="1" s="1"/>
  <c r="V2673" i="1" s="1"/>
  <c r="V2674" i="1" s="1"/>
  <c r="V2675" i="1" s="1"/>
  <c r="V2676" i="1" s="1"/>
  <c r="V2677" i="1" s="1"/>
  <c r="V2678" i="1" s="1"/>
  <c r="V2679" i="1" s="1"/>
  <c r="V2680" i="1" s="1"/>
  <c r="V2681" i="1" s="1"/>
  <c r="V2682" i="1" s="1"/>
  <c r="V2683" i="1" s="1"/>
  <c r="V2684" i="1" s="1"/>
  <c r="V2599" i="1"/>
  <c r="V2600" i="1" s="1"/>
  <c r="V2601" i="1" s="1"/>
  <c r="V2602" i="1" s="1"/>
  <c r="V2603" i="1" s="1"/>
  <c r="V2604" i="1" s="1"/>
  <c r="V2605" i="1" s="1"/>
  <c r="V2606" i="1" s="1"/>
  <c r="V2607" i="1" s="1"/>
  <c r="V2608" i="1" s="1"/>
  <c r="V2609" i="1" s="1"/>
  <c r="V2610" i="1" s="1"/>
  <c r="V2611" i="1" s="1"/>
  <c r="V2612" i="1" s="1"/>
  <c r="V2613" i="1" s="1"/>
  <c r="V2614" i="1" s="1"/>
  <c r="V2615" i="1" s="1"/>
  <c r="V2616" i="1" s="1"/>
  <c r="V2617" i="1" s="1"/>
  <c r="V2618" i="1" s="1"/>
  <c r="V2619" i="1" s="1"/>
  <c r="V2620" i="1" s="1"/>
  <c r="V2621" i="1" s="1"/>
  <c r="V2622" i="1" s="1"/>
  <c r="V2623" i="1" s="1"/>
  <c r="V2624" i="1" s="1"/>
  <c r="V2625" i="1" s="1"/>
  <c r="V2626" i="1" s="1"/>
  <c r="V2627" i="1" s="1"/>
  <c r="V2628" i="1" s="1"/>
  <c r="V2629" i="1" s="1"/>
  <c r="V2630" i="1" s="1"/>
  <c r="V2631" i="1" s="1"/>
  <c r="V2632" i="1" s="1"/>
  <c r="V2633" i="1" s="1"/>
  <c r="V2634" i="1" s="1"/>
  <c r="V2635" i="1" s="1"/>
  <c r="V2636" i="1" s="1"/>
  <c r="V2637" i="1" s="1"/>
  <c r="V2638" i="1" s="1"/>
  <c r="V2639" i="1" s="1"/>
  <c r="V2640" i="1" s="1"/>
  <c r="V2555" i="1"/>
  <c r="V2556" i="1" s="1"/>
  <c r="V2557" i="1" s="1"/>
  <c r="V2558" i="1" s="1"/>
  <c r="V2559" i="1" s="1"/>
  <c r="V2560" i="1" s="1"/>
  <c r="V2561" i="1" s="1"/>
  <c r="V2562" i="1" s="1"/>
  <c r="V2563" i="1" s="1"/>
  <c r="V2564" i="1" s="1"/>
  <c r="V2565" i="1" s="1"/>
  <c r="V2566" i="1" s="1"/>
  <c r="V2567" i="1" s="1"/>
  <c r="V2568" i="1" s="1"/>
  <c r="V2569" i="1" s="1"/>
  <c r="V2570" i="1" s="1"/>
  <c r="V2571" i="1" s="1"/>
  <c r="V2572" i="1" s="1"/>
  <c r="V2573" i="1" s="1"/>
  <c r="V2574" i="1" s="1"/>
  <c r="V2575" i="1" s="1"/>
  <c r="V2576" i="1" s="1"/>
  <c r="V2577" i="1" s="1"/>
  <c r="V2578" i="1" s="1"/>
  <c r="V2579" i="1" s="1"/>
  <c r="V2580" i="1" s="1"/>
  <c r="V2581" i="1" s="1"/>
  <c r="V2582" i="1" s="1"/>
  <c r="V2583" i="1" s="1"/>
  <c r="V2584" i="1" s="1"/>
  <c r="V2585" i="1" s="1"/>
  <c r="V2586" i="1" s="1"/>
  <c r="V2587" i="1" s="1"/>
  <c r="V2588" i="1" s="1"/>
  <c r="V2589" i="1" s="1"/>
  <c r="V2590" i="1" s="1"/>
  <c r="V2591" i="1" s="1"/>
  <c r="V2592" i="1" s="1"/>
  <c r="V2593" i="1" s="1"/>
  <c r="V2594" i="1" s="1"/>
  <c r="V2595" i="1" s="1"/>
  <c r="V2596" i="1" s="1"/>
  <c r="V2511" i="1"/>
  <c r="V2512" i="1" s="1"/>
  <c r="V2513" i="1" s="1"/>
  <c r="V2514" i="1" s="1"/>
  <c r="V2515" i="1" s="1"/>
  <c r="V2516" i="1" s="1"/>
  <c r="V2517" i="1" s="1"/>
  <c r="V2518" i="1" s="1"/>
  <c r="V2519" i="1" s="1"/>
  <c r="V2520" i="1" s="1"/>
  <c r="V2521" i="1" s="1"/>
  <c r="V2522" i="1" s="1"/>
  <c r="V2523" i="1" s="1"/>
  <c r="V2524" i="1" s="1"/>
  <c r="V2525" i="1" s="1"/>
  <c r="V2526" i="1" s="1"/>
  <c r="V2527" i="1" s="1"/>
  <c r="V2528" i="1" s="1"/>
  <c r="V2529" i="1" s="1"/>
  <c r="V2530" i="1" s="1"/>
  <c r="V2531" i="1" s="1"/>
  <c r="V2532" i="1" s="1"/>
  <c r="V2533" i="1" s="1"/>
  <c r="V2534" i="1" s="1"/>
  <c r="V2535" i="1" s="1"/>
  <c r="V2536" i="1" s="1"/>
  <c r="V2537" i="1" s="1"/>
  <c r="V2538" i="1" s="1"/>
  <c r="V2539" i="1" s="1"/>
  <c r="V2540" i="1" s="1"/>
  <c r="V2541" i="1" s="1"/>
  <c r="V2542" i="1" s="1"/>
  <c r="V2543" i="1" s="1"/>
  <c r="V2544" i="1" s="1"/>
  <c r="V2545" i="1" s="1"/>
  <c r="V2546" i="1" s="1"/>
  <c r="V2547" i="1" s="1"/>
  <c r="V2548" i="1" s="1"/>
  <c r="V2549" i="1" s="1"/>
  <c r="V2550" i="1" s="1"/>
  <c r="V2551" i="1" s="1"/>
  <c r="V2552" i="1" s="1"/>
  <c r="V2467" i="1"/>
  <c r="V2468" i="1" s="1"/>
  <c r="V2469" i="1" s="1"/>
  <c r="V2470" i="1" s="1"/>
  <c r="V2471" i="1" s="1"/>
  <c r="V2472" i="1" s="1"/>
  <c r="V2473" i="1" s="1"/>
  <c r="V2474" i="1" s="1"/>
  <c r="V2475" i="1" s="1"/>
  <c r="V2476" i="1" s="1"/>
  <c r="V2477" i="1" s="1"/>
  <c r="V2478" i="1" s="1"/>
  <c r="V2479" i="1" s="1"/>
  <c r="V2480" i="1" s="1"/>
  <c r="V2481" i="1" s="1"/>
  <c r="V2482" i="1" s="1"/>
  <c r="V2483" i="1" s="1"/>
  <c r="V2484" i="1" s="1"/>
  <c r="V2485" i="1" s="1"/>
  <c r="V2486" i="1" s="1"/>
  <c r="V2487" i="1" s="1"/>
  <c r="V2488" i="1" s="1"/>
  <c r="V2489" i="1" s="1"/>
  <c r="V2490" i="1" s="1"/>
  <c r="V2491" i="1" s="1"/>
  <c r="V2492" i="1" s="1"/>
  <c r="V2493" i="1" s="1"/>
  <c r="V2494" i="1" s="1"/>
  <c r="V2495" i="1" s="1"/>
  <c r="V2496" i="1" s="1"/>
  <c r="V2497" i="1" s="1"/>
  <c r="V2498" i="1" s="1"/>
  <c r="V2499" i="1" s="1"/>
  <c r="V2500" i="1" s="1"/>
  <c r="V2501" i="1" s="1"/>
  <c r="V2502" i="1" s="1"/>
  <c r="V2503" i="1" s="1"/>
  <c r="V2504" i="1" s="1"/>
  <c r="V2505" i="1" s="1"/>
  <c r="V2506" i="1" s="1"/>
  <c r="V2507" i="1" s="1"/>
  <c r="V2508" i="1" s="1"/>
  <c r="V2423" i="1"/>
  <c r="V2424" i="1" s="1"/>
  <c r="V2425" i="1" s="1"/>
  <c r="V2426" i="1" s="1"/>
  <c r="V2427" i="1" s="1"/>
  <c r="V2428" i="1" s="1"/>
  <c r="V2429" i="1" s="1"/>
  <c r="V2430" i="1" s="1"/>
  <c r="V2431" i="1" s="1"/>
  <c r="V2432" i="1" s="1"/>
  <c r="V2433" i="1" s="1"/>
  <c r="V2434" i="1" s="1"/>
  <c r="V2435" i="1" s="1"/>
  <c r="V2436" i="1" s="1"/>
  <c r="V2437" i="1" s="1"/>
  <c r="V2438" i="1" s="1"/>
  <c r="V2439" i="1" s="1"/>
  <c r="V2440" i="1" s="1"/>
  <c r="V2441" i="1" s="1"/>
  <c r="V2442" i="1" s="1"/>
  <c r="V2443" i="1" s="1"/>
  <c r="V2444" i="1" s="1"/>
  <c r="V2445" i="1" s="1"/>
  <c r="V2446" i="1" s="1"/>
  <c r="V2447" i="1" s="1"/>
  <c r="V2448" i="1" s="1"/>
  <c r="V2449" i="1" s="1"/>
  <c r="V2450" i="1" s="1"/>
  <c r="V2451" i="1" s="1"/>
  <c r="V2452" i="1" s="1"/>
  <c r="V2453" i="1" s="1"/>
  <c r="V2454" i="1" s="1"/>
  <c r="V2455" i="1" s="1"/>
  <c r="V2456" i="1" s="1"/>
  <c r="V2457" i="1" s="1"/>
  <c r="V2458" i="1" s="1"/>
  <c r="V2459" i="1" s="1"/>
  <c r="V2460" i="1" s="1"/>
  <c r="V2461" i="1" s="1"/>
  <c r="V2462" i="1" s="1"/>
  <c r="V2463" i="1" s="1"/>
  <c r="V2464" i="1" s="1"/>
  <c r="V2379" i="1"/>
  <c r="V2380" i="1" s="1"/>
  <c r="V2381" i="1" s="1"/>
  <c r="V2382" i="1" s="1"/>
  <c r="V2383" i="1" s="1"/>
  <c r="V2384" i="1" s="1"/>
  <c r="V2385" i="1" s="1"/>
  <c r="V2386" i="1" s="1"/>
  <c r="V2387" i="1" s="1"/>
  <c r="V2388" i="1" s="1"/>
  <c r="V2389" i="1" s="1"/>
  <c r="V2390" i="1" s="1"/>
  <c r="V2391" i="1" s="1"/>
  <c r="V2392" i="1" s="1"/>
  <c r="V2393" i="1" s="1"/>
  <c r="V2394" i="1" s="1"/>
  <c r="V2395" i="1" s="1"/>
  <c r="V2396" i="1" s="1"/>
  <c r="V2397" i="1" s="1"/>
  <c r="V2398" i="1" s="1"/>
  <c r="V2399" i="1" s="1"/>
  <c r="V2400" i="1" s="1"/>
  <c r="V2401" i="1" s="1"/>
  <c r="V2402" i="1" s="1"/>
  <c r="V2403" i="1" s="1"/>
  <c r="V2404" i="1" s="1"/>
  <c r="V2405" i="1" s="1"/>
  <c r="V2406" i="1" s="1"/>
  <c r="V2407" i="1" s="1"/>
  <c r="V2408" i="1" s="1"/>
  <c r="V2409" i="1" s="1"/>
  <c r="V2410" i="1" s="1"/>
  <c r="V2411" i="1" s="1"/>
  <c r="V2412" i="1" s="1"/>
  <c r="V2413" i="1" s="1"/>
  <c r="V2414" i="1" s="1"/>
  <c r="V2415" i="1" s="1"/>
  <c r="V2416" i="1" s="1"/>
  <c r="V2417" i="1" s="1"/>
  <c r="V2418" i="1" s="1"/>
  <c r="V2419" i="1" s="1"/>
  <c r="V2420" i="1" s="1"/>
  <c r="V2335" i="1"/>
  <c r="V2336" i="1" s="1"/>
  <c r="V2337" i="1" s="1"/>
  <c r="V2338" i="1" s="1"/>
  <c r="V2339" i="1" s="1"/>
  <c r="V2340" i="1" s="1"/>
  <c r="V2341" i="1" s="1"/>
  <c r="V2342" i="1" s="1"/>
  <c r="V2343" i="1" s="1"/>
  <c r="V2344" i="1" s="1"/>
  <c r="V2345" i="1" s="1"/>
  <c r="V2346" i="1" s="1"/>
  <c r="V2347" i="1" s="1"/>
  <c r="V2348" i="1" s="1"/>
  <c r="V2349" i="1" s="1"/>
  <c r="V2350" i="1" s="1"/>
  <c r="V2351" i="1" s="1"/>
  <c r="V2352" i="1" s="1"/>
  <c r="V2353" i="1" s="1"/>
  <c r="V2354" i="1" s="1"/>
  <c r="V2355" i="1" s="1"/>
  <c r="V2356" i="1" s="1"/>
  <c r="V2357" i="1" s="1"/>
  <c r="V2358" i="1" s="1"/>
  <c r="V2359" i="1" s="1"/>
  <c r="V2360" i="1" s="1"/>
  <c r="V2361" i="1" s="1"/>
  <c r="V2362" i="1" s="1"/>
  <c r="V2363" i="1" s="1"/>
  <c r="V2364" i="1" s="1"/>
  <c r="V2365" i="1" s="1"/>
  <c r="V2366" i="1" s="1"/>
  <c r="V2367" i="1" s="1"/>
  <c r="V2368" i="1" s="1"/>
  <c r="V2369" i="1" s="1"/>
  <c r="V2370" i="1" s="1"/>
  <c r="V2371" i="1" s="1"/>
  <c r="V2372" i="1" s="1"/>
  <c r="V2373" i="1" s="1"/>
  <c r="V2374" i="1" s="1"/>
  <c r="V2375" i="1" s="1"/>
  <c r="V2376" i="1" s="1"/>
  <c r="V2291" i="1"/>
  <c r="V2292" i="1" s="1"/>
  <c r="V2293" i="1" s="1"/>
  <c r="V2294" i="1" s="1"/>
  <c r="V2295" i="1" s="1"/>
  <c r="V2296" i="1" s="1"/>
  <c r="V2297" i="1" s="1"/>
  <c r="V2298" i="1" s="1"/>
  <c r="V2299" i="1" s="1"/>
  <c r="V2300" i="1" s="1"/>
  <c r="V2301" i="1" s="1"/>
  <c r="V2302" i="1" s="1"/>
  <c r="V2303" i="1" s="1"/>
  <c r="V2304" i="1" s="1"/>
  <c r="V2305" i="1" s="1"/>
  <c r="V2306" i="1" s="1"/>
  <c r="V2307" i="1" s="1"/>
  <c r="V2308" i="1" s="1"/>
  <c r="V2309" i="1" s="1"/>
  <c r="V2310" i="1" s="1"/>
  <c r="V2311" i="1" s="1"/>
  <c r="V2312" i="1" s="1"/>
  <c r="V2313" i="1" s="1"/>
  <c r="V2314" i="1" s="1"/>
  <c r="V2315" i="1" s="1"/>
  <c r="V2316" i="1" s="1"/>
  <c r="V2317" i="1" s="1"/>
  <c r="V2318" i="1" s="1"/>
  <c r="V2319" i="1" s="1"/>
  <c r="V2320" i="1" s="1"/>
  <c r="V2321" i="1" s="1"/>
  <c r="V2322" i="1" s="1"/>
  <c r="V2323" i="1" s="1"/>
  <c r="V2324" i="1" s="1"/>
  <c r="V2325" i="1" s="1"/>
  <c r="V2326" i="1" s="1"/>
  <c r="V2327" i="1" s="1"/>
  <c r="V2328" i="1" s="1"/>
  <c r="V2329" i="1" s="1"/>
  <c r="V2330" i="1" s="1"/>
  <c r="V2331" i="1" s="1"/>
  <c r="V2332" i="1" s="1"/>
  <c r="V2247" i="1"/>
  <c r="V2248" i="1" s="1"/>
  <c r="V2249" i="1" s="1"/>
  <c r="V2250" i="1" s="1"/>
  <c r="V2251" i="1" s="1"/>
  <c r="V2252" i="1" s="1"/>
  <c r="V2253" i="1" s="1"/>
  <c r="V2254" i="1" s="1"/>
  <c r="V2255" i="1" s="1"/>
  <c r="V2256" i="1" s="1"/>
  <c r="V2257" i="1" s="1"/>
  <c r="V2258" i="1" s="1"/>
  <c r="V2259" i="1" s="1"/>
  <c r="V2260" i="1" s="1"/>
  <c r="V2261" i="1" s="1"/>
  <c r="V2262" i="1" s="1"/>
  <c r="V2263" i="1" s="1"/>
  <c r="V2264" i="1" s="1"/>
  <c r="V2265" i="1" s="1"/>
  <c r="V2266" i="1" s="1"/>
  <c r="V2267" i="1" s="1"/>
  <c r="V2268" i="1" s="1"/>
  <c r="V2269" i="1" s="1"/>
  <c r="V2270" i="1" s="1"/>
  <c r="V2271" i="1" s="1"/>
  <c r="V2272" i="1" s="1"/>
  <c r="V2273" i="1" s="1"/>
  <c r="V2274" i="1" s="1"/>
  <c r="V2275" i="1" s="1"/>
  <c r="V2276" i="1" s="1"/>
  <c r="V2277" i="1" s="1"/>
  <c r="V2278" i="1" s="1"/>
  <c r="V2279" i="1" s="1"/>
  <c r="V2280" i="1" s="1"/>
  <c r="V2281" i="1" s="1"/>
  <c r="V2282" i="1" s="1"/>
  <c r="V2283" i="1" s="1"/>
  <c r="V2284" i="1" s="1"/>
  <c r="V2285" i="1" s="1"/>
  <c r="V2286" i="1" s="1"/>
  <c r="V2287" i="1" s="1"/>
  <c r="V2288" i="1" s="1"/>
  <c r="V2203" i="1"/>
  <c r="V2204" i="1" s="1"/>
  <c r="V2205" i="1" s="1"/>
  <c r="V2206" i="1" s="1"/>
  <c r="V2207" i="1" s="1"/>
  <c r="V2208" i="1" s="1"/>
  <c r="V2209" i="1" s="1"/>
  <c r="V2210" i="1" s="1"/>
  <c r="V2211" i="1" s="1"/>
  <c r="V2212" i="1" s="1"/>
  <c r="V2213" i="1" s="1"/>
  <c r="V2214" i="1" s="1"/>
  <c r="V2215" i="1" s="1"/>
  <c r="V2216" i="1" s="1"/>
  <c r="V2217" i="1" s="1"/>
  <c r="V2218" i="1" s="1"/>
  <c r="V2219" i="1" s="1"/>
  <c r="V2220" i="1" s="1"/>
  <c r="V2221" i="1" s="1"/>
  <c r="V2222" i="1" s="1"/>
  <c r="V2223" i="1" s="1"/>
  <c r="V2224" i="1" s="1"/>
  <c r="V2225" i="1" s="1"/>
  <c r="V2226" i="1" s="1"/>
  <c r="V2227" i="1" s="1"/>
  <c r="V2228" i="1" s="1"/>
  <c r="V2229" i="1" s="1"/>
  <c r="V2230" i="1" s="1"/>
  <c r="V2231" i="1" s="1"/>
  <c r="V2232" i="1" s="1"/>
  <c r="V2233" i="1" s="1"/>
  <c r="V2234" i="1" s="1"/>
  <c r="V2235" i="1" s="1"/>
  <c r="V2236" i="1" s="1"/>
  <c r="V2237" i="1" s="1"/>
  <c r="V2238" i="1" s="1"/>
  <c r="V2239" i="1" s="1"/>
  <c r="V2240" i="1" s="1"/>
  <c r="V2241" i="1" s="1"/>
  <c r="V2242" i="1" s="1"/>
  <c r="V2243" i="1" s="1"/>
  <c r="V2244" i="1" s="1"/>
  <c r="V2159" i="1"/>
  <c r="V2160" i="1" s="1"/>
  <c r="V2161" i="1" s="1"/>
  <c r="V2162" i="1" s="1"/>
  <c r="V2163" i="1" s="1"/>
  <c r="V2164" i="1" s="1"/>
  <c r="V2165" i="1" s="1"/>
  <c r="V2166" i="1" s="1"/>
  <c r="V2167" i="1" s="1"/>
  <c r="V2168" i="1" s="1"/>
  <c r="V2169" i="1" s="1"/>
  <c r="V2170" i="1" s="1"/>
  <c r="V2171" i="1" s="1"/>
  <c r="V2172" i="1" s="1"/>
  <c r="V2173" i="1" s="1"/>
  <c r="V2174" i="1" s="1"/>
  <c r="V2175" i="1" s="1"/>
  <c r="V2176" i="1" s="1"/>
  <c r="V2177" i="1" s="1"/>
  <c r="V2178" i="1" s="1"/>
  <c r="V2179" i="1" s="1"/>
  <c r="V2180" i="1" s="1"/>
  <c r="V2181" i="1" s="1"/>
  <c r="V2182" i="1" s="1"/>
  <c r="V2183" i="1" s="1"/>
  <c r="V2184" i="1" s="1"/>
  <c r="V2185" i="1" s="1"/>
  <c r="V2186" i="1" s="1"/>
  <c r="V2187" i="1" s="1"/>
  <c r="V2188" i="1" s="1"/>
  <c r="V2189" i="1" s="1"/>
  <c r="V2190" i="1" s="1"/>
  <c r="V2191" i="1" s="1"/>
  <c r="V2192" i="1" s="1"/>
  <c r="V2193" i="1" s="1"/>
  <c r="V2194" i="1" s="1"/>
  <c r="V2195" i="1" s="1"/>
  <c r="V2196" i="1" s="1"/>
  <c r="V2197" i="1" s="1"/>
  <c r="V2198" i="1" s="1"/>
  <c r="V2199" i="1" s="1"/>
  <c r="V2200" i="1" s="1"/>
  <c r="V2115" i="1"/>
  <c r="V2116" i="1" s="1"/>
  <c r="V2117" i="1" s="1"/>
  <c r="V2118" i="1" s="1"/>
  <c r="V2119" i="1" s="1"/>
  <c r="V2120" i="1" s="1"/>
  <c r="V2121" i="1" s="1"/>
  <c r="V2122" i="1" s="1"/>
  <c r="V2123" i="1" s="1"/>
  <c r="V2124" i="1" s="1"/>
  <c r="V2125" i="1" s="1"/>
  <c r="V2126" i="1" s="1"/>
  <c r="V2127" i="1" s="1"/>
  <c r="V2128" i="1" s="1"/>
  <c r="V2129" i="1" s="1"/>
  <c r="V2130" i="1" s="1"/>
  <c r="V2131" i="1" s="1"/>
  <c r="V2132" i="1" s="1"/>
  <c r="V2133" i="1" s="1"/>
  <c r="V2134" i="1" s="1"/>
  <c r="V2135" i="1" s="1"/>
  <c r="V2136" i="1" s="1"/>
  <c r="V2137" i="1" s="1"/>
  <c r="V2138" i="1" s="1"/>
  <c r="V2139" i="1" s="1"/>
  <c r="V2140" i="1" s="1"/>
  <c r="V2141" i="1" s="1"/>
  <c r="V2142" i="1" s="1"/>
  <c r="V2143" i="1" s="1"/>
  <c r="V2144" i="1" s="1"/>
  <c r="V2145" i="1" s="1"/>
  <c r="V2146" i="1" s="1"/>
  <c r="V2147" i="1" s="1"/>
  <c r="V2148" i="1" s="1"/>
  <c r="V2149" i="1" s="1"/>
  <c r="V2150" i="1" s="1"/>
  <c r="V2151" i="1" s="1"/>
  <c r="V2152" i="1" s="1"/>
  <c r="V2153" i="1" s="1"/>
  <c r="V2154" i="1" s="1"/>
  <c r="V2155" i="1" s="1"/>
  <c r="V2156" i="1" s="1"/>
  <c r="V2071" i="1"/>
  <c r="V2072" i="1" s="1"/>
  <c r="V2073" i="1" s="1"/>
  <c r="V2074" i="1" s="1"/>
  <c r="V2075" i="1" s="1"/>
  <c r="V2076" i="1" s="1"/>
  <c r="V2077" i="1" s="1"/>
  <c r="V2078" i="1" s="1"/>
  <c r="V2079" i="1" s="1"/>
  <c r="V2080" i="1" s="1"/>
  <c r="V2081" i="1" s="1"/>
  <c r="V2082" i="1" s="1"/>
  <c r="V2083" i="1" s="1"/>
  <c r="V2084" i="1" s="1"/>
  <c r="V2085" i="1" s="1"/>
  <c r="V2086" i="1" s="1"/>
  <c r="V2087" i="1" s="1"/>
  <c r="V2088" i="1" s="1"/>
  <c r="V2089" i="1" s="1"/>
  <c r="V2090" i="1" s="1"/>
  <c r="V2091" i="1" s="1"/>
  <c r="V2092" i="1" s="1"/>
  <c r="V2093" i="1" s="1"/>
  <c r="V2094" i="1" s="1"/>
  <c r="V2095" i="1" s="1"/>
  <c r="V2096" i="1" s="1"/>
  <c r="V2097" i="1" s="1"/>
  <c r="V2098" i="1" s="1"/>
  <c r="V2099" i="1" s="1"/>
  <c r="V2100" i="1" s="1"/>
  <c r="V2101" i="1" s="1"/>
  <c r="V2102" i="1" s="1"/>
  <c r="V2103" i="1" s="1"/>
  <c r="V2104" i="1" s="1"/>
  <c r="V2105" i="1" s="1"/>
  <c r="V2106" i="1" s="1"/>
  <c r="V2107" i="1" s="1"/>
  <c r="V2108" i="1" s="1"/>
  <c r="V2109" i="1" s="1"/>
  <c r="V2110" i="1" s="1"/>
  <c r="V2111" i="1" s="1"/>
  <c r="V2112" i="1" s="1"/>
  <c r="V2027" i="1"/>
  <c r="V2028" i="1" s="1"/>
  <c r="V2029" i="1" s="1"/>
  <c r="V2030" i="1" s="1"/>
  <c r="V2031" i="1" s="1"/>
  <c r="V2032" i="1" s="1"/>
  <c r="V2033" i="1" s="1"/>
  <c r="V2034" i="1" s="1"/>
  <c r="V2035" i="1" s="1"/>
  <c r="V2036" i="1" s="1"/>
  <c r="V2037" i="1" s="1"/>
  <c r="V2038" i="1" s="1"/>
  <c r="V2039" i="1" s="1"/>
  <c r="V2040" i="1" s="1"/>
  <c r="V2041" i="1" s="1"/>
  <c r="V2042" i="1" s="1"/>
  <c r="V2043" i="1" s="1"/>
  <c r="V2044" i="1" s="1"/>
  <c r="V2045" i="1" s="1"/>
  <c r="V2046" i="1" s="1"/>
  <c r="V2047" i="1" s="1"/>
  <c r="V2048" i="1" s="1"/>
  <c r="V2049" i="1" s="1"/>
  <c r="V2050" i="1" s="1"/>
  <c r="V2051" i="1" s="1"/>
  <c r="V2052" i="1" s="1"/>
  <c r="V2053" i="1" s="1"/>
  <c r="V2054" i="1" s="1"/>
  <c r="V2055" i="1" s="1"/>
  <c r="V2056" i="1" s="1"/>
  <c r="V2057" i="1" s="1"/>
  <c r="V2058" i="1" s="1"/>
  <c r="V2059" i="1" s="1"/>
  <c r="V2060" i="1" s="1"/>
  <c r="V2061" i="1" s="1"/>
  <c r="V2062" i="1" s="1"/>
  <c r="V2063" i="1" s="1"/>
  <c r="V2064" i="1" s="1"/>
  <c r="V2065" i="1" s="1"/>
  <c r="V2066" i="1" s="1"/>
  <c r="V2067" i="1" s="1"/>
  <c r="V2068" i="1" s="1"/>
  <c r="V1983" i="1"/>
  <c r="V1984" i="1" s="1"/>
  <c r="V1985" i="1" s="1"/>
  <c r="V1986" i="1" s="1"/>
  <c r="V1987" i="1" s="1"/>
  <c r="V1988" i="1" s="1"/>
  <c r="V1989" i="1" s="1"/>
  <c r="V1990" i="1" s="1"/>
  <c r="V1991" i="1" s="1"/>
  <c r="V1992" i="1" s="1"/>
  <c r="V1993" i="1" s="1"/>
  <c r="V1994" i="1" s="1"/>
  <c r="V1995" i="1" s="1"/>
  <c r="V1996" i="1" s="1"/>
  <c r="V1997" i="1" s="1"/>
  <c r="V1998" i="1" s="1"/>
  <c r="V1999" i="1" s="1"/>
  <c r="V2000" i="1" s="1"/>
  <c r="V2001" i="1" s="1"/>
  <c r="V2002" i="1" s="1"/>
  <c r="V2003" i="1" s="1"/>
  <c r="V2004" i="1" s="1"/>
  <c r="V2005" i="1" s="1"/>
  <c r="V2006" i="1" s="1"/>
  <c r="V2007" i="1" s="1"/>
  <c r="V2008" i="1" s="1"/>
  <c r="V2009" i="1" s="1"/>
  <c r="V2010" i="1" s="1"/>
  <c r="V2011" i="1" s="1"/>
  <c r="V2012" i="1" s="1"/>
  <c r="V2013" i="1" s="1"/>
  <c r="V2014" i="1" s="1"/>
  <c r="V2015" i="1" s="1"/>
  <c r="V2016" i="1" s="1"/>
  <c r="V2017" i="1" s="1"/>
  <c r="V2018" i="1" s="1"/>
  <c r="V2019" i="1" s="1"/>
  <c r="V2020" i="1" s="1"/>
  <c r="V2021" i="1" s="1"/>
  <c r="V2022" i="1" s="1"/>
  <c r="V2023" i="1" s="1"/>
  <c r="V2024" i="1" s="1"/>
  <c r="V1939" i="1"/>
  <c r="V1940" i="1" s="1"/>
  <c r="V1941" i="1" s="1"/>
  <c r="V1942" i="1" s="1"/>
  <c r="V1943" i="1" s="1"/>
  <c r="V1944" i="1" s="1"/>
  <c r="V1945" i="1" s="1"/>
  <c r="V1946" i="1" s="1"/>
  <c r="V1947" i="1" s="1"/>
  <c r="V1948" i="1" s="1"/>
  <c r="V1949" i="1" s="1"/>
  <c r="V1950" i="1" s="1"/>
  <c r="V1951" i="1" s="1"/>
  <c r="V1952" i="1" s="1"/>
  <c r="V1953" i="1" s="1"/>
  <c r="V1954" i="1" s="1"/>
  <c r="V1955" i="1" s="1"/>
  <c r="V1956" i="1" s="1"/>
  <c r="V1957" i="1" s="1"/>
  <c r="V1958" i="1" s="1"/>
  <c r="V1959" i="1" s="1"/>
  <c r="V1960" i="1" s="1"/>
  <c r="V1961" i="1" s="1"/>
  <c r="V1962" i="1" s="1"/>
  <c r="V1963" i="1" s="1"/>
  <c r="V1964" i="1" s="1"/>
  <c r="V1965" i="1" s="1"/>
  <c r="V1966" i="1" s="1"/>
  <c r="V1967" i="1" s="1"/>
  <c r="V1968" i="1" s="1"/>
  <c r="V1969" i="1" s="1"/>
  <c r="V1970" i="1" s="1"/>
  <c r="V1971" i="1" s="1"/>
  <c r="V1972" i="1" s="1"/>
  <c r="V1973" i="1" s="1"/>
  <c r="V1974" i="1" s="1"/>
  <c r="V1975" i="1" s="1"/>
  <c r="V1976" i="1" s="1"/>
  <c r="V1977" i="1" s="1"/>
  <c r="V1978" i="1" s="1"/>
  <c r="V1979" i="1" s="1"/>
  <c r="V1980" i="1" s="1"/>
  <c r="V1895" i="1"/>
  <c r="V1896" i="1" s="1"/>
  <c r="V1897" i="1" s="1"/>
  <c r="V1898" i="1" s="1"/>
  <c r="V1899" i="1" s="1"/>
  <c r="V1900" i="1" s="1"/>
  <c r="V1901" i="1" s="1"/>
  <c r="V1902" i="1" s="1"/>
  <c r="V1903" i="1" s="1"/>
  <c r="V1904" i="1" s="1"/>
  <c r="V1905" i="1" s="1"/>
  <c r="V1906" i="1" s="1"/>
  <c r="V1907" i="1" s="1"/>
  <c r="V1908" i="1" s="1"/>
  <c r="V1909" i="1" s="1"/>
  <c r="V1910" i="1" s="1"/>
  <c r="V1911" i="1" s="1"/>
  <c r="V1912" i="1" s="1"/>
  <c r="V1913" i="1" s="1"/>
  <c r="V1914" i="1" s="1"/>
  <c r="V1915" i="1" s="1"/>
  <c r="V1916" i="1" s="1"/>
  <c r="V1917" i="1" s="1"/>
  <c r="V1918" i="1" s="1"/>
  <c r="V1919" i="1" s="1"/>
  <c r="V1920" i="1" s="1"/>
  <c r="V1921" i="1" s="1"/>
  <c r="V1922" i="1" s="1"/>
  <c r="V1923" i="1" s="1"/>
  <c r="V1924" i="1" s="1"/>
  <c r="V1925" i="1" s="1"/>
  <c r="V1926" i="1" s="1"/>
  <c r="V1927" i="1" s="1"/>
  <c r="V1928" i="1" s="1"/>
  <c r="V1929" i="1" s="1"/>
  <c r="V1930" i="1" s="1"/>
  <c r="V1931" i="1" s="1"/>
  <c r="V1932" i="1" s="1"/>
  <c r="V1933" i="1" s="1"/>
  <c r="V1934" i="1" s="1"/>
  <c r="V1935" i="1" s="1"/>
  <c r="V1936" i="1" s="1"/>
  <c r="V1851" i="1"/>
  <c r="V1852" i="1" s="1"/>
  <c r="V1853" i="1" s="1"/>
  <c r="V1854" i="1" s="1"/>
  <c r="V1855" i="1" s="1"/>
  <c r="V1856" i="1" s="1"/>
  <c r="V1857" i="1" s="1"/>
  <c r="V1858" i="1" s="1"/>
  <c r="V1859" i="1" s="1"/>
  <c r="V1860" i="1" s="1"/>
  <c r="V1861" i="1" s="1"/>
  <c r="V1862" i="1" s="1"/>
  <c r="V1863" i="1" s="1"/>
  <c r="V1864" i="1" s="1"/>
  <c r="V1865" i="1" s="1"/>
  <c r="V1866" i="1" s="1"/>
  <c r="V1867" i="1" s="1"/>
  <c r="V1868" i="1" s="1"/>
  <c r="V1869" i="1" s="1"/>
  <c r="V1870" i="1" s="1"/>
  <c r="V1871" i="1" s="1"/>
  <c r="V1872" i="1" s="1"/>
  <c r="V1873" i="1" s="1"/>
  <c r="V1874" i="1" s="1"/>
  <c r="V1875" i="1" s="1"/>
  <c r="V1876" i="1" s="1"/>
  <c r="V1877" i="1" s="1"/>
  <c r="V1878" i="1" s="1"/>
  <c r="V1879" i="1" s="1"/>
  <c r="V1880" i="1" s="1"/>
  <c r="V1881" i="1" s="1"/>
  <c r="V1882" i="1" s="1"/>
  <c r="V1883" i="1" s="1"/>
  <c r="V1884" i="1" s="1"/>
  <c r="V1885" i="1" s="1"/>
  <c r="V1886" i="1" s="1"/>
  <c r="V1887" i="1" s="1"/>
  <c r="V1888" i="1" s="1"/>
  <c r="V1889" i="1" s="1"/>
  <c r="V1890" i="1" s="1"/>
  <c r="V1891" i="1" s="1"/>
  <c r="V1892" i="1" s="1"/>
  <c r="V1807" i="1"/>
  <c r="V1808" i="1" s="1"/>
  <c r="V1809" i="1" s="1"/>
  <c r="V1810" i="1" s="1"/>
  <c r="V1811" i="1" s="1"/>
  <c r="V1812" i="1" s="1"/>
  <c r="V1813" i="1" s="1"/>
  <c r="V1814" i="1" s="1"/>
  <c r="V1815" i="1" s="1"/>
  <c r="V1816" i="1" s="1"/>
  <c r="V1817" i="1" s="1"/>
  <c r="V1818" i="1" s="1"/>
  <c r="V1819" i="1" s="1"/>
  <c r="V1820" i="1" s="1"/>
  <c r="V1821" i="1" s="1"/>
  <c r="V1822" i="1" s="1"/>
  <c r="V1823" i="1" s="1"/>
  <c r="V1824" i="1" s="1"/>
  <c r="V1825" i="1" s="1"/>
  <c r="V1826" i="1" s="1"/>
  <c r="V1827" i="1" s="1"/>
  <c r="V1828" i="1" s="1"/>
  <c r="V1829" i="1" s="1"/>
  <c r="V1830" i="1" s="1"/>
  <c r="V1831" i="1" s="1"/>
  <c r="V1832" i="1" s="1"/>
  <c r="V1833" i="1" s="1"/>
  <c r="V1834" i="1" s="1"/>
  <c r="V1835" i="1" s="1"/>
  <c r="V1836" i="1" s="1"/>
  <c r="V1837" i="1" s="1"/>
  <c r="V1838" i="1" s="1"/>
  <c r="V1839" i="1" s="1"/>
  <c r="V1840" i="1" s="1"/>
  <c r="V1841" i="1" s="1"/>
  <c r="V1842" i="1" s="1"/>
  <c r="V1843" i="1" s="1"/>
  <c r="V1844" i="1" s="1"/>
  <c r="V1845" i="1" s="1"/>
  <c r="V1846" i="1" s="1"/>
  <c r="V1847" i="1" s="1"/>
  <c r="V1848" i="1" s="1"/>
  <c r="V1763" i="1"/>
  <c r="V1764" i="1" s="1"/>
  <c r="V1765" i="1" s="1"/>
  <c r="V1766" i="1" s="1"/>
  <c r="V1767" i="1" s="1"/>
  <c r="V1768" i="1" s="1"/>
  <c r="V1769" i="1" s="1"/>
  <c r="V1770" i="1" s="1"/>
  <c r="V1771" i="1" s="1"/>
  <c r="V1772" i="1" s="1"/>
  <c r="V1773" i="1" s="1"/>
  <c r="V1774" i="1" s="1"/>
  <c r="V1775" i="1" s="1"/>
  <c r="V1776" i="1" s="1"/>
  <c r="V1777" i="1" s="1"/>
  <c r="V1778" i="1" s="1"/>
  <c r="V1779" i="1" s="1"/>
  <c r="V1780" i="1" s="1"/>
  <c r="V1781" i="1" s="1"/>
  <c r="V1782" i="1" s="1"/>
  <c r="V1783" i="1" s="1"/>
  <c r="V1784" i="1" s="1"/>
  <c r="V1785" i="1" s="1"/>
  <c r="V1786" i="1" s="1"/>
  <c r="V1787" i="1" s="1"/>
  <c r="V1788" i="1" s="1"/>
  <c r="V1789" i="1" s="1"/>
  <c r="V1790" i="1" s="1"/>
  <c r="V1791" i="1" s="1"/>
  <c r="V1792" i="1" s="1"/>
  <c r="V1793" i="1" s="1"/>
  <c r="V1794" i="1" s="1"/>
  <c r="V1795" i="1" s="1"/>
  <c r="V1796" i="1" s="1"/>
  <c r="V1797" i="1" s="1"/>
  <c r="V1798" i="1" s="1"/>
  <c r="V1799" i="1" s="1"/>
  <c r="V1800" i="1" s="1"/>
  <c r="V1801" i="1" s="1"/>
  <c r="V1802" i="1" s="1"/>
  <c r="V1803" i="1" s="1"/>
  <c r="V1804" i="1" s="1"/>
  <c r="V1719" i="1"/>
  <c r="V1720" i="1" s="1"/>
  <c r="V1721" i="1" s="1"/>
  <c r="V1722" i="1" s="1"/>
  <c r="V1723" i="1" s="1"/>
  <c r="V1724" i="1" s="1"/>
  <c r="V1725" i="1" s="1"/>
  <c r="V1726" i="1" s="1"/>
  <c r="V1727" i="1" s="1"/>
  <c r="V1728" i="1" s="1"/>
  <c r="V1729" i="1" s="1"/>
  <c r="V1730" i="1" s="1"/>
  <c r="V1731" i="1" s="1"/>
  <c r="V1732" i="1" s="1"/>
  <c r="V1733" i="1" s="1"/>
  <c r="V1734" i="1" s="1"/>
  <c r="V1735" i="1" s="1"/>
  <c r="V1736" i="1" s="1"/>
  <c r="V1737" i="1" s="1"/>
  <c r="V1738" i="1" s="1"/>
  <c r="V1739" i="1" s="1"/>
  <c r="V1740" i="1" s="1"/>
  <c r="V1741" i="1" s="1"/>
  <c r="V1742" i="1" s="1"/>
  <c r="V1743" i="1" s="1"/>
  <c r="V1744" i="1" s="1"/>
  <c r="V1745" i="1" s="1"/>
  <c r="V1746" i="1" s="1"/>
  <c r="V1747" i="1" s="1"/>
  <c r="V1748" i="1" s="1"/>
  <c r="V1749" i="1" s="1"/>
  <c r="V1750" i="1" s="1"/>
  <c r="V1751" i="1" s="1"/>
  <c r="V1752" i="1" s="1"/>
  <c r="V1753" i="1" s="1"/>
  <c r="V1754" i="1" s="1"/>
  <c r="V1755" i="1" s="1"/>
  <c r="V1756" i="1" s="1"/>
  <c r="V1757" i="1" s="1"/>
  <c r="V1758" i="1" s="1"/>
  <c r="V1759" i="1" s="1"/>
  <c r="V1760" i="1" s="1"/>
  <c r="V1675" i="1"/>
  <c r="V1676" i="1" s="1"/>
  <c r="V1677" i="1" s="1"/>
  <c r="V1678" i="1" s="1"/>
  <c r="V1679" i="1" s="1"/>
  <c r="V1680" i="1" s="1"/>
  <c r="V1681" i="1" s="1"/>
  <c r="V1682" i="1" s="1"/>
  <c r="V1683" i="1" s="1"/>
  <c r="V1684" i="1" s="1"/>
  <c r="V1685" i="1" s="1"/>
  <c r="V1686" i="1" s="1"/>
  <c r="V1687" i="1" s="1"/>
  <c r="V1688" i="1" s="1"/>
  <c r="V1689" i="1" s="1"/>
  <c r="V1690" i="1" s="1"/>
  <c r="V1691" i="1" s="1"/>
  <c r="V1692" i="1" s="1"/>
  <c r="V1693" i="1" s="1"/>
  <c r="V1694" i="1" s="1"/>
  <c r="V1695" i="1" s="1"/>
  <c r="V1696" i="1" s="1"/>
  <c r="V1697" i="1" s="1"/>
  <c r="V1698" i="1" s="1"/>
  <c r="V1699" i="1" s="1"/>
  <c r="V1700" i="1" s="1"/>
  <c r="V1701" i="1" s="1"/>
  <c r="V1702" i="1" s="1"/>
  <c r="V1703" i="1" s="1"/>
  <c r="V1704" i="1" s="1"/>
  <c r="V1705" i="1" s="1"/>
  <c r="V1706" i="1" s="1"/>
  <c r="V1707" i="1" s="1"/>
  <c r="V1708" i="1" s="1"/>
  <c r="V1709" i="1" s="1"/>
  <c r="V1710" i="1" s="1"/>
  <c r="V1711" i="1" s="1"/>
  <c r="V1712" i="1" s="1"/>
  <c r="V1713" i="1" s="1"/>
  <c r="V1714" i="1" s="1"/>
  <c r="V1715" i="1" s="1"/>
  <c r="V1716" i="1" s="1"/>
  <c r="V1631" i="1"/>
  <c r="V1632" i="1" s="1"/>
  <c r="V1633" i="1" s="1"/>
  <c r="V1634" i="1" s="1"/>
  <c r="V1635" i="1" s="1"/>
  <c r="V1636" i="1" s="1"/>
  <c r="V1637" i="1" s="1"/>
  <c r="V1638" i="1" s="1"/>
  <c r="V1639" i="1" s="1"/>
  <c r="V1640" i="1" s="1"/>
  <c r="V1641" i="1" s="1"/>
  <c r="V1642" i="1" s="1"/>
  <c r="V1643" i="1" s="1"/>
  <c r="V1644" i="1" s="1"/>
  <c r="V1645" i="1" s="1"/>
  <c r="V1646" i="1" s="1"/>
  <c r="V1647" i="1" s="1"/>
  <c r="V1648" i="1" s="1"/>
  <c r="V1649" i="1" s="1"/>
  <c r="V1650" i="1" s="1"/>
  <c r="V1651" i="1" s="1"/>
  <c r="V1652" i="1" s="1"/>
  <c r="V1653" i="1" s="1"/>
  <c r="V1654" i="1" s="1"/>
  <c r="V1655" i="1" s="1"/>
  <c r="V1656" i="1" s="1"/>
  <c r="V1657" i="1" s="1"/>
  <c r="V1658" i="1" s="1"/>
  <c r="V1659" i="1" s="1"/>
  <c r="V1660" i="1" s="1"/>
  <c r="V1661" i="1" s="1"/>
  <c r="V1662" i="1" s="1"/>
  <c r="V1663" i="1" s="1"/>
  <c r="V1664" i="1" s="1"/>
  <c r="V1665" i="1" s="1"/>
  <c r="V1666" i="1" s="1"/>
  <c r="V1667" i="1" s="1"/>
  <c r="V1668" i="1" s="1"/>
  <c r="V1669" i="1" s="1"/>
  <c r="V1670" i="1" s="1"/>
  <c r="V1671" i="1" s="1"/>
  <c r="V1672" i="1" s="1"/>
  <c r="V1587" i="1"/>
  <c r="V1588" i="1" s="1"/>
  <c r="V1589" i="1" s="1"/>
  <c r="V1590" i="1" s="1"/>
  <c r="V1591" i="1" s="1"/>
  <c r="V1592" i="1" s="1"/>
  <c r="V1593" i="1" s="1"/>
  <c r="V1594" i="1" s="1"/>
  <c r="V1595" i="1" s="1"/>
  <c r="V1596" i="1" s="1"/>
  <c r="V1597" i="1" s="1"/>
  <c r="V1598" i="1" s="1"/>
  <c r="V1599" i="1" s="1"/>
  <c r="V1600" i="1" s="1"/>
  <c r="V1601" i="1" s="1"/>
  <c r="V1602" i="1" s="1"/>
  <c r="V1603" i="1" s="1"/>
  <c r="V1604" i="1" s="1"/>
  <c r="V1605" i="1" s="1"/>
  <c r="V1606" i="1" s="1"/>
  <c r="V1607" i="1" s="1"/>
  <c r="V1608" i="1" s="1"/>
  <c r="V1609" i="1" s="1"/>
  <c r="V1610" i="1" s="1"/>
  <c r="V1611" i="1" s="1"/>
  <c r="V1612" i="1" s="1"/>
  <c r="V1613" i="1" s="1"/>
  <c r="V1614" i="1" s="1"/>
  <c r="V1615" i="1" s="1"/>
  <c r="V1616" i="1" s="1"/>
  <c r="V1617" i="1" s="1"/>
  <c r="V1618" i="1" s="1"/>
  <c r="V1619" i="1" s="1"/>
  <c r="V1620" i="1" s="1"/>
  <c r="V1621" i="1" s="1"/>
  <c r="V1622" i="1" s="1"/>
  <c r="V1623" i="1" s="1"/>
  <c r="V1624" i="1" s="1"/>
  <c r="V1625" i="1" s="1"/>
  <c r="V1626" i="1" s="1"/>
  <c r="V1627" i="1" s="1"/>
  <c r="V1628" i="1" s="1"/>
  <c r="V1543" i="1"/>
  <c r="V1544" i="1" s="1"/>
  <c r="V1545" i="1" s="1"/>
  <c r="V1546" i="1" s="1"/>
  <c r="V1547" i="1" s="1"/>
  <c r="V1548" i="1" s="1"/>
  <c r="V1549" i="1" s="1"/>
  <c r="V1550" i="1" s="1"/>
  <c r="V1551" i="1" s="1"/>
  <c r="V1552" i="1" s="1"/>
  <c r="V1553" i="1" s="1"/>
  <c r="V1554" i="1" s="1"/>
  <c r="V1555" i="1" s="1"/>
  <c r="V1556" i="1" s="1"/>
  <c r="V1557" i="1" s="1"/>
  <c r="V1558" i="1" s="1"/>
  <c r="V1559" i="1" s="1"/>
  <c r="V1560" i="1" s="1"/>
  <c r="V1561" i="1" s="1"/>
  <c r="V1562" i="1" s="1"/>
  <c r="V1563" i="1" s="1"/>
  <c r="V1564" i="1" s="1"/>
  <c r="V1565" i="1" s="1"/>
  <c r="V1566" i="1" s="1"/>
  <c r="V1567" i="1" s="1"/>
  <c r="V1568" i="1" s="1"/>
  <c r="V1569" i="1" s="1"/>
  <c r="V1570" i="1" s="1"/>
  <c r="V1571" i="1" s="1"/>
  <c r="V1572" i="1" s="1"/>
  <c r="V1573" i="1" s="1"/>
  <c r="V1574" i="1" s="1"/>
  <c r="V1575" i="1" s="1"/>
  <c r="V1576" i="1" s="1"/>
  <c r="V1577" i="1" s="1"/>
  <c r="V1578" i="1" s="1"/>
  <c r="V1579" i="1" s="1"/>
  <c r="V1580" i="1" s="1"/>
  <c r="V1581" i="1" s="1"/>
  <c r="V1582" i="1" s="1"/>
  <c r="V1583" i="1" s="1"/>
  <c r="V1584" i="1" s="1"/>
  <c r="V1499" i="1"/>
  <c r="V1500" i="1" s="1"/>
  <c r="V1501" i="1" s="1"/>
  <c r="V1502" i="1" s="1"/>
  <c r="V1503" i="1" s="1"/>
  <c r="V1504" i="1" s="1"/>
  <c r="V1505" i="1" s="1"/>
  <c r="V1506" i="1" s="1"/>
  <c r="V1507" i="1" s="1"/>
  <c r="V1508" i="1" s="1"/>
  <c r="V1509" i="1" s="1"/>
  <c r="V1510" i="1" s="1"/>
  <c r="V1511" i="1" s="1"/>
  <c r="V1512" i="1" s="1"/>
  <c r="V1513" i="1" s="1"/>
  <c r="V1514" i="1" s="1"/>
  <c r="V1515" i="1" s="1"/>
  <c r="V1516" i="1" s="1"/>
  <c r="V1517" i="1" s="1"/>
  <c r="V1518" i="1" s="1"/>
  <c r="V1519" i="1" s="1"/>
  <c r="V1520" i="1" s="1"/>
  <c r="V1521" i="1" s="1"/>
  <c r="V1522" i="1" s="1"/>
  <c r="V1523" i="1" s="1"/>
  <c r="V1524" i="1" s="1"/>
  <c r="V1525" i="1" s="1"/>
  <c r="V1526" i="1" s="1"/>
  <c r="V1527" i="1" s="1"/>
  <c r="V1528" i="1" s="1"/>
  <c r="V1529" i="1" s="1"/>
  <c r="V1530" i="1" s="1"/>
  <c r="V1531" i="1" s="1"/>
  <c r="V1532" i="1" s="1"/>
  <c r="V1533" i="1" s="1"/>
  <c r="V1534" i="1" s="1"/>
  <c r="V1535" i="1" s="1"/>
  <c r="V1536" i="1" s="1"/>
  <c r="V1537" i="1" s="1"/>
  <c r="V1538" i="1" s="1"/>
  <c r="V1539" i="1" s="1"/>
  <c r="V1540" i="1" s="1"/>
  <c r="V1455" i="1"/>
  <c r="V1456" i="1" s="1"/>
  <c r="V1457" i="1" s="1"/>
  <c r="V1458" i="1" s="1"/>
  <c r="V1459" i="1" s="1"/>
  <c r="V1460" i="1" s="1"/>
  <c r="V1461" i="1" s="1"/>
  <c r="V1462" i="1" s="1"/>
  <c r="V1463" i="1" s="1"/>
  <c r="V1464" i="1" s="1"/>
  <c r="V1465" i="1" s="1"/>
  <c r="V1466" i="1" s="1"/>
  <c r="V1467" i="1" s="1"/>
  <c r="V1468" i="1" s="1"/>
  <c r="V1469" i="1" s="1"/>
  <c r="V1470" i="1" s="1"/>
  <c r="V1471" i="1" s="1"/>
  <c r="V1472" i="1" s="1"/>
  <c r="V1473" i="1" s="1"/>
  <c r="V1474" i="1" s="1"/>
  <c r="V1475" i="1" s="1"/>
  <c r="V1476" i="1" s="1"/>
  <c r="V1477" i="1" s="1"/>
  <c r="V1478" i="1" s="1"/>
  <c r="V1479" i="1" s="1"/>
  <c r="V1480" i="1" s="1"/>
  <c r="V1481" i="1" s="1"/>
  <c r="V1482" i="1" s="1"/>
  <c r="V1483" i="1" s="1"/>
  <c r="V1484" i="1" s="1"/>
  <c r="V1485" i="1" s="1"/>
  <c r="V1486" i="1" s="1"/>
  <c r="V1487" i="1" s="1"/>
  <c r="V1488" i="1" s="1"/>
  <c r="V1489" i="1" s="1"/>
  <c r="V1490" i="1" s="1"/>
  <c r="V1491" i="1" s="1"/>
  <c r="V1492" i="1" s="1"/>
  <c r="V1493" i="1" s="1"/>
  <c r="V1494" i="1" s="1"/>
  <c r="V1495" i="1" s="1"/>
  <c r="V1496" i="1" s="1"/>
  <c r="V1411" i="1"/>
  <c r="V1412" i="1" s="1"/>
  <c r="V1413" i="1" s="1"/>
  <c r="V1414" i="1" s="1"/>
  <c r="V1415" i="1" s="1"/>
  <c r="V1416" i="1" s="1"/>
  <c r="V1417" i="1" s="1"/>
  <c r="V1418" i="1" s="1"/>
  <c r="V1419" i="1" s="1"/>
  <c r="V1420" i="1" s="1"/>
  <c r="V1421" i="1" s="1"/>
  <c r="V1422" i="1" s="1"/>
  <c r="V1423" i="1" s="1"/>
  <c r="V1424" i="1" s="1"/>
  <c r="V1425" i="1" s="1"/>
  <c r="V1426" i="1" s="1"/>
  <c r="V1427" i="1" s="1"/>
  <c r="V1428" i="1" s="1"/>
  <c r="V1429" i="1" s="1"/>
  <c r="V1430" i="1" s="1"/>
  <c r="V1431" i="1" s="1"/>
  <c r="V1432" i="1" s="1"/>
  <c r="V1433" i="1" s="1"/>
  <c r="V1434" i="1" s="1"/>
  <c r="V1435" i="1" s="1"/>
  <c r="V1436" i="1" s="1"/>
  <c r="V1437" i="1" s="1"/>
  <c r="V1438" i="1" s="1"/>
  <c r="V1439" i="1" s="1"/>
  <c r="V1440" i="1" s="1"/>
  <c r="V1441" i="1" s="1"/>
  <c r="V1442" i="1" s="1"/>
  <c r="V1443" i="1" s="1"/>
  <c r="V1444" i="1" s="1"/>
  <c r="V1445" i="1" s="1"/>
  <c r="V1446" i="1" s="1"/>
  <c r="V1447" i="1" s="1"/>
  <c r="V1448" i="1" s="1"/>
  <c r="V1449" i="1" s="1"/>
  <c r="V1450" i="1" s="1"/>
  <c r="V1451" i="1" s="1"/>
  <c r="V1452" i="1" s="1"/>
  <c r="V1367" i="1"/>
  <c r="V1368" i="1" s="1"/>
  <c r="V1369" i="1" s="1"/>
  <c r="V1370" i="1" s="1"/>
  <c r="V1371" i="1" s="1"/>
  <c r="V1372" i="1" s="1"/>
  <c r="V1373" i="1" s="1"/>
  <c r="V1374" i="1" s="1"/>
  <c r="V1375" i="1" s="1"/>
  <c r="V1376" i="1" s="1"/>
  <c r="V1377" i="1" s="1"/>
  <c r="V1378" i="1" s="1"/>
  <c r="V1379" i="1" s="1"/>
  <c r="V1380" i="1" s="1"/>
  <c r="V1381" i="1" s="1"/>
  <c r="V1382" i="1" s="1"/>
  <c r="V1383" i="1" s="1"/>
  <c r="V1384" i="1" s="1"/>
  <c r="V1385" i="1" s="1"/>
  <c r="V1386" i="1" s="1"/>
  <c r="V1387" i="1" s="1"/>
  <c r="V1388" i="1" s="1"/>
  <c r="V1389" i="1" s="1"/>
  <c r="V1390" i="1" s="1"/>
  <c r="V1391" i="1" s="1"/>
  <c r="V1392" i="1" s="1"/>
  <c r="V1393" i="1" s="1"/>
  <c r="V1394" i="1" s="1"/>
  <c r="V1395" i="1" s="1"/>
  <c r="V1396" i="1" s="1"/>
  <c r="V1397" i="1" s="1"/>
  <c r="V1398" i="1" s="1"/>
  <c r="V1399" i="1" s="1"/>
  <c r="V1400" i="1" s="1"/>
  <c r="V1401" i="1" s="1"/>
  <c r="V1402" i="1" s="1"/>
  <c r="V1403" i="1" s="1"/>
  <c r="V1404" i="1" s="1"/>
  <c r="V1405" i="1" s="1"/>
  <c r="V1406" i="1" s="1"/>
  <c r="V1407" i="1" s="1"/>
  <c r="V1408" i="1" s="1"/>
  <c r="V1323" i="1"/>
  <c r="V1324" i="1" s="1"/>
  <c r="V1325" i="1" s="1"/>
  <c r="V1326" i="1" s="1"/>
  <c r="V1327" i="1" s="1"/>
  <c r="V1328" i="1" s="1"/>
  <c r="V1329" i="1" s="1"/>
  <c r="V1330" i="1" s="1"/>
  <c r="V1331" i="1" s="1"/>
  <c r="V1332" i="1" s="1"/>
  <c r="V1333" i="1" s="1"/>
  <c r="V1334" i="1" s="1"/>
  <c r="V1335" i="1" s="1"/>
  <c r="V1336" i="1" s="1"/>
  <c r="V1337" i="1" s="1"/>
  <c r="V1338" i="1" s="1"/>
  <c r="V1339" i="1" s="1"/>
  <c r="V1340" i="1" s="1"/>
  <c r="V1341" i="1" s="1"/>
  <c r="V1342" i="1" s="1"/>
  <c r="V1343" i="1" s="1"/>
  <c r="V1344" i="1" s="1"/>
  <c r="V1345" i="1" s="1"/>
  <c r="V1346" i="1" s="1"/>
  <c r="V1347" i="1" s="1"/>
  <c r="V1348" i="1" s="1"/>
  <c r="V1349" i="1" s="1"/>
  <c r="V1350" i="1" s="1"/>
  <c r="V1351" i="1" s="1"/>
  <c r="V1352" i="1" s="1"/>
  <c r="V1353" i="1" s="1"/>
  <c r="V1354" i="1" s="1"/>
  <c r="V1355" i="1" s="1"/>
  <c r="V1356" i="1" s="1"/>
  <c r="V1357" i="1" s="1"/>
  <c r="V1358" i="1" s="1"/>
  <c r="V1359" i="1" s="1"/>
  <c r="V1360" i="1" s="1"/>
  <c r="V1361" i="1" s="1"/>
  <c r="V1362" i="1" s="1"/>
  <c r="V1363" i="1" s="1"/>
  <c r="V1364" i="1" s="1"/>
  <c r="V1279" i="1"/>
  <c r="V1280" i="1" s="1"/>
  <c r="V1281" i="1" s="1"/>
  <c r="V1282" i="1" s="1"/>
  <c r="V1283" i="1" s="1"/>
  <c r="V1284" i="1" s="1"/>
  <c r="V1285" i="1" s="1"/>
  <c r="V1286" i="1" s="1"/>
  <c r="V1287" i="1" s="1"/>
  <c r="V1288" i="1" s="1"/>
  <c r="V1289" i="1" s="1"/>
  <c r="V1290" i="1" s="1"/>
  <c r="V1291" i="1" s="1"/>
  <c r="V1292" i="1" s="1"/>
  <c r="V1293" i="1" s="1"/>
  <c r="V1294" i="1" s="1"/>
  <c r="V1295" i="1" s="1"/>
  <c r="V1296" i="1" s="1"/>
  <c r="V1297" i="1" s="1"/>
  <c r="V1298" i="1" s="1"/>
  <c r="V1299" i="1" s="1"/>
  <c r="V1300" i="1" s="1"/>
  <c r="V1301" i="1" s="1"/>
  <c r="V1302" i="1" s="1"/>
  <c r="V1303" i="1" s="1"/>
  <c r="V1304" i="1" s="1"/>
  <c r="V1305" i="1" s="1"/>
  <c r="V1306" i="1" s="1"/>
  <c r="V1307" i="1" s="1"/>
  <c r="V1308" i="1" s="1"/>
  <c r="V1309" i="1" s="1"/>
  <c r="V1310" i="1" s="1"/>
  <c r="V1311" i="1" s="1"/>
  <c r="V1312" i="1" s="1"/>
  <c r="V1313" i="1" s="1"/>
  <c r="V1314" i="1" s="1"/>
  <c r="V1315" i="1" s="1"/>
  <c r="V1316" i="1" s="1"/>
  <c r="V1317" i="1" s="1"/>
  <c r="V1318" i="1" s="1"/>
  <c r="V1319" i="1" s="1"/>
  <c r="V1320" i="1" s="1"/>
  <c r="V1235" i="1"/>
  <c r="V1236" i="1" s="1"/>
  <c r="V1237" i="1" s="1"/>
  <c r="V1238" i="1" s="1"/>
  <c r="V1239" i="1" s="1"/>
  <c r="V1240" i="1" s="1"/>
  <c r="V1241" i="1" s="1"/>
  <c r="V1242" i="1" s="1"/>
  <c r="V1243" i="1" s="1"/>
  <c r="V1244" i="1" s="1"/>
  <c r="V1245" i="1" s="1"/>
  <c r="V1246" i="1" s="1"/>
  <c r="V1247" i="1" s="1"/>
  <c r="V1248" i="1" s="1"/>
  <c r="V1249" i="1" s="1"/>
  <c r="V1250" i="1" s="1"/>
  <c r="V1251" i="1" s="1"/>
  <c r="V1252" i="1" s="1"/>
  <c r="V1253" i="1" s="1"/>
  <c r="V1254" i="1" s="1"/>
  <c r="V1255" i="1" s="1"/>
  <c r="V1256" i="1" s="1"/>
  <c r="V1257" i="1" s="1"/>
  <c r="V1258" i="1" s="1"/>
  <c r="V1259" i="1" s="1"/>
  <c r="V1260" i="1" s="1"/>
  <c r="V1261" i="1" s="1"/>
  <c r="V1262" i="1" s="1"/>
  <c r="V1263" i="1" s="1"/>
  <c r="V1264" i="1" s="1"/>
  <c r="V1265" i="1" s="1"/>
  <c r="V1266" i="1" s="1"/>
  <c r="V1267" i="1" s="1"/>
  <c r="V1268" i="1" s="1"/>
  <c r="V1269" i="1" s="1"/>
  <c r="V1270" i="1" s="1"/>
  <c r="V1271" i="1" s="1"/>
  <c r="V1272" i="1" s="1"/>
  <c r="V1273" i="1" s="1"/>
  <c r="V1274" i="1" s="1"/>
  <c r="V1275" i="1" s="1"/>
  <c r="V1276" i="1" s="1"/>
  <c r="V1191" i="1"/>
  <c r="V1192" i="1" s="1"/>
  <c r="V1193" i="1" s="1"/>
  <c r="V1194" i="1" s="1"/>
  <c r="V1195" i="1" s="1"/>
  <c r="V1196" i="1" s="1"/>
  <c r="V1197" i="1" s="1"/>
  <c r="V1198" i="1" s="1"/>
  <c r="V1199" i="1" s="1"/>
  <c r="V1200" i="1" s="1"/>
  <c r="V1201" i="1" s="1"/>
  <c r="V1202" i="1" s="1"/>
  <c r="V1203" i="1" s="1"/>
  <c r="V1204" i="1" s="1"/>
  <c r="V1205" i="1" s="1"/>
  <c r="V1206" i="1" s="1"/>
  <c r="V1207" i="1" s="1"/>
  <c r="V1208" i="1" s="1"/>
  <c r="V1209" i="1" s="1"/>
  <c r="V1210" i="1" s="1"/>
  <c r="V1211" i="1" s="1"/>
  <c r="V1212" i="1" s="1"/>
  <c r="V1213" i="1" s="1"/>
  <c r="V1214" i="1" s="1"/>
  <c r="V1215" i="1" s="1"/>
  <c r="V1216" i="1" s="1"/>
  <c r="V1217" i="1" s="1"/>
  <c r="V1218" i="1" s="1"/>
  <c r="V1219" i="1" s="1"/>
  <c r="V1220" i="1" s="1"/>
  <c r="V1221" i="1" s="1"/>
  <c r="V1222" i="1" s="1"/>
  <c r="V1223" i="1" s="1"/>
  <c r="V1224" i="1" s="1"/>
  <c r="V1225" i="1" s="1"/>
  <c r="V1226" i="1" s="1"/>
  <c r="V1227" i="1" s="1"/>
  <c r="V1228" i="1" s="1"/>
  <c r="V1229" i="1" s="1"/>
  <c r="V1230" i="1" s="1"/>
  <c r="V1231" i="1" s="1"/>
  <c r="V1232" i="1" s="1"/>
  <c r="V1147" i="1"/>
  <c r="V1148" i="1" s="1"/>
  <c r="V1149" i="1" s="1"/>
  <c r="V1150" i="1" s="1"/>
  <c r="V1151" i="1" s="1"/>
  <c r="V1152" i="1" s="1"/>
  <c r="V1153" i="1" s="1"/>
  <c r="V1154" i="1" s="1"/>
  <c r="V1155" i="1" s="1"/>
  <c r="V1156" i="1" s="1"/>
  <c r="V1157" i="1" s="1"/>
  <c r="V1158" i="1" s="1"/>
  <c r="V1159" i="1" s="1"/>
  <c r="V1160" i="1" s="1"/>
  <c r="V1161" i="1" s="1"/>
  <c r="V1162" i="1" s="1"/>
  <c r="V1163" i="1" s="1"/>
  <c r="V1164" i="1" s="1"/>
  <c r="V1165" i="1" s="1"/>
  <c r="V1166" i="1" s="1"/>
  <c r="V1167" i="1" s="1"/>
  <c r="V1168" i="1" s="1"/>
  <c r="V1169" i="1" s="1"/>
  <c r="V1170" i="1" s="1"/>
  <c r="V1171" i="1" s="1"/>
  <c r="V1172" i="1" s="1"/>
  <c r="V1173" i="1" s="1"/>
  <c r="V1174" i="1" s="1"/>
  <c r="V1175" i="1" s="1"/>
  <c r="V1176" i="1" s="1"/>
  <c r="V1177" i="1" s="1"/>
  <c r="V1178" i="1" s="1"/>
  <c r="V1179" i="1" s="1"/>
  <c r="V1180" i="1" s="1"/>
  <c r="V1181" i="1" s="1"/>
  <c r="V1182" i="1" s="1"/>
  <c r="V1183" i="1" s="1"/>
  <c r="V1184" i="1" s="1"/>
  <c r="V1185" i="1" s="1"/>
  <c r="V1186" i="1" s="1"/>
  <c r="V1187" i="1" s="1"/>
  <c r="V1188" i="1" s="1"/>
  <c r="V1103" i="1"/>
  <c r="V1104" i="1" s="1"/>
  <c r="V1105" i="1" s="1"/>
  <c r="V1106" i="1" s="1"/>
  <c r="V1107" i="1" s="1"/>
  <c r="V1108" i="1" s="1"/>
  <c r="V1109" i="1" s="1"/>
  <c r="V1110" i="1" s="1"/>
  <c r="V1111" i="1" s="1"/>
  <c r="V1112" i="1" s="1"/>
  <c r="V1113" i="1" s="1"/>
  <c r="V1114" i="1" s="1"/>
  <c r="V1115" i="1" s="1"/>
  <c r="V1116" i="1" s="1"/>
  <c r="V1117" i="1" s="1"/>
  <c r="V1118" i="1" s="1"/>
  <c r="V1119" i="1" s="1"/>
  <c r="V1120" i="1" s="1"/>
  <c r="V1121" i="1" s="1"/>
  <c r="V1122" i="1" s="1"/>
  <c r="V1123" i="1" s="1"/>
  <c r="V1124" i="1" s="1"/>
  <c r="V1125" i="1" s="1"/>
  <c r="V1126" i="1" s="1"/>
  <c r="V1127" i="1" s="1"/>
  <c r="V1128" i="1" s="1"/>
  <c r="V1129" i="1" s="1"/>
  <c r="V1130" i="1" s="1"/>
  <c r="V1131" i="1" s="1"/>
  <c r="V1132" i="1" s="1"/>
  <c r="V1133" i="1" s="1"/>
  <c r="V1134" i="1" s="1"/>
  <c r="V1135" i="1" s="1"/>
  <c r="V1136" i="1" s="1"/>
  <c r="V1137" i="1" s="1"/>
  <c r="V1138" i="1" s="1"/>
  <c r="V1139" i="1" s="1"/>
  <c r="V1140" i="1" s="1"/>
  <c r="V1141" i="1" s="1"/>
  <c r="V1142" i="1" s="1"/>
  <c r="V1143" i="1" s="1"/>
  <c r="V1144" i="1" s="1"/>
  <c r="V1059" i="1"/>
  <c r="V1060" i="1" s="1"/>
  <c r="V1061" i="1" s="1"/>
  <c r="V1062" i="1" s="1"/>
  <c r="V1063" i="1" s="1"/>
  <c r="V1064" i="1" s="1"/>
  <c r="V1065" i="1" s="1"/>
  <c r="V1066" i="1" s="1"/>
  <c r="V1067" i="1" s="1"/>
  <c r="V1068" i="1" s="1"/>
  <c r="V1069" i="1" s="1"/>
  <c r="V1070" i="1" s="1"/>
  <c r="V1071" i="1" s="1"/>
  <c r="V1072" i="1" s="1"/>
  <c r="V1073" i="1" s="1"/>
  <c r="V1074" i="1" s="1"/>
  <c r="V1075" i="1" s="1"/>
  <c r="V1076" i="1" s="1"/>
  <c r="V1077" i="1" s="1"/>
  <c r="V1078" i="1" s="1"/>
  <c r="V1079" i="1" s="1"/>
  <c r="V1080" i="1" s="1"/>
  <c r="V1081" i="1" s="1"/>
  <c r="V1082" i="1" s="1"/>
  <c r="V1083" i="1" s="1"/>
  <c r="V1084" i="1" s="1"/>
  <c r="V1085" i="1" s="1"/>
  <c r="V1086" i="1" s="1"/>
  <c r="V1087" i="1" s="1"/>
  <c r="V1088" i="1" s="1"/>
  <c r="V1089" i="1" s="1"/>
  <c r="V1090" i="1" s="1"/>
  <c r="V1091" i="1" s="1"/>
  <c r="V1092" i="1" s="1"/>
  <c r="V1093" i="1" s="1"/>
  <c r="V1094" i="1" s="1"/>
  <c r="V1095" i="1" s="1"/>
  <c r="V1096" i="1" s="1"/>
  <c r="V1097" i="1" s="1"/>
  <c r="V1098" i="1" s="1"/>
  <c r="V1099" i="1" s="1"/>
  <c r="V1100" i="1" s="1"/>
  <c r="V1015" i="1"/>
  <c r="V1016" i="1" s="1"/>
  <c r="V1017" i="1" s="1"/>
  <c r="V1018" i="1" s="1"/>
  <c r="V1019" i="1" s="1"/>
  <c r="V1020" i="1" s="1"/>
  <c r="V1021" i="1" s="1"/>
  <c r="V1022" i="1" s="1"/>
  <c r="V1023" i="1" s="1"/>
  <c r="V1024" i="1" s="1"/>
  <c r="V1025" i="1" s="1"/>
  <c r="V1026" i="1" s="1"/>
  <c r="V1027" i="1" s="1"/>
  <c r="V1028" i="1" s="1"/>
  <c r="V1029" i="1" s="1"/>
  <c r="V1030" i="1" s="1"/>
  <c r="V1031" i="1" s="1"/>
  <c r="V1032" i="1" s="1"/>
  <c r="V1033" i="1" s="1"/>
  <c r="V1034" i="1" s="1"/>
  <c r="V1035" i="1" s="1"/>
  <c r="V1036" i="1" s="1"/>
  <c r="V1037" i="1" s="1"/>
  <c r="V1038" i="1" s="1"/>
  <c r="V1039" i="1" s="1"/>
  <c r="V1040" i="1" s="1"/>
  <c r="V1041" i="1" s="1"/>
  <c r="V1042" i="1" s="1"/>
  <c r="V1043" i="1" s="1"/>
  <c r="V1044" i="1" s="1"/>
  <c r="V1045" i="1" s="1"/>
  <c r="V1046" i="1" s="1"/>
  <c r="V1047" i="1" s="1"/>
  <c r="V1048" i="1" s="1"/>
  <c r="V1049" i="1" s="1"/>
  <c r="V1050" i="1" s="1"/>
  <c r="V1051" i="1" s="1"/>
  <c r="V1052" i="1" s="1"/>
  <c r="V1053" i="1" s="1"/>
  <c r="V1054" i="1" s="1"/>
  <c r="V1055" i="1" s="1"/>
  <c r="V1056" i="1" s="1"/>
  <c r="V971" i="1"/>
  <c r="V972" i="1" s="1"/>
  <c r="V973" i="1" s="1"/>
  <c r="V974" i="1" s="1"/>
  <c r="V975" i="1" s="1"/>
  <c r="V976" i="1" s="1"/>
  <c r="V977" i="1" s="1"/>
  <c r="V978" i="1" s="1"/>
  <c r="V979" i="1" s="1"/>
  <c r="V980" i="1" s="1"/>
  <c r="V981" i="1" s="1"/>
  <c r="V982" i="1" s="1"/>
  <c r="V983" i="1" s="1"/>
  <c r="V984" i="1" s="1"/>
  <c r="V985" i="1" s="1"/>
  <c r="V986" i="1" s="1"/>
  <c r="V987" i="1" s="1"/>
  <c r="V988" i="1" s="1"/>
  <c r="V989" i="1" s="1"/>
  <c r="V990" i="1" s="1"/>
  <c r="V991" i="1" s="1"/>
  <c r="V992" i="1" s="1"/>
  <c r="V993" i="1" s="1"/>
  <c r="V994" i="1" s="1"/>
  <c r="V995" i="1" s="1"/>
  <c r="V996" i="1" s="1"/>
  <c r="V997" i="1" s="1"/>
  <c r="V998" i="1" s="1"/>
  <c r="V999" i="1" s="1"/>
  <c r="V1000" i="1" s="1"/>
  <c r="V1001" i="1" s="1"/>
  <c r="V1002" i="1" s="1"/>
  <c r="V1003" i="1" s="1"/>
  <c r="V1004" i="1" s="1"/>
  <c r="V1005" i="1" s="1"/>
  <c r="V1006" i="1" s="1"/>
  <c r="V1007" i="1" s="1"/>
  <c r="V1008" i="1" s="1"/>
  <c r="V1009" i="1" s="1"/>
  <c r="V1010" i="1" s="1"/>
  <c r="V1011" i="1" s="1"/>
  <c r="V1012" i="1" s="1"/>
  <c r="V927" i="1"/>
  <c r="V928" i="1" s="1"/>
  <c r="V929" i="1" s="1"/>
  <c r="V930" i="1" s="1"/>
  <c r="V931" i="1" s="1"/>
  <c r="V932" i="1" s="1"/>
  <c r="V933" i="1" s="1"/>
  <c r="V934" i="1" s="1"/>
  <c r="V935" i="1" s="1"/>
  <c r="V936" i="1" s="1"/>
  <c r="V937" i="1" s="1"/>
  <c r="V938" i="1" s="1"/>
  <c r="V939" i="1" s="1"/>
  <c r="V940" i="1" s="1"/>
  <c r="V941" i="1" s="1"/>
  <c r="V942" i="1" s="1"/>
  <c r="V943" i="1" s="1"/>
  <c r="V944" i="1" s="1"/>
  <c r="V945" i="1" s="1"/>
  <c r="V946" i="1" s="1"/>
  <c r="V947" i="1" s="1"/>
  <c r="V948" i="1" s="1"/>
  <c r="V949" i="1" s="1"/>
  <c r="V950" i="1" s="1"/>
  <c r="V951" i="1" s="1"/>
  <c r="V952" i="1" s="1"/>
  <c r="V953" i="1" s="1"/>
  <c r="V954" i="1" s="1"/>
  <c r="V955" i="1" s="1"/>
  <c r="V956" i="1" s="1"/>
  <c r="V957" i="1" s="1"/>
  <c r="V958" i="1" s="1"/>
  <c r="V959" i="1" s="1"/>
  <c r="V960" i="1" s="1"/>
  <c r="V961" i="1" s="1"/>
  <c r="V962" i="1" s="1"/>
  <c r="V963" i="1" s="1"/>
  <c r="V964" i="1" s="1"/>
  <c r="V965" i="1" s="1"/>
  <c r="V966" i="1" s="1"/>
  <c r="V967" i="1" s="1"/>
  <c r="V968" i="1" s="1"/>
  <c r="V883" i="1"/>
  <c r="V884" i="1" s="1"/>
  <c r="V885" i="1" s="1"/>
  <c r="V886" i="1" s="1"/>
  <c r="V887" i="1" s="1"/>
  <c r="V888" i="1" s="1"/>
  <c r="V889" i="1" s="1"/>
  <c r="V890" i="1" s="1"/>
  <c r="V891" i="1" s="1"/>
  <c r="V892" i="1" s="1"/>
  <c r="V893" i="1" s="1"/>
  <c r="V894" i="1" s="1"/>
  <c r="V895" i="1" s="1"/>
  <c r="V896" i="1" s="1"/>
  <c r="V897" i="1" s="1"/>
  <c r="V898" i="1" s="1"/>
  <c r="V899" i="1" s="1"/>
  <c r="V900" i="1" s="1"/>
  <c r="V901" i="1" s="1"/>
  <c r="V902" i="1" s="1"/>
  <c r="V903" i="1" s="1"/>
  <c r="V904" i="1" s="1"/>
  <c r="V905" i="1" s="1"/>
  <c r="V906" i="1" s="1"/>
  <c r="V907" i="1" s="1"/>
  <c r="V908" i="1" s="1"/>
  <c r="V909" i="1" s="1"/>
  <c r="V910" i="1" s="1"/>
  <c r="V911" i="1" s="1"/>
  <c r="V912" i="1" s="1"/>
  <c r="V913" i="1" s="1"/>
  <c r="V914" i="1" s="1"/>
  <c r="V915" i="1" s="1"/>
  <c r="V916" i="1" s="1"/>
  <c r="V917" i="1" s="1"/>
  <c r="V918" i="1" s="1"/>
  <c r="V919" i="1" s="1"/>
  <c r="V920" i="1" s="1"/>
  <c r="V921" i="1" s="1"/>
  <c r="V922" i="1" s="1"/>
  <c r="V923" i="1" s="1"/>
  <c r="V924" i="1" s="1"/>
  <c r="V839" i="1"/>
  <c r="V840" i="1" s="1"/>
  <c r="V841" i="1" s="1"/>
  <c r="V842" i="1" s="1"/>
  <c r="V843" i="1" s="1"/>
  <c r="V844" i="1" s="1"/>
  <c r="V845" i="1" s="1"/>
  <c r="V846" i="1" s="1"/>
  <c r="V847" i="1" s="1"/>
  <c r="V848" i="1" s="1"/>
  <c r="V849" i="1" s="1"/>
  <c r="V850" i="1" s="1"/>
  <c r="V851" i="1" s="1"/>
  <c r="V852" i="1" s="1"/>
  <c r="V853" i="1" s="1"/>
  <c r="V854" i="1" s="1"/>
  <c r="V855" i="1" s="1"/>
  <c r="V856" i="1" s="1"/>
  <c r="V857" i="1" s="1"/>
  <c r="V858" i="1" s="1"/>
  <c r="V859" i="1" s="1"/>
  <c r="V860" i="1" s="1"/>
  <c r="V861" i="1" s="1"/>
  <c r="V862" i="1" s="1"/>
  <c r="V863" i="1" s="1"/>
  <c r="V864" i="1" s="1"/>
  <c r="V865" i="1" s="1"/>
  <c r="V866" i="1" s="1"/>
  <c r="V867" i="1" s="1"/>
  <c r="V868" i="1" s="1"/>
  <c r="V869" i="1" s="1"/>
  <c r="V870" i="1" s="1"/>
  <c r="V871" i="1" s="1"/>
  <c r="V872" i="1" s="1"/>
  <c r="V873" i="1" s="1"/>
  <c r="V874" i="1" s="1"/>
  <c r="V875" i="1" s="1"/>
  <c r="V876" i="1" s="1"/>
  <c r="V877" i="1" s="1"/>
  <c r="V878" i="1" s="1"/>
  <c r="V879" i="1" s="1"/>
  <c r="V880" i="1" s="1"/>
  <c r="V795" i="1"/>
  <c r="V796" i="1" s="1"/>
  <c r="V797" i="1" s="1"/>
  <c r="V798" i="1" s="1"/>
  <c r="V799" i="1" s="1"/>
  <c r="V800" i="1" s="1"/>
  <c r="V801" i="1" s="1"/>
  <c r="V802" i="1" s="1"/>
  <c r="V803" i="1" s="1"/>
  <c r="V804" i="1" s="1"/>
  <c r="V805" i="1" s="1"/>
  <c r="V806" i="1" s="1"/>
  <c r="V807" i="1" s="1"/>
  <c r="V808" i="1" s="1"/>
  <c r="V809" i="1" s="1"/>
  <c r="V810" i="1" s="1"/>
  <c r="V811" i="1" s="1"/>
  <c r="V812" i="1" s="1"/>
  <c r="V813" i="1" s="1"/>
  <c r="V814" i="1" s="1"/>
  <c r="V815" i="1" s="1"/>
  <c r="V816" i="1" s="1"/>
  <c r="V817" i="1" s="1"/>
  <c r="V818" i="1" s="1"/>
  <c r="V819" i="1" s="1"/>
  <c r="V820" i="1" s="1"/>
  <c r="V821" i="1" s="1"/>
  <c r="V822" i="1" s="1"/>
  <c r="V823" i="1" s="1"/>
  <c r="V824" i="1" s="1"/>
  <c r="V825" i="1" s="1"/>
  <c r="V826" i="1" s="1"/>
  <c r="V827" i="1" s="1"/>
  <c r="V828" i="1" s="1"/>
  <c r="V829" i="1" s="1"/>
  <c r="V830" i="1" s="1"/>
  <c r="V831" i="1" s="1"/>
  <c r="V832" i="1" s="1"/>
  <c r="V833" i="1" s="1"/>
  <c r="V834" i="1" s="1"/>
  <c r="V835" i="1" s="1"/>
  <c r="V836" i="1" s="1"/>
  <c r="V751" i="1"/>
  <c r="V752" i="1" s="1"/>
  <c r="V753" i="1" s="1"/>
  <c r="V754" i="1" s="1"/>
  <c r="V755" i="1" s="1"/>
  <c r="V756" i="1" s="1"/>
  <c r="V757" i="1" s="1"/>
  <c r="V758" i="1" s="1"/>
  <c r="V759" i="1" s="1"/>
  <c r="V760" i="1" s="1"/>
  <c r="V761" i="1" s="1"/>
  <c r="V762" i="1" s="1"/>
  <c r="V763" i="1" s="1"/>
  <c r="V764" i="1" s="1"/>
  <c r="V765" i="1" s="1"/>
  <c r="V766" i="1" s="1"/>
  <c r="V767" i="1" s="1"/>
  <c r="V768" i="1" s="1"/>
  <c r="V769" i="1" s="1"/>
  <c r="V770" i="1" s="1"/>
  <c r="V771" i="1" s="1"/>
  <c r="V772" i="1" s="1"/>
  <c r="V773" i="1" s="1"/>
  <c r="V774" i="1" s="1"/>
  <c r="V775" i="1" s="1"/>
  <c r="V776" i="1" s="1"/>
  <c r="V777" i="1" s="1"/>
  <c r="V778" i="1" s="1"/>
  <c r="V779" i="1" s="1"/>
  <c r="V780" i="1" s="1"/>
  <c r="V781" i="1" s="1"/>
  <c r="V782" i="1" s="1"/>
  <c r="V783" i="1" s="1"/>
  <c r="V784" i="1" s="1"/>
  <c r="V785" i="1" s="1"/>
  <c r="V786" i="1" s="1"/>
  <c r="V787" i="1" s="1"/>
  <c r="V788" i="1" s="1"/>
  <c r="V789" i="1" s="1"/>
  <c r="V790" i="1" s="1"/>
  <c r="V791" i="1" s="1"/>
  <c r="V792" i="1" s="1"/>
  <c r="V707" i="1"/>
  <c r="V708" i="1" s="1"/>
  <c r="V709" i="1" s="1"/>
  <c r="V710" i="1" s="1"/>
  <c r="V711" i="1" s="1"/>
  <c r="V712" i="1" s="1"/>
  <c r="V713" i="1" s="1"/>
  <c r="V714" i="1" s="1"/>
  <c r="V715" i="1" s="1"/>
  <c r="V716" i="1" s="1"/>
  <c r="V717" i="1" s="1"/>
  <c r="V718" i="1" s="1"/>
  <c r="V719" i="1" s="1"/>
  <c r="V720" i="1" s="1"/>
  <c r="V721" i="1" s="1"/>
  <c r="V722" i="1" s="1"/>
  <c r="V723" i="1" s="1"/>
  <c r="V724" i="1" s="1"/>
  <c r="V725" i="1" s="1"/>
  <c r="V726" i="1" s="1"/>
  <c r="V727" i="1" s="1"/>
  <c r="V728" i="1" s="1"/>
  <c r="V729" i="1" s="1"/>
  <c r="V730" i="1" s="1"/>
  <c r="V731" i="1" s="1"/>
  <c r="V732" i="1" s="1"/>
  <c r="V733" i="1" s="1"/>
  <c r="V734" i="1" s="1"/>
  <c r="V735" i="1" s="1"/>
  <c r="V736" i="1" s="1"/>
  <c r="V737" i="1" s="1"/>
  <c r="V738" i="1" s="1"/>
  <c r="V739" i="1" s="1"/>
  <c r="V740" i="1" s="1"/>
  <c r="V741" i="1" s="1"/>
  <c r="V742" i="1" s="1"/>
  <c r="V743" i="1" s="1"/>
  <c r="V744" i="1" s="1"/>
  <c r="V745" i="1" s="1"/>
  <c r="V746" i="1" s="1"/>
  <c r="V747" i="1" s="1"/>
  <c r="V748" i="1" s="1"/>
  <c r="V663" i="1"/>
  <c r="V664" i="1" s="1"/>
  <c r="V665" i="1" s="1"/>
  <c r="V666" i="1" s="1"/>
  <c r="V667" i="1" s="1"/>
  <c r="V668" i="1" s="1"/>
  <c r="V669" i="1" s="1"/>
  <c r="V670" i="1" s="1"/>
  <c r="V671" i="1" s="1"/>
  <c r="V672" i="1" s="1"/>
  <c r="V673" i="1" s="1"/>
  <c r="V674" i="1" s="1"/>
  <c r="V675" i="1" s="1"/>
  <c r="V676" i="1" s="1"/>
  <c r="V677" i="1" s="1"/>
  <c r="V678" i="1" s="1"/>
  <c r="V679" i="1" s="1"/>
  <c r="V680" i="1" s="1"/>
  <c r="V681" i="1" s="1"/>
  <c r="V682" i="1" s="1"/>
  <c r="V683" i="1" s="1"/>
  <c r="V684" i="1" s="1"/>
  <c r="V685" i="1" s="1"/>
  <c r="V686" i="1" s="1"/>
  <c r="V687" i="1" s="1"/>
  <c r="V688" i="1" s="1"/>
  <c r="V689" i="1" s="1"/>
  <c r="V690" i="1" s="1"/>
  <c r="V691" i="1" s="1"/>
  <c r="V692" i="1" s="1"/>
  <c r="V693" i="1" s="1"/>
  <c r="V694" i="1" s="1"/>
  <c r="V695" i="1" s="1"/>
  <c r="V696" i="1" s="1"/>
  <c r="V697" i="1" s="1"/>
  <c r="V698" i="1" s="1"/>
  <c r="V699" i="1" s="1"/>
  <c r="V700" i="1" s="1"/>
  <c r="V701" i="1" s="1"/>
  <c r="V702" i="1" s="1"/>
  <c r="V703" i="1" s="1"/>
  <c r="V704" i="1" s="1"/>
  <c r="V619" i="1"/>
  <c r="V620" i="1" s="1"/>
  <c r="V621" i="1" s="1"/>
  <c r="V622" i="1" s="1"/>
  <c r="V623" i="1" s="1"/>
  <c r="V624" i="1" s="1"/>
  <c r="V625" i="1" s="1"/>
  <c r="V626" i="1" s="1"/>
  <c r="V627" i="1" s="1"/>
  <c r="V628" i="1" s="1"/>
  <c r="V629" i="1" s="1"/>
  <c r="V630" i="1" s="1"/>
  <c r="V631" i="1" s="1"/>
  <c r="V632" i="1" s="1"/>
  <c r="V633" i="1" s="1"/>
  <c r="V634" i="1" s="1"/>
  <c r="V635" i="1" s="1"/>
  <c r="V636" i="1" s="1"/>
  <c r="V637" i="1" s="1"/>
  <c r="V638" i="1" s="1"/>
  <c r="V639" i="1" s="1"/>
  <c r="V640" i="1" s="1"/>
  <c r="V641" i="1" s="1"/>
  <c r="V642" i="1" s="1"/>
  <c r="V643" i="1" s="1"/>
  <c r="V644" i="1" s="1"/>
  <c r="V645" i="1" s="1"/>
  <c r="V646" i="1" s="1"/>
  <c r="V647" i="1" s="1"/>
  <c r="V648" i="1" s="1"/>
  <c r="V649" i="1" s="1"/>
  <c r="V650" i="1" s="1"/>
  <c r="V651" i="1" s="1"/>
  <c r="V652" i="1" s="1"/>
  <c r="V653" i="1" s="1"/>
  <c r="V654" i="1" s="1"/>
  <c r="V655" i="1" s="1"/>
  <c r="V656" i="1" s="1"/>
  <c r="V657" i="1" s="1"/>
  <c r="V658" i="1" s="1"/>
  <c r="V659" i="1" s="1"/>
  <c r="V660" i="1" s="1"/>
  <c r="V575" i="1"/>
  <c r="V576" i="1" s="1"/>
  <c r="V577" i="1" s="1"/>
  <c r="V578" i="1" s="1"/>
  <c r="V579" i="1" s="1"/>
  <c r="V580" i="1" s="1"/>
  <c r="V581" i="1" s="1"/>
  <c r="V582" i="1" s="1"/>
  <c r="V583" i="1" s="1"/>
  <c r="V584" i="1" s="1"/>
  <c r="V585" i="1" s="1"/>
  <c r="V586" i="1" s="1"/>
  <c r="V587" i="1" s="1"/>
  <c r="V588" i="1" s="1"/>
  <c r="V589" i="1" s="1"/>
  <c r="V590" i="1" s="1"/>
  <c r="V591" i="1" s="1"/>
  <c r="V592" i="1" s="1"/>
  <c r="V593" i="1" s="1"/>
  <c r="V594" i="1" s="1"/>
  <c r="V595" i="1" s="1"/>
  <c r="V596" i="1" s="1"/>
  <c r="V597" i="1" s="1"/>
  <c r="V598" i="1" s="1"/>
  <c r="V599" i="1" s="1"/>
  <c r="V600" i="1" s="1"/>
  <c r="V601" i="1" s="1"/>
  <c r="V602" i="1" s="1"/>
  <c r="V603" i="1" s="1"/>
  <c r="V604" i="1" s="1"/>
  <c r="V605" i="1" s="1"/>
  <c r="V606" i="1" s="1"/>
  <c r="V607" i="1" s="1"/>
  <c r="V608" i="1" s="1"/>
  <c r="V609" i="1" s="1"/>
  <c r="V610" i="1" s="1"/>
  <c r="V611" i="1" s="1"/>
  <c r="V612" i="1" s="1"/>
  <c r="V613" i="1" s="1"/>
  <c r="V614" i="1" s="1"/>
  <c r="V615" i="1" s="1"/>
  <c r="V616" i="1" s="1"/>
  <c r="V531" i="1"/>
  <c r="V532" i="1" s="1"/>
  <c r="V533" i="1" s="1"/>
  <c r="V534" i="1" s="1"/>
  <c r="V535" i="1" s="1"/>
  <c r="V536" i="1" s="1"/>
  <c r="V537" i="1" s="1"/>
  <c r="V538" i="1" s="1"/>
  <c r="V539" i="1" s="1"/>
  <c r="V540" i="1" s="1"/>
  <c r="V541" i="1" s="1"/>
  <c r="V542" i="1" s="1"/>
  <c r="V543" i="1" s="1"/>
  <c r="V544" i="1" s="1"/>
  <c r="V545" i="1" s="1"/>
  <c r="V546" i="1" s="1"/>
  <c r="V547" i="1" s="1"/>
  <c r="V548" i="1" s="1"/>
  <c r="V549" i="1" s="1"/>
  <c r="V550" i="1" s="1"/>
  <c r="V551" i="1" s="1"/>
  <c r="V552" i="1" s="1"/>
  <c r="V553" i="1" s="1"/>
  <c r="V554" i="1" s="1"/>
  <c r="V555" i="1" s="1"/>
  <c r="V556" i="1" s="1"/>
  <c r="V557" i="1" s="1"/>
  <c r="V558" i="1" s="1"/>
  <c r="V559" i="1" s="1"/>
  <c r="V560" i="1" s="1"/>
  <c r="V561" i="1" s="1"/>
  <c r="V562" i="1" s="1"/>
  <c r="V563" i="1" s="1"/>
  <c r="V564" i="1" s="1"/>
  <c r="V565" i="1" s="1"/>
  <c r="V566" i="1" s="1"/>
  <c r="V567" i="1" s="1"/>
  <c r="V568" i="1" s="1"/>
  <c r="V569" i="1" s="1"/>
  <c r="V570" i="1" s="1"/>
  <c r="V571" i="1" s="1"/>
  <c r="V572" i="1" s="1"/>
  <c r="V487" i="1"/>
  <c r="V488" i="1" s="1"/>
  <c r="V489" i="1" s="1"/>
  <c r="V490" i="1" s="1"/>
  <c r="V491" i="1" s="1"/>
  <c r="V492" i="1" s="1"/>
  <c r="V493" i="1" s="1"/>
  <c r="V494" i="1" s="1"/>
  <c r="V495" i="1" s="1"/>
  <c r="V496" i="1" s="1"/>
  <c r="V497" i="1" s="1"/>
  <c r="V498" i="1" s="1"/>
  <c r="V499" i="1" s="1"/>
  <c r="V500" i="1" s="1"/>
  <c r="V501" i="1" s="1"/>
  <c r="V502" i="1" s="1"/>
  <c r="V503" i="1" s="1"/>
  <c r="V504" i="1" s="1"/>
  <c r="V505" i="1" s="1"/>
  <c r="V506" i="1" s="1"/>
  <c r="V507" i="1" s="1"/>
  <c r="V508" i="1" s="1"/>
  <c r="V509" i="1" s="1"/>
  <c r="V510" i="1" s="1"/>
  <c r="V511" i="1" s="1"/>
  <c r="V512" i="1" s="1"/>
  <c r="V513" i="1" s="1"/>
  <c r="V514" i="1" s="1"/>
  <c r="V515" i="1" s="1"/>
  <c r="V516" i="1" s="1"/>
  <c r="V517" i="1" s="1"/>
  <c r="V518" i="1" s="1"/>
  <c r="V519" i="1" s="1"/>
  <c r="V520" i="1" s="1"/>
  <c r="V521" i="1" s="1"/>
  <c r="V522" i="1" s="1"/>
  <c r="V523" i="1" s="1"/>
  <c r="V524" i="1" s="1"/>
  <c r="V525" i="1" s="1"/>
  <c r="V526" i="1" s="1"/>
  <c r="V527" i="1" s="1"/>
  <c r="V528" i="1" s="1"/>
  <c r="V443" i="1"/>
  <c r="V444" i="1" s="1"/>
  <c r="V445" i="1" s="1"/>
  <c r="V446" i="1" s="1"/>
  <c r="V447" i="1" s="1"/>
  <c r="V448" i="1" s="1"/>
  <c r="V449" i="1" s="1"/>
  <c r="V450" i="1" s="1"/>
  <c r="V451" i="1" s="1"/>
  <c r="V452" i="1" s="1"/>
  <c r="V453" i="1" s="1"/>
  <c r="V454" i="1" s="1"/>
  <c r="V455" i="1" s="1"/>
  <c r="V456" i="1" s="1"/>
  <c r="V457" i="1" s="1"/>
  <c r="V458" i="1" s="1"/>
  <c r="V459" i="1" s="1"/>
  <c r="V460" i="1" s="1"/>
  <c r="V461" i="1" s="1"/>
  <c r="V462" i="1" s="1"/>
  <c r="V463" i="1" s="1"/>
  <c r="V464" i="1" s="1"/>
  <c r="V465" i="1" s="1"/>
  <c r="V466" i="1" s="1"/>
  <c r="V467" i="1" s="1"/>
  <c r="V468" i="1" s="1"/>
  <c r="V469" i="1" s="1"/>
  <c r="V470" i="1" s="1"/>
  <c r="V471" i="1" s="1"/>
  <c r="V472" i="1" s="1"/>
  <c r="V473" i="1" s="1"/>
  <c r="V474" i="1" s="1"/>
  <c r="V475" i="1" s="1"/>
  <c r="V476" i="1" s="1"/>
  <c r="V477" i="1" s="1"/>
  <c r="V478" i="1" s="1"/>
  <c r="V479" i="1" s="1"/>
  <c r="V480" i="1" s="1"/>
  <c r="V481" i="1" s="1"/>
  <c r="V482" i="1" s="1"/>
  <c r="V483" i="1" s="1"/>
  <c r="V484" i="1" s="1"/>
  <c r="V399" i="1"/>
  <c r="V400" i="1" s="1"/>
  <c r="V401" i="1" s="1"/>
  <c r="V402" i="1" s="1"/>
  <c r="V403" i="1" s="1"/>
  <c r="V404" i="1" s="1"/>
  <c r="V405" i="1" s="1"/>
  <c r="V406" i="1" s="1"/>
  <c r="V407" i="1" s="1"/>
  <c r="V408" i="1" s="1"/>
  <c r="V409" i="1" s="1"/>
  <c r="V410" i="1" s="1"/>
  <c r="V411" i="1" s="1"/>
  <c r="V412" i="1" s="1"/>
  <c r="V413" i="1" s="1"/>
  <c r="V414" i="1" s="1"/>
  <c r="V415" i="1" s="1"/>
  <c r="V416" i="1" s="1"/>
  <c r="V417" i="1" s="1"/>
  <c r="V418" i="1" s="1"/>
  <c r="V419" i="1" s="1"/>
  <c r="V420" i="1" s="1"/>
  <c r="V421" i="1" s="1"/>
  <c r="V422" i="1" s="1"/>
  <c r="V423" i="1" s="1"/>
  <c r="V424" i="1" s="1"/>
  <c r="V425" i="1" s="1"/>
  <c r="V426" i="1" s="1"/>
  <c r="V427" i="1" s="1"/>
  <c r="V428" i="1" s="1"/>
  <c r="V429" i="1" s="1"/>
  <c r="V430" i="1" s="1"/>
  <c r="V431" i="1" s="1"/>
  <c r="V432" i="1" s="1"/>
  <c r="V433" i="1" s="1"/>
  <c r="V434" i="1" s="1"/>
  <c r="V435" i="1" s="1"/>
  <c r="V436" i="1" s="1"/>
  <c r="V437" i="1" s="1"/>
  <c r="V438" i="1" s="1"/>
  <c r="V439" i="1" s="1"/>
  <c r="V440" i="1" s="1"/>
  <c r="V355" i="1"/>
  <c r="V356" i="1" s="1"/>
  <c r="V357" i="1" s="1"/>
  <c r="V358" i="1" s="1"/>
  <c r="V359" i="1" s="1"/>
  <c r="V360" i="1" s="1"/>
  <c r="V361" i="1" s="1"/>
  <c r="V362" i="1" s="1"/>
  <c r="V363" i="1" s="1"/>
  <c r="V364" i="1" s="1"/>
  <c r="V365" i="1" s="1"/>
  <c r="V366" i="1" s="1"/>
  <c r="V367" i="1" s="1"/>
  <c r="V368" i="1" s="1"/>
  <c r="V369" i="1" s="1"/>
  <c r="V370" i="1" s="1"/>
  <c r="V371" i="1" s="1"/>
  <c r="V372" i="1" s="1"/>
  <c r="V373" i="1" s="1"/>
  <c r="V374" i="1" s="1"/>
  <c r="V375" i="1" s="1"/>
  <c r="V376" i="1" s="1"/>
  <c r="V377" i="1" s="1"/>
  <c r="V378" i="1" s="1"/>
  <c r="V379" i="1" s="1"/>
  <c r="V380" i="1" s="1"/>
  <c r="V381" i="1" s="1"/>
  <c r="V382" i="1" s="1"/>
  <c r="V383" i="1" s="1"/>
  <c r="V384" i="1" s="1"/>
  <c r="V385" i="1" s="1"/>
  <c r="V386" i="1" s="1"/>
  <c r="V387" i="1" s="1"/>
  <c r="V388" i="1" s="1"/>
  <c r="V389" i="1" s="1"/>
  <c r="V390" i="1" s="1"/>
  <c r="V391" i="1" s="1"/>
  <c r="V392" i="1" s="1"/>
  <c r="V393" i="1" s="1"/>
  <c r="V394" i="1" s="1"/>
  <c r="V395" i="1" s="1"/>
  <c r="V396" i="1" s="1"/>
  <c r="V311" i="1"/>
  <c r="V312" i="1" s="1"/>
  <c r="V313" i="1" s="1"/>
  <c r="V314" i="1" s="1"/>
  <c r="V315" i="1" s="1"/>
  <c r="V316" i="1" s="1"/>
  <c r="V317" i="1" s="1"/>
  <c r="V318" i="1" s="1"/>
  <c r="V319" i="1" s="1"/>
  <c r="V320" i="1" s="1"/>
  <c r="V321" i="1" s="1"/>
  <c r="V322" i="1" s="1"/>
  <c r="V323" i="1" s="1"/>
  <c r="V324" i="1" s="1"/>
  <c r="V325" i="1" s="1"/>
  <c r="V326" i="1" s="1"/>
  <c r="V327" i="1" s="1"/>
  <c r="V328" i="1" s="1"/>
  <c r="V329" i="1" s="1"/>
  <c r="V330" i="1" s="1"/>
  <c r="V331" i="1" s="1"/>
  <c r="V332" i="1" s="1"/>
  <c r="V333" i="1" s="1"/>
  <c r="V334" i="1" s="1"/>
  <c r="V335" i="1" s="1"/>
  <c r="V336" i="1" s="1"/>
  <c r="V337" i="1" s="1"/>
  <c r="V338" i="1" s="1"/>
  <c r="V339" i="1" s="1"/>
  <c r="V340" i="1" s="1"/>
  <c r="V341" i="1" s="1"/>
  <c r="V342" i="1" s="1"/>
  <c r="V343" i="1" s="1"/>
  <c r="V344" i="1" s="1"/>
  <c r="V345" i="1" s="1"/>
  <c r="V346" i="1" s="1"/>
  <c r="V347" i="1" s="1"/>
  <c r="V348" i="1" s="1"/>
  <c r="V349" i="1" s="1"/>
  <c r="V350" i="1" s="1"/>
  <c r="V351" i="1" s="1"/>
  <c r="V352" i="1" s="1"/>
  <c r="V267" i="1"/>
  <c r="V268" i="1" s="1"/>
  <c r="V269" i="1" s="1"/>
  <c r="V270" i="1" s="1"/>
  <c r="V271" i="1" s="1"/>
  <c r="V272" i="1" s="1"/>
  <c r="V273" i="1" s="1"/>
  <c r="V274" i="1" s="1"/>
  <c r="V275" i="1" s="1"/>
  <c r="V276" i="1" s="1"/>
  <c r="V277" i="1" s="1"/>
  <c r="V278" i="1" s="1"/>
  <c r="V279" i="1" s="1"/>
  <c r="V280" i="1" s="1"/>
  <c r="V281" i="1" s="1"/>
  <c r="V282" i="1" s="1"/>
  <c r="V283" i="1" s="1"/>
  <c r="V284" i="1" s="1"/>
  <c r="V285" i="1" s="1"/>
  <c r="V286" i="1" s="1"/>
  <c r="V287" i="1" s="1"/>
  <c r="V288" i="1" s="1"/>
  <c r="V289" i="1" s="1"/>
  <c r="V290" i="1" s="1"/>
  <c r="V291" i="1" s="1"/>
  <c r="V292" i="1" s="1"/>
  <c r="V293" i="1" s="1"/>
  <c r="V294" i="1" s="1"/>
  <c r="V295" i="1" s="1"/>
  <c r="V296" i="1" s="1"/>
  <c r="V297" i="1" s="1"/>
  <c r="V298" i="1" s="1"/>
  <c r="V299" i="1" s="1"/>
  <c r="V300" i="1" s="1"/>
  <c r="V301" i="1" s="1"/>
  <c r="V302" i="1" s="1"/>
  <c r="V303" i="1" s="1"/>
  <c r="V304" i="1" s="1"/>
  <c r="V305" i="1" s="1"/>
  <c r="V306" i="1" s="1"/>
  <c r="V307" i="1" s="1"/>
  <c r="V308" i="1" s="1"/>
  <c r="V223" i="1"/>
  <c r="V224" i="1" s="1"/>
  <c r="V225" i="1" s="1"/>
  <c r="V226" i="1" s="1"/>
  <c r="V227" i="1" s="1"/>
  <c r="V228" i="1" s="1"/>
  <c r="V229" i="1" s="1"/>
  <c r="V230" i="1" s="1"/>
  <c r="V231" i="1" s="1"/>
  <c r="V232" i="1" s="1"/>
  <c r="V233" i="1" s="1"/>
  <c r="V234" i="1" s="1"/>
  <c r="V235" i="1" s="1"/>
  <c r="V236" i="1" s="1"/>
  <c r="V237" i="1" s="1"/>
  <c r="V238" i="1" s="1"/>
  <c r="V239" i="1" s="1"/>
  <c r="V240" i="1" s="1"/>
  <c r="V241" i="1" s="1"/>
  <c r="V242" i="1" s="1"/>
  <c r="V243" i="1" s="1"/>
  <c r="V244" i="1" s="1"/>
  <c r="V245" i="1" s="1"/>
  <c r="V246" i="1" s="1"/>
  <c r="V247" i="1" s="1"/>
  <c r="V248" i="1" s="1"/>
  <c r="V249" i="1" s="1"/>
  <c r="V250" i="1" s="1"/>
  <c r="V251" i="1" s="1"/>
  <c r="V252" i="1" s="1"/>
  <c r="V253" i="1" s="1"/>
  <c r="V254" i="1" s="1"/>
  <c r="V255" i="1" s="1"/>
  <c r="V256" i="1" s="1"/>
  <c r="V257" i="1" s="1"/>
  <c r="V258" i="1" s="1"/>
  <c r="V259" i="1" s="1"/>
  <c r="V260" i="1" s="1"/>
  <c r="V261" i="1" s="1"/>
  <c r="V262" i="1" s="1"/>
  <c r="V263" i="1" s="1"/>
  <c r="V264" i="1" s="1"/>
  <c r="V179" i="1"/>
  <c r="V180" i="1" s="1"/>
  <c r="V181" i="1" s="1"/>
  <c r="V182" i="1" s="1"/>
  <c r="V183" i="1" s="1"/>
  <c r="V184" i="1" s="1"/>
  <c r="V185" i="1" s="1"/>
  <c r="V186" i="1" s="1"/>
  <c r="V187" i="1" s="1"/>
  <c r="V188" i="1" s="1"/>
  <c r="V189" i="1" s="1"/>
  <c r="V190" i="1" s="1"/>
  <c r="V191" i="1" s="1"/>
  <c r="V192" i="1" s="1"/>
  <c r="V193" i="1" s="1"/>
  <c r="V194" i="1" s="1"/>
  <c r="V195" i="1" s="1"/>
  <c r="V196" i="1" s="1"/>
  <c r="V197" i="1" s="1"/>
  <c r="V198" i="1" s="1"/>
  <c r="V199" i="1" s="1"/>
  <c r="V200" i="1" s="1"/>
  <c r="V201" i="1" s="1"/>
  <c r="V202" i="1" s="1"/>
  <c r="V203" i="1" s="1"/>
  <c r="V204" i="1" s="1"/>
  <c r="V205" i="1" s="1"/>
  <c r="V206" i="1" s="1"/>
  <c r="V207" i="1" s="1"/>
  <c r="V208" i="1" s="1"/>
  <c r="V209" i="1" s="1"/>
  <c r="V210" i="1" s="1"/>
  <c r="V211" i="1" s="1"/>
  <c r="V212" i="1" s="1"/>
  <c r="V213" i="1" s="1"/>
  <c r="V214" i="1" s="1"/>
  <c r="V215" i="1" s="1"/>
  <c r="V216" i="1" s="1"/>
  <c r="V217" i="1" s="1"/>
  <c r="V218" i="1" s="1"/>
  <c r="V219" i="1" s="1"/>
  <c r="V220" i="1" s="1"/>
  <c r="V135" i="1"/>
  <c r="V136" i="1" s="1"/>
  <c r="V137" i="1" s="1"/>
  <c r="V138" i="1" s="1"/>
  <c r="V139" i="1" s="1"/>
  <c r="V140" i="1" s="1"/>
  <c r="V141" i="1" s="1"/>
  <c r="V142" i="1" s="1"/>
  <c r="V143" i="1" s="1"/>
  <c r="V144" i="1" s="1"/>
  <c r="V145" i="1" s="1"/>
  <c r="V146" i="1" s="1"/>
  <c r="V147" i="1" s="1"/>
  <c r="V148" i="1" s="1"/>
  <c r="V149" i="1" s="1"/>
  <c r="V150" i="1" s="1"/>
  <c r="V151" i="1" s="1"/>
  <c r="V152" i="1" s="1"/>
  <c r="V153" i="1" s="1"/>
  <c r="V154" i="1" s="1"/>
  <c r="V155" i="1" s="1"/>
  <c r="V156" i="1" s="1"/>
  <c r="V157" i="1" s="1"/>
  <c r="V158" i="1" s="1"/>
  <c r="V159" i="1" s="1"/>
  <c r="V160" i="1" s="1"/>
  <c r="V161" i="1" s="1"/>
  <c r="V162" i="1" s="1"/>
  <c r="V163" i="1" s="1"/>
  <c r="V164" i="1" s="1"/>
  <c r="V165" i="1" s="1"/>
  <c r="V166" i="1" s="1"/>
  <c r="V167" i="1" s="1"/>
  <c r="V168" i="1" s="1"/>
  <c r="V169" i="1" s="1"/>
  <c r="V170" i="1" s="1"/>
  <c r="V171" i="1" s="1"/>
  <c r="V172" i="1" s="1"/>
  <c r="V173" i="1" s="1"/>
  <c r="V174" i="1" s="1"/>
  <c r="V175" i="1" s="1"/>
  <c r="V176" i="1" s="1"/>
  <c r="V91" i="1"/>
  <c r="V92" i="1" s="1"/>
  <c r="V93" i="1" s="1"/>
  <c r="V94" i="1" s="1"/>
  <c r="V95" i="1" s="1"/>
  <c r="V96" i="1" s="1"/>
  <c r="V97" i="1" s="1"/>
  <c r="V98" i="1" s="1"/>
  <c r="V99" i="1" s="1"/>
  <c r="V100" i="1" s="1"/>
  <c r="V101" i="1" s="1"/>
  <c r="V102" i="1" s="1"/>
  <c r="V103" i="1" s="1"/>
  <c r="V104" i="1" s="1"/>
  <c r="V105" i="1" s="1"/>
  <c r="V106" i="1" s="1"/>
  <c r="V107" i="1" s="1"/>
  <c r="V108" i="1" s="1"/>
  <c r="V109" i="1" s="1"/>
  <c r="V110" i="1" s="1"/>
  <c r="V111" i="1" s="1"/>
  <c r="V112" i="1" s="1"/>
  <c r="V113" i="1" s="1"/>
  <c r="V114" i="1" s="1"/>
  <c r="V115" i="1" s="1"/>
  <c r="V116" i="1" s="1"/>
  <c r="V117" i="1" s="1"/>
  <c r="V118" i="1" s="1"/>
  <c r="V119" i="1" s="1"/>
  <c r="V120" i="1" s="1"/>
  <c r="V121" i="1" s="1"/>
  <c r="V122" i="1" s="1"/>
  <c r="V123" i="1" s="1"/>
  <c r="V124" i="1" s="1"/>
  <c r="V125" i="1" s="1"/>
  <c r="V126" i="1" s="1"/>
  <c r="V127" i="1" s="1"/>
  <c r="V128" i="1" s="1"/>
  <c r="V129" i="1" s="1"/>
  <c r="V130" i="1" s="1"/>
  <c r="V131" i="1" s="1"/>
  <c r="V132" i="1" s="1"/>
  <c r="C3915" i="1"/>
  <c r="B3915" i="1"/>
  <c r="C3914" i="1"/>
  <c r="B3914" i="1"/>
  <c r="C3913" i="1"/>
  <c r="B3913" i="1"/>
  <c r="J3912" i="1"/>
  <c r="C3912" i="1"/>
  <c r="B3912" i="1"/>
  <c r="J3911" i="1"/>
  <c r="C3911" i="1"/>
  <c r="B3911" i="1"/>
  <c r="K3910" i="1" a="1"/>
  <c r="P3912" i="1" s="1"/>
  <c r="J3910" i="1"/>
  <c r="G3910" i="1"/>
  <c r="F3910" i="1"/>
  <c r="E3910" i="1"/>
  <c r="C3910" i="1"/>
  <c r="B3910" i="1"/>
  <c r="C3909" i="1"/>
  <c r="B3909" i="1"/>
  <c r="J3908" i="1"/>
  <c r="E3908" i="1"/>
  <c r="C3908" i="1"/>
  <c r="B3908" i="1"/>
  <c r="J3907" i="1"/>
  <c r="C3907" i="1"/>
  <c r="B3907" i="1"/>
  <c r="K3906" i="1" a="1"/>
  <c r="O3908" i="1" s="1"/>
  <c r="J3906" i="1"/>
  <c r="E3906" i="1"/>
  <c r="C3906" i="1"/>
  <c r="B3906" i="1"/>
  <c r="J3904" i="1"/>
  <c r="J3903" i="1"/>
  <c r="K3902" i="1" a="1"/>
  <c r="P3904" i="1" s="1"/>
  <c r="J3902" i="1"/>
  <c r="J3900" i="1"/>
  <c r="J3899" i="1"/>
  <c r="K3898" i="1" a="1"/>
  <c r="P3899" i="1" s="1"/>
  <c r="J3898" i="1"/>
  <c r="J3896" i="1"/>
  <c r="J3895" i="1"/>
  <c r="K3894" i="1" a="1"/>
  <c r="M3896" i="1" s="1"/>
  <c r="J3894" i="1"/>
  <c r="J3892" i="1"/>
  <c r="J3891" i="1"/>
  <c r="K3890" i="1" a="1"/>
  <c r="K3892" i="1" s="1"/>
  <c r="J3890" i="1"/>
  <c r="B3889" i="1"/>
  <c r="C3889" i="1" s="1"/>
  <c r="D3889" i="1" s="1"/>
  <c r="G3889" i="1" s="1"/>
  <c r="H3889" i="1" s="1"/>
  <c r="J3888" i="1"/>
  <c r="J3887" i="1"/>
  <c r="K3886" i="1" a="1"/>
  <c r="L3888" i="1" s="1"/>
  <c r="J3886" i="1"/>
  <c r="E3886" i="1"/>
  <c r="J3884" i="1"/>
  <c r="J3883" i="1"/>
  <c r="G3883" i="1"/>
  <c r="F3883" i="1"/>
  <c r="D3883" i="1"/>
  <c r="K3882" i="1" a="1"/>
  <c r="L3883" i="1" s="1"/>
  <c r="J3882" i="1"/>
  <c r="J3877" i="1"/>
  <c r="C3871" i="1"/>
  <c r="B3871" i="1"/>
  <c r="C3870" i="1"/>
  <c r="B3870" i="1"/>
  <c r="C3869" i="1"/>
  <c r="B3869" i="1"/>
  <c r="J3868" i="1"/>
  <c r="C3868" i="1"/>
  <c r="B3868" i="1"/>
  <c r="J3867" i="1"/>
  <c r="C3867" i="1"/>
  <c r="B3867" i="1"/>
  <c r="K3866" i="1" a="1"/>
  <c r="Q3868" i="1" s="1"/>
  <c r="J3866" i="1"/>
  <c r="G3866" i="1"/>
  <c r="F3866" i="1"/>
  <c r="E3866" i="1"/>
  <c r="C3866" i="1"/>
  <c r="B3866" i="1"/>
  <c r="C3865" i="1"/>
  <c r="B3865" i="1"/>
  <c r="J3864" i="1"/>
  <c r="E3864" i="1"/>
  <c r="C3864" i="1"/>
  <c r="B3864" i="1"/>
  <c r="J3863" i="1"/>
  <c r="C3863" i="1"/>
  <c r="B3863" i="1"/>
  <c r="K3862" i="1" a="1"/>
  <c r="J3862" i="1"/>
  <c r="E3862" i="1"/>
  <c r="C3862" i="1"/>
  <c r="B3862" i="1"/>
  <c r="J3860" i="1"/>
  <c r="J3859" i="1"/>
  <c r="K3858" i="1" a="1"/>
  <c r="N3860" i="1" s="1"/>
  <c r="J3858" i="1"/>
  <c r="J3856" i="1"/>
  <c r="J3855" i="1"/>
  <c r="K3854" i="1" a="1"/>
  <c r="N3856" i="1" s="1"/>
  <c r="J3854" i="1"/>
  <c r="J3852" i="1"/>
  <c r="J3851" i="1"/>
  <c r="K3850" i="1" a="1"/>
  <c r="L3852" i="1" s="1"/>
  <c r="J3850" i="1"/>
  <c r="J3848" i="1"/>
  <c r="J3847" i="1"/>
  <c r="K3846" i="1" a="1"/>
  <c r="N3848" i="1" s="1"/>
  <c r="J3846" i="1"/>
  <c r="B3845" i="1"/>
  <c r="C3845" i="1" s="1"/>
  <c r="D3845" i="1" s="1"/>
  <c r="G3845" i="1" s="1"/>
  <c r="H3845" i="1" s="1"/>
  <c r="J3844" i="1"/>
  <c r="J3843" i="1"/>
  <c r="K3842" i="1" a="1"/>
  <c r="M3843" i="1" s="1"/>
  <c r="J3842" i="1"/>
  <c r="E3842" i="1"/>
  <c r="J3840" i="1"/>
  <c r="J3839" i="1"/>
  <c r="G3839" i="1"/>
  <c r="F3839" i="1"/>
  <c r="D3839" i="1"/>
  <c r="K3838" i="1" a="1"/>
  <c r="K3839" i="1" s="1"/>
  <c r="J3838" i="1"/>
  <c r="J3833" i="1"/>
  <c r="C3827" i="1"/>
  <c r="B3827" i="1"/>
  <c r="C3826" i="1"/>
  <c r="B3826" i="1"/>
  <c r="C3825" i="1"/>
  <c r="B3825" i="1"/>
  <c r="J3824" i="1"/>
  <c r="C3824" i="1"/>
  <c r="B3824" i="1"/>
  <c r="J3823" i="1"/>
  <c r="C3823" i="1"/>
  <c r="B3823" i="1"/>
  <c r="K3822" i="1" a="1"/>
  <c r="Q3824" i="1" s="1"/>
  <c r="J3822" i="1"/>
  <c r="G3822" i="1"/>
  <c r="F3822" i="1"/>
  <c r="E3822" i="1"/>
  <c r="C3822" i="1"/>
  <c r="B3822" i="1"/>
  <c r="C3821" i="1"/>
  <c r="B3821" i="1"/>
  <c r="J3820" i="1"/>
  <c r="E3820" i="1"/>
  <c r="C3820" i="1"/>
  <c r="B3820" i="1"/>
  <c r="J3819" i="1"/>
  <c r="C3819" i="1"/>
  <c r="B3819" i="1"/>
  <c r="K3818" i="1" a="1"/>
  <c r="J3818" i="1"/>
  <c r="E3818" i="1"/>
  <c r="C3818" i="1"/>
  <c r="B3818" i="1"/>
  <c r="J3816" i="1"/>
  <c r="J3815" i="1"/>
  <c r="K3814" i="1" a="1"/>
  <c r="N3816" i="1" s="1"/>
  <c r="J3814" i="1"/>
  <c r="J3812" i="1"/>
  <c r="J3811" i="1"/>
  <c r="K3810" i="1" a="1"/>
  <c r="N3812" i="1" s="1"/>
  <c r="J3810" i="1"/>
  <c r="J3808" i="1"/>
  <c r="J3807" i="1"/>
  <c r="K3806" i="1" a="1"/>
  <c r="N3808" i="1" s="1"/>
  <c r="J3806" i="1"/>
  <c r="J3804" i="1"/>
  <c r="J3803" i="1"/>
  <c r="K3802" i="1" a="1"/>
  <c r="L3803" i="1" s="1"/>
  <c r="J3802" i="1"/>
  <c r="B3801" i="1"/>
  <c r="C3801" i="1" s="1"/>
  <c r="D3801" i="1" s="1"/>
  <c r="G3801" i="1" s="1"/>
  <c r="H3801" i="1" s="1"/>
  <c r="J3800" i="1"/>
  <c r="J3799" i="1"/>
  <c r="K3798" i="1" a="1"/>
  <c r="M3799" i="1" s="1"/>
  <c r="J3798" i="1"/>
  <c r="E3798" i="1"/>
  <c r="J3796" i="1"/>
  <c r="J3795" i="1"/>
  <c r="G3795" i="1"/>
  <c r="F3795" i="1"/>
  <c r="D3795" i="1"/>
  <c r="K3794" i="1" a="1"/>
  <c r="L3795" i="1" s="1"/>
  <c r="J3794" i="1"/>
  <c r="J3789" i="1"/>
  <c r="J3790" i="1" s="1"/>
  <c r="C3783" i="1"/>
  <c r="B3783" i="1"/>
  <c r="C3782" i="1"/>
  <c r="B3782" i="1"/>
  <c r="C3781" i="1"/>
  <c r="B3781" i="1"/>
  <c r="J3780" i="1"/>
  <c r="C3780" i="1"/>
  <c r="B3780" i="1"/>
  <c r="J3779" i="1"/>
  <c r="C3779" i="1"/>
  <c r="B3779" i="1"/>
  <c r="K3778" i="1" a="1"/>
  <c r="J3778" i="1"/>
  <c r="G3778" i="1"/>
  <c r="F3778" i="1"/>
  <c r="E3778" i="1"/>
  <c r="C3778" i="1"/>
  <c r="B3778" i="1"/>
  <c r="C3777" i="1"/>
  <c r="B3777" i="1"/>
  <c r="J3776" i="1"/>
  <c r="E3776" i="1"/>
  <c r="C3776" i="1"/>
  <c r="B3776" i="1"/>
  <c r="J3775" i="1"/>
  <c r="C3775" i="1"/>
  <c r="B3775" i="1"/>
  <c r="K3774" i="1" a="1"/>
  <c r="P3775" i="1" s="1"/>
  <c r="J3774" i="1"/>
  <c r="E3774" i="1"/>
  <c r="C3774" i="1"/>
  <c r="B3774" i="1"/>
  <c r="J3772" i="1"/>
  <c r="J3771" i="1"/>
  <c r="K3770" i="1" a="1"/>
  <c r="P3771" i="1" s="1"/>
  <c r="J3770" i="1"/>
  <c r="J3768" i="1"/>
  <c r="J3767" i="1"/>
  <c r="K3766" i="1" a="1"/>
  <c r="M3768" i="1" s="1"/>
  <c r="J3766" i="1"/>
  <c r="J3764" i="1"/>
  <c r="J3763" i="1"/>
  <c r="K3762" i="1" a="1"/>
  <c r="K3763" i="1" s="1"/>
  <c r="J3762" i="1"/>
  <c r="J3760" i="1"/>
  <c r="J3759" i="1"/>
  <c r="K3758" i="1" a="1"/>
  <c r="L3760" i="1" s="1"/>
  <c r="J3758" i="1"/>
  <c r="B3757" i="1"/>
  <c r="C3757" i="1" s="1"/>
  <c r="D3757" i="1" s="1"/>
  <c r="G3757" i="1" s="1"/>
  <c r="H3757" i="1" s="1"/>
  <c r="J3756" i="1"/>
  <c r="J3755" i="1"/>
  <c r="K3754" i="1" a="1"/>
  <c r="J3754" i="1"/>
  <c r="E3754" i="1"/>
  <c r="J3752" i="1"/>
  <c r="J3751" i="1"/>
  <c r="G3751" i="1"/>
  <c r="F3751" i="1"/>
  <c r="D3751" i="1"/>
  <c r="K3750" i="1" a="1"/>
  <c r="J3750" i="1"/>
  <c r="J3745" i="1"/>
  <c r="O3748" i="1" s="1"/>
  <c r="C3739" i="1"/>
  <c r="B3739" i="1"/>
  <c r="C3738" i="1"/>
  <c r="B3738" i="1"/>
  <c r="C3737" i="1"/>
  <c r="B3737" i="1"/>
  <c r="J3736" i="1"/>
  <c r="C3736" i="1"/>
  <c r="B3736" i="1"/>
  <c r="J3735" i="1"/>
  <c r="C3735" i="1"/>
  <c r="B3735" i="1"/>
  <c r="K3734" i="1" a="1"/>
  <c r="O3735" i="1" s="1"/>
  <c r="J3734" i="1"/>
  <c r="G3734" i="1"/>
  <c r="F3734" i="1"/>
  <c r="E3734" i="1"/>
  <c r="C3734" i="1"/>
  <c r="B3734" i="1"/>
  <c r="C3733" i="1"/>
  <c r="B3733" i="1"/>
  <c r="J3732" i="1"/>
  <c r="E3732" i="1"/>
  <c r="C3732" i="1"/>
  <c r="B3732" i="1"/>
  <c r="J3731" i="1"/>
  <c r="C3731" i="1"/>
  <c r="B3731" i="1"/>
  <c r="K3730" i="1" a="1"/>
  <c r="J3730" i="1"/>
  <c r="E3730" i="1"/>
  <c r="C3730" i="1"/>
  <c r="B3730" i="1"/>
  <c r="J3728" i="1"/>
  <c r="J3727" i="1"/>
  <c r="K3726" i="1" a="1"/>
  <c r="K3728" i="1" s="1"/>
  <c r="J3726" i="1"/>
  <c r="J3724" i="1"/>
  <c r="J3723" i="1"/>
  <c r="K3722" i="1" a="1"/>
  <c r="L3724" i="1" s="1"/>
  <c r="J3722" i="1"/>
  <c r="J3720" i="1"/>
  <c r="J3719" i="1"/>
  <c r="K3718" i="1" a="1"/>
  <c r="L3720" i="1" s="1"/>
  <c r="J3718" i="1"/>
  <c r="J3716" i="1"/>
  <c r="J3715" i="1"/>
  <c r="K3714" i="1" a="1"/>
  <c r="N3716" i="1" s="1"/>
  <c r="J3714" i="1"/>
  <c r="B3713" i="1"/>
  <c r="C3713" i="1" s="1"/>
  <c r="D3713" i="1" s="1"/>
  <c r="G3713" i="1" s="1"/>
  <c r="H3713" i="1" s="1"/>
  <c r="J3712" i="1"/>
  <c r="J3711" i="1"/>
  <c r="K3710" i="1" a="1"/>
  <c r="M3712" i="1" s="1"/>
  <c r="J3710" i="1"/>
  <c r="E3710" i="1"/>
  <c r="J3708" i="1"/>
  <c r="J3707" i="1"/>
  <c r="G3707" i="1"/>
  <c r="F3707" i="1"/>
  <c r="D3707" i="1"/>
  <c r="K3706" i="1" a="1"/>
  <c r="J3706" i="1"/>
  <c r="J3701" i="1"/>
  <c r="O3704" i="1" s="1"/>
  <c r="C3695" i="1"/>
  <c r="B3695" i="1"/>
  <c r="C3694" i="1"/>
  <c r="B3694" i="1"/>
  <c r="C3693" i="1"/>
  <c r="B3693" i="1"/>
  <c r="J3692" i="1"/>
  <c r="C3692" i="1"/>
  <c r="B3692" i="1"/>
  <c r="J3691" i="1"/>
  <c r="C3691" i="1"/>
  <c r="B3691" i="1"/>
  <c r="K3690" i="1" a="1"/>
  <c r="Q3691" i="1" s="1"/>
  <c r="J3690" i="1"/>
  <c r="G3690" i="1"/>
  <c r="F3690" i="1"/>
  <c r="E3690" i="1"/>
  <c r="C3690" i="1"/>
  <c r="B3690" i="1"/>
  <c r="C3689" i="1"/>
  <c r="B3689" i="1"/>
  <c r="J3688" i="1"/>
  <c r="E3688" i="1"/>
  <c r="C3688" i="1"/>
  <c r="B3688" i="1"/>
  <c r="J3687" i="1"/>
  <c r="C3687" i="1"/>
  <c r="B3687" i="1"/>
  <c r="K3686" i="1" a="1"/>
  <c r="O3688" i="1" s="1"/>
  <c r="J3686" i="1"/>
  <c r="E3686" i="1"/>
  <c r="C3686" i="1"/>
  <c r="B3686" i="1"/>
  <c r="J3684" i="1"/>
  <c r="J3683" i="1"/>
  <c r="K3682" i="1" a="1"/>
  <c r="P3684" i="1" s="1"/>
  <c r="J3682" i="1"/>
  <c r="J3680" i="1"/>
  <c r="J3679" i="1"/>
  <c r="K3678" i="1" a="1"/>
  <c r="J3678" i="1"/>
  <c r="J3676" i="1"/>
  <c r="J3675" i="1"/>
  <c r="K3674" i="1" a="1"/>
  <c r="L3676" i="1" s="1"/>
  <c r="J3674" i="1"/>
  <c r="J3672" i="1"/>
  <c r="J3671" i="1"/>
  <c r="K3670" i="1" a="1"/>
  <c r="K3672" i="1" s="1"/>
  <c r="J3670" i="1"/>
  <c r="B3669" i="1"/>
  <c r="C3669" i="1" s="1"/>
  <c r="D3669" i="1" s="1"/>
  <c r="G3669" i="1" s="1"/>
  <c r="H3669" i="1" s="1"/>
  <c r="J3668" i="1"/>
  <c r="J3667" i="1"/>
  <c r="K3666" i="1" a="1"/>
  <c r="L3668" i="1" s="1"/>
  <c r="J3666" i="1"/>
  <c r="E3666" i="1"/>
  <c r="J3664" i="1"/>
  <c r="J3663" i="1"/>
  <c r="G3663" i="1"/>
  <c r="F3663" i="1"/>
  <c r="D3663" i="1"/>
  <c r="K3662" i="1" a="1"/>
  <c r="K3664" i="1" s="1"/>
  <c r="J3662" i="1"/>
  <c r="J3657" i="1"/>
  <c r="O3660" i="1" s="1"/>
  <c r="C3651" i="1"/>
  <c r="B3651" i="1"/>
  <c r="C3650" i="1"/>
  <c r="B3650" i="1"/>
  <c r="C3649" i="1"/>
  <c r="B3649" i="1"/>
  <c r="J3648" i="1"/>
  <c r="C3648" i="1"/>
  <c r="B3648" i="1"/>
  <c r="J3647" i="1"/>
  <c r="C3647" i="1"/>
  <c r="B3647" i="1"/>
  <c r="K3646" i="1" a="1"/>
  <c r="Q3648" i="1" s="1"/>
  <c r="J3646" i="1"/>
  <c r="G3646" i="1"/>
  <c r="F3646" i="1"/>
  <c r="E3646" i="1"/>
  <c r="C3646" i="1"/>
  <c r="B3646" i="1"/>
  <c r="C3645" i="1"/>
  <c r="B3645" i="1"/>
  <c r="J3644" i="1"/>
  <c r="E3644" i="1"/>
  <c r="C3644" i="1"/>
  <c r="B3644" i="1"/>
  <c r="J3643" i="1"/>
  <c r="C3643" i="1"/>
  <c r="B3643" i="1"/>
  <c r="K3642" i="1" a="1"/>
  <c r="O3643" i="1" s="1"/>
  <c r="J3642" i="1"/>
  <c r="E3642" i="1"/>
  <c r="C3642" i="1"/>
  <c r="B3642" i="1"/>
  <c r="J3640" i="1"/>
  <c r="J3639" i="1"/>
  <c r="K3638" i="1" a="1"/>
  <c r="P3640" i="1" s="1"/>
  <c r="J3638" i="1"/>
  <c r="J3636" i="1"/>
  <c r="J3635" i="1"/>
  <c r="K3634" i="1" a="1"/>
  <c r="N3636" i="1" s="1"/>
  <c r="J3634" i="1"/>
  <c r="J3632" i="1"/>
  <c r="J3631" i="1"/>
  <c r="K3630" i="1" a="1"/>
  <c r="N3632" i="1" s="1"/>
  <c r="J3630" i="1"/>
  <c r="J3628" i="1"/>
  <c r="J3627" i="1"/>
  <c r="K3626" i="1" a="1"/>
  <c r="L3628" i="1" s="1"/>
  <c r="J3626" i="1"/>
  <c r="B3625" i="1"/>
  <c r="C3625" i="1" s="1"/>
  <c r="D3625" i="1" s="1"/>
  <c r="G3625" i="1" s="1"/>
  <c r="H3625" i="1" s="1"/>
  <c r="J3624" i="1"/>
  <c r="J3623" i="1"/>
  <c r="K3622" i="1" a="1"/>
  <c r="L3624" i="1" s="1"/>
  <c r="J3622" i="1"/>
  <c r="E3622" i="1"/>
  <c r="J3620" i="1"/>
  <c r="J3619" i="1"/>
  <c r="G3619" i="1"/>
  <c r="F3619" i="1"/>
  <c r="D3619" i="1"/>
  <c r="K3618" i="1" a="1"/>
  <c r="L3620" i="1" s="1"/>
  <c r="J3618" i="1"/>
  <c r="J3613" i="1"/>
  <c r="O3616" i="1" s="1"/>
  <c r="C3607" i="1"/>
  <c r="B3607" i="1"/>
  <c r="C3606" i="1"/>
  <c r="B3606" i="1"/>
  <c r="C3605" i="1"/>
  <c r="B3605" i="1"/>
  <c r="J3604" i="1"/>
  <c r="C3604" i="1"/>
  <c r="B3604" i="1"/>
  <c r="J3603" i="1"/>
  <c r="C3603" i="1"/>
  <c r="B3603" i="1"/>
  <c r="K3602" i="1" a="1"/>
  <c r="R3604" i="1" s="1"/>
  <c r="J3602" i="1"/>
  <c r="G3602" i="1"/>
  <c r="F3602" i="1"/>
  <c r="E3602" i="1"/>
  <c r="C3602" i="1"/>
  <c r="B3602" i="1"/>
  <c r="C3601" i="1"/>
  <c r="B3601" i="1"/>
  <c r="J3600" i="1"/>
  <c r="E3600" i="1"/>
  <c r="C3600" i="1"/>
  <c r="B3600" i="1"/>
  <c r="J3599" i="1"/>
  <c r="C3599" i="1"/>
  <c r="B3599" i="1"/>
  <c r="K3598" i="1" a="1"/>
  <c r="J3598" i="1"/>
  <c r="E3598" i="1"/>
  <c r="C3598" i="1"/>
  <c r="B3598" i="1"/>
  <c r="J3596" i="1"/>
  <c r="J3595" i="1"/>
  <c r="K3594" i="1" a="1"/>
  <c r="O3595" i="1" s="1"/>
  <c r="J3594" i="1"/>
  <c r="J3592" i="1"/>
  <c r="J3591" i="1"/>
  <c r="K3590" i="1" a="1"/>
  <c r="N3592" i="1" s="1"/>
  <c r="J3590" i="1"/>
  <c r="J3588" i="1"/>
  <c r="J3587" i="1"/>
  <c r="K3586" i="1" a="1"/>
  <c r="N3588" i="1" s="1"/>
  <c r="J3586" i="1"/>
  <c r="J3584" i="1"/>
  <c r="J3583" i="1"/>
  <c r="K3582" i="1" a="1"/>
  <c r="L3582" i="1" s="1"/>
  <c r="J3582" i="1"/>
  <c r="B3581" i="1"/>
  <c r="C3581" i="1" s="1"/>
  <c r="D3581" i="1" s="1"/>
  <c r="G3581" i="1" s="1"/>
  <c r="H3581" i="1" s="1"/>
  <c r="J3580" i="1"/>
  <c r="J3579" i="1"/>
  <c r="K3578" i="1" a="1"/>
  <c r="K3579" i="1" s="1"/>
  <c r="J3578" i="1"/>
  <c r="E3578" i="1"/>
  <c r="J3576" i="1"/>
  <c r="J3575" i="1"/>
  <c r="G3575" i="1"/>
  <c r="F3575" i="1"/>
  <c r="D3575" i="1"/>
  <c r="K3574" i="1" a="1"/>
  <c r="J3574" i="1"/>
  <c r="J3569" i="1"/>
  <c r="O3572" i="1" s="1"/>
  <c r="C3563" i="1"/>
  <c r="B3563" i="1"/>
  <c r="C3562" i="1"/>
  <c r="B3562" i="1"/>
  <c r="C3561" i="1"/>
  <c r="B3561" i="1"/>
  <c r="J3560" i="1"/>
  <c r="C3560" i="1"/>
  <c r="B3560" i="1"/>
  <c r="J3559" i="1"/>
  <c r="C3559" i="1"/>
  <c r="B3559" i="1"/>
  <c r="K3558" i="1" a="1"/>
  <c r="P3560" i="1" s="1"/>
  <c r="J3558" i="1"/>
  <c r="G3558" i="1"/>
  <c r="F3558" i="1"/>
  <c r="E3558" i="1"/>
  <c r="C3558" i="1"/>
  <c r="B3558" i="1"/>
  <c r="C3557" i="1"/>
  <c r="B3557" i="1"/>
  <c r="J3556" i="1"/>
  <c r="E3556" i="1"/>
  <c r="C3556" i="1"/>
  <c r="B3556" i="1"/>
  <c r="J3555" i="1"/>
  <c r="C3555" i="1"/>
  <c r="B3555" i="1"/>
  <c r="K3554" i="1" a="1"/>
  <c r="Q3556" i="1" s="1"/>
  <c r="J3554" i="1"/>
  <c r="E3554" i="1"/>
  <c r="C3554" i="1"/>
  <c r="B3554" i="1"/>
  <c r="J3552" i="1"/>
  <c r="J3551" i="1"/>
  <c r="K3550" i="1" a="1"/>
  <c r="N3552" i="1" s="1"/>
  <c r="J3550" i="1"/>
  <c r="J3548" i="1"/>
  <c r="J3547" i="1"/>
  <c r="K3546" i="1" a="1"/>
  <c r="N3548" i="1" s="1"/>
  <c r="J3546" i="1"/>
  <c r="J3544" i="1"/>
  <c r="J3543" i="1"/>
  <c r="K3542" i="1" a="1"/>
  <c r="O3544" i="1" s="1"/>
  <c r="J3542" i="1"/>
  <c r="J3540" i="1"/>
  <c r="J3539" i="1"/>
  <c r="K3538" i="1" a="1"/>
  <c r="M3540" i="1" s="1"/>
  <c r="J3538" i="1"/>
  <c r="B3537" i="1"/>
  <c r="C3537" i="1" s="1"/>
  <c r="D3537" i="1" s="1"/>
  <c r="G3537" i="1" s="1"/>
  <c r="H3537" i="1" s="1"/>
  <c r="J3536" i="1"/>
  <c r="J3535" i="1"/>
  <c r="K3534" i="1" a="1"/>
  <c r="L3536" i="1" s="1"/>
  <c r="J3534" i="1"/>
  <c r="E3534" i="1"/>
  <c r="J3532" i="1"/>
  <c r="J3531" i="1"/>
  <c r="G3531" i="1"/>
  <c r="F3531" i="1"/>
  <c r="D3531" i="1"/>
  <c r="K3530" i="1" a="1"/>
  <c r="K3531" i="1" s="1"/>
  <c r="J3530" i="1"/>
  <c r="J3525" i="1"/>
  <c r="C3519" i="1"/>
  <c r="B3519" i="1"/>
  <c r="C3518" i="1"/>
  <c r="B3518" i="1"/>
  <c r="C3517" i="1"/>
  <c r="B3517" i="1"/>
  <c r="J3516" i="1"/>
  <c r="C3516" i="1"/>
  <c r="B3516" i="1"/>
  <c r="J3515" i="1"/>
  <c r="C3515" i="1"/>
  <c r="B3515" i="1"/>
  <c r="K3514" i="1" a="1"/>
  <c r="S3516" i="1" s="1"/>
  <c r="J3514" i="1"/>
  <c r="G3514" i="1"/>
  <c r="F3514" i="1"/>
  <c r="E3514" i="1"/>
  <c r="C3514" i="1"/>
  <c r="B3514" i="1"/>
  <c r="C3513" i="1"/>
  <c r="B3513" i="1"/>
  <c r="J3512" i="1"/>
  <c r="E3512" i="1"/>
  <c r="C3512" i="1"/>
  <c r="B3512" i="1"/>
  <c r="J3511" i="1"/>
  <c r="C3511" i="1"/>
  <c r="B3511" i="1"/>
  <c r="K3510" i="1" a="1"/>
  <c r="R3512" i="1" s="1"/>
  <c r="J3510" i="1"/>
  <c r="E3510" i="1"/>
  <c r="C3510" i="1"/>
  <c r="B3510" i="1"/>
  <c r="J3508" i="1"/>
  <c r="J3507" i="1"/>
  <c r="K3506" i="1" a="1"/>
  <c r="P3508" i="1" s="1"/>
  <c r="J3506" i="1"/>
  <c r="J3504" i="1"/>
  <c r="J3503" i="1"/>
  <c r="K3502" i="1" a="1"/>
  <c r="J3502" i="1"/>
  <c r="J3500" i="1"/>
  <c r="J3499" i="1"/>
  <c r="K3498" i="1" a="1"/>
  <c r="J3498" i="1"/>
  <c r="J3496" i="1"/>
  <c r="J3495" i="1"/>
  <c r="K3494" i="1" a="1"/>
  <c r="N3496" i="1" s="1"/>
  <c r="J3494" i="1"/>
  <c r="B3493" i="1"/>
  <c r="C3493" i="1" s="1"/>
  <c r="D3493" i="1" s="1"/>
  <c r="G3493" i="1" s="1"/>
  <c r="H3493" i="1" s="1"/>
  <c r="J3492" i="1"/>
  <c r="J3491" i="1"/>
  <c r="K3490" i="1" a="1"/>
  <c r="K3492" i="1" s="1"/>
  <c r="J3490" i="1"/>
  <c r="E3490" i="1"/>
  <c r="J3488" i="1"/>
  <c r="J3487" i="1"/>
  <c r="G3487" i="1"/>
  <c r="F3487" i="1"/>
  <c r="D3487" i="1"/>
  <c r="K3486" i="1" a="1"/>
  <c r="L3488" i="1" s="1"/>
  <c r="J3486" i="1"/>
  <c r="J3481" i="1"/>
  <c r="J3484" i="1" s="1"/>
  <c r="C2771" i="1"/>
  <c r="B2771" i="1"/>
  <c r="C2770" i="1"/>
  <c r="B2770" i="1"/>
  <c r="C2769" i="1"/>
  <c r="B2769" i="1"/>
  <c r="J2768" i="1"/>
  <c r="C2768" i="1"/>
  <c r="B2768" i="1"/>
  <c r="J2767" i="1"/>
  <c r="C2767" i="1"/>
  <c r="B2767" i="1"/>
  <c r="K2766" i="1" a="1"/>
  <c r="P2768" i="1" s="1"/>
  <c r="J2766" i="1"/>
  <c r="G2766" i="1"/>
  <c r="F2766" i="1"/>
  <c r="C2766" i="1"/>
  <c r="B2766" i="1"/>
  <c r="C2765" i="1"/>
  <c r="B2765" i="1"/>
  <c r="J2764" i="1"/>
  <c r="C2764" i="1"/>
  <c r="B2764" i="1"/>
  <c r="J2763" i="1"/>
  <c r="C2763" i="1"/>
  <c r="B2763" i="1"/>
  <c r="K2762" i="1" a="1"/>
  <c r="M2763" i="1" s="1"/>
  <c r="J2762" i="1"/>
  <c r="C2762" i="1"/>
  <c r="B2762" i="1"/>
  <c r="J2760" i="1"/>
  <c r="J2759" i="1"/>
  <c r="K2758" i="1" a="1"/>
  <c r="O2760" i="1" s="1"/>
  <c r="J2758" i="1"/>
  <c r="J2756" i="1"/>
  <c r="J2755" i="1"/>
  <c r="K2754" i="1" a="1"/>
  <c r="P2755" i="1" s="1"/>
  <c r="J2754" i="1"/>
  <c r="J2752" i="1"/>
  <c r="J2751" i="1"/>
  <c r="K2750" i="1" a="1"/>
  <c r="J2750" i="1"/>
  <c r="J2748" i="1"/>
  <c r="J2747" i="1"/>
  <c r="K2746" i="1" a="1"/>
  <c r="M2748" i="1" s="1"/>
  <c r="J2746" i="1"/>
  <c r="B2745" i="1"/>
  <c r="C2745" i="1" s="1"/>
  <c r="D2745" i="1" s="1"/>
  <c r="G2745" i="1" s="1"/>
  <c r="H2745" i="1" s="1"/>
  <c r="J2744" i="1"/>
  <c r="J2743" i="1"/>
  <c r="K2742" i="1" a="1"/>
  <c r="J2742" i="1"/>
  <c r="E2742" i="1"/>
  <c r="J2740" i="1"/>
  <c r="J2739" i="1"/>
  <c r="G2739" i="1"/>
  <c r="F2739" i="1"/>
  <c r="D2739" i="1"/>
  <c r="K2738" i="1" a="1"/>
  <c r="J2738" i="1"/>
  <c r="J2733" i="1"/>
  <c r="J2734" i="1" s="1"/>
  <c r="C2727" i="1"/>
  <c r="B2727" i="1"/>
  <c r="C2726" i="1"/>
  <c r="B2726" i="1"/>
  <c r="C2725" i="1"/>
  <c r="B2725" i="1"/>
  <c r="J2724" i="1"/>
  <c r="C2724" i="1"/>
  <c r="B2724" i="1"/>
  <c r="J2723" i="1"/>
  <c r="C2723" i="1"/>
  <c r="B2723" i="1"/>
  <c r="K2722" i="1" a="1"/>
  <c r="M2723" i="1" s="1"/>
  <c r="J2722" i="1"/>
  <c r="G2722" i="1"/>
  <c r="F2722" i="1"/>
  <c r="C2722" i="1"/>
  <c r="B2722" i="1"/>
  <c r="C2721" i="1"/>
  <c r="B2721" i="1"/>
  <c r="J2720" i="1"/>
  <c r="C2720" i="1"/>
  <c r="B2720" i="1"/>
  <c r="J2719" i="1"/>
  <c r="C2719" i="1"/>
  <c r="B2719" i="1"/>
  <c r="K2718" i="1" a="1"/>
  <c r="J2718" i="1"/>
  <c r="C2718" i="1"/>
  <c r="B2718" i="1"/>
  <c r="J2716" i="1"/>
  <c r="J2715" i="1"/>
  <c r="K2714" i="1" a="1"/>
  <c r="J2714" i="1"/>
  <c r="J2712" i="1"/>
  <c r="J2711" i="1"/>
  <c r="K2710" i="1" a="1"/>
  <c r="L2712" i="1" s="1"/>
  <c r="J2710" i="1"/>
  <c r="J2708" i="1"/>
  <c r="J2707" i="1"/>
  <c r="K2706" i="1" a="1"/>
  <c r="M2708" i="1" s="1"/>
  <c r="J2706" i="1"/>
  <c r="J2704" i="1"/>
  <c r="J2703" i="1"/>
  <c r="K2702" i="1" a="1"/>
  <c r="J2702" i="1"/>
  <c r="B2701" i="1"/>
  <c r="C2701" i="1" s="1"/>
  <c r="D2701" i="1" s="1"/>
  <c r="G2701" i="1" s="1"/>
  <c r="H2701" i="1" s="1"/>
  <c r="J2700" i="1"/>
  <c r="J2699" i="1"/>
  <c r="K2698" i="1" a="1"/>
  <c r="J2698" i="1"/>
  <c r="E2698" i="1"/>
  <c r="J2696" i="1"/>
  <c r="J2695" i="1"/>
  <c r="G2695" i="1"/>
  <c r="F2695" i="1"/>
  <c r="D2695" i="1"/>
  <c r="K2694" i="1" a="1"/>
  <c r="L2696" i="1" s="1"/>
  <c r="J2694" i="1"/>
  <c r="J2689" i="1"/>
  <c r="C2683" i="1"/>
  <c r="B2683" i="1"/>
  <c r="C2682" i="1"/>
  <c r="B2682" i="1"/>
  <c r="C2681" i="1"/>
  <c r="B2681" i="1"/>
  <c r="J2680" i="1"/>
  <c r="C2680" i="1"/>
  <c r="B2680" i="1"/>
  <c r="J2679" i="1"/>
  <c r="C2679" i="1"/>
  <c r="B2679" i="1"/>
  <c r="K2678" i="1" a="1"/>
  <c r="Q2680" i="1" s="1"/>
  <c r="J2678" i="1"/>
  <c r="G2678" i="1"/>
  <c r="F2678" i="1"/>
  <c r="C2678" i="1"/>
  <c r="B2678" i="1"/>
  <c r="C2677" i="1"/>
  <c r="B2677" i="1"/>
  <c r="J2676" i="1"/>
  <c r="C2676" i="1"/>
  <c r="B2676" i="1"/>
  <c r="J2675" i="1"/>
  <c r="C2675" i="1"/>
  <c r="B2675" i="1"/>
  <c r="K2674" i="1" a="1"/>
  <c r="N2675" i="1" s="1"/>
  <c r="J2674" i="1"/>
  <c r="C2674" i="1"/>
  <c r="B2674" i="1"/>
  <c r="J2672" i="1"/>
  <c r="J2671" i="1"/>
  <c r="K2670" i="1" a="1"/>
  <c r="J2670" i="1"/>
  <c r="J2668" i="1"/>
  <c r="J2667" i="1"/>
  <c r="K2666" i="1" a="1"/>
  <c r="N2668" i="1" s="1"/>
  <c r="J2666" i="1"/>
  <c r="J2664" i="1"/>
  <c r="J2663" i="1"/>
  <c r="K2662" i="1" a="1"/>
  <c r="L2664" i="1" s="1"/>
  <c r="J2662" i="1"/>
  <c r="J2660" i="1"/>
  <c r="J2659" i="1"/>
  <c r="K2658" i="1" a="1"/>
  <c r="N2660" i="1" s="1"/>
  <c r="J2658" i="1"/>
  <c r="J2656" i="1"/>
  <c r="J2655" i="1"/>
  <c r="K2654" i="1" a="1"/>
  <c r="M2656" i="1" s="1"/>
  <c r="J2654" i="1"/>
  <c r="J2652" i="1"/>
  <c r="J2651" i="1"/>
  <c r="K2650" i="1" a="1"/>
  <c r="J2650" i="1"/>
  <c r="J2645" i="1"/>
  <c r="J2646" i="1" s="1"/>
  <c r="C2639" i="1"/>
  <c r="B2639" i="1"/>
  <c r="C2638" i="1"/>
  <c r="B2638" i="1"/>
  <c r="C2637" i="1"/>
  <c r="B2637" i="1"/>
  <c r="J2636" i="1"/>
  <c r="C2636" i="1"/>
  <c r="B2636" i="1"/>
  <c r="J2635" i="1"/>
  <c r="C2635" i="1"/>
  <c r="B2635" i="1"/>
  <c r="K2634" i="1" a="1"/>
  <c r="L2636" i="1" s="1"/>
  <c r="J2634" i="1"/>
  <c r="G2634" i="1"/>
  <c r="F2634" i="1"/>
  <c r="C2634" i="1"/>
  <c r="B2634" i="1"/>
  <c r="C2633" i="1"/>
  <c r="B2633" i="1"/>
  <c r="J2632" i="1"/>
  <c r="C2632" i="1"/>
  <c r="B2632" i="1"/>
  <c r="J2631" i="1"/>
  <c r="C2631" i="1"/>
  <c r="B2631" i="1"/>
  <c r="K2630" i="1" a="1"/>
  <c r="O2632" i="1" s="1"/>
  <c r="J2630" i="1"/>
  <c r="C2630" i="1"/>
  <c r="B2630" i="1"/>
  <c r="J2628" i="1"/>
  <c r="J2627" i="1"/>
  <c r="K2626" i="1" a="1"/>
  <c r="P2628" i="1" s="1"/>
  <c r="J2626" i="1"/>
  <c r="J2624" i="1"/>
  <c r="J2623" i="1"/>
  <c r="K2622" i="1" a="1"/>
  <c r="O2624" i="1" s="1"/>
  <c r="J2622" i="1"/>
  <c r="J2620" i="1"/>
  <c r="J2619" i="1"/>
  <c r="K2618" i="1" a="1"/>
  <c r="L2620" i="1" s="1"/>
  <c r="J2618" i="1"/>
  <c r="J2616" i="1"/>
  <c r="J2615" i="1"/>
  <c r="K2614" i="1" a="1"/>
  <c r="J2614" i="1"/>
  <c r="J2612" i="1"/>
  <c r="J2611" i="1"/>
  <c r="K2610" i="1" a="1"/>
  <c r="J2610" i="1"/>
  <c r="J2608" i="1"/>
  <c r="J2607" i="1"/>
  <c r="K2606" i="1" a="1"/>
  <c r="L2607" i="1" s="1"/>
  <c r="J2606" i="1"/>
  <c r="J2601" i="1"/>
  <c r="C2595" i="1"/>
  <c r="B2595" i="1"/>
  <c r="C2594" i="1"/>
  <c r="B2594" i="1"/>
  <c r="C2593" i="1"/>
  <c r="B2593" i="1"/>
  <c r="J2592" i="1"/>
  <c r="C2592" i="1"/>
  <c r="B2592" i="1"/>
  <c r="J2591" i="1"/>
  <c r="C2591" i="1"/>
  <c r="B2591" i="1"/>
  <c r="K2590" i="1" a="1"/>
  <c r="P2592" i="1" s="1"/>
  <c r="J2590" i="1"/>
  <c r="G2590" i="1"/>
  <c r="F2590" i="1"/>
  <c r="C2590" i="1"/>
  <c r="B2590" i="1"/>
  <c r="C2589" i="1"/>
  <c r="B2589" i="1"/>
  <c r="J2588" i="1"/>
  <c r="C2588" i="1"/>
  <c r="B2588" i="1"/>
  <c r="J2587" i="1"/>
  <c r="C2587" i="1"/>
  <c r="B2587" i="1"/>
  <c r="K2586" i="1" a="1"/>
  <c r="R2588" i="1" s="1"/>
  <c r="J2586" i="1"/>
  <c r="C2586" i="1"/>
  <c r="B2586" i="1"/>
  <c r="J2584" i="1"/>
  <c r="J2583" i="1"/>
  <c r="K2582" i="1" a="1"/>
  <c r="P2584" i="1" s="1"/>
  <c r="J2582" i="1"/>
  <c r="J2580" i="1"/>
  <c r="J2579" i="1"/>
  <c r="K2578" i="1" a="1"/>
  <c r="J2578" i="1"/>
  <c r="J2576" i="1"/>
  <c r="J2575" i="1"/>
  <c r="K2574" i="1" a="1"/>
  <c r="L2575" i="1" s="1"/>
  <c r="J2574" i="1"/>
  <c r="J2572" i="1"/>
  <c r="J2571" i="1"/>
  <c r="K2570" i="1" a="1"/>
  <c r="L2572" i="1" s="1"/>
  <c r="J2570" i="1"/>
  <c r="J2568" i="1"/>
  <c r="J2567" i="1"/>
  <c r="K2566" i="1" a="1"/>
  <c r="L2568" i="1" s="1"/>
  <c r="J2566" i="1"/>
  <c r="J2564" i="1"/>
  <c r="J2563" i="1"/>
  <c r="K2562" i="1" a="1"/>
  <c r="L2564" i="1" s="1"/>
  <c r="J2562" i="1"/>
  <c r="J2557" i="1"/>
  <c r="O2560" i="1" s="1"/>
  <c r="C2551" i="1"/>
  <c r="B2551" i="1"/>
  <c r="C2550" i="1"/>
  <c r="B2550" i="1"/>
  <c r="C2549" i="1"/>
  <c r="B2549" i="1"/>
  <c r="J2548" i="1"/>
  <c r="C2548" i="1"/>
  <c r="B2548" i="1"/>
  <c r="J2547" i="1"/>
  <c r="C2547" i="1"/>
  <c r="B2547" i="1"/>
  <c r="K2546" i="1" a="1"/>
  <c r="R2548" i="1" s="1"/>
  <c r="J2546" i="1"/>
  <c r="G2546" i="1"/>
  <c r="F2546" i="1"/>
  <c r="C2546" i="1"/>
  <c r="B2546" i="1"/>
  <c r="C2545" i="1"/>
  <c r="B2545" i="1"/>
  <c r="J2544" i="1"/>
  <c r="C2544" i="1"/>
  <c r="B2544" i="1"/>
  <c r="J2543" i="1"/>
  <c r="C2543" i="1"/>
  <c r="B2543" i="1"/>
  <c r="K2542" i="1" a="1"/>
  <c r="J2542" i="1"/>
  <c r="C2542" i="1"/>
  <c r="B2542" i="1"/>
  <c r="J2540" i="1"/>
  <c r="J2539" i="1"/>
  <c r="K2538" i="1" a="1"/>
  <c r="J2538" i="1"/>
  <c r="J2536" i="1"/>
  <c r="J2535" i="1"/>
  <c r="K2534" i="1" a="1"/>
  <c r="N2536" i="1" s="1"/>
  <c r="J2534" i="1"/>
  <c r="J2532" i="1"/>
  <c r="J2531" i="1"/>
  <c r="K2530" i="1" a="1"/>
  <c r="M2531" i="1" s="1"/>
  <c r="J2530" i="1"/>
  <c r="J2528" i="1"/>
  <c r="J2527" i="1"/>
  <c r="K2526" i="1" a="1"/>
  <c r="K2528" i="1" s="1"/>
  <c r="J2526" i="1"/>
  <c r="B2525" i="1"/>
  <c r="C2525" i="1" s="1"/>
  <c r="D2525" i="1" s="1"/>
  <c r="G2525" i="1" s="1"/>
  <c r="H2525" i="1" s="1"/>
  <c r="J2524" i="1"/>
  <c r="J2523" i="1"/>
  <c r="K2522" i="1" a="1"/>
  <c r="M2524" i="1" s="1"/>
  <c r="J2522" i="1"/>
  <c r="E2522" i="1"/>
  <c r="J2520" i="1"/>
  <c r="J2519" i="1"/>
  <c r="G2519" i="1"/>
  <c r="F2519" i="1"/>
  <c r="D2519" i="1"/>
  <c r="K2518" i="1" a="1"/>
  <c r="K2519" i="1" s="1"/>
  <c r="J2518" i="1"/>
  <c r="J2513" i="1"/>
  <c r="O2516" i="1" s="1"/>
  <c r="C2507" i="1"/>
  <c r="B2507" i="1"/>
  <c r="C2506" i="1"/>
  <c r="B2506" i="1"/>
  <c r="C2505" i="1"/>
  <c r="B2505" i="1"/>
  <c r="J2504" i="1"/>
  <c r="C2504" i="1"/>
  <c r="B2504" i="1"/>
  <c r="J2503" i="1"/>
  <c r="C2503" i="1"/>
  <c r="B2503" i="1"/>
  <c r="K2502" i="1" a="1"/>
  <c r="Q2503" i="1" s="1"/>
  <c r="J2502" i="1"/>
  <c r="G2502" i="1"/>
  <c r="F2502" i="1"/>
  <c r="C2502" i="1"/>
  <c r="B2502" i="1"/>
  <c r="C2501" i="1"/>
  <c r="B2501" i="1"/>
  <c r="J2500" i="1"/>
  <c r="C2500" i="1"/>
  <c r="B2500" i="1"/>
  <c r="J2499" i="1"/>
  <c r="C2499" i="1"/>
  <c r="B2499" i="1"/>
  <c r="K2498" i="1" a="1"/>
  <c r="J2498" i="1"/>
  <c r="C2498" i="1"/>
  <c r="B2498" i="1"/>
  <c r="J2496" i="1"/>
  <c r="J2495" i="1"/>
  <c r="K2494" i="1" a="1"/>
  <c r="P2496" i="1" s="1"/>
  <c r="J2494" i="1"/>
  <c r="J2492" i="1"/>
  <c r="J2491" i="1"/>
  <c r="K2490" i="1" a="1"/>
  <c r="J2490" i="1"/>
  <c r="J2488" i="1"/>
  <c r="J2487" i="1"/>
  <c r="K2486" i="1" a="1"/>
  <c r="K2488" i="1" s="1"/>
  <c r="J2486" i="1"/>
  <c r="J2484" i="1"/>
  <c r="J2483" i="1"/>
  <c r="K2482" i="1" a="1"/>
  <c r="L2484" i="1" s="1"/>
  <c r="J2482" i="1"/>
  <c r="B2481" i="1"/>
  <c r="C2481" i="1" s="1"/>
  <c r="D2481" i="1" s="1"/>
  <c r="G2481" i="1" s="1"/>
  <c r="H2481" i="1" s="1"/>
  <c r="J2480" i="1"/>
  <c r="J2479" i="1"/>
  <c r="K2478" i="1" a="1"/>
  <c r="J2478" i="1"/>
  <c r="E2478" i="1"/>
  <c r="J2476" i="1"/>
  <c r="J2475" i="1"/>
  <c r="G2475" i="1"/>
  <c r="F2475" i="1"/>
  <c r="D2475" i="1"/>
  <c r="K2474" i="1" a="1"/>
  <c r="J2474" i="1"/>
  <c r="J2469" i="1"/>
  <c r="C2463" i="1"/>
  <c r="B2463" i="1"/>
  <c r="C2462" i="1"/>
  <c r="B2462" i="1"/>
  <c r="C2461" i="1"/>
  <c r="B2461" i="1"/>
  <c r="J2460" i="1"/>
  <c r="C2460" i="1"/>
  <c r="B2460" i="1"/>
  <c r="J2459" i="1"/>
  <c r="C2459" i="1"/>
  <c r="B2459" i="1"/>
  <c r="K2458" i="1" a="1"/>
  <c r="L2460" i="1" s="1"/>
  <c r="J2458" i="1"/>
  <c r="G2458" i="1"/>
  <c r="F2458" i="1"/>
  <c r="C2458" i="1"/>
  <c r="B2458" i="1"/>
  <c r="C2457" i="1"/>
  <c r="B2457" i="1"/>
  <c r="J2456" i="1"/>
  <c r="C2456" i="1"/>
  <c r="B2456" i="1"/>
  <c r="J2455" i="1"/>
  <c r="C2455" i="1"/>
  <c r="B2455" i="1"/>
  <c r="K2454" i="1" a="1"/>
  <c r="N2456" i="1" s="1"/>
  <c r="J2454" i="1"/>
  <c r="C2454" i="1"/>
  <c r="B2454" i="1"/>
  <c r="J2452" i="1"/>
  <c r="J2451" i="1"/>
  <c r="K2450" i="1" a="1"/>
  <c r="Q2452" i="1" s="1"/>
  <c r="J2450" i="1"/>
  <c r="J2448" i="1"/>
  <c r="J2447" i="1"/>
  <c r="K2446" i="1" a="1"/>
  <c r="N2446" i="1" s="1"/>
  <c r="J2446" i="1"/>
  <c r="J2444" i="1"/>
  <c r="J2443" i="1"/>
  <c r="K2442" i="1" a="1"/>
  <c r="N2444" i="1" s="1"/>
  <c r="J2442" i="1"/>
  <c r="J2440" i="1"/>
  <c r="J2439" i="1"/>
  <c r="K2438" i="1" a="1"/>
  <c r="L2440" i="1" s="1"/>
  <c r="J2438" i="1"/>
  <c r="B2437" i="1"/>
  <c r="C2437" i="1" s="1"/>
  <c r="D2437" i="1" s="1"/>
  <c r="G2437" i="1" s="1"/>
  <c r="H2437" i="1" s="1"/>
  <c r="J2436" i="1"/>
  <c r="J2435" i="1"/>
  <c r="K2434" i="1" a="1"/>
  <c r="L2436" i="1" s="1"/>
  <c r="J2434" i="1"/>
  <c r="E2434" i="1"/>
  <c r="J2432" i="1"/>
  <c r="J2431" i="1"/>
  <c r="G2431" i="1"/>
  <c r="F2431" i="1"/>
  <c r="D2431" i="1"/>
  <c r="K2430" i="1" a="1"/>
  <c r="L2432" i="1" s="1"/>
  <c r="J2430" i="1"/>
  <c r="J2425" i="1"/>
  <c r="O2428" i="1" s="1"/>
  <c r="C2419" i="1"/>
  <c r="B2419" i="1"/>
  <c r="C2418" i="1"/>
  <c r="B2418" i="1"/>
  <c r="C2417" i="1"/>
  <c r="B2417" i="1"/>
  <c r="J2416" i="1"/>
  <c r="C2416" i="1"/>
  <c r="B2416" i="1"/>
  <c r="J2415" i="1"/>
  <c r="C2415" i="1"/>
  <c r="B2415" i="1"/>
  <c r="K2414" i="1" a="1"/>
  <c r="R2416" i="1" s="1"/>
  <c r="J2414" i="1"/>
  <c r="G2414" i="1"/>
  <c r="F2414" i="1"/>
  <c r="C2414" i="1"/>
  <c r="B2414" i="1"/>
  <c r="C2413" i="1"/>
  <c r="B2413" i="1"/>
  <c r="J2412" i="1"/>
  <c r="C2412" i="1"/>
  <c r="B2412" i="1"/>
  <c r="J2411" i="1"/>
  <c r="C2411" i="1"/>
  <c r="B2411" i="1"/>
  <c r="K2410" i="1" a="1"/>
  <c r="M2412" i="1" s="1"/>
  <c r="J2410" i="1"/>
  <c r="C2410" i="1"/>
  <c r="B2410" i="1"/>
  <c r="J2408" i="1"/>
  <c r="J2407" i="1"/>
  <c r="K2406" i="1" a="1"/>
  <c r="O2407" i="1" s="1"/>
  <c r="J2406" i="1"/>
  <c r="J2404" i="1"/>
  <c r="J2403" i="1"/>
  <c r="K2402" i="1" a="1"/>
  <c r="J2402" i="1"/>
  <c r="J2400" i="1"/>
  <c r="J2399" i="1"/>
  <c r="K2398" i="1" a="1"/>
  <c r="L2400" i="1" s="1"/>
  <c r="J2398" i="1"/>
  <c r="J2396" i="1"/>
  <c r="J2395" i="1"/>
  <c r="K2394" i="1" a="1"/>
  <c r="J2394" i="1"/>
  <c r="B2393" i="1"/>
  <c r="C2393" i="1" s="1"/>
  <c r="D2393" i="1" s="1"/>
  <c r="G2393" i="1" s="1"/>
  <c r="H2393" i="1" s="1"/>
  <c r="J2392" i="1"/>
  <c r="J2391" i="1"/>
  <c r="K2390" i="1" a="1"/>
  <c r="K2392" i="1" s="1"/>
  <c r="J2390" i="1"/>
  <c r="E2390" i="1"/>
  <c r="J2388" i="1"/>
  <c r="J2387" i="1"/>
  <c r="G2387" i="1"/>
  <c r="F2387" i="1"/>
  <c r="D2387" i="1"/>
  <c r="K2386" i="1" a="1"/>
  <c r="L2387" i="1" s="1"/>
  <c r="J2386" i="1"/>
  <c r="J2381" i="1"/>
  <c r="J2384" i="1" s="1"/>
  <c r="C2375" i="1"/>
  <c r="B2375" i="1"/>
  <c r="C2374" i="1"/>
  <c r="B2374" i="1"/>
  <c r="C2373" i="1"/>
  <c r="B2373" i="1"/>
  <c r="J2372" i="1"/>
  <c r="C2372" i="1"/>
  <c r="B2372" i="1"/>
  <c r="J2371" i="1"/>
  <c r="C2371" i="1"/>
  <c r="B2371" i="1"/>
  <c r="K2370" i="1" a="1"/>
  <c r="P2372" i="1" s="1"/>
  <c r="J2370" i="1"/>
  <c r="G2370" i="1"/>
  <c r="F2370" i="1"/>
  <c r="C2370" i="1"/>
  <c r="B2370" i="1"/>
  <c r="C2369" i="1"/>
  <c r="B2369" i="1"/>
  <c r="J2368" i="1"/>
  <c r="C2368" i="1"/>
  <c r="B2368" i="1"/>
  <c r="J2367" i="1"/>
  <c r="C2367" i="1"/>
  <c r="B2367" i="1"/>
  <c r="K2366" i="1" a="1"/>
  <c r="N2368" i="1" s="1"/>
  <c r="J2366" i="1"/>
  <c r="C2366" i="1"/>
  <c r="B2366" i="1"/>
  <c r="J2364" i="1"/>
  <c r="J2363" i="1"/>
  <c r="K2362" i="1" a="1"/>
  <c r="Q2364" i="1" s="1"/>
  <c r="J2362" i="1"/>
  <c r="J2360" i="1"/>
  <c r="J2359" i="1"/>
  <c r="K2358" i="1" a="1"/>
  <c r="P2360" i="1" s="1"/>
  <c r="J2358" i="1"/>
  <c r="J2356" i="1"/>
  <c r="J2355" i="1"/>
  <c r="K2354" i="1" a="1"/>
  <c r="M2356" i="1" s="1"/>
  <c r="J2354" i="1"/>
  <c r="J2352" i="1"/>
  <c r="J2351" i="1"/>
  <c r="K2350" i="1" a="1"/>
  <c r="K2352" i="1" s="1"/>
  <c r="J2350" i="1"/>
  <c r="B2349" i="1"/>
  <c r="C2349" i="1" s="1"/>
  <c r="D2349" i="1" s="1"/>
  <c r="G2349" i="1" s="1"/>
  <c r="H2349" i="1" s="1"/>
  <c r="J2348" i="1"/>
  <c r="J2347" i="1"/>
  <c r="K2346" i="1" a="1"/>
  <c r="L2348" i="1" s="1"/>
  <c r="J2346" i="1"/>
  <c r="E2346" i="1"/>
  <c r="J2344" i="1"/>
  <c r="J2343" i="1"/>
  <c r="G2343" i="1"/>
  <c r="F2343" i="1"/>
  <c r="D2343" i="1"/>
  <c r="K2342" i="1" a="1"/>
  <c r="K2344" i="1" s="1"/>
  <c r="J2342" i="1"/>
  <c r="J2337" i="1"/>
  <c r="O2340" i="1" s="1"/>
  <c r="C2331" i="1"/>
  <c r="B2331" i="1"/>
  <c r="C2330" i="1"/>
  <c r="B2330" i="1"/>
  <c r="C2329" i="1"/>
  <c r="B2329" i="1"/>
  <c r="J2328" i="1"/>
  <c r="C2328" i="1"/>
  <c r="B2328" i="1"/>
  <c r="J2327" i="1"/>
  <c r="C2327" i="1"/>
  <c r="B2327" i="1"/>
  <c r="K2326" i="1" a="1"/>
  <c r="Q2328" i="1" s="1"/>
  <c r="J2326" i="1"/>
  <c r="G2326" i="1"/>
  <c r="F2326" i="1"/>
  <c r="C2326" i="1"/>
  <c r="B2326" i="1"/>
  <c r="C2325" i="1"/>
  <c r="B2325" i="1"/>
  <c r="J2324" i="1"/>
  <c r="C2324" i="1"/>
  <c r="B2324" i="1"/>
  <c r="J2323" i="1"/>
  <c r="C2323" i="1"/>
  <c r="B2323" i="1"/>
  <c r="K2322" i="1" a="1"/>
  <c r="J2322" i="1"/>
  <c r="C2322" i="1"/>
  <c r="B2322" i="1"/>
  <c r="J2320" i="1"/>
  <c r="J2319" i="1"/>
  <c r="K2318" i="1" a="1"/>
  <c r="N2320" i="1" s="1"/>
  <c r="J2318" i="1"/>
  <c r="J2316" i="1"/>
  <c r="J2315" i="1"/>
  <c r="K2314" i="1" a="1"/>
  <c r="N2316" i="1" s="1"/>
  <c r="J2314" i="1"/>
  <c r="J2312" i="1"/>
  <c r="J2311" i="1"/>
  <c r="K2310" i="1" a="1"/>
  <c r="L2312" i="1" s="1"/>
  <c r="J2310" i="1"/>
  <c r="J2308" i="1"/>
  <c r="J2307" i="1"/>
  <c r="K2306" i="1" a="1"/>
  <c r="N2308" i="1" s="1"/>
  <c r="J2306" i="1"/>
  <c r="B2305" i="1"/>
  <c r="C2305" i="1" s="1"/>
  <c r="D2305" i="1" s="1"/>
  <c r="G2305" i="1" s="1"/>
  <c r="H2305" i="1" s="1"/>
  <c r="J2304" i="1"/>
  <c r="J2303" i="1"/>
  <c r="K2302" i="1" a="1"/>
  <c r="M2304" i="1" s="1"/>
  <c r="J2302" i="1"/>
  <c r="E2302" i="1"/>
  <c r="J2300" i="1"/>
  <c r="J2299" i="1"/>
  <c r="G2299" i="1"/>
  <c r="F2299" i="1"/>
  <c r="D2299" i="1"/>
  <c r="K2298" i="1" a="1"/>
  <c r="L2299" i="1" s="1"/>
  <c r="J2298" i="1"/>
  <c r="J2293" i="1"/>
  <c r="J2294" i="1" s="1"/>
  <c r="C2287" i="1"/>
  <c r="B2287" i="1"/>
  <c r="C2286" i="1"/>
  <c r="B2286" i="1"/>
  <c r="C2285" i="1"/>
  <c r="B2285" i="1"/>
  <c r="J2284" i="1"/>
  <c r="C2284" i="1"/>
  <c r="B2284" i="1"/>
  <c r="J2283" i="1"/>
  <c r="C2283" i="1"/>
  <c r="B2283" i="1"/>
  <c r="K2282" i="1" a="1"/>
  <c r="M2283" i="1" s="1"/>
  <c r="J2282" i="1"/>
  <c r="G2282" i="1"/>
  <c r="F2282" i="1"/>
  <c r="C2282" i="1"/>
  <c r="B2282" i="1"/>
  <c r="C2281" i="1"/>
  <c r="B2281" i="1"/>
  <c r="J2280" i="1"/>
  <c r="C2280" i="1"/>
  <c r="B2280" i="1"/>
  <c r="J2279" i="1"/>
  <c r="C2279" i="1"/>
  <c r="B2279" i="1"/>
  <c r="K2278" i="1" a="1"/>
  <c r="O2280" i="1" s="1"/>
  <c r="J2278" i="1"/>
  <c r="C2278" i="1"/>
  <c r="B2278" i="1"/>
  <c r="J2276" i="1"/>
  <c r="J2275" i="1"/>
  <c r="K2274" i="1" a="1"/>
  <c r="P2276" i="1" s="1"/>
  <c r="J2274" i="1"/>
  <c r="J2272" i="1"/>
  <c r="J2271" i="1"/>
  <c r="K2270" i="1" a="1"/>
  <c r="O2272" i="1" s="1"/>
  <c r="J2270" i="1"/>
  <c r="J2268" i="1"/>
  <c r="J2267" i="1"/>
  <c r="K2266" i="1" a="1"/>
  <c r="J2266" i="1"/>
  <c r="J2264" i="1"/>
  <c r="J2263" i="1"/>
  <c r="K2262" i="1" a="1"/>
  <c r="J2262" i="1"/>
  <c r="B2261" i="1"/>
  <c r="C2261" i="1" s="1"/>
  <c r="D2261" i="1" s="1"/>
  <c r="G2261" i="1" s="1"/>
  <c r="H2261" i="1" s="1"/>
  <c r="J2260" i="1"/>
  <c r="J2259" i="1"/>
  <c r="K2258" i="1" a="1"/>
  <c r="J2258" i="1"/>
  <c r="E2258" i="1"/>
  <c r="J2256" i="1"/>
  <c r="J2255" i="1"/>
  <c r="G2255" i="1"/>
  <c r="F2255" i="1"/>
  <c r="D2255" i="1"/>
  <c r="K2254" i="1" a="1"/>
  <c r="J2254" i="1"/>
  <c r="J2249" i="1"/>
  <c r="J2251" i="1" s="1"/>
  <c r="C2243" i="1"/>
  <c r="B2243" i="1"/>
  <c r="C2242" i="1"/>
  <c r="B2242" i="1"/>
  <c r="C2241" i="1"/>
  <c r="B2241" i="1"/>
  <c r="J2240" i="1"/>
  <c r="C2240" i="1"/>
  <c r="B2240" i="1"/>
  <c r="J2239" i="1"/>
  <c r="C2239" i="1"/>
  <c r="B2239" i="1"/>
  <c r="K2238" i="1" a="1"/>
  <c r="N2240" i="1" s="1"/>
  <c r="J2238" i="1"/>
  <c r="G2238" i="1"/>
  <c r="F2238" i="1"/>
  <c r="C2238" i="1"/>
  <c r="B2238" i="1"/>
  <c r="C2237" i="1"/>
  <c r="B2237" i="1"/>
  <c r="J2236" i="1"/>
  <c r="C2236" i="1"/>
  <c r="B2236" i="1"/>
  <c r="J2235" i="1"/>
  <c r="C2235" i="1"/>
  <c r="B2235" i="1"/>
  <c r="K2234" i="1" a="1"/>
  <c r="L2235" i="1" s="1"/>
  <c r="J2234" i="1"/>
  <c r="C2234" i="1"/>
  <c r="B2234" i="1"/>
  <c r="J2232" i="1"/>
  <c r="J2231" i="1"/>
  <c r="K2230" i="1" a="1"/>
  <c r="Q2230" i="1" s="1"/>
  <c r="J2230" i="1"/>
  <c r="J2228" i="1"/>
  <c r="J2227" i="1"/>
  <c r="K2226" i="1" a="1"/>
  <c r="J2226" i="1"/>
  <c r="J2224" i="1"/>
  <c r="J2223" i="1"/>
  <c r="K2222" i="1" a="1"/>
  <c r="K2223" i="1" s="1"/>
  <c r="J2222" i="1"/>
  <c r="J2220" i="1"/>
  <c r="J2219" i="1"/>
  <c r="K2218" i="1" a="1"/>
  <c r="J2218" i="1"/>
  <c r="B2217" i="1"/>
  <c r="C2217" i="1" s="1"/>
  <c r="D2217" i="1" s="1"/>
  <c r="G2217" i="1" s="1"/>
  <c r="H2217" i="1" s="1"/>
  <c r="J2216" i="1"/>
  <c r="J2215" i="1"/>
  <c r="K2214" i="1" a="1"/>
  <c r="K2216" i="1" s="1"/>
  <c r="J2214" i="1"/>
  <c r="E2214" i="1"/>
  <c r="J2212" i="1"/>
  <c r="J2211" i="1"/>
  <c r="G2211" i="1"/>
  <c r="F2211" i="1"/>
  <c r="D2211" i="1"/>
  <c r="K2210" i="1" a="1"/>
  <c r="K2212" i="1" s="1"/>
  <c r="J2210" i="1"/>
  <c r="J2205" i="1"/>
  <c r="C2199" i="1"/>
  <c r="B2199" i="1"/>
  <c r="C2198" i="1"/>
  <c r="B2198" i="1"/>
  <c r="C2197" i="1"/>
  <c r="B2197" i="1"/>
  <c r="J2196" i="1"/>
  <c r="C2196" i="1"/>
  <c r="B2196" i="1"/>
  <c r="J2195" i="1"/>
  <c r="C2195" i="1"/>
  <c r="B2195" i="1"/>
  <c r="K2194" i="1" a="1"/>
  <c r="N2196" i="1" s="1"/>
  <c r="J2194" i="1"/>
  <c r="G2194" i="1"/>
  <c r="F2194" i="1"/>
  <c r="C2194" i="1"/>
  <c r="B2194" i="1"/>
  <c r="C2193" i="1"/>
  <c r="B2193" i="1"/>
  <c r="J2192" i="1"/>
  <c r="C2192" i="1"/>
  <c r="B2192" i="1"/>
  <c r="J2191" i="1"/>
  <c r="C2191" i="1"/>
  <c r="B2191" i="1"/>
  <c r="K2190" i="1" a="1"/>
  <c r="N2191" i="1" s="1"/>
  <c r="J2190" i="1"/>
  <c r="C2190" i="1"/>
  <c r="B2190" i="1"/>
  <c r="J2188" i="1"/>
  <c r="J2187" i="1"/>
  <c r="K2186" i="1" a="1"/>
  <c r="P2188" i="1" s="1"/>
  <c r="J2186" i="1"/>
  <c r="J2184" i="1"/>
  <c r="J2183" i="1"/>
  <c r="K2182" i="1" a="1"/>
  <c r="J2182" i="1"/>
  <c r="J2180" i="1"/>
  <c r="J2179" i="1"/>
  <c r="K2178" i="1" a="1"/>
  <c r="M2179" i="1" s="1"/>
  <c r="J2178" i="1"/>
  <c r="J2176" i="1"/>
  <c r="J2175" i="1"/>
  <c r="K2174" i="1" a="1"/>
  <c r="J2174" i="1"/>
  <c r="B2173" i="1"/>
  <c r="C2173" i="1" s="1"/>
  <c r="D2173" i="1" s="1"/>
  <c r="G2173" i="1" s="1"/>
  <c r="H2173" i="1" s="1"/>
  <c r="J2172" i="1"/>
  <c r="J2171" i="1"/>
  <c r="K2170" i="1" a="1"/>
  <c r="L2172" i="1" s="1"/>
  <c r="J2170" i="1"/>
  <c r="E2170" i="1"/>
  <c r="J2168" i="1"/>
  <c r="J2167" i="1"/>
  <c r="G2167" i="1"/>
  <c r="F2167" i="1"/>
  <c r="D2167" i="1"/>
  <c r="K2166" i="1" a="1"/>
  <c r="J2166" i="1"/>
  <c r="J2161" i="1"/>
  <c r="O2164" i="1" s="1"/>
  <c r="C2155" i="1"/>
  <c r="B2155" i="1"/>
  <c r="C2154" i="1"/>
  <c r="B2154" i="1"/>
  <c r="C2153" i="1"/>
  <c r="B2153" i="1"/>
  <c r="J2152" i="1"/>
  <c r="C2152" i="1"/>
  <c r="B2152" i="1"/>
  <c r="J2151" i="1"/>
  <c r="C2151" i="1"/>
  <c r="B2151" i="1"/>
  <c r="K2150" i="1" a="1"/>
  <c r="Q2151" i="1" s="1"/>
  <c r="J2150" i="1"/>
  <c r="G2150" i="1"/>
  <c r="F2150" i="1"/>
  <c r="C2150" i="1"/>
  <c r="B2150" i="1"/>
  <c r="C2149" i="1"/>
  <c r="B2149" i="1"/>
  <c r="J2148" i="1"/>
  <c r="C2148" i="1"/>
  <c r="B2148" i="1"/>
  <c r="J2147" i="1"/>
  <c r="C2147" i="1"/>
  <c r="B2147" i="1"/>
  <c r="K2146" i="1" a="1"/>
  <c r="O2147" i="1" s="1"/>
  <c r="J2146" i="1"/>
  <c r="C2146" i="1"/>
  <c r="B2146" i="1"/>
  <c r="J2144" i="1"/>
  <c r="J2143" i="1"/>
  <c r="K2142" i="1" a="1"/>
  <c r="J2142" i="1"/>
  <c r="J2140" i="1"/>
  <c r="J2139" i="1"/>
  <c r="K2138" i="1" a="1"/>
  <c r="P2138" i="1" s="1"/>
  <c r="J2138" i="1"/>
  <c r="J2136" i="1"/>
  <c r="J2135" i="1"/>
  <c r="K2134" i="1" a="1"/>
  <c r="L2136" i="1" s="1"/>
  <c r="J2134" i="1"/>
  <c r="J2132" i="1"/>
  <c r="J2131" i="1"/>
  <c r="K2130" i="1" a="1"/>
  <c r="J2130" i="1"/>
  <c r="B2129" i="1"/>
  <c r="C2129" i="1" s="1"/>
  <c r="D2129" i="1" s="1"/>
  <c r="G2129" i="1" s="1"/>
  <c r="H2129" i="1" s="1"/>
  <c r="J2128" i="1"/>
  <c r="J2127" i="1"/>
  <c r="K2126" i="1" a="1"/>
  <c r="K2127" i="1" s="1"/>
  <c r="J2126" i="1"/>
  <c r="E2126" i="1"/>
  <c r="J2124" i="1"/>
  <c r="J2123" i="1"/>
  <c r="G2123" i="1"/>
  <c r="F2123" i="1"/>
  <c r="D2123" i="1"/>
  <c r="K2122" i="1" a="1"/>
  <c r="L2122" i="1" s="1"/>
  <c r="J2122" i="1"/>
  <c r="J2117" i="1"/>
  <c r="O2120" i="1" s="1"/>
  <c r="J2108" i="1"/>
  <c r="J2107" i="1"/>
  <c r="K2106" i="1" a="1"/>
  <c r="Q2108" i="1" s="1"/>
  <c r="J2106" i="1"/>
  <c r="J2104" i="1"/>
  <c r="J2103" i="1"/>
  <c r="K2102" i="1" a="1"/>
  <c r="J2102" i="1"/>
  <c r="J2100" i="1"/>
  <c r="J2099" i="1"/>
  <c r="K2098" i="1" a="1"/>
  <c r="O2100" i="1" s="1"/>
  <c r="J2098" i="1"/>
  <c r="J2096" i="1"/>
  <c r="J2095" i="1"/>
  <c r="K2094" i="1" a="1"/>
  <c r="M2095" i="1" s="1"/>
  <c r="J2094" i="1"/>
  <c r="J2092" i="1"/>
  <c r="J2091" i="1"/>
  <c r="K2090" i="1" a="1"/>
  <c r="J2090" i="1"/>
  <c r="J2088" i="1"/>
  <c r="J2087" i="1"/>
  <c r="K2086" i="1" a="1"/>
  <c r="N2088" i="1" s="1"/>
  <c r="J2086" i="1"/>
  <c r="J2084" i="1"/>
  <c r="J2083" i="1"/>
  <c r="K2082" i="1" a="1"/>
  <c r="M2084" i="1" s="1"/>
  <c r="J2082" i="1"/>
  <c r="J2080" i="1"/>
  <c r="J2079" i="1"/>
  <c r="K2078" i="1" a="1"/>
  <c r="J2078" i="1"/>
  <c r="J2073" i="1"/>
  <c r="J2076" i="1" s="1"/>
  <c r="J2064" i="1"/>
  <c r="J2063" i="1"/>
  <c r="K2062" i="1" a="1"/>
  <c r="J2062" i="1"/>
  <c r="J2060" i="1"/>
  <c r="J2059" i="1"/>
  <c r="K2058" i="1" a="1"/>
  <c r="R2060" i="1" s="1"/>
  <c r="J2058" i="1"/>
  <c r="J2056" i="1"/>
  <c r="J2055" i="1"/>
  <c r="K2054" i="1" a="1"/>
  <c r="J2054" i="1"/>
  <c r="J2052" i="1"/>
  <c r="J2051" i="1"/>
  <c r="K2050" i="1" a="1"/>
  <c r="O2052" i="1" s="1"/>
  <c r="J2050" i="1"/>
  <c r="J2048" i="1"/>
  <c r="J2047" i="1"/>
  <c r="K2046" i="1" a="1"/>
  <c r="L2048" i="1" s="1"/>
  <c r="J2046" i="1"/>
  <c r="J2044" i="1"/>
  <c r="J2043" i="1"/>
  <c r="K2042" i="1" a="1"/>
  <c r="M2043" i="1" s="1"/>
  <c r="J2042" i="1"/>
  <c r="J2040" i="1"/>
  <c r="J2039" i="1"/>
  <c r="K2038" i="1" a="1"/>
  <c r="M2039" i="1" s="1"/>
  <c r="J2038" i="1"/>
  <c r="J2036" i="1"/>
  <c r="J2035" i="1"/>
  <c r="K2034" i="1" a="1"/>
  <c r="K2035" i="1" s="1"/>
  <c r="J2034" i="1"/>
  <c r="J2029" i="1"/>
  <c r="J2032" i="1" s="1"/>
  <c r="J2020" i="1"/>
  <c r="J2019" i="1"/>
  <c r="K2018" i="1" a="1"/>
  <c r="R2019" i="1" s="1"/>
  <c r="J2018" i="1"/>
  <c r="J2016" i="1"/>
  <c r="J2015" i="1"/>
  <c r="K2014" i="1" a="1"/>
  <c r="R2016" i="1" s="1"/>
  <c r="J2014" i="1"/>
  <c r="J2012" i="1"/>
  <c r="J2011" i="1"/>
  <c r="K2010" i="1" a="1"/>
  <c r="J2010" i="1"/>
  <c r="J2008" i="1"/>
  <c r="J2007" i="1"/>
  <c r="K2006" i="1" a="1"/>
  <c r="N2006" i="1" s="1"/>
  <c r="J2006" i="1"/>
  <c r="J2004" i="1"/>
  <c r="J2003" i="1"/>
  <c r="K2002" i="1" a="1"/>
  <c r="N2003" i="1" s="1"/>
  <c r="J2002" i="1"/>
  <c r="J2000" i="1"/>
  <c r="J1999" i="1"/>
  <c r="K1998" i="1" a="1"/>
  <c r="L2000" i="1" s="1"/>
  <c r="J1998" i="1"/>
  <c r="J1996" i="1"/>
  <c r="J1995" i="1"/>
  <c r="K1994" i="1" a="1"/>
  <c r="L1996" i="1" s="1"/>
  <c r="J1994" i="1"/>
  <c r="J1992" i="1"/>
  <c r="J1991" i="1"/>
  <c r="K1990" i="1" a="1"/>
  <c r="L1992" i="1" s="1"/>
  <c r="J1990" i="1"/>
  <c r="J1985" i="1"/>
  <c r="J1988" i="1" s="1"/>
  <c r="J1976" i="1"/>
  <c r="J1975" i="1"/>
  <c r="K1974" i="1" a="1"/>
  <c r="R1976" i="1" s="1"/>
  <c r="J1974" i="1"/>
  <c r="J1972" i="1"/>
  <c r="J1971" i="1"/>
  <c r="K1970" i="1" a="1"/>
  <c r="R1972" i="1" s="1"/>
  <c r="J1970" i="1"/>
  <c r="J1968" i="1"/>
  <c r="J1967" i="1"/>
  <c r="K1966" i="1" a="1"/>
  <c r="P1968" i="1" s="1"/>
  <c r="J1966" i="1"/>
  <c r="J1964" i="1"/>
  <c r="J1963" i="1"/>
  <c r="K1962" i="1" a="1"/>
  <c r="J1962" i="1"/>
  <c r="J1960" i="1"/>
  <c r="J1959" i="1"/>
  <c r="K1958" i="1" a="1"/>
  <c r="O1959" i="1" s="1"/>
  <c r="J1958" i="1"/>
  <c r="J1956" i="1"/>
  <c r="J1955" i="1"/>
  <c r="K1954" i="1" a="1"/>
  <c r="J1954" i="1"/>
  <c r="J1952" i="1"/>
  <c r="J1951" i="1"/>
  <c r="K1950" i="1" a="1"/>
  <c r="M1951" i="1" s="1"/>
  <c r="J1950" i="1"/>
  <c r="J1948" i="1"/>
  <c r="J1947" i="1"/>
  <c r="K1946" i="1" a="1"/>
  <c r="L1947" i="1" s="1"/>
  <c r="J1946" i="1"/>
  <c r="J1941" i="1"/>
  <c r="J1932" i="1"/>
  <c r="J1931" i="1"/>
  <c r="K1930" i="1" a="1"/>
  <c r="P1932" i="1" s="1"/>
  <c r="J1930" i="1"/>
  <c r="J1928" i="1"/>
  <c r="J1927" i="1"/>
  <c r="K1926" i="1" a="1"/>
  <c r="P1928" i="1" s="1"/>
  <c r="J1926" i="1"/>
  <c r="J1924" i="1"/>
  <c r="J1923" i="1"/>
  <c r="K1922" i="1" a="1"/>
  <c r="Q1924" i="1" s="1"/>
  <c r="J1922" i="1"/>
  <c r="J1920" i="1"/>
  <c r="J1919" i="1"/>
  <c r="K1918" i="1" a="1"/>
  <c r="P1919" i="1" s="1"/>
  <c r="J1918" i="1"/>
  <c r="J1916" i="1"/>
  <c r="J1915" i="1"/>
  <c r="K1914" i="1" a="1"/>
  <c r="N1916" i="1" s="1"/>
  <c r="J1914" i="1"/>
  <c r="J1912" i="1"/>
  <c r="J1911" i="1"/>
  <c r="K1910" i="1" a="1"/>
  <c r="J1910" i="1"/>
  <c r="J1908" i="1"/>
  <c r="J1907" i="1"/>
  <c r="K1906" i="1" a="1"/>
  <c r="L1908" i="1" s="1"/>
  <c r="J1906" i="1"/>
  <c r="J1904" i="1"/>
  <c r="J1903" i="1"/>
  <c r="K1902" i="1" a="1"/>
  <c r="J1902" i="1"/>
  <c r="J1897" i="1"/>
  <c r="O1900" i="1" s="1"/>
  <c r="J1888" i="1"/>
  <c r="J1887" i="1"/>
  <c r="K1886" i="1" a="1"/>
  <c r="J1886" i="1"/>
  <c r="J1884" i="1"/>
  <c r="J1883" i="1"/>
  <c r="K1882" i="1" a="1"/>
  <c r="P1883" i="1" s="1"/>
  <c r="J1882" i="1"/>
  <c r="J1880" i="1"/>
  <c r="J1879" i="1"/>
  <c r="K1878" i="1" a="1"/>
  <c r="Q1880" i="1" s="1"/>
  <c r="J1878" i="1"/>
  <c r="J1876" i="1"/>
  <c r="J1875" i="1"/>
  <c r="K1874" i="1" a="1"/>
  <c r="P1876" i="1" s="1"/>
  <c r="J1874" i="1"/>
  <c r="J1872" i="1"/>
  <c r="J1871" i="1"/>
  <c r="K1870" i="1" a="1"/>
  <c r="J1870" i="1"/>
  <c r="J1868" i="1"/>
  <c r="J1867" i="1"/>
  <c r="K1866" i="1" a="1"/>
  <c r="L1868" i="1" s="1"/>
  <c r="J1866" i="1"/>
  <c r="J1864" i="1"/>
  <c r="J1863" i="1"/>
  <c r="K1862" i="1" a="1"/>
  <c r="L1864" i="1" s="1"/>
  <c r="J1862" i="1"/>
  <c r="J1860" i="1"/>
  <c r="J1859" i="1"/>
  <c r="K1858" i="1" a="1"/>
  <c r="K1858" i="1" s="1"/>
  <c r="J1858" i="1"/>
  <c r="J1853" i="1"/>
  <c r="J1856" i="1" s="1"/>
  <c r="J1844" i="1"/>
  <c r="J1843" i="1"/>
  <c r="K1842" i="1" a="1"/>
  <c r="O1844" i="1" s="1"/>
  <c r="J1842" i="1"/>
  <c r="J1840" i="1"/>
  <c r="J1839" i="1"/>
  <c r="K1838" i="1" a="1"/>
  <c r="R1840" i="1" s="1"/>
  <c r="J1838" i="1"/>
  <c r="J1836" i="1"/>
  <c r="J1835" i="1"/>
  <c r="K1834" i="1" a="1"/>
  <c r="O1836" i="1" s="1"/>
  <c r="J1834" i="1"/>
  <c r="J1832" i="1"/>
  <c r="J1831" i="1"/>
  <c r="K1830" i="1" a="1"/>
  <c r="N1831" i="1" s="1"/>
  <c r="J1830" i="1"/>
  <c r="J1828" i="1"/>
  <c r="J1827" i="1"/>
  <c r="K1826" i="1" a="1"/>
  <c r="N1827" i="1" s="1"/>
  <c r="J1826" i="1"/>
  <c r="J1824" i="1"/>
  <c r="J1823" i="1"/>
  <c r="K1822" i="1" a="1"/>
  <c r="J1822" i="1"/>
  <c r="J1820" i="1"/>
  <c r="J1819" i="1"/>
  <c r="K1818" i="1" a="1"/>
  <c r="M1819" i="1" s="1"/>
  <c r="J1818" i="1"/>
  <c r="J1816" i="1"/>
  <c r="J1815" i="1"/>
  <c r="K1814" i="1" a="1"/>
  <c r="L1815" i="1" s="1"/>
  <c r="J1814" i="1"/>
  <c r="J1809" i="1"/>
  <c r="J1812" i="1" s="1"/>
  <c r="J1800" i="1"/>
  <c r="J1799" i="1"/>
  <c r="K1798" i="1" a="1"/>
  <c r="P1800" i="1" s="1"/>
  <c r="J1798" i="1"/>
  <c r="J1796" i="1"/>
  <c r="J1795" i="1"/>
  <c r="K1794" i="1" a="1"/>
  <c r="P1796" i="1" s="1"/>
  <c r="J1794" i="1"/>
  <c r="J1792" i="1"/>
  <c r="J1791" i="1"/>
  <c r="K1790" i="1" a="1"/>
  <c r="P1790" i="1" s="1"/>
  <c r="J1790" i="1"/>
  <c r="J1788" i="1"/>
  <c r="J1787" i="1"/>
  <c r="K1786" i="1" a="1"/>
  <c r="M1788" i="1" s="1"/>
  <c r="J1786" i="1"/>
  <c r="J1784" i="1"/>
  <c r="J1783" i="1"/>
  <c r="K1782" i="1" a="1"/>
  <c r="M1784" i="1" s="1"/>
  <c r="J1782" i="1"/>
  <c r="J1780" i="1"/>
  <c r="J1779" i="1"/>
  <c r="K1778" i="1" a="1"/>
  <c r="M1779" i="1" s="1"/>
  <c r="J1778" i="1"/>
  <c r="J1776" i="1"/>
  <c r="J1775" i="1"/>
  <c r="K1774" i="1" a="1"/>
  <c r="L1775" i="1" s="1"/>
  <c r="J1774" i="1"/>
  <c r="J1772" i="1"/>
  <c r="J1771" i="1"/>
  <c r="K1770" i="1" a="1"/>
  <c r="K1771" i="1" s="1"/>
  <c r="J1770" i="1"/>
  <c r="J1765" i="1"/>
  <c r="J1756" i="1"/>
  <c r="J1755" i="1"/>
  <c r="K1754" i="1" a="1"/>
  <c r="P1755" i="1" s="1"/>
  <c r="J1754" i="1"/>
  <c r="J1752" i="1"/>
  <c r="J1751" i="1"/>
  <c r="K1750" i="1" a="1"/>
  <c r="R1752" i="1" s="1"/>
  <c r="J1750" i="1"/>
  <c r="J1748" i="1"/>
  <c r="J1747" i="1"/>
  <c r="K1746" i="1" a="1"/>
  <c r="O1748" i="1" s="1"/>
  <c r="J1746" i="1"/>
  <c r="J1744" i="1"/>
  <c r="J1743" i="1"/>
  <c r="K1742" i="1" a="1"/>
  <c r="J1742" i="1"/>
  <c r="J1740" i="1"/>
  <c r="J1739" i="1"/>
  <c r="K1738" i="1" a="1"/>
  <c r="N1739" i="1" s="1"/>
  <c r="J1738" i="1"/>
  <c r="J1736" i="1"/>
  <c r="J1735" i="1"/>
  <c r="K1734" i="1" a="1"/>
  <c r="J1734" i="1"/>
  <c r="J1732" i="1"/>
  <c r="J1731" i="1"/>
  <c r="K1730" i="1" a="1"/>
  <c r="M1731" i="1" s="1"/>
  <c r="J1730" i="1"/>
  <c r="J1728" i="1"/>
  <c r="J1727" i="1"/>
  <c r="K1726" i="1" a="1"/>
  <c r="L1727" i="1" s="1"/>
  <c r="J1726" i="1"/>
  <c r="J1721" i="1"/>
  <c r="J1723" i="1" s="1"/>
  <c r="J1712" i="1"/>
  <c r="J1711" i="1"/>
  <c r="K1710" i="1" a="1"/>
  <c r="P1712" i="1" s="1"/>
  <c r="J1710" i="1"/>
  <c r="J1708" i="1"/>
  <c r="J1707" i="1"/>
  <c r="K1706" i="1" a="1"/>
  <c r="O1708" i="1" s="1"/>
  <c r="J1706" i="1"/>
  <c r="J1704" i="1"/>
  <c r="J1703" i="1"/>
  <c r="K1702" i="1" a="1"/>
  <c r="Q1704" i="1" s="1"/>
  <c r="J1702" i="1"/>
  <c r="J1700" i="1"/>
  <c r="J1699" i="1"/>
  <c r="K1698" i="1" a="1"/>
  <c r="M1700" i="1" s="1"/>
  <c r="J1698" i="1"/>
  <c r="J1696" i="1"/>
  <c r="J1695" i="1"/>
  <c r="K1694" i="1" a="1"/>
  <c r="N1696" i="1" s="1"/>
  <c r="J1694" i="1"/>
  <c r="J1692" i="1"/>
  <c r="J1691" i="1"/>
  <c r="K1690" i="1" a="1"/>
  <c r="L1692" i="1" s="1"/>
  <c r="J1690" i="1"/>
  <c r="J1688" i="1"/>
  <c r="J1687" i="1"/>
  <c r="K1686" i="1" a="1"/>
  <c r="L1688" i="1" s="1"/>
  <c r="J1686" i="1"/>
  <c r="J1684" i="1"/>
  <c r="J1683" i="1"/>
  <c r="K1682" i="1" a="1"/>
  <c r="L1684" i="1" s="1"/>
  <c r="J1682" i="1"/>
  <c r="J1677" i="1"/>
  <c r="O1680" i="1" s="1"/>
  <c r="C1671" i="1"/>
  <c r="B1671" i="1"/>
  <c r="C1670" i="1"/>
  <c r="B1670" i="1"/>
  <c r="C1669" i="1"/>
  <c r="B1669" i="1"/>
  <c r="J1668" i="1"/>
  <c r="C1668" i="1"/>
  <c r="B1668" i="1"/>
  <c r="J1667" i="1"/>
  <c r="C1667" i="1"/>
  <c r="B1667" i="1"/>
  <c r="K1666" i="1" a="1"/>
  <c r="M1666" i="1" s="1"/>
  <c r="J1666" i="1"/>
  <c r="G1666" i="1"/>
  <c r="F1666" i="1"/>
  <c r="C1666" i="1"/>
  <c r="B1666" i="1"/>
  <c r="C1665" i="1"/>
  <c r="B1665" i="1"/>
  <c r="J1664" i="1"/>
  <c r="C1664" i="1"/>
  <c r="B1664" i="1"/>
  <c r="J1663" i="1"/>
  <c r="C1663" i="1"/>
  <c r="B1663" i="1"/>
  <c r="K1662" i="1" a="1"/>
  <c r="L1662" i="1" s="1"/>
  <c r="J1662" i="1"/>
  <c r="C1662" i="1"/>
  <c r="B1662" i="1"/>
  <c r="J1660" i="1"/>
  <c r="J1659" i="1"/>
  <c r="K1658" i="1" a="1"/>
  <c r="O1660" i="1" s="1"/>
  <c r="J1658" i="1"/>
  <c r="J1656" i="1"/>
  <c r="J1655" i="1"/>
  <c r="K1654" i="1" a="1"/>
  <c r="J1654" i="1"/>
  <c r="J1652" i="1"/>
  <c r="J1651" i="1"/>
  <c r="K1650" i="1" a="1"/>
  <c r="K1651" i="1" s="1"/>
  <c r="J1650" i="1"/>
  <c r="J1648" i="1"/>
  <c r="J1647" i="1"/>
  <c r="K1646" i="1" a="1"/>
  <c r="J1646" i="1"/>
  <c r="B1645" i="1"/>
  <c r="C1645" i="1" s="1"/>
  <c r="D1645" i="1" s="1"/>
  <c r="G1645" i="1" s="1"/>
  <c r="H1645" i="1" s="1"/>
  <c r="J1644" i="1"/>
  <c r="J1643" i="1"/>
  <c r="K1642" i="1" a="1"/>
  <c r="K1644" i="1" s="1"/>
  <c r="J1642" i="1"/>
  <c r="E1642" i="1"/>
  <c r="J1640" i="1"/>
  <c r="J1639" i="1"/>
  <c r="G1639" i="1"/>
  <c r="F1639" i="1"/>
  <c r="D1639" i="1"/>
  <c r="K1638" i="1" a="1"/>
  <c r="J1638" i="1"/>
  <c r="J1633" i="1"/>
  <c r="J1635" i="1" s="1"/>
  <c r="C3343" i="1"/>
  <c r="B3343" i="1"/>
  <c r="C3342" i="1"/>
  <c r="B3342" i="1"/>
  <c r="C3341" i="1"/>
  <c r="B3341" i="1"/>
  <c r="J3340" i="1"/>
  <c r="C3340" i="1"/>
  <c r="B3340" i="1"/>
  <c r="J3339" i="1"/>
  <c r="C3339" i="1"/>
  <c r="B3339" i="1"/>
  <c r="K3338" i="1" a="1"/>
  <c r="J3338" i="1"/>
  <c r="G3338" i="1"/>
  <c r="F3338" i="1"/>
  <c r="C3338" i="1"/>
  <c r="B3338" i="1"/>
  <c r="C3337" i="1"/>
  <c r="B3337" i="1"/>
  <c r="J3336" i="1"/>
  <c r="C3336" i="1"/>
  <c r="B3336" i="1"/>
  <c r="J3335" i="1"/>
  <c r="C3335" i="1"/>
  <c r="B3335" i="1"/>
  <c r="K3334" i="1" a="1"/>
  <c r="L3335" i="1" s="1"/>
  <c r="J3334" i="1"/>
  <c r="C3334" i="1"/>
  <c r="B3334" i="1"/>
  <c r="J3332" i="1"/>
  <c r="J3331" i="1"/>
  <c r="K3330" i="1" a="1"/>
  <c r="M3331" i="1" s="1"/>
  <c r="J3330" i="1"/>
  <c r="J3328" i="1"/>
  <c r="J3327" i="1"/>
  <c r="K3326" i="1" a="1"/>
  <c r="P3327" i="1" s="1"/>
  <c r="J3326" i="1"/>
  <c r="J3324" i="1"/>
  <c r="J3323" i="1"/>
  <c r="K3322" i="1" a="1"/>
  <c r="L3323" i="1" s="1"/>
  <c r="J3322" i="1"/>
  <c r="J3320" i="1"/>
  <c r="J3319" i="1"/>
  <c r="K3318" i="1" a="1"/>
  <c r="J3318" i="1"/>
  <c r="J3316" i="1"/>
  <c r="J3315" i="1"/>
  <c r="K3314" i="1" a="1"/>
  <c r="J3314" i="1"/>
  <c r="J3312" i="1"/>
  <c r="J3311" i="1"/>
  <c r="K3310" i="1" a="1"/>
  <c r="J3310" i="1"/>
  <c r="J3305" i="1"/>
  <c r="O3308" i="1" s="1"/>
  <c r="C3299" i="1"/>
  <c r="B3299" i="1"/>
  <c r="C3298" i="1"/>
  <c r="B3298" i="1"/>
  <c r="C3297" i="1"/>
  <c r="B3297" i="1"/>
  <c r="J3296" i="1"/>
  <c r="C3296" i="1"/>
  <c r="B3296" i="1"/>
  <c r="J3295" i="1"/>
  <c r="C3295" i="1"/>
  <c r="B3295" i="1"/>
  <c r="K3294" i="1" a="1"/>
  <c r="J3294" i="1"/>
  <c r="G3294" i="1"/>
  <c r="F3294" i="1"/>
  <c r="E3294" i="1" s="1"/>
  <c r="C3294" i="1"/>
  <c r="B3294" i="1"/>
  <c r="C3293" i="1"/>
  <c r="B3293" i="1"/>
  <c r="J3292" i="1"/>
  <c r="C3292" i="1"/>
  <c r="B3292" i="1"/>
  <c r="J3291" i="1"/>
  <c r="C3291" i="1"/>
  <c r="B3291" i="1"/>
  <c r="K3290" i="1" a="1"/>
  <c r="P3290" i="1" s="1"/>
  <c r="J3290" i="1"/>
  <c r="C3290" i="1"/>
  <c r="B3290" i="1"/>
  <c r="J3288" i="1"/>
  <c r="J3287" i="1"/>
  <c r="K3286" i="1" a="1"/>
  <c r="J3286" i="1"/>
  <c r="J3284" i="1"/>
  <c r="J3283" i="1"/>
  <c r="K3282" i="1" a="1"/>
  <c r="M3283" i="1" s="1"/>
  <c r="J3282" i="1"/>
  <c r="J3280" i="1"/>
  <c r="J3279" i="1"/>
  <c r="K3278" i="1" a="1"/>
  <c r="J3278" i="1"/>
  <c r="J3276" i="1"/>
  <c r="J3275" i="1"/>
  <c r="K3274" i="1" a="1"/>
  <c r="L3274" i="1" s="1"/>
  <c r="J3274" i="1"/>
  <c r="J3272" i="1"/>
  <c r="J3271" i="1"/>
  <c r="K3270" i="1" a="1"/>
  <c r="K3271" i="1" s="1"/>
  <c r="J3270" i="1"/>
  <c r="J3268" i="1"/>
  <c r="J3267" i="1"/>
  <c r="K3266" i="1" a="1"/>
  <c r="J3266" i="1"/>
  <c r="J3261" i="1"/>
  <c r="O3264" i="1" s="1"/>
  <c r="C3255" i="1"/>
  <c r="B3255" i="1"/>
  <c r="C3254" i="1"/>
  <c r="B3254" i="1"/>
  <c r="C3253" i="1"/>
  <c r="B3253" i="1"/>
  <c r="J3252" i="1"/>
  <c r="C3252" i="1"/>
  <c r="B3252" i="1"/>
  <c r="J3251" i="1"/>
  <c r="C3251" i="1"/>
  <c r="B3251" i="1"/>
  <c r="K3250" i="1" a="1"/>
  <c r="J3250" i="1"/>
  <c r="G3250" i="1"/>
  <c r="F3250" i="1"/>
  <c r="C3250" i="1"/>
  <c r="B3250" i="1"/>
  <c r="C3249" i="1"/>
  <c r="B3249" i="1"/>
  <c r="J3248" i="1"/>
  <c r="C3248" i="1"/>
  <c r="B3248" i="1"/>
  <c r="J3247" i="1"/>
  <c r="C3247" i="1"/>
  <c r="B3247" i="1"/>
  <c r="K3246" i="1" a="1"/>
  <c r="O3247" i="1" s="1"/>
  <c r="J3246" i="1"/>
  <c r="C3246" i="1"/>
  <c r="B3246" i="1"/>
  <c r="J3244" i="1"/>
  <c r="J3243" i="1"/>
  <c r="K3242" i="1" a="1"/>
  <c r="L3244" i="1" s="1"/>
  <c r="J3242" i="1"/>
  <c r="J3240" i="1"/>
  <c r="J3239" i="1"/>
  <c r="K3238" i="1" a="1"/>
  <c r="N3240" i="1" s="1"/>
  <c r="J3238" i="1"/>
  <c r="J3236" i="1"/>
  <c r="J3235" i="1"/>
  <c r="K3234" i="1" a="1"/>
  <c r="J3234" i="1"/>
  <c r="J3232" i="1"/>
  <c r="J3231" i="1"/>
  <c r="K3230" i="1" a="1"/>
  <c r="N3232" i="1" s="1"/>
  <c r="J3230" i="1"/>
  <c r="J3228" i="1"/>
  <c r="J3227" i="1"/>
  <c r="K3226" i="1" a="1"/>
  <c r="J3226" i="1"/>
  <c r="J3224" i="1"/>
  <c r="J3223" i="1"/>
  <c r="K3222" i="1" a="1"/>
  <c r="J3222" i="1"/>
  <c r="J3217" i="1"/>
  <c r="O3220" i="1" s="1"/>
  <c r="C3211" i="1"/>
  <c r="B3211" i="1"/>
  <c r="C3210" i="1"/>
  <c r="B3210" i="1"/>
  <c r="C3209" i="1"/>
  <c r="B3209" i="1"/>
  <c r="J3208" i="1"/>
  <c r="C3208" i="1"/>
  <c r="B3208" i="1"/>
  <c r="J3207" i="1"/>
  <c r="C3207" i="1"/>
  <c r="B3207" i="1"/>
  <c r="K3206" i="1" a="1"/>
  <c r="J3206" i="1"/>
  <c r="G3206" i="1"/>
  <c r="F3206" i="1"/>
  <c r="C3206" i="1"/>
  <c r="B3206" i="1"/>
  <c r="C3205" i="1"/>
  <c r="B3205" i="1"/>
  <c r="J3204" i="1"/>
  <c r="C3204" i="1"/>
  <c r="B3204" i="1"/>
  <c r="J3203" i="1"/>
  <c r="C3203" i="1"/>
  <c r="B3203" i="1"/>
  <c r="K3202" i="1" a="1"/>
  <c r="R3204" i="1" s="1"/>
  <c r="J3202" i="1"/>
  <c r="C3202" i="1"/>
  <c r="B3202" i="1"/>
  <c r="J3200" i="1"/>
  <c r="J3199" i="1"/>
  <c r="K3198" i="1" a="1"/>
  <c r="M3200" i="1" s="1"/>
  <c r="J3198" i="1"/>
  <c r="J3196" i="1"/>
  <c r="J3195" i="1"/>
  <c r="K3194" i="1" a="1"/>
  <c r="O3196" i="1" s="1"/>
  <c r="J3194" i="1"/>
  <c r="J3192" i="1"/>
  <c r="J3191" i="1"/>
  <c r="K3190" i="1" a="1"/>
  <c r="M3192" i="1" s="1"/>
  <c r="J3190" i="1"/>
  <c r="J3188" i="1"/>
  <c r="J3187" i="1"/>
  <c r="K3186" i="1" a="1"/>
  <c r="J3186" i="1"/>
  <c r="B3185" i="1"/>
  <c r="C3185" i="1" s="1"/>
  <c r="D3185" i="1" s="1"/>
  <c r="G3185" i="1" s="1"/>
  <c r="H3185" i="1" s="1"/>
  <c r="J3184" i="1"/>
  <c r="J3183" i="1"/>
  <c r="K3182" i="1" a="1"/>
  <c r="K3184" i="1" s="1"/>
  <c r="J3182" i="1"/>
  <c r="E3182" i="1"/>
  <c r="J3180" i="1"/>
  <c r="J3179" i="1"/>
  <c r="G3179" i="1"/>
  <c r="F3179" i="1"/>
  <c r="D3179" i="1"/>
  <c r="K3178" i="1" a="1"/>
  <c r="K3179" i="1" s="1"/>
  <c r="J3178" i="1"/>
  <c r="J3173" i="1"/>
  <c r="J3175" i="1" s="1"/>
  <c r="C3167" i="1"/>
  <c r="B3167" i="1"/>
  <c r="C3166" i="1"/>
  <c r="B3166" i="1"/>
  <c r="C3165" i="1"/>
  <c r="B3165" i="1"/>
  <c r="J3164" i="1"/>
  <c r="C3164" i="1"/>
  <c r="B3164" i="1"/>
  <c r="J3163" i="1"/>
  <c r="C3163" i="1"/>
  <c r="B3163" i="1"/>
  <c r="K3162" i="1" a="1"/>
  <c r="M3163" i="1" s="1"/>
  <c r="J3162" i="1"/>
  <c r="G3162" i="1"/>
  <c r="F3162" i="1"/>
  <c r="C3162" i="1"/>
  <c r="B3162" i="1"/>
  <c r="C3161" i="1"/>
  <c r="B3161" i="1"/>
  <c r="J3160" i="1"/>
  <c r="C3160" i="1"/>
  <c r="B3160" i="1"/>
  <c r="J3159" i="1"/>
  <c r="C3159" i="1"/>
  <c r="B3159" i="1"/>
  <c r="K3158" i="1" a="1"/>
  <c r="J3158" i="1"/>
  <c r="C3158" i="1"/>
  <c r="B3158" i="1"/>
  <c r="J3156" i="1"/>
  <c r="J3155" i="1"/>
  <c r="K3154" i="1" a="1"/>
  <c r="N3156" i="1" s="1"/>
  <c r="J3154" i="1"/>
  <c r="J3152" i="1"/>
  <c r="J3151" i="1"/>
  <c r="K3150" i="1" a="1"/>
  <c r="N3152" i="1" s="1"/>
  <c r="J3150" i="1"/>
  <c r="J3148" i="1"/>
  <c r="J3147" i="1"/>
  <c r="K3146" i="1" a="1"/>
  <c r="J3146" i="1"/>
  <c r="J3144" i="1"/>
  <c r="J3143" i="1"/>
  <c r="K3142" i="1" a="1"/>
  <c r="J3142" i="1"/>
  <c r="J3140" i="1"/>
  <c r="J3139" i="1"/>
  <c r="K3138" i="1" a="1"/>
  <c r="L3140" i="1" s="1"/>
  <c r="J3138" i="1"/>
  <c r="J3136" i="1"/>
  <c r="J3135" i="1"/>
  <c r="K3134" i="1" a="1"/>
  <c r="L3135" i="1" s="1"/>
  <c r="J3134" i="1"/>
  <c r="J3129" i="1"/>
  <c r="O3132" i="1" s="1"/>
  <c r="C3123" i="1"/>
  <c r="B3123" i="1"/>
  <c r="C3122" i="1"/>
  <c r="B3122" i="1"/>
  <c r="C3121" i="1"/>
  <c r="B3121" i="1"/>
  <c r="J3120" i="1"/>
  <c r="C3120" i="1"/>
  <c r="B3120" i="1"/>
  <c r="J3119" i="1"/>
  <c r="C3119" i="1"/>
  <c r="B3119" i="1"/>
  <c r="K3118" i="1" a="1"/>
  <c r="M3119" i="1" s="1"/>
  <c r="J3118" i="1"/>
  <c r="G3118" i="1"/>
  <c r="F3118" i="1"/>
  <c r="C3118" i="1"/>
  <c r="B3118" i="1"/>
  <c r="C3117" i="1"/>
  <c r="B3117" i="1"/>
  <c r="J3116" i="1"/>
  <c r="C3116" i="1"/>
  <c r="B3116" i="1"/>
  <c r="J3115" i="1"/>
  <c r="C3115" i="1"/>
  <c r="B3115" i="1"/>
  <c r="K3114" i="1" a="1"/>
  <c r="Q3116" i="1" s="1"/>
  <c r="J3114" i="1"/>
  <c r="C3114" i="1"/>
  <c r="B3114" i="1"/>
  <c r="J3112" i="1"/>
  <c r="J3111" i="1"/>
  <c r="K3110" i="1" a="1"/>
  <c r="P3111" i="1" s="1"/>
  <c r="J3110" i="1"/>
  <c r="J3108" i="1"/>
  <c r="J3107" i="1"/>
  <c r="K3106" i="1" a="1"/>
  <c r="J3106" i="1"/>
  <c r="J3104" i="1"/>
  <c r="J3103" i="1"/>
  <c r="K3102" i="1" a="1"/>
  <c r="O3103" i="1" s="1"/>
  <c r="J3102" i="1"/>
  <c r="J3100" i="1"/>
  <c r="J3099" i="1"/>
  <c r="K3098" i="1" a="1"/>
  <c r="J3098" i="1"/>
  <c r="J3096" i="1"/>
  <c r="J3095" i="1"/>
  <c r="K3094" i="1" a="1"/>
  <c r="K3094" i="1" s="1"/>
  <c r="J3094" i="1"/>
  <c r="J3092" i="1"/>
  <c r="J3091" i="1"/>
  <c r="K3090" i="1" a="1"/>
  <c r="J3090" i="1"/>
  <c r="J3085" i="1"/>
  <c r="C3079" i="1"/>
  <c r="B3079" i="1"/>
  <c r="C3078" i="1"/>
  <c r="B3078" i="1"/>
  <c r="C3077" i="1"/>
  <c r="B3077" i="1"/>
  <c r="J3076" i="1"/>
  <c r="C3076" i="1"/>
  <c r="B3076" i="1"/>
  <c r="J3075" i="1"/>
  <c r="C3075" i="1"/>
  <c r="B3075" i="1"/>
  <c r="K3074" i="1" a="1"/>
  <c r="J3074" i="1"/>
  <c r="G3074" i="1"/>
  <c r="F3074" i="1"/>
  <c r="C3074" i="1"/>
  <c r="B3074" i="1"/>
  <c r="C3073" i="1"/>
  <c r="B3073" i="1"/>
  <c r="J3072" i="1"/>
  <c r="C3072" i="1"/>
  <c r="B3072" i="1"/>
  <c r="J3071" i="1"/>
  <c r="C3071" i="1"/>
  <c r="B3071" i="1"/>
  <c r="K3070" i="1" a="1"/>
  <c r="O3070" i="1" s="1"/>
  <c r="J3070" i="1"/>
  <c r="C3070" i="1"/>
  <c r="B3070" i="1"/>
  <c r="J3068" i="1"/>
  <c r="J3067" i="1"/>
  <c r="K3066" i="1" a="1"/>
  <c r="J3066" i="1"/>
  <c r="J3064" i="1"/>
  <c r="J3063" i="1"/>
  <c r="K3062" i="1" a="1"/>
  <c r="N3064" i="1" s="1"/>
  <c r="J3062" i="1"/>
  <c r="J3060" i="1"/>
  <c r="J3059" i="1"/>
  <c r="K3058" i="1" a="1"/>
  <c r="K3058" i="1" s="1"/>
  <c r="J3058" i="1"/>
  <c r="J3056" i="1"/>
  <c r="J3055" i="1"/>
  <c r="K3054" i="1" a="1"/>
  <c r="N3056" i="1" s="1"/>
  <c r="J3054" i="1"/>
  <c r="J3052" i="1"/>
  <c r="J3051" i="1"/>
  <c r="K3050" i="1" a="1"/>
  <c r="K3052" i="1" s="1"/>
  <c r="J3050" i="1"/>
  <c r="J3048" i="1"/>
  <c r="J3047" i="1"/>
  <c r="K3046" i="1" a="1"/>
  <c r="L3047" i="1" s="1"/>
  <c r="J3046" i="1"/>
  <c r="J3041" i="1"/>
  <c r="J3042" i="1" s="1"/>
  <c r="C3035" i="1"/>
  <c r="B3035" i="1"/>
  <c r="C3034" i="1"/>
  <c r="B3034" i="1"/>
  <c r="C3033" i="1"/>
  <c r="B3033" i="1"/>
  <c r="J3032" i="1"/>
  <c r="C3032" i="1"/>
  <c r="B3032" i="1"/>
  <c r="J3031" i="1"/>
  <c r="C3031" i="1"/>
  <c r="B3031" i="1"/>
  <c r="K3030" i="1" a="1"/>
  <c r="P3032" i="1" s="1"/>
  <c r="J3030" i="1"/>
  <c r="G3030" i="1"/>
  <c r="F3030" i="1"/>
  <c r="C3030" i="1"/>
  <c r="B3030" i="1"/>
  <c r="C3029" i="1"/>
  <c r="B3029" i="1"/>
  <c r="J3028" i="1"/>
  <c r="C3028" i="1"/>
  <c r="B3028" i="1"/>
  <c r="J3027" i="1"/>
  <c r="C3027" i="1"/>
  <c r="B3027" i="1"/>
  <c r="K3026" i="1" a="1"/>
  <c r="M3028" i="1" s="1"/>
  <c r="J3026" i="1"/>
  <c r="C3026" i="1"/>
  <c r="B3026" i="1"/>
  <c r="J3024" i="1"/>
  <c r="J3023" i="1"/>
  <c r="K3022" i="1" a="1"/>
  <c r="M3022" i="1" s="1"/>
  <c r="J3022" i="1"/>
  <c r="J3020" i="1"/>
  <c r="J3019" i="1"/>
  <c r="K3018" i="1" a="1"/>
  <c r="N3020" i="1" s="1"/>
  <c r="J3018" i="1"/>
  <c r="J3016" i="1"/>
  <c r="J3015" i="1"/>
  <c r="K3014" i="1" a="1"/>
  <c r="M3016" i="1" s="1"/>
  <c r="J3014" i="1"/>
  <c r="J3012" i="1"/>
  <c r="J3011" i="1"/>
  <c r="K3010" i="1" a="1"/>
  <c r="J3010" i="1"/>
  <c r="J3008" i="1"/>
  <c r="J3007" i="1"/>
  <c r="K3006" i="1" a="1"/>
  <c r="L3008" i="1" s="1"/>
  <c r="J3006" i="1"/>
  <c r="J3004" i="1"/>
  <c r="J3003" i="1"/>
  <c r="K3002" i="1" a="1"/>
  <c r="J3002" i="1"/>
  <c r="J2997" i="1"/>
  <c r="J2998" i="1" s="1"/>
  <c r="C2991" i="1"/>
  <c r="B2991" i="1"/>
  <c r="C2990" i="1"/>
  <c r="B2990" i="1"/>
  <c r="C2989" i="1"/>
  <c r="B2989" i="1"/>
  <c r="J2988" i="1"/>
  <c r="C2988" i="1"/>
  <c r="B2988" i="1"/>
  <c r="J2987" i="1"/>
  <c r="C2987" i="1"/>
  <c r="B2987" i="1"/>
  <c r="K2986" i="1" a="1"/>
  <c r="N2988" i="1" s="1"/>
  <c r="J2986" i="1"/>
  <c r="G2986" i="1"/>
  <c r="F2986" i="1"/>
  <c r="E2986" i="1" s="1"/>
  <c r="C2986" i="1"/>
  <c r="B2986" i="1"/>
  <c r="C2985" i="1"/>
  <c r="B2985" i="1"/>
  <c r="J2984" i="1"/>
  <c r="C2984" i="1"/>
  <c r="B2984" i="1"/>
  <c r="J2983" i="1"/>
  <c r="C2983" i="1"/>
  <c r="B2983" i="1"/>
  <c r="K2982" i="1" a="1"/>
  <c r="R2984" i="1" s="1"/>
  <c r="J2982" i="1"/>
  <c r="C2982" i="1"/>
  <c r="B2982" i="1"/>
  <c r="J2980" i="1"/>
  <c r="J2979" i="1"/>
  <c r="K2978" i="1" a="1"/>
  <c r="P2980" i="1" s="1"/>
  <c r="J2978" i="1"/>
  <c r="J2976" i="1"/>
  <c r="J2975" i="1"/>
  <c r="K2974" i="1" a="1"/>
  <c r="N2976" i="1" s="1"/>
  <c r="J2974" i="1"/>
  <c r="J2972" i="1"/>
  <c r="J2971" i="1"/>
  <c r="K2970" i="1" a="1"/>
  <c r="N2971" i="1" s="1"/>
  <c r="J2970" i="1"/>
  <c r="J2968" i="1"/>
  <c r="J2967" i="1"/>
  <c r="K2966" i="1" a="1"/>
  <c r="K2968" i="1" s="1"/>
  <c r="J2966" i="1"/>
  <c r="J2964" i="1"/>
  <c r="J2963" i="1"/>
  <c r="K2962" i="1" a="1"/>
  <c r="K2963" i="1" s="1"/>
  <c r="J2962" i="1"/>
  <c r="J2960" i="1"/>
  <c r="J2959" i="1"/>
  <c r="K2958" i="1" a="1"/>
  <c r="J2958" i="1"/>
  <c r="J2953" i="1"/>
  <c r="O2956" i="1" s="1"/>
  <c r="C2947" i="1"/>
  <c r="B2947" i="1"/>
  <c r="C2946" i="1"/>
  <c r="B2946" i="1"/>
  <c r="C2945" i="1"/>
  <c r="B2945" i="1"/>
  <c r="J2944" i="1"/>
  <c r="C2944" i="1"/>
  <c r="B2944" i="1"/>
  <c r="J2943" i="1"/>
  <c r="C2943" i="1"/>
  <c r="B2943" i="1"/>
  <c r="K2942" i="1" a="1"/>
  <c r="P2944" i="1" s="1"/>
  <c r="J2942" i="1"/>
  <c r="G2942" i="1"/>
  <c r="F2942" i="1"/>
  <c r="C2942" i="1"/>
  <c r="B2942" i="1"/>
  <c r="C2941" i="1"/>
  <c r="B2941" i="1"/>
  <c r="J2940" i="1"/>
  <c r="C2940" i="1"/>
  <c r="B2940" i="1"/>
  <c r="J2939" i="1"/>
  <c r="C2939" i="1"/>
  <c r="B2939" i="1"/>
  <c r="K2938" i="1" a="1"/>
  <c r="P2940" i="1" s="1"/>
  <c r="J2938" i="1"/>
  <c r="C2938" i="1"/>
  <c r="B2938" i="1"/>
  <c r="J2936" i="1"/>
  <c r="J2935" i="1"/>
  <c r="K2934" i="1" a="1"/>
  <c r="K2936" i="1" s="1"/>
  <c r="J2934" i="1"/>
  <c r="J2932" i="1"/>
  <c r="J2931" i="1"/>
  <c r="K2930" i="1" a="1"/>
  <c r="J2930" i="1"/>
  <c r="J2928" i="1"/>
  <c r="J2927" i="1"/>
  <c r="K2926" i="1" a="1"/>
  <c r="O2928" i="1" s="1"/>
  <c r="J2926" i="1"/>
  <c r="J2924" i="1"/>
  <c r="J2923" i="1"/>
  <c r="K2922" i="1" a="1"/>
  <c r="L2924" i="1" s="1"/>
  <c r="J2922" i="1"/>
  <c r="J2920" i="1"/>
  <c r="J2919" i="1"/>
  <c r="K2918" i="1" a="1"/>
  <c r="L2920" i="1" s="1"/>
  <c r="J2918" i="1"/>
  <c r="J2916" i="1"/>
  <c r="J2915" i="1"/>
  <c r="K2914" i="1" a="1"/>
  <c r="L2916" i="1" s="1"/>
  <c r="J2914" i="1"/>
  <c r="J2909" i="1"/>
  <c r="C2903" i="1"/>
  <c r="B2903" i="1"/>
  <c r="C2902" i="1"/>
  <c r="B2902" i="1"/>
  <c r="C2901" i="1"/>
  <c r="B2901" i="1"/>
  <c r="J2900" i="1"/>
  <c r="C2900" i="1"/>
  <c r="B2900" i="1"/>
  <c r="J2899" i="1"/>
  <c r="C2899" i="1"/>
  <c r="B2899" i="1"/>
  <c r="K2898" i="1" a="1"/>
  <c r="P2899" i="1" s="1"/>
  <c r="J2898" i="1"/>
  <c r="G2898" i="1"/>
  <c r="F2898" i="1"/>
  <c r="C2898" i="1"/>
  <c r="B2898" i="1"/>
  <c r="C2897" i="1"/>
  <c r="B2897" i="1"/>
  <c r="J2896" i="1"/>
  <c r="C2896" i="1"/>
  <c r="B2896" i="1"/>
  <c r="J2895" i="1"/>
  <c r="C2895" i="1"/>
  <c r="B2895" i="1"/>
  <c r="K2894" i="1" a="1"/>
  <c r="P2896" i="1" s="1"/>
  <c r="J2894" i="1"/>
  <c r="C2894" i="1"/>
  <c r="B2894" i="1"/>
  <c r="J2892" i="1"/>
  <c r="J2891" i="1"/>
  <c r="K2890" i="1" a="1"/>
  <c r="P2892" i="1" s="1"/>
  <c r="J2890" i="1"/>
  <c r="J2888" i="1"/>
  <c r="J2887" i="1"/>
  <c r="K2886" i="1" a="1"/>
  <c r="N2888" i="1" s="1"/>
  <c r="J2886" i="1"/>
  <c r="J2884" i="1"/>
  <c r="J2883" i="1"/>
  <c r="K2882" i="1" a="1"/>
  <c r="L2884" i="1" s="1"/>
  <c r="J2882" i="1"/>
  <c r="J2880" i="1"/>
  <c r="J2879" i="1"/>
  <c r="K2878" i="1" a="1"/>
  <c r="J2878" i="1"/>
  <c r="J2876" i="1"/>
  <c r="J2875" i="1"/>
  <c r="K2874" i="1" a="1"/>
  <c r="M2874" i="1" s="1"/>
  <c r="J2874" i="1"/>
  <c r="J2872" i="1"/>
  <c r="J2871" i="1"/>
  <c r="K2870" i="1" a="1"/>
  <c r="L2871" i="1" s="1"/>
  <c r="J2870" i="1"/>
  <c r="J2865" i="1"/>
  <c r="J2868" i="1" s="1"/>
  <c r="C2859" i="1"/>
  <c r="B2859" i="1"/>
  <c r="C2858" i="1"/>
  <c r="B2858" i="1"/>
  <c r="C2857" i="1"/>
  <c r="B2857" i="1"/>
  <c r="J2856" i="1"/>
  <c r="C2856" i="1"/>
  <c r="B2856" i="1"/>
  <c r="J2855" i="1"/>
  <c r="C2855" i="1"/>
  <c r="B2855" i="1"/>
  <c r="K2854" i="1" a="1"/>
  <c r="P2856" i="1" s="1"/>
  <c r="J2854" i="1"/>
  <c r="G2854" i="1"/>
  <c r="F2854" i="1"/>
  <c r="C2854" i="1"/>
  <c r="B2854" i="1"/>
  <c r="C2853" i="1"/>
  <c r="B2853" i="1"/>
  <c r="J2852" i="1"/>
  <c r="C2852" i="1"/>
  <c r="B2852" i="1"/>
  <c r="J2851" i="1"/>
  <c r="C2851" i="1"/>
  <c r="B2851" i="1"/>
  <c r="K2850" i="1" a="1"/>
  <c r="M2852" i="1" s="1"/>
  <c r="J2850" i="1"/>
  <c r="C2850" i="1"/>
  <c r="B2850" i="1"/>
  <c r="J2848" i="1"/>
  <c r="J2847" i="1"/>
  <c r="K2846" i="1" a="1"/>
  <c r="P2848" i="1" s="1"/>
  <c r="J2846" i="1"/>
  <c r="J2844" i="1"/>
  <c r="J2843" i="1"/>
  <c r="K2842" i="1" a="1"/>
  <c r="J2842" i="1"/>
  <c r="J2840" i="1"/>
  <c r="J2839" i="1"/>
  <c r="K2838" i="1" a="1"/>
  <c r="O2839" i="1" s="1"/>
  <c r="J2838" i="1"/>
  <c r="J2836" i="1"/>
  <c r="J2835" i="1"/>
  <c r="K2834" i="1" a="1"/>
  <c r="N2835" i="1" s="1"/>
  <c r="J2834" i="1"/>
  <c r="J2832" i="1"/>
  <c r="J2831" i="1"/>
  <c r="K2830" i="1" a="1"/>
  <c r="K2831" i="1" s="1"/>
  <c r="J2830" i="1"/>
  <c r="J2828" i="1"/>
  <c r="J2827" i="1"/>
  <c r="K2826" i="1" a="1"/>
  <c r="L2827" i="1" s="1"/>
  <c r="J2826" i="1"/>
  <c r="J2821" i="1"/>
  <c r="J2824" i="1" s="1"/>
  <c r="C2815" i="1"/>
  <c r="B2815" i="1"/>
  <c r="C2814" i="1"/>
  <c r="B2814" i="1"/>
  <c r="C2813" i="1"/>
  <c r="B2813" i="1"/>
  <c r="J2812" i="1"/>
  <c r="C2812" i="1"/>
  <c r="B2812" i="1"/>
  <c r="J2811" i="1"/>
  <c r="C2811" i="1"/>
  <c r="B2811" i="1"/>
  <c r="K2810" i="1" a="1"/>
  <c r="M2810" i="1" s="1"/>
  <c r="J2810" i="1"/>
  <c r="G2810" i="1"/>
  <c r="F2810" i="1"/>
  <c r="C2810" i="1"/>
  <c r="B2810" i="1"/>
  <c r="C2809" i="1"/>
  <c r="B2809" i="1"/>
  <c r="J2808" i="1"/>
  <c r="C2808" i="1"/>
  <c r="B2808" i="1"/>
  <c r="J2807" i="1"/>
  <c r="C2807" i="1"/>
  <c r="B2807" i="1"/>
  <c r="K2806" i="1" a="1"/>
  <c r="L2808" i="1" s="1"/>
  <c r="J2806" i="1"/>
  <c r="C2806" i="1"/>
  <c r="B2806" i="1"/>
  <c r="J2804" i="1"/>
  <c r="J2803" i="1"/>
  <c r="K2802" i="1" a="1"/>
  <c r="O2804" i="1" s="1"/>
  <c r="J2802" i="1"/>
  <c r="J2800" i="1"/>
  <c r="J2799" i="1"/>
  <c r="K2798" i="1" a="1"/>
  <c r="O2800" i="1" s="1"/>
  <c r="J2798" i="1"/>
  <c r="J2796" i="1"/>
  <c r="J2795" i="1"/>
  <c r="K2794" i="1" a="1"/>
  <c r="N2796" i="1" s="1"/>
  <c r="J2794" i="1"/>
  <c r="J2792" i="1"/>
  <c r="J2791" i="1"/>
  <c r="K2790" i="1" a="1"/>
  <c r="L2792" i="1" s="1"/>
  <c r="J2790" i="1"/>
  <c r="B2789" i="1"/>
  <c r="C2789" i="1" s="1"/>
  <c r="D2789" i="1" s="1"/>
  <c r="G2789" i="1" s="1"/>
  <c r="H2789" i="1" s="1"/>
  <c r="J2788" i="1"/>
  <c r="J2787" i="1"/>
  <c r="K2786" i="1" a="1"/>
  <c r="K2788" i="1" s="1"/>
  <c r="J2786" i="1"/>
  <c r="E2786" i="1"/>
  <c r="J2784" i="1"/>
  <c r="J2783" i="1"/>
  <c r="G2783" i="1"/>
  <c r="F2783" i="1"/>
  <c r="D2783" i="1"/>
  <c r="K2782" i="1" a="1"/>
  <c r="J2782" i="1"/>
  <c r="J2777" i="1"/>
  <c r="J2780" i="1" s="1"/>
  <c r="E3074" i="1" l="1"/>
  <c r="E3030" i="1"/>
  <c r="E2942" i="1"/>
  <c r="E2854" i="1"/>
  <c r="E3162" i="1"/>
  <c r="E2898" i="1"/>
  <c r="D3559" i="1"/>
  <c r="E3206" i="1"/>
  <c r="E2766" i="1"/>
  <c r="C5" i="4"/>
  <c r="D5" i="4" s="1"/>
  <c r="E3118" i="1"/>
  <c r="E3338" i="1"/>
  <c r="E3250" i="1"/>
  <c r="E2810" i="1"/>
  <c r="E2634" i="1"/>
  <c r="D1931" i="1"/>
  <c r="K3536" i="1"/>
  <c r="E2722" i="1"/>
  <c r="K3854" i="1"/>
  <c r="E2590" i="1"/>
  <c r="K3506" i="1"/>
  <c r="D2989" i="1"/>
  <c r="E2678" i="1"/>
  <c r="O3856" i="1"/>
  <c r="O3895" i="1"/>
  <c r="M4348" i="1"/>
  <c r="D3602" i="1"/>
  <c r="E2194" i="1"/>
  <c r="E2370" i="1"/>
  <c r="E2546" i="1"/>
  <c r="M3508" i="1"/>
  <c r="L31" i="3"/>
  <c r="H476" i="1" s="1"/>
  <c r="E2150" i="1"/>
  <c r="E2238" i="1"/>
  <c r="E2414" i="1"/>
  <c r="E2502" i="1"/>
  <c r="E2458" i="1"/>
  <c r="E2326" i="1"/>
  <c r="E2282" i="1"/>
  <c r="M2270" i="1"/>
  <c r="P2534" i="1"/>
  <c r="L3892" i="1"/>
  <c r="D1798" i="1"/>
  <c r="D1801" i="1"/>
  <c r="E2018" i="1"/>
  <c r="N3191" i="1"/>
  <c r="L3023" i="1"/>
  <c r="O3024" i="1"/>
  <c r="D3337" i="1"/>
  <c r="D2725" i="1"/>
  <c r="N3676" i="1"/>
  <c r="N3896" i="1"/>
  <c r="D4351" i="1"/>
  <c r="D1884" i="1"/>
  <c r="D1891" i="1"/>
  <c r="N2224" i="1"/>
  <c r="K3674" i="1"/>
  <c r="P2847" i="1"/>
  <c r="R2855" i="1"/>
  <c r="N2275" i="1"/>
  <c r="L2534" i="1"/>
  <c r="L2583" i="1"/>
  <c r="Q3508" i="1"/>
  <c r="M3683" i="1"/>
  <c r="O2854" i="1"/>
  <c r="M2276" i="1"/>
  <c r="M2534" i="1"/>
  <c r="N2584" i="1"/>
  <c r="K2587" i="1"/>
  <c r="J3043" i="1"/>
  <c r="S3129" i="1"/>
  <c r="R3129" i="1" s="1"/>
  <c r="L3150" i="1"/>
  <c r="M2214" i="1"/>
  <c r="O2271" i="1"/>
  <c r="K2535" i="1"/>
  <c r="L3194" i="1"/>
  <c r="M3239" i="1"/>
  <c r="K3282" i="1"/>
  <c r="K2215" i="1"/>
  <c r="P2536" i="1"/>
  <c r="D2107" i="1"/>
  <c r="D2813" i="1"/>
  <c r="P2450" i="1"/>
  <c r="P2494" i="1"/>
  <c r="K2590" i="1"/>
  <c r="L3722" i="1"/>
  <c r="D3780" i="1"/>
  <c r="L3887" i="1"/>
  <c r="K4326" i="1"/>
  <c r="D3027" i="1"/>
  <c r="Q2846" i="1"/>
  <c r="K3190" i="1"/>
  <c r="M1688" i="1"/>
  <c r="L2362" i="1"/>
  <c r="M2535" i="1"/>
  <c r="D2590" i="1"/>
  <c r="M2626" i="1"/>
  <c r="Q3512" i="1"/>
  <c r="D3517" i="1"/>
  <c r="K3534" i="1"/>
  <c r="D3605" i="1"/>
  <c r="N3642" i="1"/>
  <c r="M3722" i="1"/>
  <c r="D3818" i="1"/>
  <c r="D3820" i="1"/>
  <c r="O3858" i="1"/>
  <c r="M3888" i="1"/>
  <c r="L4327" i="1"/>
  <c r="L2942" i="1"/>
  <c r="M2315" i="1"/>
  <c r="D2768" i="1"/>
  <c r="L3798" i="1"/>
  <c r="M3855" i="1"/>
  <c r="Q2856" i="1"/>
  <c r="O2942" i="1"/>
  <c r="M2274" i="1"/>
  <c r="O2315" i="1"/>
  <c r="D2456" i="1"/>
  <c r="K2534" i="1"/>
  <c r="O2798" i="1"/>
  <c r="P3022" i="1"/>
  <c r="L3062" i="1"/>
  <c r="P2274" i="1"/>
  <c r="O2316" i="1"/>
  <c r="L3815" i="1"/>
  <c r="R3824" i="1"/>
  <c r="M3912" i="1"/>
  <c r="E1886" i="1"/>
  <c r="O2766" i="1"/>
  <c r="D3914" i="1"/>
  <c r="D2022" i="1"/>
  <c r="E1666" i="1"/>
  <c r="D1664" i="1"/>
  <c r="P1667" i="1"/>
  <c r="M1643" i="1"/>
  <c r="L3330" i="1"/>
  <c r="O2134" i="1"/>
  <c r="L2171" i="1"/>
  <c r="P2278" i="1"/>
  <c r="M2450" i="1"/>
  <c r="K2494" i="1"/>
  <c r="S2557" i="1"/>
  <c r="R2557" i="1" s="1"/>
  <c r="M2586" i="1"/>
  <c r="D3557" i="1"/>
  <c r="K3631" i="1"/>
  <c r="D3687" i="1"/>
  <c r="D3690" i="1"/>
  <c r="L3812" i="1"/>
  <c r="N3815" i="1"/>
  <c r="M3892" i="1"/>
  <c r="D3909" i="1"/>
  <c r="D1974" i="1"/>
  <c r="D1977" i="1"/>
  <c r="D2023" i="1"/>
  <c r="D2105" i="1"/>
  <c r="P3815" i="1"/>
  <c r="E2062" i="1"/>
  <c r="D2066" i="1"/>
  <c r="G2104" i="1"/>
  <c r="S2821" i="1"/>
  <c r="O3104" i="1"/>
  <c r="L3114" i="1"/>
  <c r="O3284" i="1"/>
  <c r="O2076" i="1"/>
  <c r="K2186" i="1"/>
  <c r="D2279" i="1"/>
  <c r="P2316" i="1"/>
  <c r="Q2362" i="1"/>
  <c r="R2372" i="1"/>
  <c r="M2451" i="1"/>
  <c r="N2495" i="1"/>
  <c r="P2587" i="1"/>
  <c r="L2627" i="1"/>
  <c r="M2768" i="1"/>
  <c r="K3622" i="1"/>
  <c r="L3626" i="1"/>
  <c r="N3644" i="1"/>
  <c r="M3728" i="1"/>
  <c r="M3816" i="1"/>
  <c r="K3823" i="1"/>
  <c r="M3854" i="1"/>
  <c r="D2060" i="1"/>
  <c r="N2943" i="1"/>
  <c r="L2974" i="1"/>
  <c r="M3026" i="1"/>
  <c r="N3118" i="1"/>
  <c r="K3198" i="1"/>
  <c r="L3270" i="1"/>
  <c r="P2187" i="1"/>
  <c r="L2214" i="1"/>
  <c r="K2270" i="1"/>
  <c r="K2274" i="1"/>
  <c r="L2398" i="1"/>
  <c r="J2427" i="1"/>
  <c r="N2451" i="1"/>
  <c r="N2482" i="1"/>
  <c r="L2567" i="1"/>
  <c r="M2588" i="1"/>
  <c r="Q2627" i="1"/>
  <c r="L3623" i="1"/>
  <c r="M3626" i="1"/>
  <c r="R3644" i="1"/>
  <c r="S3823" i="1"/>
  <c r="P3854" i="1"/>
  <c r="D4354" i="1"/>
  <c r="R2943" i="1"/>
  <c r="K2976" i="1"/>
  <c r="K3046" i="1"/>
  <c r="M2188" i="1"/>
  <c r="M2398" i="1"/>
  <c r="Q2451" i="1"/>
  <c r="M3624" i="1"/>
  <c r="J4319" i="1"/>
  <c r="D2110" i="1"/>
  <c r="R2944" i="1"/>
  <c r="K3048" i="1"/>
  <c r="P3062" i="1"/>
  <c r="D3079" i="1"/>
  <c r="K3162" i="1"/>
  <c r="O2139" i="1"/>
  <c r="L2314" i="1"/>
  <c r="N2399" i="1"/>
  <c r="N2452" i="1"/>
  <c r="N2458" i="1"/>
  <c r="L2536" i="1"/>
  <c r="K2582" i="1"/>
  <c r="O2590" i="1"/>
  <c r="K2607" i="1"/>
  <c r="D2724" i="1"/>
  <c r="D2727" i="1"/>
  <c r="K3591" i="1"/>
  <c r="K3636" i="1"/>
  <c r="N3675" i="1"/>
  <c r="M3724" i="1"/>
  <c r="M3814" i="1"/>
  <c r="O3855" i="1"/>
  <c r="M3860" i="1"/>
  <c r="D3865" i="1"/>
  <c r="L3866" i="1"/>
  <c r="M3890" i="1"/>
  <c r="L3894" i="1"/>
  <c r="D3906" i="1"/>
  <c r="L2846" i="1"/>
  <c r="K3064" i="1"/>
  <c r="N3162" i="1"/>
  <c r="O3195" i="1"/>
  <c r="M3322" i="1"/>
  <c r="M2272" i="1"/>
  <c r="L2275" i="1"/>
  <c r="M2314" i="1"/>
  <c r="K2327" i="1"/>
  <c r="M2400" i="1"/>
  <c r="M2436" i="1"/>
  <c r="R2460" i="1"/>
  <c r="K2526" i="1"/>
  <c r="O2536" i="1"/>
  <c r="L2582" i="1"/>
  <c r="K2608" i="1"/>
  <c r="O3592" i="1"/>
  <c r="P3768" i="1"/>
  <c r="D3776" i="1"/>
  <c r="O3814" i="1"/>
  <c r="L3856" i="1"/>
  <c r="S3867" i="1"/>
  <c r="L3891" i="1"/>
  <c r="K3895" i="1"/>
  <c r="D1710" i="1"/>
  <c r="D1802" i="1"/>
  <c r="D2016" i="1"/>
  <c r="K2812" i="1"/>
  <c r="L3238" i="1"/>
  <c r="L3291" i="1"/>
  <c r="P3334" i="1"/>
  <c r="Q1666" i="1"/>
  <c r="K2316" i="1"/>
  <c r="D2412" i="1"/>
  <c r="M2440" i="1"/>
  <c r="D2595" i="1"/>
  <c r="K3494" i="1"/>
  <c r="O3506" i="1"/>
  <c r="L3534" i="1"/>
  <c r="K3546" i="1"/>
  <c r="O3591" i="1"/>
  <c r="L3636" i="1"/>
  <c r="K3676" i="1"/>
  <c r="P3683" i="1"/>
  <c r="O3812" i="1"/>
  <c r="O3860" i="1"/>
  <c r="D3871" i="1"/>
  <c r="M4347" i="1"/>
  <c r="D1753" i="1"/>
  <c r="D1756" i="1"/>
  <c r="D1842" i="1"/>
  <c r="D1845" i="1"/>
  <c r="E1930" i="1"/>
  <c r="D1934" i="1"/>
  <c r="G1972" i="1"/>
  <c r="D2062" i="1"/>
  <c r="D2065" i="1"/>
  <c r="D2810" i="1"/>
  <c r="L2826" i="1"/>
  <c r="N2970" i="1"/>
  <c r="M3238" i="1"/>
  <c r="P3291" i="1"/>
  <c r="L3336" i="1"/>
  <c r="K2134" i="1"/>
  <c r="K2232" i="1"/>
  <c r="D2235" i="1"/>
  <c r="K2239" i="1"/>
  <c r="K2314" i="1"/>
  <c r="L2316" i="1"/>
  <c r="L2399" i="1"/>
  <c r="M2434" i="1"/>
  <c r="L3495" i="1"/>
  <c r="L3507" i="1"/>
  <c r="M3535" i="1"/>
  <c r="O3546" i="1"/>
  <c r="K3592" i="1"/>
  <c r="P3636" i="1"/>
  <c r="M3676" i="1"/>
  <c r="M3684" i="1"/>
  <c r="K3858" i="1"/>
  <c r="Q3860" i="1"/>
  <c r="D4353" i="1"/>
  <c r="E1710" i="1"/>
  <c r="D1714" i="1"/>
  <c r="G1752" i="1"/>
  <c r="D1799" i="1"/>
  <c r="D1803" i="1"/>
  <c r="D1928" i="1"/>
  <c r="D2108" i="1"/>
  <c r="R2856" i="1"/>
  <c r="L2870" i="1"/>
  <c r="D2991" i="1"/>
  <c r="M3024" i="1"/>
  <c r="J3044" i="1"/>
  <c r="S3044" i="1" s="1"/>
  <c r="O3063" i="1"/>
  <c r="P3115" i="1"/>
  <c r="J3130" i="1"/>
  <c r="K3150" i="1"/>
  <c r="L3190" i="1"/>
  <c r="M3194" i="1"/>
  <c r="K3239" i="1"/>
  <c r="O3282" i="1"/>
  <c r="M3336" i="1"/>
  <c r="M1642" i="1"/>
  <c r="O1668" i="1"/>
  <c r="L2134" i="1"/>
  <c r="L2180" i="1"/>
  <c r="N2188" i="1"/>
  <c r="P2194" i="1"/>
  <c r="M3496" i="1"/>
  <c r="O3548" i="1"/>
  <c r="N3684" i="1"/>
  <c r="D3692" i="1"/>
  <c r="K3810" i="1"/>
  <c r="M3858" i="1"/>
  <c r="K3867" i="1"/>
  <c r="M3906" i="1"/>
  <c r="L4326" i="1"/>
  <c r="M4330" i="1"/>
  <c r="L3510" i="1"/>
  <c r="D3519" i="1"/>
  <c r="P3592" i="1"/>
  <c r="D3604" i="1"/>
  <c r="D3607" i="1"/>
  <c r="L3634" i="1"/>
  <c r="D3646" i="1"/>
  <c r="L3674" i="1"/>
  <c r="K3682" i="1"/>
  <c r="Q3684" i="1"/>
  <c r="P3686" i="1"/>
  <c r="M3810" i="1"/>
  <c r="M3907" i="1"/>
  <c r="M4332" i="1"/>
  <c r="D4346" i="1"/>
  <c r="D4347" i="1"/>
  <c r="D1711" i="1"/>
  <c r="D1715" i="1"/>
  <c r="E1974" i="1"/>
  <c r="D1978" i="1"/>
  <c r="D2106" i="1"/>
  <c r="L2882" i="1"/>
  <c r="Q2944" i="1"/>
  <c r="L2966" i="1"/>
  <c r="L2986" i="1"/>
  <c r="O3064" i="1"/>
  <c r="O3150" i="1"/>
  <c r="M3154" i="1"/>
  <c r="K3196" i="1"/>
  <c r="O3239" i="1"/>
  <c r="D3335" i="1"/>
  <c r="N2135" i="1"/>
  <c r="S2161" i="1"/>
  <c r="R2161" i="1" s="1"/>
  <c r="L2186" i="1"/>
  <c r="P2280" i="1"/>
  <c r="P2314" i="1"/>
  <c r="P2363" i="1"/>
  <c r="N2400" i="1"/>
  <c r="Q2414" i="1"/>
  <c r="O2452" i="1"/>
  <c r="N2454" i="1"/>
  <c r="N2484" i="1"/>
  <c r="M2496" i="1"/>
  <c r="L2519" i="1"/>
  <c r="K2527" i="1"/>
  <c r="O2535" i="1"/>
  <c r="D2543" i="1"/>
  <c r="M2546" i="1"/>
  <c r="J2558" i="1"/>
  <c r="M2583" i="1"/>
  <c r="R2591" i="1"/>
  <c r="O2628" i="1"/>
  <c r="M2663" i="1"/>
  <c r="R2674" i="1"/>
  <c r="M2746" i="1"/>
  <c r="Q3510" i="1"/>
  <c r="K3590" i="1"/>
  <c r="M3634" i="1"/>
  <c r="M3674" i="1"/>
  <c r="L3682" i="1"/>
  <c r="P3687" i="1"/>
  <c r="K3723" i="1"/>
  <c r="M3726" i="1"/>
  <c r="M3766" i="1"/>
  <c r="P3810" i="1"/>
  <c r="O3816" i="1"/>
  <c r="L3859" i="1"/>
  <c r="R3868" i="1"/>
  <c r="D3869" i="1"/>
  <c r="K3883" i="1"/>
  <c r="M3908" i="1"/>
  <c r="M4328" i="1"/>
  <c r="E1754" i="1"/>
  <c r="D1758" i="1"/>
  <c r="D1843" i="1"/>
  <c r="D1929" i="1"/>
  <c r="D1932" i="1"/>
  <c r="D2063" i="1"/>
  <c r="D2812" i="1"/>
  <c r="L2854" i="1"/>
  <c r="O2883" i="1"/>
  <c r="P2894" i="1"/>
  <c r="L2918" i="1"/>
  <c r="O2987" i="1"/>
  <c r="D3119" i="1"/>
  <c r="N3151" i="1"/>
  <c r="O3156" i="1"/>
  <c r="L3240" i="1"/>
  <c r="O2135" i="1"/>
  <c r="J2162" i="1"/>
  <c r="P2186" i="1"/>
  <c r="L2216" i="1"/>
  <c r="K2315" i="1"/>
  <c r="N2364" i="1"/>
  <c r="K2371" i="1"/>
  <c r="L2415" i="1"/>
  <c r="J2426" i="1"/>
  <c r="L2450" i="1"/>
  <c r="L2520" i="1"/>
  <c r="K2536" i="1"/>
  <c r="K2548" i="1"/>
  <c r="M2584" i="1"/>
  <c r="M2592" i="1"/>
  <c r="R2676" i="1"/>
  <c r="O3511" i="1"/>
  <c r="K3580" i="1"/>
  <c r="L3590" i="1"/>
  <c r="K3630" i="1"/>
  <c r="K3635" i="1"/>
  <c r="K3642" i="1"/>
  <c r="L3671" i="1"/>
  <c r="K3675" i="1"/>
  <c r="O3682" i="1"/>
  <c r="P3688" i="1"/>
  <c r="M3723" i="1"/>
  <c r="Q3726" i="1"/>
  <c r="K3767" i="1"/>
  <c r="M3811" i="1"/>
  <c r="K3814" i="1"/>
  <c r="Q3816" i="1"/>
  <c r="D3819" i="1"/>
  <c r="L3822" i="1"/>
  <c r="N3847" i="1"/>
  <c r="N3859" i="1"/>
  <c r="K3886" i="1"/>
  <c r="L3890" i="1"/>
  <c r="O3910" i="1"/>
  <c r="S4317" i="1"/>
  <c r="S4318" i="1" s="1"/>
  <c r="D1712" i="1"/>
  <c r="D1890" i="1"/>
  <c r="G1928" i="1"/>
  <c r="D1975" i="1"/>
  <c r="K3152" i="1"/>
  <c r="O3240" i="1"/>
  <c r="M2136" i="1"/>
  <c r="Q2186" i="1"/>
  <c r="O2416" i="1"/>
  <c r="L3512" i="1"/>
  <c r="P3590" i="1"/>
  <c r="M3635" i="1"/>
  <c r="L3675" i="1"/>
  <c r="L3683" i="1"/>
  <c r="O3811" i="1"/>
  <c r="P3859" i="1"/>
  <c r="G1708" i="1"/>
  <c r="D1930" i="1"/>
  <c r="D1933" i="1"/>
  <c r="O2811" i="1"/>
  <c r="N2855" i="1"/>
  <c r="D2895" i="1"/>
  <c r="M2938" i="1"/>
  <c r="K2975" i="1"/>
  <c r="K3062" i="1"/>
  <c r="D3077" i="1"/>
  <c r="O3152" i="1"/>
  <c r="S3163" i="1"/>
  <c r="L3178" i="1"/>
  <c r="K3238" i="1"/>
  <c r="P3240" i="1"/>
  <c r="M3334" i="1"/>
  <c r="D3336" i="1"/>
  <c r="D3340" i="1"/>
  <c r="N2187" i="1"/>
  <c r="S2416" i="1"/>
  <c r="M4346" i="1"/>
  <c r="K3100" i="1"/>
  <c r="L3100" i="1"/>
  <c r="N3188" i="1"/>
  <c r="K3187" i="1"/>
  <c r="O2799" i="1"/>
  <c r="S2854" i="1"/>
  <c r="S2855" i="1"/>
  <c r="L2886" i="1"/>
  <c r="P2895" i="1"/>
  <c r="M2922" i="1"/>
  <c r="M2940" i="1"/>
  <c r="S2942" i="1"/>
  <c r="S2943" i="1"/>
  <c r="N2972" i="1"/>
  <c r="M2986" i="1"/>
  <c r="K2988" i="1"/>
  <c r="K3006" i="1"/>
  <c r="M3014" i="1"/>
  <c r="L3098" i="1"/>
  <c r="M3114" i="1"/>
  <c r="M3116" i="1"/>
  <c r="K3186" i="1"/>
  <c r="L3228" i="1"/>
  <c r="L3227" i="1"/>
  <c r="O3235" i="1"/>
  <c r="O3234" i="1"/>
  <c r="R3248" i="1"/>
  <c r="K3248" i="1"/>
  <c r="K3246" i="1"/>
  <c r="O3248" i="1"/>
  <c r="O3252" i="1"/>
  <c r="K3252" i="1"/>
  <c r="N3280" i="1"/>
  <c r="L3278" i="1"/>
  <c r="D1670" i="1"/>
  <c r="J1678" i="1"/>
  <c r="P2007" i="1"/>
  <c r="M2138" i="1"/>
  <c r="P2140" i="1"/>
  <c r="P2144" i="1"/>
  <c r="L2143" i="1"/>
  <c r="N2184" i="1"/>
  <c r="M2183" i="1"/>
  <c r="O2182" i="1"/>
  <c r="N2220" i="1"/>
  <c r="L2219" i="1"/>
  <c r="N2323" i="1"/>
  <c r="N2322" i="1"/>
  <c r="N2396" i="1"/>
  <c r="K2396" i="1"/>
  <c r="M2394" i="1"/>
  <c r="O2411" i="1"/>
  <c r="L3487" i="1"/>
  <c r="K3487" i="1"/>
  <c r="L3486" i="1"/>
  <c r="K3486" i="1"/>
  <c r="K3575" i="1"/>
  <c r="L3575" i="1"/>
  <c r="L3574" i="1"/>
  <c r="R3072" i="1"/>
  <c r="K3070" i="1"/>
  <c r="L2794" i="1"/>
  <c r="N2838" i="1"/>
  <c r="K2875" i="1"/>
  <c r="K2795" i="1"/>
  <c r="P2800" i="1"/>
  <c r="D2808" i="1"/>
  <c r="D2815" i="1"/>
  <c r="O2840" i="1"/>
  <c r="N2848" i="1"/>
  <c r="D2850" i="1"/>
  <c r="D2853" i="1"/>
  <c r="K2854" i="1"/>
  <c r="K2855" i="1"/>
  <c r="M2856" i="1"/>
  <c r="K2887" i="1"/>
  <c r="K2915" i="1"/>
  <c r="M2923" i="1"/>
  <c r="D2940" i="1"/>
  <c r="D2941" i="1"/>
  <c r="K2942" i="1"/>
  <c r="K2943" i="1"/>
  <c r="M2944" i="1"/>
  <c r="D2986" i="1"/>
  <c r="K2987" i="1"/>
  <c r="M3008" i="1"/>
  <c r="K3016" i="1"/>
  <c r="P3024" i="1"/>
  <c r="N3023" i="1"/>
  <c r="K3022" i="1"/>
  <c r="Q3023" i="1"/>
  <c r="O3030" i="1"/>
  <c r="K3054" i="1"/>
  <c r="L3060" i="1"/>
  <c r="O3058" i="1"/>
  <c r="K3072" i="1"/>
  <c r="D3074" i="1"/>
  <c r="M3095" i="1"/>
  <c r="L3096" i="1"/>
  <c r="M3098" i="1"/>
  <c r="K3115" i="1"/>
  <c r="D3121" i="1"/>
  <c r="D3123" i="1"/>
  <c r="D3166" i="1"/>
  <c r="M3182" i="1"/>
  <c r="K3188" i="1"/>
  <c r="L3192" i="1"/>
  <c r="O3190" i="1"/>
  <c r="O3191" i="1"/>
  <c r="P3194" i="1"/>
  <c r="S3217" i="1"/>
  <c r="K3226" i="1"/>
  <c r="O3246" i="1"/>
  <c r="M3250" i="1"/>
  <c r="L3266" i="1"/>
  <c r="L3268" i="1"/>
  <c r="N3278" i="1"/>
  <c r="L3296" i="1"/>
  <c r="N3294" i="1"/>
  <c r="N3332" i="1"/>
  <c r="M3332" i="1"/>
  <c r="L1650" i="1"/>
  <c r="K1664" i="1"/>
  <c r="P1663" i="1"/>
  <c r="K1727" i="1"/>
  <c r="M1734" i="1"/>
  <c r="M1735" i="1"/>
  <c r="N2616" i="1"/>
  <c r="M2616" i="1"/>
  <c r="K2615" i="1"/>
  <c r="M2614" i="1"/>
  <c r="N2672" i="1"/>
  <c r="N2671" i="1"/>
  <c r="Q2670" i="1"/>
  <c r="O3500" i="1"/>
  <c r="O3499" i="1"/>
  <c r="K2888" i="1"/>
  <c r="M2924" i="1"/>
  <c r="Q2988" i="1"/>
  <c r="S2988" i="1"/>
  <c r="S2987" i="1"/>
  <c r="P2986" i="1"/>
  <c r="L2987" i="1"/>
  <c r="R2988" i="1"/>
  <c r="O3028" i="1"/>
  <c r="M3027" i="1"/>
  <c r="M3032" i="1"/>
  <c r="O3072" i="1"/>
  <c r="M3100" i="1"/>
  <c r="R3116" i="1"/>
  <c r="L3116" i="1"/>
  <c r="Q3114" i="1"/>
  <c r="O3115" i="1"/>
  <c r="L3164" i="1"/>
  <c r="N3164" i="1"/>
  <c r="R3162" i="1"/>
  <c r="O3163" i="1"/>
  <c r="K3183" i="1"/>
  <c r="N3196" i="1"/>
  <c r="L3196" i="1"/>
  <c r="K3195" i="1"/>
  <c r="K3194" i="1"/>
  <c r="M3195" i="1"/>
  <c r="P3196" i="1"/>
  <c r="P3200" i="1"/>
  <c r="L3199" i="1"/>
  <c r="J3218" i="1"/>
  <c r="M3228" i="1"/>
  <c r="K3247" i="1"/>
  <c r="L3251" i="1"/>
  <c r="O3279" i="1"/>
  <c r="P3284" i="1"/>
  <c r="K3284" i="1"/>
  <c r="M3282" i="1"/>
  <c r="O3283" i="1"/>
  <c r="N3324" i="1"/>
  <c r="K3324" i="1"/>
  <c r="O3336" i="1"/>
  <c r="P3336" i="1"/>
  <c r="M3335" i="1"/>
  <c r="L3334" i="1"/>
  <c r="P3335" i="1"/>
  <c r="N1652" i="1"/>
  <c r="L2228" i="1"/>
  <c r="K2227" i="1"/>
  <c r="O2404" i="1"/>
  <c r="O2403" i="1"/>
  <c r="P2402" i="1"/>
  <c r="M2402" i="1"/>
  <c r="R2412" i="1"/>
  <c r="L2412" i="1"/>
  <c r="M2411" i="1"/>
  <c r="M2410" i="1"/>
  <c r="Q2412" i="1"/>
  <c r="K2412" i="1"/>
  <c r="K2411" i="1"/>
  <c r="L2410" i="1"/>
  <c r="P2412" i="1"/>
  <c r="P2411" i="1"/>
  <c r="Q2410" i="1"/>
  <c r="K2410" i="1"/>
  <c r="M2492" i="1"/>
  <c r="M2491" i="1"/>
  <c r="N2490" i="1"/>
  <c r="O2492" i="1"/>
  <c r="M2490" i="1"/>
  <c r="N2500" i="1"/>
  <c r="Q2499" i="1"/>
  <c r="L2499" i="1"/>
  <c r="N2498" i="1"/>
  <c r="R2544" i="1"/>
  <c r="K2544" i="1"/>
  <c r="K2543" i="1"/>
  <c r="K2542" i="1"/>
  <c r="O2604" i="1"/>
  <c r="J2603" i="1"/>
  <c r="J2602" i="1"/>
  <c r="S2601" i="1"/>
  <c r="R2601" i="1" s="1"/>
  <c r="P2719" i="1"/>
  <c r="P2720" i="1"/>
  <c r="P2718" i="1"/>
  <c r="L2718" i="1"/>
  <c r="P2760" i="1"/>
  <c r="M2760" i="1"/>
  <c r="P2758" i="1"/>
  <c r="Q2759" i="1"/>
  <c r="M2758" i="1"/>
  <c r="N2759" i="1"/>
  <c r="K2758" i="1"/>
  <c r="R3600" i="1"/>
  <c r="O3600" i="1"/>
  <c r="K3599" i="1"/>
  <c r="O3598" i="1"/>
  <c r="P3680" i="1"/>
  <c r="O3679" i="1"/>
  <c r="K3679" i="1"/>
  <c r="M3678" i="1"/>
  <c r="N3732" i="1"/>
  <c r="R3732" i="1"/>
  <c r="P2888" i="1"/>
  <c r="L1639" i="1"/>
  <c r="K1638" i="1"/>
  <c r="K2124" i="1"/>
  <c r="L2124" i="1"/>
  <c r="N2140" i="1"/>
  <c r="O2140" i="1"/>
  <c r="M2139" i="1"/>
  <c r="L2138" i="1"/>
  <c r="L2140" i="1"/>
  <c r="K2139" i="1"/>
  <c r="K2138" i="1"/>
  <c r="K2140" i="1"/>
  <c r="R2148" i="1"/>
  <c r="L2147" i="1"/>
  <c r="O2148" i="1"/>
  <c r="O2146" i="1"/>
  <c r="L2148" i="1"/>
  <c r="L2146" i="1"/>
  <c r="L2264" i="1"/>
  <c r="L2262" i="1"/>
  <c r="L2404" i="1"/>
  <c r="P2410" i="1"/>
  <c r="L2475" i="1"/>
  <c r="K2475" i="1"/>
  <c r="P2491" i="1"/>
  <c r="L2576" i="1"/>
  <c r="K2575" i="1"/>
  <c r="M2576" i="1"/>
  <c r="L2574" i="1"/>
  <c r="K2576" i="1"/>
  <c r="K2574" i="1"/>
  <c r="J2604" i="1"/>
  <c r="L2612" i="1"/>
  <c r="M2612" i="1"/>
  <c r="M2610" i="1"/>
  <c r="K2704" i="1"/>
  <c r="L2704" i="1"/>
  <c r="L2743" i="1"/>
  <c r="K2742" i="1"/>
  <c r="L2759" i="1"/>
  <c r="O3528" i="1"/>
  <c r="J3528" i="1"/>
  <c r="S3528" i="1" s="1"/>
  <c r="J3526" i="1"/>
  <c r="S3525" i="1"/>
  <c r="R3525" i="1" s="1"/>
  <c r="R3527" i="1" s="1"/>
  <c r="N3904" i="1"/>
  <c r="P4343" i="1"/>
  <c r="D2195" i="1"/>
  <c r="D2198" i="1"/>
  <c r="M2232" i="1"/>
  <c r="S2239" i="1"/>
  <c r="S2327" i="1"/>
  <c r="N2371" i="1"/>
  <c r="D2461" i="1"/>
  <c r="D2463" i="1"/>
  <c r="D2504" i="1"/>
  <c r="D2719" i="1"/>
  <c r="D2763" i="1"/>
  <c r="D3511" i="1"/>
  <c r="F3556" i="1"/>
  <c r="D3649" i="1"/>
  <c r="D3651" i="1"/>
  <c r="G3776" i="1"/>
  <c r="K3807" i="1"/>
  <c r="L3838" i="1"/>
  <c r="D3866" i="1"/>
  <c r="L3902" i="1"/>
  <c r="D3912" i="1"/>
  <c r="K4342" i="1"/>
  <c r="M4344" i="1"/>
  <c r="D4348" i="1"/>
  <c r="D4349" i="1"/>
  <c r="D1754" i="1"/>
  <c r="D1755" i="1"/>
  <c r="D1757" i="1"/>
  <c r="D1759" i="1"/>
  <c r="E1842" i="1"/>
  <c r="D1846" i="1"/>
  <c r="P2976" i="1"/>
  <c r="D2982" i="1"/>
  <c r="D3032" i="1"/>
  <c r="K3063" i="1"/>
  <c r="P3064" i="1"/>
  <c r="D3120" i="1"/>
  <c r="M3151" i="1"/>
  <c r="P3152" i="1"/>
  <c r="D3164" i="1"/>
  <c r="D3209" i="1"/>
  <c r="P3238" i="1"/>
  <c r="K3240" i="1"/>
  <c r="D3250" i="1"/>
  <c r="D3292" i="1"/>
  <c r="D3293" i="1"/>
  <c r="D3297" i="1"/>
  <c r="D3299" i="1"/>
  <c r="D3334" i="1"/>
  <c r="D3341" i="1"/>
  <c r="N2178" i="1"/>
  <c r="R2192" i="1"/>
  <c r="M2230" i="1"/>
  <c r="L2238" i="1"/>
  <c r="L2240" i="1"/>
  <c r="D2284" i="1"/>
  <c r="L2326" i="1"/>
  <c r="N2328" i="1"/>
  <c r="L2370" i="1"/>
  <c r="S2371" i="1"/>
  <c r="Q3902" i="1"/>
  <c r="O4342" i="1"/>
  <c r="Q4344" i="1"/>
  <c r="G1840" i="1"/>
  <c r="D2196" i="1"/>
  <c r="N2238" i="1"/>
  <c r="R2240" i="1"/>
  <c r="P2326" i="1"/>
  <c r="R2328" i="1"/>
  <c r="O2370" i="1"/>
  <c r="M2372" i="1"/>
  <c r="D3600" i="1"/>
  <c r="D3688" i="1"/>
  <c r="D3778" i="1"/>
  <c r="P3903" i="1"/>
  <c r="L4343" i="1"/>
  <c r="K2784" i="1"/>
  <c r="L2784" i="1"/>
  <c r="Q2780" i="1" s="1"/>
  <c r="M2796" i="1"/>
  <c r="O2795" i="1"/>
  <c r="K2798" i="1"/>
  <c r="K2799" i="1"/>
  <c r="M2800" i="1"/>
  <c r="O2802" i="1"/>
  <c r="K2804" i="1"/>
  <c r="N2880" i="1"/>
  <c r="K2879" i="1"/>
  <c r="L2880" i="1"/>
  <c r="L2878" i="1"/>
  <c r="K2880" i="1"/>
  <c r="K2878" i="1"/>
  <c r="L2891" i="1"/>
  <c r="R2896" i="1"/>
  <c r="O2896" i="1"/>
  <c r="O2895" i="1"/>
  <c r="O2894" i="1"/>
  <c r="L2896" i="1"/>
  <c r="L2895" i="1"/>
  <c r="L2894" i="1"/>
  <c r="K2896" i="1"/>
  <c r="K2895" i="1"/>
  <c r="K2894" i="1"/>
  <c r="M2935" i="1"/>
  <c r="R3076" i="1"/>
  <c r="S3076" i="1"/>
  <c r="L3075" i="1"/>
  <c r="O3076" i="1"/>
  <c r="Q3074" i="1"/>
  <c r="K3076" i="1"/>
  <c r="M3074" i="1"/>
  <c r="K3092" i="1"/>
  <c r="L3092" i="1"/>
  <c r="K3091" i="1"/>
  <c r="L3090" i="1"/>
  <c r="O3102" i="1"/>
  <c r="L2782" i="1"/>
  <c r="L2798" i="1"/>
  <c r="N2799" i="1"/>
  <c r="Q2802" i="1"/>
  <c r="N2808" i="1"/>
  <c r="O2807" i="1"/>
  <c r="R2808" i="1"/>
  <c r="R2812" i="1"/>
  <c r="R2810" i="1"/>
  <c r="P2812" i="1"/>
  <c r="M2832" i="1"/>
  <c r="L2879" i="1"/>
  <c r="O2912" i="1"/>
  <c r="J2911" i="1"/>
  <c r="J2910" i="1"/>
  <c r="S2909" i="1"/>
  <c r="R2909" i="1" s="1"/>
  <c r="N2928" i="1"/>
  <c r="K2928" i="1"/>
  <c r="L2927" i="1"/>
  <c r="M2926" i="1"/>
  <c r="K3004" i="1"/>
  <c r="L3004" i="1"/>
  <c r="K3003" i="1"/>
  <c r="L3002" i="1"/>
  <c r="K3012" i="1"/>
  <c r="L3011" i="1"/>
  <c r="M3012" i="1"/>
  <c r="M3010" i="1"/>
  <c r="L3012" i="1"/>
  <c r="L3010" i="1"/>
  <c r="O3067" i="1"/>
  <c r="P3068" i="1"/>
  <c r="K3067" i="1"/>
  <c r="N3066" i="1"/>
  <c r="P3075" i="1"/>
  <c r="K2792" i="1"/>
  <c r="L2791" i="1"/>
  <c r="P2804" i="1"/>
  <c r="M2804" i="1"/>
  <c r="L2803" i="1"/>
  <c r="K2802" i="1"/>
  <c r="N2803" i="1"/>
  <c r="Q2804" i="1"/>
  <c r="L2806" i="1"/>
  <c r="P2936" i="1"/>
  <c r="O2936" i="1"/>
  <c r="Q2935" i="1"/>
  <c r="L2935" i="1"/>
  <c r="M2934" i="1"/>
  <c r="N2936" i="1"/>
  <c r="P2935" i="1"/>
  <c r="Q2934" i="1"/>
  <c r="L2934" i="1"/>
  <c r="M2936" i="1"/>
  <c r="N2935" i="1"/>
  <c r="P2934" i="1"/>
  <c r="K2934" i="1"/>
  <c r="Q2936" i="1"/>
  <c r="M3011" i="1"/>
  <c r="O3088" i="1"/>
  <c r="J3086" i="1"/>
  <c r="S3085" i="1"/>
  <c r="R3085" i="1" s="1"/>
  <c r="P3108" i="1"/>
  <c r="O3107" i="1"/>
  <c r="K3107" i="1"/>
  <c r="M3106" i="1"/>
  <c r="L2790" i="1"/>
  <c r="N2800" i="1"/>
  <c r="L2800" i="1"/>
  <c r="M2799" i="1"/>
  <c r="M2798" i="1"/>
  <c r="P2798" i="1"/>
  <c r="K2800" i="1"/>
  <c r="M2802" i="1"/>
  <c r="P2803" i="1"/>
  <c r="R2806" i="1"/>
  <c r="M2892" i="1"/>
  <c r="O2890" i="1"/>
  <c r="P2891" i="1"/>
  <c r="N2890" i="1"/>
  <c r="Q2892" i="1"/>
  <c r="O2891" i="1"/>
  <c r="K2890" i="1"/>
  <c r="R2900" i="1"/>
  <c r="S2900" i="1"/>
  <c r="L2899" i="1"/>
  <c r="O2900" i="1"/>
  <c r="Q2898" i="1"/>
  <c r="K2900" i="1"/>
  <c r="M2898" i="1"/>
  <c r="O2934" i="1"/>
  <c r="K2980" i="1"/>
  <c r="L2979" i="1"/>
  <c r="N2978" i="1"/>
  <c r="M3052" i="1"/>
  <c r="M3051" i="1"/>
  <c r="M3050" i="1"/>
  <c r="L3050" i="1"/>
  <c r="L3104" i="1"/>
  <c r="N3104" i="1"/>
  <c r="N3103" i="1"/>
  <c r="M3102" i="1"/>
  <c r="M3104" i="1"/>
  <c r="L3103" i="1"/>
  <c r="L3102" i="1"/>
  <c r="K3104" i="1"/>
  <c r="K3103" i="1"/>
  <c r="K3102" i="1"/>
  <c r="M3108" i="1"/>
  <c r="P3112" i="1"/>
  <c r="L3111" i="1"/>
  <c r="Q3112" i="1"/>
  <c r="O3110" i="1"/>
  <c r="M3112" i="1"/>
  <c r="K3110" i="1"/>
  <c r="L3139" i="1"/>
  <c r="P3202" i="1"/>
  <c r="P3203" i="1"/>
  <c r="P3204" i="1"/>
  <c r="P3288" i="1"/>
  <c r="Q3288" i="1"/>
  <c r="P3287" i="1"/>
  <c r="O3286" i="1"/>
  <c r="L3287" i="1"/>
  <c r="O3288" i="1"/>
  <c r="L3316" i="1"/>
  <c r="M3316" i="1"/>
  <c r="K3314" i="1"/>
  <c r="L3320" i="1"/>
  <c r="M3320" i="1"/>
  <c r="P3340" i="1"/>
  <c r="M3340" i="1"/>
  <c r="O3338" i="1"/>
  <c r="R3339" i="1"/>
  <c r="N1648" i="1"/>
  <c r="K1647" i="1"/>
  <c r="O1656" i="1"/>
  <c r="L1656" i="1"/>
  <c r="P1654" i="1"/>
  <c r="N1655" i="1"/>
  <c r="N1956" i="1"/>
  <c r="M1956" i="1"/>
  <c r="K2132" i="1"/>
  <c r="L2132" i="1"/>
  <c r="L2131" i="1"/>
  <c r="L2130" i="1"/>
  <c r="M2846" i="1"/>
  <c r="L2847" i="1"/>
  <c r="Q2847" i="1"/>
  <c r="O2848" i="1"/>
  <c r="F2852" i="1"/>
  <c r="P2854" i="1"/>
  <c r="O2855" i="1"/>
  <c r="N2856" i="1"/>
  <c r="D2858" i="1"/>
  <c r="K2872" i="1"/>
  <c r="K2876" i="1"/>
  <c r="O2882" i="1"/>
  <c r="M2884" i="1"/>
  <c r="M2886" i="1"/>
  <c r="M2887" i="1"/>
  <c r="L2888" i="1"/>
  <c r="D2902" i="1"/>
  <c r="L2919" i="1"/>
  <c r="Q2938" i="1"/>
  <c r="Q2940" i="1"/>
  <c r="P2942" i="1"/>
  <c r="O2943" i="1"/>
  <c r="N2944" i="1"/>
  <c r="D2943" i="1"/>
  <c r="L2967" i="1"/>
  <c r="M2974" i="1"/>
  <c r="M2975" i="1"/>
  <c r="L2976" i="1"/>
  <c r="Q2986" i="1"/>
  <c r="P2987" i="1"/>
  <c r="O2988" i="1"/>
  <c r="L3007" i="1"/>
  <c r="K3015" i="1"/>
  <c r="N3016" i="1"/>
  <c r="L3022" i="1"/>
  <c r="Q3022" i="1"/>
  <c r="P3023" i="1"/>
  <c r="N3024" i="1"/>
  <c r="P3026" i="1"/>
  <c r="P3027" i="1"/>
  <c r="P3028" i="1"/>
  <c r="S3030" i="1"/>
  <c r="Q3032" i="1"/>
  <c r="D3033" i="1"/>
  <c r="K3055" i="1"/>
  <c r="N3059" i="1"/>
  <c r="M3062" i="1"/>
  <c r="M3063" i="1"/>
  <c r="L3064" i="1"/>
  <c r="K3071" i="1"/>
  <c r="L3094" i="1"/>
  <c r="M3096" i="1"/>
  <c r="L3099" i="1"/>
  <c r="O3114" i="1"/>
  <c r="L3115" i="1"/>
  <c r="Q3115" i="1"/>
  <c r="O3116" i="1"/>
  <c r="D3118" i="1"/>
  <c r="L3120" i="1"/>
  <c r="J3132" i="1"/>
  <c r="K3138" i="1"/>
  <c r="M3139" i="1"/>
  <c r="P3150" i="1"/>
  <c r="L3152" i="1"/>
  <c r="Q3154" i="1"/>
  <c r="L3162" i="1"/>
  <c r="S3162" i="1"/>
  <c r="R3163" i="1"/>
  <c r="P3164" i="1"/>
  <c r="L3180" i="1"/>
  <c r="L3186" i="1"/>
  <c r="L3188" i="1"/>
  <c r="K3191" i="1"/>
  <c r="N3192" i="1"/>
  <c r="O3194" i="1"/>
  <c r="N3195" i="1"/>
  <c r="M3196" i="1"/>
  <c r="O3198" i="1"/>
  <c r="Q3200" i="1"/>
  <c r="D3202" i="1"/>
  <c r="K3202" i="1"/>
  <c r="K3203" i="1"/>
  <c r="K3204" i="1"/>
  <c r="D3204" i="1"/>
  <c r="D3208" i="1"/>
  <c r="J3219" i="1"/>
  <c r="L3226" i="1"/>
  <c r="O3238" i="1"/>
  <c r="N3239" i="1"/>
  <c r="M3240" i="1"/>
  <c r="L3246" i="1"/>
  <c r="L3247" i="1"/>
  <c r="L3248" i="1"/>
  <c r="S3261" i="1"/>
  <c r="M3271" i="1"/>
  <c r="L3276" i="1"/>
  <c r="N3275" i="1"/>
  <c r="K3286" i="1"/>
  <c r="N3287" i="1"/>
  <c r="D3291" i="1"/>
  <c r="J3308" i="1"/>
  <c r="J3306" i="1"/>
  <c r="L3314" i="1"/>
  <c r="M3318" i="1"/>
  <c r="O3330" i="1"/>
  <c r="N3331" i="1"/>
  <c r="K3338" i="1"/>
  <c r="Q3340" i="1"/>
  <c r="K1646" i="1"/>
  <c r="L1654" i="1"/>
  <c r="O1655" i="1"/>
  <c r="P1662" i="1"/>
  <c r="O1768" i="1"/>
  <c r="J1767" i="1"/>
  <c r="J1766" i="1"/>
  <c r="O2195" i="1"/>
  <c r="O2846" i="1"/>
  <c r="M2847" i="1"/>
  <c r="K2848" i="1"/>
  <c r="Q2848" i="1"/>
  <c r="L2872" i="1"/>
  <c r="K2883" i="1"/>
  <c r="N2884" i="1"/>
  <c r="O2886" i="1"/>
  <c r="N2887" i="1"/>
  <c r="M2888" i="1"/>
  <c r="M2919" i="1"/>
  <c r="M2939" i="1"/>
  <c r="N2967" i="1"/>
  <c r="O2974" i="1"/>
  <c r="N2975" i="1"/>
  <c r="M2976" i="1"/>
  <c r="L3015" i="1"/>
  <c r="O3016" i="1"/>
  <c r="F3028" i="1"/>
  <c r="Q3026" i="1"/>
  <c r="Q3027" i="1"/>
  <c r="Q3028" i="1"/>
  <c r="N3031" i="1"/>
  <c r="D3034" i="1"/>
  <c r="K3056" i="1"/>
  <c r="M3060" i="1"/>
  <c r="O3062" i="1"/>
  <c r="N3063" i="1"/>
  <c r="M3064" i="1"/>
  <c r="O3071" i="1"/>
  <c r="K3095" i="1"/>
  <c r="M3099" i="1"/>
  <c r="K3114" i="1"/>
  <c r="P3114" i="1"/>
  <c r="M3115" i="1"/>
  <c r="K3116" i="1"/>
  <c r="P3116" i="1"/>
  <c r="J3131" i="1"/>
  <c r="L3138" i="1"/>
  <c r="K3140" i="1"/>
  <c r="N3155" i="1"/>
  <c r="Q3164" i="1"/>
  <c r="L3202" i="1"/>
  <c r="L3203" i="1"/>
  <c r="L3204" i="1"/>
  <c r="J3262" i="1"/>
  <c r="L3272" i="1"/>
  <c r="M3286" i="1"/>
  <c r="K3288" i="1"/>
  <c r="L3315" i="1"/>
  <c r="M3319" i="1"/>
  <c r="P3332" i="1"/>
  <c r="O3332" i="1"/>
  <c r="Q3331" i="1"/>
  <c r="L3331" i="1"/>
  <c r="M3330" i="1"/>
  <c r="P3330" i="1"/>
  <c r="P3331" i="1"/>
  <c r="Q3332" i="1"/>
  <c r="S3338" i="1"/>
  <c r="K1648" i="1"/>
  <c r="L1652" i="1"/>
  <c r="M1652" i="1"/>
  <c r="O1650" i="1"/>
  <c r="N1651" i="1"/>
  <c r="M1654" i="1"/>
  <c r="M1656" i="1"/>
  <c r="R1664" i="1"/>
  <c r="O1664" i="1"/>
  <c r="O1663" i="1"/>
  <c r="O1662" i="1"/>
  <c r="K1663" i="1"/>
  <c r="L1664" i="1"/>
  <c r="S1765" i="1"/>
  <c r="R1765" i="1" s="1"/>
  <c r="Q1765" i="1" s="1"/>
  <c r="K1871" i="1"/>
  <c r="O1872" i="1"/>
  <c r="N2176" i="1"/>
  <c r="N2175" i="1"/>
  <c r="N2174" i="1"/>
  <c r="M2268" i="1"/>
  <c r="O2267" i="1"/>
  <c r="N2268" i="1"/>
  <c r="K2267" i="1"/>
  <c r="L2266" i="1"/>
  <c r="K2846" i="1"/>
  <c r="P2846" i="1"/>
  <c r="N2847" i="1"/>
  <c r="M2848" i="1"/>
  <c r="D2856" i="1"/>
  <c r="K2870" i="1"/>
  <c r="K2882" i="1"/>
  <c r="N2883" i="1"/>
  <c r="K2886" i="1"/>
  <c r="P2886" i="1"/>
  <c r="O2887" i="1"/>
  <c r="O2888" i="1"/>
  <c r="D2898" i="1"/>
  <c r="D2901" i="1"/>
  <c r="D2903" i="1"/>
  <c r="K2918" i="1"/>
  <c r="M2920" i="1"/>
  <c r="Q2939" i="1"/>
  <c r="D2944" i="1"/>
  <c r="K2966" i="1"/>
  <c r="N2968" i="1"/>
  <c r="K2974" i="1"/>
  <c r="P2974" i="1"/>
  <c r="O2975" i="1"/>
  <c r="O2976" i="1"/>
  <c r="L3014" i="1"/>
  <c r="O3015" i="1"/>
  <c r="O3022" i="1"/>
  <c r="M3023" i="1"/>
  <c r="K3024" i="1"/>
  <c r="Q3024" i="1"/>
  <c r="D3026" i="1"/>
  <c r="L3026" i="1"/>
  <c r="L3027" i="1"/>
  <c r="L3028" i="1"/>
  <c r="D3028" i="1"/>
  <c r="D3029" i="1"/>
  <c r="K3030" i="1"/>
  <c r="R3031" i="1"/>
  <c r="D3116" i="1"/>
  <c r="M3138" i="1"/>
  <c r="M3140" i="1"/>
  <c r="K3156" i="1"/>
  <c r="D3158" i="1"/>
  <c r="P3162" i="1"/>
  <c r="N3163" i="1"/>
  <c r="D3163" i="1"/>
  <c r="K3178" i="1"/>
  <c r="L3187" i="1"/>
  <c r="P3199" i="1"/>
  <c r="O3202" i="1"/>
  <c r="O3203" i="1"/>
  <c r="O3204" i="1"/>
  <c r="M3227" i="1"/>
  <c r="N3230" i="1"/>
  <c r="P3246" i="1"/>
  <c r="P3247" i="1"/>
  <c r="P3248" i="1"/>
  <c r="S3252" i="1"/>
  <c r="D3253" i="1"/>
  <c r="J3263" i="1"/>
  <c r="K3270" i="1"/>
  <c r="M3272" i="1"/>
  <c r="Q3286" i="1"/>
  <c r="M3288" i="1"/>
  <c r="O3292" i="1"/>
  <c r="L3292" i="1"/>
  <c r="L3290" i="1"/>
  <c r="P3292" i="1"/>
  <c r="M3315" i="1"/>
  <c r="K3330" i="1"/>
  <c r="Q3330" i="1"/>
  <c r="K3332" i="1"/>
  <c r="N3339" i="1"/>
  <c r="D3339" i="1"/>
  <c r="D3342" i="1"/>
  <c r="J1636" i="1"/>
  <c r="K1640" i="1"/>
  <c r="M1644" i="1"/>
  <c r="L1642" i="1"/>
  <c r="K1650" i="1"/>
  <c r="O1651" i="1"/>
  <c r="K1655" i="1"/>
  <c r="P1656" i="1"/>
  <c r="K1662" i="1"/>
  <c r="L1663" i="1"/>
  <c r="P1664" i="1"/>
  <c r="R1668" i="1"/>
  <c r="S1668" i="1"/>
  <c r="L1667" i="1"/>
  <c r="K1668" i="1"/>
  <c r="J1679" i="1"/>
  <c r="N1695" i="1"/>
  <c r="P2196" i="1"/>
  <c r="M2196" i="1"/>
  <c r="N2195" i="1"/>
  <c r="O2194" i="1"/>
  <c r="R2196" i="1"/>
  <c r="S2195" i="1"/>
  <c r="K2195" i="1"/>
  <c r="L2194" i="1"/>
  <c r="Q2196" i="1"/>
  <c r="R2195" i="1"/>
  <c r="S2194" i="1"/>
  <c r="K2194" i="1"/>
  <c r="J2207" i="1"/>
  <c r="O2208" i="1"/>
  <c r="J2208" i="1"/>
  <c r="N2228" i="1"/>
  <c r="O2228" i="1"/>
  <c r="O2227" i="1"/>
  <c r="P2226" i="1"/>
  <c r="K2226" i="1"/>
  <c r="K2228" i="1"/>
  <c r="O2226" i="1"/>
  <c r="P2228" i="1"/>
  <c r="N2227" i="1"/>
  <c r="M2226" i="1"/>
  <c r="M2228" i="1"/>
  <c r="M2227" i="1"/>
  <c r="L2226" i="1"/>
  <c r="P2143" i="1"/>
  <c r="M2171" i="1"/>
  <c r="D2193" i="1"/>
  <c r="N2223" i="1"/>
  <c r="L2222" i="1"/>
  <c r="M2223" i="1"/>
  <c r="P2236" i="1"/>
  <c r="N2235" i="1"/>
  <c r="L2234" i="1"/>
  <c r="P2235" i="1"/>
  <c r="L2260" i="1"/>
  <c r="K2259" i="1"/>
  <c r="O1784" i="1"/>
  <c r="K1815" i="1"/>
  <c r="P1884" i="1"/>
  <c r="J1898" i="1"/>
  <c r="M1908" i="1"/>
  <c r="O1960" i="1"/>
  <c r="K2142" i="1"/>
  <c r="M2144" i="1"/>
  <c r="P2146" i="1"/>
  <c r="P2147" i="1"/>
  <c r="P2148" i="1"/>
  <c r="D2153" i="1"/>
  <c r="K2170" i="1"/>
  <c r="M2172" i="1"/>
  <c r="K2184" i="1"/>
  <c r="M2186" i="1"/>
  <c r="L2187" i="1"/>
  <c r="Q2187" i="1"/>
  <c r="O2188" i="1"/>
  <c r="K2222" i="1"/>
  <c r="L2224" i="1"/>
  <c r="N2232" i="1"/>
  <c r="Q2232" i="1"/>
  <c r="P2231" i="1"/>
  <c r="O2230" i="1"/>
  <c r="L2231" i="1"/>
  <c r="O2232" i="1"/>
  <c r="N2234" i="1"/>
  <c r="L2236" i="1"/>
  <c r="D2238" i="1"/>
  <c r="K2264" i="1"/>
  <c r="L2263" i="1"/>
  <c r="K2271" i="1"/>
  <c r="L3280" i="1"/>
  <c r="K3283" i="1"/>
  <c r="M3284" i="1"/>
  <c r="O3324" i="1"/>
  <c r="Q3334" i="1"/>
  <c r="Q3335" i="1"/>
  <c r="Q3336" i="1"/>
  <c r="O1796" i="1"/>
  <c r="Q1840" i="1"/>
  <c r="J1899" i="1"/>
  <c r="M1923" i="1"/>
  <c r="L2039" i="1"/>
  <c r="L2084" i="1"/>
  <c r="K2135" i="1"/>
  <c r="N2136" i="1"/>
  <c r="O2138" i="1"/>
  <c r="N2139" i="1"/>
  <c r="M2140" i="1"/>
  <c r="O2142" i="1"/>
  <c r="Q2144" i="1"/>
  <c r="D2146" i="1"/>
  <c r="K2146" i="1"/>
  <c r="K2147" i="1"/>
  <c r="K2148" i="1"/>
  <c r="D2148" i="1"/>
  <c r="D2152" i="1"/>
  <c r="J2163" i="1"/>
  <c r="L2170" i="1"/>
  <c r="K2182" i="1"/>
  <c r="O2184" i="1"/>
  <c r="O2186" i="1"/>
  <c r="M2187" i="1"/>
  <c r="K2188" i="1"/>
  <c r="Q2188" i="1"/>
  <c r="R2190" i="1"/>
  <c r="K2220" i="1"/>
  <c r="K2218" i="1"/>
  <c r="N2222" i="1"/>
  <c r="M2224" i="1"/>
  <c r="K2230" i="1"/>
  <c r="N2231" i="1"/>
  <c r="P2234" i="1"/>
  <c r="N2236" i="1"/>
  <c r="P2272" i="1"/>
  <c r="K2272" i="1"/>
  <c r="O2270" i="1"/>
  <c r="M2271" i="1"/>
  <c r="J2295" i="1"/>
  <c r="L2302" i="1"/>
  <c r="N2306" i="1"/>
  <c r="K2318" i="1"/>
  <c r="L2319" i="1"/>
  <c r="O2320" i="1"/>
  <c r="M2350" i="1"/>
  <c r="M2352" i="1"/>
  <c r="L2355" i="1"/>
  <c r="O2356" i="1"/>
  <c r="M2360" i="1"/>
  <c r="O2362" i="1"/>
  <c r="M2363" i="1"/>
  <c r="K2364" i="1"/>
  <c r="Q2366" i="1"/>
  <c r="Q2368" i="1"/>
  <c r="P2370" i="1"/>
  <c r="O2371" i="1"/>
  <c r="N2372" i="1"/>
  <c r="L2386" i="1"/>
  <c r="K2394" i="1"/>
  <c r="L2395" i="1"/>
  <c r="M2396" i="1"/>
  <c r="O2398" i="1"/>
  <c r="O2399" i="1"/>
  <c r="O2400" i="1"/>
  <c r="K2403" i="1"/>
  <c r="M2404" i="1"/>
  <c r="P2415" i="1"/>
  <c r="J2428" i="1"/>
  <c r="Q2428" i="1" s="1"/>
  <c r="K2434" i="1"/>
  <c r="M2435" i="1"/>
  <c r="M2438" i="1"/>
  <c r="L2443" i="1"/>
  <c r="L2447" i="1"/>
  <c r="K2455" i="1"/>
  <c r="D2455" i="1"/>
  <c r="K2459" i="1"/>
  <c r="M2483" i="1"/>
  <c r="K2491" i="1"/>
  <c r="K2492" i="1"/>
  <c r="L2494" i="1"/>
  <c r="Q2494" i="1"/>
  <c r="P2495" i="1"/>
  <c r="N2496" i="1"/>
  <c r="J2515" i="1"/>
  <c r="L2522" i="1"/>
  <c r="L2542" i="1"/>
  <c r="L2543" i="1"/>
  <c r="L2544" i="1"/>
  <c r="Q2546" i="1"/>
  <c r="O2548" i="1"/>
  <c r="K2563" i="1"/>
  <c r="M2567" i="1"/>
  <c r="M2570" i="1"/>
  <c r="O2586" i="1"/>
  <c r="L2587" i="1"/>
  <c r="Q2587" i="1"/>
  <c r="O2588" i="1"/>
  <c r="D2587" i="1"/>
  <c r="L2611" i="1"/>
  <c r="K2618" i="1"/>
  <c r="N2619" i="1"/>
  <c r="L2622" i="1"/>
  <c r="P2624" i="1"/>
  <c r="O2626" i="1"/>
  <c r="M2627" i="1"/>
  <c r="K2628" i="1"/>
  <c r="Q2628" i="1"/>
  <c r="D2630" i="1"/>
  <c r="L2630" i="1"/>
  <c r="L2631" i="1"/>
  <c r="L2632" i="1"/>
  <c r="K2634" i="1"/>
  <c r="R2635" i="1"/>
  <c r="D2638" i="1"/>
  <c r="J2647" i="1"/>
  <c r="L2654" i="1"/>
  <c r="K2666" i="1"/>
  <c r="P2666" i="1"/>
  <c r="O2667" i="1"/>
  <c r="O2668" i="1"/>
  <c r="L2678" i="1"/>
  <c r="K2679" i="1"/>
  <c r="S2679" i="1"/>
  <c r="R2680" i="1"/>
  <c r="L2706" i="1"/>
  <c r="K2710" i="1"/>
  <c r="P2710" i="1"/>
  <c r="O2711" i="1"/>
  <c r="P2712" i="1"/>
  <c r="P2716" i="1"/>
  <c r="P2715" i="1"/>
  <c r="O2714" i="1"/>
  <c r="L2715" i="1"/>
  <c r="M2752" i="1"/>
  <c r="N2752" i="1"/>
  <c r="K2751" i="1"/>
  <c r="O2751" i="1"/>
  <c r="L2750" i="1"/>
  <c r="O2752" i="1"/>
  <c r="M2762" i="1"/>
  <c r="M2764" i="1"/>
  <c r="O3504" i="1"/>
  <c r="P3504" i="1"/>
  <c r="N3503" i="1"/>
  <c r="L3502" i="1"/>
  <c r="L3504" i="1"/>
  <c r="P3502" i="1"/>
  <c r="O3503" i="1"/>
  <c r="M3502" i="1"/>
  <c r="D2234" i="1"/>
  <c r="M2239" i="1"/>
  <c r="D2240" i="1"/>
  <c r="L2274" i="1"/>
  <c r="Q2274" i="1"/>
  <c r="P2275" i="1"/>
  <c r="N2276" i="1"/>
  <c r="L2279" i="1"/>
  <c r="N2282" i="1"/>
  <c r="M2303" i="1"/>
  <c r="N2310" i="1"/>
  <c r="O2314" i="1"/>
  <c r="N2315" i="1"/>
  <c r="M2316" i="1"/>
  <c r="M2318" i="1"/>
  <c r="N2319" i="1"/>
  <c r="N2324" i="1"/>
  <c r="O2327" i="1"/>
  <c r="D2328" i="1"/>
  <c r="L2342" i="1"/>
  <c r="L2351" i="1"/>
  <c r="L2354" i="1"/>
  <c r="O2355" i="1"/>
  <c r="M2358" i="1"/>
  <c r="K2362" i="1"/>
  <c r="P2362" i="1"/>
  <c r="N2363" i="1"/>
  <c r="M2364" i="1"/>
  <c r="N2367" i="1"/>
  <c r="D2369" i="1"/>
  <c r="K2370" i="1"/>
  <c r="S2370" i="1"/>
  <c r="R2371" i="1"/>
  <c r="Q2372" i="1"/>
  <c r="K2387" i="1"/>
  <c r="L2394" i="1"/>
  <c r="M2395" i="1"/>
  <c r="K2398" i="1"/>
  <c r="K2399" i="1"/>
  <c r="K2400" i="1"/>
  <c r="L2402" i="1"/>
  <c r="N2403" i="1"/>
  <c r="P2404" i="1"/>
  <c r="O2410" i="1"/>
  <c r="L2411" i="1"/>
  <c r="Q2411" i="1"/>
  <c r="O2412" i="1"/>
  <c r="D2411" i="1"/>
  <c r="D2413" i="1"/>
  <c r="M2414" i="1"/>
  <c r="K2416" i="1"/>
  <c r="S2425" i="1"/>
  <c r="R2425" i="1" s="1"/>
  <c r="L2434" i="1"/>
  <c r="K2436" i="1"/>
  <c r="M2439" i="1"/>
  <c r="K2444" i="1"/>
  <c r="P2447" i="1"/>
  <c r="Q2450" i="1"/>
  <c r="K2452" i="1"/>
  <c r="P2455" i="1"/>
  <c r="D2458" i="1"/>
  <c r="P2459" i="1"/>
  <c r="L2482" i="1"/>
  <c r="N2483" i="1"/>
  <c r="K2490" i="1"/>
  <c r="L2491" i="1"/>
  <c r="M2494" i="1"/>
  <c r="L2495" i="1"/>
  <c r="Q2495" i="1"/>
  <c r="O2496" i="1"/>
  <c r="J2516" i="1"/>
  <c r="K2518" i="1"/>
  <c r="M2522" i="1"/>
  <c r="O2534" i="1"/>
  <c r="N2535" i="1"/>
  <c r="M2536" i="1"/>
  <c r="O2542" i="1"/>
  <c r="O2543" i="1"/>
  <c r="O2544" i="1"/>
  <c r="D2546" i="1"/>
  <c r="L2547" i="1"/>
  <c r="S2548" i="1"/>
  <c r="D2551" i="1"/>
  <c r="J2559" i="1"/>
  <c r="K2566" i="1"/>
  <c r="M2568" i="1"/>
  <c r="M2571" i="1"/>
  <c r="M2574" i="1"/>
  <c r="N2575" i="1"/>
  <c r="N2576" i="1"/>
  <c r="O2582" i="1"/>
  <c r="P2583" i="1"/>
  <c r="Q2584" i="1"/>
  <c r="K2586" i="1"/>
  <c r="P2586" i="1"/>
  <c r="M2587" i="1"/>
  <c r="K2588" i="1"/>
  <c r="P2588" i="1"/>
  <c r="S2590" i="1"/>
  <c r="Q2592" i="1"/>
  <c r="K2610" i="1"/>
  <c r="M2611" i="1"/>
  <c r="M2615" i="1"/>
  <c r="M2618" i="1"/>
  <c r="K2620" i="1"/>
  <c r="P2622" i="1"/>
  <c r="K2626" i="1"/>
  <c r="P2626" i="1"/>
  <c r="N2627" i="1"/>
  <c r="M2628" i="1"/>
  <c r="M2630" i="1"/>
  <c r="M2631" i="1"/>
  <c r="M2632" i="1"/>
  <c r="O2634" i="1"/>
  <c r="M2636" i="1"/>
  <c r="J2648" i="1"/>
  <c r="M2654" i="1"/>
  <c r="L2666" i="1"/>
  <c r="K2667" i="1"/>
  <c r="K2668" i="1"/>
  <c r="P2668" i="1"/>
  <c r="K2672" i="1"/>
  <c r="M2678" i="1"/>
  <c r="L2679" i="1"/>
  <c r="K2680" i="1"/>
  <c r="S2680" i="1"/>
  <c r="L2694" i="1"/>
  <c r="L2702" i="1"/>
  <c r="K2707" i="1"/>
  <c r="L2710" i="1"/>
  <c r="K2711" i="1"/>
  <c r="K2712" i="1"/>
  <c r="K2714" i="1"/>
  <c r="N2715" i="1"/>
  <c r="J2736" i="1"/>
  <c r="S2733" i="1"/>
  <c r="O2736" i="1"/>
  <c r="M2750" i="1"/>
  <c r="Q2762" i="1"/>
  <c r="L3500" i="1"/>
  <c r="K3500" i="1"/>
  <c r="K3499" i="1"/>
  <c r="K3498" i="1"/>
  <c r="N3500" i="1"/>
  <c r="N3499" i="1"/>
  <c r="M3498" i="1"/>
  <c r="M3500" i="1"/>
  <c r="L3499" i="1"/>
  <c r="L3498" i="1"/>
  <c r="K3503" i="1"/>
  <c r="Q2275" i="1"/>
  <c r="O2276" i="1"/>
  <c r="P2279" i="1"/>
  <c r="L2284" i="1"/>
  <c r="O2318" i="1"/>
  <c r="P2319" i="1"/>
  <c r="K2343" i="1"/>
  <c r="M2351" i="1"/>
  <c r="M2354" i="1"/>
  <c r="K2356" i="1"/>
  <c r="K2359" i="1"/>
  <c r="Q2367" i="1"/>
  <c r="K2388" i="1"/>
  <c r="S2384" i="1" s="1"/>
  <c r="O2444" i="1"/>
  <c r="M2482" i="1"/>
  <c r="O2494" i="1"/>
  <c r="M2495" i="1"/>
  <c r="K2496" i="1"/>
  <c r="Q2496" i="1"/>
  <c r="M2523" i="1"/>
  <c r="P2542" i="1"/>
  <c r="P2543" i="1"/>
  <c r="P2544" i="1"/>
  <c r="P2547" i="1"/>
  <c r="L2566" i="1"/>
  <c r="M2572" i="1"/>
  <c r="O2574" i="1"/>
  <c r="O2575" i="1"/>
  <c r="O2576" i="1"/>
  <c r="P2582" i="1"/>
  <c r="Q2583" i="1"/>
  <c r="L2586" i="1"/>
  <c r="Q2586" i="1"/>
  <c r="O2587" i="1"/>
  <c r="L2588" i="1"/>
  <c r="Q2588" i="1"/>
  <c r="N2591" i="1"/>
  <c r="K2606" i="1"/>
  <c r="L2610" i="1"/>
  <c r="K2612" i="1"/>
  <c r="K2614" i="1"/>
  <c r="K2616" i="1"/>
  <c r="O2618" i="1"/>
  <c r="M2620" i="1"/>
  <c r="N2623" i="1"/>
  <c r="L2626" i="1"/>
  <c r="Q2626" i="1"/>
  <c r="P2627" i="1"/>
  <c r="N2628" i="1"/>
  <c r="P2630" i="1"/>
  <c r="P2631" i="1"/>
  <c r="P2632" i="1"/>
  <c r="D2634" i="1"/>
  <c r="S2634" i="1"/>
  <c r="Q2636" i="1"/>
  <c r="M2655" i="1"/>
  <c r="N2659" i="1"/>
  <c r="M2666" i="1"/>
  <c r="M2667" i="1"/>
  <c r="L2668" i="1"/>
  <c r="M2670" i="1"/>
  <c r="O2672" i="1"/>
  <c r="P2678" i="1"/>
  <c r="O2679" i="1"/>
  <c r="N2680" i="1"/>
  <c r="L2695" i="1"/>
  <c r="L2703" i="1"/>
  <c r="O2707" i="1"/>
  <c r="M2710" i="1"/>
  <c r="M2711" i="1"/>
  <c r="M2714" i="1"/>
  <c r="M2716" i="1"/>
  <c r="O2720" i="1"/>
  <c r="L2719" i="1"/>
  <c r="L2720" i="1"/>
  <c r="L2748" i="1"/>
  <c r="M2747" i="1"/>
  <c r="L2746" i="1"/>
  <c r="L2751" i="1"/>
  <c r="O3498" i="1"/>
  <c r="M3504" i="1"/>
  <c r="O2274" i="1"/>
  <c r="M2275" i="1"/>
  <c r="K2276" i="1"/>
  <c r="Q2276" i="1"/>
  <c r="L2278" i="1"/>
  <c r="L2280" i="1"/>
  <c r="Q2318" i="1"/>
  <c r="K2320" i="1"/>
  <c r="L2344" i="1"/>
  <c r="L2350" i="1"/>
  <c r="L2352" i="1"/>
  <c r="K2355" i="1"/>
  <c r="N2356" i="1"/>
  <c r="O2359" i="1"/>
  <c r="M2362" i="1"/>
  <c r="L2363" i="1"/>
  <c r="Q2363" i="1"/>
  <c r="O2364" i="1"/>
  <c r="D2366" i="1"/>
  <c r="N2366" i="1"/>
  <c r="K2386" i="1"/>
  <c r="L2388" i="1"/>
  <c r="Q2384" i="1" s="1"/>
  <c r="K2395" i="1"/>
  <c r="L2396" i="1"/>
  <c r="D2414" i="1"/>
  <c r="D2417" i="1"/>
  <c r="K2431" i="1"/>
  <c r="L2435" i="1"/>
  <c r="M2442" i="1"/>
  <c r="K2524" i="1"/>
  <c r="L2619" i="1"/>
  <c r="O2620" i="1"/>
  <c r="L2624" i="1"/>
  <c r="Q2630" i="1"/>
  <c r="Q2631" i="1"/>
  <c r="Q2632" i="1"/>
  <c r="N2635" i="1"/>
  <c r="K2656" i="1"/>
  <c r="O2666" i="1"/>
  <c r="N2667" i="1"/>
  <c r="M2668" i="1"/>
  <c r="Q2678" i="1"/>
  <c r="P2679" i="1"/>
  <c r="O2680" i="1"/>
  <c r="N2708" i="1"/>
  <c r="N2712" i="1"/>
  <c r="O2712" i="1"/>
  <c r="O2710" i="1"/>
  <c r="N2711" i="1"/>
  <c r="M2712" i="1"/>
  <c r="Q2714" i="1"/>
  <c r="Q2716" i="1"/>
  <c r="L2744" i="1"/>
  <c r="M2744" i="1"/>
  <c r="K2752" i="1"/>
  <c r="O2764" i="1"/>
  <c r="P2764" i="1"/>
  <c r="P2763" i="1"/>
  <c r="P2762" i="1"/>
  <c r="L2764" i="1"/>
  <c r="L2763" i="1"/>
  <c r="L2762" i="1"/>
  <c r="Q2764" i="1"/>
  <c r="Q2763" i="1"/>
  <c r="N2767" i="1"/>
  <c r="M3494" i="1"/>
  <c r="K3496" i="1"/>
  <c r="G3512" i="1"/>
  <c r="O3510" i="1"/>
  <c r="L3511" i="1"/>
  <c r="Q3511" i="1"/>
  <c r="O3512" i="1"/>
  <c r="D3514" i="1"/>
  <c r="J3527" i="1"/>
  <c r="L3535" i="1"/>
  <c r="M3547" i="1"/>
  <c r="Q3550" i="1"/>
  <c r="M3554" i="1"/>
  <c r="L3555" i="1"/>
  <c r="L3556" i="1"/>
  <c r="R3556" i="1"/>
  <c r="N3558" i="1"/>
  <c r="O3559" i="1"/>
  <c r="Q3560" i="1"/>
  <c r="L3576" i="1"/>
  <c r="N3582" i="1"/>
  <c r="K3587" i="1"/>
  <c r="M3590" i="1"/>
  <c r="M3591" i="1"/>
  <c r="L3592" i="1"/>
  <c r="N3594" i="1"/>
  <c r="O3599" i="1"/>
  <c r="D3599" i="1"/>
  <c r="Q3602" i="1"/>
  <c r="O3604" i="1"/>
  <c r="D3606" i="1"/>
  <c r="S3613" i="1"/>
  <c r="R3613" i="1" s="1"/>
  <c r="K3619" i="1"/>
  <c r="M3627" i="1"/>
  <c r="L3632" i="1"/>
  <c r="O3634" i="1"/>
  <c r="N3635" i="1"/>
  <c r="M3636" i="1"/>
  <c r="Q3638" i="1"/>
  <c r="K3643" i="1"/>
  <c r="D3645" i="1"/>
  <c r="L3646" i="1"/>
  <c r="S3647" i="1"/>
  <c r="D3647" i="1"/>
  <c r="D3650" i="1"/>
  <c r="K3663" i="1"/>
  <c r="L3670" i="1"/>
  <c r="L3672" i="1"/>
  <c r="D3686" i="1"/>
  <c r="L3686" i="1"/>
  <c r="L3687" i="1"/>
  <c r="L3688" i="1"/>
  <c r="J3702" i="1"/>
  <c r="J3704" i="1"/>
  <c r="Q3704" i="1" s="1"/>
  <c r="M3711" i="1"/>
  <c r="N3724" i="1"/>
  <c r="O3724" i="1"/>
  <c r="O3723" i="1"/>
  <c r="O3722" i="1"/>
  <c r="N3723" i="1"/>
  <c r="P3724" i="1"/>
  <c r="N3728" i="1"/>
  <c r="Q3728" i="1"/>
  <c r="P3727" i="1"/>
  <c r="O3726" i="1"/>
  <c r="L3727" i="1"/>
  <c r="O3728" i="1"/>
  <c r="R3730" i="1"/>
  <c r="K3735" i="1"/>
  <c r="K3760" i="1"/>
  <c r="L3759" i="1"/>
  <c r="L3762" i="1"/>
  <c r="N3764" i="1"/>
  <c r="O3768" i="1"/>
  <c r="L3768" i="1"/>
  <c r="P3766" i="1"/>
  <c r="N3767" i="1"/>
  <c r="K3770" i="1"/>
  <c r="L3775" i="1"/>
  <c r="D3775" i="1"/>
  <c r="D3779" i="1"/>
  <c r="J3791" i="1"/>
  <c r="J3792" i="1"/>
  <c r="S3792" i="1" s="1"/>
  <c r="S3789" i="1"/>
  <c r="S3790" i="1" s="1"/>
  <c r="O2758" i="1"/>
  <c r="M2759" i="1"/>
  <c r="K2760" i="1"/>
  <c r="Q2760" i="1"/>
  <c r="D2765" i="1"/>
  <c r="K2766" i="1"/>
  <c r="R2767" i="1"/>
  <c r="K3495" i="1"/>
  <c r="L3496" i="1"/>
  <c r="K3510" i="1"/>
  <c r="P3510" i="1"/>
  <c r="M3511" i="1"/>
  <c r="K3512" i="1"/>
  <c r="P3512" i="1"/>
  <c r="K3548" i="1"/>
  <c r="N3551" i="1"/>
  <c r="N3554" i="1"/>
  <c r="N3555" i="1"/>
  <c r="M3556" i="1"/>
  <c r="D3558" i="1"/>
  <c r="R3558" i="1"/>
  <c r="S3559" i="1"/>
  <c r="D3560" i="1"/>
  <c r="K3574" i="1"/>
  <c r="L3578" i="1"/>
  <c r="N3583" i="1"/>
  <c r="L3588" i="1"/>
  <c r="O3590" i="1"/>
  <c r="N3591" i="1"/>
  <c r="M3592" i="1"/>
  <c r="P3596" i="1"/>
  <c r="K3598" i="1"/>
  <c r="K3600" i="1"/>
  <c r="L3603" i="1"/>
  <c r="S3604" i="1"/>
  <c r="J3614" i="1"/>
  <c r="M3628" i="1"/>
  <c r="K3634" i="1"/>
  <c r="P3634" i="1"/>
  <c r="O3635" i="1"/>
  <c r="O3636" i="1"/>
  <c r="O3639" i="1"/>
  <c r="G3644" i="1"/>
  <c r="N3643" i="1"/>
  <c r="P3646" i="1"/>
  <c r="N3648" i="1"/>
  <c r="L3664" i="1"/>
  <c r="M3670" i="1"/>
  <c r="M3672" i="1"/>
  <c r="O3674" i="1"/>
  <c r="O3675" i="1"/>
  <c r="O3676" i="1"/>
  <c r="M3680" i="1"/>
  <c r="P3682" i="1"/>
  <c r="Q3683" i="1"/>
  <c r="M3686" i="1"/>
  <c r="M3687" i="1"/>
  <c r="M3688" i="1"/>
  <c r="K3722" i="1"/>
  <c r="P3722" i="1"/>
  <c r="K3724" i="1"/>
  <c r="K3726" i="1"/>
  <c r="N3727" i="1"/>
  <c r="L3758" i="1"/>
  <c r="L3766" i="1"/>
  <c r="O3767" i="1"/>
  <c r="L3771" i="1"/>
  <c r="K3552" i="1"/>
  <c r="Q3554" i="1"/>
  <c r="P3555" i="1"/>
  <c r="N3556" i="1"/>
  <c r="S3558" i="1"/>
  <c r="L3560" i="1"/>
  <c r="K3584" i="1"/>
  <c r="P3603" i="1"/>
  <c r="M3640" i="1"/>
  <c r="K3647" i="1"/>
  <c r="R3648" i="1"/>
  <c r="J3703" i="1"/>
  <c r="Q3736" i="1"/>
  <c r="S3735" i="1"/>
  <c r="L3734" i="1"/>
  <c r="N3736" i="1"/>
  <c r="K3752" i="1"/>
  <c r="L3752" i="1"/>
  <c r="L3764" i="1"/>
  <c r="M3764" i="1"/>
  <c r="O3762" i="1"/>
  <c r="N3763" i="1"/>
  <c r="O3776" i="1"/>
  <c r="L3776" i="1"/>
  <c r="L3774" i="1"/>
  <c r="P3776" i="1"/>
  <c r="D3781" i="1"/>
  <c r="D3783" i="1"/>
  <c r="O3792" i="1"/>
  <c r="L2758" i="1"/>
  <c r="Q2758" i="1"/>
  <c r="P2759" i="1"/>
  <c r="N2760" i="1"/>
  <c r="S2766" i="1"/>
  <c r="Q2768" i="1"/>
  <c r="K3488" i="1"/>
  <c r="L3494" i="1"/>
  <c r="M3495" i="1"/>
  <c r="P3507" i="1"/>
  <c r="M3510" i="1"/>
  <c r="K3511" i="1"/>
  <c r="P3511" i="1"/>
  <c r="M3512" i="1"/>
  <c r="D3512" i="1"/>
  <c r="D3516" i="1"/>
  <c r="M3534" i="1"/>
  <c r="M3536" i="1"/>
  <c r="M3550" i="1"/>
  <c r="O3552" i="1"/>
  <c r="D3554" i="1"/>
  <c r="L3554" i="1"/>
  <c r="R3554" i="1"/>
  <c r="Q3555" i="1"/>
  <c r="L3558" i="1"/>
  <c r="N3559" i="1"/>
  <c r="D3562" i="1"/>
  <c r="K3586" i="1"/>
  <c r="M3602" i="1"/>
  <c r="K3604" i="1"/>
  <c r="K3638" i="1"/>
  <c r="O3647" i="1"/>
  <c r="L3662" i="1"/>
  <c r="M3671" i="1"/>
  <c r="Q3686" i="1"/>
  <c r="Q3687" i="1"/>
  <c r="Q3688" i="1"/>
  <c r="D3694" i="1"/>
  <c r="S3701" i="1"/>
  <c r="L3710" i="1"/>
  <c r="N3731" i="1"/>
  <c r="N3730" i="1"/>
  <c r="P3734" i="1"/>
  <c r="R3736" i="1"/>
  <c r="L3750" i="1"/>
  <c r="K3762" i="1"/>
  <c r="O3763" i="1"/>
  <c r="P3772" i="1"/>
  <c r="Q3772" i="1"/>
  <c r="O3770" i="1"/>
  <c r="M3772" i="1"/>
  <c r="P3774" i="1"/>
  <c r="N3802" i="1"/>
  <c r="N3804" i="1"/>
  <c r="O4336" i="1"/>
  <c r="Q4346" i="1"/>
  <c r="Q4347" i="1"/>
  <c r="Q4348" i="1"/>
  <c r="F4348" i="1"/>
  <c r="O4350" i="1"/>
  <c r="M4352" i="1"/>
  <c r="D1708" i="1"/>
  <c r="D1752" i="1"/>
  <c r="G1796" i="1"/>
  <c r="D1796" i="1"/>
  <c r="D3730" i="1"/>
  <c r="D3731" i="1"/>
  <c r="D3732" i="1"/>
  <c r="L3810" i="1"/>
  <c r="K3811" i="1"/>
  <c r="K3812" i="1"/>
  <c r="P3812" i="1"/>
  <c r="Q3814" i="1"/>
  <c r="K3816" i="1"/>
  <c r="P3822" i="1"/>
  <c r="N3824" i="1"/>
  <c r="L3854" i="1"/>
  <c r="K3855" i="1"/>
  <c r="K3856" i="1"/>
  <c r="P3856" i="1"/>
  <c r="Q3858" i="1"/>
  <c r="K3860" i="1"/>
  <c r="P3866" i="1"/>
  <c r="N3868" i="1"/>
  <c r="L3895" i="1"/>
  <c r="O3896" i="1"/>
  <c r="M3902" i="1"/>
  <c r="L3903" i="1"/>
  <c r="Q3903" i="1"/>
  <c r="O3904" i="1"/>
  <c r="P3906" i="1"/>
  <c r="P3907" i="1"/>
  <c r="P3908" i="1"/>
  <c r="S3910" i="1"/>
  <c r="Q3912" i="1"/>
  <c r="M4334" i="1"/>
  <c r="L4339" i="1"/>
  <c r="P4342" i="1"/>
  <c r="Q4343" i="1"/>
  <c r="L4346" i="1"/>
  <c r="L4347" i="1"/>
  <c r="L4348" i="1"/>
  <c r="S4350" i="1"/>
  <c r="Q4352" i="1"/>
  <c r="D1713" i="1"/>
  <c r="D1840" i="1"/>
  <c r="D1935" i="1"/>
  <c r="D1979" i="1"/>
  <c r="D2018" i="1"/>
  <c r="D2019" i="1"/>
  <c r="D2021" i="1"/>
  <c r="D2058" i="1"/>
  <c r="D2104" i="1"/>
  <c r="O3902" i="1"/>
  <c r="M3903" i="1"/>
  <c r="K3904" i="1"/>
  <c r="Q3904" i="1"/>
  <c r="Q3906" i="1"/>
  <c r="Q3907" i="1"/>
  <c r="Q3908" i="1"/>
  <c r="N3911" i="1"/>
  <c r="L4335" i="1"/>
  <c r="N4351" i="1"/>
  <c r="D1709" i="1"/>
  <c r="D2109" i="1"/>
  <c r="O3810" i="1"/>
  <c r="N3811" i="1"/>
  <c r="M3812" i="1"/>
  <c r="O3823" i="1"/>
  <c r="M3851" i="1"/>
  <c r="O3854" i="1"/>
  <c r="N3855" i="1"/>
  <c r="M3856" i="1"/>
  <c r="O3867" i="1"/>
  <c r="M3891" i="1"/>
  <c r="M3894" i="1"/>
  <c r="K3896" i="1"/>
  <c r="K3902" i="1"/>
  <c r="P3902" i="1"/>
  <c r="N3903" i="1"/>
  <c r="M3904" i="1"/>
  <c r="L3906" i="1"/>
  <c r="L3907" i="1"/>
  <c r="L3908" i="1"/>
  <c r="D3907" i="1"/>
  <c r="K3910" i="1"/>
  <c r="R3911" i="1"/>
  <c r="D3911" i="1"/>
  <c r="J4318" i="1"/>
  <c r="K4323" i="1"/>
  <c r="M4327" i="1"/>
  <c r="M4331" i="1"/>
  <c r="K4336" i="1"/>
  <c r="L4342" i="1"/>
  <c r="M4343" i="1"/>
  <c r="N4344" i="1"/>
  <c r="P4346" i="1"/>
  <c r="P4347" i="1"/>
  <c r="P4348" i="1"/>
  <c r="K4350" i="1"/>
  <c r="R4351" i="1"/>
  <c r="D4352" i="1"/>
  <c r="D4355" i="1"/>
  <c r="E1798" i="1"/>
  <c r="D1847" i="1"/>
  <c r="D1886" i="1"/>
  <c r="D1887" i="1"/>
  <c r="D1889" i="1"/>
  <c r="D1926" i="1"/>
  <c r="D1972" i="1"/>
  <c r="D2067" i="1"/>
  <c r="D2111" i="1"/>
  <c r="D2103" i="1"/>
  <c r="O2098" i="1"/>
  <c r="P2106" i="1"/>
  <c r="L2099" i="1"/>
  <c r="K2107" i="1"/>
  <c r="D2102" i="1"/>
  <c r="K2100" i="1"/>
  <c r="N2108" i="1"/>
  <c r="R2108" i="1"/>
  <c r="K2034" i="1"/>
  <c r="K2038" i="1"/>
  <c r="K2059" i="1"/>
  <c r="K2060" i="1"/>
  <c r="Q2060" i="1"/>
  <c r="D2059" i="1"/>
  <c r="L2058" i="1"/>
  <c r="N2047" i="1"/>
  <c r="N2051" i="1"/>
  <c r="P2058" i="1"/>
  <c r="O2059" i="1"/>
  <c r="M2060" i="1"/>
  <c r="M2038" i="1"/>
  <c r="L2046" i="1"/>
  <c r="M2048" i="1"/>
  <c r="K2058" i="1"/>
  <c r="Q2058" i="1"/>
  <c r="P2059" i="1"/>
  <c r="P2060" i="1"/>
  <c r="M2046" i="1"/>
  <c r="N2048" i="1"/>
  <c r="M2040" i="1"/>
  <c r="L2047" i="1"/>
  <c r="P2050" i="1"/>
  <c r="M2058" i="1"/>
  <c r="M2059" i="1"/>
  <c r="L2060" i="1"/>
  <c r="K1992" i="1"/>
  <c r="S1988" i="1" s="1"/>
  <c r="M2002" i="1"/>
  <c r="O2004" i="1"/>
  <c r="K2002" i="1"/>
  <c r="K2004" i="1"/>
  <c r="K2015" i="1"/>
  <c r="K2016" i="1"/>
  <c r="D2015" i="1"/>
  <c r="Q2016" i="1"/>
  <c r="G2016" i="1"/>
  <c r="O2002" i="1"/>
  <c r="L2014" i="1"/>
  <c r="K1990" i="1"/>
  <c r="M1994" i="1"/>
  <c r="Q1988" i="1"/>
  <c r="K1991" i="1"/>
  <c r="K1996" i="1"/>
  <c r="M2014" i="1"/>
  <c r="M2015" i="1"/>
  <c r="L2016" i="1"/>
  <c r="Q2018" i="1"/>
  <c r="M1996" i="1"/>
  <c r="P2014" i="1"/>
  <c r="O2015" i="1"/>
  <c r="M2016" i="1"/>
  <c r="L1994" i="1"/>
  <c r="K1999" i="1"/>
  <c r="K2014" i="1"/>
  <c r="Q2014" i="1"/>
  <c r="P2015" i="1"/>
  <c r="P2016" i="1"/>
  <c r="D2014" i="1"/>
  <c r="M1954" i="1"/>
  <c r="D1971" i="1"/>
  <c r="K1948" i="1"/>
  <c r="K1971" i="1"/>
  <c r="M1974" i="1"/>
  <c r="N1975" i="1"/>
  <c r="Q1976" i="1"/>
  <c r="L1951" i="1"/>
  <c r="P1971" i="1"/>
  <c r="O1974" i="1"/>
  <c r="R1975" i="1"/>
  <c r="S1976" i="1"/>
  <c r="D1970" i="1"/>
  <c r="M1972" i="1"/>
  <c r="S1974" i="1"/>
  <c r="K1976" i="1"/>
  <c r="K1947" i="1"/>
  <c r="K1955" i="1"/>
  <c r="M1970" i="1"/>
  <c r="K1974" i="1"/>
  <c r="L1975" i="1"/>
  <c r="M1976" i="1"/>
  <c r="M1928" i="1"/>
  <c r="N1918" i="1"/>
  <c r="M1926" i="1"/>
  <c r="D1927" i="1"/>
  <c r="M1914" i="1"/>
  <c r="M1916" i="1"/>
  <c r="L1926" i="1"/>
  <c r="L1928" i="1"/>
  <c r="M1932" i="1"/>
  <c r="M1906" i="1"/>
  <c r="O1914" i="1"/>
  <c r="Q1932" i="1"/>
  <c r="N1915" i="1"/>
  <c r="L1927" i="1"/>
  <c r="O1930" i="1"/>
  <c r="K1914" i="1"/>
  <c r="K1916" i="1"/>
  <c r="M1927" i="1"/>
  <c r="S1930" i="1"/>
  <c r="M1866" i="1"/>
  <c r="D1883" i="1"/>
  <c r="K1867" i="1"/>
  <c r="M1868" i="1"/>
  <c r="L1862" i="1"/>
  <c r="M1864" i="1"/>
  <c r="O1870" i="1"/>
  <c r="M1862" i="1"/>
  <c r="M1863" i="1"/>
  <c r="K1862" i="1"/>
  <c r="K1864" i="1"/>
  <c r="P1880" i="1"/>
  <c r="D1882" i="1"/>
  <c r="D1839" i="1"/>
  <c r="L1832" i="1"/>
  <c r="L1838" i="1"/>
  <c r="L1814" i="1"/>
  <c r="O1839" i="1"/>
  <c r="M1820" i="1"/>
  <c r="Q1844" i="1"/>
  <c r="K1818" i="1"/>
  <c r="M1838" i="1"/>
  <c r="P1839" i="1"/>
  <c r="Q1842" i="1"/>
  <c r="M1818" i="1"/>
  <c r="Q1838" i="1"/>
  <c r="L1840" i="1"/>
  <c r="S1842" i="1"/>
  <c r="D1838" i="1"/>
  <c r="L1819" i="1"/>
  <c r="K1839" i="1"/>
  <c r="M1840" i="1"/>
  <c r="O1782" i="1"/>
  <c r="K1772" i="1"/>
  <c r="K1794" i="1"/>
  <c r="M1782" i="1"/>
  <c r="M1795" i="1"/>
  <c r="D1795" i="1"/>
  <c r="S1798" i="1"/>
  <c r="K1800" i="1"/>
  <c r="D1794" i="1"/>
  <c r="M1778" i="1"/>
  <c r="L1783" i="1"/>
  <c r="M1794" i="1"/>
  <c r="O1795" i="1"/>
  <c r="K1798" i="1"/>
  <c r="L1799" i="1"/>
  <c r="M1800" i="1"/>
  <c r="O1794" i="1"/>
  <c r="K1796" i="1"/>
  <c r="M1798" i="1"/>
  <c r="N1799" i="1"/>
  <c r="Q1800" i="1"/>
  <c r="K1795" i="1"/>
  <c r="M1796" i="1"/>
  <c r="O1798" i="1"/>
  <c r="R1799" i="1"/>
  <c r="S1800" i="1"/>
  <c r="Q1752" i="1"/>
  <c r="K1730" i="1"/>
  <c r="L1738" i="1"/>
  <c r="L1750" i="1"/>
  <c r="D1751" i="1"/>
  <c r="O1740" i="1"/>
  <c r="L1731" i="1"/>
  <c r="O1738" i="1"/>
  <c r="K1751" i="1"/>
  <c r="O1739" i="1"/>
  <c r="K1752" i="1"/>
  <c r="K1728" i="1"/>
  <c r="M1732" i="1"/>
  <c r="M1738" i="1"/>
  <c r="M1740" i="1"/>
  <c r="M1750" i="1"/>
  <c r="M1751" i="1"/>
  <c r="L1752" i="1"/>
  <c r="P1750" i="1"/>
  <c r="O1751" i="1"/>
  <c r="M1752" i="1"/>
  <c r="K1726" i="1"/>
  <c r="M1730" i="1"/>
  <c r="K1750" i="1"/>
  <c r="Q1750" i="1"/>
  <c r="P1751" i="1"/>
  <c r="P1752" i="1"/>
  <c r="D1750" i="1"/>
  <c r="M1686" i="1"/>
  <c r="R1756" i="1"/>
  <c r="O1756" i="1"/>
  <c r="Q1754" i="1"/>
  <c r="K1756" i="1"/>
  <c r="L1776" i="1"/>
  <c r="K1776" i="1"/>
  <c r="L1774" i="1"/>
  <c r="M1775" i="1"/>
  <c r="L1828" i="1"/>
  <c r="M1828" i="1"/>
  <c r="L1827" i="1"/>
  <c r="L1826" i="1"/>
  <c r="K1828" i="1"/>
  <c r="K1827" i="1"/>
  <c r="K1826" i="1"/>
  <c r="O1827" i="1"/>
  <c r="J1855" i="1"/>
  <c r="L1874" i="1"/>
  <c r="R1888" i="1"/>
  <c r="S1888" i="1"/>
  <c r="L1887" i="1"/>
  <c r="O1888" i="1"/>
  <c r="Q1886" i="1"/>
  <c r="K1888" i="1"/>
  <c r="M1886" i="1"/>
  <c r="L1904" i="1"/>
  <c r="K1903" i="1"/>
  <c r="J1943" i="1"/>
  <c r="J1942" i="1"/>
  <c r="S1941" i="1"/>
  <c r="O1964" i="1"/>
  <c r="N1963" i="1"/>
  <c r="P1962" i="1"/>
  <c r="P1964" i="1"/>
  <c r="L1962" i="1"/>
  <c r="G1884" i="1"/>
  <c r="O1744" i="1"/>
  <c r="P1744" i="1"/>
  <c r="L1742" i="1"/>
  <c r="N1824" i="1"/>
  <c r="K1824" i="1"/>
  <c r="M1822" i="1"/>
  <c r="M1823" i="1"/>
  <c r="L1822" i="1"/>
  <c r="O1876" i="1"/>
  <c r="L1876" i="1"/>
  <c r="P1874" i="1"/>
  <c r="O1875" i="1"/>
  <c r="M1874" i="1"/>
  <c r="O1988" i="1"/>
  <c r="J1987" i="1"/>
  <c r="J1986" i="1"/>
  <c r="S1985" i="1"/>
  <c r="R1985" i="1" s="1"/>
  <c r="M1824" i="1"/>
  <c r="S1721" i="1"/>
  <c r="R1721" i="1" s="1"/>
  <c r="N1736" i="1"/>
  <c r="K1735" i="1"/>
  <c r="K1736" i="1"/>
  <c r="N1743" i="1"/>
  <c r="M1754" i="1"/>
  <c r="S1756" i="1"/>
  <c r="K1774" i="1"/>
  <c r="M1776" i="1"/>
  <c r="L1780" i="1"/>
  <c r="K1779" i="1"/>
  <c r="K1780" i="1"/>
  <c r="J1811" i="1"/>
  <c r="J1810" i="1"/>
  <c r="K1823" i="1"/>
  <c r="M1826" i="1"/>
  <c r="N1828" i="1"/>
  <c r="R1844" i="1"/>
  <c r="M1844" i="1"/>
  <c r="N1843" i="1"/>
  <c r="O1842" i="1"/>
  <c r="S1844" i="1"/>
  <c r="K1844" i="1"/>
  <c r="L1843" i="1"/>
  <c r="M1842" i="1"/>
  <c r="P1843" i="1"/>
  <c r="L1872" i="1"/>
  <c r="N1872" i="1"/>
  <c r="N1871" i="1"/>
  <c r="M1870" i="1"/>
  <c r="M1872" i="1"/>
  <c r="L1871" i="1"/>
  <c r="L1870" i="1"/>
  <c r="O1871" i="1"/>
  <c r="K1875" i="1"/>
  <c r="R1884" i="1"/>
  <c r="O1884" i="1"/>
  <c r="O1883" i="1"/>
  <c r="O1882" i="1"/>
  <c r="L1884" i="1"/>
  <c r="L1883" i="1"/>
  <c r="L1882" i="1"/>
  <c r="K1884" i="1"/>
  <c r="K1883" i="1"/>
  <c r="K1882" i="1"/>
  <c r="P1887" i="1"/>
  <c r="J1944" i="1"/>
  <c r="L1960" i="1"/>
  <c r="N1960" i="1"/>
  <c r="N1959" i="1"/>
  <c r="M1958" i="1"/>
  <c r="M1960" i="1"/>
  <c r="L1959" i="1"/>
  <c r="L1958" i="1"/>
  <c r="K1960" i="1"/>
  <c r="K1959" i="1"/>
  <c r="K1958" i="1"/>
  <c r="L1964" i="1"/>
  <c r="Q2012" i="1"/>
  <c r="N2012" i="1"/>
  <c r="L2010" i="1"/>
  <c r="Q2011" i="1"/>
  <c r="M2011" i="1"/>
  <c r="P2010" i="1"/>
  <c r="R2064" i="1"/>
  <c r="S2064" i="1"/>
  <c r="K2064" i="1"/>
  <c r="L2063" i="1"/>
  <c r="M2062" i="1"/>
  <c r="Q2064" i="1"/>
  <c r="R2063" i="1"/>
  <c r="S2062" i="1"/>
  <c r="K2062" i="1"/>
  <c r="N2063" i="1"/>
  <c r="O2064" i="1"/>
  <c r="Q2062" i="1"/>
  <c r="M2064" i="1"/>
  <c r="O2062" i="1"/>
  <c r="L1824" i="1"/>
  <c r="O1856" i="1"/>
  <c r="J1854" i="1"/>
  <c r="S1853" i="1"/>
  <c r="R1853" i="1" s="1"/>
  <c r="Q1853" i="1" s="1"/>
  <c r="L1860" i="1"/>
  <c r="Q1856" i="1" s="1"/>
  <c r="K1860" i="1"/>
  <c r="S1856" i="1" s="1"/>
  <c r="K1859" i="1"/>
  <c r="M1876" i="1"/>
  <c r="J1724" i="1"/>
  <c r="P1742" i="1"/>
  <c r="Q1792" i="1"/>
  <c r="N1792" i="1"/>
  <c r="L1790" i="1"/>
  <c r="Q1791" i="1"/>
  <c r="K1822" i="1"/>
  <c r="J1722" i="1"/>
  <c r="K1734" i="1"/>
  <c r="M1736" i="1"/>
  <c r="L1740" i="1"/>
  <c r="K1740" i="1"/>
  <c r="K1739" i="1"/>
  <c r="K1738" i="1"/>
  <c r="L1739" i="1"/>
  <c r="N1740" i="1"/>
  <c r="L1744" i="1"/>
  <c r="L1755" i="1"/>
  <c r="L1772" i="1"/>
  <c r="K1770" i="1"/>
  <c r="M1774" i="1"/>
  <c r="K1778" i="1"/>
  <c r="M1780" i="1"/>
  <c r="N1784" i="1"/>
  <c r="N1783" i="1"/>
  <c r="K1782" i="1"/>
  <c r="K1784" i="1"/>
  <c r="M1791" i="1"/>
  <c r="S1809" i="1"/>
  <c r="L1823" i="1"/>
  <c r="O1826" i="1"/>
  <c r="O1828" i="1"/>
  <c r="O1832" i="1"/>
  <c r="P1830" i="1"/>
  <c r="P1832" i="1"/>
  <c r="L1830" i="1"/>
  <c r="K1842" i="1"/>
  <c r="R1843" i="1"/>
  <c r="K1870" i="1"/>
  <c r="K1872" i="1"/>
  <c r="N1875" i="1"/>
  <c r="P1882" i="1"/>
  <c r="L1912" i="1"/>
  <c r="M1912" i="1"/>
  <c r="M1911" i="1"/>
  <c r="M1910" i="1"/>
  <c r="O1958" i="1"/>
  <c r="P2063" i="1"/>
  <c r="O2091" i="1"/>
  <c r="M2091" i="1"/>
  <c r="M2090" i="1"/>
  <c r="N2092" i="1"/>
  <c r="G2060" i="1"/>
  <c r="L1907" i="1"/>
  <c r="Q1923" i="1"/>
  <c r="K1952" i="1"/>
  <c r="O1970" i="1"/>
  <c r="L1971" i="1"/>
  <c r="Q1971" i="1"/>
  <c r="O1972" i="1"/>
  <c r="M1999" i="1"/>
  <c r="P2020" i="1"/>
  <c r="S2020" i="1"/>
  <c r="K2020" i="1"/>
  <c r="L2019" i="1"/>
  <c r="M2018" i="1"/>
  <c r="S2018" i="1"/>
  <c r="M2020" i="1"/>
  <c r="N2044" i="1"/>
  <c r="K2043" i="1"/>
  <c r="K2044" i="1"/>
  <c r="M2087" i="1"/>
  <c r="N2086" i="1"/>
  <c r="N2096" i="1"/>
  <c r="K2096" i="1"/>
  <c r="O2094" i="1"/>
  <c r="O2095" i="1"/>
  <c r="M2094" i="1"/>
  <c r="M2096" i="1"/>
  <c r="D1885" i="1"/>
  <c r="D1888" i="1"/>
  <c r="D2061" i="1"/>
  <c r="D2064" i="1"/>
  <c r="K1816" i="1"/>
  <c r="S1812" i="1" s="1"/>
  <c r="O1838" i="1"/>
  <c r="L1839" i="1"/>
  <c r="Q1839" i="1"/>
  <c r="O1840" i="1"/>
  <c r="M1867" i="1"/>
  <c r="N1878" i="1"/>
  <c r="J1900" i="1"/>
  <c r="K1906" i="1"/>
  <c r="M1907" i="1"/>
  <c r="L1922" i="1"/>
  <c r="N1924" i="1"/>
  <c r="P1926" i="1"/>
  <c r="P1927" i="1"/>
  <c r="Q1928" i="1"/>
  <c r="N1931" i="1"/>
  <c r="K1950" i="1"/>
  <c r="M1952" i="1"/>
  <c r="M1955" i="1"/>
  <c r="K1970" i="1"/>
  <c r="P1970" i="1"/>
  <c r="M1971" i="1"/>
  <c r="K1972" i="1"/>
  <c r="P1972" i="1"/>
  <c r="L1995" i="1"/>
  <c r="K1998" i="1"/>
  <c r="K2000" i="1"/>
  <c r="K2018" i="1"/>
  <c r="N2019" i="1"/>
  <c r="O2020" i="1"/>
  <c r="J2031" i="1"/>
  <c r="S2029" i="1"/>
  <c r="R2029" i="1" s="1"/>
  <c r="K2042" i="1"/>
  <c r="M2044" i="1"/>
  <c r="L2086" i="1"/>
  <c r="K2094" i="1"/>
  <c r="O2096" i="1"/>
  <c r="P2100" i="1"/>
  <c r="N2100" i="1"/>
  <c r="P2099" i="1"/>
  <c r="Q2098" i="1"/>
  <c r="L2098" i="1"/>
  <c r="M2100" i="1"/>
  <c r="N2099" i="1"/>
  <c r="P2098" i="1"/>
  <c r="K2098" i="1"/>
  <c r="M2099" i="1"/>
  <c r="Q2100" i="1"/>
  <c r="R2104" i="1"/>
  <c r="R2103" i="1"/>
  <c r="D1841" i="1"/>
  <c r="D1844" i="1"/>
  <c r="D2017" i="1"/>
  <c r="D2020" i="1"/>
  <c r="K1732" i="1"/>
  <c r="O1750" i="1"/>
  <c r="L1751" i="1"/>
  <c r="Q1751" i="1"/>
  <c r="O1752" i="1"/>
  <c r="J1768" i="1"/>
  <c r="Q1794" i="1"/>
  <c r="Q1795" i="1"/>
  <c r="Q1796" i="1"/>
  <c r="Q1798" i="1"/>
  <c r="P1799" i="1"/>
  <c r="O1800" i="1"/>
  <c r="K1814" i="1"/>
  <c r="L1816" i="1"/>
  <c r="Q1812" i="1" s="1"/>
  <c r="K1820" i="1"/>
  <c r="K1838" i="1"/>
  <c r="P1838" i="1"/>
  <c r="M1839" i="1"/>
  <c r="K1840" i="1"/>
  <c r="P1840" i="1"/>
  <c r="L1863" i="1"/>
  <c r="K1866" i="1"/>
  <c r="K1868" i="1"/>
  <c r="O1879" i="1"/>
  <c r="S1897" i="1"/>
  <c r="R1897" i="1" s="1"/>
  <c r="L1906" i="1"/>
  <c r="K1908" i="1"/>
  <c r="L1915" i="1"/>
  <c r="O1916" i="1"/>
  <c r="P1922" i="1"/>
  <c r="K1926" i="1"/>
  <c r="Q1926" i="1"/>
  <c r="Q1927" i="1"/>
  <c r="K1930" i="1"/>
  <c r="R1931" i="1"/>
  <c r="K1946" i="1"/>
  <c r="M1950" i="1"/>
  <c r="K1954" i="1"/>
  <c r="K1956" i="1"/>
  <c r="L1970" i="1"/>
  <c r="Q1970" i="1"/>
  <c r="O1971" i="1"/>
  <c r="L1972" i="1"/>
  <c r="Q1972" i="1"/>
  <c r="Q1974" i="1"/>
  <c r="P1975" i="1"/>
  <c r="O1976" i="1"/>
  <c r="K1994" i="1"/>
  <c r="M1995" i="1"/>
  <c r="M1998" i="1"/>
  <c r="M2000" i="1"/>
  <c r="N2004" i="1"/>
  <c r="M2004" i="1"/>
  <c r="L2003" i="1"/>
  <c r="O2018" i="1"/>
  <c r="P2019" i="1"/>
  <c r="Q2020" i="1"/>
  <c r="J2030" i="1"/>
  <c r="L2035" i="1"/>
  <c r="K2036" i="1"/>
  <c r="S2032" i="1" s="1"/>
  <c r="M2042" i="1"/>
  <c r="L2088" i="1"/>
  <c r="K2095" i="1"/>
  <c r="M2098" i="1"/>
  <c r="Q2099" i="1"/>
  <c r="D1797" i="1"/>
  <c r="D1800" i="1"/>
  <c r="D1973" i="1"/>
  <c r="D1976" i="1"/>
  <c r="E2106" i="1"/>
  <c r="O2046" i="1"/>
  <c r="O2047" i="1"/>
  <c r="O2048" i="1"/>
  <c r="L2052" i="1"/>
  <c r="O2107" i="1"/>
  <c r="F1752" i="1"/>
  <c r="F1796" i="1"/>
  <c r="F1840" i="1"/>
  <c r="F1884" i="1"/>
  <c r="F1928" i="1"/>
  <c r="F1972" i="1"/>
  <c r="F2016" i="1"/>
  <c r="F2060" i="1"/>
  <c r="F2104" i="1"/>
  <c r="O2014" i="1"/>
  <c r="L2015" i="1"/>
  <c r="Q2015" i="1"/>
  <c r="O2016" i="1"/>
  <c r="K2040" i="1"/>
  <c r="K2046" i="1"/>
  <c r="K2047" i="1"/>
  <c r="K2048" i="1"/>
  <c r="L2050" i="1"/>
  <c r="P2052" i="1"/>
  <c r="O2058" i="1"/>
  <c r="L2059" i="1"/>
  <c r="Q2059" i="1"/>
  <c r="O2060" i="1"/>
  <c r="J2074" i="1"/>
  <c r="L2082" i="1"/>
  <c r="L2106" i="1"/>
  <c r="S2107" i="1"/>
  <c r="K1688" i="1"/>
  <c r="L1702" i="1"/>
  <c r="D1706" i="1"/>
  <c r="N1704" i="1"/>
  <c r="L1686" i="1"/>
  <c r="K1694" i="1"/>
  <c r="D1707" i="1"/>
  <c r="Q1706" i="1"/>
  <c r="Q1707" i="1"/>
  <c r="Q1708" i="1"/>
  <c r="N1711" i="1"/>
  <c r="J1680" i="1"/>
  <c r="Q1680" i="1" s="1"/>
  <c r="K1683" i="1"/>
  <c r="L1687" i="1"/>
  <c r="M1690" i="1"/>
  <c r="M1694" i="1"/>
  <c r="K1696" i="1"/>
  <c r="P1702" i="1"/>
  <c r="L1706" i="1"/>
  <c r="L1707" i="1"/>
  <c r="L1708" i="1"/>
  <c r="K1710" i="1"/>
  <c r="R1711" i="1"/>
  <c r="S1677" i="1"/>
  <c r="R1677" i="1" s="1"/>
  <c r="Q1677" i="1" s="1"/>
  <c r="K1686" i="1"/>
  <c r="M1687" i="1"/>
  <c r="M1691" i="1"/>
  <c r="O1694" i="1"/>
  <c r="M1696" i="1"/>
  <c r="M1703" i="1"/>
  <c r="M1706" i="1"/>
  <c r="M1707" i="1"/>
  <c r="M1708" i="1"/>
  <c r="O1710" i="1"/>
  <c r="M1712" i="1"/>
  <c r="F1708" i="1"/>
  <c r="M1692" i="1"/>
  <c r="L1695" i="1"/>
  <c r="O1696" i="1"/>
  <c r="Q1703" i="1"/>
  <c r="P1706" i="1"/>
  <c r="P1707" i="1"/>
  <c r="P1708" i="1"/>
  <c r="S1710" i="1"/>
  <c r="Q1712" i="1"/>
  <c r="D3114" i="1"/>
  <c r="F3864" i="1"/>
  <c r="G3864" i="1"/>
  <c r="D2946" i="1"/>
  <c r="D3031" i="1"/>
  <c r="D3203" i="1"/>
  <c r="D3207" i="1"/>
  <c r="D3211" i="1"/>
  <c r="D3248" i="1"/>
  <c r="D3252" i="1"/>
  <c r="D3255" i="1"/>
  <c r="D3298" i="1"/>
  <c r="D1666" i="1"/>
  <c r="D1669" i="1"/>
  <c r="D1671" i="1"/>
  <c r="D2147" i="1"/>
  <c r="D2151" i="1"/>
  <c r="D2155" i="1"/>
  <c r="G2192" i="1"/>
  <c r="D2242" i="1"/>
  <c r="D2280" i="1"/>
  <c r="D2281" i="1"/>
  <c r="D2855" i="1"/>
  <c r="D2900" i="1"/>
  <c r="D2938" i="1"/>
  <c r="D3115" i="1"/>
  <c r="D3206" i="1"/>
  <c r="D3247" i="1"/>
  <c r="G1664" i="1"/>
  <c r="D2150" i="1"/>
  <c r="D2190" i="1"/>
  <c r="D2199" i="1"/>
  <c r="D2278" i="1"/>
  <c r="G3732" i="1"/>
  <c r="G3820" i="1"/>
  <c r="G4348" i="1"/>
  <c r="D2851" i="1"/>
  <c r="D2896" i="1"/>
  <c r="D3072" i="1"/>
  <c r="G3556" i="1"/>
  <c r="D2323" i="1"/>
  <c r="D2503" i="1"/>
  <c r="D2549" i="1"/>
  <c r="D2589" i="1"/>
  <c r="D2591" i="1"/>
  <c r="D2594" i="1"/>
  <c r="D2636" i="1"/>
  <c r="D2678" i="1"/>
  <c r="D2718" i="1"/>
  <c r="D2762" i="1"/>
  <c r="D3515" i="1"/>
  <c r="D3563" i="1"/>
  <c r="D3598" i="1"/>
  <c r="D3603" i="1"/>
  <c r="D3642" i="1"/>
  <c r="D3689" i="1"/>
  <c r="D3693" i="1"/>
  <c r="D3695" i="1"/>
  <c r="F3732" i="1"/>
  <c r="D3734" i="1"/>
  <c r="D3736" i="1"/>
  <c r="D3737" i="1"/>
  <c r="D3739" i="1"/>
  <c r="D3782" i="1"/>
  <c r="D3821" i="1"/>
  <c r="D3823" i="1"/>
  <c r="D3826" i="1"/>
  <c r="D3862" i="1"/>
  <c r="D3863" i="1"/>
  <c r="D3864" i="1"/>
  <c r="D3868" i="1"/>
  <c r="F3908" i="1"/>
  <c r="D4350" i="1"/>
  <c r="M4340" i="1"/>
  <c r="O4339" i="1"/>
  <c r="K4339" i="1"/>
  <c r="M4338" i="1"/>
  <c r="P4340" i="1"/>
  <c r="L4340" i="1"/>
  <c r="N4339" i="1"/>
  <c r="P4338" i="1"/>
  <c r="L4338" i="1"/>
  <c r="O4340" i="1"/>
  <c r="K4340" i="1"/>
  <c r="M4339" i="1"/>
  <c r="O4338" i="1"/>
  <c r="K4338" i="1"/>
  <c r="N4340" i="1"/>
  <c r="D2286" i="1"/>
  <c r="D2326" i="1"/>
  <c r="D2329" i="1"/>
  <c r="D2331" i="1"/>
  <c r="D2371" i="1"/>
  <c r="D2374" i="1"/>
  <c r="D2416" i="1"/>
  <c r="D2419" i="1"/>
  <c r="D2454" i="1"/>
  <c r="D2499" i="1"/>
  <c r="D2544" i="1"/>
  <c r="D2548" i="1"/>
  <c r="D2586" i="1"/>
  <c r="D2631" i="1"/>
  <c r="D2676" i="1"/>
  <c r="D2720" i="1"/>
  <c r="D2721" i="1"/>
  <c r="D2767" i="1"/>
  <c r="D2770" i="1"/>
  <c r="D3510" i="1"/>
  <c r="D3513" i="1"/>
  <c r="D3518" i="1"/>
  <c r="D3644" i="1"/>
  <c r="G3688" i="1"/>
  <c r="D3691" i="1"/>
  <c r="D3733" i="1"/>
  <c r="D3735" i="1"/>
  <c r="D3738" i="1"/>
  <c r="D3774" i="1"/>
  <c r="D3777" i="1"/>
  <c r="F3820" i="1"/>
  <c r="D3822" i="1"/>
  <c r="D3824" i="1"/>
  <c r="D3825" i="1"/>
  <c r="D3827" i="1"/>
  <c r="D3908" i="1"/>
  <c r="D3913" i="1"/>
  <c r="N4338" i="1"/>
  <c r="L4323" i="1"/>
  <c r="N4330" i="1"/>
  <c r="N4331" i="1"/>
  <c r="N4332" i="1"/>
  <c r="N4334" i="1"/>
  <c r="M4335" i="1"/>
  <c r="L4336" i="1"/>
  <c r="M4342" i="1"/>
  <c r="Q4342" i="1"/>
  <c r="N4343" i="1"/>
  <c r="K4344" i="1"/>
  <c r="O4344" i="1"/>
  <c r="N4346" i="1"/>
  <c r="R4346" i="1"/>
  <c r="N4347" i="1"/>
  <c r="R4347" i="1"/>
  <c r="N4348" i="1"/>
  <c r="R4348" i="1"/>
  <c r="L4350" i="1"/>
  <c r="P4350" i="1"/>
  <c r="K4351" i="1"/>
  <c r="O4351" i="1"/>
  <c r="S4351" i="1"/>
  <c r="N4352" i="1"/>
  <c r="R4352" i="1"/>
  <c r="J4320" i="1"/>
  <c r="K4322" i="1"/>
  <c r="K4324" i="1"/>
  <c r="M4326" i="1"/>
  <c r="K4328" i="1"/>
  <c r="K4330" i="1"/>
  <c r="K4331" i="1"/>
  <c r="K4332" i="1"/>
  <c r="K4334" i="1"/>
  <c r="O4334" i="1"/>
  <c r="N4335" i="1"/>
  <c r="M4336" i="1"/>
  <c r="N4342" i="1"/>
  <c r="K4343" i="1"/>
  <c r="O4343" i="1"/>
  <c r="L4344" i="1"/>
  <c r="K4346" i="1"/>
  <c r="O4346" i="1"/>
  <c r="K4347" i="1"/>
  <c r="O4347" i="1"/>
  <c r="K4348" i="1"/>
  <c r="M4350" i="1"/>
  <c r="Q4350" i="1"/>
  <c r="L4351" i="1"/>
  <c r="P4351" i="1"/>
  <c r="K4352" i="1"/>
  <c r="O4352" i="1"/>
  <c r="S4352" i="1"/>
  <c r="L4322" i="1"/>
  <c r="K4327" i="1"/>
  <c r="L4330" i="1"/>
  <c r="L4331" i="1"/>
  <c r="L4334" i="1"/>
  <c r="K4335" i="1"/>
  <c r="O4335" i="1"/>
  <c r="N4350" i="1"/>
  <c r="R4350" i="1"/>
  <c r="M4351" i="1"/>
  <c r="Q4351" i="1"/>
  <c r="L4352" i="1"/>
  <c r="S3484" i="1"/>
  <c r="Q3484" i="1"/>
  <c r="M3515" i="1"/>
  <c r="P3516" i="1"/>
  <c r="M3543" i="1"/>
  <c r="Q3820" i="1"/>
  <c r="M3820" i="1"/>
  <c r="Q3819" i="1"/>
  <c r="M3819" i="1"/>
  <c r="Q3818" i="1"/>
  <c r="M3818" i="1"/>
  <c r="O3820" i="1"/>
  <c r="K3820" i="1"/>
  <c r="O3819" i="1"/>
  <c r="K3819" i="1"/>
  <c r="O3818" i="1"/>
  <c r="K3818" i="1"/>
  <c r="P3820" i="1"/>
  <c r="P3819" i="1"/>
  <c r="P3818" i="1"/>
  <c r="N3820" i="1"/>
  <c r="N3819" i="1"/>
  <c r="N3818" i="1"/>
  <c r="L3820" i="1"/>
  <c r="L3819" i="1"/>
  <c r="L3818" i="1"/>
  <c r="R3820" i="1"/>
  <c r="R3819" i="1"/>
  <c r="R3818" i="1"/>
  <c r="D2852" i="1"/>
  <c r="D2854" i="1"/>
  <c r="D2857" i="1"/>
  <c r="D2984" i="1"/>
  <c r="D2985" i="1"/>
  <c r="G3116" i="1"/>
  <c r="D3117" i="1"/>
  <c r="D3122" i="1"/>
  <c r="D3165" i="1"/>
  <c r="D3246" i="1"/>
  <c r="D3251" i="1"/>
  <c r="D3290" i="1"/>
  <c r="D3296" i="1"/>
  <c r="F3336" i="1"/>
  <c r="D1662" i="1"/>
  <c r="D2192" i="1"/>
  <c r="D2194" i="1"/>
  <c r="D2197" i="1"/>
  <c r="D2236" i="1"/>
  <c r="D2241" i="1"/>
  <c r="D2243" i="1"/>
  <c r="D2282" i="1"/>
  <c r="D2285" i="1"/>
  <c r="D2287" i="1"/>
  <c r="D2324" i="1"/>
  <c r="D2325" i="1"/>
  <c r="D2327" i="1"/>
  <c r="D2330" i="1"/>
  <c r="G2368" i="1"/>
  <c r="G2456" i="1"/>
  <c r="D2460" i="1"/>
  <c r="D2498" i="1"/>
  <c r="D2550" i="1"/>
  <c r="D2592" i="1"/>
  <c r="F2632" i="1"/>
  <c r="F2676" i="1"/>
  <c r="D2675" i="1"/>
  <c r="D2677" i="1"/>
  <c r="D2722" i="1"/>
  <c r="F2764" i="1"/>
  <c r="S3481" i="1"/>
  <c r="J3482" i="1"/>
  <c r="K3490" i="1"/>
  <c r="L3491" i="1"/>
  <c r="M3492" i="1"/>
  <c r="N3502" i="1"/>
  <c r="L3503" i="1"/>
  <c r="P3503" i="1"/>
  <c r="N3504" i="1"/>
  <c r="L3506" i="1"/>
  <c r="P3506" i="1"/>
  <c r="M3507" i="1"/>
  <c r="Q3507" i="1"/>
  <c r="N3508" i="1"/>
  <c r="F3512" i="1"/>
  <c r="K3514" i="1"/>
  <c r="O3514" i="1"/>
  <c r="S3514" i="1"/>
  <c r="N3515" i="1"/>
  <c r="R3515" i="1"/>
  <c r="M3516" i="1"/>
  <c r="Q3516" i="1"/>
  <c r="K3530" i="1"/>
  <c r="K3532" i="1"/>
  <c r="K3538" i="1"/>
  <c r="K3539" i="1"/>
  <c r="K3540" i="1"/>
  <c r="K3542" i="1"/>
  <c r="O3542" i="1"/>
  <c r="N3543" i="1"/>
  <c r="M3544" i="1"/>
  <c r="L3546" i="1"/>
  <c r="P3546" i="1"/>
  <c r="N3547" i="1"/>
  <c r="L3548" i="1"/>
  <c r="P3548" i="1"/>
  <c r="N3550" i="1"/>
  <c r="K3551" i="1"/>
  <c r="O3551" i="1"/>
  <c r="L3552" i="1"/>
  <c r="P3552" i="1"/>
  <c r="D3555" i="1"/>
  <c r="S3560" i="1"/>
  <c r="O3560" i="1"/>
  <c r="K3560" i="1"/>
  <c r="P3559" i="1"/>
  <c r="L3559" i="1"/>
  <c r="Q3558" i="1"/>
  <c r="M3558" i="1"/>
  <c r="O3558" i="1"/>
  <c r="K3559" i="1"/>
  <c r="Q3559" i="1"/>
  <c r="M3560" i="1"/>
  <c r="R3560" i="1"/>
  <c r="J3572" i="1"/>
  <c r="M3578" i="1"/>
  <c r="L3580" i="1"/>
  <c r="M3584" i="1"/>
  <c r="M3583" i="1"/>
  <c r="M3582" i="1"/>
  <c r="K3583" i="1"/>
  <c r="L3584" i="1"/>
  <c r="L3586" i="1"/>
  <c r="M3587" i="1"/>
  <c r="M3588" i="1"/>
  <c r="K3595" i="1"/>
  <c r="D3601" i="1"/>
  <c r="L3492" i="1"/>
  <c r="R3514" i="1"/>
  <c r="L3516" i="1"/>
  <c r="L3531" i="1"/>
  <c r="L3544" i="1"/>
  <c r="Q3864" i="1"/>
  <c r="M3864" i="1"/>
  <c r="Q3863" i="1"/>
  <c r="M3863" i="1"/>
  <c r="Q3862" i="1"/>
  <c r="M3862" i="1"/>
  <c r="P3864" i="1"/>
  <c r="L3864" i="1"/>
  <c r="P3863" i="1"/>
  <c r="L3863" i="1"/>
  <c r="P3862" i="1"/>
  <c r="L3862" i="1"/>
  <c r="O3864" i="1"/>
  <c r="K3864" i="1"/>
  <c r="O3863" i="1"/>
  <c r="K3863" i="1"/>
  <c r="O3862" i="1"/>
  <c r="K3862" i="1"/>
  <c r="N3863" i="1"/>
  <c r="R3864" i="1"/>
  <c r="R3862" i="1"/>
  <c r="N3864" i="1"/>
  <c r="N3862" i="1"/>
  <c r="R3863" i="1"/>
  <c r="D2807" i="1"/>
  <c r="D2814" i="1"/>
  <c r="D2859" i="1"/>
  <c r="F2940" i="1"/>
  <c r="D2945" i="1"/>
  <c r="D2983" i="1"/>
  <c r="D2990" i="1"/>
  <c r="D3030" i="1"/>
  <c r="D3071" i="1"/>
  <c r="D3076" i="1"/>
  <c r="D3159" i="1"/>
  <c r="D3160" i="1"/>
  <c r="D3161" i="1"/>
  <c r="D3205" i="1"/>
  <c r="D3210" i="1"/>
  <c r="D3254" i="1"/>
  <c r="D3294" i="1"/>
  <c r="D1663" i="1"/>
  <c r="D1665" i="1"/>
  <c r="D1668" i="1"/>
  <c r="D2149" i="1"/>
  <c r="D2154" i="1"/>
  <c r="D2237" i="1"/>
  <c r="D2239" i="1"/>
  <c r="G2280" i="1"/>
  <c r="D2283" i="1"/>
  <c r="F2324" i="1"/>
  <c r="D2418" i="1"/>
  <c r="D2501" i="1"/>
  <c r="D2506" i="1"/>
  <c r="D2633" i="1"/>
  <c r="D2635" i="1"/>
  <c r="D2674" i="1"/>
  <c r="G2676" i="1"/>
  <c r="D2681" i="1"/>
  <c r="D2683" i="1"/>
  <c r="G2720" i="1"/>
  <c r="D2726" i="1"/>
  <c r="J3483" i="1"/>
  <c r="L3490" i="1"/>
  <c r="M3491" i="1"/>
  <c r="N3494" i="1"/>
  <c r="N3495" i="1"/>
  <c r="N3498" i="1"/>
  <c r="M3499" i="1"/>
  <c r="K3502" i="1"/>
  <c r="O3502" i="1"/>
  <c r="M3503" i="1"/>
  <c r="K3504" i="1"/>
  <c r="M3506" i="1"/>
  <c r="Q3506" i="1"/>
  <c r="N3507" i="1"/>
  <c r="K3508" i="1"/>
  <c r="O3508" i="1"/>
  <c r="N3510" i="1"/>
  <c r="R3510" i="1"/>
  <c r="N3511" i="1"/>
  <c r="R3511" i="1"/>
  <c r="N3512" i="1"/>
  <c r="L3514" i="1"/>
  <c r="P3514" i="1"/>
  <c r="K3515" i="1"/>
  <c r="O3515" i="1"/>
  <c r="S3515" i="1"/>
  <c r="N3516" i="1"/>
  <c r="R3516" i="1"/>
  <c r="L3530" i="1"/>
  <c r="L3532" i="1"/>
  <c r="K3535" i="1"/>
  <c r="L3538" i="1"/>
  <c r="L3539" i="1"/>
  <c r="L3540" i="1"/>
  <c r="L3542" i="1"/>
  <c r="K3543" i="1"/>
  <c r="O3543" i="1"/>
  <c r="N3544" i="1"/>
  <c r="M3546" i="1"/>
  <c r="K3547" i="1"/>
  <c r="O3547" i="1"/>
  <c r="M3548" i="1"/>
  <c r="K3550" i="1"/>
  <c r="O3550" i="1"/>
  <c r="L3551" i="1"/>
  <c r="P3551" i="1"/>
  <c r="M3552" i="1"/>
  <c r="Q3552" i="1"/>
  <c r="O3556" i="1"/>
  <c r="K3556" i="1"/>
  <c r="O3555" i="1"/>
  <c r="K3555" i="1"/>
  <c r="O3554" i="1"/>
  <c r="K3554" i="1"/>
  <c r="P3554" i="1"/>
  <c r="M3555" i="1"/>
  <c r="R3555" i="1"/>
  <c r="P3556" i="1"/>
  <c r="D3556" i="1"/>
  <c r="K3558" i="1"/>
  <c r="P3558" i="1"/>
  <c r="M3559" i="1"/>
  <c r="R3559" i="1"/>
  <c r="N3560" i="1"/>
  <c r="D3561" i="1"/>
  <c r="K3576" i="1"/>
  <c r="K3582" i="1"/>
  <c r="L3583" i="1"/>
  <c r="N3584" i="1"/>
  <c r="N3586" i="1"/>
  <c r="N3587" i="1"/>
  <c r="G3600" i="1"/>
  <c r="F3600" i="1"/>
  <c r="S3692" i="1"/>
  <c r="O3692" i="1"/>
  <c r="K3692" i="1"/>
  <c r="P3691" i="1"/>
  <c r="L3691" i="1"/>
  <c r="Q3690" i="1"/>
  <c r="M3690" i="1"/>
  <c r="R3692" i="1"/>
  <c r="N3692" i="1"/>
  <c r="S3691" i="1"/>
  <c r="O3691" i="1"/>
  <c r="K3691" i="1"/>
  <c r="P3690" i="1"/>
  <c r="L3690" i="1"/>
  <c r="Q3692" i="1"/>
  <c r="M3692" i="1"/>
  <c r="R3691" i="1"/>
  <c r="N3691" i="1"/>
  <c r="S3690" i="1"/>
  <c r="O3690" i="1"/>
  <c r="K3690" i="1"/>
  <c r="M3691" i="1"/>
  <c r="P3692" i="1"/>
  <c r="R3690" i="1"/>
  <c r="L3692" i="1"/>
  <c r="N3690" i="1"/>
  <c r="O3484" i="1"/>
  <c r="K3491" i="1"/>
  <c r="N3514" i="1"/>
  <c r="Q3515" i="1"/>
  <c r="N3538" i="1"/>
  <c r="N3539" i="1"/>
  <c r="N3540" i="1"/>
  <c r="N3542" i="1"/>
  <c r="J3570" i="1"/>
  <c r="S3569" i="1"/>
  <c r="F2808" i="1"/>
  <c r="D2939" i="1"/>
  <c r="G3204" i="1"/>
  <c r="G3292" i="1"/>
  <c r="D1667" i="1"/>
  <c r="G2148" i="1"/>
  <c r="F2236" i="1"/>
  <c r="G2236" i="1"/>
  <c r="D2322" i="1"/>
  <c r="D2462" i="1"/>
  <c r="G2500" i="1"/>
  <c r="D2588" i="1"/>
  <c r="D2593" i="1"/>
  <c r="D2679" i="1"/>
  <c r="D2680" i="1"/>
  <c r="D2682" i="1"/>
  <c r="D2764" i="1"/>
  <c r="D2769" i="1"/>
  <c r="M3490" i="1"/>
  <c r="N3506" i="1"/>
  <c r="K3507" i="1"/>
  <c r="O3507" i="1"/>
  <c r="L3508" i="1"/>
  <c r="M3514" i="1"/>
  <c r="Q3514" i="1"/>
  <c r="L3515" i="1"/>
  <c r="P3515" i="1"/>
  <c r="K3516" i="1"/>
  <c r="O3516" i="1"/>
  <c r="M3538" i="1"/>
  <c r="M3539" i="1"/>
  <c r="M3542" i="1"/>
  <c r="L3543" i="1"/>
  <c r="K3544" i="1"/>
  <c r="N3546" i="1"/>
  <c r="L3547" i="1"/>
  <c r="P3547" i="1"/>
  <c r="L3550" i="1"/>
  <c r="P3550" i="1"/>
  <c r="M3551" i="1"/>
  <c r="Q3551" i="1"/>
  <c r="J3571" i="1"/>
  <c r="M3580" i="1"/>
  <c r="L3579" i="1"/>
  <c r="K3578" i="1"/>
  <c r="M3579" i="1"/>
  <c r="O3588" i="1"/>
  <c r="K3588" i="1"/>
  <c r="L3587" i="1"/>
  <c r="M3586" i="1"/>
  <c r="O3586" i="1"/>
  <c r="O3587" i="1"/>
  <c r="O3596" i="1"/>
  <c r="K3596" i="1"/>
  <c r="N3595" i="1"/>
  <c r="Q3594" i="1"/>
  <c r="M3594" i="1"/>
  <c r="N3596" i="1"/>
  <c r="Q3595" i="1"/>
  <c r="M3595" i="1"/>
  <c r="P3594" i="1"/>
  <c r="L3594" i="1"/>
  <c r="Q3596" i="1"/>
  <c r="M3596" i="1"/>
  <c r="P3595" i="1"/>
  <c r="L3595" i="1"/>
  <c r="O3594" i="1"/>
  <c r="K3594" i="1"/>
  <c r="L3596" i="1"/>
  <c r="K3707" i="1"/>
  <c r="L3708" i="1"/>
  <c r="L3706" i="1"/>
  <c r="K3708" i="1"/>
  <c r="K3706" i="1"/>
  <c r="L3707" i="1"/>
  <c r="L3598" i="1"/>
  <c r="P3598" i="1"/>
  <c r="L3599" i="1"/>
  <c r="P3599" i="1"/>
  <c r="L3600" i="1"/>
  <c r="P3600" i="1"/>
  <c r="N3602" i="1"/>
  <c r="R3602" i="1"/>
  <c r="M3603" i="1"/>
  <c r="Q3603" i="1"/>
  <c r="L3604" i="1"/>
  <c r="P3604" i="1"/>
  <c r="J3615" i="1"/>
  <c r="L3619" i="1"/>
  <c r="L3622" i="1"/>
  <c r="M3623" i="1"/>
  <c r="N3626" i="1"/>
  <c r="N3627" i="1"/>
  <c r="N3628" i="1"/>
  <c r="L3630" i="1"/>
  <c r="M3631" i="1"/>
  <c r="M3632" i="1"/>
  <c r="M3638" i="1"/>
  <c r="K3639" i="1"/>
  <c r="P3639" i="1"/>
  <c r="O3640" i="1"/>
  <c r="S3780" i="1"/>
  <c r="O3780" i="1"/>
  <c r="K3780" i="1"/>
  <c r="P3779" i="1"/>
  <c r="L3779" i="1"/>
  <c r="Q3778" i="1"/>
  <c r="M3778" i="1"/>
  <c r="R3780" i="1"/>
  <c r="N3780" i="1"/>
  <c r="S3779" i="1"/>
  <c r="O3779" i="1"/>
  <c r="K3779" i="1"/>
  <c r="P3778" i="1"/>
  <c r="L3778" i="1"/>
  <c r="Q3780" i="1"/>
  <c r="M3780" i="1"/>
  <c r="R3779" i="1"/>
  <c r="N3779" i="1"/>
  <c r="S3778" i="1"/>
  <c r="O3778" i="1"/>
  <c r="K3778" i="1"/>
  <c r="M3779" i="1"/>
  <c r="P3780" i="1"/>
  <c r="R3778" i="1"/>
  <c r="L3780" i="1"/>
  <c r="N3778" i="1"/>
  <c r="N3590" i="1"/>
  <c r="L3591" i="1"/>
  <c r="P3591" i="1"/>
  <c r="M3598" i="1"/>
  <c r="Q3598" i="1"/>
  <c r="M3599" i="1"/>
  <c r="Q3599" i="1"/>
  <c r="M3600" i="1"/>
  <c r="Q3600" i="1"/>
  <c r="K3602" i="1"/>
  <c r="O3602" i="1"/>
  <c r="S3602" i="1"/>
  <c r="N3603" i="1"/>
  <c r="R3603" i="1"/>
  <c r="M3604" i="1"/>
  <c r="Q3604" i="1"/>
  <c r="J3616" i="1"/>
  <c r="K3618" i="1"/>
  <c r="K3620" i="1"/>
  <c r="M3622" i="1"/>
  <c r="K3624" i="1"/>
  <c r="K3626" i="1"/>
  <c r="K3627" i="1"/>
  <c r="K3628" i="1"/>
  <c r="N3630" i="1"/>
  <c r="N3631" i="1"/>
  <c r="N3638" i="1"/>
  <c r="L3639" i="1"/>
  <c r="K3640" i="1"/>
  <c r="F3644" i="1"/>
  <c r="O3642" i="1"/>
  <c r="D3648" i="1"/>
  <c r="J3660" i="1"/>
  <c r="J3659" i="1"/>
  <c r="J3658" i="1"/>
  <c r="S3657" i="1"/>
  <c r="K3668" i="1"/>
  <c r="M3666" i="1"/>
  <c r="M3667" i="1"/>
  <c r="L3666" i="1"/>
  <c r="M3668" i="1"/>
  <c r="L3667" i="1"/>
  <c r="K3666" i="1"/>
  <c r="Q3779" i="1"/>
  <c r="N3598" i="1"/>
  <c r="R3598" i="1"/>
  <c r="N3599" i="1"/>
  <c r="R3599" i="1"/>
  <c r="N3600" i="1"/>
  <c r="L3602" i="1"/>
  <c r="P3602" i="1"/>
  <c r="K3603" i="1"/>
  <c r="O3603" i="1"/>
  <c r="S3603" i="1"/>
  <c r="N3604" i="1"/>
  <c r="L3618" i="1"/>
  <c r="K3623" i="1"/>
  <c r="L3627" i="1"/>
  <c r="O3632" i="1"/>
  <c r="K3632" i="1"/>
  <c r="L3631" i="1"/>
  <c r="M3630" i="1"/>
  <c r="O3630" i="1"/>
  <c r="O3631" i="1"/>
  <c r="N3640" i="1"/>
  <c r="Q3639" i="1"/>
  <c r="M3639" i="1"/>
  <c r="P3638" i="1"/>
  <c r="L3638" i="1"/>
  <c r="O3638" i="1"/>
  <c r="N3639" i="1"/>
  <c r="L3640" i="1"/>
  <c r="Q3640" i="1"/>
  <c r="Q3644" i="1"/>
  <c r="M3644" i="1"/>
  <c r="Q3643" i="1"/>
  <c r="M3643" i="1"/>
  <c r="Q3642" i="1"/>
  <c r="M3642" i="1"/>
  <c r="P3644" i="1"/>
  <c r="L3644" i="1"/>
  <c r="P3643" i="1"/>
  <c r="L3643" i="1"/>
  <c r="P3642" i="1"/>
  <c r="L3642" i="1"/>
  <c r="O3644" i="1"/>
  <c r="K3644" i="1"/>
  <c r="R3642" i="1"/>
  <c r="R3643" i="1"/>
  <c r="D3643" i="1"/>
  <c r="K3667" i="1"/>
  <c r="M3646" i="1"/>
  <c r="Q3646" i="1"/>
  <c r="L3647" i="1"/>
  <c r="P3647" i="1"/>
  <c r="K3648" i="1"/>
  <c r="O3648" i="1"/>
  <c r="S3648" i="1"/>
  <c r="N3678" i="1"/>
  <c r="L3679" i="1"/>
  <c r="P3679" i="1"/>
  <c r="N3680" i="1"/>
  <c r="F3688" i="1"/>
  <c r="M3716" i="1"/>
  <c r="M3715" i="1"/>
  <c r="M3714" i="1"/>
  <c r="L3716" i="1"/>
  <c r="L3715" i="1"/>
  <c r="L3714" i="1"/>
  <c r="K3716" i="1"/>
  <c r="K3715" i="1"/>
  <c r="K3714" i="1"/>
  <c r="O3720" i="1"/>
  <c r="K3720" i="1"/>
  <c r="L3719" i="1"/>
  <c r="M3718" i="1"/>
  <c r="N3720" i="1"/>
  <c r="O3719" i="1"/>
  <c r="K3719" i="1"/>
  <c r="L3718" i="1"/>
  <c r="M3720" i="1"/>
  <c r="N3719" i="1"/>
  <c r="O3718" i="1"/>
  <c r="K3718" i="1"/>
  <c r="K3756" i="1"/>
  <c r="M3754" i="1"/>
  <c r="M3755" i="1"/>
  <c r="L3754" i="1"/>
  <c r="M3756" i="1"/>
  <c r="L3755" i="1"/>
  <c r="K3754" i="1"/>
  <c r="N3646" i="1"/>
  <c r="R3646" i="1"/>
  <c r="M3647" i="1"/>
  <c r="Q3647" i="1"/>
  <c r="L3648" i="1"/>
  <c r="P3648" i="1"/>
  <c r="L3663" i="1"/>
  <c r="N3670" i="1"/>
  <c r="N3671" i="1"/>
  <c r="N3672" i="1"/>
  <c r="N3674" i="1"/>
  <c r="M3675" i="1"/>
  <c r="K3678" i="1"/>
  <c r="O3678" i="1"/>
  <c r="M3679" i="1"/>
  <c r="K3680" i="1"/>
  <c r="O3680" i="1"/>
  <c r="M3682" i="1"/>
  <c r="Q3682" i="1"/>
  <c r="N3683" i="1"/>
  <c r="K3684" i="1"/>
  <c r="O3684" i="1"/>
  <c r="N3686" i="1"/>
  <c r="R3686" i="1"/>
  <c r="N3687" i="1"/>
  <c r="R3687" i="1"/>
  <c r="N3688" i="1"/>
  <c r="R3688" i="1"/>
  <c r="N3714" i="1"/>
  <c r="N3718" i="1"/>
  <c r="J3748" i="1"/>
  <c r="J3747" i="1"/>
  <c r="J3746" i="1"/>
  <c r="S3745" i="1"/>
  <c r="K3755" i="1"/>
  <c r="N3634" i="1"/>
  <c r="L3635" i="1"/>
  <c r="P3635" i="1"/>
  <c r="K3646" i="1"/>
  <c r="O3646" i="1"/>
  <c r="S3646" i="1"/>
  <c r="N3647" i="1"/>
  <c r="R3647" i="1"/>
  <c r="M3648" i="1"/>
  <c r="K3662" i="1"/>
  <c r="K3670" i="1"/>
  <c r="K3671" i="1"/>
  <c r="L3678" i="1"/>
  <c r="P3678" i="1"/>
  <c r="N3679" i="1"/>
  <c r="L3680" i="1"/>
  <c r="N3682" i="1"/>
  <c r="K3683" i="1"/>
  <c r="O3683" i="1"/>
  <c r="L3684" i="1"/>
  <c r="K3686" i="1"/>
  <c r="O3686" i="1"/>
  <c r="K3687" i="1"/>
  <c r="O3687" i="1"/>
  <c r="K3688" i="1"/>
  <c r="N3715" i="1"/>
  <c r="M3719" i="1"/>
  <c r="Q3732" i="1"/>
  <c r="M3732" i="1"/>
  <c r="Q3731" i="1"/>
  <c r="M3731" i="1"/>
  <c r="Q3730" i="1"/>
  <c r="M3730" i="1"/>
  <c r="P3732" i="1"/>
  <c r="L3732" i="1"/>
  <c r="P3731" i="1"/>
  <c r="L3731" i="1"/>
  <c r="P3730" i="1"/>
  <c r="L3730" i="1"/>
  <c r="O3732" i="1"/>
  <c r="K3732" i="1"/>
  <c r="O3731" i="1"/>
  <c r="K3731" i="1"/>
  <c r="O3730" i="1"/>
  <c r="K3730" i="1"/>
  <c r="R3731" i="1"/>
  <c r="L3756" i="1"/>
  <c r="M3710" i="1"/>
  <c r="K3712" i="1"/>
  <c r="N3726" i="1"/>
  <c r="K3727" i="1"/>
  <c r="O3727" i="1"/>
  <c r="L3728" i="1"/>
  <c r="P3728" i="1"/>
  <c r="M3734" i="1"/>
  <c r="Q3734" i="1"/>
  <c r="L3735" i="1"/>
  <c r="P3735" i="1"/>
  <c r="K3736" i="1"/>
  <c r="O3736" i="1"/>
  <c r="S3736" i="1"/>
  <c r="K3751" i="1"/>
  <c r="M3758" i="1"/>
  <c r="M3759" i="1"/>
  <c r="M3760" i="1"/>
  <c r="M3762" i="1"/>
  <c r="L3763" i="1"/>
  <c r="K3764" i="1"/>
  <c r="O3764" i="1"/>
  <c r="N3766" i="1"/>
  <c r="L3767" i="1"/>
  <c r="P3767" i="1"/>
  <c r="N3768" i="1"/>
  <c r="L3770" i="1"/>
  <c r="P3770" i="1"/>
  <c r="M3771" i="1"/>
  <c r="Q3771" i="1"/>
  <c r="N3772" i="1"/>
  <c r="M3774" i="1"/>
  <c r="Q3774" i="1"/>
  <c r="M3775" i="1"/>
  <c r="Q3775" i="1"/>
  <c r="M3776" i="1"/>
  <c r="Q3776" i="1"/>
  <c r="F3776" i="1"/>
  <c r="K3795" i="1"/>
  <c r="K3796" i="1"/>
  <c r="L3796" i="1"/>
  <c r="K3799" i="1"/>
  <c r="O3808" i="1"/>
  <c r="K3808" i="1"/>
  <c r="L3807" i="1"/>
  <c r="M3806" i="1"/>
  <c r="M3808" i="1"/>
  <c r="N3807" i="1"/>
  <c r="O3806" i="1"/>
  <c r="K3806" i="1"/>
  <c r="M3807" i="1"/>
  <c r="K3711" i="1"/>
  <c r="L3712" i="1"/>
  <c r="N3734" i="1"/>
  <c r="R3734" i="1"/>
  <c r="M3735" i="1"/>
  <c r="Q3735" i="1"/>
  <c r="L3736" i="1"/>
  <c r="P3736" i="1"/>
  <c r="L3751" i="1"/>
  <c r="N3758" i="1"/>
  <c r="N3759" i="1"/>
  <c r="N3760" i="1"/>
  <c r="N3762" i="1"/>
  <c r="M3763" i="1"/>
  <c r="K3766" i="1"/>
  <c r="O3766" i="1"/>
  <c r="M3767" i="1"/>
  <c r="K3768" i="1"/>
  <c r="M3770" i="1"/>
  <c r="Q3770" i="1"/>
  <c r="N3771" i="1"/>
  <c r="K3772" i="1"/>
  <c r="O3772" i="1"/>
  <c r="N3774" i="1"/>
  <c r="R3774" i="1"/>
  <c r="N3775" i="1"/>
  <c r="R3775" i="1"/>
  <c r="N3776" i="1"/>
  <c r="R3776" i="1"/>
  <c r="K3794" i="1"/>
  <c r="M3804" i="1"/>
  <c r="M3803" i="1"/>
  <c r="M3802" i="1"/>
  <c r="K3804" i="1"/>
  <c r="K3803" i="1"/>
  <c r="K3802" i="1"/>
  <c r="N3803" i="1"/>
  <c r="L3806" i="1"/>
  <c r="O3807" i="1"/>
  <c r="O3836" i="1"/>
  <c r="J3835" i="1"/>
  <c r="J3836" i="1"/>
  <c r="J3834" i="1"/>
  <c r="S3833" i="1"/>
  <c r="K3710" i="1"/>
  <c r="L3711" i="1"/>
  <c r="N3722" i="1"/>
  <c r="L3723" i="1"/>
  <c r="P3723" i="1"/>
  <c r="L3726" i="1"/>
  <c r="P3726" i="1"/>
  <c r="M3727" i="1"/>
  <c r="Q3727" i="1"/>
  <c r="K3734" i="1"/>
  <c r="O3734" i="1"/>
  <c r="S3734" i="1"/>
  <c r="N3735" i="1"/>
  <c r="R3735" i="1"/>
  <c r="M3736" i="1"/>
  <c r="K3750" i="1"/>
  <c r="K3758" i="1"/>
  <c r="K3759" i="1"/>
  <c r="N3770" i="1"/>
  <c r="K3771" i="1"/>
  <c r="O3771" i="1"/>
  <c r="L3772" i="1"/>
  <c r="K3774" i="1"/>
  <c r="O3774" i="1"/>
  <c r="K3775" i="1"/>
  <c r="O3775" i="1"/>
  <c r="K3776" i="1"/>
  <c r="L3794" i="1"/>
  <c r="M3800" i="1"/>
  <c r="L3799" i="1"/>
  <c r="K3798" i="1"/>
  <c r="K3800" i="1"/>
  <c r="M3798" i="1"/>
  <c r="L3800" i="1"/>
  <c r="L3802" i="1"/>
  <c r="L3804" i="1"/>
  <c r="N3806" i="1"/>
  <c r="L3808" i="1"/>
  <c r="N3814" i="1"/>
  <c r="K3815" i="1"/>
  <c r="O3815" i="1"/>
  <c r="L3816" i="1"/>
  <c r="P3816" i="1"/>
  <c r="M3822" i="1"/>
  <c r="Q3822" i="1"/>
  <c r="L3823" i="1"/>
  <c r="P3823" i="1"/>
  <c r="K3824" i="1"/>
  <c r="O3824" i="1"/>
  <c r="S3824" i="1"/>
  <c r="L3839" i="1"/>
  <c r="J3880" i="1"/>
  <c r="S3877" i="1"/>
  <c r="O3880" i="1"/>
  <c r="J3878" i="1"/>
  <c r="N3822" i="1"/>
  <c r="R3822" i="1"/>
  <c r="M3823" i="1"/>
  <c r="Q3823" i="1"/>
  <c r="L3824" i="1"/>
  <c r="P3824" i="1"/>
  <c r="K3840" i="1"/>
  <c r="M3844" i="1"/>
  <c r="L3843" i="1"/>
  <c r="K3842" i="1"/>
  <c r="L3844" i="1"/>
  <c r="K3843" i="1"/>
  <c r="K3844" i="1"/>
  <c r="M3842" i="1"/>
  <c r="M3848" i="1"/>
  <c r="M3847" i="1"/>
  <c r="M3846" i="1"/>
  <c r="L3848" i="1"/>
  <c r="L3847" i="1"/>
  <c r="L3846" i="1"/>
  <c r="K3848" i="1"/>
  <c r="K3847" i="1"/>
  <c r="K3846" i="1"/>
  <c r="O3852" i="1"/>
  <c r="K3852" i="1"/>
  <c r="L3851" i="1"/>
  <c r="M3850" i="1"/>
  <c r="N3852" i="1"/>
  <c r="O3851" i="1"/>
  <c r="K3851" i="1"/>
  <c r="L3850" i="1"/>
  <c r="M3852" i="1"/>
  <c r="N3851" i="1"/>
  <c r="O3850" i="1"/>
  <c r="K3850" i="1"/>
  <c r="G3908" i="1"/>
  <c r="N3810" i="1"/>
  <c r="L3811" i="1"/>
  <c r="P3811" i="1"/>
  <c r="L3814" i="1"/>
  <c r="P3814" i="1"/>
  <c r="M3815" i="1"/>
  <c r="Q3815" i="1"/>
  <c r="K3822" i="1"/>
  <c r="O3822" i="1"/>
  <c r="S3822" i="1"/>
  <c r="N3823" i="1"/>
  <c r="R3823" i="1"/>
  <c r="M3824" i="1"/>
  <c r="K3838" i="1"/>
  <c r="L3840" i="1"/>
  <c r="L3842" i="1"/>
  <c r="N3846" i="1"/>
  <c r="N3850" i="1"/>
  <c r="J3879" i="1"/>
  <c r="N3858" i="1"/>
  <c r="K3859" i="1"/>
  <c r="O3859" i="1"/>
  <c r="L3860" i="1"/>
  <c r="P3860" i="1"/>
  <c r="M3866" i="1"/>
  <c r="Q3866" i="1"/>
  <c r="L3867" i="1"/>
  <c r="P3867" i="1"/>
  <c r="K3868" i="1"/>
  <c r="O3868" i="1"/>
  <c r="S3868" i="1"/>
  <c r="D3867" i="1"/>
  <c r="M3900" i="1"/>
  <c r="O3899" i="1"/>
  <c r="K3899" i="1"/>
  <c r="M3898" i="1"/>
  <c r="P3900" i="1"/>
  <c r="L3900" i="1"/>
  <c r="N3899" i="1"/>
  <c r="P3898" i="1"/>
  <c r="L3898" i="1"/>
  <c r="O3900" i="1"/>
  <c r="K3900" i="1"/>
  <c r="M3899" i="1"/>
  <c r="O3898" i="1"/>
  <c r="K3898" i="1"/>
  <c r="N3900" i="1"/>
  <c r="D3910" i="1"/>
  <c r="N3866" i="1"/>
  <c r="R3866" i="1"/>
  <c r="M3867" i="1"/>
  <c r="Q3867" i="1"/>
  <c r="L3868" i="1"/>
  <c r="P3868" i="1"/>
  <c r="D3870" i="1"/>
  <c r="K3884" i="1"/>
  <c r="K3882" i="1"/>
  <c r="L3884" i="1"/>
  <c r="N3898" i="1"/>
  <c r="D3915" i="1"/>
  <c r="N3854" i="1"/>
  <c r="L3855" i="1"/>
  <c r="P3855" i="1"/>
  <c r="L3858" i="1"/>
  <c r="P3858" i="1"/>
  <c r="M3859" i="1"/>
  <c r="Q3859" i="1"/>
  <c r="K3866" i="1"/>
  <c r="O3866" i="1"/>
  <c r="S3866" i="1"/>
  <c r="N3867" i="1"/>
  <c r="R3867" i="1"/>
  <c r="M3868" i="1"/>
  <c r="L3882" i="1"/>
  <c r="L3899" i="1"/>
  <c r="L3886" i="1"/>
  <c r="M3887" i="1"/>
  <c r="N3890" i="1"/>
  <c r="N3891" i="1"/>
  <c r="N3892" i="1"/>
  <c r="N3894" i="1"/>
  <c r="M3895" i="1"/>
  <c r="L3896" i="1"/>
  <c r="N3906" i="1"/>
  <c r="R3906" i="1"/>
  <c r="N3907" i="1"/>
  <c r="R3907" i="1"/>
  <c r="N3908" i="1"/>
  <c r="R3908" i="1"/>
  <c r="L3910" i="1"/>
  <c r="P3910" i="1"/>
  <c r="K3911" i="1"/>
  <c r="O3911" i="1"/>
  <c r="S3911" i="1"/>
  <c r="N3912" i="1"/>
  <c r="R3912" i="1"/>
  <c r="M3886" i="1"/>
  <c r="K3888" i="1"/>
  <c r="K3890" i="1"/>
  <c r="K3891" i="1"/>
  <c r="K3894" i="1"/>
  <c r="O3894" i="1"/>
  <c r="N3895" i="1"/>
  <c r="N3902" i="1"/>
  <c r="K3903" i="1"/>
  <c r="O3903" i="1"/>
  <c r="L3904" i="1"/>
  <c r="K3906" i="1"/>
  <c r="O3906" i="1"/>
  <c r="K3907" i="1"/>
  <c r="O3907" i="1"/>
  <c r="K3908" i="1"/>
  <c r="M3910" i="1"/>
  <c r="Q3910" i="1"/>
  <c r="L3911" i="1"/>
  <c r="P3911" i="1"/>
  <c r="K3912" i="1"/>
  <c r="O3912" i="1"/>
  <c r="S3912" i="1"/>
  <c r="K3887" i="1"/>
  <c r="N3910" i="1"/>
  <c r="R3910" i="1"/>
  <c r="M3911" i="1"/>
  <c r="Q3911" i="1"/>
  <c r="L3912" i="1"/>
  <c r="N1658" i="1"/>
  <c r="O1659" i="1"/>
  <c r="P1660" i="1"/>
  <c r="N1698" i="1"/>
  <c r="N1746" i="1"/>
  <c r="O1747" i="1"/>
  <c r="P1748" i="1"/>
  <c r="P1787" i="1"/>
  <c r="K1835" i="1"/>
  <c r="P1836" i="1"/>
  <c r="O2056" i="1"/>
  <c r="K2056" i="1"/>
  <c r="N2055" i="1"/>
  <c r="Q2054" i="1"/>
  <c r="M2054" i="1"/>
  <c r="N2056" i="1"/>
  <c r="Q2055" i="1"/>
  <c r="M2055" i="1"/>
  <c r="P2054" i="1"/>
  <c r="L2054" i="1"/>
  <c r="Q2056" i="1"/>
  <c r="M2056" i="1"/>
  <c r="P2055" i="1"/>
  <c r="L2055" i="1"/>
  <c r="O2054" i="1"/>
  <c r="K2054" i="1"/>
  <c r="O1636" i="1"/>
  <c r="L1638" i="1"/>
  <c r="L1640" i="1"/>
  <c r="K1643" i="1"/>
  <c r="L1644" i="1"/>
  <c r="L1646" i="1"/>
  <c r="L1647" i="1"/>
  <c r="L1648" i="1"/>
  <c r="K1658" i="1"/>
  <c r="O1658" i="1"/>
  <c r="L1659" i="1"/>
  <c r="P1659" i="1"/>
  <c r="M1660" i="1"/>
  <c r="Q1660" i="1"/>
  <c r="N1666" i="1"/>
  <c r="R1666" i="1"/>
  <c r="M1667" i="1"/>
  <c r="Q1667" i="1"/>
  <c r="L1668" i="1"/>
  <c r="P1668" i="1"/>
  <c r="L1683" i="1"/>
  <c r="N1690" i="1"/>
  <c r="N1691" i="1"/>
  <c r="N1692" i="1"/>
  <c r="N1694" i="1"/>
  <c r="M1695" i="1"/>
  <c r="L1696" i="1"/>
  <c r="K1698" i="1"/>
  <c r="O1698" i="1"/>
  <c r="M1699" i="1"/>
  <c r="K1700" i="1"/>
  <c r="O1700" i="1"/>
  <c r="M1702" i="1"/>
  <c r="Q1702" i="1"/>
  <c r="N1703" i="1"/>
  <c r="K1704" i="1"/>
  <c r="O1704" i="1"/>
  <c r="N1706" i="1"/>
  <c r="R1706" i="1"/>
  <c r="N1707" i="1"/>
  <c r="R1707" i="1"/>
  <c r="N1708" i="1"/>
  <c r="R1708" i="1"/>
  <c r="L1710" i="1"/>
  <c r="P1710" i="1"/>
  <c r="K1711" i="1"/>
  <c r="O1711" i="1"/>
  <c r="S1711" i="1"/>
  <c r="N1712" i="1"/>
  <c r="R1712" i="1"/>
  <c r="O1724" i="1"/>
  <c r="L1726" i="1"/>
  <c r="L1728" i="1"/>
  <c r="K1731" i="1"/>
  <c r="L1732" i="1"/>
  <c r="L1734" i="1"/>
  <c r="L1735" i="1"/>
  <c r="L1736" i="1"/>
  <c r="M1742" i="1"/>
  <c r="K1743" i="1"/>
  <c r="O1743" i="1"/>
  <c r="M1744" i="1"/>
  <c r="K1746" i="1"/>
  <c r="O1746" i="1"/>
  <c r="L1747" i="1"/>
  <c r="P1747" i="1"/>
  <c r="M1748" i="1"/>
  <c r="Q1748" i="1"/>
  <c r="N1754" i="1"/>
  <c r="R1754" i="1"/>
  <c r="M1755" i="1"/>
  <c r="Q1755" i="1"/>
  <c r="L1756" i="1"/>
  <c r="P1756" i="1"/>
  <c r="L1771" i="1"/>
  <c r="N1778" i="1"/>
  <c r="N1779" i="1"/>
  <c r="N1780" i="1"/>
  <c r="N1782" i="1"/>
  <c r="M1783" i="1"/>
  <c r="L1784" i="1"/>
  <c r="K1786" i="1"/>
  <c r="O1786" i="1"/>
  <c r="M1787" i="1"/>
  <c r="K1788" i="1"/>
  <c r="O1788" i="1"/>
  <c r="M1790" i="1"/>
  <c r="Q1790" i="1"/>
  <c r="N1791" i="1"/>
  <c r="K1792" i="1"/>
  <c r="O1792" i="1"/>
  <c r="N1794" i="1"/>
  <c r="R1794" i="1"/>
  <c r="N1795" i="1"/>
  <c r="R1795" i="1"/>
  <c r="N1796" i="1"/>
  <c r="R1796" i="1"/>
  <c r="L1798" i="1"/>
  <c r="P1798" i="1"/>
  <c r="K1799" i="1"/>
  <c r="O1799" i="1"/>
  <c r="S1799" i="1"/>
  <c r="N1800" i="1"/>
  <c r="R1800" i="1"/>
  <c r="O1812" i="1"/>
  <c r="K1819" i="1"/>
  <c r="L1820" i="1"/>
  <c r="M1830" i="1"/>
  <c r="K1831" i="1"/>
  <c r="O1831" i="1"/>
  <c r="M1832" i="1"/>
  <c r="K1834" i="1"/>
  <c r="O1834" i="1"/>
  <c r="L1835" i="1"/>
  <c r="P1835" i="1"/>
  <c r="M1836" i="1"/>
  <c r="Q1836" i="1"/>
  <c r="N1842" i="1"/>
  <c r="R1842" i="1"/>
  <c r="M1843" i="1"/>
  <c r="Q1843" i="1"/>
  <c r="L1844" i="1"/>
  <c r="P1844" i="1"/>
  <c r="L1859" i="1"/>
  <c r="N1866" i="1"/>
  <c r="N1867" i="1"/>
  <c r="N1868" i="1"/>
  <c r="O1878" i="1"/>
  <c r="P1879" i="1"/>
  <c r="M1920" i="1"/>
  <c r="O1919" i="1"/>
  <c r="K1919" i="1"/>
  <c r="M1918" i="1"/>
  <c r="P1920" i="1"/>
  <c r="L1920" i="1"/>
  <c r="N1919" i="1"/>
  <c r="P1918" i="1"/>
  <c r="L1918" i="1"/>
  <c r="O1920" i="1"/>
  <c r="K1920" i="1"/>
  <c r="M1919" i="1"/>
  <c r="O1918" i="1"/>
  <c r="K1918" i="1"/>
  <c r="N1920" i="1"/>
  <c r="N1966" i="1"/>
  <c r="M2008" i="1"/>
  <c r="O2007" i="1"/>
  <c r="K2007" i="1"/>
  <c r="M2006" i="1"/>
  <c r="P2008" i="1"/>
  <c r="L2008" i="1"/>
  <c r="N2007" i="1"/>
  <c r="P2006" i="1"/>
  <c r="L2006" i="1"/>
  <c r="O2008" i="1"/>
  <c r="K2008" i="1"/>
  <c r="M2007" i="1"/>
  <c r="O2006" i="1"/>
  <c r="K2006" i="1"/>
  <c r="N2008" i="1"/>
  <c r="N2054" i="1"/>
  <c r="P2056" i="1"/>
  <c r="K1659" i="1"/>
  <c r="P1699" i="1"/>
  <c r="K1747" i="1"/>
  <c r="L1787" i="1"/>
  <c r="N1834" i="1"/>
  <c r="L1836" i="1"/>
  <c r="O1968" i="1"/>
  <c r="K1968" i="1"/>
  <c r="N1967" i="1"/>
  <c r="Q1966" i="1"/>
  <c r="M1966" i="1"/>
  <c r="N1968" i="1"/>
  <c r="Q1967" i="1"/>
  <c r="M1967" i="1"/>
  <c r="P1966" i="1"/>
  <c r="L1966" i="1"/>
  <c r="Q1968" i="1"/>
  <c r="M1968" i="1"/>
  <c r="P1967" i="1"/>
  <c r="L1967" i="1"/>
  <c r="O1966" i="1"/>
  <c r="K1966" i="1"/>
  <c r="L1968" i="1"/>
  <c r="S2152" i="1"/>
  <c r="O2152" i="1"/>
  <c r="K2152" i="1"/>
  <c r="P2151" i="1"/>
  <c r="L2151" i="1"/>
  <c r="Q2150" i="1"/>
  <c r="M2150" i="1"/>
  <c r="R2152" i="1"/>
  <c r="N2152" i="1"/>
  <c r="S2151" i="1"/>
  <c r="O2151" i="1"/>
  <c r="K2151" i="1"/>
  <c r="P2150" i="1"/>
  <c r="L2150" i="1"/>
  <c r="Q2152" i="1"/>
  <c r="M2152" i="1"/>
  <c r="R2151" i="1"/>
  <c r="N2151" i="1"/>
  <c r="S2150" i="1"/>
  <c r="O2150" i="1"/>
  <c r="K2150" i="1"/>
  <c r="M2151" i="1"/>
  <c r="P2152" i="1"/>
  <c r="R2150" i="1"/>
  <c r="L2152" i="1"/>
  <c r="N2150" i="1"/>
  <c r="S1633" i="1"/>
  <c r="J1634" i="1"/>
  <c r="K1639" i="1"/>
  <c r="K1642" i="1"/>
  <c r="L1643" i="1"/>
  <c r="M1646" i="1"/>
  <c r="M1647" i="1"/>
  <c r="M1648" i="1"/>
  <c r="M1650" i="1"/>
  <c r="L1651" i="1"/>
  <c r="K1652" i="1"/>
  <c r="O1652" i="1"/>
  <c r="N1654" i="1"/>
  <c r="L1655" i="1"/>
  <c r="P1655" i="1"/>
  <c r="N1656" i="1"/>
  <c r="L1658" i="1"/>
  <c r="P1658" i="1"/>
  <c r="M1659" i="1"/>
  <c r="Q1659" i="1"/>
  <c r="N1660" i="1"/>
  <c r="M1662" i="1"/>
  <c r="Q1662" i="1"/>
  <c r="M1663" i="1"/>
  <c r="Q1663" i="1"/>
  <c r="M1664" i="1"/>
  <c r="Q1664" i="1"/>
  <c r="F1664" i="1"/>
  <c r="K1666" i="1"/>
  <c r="O1666" i="1"/>
  <c r="S1666" i="1"/>
  <c r="N1667" i="1"/>
  <c r="R1667" i="1"/>
  <c r="M1668" i="1"/>
  <c r="Q1668" i="1"/>
  <c r="K1682" i="1"/>
  <c r="K1684" i="1"/>
  <c r="K1690" i="1"/>
  <c r="K1691" i="1"/>
  <c r="K1692" i="1"/>
  <c r="L1698" i="1"/>
  <c r="P1698" i="1"/>
  <c r="N1699" i="1"/>
  <c r="L1700" i="1"/>
  <c r="P1700" i="1"/>
  <c r="N1702" i="1"/>
  <c r="K1703" i="1"/>
  <c r="O1703" i="1"/>
  <c r="L1704" i="1"/>
  <c r="P1704" i="1"/>
  <c r="K1706" i="1"/>
  <c r="O1706" i="1"/>
  <c r="K1707" i="1"/>
  <c r="O1707" i="1"/>
  <c r="K1708" i="1"/>
  <c r="M1710" i="1"/>
  <c r="Q1710" i="1"/>
  <c r="L1711" i="1"/>
  <c r="P1711" i="1"/>
  <c r="K1712" i="1"/>
  <c r="O1712" i="1"/>
  <c r="S1712" i="1"/>
  <c r="N1742" i="1"/>
  <c r="L1743" i="1"/>
  <c r="P1743" i="1"/>
  <c r="N1744" i="1"/>
  <c r="L1746" i="1"/>
  <c r="P1746" i="1"/>
  <c r="M1747" i="1"/>
  <c r="Q1747" i="1"/>
  <c r="N1748" i="1"/>
  <c r="K1754" i="1"/>
  <c r="O1754" i="1"/>
  <c r="S1754" i="1"/>
  <c r="N1755" i="1"/>
  <c r="R1755" i="1"/>
  <c r="M1756" i="1"/>
  <c r="Q1756" i="1"/>
  <c r="L1786" i="1"/>
  <c r="P1786" i="1"/>
  <c r="N1787" i="1"/>
  <c r="L1788" i="1"/>
  <c r="P1788" i="1"/>
  <c r="N1790" i="1"/>
  <c r="K1791" i="1"/>
  <c r="O1791" i="1"/>
  <c r="L1792" i="1"/>
  <c r="P1792" i="1"/>
  <c r="N1830" i="1"/>
  <c r="L1831" i="1"/>
  <c r="P1831" i="1"/>
  <c r="N1832" i="1"/>
  <c r="L1834" i="1"/>
  <c r="P1834" i="1"/>
  <c r="M1835" i="1"/>
  <c r="Q1835" i="1"/>
  <c r="N1836" i="1"/>
  <c r="O1880" i="1"/>
  <c r="K1880" i="1"/>
  <c r="N1879" i="1"/>
  <c r="Q1878" i="1"/>
  <c r="M1878" i="1"/>
  <c r="N1880" i="1"/>
  <c r="Q1879" i="1"/>
  <c r="M1879" i="1"/>
  <c r="P1878" i="1"/>
  <c r="L1878" i="1"/>
  <c r="K1879" i="1"/>
  <c r="L1880" i="1"/>
  <c r="K1967" i="1"/>
  <c r="K2055" i="1"/>
  <c r="K2080" i="1"/>
  <c r="S2076" i="1" s="1"/>
  <c r="K2078" i="1"/>
  <c r="L2079" i="1"/>
  <c r="K2079" i="1"/>
  <c r="L2078" i="1"/>
  <c r="Q2104" i="1"/>
  <c r="M2104" i="1"/>
  <c r="Q2103" i="1"/>
  <c r="M2103" i="1"/>
  <c r="Q2102" i="1"/>
  <c r="M2102" i="1"/>
  <c r="O2104" i="1"/>
  <c r="K2104" i="1"/>
  <c r="O2103" i="1"/>
  <c r="K2103" i="1"/>
  <c r="O2102" i="1"/>
  <c r="K2102" i="1"/>
  <c r="P2104" i="1"/>
  <c r="P2103" i="1"/>
  <c r="P2102" i="1"/>
  <c r="N2104" i="1"/>
  <c r="N2103" i="1"/>
  <c r="N2102" i="1"/>
  <c r="L2104" i="1"/>
  <c r="L2103" i="1"/>
  <c r="L2102" i="1"/>
  <c r="K2167" i="1"/>
  <c r="L2168" i="1"/>
  <c r="L2166" i="1"/>
  <c r="K2168" i="1"/>
  <c r="K2166" i="1"/>
  <c r="L2167" i="1"/>
  <c r="L1660" i="1"/>
  <c r="L1699" i="1"/>
  <c r="N1700" i="1"/>
  <c r="L1748" i="1"/>
  <c r="N1786" i="1"/>
  <c r="N1788" i="1"/>
  <c r="O1835" i="1"/>
  <c r="L2056" i="1"/>
  <c r="N1646" i="1"/>
  <c r="N1647" i="1"/>
  <c r="N1650" i="1"/>
  <c r="M1651" i="1"/>
  <c r="K1654" i="1"/>
  <c r="O1654" i="1"/>
  <c r="M1655" i="1"/>
  <c r="K1656" i="1"/>
  <c r="M1658" i="1"/>
  <c r="Q1658" i="1"/>
  <c r="N1659" i="1"/>
  <c r="K1660" i="1"/>
  <c r="N1662" i="1"/>
  <c r="R1662" i="1"/>
  <c r="N1663" i="1"/>
  <c r="R1663" i="1"/>
  <c r="N1664" i="1"/>
  <c r="L1666" i="1"/>
  <c r="P1666" i="1"/>
  <c r="K1667" i="1"/>
  <c r="O1667" i="1"/>
  <c r="S1667" i="1"/>
  <c r="N1668" i="1"/>
  <c r="L1682" i="1"/>
  <c r="K1687" i="1"/>
  <c r="L1690" i="1"/>
  <c r="L1691" i="1"/>
  <c r="L1694" i="1"/>
  <c r="K1695" i="1"/>
  <c r="O1695" i="1"/>
  <c r="M1698" i="1"/>
  <c r="K1699" i="1"/>
  <c r="O1699" i="1"/>
  <c r="K1702" i="1"/>
  <c r="O1702" i="1"/>
  <c r="L1703" i="1"/>
  <c r="P1703" i="1"/>
  <c r="M1704" i="1"/>
  <c r="N1710" i="1"/>
  <c r="R1710" i="1"/>
  <c r="M1711" i="1"/>
  <c r="Q1711" i="1"/>
  <c r="L1712" i="1"/>
  <c r="L1730" i="1"/>
  <c r="N1734" i="1"/>
  <c r="N1735" i="1"/>
  <c r="N1738" i="1"/>
  <c r="M1739" i="1"/>
  <c r="K1742" i="1"/>
  <c r="O1742" i="1"/>
  <c r="M1743" i="1"/>
  <c r="K1744" i="1"/>
  <c r="M1746" i="1"/>
  <c r="Q1746" i="1"/>
  <c r="N1747" i="1"/>
  <c r="K1748" i="1"/>
  <c r="N1750" i="1"/>
  <c r="R1750" i="1"/>
  <c r="N1751" i="1"/>
  <c r="R1751" i="1"/>
  <c r="N1752" i="1"/>
  <c r="L1754" i="1"/>
  <c r="P1754" i="1"/>
  <c r="K1755" i="1"/>
  <c r="O1755" i="1"/>
  <c r="S1755" i="1"/>
  <c r="N1756" i="1"/>
  <c r="L1770" i="1"/>
  <c r="K1775" i="1"/>
  <c r="L1778" i="1"/>
  <c r="L1779" i="1"/>
  <c r="L1782" i="1"/>
  <c r="K1783" i="1"/>
  <c r="O1783" i="1"/>
  <c r="M1786" i="1"/>
  <c r="K1787" i="1"/>
  <c r="O1787" i="1"/>
  <c r="K1790" i="1"/>
  <c r="O1790" i="1"/>
  <c r="L1791" i="1"/>
  <c r="P1791" i="1"/>
  <c r="M1792" i="1"/>
  <c r="L1794" i="1"/>
  <c r="P1794" i="1"/>
  <c r="L1795" i="1"/>
  <c r="P1795" i="1"/>
  <c r="L1796" i="1"/>
  <c r="N1798" i="1"/>
  <c r="R1798" i="1"/>
  <c r="M1799" i="1"/>
  <c r="Q1799" i="1"/>
  <c r="L1800" i="1"/>
  <c r="L1818" i="1"/>
  <c r="N1822" i="1"/>
  <c r="N1823" i="1"/>
  <c r="N1826" i="1"/>
  <c r="M1827" i="1"/>
  <c r="K1830" i="1"/>
  <c r="O1830" i="1"/>
  <c r="M1831" i="1"/>
  <c r="K1832" i="1"/>
  <c r="M1834" i="1"/>
  <c r="Q1834" i="1"/>
  <c r="N1835" i="1"/>
  <c r="K1836" i="1"/>
  <c r="N1838" i="1"/>
  <c r="R1838" i="1"/>
  <c r="N1839" i="1"/>
  <c r="R1839" i="1"/>
  <c r="N1840" i="1"/>
  <c r="L1842" i="1"/>
  <c r="P1842" i="1"/>
  <c r="K1843" i="1"/>
  <c r="O1843" i="1"/>
  <c r="S1843" i="1"/>
  <c r="N1844" i="1"/>
  <c r="L1858" i="1"/>
  <c r="K1863" i="1"/>
  <c r="L1866" i="1"/>
  <c r="L1867" i="1"/>
  <c r="K1878" i="1"/>
  <c r="L1879" i="1"/>
  <c r="M1880" i="1"/>
  <c r="L1919" i="1"/>
  <c r="O1967" i="1"/>
  <c r="L2007" i="1"/>
  <c r="O2055" i="1"/>
  <c r="L2080" i="1"/>
  <c r="Q2076" i="1" s="1"/>
  <c r="R2102" i="1"/>
  <c r="N1886" i="1"/>
  <c r="R1886" i="1"/>
  <c r="M1887" i="1"/>
  <c r="Q1887" i="1"/>
  <c r="L1888" i="1"/>
  <c r="P1888" i="1"/>
  <c r="L1903" i="1"/>
  <c r="N1910" i="1"/>
  <c r="N1911" i="1"/>
  <c r="N1912" i="1"/>
  <c r="N1914" i="1"/>
  <c r="M1915" i="1"/>
  <c r="L1916" i="1"/>
  <c r="M1922" i="1"/>
  <c r="Q1922" i="1"/>
  <c r="N1923" i="1"/>
  <c r="K1924" i="1"/>
  <c r="O1924" i="1"/>
  <c r="N1926" i="1"/>
  <c r="R1926" i="1"/>
  <c r="N1927" i="1"/>
  <c r="R1927" i="1"/>
  <c r="N1928" i="1"/>
  <c r="R1928" i="1"/>
  <c r="L1930" i="1"/>
  <c r="P1930" i="1"/>
  <c r="K1931" i="1"/>
  <c r="O1931" i="1"/>
  <c r="S1931" i="1"/>
  <c r="N1932" i="1"/>
  <c r="R1932" i="1"/>
  <c r="O1944" i="1"/>
  <c r="L1946" i="1"/>
  <c r="L1948" i="1"/>
  <c r="K1951" i="1"/>
  <c r="L1952" i="1"/>
  <c r="L1954" i="1"/>
  <c r="L1955" i="1"/>
  <c r="L1956" i="1"/>
  <c r="M1962" i="1"/>
  <c r="K1963" i="1"/>
  <c r="O1963" i="1"/>
  <c r="M1964" i="1"/>
  <c r="N1974" i="1"/>
  <c r="R1974" i="1"/>
  <c r="M1975" i="1"/>
  <c r="Q1975" i="1"/>
  <c r="L1976" i="1"/>
  <c r="P1976" i="1"/>
  <c r="L1991" i="1"/>
  <c r="N1998" i="1"/>
  <c r="N1999" i="1"/>
  <c r="N2000" i="1"/>
  <c r="N2002" i="1"/>
  <c r="M2003" i="1"/>
  <c r="L2004" i="1"/>
  <c r="M2010" i="1"/>
  <c r="Q2010" i="1"/>
  <c r="N2011" i="1"/>
  <c r="K2012" i="1"/>
  <c r="O2012" i="1"/>
  <c r="N2014" i="1"/>
  <c r="R2014" i="1"/>
  <c r="N2015" i="1"/>
  <c r="R2015" i="1"/>
  <c r="N2016" i="1"/>
  <c r="L2018" i="1"/>
  <c r="P2018" i="1"/>
  <c r="K2019" i="1"/>
  <c r="O2019" i="1"/>
  <c r="S2019" i="1"/>
  <c r="N2020" i="1"/>
  <c r="R2020" i="1"/>
  <c r="O2032" i="1"/>
  <c r="L2034" i="1"/>
  <c r="L2036" i="1"/>
  <c r="Q2032" i="1" s="1"/>
  <c r="K2039" i="1"/>
  <c r="L2040" i="1"/>
  <c r="L2042" i="1"/>
  <c r="L2043" i="1"/>
  <c r="L2044" i="1"/>
  <c r="M2050" i="1"/>
  <c r="K2051" i="1"/>
  <c r="O2051" i="1"/>
  <c r="M2052" i="1"/>
  <c r="N2062" i="1"/>
  <c r="R2062" i="1"/>
  <c r="M2063" i="1"/>
  <c r="Q2063" i="1"/>
  <c r="L2064" i="1"/>
  <c r="P2064" i="1"/>
  <c r="S2073" i="1"/>
  <c r="K2083" i="1"/>
  <c r="K2088" i="1"/>
  <c r="K2087" i="1"/>
  <c r="K2086" i="1"/>
  <c r="L2087" i="1"/>
  <c r="M2088" i="1"/>
  <c r="N2090" i="1"/>
  <c r="K2128" i="1"/>
  <c r="M2126" i="1"/>
  <c r="M2127" i="1"/>
  <c r="L2126" i="1"/>
  <c r="M2128" i="1"/>
  <c r="L2127" i="1"/>
  <c r="K2126" i="1"/>
  <c r="F2192" i="1"/>
  <c r="D2191" i="1"/>
  <c r="S2208" i="1"/>
  <c r="K2211" i="1"/>
  <c r="L2211" i="1"/>
  <c r="L2210" i="1"/>
  <c r="L2212" i="1"/>
  <c r="K2210" i="1"/>
  <c r="G2412" i="1"/>
  <c r="F2412" i="1"/>
  <c r="N1874" i="1"/>
  <c r="L1875" i="1"/>
  <c r="P1875" i="1"/>
  <c r="N1876" i="1"/>
  <c r="M1882" i="1"/>
  <c r="Q1882" i="1"/>
  <c r="M1883" i="1"/>
  <c r="Q1883" i="1"/>
  <c r="M1884" i="1"/>
  <c r="Q1884" i="1"/>
  <c r="K1886" i="1"/>
  <c r="O1886" i="1"/>
  <c r="S1886" i="1"/>
  <c r="N1887" i="1"/>
  <c r="R1887" i="1"/>
  <c r="M1888" i="1"/>
  <c r="Q1888" i="1"/>
  <c r="K1902" i="1"/>
  <c r="K1904" i="1"/>
  <c r="K1910" i="1"/>
  <c r="K1911" i="1"/>
  <c r="K1912" i="1"/>
  <c r="N1922" i="1"/>
  <c r="K1923" i="1"/>
  <c r="O1923" i="1"/>
  <c r="L1924" i="1"/>
  <c r="P1924" i="1"/>
  <c r="O1926" i="1"/>
  <c r="K1927" i="1"/>
  <c r="O1927" i="1"/>
  <c r="K1928" i="1"/>
  <c r="O1928" i="1"/>
  <c r="M1930" i="1"/>
  <c r="Q1930" i="1"/>
  <c r="L1931" i="1"/>
  <c r="P1931" i="1"/>
  <c r="K1932" i="1"/>
  <c r="O1932" i="1"/>
  <c r="S1932" i="1"/>
  <c r="N1962" i="1"/>
  <c r="L1963" i="1"/>
  <c r="P1963" i="1"/>
  <c r="N1964" i="1"/>
  <c r="N2010" i="1"/>
  <c r="K2011" i="1"/>
  <c r="O2011" i="1"/>
  <c r="L2012" i="1"/>
  <c r="P2012" i="1"/>
  <c r="N2050" i="1"/>
  <c r="L2051" i="1"/>
  <c r="P2051" i="1"/>
  <c r="N2052" i="1"/>
  <c r="J2075" i="1"/>
  <c r="K2084" i="1"/>
  <c r="M2082" i="1"/>
  <c r="L2083" i="1"/>
  <c r="O2092" i="1"/>
  <c r="M2092" i="1"/>
  <c r="N2091" i="1"/>
  <c r="O2090" i="1"/>
  <c r="K2090" i="1"/>
  <c r="K2091" i="1"/>
  <c r="K2092" i="1"/>
  <c r="J2120" i="1"/>
  <c r="J2119" i="1"/>
  <c r="J2118" i="1"/>
  <c r="S2117" i="1"/>
  <c r="Q2192" i="1"/>
  <c r="M2192" i="1"/>
  <c r="Q2191" i="1"/>
  <c r="M2191" i="1"/>
  <c r="Q2190" i="1"/>
  <c r="M2190" i="1"/>
  <c r="P2192" i="1"/>
  <c r="L2192" i="1"/>
  <c r="P2191" i="1"/>
  <c r="L2191" i="1"/>
  <c r="P2190" i="1"/>
  <c r="L2190" i="1"/>
  <c r="O2192" i="1"/>
  <c r="K2192" i="1"/>
  <c r="O2191" i="1"/>
  <c r="K2191" i="1"/>
  <c r="O2190" i="1"/>
  <c r="K2190" i="1"/>
  <c r="R2191" i="1"/>
  <c r="K2256" i="1"/>
  <c r="K2254" i="1"/>
  <c r="K2255" i="1"/>
  <c r="L2256" i="1"/>
  <c r="L2255" i="1"/>
  <c r="L2254" i="1"/>
  <c r="N1870" i="1"/>
  <c r="M1871" i="1"/>
  <c r="K1874" i="1"/>
  <c r="O1874" i="1"/>
  <c r="M1875" i="1"/>
  <c r="K1876" i="1"/>
  <c r="N1882" i="1"/>
  <c r="R1882" i="1"/>
  <c r="N1883" i="1"/>
  <c r="R1883" i="1"/>
  <c r="N1884" i="1"/>
  <c r="L1886" i="1"/>
  <c r="P1886" i="1"/>
  <c r="K1887" i="1"/>
  <c r="O1887" i="1"/>
  <c r="S1887" i="1"/>
  <c r="N1888" i="1"/>
  <c r="L1902" i="1"/>
  <c r="K1907" i="1"/>
  <c r="L1910" i="1"/>
  <c r="L1911" i="1"/>
  <c r="L1914" i="1"/>
  <c r="K1915" i="1"/>
  <c r="O1915" i="1"/>
  <c r="K1922" i="1"/>
  <c r="O1922" i="1"/>
  <c r="L1923" i="1"/>
  <c r="P1923" i="1"/>
  <c r="M1924" i="1"/>
  <c r="N1930" i="1"/>
  <c r="R1930" i="1"/>
  <c r="M1931" i="1"/>
  <c r="Q1931" i="1"/>
  <c r="L1932" i="1"/>
  <c r="L1950" i="1"/>
  <c r="N1954" i="1"/>
  <c r="N1955" i="1"/>
  <c r="N1958" i="1"/>
  <c r="M1959" i="1"/>
  <c r="K1962" i="1"/>
  <c r="O1962" i="1"/>
  <c r="M1963" i="1"/>
  <c r="K1964" i="1"/>
  <c r="N1970" i="1"/>
  <c r="R1970" i="1"/>
  <c r="N1971" i="1"/>
  <c r="R1971" i="1"/>
  <c r="N1972" i="1"/>
  <c r="L1974" i="1"/>
  <c r="P1974" i="1"/>
  <c r="K1975" i="1"/>
  <c r="O1975" i="1"/>
  <c r="S1975" i="1"/>
  <c r="N1976" i="1"/>
  <c r="L1990" i="1"/>
  <c r="K1995" i="1"/>
  <c r="L1998" i="1"/>
  <c r="L1999" i="1"/>
  <c r="L2002" i="1"/>
  <c r="K2003" i="1"/>
  <c r="O2003" i="1"/>
  <c r="K2010" i="1"/>
  <c r="O2010" i="1"/>
  <c r="L2011" i="1"/>
  <c r="P2011" i="1"/>
  <c r="M2012" i="1"/>
  <c r="N2018" i="1"/>
  <c r="R2018" i="1"/>
  <c r="M2019" i="1"/>
  <c r="Q2019" i="1"/>
  <c r="L2020" i="1"/>
  <c r="L2038" i="1"/>
  <c r="N2042" i="1"/>
  <c r="N2043" i="1"/>
  <c r="N2046" i="1"/>
  <c r="M2047" i="1"/>
  <c r="K2050" i="1"/>
  <c r="O2050" i="1"/>
  <c r="M2051" i="1"/>
  <c r="K2052" i="1"/>
  <c r="N2058" i="1"/>
  <c r="R2058" i="1"/>
  <c r="N2059" i="1"/>
  <c r="R2059" i="1"/>
  <c r="N2060" i="1"/>
  <c r="L2062" i="1"/>
  <c r="P2062" i="1"/>
  <c r="K2063" i="1"/>
  <c r="O2063" i="1"/>
  <c r="S2063" i="1"/>
  <c r="N2064" i="1"/>
  <c r="K2082" i="1"/>
  <c r="M2083" i="1"/>
  <c r="M2086" i="1"/>
  <c r="N2087" i="1"/>
  <c r="L2090" i="1"/>
  <c r="L2091" i="1"/>
  <c r="L2092" i="1"/>
  <c r="L2128" i="1"/>
  <c r="M2176" i="1"/>
  <c r="M2175" i="1"/>
  <c r="M2174" i="1"/>
  <c r="L2176" i="1"/>
  <c r="L2175" i="1"/>
  <c r="L2174" i="1"/>
  <c r="K2176" i="1"/>
  <c r="K2175" i="1"/>
  <c r="K2174" i="1"/>
  <c r="O2180" i="1"/>
  <c r="K2180" i="1"/>
  <c r="L2179" i="1"/>
  <c r="M2178" i="1"/>
  <c r="N2180" i="1"/>
  <c r="O2179" i="1"/>
  <c r="K2179" i="1"/>
  <c r="L2178" i="1"/>
  <c r="M2180" i="1"/>
  <c r="N2179" i="1"/>
  <c r="O2178" i="1"/>
  <c r="K2178" i="1"/>
  <c r="N2190" i="1"/>
  <c r="N2192" i="1"/>
  <c r="L2094" i="1"/>
  <c r="P2094" i="1"/>
  <c r="N2095" i="1"/>
  <c r="L2096" i="1"/>
  <c r="P2096" i="1"/>
  <c r="N2098" i="1"/>
  <c r="K2099" i="1"/>
  <c r="O2099" i="1"/>
  <c r="L2100" i="1"/>
  <c r="M2106" i="1"/>
  <c r="Q2106" i="1"/>
  <c r="L2107" i="1"/>
  <c r="P2107" i="1"/>
  <c r="K2108" i="1"/>
  <c r="O2108" i="1"/>
  <c r="S2108" i="1"/>
  <c r="K2123" i="1"/>
  <c r="M2130" i="1"/>
  <c r="M2131" i="1"/>
  <c r="M2132" i="1"/>
  <c r="M2134" i="1"/>
  <c r="L2135" i="1"/>
  <c r="K2136" i="1"/>
  <c r="O2136" i="1"/>
  <c r="N2138" i="1"/>
  <c r="L2139" i="1"/>
  <c r="P2139" i="1"/>
  <c r="L2142" i="1"/>
  <c r="P2142" i="1"/>
  <c r="M2143" i="1"/>
  <c r="Q2143" i="1"/>
  <c r="N2144" i="1"/>
  <c r="M2146" i="1"/>
  <c r="Q2146" i="1"/>
  <c r="M2147" i="1"/>
  <c r="Q2147" i="1"/>
  <c r="M2148" i="1"/>
  <c r="Q2148" i="1"/>
  <c r="F2148" i="1"/>
  <c r="J2164" i="1"/>
  <c r="M2170" i="1"/>
  <c r="K2172" i="1"/>
  <c r="L2182" i="1"/>
  <c r="P2182" i="1"/>
  <c r="N2183" i="1"/>
  <c r="L2184" i="1"/>
  <c r="P2184" i="1"/>
  <c r="N2186" i="1"/>
  <c r="K2187" i="1"/>
  <c r="O2187" i="1"/>
  <c r="L2188" i="1"/>
  <c r="M2194" i="1"/>
  <c r="Q2194" i="1"/>
  <c r="L2195" i="1"/>
  <c r="P2195" i="1"/>
  <c r="K2196" i="1"/>
  <c r="O2196" i="1"/>
  <c r="S2196" i="1"/>
  <c r="M2216" i="1"/>
  <c r="L2215" i="1"/>
  <c r="K2214" i="1"/>
  <c r="M2215" i="1"/>
  <c r="L2218" i="1"/>
  <c r="N2219" i="1"/>
  <c r="O2224" i="1"/>
  <c r="K2224" i="1"/>
  <c r="L2223" i="1"/>
  <c r="M2222" i="1"/>
  <c r="O2222" i="1"/>
  <c r="O2223" i="1"/>
  <c r="Q2236" i="1"/>
  <c r="M2236" i="1"/>
  <c r="Q2235" i="1"/>
  <c r="M2235" i="1"/>
  <c r="Q2234" i="1"/>
  <c r="M2234" i="1"/>
  <c r="O2236" i="1"/>
  <c r="K2236" i="1"/>
  <c r="O2235" i="1"/>
  <c r="K2235" i="1"/>
  <c r="O2234" i="1"/>
  <c r="K2234" i="1"/>
  <c r="R2234" i="1"/>
  <c r="R2235" i="1"/>
  <c r="R2236" i="1"/>
  <c r="P2238" i="1"/>
  <c r="O2239" i="1"/>
  <c r="R2282" i="1"/>
  <c r="P2284" i="1"/>
  <c r="N2307" i="1"/>
  <c r="M2311" i="1"/>
  <c r="R2322" i="1"/>
  <c r="R2324" i="1"/>
  <c r="G2324" i="1"/>
  <c r="N2106" i="1"/>
  <c r="R2106" i="1"/>
  <c r="M2107" i="1"/>
  <c r="Q2107" i="1"/>
  <c r="L2108" i="1"/>
  <c r="P2108" i="1"/>
  <c r="L2123" i="1"/>
  <c r="N2130" i="1"/>
  <c r="N2131" i="1"/>
  <c r="N2132" i="1"/>
  <c r="N2134" i="1"/>
  <c r="M2135" i="1"/>
  <c r="M2142" i="1"/>
  <c r="Q2142" i="1"/>
  <c r="N2143" i="1"/>
  <c r="K2144" i="1"/>
  <c r="O2144" i="1"/>
  <c r="N2146" i="1"/>
  <c r="R2146" i="1"/>
  <c r="N2147" i="1"/>
  <c r="R2147" i="1"/>
  <c r="N2148" i="1"/>
  <c r="K2171" i="1"/>
  <c r="M2182" i="1"/>
  <c r="K2183" i="1"/>
  <c r="O2183" i="1"/>
  <c r="M2184" i="1"/>
  <c r="N2194" i="1"/>
  <c r="R2194" i="1"/>
  <c r="M2195" i="1"/>
  <c r="Q2195" i="1"/>
  <c r="L2196" i="1"/>
  <c r="J2206" i="1"/>
  <c r="S2205" i="1"/>
  <c r="N2218" i="1"/>
  <c r="Q2240" i="1"/>
  <c r="M2240" i="1"/>
  <c r="R2239" i="1"/>
  <c r="N2239" i="1"/>
  <c r="S2238" i="1"/>
  <c r="O2238" i="1"/>
  <c r="K2238" i="1"/>
  <c r="S2240" i="1"/>
  <c r="O2240" i="1"/>
  <c r="K2240" i="1"/>
  <c r="P2239" i="1"/>
  <c r="L2239" i="1"/>
  <c r="Q2238" i="1"/>
  <c r="M2238" i="1"/>
  <c r="R2238" i="1"/>
  <c r="Q2239" i="1"/>
  <c r="P2240" i="1"/>
  <c r="J2252" i="1"/>
  <c r="J2250" i="1"/>
  <c r="S2249" i="1"/>
  <c r="O2252" i="1"/>
  <c r="J2340" i="1"/>
  <c r="J2339" i="1"/>
  <c r="J2338" i="1"/>
  <c r="S2337" i="1"/>
  <c r="K2348" i="1"/>
  <c r="M2346" i="1"/>
  <c r="M2347" i="1"/>
  <c r="L2346" i="1"/>
  <c r="M2348" i="1"/>
  <c r="L2347" i="1"/>
  <c r="K2346" i="1"/>
  <c r="N2094" i="1"/>
  <c r="L2095" i="1"/>
  <c r="P2095" i="1"/>
  <c r="K2106" i="1"/>
  <c r="O2106" i="1"/>
  <c r="S2106" i="1"/>
  <c r="N2107" i="1"/>
  <c r="R2107" i="1"/>
  <c r="M2108" i="1"/>
  <c r="K2122" i="1"/>
  <c r="K2130" i="1"/>
  <c r="K2131" i="1"/>
  <c r="N2142" i="1"/>
  <c r="K2143" i="1"/>
  <c r="O2143" i="1"/>
  <c r="L2144" i="1"/>
  <c r="N2182" i="1"/>
  <c r="L2183" i="1"/>
  <c r="P2183" i="1"/>
  <c r="M2220" i="1"/>
  <c r="M2219" i="1"/>
  <c r="M2218" i="1"/>
  <c r="K2219" i="1"/>
  <c r="L2220" i="1"/>
  <c r="K2260" i="1"/>
  <c r="M2258" i="1"/>
  <c r="M2259" i="1"/>
  <c r="L2258" i="1"/>
  <c r="M2260" i="1"/>
  <c r="L2259" i="1"/>
  <c r="K2258" i="1"/>
  <c r="S2284" i="1"/>
  <c r="O2284" i="1"/>
  <c r="K2284" i="1"/>
  <c r="P2283" i="1"/>
  <c r="L2283" i="1"/>
  <c r="Q2282" i="1"/>
  <c r="M2282" i="1"/>
  <c r="R2284" i="1"/>
  <c r="N2284" i="1"/>
  <c r="S2283" i="1"/>
  <c r="O2283" i="1"/>
  <c r="K2283" i="1"/>
  <c r="P2282" i="1"/>
  <c r="L2282" i="1"/>
  <c r="Q2284" i="1"/>
  <c r="M2284" i="1"/>
  <c r="R2283" i="1"/>
  <c r="N2283" i="1"/>
  <c r="S2282" i="1"/>
  <c r="O2282" i="1"/>
  <c r="K2282" i="1"/>
  <c r="Q2283" i="1"/>
  <c r="K2299" i="1"/>
  <c r="L2300" i="1"/>
  <c r="L2298" i="1"/>
  <c r="K2300" i="1"/>
  <c r="K2298" i="1"/>
  <c r="M2308" i="1"/>
  <c r="M2307" i="1"/>
  <c r="M2306" i="1"/>
  <c r="L2308" i="1"/>
  <c r="L2307" i="1"/>
  <c r="L2306" i="1"/>
  <c r="K2308" i="1"/>
  <c r="K2307" i="1"/>
  <c r="K2306" i="1"/>
  <c r="O2312" i="1"/>
  <c r="K2312" i="1"/>
  <c r="L2311" i="1"/>
  <c r="M2310" i="1"/>
  <c r="N2312" i="1"/>
  <c r="O2311" i="1"/>
  <c r="K2311" i="1"/>
  <c r="L2310" i="1"/>
  <c r="M2312" i="1"/>
  <c r="N2311" i="1"/>
  <c r="O2310" i="1"/>
  <c r="K2310" i="1"/>
  <c r="Q2324" i="1"/>
  <c r="M2324" i="1"/>
  <c r="Q2323" i="1"/>
  <c r="M2323" i="1"/>
  <c r="Q2322" i="1"/>
  <c r="M2322" i="1"/>
  <c r="P2324" i="1"/>
  <c r="L2324" i="1"/>
  <c r="P2323" i="1"/>
  <c r="L2323" i="1"/>
  <c r="P2322" i="1"/>
  <c r="L2322" i="1"/>
  <c r="O2324" i="1"/>
  <c r="K2324" i="1"/>
  <c r="O2323" i="1"/>
  <c r="K2323" i="1"/>
  <c r="O2322" i="1"/>
  <c r="K2322" i="1"/>
  <c r="R2323" i="1"/>
  <c r="K2347" i="1"/>
  <c r="D2367" i="1"/>
  <c r="F2368" i="1"/>
  <c r="K2480" i="1"/>
  <c r="M2478" i="1"/>
  <c r="M2480" i="1"/>
  <c r="K2479" i="1"/>
  <c r="L2480" i="1"/>
  <c r="L2478" i="1"/>
  <c r="M2479" i="1"/>
  <c r="K2478" i="1"/>
  <c r="L2479" i="1"/>
  <c r="N2230" i="1"/>
  <c r="K2231" i="1"/>
  <c r="O2231" i="1"/>
  <c r="L2232" i="1"/>
  <c r="P2232" i="1"/>
  <c r="M2262" i="1"/>
  <c r="M2263" i="1"/>
  <c r="M2264" i="1"/>
  <c r="M2266" i="1"/>
  <c r="L2267" i="1"/>
  <c r="K2268" i="1"/>
  <c r="O2268" i="1"/>
  <c r="N2270" i="1"/>
  <c r="L2271" i="1"/>
  <c r="P2271" i="1"/>
  <c r="N2272" i="1"/>
  <c r="M2278" i="1"/>
  <c r="Q2278" i="1"/>
  <c r="M2279" i="1"/>
  <c r="Q2279" i="1"/>
  <c r="M2280" i="1"/>
  <c r="Q2280" i="1"/>
  <c r="F2280" i="1"/>
  <c r="J2296" i="1"/>
  <c r="M2302" i="1"/>
  <c r="K2304" i="1"/>
  <c r="N2318" i="1"/>
  <c r="K2319" i="1"/>
  <c r="O2319" i="1"/>
  <c r="L2320" i="1"/>
  <c r="P2320" i="1"/>
  <c r="M2326" i="1"/>
  <c r="Q2326" i="1"/>
  <c r="L2327" i="1"/>
  <c r="P2327" i="1"/>
  <c r="K2328" i="1"/>
  <c r="O2328" i="1"/>
  <c r="S2328" i="1"/>
  <c r="N2358" i="1"/>
  <c r="L2359" i="1"/>
  <c r="P2359" i="1"/>
  <c r="N2360" i="1"/>
  <c r="D2368" i="1"/>
  <c r="D2370" i="1"/>
  <c r="D2372" i="1"/>
  <c r="D2373" i="1"/>
  <c r="D2375" i="1"/>
  <c r="J2383" i="1"/>
  <c r="J2382" i="1"/>
  <c r="S2381" i="1"/>
  <c r="O2384" i="1"/>
  <c r="M2391" i="1"/>
  <c r="L2390" i="1"/>
  <c r="M2392" i="1"/>
  <c r="L2391" i="1"/>
  <c r="K2390" i="1"/>
  <c r="L2392" i="1"/>
  <c r="O2408" i="1"/>
  <c r="K2408" i="1"/>
  <c r="N2407" i="1"/>
  <c r="Q2406" i="1"/>
  <c r="M2406" i="1"/>
  <c r="N2408" i="1"/>
  <c r="Q2407" i="1"/>
  <c r="M2407" i="1"/>
  <c r="P2406" i="1"/>
  <c r="L2406" i="1"/>
  <c r="Q2408" i="1"/>
  <c r="M2408" i="1"/>
  <c r="P2407" i="1"/>
  <c r="L2407" i="1"/>
  <c r="O2406" i="1"/>
  <c r="K2406" i="1"/>
  <c r="L2408" i="1"/>
  <c r="D2410" i="1"/>
  <c r="D2415" i="1"/>
  <c r="J2472" i="1"/>
  <c r="S2469" i="1"/>
  <c r="O2472" i="1"/>
  <c r="J2470" i="1"/>
  <c r="S2504" i="1"/>
  <c r="O2504" i="1"/>
  <c r="K2504" i="1"/>
  <c r="P2503" i="1"/>
  <c r="L2503" i="1"/>
  <c r="Q2502" i="1"/>
  <c r="M2502" i="1"/>
  <c r="Q2504" i="1"/>
  <c r="L2504" i="1"/>
  <c r="O2503" i="1"/>
  <c r="S2502" i="1"/>
  <c r="N2502" i="1"/>
  <c r="P2504" i="1"/>
  <c r="S2503" i="1"/>
  <c r="N2503" i="1"/>
  <c r="R2502" i="1"/>
  <c r="L2502" i="1"/>
  <c r="N2504" i="1"/>
  <c r="R2503" i="1"/>
  <c r="M2503" i="1"/>
  <c r="P2502" i="1"/>
  <c r="K2502" i="1"/>
  <c r="M2504" i="1"/>
  <c r="O2540" i="1"/>
  <c r="K2540" i="1"/>
  <c r="N2539" i="1"/>
  <c r="N2540" i="1"/>
  <c r="Q2539" i="1"/>
  <c r="M2539" i="1"/>
  <c r="P2538" i="1"/>
  <c r="L2538" i="1"/>
  <c r="L2540" i="1"/>
  <c r="K2539" i="1"/>
  <c r="M2538" i="1"/>
  <c r="Q2540" i="1"/>
  <c r="P2539" i="1"/>
  <c r="Q2538" i="1"/>
  <c r="K2538" i="1"/>
  <c r="L2539" i="1"/>
  <c r="P2540" i="1"/>
  <c r="O2538" i="1"/>
  <c r="M2540" i="1"/>
  <c r="N2538" i="1"/>
  <c r="N2262" i="1"/>
  <c r="N2263" i="1"/>
  <c r="N2264" i="1"/>
  <c r="N2266" i="1"/>
  <c r="M2267" i="1"/>
  <c r="L2268" i="1"/>
  <c r="N2278" i="1"/>
  <c r="R2278" i="1"/>
  <c r="N2279" i="1"/>
  <c r="R2279" i="1"/>
  <c r="N2280" i="1"/>
  <c r="R2280" i="1"/>
  <c r="O2296" i="1"/>
  <c r="K2303" i="1"/>
  <c r="L2304" i="1"/>
  <c r="M2320" i="1"/>
  <c r="Q2320" i="1"/>
  <c r="N2326" i="1"/>
  <c r="R2326" i="1"/>
  <c r="M2327" i="1"/>
  <c r="Q2327" i="1"/>
  <c r="L2328" i="1"/>
  <c r="P2328" i="1"/>
  <c r="L2343" i="1"/>
  <c r="N2350" i="1"/>
  <c r="N2351" i="1"/>
  <c r="N2352" i="1"/>
  <c r="N2354" i="1"/>
  <c r="M2355" i="1"/>
  <c r="L2356" i="1"/>
  <c r="K2358" i="1"/>
  <c r="O2358" i="1"/>
  <c r="M2359" i="1"/>
  <c r="K2360" i="1"/>
  <c r="O2360" i="1"/>
  <c r="P2368" i="1"/>
  <c r="L2368" i="1"/>
  <c r="P2367" i="1"/>
  <c r="L2367" i="1"/>
  <c r="P2366" i="1"/>
  <c r="L2366" i="1"/>
  <c r="O2368" i="1"/>
  <c r="K2368" i="1"/>
  <c r="O2367" i="1"/>
  <c r="K2367" i="1"/>
  <c r="O2366" i="1"/>
  <c r="K2366" i="1"/>
  <c r="R2366" i="1"/>
  <c r="R2367" i="1"/>
  <c r="R2368" i="1"/>
  <c r="M2390" i="1"/>
  <c r="N2406" i="1"/>
  <c r="P2408" i="1"/>
  <c r="M2488" i="1"/>
  <c r="N2487" i="1"/>
  <c r="O2486" i="1"/>
  <c r="K2486" i="1"/>
  <c r="O2488" i="1"/>
  <c r="O2487" i="1"/>
  <c r="N2486" i="1"/>
  <c r="N2488" i="1"/>
  <c r="M2487" i="1"/>
  <c r="M2486" i="1"/>
  <c r="L2488" i="1"/>
  <c r="L2487" i="1"/>
  <c r="L2486" i="1"/>
  <c r="F2500" i="1"/>
  <c r="O2502" i="1"/>
  <c r="R2504" i="1"/>
  <c r="O2539" i="1"/>
  <c r="N2226" i="1"/>
  <c r="L2227" i="1"/>
  <c r="P2227" i="1"/>
  <c r="L2230" i="1"/>
  <c r="P2230" i="1"/>
  <c r="M2231" i="1"/>
  <c r="Q2231" i="1"/>
  <c r="K2262" i="1"/>
  <c r="K2263" i="1"/>
  <c r="K2266" i="1"/>
  <c r="O2266" i="1"/>
  <c r="N2267" i="1"/>
  <c r="L2270" i="1"/>
  <c r="P2270" i="1"/>
  <c r="N2271" i="1"/>
  <c r="L2272" i="1"/>
  <c r="N2274" i="1"/>
  <c r="K2275" i="1"/>
  <c r="O2275" i="1"/>
  <c r="L2276" i="1"/>
  <c r="K2278" i="1"/>
  <c r="O2278" i="1"/>
  <c r="K2279" i="1"/>
  <c r="O2279" i="1"/>
  <c r="K2280" i="1"/>
  <c r="S2293" i="1"/>
  <c r="K2302" i="1"/>
  <c r="L2303" i="1"/>
  <c r="N2314" i="1"/>
  <c r="L2315" i="1"/>
  <c r="P2315" i="1"/>
  <c r="L2318" i="1"/>
  <c r="P2318" i="1"/>
  <c r="M2319" i="1"/>
  <c r="Q2319" i="1"/>
  <c r="K2326" i="1"/>
  <c r="O2326" i="1"/>
  <c r="S2326" i="1"/>
  <c r="N2327" i="1"/>
  <c r="R2327" i="1"/>
  <c r="M2328" i="1"/>
  <c r="K2342" i="1"/>
  <c r="K2350" i="1"/>
  <c r="K2351" i="1"/>
  <c r="K2354" i="1"/>
  <c r="O2354" i="1"/>
  <c r="N2355" i="1"/>
  <c r="L2358" i="1"/>
  <c r="P2358" i="1"/>
  <c r="N2359" i="1"/>
  <c r="L2360" i="1"/>
  <c r="M2366" i="1"/>
  <c r="M2367" i="1"/>
  <c r="M2368" i="1"/>
  <c r="K2391" i="1"/>
  <c r="K2407" i="1"/>
  <c r="M2448" i="1"/>
  <c r="O2447" i="1"/>
  <c r="K2447" i="1"/>
  <c r="M2446" i="1"/>
  <c r="P2448" i="1"/>
  <c r="L2448" i="1"/>
  <c r="N2447" i="1"/>
  <c r="P2446" i="1"/>
  <c r="L2446" i="1"/>
  <c r="O2448" i="1"/>
  <c r="K2448" i="1"/>
  <c r="M2447" i="1"/>
  <c r="O2446" i="1"/>
  <c r="K2446" i="1"/>
  <c r="N2448" i="1"/>
  <c r="J2471" i="1"/>
  <c r="K2487" i="1"/>
  <c r="K2503" i="1"/>
  <c r="O2532" i="1"/>
  <c r="K2532" i="1"/>
  <c r="L2531" i="1"/>
  <c r="M2530" i="1"/>
  <c r="N2532" i="1"/>
  <c r="O2531" i="1"/>
  <c r="K2531" i="1"/>
  <c r="L2530" i="1"/>
  <c r="M2532" i="1"/>
  <c r="O2530" i="1"/>
  <c r="L2532" i="1"/>
  <c r="N2530" i="1"/>
  <c r="N2531" i="1"/>
  <c r="K2530" i="1"/>
  <c r="N2414" i="1"/>
  <c r="R2414" i="1"/>
  <c r="M2415" i="1"/>
  <c r="Q2415" i="1"/>
  <c r="L2416" i="1"/>
  <c r="P2416" i="1"/>
  <c r="L2431" i="1"/>
  <c r="N2438" i="1"/>
  <c r="N2439" i="1"/>
  <c r="N2440" i="1"/>
  <c r="N2442" i="1"/>
  <c r="M2443" i="1"/>
  <c r="L2444" i="1"/>
  <c r="Q2456" i="1"/>
  <c r="M2456" i="1"/>
  <c r="Q2455" i="1"/>
  <c r="M2455" i="1"/>
  <c r="Q2454" i="1"/>
  <c r="M2454" i="1"/>
  <c r="O2454" i="1"/>
  <c r="L2455" i="1"/>
  <c r="R2455" i="1"/>
  <c r="O2456" i="1"/>
  <c r="Q2460" i="1"/>
  <c r="M2460" i="1"/>
  <c r="R2459" i="1"/>
  <c r="N2459" i="1"/>
  <c r="S2458" i="1"/>
  <c r="O2458" i="1"/>
  <c r="K2458" i="1"/>
  <c r="P2458" i="1"/>
  <c r="L2459" i="1"/>
  <c r="Q2459" i="1"/>
  <c r="N2460" i="1"/>
  <c r="S2460" i="1"/>
  <c r="D2459" i="1"/>
  <c r="O2500" i="1"/>
  <c r="K2500" i="1"/>
  <c r="O2499" i="1"/>
  <c r="K2499" i="1"/>
  <c r="O2498" i="1"/>
  <c r="K2498" i="1"/>
  <c r="P2498" i="1"/>
  <c r="M2499" i="1"/>
  <c r="R2499" i="1"/>
  <c r="P2500" i="1"/>
  <c r="D2500" i="1"/>
  <c r="D2505" i="1"/>
  <c r="K2520" i="1"/>
  <c r="M2528" i="1"/>
  <c r="M2527" i="1"/>
  <c r="M2526" i="1"/>
  <c r="L2528" i="1"/>
  <c r="L2527" i="1"/>
  <c r="L2526" i="1"/>
  <c r="N2527" i="1"/>
  <c r="N2362" i="1"/>
  <c r="K2363" i="1"/>
  <c r="O2363" i="1"/>
  <c r="L2364" i="1"/>
  <c r="P2364" i="1"/>
  <c r="M2370" i="1"/>
  <c r="Q2370" i="1"/>
  <c r="L2371" i="1"/>
  <c r="P2371" i="1"/>
  <c r="K2372" i="1"/>
  <c r="O2372" i="1"/>
  <c r="S2372" i="1"/>
  <c r="N2402" i="1"/>
  <c r="L2403" i="1"/>
  <c r="P2403" i="1"/>
  <c r="N2404" i="1"/>
  <c r="K2414" i="1"/>
  <c r="O2414" i="1"/>
  <c r="S2414" i="1"/>
  <c r="N2415" i="1"/>
  <c r="R2415" i="1"/>
  <c r="M2416" i="1"/>
  <c r="Q2416" i="1"/>
  <c r="K2430" i="1"/>
  <c r="K2432" i="1"/>
  <c r="K2438" i="1"/>
  <c r="K2439" i="1"/>
  <c r="K2440" i="1"/>
  <c r="K2442" i="1"/>
  <c r="O2442" i="1"/>
  <c r="N2443" i="1"/>
  <c r="M2444" i="1"/>
  <c r="N2450" i="1"/>
  <c r="K2451" i="1"/>
  <c r="O2451" i="1"/>
  <c r="L2452" i="1"/>
  <c r="P2452" i="1"/>
  <c r="F2456" i="1"/>
  <c r="K2454" i="1"/>
  <c r="P2454" i="1"/>
  <c r="N2455" i="1"/>
  <c r="K2456" i="1"/>
  <c r="P2456" i="1"/>
  <c r="D2457" i="1"/>
  <c r="L2458" i="1"/>
  <c r="Q2458" i="1"/>
  <c r="M2459" i="1"/>
  <c r="S2459" i="1"/>
  <c r="O2460" i="1"/>
  <c r="K2476" i="1"/>
  <c r="K2474" i="1"/>
  <c r="L2476" i="1"/>
  <c r="L2498" i="1"/>
  <c r="Q2498" i="1"/>
  <c r="N2499" i="1"/>
  <c r="L2500" i="1"/>
  <c r="Q2500" i="1"/>
  <c r="M2580" i="1"/>
  <c r="O2579" i="1"/>
  <c r="K2579" i="1"/>
  <c r="M2578" i="1"/>
  <c r="P2580" i="1"/>
  <c r="L2580" i="1"/>
  <c r="N2579" i="1"/>
  <c r="P2578" i="1"/>
  <c r="L2578" i="1"/>
  <c r="O2580" i="1"/>
  <c r="K2580" i="1"/>
  <c r="M2579" i="1"/>
  <c r="O2578" i="1"/>
  <c r="K2578" i="1"/>
  <c r="P2579" i="1"/>
  <c r="L2579" i="1"/>
  <c r="N2578" i="1"/>
  <c r="N2370" i="1"/>
  <c r="R2370" i="1"/>
  <c r="M2371" i="1"/>
  <c r="Q2371" i="1"/>
  <c r="L2372" i="1"/>
  <c r="N2394" i="1"/>
  <c r="N2395" i="1"/>
  <c r="N2398" i="1"/>
  <c r="M2399" i="1"/>
  <c r="K2402" i="1"/>
  <c r="O2402" i="1"/>
  <c r="M2403" i="1"/>
  <c r="K2404" i="1"/>
  <c r="N2410" i="1"/>
  <c r="R2410" i="1"/>
  <c r="N2411" i="1"/>
  <c r="R2411" i="1"/>
  <c r="N2412" i="1"/>
  <c r="L2414" i="1"/>
  <c r="P2414" i="1"/>
  <c r="K2415" i="1"/>
  <c r="O2415" i="1"/>
  <c r="S2415" i="1"/>
  <c r="N2416" i="1"/>
  <c r="L2430" i="1"/>
  <c r="K2435" i="1"/>
  <c r="L2438" i="1"/>
  <c r="L2439" i="1"/>
  <c r="L2442" i="1"/>
  <c r="K2443" i="1"/>
  <c r="O2443" i="1"/>
  <c r="K2450" i="1"/>
  <c r="O2450" i="1"/>
  <c r="L2451" i="1"/>
  <c r="P2451" i="1"/>
  <c r="M2452" i="1"/>
  <c r="L2454" i="1"/>
  <c r="R2454" i="1"/>
  <c r="O2455" i="1"/>
  <c r="L2456" i="1"/>
  <c r="R2456" i="1"/>
  <c r="M2458" i="1"/>
  <c r="R2458" i="1"/>
  <c r="O2459" i="1"/>
  <c r="K2460" i="1"/>
  <c r="P2460" i="1"/>
  <c r="L2474" i="1"/>
  <c r="K2484" i="1"/>
  <c r="K2483" i="1"/>
  <c r="K2482" i="1"/>
  <c r="L2483" i="1"/>
  <c r="M2484" i="1"/>
  <c r="P2492" i="1"/>
  <c r="L2492" i="1"/>
  <c r="N2491" i="1"/>
  <c r="P2490" i="1"/>
  <c r="L2490" i="1"/>
  <c r="O2490" i="1"/>
  <c r="O2491" i="1"/>
  <c r="N2492" i="1"/>
  <c r="M2498" i="1"/>
  <c r="R2498" i="1"/>
  <c r="P2499" i="1"/>
  <c r="M2500" i="1"/>
  <c r="R2500" i="1"/>
  <c r="D2502" i="1"/>
  <c r="D2507" i="1"/>
  <c r="J2514" i="1"/>
  <c r="S2513" i="1"/>
  <c r="L2518" i="1"/>
  <c r="N2526" i="1"/>
  <c r="N2528" i="1"/>
  <c r="G2544" i="1"/>
  <c r="F2544" i="1"/>
  <c r="N2580" i="1"/>
  <c r="K2523" i="1"/>
  <c r="L2524" i="1"/>
  <c r="D2542" i="1"/>
  <c r="D2547" i="1"/>
  <c r="K2740" i="1"/>
  <c r="K2738" i="1"/>
  <c r="L2739" i="1"/>
  <c r="K2739" i="1"/>
  <c r="L2738" i="1"/>
  <c r="L2740" i="1"/>
  <c r="N2494" i="1"/>
  <c r="K2495" i="1"/>
  <c r="O2495" i="1"/>
  <c r="L2496" i="1"/>
  <c r="K2522" i="1"/>
  <c r="L2523" i="1"/>
  <c r="D2545" i="1"/>
  <c r="G2588" i="1"/>
  <c r="F2588" i="1"/>
  <c r="K2651" i="1"/>
  <c r="L2652" i="1"/>
  <c r="L2650" i="1"/>
  <c r="K2652" i="1"/>
  <c r="K2650" i="1"/>
  <c r="L2651" i="1"/>
  <c r="N2546" i="1"/>
  <c r="R2546" i="1"/>
  <c r="M2547" i="1"/>
  <c r="Q2547" i="1"/>
  <c r="L2548" i="1"/>
  <c r="P2548" i="1"/>
  <c r="L2563" i="1"/>
  <c r="N2570" i="1"/>
  <c r="N2571" i="1"/>
  <c r="N2572" i="1"/>
  <c r="N2574" i="1"/>
  <c r="M2575" i="1"/>
  <c r="M2582" i="1"/>
  <c r="Q2582" i="1"/>
  <c r="N2583" i="1"/>
  <c r="K2584" i="1"/>
  <c r="O2584" i="1"/>
  <c r="N2586" i="1"/>
  <c r="R2586" i="1"/>
  <c r="N2587" i="1"/>
  <c r="R2587" i="1"/>
  <c r="N2588" i="1"/>
  <c r="L2590" i="1"/>
  <c r="P2590" i="1"/>
  <c r="K2591" i="1"/>
  <c r="O2591" i="1"/>
  <c r="S2591" i="1"/>
  <c r="N2592" i="1"/>
  <c r="R2592" i="1"/>
  <c r="L2606" i="1"/>
  <c r="L2608" i="1"/>
  <c r="K2611" i="1"/>
  <c r="L2614" i="1"/>
  <c r="L2615" i="1"/>
  <c r="L2616" i="1"/>
  <c r="L2618" i="1"/>
  <c r="K2619" i="1"/>
  <c r="O2619" i="1"/>
  <c r="N2620" i="1"/>
  <c r="M2622" i="1"/>
  <c r="K2623" i="1"/>
  <c r="O2623" i="1"/>
  <c r="M2624" i="1"/>
  <c r="G2632" i="1"/>
  <c r="N2634" i="1"/>
  <c r="M2635" i="1"/>
  <c r="N2534" i="1"/>
  <c r="L2535" i="1"/>
  <c r="P2535" i="1"/>
  <c r="M2542" i="1"/>
  <c r="Q2542" i="1"/>
  <c r="M2543" i="1"/>
  <c r="Q2543" i="1"/>
  <c r="M2544" i="1"/>
  <c r="Q2544" i="1"/>
  <c r="K2546" i="1"/>
  <c r="O2546" i="1"/>
  <c r="S2546" i="1"/>
  <c r="N2547" i="1"/>
  <c r="R2547" i="1"/>
  <c r="M2548" i="1"/>
  <c r="Q2548" i="1"/>
  <c r="J2560" i="1"/>
  <c r="K2562" i="1"/>
  <c r="K2564" i="1"/>
  <c r="M2566" i="1"/>
  <c r="K2568" i="1"/>
  <c r="K2570" i="1"/>
  <c r="K2571" i="1"/>
  <c r="K2572" i="1"/>
  <c r="N2582" i="1"/>
  <c r="K2583" i="1"/>
  <c r="O2583" i="1"/>
  <c r="L2584" i="1"/>
  <c r="M2590" i="1"/>
  <c r="Q2590" i="1"/>
  <c r="L2591" i="1"/>
  <c r="P2591" i="1"/>
  <c r="K2592" i="1"/>
  <c r="O2592" i="1"/>
  <c r="S2592" i="1"/>
  <c r="N2622" i="1"/>
  <c r="L2623" i="1"/>
  <c r="P2623" i="1"/>
  <c r="N2624" i="1"/>
  <c r="M2660" i="1"/>
  <c r="M2659" i="1"/>
  <c r="M2658" i="1"/>
  <c r="L2660" i="1"/>
  <c r="L2659" i="1"/>
  <c r="L2658" i="1"/>
  <c r="K2660" i="1"/>
  <c r="K2659" i="1"/>
  <c r="K2658" i="1"/>
  <c r="O2664" i="1"/>
  <c r="K2664" i="1"/>
  <c r="L2663" i="1"/>
  <c r="M2662" i="1"/>
  <c r="N2664" i="1"/>
  <c r="O2663" i="1"/>
  <c r="K2663" i="1"/>
  <c r="L2662" i="1"/>
  <c r="M2664" i="1"/>
  <c r="N2663" i="1"/>
  <c r="O2662" i="1"/>
  <c r="K2662" i="1"/>
  <c r="Q2676" i="1"/>
  <c r="M2676" i="1"/>
  <c r="Q2675" i="1"/>
  <c r="M2675" i="1"/>
  <c r="Q2674" i="1"/>
  <c r="M2674" i="1"/>
  <c r="P2676" i="1"/>
  <c r="L2676" i="1"/>
  <c r="P2675" i="1"/>
  <c r="L2675" i="1"/>
  <c r="P2674" i="1"/>
  <c r="L2674" i="1"/>
  <c r="O2676" i="1"/>
  <c r="K2676" i="1"/>
  <c r="O2675" i="1"/>
  <c r="K2675" i="1"/>
  <c r="O2674" i="1"/>
  <c r="K2674" i="1"/>
  <c r="R2675" i="1"/>
  <c r="K2700" i="1"/>
  <c r="M2698" i="1"/>
  <c r="M2700" i="1"/>
  <c r="L2699" i="1"/>
  <c r="K2698" i="1"/>
  <c r="M2699" i="1"/>
  <c r="K2699" i="1"/>
  <c r="L2698" i="1"/>
  <c r="N2542" i="1"/>
  <c r="R2542" i="1"/>
  <c r="N2543" i="1"/>
  <c r="R2543" i="1"/>
  <c r="N2544" i="1"/>
  <c r="L2546" i="1"/>
  <c r="P2546" i="1"/>
  <c r="K2547" i="1"/>
  <c r="O2547" i="1"/>
  <c r="S2547" i="1"/>
  <c r="N2548" i="1"/>
  <c r="L2562" i="1"/>
  <c r="K2567" i="1"/>
  <c r="L2570" i="1"/>
  <c r="L2571" i="1"/>
  <c r="N2590" i="1"/>
  <c r="R2590" i="1"/>
  <c r="M2591" i="1"/>
  <c r="Q2591" i="1"/>
  <c r="L2592" i="1"/>
  <c r="N2614" i="1"/>
  <c r="N2615" i="1"/>
  <c r="N2618" i="1"/>
  <c r="M2619" i="1"/>
  <c r="K2622" i="1"/>
  <c r="O2622" i="1"/>
  <c r="M2623" i="1"/>
  <c r="K2624" i="1"/>
  <c r="D2632" i="1"/>
  <c r="S2636" i="1"/>
  <c r="O2636" i="1"/>
  <c r="K2636" i="1"/>
  <c r="P2635" i="1"/>
  <c r="L2635" i="1"/>
  <c r="Q2634" i="1"/>
  <c r="M2634" i="1"/>
  <c r="R2636" i="1"/>
  <c r="N2636" i="1"/>
  <c r="S2635" i="1"/>
  <c r="O2635" i="1"/>
  <c r="K2635" i="1"/>
  <c r="P2634" i="1"/>
  <c r="L2634" i="1"/>
  <c r="R2634" i="1"/>
  <c r="Q2635" i="1"/>
  <c r="P2636" i="1"/>
  <c r="D2637" i="1"/>
  <c r="D2639" i="1"/>
  <c r="N2658" i="1"/>
  <c r="N2662" i="1"/>
  <c r="N2674" i="1"/>
  <c r="N2676" i="1"/>
  <c r="J2692" i="1"/>
  <c r="J2691" i="1"/>
  <c r="O2692" i="1"/>
  <c r="J2690" i="1"/>
  <c r="S2689" i="1"/>
  <c r="L2700" i="1"/>
  <c r="N2670" i="1"/>
  <c r="K2671" i="1"/>
  <c r="O2671" i="1"/>
  <c r="L2672" i="1"/>
  <c r="P2672" i="1"/>
  <c r="S2724" i="1"/>
  <c r="O2724" i="1"/>
  <c r="K2724" i="1"/>
  <c r="P2723" i="1"/>
  <c r="L2723" i="1"/>
  <c r="Q2722" i="1"/>
  <c r="M2722" i="1"/>
  <c r="R2724" i="1"/>
  <c r="N2724" i="1"/>
  <c r="S2723" i="1"/>
  <c r="O2723" i="1"/>
  <c r="K2723" i="1"/>
  <c r="P2722" i="1"/>
  <c r="L2722" i="1"/>
  <c r="Q2724" i="1"/>
  <c r="M2724" i="1"/>
  <c r="R2723" i="1"/>
  <c r="N2723" i="1"/>
  <c r="S2722" i="1"/>
  <c r="O2722" i="1"/>
  <c r="K2722" i="1"/>
  <c r="Q2723" i="1"/>
  <c r="N2630" i="1"/>
  <c r="R2630" i="1"/>
  <c r="N2631" i="1"/>
  <c r="R2631" i="1"/>
  <c r="N2632" i="1"/>
  <c r="R2632" i="1"/>
  <c r="O2648" i="1"/>
  <c r="K2655" i="1"/>
  <c r="L2656" i="1"/>
  <c r="K2670" i="1"/>
  <c r="O2670" i="1"/>
  <c r="L2671" i="1"/>
  <c r="P2671" i="1"/>
  <c r="M2672" i="1"/>
  <c r="Q2672" i="1"/>
  <c r="N2678" i="1"/>
  <c r="R2678" i="1"/>
  <c r="M2679" i="1"/>
  <c r="Q2679" i="1"/>
  <c r="L2680" i="1"/>
  <c r="P2680" i="1"/>
  <c r="N2722" i="1"/>
  <c r="L2724" i="1"/>
  <c r="N2626" i="1"/>
  <c r="K2627" i="1"/>
  <c r="O2627" i="1"/>
  <c r="L2628" i="1"/>
  <c r="K2630" i="1"/>
  <c r="O2630" i="1"/>
  <c r="K2631" i="1"/>
  <c r="O2631" i="1"/>
  <c r="K2632" i="1"/>
  <c r="S2645" i="1"/>
  <c r="K2654" i="1"/>
  <c r="L2655" i="1"/>
  <c r="N2666" i="1"/>
  <c r="L2667" i="1"/>
  <c r="P2667" i="1"/>
  <c r="L2670" i="1"/>
  <c r="P2670" i="1"/>
  <c r="M2671" i="1"/>
  <c r="Q2671" i="1"/>
  <c r="K2678" i="1"/>
  <c r="O2678" i="1"/>
  <c r="S2678" i="1"/>
  <c r="N2679" i="1"/>
  <c r="R2679" i="1"/>
  <c r="M2680" i="1"/>
  <c r="K2696" i="1"/>
  <c r="K2694" i="1"/>
  <c r="K2695" i="1"/>
  <c r="R2722" i="1"/>
  <c r="P2724" i="1"/>
  <c r="M2702" i="1"/>
  <c r="M2703" i="1"/>
  <c r="M2704" i="1"/>
  <c r="M2706" i="1"/>
  <c r="L2707" i="1"/>
  <c r="K2708" i="1"/>
  <c r="O2708" i="1"/>
  <c r="N2710" i="1"/>
  <c r="L2711" i="1"/>
  <c r="P2711" i="1"/>
  <c r="L2714" i="1"/>
  <c r="P2714" i="1"/>
  <c r="M2715" i="1"/>
  <c r="Q2715" i="1"/>
  <c r="N2716" i="1"/>
  <c r="M2718" i="1"/>
  <c r="Q2718" i="1"/>
  <c r="M2719" i="1"/>
  <c r="Q2719" i="1"/>
  <c r="M2720" i="1"/>
  <c r="Q2720" i="1"/>
  <c r="F2720" i="1"/>
  <c r="M2756" i="1"/>
  <c r="O2755" i="1"/>
  <c r="K2755" i="1"/>
  <c r="M2754" i="1"/>
  <c r="P2756" i="1"/>
  <c r="L2756" i="1"/>
  <c r="N2755" i="1"/>
  <c r="P2754" i="1"/>
  <c r="L2754" i="1"/>
  <c r="O2756" i="1"/>
  <c r="K2756" i="1"/>
  <c r="M2755" i="1"/>
  <c r="O2754" i="1"/>
  <c r="K2754" i="1"/>
  <c r="N2756" i="1"/>
  <c r="D2766" i="1"/>
  <c r="N2702" i="1"/>
  <c r="N2703" i="1"/>
  <c r="N2704" i="1"/>
  <c r="N2706" i="1"/>
  <c r="M2707" i="1"/>
  <c r="L2708" i="1"/>
  <c r="K2716" i="1"/>
  <c r="O2716" i="1"/>
  <c r="N2718" i="1"/>
  <c r="R2718" i="1"/>
  <c r="N2719" i="1"/>
  <c r="R2719" i="1"/>
  <c r="N2720" i="1"/>
  <c r="R2720" i="1"/>
  <c r="J2735" i="1"/>
  <c r="N2754" i="1"/>
  <c r="D2771" i="1"/>
  <c r="K2702" i="1"/>
  <c r="K2703" i="1"/>
  <c r="K2706" i="1"/>
  <c r="O2706" i="1"/>
  <c r="N2707" i="1"/>
  <c r="N2714" i="1"/>
  <c r="K2715" i="1"/>
  <c r="O2715" i="1"/>
  <c r="L2716" i="1"/>
  <c r="K2718" i="1"/>
  <c r="O2718" i="1"/>
  <c r="K2719" i="1"/>
  <c r="O2719" i="1"/>
  <c r="K2720" i="1"/>
  <c r="D2723" i="1"/>
  <c r="L2755" i="1"/>
  <c r="G2764" i="1"/>
  <c r="L2742" i="1"/>
  <c r="M2743" i="1"/>
  <c r="N2746" i="1"/>
  <c r="N2747" i="1"/>
  <c r="N2748" i="1"/>
  <c r="N2750" i="1"/>
  <c r="M2751" i="1"/>
  <c r="L2752" i="1"/>
  <c r="N2762" i="1"/>
  <c r="R2762" i="1"/>
  <c r="N2763" i="1"/>
  <c r="R2763" i="1"/>
  <c r="N2764" i="1"/>
  <c r="R2764" i="1"/>
  <c r="L2766" i="1"/>
  <c r="P2766" i="1"/>
  <c r="K2767" i="1"/>
  <c r="O2767" i="1"/>
  <c r="S2767" i="1"/>
  <c r="N2768" i="1"/>
  <c r="R2768" i="1"/>
  <c r="M2742" i="1"/>
  <c r="K2744" i="1"/>
  <c r="K2746" i="1"/>
  <c r="K2747" i="1"/>
  <c r="K2748" i="1"/>
  <c r="K2750" i="1"/>
  <c r="O2750" i="1"/>
  <c r="N2751" i="1"/>
  <c r="N2758" i="1"/>
  <c r="K2759" i="1"/>
  <c r="O2759" i="1"/>
  <c r="L2760" i="1"/>
  <c r="K2762" i="1"/>
  <c r="O2762" i="1"/>
  <c r="K2763" i="1"/>
  <c r="O2763" i="1"/>
  <c r="K2764" i="1"/>
  <c r="M2766" i="1"/>
  <c r="Q2766" i="1"/>
  <c r="L2767" i="1"/>
  <c r="P2767" i="1"/>
  <c r="K2768" i="1"/>
  <c r="O2768" i="1"/>
  <c r="S2768" i="1"/>
  <c r="K2743" i="1"/>
  <c r="L2747" i="1"/>
  <c r="N2766" i="1"/>
  <c r="R2766" i="1"/>
  <c r="M2767" i="1"/>
  <c r="Q2767" i="1"/>
  <c r="L2768" i="1"/>
  <c r="S2780" i="1"/>
  <c r="S2868" i="1"/>
  <c r="Q2868" i="1"/>
  <c r="L2788" i="1"/>
  <c r="P2844" i="1"/>
  <c r="L2844" i="1"/>
  <c r="N2843" i="1"/>
  <c r="P2842" i="1"/>
  <c r="L2842" i="1"/>
  <c r="O2843" i="1"/>
  <c r="M2932" i="1"/>
  <c r="O2931" i="1"/>
  <c r="K2931" i="1"/>
  <c r="M2930" i="1"/>
  <c r="P2932" i="1"/>
  <c r="L2932" i="1"/>
  <c r="N2931" i="1"/>
  <c r="P2930" i="1"/>
  <c r="L2930" i="1"/>
  <c r="O2932" i="1"/>
  <c r="K2932" i="1"/>
  <c r="M2931" i="1"/>
  <c r="O2930" i="1"/>
  <c r="K2930" i="1"/>
  <c r="S2777" i="1"/>
  <c r="J2778" i="1"/>
  <c r="K2783" i="1"/>
  <c r="K2786" i="1"/>
  <c r="L2787" i="1"/>
  <c r="M2788" i="1"/>
  <c r="M2790" i="1"/>
  <c r="M2791" i="1"/>
  <c r="M2792" i="1"/>
  <c r="M2794" i="1"/>
  <c r="L2795" i="1"/>
  <c r="K2796" i="1"/>
  <c r="O2796" i="1"/>
  <c r="N2798" i="1"/>
  <c r="L2799" i="1"/>
  <c r="P2799" i="1"/>
  <c r="L2802" i="1"/>
  <c r="P2802" i="1"/>
  <c r="M2803" i="1"/>
  <c r="Q2803" i="1"/>
  <c r="N2804" i="1"/>
  <c r="D2806" i="1"/>
  <c r="N2806" i="1"/>
  <c r="K2807" i="1"/>
  <c r="P2807" i="1"/>
  <c r="N2810" i="1"/>
  <c r="K2811" i="1"/>
  <c r="P2811" i="1"/>
  <c r="L2812" i="1"/>
  <c r="J2823" i="1"/>
  <c r="K2827" i="1"/>
  <c r="K2832" i="1"/>
  <c r="M2830" i="1"/>
  <c r="L2831" i="1"/>
  <c r="L2834" i="1"/>
  <c r="M2835" i="1"/>
  <c r="N2836" i="1"/>
  <c r="M2840" i="1"/>
  <c r="N2839" i="1"/>
  <c r="O2838" i="1"/>
  <c r="K2838" i="1"/>
  <c r="K2839" i="1"/>
  <c r="K2840" i="1"/>
  <c r="K2842" i="1"/>
  <c r="K2843" i="1"/>
  <c r="P2843" i="1"/>
  <c r="O2844" i="1"/>
  <c r="M2850" i="1"/>
  <c r="M2851" i="1"/>
  <c r="D2894" i="1"/>
  <c r="D2899" i="1"/>
  <c r="N2930" i="1"/>
  <c r="D2942" i="1"/>
  <c r="D2947" i="1"/>
  <c r="K2959" i="1"/>
  <c r="L2959" i="1"/>
  <c r="L2958" i="1"/>
  <c r="L2960" i="1"/>
  <c r="K2958" i="1"/>
  <c r="Q2984" i="1"/>
  <c r="M2984" i="1"/>
  <c r="Q2983" i="1"/>
  <c r="M2983" i="1"/>
  <c r="Q2982" i="1"/>
  <c r="M2982" i="1"/>
  <c r="P2984" i="1"/>
  <c r="L2984" i="1"/>
  <c r="P2983" i="1"/>
  <c r="L2983" i="1"/>
  <c r="P2982" i="1"/>
  <c r="L2982" i="1"/>
  <c r="O2984" i="1"/>
  <c r="O2983" i="1"/>
  <c r="O2982" i="1"/>
  <c r="N2984" i="1"/>
  <c r="N2983" i="1"/>
  <c r="N2982" i="1"/>
  <c r="K2984" i="1"/>
  <c r="K2983" i="1"/>
  <c r="K2982" i="1"/>
  <c r="O2780" i="1"/>
  <c r="K2787" i="1"/>
  <c r="P2852" i="1"/>
  <c r="L2852" i="1"/>
  <c r="P2851" i="1"/>
  <c r="L2851" i="1"/>
  <c r="P2850" i="1"/>
  <c r="L2850" i="1"/>
  <c r="O2852" i="1"/>
  <c r="K2852" i="1"/>
  <c r="O2851" i="1"/>
  <c r="K2851" i="1"/>
  <c r="O2850" i="1"/>
  <c r="K2850" i="1"/>
  <c r="N2932" i="1"/>
  <c r="L2783" i="1"/>
  <c r="N2790" i="1"/>
  <c r="N2791" i="1"/>
  <c r="N2792" i="1"/>
  <c r="N2794" i="1"/>
  <c r="M2795" i="1"/>
  <c r="L2796" i="1"/>
  <c r="Q2808" i="1"/>
  <c r="M2808" i="1"/>
  <c r="Q2807" i="1"/>
  <c r="M2807" i="1"/>
  <c r="Q2806" i="1"/>
  <c r="M2806" i="1"/>
  <c r="O2806" i="1"/>
  <c r="L2807" i="1"/>
  <c r="R2807" i="1"/>
  <c r="O2808" i="1"/>
  <c r="G2808" i="1"/>
  <c r="Q2812" i="1"/>
  <c r="M2812" i="1"/>
  <c r="R2811" i="1"/>
  <c r="N2811" i="1"/>
  <c r="S2810" i="1"/>
  <c r="O2810" i="1"/>
  <c r="K2810" i="1"/>
  <c r="P2810" i="1"/>
  <c r="L2811" i="1"/>
  <c r="Q2811" i="1"/>
  <c r="N2812" i="1"/>
  <c r="S2812" i="1"/>
  <c r="D2811" i="1"/>
  <c r="K2830" i="1"/>
  <c r="M2831" i="1"/>
  <c r="M2834" i="1"/>
  <c r="L2838" i="1"/>
  <c r="L2839" i="1"/>
  <c r="L2840" i="1"/>
  <c r="M2842" i="1"/>
  <c r="L2843" i="1"/>
  <c r="K2844" i="1"/>
  <c r="N2850" i="1"/>
  <c r="N2851" i="1"/>
  <c r="N2852" i="1"/>
  <c r="G2852" i="1"/>
  <c r="M2875" i="1"/>
  <c r="L2874" i="1"/>
  <c r="M2876" i="1"/>
  <c r="L2875" i="1"/>
  <c r="K2874" i="1"/>
  <c r="L2876" i="1"/>
  <c r="O2892" i="1"/>
  <c r="K2892" i="1"/>
  <c r="N2891" i="1"/>
  <c r="Q2890" i="1"/>
  <c r="M2890" i="1"/>
  <c r="N2892" i="1"/>
  <c r="Q2891" i="1"/>
  <c r="M2891" i="1"/>
  <c r="P2890" i="1"/>
  <c r="L2890" i="1"/>
  <c r="K2891" i="1"/>
  <c r="L2892" i="1"/>
  <c r="D2897" i="1"/>
  <c r="L2931" i="1"/>
  <c r="K2960" i="1"/>
  <c r="R2982" i="1"/>
  <c r="M3020" i="1"/>
  <c r="O3019" i="1"/>
  <c r="K3019" i="1"/>
  <c r="M3018" i="1"/>
  <c r="P3020" i="1"/>
  <c r="L3020" i="1"/>
  <c r="N3019" i="1"/>
  <c r="P3018" i="1"/>
  <c r="L3018" i="1"/>
  <c r="O3020" i="1"/>
  <c r="K3020" i="1"/>
  <c r="M3019" i="1"/>
  <c r="O3018" i="1"/>
  <c r="K3018" i="1"/>
  <c r="P3019" i="1"/>
  <c r="L3019" i="1"/>
  <c r="N3018" i="1"/>
  <c r="K2836" i="1"/>
  <c r="K2835" i="1"/>
  <c r="K2834" i="1"/>
  <c r="L2835" i="1"/>
  <c r="M2836" i="1"/>
  <c r="O2842" i="1"/>
  <c r="N2844" i="1"/>
  <c r="R2850" i="1"/>
  <c r="R2851" i="1"/>
  <c r="R2852" i="1"/>
  <c r="G2896" i="1"/>
  <c r="F2896" i="1"/>
  <c r="J2779" i="1"/>
  <c r="L2786" i="1"/>
  <c r="M2787" i="1"/>
  <c r="K2782" i="1"/>
  <c r="M2786" i="1"/>
  <c r="K2790" i="1"/>
  <c r="K2791" i="1"/>
  <c r="K2794" i="1"/>
  <c r="O2794" i="1"/>
  <c r="N2795" i="1"/>
  <c r="N2802" i="1"/>
  <c r="K2803" i="1"/>
  <c r="O2803" i="1"/>
  <c r="L2804" i="1"/>
  <c r="K2806" i="1"/>
  <c r="P2806" i="1"/>
  <c r="N2807" i="1"/>
  <c r="K2808" i="1"/>
  <c r="P2808" i="1"/>
  <c r="D2809" i="1"/>
  <c r="L2810" i="1"/>
  <c r="Q2810" i="1"/>
  <c r="M2811" i="1"/>
  <c r="S2811" i="1"/>
  <c r="O2812" i="1"/>
  <c r="J2822" i="1"/>
  <c r="O2824" i="1"/>
  <c r="K2828" i="1"/>
  <c r="S2824" i="1" s="1"/>
  <c r="K2826" i="1"/>
  <c r="L2828" i="1"/>
  <c r="Q2824" i="1" s="1"/>
  <c r="L2830" i="1"/>
  <c r="L2832" i="1"/>
  <c r="N2834" i="1"/>
  <c r="L2836" i="1"/>
  <c r="M2838" i="1"/>
  <c r="M2839" i="1"/>
  <c r="N2840" i="1"/>
  <c r="N2842" i="1"/>
  <c r="M2843" i="1"/>
  <c r="M2844" i="1"/>
  <c r="Q2850" i="1"/>
  <c r="Q2851" i="1"/>
  <c r="Q2852" i="1"/>
  <c r="J2867" i="1"/>
  <c r="J2866" i="1"/>
  <c r="S2865" i="1"/>
  <c r="O2868" i="1"/>
  <c r="P2931" i="1"/>
  <c r="R2983" i="1"/>
  <c r="M3144" i="1"/>
  <c r="M3143" i="1"/>
  <c r="M3142" i="1"/>
  <c r="L3144" i="1"/>
  <c r="L3143" i="1"/>
  <c r="L3142" i="1"/>
  <c r="K3144" i="1"/>
  <c r="K3143" i="1"/>
  <c r="K3142" i="1"/>
  <c r="N3144" i="1"/>
  <c r="N3143" i="1"/>
  <c r="N3142" i="1"/>
  <c r="O3148" i="1"/>
  <c r="K3148" i="1"/>
  <c r="L3147" i="1"/>
  <c r="M3146" i="1"/>
  <c r="N3148" i="1"/>
  <c r="O3147" i="1"/>
  <c r="K3147" i="1"/>
  <c r="L3146" i="1"/>
  <c r="M3148" i="1"/>
  <c r="N3147" i="1"/>
  <c r="O3146" i="1"/>
  <c r="K3146" i="1"/>
  <c r="L3148" i="1"/>
  <c r="M3147" i="1"/>
  <c r="N3146" i="1"/>
  <c r="N2898" i="1"/>
  <c r="R2898" i="1"/>
  <c r="M2899" i="1"/>
  <c r="Q2899" i="1"/>
  <c r="L2900" i="1"/>
  <c r="P2900" i="1"/>
  <c r="L2915" i="1"/>
  <c r="N2922" i="1"/>
  <c r="N2923" i="1"/>
  <c r="N2924" i="1"/>
  <c r="N2926" i="1"/>
  <c r="M2927" i="1"/>
  <c r="L2928" i="1"/>
  <c r="N2938" i="1"/>
  <c r="R2938" i="1"/>
  <c r="N2939" i="1"/>
  <c r="R2939" i="1"/>
  <c r="N2940" i="1"/>
  <c r="R2940" i="1"/>
  <c r="G2940" i="1"/>
  <c r="J2954" i="1"/>
  <c r="S2953" i="1"/>
  <c r="J2955" i="1"/>
  <c r="M2964" i="1"/>
  <c r="L2963" i="1"/>
  <c r="K2962" i="1"/>
  <c r="M2963" i="1"/>
  <c r="O2972" i="1"/>
  <c r="K2972" i="1"/>
  <c r="L2971" i="1"/>
  <c r="M2970" i="1"/>
  <c r="O2970" i="1"/>
  <c r="O2971" i="1"/>
  <c r="N2980" i="1"/>
  <c r="Q2979" i="1"/>
  <c r="M2979" i="1"/>
  <c r="P2978" i="1"/>
  <c r="L2978" i="1"/>
  <c r="O2978" i="1"/>
  <c r="N2979" i="1"/>
  <c r="L2980" i="1"/>
  <c r="Q2980" i="1"/>
  <c r="O3000" i="1"/>
  <c r="J3000" i="1"/>
  <c r="J2999" i="1"/>
  <c r="D3073" i="1"/>
  <c r="S3208" i="1"/>
  <c r="O3208" i="1"/>
  <c r="K3208" i="1"/>
  <c r="P3207" i="1"/>
  <c r="L3207" i="1"/>
  <c r="Q3206" i="1"/>
  <c r="M3206" i="1"/>
  <c r="R3208" i="1"/>
  <c r="N3208" i="1"/>
  <c r="S3207" i="1"/>
  <c r="O3207" i="1"/>
  <c r="K3207" i="1"/>
  <c r="P3206" i="1"/>
  <c r="L3206" i="1"/>
  <c r="Q3208" i="1"/>
  <c r="M3208" i="1"/>
  <c r="R3207" i="1"/>
  <c r="N3207" i="1"/>
  <c r="S3206" i="1"/>
  <c r="O3206" i="1"/>
  <c r="K3206" i="1"/>
  <c r="M3207" i="1"/>
  <c r="P3208" i="1"/>
  <c r="R3206" i="1"/>
  <c r="L3208" i="1"/>
  <c r="N3206" i="1"/>
  <c r="Q3207" i="1"/>
  <c r="N2846" i="1"/>
  <c r="K2847" i="1"/>
  <c r="O2847" i="1"/>
  <c r="L2848" i="1"/>
  <c r="M2854" i="1"/>
  <c r="Q2854" i="1"/>
  <c r="L2855" i="1"/>
  <c r="P2855" i="1"/>
  <c r="K2856" i="1"/>
  <c r="O2856" i="1"/>
  <c r="S2856" i="1"/>
  <c r="K2871" i="1"/>
  <c r="M2878" i="1"/>
  <c r="M2879" i="1"/>
  <c r="M2880" i="1"/>
  <c r="M2882" i="1"/>
  <c r="L2883" i="1"/>
  <c r="K2884" i="1"/>
  <c r="O2884" i="1"/>
  <c r="N2886" i="1"/>
  <c r="L2887" i="1"/>
  <c r="P2887" i="1"/>
  <c r="M2894" i="1"/>
  <c r="Q2894" i="1"/>
  <c r="M2895" i="1"/>
  <c r="Q2895" i="1"/>
  <c r="M2896" i="1"/>
  <c r="Q2896" i="1"/>
  <c r="K2898" i="1"/>
  <c r="O2898" i="1"/>
  <c r="S2898" i="1"/>
  <c r="N2899" i="1"/>
  <c r="R2899" i="1"/>
  <c r="M2900" i="1"/>
  <c r="Q2900" i="1"/>
  <c r="J2912" i="1"/>
  <c r="K2914" i="1"/>
  <c r="K2916" i="1"/>
  <c r="M2918" i="1"/>
  <c r="K2920" i="1"/>
  <c r="K2922" i="1"/>
  <c r="K2923" i="1"/>
  <c r="K2924" i="1"/>
  <c r="K2926" i="1"/>
  <c r="O2926" i="1"/>
  <c r="N2927" i="1"/>
  <c r="M2928" i="1"/>
  <c r="N2934" i="1"/>
  <c r="K2935" i="1"/>
  <c r="O2935" i="1"/>
  <c r="L2936" i="1"/>
  <c r="K2938" i="1"/>
  <c r="O2938" i="1"/>
  <c r="K2939" i="1"/>
  <c r="O2939" i="1"/>
  <c r="K2940" i="1"/>
  <c r="O2940" i="1"/>
  <c r="M2942" i="1"/>
  <c r="Q2942" i="1"/>
  <c r="L2943" i="1"/>
  <c r="P2943" i="1"/>
  <c r="K2944" i="1"/>
  <c r="O2944" i="1"/>
  <c r="S2944" i="1"/>
  <c r="L2962" i="1"/>
  <c r="K2964" i="1"/>
  <c r="N2966" i="1"/>
  <c r="K2970" i="1"/>
  <c r="K2971" i="1"/>
  <c r="L2972" i="1"/>
  <c r="K2978" i="1"/>
  <c r="Q2978" i="1"/>
  <c r="O2979" i="1"/>
  <c r="M2980" i="1"/>
  <c r="D2987" i="1"/>
  <c r="D2988" i="1"/>
  <c r="S2997" i="1"/>
  <c r="G3028" i="1"/>
  <c r="D3035" i="1"/>
  <c r="G3072" i="1"/>
  <c r="F3072" i="1"/>
  <c r="D3078" i="1"/>
  <c r="O3160" i="1"/>
  <c r="K3160" i="1"/>
  <c r="O3159" i="1"/>
  <c r="P3160" i="1"/>
  <c r="R3159" i="1"/>
  <c r="M3159" i="1"/>
  <c r="Q3158" i="1"/>
  <c r="M3158" i="1"/>
  <c r="N3160" i="1"/>
  <c r="Q3159" i="1"/>
  <c r="L3159" i="1"/>
  <c r="P3158" i="1"/>
  <c r="L3158" i="1"/>
  <c r="R3160" i="1"/>
  <c r="M3160" i="1"/>
  <c r="P3159" i="1"/>
  <c r="K3159" i="1"/>
  <c r="O3158" i="1"/>
  <c r="K3158" i="1"/>
  <c r="N3159" i="1"/>
  <c r="R3158" i="1"/>
  <c r="Q3160" i="1"/>
  <c r="N3158" i="1"/>
  <c r="N2854" i="1"/>
  <c r="R2854" i="1"/>
  <c r="M2855" i="1"/>
  <c r="Q2855" i="1"/>
  <c r="L2856" i="1"/>
  <c r="N2878" i="1"/>
  <c r="N2879" i="1"/>
  <c r="N2882" i="1"/>
  <c r="M2883" i="1"/>
  <c r="N2894" i="1"/>
  <c r="R2894" i="1"/>
  <c r="N2895" i="1"/>
  <c r="R2895" i="1"/>
  <c r="N2896" i="1"/>
  <c r="L2898" i="1"/>
  <c r="P2898" i="1"/>
  <c r="K2899" i="1"/>
  <c r="O2899" i="1"/>
  <c r="S2899" i="1"/>
  <c r="N2900" i="1"/>
  <c r="L2914" i="1"/>
  <c r="K2919" i="1"/>
  <c r="L2922" i="1"/>
  <c r="L2923" i="1"/>
  <c r="L2926" i="1"/>
  <c r="K2927" i="1"/>
  <c r="O2927" i="1"/>
  <c r="L2938" i="1"/>
  <c r="P2938" i="1"/>
  <c r="L2939" i="1"/>
  <c r="P2939" i="1"/>
  <c r="L2940" i="1"/>
  <c r="N2942" i="1"/>
  <c r="R2942" i="1"/>
  <c r="M2943" i="1"/>
  <c r="Q2943" i="1"/>
  <c r="L2944" i="1"/>
  <c r="J2956" i="1"/>
  <c r="M2962" i="1"/>
  <c r="L2964" i="1"/>
  <c r="M2968" i="1"/>
  <c r="M2967" i="1"/>
  <c r="M2966" i="1"/>
  <c r="K2967" i="1"/>
  <c r="L2968" i="1"/>
  <c r="L2970" i="1"/>
  <c r="M2971" i="1"/>
  <c r="M2972" i="1"/>
  <c r="M2978" i="1"/>
  <c r="K2979" i="1"/>
  <c r="P2979" i="1"/>
  <c r="O2980" i="1"/>
  <c r="F2984" i="1"/>
  <c r="G2984" i="1"/>
  <c r="O3068" i="1"/>
  <c r="K3068" i="1"/>
  <c r="N3067" i="1"/>
  <c r="Q3066" i="1"/>
  <c r="M3066" i="1"/>
  <c r="N3068" i="1"/>
  <c r="Q3067" i="1"/>
  <c r="M3067" i="1"/>
  <c r="P3066" i="1"/>
  <c r="L3066" i="1"/>
  <c r="Q3068" i="1"/>
  <c r="M3068" i="1"/>
  <c r="P3067" i="1"/>
  <c r="L3067" i="1"/>
  <c r="O3066" i="1"/>
  <c r="K3066" i="1"/>
  <c r="L3068" i="1"/>
  <c r="D3070" i="1"/>
  <c r="D3075" i="1"/>
  <c r="Q3129" i="1"/>
  <c r="L3160" i="1"/>
  <c r="N2986" i="1"/>
  <c r="R2986" i="1"/>
  <c r="M2987" i="1"/>
  <c r="Q2987" i="1"/>
  <c r="L2988" i="1"/>
  <c r="P2988" i="1"/>
  <c r="L3003" i="1"/>
  <c r="L3006" i="1"/>
  <c r="M3007" i="1"/>
  <c r="N3010" i="1"/>
  <c r="N3011" i="1"/>
  <c r="N3012" i="1"/>
  <c r="N3014" i="1"/>
  <c r="M3015" i="1"/>
  <c r="L3016" i="1"/>
  <c r="N3026" i="1"/>
  <c r="R3026" i="1"/>
  <c r="N3027" i="1"/>
  <c r="R3027" i="1"/>
  <c r="N3028" i="1"/>
  <c r="R3028" i="1"/>
  <c r="L3030" i="1"/>
  <c r="P3030" i="1"/>
  <c r="K3031" i="1"/>
  <c r="O3031" i="1"/>
  <c r="S3031" i="1"/>
  <c r="N3032" i="1"/>
  <c r="R3032" i="1"/>
  <c r="O3044" i="1"/>
  <c r="L3046" i="1"/>
  <c r="L3048" i="1"/>
  <c r="K3051" i="1"/>
  <c r="L3052" i="1"/>
  <c r="L3054" i="1"/>
  <c r="L3055" i="1"/>
  <c r="L3056" i="1"/>
  <c r="L3058" i="1"/>
  <c r="K3059" i="1"/>
  <c r="O3059" i="1"/>
  <c r="N3060" i="1"/>
  <c r="L3070" i="1"/>
  <c r="P3070" i="1"/>
  <c r="L3071" i="1"/>
  <c r="P3071" i="1"/>
  <c r="L3072" i="1"/>
  <c r="P3072" i="1"/>
  <c r="N3074" i="1"/>
  <c r="R3074" i="1"/>
  <c r="M3075" i="1"/>
  <c r="Q3075" i="1"/>
  <c r="L3076" i="1"/>
  <c r="P3076" i="1"/>
  <c r="J3087" i="1"/>
  <c r="L3091" i="1"/>
  <c r="R3118" i="1"/>
  <c r="P3120" i="1"/>
  <c r="N2974" i="1"/>
  <c r="L2975" i="1"/>
  <c r="P2975" i="1"/>
  <c r="K2986" i="1"/>
  <c r="O2986" i="1"/>
  <c r="S2986" i="1"/>
  <c r="N2987" i="1"/>
  <c r="R2987" i="1"/>
  <c r="M2988" i="1"/>
  <c r="K3002" i="1"/>
  <c r="M3006" i="1"/>
  <c r="K3008" i="1"/>
  <c r="K3010" i="1"/>
  <c r="K3011" i="1"/>
  <c r="K3014" i="1"/>
  <c r="O3014" i="1"/>
  <c r="N3015" i="1"/>
  <c r="N3022" i="1"/>
  <c r="K3023" i="1"/>
  <c r="O3023" i="1"/>
  <c r="L3024" i="1"/>
  <c r="K3026" i="1"/>
  <c r="O3026" i="1"/>
  <c r="K3027" i="1"/>
  <c r="O3027" i="1"/>
  <c r="K3028" i="1"/>
  <c r="M3030" i="1"/>
  <c r="Q3030" i="1"/>
  <c r="L3031" i="1"/>
  <c r="P3031" i="1"/>
  <c r="K3032" i="1"/>
  <c r="O3032" i="1"/>
  <c r="S3032" i="1"/>
  <c r="S3041" i="1"/>
  <c r="K3047" i="1"/>
  <c r="K3050" i="1"/>
  <c r="L3051" i="1"/>
  <c r="M3054" i="1"/>
  <c r="M3055" i="1"/>
  <c r="M3056" i="1"/>
  <c r="M3058" i="1"/>
  <c r="L3059" i="1"/>
  <c r="K3060" i="1"/>
  <c r="O3060" i="1"/>
  <c r="N3062" i="1"/>
  <c r="L3063" i="1"/>
  <c r="P3063" i="1"/>
  <c r="M3070" i="1"/>
  <c r="Q3070" i="1"/>
  <c r="M3071" i="1"/>
  <c r="Q3071" i="1"/>
  <c r="M3072" i="1"/>
  <c r="Q3072" i="1"/>
  <c r="K3074" i="1"/>
  <c r="O3074" i="1"/>
  <c r="S3074" i="1"/>
  <c r="N3075" i="1"/>
  <c r="R3075" i="1"/>
  <c r="M3076" i="1"/>
  <c r="Q3076" i="1"/>
  <c r="J3088" i="1"/>
  <c r="K3090" i="1"/>
  <c r="K3096" i="1"/>
  <c r="M3094" i="1"/>
  <c r="L3095" i="1"/>
  <c r="K3223" i="1"/>
  <c r="L3224" i="1"/>
  <c r="L3222" i="1"/>
  <c r="K3224" i="1"/>
  <c r="K3222" i="1"/>
  <c r="L3223" i="1"/>
  <c r="K3007" i="1"/>
  <c r="N3030" i="1"/>
  <c r="R3030" i="1"/>
  <c r="M3031" i="1"/>
  <c r="Q3031" i="1"/>
  <c r="L3032" i="1"/>
  <c r="N3054" i="1"/>
  <c r="N3055" i="1"/>
  <c r="N3058" i="1"/>
  <c r="M3059" i="1"/>
  <c r="N3070" i="1"/>
  <c r="R3070" i="1"/>
  <c r="N3071" i="1"/>
  <c r="R3071" i="1"/>
  <c r="N3072" i="1"/>
  <c r="L3074" i="1"/>
  <c r="P3074" i="1"/>
  <c r="K3075" i="1"/>
  <c r="O3075" i="1"/>
  <c r="S3075" i="1"/>
  <c r="N3076" i="1"/>
  <c r="S3120" i="1"/>
  <c r="O3120" i="1"/>
  <c r="K3120" i="1"/>
  <c r="P3119" i="1"/>
  <c r="L3119" i="1"/>
  <c r="Q3118" i="1"/>
  <c r="M3118" i="1"/>
  <c r="R3120" i="1"/>
  <c r="N3120" i="1"/>
  <c r="S3119" i="1"/>
  <c r="O3119" i="1"/>
  <c r="K3119" i="1"/>
  <c r="P3118" i="1"/>
  <c r="L3118" i="1"/>
  <c r="Q3120" i="1"/>
  <c r="M3120" i="1"/>
  <c r="R3119" i="1"/>
  <c r="N3119" i="1"/>
  <c r="S3118" i="1"/>
  <c r="O3118" i="1"/>
  <c r="K3118" i="1"/>
  <c r="Q3119" i="1"/>
  <c r="K3135" i="1"/>
  <c r="L3136" i="1"/>
  <c r="L3134" i="1"/>
  <c r="K3136" i="1"/>
  <c r="K3134" i="1"/>
  <c r="N3106" i="1"/>
  <c r="L3107" i="1"/>
  <c r="P3107" i="1"/>
  <c r="N3108" i="1"/>
  <c r="L3110" i="1"/>
  <c r="P3110" i="1"/>
  <c r="M3111" i="1"/>
  <c r="Q3111" i="1"/>
  <c r="N3112" i="1"/>
  <c r="F3116" i="1"/>
  <c r="N3154" i="1"/>
  <c r="K3155" i="1"/>
  <c r="O3155" i="1"/>
  <c r="L3156" i="1"/>
  <c r="P3156" i="1"/>
  <c r="F3160" i="1"/>
  <c r="D3162" i="1"/>
  <c r="D3167" i="1"/>
  <c r="J3174" i="1"/>
  <c r="S3173" i="1"/>
  <c r="N3231" i="1"/>
  <c r="N3244" i="1"/>
  <c r="Q3243" i="1"/>
  <c r="M3243" i="1"/>
  <c r="P3242" i="1"/>
  <c r="L3242" i="1"/>
  <c r="P3244" i="1"/>
  <c r="K3244" i="1"/>
  <c r="L3243" i="1"/>
  <c r="N3242" i="1"/>
  <c r="O3244" i="1"/>
  <c r="P3243" i="1"/>
  <c r="K3243" i="1"/>
  <c r="M3242" i="1"/>
  <c r="M3244" i="1"/>
  <c r="O3243" i="1"/>
  <c r="Q3242" i="1"/>
  <c r="K3242" i="1"/>
  <c r="Q3244" i="1"/>
  <c r="N3098" i="1"/>
  <c r="N3099" i="1"/>
  <c r="N3100" i="1"/>
  <c r="N3102" i="1"/>
  <c r="M3103" i="1"/>
  <c r="K3106" i="1"/>
  <c r="O3106" i="1"/>
  <c r="M3107" i="1"/>
  <c r="K3108" i="1"/>
  <c r="O3108" i="1"/>
  <c r="M3110" i="1"/>
  <c r="Q3110" i="1"/>
  <c r="N3111" i="1"/>
  <c r="K3112" i="1"/>
  <c r="O3112" i="1"/>
  <c r="N3114" i="1"/>
  <c r="R3114" i="1"/>
  <c r="N3115" i="1"/>
  <c r="R3115" i="1"/>
  <c r="N3116" i="1"/>
  <c r="K3139" i="1"/>
  <c r="M3150" i="1"/>
  <c r="K3151" i="1"/>
  <c r="O3151" i="1"/>
  <c r="M3152" i="1"/>
  <c r="K3154" i="1"/>
  <c r="O3154" i="1"/>
  <c r="L3155" i="1"/>
  <c r="P3155" i="1"/>
  <c r="M3156" i="1"/>
  <c r="Q3156" i="1"/>
  <c r="G3160" i="1"/>
  <c r="S3164" i="1"/>
  <c r="O3164" i="1"/>
  <c r="K3164" i="1"/>
  <c r="P3163" i="1"/>
  <c r="L3163" i="1"/>
  <c r="Q3162" i="1"/>
  <c r="M3162" i="1"/>
  <c r="O3162" i="1"/>
  <c r="K3163" i="1"/>
  <c r="Q3163" i="1"/>
  <c r="M3164" i="1"/>
  <c r="R3164" i="1"/>
  <c r="J3176" i="1"/>
  <c r="L3179" i="1"/>
  <c r="M3183" i="1"/>
  <c r="L3182" i="1"/>
  <c r="M3184" i="1"/>
  <c r="L3183" i="1"/>
  <c r="K3182" i="1"/>
  <c r="L3184" i="1"/>
  <c r="O3242" i="1"/>
  <c r="K3098" i="1"/>
  <c r="K3099" i="1"/>
  <c r="L3106" i="1"/>
  <c r="P3106" i="1"/>
  <c r="N3107" i="1"/>
  <c r="L3108" i="1"/>
  <c r="N3110" i="1"/>
  <c r="K3111" i="1"/>
  <c r="O3111" i="1"/>
  <c r="L3112" i="1"/>
  <c r="N3150" i="1"/>
  <c r="L3151" i="1"/>
  <c r="P3151" i="1"/>
  <c r="L3154" i="1"/>
  <c r="P3154" i="1"/>
  <c r="M3155" i="1"/>
  <c r="Q3155" i="1"/>
  <c r="O3176" i="1"/>
  <c r="K3180" i="1"/>
  <c r="M3232" i="1"/>
  <c r="M3231" i="1"/>
  <c r="M3230" i="1"/>
  <c r="L3232" i="1"/>
  <c r="L3231" i="1"/>
  <c r="L3230" i="1"/>
  <c r="K3232" i="1"/>
  <c r="K3231" i="1"/>
  <c r="K3230" i="1"/>
  <c r="O3236" i="1"/>
  <c r="K3236" i="1"/>
  <c r="L3235" i="1"/>
  <c r="M3234" i="1"/>
  <c r="N3236" i="1"/>
  <c r="N3235" i="1"/>
  <c r="N3234" i="1"/>
  <c r="M3236" i="1"/>
  <c r="M3235" i="1"/>
  <c r="L3234" i="1"/>
  <c r="L3236" i="1"/>
  <c r="K3235" i="1"/>
  <c r="K3234" i="1"/>
  <c r="N3243" i="1"/>
  <c r="M3186" i="1"/>
  <c r="M3187" i="1"/>
  <c r="M3188" i="1"/>
  <c r="M3190" i="1"/>
  <c r="L3191" i="1"/>
  <c r="K3192" i="1"/>
  <c r="O3192" i="1"/>
  <c r="N3194" i="1"/>
  <c r="L3195" i="1"/>
  <c r="P3195" i="1"/>
  <c r="L3198" i="1"/>
  <c r="P3198" i="1"/>
  <c r="M3199" i="1"/>
  <c r="Q3199" i="1"/>
  <c r="N3200" i="1"/>
  <c r="M3202" i="1"/>
  <c r="Q3202" i="1"/>
  <c r="M3203" i="1"/>
  <c r="Q3203" i="1"/>
  <c r="M3204" i="1"/>
  <c r="Q3204" i="1"/>
  <c r="F3204" i="1"/>
  <c r="J3220" i="1"/>
  <c r="M3226" i="1"/>
  <c r="K3228" i="1"/>
  <c r="D3249" i="1"/>
  <c r="N3250" i="1"/>
  <c r="M3251" i="1"/>
  <c r="L3252" i="1"/>
  <c r="R3261" i="1"/>
  <c r="Q3295" i="1"/>
  <c r="N3186" i="1"/>
  <c r="N3187" i="1"/>
  <c r="N3190" i="1"/>
  <c r="M3191" i="1"/>
  <c r="M3198" i="1"/>
  <c r="Q3198" i="1"/>
  <c r="N3199" i="1"/>
  <c r="K3200" i="1"/>
  <c r="O3200" i="1"/>
  <c r="N3202" i="1"/>
  <c r="R3202" i="1"/>
  <c r="N3203" i="1"/>
  <c r="R3203" i="1"/>
  <c r="N3204" i="1"/>
  <c r="K3227" i="1"/>
  <c r="Q3250" i="1"/>
  <c r="P3251" i="1"/>
  <c r="K3268" i="1"/>
  <c r="K3266" i="1"/>
  <c r="L3267" i="1"/>
  <c r="K3267" i="1"/>
  <c r="K3276" i="1"/>
  <c r="K3275" i="1"/>
  <c r="K3274" i="1"/>
  <c r="M3276" i="1"/>
  <c r="M3275" i="1"/>
  <c r="M3274" i="1"/>
  <c r="L3275" i="1"/>
  <c r="N3276" i="1"/>
  <c r="N3274" i="1"/>
  <c r="N3198" i="1"/>
  <c r="K3199" i="1"/>
  <c r="O3199" i="1"/>
  <c r="L3200" i="1"/>
  <c r="G3248" i="1"/>
  <c r="F3248" i="1"/>
  <c r="E3248" i="1" s="1"/>
  <c r="R3252" i="1"/>
  <c r="N3252" i="1"/>
  <c r="S3251" i="1"/>
  <c r="O3251" i="1"/>
  <c r="K3251" i="1"/>
  <c r="P3250" i="1"/>
  <c r="L3250" i="1"/>
  <c r="Q3252" i="1"/>
  <c r="M3252" i="1"/>
  <c r="R3251" i="1"/>
  <c r="N3251" i="1"/>
  <c r="S3250" i="1"/>
  <c r="O3250" i="1"/>
  <c r="K3250" i="1"/>
  <c r="R3250" i="1"/>
  <c r="Q3251" i="1"/>
  <c r="P3252" i="1"/>
  <c r="S3296" i="1"/>
  <c r="O3296" i="1"/>
  <c r="K3296" i="1"/>
  <c r="P3295" i="1"/>
  <c r="L3295" i="1"/>
  <c r="Q3294" i="1"/>
  <c r="M3294" i="1"/>
  <c r="R3296" i="1"/>
  <c r="N3296" i="1"/>
  <c r="S3295" i="1"/>
  <c r="O3295" i="1"/>
  <c r="K3295" i="1"/>
  <c r="P3294" i="1"/>
  <c r="L3294" i="1"/>
  <c r="Q3296" i="1"/>
  <c r="M3296" i="1"/>
  <c r="R3295" i="1"/>
  <c r="N3295" i="1"/>
  <c r="S3294" i="1"/>
  <c r="O3294" i="1"/>
  <c r="K3294" i="1"/>
  <c r="M3295" i="1"/>
  <c r="P3296" i="1"/>
  <c r="R3294" i="1"/>
  <c r="N3238" i="1"/>
  <c r="L3239" i="1"/>
  <c r="P3239" i="1"/>
  <c r="M3246" i="1"/>
  <c r="Q3246" i="1"/>
  <c r="M3247" i="1"/>
  <c r="Q3247" i="1"/>
  <c r="M3248" i="1"/>
  <c r="Q3248" i="1"/>
  <c r="J3264" i="1"/>
  <c r="K3272" i="1"/>
  <c r="M3270" i="1"/>
  <c r="L3271" i="1"/>
  <c r="K3279" i="1"/>
  <c r="N3246" i="1"/>
  <c r="R3246" i="1"/>
  <c r="N3247" i="1"/>
  <c r="R3247" i="1"/>
  <c r="N3248" i="1"/>
  <c r="M3280" i="1"/>
  <c r="N3279" i="1"/>
  <c r="O3278" i="1"/>
  <c r="K3278" i="1"/>
  <c r="O3280" i="1"/>
  <c r="K3280" i="1"/>
  <c r="L3279" i="1"/>
  <c r="M3278" i="1"/>
  <c r="M3279" i="1"/>
  <c r="L3312" i="1"/>
  <c r="K3312" i="1"/>
  <c r="K3310" i="1"/>
  <c r="L3311" i="1"/>
  <c r="K3311" i="1"/>
  <c r="L3310" i="1"/>
  <c r="G3336" i="1"/>
  <c r="N3282" i="1"/>
  <c r="L3283" i="1"/>
  <c r="P3283" i="1"/>
  <c r="N3284" i="1"/>
  <c r="L3286" i="1"/>
  <c r="P3286" i="1"/>
  <c r="M3287" i="1"/>
  <c r="Q3287" i="1"/>
  <c r="N3288" i="1"/>
  <c r="M3290" i="1"/>
  <c r="Q3290" i="1"/>
  <c r="M3291" i="1"/>
  <c r="Q3291" i="1"/>
  <c r="M3292" i="1"/>
  <c r="Q3292" i="1"/>
  <c r="F3292" i="1"/>
  <c r="S3305" i="1"/>
  <c r="M3328" i="1"/>
  <c r="O3327" i="1"/>
  <c r="K3327" i="1"/>
  <c r="M3326" i="1"/>
  <c r="P3328" i="1"/>
  <c r="L3328" i="1"/>
  <c r="N3327" i="1"/>
  <c r="P3326" i="1"/>
  <c r="L3326" i="1"/>
  <c r="O3328" i="1"/>
  <c r="K3328" i="1"/>
  <c r="M3327" i="1"/>
  <c r="O3326" i="1"/>
  <c r="K3326" i="1"/>
  <c r="N3328" i="1"/>
  <c r="D3338" i="1"/>
  <c r="N3290" i="1"/>
  <c r="R3290" i="1"/>
  <c r="N3291" i="1"/>
  <c r="R3291" i="1"/>
  <c r="N3292" i="1"/>
  <c r="R3292" i="1"/>
  <c r="J3307" i="1"/>
  <c r="N3326" i="1"/>
  <c r="D3343" i="1"/>
  <c r="L3282" i="1"/>
  <c r="P3282" i="1"/>
  <c r="N3283" i="1"/>
  <c r="L3284" i="1"/>
  <c r="N3286" i="1"/>
  <c r="K3287" i="1"/>
  <c r="O3287" i="1"/>
  <c r="L3288" i="1"/>
  <c r="K3290" i="1"/>
  <c r="O3290" i="1"/>
  <c r="K3291" i="1"/>
  <c r="O3291" i="1"/>
  <c r="K3292" i="1"/>
  <c r="D3295" i="1"/>
  <c r="L3327" i="1"/>
  <c r="N3318" i="1"/>
  <c r="N3319" i="1"/>
  <c r="N3320" i="1"/>
  <c r="N3322" i="1"/>
  <c r="M3323" i="1"/>
  <c r="L3324" i="1"/>
  <c r="N3334" i="1"/>
  <c r="R3334" i="1"/>
  <c r="N3335" i="1"/>
  <c r="R3335" i="1"/>
  <c r="N3336" i="1"/>
  <c r="R3336" i="1"/>
  <c r="L3338" i="1"/>
  <c r="P3338" i="1"/>
  <c r="K3339" i="1"/>
  <c r="O3339" i="1"/>
  <c r="S3339" i="1"/>
  <c r="N3340" i="1"/>
  <c r="R3340" i="1"/>
  <c r="M3314" i="1"/>
  <c r="K3316" i="1"/>
  <c r="K3318" i="1"/>
  <c r="K3319" i="1"/>
  <c r="K3320" i="1"/>
  <c r="K3322" i="1"/>
  <c r="O3322" i="1"/>
  <c r="N3323" i="1"/>
  <c r="M3324" i="1"/>
  <c r="N3330" i="1"/>
  <c r="K3331" i="1"/>
  <c r="O3331" i="1"/>
  <c r="L3332" i="1"/>
  <c r="K3334" i="1"/>
  <c r="O3334" i="1"/>
  <c r="K3335" i="1"/>
  <c r="O3335" i="1"/>
  <c r="K3336" i="1"/>
  <c r="M3338" i="1"/>
  <c r="Q3338" i="1"/>
  <c r="L3339" i="1"/>
  <c r="P3339" i="1"/>
  <c r="K3340" i="1"/>
  <c r="O3340" i="1"/>
  <c r="S3340" i="1"/>
  <c r="K3315" i="1"/>
  <c r="L3318" i="1"/>
  <c r="L3319" i="1"/>
  <c r="L3322" i="1"/>
  <c r="K3323" i="1"/>
  <c r="O3323" i="1"/>
  <c r="N3338" i="1"/>
  <c r="R3338" i="1"/>
  <c r="M3339" i="1"/>
  <c r="Q3339" i="1"/>
  <c r="L3340" i="1"/>
  <c r="S3130" i="1" l="1"/>
  <c r="E3116" i="1"/>
  <c r="S2911" i="1"/>
  <c r="S3526" i="1"/>
  <c r="E1840" i="1"/>
  <c r="S3219" i="1"/>
  <c r="S3131" i="1"/>
  <c r="E3292" i="1"/>
  <c r="S2559" i="1"/>
  <c r="S2558" i="1"/>
  <c r="E2896" i="1"/>
  <c r="F5" i="4"/>
  <c r="E3204" i="1"/>
  <c r="S3308" i="1"/>
  <c r="E3336" i="1"/>
  <c r="S3262" i="1"/>
  <c r="E3160" i="1"/>
  <c r="S3132" i="1"/>
  <c r="R3131" i="1"/>
  <c r="E3072" i="1"/>
  <c r="E3028" i="1"/>
  <c r="E2984" i="1"/>
  <c r="E2940" i="1"/>
  <c r="E2852" i="1"/>
  <c r="S2823" i="1"/>
  <c r="E2808" i="1"/>
  <c r="E2368" i="1"/>
  <c r="S2734" i="1"/>
  <c r="S2736" i="1"/>
  <c r="E2764" i="1"/>
  <c r="E2720" i="1"/>
  <c r="S2910" i="1"/>
  <c r="S4319" i="1"/>
  <c r="E1708" i="1"/>
  <c r="S2604" i="1"/>
  <c r="S2516" i="1"/>
  <c r="Q3308" i="1"/>
  <c r="R4317" i="1"/>
  <c r="R4319" i="1" s="1"/>
  <c r="S2603" i="1"/>
  <c r="E2280" i="1"/>
  <c r="Q2208" i="1"/>
  <c r="E2500" i="1"/>
  <c r="S2428" i="1"/>
  <c r="S3263" i="1"/>
  <c r="Q3792" i="1"/>
  <c r="E2236" i="1"/>
  <c r="E2676" i="1"/>
  <c r="E2456" i="1"/>
  <c r="Q2648" i="1"/>
  <c r="E2632" i="1"/>
  <c r="S2602" i="1"/>
  <c r="E2588" i="1"/>
  <c r="E1972" i="1"/>
  <c r="E2192" i="1"/>
  <c r="E2544" i="1"/>
  <c r="R1679" i="1"/>
  <c r="S1679" i="1"/>
  <c r="S3614" i="1"/>
  <c r="S1678" i="1"/>
  <c r="F2718" i="1"/>
  <c r="S1944" i="1"/>
  <c r="E2412" i="1"/>
  <c r="Q2516" i="1"/>
  <c r="E2324" i="1"/>
  <c r="R2162" i="1"/>
  <c r="S2163" i="1"/>
  <c r="S2162" i="1"/>
  <c r="E2148" i="1"/>
  <c r="R3130" i="1"/>
  <c r="S3086" i="1"/>
  <c r="R3789" i="1"/>
  <c r="R3791" i="1" s="1"/>
  <c r="S3087" i="1"/>
  <c r="Q1636" i="1"/>
  <c r="R2821" i="1"/>
  <c r="R2822" i="1" s="1"/>
  <c r="E1752" i="1"/>
  <c r="S3704" i="1"/>
  <c r="Q3044" i="1"/>
  <c r="Q2604" i="1"/>
  <c r="S3791" i="1"/>
  <c r="S1898" i="1"/>
  <c r="S1987" i="1"/>
  <c r="Q1944" i="1"/>
  <c r="S3615" i="1"/>
  <c r="R1767" i="1"/>
  <c r="R1766" i="1"/>
  <c r="E2016" i="1"/>
  <c r="S1767" i="1"/>
  <c r="S1766" i="1"/>
  <c r="E1928" i="1"/>
  <c r="S2822" i="1"/>
  <c r="S2426" i="1"/>
  <c r="S1986" i="1"/>
  <c r="F2322" i="1"/>
  <c r="F3026" i="1"/>
  <c r="S2427" i="1"/>
  <c r="R2163" i="1"/>
  <c r="Q2161" i="1"/>
  <c r="Q2163" i="1" s="1"/>
  <c r="S1636" i="1"/>
  <c r="Q3132" i="1"/>
  <c r="F2454" i="1"/>
  <c r="S2648" i="1"/>
  <c r="F2234" i="1"/>
  <c r="G3202" i="1"/>
  <c r="G1750" i="1"/>
  <c r="E1664" i="1"/>
  <c r="E2104" i="1"/>
  <c r="R1855" i="1"/>
  <c r="G2234" i="1"/>
  <c r="R3526" i="1"/>
  <c r="G1706" i="1"/>
  <c r="E1796" i="1"/>
  <c r="G4346" i="1"/>
  <c r="G3730" i="1"/>
  <c r="Q2736" i="1"/>
  <c r="S3527" i="1"/>
  <c r="F3686" i="1"/>
  <c r="F3818" i="1"/>
  <c r="G3818" i="1"/>
  <c r="F3598" i="1"/>
  <c r="F3774" i="1"/>
  <c r="Q3525" i="1"/>
  <c r="Q3527" i="1" s="1"/>
  <c r="S1724" i="1"/>
  <c r="G2014" i="1"/>
  <c r="R1854" i="1"/>
  <c r="G3906" i="1"/>
  <c r="G3642" i="1"/>
  <c r="F1926" i="1"/>
  <c r="F2938" i="1"/>
  <c r="G2762" i="1"/>
  <c r="F2190" i="1"/>
  <c r="S1680" i="1"/>
  <c r="F3730" i="1"/>
  <c r="S1855" i="1"/>
  <c r="F3202" i="1"/>
  <c r="G3774" i="1"/>
  <c r="F1838" i="1"/>
  <c r="F1750" i="1"/>
  <c r="G2102" i="1"/>
  <c r="F4346" i="1"/>
  <c r="F3290" i="1"/>
  <c r="S1854" i="1"/>
  <c r="E2060" i="1"/>
  <c r="G1926" i="1"/>
  <c r="R3217" i="1"/>
  <c r="S3218" i="1"/>
  <c r="G2586" i="1"/>
  <c r="G1794" i="1"/>
  <c r="F2102" i="1"/>
  <c r="F3510" i="1"/>
  <c r="G1970" i="1"/>
  <c r="F2014" i="1"/>
  <c r="Q3528" i="1"/>
  <c r="G2982" i="1"/>
  <c r="F3554" i="1"/>
  <c r="G1838" i="1"/>
  <c r="G2058" i="1"/>
  <c r="S2735" i="1"/>
  <c r="R2733" i="1"/>
  <c r="G3598" i="1"/>
  <c r="G2938" i="1"/>
  <c r="G2190" i="1"/>
  <c r="G3510" i="1"/>
  <c r="G1882" i="1"/>
  <c r="R3701" i="1"/>
  <c r="S3703" i="1"/>
  <c r="S3702" i="1"/>
  <c r="S1900" i="1"/>
  <c r="F1706" i="1"/>
  <c r="S1899" i="1"/>
  <c r="Q1900" i="1"/>
  <c r="S1810" i="1"/>
  <c r="S1811" i="1"/>
  <c r="S1942" i="1"/>
  <c r="S1943" i="1"/>
  <c r="E1884" i="1"/>
  <c r="F1970" i="1"/>
  <c r="F1794" i="1"/>
  <c r="F2058" i="1"/>
  <c r="F1882" i="1"/>
  <c r="R1941" i="1"/>
  <c r="R1943" i="1" s="1"/>
  <c r="Q1724" i="1"/>
  <c r="R1809" i="1"/>
  <c r="R1811" i="1" s="1"/>
  <c r="S1768" i="1"/>
  <c r="Q1768" i="1"/>
  <c r="S2030" i="1"/>
  <c r="S2031" i="1"/>
  <c r="S1722" i="1"/>
  <c r="S1723" i="1"/>
  <c r="R1678" i="1"/>
  <c r="G2366" i="1"/>
  <c r="G3686" i="1"/>
  <c r="G2718" i="1"/>
  <c r="F3906" i="1"/>
  <c r="G3554" i="1"/>
  <c r="G3290" i="1"/>
  <c r="G3862" i="1"/>
  <c r="F3642" i="1"/>
  <c r="G2674" i="1"/>
  <c r="G2322" i="1"/>
  <c r="F2278" i="1"/>
  <c r="F1662" i="1"/>
  <c r="F3114" i="1"/>
  <c r="G2850" i="1"/>
  <c r="F2366" i="1"/>
  <c r="F2146" i="1"/>
  <c r="S4320" i="1"/>
  <c r="Q4320" i="1"/>
  <c r="Q3836" i="1"/>
  <c r="S3836" i="1"/>
  <c r="F2586" i="1"/>
  <c r="G2146" i="1"/>
  <c r="G1662" i="1"/>
  <c r="F3862" i="1"/>
  <c r="S3660" i="1"/>
  <c r="Q3660" i="1"/>
  <c r="S3616" i="1"/>
  <c r="Q3616" i="1"/>
  <c r="Q3613" i="1"/>
  <c r="R3615" i="1"/>
  <c r="R3614" i="1"/>
  <c r="S3483" i="1"/>
  <c r="R3481" i="1"/>
  <c r="S3482" i="1"/>
  <c r="G2498" i="1"/>
  <c r="G3246" i="1"/>
  <c r="G3158" i="1"/>
  <c r="G3114" i="1"/>
  <c r="F2850" i="1"/>
  <c r="F2674" i="1"/>
  <c r="G2278" i="1"/>
  <c r="S3835" i="1"/>
  <c r="S3834" i="1"/>
  <c r="R3833" i="1"/>
  <c r="S3748" i="1"/>
  <c r="Q3748" i="1"/>
  <c r="S3659" i="1"/>
  <c r="S3658" i="1"/>
  <c r="R3657" i="1"/>
  <c r="Q3572" i="1"/>
  <c r="S3572" i="1"/>
  <c r="Q3880" i="1"/>
  <c r="S3880" i="1"/>
  <c r="G3334" i="1"/>
  <c r="S3879" i="1"/>
  <c r="R3877" i="1"/>
  <c r="S3878" i="1"/>
  <c r="S3747" i="1"/>
  <c r="S3746" i="1"/>
  <c r="R3745" i="1"/>
  <c r="S3571" i="1"/>
  <c r="R3569" i="1"/>
  <c r="S3570" i="1"/>
  <c r="R2645" i="1"/>
  <c r="S2647" i="1"/>
  <c r="S2646" i="1"/>
  <c r="S2691" i="1"/>
  <c r="S2690" i="1"/>
  <c r="R2689" i="1"/>
  <c r="Q2692" i="1"/>
  <c r="S2692" i="1"/>
  <c r="R2603" i="1"/>
  <c r="R2602" i="1"/>
  <c r="Q2601" i="1"/>
  <c r="S2514" i="1"/>
  <c r="S2515" i="1"/>
  <c r="R2513" i="1"/>
  <c r="G2454" i="1"/>
  <c r="F2498" i="1"/>
  <c r="Q2472" i="1"/>
  <c r="S2472" i="1"/>
  <c r="Q2425" i="1"/>
  <c r="R2427" i="1"/>
  <c r="R2426" i="1"/>
  <c r="S2251" i="1"/>
  <c r="R2249" i="1"/>
  <c r="S2250" i="1"/>
  <c r="R2031" i="1"/>
  <c r="R2030" i="1"/>
  <c r="Q2029" i="1"/>
  <c r="R1723" i="1"/>
  <c r="R1722" i="1"/>
  <c r="Q1721" i="1"/>
  <c r="Q2557" i="1"/>
  <c r="R2559" i="1"/>
  <c r="R2558" i="1"/>
  <c r="Q2296" i="1"/>
  <c r="S2296" i="1"/>
  <c r="S2206" i="1"/>
  <c r="R2205" i="1"/>
  <c r="S2207" i="1"/>
  <c r="Q2164" i="1"/>
  <c r="S2164" i="1"/>
  <c r="S2075" i="1"/>
  <c r="S2074" i="1"/>
  <c r="R2073" i="1"/>
  <c r="Q1985" i="1"/>
  <c r="R1987" i="1"/>
  <c r="R1986" i="1"/>
  <c r="Q1854" i="1"/>
  <c r="Q1855" i="1"/>
  <c r="P1853" i="1"/>
  <c r="F2762" i="1"/>
  <c r="G2630" i="1"/>
  <c r="S2560" i="1"/>
  <c r="Q2560" i="1"/>
  <c r="R2293" i="1"/>
  <c r="S2295" i="1"/>
  <c r="S2294" i="1"/>
  <c r="G2410" i="1"/>
  <c r="F2410" i="1"/>
  <c r="S2340" i="1"/>
  <c r="Q2340" i="1"/>
  <c r="Q2252" i="1"/>
  <c r="S2252" i="1"/>
  <c r="S2120" i="1"/>
  <c r="Q2120" i="1"/>
  <c r="F2630" i="1"/>
  <c r="G2542" i="1"/>
  <c r="F2542" i="1"/>
  <c r="S2471" i="1"/>
  <c r="R2469" i="1"/>
  <c r="S2470" i="1"/>
  <c r="S2382" i="1"/>
  <c r="S2383" i="1"/>
  <c r="R2381" i="1"/>
  <c r="S2339" i="1"/>
  <c r="S2338" i="1"/>
  <c r="R2337" i="1"/>
  <c r="S2119" i="1"/>
  <c r="S2118" i="1"/>
  <c r="R2117" i="1"/>
  <c r="Q1897" i="1"/>
  <c r="R1899" i="1"/>
  <c r="R1898" i="1"/>
  <c r="S1634" i="1"/>
  <c r="S1635" i="1"/>
  <c r="R1633" i="1"/>
  <c r="Q1766" i="1"/>
  <c r="Q1767" i="1"/>
  <c r="P1765" i="1"/>
  <c r="Q1678" i="1"/>
  <c r="P1677" i="1"/>
  <c r="Q1679" i="1"/>
  <c r="Q2956" i="1"/>
  <c r="S2956" i="1"/>
  <c r="G3026" i="1"/>
  <c r="S2954" i="1"/>
  <c r="R2953" i="1"/>
  <c r="S2955" i="1"/>
  <c r="S2866" i="1"/>
  <c r="R2865" i="1"/>
  <c r="S2867" i="1"/>
  <c r="S3307" i="1"/>
  <c r="S3306" i="1"/>
  <c r="R3305" i="1"/>
  <c r="Q3220" i="1"/>
  <c r="S3220" i="1"/>
  <c r="F3246" i="1"/>
  <c r="Q3176" i="1"/>
  <c r="S3176" i="1"/>
  <c r="S3175" i="1"/>
  <c r="R3173" i="1"/>
  <c r="S3174" i="1"/>
  <c r="F3158" i="1"/>
  <c r="F2982" i="1"/>
  <c r="Q2909" i="1"/>
  <c r="R2911" i="1"/>
  <c r="R2910" i="1"/>
  <c r="F2806" i="1"/>
  <c r="G2806" i="1"/>
  <c r="Q3085" i="1"/>
  <c r="R3087" i="1"/>
  <c r="R3086" i="1"/>
  <c r="Q3131" i="1"/>
  <c r="Q3130" i="1"/>
  <c r="P3129" i="1"/>
  <c r="G3070" i="1"/>
  <c r="F3070" i="1"/>
  <c r="S2999" i="1"/>
  <c r="S2998" i="1"/>
  <c r="R2997" i="1"/>
  <c r="S3000" i="1"/>
  <c r="Q3000" i="1"/>
  <c r="S2779" i="1"/>
  <c r="S2778" i="1"/>
  <c r="R2777" i="1"/>
  <c r="S3088" i="1"/>
  <c r="Q3088" i="1"/>
  <c r="F3334" i="1"/>
  <c r="Q3261" i="1"/>
  <c r="R3262" i="1"/>
  <c r="R3263" i="1"/>
  <c r="S3264" i="1"/>
  <c r="Q3264" i="1"/>
  <c r="S3042" i="1"/>
  <c r="R3041" i="1"/>
  <c r="S3043" i="1"/>
  <c r="S2912" i="1"/>
  <c r="Q2912" i="1"/>
  <c r="F2894" i="1"/>
  <c r="G2894" i="1"/>
  <c r="C1627" i="1"/>
  <c r="B1627" i="1"/>
  <c r="C1626" i="1"/>
  <c r="B1626" i="1"/>
  <c r="C1625" i="1"/>
  <c r="B1625" i="1"/>
  <c r="C1624" i="1"/>
  <c r="B1624" i="1"/>
  <c r="C1623" i="1"/>
  <c r="B1623" i="1"/>
  <c r="G1622" i="1"/>
  <c r="F1622" i="1"/>
  <c r="C1622" i="1"/>
  <c r="B1622" i="1"/>
  <c r="C1621" i="1"/>
  <c r="B1621" i="1"/>
  <c r="C1620" i="1"/>
  <c r="B1620" i="1"/>
  <c r="C1619" i="1"/>
  <c r="B1619" i="1"/>
  <c r="C1618" i="1"/>
  <c r="B1618" i="1"/>
  <c r="B1601" i="1"/>
  <c r="C1601" i="1" s="1"/>
  <c r="D1601" i="1" s="1"/>
  <c r="G1601" i="1" s="1"/>
  <c r="H1601" i="1" s="1"/>
  <c r="E1598" i="1"/>
  <c r="G1595" i="1"/>
  <c r="F1595" i="1"/>
  <c r="D1595" i="1"/>
  <c r="C1583" i="1"/>
  <c r="B1583" i="1"/>
  <c r="C1582" i="1"/>
  <c r="B1582" i="1"/>
  <c r="C1581" i="1"/>
  <c r="B1581" i="1"/>
  <c r="C1580" i="1"/>
  <c r="B1580" i="1"/>
  <c r="C1579" i="1"/>
  <c r="B1579" i="1"/>
  <c r="G1578" i="1"/>
  <c r="F1578" i="1"/>
  <c r="C1578" i="1"/>
  <c r="B1578" i="1"/>
  <c r="C1577" i="1"/>
  <c r="B1577" i="1"/>
  <c r="C1576" i="1"/>
  <c r="B1576" i="1"/>
  <c r="C1575" i="1"/>
  <c r="B1575" i="1"/>
  <c r="C1574" i="1"/>
  <c r="B1574" i="1"/>
  <c r="B1557" i="1"/>
  <c r="C1557" i="1" s="1"/>
  <c r="D1557" i="1" s="1"/>
  <c r="G1557" i="1" s="1"/>
  <c r="H1557" i="1" s="1"/>
  <c r="E1554" i="1"/>
  <c r="G1551" i="1"/>
  <c r="F1551" i="1"/>
  <c r="D1551" i="1"/>
  <c r="C1539" i="1"/>
  <c r="B1539" i="1"/>
  <c r="C1538" i="1"/>
  <c r="B1538" i="1"/>
  <c r="C1537" i="1"/>
  <c r="B1537" i="1"/>
  <c r="C1536" i="1"/>
  <c r="B1536" i="1"/>
  <c r="C1535" i="1"/>
  <c r="B1535" i="1"/>
  <c r="G1534" i="1"/>
  <c r="F1534" i="1"/>
  <c r="C1534" i="1"/>
  <c r="B1534" i="1"/>
  <c r="C1533" i="1"/>
  <c r="B1533" i="1"/>
  <c r="C1532" i="1"/>
  <c r="B1532" i="1"/>
  <c r="C1531" i="1"/>
  <c r="B1531" i="1"/>
  <c r="C1530" i="1"/>
  <c r="B1530" i="1"/>
  <c r="B1513" i="1"/>
  <c r="C1513" i="1" s="1"/>
  <c r="D1513" i="1" s="1"/>
  <c r="G1513" i="1" s="1"/>
  <c r="H1513" i="1" s="1"/>
  <c r="E1510" i="1"/>
  <c r="G1507" i="1"/>
  <c r="F1507" i="1"/>
  <c r="D1507" i="1"/>
  <c r="E3334" i="1" l="1"/>
  <c r="E3158" i="1"/>
  <c r="Q4317" i="1"/>
  <c r="Q4319" i="1" s="1"/>
  <c r="E3114" i="1"/>
  <c r="E3246" i="1"/>
  <c r="E2982" i="1"/>
  <c r="E3290" i="1"/>
  <c r="E3202" i="1"/>
  <c r="E3070" i="1"/>
  <c r="E3026" i="1"/>
  <c r="E2938" i="1"/>
  <c r="E2894" i="1"/>
  <c r="E2850" i="1"/>
  <c r="E2806" i="1"/>
  <c r="R2823" i="1"/>
  <c r="E2762" i="1"/>
  <c r="E2718" i="1"/>
  <c r="Q3789" i="1"/>
  <c r="Q3791" i="1" s="1"/>
  <c r="R4318" i="1"/>
  <c r="Q2821" i="1"/>
  <c r="Q2822" i="1" s="1"/>
  <c r="R3790" i="1"/>
  <c r="Q1809" i="1"/>
  <c r="P1809" i="1" s="1"/>
  <c r="R1810" i="1"/>
  <c r="E2674" i="1"/>
  <c r="E2630" i="1"/>
  <c r="E2586" i="1"/>
  <c r="E1882" i="1"/>
  <c r="E2498" i="1"/>
  <c r="E2234" i="1"/>
  <c r="E2278" i="1"/>
  <c r="E2542" i="1"/>
  <c r="E2454" i="1"/>
  <c r="E2410" i="1"/>
  <c r="E2366" i="1"/>
  <c r="E2322" i="1"/>
  <c r="E2190" i="1"/>
  <c r="P2161" i="1"/>
  <c r="P2163" i="1" s="1"/>
  <c r="Q2162" i="1"/>
  <c r="E2146" i="1"/>
  <c r="Q1941" i="1"/>
  <c r="Q1942" i="1" s="1"/>
  <c r="Q3526" i="1"/>
  <c r="E1926" i="1"/>
  <c r="P3525" i="1"/>
  <c r="O3525" i="1" s="1"/>
  <c r="E1750" i="1"/>
  <c r="D1626" i="1"/>
  <c r="E1662" i="1"/>
  <c r="E1970" i="1"/>
  <c r="E1706" i="1"/>
  <c r="E1838" i="1"/>
  <c r="E2014" i="1"/>
  <c r="E2102" i="1"/>
  <c r="E2058" i="1"/>
  <c r="E1794" i="1"/>
  <c r="R3218" i="1"/>
  <c r="Q3217" i="1"/>
  <c r="R3219" i="1"/>
  <c r="R2735" i="1"/>
  <c r="Q2733" i="1"/>
  <c r="R2734" i="1"/>
  <c r="Q3701" i="1"/>
  <c r="R3703" i="1"/>
  <c r="R3702" i="1"/>
  <c r="E1534" i="1"/>
  <c r="D1578" i="1"/>
  <c r="R1942" i="1"/>
  <c r="D1537" i="1"/>
  <c r="D1535" i="1"/>
  <c r="Q4318" i="1"/>
  <c r="P4317" i="1"/>
  <c r="D1581" i="1"/>
  <c r="R3570" i="1"/>
  <c r="R3571" i="1"/>
  <c r="Q3569" i="1"/>
  <c r="Q3657" i="1"/>
  <c r="R3659" i="1"/>
  <c r="R3658" i="1"/>
  <c r="Q3481" i="1"/>
  <c r="R3483" i="1"/>
  <c r="R3482" i="1"/>
  <c r="Q3614" i="1"/>
  <c r="P3613" i="1"/>
  <c r="Q3615" i="1"/>
  <c r="Q3745" i="1"/>
  <c r="R3747" i="1"/>
  <c r="R3746" i="1"/>
  <c r="Q3877" i="1"/>
  <c r="R3879" i="1"/>
  <c r="R3878" i="1"/>
  <c r="Q3833" i="1"/>
  <c r="R3835" i="1"/>
  <c r="R3834" i="1"/>
  <c r="P1679" i="1"/>
  <c r="P1678" i="1"/>
  <c r="O1677" i="1"/>
  <c r="R2383" i="1"/>
  <c r="R2382" i="1"/>
  <c r="Q2381" i="1"/>
  <c r="Q2469" i="1"/>
  <c r="R2471" i="1"/>
  <c r="R2470" i="1"/>
  <c r="Q1986" i="1"/>
  <c r="P1985" i="1"/>
  <c r="Q1987" i="1"/>
  <c r="P2162" i="1"/>
  <c r="Q2558" i="1"/>
  <c r="P2557" i="1"/>
  <c r="Q2559" i="1"/>
  <c r="D1580" i="1"/>
  <c r="D1582" i="1"/>
  <c r="R1635" i="1"/>
  <c r="R1634" i="1"/>
  <c r="Q1633" i="1"/>
  <c r="Q2337" i="1"/>
  <c r="R2339" i="1"/>
  <c r="R2338" i="1"/>
  <c r="Q2073" i="1"/>
  <c r="R2074" i="1"/>
  <c r="R2075" i="1"/>
  <c r="P1721" i="1"/>
  <c r="Q1723" i="1"/>
  <c r="Q1722" i="1"/>
  <c r="P2029" i="1"/>
  <c r="Q2031" i="1"/>
  <c r="Q2030" i="1"/>
  <c r="Q2249" i="1"/>
  <c r="R2250" i="1"/>
  <c r="R2251" i="1"/>
  <c r="Q2426" i="1"/>
  <c r="P2425" i="1"/>
  <c r="Q2427" i="1"/>
  <c r="P2601" i="1"/>
  <c r="Q2603" i="1"/>
  <c r="Q2602" i="1"/>
  <c r="D1531" i="1"/>
  <c r="D1533" i="1"/>
  <c r="D1536" i="1"/>
  <c r="D1538" i="1"/>
  <c r="D1623" i="1"/>
  <c r="D1625" i="1"/>
  <c r="P1767" i="1"/>
  <c r="P1766" i="1"/>
  <c r="O1765" i="1"/>
  <c r="Q1898" i="1"/>
  <c r="P1897" i="1"/>
  <c r="Q1899" i="1"/>
  <c r="Q2117" i="1"/>
  <c r="R2119" i="1"/>
  <c r="R2118" i="1"/>
  <c r="R2294" i="1"/>
  <c r="Q2293" i="1"/>
  <c r="R2295" i="1"/>
  <c r="R2206" i="1"/>
  <c r="R2207" i="1"/>
  <c r="Q2205" i="1"/>
  <c r="R2514" i="1"/>
  <c r="Q2513" i="1"/>
  <c r="R2515" i="1"/>
  <c r="Q2689" i="1"/>
  <c r="R2691" i="1"/>
  <c r="R2690" i="1"/>
  <c r="P1855" i="1"/>
  <c r="O1853" i="1"/>
  <c r="P1854" i="1"/>
  <c r="R2646" i="1"/>
  <c r="R2647" i="1"/>
  <c r="Q2645" i="1"/>
  <c r="O3129" i="1"/>
  <c r="P3131" i="1"/>
  <c r="P3130" i="1"/>
  <c r="Q3305" i="1"/>
  <c r="R3306" i="1"/>
  <c r="R3307" i="1"/>
  <c r="R2867" i="1"/>
  <c r="R2866" i="1"/>
  <c r="Q2865" i="1"/>
  <c r="D1532" i="1"/>
  <c r="D1576" i="1"/>
  <c r="D1620" i="1"/>
  <c r="R3043" i="1"/>
  <c r="R3042" i="1"/>
  <c r="Q3041" i="1"/>
  <c r="Q3086" i="1"/>
  <c r="P3085" i="1"/>
  <c r="Q3087" i="1"/>
  <c r="R3174" i="1"/>
  <c r="R3175" i="1"/>
  <c r="Q3173" i="1"/>
  <c r="Q3262" i="1"/>
  <c r="Q3263" i="1"/>
  <c r="P3261" i="1"/>
  <c r="Q2777" i="1"/>
  <c r="R2779" i="1"/>
  <c r="R2778" i="1"/>
  <c r="Q2910" i="1"/>
  <c r="P2909" i="1"/>
  <c r="Q2911" i="1"/>
  <c r="D1539" i="1"/>
  <c r="D1583" i="1"/>
  <c r="D1627" i="1"/>
  <c r="Q2997" i="1"/>
  <c r="R2999" i="1"/>
  <c r="R2998" i="1"/>
  <c r="R2954" i="1"/>
  <c r="R2955" i="1"/>
  <c r="Q2953" i="1"/>
  <c r="E1622" i="1"/>
  <c r="D1579" i="1"/>
  <c r="D1575" i="1"/>
  <c r="D1624" i="1"/>
  <c r="E1578" i="1"/>
  <c r="D1577" i="1"/>
  <c r="D1574" i="1"/>
  <c r="G1576" i="1"/>
  <c r="D1622" i="1"/>
  <c r="D1619" i="1"/>
  <c r="G1620" i="1"/>
  <c r="D1621" i="1"/>
  <c r="D1618" i="1"/>
  <c r="G1532" i="1"/>
  <c r="D1530" i="1"/>
  <c r="D1534" i="1"/>
  <c r="F1532" i="1"/>
  <c r="F1576" i="1"/>
  <c r="F1620" i="1"/>
  <c r="O2161" i="1" l="1"/>
  <c r="N2161" i="1" s="1"/>
  <c r="P2821" i="1"/>
  <c r="P2822" i="1" s="1"/>
  <c r="P3526" i="1"/>
  <c r="P3527" i="1"/>
  <c r="Q2823" i="1"/>
  <c r="Q3790" i="1"/>
  <c r="P3789" i="1"/>
  <c r="P3790" i="1" s="1"/>
  <c r="Q1810" i="1"/>
  <c r="Q1811" i="1"/>
  <c r="Q1943" i="1"/>
  <c r="P1941" i="1"/>
  <c r="P1942" i="1" s="1"/>
  <c r="Q3219" i="1"/>
  <c r="Q3218" i="1"/>
  <c r="P3217" i="1"/>
  <c r="Q3703" i="1"/>
  <c r="Q3702" i="1"/>
  <c r="P3701" i="1"/>
  <c r="Q2735" i="1"/>
  <c r="P2733" i="1"/>
  <c r="Q2734" i="1"/>
  <c r="P4319" i="1"/>
  <c r="P4318" i="1"/>
  <c r="O4317" i="1"/>
  <c r="P3745" i="1"/>
  <c r="Q3747" i="1"/>
  <c r="Q3746" i="1"/>
  <c r="Q3878" i="1"/>
  <c r="Q3879" i="1"/>
  <c r="P3877" i="1"/>
  <c r="P3657" i="1"/>
  <c r="Q3659" i="1"/>
  <c r="Q3658" i="1"/>
  <c r="O3789" i="1"/>
  <c r="Q3835" i="1"/>
  <c r="P3833" i="1"/>
  <c r="Q3834" i="1"/>
  <c r="P3615" i="1"/>
  <c r="P3614" i="1"/>
  <c r="O3613" i="1"/>
  <c r="Q3482" i="1"/>
  <c r="P3481" i="1"/>
  <c r="Q3483" i="1"/>
  <c r="Q3571" i="1"/>
  <c r="Q3570" i="1"/>
  <c r="P3569" i="1"/>
  <c r="O3526" i="1"/>
  <c r="N3525" i="1"/>
  <c r="O3527" i="1"/>
  <c r="P2117" i="1"/>
  <c r="Q2119" i="1"/>
  <c r="Q2118" i="1"/>
  <c r="N1765" i="1"/>
  <c r="O1767" i="1"/>
  <c r="O1766" i="1"/>
  <c r="O2029" i="1"/>
  <c r="P2031" i="1"/>
  <c r="P2030" i="1"/>
  <c r="Q2691" i="1"/>
  <c r="P2689" i="1"/>
  <c r="Q2690" i="1"/>
  <c r="Q2207" i="1"/>
  <c r="P2205" i="1"/>
  <c r="Q2206" i="1"/>
  <c r="Q2295" i="1"/>
  <c r="Q2294" i="1"/>
  <c r="P2293" i="1"/>
  <c r="P2427" i="1"/>
  <c r="P2426" i="1"/>
  <c r="O2425" i="1"/>
  <c r="Q2251" i="1"/>
  <c r="P2249" i="1"/>
  <c r="Q2250" i="1"/>
  <c r="P2337" i="1"/>
  <c r="Q2339" i="1"/>
  <c r="Q2338" i="1"/>
  <c r="O1809" i="1"/>
  <c r="P1811" i="1"/>
  <c r="P1810" i="1"/>
  <c r="P1987" i="1"/>
  <c r="P1986" i="1"/>
  <c r="O1985" i="1"/>
  <c r="Q2470" i="1"/>
  <c r="Q2471" i="1"/>
  <c r="P2469" i="1"/>
  <c r="N1677" i="1"/>
  <c r="O1679" i="1"/>
  <c r="O1678" i="1"/>
  <c r="Q2647" i="1"/>
  <c r="Q2646" i="1"/>
  <c r="P2645" i="1"/>
  <c r="N1853" i="1"/>
  <c r="O1855" i="1"/>
  <c r="O1854" i="1"/>
  <c r="P1899" i="1"/>
  <c r="P1898" i="1"/>
  <c r="O1897" i="1"/>
  <c r="Q2075" i="1"/>
  <c r="P2073" i="1"/>
  <c r="Q2074" i="1"/>
  <c r="P1633" i="1"/>
  <c r="Q1635" i="1"/>
  <c r="Q1634" i="1"/>
  <c r="P2381" i="1"/>
  <c r="Q2383" i="1"/>
  <c r="Q2382" i="1"/>
  <c r="Q2515" i="1"/>
  <c r="P2513" i="1"/>
  <c r="Q2514" i="1"/>
  <c r="O2601" i="1"/>
  <c r="P2603" i="1"/>
  <c r="P2602" i="1"/>
  <c r="O1721" i="1"/>
  <c r="P1722" i="1"/>
  <c r="P1723" i="1"/>
  <c r="P2559" i="1"/>
  <c r="P2558" i="1"/>
  <c r="O2557" i="1"/>
  <c r="Q2998" i="1"/>
  <c r="P2997" i="1"/>
  <c r="Q2999" i="1"/>
  <c r="P3263" i="1"/>
  <c r="P3262" i="1"/>
  <c r="O3261" i="1"/>
  <c r="P3041" i="1"/>
  <c r="Q3043" i="1"/>
  <c r="Q3042" i="1"/>
  <c r="Q3307" i="1"/>
  <c r="P3305" i="1"/>
  <c r="Q3306" i="1"/>
  <c r="E1532" i="1"/>
  <c r="Q2955" i="1"/>
  <c r="P2953" i="1"/>
  <c r="Q2954" i="1"/>
  <c r="P2911" i="1"/>
  <c r="P2910" i="1"/>
  <c r="O2909" i="1"/>
  <c r="P2777" i="1"/>
  <c r="Q2778" i="1"/>
  <c r="Q2779" i="1"/>
  <c r="Q3175" i="1"/>
  <c r="P3173" i="1"/>
  <c r="Q3174" i="1"/>
  <c r="P3087" i="1"/>
  <c r="P3086" i="1"/>
  <c r="O3085" i="1"/>
  <c r="P2865" i="1"/>
  <c r="Q2867" i="1"/>
  <c r="Q2866" i="1"/>
  <c r="N3129" i="1"/>
  <c r="O3131" i="1"/>
  <c r="O3130" i="1"/>
  <c r="G1574" i="1"/>
  <c r="E1576" i="1"/>
  <c r="F1574" i="1"/>
  <c r="E1620" i="1"/>
  <c r="G1618" i="1"/>
  <c r="F1618" i="1"/>
  <c r="F1530" i="1"/>
  <c r="G1530" i="1"/>
  <c r="O2821" i="1" l="1"/>
  <c r="O2822" i="1" s="1"/>
  <c r="P2823" i="1"/>
  <c r="O2162" i="1"/>
  <c r="O2163" i="1"/>
  <c r="P3791" i="1"/>
  <c r="P1943" i="1"/>
  <c r="O1941" i="1"/>
  <c r="N1941" i="1" s="1"/>
  <c r="E1618" i="1"/>
  <c r="O3217" i="1"/>
  <c r="P3219" i="1"/>
  <c r="P3218" i="1"/>
  <c r="E1530" i="1"/>
  <c r="P3703" i="1"/>
  <c r="P3702" i="1"/>
  <c r="O3701" i="1"/>
  <c r="P2735" i="1"/>
  <c r="O2733" i="1"/>
  <c r="P2734" i="1"/>
  <c r="E1574" i="1"/>
  <c r="N4317" i="1"/>
  <c r="O4319" i="1"/>
  <c r="O4318" i="1"/>
  <c r="O3569" i="1"/>
  <c r="P3570" i="1"/>
  <c r="P3571" i="1"/>
  <c r="P3482" i="1"/>
  <c r="P3483" i="1"/>
  <c r="O3481" i="1"/>
  <c r="O3791" i="1"/>
  <c r="N3789" i="1"/>
  <c r="O3790" i="1"/>
  <c r="P3658" i="1"/>
  <c r="O3657" i="1"/>
  <c r="P3659" i="1"/>
  <c r="N3613" i="1"/>
  <c r="O3615" i="1"/>
  <c r="O3614" i="1"/>
  <c r="P3834" i="1"/>
  <c r="O3833" i="1"/>
  <c r="P3835" i="1"/>
  <c r="P3878" i="1"/>
  <c r="O3877" i="1"/>
  <c r="P3879" i="1"/>
  <c r="N3526" i="1"/>
  <c r="N3527" i="1"/>
  <c r="M3525" i="1"/>
  <c r="P3746" i="1"/>
  <c r="O3745" i="1"/>
  <c r="P3747" i="1"/>
  <c r="N2162" i="1"/>
  <c r="M2161" i="1"/>
  <c r="N2163" i="1"/>
  <c r="P2470" i="1"/>
  <c r="O2469" i="1"/>
  <c r="P2471" i="1"/>
  <c r="O1810" i="1"/>
  <c r="O1811" i="1"/>
  <c r="N1809" i="1"/>
  <c r="M1765" i="1"/>
  <c r="N1766" i="1"/>
  <c r="N1767" i="1"/>
  <c r="N2557" i="1"/>
  <c r="O2559" i="1"/>
  <c r="O2558" i="1"/>
  <c r="O2602" i="1"/>
  <c r="N2601" i="1"/>
  <c r="O2603" i="1"/>
  <c r="O1633" i="1"/>
  <c r="P1635" i="1"/>
  <c r="P1634" i="1"/>
  <c r="N1897" i="1"/>
  <c r="O1899" i="1"/>
  <c r="O1898" i="1"/>
  <c r="N1854" i="1"/>
  <c r="M1853" i="1"/>
  <c r="N1855" i="1"/>
  <c r="P2250" i="1"/>
  <c r="O2249" i="1"/>
  <c r="P2251" i="1"/>
  <c r="P2690" i="1"/>
  <c r="P2691" i="1"/>
  <c r="O2689" i="1"/>
  <c r="O2030" i="1"/>
  <c r="N2029" i="1"/>
  <c r="O2031" i="1"/>
  <c r="O1722" i="1"/>
  <c r="N1721" i="1"/>
  <c r="O1723" i="1"/>
  <c r="O2513" i="1"/>
  <c r="P2515" i="1"/>
  <c r="P2514" i="1"/>
  <c r="O2381" i="1"/>
  <c r="P2382" i="1"/>
  <c r="P2383" i="1"/>
  <c r="O1942" i="1"/>
  <c r="O2645" i="1"/>
  <c r="P2647" i="1"/>
  <c r="P2646" i="1"/>
  <c r="O2293" i="1"/>
  <c r="P2295" i="1"/>
  <c r="P2294" i="1"/>
  <c r="O2205" i="1"/>
  <c r="P2207" i="1"/>
  <c r="P2206" i="1"/>
  <c r="P2074" i="1"/>
  <c r="P2075" i="1"/>
  <c r="O2073" i="1"/>
  <c r="M1677" i="1"/>
  <c r="N1679" i="1"/>
  <c r="N1678" i="1"/>
  <c r="N1985" i="1"/>
  <c r="O1987" i="1"/>
  <c r="O1986" i="1"/>
  <c r="P2338" i="1"/>
  <c r="O2337" i="1"/>
  <c r="P2339" i="1"/>
  <c r="N2425" i="1"/>
  <c r="O2427" i="1"/>
  <c r="O2426" i="1"/>
  <c r="P2118" i="1"/>
  <c r="O2117" i="1"/>
  <c r="P2119" i="1"/>
  <c r="O2865" i="1"/>
  <c r="P2867" i="1"/>
  <c r="P2866" i="1"/>
  <c r="O3041" i="1"/>
  <c r="P3043" i="1"/>
  <c r="P3042" i="1"/>
  <c r="N3130" i="1"/>
  <c r="M3129" i="1"/>
  <c r="N3131" i="1"/>
  <c r="N3085" i="1"/>
  <c r="O3087" i="1"/>
  <c r="O3086" i="1"/>
  <c r="O3173" i="1"/>
  <c r="P3174" i="1"/>
  <c r="P3175" i="1"/>
  <c r="P2778" i="1"/>
  <c r="P2779" i="1"/>
  <c r="O2777" i="1"/>
  <c r="O2953" i="1"/>
  <c r="P2955" i="1"/>
  <c r="P2954" i="1"/>
  <c r="P3306" i="1"/>
  <c r="P3307" i="1"/>
  <c r="O3305" i="1"/>
  <c r="N3261" i="1"/>
  <c r="O3263" i="1"/>
  <c r="O3262" i="1"/>
  <c r="P2999" i="1"/>
  <c r="P2998" i="1"/>
  <c r="O2997" i="1"/>
  <c r="N2909" i="1"/>
  <c r="O2911" i="1"/>
  <c r="O2910" i="1"/>
  <c r="I3" i="2"/>
  <c r="N2821" i="1" l="1"/>
  <c r="O2823" i="1"/>
  <c r="O1943" i="1"/>
  <c r="N3217" i="1"/>
  <c r="O3219" i="1"/>
  <c r="O3218" i="1"/>
  <c r="N3701" i="1"/>
  <c r="O3703" i="1"/>
  <c r="O3702" i="1"/>
  <c r="O2734" i="1"/>
  <c r="O2735" i="1"/>
  <c r="N2733" i="1"/>
  <c r="M4317" i="1"/>
  <c r="N4319" i="1"/>
  <c r="N4318" i="1"/>
  <c r="M3527" i="1"/>
  <c r="M3526" i="1"/>
  <c r="L3525" i="1"/>
  <c r="O3879" i="1"/>
  <c r="N3877" i="1"/>
  <c r="O3878" i="1"/>
  <c r="N3790" i="1"/>
  <c r="N3791" i="1"/>
  <c r="M3789" i="1"/>
  <c r="O3659" i="1"/>
  <c r="O3658" i="1"/>
  <c r="N3657" i="1"/>
  <c r="O3483" i="1"/>
  <c r="O3482" i="1"/>
  <c r="N3481" i="1"/>
  <c r="O3747" i="1"/>
  <c r="O3746" i="1"/>
  <c r="N3745" i="1"/>
  <c r="O3835" i="1"/>
  <c r="O3834" i="1"/>
  <c r="N3833" i="1"/>
  <c r="M3613" i="1"/>
  <c r="N3615" i="1"/>
  <c r="N3614" i="1"/>
  <c r="O3571" i="1"/>
  <c r="N3569" i="1"/>
  <c r="O3570" i="1"/>
  <c r="M1678" i="1"/>
  <c r="L1677" i="1"/>
  <c r="M1679" i="1"/>
  <c r="N2293" i="1"/>
  <c r="O2295" i="1"/>
  <c r="O2294" i="1"/>
  <c r="O2515" i="1"/>
  <c r="N2513" i="1"/>
  <c r="O2514" i="1"/>
  <c r="O2339" i="1"/>
  <c r="O2338" i="1"/>
  <c r="N2337" i="1"/>
  <c r="M1985" i="1"/>
  <c r="N1987" i="1"/>
  <c r="N1986" i="1"/>
  <c r="O2075" i="1"/>
  <c r="N2073" i="1"/>
  <c r="O2074" i="1"/>
  <c r="O2206" i="1"/>
  <c r="O2207" i="1"/>
  <c r="N2205" i="1"/>
  <c r="N1943" i="1"/>
  <c r="N1942" i="1"/>
  <c r="M1941" i="1"/>
  <c r="O2382" i="1"/>
  <c r="N2381" i="1"/>
  <c r="O2383" i="1"/>
  <c r="N2031" i="1"/>
  <c r="N2030" i="1"/>
  <c r="M2029" i="1"/>
  <c r="O1634" i="1"/>
  <c r="O1635" i="1"/>
  <c r="N1633" i="1"/>
  <c r="N1723" i="1"/>
  <c r="N1722" i="1"/>
  <c r="M1721" i="1"/>
  <c r="M1854" i="1"/>
  <c r="M1855" i="1"/>
  <c r="L1853" i="1"/>
  <c r="M1897" i="1"/>
  <c r="N1899" i="1"/>
  <c r="N1898" i="1"/>
  <c r="M1766" i="1"/>
  <c r="M1767" i="1"/>
  <c r="L1765" i="1"/>
  <c r="M2163" i="1"/>
  <c r="M2162" i="1"/>
  <c r="L2161" i="1"/>
  <c r="O2119" i="1"/>
  <c r="O2118" i="1"/>
  <c r="N2117" i="1"/>
  <c r="M2425" i="1"/>
  <c r="N2427" i="1"/>
  <c r="N2426" i="1"/>
  <c r="N2645" i="1"/>
  <c r="O2647" i="1"/>
  <c r="O2646" i="1"/>
  <c r="O2691" i="1"/>
  <c r="O2690" i="1"/>
  <c r="N2689" i="1"/>
  <c r="O2251" i="1"/>
  <c r="O2250" i="1"/>
  <c r="N2249" i="1"/>
  <c r="N2603" i="1"/>
  <c r="N2602" i="1"/>
  <c r="M2601" i="1"/>
  <c r="M2557" i="1"/>
  <c r="N2559" i="1"/>
  <c r="N2558" i="1"/>
  <c r="N1811" i="1"/>
  <c r="N1810" i="1"/>
  <c r="M1809" i="1"/>
  <c r="O2471" i="1"/>
  <c r="N2469" i="1"/>
  <c r="O2470" i="1"/>
  <c r="M3131" i="1"/>
  <c r="M3130" i="1"/>
  <c r="L3129" i="1"/>
  <c r="O2954" i="1"/>
  <c r="O2955" i="1"/>
  <c r="N2953" i="1"/>
  <c r="O3307" i="1"/>
  <c r="N3305" i="1"/>
  <c r="O3306" i="1"/>
  <c r="O2999" i="1"/>
  <c r="O2998" i="1"/>
  <c r="N2997" i="1"/>
  <c r="O2779" i="1"/>
  <c r="O2778" i="1"/>
  <c r="N2777" i="1"/>
  <c r="M3085" i="1"/>
  <c r="N3087" i="1"/>
  <c r="N3086" i="1"/>
  <c r="M2821" i="1"/>
  <c r="N2822" i="1"/>
  <c r="N2823" i="1"/>
  <c r="O3042" i="1"/>
  <c r="N3041" i="1"/>
  <c r="O3043" i="1"/>
  <c r="M2909" i="1"/>
  <c r="N2911" i="1"/>
  <c r="N2910" i="1"/>
  <c r="M3261" i="1"/>
  <c r="N3262" i="1"/>
  <c r="N3263" i="1"/>
  <c r="O3174" i="1"/>
  <c r="O3175" i="1"/>
  <c r="N3173" i="1"/>
  <c r="O2866" i="1"/>
  <c r="O2867" i="1"/>
  <c r="N2865" i="1"/>
  <c r="C4003" i="1"/>
  <c r="B4003" i="1"/>
  <c r="C4002" i="1"/>
  <c r="B4002" i="1"/>
  <c r="C4001" i="1"/>
  <c r="B4001" i="1"/>
  <c r="J4000" i="1"/>
  <c r="C4000" i="1"/>
  <c r="B4000" i="1"/>
  <c r="J3999" i="1"/>
  <c r="C3999" i="1"/>
  <c r="B3999" i="1"/>
  <c r="K3998" i="1" a="1"/>
  <c r="J3998" i="1"/>
  <c r="G3998" i="1"/>
  <c r="F3998" i="1"/>
  <c r="E3998" i="1"/>
  <c r="C3998" i="1"/>
  <c r="B3998" i="1"/>
  <c r="C3997" i="1"/>
  <c r="B3997" i="1"/>
  <c r="J3996" i="1"/>
  <c r="E3996" i="1"/>
  <c r="C3996" i="1"/>
  <c r="B3996" i="1"/>
  <c r="J3995" i="1"/>
  <c r="C3995" i="1"/>
  <c r="B3995" i="1"/>
  <c r="K3994" i="1" a="1"/>
  <c r="O3996" i="1" s="1"/>
  <c r="J3994" i="1"/>
  <c r="E3994" i="1"/>
  <c r="C3994" i="1"/>
  <c r="B3994" i="1"/>
  <c r="J3992" i="1"/>
  <c r="J3991" i="1"/>
  <c r="K3990" i="1" a="1"/>
  <c r="J3990" i="1"/>
  <c r="J3988" i="1"/>
  <c r="J3987" i="1"/>
  <c r="K3986" i="1" a="1"/>
  <c r="J3986" i="1"/>
  <c r="J3984" i="1"/>
  <c r="J3983" i="1"/>
  <c r="K3982" i="1" a="1"/>
  <c r="N3984" i="1" s="1"/>
  <c r="J3982" i="1"/>
  <c r="J3980" i="1"/>
  <c r="J3979" i="1"/>
  <c r="K3978" i="1" a="1"/>
  <c r="L3980" i="1" s="1"/>
  <c r="J3978" i="1"/>
  <c r="B3977" i="1"/>
  <c r="C3977" i="1" s="1"/>
  <c r="D3977" i="1" s="1"/>
  <c r="G3977" i="1" s="1"/>
  <c r="H3977" i="1" s="1"/>
  <c r="J3976" i="1"/>
  <c r="J3975" i="1"/>
  <c r="K3974" i="1" a="1"/>
  <c r="M3976" i="1" s="1"/>
  <c r="J3974" i="1"/>
  <c r="E3974" i="1"/>
  <c r="J3972" i="1"/>
  <c r="J3971" i="1"/>
  <c r="G3971" i="1"/>
  <c r="F3971" i="1"/>
  <c r="D3971" i="1"/>
  <c r="K3970" i="1" a="1"/>
  <c r="J3970" i="1"/>
  <c r="J3965" i="1"/>
  <c r="J3967" i="1" s="1"/>
  <c r="C3959" i="1"/>
  <c r="B3959" i="1"/>
  <c r="C3958" i="1"/>
  <c r="B3958" i="1"/>
  <c r="C3957" i="1"/>
  <c r="B3957" i="1"/>
  <c r="J3956" i="1"/>
  <c r="C3956" i="1"/>
  <c r="B3956" i="1"/>
  <c r="J3955" i="1"/>
  <c r="C3955" i="1"/>
  <c r="B3955" i="1"/>
  <c r="K3954" i="1" a="1"/>
  <c r="Q3956" i="1" s="1"/>
  <c r="J3954" i="1"/>
  <c r="G3954" i="1"/>
  <c r="F3954" i="1"/>
  <c r="E3954" i="1"/>
  <c r="C3954" i="1"/>
  <c r="B3954" i="1"/>
  <c r="C3953" i="1"/>
  <c r="B3953" i="1"/>
  <c r="J3952" i="1"/>
  <c r="E3952" i="1"/>
  <c r="C3952" i="1"/>
  <c r="B3952" i="1"/>
  <c r="J3951" i="1"/>
  <c r="C3951" i="1"/>
  <c r="B3951" i="1"/>
  <c r="K3950" i="1" a="1"/>
  <c r="J3950" i="1"/>
  <c r="E3950" i="1"/>
  <c r="C3950" i="1"/>
  <c r="B3950" i="1"/>
  <c r="J3948" i="1"/>
  <c r="J3947" i="1"/>
  <c r="K3946" i="1" a="1"/>
  <c r="J3946" i="1"/>
  <c r="J3944" i="1"/>
  <c r="J3943" i="1"/>
  <c r="K3942" i="1" a="1"/>
  <c r="P3944" i="1" s="1"/>
  <c r="J3942" i="1"/>
  <c r="J3940" i="1"/>
  <c r="J3939" i="1"/>
  <c r="K3938" i="1" a="1"/>
  <c r="J3938" i="1"/>
  <c r="J3936" i="1"/>
  <c r="J3935" i="1"/>
  <c r="K3934" i="1" a="1"/>
  <c r="J3934" i="1"/>
  <c r="B3933" i="1"/>
  <c r="C3933" i="1" s="1"/>
  <c r="D3933" i="1" s="1"/>
  <c r="G3933" i="1" s="1"/>
  <c r="H3933" i="1" s="1"/>
  <c r="J3932" i="1"/>
  <c r="J3931" i="1"/>
  <c r="K3930" i="1" a="1"/>
  <c r="M3931" i="1" s="1"/>
  <c r="J3930" i="1"/>
  <c r="E3930" i="1"/>
  <c r="J3928" i="1"/>
  <c r="J3927" i="1"/>
  <c r="G3927" i="1"/>
  <c r="F3927" i="1"/>
  <c r="D3927" i="1"/>
  <c r="K3926" i="1" a="1"/>
  <c r="K3927" i="1" s="1"/>
  <c r="J3926" i="1"/>
  <c r="J3921" i="1"/>
  <c r="O3924" i="1" s="1"/>
  <c r="C3475" i="1"/>
  <c r="B3475" i="1"/>
  <c r="C3474" i="1"/>
  <c r="B3474" i="1"/>
  <c r="C3473" i="1"/>
  <c r="B3473" i="1"/>
  <c r="J3472" i="1"/>
  <c r="C3472" i="1"/>
  <c r="B3472" i="1"/>
  <c r="J3471" i="1"/>
  <c r="C3471" i="1"/>
  <c r="B3471" i="1"/>
  <c r="K3470" i="1" a="1"/>
  <c r="J3470" i="1"/>
  <c r="G3470" i="1"/>
  <c r="F3470" i="1"/>
  <c r="C3470" i="1"/>
  <c r="B3470" i="1"/>
  <c r="C3469" i="1"/>
  <c r="B3469" i="1"/>
  <c r="J3468" i="1"/>
  <c r="C3468" i="1"/>
  <c r="B3468" i="1"/>
  <c r="J3467" i="1"/>
  <c r="C3467" i="1"/>
  <c r="B3467" i="1"/>
  <c r="K3466" i="1" a="1"/>
  <c r="R3467" i="1" s="1"/>
  <c r="J3466" i="1"/>
  <c r="C3466" i="1"/>
  <c r="B3466" i="1"/>
  <c r="J3464" i="1"/>
  <c r="J3463" i="1"/>
  <c r="K3462" i="1" a="1"/>
  <c r="J3462" i="1"/>
  <c r="J3460" i="1"/>
  <c r="J3459" i="1"/>
  <c r="K3458" i="1" a="1"/>
  <c r="P3460" i="1" s="1"/>
  <c r="J3458" i="1"/>
  <c r="J3456" i="1"/>
  <c r="J3455" i="1"/>
  <c r="K3454" i="1" a="1"/>
  <c r="L3456" i="1" s="1"/>
  <c r="J3454" i="1"/>
  <c r="J3452" i="1"/>
  <c r="J3451" i="1"/>
  <c r="K3450" i="1" a="1"/>
  <c r="J3450" i="1"/>
  <c r="J3448" i="1"/>
  <c r="J3447" i="1"/>
  <c r="K3446" i="1" a="1"/>
  <c r="K3447" i="1" s="1"/>
  <c r="J3446" i="1"/>
  <c r="J3444" i="1"/>
  <c r="J3443" i="1"/>
  <c r="K3442" i="1" a="1"/>
  <c r="J3442" i="1"/>
  <c r="J3437" i="1"/>
  <c r="O3440" i="1" s="1"/>
  <c r="C3431" i="1"/>
  <c r="B3431" i="1"/>
  <c r="C3430" i="1"/>
  <c r="B3430" i="1"/>
  <c r="C3429" i="1"/>
  <c r="B3429" i="1"/>
  <c r="J3428" i="1"/>
  <c r="C3428" i="1"/>
  <c r="B3428" i="1"/>
  <c r="J3427" i="1"/>
  <c r="C3427" i="1"/>
  <c r="B3427" i="1"/>
  <c r="K3426" i="1" a="1"/>
  <c r="N3428" i="1" s="1"/>
  <c r="J3426" i="1"/>
  <c r="G3426" i="1"/>
  <c r="F3426" i="1"/>
  <c r="C3426" i="1"/>
  <c r="B3426" i="1"/>
  <c r="C3425" i="1"/>
  <c r="B3425" i="1"/>
  <c r="J3424" i="1"/>
  <c r="C3424" i="1"/>
  <c r="B3424" i="1"/>
  <c r="J3423" i="1"/>
  <c r="C3423" i="1"/>
  <c r="B3423" i="1"/>
  <c r="K3422" i="1" a="1"/>
  <c r="J3422" i="1"/>
  <c r="C3422" i="1"/>
  <c r="B3422" i="1"/>
  <c r="J3420" i="1"/>
  <c r="J3419" i="1"/>
  <c r="K3418" i="1" a="1"/>
  <c r="J3418" i="1"/>
  <c r="J3416" i="1"/>
  <c r="J3415" i="1"/>
  <c r="K3414" i="1" a="1"/>
  <c r="K3416" i="1" s="1"/>
  <c r="J3414" i="1"/>
  <c r="J3412" i="1"/>
  <c r="J3411" i="1"/>
  <c r="K3410" i="1" a="1"/>
  <c r="M3411" i="1" s="1"/>
  <c r="J3410" i="1"/>
  <c r="J3408" i="1"/>
  <c r="J3407" i="1"/>
  <c r="K3406" i="1" a="1"/>
  <c r="N3408" i="1" s="1"/>
  <c r="J3406" i="1"/>
  <c r="J3404" i="1"/>
  <c r="J3403" i="1"/>
  <c r="K3402" i="1" a="1"/>
  <c r="L3404" i="1" s="1"/>
  <c r="J3402" i="1"/>
  <c r="J3400" i="1"/>
  <c r="J3399" i="1"/>
  <c r="K3398" i="1" a="1"/>
  <c r="L3400" i="1" s="1"/>
  <c r="J3398" i="1"/>
  <c r="J3393" i="1"/>
  <c r="J3395" i="1" s="1"/>
  <c r="C3387" i="1"/>
  <c r="B3387" i="1"/>
  <c r="C3386" i="1"/>
  <c r="B3386" i="1"/>
  <c r="C3385" i="1"/>
  <c r="B3385" i="1"/>
  <c r="J3384" i="1"/>
  <c r="C3384" i="1"/>
  <c r="B3384" i="1"/>
  <c r="J3383" i="1"/>
  <c r="C3383" i="1"/>
  <c r="B3383" i="1"/>
  <c r="K3382" i="1" a="1"/>
  <c r="N3384" i="1" s="1"/>
  <c r="J3382" i="1"/>
  <c r="G3382" i="1"/>
  <c r="F3382" i="1"/>
  <c r="C3382" i="1"/>
  <c r="B3382" i="1"/>
  <c r="C3381" i="1"/>
  <c r="B3381" i="1"/>
  <c r="J3380" i="1"/>
  <c r="C3380" i="1"/>
  <c r="B3380" i="1"/>
  <c r="J3379" i="1"/>
  <c r="C3379" i="1"/>
  <c r="B3379" i="1"/>
  <c r="K3378" i="1" a="1"/>
  <c r="J3378" i="1"/>
  <c r="C3378" i="1"/>
  <c r="B3378" i="1"/>
  <c r="J3376" i="1"/>
  <c r="J3375" i="1"/>
  <c r="K3374" i="1" a="1"/>
  <c r="P3376" i="1" s="1"/>
  <c r="J3374" i="1"/>
  <c r="J3372" i="1"/>
  <c r="J3371" i="1"/>
  <c r="K3370" i="1" a="1"/>
  <c r="J3370" i="1"/>
  <c r="J3368" i="1"/>
  <c r="J3367" i="1"/>
  <c r="K3366" i="1" a="1"/>
  <c r="J3366" i="1"/>
  <c r="J3364" i="1"/>
  <c r="J3363" i="1"/>
  <c r="K3362" i="1" a="1"/>
  <c r="L3364" i="1" s="1"/>
  <c r="J3362" i="1"/>
  <c r="J3360" i="1"/>
  <c r="J3359" i="1"/>
  <c r="K3358" i="1" a="1"/>
  <c r="J3358" i="1"/>
  <c r="J3356" i="1"/>
  <c r="J3355" i="1"/>
  <c r="K3354" i="1" a="1"/>
  <c r="J3354" i="1"/>
  <c r="J3349" i="1"/>
  <c r="O3352" i="1" s="1"/>
  <c r="J1624" i="1"/>
  <c r="J1623" i="1"/>
  <c r="K1622" i="1" a="1"/>
  <c r="Q1624" i="1" s="1"/>
  <c r="J1622" i="1"/>
  <c r="J1620" i="1"/>
  <c r="J1619" i="1"/>
  <c r="K1618" i="1" a="1"/>
  <c r="R1620" i="1" s="1"/>
  <c r="J1618" i="1"/>
  <c r="J1616" i="1"/>
  <c r="J1615" i="1"/>
  <c r="K1614" i="1" a="1"/>
  <c r="N1616" i="1" s="1"/>
  <c r="J1614" i="1"/>
  <c r="J1612" i="1"/>
  <c r="J1611" i="1"/>
  <c r="K1610" i="1" a="1"/>
  <c r="J1610" i="1"/>
  <c r="J1608" i="1"/>
  <c r="J1607" i="1"/>
  <c r="K1606" i="1" a="1"/>
  <c r="L1608" i="1" s="1"/>
  <c r="J1606" i="1"/>
  <c r="J1604" i="1"/>
  <c r="J1603" i="1"/>
  <c r="K1602" i="1" a="1"/>
  <c r="N1604" i="1" s="1"/>
  <c r="J1602" i="1"/>
  <c r="J1600" i="1"/>
  <c r="J1599" i="1"/>
  <c r="K1598" i="1" a="1"/>
  <c r="J1598" i="1"/>
  <c r="J1596" i="1"/>
  <c r="J1595" i="1"/>
  <c r="K1594" i="1" a="1"/>
  <c r="J1594" i="1"/>
  <c r="J1589" i="1"/>
  <c r="J1590" i="1" s="1"/>
  <c r="J1580" i="1"/>
  <c r="J1579" i="1"/>
  <c r="K1578" i="1" a="1"/>
  <c r="N1580" i="1" s="1"/>
  <c r="J1578" i="1"/>
  <c r="J1576" i="1"/>
  <c r="J1575" i="1"/>
  <c r="K1574" i="1" a="1"/>
  <c r="J1574" i="1"/>
  <c r="J1572" i="1"/>
  <c r="J1571" i="1"/>
  <c r="K1570" i="1" a="1"/>
  <c r="M1572" i="1" s="1"/>
  <c r="J1570" i="1"/>
  <c r="J1568" i="1"/>
  <c r="J1567" i="1"/>
  <c r="K1566" i="1" a="1"/>
  <c r="N1568" i="1" s="1"/>
  <c r="J1566" i="1"/>
  <c r="J1564" i="1"/>
  <c r="J1563" i="1"/>
  <c r="K1562" i="1" a="1"/>
  <c r="L1564" i="1" s="1"/>
  <c r="J1562" i="1"/>
  <c r="J1560" i="1"/>
  <c r="J1559" i="1"/>
  <c r="K1558" i="1" a="1"/>
  <c r="J1558" i="1"/>
  <c r="J1556" i="1"/>
  <c r="J1555" i="1"/>
  <c r="K1554" i="1" a="1"/>
  <c r="J1554" i="1"/>
  <c r="J1552" i="1"/>
  <c r="J1551" i="1"/>
  <c r="K1550" i="1" a="1"/>
  <c r="L1552" i="1" s="1"/>
  <c r="J1550" i="1"/>
  <c r="J1545" i="1"/>
  <c r="O1548" i="1" s="1"/>
  <c r="J1536" i="1"/>
  <c r="J1535" i="1"/>
  <c r="K1534" i="1" a="1"/>
  <c r="J1534" i="1"/>
  <c r="J1532" i="1"/>
  <c r="J1531" i="1"/>
  <c r="K1530" i="1" a="1"/>
  <c r="J1530" i="1"/>
  <c r="J1528" i="1"/>
  <c r="J1527" i="1"/>
  <c r="K1526" i="1" a="1"/>
  <c r="Q1526" i="1" s="1"/>
  <c r="J1526" i="1"/>
  <c r="J1524" i="1"/>
  <c r="J1523" i="1"/>
  <c r="K1522" i="1" a="1"/>
  <c r="J1522" i="1"/>
  <c r="J1520" i="1"/>
  <c r="J1519" i="1"/>
  <c r="K1518" i="1" a="1"/>
  <c r="J1518" i="1"/>
  <c r="J1516" i="1"/>
  <c r="J1515" i="1"/>
  <c r="K1514" i="1" a="1"/>
  <c r="L1516" i="1" s="1"/>
  <c r="J1514" i="1"/>
  <c r="J1512" i="1"/>
  <c r="J1511" i="1"/>
  <c r="K1510" i="1" a="1"/>
  <c r="M1512" i="1" s="1"/>
  <c r="J1510" i="1"/>
  <c r="J1508" i="1"/>
  <c r="J1507" i="1"/>
  <c r="K1506" i="1" a="1"/>
  <c r="L1507" i="1" s="1"/>
  <c r="J1506" i="1"/>
  <c r="J1501" i="1"/>
  <c r="C4047" i="1"/>
  <c r="B4047" i="1"/>
  <c r="C4046" i="1"/>
  <c r="B4046" i="1"/>
  <c r="C4045" i="1"/>
  <c r="B4045" i="1"/>
  <c r="J4044" i="1"/>
  <c r="C4044" i="1"/>
  <c r="B4044" i="1"/>
  <c r="J4043" i="1"/>
  <c r="C4043" i="1"/>
  <c r="B4043" i="1"/>
  <c r="K4042" i="1" a="1"/>
  <c r="J4042" i="1"/>
  <c r="G4042" i="1"/>
  <c r="F4042" i="1"/>
  <c r="E4042" i="1"/>
  <c r="C4042" i="1"/>
  <c r="B4042" i="1"/>
  <c r="C4041" i="1"/>
  <c r="B4041" i="1"/>
  <c r="J4040" i="1"/>
  <c r="E4040" i="1"/>
  <c r="C4040" i="1"/>
  <c r="B4040" i="1"/>
  <c r="J4039" i="1"/>
  <c r="C4039" i="1"/>
  <c r="B4039" i="1"/>
  <c r="K4038" i="1" a="1"/>
  <c r="J4038" i="1"/>
  <c r="E4038" i="1"/>
  <c r="C4038" i="1"/>
  <c r="B4038" i="1"/>
  <c r="J4036" i="1"/>
  <c r="J4035" i="1"/>
  <c r="K4034" i="1" a="1"/>
  <c r="Q4036" i="1" s="1"/>
  <c r="J4034" i="1"/>
  <c r="J4032" i="1"/>
  <c r="J4031" i="1"/>
  <c r="K4030" i="1" a="1"/>
  <c r="O4032" i="1" s="1"/>
  <c r="J4030" i="1"/>
  <c r="J4028" i="1"/>
  <c r="J4027" i="1"/>
  <c r="K4026" i="1" a="1"/>
  <c r="J4026" i="1"/>
  <c r="J4024" i="1"/>
  <c r="J4023" i="1"/>
  <c r="K4022" i="1" a="1"/>
  <c r="N4024" i="1" s="1"/>
  <c r="J4022" i="1"/>
  <c r="B4021" i="1"/>
  <c r="C4021" i="1" s="1"/>
  <c r="D4021" i="1" s="1"/>
  <c r="G4021" i="1" s="1"/>
  <c r="H4021" i="1" s="1"/>
  <c r="J4020" i="1"/>
  <c r="J4019" i="1"/>
  <c r="K4018" i="1" a="1"/>
  <c r="M4019" i="1" s="1"/>
  <c r="J4018" i="1"/>
  <c r="E4018" i="1"/>
  <c r="J4016" i="1"/>
  <c r="J4015" i="1"/>
  <c r="G4015" i="1"/>
  <c r="F4015" i="1"/>
  <c r="D4015" i="1"/>
  <c r="K4014" i="1" a="1"/>
  <c r="J4014" i="1"/>
  <c r="J4009" i="1"/>
  <c r="O4012" i="1" s="1"/>
  <c r="C1495" i="1"/>
  <c r="B1495" i="1"/>
  <c r="C1494" i="1"/>
  <c r="B1494" i="1"/>
  <c r="C1493" i="1"/>
  <c r="B1493" i="1"/>
  <c r="J1492" i="1"/>
  <c r="C1492" i="1"/>
  <c r="B1492" i="1"/>
  <c r="J1491" i="1"/>
  <c r="C1491" i="1"/>
  <c r="B1491" i="1"/>
  <c r="K1490" i="1" a="1"/>
  <c r="L1492" i="1" s="1"/>
  <c r="J1490" i="1"/>
  <c r="G1490" i="1"/>
  <c r="F1490" i="1"/>
  <c r="C1490" i="1"/>
  <c r="B1490" i="1"/>
  <c r="C1489" i="1"/>
  <c r="B1489" i="1"/>
  <c r="J1488" i="1"/>
  <c r="C1488" i="1"/>
  <c r="B1488" i="1"/>
  <c r="J1487" i="1"/>
  <c r="C1487" i="1"/>
  <c r="B1487" i="1"/>
  <c r="K1486" i="1" a="1"/>
  <c r="P1487" i="1" s="1"/>
  <c r="J1486" i="1"/>
  <c r="C1486" i="1"/>
  <c r="B1486" i="1"/>
  <c r="J1484" i="1"/>
  <c r="J1483" i="1"/>
  <c r="K1482" i="1" a="1"/>
  <c r="M1484" i="1" s="1"/>
  <c r="J1482" i="1"/>
  <c r="J1480" i="1"/>
  <c r="J1479" i="1"/>
  <c r="K1478" i="1" a="1"/>
  <c r="M1480" i="1" s="1"/>
  <c r="J1478" i="1"/>
  <c r="J1476" i="1"/>
  <c r="J1475" i="1"/>
  <c r="K1474" i="1" a="1"/>
  <c r="N1476" i="1" s="1"/>
  <c r="J1474" i="1"/>
  <c r="J1472" i="1"/>
  <c r="J1471" i="1"/>
  <c r="K1470" i="1" a="1"/>
  <c r="J1470" i="1"/>
  <c r="B1469" i="1"/>
  <c r="C1469" i="1" s="1"/>
  <c r="D1469" i="1" s="1"/>
  <c r="G1469" i="1" s="1"/>
  <c r="H1469" i="1" s="1"/>
  <c r="J1468" i="1"/>
  <c r="J1467" i="1"/>
  <c r="K1466" i="1" a="1"/>
  <c r="K1467" i="1" s="1"/>
  <c r="J1466" i="1"/>
  <c r="E1466" i="1"/>
  <c r="J1464" i="1"/>
  <c r="J1463" i="1"/>
  <c r="G1463" i="1"/>
  <c r="F1463" i="1"/>
  <c r="D1463" i="1"/>
  <c r="K1462" i="1" a="1"/>
  <c r="J1462" i="1"/>
  <c r="J1457" i="1"/>
  <c r="O1460" i="1" s="1"/>
  <c r="C1451" i="1"/>
  <c r="B1451" i="1"/>
  <c r="C1450" i="1"/>
  <c r="B1450" i="1"/>
  <c r="C1449" i="1"/>
  <c r="B1449" i="1"/>
  <c r="J1448" i="1"/>
  <c r="C1448" i="1"/>
  <c r="B1448" i="1"/>
  <c r="J1447" i="1"/>
  <c r="C1447" i="1"/>
  <c r="B1447" i="1"/>
  <c r="K1446" i="1" a="1"/>
  <c r="J1446" i="1"/>
  <c r="G1446" i="1"/>
  <c r="F1446" i="1"/>
  <c r="C1446" i="1"/>
  <c r="B1446" i="1"/>
  <c r="C1445" i="1"/>
  <c r="B1445" i="1"/>
  <c r="J1444" i="1"/>
  <c r="C1444" i="1"/>
  <c r="B1444" i="1"/>
  <c r="J1443" i="1"/>
  <c r="C1443" i="1"/>
  <c r="B1443" i="1"/>
  <c r="K1442" i="1" a="1"/>
  <c r="R1444" i="1" s="1"/>
  <c r="J1442" i="1"/>
  <c r="C1442" i="1"/>
  <c r="B1442" i="1"/>
  <c r="J1440" i="1"/>
  <c r="J1439" i="1"/>
  <c r="K1438" i="1" a="1"/>
  <c r="P1440" i="1" s="1"/>
  <c r="J1438" i="1"/>
  <c r="J1436" i="1"/>
  <c r="J1435" i="1"/>
  <c r="K1434" i="1" a="1"/>
  <c r="O1434" i="1" s="1"/>
  <c r="J1434" i="1"/>
  <c r="J1432" i="1"/>
  <c r="J1431" i="1"/>
  <c r="K1430" i="1" a="1"/>
  <c r="K1431" i="1" s="1"/>
  <c r="J1430" i="1"/>
  <c r="J1428" i="1"/>
  <c r="J1427" i="1"/>
  <c r="K1426" i="1" a="1"/>
  <c r="N1428" i="1" s="1"/>
  <c r="J1426" i="1"/>
  <c r="B1425" i="1"/>
  <c r="C1425" i="1" s="1"/>
  <c r="D1425" i="1" s="1"/>
  <c r="G1425" i="1" s="1"/>
  <c r="H1425" i="1" s="1"/>
  <c r="J1424" i="1"/>
  <c r="J1423" i="1"/>
  <c r="K1422" i="1" a="1"/>
  <c r="L1424" i="1" s="1"/>
  <c r="J1422" i="1"/>
  <c r="E1422" i="1"/>
  <c r="J1420" i="1"/>
  <c r="J1419" i="1"/>
  <c r="G1419" i="1"/>
  <c r="F1419" i="1"/>
  <c r="D1419" i="1"/>
  <c r="K1418" i="1" a="1"/>
  <c r="L1419" i="1" s="1"/>
  <c r="J1418" i="1"/>
  <c r="J1413" i="1"/>
  <c r="O1416" i="1" s="1"/>
  <c r="C1407" i="1"/>
  <c r="B1407" i="1"/>
  <c r="C1406" i="1"/>
  <c r="B1406" i="1"/>
  <c r="C1405" i="1"/>
  <c r="B1405" i="1"/>
  <c r="J1404" i="1"/>
  <c r="C1404" i="1"/>
  <c r="B1404" i="1"/>
  <c r="J1403" i="1"/>
  <c r="C1403" i="1"/>
  <c r="B1403" i="1"/>
  <c r="K1402" i="1" a="1"/>
  <c r="P1404" i="1" s="1"/>
  <c r="J1402" i="1"/>
  <c r="G1402" i="1"/>
  <c r="F1402" i="1"/>
  <c r="C1402" i="1"/>
  <c r="B1402" i="1"/>
  <c r="C1401" i="1"/>
  <c r="B1401" i="1"/>
  <c r="J1400" i="1"/>
  <c r="C1400" i="1"/>
  <c r="B1400" i="1"/>
  <c r="J1399" i="1"/>
  <c r="C1399" i="1"/>
  <c r="B1399" i="1"/>
  <c r="K1398" i="1" a="1"/>
  <c r="N1400" i="1" s="1"/>
  <c r="J1398" i="1"/>
  <c r="C1398" i="1"/>
  <c r="B1398" i="1"/>
  <c r="J1396" i="1"/>
  <c r="J1395" i="1"/>
  <c r="K1394" i="1" a="1"/>
  <c r="P1396" i="1" s="1"/>
  <c r="J1394" i="1"/>
  <c r="J1392" i="1"/>
  <c r="J1391" i="1"/>
  <c r="K1390" i="1" a="1"/>
  <c r="J1390" i="1"/>
  <c r="J1388" i="1"/>
  <c r="J1387" i="1"/>
  <c r="K1386" i="1" a="1"/>
  <c r="O1387" i="1" s="1"/>
  <c r="J1386" i="1"/>
  <c r="J1384" i="1"/>
  <c r="J1383" i="1"/>
  <c r="K1382" i="1" a="1"/>
  <c r="K1384" i="1" s="1"/>
  <c r="J1382" i="1"/>
  <c r="B1381" i="1"/>
  <c r="C1381" i="1" s="1"/>
  <c r="D1381" i="1" s="1"/>
  <c r="G1381" i="1" s="1"/>
  <c r="H1381" i="1" s="1"/>
  <c r="J1380" i="1"/>
  <c r="J1379" i="1"/>
  <c r="K1378" i="1" a="1"/>
  <c r="L1380" i="1" s="1"/>
  <c r="J1378" i="1"/>
  <c r="E1378" i="1"/>
  <c r="J1376" i="1"/>
  <c r="J1375" i="1"/>
  <c r="G1375" i="1"/>
  <c r="F1375" i="1"/>
  <c r="D1375" i="1"/>
  <c r="K1374" i="1" a="1"/>
  <c r="K1376" i="1" s="1"/>
  <c r="J1374" i="1"/>
  <c r="J1369" i="1"/>
  <c r="C1363" i="1"/>
  <c r="B1363" i="1"/>
  <c r="C1362" i="1"/>
  <c r="B1362" i="1"/>
  <c r="C1361" i="1"/>
  <c r="B1361" i="1"/>
  <c r="J1360" i="1"/>
  <c r="C1360" i="1"/>
  <c r="B1360" i="1"/>
  <c r="J1359" i="1"/>
  <c r="C1359" i="1"/>
  <c r="B1359" i="1"/>
  <c r="K1358" i="1" a="1"/>
  <c r="J1358" i="1"/>
  <c r="G1358" i="1"/>
  <c r="F1358" i="1"/>
  <c r="C1358" i="1"/>
  <c r="B1358" i="1"/>
  <c r="C1357" i="1"/>
  <c r="B1357" i="1"/>
  <c r="J1356" i="1"/>
  <c r="C1356" i="1"/>
  <c r="B1356" i="1"/>
  <c r="J1355" i="1"/>
  <c r="C1355" i="1"/>
  <c r="B1355" i="1"/>
  <c r="K1354" i="1" a="1"/>
  <c r="P1356" i="1" s="1"/>
  <c r="J1354" i="1"/>
  <c r="C1354" i="1"/>
  <c r="B1354" i="1"/>
  <c r="J1352" i="1"/>
  <c r="J1351" i="1"/>
  <c r="K1350" i="1" a="1"/>
  <c r="K1352" i="1" s="1"/>
  <c r="J1350" i="1"/>
  <c r="J1348" i="1"/>
  <c r="J1347" i="1"/>
  <c r="K1346" i="1" a="1"/>
  <c r="N1348" i="1" s="1"/>
  <c r="J1346" i="1"/>
  <c r="J1344" i="1"/>
  <c r="J1343" i="1"/>
  <c r="K1342" i="1" a="1"/>
  <c r="J1342" i="1"/>
  <c r="J1340" i="1"/>
  <c r="J1339" i="1"/>
  <c r="K1338" i="1" a="1"/>
  <c r="N1339" i="1" s="1"/>
  <c r="J1338" i="1"/>
  <c r="B1337" i="1"/>
  <c r="C1337" i="1" s="1"/>
  <c r="D1337" i="1" s="1"/>
  <c r="G1337" i="1" s="1"/>
  <c r="H1337" i="1" s="1"/>
  <c r="J1336" i="1"/>
  <c r="J1335" i="1"/>
  <c r="K1334" i="1" a="1"/>
  <c r="L1334" i="1" s="1"/>
  <c r="J1334" i="1"/>
  <c r="E1334" i="1"/>
  <c r="J1332" i="1"/>
  <c r="J1331" i="1"/>
  <c r="G1331" i="1"/>
  <c r="F1331" i="1"/>
  <c r="D1331" i="1"/>
  <c r="K1330" i="1" a="1"/>
  <c r="J1330" i="1"/>
  <c r="J1325" i="1"/>
  <c r="J1327" i="1" s="1"/>
  <c r="C1319" i="1"/>
  <c r="B1319" i="1"/>
  <c r="C1318" i="1"/>
  <c r="B1318" i="1"/>
  <c r="C1317" i="1"/>
  <c r="B1317" i="1"/>
  <c r="J1316" i="1"/>
  <c r="C1316" i="1"/>
  <c r="B1316" i="1"/>
  <c r="J1315" i="1"/>
  <c r="C1315" i="1"/>
  <c r="B1315" i="1"/>
  <c r="K1314" i="1" a="1"/>
  <c r="N1316" i="1" s="1"/>
  <c r="J1314" i="1"/>
  <c r="G1314" i="1"/>
  <c r="F1314" i="1"/>
  <c r="C1314" i="1"/>
  <c r="B1314" i="1"/>
  <c r="C1313" i="1"/>
  <c r="B1313" i="1"/>
  <c r="J1312" i="1"/>
  <c r="C1312" i="1"/>
  <c r="B1312" i="1"/>
  <c r="J1311" i="1"/>
  <c r="C1311" i="1"/>
  <c r="B1311" i="1"/>
  <c r="K1310" i="1" a="1"/>
  <c r="P1311" i="1" s="1"/>
  <c r="J1310" i="1"/>
  <c r="C1310" i="1"/>
  <c r="B1310" i="1"/>
  <c r="J1308" i="1"/>
  <c r="J1307" i="1"/>
  <c r="K1306" i="1" a="1"/>
  <c r="Q1308" i="1" s="1"/>
  <c r="J1306" i="1"/>
  <c r="J1304" i="1"/>
  <c r="J1303" i="1"/>
  <c r="K1302" i="1" a="1"/>
  <c r="P1303" i="1" s="1"/>
  <c r="J1302" i="1"/>
  <c r="J1300" i="1"/>
  <c r="J1299" i="1"/>
  <c r="K1298" i="1" a="1"/>
  <c r="J1298" i="1"/>
  <c r="J1296" i="1"/>
  <c r="J1295" i="1"/>
  <c r="K1294" i="1" a="1"/>
  <c r="N1296" i="1" s="1"/>
  <c r="J1294" i="1"/>
  <c r="B1293" i="1"/>
  <c r="C1293" i="1" s="1"/>
  <c r="D1293" i="1" s="1"/>
  <c r="G1293" i="1" s="1"/>
  <c r="H1293" i="1" s="1"/>
  <c r="J1292" i="1"/>
  <c r="J1291" i="1"/>
  <c r="K1290" i="1" a="1"/>
  <c r="J1290" i="1"/>
  <c r="E1290" i="1"/>
  <c r="J1288" i="1"/>
  <c r="J1287" i="1"/>
  <c r="G1287" i="1"/>
  <c r="F1287" i="1"/>
  <c r="D1287" i="1"/>
  <c r="K1286" i="1" a="1"/>
  <c r="L1287" i="1" s="1"/>
  <c r="J1286" i="1"/>
  <c r="J1281" i="1"/>
  <c r="O1284" i="1" s="1"/>
  <c r="C1275" i="1"/>
  <c r="B1275" i="1"/>
  <c r="C1274" i="1"/>
  <c r="B1274" i="1"/>
  <c r="C1273" i="1"/>
  <c r="B1273" i="1"/>
  <c r="J1272" i="1"/>
  <c r="C1272" i="1"/>
  <c r="B1272" i="1"/>
  <c r="J1271" i="1"/>
  <c r="C1271" i="1"/>
  <c r="B1271" i="1"/>
  <c r="K1270" i="1" a="1"/>
  <c r="P1271" i="1" s="1"/>
  <c r="J1270" i="1"/>
  <c r="G1270" i="1"/>
  <c r="F1270" i="1"/>
  <c r="C1270" i="1"/>
  <c r="B1270" i="1"/>
  <c r="B1269" i="1"/>
  <c r="J1268" i="1"/>
  <c r="C1268" i="1"/>
  <c r="B1268" i="1"/>
  <c r="J1267" i="1"/>
  <c r="C1267" i="1"/>
  <c r="B1267" i="1"/>
  <c r="K1266" i="1" a="1"/>
  <c r="R1268" i="1" s="1"/>
  <c r="J1266" i="1"/>
  <c r="C1266" i="1"/>
  <c r="B1266" i="1"/>
  <c r="J1264" i="1"/>
  <c r="J1263" i="1"/>
  <c r="K1262" i="1" a="1"/>
  <c r="O1263" i="1" s="1"/>
  <c r="J1262" i="1"/>
  <c r="J1260" i="1"/>
  <c r="J1259" i="1"/>
  <c r="K1258" i="1" a="1"/>
  <c r="N1260" i="1" s="1"/>
  <c r="J1258" i="1"/>
  <c r="J1256" i="1"/>
  <c r="J1255" i="1"/>
  <c r="K1254" i="1" a="1"/>
  <c r="L1256" i="1" s="1"/>
  <c r="J1254" i="1"/>
  <c r="J1252" i="1"/>
  <c r="J1251" i="1"/>
  <c r="K1250" i="1" a="1"/>
  <c r="N1252" i="1" s="1"/>
  <c r="J1250" i="1"/>
  <c r="B1249" i="1"/>
  <c r="C1249" i="1" s="1"/>
  <c r="D1249" i="1" s="1"/>
  <c r="G1249" i="1" s="1"/>
  <c r="H1249" i="1" s="1"/>
  <c r="J1248" i="1"/>
  <c r="J1247" i="1"/>
  <c r="K1246" i="1" a="1"/>
  <c r="L1247" i="1" s="1"/>
  <c r="J1246" i="1"/>
  <c r="E1246" i="1"/>
  <c r="J1244" i="1"/>
  <c r="J1243" i="1"/>
  <c r="G1243" i="1"/>
  <c r="F1243" i="1"/>
  <c r="D1243" i="1"/>
  <c r="K1242" i="1" a="1"/>
  <c r="L1243" i="1" s="1"/>
  <c r="J1242" i="1"/>
  <c r="J1237" i="1"/>
  <c r="O1240" i="1" s="1"/>
  <c r="C4135" i="1"/>
  <c r="B4135" i="1"/>
  <c r="C4134" i="1"/>
  <c r="B4134" i="1"/>
  <c r="C4133" i="1"/>
  <c r="B4133" i="1"/>
  <c r="J4132" i="1"/>
  <c r="C4132" i="1"/>
  <c r="B4132" i="1"/>
  <c r="J4131" i="1"/>
  <c r="C4131" i="1"/>
  <c r="B4131" i="1"/>
  <c r="K4130" i="1" a="1"/>
  <c r="N4131" i="1" s="1"/>
  <c r="J4130" i="1"/>
  <c r="G4130" i="1"/>
  <c r="F4130" i="1"/>
  <c r="E4130" i="1"/>
  <c r="C4130" i="1"/>
  <c r="B4130" i="1"/>
  <c r="C4129" i="1"/>
  <c r="B4129" i="1"/>
  <c r="J4128" i="1"/>
  <c r="E4128" i="1"/>
  <c r="C4128" i="1"/>
  <c r="B4128" i="1"/>
  <c r="J4127" i="1"/>
  <c r="C4127" i="1"/>
  <c r="B4127" i="1"/>
  <c r="K4126" i="1" a="1"/>
  <c r="O4128" i="1" s="1"/>
  <c r="J4126" i="1"/>
  <c r="E4126" i="1"/>
  <c r="C4126" i="1"/>
  <c r="B4126" i="1"/>
  <c r="J4124" i="1"/>
  <c r="J4123" i="1"/>
  <c r="K4122" i="1" a="1"/>
  <c r="K4122" i="1" s="1"/>
  <c r="J4122" i="1"/>
  <c r="J4120" i="1"/>
  <c r="J4119" i="1"/>
  <c r="K4118" i="1" a="1"/>
  <c r="M4120" i="1" s="1"/>
  <c r="J4118" i="1"/>
  <c r="J4116" i="1"/>
  <c r="J4115" i="1"/>
  <c r="K4114" i="1" a="1"/>
  <c r="N4116" i="1" s="1"/>
  <c r="J4114" i="1"/>
  <c r="J4112" i="1"/>
  <c r="J4111" i="1"/>
  <c r="K4110" i="1" a="1"/>
  <c r="M4111" i="1" s="1"/>
  <c r="J4110" i="1"/>
  <c r="B4109" i="1"/>
  <c r="C4109" i="1" s="1"/>
  <c r="D4109" i="1" s="1"/>
  <c r="G4109" i="1" s="1"/>
  <c r="H4109" i="1" s="1"/>
  <c r="J4108" i="1"/>
  <c r="J4107" i="1"/>
  <c r="K4106" i="1" a="1"/>
  <c r="M4108" i="1" s="1"/>
  <c r="J4106" i="1"/>
  <c r="E4106" i="1"/>
  <c r="J4104" i="1"/>
  <c r="J4103" i="1"/>
  <c r="G4103" i="1"/>
  <c r="F4103" i="1"/>
  <c r="D4103" i="1"/>
  <c r="K4102" i="1" a="1"/>
  <c r="J4102" i="1"/>
  <c r="J4097" i="1"/>
  <c r="S4097" i="1" s="1"/>
  <c r="C4179" i="1"/>
  <c r="B4179" i="1"/>
  <c r="C4178" i="1"/>
  <c r="B4178" i="1"/>
  <c r="C4177" i="1"/>
  <c r="B4177" i="1"/>
  <c r="J4176" i="1"/>
  <c r="C4176" i="1"/>
  <c r="B4176" i="1"/>
  <c r="J4175" i="1"/>
  <c r="C4175" i="1"/>
  <c r="B4175" i="1"/>
  <c r="K4174" i="1" a="1"/>
  <c r="Q4176" i="1" s="1"/>
  <c r="J4174" i="1"/>
  <c r="G4174" i="1"/>
  <c r="F4174" i="1"/>
  <c r="E4174" i="1"/>
  <c r="C4174" i="1"/>
  <c r="B4174" i="1"/>
  <c r="C4173" i="1"/>
  <c r="B4173" i="1"/>
  <c r="J4172" i="1"/>
  <c r="E4172" i="1"/>
  <c r="C4172" i="1"/>
  <c r="B4172" i="1"/>
  <c r="J4171" i="1"/>
  <c r="C4171" i="1"/>
  <c r="B4171" i="1"/>
  <c r="K4170" i="1" a="1"/>
  <c r="P4172" i="1" s="1"/>
  <c r="J4170" i="1"/>
  <c r="E4170" i="1"/>
  <c r="C4170" i="1"/>
  <c r="B4170" i="1"/>
  <c r="J4168" i="1"/>
  <c r="J4167" i="1"/>
  <c r="K4166" i="1" a="1"/>
  <c r="P4168" i="1" s="1"/>
  <c r="J4166" i="1"/>
  <c r="J4164" i="1"/>
  <c r="J4163" i="1"/>
  <c r="K4162" i="1" a="1"/>
  <c r="J4162" i="1"/>
  <c r="J4160" i="1"/>
  <c r="J4159" i="1"/>
  <c r="K4158" i="1" a="1"/>
  <c r="O4160" i="1" s="1"/>
  <c r="J4158" i="1"/>
  <c r="J4156" i="1"/>
  <c r="J4155" i="1"/>
  <c r="K4154" i="1" a="1"/>
  <c r="J4154" i="1"/>
  <c r="B4153" i="1"/>
  <c r="C4153" i="1" s="1"/>
  <c r="D4153" i="1" s="1"/>
  <c r="G4153" i="1" s="1"/>
  <c r="H4153" i="1" s="1"/>
  <c r="J4152" i="1"/>
  <c r="J4151" i="1"/>
  <c r="K4150" i="1" a="1"/>
  <c r="J4150" i="1"/>
  <c r="E4150" i="1"/>
  <c r="J4148" i="1"/>
  <c r="J4147" i="1"/>
  <c r="G4147" i="1"/>
  <c r="F4147" i="1"/>
  <c r="D4147" i="1"/>
  <c r="K4146" i="1" a="1"/>
  <c r="J4146" i="1"/>
  <c r="J4141" i="1"/>
  <c r="S4141" i="1" s="1"/>
  <c r="S4142" i="1" s="1"/>
  <c r="C4223" i="1"/>
  <c r="B4223" i="1"/>
  <c r="C4222" i="1"/>
  <c r="B4222" i="1"/>
  <c r="C4221" i="1"/>
  <c r="B4221" i="1"/>
  <c r="J4220" i="1"/>
  <c r="C4220" i="1"/>
  <c r="B4220" i="1"/>
  <c r="J4219" i="1"/>
  <c r="C4219" i="1"/>
  <c r="B4219" i="1"/>
  <c r="K4218" i="1" a="1"/>
  <c r="S4218" i="1" s="1"/>
  <c r="J4218" i="1"/>
  <c r="G4218" i="1"/>
  <c r="F4218" i="1"/>
  <c r="E4218" i="1"/>
  <c r="C4218" i="1"/>
  <c r="B4218" i="1"/>
  <c r="C4217" i="1"/>
  <c r="B4217" i="1"/>
  <c r="J4216" i="1"/>
  <c r="E4216" i="1"/>
  <c r="C4216" i="1"/>
  <c r="B4216" i="1"/>
  <c r="J4215" i="1"/>
  <c r="C4215" i="1"/>
  <c r="B4215" i="1"/>
  <c r="K4214" i="1" a="1"/>
  <c r="L4216" i="1" s="1"/>
  <c r="J4214" i="1"/>
  <c r="E4214" i="1"/>
  <c r="C4214" i="1"/>
  <c r="B4214" i="1"/>
  <c r="J4212" i="1"/>
  <c r="J4211" i="1"/>
  <c r="K4210" i="1" a="1"/>
  <c r="Q4211" i="1" s="1"/>
  <c r="J4210" i="1"/>
  <c r="J4208" i="1"/>
  <c r="J4207" i="1"/>
  <c r="K4206" i="1" a="1"/>
  <c r="P4207" i="1" s="1"/>
  <c r="J4206" i="1"/>
  <c r="J4204" i="1"/>
  <c r="J4203" i="1"/>
  <c r="K4202" i="1" a="1"/>
  <c r="O4204" i="1" s="1"/>
  <c r="J4202" i="1"/>
  <c r="J4200" i="1"/>
  <c r="J4199" i="1"/>
  <c r="K4198" i="1" a="1"/>
  <c r="M4200" i="1" s="1"/>
  <c r="J4198" i="1"/>
  <c r="B4197" i="1"/>
  <c r="C4197" i="1" s="1"/>
  <c r="D4197" i="1" s="1"/>
  <c r="G4197" i="1" s="1"/>
  <c r="H4197" i="1" s="1"/>
  <c r="J4196" i="1"/>
  <c r="J4195" i="1"/>
  <c r="K4194" i="1" a="1"/>
  <c r="J4194" i="1"/>
  <c r="E4194" i="1"/>
  <c r="J4192" i="1"/>
  <c r="J4191" i="1"/>
  <c r="G4191" i="1"/>
  <c r="F4191" i="1"/>
  <c r="D4191" i="1"/>
  <c r="K4190" i="1" a="1"/>
  <c r="L4192" i="1" s="1"/>
  <c r="J4190" i="1"/>
  <c r="J4185" i="1"/>
  <c r="C4267" i="1"/>
  <c r="B4267" i="1"/>
  <c r="C4266" i="1"/>
  <c r="B4266" i="1"/>
  <c r="C4265" i="1"/>
  <c r="B4265" i="1"/>
  <c r="J4264" i="1"/>
  <c r="C4264" i="1"/>
  <c r="B4264" i="1"/>
  <c r="J4263" i="1"/>
  <c r="C4263" i="1"/>
  <c r="B4263" i="1"/>
  <c r="K4262" i="1" a="1"/>
  <c r="N4263" i="1" s="1"/>
  <c r="J4262" i="1"/>
  <c r="G4262" i="1"/>
  <c r="F4262" i="1"/>
  <c r="E4262" i="1"/>
  <c r="C4262" i="1"/>
  <c r="B4262" i="1"/>
  <c r="C4261" i="1"/>
  <c r="B4261" i="1"/>
  <c r="J4260" i="1"/>
  <c r="E4260" i="1"/>
  <c r="C4260" i="1"/>
  <c r="B4260" i="1"/>
  <c r="J4259" i="1"/>
  <c r="C4259" i="1"/>
  <c r="B4259" i="1"/>
  <c r="K4258" i="1" a="1"/>
  <c r="Q4258" i="1" s="1"/>
  <c r="J4258" i="1"/>
  <c r="E4258" i="1"/>
  <c r="C4258" i="1"/>
  <c r="B4258" i="1"/>
  <c r="J4256" i="1"/>
  <c r="J4255" i="1"/>
  <c r="K4254" i="1" a="1"/>
  <c r="K4256" i="1" s="1"/>
  <c r="J4254" i="1"/>
  <c r="J4252" i="1"/>
  <c r="J4251" i="1"/>
  <c r="K4250" i="1" a="1"/>
  <c r="P4251" i="1" s="1"/>
  <c r="J4250" i="1"/>
  <c r="J4248" i="1"/>
  <c r="J4247" i="1"/>
  <c r="K4246" i="1" a="1"/>
  <c r="J4246" i="1"/>
  <c r="J4244" i="1"/>
  <c r="J4243" i="1"/>
  <c r="K4242" i="1" a="1"/>
  <c r="M4243" i="1" s="1"/>
  <c r="J4242" i="1"/>
  <c r="B4241" i="1"/>
  <c r="C4241" i="1" s="1"/>
  <c r="D4241" i="1" s="1"/>
  <c r="G4241" i="1" s="1"/>
  <c r="H4241" i="1" s="1"/>
  <c r="J4240" i="1"/>
  <c r="J4239" i="1"/>
  <c r="K4238" i="1" a="1"/>
  <c r="L4240" i="1" s="1"/>
  <c r="J4238" i="1"/>
  <c r="E4238" i="1"/>
  <c r="J4236" i="1"/>
  <c r="J4235" i="1"/>
  <c r="G4235" i="1"/>
  <c r="F4235" i="1"/>
  <c r="D4235" i="1"/>
  <c r="K4234" i="1" a="1"/>
  <c r="J4234" i="1"/>
  <c r="J4229" i="1"/>
  <c r="S4229" i="1" s="1"/>
  <c r="S4231" i="1" s="1"/>
  <c r="C4311" i="1"/>
  <c r="B4311" i="1"/>
  <c r="C4310" i="1"/>
  <c r="B4310" i="1"/>
  <c r="C4309" i="1"/>
  <c r="B4309" i="1"/>
  <c r="J4308" i="1"/>
  <c r="C4308" i="1"/>
  <c r="B4308" i="1"/>
  <c r="J4307" i="1"/>
  <c r="C4307" i="1"/>
  <c r="B4307" i="1"/>
  <c r="K4306" i="1" a="1"/>
  <c r="P4308" i="1" s="1"/>
  <c r="J4306" i="1"/>
  <c r="G4306" i="1"/>
  <c r="F4306" i="1"/>
  <c r="E4306" i="1"/>
  <c r="C4306" i="1"/>
  <c r="B4306" i="1"/>
  <c r="C4305" i="1"/>
  <c r="B4305" i="1"/>
  <c r="J4304" i="1"/>
  <c r="E4304" i="1"/>
  <c r="C4304" i="1"/>
  <c r="B4304" i="1"/>
  <c r="J4303" i="1"/>
  <c r="C4303" i="1"/>
  <c r="B4303" i="1"/>
  <c r="K4302" i="1" a="1"/>
  <c r="P4303" i="1" s="1"/>
  <c r="J4302" i="1"/>
  <c r="E4302" i="1"/>
  <c r="C4302" i="1"/>
  <c r="B4302" i="1"/>
  <c r="J4300" i="1"/>
  <c r="J4299" i="1"/>
  <c r="K4298" i="1" a="1"/>
  <c r="N4299" i="1" s="1"/>
  <c r="J4298" i="1"/>
  <c r="J4296" i="1"/>
  <c r="J4295" i="1"/>
  <c r="K4294" i="1" a="1"/>
  <c r="P4295" i="1" s="1"/>
  <c r="J4294" i="1"/>
  <c r="J4292" i="1"/>
  <c r="J4291" i="1"/>
  <c r="K4290" i="1" a="1"/>
  <c r="O4292" i="1" s="1"/>
  <c r="J4290" i="1"/>
  <c r="J4288" i="1"/>
  <c r="J4287" i="1"/>
  <c r="K4286" i="1" a="1"/>
  <c r="M4287" i="1" s="1"/>
  <c r="J4286" i="1"/>
  <c r="B4285" i="1"/>
  <c r="C4285" i="1" s="1"/>
  <c r="D4285" i="1" s="1"/>
  <c r="G4285" i="1" s="1"/>
  <c r="H4285" i="1" s="1"/>
  <c r="J4284" i="1"/>
  <c r="J4283" i="1"/>
  <c r="K4282" i="1" a="1"/>
  <c r="J4282" i="1"/>
  <c r="E4282" i="1"/>
  <c r="J4280" i="1"/>
  <c r="J4279" i="1"/>
  <c r="G4279" i="1"/>
  <c r="F4279" i="1"/>
  <c r="D4279" i="1"/>
  <c r="K4278" i="1" a="1"/>
  <c r="J4278" i="1"/>
  <c r="J4273" i="1"/>
  <c r="E3426" i="1" l="1"/>
  <c r="E3382" i="1"/>
  <c r="E3470" i="1"/>
  <c r="K1507" i="1"/>
  <c r="D4171" i="1"/>
  <c r="L4128" i="1"/>
  <c r="D4214" i="1"/>
  <c r="K4238" i="1"/>
  <c r="K3955" i="1"/>
  <c r="D3957" i="1"/>
  <c r="D3959" i="1"/>
  <c r="N3219" i="1"/>
  <c r="N3218" i="1"/>
  <c r="M3217" i="1"/>
  <c r="L4238" i="1"/>
  <c r="M4166" i="1"/>
  <c r="K4116" i="1"/>
  <c r="L4126" i="1"/>
  <c r="M2733" i="1"/>
  <c r="N2734" i="1"/>
  <c r="N2735" i="1"/>
  <c r="M3995" i="1"/>
  <c r="N3703" i="1"/>
  <c r="N3702" i="1"/>
  <c r="M3701" i="1"/>
  <c r="M4318" i="1"/>
  <c r="L4317" i="1"/>
  <c r="M4319" i="1"/>
  <c r="M3833" i="1"/>
  <c r="N3835" i="1"/>
  <c r="N3834" i="1"/>
  <c r="M3657" i="1"/>
  <c r="N3659" i="1"/>
  <c r="N3658" i="1"/>
  <c r="D3467" i="1"/>
  <c r="K3525" i="1"/>
  <c r="L3527" i="1"/>
  <c r="L3526" i="1"/>
  <c r="M3481" i="1"/>
  <c r="N3483" i="1"/>
  <c r="N3482" i="1"/>
  <c r="N3570" i="1"/>
  <c r="N3571" i="1"/>
  <c r="M3569" i="1"/>
  <c r="M3614" i="1"/>
  <c r="L3613" i="1"/>
  <c r="M3615" i="1"/>
  <c r="M3745" i="1"/>
  <c r="N3747" i="1"/>
  <c r="N3746" i="1"/>
  <c r="M3791" i="1"/>
  <c r="M3790" i="1"/>
  <c r="L3789" i="1"/>
  <c r="M3877" i="1"/>
  <c r="N3879" i="1"/>
  <c r="N3878" i="1"/>
  <c r="L1767" i="1"/>
  <c r="L1766" i="1"/>
  <c r="K1765" i="1"/>
  <c r="L1941" i="1"/>
  <c r="M1943" i="1"/>
  <c r="M1942" i="1"/>
  <c r="M2337" i="1"/>
  <c r="N2339" i="1"/>
  <c r="N2338" i="1"/>
  <c r="N2514" i="1"/>
  <c r="N2515" i="1"/>
  <c r="M2513" i="1"/>
  <c r="N2294" i="1"/>
  <c r="M2293" i="1"/>
  <c r="N2295" i="1"/>
  <c r="L1809" i="1"/>
  <c r="M1811" i="1"/>
  <c r="M1810" i="1"/>
  <c r="M2689" i="1"/>
  <c r="N2690" i="1"/>
  <c r="N2691" i="1"/>
  <c r="M2426" i="1"/>
  <c r="L2425" i="1"/>
  <c r="M2427" i="1"/>
  <c r="K2161" i="1"/>
  <c r="L2163" i="1"/>
  <c r="L2162" i="1"/>
  <c r="M1898" i="1"/>
  <c r="L1897" i="1"/>
  <c r="M1899" i="1"/>
  <c r="L1721" i="1"/>
  <c r="M1723" i="1"/>
  <c r="M1722" i="1"/>
  <c r="M2558" i="1"/>
  <c r="L2557" i="1"/>
  <c r="M2559" i="1"/>
  <c r="M2249" i="1"/>
  <c r="N2250" i="1"/>
  <c r="N2251" i="1"/>
  <c r="N2646" i="1"/>
  <c r="M2645" i="1"/>
  <c r="N2647" i="1"/>
  <c r="M2117" i="1"/>
  <c r="N2119" i="1"/>
  <c r="N2118" i="1"/>
  <c r="L1855" i="1"/>
  <c r="K1853" i="1"/>
  <c r="L1854" i="1"/>
  <c r="L2029" i="1"/>
  <c r="M2031" i="1"/>
  <c r="M2030" i="1"/>
  <c r="N2383" i="1"/>
  <c r="N2382" i="1"/>
  <c r="M2381" i="1"/>
  <c r="L1679" i="1"/>
  <c r="K1677" i="1"/>
  <c r="L1678" i="1"/>
  <c r="M2469" i="1"/>
  <c r="N2471" i="1"/>
  <c r="N2470" i="1"/>
  <c r="L2601" i="1"/>
  <c r="M2603" i="1"/>
  <c r="M2602" i="1"/>
  <c r="N1635" i="1"/>
  <c r="N1634" i="1"/>
  <c r="M1633" i="1"/>
  <c r="N2206" i="1"/>
  <c r="N2207" i="1"/>
  <c r="M2205" i="1"/>
  <c r="M2073" i="1"/>
  <c r="N2074" i="1"/>
  <c r="N2075" i="1"/>
  <c r="M1986" i="1"/>
  <c r="L1985" i="1"/>
  <c r="M1987" i="1"/>
  <c r="N3174" i="1"/>
  <c r="N3175" i="1"/>
  <c r="M3173" i="1"/>
  <c r="M2910" i="1"/>
  <c r="L2909" i="1"/>
  <c r="M2911" i="1"/>
  <c r="N2867" i="1"/>
  <c r="N2866" i="1"/>
  <c r="M2865" i="1"/>
  <c r="M3262" i="1"/>
  <c r="M3263" i="1"/>
  <c r="L3261" i="1"/>
  <c r="M3086" i="1"/>
  <c r="L3085" i="1"/>
  <c r="M3087" i="1"/>
  <c r="M2997" i="1"/>
  <c r="N2999" i="1"/>
  <c r="N2998" i="1"/>
  <c r="M3305" i="1"/>
  <c r="N3306" i="1"/>
  <c r="N3307" i="1"/>
  <c r="N3043" i="1"/>
  <c r="N3042" i="1"/>
  <c r="M3041" i="1"/>
  <c r="M2823" i="1"/>
  <c r="L2821" i="1"/>
  <c r="M2822" i="1"/>
  <c r="M2777" i="1"/>
  <c r="N2779" i="1"/>
  <c r="N2778" i="1"/>
  <c r="K3129" i="1"/>
  <c r="L3131" i="1"/>
  <c r="L3130" i="1"/>
  <c r="N2954" i="1"/>
  <c r="M2953" i="1"/>
  <c r="N2955" i="1"/>
  <c r="Q4299" i="1"/>
  <c r="L4239" i="1"/>
  <c r="M3374" i="1"/>
  <c r="L4291" i="1"/>
  <c r="D4303" i="1"/>
  <c r="M4298" i="1"/>
  <c r="M4216" i="1"/>
  <c r="M4172" i="1"/>
  <c r="D4134" i="1"/>
  <c r="O1528" i="1"/>
  <c r="O1562" i="1"/>
  <c r="M3376" i="1"/>
  <c r="D3384" i="1"/>
  <c r="L3414" i="1"/>
  <c r="P3426" i="1"/>
  <c r="O4300" i="1"/>
  <c r="Q4254" i="1"/>
  <c r="M4259" i="1"/>
  <c r="L4214" i="1"/>
  <c r="D4305" i="1"/>
  <c r="K4298" i="1"/>
  <c r="L4215" i="1"/>
  <c r="M4168" i="1"/>
  <c r="M4170" i="1"/>
  <c r="L1568" i="1"/>
  <c r="M4286" i="1"/>
  <c r="L4302" i="1"/>
  <c r="L1566" i="1"/>
  <c r="P1568" i="1"/>
  <c r="P4298" i="1"/>
  <c r="L4303" i="1"/>
  <c r="K4306" i="1"/>
  <c r="P4211" i="1"/>
  <c r="D4217" i="1"/>
  <c r="D4220" i="1"/>
  <c r="D4222" i="1"/>
  <c r="D4173" i="1"/>
  <c r="D4127" i="1"/>
  <c r="E1270" i="1"/>
  <c r="D1274" i="1"/>
  <c r="P1526" i="1"/>
  <c r="M1566" i="1"/>
  <c r="N3362" i="1"/>
  <c r="D3995" i="1"/>
  <c r="D4002" i="1"/>
  <c r="M4210" i="1"/>
  <c r="D1491" i="1"/>
  <c r="D4038" i="1"/>
  <c r="D4044" i="1"/>
  <c r="M1616" i="1"/>
  <c r="P1622" i="1"/>
  <c r="M3455" i="1"/>
  <c r="D3468" i="1"/>
  <c r="P4299" i="1"/>
  <c r="M4304" i="1"/>
  <c r="R4307" i="1"/>
  <c r="E1358" i="1"/>
  <c r="K1567" i="1"/>
  <c r="M4302" i="1"/>
  <c r="P4304" i="1"/>
  <c r="S4306" i="1"/>
  <c r="D4260" i="1"/>
  <c r="D4261" i="1"/>
  <c r="D4263" i="1"/>
  <c r="P4214" i="1"/>
  <c r="P4216" i="1"/>
  <c r="P4166" i="1"/>
  <c r="M4171" i="1"/>
  <c r="K4174" i="1"/>
  <c r="D4175" i="1"/>
  <c r="P4126" i="1"/>
  <c r="D4129" i="1"/>
  <c r="N1255" i="1"/>
  <c r="D1275" i="1"/>
  <c r="D1359" i="1"/>
  <c r="D1362" i="1"/>
  <c r="L4019" i="1"/>
  <c r="D4039" i="1"/>
  <c r="K1511" i="1"/>
  <c r="N1515" i="1"/>
  <c r="O1563" i="1"/>
  <c r="K1568" i="1"/>
  <c r="K1623" i="1"/>
  <c r="O3374" i="1"/>
  <c r="Q3376" i="1"/>
  <c r="D3378" i="1"/>
  <c r="D3385" i="1"/>
  <c r="D3387" i="1"/>
  <c r="O3427" i="1"/>
  <c r="L3927" i="1"/>
  <c r="D3997" i="1"/>
  <c r="N4167" i="1"/>
  <c r="S4174" i="1"/>
  <c r="M1511" i="1"/>
  <c r="N3375" i="1"/>
  <c r="D4308" i="1"/>
  <c r="D4310" i="1"/>
  <c r="D4215" i="1"/>
  <c r="K4166" i="1"/>
  <c r="Q4167" i="1"/>
  <c r="D4170" i="1"/>
  <c r="M4114" i="1"/>
  <c r="P4128" i="1"/>
  <c r="E1314" i="1"/>
  <c r="D1315" i="1"/>
  <c r="L1346" i="1"/>
  <c r="D1360" i="1"/>
  <c r="D1361" i="1"/>
  <c r="D1363" i="1"/>
  <c r="M4023" i="1"/>
  <c r="D4045" i="1"/>
  <c r="L1506" i="1"/>
  <c r="K1550" i="1"/>
  <c r="L1562" i="1"/>
  <c r="O1614" i="1"/>
  <c r="K3374" i="1"/>
  <c r="P3375" i="1"/>
  <c r="D3953" i="1"/>
  <c r="L3954" i="1"/>
  <c r="L3983" i="1"/>
  <c r="D3994" i="1"/>
  <c r="M3994" i="1"/>
  <c r="N4248" i="1"/>
  <c r="M4246" i="1"/>
  <c r="L4152" i="1"/>
  <c r="K4150" i="1"/>
  <c r="D4307" i="1"/>
  <c r="K4248" i="1"/>
  <c r="P4255" i="1"/>
  <c r="P4210" i="1"/>
  <c r="K4218" i="1"/>
  <c r="D4219" i="1"/>
  <c r="L4151" i="1"/>
  <c r="N3419" i="1"/>
  <c r="Q3418" i="1"/>
  <c r="M3418" i="1"/>
  <c r="N3944" i="1"/>
  <c r="K3944" i="1"/>
  <c r="K3943" i="1"/>
  <c r="L3942" i="1"/>
  <c r="L4200" i="1"/>
  <c r="M4198" i="1"/>
  <c r="O4144" i="1"/>
  <c r="J4142" i="1"/>
  <c r="P4124" i="1"/>
  <c r="M4124" i="1"/>
  <c r="P4122" i="1"/>
  <c r="Q4123" i="1"/>
  <c r="M4122" i="1"/>
  <c r="O4124" i="1"/>
  <c r="M3460" i="1"/>
  <c r="K3459" i="1"/>
  <c r="O3458" i="1"/>
  <c r="P4212" i="1"/>
  <c r="M4212" i="1"/>
  <c r="L4211" i="1"/>
  <c r="L4210" i="1"/>
  <c r="Q4210" i="1"/>
  <c r="N4212" i="1"/>
  <c r="M4152" i="1"/>
  <c r="O4028" i="1"/>
  <c r="K4028" i="1"/>
  <c r="M4026" i="1"/>
  <c r="O4042" i="1"/>
  <c r="N4043" i="1"/>
  <c r="K4042" i="1"/>
  <c r="P1528" i="1"/>
  <c r="N1528" i="1"/>
  <c r="N1527" i="1"/>
  <c r="M1526" i="1"/>
  <c r="M1528" i="1"/>
  <c r="L1527" i="1"/>
  <c r="L1526" i="1"/>
  <c r="P1527" i="1"/>
  <c r="O3420" i="1"/>
  <c r="P3992" i="1"/>
  <c r="P3991" i="1"/>
  <c r="Q3990" i="1"/>
  <c r="L3990" i="1"/>
  <c r="P4220" i="1"/>
  <c r="R4219" i="1"/>
  <c r="S1535" i="1"/>
  <c r="O1535" i="1"/>
  <c r="L1534" i="1"/>
  <c r="N4256" i="1"/>
  <c r="O4254" i="1"/>
  <c r="J4143" i="1"/>
  <c r="L4108" i="1"/>
  <c r="L4107" i="1"/>
  <c r="L4106" i="1"/>
  <c r="L4123" i="1"/>
  <c r="L4288" i="1"/>
  <c r="M4288" i="1"/>
  <c r="P4300" i="1"/>
  <c r="M4300" i="1"/>
  <c r="L4299" i="1"/>
  <c r="L4298" i="1"/>
  <c r="Q4298" i="1"/>
  <c r="N4300" i="1"/>
  <c r="G4304" i="1"/>
  <c r="O4304" i="1"/>
  <c r="L4304" i="1"/>
  <c r="P4302" i="1"/>
  <c r="M4303" i="1"/>
  <c r="L4254" i="1"/>
  <c r="Q4260" i="1"/>
  <c r="D4265" i="1"/>
  <c r="K4191" i="1"/>
  <c r="K4210" i="1"/>
  <c r="N4211" i="1"/>
  <c r="O4212" i="1"/>
  <c r="O4216" i="1"/>
  <c r="P4215" i="1"/>
  <c r="M4214" i="1"/>
  <c r="M4215" i="1"/>
  <c r="Q4220" i="1"/>
  <c r="P4176" i="1"/>
  <c r="R4175" i="1"/>
  <c r="D4176" i="1"/>
  <c r="D4178" i="1"/>
  <c r="O4100" i="1"/>
  <c r="J4099" i="1"/>
  <c r="K4106" i="1"/>
  <c r="N4123" i="1"/>
  <c r="L1300" i="1"/>
  <c r="N1300" i="1"/>
  <c r="D4040" i="1"/>
  <c r="D4041" i="1"/>
  <c r="M4044" i="1"/>
  <c r="K1526" i="1"/>
  <c r="Q1527" i="1"/>
  <c r="O3368" i="1"/>
  <c r="N3368" i="1"/>
  <c r="M3366" i="1"/>
  <c r="L3976" i="1"/>
  <c r="L3975" i="1"/>
  <c r="L3974" i="1"/>
  <c r="K3974" i="1"/>
  <c r="N3992" i="1"/>
  <c r="L1615" i="1"/>
  <c r="O1616" i="1"/>
  <c r="D3386" i="1"/>
  <c r="Q4308" i="1"/>
  <c r="M4240" i="1"/>
  <c r="D4258" i="1"/>
  <c r="D4259" i="1"/>
  <c r="D4266" i="1"/>
  <c r="L4167" i="1"/>
  <c r="O4168" i="1"/>
  <c r="L4127" i="1"/>
  <c r="D4133" i="1"/>
  <c r="D1316" i="1"/>
  <c r="D1406" i="1"/>
  <c r="D1449" i="1"/>
  <c r="D1490" i="1"/>
  <c r="D1493" i="1"/>
  <c r="D1495" i="1"/>
  <c r="D4043" i="1"/>
  <c r="M1564" i="1"/>
  <c r="M1567" i="1"/>
  <c r="P1571" i="1"/>
  <c r="K1614" i="1"/>
  <c r="N1615" i="1"/>
  <c r="Q1616" i="1"/>
  <c r="N1620" i="1"/>
  <c r="N1624" i="1"/>
  <c r="L3375" i="1"/>
  <c r="O3376" i="1"/>
  <c r="N3407" i="1"/>
  <c r="D3954" i="1"/>
  <c r="S3955" i="1"/>
  <c r="M3978" i="1"/>
  <c r="M3996" i="1"/>
  <c r="D4000" i="1"/>
  <c r="P4127" i="1"/>
  <c r="D4131" i="1"/>
  <c r="M1614" i="1"/>
  <c r="P1615" i="1"/>
  <c r="R1624" i="1"/>
  <c r="G3952" i="1"/>
  <c r="R3956" i="1"/>
  <c r="M3980" i="1"/>
  <c r="D3999" i="1"/>
  <c r="D1488" i="1"/>
  <c r="E1490" i="1"/>
  <c r="S1457" i="1"/>
  <c r="R1457" i="1" s="1"/>
  <c r="N1474" i="1"/>
  <c r="P1486" i="1"/>
  <c r="L1478" i="1"/>
  <c r="K1466" i="1"/>
  <c r="M1482" i="1"/>
  <c r="K1484" i="1"/>
  <c r="J1458" i="1"/>
  <c r="M1467" i="1"/>
  <c r="K1479" i="1"/>
  <c r="L1480" i="1"/>
  <c r="E1446" i="1"/>
  <c r="L1428" i="1"/>
  <c r="D1446" i="1"/>
  <c r="D1444" i="1"/>
  <c r="O1442" i="1"/>
  <c r="K1423" i="1"/>
  <c r="M1436" i="1"/>
  <c r="K1444" i="1"/>
  <c r="L1444" i="1"/>
  <c r="K1418" i="1"/>
  <c r="N1432" i="1"/>
  <c r="Q1440" i="1"/>
  <c r="K1442" i="1"/>
  <c r="L1443" i="1"/>
  <c r="O1444" i="1"/>
  <c r="O1438" i="1"/>
  <c r="K1443" i="1"/>
  <c r="K1420" i="1"/>
  <c r="L1426" i="1"/>
  <c r="L1442" i="1"/>
  <c r="O1443" i="1"/>
  <c r="E1402" i="1"/>
  <c r="L1387" i="1"/>
  <c r="D1401" i="1"/>
  <c r="P1394" i="1"/>
  <c r="N1386" i="1"/>
  <c r="K1402" i="1"/>
  <c r="K1379" i="1"/>
  <c r="K1394" i="1"/>
  <c r="Q1395" i="1"/>
  <c r="O1402" i="1"/>
  <c r="Q1404" i="1"/>
  <c r="R1403" i="1"/>
  <c r="N1395" i="1"/>
  <c r="M1404" i="1"/>
  <c r="M1394" i="1"/>
  <c r="M1396" i="1"/>
  <c r="S1402" i="1"/>
  <c r="L1374" i="1"/>
  <c r="L1383" i="1"/>
  <c r="L1388" i="1"/>
  <c r="L1376" i="1"/>
  <c r="L1386" i="1"/>
  <c r="O1388" i="1"/>
  <c r="L1395" i="1"/>
  <c r="O1396" i="1"/>
  <c r="R1398" i="1"/>
  <c r="N1403" i="1"/>
  <c r="D1270" i="1"/>
  <c r="M1335" i="1"/>
  <c r="Q1350" i="1"/>
  <c r="N1354" i="1"/>
  <c r="K1335" i="1"/>
  <c r="K1347" i="1"/>
  <c r="N1356" i="1"/>
  <c r="K1348" i="1"/>
  <c r="P1348" i="1"/>
  <c r="J1284" i="1"/>
  <c r="K1299" i="1"/>
  <c r="J1282" i="1"/>
  <c r="K1286" i="1"/>
  <c r="S1281" i="1"/>
  <c r="R1281" i="1" s="1"/>
  <c r="M1298" i="1"/>
  <c r="N1308" i="1"/>
  <c r="D1310" i="1"/>
  <c r="K1315" i="1"/>
  <c r="L1294" i="1"/>
  <c r="L1306" i="1"/>
  <c r="P1310" i="1"/>
  <c r="K1287" i="1"/>
  <c r="M1295" i="1"/>
  <c r="N1299" i="1"/>
  <c r="M1307" i="1"/>
  <c r="D1314" i="1"/>
  <c r="S1315" i="1"/>
  <c r="L1288" i="1"/>
  <c r="K1298" i="1"/>
  <c r="K1300" i="1"/>
  <c r="R1316" i="1"/>
  <c r="D1313" i="1"/>
  <c r="L1314" i="1"/>
  <c r="O1254" i="1"/>
  <c r="K1258" i="1"/>
  <c r="N1259" i="1"/>
  <c r="O1268" i="1"/>
  <c r="S1237" i="1"/>
  <c r="R1237" i="1" s="1"/>
  <c r="K1254" i="1"/>
  <c r="L1258" i="1"/>
  <c r="K1260" i="1"/>
  <c r="J1239" i="1"/>
  <c r="O1258" i="1"/>
  <c r="O1260" i="1"/>
  <c r="M1259" i="1"/>
  <c r="P1260" i="1"/>
  <c r="O1266" i="1"/>
  <c r="K1251" i="1"/>
  <c r="O4276" i="1"/>
  <c r="S4273" i="1"/>
  <c r="S4274" i="1" s="1"/>
  <c r="L4284" i="1"/>
  <c r="M4284" i="1"/>
  <c r="K4282" i="1"/>
  <c r="L4283" i="1"/>
  <c r="L4196" i="1"/>
  <c r="M4196" i="1"/>
  <c r="K4194" i="1"/>
  <c r="L4195" i="1"/>
  <c r="N1436" i="1"/>
  <c r="L1436" i="1"/>
  <c r="M1435" i="1"/>
  <c r="M1434" i="1"/>
  <c r="P1436" i="1"/>
  <c r="K1436" i="1"/>
  <c r="K1435" i="1"/>
  <c r="L1434" i="1"/>
  <c r="O1436" i="1"/>
  <c r="O1435" i="1"/>
  <c r="P1434" i="1"/>
  <c r="K1434" i="1"/>
  <c r="P4034" i="1"/>
  <c r="O4188" i="1"/>
  <c r="J4187" i="1"/>
  <c r="S4185" i="1"/>
  <c r="R4185" i="1" s="1"/>
  <c r="D4302" i="1"/>
  <c r="O4260" i="1"/>
  <c r="P4260" i="1"/>
  <c r="P4259" i="1"/>
  <c r="P4258" i="1"/>
  <c r="L4260" i="1"/>
  <c r="L4259" i="1"/>
  <c r="L4258" i="1"/>
  <c r="Q4259" i="1"/>
  <c r="F4260" i="1"/>
  <c r="J4186" i="1"/>
  <c r="L4194" i="1"/>
  <c r="N4204" i="1"/>
  <c r="K4204" i="1"/>
  <c r="M4202" i="1"/>
  <c r="L4147" i="1"/>
  <c r="K4147" i="1"/>
  <c r="L4104" i="1"/>
  <c r="K4103" i="1"/>
  <c r="G4128" i="1"/>
  <c r="D4126" i="1"/>
  <c r="F4128" i="1"/>
  <c r="L1292" i="1"/>
  <c r="L1291" i="1"/>
  <c r="M1290" i="1"/>
  <c r="M1292" i="1"/>
  <c r="K1290" i="1"/>
  <c r="M1447" i="1"/>
  <c r="P1448" i="1"/>
  <c r="R1446" i="1"/>
  <c r="L1471" i="1"/>
  <c r="L1472" i="1"/>
  <c r="L1470" i="1"/>
  <c r="P4035" i="1"/>
  <c r="P4040" i="1"/>
  <c r="M4039" i="1"/>
  <c r="Q4039" i="1"/>
  <c r="Q4038" i="1"/>
  <c r="Q4040" i="1"/>
  <c r="M4038" i="1"/>
  <c r="P4264" i="1"/>
  <c r="R4263" i="1"/>
  <c r="K4262" i="1"/>
  <c r="Q4264" i="1"/>
  <c r="S4262" i="1"/>
  <c r="L4236" i="1"/>
  <c r="K4235" i="1"/>
  <c r="O4262" i="1"/>
  <c r="P4132" i="1"/>
  <c r="Q4132" i="1"/>
  <c r="S4130" i="1"/>
  <c r="M4132" i="1"/>
  <c r="O4130" i="1"/>
  <c r="R4131" i="1"/>
  <c r="K4130" i="1"/>
  <c r="J4274" i="1"/>
  <c r="L4282" i="1"/>
  <c r="J4275" i="1"/>
  <c r="M4283" i="1"/>
  <c r="N4292" i="1"/>
  <c r="K4292" i="1"/>
  <c r="M4290" i="1"/>
  <c r="L4244" i="1"/>
  <c r="M4244" i="1"/>
  <c r="M4242" i="1"/>
  <c r="P4256" i="1"/>
  <c r="O4256" i="1"/>
  <c r="Q4255" i="1"/>
  <c r="L4255" i="1"/>
  <c r="M4254" i="1"/>
  <c r="M4256" i="1"/>
  <c r="N4255" i="1"/>
  <c r="P4254" i="1"/>
  <c r="K4254" i="1"/>
  <c r="M4255" i="1"/>
  <c r="Q4256" i="1"/>
  <c r="M4258" i="1"/>
  <c r="M4260" i="1"/>
  <c r="M4264" i="1"/>
  <c r="M4195" i="1"/>
  <c r="L4203" i="1"/>
  <c r="G4216" i="1"/>
  <c r="L4163" i="1"/>
  <c r="N4162" i="1"/>
  <c r="L1248" i="1"/>
  <c r="M1248" i="1"/>
  <c r="M1246" i="1"/>
  <c r="K1248" i="1"/>
  <c r="L1246" i="1"/>
  <c r="M1247" i="1"/>
  <c r="K1246" i="1"/>
  <c r="R1272" i="1"/>
  <c r="S1272" i="1"/>
  <c r="L1271" i="1"/>
  <c r="O1272" i="1"/>
  <c r="Q1270" i="1"/>
  <c r="K1272" i="1"/>
  <c r="M1270" i="1"/>
  <c r="K1292" i="1"/>
  <c r="R1360" i="1"/>
  <c r="S1359" i="1"/>
  <c r="L1358" i="1"/>
  <c r="L1432" i="1"/>
  <c r="M1432" i="1"/>
  <c r="O1430" i="1"/>
  <c r="O1431" i="1"/>
  <c r="L1430" i="1"/>
  <c r="N1431" i="1"/>
  <c r="K1430" i="1"/>
  <c r="N1435" i="1"/>
  <c r="J4012" i="1"/>
  <c r="S4012" i="1" s="1"/>
  <c r="J4010" i="1"/>
  <c r="S4009" i="1"/>
  <c r="M4040" i="1"/>
  <c r="L4112" i="1"/>
  <c r="M4110" i="1"/>
  <c r="M4112" i="1"/>
  <c r="N1344" i="1"/>
  <c r="O1343" i="1"/>
  <c r="L1342" i="1"/>
  <c r="N1352" i="1"/>
  <c r="Q1352" i="1"/>
  <c r="P1351" i="1"/>
  <c r="O1350" i="1"/>
  <c r="O1352" i="1"/>
  <c r="N1351" i="1"/>
  <c r="M1350" i="1"/>
  <c r="M1352" i="1"/>
  <c r="L1351" i="1"/>
  <c r="K1350" i="1"/>
  <c r="P4036" i="1"/>
  <c r="O4036" i="1"/>
  <c r="Q4035" i="1"/>
  <c r="L4035" i="1"/>
  <c r="M4034" i="1"/>
  <c r="N4036" i="1"/>
  <c r="N4035" i="1"/>
  <c r="O4034" i="1"/>
  <c r="M4036" i="1"/>
  <c r="M4035" i="1"/>
  <c r="L4034" i="1"/>
  <c r="K4036" i="1"/>
  <c r="Q4034" i="1"/>
  <c r="K4034" i="1"/>
  <c r="N1612" i="1"/>
  <c r="P1612" i="1"/>
  <c r="K1612" i="1"/>
  <c r="K1611" i="1"/>
  <c r="L1610" i="1"/>
  <c r="O1612" i="1"/>
  <c r="O1611" i="1"/>
  <c r="P1610" i="1"/>
  <c r="K1610" i="1"/>
  <c r="N1611" i="1"/>
  <c r="K3356" i="1"/>
  <c r="L3356" i="1"/>
  <c r="L3354" i="1"/>
  <c r="P3372" i="1"/>
  <c r="K3372" i="1"/>
  <c r="O3370" i="1"/>
  <c r="O3372" i="1"/>
  <c r="M3371" i="1"/>
  <c r="K3370" i="1"/>
  <c r="O3371" i="1"/>
  <c r="K3371" i="1"/>
  <c r="N1520" i="1"/>
  <c r="L1520" i="1"/>
  <c r="L1518" i="1"/>
  <c r="O1520" i="1"/>
  <c r="M1524" i="1"/>
  <c r="K1524" i="1"/>
  <c r="L1523" i="1"/>
  <c r="N1560" i="1"/>
  <c r="K1559" i="1"/>
  <c r="L1560" i="1"/>
  <c r="L1558" i="1"/>
  <c r="P1576" i="1"/>
  <c r="O1576" i="1"/>
  <c r="L1575" i="1"/>
  <c r="L1574" i="1"/>
  <c r="N1576" i="1"/>
  <c r="K1575" i="1"/>
  <c r="K1574" i="1"/>
  <c r="R1575" i="1"/>
  <c r="O4298" i="1"/>
  <c r="M4299" i="1"/>
  <c r="K4300" i="1"/>
  <c r="Q4300" i="1"/>
  <c r="Q4302" i="1"/>
  <c r="Q4303" i="1"/>
  <c r="Q4304" i="1"/>
  <c r="F4304" i="1"/>
  <c r="O4306" i="1"/>
  <c r="M4308" i="1"/>
  <c r="M4239" i="1"/>
  <c r="L4247" i="1"/>
  <c r="O4210" i="1"/>
  <c r="M4211" i="1"/>
  <c r="K4212" i="1"/>
  <c r="Q4212" i="1"/>
  <c r="Q4214" i="1"/>
  <c r="Q4215" i="1"/>
  <c r="Q4216" i="1"/>
  <c r="F4216" i="1"/>
  <c r="O4218" i="1"/>
  <c r="M4220" i="1"/>
  <c r="L4150" i="1"/>
  <c r="L4166" i="1"/>
  <c r="Q4166" i="1"/>
  <c r="P4167" i="1"/>
  <c r="N4168" i="1"/>
  <c r="Q4170" i="1"/>
  <c r="Q4172" i="1"/>
  <c r="F4172" i="1"/>
  <c r="O4174" i="1"/>
  <c r="M4176" i="1"/>
  <c r="O4116" i="1"/>
  <c r="O4122" i="1"/>
  <c r="M4123" i="1"/>
  <c r="K4124" i="1"/>
  <c r="Q4124" i="1"/>
  <c r="Q4126" i="1"/>
  <c r="Q4127" i="1"/>
  <c r="Q4128" i="1"/>
  <c r="D4132" i="1"/>
  <c r="D4135" i="1"/>
  <c r="J1238" i="1"/>
  <c r="K1252" i="1"/>
  <c r="M1256" i="1"/>
  <c r="P1258" i="1"/>
  <c r="L1260" i="1"/>
  <c r="K1267" i="1"/>
  <c r="D1268" i="1"/>
  <c r="L1286" i="1"/>
  <c r="M1294" i="1"/>
  <c r="K1296" i="1"/>
  <c r="L1298" i="1"/>
  <c r="L1299" i="1"/>
  <c r="M1300" i="1"/>
  <c r="P1306" i="1"/>
  <c r="P1312" i="1"/>
  <c r="M1315" i="1"/>
  <c r="M1346" i="1"/>
  <c r="M1347" i="1"/>
  <c r="L1348" i="1"/>
  <c r="L1355" i="1"/>
  <c r="M1384" i="1"/>
  <c r="L1394" i="1"/>
  <c r="Q1394" i="1"/>
  <c r="P1395" i="1"/>
  <c r="N1396" i="1"/>
  <c r="P1399" i="1"/>
  <c r="L1402" i="1"/>
  <c r="K1403" i="1"/>
  <c r="S1403" i="1"/>
  <c r="R1404" i="1"/>
  <c r="D1407" i="1"/>
  <c r="L1420" i="1"/>
  <c r="K1427" i="1"/>
  <c r="L1439" i="1"/>
  <c r="D1443" i="1"/>
  <c r="D1451" i="1"/>
  <c r="L1468" i="1"/>
  <c r="O1475" i="1"/>
  <c r="M1478" i="1"/>
  <c r="M1479" i="1"/>
  <c r="Q1482" i="1"/>
  <c r="O1488" i="1"/>
  <c r="L1488" i="1"/>
  <c r="L1486" i="1"/>
  <c r="P1488" i="1"/>
  <c r="M1491" i="1"/>
  <c r="N1490" i="1"/>
  <c r="F4040" i="1"/>
  <c r="L1512" i="1"/>
  <c r="K1510" i="1"/>
  <c r="N1518" i="1"/>
  <c r="M1522" i="1"/>
  <c r="P1536" i="1"/>
  <c r="R1536" i="1"/>
  <c r="K1535" i="1"/>
  <c r="N1536" i="1"/>
  <c r="P1534" i="1"/>
  <c r="K1558" i="1"/>
  <c r="O1574" i="1"/>
  <c r="M1610" i="1"/>
  <c r="L1612" i="1"/>
  <c r="M3370" i="1"/>
  <c r="N3415" i="1"/>
  <c r="N3452" i="1"/>
  <c r="N3451" i="1"/>
  <c r="J1240" i="1"/>
  <c r="O1267" i="1"/>
  <c r="K1295" i="1"/>
  <c r="L1296" i="1"/>
  <c r="O1346" i="1"/>
  <c r="N1347" i="1"/>
  <c r="M1348" i="1"/>
  <c r="N1355" i="1"/>
  <c r="F1400" i="1"/>
  <c r="M1400" i="1"/>
  <c r="L1427" i="1"/>
  <c r="P1439" i="1"/>
  <c r="L1476" i="1"/>
  <c r="N1480" i="1"/>
  <c r="O1480" i="1"/>
  <c r="O1479" i="1"/>
  <c r="O1478" i="1"/>
  <c r="N1479" i="1"/>
  <c r="P1480" i="1"/>
  <c r="P1484" i="1"/>
  <c r="Q1484" i="1"/>
  <c r="P1483" i="1"/>
  <c r="O1482" i="1"/>
  <c r="L1483" i="1"/>
  <c r="O1484" i="1"/>
  <c r="L4020" i="1"/>
  <c r="M4020" i="1"/>
  <c r="K4018" i="1"/>
  <c r="K4032" i="1"/>
  <c r="M4031" i="1"/>
  <c r="J1504" i="1"/>
  <c r="S1501" i="1"/>
  <c r="L1519" i="1"/>
  <c r="L1559" i="1"/>
  <c r="O1572" i="1"/>
  <c r="L1571" i="1"/>
  <c r="Q1572" i="1"/>
  <c r="O1570" i="1"/>
  <c r="P1574" i="1"/>
  <c r="O1610" i="1"/>
  <c r="M1612" i="1"/>
  <c r="N1619" i="1"/>
  <c r="R1618" i="1"/>
  <c r="N1618" i="1"/>
  <c r="M3372" i="1"/>
  <c r="R3384" i="1"/>
  <c r="K3383" i="1"/>
  <c r="S3383" i="1"/>
  <c r="L3382" i="1"/>
  <c r="O3383" i="1"/>
  <c r="P3382" i="1"/>
  <c r="N3464" i="1"/>
  <c r="Q3464" i="1"/>
  <c r="P3463" i="1"/>
  <c r="O3462" i="1"/>
  <c r="O3464" i="1"/>
  <c r="N3463" i="1"/>
  <c r="M3462" i="1"/>
  <c r="M3464" i="1"/>
  <c r="L3463" i="1"/>
  <c r="K3462" i="1"/>
  <c r="K3464" i="1"/>
  <c r="Q3462" i="1"/>
  <c r="K3939" i="1"/>
  <c r="N3940" i="1"/>
  <c r="N3938" i="1"/>
  <c r="L3940" i="1"/>
  <c r="L3938" i="1"/>
  <c r="D4304" i="1"/>
  <c r="N4307" i="1"/>
  <c r="D4309" i="1"/>
  <c r="O4248" i="1"/>
  <c r="G4260" i="1"/>
  <c r="D4264" i="1"/>
  <c r="D4267" i="1"/>
  <c r="M4199" i="1"/>
  <c r="D4216" i="1"/>
  <c r="N4219" i="1"/>
  <c r="D4221" i="1"/>
  <c r="M4151" i="1"/>
  <c r="O4166" i="1"/>
  <c r="M4167" i="1"/>
  <c r="K4168" i="1"/>
  <c r="Q4168" i="1"/>
  <c r="Q4171" i="1"/>
  <c r="D4172" i="1"/>
  <c r="N4175" i="1"/>
  <c r="D4177" i="1"/>
  <c r="J4098" i="1"/>
  <c r="M4107" i="1"/>
  <c r="L4115" i="1"/>
  <c r="L4122" i="1"/>
  <c r="Q4122" i="1"/>
  <c r="P4123" i="1"/>
  <c r="N4124" i="1"/>
  <c r="M4126" i="1"/>
  <c r="M4127" i="1"/>
  <c r="M4128" i="1"/>
  <c r="D4128" i="1"/>
  <c r="D4130" i="1"/>
  <c r="K1250" i="1"/>
  <c r="D1266" i="1"/>
  <c r="K1266" i="1"/>
  <c r="K1268" i="1"/>
  <c r="D1273" i="1"/>
  <c r="K1288" i="1"/>
  <c r="K1294" i="1"/>
  <c r="L1295" i="1"/>
  <c r="M1296" i="1"/>
  <c r="O1298" i="1"/>
  <c r="O1299" i="1"/>
  <c r="O1300" i="1"/>
  <c r="Q1307" i="1"/>
  <c r="G1312" i="1"/>
  <c r="N1314" i="1"/>
  <c r="L1316" i="1"/>
  <c r="K1346" i="1"/>
  <c r="P1346" i="1"/>
  <c r="O1347" i="1"/>
  <c r="O1348" i="1"/>
  <c r="L1354" i="1"/>
  <c r="L1356" i="1"/>
  <c r="L1382" i="1"/>
  <c r="O1394" i="1"/>
  <c r="M1395" i="1"/>
  <c r="K1396" i="1"/>
  <c r="Q1396" i="1"/>
  <c r="M1398" i="1"/>
  <c r="R1400" i="1"/>
  <c r="P1402" i="1"/>
  <c r="O1403" i="1"/>
  <c r="N1404" i="1"/>
  <c r="D1403" i="1"/>
  <c r="L1418" i="1"/>
  <c r="K1426" i="1"/>
  <c r="K1428" i="1"/>
  <c r="K1438" i="1"/>
  <c r="M1440" i="1"/>
  <c r="P1442" i="1"/>
  <c r="P1443" i="1"/>
  <c r="P1444" i="1"/>
  <c r="D1448" i="1"/>
  <c r="J1459" i="1"/>
  <c r="L1466" i="1"/>
  <c r="L1474" i="1"/>
  <c r="K1478" i="1"/>
  <c r="P1478" i="1"/>
  <c r="K1480" i="1"/>
  <c r="K1482" i="1"/>
  <c r="N1483" i="1"/>
  <c r="L1487" i="1"/>
  <c r="D1487" i="1"/>
  <c r="L4018" i="1"/>
  <c r="N4022" i="1"/>
  <c r="K4030" i="1"/>
  <c r="P4044" i="1"/>
  <c r="Q4044" i="1"/>
  <c r="S4042" i="1"/>
  <c r="R4043" i="1"/>
  <c r="D4046" i="1"/>
  <c r="J1502" i="1"/>
  <c r="M1514" i="1"/>
  <c r="O1519" i="1"/>
  <c r="L1551" i="1"/>
  <c r="K1552" i="1"/>
  <c r="L1550" i="1"/>
  <c r="K1560" i="1"/>
  <c r="K1570" i="1"/>
  <c r="P1575" i="1"/>
  <c r="M1600" i="1"/>
  <c r="M1599" i="1"/>
  <c r="L1598" i="1"/>
  <c r="M1611" i="1"/>
  <c r="F3380" i="1"/>
  <c r="D3379" i="1"/>
  <c r="L3399" i="1"/>
  <c r="L3398" i="1"/>
  <c r="N3416" i="1"/>
  <c r="L3416" i="1"/>
  <c r="M3415" i="1"/>
  <c r="M3414" i="1"/>
  <c r="O3416" i="1"/>
  <c r="O3415" i="1"/>
  <c r="P3414" i="1"/>
  <c r="K3414" i="1"/>
  <c r="P3416" i="1"/>
  <c r="K3415" i="1"/>
  <c r="M3416" i="1"/>
  <c r="O3414" i="1"/>
  <c r="K3444" i="1"/>
  <c r="L3442" i="1"/>
  <c r="L3444" i="1"/>
  <c r="O3939" i="1"/>
  <c r="N3948" i="1"/>
  <c r="Q3948" i="1"/>
  <c r="P3947" i="1"/>
  <c r="O3946" i="1"/>
  <c r="O3948" i="1"/>
  <c r="N3947" i="1"/>
  <c r="M3946" i="1"/>
  <c r="M3948" i="1"/>
  <c r="L3947" i="1"/>
  <c r="K3946" i="1"/>
  <c r="K3948" i="1"/>
  <c r="Q3946" i="1"/>
  <c r="P4000" i="1"/>
  <c r="Q4000" i="1"/>
  <c r="S3998" i="1"/>
  <c r="M4000" i="1"/>
  <c r="O3998" i="1"/>
  <c r="R3999" i="1"/>
  <c r="K3998" i="1"/>
  <c r="K1563" i="1"/>
  <c r="N1564" i="1"/>
  <c r="O1566" i="1"/>
  <c r="N1567" i="1"/>
  <c r="M1568" i="1"/>
  <c r="O1623" i="1"/>
  <c r="N3460" i="1"/>
  <c r="O3460" i="1"/>
  <c r="O3459" i="1"/>
  <c r="P3458" i="1"/>
  <c r="K3458" i="1"/>
  <c r="L3460" i="1"/>
  <c r="M3459" i="1"/>
  <c r="M3458" i="1"/>
  <c r="N3459" i="1"/>
  <c r="Q3472" i="1"/>
  <c r="R3472" i="1"/>
  <c r="K3471" i="1"/>
  <c r="N3472" i="1"/>
  <c r="P3470" i="1"/>
  <c r="S3471" i="1"/>
  <c r="L3470" i="1"/>
  <c r="N3999" i="1"/>
  <c r="D1489" i="1"/>
  <c r="O1526" i="1"/>
  <c r="M1527" i="1"/>
  <c r="K1528" i="1"/>
  <c r="Q1528" i="1"/>
  <c r="K1562" i="1"/>
  <c r="N1563" i="1"/>
  <c r="K1566" i="1"/>
  <c r="P1566" i="1"/>
  <c r="O1567" i="1"/>
  <c r="O1568" i="1"/>
  <c r="J1591" i="1"/>
  <c r="Q1614" i="1"/>
  <c r="K1616" i="1"/>
  <c r="L1622" i="1"/>
  <c r="S1623" i="1"/>
  <c r="L3412" i="1"/>
  <c r="N3410" i="1"/>
  <c r="N3420" i="1"/>
  <c r="M3420" i="1"/>
  <c r="L3419" i="1"/>
  <c r="K3418" i="1"/>
  <c r="Q3420" i="1"/>
  <c r="P3419" i="1"/>
  <c r="O3418" i="1"/>
  <c r="K3420" i="1"/>
  <c r="F3424" i="1"/>
  <c r="Q3428" i="1"/>
  <c r="R3428" i="1"/>
  <c r="K3427" i="1"/>
  <c r="S3427" i="1"/>
  <c r="L3426" i="1"/>
  <c r="L3448" i="1"/>
  <c r="L3458" i="1"/>
  <c r="K3460" i="1"/>
  <c r="O3471" i="1"/>
  <c r="L3971" i="1"/>
  <c r="K3971" i="1"/>
  <c r="Q3374" i="1"/>
  <c r="K3376" i="1"/>
  <c r="D3380" i="1"/>
  <c r="D3381" i="1"/>
  <c r="D3383" i="1"/>
  <c r="D3422" i="1"/>
  <c r="D3423" i="1"/>
  <c r="D3424" i="1"/>
  <c r="D3425" i="1"/>
  <c r="D3427" i="1"/>
  <c r="D3430" i="1"/>
  <c r="D3469" i="1"/>
  <c r="D3471" i="1"/>
  <c r="D3474" i="1"/>
  <c r="M3942" i="1"/>
  <c r="M3943" i="1"/>
  <c r="L3944" i="1"/>
  <c r="P3954" i="1"/>
  <c r="N3956" i="1"/>
  <c r="D3958" i="1"/>
  <c r="M3975" i="1"/>
  <c r="M3979" i="1"/>
  <c r="K3984" i="1"/>
  <c r="M3990" i="1"/>
  <c r="L3991" i="1"/>
  <c r="Q3991" i="1"/>
  <c r="O3992" i="1"/>
  <c r="P3994" i="1"/>
  <c r="P3995" i="1"/>
  <c r="P3996" i="1"/>
  <c r="D4001" i="1"/>
  <c r="F3468" i="1"/>
  <c r="G3468" i="1"/>
  <c r="O3942" i="1"/>
  <c r="N3943" i="1"/>
  <c r="M3944" i="1"/>
  <c r="F3952" i="1"/>
  <c r="O3984" i="1"/>
  <c r="O3990" i="1"/>
  <c r="M3991" i="1"/>
  <c r="K3992" i="1"/>
  <c r="Q3992" i="1"/>
  <c r="Q3994" i="1"/>
  <c r="Q3995" i="1"/>
  <c r="Q3996" i="1"/>
  <c r="M3367" i="1"/>
  <c r="D3382" i="1"/>
  <c r="D3426" i="1"/>
  <c r="D3428" i="1"/>
  <c r="D3429" i="1"/>
  <c r="D3431" i="1"/>
  <c r="D3466" i="1"/>
  <c r="D3470" i="1"/>
  <c r="D3473" i="1"/>
  <c r="D3475" i="1"/>
  <c r="K3942" i="1"/>
  <c r="P3942" i="1"/>
  <c r="O3943" i="1"/>
  <c r="O3944" i="1"/>
  <c r="D3950" i="1"/>
  <c r="D3951" i="1"/>
  <c r="D3952" i="1"/>
  <c r="O3955" i="1"/>
  <c r="D3956" i="1"/>
  <c r="M3982" i="1"/>
  <c r="K3990" i="1"/>
  <c r="P3990" i="1"/>
  <c r="N3991" i="1"/>
  <c r="M3992" i="1"/>
  <c r="L3994" i="1"/>
  <c r="L3995" i="1"/>
  <c r="L3996" i="1"/>
  <c r="G3996" i="1"/>
  <c r="F3996" i="1"/>
  <c r="D3998" i="1"/>
  <c r="D1398" i="1"/>
  <c r="G1444" i="1"/>
  <c r="G1488" i="1"/>
  <c r="O1532" i="1"/>
  <c r="K1532" i="1"/>
  <c r="O1531" i="1"/>
  <c r="K1531" i="1"/>
  <c r="O1530" i="1"/>
  <c r="K1530" i="1"/>
  <c r="P1530" i="1"/>
  <c r="M1531" i="1"/>
  <c r="R1531" i="1"/>
  <c r="P1532" i="1"/>
  <c r="M1555" i="1"/>
  <c r="L1554" i="1"/>
  <c r="M1556" i="1"/>
  <c r="L1555" i="1"/>
  <c r="K1554" i="1"/>
  <c r="K1556" i="1"/>
  <c r="M1554" i="1"/>
  <c r="D1267" i="1"/>
  <c r="D1269" i="1"/>
  <c r="D1271" i="1"/>
  <c r="D1272" i="1"/>
  <c r="D1311" i="1"/>
  <c r="D1312" i="1"/>
  <c r="D1317" i="1"/>
  <c r="D1319" i="1"/>
  <c r="D1356" i="1"/>
  <c r="D1357" i="1"/>
  <c r="G1400" i="1"/>
  <c r="D1400" i="1"/>
  <c r="D1402" i="1"/>
  <c r="D1404" i="1"/>
  <c r="D1405" i="1"/>
  <c r="D1442" i="1"/>
  <c r="D1450" i="1"/>
  <c r="D1486" i="1"/>
  <c r="D1492" i="1"/>
  <c r="J1503" i="1"/>
  <c r="O1504" i="1"/>
  <c r="K1508" i="1"/>
  <c r="K1506" i="1"/>
  <c r="L1508" i="1"/>
  <c r="L1510" i="1"/>
  <c r="N1514" i="1"/>
  <c r="M1518" i="1"/>
  <c r="M1519" i="1"/>
  <c r="N1522" i="1"/>
  <c r="M1523" i="1"/>
  <c r="L1530" i="1"/>
  <c r="Q1530" i="1"/>
  <c r="N1531" i="1"/>
  <c r="L1532" i="1"/>
  <c r="Q1532" i="1"/>
  <c r="K1555" i="1"/>
  <c r="K1516" i="1"/>
  <c r="K1515" i="1"/>
  <c r="K1514" i="1"/>
  <c r="L1515" i="1"/>
  <c r="M1516" i="1"/>
  <c r="P1524" i="1"/>
  <c r="L1524" i="1"/>
  <c r="N1523" i="1"/>
  <c r="P1522" i="1"/>
  <c r="L1522" i="1"/>
  <c r="O1522" i="1"/>
  <c r="O1523" i="1"/>
  <c r="N1524" i="1"/>
  <c r="M1530" i="1"/>
  <c r="R1530" i="1"/>
  <c r="P1531" i="1"/>
  <c r="M1532" i="1"/>
  <c r="R1532" i="1"/>
  <c r="L1556" i="1"/>
  <c r="D1318" i="1"/>
  <c r="D1354" i="1"/>
  <c r="D1358" i="1"/>
  <c r="D1445" i="1"/>
  <c r="D1447" i="1"/>
  <c r="D1494" i="1"/>
  <c r="K1512" i="1"/>
  <c r="M1510" i="1"/>
  <c r="L1511" i="1"/>
  <c r="L1514" i="1"/>
  <c r="M1515" i="1"/>
  <c r="N1516" i="1"/>
  <c r="M1520" i="1"/>
  <c r="N1519" i="1"/>
  <c r="O1518" i="1"/>
  <c r="K1518" i="1"/>
  <c r="K1519" i="1"/>
  <c r="K1520" i="1"/>
  <c r="K1522" i="1"/>
  <c r="K1523" i="1"/>
  <c r="P1523" i="1"/>
  <c r="O1524" i="1"/>
  <c r="N1530" i="1"/>
  <c r="L1531" i="1"/>
  <c r="Q1531" i="1"/>
  <c r="N1532" i="1"/>
  <c r="J1547" i="1"/>
  <c r="J1546" i="1"/>
  <c r="S1545" i="1"/>
  <c r="J1548" i="1"/>
  <c r="K1534" i="1"/>
  <c r="O1534" i="1"/>
  <c r="S1534" i="1"/>
  <c r="N1535" i="1"/>
  <c r="R1535" i="1"/>
  <c r="M1536" i="1"/>
  <c r="Q1536" i="1"/>
  <c r="N1570" i="1"/>
  <c r="K1571" i="1"/>
  <c r="O1571" i="1"/>
  <c r="L1572" i="1"/>
  <c r="P1572" i="1"/>
  <c r="P1578" i="1"/>
  <c r="O1579" i="1"/>
  <c r="O3380" i="1"/>
  <c r="K3380" i="1"/>
  <c r="O3379" i="1"/>
  <c r="K3379" i="1"/>
  <c r="O3378" i="1"/>
  <c r="K3378" i="1"/>
  <c r="Q3380" i="1"/>
  <c r="M3380" i="1"/>
  <c r="Q3379" i="1"/>
  <c r="M3379" i="1"/>
  <c r="Q3378" i="1"/>
  <c r="M3378" i="1"/>
  <c r="P3380" i="1"/>
  <c r="P3379" i="1"/>
  <c r="P3378" i="1"/>
  <c r="N3380" i="1"/>
  <c r="N3379" i="1"/>
  <c r="N3378" i="1"/>
  <c r="L3380" i="1"/>
  <c r="L3379" i="1"/>
  <c r="L3378" i="1"/>
  <c r="S1580" i="1"/>
  <c r="O1580" i="1"/>
  <c r="K1580" i="1"/>
  <c r="P1579" i="1"/>
  <c r="L1579" i="1"/>
  <c r="Q1578" i="1"/>
  <c r="M1578" i="1"/>
  <c r="Q1580" i="1"/>
  <c r="M1580" i="1"/>
  <c r="R1579" i="1"/>
  <c r="N1579" i="1"/>
  <c r="S1578" i="1"/>
  <c r="O1578" i="1"/>
  <c r="K1578" i="1"/>
  <c r="R1578" i="1"/>
  <c r="Q1579" i="1"/>
  <c r="P1580" i="1"/>
  <c r="K1595" i="1"/>
  <c r="L1596" i="1"/>
  <c r="L1594" i="1"/>
  <c r="K1596" i="1"/>
  <c r="K1594" i="1"/>
  <c r="M1604" i="1"/>
  <c r="M1603" i="1"/>
  <c r="M1602" i="1"/>
  <c r="L1604" i="1"/>
  <c r="L1603" i="1"/>
  <c r="L1602" i="1"/>
  <c r="K1604" i="1"/>
  <c r="K1603" i="1"/>
  <c r="K1602" i="1"/>
  <c r="O1608" i="1"/>
  <c r="K1608" i="1"/>
  <c r="L1607" i="1"/>
  <c r="M1606" i="1"/>
  <c r="N1608" i="1"/>
  <c r="O1607" i="1"/>
  <c r="K1607" i="1"/>
  <c r="L1606" i="1"/>
  <c r="M1608" i="1"/>
  <c r="N1607" i="1"/>
  <c r="O1606" i="1"/>
  <c r="K1606" i="1"/>
  <c r="K3360" i="1"/>
  <c r="M3358" i="1"/>
  <c r="M3359" i="1"/>
  <c r="L3358" i="1"/>
  <c r="M3360" i="1"/>
  <c r="L3359" i="1"/>
  <c r="K3358" i="1"/>
  <c r="R3378" i="1"/>
  <c r="Q3424" i="1"/>
  <c r="M3424" i="1"/>
  <c r="Q3423" i="1"/>
  <c r="M3423" i="1"/>
  <c r="Q3422" i="1"/>
  <c r="M3422" i="1"/>
  <c r="P3424" i="1"/>
  <c r="L3424" i="1"/>
  <c r="P3423" i="1"/>
  <c r="L3423" i="1"/>
  <c r="P3422" i="1"/>
  <c r="L3422" i="1"/>
  <c r="O3424" i="1"/>
  <c r="K3424" i="1"/>
  <c r="O3423" i="1"/>
  <c r="K3423" i="1"/>
  <c r="O3422" i="1"/>
  <c r="K3422" i="1"/>
  <c r="N3423" i="1"/>
  <c r="R3424" i="1"/>
  <c r="R3422" i="1"/>
  <c r="N3424" i="1"/>
  <c r="N3422" i="1"/>
  <c r="N1526" i="1"/>
  <c r="K1527" i="1"/>
  <c r="O1527" i="1"/>
  <c r="L1528" i="1"/>
  <c r="M1534" i="1"/>
  <c r="Q1534" i="1"/>
  <c r="L1535" i="1"/>
  <c r="P1535" i="1"/>
  <c r="K1536" i="1"/>
  <c r="O1536" i="1"/>
  <c r="S1536" i="1"/>
  <c r="K1551" i="1"/>
  <c r="M1558" i="1"/>
  <c r="M1559" i="1"/>
  <c r="M1560" i="1"/>
  <c r="M1562" i="1"/>
  <c r="L1563" i="1"/>
  <c r="K1564" i="1"/>
  <c r="O1564" i="1"/>
  <c r="N1566" i="1"/>
  <c r="L1567" i="1"/>
  <c r="P1567" i="1"/>
  <c r="L1570" i="1"/>
  <c r="P1570" i="1"/>
  <c r="M1571" i="1"/>
  <c r="Q1571" i="1"/>
  <c r="N1572" i="1"/>
  <c r="M1574" i="1"/>
  <c r="Q1574" i="1"/>
  <c r="N1575" i="1"/>
  <c r="K1576" i="1"/>
  <c r="L1578" i="1"/>
  <c r="K1579" i="1"/>
  <c r="S1579" i="1"/>
  <c r="R1580" i="1"/>
  <c r="L1595" i="1"/>
  <c r="N1602" i="1"/>
  <c r="N1606" i="1"/>
  <c r="J3352" i="1"/>
  <c r="J3351" i="1"/>
  <c r="J3350" i="1"/>
  <c r="S3349" i="1"/>
  <c r="K3359" i="1"/>
  <c r="R3379" i="1"/>
  <c r="R3423" i="1"/>
  <c r="N1534" i="1"/>
  <c r="R1534" i="1"/>
  <c r="M1535" i="1"/>
  <c r="Q1535" i="1"/>
  <c r="L1536" i="1"/>
  <c r="N1558" i="1"/>
  <c r="N1559" i="1"/>
  <c r="N1562" i="1"/>
  <c r="M1563" i="1"/>
  <c r="M1570" i="1"/>
  <c r="Q1570" i="1"/>
  <c r="N1571" i="1"/>
  <c r="K1572" i="1"/>
  <c r="Q1576" i="1"/>
  <c r="M1576" i="1"/>
  <c r="Q1575" i="1"/>
  <c r="M1575" i="1"/>
  <c r="N1574" i="1"/>
  <c r="R1574" i="1"/>
  <c r="O1575" i="1"/>
  <c r="L1576" i="1"/>
  <c r="R1576" i="1"/>
  <c r="N1578" i="1"/>
  <c r="M1579" i="1"/>
  <c r="L1580" i="1"/>
  <c r="N1603" i="1"/>
  <c r="M1607" i="1"/>
  <c r="Q1620" i="1"/>
  <c r="M1620" i="1"/>
  <c r="Q1619" i="1"/>
  <c r="M1619" i="1"/>
  <c r="Q1618" i="1"/>
  <c r="M1618" i="1"/>
  <c r="P1620" i="1"/>
  <c r="L1620" i="1"/>
  <c r="P1619" i="1"/>
  <c r="L1619" i="1"/>
  <c r="P1618" i="1"/>
  <c r="L1618" i="1"/>
  <c r="O1620" i="1"/>
  <c r="K1620" i="1"/>
  <c r="O1619" i="1"/>
  <c r="K1619" i="1"/>
  <c r="O1618" i="1"/>
  <c r="K1618" i="1"/>
  <c r="R1619" i="1"/>
  <c r="L3360" i="1"/>
  <c r="R3380" i="1"/>
  <c r="M3404" i="1"/>
  <c r="L3403" i="1"/>
  <c r="K3402" i="1"/>
  <c r="K3404" i="1"/>
  <c r="M3402" i="1"/>
  <c r="M3403" i="1"/>
  <c r="K3403" i="1"/>
  <c r="L3402" i="1"/>
  <c r="J1592" i="1"/>
  <c r="M1598" i="1"/>
  <c r="K1600" i="1"/>
  <c r="N1614" i="1"/>
  <c r="K1615" i="1"/>
  <c r="O1615" i="1"/>
  <c r="L1616" i="1"/>
  <c r="P1616" i="1"/>
  <c r="M1622" i="1"/>
  <c r="Q1622" i="1"/>
  <c r="L1623" i="1"/>
  <c r="P1623" i="1"/>
  <c r="K1624" i="1"/>
  <c r="O1624" i="1"/>
  <c r="S1624" i="1"/>
  <c r="K3355" i="1"/>
  <c r="K3364" i="1"/>
  <c r="K3363" i="1"/>
  <c r="K3362" i="1"/>
  <c r="L3363" i="1"/>
  <c r="M3364" i="1"/>
  <c r="N3366" i="1"/>
  <c r="O3367" i="1"/>
  <c r="S3384" i="1"/>
  <c r="O3384" i="1"/>
  <c r="K3384" i="1"/>
  <c r="P3383" i="1"/>
  <c r="L3383" i="1"/>
  <c r="Q3382" i="1"/>
  <c r="M3382" i="1"/>
  <c r="Q3384" i="1"/>
  <c r="M3384" i="1"/>
  <c r="R3383" i="1"/>
  <c r="N3383" i="1"/>
  <c r="S3382" i="1"/>
  <c r="O3382" i="1"/>
  <c r="K3382" i="1"/>
  <c r="R3382" i="1"/>
  <c r="Q3383" i="1"/>
  <c r="P3384" i="1"/>
  <c r="J3394" i="1"/>
  <c r="S3393" i="1"/>
  <c r="J3396" i="1"/>
  <c r="O3396" i="1"/>
  <c r="M3936" i="1"/>
  <c r="M3935" i="1"/>
  <c r="M3934" i="1"/>
  <c r="K3936" i="1"/>
  <c r="K3935" i="1"/>
  <c r="K3934" i="1"/>
  <c r="L3935" i="1"/>
  <c r="N3936" i="1"/>
  <c r="N3934" i="1"/>
  <c r="L3936" i="1"/>
  <c r="L3934" i="1"/>
  <c r="N3935" i="1"/>
  <c r="O1592" i="1"/>
  <c r="K1599" i="1"/>
  <c r="L1600" i="1"/>
  <c r="N1622" i="1"/>
  <c r="R1622" i="1"/>
  <c r="M1623" i="1"/>
  <c r="Q1623" i="1"/>
  <c r="L1624" i="1"/>
  <c r="P1624" i="1"/>
  <c r="L3355" i="1"/>
  <c r="L3362" i="1"/>
  <c r="M3363" i="1"/>
  <c r="N3364" i="1"/>
  <c r="M3368" i="1"/>
  <c r="N3367" i="1"/>
  <c r="O3366" i="1"/>
  <c r="K3366" i="1"/>
  <c r="K3367" i="1"/>
  <c r="K3368" i="1"/>
  <c r="M3408" i="1"/>
  <c r="M3407" i="1"/>
  <c r="M3406" i="1"/>
  <c r="L3408" i="1"/>
  <c r="L3407" i="1"/>
  <c r="L3406" i="1"/>
  <c r="K3408" i="1"/>
  <c r="K3407" i="1"/>
  <c r="K3406" i="1"/>
  <c r="O3412" i="1"/>
  <c r="K3412" i="1"/>
  <c r="L3411" i="1"/>
  <c r="M3410" i="1"/>
  <c r="N3412" i="1"/>
  <c r="O3411" i="1"/>
  <c r="K3411" i="1"/>
  <c r="L3410" i="1"/>
  <c r="M3412" i="1"/>
  <c r="N3411" i="1"/>
  <c r="O3410" i="1"/>
  <c r="K3410" i="1"/>
  <c r="G3424" i="1"/>
  <c r="K3448" i="1"/>
  <c r="M3446" i="1"/>
  <c r="M3447" i="1"/>
  <c r="L3446" i="1"/>
  <c r="M3448" i="1"/>
  <c r="L3447" i="1"/>
  <c r="K3446" i="1"/>
  <c r="S1589" i="1"/>
  <c r="K1598" i="1"/>
  <c r="L1599" i="1"/>
  <c r="N1610" i="1"/>
  <c r="L1611" i="1"/>
  <c r="P1611" i="1"/>
  <c r="L1614" i="1"/>
  <c r="P1614" i="1"/>
  <c r="M1615" i="1"/>
  <c r="Q1615" i="1"/>
  <c r="K1622" i="1"/>
  <c r="O1622" i="1"/>
  <c r="S1622" i="1"/>
  <c r="N1623" i="1"/>
  <c r="R1623" i="1"/>
  <c r="M1624" i="1"/>
  <c r="K3354" i="1"/>
  <c r="M3362" i="1"/>
  <c r="N3363" i="1"/>
  <c r="L3366" i="1"/>
  <c r="L3367" i="1"/>
  <c r="L3368" i="1"/>
  <c r="G3380" i="1"/>
  <c r="N3382" i="1"/>
  <c r="M3383" i="1"/>
  <c r="L3384" i="1"/>
  <c r="K3399" i="1"/>
  <c r="K3400" i="1"/>
  <c r="K3398" i="1"/>
  <c r="N3406" i="1"/>
  <c r="J3440" i="1"/>
  <c r="J3439" i="1"/>
  <c r="J3438" i="1"/>
  <c r="S3437" i="1"/>
  <c r="Q3468" i="1"/>
  <c r="M3468" i="1"/>
  <c r="Q3467" i="1"/>
  <c r="M3467" i="1"/>
  <c r="Q3466" i="1"/>
  <c r="M3466" i="1"/>
  <c r="P3468" i="1"/>
  <c r="L3468" i="1"/>
  <c r="P3467" i="1"/>
  <c r="L3467" i="1"/>
  <c r="P3466" i="1"/>
  <c r="L3466" i="1"/>
  <c r="O3468" i="1"/>
  <c r="K3468" i="1"/>
  <c r="O3467" i="1"/>
  <c r="K3467" i="1"/>
  <c r="O3466" i="1"/>
  <c r="K3466" i="1"/>
  <c r="N3467" i="1"/>
  <c r="R3468" i="1"/>
  <c r="R3466" i="1"/>
  <c r="N3468" i="1"/>
  <c r="N3466" i="1"/>
  <c r="N3370" i="1"/>
  <c r="L3371" i="1"/>
  <c r="P3371" i="1"/>
  <c r="N3372" i="1"/>
  <c r="L3374" i="1"/>
  <c r="P3374" i="1"/>
  <c r="M3375" i="1"/>
  <c r="Q3375" i="1"/>
  <c r="N3376" i="1"/>
  <c r="N3418" i="1"/>
  <c r="K3419" i="1"/>
  <c r="O3419" i="1"/>
  <c r="L3420" i="1"/>
  <c r="P3420" i="1"/>
  <c r="M3426" i="1"/>
  <c r="Q3426" i="1"/>
  <c r="L3427" i="1"/>
  <c r="P3427" i="1"/>
  <c r="K3428" i="1"/>
  <c r="O3428" i="1"/>
  <c r="S3428" i="1"/>
  <c r="K3443" i="1"/>
  <c r="Q3952" i="1"/>
  <c r="M3952" i="1"/>
  <c r="Q3951" i="1"/>
  <c r="M3951" i="1"/>
  <c r="Q3950" i="1"/>
  <c r="M3950" i="1"/>
  <c r="P3952" i="1"/>
  <c r="L3952" i="1"/>
  <c r="P3951" i="1"/>
  <c r="L3951" i="1"/>
  <c r="P3950" i="1"/>
  <c r="L3950" i="1"/>
  <c r="O3952" i="1"/>
  <c r="K3952" i="1"/>
  <c r="O3951" i="1"/>
  <c r="K3951" i="1"/>
  <c r="O3950" i="1"/>
  <c r="K3950" i="1"/>
  <c r="N3951" i="1"/>
  <c r="R3952" i="1"/>
  <c r="R3950" i="1"/>
  <c r="N3952" i="1"/>
  <c r="N3950" i="1"/>
  <c r="N3426" i="1"/>
  <c r="R3426" i="1"/>
  <c r="M3427" i="1"/>
  <c r="Q3427" i="1"/>
  <c r="L3428" i="1"/>
  <c r="P3428" i="1"/>
  <c r="L3443" i="1"/>
  <c r="M3452" i="1"/>
  <c r="M3451" i="1"/>
  <c r="M3450" i="1"/>
  <c r="L3452" i="1"/>
  <c r="L3451" i="1"/>
  <c r="L3450" i="1"/>
  <c r="K3452" i="1"/>
  <c r="K3451" i="1"/>
  <c r="K3450" i="1"/>
  <c r="O3456" i="1"/>
  <c r="K3456" i="1"/>
  <c r="L3455" i="1"/>
  <c r="M3454" i="1"/>
  <c r="N3456" i="1"/>
  <c r="O3455" i="1"/>
  <c r="K3455" i="1"/>
  <c r="L3454" i="1"/>
  <c r="M3456" i="1"/>
  <c r="N3455" i="1"/>
  <c r="O3454" i="1"/>
  <c r="K3454" i="1"/>
  <c r="R3951" i="1"/>
  <c r="L3370" i="1"/>
  <c r="P3370" i="1"/>
  <c r="N3371" i="1"/>
  <c r="L3372" i="1"/>
  <c r="N3374" i="1"/>
  <c r="K3375" i="1"/>
  <c r="O3375" i="1"/>
  <c r="L3376" i="1"/>
  <c r="N3414" i="1"/>
  <c r="L3415" i="1"/>
  <c r="P3415" i="1"/>
  <c r="L3418" i="1"/>
  <c r="P3418" i="1"/>
  <c r="M3419" i="1"/>
  <c r="Q3419" i="1"/>
  <c r="K3426" i="1"/>
  <c r="O3426" i="1"/>
  <c r="S3426" i="1"/>
  <c r="N3427" i="1"/>
  <c r="R3427" i="1"/>
  <c r="M3428" i="1"/>
  <c r="K3442" i="1"/>
  <c r="N3450" i="1"/>
  <c r="N3454" i="1"/>
  <c r="D3472" i="1"/>
  <c r="J3924" i="1"/>
  <c r="J3923" i="1"/>
  <c r="J3922" i="1"/>
  <c r="S3921" i="1"/>
  <c r="N3462" i="1"/>
  <c r="K3463" i="1"/>
  <c r="O3463" i="1"/>
  <c r="L3464" i="1"/>
  <c r="P3464" i="1"/>
  <c r="M3470" i="1"/>
  <c r="Q3470" i="1"/>
  <c r="L3471" i="1"/>
  <c r="P3471" i="1"/>
  <c r="K3472" i="1"/>
  <c r="O3472" i="1"/>
  <c r="S3472" i="1"/>
  <c r="K3928" i="1"/>
  <c r="M3932" i="1"/>
  <c r="L3931" i="1"/>
  <c r="K3930" i="1"/>
  <c r="K3932" i="1"/>
  <c r="M3930" i="1"/>
  <c r="L3932" i="1"/>
  <c r="N3470" i="1"/>
  <c r="R3470" i="1"/>
  <c r="M3471" i="1"/>
  <c r="Q3471" i="1"/>
  <c r="L3472" i="1"/>
  <c r="P3472" i="1"/>
  <c r="K3926" i="1"/>
  <c r="L3928" i="1"/>
  <c r="L3930" i="1"/>
  <c r="J3968" i="1"/>
  <c r="S3965" i="1"/>
  <c r="O3968" i="1"/>
  <c r="J3966" i="1"/>
  <c r="M3988" i="1"/>
  <c r="O3987" i="1"/>
  <c r="K3987" i="1"/>
  <c r="M3986" i="1"/>
  <c r="P3988" i="1"/>
  <c r="L3988" i="1"/>
  <c r="N3987" i="1"/>
  <c r="P3986" i="1"/>
  <c r="L3986" i="1"/>
  <c r="O3988" i="1"/>
  <c r="K3988" i="1"/>
  <c r="M3987" i="1"/>
  <c r="O3986" i="1"/>
  <c r="K3986" i="1"/>
  <c r="P3987" i="1"/>
  <c r="L3987" i="1"/>
  <c r="N3986" i="1"/>
  <c r="N3458" i="1"/>
  <c r="L3459" i="1"/>
  <c r="P3459" i="1"/>
  <c r="L3462" i="1"/>
  <c r="P3462" i="1"/>
  <c r="M3463" i="1"/>
  <c r="Q3463" i="1"/>
  <c r="K3470" i="1"/>
  <c r="O3470" i="1"/>
  <c r="S3470" i="1"/>
  <c r="N3471" i="1"/>
  <c r="R3471" i="1"/>
  <c r="M3472" i="1"/>
  <c r="L3926" i="1"/>
  <c r="K3931" i="1"/>
  <c r="O3940" i="1"/>
  <c r="K3940" i="1"/>
  <c r="L3939" i="1"/>
  <c r="M3938" i="1"/>
  <c r="M3940" i="1"/>
  <c r="N3939" i="1"/>
  <c r="O3938" i="1"/>
  <c r="K3938" i="1"/>
  <c r="M3939" i="1"/>
  <c r="N3988" i="1"/>
  <c r="N3946" i="1"/>
  <c r="K3947" i="1"/>
  <c r="O3947" i="1"/>
  <c r="L3948" i="1"/>
  <c r="P3948" i="1"/>
  <c r="M3954" i="1"/>
  <c r="Q3954" i="1"/>
  <c r="L3955" i="1"/>
  <c r="P3955" i="1"/>
  <c r="K3956" i="1"/>
  <c r="O3956" i="1"/>
  <c r="S3956" i="1"/>
  <c r="D3955" i="1"/>
  <c r="N3954" i="1"/>
  <c r="R3954" i="1"/>
  <c r="M3955" i="1"/>
  <c r="Q3955" i="1"/>
  <c r="L3956" i="1"/>
  <c r="P3956" i="1"/>
  <c r="K3972" i="1"/>
  <c r="K3970" i="1"/>
  <c r="L3972" i="1"/>
  <c r="D4003" i="1"/>
  <c r="N3942" i="1"/>
  <c r="L3943" i="1"/>
  <c r="P3943" i="1"/>
  <c r="L3946" i="1"/>
  <c r="P3946" i="1"/>
  <c r="M3947" i="1"/>
  <c r="Q3947" i="1"/>
  <c r="K3954" i="1"/>
  <c r="O3954" i="1"/>
  <c r="S3954" i="1"/>
  <c r="N3955" i="1"/>
  <c r="R3955" i="1"/>
  <c r="M3956" i="1"/>
  <c r="L3970" i="1"/>
  <c r="D3996" i="1"/>
  <c r="N3978" i="1"/>
  <c r="N3979" i="1"/>
  <c r="N3980" i="1"/>
  <c r="N3982" i="1"/>
  <c r="M3983" i="1"/>
  <c r="L3984" i="1"/>
  <c r="N3994" i="1"/>
  <c r="R3994" i="1"/>
  <c r="N3995" i="1"/>
  <c r="R3995" i="1"/>
  <c r="N3996" i="1"/>
  <c r="R3996" i="1"/>
  <c r="L3998" i="1"/>
  <c r="P3998" i="1"/>
  <c r="K3999" i="1"/>
  <c r="O3999" i="1"/>
  <c r="S3999" i="1"/>
  <c r="N4000" i="1"/>
  <c r="R4000" i="1"/>
  <c r="M3974" i="1"/>
  <c r="K3976" i="1"/>
  <c r="K3978" i="1"/>
  <c r="K3979" i="1"/>
  <c r="K3980" i="1"/>
  <c r="K3982" i="1"/>
  <c r="O3982" i="1"/>
  <c r="N3983" i="1"/>
  <c r="M3984" i="1"/>
  <c r="N3990" i="1"/>
  <c r="K3991" i="1"/>
  <c r="O3991" i="1"/>
  <c r="L3992" i="1"/>
  <c r="K3994" i="1"/>
  <c r="O3994" i="1"/>
  <c r="K3995" i="1"/>
  <c r="O3995" i="1"/>
  <c r="K3996" i="1"/>
  <c r="M3998" i="1"/>
  <c r="Q3998" i="1"/>
  <c r="L3999" i="1"/>
  <c r="P3999" i="1"/>
  <c r="K4000" i="1"/>
  <c r="O4000" i="1"/>
  <c r="S4000" i="1"/>
  <c r="K3975" i="1"/>
  <c r="L3978" i="1"/>
  <c r="L3979" i="1"/>
  <c r="L3982" i="1"/>
  <c r="K3983" i="1"/>
  <c r="O3983" i="1"/>
  <c r="N3998" i="1"/>
  <c r="R3998" i="1"/>
  <c r="M3999" i="1"/>
  <c r="Q3999" i="1"/>
  <c r="L4000" i="1"/>
  <c r="K1263" i="1"/>
  <c r="L1303" i="1"/>
  <c r="K1331" i="1"/>
  <c r="K1332" i="1"/>
  <c r="K1330" i="1"/>
  <c r="L1332" i="1"/>
  <c r="L1331" i="1"/>
  <c r="L1330" i="1"/>
  <c r="J1372" i="1"/>
  <c r="J1371" i="1"/>
  <c r="J1370" i="1"/>
  <c r="S1369" i="1"/>
  <c r="O1372" i="1"/>
  <c r="K1243" i="1"/>
  <c r="L1244" i="1"/>
  <c r="L1242" i="1"/>
  <c r="K1244" i="1"/>
  <c r="G1268" i="1"/>
  <c r="F1268" i="1"/>
  <c r="M1340" i="1"/>
  <c r="M1339" i="1"/>
  <c r="M1338" i="1"/>
  <c r="K1340" i="1"/>
  <c r="K1339" i="1"/>
  <c r="K1338" i="1"/>
  <c r="L1339" i="1"/>
  <c r="N1340" i="1"/>
  <c r="N1338" i="1"/>
  <c r="L1340" i="1"/>
  <c r="L1338" i="1"/>
  <c r="O1264" i="1"/>
  <c r="K1264" i="1"/>
  <c r="N1263" i="1"/>
  <c r="Q1262" i="1"/>
  <c r="M1262" i="1"/>
  <c r="N1264" i="1"/>
  <c r="Q1263" i="1"/>
  <c r="M1263" i="1"/>
  <c r="P1262" i="1"/>
  <c r="L1262" i="1"/>
  <c r="Q1264" i="1"/>
  <c r="M1264" i="1"/>
  <c r="P1263" i="1"/>
  <c r="L1263" i="1"/>
  <c r="O1262" i="1"/>
  <c r="K1262" i="1"/>
  <c r="L1264" i="1"/>
  <c r="M1304" i="1"/>
  <c r="O1303" i="1"/>
  <c r="K1303" i="1"/>
  <c r="M1302" i="1"/>
  <c r="P1304" i="1"/>
  <c r="L1304" i="1"/>
  <c r="N1303" i="1"/>
  <c r="P1302" i="1"/>
  <c r="L1302" i="1"/>
  <c r="O1304" i="1"/>
  <c r="K1304" i="1"/>
  <c r="M1303" i="1"/>
  <c r="O1302" i="1"/>
  <c r="K1302" i="1"/>
  <c r="N1304" i="1"/>
  <c r="P1392" i="1"/>
  <c r="L1392" i="1"/>
  <c r="N1391" i="1"/>
  <c r="P1390" i="1"/>
  <c r="L1390" i="1"/>
  <c r="M1392" i="1"/>
  <c r="M1391" i="1"/>
  <c r="N1390" i="1"/>
  <c r="K1392" i="1"/>
  <c r="L1391" i="1"/>
  <c r="M1390" i="1"/>
  <c r="O1392" i="1"/>
  <c r="P1391" i="1"/>
  <c r="K1391" i="1"/>
  <c r="K1390" i="1"/>
  <c r="N1392" i="1"/>
  <c r="O1391" i="1"/>
  <c r="O1390" i="1"/>
  <c r="K1242" i="1"/>
  <c r="N1262" i="1"/>
  <c r="P1264" i="1"/>
  <c r="N1302" i="1"/>
  <c r="O1312" i="1"/>
  <c r="K1312" i="1"/>
  <c r="O1311" i="1"/>
  <c r="K1311" i="1"/>
  <c r="O1310" i="1"/>
  <c r="K1310" i="1"/>
  <c r="Q1312" i="1"/>
  <c r="M1312" i="1"/>
  <c r="Q1311" i="1"/>
  <c r="M1311" i="1"/>
  <c r="Q1310" i="1"/>
  <c r="N1312" i="1"/>
  <c r="N1311" i="1"/>
  <c r="N1310" i="1"/>
  <c r="L1312" i="1"/>
  <c r="L1311" i="1"/>
  <c r="M1310" i="1"/>
  <c r="R1312" i="1"/>
  <c r="R1311" i="1"/>
  <c r="R1310" i="1"/>
  <c r="L1310" i="1"/>
  <c r="D1355" i="1"/>
  <c r="G1356" i="1"/>
  <c r="K1247" i="1"/>
  <c r="L1250" i="1"/>
  <c r="L1251" i="1"/>
  <c r="L1252" i="1"/>
  <c r="L1254" i="1"/>
  <c r="K1255" i="1"/>
  <c r="O1255" i="1"/>
  <c r="N1256" i="1"/>
  <c r="M1258" i="1"/>
  <c r="K1259" i="1"/>
  <c r="O1259" i="1"/>
  <c r="M1260" i="1"/>
  <c r="L1266" i="1"/>
  <c r="P1266" i="1"/>
  <c r="L1267" i="1"/>
  <c r="P1267" i="1"/>
  <c r="L1268" i="1"/>
  <c r="P1268" i="1"/>
  <c r="N1270" i="1"/>
  <c r="R1270" i="1"/>
  <c r="M1271" i="1"/>
  <c r="Q1271" i="1"/>
  <c r="L1272" i="1"/>
  <c r="P1272" i="1"/>
  <c r="J1283" i="1"/>
  <c r="L1290" i="1"/>
  <c r="M1291" i="1"/>
  <c r="N1294" i="1"/>
  <c r="N1295" i="1"/>
  <c r="N1298" i="1"/>
  <c r="M1299" i="1"/>
  <c r="M1306" i="1"/>
  <c r="Q1306" i="1"/>
  <c r="N1307" i="1"/>
  <c r="K1308" i="1"/>
  <c r="O1308" i="1"/>
  <c r="P1314" i="1"/>
  <c r="O1315" i="1"/>
  <c r="M1336" i="1"/>
  <c r="L1335" i="1"/>
  <c r="K1334" i="1"/>
  <c r="K1336" i="1"/>
  <c r="M1334" i="1"/>
  <c r="L1336" i="1"/>
  <c r="N1342" i="1"/>
  <c r="L1344" i="1"/>
  <c r="F1356" i="1"/>
  <c r="P1354" i="1"/>
  <c r="P1355" i="1"/>
  <c r="P1358" i="1"/>
  <c r="N1360" i="1"/>
  <c r="M1250" i="1"/>
  <c r="M1251" i="1"/>
  <c r="M1252" i="1"/>
  <c r="M1254" i="1"/>
  <c r="L1255" i="1"/>
  <c r="K1256" i="1"/>
  <c r="O1256" i="1"/>
  <c r="N1258" i="1"/>
  <c r="L1259" i="1"/>
  <c r="P1259" i="1"/>
  <c r="M1266" i="1"/>
  <c r="Q1266" i="1"/>
  <c r="M1267" i="1"/>
  <c r="Q1267" i="1"/>
  <c r="M1268" i="1"/>
  <c r="Q1268" i="1"/>
  <c r="K1270" i="1"/>
  <c r="O1270" i="1"/>
  <c r="S1270" i="1"/>
  <c r="N1271" i="1"/>
  <c r="R1271" i="1"/>
  <c r="M1272" i="1"/>
  <c r="Q1272" i="1"/>
  <c r="N1306" i="1"/>
  <c r="K1307" i="1"/>
  <c r="O1307" i="1"/>
  <c r="L1308" i="1"/>
  <c r="P1308" i="1"/>
  <c r="F1312" i="1"/>
  <c r="S1316" i="1"/>
  <c r="O1316" i="1"/>
  <c r="K1316" i="1"/>
  <c r="P1315" i="1"/>
  <c r="L1315" i="1"/>
  <c r="Q1314" i="1"/>
  <c r="M1314" i="1"/>
  <c r="Q1316" i="1"/>
  <c r="M1316" i="1"/>
  <c r="R1315" i="1"/>
  <c r="N1315" i="1"/>
  <c r="S1314" i="1"/>
  <c r="O1314" i="1"/>
  <c r="K1314" i="1"/>
  <c r="R1314" i="1"/>
  <c r="Q1315" i="1"/>
  <c r="P1316" i="1"/>
  <c r="J1326" i="1"/>
  <c r="S1325" i="1"/>
  <c r="J1328" i="1"/>
  <c r="O1328" i="1"/>
  <c r="K1343" i="1"/>
  <c r="Q1356" i="1"/>
  <c r="M1356" i="1"/>
  <c r="Q1355" i="1"/>
  <c r="M1355" i="1"/>
  <c r="Q1354" i="1"/>
  <c r="M1354" i="1"/>
  <c r="O1356" i="1"/>
  <c r="K1356" i="1"/>
  <c r="O1355" i="1"/>
  <c r="K1355" i="1"/>
  <c r="O1354" i="1"/>
  <c r="K1354" i="1"/>
  <c r="R1354" i="1"/>
  <c r="R1355" i="1"/>
  <c r="R1356" i="1"/>
  <c r="K1359" i="1"/>
  <c r="N1250" i="1"/>
  <c r="N1251" i="1"/>
  <c r="N1254" i="1"/>
  <c r="M1255" i="1"/>
  <c r="N1266" i="1"/>
  <c r="R1266" i="1"/>
  <c r="N1267" i="1"/>
  <c r="R1267" i="1"/>
  <c r="N1268" i="1"/>
  <c r="L1270" i="1"/>
  <c r="P1270" i="1"/>
  <c r="K1271" i="1"/>
  <c r="O1271" i="1"/>
  <c r="S1271" i="1"/>
  <c r="N1272" i="1"/>
  <c r="K1291" i="1"/>
  <c r="K1306" i="1"/>
  <c r="O1306" i="1"/>
  <c r="L1307" i="1"/>
  <c r="P1307" i="1"/>
  <c r="M1308" i="1"/>
  <c r="O1344" i="1"/>
  <c r="K1344" i="1"/>
  <c r="L1343" i="1"/>
  <c r="M1342" i="1"/>
  <c r="M1344" i="1"/>
  <c r="N1343" i="1"/>
  <c r="O1342" i="1"/>
  <c r="K1342" i="1"/>
  <c r="M1343" i="1"/>
  <c r="Q1360" i="1"/>
  <c r="M1360" i="1"/>
  <c r="R1359" i="1"/>
  <c r="N1359" i="1"/>
  <c r="S1358" i="1"/>
  <c r="O1358" i="1"/>
  <c r="K1358" i="1"/>
  <c r="P1360" i="1"/>
  <c r="L1360" i="1"/>
  <c r="Q1359" i="1"/>
  <c r="M1359" i="1"/>
  <c r="R1358" i="1"/>
  <c r="N1358" i="1"/>
  <c r="S1360" i="1"/>
  <c r="O1360" i="1"/>
  <c r="K1360" i="1"/>
  <c r="P1359" i="1"/>
  <c r="L1359" i="1"/>
  <c r="Q1358" i="1"/>
  <c r="M1358" i="1"/>
  <c r="O1359" i="1"/>
  <c r="K1380" i="1"/>
  <c r="M1378" i="1"/>
  <c r="M1379" i="1"/>
  <c r="L1378" i="1"/>
  <c r="M1380" i="1"/>
  <c r="L1379" i="1"/>
  <c r="K1378" i="1"/>
  <c r="K4016" i="1"/>
  <c r="K4014" i="1"/>
  <c r="L4015" i="1"/>
  <c r="K4015" i="1"/>
  <c r="L4014" i="1"/>
  <c r="L4016" i="1"/>
  <c r="N1350" i="1"/>
  <c r="K1351" i="1"/>
  <c r="O1351" i="1"/>
  <c r="L1352" i="1"/>
  <c r="P1352" i="1"/>
  <c r="K1375" i="1"/>
  <c r="M1382" i="1"/>
  <c r="M1383" i="1"/>
  <c r="N1384" i="1"/>
  <c r="M1388" i="1"/>
  <c r="N1387" i="1"/>
  <c r="O1386" i="1"/>
  <c r="K1386" i="1"/>
  <c r="K1387" i="1"/>
  <c r="K1388" i="1"/>
  <c r="N1398" i="1"/>
  <c r="L1399" i="1"/>
  <c r="Q1399" i="1"/>
  <c r="D1399" i="1"/>
  <c r="L1375" i="1"/>
  <c r="N1382" i="1"/>
  <c r="N1383" i="1"/>
  <c r="O1400" i="1"/>
  <c r="K1400" i="1"/>
  <c r="O1399" i="1"/>
  <c r="K1399" i="1"/>
  <c r="O1398" i="1"/>
  <c r="K1398" i="1"/>
  <c r="P1398" i="1"/>
  <c r="M1399" i="1"/>
  <c r="R1399" i="1"/>
  <c r="P1400" i="1"/>
  <c r="J1416" i="1"/>
  <c r="J1415" i="1"/>
  <c r="J1414" i="1"/>
  <c r="S1413" i="1"/>
  <c r="S1448" i="1"/>
  <c r="O1448" i="1"/>
  <c r="K1448" i="1"/>
  <c r="P1447" i="1"/>
  <c r="L1447" i="1"/>
  <c r="Q1446" i="1"/>
  <c r="M1446" i="1"/>
  <c r="R1448" i="1"/>
  <c r="N1448" i="1"/>
  <c r="S1447" i="1"/>
  <c r="O1447" i="1"/>
  <c r="K1447" i="1"/>
  <c r="P1446" i="1"/>
  <c r="L1446" i="1"/>
  <c r="Q1448" i="1"/>
  <c r="M1448" i="1"/>
  <c r="R1447" i="1"/>
  <c r="N1447" i="1"/>
  <c r="S1446" i="1"/>
  <c r="O1446" i="1"/>
  <c r="K1446" i="1"/>
  <c r="Q1447" i="1"/>
  <c r="K1463" i="1"/>
  <c r="L1464" i="1"/>
  <c r="L1462" i="1"/>
  <c r="K1464" i="1"/>
  <c r="K1462" i="1"/>
  <c r="N1346" i="1"/>
  <c r="L1347" i="1"/>
  <c r="P1347" i="1"/>
  <c r="L1350" i="1"/>
  <c r="P1350" i="1"/>
  <c r="M1351" i="1"/>
  <c r="Q1351" i="1"/>
  <c r="K1374" i="1"/>
  <c r="K1382" i="1"/>
  <c r="K1383" i="1"/>
  <c r="L1384" i="1"/>
  <c r="M1386" i="1"/>
  <c r="M1387" i="1"/>
  <c r="N1388" i="1"/>
  <c r="L1398" i="1"/>
  <c r="Q1398" i="1"/>
  <c r="N1399" i="1"/>
  <c r="L1400" i="1"/>
  <c r="Q1400" i="1"/>
  <c r="K1424" i="1"/>
  <c r="M1422" i="1"/>
  <c r="M1423" i="1"/>
  <c r="L1422" i="1"/>
  <c r="M1424" i="1"/>
  <c r="L1423" i="1"/>
  <c r="K1422" i="1"/>
  <c r="N1446" i="1"/>
  <c r="L1448" i="1"/>
  <c r="L1463" i="1"/>
  <c r="N1394" i="1"/>
  <c r="K1395" i="1"/>
  <c r="O1395" i="1"/>
  <c r="L1396" i="1"/>
  <c r="M1402" i="1"/>
  <c r="Q1402" i="1"/>
  <c r="L1403" i="1"/>
  <c r="P1403" i="1"/>
  <c r="K1404" i="1"/>
  <c r="O1404" i="1"/>
  <c r="S1404" i="1"/>
  <c r="K1419" i="1"/>
  <c r="M1426" i="1"/>
  <c r="M1427" i="1"/>
  <c r="M1428" i="1"/>
  <c r="M1430" i="1"/>
  <c r="L1431" i="1"/>
  <c r="K1432" i="1"/>
  <c r="O1432" i="1"/>
  <c r="N1434" i="1"/>
  <c r="L1435" i="1"/>
  <c r="P1435" i="1"/>
  <c r="L1438" i="1"/>
  <c r="P1438" i="1"/>
  <c r="M1439" i="1"/>
  <c r="Q1439" i="1"/>
  <c r="N1440" i="1"/>
  <c r="M1442" i="1"/>
  <c r="Q1442" i="1"/>
  <c r="M1443" i="1"/>
  <c r="Q1443" i="1"/>
  <c r="M1444" i="1"/>
  <c r="Q1444" i="1"/>
  <c r="F1444" i="1"/>
  <c r="J1460" i="1"/>
  <c r="N1470" i="1"/>
  <c r="N1472" i="1"/>
  <c r="K1475" i="1"/>
  <c r="R1490" i="1"/>
  <c r="P1492" i="1"/>
  <c r="N1402" i="1"/>
  <c r="R1402" i="1"/>
  <c r="M1403" i="1"/>
  <c r="Q1403" i="1"/>
  <c r="L1404" i="1"/>
  <c r="N1426" i="1"/>
  <c r="N1427" i="1"/>
  <c r="N1430" i="1"/>
  <c r="M1431" i="1"/>
  <c r="M1438" i="1"/>
  <c r="Q1438" i="1"/>
  <c r="N1439" i="1"/>
  <c r="K1440" i="1"/>
  <c r="O1440" i="1"/>
  <c r="N1442" i="1"/>
  <c r="R1442" i="1"/>
  <c r="N1443" i="1"/>
  <c r="R1443" i="1"/>
  <c r="N1444" i="1"/>
  <c r="K1468" i="1"/>
  <c r="M1466" i="1"/>
  <c r="M1468" i="1"/>
  <c r="L1467" i="1"/>
  <c r="M1476" i="1"/>
  <c r="N1475" i="1"/>
  <c r="O1474" i="1"/>
  <c r="K1474" i="1"/>
  <c r="O1476" i="1"/>
  <c r="K1476" i="1"/>
  <c r="L1475" i="1"/>
  <c r="M1474" i="1"/>
  <c r="M1475" i="1"/>
  <c r="N1438" i="1"/>
  <c r="K1439" i="1"/>
  <c r="O1439" i="1"/>
  <c r="L1440" i="1"/>
  <c r="K1472" i="1"/>
  <c r="K1471" i="1"/>
  <c r="K1470" i="1"/>
  <c r="M1472" i="1"/>
  <c r="M1471" i="1"/>
  <c r="M1470" i="1"/>
  <c r="N1471" i="1"/>
  <c r="S1492" i="1"/>
  <c r="O1492" i="1"/>
  <c r="K1492" i="1"/>
  <c r="P1491" i="1"/>
  <c r="L1491" i="1"/>
  <c r="Q1490" i="1"/>
  <c r="M1490" i="1"/>
  <c r="R1492" i="1"/>
  <c r="N1492" i="1"/>
  <c r="S1491" i="1"/>
  <c r="O1491" i="1"/>
  <c r="K1491" i="1"/>
  <c r="P1490" i="1"/>
  <c r="L1490" i="1"/>
  <c r="Q1492" i="1"/>
  <c r="M1492" i="1"/>
  <c r="R1491" i="1"/>
  <c r="N1491" i="1"/>
  <c r="S1490" i="1"/>
  <c r="O1490" i="1"/>
  <c r="K1490" i="1"/>
  <c r="Q1491" i="1"/>
  <c r="N1478" i="1"/>
  <c r="L1479" i="1"/>
  <c r="P1479" i="1"/>
  <c r="L1482" i="1"/>
  <c r="P1482" i="1"/>
  <c r="M1483" i="1"/>
  <c r="Q1483" i="1"/>
  <c r="N1484" i="1"/>
  <c r="M1486" i="1"/>
  <c r="Q1486" i="1"/>
  <c r="M1487" i="1"/>
  <c r="Q1487" i="1"/>
  <c r="M1488" i="1"/>
  <c r="Q1488" i="1"/>
  <c r="F1488" i="1"/>
  <c r="L4024" i="1"/>
  <c r="L4023" i="1"/>
  <c r="L4022" i="1"/>
  <c r="K4024" i="1"/>
  <c r="K4023" i="1"/>
  <c r="K4022" i="1"/>
  <c r="N4023" i="1"/>
  <c r="N4026" i="1"/>
  <c r="L4028" i="1"/>
  <c r="N4030" i="1"/>
  <c r="P4031" i="1"/>
  <c r="D4042" i="1"/>
  <c r="N1486" i="1"/>
  <c r="R1486" i="1"/>
  <c r="N1487" i="1"/>
  <c r="R1487" i="1"/>
  <c r="N1488" i="1"/>
  <c r="R1488" i="1"/>
  <c r="J4011" i="1"/>
  <c r="M4022" i="1"/>
  <c r="M4024" i="1"/>
  <c r="L4027" i="1"/>
  <c r="O4030" i="1"/>
  <c r="G4040" i="1"/>
  <c r="D4047" i="1"/>
  <c r="N1482" i="1"/>
  <c r="K1483" i="1"/>
  <c r="O1483" i="1"/>
  <c r="L1484" i="1"/>
  <c r="K1486" i="1"/>
  <c r="O1486" i="1"/>
  <c r="K1487" i="1"/>
  <c r="O1487" i="1"/>
  <c r="K1488" i="1"/>
  <c r="N4028" i="1"/>
  <c r="O4027" i="1"/>
  <c r="K4027" i="1"/>
  <c r="L4026" i="1"/>
  <c r="M4028" i="1"/>
  <c r="N4027" i="1"/>
  <c r="O4026" i="1"/>
  <c r="K4026" i="1"/>
  <c r="M4027" i="1"/>
  <c r="M4032" i="1"/>
  <c r="O4031" i="1"/>
  <c r="K4031" i="1"/>
  <c r="M4030" i="1"/>
  <c r="P4032" i="1"/>
  <c r="L4032" i="1"/>
  <c r="N4031" i="1"/>
  <c r="P4030" i="1"/>
  <c r="L4030" i="1"/>
  <c r="L4031" i="1"/>
  <c r="N4032" i="1"/>
  <c r="N4038" i="1"/>
  <c r="R4038" i="1"/>
  <c r="N4039" i="1"/>
  <c r="R4039" i="1"/>
  <c r="N4040" i="1"/>
  <c r="R4040" i="1"/>
  <c r="L4042" i="1"/>
  <c r="P4042" i="1"/>
  <c r="K4043" i="1"/>
  <c r="O4043" i="1"/>
  <c r="S4043" i="1"/>
  <c r="N4044" i="1"/>
  <c r="R4044" i="1"/>
  <c r="M4018" i="1"/>
  <c r="K4020" i="1"/>
  <c r="N4034" i="1"/>
  <c r="K4035" i="1"/>
  <c r="O4035" i="1"/>
  <c r="L4036" i="1"/>
  <c r="K4038" i="1"/>
  <c r="O4038" i="1"/>
  <c r="K4039" i="1"/>
  <c r="O4039" i="1"/>
  <c r="K4040" i="1"/>
  <c r="O4040" i="1"/>
  <c r="M4042" i="1"/>
  <c r="Q4042" i="1"/>
  <c r="L4043" i="1"/>
  <c r="P4043" i="1"/>
  <c r="K4044" i="1"/>
  <c r="O4044" i="1"/>
  <c r="S4044" i="1"/>
  <c r="K4019" i="1"/>
  <c r="L4038" i="1"/>
  <c r="P4038" i="1"/>
  <c r="L4039" i="1"/>
  <c r="P4039" i="1"/>
  <c r="L4040" i="1"/>
  <c r="N4042" i="1"/>
  <c r="R4042" i="1"/>
  <c r="M4043" i="1"/>
  <c r="Q4043" i="1"/>
  <c r="L4044" i="1"/>
  <c r="R4097" i="1"/>
  <c r="S4099" i="1"/>
  <c r="S4098" i="1"/>
  <c r="N4118" i="1"/>
  <c r="N4120" i="1"/>
  <c r="L4103" i="1"/>
  <c r="N4110" i="1"/>
  <c r="N4111" i="1"/>
  <c r="N4112" i="1"/>
  <c r="N4114" i="1"/>
  <c r="M4115" i="1"/>
  <c r="L4116" i="1"/>
  <c r="K4118" i="1"/>
  <c r="O4118" i="1"/>
  <c r="M4119" i="1"/>
  <c r="K4120" i="1"/>
  <c r="O4120" i="1"/>
  <c r="N4126" i="1"/>
  <c r="R4126" i="1"/>
  <c r="N4127" i="1"/>
  <c r="R4127" i="1"/>
  <c r="N4128" i="1"/>
  <c r="R4128" i="1"/>
  <c r="L4130" i="1"/>
  <c r="P4130" i="1"/>
  <c r="K4131" i="1"/>
  <c r="O4131" i="1"/>
  <c r="S4131" i="1"/>
  <c r="N4132" i="1"/>
  <c r="R4132" i="1"/>
  <c r="L4119" i="1"/>
  <c r="J4100" i="1"/>
  <c r="K4102" i="1"/>
  <c r="K4104" i="1"/>
  <c r="M4106" i="1"/>
  <c r="K4108" i="1"/>
  <c r="K4110" i="1"/>
  <c r="K4111" i="1"/>
  <c r="K4112" i="1"/>
  <c r="K4114" i="1"/>
  <c r="O4114" i="1"/>
  <c r="N4115" i="1"/>
  <c r="M4116" i="1"/>
  <c r="L4118" i="1"/>
  <c r="P4118" i="1"/>
  <c r="N4119" i="1"/>
  <c r="L4120" i="1"/>
  <c r="P4120" i="1"/>
  <c r="N4122" i="1"/>
  <c r="K4123" i="1"/>
  <c r="O4123" i="1"/>
  <c r="L4124" i="1"/>
  <c r="K4126" i="1"/>
  <c r="O4126" i="1"/>
  <c r="K4127" i="1"/>
  <c r="O4127" i="1"/>
  <c r="K4128" i="1"/>
  <c r="M4130" i="1"/>
  <c r="Q4130" i="1"/>
  <c r="L4131" i="1"/>
  <c r="P4131" i="1"/>
  <c r="K4132" i="1"/>
  <c r="O4132" i="1"/>
  <c r="S4132" i="1"/>
  <c r="P4119" i="1"/>
  <c r="L4102" i="1"/>
  <c r="K4107" i="1"/>
  <c r="L4110" i="1"/>
  <c r="L4111" i="1"/>
  <c r="L4114" i="1"/>
  <c r="K4115" i="1"/>
  <c r="O4115" i="1"/>
  <c r="M4118" i="1"/>
  <c r="K4119" i="1"/>
  <c r="O4119" i="1"/>
  <c r="N4130" i="1"/>
  <c r="R4130" i="1"/>
  <c r="M4131" i="1"/>
  <c r="Q4131" i="1"/>
  <c r="L4132" i="1"/>
  <c r="L4156" i="1"/>
  <c r="L4155" i="1"/>
  <c r="L4154" i="1"/>
  <c r="K4156" i="1"/>
  <c r="K4155" i="1"/>
  <c r="K4154" i="1"/>
  <c r="N4155" i="1"/>
  <c r="N4158" i="1"/>
  <c r="L4160" i="1"/>
  <c r="M4154" i="1"/>
  <c r="M4156" i="1"/>
  <c r="L4159" i="1"/>
  <c r="D4174" i="1"/>
  <c r="R4141" i="1"/>
  <c r="S4143" i="1"/>
  <c r="N4154" i="1"/>
  <c r="N4160" i="1"/>
  <c r="O4159" i="1"/>
  <c r="K4159" i="1"/>
  <c r="L4158" i="1"/>
  <c r="M4160" i="1"/>
  <c r="N4159" i="1"/>
  <c r="O4158" i="1"/>
  <c r="K4158" i="1"/>
  <c r="M4159" i="1"/>
  <c r="M4164" i="1"/>
  <c r="O4163" i="1"/>
  <c r="K4163" i="1"/>
  <c r="M4162" i="1"/>
  <c r="O4164" i="1"/>
  <c r="K4164" i="1"/>
  <c r="M4163" i="1"/>
  <c r="O4162" i="1"/>
  <c r="P4164" i="1"/>
  <c r="L4164" i="1"/>
  <c r="N4163" i="1"/>
  <c r="P4162" i="1"/>
  <c r="L4162" i="1"/>
  <c r="P4163" i="1"/>
  <c r="G4172" i="1"/>
  <c r="D4179" i="1"/>
  <c r="N4156" i="1"/>
  <c r="L4148" i="1"/>
  <c r="L4146" i="1"/>
  <c r="K4148" i="1"/>
  <c r="K4146" i="1"/>
  <c r="M4155" i="1"/>
  <c r="M4158" i="1"/>
  <c r="K4160" i="1"/>
  <c r="K4162" i="1"/>
  <c r="N4164" i="1"/>
  <c r="N4170" i="1"/>
  <c r="R4170" i="1"/>
  <c r="N4171" i="1"/>
  <c r="R4171" i="1"/>
  <c r="N4172" i="1"/>
  <c r="R4172" i="1"/>
  <c r="L4174" i="1"/>
  <c r="P4174" i="1"/>
  <c r="K4175" i="1"/>
  <c r="O4175" i="1"/>
  <c r="S4175" i="1"/>
  <c r="N4176" i="1"/>
  <c r="R4176" i="1"/>
  <c r="J4144" i="1"/>
  <c r="M4150" i="1"/>
  <c r="K4152" i="1"/>
  <c r="N4166" i="1"/>
  <c r="K4167" i="1"/>
  <c r="O4167" i="1"/>
  <c r="L4168" i="1"/>
  <c r="K4170" i="1"/>
  <c r="O4170" i="1"/>
  <c r="K4171" i="1"/>
  <c r="O4171" i="1"/>
  <c r="K4172" i="1"/>
  <c r="O4172" i="1"/>
  <c r="M4174" i="1"/>
  <c r="Q4174" i="1"/>
  <c r="L4175" i="1"/>
  <c r="P4175" i="1"/>
  <c r="K4176" i="1"/>
  <c r="O4176" i="1"/>
  <c r="S4176" i="1"/>
  <c r="K4151" i="1"/>
  <c r="L4170" i="1"/>
  <c r="P4170" i="1"/>
  <c r="L4171" i="1"/>
  <c r="P4171" i="1"/>
  <c r="L4172" i="1"/>
  <c r="N4174" i="1"/>
  <c r="R4174" i="1"/>
  <c r="M4175" i="1"/>
  <c r="Q4175" i="1"/>
  <c r="L4176" i="1"/>
  <c r="M4208" i="1"/>
  <c r="O4207" i="1"/>
  <c r="K4207" i="1"/>
  <c r="M4206" i="1"/>
  <c r="P4208" i="1"/>
  <c r="L4208" i="1"/>
  <c r="N4207" i="1"/>
  <c r="P4206" i="1"/>
  <c r="L4206" i="1"/>
  <c r="O4208" i="1"/>
  <c r="K4208" i="1"/>
  <c r="M4207" i="1"/>
  <c r="O4206" i="1"/>
  <c r="K4206" i="1"/>
  <c r="N4208" i="1"/>
  <c r="D4218" i="1"/>
  <c r="N4206" i="1"/>
  <c r="D4223" i="1"/>
  <c r="L4207" i="1"/>
  <c r="L4191" i="1"/>
  <c r="N4198" i="1"/>
  <c r="N4199" i="1"/>
  <c r="N4200" i="1"/>
  <c r="N4202" i="1"/>
  <c r="M4203" i="1"/>
  <c r="L4204" i="1"/>
  <c r="N4214" i="1"/>
  <c r="R4214" i="1"/>
  <c r="N4215" i="1"/>
  <c r="R4215" i="1"/>
  <c r="N4216" i="1"/>
  <c r="R4216" i="1"/>
  <c r="L4218" i="1"/>
  <c r="P4218" i="1"/>
  <c r="K4219" i="1"/>
  <c r="O4219" i="1"/>
  <c r="S4219" i="1"/>
  <c r="N4220" i="1"/>
  <c r="R4220" i="1"/>
  <c r="J4188" i="1"/>
  <c r="K4190" i="1"/>
  <c r="K4192" i="1"/>
  <c r="M4194" i="1"/>
  <c r="K4196" i="1"/>
  <c r="K4198" i="1"/>
  <c r="K4199" i="1"/>
  <c r="K4200" i="1"/>
  <c r="K4202" i="1"/>
  <c r="O4202" i="1"/>
  <c r="N4203" i="1"/>
  <c r="M4204" i="1"/>
  <c r="N4210" i="1"/>
  <c r="K4211" i="1"/>
  <c r="O4211" i="1"/>
  <c r="L4212" i="1"/>
  <c r="K4214" i="1"/>
  <c r="O4214" i="1"/>
  <c r="K4215" i="1"/>
  <c r="O4215" i="1"/>
  <c r="K4216" i="1"/>
  <c r="M4218" i="1"/>
  <c r="Q4218" i="1"/>
  <c r="L4219" i="1"/>
  <c r="P4219" i="1"/>
  <c r="K4220" i="1"/>
  <c r="O4220" i="1"/>
  <c r="S4220" i="1"/>
  <c r="L4190" i="1"/>
  <c r="K4195" i="1"/>
  <c r="L4198" i="1"/>
  <c r="L4199" i="1"/>
  <c r="L4202" i="1"/>
  <c r="K4203" i="1"/>
  <c r="O4203" i="1"/>
  <c r="N4218" i="1"/>
  <c r="R4218" i="1"/>
  <c r="M4219" i="1"/>
  <c r="Q4219" i="1"/>
  <c r="L4220" i="1"/>
  <c r="O4232" i="1"/>
  <c r="J4232" i="1"/>
  <c r="M4252" i="1"/>
  <c r="O4251" i="1"/>
  <c r="K4251" i="1"/>
  <c r="M4250" i="1"/>
  <c r="P4252" i="1"/>
  <c r="L4252" i="1"/>
  <c r="N4251" i="1"/>
  <c r="P4250" i="1"/>
  <c r="L4250" i="1"/>
  <c r="O4252" i="1"/>
  <c r="K4252" i="1"/>
  <c r="M4251" i="1"/>
  <c r="O4250" i="1"/>
  <c r="K4250" i="1"/>
  <c r="N4252" i="1"/>
  <c r="D4262" i="1"/>
  <c r="J4231" i="1"/>
  <c r="S4230" i="1"/>
  <c r="N4250" i="1"/>
  <c r="R4229" i="1"/>
  <c r="J4230" i="1"/>
  <c r="L4251" i="1"/>
  <c r="L4235" i="1"/>
  <c r="N4242" i="1"/>
  <c r="N4243" i="1"/>
  <c r="N4244" i="1"/>
  <c r="N4246" i="1"/>
  <c r="M4247" i="1"/>
  <c r="L4248" i="1"/>
  <c r="N4258" i="1"/>
  <c r="R4258" i="1"/>
  <c r="N4259" i="1"/>
  <c r="R4259" i="1"/>
  <c r="N4260" i="1"/>
  <c r="R4260" i="1"/>
  <c r="L4262" i="1"/>
  <c r="P4262" i="1"/>
  <c r="K4263" i="1"/>
  <c r="O4263" i="1"/>
  <c r="S4263" i="1"/>
  <c r="N4264" i="1"/>
  <c r="R4264" i="1"/>
  <c r="K4234" i="1"/>
  <c r="K4236" i="1"/>
  <c r="M4238" i="1"/>
  <c r="K4240" i="1"/>
  <c r="K4242" i="1"/>
  <c r="K4243" i="1"/>
  <c r="K4244" i="1"/>
  <c r="K4246" i="1"/>
  <c r="O4246" i="1"/>
  <c r="N4247" i="1"/>
  <c r="M4248" i="1"/>
  <c r="N4254" i="1"/>
  <c r="K4255" i="1"/>
  <c r="O4255" i="1"/>
  <c r="L4256" i="1"/>
  <c r="K4258" i="1"/>
  <c r="O4258" i="1"/>
  <c r="K4259" i="1"/>
  <c r="O4259" i="1"/>
  <c r="K4260" i="1"/>
  <c r="M4262" i="1"/>
  <c r="Q4262" i="1"/>
  <c r="L4263" i="1"/>
  <c r="P4263" i="1"/>
  <c r="K4264" i="1"/>
  <c r="O4264" i="1"/>
  <c r="S4264" i="1"/>
  <c r="L4234" i="1"/>
  <c r="K4239" i="1"/>
  <c r="L4242" i="1"/>
  <c r="L4243" i="1"/>
  <c r="L4246" i="1"/>
  <c r="K4247" i="1"/>
  <c r="O4247" i="1"/>
  <c r="N4262" i="1"/>
  <c r="R4262" i="1"/>
  <c r="M4263" i="1"/>
  <c r="Q4263" i="1"/>
  <c r="L4264" i="1"/>
  <c r="M4296" i="1"/>
  <c r="O4295" i="1"/>
  <c r="K4295" i="1"/>
  <c r="M4294" i="1"/>
  <c r="P4296" i="1"/>
  <c r="L4296" i="1"/>
  <c r="N4295" i="1"/>
  <c r="P4294" i="1"/>
  <c r="L4294" i="1"/>
  <c r="O4296" i="1"/>
  <c r="K4296" i="1"/>
  <c r="M4295" i="1"/>
  <c r="O4294" i="1"/>
  <c r="K4294" i="1"/>
  <c r="N4296" i="1"/>
  <c r="D4306" i="1"/>
  <c r="L4280" i="1"/>
  <c r="L4278" i="1"/>
  <c r="K4280" i="1"/>
  <c r="K4278" i="1"/>
  <c r="L4279" i="1"/>
  <c r="N4294" i="1"/>
  <c r="D4311" i="1"/>
  <c r="K4279" i="1"/>
  <c r="L4295" i="1"/>
  <c r="N4290" i="1"/>
  <c r="M4291" i="1"/>
  <c r="L4292" i="1"/>
  <c r="N4302" i="1"/>
  <c r="R4302" i="1"/>
  <c r="N4303" i="1"/>
  <c r="R4303" i="1"/>
  <c r="N4304" i="1"/>
  <c r="R4304" i="1"/>
  <c r="L4306" i="1"/>
  <c r="P4306" i="1"/>
  <c r="K4307" i="1"/>
  <c r="O4307" i="1"/>
  <c r="S4307" i="1"/>
  <c r="N4308" i="1"/>
  <c r="R4308" i="1"/>
  <c r="N4286" i="1"/>
  <c r="N4287" i="1"/>
  <c r="N4288" i="1"/>
  <c r="J4276" i="1"/>
  <c r="M4282" i="1"/>
  <c r="K4284" i="1"/>
  <c r="K4286" i="1"/>
  <c r="K4287" i="1"/>
  <c r="K4288" i="1"/>
  <c r="K4290" i="1"/>
  <c r="O4290" i="1"/>
  <c r="N4291" i="1"/>
  <c r="M4292" i="1"/>
  <c r="N4298" i="1"/>
  <c r="K4299" i="1"/>
  <c r="O4299" i="1"/>
  <c r="L4300" i="1"/>
  <c r="K4302" i="1"/>
  <c r="O4302" i="1"/>
  <c r="K4303" i="1"/>
  <c r="O4303" i="1"/>
  <c r="K4304" i="1"/>
  <c r="M4306" i="1"/>
  <c r="Q4306" i="1"/>
  <c r="L4307" i="1"/>
  <c r="P4307" i="1"/>
  <c r="K4308" i="1"/>
  <c r="O4308" i="1"/>
  <c r="S4308" i="1"/>
  <c r="K4283" i="1"/>
  <c r="L4286" i="1"/>
  <c r="L4287" i="1"/>
  <c r="L4290" i="1"/>
  <c r="K4291" i="1"/>
  <c r="O4291" i="1"/>
  <c r="N4306" i="1"/>
  <c r="R4306" i="1"/>
  <c r="M4307" i="1"/>
  <c r="Q4307" i="1"/>
  <c r="L4308" i="1"/>
  <c r="C4399" i="1"/>
  <c r="B4399" i="1"/>
  <c r="C4398" i="1"/>
  <c r="B4398" i="1"/>
  <c r="C4397" i="1"/>
  <c r="B4397" i="1"/>
  <c r="J4396" i="1"/>
  <c r="C4396" i="1"/>
  <c r="B4396" i="1"/>
  <c r="J4395" i="1"/>
  <c r="C4395" i="1"/>
  <c r="B4395" i="1"/>
  <c r="K4394" i="1" a="1"/>
  <c r="P4396" i="1" s="1"/>
  <c r="J4394" i="1"/>
  <c r="G4394" i="1"/>
  <c r="F4394" i="1"/>
  <c r="E4394" i="1"/>
  <c r="C4394" i="1"/>
  <c r="B4394" i="1"/>
  <c r="C4393" i="1"/>
  <c r="B4393" i="1"/>
  <c r="J4392" i="1"/>
  <c r="E4392" i="1"/>
  <c r="C4392" i="1"/>
  <c r="B4392" i="1"/>
  <c r="J4391" i="1"/>
  <c r="C4391" i="1"/>
  <c r="B4391" i="1"/>
  <c r="K4390" i="1" a="1"/>
  <c r="R4392" i="1" s="1"/>
  <c r="J4390" i="1"/>
  <c r="E4390" i="1"/>
  <c r="C4390" i="1"/>
  <c r="B4390" i="1"/>
  <c r="J4388" i="1"/>
  <c r="J4387" i="1"/>
  <c r="K4386" i="1" a="1"/>
  <c r="Q4387" i="1" s="1"/>
  <c r="J4386" i="1"/>
  <c r="J4384" i="1"/>
  <c r="J4383" i="1"/>
  <c r="K4382" i="1" a="1"/>
  <c r="J4382" i="1"/>
  <c r="J4380" i="1"/>
  <c r="J4379" i="1"/>
  <c r="K4378" i="1" a="1"/>
  <c r="L4380" i="1" s="1"/>
  <c r="J4378" i="1"/>
  <c r="J4376" i="1"/>
  <c r="J4375" i="1"/>
  <c r="K4374" i="1" a="1"/>
  <c r="N4376" i="1" s="1"/>
  <c r="J4374" i="1"/>
  <c r="B4373" i="1"/>
  <c r="C4373" i="1" s="1"/>
  <c r="D4373" i="1" s="1"/>
  <c r="G4373" i="1" s="1"/>
  <c r="H4373" i="1" s="1"/>
  <c r="J4372" i="1"/>
  <c r="J4371" i="1"/>
  <c r="K4370" i="1" a="1"/>
  <c r="L4372" i="1" s="1"/>
  <c r="J4370" i="1"/>
  <c r="E4370" i="1"/>
  <c r="J4368" i="1"/>
  <c r="J4367" i="1"/>
  <c r="G4367" i="1"/>
  <c r="F4367" i="1"/>
  <c r="D4367" i="1"/>
  <c r="K4366" i="1" a="1"/>
  <c r="L4368" i="1" s="1"/>
  <c r="J4366" i="1"/>
  <c r="J4361" i="1"/>
  <c r="O4364" i="1" s="1"/>
  <c r="C4091" i="1"/>
  <c r="B4091" i="1"/>
  <c r="C4090" i="1"/>
  <c r="B4090" i="1"/>
  <c r="C4089" i="1"/>
  <c r="B4089" i="1"/>
  <c r="J4088" i="1"/>
  <c r="C4088" i="1"/>
  <c r="B4088" i="1"/>
  <c r="J4087" i="1"/>
  <c r="C4087" i="1"/>
  <c r="B4087" i="1"/>
  <c r="K4086" i="1" a="1"/>
  <c r="O4088" i="1" s="1"/>
  <c r="J4086" i="1"/>
  <c r="G4086" i="1"/>
  <c r="F4086" i="1"/>
  <c r="E4086" i="1"/>
  <c r="C4086" i="1"/>
  <c r="B4086" i="1"/>
  <c r="C4085" i="1"/>
  <c r="B4085" i="1"/>
  <c r="J4084" i="1"/>
  <c r="E4084" i="1"/>
  <c r="C4084" i="1"/>
  <c r="B4084" i="1"/>
  <c r="J4083" i="1"/>
  <c r="C4083" i="1"/>
  <c r="B4083" i="1"/>
  <c r="K4082" i="1" a="1"/>
  <c r="P4083" i="1" s="1"/>
  <c r="J4082" i="1"/>
  <c r="E4082" i="1"/>
  <c r="C4082" i="1"/>
  <c r="B4082" i="1"/>
  <c r="J4080" i="1"/>
  <c r="J4079" i="1"/>
  <c r="K4078" i="1" a="1"/>
  <c r="P4080" i="1" s="1"/>
  <c r="J4078" i="1"/>
  <c r="J4076" i="1"/>
  <c r="J4075" i="1"/>
  <c r="K4074" i="1" a="1"/>
  <c r="N4076" i="1" s="1"/>
  <c r="J4074" i="1"/>
  <c r="J4072" i="1"/>
  <c r="J4071" i="1"/>
  <c r="K4070" i="1" a="1"/>
  <c r="N4072" i="1" s="1"/>
  <c r="J4070" i="1"/>
  <c r="J4068" i="1"/>
  <c r="J4067" i="1"/>
  <c r="K4066" i="1" a="1"/>
  <c r="L4068" i="1" s="1"/>
  <c r="J4066" i="1"/>
  <c r="B4065" i="1"/>
  <c r="C4065" i="1" s="1"/>
  <c r="D4065" i="1" s="1"/>
  <c r="G4065" i="1" s="1"/>
  <c r="H4065" i="1" s="1"/>
  <c r="J4064" i="1"/>
  <c r="J4063" i="1"/>
  <c r="K4062" i="1" a="1"/>
  <c r="J4062" i="1"/>
  <c r="E4062" i="1"/>
  <c r="J4060" i="1"/>
  <c r="J4059" i="1"/>
  <c r="G4059" i="1"/>
  <c r="F4059" i="1"/>
  <c r="D4059" i="1"/>
  <c r="K4058" i="1" a="1"/>
  <c r="L4058" i="1" s="1"/>
  <c r="J4058" i="1"/>
  <c r="J4053" i="1"/>
  <c r="C1231" i="1"/>
  <c r="B1231" i="1"/>
  <c r="C1230" i="1"/>
  <c r="B1230" i="1"/>
  <c r="C1229" i="1"/>
  <c r="B1229" i="1"/>
  <c r="J1228" i="1"/>
  <c r="C1228" i="1"/>
  <c r="B1228" i="1"/>
  <c r="J1227" i="1"/>
  <c r="C1227" i="1"/>
  <c r="B1227" i="1"/>
  <c r="K1226" i="1" a="1"/>
  <c r="O1227" i="1" s="1"/>
  <c r="J1226" i="1"/>
  <c r="G1226" i="1"/>
  <c r="F1226" i="1"/>
  <c r="C1226" i="1"/>
  <c r="B1226" i="1"/>
  <c r="C1225" i="1"/>
  <c r="B1225" i="1"/>
  <c r="J1224" i="1"/>
  <c r="C1224" i="1"/>
  <c r="B1224" i="1"/>
  <c r="J1223" i="1"/>
  <c r="C1223" i="1"/>
  <c r="B1223" i="1"/>
  <c r="K1222" i="1" a="1"/>
  <c r="N1224" i="1" s="1"/>
  <c r="J1222" i="1"/>
  <c r="C1222" i="1"/>
  <c r="B1222" i="1"/>
  <c r="J1220" i="1"/>
  <c r="J1219" i="1"/>
  <c r="K1218" i="1" a="1"/>
  <c r="J1218" i="1"/>
  <c r="J1216" i="1"/>
  <c r="J1215" i="1"/>
  <c r="K1214" i="1" a="1"/>
  <c r="O1216" i="1" s="1"/>
  <c r="J1214" i="1"/>
  <c r="J1212" i="1"/>
  <c r="J1211" i="1"/>
  <c r="K1210" i="1" a="1"/>
  <c r="L1212" i="1" s="1"/>
  <c r="J1210" i="1"/>
  <c r="J1208" i="1"/>
  <c r="J1207" i="1"/>
  <c r="K1206" i="1" a="1"/>
  <c r="N1208" i="1" s="1"/>
  <c r="J1206" i="1"/>
  <c r="B1205" i="1"/>
  <c r="C1205" i="1" s="1"/>
  <c r="D1205" i="1" s="1"/>
  <c r="G1205" i="1" s="1"/>
  <c r="H1205" i="1" s="1"/>
  <c r="J1204" i="1"/>
  <c r="J1203" i="1"/>
  <c r="K1202" i="1" a="1"/>
  <c r="M1203" i="1" s="1"/>
  <c r="J1202" i="1"/>
  <c r="E1202" i="1"/>
  <c r="J1200" i="1"/>
  <c r="J1199" i="1"/>
  <c r="G1199" i="1"/>
  <c r="F1199" i="1"/>
  <c r="D1199" i="1"/>
  <c r="K1198" i="1" a="1"/>
  <c r="L1199" i="1" s="1"/>
  <c r="J1198" i="1"/>
  <c r="J1193" i="1"/>
  <c r="J1195" i="1" s="1"/>
  <c r="C1187" i="1"/>
  <c r="B1187" i="1"/>
  <c r="C1186" i="1"/>
  <c r="B1186" i="1"/>
  <c r="C1185" i="1"/>
  <c r="B1185" i="1"/>
  <c r="J1184" i="1"/>
  <c r="C1184" i="1"/>
  <c r="B1184" i="1"/>
  <c r="J1183" i="1"/>
  <c r="C1183" i="1"/>
  <c r="B1183" i="1"/>
  <c r="K1182" i="1" a="1"/>
  <c r="P1184" i="1" s="1"/>
  <c r="J1182" i="1"/>
  <c r="G1182" i="1"/>
  <c r="F1182" i="1"/>
  <c r="C1182" i="1"/>
  <c r="B1182" i="1"/>
  <c r="C1181" i="1"/>
  <c r="B1181" i="1"/>
  <c r="J1180" i="1"/>
  <c r="C1180" i="1"/>
  <c r="B1180" i="1"/>
  <c r="J1179" i="1"/>
  <c r="C1179" i="1"/>
  <c r="B1179" i="1"/>
  <c r="K1178" i="1" a="1"/>
  <c r="P1180" i="1" s="1"/>
  <c r="J1178" i="1"/>
  <c r="C1178" i="1"/>
  <c r="B1178" i="1"/>
  <c r="J1176" i="1"/>
  <c r="J1175" i="1"/>
  <c r="K1174" i="1" a="1"/>
  <c r="N1176" i="1" s="1"/>
  <c r="J1174" i="1"/>
  <c r="J1172" i="1"/>
  <c r="J1171" i="1"/>
  <c r="K1170" i="1" a="1"/>
  <c r="N1172" i="1" s="1"/>
  <c r="J1170" i="1"/>
  <c r="J1168" i="1"/>
  <c r="J1167" i="1"/>
  <c r="K1166" i="1" a="1"/>
  <c r="L1168" i="1" s="1"/>
  <c r="J1166" i="1"/>
  <c r="J1164" i="1"/>
  <c r="J1163" i="1"/>
  <c r="K1162" i="1" a="1"/>
  <c r="N1164" i="1" s="1"/>
  <c r="J1162" i="1"/>
  <c r="B1161" i="1"/>
  <c r="C1161" i="1" s="1"/>
  <c r="D1161" i="1" s="1"/>
  <c r="G1161" i="1" s="1"/>
  <c r="H1161" i="1" s="1"/>
  <c r="J1160" i="1"/>
  <c r="J1159" i="1"/>
  <c r="K1158" i="1" a="1"/>
  <c r="L1160" i="1" s="1"/>
  <c r="J1158" i="1"/>
  <c r="E1158" i="1"/>
  <c r="J1156" i="1"/>
  <c r="J1155" i="1"/>
  <c r="G1155" i="1"/>
  <c r="F1155" i="1"/>
  <c r="D1155" i="1"/>
  <c r="K1154" i="1" a="1"/>
  <c r="L1155" i="1" s="1"/>
  <c r="J1154" i="1"/>
  <c r="J1149" i="1"/>
  <c r="J1150" i="1" s="1"/>
  <c r="C1143" i="1"/>
  <c r="B1143" i="1"/>
  <c r="C1142" i="1"/>
  <c r="B1142" i="1"/>
  <c r="C1141" i="1"/>
  <c r="B1141" i="1"/>
  <c r="J1140" i="1"/>
  <c r="C1140" i="1"/>
  <c r="B1140" i="1"/>
  <c r="J1139" i="1"/>
  <c r="C1139" i="1"/>
  <c r="B1139" i="1"/>
  <c r="K1138" i="1" a="1"/>
  <c r="M1139" i="1" s="1"/>
  <c r="J1138" i="1"/>
  <c r="G1138" i="1"/>
  <c r="F1138" i="1"/>
  <c r="C1138" i="1"/>
  <c r="B1138" i="1"/>
  <c r="C1137" i="1"/>
  <c r="B1137" i="1"/>
  <c r="J1136" i="1"/>
  <c r="C1136" i="1"/>
  <c r="B1136" i="1"/>
  <c r="J1135" i="1"/>
  <c r="C1135" i="1"/>
  <c r="B1135" i="1"/>
  <c r="K1134" i="1" a="1"/>
  <c r="O1136" i="1" s="1"/>
  <c r="J1134" i="1"/>
  <c r="C1134" i="1"/>
  <c r="B1134" i="1"/>
  <c r="J1132" i="1"/>
  <c r="J1131" i="1"/>
  <c r="K1130" i="1" a="1"/>
  <c r="P1132" i="1" s="1"/>
  <c r="J1130" i="1"/>
  <c r="J1128" i="1"/>
  <c r="J1127" i="1"/>
  <c r="K1126" i="1" a="1"/>
  <c r="N1128" i="1" s="1"/>
  <c r="J1126" i="1"/>
  <c r="J1124" i="1"/>
  <c r="J1123" i="1"/>
  <c r="K1122" i="1" a="1"/>
  <c r="M1124" i="1" s="1"/>
  <c r="J1122" i="1"/>
  <c r="J1120" i="1"/>
  <c r="J1119" i="1"/>
  <c r="K1118" i="1" a="1"/>
  <c r="K1120" i="1" s="1"/>
  <c r="J1118" i="1"/>
  <c r="B1117" i="1"/>
  <c r="C1117" i="1" s="1"/>
  <c r="D1117" i="1" s="1"/>
  <c r="G1117" i="1" s="1"/>
  <c r="H1117" i="1" s="1"/>
  <c r="J1116" i="1"/>
  <c r="J1115" i="1"/>
  <c r="K1114" i="1" a="1"/>
  <c r="L1116" i="1" s="1"/>
  <c r="J1114" i="1"/>
  <c r="E1114" i="1"/>
  <c r="J1112" i="1"/>
  <c r="J1111" i="1"/>
  <c r="G1111" i="1"/>
  <c r="F1111" i="1"/>
  <c r="D1111" i="1"/>
  <c r="K1110" i="1" a="1"/>
  <c r="K1112" i="1" s="1"/>
  <c r="J1110" i="1"/>
  <c r="J1105" i="1"/>
  <c r="J1107" i="1" s="1"/>
  <c r="C1099" i="1"/>
  <c r="B1099" i="1"/>
  <c r="C1098" i="1"/>
  <c r="B1098" i="1"/>
  <c r="C1097" i="1"/>
  <c r="B1097" i="1"/>
  <c r="J1096" i="1"/>
  <c r="C1096" i="1"/>
  <c r="B1096" i="1"/>
  <c r="J1095" i="1"/>
  <c r="C1095" i="1"/>
  <c r="B1095" i="1"/>
  <c r="K1094" i="1" a="1"/>
  <c r="N1096" i="1" s="1"/>
  <c r="J1094" i="1"/>
  <c r="G1094" i="1"/>
  <c r="F1094" i="1"/>
  <c r="C1094" i="1"/>
  <c r="B1094" i="1"/>
  <c r="C1093" i="1"/>
  <c r="B1093" i="1"/>
  <c r="J1092" i="1"/>
  <c r="C1092" i="1"/>
  <c r="B1092" i="1"/>
  <c r="J1091" i="1"/>
  <c r="C1091" i="1"/>
  <c r="B1091" i="1"/>
  <c r="K1090" i="1" a="1"/>
  <c r="P1092" i="1" s="1"/>
  <c r="J1090" i="1"/>
  <c r="C1090" i="1"/>
  <c r="B1090" i="1"/>
  <c r="J1088" i="1"/>
  <c r="J1087" i="1"/>
  <c r="K1086" i="1" a="1"/>
  <c r="P1088" i="1" s="1"/>
  <c r="J1086" i="1"/>
  <c r="J1084" i="1"/>
  <c r="J1083" i="1"/>
  <c r="K1082" i="1" a="1"/>
  <c r="N1084" i="1" s="1"/>
  <c r="J1082" i="1"/>
  <c r="J1080" i="1"/>
  <c r="J1079" i="1"/>
  <c r="K1078" i="1" a="1"/>
  <c r="M1080" i="1" s="1"/>
  <c r="J1078" i="1"/>
  <c r="J1076" i="1"/>
  <c r="J1075" i="1"/>
  <c r="K1074" i="1" a="1"/>
  <c r="K1076" i="1" s="1"/>
  <c r="J1074" i="1"/>
  <c r="B1073" i="1"/>
  <c r="C1073" i="1" s="1"/>
  <c r="D1073" i="1" s="1"/>
  <c r="G1073" i="1" s="1"/>
  <c r="H1073" i="1" s="1"/>
  <c r="J1072" i="1"/>
  <c r="J1071" i="1"/>
  <c r="K1070" i="1" a="1"/>
  <c r="L1072" i="1" s="1"/>
  <c r="J1070" i="1"/>
  <c r="E1070" i="1"/>
  <c r="J1068" i="1"/>
  <c r="J1067" i="1"/>
  <c r="G1067" i="1"/>
  <c r="F1067" i="1"/>
  <c r="D1067" i="1"/>
  <c r="K1066" i="1" a="1"/>
  <c r="K1068" i="1" s="1"/>
  <c r="J1066" i="1"/>
  <c r="J1061" i="1"/>
  <c r="C1055" i="1"/>
  <c r="B1055" i="1"/>
  <c r="C1054" i="1"/>
  <c r="B1054" i="1"/>
  <c r="C1053" i="1"/>
  <c r="B1053" i="1"/>
  <c r="J1052" i="1"/>
  <c r="C1052" i="1"/>
  <c r="B1052" i="1"/>
  <c r="J1051" i="1"/>
  <c r="C1051" i="1"/>
  <c r="B1051" i="1"/>
  <c r="K1050" i="1" a="1"/>
  <c r="Q1052" i="1" s="1"/>
  <c r="J1050" i="1"/>
  <c r="G1050" i="1"/>
  <c r="F1050" i="1"/>
  <c r="C1050" i="1"/>
  <c r="B1050" i="1"/>
  <c r="C1049" i="1"/>
  <c r="B1049" i="1"/>
  <c r="J1048" i="1"/>
  <c r="C1048" i="1"/>
  <c r="B1048" i="1"/>
  <c r="J1047" i="1"/>
  <c r="C1047" i="1"/>
  <c r="B1047" i="1"/>
  <c r="K1046" i="1" a="1"/>
  <c r="P1048" i="1" s="1"/>
  <c r="J1046" i="1"/>
  <c r="C1046" i="1"/>
  <c r="B1046" i="1"/>
  <c r="J1044" i="1"/>
  <c r="J1043" i="1"/>
  <c r="K1042" i="1" a="1"/>
  <c r="P1044" i="1" s="1"/>
  <c r="J1042" i="1"/>
  <c r="J1040" i="1"/>
  <c r="J1039" i="1"/>
  <c r="K1038" i="1" a="1"/>
  <c r="N1040" i="1" s="1"/>
  <c r="J1038" i="1"/>
  <c r="J1036" i="1"/>
  <c r="J1035" i="1"/>
  <c r="K1034" i="1" a="1"/>
  <c r="O1036" i="1" s="1"/>
  <c r="J1034" i="1"/>
  <c r="J1032" i="1"/>
  <c r="J1031" i="1"/>
  <c r="K1030" i="1" a="1"/>
  <c r="M1031" i="1" s="1"/>
  <c r="J1030" i="1"/>
  <c r="B1029" i="1"/>
  <c r="C1029" i="1" s="1"/>
  <c r="D1029" i="1" s="1"/>
  <c r="G1029" i="1" s="1"/>
  <c r="H1029" i="1" s="1"/>
  <c r="J1028" i="1"/>
  <c r="J1027" i="1"/>
  <c r="K1026" i="1" a="1"/>
  <c r="M1028" i="1" s="1"/>
  <c r="J1026" i="1"/>
  <c r="E1026" i="1"/>
  <c r="J1024" i="1"/>
  <c r="J1023" i="1"/>
  <c r="G1023" i="1"/>
  <c r="F1023" i="1"/>
  <c r="D1023" i="1"/>
  <c r="K1022" i="1" a="1"/>
  <c r="L1024" i="1" s="1"/>
  <c r="J1022" i="1"/>
  <c r="J1017" i="1"/>
  <c r="J1020" i="1" s="1"/>
  <c r="C1011" i="1"/>
  <c r="B1011" i="1"/>
  <c r="C1010" i="1"/>
  <c r="B1010" i="1"/>
  <c r="C1009" i="1"/>
  <c r="B1009" i="1"/>
  <c r="J1008" i="1"/>
  <c r="C1008" i="1"/>
  <c r="B1008" i="1"/>
  <c r="J1007" i="1"/>
  <c r="C1007" i="1"/>
  <c r="B1007" i="1"/>
  <c r="K1006" i="1" a="1"/>
  <c r="P1008" i="1" s="1"/>
  <c r="J1006" i="1"/>
  <c r="G1006" i="1"/>
  <c r="F1006" i="1"/>
  <c r="C1006" i="1"/>
  <c r="B1006" i="1"/>
  <c r="C1005" i="1"/>
  <c r="B1005" i="1"/>
  <c r="J1004" i="1"/>
  <c r="C1004" i="1"/>
  <c r="B1004" i="1"/>
  <c r="J1003" i="1"/>
  <c r="C1003" i="1"/>
  <c r="B1003" i="1"/>
  <c r="K1002" i="1" a="1"/>
  <c r="O1004" i="1" s="1"/>
  <c r="J1002" i="1"/>
  <c r="C1002" i="1"/>
  <c r="B1002" i="1"/>
  <c r="J1000" i="1"/>
  <c r="J999" i="1"/>
  <c r="K998" i="1" a="1"/>
  <c r="P1000" i="1" s="1"/>
  <c r="J998" i="1"/>
  <c r="J996" i="1"/>
  <c r="J995" i="1"/>
  <c r="K994" i="1" a="1"/>
  <c r="N996" i="1" s="1"/>
  <c r="J994" i="1"/>
  <c r="J992" i="1"/>
  <c r="J991" i="1"/>
  <c r="K990" i="1" a="1"/>
  <c r="M992" i="1" s="1"/>
  <c r="J990" i="1"/>
  <c r="J988" i="1"/>
  <c r="J987" i="1"/>
  <c r="K986" i="1" a="1"/>
  <c r="K988" i="1" s="1"/>
  <c r="J986" i="1"/>
  <c r="B985" i="1"/>
  <c r="C985" i="1" s="1"/>
  <c r="D985" i="1" s="1"/>
  <c r="G985" i="1" s="1"/>
  <c r="H985" i="1" s="1"/>
  <c r="J984" i="1"/>
  <c r="J983" i="1"/>
  <c r="K982" i="1" a="1"/>
  <c r="L984" i="1" s="1"/>
  <c r="J982" i="1"/>
  <c r="E982" i="1"/>
  <c r="J980" i="1"/>
  <c r="J979" i="1"/>
  <c r="G979" i="1"/>
  <c r="F979" i="1"/>
  <c r="D979" i="1"/>
  <c r="K978" i="1" a="1"/>
  <c r="K980" i="1" s="1"/>
  <c r="J978" i="1"/>
  <c r="J973" i="1"/>
  <c r="C967" i="1"/>
  <c r="B967" i="1"/>
  <c r="C966" i="1"/>
  <c r="B966" i="1"/>
  <c r="C965" i="1"/>
  <c r="B965" i="1"/>
  <c r="J964" i="1"/>
  <c r="C964" i="1"/>
  <c r="B964" i="1"/>
  <c r="J963" i="1"/>
  <c r="C963" i="1"/>
  <c r="B963" i="1"/>
  <c r="K962" i="1" a="1"/>
  <c r="Q964" i="1" s="1"/>
  <c r="J962" i="1"/>
  <c r="G962" i="1"/>
  <c r="F962" i="1"/>
  <c r="C962" i="1"/>
  <c r="B962" i="1"/>
  <c r="C961" i="1"/>
  <c r="B961" i="1"/>
  <c r="J960" i="1"/>
  <c r="C960" i="1"/>
  <c r="B960" i="1"/>
  <c r="J959" i="1"/>
  <c r="C959" i="1"/>
  <c r="B959" i="1"/>
  <c r="K958" i="1" a="1"/>
  <c r="N960" i="1" s="1"/>
  <c r="J958" i="1"/>
  <c r="C958" i="1"/>
  <c r="B958" i="1"/>
  <c r="J956" i="1"/>
  <c r="J955" i="1"/>
  <c r="K954" i="1" a="1"/>
  <c r="N956" i="1" s="1"/>
  <c r="J954" i="1"/>
  <c r="J952" i="1"/>
  <c r="J951" i="1"/>
  <c r="K950" i="1" a="1"/>
  <c r="N952" i="1" s="1"/>
  <c r="J950" i="1"/>
  <c r="J948" i="1"/>
  <c r="J947" i="1"/>
  <c r="K946" i="1" a="1"/>
  <c r="M947" i="1" s="1"/>
  <c r="J946" i="1"/>
  <c r="J944" i="1"/>
  <c r="J943" i="1"/>
  <c r="K942" i="1" a="1"/>
  <c r="N943" i="1" s="1"/>
  <c r="J942" i="1"/>
  <c r="B941" i="1"/>
  <c r="C941" i="1" s="1"/>
  <c r="D941" i="1" s="1"/>
  <c r="G941" i="1" s="1"/>
  <c r="H941" i="1" s="1"/>
  <c r="J940" i="1"/>
  <c r="J939" i="1"/>
  <c r="K938" i="1" a="1"/>
  <c r="L940" i="1" s="1"/>
  <c r="J938" i="1"/>
  <c r="E938" i="1"/>
  <c r="J936" i="1"/>
  <c r="J935" i="1"/>
  <c r="G935" i="1"/>
  <c r="F935" i="1"/>
  <c r="D935" i="1"/>
  <c r="K934" i="1" a="1"/>
  <c r="L935" i="1" s="1"/>
  <c r="J934" i="1"/>
  <c r="J929" i="1"/>
  <c r="J931" i="1" s="1"/>
  <c r="C923" i="1"/>
  <c r="B923" i="1"/>
  <c r="C922" i="1"/>
  <c r="B922" i="1"/>
  <c r="C921" i="1"/>
  <c r="B921" i="1"/>
  <c r="J920" i="1"/>
  <c r="C920" i="1"/>
  <c r="B920" i="1"/>
  <c r="J919" i="1"/>
  <c r="C919" i="1"/>
  <c r="B919" i="1"/>
  <c r="K918" i="1" a="1"/>
  <c r="S919" i="1" s="1"/>
  <c r="J918" i="1"/>
  <c r="G918" i="1"/>
  <c r="F918" i="1"/>
  <c r="C918" i="1"/>
  <c r="B918" i="1"/>
  <c r="C917" i="1"/>
  <c r="B917" i="1"/>
  <c r="J916" i="1"/>
  <c r="C916" i="1"/>
  <c r="B916" i="1"/>
  <c r="J915" i="1"/>
  <c r="C915" i="1"/>
  <c r="B915" i="1"/>
  <c r="K914" i="1" a="1"/>
  <c r="R916" i="1" s="1"/>
  <c r="J914" i="1"/>
  <c r="C914" i="1"/>
  <c r="B914" i="1"/>
  <c r="J912" i="1"/>
  <c r="J911" i="1"/>
  <c r="K910" i="1" a="1"/>
  <c r="P912" i="1" s="1"/>
  <c r="J910" i="1"/>
  <c r="J908" i="1"/>
  <c r="J907" i="1"/>
  <c r="K906" i="1" a="1"/>
  <c r="N908" i="1" s="1"/>
  <c r="J906" i="1"/>
  <c r="J904" i="1"/>
  <c r="J903" i="1"/>
  <c r="K902" i="1" a="1"/>
  <c r="L902" i="1" s="1"/>
  <c r="J902" i="1"/>
  <c r="J900" i="1"/>
  <c r="J899" i="1"/>
  <c r="K898" i="1" a="1"/>
  <c r="L899" i="1" s="1"/>
  <c r="J898" i="1"/>
  <c r="B897" i="1"/>
  <c r="C897" i="1" s="1"/>
  <c r="D897" i="1" s="1"/>
  <c r="G897" i="1" s="1"/>
  <c r="H897" i="1" s="1"/>
  <c r="J896" i="1"/>
  <c r="J895" i="1"/>
  <c r="K894" i="1" a="1"/>
  <c r="L895" i="1" s="1"/>
  <c r="J894" i="1"/>
  <c r="E894" i="1"/>
  <c r="J892" i="1"/>
  <c r="J891" i="1"/>
  <c r="G891" i="1"/>
  <c r="F891" i="1"/>
  <c r="D891" i="1"/>
  <c r="K890" i="1" a="1"/>
  <c r="K892" i="1" s="1"/>
  <c r="J890" i="1"/>
  <c r="J885" i="1"/>
  <c r="O888" i="1" s="1"/>
  <c r="C879" i="1"/>
  <c r="B879" i="1"/>
  <c r="C878" i="1"/>
  <c r="B878" i="1"/>
  <c r="C877" i="1"/>
  <c r="B877" i="1"/>
  <c r="J876" i="1"/>
  <c r="C876" i="1"/>
  <c r="B876" i="1"/>
  <c r="J875" i="1"/>
  <c r="C875" i="1"/>
  <c r="B875" i="1"/>
  <c r="K874" i="1" a="1"/>
  <c r="N876" i="1" s="1"/>
  <c r="J874" i="1"/>
  <c r="G874" i="1"/>
  <c r="F874" i="1"/>
  <c r="C874" i="1"/>
  <c r="B874" i="1"/>
  <c r="C873" i="1"/>
  <c r="B873" i="1"/>
  <c r="J872" i="1"/>
  <c r="C872" i="1"/>
  <c r="B872" i="1"/>
  <c r="J871" i="1"/>
  <c r="C871" i="1"/>
  <c r="B871" i="1"/>
  <c r="K870" i="1" a="1"/>
  <c r="P872" i="1" s="1"/>
  <c r="J870" i="1"/>
  <c r="C870" i="1"/>
  <c r="B870" i="1"/>
  <c r="J868" i="1"/>
  <c r="J867" i="1"/>
  <c r="K866" i="1" a="1"/>
  <c r="N868" i="1" s="1"/>
  <c r="J866" i="1"/>
  <c r="J864" i="1"/>
  <c r="J863" i="1"/>
  <c r="K862" i="1" a="1"/>
  <c r="N864" i="1" s="1"/>
  <c r="J862" i="1"/>
  <c r="J860" i="1"/>
  <c r="J859" i="1"/>
  <c r="K858" i="1" a="1"/>
  <c r="N860" i="1" s="1"/>
  <c r="J858" i="1"/>
  <c r="J856" i="1"/>
  <c r="J855" i="1"/>
  <c r="K854" i="1" a="1"/>
  <c r="J854" i="1"/>
  <c r="B853" i="1"/>
  <c r="C853" i="1" s="1"/>
  <c r="D853" i="1" s="1"/>
  <c r="G853" i="1" s="1"/>
  <c r="H853" i="1" s="1"/>
  <c r="J852" i="1"/>
  <c r="J851" i="1"/>
  <c r="K850" i="1" a="1"/>
  <c r="M851" i="1" s="1"/>
  <c r="J850" i="1"/>
  <c r="E850" i="1"/>
  <c r="J848" i="1"/>
  <c r="J847" i="1"/>
  <c r="G847" i="1"/>
  <c r="F847" i="1"/>
  <c r="D847" i="1"/>
  <c r="K846" i="1" a="1"/>
  <c r="J846" i="1"/>
  <c r="J841" i="1"/>
  <c r="J843" i="1" s="1"/>
  <c r="C835" i="1"/>
  <c r="B835" i="1"/>
  <c r="C834" i="1"/>
  <c r="B834" i="1"/>
  <c r="C833" i="1"/>
  <c r="B833" i="1"/>
  <c r="J832" i="1"/>
  <c r="C832" i="1"/>
  <c r="B832" i="1"/>
  <c r="J831" i="1"/>
  <c r="C831" i="1"/>
  <c r="B831" i="1"/>
  <c r="K830" i="1" a="1"/>
  <c r="N832" i="1" s="1"/>
  <c r="J830" i="1"/>
  <c r="G830" i="1"/>
  <c r="F830" i="1"/>
  <c r="C830" i="1"/>
  <c r="B830" i="1"/>
  <c r="C829" i="1"/>
  <c r="B829" i="1"/>
  <c r="J828" i="1"/>
  <c r="C828" i="1"/>
  <c r="B828" i="1"/>
  <c r="J827" i="1"/>
  <c r="C827" i="1"/>
  <c r="B827" i="1"/>
  <c r="K826" i="1" a="1"/>
  <c r="P827" i="1" s="1"/>
  <c r="J826" i="1"/>
  <c r="C826" i="1"/>
  <c r="B826" i="1"/>
  <c r="J824" i="1"/>
  <c r="J823" i="1"/>
  <c r="K822" i="1" a="1"/>
  <c r="P824" i="1" s="1"/>
  <c r="J822" i="1"/>
  <c r="J820" i="1"/>
  <c r="J819" i="1"/>
  <c r="K818" i="1" a="1"/>
  <c r="N820" i="1" s="1"/>
  <c r="J818" i="1"/>
  <c r="J816" i="1"/>
  <c r="J815" i="1"/>
  <c r="K814" i="1" a="1"/>
  <c r="N816" i="1" s="1"/>
  <c r="J814" i="1"/>
  <c r="J812" i="1"/>
  <c r="J811" i="1"/>
  <c r="K810" i="1" a="1"/>
  <c r="N812" i="1" s="1"/>
  <c r="J810" i="1"/>
  <c r="B809" i="1"/>
  <c r="C809" i="1" s="1"/>
  <c r="D809" i="1" s="1"/>
  <c r="G809" i="1" s="1"/>
  <c r="H809" i="1" s="1"/>
  <c r="J808" i="1"/>
  <c r="J807" i="1"/>
  <c r="K806" i="1" a="1"/>
  <c r="L808" i="1" s="1"/>
  <c r="J806" i="1"/>
  <c r="E806" i="1"/>
  <c r="J804" i="1"/>
  <c r="J803" i="1"/>
  <c r="G803" i="1"/>
  <c r="F803" i="1"/>
  <c r="D803" i="1"/>
  <c r="K802" i="1" a="1"/>
  <c r="L803" i="1" s="1"/>
  <c r="J802" i="1"/>
  <c r="J797" i="1"/>
  <c r="J799" i="1" s="1"/>
  <c r="C791" i="1"/>
  <c r="B791" i="1"/>
  <c r="C790" i="1"/>
  <c r="B790" i="1"/>
  <c r="C789" i="1"/>
  <c r="B789" i="1"/>
  <c r="J788" i="1"/>
  <c r="C788" i="1"/>
  <c r="B788" i="1"/>
  <c r="J787" i="1"/>
  <c r="C787" i="1"/>
  <c r="B787" i="1"/>
  <c r="K786" i="1" a="1"/>
  <c r="N788" i="1" s="1"/>
  <c r="J786" i="1"/>
  <c r="G786" i="1"/>
  <c r="F786" i="1"/>
  <c r="C786" i="1"/>
  <c r="B786" i="1"/>
  <c r="C785" i="1"/>
  <c r="B785" i="1"/>
  <c r="J784" i="1"/>
  <c r="C784" i="1"/>
  <c r="B784" i="1"/>
  <c r="J783" i="1"/>
  <c r="C783" i="1"/>
  <c r="B783" i="1"/>
  <c r="K782" i="1" a="1"/>
  <c r="R783" i="1" s="1"/>
  <c r="J782" i="1"/>
  <c r="C782" i="1"/>
  <c r="B782" i="1"/>
  <c r="J780" i="1"/>
  <c r="J779" i="1"/>
  <c r="K778" i="1" a="1"/>
  <c r="N780" i="1" s="1"/>
  <c r="J778" i="1"/>
  <c r="J776" i="1"/>
  <c r="J775" i="1"/>
  <c r="K774" i="1" a="1"/>
  <c r="N776" i="1" s="1"/>
  <c r="J774" i="1"/>
  <c r="J772" i="1"/>
  <c r="J771" i="1"/>
  <c r="K770" i="1" a="1"/>
  <c r="N772" i="1" s="1"/>
  <c r="J770" i="1"/>
  <c r="J768" i="1"/>
  <c r="J767" i="1"/>
  <c r="K766" i="1" a="1"/>
  <c r="L767" i="1" s="1"/>
  <c r="J766" i="1"/>
  <c r="B765" i="1"/>
  <c r="C765" i="1" s="1"/>
  <c r="D765" i="1" s="1"/>
  <c r="G765" i="1" s="1"/>
  <c r="H765" i="1" s="1"/>
  <c r="J764" i="1"/>
  <c r="J763" i="1"/>
  <c r="K762" i="1" a="1"/>
  <c r="L762" i="1" s="1"/>
  <c r="J762" i="1"/>
  <c r="E762" i="1"/>
  <c r="J760" i="1"/>
  <c r="J759" i="1"/>
  <c r="G759" i="1"/>
  <c r="F759" i="1"/>
  <c r="D759" i="1"/>
  <c r="K758" i="1" a="1"/>
  <c r="L760" i="1" s="1"/>
  <c r="J758" i="1"/>
  <c r="J753" i="1"/>
  <c r="O756" i="1" s="1"/>
  <c r="C747" i="1"/>
  <c r="B747" i="1"/>
  <c r="C746" i="1"/>
  <c r="B746" i="1"/>
  <c r="C745" i="1"/>
  <c r="B745" i="1"/>
  <c r="J744" i="1"/>
  <c r="C744" i="1"/>
  <c r="B744" i="1"/>
  <c r="J743" i="1"/>
  <c r="C743" i="1"/>
  <c r="B743" i="1"/>
  <c r="K742" i="1" a="1"/>
  <c r="P744" i="1" s="1"/>
  <c r="J742" i="1"/>
  <c r="G742" i="1"/>
  <c r="F742" i="1"/>
  <c r="C742" i="1"/>
  <c r="B742" i="1"/>
  <c r="C741" i="1"/>
  <c r="B741" i="1"/>
  <c r="J740" i="1"/>
  <c r="C740" i="1"/>
  <c r="B740" i="1"/>
  <c r="J739" i="1"/>
  <c r="C739" i="1"/>
  <c r="B739" i="1"/>
  <c r="K738" i="1" a="1"/>
  <c r="J738" i="1"/>
  <c r="C738" i="1"/>
  <c r="B738" i="1"/>
  <c r="J736" i="1"/>
  <c r="J735" i="1"/>
  <c r="K734" i="1" a="1"/>
  <c r="Q736" i="1" s="1"/>
  <c r="J734" i="1"/>
  <c r="J732" i="1"/>
  <c r="J731" i="1"/>
  <c r="K730" i="1" a="1"/>
  <c r="L731" i="1" s="1"/>
  <c r="J730" i="1"/>
  <c r="J728" i="1"/>
  <c r="J727" i="1"/>
  <c r="K726" i="1" a="1"/>
  <c r="N728" i="1" s="1"/>
  <c r="J726" i="1"/>
  <c r="J724" i="1"/>
  <c r="J723" i="1"/>
  <c r="K722" i="1" a="1"/>
  <c r="L724" i="1" s="1"/>
  <c r="J722" i="1"/>
  <c r="B721" i="1"/>
  <c r="C721" i="1" s="1"/>
  <c r="D721" i="1" s="1"/>
  <c r="G721" i="1" s="1"/>
  <c r="H721" i="1" s="1"/>
  <c r="J720" i="1"/>
  <c r="J719" i="1"/>
  <c r="K718" i="1" a="1"/>
  <c r="L720" i="1" s="1"/>
  <c r="J718" i="1"/>
  <c r="E718" i="1"/>
  <c r="J716" i="1"/>
  <c r="J715" i="1"/>
  <c r="G715" i="1"/>
  <c r="F715" i="1"/>
  <c r="D715" i="1"/>
  <c r="K714" i="1" a="1"/>
  <c r="L716" i="1" s="1"/>
  <c r="J714" i="1"/>
  <c r="J709" i="1"/>
  <c r="O712" i="1" s="1"/>
  <c r="C703" i="1"/>
  <c r="B703" i="1"/>
  <c r="C702" i="1"/>
  <c r="B702" i="1"/>
  <c r="C701" i="1"/>
  <c r="B701" i="1"/>
  <c r="J700" i="1"/>
  <c r="C700" i="1"/>
  <c r="B700" i="1"/>
  <c r="J699" i="1"/>
  <c r="C699" i="1"/>
  <c r="B699" i="1"/>
  <c r="K698" i="1" a="1"/>
  <c r="R700" i="1" s="1"/>
  <c r="J698" i="1"/>
  <c r="G698" i="1"/>
  <c r="F698" i="1"/>
  <c r="C698" i="1"/>
  <c r="B698" i="1"/>
  <c r="C697" i="1"/>
  <c r="B697" i="1"/>
  <c r="J696" i="1"/>
  <c r="C696" i="1"/>
  <c r="B696" i="1"/>
  <c r="J695" i="1"/>
  <c r="C695" i="1"/>
  <c r="B695" i="1"/>
  <c r="K694" i="1" a="1"/>
  <c r="R696" i="1" s="1"/>
  <c r="J694" i="1"/>
  <c r="C694" i="1"/>
  <c r="B694" i="1"/>
  <c r="J692" i="1"/>
  <c r="J691" i="1"/>
  <c r="K690" i="1" a="1"/>
  <c r="K691" i="1" s="1"/>
  <c r="J690" i="1"/>
  <c r="J688" i="1"/>
  <c r="J687" i="1"/>
  <c r="K686" i="1" a="1"/>
  <c r="O688" i="1" s="1"/>
  <c r="J686" i="1"/>
  <c r="J684" i="1"/>
  <c r="J683" i="1"/>
  <c r="K682" i="1" a="1"/>
  <c r="L684" i="1" s="1"/>
  <c r="J682" i="1"/>
  <c r="J680" i="1"/>
  <c r="J679" i="1"/>
  <c r="K678" i="1" a="1"/>
  <c r="N680" i="1" s="1"/>
  <c r="J678" i="1"/>
  <c r="B677" i="1"/>
  <c r="C677" i="1" s="1"/>
  <c r="D677" i="1" s="1"/>
  <c r="G677" i="1" s="1"/>
  <c r="H677" i="1" s="1"/>
  <c r="J676" i="1"/>
  <c r="J675" i="1"/>
  <c r="K674" i="1" a="1"/>
  <c r="M675" i="1" s="1"/>
  <c r="J674" i="1"/>
  <c r="E674" i="1"/>
  <c r="J672" i="1"/>
  <c r="J671" i="1"/>
  <c r="G671" i="1"/>
  <c r="F671" i="1"/>
  <c r="D671" i="1"/>
  <c r="K670" i="1" a="1"/>
  <c r="L671" i="1" s="1"/>
  <c r="J670" i="1"/>
  <c r="J665" i="1"/>
  <c r="O668" i="1" s="1"/>
  <c r="C659" i="1"/>
  <c r="B659" i="1"/>
  <c r="C658" i="1"/>
  <c r="B658" i="1"/>
  <c r="C657" i="1"/>
  <c r="B657" i="1"/>
  <c r="J656" i="1"/>
  <c r="C656" i="1"/>
  <c r="B656" i="1"/>
  <c r="J655" i="1"/>
  <c r="C655" i="1"/>
  <c r="B655" i="1"/>
  <c r="K654" i="1" a="1"/>
  <c r="P656" i="1" s="1"/>
  <c r="J654" i="1"/>
  <c r="G654" i="1"/>
  <c r="F654" i="1"/>
  <c r="C654" i="1"/>
  <c r="B654" i="1"/>
  <c r="C653" i="1"/>
  <c r="B653" i="1"/>
  <c r="J652" i="1"/>
  <c r="C652" i="1"/>
  <c r="B652" i="1"/>
  <c r="J651" i="1"/>
  <c r="C651" i="1"/>
  <c r="B651" i="1"/>
  <c r="K650" i="1" a="1"/>
  <c r="O652" i="1" s="1"/>
  <c r="J650" i="1"/>
  <c r="C650" i="1"/>
  <c r="B650" i="1"/>
  <c r="J648" i="1"/>
  <c r="J647" i="1"/>
  <c r="K646" i="1" a="1"/>
  <c r="Q648" i="1" s="1"/>
  <c r="J646" i="1"/>
  <c r="J644" i="1"/>
  <c r="J643" i="1"/>
  <c r="K642" i="1" a="1"/>
  <c r="P643" i="1" s="1"/>
  <c r="J642" i="1"/>
  <c r="J640" i="1"/>
  <c r="J639" i="1"/>
  <c r="K638" i="1" a="1"/>
  <c r="N640" i="1" s="1"/>
  <c r="J638" i="1"/>
  <c r="J636" i="1"/>
  <c r="J635" i="1"/>
  <c r="K634" i="1" a="1"/>
  <c r="L636" i="1" s="1"/>
  <c r="J634" i="1"/>
  <c r="B633" i="1"/>
  <c r="C633" i="1" s="1"/>
  <c r="D633" i="1" s="1"/>
  <c r="G633" i="1" s="1"/>
  <c r="H633" i="1" s="1"/>
  <c r="J632" i="1"/>
  <c r="J631" i="1"/>
  <c r="K630" i="1" a="1"/>
  <c r="L632" i="1" s="1"/>
  <c r="J630" i="1"/>
  <c r="E630" i="1"/>
  <c r="J628" i="1"/>
  <c r="J627" i="1"/>
  <c r="G627" i="1"/>
  <c r="F627" i="1"/>
  <c r="D627" i="1"/>
  <c r="K626" i="1" a="1"/>
  <c r="L628" i="1" s="1"/>
  <c r="J626" i="1"/>
  <c r="J621" i="1"/>
  <c r="O624" i="1" s="1"/>
  <c r="C615" i="1"/>
  <c r="B615" i="1"/>
  <c r="C614" i="1"/>
  <c r="B614" i="1"/>
  <c r="C613" i="1"/>
  <c r="B613" i="1"/>
  <c r="J612" i="1"/>
  <c r="C612" i="1"/>
  <c r="B612" i="1"/>
  <c r="J611" i="1"/>
  <c r="C611" i="1"/>
  <c r="B611" i="1"/>
  <c r="K610" i="1" a="1"/>
  <c r="O612" i="1" s="1"/>
  <c r="J610" i="1"/>
  <c r="G610" i="1"/>
  <c r="F610" i="1"/>
  <c r="C610" i="1"/>
  <c r="B610" i="1"/>
  <c r="C609" i="1"/>
  <c r="B609" i="1"/>
  <c r="J608" i="1"/>
  <c r="C608" i="1"/>
  <c r="B608" i="1"/>
  <c r="J607" i="1"/>
  <c r="C607" i="1"/>
  <c r="B607" i="1"/>
  <c r="K606" i="1" a="1"/>
  <c r="O608" i="1" s="1"/>
  <c r="J606" i="1"/>
  <c r="C606" i="1"/>
  <c r="B606" i="1"/>
  <c r="J604" i="1"/>
  <c r="J603" i="1"/>
  <c r="K602" i="1" a="1"/>
  <c r="P604" i="1" s="1"/>
  <c r="J602" i="1"/>
  <c r="J600" i="1"/>
  <c r="J599" i="1"/>
  <c r="K598" i="1" a="1"/>
  <c r="P600" i="1" s="1"/>
  <c r="J598" i="1"/>
  <c r="J596" i="1"/>
  <c r="J595" i="1"/>
  <c r="K594" i="1" a="1"/>
  <c r="M596" i="1" s="1"/>
  <c r="J594" i="1"/>
  <c r="J592" i="1"/>
  <c r="J591" i="1"/>
  <c r="K590" i="1" a="1"/>
  <c r="K592" i="1" s="1"/>
  <c r="J590" i="1"/>
  <c r="B589" i="1"/>
  <c r="C589" i="1" s="1"/>
  <c r="D589" i="1" s="1"/>
  <c r="G589" i="1" s="1"/>
  <c r="H589" i="1" s="1"/>
  <c r="J588" i="1"/>
  <c r="J587" i="1"/>
  <c r="K586" i="1" a="1"/>
  <c r="K588" i="1" s="1"/>
  <c r="J586" i="1"/>
  <c r="E586" i="1"/>
  <c r="J584" i="1"/>
  <c r="J583" i="1"/>
  <c r="G583" i="1"/>
  <c r="F583" i="1"/>
  <c r="D583" i="1"/>
  <c r="K582" i="1" a="1"/>
  <c r="K584" i="1" s="1"/>
  <c r="J582" i="1"/>
  <c r="J577" i="1"/>
  <c r="J580" i="1" s="1"/>
  <c r="R4273" i="1" l="1"/>
  <c r="E3468" i="1"/>
  <c r="E3424" i="1"/>
  <c r="E3380" i="1"/>
  <c r="E1312" i="1"/>
  <c r="L4375" i="1"/>
  <c r="M4376" i="1"/>
  <c r="F872" i="1"/>
  <c r="L3217" i="1"/>
  <c r="M3219" i="1"/>
  <c r="M3218" i="1"/>
  <c r="D4395" i="1"/>
  <c r="M3703" i="1"/>
  <c r="M3702" i="1"/>
  <c r="L3701" i="1"/>
  <c r="M2734" i="1"/>
  <c r="M2735" i="1"/>
  <c r="L2733" i="1"/>
  <c r="L4319" i="1"/>
  <c r="L4318" i="1"/>
  <c r="K4317" i="1"/>
  <c r="K3789" i="1"/>
  <c r="L3790" i="1"/>
  <c r="L3791" i="1"/>
  <c r="L3657" i="1"/>
  <c r="M3659" i="1"/>
  <c r="M3658" i="1"/>
  <c r="L3745" i="1"/>
  <c r="M3747" i="1"/>
  <c r="M3746" i="1"/>
  <c r="M3571" i="1"/>
  <c r="M3570" i="1"/>
  <c r="L3569" i="1"/>
  <c r="K3527" i="1"/>
  <c r="K3526" i="1"/>
  <c r="M3482" i="1"/>
  <c r="L3481" i="1"/>
  <c r="M3483" i="1"/>
  <c r="M3879" i="1"/>
  <c r="L3877" i="1"/>
  <c r="M3878" i="1"/>
  <c r="L3615" i="1"/>
  <c r="L3614" i="1"/>
  <c r="K3613" i="1"/>
  <c r="L3833" i="1"/>
  <c r="M3835" i="1"/>
  <c r="M3834" i="1"/>
  <c r="M2207" i="1"/>
  <c r="L2205" i="1"/>
  <c r="M2206" i="1"/>
  <c r="K2601" i="1"/>
  <c r="L2603" i="1"/>
  <c r="L2602" i="1"/>
  <c r="K2029" i="1"/>
  <c r="L2031" i="1"/>
  <c r="L2030" i="1"/>
  <c r="M2647" i="1"/>
  <c r="M2646" i="1"/>
  <c r="L2645" i="1"/>
  <c r="M2251" i="1"/>
  <c r="L2249" i="1"/>
  <c r="M2250" i="1"/>
  <c r="L1899" i="1"/>
  <c r="L1898" i="1"/>
  <c r="K1897" i="1"/>
  <c r="K2163" i="1"/>
  <c r="K2162" i="1"/>
  <c r="K1679" i="1"/>
  <c r="K1678" i="1"/>
  <c r="K1809" i="1"/>
  <c r="L1810" i="1"/>
  <c r="L1811" i="1"/>
  <c r="M2515" i="1"/>
  <c r="M2514" i="1"/>
  <c r="L2513" i="1"/>
  <c r="K1941" i="1"/>
  <c r="L1943" i="1"/>
  <c r="L1942" i="1"/>
  <c r="K1767" i="1"/>
  <c r="K1766" i="1"/>
  <c r="K1855" i="1"/>
  <c r="K1854" i="1"/>
  <c r="L2117" i="1"/>
  <c r="M2119" i="1"/>
  <c r="M2118" i="1"/>
  <c r="L2559" i="1"/>
  <c r="L2558" i="1"/>
  <c r="K2557" i="1"/>
  <c r="K1721" i="1"/>
  <c r="L1723" i="1"/>
  <c r="L1722" i="1"/>
  <c r="L2427" i="1"/>
  <c r="L2426" i="1"/>
  <c r="K2425" i="1"/>
  <c r="M2691" i="1"/>
  <c r="L2689" i="1"/>
  <c r="M2690" i="1"/>
  <c r="L2337" i="1"/>
  <c r="M2339" i="1"/>
  <c r="M2338" i="1"/>
  <c r="L1987" i="1"/>
  <c r="L1986" i="1"/>
  <c r="K1985" i="1"/>
  <c r="M2074" i="1"/>
  <c r="M2075" i="1"/>
  <c r="L2073" i="1"/>
  <c r="L1633" i="1"/>
  <c r="M1635" i="1"/>
  <c r="M1634" i="1"/>
  <c r="M2471" i="1"/>
  <c r="L2469" i="1"/>
  <c r="M2470" i="1"/>
  <c r="L2381" i="1"/>
  <c r="M2383" i="1"/>
  <c r="M2382" i="1"/>
  <c r="M2295" i="1"/>
  <c r="M2294" i="1"/>
  <c r="L2293" i="1"/>
  <c r="M2998" i="1"/>
  <c r="L2997" i="1"/>
  <c r="M2999" i="1"/>
  <c r="L3263" i="1"/>
  <c r="L3262" i="1"/>
  <c r="K3261" i="1"/>
  <c r="L2777" i="1"/>
  <c r="M2779" i="1"/>
  <c r="M2778" i="1"/>
  <c r="L3041" i="1"/>
  <c r="M3043" i="1"/>
  <c r="M3042" i="1"/>
  <c r="M3306" i="1"/>
  <c r="M3307" i="1"/>
  <c r="L3305" i="1"/>
  <c r="M3175" i="1"/>
  <c r="L3173" i="1"/>
  <c r="M3174" i="1"/>
  <c r="M2955" i="1"/>
  <c r="L2953" i="1"/>
  <c r="M2954" i="1"/>
  <c r="K3131" i="1"/>
  <c r="K3130" i="1"/>
  <c r="L3087" i="1"/>
  <c r="L3086" i="1"/>
  <c r="K3085" i="1"/>
  <c r="L2822" i="1"/>
  <c r="L2823" i="1"/>
  <c r="K2821" i="1"/>
  <c r="L2865" i="1"/>
  <c r="M2867" i="1"/>
  <c r="M2866" i="1"/>
  <c r="L2911" i="1"/>
  <c r="L2910" i="1"/>
  <c r="K2909" i="1"/>
  <c r="S1503" i="1"/>
  <c r="E1138" i="1"/>
  <c r="G4258" i="1"/>
  <c r="D4394" i="1"/>
  <c r="F4258" i="1"/>
  <c r="G3466" i="1"/>
  <c r="F3422" i="1"/>
  <c r="F3378" i="1"/>
  <c r="E1050" i="1"/>
  <c r="N4066" i="1"/>
  <c r="Q4012" i="1"/>
  <c r="K903" i="1"/>
  <c r="E1182" i="1"/>
  <c r="L4079" i="1"/>
  <c r="K4374" i="1"/>
  <c r="D4397" i="1"/>
  <c r="E918" i="1"/>
  <c r="L4072" i="1"/>
  <c r="M4080" i="1"/>
  <c r="L4371" i="1"/>
  <c r="D4390" i="1"/>
  <c r="L4390" i="1"/>
  <c r="D4398" i="1"/>
  <c r="E1444" i="1"/>
  <c r="S1282" i="1"/>
  <c r="L996" i="1"/>
  <c r="L4059" i="1"/>
  <c r="K4078" i="1"/>
  <c r="O4080" i="1"/>
  <c r="O4391" i="1"/>
  <c r="S1502" i="1"/>
  <c r="E654" i="1"/>
  <c r="E698" i="1"/>
  <c r="E830" i="1"/>
  <c r="E874" i="1"/>
  <c r="E1226" i="1"/>
  <c r="M4078" i="1"/>
  <c r="Q4392" i="1"/>
  <c r="D4393" i="1"/>
  <c r="R1501" i="1"/>
  <c r="Q1501" i="1" s="1"/>
  <c r="F4302" i="1"/>
  <c r="S1193" i="1"/>
  <c r="R1193" i="1" s="1"/>
  <c r="J1194" i="1"/>
  <c r="J1196" i="1"/>
  <c r="J622" i="1"/>
  <c r="J623" i="1"/>
  <c r="N4395" i="1"/>
  <c r="L980" i="1"/>
  <c r="E1006" i="1"/>
  <c r="E1094" i="1"/>
  <c r="L4060" i="1"/>
  <c r="L4067" i="1"/>
  <c r="M4074" i="1"/>
  <c r="P4084" i="1"/>
  <c r="K4366" i="1"/>
  <c r="M4375" i="1"/>
  <c r="P4390" i="1"/>
  <c r="K4392" i="1"/>
  <c r="D4392" i="1"/>
  <c r="M4394" i="1"/>
  <c r="K4396" i="1"/>
  <c r="G4214" i="1"/>
  <c r="S4186" i="1"/>
  <c r="F3466" i="1"/>
  <c r="G3422" i="1"/>
  <c r="F4126" i="1"/>
  <c r="N4068" i="1"/>
  <c r="M4075" i="1"/>
  <c r="K4367" i="1"/>
  <c r="Q4390" i="1"/>
  <c r="L4392" i="1"/>
  <c r="O4394" i="1"/>
  <c r="M4396" i="1"/>
  <c r="S4187" i="1"/>
  <c r="G3994" i="1"/>
  <c r="S1284" i="1"/>
  <c r="L4066" i="1"/>
  <c r="N4070" i="1"/>
  <c r="L4076" i="1"/>
  <c r="N4079" i="1"/>
  <c r="K4368" i="1"/>
  <c r="L4374" i="1"/>
  <c r="K4390" i="1"/>
  <c r="M4391" i="1"/>
  <c r="P4392" i="1"/>
  <c r="L4395" i="1"/>
  <c r="S4396" i="1"/>
  <c r="D4399" i="1"/>
  <c r="S4275" i="1"/>
  <c r="F3994" i="1"/>
  <c r="E1488" i="1"/>
  <c r="R1458" i="1"/>
  <c r="S1458" i="1"/>
  <c r="S1459" i="1"/>
  <c r="F1486" i="1"/>
  <c r="G1442" i="1"/>
  <c r="E1400" i="1"/>
  <c r="G1398" i="1"/>
  <c r="E1356" i="1"/>
  <c r="F1354" i="1"/>
  <c r="G1354" i="1"/>
  <c r="S1283" i="1"/>
  <c r="Q1284" i="1"/>
  <c r="F1310" i="1"/>
  <c r="S1239" i="1"/>
  <c r="S1238" i="1"/>
  <c r="E1268" i="1"/>
  <c r="Q1240" i="1"/>
  <c r="G1266" i="1"/>
  <c r="J4364" i="1"/>
  <c r="Q4364" i="1" s="1"/>
  <c r="O4378" i="1"/>
  <c r="O4379" i="1"/>
  <c r="O4380" i="1"/>
  <c r="R1239" i="1"/>
  <c r="Q1237" i="1"/>
  <c r="R1238" i="1"/>
  <c r="E786" i="1"/>
  <c r="D790" i="1"/>
  <c r="E962" i="1"/>
  <c r="O1079" i="1"/>
  <c r="D1142" i="1"/>
  <c r="O4074" i="1"/>
  <c r="N4075" i="1"/>
  <c r="M4076" i="1"/>
  <c r="D4084" i="1"/>
  <c r="N4086" i="1"/>
  <c r="D4090" i="1"/>
  <c r="S4361" i="1"/>
  <c r="S4363" i="1" s="1"/>
  <c r="K4372" i="1"/>
  <c r="K4378" i="1"/>
  <c r="K4379" i="1"/>
  <c r="K4380" i="1"/>
  <c r="N4386" i="1"/>
  <c r="G4038" i="1"/>
  <c r="R1459" i="1"/>
  <c r="F1266" i="1"/>
  <c r="G3378" i="1"/>
  <c r="S4011" i="1"/>
  <c r="R4009" i="1"/>
  <c r="S4010" i="1"/>
  <c r="G4126" i="1"/>
  <c r="K1210" i="1"/>
  <c r="K4074" i="1"/>
  <c r="P4074" i="1"/>
  <c r="O4075" i="1"/>
  <c r="O4076" i="1"/>
  <c r="O4078" i="1"/>
  <c r="P4079" i="1"/>
  <c r="Q4080" i="1"/>
  <c r="P4082" i="1"/>
  <c r="M4087" i="1"/>
  <c r="J4362" i="1"/>
  <c r="K4370" i="1"/>
  <c r="M4372" i="1"/>
  <c r="M4374" i="1"/>
  <c r="K4376" i="1"/>
  <c r="L4378" i="1"/>
  <c r="L4379" i="1"/>
  <c r="M4380" i="1"/>
  <c r="O4387" i="1"/>
  <c r="F4392" i="1"/>
  <c r="M4390" i="1"/>
  <c r="K4391" i="1"/>
  <c r="P4391" i="1"/>
  <c r="M4392" i="1"/>
  <c r="Q4394" i="1"/>
  <c r="P4395" i="1"/>
  <c r="O4396" i="1"/>
  <c r="D4396" i="1"/>
  <c r="F4214" i="1"/>
  <c r="G4170" i="1"/>
  <c r="F1442" i="1"/>
  <c r="Q1457" i="1"/>
  <c r="P1457" i="1" s="1"/>
  <c r="G1310" i="1"/>
  <c r="S1504" i="1"/>
  <c r="Q1504" i="1"/>
  <c r="E610" i="1"/>
  <c r="D655" i="1"/>
  <c r="D658" i="1"/>
  <c r="D921" i="1"/>
  <c r="D923" i="1"/>
  <c r="D1008" i="1"/>
  <c r="N1030" i="1"/>
  <c r="L1068" i="1"/>
  <c r="L4074" i="1"/>
  <c r="K4075" i="1"/>
  <c r="K4076" i="1"/>
  <c r="P4076" i="1"/>
  <c r="Q4078" i="1"/>
  <c r="K4080" i="1"/>
  <c r="M4088" i="1"/>
  <c r="M4370" i="1"/>
  <c r="K4375" i="1"/>
  <c r="L4376" i="1"/>
  <c r="M4378" i="1"/>
  <c r="N4379" i="1"/>
  <c r="N4380" i="1"/>
  <c r="P4388" i="1"/>
  <c r="O4390" i="1"/>
  <c r="L4391" i="1"/>
  <c r="Q4391" i="1"/>
  <c r="O4392" i="1"/>
  <c r="D4391" i="1"/>
  <c r="K4394" i="1"/>
  <c r="S4394" i="1"/>
  <c r="R4395" i="1"/>
  <c r="Q4396" i="1"/>
  <c r="G4302" i="1"/>
  <c r="S1240" i="1"/>
  <c r="G3950" i="1"/>
  <c r="Q3968" i="1"/>
  <c r="S3968" i="1"/>
  <c r="R1589" i="1"/>
  <c r="S1591" i="1"/>
  <c r="S1590" i="1"/>
  <c r="Q3396" i="1"/>
  <c r="S3396" i="1"/>
  <c r="S3351" i="1"/>
  <c r="S3350" i="1"/>
  <c r="R3349" i="1"/>
  <c r="S1546" i="1"/>
  <c r="S1547" i="1"/>
  <c r="R1545" i="1"/>
  <c r="S3395" i="1"/>
  <c r="R3393" i="1"/>
  <c r="S3394" i="1"/>
  <c r="F3950" i="1"/>
  <c r="S3924" i="1"/>
  <c r="Q3924" i="1"/>
  <c r="S3440" i="1"/>
  <c r="Q3440" i="1"/>
  <c r="Q1592" i="1"/>
  <c r="S1592" i="1"/>
  <c r="S3967" i="1"/>
  <c r="R3965" i="1"/>
  <c r="S3966" i="1"/>
  <c r="S3923" i="1"/>
  <c r="S3922" i="1"/>
  <c r="R3921" i="1"/>
  <c r="S3439" i="1"/>
  <c r="S3438" i="1"/>
  <c r="R3437" i="1"/>
  <c r="S3352" i="1"/>
  <c r="Q3352" i="1"/>
  <c r="S1548" i="1"/>
  <c r="Q1548" i="1"/>
  <c r="G1486" i="1"/>
  <c r="Q1460" i="1"/>
  <c r="S1460" i="1"/>
  <c r="S1416" i="1"/>
  <c r="Q1416" i="1"/>
  <c r="S1415" i="1"/>
  <c r="S1414" i="1"/>
  <c r="R1413" i="1"/>
  <c r="Q1328" i="1"/>
  <c r="S1328" i="1"/>
  <c r="Q1281" i="1"/>
  <c r="R1283" i="1"/>
  <c r="R1282" i="1"/>
  <c r="S1372" i="1"/>
  <c r="Q1372" i="1"/>
  <c r="D1183" i="1"/>
  <c r="F4038" i="1"/>
  <c r="S1327" i="1"/>
  <c r="R1325" i="1"/>
  <c r="S1326" i="1"/>
  <c r="S1371" i="1"/>
  <c r="S1370" i="1"/>
  <c r="R1369" i="1"/>
  <c r="F1398" i="1"/>
  <c r="S4100" i="1"/>
  <c r="Q4100" i="1"/>
  <c r="D832" i="1"/>
  <c r="D876" i="1"/>
  <c r="D920" i="1"/>
  <c r="D1010" i="1"/>
  <c r="D1095" i="1"/>
  <c r="D1098" i="1"/>
  <c r="Q4097" i="1"/>
  <c r="R4099" i="1"/>
  <c r="R4098" i="1"/>
  <c r="D659" i="1"/>
  <c r="D965" i="1"/>
  <c r="D967" i="1"/>
  <c r="D1140" i="1"/>
  <c r="D1228" i="1"/>
  <c r="D4086" i="1"/>
  <c r="D4091" i="1"/>
  <c r="S4144" i="1"/>
  <c r="Q4144" i="1"/>
  <c r="F4170" i="1"/>
  <c r="Q4141" i="1"/>
  <c r="R4143" i="1"/>
  <c r="R4142" i="1"/>
  <c r="G4084" i="1"/>
  <c r="S4188" i="1"/>
  <c r="Q4188" i="1"/>
  <c r="Q4185" i="1"/>
  <c r="R4187" i="1"/>
  <c r="R4186" i="1"/>
  <c r="D743" i="1"/>
  <c r="D746" i="1"/>
  <c r="D1052" i="1"/>
  <c r="D613" i="1"/>
  <c r="D615" i="1"/>
  <c r="D738" i="1"/>
  <c r="D739" i="1"/>
  <c r="S4232" i="1"/>
  <c r="Q4232" i="1"/>
  <c r="Q4229" i="1"/>
  <c r="R4231" i="1"/>
  <c r="R4230" i="1"/>
  <c r="D608" i="1"/>
  <c r="D1184" i="1"/>
  <c r="D612" i="1"/>
  <c r="D701" i="1"/>
  <c r="D703" i="1"/>
  <c r="D783" i="1"/>
  <c r="D834" i="1"/>
  <c r="D878" i="1"/>
  <c r="D1053" i="1"/>
  <c r="D1055" i="1"/>
  <c r="D1181" i="1"/>
  <c r="D1185" i="1"/>
  <c r="D1187" i="1"/>
  <c r="D1225" i="1"/>
  <c r="D1231" i="1"/>
  <c r="D4082" i="1"/>
  <c r="D4083" i="1"/>
  <c r="D652" i="1"/>
  <c r="D696" i="1"/>
  <c r="D699" i="1"/>
  <c r="D744" i="1"/>
  <c r="D788" i="1"/>
  <c r="F828" i="1"/>
  <c r="D827" i="1"/>
  <c r="D1096" i="1"/>
  <c r="D1136" i="1"/>
  <c r="Q4273" i="1"/>
  <c r="R4274" i="1"/>
  <c r="R4275" i="1"/>
  <c r="D610" i="1"/>
  <c r="D650" i="1"/>
  <c r="D651" i="1"/>
  <c r="D654" i="1"/>
  <c r="D1227" i="1"/>
  <c r="D1230" i="1"/>
  <c r="D4087" i="1"/>
  <c r="D4088" i="1"/>
  <c r="S4276" i="1"/>
  <c r="Q4276" i="1"/>
  <c r="D745" i="1"/>
  <c r="D747" i="1"/>
  <c r="D919" i="1"/>
  <c r="D966" i="1"/>
  <c r="D1009" i="1"/>
  <c r="D1097" i="1"/>
  <c r="D1143" i="1"/>
  <c r="D4085" i="1"/>
  <c r="D607" i="1"/>
  <c r="D700" i="1"/>
  <c r="D789" i="1"/>
  <c r="D791" i="1"/>
  <c r="D833" i="1"/>
  <c r="D835" i="1"/>
  <c r="D877" i="1"/>
  <c r="D879" i="1"/>
  <c r="D922" i="1"/>
  <c r="D1007" i="1"/>
  <c r="D1051" i="1"/>
  <c r="D1054" i="1"/>
  <c r="D1135" i="1"/>
  <c r="D1139" i="1"/>
  <c r="D1180" i="1"/>
  <c r="D1229" i="1"/>
  <c r="D4089" i="1"/>
  <c r="D611" i="1"/>
  <c r="D656" i="1"/>
  <c r="D961" i="1"/>
  <c r="D963" i="1"/>
  <c r="D1011" i="1"/>
  <c r="D1099" i="1"/>
  <c r="D1141" i="1"/>
  <c r="D653" i="1"/>
  <c r="D657" i="1"/>
  <c r="D698" i="1"/>
  <c r="D702" i="1"/>
  <c r="D787" i="1"/>
  <c r="D831" i="1"/>
  <c r="D875" i="1"/>
  <c r="D964" i="1"/>
  <c r="D1091" i="1"/>
  <c r="D1182" i="1"/>
  <c r="D1186" i="1"/>
  <c r="D1222" i="1"/>
  <c r="F4084" i="1"/>
  <c r="L1200" i="1"/>
  <c r="F1224" i="1"/>
  <c r="K1198" i="1"/>
  <c r="L1214" i="1"/>
  <c r="P1216" i="1"/>
  <c r="L1198" i="1"/>
  <c r="M1207" i="1"/>
  <c r="D1223" i="1"/>
  <c r="M1204" i="1"/>
  <c r="K1211" i="1"/>
  <c r="K1202" i="1"/>
  <c r="L1206" i="1"/>
  <c r="K1212" i="1"/>
  <c r="O1170" i="1"/>
  <c r="N1171" i="1"/>
  <c r="P1172" i="1"/>
  <c r="L1170" i="1"/>
  <c r="K1172" i="1"/>
  <c r="L1159" i="1"/>
  <c r="G1136" i="1"/>
  <c r="M1130" i="1"/>
  <c r="N1131" i="1"/>
  <c r="L1118" i="1"/>
  <c r="O1132" i="1"/>
  <c r="L1120" i="1"/>
  <c r="M1224" i="1"/>
  <c r="L1228" i="1"/>
  <c r="K1199" i="1"/>
  <c r="M1202" i="1"/>
  <c r="M1206" i="1"/>
  <c r="K1208" i="1"/>
  <c r="L1210" i="1"/>
  <c r="L1211" i="1"/>
  <c r="M1212" i="1"/>
  <c r="P1214" i="1"/>
  <c r="M1222" i="1"/>
  <c r="R1224" i="1"/>
  <c r="N1226" i="1"/>
  <c r="Q1228" i="1"/>
  <c r="K1200" i="1"/>
  <c r="L1203" i="1"/>
  <c r="K1207" i="1"/>
  <c r="L1208" i="1"/>
  <c r="M1210" i="1"/>
  <c r="N1211" i="1"/>
  <c r="N1212" i="1"/>
  <c r="N1215" i="1"/>
  <c r="R1222" i="1"/>
  <c r="G1224" i="1"/>
  <c r="S1226" i="1"/>
  <c r="K1204" i="1"/>
  <c r="K1206" i="1"/>
  <c r="L1207" i="1"/>
  <c r="M1208" i="1"/>
  <c r="O1210" i="1"/>
  <c r="O1211" i="1"/>
  <c r="O1212" i="1"/>
  <c r="L1216" i="1"/>
  <c r="P1223" i="1"/>
  <c r="D1226" i="1"/>
  <c r="K1176" i="1"/>
  <c r="M1174" i="1"/>
  <c r="O1176" i="1"/>
  <c r="K1178" i="1"/>
  <c r="K1179" i="1"/>
  <c r="K1180" i="1"/>
  <c r="K1182" i="1"/>
  <c r="S1182" i="1"/>
  <c r="R1183" i="1"/>
  <c r="Q1184" i="1"/>
  <c r="Q1182" i="1"/>
  <c r="P1183" i="1"/>
  <c r="O1184" i="1"/>
  <c r="N1163" i="1"/>
  <c r="J1151" i="1"/>
  <c r="K1158" i="1"/>
  <c r="M1160" i="1"/>
  <c r="M1167" i="1"/>
  <c r="P1170" i="1"/>
  <c r="L1172" i="1"/>
  <c r="Q1174" i="1"/>
  <c r="M1178" i="1"/>
  <c r="M1179" i="1"/>
  <c r="M1180" i="1"/>
  <c r="D1179" i="1"/>
  <c r="M1182" i="1"/>
  <c r="L1183" i="1"/>
  <c r="K1184" i="1"/>
  <c r="S1184" i="1"/>
  <c r="Q1178" i="1"/>
  <c r="Q1179" i="1"/>
  <c r="Q1180" i="1"/>
  <c r="M1159" i="1"/>
  <c r="L1158" i="1"/>
  <c r="K1170" i="1"/>
  <c r="M1171" i="1"/>
  <c r="O1172" i="1"/>
  <c r="N1175" i="1"/>
  <c r="O1178" i="1"/>
  <c r="O1179" i="1"/>
  <c r="O1180" i="1"/>
  <c r="O1182" i="1"/>
  <c r="N1183" i="1"/>
  <c r="M1184" i="1"/>
  <c r="L1122" i="1"/>
  <c r="K1126" i="1"/>
  <c r="P1126" i="1"/>
  <c r="O1127" i="1"/>
  <c r="O1128" i="1"/>
  <c r="O1130" i="1"/>
  <c r="P1131" i="1"/>
  <c r="Q1132" i="1"/>
  <c r="D1134" i="1"/>
  <c r="L1134" i="1"/>
  <c r="L1136" i="1"/>
  <c r="D1137" i="1"/>
  <c r="N1138" i="1"/>
  <c r="P1140" i="1"/>
  <c r="N1124" i="1"/>
  <c r="P1135" i="1"/>
  <c r="L1140" i="1"/>
  <c r="L1110" i="1"/>
  <c r="K1123" i="1"/>
  <c r="L1126" i="1"/>
  <c r="K1127" i="1"/>
  <c r="K1128" i="1"/>
  <c r="P1128" i="1"/>
  <c r="Q1130" i="1"/>
  <c r="K1132" i="1"/>
  <c r="P1134" i="1"/>
  <c r="P1136" i="1"/>
  <c r="R1138" i="1"/>
  <c r="O1126" i="1"/>
  <c r="N1127" i="1"/>
  <c r="M1128" i="1"/>
  <c r="L1112" i="1"/>
  <c r="L1119" i="1"/>
  <c r="O1123" i="1"/>
  <c r="M1126" i="1"/>
  <c r="M1127" i="1"/>
  <c r="L1128" i="1"/>
  <c r="K1130" i="1"/>
  <c r="L1131" i="1"/>
  <c r="M1132" i="1"/>
  <c r="L1135" i="1"/>
  <c r="D1138" i="1"/>
  <c r="P1084" i="1"/>
  <c r="L1082" i="1"/>
  <c r="L1075" i="1"/>
  <c r="K1083" i="1"/>
  <c r="L1066" i="1"/>
  <c r="K1079" i="1"/>
  <c r="K1084" i="1"/>
  <c r="N1036" i="1"/>
  <c r="L1028" i="1"/>
  <c r="L986" i="1"/>
  <c r="M994" i="1"/>
  <c r="M998" i="1"/>
  <c r="G1004" i="1"/>
  <c r="O1000" i="1"/>
  <c r="L1076" i="1"/>
  <c r="M1082" i="1"/>
  <c r="L1084" i="1"/>
  <c r="N1091" i="1"/>
  <c r="S1095" i="1"/>
  <c r="L1074" i="1"/>
  <c r="M1083" i="1"/>
  <c r="D1094" i="1"/>
  <c r="O1044" i="1"/>
  <c r="L1050" i="1"/>
  <c r="L1030" i="1"/>
  <c r="L1032" i="1"/>
  <c r="L1043" i="1"/>
  <c r="D1049" i="1"/>
  <c r="S1051" i="1"/>
  <c r="N1031" i="1"/>
  <c r="M1042" i="1"/>
  <c r="O1020" i="1"/>
  <c r="L1026" i="1"/>
  <c r="M1030" i="1"/>
  <c r="N1032" i="1"/>
  <c r="Q1043" i="1"/>
  <c r="D1048" i="1"/>
  <c r="L987" i="1"/>
  <c r="M995" i="1"/>
  <c r="L999" i="1"/>
  <c r="L988" i="1"/>
  <c r="N999" i="1"/>
  <c r="O991" i="1"/>
  <c r="K998" i="1"/>
  <c r="M1000" i="1"/>
  <c r="L1003" i="1"/>
  <c r="P1087" i="1"/>
  <c r="K1086" i="1"/>
  <c r="M1088" i="1"/>
  <c r="N1092" i="1"/>
  <c r="K1071" i="1"/>
  <c r="N1080" i="1"/>
  <c r="O1082" i="1"/>
  <c r="N1083" i="1"/>
  <c r="M1084" i="1"/>
  <c r="O1086" i="1"/>
  <c r="Q1088" i="1"/>
  <c r="D1090" i="1"/>
  <c r="L1090" i="1"/>
  <c r="D1092" i="1"/>
  <c r="D1093" i="1"/>
  <c r="L1094" i="1"/>
  <c r="R1096" i="1"/>
  <c r="L1078" i="1"/>
  <c r="K1082" i="1"/>
  <c r="P1082" i="1"/>
  <c r="O1083" i="1"/>
  <c r="O1084" i="1"/>
  <c r="L1087" i="1"/>
  <c r="Q1090" i="1"/>
  <c r="K1095" i="1"/>
  <c r="K1039" i="1"/>
  <c r="M1040" i="1"/>
  <c r="O1042" i="1"/>
  <c r="M1043" i="1"/>
  <c r="K1044" i="1"/>
  <c r="Q1044" i="1"/>
  <c r="D1046" i="1"/>
  <c r="N1046" i="1"/>
  <c r="P1050" i="1"/>
  <c r="N1052" i="1"/>
  <c r="O1040" i="1"/>
  <c r="M1034" i="1"/>
  <c r="M1038" i="1"/>
  <c r="O1039" i="1"/>
  <c r="K1042" i="1"/>
  <c r="P1042" i="1"/>
  <c r="N1043" i="1"/>
  <c r="M1044" i="1"/>
  <c r="N1047" i="1"/>
  <c r="D1050" i="1"/>
  <c r="K1051" i="1"/>
  <c r="R1052" i="1"/>
  <c r="K1038" i="1"/>
  <c r="M1039" i="1"/>
  <c r="M1035" i="1"/>
  <c r="O1038" i="1"/>
  <c r="K1040" i="1"/>
  <c r="L1042" i="1"/>
  <c r="Q1042" i="1"/>
  <c r="P1043" i="1"/>
  <c r="N1044" i="1"/>
  <c r="N1048" i="1"/>
  <c r="O1051" i="1"/>
  <c r="P1003" i="1"/>
  <c r="D1004" i="1"/>
  <c r="D1005" i="1"/>
  <c r="N1006" i="1"/>
  <c r="N992" i="1"/>
  <c r="L990" i="1"/>
  <c r="K994" i="1"/>
  <c r="P994" i="1"/>
  <c r="O995" i="1"/>
  <c r="O996" i="1"/>
  <c r="O998" i="1"/>
  <c r="P999" i="1"/>
  <c r="Q1000" i="1"/>
  <c r="D1002" i="1"/>
  <c r="L1002" i="1"/>
  <c r="L1004" i="1"/>
  <c r="D1003" i="1"/>
  <c r="M1007" i="1"/>
  <c r="K983" i="1"/>
  <c r="O994" i="1"/>
  <c r="N995" i="1"/>
  <c r="M996" i="1"/>
  <c r="F1004" i="1"/>
  <c r="L978" i="1"/>
  <c r="K991" i="1"/>
  <c r="L994" i="1"/>
  <c r="K995" i="1"/>
  <c r="K996" i="1"/>
  <c r="P996" i="1"/>
  <c r="Q998" i="1"/>
  <c r="K1000" i="1"/>
  <c r="P1002" i="1"/>
  <c r="P1004" i="1"/>
  <c r="D1006" i="1"/>
  <c r="L1008" i="1"/>
  <c r="N958" i="1"/>
  <c r="D960" i="1"/>
  <c r="L934" i="1"/>
  <c r="K952" i="1"/>
  <c r="D958" i="1"/>
  <c r="R958" i="1"/>
  <c r="L962" i="1"/>
  <c r="L936" i="1"/>
  <c r="N944" i="1"/>
  <c r="P952" i="1"/>
  <c r="L950" i="1"/>
  <c r="R960" i="1"/>
  <c r="S963" i="1"/>
  <c r="K951" i="1"/>
  <c r="P908" i="1"/>
  <c r="L906" i="1"/>
  <c r="K907" i="1"/>
  <c r="K908" i="1"/>
  <c r="G916" i="1"/>
  <c r="D874" i="1"/>
  <c r="N870" i="1"/>
  <c r="N872" i="1"/>
  <c r="P864" i="1"/>
  <c r="L862" i="1"/>
  <c r="K863" i="1"/>
  <c r="K864" i="1"/>
  <c r="Q954" i="1"/>
  <c r="K956" i="1"/>
  <c r="N946" i="1"/>
  <c r="M950" i="1"/>
  <c r="M951" i="1"/>
  <c r="L952" i="1"/>
  <c r="K954" i="1"/>
  <c r="L955" i="1"/>
  <c r="M956" i="1"/>
  <c r="N959" i="1"/>
  <c r="P962" i="1"/>
  <c r="N964" i="1"/>
  <c r="L948" i="1"/>
  <c r="O950" i="1"/>
  <c r="N951" i="1"/>
  <c r="M952" i="1"/>
  <c r="M954" i="1"/>
  <c r="N955" i="1"/>
  <c r="O956" i="1"/>
  <c r="D962" i="1"/>
  <c r="K963" i="1"/>
  <c r="R964" i="1"/>
  <c r="N942" i="1"/>
  <c r="K950" i="1"/>
  <c r="P950" i="1"/>
  <c r="O951" i="1"/>
  <c r="O952" i="1"/>
  <c r="O954" i="1"/>
  <c r="P955" i="1"/>
  <c r="Q956" i="1"/>
  <c r="O963" i="1"/>
  <c r="K919" i="1"/>
  <c r="L920" i="1"/>
  <c r="L890" i="1"/>
  <c r="N898" i="1"/>
  <c r="O903" i="1"/>
  <c r="M906" i="1"/>
  <c r="M907" i="1"/>
  <c r="L908" i="1"/>
  <c r="K910" i="1"/>
  <c r="L911" i="1"/>
  <c r="M912" i="1"/>
  <c r="D916" i="1"/>
  <c r="D917" i="1"/>
  <c r="L918" i="1"/>
  <c r="M919" i="1"/>
  <c r="N920" i="1"/>
  <c r="Q910" i="1"/>
  <c r="K912" i="1"/>
  <c r="J887" i="1"/>
  <c r="L892" i="1"/>
  <c r="N900" i="1"/>
  <c r="N904" i="1"/>
  <c r="N907" i="1"/>
  <c r="N911" i="1"/>
  <c r="D915" i="1"/>
  <c r="N918" i="1"/>
  <c r="O919" i="1"/>
  <c r="R920" i="1"/>
  <c r="O906" i="1"/>
  <c r="M908" i="1"/>
  <c r="M910" i="1"/>
  <c r="O912" i="1"/>
  <c r="K906" i="1"/>
  <c r="P906" i="1"/>
  <c r="O907" i="1"/>
  <c r="O908" i="1"/>
  <c r="O910" i="1"/>
  <c r="P911" i="1"/>
  <c r="Q912" i="1"/>
  <c r="D914" i="1"/>
  <c r="D918" i="1"/>
  <c r="P918" i="1"/>
  <c r="R876" i="1"/>
  <c r="L850" i="1"/>
  <c r="L858" i="1"/>
  <c r="M862" i="1"/>
  <c r="M863" i="1"/>
  <c r="L864" i="1"/>
  <c r="K866" i="1"/>
  <c r="L867" i="1"/>
  <c r="M868" i="1"/>
  <c r="L871" i="1"/>
  <c r="D872" i="1"/>
  <c r="D873" i="1"/>
  <c r="L874" i="1"/>
  <c r="O862" i="1"/>
  <c r="N863" i="1"/>
  <c r="M864" i="1"/>
  <c r="M866" i="1"/>
  <c r="N867" i="1"/>
  <c r="O868" i="1"/>
  <c r="N871" i="1"/>
  <c r="K875" i="1"/>
  <c r="Q866" i="1"/>
  <c r="K868" i="1"/>
  <c r="K851" i="1"/>
  <c r="O859" i="1"/>
  <c r="K862" i="1"/>
  <c r="P862" i="1"/>
  <c r="O863" i="1"/>
  <c r="O864" i="1"/>
  <c r="O866" i="1"/>
  <c r="P867" i="1"/>
  <c r="Q868" i="1"/>
  <c r="D870" i="1"/>
  <c r="L870" i="1"/>
  <c r="L872" i="1"/>
  <c r="S875" i="1"/>
  <c r="K822" i="1"/>
  <c r="D829" i="1"/>
  <c r="D828" i="1"/>
  <c r="N814" i="1"/>
  <c r="K819" i="1"/>
  <c r="P820" i="1"/>
  <c r="M819" i="1"/>
  <c r="L818" i="1"/>
  <c r="K820" i="1"/>
  <c r="L823" i="1"/>
  <c r="P826" i="1"/>
  <c r="N830" i="1"/>
  <c r="M818" i="1"/>
  <c r="L820" i="1"/>
  <c r="M824" i="1"/>
  <c r="L828" i="1"/>
  <c r="O778" i="1"/>
  <c r="O775" i="1"/>
  <c r="M780" i="1"/>
  <c r="L759" i="1"/>
  <c r="K763" i="1"/>
  <c r="P774" i="1"/>
  <c r="M778" i="1"/>
  <c r="P779" i="1"/>
  <c r="R788" i="1"/>
  <c r="O776" i="1"/>
  <c r="L779" i="1"/>
  <c r="O780" i="1"/>
  <c r="R782" i="1"/>
  <c r="N786" i="1"/>
  <c r="N768" i="1"/>
  <c r="K774" i="1"/>
  <c r="K778" i="1"/>
  <c r="N779" i="1"/>
  <c r="Q780" i="1"/>
  <c r="D782" i="1"/>
  <c r="O787" i="1"/>
  <c r="L827" i="1"/>
  <c r="N828" i="1"/>
  <c r="G828" i="1"/>
  <c r="M831" i="1"/>
  <c r="L802" i="1"/>
  <c r="L810" i="1"/>
  <c r="L804" i="1"/>
  <c r="L811" i="1"/>
  <c r="L816" i="1"/>
  <c r="O818" i="1"/>
  <c r="N819" i="1"/>
  <c r="M820" i="1"/>
  <c r="M822" i="1"/>
  <c r="N823" i="1"/>
  <c r="O824" i="1"/>
  <c r="L812" i="1"/>
  <c r="K818" i="1"/>
  <c r="P818" i="1"/>
  <c r="O819" i="1"/>
  <c r="O820" i="1"/>
  <c r="O822" i="1"/>
  <c r="P823" i="1"/>
  <c r="Q824" i="1"/>
  <c r="D826" i="1"/>
  <c r="L826" i="1"/>
  <c r="N827" i="1"/>
  <c r="P828" i="1"/>
  <c r="D830" i="1"/>
  <c r="L832" i="1"/>
  <c r="Q822" i="1"/>
  <c r="K824" i="1"/>
  <c r="N826" i="1"/>
  <c r="M763" i="1"/>
  <c r="L770" i="1"/>
  <c r="L774" i="1"/>
  <c r="K775" i="1"/>
  <c r="K776" i="1"/>
  <c r="P776" i="1"/>
  <c r="Q778" i="1"/>
  <c r="K780" i="1"/>
  <c r="R784" i="1"/>
  <c r="D786" i="1"/>
  <c r="P786" i="1"/>
  <c r="S787" i="1"/>
  <c r="K771" i="1"/>
  <c r="M774" i="1"/>
  <c r="M775" i="1"/>
  <c r="L776" i="1"/>
  <c r="G784" i="1"/>
  <c r="K787" i="1"/>
  <c r="L788" i="1"/>
  <c r="N766" i="1"/>
  <c r="O774" i="1"/>
  <c r="N775" i="1"/>
  <c r="M776" i="1"/>
  <c r="D784" i="1"/>
  <c r="D785" i="1"/>
  <c r="L786" i="1"/>
  <c r="M787" i="1"/>
  <c r="E742" i="1"/>
  <c r="D740" i="1"/>
  <c r="D742" i="1"/>
  <c r="D741" i="1"/>
  <c r="J711" i="1"/>
  <c r="M720" i="1"/>
  <c r="M726" i="1"/>
  <c r="O726" i="1"/>
  <c r="M728" i="1"/>
  <c r="N730" i="1"/>
  <c r="S709" i="1"/>
  <c r="R709" i="1" s="1"/>
  <c r="J712" i="1"/>
  <c r="Q712" i="1" s="1"/>
  <c r="K716" i="1"/>
  <c r="K715" i="1"/>
  <c r="K723" i="1"/>
  <c r="N727" i="1"/>
  <c r="P731" i="1"/>
  <c r="J710" i="1"/>
  <c r="M718" i="1"/>
  <c r="K726" i="1"/>
  <c r="K728" i="1"/>
  <c r="M735" i="1"/>
  <c r="Q735" i="1"/>
  <c r="K718" i="1"/>
  <c r="M719" i="1"/>
  <c r="K722" i="1"/>
  <c r="K724" i="1"/>
  <c r="L734" i="1"/>
  <c r="N736" i="1"/>
  <c r="L719" i="1"/>
  <c r="M723" i="1"/>
  <c r="K714" i="1"/>
  <c r="L718" i="1"/>
  <c r="K720" i="1"/>
  <c r="M722" i="1"/>
  <c r="M724" i="1"/>
  <c r="L727" i="1"/>
  <c r="O728" i="1"/>
  <c r="P734" i="1"/>
  <c r="Q743" i="1"/>
  <c r="K679" i="1"/>
  <c r="D695" i="1"/>
  <c r="M676" i="1"/>
  <c r="O691" i="1"/>
  <c r="M680" i="1"/>
  <c r="K674" i="1"/>
  <c r="M674" i="1"/>
  <c r="M678" i="1"/>
  <c r="L688" i="1"/>
  <c r="M698" i="1"/>
  <c r="K700" i="1"/>
  <c r="J667" i="1"/>
  <c r="O682" i="1"/>
  <c r="O683" i="1"/>
  <c r="O684" i="1"/>
  <c r="O694" i="1"/>
  <c r="L695" i="1"/>
  <c r="Q695" i="1"/>
  <c r="O696" i="1"/>
  <c r="P699" i="1"/>
  <c r="P692" i="1"/>
  <c r="K694" i="1"/>
  <c r="P694" i="1"/>
  <c r="M695" i="1"/>
  <c r="K696" i="1"/>
  <c r="P696" i="1"/>
  <c r="J668" i="1"/>
  <c r="K671" i="1"/>
  <c r="L675" i="1"/>
  <c r="M679" i="1"/>
  <c r="L682" i="1"/>
  <c r="L683" i="1"/>
  <c r="M684" i="1"/>
  <c r="P686" i="1"/>
  <c r="N690" i="1"/>
  <c r="L694" i="1"/>
  <c r="Q694" i="1"/>
  <c r="O695" i="1"/>
  <c r="L696" i="1"/>
  <c r="Q696" i="1"/>
  <c r="Q698" i="1"/>
  <c r="O700" i="1"/>
  <c r="S665" i="1"/>
  <c r="R665" i="1" s="1"/>
  <c r="K670" i="1"/>
  <c r="K682" i="1"/>
  <c r="K683" i="1"/>
  <c r="K684" i="1"/>
  <c r="L686" i="1"/>
  <c r="P688" i="1"/>
  <c r="J666" i="1"/>
  <c r="K672" i="1"/>
  <c r="K676" i="1"/>
  <c r="K678" i="1"/>
  <c r="K680" i="1"/>
  <c r="M682" i="1"/>
  <c r="N683" i="1"/>
  <c r="N684" i="1"/>
  <c r="N687" i="1"/>
  <c r="M694" i="1"/>
  <c r="K695" i="1"/>
  <c r="P695" i="1"/>
  <c r="M696" i="1"/>
  <c r="L699" i="1"/>
  <c r="S700" i="1"/>
  <c r="M647" i="1"/>
  <c r="N648" i="1"/>
  <c r="L650" i="1"/>
  <c r="L652" i="1"/>
  <c r="L646" i="1"/>
  <c r="M632" i="1"/>
  <c r="P646" i="1"/>
  <c r="L651" i="1"/>
  <c r="Q656" i="1"/>
  <c r="M651" i="1"/>
  <c r="K627" i="1"/>
  <c r="M636" i="1"/>
  <c r="K630" i="1"/>
  <c r="M650" i="1"/>
  <c r="M652" i="1"/>
  <c r="S654" i="1"/>
  <c r="L630" i="1"/>
  <c r="N655" i="1"/>
  <c r="K638" i="1"/>
  <c r="N639" i="1"/>
  <c r="N642" i="1"/>
  <c r="S621" i="1"/>
  <c r="R621" i="1" s="1"/>
  <c r="L631" i="1"/>
  <c r="M634" i="1"/>
  <c r="M638" i="1"/>
  <c r="K640" i="1"/>
  <c r="Q647" i="1"/>
  <c r="P650" i="1"/>
  <c r="P651" i="1"/>
  <c r="P652" i="1"/>
  <c r="K654" i="1"/>
  <c r="R655" i="1"/>
  <c r="L639" i="1"/>
  <c r="O640" i="1"/>
  <c r="M631" i="1"/>
  <c r="M635" i="1"/>
  <c r="O638" i="1"/>
  <c r="M640" i="1"/>
  <c r="Q650" i="1"/>
  <c r="Q651" i="1"/>
  <c r="Q652" i="1"/>
  <c r="O654" i="1"/>
  <c r="M656" i="1"/>
  <c r="D609" i="1"/>
  <c r="L603" i="1"/>
  <c r="Q603" i="1"/>
  <c r="L584" i="1"/>
  <c r="O604" i="1"/>
  <c r="L592" i="1"/>
  <c r="M602" i="1"/>
  <c r="P607" i="1"/>
  <c r="N596" i="1"/>
  <c r="K599" i="1"/>
  <c r="O602" i="1"/>
  <c r="M603" i="1"/>
  <c r="K604" i="1"/>
  <c r="Q604" i="1"/>
  <c r="D606" i="1"/>
  <c r="L606" i="1"/>
  <c r="L608" i="1"/>
  <c r="N610" i="1"/>
  <c r="M600" i="1"/>
  <c r="P606" i="1"/>
  <c r="P608" i="1"/>
  <c r="M611" i="1"/>
  <c r="L594" i="1"/>
  <c r="K598" i="1"/>
  <c r="M599" i="1"/>
  <c r="O600" i="1"/>
  <c r="L590" i="1"/>
  <c r="K595" i="1"/>
  <c r="M598" i="1"/>
  <c r="O599" i="1"/>
  <c r="K602" i="1"/>
  <c r="P602" i="1"/>
  <c r="N603" i="1"/>
  <c r="M604" i="1"/>
  <c r="L582" i="1"/>
  <c r="L591" i="1"/>
  <c r="O595" i="1"/>
  <c r="O598" i="1"/>
  <c r="K600" i="1"/>
  <c r="L602" i="1"/>
  <c r="Q602" i="1"/>
  <c r="P603" i="1"/>
  <c r="N604" i="1"/>
  <c r="L607" i="1"/>
  <c r="L612" i="1"/>
  <c r="O580" i="1"/>
  <c r="K587" i="1"/>
  <c r="O740" i="1"/>
  <c r="K740" i="1"/>
  <c r="O739" i="1"/>
  <c r="K739" i="1"/>
  <c r="O738" i="1"/>
  <c r="K738" i="1"/>
  <c r="Q740" i="1"/>
  <c r="M740" i="1"/>
  <c r="Q739" i="1"/>
  <c r="R740" i="1"/>
  <c r="R739" i="1"/>
  <c r="L739" i="1"/>
  <c r="N738" i="1"/>
  <c r="P740" i="1"/>
  <c r="P739" i="1"/>
  <c r="R738" i="1"/>
  <c r="M738" i="1"/>
  <c r="N740" i="1"/>
  <c r="N739" i="1"/>
  <c r="Q738" i="1"/>
  <c r="L738" i="1"/>
  <c r="M856" i="1"/>
  <c r="M855" i="1"/>
  <c r="M854" i="1"/>
  <c r="K856" i="1"/>
  <c r="K855" i="1"/>
  <c r="K854" i="1"/>
  <c r="L855" i="1"/>
  <c r="N856" i="1"/>
  <c r="N854" i="1"/>
  <c r="L856" i="1"/>
  <c r="L854" i="1"/>
  <c r="S577" i="1"/>
  <c r="J578" i="1"/>
  <c r="K583" i="1"/>
  <c r="K586" i="1"/>
  <c r="L587" i="1"/>
  <c r="M588" i="1"/>
  <c r="M590" i="1"/>
  <c r="M591" i="1"/>
  <c r="M592" i="1"/>
  <c r="M594" i="1"/>
  <c r="L595" i="1"/>
  <c r="K596" i="1"/>
  <c r="S580" i="1" s="1"/>
  <c r="O596" i="1"/>
  <c r="N598" i="1"/>
  <c r="L599" i="1"/>
  <c r="P599" i="1"/>
  <c r="N600" i="1"/>
  <c r="M606" i="1"/>
  <c r="Q606" i="1"/>
  <c r="M607" i="1"/>
  <c r="Q607" i="1"/>
  <c r="M608" i="1"/>
  <c r="Q608" i="1"/>
  <c r="Q610" i="1"/>
  <c r="P611" i="1"/>
  <c r="D614" i="1"/>
  <c r="M644" i="1"/>
  <c r="O643" i="1"/>
  <c r="K643" i="1"/>
  <c r="M642" i="1"/>
  <c r="P644" i="1"/>
  <c r="L644" i="1"/>
  <c r="N643" i="1"/>
  <c r="P642" i="1"/>
  <c r="L642" i="1"/>
  <c r="O644" i="1"/>
  <c r="K644" i="1"/>
  <c r="M643" i="1"/>
  <c r="O642" i="1"/>
  <c r="K642" i="1"/>
  <c r="N644" i="1"/>
  <c r="G652" i="1"/>
  <c r="O692" i="1"/>
  <c r="K692" i="1"/>
  <c r="N691" i="1"/>
  <c r="Q690" i="1"/>
  <c r="M690" i="1"/>
  <c r="N692" i="1"/>
  <c r="Q691" i="1"/>
  <c r="M691" i="1"/>
  <c r="P690" i="1"/>
  <c r="L690" i="1"/>
  <c r="Q692" i="1"/>
  <c r="M692" i="1"/>
  <c r="P691" i="1"/>
  <c r="L691" i="1"/>
  <c r="O690" i="1"/>
  <c r="K690" i="1"/>
  <c r="L692" i="1"/>
  <c r="D694" i="1"/>
  <c r="P738" i="1"/>
  <c r="J754" i="1"/>
  <c r="S753" i="1"/>
  <c r="J756" i="1"/>
  <c r="J755" i="1"/>
  <c r="K808" i="1"/>
  <c r="M806" i="1"/>
  <c r="M808" i="1"/>
  <c r="L807" i="1"/>
  <c r="K806" i="1"/>
  <c r="M807" i="1"/>
  <c r="K807" i="1"/>
  <c r="L806" i="1"/>
  <c r="N855" i="1"/>
  <c r="L588" i="1"/>
  <c r="F608" i="1"/>
  <c r="J579" i="1"/>
  <c r="L583" i="1"/>
  <c r="L586" i="1"/>
  <c r="M587" i="1"/>
  <c r="N590" i="1"/>
  <c r="N591" i="1"/>
  <c r="N592" i="1"/>
  <c r="N594" i="1"/>
  <c r="M595" i="1"/>
  <c r="L596" i="1"/>
  <c r="N606" i="1"/>
  <c r="R606" i="1"/>
  <c r="N607" i="1"/>
  <c r="R607" i="1"/>
  <c r="N608" i="1"/>
  <c r="R608" i="1"/>
  <c r="R612" i="1"/>
  <c r="N612" i="1"/>
  <c r="S611" i="1"/>
  <c r="O611" i="1"/>
  <c r="K611" i="1"/>
  <c r="P610" i="1"/>
  <c r="L610" i="1"/>
  <c r="Q612" i="1"/>
  <c r="M612" i="1"/>
  <c r="R611" i="1"/>
  <c r="N611" i="1"/>
  <c r="S610" i="1"/>
  <c r="O610" i="1"/>
  <c r="K610" i="1"/>
  <c r="R610" i="1"/>
  <c r="Q611" i="1"/>
  <c r="P612" i="1"/>
  <c r="M739" i="1"/>
  <c r="S744" i="1"/>
  <c r="O744" i="1"/>
  <c r="K744" i="1"/>
  <c r="P743" i="1"/>
  <c r="L743" i="1"/>
  <c r="Q742" i="1"/>
  <c r="M742" i="1"/>
  <c r="Q744" i="1"/>
  <c r="M744" i="1"/>
  <c r="R743" i="1"/>
  <c r="N743" i="1"/>
  <c r="S742" i="1"/>
  <c r="O742" i="1"/>
  <c r="K742" i="1"/>
  <c r="N744" i="1"/>
  <c r="O743" i="1"/>
  <c r="P742" i="1"/>
  <c r="L744" i="1"/>
  <c r="M743" i="1"/>
  <c r="N742" i="1"/>
  <c r="R744" i="1"/>
  <c r="S743" i="1"/>
  <c r="K743" i="1"/>
  <c r="L742" i="1"/>
  <c r="D871" i="1"/>
  <c r="G872" i="1"/>
  <c r="G696" i="1"/>
  <c r="F696" i="1"/>
  <c r="K582" i="1"/>
  <c r="M586" i="1"/>
  <c r="K590" i="1"/>
  <c r="K591" i="1"/>
  <c r="K594" i="1"/>
  <c r="O594" i="1"/>
  <c r="N595" i="1"/>
  <c r="L598" i="1"/>
  <c r="P598" i="1"/>
  <c r="N599" i="1"/>
  <c r="L600" i="1"/>
  <c r="N602" i="1"/>
  <c r="K603" i="1"/>
  <c r="O603" i="1"/>
  <c r="L604" i="1"/>
  <c r="G608" i="1"/>
  <c r="K606" i="1"/>
  <c r="O606" i="1"/>
  <c r="K607" i="1"/>
  <c r="O607" i="1"/>
  <c r="K608" i="1"/>
  <c r="M610" i="1"/>
  <c r="L611" i="1"/>
  <c r="K612" i="1"/>
  <c r="S612" i="1"/>
  <c r="L643" i="1"/>
  <c r="F652" i="1"/>
  <c r="D697" i="1"/>
  <c r="M732" i="1"/>
  <c r="O731" i="1"/>
  <c r="K731" i="1"/>
  <c r="M730" i="1"/>
  <c r="P732" i="1"/>
  <c r="L732" i="1"/>
  <c r="N731" i="1"/>
  <c r="P730" i="1"/>
  <c r="L730" i="1"/>
  <c r="O732" i="1"/>
  <c r="K732" i="1"/>
  <c r="M731" i="1"/>
  <c r="O730" i="1"/>
  <c r="K730" i="1"/>
  <c r="N732" i="1"/>
  <c r="L740" i="1"/>
  <c r="R742" i="1"/>
  <c r="Q784" i="1"/>
  <c r="M784" i="1"/>
  <c r="Q783" i="1"/>
  <c r="M783" i="1"/>
  <c r="Q782" i="1"/>
  <c r="M782" i="1"/>
  <c r="O784" i="1"/>
  <c r="K784" i="1"/>
  <c r="O783" i="1"/>
  <c r="K783" i="1"/>
  <c r="O782" i="1"/>
  <c r="K782" i="1"/>
  <c r="P784" i="1"/>
  <c r="P783" i="1"/>
  <c r="P782" i="1"/>
  <c r="N784" i="1"/>
  <c r="N783" i="1"/>
  <c r="N782" i="1"/>
  <c r="L784" i="1"/>
  <c r="L783" i="1"/>
  <c r="L782" i="1"/>
  <c r="K847" i="1"/>
  <c r="K848" i="1"/>
  <c r="K846" i="1"/>
  <c r="L848" i="1"/>
  <c r="L847" i="1"/>
  <c r="L846" i="1"/>
  <c r="L627" i="1"/>
  <c r="N634" i="1"/>
  <c r="N635" i="1"/>
  <c r="N636" i="1"/>
  <c r="N638" i="1"/>
  <c r="M639" i="1"/>
  <c r="L640" i="1"/>
  <c r="M646" i="1"/>
  <c r="Q646" i="1"/>
  <c r="N647" i="1"/>
  <c r="K648" i="1"/>
  <c r="O648" i="1"/>
  <c r="N650" i="1"/>
  <c r="R650" i="1"/>
  <c r="N651" i="1"/>
  <c r="R651" i="1"/>
  <c r="N652" i="1"/>
  <c r="R652" i="1"/>
  <c r="L654" i="1"/>
  <c r="P654" i="1"/>
  <c r="K655" i="1"/>
  <c r="O655" i="1"/>
  <c r="S655" i="1"/>
  <c r="N656" i="1"/>
  <c r="R656" i="1"/>
  <c r="L670" i="1"/>
  <c r="L672" i="1"/>
  <c r="K675" i="1"/>
  <c r="L676" i="1"/>
  <c r="L678" i="1"/>
  <c r="L679" i="1"/>
  <c r="L680" i="1"/>
  <c r="M686" i="1"/>
  <c r="K687" i="1"/>
  <c r="O687" i="1"/>
  <c r="M688" i="1"/>
  <c r="N698" i="1"/>
  <c r="R698" i="1"/>
  <c r="M699" i="1"/>
  <c r="Q699" i="1"/>
  <c r="L700" i="1"/>
  <c r="P700" i="1"/>
  <c r="L715" i="1"/>
  <c r="N722" i="1"/>
  <c r="N723" i="1"/>
  <c r="N724" i="1"/>
  <c r="N726" i="1"/>
  <c r="M727" i="1"/>
  <c r="L728" i="1"/>
  <c r="M734" i="1"/>
  <c r="Q734" i="1"/>
  <c r="N735" i="1"/>
  <c r="K736" i="1"/>
  <c r="O736" i="1"/>
  <c r="O772" i="1"/>
  <c r="K772" i="1"/>
  <c r="L771" i="1"/>
  <c r="M770" i="1"/>
  <c r="M772" i="1"/>
  <c r="N771" i="1"/>
  <c r="O770" i="1"/>
  <c r="K770" i="1"/>
  <c r="M771" i="1"/>
  <c r="Q788" i="1"/>
  <c r="M788" i="1"/>
  <c r="R787" i="1"/>
  <c r="N787" i="1"/>
  <c r="S786" i="1"/>
  <c r="O786" i="1"/>
  <c r="K786" i="1"/>
  <c r="S788" i="1"/>
  <c r="O788" i="1"/>
  <c r="K788" i="1"/>
  <c r="P787" i="1"/>
  <c r="L787" i="1"/>
  <c r="Q786" i="1"/>
  <c r="M786" i="1"/>
  <c r="R786" i="1"/>
  <c r="Q787" i="1"/>
  <c r="P788" i="1"/>
  <c r="J800" i="1"/>
  <c r="J798" i="1"/>
  <c r="S797" i="1"/>
  <c r="O800" i="1"/>
  <c r="N810" i="1"/>
  <c r="K815" i="1"/>
  <c r="O828" i="1"/>
  <c r="K828" i="1"/>
  <c r="O827" i="1"/>
  <c r="K827" i="1"/>
  <c r="O826" i="1"/>
  <c r="K826" i="1"/>
  <c r="Q828" i="1"/>
  <c r="M828" i="1"/>
  <c r="Q827" i="1"/>
  <c r="M827" i="1"/>
  <c r="Q826" i="1"/>
  <c r="M826" i="1"/>
  <c r="R826" i="1"/>
  <c r="R827" i="1"/>
  <c r="R828" i="1"/>
  <c r="P830" i="1"/>
  <c r="O831" i="1"/>
  <c r="M852" i="1"/>
  <c r="L851" i="1"/>
  <c r="K850" i="1"/>
  <c r="K852" i="1"/>
  <c r="M850" i="1"/>
  <c r="L852" i="1"/>
  <c r="N858" i="1"/>
  <c r="L860" i="1"/>
  <c r="P870" i="1"/>
  <c r="P871" i="1"/>
  <c r="N874" i="1"/>
  <c r="M875" i="1"/>
  <c r="L876" i="1"/>
  <c r="O916" i="1"/>
  <c r="K916" i="1"/>
  <c r="O915" i="1"/>
  <c r="K915" i="1"/>
  <c r="O914" i="1"/>
  <c r="K914" i="1"/>
  <c r="Q916" i="1"/>
  <c r="M916" i="1"/>
  <c r="Q915" i="1"/>
  <c r="M915" i="1"/>
  <c r="Q914" i="1"/>
  <c r="M914" i="1"/>
  <c r="P916" i="1"/>
  <c r="P915" i="1"/>
  <c r="P914" i="1"/>
  <c r="N916" i="1"/>
  <c r="N915" i="1"/>
  <c r="N914" i="1"/>
  <c r="L916" i="1"/>
  <c r="L915" i="1"/>
  <c r="L914" i="1"/>
  <c r="J1064" i="1"/>
  <c r="J1063" i="1"/>
  <c r="J1062" i="1"/>
  <c r="S1061" i="1"/>
  <c r="O1064" i="1"/>
  <c r="J624" i="1"/>
  <c r="K626" i="1"/>
  <c r="K628" i="1"/>
  <c r="M630" i="1"/>
  <c r="K632" i="1"/>
  <c r="K634" i="1"/>
  <c r="K635" i="1"/>
  <c r="K636" i="1"/>
  <c r="N646" i="1"/>
  <c r="K647" i="1"/>
  <c r="O647" i="1"/>
  <c r="L648" i="1"/>
  <c r="P648" i="1"/>
  <c r="K650" i="1"/>
  <c r="O650" i="1"/>
  <c r="K651" i="1"/>
  <c r="O651" i="1"/>
  <c r="K652" i="1"/>
  <c r="M654" i="1"/>
  <c r="Q654" i="1"/>
  <c r="L655" i="1"/>
  <c r="P655" i="1"/>
  <c r="K656" i="1"/>
  <c r="O656" i="1"/>
  <c r="S656" i="1"/>
  <c r="N686" i="1"/>
  <c r="L687" i="1"/>
  <c r="P687" i="1"/>
  <c r="N688" i="1"/>
  <c r="K698" i="1"/>
  <c r="O698" i="1"/>
  <c r="S698" i="1"/>
  <c r="N699" i="1"/>
  <c r="R699" i="1"/>
  <c r="M700" i="1"/>
  <c r="Q700" i="1"/>
  <c r="N734" i="1"/>
  <c r="K735" i="1"/>
  <c r="O735" i="1"/>
  <c r="L736" i="1"/>
  <c r="P736" i="1"/>
  <c r="F740" i="1"/>
  <c r="G740" i="1"/>
  <c r="K759" i="1"/>
  <c r="K760" i="1"/>
  <c r="K758" i="1"/>
  <c r="M768" i="1"/>
  <c r="M767" i="1"/>
  <c r="M766" i="1"/>
  <c r="K768" i="1"/>
  <c r="K767" i="1"/>
  <c r="K766" i="1"/>
  <c r="N767" i="1"/>
  <c r="O771" i="1"/>
  <c r="M816" i="1"/>
  <c r="N815" i="1"/>
  <c r="O814" i="1"/>
  <c r="K814" i="1"/>
  <c r="O816" i="1"/>
  <c r="K816" i="1"/>
  <c r="L815" i="1"/>
  <c r="M814" i="1"/>
  <c r="M815" i="1"/>
  <c r="S832" i="1"/>
  <c r="O832" i="1"/>
  <c r="K832" i="1"/>
  <c r="P831" i="1"/>
  <c r="L831" i="1"/>
  <c r="Q830" i="1"/>
  <c r="M830" i="1"/>
  <c r="Q832" i="1"/>
  <c r="M832" i="1"/>
  <c r="R831" i="1"/>
  <c r="N831" i="1"/>
  <c r="S830" i="1"/>
  <c r="O830" i="1"/>
  <c r="K830" i="1"/>
  <c r="R830" i="1"/>
  <c r="Q831" i="1"/>
  <c r="P832" i="1"/>
  <c r="J842" i="1"/>
  <c r="S841" i="1"/>
  <c r="J844" i="1"/>
  <c r="O844" i="1"/>
  <c r="K859" i="1"/>
  <c r="Q872" i="1"/>
  <c r="M872" i="1"/>
  <c r="Q871" i="1"/>
  <c r="M871" i="1"/>
  <c r="Q870" i="1"/>
  <c r="M870" i="1"/>
  <c r="O872" i="1"/>
  <c r="K872" i="1"/>
  <c r="O871" i="1"/>
  <c r="K871" i="1"/>
  <c r="O870" i="1"/>
  <c r="K870" i="1"/>
  <c r="R870" i="1"/>
  <c r="R871" i="1"/>
  <c r="R872" i="1"/>
  <c r="P874" i="1"/>
  <c r="O875" i="1"/>
  <c r="R914" i="1"/>
  <c r="L626" i="1"/>
  <c r="K631" i="1"/>
  <c r="L634" i="1"/>
  <c r="L635" i="1"/>
  <c r="L638" i="1"/>
  <c r="K639" i="1"/>
  <c r="O639" i="1"/>
  <c r="K646" i="1"/>
  <c r="O646" i="1"/>
  <c r="L647" i="1"/>
  <c r="P647" i="1"/>
  <c r="M648" i="1"/>
  <c r="N654" i="1"/>
  <c r="R654" i="1"/>
  <c r="M655" i="1"/>
  <c r="Q655" i="1"/>
  <c r="L656" i="1"/>
  <c r="L674" i="1"/>
  <c r="N678" i="1"/>
  <c r="N679" i="1"/>
  <c r="N682" i="1"/>
  <c r="M683" i="1"/>
  <c r="K686" i="1"/>
  <c r="O686" i="1"/>
  <c r="M687" i="1"/>
  <c r="K688" i="1"/>
  <c r="N694" i="1"/>
  <c r="R694" i="1"/>
  <c r="N695" i="1"/>
  <c r="R695" i="1"/>
  <c r="N696" i="1"/>
  <c r="L698" i="1"/>
  <c r="P698" i="1"/>
  <c r="K699" i="1"/>
  <c r="O699" i="1"/>
  <c r="S699" i="1"/>
  <c r="N700" i="1"/>
  <c r="L714" i="1"/>
  <c r="K719" i="1"/>
  <c r="L722" i="1"/>
  <c r="L723" i="1"/>
  <c r="L726" i="1"/>
  <c r="K727" i="1"/>
  <c r="O727" i="1"/>
  <c r="K734" i="1"/>
  <c r="O734" i="1"/>
  <c r="L735" i="1"/>
  <c r="P735" i="1"/>
  <c r="M736" i="1"/>
  <c r="L758" i="1"/>
  <c r="M764" i="1"/>
  <c r="L763" i="1"/>
  <c r="K762" i="1"/>
  <c r="K764" i="1"/>
  <c r="M762" i="1"/>
  <c r="L764" i="1"/>
  <c r="L766" i="1"/>
  <c r="L768" i="1"/>
  <c r="N770" i="1"/>
  <c r="L772" i="1"/>
  <c r="F784" i="1"/>
  <c r="K804" i="1"/>
  <c r="K802" i="1"/>
  <c r="K803" i="1"/>
  <c r="K812" i="1"/>
  <c r="K811" i="1"/>
  <c r="K810" i="1"/>
  <c r="M812" i="1"/>
  <c r="M811" i="1"/>
  <c r="M810" i="1"/>
  <c r="N811" i="1"/>
  <c r="L814" i="1"/>
  <c r="O815" i="1"/>
  <c r="L830" i="1"/>
  <c r="K831" i="1"/>
  <c r="S831" i="1"/>
  <c r="R832" i="1"/>
  <c r="O860" i="1"/>
  <c r="K860" i="1"/>
  <c r="L859" i="1"/>
  <c r="M858" i="1"/>
  <c r="M860" i="1"/>
  <c r="N859" i="1"/>
  <c r="O858" i="1"/>
  <c r="K858" i="1"/>
  <c r="M859" i="1"/>
  <c r="Q876" i="1"/>
  <c r="M876" i="1"/>
  <c r="R875" i="1"/>
  <c r="N875" i="1"/>
  <c r="S874" i="1"/>
  <c r="O874" i="1"/>
  <c r="K874" i="1"/>
  <c r="S876" i="1"/>
  <c r="O876" i="1"/>
  <c r="K876" i="1"/>
  <c r="P875" i="1"/>
  <c r="L875" i="1"/>
  <c r="Q874" i="1"/>
  <c r="M874" i="1"/>
  <c r="R874" i="1"/>
  <c r="Q875" i="1"/>
  <c r="P876" i="1"/>
  <c r="J888" i="1"/>
  <c r="J886" i="1"/>
  <c r="S885" i="1"/>
  <c r="K896" i="1"/>
  <c r="M894" i="1"/>
  <c r="M896" i="1"/>
  <c r="K895" i="1"/>
  <c r="L896" i="1"/>
  <c r="L894" i="1"/>
  <c r="M895" i="1"/>
  <c r="K894" i="1"/>
  <c r="R915" i="1"/>
  <c r="M940" i="1"/>
  <c r="L939" i="1"/>
  <c r="K938" i="1"/>
  <c r="K940" i="1"/>
  <c r="M938" i="1"/>
  <c r="M939" i="1"/>
  <c r="K939" i="1"/>
  <c r="L938" i="1"/>
  <c r="D959" i="1"/>
  <c r="G960" i="1"/>
  <c r="J976" i="1"/>
  <c r="J975" i="1"/>
  <c r="J974" i="1"/>
  <c r="S973" i="1"/>
  <c r="O976" i="1"/>
  <c r="N778" i="1"/>
  <c r="K779" i="1"/>
  <c r="O779" i="1"/>
  <c r="L780" i="1"/>
  <c r="P780" i="1"/>
  <c r="N818" i="1"/>
  <c r="L819" i="1"/>
  <c r="P819" i="1"/>
  <c r="L822" i="1"/>
  <c r="P822" i="1"/>
  <c r="M823" i="1"/>
  <c r="Q823" i="1"/>
  <c r="N824" i="1"/>
  <c r="N866" i="1"/>
  <c r="K867" i="1"/>
  <c r="O867" i="1"/>
  <c r="L868" i="1"/>
  <c r="P868" i="1"/>
  <c r="K891" i="1"/>
  <c r="M904" i="1"/>
  <c r="N903" i="1"/>
  <c r="O902" i="1"/>
  <c r="K902" i="1"/>
  <c r="O904" i="1"/>
  <c r="K904" i="1"/>
  <c r="L903" i="1"/>
  <c r="M902" i="1"/>
  <c r="M903" i="1"/>
  <c r="S920" i="1"/>
  <c r="O920" i="1"/>
  <c r="K920" i="1"/>
  <c r="P919" i="1"/>
  <c r="L919" i="1"/>
  <c r="Q918" i="1"/>
  <c r="M918" i="1"/>
  <c r="Q920" i="1"/>
  <c r="M920" i="1"/>
  <c r="R919" i="1"/>
  <c r="N919" i="1"/>
  <c r="S918" i="1"/>
  <c r="O918" i="1"/>
  <c r="K918" i="1"/>
  <c r="R918" i="1"/>
  <c r="Q919" i="1"/>
  <c r="P920" i="1"/>
  <c r="J930" i="1"/>
  <c r="S929" i="1"/>
  <c r="J932" i="1"/>
  <c r="O932" i="1"/>
  <c r="F960" i="1"/>
  <c r="Q960" i="1"/>
  <c r="M960" i="1"/>
  <c r="Q959" i="1"/>
  <c r="M959" i="1"/>
  <c r="Q958" i="1"/>
  <c r="M958" i="1"/>
  <c r="P960" i="1"/>
  <c r="L960" i="1"/>
  <c r="P959" i="1"/>
  <c r="L959" i="1"/>
  <c r="P958" i="1"/>
  <c r="L958" i="1"/>
  <c r="O960" i="1"/>
  <c r="K960" i="1"/>
  <c r="O959" i="1"/>
  <c r="K959" i="1"/>
  <c r="O958" i="1"/>
  <c r="K958" i="1"/>
  <c r="R959" i="1"/>
  <c r="R1006" i="1"/>
  <c r="K1024" i="1"/>
  <c r="K1022" i="1"/>
  <c r="L1023" i="1"/>
  <c r="K1023" i="1"/>
  <c r="L1022" i="1"/>
  <c r="L891" i="1"/>
  <c r="K900" i="1"/>
  <c r="K899" i="1"/>
  <c r="K898" i="1"/>
  <c r="M900" i="1"/>
  <c r="M899" i="1"/>
  <c r="M898" i="1"/>
  <c r="N899" i="1"/>
  <c r="F1048" i="1"/>
  <c r="D1047" i="1"/>
  <c r="G1048" i="1"/>
  <c r="N774" i="1"/>
  <c r="L775" i="1"/>
  <c r="P775" i="1"/>
  <c r="L778" i="1"/>
  <c r="P778" i="1"/>
  <c r="M779" i="1"/>
  <c r="Q779" i="1"/>
  <c r="N822" i="1"/>
  <c r="K823" i="1"/>
  <c r="O823" i="1"/>
  <c r="L824" i="1"/>
  <c r="N862" i="1"/>
  <c r="L863" i="1"/>
  <c r="P863" i="1"/>
  <c r="L866" i="1"/>
  <c r="P866" i="1"/>
  <c r="M867" i="1"/>
  <c r="Q867" i="1"/>
  <c r="K890" i="1"/>
  <c r="L898" i="1"/>
  <c r="L900" i="1"/>
  <c r="N902" i="1"/>
  <c r="L904" i="1"/>
  <c r="F916" i="1"/>
  <c r="K935" i="1"/>
  <c r="K936" i="1"/>
  <c r="K934" i="1"/>
  <c r="M944" i="1"/>
  <c r="M943" i="1"/>
  <c r="M942" i="1"/>
  <c r="L944" i="1"/>
  <c r="L943" i="1"/>
  <c r="L942" i="1"/>
  <c r="K944" i="1"/>
  <c r="K943" i="1"/>
  <c r="K942" i="1"/>
  <c r="O948" i="1"/>
  <c r="K948" i="1"/>
  <c r="L947" i="1"/>
  <c r="M946" i="1"/>
  <c r="N948" i="1"/>
  <c r="O947" i="1"/>
  <c r="K947" i="1"/>
  <c r="L946" i="1"/>
  <c r="M948" i="1"/>
  <c r="N947" i="1"/>
  <c r="O946" i="1"/>
  <c r="K946" i="1"/>
  <c r="K984" i="1"/>
  <c r="M982" i="1"/>
  <c r="M983" i="1"/>
  <c r="L982" i="1"/>
  <c r="M984" i="1"/>
  <c r="L983" i="1"/>
  <c r="K982" i="1"/>
  <c r="S1008" i="1"/>
  <c r="O1008" i="1"/>
  <c r="K1008" i="1"/>
  <c r="P1007" i="1"/>
  <c r="L1007" i="1"/>
  <c r="Q1006" i="1"/>
  <c r="M1006" i="1"/>
  <c r="R1008" i="1"/>
  <c r="N1008" i="1"/>
  <c r="S1007" i="1"/>
  <c r="O1007" i="1"/>
  <c r="K1007" i="1"/>
  <c r="P1006" i="1"/>
  <c r="L1006" i="1"/>
  <c r="Q1008" i="1"/>
  <c r="M1008" i="1"/>
  <c r="R1007" i="1"/>
  <c r="N1007" i="1"/>
  <c r="S1006" i="1"/>
  <c r="O1006" i="1"/>
  <c r="K1006" i="1"/>
  <c r="Q1007" i="1"/>
  <c r="N906" i="1"/>
  <c r="L907" i="1"/>
  <c r="P907" i="1"/>
  <c r="L910" i="1"/>
  <c r="P910" i="1"/>
  <c r="M911" i="1"/>
  <c r="Q911" i="1"/>
  <c r="N912" i="1"/>
  <c r="N954" i="1"/>
  <c r="K955" i="1"/>
  <c r="O955" i="1"/>
  <c r="L956" i="1"/>
  <c r="P956" i="1"/>
  <c r="M962" i="1"/>
  <c r="Q962" i="1"/>
  <c r="L963" i="1"/>
  <c r="P963" i="1"/>
  <c r="K964" i="1"/>
  <c r="O964" i="1"/>
  <c r="S964" i="1"/>
  <c r="K979" i="1"/>
  <c r="M986" i="1"/>
  <c r="M987" i="1"/>
  <c r="M988" i="1"/>
  <c r="M990" i="1"/>
  <c r="L991" i="1"/>
  <c r="K992" i="1"/>
  <c r="O992" i="1"/>
  <c r="N994" i="1"/>
  <c r="L995" i="1"/>
  <c r="P995" i="1"/>
  <c r="L998" i="1"/>
  <c r="P998" i="1"/>
  <c r="M999" i="1"/>
  <c r="Q999" i="1"/>
  <c r="N1000" i="1"/>
  <c r="M1002" i="1"/>
  <c r="Q1002" i="1"/>
  <c r="M1003" i="1"/>
  <c r="Q1003" i="1"/>
  <c r="M1004" i="1"/>
  <c r="Q1004" i="1"/>
  <c r="K1027" i="1"/>
  <c r="K1032" i="1"/>
  <c r="K1031" i="1"/>
  <c r="K1030" i="1"/>
  <c r="L1031" i="1"/>
  <c r="M1032" i="1"/>
  <c r="N1034" i="1"/>
  <c r="O1035" i="1"/>
  <c r="P1046" i="1"/>
  <c r="P1047" i="1"/>
  <c r="N962" i="1"/>
  <c r="R962" i="1"/>
  <c r="M963" i="1"/>
  <c r="Q963" i="1"/>
  <c r="L964" i="1"/>
  <c r="P964" i="1"/>
  <c r="L979" i="1"/>
  <c r="N986" i="1"/>
  <c r="N987" i="1"/>
  <c r="N988" i="1"/>
  <c r="N990" i="1"/>
  <c r="M991" i="1"/>
  <c r="L992" i="1"/>
  <c r="N1002" i="1"/>
  <c r="R1002" i="1"/>
  <c r="N1003" i="1"/>
  <c r="R1003" i="1"/>
  <c r="N1004" i="1"/>
  <c r="R1004" i="1"/>
  <c r="J1019" i="1"/>
  <c r="K1028" i="1"/>
  <c r="M1026" i="1"/>
  <c r="L1027" i="1"/>
  <c r="M1036" i="1"/>
  <c r="N1035" i="1"/>
  <c r="O1034" i="1"/>
  <c r="K1034" i="1"/>
  <c r="K1035" i="1"/>
  <c r="K1036" i="1"/>
  <c r="Q1048" i="1"/>
  <c r="M1048" i="1"/>
  <c r="Q1047" i="1"/>
  <c r="M1047" i="1"/>
  <c r="Q1046" i="1"/>
  <c r="M1046" i="1"/>
  <c r="O1048" i="1"/>
  <c r="K1048" i="1"/>
  <c r="O1047" i="1"/>
  <c r="K1047" i="1"/>
  <c r="O1046" i="1"/>
  <c r="K1046" i="1"/>
  <c r="R1046" i="1"/>
  <c r="R1047" i="1"/>
  <c r="R1048" i="1"/>
  <c r="G1092" i="1"/>
  <c r="N910" i="1"/>
  <c r="K911" i="1"/>
  <c r="O911" i="1"/>
  <c r="L912" i="1"/>
  <c r="N950" i="1"/>
  <c r="L951" i="1"/>
  <c r="P951" i="1"/>
  <c r="L954" i="1"/>
  <c r="P954" i="1"/>
  <c r="M955" i="1"/>
  <c r="Q955" i="1"/>
  <c r="K962" i="1"/>
  <c r="O962" i="1"/>
  <c r="S962" i="1"/>
  <c r="N963" i="1"/>
  <c r="R963" i="1"/>
  <c r="M964" i="1"/>
  <c r="K978" i="1"/>
  <c r="K986" i="1"/>
  <c r="K987" i="1"/>
  <c r="K990" i="1"/>
  <c r="O990" i="1"/>
  <c r="N991" i="1"/>
  <c r="N998" i="1"/>
  <c r="K999" i="1"/>
  <c r="O999" i="1"/>
  <c r="L1000" i="1"/>
  <c r="K1002" i="1"/>
  <c r="O1002" i="1"/>
  <c r="K1003" i="1"/>
  <c r="O1003" i="1"/>
  <c r="K1004" i="1"/>
  <c r="S1017" i="1"/>
  <c r="J1018" i="1"/>
  <c r="K1026" i="1"/>
  <c r="M1027" i="1"/>
  <c r="L1034" i="1"/>
  <c r="L1035" i="1"/>
  <c r="L1036" i="1"/>
  <c r="L1046" i="1"/>
  <c r="L1047" i="1"/>
  <c r="L1048" i="1"/>
  <c r="K1072" i="1"/>
  <c r="M1070" i="1"/>
  <c r="M1071" i="1"/>
  <c r="L1070" i="1"/>
  <c r="M1072" i="1"/>
  <c r="L1071" i="1"/>
  <c r="K1070" i="1"/>
  <c r="K4064" i="1"/>
  <c r="M4062" i="1"/>
  <c r="M4064" i="1"/>
  <c r="L4063" i="1"/>
  <c r="K4062" i="1"/>
  <c r="M4063" i="1"/>
  <c r="K4063" i="1"/>
  <c r="L4062" i="1"/>
  <c r="L4064" i="1"/>
  <c r="L1038" i="1"/>
  <c r="P1038" i="1"/>
  <c r="N1039" i="1"/>
  <c r="L1040" i="1"/>
  <c r="P1040" i="1"/>
  <c r="N1042" i="1"/>
  <c r="K1043" i="1"/>
  <c r="O1043" i="1"/>
  <c r="L1044" i="1"/>
  <c r="M1050" i="1"/>
  <c r="Q1050" i="1"/>
  <c r="L1051" i="1"/>
  <c r="P1051" i="1"/>
  <c r="K1052" i="1"/>
  <c r="O1052" i="1"/>
  <c r="S1052" i="1"/>
  <c r="K1067" i="1"/>
  <c r="M1074" i="1"/>
  <c r="M1075" i="1"/>
  <c r="M1076" i="1"/>
  <c r="M1078" i="1"/>
  <c r="L1079" i="1"/>
  <c r="K1080" i="1"/>
  <c r="O1080" i="1"/>
  <c r="N1082" i="1"/>
  <c r="L1083" i="1"/>
  <c r="P1083" i="1"/>
  <c r="L1086" i="1"/>
  <c r="P1086" i="1"/>
  <c r="M1087" i="1"/>
  <c r="Q1087" i="1"/>
  <c r="N1088" i="1"/>
  <c r="M1090" i="1"/>
  <c r="R1090" i="1"/>
  <c r="P1091" i="1"/>
  <c r="N1094" i="1"/>
  <c r="M1095" i="1"/>
  <c r="L1096" i="1"/>
  <c r="G1180" i="1"/>
  <c r="D1178" i="1"/>
  <c r="F1180" i="1"/>
  <c r="P1220" i="1"/>
  <c r="L1220" i="1"/>
  <c r="O1219" i="1"/>
  <c r="K1219" i="1"/>
  <c r="N1218" i="1"/>
  <c r="O1220" i="1"/>
  <c r="Q1219" i="1"/>
  <c r="L1219" i="1"/>
  <c r="M1218" i="1"/>
  <c r="N1220" i="1"/>
  <c r="P1219" i="1"/>
  <c r="Q1218" i="1"/>
  <c r="L1218" i="1"/>
  <c r="M1220" i="1"/>
  <c r="N1219" i="1"/>
  <c r="P1218" i="1"/>
  <c r="K1218" i="1"/>
  <c r="K1220" i="1"/>
  <c r="M1219" i="1"/>
  <c r="O1218" i="1"/>
  <c r="N1050" i="1"/>
  <c r="R1050" i="1"/>
  <c r="M1051" i="1"/>
  <c r="Q1051" i="1"/>
  <c r="L1052" i="1"/>
  <c r="P1052" i="1"/>
  <c r="L1067" i="1"/>
  <c r="N1074" i="1"/>
  <c r="N1075" i="1"/>
  <c r="N1076" i="1"/>
  <c r="N1078" i="1"/>
  <c r="M1079" i="1"/>
  <c r="L1080" i="1"/>
  <c r="M1086" i="1"/>
  <c r="Q1086" i="1"/>
  <c r="N1087" i="1"/>
  <c r="K1088" i="1"/>
  <c r="O1088" i="1"/>
  <c r="Q1092" i="1"/>
  <c r="M1092" i="1"/>
  <c r="Q1091" i="1"/>
  <c r="O1092" i="1"/>
  <c r="K1092" i="1"/>
  <c r="O1091" i="1"/>
  <c r="K1091" i="1"/>
  <c r="O1090" i="1"/>
  <c r="N1090" i="1"/>
  <c r="L1091" i="1"/>
  <c r="R1091" i="1"/>
  <c r="R1092" i="1"/>
  <c r="P1094" i="1"/>
  <c r="O1095" i="1"/>
  <c r="K1116" i="1"/>
  <c r="M1114" i="1"/>
  <c r="M1115" i="1"/>
  <c r="L1114" i="1"/>
  <c r="M1116" i="1"/>
  <c r="L1115" i="1"/>
  <c r="K1114" i="1"/>
  <c r="M1164" i="1"/>
  <c r="M1163" i="1"/>
  <c r="M1162" i="1"/>
  <c r="L1164" i="1"/>
  <c r="L1163" i="1"/>
  <c r="L1162" i="1"/>
  <c r="K1164" i="1"/>
  <c r="K1163" i="1"/>
  <c r="K1162" i="1"/>
  <c r="O1168" i="1"/>
  <c r="K1168" i="1"/>
  <c r="L1167" i="1"/>
  <c r="M1166" i="1"/>
  <c r="N1168" i="1"/>
  <c r="O1167" i="1"/>
  <c r="K1167" i="1"/>
  <c r="L1166" i="1"/>
  <c r="M1168" i="1"/>
  <c r="N1167" i="1"/>
  <c r="O1166" i="1"/>
  <c r="K1166" i="1"/>
  <c r="Q1220" i="1"/>
  <c r="N1038" i="1"/>
  <c r="L1039" i="1"/>
  <c r="P1039" i="1"/>
  <c r="K1050" i="1"/>
  <c r="O1050" i="1"/>
  <c r="S1050" i="1"/>
  <c r="N1051" i="1"/>
  <c r="R1051" i="1"/>
  <c r="M1052" i="1"/>
  <c r="K1066" i="1"/>
  <c r="K1074" i="1"/>
  <c r="K1075" i="1"/>
  <c r="K1078" i="1"/>
  <c r="O1078" i="1"/>
  <c r="N1079" i="1"/>
  <c r="N1086" i="1"/>
  <c r="K1087" i="1"/>
  <c r="O1087" i="1"/>
  <c r="L1088" i="1"/>
  <c r="F1092" i="1"/>
  <c r="K1090" i="1"/>
  <c r="P1090" i="1"/>
  <c r="M1091" i="1"/>
  <c r="L1092" i="1"/>
  <c r="Q1096" i="1"/>
  <c r="M1096" i="1"/>
  <c r="R1095" i="1"/>
  <c r="N1095" i="1"/>
  <c r="S1094" i="1"/>
  <c r="O1094" i="1"/>
  <c r="K1094" i="1"/>
  <c r="S1096" i="1"/>
  <c r="O1096" i="1"/>
  <c r="K1096" i="1"/>
  <c r="P1095" i="1"/>
  <c r="L1095" i="1"/>
  <c r="Q1094" i="1"/>
  <c r="M1094" i="1"/>
  <c r="R1094" i="1"/>
  <c r="Q1095" i="1"/>
  <c r="P1096" i="1"/>
  <c r="J1108" i="1"/>
  <c r="J1106" i="1"/>
  <c r="S1105" i="1"/>
  <c r="O1108" i="1"/>
  <c r="K1115" i="1"/>
  <c r="S1140" i="1"/>
  <c r="O1140" i="1"/>
  <c r="K1140" i="1"/>
  <c r="P1139" i="1"/>
  <c r="L1139" i="1"/>
  <c r="Q1138" i="1"/>
  <c r="M1138" i="1"/>
  <c r="R1140" i="1"/>
  <c r="N1140" i="1"/>
  <c r="S1139" i="1"/>
  <c r="O1139" i="1"/>
  <c r="K1139" i="1"/>
  <c r="P1138" i="1"/>
  <c r="L1138" i="1"/>
  <c r="Q1140" i="1"/>
  <c r="M1140" i="1"/>
  <c r="R1139" i="1"/>
  <c r="N1139" i="1"/>
  <c r="S1138" i="1"/>
  <c r="O1138" i="1"/>
  <c r="K1138" i="1"/>
  <c r="Q1139" i="1"/>
  <c r="K1155" i="1"/>
  <c r="L1156" i="1"/>
  <c r="L1154" i="1"/>
  <c r="K1156" i="1"/>
  <c r="K1154" i="1"/>
  <c r="N1162" i="1"/>
  <c r="N1166" i="1"/>
  <c r="K1111" i="1"/>
  <c r="M1118" i="1"/>
  <c r="M1119" i="1"/>
  <c r="M1120" i="1"/>
  <c r="M1122" i="1"/>
  <c r="L1123" i="1"/>
  <c r="K1124" i="1"/>
  <c r="O1124" i="1"/>
  <c r="N1126" i="1"/>
  <c r="L1127" i="1"/>
  <c r="P1127" i="1"/>
  <c r="L1130" i="1"/>
  <c r="P1130" i="1"/>
  <c r="M1131" i="1"/>
  <c r="Q1131" i="1"/>
  <c r="N1132" i="1"/>
  <c r="M1134" i="1"/>
  <c r="Q1134" i="1"/>
  <c r="M1135" i="1"/>
  <c r="Q1135" i="1"/>
  <c r="M1136" i="1"/>
  <c r="Q1136" i="1"/>
  <c r="F1136" i="1"/>
  <c r="J1152" i="1"/>
  <c r="M1158" i="1"/>
  <c r="K1160" i="1"/>
  <c r="N1174" i="1"/>
  <c r="K1175" i="1"/>
  <c r="O1175" i="1"/>
  <c r="L1176" i="1"/>
  <c r="P1176" i="1"/>
  <c r="L1111" i="1"/>
  <c r="N1118" i="1"/>
  <c r="N1119" i="1"/>
  <c r="N1120" i="1"/>
  <c r="N1122" i="1"/>
  <c r="M1123" i="1"/>
  <c r="L1124" i="1"/>
  <c r="N1134" i="1"/>
  <c r="R1134" i="1"/>
  <c r="N1135" i="1"/>
  <c r="R1135" i="1"/>
  <c r="N1136" i="1"/>
  <c r="R1136" i="1"/>
  <c r="O1152" i="1"/>
  <c r="K1159" i="1"/>
  <c r="M1170" i="1"/>
  <c r="K1171" i="1"/>
  <c r="O1171" i="1"/>
  <c r="M1172" i="1"/>
  <c r="K1174" i="1"/>
  <c r="O1174" i="1"/>
  <c r="L1175" i="1"/>
  <c r="P1175" i="1"/>
  <c r="M1176" i="1"/>
  <c r="Q1176" i="1"/>
  <c r="J4056" i="1"/>
  <c r="J4054" i="1"/>
  <c r="S4053" i="1"/>
  <c r="J4055" i="1"/>
  <c r="O4056" i="1"/>
  <c r="K1110" i="1"/>
  <c r="K1118" i="1"/>
  <c r="K1119" i="1"/>
  <c r="K1122" i="1"/>
  <c r="O1122" i="1"/>
  <c r="N1123" i="1"/>
  <c r="N1130" i="1"/>
  <c r="K1131" i="1"/>
  <c r="O1131" i="1"/>
  <c r="L1132" i="1"/>
  <c r="K1134" i="1"/>
  <c r="O1134" i="1"/>
  <c r="K1135" i="1"/>
  <c r="O1135" i="1"/>
  <c r="K1136" i="1"/>
  <c r="S1149" i="1"/>
  <c r="N1170" i="1"/>
  <c r="L1171" i="1"/>
  <c r="P1171" i="1"/>
  <c r="L1174" i="1"/>
  <c r="P1174" i="1"/>
  <c r="M1175" i="1"/>
  <c r="Q1175" i="1"/>
  <c r="N1178" i="1"/>
  <c r="R1178" i="1"/>
  <c r="N1179" i="1"/>
  <c r="R1179" i="1"/>
  <c r="N1180" i="1"/>
  <c r="R1180" i="1"/>
  <c r="L1182" i="1"/>
  <c r="P1182" i="1"/>
  <c r="K1183" i="1"/>
  <c r="O1183" i="1"/>
  <c r="S1183" i="1"/>
  <c r="N1184" i="1"/>
  <c r="R1184" i="1"/>
  <c r="O1196" i="1"/>
  <c r="K1203" i="1"/>
  <c r="L1204" i="1"/>
  <c r="M1214" i="1"/>
  <c r="K1215" i="1"/>
  <c r="O1215" i="1"/>
  <c r="M1216" i="1"/>
  <c r="N1222" i="1"/>
  <c r="L1223" i="1"/>
  <c r="Q1223" i="1"/>
  <c r="S1228" i="1"/>
  <c r="O1228" i="1"/>
  <c r="K1228" i="1"/>
  <c r="P1227" i="1"/>
  <c r="L1227" i="1"/>
  <c r="Q1226" i="1"/>
  <c r="M1226" i="1"/>
  <c r="O1226" i="1"/>
  <c r="K1227" i="1"/>
  <c r="Q1227" i="1"/>
  <c r="M1228" i="1"/>
  <c r="R1228" i="1"/>
  <c r="K4071" i="1"/>
  <c r="O4084" i="1"/>
  <c r="K4084" i="1"/>
  <c r="O4083" i="1"/>
  <c r="K4083" i="1"/>
  <c r="O4082" i="1"/>
  <c r="K4082" i="1"/>
  <c r="Q4084" i="1"/>
  <c r="M4084" i="1"/>
  <c r="Q4083" i="1"/>
  <c r="M4083" i="1"/>
  <c r="Q4082" i="1"/>
  <c r="M4082" i="1"/>
  <c r="R4082" i="1"/>
  <c r="R4083" i="1"/>
  <c r="R4084" i="1"/>
  <c r="P4086" i="1"/>
  <c r="O4087" i="1"/>
  <c r="M4384" i="1"/>
  <c r="O4383" i="1"/>
  <c r="K4383" i="1"/>
  <c r="M4382" i="1"/>
  <c r="O4384" i="1"/>
  <c r="K4384" i="1"/>
  <c r="M4383" i="1"/>
  <c r="O4382" i="1"/>
  <c r="K4382" i="1"/>
  <c r="L4384" i="1"/>
  <c r="P4382" i="1"/>
  <c r="P4383" i="1"/>
  <c r="N4382" i="1"/>
  <c r="P4384" i="1"/>
  <c r="N4383" i="1"/>
  <c r="L4382" i="1"/>
  <c r="N1214" i="1"/>
  <c r="L1215" i="1"/>
  <c r="P1215" i="1"/>
  <c r="N1216" i="1"/>
  <c r="O1224" i="1"/>
  <c r="K1224" i="1"/>
  <c r="O1223" i="1"/>
  <c r="K1223" i="1"/>
  <c r="O1222" i="1"/>
  <c r="K1222" i="1"/>
  <c r="P1222" i="1"/>
  <c r="M1223" i="1"/>
  <c r="R1223" i="1"/>
  <c r="P1224" i="1"/>
  <c r="D1224" i="1"/>
  <c r="K1226" i="1"/>
  <c r="P1226" i="1"/>
  <c r="M1227" i="1"/>
  <c r="R1227" i="1"/>
  <c r="N1228" i="1"/>
  <c r="M4072" i="1"/>
  <c r="N4071" i="1"/>
  <c r="O4070" i="1"/>
  <c r="K4070" i="1"/>
  <c r="O4072" i="1"/>
  <c r="K4072" i="1"/>
  <c r="L4071" i="1"/>
  <c r="M4070" i="1"/>
  <c r="M4071" i="1"/>
  <c r="L4082" i="1"/>
  <c r="L4083" i="1"/>
  <c r="L4084" i="1"/>
  <c r="P4088" i="1"/>
  <c r="L4088" i="1"/>
  <c r="Q4088" i="1"/>
  <c r="K4088" i="1"/>
  <c r="P4087" i="1"/>
  <c r="L4087" i="1"/>
  <c r="Q4086" i="1"/>
  <c r="M4086" i="1"/>
  <c r="S4088" i="1"/>
  <c r="N4088" i="1"/>
  <c r="R4087" i="1"/>
  <c r="N4087" i="1"/>
  <c r="S4086" i="1"/>
  <c r="O4086" i="1"/>
  <c r="K4086" i="1"/>
  <c r="R4086" i="1"/>
  <c r="Q4087" i="1"/>
  <c r="R4088" i="1"/>
  <c r="L4383" i="1"/>
  <c r="L1178" i="1"/>
  <c r="P1178" i="1"/>
  <c r="L1179" i="1"/>
  <c r="P1179" i="1"/>
  <c r="L1180" i="1"/>
  <c r="N1182" i="1"/>
  <c r="R1182" i="1"/>
  <c r="M1183" i="1"/>
  <c r="Q1183" i="1"/>
  <c r="L1184" i="1"/>
  <c r="L1202" i="1"/>
  <c r="N1206" i="1"/>
  <c r="N1207" i="1"/>
  <c r="N1210" i="1"/>
  <c r="M1211" i="1"/>
  <c r="K1214" i="1"/>
  <c r="O1214" i="1"/>
  <c r="M1215" i="1"/>
  <c r="K1216" i="1"/>
  <c r="L1222" i="1"/>
  <c r="Q1222" i="1"/>
  <c r="N1223" i="1"/>
  <c r="L1224" i="1"/>
  <c r="Q1224" i="1"/>
  <c r="L1226" i="1"/>
  <c r="R1226" i="1"/>
  <c r="N1227" i="1"/>
  <c r="S1227" i="1"/>
  <c r="P1228" i="1"/>
  <c r="K4060" i="1"/>
  <c r="K4058" i="1"/>
  <c r="K4059" i="1"/>
  <c r="K4068" i="1"/>
  <c r="K4067" i="1"/>
  <c r="K4066" i="1"/>
  <c r="M4068" i="1"/>
  <c r="M4067" i="1"/>
  <c r="M4066" i="1"/>
  <c r="N4067" i="1"/>
  <c r="L4070" i="1"/>
  <c r="O4071" i="1"/>
  <c r="N4082" i="1"/>
  <c r="N4083" i="1"/>
  <c r="N4084" i="1"/>
  <c r="L4086" i="1"/>
  <c r="K4087" i="1"/>
  <c r="S4087" i="1"/>
  <c r="N4384" i="1"/>
  <c r="N4074" i="1"/>
  <c r="L4075" i="1"/>
  <c r="P4075" i="1"/>
  <c r="L4078" i="1"/>
  <c r="P4078" i="1"/>
  <c r="M4079" i="1"/>
  <c r="Q4079" i="1"/>
  <c r="N4080" i="1"/>
  <c r="P4386" i="1"/>
  <c r="Q4388" i="1"/>
  <c r="M4388" i="1"/>
  <c r="P4387" i="1"/>
  <c r="L4387" i="1"/>
  <c r="O4386" i="1"/>
  <c r="K4386" i="1"/>
  <c r="O4388" i="1"/>
  <c r="K4388" i="1"/>
  <c r="N4387" i="1"/>
  <c r="Q4386" i="1"/>
  <c r="M4386" i="1"/>
  <c r="K4387" i="1"/>
  <c r="L4388" i="1"/>
  <c r="G4392" i="1"/>
  <c r="N4078" i="1"/>
  <c r="K4079" i="1"/>
  <c r="O4079" i="1"/>
  <c r="L4080" i="1"/>
  <c r="L4386" i="1"/>
  <c r="M4387" i="1"/>
  <c r="N4388" i="1"/>
  <c r="J4363" i="1"/>
  <c r="L4367" i="1"/>
  <c r="L4370" i="1"/>
  <c r="M4371" i="1"/>
  <c r="N4374" i="1"/>
  <c r="N4375" i="1"/>
  <c r="N4378" i="1"/>
  <c r="M4379" i="1"/>
  <c r="N4390" i="1"/>
  <c r="R4390" i="1"/>
  <c r="N4391" i="1"/>
  <c r="R4391" i="1"/>
  <c r="N4392" i="1"/>
  <c r="L4394" i="1"/>
  <c r="P4394" i="1"/>
  <c r="K4395" i="1"/>
  <c r="O4395" i="1"/>
  <c r="S4395" i="1"/>
  <c r="N4396" i="1"/>
  <c r="R4396" i="1"/>
  <c r="L4366" i="1"/>
  <c r="K4371" i="1"/>
  <c r="N4394" i="1"/>
  <c r="R4394" i="1"/>
  <c r="M4395" i="1"/>
  <c r="Q4395" i="1"/>
  <c r="L4396" i="1"/>
  <c r="E3466" i="1" l="1"/>
  <c r="E3422" i="1"/>
  <c r="E3378" i="1"/>
  <c r="S1195" i="1"/>
  <c r="R1502" i="1"/>
  <c r="E1442" i="1"/>
  <c r="S4364" i="1"/>
  <c r="K3217" i="1"/>
  <c r="L3219" i="1"/>
  <c r="L3218" i="1"/>
  <c r="K3701" i="1"/>
  <c r="L3703" i="1"/>
  <c r="L3702" i="1"/>
  <c r="L2734" i="1"/>
  <c r="L2735" i="1"/>
  <c r="K2733" i="1"/>
  <c r="S1020" i="1"/>
  <c r="K4319" i="1"/>
  <c r="K4318" i="1"/>
  <c r="L3834" i="1"/>
  <c r="K3833" i="1"/>
  <c r="L3835" i="1"/>
  <c r="L3482" i="1"/>
  <c r="L3483" i="1"/>
  <c r="K3481" i="1"/>
  <c r="K3569" i="1"/>
  <c r="L3570" i="1"/>
  <c r="L3571" i="1"/>
  <c r="L3658" i="1"/>
  <c r="K3657" i="1"/>
  <c r="L3659" i="1"/>
  <c r="K3615" i="1"/>
  <c r="K3614" i="1"/>
  <c r="L3878" i="1"/>
  <c r="L3879" i="1"/>
  <c r="K3877" i="1"/>
  <c r="L3746" i="1"/>
  <c r="K3745" i="1"/>
  <c r="L3747" i="1"/>
  <c r="K3791" i="1"/>
  <c r="K3790" i="1"/>
  <c r="E1310" i="1"/>
  <c r="K2381" i="1"/>
  <c r="L2383" i="1"/>
  <c r="L2382" i="1"/>
  <c r="L2118" i="1"/>
  <c r="K2117" i="1"/>
  <c r="L2119" i="1"/>
  <c r="K2513" i="1"/>
  <c r="L2514" i="1"/>
  <c r="L2515" i="1"/>
  <c r="K2645" i="1"/>
  <c r="L2647" i="1"/>
  <c r="L2646" i="1"/>
  <c r="K2602" i="1"/>
  <c r="K2603" i="1"/>
  <c r="L2338" i="1"/>
  <c r="K2337" i="1"/>
  <c r="L2339" i="1"/>
  <c r="K2427" i="1"/>
  <c r="K2426" i="1"/>
  <c r="K1810" i="1"/>
  <c r="K1811" i="1"/>
  <c r="K2030" i="1"/>
  <c r="K2031" i="1"/>
  <c r="L2470" i="1"/>
  <c r="L2471" i="1"/>
  <c r="K2469" i="1"/>
  <c r="K1633" i="1"/>
  <c r="L1634" i="1"/>
  <c r="L1635" i="1"/>
  <c r="K1987" i="1"/>
  <c r="K1986" i="1"/>
  <c r="K1722" i="1"/>
  <c r="K1723" i="1"/>
  <c r="K1899" i="1"/>
  <c r="K1898" i="1"/>
  <c r="L2250" i="1"/>
  <c r="K2249" i="1"/>
  <c r="L2251" i="1"/>
  <c r="K2205" i="1"/>
  <c r="L2207" i="1"/>
  <c r="L2206" i="1"/>
  <c r="K2293" i="1"/>
  <c r="L2295" i="1"/>
  <c r="L2294" i="1"/>
  <c r="L2074" i="1"/>
  <c r="L2075" i="1"/>
  <c r="K2073" i="1"/>
  <c r="L2691" i="1"/>
  <c r="L2690" i="1"/>
  <c r="K2689" i="1"/>
  <c r="K2559" i="1"/>
  <c r="K2558" i="1"/>
  <c r="K1942" i="1"/>
  <c r="K1943" i="1"/>
  <c r="K2865" i="1"/>
  <c r="L2866" i="1"/>
  <c r="L2867" i="1"/>
  <c r="K3087" i="1"/>
  <c r="K3086" i="1"/>
  <c r="L2955" i="1"/>
  <c r="K2953" i="1"/>
  <c r="L2954" i="1"/>
  <c r="K2823" i="1"/>
  <c r="K2822" i="1"/>
  <c r="L3306" i="1"/>
  <c r="L3307" i="1"/>
  <c r="K3305" i="1"/>
  <c r="L2778" i="1"/>
  <c r="K2777" i="1"/>
  <c r="L2779" i="1"/>
  <c r="K3041" i="1"/>
  <c r="L3043" i="1"/>
  <c r="L3042" i="1"/>
  <c r="K3263" i="1"/>
  <c r="K3262" i="1"/>
  <c r="L2999" i="1"/>
  <c r="L2998" i="1"/>
  <c r="K2997" i="1"/>
  <c r="K2911" i="1"/>
  <c r="K2910" i="1"/>
  <c r="K3173" i="1"/>
  <c r="L3175" i="1"/>
  <c r="L3174" i="1"/>
  <c r="Q1020" i="1"/>
  <c r="S623" i="1"/>
  <c r="Q580" i="1"/>
  <c r="F4390" i="1"/>
  <c r="R1503" i="1"/>
  <c r="E828" i="1"/>
  <c r="G4390" i="1"/>
  <c r="S1194" i="1"/>
  <c r="E1266" i="1"/>
  <c r="Q1196" i="1"/>
  <c r="S1196" i="1"/>
  <c r="S622" i="1"/>
  <c r="S4362" i="1"/>
  <c r="E1398" i="1"/>
  <c r="R4361" i="1"/>
  <c r="R4363" i="1" s="1"/>
  <c r="Q1458" i="1"/>
  <c r="Q1459" i="1"/>
  <c r="E1486" i="1"/>
  <c r="E1354" i="1"/>
  <c r="S668" i="1"/>
  <c r="R4011" i="1"/>
  <c r="Q4009" i="1"/>
  <c r="R4010" i="1"/>
  <c r="P1237" i="1"/>
  <c r="Q1239" i="1"/>
  <c r="Q1238" i="1"/>
  <c r="Q3921" i="1"/>
  <c r="R3923" i="1"/>
  <c r="R3922" i="1"/>
  <c r="Q3965" i="1"/>
  <c r="R3967" i="1"/>
  <c r="R3966" i="1"/>
  <c r="Q3437" i="1"/>
  <c r="R3439" i="1"/>
  <c r="R3438" i="1"/>
  <c r="R1590" i="1"/>
  <c r="Q1589" i="1"/>
  <c r="R1591" i="1"/>
  <c r="R3394" i="1"/>
  <c r="Q3393" i="1"/>
  <c r="R3395" i="1"/>
  <c r="Q1502" i="1"/>
  <c r="P1501" i="1"/>
  <c r="Q1503" i="1"/>
  <c r="Q3349" i="1"/>
  <c r="R3351" i="1"/>
  <c r="R3350" i="1"/>
  <c r="R1547" i="1"/>
  <c r="R1546" i="1"/>
  <c r="Q1545" i="1"/>
  <c r="Q1282" i="1"/>
  <c r="P1281" i="1"/>
  <c r="Q1283" i="1"/>
  <c r="Q1369" i="1"/>
  <c r="R1371" i="1"/>
  <c r="R1370" i="1"/>
  <c r="R1326" i="1"/>
  <c r="Q1325" i="1"/>
  <c r="R1327" i="1"/>
  <c r="O1457" i="1"/>
  <c r="P1459" i="1"/>
  <c r="P1458" i="1"/>
  <c r="Q1413" i="1"/>
  <c r="R1415" i="1"/>
  <c r="R1414" i="1"/>
  <c r="Q4098" i="1"/>
  <c r="P4097" i="1"/>
  <c r="Q4099" i="1"/>
  <c r="Q4142" i="1"/>
  <c r="Q4143" i="1"/>
  <c r="P4141" i="1"/>
  <c r="E784" i="1"/>
  <c r="Q4186" i="1"/>
  <c r="P4185" i="1"/>
  <c r="Q4187" i="1"/>
  <c r="G650" i="1"/>
  <c r="P4229" i="1"/>
  <c r="Q4231" i="1"/>
  <c r="Q4230" i="1"/>
  <c r="F738" i="1"/>
  <c r="F782" i="1"/>
  <c r="F650" i="1"/>
  <c r="F4082" i="1"/>
  <c r="Q4274" i="1"/>
  <c r="P4273" i="1"/>
  <c r="Q4275" i="1"/>
  <c r="E1136" i="1"/>
  <c r="E916" i="1"/>
  <c r="G958" i="1"/>
  <c r="F870" i="1"/>
  <c r="G4082" i="1"/>
  <c r="E1092" i="1"/>
  <c r="E1224" i="1"/>
  <c r="F1134" i="1"/>
  <c r="G1222" i="1"/>
  <c r="E1180" i="1"/>
  <c r="G1134" i="1"/>
  <c r="G1090" i="1"/>
  <c r="F1046" i="1"/>
  <c r="F1002" i="1"/>
  <c r="E1004" i="1"/>
  <c r="G1002" i="1"/>
  <c r="F1090" i="1"/>
  <c r="G1046" i="1"/>
  <c r="E1048" i="1"/>
  <c r="F958" i="1"/>
  <c r="E960" i="1"/>
  <c r="F914" i="1"/>
  <c r="E872" i="1"/>
  <c r="G914" i="1"/>
  <c r="G870" i="1"/>
  <c r="G826" i="1"/>
  <c r="G782" i="1"/>
  <c r="F826" i="1"/>
  <c r="S711" i="1"/>
  <c r="G738" i="1"/>
  <c r="S712" i="1"/>
  <c r="E740" i="1"/>
  <c r="S710" i="1"/>
  <c r="Q668" i="1"/>
  <c r="E696" i="1"/>
  <c r="S666" i="1"/>
  <c r="S667" i="1"/>
  <c r="E652" i="1"/>
  <c r="F606" i="1"/>
  <c r="E608" i="1"/>
  <c r="S1107" i="1"/>
  <c r="R1105" i="1"/>
  <c r="S1106" i="1"/>
  <c r="R667" i="1"/>
  <c r="R666" i="1"/>
  <c r="Q665" i="1"/>
  <c r="S755" i="1"/>
  <c r="S754" i="1"/>
  <c r="R753" i="1"/>
  <c r="F1222" i="1"/>
  <c r="S4055" i="1"/>
  <c r="R4053" i="1"/>
  <c r="S4054" i="1"/>
  <c r="Q932" i="1"/>
  <c r="S932" i="1"/>
  <c r="S976" i="1"/>
  <c r="Q976" i="1"/>
  <c r="S887" i="1"/>
  <c r="R885" i="1"/>
  <c r="S886" i="1"/>
  <c r="S1064" i="1"/>
  <c r="Q1064" i="1"/>
  <c r="Q621" i="1"/>
  <c r="R623" i="1"/>
  <c r="R622" i="1"/>
  <c r="Q1152" i="1"/>
  <c r="S1152" i="1"/>
  <c r="Q1108" i="1"/>
  <c r="S1108" i="1"/>
  <c r="G1178" i="1"/>
  <c r="F1178" i="1"/>
  <c r="R1195" i="1"/>
  <c r="Q1193" i="1"/>
  <c r="R1194" i="1"/>
  <c r="S931" i="1"/>
  <c r="R929" i="1"/>
  <c r="S930" i="1"/>
  <c r="S975" i="1"/>
  <c r="S974" i="1"/>
  <c r="R973" i="1"/>
  <c r="Q844" i="1"/>
  <c r="S844" i="1"/>
  <c r="S1063" i="1"/>
  <c r="S1062" i="1"/>
  <c r="R1061" i="1"/>
  <c r="S799" i="1"/>
  <c r="R797" i="1"/>
  <c r="S798" i="1"/>
  <c r="Q709" i="1"/>
  <c r="R711" i="1"/>
  <c r="R710" i="1"/>
  <c r="G694" i="1"/>
  <c r="F694" i="1"/>
  <c r="G606" i="1"/>
  <c r="S1019" i="1"/>
  <c r="S1018" i="1"/>
  <c r="R1017" i="1"/>
  <c r="S624" i="1"/>
  <c r="Q624" i="1"/>
  <c r="Q800" i="1"/>
  <c r="S800" i="1"/>
  <c r="R1149" i="1"/>
  <c r="S1151" i="1"/>
  <c r="S1150" i="1"/>
  <c r="Q4056" i="1"/>
  <c r="S4056" i="1"/>
  <c r="S888" i="1"/>
  <c r="Q888" i="1"/>
  <c r="S843" i="1"/>
  <c r="R841" i="1"/>
  <c r="S842" i="1"/>
  <c r="Q756" i="1"/>
  <c r="S756" i="1"/>
  <c r="S579" i="1"/>
  <c r="S578" i="1"/>
  <c r="R577" i="1"/>
  <c r="E870" i="1" l="1"/>
  <c r="E914" i="1"/>
  <c r="R4362" i="1"/>
  <c r="Q4361" i="1"/>
  <c r="E1090" i="1"/>
  <c r="K3219" i="1"/>
  <c r="K3218" i="1"/>
  <c r="E1046" i="1"/>
  <c r="K2734" i="1"/>
  <c r="K2735" i="1"/>
  <c r="K3703" i="1"/>
  <c r="K3702" i="1"/>
  <c r="E1134" i="1"/>
  <c r="K3747" i="1"/>
  <c r="K3746" i="1"/>
  <c r="K3659" i="1"/>
  <c r="K3658" i="1"/>
  <c r="K3571" i="1"/>
  <c r="K3570" i="1"/>
  <c r="K3483" i="1"/>
  <c r="K3482" i="1"/>
  <c r="K3835" i="1"/>
  <c r="K3834" i="1"/>
  <c r="K3879" i="1"/>
  <c r="K3878" i="1"/>
  <c r="K2075" i="1"/>
  <c r="K2074" i="1"/>
  <c r="K2207" i="1"/>
  <c r="K2206" i="1"/>
  <c r="K1634" i="1"/>
  <c r="K1635" i="1"/>
  <c r="K2515" i="1"/>
  <c r="K2514" i="1"/>
  <c r="K2691" i="1"/>
  <c r="K2690" i="1"/>
  <c r="K2295" i="1"/>
  <c r="K2294" i="1"/>
  <c r="K2471" i="1"/>
  <c r="K2470" i="1"/>
  <c r="K2647" i="1"/>
  <c r="K2646" i="1"/>
  <c r="E826" i="1"/>
  <c r="K2251" i="1"/>
  <c r="K2250" i="1"/>
  <c r="K2119" i="1"/>
  <c r="K2118" i="1"/>
  <c r="K2382" i="1"/>
  <c r="K2383" i="1"/>
  <c r="K2339" i="1"/>
  <c r="K2338" i="1"/>
  <c r="K2999" i="1"/>
  <c r="K2998" i="1"/>
  <c r="K3174" i="1"/>
  <c r="K3175" i="1"/>
  <c r="K2779" i="1"/>
  <c r="K2778" i="1"/>
  <c r="K2955" i="1"/>
  <c r="K2954" i="1"/>
  <c r="E782" i="1"/>
  <c r="E738" i="1"/>
  <c r="K3042" i="1"/>
  <c r="K3043" i="1"/>
  <c r="K3307" i="1"/>
  <c r="K3306" i="1"/>
  <c r="K2866" i="1"/>
  <c r="K2867" i="1"/>
  <c r="E1222" i="1"/>
  <c r="Q4011" i="1"/>
  <c r="P4009" i="1"/>
  <c r="Q4010" i="1"/>
  <c r="P1239" i="1"/>
  <c r="O1237" i="1"/>
  <c r="P1238" i="1"/>
  <c r="P1545" i="1"/>
  <c r="Q1547" i="1"/>
  <c r="Q1546" i="1"/>
  <c r="Q3966" i="1"/>
  <c r="Q3967" i="1"/>
  <c r="P3965" i="1"/>
  <c r="P3349" i="1"/>
  <c r="Q3351" i="1"/>
  <c r="Q3350" i="1"/>
  <c r="Q1591" i="1"/>
  <c r="Q1590" i="1"/>
  <c r="P1589" i="1"/>
  <c r="P3437" i="1"/>
  <c r="Q3439" i="1"/>
  <c r="Q3438" i="1"/>
  <c r="Q3395" i="1"/>
  <c r="Q3394" i="1"/>
  <c r="P3393" i="1"/>
  <c r="P1503" i="1"/>
  <c r="P1502" i="1"/>
  <c r="O1501" i="1"/>
  <c r="P3921" i="1"/>
  <c r="Q3923" i="1"/>
  <c r="Q3922" i="1"/>
  <c r="P1413" i="1"/>
  <c r="Q1415" i="1"/>
  <c r="Q1414" i="1"/>
  <c r="Q1327" i="1"/>
  <c r="P1325" i="1"/>
  <c r="Q1326" i="1"/>
  <c r="P1369" i="1"/>
  <c r="Q1371" i="1"/>
  <c r="Q1370" i="1"/>
  <c r="N1457" i="1"/>
  <c r="O1459" i="1"/>
  <c r="O1458" i="1"/>
  <c r="P1283" i="1"/>
  <c r="P1282" i="1"/>
  <c r="O1281" i="1"/>
  <c r="P4099" i="1"/>
  <c r="P4098" i="1"/>
  <c r="O4097" i="1"/>
  <c r="P4143" i="1"/>
  <c r="P4142" i="1"/>
  <c r="O4141" i="1"/>
  <c r="E694" i="1"/>
  <c r="P4187" i="1"/>
  <c r="P4186" i="1"/>
  <c r="O4185" i="1"/>
  <c r="E1178" i="1"/>
  <c r="P4231" i="1"/>
  <c r="P4230" i="1"/>
  <c r="O4229" i="1"/>
  <c r="E958" i="1"/>
  <c r="P4275" i="1"/>
  <c r="P4274" i="1"/>
  <c r="O4273" i="1"/>
  <c r="E1002" i="1"/>
  <c r="Q973" i="1"/>
  <c r="R975" i="1"/>
  <c r="R974" i="1"/>
  <c r="R930" i="1"/>
  <c r="Q929" i="1"/>
  <c r="R931" i="1"/>
  <c r="Q622" i="1"/>
  <c r="P621" i="1"/>
  <c r="Q623" i="1"/>
  <c r="Q885" i="1"/>
  <c r="R886" i="1"/>
  <c r="R887" i="1"/>
  <c r="Q710" i="1"/>
  <c r="P709" i="1"/>
  <c r="Q711" i="1"/>
  <c r="Q1061" i="1"/>
  <c r="R1063" i="1"/>
  <c r="R1062" i="1"/>
  <c r="P1193" i="1"/>
  <c r="Q1195" i="1"/>
  <c r="Q1194" i="1"/>
  <c r="Q797" i="1"/>
  <c r="R798" i="1"/>
  <c r="R799" i="1"/>
  <c r="Q4362" i="1"/>
  <c r="P4361" i="1"/>
  <c r="Q4363" i="1"/>
  <c r="P665" i="1"/>
  <c r="Q667" i="1"/>
  <c r="Q666" i="1"/>
  <c r="Q1105" i="1"/>
  <c r="R1106" i="1"/>
  <c r="R1107" i="1"/>
  <c r="R1018" i="1"/>
  <c r="Q1017" i="1"/>
  <c r="R1019" i="1"/>
  <c r="R4054" i="1"/>
  <c r="R4055" i="1"/>
  <c r="Q4053" i="1"/>
  <c r="Q577" i="1"/>
  <c r="R579" i="1"/>
  <c r="R578" i="1"/>
  <c r="R842" i="1"/>
  <c r="Q841" i="1"/>
  <c r="R843" i="1"/>
  <c r="R1150" i="1"/>
  <c r="Q1149" i="1"/>
  <c r="R1151" i="1"/>
  <c r="R754" i="1"/>
  <c r="Q753" i="1"/>
  <c r="R755" i="1"/>
  <c r="P4011" i="1" l="1"/>
  <c r="O4009" i="1"/>
  <c r="P4010" i="1"/>
  <c r="N1237" i="1"/>
  <c r="O1239" i="1"/>
  <c r="O1238" i="1"/>
  <c r="O1589" i="1"/>
  <c r="P1591" i="1"/>
  <c r="P1590" i="1"/>
  <c r="P3350" i="1"/>
  <c r="O3349" i="1"/>
  <c r="P3351" i="1"/>
  <c r="P3922" i="1"/>
  <c r="O3921" i="1"/>
  <c r="P3923" i="1"/>
  <c r="O3393" i="1"/>
  <c r="P3394" i="1"/>
  <c r="P3395" i="1"/>
  <c r="P3966" i="1"/>
  <c r="O3965" i="1"/>
  <c r="P3967" i="1"/>
  <c r="N1501" i="1"/>
  <c r="O1503" i="1"/>
  <c r="O1502" i="1"/>
  <c r="P3438" i="1"/>
  <c r="O3437" i="1"/>
  <c r="P3439" i="1"/>
  <c r="O1545" i="1"/>
  <c r="P1546" i="1"/>
  <c r="P1547" i="1"/>
  <c r="N1458" i="1"/>
  <c r="M1457" i="1"/>
  <c r="N1459" i="1"/>
  <c r="O1325" i="1"/>
  <c r="P1326" i="1"/>
  <c r="P1327" i="1"/>
  <c r="P1370" i="1"/>
  <c r="O1369" i="1"/>
  <c r="P1371" i="1"/>
  <c r="N1281" i="1"/>
  <c r="O1283" i="1"/>
  <c r="O1282" i="1"/>
  <c r="P1414" i="1"/>
  <c r="O1413" i="1"/>
  <c r="P1415" i="1"/>
  <c r="N4097" i="1"/>
  <c r="O4099" i="1"/>
  <c r="O4098" i="1"/>
  <c r="N4141" i="1"/>
  <c r="O4143" i="1"/>
  <c r="O4142" i="1"/>
  <c r="N4185" i="1"/>
  <c r="O4187" i="1"/>
  <c r="O4186" i="1"/>
  <c r="O4231" i="1"/>
  <c r="O4230" i="1"/>
  <c r="N4229" i="1"/>
  <c r="N4273" i="1"/>
  <c r="O4275" i="1"/>
  <c r="O4274" i="1"/>
  <c r="Q755" i="1"/>
  <c r="P753" i="1"/>
  <c r="Q754" i="1"/>
  <c r="P4363" i="1"/>
  <c r="O4361" i="1"/>
  <c r="P4362" i="1"/>
  <c r="Q931" i="1"/>
  <c r="Q930" i="1"/>
  <c r="P929" i="1"/>
  <c r="P973" i="1"/>
  <c r="Q975" i="1"/>
  <c r="Q974" i="1"/>
  <c r="P711" i="1"/>
  <c r="P710" i="1"/>
  <c r="O709" i="1"/>
  <c r="Q843" i="1"/>
  <c r="P841" i="1"/>
  <c r="Q842" i="1"/>
  <c r="P577" i="1"/>
  <c r="Q579" i="1"/>
  <c r="Q578" i="1"/>
  <c r="O665" i="1"/>
  <c r="P667" i="1"/>
  <c r="P666" i="1"/>
  <c r="P1061" i="1"/>
  <c r="Q1063" i="1"/>
  <c r="Q1062" i="1"/>
  <c r="P623" i="1"/>
  <c r="P622" i="1"/>
  <c r="O621" i="1"/>
  <c r="Q799" i="1"/>
  <c r="Q798" i="1"/>
  <c r="P797" i="1"/>
  <c r="Q887" i="1"/>
  <c r="P885" i="1"/>
  <c r="Q886" i="1"/>
  <c r="Q1151" i="1"/>
  <c r="Q1150" i="1"/>
  <c r="P1149" i="1"/>
  <c r="Q4055" i="1"/>
  <c r="Q4054" i="1"/>
  <c r="P4053" i="1"/>
  <c r="Q1019" i="1"/>
  <c r="Q1018" i="1"/>
  <c r="P1017" i="1"/>
  <c r="Q1107" i="1"/>
  <c r="P1105" i="1"/>
  <c r="Q1106" i="1"/>
  <c r="P1195" i="1"/>
  <c r="O1193" i="1"/>
  <c r="P1194" i="1"/>
  <c r="N1239" i="1" l="1"/>
  <c r="N1238" i="1"/>
  <c r="M1237" i="1"/>
  <c r="O4010" i="1"/>
  <c r="O4011" i="1"/>
  <c r="N4009" i="1"/>
  <c r="O3439" i="1"/>
  <c r="O3438" i="1"/>
  <c r="N3437" i="1"/>
  <c r="M1501" i="1"/>
  <c r="N1503" i="1"/>
  <c r="N1502" i="1"/>
  <c r="O3923" i="1"/>
  <c r="O3922" i="1"/>
  <c r="N3921" i="1"/>
  <c r="O1546" i="1"/>
  <c r="O1547" i="1"/>
  <c r="N1545" i="1"/>
  <c r="O3967" i="1"/>
  <c r="N3965" i="1"/>
  <c r="O3966" i="1"/>
  <c r="O3395" i="1"/>
  <c r="N3393" i="1"/>
  <c r="O3394" i="1"/>
  <c r="O3351" i="1"/>
  <c r="O3350" i="1"/>
  <c r="N3349" i="1"/>
  <c r="N1589" i="1"/>
  <c r="O1591" i="1"/>
  <c r="O1590" i="1"/>
  <c r="O1415" i="1"/>
  <c r="O1414" i="1"/>
  <c r="N1413" i="1"/>
  <c r="M1281" i="1"/>
  <c r="N1283" i="1"/>
  <c r="N1282" i="1"/>
  <c r="O1327" i="1"/>
  <c r="O1326" i="1"/>
  <c r="N1325" i="1"/>
  <c r="O1371" i="1"/>
  <c r="O1370" i="1"/>
  <c r="N1369" i="1"/>
  <c r="M1459" i="1"/>
  <c r="M1458" i="1"/>
  <c r="L1457" i="1"/>
  <c r="M4097" i="1"/>
  <c r="N4099" i="1"/>
  <c r="N4098" i="1"/>
  <c r="M4141" i="1"/>
  <c r="N4142" i="1"/>
  <c r="N4143" i="1"/>
  <c r="M4185" i="1"/>
  <c r="N4187" i="1"/>
  <c r="N4186" i="1"/>
  <c r="M4229" i="1"/>
  <c r="N4231" i="1"/>
  <c r="N4230" i="1"/>
  <c r="M4273" i="1"/>
  <c r="N4275" i="1"/>
  <c r="N4274" i="1"/>
  <c r="P1106" i="1"/>
  <c r="O1105" i="1"/>
  <c r="P1107" i="1"/>
  <c r="O1149" i="1"/>
  <c r="P1151" i="1"/>
  <c r="P1150" i="1"/>
  <c r="P886" i="1"/>
  <c r="O885" i="1"/>
  <c r="P887" i="1"/>
  <c r="P578" i="1"/>
  <c r="P579" i="1"/>
  <c r="O577" i="1"/>
  <c r="N709" i="1"/>
  <c r="O711" i="1"/>
  <c r="O710" i="1"/>
  <c r="O1194" i="1"/>
  <c r="N1193" i="1"/>
  <c r="O1195" i="1"/>
  <c r="O4053" i="1"/>
  <c r="P4054" i="1"/>
  <c r="P4055" i="1"/>
  <c r="N621" i="1"/>
  <c r="O623" i="1"/>
  <c r="O622" i="1"/>
  <c r="O666" i="1"/>
  <c r="N665" i="1"/>
  <c r="O667" i="1"/>
  <c r="P974" i="1"/>
  <c r="O973" i="1"/>
  <c r="P975" i="1"/>
  <c r="O753" i="1"/>
  <c r="P754" i="1"/>
  <c r="P755" i="1"/>
  <c r="P1018" i="1"/>
  <c r="O1017" i="1"/>
  <c r="P1019" i="1"/>
  <c r="P798" i="1"/>
  <c r="O797" i="1"/>
  <c r="P799" i="1"/>
  <c r="P1062" i="1"/>
  <c r="O1061" i="1"/>
  <c r="P1063" i="1"/>
  <c r="O841" i="1"/>
  <c r="P842" i="1"/>
  <c r="P843" i="1"/>
  <c r="O929" i="1"/>
  <c r="P930" i="1"/>
  <c r="P931" i="1"/>
  <c r="N4361" i="1"/>
  <c r="O4362" i="1"/>
  <c r="O4363" i="1"/>
  <c r="L1237" i="1" l="1"/>
  <c r="M1239" i="1"/>
  <c r="M1238" i="1"/>
  <c r="M4009" i="1"/>
  <c r="N4010" i="1"/>
  <c r="N4011" i="1"/>
  <c r="N1547" i="1"/>
  <c r="N1546" i="1"/>
  <c r="M1545" i="1"/>
  <c r="M1502" i="1"/>
  <c r="L1501" i="1"/>
  <c r="M1503" i="1"/>
  <c r="M3437" i="1"/>
  <c r="N3439" i="1"/>
  <c r="N3438" i="1"/>
  <c r="N1590" i="1"/>
  <c r="M1589" i="1"/>
  <c r="N1591" i="1"/>
  <c r="M3965" i="1"/>
  <c r="N3967" i="1"/>
  <c r="N3966" i="1"/>
  <c r="M3349" i="1"/>
  <c r="N3351" i="1"/>
  <c r="N3350" i="1"/>
  <c r="N3394" i="1"/>
  <c r="M3393" i="1"/>
  <c r="N3395" i="1"/>
  <c r="M3921" i="1"/>
  <c r="N3923" i="1"/>
  <c r="N3922" i="1"/>
  <c r="M1282" i="1"/>
  <c r="L1281" i="1"/>
  <c r="M1283" i="1"/>
  <c r="M1369" i="1"/>
  <c r="N1371" i="1"/>
  <c r="N1370" i="1"/>
  <c r="M1413" i="1"/>
  <c r="N1415" i="1"/>
  <c r="N1414" i="1"/>
  <c r="K1457" i="1"/>
  <c r="L1459" i="1"/>
  <c r="L1458" i="1"/>
  <c r="N1326" i="1"/>
  <c r="M1325" i="1"/>
  <c r="N1327" i="1"/>
  <c r="M4098" i="1"/>
  <c r="L4097" i="1"/>
  <c r="M4099" i="1"/>
  <c r="M4142" i="1"/>
  <c r="L4141" i="1"/>
  <c r="M4143" i="1"/>
  <c r="M4186" i="1"/>
  <c r="L4185" i="1"/>
  <c r="M4187" i="1"/>
  <c r="L4229" i="1"/>
  <c r="M4230" i="1"/>
  <c r="M4231" i="1"/>
  <c r="M4274" i="1"/>
  <c r="M4275" i="1"/>
  <c r="L4273" i="1"/>
  <c r="O799" i="1"/>
  <c r="N797" i="1"/>
  <c r="O798" i="1"/>
  <c r="N667" i="1"/>
  <c r="N666" i="1"/>
  <c r="M665" i="1"/>
  <c r="M621" i="1"/>
  <c r="N623" i="1"/>
  <c r="N622" i="1"/>
  <c r="O1107" i="1"/>
  <c r="N1105" i="1"/>
  <c r="O1106" i="1"/>
  <c r="N4363" i="1"/>
  <c r="N4362" i="1"/>
  <c r="M4361" i="1"/>
  <c r="O1063" i="1"/>
  <c r="O1062" i="1"/>
  <c r="N1061" i="1"/>
  <c r="O975" i="1"/>
  <c r="O974" i="1"/>
  <c r="N973" i="1"/>
  <c r="N1195" i="1"/>
  <c r="M1193" i="1"/>
  <c r="N1194" i="1"/>
  <c r="M709" i="1"/>
  <c r="N711" i="1"/>
  <c r="N710" i="1"/>
  <c r="O579" i="1"/>
  <c r="O578" i="1"/>
  <c r="N577" i="1"/>
  <c r="O887" i="1"/>
  <c r="N885" i="1"/>
  <c r="O886" i="1"/>
  <c r="N1149" i="1"/>
  <c r="O1151" i="1"/>
  <c r="O1150" i="1"/>
  <c r="O931" i="1"/>
  <c r="N929" i="1"/>
  <c r="O930" i="1"/>
  <c r="O843" i="1"/>
  <c r="O842" i="1"/>
  <c r="N841" i="1"/>
  <c r="O1019" i="1"/>
  <c r="N1017" i="1"/>
  <c r="O1018" i="1"/>
  <c r="O755" i="1"/>
  <c r="N753" i="1"/>
  <c r="O754" i="1"/>
  <c r="O4055" i="1"/>
  <c r="N4053" i="1"/>
  <c r="O4054" i="1"/>
  <c r="M4010" i="1" l="1"/>
  <c r="M4011" i="1"/>
  <c r="L4009" i="1"/>
  <c r="K1237" i="1"/>
  <c r="L1238" i="1"/>
  <c r="L1239" i="1"/>
  <c r="M3395" i="1"/>
  <c r="L3393" i="1"/>
  <c r="M3394" i="1"/>
  <c r="L3349" i="1"/>
  <c r="M3351" i="1"/>
  <c r="M3350" i="1"/>
  <c r="M1591" i="1"/>
  <c r="M1590" i="1"/>
  <c r="L1589" i="1"/>
  <c r="L3437" i="1"/>
  <c r="M3439" i="1"/>
  <c r="M3438" i="1"/>
  <c r="L1545" i="1"/>
  <c r="M1547" i="1"/>
  <c r="M1546" i="1"/>
  <c r="L3921" i="1"/>
  <c r="M3923" i="1"/>
  <c r="M3922" i="1"/>
  <c r="M3967" i="1"/>
  <c r="L3965" i="1"/>
  <c r="M3966" i="1"/>
  <c r="L1503" i="1"/>
  <c r="L1502" i="1"/>
  <c r="K1501" i="1"/>
  <c r="L1369" i="1"/>
  <c r="M1371" i="1"/>
  <c r="M1370" i="1"/>
  <c r="M1327" i="1"/>
  <c r="L1325" i="1"/>
  <c r="M1326" i="1"/>
  <c r="K1459" i="1"/>
  <c r="K1458" i="1"/>
  <c r="L1283" i="1"/>
  <c r="L1282" i="1"/>
  <c r="K1281" i="1"/>
  <c r="L1413" i="1"/>
  <c r="M1415" i="1"/>
  <c r="M1414" i="1"/>
  <c r="L4099" i="1"/>
  <c r="L4098" i="1"/>
  <c r="K4097" i="1"/>
  <c r="L4143" i="1"/>
  <c r="L4142" i="1"/>
  <c r="K4141" i="1"/>
  <c r="L4187" i="1"/>
  <c r="L4186" i="1"/>
  <c r="K4185" i="1"/>
  <c r="L4231" i="1"/>
  <c r="L4230" i="1"/>
  <c r="K4229" i="1"/>
  <c r="L4275" i="1"/>
  <c r="L4274" i="1"/>
  <c r="K4273" i="1"/>
  <c r="M885" i="1"/>
  <c r="N886" i="1"/>
  <c r="N887" i="1"/>
  <c r="N754" i="1"/>
  <c r="M753" i="1"/>
  <c r="N755" i="1"/>
  <c r="L1193" i="1"/>
  <c r="M1195" i="1"/>
  <c r="M1194" i="1"/>
  <c r="M4362" i="1"/>
  <c r="L4361" i="1"/>
  <c r="M4363" i="1"/>
  <c r="M1105" i="1"/>
  <c r="N1106" i="1"/>
  <c r="N1107" i="1"/>
  <c r="M622" i="1"/>
  <c r="L621" i="1"/>
  <c r="M623" i="1"/>
  <c r="N4054" i="1"/>
  <c r="M4053" i="1"/>
  <c r="N4055" i="1"/>
  <c r="N842" i="1"/>
  <c r="M841" i="1"/>
  <c r="N843" i="1"/>
  <c r="N930" i="1"/>
  <c r="M929" i="1"/>
  <c r="N931" i="1"/>
  <c r="N1150" i="1"/>
  <c r="M1149" i="1"/>
  <c r="N1151" i="1"/>
  <c r="M577" i="1"/>
  <c r="N579" i="1"/>
  <c r="N578" i="1"/>
  <c r="M1061" i="1"/>
  <c r="N1063" i="1"/>
  <c r="N1062" i="1"/>
  <c r="L665" i="1"/>
  <c r="M667" i="1"/>
  <c r="M666" i="1"/>
  <c r="M797" i="1"/>
  <c r="N798" i="1"/>
  <c r="N799" i="1"/>
  <c r="N1018" i="1"/>
  <c r="N1019" i="1"/>
  <c r="M1017" i="1"/>
  <c r="M710" i="1"/>
  <c r="L709" i="1"/>
  <c r="M711" i="1"/>
  <c r="M973" i="1"/>
  <c r="N975" i="1"/>
  <c r="N974" i="1"/>
  <c r="K1239" i="1" l="1"/>
  <c r="K1238" i="1"/>
  <c r="L4010" i="1"/>
  <c r="L4011" i="1"/>
  <c r="K4009" i="1"/>
  <c r="K1503" i="1"/>
  <c r="K1502" i="1"/>
  <c r="L3966" i="1"/>
  <c r="L3967" i="1"/>
  <c r="K3965" i="1"/>
  <c r="L3922" i="1"/>
  <c r="K3921" i="1"/>
  <c r="L3923" i="1"/>
  <c r="L3350" i="1"/>
  <c r="K3349" i="1"/>
  <c r="L3351" i="1"/>
  <c r="L3438" i="1"/>
  <c r="K3437" i="1"/>
  <c r="L3439" i="1"/>
  <c r="K3393" i="1"/>
  <c r="L3394" i="1"/>
  <c r="L3395" i="1"/>
  <c r="K1545" i="1"/>
  <c r="L1546" i="1"/>
  <c r="L1547" i="1"/>
  <c r="K1589" i="1"/>
  <c r="L1591" i="1"/>
  <c r="L1590" i="1"/>
  <c r="L1414" i="1"/>
  <c r="K1413" i="1"/>
  <c r="L1415" i="1"/>
  <c r="K1283" i="1"/>
  <c r="K1282" i="1"/>
  <c r="K1325" i="1"/>
  <c r="L1326" i="1"/>
  <c r="L1327" i="1"/>
  <c r="L1370" i="1"/>
  <c r="K1369" i="1"/>
  <c r="L1371" i="1"/>
  <c r="K4099" i="1"/>
  <c r="K4098" i="1"/>
  <c r="K4143" i="1"/>
  <c r="K4142" i="1"/>
  <c r="K4187" i="1"/>
  <c r="K4186" i="1"/>
  <c r="K4231" i="1"/>
  <c r="K4230" i="1"/>
  <c r="K4275" i="1"/>
  <c r="K4274" i="1"/>
  <c r="L1061" i="1"/>
  <c r="M1063" i="1"/>
  <c r="M1062" i="1"/>
  <c r="L973" i="1"/>
  <c r="M975" i="1"/>
  <c r="M974" i="1"/>
  <c r="M1018" i="1"/>
  <c r="L1017" i="1"/>
  <c r="M1019" i="1"/>
  <c r="K665" i="1"/>
  <c r="L667" i="1"/>
  <c r="L666" i="1"/>
  <c r="M1151" i="1"/>
  <c r="M1150" i="1"/>
  <c r="L1149" i="1"/>
  <c r="L623" i="1"/>
  <c r="L622" i="1"/>
  <c r="K621" i="1"/>
  <c r="M1107" i="1"/>
  <c r="M1106" i="1"/>
  <c r="L1105" i="1"/>
  <c r="M755" i="1"/>
  <c r="L753" i="1"/>
  <c r="M754" i="1"/>
  <c r="M887" i="1"/>
  <c r="M886" i="1"/>
  <c r="L885" i="1"/>
  <c r="M799" i="1"/>
  <c r="L797" i="1"/>
  <c r="M798" i="1"/>
  <c r="M4055" i="1"/>
  <c r="L4053" i="1"/>
  <c r="M4054" i="1"/>
  <c r="M931" i="1"/>
  <c r="L929" i="1"/>
  <c r="M930" i="1"/>
  <c r="L711" i="1"/>
  <c r="L710" i="1"/>
  <c r="K709" i="1"/>
  <c r="L577" i="1"/>
  <c r="M578" i="1"/>
  <c r="M579" i="1"/>
  <c r="M843" i="1"/>
  <c r="L841" i="1"/>
  <c r="M842" i="1"/>
  <c r="L4363" i="1"/>
  <c r="K4361" i="1"/>
  <c r="L4362" i="1"/>
  <c r="L1195" i="1"/>
  <c r="L1194" i="1"/>
  <c r="K1193" i="1"/>
  <c r="K4011" i="1" l="1"/>
  <c r="K4010" i="1"/>
  <c r="K3395" i="1"/>
  <c r="K3394" i="1"/>
  <c r="K3923" i="1"/>
  <c r="K3922" i="1"/>
  <c r="K1546" i="1"/>
  <c r="K1547" i="1"/>
  <c r="K3351" i="1"/>
  <c r="K3350" i="1"/>
  <c r="K1591" i="1"/>
  <c r="K1590" i="1"/>
  <c r="K3439" i="1"/>
  <c r="K3438" i="1"/>
  <c r="K3967" i="1"/>
  <c r="K3966" i="1"/>
  <c r="K1371" i="1"/>
  <c r="K1370" i="1"/>
  <c r="K1327" i="1"/>
  <c r="K1326" i="1"/>
  <c r="K1415" i="1"/>
  <c r="K1414" i="1"/>
  <c r="L974" i="1"/>
  <c r="K973" i="1"/>
  <c r="L975" i="1"/>
  <c r="K1194" i="1"/>
  <c r="K1195" i="1"/>
  <c r="K4362" i="1"/>
  <c r="K4363" i="1"/>
  <c r="K711" i="1"/>
  <c r="K710" i="1"/>
  <c r="K929" i="1"/>
  <c r="L930" i="1"/>
  <c r="L931" i="1"/>
  <c r="L886" i="1"/>
  <c r="K885" i="1"/>
  <c r="L887" i="1"/>
  <c r="K753" i="1"/>
  <c r="L754" i="1"/>
  <c r="L755" i="1"/>
  <c r="K1149" i="1"/>
  <c r="L1151" i="1"/>
  <c r="L1150" i="1"/>
  <c r="L578" i="1"/>
  <c r="K577" i="1"/>
  <c r="L579" i="1"/>
  <c r="K623" i="1"/>
  <c r="K622" i="1"/>
  <c r="K666" i="1"/>
  <c r="K667" i="1"/>
  <c r="K841" i="1"/>
  <c r="L842" i="1"/>
  <c r="L843" i="1"/>
  <c r="K4053" i="1"/>
  <c r="L4055" i="1"/>
  <c r="L4054" i="1"/>
  <c r="L1019" i="1"/>
  <c r="K1017" i="1"/>
  <c r="L1018" i="1"/>
  <c r="L798" i="1"/>
  <c r="K797" i="1"/>
  <c r="L799" i="1"/>
  <c r="L1106" i="1"/>
  <c r="K1105" i="1"/>
  <c r="L1107" i="1"/>
  <c r="L1062" i="1"/>
  <c r="K1061" i="1"/>
  <c r="L1063" i="1"/>
  <c r="K887" i="1" l="1"/>
  <c r="K886" i="1"/>
  <c r="K975" i="1"/>
  <c r="K974" i="1"/>
  <c r="K1063" i="1"/>
  <c r="K1062" i="1"/>
  <c r="K843" i="1"/>
  <c r="K842" i="1"/>
  <c r="K1107" i="1"/>
  <c r="K1106" i="1"/>
  <c r="K931" i="1"/>
  <c r="K930" i="1"/>
  <c r="K1019" i="1"/>
  <c r="K1018" i="1"/>
  <c r="K4055" i="1"/>
  <c r="K4054" i="1"/>
  <c r="K755" i="1"/>
  <c r="K754" i="1"/>
  <c r="K799" i="1"/>
  <c r="K798" i="1"/>
  <c r="K579" i="1"/>
  <c r="K578" i="1"/>
  <c r="K1151" i="1"/>
  <c r="K1150" i="1"/>
  <c r="A7" i="2" l="1"/>
  <c r="A8" i="2" s="1"/>
  <c r="A9" i="2" s="1"/>
  <c r="A10" i="2" s="1"/>
  <c r="A11" i="2" s="1"/>
  <c r="A12" i="2" s="1"/>
  <c r="A13" i="2" s="1"/>
  <c r="A14" i="2" s="1"/>
  <c r="A15" i="2" s="1"/>
  <c r="A16" i="2" s="1"/>
  <c r="B106" i="2"/>
  <c r="C106" i="2" s="1"/>
  <c r="D106" i="2" s="1"/>
  <c r="E106" i="2" s="1"/>
  <c r="F106" i="2" s="1"/>
  <c r="G106" i="2" s="1"/>
  <c r="H106" i="2" s="1"/>
  <c r="I106" i="2" s="1"/>
  <c r="J106" i="2" s="1"/>
  <c r="K106" i="2" s="1"/>
  <c r="L106" i="2" s="1"/>
  <c r="M106" i="2" s="1"/>
  <c r="N106" i="2" s="1"/>
  <c r="O106" i="2" s="1"/>
  <c r="P106" i="2" s="1"/>
  <c r="Q106" i="2" s="1"/>
  <c r="AB5" i="2"/>
  <c r="AB4" i="2"/>
  <c r="AC3" i="2"/>
  <c r="AC5" i="2" s="1"/>
  <c r="AC2" i="2"/>
  <c r="A17" i="2" l="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R106" i="2"/>
  <c r="S106" i="2" s="1"/>
  <c r="T106" i="2" s="1"/>
  <c r="U106" i="2" s="1"/>
  <c r="V106" i="2" s="1"/>
  <c r="W106" i="2" s="1"/>
  <c r="X106" i="2" s="1"/>
  <c r="Y106" i="2" s="1"/>
  <c r="Z106" i="2" s="1"/>
  <c r="AA106" i="2" s="1"/>
  <c r="AB106" i="2" s="1"/>
  <c r="AC106" i="2" s="1"/>
  <c r="AD106" i="2" s="1"/>
  <c r="AE106" i="2" s="1"/>
  <c r="AF106" i="2" s="1"/>
  <c r="AG106" i="2" s="1"/>
  <c r="AH106" i="2" s="1"/>
  <c r="AI106" i="2" s="1"/>
  <c r="AJ106" i="2" s="1"/>
  <c r="AK106" i="2" s="1"/>
  <c r="AL106" i="2" s="1"/>
  <c r="AM106" i="2" s="1"/>
  <c r="AN106" i="2" s="1"/>
  <c r="AO106" i="2" s="1"/>
  <c r="AP106" i="2" s="1"/>
  <c r="AQ106" i="2" s="1"/>
  <c r="AR106" i="2" s="1"/>
  <c r="AS106" i="2" s="1"/>
  <c r="AT106" i="2" s="1"/>
  <c r="AU106" i="2" s="1"/>
  <c r="AV106" i="2" s="1"/>
  <c r="AW106" i="2" s="1"/>
  <c r="AX106" i="2" s="1"/>
  <c r="AY106" i="2" s="1"/>
  <c r="AZ106" i="2" s="1"/>
  <c r="BA106" i="2" s="1"/>
  <c r="BB106" i="2" s="1"/>
  <c r="BC106" i="2" s="1"/>
  <c r="BD106" i="2" s="1"/>
  <c r="BE106" i="2" s="1"/>
  <c r="BF106" i="2" s="1"/>
  <c r="BG106" i="2" s="1"/>
  <c r="BH106" i="2" s="1"/>
  <c r="BI106" i="2" s="1"/>
  <c r="BJ106" i="2" s="1"/>
  <c r="BK106" i="2" s="1"/>
  <c r="BL106" i="2" s="1"/>
  <c r="BM106" i="2" s="1"/>
  <c r="BN106" i="2" s="1"/>
  <c r="BO106" i="2" s="1"/>
  <c r="AD3" i="2"/>
  <c r="AE3" i="2" s="1"/>
  <c r="AD2" i="2"/>
  <c r="C571" i="1"/>
  <c r="B571" i="1"/>
  <c r="C570" i="1"/>
  <c r="B570" i="1"/>
  <c r="C569" i="1"/>
  <c r="B569" i="1"/>
  <c r="J568" i="1"/>
  <c r="C568" i="1"/>
  <c r="B568" i="1"/>
  <c r="J567" i="1"/>
  <c r="C567" i="1"/>
  <c r="B567" i="1"/>
  <c r="K566" i="1" a="1"/>
  <c r="P568" i="1" s="1"/>
  <c r="J566" i="1"/>
  <c r="G566" i="1"/>
  <c r="F566" i="1"/>
  <c r="C566" i="1"/>
  <c r="B566" i="1"/>
  <c r="C565" i="1"/>
  <c r="B565" i="1"/>
  <c r="J564" i="1"/>
  <c r="C564" i="1"/>
  <c r="B564" i="1"/>
  <c r="J563" i="1"/>
  <c r="C563" i="1"/>
  <c r="B563" i="1"/>
  <c r="K562" i="1" a="1"/>
  <c r="R564" i="1" s="1"/>
  <c r="J562" i="1"/>
  <c r="C562" i="1"/>
  <c r="B562" i="1"/>
  <c r="J560" i="1"/>
  <c r="J559" i="1"/>
  <c r="K558" i="1" a="1"/>
  <c r="P560" i="1" s="1"/>
  <c r="J558" i="1"/>
  <c r="J556" i="1"/>
  <c r="J555" i="1"/>
  <c r="K554" i="1" a="1"/>
  <c r="P555" i="1" s="1"/>
  <c r="J554" i="1"/>
  <c r="J552" i="1"/>
  <c r="J551" i="1"/>
  <c r="K550" i="1" a="1"/>
  <c r="L552" i="1" s="1"/>
  <c r="J550" i="1"/>
  <c r="J548" i="1"/>
  <c r="J547" i="1"/>
  <c r="K546" i="1" a="1"/>
  <c r="K548" i="1" s="1"/>
  <c r="J546" i="1"/>
  <c r="B545" i="1"/>
  <c r="C545" i="1" s="1"/>
  <c r="D545" i="1" s="1"/>
  <c r="G545" i="1" s="1"/>
  <c r="H545" i="1" s="1"/>
  <c r="J544" i="1"/>
  <c r="J543" i="1"/>
  <c r="K542" i="1" a="1"/>
  <c r="L544" i="1" s="1"/>
  <c r="J542" i="1"/>
  <c r="E542" i="1"/>
  <c r="J540" i="1"/>
  <c r="J539" i="1"/>
  <c r="G539" i="1"/>
  <c r="F539" i="1"/>
  <c r="D539" i="1"/>
  <c r="K538" i="1" a="1"/>
  <c r="K540" i="1" s="1"/>
  <c r="J538" i="1"/>
  <c r="J533" i="1"/>
  <c r="S533" i="1" s="1"/>
  <c r="C527" i="1"/>
  <c r="B527" i="1"/>
  <c r="C526" i="1"/>
  <c r="B526" i="1"/>
  <c r="C525" i="1"/>
  <c r="B525" i="1"/>
  <c r="J524" i="1"/>
  <c r="C524" i="1"/>
  <c r="J523" i="1"/>
  <c r="K522" i="1" a="1"/>
  <c r="L524" i="1" s="1"/>
  <c r="J522" i="1"/>
  <c r="G522" i="1"/>
  <c r="F522" i="1"/>
  <c r="C521" i="1"/>
  <c r="J520" i="1"/>
  <c r="C520" i="1"/>
  <c r="B520" i="1"/>
  <c r="J519" i="1"/>
  <c r="C519" i="1"/>
  <c r="B519" i="1"/>
  <c r="K518" i="1" a="1"/>
  <c r="R520" i="1" s="1"/>
  <c r="J518" i="1"/>
  <c r="C518" i="1"/>
  <c r="B518" i="1"/>
  <c r="J516" i="1"/>
  <c r="J515" i="1"/>
  <c r="K514" i="1" a="1"/>
  <c r="P516" i="1" s="1"/>
  <c r="J514" i="1"/>
  <c r="J512" i="1"/>
  <c r="J511" i="1"/>
  <c r="K510" i="1" a="1"/>
  <c r="O512" i="1" s="1"/>
  <c r="J510" i="1"/>
  <c r="J508" i="1"/>
  <c r="J507" i="1"/>
  <c r="K506" i="1" a="1"/>
  <c r="L508" i="1" s="1"/>
  <c r="J506" i="1"/>
  <c r="J504" i="1"/>
  <c r="J503" i="1"/>
  <c r="K502" i="1" a="1"/>
  <c r="N504" i="1" s="1"/>
  <c r="J502" i="1"/>
  <c r="B501" i="1"/>
  <c r="C501" i="1" s="1"/>
  <c r="D501" i="1" s="1"/>
  <c r="G501" i="1" s="1"/>
  <c r="H501" i="1" s="1"/>
  <c r="J500" i="1"/>
  <c r="J499" i="1"/>
  <c r="K498" i="1" a="1"/>
  <c r="K499" i="1" s="1"/>
  <c r="J498" i="1"/>
  <c r="E498" i="1"/>
  <c r="J496" i="1"/>
  <c r="J495" i="1"/>
  <c r="G495" i="1"/>
  <c r="F495" i="1"/>
  <c r="D495" i="1"/>
  <c r="K494" i="1" a="1"/>
  <c r="K496" i="1" s="1"/>
  <c r="J494" i="1"/>
  <c r="J489" i="1"/>
  <c r="O492" i="1" s="1"/>
  <c r="C483" i="1"/>
  <c r="B483" i="1"/>
  <c r="C482" i="1"/>
  <c r="B482" i="1"/>
  <c r="C481" i="1"/>
  <c r="B481" i="1"/>
  <c r="J480" i="1"/>
  <c r="C480" i="1"/>
  <c r="B480" i="1"/>
  <c r="J479" i="1"/>
  <c r="C479" i="1"/>
  <c r="B479" i="1"/>
  <c r="K478" i="1" a="1"/>
  <c r="Q480" i="1" s="1"/>
  <c r="J478" i="1"/>
  <c r="G478" i="1"/>
  <c r="F478" i="1"/>
  <c r="C478" i="1"/>
  <c r="B478" i="1"/>
  <c r="C477" i="1"/>
  <c r="B477" i="1"/>
  <c r="J476" i="1"/>
  <c r="C476" i="1"/>
  <c r="B476" i="1"/>
  <c r="J475" i="1"/>
  <c r="C475" i="1"/>
  <c r="B475" i="1"/>
  <c r="K474" i="1" a="1"/>
  <c r="N475" i="1" s="1"/>
  <c r="J474" i="1"/>
  <c r="C474" i="1"/>
  <c r="B474" i="1"/>
  <c r="J472" i="1"/>
  <c r="J471" i="1"/>
  <c r="K470" i="1" a="1"/>
  <c r="N472" i="1" s="1"/>
  <c r="J470" i="1"/>
  <c r="J468" i="1"/>
  <c r="J467" i="1"/>
  <c r="K466" i="1" a="1"/>
  <c r="N468" i="1" s="1"/>
  <c r="J466" i="1"/>
  <c r="J464" i="1"/>
  <c r="J463" i="1"/>
  <c r="K462" i="1" a="1"/>
  <c r="L464" i="1" s="1"/>
  <c r="J462" i="1"/>
  <c r="J460" i="1"/>
  <c r="J459" i="1"/>
  <c r="K458" i="1" a="1"/>
  <c r="N460" i="1" s="1"/>
  <c r="J458" i="1"/>
  <c r="B457" i="1"/>
  <c r="C457" i="1" s="1"/>
  <c r="D457" i="1" s="1"/>
  <c r="G457" i="1" s="1"/>
  <c r="H457" i="1" s="1"/>
  <c r="J456" i="1"/>
  <c r="J455" i="1"/>
  <c r="K454" i="1" a="1"/>
  <c r="M456" i="1" s="1"/>
  <c r="J454" i="1"/>
  <c r="E454" i="1"/>
  <c r="J452" i="1"/>
  <c r="J451" i="1"/>
  <c r="G451" i="1"/>
  <c r="F451" i="1"/>
  <c r="D451" i="1"/>
  <c r="K450" i="1" a="1"/>
  <c r="L451" i="1" s="1"/>
  <c r="J450" i="1"/>
  <c r="J445" i="1"/>
  <c r="S445" i="1" s="1"/>
  <c r="C439" i="1"/>
  <c r="B439" i="1"/>
  <c r="C438" i="1"/>
  <c r="B438" i="1"/>
  <c r="C437" i="1"/>
  <c r="B437" i="1"/>
  <c r="J436" i="1"/>
  <c r="C436" i="1"/>
  <c r="B436" i="1"/>
  <c r="J435" i="1"/>
  <c r="C435" i="1"/>
  <c r="B435" i="1"/>
  <c r="K434" i="1" a="1"/>
  <c r="P436" i="1" s="1"/>
  <c r="J434" i="1"/>
  <c r="G434" i="1"/>
  <c r="F434" i="1"/>
  <c r="C434" i="1"/>
  <c r="B434" i="1"/>
  <c r="C433" i="1"/>
  <c r="B433" i="1"/>
  <c r="J432" i="1"/>
  <c r="C432" i="1"/>
  <c r="B432" i="1"/>
  <c r="J431" i="1"/>
  <c r="C431" i="1"/>
  <c r="B431" i="1"/>
  <c r="K430" i="1" a="1"/>
  <c r="O432" i="1" s="1"/>
  <c r="J430" i="1"/>
  <c r="C430" i="1"/>
  <c r="B430" i="1"/>
  <c r="J428" i="1"/>
  <c r="J427" i="1"/>
  <c r="K426" i="1" a="1"/>
  <c r="P428" i="1" s="1"/>
  <c r="J426" i="1"/>
  <c r="J424" i="1"/>
  <c r="J423" i="1"/>
  <c r="K422" i="1" a="1"/>
  <c r="N424" i="1" s="1"/>
  <c r="J422" i="1"/>
  <c r="J420" i="1"/>
  <c r="J419" i="1"/>
  <c r="K418" i="1" a="1"/>
  <c r="N420" i="1" s="1"/>
  <c r="J418" i="1"/>
  <c r="J416" i="1"/>
  <c r="J415" i="1"/>
  <c r="K414" i="1" a="1"/>
  <c r="L416" i="1" s="1"/>
  <c r="J414" i="1"/>
  <c r="J412" i="1"/>
  <c r="J411" i="1"/>
  <c r="K410" i="1" a="1"/>
  <c r="L412" i="1" s="1"/>
  <c r="J410" i="1"/>
  <c r="J408" i="1"/>
  <c r="J407" i="1"/>
  <c r="K406" i="1" a="1"/>
  <c r="L408" i="1" s="1"/>
  <c r="J406" i="1"/>
  <c r="J401" i="1"/>
  <c r="O404" i="1" s="1"/>
  <c r="C395" i="1"/>
  <c r="B395" i="1"/>
  <c r="C394" i="1"/>
  <c r="B394" i="1"/>
  <c r="C393" i="1"/>
  <c r="B393" i="1"/>
  <c r="J392" i="1"/>
  <c r="C392" i="1"/>
  <c r="B392" i="1"/>
  <c r="J391" i="1"/>
  <c r="C391" i="1"/>
  <c r="B391" i="1"/>
  <c r="K390" i="1" a="1"/>
  <c r="P392" i="1" s="1"/>
  <c r="J390" i="1"/>
  <c r="G390" i="1"/>
  <c r="F390" i="1"/>
  <c r="C390" i="1"/>
  <c r="B390" i="1"/>
  <c r="C389" i="1"/>
  <c r="B389" i="1"/>
  <c r="J388" i="1"/>
  <c r="C388" i="1"/>
  <c r="B388" i="1"/>
  <c r="J387" i="1"/>
  <c r="C387" i="1"/>
  <c r="B387" i="1"/>
  <c r="K386" i="1" a="1"/>
  <c r="Q386" i="1" s="1"/>
  <c r="J386" i="1"/>
  <c r="C386" i="1"/>
  <c r="B386" i="1"/>
  <c r="J384" i="1"/>
  <c r="J383" i="1"/>
  <c r="K382" i="1" a="1"/>
  <c r="Q384" i="1" s="1"/>
  <c r="J382" i="1"/>
  <c r="J380" i="1"/>
  <c r="J379" i="1"/>
  <c r="K378" i="1" a="1"/>
  <c r="J378" i="1"/>
  <c r="J376" i="1"/>
  <c r="J375" i="1"/>
  <c r="K374" i="1" a="1"/>
  <c r="J374" i="1"/>
  <c r="J372" i="1"/>
  <c r="J371" i="1"/>
  <c r="K370" i="1" a="1"/>
  <c r="M371" i="1" s="1"/>
  <c r="J370" i="1"/>
  <c r="J368" i="1"/>
  <c r="J367" i="1"/>
  <c r="K366" i="1" a="1"/>
  <c r="L368" i="1" s="1"/>
  <c r="J366" i="1"/>
  <c r="J364" i="1"/>
  <c r="J363" i="1"/>
  <c r="K362" i="1" a="1"/>
  <c r="K363" i="1" s="1"/>
  <c r="J362" i="1"/>
  <c r="J357" i="1"/>
  <c r="O360" i="1" s="1"/>
  <c r="C351" i="1"/>
  <c r="B351" i="1"/>
  <c r="C350" i="1"/>
  <c r="B350" i="1"/>
  <c r="C349" i="1"/>
  <c r="B349" i="1"/>
  <c r="J348" i="1"/>
  <c r="C348" i="1"/>
  <c r="B348" i="1"/>
  <c r="J347" i="1"/>
  <c r="C347" i="1"/>
  <c r="B347" i="1"/>
  <c r="K346" i="1" a="1"/>
  <c r="P348" i="1" s="1"/>
  <c r="J346" i="1"/>
  <c r="G346" i="1"/>
  <c r="F346" i="1"/>
  <c r="C346" i="1"/>
  <c r="B346" i="1"/>
  <c r="C345" i="1"/>
  <c r="B345" i="1"/>
  <c r="J344" i="1"/>
  <c r="C344" i="1"/>
  <c r="B344" i="1"/>
  <c r="J343" i="1"/>
  <c r="C343" i="1"/>
  <c r="B343" i="1"/>
  <c r="K342" i="1" a="1"/>
  <c r="P344" i="1" s="1"/>
  <c r="J342" i="1"/>
  <c r="C342" i="1"/>
  <c r="B342" i="1"/>
  <c r="J340" i="1"/>
  <c r="J339" i="1"/>
  <c r="K338" i="1" a="1"/>
  <c r="P340" i="1" s="1"/>
  <c r="J338" i="1"/>
  <c r="J336" i="1"/>
  <c r="J335" i="1"/>
  <c r="K334" i="1" a="1"/>
  <c r="J334" i="1"/>
  <c r="J332" i="1"/>
  <c r="J331" i="1"/>
  <c r="K330" i="1" a="1"/>
  <c r="N332" i="1" s="1"/>
  <c r="J330" i="1"/>
  <c r="J328" i="1"/>
  <c r="J327" i="1"/>
  <c r="K326" i="1" a="1"/>
  <c r="L328" i="1" s="1"/>
  <c r="J326" i="1"/>
  <c r="J324" i="1"/>
  <c r="J323" i="1"/>
  <c r="K322" i="1" a="1"/>
  <c r="L324" i="1" s="1"/>
  <c r="J322" i="1"/>
  <c r="J320" i="1"/>
  <c r="J319" i="1"/>
  <c r="K318" i="1" a="1"/>
  <c r="L320" i="1" s="1"/>
  <c r="J318" i="1"/>
  <c r="J313" i="1"/>
  <c r="O316" i="1" s="1"/>
  <c r="C307" i="1"/>
  <c r="B307" i="1"/>
  <c r="C306" i="1"/>
  <c r="B306" i="1"/>
  <c r="C305" i="1"/>
  <c r="B305" i="1"/>
  <c r="J304" i="1"/>
  <c r="C304" i="1"/>
  <c r="B304" i="1"/>
  <c r="J303" i="1"/>
  <c r="C303" i="1"/>
  <c r="B303" i="1"/>
  <c r="K302" i="1" a="1"/>
  <c r="P304" i="1" s="1"/>
  <c r="J302" i="1"/>
  <c r="G302" i="1"/>
  <c r="F302" i="1"/>
  <c r="C302" i="1"/>
  <c r="B302" i="1"/>
  <c r="C301" i="1"/>
  <c r="B301" i="1"/>
  <c r="J300" i="1"/>
  <c r="C300" i="1"/>
  <c r="B300" i="1"/>
  <c r="J299" i="1"/>
  <c r="C299" i="1"/>
  <c r="B299" i="1"/>
  <c r="K298" i="1" a="1"/>
  <c r="O300" i="1" s="1"/>
  <c r="J298" i="1"/>
  <c r="C298" i="1"/>
  <c r="B298" i="1"/>
  <c r="J296" i="1"/>
  <c r="J295" i="1"/>
  <c r="K294" i="1" a="1"/>
  <c r="P296" i="1" s="1"/>
  <c r="J294" i="1"/>
  <c r="J292" i="1"/>
  <c r="J291" i="1"/>
  <c r="K290" i="1" a="1"/>
  <c r="M292" i="1" s="1"/>
  <c r="J290" i="1"/>
  <c r="J288" i="1"/>
  <c r="J287" i="1"/>
  <c r="K286" i="1" a="1"/>
  <c r="N288" i="1" s="1"/>
  <c r="J286" i="1"/>
  <c r="J284" i="1"/>
  <c r="J283" i="1"/>
  <c r="K282" i="1" a="1"/>
  <c r="L284" i="1" s="1"/>
  <c r="J282" i="1"/>
  <c r="J280" i="1"/>
  <c r="J279" i="1"/>
  <c r="K278" i="1" a="1"/>
  <c r="L280" i="1" s="1"/>
  <c r="J278" i="1"/>
  <c r="J276" i="1"/>
  <c r="J275" i="1"/>
  <c r="K274" i="1" a="1"/>
  <c r="L276" i="1" s="1"/>
  <c r="J274" i="1"/>
  <c r="J269" i="1"/>
  <c r="O272" i="1" s="1"/>
  <c r="C263" i="1"/>
  <c r="B263" i="1"/>
  <c r="C262" i="1"/>
  <c r="B262" i="1"/>
  <c r="C261" i="1"/>
  <c r="B261" i="1"/>
  <c r="J260" i="1"/>
  <c r="C260" i="1"/>
  <c r="B260" i="1"/>
  <c r="J259" i="1"/>
  <c r="C259" i="1"/>
  <c r="B259" i="1"/>
  <c r="K258" i="1" a="1"/>
  <c r="P260" i="1" s="1"/>
  <c r="J258" i="1"/>
  <c r="G258" i="1"/>
  <c r="F258" i="1"/>
  <c r="C258" i="1"/>
  <c r="B258" i="1"/>
  <c r="C257" i="1"/>
  <c r="B257" i="1"/>
  <c r="J256" i="1"/>
  <c r="C256" i="1"/>
  <c r="B256" i="1"/>
  <c r="J255" i="1"/>
  <c r="C255" i="1"/>
  <c r="B255" i="1"/>
  <c r="K254" i="1" a="1"/>
  <c r="O256" i="1" s="1"/>
  <c r="J254" i="1"/>
  <c r="C254" i="1"/>
  <c r="B254" i="1"/>
  <c r="J252" i="1"/>
  <c r="J251" i="1"/>
  <c r="K250" i="1" a="1"/>
  <c r="P252" i="1" s="1"/>
  <c r="J250" i="1"/>
  <c r="J248" i="1"/>
  <c r="J247" i="1"/>
  <c r="K246" i="1" a="1"/>
  <c r="M248" i="1" s="1"/>
  <c r="J246" i="1"/>
  <c r="J244" i="1"/>
  <c r="J243" i="1"/>
  <c r="K242" i="1" a="1"/>
  <c r="N244" i="1" s="1"/>
  <c r="J242" i="1"/>
  <c r="J240" i="1"/>
  <c r="J239" i="1"/>
  <c r="K238" i="1" a="1"/>
  <c r="L240" i="1" s="1"/>
  <c r="J238" i="1"/>
  <c r="J236" i="1"/>
  <c r="J235" i="1"/>
  <c r="K234" i="1" a="1"/>
  <c r="L236" i="1" s="1"/>
  <c r="J234" i="1"/>
  <c r="J232" i="1"/>
  <c r="J231" i="1"/>
  <c r="K230" i="1" a="1"/>
  <c r="L232" i="1" s="1"/>
  <c r="J230" i="1"/>
  <c r="J225" i="1"/>
  <c r="O228" i="1" s="1"/>
  <c r="C219" i="1"/>
  <c r="B219" i="1"/>
  <c r="C218" i="1"/>
  <c r="B218" i="1"/>
  <c r="C217" i="1"/>
  <c r="B217" i="1"/>
  <c r="J216" i="1"/>
  <c r="C216" i="1"/>
  <c r="B216" i="1"/>
  <c r="J215" i="1"/>
  <c r="C215" i="1"/>
  <c r="B215" i="1"/>
  <c r="K214" i="1" a="1"/>
  <c r="P216" i="1" s="1"/>
  <c r="J214" i="1"/>
  <c r="G214" i="1"/>
  <c r="F214" i="1"/>
  <c r="C214" i="1"/>
  <c r="B214" i="1"/>
  <c r="C213" i="1"/>
  <c r="B213" i="1"/>
  <c r="J212" i="1"/>
  <c r="C212" i="1"/>
  <c r="B212" i="1"/>
  <c r="J211" i="1"/>
  <c r="C211" i="1"/>
  <c r="B211" i="1"/>
  <c r="K210" i="1" a="1"/>
  <c r="P212" i="1" s="1"/>
  <c r="J210" i="1"/>
  <c r="C210" i="1"/>
  <c r="B210" i="1"/>
  <c r="J208" i="1"/>
  <c r="J207" i="1"/>
  <c r="K206" i="1" a="1"/>
  <c r="P208" i="1" s="1"/>
  <c r="J206" i="1"/>
  <c r="J204" i="1"/>
  <c r="J203" i="1"/>
  <c r="K202" i="1" a="1"/>
  <c r="O202" i="1" s="1"/>
  <c r="J202" i="1"/>
  <c r="J200" i="1"/>
  <c r="J199" i="1"/>
  <c r="K198" i="1" a="1"/>
  <c r="L199" i="1" s="1"/>
  <c r="J198" i="1"/>
  <c r="J196" i="1"/>
  <c r="J195" i="1"/>
  <c r="K194" i="1" a="1"/>
  <c r="J194" i="1"/>
  <c r="B193" i="1"/>
  <c r="C193" i="1" s="1"/>
  <c r="D193" i="1" s="1"/>
  <c r="G193" i="1" s="1"/>
  <c r="H193" i="1" s="1"/>
  <c r="J192" i="1"/>
  <c r="J191" i="1"/>
  <c r="K190" i="1" a="1"/>
  <c r="L192" i="1" s="1"/>
  <c r="J190" i="1"/>
  <c r="E190" i="1"/>
  <c r="J188" i="1"/>
  <c r="J187" i="1"/>
  <c r="G187" i="1"/>
  <c r="F187" i="1"/>
  <c r="D187" i="1"/>
  <c r="K186" i="1" a="1"/>
  <c r="K187" i="1" s="1"/>
  <c r="J186" i="1"/>
  <c r="J181" i="1"/>
  <c r="O184" i="1" s="1"/>
  <c r="C175" i="1"/>
  <c r="B175" i="1"/>
  <c r="C174" i="1"/>
  <c r="B174" i="1"/>
  <c r="C173" i="1"/>
  <c r="B173" i="1"/>
  <c r="J172" i="1"/>
  <c r="C172" i="1"/>
  <c r="B172" i="1"/>
  <c r="J171" i="1"/>
  <c r="C171" i="1"/>
  <c r="B171" i="1"/>
  <c r="K170" i="1" a="1"/>
  <c r="P172" i="1" s="1"/>
  <c r="J170" i="1"/>
  <c r="G170" i="1"/>
  <c r="F170" i="1"/>
  <c r="C170" i="1"/>
  <c r="B170" i="1"/>
  <c r="C169" i="1"/>
  <c r="B169" i="1"/>
  <c r="J168" i="1"/>
  <c r="C168" i="1"/>
  <c r="B168" i="1"/>
  <c r="J167" i="1"/>
  <c r="C167" i="1"/>
  <c r="B167" i="1"/>
  <c r="K166" i="1" a="1"/>
  <c r="P168" i="1" s="1"/>
  <c r="J166" i="1"/>
  <c r="C166" i="1"/>
  <c r="B166" i="1"/>
  <c r="J164" i="1"/>
  <c r="J163" i="1"/>
  <c r="K162" i="1" a="1"/>
  <c r="P164" i="1" s="1"/>
  <c r="J162" i="1"/>
  <c r="J160" i="1"/>
  <c r="J159" i="1"/>
  <c r="K158" i="1" a="1"/>
  <c r="K160" i="1" s="1"/>
  <c r="J158" i="1"/>
  <c r="J156" i="1"/>
  <c r="J155" i="1"/>
  <c r="K154" i="1" a="1"/>
  <c r="L155" i="1" s="1"/>
  <c r="J154" i="1"/>
  <c r="J152" i="1"/>
  <c r="J151" i="1"/>
  <c r="K150" i="1" a="1"/>
  <c r="M151" i="1" s="1"/>
  <c r="J150" i="1"/>
  <c r="B149" i="1"/>
  <c r="C149" i="1" s="1"/>
  <c r="D149" i="1" s="1"/>
  <c r="G149" i="1" s="1"/>
  <c r="H149" i="1" s="1"/>
  <c r="J148" i="1"/>
  <c r="J147" i="1"/>
  <c r="K146" i="1" a="1"/>
  <c r="L148" i="1" s="1"/>
  <c r="J146" i="1"/>
  <c r="E146" i="1"/>
  <c r="J144" i="1"/>
  <c r="J143" i="1"/>
  <c r="G143" i="1"/>
  <c r="F143" i="1"/>
  <c r="D143" i="1"/>
  <c r="K142" i="1" a="1"/>
  <c r="L143" i="1" s="1"/>
  <c r="J142" i="1"/>
  <c r="J137" i="1"/>
  <c r="O140" i="1" s="1"/>
  <c r="C131" i="1"/>
  <c r="B131" i="1"/>
  <c r="C130" i="1"/>
  <c r="B130" i="1"/>
  <c r="C129" i="1"/>
  <c r="B129" i="1"/>
  <c r="J128" i="1"/>
  <c r="C128" i="1"/>
  <c r="B128" i="1"/>
  <c r="J127" i="1"/>
  <c r="C127" i="1"/>
  <c r="B127" i="1"/>
  <c r="K126" i="1" a="1"/>
  <c r="P128" i="1" s="1"/>
  <c r="J126" i="1"/>
  <c r="G126" i="1"/>
  <c r="F126" i="1"/>
  <c r="C126" i="1"/>
  <c r="B126" i="1"/>
  <c r="C125" i="1"/>
  <c r="B125" i="1"/>
  <c r="J124" i="1"/>
  <c r="C124" i="1"/>
  <c r="B124" i="1"/>
  <c r="J123" i="1"/>
  <c r="C123" i="1"/>
  <c r="B123" i="1"/>
  <c r="K122" i="1" a="1"/>
  <c r="O124" i="1" s="1"/>
  <c r="J122" i="1"/>
  <c r="C122" i="1"/>
  <c r="B122" i="1"/>
  <c r="J120" i="1"/>
  <c r="J119" i="1"/>
  <c r="K118" i="1" a="1"/>
  <c r="P120" i="1" s="1"/>
  <c r="J118" i="1"/>
  <c r="J116" i="1"/>
  <c r="J115" i="1"/>
  <c r="K114" i="1" a="1"/>
  <c r="P115" i="1" s="1"/>
  <c r="J114" i="1"/>
  <c r="J112" i="1"/>
  <c r="J111" i="1"/>
  <c r="K110" i="1" a="1"/>
  <c r="M112" i="1" s="1"/>
  <c r="J110" i="1"/>
  <c r="J108" i="1"/>
  <c r="J107" i="1"/>
  <c r="K106" i="1" a="1"/>
  <c r="L108" i="1" s="1"/>
  <c r="J106" i="1"/>
  <c r="B105" i="1"/>
  <c r="C105" i="1" s="1"/>
  <c r="D105" i="1" s="1"/>
  <c r="G105" i="1" s="1"/>
  <c r="H105" i="1" s="1"/>
  <c r="J104" i="1"/>
  <c r="J103" i="1"/>
  <c r="K102" i="1" a="1"/>
  <c r="L104" i="1" s="1"/>
  <c r="J102" i="1"/>
  <c r="E102" i="1"/>
  <c r="J100" i="1"/>
  <c r="J99" i="1"/>
  <c r="G99" i="1"/>
  <c r="F99" i="1"/>
  <c r="D99" i="1"/>
  <c r="K98" i="1" a="1"/>
  <c r="L100" i="1" s="1"/>
  <c r="J98" i="1"/>
  <c r="J93" i="1"/>
  <c r="O96" i="1" s="1"/>
  <c r="C87" i="1"/>
  <c r="B87" i="1"/>
  <c r="C86" i="1"/>
  <c r="B86" i="1"/>
  <c r="C85" i="1"/>
  <c r="B85" i="1"/>
  <c r="J84" i="1"/>
  <c r="C84" i="1"/>
  <c r="B84" i="1"/>
  <c r="J83" i="1"/>
  <c r="C83" i="1"/>
  <c r="B83" i="1"/>
  <c r="K82" i="1" a="1"/>
  <c r="P84" i="1" s="1"/>
  <c r="J82" i="1"/>
  <c r="G82" i="1"/>
  <c r="F82" i="1"/>
  <c r="C82" i="1"/>
  <c r="B82" i="1"/>
  <c r="C81" i="1"/>
  <c r="B81" i="1"/>
  <c r="J80" i="1"/>
  <c r="C80" i="1"/>
  <c r="B80" i="1"/>
  <c r="J79" i="1"/>
  <c r="C79" i="1"/>
  <c r="B79" i="1"/>
  <c r="K78" i="1" a="1"/>
  <c r="M80" i="1" s="1"/>
  <c r="J78" i="1"/>
  <c r="C78" i="1"/>
  <c r="B78" i="1"/>
  <c r="J76" i="1"/>
  <c r="J75" i="1"/>
  <c r="K74" i="1" a="1"/>
  <c r="J74" i="1"/>
  <c r="J72" i="1"/>
  <c r="J71" i="1"/>
  <c r="K70" i="1" a="1"/>
  <c r="M71" i="1" s="1"/>
  <c r="J70" i="1"/>
  <c r="J68" i="1"/>
  <c r="J67" i="1"/>
  <c r="K66" i="1" a="1"/>
  <c r="O68" i="1" s="1"/>
  <c r="J66" i="1"/>
  <c r="J64" i="1"/>
  <c r="J63" i="1"/>
  <c r="K62" i="1" a="1"/>
  <c r="N62" i="1" s="1"/>
  <c r="J62" i="1"/>
  <c r="B61" i="1"/>
  <c r="C61" i="1" s="1"/>
  <c r="D61" i="1" s="1"/>
  <c r="G61" i="1" s="1"/>
  <c r="H61" i="1" s="1"/>
  <c r="J60" i="1"/>
  <c r="J59" i="1"/>
  <c r="K58" i="1" a="1"/>
  <c r="L60" i="1" s="1"/>
  <c r="J58" i="1"/>
  <c r="E58" i="1"/>
  <c r="J56" i="1"/>
  <c r="J55" i="1"/>
  <c r="G55" i="1"/>
  <c r="F55" i="1"/>
  <c r="D55" i="1"/>
  <c r="K54" i="1" a="1"/>
  <c r="L55" i="1" s="1"/>
  <c r="J54" i="1"/>
  <c r="J49" i="1"/>
  <c r="O52" i="1" s="1"/>
  <c r="V47" i="1"/>
  <c r="V48" i="1" s="1"/>
  <c r="V49" i="1" s="1"/>
  <c r="V50" i="1" s="1"/>
  <c r="V51" i="1" s="1"/>
  <c r="V52" i="1" s="1"/>
  <c r="V53" i="1" s="1"/>
  <c r="V54" i="1" s="1"/>
  <c r="V55" i="1" s="1"/>
  <c r="V56" i="1" s="1"/>
  <c r="V57" i="1" s="1"/>
  <c r="V58" i="1" s="1"/>
  <c r="V59" i="1" s="1"/>
  <c r="V60" i="1" s="1"/>
  <c r="V61" i="1" s="1"/>
  <c r="V62" i="1" s="1"/>
  <c r="V63" i="1" s="1"/>
  <c r="V64" i="1" s="1"/>
  <c r="V65" i="1" s="1"/>
  <c r="V66" i="1" s="1"/>
  <c r="V67" i="1" s="1"/>
  <c r="V68" i="1" s="1"/>
  <c r="V69" i="1" s="1"/>
  <c r="V70" i="1" s="1"/>
  <c r="V71" i="1" s="1"/>
  <c r="V72" i="1" s="1"/>
  <c r="V73" i="1" s="1"/>
  <c r="V74" i="1" s="1"/>
  <c r="V75" i="1" s="1"/>
  <c r="V76" i="1" s="1"/>
  <c r="V77" i="1" s="1"/>
  <c r="V78" i="1" s="1"/>
  <c r="V79" i="1" s="1"/>
  <c r="V80" i="1" s="1"/>
  <c r="V81" i="1" s="1"/>
  <c r="V82" i="1" s="1"/>
  <c r="V83" i="1" s="1"/>
  <c r="V84" i="1" s="1"/>
  <c r="V85" i="1" s="1"/>
  <c r="V86" i="1" s="1"/>
  <c r="V87" i="1" s="1"/>
  <c r="V88" i="1" s="1"/>
  <c r="J40" i="1"/>
  <c r="J39" i="1"/>
  <c r="K38" i="1" a="1"/>
  <c r="Q40" i="1" s="1"/>
  <c r="J38" i="1"/>
  <c r="J36" i="1"/>
  <c r="J35" i="1"/>
  <c r="K34" i="1" a="1"/>
  <c r="O36" i="1" s="1"/>
  <c r="J34" i="1"/>
  <c r="J32" i="1"/>
  <c r="J31" i="1"/>
  <c r="K30" i="1" a="1"/>
  <c r="N32" i="1" s="1"/>
  <c r="J30" i="1"/>
  <c r="J28" i="1"/>
  <c r="J27" i="1"/>
  <c r="K26" i="1" a="1"/>
  <c r="N28" i="1" s="1"/>
  <c r="J26" i="1"/>
  <c r="J24" i="1"/>
  <c r="J23" i="1"/>
  <c r="K22" i="1" a="1"/>
  <c r="O24" i="1" s="1"/>
  <c r="J22" i="1"/>
  <c r="J20" i="1"/>
  <c r="J19" i="1"/>
  <c r="K18" i="1" a="1"/>
  <c r="K20" i="1" s="1"/>
  <c r="J18" i="1"/>
  <c r="J16" i="1"/>
  <c r="J15" i="1"/>
  <c r="K14" i="1" a="1"/>
  <c r="M15" i="1" s="1"/>
  <c r="J14" i="1"/>
  <c r="J12" i="1"/>
  <c r="J11" i="1"/>
  <c r="K10" i="1" a="1"/>
  <c r="K12" i="1" s="1"/>
  <c r="J10" i="1"/>
  <c r="J5" i="1"/>
  <c r="J7" i="1" s="1"/>
  <c r="V3" i="1"/>
  <c r="V4" i="1" s="1"/>
  <c r="V5" i="1" s="1"/>
  <c r="V6" i="1" s="1"/>
  <c r="V7" i="1" s="1"/>
  <c r="V8" i="1" s="1"/>
  <c r="V9" i="1" s="1"/>
  <c r="V10" i="1" s="1"/>
  <c r="V11" i="1" s="1"/>
  <c r="V12" i="1" s="1"/>
  <c r="V13" i="1" s="1"/>
  <c r="V14" i="1" s="1"/>
  <c r="V15" i="1" s="1"/>
  <c r="V16" i="1" s="1"/>
  <c r="V17" i="1" s="1"/>
  <c r="V18" i="1" s="1"/>
  <c r="V19" i="1" s="1"/>
  <c r="V20" i="1" s="1"/>
  <c r="V21" i="1" s="1"/>
  <c r="V22" i="1" s="1"/>
  <c r="V23" i="1" s="1"/>
  <c r="V24" i="1" s="1"/>
  <c r="V25" i="1" s="1"/>
  <c r="V26" i="1" s="1"/>
  <c r="V27" i="1" s="1"/>
  <c r="V28" i="1" s="1"/>
  <c r="V29" i="1" s="1"/>
  <c r="V30" i="1" s="1"/>
  <c r="V31" i="1" s="1"/>
  <c r="V32" i="1" s="1"/>
  <c r="V33" i="1" s="1"/>
  <c r="V34" i="1" s="1"/>
  <c r="V35" i="1" s="1"/>
  <c r="V36" i="1" s="1"/>
  <c r="V37" i="1" s="1"/>
  <c r="V38" i="1" s="1"/>
  <c r="V39" i="1" s="1"/>
  <c r="V40" i="1" s="1"/>
  <c r="V41" i="1" s="1"/>
  <c r="V42" i="1" s="1"/>
  <c r="V43" i="1" s="1"/>
  <c r="V44" i="1" s="1"/>
  <c r="D11" i="1"/>
  <c r="B17" i="1"/>
  <c r="C17" i="1" s="1"/>
  <c r="D17" i="1" s="1"/>
  <c r="G17" i="1" s="1"/>
  <c r="H17" i="1" s="1"/>
  <c r="G11" i="1"/>
  <c r="F11" i="1"/>
  <c r="G38" i="1"/>
  <c r="F38" i="1"/>
  <c r="B35" i="1"/>
  <c r="C35" i="1"/>
  <c r="B36" i="1"/>
  <c r="C36" i="1"/>
  <c r="B37" i="1"/>
  <c r="C37" i="1"/>
  <c r="B38" i="1"/>
  <c r="C38" i="1"/>
  <c r="B39" i="1"/>
  <c r="C39" i="1"/>
  <c r="B40" i="1"/>
  <c r="C40" i="1"/>
  <c r="B41" i="1"/>
  <c r="C41" i="1"/>
  <c r="B42" i="1"/>
  <c r="C42" i="1"/>
  <c r="B43" i="1"/>
  <c r="C43" i="1"/>
  <c r="C34" i="1"/>
  <c r="B34" i="1"/>
  <c r="E14" i="1"/>
  <c r="A2" i="1"/>
  <c r="B1" i="1"/>
  <c r="C1" i="1" s="1"/>
  <c r="D1" i="1" s="1"/>
  <c r="E1" i="1" s="1"/>
  <c r="F1" i="1" s="1"/>
  <c r="G1" i="1" s="1"/>
  <c r="H1" i="1" s="1"/>
  <c r="I1" i="1" s="1"/>
  <c r="J1" i="1" s="1"/>
  <c r="K1" i="1" s="1"/>
  <c r="U3" i="1"/>
  <c r="D170" i="1" l="1"/>
  <c r="D263" i="1"/>
  <c r="E390" i="1"/>
  <c r="D568" i="1"/>
  <c r="D562" i="1"/>
  <c r="P510" i="1"/>
  <c r="A73" i="2"/>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E566" i="1"/>
  <c r="D570" i="1"/>
  <c r="D215" i="1"/>
  <c r="D218" i="1"/>
  <c r="S313" i="1"/>
  <c r="R313" i="1" s="1"/>
  <c r="E434" i="1"/>
  <c r="K506" i="1"/>
  <c r="J314" i="1"/>
  <c r="AD5" i="2"/>
  <c r="E478" i="1"/>
  <c r="L510" i="1"/>
  <c r="D567" i="1"/>
  <c r="D525" i="1"/>
  <c r="D527" i="1"/>
  <c r="N511" i="1"/>
  <c r="P518" i="1"/>
  <c r="E302" i="1"/>
  <c r="L432" i="1"/>
  <c r="P512" i="1"/>
  <c r="K520" i="1"/>
  <c r="D526" i="1"/>
  <c r="J447" i="1"/>
  <c r="L500" i="1"/>
  <c r="K507" i="1"/>
  <c r="K519" i="1"/>
  <c r="M520" i="1"/>
  <c r="E170" i="1"/>
  <c r="E258" i="1"/>
  <c r="J315" i="1"/>
  <c r="E346" i="1"/>
  <c r="D477" i="1"/>
  <c r="K508" i="1"/>
  <c r="L512" i="1"/>
  <c r="K518" i="1"/>
  <c r="M519" i="1"/>
  <c r="P520" i="1"/>
  <c r="D520" i="1"/>
  <c r="D439" i="1"/>
  <c r="D479" i="1"/>
  <c r="K503" i="1"/>
  <c r="M518" i="1"/>
  <c r="P519" i="1"/>
  <c r="D260" i="1"/>
  <c r="D306" i="1"/>
  <c r="D262" i="1"/>
  <c r="D78" i="1"/>
  <c r="D130" i="1"/>
  <c r="D216" i="1"/>
  <c r="D128" i="1"/>
  <c r="D131" i="1"/>
  <c r="D171" i="1"/>
  <c r="D391" i="1"/>
  <c r="D435" i="1"/>
  <c r="D348" i="1"/>
  <c r="D434" i="1"/>
  <c r="D172" i="1"/>
  <c r="D345" i="1"/>
  <c r="D301" i="1"/>
  <c r="D304" i="1"/>
  <c r="D307" i="1"/>
  <c r="D343" i="1"/>
  <c r="D389" i="1"/>
  <c r="D519" i="1"/>
  <c r="D82" i="1"/>
  <c r="D431" i="1"/>
  <c r="D351" i="1"/>
  <c r="D392" i="1"/>
  <c r="D394" i="1"/>
  <c r="D563" i="1"/>
  <c r="D126" i="1"/>
  <c r="D174" i="1"/>
  <c r="D258" i="1"/>
  <c r="D437" i="1"/>
  <c r="D483" i="1"/>
  <c r="D518" i="1"/>
  <c r="D347" i="1"/>
  <c r="D350" i="1"/>
  <c r="D482" i="1"/>
  <c r="D81" i="1"/>
  <c r="D85" i="1"/>
  <c r="D127" i="1"/>
  <c r="D257" i="1"/>
  <c r="D259" i="1"/>
  <c r="D303" i="1"/>
  <c r="D83" i="1"/>
  <c r="D86" i="1"/>
  <c r="D129" i="1"/>
  <c r="D217" i="1"/>
  <c r="D261" i="1"/>
  <c r="D302" i="1"/>
  <c r="D436" i="1"/>
  <c r="D481" i="1"/>
  <c r="D346" i="1"/>
  <c r="D521" i="1"/>
  <c r="D523" i="1" s="1"/>
  <c r="D524" i="1" s="1"/>
  <c r="D173" i="1"/>
  <c r="D210" i="1"/>
  <c r="D211" i="1"/>
  <c r="D255" i="1"/>
  <c r="D305" i="1"/>
  <c r="D349" i="1"/>
  <c r="D393" i="1"/>
  <c r="D433" i="1"/>
  <c r="D438" i="1"/>
  <c r="D478" i="1"/>
  <c r="D522" i="1"/>
  <c r="D565" i="1"/>
  <c r="D569" i="1"/>
  <c r="D566" i="1"/>
  <c r="D564" i="1"/>
  <c r="O558" i="1"/>
  <c r="L559" i="1"/>
  <c r="Q560" i="1"/>
  <c r="M546" i="1"/>
  <c r="O566" i="1"/>
  <c r="M548" i="1"/>
  <c r="M568" i="1"/>
  <c r="P559" i="1"/>
  <c r="L543" i="1"/>
  <c r="K558" i="1"/>
  <c r="M560" i="1"/>
  <c r="L538" i="1"/>
  <c r="K542" i="1"/>
  <c r="L546" i="1"/>
  <c r="L548" i="1"/>
  <c r="M550" i="1"/>
  <c r="N551" i="1"/>
  <c r="N552" i="1"/>
  <c r="L558" i="1"/>
  <c r="M559" i="1"/>
  <c r="N560" i="1"/>
  <c r="M562" i="1"/>
  <c r="K563" i="1"/>
  <c r="P563" i="1"/>
  <c r="M564" i="1"/>
  <c r="S566" i="1"/>
  <c r="Q568" i="1"/>
  <c r="O550" i="1"/>
  <c r="O551" i="1"/>
  <c r="O562" i="1"/>
  <c r="L563" i="1"/>
  <c r="Q563" i="1"/>
  <c r="O564" i="1"/>
  <c r="N567" i="1"/>
  <c r="K539" i="1"/>
  <c r="O552" i="1"/>
  <c r="L540" i="1"/>
  <c r="M544" i="1"/>
  <c r="L547" i="1"/>
  <c r="K550" i="1"/>
  <c r="K551" i="1"/>
  <c r="K552" i="1"/>
  <c r="N554" i="1"/>
  <c r="P558" i="1"/>
  <c r="Q559" i="1"/>
  <c r="K562" i="1"/>
  <c r="P562" i="1"/>
  <c r="M563" i="1"/>
  <c r="K564" i="1"/>
  <c r="P564" i="1"/>
  <c r="K566" i="1"/>
  <c r="R567" i="1"/>
  <c r="M547" i="1"/>
  <c r="L550" i="1"/>
  <c r="L551" i="1"/>
  <c r="M552" i="1"/>
  <c r="L562" i="1"/>
  <c r="Q562" i="1"/>
  <c r="O563" i="1"/>
  <c r="L564" i="1"/>
  <c r="Q564" i="1"/>
  <c r="K26" i="1"/>
  <c r="Q32" i="1"/>
  <c r="E522" i="1"/>
  <c r="L494" i="1"/>
  <c r="L503" i="1"/>
  <c r="L506" i="1"/>
  <c r="L507" i="1"/>
  <c r="M508" i="1"/>
  <c r="M510" i="1"/>
  <c r="O511" i="1"/>
  <c r="K514" i="1"/>
  <c r="M516" i="1"/>
  <c r="G520" i="1"/>
  <c r="O518" i="1"/>
  <c r="L519" i="1"/>
  <c r="Q519" i="1"/>
  <c r="O520" i="1"/>
  <c r="L496" i="1"/>
  <c r="K502" i="1"/>
  <c r="K504" i="1"/>
  <c r="M506" i="1"/>
  <c r="N507" i="1"/>
  <c r="N508" i="1"/>
  <c r="O514" i="1"/>
  <c r="Q516" i="1"/>
  <c r="P515" i="1"/>
  <c r="L502" i="1"/>
  <c r="L504" i="1"/>
  <c r="O506" i="1"/>
  <c r="O507" i="1"/>
  <c r="O508" i="1"/>
  <c r="K511" i="1"/>
  <c r="M512" i="1"/>
  <c r="L515" i="1"/>
  <c r="L518" i="1"/>
  <c r="Q518" i="1"/>
  <c r="O519" i="1"/>
  <c r="L520" i="1"/>
  <c r="Q520" i="1"/>
  <c r="D475" i="1"/>
  <c r="D432" i="1"/>
  <c r="D386" i="1"/>
  <c r="D299" i="1"/>
  <c r="L466" i="1"/>
  <c r="L454" i="1"/>
  <c r="K467" i="1"/>
  <c r="K468" i="1"/>
  <c r="L478" i="1"/>
  <c r="D476" i="1"/>
  <c r="S479" i="1"/>
  <c r="N458" i="1"/>
  <c r="P468" i="1"/>
  <c r="O424" i="1"/>
  <c r="K422" i="1"/>
  <c r="P427" i="1"/>
  <c r="M422" i="1"/>
  <c r="L424" i="1"/>
  <c r="M428" i="1"/>
  <c r="P422" i="1"/>
  <c r="M426" i="1"/>
  <c r="O423" i="1"/>
  <c r="O426" i="1"/>
  <c r="L427" i="1"/>
  <c r="O428" i="1"/>
  <c r="L430" i="1"/>
  <c r="M423" i="1"/>
  <c r="K426" i="1"/>
  <c r="N427" i="1"/>
  <c r="Q428" i="1"/>
  <c r="D430" i="1"/>
  <c r="L431" i="1"/>
  <c r="L363" i="1"/>
  <c r="M387" i="1"/>
  <c r="D387" i="1"/>
  <c r="S392" i="1"/>
  <c r="Q388" i="1"/>
  <c r="P390" i="1"/>
  <c r="N372" i="1"/>
  <c r="R391" i="1"/>
  <c r="M366" i="1"/>
  <c r="Q390" i="1"/>
  <c r="S391" i="1"/>
  <c r="M368" i="1"/>
  <c r="K390" i="1"/>
  <c r="L391" i="1"/>
  <c r="N392" i="1"/>
  <c r="F388" i="1"/>
  <c r="L390" i="1"/>
  <c r="N391" i="1"/>
  <c r="O392" i="1"/>
  <c r="M338" i="1"/>
  <c r="F344" i="1"/>
  <c r="Q338" i="1"/>
  <c r="Q339" i="1"/>
  <c r="K338" i="1"/>
  <c r="N340" i="1"/>
  <c r="L323" i="1"/>
  <c r="Q342" i="1"/>
  <c r="D342" i="1"/>
  <c r="N339" i="1"/>
  <c r="M330" i="1"/>
  <c r="L338" i="1"/>
  <c r="L339" i="1"/>
  <c r="M340" i="1"/>
  <c r="M343" i="1"/>
  <c r="L331" i="1"/>
  <c r="M344" i="1"/>
  <c r="K332" i="1"/>
  <c r="P338" i="1"/>
  <c r="P339" i="1"/>
  <c r="O340" i="1"/>
  <c r="M342" i="1"/>
  <c r="Q344" i="1"/>
  <c r="G300" i="1"/>
  <c r="M455" i="1"/>
  <c r="N462" i="1"/>
  <c r="M466" i="1"/>
  <c r="M467" i="1"/>
  <c r="L468" i="1"/>
  <c r="K470" i="1"/>
  <c r="L471" i="1"/>
  <c r="M472" i="1"/>
  <c r="P478" i="1"/>
  <c r="N480" i="1"/>
  <c r="M463" i="1"/>
  <c r="O466" i="1"/>
  <c r="N467" i="1"/>
  <c r="M468" i="1"/>
  <c r="M470" i="1"/>
  <c r="N471" i="1"/>
  <c r="O472" i="1"/>
  <c r="K479" i="1"/>
  <c r="R480" i="1"/>
  <c r="Q470" i="1"/>
  <c r="K472" i="1"/>
  <c r="K466" i="1"/>
  <c r="P466" i="1"/>
  <c r="O467" i="1"/>
  <c r="O468" i="1"/>
  <c r="O470" i="1"/>
  <c r="P471" i="1"/>
  <c r="Q472" i="1"/>
  <c r="D474" i="1"/>
  <c r="O479" i="1"/>
  <c r="O422" i="1"/>
  <c r="N423" i="1"/>
  <c r="M424" i="1"/>
  <c r="G432" i="1"/>
  <c r="P431" i="1"/>
  <c r="L410" i="1"/>
  <c r="J403" i="1"/>
  <c r="M411" i="1"/>
  <c r="L422" i="1"/>
  <c r="K423" i="1"/>
  <c r="K424" i="1"/>
  <c r="P424" i="1"/>
  <c r="Q426" i="1"/>
  <c r="K428" i="1"/>
  <c r="P430" i="1"/>
  <c r="P432" i="1"/>
  <c r="J359" i="1"/>
  <c r="Q382" i="1"/>
  <c r="K384" i="1"/>
  <c r="S357" i="1"/>
  <c r="R357" i="1" s="1"/>
  <c r="J360" i="1"/>
  <c r="L367" i="1"/>
  <c r="J358" i="1"/>
  <c r="K366" i="1"/>
  <c r="M367" i="1"/>
  <c r="N370" i="1"/>
  <c r="M382" i="1"/>
  <c r="N383" i="1"/>
  <c r="O384" i="1"/>
  <c r="M390" i="1"/>
  <c r="S390" i="1"/>
  <c r="O391" i="1"/>
  <c r="K392" i="1"/>
  <c r="Q392" i="1"/>
  <c r="L382" i="1"/>
  <c r="M383" i="1"/>
  <c r="N384" i="1"/>
  <c r="L366" i="1"/>
  <c r="K368" i="1"/>
  <c r="P382" i="1"/>
  <c r="Q383" i="1"/>
  <c r="O390" i="1"/>
  <c r="K391" i="1"/>
  <c r="P391" i="1"/>
  <c r="M392" i="1"/>
  <c r="R392" i="1"/>
  <c r="N347" i="1"/>
  <c r="K319" i="1"/>
  <c r="M323" i="1"/>
  <c r="M326" i="1"/>
  <c r="K346" i="1"/>
  <c r="R347" i="1"/>
  <c r="K322" i="1"/>
  <c r="M324" i="1"/>
  <c r="M327" i="1"/>
  <c r="G344" i="1"/>
  <c r="O346" i="1"/>
  <c r="M348" i="1"/>
  <c r="L322" i="1"/>
  <c r="M328" i="1"/>
  <c r="O332" i="1"/>
  <c r="O338" i="1"/>
  <c r="M339" i="1"/>
  <c r="K340" i="1"/>
  <c r="Q340" i="1"/>
  <c r="Q343" i="1"/>
  <c r="D344" i="1"/>
  <c r="S346" i="1"/>
  <c r="Q348" i="1"/>
  <c r="K275" i="1"/>
  <c r="D300" i="1"/>
  <c r="L278" i="1"/>
  <c r="O288" i="1"/>
  <c r="P299" i="1"/>
  <c r="M280" i="1"/>
  <c r="P300" i="1"/>
  <c r="K278" i="1"/>
  <c r="L286" i="1"/>
  <c r="P298" i="1"/>
  <c r="O294" i="1"/>
  <c r="M295" i="1"/>
  <c r="K296" i="1"/>
  <c r="Q296" i="1"/>
  <c r="Q298" i="1"/>
  <c r="Q299" i="1"/>
  <c r="Q300" i="1"/>
  <c r="F300" i="1"/>
  <c r="K302" i="1"/>
  <c r="R303" i="1"/>
  <c r="S269" i="1"/>
  <c r="R269" i="1" s="1"/>
  <c r="Q269" i="1" s="1"/>
  <c r="L279" i="1"/>
  <c r="M282" i="1"/>
  <c r="M286" i="1"/>
  <c r="K294" i="1"/>
  <c r="P294" i="1"/>
  <c r="N295" i="1"/>
  <c r="M296" i="1"/>
  <c r="D298" i="1"/>
  <c r="L298" i="1"/>
  <c r="L299" i="1"/>
  <c r="L300" i="1"/>
  <c r="O302" i="1"/>
  <c r="M304" i="1"/>
  <c r="J270" i="1"/>
  <c r="M279" i="1"/>
  <c r="M283" i="1"/>
  <c r="L287" i="1"/>
  <c r="L294" i="1"/>
  <c r="Q294" i="1"/>
  <c r="P295" i="1"/>
  <c r="N296" i="1"/>
  <c r="M298" i="1"/>
  <c r="M299" i="1"/>
  <c r="M300" i="1"/>
  <c r="S302" i="1"/>
  <c r="Q304" i="1"/>
  <c r="J271" i="1"/>
  <c r="M284" i="1"/>
  <c r="K288" i="1"/>
  <c r="M294" i="1"/>
  <c r="L295" i="1"/>
  <c r="Q295" i="1"/>
  <c r="O296" i="1"/>
  <c r="N303" i="1"/>
  <c r="D256" i="1"/>
  <c r="D169" i="1"/>
  <c r="D123" i="1"/>
  <c r="P251" i="1"/>
  <c r="M254" i="1"/>
  <c r="G256" i="1"/>
  <c r="L234" i="1"/>
  <c r="L235" i="1"/>
  <c r="M238" i="1"/>
  <c r="M240" i="1"/>
  <c r="J227" i="1"/>
  <c r="Q250" i="1"/>
  <c r="M236" i="1"/>
  <c r="L243" i="1"/>
  <c r="N252" i="1"/>
  <c r="M255" i="1"/>
  <c r="S225" i="1"/>
  <c r="R225" i="1" s="1"/>
  <c r="K234" i="1"/>
  <c r="L250" i="1"/>
  <c r="M256" i="1"/>
  <c r="N259" i="1"/>
  <c r="J226" i="1"/>
  <c r="K231" i="1"/>
  <c r="M235" i="1"/>
  <c r="M239" i="1"/>
  <c r="K244" i="1"/>
  <c r="M250" i="1"/>
  <c r="L251" i="1"/>
  <c r="Q251" i="1"/>
  <c r="O252" i="1"/>
  <c r="P254" i="1"/>
  <c r="P255" i="1"/>
  <c r="P256" i="1"/>
  <c r="K258" i="1"/>
  <c r="R259" i="1"/>
  <c r="O244" i="1"/>
  <c r="O250" i="1"/>
  <c r="M251" i="1"/>
  <c r="K252" i="1"/>
  <c r="Q252" i="1"/>
  <c r="Q254" i="1"/>
  <c r="Q255" i="1"/>
  <c r="Q256" i="1"/>
  <c r="O258" i="1"/>
  <c r="M260" i="1"/>
  <c r="M242" i="1"/>
  <c r="K250" i="1"/>
  <c r="P250" i="1"/>
  <c r="N251" i="1"/>
  <c r="M252" i="1"/>
  <c r="D254" i="1"/>
  <c r="L254" i="1"/>
  <c r="L255" i="1"/>
  <c r="L256" i="1"/>
  <c r="F256" i="1"/>
  <c r="S258" i="1"/>
  <c r="Q260" i="1"/>
  <c r="D213" i="1"/>
  <c r="E214" i="1"/>
  <c r="Q207" i="1"/>
  <c r="M206" i="1"/>
  <c r="L207" i="1"/>
  <c r="L190" i="1"/>
  <c r="L200" i="1"/>
  <c r="M211" i="1"/>
  <c r="J182" i="1"/>
  <c r="L191" i="1"/>
  <c r="P203" i="1"/>
  <c r="O208" i="1"/>
  <c r="O215" i="1"/>
  <c r="O206" i="1"/>
  <c r="M207" i="1"/>
  <c r="K208" i="1"/>
  <c r="Q208" i="1"/>
  <c r="Q211" i="1"/>
  <c r="K214" i="1"/>
  <c r="S214" i="1"/>
  <c r="R215" i="1"/>
  <c r="Q216" i="1"/>
  <c r="P214" i="1"/>
  <c r="J183" i="1"/>
  <c r="L187" i="1"/>
  <c r="M191" i="1"/>
  <c r="N198" i="1"/>
  <c r="N202" i="1"/>
  <c r="K206" i="1"/>
  <c r="P206" i="1"/>
  <c r="N207" i="1"/>
  <c r="M208" i="1"/>
  <c r="M210" i="1"/>
  <c r="M212" i="1"/>
  <c r="L214" i="1"/>
  <c r="K215" i="1"/>
  <c r="S215" i="1"/>
  <c r="R216" i="1"/>
  <c r="N216" i="1"/>
  <c r="O200" i="1"/>
  <c r="K204" i="1"/>
  <c r="S181" i="1"/>
  <c r="R181" i="1" s="1"/>
  <c r="K190" i="1"/>
  <c r="M192" i="1"/>
  <c r="L206" i="1"/>
  <c r="Q206" i="1"/>
  <c r="P207" i="1"/>
  <c r="N208" i="1"/>
  <c r="Q210" i="1"/>
  <c r="Q212" i="1"/>
  <c r="F212" i="1"/>
  <c r="O214" i="1"/>
  <c r="N215" i="1"/>
  <c r="M216" i="1"/>
  <c r="D166" i="1"/>
  <c r="D167" i="1"/>
  <c r="P163" i="1"/>
  <c r="O156" i="1"/>
  <c r="Q168" i="1"/>
  <c r="F168" i="1"/>
  <c r="L162" i="1"/>
  <c r="N150" i="1"/>
  <c r="M162" i="1"/>
  <c r="Q163" i="1"/>
  <c r="O170" i="1"/>
  <c r="M152" i="1"/>
  <c r="Q162" i="1"/>
  <c r="N164" i="1"/>
  <c r="Q166" i="1"/>
  <c r="N171" i="1"/>
  <c r="L163" i="1"/>
  <c r="O164" i="1"/>
  <c r="M167" i="1"/>
  <c r="M172" i="1"/>
  <c r="P170" i="1"/>
  <c r="O171" i="1"/>
  <c r="N172" i="1"/>
  <c r="J139" i="1"/>
  <c r="N152" i="1"/>
  <c r="O162" i="1"/>
  <c r="M163" i="1"/>
  <c r="K164" i="1"/>
  <c r="Q164" i="1"/>
  <c r="Q167" i="1"/>
  <c r="K170" i="1"/>
  <c r="S170" i="1"/>
  <c r="R171" i="1"/>
  <c r="Q172" i="1"/>
  <c r="M147" i="1"/>
  <c r="K146" i="1"/>
  <c r="M148" i="1"/>
  <c r="O158" i="1"/>
  <c r="S137" i="1"/>
  <c r="L146" i="1"/>
  <c r="J138" i="1"/>
  <c r="L147" i="1"/>
  <c r="M150" i="1"/>
  <c r="K162" i="1"/>
  <c r="P162" i="1"/>
  <c r="N163" i="1"/>
  <c r="M164" i="1"/>
  <c r="M166" i="1"/>
  <c r="M168" i="1"/>
  <c r="L170" i="1"/>
  <c r="K171" i="1"/>
  <c r="S171" i="1"/>
  <c r="R172" i="1"/>
  <c r="D125" i="1"/>
  <c r="E126" i="1"/>
  <c r="L103" i="1"/>
  <c r="N112" i="1"/>
  <c r="P123" i="1"/>
  <c r="D124" i="1"/>
  <c r="O120" i="1"/>
  <c r="M104" i="1"/>
  <c r="M118" i="1"/>
  <c r="P124" i="1"/>
  <c r="L119" i="1"/>
  <c r="K111" i="1"/>
  <c r="Q119" i="1"/>
  <c r="G124" i="1"/>
  <c r="P122" i="1"/>
  <c r="M107" i="1"/>
  <c r="O118" i="1"/>
  <c r="M119" i="1"/>
  <c r="K120" i="1"/>
  <c r="Q120" i="1"/>
  <c r="Q122" i="1"/>
  <c r="Q123" i="1"/>
  <c r="Q124" i="1"/>
  <c r="F124" i="1"/>
  <c r="K126" i="1"/>
  <c r="R127" i="1"/>
  <c r="M108" i="1"/>
  <c r="L111" i="1"/>
  <c r="O112" i="1"/>
  <c r="S93" i="1"/>
  <c r="R93" i="1" s="1"/>
  <c r="K99" i="1"/>
  <c r="L110" i="1"/>
  <c r="O111" i="1"/>
  <c r="K118" i="1"/>
  <c r="P118" i="1"/>
  <c r="N119" i="1"/>
  <c r="M120" i="1"/>
  <c r="D122" i="1"/>
  <c r="L122" i="1"/>
  <c r="L123" i="1"/>
  <c r="L124" i="1"/>
  <c r="O126" i="1"/>
  <c r="M128" i="1"/>
  <c r="J94" i="1"/>
  <c r="K102" i="1"/>
  <c r="M106" i="1"/>
  <c r="M110" i="1"/>
  <c r="K112" i="1"/>
  <c r="L118" i="1"/>
  <c r="Q118" i="1"/>
  <c r="P119" i="1"/>
  <c r="N120" i="1"/>
  <c r="M122" i="1"/>
  <c r="M123" i="1"/>
  <c r="M124" i="1"/>
  <c r="S126" i="1"/>
  <c r="Q128" i="1"/>
  <c r="N127" i="1"/>
  <c r="E82" i="1"/>
  <c r="L71" i="1"/>
  <c r="L72" i="1"/>
  <c r="K58" i="1"/>
  <c r="M60" i="1"/>
  <c r="K60" i="1"/>
  <c r="L58" i="1"/>
  <c r="M58" i="1"/>
  <c r="L70" i="1"/>
  <c r="K84" i="1"/>
  <c r="K64" i="1"/>
  <c r="M67" i="1"/>
  <c r="K72" i="1"/>
  <c r="M82" i="1"/>
  <c r="Q84" i="1"/>
  <c r="S82" i="1"/>
  <c r="M59" i="1"/>
  <c r="N70" i="1"/>
  <c r="P72" i="1"/>
  <c r="O83" i="1"/>
  <c r="AE5" i="2"/>
  <c r="AF3" i="2"/>
  <c r="AE2" i="2"/>
  <c r="O448" i="1"/>
  <c r="J448" i="1"/>
  <c r="N459" i="1"/>
  <c r="F476" i="1"/>
  <c r="Q476" i="1"/>
  <c r="M476" i="1"/>
  <c r="Q475" i="1"/>
  <c r="M475" i="1"/>
  <c r="Q474" i="1"/>
  <c r="M474" i="1"/>
  <c r="P476" i="1"/>
  <c r="L476" i="1"/>
  <c r="P475" i="1"/>
  <c r="L475" i="1"/>
  <c r="P474" i="1"/>
  <c r="L474" i="1"/>
  <c r="O476" i="1"/>
  <c r="K476" i="1"/>
  <c r="O475" i="1"/>
  <c r="K475" i="1"/>
  <c r="O474" i="1"/>
  <c r="K474" i="1"/>
  <c r="R475" i="1"/>
  <c r="D480" i="1"/>
  <c r="K500" i="1"/>
  <c r="M498" i="1"/>
  <c r="M499" i="1"/>
  <c r="L498" i="1"/>
  <c r="M500" i="1"/>
  <c r="L499" i="1"/>
  <c r="K498" i="1"/>
  <c r="N522" i="1"/>
  <c r="S524" i="1"/>
  <c r="O524" i="1"/>
  <c r="K524" i="1"/>
  <c r="P523" i="1"/>
  <c r="L523" i="1"/>
  <c r="Q522" i="1"/>
  <c r="M522" i="1"/>
  <c r="R524" i="1"/>
  <c r="N524" i="1"/>
  <c r="S523" i="1"/>
  <c r="O523" i="1"/>
  <c r="K523" i="1"/>
  <c r="P522" i="1"/>
  <c r="L522" i="1"/>
  <c r="Q524" i="1"/>
  <c r="M524" i="1"/>
  <c r="R523" i="1"/>
  <c r="N523" i="1"/>
  <c r="S522" i="1"/>
  <c r="O522" i="1"/>
  <c r="K522" i="1"/>
  <c r="D571" i="1"/>
  <c r="F564" i="1"/>
  <c r="J446" i="1"/>
  <c r="N474" i="1"/>
  <c r="N476" i="1"/>
  <c r="J492" i="1"/>
  <c r="J491" i="1"/>
  <c r="J490" i="1"/>
  <c r="S489" i="1"/>
  <c r="R522" i="1"/>
  <c r="P524" i="1"/>
  <c r="R533" i="1"/>
  <c r="Q523" i="1"/>
  <c r="R445" i="1"/>
  <c r="K451" i="1"/>
  <c r="L452" i="1"/>
  <c r="L450" i="1"/>
  <c r="K452" i="1"/>
  <c r="K450" i="1"/>
  <c r="M460" i="1"/>
  <c r="M459" i="1"/>
  <c r="M458" i="1"/>
  <c r="L460" i="1"/>
  <c r="L459" i="1"/>
  <c r="L458" i="1"/>
  <c r="K460" i="1"/>
  <c r="K459" i="1"/>
  <c r="K458" i="1"/>
  <c r="O464" i="1"/>
  <c r="K464" i="1"/>
  <c r="L463" i="1"/>
  <c r="M462" i="1"/>
  <c r="N464" i="1"/>
  <c r="O463" i="1"/>
  <c r="K463" i="1"/>
  <c r="L462" i="1"/>
  <c r="M464" i="1"/>
  <c r="N463" i="1"/>
  <c r="O462" i="1"/>
  <c r="K462" i="1"/>
  <c r="R474" i="1"/>
  <c r="R476" i="1"/>
  <c r="G476" i="1"/>
  <c r="M523" i="1"/>
  <c r="M454" i="1"/>
  <c r="K456" i="1"/>
  <c r="N470" i="1"/>
  <c r="K471" i="1"/>
  <c r="O471" i="1"/>
  <c r="L472" i="1"/>
  <c r="P472" i="1"/>
  <c r="M478" i="1"/>
  <c r="Q478" i="1"/>
  <c r="L479" i="1"/>
  <c r="P479" i="1"/>
  <c r="K480" i="1"/>
  <c r="O480" i="1"/>
  <c r="S480" i="1"/>
  <c r="K495" i="1"/>
  <c r="M502" i="1"/>
  <c r="M503" i="1"/>
  <c r="M504" i="1"/>
  <c r="N510" i="1"/>
  <c r="L511" i="1"/>
  <c r="P511" i="1"/>
  <c r="N512" i="1"/>
  <c r="L514" i="1"/>
  <c r="P514" i="1"/>
  <c r="M515" i="1"/>
  <c r="Q515" i="1"/>
  <c r="N516" i="1"/>
  <c r="F520" i="1"/>
  <c r="L555" i="1"/>
  <c r="G564" i="1"/>
  <c r="K455" i="1"/>
  <c r="L456" i="1"/>
  <c r="N478" i="1"/>
  <c r="R478" i="1"/>
  <c r="M479" i="1"/>
  <c r="Q479" i="1"/>
  <c r="L480" i="1"/>
  <c r="P480" i="1"/>
  <c r="L495" i="1"/>
  <c r="N502" i="1"/>
  <c r="N503" i="1"/>
  <c r="N506" i="1"/>
  <c r="M507" i="1"/>
  <c r="K510" i="1"/>
  <c r="O510" i="1"/>
  <c r="M511" i="1"/>
  <c r="K512" i="1"/>
  <c r="M514" i="1"/>
  <c r="Q514" i="1"/>
  <c r="N515" i="1"/>
  <c r="K516" i="1"/>
  <c r="O516" i="1"/>
  <c r="N518" i="1"/>
  <c r="R518" i="1"/>
  <c r="N519" i="1"/>
  <c r="R519" i="1"/>
  <c r="N520" i="1"/>
  <c r="O536" i="1"/>
  <c r="J536" i="1"/>
  <c r="J535" i="1"/>
  <c r="J534" i="1"/>
  <c r="K454" i="1"/>
  <c r="L455" i="1"/>
  <c r="N466" i="1"/>
  <c r="L467" i="1"/>
  <c r="P467" i="1"/>
  <c r="L470" i="1"/>
  <c r="P470" i="1"/>
  <c r="M471" i="1"/>
  <c r="Q471" i="1"/>
  <c r="K478" i="1"/>
  <c r="O478" i="1"/>
  <c r="S478" i="1"/>
  <c r="N479" i="1"/>
  <c r="R479" i="1"/>
  <c r="M480" i="1"/>
  <c r="K494" i="1"/>
  <c r="N514" i="1"/>
  <c r="K515" i="1"/>
  <c r="O515" i="1"/>
  <c r="L516" i="1"/>
  <c r="M556" i="1"/>
  <c r="O555" i="1"/>
  <c r="K555" i="1"/>
  <c r="M554" i="1"/>
  <c r="P556" i="1"/>
  <c r="L556" i="1"/>
  <c r="N555" i="1"/>
  <c r="P554" i="1"/>
  <c r="L554" i="1"/>
  <c r="O556" i="1"/>
  <c r="K556" i="1"/>
  <c r="M555" i="1"/>
  <c r="O554" i="1"/>
  <c r="K554" i="1"/>
  <c r="N556" i="1"/>
  <c r="L539" i="1"/>
  <c r="L542" i="1"/>
  <c r="M543" i="1"/>
  <c r="N546" i="1"/>
  <c r="N547" i="1"/>
  <c r="N548" i="1"/>
  <c r="N550" i="1"/>
  <c r="M551" i="1"/>
  <c r="M558" i="1"/>
  <c r="Q558" i="1"/>
  <c r="N559" i="1"/>
  <c r="K560" i="1"/>
  <c r="O560" i="1"/>
  <c r="N562" i="1"/>
  <c r="R562" i="1"/>
  <c r="N563" i="1"/>
  <c r="R563" i="1"/>
  <c r="N564" i="1"/>
  <c r="L566" i="1"/>
  <c r="P566" i="1"/>
  <c r="K567" i="1"/>
  <c r="O567" i="1"/>
  <c r="S567" i="1"/>
  <c r="N568" i="1"/>
  <c r="R568" i="1"/>
  <c r="K538" i="1"/>
  <c r="M542" i="1"/>
  <c r="K544" i="1"/>
  <c r="K546" i="1"/>
  <c r="K547" i="1"/>
  <c r="N558" i="1"/>
  <c r="K559" i="1"/>
  <c r="O559" i="1"/>
  <c r="L560" i="1"/>
  <c r="M566" i="1"/>
  <c r="Q566" i="1"/>
  <c r="L567" i="1"/>
  <c r="P567" i="1"/>
  <c r="K568" i="1"/>
  <c r="O568" i="1"/>
  <c r="S568" i="1"/>
  <c r="K543" i="1"/>
  <c r="N566" i="1"/>
  <c r="R566" i="1"/>
  <c r="M567" i="1"/>
  <c r="Q567" i="1"/>
  <c r="L568" i="1"/>
  <c r="S401" i="1"/>
  <c r="J402" i="1"/>
  <c r="K407" i="1"/>
  <c r="K410" i="1"/>
  <c r="L411" i="1"/>
  <c r="M412" i="1"/>
  <c r="M414" i="1"/>
  <c r="M415" i="1"/>
  <c r="M416" i="1"/>
  <c r="M418" i="1"/>
  <c r="L419" i="1"/>
  <c r="K420" i="1"/>
  <c r="O420" i="1"/>
  <c r="N422" i="1"/>
  <c r="L423" i="1"/>
  <c r="P423" i="1"/>
  <c r="L426" i="1"/>
  <c r="P426" i="1"/>
  <c r="M427" i="1"/>
  <c r="Q427" i="1"/>
  <c r="N428" i="1"/>
  <c r="M430" i="1"/>
  <c r="Q430" i="1"/>
  <c r="M431" i="1"/>
  <c r="Q431" i="1"/>
  <c r="M432" i="1"/>
  <c r="Q432" i="1"/>
  <c r="F432" i="1"/>
  <c r="K434" i="1"/>
  <c r="O434" i="1"/>
  <c r="S434" i="1"/>
  <c r="N435" i="1"/>
  <c r="R435" i="1"/>
  <c r="M436" i="1"/>
  <c r="Q436" i="1"/>
  <c r="L407" i="1"/>
  <c r="N414" i="1"/>
  <c r="N415" i="1"/>
  <c r="N416" i="1"/>
  <c r="N418" i="1"/>
  <c r="M419" i="1"/>
  <c r="L420" i="1"/>
  <c r="N430" i="1"/>
  <c r="R430" i="1"/>
  <c r="N431" i="1"/>
  <c r="R431" i="1"/>
  <c r="N432" i="1"/>
  <c r="R432" i="1"/>
  <c r="L434" i="1"/>
  <c r="P434" i="1"/>
  <c r="K435" i="1"/>
  <c r="O435" i="1"/>
  <c r="S435" i="1"/>
  <c r="N436" i="1"/>
  <c r="R436" i="1"/>
  <c r="J404" i="1"/>
  <c r="K406" i="1"/>
  <c r="K408" i="1"/>
  <c r="M410" i="1"/>
  <c r="K412" i="1"/>
  <c r="K414" i="1"/>
  <c r="K415" i="1"/>
  <c r="K416" i="1"/>
  <c r="K418" i="1"/>
  <c r="O418" i="1"/>
  <c r="N419" i="1"/>
  <c r="M420" i="1"/>
  <c r="N426" i="1"/>
  <c r="K427" i="1"/>
  <c r="O427" i="1"/>
  <c r="L428" i="1"/>
  <c r="K430" i="1"/>
  <c r="O430" i="1"/>
  <c r="K431" i="1"/>
  <c r="O431" i="1"/>
  <c r="K432" i="1"/>
  <c r="M434" i="1"/>
  <c r="Q434" i="1"/>
  <c r="L435" i="1"/>
  <c r="P435" i="1"/>
  <c r="K436" i="1"/>
  <c r="O436" i="1"/>
  <c r="S436" i="1"/>
  <c r="L406" i="1"/>
  <c r="K411" i="1"/>
  <c r="L414" i="1"/>
  <c r="L415" i="1"/>
  <c r="L418" i="1"/>
  <c r="K419" i="1"/>
  <c r="O419" i="1"/>
  <c r="N434" i="1"/>
  <c r="R434" i="1"/>
  <c r="M435" i="1"/>
  <c r="Q435" i="1"/>
  <c r="L436" i="1"/>
  <c r="N376" i="1"/>
  <c r="O375" i="1"/>
  <c r="K375" i="1"/>
  <c r="L374" i="1"/>
  <c r="M376" i="1"/>
  <c r="N375" i="1"/>
  <c r="O374" i="1"/>
  <c r="K374" i="1"/>
  <c r="M375" i="1"/>
  <c r="M380" i="1"/>
  <c r="O379" i="1"/>
  <c r="K379" i="1"/>
  <c r="M378" i="1"/>
  <c r="P380" i="1"/>
  <c r="L380" i="1"/>
  <c r="N379" i="1"/>
  <c r="P378" i="1"/>
  <c r="L378" i="1"/>
  <c r="L379" i="1"/>
  <c r="N380" i="1"/>
  <c r="M374" i="1"/>
  <c r="K376" i="1"/>
  <c r="K378" i="1"/>
  <c r="M379" i="1"/>
  <c r="O380" i="1"/>
  <c r="L372" i="1"/>
  <c r="L371" i="1"/>
  <c r="L370" i="1"/>
  <c r="K372" i="1"/>
  <c r="K371" i="1"/>
  <c r="K370" i="1"/>
  <c r="N371" i="1"/>
  <c r="N374" i="1"/>
  <c r="L376" i="1"/>
  <c r="N378" i="1"/>
  <c r="P379" i="1"/>
  <c r="P388" i="1"/>
  <c r="L388" i="1"/>
  <c r="P387" i="1"/>
  <c r="L387" i="1"/>
  <c r="P386" i="1"/>
  <c r="L386" i="1"/>
  <c r="O388" i="1"/>
  <c r="K388" i="1"/>
  <c r="O387" i="1"/>
  <c r="K387" i="1"/>
  <c r="O386" i="1"/>
  <c r="K386" i="1"/>
  <c r="R388" i="1"/>
  <c r="N388" i="1"/>
  <c r="R387" i="1"/>
  <c r="N387" i="1"/>
  <c r="R386" i="1"/>
  <c r="N386" i="1"/>
  <c r="Q387" i="1"/>
  <c r="G388" i="1"/>
  <c r="D388" i="1"/>
  <c r="D395" i="1"/>
  <c r="L364" i="1"/>
  <c r="L362" i="1"/>
  <c r="K364" i="1"/>
  <c r="K362" i="1"/>
  <c r="M370" i="1"/>
  <c r="M372" i="1"/>
  <c r="L375" i="1"/>
  <c r="O376" i="1"/>
  <c r="O378" i="1"/>
  <c r="K380" i="1"/>
  <c r="M386" i="1"/>
  <c r="M388" i="1"/>
  <c r="D390" i="1"/>
  <c r="N382" i="1"/>
  <c r="K383" i="1"/>
  <c r="O383" i="1"/>
  <c r="L384" i="1"/>
  <c r="P384" i="1"/>
  <c r="K367" i="1"/>
  <c r="K382" i="1"/>
  <c r="O382" i="1"/>
  <c r="L383" i="1"/>
  <c r="P383" i="1"/>
  <c r="M384" i="1"/>
  <c r="N390" i="1"/>
  <c r="R390" i="1"/>
  <c r="M391" i="1"/>
  <c r="Q391" i="1"/>
  <c r="L392" i="1"/>
  <c r="M336" i="1"/>
  <c r="O335" i="1"/>
  <c r="K335" i="1"/>
  <c r="M334" i="1"/>
  <c r="P335" i="1"/>
  <c r="N334" i="1"/>
  <c r="P336" i="1"/>
  <c r="L336" i="1"/>
  <c r="N335" i="1"/>
  <c r="P334" i="1"/>
  <c r="L334" i="1"/>
  <c r="N336" i="1"/>
  <c r="L335" i="1"/>
  <c r="O336" i="1"/>
  <c r="K336" i="1"/>
  <c r="M335" i="1"/>
  <c r="O334" i="1"/>
  <c r="K334" i="1"/>
  <c r="L319" i="1"/>
  <c r="N326" i="1"/>
  <c r="N327" i="1"/>
  <c r="N328" i="1"/>
  <c r="N330" i="1"/>
  <c r="M331" i="1"/>
  <c r="L332" i="1"/>
  <c r="N342" i="1"/>
  <c r="R342" i="1"/>
  <c r="N343" i="1"/>
  <c r="R343" i="1"/>
  <c r="N344" i="1"/>
  <c r="R344" i="1"/>
  <c r="L346" i="1"/>
  <c r="P346" i="1"/>
  <c r="K347" i="1"/>
  <c r="O347" i="1"/>
  <c r="S347" i="1"/>
  <c r="N348" i="1"/>
  <c r="R348" i="1"/>
  <c r="J316" i="1"/>
  <c r="K318" i="1"/>
  <c r="K320" i="1"/>
  <c r="M322" i="1"/>
  <c r="K324" i="1"/>
  <c r="K326" i="1"/>
  <c r="K327" i="1"/>
  <c r="K328" i="1"/>
  <c r="K330" i="1"/>
  <c r="O330" i="1"/>
  <c r="N331" i="1"/>
  <c r="M332" i="1"/>
  <c r="N338" i="1"/>
  <c r="K339" i="1"/>
  <c r="O339" i="1"/>
  <c r="L340" i="1"/>
  <c r="K342" i="1"/>
  <c r="O342" i="1"/>
  <c r="K343" i="1"/>
  <c r="O343" i="1"/>
  <c r="K344" i="1"/>
  <c r="O344" i="1"/>
  <c r="M346" i="1"/>
  <c r="Q346" i="1"/>
  <c r="L347" i="1"/>
  <c r="P347" i="1"/>
  <c r="K348" i="1"/>
  <c r="O348" i="1"/>
  <c r="S348" i="1"/>
  <c r="L318" i="1"/>
  <c r="K323" i="1"/>
  <c r="L326" i="1"/>
  <c r="L327" i="1"/>
  <c r="L330" i="1"/>
  <c r="K331" i="1"/>
  <c r="O331" i="1"/>
  <c r="L342" i="1"/>
  <c r="P342" i="1"/>
  <c r="L343" i="1"/>
  <c r="P343" i="1"/>
  <c r="L344" i="1"/>
  <c r="N346" i="1"/>
  <c r="R346" i="1"/>
  <c r="M347" i="1"/>
  <c r="Q347" i="1"/>
  <c r="L348" i="1"/>
  <c r="N290" i="1"/>
  <c r="L275" i="1"/>
  <c r="N282" i="1"/>
  <c r="N283" i="1"/>
  <c r="N284" i="1"/>
  <c r="N286" i="1"/>
  <c r="M287" i="1"/>
  <c r="L288" i="1"/>
  <c r="K290" i="1"/>
  <c r="O290" i="1"/>
  <c r="M291" i="1"/>
  <c r="K292" i="1"/>
  <c r="O292" i="1"/>
  <c r="N298" i="1"/>
  <c r="R298" i="1"/>
  <c r="N299" i="1"/>
  <c r="R299" i="1"/>
  <c r="N300" i="1"/>
  <c r="R300" i="1"/>
  <c r="L302" i="1"/>
  <c r="P302" i="1"/>
  <c r="K303" i="1"/>
  <c r="O303" i="1"/>
  <c r="S303" i="1"/>
  <c r="N304" i="1"/>
  <c r="R304" i="1"/>
  <c r="P291" i="1"/>
  <c r="J272" i="1"/>
  <c r="K274" i="1"/>
  <c r="K276" i="1"/>
  <c r="M278" i="1"/>
  <c r="K280" i="1"/>
  <c r="K282" i="1"/>
  <c r="K283" i="1"/>
  <c r="K284" i="1"/>
  <c r="K286" i="1"/>
  <c r="O286" i="1"/>
  <c r="N287" i="1"/>
  <c r="M288" i="1"/>
  <c r="L290" i="1"/>
  <c r="P290" i="1"/>
  <c r="N291" i="1"/>
  <c r="L292" i="1"/>
  <c r="P292" i="1"/>
  <c r="N294" i="1"/>
  <c r="K295" i="1"/>
  <c r="O295" i="1"/>
  <c r="L296" i="1"/>
  <c r="K298" i="1"/>
  <c r="O298" i="1"/>
  <c r="K299" i="1"/>
  <c r="O299" i="1"/>
  <c r="K300" i="1"/>
  <c r="M302" i="1"/>
  <c r="Q302" i="1"/>
  <c r="L303" i="1"/>
  <c r="P303" i="1"/>
  <c r="K304" i="1"/>
  <c r="O304" i="1"/>
  <c r="S304" i="1"/>
  <c r="L291" i="1"/>
  <c r="N292" i="1"/>
  <c r="L274" i="1"/>
  <c r="K279" i="1"/>
  <c r="L282" i="1"/>
  <c r="L283" i="1"/>
  <c r="K287" i="1"/>
  <c r="O287" i="1"/>
  <c r="M290" i="1"/>
  <c r="K291" i="1"/>
  <c r="O291" i="1"/>
  <c r="N302" i="1"/>
  <c r="R302" i="1"/>
  <c r="M303" i="1"/>
  <c r="Q303" i="1"/>
  <c r="L304" i="1"/>
  <c r="L247" i="1"/>
  <c r="L231" i="1"/>
  <c r="N238" i="1"/>
  <c r="N239" i="1"/>
  <c r="N240" i="1"/>
  <c r="N242" i="1"/>
  <c r="M243" i="1"/>
  <c r="L244" i="1"/>
  <c r="K246" i="1"/>
  <c r="O246" i="1"/>
  <c r="M247" i="1"/>
  <c r="K248" i="1"/>
  <c r="O248" i="1"/>
  <c r="N254" i="1"/>
  <c r="R254" i="1"/>
  <c r="N255" i="1"/>
  <c r="R255" i="1"/>
  <c r="N256" i="1"/>
  <c r="R256" i="1"/>
  <c r="L258" i="1"/>
  <c r="P258" i="1"/>
  <c r="K259" i="1"/>
  <c r="O259" i="1"/>
  <c r="S259" i="1"/>
  <c r="N260" i="1"/>
  <c r="R260" i="1"/>
  <c r="J228" i="1"/>
  <c r="K230" i="1"/>
  <c r="K232" i="1"/>
  <c r="M234" i="1"/>
  <c r="K236" i="1"/>
  <c r="K238" i="1"/>
  <c r="K239" i="1"/>
  <c r="K240" i="1"/>
  <c r="K242" i="1"/>
  <c r="O242" i="1"/>
  <c r="N243" i="1"/>
  <c r="M244" i="1"/>
  <c r="L246" i="1"/>
  <c r="P246" i="1"/>
  <c r="N247" i="1"/>
  <c r="L248" i="1"/>
  <c r="P248" i="1"/>
  <c r="N250" i="1"/>
  <c r="K251" i="1"/>
  <c r="O251" i="1"/>
  <c r="L252" i="1"/>
  <c r="K254" i="1"/>
  <c r="O254" i="1"/>
  <c r="K255" i="1"/>
  <c r="O255" i="1"/>
  <c r="K256" i="1"/>
  <c r="M258" i="1"/>
  <c r="Q258" i="1"/>
  <c r="L259" i="1"/>
  <c r="P259" i="1"/>
  <c r="K260" i="1"/>
  <c r="O260" i="1"/>
  <c r="S260" i="1"/>
  <c r="N246" i="1"/>
  <c r="P247" i="1"/>
  <c r="N248" i="1"/>
  <c r="L230" i="1"/>
  <c r="K235" i="1"/>
  <c r="L238" i="1"/>
  <c r="L239" i="1"/>
  <c r="L242" i="1"/>
  <c r="K243" i="1"/>
  <c r="O243" i="1"/>
  <c r="M246" i="1"/>
  <c r="K247" i="1"/>
  <c r="O247" i="1"/>
  <c r="N258" i="1"/>
  <c r="R258" i="1"/>
  <c r="M259" i="1"/>
  <c r="Q259" i="1"/>
  <c r="L260" i="1"/>
  <c r="L196" i="1"/>
  <c r="L195" i="1"/>
  <c r="L194" i="1"/>
  <c r="K196" i="1"/>
  <c r="K195" i="1"/>
  <c r="K194" i="1"/>
  <c r="N195" i="1"/>
  <c r="M194" i="1"/>
  <c r="M196" i="1"/>
  <c r="D212" i="1"/>
  <c r="N194" i="1"/>
  <c r="N196" i="1"/>
  <c r="N200" i="1"/>
  <c r="O199" i="1"/>
  <c r="K199" i="1"/>
  <c r="L198" i="1"/>
  <c r="M200" i="1"/>
  <c r="N199" i="1"/>
  <c r="O198" i="1"/>
  <c r="K198" i="1"/>
  <c r="M199" i="1"/>
  <c r="M204" i="1"/>
  <c r="O203" i="1"/>
  <c r="K203" i="1"/>
  <c r="M202" i="1"/>
  <c r="P204" i="1"/>
  <c r="L204" i="1"/>
  <c r="N203" i="1"/>
  <c r="P202" i="1"/>
  <c r="L202" i="1"/>
  <c r="L203" i="1"/>
  <c r="N204" i="1"/>
  <c r="D214" i="1"/>
  <c r="D219" i="1"/>
  <c r="L188" i="1"/>
  <c r="L186" i="1"/>
  <c r="K188" i="1"/>
  <c r="K186" i="1"/>
  <c r="M195" i="1"/>
  <c r="M198" i="1"/>
  <c r="K200" i="1"/>
  <c r="K202" i="1"/>
  <c r="M203" i="1"/>
  <c r="O204" i="1"/>
  <c r="N211" i="1"/>
  <c r="N212" i="1"/>
  <c r="G212" i="1"/>
  <c r="N210" i="1"/>
  <c r="R210" i="1"/>
  <c r="R211" i="1"/>
  <c r="R212" i="1"/>
  <c r="J184" i="1"/>
  <c r="M190" i="1"/>
  <c r="K192" i="1"/>
  <c r="N206" i="1"/>
  <c r="K207" i="1"/>
  <c r="O207" i="1"/>
  <c r="L208" i="1"/>
  <c r="K210" i="1"/>
  <c r="O210" i="1"/>
  <c r="K211" i="1"/>
  <c r="O211" i="1"/>
  <c r="K212" i="1"/>
  <c r="O212" i="1"/>
  <c r="M214" i="1"/>
  <c r="Q214" i="1"/>
  <c r="L215" i="1"/>
  <c r="P215" i="1"/>
  <c r="K216" i="1"/>
  <c r="O216" i="1"/>
  <c r="S216" i="1"/>
  <c r="K191" i="1"/>
  <c r="L210" i="1"/>
  <c r="P210" i="1"/>
  <c r="L211" i="1"/>
  <c r="P211" i="1"/>
  <c r="L212" i="1"/>
  <c r="N214" i="1"/>
  <c r="R214" i="1"/>
  <c r="M215" i="1"/>
  <c r="Q215" i="1"/>
  <c r="L216" i="1"/>
  <c r="N156" i="1"/>
  <c r="O155" i="1"/>
  <c r="K155" i="1"/>
  <c r="L154" i="1"/>
  <c r="M156" i="1"/>
  <c r="N155" i="1"/>
  <c r="O154" i="1"/>
  <c r="K154" i="1"/>
  <c r="M155" i="1"/>
  <c r="M160" i="1"/>
  <c r="O159" i="1"/>
  <c r="K159" i="1"/>
  <c r="M158" i="1"/>
  <c r="P160" i="1"/>
  <c r="L160" i="1"/>
  <c r="N159" i="1"/>
  <c r="P158" i="1"/>
  <c r="L158" i="1"/>
  <c r="L159" i="1"/>
  <c r="N160" i="1"/>
  <c r="D168" i="1"/>
  <c r="L144" i="1"/>
  <c r="L142" i="1"/>
  <c r="K144" i="1"/>
  <c r="K142" i="1"/>
  <c r="M154" i="1"/>
  <c r="K156" i="1"/>
  <c r="K158" i="1"/>
  <c r="M159" i="1"/>
  <c r="O160" i="1"/>
  <c r="D175" i="1"/>
  <c r="K143" i="1"/>
  <c r="L152" i="1"/>
  <c r="L151" i="1"/>
  <c r="L150" i="1"/>
  <c r="K152" i="1"/>
  <c r="K151" i="1"/>
  <c r="K150" i="1"/>
  <c r="N151" i="1"/>
  <c r="N154" i="1"/>
  <c r="L156" i="1"/>
  <c r="N158" i="1"/>
  <c r="P159" i="1"/>
  <c r="R168" i="1"/>
  <c r="J140" i="1"/>
  <c r="M146" i="1"/>
  <c r="K148" i="1"/>
  <c r="N162" i="1"/>
  <c r="K163" i="1"/>
  <c r="O163" i="1"/>
  <c r="L164" i="1"/>
  <c r="K166" i="1"/>
  <c r="O166" i="1"/>
  <c r="K167" i="1"/>
  <c r="O167" i="1"/>
  <c r="K168" i="1"/>
  <c r="O168" i="1"/>
  <c r="M170" i="1"/>
  <c r="Q170" i="1"/>
  <c r="L171" i="1"/>
  <c r="P171" i="1"/>
  <c r="K172" i="1"/>
  <c r="O172" i="1"/>
  <c r="S172" i="1"/>
  <c r="N166" i="1"/>
  <c r="R166" i="1"/>
  <c r="N167" i="1"/>
  <c r="R167" i="1"/>
  <c r="N168" i="1"/>
  <c r="G168" i="1"/>
  <c r="K147" i="1"/>
  <c r="L166" i="1"/>
  <c r="P166" i="1"/>
  <c r="L167" i="1"/>
  <c r="P167" i="1"/>
  <c r="L168" i="1"/>
  <c r="N170" i="1"/>
  <c r="R170" i="1"/>
  <c r="M171" i="1"/>
  <c r="Q171" i="1"/>
  <c r="L172" i="1"/>
  <c r="L115" i="1"/>
  <c r="M116" i="1"/>
  <c r="O115" i="1"/>
  <c r="K115" i="1"/>
  <c r="M114" i="1"/>
  <c r="P116" i="1"/>
  <c r="L116" i="1"/>
  <c r="N115" i="1"/>
  <c r="P114" i="1"/>
  <c r="L114" i="1"/>
  <c r="O116" i="1"/>
  <c r="K116" i="1"/>
  <c r="M115" i="1"/>
  <c r="O114" i="1"/>
  <c r="K114" i="1"/>
  <c r="N116" i="1"/>
  <c r="N114" i="1"/>
  <c r="J95" i="1"/>
  <c r="L99" i="1"/>
  <c r="L102" i="1"/>
  <c r="M103" i="1"/>
  <c r="N106" i="1"/>
  <c r="N107" i="1"/>
  <c r="N108" i="1"/>
  <c r="N110" i="1"/>
  <c r="M111" i="1"/>
  <c r="L112" i="1"/>
  <c r="N122" i="1"/>
  <c r="R122" i="1"/>
  <c r="N123" i="1"/>
  <c r="R123" i="1"/>
  <c r="N124" i="1"/>
  <c r="R124" i="1"/>
  <c r="L126" i="1"/>
  <c r="P126" i="1"/>
  <c r="K127" i="1"/>
  <c r="O127" i="1"/>
  <c r="S127" i="1"/>
  <c r="N128" i="1"/>
  <c r="R128" i="1"/>
  <c r="J96" i="1"/>
  <c r="K98" i="1"/>
  <c r="K100" i="1"/>
  <c r="M102" i="1"/>
  <c r="K104" i="1"/>
  <c r="K106" i="1"/>
  <c r="K107" i="1"/>
  <c r="K108" i="1"/>
  <c r="K110" i="1"/>
  <c r="O110" i="1"/>
  <c r="N111" i="1"/>
  <c r="N118" i="1"/>
  <c r="K119" i="1"/>
  <c r="O119" i="1"/>
  <c r="L120" i="1"/>
  <c r="K122" i="1"/>
  <c r="O122" i="1"/>
  <c r="K123" i="1"/>
  <c r="O123" i="1"/>
  <c r="K124" i="1"/>
  <c r="M126" i="1"/>
  <c r="Q126" i="1"/>
  <c r="L127" i="1"/>
  <c r="P127" i="1"/>
  <c r="K128" i="1"/>
  <c r="O128" i="1"/>
  <c r="S128" i="1"/>
  <c r="L98" i="1"/>
  <c r="K103" i="1"/>
  <c r="L106" i="1"/>
  <c r="L107" i="1"/>
  <c r="N126" i="1"/>
  <c r="R126" i="1"/>
  <c r="M127" i="1"/>
  <c r="Q127" i="1"/>
  <c r="L128" i="1"/>
  <c r="J52" i="1"/>
  <c r="Q78" i="1"/>
  <c r="O79" i="1"/>
  <c r="N80" i="1"/>
  <c r="J50" i="1"/>
  <c r="N67" i="1"/>
  <c r="K78" i="1"/>
  <c r="R78" i="1"/>
  <c r="Q79" i="1"/>
  <c r="Q80" i="1"/>
  <c r="O82" i="1"/>
  <c r="K83" i="1"/>
  <c r="P83" i="1"/>
  <c r="M84" i="1"/>
  <c r="R84" i="1"/>
  <c r="M66" i="1"/>
  <c r="M68" i="1"/>
  <c r="M78" i="1"/>
  <c r="K79" i="1"/>
  <c r="K80" i="1"/>
  <c r="R80" i="1"/>
  <c r="K82" i="1"/>
  <c r="P82" i="1"/>
  <c r="L83" i="1"/>
  <c r="R83" i="1"/>
  <c r="N84" i="1"/>
  <c r="S84" i="1"/>
  <c r="S49" i="1"/>
  <c r="J51" i="1"/>
  <c r="L59" i="1"/>
  <c r="N66" i="1"/>
  <c r="N78" i="1"/>
  <c r="N79" i="1"/>
  <c r="F80" i="1"/>
  <c r="D80" i="1"/>
  <c r="L82" i="1"/>
  <c r="Q82" i="1"/>
  <c r="N83" i="1"/>
  <c r="S83" i="1"/>
  <c r="O84" i="1"/>
  <c r="Q76" i="1"/>
  <c r="M76" i="1"/>
  <c r="P75" i="1"/>
  <c r="L75" i="1"/>
  <c r="O74" i="1"/>
  <c r="K74" i="1"/>
  <c r="P74" i="1"/>
  <c r="N75" i="1"/>
  <c r="L76" i="1"/>
  <c r="L56" i="1"/>
  <c r="L54" i="1"/>
  <c r="K56" i="1"/>
  <c r="L64" i="1"/>
  <c r="L63" i="1"/>
  <c r="L62" i="1"/>
  <c r="K63" i="1"/>
  <c r="M64" i="1"/>
  <c r="L74" i="1"/>
  <c r="Q74" i="1"/>
  <c r="O75" i="1"/>
  <c r="N76" i="1"/>
  <c r="D79" i="1"/>
  <c r="G80" i="1"/>
  <c r="D87" i="1"/>
  <c r="K54" i="1"/>
  <c r="K62" i="1"/>
  <c r="M63" i="1"/>
  <c r="N64" i="1"/>
  <c r="N68" i="1"/>
  <c r="O67" i="1"/>
  <c r="K67" i="1"/>
  <c r="L66" i="1"/>
  <c r="O66" i="1"/>
  <c r="K68" i="1"/>
  <c r="M72" i="1"/>
  <c r="O71" i="1"/>
  <c r="K71" i="1"/>
  <c r="M70" i="1"/>
  <c r="O70" i="1"/>
  <c r="N71" i="1"/>
  <c r="N72" i="1"/>
  <c r="M74" i="1"/>
  <c r="K75" i="1"/>
  <c r="Q75" i="1"/>
  <c r="O76" i="1"/>
  <c r="K55" i="1"/>
  <c r="M62" i="1"/>
  <c r="N63" i="1"/>
  <c r="K66" i="1"/>
  <c r="L67" i="1"/>
  <c r="L68" i="1"/>
  <c r="K70" i="1"/>
  <c r="P70" i="1"/>
  <c r="P71" i="1"/>
  <c r="O72" i="1"/>
  <c r="N74" i="1"/>
  <c r="M75" i="1"/>
  <c r="K76" i="1"/>
  <c r="P76" i="1"/>
  <c r="P80" i="1"/>
  <c r="L80" i="1"/>
  <c r="P79" i="1"/>
  <c r="L79" i="1"/>
  <c r="P78" i="1"/>
  <c r="L78" i="1"/>
  <c r="O78" i="1"/>
  <c r="M79" i="1"/>
  <c r="R79" i="1"/>
  <c r="O80" i="1"/>
  <c r="D84" i="1"/>
  <c r="K59" i="1"/>
  <c r="N82" i="1"/>
  <c r="R82" i="1"/>
  <c r="M83" i="1"/>
  <c r="Q83" i="1"/>
  <c r="L84" i="1"/>
  <c r="M26" i="1"/>
  <c r="M27" i="1"/>
  <c r="P28" i="1"/>
  <c r="S5" i="1"/>
  <c r="R5" i="1" s="1"/>
  <c r="Q5" i="1" s="1"/>
  <c r="L28" i="1"/>
  <c r="J6" i="1"/>
  <c r="J8" i="1"/>
  <c r="K14" i="1"/>
  <c r="K27" i="1"/>
  <c r="O28" i="1"/>
  <c r="N40" i="1"/>
  <c r="L26" i="1"/>
  <c r="O27" i="1"/>
  <c r="P31" i="1"/>
  <c r="M14" i="1"/>
  <c r="R40" i="1"/>
  <c r="L15" i="1"/>
  <c r="P38" i="1"/>
  <c r="M16" i="1"/>
  <c r="P26" i="1"/>
  <c r="K28" i="1"/>
  <c r="O30" i="1"/>
  <c r="K39" i="1"/>
  <c r="P35" i="1"/>
  <c r="L18" i="1"/>
  <c r="Q30" i="1"/>
  <c r="K32" i="1"/>
  <c r="L34" i="1"/>
  <c r="L36" i="1"/>
  <c r="L10" i="1"/>
  <c r="L19" i="1"/>
  <c r="K30" i="1"/>
  <c r="L31" i="1"/>
  <c r="M32" i="1"/>
  <c r="P34" i="1"/>
  <c r="P36" i="1"/>
  <c r="O39" i="1"/>
  <c r="O8" i="1"/>
  <c r="L12" i="1"/>
  <c r="K16" i="1"/>
  <c r="L20" i="1"/>
  <c r="O26" i="1"/>
  <c r="N27" i="1"/>
  <c r="M28" i="1"/>
  <c r="M30" i="1"/>
  <c r="N31" i="1"/>
  <c r="O32" i="1"/>
  <c r="L35" i="1"/>
  <c r="L38" i="1"/>
  <c r="S39" i="1"/>
  <c r="K11" i="1"/>
  <c r="K15" i="1"/>
  <c r="L16" i="1"/>
  <c r="M18" i="1"/>
  <c r="M19" i="1"/>
  <c r="M20" i="1"/>
  <c r="K22" i="1"/>
  <c r="O22" i="1"/>
  <c r="N23" i="1"/>
  <c r="M24" i="1"/>
  <c r="N30" i="1"/>
  <c r="K31" i="1"/>
  <c r="O31" i="1"/>
  <c r="L32" i="1"/>
  <c r="P32" i="1"/>
  <c r="M34" i="1"/>
  <c r="Q34" i="1"/>
  <c r="M35" i="1"/>
  <c r="Q35" i="1"/>
  <c r="M36" i="1"/>
  <c r="Q36" i="1"/>
  <c r="M38" i="1"/>
  <c r="Q38" i="1"/>
  <c r="L39" i="1"/>
  <c r="P39" i="1"/>
  <c r="K40" i="1"/>
  <c r="O40" i="1"/>
  <c r="S40" i="1"/>
  <c r="L11" i="1"/>
  <c r="N18" i="1"/>
  <c r="N19" i="1"/>
  <c r="N20" i="1"/>
  <c r="L22" i="1"/>
  <c r="K23" i="1"/>
  <c r="O23" i="1"/>
  <c r="N24" i="1"/>
  <c r="N34" i="1"/>
  <c r="R34" i="1"/>
  <c r="N35" i="1"/>
  <c r="R35" i="1"/>
  <c r="N36" i="1"/>
  <c r="R36" i="1"/>
  <c r="N38" i="1"/>
  <c r="R38" i="1"/>
  <c r="M39" i="1"/>
  <c r="Q39" i="1"/>
  <c r="L40" i="1"/>
  <c r="P40" i="1"/>
  <c r="N22" i="1"/>
  <c r="M23" i="1"/>
  <c r="L24" i="1"/>
  <c r="K10" i="1"/>
  <c r="L14" i="1"/>
  <c r="K18" i="1"/>
  <c r="K19" i="1"/>
  <c r="M22" i="1"/>
  <c r="L23" i="1"/>
  <c r="K24" i="1"/>
  <c r="N26" i="1"/>
  <c r="L27" i="1"/>
  <c r="P27" i="1"/>
  <c r="L30" i="1"/>
  <c r="P30" i="1"/>
  <c r="M31" i="1"/>
  <c r="Q31" i="1"/>
  <c r="K34" i="1"/>
  <c r="O34" i="1"/>
  <c r="K35" i="1"/>
  <c r="O35" i="1"/>
  <c r="K36" i="1"/>
  <c r="K38" i="1"/>
  <c r="O38" i="1"/>
  <c r="S38" i="1"/>
  <c r="N39" i="1"/>
  <c r="R39" i="1"/>
  <c r="M40" i="1"/>
  <c r="D38" i="1"/>
  <c r="A3" i="1"/>
  <c r="D42" i="1"/>
  <c r="D41" i="1"/>
  <c r="D39" i="1"/>
  <c r="G36" i="1"/>
  <c r="U4" i="1"/>
  <c r="A4" i="1" s="1"/>
  <c r="F36" i="1"/>
  <c r="D34" i="1"/>
  <c r="D43" i="1"/>
  <c r="D40" i="1"/>
  <c r="D36" i="1"/>
  <c r="D37" i="1"/>
  <c r="D35" i="1"/>
  <c r="L1" i="1"/>
  <c r="M1" i="1" s="1"/>
  <c r="N1" i="1" s="1"/>
  <c r="O1" i="1" s="1"/>
  <c r="P1" i="1" s="1"/>
  <c r="Q1" i="1" s="1"/>
  <c r="R1" i="1" s="1"/>
  <c r="S1" i="1" s="1"/>
  <c r="T1" i="1" s="1"/>
  <c r="E38" i="1"/>
  <c r="E344" i="1" l="1"/>
  <c r="S270" i="1"/>
  <c r="S314" i="1"/>
  <c r="S447" i="1"/>
  <c r="S359" i="1"/>
  <c r="Q360" i="1"/>
  <c r="S315" i="1"/>
  <c r="R270" i="1"/>
  <c r="S271" i="1"/>
  <c r="S360" i="1"/>
  <c r="E520" i="1"/>
  <c r="G430" i="1"/>
  <c r="F342" i="1"/>
  <c r="G562" i="1"/>
  <c r="F518" i="1"/>
  <c r="G518" i="1"/>
  <c r="S446" i="1"/>
  <c r="S227" i="1"/>
  <c r="S534" i="1"/>
  <c r="G254" i="1"/>
  <c r="S8" i="1"/>
  <c r="G122" i="1"/>
  <c r="F430" i="1"/>
  <c r="F298" i="1"/>
  <c r="G298" i="1"/>
  <c r="G342" i="1"/>
  <c r="G166" i="1"/>
  <c r="F386" i="1"/>
  <c r="G78" i="1"/>
  <c r="G210" i="1"/>
  <c r="E256" i="1"/>
  <c r="B6" i="2"/>
  <c r="F562" i="1"/>
  <c r="S535" i="1"/>
  <c r="E564" i="1"/>
  <c r="R7" i="1"/>
  <c r="F474" i="1"/>
  <c r="G474" i="1"/>
  <c r="E476" i="1"/>
  <c r="E432" i="1"/>
  <c r="E388" i="1"/>
  <c r="G386" i="1"/>
  <c r="E300" i="1"/>
  <c r="R271" i="1"/>
  <c r="S358" i="1"/>
  <c r="F254" i="1"/>
  <c r="S226" i="1"/>
  <c r="S183" i="1"/>
  <c r="S182" i="1"/>
  <c r="E212" i="1"/>
  <c r="E168" i="1"/>
  <c r="F166" i="1"/>
  <c r="S138" i="1"/>
  <c r="S139" i="1"/>
  <c r="R137" i="1"/>
  <c r="Q137" i="1" s="1"/>
  <c r="S94" i="1"/>
  <c r="S95" i="1"/>
  <c r="E124" i="1"/>
  <c r="F122" i="1"/>
  <c r="S52" i="1"/>
  <c r="E80" i="1"/>
  <c r="Q52" i="1"/>
  <c r="AF4" i="2"/>
  <c r="AG3" i="2"/>
  <c r="AF5" i="2"/>
  <c r="AF2" i="2"/>
  <c r="S491" i="1"/>
  <c r="S490" i="1"/>
  <c r="R489" i="1"/>
  <c r="Q448" i="1"/>
  <c r="S448" i="1"/>
  <c r="Q445" i="1"/>
  <c r="R447" i="1"/>
  <c r="R446" i="1"/>
  <c r="S536" i="1"/>
  <c r="Q536" i="1"/>
  <c r="Q533" i="1"/>
  <c r="R535" i="1"/>
  <c r="R534" i="1"/>
  <c r="S492" i="1"/>
  <c r="Q492" i="1"/>
  <c r="R401" i="1"/>
  <c r="S403" i="1"/>
  <c r="S402" i="1"/>
  <c r="S404" i="1"/>
  <c r="Q404" i="1"/>
  <c r="Q357" i="1"/>
  <c r="R358" i="1"/>
  <c r="R359" i="1"/>
  <c r="Q313" i="1"/>
  <c r="R315" i="1"/>
  <c r="R314" i="1"/>
  <c r="S316" i="1"/>
  <c r="Q316" i="1"/>
  <c r="Q270" i="1"/>
  <c r="P269" i="1"/>
  <c r="Q271" i="1"/>
  <c r="S272" i="1"/>
  <c r="Q272" i="1"/>
  <c r="S228" i="1"/>
  <c r="Q228" i="1"/>
  <c r="Q225" i="1"/>
  <c r="R227" i="1"/>
  <c r="R226" i="1"/>
  <c r="S184" i="1"/>
  <c r="Q184" i="1"/>
  <c r="F210" i="1"/>
  <c r="Q181" i="1"/>
  <c r="R183" i="1"/>
  <c r="R182" i="1"/>
  <c r="S140" i="1"/>
  <c r="Q140" i="1"/>
  <c r="S96" i="1"/>
  <c r="Q96" i="1"/>
  <c r="Q93" i="1"/>
  <c r="R95" i="1"/>
  <c r="R94" i="1"/>
  <c r="R49" i="1"/>
  <c r="R50" i="1" s="1"/>
  <c r="S50" i="1"/>
  <c r="S51" i="1"/>
  <c r="F78" i="1"/>
  <c r="R6" i="1"/>
  <c r="U1" i="1"/>
  <c r="V1" i="1" s="1"/>
  <c r="S7" i="1"/>
  <c r="S6" i="1"/>
  <c r="Q8" i="1"/>
  <c r="Q7" i="1"/>
  <c r="P5" i="1"/>
  <c r="Q6" i="1"/>
  <c r="E36" i="1"/>
  <c r="U5" i="1"/>
  <c r="A5" i="1" s="1"/>
  <c r="G34" i="1"/>
  <c r="F34" i="1"/>
  <c r="E254" i="1" l="1"/>
  <c r="H474" i="1"/>
  <c r="E474" i="1" s="1"/>
  <c r="E430" i="1"/>
  <c r="E342" i="1"/>
  <c r="R139" i="1"/>
  <c r="E166" i="1"/>
  <c r="R138" i="1"/>
  <c r="E518" i="1"/>
  <c r="E386" i="1"/>
  <c r="E298" i="1"/>
  <c r="E122" i="1"/>
  <c r="E78" i="1"/>
  <c r="E562" i="1"/>
  <c r="E210" i="1"/>
  <c r="E6" i="2"/>
  <c r="C6" i="2"/>
  <c r="D6" i="2"/>
  <c r="AG2" i="2"/>
  <c r="AG5" i="2"/>
  <c r="AH3" i="2"/>
  <c r="P533" i="1"/>
  <c r="Q534" i="1"/>
  <c r="Q535" i="1"/>
  <c r="Q447" i="1"/>
  <c r="Q446" i="1"/>
  <c r="P445" i="1"/>
  <c r="Q489" i="1"/>
  <c r="R491" i="1"/>
  <c r="R490" i="1"/>
  <c r="Q401" i="1"/>
  <c r="R403" i="1"/>
  <c r="R402" i="1"/>
  <c r="Q358" i="1"/>
  <c r="Q359" i="1"/>
  <c r="P357" i="1"/>
  <c r="Q314" i="1"/>
  <c r="P313" i="1"/>
  <c r="Q315" i="1"/>
  <c r="P271" i="1"/>
  <c r="P270" i="1"/>
  <c r="O269" i="1"/>
  <c r="Q226" i="1"/>
  <c r="P225" i="1"/>
  <c r="Q227" i="1"/>
  <c r="Q182" i="1"/>
  <c r="P181" i="1"/>
  <c r="Q183" i="1"/>
  <c r="Q138" i="1"/>
  <c r="Q139" i="1"/>
  <c r="P137" i="1"/>
  <c r="Q94" i="1"/>
  <c r="P93" i="1"/>
  <c r="Q95" i="1"/>
  <c r="Q49" i="1"/>
  <c r="R51" i="1"/>
  <c r="P6" i="1"/>
  <c r="P7" i="1"/>
  <c r="O5" i="1"/>
  <c r="U6" i="1"/>
  <c r="A6" i="1" s="1"/>
  <c r="E34" i="1"/>
  <c r="X6" i="2" l="1"/>
  <c r="Y6" i="2"/>
  <c r="Z6" i="2"/>
  <c r="F6" i="2"/>
  <c r="AA6" i="2"/>
  <c r="AH2" i="2"/>
  <c r="AI3" i="2"/>
  <c r="AH5" i="2"/>
  <c r="P489" i="1"/>
  <c r="Q491" i="1"/>
  <c r="Q490" i="1"/>
  <c r="P447" i="1"/>
  <c r="P446" i="1"/>
  <c r="O445" i="1"/>
  <c r="P534" i="1"/>
  <c r="P535" i="1"/>
  <c r="O533" i="1"/>
  <c r="Q402" i="1"/>
  <c r="P401" i="1"/>
  <c r="Q403" i="1"/>
  <c r="P359" i="1"/>
  <c r="P358" i="1"/>
  <c r="O357" i="1"/>
  <c r="P315" i="1"/>
  <c r="P314" i="1"/>
  <c r="O313" i="1"/>
  <c r="N269" i="1"/>
  <c r="O271" i="1"/>
  <c r="O270" i="1"/>
  <c r="P227" i="1"/>
  <c r="P226" i="1"/>
  <c r="O225" i="1"/>
  <c r="P183" i="1"/>
  <c r="P182" i="1"/>
  <c r="O181" i="1"/>
  <c r="P139" i="1"/>
  <c r="P138" i="1"/>
  <c r="O137" i="1"/>
  <c r="P95" i="1"/>
  <c r="P94" i="1"/>
  <c r="O93" i="1"/>
  <c r="P49" i="1"/>
  <c r="Q50" i="1"/>
  <c r="Q51" i="1"/>
  <c r="U7" i="1"/>
  <c r="A7" i="1" s="1"/>
  <c r="N5" i="1"/>
  <c r="O6" i="1"/>
  <c r="W6" i="2" s="1"/>
  <c r="O7" i="1"/>
  <c r="G6" i="2" l="1"/>
  <c r="U8" i="1"/>
  <c r="A8" i="1" s="1"/>
  <c r="AI5" i="2"/>
  <c r="AJ3" i="2"/>
  <c r="AI2" i="2"/>
  <c r="P490" i="1"/>
  <c r="O489" i="1"/>
  <c r="P491" i="1"/>
  <c r="O447" i="1"/>
  <c r="O446" i="1"/>
  <c r="N445" i="1"/>
  <c r="O535" i="1"/>
  <c r="O534" i="1"/>
  <c r="N533" i="1"/>
  <c r="P403" i="1"/>
  <c r="P402" i="1"/>
  <c r="O401" i="1"/>
  <c r="N357" i="1"/>
  <c r="O359" i="1"/>
  <c r="O358" i="1"/>
  <c r="N313" i="1"/>
  <c r="O315" i="1"/>
  <c r="O314" i="1"/>
  <c r="M269" i="1"/>
  <c r="N271" i="1"/>
  <c r="N270" i="1"/>
  <c r="N225" i="1"/>
  <c r="O227" i="1"/>
  <c r="O226" i="1"/>
  <c r="N181" i="1"/>
  <c r="O183" i="1"/>
  <c r="O182" i="1"/>
  <c r="N137" i="1"/>
  <c r="O139" i="1"/>
  <c r="O138" i="1"/>
  <c r="N93" i="1"/>
  <c r="O95" i="1"/>
  <c r="O94" i="1"/>
  <c r="O49" i="1"/>
  <c r="P51" i="1"/>
  <c r="P50" i="1"/>
  <c r="N7" i="1"/>
  <c r="M5" i="1"/>
  <c r="N6" i="1"/>
  <c r="V6" i="2" s="1"/>
  <c r="U9" i="1" l="1"/>
  <c r="U10" i="1" s="1"/>
  <c r="U11" i="1" s="1"/>
  <c r="U12" i="1" s="1"/>
  <c r="U13" i="1" s="1"/>
  <c r="U14" i="1" s="1"/>
  <c r="U15" i="1" s="1"/>
  <c r="U16" i="1" s="1"/>
  <c r="U17" i="1" s="1"/>
  <c r="U18" i="1" s="1"/>
  <c r="U19" i="1" s="1"/>
  <c r="U20" i="1" s="1"/>
  <c r="U21" i="1" s="1"/>
  <c r="U22" i="1" s="1"/>
  <c r="U23" i="1" s="1"/>
  <c r="U24" i="1" s="1"/>
  <c r="U25" i="1" s="1"/>
  <c r="U26" i="1" s="1"/>
  <c r="U27" i="1" s="1"/>
  <c r="U28" i="1" s="1"/>
  <c r="U29" i="1" s="1"/>
  <c r="U30" i="1" s="1"/>
  <c r="U31" i="1" s="1"/>
  <c r="U32" i="1" s="1"/>
  <c r="U33" i="1" s="1"/>
  <c r="U34" i="1" s="1"/>
  <c r="U35" i="1" s="1"/>
  <c r="U36" i="1" s="1"/>
  <c r="U37" i="1" s="1"/>
  <c r="U38" i="1" s="1"/>
  <c r="U39" i="1" s="1"/>
  <c r="U40" i="1" s="1"/>
  <c r="U41" i="1" s="1"/>
  <c r="U42" i="1" s="1"/>
  <c r="U43" i="1" s="1"/>
  <c r="U44" i="1" s="1"/>
  <c r="U46" i="1" s="1"/>
  <c r="A46" i="1" s="1"/>
  <c r="Q6" i="2"/>
  <c r="H6" i="2"/>
  <c r="R6" i="2"/>
  <c r="AJ2" i="2"/>
  <c r="AK3" i="2"/>
  <c r="AJ5" i="2"/>
  <c r="AJ4" i="2"/>
  <c r="O491" i="1"/>
  <c r="O490" i="1"/>
  <c r="N489" i="1"/>
  <c r="M533" i="1"/>
  <c r="N535" i="1"/>
  <c r="N534" i="1"/>
  <c r="M445" i="1"/>
  <c r="N446" i="1"/>
  <c r="N447" i="1"/>
  <c r="N401" i="1"/>
  <c r="O403" i="1"/>
  <c r="O402" i="1"/>
  <c r="M357" i="1"/>
  <c r="N358" i="1"/>
  <c r="N359" i="1"/>
  <c r="M313" i="1"/>
  <c r="N315" i="1"/>
  <c r="N314" i="1"/>
  <c r="M270" i="1"/>
  <c r="M271" i="1"/>
  <c r="L269" i="1"/>
  <c r="M225" i="1"/>
  <c r="N227" i="1"/>
  <c r="N226" i="1"/>
  <c r="M181" i="1"/>
  <c r="N183" i="1"/>
  <c r="N182" i="1"/>
  <c r="M137" i="1"/>
  <c r="N138" i="1"/>
  <c r="N139" i="1"/>
  <c r="M93" i="1"/>
  <c r="N95" i="1"/>
  <c r="N94" i="1"/>
  <c r="N49" i="1"/>
  <c r="O51" i="1"/>
  <c r="O50" i="1"/>
  <c r="M7" i="1"/>
  <c r="L5" i="1"/>
  <c r="M6" i="1"/>
  <c r="U6" i="2" s="1"/>
  <c r="A9" i="1"/>
  <c r="U47" i="1" l="1"/>
  <c r="U48" i="1" s="1"/>
  <c r="A47" i="1"/>
  <c r="I6" i="2"/>
  <c r="AK5" i="2"/>
  <c r="AL3" i="2"/>
  <c r="AK2" i="2"/>
  <c r="M534" i="1"/>
  <c r="M535" i="1"/>
  <c r="L533" i="1"/>
  <c r="M489" i="1"/>
  <c r="N491" i="1"/>
  <c r="N490" i="1"/>
  <c r="M447" i="1"/>
  <c r="M446" i="1"/>
  <c r="L445" i="1"/>
  <c r="M401" i="1"/>
  <c r="N403" i="1"/>
  <c r="N402" i="1"/>
  <c r="M358" i="1"/>
  <c r="M359" i="1"/>
  <c r="L357" i="1"/>
  <c r="M314" i="1"/>
  <c r="L313" i="1"/>
  <c r="M315" i="1"/>
  <c r="L271" i="1"/>
  <c r="L270" i="1"/>
  <c r="K269" i="1"/>
  <c r="M226" i="1"/>
  <c r="L225" i="1"/>
  <c r="M227" i="1"/>
  <c r="M182" i="1"/>
  <c r="L181" i="1"/>
  <c r="M183" i="1"/>
  <c r="M138" i="1"/>
  <c r="M139" i="1"/>
  <c r="L137" i="1"/>
  <c r="M94" i="1"/>
  <c r="L93" i="1"/>
  <c r="M95" i="1"/>
  <c r="N51" i="1"/>
  <c r="M49" i="1"/>
  <c r="N50" i="1"/>
  <c r="L6" i="1"/>
  <c r="T6" i="2" s="1"/>
  <c r="L7" i="1"/>
  <c r="K5" i="1"/>
  <c r="A10" i="1"/>
  <c r="A48" i="1" l="1"/>
  <c r="U49" i="1"/>
  <c r="AL5" i="2"/>
  <c r="AM3" i="2"/>
  <c r="AL2" i="2"/>
  <c r="L534" i="1"/>
  <c r="K533" i="1"/>
  <c r="L535" i="1"/>
  <c r="L447" i="1"/>
  <c r="L446" i="1"/>
  <c r="K445" i="1"/>
  <c r="L489" i="1"/>
  <c r="M491" i="1"/>
  <c r="M490" i="1"/>
  <c r="M402" i="1"/>
  <c r="L401" i="1"/>
  <c r="M403" i="1"/>
  <c r="L359" i="1"/>
  <c r="L358" i="1"/>
  <c r="K357" i="1"/>
  <c r="L315" i="1"/>
  <c r="L314" i="1"/>
  <c r="K313" i="1"/>
  <c r="K271" i="1"/>
  <c r="K270" i="1"/>
  <c r="L227" i="1"/>
  <c r="L226" i="1"/>
  <c r="K225" i="1"/>
  <c r="L183" i="1"/>
  <c r="L182" i="1"/>
  <c r="K181" i="1"/>
  <c r="L139" i="1"/>
  <c r="L138" i="1"/>
  <c r="K137" i="1"/>
  <c r="L95" i="1"/>
  <c r="L94" i="1"/>
  <c r="K93" i="1"/>
  <c r="M51" i="1"/>
  <c r="L49" i="1"/>
  <c r="M50" i="1"/>
  <c r="K6" i="1"/>
  <c r="S6" i="2" s="1"/>
  <c r="K7" i="1"/>
  <c r="A11" i="1"/>
  <c r="A49" i="1" l="1"/>
  <c r="U50" i="1"/>
  <c r="AM5" i="2"/>
  <c r="AN3" i="2"/>
  <c r="AM2" i="2"/>
  <c r="K447" i="1"/>
  <c r="K446" i="1"/>
  <c r="L490" i="1"/>
  <c r="K489" i="1"/>
  <c r="L491" i="1"/>
  <c r="K535" i="1"/>
  <c r="K534" i="1"/>
  <c r="L403" i="1"/>
  <c r="L402" i="1"/>
  <c r="K401" i="1"/>
  <c r="K359" i="1"/>
  <c r="K358" i="1"/>
  <c r="K315" i="1"/>
  <c r="K314" i="1"/>
  <c r="K227" i="1"/>
  <c r="K226" i="1"/>
  <c r="K183" i="1"/>
  <c r="K182" i="1"/>
  <c r="K139" i="1"/>
  <c r="K138" i="1"/>
  <c r="K95" i="1"/>
  <c r="K94" i="1"/>
  <c r="L50" i="1"/>
  <c r="K49" i="1"/>
  <c r="L51" i="1"/>
  <c r="A12" i="1"/>
  <c r="U51" i="1" l="1"/>
  <c r="A50" i="1"/>
  <c r="AO3" i="2"/>
  <c r="AN4" i="2"/>
  <c r="AN5" i="2"/>
  <c r="AN2" i="2"/>
  <c r="K491" i="1"/>
  <c r="K490" i="1"/>
  <c r="K403" i="1"/>
  <c r="K402" i="1"/>
  <c r="K50" i="1"/>
  <c r="K51" i="1"/>
  <c r="A13" i="1"/>
  <c r="A51" i="1" l="1"/>
  <c r="U52" i="1"/>
  <c r="AO2" i="2"/>
  <c r="AO5" i="2"/>
  <c r="AP3" i="2"/>
  <c r="A14" i="1"/>
  <c r="A52" i="1" l="1"/>
  <c r="U53" i="1"/>
  <c r="AP2" i="2"/>
  <c r="AQ3" i="2"/>
  <c r="AP5" i="2"/>
  <c r="A15" i="1"/>
  <c r="U54" i="1" l="1"/>
  <c r="A53" i="1"/>
  <c r="AQ5" i="2"/>
  <c r="AR3" i="2"/>
  <c r="AQ2" i="2"/>
  <c r="A16" i="1"/>
  <c r="U55" i="1" l="1"/>
  <c r="A54" i="1"/>
  <c r="AR2" i="2"/>
  <c r="AS3" i="2"/>
  <c r="AR4" i="2"/>
  <c r="AR5" i="2"/>
  <c r="A17" i="1"/>
  <c r="U56" i="1" l="1"/>
  <c r="A55" i="1"/>
  <c r="AS5" i="2"/>
  <c r="AT3" i="2"/>
  <c r="AS2" i="2"/>
  <c r="A18" i="1"/>
  <c r="U57" i="1" l="1"/>
  <c r="A56" i="1"/>
  <c r="AU3" i="2"/>
  <c r="AT5" i="2"/>
  <c r="AT2" i="2"/>
  <c r="A19" i="1"/>
  <c r="U58" i="1" l="1"/>
  <c r="A57" i="1"/>
  <c r="AU2" i="2"/>
  <c r="AU5" i="2"/>
  <c r="AV3" i="2"/>
  <c r="A20" i="1"/>
  <c r="A58" i="1" l="1"/>
  <c r="U59" i="1"/>
  <c r="AV4" i="2"/>
  <c r="AW3" i="2"/>
  <c r="AV5" i="2"/>
  <c r="AV2" i="2"/>
  <c r="A21" i="1"/>
  <c r="U60" i="1" l="1"/>
  <c r="A59" i="1"/>
  <c r="AQ6" i="2"/>
  <c r="AW5" i="2"/>
  <c r="AX3" i="2"/>
  <c r="AW2" i="2"/>
  <c r="A22" i="1"/>
  <c r="AR6" i="2" l="1"/>
  <c r="AU6" i="2"/>
  <c r="AS6" i="2"/>
  <c r="AT6" i="2"/>
  <c r="A60" i="1"/>
  <c r="U61" i="1"/>
  <c r="AX5" i="2"/>
  <c r="AY3" i="2"/>
  <c r="AX2" i="2"/>
  <c r="A23" i="1"/>
  <c r="AV6" i="2" l="1"/>
  <c r="A61" i="1"/>
  <c r="U62" i="1"/>
  <c r="AW6" i="2"/>
  <c r="AX6" i="2"/>
  <c r="AY5" i="2"/>
  <c r="AZ3" i="2"/>
  <c r="AY2" i="2"/>
  <c r="A24" i="1"/>
  <c r="U63" i="1" l="1"/>
  <c r="A62" i="1"/>
  <c r="AY6" i="2"/>
  <c r="BA3" i="2"/>
  <c r="AZ5" i="2"/>
  <c r="AZ4" i="2"/>
  <c r="AZ2" i="2"/>
  <c r="A25" i="1"/>
  <c r="U64" i="1" l="1"/>
  <c r="A63" i="1"/>
  <c r="AZ6" i="2"/>
  <c r="BA2" i="2"/>
  <c r="BA5" i="2"/>
  <c r="BB3" i="2"/>
  <c r="A26" i="1"/>
  <c r="U65" i="1" l="1"/>
  <c r="A64" i="1"/>
  <c r="BA6" i="2"/>
  <c r="BC3" i="2"/>
  <c r="BB5" i="2"/>
  <c r="BB2" i="2"/>
  <c r="A27" i="1"/>
  <c r="A65" i="1" l="1"/>
  <c r="U66" i="1"/>
  <c r="BB6" i="2"/>
  <c r="BC2" i="2"/>
  <c r="BC5" i="2"/>
  <c r="BD3" i="2"/>
  <c r="U67" i="1" l="1"/>
  <c r="A66" i="1"/>
  <c r="BC6" i="2"/>
  <c r="BD2" i="2"/>
  <c r="BE3" i="2"/>
  <c r="BD4" i="2"/>
  <c r="BD5" i="2"/>
  <c r="U68" i="1" l="1"/>
  <c r="A67" i="1"/>
  <c r="BD6" i="2"/>
  <c r="BE2" i="2"/>
  <c r="BE5" i="2"/>
  <c r="BF3" i="2"/>
  <c r="A68" i="1" l="1"/>
  <c r="U69" i="1"/>
  <c r="BE6" i="2"/>
  <c r="BF2" i="2"/>
  <c r="BG3" i="2"/>
  <c r="BF5" i="2"/>
  <c r="U70" i="1" l="1"/>
  <c r="A69" i="1"/>
  <c r="BF6" i="2"/>
  <c r="BG2" i="2"/>
  <c r="BG5" i="2"/>
  <c r="BH3" i="2"/>
  <c r="U71" i="1" l="1"/>
  <c r="A70" i="1"/>
  <c r="BG6" i="2"/>
  <c r="BH2" i="2"/>
  <c r="BI3" i="2"/>
  <c r="BH4" i="2"/>
  <c r="BH5" i="2"/>
  <c r="U72" i="1" l="1"/>
  <c r="A71" i="1"/>
  <c r="BH6" i="2"/>
  <c r="BI2" i="2"/>
  <c r="BI5" i="2"/>
  <c r="BJ3" i="2"/>
  <c r="A28" i="1"/>
  <c r="A72" i="1" l="1"/>
  <c r="U73" i="1"/>
  <c r="BI6" i="2"/>
  <c r="BK3" i="2"/>
  <c r="BJ5" i="2"/>
  <c r="BJ2" i="2"/>
  <c r="A29" i="1"/>
  <c r="A73" i="1" l="1"/>
  <c r="U74" i="1"/>
  <c r="BJ6" i="2"/>
  <c r="BK2" i="2"/>
  <c r="BK5" i="2"/>
  <c r="BL3" i="2"/>
  <c r="A30" i="1"/>
  <c r="A74" i="1" l="1"/>
  <c r="U75" i="1"/>
  <c r="BK6" i="2"/>
  <c r="BL2" i="2"/>
  <c r="BL4" i="2"/>
  <c r="BM3" i="2"/>
  <c r="BL5" i="2"/>
  <c r="A31" i="1"/>
  <c r="A75" i="1" l="1"/>
  <c r="U76" i="1"/>
  <c r="BL6" i="2"/>
  <c r="BM5" i="2"/>
  <c r="BN3" i="2"/>
  <c r="BM2" i="2"/>
  <c r="A32" i="1"/>
  <c r="U77" i="1" l="1"/>
  <c r="A76" i="1"/>
  <c r="BM6" i="2"/>
  <c r="BO3" i="2"/>
  <c r="BO5" i="2" s="1"/>
  <c r="BN5" i="2"/>
  <c r="BN2" i="2"/>
  <c r="A33" i="1"/>
  <c r="U78" i="1" l="1"/>
  <c r="A77" i="1"/>
  <c r="BN6" i="2"/>
  <c r="BO2" i="2"/>
  <c r="A34" i="1"/>
  <c r="U79" i="1" l="1"/>
  <c r="A78" i="1"/>
  <c r="BO6" i="2"/>
  <c r="A35" i="1"/>
  <c r="U80" i="1" l="1"/>
  <c r="A79" i="1"/>
  <c r="A36" i="1"/>
  <c r="A80" i="1" l="1"/>
  <c r="U81" i="1"/>
  <c r="A37" i="1"/>
  <c r="U82" i="1" l="1"/>
  <c r="A81" i="1"/>
  <c r="A38" i="1"/>
  <c r="A82" i="1" l="1"/>
  <c r="U83" i="1"/>
  <c r="A39" i="1"/>
  <c r="A83" i="1" l="1"/>
  <c r="U84" i="1"/>
  <c r="A44" i="1"/>
  <c r="A40" i="1"/>
  <c r="U85" i="1" l="1"/>
  <c r="A84" i="1"/>
  <c r="A41" i="1"/>
  <c r="A85" i="1" l="1"/>
  <c r="U86" i="1"/>
  <c r="A42" i="1"/>
  <c r="U87" i="1" l="1"/>
  <c r="A86" i="1"/>
  <c r="A43" i="1"/>
  <c r="A87" i="1" l="1"/>
  <c r="U88" i="1"/>
  <c r="U90" i="1" s="1"/>
  <c r="U91" i="1" s="1"/>
  <c r="U92" i="1" s="1"/>
  <c r="U93" i="1" s="1"/>
  <c r="U94" i="1" s="1"/>
  <c r="U95" i="1" s="1"/>
  <c r="U96" i="1" s="1"/>
  <c r="U97" i="1" s="1"/>
  <c r="U98" i="1" s="1"/>
  <c r="U99" i="1" s="1"/>
  <c r="U100" i="1" s="1"/>
  <c r="U101" i="1" s="1"/>
  <c r="U102" i="1" s="1"/>
  <c r="U103" i="1" s="1"/>
  <c r="U104" i="1" s="1"/>
  <c r="U105" i="1" s="1"/>
  <c r="U106" i="1" s="1"/>
  <c r="U107" i="1" s="1"/>
  <c r="U108" i="1" s="1"/>
  <c r="U109" i="1" s="1"/>
  <c r="U110" i="1" s="1"/>
  <c r="U111" i="1" s="1"/>
  <c r="U112" i="1" s="1"/>
  <c r="U113" i="1" s="1"/>
  <c r="U114" i="1" s="1"/>
  <c r="U115" i="1" s="1"/>
  <c r="U116" i="1" s="1"/>
  <c r="U117" i="1" s="1"/>
  <c r="U118" i="1" s="1"/>
  <c r="U119" i="1" s="1"/>
  <c r="U120" i="1" s="1"/>
  <c r="U121" i="1" s="1"/>
  <c r="U122" i="1" s="1"/>
  <c r="U123" i="1" s="1"/>
  <c r="U124" i="1" s="1"/>
  <c r="U125" i="1" s="1"/>
  <c r="U126" i="1" s="1"/>
  <c r="U127" i="1" s="1"/>
  <c r="U128" i="1" s="1"/>
  <c r="U129" i="1" s="1"/>
  <c r="U130" i="1" s="1"/>
  <c r="U131" i="1" s="1"/>
  <c r="U132" i="1" s="1"/>
  <c r="U134" i="1" s="1"/>
  <c r="U135" i="1" s="1"/>
  <c r="U136" i="1" s="1"/>
  <c r="U137" i="1" s="1"/>
  <c r="U138" i="1" s="1"/>
  <c r="U139" i="1" s="1"/>
  <c r="U140" i="1" s="1"/>
  <c r="U141" i="1" s="1"/>
  <c r="U142" i="1" s="1"/>
  <c r="U143" i="1" s="1"/>
  <c r="U144" i="1" s="1"/>
  <c r="U145" i="1" s="1"/>
  <c r="U146" i="1" s="1"/>
  <c r="U147" i="1" s="1"/>
  <c r="U148" i="1" s="1"/>
  <c r="U149" i="1" s="1"/>
  <c r="U150" i="1" s="1"/>
  <c r="U151" i="1" s="1"/>
  <c r="U152" i="1" s="1"/>
  <c r="U153" i="1" s="1"/>
  <c r="U154" i="1" s="1"/>
  <c r="U155" i="1" s="1"/>
  <c r="U156" i="1" s="1"/>
  <c r="U157" i="1" s="1"/>
  <c r="U158" i="1" s="1"/>
  <c r="U159" i="1" s="1"/>
  <c r="U160" i="1" s="1"/>
  <c r="U161" i="1" s="1"/>
  <c r="U162" i="1" s="1"/>
  <c r="U163" i="1" s="1"/>
  <c r="U164" i="1" s="1"/>
  <c r="U165" i="1" s="1"/>
  <c r="U166" i="1" s="1"/>
  <c r="U167" i="1" s="1"/>
  <c r="U168" i="1" s="1"/>
  <c r="U169" i="1" s="1"/>
  <c r="U170" i="1" s="1"/>
  <c r="U171" i="1" s="1"/>
  <c r="U172" i="1" s="1"/>
  <c r="U173" i="1" s="1"/>
  <c r="U174" i="1" s="1"/>
  <c r="U175" i="1" s="1"/>
  <c r="U176" i="1" s="1"/>
  <c r="U178" i="1" s="1"/>
  <c r="U179" i="1" s="1"/>
  <c r="U180" i="1" s="1"/>
  <c r="U181" i="1" s="1"/>
  <c r="U182" i="1" s="1"/>
  <c r="U183" i="1" s="1"/>
  <c r="U184" i="1" s="1"/>
  <c r="U185" i="1" s="1"/>
  <c r="U186" i="1" s="1"/>
  <c r="U187" i="1" s="1"/>
  <c r="U188" i="1" s="1"/>
  <c r="U189" i="1" s="1"/>
  <c r="U190" i="1" s="1"/>
  <c r="U191" i="1" s="1"/>
  <c r="U192" i="1" s="1"/>
  <c r="U193" i="1" s="1"/>
  <c r="U194" i="1" s="1"/>
  <c r="U195" i="1" s="1"/>
  <c r="U196" i="1" s="1"/>
  <c r="U197" i="1" s="1"/>
  <c r="U198" i="1" s="1"/>
  <c r="U199" i="1" s="1"/>
  <c r="U200" i="1" s="1"/>
  <c r="U201" i="1" s="1"/>
  <c r="U202" i="1" s="1"/>
  <c r="U203" i="1" s="1"/>
  <c r="U204" i="1" s="1"/>
  <c r="U205" i="1" s="1"/>
  <c r="U206" i="1" s="1"/>
  <c r="U207" i="1" s="1"/>
  <c r="U208" i="1" s="1"/>
  <c r="U209" i="1" s="1"/>
  <c r="U210" i="1" s="1"/>
  <c r="U211" i="1" s="1"/>
  <c r="U212" i="1" s="1"/>
  <c r="U213" i="1" s="1"/>
  <c r="U214" i="1" s="1"/>
  <c r="U215" i="1" s="1"/>
  <c r="U216" i="1" s="1"/>
  <c r="U217" i="1" s="1"/>
  <c r="U218" i="1" s="1"/>
  <c r="U219" i="1" s="1"/>
  <c r="U220" i="1" s="1"/>
  <c r="U222" i="1" s="1"/>
  <c r="U223" i="1" s="1"/>
  <c r="U224" i="1" s="1"/>
  <c r="U225" i="1" s="1"/>
  <c r="U226" i="1" s="1"/>
  <c r="U227" i="1" s="1"/>
  <c r="U228" i="1" s="1"/>
  <c r="U229" i="1" s="1"/>
  <c r="U230" i="1" s="1"/>
  <c r="U231" i="1" s="1"/>
  <c r="U232" i="1" s="1"/>
  <c r="U233" i="1" s="1"/>
  <c r="U234" i="1" s="1"/>
  <c r="U235" i="1" s="1"/>
  <c r="U236" i="1" s="1"/>
  <c r="U237" i="1" s="1"/>
  <c r="U238" i="1" s="1"/>
  <c r="U239" i="1" s="1"/>
  <c r="U240" i="1" s="1"/>
  <c r="U241" i="1" s="1"/>
  <c r="U242" i="1" s="1"/>
  <c r="U243" i="1" s="1"/>
  <c r="U244" i="1" s="1"/>
  <c r="U245" i="1" s="1"/>
  <c r="U246" i="1" s="1"/>
  <c r="U247" i="1" s="1"/>
  <c r="U248" i="1" s="1"/>
  <c r="U249" i="1" s="1"/>
  <c r="U250" i="1" s="1"/>
  <c r="U251" i="1" s="1"/>
  <c r="U252" i="1" s="1"/>
  <c r="U253" i="1" s="1"/>
  <c r="U254" i="1" s="1"/>
  <c r="U255" i="1" s="1"/>
  <c r="U256" i="1" s="1"/>
  <c r="U257" i="1" s="1"/>
  <c r="U258" i="1" s="1"/>
  <c r="U259" i="1" s="1"/>
  <c r="U260" i="1" s="1"/>
  <c r="U261" i="1" s="1"/>
  <c r="U262" i="1" s="1"/>
  <c r="U263" i="1" s="1"/>
  <c r="U264" i="1" s="1"/>
  <c r="U266" i="1" s="1"/>
  <c r="U267" i="1" s="1"/>
  <c r="U268" i="1" s="1"/>
  <c r="U269" i="1" s="1"/>
  <c r="U270" i="1" s="1"/>
  <c r="U271" i="1" s="1"/>
  <c r="U272" i="1" s="1"/>
  <c r="U273" i="1" s="1"/>
  <c r="U274" i="1" s="1"/>
  <c r="U275" i="1" s="1"/>
  <c r="U276" i="1" s="1"/>
  <c r="U277" i="1" s="1"/>
  <c r="U278" i="1" s="1"/>
  <c r="U279" i="1" s="1"/>
  <c r="U280" i="1" s="1"/>
  <c r="U281" i="1" s="1"/>
  <c r="U282" i="1" s="1"/>
  <c r="U283" i="1" s="1"/>
  <c r="U284" i="1" s="1"/>
  <c r="U285" i="1" s="1"/>
  <c r="U286" i="1" s="1"/>
  <c r="U287" i="1" s="1"/>
  <c r="U288" i="1" s="1"/>
  <c r="U289" i="1" s="1"/>
  <c r="U290" i="1" s="1"/>
  <c r="U291" i="1" s="1"/>
  <c r="U292" i="1" s="1"/>
  <c r="U293" i="1" s="1"/>
  <c r="U294" i="1" s="1"/>
  <c r="U295" i="1" s="1"/>
  <c r="U296" i="1" s="1"/>
  <c r="U297" i="1" s="1"/>
  <c r="U298" i="1" s="1"/>
  <c r="U299" i="1" s="1"/>
  <c r="U300" i="1" s="1"/>
  <c r="U301" i="1" s="1"/>
  <c r="U302" i="1" s="1"/>
  <c r="U303" i="1" s="1"/>
  <c r="U304" i="1" s="1"/>
  <c r="U305" i="1" s="1"/>
  <c r="U306" i="1" s="1"/>
  <c r="U307" i="1" s="1"/>
  <c r="U308" i="1" s="1"/>
  <c r="U310" i="1" s="1"/>
  <c r="U311" i="1" s="1"/>
  <c r="U312" i="1" s="1"/>
  <c r="U313" i="1" s="1"/>
  <c r="U314" i="1" s="1"/>
  <c r="U315" i="1" s="1"/>
  <c r="U316" i="1" s="1"/>
  <c r="U317" i="1" s="1"/>
  <c r="U318" i="1" s="1"/>
  <c r="U319" i="1" s="1"/>
  <c r="U320" i="1" s="1"/>
  <c r="U321" i="1" s="1"/>
  <c r="U322" i="1" s="1"/>
  <c r="U323" i="1" s="1"/>
  <c r="U324" i="1" s="1"/>
  <c r="U325" i="1" s="1"/>
  <c r="U326" i="1" s="1"/>
  <c r="U327" i="1" s="1"/>
  <c r="U328" i="1" s="1"/>
  <c r="U329" i="1" s="1"/>
  <c r="U330" i="1" s="1"/>
  <c r="U331" i="1" s="1"/>
  <c r="U332" i="1" s="1"/>
  <c r="U333" i="1" s="1"/>
  <c r="U334" i="1" s="1"/>
  <c r="U335" i="1" s="1"/>
  <c r="U336" i="1" s="1"/>
  <c r="U337" i="1" s="1"/>
  <c r="U338" i="1" s="1"/>
  <c r="U339" i="1" s="1"/>
  <c r="U340" i="1" s="1"/>
  <c r="U341" i="1" s="1"/>
  <c r="U342" i="1" s="1"/>
  <c r="U343" i="1" s="1"/>
  <c r="U344" i="1" s="1"/>
  <c r="U345" i="1" s="1"/>
  <c r="U346" i="1" s="1"/>
  <c r="U347" i="1" s="1"/>
  <c r="U348" i="1" s="1"/>
  <c r="U349" i="1" s="1"/>
  <c r="U350" i="1" s="1"/>
  <c r="U351" i="1" s="1"/>
  <c r="U352" i="1" s="1"/>
  <c r="U354" i="1" s="1"/>
  <c r="U355" i="1" s="1"/>
  <c r="U356" i="1" s="1"/>
  <c r="U357" i="1" s="1"/>
  <c r="U358" i="1" s="1"/>
  <c r="U359" i="1" s="1"/>
  <c r="U360" i="1" s="1"/>
  <c r="U361" i="1" s="1"/>
  <c r="U362" i="1" s="1"/>
  <c r="U363" i="1" s="1"/>
  <c r="U364" i="1" s="1"/>
  <c r="U365" i="1" s="1"/>
  <c r="U366" i="1" s="1"/>
  <c r="U367" i="1" s="1"/>
  <c r="U368" i="1" s="1"/>
  <c r="U369" i="1" s="1"/>
  <c r="U370" i="1" s="1"/>
  <c r="U371" i="1" s="1"/>
  <c r="U372" i="1" s="1"/>
  <c r="U373" i="1" s="1"/>
  <c r="U374" i="1" s="1"/>
  <c r="U375" i="1" s="1"/>
  <c r="U376" i="1" s="1"/>
  <c r="U377" i="1" s="1"/>
  <c r="U378" i="1" s="1"/>
  <c r="U379" i="1" s="1"/>
  <c r="U380" i="1" s="1"/>
  <c r="U381" i="1" s="1"/>
  <c r="U382" i="1" s="1"/>
  <c r="U383" i="1" s="1"/>
  <c r="U384" i="1" s="1"/>
  <c r="U385" i="1" s="1"/>
  <c r="U386" i="1" s="1"/>
  <c r="U387" i="1" s="1"/>
  <c r="U388" i="1" s="1"/>
  <c r="U389" i="1" s="1"/>
  <c r="U390" i="1" s="1"/>
  <c r="U391" i="1" s="1"/>
  <c r="U392" i="1" s="1"/>
  <c r="U393" i="1" s="1"/>
  <c r="U394" i="1" s="1"/>
  <c r="U395" i="1" s="1"/>
  <c r="U396" i="1" s="1"/>
  <c r="U398" i="1" s="1"/>
  <c r="U399" i="1" s="1"/>
  <c r="U400" i="1" s="1"/>
  <c r="U401" i="1" s="1"/>
  <c r="U402" i="1" s="1"/>
  <c r="U403" i="1" s="1"/>
  <c r="U404" i="1" s="1"/>
  <c r="U405" i="1" s="1"/>
  <c r="U406" i="1" s="1"/>
  <c r="U407" i="1" s="1"/>
  <c r="U408" i="1" s="1"/>
  <c r="U409" i="1" s="1"/>
  <c r="U410" i="1" s="1"/>
  <c r="U411" i="1" s="1"/>
  <c r="U412" i="1" s="1"/>
  <c r="U413" i="1" s="1"/>
  <c r="U414" i="1" s="1"/>
  <c r="U415" i="1" s="1"/>
  <c r="U416" i="1" s="1"/>
  <c r="U417" i="1" s="1"/>
  <c r="U418" i="1" s="1"/>
  <c r="U419" i="1" s="1"/>
  <c r="U420" i="1" s="1"/>
  <c r="U421" i="1" s="1"/>
  <c r="U422" i="1" s="1"/>
  <c r="U423" i="1" s="1"/>
  <c r="U424" i="1" s="1"/>
  <c r="U425" i="1" s="1"/>
  <c r="U426" i="1" s="1"/>
  <c r="U427" i="1" s="1"/>
  <c r="U428" i="1" s="1"/>
  <c r="U429" i="1" s="1"/>
  <c r="U430" i="1" s="1"/>
  <c r="U431" i="1" s="1"/>
  <c r="U432" i="1" s="1"/>
  <c r="U433" i="1" s="1"/>
  <c r="U434" i="1" s="1"/>
  <c r="U435" i="1" s="1"/>
  <c r="U436" i="1" s="1"/>
  <c r="U437" i="1" s="1"/>
  <c r="U438" i="1" s="1"/>
  <c r="U439" i="1" s="1"/>
  <c r="U440" i="1" s="1"/>
  <c r="U442" i="1" s="1"/>
  <c r="U443" i="1" s="1"/>
  <c r="U444" i="1" s="1"/>
  <c r="U445" i="1" s="1"/>
  <c r="U446" i="1" s="1"/>
  <c r="U447" i="1" s="1"/>
  <c r="U448" i="1" s="1"/>
  <c r="U449" i="1" s="1"/>
  <c r="U450" i="1" s="1"/>
  <c r="U451" i="1" s="1"/>
  <c r="U452" i="1" s="1"/>
  <c r="U453" i="1" s="1"/>
  <c r="U454" i="1" s="1"/>
  <c r="U455" i="1" s="1"/>
  <c r="U456" i="1" s="1"/>
  <c r="U457" i="1" s="1"/>
  <c r="U458" i="1" s="1"/>
  <c r="U459" i="1" s="1"/>
  <c r="U460" i="1" s="1"/>
  <c r="U461" i="1" s="1"/>
  <c r="U462" i="1" s="1"/>
  <c r="U463" i="1" s="1"/>
  <c r="U464" i="1" s="1"/>
  <c r="U465" i="1" s="1"/>
  <c r="U466" i="1" s="1"/>
  <c r="U467" i="1" s="1"/>
  <c r="U468" i="1" s="1"/>
  <c r="U469" i="1" s="1"/>
  <c r="U470" i="1" s="1"/>
  <c r="U471" i="1" s="1"/>
  <c r="U472" i="1" s="1"/>
  <c r="U473" i="1" s="1"/>
  <c r="U474" i="1" s="1"/>
  <c r="U475" i="1" s="1"/>
  <c r="U476" i="1" s="1"/>
  <c r="U477" i="1" s="1"/>
  <c r="U478" i="1" s="1"/>
  <c r="U479" i="1" s="1"/>
  <c r="U480" i="1" s="1"/>
  <c r="U481" i="1" s="1"/>
  <c r="U482" i="1" s="1"/>
  <c r="U483" i="1" s="1"/>
  <c r="U484" i="1" s="1"/>
  <c r="U486" i="1" s="1"/>
  <c r="U487" i="1" s="1"/>
  <c r="U488" i="1" s="1"/>
  <c r="U489" i="1" s="1"/>
  <c r="U490" i="1" s="1"/>
  <c r="U491" i="1" s="1"/>
  <c r="U492" i="1" s="1"/>
  <c r="U493" i="1" s="1"/>
  <c r="U494" i="1" s="1"/>
  <c r="U495" i="1" s="1"/>
  <c r="U496" i="1" s="1"/>
  <c r="U497" i="1" s="1"/>
  <c r="U498" i="1" s="1"/>
  <c r="U499" i="1" s="1"/>
  <c r="U500" i="1" s="1"/>
  <c r="U501" i="1" s="1"/>
  <c r="U502" i="1" s="1"/>
  <c r="U503" i="1" s="1"/>
  <c r="U504" i="1" s="1"/>
  <c r="U505" i="1" s="1"/>
  <c r="U506" i="1" s="1"/>
  <c r="U507" i="1" s="1"/>
  <c r="U508" i="1" s="1"/>
  <c r="U509" i="1" s="1"/>
  <c r="U510" i="1" s="1"/>
  <c r="U511" i="1" s="1"/>
  <c r="U512" i="1" s="1"/>
  <c r="U513" i="1" s="1"/>
  <c r="U514" i="1" s="1"/>
  <c r="U515" i="1" s="1"/>
  <c r="U516" i="1" s="1"/>
  <c r="U517" i="1" s="1"/>
  <c r="U518" i="1" s="1"/>
  <c r="U519" i="1" s="1"/>
  <c r="U520" i="1" s="1"/>
  <c r="U521" i="1" s="1"/>
  <c r="U522" i="1" s="1"/>
  <c r="U523" i="1" s="1"/>
  <c r="U524" i="1" s="1"/>
  <c r="U525" i="1" s="1"/>
  <c r="U526" i="1" s="1"/>
  <c r="U527" i="1" s="1"/>
  <c r="U528" i="1" s="1"/>
  <c r="U530" i="1" s="1"/>
  <c r="U531" i="1" s="1"/>
  <c r="U532" i="1" s="1"/>
  <c r="U533" i="1" s="1"/>
  <c r="U534" i="1" s="1"/>
  <c r="U535" i="1" s="1"/>
  <c r="U536" i="1" s="1"/>
  <c r="U537" i="1" s="1"/>
  <c r="U538" i="1" s="1"/>
  <c r="U539" i="1" s="1"/>
  <c r="U540" i="1" s="1"/>
  <c r="U541" i="1" s="1"/>
  <c r="U542" i="1" s="1"/>
  <c r="U543" i="1" s="1"/>
  <c r="U544" i="1" s="1"/>
  <c r="U545" i="1" s="1"/>
  <c r="U546" i="1" s="1"/>
  <c r="U547" i="1" s="1"/>
  <c r="U548" i="1" s="1"/>
  <c r="U549" i="1" s="1"/>
  <c r="U550" i="1" s="1"/>
  <c r="U551" i="1" s="1"/>
  <c r="U552" i="1" s="1"/>
  <c r="U553" i="1" s="1"/>
  <c r="U554" i="1" s="1"/>
  <c r="U555" i="1" s="1"/>
  <c r="U556" i="1" s="1"/>
  <c r="U557" i="1" s="1"/>
  <c r="U558" i="1" s="1"/>
  <c r="U559" i="1" s="1"/>
  <c r="U560" i="1" s="1"/>
  <c r="U561" i="1" s="1"/>
  <c r="U562" i="1" s="1"/>
  <c r="U563" i="1" s="1"/>
  <c r="U564" i="1" s="1"/>
  <c r="U565" i="1" s="1"/>
  <c r="U566" i="1" s="1"/>
  <c r="U567" i="1" s="1"/>
  <c r="U568" i="1" s="1"/>
  <c r="U569" i="1" s="1"/>
  <c r="U570" i="1" s="1"/>
  <c r="U571" i="1" s="1"/>
  <c r="U572" i="1" s="1"/>
  <c r="U574" i="1" s="1"/>
  <c r="U575" i="1" s="1"/>
  <c r="U576" i="1" s="1"/>
  <c r="U577" i="1" s="1"/>
  <c r="U578" i="1" s="1"/>
  <c r="U579" i="1" s="1"/>
  <c r="U580" i="1" s="1"/>
  <c r="U581" i="1" s="1"/>
  <c r="U582" i="1" s="1"/>
  <c r="U583" i="1" s="1"/>
  <c r="U584" i="1" s="1"/>
  <c r="U585" i="1" s="1"/>
  <c r="U586" i="1" s="1"/>
  <c r="U587" i="1" s="1"/>
  <c r="U588" i="1" s="1"/>
  <c r="U589" i="1" s="1"/>
  <c r="U590" i="1" s="1"/>
  <c r="U591" i="1" s="1"/>
  <c r="U592" i="1" s="1"/>
  <c r="U593" i="1" s="1"/>
  <c r="U594" i="1" s="1"/>
  <c r="U595" i="1" s="1"/>
  <c r="U596" i="1" s="1"/>
  <c r="U597" i="1" s="1"/>
  <c r="U598" i="1" s="1"/>
  <c r="U599" i="1" s="1"/>
  <c r="U600" i="1" s="1"/>
  <c r="U601" i="1" s="1"/>
  <c r="U602" i="1" s="1"/>
  <c r="U603" i="1" s="1"/>
  <c r="U604" i="1" s="1"/>
  <c r="U605" i="1" s="1"/>
  <c r="U606" i="1" s="1"/>
  <c r="U607" i="1" s="1"/>
  <c r="U608" i="1" s="1"/>
  <c r="U609" i="1" s="1"/>
  <c r="U610" i="1" s="1"/>
  <c r="U611" i="1" s="1"/>
  <c r="U612" i="1" s="1"/>
  <c r="U613" i="1" s="1"/>
  <c r="U614" i="1" s="1"/>
  <c r="U615" i="1" s="1"/>
  <c r="U616" i="1" s="1"/>
  <c r="U618" i="1" s="1"/>
  <c r="U619" i="1" s="1"/>
  <c r="U620" i="1" s="1"/>
  <c r="U621" i="1" s="1"/>
  <c r="U622" i="1" s="1"/>
  <c r="U623" i="1" s="1"/>
  <c r="U624" i="1" s="1"/>
  <c r="U625" i="1" s="1"/>
  <c r="U626" i="1" s="1"/>
  <c r="U627" i="1" s="1"/>
  <c r="U628" i="1" s="1"/>
  <c r="U629" i="1" s="1"/>
  <c r="U630" i="1" s="1"/>
  <c r="U631" i="1" s="1"/>
  <c r="U632" i="1" s="1"/>
  <c r="U633" i="1" s="1"/>
  <c r="U634" i="1" s="1"/>
  <c r="U635" i="1" s="1"/>
  <c r="U636" i="1" s="1"/>
  <c r="U637" i="1" s="1"/>
  <c r="U638" i="1" s="1"/>
  <c r="U639" i="1" s="1"/>
  <c r="U640" i="1" s="1"/>
  <c r="U641" i="1" s="1"/>
  <c r="U642" i="1" s="1"/>
  <c r="U643" i="1" s="1"/>
  <c r="U644" i="1" s="1"/>
  <c r="U645" i="1" s="1"/>
  <c r="U646" i="1" s="1"/>
  <c r="U647" i="1" s="1"/>
  <c r="U648" i="1" s="1"/>
  <c r="U649" i="1" s="1"/>
  <c r="U650" i="1" s="1"/>
  <c r="U651" i="1" s="1"/>
  <c r="U652" i="1" s="1"/>
  <c r="U653" i="1" s="1"/>
  <c r="U654" i="1" s="1"/>
  <c r="U655" i="1" s="1"/>
  <c r="U656" i="1" s="1"/>
  <c r="U657" i="1" s="1"/>
  <c r="U658" i="1" s="1"/>
  <c r="U659" i="1" s="1"/>
  <c r="U660" i="1" s="1"/>
  <c r="U662" i="1" s="1"/>
  <c r="U663" i="1" s="1"/>
  <c r="U664" i="1" s="1"/>
  <c r="U665" i="1" s="1"/>
  <c r="U666" i="1" s="1"/>
  <c r="U667" i="1" s="1"/>
  <c r="U668" i="1" s="1"/>
  <c r="U669" i="1" s="1"/>
  <c r="U670" i="1" s="1"/>
  <c r="U671" i="1" s="1"/>
  <c r="U672" i="1" s="1"/>
  <c r="U673" i="1" s="1"/>
  <c r="U674" i="1" s="1"/>
  <c r="U675" i="1" s="1"/>
  <c r="U676" i="1" s="1"/>
  <c r="U677" i="1" s="1"/>
  <c r="U678" i="1" s="1"/>
  <c r="U679" i="1" s="1"/>
  <c r="U680" i="1" s="1"/>
  <c r="U681" i="1" s="1"/>
  <c r="U682" i="1" s="1"/>
  <c r="U683" i="1" s="1"/>
  <c r="U684" i="1" s="1"/>
  <c r="U685" i="1" s="1"/>
  <c r="U686" i="1" s="1"/>
  <c r="U687" i="1" s="1"/>
  <c r="U688" i="1" s="1"/>
  <c r="U689" i="1" s="1"/>
  <c r="U690" i="1" s="1"/>
  <c r="U691" i="1" s="1"/>
  <c r="U692" i="1" s="1"/>
  <c r="U693" i="1" s="1"/>
  <c r="U694" i="1" s="1"/>
  <c r="U695" i="1" s="1"/>
  <c r="U696" i="1" s="1"/>
  <c r="U697" i="1" s="1"/>
  <c r="U698" i="1" s="1"/>
  <c r="U699" i="1" s="1"/>
  <c r="U700" i="1" s="1"/>
  <c r="U701" i="1" s="1"/>
  <c r="U702" i="1" s="1"/>
  <c r="U703" i="1" s="1"/>
  <c r="U704" i="1" s="1"/>
  <c r="U706" i="1" s="1"/>
  <c r="U707" i="1" s="1"/>
  <c r="U708" i="1" s="1"/>
  <c r="U709" i="1" s="1"/>
  <c r="U710" i="1" s="1"/>
  <c r="U711" i="1" s="1"/>
  <c r="U712" i="1" s="1"/>
  <c r="U713" i="1" s="1"/>
  <c r="U714" i="1" s="1"/>
  <c r="U715" i="1" s="1"/>
  <c r="U716" i="1" s="1"/>
  <c r="U717" i="1" s="1"/>
  <c r="U718" i="1" s="1"/>
  <c r="U719" i="1" s="1"/>
  <c r="U720" i="1" s="1"/>
  <c r="U721" i="1" s="1"/>
  <c r="U722" i="1" s="1"/>
  <c r="U723" i="1" s="1"/>
  <c r="U724" i="1" s="1"/>
  <c r="U725" i="1" s="1"/>
  <c r="U726" i="1" s="1"/>
  <c r="U727" i="1" s="1"/>
  <c r="U728" i="1" s="1"/>
  <c r="U729" i="1" s="1"/>
  <c r="U730" i="1" s="1"/>
  <c r="U731" i="1" s="1"/>
  <c r="U732" i="1" s="1"/>
  <c r="U733" i="1" s="1"/>
  <c r="U734" i="1" s="1"/>
  <c r="U735" i="1" s="1"/>
  <c r="U736" i="1" s="1"/>
  <c r="U737" i="1" s="1"/>
  <c r="U738" i="1" s="1"/>
  <c r="U739" i="1" s="1"/>
  <c r="U740" i="1" s="1"/>
  <c r="U741" i="1" s="1"/>
  <c r="U742" i="1" s="1"/>
  <c r="U743" i="1" s="1"/>
  <c r="U744" i="1" s="1"/>
  <c r="U745" i="1" s="1"/>
  <c r="U746" i="1" s="1"/>
  <c r="U747" i="1" s="1"/>
  <c r="U748" i="1" s="1"/>
  <c r="U750" i="1" s="1"/>
  <c r="U751" i="1" s="1"/>
  <c r="U752" i="1" s="1"/>
  <c r="U753" i="1" s="1"/>
  <c r="U754" i="1" s="1"/>
  <c r="U755" i="1" l="1"/>
  <c r="U756" i="1" s="1"/>
  <c r="U757" i="1" s="1"/>
  <c r="U758" i="1" s="1"/>
  <c r="U759" i="1" s="1"/>
  <c r="U760" i="1" s="1"/>
  <c r="U761" i="1" s="1"/>
  <c r="U762" i="1" s="1"/>
  <c r="U763" i="1" s="1"/>
  <c r="U764" i="1" s="1"/>
  <c r="U765" i="1" s="1"/>
  <c r="U766" i="1" s="1"/>
  <c r="U767" i="1" s="1"/>
  <c r="U768" i="1" s="1"/>
  <c r="U769" i="1" s="1"/>
  <c r="U770" i="1" s="1"/>
  <c r="U771" i="1" s="1"/>
  <c r="U772" i="1" s="1"/>
  <c r="U773" i="1" s="1"/>
  <c r="U774" i="1" s="1"/>
  <c r="U775" i="1" s="1"/>
  <c r="U776" i="1" s="1"/>
  <c r="U777" i="1" s="1"/>
  <c r="U778" i="1" s="1"/>
  <c r="U779" i="1" s="1"/>
  <c r="U780" i="1" s="1"/>
  <c r="U781" i="1" s="1"/>
  <c r="U782" i="1" s="1"/>
  <c r="U783" i="1" s="1"/>
  <c r="U784" i="1" s="1"/>
  <c r="U785" i="1" s="1"/>
  <c r="U786" i="1" s="1"/>
  <c r="U787" i="1" s="1"/>
  <c r="U788" i="1" s="1"/>
  <c r="U789" i="1" s="1"/>
  <c r="U790" i="1" s="1"/>
  <c r="U791" i="1" s="1"/>
  <c r="U792" i="1" s="1"/>
  <c r="A754" i="1"/>
  <c r="A88" i="1"/>
  <c r="U794" i="1" l="1"/>
  <c r="U795" i="1" s="1"/>
  <c r="U796" i="1" s="1"/>
  <c r="U797" i="1" s="1"/>
  <c r="U798" i="1" s="1"/>
  <c r="U799" i="1" s="1"/>
  <c r="U800" i="1" s="1"/>
  <c r="U801" i="1" s="1"/>
  <c r="U802" i="1" s="1"/>
  <c r="U803" i="1" s="1"/>
  <c r="U804" i="1" s="1"/>
  <c r="U805" i="1" s="1"/>
  <c r="U806" i="1" s="1"/>
  <c r="U807" i="1" s="1"/>
  <c r="U808" i="1" s="1"/>
  <c r="U809" i="1" s="1"/>
  <c r="U810" i="1" s="1"/>
  <c r="U811" i="1" s="1"/>
  <c r="U812" i="1" s="1"/>
  <c r="U813" i="1" s="1"/>
  <c r="U814" i="1" s="1"/>
  <c r="U815" i="1" s="1"/>
  <c r="U816" i="1" s="1"/>
  <c r="U817" i="1" s="1"/>
  <c r="U818" i="1" s="1"/>
  <c r="U819" i="1" s="1"/>
  <c r="U820" i="1" s="1"/>
  <c r="U821" i="1" s="1"/>
  <c r="U822" i="1" s="1"/>
  <c r="U823" i="1" s="1"/>
  <c r="U824" i="1" s="1"/>
  <c r="U825" i="1" s="1"/>
  <c r="U826" i="1" s="1"/>
  <c r="U827" i="1" s="1"/>
  <c r="U828" i="1" s="1"/>
  <c r="U829" i="1" s="1"/>
  <c r="U830" i="1" s="1"/>
  <c r="U831" i="1" s="1"/>
  <c r="U832" i="1" s="1"/>
  <c r="U833" i="1" s="1"/>
  <c r="U834" i="1" s="1"/>
  <c r="U835" i="1" s="1"/>
  <c r="U836" i="1" s="1"/>
  <c r="U838" i="1" s="1"/>
  <c r="U839" i="1" s="1"/>
  <c r="U840" i="1" s="1"/>
  <c r="U841" i="1" s="1"/>
  <c r="U842" i="1" s="1"/>
  <c r="U843" i="1" s="1"/>
  <c r="U844" i="1" s="1"/>
  <c r="U845" i="1" s="1"/>
  <c r="U846" i="1" s="1"/>
  <c r="U847" i="1" s="1"/>
  <c r="U848" i="1" s="1"/>
  <c r="U849" i="1" s="1"/>
  <c r="U850" i="1" s="1"/>
  <c r="U851" i="1" s="1"/>
  <c r="U852" i="1" s="1"/>
  <c r="U853" i="1" s="1"/>
  <c r="U854" i="1" s="1"/>
  <c r="U855" i="1" s="1"/>
  <c r="U856" i="1" s="1"/>
  <c r="U857" i="1" s="1"/>
  <c r="U858" i="1" s="1"/>
  <c r="U859" i="1" s="1"/>
  <c r="U860" i="1" s="1"/>
  <c r="U861" i="1" s="1"/>
  <c r="U862" i="1" s="1"/>
  <c r="U863" i="1" s="1"/>
  <c r="U864" i="1" s="1"/>
  <c r="U865" i="1" s="1"/>
  <c r="U866" i="1" s="1"/>
  <c r="U867" i="1" s="1"/>
  <c r="U868" i="1" s="1"/>
  <c r="U869" i="1" s="1"/>
  <c r="U870" i="1" s="1"/>
  <c r="U871" i="1" s="1"/>
  <c r="U872" i="1" s="1"/>
  <c r="U873" i="1" s="1"/>
  <c r="U874" i="1" s="1"/>
  <c r="U875" i="1" s="1"/>
  <c r="U876" i="1" s="1"/>
  <c r="U877" i="1" s="1"/>
  <c r="U878" i="1" s="1"/>
  <c r="U879" i="1" s="1"/>
  <c r="U880" i="1" s="1"/>
  <c r="U882" i="1" s="1"/>
  <c r="U883" i="1" s="1"/>
  <c r="U884" i="1" s="1"/>
  <c r="U885" i="1" s="1"/>
  <c r="U886" i="1" s="1"/>
  <c r="U887" i="1" s="1"/>
  <c r="U888" i="1" s="1"/>
  <c r="U889" i="1" s="1"/>
  <c r="U890" i="1" s="1"/>
  <c r="U891" i="1" s="1"/>
  <c r="U892" i="1" s="1"/>
  <c r="U893" i="1" s="1"/>
  <c r="U894" i="1" s="1"/>
  <c r="U895" i="1" s="1"/>
  <c r="U896" i="1" s="1"/>
  <c r="U897" i="1" s="1"/>
  <c r="U898" i="1" s="1"/>
  <c r="U899" i="1" s="1"/>
  <c r="U900" i="1" s="1"/>
  <c r="U901" i="1" s="1"/>
  <c r="U902" i="1" s="1"/>
  <c r="U903" i="1" s="1"/>
  <c r="U904" i="1" s="1"/>
  <c r="U905" i="1" s="1"/>
  <c r="U906" i="1" s="1"/>
  <c r="U907" i="1" s="1"/>
  <c r="U908" i="1" s="1"/>
  <c r="U909" i="1" s="1"/>
  <c r="U910" i="1" s="1"/>
  <c r="U911" i="1" s="1"/>
  <c r="U912" i="1" s="1"/>
  <c r="U913" i="1" s="1"/>
  <c r="U914" i="1" s="1"/>
  <c r="U915" i="1" s="1"/>
  <c r="U916" i="1" s="1"/>
  <c r="U917" i="1" s="1"/>
  <c r="U918" i="1" s="1"/>
  <c r="U919" i="1" s="1"/>
  <c r="U920" i="1" s="1"/>
  <c r="U921" i="1" s="1"/>
  <c r="U922" i="1" s="1"/>
  <c r="U923" i="1" s="1"/>
  <c r="U924" i="1" s="1"/>
  <c r="U926" i="1" s="1"/>
  <c r="U927" i="1" s="1"/>
  <c r="U928" i="1" s="1"/>
  <c r="U929" i="1" s="1"/>
  <c r="U930" i="1" s="1"/>
  <c r="U931" i="1" s="1"/>
  <c r="U932" i="1" s="1"/>
  <c r="U933" i="1" s="1"/>
  <c r="U934" i="1" s="1"/>
  <c r="U935" i="1" s="1"/>
  <c r="U936" i="1" s="1"/>
  <c r="U937" i="1" s="1"/>
  <c r="U938" i="1" s="1"/>
  <c r="U939" i="1" s="1"/>
  <c r="U940" i="1" s="1"/>
  <c r="U941" i="1" s="1"/>
  <c r="U942" i="1" s="1"/>
  <c r="U943" i="1" s="1"/>
  <c r="U944" i="1" s="1"/>
  <c r="U945" i="1" s="1"/>
  <c r="U946" i="1" s="1"/>
  <c r="U947" i="1" s="1"/>
  <c r="U948" i="1" s="1"/>
  <c r="U949" i="1" s="1"/>
  <c r="U950" i="1" s="1"/>
  <c r="U951" i="1" s="1"/>
  <c r="U952" i="1" s="1"/>
  <c r="U953" i="1" s="1"/>
  <c r="U954" i="1" s="1"/>
  <c r="U955" i="1" s="1"/>
  <c r="U956" i="1" s="1"/>
  <c r="U957" i="1" s="1"/>
  <c r="U958" i="1" s="1"/>
  <c r="U959" i="1" s="1"/>
  <c r="U960" i="1" s="1"/>
  <c r="U961" i="1" s="1"/>
  <c r="U962" i="1" s="1"/>
  <c r="U963" i="1" s="1"/>
  <c r="U964" i="1" s="1"/>
  <c r="U965" i="1" s="1"/>
  <c r="U966" i="1" s="1"/>
  <c r="U967" i="1" s="1"/>
  <c r="U968" i="1" s="1"/>
  <c r="U970" i="1" s="1"/>
  <c r="U971" i="1" s="1"/>
  <c r="U972" i="1" s="1"/>
  <c r="U973" i="1" s="1"/>
  <c r="U974" i="1" s="1"/>
  <c r="U975" i="1" s="1"/>
  <c r="U976" i="1" s="1"/>
  <c r="U977" i="1" s="1"/>
  <c r="U978" i="1" s="1"/>
  <c r="U979" i="1" s="1"/>
  <c r="U980" i="1" s="1"/>
  <c r="U981" i="1" s="1"/>
  <c r="U982" i="1" s="1"/>
  <c r="U983" i="1" s="1"/>
  <c r="U984" i="1" s="1"/>
  <c r="U985" i="1" s="1"/>
  <c r="U986" i="1" s="1"/>
  <c r="U987" i="1" s="1"/>
  <c r="U988" i="1" s="1"/>
  <c r="U989" i="1" s="1"/>
  <c r="U990" i="1" s="1"/>
  <c r="U991" i="1" s="1"/>
  <c r="U992" i="1" s="1"/>
  <c r="U993" i="1" s="1"/>
  <c r="U994" i="1" s="1"/>
  <c r="U995" i="1" s="1"/>
  <c r="U996" i="1" s="1"/>
  <c r="U997" i="1" s="1"/>
  <c r="U998" i="1" s="1"/>
  <c r="U999" i="1" s="1"/>
  <c r="U1000" i="1" s="1"/>
  <c r="U1001" i="1" s="1"/>
  <c r="U1002" i="1" s="1"/>
  <c r="U1003" i="1" s="1"/>
  <c r="U1004" i="1" s="1"/>
  <c r="U1005" i="1" s="1"/>
  <c r="U1006" i="1" s="1"/>
  <c r="U1007" i="1" s="1"/>
  <c r="U1008" i="1" s="1"/>
  <c r="U1009" i="1" s="1"/>
  <c r="U1010" i="1" s="1"/>
  <c r="U1011" i="1" s="1"/>
  <c r="U1012" i="1" s="1"/>
  <c r="U1014" i="1" s="1"/>
  <c r="U1015" i="1" s="1"/>
  <c r="U1016" i="1" s="1"/>
  <c r="U1017" i="1" s="1"/>
  <c r="U1018" i="1" s="1"/>
  <c r="U1019" i="1" s="1"/>
  <c r="U1020" i="1" s="1"/>
  <c r="U1021" i="1" s="1"/>
  <c r="U1022" i="1" s="1"/>
  <c r="U1023" i="1" s="1"/>
  <c r="U1024" i="1" s="1"/>
  <c r="U1025" i="1" s="1"/>
  <c r="U1026" i="1" s="1"/>
  <c r="U1027" i="1" s="1"/>
  <c r="U1028" i="1" s="1"/>
  <c r="U1029" i="1" s="1"/>
  <c r="U1030" i="1" s="1"/>
  <c r="U1031" i="1" s="1"/>
  <c r="U1032" i="1" s="1"/>
  <c r="U1033" i="1" s="1"/>
  <c r="U1034" i="1" s="1"/>
  <c r="U1035" i="1" s="1"/>
  <c r="U1036" i="1" s="1"/>
  <c r="U1037" i="1" s="1"/>
  <c r="U1038" i="1" s="1"/>
  <c r="U1039" i="1" s="1"/>
  <c r="U1040" i="1" s="1"/>
  <c r="U1041" i="1" s="1"/>
  <c r="U1042" i="1" s="1"/>
  <c r="U1043" i="1" s="1"/>
  <c r="U1044" i="1" s="1"/>
  <c r="U1045" i="1" s="1"/>
  <c r="U1046" i="1" s="1"/>
  <c r="U1047" i="1" s="1"/>
  <c r="U1048" i="1" s="1"/>
  <c r="U1049" i="1" s="1"/>
  <c r="U1050" i="1" s="1"/>
  <c r="U1051" i="1" s="1"/>
  <c r="U1052" i="1" s="1"/>
  <c r="U1053" i="1" s="1"/>
  <c r="U1054" i="1" s="1"/>
  <c r="U1055" i="1" s="1"/>
  <c r="U1056" i="1" s="1"/>
  <c r="U1058" i="1" s="1"/>
  <c r="U1059" i="1" s="1"/>
  <c r="U1060" i="1" s="1"/>
  <c r="U1061" i="1" s="1"/>
  <c r="U1062" i="1" s="1"/>
  <c r="U1063" i="1" s="1"/>
  <c r="U1064" i="1" s="1"/>
  <c r="U1065" i="1" s="1"/>
  <c r="U1066" i="1" s="1"/>
  <c r="U1067" i="1" s="1"/>
  <c r="U1068" i="1" s="1"/>
  <c r="U1069" i="1" s="1"/>
  <c r="U1070" i="1" s="1"/>
  <c r="U1071" i="1" s="1"/>
  <c r="U1072" i="1" s="1"/>
  <c r="U1073" i="1" s="1"/>
  <c r="U1074" i="1" s="1"/>
  <c r="U1075" i="1" s="1"/>
  <c r="U1076" i="1" s="1"/>
  <c r="U1077" i="1" s="1"/>
  <c r="U1078" i="1" s="1"/>
  <c r="U1079" i="1" s="1"/>
  <c r="U1080" i="1" s="1"/>
  <c r="U1081" i="1" s="1"/>
  <c r="U1082" i="1" s="1"/>
  <c r="U1083" i="1" s="1"/>
  <c r="U1084" i="1" s="1"/>
  <c r="U1085" i="1" s="1"/>
  <c r="U1086" i="1" s="1"/>
  <c r="U1087" i="1" s="1"/>
  <c r="U1088" i="1" s="1"/>
  <c r="U1089" i="1" s="1"/>
  <c r="U1090" i="1" s="1"/>
  <c r="U1091" i="1" s="1"/>
  <c r="U1092" i="1" s="1"/>
  <c r="U1093" i="1" s="1"/>
  <c r="U1094" i="1" s="1"/>
  <c r="U1095" i="1" s="1"/>
  <c r="U1096" i="1" s="1"/>
  <c r="U1097" i="1" s="1"/>
  <c r="U1098" i="1" s="1"/>
  <c r="U1099" i="1" s="1"/>
  <c r="U1100" i="1" s="1"/>
  <c r="U1102" i="1" s="1"/>
  <c r="U1103" i="1" s="1"/>
  <c r="U1104" i="1" s="1"/>
  <c r="U1105" i="1" s="1"/>
  <c r="U1106" i="1" s="1"/>
  <c r="U1107" i="1" s="1"/>
  <c r="U1108" i="1" s="1"/>
  <c r="U1109" i="1" s="1"/>
  <c r="U1110" i="1" s="1"/>
  <c r="U1111" i="1" s="1"/>
  <c r="U1112" i="1" s="1"/>
  <c r="U1113" i="1" s="1"/>
  <c r="U1114" i="1" s="1"/>
  <c r="U1115" i="1" s="1"/>
  <c r="U1116" i="1" s="1"/>
  <c r="U1117" i="1" s="1"/>
  <c r="U1118" i="1" s="1"/>
  <c r="U1119" i="1" s="1"/>
  <c r="U1120" i="1" s="1"/>
  <c r="U1121" i="1" s="1"/>
  <c r="U1122" i="1" s="1"/>
  <c r="U1123" i="1" s="1"/>
  <c r="U1124" i="1" s="1"/>
  <c r="U1125" i="1" s="1"/>
  <c r="U1126" i="1" s="1"/>
  <c r="U1127" i="1" s="1"/>
  <c r="U1128" i="1" s="1"/>
  <c r="U1129" i="1" s="1"/>
  <c r="U1130" i="1" s="1"/>
  <c r="U1131" i="1" s="1"/>
  <c r="U1132" i="1" s="1"/>
  <c r="U1133" i="1" s="1"/>
  <c r="U1134" i="1" s="1"/>
  <c r="U1135" i="1" s="1"/>
  <c r="U1136" i="1" s="1"/>
  <c r="U1137" i="1" s="1"/>
  <c r="U1138" i="1" s="1"/>
  <c r="U1139" i="1" s="1"/>
  <c r="U1140" i="1" s="1"/>
  <c r="U1141" i="1" s="1"/>
  <c r="U1142" i="1" s="1"/>
  <c r="U1143" i="1" s="1"/>
  <c r="U1144" i="1" s="1"/>
  <c r="U1146" i="1" s="1"/>
  <c r="U1147" i="1" s="1"/>
  <c r="U1148" i="1" s="1"/>
  <c r="U1149" i="1" s="1"/>
  <c r="U1150" i="1" s="1"/>
  <c r="U1151" i="1" s="1"/>
  <c r="U1152" i="1" s="1"/>
  <c r="U1153" i="1" s="1"/>
  <c r="U1154" i="1" s="1"/>
  <c r="U1155" i="1" s="1"/>
  <c r="U1156" i="1" s="1"/>
  <c r="U1157" i="1" s="1"/>
  <c r="U1158" i="1" s="1"/>
  <c r="U1159" i="1" s="1"/>
  <c r="U1160" i="1" s="1"/>
  <c r="U1161" i="1" s="1"/>
  <c r="U1162" i="1" s="1"/>
  <c r="U1163" i="1" s="1"/>
  <c r="U1164" i="1" s="1"/>
  <c r="U1165" i="1" s="1"/>
  <c r="U1166" i="1" s="1"/>
  <c r="U1167" i="1" s="1"/>
  <c r="U1168" i="1" s="1"/>
  <c r="U1169" i="1" s="1"/>
  <c r="U1170" i="1" s="1"/>
  <c r="U1171" i="1" s="1"/>
  <c r="U1172" i="1" s="1"/>
  <c r="U1173" i="1" s="1"/>
  <c r="U1174" i="1" s="1"/>
  <c r="U1175" i="1" s="1"/>
  <c r="U1176" i="1" s="1"/>
  <c r="U1177" i="1" s="1"/>
  <c r="U1178" i="1" s="1"/>
  <c r="U1179" i="1" s="1"/>
  <c r="U1180" i="1" s="1"/>
  <c r="U1181" i="1" s="1"/>
  <c r="U1182" i="1" s="1"/>
  <c r="U1183" i="1" s="1"/>
  <c r="U1184" i="1" s="1"/>
  <c r="U1185" i="1" s="1"/>
  <c r="U1186" i="1" s="1"/>
  <c r="U1187" i="1" s="1"/>
  <c r="U1188" i="1" s="1"/>
  <c r="U1190" i="1" s="1"/>
  <c r="U1191" i="1" s="1"/>
  <c r="U1192" i="1" s="1"/>
  <c r="U1193" i="1" s="1"/>
  <c r="U1194" i="1" s="1"/>
  <c r="U1195" i="1" s="1"/>
  <c r="U1196" i="1" s="1"/>
  <c r="U1197" i="1" s="1"/>
  <c r="U1198" i="1" s="1"/>
  <c r="U1199" i="1" s="1"/>
  <c r="U1200" i="1" s="1"/>
  <c r="U1201" i="1" s="1"/>
  <c r="U1202" i="1" s="1"/>
  <c r="U1203" i="1" s="1"/>
  <c r="U1204" i="1" s="1"/>
  <c r="U1205" i="1" s="1"/>
  <c r="U1206" i="1" s="1"/>
  <c r="U1207" i="1" s="1"/>
  <c r="U1208" i="1" s="1"/>
  <c r="U1209" i="1" s="1"/>
  <c r="U1210" i="1" s="1"/>
  <c r="U1211" i="1" s="1"/>
  <c r="U1212" i="1" s="1"/>
  <c r="U1213" i="1" s="1"/>
  <c r="U1214" i="1" s="1"/>
  <c r="U1215" i="1" s="1"/>
  <c r="U1216" i="1" s="1"/>
  <c r="U1217" i="1" s="1"/>
  <c r="U1218" i="1" s="1"/>
  <c r="U1219" i="1" s="1"/>
  <c r="U1220" i="1" s="1"/>
  <c r="U1221" i="1" s="1"/>
  <c r="U1222" i="1" s="1"/>
  <c r="U1223" i="1" s="1"/>
  <c r="U1224" i="1" s="1"/>
  <c r="U1225" i="1" s="1"/>
  <c r="U1226" i="1" s="1"/>
  <c r="U1227" i="1" s="1"/>
  <c r="U1228" i="1" s="1"/>
  <c r="U1229" i="1" s="1"/>
  <c r="U1230" i="1" s="1"/>
  <c r="U1231" i="1" s="1"/>
  <c r="U1232" i="1" s="1"/>
  <c r="U1234" i="1" s="1"/>
  <c r="U1235" i="1" s="1"/>
  <c r="U1236" i="1" s="1"/>
  <c r="U1237" i="1" s="1"/>
  <c r="U1238" i="1" s="1"/>
  <c r="U1239" i="1" s="1"/>
  <c r="U1240" i="1" s="1"/>
  <c r="U1241" i="1" s="1"/>
  <c r="U1242" i="1" s="1"/>
  <c r="U1243" i="1" s="1"/>
  <c r="U1244" i="1" s="1"/>
  <c r="U1245" i="1" s="1"/>
  <c r="U1246" i="1" s="1"/>
  <c r="U1247" i="1" s="1"/>
  <c r="U1248" i="1" s="1"/>
  <c r="U1249" i="1" s="1"/>
  <c r="U1250" i="1" s="1"/>
  <c r="U1251" i="1" s="1"/>
  <c r="U1252" i="1" s="1"/>
  <c r="U1253" i="1" s="1"/>
  <c r="U1254" i="1" s="1"/>
  <c r="U1255" i="1" s="1"/>
  <c r="U1256" i="1" s="1"/>
  <c r="U1257" i="1" s="1"/>
  <c r="U1258" i="1" s="1"/>
  <c r="U1259" i="1" s="1"/>
  <c r="U1260" i="1" s="1"/>
  <c r="U1261" i="1" s="1"/>
  <c r="U1262" i="1" s="1"/>
  <c r="U1263" i="1" s="1"/>
  <c r="U1264" i="1" s="1"/>
  <c r="U1265" i="1" s="1"/>
  <c r="U1266" i="1" s="1"/>
  <c r="U1267" i="1" s="1"/>
  <c r="U1268" i="1" s="1"/>
  <c r="U1269" i="1" s="1"/>
  <c r="U1270" i="1" s="1"/>
  <c r="U1271" i="1" s="1"/>
  <c r="U1272" i="1" s="1"/>
  <c r="U1273" i="1" s="1"/>
  <c r="U1274" i="1" s="1"/>
  <c r="U1275" i="1" s="1"/>
  <c r="U1276" i="1" s="1"/>
  <c r="U1278" i="1" s="1"/>
  <c r="U1279" i="1" s="1"/>
  <c r="U1280" i="1" s="1"/>
  <c r="U1281" i="1" s="1"/>
  <c r="U1282" i="1" s="1"/>
  <c r="U1283" i="1" s="1"/>
  <c r="U1284" i="1" s="1"/>
  <c r="U1285" i="1" s="1"/>
  <c r="U1286" i="1" s="1"/>
  <c r="U1287" i="1" s="1"/>
  <c r="U1288" i="1" s="1"/>
  <c r="U1289" i="1" s="1"/>
  <c r="U1290" i="1" s="1"/>
  <c r="U1291" i="1" s="1"/>
  <c r="U1292" i="1" s="1"/>
  <c r="U1293" i="1" s="1"/>
  <c r="U1294" i="1" s="1"/>
  <c r="U1295" i="1" s="1"/>
  <c r="U1296" i="1" s="1"/>
  <c r="U1297" i="1" s="1"/>
  <c r="U1298" i="1" s="1"/>
  <c r="U1299" i="1" s="1"/>
  <c r="U1300" i="1" s="1"/>
  <c r="U1301" i="1" s="1"/>
  <c r="U1302" i="1" s="1"/>
  <c r="U1303" i="1" s="1"/>
  <c r="U1304" i="1" s="1"/>
  <c r="U1305" i="1" s="1"/>
  <c r="U1306" i="1" s="1"/>
  <c r="U1307" i="1" s="1"/>
  <c r="U1308" i="1" s="1"/>
  <c r="U1309" i="1" s="1"/>
  <c r="U1310" i="1" s="1"/>
  <c r="U1311" i="1" s="1"/>
  <c r="U1312" i="1" s="1"/>
  <c r="U1313" i="1" s="1"/>
  <c r="U1314" i="1" s="1"/>
  <c r="U1315" i="1" s="1"/>
  <c r="U1316" i="1" s="1"/>
  <c r="U1317" i="1" s="1"/>
  <c r="U1318" i="1" s="1"/>
  <c r="U1319" i="1" s="1"/>
  <c r="U1320" i="1" s="1"/>
  <c r="U1322" i="1" s="1"/>
  <c r="U1323" i="1" s="1"/>
  <c r="U1324" i="1" s="1"/>
  <c r="U1325" i="1" s="1"/>
  <c r="U1326" i="1" s="1"/>
  <c r="U1327" i="1" s="1"/>
  <c r="U1328" i="1" s="1"/>
  <c r="U1329" i="1" s="1"/>
  <c r="U1330" i="1" s="1"/>
  <c r="U1331" i="1" s="1"/>
  <c r="U1332" i="1" s="1"/>
  <c r="U1333" i="1" s="1"/>
  <c r="U1334" i="1" s="1"/>
  <c r="U1335" i="1" s="1"/>
  <c r="U1336" i="1" s="1"/>
  <c r="U1337" i="1" s="1"/>
  <c r="U1338" i="1" s="1"/>
  <c r="U1339" i="1" s="1"/>
  <c r="U1340" i="1" s="1"/>
  <c r="U1341" i="1" s="1"/>
  <c r="U1342" i="1" s="1"/>
  <c r="U1343" i="1" s="1"/>
  <c r="U1344" i="1" s="1"/>
  <c r="U1345" i="1" s="1"/>
  <c r="U1346" i="1" s="1"/>
  <c r="U1347" i="1" s="1"/>
  <c r="U1348" i="1" s="1"/>
  <c r="U1349" i="1" s="1"/>
  <c r="U1350" i="1" s="1"/>
  <c r="U1351" i="1" s="1"/>
  <c r="U1352" i="1" s="1"/>
  <c r="U1353" i="1" s="1"/>
  <c r="U1354" i="1" s="1"/>
  <c r="U1355" i="1" s="1"/>
  <c r="U1356" i="1" s="1"/>
  <c r="U1357" i="1" s="1"/>
  <c r="U1358" i="1" s="1"/>
  <c r="U1359" i="1" s="1"/>
  <c r="U1360" i="1" s="1"/>
  <c r="U1361" i="1" s="1"/>
  <c r="U1362" i="1" s="1"/>
  <c r="U1363" i="1" s="1"/>
  <c r="U1364" i="1" s="1"/>
  <c r="U1366" i="1" s="1"/>
  <c r="U1367" i="1" s="1"/>
  <c r="U1368" i="1" s="1"/>
  <c r="U1369" i="1" s="1"/>
  <c r="U1370" i="1" s="1"/>
  <c r="U1371" i="1" s="1"/>
  <c r="U1372" i="1" s="1"/>
  <c r="U1373" i="1" s="1"/>
  <c r="U1374" i="1" s="1"/>
  <c r="U1375" i="1" s="1"/>
  <c r="U1376" i="1" s="1"/>
  <c r="U1377" i="1" s="1"/>
  <c r="U1378" i="1" s="1"/>
  <c r="U1379" i="1" s="1"/>
  <c r="U1380" i="1" s="1"/>
  <c r="U1381" i="1" s="1"/>
  <c r="U1382" i="1" s="1"/>
  <c r="U1383" i="1" s="1"/>
  <c r="U1384" i="1" s="1"/>
  <c r="U1385" i="1" s="1"/>
  <c r="U1386" i="1" s="1"/>
  <c r="U1387" i="1" s="1"/>
  <c r="U1388" i="1" s="1"/>
  <c r="U1389" i="1" s="1"/>
  <c r="U1390" i="1" s="1"/>
  <c r="U1391" i="1" s="1"/>
  <c r="U1392" i="1" s="1"/>
  <c r="U1393" i="1" s="1"/>
  <c r="U1394" i="1" s="1"/>
  <c r="U1395" i="1" s="1"/>
  <c r="U1396" i="1" s="1"/>
  <c r="U1397" i="1" s="1"/>
  <c r="U1398" i="1" s="1"/>
  <c r="U1399" i="1" s="1"/>
  <c r="U1400" i="1" s="1"/>
  <c r="U1401" i="1" s="1"/>
  <c r="U1402" i="1" s="1"/>
  <c r="U1403" i="1" s="1"/>
  <c r="U1404" i="1" s="1"/>
  <c r="U1405" i="1" s="1"/>
  <c r="U1406" i="1" s="1"/>
  <c r="U1407" i="1" s="1"/>
  <c r="U1408" i="1" s="1"/>
  <c r="U1410" i="1" s="1"/>
  <c r="U1411" i="1" s="1"/>
  <c r="U1412" i="1" s="1"/>
  <c r="U1413" i="1" s="1"/>
  <c r="U1414" i="1" s="1"/>
  <c r="U1415" i="1" s="1"/>
  <c r="U1416" i="1" s="1"/>
  <c r="U1417" i="1" s="1"/>
  <c r="U1418" i="1" s="1"/>
  <c r="U1419" i="1" s="1"/>
  <c r="U1420" i="1" s="1"/>
  <c r="U1421" i="1" s="1"/>
  <c r="U1422" i="1" s="1"/>
  <c r="U1423" i="1" s="1"/>
  <c r="U1424" i="1" s="1"/>
  <c r="U1425" i="1" s="1"/>
  <c r="U1426" i="1" s="1"/>
  <c r="U1427" i="1" s="1"/>
  <c r="U1428" i="1" s="1"/>
  <c r="U1429" i="1" s="1"/>
  <c r="U1430" i="1" s="1"/>
  <c r="U1431" i="1" s="1"/>
  <c r="U1432" i="1" s="1"/>
  <c r="U1433" i="1" s="1"/>
  <c r="U1434" i="1" s="1"/>
  <c r="U1435" i="1" s="1"/>
  <c r="U1436" i="1" s="1"/>
  <c r="U1437" i="1" s="1"/>
  <c r="U1438" i="1" s="1"/>
  <c r="U1439" i="1" s="1"/>
  <c r="U1440" i="1" s="1"/>
  <c r="U1441" i="1" s="1"/>
  <c r="U1442" i="1" s="1"/>
  <c r="U1443" i="1" s="1"/>
  <c r="U1444" i="1" s="1"/>
  <c r="U1445" i="1" s="1"/>
  <c r="U1446" i="1" s="1"/>
  <c r="U1447" i="1" s="1"/>
  <c r="U1448" i="1" s="1"/>
  <c r="U1449" i="1" s="1"/>
  <c r="U1450" i="1" s="1"/>
  <c r="U1451" i="1" s="1"/>
  <c r="U1452" i="1" s="1"/>
  <c r="U1454" i="1" s="1"/>
  <c r="U1455" i="1" s="1"/>
  <c r="U1456" i="1" s="1"/>
  <c r="U1457" i="1" s="1"/>
  <c r="U1458" i="1" s="1"/>
  <c r="U1459" i="1" s="1"/>
  <c r="U1460" i="1" s="1"/>
  <c r="U1461" i="1" s="1"/>
  <c r="U1462" i="1" s="1"/>
  <c r="U1463" i="1" s="1"/>
  <c r="U1464" i="1" s="1"/>
  <c r="U1465" i="1" s="1"/>
  <c r="U1466" i="1" s="1"/>
  <c r="U1467" i="1" s="1"/>
  <c r="U1468" i="1" s="1"/>
  <c r="U1469" i="1" s="1"/>
  <c r="U1470" i="1" s="1"/>
  <c r="U1471" i="1" s="1"/>
  <c r="U1472" i="1" s="1"/>
  <c r="U1473" i="1" s="1"/>
  <c r="U1474" i="1" s="1"/>
  <c r="U1475" i="1" s="1"/>
  <c r="U1476" i="1" s="1"/>
  <c r="U1477" i="1" s="1"/>
  <c r="U1478" i="1" s="1"/>
  <c r="U1479" i="1" s="1"/>
  <c r="U1480" i="1" s="1"/>
  <c r="U1481" i="1" s="1"/>
  <c r="U1482" i="1" s="1"/>
  <c r="U1483" i="1" s="1"/>
  <c r="U1484" i="1" s="1"/>
  <c r="U1485" i="1" s="1"/>
  <c r="U1486" i="1" s="1"/>
  <c r="U1487" i="1" s="1"/>
  <c r="U1488" i="1" s="1"/>
  <c r="U1489" i="1" s="1"/>
  <c r="U1490" i="1" s="1"/>
  <c r="U1491" i="1" s="1"/>
  <c r="U1492" i="1" s="1"/>
  <c r="U1493" i="1" s="1"/>
  <c r="U1494" i="1" s="1"/>
  <c r="U1495" i="1" s="1"/>
  <c r="U1496" i="1" s="1"/>
  <c r="U1498" i="1" s="1"/>
  <c r="U1499" i="1" s="1"/>
  <c r="U1500" i="1" s="1"/>
  <c r="U1501" i="1" s="1"/>
  <c r="U1502" i="1" s="1"/>
  <c r="U1503" i="1" s="1"/>
  <c r="U1504" i="1" s="1"/>
  <c r="U1505" i="1" s="1"/>
  <c r="U1506" i="1" s="1"/>
  <c r="U1507" i="1" s="1"/>
  <c r="U1508" i="1" s="1"/>
  <c r="U1509" i="1" s="1"/>
  <c r="U1510" i="1" s="1"/>
  <c r="U1511" i="1" s="1"/>
  <c r="U1512" i="1" s="1"/>
  <c r="U1513" i="1" s="1"/>
  <c r="U1514" i="1" s="1"/>
  <c r="U1515" i="1" s="1"/>
  <c r="U1516" i="1" s="1"/>
  <c r="U1517" i="1" s="1"/>
  <c r="U1518" i="1" s="1"/>
  <c r="U1519" i="1" s="1"/>
  <c r="U1520" i="1" s="1"/>
  <c r="U1521" i="1" s="1"/>
  <c r="U1522" i="1" s="1"/>
  <c r="U1523" i="1" s="1"/>
  <c r="U1524" i="1" s="1"/>
  <c r="U1525" i="1" s="1"/>
  <c r="U1526" i="1" s="1"/>
  <c r="U1527" i="1" s="1"/>
  <c r="U1528" i="1" s="1"/>
  <c r="U1529" i="1" s="1"/>
  <c r="U1530" i="1" s="1"/>
  <c r="U1531" i="1" s="1"/>
  <c r="U1532" i="1" s="1"/>
  <c r="U1533" i="1" s="1"/>
  <c r="U1534" i="1" s="1"/>
  <c r="U1535" i="1" s="1"/>
  <c r="U1536" i="1" s="1"/>
  <c r="U1537" i="1" s="1"/>
  <c r="U1538" i="1" s="1"/>
  <c r="U1539" i="1" s="1"/>
  <c r="U1540" i="1" s="1"/>
  <c r="U1542" i="1" s="1"/>
  <c r="U1543" i="1" s="1"/>
  <c r="U1544" i="1" s="1"/>
  <c r="U1545" i="1" s="1"/>
  <c r="U1546" i="1" s="1"/>
  <c r="U1547" i="1" s="1"/>
  <c r="U1548" i="1" s="1"/>
  <c r="U1549" i="1" s="1"/>
  <c r="U1550" i="1" s="1"/>
  <c r="U1551" i="1" s="1"/>
  <c r="U1552" i="1" s="1"/>
  <c r="U1553" i="1" s="1"/>
  <c r="U1554" i="1" s="1"/>
  <c r="U1555" i="1" s="1"/>
  <c r="U1556" i="1" s="1"/>
  <c r="U1557" i="1" s="1"/>
  <c r="U1558" i="1" s="1"/>
  <c r="U1559" i="1" s="1"/>
  <c r="U1560" i="1" s="1"/>
  <c r="U1561" i="1" s="1"/>
  <c r="U1562" i="1" s="1"/>
  <c r="U1563" i="1" s="1"/>
  <c r="U1564" i="1" s="1"/>
  <c r="U1565" i="1" s="1"/>
  <c r="U1566" i="1" s="1"/>
  <c r="U1567" i="1" s="1"/>
  <c r="U1568" i="1" s="1"/>
  <c r="U1569" i="1" s="1"/>
  <c r="U1570" i="1" s="1"/>
  <c r="U1571" i="1" s="1"/>
  <c r="U1572" i="1" s="1"/>
  <c r="U1573" i="1" s="1"/>
  <c r="U1574" i="1" s="1"/>
  <c r="U1575" i="1" s="1"/>
  <c r="U1576" i="1" s="1"/>
  <c r="U1577" i="1" s="1"/>
  <c r="U1578" i="1" s="1"/>
  <c r="U1579" i="1" s="1"/>
  <c r="U1580" i="1" s="1"/>
  <c r="U1581" i="1" s="1"/>
  <c r="U1582" i="1" s="1"/>
  <c r="U1583" i="1" s="1"/>
  <c r="U1584" i="1" s="1"/>
  <c r="U1586" i="1" s="1"/>
  <c r="U1587" i="1" s="1"/>
  <c r="U1588" i="1" s="1"/>
  <c r="U1589" i="1" s="1"/>
  <c r="U1590" i="1" s="1"/>
  <c r="U1591" i="1" s="1"/>
  <c r="U1592" i="1" s="1"/>
  <c r="U1593" i="1" s="1"/>
  <c r="U1594" i="1" s="1"/>
  <c r="U1595" i="1" s="1"/>
  <c r="U1596" i="1" s="1"/>
  <c r="U1597" i="1" s="1"/>
  <c r="U1598" i="1" s="1"/>
  <c r="U1599" i="1" s="1"/>
  <c r="U1600" i="1" s="1"/>
  <c r="U1601" i="1" s="1"/>
  <c r="U1602" i="1" s="1"/>
  <c r="U1603" i="1" s="1"/>
  <c r="U1604" i="1" s="1"/>
  <c r="U1605" i="1" s="1"/>
  <c r="U1606" i="1" s="1"/>
  <c r="U1607" i="1" s="1"/>
  <c r="U1608" i="1" s="1"/>
  <c r="U1609" i="1" s="1"/>
  <c r="U1610" i="1" s="1"/>
  <c r="U1611" i="1" s="1"/>
  <c r="U1612" i="1" s="1"/>
  <c r="U1613" i="1" s="1"/>
  <c r="U1614" i="1" s="1"/>
  <c r="U1615" i="1" s="1"/>
  <c r="U1616" i="1" s="1"/>
  <c r="U1617" i="1" s="1"/>
  <c r="U1618" i="1" s="1"/>
  <c r="U1619" i="1" s="1"/>
  <c r="U1620" i="1" s="1"/>
  <c r="U1621" i="1" s="1"/>
  <c r="U1622" i="1" s="1"/>
  <c r="U1623" i="1" s="1"/>
  <c r="U1624" i="1" s="1"/>
  <c r="U1625" i="1" s="1"/>
  <c r="U1626" i="1" s="1"/>
  <c r="U1627" i="1" s="1"/>
  <c r="U1628" i="1" s="1"/>
  <c r="U1630" i="1" s="1"/>
  <c r="U1631" i="1" s="1"/>
  <c r="U1632" i="1" s="1"/>
  <c r="U1633" i="1" s="1"/>
  <c r="U1634" i="1" s="1"/>
  <c r="U1635" i="1" s="1"/>
  <c r="U1636" i="1" s="1"/>
  <c r="U1637" i="1" s="1"/>
  <c r="U1638" i="1" s="1"/>
  <c r="U1639" i="1" s="1"/>
  <c r="U1640" i="1" s="1"/>
  <c r="U1641" i="1" s="1"/>
  <c r="U1642" i="1" s="1"/>
  <c r="U1643" i="1" s="1"/>
  <c r="U1644" i="1" s="1"/>
  <c r="U1645" i="1" s="1"/>
  <c r="U1646" i="1" s="1"/>
  <c r="U1647" i="1" s="1"/>
  <c r="U1648" i="1" s="1"/>
  <c r="U1649" i="1" s="1"/>
  <c r="U1650" i="1" s="1"/>
  <c r="U1651" i="1" s="1"/>
  <c r="U1652" i="1" s="1"/>
  <c r="U1653" i="1" s="1"/>
  <c r="U1654" i="1" s="1"/>
  <c r="U1655" i="1" s="1"/>
  <c r="U1656" i="1" s="1"/>
  <c r="U1657" i="1" s="1"/>
  <c r="U1658" i="1" s="1"/>
  <c r="U1659" i="1" s="1"/>
  <c r="U1660" i="1" s="1"/>
  <c r="U1661" i="1" s="1"/>
  <c r="U1662" i="1" s="1"/>
  <c r="U1663" i="1" s="1"/>
  <c r="U1664" i="1" s="1"/>
  <c r="U1665" i="1" s="1"/>
  <c r="U1666" i="1" s="1"/>
  <c r="U1667" i="1" s="1"/>
  <c r="U1668" i="1" s="1"/>
  <c r="U1669" i="1" s="1"/>
  <c r="U1670" i="1" s="1"/>
  <c r="U1671" i="1" s="1"/>
  <c r="U1672" i="1" s="1"/>
  <c r="U1674" i="1" s="1"/>
  <c r="U1675" i="1" s="1"/>
  <c r="U1676" i="1" s="1"/>
  <c r="U1677" i="1" s="1"/>
  <c r="U1678" i="1" s="1"/>
  <c r="U1679" i="1" s="1"/>
  <c r="U1680" i="1" s="1"/>
  <c r="U1681" i="1" s="1"/>
  <c r="U1682" i="1" s="1"/>
  <c r="U1683" i="1" s="1"/>
  <c r="U1684" i="1" s="1"/>
  <c r="U1685" i="1" s="1"/>
  <c r="U1686" i="1" s="1"/>
  <c r="U1687" i="1" s="1"/>
  <c r="U1688" i="1" s="1"/>
  <c r="U1689" i="1" s="1"/>
  <c r="U1690" i="1" s="1"/>
  <c r="U1691" i="1" s="1"/>
  <c r="U1692" i="1" s="1"/>
  <c r="U1693" i="1" s="1"/>
  <c r="U1694" i="1" s="1"/>
  <c r="U1695" i="1" s="1"/>
  <c r="U1696" i="1" s="1"/>
  <c r="U1697" i="1" s="1"/>
  <c r="U1698" i="1" s="1"/>
  <c r="U1699" i="1" s="1"/>
  <c r="U1700" i="1" s="1"/>
  <c r="U1701" i="1" s="1"/>
  <c r="U1702" i="1" s="1"/>
  <c r="U1703" i="1" s="1"/>
  <c r="U1704" i="1" s="1"/>
  <c r="U1705" i="1" s="1"/>
  <c r="U1706" i="1" s="1"/>
  <c r="U1707" i="1" s="1"/>
  <c r="U1708" i="1" s="1"/>
  <c r="U1709" i="1" s="1"/>
  <c r="U1710" i="1" s="1"/>
  <c r="U1711" i="1" s="1"/>
  <c r="U1712" i="1" s="1"/>
  <c r="U1713" i="1" s="1"/>
  <c r="U1714" i="1" s="1"/>
  <c r="U1715" i="1" s="1"/>
  <c r="U1716" i="1" s="1"/>
  <c r="U1718" i="1" s="1"/>
  <c r="U1719" i="1" s="1"/>
  <c r="U1720" i="1" s="1"/>
  <c r="U1721" i="1" s="1"/>
  <c r="U1722" i="1" s="1"/>
  <c r="U1723" i="1" s="1"/>
  <c r="U1724" i="1" s="1"/>
  <c r="U1725" i="1" s="1"/>
  <c r="U1726" i="1" s="1"/>
  <c r="U1727" i="1" s="1"/>
  <c r="U1728" i="1" s="1"/>
  <c r="U1729" i="1" s="1"/>
  <c r="U1730" i="1" s="1"/>
  <c r="U1731" i="1" s="1"/>
  <c r="U1732" i="1" s="1"/>
  <c r="U1733" i="1" s="1"/>
  <c r="U1734" i="1" s="1"/>
  <c r="U1735" i="1" s="1"/>
  <c r="U1736" i="1" s="1"/>
  <c r="U1737" i="1" s="1"/>
  <c r="U1738" i="1" s="1"/>
  <c r="U1739" i="1" s="1"/>
  <c r="U1740" i="1" s="1"/>
  <c r="U1741" i="1" s="1"/>
  <c r="U1742" i="1" s="1"/>
  <c r="U1743" i="1" s="1"/>
  <c r="U1744" i="1" s="1"/>
  <c r="U1745" i="1" s="1"/>
  <c r="U1746" i="1" s="1"/>
  <c r="U1747" i="1" s="1"/>
  <c r="U1748" i="1" s="1"/>
  <c r="U1749" i="1" s="1"/>
  <c r="U1750" i="1" s="1"/>
  <c r="U1751" i="1" s="1"/>
  <c r="U1752" i="1" s="1"/>
  <c r="U1753" i="1" s="1"/>
  <c r="U1754" i="1" s="1"/>
  <c r="U1755" i="1" s="1"/>
  <c r="U1756" i="1" s="1"/>
  <c r="U1757" i="1" s="1"/>
  <c r="U1758" i="1" s="1"/>
  <c r="U1759" i="1" s="1"/>
  <c r="U1760" i="1" s="1"/>
  <c r="U1762" i="1" s="1"/>
  <c r="U1763" i="1" s="1"/>
  <c r="U1764" i="1" s="1"/>
  <c r="U1765" i="1" s="1"/>
  <c r="U1766" i="1" s="1"/>
  <c r="U1767" i="1" s="1"/>
  <c r="U1768" i="1" s="1"/>
  <c r="U1769" i="1" s="1"/>
  <c r="U1770" i="1" s="1"/>
  <c r="U1771" i="1" s="1"/>
  <c r="U1772" i="1" s="1"/>
  <c r="U1773" i="1" s="1"/>
  <c r="U1774" i="1" s="1"/>
  <c r="U1775" i="1" s="1"/>
  <c r="U1776" i="1" s="1"/>
  <c r="U1777" i="1" s="1"/>
  <c r="U1778" i="1" s="1"/>
  <c r="U1779" i="1" s="1"/>
  <c r="U1780" i="1" s="1"/>
  <c r="U1781" i="1" s="1"/>
  <c r="U1782" i="1" s="1"/>
  <c r="U1783" i="1" s="1"/>
  <c r="U1784" i="1" s="1"/>
  <c r="U1785" i="1" s="1"/>
  <c r="U1786" i="1" s="1"/>
  <c r="U1787" i="1" s="1"/>
  <c r="U1788" i="1" s="1"/>
  <c r="U1789" i="1" s="1"/>
  <c r="U1790" i="1" s="1"/>
  <c r="U1791" i="1" s="1"/>
  <c r="U1792" i="1" s="1"/>
  <c r="U1793" i="1" s="1"/>
  <c r="U1794" i="1" s="1"/>
  <c r="U1795" i="1" s="1"/>
  <c r="U1796" i="1" s="1"/>
  <c r="U1797" i="1" s="1"/>
  <c r="U1798" i="1" s="1"/>
  <c r="U1799" i="1" s="1"/>
  <c r="U1800" i="1" s="1"/>
  <c r="U1801" i="1" s="1"/>
  <c r="U1802" i="1" s="1"/>
  <c r="U1803" i="1" s="1"/>
  <c r="U1804" i="1" s="1"/>
  <c r="U1806" i="1" s="1"/>
  <c r="U1807" i="1" s="1"/>
  <c r="U1808" i="1" s="1"/>
  <c r="U1809" i="1" s="1"/>
  <c r="U1810" i="1" s="1"/>
  <c r="U1811" i="1" s="1"/>
  <c r="U1812" i="1" s="1"/>
  <c r="U1813" i="1" s="1"/>
  <c r="U1814" i="1" s="1"/>
  <c r="U1815" i="1" s="1"/>
  <c r="U1816" i="1" s="1"/>
  <c r="U1817" i="1" s="1"/>
  <c r="U1818" i="1" s="1"/>
  <c r="U1819" i="1" s="1"/>
  <c r="U1820" i="1" s="1"/>
  <c r="U1821" i="1" s="1"/>
  <c r="U1822" i="1" s="1"/>
  <c r="U1823" i="1" s="1"/>
  <c r="U1824" i="1" s="1"/>
  <c r="U1825" i="1" s="1"/>
  <c r="U1826" i="1" s="1"/>
  <c r="U1827" i="1" s="1"/>
  <c r="U1828" i="1" s="1"/>
  <c r="U1829" i="1" s="1"/>
  <c r="U1830" i="1" s="1"/>
  <c r="U1831" i="1" s="1"/>
  <c r="U1832" i="1" s="1"/>
  <c r="U1833" i="1" s="1"/>
  <c r="U1834" i="1" s="1"/>
  <c r="U1835" i="1" s="1"/>
  <c r="U1836" i="1" s="1"/>
  <c r="U1837" i="1" s="1"/>
  <c r="U1838" i="1" s="1"/>
  <c r="U1839" i="1" s="1"/>
  <c r="U1840" i="1" s="1"/>
  <c r="U1841" i="1" s="1"/>
  <c r="U1842" i="1" s="1"/>
  <c r="U1843" i="1" s="1"/>
  <c r="U1844" i="1" s="1"/>
  <c r="U1845" i="1" s="1"/>
  <c r="U1846" i="1" s="1"/>
  <c r="U1847" i="1" s="1"/>
  <c r="U1848" i="1" s="1"/>
  <c r="U1850" i="1" s="1"/>
  <c r="U1851" i="1" s="1"/>
  <c r="U1852" i="1" s="1"/>
  <c r="U1853" i="1" s="1"/>
  <c r="U1854" i="1" s="1"/>
  <c r="U1855" i="1" s="1"/>
  <c r="U1856" i="1" s="1"/>
  <c r="U1857" i="1" s="1"/>
  <c r="U1858" i="1" s="1"/>
  <c r="U1859" i="1" s="1"/>
  <c r="U1860" i="1" s="1"/>
  <c r="U1861" i="1" s="1"/>
  <c r="U1862" i="1" s="1"/>
  <c r="U1863" i="1" s="1"/>
  <c r="U1864" i="1" s="1"/>
  <c r="U1865" i="1" s="1"/>
  <c r="U1866" i="1" s="1"/>
  <c r="U1867" i="1" s="1"/>
  <c r="U1868" i="1" s="1"/>
  <c r="U1869" i="1" s="1"/>
  <c r="U1870" i="1" s="1"/>
  <c r="U1871" i="1" s="1"/>
  <c r="U1872" i="1" s="1"/>
  <c r="U1873" i="1" s="1"/>
  <c r="U1874" i="1" s="1"/>
  <c r="U1875" i="1" s="1"/>
  <c r="U1876" i="1" s="1"/>
  <c r="U1877" i="1" s="1"/>
  <c r="U1878" i="1" s="1"/>
  <c r="U1879" i="1" s="1"/>
  <c r="U1880" i="1" s="1"/>
  <c r="U1881" i="1" s="1"/>
  <c r="U1882" i="1" s="1"/>
  <c r="U1883" i="1" s="1"/>
  <c r="U1884" i="1" s="1"/>
  <c r="U1885" i="1" s="1"/>
  <c r="U1886" i="1" s="1"/>
  <c r="U1887" i="1" s="1"/>
  <c r="U1888" i="1" s="1"/>
  <c r="U1889" i="1" s="1"/>
  <c r="U1890" i="1" s="1"/>
  <c r="U1891" i="1" s="1"/>
  <c r="U1892" i="1" s="1"/>
  <c r="U1894" i="1" s="1"/>
  <c r="U1895" i="1" s="1"/>
  <c r="U1896" i="1" s="1"/>
  <c r="U1897" i="1" s="1"/>
  <c r="U1898" i="1" s="1"/>
  <c r="U1899" i="1" s="1"/>
  <c r="U1900" i="1" s="1"/>
  <c r="U1901" i="1" s="1"/>
  <c r="U1902" i="1" s="1"/>
  <c r="U1903" i="1" s="1"/>
  <c r="U1904" i="1" s="1"/>
  <c r="U1905" i="1" s="1"/>
  <c r="U1906" i="1" s="1"/>
  <c r="U1907" i="1" s="1"/>
  <c r="U1908" i="1" s="1"/>
  <c r="U1909" i="1" s="1"/>
  <c r="U1910" i="1" s="1"/>
  <c r="U1911" i="1" s="1"/>
  <c r="U1912" i="1" s="1"/>
  <c r="U1913" i="1" s="1"/>
  <c r="U1914" i="1" s="1"/>
  <c r="U1915" i="1" s="1"/>
  <c r="U1916" i="1" s="1"/>
  <c r="U1917" i="1" s="1"/>
  <c r="U1918" i="1" s="1"/>
  <c r="U1919" i="1" s="1"/>
  <c r="U1920" i="1" s="1"/>
  <c r="U1921" i="1" s="1"/>
  <c r="U1922" i="1" s="1"/>
  <c r="U1923" i="1" s="1"/>
  <c r="U1924" i="1" s="1"/>
  <c r="U1925" i="1" s="1"/>
  <c r="U1926" i="1" s="1"/>
  <c r="U1927" i="1" s="1"/>
  <c r="U1928" i="1" s="1"/>
  <c r="U1929" i="1" s="1"/>
  <c r="U1930" i="1" s="1"/>
  <c r="U1931" i="1" s="1"/>
  <c r="U1932" i="1" s="1"/>
  <c r="U1933" i="1" s="1"/>
  <c r="U1934" i="1" s="1"/>
  <c r="U1935" i="1" s="1"/>
  <c r="U1936" i="1" s="1"/>
  <c r="U1938" i="1" s="1"/>
  <c r="U1939" i="1" s="1"/>
  <c r="U1940" i="1" s="1"/>
  <c r="U1941" i="1" s="1"/>
  <c r="U1942" i="1" s="1"/>
  <c r="U1943" i="1" s="1"/>
  <c r="U1944" i="1" s="1"/>
  <c r="U1945" i="1" s="1"/>
  <c r="U1946" i="1" s="1"/>
  <c r="U1947" i="1" s="1"/>
  <c r="U1948" i="1" s="1"/>
  <c r="U1949" i="1" s="1"/>
  <c r="U1950" i="1" s="1"/>
  <c r="U1951" i="1" s="1"/>
  <c r="U1952" i="1" s="1"/>
  <c r="U1953" i="1" s="1"/>
  <c r="U1954" i="1" s="1"/>
  <c r="U1955" i="1" s="1"/>
  <c r="U1956" i="1" s="1"/>
  <c r="U1957" i="1" s="1"/>
  <c r="U1958" i="1" s="1"/>
  <c r="U1959" i="1" s="1"/>
  <c r="U1960" i="1" s="1"/>
  <c r="U1961" i="1" s="1"/>
  <c r="U1962" i="1" s="1"/>
  <c r="U1963" i="1" s="1"/>
  <c r="U1964" i="1" s="1"/>
  <c r="U1965" i="1" s="1"/>
  <c r="U1966" i="1" s="1"/>
  <c r="U1967" i="1" s="1"/>
  <c r="U1968" i="1" s="1"/>
  <c r="U1969" i="1" s="1"/>
  <c r="U1970" i="1" s="1"/>
  <c r="U1971" i="1" s="1"/>
  <c r="U1972" i="1" s="1"/>
  <c r="U1973" i="1" s="1"/>
  <c r="U1974" i="1" s="1"/>
  <c r="U1975" i="1" s="1"/>
  <c r="U1976" i="1" s="1"/>
  <c r="U1977" i="1" s="1"/>
  <c r="U1978" i="1" s="1"/>
  <c r="U1979" i="1" s="1"/>
  <c r="U1980" i="1" s="1"/>
  <c r="U1982" i="1" s="1"/>
  <c r="U1983" i="1" s="1"/>
  <c r="U1984" i="1" s="1"/>
  <c r="U1985" i="1" s="1"/>
  <c r="U1986" i="1" s="1"/>
  <c r="U1987" i="1" s="1"/>
  <c r="U1988" i="1" s="1"/>
  <c r="U1989" i="1" s="1"/>
  <c r="U1990" i="1" s="1"/>
  <c r="U1991" i="1" s="1"/>
  <c r="U1992" i="1" s="1"/>
  <c r="U1993" i="1" s="1"/>
  <c r="U1994" i="1" s="1"/>
  <c r="U1995" i="1" s="1"/>
  <c r="U1996" i="1" s="1"/>
  <c r="U1997" i="1" s="1"/>
  <c r="U1998" i="1" s="1"/>
  <c r="U1999" i="1" s="1"/>
  <c r="U2000" i="1" s="1"/>
  <c r="U2001" i="1" s="1"/>
  <c r="U2002" i="1" s="1"/>
  <c r="U2003" i="1" s="1"/>
  <c r="U2004" i="1" s="1"/>
  <c r="U2005" i="1" s="1"/>
  <c r="U2006" i="1" s="1"/>
  <c r="U2007" i="1" s="1"/>
  <c r="U2008" i="1" s="1"/>
  <c r="U2009" i="1" s="1"/>
  <c r="U2010" i="1" s="1"/>
  <c r="U2011" i="1" s="1"/>
  <c r="U2012" i="1" s="1"/>
  <c r="U2013" i="1" s="1"/>
  <c r="U2014" i="1" s="1"/>
  <c r="U2015" i="1" s="1"/>
  <c r="U2016" i="1" s="1"/>
  <c r="U2017" i="1" s="1"/>
  <c r="U2018" i="1" s="1"/>
  <c r="U2019" i="1" s="1"/>
  <c r="U2020" i="1" s="1"/>
  <c r="U2021" i="1" s="1"/>
  <c r="U2022" i="1" s="1"/>
  <c r="U2023" i="1" s="1"/>
  <c r="U2024" i="1" s="1"/>
  <c r="U2026" i="1" s="1"/>
  <c r="U2027" i="1" s="1"/>
  <c r="U2028" i="1" s="1"/>
  <c r="U2029" i="1" s="1"/>
  <c r="U2030" i="1" s="1"/>
  <c r="U2031" i="1" s="1"/>
  <c r="U2032" i="1" s="1"/>
  <c r="U2033" i="1" s="1"/>
  <c r="U2034" i="1" s="1"/>
  <c r="U2035" i="1" s="1"/>
  <c r="U2036" i="1" s="1"/>
  <c r="U2037" i="1" s="1"/>
  <c r="U2038" i="1" s="1"/>
  <c r="U2039" i="1" s="1"/>
  <c r="U2040" i="1" s="1"/>
  <c r="U2041" i="1" s="1"/>
  <c r="U2042" i="1" s="1"/>
  <c r="U2043" i="1" s="1"/>
  <c r="U2044" i="1" s="1"/>
  <c r="U2045" i="1" s="1"/>
  <c r="U2046" i="1" s="1"/>
  <c r="U2047" i="1" s="1"/>
  <c r="U2048" i="1" s="1"/>
  <c r="U2049" i="1" s="1"/>
  <c r="U2050" i="1" s="1"/>
  <c r="U2051" i="1" s="1"/>
  <c r="U2052" i="1" s="1"/>
  <c r="U2053" i="1" s="1"/>
  <c r="U2054" i="1" s="1"/>
  <c r="U2055" i="1" s="1"/>
  <c r="U2056" i="1" s="1"/>
  <c r="U2057" i="1" s="1"/>
  <c r="U2058" i="1" s="1"/>
  <c r="U2059" i="1" s="1"/>
  <c r="U2060" i="1" s="1"/>
  <c r="U2061" i="1" s="1"/>
  <c r="U2062" i="1" s="1"/>
  <c r="U2063" i="1" s="1"/>
  <c r="U2064" i="1" s="1"/>
  <c r="U2065" i="1" s="1"/>
  <c r="U2066" i="1" s="1"/>
  <c r="U2067" i="1" s="1"/>
  <c r="U2068" i="1" s="1"/>
  <c r="U2070" i="1" s="1"/>
  <c r="U2071" i="1" s="1"/>
  <c r="U2072" i="1" s="1"/>
  <c r="U2073" i="1" s="1"/>
  <c r="U2074" i="1" s="1"/>
  <c r="U2075" i="1" s="1"/>
  <c r="U2076" i="1" s="1"/>
  <c r="U2077" i="1" s="1"/>
  <c r="U2078" i="1" s="1"/>
  <c r="U2079" i="1" s="1"/>
  <c r="U2080" i="1" s="1"/>
  <c r="U2081" i="1" s="1"/>
  <c r="U2082" i="1" s="1"/>
  <c r="U2083" i="1" s="1"/>
  <c r="U2084" i="1" s="1"/>
  <c r="U2085" i="1" s="1"/>
  <c r="U2086" i="1" s="1"/>
  <c r="U2087" i="1" s="1"/>
  <c r="U2088" i="1" s="1"/>
  <c r="U2089" i="1" s="1"/>
  <c r="U2090" i="1" s="1"/>
  <c r="U2091" i="1" s="1"/>
  <c r="U2092" i="1" s="1"/>
  <c r="U2093" i="1" s="1"/>
  <c r="U2094" i="1" s="1"/>
  <c r="U2095" i="1" s="1"/>
  <c r="U2096" i="1" s="1"/>
  <c r="U2097" i="1" s="1"/>
  <c r="U2098" i="1" s="1"/>
  <c r="U2099" i="1" s="1"/>
  <c r="U2100" i="1" s="1"/>
  <c r="U2101" i="1" s="1"/>
  <c r="U2102" i="1" s="1"/>
  <c r="U2103" i="1" s="1"/>
  <c r="U2104" i="1" s="1"/>
  <c r="U2105" i="1" s="1"/>
  <c r="U2106" i="1" s="1"/>
  <c r="U2107" i="1" s="1"/>
  <c r="U2108" i="1" s="1"/>
  <c r="U2109" i="1" s="1"/>
  <c r="U2110" i="1" s="1"/>
  <c r="U2111" i="1" s="1"/>
  <c r="U2112" i="1" s="1"/>
  <c r="U2114" i="1" s="1"/>
  <c r="U2115" i="1" s="1"/>
  <c r="U2116" i="1" s="1"/>
  <c r="U2117" i="1" s="1"/>
  <c r="U2118" i="1" s="1"/>
  <c r="U2119" i="1" s="1"/>
  <c r="U2120" i="1" s="1"/>
  <c r="U2121" i="1" s="1"/>
  <c r="U2122" i="1" s="1"/>
  <c r="U2123" i="1" s="1"/>
  <c r="U2124" i="1" s="1"/>
  <c r="U2125" i="1" s="1"/>
  <c r="U2126" i="1" s="1"/>
  <c r="U2127" i="1" s="1"/>
  <c r="U2128" i="1" s="1"/>
  <c r="U2129" i="1" s="1"/>
  <c r="U2130" i="1" s="1"/>
  <c r="U2131" i="1" s="1"/>
  <c r="U2132" i="1" s="1"/>
  <c r="U2133" i="1" s="1"/>
  <c r="U2134" i="1" s="1"/>
  <c r="U2135" i="1" s="1"/>
  <c r="U2136" i="1" s="1"/>
  <c r="U2137" i="1" s="1"/>
  <c r="U2138" i="1" s="1"/>
  <c r="U2139" i="1" s="1"/>
  <c r="U2140" i="1" s="1"/>
  <c r="U2141" i="1" s="1"/>
  <c r="U2142" i="1" s="1"/>
  <c r="U2143" i="1" s="1"/>
  <c r="U2144" i="1" s="1"/>
  <c r="U2145" i="1" s="1"/>
  <c r="U2146" i="1" s="1"/>
  <c r="U2147" i="1" s="1"/>
  <c r="U2148" i="1" s="1"/>
  <c r="U2149" i="1" s="1"/>
  <c r="U2150" i="1" s="1"/>
  <c r="U2151" i="1" s="1"/>
  <c r="U2152" i="1" s="1"/>
  <c r="U2153" i="1" s="1"/>
  <c r="U2154" i="1" s="1"/>
  <c r="U2155" i="1" s="1"/>
  <c r="U2156" i="1" s="1"/>
  <c r="U2158" i="1" s="1"/>
  <c r="U2159" i="1" s="1"/>
  <c r="U2160" i="1" s="1"/>
  <c r="U2161" i="1" s="1"/>
  <c r="U2162" i="1" s="1"/>
  <c r="U2163" i="1" s="1"/>
  <c r="U2164" i="1" s="1"/>
  <c r="U2165" i="1" s="1"/>
  <c r="U2166" i="1" s="1"/>
  <c r="U2167" i="1" s="1"/>
  <c r="U2168" i="1" s="1"/>
  <c r="U2169" i="1" s="1"/>
  <c r="U2170" i="1" s="1"/>
  <c r="U2171" i="1" s="1"/>
  <c r="U2172" i="1" s="1"/>
  <c r="U2173" i="1" s="1"/>
  <c r="U2174" i="1" s="1"/>
  <c r="U2175" i="1" s="1"/>
  <c r="U2176" i="1" s="1"/>
  <c r="U2177" i="1" s="1"/>
  <c r="U2178" i="1" s="1"/>
  <c r="U2179" i="1" s="1"/>
  <c r="U2180" i="1" s="1"/>
  <c r="U2181" i="1" s="1"/>
  <c r="U2182" i="1" s="1"/>
  <c r="U2183" i="1" s="1"/>
  <c r="U2184" i="1" s="1"/>
  <c r="U2185" i="1" s="1"/>
  <c r="U2186" i="1" s="1"/>
  <c r="U2187" i="1" s="1"/>
  <c r="U2188" i="1" s="1"/>
  <c r="U2189" i="1" s="1"/>
  <c r="U2190" i="1" s="1"/>
  <c r="U2191" i="1" s="1"/>
  <c r="U2192" i="1" s="1"/>
  <c r="U2193" i="1" s="1"/>
  <c r="U2194" i="1" s="1"/>
  <c r="U2195" i="1" s="1"/>
  <c r="U2196" i="1" s="1"/>
  <c r="U2197" i="1" s="1"/>
  <c r="U2198" i="1" s="1"/>
  <c r="U2199" i="1" s="1"/>
  <c r="U2200" i="1" s="1"/>
  <c r="U2202" i="1" s="1"/>
  <c r="U2203" i="1" s="1"/>
  <c r="U2204" i="1" s="1"/>
  <c r="U2205" i="1" s="1"/>
  <c r="U2206" i="1" s="1"/>
  <c r="U2207" i="1" s="1"/>
  <c r="U2208" i="1" s="1"/>
  <c r="U2209" i="1" s="1"/>
  <c r="U2210" i="1" s="1"/>
  <c r="U2211" i="1" s="1"/>
  <c r="U2212" i="1" s="1"/>
  <c r="U2213" i="1" s="1"/>
  <c r="U2214" i="1" s="1"/>
  <c r="U2215" i="1" s="1"/>
  <c r="U2216" i="1" s="1"/>
  <c r="U2217" i="1" s="1"/>
  <c r="U2218" i="1" s="1"/>
  <c r="U2219" i="1" s="1"/>
  <c r="U2220" i="1" s="1"/>
  <c r="U2221" i="1" s="1"/>
  <c r="U2222" i="1" s="1"/>
  <c r="U2223" i="1" s="1"/>
  <c r="U2224" i="1" s="1"/>
  <c r="U2225" i="1" s="1"/>
  <c r="U2226" i="1" s="1"/>
  <c r="U2227" i="1" s="1"/>
  <c r="U2228" i="1" s="1"/>
  <c r="U2229" i="1" s="1"/>
  <c r="U2230" i="1" s="1"/>
  <c r="U2231" i="1" s="1"/>
  <c r="U2232" i="1" s="1"/>
  <c r="U2233" i="1" s="1"/>
  <c r="U2234" i="1" s="1"/>
  <c r="U2235" i="1" s="1"/>
  <c r="U2236" i="1" s="1"/>
  <c r="U2237" i="1" s="1"/>
  <c r="U2238" i="1" s="1"/>
  <c r="U2239" i="1" s="1"/>
  <c r="U2240" i="1" s="1"/>
  <c r="U2241" i="1" s="1"/>
  <c r="U2242" i="1" s="1"/>
  <c r="U2243" i="1" s="1"/>
  <c r="U2244" i="1" s="1"/>
  <c r="U2246" i="1" s="1"/>
  <c r="U2247" i="1" s="1"/>
  <c r="U2248" i="1" s="1"/>
  <c r="U2249" i="1" s="1"/>
  <c r="U2250" i="1" s="1"/>
  <c r="U2251" i="1" s="1"/>
  <c r="U2252" i="1" s="1"/>
  <c r="U2253" i="1" s="1"/>
  <c r="U2254" i="1" s="1"/>
  <c r="U2255" i="1" s="1"/>
  <c r="U2256" i="1" s="1"/>
  <c r="U2257" i="1" s="1"/>
  <c r="U2258" i="1" s="1"/>
  <c r="U2259" i="1" s="1"/>
  <c r="U2260" i="1" s="1"/>
  <c r="U2261" i="1" s="1"/>
  <c r="U2262" i="1" s="1"/>
  <c r="U2263" i="1" s="1"/>
  <c r="U2264" i="1" s="1"/>
  <c r="U2265" i="1" s="1"/>
  <c r="U2266" i="1" s="1"/>
  <c r="U2267" i="1" s="1"/>
  <c r="U2268" i="1" s="1"/>
  <c r="U2269" i="1" s="1"/>
  <c r="U2270" i="1" s="1"/>
  <c r="U2271" i="1" s="1"/>
  <c r="U2272" i="1" s="1"/>
  <c r="U2273" i="1" s="1"/>
  <c r="U2274" i="1" s="1"/>
  <c r="U2275" i="1" s="1"/>
  <c r="U2276" i="1" s="1"/>
  <c r="U2277" i="1" s="1"/>
  <c r="U2278" i="1" s="1"/>
  <c r="U2279" i="1" s="1"/>
  <c r="U2280" i="1" s="1"/>
  <c r="U2281" i="1" s="1"/>
  <c r="U2282" i="1" s="1"/>
  <c r="U2283" i="1" s="1"/>
  <c r="U2284" i="1" s="1"/>
  <c r="U2285" i="1" s="1"/>
  <c r="U2286" i="1" s="1"/>
  <c r="U2287" i="1" s="1"/>
  <c r="U2288" i="1" s="1"/>
  <c r="U2290" i="1" s="1"/>
  <c r="U2291" i="1" s="1"/>
  <c r="U2292" i="1" s="1"/>
  <c r="U2293" i="1" s="1"/>
  <c r="U2294" i="1" s="1"/>
  <c r="U2295" i="1" s="1"/>
  <c r="U2296" i="1" s="1"/>
  <c r="U2297" i="1" s="1"/>
  <c r="U2298" i="1" s="1"/>
  <c r="U2299" i="1" s="1"/>
  <c r="U2300" i="1" s="1"/>
  <c r="U2301" i="1" s="1"/>
  <c r="U2302" i="1" s="1"/>
  <c r="U2303" i="1" s="1"/>
  <c r="U2304" i="1" s="1"/>
  <c r="U2305" i="1" s="1"/>
  <c r="U2306" i="1" s="1"/>
  <c r="U2307" i="1" s="1"/>
  <c r="U2308" i="1" s="1"/>
  <c r="U2309" i="1" s="1"/>
  <c r="U2310" i="1" s="1"/>
  <c r="U2311" i="1" s="1"/>
  <c r="U2312" i="1" s="1"/>
  <c r="U2313" i="1" s="1"/>
  <c r="U2314" i="1" s="1"/>
  <c r="U2315" i="1" s="1"/>
  <c r="U2316" i="1" s="1"/>
  <c r="U2317" i="1" s="1"/>
  <c r="U2318" i="1" s="1"/>
  <c r="U2319" i="1" s="1"/>
  <c r="U2320" i="1" s="1"/>
  <c r="U2321" i="1" s="1"/>
  <c r="U2322" i="1" s="1"/>
  <c r="U2323" i="1" s="1"/>
  <c r="U2324" i="1" s="1"/>
  <c r="U2325" i="1" s="1"/>
  <c r="U2326" i="1" s="1"/>
  <c r="U2327" i="1" s="1"/>
  <c r="U2328" i="1" s="1"/>
  <c r="U2329" i="1" s="1"/>
  <c r="U2330" i="1" s="1"/>
  <c r="U2331" i="1" s="1"/>
  <c r="U2332" i="1" s="1"/>
  <c r="U2334" i="1" s="1"/>
  <c r="U2335" i="1" s="1"/>
  <c r="U2336" i="1" s="1"/>
  <c r="U2337" i="1" s="1"/>
  <c r="U2338" i="1" s="1"/>
  <c r="U2339" i="1" s="1"/>
  <c r="U2340" i="1" s="1"/>
  <c r="U2341" i="1" s="1"/>
  <c r="U2342" i="1" s="1"/>
  <c r="U2343" i="1" s="1"/>
  <c r="U2344" i="1" s="1"/>
  <c r="U2345" i="1" s="1"/>
  <c r="U2346" i="1" s="1"/>
  <c r="U2347" i="1" s="1"/>
  <c r="U2348" i="1" s="1"/>
  <c r="U2349" i="1" s="1"/>
  <c r="U2350" i="1" s="1"/>
  <c r="U2351" i="1" s="1"/>
  <c r="U2352" i="1" s="1"/>
  <c r="U2353" i="1" s="1"/>
  <c r="U2354" i="1" s="1"/>
  <c r="U2355" i="1" s="1"/>
  <c r="U2356" i="1" s="1"/>
  <c r="U2357" i="1" s="1"/>
  <c r="U2358" i="1" s="1"/>
  <c r="U2359" i="1" s="1"/>
  <c r="U2360" i="1" s="1"/>
  <c r="U2361" i="1" s="1"/>
  <c r="U2362" i="1" s="1"/>
  <c r="U2363" i="1" s="1"/>
  <c r="U2364" i="1" s="1"/>
  <c r="U2365" i="1" s="1"/>
  <c r="U2366" i="1" s="1"/>
  <c r="U2367" i="1" s="1"/>
  <c r="U2368" i="1" s="1"/>
  <c r="U2369" i="1" s="1"/>
  <c r="U2370" i="1" s="1"/>
  <c r="U2371" i="1" s="1"/>
  <c r="U2372" i="1" s="1"/>
  <c r="U2373" i="1" s="1"/>
  <c r="U2374" i="1" s="1"/>
  <c r="U2375" i="1" s="1"/>
  <c r="U2376" i="1" s="1"/>
  <c r="U2378" i="1" s="1"/>
  <c r="U2379" i="1" s="1"/>
  <c r="U2380" i="1" s="1"/>
  <c r="U2381" i="1" s="1"/>
  <c r="U2382" i="1" s="1"/>
  <c r="U2383" i="1" s="1"/>
  <c r="U2384" i="1" s="1"/>
  <c r="U2385" i="1" s="1"/>
  <c r="U2386" i="1" s="1"/>
  <c r="U2387" i="1" s="1"/>
  <c r="U2388" i="1" s="1"/>
  <c r="U2389" i="1" s="1"/>
  <c r="U2390" i="1" s="1"/>
  <c r="U2391" i="1" s="1"/>
  <c r="U2392" i="1" s="1"/>
  <c r="U2393" i="1" s="1"/>
  <c r="U2394" i="1" s="1"/>
  <c r="U2395" i="1" s="1"/>
  <c r="U2396" i="1" s="1"/>
  <c r="U2397" i="1" s="1"/>
  <c r="U2398" i="1" s="1"/>
  <c r="U2399" i="1" s="1"/>
  <c r="U2400" i="1" s="1"/>
  <c r="U2401" i="1" s="1"/>
  <c r="U2402" i="1" s="1"/>
  <c r="U2403" i="1" s="1"/>
  <c r="U2404" i="1" s="1"/>
  <c r="U2405" i="1" s="1"/>
  <c r="U2406" i="1" s="1"/>
  <c r="U2407" i="1" s="1"/>
  <c r="U2408" i="1" s="1"/>
  <c r="U2409" i="1" s="1"/>
  <c r="U2410" i="1" s="1"/>
  <c r="U2411" i="1" s="1"/>
  <c r="U2412" i="1" s="1"/>
  <c r="U2413" i="1" s="1"/>
  <c r="U2414" i="1" s="1"/>
  <c r="U2415" i="1" s="1"/>
  <c r="U2416" i="1" s="1"/>
  <c r="U2417" i="1" s="1"/>
  <c r="U2418" i="1" s="1"/>
  <c r="U2419" i="1" s="1"/>
  <c r="U2420" i="1" s="1"/>
  <c r="U2422" i="1" s="1"/>
  <c r="U2423" i="1" s="1"/>
  <c r="U2424" i="1" s="1"/>
  <c r="U2425" i="1" s="1"/>
  <c r="U2426" i="1" s="1"/>
  <c r="U2427" i="1" s="1"/>
  <c r="U2428" i="1" s="1"/>
  <c r="U2429" i="1" s="1"/>
  <c r="U2430" i="1" s="1"/>
  <c r="U2431" i="1" s="1"/>
  <c r="U2432" i="1" s="1"/>
  <c r="U2433" i="1" s="1"/>
  <c r="U2434" i="1" s="1"/>
  <c r="U2435" i="1" s="1"/>
  <c r="U2436" i="1" s="1"/>
  <c r="U2437" i="1" s="1"/>
  <c r="U2438" i="1" s="1"/>
  <c r="U2439" i="1" s="1"/>
  <c r="U2440" i="1" s="1"/>
  <c r="U2441" i="1" s="1"/>
  <c r="U2442" i="1" s="1"/>
  <c r="U2443" i="1" s="1"/>
  <c r="U2444" i="1" s="1"/>
  <c r="U2445" i="1" s="1"/>
  <c r="U2446" i="1" s="1"/>
  <c r="U2447" i="1" s="1"/>
  <c r="U2448" i="1" s="1"/>
  <c r="U2449" i="1" s="1"/>
  <c r="U2450" i="1" s="1"/>
  <c r="U2451" i="1" s="1"/>
  <c r="U2452" i="1" s="1"/>
  <c r="U2453" i="1" s="1"/>
  <c r="U2454" i="1" s="1"/>
  <c r="U2455" i="1" s="1"/>
  <c r="U2456" i="1" s="1"/>
  <c r="U2457" i="1" s="1"/>
  <c r="U2458" i="1" s="1"/>
  <c r="U2459" i="1" s="1"/>
  <c r="U2460" i="1" s="1"/>
  <c r="U2461" i="1" s="1"/>
  <c r="U2462" i="1" s="1"/>
  <c r="U2463" i="1" s="1"/>
  <c r="U2464" i="1" s="1"/>
  <c r="U2466" i="1" s="1"/>
  <c r="U2467" i="1" s="1"/>
  <c r="U2468" i="1" s="1"/>
  <c r="U2469" i="1" s="1"/>
  <c r="U2470" i="1" s="1"/>
  <c r="U2471" i="1" s="1"/>
  <c r="U2472" i="1" s="1"/>
  <c r="U2473" i="1" s="1"/>
  <c r="U2474" i="1" s="1"/>
  <c r="U2475" i="1" s="1"/>
  <c r="U2476" i="1" s="1"/>
  <c r="U2477" i="1" s="1"/>
  <c r="U2478" i="1" s="1"/>
  <c r="U2479" i="1" s="1"/>
  <c r="U2480" i="1" s="1"/>
  <c r="U2481" i="1" s="1"/>
  <c r="U2482" i="1" s="1"/>
  <c r="U2483" i="1" s="1"/>
  <c r="U2484" i="1" s="1"/>
  <c r="U2485" i="1" s="1"/>
  <c r="U2486" i="1" s="1"/>
  <c r="U2487" i="1" s="1"/>
  <c r="U2488" i="1" s="1"/>
  <c r="U2489" i="1" s="1"/>
  <c r="U2490" i="1" s="1"/>
  <c r="U2491" i="1" s="1"/>
  <c r="U2492" i="1" s="1"/>
  <c r="U2493" i="1" s="1"/>
  <c r="U2494" i="1" s="1"/>
  <c r="U2495" i="1" s="1"/>
  <c r="U2496" i="1" s="1"/>
  <c r="U2497" i="1" s="1"/>
  <c r="U2498" i="1" s="1"/>
  <c r="U2499" i="1" s="1"/>
  <c r="U2500" i="1" s="1"/>
  <c r="U2501" i="1" s="1"/>
  <c r="U2502" i="1" s="1"/>
  <c r="U2503" i="1" s="1"/>
  <c r="U2504" i="1" s="1"/>
  <c r="U2505" i="1" s="1"/>
  <c r="U2506" i="1" s="1"/>
  <c r="U2507" i="1" s="1"/>
  <c r="U2508" i="1" s="1"/>
  <c r="U2510" i="1" s="1"/>
  <c r="U2511" i="1" s="1"/>
  <c r="U2512" i="1" s="1"/>
  <c r="U2513" i="1" s="1"/>
  <c r="U2514" i="1" s="1"/>
  <c r="U2515" i="1" s="1"/>
  <c r="U2516" i="1" s="1"/>
  <c r="U2517" i="1" s="1"/>
  <c r="U2518" i="1" s="1"/>
  <c r="U2519" i="1" s="1"/>
  <c r="U2520" i="1" s="1"/>
  <c r="U2521" i="1" s="1"/>
  <c r="U2522" i="1" s="1"/>
  <c r="U2523" i="1" s="1"/>
  <c r="U2524" i="1" s="1"/>
  <c r="U2525" i="1" s="1"/>
  <c r="U2526" i="1" s="1"/>
  <c r="U2527" i="1" s="1"/>
  <c r="U2528" i="1" s="1"/>
  <c r="U2529" i="1" s="1"/>
  <c r="U2530" i="1" s="1"/>
  <c r="U2531" i="1" s="1"/>
  <c r="U2532" i="1" s="1"/>
  <c r="U2533" i="1" s="1"/>
  <c r="U2534" i="1" s="1"/>
  <c r="U2535" i="1" s="1"/>
  <c r="U2536" i="1" s="1"/>
  <c r="U2537" i="1" s="1"/>
  <c r="U2538" i="1" s="1"/>
  <c r="U2539" i="1" s="1"/>
  <c r="U2540" i="1" s="1"/>
  <c r="U2541" i="1" s="1"/>
  <c r="U2542" i="1" s="1"/>
  <c r="U2543" i="1" s="1"/>
  <c r="U2544" i="1" s="1"/>
  <c r="U2545" i="1" s="1"/>
  <c r="U2546" i="1" s="1"/>
  <c r="U2547" i="1" s="1"/>
  <c r="U2548" i="1" s="1"/>
  <c r="U2549" i="1" s="1"/>
  <c r="U2550" i="1" s="1"/>
  <c r="U2551" i="1" s="1"/>
  <c r="U2552" i="1" s="1"/>
  <c r="U2554" i="1" s="1"/>
  <c r="U2555" i="1" s="1"/>
  <c r="U2556" i="1" s="1"/>
  <c r="U2557" i="1" s="1"/>
  <c r="U2558" i="1" s="1"/>
  <c r="U2559" i="1" s="1"/>
  <c r="U2560" i="1" s="1"/>
  <c r="U2561" i="1" s="1"/>
  <c r="U2562" i="1" s="1"/>
  <c r="U2563" i="1" s="1"/>
  <c r="U2564" i="1" s="1"/>
  <c r="U2565" i="1" s="1"/>
  <c r="U2566" i="1" s="1"/>
  <c r="U2567" i="1" s="1"/>
  <c r="U2568" i="1" s="1"/>
  <c r="U2569" i="1" s="1"/>
  <c r="U2570" i="1" s="1"/>
  <c r="U2571" i="1" s="1"/>
  <c r="U2572" i="1" s="1"/>
  <c r="U2573" i="1" s="1"/>
  <c r="U2574" i="1" s="1"/>
  <c r="U2575" i="1" s="1"/>
  <c r="U2576" i="1" s="1"/>
  <c r="U2577" i="1" s="1"/>
  <c r="U2578" i="1" s="1"/>
  <c r="U2579" i="1" s="1"/>
  <c r="U2580" i="1" s="1"/>
  <c r="U2581" i="1" s="1"/>
  <c r="U2582" i="1" s="1"/>
  <c r="U2583" i="1" s="1"/>
  <c r="U2584" i="1" s="1"/>
  <c r="U2585" i="1" s="1"/>
  <c r="U2586" i="1" s="1"/>
  <c r="U2587" i="1" s="1"/>
  <c r="U2588" i="1" s="1"/>
  <c r="U2589" i="1" s="1"/>
  <c r="U2590" i="1" s="1"/>
  <c r="U2591" i="1" s="1"/>
  <c r="U2592" i="1" s="1"/>
  <c r="U2593" i="1" s="1"/>
  <c r="U2594" i="1" s="1"/>
  <c r="U2595" i="1" s="1"/>
  <c r="U2596" i="1" s="1"/>
  <c r="U2598" i="1" s="1"/>
  <c r="U2599" i="1" s="1"/>
  <c r="U2600" i="1" s="1"/>
  <c r="U2601" i="1" s="1"/>
  <c r="U2602" i="1" s="1"/>
  <c r="U2603" i="1" s="1"/>
  <c r="U2604" i="1" s="1"/>
  <c r="U2605" i="1" s="1"/>
  <c r="U2606" i="1" s="1"/>
  <c r="U2607" i="1" s="1"/>
  <c r="U2608" i="1" s="1"/>
  <c r="U2609" i="1" s="1"/>
  <c r="U2610" i="1" s="1"/>
  <c r="U2611" i="1" s="1"/>
  <c r="U2612" i="1" s="1"/>
  <c r="U2613" i="1" s="1"/>
  <c r="U2614" i="1" s="1"/>
  <c r="U2615" i="1" s="1"/>
  <c r="U2616" i="1" s="1"/>
  <c r="U2617" i="1" s="1"/>
  <c r="U2618" i="1" s="1"/>
  <c r="U2619" i="1" s="1"/>
  <c r="U2620" i="1" s="1"/>
  <c r="U2621" i="1" s="1"/>
  <c r="U2622" i="1" s="1"/>
  <c r="U2623" i="1" s="1"/>
  <c r="U2624" i="1" s="1"/>
  <c r="U2625" i="1" s="1"/>
  <c r="U2626" i="1" s="1"/>
  <c r="U2627" i="1" s="1"/>
  <c r="U2628" i="1" s="1"/>
  <c r="U2629" i="1" s="1"/>
  <c r="U2630" i="1" s="1"/>
  <c r="U2631" i="1" s="1"/>
  <c r="U2632" i="1" s="1"/>
  <c r="U2633" i="1" s="1"/>
  <c r="U2634" i="1" s="1"/>
  <c r="U2635" i="1" s="1"/>
  <c r="U2636" i="1" s="1"/>
  <c r="U2637" i="1" s="1"/>
  <c r="U2638" i="1" s="1"/>
  <c r="U2639" i="1" s="1"/>
  <c r="U2640" i="1" s="1"/>
  <c r="U2642" i="1" s="1"/>
  <c r="U2643" i="1" s="1"/>
  <c r="U2644" i="1" s="1"/>
  <c r="U2645" i="1" s="1"/>
  <c r="U2646" i="1" s="1"/>
  <c r="U2647" i="1" s="1"/>
  <c r="U2648" i="1" s="1"/>
  <c r="U2649" i="1" s="1"/>
  <c r="U2650" i="1" s="1"/>
  <c r="U2651" i="1" s="1"/>
  <c r="U2652" i="1" s="1"/>
  <c r="U2653" i="1" s="1"/>
  <c r="U2654" i="1" s="1"/>
  <c r="U2655" i="1" s="1"/>
  <c r="U2656" i="1" s="1"/>
  <c r="U2657" i="1" s="1"/>
  <c r="U2658" i="1" s="1"/>
  <c r="U2659" i="1" s="1"/>
  <c r="U2660" i="1" s="1"/>
  <c r="U2661" i="1" s="1"/>
  <c r="U2662" i="1" s="1"/>
  <c r="U2663" i="1" s="1"/>
  <c r="U2664" i="1" s="1"/>
  <c r="U2665" i="1" s="1"/>
  <c r="U2666" i="1" s="1"/>
  <c r="U2667" i="1" s="1"/>
  <c r="U2668" i="1" s="1"/>
  <c r="U2669" i="1" s="1"/>
  <c r="U2670" i="1" s="1"/>
  <c r="U2671" i="1" s="1"/>
  <c r="U2672" i="1" s="1"/>
  <c r="U2673" i="1" s="1"/>
  <c r="U2674" i="1" s="1"/>
  <c r="U2675" i="1" s="1"/>
  <c r="U2676" i="1" s="1"/>
  <c r="U2677" i="1" s="1"/>
  <c r="U2678" i="1" s="1"/>
  <c r="U2679" i="1" s="1"/>
  <c r="U2680" i="1" s="1"/>
  <c r="U2681" i="1" s="1"/>
  <c r="U2682" i="1" s="1"/>
  <c r="U2683" i="1" s="1"/>
  <c r="U2684" i="1" s="1"/>
  <c r="U2686" i="1" s="1"/>
  <c r="U2687" i="1" s="1"/>
  <c r="U2688" i="1" s="1"/>
  <c r="U2689" i="1" s="1"/>
  <c r="U2690" i="1" s="1"/>
  <c r="U2691" i="1" s="1"/>
  <c r="U2692" i="1" s="1"/>
  <c r="U2693" i="1" s="1"/>
  <c r="U2694" i="1" s="1"/>
  <c r="U2695" i="1" s="1"/>
  <c r="U2696" i="1" s="1"/>
  <c r="U2697" i="1" s="1"/>
  <c r="U2698" i="1" s="1"/>
  <c r="U2699" i="1" s="1"/>
  <c r="U2700" i="1" s="1"/>
  <c r="U2701" i="1" s="1"/>
  <c r="U2702" i="1" s="1"/>
  <c r="U2703" i="1" s="1"/>
  <c r="U2704" i="1" s="1"/>
  <c r="U2705" i="1" s="1"/>
  <c r="U2706" i="1" s="1"/>
  <c r="U2707" i="1" s="1"/>
  <c r="U2708" i="1" s="1"/>
  <c r="U2709" i="1" s="1"/>
  <c r="U2710" i="1" s="1"/>
  <c r="U2711" i="1" s="1"/>
  <c r="U2712" i="1" s="1"/>
  <c r="U2713" i="1" s="1"/>
  <c r="U2714" i="1" s="1"/>
  <c r="U2715" i="1" s="1"/>
  <c r="U2716" i="1" s="1"/>
  <c r="U2717" i="1" s="1"/>
  <c r="U2718" i="1" s="1"/>
  <c r="U2719" i="1" s="1"/>
  <c r="U2720" i="1" s="1"/>
  <c r="U2721" i="1" s="1"/>
  <c r="U2722" i="1" s="1"/>
  <c r="U2723" i="1" s="1"/>
  <c r="U2724" i="1" s="1"/>
  <c r="U2725" i="1" s="1"/>
  <c r="U2726" i="1" s="1"/>
  <c r="U2727" i="1" s="1"/>
  <c r="U2728" i="1" s="1"/>
  <c r="U2730" i="1" s="1"/>
  <c r="U2731" i="1" s="1"/>
  <c r="U2732" i="1" s="1"/>
  <c r="U2733" i="1" s="1"/>
  <c r="U2734" i="1" s="1"/>
  <c r="U2735" i="1" s="1"/>
  <c r="U2736" i="1" s="1"/>
  <c r="U2737" i="1" s="1"/>
  <c r="U2738" i="1" s="1"/>
  <c r="U2739" i="1" s="1"/>
  <c r="U2740" i="1" s="1"/>
  <c r="U2741" i="1" s="1"/>
  <c r="U2742" i="1" s="1"/>
  <c r="U2743" i="1" s="1"/>
  <c r="U2744" i="1" s="1"/>
  <c r="U2745" i="1" s="1"/>
  <c r="U2746" i="1" s="1"/>
  <c r="U2747" i="1" s="1"/>
  <c r="U2748" i="1" s="1"/>
  <c r="U2749" i="1" s="1"/>
  <c r="U2750" i="1" s="1"/>
  <c r="U2751" i="1" s="1"/>
  <c r="U2752" i="1" s="1"/>
  <c r="U2753" i="1" s="1"/>
  <c r="U2754" i="1" s="1"/>
  <c r="U2755" i="1" s="1"/>
  <c r="U2756" i="1" s="1"/>
  <c r="U2757" i="1" s="1"/>
  <c r="U2758" i="1" s="1"/>
  <c r="U2759" i="1" s="1"/>
  <c r="U2760" i="1" s="1"/>
  <c r="U2761" i="1" s="1"/>
  <c r="U2762" i="1" s="1"/>
  <c r="U2763" i="1" s="1"/>
  <c r="U2764" i="1" s="1"/>
  <c r="U2765" i="1" s="1"/>
  <c r="U2766" i="1" s="1"/>
  <c r="U2767" i="1" s="1"/>
  <c r="U2768" i="1" s="1"/>
  <c r="U2769" i="1" s="1"/>
  <c r="U2770" i="1" s="1"/>
  <c r="U2771" i="1" s="1"/>
  <c r="U2772" i="1" s="1"/>
  <c r="U2774" i="1" s="1"/>
  <c r="U2775" i="1" s="1"/>
  <c r="U2776" i="1" s="1"/>
  <c r="U2777" i="1" s="1"/>
  <c r="U2778" i="1" s="1"/>
  <c r="U2779" i="1" s="1"/>
  <c r="U2780" i="1" s="1"/>
  <c r="U2781" i="1" s="1"/>
  <c r="U2782" i="1" s="1"/>
  <c r="U2783" i="1" s="1"/>
  <c r="U2784" i="1" s="1"/>
  <c r="U2785" i="1" s="1"/>
  <c r="U2786" i="1" s="1"/>
  <c r="U2787" i="1" s="1"/>
  <c r="U2788" i="1" s="1"/>
  <c r="U2789" i="1" s="1"/>
  <c r="U2790" i="1" s="1"/>
  <c r="U2791" i="1" s="1"/>
  <c r="U2792" i="1" s="1"/>
  <c r="U2793" i="1" s="1"/>
  <c r="U2794" i="1" s="1"/>
  <c r="U2795" i="1" s="1"/>
  <c r="U2796" i="1" s="1"/>
  <c r="U2797" i="1" s="1"/>
  <c r="U2798" i="1" s="1"/>
  <c r="U2799" i="1" s="1"/>
  <c r="U2800" i="1" s="1"/>
  <c r="U2801" i="1" s="1"/>
  <c r="U2802" i="1" s="1"/>
  <c r="U2803" i="1" s="1"/>
  <c r="U2804" i="1" s="1"/>
  <c r="U2805" i="1" s="1"/>
  <c r="U2806" i="1" s="1"/>
  <c r="U2807" i="1" s="1"/>
  <c r="U2808" i="1" s="1"/>
  <c r="U2809" i="1" s="1"/>
  <c r="U2810" i="1" s="1"/>
  <c r="U2811" i="1" s="1"/>
  <c r="U2812" i="1" s="1"/>
  <c r="A792" i="1"/>
  <c r="A90" i="1"/>
  <c r="U2813" i="1" l="1"/>
  <c r="U2814" i="1" s="1"/>
  <c r="U2815" i="1" s="1"/>
  <c r="U2816" i="1" s="1"/>
  <c r="U2818" i="1" s="1"/>
  <c r="U2819" i="1" s="1"/>
  <c r="U2820" i="1" s="1"/>
  <c r="U2821" i="1" s="1"/>
  <c r="U2822" i="1" s="1"/>
  <c r="U2823" i="1" s="1"/>
  <c r="U2824" i="1" s="1"/>
  <c r="U2825" i="1" s="1"/>
  <c r="U2826" i="1" s="1"/>
  <c r="U2827" i="1" s="1"/>
  <c r="U2828" i="1" s="1"/>
  <c r="U2829" i="1" s="1"/>
  <c r="U2830" i="1" s="1"/>
  <c r="U2831" i="1" s="1"/>
  <c r="U2832" i="1" s="1"/>
  <c r="U2833" i="1" s="1"/>
  <c r="U2834" i="1" s="1"/>
  <c r="U2835" i="1" s="1"/>
  <c r="U2836" i="1" s="1"/>
  <c r="U2837" i="1" s="1"/>
  <c r="U2838" i="1" s="1"/>
  <c r="U2839" i="1" s="1"/>
  <c r="U2840" i="1" s="1"/>
  <c r="U2841" i="1" s="1"/>
  <c r="U2842" i="1" s="1"/>
  <c r="U2843" i="1" s="1"/>
  <c r="U2844" i="1" s="1"/>
  <c r="U2845" i="1" s="1"/>
  <c r="U2846" i="1" s="1"/>
  <c r="U2847" i="1" s="1"/>
  <c r="U2848" i="1" s="1"/>
  <c r="U2849" i="1" s="1"/>
  <c r="U2850" i="1" s="1"/>
  <c r="U2851" i="1" s="1"/>
  <c r="U2852" i="1" s="1"/>
  <c r="U2853" i="1" s="1"/>
  <c r="U2854" i="1" s="1"/>
  <c r="U2855" i="1" s="1"/>
  <c r="U2856" i="1" s="1"/>
  <c r="U2857" i="1" s="1"/>
  <c r="U2858" i="1" s="1"/>
  <c r="U2859" i="1" s="1"/>
  <c r="U2860" i="1" s="1"/>
  <c r="U2862" i="1" s="1"/>
  <c r="U2863" i="1" s="1"/>
  <c r="U2864" i="1" s="1"/>
  <c r="U2865" i="1" s="1"/>
  <c r="U2866" i="1" s="1"/>
  <c r="U2867" i="1" s="1"/>
  <c r="U2868" i="1" s="1"/>
  <c r="U2869" i="1" s="1"/>
  <c r="U2870" i="1" s="1"/>
  <c r="U2871" i="1" s="1"/>
  <c r="U2872" i="1" s="1"/>
  <c r="U2873" i="1" s="1"/>
  <c r="U2874" i="1" s="1"/>
  <c r="U2875" i="1" s="1"/>
  <c r="U2876" i="1" s="1"/>
  <c r="U2877" i="1" s="1"/>
  <c r="U2878" i="1" s="1"/>
  <c r="U2879" i="1" s="1"/>
  <c r="U2880" i="1" s="1"/>
  <c r="U2881" i="1" s="1"/>
  <c r="U2882" i="1" s="1"/>
  <c r="U2883" i="1" s="1"/>
  <c r="U2884" i="1" s="1"/>
  <c r="U2885" i="1" s="1"/>
  <c r="U2886" i="1" s="1"/>
  <c r="U2887" i="1" s="1"/>
  <c r="U2888" i="1" s="1"/>
  <c r="U2889" i="1" s="1"/>
  <c r="U2890" i="1" s="1"/>
  <c r="U2891" i="1" s="1"/>
  <c r="U2892" i="1" s="1"/>
  <c r="U2893" i="1" s="1"/>
  <c r="U2894" i="1" s="1"/>
  <c r="U2895" i="1" s="1"/>
  <c r="U2896" i="1" s="1"/>
  <c r="U2897" i="1" s="1"/>
  <c r="U2898" i="1" s="1"/>
  <c r="U2899" i="1" s="1"/>
  <c r="U2900" i="1" s="1"/>
  <c r="U2901" i="1" s="1"/>
  <c r="U2902" i="1" s="1"/>
  <c r="U2903" i="1" s="1"/>
  <c r="U2904" i="1" s="1"/>
  <c r="U2906" i="1" s="1"/>
  <c r="U2907" i="1" s="1"/>
  <c r="U2908" i="1" s="1"/>
  <c r="U2909" i="1" s="1"/>
  <c r="U2910" i="1" s="1"/>
  <c r="U2911" i="1" s="1"/>
  <c r="U2912" i="1" s="1"/>
  <c r="U2913" i="1" s="1"/>
  <c r="U2914" i="1" s="1"/>
  <c r="U2915" i="1" s="1"/>
  <c r="U2916" i="1" s="1"/>
  <c r="U2917" i="1" s="1"/>
  <c r="U2918" i="1" s="1"/>
  <c r="U2919" i="1" s="1"/>
  <c r="U2920" i="1" s="1"/>
  <c r="U2921" i="1" s="1"/>
  <c r="U2922" i="1" s="1"/>
  <c r="U2923" i="1" s="1"/>
  <c r="U2924" i="1" s="1"/>
  <c r="U2925" i="1" s="1"/>
  <c r="U2926" i="1" s="1"/>
  <c r="U2927" i="1" s="1"/>
  <c r="U2928" i="1" s="1"/>
  <c r="U2929" i="1" s="1"/>
  <c r="U2930" i="1" s="1"/>
  <c r="U2931" i="1" s="1"/>
  <c r="U2932" i="1" s="1"/>
  <c r="U2933" i="1" s="1"/>
  <c r="U2934" i="1" s="1"/>
  <c r="U2935" i="1" s="1"/>
  <c r="U2936" i="1" s="1"/>
  <c r="U2937" i="1" s="1"/>
  <c r="U2938" i="1" s="1"/>
  <c r="U2939" i="1" s="1"/>
  <c r="U2940" i="1" s="1"/>
  <c r="U2941" i="1" s="1"/>
  <c r="U2942" i="1" s="1"/>
  <c r="U2943" i="1" s="1"/>
  <c r="U2944" i="1" s="1"/>
  <c r="U2945" i="1" s="1"/>
  <c r="U2946" i="1" s="1"/>
  <c r="U2947" i="1" s="1"/>
  <c r="U2948" i="1" s="1"/>
  <c r="U2950" i="1" s="1"/>
  <c r="U2951" i="1" s="1"/>
  <c r="U2952" i="1" s="1"/>
  <c r="U2953" i="1" s="1"/>
  <c r="U2954" i="1" s="1"/>
  <c r="U2955" i="1" s="1"/>
  <c r="U2956" i="1" s="1"/>
  <c r="U2957" i="1" s="1"/>
  <c r="U2958" i="1" s="1"/>
  <c r="U2959" i="1" s="1"/>
  <c r="U2960" i="1" s="1"/>
  <c r="U2961" i="1" s="1"/>
  <c r="U2962" i="1" s="1"/>
  <c r="U2963" i="1" s="1"/>
  <c r="U2964" i="1" s="1"/>
  <c r="U2965" i="1" s="1"/>
  <c r="U2966" i="1" s="1"/>
  <c r="U2967" i="1" s="1"/>
  <c r="U2968" i="1" s="1"/>
  <c r="U2969" i="1" s="1"/>
  <c r="U2970" i="1" s="1"/>
  <c r="U2971" i="1" s="1"/>
  <c r="U2972" i="1" s="1"/>
  <c r="U2973" i="1" s="1"/>
  <c r="U2974" i="1" s="1"/>
  <c r="U2975" i="1" s="1"/>
  <c r="U2976" i="1" s="1"/>
  <c r="U2977" i="1" s="1"/>
  <c r="U2978" i="1" s="1"/>
  <c r="U2979" i="1" s="1"/>
  <c r="U2980" i="1" s="1"/>
  <c r="U2981" i="1" s="1"/>
  <c r="U2982" i="1" s="1"/>
  <c r="U2983" i="1" s="1"/>
  <c r="U2984" i="1" s="1"/>
  <c r="U2985" i="1" s="1"/>
  <c r="U2986" i="1" s="1"/>
  <c r="U2987" i="1" s="1"/>
  <c r="U2988" i="1" s="1"/>
  <c r="U2989" i="1" s="1"/>
  <c r="U2990" i="1" s="1"/>
  <c r="U2991" i="1" s="1"/>
  <c r="U2992" i="1" s="1"/>
  <c r="U2994" i="1" s="1"/>
  <c r="U2995" i="1" s="1"/>
  <c r="U2996" i="1" s="1"/>
  <c r="U2997" i="1" s="1"/>
  <c r="U2998" i="1" s="1"/>
  <c r="U2999" i="1" s="1"/>
  <c r="U3000" i="1" s="1"/>
  <c r="U3001" i="1" s="1"/>
  <c r="U3002" i="1" s="1"/>
  <c r="U3003" i="1" s="1"/>
  <c r="U3004" i="1" s="1"/>
  <c r="U3005" i="1" s="1"/>
  <c r="U3006" i="1" s="1"/>
  <c r="U3007" i="1" s="1"/>
  <c r="U3008" i="1" s="1"/>
  <c r="U3009" i="1" s="1"/>
  <c r="U3010" i="1" s="1"/>
  <c r="U3011" i="1" s="1"/>
  <c r="U3012" i="1" s="1"/>
  <c r="U3013" i="1" s="1"/>
  <c r="U3014" i="1" s="1"/>
  <c r="U3015" i="1" s="1"/>
  <c r="U3016" i="1" s="1"/>
  <c r="U3017" i="1" s="1"/>
  <c r="U3018" i="1" s="1"/>
  <c r="U3019" i="1" s="1"/>
  <c r="U3020" i="1" s="1"/>
  <c r="U3021" i="1" s="1"/>
  <c r="U3022" i="1" s="1"/>
  <c r="U3023" i="1" s="1"/>
  <c r="U3024" i="1" s="1"/>
  <c r="U3025" i="1" s="1"/>
  <c r="U3026" i="1" s="1"/>
  <c r="U3027" i="1" s="1"/>
  <c r="U3028" i="1" s="1"/>
  <c r="U3029" i="1" s="1"/>
  <c r="U3030" i="1" s="1"/>
  <c r="U3031" i="1" s="1"/>
  <c r="U3032" i="1" s="1"/>
  <c r="U3033" i="1" s="1"/>
  <c r="U3034" i="1" s="1"/>
  <c r="U3035" i="1" s="1"/>
  <c r="U3036" i="1" s="1"/>
  <c r="U3038" i="1" s="1"/>
  <c r="U3039" i="1" s="1"/>
  <c r="U3040" i="1" s="1"/>
  <c r="U3041" i="1" s="1"/>
  <c r="U3042" i="1" s="1"/>
  <c r="U3043" i="1" s="1"/>
  <c r="U3044" i="1" s="1"/>
  <c r="U3045" i="1" s="1"/>
  <c r="U3046" i="1" s="1"/>
  <c r="U3047" i="1" s="1"/>
  <c r="U3048" i="1" s="1"/>
  <c r="U3049" i="1" s="1"/>
  <c r="U3050" i="1" s="1"/>
  <c r="U3051" i="1" s="1"/>
  <c r="U3052" i="1" s="1"/>
  <c r="U3053" i="1" s="1"/>
  <c r="U3054" i="1" s="1"/>
  <c r="U3055" i="1" s="1"/>
  <c r="U3056" i="1" s="1"/>
  <c r="U3057" i="1" s="1"/>
  <c r="U3058" i="1" s="1"/>
  <c r="U3059" i="1" s="1"/>
  <c r="U3060" i="1" s="1"/>
  <c r="U3061" i="1" s="1"/>
  <c r="U3062" i="1" s="1"/>
  <c r="U3063" i="1" s="1"/>
  <c r="U3064" i="1" s="1"/>
  <c r="U3065" i="1" s="1"/>
  <c r="U3066" i="1" s="1"/>
  <c r="U3067" i="1" s="1"/>
  <c r="U3068" i="1" s="1"/>
  <c r="U3069" i="1" s="1"/>
  <c r="U3070" i="1" s="1"/>
  <c r="U3071" i="1" s="1"/>
  <c r="U3072" i="1" s="1"/>
  <c r="U3073" i="1" s="1"/>
  <c r="U3074" i="1" s="1"/>
  <c r="U3075" i="1" s="1"/>
  <c r="U3076" i="1" s="1"/>
  <c r="U3077" i="1" s="1"/>
  <c r="U3078" i="1" s="1"/>
  <c r="U3079" i="1" s="1"/>
  <c r="U3080" i="1" s="1"/>
  <c r="U3082" i="1" s="1"/>
  <c r="U3083" i="1" s="1"/>
  <c r="U3084" i="1" s="1"/>
  <c r="U3085" i="1" s="1"/>
  <c r="U3086" i="1" s="1"/>
  <c r="U3087" i="1" s="1"/>
  <c r="U3088" i="1" s="1"/>
  <c r="U3089" i="1" s="1"/>
  <c r="U3090" i="1" s="1"/>
  <c r="U3091" i="1" s="1"/>
  <c r="U3092" i="1" s="1"/>
  <c r="U3093" i="1" s="1"/>
  <c r="U3094" i="1" s="1"/>
  <c r="U3095" i="1" s="1"/>
  <c r="U3096" i="1" s="1"/>
  <c r="U3097" i="1" s="1"/>
  <c r="U3098" i="1" s="1"/>
  <c r="U3099" i="1" s="1"/>
  <c r="U3100" i="1" s="1"/>
  <c r="U3101" i="1" s="1"/>
  <c r="U3102" i="1" s="1"/>
  <c r="U3103" i="1" s="1"/>
  <c r="U3104" i="1" s="1"/>
  <c r="U3105" i="1" s="1"/>
  <c r="U3106" i="1" s="1"/>
  <c r="U3107" i="1" s="1"/>
  <c r="U3108" i="1" s="1"/>
  <c r="U3109" i="1" s="1"/>
  <c r="U3110" i="1" s="1"/>
  <c r="U3111" i="1" s="1"/>
  <c r="U3112" i="1" s="1"/>
  <c r="U3113" i="1" s="1"/>
  <c r="U3114" i="1" s="1"/>
  <c r="U3115" i="1" s="1"/>
  <c r="U3116" i="1" s="1"/>
  <c r="U3117" i="1" s="1"/>
  <c r="U3118" i="1" s="1"/>
  <c r="U3119" i="1" s="1"/>
  <c r="U3120" i="1" s="1"/>
  <c r="U3121" i="1" s="1"/>
  <c r="U3122" i="1" s="1"/>
  <c r="U3123" i="1" s="1"/>
  <c r="U3124" i="1" s="1"/>
  <c r="U3126" i="1" s="1"/>
  <c r="U3127" i="1" s="1"/>
  <c r="U3128" i="1" s="1"/>
  <c r="U3129" i="1" s="1"/>
  <c r="U3130" i="1" s="1"/>
  <c r="U3131" i="1" s="1"/>
  <c r="U3132" i="1" s="1"/>
  <c r="U3133" i="1" s="1"/>
  <c r="U3134" i="1" s="1"/>
  <c r="U3135" i="1" s="1"/>
  <c r="U3136" i="1" s="1"/>
  <c r="U3137" i="1" s="1"/>
  <c r="U3138" i="1" s="1"/>
  <c r="U3139" i="1" s="1"/>
  <c r="U3140" i="1" s="1"/>
  <c r="U3141" i="1" s="1"/>
  <c r="U3142" i="1" s="1"/>
  <c r="U3143" i="1" s="1"/>
  <c r="U3144" i="1" s="1"/>
  <c r="U3145" i="1" s="1"/>
  <c r="U3146" i="1" s="1"/>
  <c r="U3147" i="1" s="1"/>
  <c r="U3148" i="1" s="1"/>
  <c r="U3149" i="1" s="1"/>
  <c r="U3150" i="1" s="1"/>
  <c r="U3151" i="1" s="1"/>
  <c r="U3152" i="1" s="1"/>
  <c r="U3153" i="1" s="1"/>
  <c r="U3154" i="1" s="1"/>
  <c r="U3155" i="1" s="1"/>
  <c r="U3156" i="1" s="1"/>
  <c r="U3157" i="1" s="1"/>
  <c r="U3158" i="1" s="1"/>
  <c r="U3159" i="1" s="1"/>
  <c r="U3160" i="1" s="1"/>
  <c r="U3161" i="1" s="1"/>
  <c r="U3162" i="1" s="1"/>
  <c r="U3163" i="1" s="1"/>
  <c r="U3164" i="1" s="1"/>
  <c r="U3165" i="1" s="1"/>
  <c r="U3166" i="1" s="1"/>
  <c r="U3167" i="1" s="1"/>
  <c r="U3168" i="1" s="1"/>
  <c r="U3170" i="1" s="1"/>
  <c r="U3171" i="1" s="1"/>
  <c r="U3172" i="1" s="1"/>
  <c r="U3173" i="1" s="1"/>
  <c r="U3174" i="1" s="1"/>
  <c r="U3175" i="1" s="1"/>
  <c r="U3176" i="1" s="1"/>
  <c r="U3177" i="1" s="1"/>
  <c r="U3178" i="1" s="1"/>
  <c r="U3179" i="1" s="1"/>
  <c r="U3180" i="1" s="1"/>
  <c r="U3181" i="1" s="1"/>
  <c r="U3182" i="1" s="1"/>
  <c r="U3183" i="1" s="1"/>
  <c r="U3184" i="1" s="1"/>
  <c r="U3185" i="1" s="1"/>
  <c r="U3186" i="1" s="1"/>
  <c r="U3187" i="1" s="1"/>
  <c r="U3188" i="1" s="1"/>
  <c r="U3189" i="1" s="1"/>
  <c r="U3190" i="1" s="1"/>
  <c r="U3191" i="1" s="1"/>
  <c r="U3192" i="1" s="1"/>
  <c r="U3193" i="1" s="1"/>
  <c r="U3194" i="1" s="1"/>
  <c r="U3195" i="1" s="1"/>
  <c r="U3196" i="1" s="1"/>
  <c r="U3197" i="1" s="1"/>
  <c r="U3198" i="1" s="1"/>
  <c r="U3199" i="1" s="1"/>
  <c r="U3200" i="1" s="1"/>
  <c r="U3201" i="1" s="1"/>
  <c r="U3202" i="1" s="1"/>
  <c r="U3203" i="1" s="1"/>
  <c r="U3204" i="1" s="1"/>
  <c r="U3205" i="1" s="1"/>
  <c r="U3206" i="1" s="1"/>
  <c r="U3207" i="1" s="1"/>
  <c r="U3208" i="1" s="1"/>
  <c r="U3209" i="1" s="1"/>
  <c r="U3210" i="1" s="1"/>
  <c r="U3211" i="1" s="1"/>
  <c r="U3212" i="1" s="1"/>
  <c r="U3214" i="1" s="1"/>
  <c r="U3215" i="1" s="1"/>
  <c r="U3216" i="1" s="1"/>
  <c r="U3217" i="1" s="1"/>
  <c r="U3218" i="1" s="1"/>
  <c r="U3219" i="1" s="1"/>
  <c r="U3220" i="1" s="1"/>
  <c r="U3221" i="1" s="1"/>
  <c r="U3222" i="1" s="1"/>
  <c r="U3223" i="1" s="1"/>
  <c r="U3224" i="1" s="1"/>
  <c r="U3225" i="1" s="1"/>
  <c r="U3226" i="1" s="1"/>
  <c r="U3227" i="1" s="1"/>
  <c r="U3228" i="1" s="1"/>
  <c r="U3229" i="1" s="1"/>
  <c r="U3230" i="1" s="1"/>
  <c r="U3231" i="1" s="1"/>
  <c r="U3232" i="1" s="1"/>
  <c r="U3233" i="1" s="1"/>
  <c r="U3234" i="1" s="1"/>
  <c r="U3235" i="1" s="1"/>
  <c r="U3236" i="1" s="1"/>
  <c r="U3237" i="1" s="1"/>
  <c r="U3238" i="1" s="1"/>
  <c r="U3239" i="1" s="1"/>
  <c r="U3240" i="1" s="1"/>
  <c r="U3241" i="1" s="1"/>
  <c r="U3242" i="1" s="1"/>
  <c r="U3243" i="1" s="1"/>
  <c r="U3244" i="1" s="1"/>
  <c r="U3245" i="1" s="1"/>
  <c r="U3246" i="1" s="1"/>
  <c r="U3247" i="1" s="1"/>
  <c r="U3248" i="1" s="1"/>
  <c r="U3249" i="1" s="1"/>
  <c r="U3250" i="1" s="1"/>
  <c r="U3251" i="1" s="1"/>
  <c r="U3252" i="1" s="1"/>
  <c r="U3253" i="1" s="1"/>
  <c r="U3254" i="1" s="1"/>
  <c r="U3255" i="1" s="1"/>
  <c r="U3256" i="1" s="1"/>
  <c r="U3258" i="1" s="1"/>
  <c r="U3259" i="1" s="1"/>
  <c r="U3260" i="1" s="1"/>
  <c r="U3261" i="1" s="1"/>
  <c r="U3262" i="1" s="1"/>
  <c r="U3263" i="1" s="1"/>
  <c r="U3264" i="1" s="1"/>
  <c r="U3265" i="1" s="1"/>
  <c r="U3266" i="1" s="1"/>
  <c r="U3267" i="1" s="1"/>
  <c r="U3268" i="1" s="1"/>
  <c r="U3269" i="1" s="1"/>
  <c r="U3270" i="1" s="1"/>
  <c r="U3271" i="1" s="1"/>
  <c r="U3272" i="1" s="1"/>
  <c r="U3273" i="1" s="1"/>
  <c r="U3274" i="1" s="1"/>
  <c r="U3275" i="1" s="1"/>
  <c r="U3276" i="1" s="1"/>
  <c r="U3277" i="1" s="1"/>
  <c r="U3278" i="1" s="1"/>
  <c r="U3279" i="1" s="1"/>
  <c r="U3280" i="1" s="1"/>
  <c r="U3281" i="1" s="1"/>
  <c r="U3282" i="1" s="1"/>
  <c r="U3283" i="1" s="1"/>
  <c r="U3284" i="1" s="1"/>
  <c r="U3285" i="1" s="1"/>
  <c r="U3286" i="1" s="1"/>
  <c r="U3287" i="1" s="1"/>
  <c r="U3288" i="1" s="1"/>
  <c r="U3289" i="1" s="1"/>
  <c r="U3290" i="1" s="1"/>
  <c r="U3291" i="1" s="1"/>
  <c r="U3292" i="1" s="1"/>
  <c r="U3293" i="1" s="1"/>
  <c r="U3294" i="1" s="1"/>
  <c r="U3295" i="1" s="1"/>
  <c r="U3296" i="1" s="1"/>
  <c r="U3297" i="1" s="1"/>
  <c r="U3298" i="1" s="1"/>
  <c r="U3299" i="1" s="1"/>
  <c r="U3300" i="1" s="1"/>
  <c r="U3302" i="1" s="1"/>
  <c r="U3303" i="1" s="1"/>
  <c r="U3304" i="1" s="1"/>
  <c r="U3305" i="1" s="1"/>
  <c r="U3306" i="1" s="1"/>
  <c r="U3307" i="1" s="1"/>
  <c r="U3308" i="1" s="1"/>
  <c r="U3309" i="1" s="1"/>
  <c r="U3310" i="1" s="1"/>
  <c r="U3311" i="1" s="1"/>
  <c r="U3312" i="1" s="1"/>
  <c r="U3313" i="1" s="1"/>
  <c r="U3314" i="1" s="1"/>
  <c r="U3315" i="1" s="1"/>
  <c r="U3316" i="1" s="1"/>
  <c r="U3317" i="1" s="1"/>
  <c r="U3318" i="1" s="1"/>
  <c r="U3319" i="1" s="1"/>
  <c r="U3320" i="1" s="1"/>
  <c r="U3321" i="1" s="1"/>
  <c r="U3322" i="1" s="1"/>
  <c r="U3323" i="1" s="1"/>
  <c r="U3324" i="1" s="1"/>
  <c r="U3325" i="1" s="1"/>
  <c r="U3326" i="1" s="1"/>
  <c r="U3327" i="1" s="1"/>
  <c r="U3328" i="1" s="1"/>
  <c r="U3329" i="1" s="1"/>
  <c r="U3330" i="1" s="1"/>
  <c r="U3331" i="1" s="1"/>
  <c r="U3332" i="1" s="1"/>
  <c r="U3333" i="1" s="1"/>
  <c r="U3334" i="1" s="1"/>
  <c r="U3335" i="1" s="1"/>
  <c r="U3336" i="1" s="1"/>
  <c r="U3337" i="1" s="1"/>
  <c r="U3338" i="1" s="1"/>
  <c r="U3339" i="1" s="1"/>
  <c r="U3340" i="1" s="1"/>
  <c r="U3341" i="1" s="1"/>
  <c r="U3342" i="1" s="1"/>
  <c r="U3343" i="1" s="1"/>
  <c r="U3344" i="1" s="1"/>
  <c r="U3346" i="1" s="1"/>
  <c r="U3347" i="1" s="1"/>
  <c r="U3348" i="1" s="1"/>
  <c r="U3349" i="1" s="1"/>
  <c r="U3350" i="1" s="1"/>
  <c r="U3351" i="1" s="1"/>
  <c r="U3352" i="1" s="1"/>
  <c r="U3353" i="1" s="1"/>
  <c r="U3354" i="1" s="1"/>
  <c r="U3355" i="1" s="1"/>
  <c r="U3356" i="1" s="1"/>
  <c r="U3357" i="1" s="1"/>
  <c r="U3358" i="1" s="1"/>
  <c r="U3359" i="1" s="1"/>
  <c r="U3360" i="1" s="1"/>
  <c r="U3361" i="1" s="1"/>
  <c r="U3362" i="1" s="1"/>
  <c r="U3363" i="1" s="1"/>
  <c r="U3364" i="1" s="1"/>
  <c r="U3365" i="1" s="1"/>
  <c r="U3366" i="1" s="1"/>
  <c r="U3367" i="1" s="1"/>
  <c r="U3368" i="1" s="1"/>
  <c r="U3369" i="1" s="1"/>
  <c r="U3370" i="1" s="1"/>
  <c r="U3371" i="1" s="1"/>
  <c r="U3372" i="1" s="1"/>
  <c r="U3373" i="1" s="1"/>
  <c r="U3374" i="1" s="1"/>
  <c r="U3375" i="1" s="1"/>
  <c r="U3376" i="1" s="1"/>
  <c r="U3377" i="1" s="1"/>
  <c r="U3378" i="1" s="1"/>
  <c r="U3379" i="1" s="1"/>
  <c r="U3380" i="1" s="1"/>
  <c r="U3381" i="1" s="1"/>
  <c r="U3382" i="1" s="1"/>
  <c r="U3383" i="1" s="1"/>
  <c r="U3384" i="1" s="1"/>
  <c r="U3385" i="1" s="1"/>
  <c r="U3386" i="1" s="1"/>
  <c r="U3387" i="1" s="1"/>
  <c r="U3388" i="1" s="1"/>
  <c r="U3390" i="1" s="1"/>
  <c r="U3391" i="1" s="1"/>
  <c r="U3392" i="1" s="1"/>
  <c r="U3393" i="1" s="1"/>
  <c r="U3394" i="1" s="1"/>
  <c r="U3395" i="1" s="1"/>
  <c r="U3396" i="1" s="1"/>
  <c r="U3397" i="1" s="1"/>
  <c r="U3398" i="1" s="1"/>
  <c r="U3399" i="1" s="1"/>
  <c r="U3400" i="1" s="1"/>
  <c r="U3401" i="1" s="1"/>
  <c r="U3402" i="1" s="1"/>
  <c r="U3403" i="1" s="1"/>
  <c r="U3404" i="1" s="1"/>
  <c r="U3405" i="1" s="1"/>
  <c r="U3406" i="1" s="1"/>
  <c r="U3407" i="1" s="1"/>
  <c r="U3408" i="1" s="1"/>
  <c r="U3409" i="1" s="1"/>
  <c r="U3410" i="1" s="1"/>
  <c r="U3411" i="1" s="1"/>
  <c r="U3412" i="1" s="1"/>
  <c r="U3413" i="1" s="1"/>
  <c r="U3414" i="1" s="1"/>
  <c r="U3415" i="1" s="1"/>
  <c r="U3416" i="1" s="1"/>
  <c r="U3417" i="1" s="1"/>
  <c r="U3418" i="1" s="1"/>
  <c r="U3419" i="1" s="1"/>
  <c r="U3420" i="1" s="1"/>
  <c r="U3421" i="1" s="1"/>
  <c r="U3422" i="1" s="1"/>
  <c r="U3423" i="1" s="1"/>
  <c r="U3424" i="1" s="1"/>
  <c r="U3425" i="1" s="1"/>
  <c r="U3426" i="1" s="1"/>
  <c r="U3427" i="1" s="1"/>
  <c r="U3428" i="1" s="1"/>
  <c r="U3429" i="1" s="1"/>
  <c r="U3430" i="1" s="1"/>
  <c r="U3431" i="1" s="1"/>
  <c r="U3432" i="1" s="1"/>
  <c r="U3434" i="1" s="1"/>
  <c r="U3435" i="1" s="1"/>
  <c r="U3436" i="1" s="1"/>
  <c r="U3437" i="1" s="1"/>
  <c r="U3438" i="1" s="1"/>
  <c r="U3439" i="1" s="1"/>
  <c r="U3440" i="1" s="1"/>
  <c r="U3441" i="1" s="1"/>
  <c r="U3442" i="1" s="1"/>
  <c r="U3443" i="1" s="1"/>
  <c r="U3444" i="1" s="1"/>
  <c r="U3445" i="1" s="1"/>
  <c r="U3446" i="1" s="1"/>
  <c r="U3447" i="1" s="1"/>
  <c r="U3448" i="1" s="1"/>
  <c r="U3449" i="1" s="1"/>
  <c r="U3450" i="1" s="1"/>
  <c r="U3451" i="1" s="1"/>
  <c r="U3452" i="1" s="1"/>
  <c r="U3453" i="1" s="1"/>
  <c r="U3454" i="1" s="1"/>
  <c r="U3455" i="1" s="1"/>
  <c r="U3456" i="1" s="1"/>
  <c r="U3457" i="1" s="1"/>
  <c r="U3458" i="1" s="1"/>
  <c r="U3459" i="1" s="1"/>
  <c r="U3460" i="1" s="1"/>
  <c r="U3461" i="1" s="1"/>
  <c r="U3462" i="1" s="1"/>
  <c r="U3463" i="1" s="1"/>
  <c r="U3464" i="1" s="1"/>
  <c r="U3465" i="1" s="1"/>
  <c r="U3466" i="1" s="1"/>
  <c r="U3467" i="1" s="1"/>
  <c r="U3468" i="1" s="1"/>
  <c r="U3469" i="1" s="1"/>
  <c r="U3470" i="1" s="1"/>
  <c r="U3471" i="1" s="1"/>
  <c r="U3472" i="1" s="1"/>
  <c r="U3473" i="1" s="1"/>
  <c r="U3474" i="1" s="1"/>
  <c r="U3475" i="1" s="1"/>
  <c r="U3476" i="1" s="1"/>
  <c r="U3478" i="1" s="1"/>
  <c r="A2774" i="1"/>
  <c r="A1630" i="1"/>
  <c r="A1631" i="1"/>
  <c r="A2775" i="1"/>
  <c r="A91" i="1"/>
  <c r="U3479" i="1" l="1"/>
  <c r="A3478" i="1"/>
  <c r="A1632" i="1"/>
  <c r="A2776" i="1"/>
  <c r="A92" i="1"/>
  <c r="U3480" i="1" l="1"/>
  <c r="A3479" i="1"/>
  <c r="A1633" i="1"/>
  <c r="A2777" i="1"/>
  <c r="A93" i="1"/>
  <c r="U3481" i="1" l="1"/>
  <c r="A3480" i="1"/>
  <c r="A1634" i="1"/>
  <c r="A2778" i="1"/>
  <c r="A94" i="1"/>
  <c r="U3482" i="1" l="1"/>
  <c r="A3481" i="1"/>
  <c r="A1635" i="1"/>
  <c r="A2779" i="1"/>
  <c r="A95" i="1"/>
  <c r="U3483" i="1" l="1"/>
  <c r="A3482" i="1"/>
  <c r="A1636" i="1"/>
  <c r="A2780" i="1"/>
  <c r="A96" i="1"/>
  <c r="U3484" i="1" l="1"/>
  <c r="A3483" i="1"/>
  <c r="A1637" i="1"/>
  <c r="A2781" i="1"/>
  <c r="A97" i="1"/>
  <c r="U3485" i="1" l="1"/>
  <c r="A3484" i="1"/>
  <c r="A1638" i="1"/>
  <c r="A2782" i="1"/>
  <c r="A98" i="1"/>
  <c r="U3486" i="1" l="1"/>
  <c r="A3485" i="1"/>
  <c r="A1639" i="1"/>
  <c r="A2783" i="1"/>
  <c r="A99" i="1"/>
  <c r="U3487" i="1" l="1"/>
  <c r="A3486" i="1"/>
  <c r="A1640" i="1"/>
  <c r="A2784" i="1"/>
  <c r="A100" i="1"/>
  <c r="U3488" i="1" l="1"/>
  <c r="A3487" i="1"/>
  <c r="A1641" i="1"/>
  <c r="A2785" i="1"/>
  <c r="A101" i="1"/>
  <c r="U3489" i="1" l="1"/>
  <c r="A3488" i="1"/>
  <c r="A1642" i="1"/>
  <c r="A2786" i="1"/>
  <c r="A102" i="1"/>
  <c r="U3490" i="1" l="1"/>
  <c r="A3489" i="1"/>
  <c r="A1643" i="1"/>
  <c r="A2787" i="1"/>
  <c r="A103" i="1"/>
  <c r="U3491" i="1" l="1"/>
  <c r="A3490" i="1"/>
  <c r="A1644" i="1"/>
  <c r="A2788" i="1"/>
  <c r="A104" i="1"/>
  <c r="U3492" i="1" l="1"/>
  <c r="A3491" i="1"/>
  <c r="A1645" i="1"/>
  <c r="A2789" i="1"/>
  <c r="A105" i="1"/>
  <c r="U3493" i="1" l="1"/>
  <c r="A3492" i="1"/>
  <c r="A1646" i="1"/>
  <c r="A2790" i="1"/>
  <c r="A106" i="1"/>
  <c r="U3494" i="1" l="1"/>
  <c r="A3493" i="1"/>
  <c r="A1647" i="1"/>
  <c r="A2791" i="1"/>
  <c r="A107" i="1"/>
  <c r="U3495" i="1" l="1"/>
  <c r="A3494" i="1"/>
  <c r="A1648" i="1"/>
  <c r="A2792" i="1"/>
  <c r="A108" i="1"/>
  <c r="U3496" i="1" l="1"/>
  <c r="A3495" i="1"/>
  <c r="A1649" i="1"/>
  <c r="A2793" i="1"/>
  <c r="A109" i="1"/>
  <c r="U3497" i="1" l="1"/>
  <c r="A3496" i="1"/>
  <c r="A1650" i="1"/>
  <c r="A2794" i="1"/>
  <c r="A110" i="1"/>
  <c r="U3498" i="1" l="1"/>
  <c r="A3497" i="1"/>
  <c r="A1651" i="1"/>
  <c r="A2795" i="1"/>
  <c r="A111" i="1"/>
  <c r="U3499" i="1" l="1"/>
  <c r="A3498" i="1"/>
  <c r="A1652" i="1"/>
  <c r="A2796" i="1"/>
  <c r="A112" i="1"/>
  <c r="U3500" i="1" l="1"/>
  <c r="A3499" i="1"/>
  <c r="A1653" i="1"/>
  <c r="A2797" i="1"/>
  <c r="A113" i="1"/>
  <c r="U3501" i="1" l="1"/>
  <c r="A3500" i="1"/>
  <c r="A1654" i="1"/>
  <c r="A2798" i="1"/>
  <c r="A114" i="1"/>
  <c r="U3502" i="1" l="1"/>
  <c r="A3501" i="1"/>
  <c r="A1655" i="1"/>
  <c r="A2799" i="1"/>
  <c r="A115" i="1"/>
  <c r="U3503" i="1" l="1"/>
  <c r="A3502" i="1"/>
  <c r="A1656" i="1"/>
  <c r="A2800" i="1"/>
  <c r="A116" i="1"/>
  <c r="U3504" i="1" l="1"/>
  <c r="A3503" i="1"/>
  <c r="A1657" i="1"/>
  <c r="A2801" i="1"/>
  <c r="A117" i="1"/>
  <c r="U3505" i="1" l="1"/>
  <c r="A3504" i="1"/>
  <c r="A1658" i="1"/>
  <c r="A2802" i="1"/>
  <c r="A118" i="1"/>
  <c r="U3506" i="1" l="1"/>
  <c r="A3505" i="1"/>
  <c r="A1659" i="1"/>
  <c r="A2803" i="1"/>
  <c r="A119" i="1"/>
  <c r="U3507" i="1" l="1"/>
  <c r="A3506" i="1"/>
  <c r="A1660" i="1"/>
  <c r="A2804" i="1"/>
  <c r="A120" i="1"/>
  <c r="U3508" i="1" l="1"/>
  <c r="A3507" i="1"/>
  <c r="A1661" i="1"/>
  <c r="A2805" i="1"/>
  <c r="A121" i="1"/>
  <c r="U3509" i="1" l="1"/>
  <c r="A3508" i="1"/>
  <c r="A1662" i="1"/>
  <c r="A2806" i="1"/>
  <c r="A122" i="1"/>
  <c r="U3510" i="1" l="1"/>
  <c r="A3509" i="1"/>
  <c r="A1663" i="1"/>
  <c r="A2807" i="1"/>
  <c r="A123" i="1"/>
  <c r="U3511" i="1" l="1"/>
  <c r="A3510" i="1"/>
  <c r="A1664" i="1"/>
  <c r="A2808" i="1"/>
  <c r="A124" i="1"/>
  <c r="U3512" i="1" l="1"/>
  <c r="A3511" i="1"/>
  <c r="A1665" i="1"/>
  <c r="A2809" i="1"/>
  <c r="A125" i="1"/>
  <c r="U3513" i="1" l="1"/>
  <c r="A3512" i="1"/>
  <c r="A1666" i="1"/>
  <c r="A2810" i="1"/>
  <c r="A126" i="1"/>
  <c r="U3514" i="1" l="1"/>
  <c r="A3513" i="1"/>
  <c r="A1667" i="1"/>
  <c r="A2811" i="1"/>
  <c r="A127" i="1"/>
  <c r="U3515" i="1" l="1"/>
  <c r="A3514" i="1"/>
  <c r="A1668" i="1"/>
  <c r="A2812" i="1"/>
  <c r="A128" i="1"/>
  <c r="U3516" i="1" l="1"/>
  <c r="A3515" i="1"/>
  <c r="A1669" i="1"/>
  <c r="A2813" i="1"/>
  <c r="A129" i="1"/>
  <c r="U3517" i="1" l="1"/>
  <c r="A3516" i="1"/>
  <c r="A1670" i="1"/>
  <c r="A2814" i="1"/>
  <c r="A130" i="1"/>
  <c r="U3518" i="1" l="1"/>
  <c r="A3517" i="1"/>
  <c r="A1671" i="1"/>
  <c r="A2815" i="1"/>
  <c r="A131" i="1"/>
  <c r="U3519" i="1" l="1"/>
  <c r="A3518" i="1"/>
  <c r="A1672" i="1"/>
  <c r="A2816" i="1"/>
  <c r="A132" i="1"/>
  <c r="U3520" i="1" l="1"/>
  <c r="A3519" i="1"/>
  <c r="A1674" i="1"/>
  <c r="A2818" i="1"/>
  <c r="A134" i="1"/>
  <c r="U3522" i="1" l="1"/>
  <c r="A3520" i="1"/>
  <c r="A1675" i="1"/>
  <c r="A2819" i="1"/>
  <c r="A135" i="1"/>
  <c r="U3523" i="1" l="1"/>
  <c r="A3522" i="1"/>
  <c r="A1676" i="1"/>
  <c r="A2820" i="1"/>
  <c r="A136" i="1"/>
  <c r="U3524" i="1" l="1"/>
  <c r="A3523" i="1"/>
  <c r="A1677" i="1"/>
  <c r="A2821" i="1"/>
  <c r="A137" i="1"/>
  <c r="U3525" i="1" l="1"/>
  <c r="A3524" i="1"/>
  <c r="A1678" i="1"/>
  <c r="A2822" i="1"/>
  <c r="A138" i="1"/>
  <c r="U3526" i="1" l="1"/>
  <c r="A3525" i="1"/>
  <c r="A1679" i="1"/>
  <c r="A2823" i="1"/>
  <c r="A139" i="1"/>
  <c r="U3527" i="1" l="1"/>
  <c r="A3526" i="1"/>
  <c r="A1680" i="1"/>
  <c r="A2824" i="1"/>
  <c r="A140" i="1"/>
  <c r="U3528" i="1" l="1"/>
  <c r="A3527" i="1"/>
  <c r="A1681" i="1"/>
  <c r="A2825" i="1"/>
  <c r="A141" i="1"/>
  <c r="U3529" i="1" l="1"/>
  <c r="A3528" i="1"/>
  <c r="A1682" i="1"/>
  <c r="A2826" i="1"/>
  <c r="A142" i="1"/>
  <c r="U3530" i="1" l="1"/>
  <c r="A3529" i="1"/>
  <c r="A1683" i="1"/>
  <c r="A2827" i="1"/>
  <c r="A143" i="1"/>
  <c r="U3531" i="1" l="1"/>
  <c r="A3530" i="1"/>
  <c r="A1684" i="1"/>
  <c r="A2828" i="1"/>
  <c r="A144" i="1"/>
  <c r="U3532" i="1" l="1"/>
  <c r="A3531" i="1"/>
  <c r="A1685" i="1"/>
  <c r="A2829" i="1"/>
  <c r="A145" i="1"/>
  <c r="U3533" i="1" l="1"/>
  <c r="A3532" i="1"/>
  <c r="A1686" i="1"/>
  <c r="A2830" i="1"/>
  <c r="A146" i="1"/>
  <c r="U3534" i="1" l="1"/>
  <c r="A3533" i="1"/>
  <c r="A1687" i="1"/>
  <c r="A2831" i="1"/>
  <c r="A147" i="1"/>
  <c r="U3535" i="1" l="1"/>
  <c r="A3534" i="1"/>
  <c r="A1688" i="1"/>
  <c r="A2832" i="1"/>
  <c r="A148" i="1"/>
  <c r="U3536" i="1" l="1"/>
  <c r="A3535" i="1"/>
  <c r="A1689" i="1"/>
  <c r="A2833" i="1"/>
  <c r="A149" i="1"/>
  <c r="U3537" i="1" l="1"/>
  <c r="A3536" i="1"/>
  <c r="A1690" i="1"/>
  <c r="A2834" i="1"/>
  <c r="A150" i="1"/>
  <c r="U3538" i="1" l="1"/>
  <c r="A3537" i="1"/>
  <c r="A1691" i="1"/>
  <c r="A2835" i="1"/>
  <c r="A151" i="1"/>
  <c r="U3539" i="1" l="1"/>
  <c r="A3538" i="1"/>
  <c r="A1692" i="1"/>
  <c r="A2836" i="1"/>
  <c r="A152" i="1"/>
  <c r="U3540" i="1" l="1"/>
  <c r="A3539" i="1"/>
  <c r="A1693" i="1"/>
  <c r="A2837" i="1"/>
  <c r="A153" i="1"/>
  <c r="U3541" i="1" l="1"/>
  <c r="A3540" i="1"/>
  <c r="A1694" i="1"/>
  <c r="A2838" i="1"/>
  <c r="A154" i="1"/>
  <c r="U3542" i="1" l="1"/>
  <c r="A3541" i="1"/>
  <c r="A1695" i="1"/>
  <c r="A2839" i="1"/>
  <c r="A155" i="1"/>
  <c r="U3543" i="1" l="1"/>
  <c r="A3542" i="1"/>
  <c r="A1696" i="1"/>
  <c r="A2840" i="1"/>
  <c r="A156" i="1"/>
  <c r="U3544" i="1" l="1"/>
  <c r="A3543" i="1"/>
  <c r="A1697" i="1"/>
  <c r="A2841" i="1"/>
  <c r="A157" i="1"/>
  <c r="U3545" i="1" l="1"/>
  <c r="A3544" i="1"/>
  <c r="A1698" i="1"/>
  <c r="A2842" i="1"/>
  <c r="A158" i="1"/>
  <c r="U3546" i="1" l="1"/>
  <c r="A3545" i="1"/>
  <c r="A1699" i="1"/>
  <c r="A2843" i="1"/>
  <c r="A159" i="1"/>
  <c r="U3547" i="1" l="1"/>
  <c r="A3546" i="1"/>
  <c r="A1700" i="1"/>
  <c r="A2844" i="1"/>
  <c r="A160" i="1"/>
  <c r="U3548" i="1" l="1"/>
  <c r="A3547" i="1"/>
  <c r="A1701" i="1"/>
  <c r="A2845" i="1"/>
  <c r="A161" i="1"/>
  <c r="U3549" i="1" l="1"/>
  <c r="A3548" i="1"/>
  <c r="A1702" i="1"/>
  <c r="A2846" i="1"/>
  <c r="A162" i="1"/>
  <c r="U3550" i="1" l="1"/>
  <c r="A3549" i="1"/>
  <c r="A1703" i="1"/>
  <c r="A2847" i="1"/>
  <c r="A163" i="1"/>
  <c r="U3551" i="1" l="1"/>
  <c r="A3550" i="1"/>
  <c r="A1704" i="1"/>
  <c r="A2848" i="1"/>
  <c r="A164" i="1"/>
  <c r="U3552" i="1" l="1"/>
  <c r="A3551" i="1"/>
  <c r="A1705" i="1"/>
  <c r="A2849" i="1"/>
  <c r="A165" i="1"/>
  <c r="U3553" i="1" l="1"/>
  <c r="A3552" i="1"/>
  <c r="A1706" i="1"/>
  <c r="A2850" i="1"/>
  <c r="A166" i="1"/>
  <c r="U3554" i="1" l="1"/>
  <c r="A3553" i="1"/>
  <c r="A1707" i="1"/>
  <c r="A2851" i="1"/>
  <c r="A167" i="1"/>
  <c r="U3555" i="1" l="1"/>
  <c r="A3554" i="1"/>
  <c r="A1708" i="1"/>
  <c r="A2852" i="1"/>
  <c r="A168" i="1"/>
  <c r="U3556" i="1" l="1"/>
  <c r="A3555" i="1"/>
  <c r="A1709" i="1"/>
  <c r="A2853" i="1"/>
  <c r="A169" i="1"/>
  <c r="U3557" i="1" l="1"/>
  <c r="A3556" i="1"/>
  <c r="A1710" i="1"/>
  <c r="A2854" i="1"/>
  <c r="A170" i="1"/>
  <c r="U3558" i="1" l="1"/>
  <c r="A3557" i="1"/>
  <c r="A1711" i="1"/>
  <c r="A2855" i="1"/>
  <c r="A171" i="1"/>
  <c r="U3559" i="1" l="1"/>
  <c r="A3558" i="1"/>
  <c r="A1712" i="1"/>
  <c r="A2856" i="1"/>
  <c r="A172" i="1"/>
  <c r="U3560" i="1" l="1"/>
  <c r="A3559" i="1"/>
  <c r="A1713" i="1"/>
  <c r="A2857" i="1"/>
  <c r="A173" i="1"/>
  <c r="U3561" i="1" l="1"/>
  <c r="A3560" i="1"/>
  <c r="A1714" i="1"/>
  <c r="A2858" i="1"/>
  <c r="A174" i="1"/>
  <c r="U3562" i="1" l="1"/>
  <c r="A3561" i="1"/>
  <c r="A1715" i="1"/>
  <c r="A2859" i="1"/>
  <c r="A175" i="1"/>
  <c r="U3563" i="1" l="1"/>
  <c r="A3562" i="1"/>
  <c r="A1716" i="1"/>
  <c r="A2860" i="1"/>
  <c r="A176" i="1"/>
  <c r="U3564" i="1" l="1"/>
  <c r="A3563" i="1"/>
  <c r="A1718" i="1"/>
  <c r="A2862" i="1"/>
  <c r="A178" i="1"/>
  <c r="U3566" i="1" l="1"/>
  <c r="A3564" i="1"/>
  <c r="A1719" i="1"/>
  <c r="A2863" i="1"/>
  <c r="A179" i="1"/>
  <c r="U3567" i="1" l="1"/>
  <c r="A3566" i="1"/>
  <c r="A1720" i="1"/>
  <c r="A2864" i="1"/>
  <c r="A180" i="1"/>
  <c r="U3568" i="1" l="1"/>
  <c r="A3567" i="1"/>
  <c r="A1721" i="1"/>
  <c r="A2865" i="1"/>
  <c r="A181" i="1"/>
  <c r="U3569" i="1" l="1"/>
  <c r="A3568" i="1"/>
  <c r="A1722" i="1"/>
  <c r="A2866" i="1"/>
  <c r="A182" i="1"/>
  <c r="U3570" i="1" l="1"/>
  <c r="A3569" i="1"/>
  <c r="A1723" i="1"/>
  <c r="A2867" i="1"/>
  <c r="A183" i="1"/>
  <c r="U3571" i="1" l="1"/>
  <c r="A3570" i="1"/>
  <c r="A1724" i="1"/>
  <c r="A2868" i="1"/>
  <c r="A184" i="1"/>
  <c r="U3572" i="1" l="1"/>
  <c r="A3571" i="1"/>
  <c r="A1725" i="1"/>
  <c r="A2869" i="1"/>
  <c r="A185" i="1"/>
  <c r="U3573" i="1" l="1"/>
  <c r="A3572" i="1"/>
  <c r="A1726" i="1"/>
  <c r="A2870" i="1"/>
  <c r="A186" i="1"/>
  <c r="U3574" i="1" l="1"/>
  <c r="A3573" i="1"/>
  <c r="A1727" i="1"/>
  <c r="A2871" i="1"/>
  <c r="A187" i="1"/>
  <c r="U3575" i="1" l="1"/>
  <c r="A3574" i="1"/>
  <c r="A1728" i="1"/>
  <c r="A2872" i="1"/>
  <c r="A188" i="1"/>
  <c r="U3576" i="1" l="1"/>
  <c r="A3575" i="1"/>
  <c r="A1729" i="1"/>
  <c r="A2873" i="1"/>
  <c r="A189" i="1"/>
  <c r="U3577" i="1" l="1"/>
  <c r="A3576" i="1"/>
  <c r="A1730" i="1"/>
  <c r="A2874" i="1"/>
  <c r="A190" i="1"/>
  <c r="U3578" i="1" l="1"/>
  <c r="A3577" i="1"/>
  <c r="A1731" i="1"/>
  <c r="A2875" i="1"/>
  <c r="A191" i="1"/>
  <c r="U3579" i="1" l="1"/>
  <c r="A3578" i="1"/>
  <c r="A1732" i="1"/>
  <c r="A2876" i="1"/>
  <c r="A192" i="1"/>
  <c r="U3580" i="1" l="1"/>
  <c r="A3579" i="1"/>
  <c r="A1733" i="1"/>
  <c r="A2877" i="1"/>
  <c r="A193" i="1"/>
  <c r="U3581" i="1" l="1"/>
  <c r="A3580" i="1"/>
  <c r="A1734" i="1"/>
  <c r="A2878" i="1"/>
  <c r="A194" i="1"/>
  <c r="U3582" i="1" l="1"/>
  <c r="A3581" i="1"/>
  <c r="A1735" i="1"/>
  <c r="A2879" i="1"/>
  <c r="A195" i="1"/>
  <c r="U3583" i="1" l="1"/>
  <c r="A3582" i="1"/>
  <c r="A1736" i="1"/>
  <c r="A2880" i="1"/>
  <c r="A196" i="1"/>
  <c r="U3584" i="1" l="1"/>
  <c r="A3583" i="1"/>
  <c r="A1737" i="1"/>
  <c r="A2881" i="1"/>
  <c r="A197" i="1"/>
  <c r="U3585" i="1" l="1"/>
  <c r="A3584" i="1"/>
  <c r="A1738" i="1"/>
  <c r="A2882" i="1"/>
  <c r="A198" i="1"/>
  <c r="U3586" i="1" l="1"/>
  <c r="A3585" i="1"/>
  <c r="A1739" i="1"/>
  <c r="A2883" i="1"/>
  <c r="A199" i="1"/>
  <c r="U3587" i="1" l="1"/>
  <c r="A3586" i="1"/>
  <c r="A1740" i="1"/>
  <c r="A2884" i="1"/>
  <c r="A200" i="1"/>
  <c r="U3588" i="1" l="1"/>
  <c r="A3587" i="1"/>
  <c r="A1741" i="1"/>
  <c r="A2885" i="1"/>
  <c r="A201" i="1"/>
  <c r="U3589" i="1" l="1"/>
  <c r="A3588" i="1"/>
  <c r="A1742" i="1"/>
  <c r="A2886" i="1"/>
  <c r="A202" i="1"/>
  <c r="U3590" i="1" l="1"/>
  <c r="A3589" i="1"/>
  <c r="A1743" i="1"/>
  <c r="A2887" i="1"/>
  <c r="A203" i="1"/>
  <c r="U3591" i="1" l="1"/>
  <c r="A3590" i="1"/>
  <c r="A1744" i="1"/>
  <c r="A2888" i="1"/>
  <c r="A204" i="1"/>
  <c r="U3592" i="1" l="1"/>
  <c r="A3591" i="1"/>
  <c r="A1745" i="1"/>
  <c r="A2889" i="1"/>
  <c r="A205" i="1"/>
  <c r="U3593" i="1" l="1"/>
  <c r="A3592" i="1"/>
  <c r="A1746" i="1"/>
  <c r="A2890" i="1"/>
  <c r="A206" i="1"/>
  <c r="U3594" i="1" l="1"/>
  <c r="A3593" i="1"/>
  <c r="A1747" i="1"/>
  <c r="A2891" i="1"/>
  <c r="A207" i="1"/>
  <c r="U3595" i="1" l="1"/>
  <c r="A3594" i="1"/>
  <c r="A1748" i="1"/>
  <c r="A2892" i="1"/>
  <c r="A208" i="1"/>
  <c r="U3596" i="1" l="1"/>
  <c r="A3595" i="1"/>
  <c r="A1749" i="1"/>
  <c r="A2893" i="1"/>
  <c r="A209" i="1"/>
  <c r="U3597" i="1" l="1"/>
  <c r="A3596" i="1"/>
  <c r="A1750" i="1"/>
  <c r="A2894" i="1"/>
  <c r="A210" i="1"/>
  <c r="U3598" i="1" l="1"/>
  <c r="A3597" i="1"/>
  <c r="A1751" i="1"/>
  <c r="A2895" i="1"/>
  <c r="A211" i="1"/>
  <c r="U3599" i="1" l="1"/>
  <c r="A3598" i="1"/>
  <c r="A1752" i="1"/>
  <c r="A2896" i="1"/>
  <c r="A212" i="1"/>
  <c r="U3600" i="1" l="1"/>
  <c r="A3599" i="1"/>
  <c r="A1753" i="1"/>
  <c r="A2897" i="1"/>
  <c r="A213" i="1"/>
  <c r="U3601" i="1" l="1"/>
  <c r="A3600" i="1"/>
  <c r="A1754" i="1"/>
  <c r="A2898" i="1"/>
  <c r="A214" i="1"/>
  <c r="U3602" i="1" l="1"/>
  <c r="A3601" i="1"/>
  <c r="A1755" i="1"/>
  <c r="A2899" i="1"/>
  <c r="A215" i="1"/>
  <c r="U3603" i="1" l="1"/>
  <c r="A3602" i="1"/>
  <c r="A1756" i="1"/>
  <c r="A2900" i="1"/>
  <c r="A216" i="1"/>
  <c r="U3604" i="1" l="1"/>
  <c r="A3603" i="1"/>
  <c r="A1757" i="1"/>
  <c r="A2901" i="1"/>
  <c r="A217" i="1"/>
  <c r="U3605" i="1" l="1"/>
  <c r="A3604" i="1"/>
  <c r="A1758" i="1"/>
  <c r="A2902" i="1"/>
  <c r="A218" i="1"/>
  <c r="U3606" i="1" l="1"/>
  <c r="A3605" i="1"/>
  <c r="A1759" i="1"/>
  <c r="A2903" i="1"/>
  <c r="A219" i="1"/>
  <c r="U3607" i="1" l="1"/>
  <c r="A3606" i="1"/>
  <c r="A1760" i="1"/>
  <c r="A2904" i="1"/>
  <c r="A220" i="1"/>
  <c r="U3608" i="1" l="1"/>
  <c r="A3607" i="1"/>
  <c r="A1762" i="1"/>
  <c r="A2906" i="1"/>
  <c r="A222" i="1"/>
  <c r="U3610" i="1" l="1"/>
  <c r="A3608" i="1"/>
  <c r="A1763" i="1"/>
  <c r="A2907" i="1"/>
  <c r="A223" i="1"/>
  <c r="U3611" i="1" l="1"/>
  <c r="A3610" i="1"/>
  <c r="A1764" i="1"/>
  <c r="A2908" i="1"/>
  <c r="A224" i="1"/>
  <c r="U3612" i="1" l="1"/>
  <c r="A3611" i="1"/>
  <c r="A1765" i="1"/>
  <c r="A2909" i="1"/>
  <c r="A225" i="1"/>
  <c r="U3613" i="1" l="1"/>
  <c r="A3612" i="1"/>
  <c r="A1766" i="1"/>
  <c r="A2910" i="1"/>
  <c r="A226" i="1"/>
  <c r="U3614" i="1" l="1"/>
  <c r="A3613" i="1"/>
  <c r="A1767" i="1"/>
  <c r="A2911" i="1"/>
  <c r="A227" i="1"/>
  <c r="U3615" i="1" l="1"/>
  <c r="A3614" i="1"/>
  <c r="A1768" i="1"/>
  <c r="A2912" i="1"/>
  <c r="A228" i="1"/>
  <c r="U3616" i="1" l="1"/>
  <c r="A3615" i="1"/>
  <c r="A1769" i="1"/>
  <c r="A2913" i="1"/>
  <c r="A229" i="1"/>
  <c r="U3617" i="1" l="1"/>
  <c r="A3616" i="1"/>
  <c r="A1770" i="1"/>
  <c r="A2914" i="1"/>
  <c r="A230" i="1"/>
  <c r="U3618" i="1" l="1"/>
  <c r="A3617" i="1"/>
  <c r="A1771" i="1"/>
  <c r="A2915" i="1"/>
  <c r="A231" i="1"/>
  <c r="U3619" i="1" l="1"/>
  <c r="A3618" i="1"/>
  <c r="A1772" i="1"/>
  <c r="A2916" i="1"/>
  <c r="A232" i="1"/>
  <c r="U3620" i="1" l="1"/>
  <c r="A3619" i="1"/>
  <c r="A1773" i="1"/>
  <c r="A2917" i="1"/>
  <c r="A233" i="1"/>
  <c r="U3621" i="1" l="1"/>
  <c r="A3620" i="1"/>
  <c r="A1774" i="1"/>
  <c r="A2918" i="1"/>
  <c r="A234" i="1"/>
  <c r="U3622" i="1" l="1"/>
  <c r="A3621" i="1"/>
  <c r="A1775" i="1"/>
  <c r="A2919" i="1"/>
  <c r="A235" i="1"/>
  <c r="U3623" i="1" l="1"/>
  <c r="A3622" i="1"/>
  <c r="A1776" i="1"/>
  <c r="A2920" i="1"/>
  <c r="A236" i="1"/>
  <c r="U3624" i="1" l="1"/>
  <c r="A3623" i="1"/>
  <c r="A1777" i="1"/>
  <c r="A2921" i="1"/>
  <c r="A237" i="1"/>
  <c r="U3625" i="1" l="1"/>
  <c r="A3624" i="1"/>
  <c r="A1778" i="1"/>
  <c r="A2922" i="1"/>
  <c r="A238" i="1"/>
  <c r="U3626" i="1" l="1"/>
  <c r="A3625" i="1"/>
  <c r="A1779" i="1"/>
  <c r="A2923" i="1"/>
  <c r="A239" i="1"/>
  <c r="U3627" i="1" l="1"/>
  <c r="A3626" i="1"/>
  <c r="A1780" i="1"/>
  <c r="A2924" i="1"/>
  <c r="A240" i="1"/>
  <c r="U3628" i="1" l="1"/>
  <c r="A3627" i="1"/>
  <c r="A1781" i="1"/>
  <c r="A2925" i="1"/>
  <c r="A241" i="1"/>
  <c r="U3629" i="1" l="1"/>
  <c r="A3628" i="1"/>
  <c r="A1782" i="1"/>
  <c r="A2926" i="1"/>
  <c r="A242" i="1"/>
  <c r="U3630" i="1" l="1"/>
  <c r="A3629" i="1"/>
  <c r="A1783" i="1"/>
  <c r="A2927" i="1"/>
  <c r="A243" i="1"/>
  <c r="U3631" i="1" l="1"/>
  <c r="A3630" i="1"/>
  <c r="A1784" i="1"/>
  <c r="A2928" i="1"/>
  <c r="A244" i="1"/>
  <c r="U3632" i="1" l="1"/>
  <c r="A3631" i="1"/>
  <c r="A1785" i="1"/>
  <c r="A2929" i="1"/>
  <c r="A245" i="1"/>
  <c r="U3633" i="1" l="1"/>
  <c r="A3632" i="1"/>
  <c r="A1786" i="1"/>
  <c r="A2930" i="1"/>
  <c r="A246" i="1"/>
  <c r="U3634" i="1" l="1"/>
  <c r="A3633" i="1"/>
  <c r="A1787" i="1"/>
  <c r="A2931" i="1"/>
  <c r="A247" i="1"/>
  <c r="U3635" i="1" l="1"/>
  <c r="A3634" i="1"/>
  <c r="A1788" i="1"/>
  <c r="A2932" i="1"/>
  <c r="A248" i="1"/>
  <c r="U3636" i="1" l="1"/>
  <c r="A3635" i="1"/>
  <c r="A1789" i="1"/>
  <c r="A2933" i="1"/>
  <c r="A249" i="1"/>
  <c r="U3637" i="1" l="1"/>
  <c r="A3636" i="1"/>
  <c r="A1790" i="1"/>
  <c r="A2934" i="1"/>
  <c r="A250" i="1"/>
  <c r="U3638" i="1" l="1"/>
  <c r="A3637" i="1"/>
  <c r="A1791" i="1"/>
  <c r="A2935" i="1"/>
  <c r="A251" i="1"/>
  <c r="U3639" i="1" l="1"/>
  <c r="A3638" i="1"/>
  <c r="A1792" i="1"/>
  <c r="A2936" i="1"/>
  <c r="A252" i="1"/>
  <c r="U3640" i="1" l="1"/>
  <c r="A3639" i="1"/>
  <c r="A1793" i="1"/>
  <c r="A2937" i="1"/>
  <c r="A253" i="1"/>
  <c r="U3641" i="1" l="1"/>
  <c r="A3640" i="1"/>
  <c r="A1794" i="1"/>
  <c r="A2938" i="1"/>
  <c r="A254" i="1"/>
  <c r="U3642" i="1" l="1"/>
  <c r="A3641" i="1"/>
  <c r="A1795" i="1"/>
  <c r="A2939" i="1"/>
  <c r="A255" i="1"/>
  <c r="U3643" i="1" l="1"/>
  <c r="A3642" i="1"/>
  <c r="A1796" i="1"/>
  <c r="A2940" i="1"/>
  <c r="A256" i="1"/>
  <c r="U3644" i="1" l="1"/>
  <c r="A3643" i="1"/>
  <c r="A1797" i="1"/>
  <c r="A2941" i="1"/>
  <c r="A257" i="1"/>
  <c r="U3645" i="1" l="1"/>
  <c r="A3644" i="1"/>
  <c r="A1798" i="1"/>
  <c r="A2942" i="1"/>
  <c r="A258" i="1"/>
  <c r="U3646" i="1" l="1"/>
  <c r="A3645" i="1"/>
  <c r="A1799" i="1"/>
  <c r="A2943" i="1"/>
  <c r="A259" i="1"/>
  <c r="U3647" i="1" l="1"/>
  <c r="A3646" i="1"/>
  <c r="A1800" i="1"/>
  <c r="A2944" i="1"/>
  <c r="A260" i="1"/>
  <c r="U3648" i="1" l="1"/>
  <c r="A3647" i="1"/>
  <c r="A1801" i="1"/>
  <c r="A2945" i="1"/>
  <c r="A261" i="1"/>
  <c r="U3649" i="1" l="1"/>
  <c r="A3648" i="1"/>
  <c r="A1802" i="1"/>
  <c r="A2946" i="1"/>
  <c r="A262" i="1"/>
  <c r="U3650" i="1" l="1"/>
  <c r="A3649" i="1"/>
  <c r="A1803" i="1"/>
  <c r="A2947" i="1"/>
  <c r="A263" i="1"/>
  <c r="U3651" i="1" l="1"/>
  <c r="A3650" i="1"/>
  <c r="A1804" i="1"/>
  <c r="A2948" i="1"/>
  <c r="A264" i="1"/>
  <c r="U3652" i="1" l="1"/>
  <c r="A3651" i="1"/>
  <c r="A1806" i="1"/>
  <c r="A2950" i="1"/>
  <c r="A266" i="1"/>
  <c r="U3654" i="1" l="1"/>
  <c r="A3652" i="1"/>
  <c r="A1807" i="1"/>
  <c r="A2951" i="1"/>
  <c r="A267" i="1"/>
  <c r="U3655" i="1" l="1"/>
  <c r="A3654" i="1"/>
  <c r="A1808" i="1"/>
  <c r="A2952" i="1"/>
  <c r="A268" i="1"/>
  <c r="U3656" i="1" l="1"/>
  <c r="A3655" i="1"/>
  <c r="A1809" i="1"/>
  <c r="A2953" i="1"/>
  <c r="A269" i="1"/>
  <c r="U3657" i="1" l="1"/>
  <c r="A3656" i="1"/>
  <c r="A1810" i="1"/>
  <c r="A2954" i="1"/>
  <c r="A270" i="1"/>
  <c r="U3658" i="1" l="1"/>
  <c r="A3657" i="1"/>
  <c r="A1811" i="1"/>
  <c r="A2955" i="1"/>
  <c r="A271" i="1"/>
  <c r="U3659" i="1" l="1"/>
  <c r="A3658" i="1"/>
  <c r="A1812" i="1"/>
  <c r="A2956" i="1"/>
  <c r="A272" i="1"/>
  <c r="U3660" i="1" l="1"/>
  <c r="A3659" i="1"/>
  <c r="A1813" i="1"/>
  <c r="A2957" i="1"/>
  <c r="A273" i="1"/>
  <c r="U3661" i="1" l="1"/>
  <c r="A3660" i="1"/>
  <c r="A1814" i="1"/>
  <c r="A2958" i="1"/>
  <c r="A274" i="1"/>
  <c r="U3662" i="1" l="1"/>
  <c r="A3661" i="1"/>
  <c r="A1815" i="1"/>
  <c r="A2959" i="1"/>
  <c r="A275" i="1"/>
  <c r="U3663" i="1" l="1"/>
  <c r="A3662" i="1"/>
  <c r="A1816" i="1"/>
  <c r="A2960" i="1"/>
  <c r="A276" i="1"/>
  <c r="U3664" i="1" l="1"/>
  <c r="A3663" i="1"/>
  <c r="A1817" i="1"/>
  <c r="A2961" i="1"/>
  <c r="A277" i="1"/>
  <c r="U3665" i="1" l="1"/>
  <c r="A3664" i="1"/>
  <c r="A1818" i="1"/>
  <c r="A2962" i="1"/>
  <c r="A278" i="1"/>
  <c r="U3666" i="1" l="1"/>
  <c r="A3665" i="1"/>
  <c r="A1819" i="1"/>
  <c r="A2963" i="1"/>
  <c r="A279" i="1"/>
  <c r="U3667" i="1" l="1"/>
  <c r="A3666" i="1"/>
  <c r="A1820" i="1"/>
  <c r="A2964" i="1"/>
  <c r="A280" i="1"/>
  <c r="U3668" i="1" l="1"/>
  <c r="A3667" i="1"/>
  <c r="A1821" i="1"/>
  <c r="A2965" i="1"/>
  <c r="A281" i="1"/>
  <c r="U3669" i="1" l="1"/>
  <c r="A3668" i="1"/>
  <c r="A1822" i="1"/>
  <c r="A2966" i="1"/>
  <c r="A282" i="1"/>
  <c r="U3670" i="1" l="1"/>
  <c r="A3669" i="1"/>
  <c r="A1823" i="1"/>
  <c r="A2967" i="1"/>
  <c r="A283" i="1"/>
  <c r="U3671" i="1" l="1"/>
  <c r="A3670" i="1"/>
  <c r="A1824" i="1"/>
  <c r="A2968" i="1"/>
  <c r="A284" i="1"/>
  <c r="U3672" i="1" l="1"/>
  <c r="A3671" i="1"/>
  <c r="A1825" i="1"/>
  <c r="A2969" i="1"/>
  <c r="A285" i="1"/>
  <c r="U3673" i="1" l="1"/>
  <c r="A3672" i="1"/>
  <c r="A1826" i="1"/>
  <c r="A2970" i="1"/>
  <c r="A286" i="1"/>
  <c r="U3674" i="1" l="1"/>
  <c r="A3673" i="1"/>
  <c r="A1827" i="1"/>
  <c r="A2971" i="1"/>
  <c r="A287" i="1"/>
  <c r="U3675" i="1" l="1"/>
  <c r="A3674" i="1"/>
  <c r="A1828" i="1"/>
  <c r="A2972" i="1"/>
  <c r="A288" i="1"/>
  <c r="U3676" i="1" l="1"/>
  <c r="A3675" i="1"/>
  <c r="A1829" i="1"/>
  <c r="A2973" i="1"/>
  <c r="A289" i="1"/>
  <c r="U3677" i="1" l="1"/>
  <c r="A3676" i="1"/>
  <c r="A1830" i="1"/>
  <c r="A2974" i="1"/>
  <c r="A290" i="1"/>
  <c r="U3678" i="1" l="1"/>
  <c r="A3677" i="1"/>
  <c r="A1831" i="1"/>
  <c r="A2975" i="1"/>
  <c r="A291" i="1"/>
  <c r="U3679" i="1" l="1"/>
  <c r="A3678" i="1"/>
  <c r="A1832" i="1"/>
  <c r="A2976" i="1"/>
  <c r="A292" i="1"/>
  <c r="U3680" i="1" l="1"/>
  <c r="A3679" i="1"/>
  <c r="A1833" i="1"/>
  <c r="A2977" i="1"/>
  <c r="A293" i="1"/>
  <c r="U3681" i="1" l="1"/>
  <c r="A3680" i="1"/>
  <c r="A1834" i="1"/>
  <c r="A2978" i="1"/>
  <c r="A294" i="1"/>
  <c r="U3682" i="1" l="1"/>
  <c r="A3681" i="1"/>
  <c r="A1835" i="1"/>
  <c r="A2979" i="1"/>
  <c r="A295" i="1"/>
  <c r="U3683" i="1" l="1"/>
  <c r="A3682" i="1"/>
  <c r="A1836" i="1"/>
  <c r="A2980" i="1"/>
  <c r="A296" i="1"/>
  <c r="U3684" i="1" l="1"/>
  <c r="A3683" i="1"/>
  <c r="A1837" i="1"/>
  <c r="A2981" i="1"/>
  <c r="A297" i="1"/>
  <c r="U3685" i="1" l="1"/>
  <c r="A3684" i="1"/>
  <c r="A1838" i="1"/>
  <c r="A2982" i="1"/>
  <c r="A298" i="1"/>
  <c r="U3686" i="1" l="1"/>
  <c r="A3685" i="1"/>
  <c r="A1839" i="1"/>
  <c r="A2983" i="1"/>
  <c r="A299" i="1"/>
  <c r="U3687" i="1" l="1"/>
  <c r="A3686" i="1"/>
  <c r="A1840" i="1"/>
  <c r="A2984" i="1"/>
  <c r="A300" i="1"/>
  <c r="U3688" i="1" l="1"/>
  <c r="A3687" i="1"/>
  <c r="A1841" i="1"/>
  <c r="A2985" i="1"/>
  <c r="A301" i="1"/>
  <c r="U3689" i="1" l="1"/>
  <c r="A3688" i="1"/>
  <c r="A1842" i="1"/>
  <c r="A2986" i="1"/>
  <c r="A302" i="1"/>
  <c r="U3690" i="1" l="1"/>
  <c r="A3689" i="1"/>
  <c r="A1843" i="1"/>
  <c r="A2987" i="1"/>
  <c r="A303" i="1"/>
  <c r="U3691" i="1" l="1"/>
  <c r="A3690" i="1"/>
  <c r="A1844" i="1"/>
  <c r="A2988" i="1"/>
  <c r="A304" i="1"/>
  <c r="U3692" i="1" l="1"/>
  <c r="A3691" i="1"/>
  <c r="A1845" i="1"/>
  <c r="A2989" i="1"/>
  <c r="A305" i="1"/>
  <c r="U3693" i="1" l="1"/>
  <c r="A3692" i="1"/>
  <c r="A1846" i="1"/>
  <c r="A2990" i="1"/>
  <c r="A306" i="1"/>
  <c r="U3694" i="1" l="1"/>
  <c r="A3693" i="1"/>
  <c r="A1847" i="1"/>
  <c r="A2991" i="1"/>
  <c r="A307" i="1"/>
  <c r="U3695" i="1" l="1"/>
  <c r="A3694" i="1"/>
  <c r="A1848" i="1"/>
  <c r="A2992" i="1"/>
  <c r="A308" i="1"/>
  <c r="U3696" i="1" l="1"/>
  <c r="A3695" i="1"/>
  <c r="A1850" i="1"/>
  <c r="A2994" i="1"/>
  <c r="A310" i="1"/>
  <c r="U3698" i="1" l="1"/>
  <c r="A3696" i="1"/>
  <c r="A1851" i="1"/>
  <c r="A2995" i="1"/>
  <c r="A311" i="1"/>
  <c r="U3699" i="1" l="1"/>
  <c r="A3698" i="1"/>
  <c r="A1852" i="1"/>
  <c r="A2996" i="1"/>
  <c r="A312" i="1"/>
  <c r="U3700" i="1" l="1"/>
  <c r="A3699" i="1"/>
  <c r="A1853" i="1"/>
  <c r="A2997" i="1"/>
  <c r="A313" i="1"/>
  <c r="U3701" i="1" l="1"/>
  <c r="A3700" i="1"/>
  <c r="A1854" i="1"/>
  <c r="A2998" i="1"/>
  <c r="A314" i="1"/>
  <c r="U3702" i="1" l="1"/>
  <c r="A3701" i="1"/>
  <c r="A1855" i="1"/>
  <c r="A2999" i="1"/>
  <c r="A315" i="1"/>
  <c r="U3703" i="1" l="1"/>
  <c r="A3702" i="1"/>
  <c r="A1856" i="1"/>
  <c r="A3000" i="1"/>
  <c r="A316" i="1"/>
  <c r="U3704" i="1" l="1"/>
  <c r="A3703" i="1"/>
  <c r="A1857" i="1"/>
  <c r="A3001" i="1"/>
  <c r="A317" i="1"/>
  <c r="U3705" i="1" l="1"/>
  <c r="A3704" i="1"/>
  <c r="A1858" i="1"/>
  <c r="A3002" i="1"/>
  <c r="A318" i="1"/>
  <c r="U3706" i="1" l="1"/>
  <c r="A3705" i="1"/>
  <c r="A1859" i="1"/>
  <c r="A3003" i="1"/>
  <c r="A319" i="1"/>
  <c r="U3707" i="1" l="1"/>
  <c r="A3706" i="1"/>
  <c r="A1860" i="1"/>
  <c r="A3004" i="1"/>
  <c r="A320" i="1"/>
  <c r="U3708" i="1" l="1"/>
  <c r="A3707" i="1"/>
  <c r="A1861" i="1"/>
  <c r="A3005" i="1"/>
  <c r="A321" i="1"/>
  <c r="U3709" i="1" l="1"/>
  <c r="A3708" i="1"/>
  <c r="A1862" i="1"/>
  <c r="A3006" i="1"/>
  <c r="A322" i="1"/>
  <c r="U3710" i="1" l="1"/>
  <c r="A3709" i="1"/>
  <c r="A1863" i="1"/>
  <c r="A3007" i="1"/>
  <c r="A323" i="1"/>
  <c r="U3711" i="1" l="1"/>
  <c r="A3710" i="1"/>
  <c r="A1864" i="1"/>
  <c r="A3008" i="1"/>
  <c r="A324" i="1"/>
  <c r="U3712" i="1" l="1"/>
  <c r="A3711" i="1"/>
  <c r="A1865" i="1"/>
  <c r="A3009" i="1"/>
  <c r="A325" i="1"/>
  <c r="U3713" i="1" l="1"/>
  <c r="A3712" i="1"/>
  <c r="A1866" i="1"/>
  <c r="A3010" i="1"/>
  <c r="A326" i="1"/>
  <c r="U3714" i="1" l="1"/>
  <c r="A3713" i="1"/>
  <c r="A1867" i="1"/>
  <c r="A3011" i="1"/>
  <c r="A327" i="1"/>
  <c r="U3715" i="1" l="1"/>
  <c r="A3714" i="1"/>
  <c r="A1868" i="1"/>
  <c r="A3012" i="1"/>
  <c r="A328" i="1"/>
  <c r="U3716" i="1" l="1"/>
  <c r="A3715" i="1"/>
  <c r="A1869" i="1"/>
  <c r="A3013" i="1"/>
  <c r="A329" i="1"/>
  <c r="U3717" i="1" l="1"/>
  <c r="A3716" i="1"/>
  <c r="A1870" i="1"/>
  <c r="A3014" i="1"/>
  <c r="A330" i="1"/>
  <c r="U3718" i="1" l="1"/>
  <c r="A3717" i="1"/>
  <c r="A1871" i="1"/>
  <c r="A3015" i="1"/>
  <c r="A331" i="1"/>
  <c r="U3719" i="1" l="1"/>
  <c r="A3718" i="1"/>
  <c r="A1872" i="1"/>
  <c r="A3016" i="1"/>
  <c r="A332" i="1"/>
  <c r="U3720" i="1" l="1"/>
  <c r="A3719" i="1"/>
  <c r="A1873" i="1"/>
  <c r="A3017" i="1"/>
  <c r="A333" i="1"/>
  <c r="U3721" i="1" l="1"/>
  <c r="A3720" i="1"/>
  <c r="A1874" i="1"/>
  <c r="A3018" i="1"/>
  <c r="A334" i="1"/>
  <c r="U3722" i="1" l="1"/>
  <c r="A3721" i="1"/>
  <c r="A1875" i="1"/>
  <c r="A3019" i="1"/>
  <c r="A335" i="1"/>
  <c r="U3723" i="1" l="1"/>
  <c r="A3722" i="1"/>
  <c r="A1876" i="1"/>
  <c r="A3020" i="1"/>
  <c r="A336" i="1"/>
  <c r="U3724" i="1" l="1"/>
  <c r="A3723" i="1"/>
  <c r="A1877" i="1"/>
  <c r="A3021" i="1"/>
  <c r="A337" i="1"/>
  <c r="U3725" i="1" l="1"/>
  <c r="A3724" i="1"/>
  <c r="A1878" i="1"/>
  <c r="A3022" i="1"/>
  <c r="A338" i="1"/>
  <c r="U3726" i="1" l="1"/>
  <c r="A3725" i="1"/>
  <c r="A1879" i="1"/>
  <c r="A3023" i="1"/>
  <c r="A339" i="1"/>
  <c r="U3727" i="1" l="1"/>
  <c r="A3726" i="1"/>
  <c r="A1880" i="1"/>
  <c r="A3024" i="1"/>
  <c r="A340" i="1"/>
  <c r="U3728" i="1" l="1"/>
  <c r="A3727" i="1"/>
  <c r="A1881" i="1"/>
  <c r="A3025" i="1"/>
  <c r="A341" i="1"/>
  <c r="U3729" i="1" l="1"/>
  <c r="A3728" i="1"/>
  <c r="A1882" i="1"/>
  <c r="A3026" i="1"/>
  <c r="A342" i="1"/>
  <c r="U3730" i="1" l="1"/>
  <c r="A3729" i="1"/>
  <c r="A1883" i="1"/>
  <c r="A3027" i="1"/>
  <c r="A343" i="1"/>
  <c r="U3731" i="1" l="1"/>
  <c r="A3730" i="1"/>
  <c r="A1884" i="1"/>
  <c r="A3028" i="1"/>
  <c r="A344" i="1"/>
  <c r="U3732" i="1" l="1"/>
  <c r="A3731" i="1"/>
  <c r="A1885" i="1"/>
  <c r="A3029" i="1"/>
  <c r="A345" i="1"/>
  <c r="U3733" i="1" l="1"/>
  <c r="A3732" i="1"/>
  <c r="A1886" i="1"/>
  <c r="A3030" i="1"/>
  <c r="A346" i="1"/>
  <c r="U3734" i="1" l="1"/>
  <c r="A3733" i="1"/>
  <c r="A1887" i="1"/>
  <c r="A3031" i="1"/>
  <c r="A347" i="1"/>
  <c r="U3735" i="1" l="1"/>
  <c r="A3734" i="1"/>
  <c r="A1888" i="1"/>
  <c r="A3032" i="1"/>
  <c r="A348" i="1"/>
  <c r="U3736" i="1" l="1"/>
  <c r="A3735" i="1"/>
  <c r="A1889" i="1"/>
  <c r="A3033" i="1"/>
  <c r="A349" i="1"/>
  <c r="U3737" i="1" l="1"/>
  <c r="A3736" i="1"/>
  <c r="A1890" i="1"/>
  <c r="A3034" i="1"/>
  <c r="A350" i="1"/>
  <c r="U3738" i="1" l="1"/>
  <c r="A3737" i="1"/>
  <c r="A1891" i="1"/>
  <c r="A3035" i="1"/>
  <c r="A351" i="1"/>
  <c r="U3739" i="1" l="1"/>
  <c r="A3738" i="1"/>
  <c r="A1892" i="1"/>
  <c r="A3036" i="1"/>
  <c r="A352" i="1"/>
  <c r="U3740" i="1" l="1"/>
  <c r="A3739" i="1"/>
  <c r="A1894" i="1"/>
  <c r="A3038" i="1"/>
  <c r="A354" i="1"/>
  <c r="U3742" i="1" l="1"/>
  <c r="A3740" i="1"/>
  <c r="A1895" i="1"/>
  <c r="A3039" i="1"/>
  <c r="A355" i="1"/>
  <c r="U3743" i="1" l="1"/>
  <c r="A3742" i="1"/>
  <c r="A1896" i="1"/>
  <c r="A3040" i="1"/>
  <c r="A356" i="1"/>
  <c r="U3744" i="1" l="1"/>
  <c r="A3743" i="1"/>
  <c r="A1897" i="1"/>
  <c r="A3041" i="1"/>
  <c r="A357" i="1"/>
  <c r="U3745" i="1" l="1"/>
  <c r="A3744" i="1"/>
  <c r="A1898" i="1"/>
  <c r="A3042" i="1"/>
  <c r="A358" i="1"/>
  <c r="U3746" i="1" l="1"/>
  <c r="A3745" i="1"/>
  <c r="A1899" i="1"/>
  <c r="A3043" i="1"/>
  <c r="A359" i="1"/>
  <c r="U3747" i="1" l="1"/>
  <c r="A3746" i="1"/>
  <c r="A1900" i="1"/>
  <c r="A3044" i="1"/>
  <c r="A360" i="1"/>
  <c r="U3748" i="1" l="1"/>
  <c r="A3747" i="1"/>
  <c r="A1901" i="1"/>
  <c r="A3045" i="1"/>
  <c r="A361" i="1"/>
  <c r="U3749" i="1" l="1"/>
  <c r="A3748" i="1"/>
  <c r="A1902" i="1"/>
  <c r="A3046" i="1"/>
  <c r="A362" i="1"/>
  <c r="U3750" i="1" l="1"/>
  <c r="A3749" i="1"/>
  <c r="A1903" i="1"/>
  <c r="A3047" i="1"/>
  <c r="A363" i="1"/>
  <c r="U3751" i="1" l="1"/>
  <c r="A3750" i="1"/>
  <c r="A1904" i="1"/>
  <c r="A3048" i="1"/>
  <c r="A364" i="1"/>
  <c r="U3752" i="1" l="1"/>
  <c r="A3751" i="1"/>
  <c r="A1905" i="1"/>
  <c r="A3049" i="1"/>
  <c r="A365" i="1"/>
  <c r="U3753" i="1" l="1"/>
  <c r="A3752" i="1"/>
  <c r="A1906" i="1"/>
  <c r="A3050" i="1"/>
  <c r="A366" i="1"/>
  <c r="U3754" i="1" l="1"/>
  <c r="A3753" i="1"/>
  <c r="A1907" i="1"/>
  <c r="A3051" i="1"/>
  <c r="A367" i="1"/>
  <c r="U3755" i="1" l="1"/>
  <c r="A3754" i="1"/>
  <c r="A1908" i="1"/>
  <c r="A3052" i="1"/>
  <c r="A368" i="1"/>
  <c r="U3756" i="1" l="1"/>
  <c r="A3755" i="1"/>
  <c r="A1909" i="1"/>
  <c r="A3053" i="1"/>
  <c r="A369" i="1"/>
  <c r="U3757" i="1" l="1"/>
  <c r="A3756" i="1"/>
  <c r="A1910" i="1"/>
  <c r="A3054" i="1"/>
  <c r="A370" i="1"/>
  <c r="U3758" i="1" l="1"/>
  <c r="A3757" i="1"/>
  <c r="A1911" i="1"/>
  <c r="A3055" i="1"/>
  <c r="A371" i="1"/>
  <c r="U3759" i="1" l="1"/>
  <c r="A3758" i="1"/>
  <c r="A1912" i="1"/>
  <c r="A3056" i="1"/>
  <c r="A372" i="1"/>
  <c r="U3760" i="1" l="1"/>
  <c r="A3759" i="1"/>
  <c r="A1913" i="1"/>
  <c r="A3057" i="1"/>
  <c r="A373" i="1"/>
  <c r="U3761" i="1" l="1"/>
  <c r="A3760" i="1"/>
  <c r="A1914" i="1"/>
  <c r="A3058" i="1"/>
  <c r="A374" i="1"/>
  <c r="U3762" i="1" l="1"/>
  <c r="A3761" i="1"/>
  <c r="A1915" i="1"/>
  <c r="A3059" i="1"/>
  <c r="A375" i="1"/>
  <c r="U3763" i="1" l="1"/>
  <c r="A3762" i="1"/>
  <c r="A1916" i="1"/>
  <c r="A3060" i="1"/>
  <c r="A376" i="1"/>
  <c r="U3764" i="1" l="1"/>
  <c r="A3763" i="1"/>
  <c r="A1917" i="1"/>
  <c r="A3061" i="1"/>
  <c r="A377" i="1"/>
  <c r="U3765" i="1" l="1"/>
  <c r="A3764" i="1"/>
  <c r="A1918" i="1"/>
  <c r="A3062" i="1"/>
  <c r="A378" i="1"/>
  <c r="U3766" i="1" l="1"/>
  <c r="A3765" i="1"/>
  <c r="A1919" i="1"/>
  <c r="A3063" i="1"/>
  <c r="A379" i="1"/>
  <c r="U3767" i="1" l="1"/>
  <c r="A3766" i="1"/>
  <c r="A1920" i="1"/>
  <c r="A3064" i="1"/>
  <c r="A380" i="1"/>
  <c r="U3768" i="1" l="1"/>
  <c r="A3767" i="1"/>
  <c r="A1921" i="1"/>
  <c r="A3065" i="1"/>
  <c r="A381" i="1"/>
  <c r="U3769" i="1" l="1"/>
  <c r="A3768" i="1"/>
  <c r="A1922" i="1"/>
  <c r="A3066" i="1"/>
  <c r="A382" i="1"/>
  <c r="U3770" i="1" l="1"/>
  <c r="A3769" i="1"/>
  <c r="A1923" i="1"/>
  <c r="A3067" i="1"/>
  <c r="A383" i="1"/>
  <c r="U3771" i="1" l="1"/>
  <c r="A3770" i="1"/>
  <c r="A1924" i="1"/>
  <c r="A3068" i="1"/>
  <c r="A384" i="1"/>
  <c r="U3772" i="1" l="1"/>
  <c r="A3771" i="1"/>
  <c r="A1925" i="1"/>
  <c r="A3069" i="1"/>
  <c r="A385" i="1"/>
  <c r="U3773" i="1" l="1"/>
  <c r="A3772" i="1"/>
  <c r="A1926" i="1"/>
  <c r="A3070" i="1"/>
  <c r="A386" i="1"/>
  <c r="U3774" i="1" l="1"/>
  <c r="A3773" i="1"/>
  <c r="A1927" i="1"/>
  <c r="A3071" i="1"/>
  <c r="A387" i="1"/>
  <c r="U3775" i="1" l="1"/>
  <c r="A3774" i="1"/>
  <c r="A1928" i="1"/>
  <c r="A3072" i="1"/>
  <c r="A388" i="1"/>
  <c r="U3776" i="1" l="1"/>
  <c r="A3775" i="1"/>
  <c r="A1929" i="1"/>
  <c r="A3073" i="1"/>
  <c r="A389" i="1"/>
  <c r="U3777" i="1" l="1"/>
  <c r="A3776" i="1"/>
  <c r="A1930" i="1"/>
  <c r="A3074" i="1"/>
  <c r="A390" i="1"/>
  <c r="U3778" i="1" l="1"/>
  <c r="A3777" i="1"/>
  <c r="A1931" i="1"/>
  <c r="A3075" i="1"/>
  <c r="A391" i="1"/>
  <c r="U3779" i="1" l="1"/>
  <c r="A3778" i="1"/>
  <c r="A1932" i="1"/>
  <c r="A3076" i="1"/>
  <c r="A392" i="1"/>
  <c r="U3780" i="1" l="1"/>
  <c r="A3779" i="1"/>
  <c r="A1933" i="1"/>
  <c r="A3077" i="1"/>
  <c r="A393" i="1"/>
  <c r="U3781" i="1" l="1"/>
  <c r="A3780" i="1"/>
  <c r="A1934" i="1"/>
  <c r="A3078" i="1"/>
  <c r="A394" i="1"/>
  <c r="U3782" i="1" l="1"/>
  <c r="A3781" i="1"/>
  <c r="A1935" i="1"/>
  <c r="A3079" i="1"/>
  <c r="A395" i="1"/>
  <c r="U3783" i="1" l="1"/>
  <c r="A3782" i="1"/>
  <c r="A1936" i="1"/>
  <c r="A3080" i="1"/>
  <c r="A396" i="1"/>
  <c r="U3784" i="1" l="1"/>
  <c r="A3783" i="1"/>
  <c r="A1938" i="1"/>
  <c r="A3082" i="1"/>
  <c r="A398" i="1"/>
  <c r="U3786" i="1" l="1"/>
  <c r="A3784" i="1"/>
  <c r="A1939" i="1"/>
  <c r="A3083" i="1"/>
  <c r="A399" i="1"/>
  <c r="U3787" i="1" l="1"/>
  <c r="A3786" i="1"/>
  <c r="A1940" i="1"/>
  <c r="A3084" i="1"/>
  <c r="A400" i="1"/>
  <c r="U3788" i="1" l="1"/>
  <c r="A3787" i="1"/>
  <c r="A1941" i="1"/>
  <c r="A3085" i="1"/>
  <c r="A401" i="1"/>
  <c r="U3789" i="1" l="1"/>
  <c r="A3788" i="1"/>
  <c r="A1942" i="1"/>
  <c r="A3086" i="1"/>
  <c r="A402" i="1"/>
  <c r="U3790" i="1" l="1"/>
  <c r="A3789" i="1"/>
  <c r="A1943" i="1"/>
  <c r="A3087" i="1"/>
  <c r="A403" i="1"/>
  <c r="U3791" i="1" l="1"/>
  <c r="A3790" i="1"/>
  <c r="A1944" i="1"/>
  <c r="A3088" i="1"/>
  <c r="A404" i="1"/>
  <c r="U3792" i="1" l="1"/>
  <c r="A3791" i="1"/>
  <c r="A1945" i="1"/>
  <c r="A3089" i="1"/>
  <c r="A405" i="1"/>
  <c r="U3793" i="1" l="1"/>
  <c r="A3792" i="1"/>
  <c r="A1946" i="1"/>
  <c r="A3090" i="1"/>
  <c r="A406" i="1"/>
  <c r="U3794" i="1" l="1"/>
  <c r="A3793" i="1"/>
  <c r="A1947" i="1"/>
  <c r="A3091" i="1"/>
  <c r="A407" i="1"/>
  <c r="U3795" i="1" l="1"/>
  <c r="A3794" i="1"/>
  <c r="A1948" i="1"/>
  <c r="A3092" i="1"/>
  <c r="A408" i="1"/>
  <c r="U3796" i="1" l="1"/>
  <c r="A3795" i="1"/>
  <c r="A1949" i="1"/>
  <c r="A3093" i="1"/>
  <c r="A409" i="1"/>
  <c r="U3797" i="1" l="1"/>
  <c r="A3796" i="1"/>
  <c r="A1950" i="1"/>
  <c r="A3094" i="1"/>
  <c r="A410" i="1"/>
  <c r="U3798" i="1" l="1"/>
  <c r="A3797" i="1"/>
  <c r="A1951" i="1"/>
  <c r="A3095" i="1"/>
  <c r="A411" i="1"/>
  <c r="U3799" i="1" l="1"/>
  <c r="A3798" i="1"/>
  <c r="A1952" i="1"/>
  <c r="A3096" i="1"/>
  <c r="A412" i="1"/>
  <c r="U3800" i="1" l="1"/>
  <c r="A3799" i="1"/>
  <c r="A1953" i="1"/>
  <c r="A3097" i="1"/>
  <c r="A413" i="1"/>
  <c r="U3801" i="1" l="1"/>
  <c r="A3800" i="1"/>
  <c r="A1954" i="1"/>
  <c r="A3098" i="1"/>
  <c r="A414" i="1"/>
  <c r="U3802" i="1" l="1"/>
  <c r="A3801" i="1"/>
  <c r="A1955" i="1"/>
  <c r="A3099" i="1"/>
  <c r="A415" i="1"/>
  <c r="U3803" i="1" l="1"/>
  <c r="A3802" i="1"/>
  <c r="A1956" i="1"/>
  <c r="A3100" i="1"/>
  <c r="A416" i="1"/>
  <c r="U3804" i="1" l="1"/>
  <c r="A3803" i="1"/>
  <c r="A1957" i="1"/>
  <c r="A3101" i="1"/>
  <c r="A417" i="1"/>
  <c r="U3805" i="1" l="1"/>
  <c r="A3804" i="1"/>
  <c r="A1958" i="1"/>
  <c r="A3102" i="1"/>
  <c r="A418" i="1"/>
  <c r="U3806" i="1" l="1"/>
  <c r="A3805" i="1"/>
  <c r="A1959" i="1"/>
  <c r="A3103" i="1"/>
  <c r="A419" i="1"/>
  <c r="U3807" i="1" l="1"/>
  <c r="A3806" i="1"/>
  <c r="A1960" i="1"/>
  <c r="A3104" i="1"/>
  <c r="A420" i="1"/>
  <c r="U3808" i="1" l="1"/>
  <c r="A3807" i="1"/>
  <c r="A1961" i="1"/>
  <c r="A3105" i="1"/>
  <c r="A421" i="1"/>
  <c r="U3809" i="1" l="1"/>
  <c r="A3808" i="1"/>
  <c r="A1962" i="1"/>
  <c r="A3106" i="1"/>
  <c r="A422" i="1"/>
  <c r="U3810" i="1" l="1"/>
  <c r="A3809" i="1"/>
  <c r="A1963" i="1"/>
  <c r="A3107" i="1"/>
  <c r="A423" i="1"/>
  <c r="U3811" i="1" l="1"/>
  <c r="A3810" i="1"/>
  <c r="A1964" i="1"/>
  <c r="A3108" i="1"/>
  <c r="A424" i="1"/>
  <c r="U3812" i="1" l="1"/>
  <c r="A3811" i="1"/>
  <c r="A1965" i="1"/>
  <c r="A3109" i="1"/>
  <c r="A425" i="1"/>
  <c r="U3813" i="1" l="1"/>
  <c r="A3812" i="1"/>
  <c r="A1966" i="1"/>
  <c r="A3110" i="1"/>
  <c r="A426" i="1"/>
  <c r="U3814" i="1" l="1"/>
  <c r="A3813" i="1"/>
  <c r="A1967" i="1"/>
  <c r="A3111" i="1"/>
  <c r="A427" i="1"/>
  <c r="U3815" i="1" l="1"/>
  <c r="A3814" i="1"/>
  <c r="A1968" i="1"/>
  <c r="A3112" i="1"/>
  <c r="A428" i="1"/>
  <c r="U3816" i="1" l="1"/>
  <c r="A3815" i="1"/>
  <c r="A1969" i="1"/>
  <c r="A3113" i="1"/>
  <c r="A429" i="1"/>
  <c r="U3817" i="1" l="1"/>
  <c r="A3816" i="1"/>
  <c r="A1970" i="1"/>
  <c r="A3114" i="1"/>
  <c r="A430" i="1"/>
  <c r="U3818" i="1" l="1"/>
  <c r="A3817" i="1"/>
  <c r="A1971" i="1"/>
  <c r="A3115" i="1"/>
  <c r="A431" i="1"/>
  <c r="U3819" i="1" l="1"/>
  <c r="A3818" i="1"/>
  <c r="A1972" i="1"/>
  <c r="A3116" i="1"/>
  <c r="A432" i="1"/>
  <c r="U3820" i="1" l="1"/>
  <c r="A3819" i="1"/>
  <c r="A1973" i="1"/>
  <c r="A3117" i="1"/>
  <c r="A433" i="1"/>
  <c r="U3821" i="1" l="1"/>
  <c r="A3820" i="1"/>
  <c r="A1974" i="1"/>
  <c r="A3118" i="1"/>
  <c r="A434" i="1"/>
  <c r="U3822" i="1" l="1"/>
  <c r="A3821" i="1"/>
  <c r="A1975" i="1"/>
  <c r="A3119" i="1"/>
  <c r="A435" i="1"/>
  <c r="U3823" i="1" l="1"/>
  <c r="A3822" i="1"/>
  <c r="A1976" i="1"/>
  <c r="A3120" i="1"/>
  <c r="A436" i="1"/>
  <c r="U3824" i="1" l="1"/>
  <c r="A3823" i="1"/>
  <c r="A1977" i="1"/>
  <c r="A3121" i="1"/>
  <c r="A437" i="1"/>
  <c r="U3825" i="1" l="1"/>
  <c r="A3824" i="1"/>
  <c r="A1978" i="1"/>
  <c r="A3122" i="1"/>
  <c r="A438" i="1"/>
  <c r="U3826" i="1" l="1"/>
  <c r="A3825" i="1"/>
  <c r="A1979" i="1"/>
  <c r="A3123" i="1"/>
  <c r="A439" i="1"/>
  <c r="U3827" i="1" l="1"/>
  <c r="A3826" i="1"/>
  <c r="A1980" i="1"/>
  <c r="A3124" i="1"/>
  <c r="A440" i="1"/>
  <c r="U3828" i="1" l="1"/>
  <c r="A3827" i="1"/>
  <c r="A1982" i="1"/>
  <c r="A3126" i="1"/>
  <c r="A442" i="1"/>
  <c r="U3830" i="1" l="1"/>
  <c r="A3828" i="1"/>
  <c r="A1983" i="1"/>
  <c r="A3127" i="1"/>
  <c r="A443" i="1"/>
  <c r="U3831" i="1" l="1"/>
  <c r="A3830" i="1"/>
  <c r="A1984" i="1"/>
  <c r="A3128" i="1"/>
  <c r="A444" i="1"/>
  <c r="U3832" i="1" l="1"/>
  <c r="A3831" i="1"/>
  <c r="A1985" i="1"/>
  <c r="A3129" i="1"/>
  <c r="A445" i="1"/>
  <c r="U3833" i="1" l="1"/>
  <c r="A3832" i="1"/>
  <c r="A1986" i="1"/>
  <c r="A3130" i="1"/>
  <c r="A446" i="1"/>
  <c r="U3834" i="1" l="1"/>
  <c r="A3833" i="1"/>
  <c r="A1987" i="1"/>
  <c r="A3131" i="1"/>
  <c r="A447" i="1"/>
  <c r="U3835" i="1" l="1"/>
  <c r="A3834" i="1"/>
  <c r="A1988" i="1"/>
  <c r="A3132" i="1"/>
  <c r="A448" i="1"/>
  <c r="U3836" i="1" l="1"/>
  <c r="A3835" i="1"/>
  <c r="A1989" i="1"/>
  <c r="A3133" i="1"/>
  <c r="A449" i="1"/>
  <c r="U3837" i="1" l="1"/>
  <c r="A3836" i="1"/>
  <c r="A1990" i="1"/>
  <c r="A3134" i="1"/>
  <c r="A450" i="1"/>
  <c r="U3838" i="1" l="1"/>
  <c r="A3837" i="1"/>
  <c r="A1991" i="1"/>
  <c r="A3135" i="1"/>
  <c r="A451" i="1"/>
  <c r="U3839" i="1" l="1"/>
  <c r="A3838" i="1"/>
  <c r="A1992" i="1"/>
  <c r="A3136" i="1"/>
  <c r="A452" i="1"/>
  <c r="U3840" i="1" l="1"/>
  <c r="A3839" i="1"/>
  <c r="A1993" i="1"/>
  <c r="A3137" i="1"/>
  <c r="A453" i="1"/>
  <c r="U3841" i="1" l="1"/>
  <c r="A3840" i="1"/>
  <c r="A1994" i="1"/>
  <c r="A3138" i="1"/>
  <c r="A454" i="1"/>
  <c r="U3842" i="1" l="1"/>
  <c r="A3841" i="1"/>
  <c r="A1995" i="1"/>
  <c r="A3139" i="1"/>
  <c r="A455" i="1"/>
  <c r="U3843" i="1" l="1"/>
  <c r="A3842" i="1"/>
  <c r="A1996" i="1"/>
  <c r="A3140" i="1"/>
  <c r="A456" i="1"/>
  <c r="U3844" i="1" l="1"/>
  <c r="A3843" i="1"/>
  <c r="A1997" i="1"/>
  <c r="A3141" i="1"/>
  <c r="A457" i="1"/>
  <c r="U3845" i="1" l="1"/>
  <c r="A3844" i="1"/>
  <c r="A1998" i="1"/>
  <c r="A3142" i="1"/>
  <c r="A458" i="1"/>
  <c r="U3846" i="1" l="1"/>
  <c r="A3845" i="1"/>
  <c r="A1999" i="1"/>
  <c r="A3143" i="1"/>
  <c r="A459" i="1"/>
  <c r="U3847" i="1" l="1"/>
  <c r="A3846" i="1"/>
  <c r="A2000" i="1"/>
  <c r="A3144" i="1"/>
  <c r="A460" i="1"/>
  <c r="U3848" i="1" l="1"/>
  <c r="A3847" i="1"/>
  <c r="A2001" i="1"/>
  <c r="A3145" i="1"/>
  <c r="A461" i="1"/>
  <c r="U3849" i="1" l="1"/>
  <c r="A3848" i="1"/>
  <c r="A2002" i="1"/>
  <c r="A3146" i="1"/>
  <c r="A462" i="1"/>
  <c r="U3850" i="1" l="1"/>
  <c r="A3849" i="1"/>
  <c r="A2003" i="1"/>
  <c r="A3147" i="1"/>
  <c r="A463" i="1"/>
  <c r="U3851" i="1" l="1"/>
  <c r="A3850" i="1"/>
  <c r="A2004" i="1"/>
  <c r="A3148" i="1"/>
  <c r="A464" i="1"/>
  <c r="U3852" i="1" l="1"/>
  <c r="A3851" i="1"/>
  <c r="A2005" i="1"/>
  <c r="A3149" i="1"/>
  <c r="A465" i="1"/>
  <c r="U3853" i="1" l="1"/>
  <c r="A3852" i="1"/>
  <c r="A2006" i="1"/>
  <c r="A3150" i="1"/>
  <c r="A466" i="1"/>
  <c r="U3854" i="1" l="1"/>
  <c r="A3853" i="1"/>
  <c r="A2007" i="1"/>
  <c r="A3151" i="1"/>
  <c r="A467" i="1"/>
  <c r="U3855" i="1" l="1"/>
  <c r="A3854" i="1"/>
  <c r="A2008" i="1"/>
  <c r="A3152" i="1"/>
  <c r="A468" i="1"/>
  <c r="U3856" i="1" l="1"/>
  <c r="A3855" i="1"/>
  <c r="A2009" i="1"/>
  <c r="A3153" i="1"/>
  <c r="A469" i="1"/>
  <c r="U3857" i="1" l="1"/>
  <c r="A3856" i="1"/>
  <c r="A2010" i="1"/>
  <c r="A3154" i="1"/>
  <c r="A470" i="1"/>
  <c r="U3858" i="1" l="1"/>
  <c r="A3857" i="1"/>
  <c r="A2011" i="1"/>
  <c r="A3155" i="1"/>
  <c r="A471" i="1"/>
  <c r="U3859" i="1" l="1"/>
  <c r="A3858" i="1"/>
  <c r="A2012" i="1"/>
  <c r="A3156" i="1"/>
  <c r="A472" i="1"/>
  <c r="U3860" i="1" l="1"/>
  <c r="A3859" i="1"/>
  <c r="A2013" i="1"/>
  <c r="A3157" i="1"/>
  <c r="A473" i="1"/>
  <c r="U3861" i="1" l="1"/>
  <c r="A3860" i="1"/>
  <c r="A2014" i="1"/>
  <c r="A3158" i="1"/>
  <c r="A474" i="1"/>
  <c r="U3862" i="1" l="1"/>
  <c r="A3861" i="1"/>
  <c r="A2015" i="1"/>
  <c r="A3159" i="1"/>
  <c r="A475" i="1"/>
  <c r="U3863" i="1" l="1"/>
  <c r="A3862" i="1"/>
  <c r="A2016" i="1"/>
  <c r="A3160" i="1"/>
  <c r="A476" i="1"/>
  <c r="U3864" i="1" l="1"/>
  <c r="A3863" i="1"/>
  <c r="A2017" i="1"/>
  <c r="A3161" i="1"/>
  <c r="A477" i="1"/>
  <c r="U3865" i="1" l="1"/>
  <c r="A3864" i="1"/>
  <c r="A2018" i="1"/>
  <c r="A3162" i="1"/>
  <c r="A478" i="1"/>
  <c r="U3866" i="1" l="1"/>
  <c r="A3865" i="1"/>
  <c r="A2019" i="1"/>
  <c r="A3163" i="1"/>
  <c r="A479" i="1"/>
  <c r="U3867" i="1" l="1"/>
  <c r="A3866" i="1"/>
  <c r="A2020" i="1"/>
  <c r="A3164" i="1"/>
  <c r="A480" i="1"/>
  <c r="U3868" i="1" l="1"/>
  <c r="A3867" i="1"/>
  <c r="A2021" i="1"/>
  <c r="A3165" i="1"/>
  <c r="A481" i="1"/>
  <c r="U3869" i="1" l="1"/>
  <c r="A3868" i="1"/>
  <c r="A2022" i="1"/>
  <c r="A3166" i="1"/>
  <c r="A482" i="1"/>
  <c r="U3870" i="1" l="1"/>
  <c r="A3869" i="1"/>
  <c r="A2023" i="1"/>
  <c r="A3167" i="1"/>
  <c r="A483" i="1"/>
  <c r="U3871" i="1" l="1"/>
  <c r="A3870" i="1"/>
  <c r="A2024" i="1"/>
  <c r="A3168" i="1"/>
  <c r="A484" i="1"/>
  <c r="U3872" i="1" l="1"/>
  <c r="A3871" i="1"/>
  <c r="A2026" i="1"/>
  <c r="A3170" i="1"/>
  <c r="A486" i="1"/>
  <c r="U3874" i="1" l="1"/>
  <c r="A3872" i="1"/>
  <c r="A2027" i="1"/>
  <c r="A3171" i="1"/>
  <c r="A487" i="1"/>
  <c r="U3875" i="1" l="1"/>
  <c r="A3874" i="1"/>
  <c r="A2028" i="1"/>
  <c r="A3172" i="1"/>
  <c r="A488" i="1"/>
  <c r="U3876" i="1" l="1"/>
  <c r="A3875" i="1"/>
  <c r="A2029" i="1"/>
  <c r="A3173" i="1"/>
  <c r="A489" i="1"/>
  <c r="U3877" i="1" l="1"/>
  <c r="A3876" i="1"/>
  <c r="A2030" i="1"/>
  <c r="A3174" i="1"/>
  <c r="A490" i="1"/>
  <c r="U3878" i="1" l="1"/>
  <c r="A3877" i="1"/>
  <c r="A2031" i="1"/>
  <c r="A3175" i="1"/>
  <c r="A491" i="1"/>
  <c r="U3879" i="1" l="1"/>
  <c r="A3878" i="1"/>
  <c r="A2032" i="1"/>
  <c r="A3176" i="1"/>
  <c r="A492" i="1"/>
  <c r="U3880" i="1" l="1"/>
  <c r="A3879" i="1"/>
  <c r="A2033" i="1"/>
  <c r="A3177" i="1"/>
  <c r="A493" i="1"/>
  <c r="U3881" i="1" l="1"/>
  <c r="A3880" i="1"/>
  <c r="A2034" i="1"/>
  <c r="A3178" i="1"/>
  <c r="A494" i="1"/>
  <c r="U3882" i="1" l="1"/>
  <c r="A3881" i="1"/>
  <c r="A2035" i="1"/>
  <c r="A3179" i="1"/>
  <c r="A495" i="1"/>
  <c r="U3883" i="1" l="1"/>
  <c r="A3882" i="1"/>
  <c r="A2036" i="1"/>
  <c r="A3180" i="1"/>
  <c r="A496" i="1"/>
  <c r="U3884" i="1" l="1"/>
  <c r="A3883" i="1"/>
  <c r="A2037" i="1"/>
  <c r="A3181" i="1"/>
  <c r="A497" i="1"/>
  <c r="U3885" i="1" l="1"/>
  <c r="A3884" i="1"/>
  <c r="A2038" i="1"/>
  <c r="A3182" i="1"/>
  <c r="A498" i="1"/>
  <c r="U3886" i="1" l="1"/>
  <c r="A3885" i="1"/>
  <c r="A2039" i="1"/>
  <c r="A3183" i="1"/>
  <c r="A499" i="1"/>
  <c r="U3887" i="1" l="1"/>
  <c r="A3886" i="1"/>
  <c r="A2040" i="1"/>
  <c r="A3184" i="1"/>
  <c r="A500" i="1"/>
  <c r="U3888" i="1" l="1"/>
  <c r="A3887" i="1"/>
  <c r="A2041" i="1"/>
  <c r="A3185" i="1"/>
  <c r="A501" i="1"/>
  <c r="U3889" i="1" l="1"/>
  <c r="A3888" i="1"/>
  <c r="A2042" i="1"/>
  <c r="A3186" i="1"/>
  <c r="A502" i="1"/>
  <c r="U3890" i="1" l="1"/>
  <c r="A3889" i="1"/>
  <c r="A2043" i="1"/>
  <c r="A3187" i="1"/>
  <c r="A503" i="1"/>
  <c r="U3891" i="1" l="1"/>
  <c r="A3890" i="1"/>
  <c r="A2044" i="1"/>
  <c r="A3188" i="1"/>
  <c r="A504" i="1"/>
  <c r="U3892" i="1" l="1"/>
  <c r="A3891" i="1"/>
  <c r="A2045" i="1"/>
  <c r="A3189" i="1"/>
  <c r="A505" i="1"/>
  <c r="U3893" i="1" l="1"/>
  <c r="A3892" i="1"/>
  <c r="A2046" i="1"/>
  <c r="A3190" i="1"/>
  <c r="A506" i="1"/>
  <c r="U3894" i="1" l="1"/>
  <c r="A3893" i="1"/>
  <c r="A2047" i="1"/>
  <c r="A3191" i="1"/>
  <c r="A507" i="1"/>
  <c r="U3895" i="1" l="1"/>
  <c r="A3894" i="1"/>
  <c r="A2048" i="1"/>
  <c r="A3192" i="1"/>
  <c r="A508" i="1"/>
  <c r="U3896" i="1" l="1"/>
  <c r="A3895" i="1"/>
  <c r="A2049" i="1"/>
  <c r="A3193" i="1"/>
  <c r="A509" i="1"/>
  <c r="U3897" i="1" l="1"/>
  <c r="A3896" i="1"/>
  <c r="A2050" i="1"/>
  <c r="A3194" i="1"/>
  <c r="A510" i="1"/>
  <c r="U3898" i="1" l="1"/>
  <c r="A3897" i="1"/>
  <c r="A2051" i="1"/>
  <c r="A3195" i="1"/>
  <c r="A511" i="1"/>
  <c r="U3899" i="1" l="1"/>
  <c r="A3898" i="1"/>
  <c r="A2052" i="1"/>
  <c r="A3196" i="1"/>
  <c r="A512" i="1"/>
  <c r="U3900" i="1" l="1"/>
  <c r="A3899" i="1"/>
  <c r="A2053" i="1"/>
  <c r="A3197" i="1"/>
  <c r="A513" i="1"/>
  <c r="U3901" i="1" l="1"/>
  <c r="A3900" i="1"/>
  <c r="A2054" i="1"/>
  <c r="A3198" i="1"/>
  <c r="A514" i="1"/>
  <c r="U3902" i="1" l="1"/>
  <c r="A3901" i="1"/>
  <c r="A2055" i="1"/>
  <c r="A3199" i="1"/>
  <c r="A515" i="1"/>
  <c r="U3903" i="1" l="1"/>
  <c r="A3902" i="1"/>
  <c r="A2056" i="1"/>
  <c r="A3200" i="1"/>
  <c r="A516" i="1"/>
  <c r="U3904" i="1" l="1"/>
  <c r="A3903" i="1"/>
  <c r="A2057" i="1"/>
  <c r="A3201" i="1"/>
  <c r="A517" i="1"/>
  <c r="U3905" i="1" l="1"/>
  <c r="A3904" i="1"/>
  <c r="A2058" i="1"/>
  <c r="A3202" i="1"/>
  <c r="A518" i="1"/>
  <c r="U3906" i="1" l="1"/>
  <c r="A3905" i="1"/>
  <c r="A2059" i="1"/>
  <c r="A3203" i="1"/>
  <c r="A519" i="1"/>
  <c r="U3907" i="1" l="1"/>
  <c r="A3906" i="1"/>
  <c r="A2060" i="1"/>
  <c r="A3204" i="1"/>
  <c r="A520" i="1"/>
  <c r="U3908" i="1" l="1"/>
  <c r="A3907" i="1"/>
  <c r="A2061" i="1"/>
  <c r="A3205" i="1"/>
  <c r="A521" i="1"/>
  <c r="U3909" i="1" l="1"/>
  <c r="A3908" i="1"/>
  <c r="A2062" i="1"/>
  <c r="A3206" i="1"/>
  <c r="A522" i="1"/>
  <c r="U3910" i="1" l="1"/>
  <c r="A3909" i="1"/>
  <c r="A2063" i="1"/>
  <c r="A3207" i="1"/>
  <c r="A523" i="1"/>
  <c r="U3911" i="1" l="1"/>
  <c r="A3910" i="1"/>
  <c r="A2064" i="1"/>
  <c r="A3208" i="1"/>
  <c r="A524" i="1"/>
  <c r="U3912" i="1" l="1"/>
  <c r="A3911" i="1"/>
  <c r="A2065" i="1"/>
  <c r="A3209" i="1"/>
  <c r="A525" i="1"/>
  <c r="U3913" i="1" l="1"/>
  <c r="A3912" i="1"/>
  <c r="A2066" i="1"/>
  <c r="A3210" i="1"/>
  <c r="A526" i="1"/>
  <c r="U3914" i="1" l="1"/>
  <c r="A3913" i="1"/>
  <c r="A2067" i="1"/>
  <c r="A3211" i="1"/>
  <c r="A527" i="1"/>
  <c r="U3915" i="1" l="1"/>
  <c r="A3914" i="1"/>
  <c r="A2068" i="1"/>
  <c r="A3212" i="1"/>
  <c r="A528" i="1"/>
  <c r="U3916" i="1" l="1"/>
  <c r="A3915" i="1"/>
  <c r="A2070" i="1"/>
  <c r="A3214" i="1"/>
  <c r="A530" i="1"/>
  <c r="U3918" i="1" l="1"/>
  <c r="U3919" i="1" s="1"/>
  <c r="U3920" i="1" s="1"/>
  <c r="U3921" i="1" s="1"/>
  <c r="U3922" i="1" s="1"/>
  <c r="U3923" i="1" s="1"/>
  <c r="U3924" i="1" s="1"/>
  <c r="U3925" i="1" s="1"/>
  <c r="U3926" i="1" s="1"/>
  <c r="U3927" i="1" s="1"/>
  <c r="U3928" i="1" s="1"/>
  <c r="U3929" i="1" s="1"/>
  <c r="U3930" i="1" s="1"/>
  <c r="U3931" i="1" s="1"/>
  <c r="U3932" i="1" s="1"/>
  <c r="U3933" i="1" s="1"/>
  <c r="U3934" i="1" s="1"/>
  <c r="U3935" i="1" s="1"/>
  <c r="U3936" i="1" s="1"/>
  <c r="U3937" i="1" s="1"/>
  <c r="U3938" i="1" s="1"/>
  <c r="U3939" i="1" s="1"/>
  <c r="U3940" i="1" s="1"/>
  <c r="U3941" i="1" s="1"/>
  <c r="U3942" i="1" s="1"/>
  <c r="U3943" i="1" s="1"/>
  <c r="U3944" i="1" s="1"/>
  <c r="U3945" i="1" s="1"/>
  <c r="U3946" i="1" s="1"/>
  <c r="U3947" i="1" s="1"/>
  <c r="U3948" i="1" s="1"/>
  <c r="U3949" i="1" s="1"/>
  <c r="U3950" i="1" s="1"/>
  <c r="U3951" i="1" s="1"/>
  <c r="U3952" i="1" s="1"/>
  <c r="U3953" i="1" s="1"/>
  <c r="U3954" i="1" s="1"/>
  <c r="U3955" i="1" s="1"/>
  <c r="U3956" i="1" s="1"/>
  <c r="U3957" i="1" s="1"/>
  <c r="U3958" i="1" s="1"/>
  <c r="U3959" i="1" s="1"/>
  <c r="U3960" i="1" s="1"/>
  <c r="U3962" i="1" s="1"/>
  <c r="U3963" i="1" s="1"/>
  <c r="U3964" i="1" s="1"/>
  <c r="U3965" i="1" s="1"/>
  <c r="U3966" i="1" s="1"/>
  <c r="U3967" i="1" s="1"/>
  <c r="U3968" i="1" s="1"/>
  <c r="U3969" i="1" s="1"/>
  <c r="U3970" i="1" s="1"/>
  <c r="U3971" i="1" s="1"/>
  <c r="U3972" i="1" s="1"/>
  <c r="U3973" i="1" s="1"/>
  <c r="U3974" i="1" s="1"/>
  <c r="U3975" i="1" s="1"/>
  <c r="U3976" i="1" s="1"/>
  <c r="U3977" i="1" s="1"/>
  <c r="U3978" i="1" s="1"/>
  <c r="U3979" i="1" s="1"/>
  <c r="U3980" i="1" s="1"/>
  <c r="U3981" i="1" s="1"/>
  <c r="U3982" i="1" s="1"/>
  <c r="U3983" i="1" s="1"/>
  <c r="U3984" i="1" s="1"/>
  <c r="U3985" i="1" s="1"/>
  <c r="U3986" i="1" s="1"/>
  <c r="U3987" i="1" s="1"/>
  <c r="U3988" i="1" s="1"/>
  <c r="U3989" i="1" s="1"/>
  <c r="U3990" i="1" s="1"/>
  <c r="U3991" i="1" s="1"/>
  <c r="U3992" i="1" s="1"/>
  <c r="U3993" i="1" s="1"/>
  <c r="U3994" i="1" s="1"/>
  <c r="U3995" i="1" s="1"/>
  <c r="U3996" i="1" s="1"/>
  <c r="U3997" i="1" s="1"/>
  <c r="U3998" i="1" s="1"/>
  <c r="U3999" i="1" s="1"/>
  <c r="U4000" i="1" s="1"/>
  <c r="U4001" i="1" s="1"/>
  <c r="U4002" i="1" s="1"/>
  <c r="U4003" i="1" s="1"/>
  <c r="U4004" i="1" s="1"/>
  <c r="U4006" i="1" s="1"/>
  <c r="U4007" i="1" s="1"/>
  <c r="U4008" i="1" s="1"/>
  <c r="U4009" i="1" s="1"/>
  <c r="U4010" i="1" s="1"/>
  <c r="U4011" i="1" s="1"/>
  <c r="U4012" i="1" s="1"/>
  <c r="U4013" i="1" s="1"/>
  <c r="U4014" i="1" s="1"/>
  <c r="U4015" i="1" s="1"/>
  <c r="U4016" i="1" s="1"/>
  <c r="U4017" i="1" s="1"/>
  <c r="U4018" i="1" s="1"/>
  <c r="U4019" i="1" s="1"/>
  <c r="U4020" i="1" s="1"/>
  <c r="U4021" i="1" s="1"/>
  <c r="U4022" i="1" s="1"/>
  <c r="U4023" i="1" s="1"/>
  <c r="U4024" i="1" s="1"/>
  <c r="U4025" i="1" s="1"/>
  <c r="U4026" i="1" s="1"/>
  <c r="U4027" i="1" s="1"/>
  <c r="U4028" i="1" s="1"/>
  <c r="U4029" i="1" s="1"/>
  <c r="U4030" i="1" s="1"/>
  <c r="U4031" i="1" s="1"/>
  <c r="U4032" i="1" s="1"/>
  <c r="U4033" i="1" s="1"/>
  <c r="U4034" i="1" s="1"/>
  <c r="U4035" i="1" s="1"/>
  <c r="U4036" i="1" s="1"/>
  <c r="U4037" i="1" s="1"/>
  <c r="U4038" i="1" s="1"/>
  <c r="U4039" i="1" s="1"/>
  <c r="U4040" i="1" s="1"/>
  <c r="U4041" i="1" s="1"/>
  <c r="U4042" i="1" s="1"/>
  <c r="U4043" i="1" s="1"/>
  <c r="U4044" i="1" s="1"/>
  <c r="U4045" i="1" s="1"/>
  <c r="U4046" i="1" s="1"/>
  <c r="U4047" i="1" s="1"/>
  <c r="U4048" i="1" s="1"/>
  <c r="U4050" i="1" s="1"/>
  <c r="U4051" i="1" s="1"/>
  <c r="U4052" i="1" s="1"/>
  <c r="U4053" i="1" s="1"/>
  <c r="U4054" i="1" s="1"/>
  <c r="U4055" i="1" s="1"/>
  <c r="U4056" i="1" s="1"/>
  <c r="U4057" i="1" s="1"/>
  <c r="U4058" i="1" s="1"/>
  <c r="U4059" i="1" s="1"/>
  <c r="U4060" i="1" s="1"/>
  <c r="U4061" i="1" s="1"/>
  <c r="U4062" i="1" s="1"/>
  <c r="U4063" i="1" s="1"/>
  <c r="U4064" i="1" s="1"/>
  <c r="U4065" i="1" s="1"/>
  <c r="U4066" i="1" s="1"/>
  <c r="U4067" i="1" s="1"/>
  <c r="U4068" i="1" s="1"/>
  <c r="U4069" i="1" s="1"/>
  <c r="U4070" i="1" s="1"/>
  <c r="U4071" i="1" s="1"/>
  <c r="U4072" i="1" s="1"/>
  <c r="U4073" i="1" s="1"/>
  <c r="U4074" i="1" s="1"/>
  <c r="U4075" i="1" s="1"/>
  <c r="U4076" i="1" s="1"/>
  <c r="U4077" i="1" s="1"/>
  <c r="U4078" i="1" s="1"/>
  <c r="U4079" i="1" s="1"/>
  <c r="U4080" i="1" s="1"/>
  <c r="U4081" i="1" s="1"/>
  <c r="U4082" i="1" s="1"/>
  <c r="U4083" i="1" s="1"/>
  <c r="U4084" i="1" s="1"/>
  <c r="U4085" i="1" s="1"/>
  <c r="U4086" i="1" s="1"/>
  <c r="U4087" i="1" s="1"/>
  <c r="U4088" i="1" s="1"/>
  <c r="U4089" i="1" s="1"/>
  <c r="U4090" i="1" s="1"/>
  <c r="U4091" i="1" s="1"/>
  <c r="U4092" i="1" s="1"/>
  <c r="U4094" i="1" s="1"/>
  <c r="U4095" i="1" s="1"/>
  <c r="U4096" i="1" s="1"/>
  <c r="U4097" i="1" s="1"/>
  <c r="U4098" i="1" s="1"/>
  <c r="U4099" i="1" s="1"/>
  <c r="U4100" i="1" s="1"/>
  <c r="U4101" i="1" s="1"/>
  <c r="U4102" i="1" s="1"/>
  <c r="U4103" i="1" s="1"/>
  <c r="U4104" i="1" s="1"/>
  <c r="U4105" i="1" s="1"/>
  <c r="U4106" i="1" s="1"/>
  <c r="U4107" i="1" s="1"/>
  <c r="U4108" i="1" s="1"/>
  <c r="U4109" i="1" s="1"/>
  <c r="U4110" i="1" s="1"/>
  <c r="U4111" i="1" s="1"/>
  <c r="U4112" i="1" s="1"/>
  <c r="U4113" i="1" s="1"/>
  <c r="U4114" i="1" s="1"/>
  <c r="U4115" i="1" s="1"/>
  <c r="U4116" i="1" s="1"/>
  <c r="U4117" i="1" s="1"/>
  <c r="U4118" i="1" s="1"/>
  <c r="U4119" i="1" s="1"/>
  <c r="U4120" i="1" s="1"/>
  <c r="U4121" i="1" s="1"/>
  <c r="U4122" i="1" s="1"/>
  <c r="U4123" i="1" s="1"/>
  <c r="U4124" i="1" s="1"/>
  <c r="U4125" i="1" s="1"/>
  <c r="U4126" i="1" s="1"/>
  <c r="U4127" i="1" s="1"/>
  <c r="U4128" i="1" s="1"/>
  <c r="U4129" i="1" s="1"/>
  <c r="U4130" i="1" s="1"/>
  <c r="U4131" i="1" s="1"/>
  <c r="U4132" i="1" s="1"/>
  <c r="U4133" i="1" s="1"/>
  <c r="U4134" i="1" s="1"/>
  <c r="U4135" i="1" s="1"/>
  <c r="U4136" i="1" s="1"/>
  <c r="U4138" i="1" s="1"/>
  <c r="U4139" i="1" s="1"/>
  <c r="U4140" i="1" s="1"/>
  <c r="U4141" i="1" s="1"/>
  <c r="U4142" i="1" s="1"/>
  <c r="U4143" i="1" s="1"/>
  <c r="U4144" i="1" s="1"/>
  <c r="U4145" i="1" s="1"/>
  <c r="U4146" i="1" s="1"/>
  <c r="U4147" i="1" s="1"/>
  <c r="U4148" i="1" s="1"/>
  <c r="U4149" i="1" s="1"/>
  <c r="U4150" i="1" s="1"/>
  <c r="U4151" i="1" s="1"/>
  <c r="U4152" i="1" s="1"/>
  <c r="U4153" i="1" s="1"/>
  <c r="U4154" i="1" s="1"/>
  <c r="U4155" i="1" s="1"/>
  <c r="U4156" i="1" s="1"/>
  <c r="U4157" i="1" s="1"/>
  <c r="U4158" i="1" s="1"/>
  <c r="U4159" i="1" s="1"/>
  <c r="U4160" i="1" s="1"/>
  <c r="U4161" i="1" s="1"/>
  <c r="U4162" i="1" s="1"/>
  <c r="U4163" i="1" s="1"/>
  <c r="U4164" i="1" s="1"/>
  <c r="U4165" i="1" s="1"/>
  <c r="U4166" i="1" s="1"/>
  <c r="U4167" i="1" s="1"/>
  <c r="U4168" i="1" s="1"/>
  <c r="U4169" i="1" s="1"/>
  <c r="U4170" i="1" s="1"/>
  <c r="U4171" i="1" s="1"/>
  <c r="U4172" i="1" s="1"/>
  <c r="U4173" i="1" s="1"/>
  <c r="U4174" i="1" s="1"/>
  <c r="U4175" i="1" s="1"/>
  <c r="U4176" i="1" s="1"/>
  <c r="U4177" i="1" s="1"/>
  <c r="U4178" i="1" s="1"/>
  <c r="U4179" i="1" s="1"/>
  <c r="U4180" i="1" s="1"/>
  <c r="U4182" i="1" s="1"/>
  <c r="U4183" i="1" s="1"/>
  <c r="U4184" i="1" s="1"/>
  <c r="U4185" i="1" s="1"/>
  <c r="U4186" i="1" s="1"/>
  <c r="U4187" i="1" s="1"/>
  <c r="U4188" i="1" s="1"/>
  <c r="U4189" i="1" s="1"/>
  <c r="U4190" i="1" s="1"/>
  <c r="U4191" i="1" s="1"/>
  <c r="U4192" i="1" s="1"/>
  <c r="U4193" i="1" s="1"/>
  <c r="U4194" i="1" s="1"/>
  <c r="U4195" i="1" s="1"/>
  <c r="U4196" i="1" s="1"/>
  <c r="U4197" i="1" s="1"/>
  <c r="U4198" i="1" s="1"/>
  <c r="U4199" i="1" s="1"/>
  <c r="U4200" i="1" s="1"/>
  <c r="U4201" i="1" s="1"/>
  <c r="U4202" i="1" s="1"/>
  <c r="U4203" i="1" s="1"/>
  <c r="U4204" i="1" s="1"/>
  <c r="U4205" i="1" s="1"/>
  <c r="U4206" i="1" s="1"/>
  <c r="U4207" i="1" s="1"/>
  <c r="U4208" i="1" s="1"/>
  <c r="U4209" i="1" s="1"/>
  <c r="U4210" i="1" s="1"/>
  <c r="U4211" i="1" s="1"/>
  <c r="U4212" i="1" s="1"/>
  <c r="U4213" i="1" s="1"/>
  <c r="U4214" i="1" s="1"/>
  <c r="U4215" i="1" s="1"/>
  <c r="U4216" i="1" s="1"/>
  <c r="U4217" i="1" s="1"/>
  <c r="U4218" i="1" s="1"/>
  <c r="U4219" i="1" s="1"/>
  <c r="U4220" i="1" s="1"/>
  <c r="U4221" i="1" s="1"/>
  <c r="U4222" i="1" s="1"/>
  <c r="U4223" i="1" s="1"/>
  <c r="U4224" i="1" s="1"/>
  <c r="U4226" i="1" s="1"/>
  <c r="U4227" i="1" s="1"/>
  <c r="U4228" i="1" s="1"/>
  <c r="U4229" i="1" s="1"/>
  <c r="U4230" i="1" s="1"/>
  <c r="U4231" i="1" s="1"/>
  <c r="U4232" i="1" s="1"/>
  <c r="U4233" i="1" s="1"/>
  <c r="U4234" i="1" s="1"/>
  <c r="U4235" i="1" s="1"/>
  <c r="U4236" i="1" s="1"/>
  <c r="U4237" i="1" s="1"/>
  <c r="U4238" i="1" s="1"/>
  <c r="U4239" i="1" s="1"/>
  <c r="U4240" i="1" s="1"/>
  <c r="U4241" i="1" s="1"/>
  <c r="U4242" i="1" s="1"/>
  <c r="U4243" i="1" s="1"/>
  <c r="U4244" i="1" s="1"/>
  <c r="U4245" i="1" s="1"/>
  <c r="U4246" i="1" s="1"/>
  <c r="U4247" i="1" s="1"/>
  <c r="U4248" i="1" s="1"/>
  <c r="U4249" i="1" s="1"/>
  <c r="U4250" i="1" s="1"/>
  <c r="U4251" i="1" s="1"/>
  <c r="U4252" i="1" s="1"/>
  <c r="U4253" i="1" s="1"/>
  <c r="U4254" i="1" s="1"/>
  <c r="U4255" i="1" s="1"/>
  <c r="U4256" i="1" s="1"/>
  <c r="U4257" i="1" s="1"/>
  <c r="U4258" i="1" s="1"/>
  <c r="U4259" i="1" s="1"/>
  <c r="U4260" i="1" s="1"/>
  <c r="U4261" i="1" s="1"/>
  <c r="U4262" i="1" s="1"/>
  <c r="U4263" i="1" s="1"/>
  <c r="U4264" i="1" s="1"/>
  <c r="U4265" i="1" s="1"/>
  <c r="U4266" i="1" s="1"/>
  <c r="U4267" i="1" s="1"/>
  <c r="U4268" i="1" s="1"/>
  <c r="U4270" i="1" s="1"/>
  <c r="U4271" i="1" s="1"/>
  <c r="U4272" i="1" s="1"/>
  <c r="U4273" i="1" s="1"/>
  <c r="U4274" i="1" s="1"/>
  <c r="U4275" i="1" s="1"/>
  <c r="U4276" i="1" s="1"/>
  <c r="U4277" i="1" s="1"/>
  <c r="U4278" i="1" s="1"/>
  <c r="U4279" i="1" s="1"/>
  <c r="U4280" i="1" s="1"/>
  <c r="U4281" i="1" s="1"/>
  <c r="U4282" i="1" s="1"/>
  <c r="U4283" i="1" s="1"/>
  <c r="U4284" i="1" s="1"/>
  <c r="U4285" i="1" s="1"/>
  <c r="U4286" i="1" s="1"/>
  <c r="U4287" i="1" s="1"/>
  <c r="U4288" i="1" s="1"/>
  <c r="U4289" i="1" s="1"/>
  <c r="U4290" i="1" s="1"/>
  <c r="U4291" i="1" s="1"/>
  <c r="U4292" i="1" s="1"/>
  <c r="U4293" i="1" s="1"/>
  <c r="U4294" i="1" s="1"/>
  <c r="U4295" i="1" s="1"/>
  <c r="U4296" i="1" s="1"/>
  <c r="U4297" i="1" s="1"/>
  <c r="U4298" i="1" s="1"/>
  <c r="U4299" i="1" s="1"/>
  <c r="U4300" i="1" s="1"/>
  <c r="U4301" i="1" s="1"/>
  <c r="U4302" i="1" s="1"/>
  <c r="U4303" i="1" s="1"/>
  <c r="U4304" i="1" s="1"/>
  <c r="U4305" i="1" s="1"/>
  <c r="U4306" i="1" s="1"/>
  <c r="U4307" i="1" s="1"/>
  <c r="U4308" i="1" s="1"/>
  <c r="U4309" i="1" s="1"/>
  <c r="U4310" i="1" s="1"/>
  <c r="U4311" i="1" s="1"/>
  <c r="U4312" i="1" s="1"/>
  <c r="U4314" i="1" s="1"/>
  <c r="A3916" i="1"/>
  <c r="A2071" i="1"/>
  <c r="A3215" i="1"/>
  <c r="A531" i="1"/>
  <c r="U4315" i="1" l="1"/>
  <c r="A4314" i="1"/>
  <c r="A2072" i="1"/>
  <c r="A3216" i="1"/>
  <c r="A532" i="1"/>
  <c r="U4316" i="1" l="1"/>
  <c r="A4315" i="1"/>
  <c r="A2073" i="1"/>
  <c r="A3217" i="1"/>
  <c r="A533" i="1"/>
  <c r="U4317" i="1" l="1"/>
  <c r="A4316" i="1"/>
  <c r="A2074" i="1"/>
  <c r="A3218" i="1"/>
  <c r="A534" i="1"/>
  <c r="U4318" i="1" l="1"/>
  <c r="A4317" i="1"/>
  <c r="A2075" i="1"/>
  <c r="A3219" i="1"/>
  <c r="A535" i="1"/>
  <c r="U4319" i="1" l="1"/>
  <c r="A4318" i="1"/>
  <c r="A2076" i="1"/>
  <c r="A3220" i="1"/>
  <c r="A536" i="1"/>
  <c r="U4320" i="1" l="1"/>
  <c r="A4319" i="1"/>
  <c r="A2077" i="1"/>
  <c r="A3221" i="1"/>
  <c r="A537" i="1"/>
  <c r="U4321" i="1" l="1"/>
  <c r="A4320" i="1"/>
  <c r="A2078" i="1"/>
  <c r="A3222" i="1"/>
  <c r="A538" i="1"/>
  <c r="U4322" i="1" l="1"/>
  <c r="A4321" i="1"/>
  <c r="A2079" i="1"/>
  <c r="A3223" i="1"/>
  <c r="A539" i="1"/>
  <c r="U4323" i="1" l="1"/>
  <c r="A4322" i="1"/>
  <c r="A2080" i="1"/>
  <c r="A3224" i="1"/>
  <c r="A540" i="1"/>
  <c r="U4324" i="1" l="1"/>
  <c r="A4323" i="1"/>
  <c r="A2081" i="1"/>
  <c r="A3225" i="1"/>
  <c r="A541" i="1"/>
  <c r="U4325" i="1" l="1"/>
  <c r="A4324" i="1"/>
  <c r="A2082" i="1"/>
  <c r="A3226" i="1"/>
  <c r="A542" i="1"/>
  <c r="U4326" i="1" l="1"/>
  <c r="A4325" i="1"/>
  <c r="A2083" i="1"/>
  <c r="A3227" i="1"/>
  <c r="A543" i="1"/>
  <c r="U4327" i="1" l="1"/>
  <c r="A4326" i="1"/>
  <c r="A2084" i="1"/>
  <c r="A3228" i="1"/>
  <c r="A544" i="1"/>
  <c r="U4328" i="1" l="1"/>
  <c r="A4327" i="1"/>
  <c r="A2085" i="1"/>
  <c r="A3229" i="1"/>
  <c r="A545" i="1"/>
  <c r="U4329" i="1" l="1"/>
  <c r="A4328" i="1"/>
  <c r="A2086" i="1"/>
  <c r="A3230" i="1"/>
  <c r="A546" i="1"/>
  <c r="U4330" i="1" l="1"/>
  <c r="A4329" i="1"/>
  <c r="A2087" i="1"/>
  <c r="A3231" i="1"/>
  <c r="A547" i="1"/>
  <c r="U4331" i="1" l="1"/>
  <c r="A4330" i="1"/>
  <c r="A2088" i="1"/>
  <c r="A3232" i="1"/>
  <c r="A548" i="1"/>
  <c r="U4332" i="1" l="1"/>
  <c r="A4331" i="1"/>
  <c r="A2089" i="1"/>
  <c r="A3233" i="1"/>
  <c r="A549" i="1"/>
  <c r="U4333" i="1" l="1"/>
  <c r="A4332" i="1"/>
  <c r="A2090" i="1"/>
  <c r="A3234" i="1"/>
  <c r="A550" i="1"/>
  <c r="U4334" i="1" l="1"/>
  <c r="A4333" i="1"/>
  <c r="A2091" i="1"/>
  <c r="A3235" i="1"/>
  <c r="A551" i="1"/>
  <c r="U4335" i="1" l="1"/>
  <c r="A4334" i="1"/>
  <c r="A2092" i="1"/>
  <c r="A3236" i="1"/>
  <c r="A552" i="1"/>
  <c r="U4336" i="1" l="1"/>
  <c r="A4335" i="1"/>
  <c r="A2093" i="1"/>
  <c r="A3237" i="1"/>
  <c r="A553" i="1"/>
  <c r="U4337" i="1" l="1"/>
  <c r="A4336" i="1"/>
  <c r="A2094" i="1"/>
  <c r="A3238" i="1"/>
  <c r="A554" i="1"/>
  <c r="U4338" i="1" l="1"/>
  <c r="A4337" i="1"/>
  <c r="A2095" i="1"/>
  <c r="A3239" i="1"/>
  <c r="A555" i="1"/>
  <c r="U4339" i="1" l="1"/>
  <c r="A4338" i="1"/>
  <c r="A2096" i="1"/>
  <c r="A3240" i="1"/>
  <c r="A556" i="1"/>
  <c r="U4340" i="1" l="1"/>
  <c r="A4339" i="1"/>
  <c r="A2097" i="1"/>
  <c r="A3241" i="1"/>
  <c r="A557" i="1"/>
  <c r="U4341" i="1" l="1"/>
  <c r="A4340" i="1"/>
  <c r="A2098" i="1"/>
  <c r="A3242" i="1"/>
  <c r="A558" i="1"/>
  <c r="U4342" i="1" l="1"/>
  <c r="A4341" i="1"/>
  <c r="A2099" i="1"/>
  <c r="A3243" i="1"/>
  <c r="A559" i="1"/>
  <c r="U4343" i="1" l="1"/>
  <c r="A4342" i="1"/>
  <c r="A2100" i="1"/>
  <c r="A3244" i="1"/>
  <c r="A560" i="1"/>
  <c r="U4344" i="1" l="1"/>
  <c r="A4343" i="1"/>
  <c r="A2101" i="1"/>
  <c r="A3245" i="1"/>
  <c r="A561" i="1"/>
  <c r="U4345" i="1" l="1"/>
  <c r="A4344" i="1"/>
  <c r="A2102" i="1"/>
  <c r="A3246" i="1"/>
  <c r="A562" i="1"/>
  <c r="U4346" i="1" l="1"/>
  <c r="A4345" i="1"/>
  <c r="A2103" i="1"/>
  <c r="A3247" i="1"/>
  <c r="A563" i="1"/>
  <c r="U4347" i="1" l="1"/>
  <c r="A4346" i="1"/>
  <c r="A2104" i="1"/>
  <c r="A3248" i="1"/>
  <c r="A564" i="1"/>
  <c r="U4348" i="1" l="1"/>
  <c r="A4347" i="1"/>
  <c r="A2105" i="1"/>
  <c r="A3249" i="1"/>
  <c r="A565" i="1"/>
  <c r="U4349" i="1" l="1"/>
  <c r="A4348" i="1"/>
  <c r="A2106" i="1"/>
  <c r="A3250" i="1"/>
  <c r="A566" i="1"/>
  <c r="U4350" i="1" l="1"/>
  <c r="A4349" i="1"/>
  <c r="A2107" i="1"/>
  <c r="A3251" i="1"/>
  <c r="A567" i="1"/>
  <c r="U4351" i="1" l="1"/>
  <c r="A4350" i="1"/>
  <c r="A2108" i="1"/>
  <c r="A3252" i="1"/>
  <c r="A568" i="1"/>
  <c r="U4352" i="1" l="1"/>
  <c r="A4351" i="1"/>
  <c r="A2109" i="1"/>
  <c r="A3253" i="1"/>
  <c r="A569" i="1"/>
  <c r="U4353" i="1" l="1"/>
  <c r="A4352" i="1"/>
  <c r="A2110" i="1"/>
  <c r="A3254" i="1"/>
  <c r="A570" i="1"/>
  <c r="U4354" i="1" l="1"/>
  <c r="A4353" i="1"/>
  <c r="A2111" i="1"/>
  <c r="A3255" i="1"/>
  <c r="A571" i="1"/>
  <c r="U4355" i="1" l="1"/>
  <c r="A4354" i="1"/>
  <c r="A2112" i="1"/>
  <c r="A3256" i="1"/>
  <c r="A572" i="1"/>
  <c r="U4356" i="1" l="1"/>
  <c r="A4355" i="1"/>
  <c r="A2114" i="1"/>
  <c r="A3258" i="1"/>
  <c r="A574" i="1"/>
  <c r="U4358" i="1" l="1"/>
  <c r="U4359" i="1" s="1"/>
  <c r="U4360" i="1" s="1"/>
  <c r="U4361" i="1" s="1"/>
  <c r="U4362" i="1" s="1"/>
  <c r="U4363" i="1" s="1"/>
  <c r="U4364" i="1" s="1"/>
  <c r="U4365" i="1" s="1"/>
  <c r="U4366" i="1" s="1"/>
  <c r="U4367" i="1" s="1"/>
  <c r="U4368" i="1" s="1"/>
  <c r="U4369" i="1" s="1"/>
  <c r="U4370" i="1" s="1"/>
  <c r="U4371" i="1" s="1"/>
  <c r="U4372" i="1" s="1"/>
  <c r="U4373" i="1" s="1"/>
  <c r="U4374" i="1" s="1"/>
  <c r="U4375" i="1" s="1"/>
  <c r="U4376" i="1" s="1"/>
  <c r="U4377" i="1" s="1"/>
  <c r="U4378" i="1" s="1"/>
  <c r="U4379" i="1" s="1"/>
  <c r="U4380" i="1" s="1"/>
  <c r="U4381" i="1" s="1"/>
  <c r="U4382" i="1" s="1"/>
  <c r="U4383" i="1" s="1"/>
  <c r="U4384" i="1" s="1"/>
  <c r="U4385" i="1" s="1"/>
  <c r="U4386" i="1" s="1"/>
  <c r="U4387" i="1" s="1"/>
  <c r="U4388" i="1" s="1"/>
  <c r="U4389" i="1" s="1"/>
  <c r="U4390" i="1" s="1"/>
  <c r="U4391" i="1" s="1"/>
  <c r="U4392" i="1" s="1"/>
  <c r="U4393" i="1" s="1"/>
  <c r="U4394" i="1" s="1"/>
  <c r="U4395" i="1" s="1"/>
  <c r="U4396" i="1" s="1"/>
  <c r="U4397" i="1" s="1"/>
  <c r="U4398" i="1" s="1"/>
  <c r="U4399" i="1" s="1"/>
  <c r="U4400" i="1" s="1"/>
  <c r="A4356" i="1"/>
  <c r="A2115" i="1"/>
  <c r="A3259" i="1"/>
  <c r="A575" i="1"/>
  <c r="A2116" i="1" l="1"/>
  <c r="A3260" i="1"/>
  <c r="A576" i="1"/>
  <c r="A2117" i="1" l="1"/>
  <c r="A3261" i="1"/>
  <c r="A577" i="1"/>
  <c r="A2118" i="1" l="1"/>
  <c r="A3262" i="1"/>
  <c r="A578" i="1"/>
  <c r="A2119" i="1" l="1"/>
  <c r="A3263" i="1"/>
  <c r="A579" i="1"/>
  <c r="A2120" i="1" l="1"/>
  <c r="A3264" i="1"/>
  <c r="A580" i="1"/>
  <c r="A2121" i="1" l="1"/>
  <c r="A3265" i="1"/>
  <c r="A581" i="1"/>
  <c r="A2122" i="1" l="1"/>
  <c r="A3266" i="1"/>
  <c r="A582" i="1"/>
  <c r="A2123" i="1" l="1"/>
  <c r="A3267" i="1"/>
  <c r="A583" i="1"/>
  <c r="A2124" i="1" l="1"/>
  <c r="A3268" i="1"/>
  <c r="A584" i="1"/>
  <c r="A2125" i="1" l="1"/>
  <c r="A3269" i="1"/>
  <c r="A585" i="1"/>
  <c r="A2126" i="1" l="1"/>
  <c r="A3270" i="1"/>
  <c r="A586" i="1"/>
  <c r="A2127" i="1" l="1"/>
  <c r="A3271" i="1"/>
  <c r="A587" i="1"/>
  <c r="A2128" i="1" l="1"/>
  <c r="A3272" i="1"/>
  <c r="A588" i="1"/>
  <c r="A2129" i="1" l="1"/>
  <c r="A3273" i="1"/>
  <c r="A589" i="1"/>
  <c r="A2130" i="1" l="1"/>
  <c r="A3274" i="1"/>
  <c r="A590" i="1"/>
  <c r="A2131" i="1" l="1"/>
  <c r="A3275" i="1"/>
  <c r="A591" i="1"/>
  <c r="A2132" i="1" l="1"/>
  <c r="A3276" i="1"/>
  <c r="A592" i="1"/>
  <c r="A2133" i="1" l="1"/>
  <c r="A3277" i="1"/>
  <c r="A593" i="1"/>
  <c r="A2134" i="1" l="1"/>
  <c r="A3278" i="1"/>
  <c r="A594" i="1"/>
  <c r="A2135" i="1" l="1"/>
  <c r="A3279" i="1"/>
  <c r="A595" i="1"/>
  <c r="A2136" i="1" l="1"/>
  <c r="A3280" i="1"/>
  <c r="A596" i="1"/>
  <c r="A2137" i="1" l="1"/>
  <c r="A3281" i="1"/>
  <c r="A597" i="1"/>
  <c r="A2138" i="1" l="1"/>
  <c r="A3282" i="1"/>
  <c r="A598" i="1"/>
  <c r="A2139" i="1" l="1"/>
  <c r="A3283" i="1"/>
  <c r="A599" i="1"/>
  <c r="A2140" i="1" l="1"/>
  <c r="A3284" i="1"/>
  <c r="A600" i="1"/>
  <c r="A2141" i="1" l="1"/>
  <c r="A3285" i="1"/>
  <c r="A601" i="1"/>
  <c r="A2142" i="1" l="1"/>
  <c r="A3286" i="1"/>
  <c r="A602" i="1"/>
  <c r="A2143" i="1" l="1"/>
  <c r="A3287" i="1"/>
  <c r="A603" i="1"/>
  <c r="A2144" i="1" l="1"/>
  <c r="A3288" i="1"/>
  <c r="A604" i="1"/>
  <c r="A2145" i="1" l="1"/>
  <c r="A3289" i="1"/>
  <c r="A605" i="1"/>
  <c r="A2146" i="1" l="1"/>
  <c r="A3290" i="1"/>
  <c r="A606" i="1"/>
  <c r="A2147" i="1" l="1"/>
  <c r="A3291" i="1"/>
  <c r="A607" i="1"/>
  <c r="A2148" i="1" l="1"/>
  <c r="A3292" i="1"/>
  <c r="A608" i="1"/>
  <c r="A2149" i="1" l="1"/>
  <c r="A3293" i="1"/>
  <c r="A609" i="1"/>
  <c r="A2150" i="1" l="1"/>
  <c r="A3294" i="1"/>
  <c r="A610" i="1"/>
  <c r="A2151" i="1" l="1"/>
  <c r="A3295" i="1"/>
  <c r="A611" i="1"/>
  <c r="A2152" i="1" l="1"/>
  <c r="A3296" i="1"/>
  <c r="A612" i="1"/>
  <c r="A2153" i="1" l="1"/>
  <c r="A3297" i="1"/>
  <c r="A613" i="1"/>
  <c r="A2154" i="1" l="1"/>
  <c r="A3298" i="1"/>
  <c r="A614" i="1"/>
  <c r="A2155" i="1" l="1"/>
  <c r="A3299" i="1"/>
  <c r="A615" i="1"/>
  <c r="A2156" i="1" l="1"/>
  <c r="A3300" i="1"/>
  <c r="A616" i="1"/>
  <c r="A2158" i="1" l="1"/>
  <c r="A3302" i="1"/>
  <c r="A618" i="1"/>
  <c r="A2159" i="1" l="1"/>
  <c r="A3303" i="1"/>
  <c r="A619" i="1"/>
  <c r="A2160" i="1" l="1"/>
  <c r="A3304" i="1"/>
  <c r="A620" i="1"/>
  <c r="A2161" i="1" l="1"/>
  <c r="A3305" i="1"/>
  <c r="A621" i="1"/>
  <c r="A2162" i="1" l="1"/>
  <c r="A3306" i="1"/>
  <c r="A622" i="1"/>
  <c r="A2163" i="1" l="1"/>
  <c r="A3307" i="1"/>
  <c r="A623" i="1"/>
  <c r="A2164" i="1" l="1"/>
  <c r="A3308" i="1"/>
  <c r="A624" i="1"/>
  <c r="A2165" i="1" l="1"/>
  <c r="A3309" i="1"/>
  <c r="A625" i="1"/>
  <c r="A2166" i="1" l="1"/>
  <c r="A3310" i="1"/>
  <c r="A626" i="1"/>
  <c r="A2167" i="1" l="1"/>
  <c r="A3311" i="1"/>
  <c r="A627" i="1"/>
  <c r="A2168" i="1" l="1"/>
  <c r="A3312" i="1"/>
  <c r="A628" i="1"/>
  <c r="A2169" i="1" l="1"/>
  <c r="A3313" i="1"/>
  <c r="A629" i="1"/>
  <c r="A2170" i="1" l="1"/>
  <c r="A3314" i="1"/>
  <c r="A630" i="1"/>
  <c r="A2171" i="1" l="1"/>
  <c r="A3315" i="1"/>
  <c r="A631" i="1"/>
  <c r="A2172" i="1" l="1"/>
  <c r="A3316" i="1"/>
  <c r="A632" i="1"/>
  <c r="A2173" i="1" l="1"/>
  <c r="A3317" i="1"/>
  <c r="A633" i="1"/>
  <c r="A2174" i="1" l="1"/>
  <c r="A3318" i="1"/>
  <c r="A634" i="1"/>
  <c r="A2175" i="1" l="1"/>
  <c r="A3319" i="1"/>
  <c r="A635" i="1"/>
  <c r="A2176" i="1" l="1"/>
  <c r="A3320" i="1"/>
  <c r="A636" i="1"/>
  <c r="A2177" i="1" l="1"/>
  <c r="A3321" i="1"/>
  <c r="A637" i="1"/>
  <c r="A2178" i="1" l="1"/>
  <c r="A3322" i="1"/>
  <c r="A638" i="1"/>
  <c r="A2179" i="1" l="1"/>
  <c r="A3323" i="1"/>
  <c r="A639" i="1"/>
  <c r="A2180" i="1" l="1"/>
  <c r="A3324" i="1"/>
  <c r="A640" i="1"/>
  <c r="A2181" i="1" l="1"/>
  <c r="A3325" i="1"/>
  <c r="A641" i="1"/>
  <c r="A2182" i="1" l="1"/>
  <c r="A3326" i="1"/>
  <c r="A642" i="1"/>
  <c r="A2183" i="1" l="1"/>
  <c r="A3327" i="1"/>
  <c r="A643" i="1"/>
  <c r="A2184" i="1" l="1"/>
  <c r="A3328" i="1"/>
  <c r="A644" i="1"/>
  <c r="A2185" i="1" l="1"/>
  <c r="A3329" i="1"/>
  <c r="A645" i="1"/>
  <c r="A2186" i="1" l="1"/>
  <c r="A3330" i="1"/>
  <c r="A646" i="1"/>
  <c r="A2187" i="1" l="1"/>
  <c r="A3331" i="1"/>
  <c r="A647" i="1"/>
  <c r="A2188" i="1" l="1"/>
  <c r="A3332" i="1"/>
  <c r="A648" i="1"/>
  <c r="A2189" i="1" l="1"/>
  <c r="A3333" i="1"/>
  <c r="A649" i="1"/>
  <c r="A2190" i="1" l="1"/>
  <c r="A3334" i="1"/>
  <c r="A650" i="1"/>
  <c r="A2191" i="1" l="1"/>
  <c r="A3335" i="1"/>
  <c r="A651" i="1"/>
  <c r="A2192" i="1" l="1"/>
  <c r="A3336" i="1"/>
  <c r="A652" i="1"/>
  <c r="A2193" i="1" l="1"/>
  <c r="A3337" i="1"/>
  <c r="A653" i="1"/>
  <c r="A2194" i="1" l="1"/>
  <c r="A3338" i="1"/>
  <c r="A654" i="1"/>
  <c r="A2195" i="1" l="1"/>
  <c r="A3339" i="1"/>
  <c r="A655" i="1"/>
  <c r="A2196" i="1" l="1"/>
  <c r="A3340" i="1"/>
  <c r="A656" i="1"/>
  <c r="A2197" i="1" l="1"/>
  <c r="A3341" i="1"/>
  <c r="A657" i="1"/>
  <c r="A2198" i="1" l="1"/>
  <c r="A3342" i="1"/>
  <c r="A658" i="1"/>
  <c r="A2199" i="1" l="1"/>
  <c r="A3343" i="1"/>
  <c r="A3344" i="1"/>
  <c r="A659" i="1"/>
  <c r="A2200" i="1" l="1"/>
  <c r="A660" i="1"/>
  <c r="A2202" i="1" l="1"/>
  <c r="A662" i="1"/>
  <c r="A2203" i="1" l="1"/>
  <c r="A663" i="1"/>
  <c r="A2204" i="1" l="1"/>
  <c r="A664" i="1"/>
  <c r="A2205" i="1" l="1"/>
  <c r="A665" i="1"/>
  <c r="A2206" i="1" l="1"/>
  <c r="A666" i="1"/>
  <c r="A2207" i="1" l="1"/>
  <c r="A667" i="1"/>
  <c r="A2208" i="1" l="1"/>
  <c r="A668" i="1"/>
  <c r="A2209" i="1" l="1"/>
  <c r="A669" i="1"/>
  <c r="A2210" i="1" l="1"/>
  <c r="A670" i="1"/>
  <c r="A2211" i="1" l="1"/>
  <c r="A671" i="1"/>
  <c r="A2212" i="1" l="1"/>
  <c r="A672" i="1"/>
  <c r="A2213" i="1" l="1"/>
  <c r="A673" i="1"/>
  <c r="A2214" i="1" l="1"/>
  <c r="A674" i="1"/>
  <c r="A2215" i="1" l="1"/>
  <c r="A675" i="1"/>
  <c r="A2216" i="1" l="1"/>
  <c r="A676" i="1"/>
  <c r="A2217" i="1" l="1"/>
  <c r="A677" i="1"/>
  <c r="A2218" i="1" l="1"/>
  <c r="A678" i="1"/>
  <c r="A2219" i="1" l="1"/>
  <c r="A679" i="1"/>
  <c r="A2220" i="1" l="1"/>
  <c r="A680" i="1"/>
  <c r="A2221" i="1" l="1"/>
  <c r="A681" i="1"/>
  <c r="A2222" i="1" l="1"/>
  <c r="A682" i="1"/>
  <c r="A2223" i="1" l="1"/>
  <c r="A683" i="1"/>
  <c r="A2224" i="1" l="1"/>
  <c r="A684" i="1"/>
  <c r="A2225" i="1" l="1"/>
  <c r="A685" i="1"/>
  <c r="A2226" i="1" l="1"/>
  <c r="A686" i="1"/>
  <c r="A2227" i="1" l="1"/>
  <c r="A687" i="1"/>
  <c r="A2228" i="1" l="1"/>
  <c r="A688" i="1"/>
  <c r="A2229" i="1" l="1"/>
  <c r="A689" i="1"/>
  <c r="A2230" i="1" l="1"/>
  <c r="A690" i="1"/>
  <c r="A2231" i="1" l="1"/>
  <c r="A691" i="1"/>
  <c r="A2232" i="1" l="1"/>
  <c r="A692" i="1"/>
  <c r="A2233" i="1" l="1"/>
  <c r="A693" i="1"/>
  <c r="A2234" i="1" l="1"/>
  <c r="A694" i="1"/>
  <c r="A2235" i="1" l="1"/>
  <c r="A695" i="1"/>
  <c r="A2236" i="1" l="1"/>
  <c r="A696" i="1"/>
  <c r="A2237" i="1" l="1"/>
  <c r="A697" i="1"/>
  <c r="A2238" i="1" l="1"/>
  <c r="A698" i="1"/>
  <c r="A2239" i="1" l="1"/>
  <c r="A699" i="1"/>
  <c r="A2240" i="1" l="1"/>
  <c r="A700" i="1"/>
  <c r="A2241" i="1" l="1"/>
  <c r="A701" i="1"/>
  <c r="A2242" i="1" l="1"/>
  <c r="A702" i="1"/>
  <c r="A2243" i="1" l="1"/>
  <c r="A703" i="1"/>
  <c r="A2244" i="1" l="1"/>
  <c r="A704" i="1"/>
  <c r="A2246" i="1" l="1"/>
  <c r="A706" i="1"/>
  <c r="A2247" i="1" l="1"/>
  <c r="A707" i="1"/>
  <c r="A2248" i="1" l="1"/>
  <c r="A708" i="1"/>
  <c r="A2249" i="1" l="1"/>
  <c r="A709" i="1"/>
  <c r="A2250" i="1" l="1"/>
  <c r="A710" i="1"/>
  <c r="A2251" i="1" l="1"/>
  <c r="A711" i="1"/>
  <c r="A2252" i="1" l="1"/>
  <c r="A712" i="1"/>
  <c r="A2253" i="1" l="1"/>
  <c r="A713" i="1"/>
  <c r="A2254" i="1" l="1"/>
  <c r="A714" i="1"/>
  <c r="A2255" i="1" l="1"/>
  <c r="A715" i="1"/>
  <c r="A2256" i="1" l="1"/>
  <c r="A716" i="1"/>
  <c r="A2257" i="1" l="1"/>
  <c r="A717" i="1"/>
  <c r="A2258" i="1" l="1"/>
  <c r="A718" i="1"/>
  <c r="A2259" i="1" l="1"/>
  <c r="A719" i="1"/>
  <c r="A2260" i="1" l="1"/>
  <c r="A720" i="1"/>
  <c r="A2261" i="1" l="1"/>
  <c r="A721" i="1"/>
  <c r="A2262" i="1" l="1"/>
  <c r="A722" i="1"/>
  <c r="A2263" i="1" l="1"/>
  <c r="A723" i="1"/>
  <c r="A2264" i="1" l="1"/>
  <c r="A724" i="1"/>
  <c r="A2265" i="1" l="1"/>
  <c r="A725" i="1"/>
  <c r="A2266" i="1" l="1"/>
  <c r="A726" i="1"/>
  <c r="A2267" i="1" l="1"/>
  <c r="A727" i="1"/>
  <c r="A2268" i="1" l="1"/>
  <c r="A728" i="1"/>
  <c r="A2269" i="1" l="1"/>
  <c r="A729" i="1"/>
  <c r="A2270" i="1" l="1"/>
  <c r="A730" i="1"/>
  <c r="A2271" i="1" l="1"/>
  <c r="A731" i="1"/>
  <c r="A2272" i="1" l="1"/>
  <c r="A732" i="1"/>
  <c r="A2273" i="1" l="1"/>
  <c r="A733" i="1"/>
  <c r="A2274" i="1" l="1"/>
  <c r="A734" i="1"/>
  <c r="A2275" i="1" l="1"/>
  <c r="A735" i="1"/>
  <c r="A2276" i="1" l="1"/>
  <c r="A736" i="1"/>
  <c r="A2277" i="1" l="1"/>
  <c r="A737" i="1"/>
  <c r="A2278" i="1" l="1"/>
  <c r="A738" i="1"/>
  <c r="A2279" i="1" l="1"/>
  <c r="A739" i="1"/>
  <c r="A2280" i="1" l="1"/>
  <c r="A740" i="1"/>
  <c r="A2281" i="1" l="1"/>
  <c r="A741" i="1"/>
  <c r="A2282" i="1" l="1"/>
  <c r="A742" i="1"/>
  <c r="A2283" i="1" l="1"/>
  <c r="A743" i="1"/>
  <c r="A2284" i="1" l="1"/>
  <c r="A744" i="1"/>
  <c r="A2285" i="1" l="1"/>
  <c r="A745" i="1"/>
  <c r="A2286" i="1" l="1"/>
  <c r="A746" i="1"/>
  <c r="A2287" i="1" l="1"/>
  <c r="A747" i="1"/>
  <c r="A2288" i="1" l="1"/>
  <c r="A748" i="1"/>
  <c r="A2290" i="1" l="1"/>
  <c r="A750" i="1"/>
  <c r="A2291" i="1" l="1"/>
  <c r="A751" i="1"/>
  <c r="A2292" i="1" l="1"/>
  <c r="A752" i="1"/>
  <c r="A2293" i="1" l="1"/>
  <c r="A753" i="1"/>
  <c r="A2294" i="1" l="1"/>
  <c r="A2295" i="1" l="1"/>
  <c r="A755" i="1"/>
  <c r="A2296" i="1" l="1"/>
  <c r="A756" i="1"/>
  <c r="A2297" i="1" l="1"/>
  <c r="A757" i="1"/>
  <c r="A2298" i="1" l="1"/>
  <c r="A758" i="1"/>
  <c r="A2299" i="1" l="1"/>
  <c r="A759" i="1"/>
  <c r="A2300" i="1" l="1"/>
  <c r="A760" i="1"/>
  <c r="A2301" i="1" l="1"/>
  <c r="A761" i="1"/>
  <c r="A2302" i="1" l="1"/>
  <c r="A762" i="1"/>
  <c r="A2303" i="1" l="1"/>
  <c r="A763" i="1"/>
  <c r="A2304" i="1" l="1"/>
  <c r="A764" i="1"/>
  <c r="A2305" i="1" l="1"/>
  <c r="A765" i="1"/>
  <c r="A2306" i="1" l="1"/>
  <c r="A766" i="1"/>
  <c r="A2307" i="1" l="1"/>
  <c r="A767" i="1"/>
  <c r="A2308" i="1" l="1"/>
  <c r="A768" i="1"/>
  <c r="A2309" i="1" l="1"/>
  <c r="A769" i="1"/>
  <c r="A2310" i="1" l="1"/>
  <c r="A770" i="1"/>
  <c r="A2311" i="1" l="1"/>
  <c r="A771" i="1"/>
  <c r="A2312" i="1" l="1"/>
  <c r="A772" i="1"/>
  <c r="A2313" i="1" l="1"/>
  <c r="A773" i="1"/>
  <c r="A2314" i="1" l="1"/>
  <c r="A774" i="1"/>
  <c r="A2315" i="1" l="1"/>
  <c r="A775" i="1"/>
  <c r="A2316" i="1" l="1"/>
  <c r="A776" i="1"/>
  <c r="A2317" i="1" l="1"/>
  <c r="A777" i="1"/>
  <c r="A2318" i="1" l="1"/>
  <c r="A778" i="1"/>
  <c r="A2319" i="1" l="1"/>
  <c r="A779" i="1"/>
  <c r="A2320" i="1" l="1"/>
  <c r="A780" i="1"/>
  <c r="A2321" i="1" l="1"/>
  <c r="A781" i="1"/>
  <c r="A2322" i="1" l="1"/>
  <c r="A782" i="1"/>
  <c r="A2323" i="1" l="1"/>
  <c r="A783" i="1"/>
  <c r="A2324" i="1" l="1"/>
  <c r="A784" i="1"/>
  <c r="A2325" i="1" l="1"/>
  <c r="A785" i="1"/>
  <c r="A2326" i="1" l="1"/>
  <c r="A786" i="1"/>
  <c r="A2327" i="1" l="1"/>
  <c r="A787" i="1"/>
  <c r="A2328" i="1" l="1"/>
  <c r="A788" i="1"/>
  <c r="A2329" i="1" l="1"/>
  <c r="A789" i="1"/>
  <c r="A2330" i="1" l="1"/>
  <c r="A790" i="1"/>
  <c r="A2331" i="1" l="1"/>
  <c r="A791" i="1"/>
  <c r="A2332" i="1" l="1"/>
  <c r="A2334" i="1" l="1"/>
  <c r="A794" i="1"/>
  <c r="A2335" i="1" l="1"/>
  <c r="A795" i="1"/>
  <c r="A2336" i="1" l="1"/>
  <c r="A796" i="1"/>
  <c r="A2337" i="1" l="1"/>
  <c r="A797" i="1"/>
  <c r="A2338" i="1" l="1"/>
  <c r="A798" i="1"/>
  <c r="A2339" i="1" l="1"/>
  <c r="A799" i="1"/>
  <c r="A2340" i="1" l="1"/>
  <c r="A800" i="1"/>
  <c r="A2341" i="1" l="1"/>
  <c r="A801" i="1"/>
  <c r="A2342" i="1" l="1"/>
  <c r="A802" i="1"/>
  <c r="A2343" i="1" l="1"/>
  <c r="A803" i="1"/>
  <c r="A2344" i="1" l="1"/>
  <c r="A804" i="1"/>
  <c r="A2345" i="1" l="1"/>
  <c r="A805" i="1"/>
  <c r="A2346" i="1" l="1"/>
  <c r="A806" i="1"/>
  <c r="A2347" i="1" l="1"/>
  <c r="A807" i="1"/>
  <c r="A2348" i="1" l="1"/>
  <c r="A808" i="1"/>
  <c r="A2349" i="1" l="1"/>
  <c r="A809" i="1"/>
  <c r="A2350" i="1" l="1"/>
  <c r="A810" i="1"/>
  <c r="A2351" i="1" l="1"/>
  <c r="A811" i="1"/>
  <c r="A2352" i="1" l="1"/>
  <c r="A812" i="1"/>
  <c r="A2353" i="1" l="1"/>
  <c r="A813" i="1"/>
  <c r="A2354" i="1" l="1"/>
  <c r="A814" i="1"/>
  <c r="A2355" i="1" l="1"/>
  <c r="A815" i="1"/>
  <c r="A2356" i="1" l="1"/>
  <c r="A816" i="1"/>
  <c r="A2357" i="1" l="1"/>
  <c r="A817" i="1"/>
  <c r="A2358" i="1" l="1"/>
  <c r="A818" i="1"/>
  <c r="A2359" i="1" l="1"/>
  <c r="A819" i="1"/>
  <c r="A2360" i="1" l="1"/>
  <c r="A820" i="1"/>
  <c r="A2361" i="1" l="1"/>
  <c r="A821" i="1"/>
  <c r="A2362" i="1" l="1"/>
  <c r="A822" i="1"/>
  <c r="A2363" i="1" l="1"/>
  <c r="A823" i="1"/>
  <c r="A2364" i="1" l="1"/>
  <c r="A824" i="1"/>
  <c r="A2365" i="1" l="1"/>
  <c r="A825" i="1"/>
  <c r="A2366" i="1" l="1"/>
  <c r="A826" i="1"/>
  <c r="A2367" i="1" l="1"/>
  <c r="A827" i="1"/>
  <c r="A2368" i="1" l="1"/>
  <c r="A828" i="1"/>
  <c r="A2369" i="1" l="1"/>
  <c r="A829" i="1"/>
  <c r="A2370" i="1" l="1"/>
  <c r="A830" i="1"/>
  <c r="A2371" i="1" l="1"/>
  <c r="A831" i="1"/>
  <c r="A2372" i="1" l="1"/>
  <c r="A832" i="1"/>
  <c r="A2373" i="1" l="1"/>
  <c r="A833" i="1"/>
  <c r="A2374" i="1" l="1"/>
  <c r="A834" i="1"/>
  <c r="A2375" i="1" l="1"/>
  <c r="A835" i="1"/>
  <c r="A2376" i="1" l="1"/>
  <c r="A836" i="1"/>
  <c r="A2378" i="1" l="1"/>
  <c r="A838" i="1"/>
  <c r="A2379" i="1" l="1"/>
  <c r="A839" i="1"/>
  <c r="A2380" i="1" l="1"/>
  <c r="A840" i="1"/>
  <c r="A2381" i="1" l="1"/>
  <c r="A841" i="1"/>
  <c r="A2382" i="1" l="1"/>
  <c r="A842" i="1"/>
  <c r="A2383" i="1" l="1"/>
  <c r="A843" i="1"/>
  <c r="A2384" i="1" l="1"/>
  <c r="A844" i="1"/>
  <c r="A2385" i="1" l="1"/>
  <c r="A845" i="1"/>
  <c r="A2386" i="1" l="1"/>
  <c r="A846" i="1"/>
  <c r="A2387" i="1" l="1"/>
  <c r="A847" i="1"/>
  <c r="A2388" i="1" l="1"/>
  <c r="A848" i="1"/>
  <c r="A2389" i="1" l="1"/>
  <c r="A849" i="1"/>
  <c r="A2390" i="1" l="1"/>
  <c r="A850" i="1"/>
  <c r="A2391" i="1" l="1"/>
  <c r="A851" i="1"/>
  <c r="A2392" i="1" l="1"/>
  <c r="A852" i="1"/>
  <c r="A2393" i="1" l="1"/>
  <c r="A853" i="1"/>
  <c r="A2394" i="1" l="1"/>
  <c r="A854" i="1"/>
  <c r="A2395" i="1" l="1"/>
  <c r="A855" i="1"/>
  <c r="A2396" i="1" l="1"/>
  <c r="A856" i="1"/>
  <c r="A2397" i="1" l="1"/>
  <c r="A857" i="1"/>
  <c r="A2398" i="1" l="1"/>
  <c r="A858" i="1"/>
  <c r="A2399" i="1" l="1"/>
  <c r="A859" i="1"/>
  <c r="A2400" i="1" l="1"/>
  <c r="A860" i="1"/>
  <c r="A2401" i="1" l="1"/>
  <c r="A861" i="1"/>
  <c r="A2402" i="1" l="1"/>
  <c r="A862" i="1"/>
  <c r="A2403" i="1" l="1"/>
  <c r="A863" i="1"/>
  <c r="A2404" i="1" l="1"/>
  <c r="A864" i="1"/>
  <c r="A2405" i="1" l="1"/>
  <c r="A865" i="1"/>
  <c r="A2406" i="1" l="1"/>
  <c r="A866" i="1"/>
  <c r="A2407" i="1" l="1"/>
  <c r="A867" i="1"/>
  <c r="A2408" i="1" l="1"/>
  <c r="A868" i="1"/>
  <c r="A2409" i="1" l="1"/>
  <c r="A869" i="1"/>
  <c r="A2410" i="1" l="1"/>
  <c r="A870" i="1"/>
  <c r="A2411" i="1" l="1"/>
  <c r="A871" i="1"/>
  <c r="A2412" i="1" l="1"/>
  <c r="A872" i="1"/>
  <c r="A2413" i="1" l="1"/>
  <c r="A873" i="1"/>
  <c r="A2414" i="1" l="1"/>
  <c r="A874" i="1"/>
  <c r="A2415" i="1" l="1"/>
  <c r="A875" i="1"/>
  <c r="A2416" i="1" l="1"/>
  <c r="A876" i="1"/>
  <c r="A2417" i="1" l="1"/>
  <c r="A877" i="1"/>
  <c r="A2418" i="1" l="1"/>
  <c r="A878" i="1"/>
  <c r="A2419" i="1" l="1"/>
  <c r="A879" i="1"/>
  <c r="A2420" i="1" l="1"/>
  <c r="A880" i="1"/>
  <c r="A2422" i="1" l="1"/>
  <c r="A882" i="1"/>
  <c r="A2423" i="1" l="1"/>
  <c r="A883" i="1"/>
  <c r="A2424" i="1" l="1"/>
  <c r="A884" i="1"/>
  <c r="A2425" i="1" l="1"/>
  <c r="A885" i="1"/>
  <c r="A2426" i="1" l="1"/>
  <c r="A886" i="1"/>
  <c r="A2427" i="1" l="1"/>
  <c r="A887" i="1"/>
  <c r="A2428" i="1" l="1"/>
  <c r="A888" i="1"/>
  <c r="A2429" i="1" l="1"/>
  <c r="A889" i="1"/>
  <c r="A2430" i="1" l="1"/>
  <c r="A890" i="1"/>
  <c r="A2431" i="1" l="1"/>
  <c r="A891" i="1"/>
  <c r="A2432" i="1" l="1"/>
  <c r="A892" i="1"/>
  <c r="A2433" i="1" l="1"/>
  <c r="A893" i="1"/>
  <c r="A2434" i="1" l="1"/>
  <c r="A894" i="1"/>
  <c r="A2435" i="1" l="1"/>
  <c r="A895" i="1"/>
  <c r="A2436" i="1" l="1"/>
  <c r="A896" i="1"/>
  <c r="A2437" i="1" l="1"/>
  <c r="A897" i="1"/>
  <c r="A2438" i="1" l="1"/>
  <c r="A898" i="1"/>
  <c r="A2439" i="1" l="1"/>
  <c r="A899" i="1"/>
  <c r="A2440" i="1" l="1"/>
  <c r="A900" i="1"/>
  <c r="A2441" i="1" l="1"/>
  <c r="A901" i="1"/>
  <c r="A2442" i="1" l="1"/>
  <c r="A902" i="1"/>
  <c r="A2443" i="1" l="1"/>
  <c r="A903" i="1"/>
  <c r="A2444" i="1" l="1"/>
  <c r="A904" i="1"/>
  <c r="A2445" i="1" l="1"/>
  <c r="A905" i="1"/>
  <c r="A2446" i="1" l="1"/>
  <c r="A906" i="1"/>
  <c r="A2447" i="1" l="1"/>
  <c r="A907" i="1"/>
  <c r="A2448" i="1" l="1"/>
  <c r="A908" i="1"/>
  <c r="A2449" i="1" l="1"/>
  <c r="A909" i="1"/>
  <c r="A2450" i="1" l="1"/>
  <c r="A910" i="1"/>
  <c r="A2451" i="1" l="1"/>
  <c r="A911" i="1"/>
  <c r="A2452" i="1" l="1"/>
  <c r="A912" i="1"/>
  <c r="A2453" i="1" l="1"/>
  <c r="A913" i="1"/>
  <c r="A2454" i="1" l="1"/>
  <c r="A914" i="1"/>
  <c r="A2455" i="1" l="1"/>
  <c r="A915" i="1"/>
  <c r="A2456" i="1" l="1"/>
  <c r="A916" i="1"/>
  <c r="A2457" i="1" l="1"/>
  <c r="A917" i="1"/>
  <c r="A2458" i="1" l="1"/>
  <c r="A918" i="1"/>
  <c r="A2459" i="1" l="1"/>
  <c r="A919" i="1"/>
  <c r="A2460" i="1" l="1"/>
  <c r="A920" i="1"/>
  <c r="A2461" i="1" l="1"/>
  <c r="A921" i="1"/>
  <c r="A2462" i="1" l="1"/>
  <c r="A922" i="1"/>
  <c r="A2463" i="1" l="1"/>
  <c r="A923" i="1"/>
  <c r="A2464" i="1" l="1"/>
  <c r="A924" i="1"/>
  <c r="A2466" i="1" l="1"/>
  <c r="A926" i="1"/>
  <c r="A2467" i="1" l="1"/>
  <c r="A927" i="1"/>
  <c r="A2468" i="1" l="1"/>
  <c r="A928" i="1"/>
  <c r="A2469" i="1" l="1"/>
  <c r="A929" i="1"/>
  <c r="A2470" i="1" l="1"/>
  <c r="A930" i="1"/>
  <c r="A2471" i="1" l="1"/>
  <c r="A931" i="1"/>
  <c r="A2472" i="1" l="1"/>
  <c r="A932" i="1"/>
  <c r="A2473" i="1" l="1"/>
  <c r="A933" i="1"/>
  <c r="A2474" i="1" l="1"/>
  <c r="A934" i="1"/>
  <c r="A2475" i="1" l="1"/>
  <c r="A935" i="1"/>
  <c r="A2476" i="1" l="1"/>
  <c r="A936" i="1"/>
  <c r="A2477" i="1" l="1"/>
  <c r="A937" i="1"/>
  <c r="A2478" i="1" l="1"/>
  <c r="A938" i="1"/>
  <c r="A2479" i="1" l="1"/>
  <c r="A939" i="1"/>
  <c r="A2480" i="1" l="1"/>
  <c r="A940" i="1"/>
  <c r="A2481" i="1" l="1"/>
  <c r="A941" i="1"/>
  <c r="A2482" i="1" l="1"/>
  <c r="A942" i="1"/>
  <c r="A2483" i="1" l="1"/>
  <c r="A943" i="1"/>
  <c r="A2484" i="1" l="1"/>
  <c r="A944" i="1"/>
  <c r="A2485" i="1" l="1"/>
  <c r="A945" i="1"/>
  <c r="A2486" i="1" l="1"/>
  <c r="A946" i="1"/>
  <c r="A2487" i="1" l="1"/>
  <c r="A947" i="1"/>
  <c r="A2488" i="1" l="1"/>
  <c r="A948" i="1"/>
  <c r="A2489" i="1" l="1"/>
  <c r="A949" i="1"/>
  <c r="A2490" i="1" l="1"/>
  <c r="A950" i="1"/>
  <c r="A2491" i="1" l="1"/>
  <c r="A951" i="1"/>
  <c r="A2492" i="1" l="1"/>
  <c r="A952" i="1"/>
  <c r="A2493" i="1" l="1"/>
  <c r="A953" i="1"/>
  <c r="A2494" i="1" l="1"/>
  <c r="A954" i="1"/>
  <c r="A2495" i="1" l="1"/>
  <c r="A955" i="1"/>
  <c r="A2496" i="1" l="1"/>
  <c r="A956" i="1"/>
  <c r="A2497" i="1" l="1"/>
  <c r="A957" i="1"/>
  <c r="A2498" i="1" l="1"/>
  <c r="A958" i="1"/>
  <c r="A2499" i="1" l="1"/>
  <c r="A959" i="1"/>
  <c r="A2500" i="1" l="1"/>
  <c r="A960" i="1"/>
  <c r="A2501" i="1" l="1"/>
  <c r="A961" i="1"/>
  <c r="A2502" i="1" l="1"/>
  <c r="A962" i="1"/>
  <c r="A2503" i="1" l="1"/>
  <c r="A963" i="1"/>
  <c r="A2504" i="1" l="1"/>
  <c r="A964" i="1"/>
  <c r="A2505" i="1" l="1"/>
  <c r="A965" i="1"/>
  <c r="A2506" i="1" l="1"/>
  <c r="A966" i="1"/>
  <c r="A2507" i="1" l="1"/>
  <c r="A967" i="1"/>
  <c r="A2508" i="1" l="1"/>
  <c r="A968" i="1"/>
  <c r="A2510" i="1" l="1"/>
  <c r="A970" i="1"/>
  <c r="A2511" i="1" l="1"/>
  <c r="A971" i="1"/>
  <c r="A2512" i="1" l="1"/>
  <c r="A972" i="1"/>
  <c r="A2513" i="1" l="1"/>
  <c r="A973" i="1"/>
  <c r="A2514" i="1" l="1"/>
  <c r="A974" i="1"/>
  <c r="A2515" i="1" l="1"/>
  <c r="A975" i="1"/>
  <c r="A2516" i="1" l="1"/>
  <c r="A976" i="1"/>
  <c r="A2517" i="1" l="1"/>
  <c r="A977" i="1"/>
  <c r="A2518" i="1" l="1"/>
  <c r="A978" i="1"/>
  <c r="A2519" i="1" l="1"/>
  <c r="A979" i="1"/>
  <c r="A2520" i="1" l="1"/>
  <c r="A980" i="1"/>
  <c r="A2521" i="1" l="1"/>
  <c r="A981" i="1"/>
  <c r="A2522" i="1" l="1"/>
  <c r="A982" i="1"/>
  <c r="A2523" i="1" l="1"/>
  <c r="A983" i="1"/>
  <c r="A2524" i="1" l="1"/>
  <c r="A984" i="1"/>
  <c r="A2525" i="1" l="1"/>
  <c r="A985" i="1"/>
  <c r="A2526" i="1" l="1"/>
  <c r="A986" i="1"/>
  <c r="A2527" i="1" l="1"/>
  <c r="A987" i="1"/>
  <c r="A2528" i="1" l="1"/>
  <c r="A988" i="1"/>
  <c r="A2529" i="1" l="1"/>
  <c r="A989" i="1"/>
  <c r="A2530" i="1" l="1"/>
  <c r="A990" i="1"/>
  <c r="A2531" i="1" l="1"/>
  <c r="A991" i="1"/>
  <c r="A2532" i="1" l="1"/>
  <c r="A992" i="1"/>
  <c r="A2533" i="1" l="1"/>
  <c r="A993" i="1"/>
  <c r="A2534" i="1" l="1"/>
  <c r="A994" i="1"/>
  <c r="A2535" i="1" l="1"/>
  <c r="A995" i="1"/>
  <c r="A2536" i="1" l="1"/>
  <c r="A996" i="1"/>
  <c r="A2537" i="1" l="1"/>
  <c r="A997" i="1"/>
  <c r="A2538" i="1" l="1"/>
  <c r="A998" i="1"/>
  <c r="A2539" i="1" l="1"/>
  <c r="A999" i="1"/>
  <c r="A2540" i="1" l="1"/>
  <c r="A1000" i="1"/>
  <c r="A2541" i="1" l="1"/>
  <c r="A1001" i="1"/>
  <c r="A2542" i="1" l="1"/>
  <c r="A1002" i="1"/>
  <c r="A2543" i="1" l="1"/>
  <c r="A1003" i="1"/>
  <c r="A2544" i="1" l="1"/>
  <c r="A1004" i="1"/>
  <c r="A2545" i="1" l="1"/>
  <c r="A1005" i="1"/>
  <c r="A2546" i="1" l="1"/>
  <c r="A1006" i="1"/>
  <c r="A2547" i="1" l="1"/>
  <c r="A1007" i="1"/>
  <c r="A2548" i="1" l="1"/>
  <c r="A1008" i="1"/>
  <c r="A2549" i="1" l="1"/>
  <c r="A1009" i="1"/>
  <c r="A2550" i="1" l="1"/>
  <c r="A1010" i="1"/>
  <c r="A2551" i="1" l="1"/>
  <c r="A1011" i="1"/>
  <c r="A2552" i="1" l="1"/>
  <c r="A1012" i="1"/>
  <c r="A2554" i="1" l="1"/>
  <c r="A1014" i="1"/>
  <c r="A2555" i="1" l="1"/>
  <c r="A1015" i="1"/>
  <c r="A2556" i="1" l="1"/>
  <c r="A1016" i="1"/>
  <c r="A2557" i="1" l="1"/>
  <c r="A1017" i="1"/>
  <c r="A2558" i="1" l="1"/>
  <c r="A1018" i="1"/>
  <c r="A2559" i="1" l="1"/>
  <c r="A1019" i="1"/>
  <c r="A2560" i="1" l="1"/>
  <c r="A1020" i="1"/>
  <c r="A2561" i="1" l="1"/>
  <c r="A1021" i="1"/>
  <c r="A2562" i="1" l="1"/>
  <c r="A1022" i="1"/>
  <c r="A2563" i="1" l="1"/>
  <c r="A1023" i="1"/>
  <c r="A2564" i="1" l="1"/>
  <c r="A1024" i="1"/>
  <c r="A2565" i="1" l="1"/>
  <c r="A1025" i="1"/>
  <c r="A2566" i="1" l="1"/>
  <c r="A1026" i="1"/>
  <c r="A2567" i="1" l="1"/>
  <c r="A1027" i="1"/>
  <c r="A2568" i="1" l="1"/>
  <c r="A1028" i="1"/>
  <c r="A2569" i="1" l="1"/>
  <c r="A1029" i="1"/>
  <c r="A2570" i="1" l="1"/>
  <c r="A1030" i="1"/>
  <c r="A2571" i="1" l="1"/>
  <c r="A1031" i="1"/>
  <c r="A2572" i="1" l="1"/>
  <c r="A1032" i="1"/>
  <c r="A2573" i="1" l="1"/>
  <c r="A1033" i="1"/>
  <c r="A2574" i="1" l="1"/>
  <c r="A1034" i="1"/>
  <c r="A2575" i="1" l="1"/>
  <c r="A1035" i="1"/>
  <c r="A2576" i="1" l="1"/>
  <c r="A1036" i="1"/>
  <c r="A2577" i="1" l="1"/>
  <c r="A1037" i="1"/>
  <c r="A2578" i="1" l="1"/>
  <c r="A1038" i="1"/>
  <c r="A2579" i="1" l="1"/>
  <c r="A1039" i="1"/>
  <c r="A2580" i="1" l="1"/>
  <c r="A1040" i="1"/>
  <c r="A2581" i="1" l="1"/>
  <c r="A1041" i="1"/>
  <c r="A2582" i="1" l="1"/>
  <c r="A1042" i="1"/>
  <c r="A2583" i="1" l="1"/>
  <c r="A1043" i="1"/>
  <c r="A2584" i="1" l="1"/>
  <c r="A1044" i="1"/>
  <c r="A2585" i="1" l="1"/>
  <c r="A1045" i="1"/>
  <c r="A2586" i="1" l="1"/>
  <c r="A1046" i="1"/>
  <c r="A2587" i="1" l="1"/>
  <c r="A1047" i="1"/>
  <c r="A2588" i="1" l="1"/>
  <c r="A1048" i="1"/>
  <c r="A2589" i="1" l="1"/>
  <c r="A1049" i="1"/>
  <c r="A2590" i="1" l="1"/>
  <c r="A1050" i="1"/>
  <c r="A2591" i="1" l="1"/>
  <c r="A1051" i="1"/>
  <c r="A2592" i="1" l="1"/>
  <c r="A1052" i="1"/>
  <c r="A2593" i="1" l="1"/>
  <c r="A1053" i="1"/>
  <c r="A2594" i="1" l="1"/>
  <c r="A1054" i="1"/>
  <c r="A2595" i="1" l="1"/>
  <c r="A1055" i="1"/>
  <c r="A2596" i="1" l="1"/>
  <c r="A1056" i="1"/>
  <c r="A2598" i="1" l="1"/>
  <c r="A1058" i="1"/>
  <c r="A2599" i="1" l="1"/>
  <c r="A1059" i="1"/>
  <c r="A2600" i="1" l="1"/>
  <c r="A1060" i="1"/>
  <c r="A2601" i="1" l="1"/>
  <c r="A1061" i="1"/>
  <c r="A2602" i="1" l="1"/>
  <c r="A1062" i="1"/>
  <c r="A2603" i="1" l="1"/>
  <c r="A1063" i="1"/>
  <c r="A2604" i="1" l="1"/>
  <c r="A1064" i="1"/>
  <c r="A2605" i="1" l="1"/>
  <c r="A1065" i="1"/>
  <c r="A2606" i="1" l="1"/>
  <c r="A1066" i="1"/>
  <c r="A2607" i="1" l="1"/>
  <c r="A1067" i="1"/>
  <c r="A2608" i="1" l="1"/>
  <c r="A1068" i="1"/>
  <c r="A2609" i="1" l="1"/>
  <c r="A1069" i="1"/>
  <c r="A2610" i="1" l="1"/>
  <c r="A1070" i="1"/>
  <c r="A2611" i="1" l="1"/>
  <c r="A1071" i="1"/>
  <c r="A2612" i="1" l="1"/>
  <c r="A1072" i="1"/>
  <c r="A2613" i="1" l="1"/>
  <c r="A1073" i="1"/>
  <c r="A2614" i="1" l="1"/>
  <c r="A1074" i="1"/>
  <c r="A2615" i="1" l="1"/>
  <c r="A1075" i="1"/>
  <c r="A2616" i="1" l="1"/>
  <c r="A1076" i="1"/>
  <c r="A2617" i="1" l="1"/>
  <c r="A1077" i="1"/>
  <c r="A2618" i="1" l="1"/>
  <c r="A1078" i="1"/>
  <c r="A2619" i="1" l="1"/>
  <c r="A1079" i="1"/>
  <c r="A2620" i="1" l="1"/>
  <c r="A1080" i="1"/>
  <c r="A2621" i="1" l="1"/>
  <c r="A1081" i="1"/>
  <c r="A2622" i="1" l="1"/>
  <c r="A1082" i="1"/>
  <c r="A2623" i="1" l="1"/>
  <c r="A1083" i="1"/>
  <c r="A2624" i="1" l="1"/>
  <c r="A1084" i="1"/>
  <c r="A2625" i="1" l="1"/>
  <c r="A1085" i="1"/>
  <c r="A2626" i="1" l="1"/>
  <c r="A1086" i="1"/>
  <c r="A2627" i="1" l="1"/>
  <c r="A1087" i="1"/>
  <c r="A2628" i="1" l="1"/>
  <c r="A1088" i="1"/>
  <c r="A2629" i="1" l="1"/>
  <c r="A1089" i="1"/>
  <c r="A2630" i="1" l="1"/>
  <c r="A1090" i="1"/>
  <c r="A2631" i="1" l="1"/>
  <c r="A1091" i="1"/>
  <c r="A2632" i="1" l="1"/>
  <c r="A1092" i="1"/>
  <c r="A2633" i="1" l="1"/>
  <c r="A1093" i="1"/>
  <c r="A2634" i="1" l="1"/>
  <c r="A1094" i="1"/>
  <c r="A2635" i="1" l="1"/>
  <c r="A1095" i="1"/>
  <c r="A2636" i="1" l="1"/>
  <c r="A1096" i="1"/>
  <c r="A2637" i="1" l="1"/>
  <c r="A1097" i="1"/>
  <c r="A2638" i="1" l="1"/>
  <c r="A1098" i="1"/>
  <c r="A2639" i="1" l="1"/>
  <c r="A1099" i="1"/>
  <c r="A2640" i="1" l="1"/>
  <c r="A1100" i="1"/>
  <c r="A2642" i="1" l="1"/>
  <c r="A1102" i="1"/>
  <c r="A2643" i="1" l="1"/>
  <c r="A1103" i="1"/>
  <c r="A2644" i="1" l="1"/>
  <c r="A1104" i="1"/>
  <c r="A2645" i="1" l="1"/>
  <c r="A1105" i="1"/>
  <c r="A2646" i="1" l="1"/>
  <c r="A1106" i="1"/>
  <c r="A2647" i="1" l="1"/>
  <c r="A1107" i="1"/>
  <c r="A2648" i="1" l="1"/>
  <c r="A1108" i="1"/>
  <c r="A2649" i="1" l="1"/>
  <c r="A1109" i="1"/>
  <c r="A2650" i="1" l="1"/>
  <c r="A1110" i="1"/>
  <c r="A2651" i="1" l="1"/>
  <c r="A1111" i="1"/>
  <c r="A2652" i="1" l="1"/>
  <c r="A1112" i="1"/>
  <c r="A2653" i="1" l="1"/>
  <c r="A1113" i="1"/>
  <c r="A2654" i="1" l="1"/>
  <c r="A1114" i="1"/>
  <c r="A2655" i="1" l="1"/>
  <c r="A1115" i="1"/>
  <c r="A2656" i="1" l="1"/>
  <c r="A1116" i="1"/>
  <c r="A2657" i="1" l="1"/>
  <c r="A1117" i="1"/>
  <c r="A2658" i="1" l="1"/>
  <c r="A1118" i="1"/>
  <c r="A2659" i="1" l="1"/>
  <c r="A1119" i="1"/>
  <c r="A2660" i="1" l="1"/>
  <c r="A1120" i="1"/>
  <c r="A2661" i="1" l="1"/>
  <c r="A1121" i="1"/>
  <c r="A2662" i="1" l="1"/>
  <c r="A1122" i="1"/>
  <c r="A2663" i="1" l="1"/>
  <c r="A1123" i="1"/>
  <c r="A2664" i="1" l="1"/>
  <c r="A1124" i="1"/>
  <c r="A2665" i="1" l="1"/>
  <c r="A1125" i="1"/>
  <c r="A2666" i="1" l="1"/>
  <c r="A1126" i="1"/>
  <c r="A2667" i="1" l="1"/>
  <c r="A1127" i="1"/>
  <c r="A2668" i="1" l="1"/>
  <c r="A1128" i="1"/>
  <c r="A2669" i="1" l="1"/>
  <c r="A1129" i="1"/>
  <c r="A2670" i="1" l="1"/>
  <c r="A1130" i="1"/>
  <c r="A2671" i="1" l="1"/>
  <c r="A1131" i="1"/>
  <c r="A2672" i="1" l="1"/>
  <c r="A1132" i="1"/>
  <c r="A2673" i="1" l="1"/>
  <c r="A1133" i="1"/>
  <c r="A2674" i="1" l="1"/>
  <c r="A1134" i="1"/>
  <c r="A2675" i="1" l="1"/>
  <c r="A1135" i="1"/>
  <c r="A2676" i="1" l="1"/>
  <c r="A1136" i="1"/>
  <c r="A2677" i="1" l="1"/>
  <c r="A1137" i="1"/>
  <c r="A2678" i="1" l="1"/>
  <c r="A1138" i="1"/>
  <c r="A2679" i="1" l="1"/>
  <c r="A1139" i="1"/>
  <c r="A2680" i="1" l="1"/>
  <c r="A1140" i="1"/>
  <c r="A2681" i="1" l="1"/>
  <c r="A1141" i="1"/>
  <c r="A2682" i="1" l="1"/>
  <c r="A1142" i="1"/>
  <c r="A2683" i="1" l="1"/>
  <c r="A1143" i="1"/>
  <c r="A2684" i="1" l="1"/>
  <c r="A1498" i="1"/>
  <c r="A1144" i="1"/>
  <c r="A2686" i="1" l="1"/>
  <c r="A1499" i="1"/>
  <c r="A1146" i="1"/>
  <c r="A2687" i="1" l="1"/>
  <c r="A1500" i="1"/>
  <c r="A1147" i="1"/>
  <c r="A2688" i="1" l="1"/>
  <c r="A1501" i="1"/>
  <c r="A1148" i="1"/>
  <c r="A2689" i="1" l="1"/>
  <c r="A1502" i="1"/>
  <c r="A1149" i="1"/>
  <c r="A2690" i="1" l="1"/>
  <c r="A1503" i="1"/>
  <c r="A1150" i="1"/>
  <c r="A2691" i="1" l="1"/>
  <c r="A1504" i="1"/>
  <c r="A1151" i="1"/>
  <c r="A2692" i="1" l="1"/>
  <c r="A1505" i="1"/>
  <c r="A1152" i="1"/>
  <c r="A2693" i="1" l="1"/>
  <c r="A1506" i="1"/>
  <c r="A1153" i="1"/>
  <c r="A2694" i="1" l="1"/>
  <c r="A1507" i="1"/>
  <c r="A1154" i="1"/>
  <c r="A2695" i="1" l="1"/>
  <c r="A1508" i="1"/>
  <c r="A1155" i="1"/>
  <c r="A2696" i="1" l="1"/>
  <c r="A1509" i="1"/>
  <c r="A1156" i="1"/>
  <c r="A2697" i="1" l="1"/>
  <c r="A1510" i="1"/>
  <c r="A1157" i="1"/>
  <c r="A2698" i="1" l="1"/>
  <c r="A1511" i="1"/>
  <c r="A1158" i="1"/>
  <c r="A2699" i="1" l="1"/>
  <c r="A1512" i="1"/>
  <c r="A1159" i="1"/>
  <c r="A2700" i="1" l="1"/>
  <c r="A1513" i="1"/>
  <c r="A1160" i="1"/>
  <c r="A2701" i="1" l="1"/>
  <c r="A1514" i="1"/>
  <c r="A1161" i="1"/>
  <c r="A2702" i="1" l="1"/>
  <c r="A1515" i="1"/>
  <c r="A1162" i="1"/>
  <c r="A2703" i="1" l="1"/>
  <c r="A1516" i="1"/>
  <c r="A1163" i="1"/>
  <c r="A2704" i="1" l="1"/>
  <c r="A1517" i="1"/>
  <c r="A1164" i="1"/>
  <c r="A2705" i="1" l="1"/>
  <c r="A1518" i="1"/>
  <c r="A1165" i="1"/>
  <c r="A2706" i="1" l="1"/>
  <c r="A1519" i="1"/>
  <c r="A1166" i="1"/>
  <c r="A2707" i="1" l="1"/>
  <c r="A1520" i="1"/>
  <c r="A1167" i="1"/>
  <c r="A2708" i="1" l="1"/>
  <c r="A1521" i="1"/>
  <c r="A1168" i="1"/>
  <c r="A2709" i="1" l="1"/>
  <c r="A1522" i="1"/>
  <c r="A1169" i="1"/>
  <c r="A2710" i="1" l="1"/>
  <c r="A1523" i="1"/>
  <c r="A1170" i="1"/>
  <c r="A2711" i="1" l="1"/>
  <c r="A1524" i="1"/>
  <c r="A1171" i="1"/>
  <c r="A2712" i="1" l="1"/>
  <c r="A1525" i="1"/>
  <c r="A1172" i="1"/>
  <c r="A2713" i="1" l="1"/>
  <c r="A1526" i="1"/>
  <c r="A1173" i="1"/>
  <c r="A2714" i="1" l="1"/>
  <c r="A1527" i="1"/>
  <c r="A1174" i="1"/>
  <c r="A2715" i="1" l="1"/>
  <c r="A1528" i="1"/>
  <c r="A1175" i="1"/>
  <c r="A2716" i="1" l="1"/>
  <c r="A1529" i="1"/>
  <c r="A1176" i="1"/>
  <c r="A2717" i="1" l="1"/>
  <c r="A1530" i="1"/>
  <c r="A1177" i="1"/>
  <c r="A2718" i="1" l="1"/>
  <c r="A1531" i="1"/>
  <c r="A1178" i="1"/>
  <c r="A2719" i="1" l="1"/>
  <c r="A1532" i="1"/>
  <c r="A1179" i="1"/>
  <c r="A2720" i="1" l="1"/>
  <c r="A1533" i="1"/>
  <c r="A1180" i="1"/>
  <c r="A2721" i="1" l="1"/>
  <c r="A1534" i="1"/>
  <c r="A1181" i="1"/>
  <c r="A2722" i="1" l="1"/>
  <c r="A1535" i="1"/>
  <c r="A1182" i="1"/>
  <c r="A2723" i="1" l="1"/>
  <c r="A1536" i="1"/>
  <c r="A1183" i="1"/>
  <c r="A2724" i="1" l="1"/>
  <c r="A1537" i="1"/>
  <c r="A1184" i="1"/>
  <c r="A2725" i="1" l="1"/>
  <c r="A1538" i="1"/>
  <c r="A1185" i="1"/>
  <c r="A2726" i="1" l="1"/>
  <c r="A1539" i="1"/>
  <c r="A1186" i="1"/>
  <c r="A2727" i="1" l="1"/>
  <c r="A1540" i="1"/>
  <c r="A1187" i="1"/>
  <c r="A2728" i="1" l="1"/>
  <c r="A1542" i="1"/>
  <c r="A1188" i="1"/>
  <c r="A2730" i="1" l="1"/>
  <c r="A1543" i="1"/>
  <c r="A1190" i="1"/>
  <c r="A2731" i="1" l="1"/>
  <c r="A1544" i="1"/>
  <c r="A1191" i="1"/>
  <c r="A2732" i="1" l="1"/>
  <c r="A1545" i="1"/>
  <c r="A1192" i="1"/>
  <c r="A2733" i="1" l="1"/>
  <c r="A1546" i="1"/>
  <c r="A1193" i="1"/>
  <c r="A2734" i="1" l="1"/>
  <c r="A1547" i="1"/>
  <c r="A1194" i="1"/>
  <c r="A2735" i="1" l="1"/>
  <c r="A1548" i="1"/>
  <c r="A1195" i="1"/>
  <c r="A2736" i="1" l="1"/>
  <c r="A1549" i="1"/>
  <c r="A1196" i="1"/>
  <c r="A2737" i="1" l="1"/>
  <c r="A1550" i="1"/>
  <c r="A1197" i="1"/>
  <c r="A2738" i="1" l="1"/>
  <c r="A1551" i="1"/>
  <c r="A1198" i="1"/>
  <c r="A2739" i="1" l="1"/>
  <c r="A1552" i="1"/>
  <c r="A1199" i="1"/>
  <c r="A2740" i="1" l="1"/>
  <c r="A1553" i="1"/>
  <c r="A1200" i="1"/>
  <c r="A2741" i="1" l="1"/>
  <c r="A1554" i="1"/>
  <c r="A1201" i="1"/>
  <c r="A2742" i="1" l="1"/>
  <c r="A1555" i="1"/>
  <c r="A1202" i="1"/>
  <c r="A2743" i="1" l="1"/>
  <c r="A1556" i="1"/>
  <c r="A1203" i="1"/>
  <c r="A2744" i="1" l="1"/>
  <c r="A1557" i="1"/>
  <c r="A1204" i="1"/>
  <c r="A2745" i="1" l="1"/>
  <c r="A1558" i="1"/>
  <c r="A1205" i="1"/>
  <c r="A2746" i="1" l="1"/>
  <c r="A1559" i="1"/>
  <c r="A1206" i="1"/>
  <c r="A2747" i="1" l="1"/>
  <c r="A1560" i="1"/>
  <c r="A1207" i="1"/>
  <c r="A2748" i="1" l="1"/>
  <c r="A1561" i="1"/>
  <c r="A1208" i="1"/>
  <c r="A2749" i="1" l="1"/>
  <c r="A1562" i="1"/>
  <c r="A1209" i="1"/>
  <c r="A2750" i="1" l="1"/>
  <c r="A1563" i="1"/>
  <c r="A1210" i="1"/>
  <c r="A2751" i="1" l="1"/>
  <c r="A1564" i="1"/>
  <c r="A1211" i="1"/>
  <c r="A2752" i="1" l="1"/>
  <c r="A1565" i="1"/>
  <c r="A1212" i="1"/>
  <c r="A2753" i="1" l="1"/>
  <c r="A1566" i="1"/>
  <c r="A1213" i="1"/>
  <c r="A2754" i="1" l="1"/>
  <c r="A1567" i="1"/>
  <c r="A1214" i="1"/>
  <c r="A2755" i="1" l="1"/>
  <c r="A1568" i="1"/>
  <c r="A1215" i="1"/>
  <c r="A2756" i="1" l="1"/>
  <c r="A1569" i="1"/>
  <c r="A1216" i="1"/>
  <c r="A2757" i="1" l="1"/>
  <c r="A1570" i="1"/>
  <c r="A1217" i="1"/>
  <c r="A2758" i="1" l="1"/>
  <c r="A1571" i="1"/>
  <c r="A1218" i="1"/>
  <c r="A2759" i="1" l="1"/>
  <c r="A1572" i="1"/>
  <c r="A1219" i="1"/>
  <c r="A2760" i="1" l="1"/>
  <c r="A1573" i="1"/>
  <c r="A1220" i="1"/>
  <c r="A2761" i="1" l="1"/>
  <c r="A1574" i="1"/>
  <c r="A1221" i="1"/>
  <c r="A2762" i="1" l="1"/>
  <c r="A1575" i="1"/>
  <c r="A1222" i="1"/>
  <c r="A2763" i="1" l="1"/>
  <c r="A1576" i="1"/>
  <c r="A1223" i="1"/>
  <c r="A2764" i="1" l="1"/>
  <c r="A1577" i="1"/>
  <c r="A1224" i="1"/>
  <c r="A2765" i="1" l="1"/>
  <c r="A1578" i="1"/>
  <c r="A1225" i="1"/>
  <c r="A2766" i="1" l="1"/>
  <c r="A1579" i="1"/>
  <c r="A1226" i="1"/>
  <c r="A2767" i="1" l="1"/>
  <c r="A1580" i="1"/>
  <c r="A1227" i="1"/>
  <c r="A2768" i="1" l="1"/>
  <c r="A1581" i="1"/>
  <c r="A1228" i="1"/>
  <c r="A2769" i="1" l="1"/>
  <c r="A1582" i="1"/>
  <c r="A1229" i="1"/>
  <c r="A2770" i="1" l="1"/>
  <c r="A1583" i="1"/>
  <c r="A1230" i="1"/>
  <c r="A2771" i="1" l="1"/>
  <c r="A2772" i="1"/>
  <c r="A1584" i="1"/>
  <c r="A1231" i="1"/>
  <c r="A1234" i="1" l="1"/>
  <c r="A1586" i="1"/>
  <c r="A1232" i="1"/>
  <c r="A1587" i="1" l="1"/>
  <c r="A1235" i="1"/>
  <c r="A1236" i="1" l="1"/>
  <c r="A1588" i="1"/>
  <c r="A1589" i="1" l="1"/>
  <c r="A1237" i="1"/>
  <c r="A1238" i="1" l="1"/>
  <c r="A1590" i="1"/>
  <c r="A1591" i="1" l="1"/>
  <c r="A1239" i="1"/>
  <c r="A1240" i="1" l="1"/>
  <c r="A1592" i="1"/>
  <c r="A1593" i="1" l="1"/>
  <c r="A1241" i="1"/>
  <c r="A1242" i="1" l="1"/>
  <c r="A1594" i="1"/>
  <c r="A1595" i="1" l="1"/>
  <c r="A1243" i="1"/>
  <c r="A1244" i="1" l="1"/>
  <c r="A1596" i="1"/>
  <c r="A1597" i="1" l="1"/>
  <c r="A1245" i="1"/>
  <c r="A1246" i="1" l="1"/>
  <c r="A1598" i="1"/>
  <c r="A1599" i="1" l="1"/>
  <c r="A1247" i="1"/>
  <c r="A1248" i="1" l="1"/>
  <c r="A1600" i="1"/>
  <c r="A1601" i="1" l="1"/>
  <c r="A1249" i="1"/>
  <c r="A1250" i="1" l="1"/>
  <c r="A1602" i="1"/>
  <c r="A1603" i="1" l="1"/>
  <c r="A1251" i="1"/>
  <c r="A1252" i="1" l="1"/>
  <c r="A1604" i="1"/>
  <c r="A1605" i="1" l="1"/>
  <c r="A1253" i="1"/>
  <c r="A1254" i="1" l="1"/>
  <c r="A1606" i="1"/>
  <c r="A1607" i="1" l="1"/>
  <c r="A1255" i="1"/>
  <c r="A1256" i="1" l="1"/>
  <c r="A1608" i="1"/>
  <c r="A1609" i="1" l="1"/>
  <c r="A1257" i="1"/>
  <c r="A1258" i="1" l="1"/>
  <c r="A1610" i="1"/>
  <c r="A1611" i="1" l="1"/>
  <c r="A1259" i="1"/>
  <c r="A1260" i="1" l="1"/>
  <c r="A1612" i="1"/>
  <c r="A1613" i="1" l="1"/>
  <c r="A1261" i="1"/>
  <c r="A1262" i="1" l="1"/>
  <c r="A1614" i="1"/>
  <c r="A1615" i="1" l="1"/>
  <c r="A1263" i="1"/>
  <c r="A1264" i="1" l="1"/>
  <c r="A1616" i="1"/>
  <c r="A1617" i="1" l="1"/>
  <c r="A1265" i="1"/>
  <c r="A1266" i="1" l="1"/>
  <c r="A1618" i="1"/>
  <c r="A1619" i="1" l="1"/>
  <c r="A1267" i="1"/>
  <c r="A1268" i="1" l="1"/>
  <c r="A1620" i="1"/>
  <c r="A1621" i="1" l="1"/>
  <c r="A1269" i="1"/>
  <c r="A1270" i="1" l="1"/>
  <c r="A1622" i="1"/>
  <c r="A1623" i="1" l="1"/>
  <c r="A1271" i="1"/>
  <c r="A1272" i="1" l="1"/>
  <c r="A1624" i="1"/>
  <c r="A1625" i="1" l="1"/>
  <c r="A1273" i="1"/>
  <c r="A1274" i="1" l="1"/>
  <c r="A1626" i="1"/>
  <c r="A1627" i="1" l="1"/>
  <c r="A1275" i="1"/>
  <c r="A1276" i="1" l="1"/>
  <c r="A1628" i="1"/>
  <c r="A3346" i="1" l="1"/>
  <c r="A1278" i="1"/>
  <c r="A1279" i="1" l="1"/>
  <c r="A3347" i="1"/>
  <c r="A3348" i="1" l="1"/>
  <c r="A1280" i="1"/>
  <c r="A1281" i="1" l="1"/>
  <c r="A3349" i="1"/>
  <c r="A3350" i="1" l="1"/>
  <c r="A1282" i="1"/>
  <c r="A1283" i="1" l="1"/>
  <c r="A3351" i="1"/>
  <c r="A3352" i="1" l="1"/>
  <c r="A1284" i="1"/>
  <c r="A1285" i="1" l="1"/>
  <c r="A3353" i="1"/>
  <c r="A3354" i="1" l="1"/>
  <c r="A1286" i="1"/>
  <c r="A1287" i="1" l="1"/>
  <c r="A3355" i="1"/>
  <c r="A3356" i="1" l="1"/>
  <c r="A1288" i="1"/>
  <c r="A1289" i="1" l="1"/>
  <c r="A3357" i="1"/>
  <c r="A3358" i="1" l="1"/>
  <c r="A1290" i="1"/>
  <c r="A1291" i="1" l="1"/>
  <c r="A3359" i="1"/>
  <c r="A3360" i="1" l="1"/>
  <c r="A1292" i="1"/>
  <c r="A1293" i="1" l="1"/>
  <c r="A3361" i="1"/>
  <c r="A3362" i="1" l="1"/>
  <c r="A1294" i="1"/>
  <c r="A1295" i="1" l="1"/>
  <c r="A3363" i="1"/>
  <c r="A3364" i="1" l="1"/>
  <c r="A1296" i="1"/>
  <c r="A1297" i="1" l="1"/>
  <c r="A3365" i="1"/>
  <c r="A3366" i="1" l="1"/>
  <c r="A1298" i="1"/>
  <c r="A1299" i="1" l="1"/>
  <c r="A3367" i="1"/>
  <c r="A3368" i="1" l="1"/>
  <c r="A1300" i="1"/>
  <c r="A1301" i="1" l="1"/>
  <c r="A3369" i="1"/>
  <c r="A3370" i="1" l="1"/>
  <c r="A1302" i="1"/>
  <c r="A1303" i="1" l="1"/>
  <c r="A3371" i="1"/>
  <c r="A3372" i="1" l="1"/>
  <c r="A1304" i="1"/>
  <c r="A1305" i="1" l="1"/>
  <c r="A3373" i="1"/>
  <c r="A3374" i="1" l="1"/>
  <c r="A1306" i="1"/>
  <c r="A1307" i="1" l="1"/>
  <c r="A3375" i="1"/>
  <c r="A3376" i="1" l="1"/>
  <c r="A1308" i="1"/>
  <c r="A1309" i="1" l="1"/>
  <c r="A3377" i="1"/>
  <c r="A3378" i="1" l="1"/>
  <c r="A1310" i="1"/>
  <c r="A1311" i="1" l="1"/>
  <c r="A3379" i="1"/>
  <c r="A3380" i="1" l="1"/>
  <c r="A1312" i="1"/>
  <c r="A1313" i="1" l="1"/>
  <c r="A3381" i="1"/>
  <c r="A3382" i="1" l="1"/>
  <c r="A1314" i="1"/>
  <c r="A3383" i="1" l="1"/>
  <c r="A1315" i="1"/>
  <c r="A1316" i="1" l="1"/>
  <c r="A3384" i="1"/>
  <c r="A3385" i="1" l="1"/>
  <c r="A1317" i="1"/>
  <c r="A1318" i="1" l="1"/>
  <c r="A3386" i="1"/>
  <c r="A3387" i="1" l="1"/>
  <c r="A1319" i="1"/>
  <c r="A1320" i="1" l="1"/>
  <c r="A3388" i="1"/>
  <c r="A3390" i="1" l="1"/>
  <c r="A1322" i="1"/>
  <c r="B9" i="2"/>
  <c r="AB8" i="2"/>
  <c r="AC23" i="2"/>
  <c r="AC22" i="2"/>
  <c r="AC7" i="2"/>
  <c r="B8" i="2"/>
  <c r="AB9" i="2"/>
  <c r="AD8" i="2"/>
  <c r="AC21" i="2"/>
  <c r="AB22" i="2"/>
  <c r="AB7" i="2"/>
  <c r="AC8" i="2"/>
  <c r="B21" i="2"/>
  <c r="AB21" i="2"/>
  <c r="AB6" i="2"/>
  <c r="AC6" i="2"/>
  <c r="AC9" i="2"/>
  <c r="B7" i="2"/>
  <c r="AF11" i="2"/>
  <c r="O6" i="2"/>
  <c r="AD22" i="2"/>
  <c r="AD23" i="2"/>
  <c r="K6" i="2"/>
  <c r="AB10" i="2"/>
  <c r="AD6" i="2"/>
  <c r="AD7" i="2"/>
  <c r="B22" i="2"/>
  <c r="J6" i="2"/>
  <c r="L6" i="2"/>
  <c r="AD21" i="2"/>
  <c r="B23" i="2"/>
  <c r="B10" i="2"/>
  <c r="AC10" i="2"/>
  <c r="AD24" i="2"/>
  <c r="AD10" i="2"/>
  <c r="AD9" i="2"/>
  <c r="AB23" i="2"/>
  <c r="M6" i="2"/>
  <c r="AB24" i="2"/>
  <c r="AE22" i="2"/>
  <c r="AC11" i="2"/>
  <c r="B24" i="2"/>
  <c r="AE7" i="2"/>
  <c r="AE21" i="2"/>
  <c r="AE25" i="2"/>
  <c r="AE10" i="2"/>
  <c r="AE11" i="2"/>
  <c r="AC24" i="2"/>
  <c r="B11" i="2"/>
  <c r="N6" i="2"/>
  <c r="AB11" i="2"/>
  <c r="AE8" i="2"/>
  <c r="AE24" i="2"/>
  <c r="AE9" i="2"/>
  <c r="AD11" i="2"/>
  <c r="AE23" i="2"/>
  <c r="AE6" i="2"/>
  <c r="AF24" i="2"/>
  <c r="AF22" i="2"/>
  <c r="AF23" i="2"/>
  <c r="AF21" i="2"/>
  <c r="AC25" i="2"/>
  <c r="P6" i="2"/>
  <c r="AF7" i="2"/>
  <c r="AD12" i="2"/>
  <c r="AF6" i="2"/>
  <c r="B25" i="2"/>
  <c r="AF12" i="2"/>
  <c r="AB25" i="2"/>
  <c r="AB12" i="2"/>
  <c r="AC12" i="2"/>
  <c r="AF9" i="2"/>
  <c r="AG12" i="2"/>
  <c r="AF25" i="2"/>
  <c r="AE12" i="2"/>
  <c r="AF8" i="2"/>
  <c r="AD25" i="2"/>
  <c r="AF10" i="2"/>
  <c r="B12" i="2"/>
  <c r="AC13" i="2"/>
  <c r="AG6" i="2"/>
  <c r="AG8" i="2"/>
  <c r="AG21" i="2"/>
  <c r="AH24" i="2"/>
  <c r="AG7" i="2"/>
  <c r="AB13" i="2"/>
  <c r="AG9" i="2"/>
  <c r="AG10" i="2"/>
  <c r="AG11" i="2"/>
  <c r="AG25" i="2"/>
  <c r="AF13" i="2"/>
  <c r="AE13" i="2"/>
  <c r="AG13" i="2"/>
  <c r="AG24" i="2"/>
  <c r="AD13" i="2"/>
  <c r="AG22" i="2"/>
  <c r="B13" i="2"/>
  <c r="AG23" i="2"/>
  <c r="AH10" i="2"/>
  <c r="AH23" i="2"/>
  <c r="AH12" i="2"/>
  <c r="AH21" i="2"/>
  <c r="AH6" i="2"/>
  <c r="AE14" i="2"/>
  <c r="AF14" i="2"/>
  <c r="B14" i="2"/>
  <c r="AB14" i="2"/>
  <c r="AH8" i="2"/>
  <c r="AH25" i="2"/>
  <c r="AH22" i="2"/>
  <c r="AH14" i="2"/>
  <c r="AH13" i="2"/>
  <c r="AD14" i="2"/>
  <c r="AH9" i="2"/>
  <c r="AG14" i="2"/>
  <c r="AC14" i="2"/>
  <c r="AH7" i="2"/>
  <c r="AI14" i="2"/>
  <c r="AH11" i="2"/>
  <c r="AK6" i="2"/>
  <c r="AI22" i="2"/>
  <c r="AI6" i="2"/>
  <c r="AI13" i="2"/>
  <c r="AE15" i="2"/>
  <c r="AI8" i="2"/>
  <c r="AB15" i="2"/>
  <c r="AI11" i="2"/>
  <c r="AF15" i="2"/>
  <c r="B15" i="2"/>
  <c r="AH15" i="2"/>
  <c r="AG15" i="2"/>
  <c r="AJ7" i="2"/>
  <c r="AI9" i="2"/>
  <c r="AD15" i="2"/>
  <c r="AI15" i="2"/>
  <c r="AI21" i="2"/>
  <c r="AI10" i="2"/>
  <c r="AI7" i="2"/>
  <c r="AI12" i="2"/>
  <c r="AC15" i="2"/>
  <c r="AJ15" i="2"/>
  <c r="AI23" i="2"/>
  <c r="AJ9" i="2"/>
  <c r="AJ24" i="2"/>
  <c r="AJ22" i="2"/>
  <c r="AJ8" i="2"/>
  <c r="AJ21" i="2"/>
  <c r="AJ10" i="2"/>
  <c r="AI25" i="2"/>
  <c r="AG16" i="2"/>
  <c r="AH16" i="2"/>
  <c r="AJ6" i="2"/>
  <c r="AJ16" i="2"/>
  <c r="AF16" i="2"/>
  <c r="AJ23" i="2"/>
  <c r="AI24" i="2"/>
  <c r="AB16" i="2"/>
  <c r="AC16" i="2"/>
  <c r="AJ25" i="2"/>
  <c r="AJ11" i="2"/>
  <c r="AI16" i="2"/>
  <c r="B16" i="2"/>
  <c r="AE16" i="2"/>
  <c r="AD16" i="2"/>
  <c r="AJ12" i="2"/>
  <c r="AJ14" i="2"/>
  <c r="AJ13" i="2"/>
  <c r="AB19" i="2"/>
  <c r="AK10" i="2"/>
  <c r="AK24" i="2"/>
  <c r="AK23" i="2"/>
  <c r="AK8" i="2"/>
  <c r="AC17" i="2"/>
  <c r="AG17" i="2"/>
  <c r="AK17" i="2"/>
  <c r="AB17" i="2"/>
  <c r="AH17" i="2"/>
  <c r="AK11" i="2"/>
  <c r="AK7" i="2"/>
  <c r="AK15" i="2"/>
  <c r="AK9" i="2"/>
  <c r="AK13" i="2"/>
  <c r="AK14" i="2"/>
  <c r="AK16" i="2"/>
  <c r="AK21" i="2"/>
  <c r="AD17" i="2"/>
  <c r="AJ17" i="2"/>
  <c r="AE17" i="2"/>
  <c r="AE18" i="2"/>
  <c r="AL23" i="2"/>
  <c r="AC18" i="2"/>
  <c r="AK12" i="2"/>
  <c r="AL22" i="2"/>
  <c r="AJ18" i="2"/>
  <c r="AK22" i="2"/>
  <c r="AL16" i="2"/>
  <c r="AF18" i="2"/>
  <c r="AL6" i="2"/>
  <c r="AI18" i="2"/>
  <c r="AL15" i="2"/>
  <c r="AK25" i="2"/>
  <c r="AD18" i="2"/>
  <c r="AM18" i="2"/>
  <c r="AL14" i="2"/>
  <c r="AL13" i="2"/>
  <c r="AL9" i="2"/>
  <c r="AL10" i="2"/>
  <c r="AH18" i="2"/>
  <c r="AL25" i="2"/>
  <c r="AF17" i="2"/>
  <c r="AL12" i="2"/>
  <c r="AL21" i="2"/>
  <c r="AI17" i="2"/>
  <c r="AG18" i="2"/>
  <c r="AL17" i="2"/>
  <c r="AL24" i="2"/>
  <c r="AK18" i="2"/>
  <c r="AL8" i="2"/>
  <c r="AL11" i="2"/>
  <c r="AL7" i="2"/>
  <c r="AB18" i="2"/>
  <c r="B18" i="2"/>
  <c r="AL18" i="2"/>
  <c r="B17" i="2"/>
  <c r="AO13" i="2"/>
  <c r="AM7" i="2"/>
  <c r="AM23" i="2"/>
  <c r="AC19" i="2"/>
  <c r="AM8" i="2"/>
  <c r="AG19" i="2"/>
  <c r="AJ19" i="2"/>
  <c r="AM24" i="2"/>
  <c r="AM17" i="2"/>
  <c r="AM14" i="2"/>
  <c r="AF19" i="2"/>
  <c r="AI19" i="2"/>
  <c r="AM22" i="2"/>
  <c r="AM12" i="2"/>
  <c r="B19" i="2"/>
  <c r="AM6" i="2"/>
  <c r="AM16" i="2"/>
  <c r="AH19" i="2"/>
  <c r="AE19" i="2"/>
  <c r="AK19" i="2"/>
  <c r="AM15" i="2"/>
  <c r="AM13" i="2"/>
  <c r="AD19" i="2"/>
  <c r="AM10" i="2"/>
  <c r="AM11" i="2"/>
  <c r="AM9" i="2"/>
  <c r="AM19" i="2"/>
  <c r="AM21" i="2"/>
  <c r="AL19" i="2"/>
  <c r="AM25" i="2"/>
  <c r="AN11" i="2"/>
  <c r="AN13" i="2"/>
  <c r="AN24" i="2"/>
  <c r="AN6" i="2"/>
  <c r="AI20" i="2"/>
  <c r="AN16" i="2"/>
  <c r="AN17" i="2"/>
  <c r="AL20" i="2"/>
  <c r="AN9" i="2"/>
  <c r="AD20" i="2"/>
  <c r="AO20" i="2"/>
  <c r="AN25" i="2"/>
  <c r="AM20" i="2"/>
  <c r="AN23" i="2"/>
  <c r="AN22" i="2"/>
  <c r="AN10" i="2"/>
  <c r="AN20" i="2"/>
  <c r="B20" i="2"/>
  <c r="AG20" i="2"/>
  <c r="AN7" i="2"/>
  <c r="AJ20" i="2"/>
  <c r="AN18" i="2"/>
  <c r="AK20" i="2"/>
  <c r="AE20" i="2"/>
  <c r="AB20" i="2"/>
  <c r="AN14" i="2"/>
  <c r="AN15" i="2"/>
  <c r="AF20" i="2"/>
  <c r="AN12" i="2"/>
  <c r="AC20" i="2"/>
  <c r="AN8" i="2"/>
  <c r="AN19" i="2"/>
  <c r="AH20" i="2"/>
  <c r="AN21" i="2"/>
  <c r="AQ13" i="2"/>
  <c r="AO24" i="2"/>
  <c r="AO25" i="2"/>
  <c r="AO17" i="2"/>
  <c r="AO11" i="2"/>
  <c r="AO21" i="2"/>
  <c r="AO12" i="2"/>
  <c r="AO15" i="2"/>
  <c r="AO14" i="2"/>
  <c r="AO10" i="2"/>
  <c r="AO9" i="2"/>
  <c r="AO7" i="2"/>
  <c r="AO19" i="2"/>
  <c r="AO23" i="2"/>
  <c r="AO8" i="2"/>
  <c r="AO16" i="2"/>
  <c r="AO22" i="2"/>
  <c r="AO6" i="2"/>
  <c r="AO18" i="2"/>
  <c r="AP6" i="2"/>
  <c r="AP16" i="2"/>
  <c r="AP25" i="2"/>
  <c r="AP11" i="2"/>
  <c r="AP7" i="2"/>
  <c r="AP13" i="2"/>
  <c r="AP9" i="2"/>
  <c r="AP8" i="2"/>
  <c r="AP12" i="2"/>
  <c r="AP18" i="2"/>
  <c r="AP15" i="2"/>
  <c r="AP23" i="2"/>
  <c r="AP21" i="2"/>
  <c r="AP10" i="2"/>
  <c r="AP22" i="2"/>
  <c r="AP20" i="2"/>
  <c r="AP17" i="2"/>
  <c r="AP14" i="2"/>
  <c r="AP24" i="2"/>
  <c r="AP19" i="2"/>
  <c r="AS23" i="2"/>
  <c r="AQ21" i="2"/>
  <c r="AQ24" i="2"/>
  <c r="AQ14" i="2"/>
  <c r="AQ17" i="2"/>
  <c r="AQ19" i="2"/>
  <c r="AQ16" i="2"/>
  <c r="AQ10" i="2"/>
  <c r="AQ7" i="2"/>
  <c r="AQ22" i="2"/>
  <c r="AQ9" i="2"/>
  <c r="AQ8" i="2"/>
  <c r="AQ18" i="2"/>
  <c r="AQ25" i="2"/>
  <c r="AQ15" i="2"/>
  <c r="AQ23" i="2"/>
  <c r="AQ11" i="2"/>
  <c r="AQ12" i="2"/>
  <c r="AQ20" i="2"/>
  <c r="AR16" i="2"/>
  <c r="AR20" i="2"/>
  <c r="AR24" i="2"/>
  <c r="AR7" i="2"/>
  <c r="AR15" i="2"/>
  <c r="AR9" i="2"/>
  <c r="AR13" i="2"/>
  <c r="AR25" i="2"/>
  <c r="AR14" i="2"/>
  <c r="AR12" i="2"/>
  <c r="AR23" i="2"/>
  <c r="AR22" i="2"/>
  <c r="AR18" i="2"/>
  <c r="AR8" i="2"/>
  <c r="AR17" i="2"/>
  <c r="AR21" i="2"/>
  <c r="AR10" i="2"/>
  <c r="AR11" i="2"/>
  <c r="AR19" i="2"/>
  <c r="AS11" i="2"/>
  <c r="AS19" i="2"/>
  <c r="AS9" i="2"/>
  <c r="AS8" i="2"/>
  <c r="AS17" i="2"/>
  <c r="AS14" i="2"/>
  <c r="AS25" i="2"/>
  <c r="AS12" i="2"/>
  <c r="AS22" i="2"/>
  <c r="AS20" i="2"/>
  <c r="AS21" i="2"/>
  <c r="AS10" i="2"/>
  <c r="AS13" i="2"/>
  <c r="AS15" i="2"/>
  <c r="AS24" i="2"/>
  <c r="AS16" i="2"/>
  <c r="AS7" i="2"/>
  <c r="AS18" i="2"/>
  <c r="AT13" i="2"/>
  <c r="AT22" i="2"/>
  <c r="AT11" i="2"/>
  <c r="AU12" i="2"/>
  <c r="AT17" i="2"/>
  <c r="AT25" i="2"/>
  <c r="AT10" i="2"/>
  <c r="AT20" i="2"/>
  <c r="AT23" i="2"/>
  <c r="AT14" i="2"/>
  <c r="AT12" i="2"/>
  <c r="AT7" i="2"/>
  <c r="AT15" i="2"/>
  <c r="AT24" i="2"/>
  <c r="AT9" i="2"/>
  <c r="AT19" i="2"/>
  <c r="AT18" i="2"/>
  <c r="AT21" i="2"/>
  <c r="AT16" i="2"/>
  <c r="AT8" i="2"/>
  <c r="AW24" i="2"/>
  <c r="AU16" i="2"/>
  <c r="AU7" i="2"/>
  <c r="AU23" i="2"/>
  <c r="AU17" i="2"/>
  <c r="AU8" i="2"/>
  <c r="AU20" i="2"/>
  <c r="AU24" i="2"/>
  <c r="AU13" i="2"/>
  <c r="AU22" i="2"/>
  <c r="AU9" i="2"/>
  <c r="AU15" i="2"/>
  <c r="AU25" i="2"/>
  <c r="AU19" i="2"/>
  <c r="AU18" i="2"/>
  <c r="AU11" i="2"/>
  <c r="AU21" i="2"/>
  <c r="AU10" i="2"/>
  <c r="AU14" i="2"/>
  <c r="AV17" i="2"/>
  <c r="AV16" i="2"/>
  <c r="AV23" i="2"/>
  <c r="AV13" i="2"/>
  <c r="AV20" i="2"/>
  <c r="AV22" i="2"/>
  <c r="AV18" i="2"/>
  <c r="AV25" i="2"/>
  <c r="AV10" i="2"/>
  <c r="AV11" i="2"/>
  <c r="AV8" i="2"/>
  <c r="AV12" i="2"/>
  <c r="AV24" i="2"/>
  <c r="AV21" i="2"/>
  <c r="AV7" i="2"/>
  <c r="AV14" i="2"/>
  <c r="AV9" i="2"/>
  <c r="AV15" i="2"/>
  <c r="AV19" i="2"/>
  <c r="AY12" i="2"/>
  <c r="AW20" i="2"/>
  <c r="AW19" i="2"/>
  <c r="AW8" i="2"/>
  <c r="AW14" i="2"/>
  <c r="AW11" i="2"/>
  <c r="AW13" i="2"/>
  <c r="AW22" i="2"/>
  <c r="AW16" i="2"/>
  <c r="AW23" i="2"/>
  <c r="AW9" i="2"/>
  <c r="AW12" i="2"/>
  <c r="AW10" i="2"/>
  <c r="AW25" i="2"/>
  <c r="AW7" i="2"/>
  <c r="AW18" i="2"/>
  <c r="AW15" i="2"/>
  <c r="AW17" i="2"/>
  <c r="AW21" i="2"/>
  <c r="AX24" i="2"/>
  <c r="AX8" i="2"/>
  <c r="AX10" i="2"/>
  <c r="AX17" i="2"/>
  <c r="AX9" i="2"/>
  <c r="AX12" i="2"/>
  <c r="AX22" i="2"/>
  <c r="AX15" i="2"/>
  <c r="AX20" i="2"/>
  <c r="AX16" i="2"/>
  <c r="AX11" i="2"/>
  <c r="AX25" i="2"/>
  <c r="AX21" i="2"/>
  <c r="AX14" i="2"/>
  <c r="AX13" i="2"/>
  <c r="AX19" i="2"/>
  <c r="AX18" i="2"/>
  <c r="AX23" i="2"/>
  <c r="AX7" i="2"/>
  <c r="AY7" i="2"/>
  <c r="AY23" i="2"/>
  <c r="AY19" i="2"/>
  <c r="AY8" i="2"/>
  <c r="AY15" i="2"/>
  <c r="AY16" i="2"/>
  <c r="AY17" i="2"/>
  <c r="AY21" i="2"/>
  <c r="AY13" i="2"/>
  <c r="AY10" i="2"/>
  <c r="AY25" i="2"/>
  <c r="AY14" i="2"/>
  <c r="AY24" i="2"/>
  <c r="AY22" i="2"/>
  <c r="AY9" i="2"/>
  <c r="AY11" i="2"/>
  <c r="AY20" i="2"/>
  <c r="AY18" i="2"/>
  <c r="BA13" i="2"/>
  <c r="AZ10" i="2"/>
  <c r="AZ14" i="2"/>
  <c r="AZ7" i="2"/>
  <c r="AZ11" i="2"/>
  <c r="AZ21" i="2"/>
  <c r="AZ9" i="2"/>
  <c r="AZ22" i="2"/>
  <c r="AZ12" i="2"/>
  <c r="AZ25" i="2"/>
  <c r="AZ23" i="2"/>
  <c r="AZ18" i="2"/>
  <c r="AZ20" i="2"/>
  <c r="AZ24" i="2"/>
  <c r="AZ16" i="2"/>
  <c r="AZ17" i="2"/>
  <c r="AZ15" i="2"/>
  <c r="AZ19" i="2"/>
  <c r="AZ8" i="2"/>
  <c r="AZ13" i="2"/>
  <c r="BA7" i="2"/>
  <c r="BA12" i="2"/>
  <c r="BA21" i="2"/>
  <c r="BA15" i="2"/>
  <c r="BA16" i="2"/>
  <c r="BA24" i="2"/>
  <c r="BA9" i="2"/>
  <c r="BA11" i="2"/>
  <c r="BA17" i="2"/>
  <c r="BA8" i="2"/>
  <c r="BA20" i="2"/>
  <c r="BA19" i="2"/>
  <c r="BA18" i="2"/>
  <c r="BA22" i="2"/>
  <c r="BA10" i="2"/>
  <c r="BA23" i="2"/>
  <c r="BA14" i="2"/>
  <c r="BA25" i="2"/>
  <c r="BJ11" i="2"/>
  <c r="BB9" i="2"/>
  <c r="BH15" i="2"/>
  <c r="BC25" i="2"/>
  <c r="BG13" i="2"/>
  <c r="BF24" i="2"/>
  <c r="BE13" i="2"/>
  <c r="BF21" i="2"/>
  <c r="BG8" i="2"/>
  <c r="BC18" i="2"/>
  <c r="BD21" i="2"/>
  <c r="BG10" i="2"/>
  <c r="BE16" i="2"/>
  <c r="BD17" i="2"/>
  <c r="BD24" i="2"/>
  <c r="BG19" i="2"/>
  <c r="BC17" i="2"/>
  <c r="BF17" i="2"/>
  <c r="BH14" i="2"/>
  <c r="BD14" i="2"/>
  <c r="BB18" i="2"/>
  <c r="BC24" i="2"/>
  <c r="BH10" i="2"/>
  <c r="BD22" i="2"/>
  <c r="BB23" i="2"/>
  <c r="BH12" i="2"/>
  <c r="BB15" i="2"/>
  <c r="BC7" i="2"/>
  <c r="BF7" i="2"/>
  <c r="BB21" i="2"/>
  <c r="BE21" i="2"/>
  <c r="BC22" i="2"/>
  <c r="BG12" i="2"/>
  <c r="BD25" i="2"/>
  <c r="BB11" i="2"/>
  <c r="BD20" i="2"/>
  <c r="BB12" i="2"/>
  <c r="BE18" i="2"/>
  <c r="BD15" i="2"/>
  <c r="BF15" i="2"/>
  <c r="BB13" i="2"/>
  <c r="BD19" i="2"/>
  <c r="BH7" i="2"/>
  <c r="BG9" i="2"/>
  <c r="BE19" i="2"/>
  <c r="BE22" i="2"/>
  <c r="BB7" i="2"/>
  <c r="BC20" i="2"/>
  <c r="BC12" i="2"/>
  <c r="BG17" i="2"/>
  <c r="BF8" i="2"/>
  <c r="BG14" i="2"/>
  <c r="BD16" i="2"/>
  <c r="BE7" i="2"/>
  <c r="BE14" i="2"/>
  <c r="BF10" i="2"/>
  <c r="BB24" i="2"/>
  <c r="BC10" i="2"/>
  <c r="BF11" i="2"/>
  <c r="BE11" i="2"/>
  <c r="BC15" i="2"/>
  <c r="BF19" i="2"/>
  <c r="BH20" i="2"/>
  <c r="BH18" i="2"/>
  <c r="BD13" i="2"/>
  <c r="BG18" i="2"/>
  <c r="BF16" i="2"/>
  <c r="BH22" i="2"/>
  <c r="BC11" i="2"/>
  <c r="BD23" i="2"/>
  <c r="BD18" i="2"/>
  <c r="BB22" i="2"/>
  <c r="BD12" i="2"/>
  <c r="BE25" i="2"/>
  <c r="BH21" i="2"/>
  <c r="BB14" i="2"/>
  <c r="BC9" i="2"/>
  <c r="BE9" i="2"/>
  <c r="BB8" i="2"/>
  <c r="BC16" i="2"/>
  <c r="BH25" i="2"/>
  <c r="BE8" i="2"/>
  <c r="BE23" i="2"/>
  <c r="BD10" i="2"/>
  <c r="BD11" i="2"/>
  <c r="BB17" i="2"/>
  <c r="BH24" i="2"/>
  <c r="BG11" i="2"/>
  <c r="BD7" i="2"/>
  <c r="BC23" i="2"/>
  <c r="BC21" i="2"/>
  <c r="BC13" i="2"/>
  <c r="BD9" i="2"/>
  <c r="BF22" i="2"/>
  <c r="BC19" i="2"/>
  <c r="BG22" i="2"/>
  <c r="BG7" i="2"/>
  <c r="BH17" i="2"/>
  <c r="BH8" i="2"/>
  <c r="BF12" i="2"/>
  <c r="BE15" i="2"/>
  <c r="BE20" i="2"/>
  <c r="BG16" i="2"/>
  <c r="BC8" i="2"/>
  <c r="BG24" i="2"/>
  <c r="BF14" i="2"/>
  <c r="BB25" i="2"/>
  <c r="BH19" i="2"/>
  <c r="BG23" i="2"/>
  <c r="BH9" i="2"/>
  <c r="BD8" i="2"/>
  <c r="BF20" i="2"/>
  <c r="BF18" i="2"/>
  <c r="BG20" i="2"/>
  <c r="BB19" i="2"/>
  <c r="BG15" i="2"/>
  <c r="BE12" i="2"/>
  <c r="BB16" i="2"/>
  <c r="BG25" i="2"/>
  <c r="BF9" i="2"/>
  <c r="BE10" i="2"/>
  <c r="BH23" i="2"/>
  <c r="BB10" i="2"/>
  <c r="BC14" i="2"/>
  <c r="BF23" i="2"/>
  <c r="BF25" i="2"/>
  <c r="BE24" i="2"/>
  <c r="BH13" i="2"/>
  <c r="BH16" i="2"/>
  <c r="BG21" i="2"/>
  <c r="BH11" i="2"/>
  <c r="BF13" i="2"/>
  <c r="BE17" i="2"/>
  <c r="BB20" i="2"/>
  <c r="BI13" i="2"/>
  <c r="BI23" i="2"/>
  <c r="BI16" i="2"/>
  <c r="BI14" i="2"/>
  <c r="BI19" i="2"/>
  <c r="BI22" i="2"/>
  <c r="BI9" i="2"/>
  <c r="BI7" i="2"/>
  <c r="BI21" i="2"/>
  <c r="BI10" i="2"/>
  <c r="BI15" i="2"/>
  <c r="BI18" i="2"/>
  <c r="BI12" i="2"/>
  <c r="BI17" i="2"/>
  <c r="BI11" i="2"/>
  <c r="BI25" i="2"/>
  <c r="BI8" i="2"/>
  <c r="BI20" i="2"/>
  <c r="BI24" i="2"/>
  <c r="BJ12" i="2"/>
  <c r="BJ16" i="2"/>
  <c r="BJ18" i="2"/>
  <c r="BJ14" i="2"/>
  <c r="BJ8" i="2"/>
  <c r="BJ25" i="2"/>
  <c r="BJ21" i="2"/>
  <c r="BJ24" i="2"/>
  <c r="BJ15" i="2"/>
  <c r="BJ23" i="2"/>
  <c r="BJ20" i="2"/>
  <c r="BJ9" i="2"/>
  <c r="BJ22" i="2"/>
  <c r="BJ17" i="2"/>
  <c r="BJ10" i="2"/>
  <c r="BJ13" i="2"/>
  <c r="BJ19" i="2"/>
  <c r="BJ7" i="2"/>
  <c r="BK12" i="2"/>
  <c r="BK20" i="2"/>
  <c r="BK17" i="2"/>
  <c r="BK15" i="2"/>
  <c r="BK14" i="2"/>
  <c r="BK18" i="2"/>
  <c r="BK23" i="2"/>
  <c r="BK13" i="2"/>
  <c r="BK10" i="2"/>
  <c r="BL11" i="2"/>
  <c r="BK19" i="2"/>
  <c r="BK21" i="2"/>
  <c r="BK16" i="2"/>
  <c r="BK25" i="2"/>
  <c r="BK9" i="2"/>
  <c r="BK7" i="2"/>
  <c r="BK22" i="2"/>
  <c r="BK11" i="2"/>
  <c r="BK24" i="2"/>
  <c r="BK8" i="2"/>
  <c r="BM25" i="2"/>
  <c r="BL8" i="2"/>
  <c r="BL16" i="2"/>
  <c r="BL24" i="2"/>
  <c r="BL15" i="2"/>
  <c r="BL12" i="2"/>
  <c r="BL18" i="2"/>
  <c r="BL23" i="2"/>
  <c r="BL7" i="2"/>
  <c r="BL19" i="2"/>
  <c r="BL17" i="2"/>
  <c r="BL10" i="2"/>
  <c r="BL13" i="2"/>
  <c r="BL20" i="2"/>
  <c r="BL25" i="2"/>
  <c r="BL9" i="2"/>
  <c r="BL14" i="2"/>
  <c r="BL22" i="2"/>
  <c r="BL21" i="2"/>
  <c r="BM10" i="2"/>
  <c r="BM9" i="2"/>
  <c r="BM15" i="2"/>
  <c r="BM23" i="2"/>
  <c r="BM16" i="2"/>
  <c r="BM20" i="2"/>
  <c r="BM8" i="2"/>
  <c r="BM14" i="2"/>
  <c r="BM13" i="2"/>
  <c r="BM7" i="2"/>
  <c r="BM19" i="2"/>
  <c r="BM21" i="2"/>
  <c r="BM11" i="2"/>
  <c r="BM12" i="2"/>
  <c r="BM18" i="2"/>
  <c r="BM24" i="2"/>
  <c r="BM17" i="2"/>
  <c r="BM22" i="2"/>
  <c r="BN14" i="2"/>
  <c r="BN25" i="2"/>
  <c r="BN18" i="2"/>
  <c r="BN11" i="2"/>
  <c r="BN16" i="2"/>
  <c r="BN8" i="2"/>
  <c r="BN17" i="2"/>
  <c r="BN13" i="2"/>
  <c r="BN15" i="2"/>
  <c r="BN20" i="2"/>
  <c r="BN21" i="2"/>
  <c r="BN23" i="2"/>
  <c r="BN7" i="2"/>
  <c r="BN10" i="2"/>
  <c r="BN12" i="2"/>
  <c r="BN24" i="2"/>
  <c r="BN9" i="2"/>
  <c r="BN19" i="2"/>
  <c r="BN22" i="2"/>
  <c r="BO10" i="2"/>
  <c r="BO11" i="2"/>
  <c r="BO19" i="2"/>
  <c r="BO13" i="2"/>
  <c r="BO23" i="2"/>
  <c r="BO24" i="2"/>
  <c r="BO7" i="2"/>
  <c r="BO18" i="2"/>
  <c r="BO15" i="2"/>
  <c r="BO21" i="2"/>
  <c r="BO16" i="2"/>
  <c r="BO9" i="2"/>
  <c r="BO14" i="2"/>
  <c r="BO17" i="2"/>
  <c r="BO8" i="2"/>
  <c r="BO20" i="2"/>
  <c r="BO12" i="2"/>
  <c r="BO22" i="2"/>
  <c r="BO25" i="2"/>
  <c r="AD28" i="2"/>
  <c r="B28" i="2"/>
  <c r="AO26" i="2"/>
  <c r="BH28" i="2"/>
  <c r="BC28" i="2"/>
  <c r="BF26" i="2"/>
  <c r="AT26" i="2"/>
  <c r="AQ27" i="2"/>
  <c r="BO28" i="2"/>
  <c r="BM28" i="2"/>
  <c r="BJ26" i="2"/>
  <c r="AH27" i="2"/>
  <c r="AD26" i="2"/>
  <c r="BD26" i="2"/>
  <c r="BE28" i="2"/>
  <c r="BD27" i="2"/>
  <c r="AV28" i="2"/>
  <c r="AY26" i="2"/>
  <c r="AH28" i="2"/>
  <c r="BB26" i="2"/>
  <c r="AJ28" i="2"/>
  <c r="BE26" i="2"/>
  <c r="AP28" i="2"/>
  <c r="AO28" i="2"/>
  <c r="AT27" i="2"/>
  <c r="B27" i="2"/>
  <c r="AS27" i="2"/>
  <c r="AL26" i="2"/>
  <c r="AY28" i="2"/>
  <c r="AG26" i="2"/>
  <c r="AQ28" i="2"/>
  <c r="AC27" i="2"/>
  <c r="AS28" i="2"/>
  <c r="AR28" i="2"/>
  <c r="AN26" i="2"/>
  <c r="BH26" i="2"/>
  <c r="AG28" i="2"/>
  <c r="AU26" i="2"/>
  <c r="AR27" i="2"/>
  <c r="BH27" i="2"/>
  <c r="BE27" i="2"/>
  <c r="AW28" i="2"/>
  <c r="BL27" i="2"/>
  <c r="BA26" i="2"/>
  <c r="AU28" i="2"/>
  <c r="AI28" i="2"/>
  <c r="AL28" i="2"/>
  <c r="AR26" i="2"/>
  <c r="AC26" i="2"/>
  <c r="AF27" i="2"/>
  <c r="AE28" i="2"/>
  <c r="AT28" i="2"/>
  <c r="AN27" i="2"/>
  <c r="BA27" i="2"/>
  <c r="AS26" i="2"/>
  <c r="AE27" i="2"/>
  <c r="AO27" i="2"/>
  <c r="BG27" i="2"/>
  <c r="AB28" i="2"/>
  <c r="BI27" i="2"/>
  <c r="BB27" i="2"/>
  <c r="AV27" i="2"/>
  <c r="AY27" i="2"/>
  <c r="BO27" i="2"/>
  <c r="AP26" i="2"/>
  <c r="AF26" i="2"/>
  <c r="AZ26" i="2"/>
  <c r="BF28" i="2"/>
  <c r="BC27" i="2"/>
  <c r="AK26" i="2"/>
  <c r="AF28" i="2"/>
  <c r="AB26" i="2"/>
  <c r="AX28" i="2"/>
  <c r="BC26" i="2"/>
  <c r="AW26" i="2"/>
  <c r="AK27" i="2"/>
  <c r="AD27" i="2"/>
  <c r="AH26" i="2"/>
  <c r="AQ26" i="2"/>
  <c r="AL27" i="2"/>
  <c r="AU27" i="2"/>
  <c r="AX27" i="2"/>
  <c r="AM28" i="2"/>
  <c r="B26" i="2"/>
  <c r="AN28" i="2"/>
  <c r="AX26" i="2"/>
  <c r="AK28" i="2"/>
  <c r="AP27" i="2"/>
  <c r="AZ27" i="2"/>
  <c r="AJ27" i="2"/>
  <c r="AI27" i="2"/>
  <c r="BB28" i="2"/>
  <c r="AV26" i="2"/>
  <c r="AW27" i="2"/>
  <c r="AM26" i="2"/>
  <c r="AE26" i="2"/>
  <c r="AC28" i="2"/>
  <c r="BM27" i="2"/>
  <c r="AB27" i="2"/>
  <c r="BA28" i="2"/>
  <c r="BD28" i="2"/>
  <c r="BK27" i="2"/>
  <c r="AJ26" i="2"/>
  <c r="AI26" i="2"/>
  <c r="AM27" i="2"/>
  <c r="AG27" i="2"/>
  <c r="BL28" i="2"/>
  <c r="BO26" i="2"/>
  <c r="BM26" i="2"/>
  <c r="BJ28" i="2"/>
  <c r="BN27" i="2"/>
  <c r="BJ27" i="2"/>
  <c r="BG26" i="2"/>
  <c r="BF27" i="2"/>
  <c r="BL26" i="2"/>
  <c r="BI28" i="2"/>
  <c r="BG28" i="2"/>
  <c r="BK28" i="2"/>
  <c r="AZ28" i="2"/>
  <c r="BK26" i="2"/>
  <c r="BN26" i="2"/>
  <c r="BI26" i="2"/>
  <c r="BN28" i="2"/>
  <c r="H25" i="2" l="1"/>
  <c r="G25" i="2"/>
  <c r="A1323" i="1"/>
  <c r="A3391" i="1"/>
  <c r="H26" i="2"/>
  <c r="T26" i="2"/>
  <c r="Q26" i="2"/>
  <c r="W26" i="2"/>
  <c r="Z26" i="2"/>
  <c r="V26" i="2"/>
  <c r="M26" i="2"/>
  <c r="S26" i="2"/>
  <c r="N26" i="2"/>
  <c r="F26" i="2"/>
  <c r="AA26" i="2"/>
  <c r="U26" i="2"/>
  <c r="L26" i="2"/>
  <c r="J26" i="2"/>
  <c r="P26" i="2"/>
  <c r="D26" i="2"/>
  <c r="E26" i="2"/>
  <c r="X26" i="2"/>
  <c r="R26" i="2"/>
  <c r="K26" i="2"/>
  <c r="I26" i="2"/>
  <c r="G26" i="2"/>
  <c r="C26" i="2"/>
  <c r="Y26" i="2"/>
  <c r="O26" i="2"/>
  <c r="N20" i="2"/>
  <c r="U20" i="2"/>
  <c r="E20" i="2"/>
  <c r="C20" i="2"/>
  <c r="W20" i="2"/>
  <c r="L20" i="2"/>
  <c r="Z20" i="2"/>
  <c r="J20" i="2"/>
  <c r="Q20" i="2"/>
  <c r="AA20" i="2"/>
  <c r="X20" i="2"/>
  <c r="O20" i="2"/>
  <c r="D20" i="2"/>
  <c r="V20" i="2"/>
  <c r="F20" i="2"/>
  <c r="M20" i="2"/>
  <c r="S20" i="2"/>
  <c r="P20" i="2"/>
  <c r="G20" i="2"/>
  <c r="R20" i="2"/>
  <c r="Y20" i="2"/>
  <c r="I20" i="2"/>
  <c r="K20" i="2"/>
  <c r="H20" i="2"/>
  <c r="T20" i="2"/>
  <c r="K17" i="2"/>
  <c r="V17" i="2"/>
  <c r="F17" i="2"/>
  <c r="Q17" i="2"/>
  <c r="H17" i="2"/>
  <c r="AA17" i="2"/>
  <c r="G17" i="2"/>
  <c r="R17" i="2"/>
  <c r="L17" i="2"/>
  <c r="I17" i="2"/>
  <c r="E17" i="2"/>
  <c r="W17" i="2"/>
  <c r="C17" i="2"/>
  <c r="N17" i="2"/>
  <c r="D17" i="2"/>
  <c r="X17" i="2"/>
  <c r="U17" i="2"/>
  <c r="O17" i="2"/>
  <c r="Z17" i="2"/>
  <c r="J17" i="2"/>
  <c r="Y17" i="2"/>
  <c r="P17" i="2"/>
  <c r="M17" i="2"/>
  <c r="T17" i="2"/>
  <c r="S17" i="2"/>
  <c r="M10" i="2"/>
  <c r="O10" i="2"/>
  <c r="J10" i="2"/>
  <c r="D10" i="2"/>
  <c r="I10" i="2"/>
  <c r="K10" i="2"/>
  <c r="H10" i="2"/>
  <c r="E10" i="2"/>
  <c r="G10" i="2"/>
  <c r="R10" i="2"/>
  <c r="L10" i="2"/>
  <c r="C10" i="2"/>
  <c r="F10" i="2"/>
  <c r="N10" i="2"/>
  <c r="AA10" i="2"/>
  <c r="P10" i="2"/>
  <c r="Q10" i="2"/>
  <c r="Z10" i="2"/>
  <c r="Y10" i="2"/>
  <c r="X10" i="2"/>
  <c r="W10" i="2"/>
  <c r="V10" i="2"/>
  <c r="U10" i="2"/>
  <c r="T10" i="2"/>
  <c r="S10" i="2"/>
  <c r="M19" i="2"/>
  <c r="T19" i="2"/>
  <c r="D19" i="2"/>
  <c r="AA19" i="2"/>
  <c r="Z19" i="2"/>
  <c r="O19" i="2"/>
  <c r="Y19" i="2"/>
  <c r="I19" i="2"/>
  <c r="P19" i="2"/>
  <c r="V19" i="2"/>
  <c r="S19" i="2"/>
  <c r="R19" i="2"/>
  <c r="G19" i="2"/>
  <c r="U19" i="2"/>
  <c r="E19" i="2"/>
  <c r="L19" i="2"/>
  <c r="N19" i="2"/>
  <c r="K19" i="2"/>
  <c r="J19" i="2"/>
  <c r="Q19" i="2"/>
  <c r="X19" i="2"/>
  <c r="H19" i="2"/>
  <c r="F19" i="2"/>
  <c r="C19" i="2"/>
  <c r="W19" i="2"/>
  <c r="AA12" i="2"/>
  <c r="C12" i="2"/>
  <c r="J12" i="2"/>
  <c r="M12" i="2"/>
  <c r="P12" i="2"/>
  <c r="O12" i="2"/>
  <c r="Z12" i="2"/>
  <c r="F12" i="2"/>
  <c r="I12" i="2"/>
  <c r="L12" i="2"/>
  <c r="K12" i="2"/>
  <c r="R12" i="2"/>
  <c r="Y12" i="2"/>
  <c r="E12" i="2"/>
  <c r="X12" i="2"/>
  <c r="G12" i="2"/>
  <c r="N12" i="2"/>
  <c r="Q12" i="2"/>
  <c r="D12" i="2"/>
  <c r="H12" i="2"/>
  <c r="W12" i="2"/>
  <c r="V12" i="2"/>
  <c r="U12" i="2"/>
  <c r="T12" i="2"/>
  <c r="S12" i="2"/>
  <c r="Z25" i="2"/>
  <c r="L25" i="2"/>
  <c r="F25" i="2"/>
  <c r="T25" i="2"/>
  <c r="D25" i="2"/>
  <c r="X25" i="2"/>
  <c r="N25" i="2"/>
  <c r="P25" i="2"/>
  <c r="U25" i="2"/>
  <c r="AA25" i="2"/>
  <c r="W25" i="2"/>
  <c r="Y25" i="2"/>
  <c r="I25" i="2"/>
  <c r="E25" i="2"/>
  <c r="J25" i="2"/>
  <c r="K25" i="2"/>
  <c r="S25" i="2"/>
  <c r="O25" i="2"/>
  <c r="V25" i="2"/>
  <c r="Q25" i="2"/>
  <c r="M25" i="2"/>
  <c r="R25" i="2"/>
  <c r="C25" i="2"/>
  <c r="Q23" i="2"/>
  <c r="D23" i="2"/>
  <c r="O23" i="2"/>
  <c r="K23" i="2"/>
  <c r="G23" i="2"/>
  <c r="C23" i="2"/>
  <c r="H23" i="2"/>
  <c r="M23" i="2"/>
  <c r="R23" i="2"/>
  <c r="L23" i="2"/>
  <c r="J23" i="2"/>
  <c r="P23" i="2"/>
  <c r="I23" i="2"/>
  <c r="N23" i="2"/>
  <c r="E23" i="2"/>
  <c r="R22" i="2"/>
  <c r="P22" i="2"/>
  <c r="Y22" i="2"/>
  <c r="M22" i="2"/>
  <c r="Q22" i="2"/>
  <c r="W22" i="2"/>
  <c r="K22" i="2"/>
  <c r="C22" i="2"/>
  <c r="E22" i="2"/>
  <c r="U22" i="2"/>
  <c r="L22" i="2"/>
  <c r="N22" i="2"/>
  <c r="AA22" i="2"/>
  <c r="I22" i="2"/>
  <c r="J22" i="2"/>
  <c r="S22" i="2"/>
  <c r="G22" i="2"/>
  <c r="H22" i="2"/>
  <c r="D22" i="2"/>
  <c r="F22" i="2"/>
  <c r="V22" i="2"/>
  <c r="O22" i="2"/>
  <c r="T22" i="2"/>
  <c r="Z22" i="2"/>
  <c r="X22" i="2"/>
  <c r="T18" i="2"/>
  <c r="D18" i="2"/>
  <c r="O18" i="2"/>
  <c r="Y18" i="2"/>
  <c r="N18" i="2"/>
  <c r="E18" i="2"/>
  <c r="P18" i="2"/>
  <c r="AA18" i="2"/>
  <c r="K18" i="2"/>
  <c r="Q18" i="2"/>
  <c r="F18" i="2"/>
  <c r="Z18" i="2"/>
  <c r="L18" i="2"/>
  <c r="W18" i="2"/>
  <c r="G18" i="2"/>
  <c r="I18" i="2"/>
  <c r="U18" i="2"/>
  <c r="R18" i="2"/>
  <c r="X18" i="2"/>
  <c r="H18" i="2"/>
  <c r="S18" i="2"/>
  <c r="C18" i="2"/>
  <c r="V18" i="2"/>
  <c r="M18" i="2"/>
  <c r="J18" i="2"/>
  <c r="R16" i="2"/>
  <c r="Y16" i="2"/>
  <c r="I16" i="2"/>
  <c r="G16" i="2"/>
  <c r="K16" i="2"/>
  <c r="P16" i="2"/>
  <c r="Q16" i="2"/>
  <c r="W16" i="2"/>
  <c r="N16" i="2"/>
  <c r="U16" i="2"/>
  <c r="E16" i="2"/>
  <c r="L16" i="2"/>
  <c r="C16" i="2"/>
  <c r="Z16" i="2"/>
  <c r="D16" i="2"/>
  <c r="J16" i="2"/>
  <c r="H16" i="2"/>
  <c r="V16" i="2"/>
  <c r="F16" i="2"/>
  <c r="M16" i="2"/>
  <c r="O16" i="2"/>
  <c r="AA16" i="2"/>
  <c r="X16" i="2"/>
  <c r="T16" i="2"/>
  <c r="S16" i="2"/>
  <c r="K14" i="2"/>
  <c r="R14" i="2"/>
  <c r="Y14" i="2"/>
  <c r="E14" i="2"/>
  <c r="P14" i="2"/>
  <c r="AA14" i="2"/>
  <c r="G14" i="2"/>
  <c r="N14" i="2"/>
  <c r="Q14" i="2"/>
  <c r="X14" i="2"/>
  <c r="L14" i="2"/>
  <c r="W14" i="2"/>
  <c r="C14" i="2"/>
  <c r="J14" i="2"/>
  <c r="M14" i="2"/>
  <c r="H14" i="2"/>
  <c r="O14" i="2"/>
  <c r="Z14" i="2"/>
  <c r="F14" i="2"/>
  <c r="I14" i="2"/>
  <c r="D14" i="2"/>
  <c r="V14" i="2"/>
  <c r="U14" i="2"/>
  <c r="T14" i="2"/>
  <c r="S14" i="2"/>
  <c r="I24" i="2"/>
  <c r="C24" i="2"/>
  <c r="O24" i="2"/>
  <c r="AA24" i="2"/>
  <c r="L24" i="2"/>
  <c r="D24" i="2"/>
  <c r="P24" i="2"/>
  <c r="U24" i="2"/>
  <c r="S24" i="2"/>
  <c r="F24" i="2"/>
  <c r="M24" i="2"/>
  <c r="H24" i="2"/>
  <c r="W24" i="2"/>
  <c r="T24" i="2"/>
  <c r="E24" i="2"/>
  <c r="R24" i="2"/>
  <c r="J24" i="2"/>
  <c r="V24" i="2"/>
  <c r="G24" i="2"/>
  <c r="Y24" i="2"/>
  <c r="X24" i="2"/>
  <c r="K24" i="2"/>
  <c r="Q24" i="2"/>
  <c r="N24" i="2"/>
  <c r="Z24" i="2"/>
  <c r="M7" i="2"/>
  <c r="C7" i="2"/>
  <c r="D7" i="2"/>
  <c r="I7" i="2"/>
  <c r="H7" i="2"/>
  <c r="F7" i="2"/>
  <c r="E7" i="2"/>
  <c r="G7" i="2"/>
  <c r="L7" i="2"/>
  <c r="K7" i="2"/>
  <c r="J7" i="2"/>
  <c r="R7" i="2"/>
  <c r="O7" i="2"/>
  <c r="P7" i="2"/>
  <c r="Q7" i="2"/>
  <c r="N7" i="2"/>
  <c r="AA7" i="2"/>
  <c r="Z7" i="2"/>
  <c r="Y7" i="2"/>
  <c r="X7" i="2"/>
  <c r="W7" i="2"/>
  <c r="V7" i="2"/>
  <c r="U7" i="2"/>
  <c r="T7" i="2"/>
  <c r="S7" i="2"/>
  <c r="C8" i="2"/>
  <c r="J8" i="2"/>
  <c r="I8" i="2"/>
  <c r="O8" i="2"/>
  <c r="L8" i="2"/>
  <c r="F8" i="2"/>
  <c r="E8" i="2"/>
  <c r="K8" i="2"/>
  <c r="D8" i="2"/>
  <c r="H8" i="2"/>
  <c r="G8" i="2"/>
  <c r="R8" i="2"/>
  <c r="M8" i="2"/>
  <c r="Q8" i="2"/>
  <c r="AA8" i="2"/>
  <c r="P8" i="2"/>
  <c r="N8" i="2"/>
  <c r="Z8" i="2"/>
  <c r="Y8" i="2"/>
  <c r="X8" i="2"/>
  <c r="W8" i="2"/>
  <c r="V8" i="2"/>
  <c r="U8" i="2"/>
  <c r="T8" i="2"/>
  <c r="S8" i="2"/>
  <c r="Q27" i="2"/>
  <c r="E27" i="2"/>
  <c r="V27" i="2"/>
  <c r="AA27" i="2"/>
  <c r="X27" i="2"/>
  <c r="U27" i="2"/>
  <c r="T27" i="2"/>
  <c r="C27" i="2"/>
  <c r="K27" i="2"/>
  <c r="H27" i="2"/>
  <c r="M27" i="2"/>
  <c r="W27" i="2"/>
  <c r="G27" i="2"/>
  <c r="Y27" i="2"/>
  <c r="S27" i="2"/>
  <c r="O27" i="2"/>
  <c r="I27" i="2"/>
  <c r="D27" i="2"/>
  <c r="F27" i="2"/>
  <c r="L27" i="2"/>
  <c r="P27" i="2"/>
  <c r="J27" i="2"/>
  <c r="Z27" i="2"/>
  <c r="N27" i="2"/>
  <c r="R27" i="2"/>
  <c r="X28" i="2"/>
  <c r="F28" i="2"/>
  <c r="D28" i="2"/>
  <c r="W28" i="2"/>
  <c r="C28" i="2"/>
  <c r="J28" i="2"/>
  <c r="Z28" i="2"/>
  <c r="H28" i="2"/>
  <c r="V28" i="2"/>
  <c r="M28" i="2"/>
  <c r="P28" i="2"/>
  <c r="R28" i="2"/>
  <c r="O28" i="2"/>
  <c r="U28" i="2"/>
  <c r="AA28" i="2"/>
  <c r="G28" i="2"/>
  <c r="N28" i="2"/>
  <c r="T28" i="2"/>
  <c r="Y28" i="2"/>
  <c r="K28" i="2"/>
  <c r="Q28" i="2"/>
  <c r="I28" i="2"/>
  <c r="E28" i="2"/>
  <c r="L28" i="2"/>
  <c r="S28" i="2"/>
  <c r="X15" i="2"/>
  <c r="D15" i="2"/>
  <c r="K15" i="2"/>
  <c r="R15" i="2"/>
  <c r="E15" i="2"/>
  <c r="I15" i="2"/>
  <c r="P15" i="2"/>
  <c r="AA15" i="2"/>
  <c r="G15" i="2"/>
  <c r="N15" i="2"/>
  <c r="Q15" i="2"/>
  <c r="L15" i="2"/>
  <c r="W15" i="2"/>
  <c r="C15" i="2"/>
  <c r="J15" i="2"/>
  <c r="M15" i="2"/>
  <c r="H15" i="2"/>
  <c r="O15" i="2"/>
  <c r="Z15" i="2"/>
  <c r="F15" i="2"/>
  <c r="Y15" i="2"/>
  <c r="V15" i="2"/>
  <c r="U15" i="2"/>
  <c r="T15" i="2"/>
  <c r="S15" i="2"/>
  <c r="L13" i="2"/>
  <c r="O13" i="2"/>
  <c r="Z13" i="2"/>
  <c r="F13" i="2"/>
  <c r="I13" i="2"/>
  <c r="H13" i="2"/>
  <c r="K13" i="2"/>
  <c r="R13" i="2"/>
  <c r="Q13" i="2"/>
  <c r="E13" i="2"/>
  <c r="X13" i="2"/>
  <c r="D13" i="2"/>
  <c r="G13" i="2"/>
  <c r="N13" i="2"/>
  <c r="M13" i="2"/>
  <c r="P13" i="2"/>
  <c r="AA13" i="2"/>
  <c r="C13" i="2"/>
  <c r="J13" i="2"/>
  <c r="Y13" i="2"/>
  <c r="W13" i="2"/>
  <c r="V13" i="2"/>
  <c r="U13" i="2"/>
  <c r="T13" i="2"/>
  <c r="S13" i="2"/>
  <c r="R11" i="2"/>
  <c r="Q11" i="2"/>
  <c r="P11" i="2"/>
  <c r="G11" i="2"/>
  <c r="K11" i="2"/>
  <c r="N11" i="2"/>
  <c r="M11" i="2"/>
  <c r="L11" i="2"/>
  <c r="C11" i="2"/>
  <c r="J11" i="2"/>
  <c r="I11" i="2"/>
  <c r="H11" i="2"/>
  <c r="O11" i="2"/>
  <c r="Z11" i="2"/>
  <c r="F11" i="2"/>
  <c r="E11" i="2"/>
  <c r="D11" i="2"/>
  <c r="AA11" i="2"/>
  <c r="Y11" i="2"/>
  <c r="X11" i="2"/>
  <c r="W11" i="2"/>
  <c r="V11" i="2"/>
  <c r="U11" i="2"/>
  <c r="T11" i="2"/>
  <c r="S11" i="2"/>
  <c r="AA21" i="2"/>
  <c r="G21" i="2"/>
  <c r="S21" i="2"/>
  <c r="X21" i="2"/>
  <c r="F21" i="2"/>
  <c r="E21" i="2"/>
  <c r="R21" i="2"/>
  <c r="N21" i="2"/>
  <c r="Y21" i="2"/>
  <c r="C21" i="2"/>
  <c r="U21" i="2"/>
  <c r="P21" i="2"/>
  <c r="K21" i="2"/>
  <c r="Q21" i="2"/>
  <c r="H21" i="2"/>
  <c r="Z21" i="2"/>
  <c r="O21" i="2"/>
  <c r="M21" i="2"/>
  <c r="I21" i="2"/>
  <c r="W21" i="2"/>
  <c r="D21" i="2"/>
  <c r="T21" i="2"/>
  <c r="J21" i="2"/>
  <c r="V21" i="2"/>
  <c r="L21" i="2"/>
  <c r="L9" i="2"/>
  <c r="K9" i="2"/>
  <c r="J9" i="2"/>
  <c r="E9" i="2"/>
  <c r="H9" i="2"/>
  <c r="G9" i="2"/>
  <c r="F9" i="2"/>
  <c r="D9" i="2"/>
  <c r="C9" i="2"/>
  <c r="M9" i="2"/>
  <c r="O9" i="2"/>
  <c r="R9" i="2"/>
  <c r="I9" i="2"/>
  <c r="Q9" i="2"/>
  <c r="Z9" i="2"/>
  <c r="P9" i="2"/>
  <c r="AA9" i="2"/>
  <c r="N9" i="2"/>
  <c r="Y9" i="2"/>
  <c r="X9" i="2"/>
  <c r="W9" i="2"/>
  <c r="V9" i="2"/>
  <c r="U9" i="2"/>
  <c r="T9" i="2"/>
  <c r="S9" i="2"/>
  <c r="A3392" i="1" l="1"/>
  <c r="A1324" i="1"/>
  <c r="A1325" i="1" l="1"/>
  <c r="A3393" i="1"/>
  <c r="A3394" i="1" l="1"/>
  <c r="A1326" i="1"/>
  <c r="A1327" i="1" l="1"/>
  <c r="A3395" i="1"/>
  <c r="A3396" i="1" l="1"/>
  <c r="A1328" i="1"/>
  <c r="A1329" i="1" l="1"/>
  <c r="A3397" i="1"/>
  <c r="A3398" i="1" l="1"/>
  <c r="A1330" i="1"/>
  <c r="A1331" i="1" l="1"/>
  <c r="A3399" i="1"/>
  <c r="A3400" i="1" l="1"/>
  <c r="A1332" i="1"/>
  <c r="A1333" i="1" l="1"/>
  <c r="A3401" i="1"/>
  <c r="A3402" i="1" l="1"/>
  <c r="A1334" i="1"/>
  <c r="A1335" i="1" l="1"/>
  <c r="A3403" i="1"/>
  <c r="A3404" i="1" l="1"/>
  <c r="A1336" i="1"/>
  <c r="A1337" i="1" l="1"/>
  <c r="A3405" i="1"/>
  <c r="A3406" i="1" l="1"/>
  <c r="A1338" i="1"/>
  <c r="A1339" i="1" l="1"/>
  <c r="A3407" i="1"/>
  <c r="A3408" i="1" l="1"/>
  <c r="A1340" i="1"/>
  <c r="A1341" i="1" l="1"/>
  <c r="A3409" i="1"/>
  <c r="A3410" i="1" l="1"/>
  <c r="A1342" i="1"/>
  <c r="A1343" i="1" l="1"/>
  <c r="A3411" i="1"/>
  <c r="A3412" i="1" l="1"/>
  <c r="A1344" i="1"/>
  <c r="A1345" i="1" l="1"/>
  <c r="A3413" i="1"/>
  <c r="A3414" i="1" l="1"/>
  <c r="A1346" i="1"/>
  <c r="A1347" i="1" l="1"/>
  <c r="A3415" i="1"/>
  <c r="A3416" i="1" l="1"/>
  <c r="A1348" i="1"/>
  <c r="A1349" i="1" l="1"/>
  <c r="A3417" i="1"/>
  <c r="A3418" i="1" l="1"/>
  <c r="A1350" i="1"/>
  <c r="A1351" i="1" l="1"/>
  <c r="A3419" i="1"/>
  <c r="A3420" i="1" l="1"/>
  <c r="A1352" i="1"/>
  <c r="A1353" i="1" l="1"/>
  <c r="A3421" i="1"/>
  <c r="A3422" i="1" l="1"/>
  <c r="A1354" i="1"/>
  <c r="A1355" i="1" l="1"/>
  <c r="A3423" i="1"/>
  <c r="A3424" i="1" l="1"/>
  <c r="A1356" i="1"/>
  <c r="A1357" i="1" l="1"/>
  <c r="A3425" i="1"/>
  <c r="A3426" i="1" l="1"/>
  <c r="A1358" i="1"/>
  <c r="A1359" i="1" l="1"/>
  <c r="A3427" i="1"/>
  <c r="A3428" i="1" l="1"/>
  <c r="A1360" i="1"/>
  <c r="A1361" i="1" l="1"/>
  <c r="A3429" i="1"/>
  <c r="A3430" i="1" l="1"/>
  <c r="A1362" i="1"/>
  <c r="A1363" i="1" l="1"/>
  <c r="A3431" i="1"/>
  <c r="A3432" i="1" l="1"/>
  <c r="A1364" i="1"/>
  <c r="A1366" i="1" l="1"/>
  <c r="A3434" i="1"/>
  <c r="A3435" i="1" l="1"/>
  <c r="A1367" i="1"/>
  <c r="A1368" i="1" l="1"/>
  <c r="A3436" i="1"/>
  <c r="A3437" i="1" l="1"/>
  <c r="A1369" i="1"/>
  <c r="A1370" i="1" l="1"/>
  <c r="A3438" i="1"/>
  <c r="A3439" i="1" l="1"/>
  <c r="A1371" i="1"/>
  <c r="A1372" i="1" l="1"/>
  <c r="A3440" i="1"/>
  <c r="A3441" i="1" l="1"/>
  <c r="A1373" i="1"/>
  <c r="A1374" i="1" l="1"/>
  <c r="A3442" i="1"/>
  <c r="A3443" i="1" l="1"/>
  <c r="A1375" i="1"/>
  <c r="A1376" i="1" l="1"/>
  <c r="A3444" i="1"/>
  <c r="A3445" i="1" l="1"/>
  <c r="A1377" i="1"/>
  <c r="A1378" i="1" l="1"/>
  <c r="A3446" i="1"/>
  <c r="A3447" i="1" l="1"/>
  <c r="A1379" i="1"/>
  <c r="A1380" i="1" l="1"/>
  <c r="A3448" i="1"/>
  <c r="A3449" i="1" l="1"/>
  <c r="A1381" i="1"/>
  <c r="A1382" i="1" l="1"/>
  <c r="A3450" i="1"/>
  <c r="A3451" i="1" l="1"/>
  <c r="A1383" i="1"/>
  <c r="A1384" i="1" l="1"/>
  <c r="A3452" i="1"/>
  <c r="A3453" i="1" l="1"/>
  <c r="A1385" i="1"/>
  <c r="A1386" i="1" l="1"/>
  <c r="A3454" i="1"/>
  <c r="A3455" i="1" l="1"/>
  <c r="A1387" i="1"/>
  <c r="A1388" i="1" l="1"/>
  <c r="A3456" i="1"/>
  <c r="A3457" i="1" l="1"/>
  <c r="A1389" i="1"/>
  <c r="A1390" i="1" l="1"/>
  <c r="A3458" i="1"/>
  <c r="A3459" i="1" l="1"/>
  <c r="A1391" i="1"/>
  <c r="A1392" i="1" l="1"/>
  <c r="A3460" i="1"/>
  <c r="A3461" i="1" l="1"/>
  <c r="A1393" i="1"/>
  <c r="A1394" i="1" l="1"/>
  <c r="A3462" i="1"/>
  <c r="A3463" i="1" l="1"/>
  <c r="A1395" i="1"/>
  <c r="A1396" i="1" l="1"/>
  <c r="A3464" i="1"/>
  <c r="A3465" i="1" l="1"/>
  <c r="A1397" i="1"/>
  <c r="A1398" i="1" l="1"/>
  <c r="A3466" i="1"/>
  <c r="A3467" i="1" l="1"/>
  <c r="A1399" i="1"/>
  <c r="A1400" i="1" l="1"/>
  <c r="A3468" i="1"/>
  <c r="A3469" i="1" l="1"/>
  <c r="A1401" i="1"/>
  <c r="A1402" i="1" l="1"/>
  <c r="A3470" i="1"/>
  <c r="A3471" i="1" l="1"/>
  <c r="A1403" i="1"/>
  <c r="A1404" i="1" l="1"/>
  <c r="A3472" i="1"/>
  <c r="A3473" i="1" l="1"/>
  <c r="A1405" i="1"/>
  <c r="A1406" i="1" l="1"/>
  <c r="A3474" i="1"/>
  <c r="A3475" i="1" l="1"/>
  <c r="A1407" i="1"/>
  <c r="A1408" i="1" l="1"/>
  <c r="A3476" i="1"/>
  <c r="A3918" i="1" l="1"/>
  <c r="A1410" i="1"/>
  <c r="A1411" i="1" l="1"/>
  <c r="A3919" i="1"/>
  <c r="A3920" i="1" l="1"/>
  <c r="A1412" i="1"/>
  <c r="A1413" i="1" l="1"/>
  <c r="A3921" i="1"/>
  <c r="A3922" i="1" l="1"/>
  <c r="A1414" i="1"/>
  <c r="A1415" i="1" l="1"/>
  <c r="A3923" i="1"/>
  <c r="A3924" i="1" l="1"/>
  <c r="A1416" i="1"/>
  <c r="A1417" i="1" l="1"/>
  <c r="A3925" i="1"/>
  <c r="A3926" i="1" l="1"/>
  <c r="A1418" i="1"/>
  <c r="A1419" i="1" l="1"/>
  <c r="A3927" i="1"/>
  <c r="A3928" i="1" l="1"/>
  <c r="A1420" i="1"/>
  <c r="A1421" i="1" l="1"/>
  <c r="A3929" i="1"/>
  <c r="A3930" i="1" l="1"/>
  <c r="A1422" i="1"/>
  <c r="A1423" i="1" l="1"/>
  <c r="A3931" i="1"/>
  <c r="A3932" i="1" l="1"/>
  <c r="A1424" i="1"/>
  <c r="A1425" i="1" l="1"/>
  <c r="A3933" i="1"/>
  <c r="A3934" i="1" l="1"/>
  <c r="A1426" i="1"/>
  <c r="A1427" i="1" l="1"/>
  <c r="A3935" i="1"/>
  <c r="A3936" i="1" l="1"/>
  <c r="A1428" i="1"/>
  <c r="A1429" i="1" l="1"/>
  <c r="A3937" i="1"/>
  <c r="A3938" i="1" l="1"/>
  <c r="A1430" i="1"/>
  <c r="A1431" i="1" l="1"/>
  <c r="A3939" i="1"/>
  <c r="A3940" i="1" l="1"/>
  <c r="A1432" i="1"/>
  <c r="A1433" i="1" l="1"/>
  <c r="A3941" i="1"/>
  <c r="A3942" i="1" l="1"/>
  <c r="A1434" i="1"/>
  <c r="A1435" i="1" l="1"/>
  <c r="A3943" i="1"/>
  <c r="A3944" i="1" l="1"/>
  <c r="A1436" i="1"/>
  <c r="A1437" i="1" l="1"/>
  <c r="A3945" i="1"/>
  <c r="A3946" i="1" l="1"/>
  <c r="A1438" i="1"/>
  <c r="A1439" i="1" l="1"/>
  <c r="A3947" i="1"/>
  <c r="A3948" i="1" l="1"/>
  <c r="A1440" i="1"/>
  <c r="A1441" i="1" l="1"/>
  <c r="A3949" i="1"/>
  <c r="A3950" i="1" l="1"/>
  <c r="A1442" i="1"/>
  <c r="A1443" i="1" l="1"/>
  <c r="A3951" i="1"/>
  <c r="A3952" i="1" l="1"/>
  <c r="A1444" i="1"/>
  <c r="A1445" i="1" l="1"/>
  <c r="A3953" i="1"/>
  <c r="A3954" i="1" l="1"/>
  <c r="A1446" i="1"/>
  <c r="A1447" i="1" l="1"/>
  <c r="A3955" i="1"/>
  <c r="A3956" i="1" l="1"/>
  <c r="A1448" i="1"/>
  <c r="A1449" i="1" l="1"/>
  <c r="A3957" i="1"/>
  <c r="A3958" i="1" l="1"/>
  <c r="A1450" i="1"/>
  <c r="A3959" i="1" l="1"/>
  <c r="A1451" i="1"/>
  <c r="A1452" i="1" l="1"/>
  <c r="A3960" i="1"/>
  <c r="A3962" i="1" l="1"/>
  <c r="A1454" i="1"/>
  <c r="A1455" i="1" l="1"/>
  <c r="A3963" i="1"/>
  <c r="A3964" i="1" l="1"/>
  <c r="A1456" i="1"/>
  <c r="A1457" i="1" l="1"/>
  <c r="A3965" i="1"/>
  <c r="A3966" i="1" l="1"/>
  <c r="A1458" i="1"/>
  <c r="A1459" i="1" l="1"/>
  <c r="A3967" i="1"/>
  <c r="A3968" i="1" l="1"/>
  <c r="A1460" i="1"/>
  <c r="A1461" i="1" l="1"/>
  <c r="A3969" i="1"/>
  <c r="A3970" i="1" l="1"/>
  <c r="A1462" i="1"/>
  <c r="A1463" i="1" l="1"/>
  <c r="A3971" i="1"/>
  <c r="A3972" i="1" l="1"/>
  <c r="A1464" i="1"/>
  <c r="A1465" i="1" l="1"/>
  <c r="A3973" i="1"/>
  <c r="A3974" i="1" l="1"/>
  <c r="A1466" i="1"/>
  <c r="A3975" i="1" l="1"/>
  <c r="A1467" i="1"/>
  <c r="A1468" i="1" l="1"/>
  <c r="A3976" i="1"/>
  <c r="A3977" i="1" l="1"/>
  <c r="A1469" i="1"/>
  <c r="A1470" i="1" l="1"/>
  <c r="A3978" i="1"/>
  <c r="A3979" i="1" l="1"/>
  <c r="A1471" i="1"/>
  <c r="A1472" i="1" l="1"/>
  <c r="A3980" i="1"/>
  <c r="A3981" i="1" l="1"/>
  <c r="A1473" i="1"/>
  <c r="A1474" i="1" l="1"/>
  <c r="A3982" i="1"/>
  <c r="A3983" i="1" l="1"/>
  <c r="A1475" i="1"/>
  <c r="A1476" i="1" l="1"/>
  <c r="A3984" i="1"/>
  <c r="A3985" i="1" l="1"/>
  <c r="A1477" i="1"/>
  <c r="A1478" i="1" l="1"/>
  <c r="A3986" i="1"/>
  <c r="A3987" i="1" l="1"/>
  <c r="A1479" i="1"/>
  <c r="A1480" i="1" l="1"/>
  <c r="A3988" i="1"/>
  <c r="A3989" i="1" l="1"/>
  <c r="A1481" i="1"/>
  <c r="A1482" i="1" l="1"/>
  <c r="A3990" i="1"/>
  <c r="A3991" i="1" l="1"/>
  <c r="A1483" i="1"/>
  <c r="A1484" i="1" l="1"/>
  <c r="A3992" i="1"/>
  <c r="A3993" i="1" l="1"/>
  <c r="A1485" i="1"/>
  <c r="A1486" i="1" l="1"/>
  <c r="A3994" i="1"/>
  <c r="A3995" i="1" l="1"/>
  <c r="A1487" i="1"/>
  <c r="A1488" i="1" l="1"/>
  <c r="A3996" i="1"/>
  <c r="A3997" i="1" l="1"/>
  <c r="A1489" i="1"/>
  <c r="A1490" i="1" l="1"/>
  <c r="A3998" i="1"/>
  <c r="A3999" i="1" l="1"/>
  <c r="A1491" i="1"/>
  <c r="A1492" i="1" l="1"/>
  <c r="A4000" i="1"/>
  <c r="A4001" i="1" l="1"/>
  <c r="A1493" i="1"/>
  <c r="A1494" i="1" l="1"/>
  <c r="A4002" i="1"/>
  <c r="A4003" i="1" l="1"/>
  <c r="A4004" i="1"/>
  <c r="A1495" i="1"/>
  <c r="A1496" i="1" l="1"/>
  <c r="A4006" i="1" l="1"/>
  <c r="A4007" i="1" l="1"/>
  <c r="A4008" i="1" l="1"/>
  <c r="A4009" i="1" l="1"/>
  <c r="A4010" i="1" l="1"/>
  <c r="A4011" i="1" l="1"/>
  <c r="A4012" i="1" l="1"/>
  <c r="A4013" i="1" l="1"/>
  <c r="A4014" i="1" l="1"/>
  <c r="A4015" i="1" l="1"/>
  <c r="A4016" i="1" l="1"/>
  <c r="A4017" i="1" l="1"/>
  <c r="A4018" i="1" l="1"/>
  <c r="A4019" i="1" l="1"/>
  <c r="A4020" i="1" l="1"/>
  <c r="A4021" i="1" l="1"/>
  <c r="A4022" i="1" l="1"/>
  <c r="A4023" i="1" l="1"/>
  <c r="A4024" i="1" l="1"/>
  <c r="A4025" i="1" l="1"/>
  <c r="A4026" i="1" l="1"/>
  <c r="A4027" i="1" l="1"/>
  <c r="A4028" i="1" l="1"/>
  <c r="A4029" i="1" l="1"/>
  <c r="A4030" i="1" l="1"/>
  <c r="A4031" i="1" l="1"/>
  <c r="A4032" i="1" l="1"/>
  <c r="A4033" i="1" l="1"/>
  <c r="A4034" i="1" l="1"/>
  <c r="A4035" i="1" l="1"/>
  <c r="A4036" i="1" l="1"/>
  <c r="A4037" i="1" l="1"/>
  <c r="A4038" i="1" l="1"/>
  <c r="A4039" i="1" l="1"/>
  <c r="A4040" i="1" l="1"/>
  <c r="A4041" i="1" l="1"/>
  <c r="A4042" i="1" l="1"/>
  <c r="A4043" i="1" l="1"/>
  <c r="A4044" i="1" l="1"/>
  <c r="A4045" i="1" l="1"/>
  <c r="A4046" i="1" l="1"/>
  <c r="A4047" i="1" l="1"/>
  <c r="A4048" i="1" l="1"/>
  <c r="A4050" i="1" l="1"/>
  <c r="A4051" i="1" l="1"/>
  <c r="A4052" i="1" l="1"/>
  <c r="A4053" i="1" l="1"/>
  <c r="A4054" i="1" l="1"/>
  <c r="A4055" i="1" l="1"/>
  <c r="A4056" i="1" l="1"/>
  <c r="A4057" i="1" l="1"/>
  <c r="A4058" i="1" l="1"/>
  <c r="A4059" i="1" l="1"/>
  <c r="A4060" i="1" l="1"/>
  <c r="A4061" i="1" l="1"/>
  <c r="A4062" i="1" l="1"/>
  <c r="A4063" i="1" l="1"/>
  <c r="A4064" i="1" l="1"/>
  <c r="A4065" i="1" l="1"/>
  <c r="A4066" i="1" l="1"/>
  <c r="A4067" i="1" l="1"/>
  <c r="A4068" i="1" l="1"/>
  <c r="A4069" i="1" l="1"/>
  <c r="A4070" i="1" l="1"/>
  <c r="A4071" i="1" l="1"/>
  <c r="A4072" i="1" l="1"/>
  <c r="A4073" i="1" l="1"/>
  <c r="A4074" i="1" l="1"/>
  <c r="A4075" i="1" l="1"/>
  <c r="A4076" i="1" l="1"/>
  <c r="A4077" i="1" l="1"/>
  <c r="A4078" i="1" l="1"/>
  <c r="A4079" i="1" l="1"/>
  <c r="A4080" i="1" l="1"/>
  <c r="A4081" i="1" l="1"/>
  <c r="A4082" i="1" l="1"/>
  <c r="A4083" i="1" l="1"/>
  <c r="A4084" i="1" l="1"/>
  <c r="A4085" i="1" l="1"/>
  <c r="A4086" i="1" l="1"/>
  <c r="A4087" i="1" l="1"/>
  <c r="A4088" i="1" l="1"/>
  <c r="A4089" i="1" l="1"/>
  <c r="A4090" i="1" l="1"/>
  <c r="A4091" i="1" l="1"/>
  <c r="A4092" i="1" l="1"/>
  <c r="A4094" i="1" l="1"/>
  <c r="A4095" i="1" l="1"/>
  <c r="A4096" i="1" l="1"/>
  <c r="A4097" i="1" l="1"/>
  <c r="A4098" i="1" l="1"/>
  <c r="A4099" i="1" l="1"/>
  <c r="A4100" i="1" l="1"/>
  <c r="A4101" i="1" l="1"/>
  <c r="A4102" i="1" l="1"/>
  <c r="A4103" i="1" l="1"/>
  <c r="A4104" i="1" l="1"/>
  <c r="A4105" i="1" l="1"/>
  <c r="A4106" i="1" l="1"/>
  <c r="A4107" i="1" l="1"/>
  <c r="A4108" i="1" l="1"/>
  <c r="A4109" i="1" l="1"/>
  <c r="A4110" i="1" l="1"/>
  <c r="A4111" i="1" l="1"/>
  <c r="A4112" i="1" l="1"/>
  <c r="A4113" i="1" l="1"/>
  <c r="A4114" i="1" l="1"/>
  <c r="A4115" i="1" l="1"/>
  <c r="A4116" i="1" l="1"/>
  <c r="A4117" i="1" l="1"/>
  <c r="A4118" i="1" l="1"/>
  <c r="A4119" i="1" l="1"/>
  <c r="A4120" i="1" l="1"/>
  <c r="A4121" i="1" l="1"/>
  <c r="A4122" i="1" l="1"/>
  <c r="A4123" i="1" l="1"/>
  <c r="A4124" i="1" l="1"/>
  <c r="A4125" i="1" l="1"/>
  <c r="A4126" i="1" l="1"/>
  <c r="A4127" i="1" l="1"/>
  <c r="A4128" i="1" l="1"/>
  <c r="A4129" i="1" l="1"/>
  <c r="A4130" i="1" l="1"/>
  <c r="A4131" i="1" l="1"/>
  <c r="A4132" i="1" l="1"/>
  <c r="A4133" i="1" l="1"/>
  <c r="A4134" i="1" l="1"/>
  <c r="A4135" i="1" l="1"/>
  <c r="A4136" i="1" l="1"/>
  <c r="A4138" i="1" l="1"/>
  <c r="A4139" i="1" l="1"/>
  <c r="A4140" i="1" l="1"/>
  <c r="A4141" i="1" l="1"/>
  <c r="A4142" i="1" l="1"/>
  <c r="A4143" i="1" l="1"/>
  <c r="A4144" i="1" l="1"/>
  <c r="A4145" i="1" l="1"/>
  <c r="A4146" i="1" l="1"/>
  <c r="A4147" i="1" l="1"/>
  <c r="A4148" i="1" l="1"/>
  <c r="A4149" i="1" l="1"/>
  <c r="A4150" i="1" l="1"/>
  <c r="A4151" i="1" l="1"/>
  <c r="A4152" i="1" l="1"/>
  <c r="A4153" i="1" l="1"/>
  <c r="A4154" i="1" l="1"/>
  <c r="A4155" i="1" l="1"/>
  <c r="A4156" i="1" l="1"/>
  <c r="A4157" i="1" l="1"/>
  <c r="A4158" i="1" l="1"/>
  <c r="A4159" i="1" l="1"/>
  <c r="A4160" i="1" l="1"/>
  <c r="A4161" i="1" l="1"/>
  <c r="A4162" i="1" l="1"/>
  <c r="A4163" i="1" l="1"/>
  <c r="A4164" i="1" l="1"/>
  <c r="A4165" i="1" l="1"/>
  <c r="A4166" i="1" l="1"/>
  <c r="A4167" i="1" l="1"/>
  <c r="A4168" i="1" l="1"/>
  <c r="A4169" i="1" l="1"/>
  <c r="A4170" i="1" l="1"/>
  <c r="A4171" i="1" l="1"/>
  <c r="A4172" i="1" l="1"/>
  <c r="A4173" i="1" l="1"/>
  <c r="A4174" i="1" l="1"/>
  <c r="A4175" i="1" l="1"/>
  <c r="A4176" i="1" l="1"/>
  <c r="A4177" i="1" l="1"/>
  <c r="A4178" i="1" l="1"/>
  <c r="A4179" i="1" l="1"/>
  <c r="A4180" i="1" l="1"/>
  <c r="A4182" i="1" l="1"/>
  <c r="A4183" i="1" l="1"/>
  <c r="A4184" i="1" l="1"/>
  <c r="A4185" i="1" l="1"/>
  <c r="A4186" i="1" l="1"/>
  <c r="A4187" i="1" l="1"/>
  <c r="A4188" i="1" l="1"/>
  <c r="A4189" i="1" l="1"/>
  <c r="A4190" i="1" l="1"/>
  <c r="A4191" i="1" l="1"/>
  <c r="A4192" i="1" l="1"/>
  <c r="A4193" i="1" l="1"/>
  <c r="A4194" i="1" l="1"/>
  <c r="A4195" i="1" l="1"/>
  <c r="A4196" i="1" l="1"/>
  <c r="A4197" i="1" l="1"/>
  <c r="A4198" i="1" l="1"/>
  <c r="A4199" i="1" l="1"/>
  <c r="A4200" i="1" l="1"/>
  <c r="A4201" i="1" l="1"/>
  <c r="A4202" i="1" l="1"/>
  <c r="A4203" i="1" l="1"/>
  <c r="A4204" i="1" l="1"/>
  <c r="A4205" i="1" l="1"/>
  <c r="A4206" i="1" l="1"/>
  <c r="A4207" i="1" l="1"/>
  <c r="A4208" i="1" l="1"/>
  <c r="A4209" i="1" l="1"/>
  <c r="A4210" i="1" l="1"/>
  <c r="A4211" i="1" l="1"/>
  <c r="A4212" i="1" l="1"/>
  <c r="A4213" i="1" l="1"/>
  <c r="A4214" i="1" l="1"/>
  <c r="A4215" i="1" l="1"/>
  <c r="A4216" i="1" l="1"/>
  <c r="A4217" i="1" l="1"/>
  <c r="A4218" i="1" l="1"/>
  <c r="A4219" i="1" l="1"/>
  <c r="A4220" i="1" l="1"/>
  <c r="A4221" i="1" l="1"/>
  <c r="A4222" i="1" l="1"/>
  <c r="A4223" i="1" l="1"/>
  <c r="A4224" i="1" l="1"/>
  <c r="A4226" i="1" l="1"/>
  <c r="A4227" i="1" l="1"/>
  <c r="A4228" i="1" l="1"/>
  <c r="A4229" i="1" l="1"/>
  <c r="A4230" i="1" l="1"/>
  <c r="A4231" i="1" l="1"/>
  <c r="A4232" i="1" l="1"/>
  <c r="A4233" i="1" l="1"/>
  <c r="A4234" i="1" l="1"/>
  <c r="A4235" i="1" l="1"/>
  <c r="A4236" i="1" l="1"/>
  <c r="A4237" i="1" l="1"/>
  <c r="A4238" i="1" l="1"/>
  <c r="A4239" i="1" l="1"/>
  <c r="A4240" i="1" l="1"/>
  <c r="A4241" i="1" l="1"/>
  <c r="A4242" i="1" l="1"/>
  <c r="A4243" i="1" l="1"/>
  <c r="A4244" i="1" l="1"/>
  <c r="A4245" i="1" l="1"/>
  <c r="A4246" i="1" l="1"/>
  <c r="A4247" i="1" l="1"/>
  <c r="A4248" i="1" l="1"/>
  <c r="A4249" i="1" l="1"/>
  <c r="A4250" i="1" l="1"/>
  <c r="A4251" i="1" l="1"/>
  <c r="A4252" i="1" l="1"/>
  <c r="A4253" i="1" l="1"/>
  <c r="A4254" i="1" l="1"/>
  <c r="A4255" i="1" l="1"/>
  <c r="A4256" i="1" l="1"/>
  <c r="A4257" i="1" l="1"/>
  <c r="A4258" i="1" l="1"/>
  <c r="A4259" i="1" l="1"/>
  <c r="A4260" i="1" l="1"/>
  <c r="A4261" i="1" l="1"/>
  <c r="A4262" i="1" l="1"/>
  <c r="A4263" i="1" l="1"/>
  <c r="A4264" i="1" l="1"/>
  <c r="A4265" i="1" l="1"/>
  <c r="A4266" i="1" l="1"/>
  <c r="A4267" i="1" l="1"/>
  <c r="A4268" i="1" l="1"/>
  <c r="A4270" i="1" l="1"/>
  <c r="A4271" i="1" l="1"/>
  <c r="A4272" i="1" l="1"/>
  <c r="A4273" i="1" l="1"/>
  <c r="A4274" i="1" l="1"/>
  <c r="A4275" i="1" l="1"/>
  <c r="A4276" i="1" l="1"/>
  <c r="A4277" i="1" l="1"/>
  <c r="A4278" i="1" l="1"/>
  <c r="A4279" i="1" l="1"/>
  <c r="A4280" i="1" l="1"/>
  <c r="A4281" i="1" l="1"/>
  <c r="A4282" i="1" l="1"/>
  <c r="A4283" i="1" l="1"/>
  <c r="A4284" i="1" l="1"/>
  <c r="A4285" i="1" l="1"/>
  <c r="A4286" i="1" l="1"/>
  <c r="A4287" i="1" l="1"/>
  <c r="A4288" i="1" l="1"/>
  <c r="A4289" i="1" l="1"/>
  <c r="A4290" i="1" l="1"/>
  <c r="A4291" i="1" l="1"/>
  <c r="A4292" i="1" l="1"/>
  <c r="A4293" i="1" l="1"/>
  <c r="A4294" i="1" l="1"/>
  <c r="A4295" i="1" l="1"/>
  <c r="A4296" i="1" l="1"/>
  <c r="A4297" i="1" l="1"/>
  <c r="A4298" i="1" l="1"/>
  <c r="A4299" i="1" l="1"/>
  <c r="A4300" i="1" l="1"/>
  <c r="A4301" i="1" l="1"/>
  <c r="A4302" i="1" l="1"/>
  <c r="A4303" i="1" l="1"/>
  <c r="A4304" i="1" l="1"/>
  <c r="A4305" i="1" l="1"/>
  <c r="A4306" i="1" l="1"/>
  <c r="A4307" i="1" l="1"/>
  <c r="A4308" i="1" l="1"/>
  <c r="A4309" i="1" l="1"/>
  <c r="A4310" i="1" l="1"/>
  <c r="A4311" i="1" l="1"/>
  <c r="A4312" i="1" l="1"/>
  <c r="A4358" i="1" l="1"/>
  <c r="A4359" i="1" l="1"/>
  <c r="A4360" i="1" l="1"/>
  <c r="A4361" i="1" l="1"/>
  <c r="A4362" i="1" l="1"/>
  <c r="A4363" i="1" l="1"/>
  <c r="A4364" i="1" l="1"/>
  <c r="A4365" i="1" l="1"/>
  <c r="A4366" i="1" l="1"/>
  <c r="A4367" i="1" l="1"/>
  <c r="A4368" i="1" l="1"/>
  <c r="A4369" i="1" l="1"/>
  <c r="A4370" i="1" l="1"/>
  <c r="A4371" i="1" l="1"/>
  <c r="A4372" i="1" l="1"/>
  <c r="A4373" i="1" l="1"/>
  <c r="A4374" i="1" l="1"/>
  <c r="A4375" i="1" l="1"/>
  <c r="A4376" i="1" l="1"/>
  <c r="A4377" i="1" l="1"/>
  <c r="A4378" i="1" l="1"/>
  <c r="A4379" i="1" l="1"/>
  <c r="A4380" i="1" l="1"/>
  <c r="A4381" i="1" l="1"/>
  <c r="A4382" i="1" l="1"/>
  <c r="A4383" i="1" l="1"/>
  <c r="A4384" i="1" l="1"/>
  <c r="A4385" i="1" l="1"/>
  <c r="A4386" i="1" l="1"/>
  <c r="A4387" i="1" l="1"/>
  <c r="A4388" i="1" l="1"/>
  <c r="A4389" i="1" l="1"/>
  <c r="A4390" i="1" l="1"/>
  <c r="A4391" i="1" l="1"/>
  <c r="A4392" i="1" l="1"/>
  <c r="A4393" i="1" l="1"/>
  <c r="A4394" i="1" l="1"/>
  <c r="A4395" i="1" l="1"/>
  <c r="A4396" i="1" l="1"/>
  <c r="A4397" i="1" l="1"/>
  <c r="A4398" i="1" l="1"/>
  <c r="A4400" i="1" l="1"/>
  <c r="A4399" i="1"/>
  <c r="U23" i="2" l="1"/>
  <c r="S23" i="2"/>
  <c r="AA23" i="2"/>
  <c r="T23" i="2"/>
  <c r="F23" i="2"/>
  <c r="Z23" i="2"/>
  <c r="W23" i="2"/>
  <c r="X23" i="2"/>
  <c r="V23" i="2"/>
  <c r="Y23" i="2"/>
  <c r="BC86" i="2"/>
  <c r="BF91" i="2"/>
  <c r="BF88" i="2"/>
  <c r="BD86" i="2"/>
  <c r="BH92" i="2"/>
  <c r="AD91" i="2"/>
  <c r="AP91" i="2"/>
  <c r="AP89" i="2"/>
  <c r="AY86" i="2"/>
  <c r="BL88" i="2"/>
  <c r="AS85" i="2"/>
  <c r="AZ84" i="2"/>
  <c r="BA93" i="2"/>
  <c r="AC87" i="2"/>
  <c r="AI87" i="2"/>
  <c r="AK93" i="2"/>
  <c r="BO92" i="2"/>
  <c r="AQ87" i="2"/>
  <c r="AY87" i="2"/>
  <c r="AY90" i="2"/>
  <c r="AE85" i="2"/>
  <c r="AG85" i="2"/>
  <c r="B92" i="2"/>
  <c r="BH84" i="2"/>
  <c r="AU84" i="2"/>
  <c r="BC89" i="2"/>
  <c r="BB94" i="2"/>
  <c r="AJ89" i="2"/>
  <c r="AI90" i="2"/>
  <c r="AO85" i="2"/>
  <c r="BN90" i="2"/>
  <c r="BH85" i="2"/>
  <c r="BM93" i="2"/>
  <c r="AD87" i="2"/>
  <c r="AC92" i="2"/>
  <c r="AG92" i="2"/>
  <c r="AS92" i="2"/>
  <c r="BE85" i="2"/>
  <c r="BA88" i="2"/>
  <c r="BJ86" i="2"/>
  <c r="B89" i="2"/>
  <c r="BL87" i="2"/>
  <c r="AN89" i="2"/>
  <c r="AU86" i="2"/>
  <c r="AV93" i="2"/>
  <c r="AZ92" i="2"/>
  <c r="BK84" i="2"/>
  <c r="AI84" i="2"/>
  <c r="BM86" i="2"/>
  <c r="AM88" i="2"/>
  <c r="AT94" i="2"/>
  <c r="AT90" i="2"/>
  <c r="BD87" i="2"/>
  <c r="BB92" i="2"/>
  <c r="AM91" i="2"/>
  <c r="BI91" i="2"/>
  <c r="AP92" i="2"/>
  <c r="AX85" i="2"/>
  <c r="AY92" i="2"/>
  <c r="AF93" i="2"/>
  <c r="BF87" i="2"/>
  <c r="AU88" i="2"/>
  <c r="BA90" i="2"/>
  <c r="BB87" i="2"/>
  <c r="AB89" i="2"/>
  <c r="AC89" i="2"/>
  <c r="AV91" i="2"/>
  <c r="BC92" i="2"/>
  <c r="BH88" i="2"/>
  <c r="BI86" i="2"/>
  <c r="AG90" i="2"/>
  <c r="AQ89" i="2"/>
  <c r="AJ94" i="2"/>
  <c r="AT91" i="2"/>
  <c r="BB85" i="2"/>
  <c r="BG92" i="2"/>
  <c r="BK92" i="2"/>
  <c r="AI89" i="2"/>
  <c r="AO94" i="2"/>
  <c r="AO91" i="2"/>
  <c r="AX91" i="2"/>
  <c r="BM88" i="2"/>
  <c r="AG86" i="2"/>
  <c r="BO91" i="2"/>
  <c r="AM85" i="2"/>
  <c r="AR94" i="2"/>
  <c r="AS93" i="2"/>
  <c r="BC93" i="2"/>
  <c r="BB89" i="2"/>
  <c r="AK84" i="2"/>
  <c r="BJ94" i="2"/>
  <c r="AO90" i="2"/>
  <c r="AW91" i="2"/>
  <c r="AW90" i="2"/>
  <c r="AL87" i="2"/>
  <c r="AJ91" i="2"/>
  <c r="AP93" i="2"/>
  <c r="BJ84" i="2"/>
  <c r="AY94" i="2"/>
  <c r="BN89" i="2"/>
  <c r="AE87" i="2"/>
  <c r="B90" i="2"/>
  <c r="AH90" i="2"/>
  <c r="AO93" i="2"/>
  <c r="BL94" i="2"/>
  <c r="AV94" i="2"/>
  <c r="BO85" i="2"/>
  <c r="AE86" i="2"/>
  <c r="AJ92" i="2"/>
  <c r="AH93" i="2"/>
  <c r="AT93" i="2"/>
  <c r="BG84" i="2"/>
  <c r="BB91" i="2"/>
  <c r="BK94" i="2"/>
  <c r="AF89" i="2"/>
  <c r="BH89" i="2"/>
  <c r="AI91" i="2"/>
  <c r="AP84" i="2"/>
  <c r="AQ88" i="2"/>
  <c r="AX88" i="2"/>
  <c r="BN88" i="2"/>
  <c r="AF85" i="2"/>
  <c r="AY93" i="2"/>
  <c r="AZ89" i="2"/>
  <c r="AH84" i="2"/>
  <c r="AB88" i="2"/>
  <c r="AL92" i="2"/>
  <c r="BF93" i="2"/>
  <c r="AT84" i="2"/>
  <c r="AX89" i="2"/>
  <c r="AX93" i="2"/>
  <c r="B85" i="2"/>
  <c r="AF86" i="2"/>
  <c r="AL89" i="2"/>
  <c r="BH90" i="2"/>
  <c r="AS87" i="2"/>
  <c r="BF86" i="2"/>
  <c r="BC90" i="2"/>
  <c r="AD92" i="2"/>
  <c r="AB91" i="2"/>
  <c r="AI94" i="2"/>
  <c r="BN94" i="2"/>
  <c r="AW85" i="2"/>
  <c r="BN85" i="2"/>
  <c r="AD86" i="2"/>
  <c r="AF92" i="2"/>
  <c r="AN91" i="2"/>
  <c r="AR88" i="2"/>
  <c r="BI89" i="2"/>
  <c r="BA84" i="2"/>
  <c r="AD88" i="2"/>
  <c r="BM84" i="2"/>
  <c r="AE94" i="2"/>
  <c r="AT85" i="2"/>
  <c r="AU87" i="2"/>
  <c r="BH87" i="2"/>
  <c r="BF84" i="2"/>
  <c r="AF87" i="2"/>
  <c r="BO88" i="2"/>
  <c r="AN88" i="2"/>
  <c r="AS84" i="2"/>
  <c r="AS88" i="2"/>
  <c r="BD91" i="2"/>
  <c r="BI94" i="2"/>
  <c r="AB90" i="2"/>
  <c r="BJ92" i="2"/>
  <c r="AQ92" i="2"/>
  <c r="AW92" i="2"/>
  <c r="AX94" i="2"/>
  <c r="B84" i="2"/>
  <c r="AG84" i="2"/>
  <c r="AT92" i="2"/>
  <c r="BF85" i="2"/>
  <c r="BH86" i="2"/>
  <c r="AH88" i="2"/>
  <c r="AK89" i="2"/>
  <c r="AN94" i="2"/>
  <c r="BN87" i="2"/>
  <c r="BG93" i="2"/>
  <c r="BI93" i="2"/>
  <c r="AK91" i="2"/>
  <c r="AC94" i="2"/>
  <c r="AH94" i="2"/>
  <c r="AW87" i="2"/>
  <c r="BN84" i="2"/>
  <c r="BG89" i="2"/>
  <c r="BJ88" i="2"/>
  <c r="AD90" i="2"/>
  <c r="AB93" i="2"/>
  <c r="AO89" i="2"/>
  <c r="AU94" i="2"/>
  <c r="BN93" i="2"/>
  <c r="AB85" i="2"/>
  <c r="BF92" i="2"/>
  <c r="AM84" i="2"/>
  <c r="AP90" i="2"/>
  <c r="AR87" i="2"/>
  <c r="AZ86" i="2"/>
  <c r="BK86" i="2"/>
  <c r="AJ85" i="2"/>
  <c r="BL91" i="2"/>
  <c r="AO84" i="2"/>
  <c r="AV85" i="2"/>
  <c r="AV90" i="2"/>
  <c r="BG87" i="2"/>
  <c r="BC84" i="2"/>
  <c r="AP86" i="2"/>
  <c r="BK85" i="2"/>
  <c r="AY91" i="2"/>
  <c r="BO84" i="2"/>
  <c r="AD85" i="2"/>
  <c r="AK92" i="2"/>
  <c r="AM86" i="2"/>
  <c r="AO86" i="2"/>
  <c r="BM92" i="2"/>
  <c r="AX92" i="2"/>
  <c r="BH91" i="2"/>
  <c r="BD84" i="2"/>
  <c r="AH91" i="2"/>
  <c r="AL84" i="2"/>
  <c r="AS91" i="2"/>
  <c r="BE84" i="2"/>
  <c r="BD94" i="2"/>
  <c r="BL90" i="2"/>
  <c r="B88" i="2"/>
  <c r="B93" i="2"/>
  <c r="AN92" i="2"/>
  <c r="AB94" i="2"/>
  <c r="AP85" i="2"/>
  <c r="AX90" i="2"/>
  <c r="BM85" i="2"/>
  <c r="AD84" i="2"/>
  <c r="BE92" i="2"/>
  <c r="AB92" i="2"/>
  <c r="B86" i="2"/>
  <c r="AJ86" i="2"/>
  <c r="AN90" i="2"/>
  <c r="BB93" i="2"/>
  <c r="AS89" i="2"/>
  <c r="BA85" i="2"/>
  <c r="BJ87" i="2"/>
  <c r="AC85" i="2"/>
  <c r="AF84" i="2"/>
  <c r="AH92" i="2"/>
  <c r="BG91" i="2"/>
  <c r="AR85" i="2"/>
  <c r="AZ94" i="2"/>
  <c r="AZ90" i="2"/>
  <c r="AJ87" i="2"/>
  <c r="AJ88" i="2"/>
  <c r="B94" i="2"/>
  <c r="BM89" i="2"/>
  <c r="AV87" i="2"/>
  <c r="BE93" i="2"/>
  <c r="BG86" i="2"/>
  <c r="AC91" i="2"/>
  <c r="AI92" i="2"/>
  <c r="AS90" i="2"/>
  <c r="BI85" i="2"/>
  <c r="AZ88" i="2"/>
  <c r="BL85" i="2"/>
  <c r="AI85" i="2"/>
  <c r="AJ93" i="2"/>
  <c r="AV92" i="2"/>
  <c r="AU92" i="2"/>
  <c r="BF94" i="2"/>
  <c r="BI87" i="2"/>
  <c r="AJ84" i="2"/>
  <c r="BK93" i="2"/>
  <c r="AD93" i="2"/>
  <c r="AS94" i="2"/>
  <c r="AT87" i="2"/>
  <c r="BA92" i="2"/>
  <c r="BJ93" i="2"/>
  <c r="AF88" i="2"/>
  <c r="BM90" i="2"/>
  <c r="AP94" i="2"/>
  <c r="AW89" i="2"/>
  <c r="AX86" i="2"/>
  <c r="BD85" i="2"/>
  <c r="BF89" i="2"/>
  <c r="AL91" i="2"/>
  <c r="BD90" i="2"/>
  <c r="BA89" i="2"/>
  <c r="AC88" i="2"/>
  <c r="AE89" i="2"/>
  <c r="AN87" i="2"/>
  <c r="BO93" i="2"/>
  <c r="AU90" i="2"/>
  <c r="BJ90" i="2"/>
  <c r="AK87" i="2"/>
  <c r="AM94" i="2"/>
  <c r="AL94" i="2"/>
  <c r="AV89" i="2"/>
  <c r="BO90" i="2"/>
  <c r="BE88" i="2"/>
  <c r="BK91" i="2"/>
  <c r="AG89" i="2"/>
  <c r="AK94" i="2"/>
  <c r="AD94" i="2"/>
  <c r="AU93" i="2"/>
  <c r="BC85" i="2"/>
  <c r="BE90" i="2"/>
  <c r="BD89" i="2"/>
  <c r="AM87" i="2"/>
  <c r="AR84" i="2"/>
  <c r="AR86" i="2"/>
  <c r="AY84" i="2"/>
  <c r="BL93" i="2"/>
  <c r="AB87" i="2"/>
  <c r="BM91" i="2"/>
  <c r="AO92" i="2"/>
  <c r="AV84" i="2"/>
  <c r="AW84" i="2"/>
  <c r="BB84" i="2"/>
  <c r="BE86" i="2"/>
  <c r="AK85" i="2"/>
  <c r="BJ85" i="2"/>
  <c r="AX84" i="2"/>
  <c r="BO86" i="2"/>
  <c r="AC86" i="2"/>
  <c r="AL88" i="2"/>
  <c r="B91" i="2"/>
  <c r="AR91" i="2"/>
  <c r="BK90" i="2"/>
  <c r="AW86" i="2"/>
  <c r="BF90" i="2"/>
  <c r="BH93" i="2"/>
  <c r="AF90" i="2"/>
  <c r="AE90" i="2"/>
  <c r="AP88" i="2"/>
  <c r="BK89" i="2"/>
  <c r="BA87" i="2"/>
  <c r="BL86" i="2"/>
  <c r="AD89" i="2"/>
  <c r="AM89" i="2"/>
  <c r="AL93" i="2"/>
  <c r="AT86" i="2"/>
  <c r="AW93" i="2"/>
  <c r="BN91" i="2"/>
  <c r="AE84" i="2"/>
  <c r="BD93" i="2"/>
  <c r="AG91" i="2"/>
  <c r="AQ85" i="2"/>
  <c r="AQ94" i="2"/>
  <c r="AM92" i="2"/>
  <c r="BC91" i="2"/>
  <c r="AR93" i="2"/>
  <c r="AZ93" i="2"/>
  <c r="AZ91" i="2"/>
  <c r="AI88" i="2"/>
  <c r="AI86" i="2"/>
  <c r="AL85" i="2"/>
  <c r="BI90" i="2"/>
  <c r="AR90" i="2"/>
  <c r="AY85" i="2"/>
  <c r="AY89" i="2"/>
  <c r="AH86" i="2"/>
  <c r="B87" i="2"/>
  <c r="AN85" i="2"/>
  <c r="BN92" i="2"/>
  <c r="AV86" i="2"/>
  <c r="BG88" i="2"/>
  <c r="BE94" i="2"/>
  <c r="AC90" i="2"/>
  <c r="AK88" i="2"/>
  <c r="AQ93" i="2"/>
  <c r="BJ89" i="2"/>
  <c r="BA86" i="2"/>
  <c r="BM94" i="2"/>
  <c r="AG87" i="2"/>
  <c r="AG93" i="2"/>
  <c r="AN84" i="2"/>
  <c r="AV88" i="2"/>
  <c r="AT89" i="2"/>
  <c r="BG90" i="2"/>
  <c r="BI92" i="2"/>
  <c r="AH89" i="2"/>
  <c r="BL89" i="2"/>
  <c r="AO87" i="2"/>
  <c r="AR92" i="2"/>
  <c r="AR89" i="2"/>
  <c r="BA94" i="2"/>
  <c r="BJ91" i="2"/>
  <c r="AH87" i="2"/>
  <c r="BN86" i="2"/>
  <c r="AE93" i="2"/>
  <c r="AY88" i="2"/>
  <c r="AW94" i="2"/>
  <c r="BC87" i="2"/>
  <c r="AC84" i="2"/>
  <c r="AL90" i="2"/>
  <c r="BI88" i="2"/>
  <c r="AQ84" i="2"/>
  <c r="AH85" i="2"/>
  <c r="AE88" i="2"/>
  <c r="AN93" i="2"/>
  <c r="BO94" i="2"/>
  <c r="AT88" i="2"/>
  <c r="BE89" i="2"/>
  <c r="BB86" i="2"/>
  <c r="AG94" i="2"/>
  <c r="AF94" i="2"/>
  <c r="AW88" i="2"/>
  <c r="BO87" i="2"/>
  <c r="BD92" i="2"/>
  <c r="BD88" i="2"/>
  <c r="AL86" i="2"/>
  <c r="AN86" i="2"/>
  <c r="AM93" i="2"/>
  <c r="AU89" i="2"/>
  <c r="BB88" i="2"/>
  <c r="BE91" i="2"/>
  <c r="BI84" i="2"/>
  <c r="AJ90" i="2"/>
  <c r="AQ90" i="2"/>
  <c r="AQ91" i="2"/>
  <c r="AZ87" i="2"/>
  <c r="BL84" i="2"/>
  <c r="AB86" i="2"/>
  <c r="BO89" i="2"/>
  <c r="AC93" i="2"/>
  <c r="AU85" i="2"/>
  <c r="AU91" i="2"/>
  <c r="BB90" i="2"/>
  <c r="BE87" i="2"/>
  <c r="AK86" i="2"/>
  <c r="BK87" i="2"/>
  <c r="AP87" i="2"/>
  <c r="BC88" i="2"/>
  <c r="AB84" i="2"/>
  <c r="AE91" i="2"/>
  <c r="AE92" i="2"/>
  <c r="AQ86" i="2"/>
  <c r="BK88" i="2"/>
  <c r="AZ85" i="2"/>
  <c r="BC94" i="2"/>
  <c r="BH94" i="2"/>
  <c r="AK90" i="2"/>
  <c r="AF91" i="2"/>
  <c r="AO88" i="2"/>
  <c r="BL92" i="2"/>
  <c r="AX87" i="2"/>
  <c r="BM87" i="2"/>
  <c r="AG88" i="2"/>
  <c r="AM90" i="2"/>
  <c r="AI93" i="2"/>
  <c r="AS86" i="2"/>
  <c r="BG94" i="2"/>
  <c r="BG85" i="2"/>
  <c r="BA91" i="2"/>
  <c r="AP49" i="2"/>
  <c r="BI60" i="2"/>
  <c r="BB59" i="2"/>
  <c r="BD69" i="2"/>
  <c r="BG43" i="2"/>
  <c r="AY81" i="2"/>
  <c r="AX52" i="2"/>
  <c r="AX75" i="2"/>
  <c r="AB79" i="2"/>
  <c r="AU45" i="2"/>
  <c r="BC78" i="2"/>
  <c r="BO62" i="2"/>
  <c r="AO55" i="2"/>
  <c r="AR49" i="2"/>
  <c r="AJ67" i="2"/>
  <c r="BE59" i="2"/>
  <c r="BD49" i="2"/>
  <c r="AS77" i="2"/>
  <c r="AL53" i="2"/>
  <c r="AN73" i="2"/>
  <c r="AQ77" i="2"/>
  <c r="AZ56" i="2"/>
  <c r="AY60" i="2"/>
  <c r="AY80" i="2"/>
  <c r="AU43" i="2"/>
  <c r="B60" i="2"/>
  <c r="BG61" i="2"/>
  <c r="AR66" i="2"/>
  <c r="BA70" i="2"/>
  <c r="AF48" i="2"/>
  <c r="AH56" i="2"/>
  <c r="BM46" i="2"/>
  <c r="AG54" i="2"/>
  <c r="AT55" i="2"/>
  <c r="AT44" i="2"/>
  <c r="BI61" i="2"/>
  <c r="BC79" i="2"/>
  <c r="AL56" i="2"/>
  <c r="AI72" i="2"/>
  <c r="AG64" i="2"/>
  <c r="AL62" i="2"/>
  <c r="BH68" i="2"/>
  <c r="BB80" i="2"/>
  <c r="BA75" i="2"/>
  <c r="AF49" i="2"/>
  <c r="AK73" i="2"/>
  <c r="BF63" i="2"/>
  <c r="AV68" i="2"/>
  <c r="BG63" i="2"/>
  <c r="AT80" i="2"/>
  <c r="AN51" i="2"/>
  <c r="AK60" i="2"/>
  <c r="AS43" i="2"/>
  <c r="AP63" i="2"/>
  <c r="AW48" i="2"/>
  <c r="BO73" i="2"/>
  <c r="BN74" i="2"/>
  <c r="AL70" i="2"/>
  <c r="AS74" i="2"/>
  <c r="AS56" i="2"/>
  <c r="BM76" i="2"/>
  <c r="BE46" i="2"/>
  <c r="BC57" i="2"/>
  <c r="AD67" i="2"/>
  <c r="AR77" i="2"/>
  <c r="BD81" i="2"/>
  <c r="AN50" i="2"/>
  <c r="BL80" i="2"/>
  <c r="BJ55" i="2"/>
  <c r="AI47" i="2"/>
  <c r="AI56" i="2"/>
  <c r="AI49" i="2"/>
  <c r="BC59" i="2"/>
  <c r="BJ43" i="2"/>
  <c r="AD48" i="2"/>
  <c r="BM44" i="2"/>
  <c r="BD47" i="2"/>
  <c r="BD61" i="2"/>
  <c r="AG66" i="2"/>
  <c r="AF71" i="2"/>
  <c r="AP78" i="2"/>
  <c r="AU55" i="2"/>
  <c r="AE51" i="2"/>
  <c r="AG63" i="2"/>
  <c r="AW71" i="2"/>
  <c r="AC62" i="2"/>
  <c r="AN69" i="2"/>
  <c r="B80" i="2"/>
  <c r="AG58" i="2"/>
  <c r="BC74" i="2"/>
  <c r="BE66" i="2"/>
  <c r="BB44" i="2"/>
  <c r="AB51" i="2"/>
  <c r="BN77" i="2"/>
  <c r="BN56" i="2"/>
  <c r="AL75" i="2"/>
  <c r="AY72" i="2"/>
  <c r="AY48" i="2"/>
  <c r="AZ80" i="2"/>
  <c r="AO74" i="2"/>
  <c r="BI75" i="2"/>
  <c r="BJ57" i="2"/>
  <c r="AQ52" i="2"/>
  <c r="BM49" i="2"/>
  <c r="BL79" i="2"/>
  <c r="AF78" i="2"/>
  <c r="AT57" i="2"/>
  <c r="AI78" i="2"/>
  <c r="AQ66" i="2"/>
  <c r="BD66" i="2"/>
  <c r="BO65" i="2"/>
  <c r="AN65" i="2"/>
  <c r="AY47" i="2"/>
  <c r="AY69" i="2"/>
  <c r="AU63" i="2"/>
  <c r="AF52" i="2"/>
  <c r="AU76" i="2"/>
  <c r="AM59" i="2"/>
  <c r="BK51" i="2"/>
  <c r="BO52" i="2"/>
  <c r="BN69" i="2"/>
  <c r="AI51" i="2"/>
  <c r="AM77" i="2"/>
  <c r="BJ61" i="2"/>
  <c r="AV70" i="2"/>
  <c r="BL55" i="2"/>
  <c r="AH71" i="2"/>
  <c r="AC55" i="2"/>
  <c r="AI73" i="2"/>
  <c r="BD79" i="2"/>
  <c r="BI56" i="2"/>
  <c r="AK49" i="2"/>
  <c r="BK76" i="2"/>
  <c r="BB54" i="2"/>
  <c r="BB58" i="2"/>
  <c r="BA64" i="2"/>
  <c r="B47" i="2"/>
  <c r="AH55" i="2"/>
  <c r="AC45" i="2"/>
  <c r="AC79" i="2"/>
  <c r="AW74" i="2"/>
  <c r="AE62" i="2"/>
  <c r="AB70" i="2"/>
  <c r="AB81" i="2"/>
  <c r="AN81" i="2"/>
  <c r="AZ43" i="2"/>
  <c r="AY51" i="2"/>
  <c r="AX55" i="2"/>
  <c r="AM48" i="2"/>
  <c r="AS69" i="2"/>
  <c r="BI64" i="2"/>
  <c r="AS58" i="2"/>
  <c r="AK76" i="2"/>
  <c r="AG50" i="2"/>
  <c r="AS67" i="2"/>
  <c r="BC61" i="2"/>
  <c r="BC62" i="2"/>
  <c r="AL57" i="2"/>
  <c r="AK70" i="2"/>
  <c r="AJ61" i="2"/>
  <c r="AJ51" i="2"/>
  <c r="BA80" i="2"/>
  <c r="BA43" i="2"/>
  <c r="AB65" i="2"/>
  <c r="AN54" i="2"/>
  <c r="AQ46" i="2"/>
  <c r="AB60" i="2"/>
  <c r="BI55" i="2"/>
  <c r="BD78" i="2"/>
  <c r="AR80" i="2"/>
  <c r="AC48" i="2"/>
  <c r="AM56" i="2"/>
  <c r="AY63" i="2"/>
  <c r="BH66" i="2"/>
  <c r="BD55" i="2"/>
  <c r="AE63" i="2"/>
  <c r="AW79" i="2"/>
  <c r="AB69" i="2"/>
  <c r="AO43" i="2"/>
  <c r="AH77" i="2"/>
  <c r="AM45" i="2"/>
  <c r="AM67" i="2"/>
  <c r="BL51" i="2"/>
  <c r="BK54" i="2"/>
  <c r="AN48" i="2"/>
  <c r="AT53" i="2"/>
  <c r="BG60" i="2"/>
  <c r="AJ77" i="2"/>
  <c r="BM52" i="2"/>
  <c r="BN66" i="2"/>
  <c r="AL69" i="2"/>
  <c r="AN63" i="2"/>
  <c r="AY46" i="2"/>
  <c r="AZ49" i="2"/>
  <c r="AT54" i="2"/>
  <c r="BF70" i="2"/>
  <c r="BF50" i="2"/>
  <c r="AV77" i="2"/>
  <c r="AZ48" i="2"/>
  <c r="AF66" i="2"/>
  <c r="BA48" i="2"/>
  <c r="BB66" i="2"/>
  <c r="AV65" i="2"/>
  <c r="AZ75" i="2"/>
  <c r="AH49" i="2"/>
  <c r="AR48" i="2"/>
  <c r="BL68" i="2"/>
  <c r="AF56" i="2"/>
  <c r="AH73" i="2"/>
  <c r="AD73" i="2"/>
  <c r="AV67" i="2"/>
  <c r="BG69" i="2"/>
  <c r="BD57" i="2"/>
  <c r="B57" i="2"/>
  <c r="AJ48" i="2"/>
  <c r="AW77" i="2"/>
  <c r="AF75" i="2"/>
  <c r="BG55" i="2"/>
  <c r="AN66" i="2"/>
  <c r="BA71" i="2"/>
  <c r="AB78" i="2"/>
  <c r="AN45" i="2"/>
  <c r="AG68" i="2"/>
  <c r="AY68" i="2"/>
  <c r="BC81" i="2"/>
  <c r="AT60" i="2"/>
  <c r="B54" i="2"/>
  <c r="AV72" i="2"/>
  <c r="AE74" i="2"/>
  <c r="AB77" i="2"/>
  <c r="AE78" i="2"/>
  <c r="BL56" i="2"/>
  <c r="BK58" i="2"/>
  <c r="AD79" i="2"/>
  <c r="AO60" i="2"/>
  <c r="BM78" i="2"/>
  <c r="BG74" i="2"/>
  <c r="BH72" i="2"/>
  <c r="BH69" i="2"/>
  <c r="BE71" i="2"/>
  <c r="AT49" i="2"/>
  <c r="AY50" i="2"/>
  <c r="BG65" i="2"/>
  <c r="BB77" i="2"/>
  <c r="BC60" i="2"/>
  <c r="AR50" i="2"/>
  <c r="AE75" i="2"/>
  <c r="AR81" i="2"/>
  <c r="AB63" i="2"/>
  <c r="BA73" i="2"/>
  <c r="BE75" i="2"/>
  <c r="AW72" i="2"/>
  <c r="BM79" i="2"/>
  <c r="AG72" i="2"/>
  <c r="AJ55" i="2"/>
  <c r="AH53" i="2"/>
  <c r="AP44" i="2"/>
  <c r="AH66" i="2"/>
  <c r="BJ81" i="2"/>
  <c r="BJ78" i="2"/>
  <c r="AH80" i="2"/>
  <c r="BO53" i="2"/>
  <c r="AE64" i="2"/>
  <c r="AX73" i="2"/>
  <c r="AW57" i="2"/>
  <c r="AO62" i="2"/>
  <c r="AK80" i="2"/>
  <c r="AI61" i="2"/>
  <c r="BH70" i="2"/>
  <c r="AV73" i="2"/>
  <c r="AD81" i="2"/>
  <c r="AM55" i="2"/>
  <c r="BB49" i="2"/>
  <c r="BF76" i="2"/>
  <c r="BD76" i="2"/>
  <c r="B59" i="2"/>
  <c r="AL52" i="2"/>
  <c r="AJ52" i="2"/>
  <c r="AQ70" i="2"/>
  <c r="AZ53" i="2"/>
  <c r="AY59" i="2"/>
  <c r="AV64" i="2"/>
  <c r="AT43" i="2"/>
  <c r="AU70" i="2"/>
  <c r="AV74" i="2"/>
  <c r="BG56" i="2"/>
  <c r="AN68" i="2"/>
  <c r="BF44" i="2"/>
  <c r="AC80" i="2"/>
  <c r="BJ60" i="2"/>
  <c r="BK47" i="2"/>
  <c r="AO52" i="2"/>
  <c r="AV81" i="2"/>
  <c r="AW76" i="2"/>
  <c r="AX45" i="2"/>
  <c r="AS48" i="2"/>
  <c r="AD78" i="2"/>
  <c r="BM67" i="2"/>
  <c r="BN75" i="2"/>
  <c r="AB59" i="2"/>
  <c r="BJ62" i="2"/>
  <c r="BI62" i="2"/>
  <c r="AI81" i="2"/>
  <c r="AF45" i="2"/>
  <c r="AF55" i="2"/>
  <c r="AJ64" i="2"/>
  <c r="BC75" i="2"/>
  <c r="BE47" i="2"/>
  <c r="AT62" i="2"/>
  <c r="AP61" i="2"/>
  <c r="AC70" i="2"/>
  <c r="B81" i="2"/>
  <c r="AM52" i="2"/>
  <c r="AF79" i="2"/>
  <c r="BE48" i="2"/>
  <c r="BK43" i="2"/>
  <c r="BJ59" i="2"/>
  <c r="AO78" i="2"/>
  <c r="AU71" i="2"/>
  <c r="BA49" i="2"/>
  <c r="BM65" i="2"/>
  <c r="BM54" i="2"/>
  <c r="AI77" i="2"/>
  <c r="AS55" i="2"/>
  <c r="AC77" i="2"/>
  <c r="BD46" i="2"/>
  <c r="BB45" i="2"/>
  <c r="AT51" i="2"/>
  <c r="AW68" i="2"/>
  <c r="AZ64" i="2"/>
  <c r="AR65" i="2"/>
  <c r="AY45" i="2"/>
  <c r="AL45" i="2"/>
  <c r="AS59" i="2"/>
  <c r="AQ56" i="2"/>
  <c r="AU80" i="2"/>
  <c r="BJ74" i="2"/>
  <c r="BO79" i="2"/>
  <c r="AJ69" i="2"/>
  <c r="AB47" i="2"/>
  <c r="BM70" i="2"/>
  <c r="AW53" i="2"/>
  <c r="AG62" i="2"/>
  <c r="AE70" i="2"/>
  <c r="AF80" i="2"/>
  <c r="AF69" i="2"/>
  <c r="BH48" i="2"/>
  <c r="BM61" i="2"/>
  <c r="AQ58" i="2"/>
  <c r="AL58" i="2"/>
  <c r="BB56" i="2"/>
  <c r="BF69" i="2"/>
  <c r="BD50" i="2"/>
  <c r="AU75" i="2"/>
  <c r="AN71" i="2"/>
  <c r="AP71" i="2"/>
  <c r="AP60" i="2"/>
  <c r="AK64" i="2"/>
  <c r="AY56" i="2"/>
  <c r="AD63" i="2"/>
  <c r="AB72" i="2"/>
  <c r="AG47" i="2"/>
  <c r="BE43" i="2"/>
  <c r="BD44" i="2"/>
  <c r="BH75" i="2"/>
  <c r="AT69" i="2"/>
  <c r="AL76" i="2"/>
  <c r="AU74" i="2"/>
  <c r="AV55" i="2"/>
  <c r="AX64" i="2"/>
  <c r="AP65" i="2"/>
  <c r="BJ44" i="2"/>
  <c r="BO66" i="2"/>
  <c r="AD75" i="2"/>
  <c r="AN57" i="2"/>
  <c r="AD56" i="2"/>
  <c r="AU49" i="2"/>
  <c r="AF62" i="2"/>
  <c r="BH79" i="2"/>
  <c r="BG62" i="2"/>
  <c r="AQ69" i="2"/>
  <c r="BG66" i="2"/>
  <c r="AK48" i="2"/>
  <c r="B64" i="2"/>
  <c r="AK65" i="2"/>
  <c r="BA69" i="2"/>
  <c r="AC58" i="2"/>
  <c r="BI79" i="2"/>
  <c r="AZ67" i="2"/>
  <c r="BB47" i="2"/>
  <c r="AF76" i="2"/>
  <c r="BN61" i="2"/>
  <c r="BO50" i="2"/>
  <c r="AI64" i="2"/>
  <c r="BD72" i="2"/>
  <c r="BI68" i="2"/>
  <c r="AP77" i="2"/>
  <c r="BO71" i="2"/>
  <c r="BN65" i="2"/>
  <c r="AL46" i="2"/>
  <c r="AE58" i="2"/>
  <c r="AL77" i="2"/>
  <c r="BE62" i="2"/>
  <c r="BE72" i="2"/>
  <c r="AI58" i="2"/>
  <c r="AG67" i="2"/>
  <c r="AZ71" i="2"/>
  <c r="AW65" i="2"/>
  <c r="AW64" i="2"/>
  <c r="AC50" i="2"/>
  <c r="AO58" i="2"/>
  <c r="AP74" i="2"/>
  <c r="AC60" i="2"/>
  <c r="BK52" i="2"/>
  <c r="BO67" i="2"/>
  <c r="AG75" i="2"/>
  <c r="AG44" i="2"/>
  <c r="BN44" i="2"/>
  <c r="AX79" i="2"/>
  <c r="B62" i="2"/>
  <c r="AE69" i="2"/>
  <c r="AO75" i="2"/>
  <c r="AE45" i="2"/>
  <c r="BF78" i="2"/>
  <c r="BK64" i="2"/>
  <c r="AV69" i="2"/>
  <c r="BO70" i="2"/>
  <c r="BD60" i="2"/>
  <c r="BB74" i="2"/>
  <c r="AJ68" i="2"/>
  <c r="AV52" i="2"/>
  <c r="AO53" i="2"/>
  <c r="AS80" i="2"/>
  <c r="AB48" i="2"/>
  <c r="AY74" i="2"/>
  <c r="AX43" i="2"/>
  <c r="AM62" i="2"/>
  <c r="AL43" i="2"/>
  <c r="AM50" i="2"/>
  <c r="AP66" i="2"/>
  <c r="AL65" i="2"/>
  <c r="AY52" i="2"/>
  <c r="AD76" i="2"/>
  <c r="AS79" i="2"/>
  <c r="BK67" i="2"/>
  <c r="AP76" i="2"/>
  <c r="AU50" i="2"/>
  <c r="AV57" i="2"/>
  <c r="AO67" i="2"/>
  <c r="BF55" i="2"/>
  <c r="AO56" i="2"/>
  <c r="AC74" i="2"/>
  <c r="AP64" i="2"/>
  <c r="AW81" i="2"/>
  <c r="BE70" i="2"/>
  <c r="BH67" i="2"/>
  <c r="AI66" i="2"/>
  <c r="AJ76" i="2"/>
  <c r="AL47" i="2"/>
  <c r="AQ59" i="2"/>
  <c r="BJ48" i="2"/>
  <c r="BI51" i="2"/>
  <c r="AL80" i="2"/>
  <c r="B44" i="2"/>
  <c r="AP53" i="2"/>
  <c r="AZ74" i="2"/>
  <c r="BG71" i="2"/>
  <c r="BK77" i="2"/>
  <c r="AW46" i="2"/>
  <c r="AY49" i="2"/>
  <c r="AI63" i="2"/>
  <c r="AI62" i="2"/>
  <c r="AE53" i="2"/>
  <c r="AE47" i="2"/>
  <c r="AH69" i="2"/>
  <c r="BD48" i="2"/>
  <c r="BN81" i="2"/>
  <c r="BL76" i="2"/>
  <c r="AM71" i="2"/>
  <c r="AI55" i="2"/>
  <c r="BD63" i="2"/>
  <c r="AI53" i="2"/>
  <c r="BK81" i="2"/>
  <c r="BL45" i="2"/>
  <c r="AN77" i="2"/>
  <c r="AJ62" i="2"/>
  <c r="AX57" i="2"/>
  <c r="AS64" i="2"/>
  <c r="AU59" i="2"/>
  <c r="BB61" i="2"/>
  <c r="BG70" i="2"/>
  <c r="BH59" i="2"/>
  <c r="AI69" i="2"/>
  <c r="BJ46" i="2"/>
  <c r="BL77" i="2"/>
  <c r="BD45" i="2"/>
  <c r="BG78" i="2"/>
  <c r="BB48" i="2"/>
  <c r="AF57" i="2"/>
  <c r="AH76" i="2"/>
  <c r="AS53" i="2"/>
  <c r="AW47" i="2"/>
  <c r="AT64" i="2"/>
  <c r="AX59" i="2"/>
  <c r="BO80" i="2"/>
  <c r="BN63" i="2"/>
  <c r="AJ50" i="2"/>
  <c r="AR57" i="2"/>
  <c r="AR74" i="2"/>
  <c r="BO43" i="2"/>
  <c r="BI59" i="2"/>
  <c r="BE81" i="2"/>
  <c r="BF49" i="2"/>
  <c r="AQ73" i="2"/>
  <c r="BA68" i="2"/>
  <c r="AR76" i="2"/>
  <c r="BK53" i="2"/>
  <c r="BJ77" i="2"/>
  <c r="AN80" i="2"/>
  <c r="AV44" i="2"/>
  <c r="AM54" i="2"/>
  <c r="AZ45" i="2"/>
  <c r="BA81" i="2"/>
  <c r="BI72" i="2"/>
  <c r="AF63" i="2"/>
  <c r="AW56" i="2"/>
  <c r="AW55" i="2"/>
  <c r="AE80" i="2"/>
  <c r="AJ43" i="2"/>
  <c r="AE76" i="2"/>
  <c r="BA67" i="2"/>
  <c r="BL65" i="2"/>
  <c r="BK63" i="2"/>
  <c r="AN72" i="2"/>
  <c r="AR79" i="2"/>
  <c r="AB67" i="2"/>
  <c r="BJ68" i="2"/>
  <c r="BO44" i="2"/>
  <c r="AI76" i="2"/>
  <c r="AD57" i="2"/>
  <c r="AK69" i="2"/>
  <c r="BB46" i="2"/>
  <c r="BH81" i="2"/>
  <c r="AM47" i="2"/>
  <c r="BI70" i="2"/>
  <c r="BH63" i="2"/>
  <c r="AD66" i="2"/>
  <c r="BA60" i="2"/>
  <c r="AE73" i="2"/>
  <c r="AG56" i="2"/>
  <c r="AH45" i="2"/>
  <c r="AO76" i="2"/>
  <c r="AP62" i="2"/>
  <c r="AV43" i="2"/>
  <c r="AB45" i="2"/>
  <c r="AB56" i="2"/>
  <c r="AQ76" i="2"/>
  <c r="BC55" i="2"/>
  <c r="BE44" i="2"/>
  <c r="BH49" i="2"/>
  <c r="AV51" i="2"/>
  <c r="AJ54" i="2"/>
  <c r="BO48" i="2"/>
  <c r="AE44" i="2"/>
  <c r="AI74" i="2"/>
  <c r="AJ47" i="2"/>
  <c r="BM48" i="2"/>
  <c r="BL62" i="2"/>
  <c r="AN75" i="2"/>
  <c r="AU79" i="2"/>
  <c r="BO77" i="2"/>
  <c r="BF79" i="2"/>
  <c r="BC63" i="2"/>
  <c r="BE53" i="2"/>
  <c r="BH73" i="2"/>
  <c r="AT73" i="2"/>
  <c r="AB66" i="2"/>
  <c r="AB53" i="2"/>
  <c r="AH62" i="2"/>
  <c r="AX60" i="2"/>
  <c r="AX69" i="2"/>
  <c r="AU44" i="2"/>
  <c r="AB68" i="2"/>
  <c r="BD80" i="2"/>
  <c r="BF73" i="2"/>
  <c r="AK53" i="2"/>
  <c r="BK73" i="2"/>
  <c r="BL53" i="2"/>
  <c r="AG49" i="2"/>
  <c r="BD65" i="2"/>
  <c r="BG77" i="2"/>
  <c r="BD71" i="2"/>
  <c r="AW59" i="2"/>
  <c r="BL49" i="2"/>
  <c r="AG46" i="2"/>
  <c r="AK81" i="2"/>
  <c r="AH70" i="2"/>
  <c r="BE74" i="2"/>
  <c r="BJ66" i="2"/>
  <c r="AJ70" i="2"/>
  <c r="BL59" i="2"/>
  <c r="BD67" i="2"/>
  <c r="BE49" i="2"/>
  <c r="BA44" i="2"/>
  <c r="AG43" i="2"/>
  <c r="AP48" i="2"/>
  <c r="AH61" i="2"/>
  <c r="AC78" i="2"/>
  <c r="AX70" i="2"/>
  <c r="AK62" i="2"/>
  <c r="AV50" i="2"/>
  <c r="AO77" i="2"/>
  <c r="AK55" i="2"/>
  <c r="AZ50" i="2"/>
  <c r="AY43" i="2"/>
  <c r="AX71" i="2"/>
  <c r="AK77" i="2"/>
  <c r="AT59" i="2"/>
  <c r="BI74" i="2"/>
  <c r="AU54" i="2"/>
  <c r="AN47" i="2"/>
  <c r="AN70" i="2"/>
  <c r="BB57" i="2"/>
  <c r="BE45" i="2"/>
  <c r="AC67" i="2"/>
  <c r="AD59" i="2"/>
  <c r="AD51" i="2"/>
  <c r="AJ71" i="2"/>
  <c r="AO72" i="2"/>
  <c r="AV66" i="2"/>
  <c r="AI65" i="2"/>
  <c r="AY76" i="2"/>
  <c r="AK57" i="2"/>
  <c r="B58" i="2"/>
  <c r="BF53" i="2"/>
  <c r="BB63" i="2"/>
  <c r="AW66" i="2"/>
  <c r="AG69" i="2"/>
  <c r="AP80" i="2"/>
  <c r="BN50" i="2"/>
  <c r="AI75" i="2"/>
  <c r="AM74" i="2"/>
  <c r="AG79" i="2"/>
  <c r="BK70" i="2"/>
  <c r="BJ47" i="2"/>
  <c r="AO50" i="2"/>
  <c r="AM61" i="2"/>
  <c r="BM47" i="2"/>
  <c r="BF59" i="2"/>
  <c r="AR68" i="2"/>
  <c r="BF52" i="2"/>
  <c r="AL67" i="2"/>
  <c r="AU56" i="2"/>
  <c r="AB64" i="2"/>
  <c r="AQ81" i="2"/>
  <c r="BN46" i="2"/>
  <c r="BL64" i="2"/>
  <c r="AH78" i="2"/>
  <c r="AT47" i="2"/>
  <c r="AB52" i="2"/>
  <c r="BH62" i="2"/>
  <c r="AT67" i="2"/>
  <c r="AR44" i="2"/>
  <c r="AQ68" i="2"/>
  <c r="AX66" i="2"/>
  <c r="AZ70" i="2"/>
  <c r="AN64" i="2"/>
  <c r="AE50" i="2"/>
  <c r="AS76" i="2"/>
  <c r="AB80" i="2"/>
  <c r="AF59" i="2"/>
  <c r="BL69" i="2"/>
  <c r="BI66" i="2"/>
  <c r="AF74" i="2"/>
  <c r="AV78" i="2"/>
  <c r="BO55" i="2"/>
  <c r="AB55" i="2"/>
  <c r="AW67" i="2"/>
  <c r="BI57" i="2"/>
  <c r="AQ78" i="2"/>
  <c r="AC47" i="2"/>
  <c r="BL67" i="2"/>
  <c r="AV75" i="2"/>
  <c r="B73" i="2"/>
  <c r="BA76" i="2"/>
  <c r="AI68" i="2"/>
  <c r="BF57" i="2"/>
  <c r="AI54" i="2"/>
  <c r="AW51" i="2"/>
  <c r="AN62" i="2"/>
  <c r="AX80" i="2"/>
  <c r="AP68" i="2"/>
  <c r="BF45" i="2"/>
  <c r="BG53" i="2"/>
  <c r="AI60" i="2"/>
  <c r="AN44" i="2"/>
  <c r="AE60" i="2"/>
  <c r="AF72" i="2"/>
  <c r="AH50" i="2"/>
  <c r="AB76" i="2"/>
  <c r="BL54" i="2"/>
  <c r="BK68" i="2"/>
  <c r="AG53" i="2"/>
  <c r="AU57" i="2"/>
  <c r="BN43" i="2"/>
  <c r="AF68" i="2"/>
  <c r="BH43" i="2"/>
  <c r="AR67" i="2"/>
  <c r="BC45" i="2"/>
  <c r="AT52" i="2"/>
  <c r="AM65" i="2"/>
  <c r="BI78" i="2"/>
  <c r="BH54" i="2"/>
  <c r="BC71" i="2"/>
  <c r="AQ74" i="2"/>
  <c r="AC75" i="2"/>
  <c r="AR54" i="2"/>
  <c r="AW63" i="2"/>
  <c r="AE65" i="2"/>
  <c r="BA51" i="2"/>
  <c r="BL60" i="2"/>
  <c r="BJ63" i="2"/>
  <c r="B74" i="2"/>
  <c r="AP56" i="2"/>
  <c r="AP79" i="2"/>
  <c r="AF58" i="2"/>
  <c r="AX53" i="2"/>
  <c r="BI43" i="2"/>
  <c r="BH78" i="2"/>
  <c r="AP45" i="2"/>
  <c r="BK55" i="2"/>
  <c r="AW78" i="2"/>
  <c r="BL58" i="2"/>
  <c r="BK50" i="2"/>
  <c r="AF53" i="2"/>
  <c r="AL60" i="2"/>
  <c r="AE79" i="2"/>
  <c r="BA79" i="2"/>
  <c r="BG75" i="2"/>
  <c r="AU46" i="2"/>
  <c r="BA61" i="2"/>
  <c r="AZ63" i="2"/>
  <c r="AY53" i="2"/>
  <c r="AY58" i="2"/>
  <c r="AD77" i="2"/>
  <c r="AS73" i="2"/>
  <c r="AR72" i="2"/>
  <c r="BN78" i="2"/>
  <c r="BO46" i="2"/>
  <c r="BN49" i="2"/>
  <c r="AL50" i="2"/>
  <c r="AJ45" i="2"/>
  <c r="BL43" i="2"/>
  <c r="AM66" i="2"/>
  <c r="AE66" i="2"/>
  <c r="B65" i="2"/>
  <c r="AJ75" i="2"/>
  <c r="AQ71" i="2"/>
  <c r="BL48" i="2"/>
  <c r="AM79" i="2"/>
  <c r="AQ79" i="2"/>
  <c r="AS52" i="2"/>
  <c r="BI48" i="2"/>
  <c r="BG79" i="2"/>
  <c r="AP73" i="2"/>
  <c r="AG70" i="2"/>
  <c r="AZ52" i="2"/>
  <c r="AH64" i="2"/>
  <c r="BD53" i="2"/>
  <c r="BA78" i="2"/>
  <c r="BC68" i="2"/>
  <c r="AB71" i="2"/>
  <c r="AD45" i="2"/>
  <c r="AP59" i="2"/>
  <c r="BG52" i="2"/>
  <c r="BG47" i="2"/>
  <c r="BH71" i="2"/>
  <c r="AG52" i="2"/>
  <c r="BL50" i="2"/>
  <c r="BM56" i="2"/>
  <c r="AH52" i="2"/>
  <c r="AM63" i="2"/>
  <c r="BH76" i="2"/>
  <c r="BN76" i="2"/>
  <c r="BO76" i="2"/>
  <c r="BI45" i="2"/>
  <c r="B68" i="2"/>
  <c r="BC58" i="2"/>
  <c r="AQ54" i="2"/>
  <c r="AI70" i="2"/>
  <c r="AQ43" i="2"/>
  <c r="AS63" i="2"/>
  <c r="BA47" i="2"/>
  <c r="BD68" i="2"/>
  <c r="AV53" i="2"/>
  <c r="BK56" i="2"/>
  <c r="AE48" i="2"/>
  <c r="AJ56" i="2"/>
  <c r="AO73" i="2"/>
  <c r="AR78" i="2"/>
  <c r="AY73" i="2"/>
  <c r="BJ72" i="2"/>
  <c r="BI69" i="2"/>
  <c r="AP54" i="2"/>
  <c r="BL71" i="2"/>
  <c r="AT63" i="2"/>
  <c r="BM51" i="2"/>
  <c r="BL72" i="2"/>
  <c r="AM76" i="2"/>
  <c r="AJ59" i="2"/>
  <c r="AC53" i="2"/>
  <c r="B66" i="2"/>
  <c r="BB73" i="2"/>
  <c r="BM74" i="2"/>
  <c r="AY70" i="2"/>
  <c r="AY64" i="2"/>
  <c r="AX62" i="2"/>
  <c r="AO63" i="2"/>
  <c r="AM46" i="2"/>
  <c r="AD69" i="2"/>
  <c r="AH60" i="2"/>
  <c r="BJ69" i="2"/>
  <c r="BN57" i="2"/>
  <c r="BM66" i="2"/>
  <c r="AF77" i="2"/>
  <c r="AN52" i="2"/>
  <c r="BG58" i="2"/>
  <c r="AN61" i="2"/>
  <c r="BK66" i="2"/>
  <c r="AC76" i="2"/>
  <c r="AQ48" i="2"/>
  <c r="AH74" i="2"/>
  <c r="BE78" i="2"/>
  <c r="BK46" i="2"/>
  <c r="AD71" i="2"/>
  <c r="BO63" i="2"/>
  <c r="AO68" i="2"/>
  <c r="BH57" i="2"/>
  <c r="BF47" i="2"/>
  <c r="AD44" i="2"/>
  <c r="AB54" i="2"/>
  <c r="AO59" i="2"/>
  <c r="AJ74" i="2"/>
  <c r="AK63" i="2"/>
  <c r="AX63" i="2"/>
  <c r="AW54" i="2"/>
  <c r="AM49" i="2"/>
  <c r="AN49" i="2"/>
  <c r="BE69" i="2"/>
  <c r="BD43" i="2"/>
  <c r="BD75" i="2"/>
  <c r="AG60" i="2"/>
  <c r="AN79" i="2"/>
  <c r="AU73" i="2"/>
  <c r="AS78" i="2"/>
  <c r="AW80" i="2"/>
  <c r="AE61" i="2"/>
  <c r="BN55" i="2"/>
  <c r="BM45" i="2"/>
  <c r="B51" i="2"/>
  <c r="AS51" i="2"/>
  <c r="AT74" i="2"/>
  <c r="BL57" i="2"/>
  <c r="AY67" i="2"/>
  <c r="BH77" i="2"/>
  <c r="BG46" i="2"/>
  <c r="AR51" i="2"/>
  <c r="BF43" i="2"/>
  <c r="AE43" i="2"/>
  <c r="AW44" i="2"/>
  <c r="AD62" i="2"/>
  <c r="AC44" i="2"/>
  <c r="BF74" i="2"/>
  <c r="AK67" i="2"/>
  <c r="BB81" i="2"/>
  <c r="AP47" i="2"/>
  <c r="BI76" i="2"/>
  <c r="BJ58" i="2"/>
  <c r="AY54" i="2"/>
  <c r="AZ79" i="2"/>
  <c r="AZ77" i="2"/>
  <c r="BH52" i="2"/>
  <c r="AS66" i="2"/>
  <c r="BH44" i="2"/>
  <c r="AD47" i="2"/>
  <c r="AQ45" i="2"/>
  <c r="BM50" i="2"/>
  <c r="AC54" i="2"/>
  <c r="AH58" i="2"/>
  <c r="AR58" i="2"/>
  <c r="BI58" i="2"/>
  <c r="AH68" i="2"/>
  <c r="AP81" i="2"/>
  <c r="AH72" i="2"/>
  <c r="AZ55" i="2"/>
  <c r="AQ63" i="2"/>
  <c r="BF62" i="2"/>
  <c r="BC67" i="2"/>
  <c r="BE67" i="2"/>
  <c r="AH46" i="2"/>
  <c r="AG74" i="2"/>
  <c r="AP67" i="2"/>
  <c r="BC44" i="2"/>
  <c r="BD62" i="2"/>
  <c r="AG59" i="2"/>
  <c r="AE52" i="2"/>
  <c r="AT78" i="2"/>
  <c r="AU53" i="2"/>
  <c r="AU61" i="2"/>
  <c r="AE46" i="2"/>
  <c r="BN47" i="2"/>
  <c r="BL46" i="2"/>
  <c r="AM51" i="2"/>
  <c r="AT71" i="2"/>
  <c r="AN60" i="2"/>
  <c r="BI53" i="2"/>
  <c r="BE60" i="2"/>
  <c r="BF56" i="2"/>
  <c r="AF67" i="2"/>
  <c r="AS45" i="2"/>
  <c r="BC50" i="2"/>
  <c r="AM60" i="2"/>
  <c r="BI52" i="2"/>
  <c r="BD56" i="2"/>
  <c r="AP43" i="2"/>
  <c r="AB73" i="2"/>
  <c r="AP70" i="2"/>
  <c r="AC64" i="2"/>
  <c r="BC43" i="2"/>
  <c r="BF77" i="2"/>
  <c r="AX49" i="2"/>
  <c r="AW50" i="2"/>
  <c r="AV54" i="2"/>
  <c r="AD80" i="2"/>
  <c r="AD50" i="2"/>
  <c r="AL51" i="2"/>
  <c r="BH55" i="2"/>
  <c r="BL70" i="2"/>
  <c r="BK49" i="2"/>
  <c r="B53" i="2"/>
  <c r="AS50" i="2"/>
  <c r="AU68" i="2"/>
  <c r="AQ64" i="2"/>
  <c r="AY78" i="2"/>
  <c r="AX48" i="2"/>
  <c r="AG78" i="2"/>
  <c r="AS81" i="2"/>
  <c r="BH80" i="2"/>
  <c r="AL59" i="2"/>
  <c r="AL49" i="2"/>
  <c r="AF51" i="2"/>
  <c r="BH64" i="2"/>
  <c r="BD74" i="2"/>
  <c r="AX67" i="2"/>
  <c r="AS54" i="2"/>
  <c r="AH51" i="2"/>
  <c r="AV59" i="2"/>
  <c r="AK52" i="2"/>
  <c r="BA58" i="2"/>
  <c r="AZ66" i="2"/>
  <c r="AO65" i="2"/>
  <c r="AE81" i="2"/>
  <c r="AQ51" i="2"/>
  <c r="AG45" i="2"/>
  <c r="AC66" i="2"/>
  <c r="BF48" i="2"/>
  <c r="BD64" i="2"/>
  <c r="AG81" i="2"/>
  <c r="BI71" i="2"/>
  <c r="BJ65" i="2"/>
  <c r="AR53" i="2"/>
  <c r="AC72" i="2"/>
  <c r="AV61" i="2"/>
  <c r="AW75" i="2"/>
  <c r="AK79" i="2"/>
  <c r="BK71" i="2"/>
  <c r="BL75" i="2"/>
  <c r="AB58" i="2"/>
  <c r="BK61" i="2"/>
  <c r="BJ80" i="2"/>
  <c r="AN43" i="2"/>
  <c r="AU52" i="2"/>
  <c r="AO45" i="2"/>
  <c r="AG65" i="2"/>
  <c r="BC77" i="2"/>
  <c r="BJ49" i="2"/>
  <c r="AV60" i="2"/>
  <c r="AX51" i="2"/>
  <c r="AC63" i="2"/>
  <c r="AW49" i="2"/>
  <c r="AL79" i="2"/>
  <c r="AI43" i="2"/>
  <c r="AI45" i="2"/>
  <c r="AH67" i="2"/>
  <c r="BM68" i="2"/>
  <c r="BL81" i="2"/>
  <c r="B78" i="2"/>
  <c r="AQ44" i="2"/>
  <c r="BF68" i="2"/>
  <c r="BJ50" i="2"/>
  <c r="BO75" i="2"/>
  <c r="AJ73" i="2"/>
  <c r="AG57" i="2"/>
  <c r="AK45" i="2"/>
  <c r="BG80" i="2"/>
  <c r="BD73" i="2"/>
  <c r="AP51" i="2"/>
  <c r="BE52" i="2"/>
  <c r="BA74" i="2"/>
  <c r="BA72" i="2"/>
  <c r="AZ72" i="2"/>
  <c r="AB75" i="2"/>
  <c r="AR55" i="2"/>
  <c r="AI52" i="2"/>
  <c r="AR46" i="2"/>
  <c r="AC61" i="2"/>
  <c r="BK65" i="2"/>
  <c r="AH43" i="2"/>
  <c r="AT56" i="2"/>
  <c r="AU58" i="2"/>
  <c r="AX47" i="2"/>
  <c r="AX74" i="2"/>
  <c r="AQ62" i="2"/>
  <c r="AM53" i="2"/>
  <c r="AR60" i="2"/>
  <c r="BC49" i="2"/>
  <c r="AU69" i="2"/>
  <c r="AF54" i="2"/>
  <c r="AH54" i="2"/>
  <c r="BF54" i="2"/>
  <c r="AZ68" i="2"/>
  <c r="BB72" i="2"/>
  <c r="AT58" i="2"/>
  <c r="AM69" i="2"/>
  <c r="AI50" i="2"/>
  <c r="AD55" i="2"/>
  <c r="AZ44" i="2"/>
  <c r="AZ51" i="2"/>
  <c r="AY71" i="2"/>
  <c r="AS70" i="2"/>
  <c r="AT79" i="2"/>
  <c r="BE64" i="2"/>
  <c r="BB79" i="2"/>
  <c r="BC56" i="2"/>
  <c r="AS57" i="2"/>
  <c r="AK43" i="2"/>
  <c r="AE57" i="2"/>
  <c r="AV62" i="2"/>
  <c r="BA63" i="2"/>
  <c r="AK68" i="2"/>
  <c r="AV56" i="2"/>
  <c r="BK60" i="2"/>
  <c r="AC73" i="2"/>
  <c r="AJ81" i="2"/>
  <c r="AO48" i="2"/>
  <c r="B56" i="2"/>
  <c r="AY65" i="2"/>
  <c r="BJ51" i="2"/>
  <c r="BI46" i="2"/>
  <c r="AP72" i="2"/>
  <c r="BM81" i="2"/>
  <c r="AM64" i="2"/>
  <c r="AM73" i="2"/>
  <c r="BO68" i="2"/>
  <c r="BJ70" i="2"/>
  <c r="AK44" i="2"/>
  <c r="AJ65" i="2"/>
  <c r="AZ60" i="2"/>
  <c r="AL66" i="2"/>
  <c r="AJ57" i="2"/>
  <c r="BF71" i="2"/>
  <c r="AX68" i="2"/>
  <c r="BC51" i="2"/>
  <c r="AD72" i="2"/>
  <c r="BA45" i="2"/>
  <c r="BD51" i="2"/>
  <c r="BG59" i="2"/>
  <c r="AZ69" i="2"/>
  <c r="AF64" i="2"/>
  <c r="AY44" i="2"/>
  <c r="AK51" i="2"/>
  <c r="AT45" i="2"/>
  <c r="BJ73" i="2"/>
  <c r="AE59" i="2"/>
  <c r="AM70" i="2"/>
  <c r="AD52" i="2"/>
  <c r="BE58" i="2"/>
  <c r="BF60" i="2"/>
  <c r="AT68" i="2"/>
  <c r="AN58" i="2"/>
  <c r="B77" i="2"/>
  <c r="AH47" i="2"/>
  <c r="AN53" i="2"/>
  <c r="AJ66" i="2"/>
  <c r="AZ59" i="2"/>
  <c r="AT65" i="2"/>
  <c r="AQ80" i="2"/>
  <c r="AR70" i="2"/>
  <c r="BG50" i="2"/>
  <c r="AE67" i="2"/>
  <c r="AS68" i="2"/>
  <c r="AF70" i="2"/>
  <c r="AM81" i="2"/>
  <c r="BN53" i="2"/>
  <c r="AL73" i="2"/>
  <c r="AC81" i="2"/>
  <c r="AP52" i="2"/>
  <c r="BJ54" i="2"/>
  <c r="BI77" i="2"/>
  <c r="AO80" i="2"/>
  <c r="AC71" i="2"/>
  <c r="BB76" i="2"/>
  <c r="BA54" i="2"/>
  <c r="BC65" i="2"/>
  <c r="BF65" i="2"/>
  <c r="BG81" i="2"/>
  <c r="AU81" i="2"/>
  <c r="AV71" i="2"/>
  <c r="BC73" i="2"/>
  <c r="BF61" i="2"/>
  <c r="BG48" i="2"/>
  <c r="AS49" i="2"/>
  <c r="AL74" i="2"/>
  <c r="AS75" i="2"/>
  <c r="AW45" i="2"/>
  <c r="AZ62" i="2"/>
  <c r="AZ65" i="2"/>
  <c r="BK48" i="2"/>
  <c r="BO57" i="2"/>
  <c r="AE49" i="2"/>
  <c r="AH57" i="2"/>
  <c r="AQ47" i="2"/>
  <c r="AT70" i="2"/>
  <c r="AX46" i="2"/>
  <c r="BI47" i="2"/>
  <c r="BF75" i="2"/>
  <c r="AL81" i="2"/>
  <c r="BJ75" i="2"/>
  <c r="AL61" i="2"/>
  <c r="AW70" i="2"/>
  <c r="AG61" i="2"/>
  <c r="AE71" i="2"/>
  <c r="AH81" i="2"/>
  <c r="AF46" i="2"/>
  <c r="BF58" i="2"/>
  <c r="BL44" i="2"/>
  <c r="AI59" i="2"/>
  <c r="AT50" i="2"/>
  <c r="BC52" i="2"/>
  <c r="BG72" i="2"/>
  <c r="BF64" i="2"/>
  <c r="AU77" i="2"/>
  <c r="AQ55" i="2"/>
  <c r="AL55" i="2"/>
  <c r="AV58" i="2"/>
  <c r="AL64" i="2"/>
  <c r="AX81" i="2"/>
  <c r="AR63" i="2"/>
  <c r="AB74" i="2"/>
  <c r="AJ46" i="2"/>
  <c r="AO71" i="2"/>
  <c r="BJ45" i="2"/>
  <c r="BK57" i="2"/>
  <c r="AO54" i="2"/>
  <c r="AO61" i="2"/>
  <c r="AB62" i="2"/>
  <c r="AH63" i="2"/>
  <c r="B69" i="2"/>
  <c r="BC70" i="2"/>
  <c r="BF67" i="2"/>
  <c r="AR64" i="2"/>
  <c r="AY77" i="2"/>
  <c r="BH58" i="2"/>
  <c r="AD68" i="2"/>
  <c r="BE80" i="2"/>
  <c r="AC69" i="2"/>
  <c r="AO69" i="2"/>
  <c r="BO59" i="2"/>
  <c r="AL48" i="2"/>
  <c r="AO44" i="2"/>
  <c r="AG55" i="2"/>
  <c r="BK74" i="2"/>
  <c r="BI81" i="2"/>
  <c r="AG80" i="2"/>
  <c r="B43" i="2"/>
  <c r="BB67" i="2"/>
  <c r="BA65" i="2"/>
  <c r="BF72" i="2"/>
  <c r="BE76" i="2"/>
  <c r="BC64" i="2"/>
  <c r="AU51" i="2"/>
  <c r="AW61" i="2"/>
  <c r="BE54" i="2"/>
  <c r="BE79" i="2"/>
  <c r="BB69" i="2"/>
  <c r="AK58" i="2"/>
  <c r="AL72" i="2"/>
  <c r="AJ58" i="2"/>
  <c r="AW52" i="2"/>
  <c r="AX78" i="2"/>
  <c r="AX54" i="2"/>
  <c r="BO51" i="2"/>
  <c r="BN60" i="2"/>
  <c r="AB50" i="2"/>
  <c r="AS71" i="2"/>
  <c r="AR75" i="2"/>
  <c r="BN64" i="2"/>
  <c r="BI73" i="2"/>
  <c r="BG73" i="2"/>
  <c r="BB75" i="2"/>
  <c r="AQ75" i="2"/>
  <c r="BG49" i="2"/>
  <c r="AR59" i="2"/>
  <c r="BK79" i="2"/>
  <c r="BJ71" i="2"/>
  <c r="AO79" i="2"/>
  <c r="AB43" i="2"/>
  <c r="AO49" i="2"/>
  <c r="AZ81" i="2"/>
  <c r="BG67" i="2"/>
  <c r="BM64" i="2"/>
  <c r="AX77" i="2"/>
  <c r="AY62" i="2"/>
  <c r="AL63" i="2"/>
  <c r="AW69" i="2"/>
  <c r="AI79" i="2"/>
  <c r="AF43" i="2"/>
  <c r="AE72" i="2"/>
  <c r="BI67" i="2"/>
  <c r="BN45" i="2"/>
  <c r="BM80" i="2"/>
  <c r="AM43" i="2"/>
  <c r="AM80" i="2"/>
  <c r="AM68" i="2"/>
  <c r="AX65" i="2"/>
  <c r="AZ73" i="2"/>
  <c r="AY79" i="2"/>
  <c r="AL44" i="2"/>
  <c r="AS44" i="2"/>
  <c r="BJ64" i="2"/>
  <c r="B55" i="2"/>
  <c r="AD70" i="2"/>
  <c r="AF44" i="2"/>
  <c r="BI44" i="2"/>
  <c r="BG57" i="2"/>
  <c r="BE77" i="2"/>
  <c r="AQ50" i="2"/>
  <c r="AJ44" i="2"/>
  <c r="AX76" i="2"/>
  <c r="AH44" i="2"/>
  <c r="AU67" i="2"/>
  <c r="AQ67" i="2"/>
  <c r="BA66" i="2"/>
  <c r="AG51" i="2"/>
  <c r="AJ78" i="2"/>
  <c r="AG48" i="2"/>
  <c r="AH65" i="2"/>
  <c r="AU66" i="2"/>
  <c r="BG68" i="2"/>
  <c r="AR56" i="2"/>
  <c r="BD77" i="2"/>
  <c r="BB65" i="2"/>
  <c r="BI54" i="2"/>
  <c r="AC49" i="2"/>
  <c r="BO54" i="2"/>
  <c r="BK62" i="2"/>
  <c r="BH65" i="2"/>
  <c r="B67" i="2"/>
  <c r="BF51" i="2"/>
  <c r="AX56" i="2"/>
  <c r="AR62" i="2"/>
  <c r="AQ61" i="2"/>
  <c r="AO46" i="2"/>
  <c r="AC43" i="2"/>
  <c r="BH50" i="2"/>
  <c r="BK59" i="2"/>
  <c r="AU60" i="2"/>
  <c r="AV45" i="2"/>
  <c r="BC53" i="2"/>
  <c r="BE61" i="2"/>
  <c r="BH74" i="2"/>
  <c r="AV80" i="2"/>
  <c r="AO70" i="2"/>
  <c r="AR73" i="2"/>
  <c r="AB46" i="2"/>
  <c r="AO64" i="2"/>
  <c r="B63" i="2"/>
  <c r="AW73" i="2"/>
  <c r="AK75" i="2"/>
  <c r="AK47" i="2"/>
  <c r="AK66" i="2"/>
  <c r="AZ54" i="2"/>
  <c r="AY55" i="2"/>
  <c r="AK72" i="2"/>
  <c r="AR69" i="2"/>
  <c r="BK80" i="2"/>
  <c r="AM57" i="2"/>
  <c r="AI71" i="2"/>
  <c r="AJ49" i="2"/>
  <c r="BB52" i="2"/>
  <c r="BE63" i="2"/>
  <c r="BA77" i="2"/>
  <c r="AC57" i="2"/>
  <c r="AK71" i="2"/>
  <c r="AU62" i="2"/>
  <c r="B76" i="2"/>
  <c r="BH45" i="2"/>
  <c r="BA57" i="2"/>
  <c r="AZ61" i="2"/>
  <c r="AN78" i="2"/>
  <c r="AK54" i="2"/>
  <c r="BB55" i="2"/>
  <c r="BE55" i="2"/>
  <c r="AI67" i="2"/>
  <c r="AF61" i="2"/>
  <c r="AL54" i="2"/>
  <c r="AB61" i="2"/>
  <c r="AK61" i="2"/>
  <c r="AC46" i="2"/>
  <c r="AF47" i="2"/>
  <c r="BM53" i="2"/>
  <c r="BL78" i="2"/>
  <c r="AM72" i="2"/>
  <c r="AT81" i="2"/>
  <c r="AT61" i="2"/>
  <c r="BB51" i="2"/>
  <c r="BC47" i="2"/>
  <c r="BE57" i="2"/>
  <c r="BF81" i="2"/>
  <c r="AS72" i="2"/>
  <c r="BB68" i="2"/>
  <c r="AP55" i="2"/>
  <c r="BO74" i="2"/>
  <c r="BN68" i="2"/>
  <c r="AK46" i="2"/>
  <c r="AO57" i="2"/>
  <c r="AF50" i="2"/>
  <c r="BC72" i="2"/>
  <c r="BI49" i="2"/>
  <c r="B79" i="2"/>
  <c r="BD54" i="2"/>
  <c r="BB43" i="2"/>
  <c r="BA62" i="2"/>
  <c r="AZ57" i="2"/>
  <c r="AI44" i="2"/>
  <c r="AQ53" i="2"/>
  <c r="B75" i="2"/>
  <c r="AF81" i="2"/>
  <c r="AW62" i="2"/>
  <c r="AV48" i="2"/>
  <c r="AG71" i="2"/>
  <c r="AP57" i="2"/>
  <c r="AS47" i="2"/>
  <c r="AR52" i="2"/>
  <c r="BC46" i="2"/>
  <c r="BD59" i="2"/>
  <c r="BI65" i="2"/>
  <c r="AB49" i="2"/>
  <c r="BO78" i="2"/>
  <c r="BJ52" i="2"/>
  <c r="AD49" i="2"/>
  <c r="AZ47" i="2"/>
  <c r="AZ58" i="2"/>
  <c r="AT66" i="2"/>
  <c r="B45" i="2"/>
  <c r="AV47" i="2"/>
  <c r="AW58" i="2"/>
  <c r="BH46" i="2"/>
  <c r="BE68" i="2"/>
  <c r="BB62" i="2"/>
  <c r="AT72" i="2"/>
  <c r="AM78" i="2"/>
  <c r="AN59" i="2"/>
  <c r="AC59" i="2"/>
  <c r="B61" i="2"/>
  <c r="AD43" i="2"/>
  <c r="BN59" i="2"/>
  <c r="BM75" i="2"/>
  <c r="AG77" i="2"/>
  <c r="AT77" i="2"/>
  <c r="AH59" i="2"/>
  <c r="BK69" i="2"/>
  <c r="BF46" i="2"/>
  <c r="BG64" i="2"/>
  <c r="AE68" i="2"/>
  <c r="AM58" i="2"/>
  <c r="BE50" i="2"/>
  <c r="AK59" i="2"/>
  <c r="BI80" i="2"/>
  <c r="BG54" i="2"/>
  <c r="AP46" i="2"/>
  <c r="B46" i="2"/>
  <c r="AN55" i="2"/>
  <c r="AD64" i="2"/>
  <c r="BD52" i="2"/>
  <c r="BD58" i="2"/>
  <c r="AW43" i="2"/>
  <c r="AR61" i="2"/>
  <c r="B48" i="2"/>
  <c r="AE55" i="2"/>
  <c r="AH79" i="2"/>
  <c r="AO47" i="2"/>
  <c r="BH61" i="2"/>
  <c r="BK72" i="2"/>
  <c r="BJ79" i="2"/>
  <c r="AJ80" i="2"/>
  <c r="AV49" i="2"/>
  <c r="AC65" i="2"/>
  <c r="BN80" i="2"/>
  <c r="BM60" i="2"/>
  <c r="AE77" i="2"/>
  <c r="AT48" i="2"/>
  <c r="B52" i="2"/>
  <c r="AL68" i="2"/>
  <c r="BC66" i="2"/>
  <c r="AO81" i="2"/>
  <c r="BC69" i="2"/>
  <c r="BA52" i="2"/>
  <c r="AU65" i="2"/>
  <c r="AQ65" i="2"/>
  <c r="B49" i="2"/>
  <c r="AR43" i="2"/>
  <c r="AN76" i="2"/>
  <c r="AP58" i="2"/>
  <c r="BL61" i="2"/>
  <c r="BJ76" i="2"/>
  <c r="AI46" i="2"/>
  <c r="AQ60" i="2"/>
  <c r="AU78" i="2"/>
  <c r="BE51" i="2"/>
  <c r="BH47" i="2"/>
  <c r="AY66" i="2"/>
  <c r="AD46" i="2"/>
  <c r="AP69" i="2"/>
  <c r="BN73" i="2"/>
  <c r="AK74" i="2"/>
  <c r="AN46" i="2"/>
  <c r="AD54" i="2"/>
  <c r="BK45" i="2"/>
  <c r="BJ56" i="2"/>
  <c r="AE54" i="2"/>
  <c r="AS61" i="2"/>
  <c r="BL63" i="2"/>
  <c r="BB64" i="2"/>
  <c r="BH56" i="2"/>
  <c r="BG76" i="2"/>
  <c r="BD70" i="2"/>
  <c r="AJ60" i="2"/>
  <c r="AX58" i="2"/>
  <c r="AL78" i="2"/>
  <c r="AX72" i="2"/>
  <c r="AU64" i="2"/>
  <c r="AZ76" i="2"/>
  <c r="AT76" i="2"/>
  <c r="BB60" i="2"/>
  <c r="BH53" i="2"/>
  <c r="BC48" i="2"/>
  <c r="AM75" i="2"/>
  <c r="BL74" i="2"/>
  <c r="BM71" i="2"/>
  <c r="AN56" i="2"/>
  <c r="AQ57" i="2"/>
  <c r="BF80" i="2"/>
  <c r="BB71" i="2"/>
  <c r="BB78" i="2"/>
  <c r="BK44" i="2"/>
  <c r="BO61" i="2"/>
  <c r="AJ72" i="2"/>
  <c r="AQ49" i="2"/>
  <c r="AH75" i="2"/>
  <c r="BG51" i="2"/>
  <c r="BB70" i="2"/>
  <c r="AO51" i="2"/>
  <c r="BG44" i="2"/>
  <c r="BE65" i="2"/>
  <c r="BA50" i="2"/>
  <c r="AZ78" i="2"/>
  <c r="AH48" i="2"/>
  <c r="AR71" i="2"/>
  <c r="B50" i="2"/>
  <c r="AK56" i="2"/>
  <c r="AS62" i="2"/>
  <c r="BL73" i="2"/>
  <c r="AF73" i="2"/>
  <c r="AS46" i="2"/>
  <c r="AT46" i="2"/>
  <c r="AY75" i="2"/>
  <c r="AX44" i="2"/>
  <c r="AW60" i="2"/>
  <c r="AN74" i="2"/>
  <c r="AD60" i="2"/>
  <c r="BE56" i="2"/>
  <c r="BN72" i="2"/>
  <c r="AI57" i="2"/>
  <c r="AR45" i="2"/>
  <c r="BB50" i="2"/>
  <c r="BC54" i="2"/>
  <c r="BF66" i="2"/>
  <c r="AU48" i="2"/>
  <c r="AJ79" i="2"/>
  <c r="AI80" i="2"/>
  <c r="AT75" i="2"/>
  <c r="AS65" i="2"/>
  <c r="AY61" i="2"/>
  <c r="AX61" i="2"/>
  <c r="AV46" i="2"/>
  <c r="B71" i="2"/>
  <c r="BB53" i="2"/>
  <c r="BA53" i="2"/>
  <c r="AF65" i="2"/>
  <c r="AI48" i="2"/>
  <c r="AE56" i="2"/>
  <c r="BL66" i="2"/>
  <c r="AK78" i="2"/>
  <c r="AQ72" i="2"/>
  <c r="AR47" i="2"/>
  <c r="BJ67" i="2"/>
  <c r="BI63" i="2"/>
  <c r="AP50" i="2"/>
  <c r="B72" i="2"/>
  <c r="BA55" i="2"/>
  <c r="AD65" i="2"/>
  <c r="AN67" i="2"/>
  <c r="BG45" i="2"/>
  <c r="BH60" i="2"/>
  <c r="B70" i="2"/>
  <c r="AB44" i="2"/>
  <c r="AB57" i="2"/>
  <c r="BL47" i="2"/>
  <c r="BK78" i="2"/>
  <c r="AD53" i="2"/>
  <c r="AS60" i="2"/>
  <c r="AJ53" i="2"/>
  <c r="BA46" i="2"/>
  <c r="BH51" i="2"/>
  <c r="AV79" i="2"/>
  <c r="BA59" i="2"/>
  <c r="AZ46" i="2"/>
  <c r="AY57" i="2"/>
  <c r="AV63" i="2"/>
  <c r="AC52" i="2"/>
  <c r="AU72" i="2"/>
  <c r="AD58" i="2"/>
  <c r="BL52" i="2"/>
  <c r="BO64" i="2"/>
  <c r="BN67" i="2"/>
  <c r="AK50" i="2"/>
  <c r="AC51" i="2"/>
  <c r="BJ53" i="2"/>
  <c r="AG73" i="2"/>
  <c r="BK75" i="2"/>
  <c r="AD61" i="2"/>
  <c r="AD74" i="2"/>
  <c r="AO66" i="2"/>
  <c r="BA56" i="2"/>
  <c r="BC80" i="2"/>
  <c r="AC56" i="2"/>
  <c r="AC68" i="2"/>
  <c r="BC76" i="2"/>
  <c r="AJ63" i="2"/>
  <c r="BM58" i="2"/>
  <c r="BN54" i="2"/>
  <c r="BM59" i="2"/>
  <c r="BN52" i="2"/>
  <c r="AF60" i="2"/>
  <c r="BM55" i="2"/>
  <c r="BI50" i="2"/>
  <c r="AP75" i="2"/>
  <c r="BE73" i="2"/>
  <c r="BN48" i="2"/>
  <c r="BN79" i="2"/>
  <c r="BN62" i="2"/>
  <c r="BM73" i="2"/>
  <c r="BM77" i="2"/>
  <c r="BO56" i="2"/>
  <c r="BM63" i="2"/>
  <c r="BO45" i="2"/>
  <c r="AU47" i="2"/>
  <c r="AG76" i="2"/>
  <c r="BM57" i="2"/>
  <c r="BO49" i="2"/>
  <c r="BO58" i="2"/>
  <c r="BN71" i="2"/>
  <c r="BN58" i="2"/>
  <c r="BO47" i="2"/>
  <c r="AL71" i="2"/>
  <c r="AX50" i="2"/>
  <c r="BM43" i="2"/>
  <c r="BO81" i="2"/>
  <c r="BN51" i="2"/>
  <c r="BO72" i="2"/>
  <c r="BO69" i="2"/>
  <c r="BN70" i="2"/>
  <c r="BM72" i="2"/>
  <c r="AV76" i="2"/>
  <c r="AM44" i="2"/>
  <c r="BO60" i="2"/>
  <c r="BM69" i="2"/>
  <c r="BM62" i="2"/>
  <c r="BK30" i="2"/>
  <c r="BH31" i="2"/>
  <c r="AZ30" i="2"/>
  <c r="BF100" i="2"/>
  <c r="AT39" i="2"/>
  <c r="BD31" i="2"/>
  <c r="AR41" i="2"/>
  <c r="BH33" i="2"/>
  <c r="BC41" i="2"/>
  <c r="AO103" i="2"/>
  <c r="BB38" i="2"/>
  <c r="AW35" i="2"/>
  <c r="AS33" i="2"/>
  <c r="AQ40" i="2"/>
  <c r="BK38" i="2"/>
  <c r="BJ37" i="2"/>
  <c r="BO30" i="2"/>
  <c r="BN103" i="2"/>
  <c r="AM82" i="2"/>
  <c r="BD41" i="2"/>
  <c r="AN102" i="2"/>
  <c r="AN38" i="2"/>
  <c r="BN35" i="2"/>
  <c r="AP101" i="2"/>
  <c r="BC39" i="2"/>
  <c r="AB102" i="2"/>
  <c r="AB29" i="2"/>
  <c r="BG34" i="2"/>
  <c r="AL36" i="2"/>
  <c r="AL35" i="2"/>
  <c r="BA41" i="2"/>
  <c r="AM29" i="2"/>
  <c r="BD101" i="2"/>
  <c r="BJ41" i="2"/>
  <c r="AO101" i="2"/>
  <c r="BD102" i="2"/>
  <c r="B101" i="2"/>
  <c r="AQ33" i="2"/>
  <c r="BM32" i="2"/>
  <c r="AB100" i="2"/>
  <c r="AP42" i="2"/>
  <c r="AF38" i="2"/>
  <c r="AC30" i="2"/>
  <c r="AT103" i="2"/>
  <c r="AF32" i="2"/>
  <c r="AV100" i="2"/>
  <c r="BL42" i="2"/>
  <c r="AC34" i="2"/>
  <c r="AW38" i="2"/>
  <c r="AG42" i="2"/>
  <c r="AI37" i="2"/>
  <c r="AX34" i="2"/>
  <c r="AC35" i="2"/>
  <c r="BG82" i="2"/>
  <c r="BI102" i="2"/>
  <c r="BI41" i="2"/>
  <c r="BE42" i="2"/>
  <c r="BA103" i="2"/>
  <c r="BC40" i="2"/>
  <c r="AX83" i="2"/>
  <c r="AK41" i="2"/>
  <c r="AL101" i="2"/>
  <c r="BD34" i="2"/>
  <c r="AL33" i="2"/>
  <c r="BE103" i="2"/>
  <c r="BM41" i="2"/>
  <c r="AO31" i="2"/>
  <c r="BG37" i="2"/>
  <c r="AQ38" i="2"/>
  <c r="AQ100" i="2"/>
  <c r="BL30" i="2"/>
  <c r="AK39" i="2"/>
  <c r="BD30" i="2"/>
  <c r="BN82" i="2"/>
  <c r="AL34" i="2"/>
  <c r="BH83" i="2"/>
  <c r="AO35" i="2"/>
  <c r="AN37" i="2"/>
  <c r="BM29" i="2"/>
  <c r="AP35" i="2"/>
  <c r="BJ40" i="2"/>
  <c r="BI83" i="2"/>
  <c r="AS83" i="2"/>
  <c r="BI103" i="2"/>
  <c r="AD29" i="2"/>
  <c r="AR39" i="2"/>
  <c r="BJ34" i="2"/>
  <c r="B31" i="2"/>
  <c r="AT102" i="2"/>
  <c r="AD33" i="2"/>
  <c r="AG33" i="2"/>
  <c r="AV103" i="2"/>
  <c r="AI31" i="2"/>
  <c r="AY41" i="2"/>
  <c r="BM100" i="2"/>
  <c r="AE41" i="2"/>
  <c r="BB35" i="2"/>
  <c r="BJ38" i="2"/>
  <c r="BI36" i="2"/>
  <c r="BE30" i="2"/>
  <c r="BD37" i="2"/>
  <c r="BD40" i="2"/>
  <c r="BM42" i="2"/>
  <c r="AE34" i="2"/>
  <c r="AW34" i="2"/>
  <c r="AE33" i="2"/>
  <c r="AE42" i="2"/>
  <c r="AW83" i="2"/>
  <c r="AC82" i="2"/>
  <c r="AZ36" i="2"/>
  <c r="BN34" i="2"/>
  <c r="AL83" i="2"/>
  <c r="BC31" i="2"/>
  <c r="AF34" i="2"/>
  <c r="AB41" i="2"/>
  <c r="AV31" i="2"/>
  <c r="AC41" i="2"/>
  <c r="AY34" i="2"/>
  <c r="BK35" i="2"/>
  <c r="AE35" i="2"/>
  <c r="BA34" i="2"/>
  <c r="AK38" i="2"/>
  <c r="AC83" i="2"/>
  <c r="AY103" i="2"/>
  <c r="AL100" i="2"/>
  <c r="BE35" i="2"/>
  <c r="BN30" i="2"/>
  <c r="AM31" i="2"/>
  <c r="BA102" i="2"/>
  <c r="AO82" i="2"/>
  <c r="AO37" i="2"/>
  <c r="BL100" i="2"/>
  <c r="AR31" i="2"/>
  <c r="BD35" i="2"/>
  <c r="AE102" i="2"/>
  <c r="B37" i="2"/>
  <c r="AQ35" i="2"/>
  <c r="B38" i="2"/>
  <c r="AX82" i="2"/>
  <c r="AQ103" i="2"/>
  <c r="BF82" i="2"/>
  <c r="BK40" i="2"/>
  <c r="BN32" i="2"/>
  <c r="BI32" i="2"/>
  <c r="BE31" i="2"/>
  <c r="AD102" i="2"/>
  <c r="AR29" i="2"/>
  <c r="BL40" i="2"/>
  <c r="AC29" i="2"/>
  <c r="AP103" i="2"/>
  <c r="AG102" i="2"/>
  <c r="AE31" i="2"/>
  <c r="AV32" i="2"/>
  <c r="AI101" i="2"/>
  <c r="AU101" i="2"/>
  <c r="BN38" i="2"/>
  <c r="AC102" i="2"/>
  <c r="BG103" i="2"/>
  <c r="AE100" i="2"/>
  <c r="B29" i="2"/>
  <c r="AT32" i="2"/>
  <c r="AE30" i="2"/>
  <c r="AT100" i="2"/>
  <c r="BO37" i="2"/>
  <c r="B33" i="2"/>
  <c r="AX31" i="2"/>
  <c r="AB31" i="2"/>
  <c r="AS42" i="2"/>
  <c r="BC103" i="2"/>
  <c r="AG37" i="2"/>
  <c r="AT40" i="2"/>
  <c r="AG40" i="2"/>
  <c r="AD41" i="2"/>
  <c r="AU32" i="2"/>
  <c r="AL31" i="2"/>
  <c r="BG39" i="2"/>
  <c r="BH39" i="2"/>
  <c r="BO38" i="2"/>
  <c r="AW100" i="2"/>
  <c r="AH38" i="2"/>
  <c r="BK41" i="2"/>
  <c r="AS35" i="2"/>
  <c r="B30" i="2"/>
  <c r="BI40" i="2"/>
  <c r="BM39" i="2"/>
  <c r="BG102" i="2"/>
  <c r="BD36" i="2"/>
  <c r="AZ34" i="2"/>
  <c r="AY83" i="2"/>
  <c r="AT41" i="2"/>
  <c r="B83" i="2"/>
  <c r="AD36" i="2"/>
  <c r="AX40" i="2"/>
  <c r="AF36" i="2"/>
  <c r="BH29" i="2"/>
  <c r="BO102" i="2"/>
  <c r="AK31" i="2"/>
  <c r="BA33" i="2"/>
  <c r="AM36" i="2"/>
  <c r="AO30" i="2"/>
  <c r="BG29" i="2"/>
  <c r="AJ31" i="2"/>
  <c r="AX42" i="2"/>
  <c r="BK42" i="2"/>
  <c r="AJ35" i="2"/>
  <c r="AY35" i="2"/>
  <c r="AK35" i="2"/>
  <c r="AK101" i="2"/>
  <c r="BD29" i="2"/>
  <c r="AN30" i="2"/>
  <c r="BF42" i="2"/>
  <c r="BM31" i="2"/>
  <c r="AN83" i="2"/>
  <c r="BB40" i="2"/>
  <c r="AP32" i="2"/>
  <c r="AO40" i="2"/>
  <c r="BO32" i="2"/>
  <c r="AQ36" i="2"/>
  <c r="BI34" i="2"/>
  <c r="AC38" i="2"/>
  <c r="AB39" i="2"/>
  <c r="AT35" i="2"/>
  <c r="AG30" i="2"/>
  <c r="AV30" i="2"/>
  <c r="BB101" i="2"/>
  <c r="AH29" i="2"/>
  <c r="BH82" i="2"/>
  <c r="AZ83" i="2"/>
  <c r="AX30" i="2"/>
  <c r="AT30" i="2"/>
  <c r="AR40" i="2"/>
  <c r="BI39" i="2"/>
  <c r="BM83" i="2"/>
  <c r="B34" i="2"/>
  <c r="AX38" i="2"/>
  <c r="BK100" i="2"/>
  <c r="AG35" i="2"/>
  <c r="AZ41" i="2"/>
  <c r="AI82" i="2"/>
  <c r="AK83" i="2"/>
  <c r="BC102" i="2"/>
  <c r="AM103" i="2"/>
  <c r="BB29" i="2"/>
  <c r="BN41" i="2"/>
  <c r="AB34" i="2"/>
  <c r="AX39" i="2"/>
  <c r="AI29" i="2"/>
  <c r="AJ34" i="2"/>
  <c r="AX37" i="2"/>
  <c r="AH35" i="2"/>
  <c r="BE33" i="2"/>
  <c r="BM30" i="2"/>
  <c r="AL102" i="2"/>
  <c r="BF40" i="2"/>
  <c r="AM42" i="2"/>
  <c r="AN32" i="2"/>
  <c r="BH101" i="2"/>
  <c r="AM100" i="2"/>
  <c r="BI30" i="2"/>
  <c r="BL101" i="2"/>
  <c r="AQ42" i="2"/>
  <c r="BB39" i="2"/>
  <c r="AE29" i="2"/>
  <c r="AS38" i="2"/>
  <c r="BK29" i="2"/>
  <c r="AE101" i="2"/>
  <c r="AU34" i="2"/>
  <c r="AF39" i="2"/>
  <c r="B103" i="2"/>
  <c r="BC42" i="2"/>
  <c r="AZ100" i="2"/>
  <c r="AX29" i="2"/>
  <c r="AS37" i="2"/>
  <c r="AR35" i="2"/>
  <c r="BF83" i="2"/>
  <c r="AF102" i="2"/>
  <c r="B100" i="2"/>
  <c r="AR83" i="2"/>
  <c r="AF30" i="2"/>
  <c r="AS31" i="2"/>
  <c r="BN42" i="2"/>
  <c r="B40" i="2"/>
  <c r="AS34" i="2"/>
  <c r="AF41" i="2"/>
  <c r="AH33" i="2"/>
  <c r="AX33" i="2"/>
  <c r="AB103" i="2"/>
  <c r="AT34" i="2"/>
  <c r="BJ39" i="2"/>
  <c r="AC31" i="2"/>
  <c r="AS29" i="2"/>
  <c r="B32" i="2"/>
  <c r="AG101" i="2"/>
  <c r="AW41" i="2"/>
  <c r="AF42" i="2"/>
  <c r="AX101" i="2"/>
  <c r="BK39" i="2"/>
  <c r="AJ41" i="2"/>
  <c r="AY38" i="2"/>
  <c r="AB83" i="2"/>
  <c r="AJ101" i="2"/>
  <c r="AY33" i="2"/>
  <c r="AK42" i="2"/>
  <c r="AZ102" i="2"/>
  <c r="BN40" i="2"/>
  <c r="AM30" i="2"/>
  <c r="AZ39" i="2"/>
  <c r="AM40" i="2"/>
  <c r="AM83" i="2"/>
  <c r="BB34" i="2"/>
  <c r="AP38" i="2"/>
  <c r="BO83" i="2"/>
  <c r="BH32" i="2"/>
  <c r="BC100" i="2"/>
  <c r="AY36" i="2"/>
  <c r="AW33" i="2"/>
  <c r="AT31" i="2"/>
  <c r="AM35" i="2"/>
  <c r="BH34" i="2"/>
  <c r="BK34" i="2"/>
  <c r="AN82" i="2"/>
  <c r="BC83" i="2"/>
  <c r="AR30" i="2"/>
  <c r="AP102" i="2"/>
  <c r="BN36" i="2"/>
  <c r="AF101" i="2"/>
  <c r="AS103" i="2"/>
  <c r="BO103" i="2"/>
  <c r="AM101" i="2"/>
  <c r="BG30" i="2"/>
  <c r="AN29" i="2"/>
  <c r="AO32" i="2"/>
  <c r="BO29" i="2"/>
  <c r="AR100" i="2"/>
  <c r="BD100" i="2"/>
  <c r="AD37" i="2"/>
  <c r="AC100" i="2"/>
  <c r="AR102" i="2"/>
  <c r="AP40" i="2"/>
  <c r="BF35" i="2"/>
  <c r="BH42" i="2"/>
  <c r="AP33" i="2"/>
  <c r="BC35" i="2"/>
  <c r="AB37" i="2"/>
  <c r="BA100" i="2"/>
  <c r="BF101" i="2"/>
  <c r="AV41" i="2"/>
  <c r="BH100" i="2"/>
  <c r="AG82" i="2"/>
  <c r="AV29" i="2"/>
  <c r="AH42" i="2"/>
  <c r="AH34" i="2"/>
  <c r="AU37" i="2"/>
  <c r="AX102" i="2"/>
  <c r="AV40" i="2"/>
  <c r="AU30" i="2"/>
  <c r="BF36" i="2"/>
  <c r="BK33" i="2"/>
  <c r="BL29" i="2"/>
  <c r="BH103" i="2"/>
  <c r="AH30" i="2"/>
  <c r="AW36" i="2"/>
  <c r="BO39" i="2"/>
  <c r="AH39" i="2"/>
  <c r="AU36" i="2"/>
  <c r="AB33" i="2"/>
  <c r="AH41" i="2"/>
  <c r="AW31" i="2"/>
  <c r="AC36" i="2"/>
  <c r="AZ33" i="2"/>
  <c r="BH36" i="2"/>
  <c r="AD40" i="2"/>
  <c r="AU29" i="2"/>
  <c r="AH31" i="2"/>
  <c r="AH32" i="2"/>
  <c r="AV34" i="2"/>
  <c r="AG34" i="2"/>
  <c r="AX36" i="2"/>
  <c r="BJ31" i="2"/>
  <c r="AE36" i="2"/>
  <c r="AY82" i="2"/>
  <c r="AJ82" i="2"/>
  <c r="AB82" i="2"/>
  <c r="AY42" i="2"/>
  <c r="AK33" i="2"/>
  <c r="BB82" i="2"/>
  <c r="BN39" i="2"/>
  <c r="AL37" i="2"/>
  <c r="BF31" i="2"/>
  <c r="AO100" i="2"/>
  <c r="AO39" i="2"/>
  <c r="BL83" i="2"/>
  <c r="AP29" i="2"/>
  <c r="BB100" i="2"/>
  <c r="BI33" i="2"/>
  <c r="AP37" i="2"/>
  <c r="BE29" i="2"/>
  <c r="BO33" i="2"/>
  <c r="BN101" i="2"/>
  <c r="BF41" i="2"/>
  <c r="BG31" i="2"/>
  <c r="BA83" i="2"/>
  <c r="BL37" i="2"/>
  <c r="B39" i="2"/>
  <c r="AT33" i="2"/>
  <c r="AD38" i="2"/>
  <c r="AC39" i="2"/>
  <c r="AU42" i="2"/>
  <c r="AI30" i="2"/>
  <c r="AU102" i="2"/>
  <c r="BJ82" i="2"/>
  <c r="AJ33" i="2"/>
  <c r="AX100" i="2"/>
  <c r="AG39" i="2"/>
  <c r="AG38" i="2"/>
  <c r="AT37" i="2"/>
  <c r="AE38" i="2"/>
  <c r="AT38" i="2"/>
  <c r="BM37" i="2"/>
  <c r="AB42" i="2"/>
  <c r="AW82" i="2"/>
  <c r="AJ102" i="2"/>
  <c r="AB36" i="2"/>
  <c r="AY31" i="2"/>
  <c r="AJ30" i="2"/>
  <c r="BH35" i="2"/>
  <c r="BB30" i="2"/>
  <c r="AH83" i="2"/>
  <c r="AY30" i="2"/>
  <c r="AL38" i="2"/>
  <c r="AL39" i="2"/>
  <c r="BA36" i="2"/>
  <c r="AN36" i="2"/>
  <c r="BG41" i="2"/>
  <c r="BL41" i="2"/>
  <c r="AP31" i="2"/>
  <c r="BD33" i="2"/>
  <c r="AN42" i="2"/>
  <c r="AT82" i="2"/>
  <c r="BF34" i="2"/>
  <c r="BL36" i="2"/>
  <c r="BN33" i="2"/>
  <c r="BF103" i="2"/>
  <c r="BC38" i="2"/>
  <c r="BA32" i="2"/>
  <c r="AN34" i="2"/>
  <c r="AP36" i="2"/>
  <c r="BO82" i="2"/>
  <c r="AO102" i="2"/>
  <c r="BI29" i="2"/>
  <c r="AB101" i="2"/>
  <c r="B102" i="2"/>
  <c r="BG42" i="2"/>
  <c r="AF103" i="2"/>
  <c r="AS82" i="2"/>
  <c r="AN39" i="2"/>
  <c r="BE39" i="2"/>
  <c r="BK83" i="2"/>
  <c r="AP83" i="2"/>
  <c r="BG100" i="2"/>
  <c r="AR34" i="2"/>
  <c r="AQ102" i="2"/>
  <c r="BL34" i="2"/>
  <c r="AF37" i="2"/>
  <c r="AT42" i="2"/>
  <c r="AB30" i="2"/>
  <c r="AF100" i="2"/>
  <c r="AQ39" i="2"/>
  <c r="AH100" i="2"/>
  <c r="AU38" i="2"/>
  <c r="BL102" i="2"/>
  <c r="AI42" i="2"/>
  <c r="AV36" i="2"/>
  <c r="AJ36" i="2"/>
  <c r="AB35" i="2"/>
  <c r="AZ37" i="2"/>
  <c r="AG83" i="2"/>
  <c r="BG40" i="2"/>
  <c r="BI37" i="2"/>
  <c r="AK37" i="2"/>
  <c r="AQ30" i="2"/>
  <c r="BE102" i="2"/>
  <c r="BF33" i="2"/>
  <c r="BM33" i="2"/>
  <c r="BM40" i="2"/>
  <c r="BC33" i="2"/>
  <c r="BK31" i="2"/>
  <c r="B82" i="2"/>
  <c r="AX41" i="2"/>
  <c r="AE83" i="2"/>
  <c r="AI35" i="2"/>
  <c r="BE36" i="2"/>
  <c r="AL32" i="2"/>
  <c r="BD32" i="2"/>
  <c r="BM82" i="2"/>
  <c r="AO38" i="2"/>
  <c r="BI100" i="2"/>
  <c r="AJ32" i="2"/>
  <c r="AJ39" i="2"/>
  <c r="AZ38" i="2"/>
  <c r="AJ42" i="2"/>
  <c r="AZ42" i="2"/>
  <c r="BN102" i="2"/>
  <c r="AL29" i="2"/>
  <c r="AZ82" i="2"/>
  <c r="AO33" i="2"/>
  <c r="AN41" i="2"/>
  <c r="BE41" i="2"/>
  <c r="AK29" i="2"/>
  <c r="BG36" i="2"/>
  <c r="AF83" i="2"/>
  <c r="AL103" i="2"/>
  <c r="BD38" i="2"/>
  <c r="BA101" i="2"/>
  <c r="BG83" i="2"/>
  <c r="BI38" i="2"/>
  <c r="AN101" i="2"/>
  <c r="AL82" i="2"/>
  <c r="BD83" i="2"/>
  <c r="AD83" i="2"/>
  <c r="BJ35" i="2"/>
  <c r="BM102" i="2"/>
  <c r="BD103" i="2"/>
  <c r="BH40" i="2"/>
  <c r="AZ31" i="2"/>
  <c r="BA37" i="2"/>
  <c r="AU31" i="2"/>
  <c r="BO40" i="2"/>
  <c r="AQ82" i="2"/>
  <c r="BB42" i="2"/>
  <c r="BF37" i="2"/>
  <c r="AC101" i="2"/>
  <c r="BI42" i="2"/>
  <c r="AE39" i="2"/>
  <c r="AT36" i="2"/>
  <c r="BO36" i="2"/>
  <c r="AD39" i="2"/>
  <c r="AV35" i="2"/>
  <c r="BJ103" i="2"/>
  <c r="AP34" i="2"/>
  <c r="BG38" i="2"/>
  <c r="AQ83" i="2"/>
  <c r="AS102" i="2"/>
  <c r="BK103" i="2"/>
  <c r="AD31" i="2"/>
  <c r="AR42" i="2"/>
  <c r="AF40" i="2"/>
  <c r="AH37" i="2"/>
  <c r="AV83" i="2"/>
  <c r="AC42" i="2"/>
  <c r="AX103" i="2"/>
  <c r="BM35" i="2"/>
  <c r="AD34" i="2"/>
  <c r="AW101" i="2"/>
  <c r="AJ37" i="2"/>
  <c r="AH82" i="2"/>
  <c r="AZ32" i="2"/>
  <c r="AK36" i="2"/>
  <c r="BC37" i="2"/>
  <c r="BO34" i="2"/>
  <c r="AL42" i="2"/>
  <c r="BB102" i="2"/>
  <c r="AM102" i="2"/>
  <c r="AM33" i="2"/>
  <c r="BA38" i="2"/>
  <c r="AW40" i="2"/>
  <c r="AU82" i="2"/>
  <c r="BI35" i="2"/>
  <c r="BC34" i="2"/>
  <c r="BK102" i="2"/>
  <c r="BK36" i="2"/>
  <c r="AQ41" i="2"/>
  <c r="BH30" i="2"/>
  <c r="AR36" i="2"/>
  <c r="AR103" i="2"/>
  <c r="BM36" i="2"/>
  <c r="AB38" i="2"/>
  <c r="AS40" i="2"/>
  <c r="AB32" i="2"/>
  <c r="AC32" i="2"/>
  <c r="AU41" i="2"/>
  <c r="AO36" i="2"/>
  <c r="AN33" i="2"/>
  <c r="BO101" i="2"/>
  <c r="AQ34" i="2"/>
  <c r="BB83" i="2"/>
  <c r="AD100" i="2"/>
  <c r="AD103" i="2"/>
  <c r="AS32" i="2"/>
  <c r="AD82" i="2"/>
  <c r="AU39" i="2"/>
  <c r="BN83" i="2"/>
  <c r="AI38" i="2"/>
  <c r="AV39" i="2"/>
  <c r="AB40" i="2"/>
  <c r="AI32" i="2"/>
  <c r="AV42" i="2"/>
  <c r="AF33" i="2"/>
  <c r="AX32" i="2"/>
  <c r="BJ100" i="2"/>
  <c r="B36" i="2"/>
  <c r="BH102" i="2"/>
  <c r="AK30" i="2"/>
  <c r="AK34" i="2"/>
  <c r="BC82" i="2"/>
  <c r="AJ100" i="2"/>
  <c r="BD39" i="2"/>
  <c r="AY40" i="2"/>
  <c r="BC101" i="2"/>
  <c r="AV102" i="2"/>
  <c r="AW29" i="2"/>
  <c r="BJ29" i="2"/>
  <c r="AK103" i="2"/>
  <c r="BE83" i="2"/>
  <c r="BN100" i="2"/>
  <c r="AK100" i="2"/>
  <c r="BE40" i="2"/>
  <c r="AN103" i="2"/>
  <c r="AN31" i="2"/>
  <c r="BO42" i="2"/>
  <c r="AP30" i="2"/>
  <c r="BD82" i="2"/>
  <c r="BJ30" i="2"/>
  <c r="AJ29" i="2"/>
  <c r="BE38" i="2"/>
  <c r="AK40" i="2"/>
  <c r="AK102" i="2"/>
  <c r="AY32" i="2"/>
  <c r="AM38" i="2"/>
  <c r="AZ101" i="2"/>
  <c r="BJ36" i="2"/>
  <c r="AN100" i="2"/>
  <c r="BI101" i="2"/>
  <c r="AP41" i="2"/>
  <c r="AR32" i="2"/>
  <c r="BM101" i="2"/>
  <c r="AQ31" i="2"/>
  <c r="BD42" i="2"/>
  <c r="AE103" i="2"/>
  <c r="AG29" i="2"/>
  <c r="AS41" i="2"/>
  <c r="AH101" i="2"/>
  <c r="AU40" i="2"/>
  <c r="BN29" i="2"/>
  <c r="AI102" i="2"/>
  <c r="AS100" i="2"/>
  <c r="B41" i="2"/>
  <c r="AI34" i="2"/>
  <c r="BH37" i="2"/>
  <c r="BH41" i="2"/>
  <c r="BB31" i="2"/>
  <c r="AW30" i="2"/>
  <c r="AU35" i="2"/>
  <c r="BE37" i="2"/>
  <c r="AH40" i="2"/>
  <c r="AD32" i="2"/>
  <c r="AU83" i="2"/>
  <c r="AI41" i="2"/>
  <c r="AW39" i="2"/>
  <c r="BK101" i="2"/>
  <c r="AD35" i="2"/>
  <c r="AY100" i="2"/>
  <c r="AJ103" i="2"/>
  <c r="AK82" i="2"/>
  <c r="BC36" i="2"/>
  <c r="AE32" i="2"/>
  <c r="AV37" i="2"/>
  <c r="BL32" i="2"/>
  <c r="AI100" i="2"/>
  <c r="AV38" i="2"/>
  <c r="AI40" i="2"/>
  <c r="AF82" i="2"/>
  <c r="AY39" i="2"/>
  <c r="AI83" i="2"/>
  <c r="BG35" i="2"/>
  <c r="AG41" i="2"/>
  <c r="AI33" i="2"/>
  <c r="AW102" i="2"/>
  <c r="B42" i="2"/>
  <c r="AY37" i="2"/>
  <c r="BJ83" i="2"/>
  <c r="AF35" i="2"/>
  <c r="BA40" i="2"/>
  <c r="AL41" i="2"/>
  <c r="AN35" i="2"/>
  <c r="BI31" i="2"/>
  <c r="AZ40" i="2"/>
  <c r="BM38" i="2"/>
  <c r="AJ40" i="2"/>
  <c r="AW103" i="2"/>
  <c r="AG36" i="2"/>
  <c r="AI36" i="2"/>
  <c r="BL33" i="2"/>
  <c r="BE82" i="2"/>
  <c r="BF38" i="2"/>
  <c r="AM41" i="2"/>
  <c r="BL82" i="2"/>
  <c r="BA82" i="2"/>
  <c r="AL30" i="2"/>
  <c r="BA35" i="2"/>
  <c r="BB103" i="2"/>
  <c r="BM34" i="2"/>
  <c r="BB33" i="2"/>
  <c r="AT83" i="2"/>
  <c r="AF29" i="2"/>
  <c r="BF39" i="2"/>
  <c r="AO42" i="2"/>
  <c r="BK37" i="2"/>
  <c r="BB37" i="2"/>
  <c r="BO100" i="2"/>
  <c r="BL35" i="2"/>
  <c r="AO34" i="2"/>
  <c r="AP100" i="2"/>
  <c r="BB41" i="2"/>
  <c r="AP39" i="2"/>
  <c r="BM103" i="2"/>
  <c r="BE101" i="2"/>
  <c r="AQ37" i="2"/>
  <c r="AR37" i="2"/>
  <c r="AG100" i="2"/>
  <c r="AR38" i="2"/>
  <c r="AH103" i="2"/>
  <c r="AC40" i="2"/>
  <c r="AU33" i="2"/>
  <c r="AH102" i="2"/>
  <c r="AR33" i="2"/>
  <c r="BE100" i="2"/>
  <c r="BF32" i="2"/>
  <c r="AQ101" i="2"/>
  <c r="AD101" i="2"/>
  <c r="BL103" i="2"/>
  <c r="AO29" i="2"/>
  <c r="AP82" i="2"/>
  <c r="BE32" i="2"/>
  <c r="AU103" i="2"/>
  <c r="BA30" i="2"/>
  <c r="AV82" i="2"/>
  <c r="AI103" i="2"/>
  <c r="AI39" i="2"/>
  <c r="AT101" i="2"/>
  <c r="AE40" i="2"/>
  <c r="BJ32" i="2"/>
  <c r="AS101" i="2"/>
  <c r="AW37" i="2"/>
  <c r="AT29" i="2"/>
  <c r="AG103" i="2"/>
  <c r="AF31" i="2"/>
  <c r="AQ29" i="2"/>
  <c r="AC37" i="2"/>
  <c r="BK32" i="2"/>
  <c r="BC29" i="2"/>
  <c r="AO41" i="2"/>
  <c r="BJ102" i="2"/>
  <c r="AQ32" i="2"/>
  <c r="AR101" i="2"/>
  <c r="BL31" i="2"/>
  <c r="AE37" i="2"/>
  <c r="BN37" i="2"/>
  <c r="BJ42" i="2"/>
  <c r="AR82" i="2"/>
  <c r="AW42" i="2"/>
  <c r="AG32" i="2"/>
  <c r="AS36" i="2"/>
  <c r="AD30" i="2"/>
  <c r="AC103" i="2"/>
  <c r="BK82" i="2"/>
  <c r="BO41" i="2"/>
  <c r="BF30" i="2"/>
  <c r="BA29" i="2"/>
  <c r="AK32" i="2"/>
  <c r="BJ33" i="2"/>
  <c r="BA42" i="2"/>
  <c r="AE82" i="2"/>
  <c r="AV33" i="2"/>
  <c r="BF29" i="2"/>
  <c r="BI82" i="2"/>
  <c r="AZ35" i="2"/>
  <c r="AC33" i="2"/>
  <c r="BL39" i="2"/>
  <c r="AW32" i="2"/>
  <c r="AG31" i="2"/>
  <c r="AS39" i="2"/>
  <c r="BJ101" i="2"/>
  <c r="AN40" i="2"/>
  <c r="BB36" i="2"/>
  <c r="AM39" i="2"/>
  <c r="BE34" i="2"/>
  <c r="BL38" i="2"/>
  <c r="AM32" i="2"/>
  <c r="AY102" i="2"/>
  <c r="BG33" i="2"/>
  <c r="AZ29" i="2"/>
  <c r="AH36" i="2"/>
  <c r="AJ38" i="2"/>
  <c r="AX35" i="2"/>
  <c r="AD42" i="2"/>
  <c r="BN31" i="2"/>
  <c r="AS30" i="2"/>
  <c r="AV101" i="2"/>
  <c r="BC30" i="2"/>
  <c r="BH38" i="2"/>
  <c r="AO83" i="2"/>
  <c r="AZ103" i="2"/>
  <c r="AM34" i="2"/>
  <c r="AM37" i="2"/>
  <c r="BA31" i="2"/>
  <c r="AU100" i="2"/>
  <c r="BA39" i="2"/>
  <c r="BG101" i="2"/>
  <c r="AL40" i="2"/>
  <c r="AY101" i="2"/>
  <c r="AJ83" i="2"/>
  <c r="B35" i="2"/>
  <c r="AY29" i="2"/>
  <c r="BC32" i="2"/>
  <c r="BB32" i="2"/>
  <c r="BG32" i="2"/>
  <c r="BF102" i="2"/>
  <c r="BO31" i="2"/>
  <c r="BO35" i="2"/>
  <c r="BJ98" i="2"/>
  <c r="BK95" i="2"/>
  <c r="BM99" i="2"/>
  <c r="AE104" i="2"/>
  <c r="AF104" i="2"/>
  <c r="AD99" i="2"/>
  <c r="BN104" i="2"/>
  <c r="BG96" i="2"/>
  <c r="BI105" i="2"/>
  <c r="BE98" i="2"/>
  <c r="AU98" i="2"/>
  <c r="AC95" i="2"/>
  <c r="AC97" i="2"/>
  <c r="AW97" i="2"/>
  <c r="BB96" i="2"/>
  <c r="AG104" i="2"/>
  <c r="AS105" i="2"/>
  <c r="AT104" i="2"/>
  <c r="AP99" i="2"/>
  <c r="AJ95" i="2"/>
  <c r="AO104" i="2"/>
  <c r="BI96" i="2"/>
  <c r="BI97" i="2"/>
  <c r="AJ99" i="2"/>
  <c r="AH99" i="2"/>
  <c r="AW95" i="2"/>
  <c r="AT96" i="2"/>
  <c r="BJ97" i="2"/>
  <c r="AU97" i="2"/>
  <c r="AG105" i="2"/>
  <c r="AG96" i="2"/>
  <c r="AB98" i="2"/>
  <c r="AR98" i="2"/>
  <c r="BM105" i="2"/>
  <c r="AW96" i="2"/>
  <c r="AB97" i="2"/>
  <c r="AN96" i="2"/>
  <c r="BK98" i="2"/>
  <c r="AM99" i="2"/>
  <c r="AQ104" i="2"/>
  <c r="BM95" i="2"/>
  <c r="BG98" i="2"/>
  <c r="AV95" i="2"/>
  <c r="BH105" i="2"/>
  <c r="BL97" i="2"/>
  <c r="BN105" i="2"/>
  <c r="BG105" i="2"/>
  <c r="AF98" i="2"/>
  <c r="AF96" i="2"/>
  <c r="AI96" i="2"/>
  <c r="AH98" i="2"/>
  <c r="AP104" i="2"/>
  <c r="AI97" i="2"/>
  <c r="BF98" i="2"/>
  <c r="AH105" i="2"/>
  <c r="BK96" i="2"/>
  <c r="BE96" i="2"/>
  <c r="AS99" i="2"/>
  <c r="BA104" i="2"/>
  <c r="AM98" i="2"/>
  <c r="AP105" i="2"/>
  <c r="BB95" i="2"/>
  <c r="AW104" i="2"/>
  <c r="BG95" i="2"/>
  <c r="BD95" i="2"/>
  <c r="B99" i="2"/>
  <c r="AK96" i="2"/>
  <c r="BI104" i="2"/>
  <c r="AO95" i="2"/>
  <c r="AF105" i="2"/>
  <c r="AV98" i="2"/>
  <c r="BF105" i="2"/>
  <c r="BG104" i="2"/>
  <c r="AY95" i="2"/>
  <c r="AN105" i="2"/>
  <c r="AH104" i="2"/>
  <c r="BB98" i="2"/>
  <c r="AX98" i="2"/>
  <c r="AY98" i="2"/>
  <c r="AS98" i="2"/>
  <c r="AL105" i="2"/>
  <c r="AU96" i="2"/>
  <c r="AV99" i="2"/>
  <c r="AB95" i="2"/>
  <c r="AX95" i="2"/>
  <c r="BE105" i="2"/>
  <c r="AZ105" i="2"/>
  <c r="BB99" i="2"/>
  <c r="AI99" i="2"/>
  <c r="AP96" i="2"/>
  <c r="AD98" i="2"/>
  <c r="BG97" i="2"/>
  <c r="BO99" i="2"/>
  <c r="AZ95" i="2"/>
  <c r="BJ99" i="2"/>
  <c r="AR99" i="2"/>
  <c r="AO98" i="2"/>
  <c r="BC97" i="2"/>
  <c r="AL95" i="2"/>
  <c r="AZ96" i="2"/>
  <c r="BJ105" i="2"/>
  <c r="AY105" i="2"/>
  <c r="AK97" i="2"/>
  <c r="BC104" i="2"/>
  <c r="BK104" i="2"/>
  <c r="AG98" i="2"/>
  <c r="B97" i="2"/>
  <c r="BA98" i="2"/>
  <c r="B98" i="2"/>
  <c r="AJ97" i="2"/>
  <c r="AV105" i="2"/>
  <c r="AK105" i="2"/>
  <c r="AZ98" i="2"/>
  <c r="AI104" i="2"/>
  <c r="BJ95" i="2"/>
  <c r="BN99" i="2"/>
  <c r="BK97" i="2"/>
  <c r="BC99" i="2"/>
  <c r="AL96" i="2"/>
  <c r="AV96" i="2"/>
  <c r="AW105" i="2"/>
  <c r="AX104" i="2"/>
  <c r="BM97" i="2"/>
  <c r="AY104" i="2"/>
  <c r="AD104" i="2"/>
  <c r="AE96" i="2"/>
  <c r="AQ96" i="2"/>
  <c r="BA96" i="2"/>
  <c r="AS97" i="2"/>
  <c r="BC105" i="2"/>
  <c r="BI99" i="2"/>
  <c r="AT99" i="2"/>
  <c r="BC96" i="2"/>
  <c r="AO105" i="2"/>
  <c r="AI105" i="2"/>
  <c r="BL96" i="2"/>
  <c r="BG99" i="2"/>
  <c r="AC99" i="2"/>
  <c r="AM97" i="2"/>
  <c r="BC95" i="2"/>
  <c r="AM96" i="2"/>
  <c r="AL99" i="2"/>
  <c r="AU104" i="2"/>
  <c r="AG97" i="2"/>
  <c r="BL105" i="2"/>
  <c r="AK98" i="2"/>
  <c r="AU105" i="2"/>
  <c r="AR96" i="2"/>
  <c r="AY99" i="2"/>
  <c r="AB99" i="2"/>
  <c r="AK104" i="2"/>
  <c r="AR105" i="2"/>
  <c r="AZ99" i="2"/>
  <c r="AG95" i="2"/>
  <c r="AU99" i="2"/>
  <c r="AO97" i="2"/>
  <c r="BF97" i="2"/>
  <c r="AZ97" i="2"/>
  <c r="AK95" i="2"/>
  <c r="AY97" i="2"/>
  <c r="AT95" i="2"/>
  <c r="AL97" i="2"/>
  <c r="AI95" i="2"/>
  <c r="AJ104" i="2"/>
  <c r="AX99" i="2"/>
  <c r="AF99" i="2"/>
  <c r="BL104" i="2"/>
  <c r="AY96" i="2"/>
  <c r="AQ105" i="2"/>
  <c r="AB105" i="2"/>
  <c r="BM98" i="2"/>
  <c r="B96" i="2"/>
  <c r="AR97" i="2"/>
  <c r="AS96" i="2"/>
  <c r="BL98" i="2"/>
  <c r="AL104" i="2"/>
  <c r="AQ99" i="2"/>
  <c r="BF99" i="2"/>
  <c r="BD99" i="2"/>
  <c r="AT98" i="2"/>
  <c r="AE97" i="2"/>
  <c r="AQ98" i="2"/>
  <c r="AC98" i="2"/>
  <c r="AB104" i="2"/>
  <c r="AN95" i="2"/>
  <c r="BN98" i="2"/>
  <c r="BA99" i="2"/>
  <c r="AB96" i="2"/>
  <c r="AD95" i="2"/>
  <c r="BJ104" i="2"/>
  <c r="BO96" i="2"/>
  <c r="BA95" i="2"/>
  <c r="AP95" i="2"/>
  <c r="AM105" i="2"/>
  <c r="BM104" i="2"/>
  <c r="AP97" i="2"/>
  <c r="BL95" i="2"/>
  <c r="AV104" i="2"/>
  <c r="B105" i="2"/>
  <c r="BJ96" i="2"/>
  <c r="BA97" i="2"/>
  <c r="BD104" i="2"/>
  <c r="BK105" i="2"/>
  <c r="BI95" i="2"/>
  <c r="BH95" i="2"/>
  <c r="AF95" i="2"/>
  <c r="BA105" i="2"/>
  <c r="AJ96" i="2"/>
  <c r="BD98" i="2"/>
  <c r="AL98" i="2"/>
  <c r="AD96" i="2"/>
  <c r="BO95" i="2"/>
  <c r="BN95" i="2"/>
  <c r="AC105" i="2"/>
  <c r="AE99" i="2"/>
  <c r="BH99" i="2"/>
  <c r="AX105" i="2"/>
  <c r="BF96" i="2"/>
  <c r="AH96" i="2"/>
  <c r="AW99" i="2"/>
  <c r="AT97" i="2"/>
  <c r="AQ97" i="2"/>
  <c r="BB97" i="2"/>
  <c r="AZ104" i="2"/>
  <c r="AR104" i="2"/>
  <c r="AU95" i="2"/>
  <c r="AP98" i="2"/>
  <c r="AF97" i="2"/>
  <c r="BE99" i="2"/>
  <c r="BH98" i="2"/>
  <c r="AW98" i="2"/>
  <c r="BO105" i="2"/>
  <c r="AM95" i="2"/>
  <c r="AS95" i="2"/>
  <c r="AX96" i="2"/>
  <c r="BE95" i="2"/>
  <c r="BM96" i="2"/>
  <c r="AH95" i="2"/>
  <c r="BH96" i="2"/>
  <c r="AH97" i="2"/>
  <c r="AE105" i="2"/>
  <c r="AM104" i="2"/>
  <c r="BB105" i="2"/>
  <c r="B104" i="2"/>
  <c r="BN96" i="2"/>
  <c r="BC98" i="2"/>
  <c r="AR95" i="2"/>
  <c r="AE98" i="2"/>
  <c r="BO98" i="2"/>
  <c r="BH97" i="2"/>
  <c r="AN97" i="2"/>
  <c r="AG99" i="2"/>
  <c r="BN97" i="2"/>
  <c r="AN98" i="2"/>
  <c r="B95" i="2"/>
  <c r="BO104" i="2"/>
  <c r="AO99" i="2"/>
  <c r="BH104" i="2"/>
  <c r="AS104" i="2"/>
  <c r="BE97" i="2"/>
  <c r="BK99" i="2"/>
  <c r="AT105" i="2"/>
  <c r="BD96" i="2"/>
  <c r="BI98" i="2"/>
  <c r="AC96" i="2"/>
  <c r="BE104" i="2"/>
  <c r="BL99" i="2"/>
  <c r="AX97" i="2"/>
  <c r="AK99" i="2"/>
  <c r="BF104" i="2"/>
  <c r="AD97" i="2"/>
  <c r="AE95" i="2"/>
  <c r="AO96" i="2"/>
  <c r="BF95" i="2"/>
  <c r="AI98" i="2"/>
  <c r="BO97" i="2"/>
  <c r="AV97" i="2"/>
  <c r="AD105" i="2"/>
  <c r="AJ98" i="2"/>
  <c r="AN99" i="2"/>
  <c r="AQ95" i="2"/>
  <c r="AN104" i="2"/>
  <c r="AJ105" i="2"/>
  <c r="BB104" i="2"/>
  <c r="AC104" i="2"/>
  <c r="BD105" i="2"/>
  <c r="BD97" i="2"/>
  <c r="O85" i="2" l="1"/>
  <c r="X85" i="2"/>
  <c r="V85" i="2"/>
  <c r="F85" i="2"/>
  <c r="Q85" i="2"/>
  <c r="T85" i="2"/>
  <c r="AA85" i="2"/>
  <c r="K85" i="2"/>
  <c r="P85" i="2"/>
  <c r="R85" i="2"/>
  <c r="L85" i="2"/>
  <c r="M85" i="2"/>
  <c r="H85" i="2"/>
  <c r="W85" i="2"/>
  <c r="G85" i="2"/>
  <c r="D85" i="2"/>
  <c r="N85" i="2"/>
  <c r="Y85" i="2"/>
  <c r="I85" i="2"/>
  <c r="S85" i="2"/>
  <c r="C85" i="2"/>
  <c r="Z85" i="2"/>
  <c r="J85" i="2"/>
  <c r="U85" i="2"/>
  <c r="E85" i="2"/>
  <c r="X87" i="2"/>
  <c r="H87" i="2"/>
  <c r="S87" i="2"/>
  <c r="C87" i="2"/>
  <c r="E87" i="2"/>
  <c r="M87" i="2"/>
  <c r="U87" i="2"/>
  <c r="T87" i="2"/>
  <c r="D87" i="2"/>
  <c r="O87" i="2"/>
  <c r="Z87" i="2"/>
  <c r="Y87" i="2"/>
  <c r="V87" i="2"/>
  <c r="P87" i="2"/>
  <c r="AA87" i="2"/>
  <c r="K87" i="2"/>
  <c r="R87" i="2"/>
  <c r="Q87" i="2"/>
  <c r="N87" i="2"/>
  <c r="L87" i="2"/>
  <c r="W87" i="2"/>
  <c r="G87" i="2"/>
  <c r="J87" i="2"/>
  <c r="I87" i="2"/>
  <c r="F87" i="2"/>
  <c r="X91" i="2"/>
  <c r="H91" i="2"/>
  <c r="S91" i="2"/>
  <c r="C91" i="2"/>
  <c r="N91" i="2"/>
  <c r="I91" i="2"/>
  <c r="M91" i="2"/>
  <c r="T91" i="2"/>
  <c r="D91" i="2"/>
  <c r="O91" i="2"/>
  <c r="Z91" i="2"/>
  <c r="J91" i="2"/>
  <c r="U91" i="2"/>
  <c r="P91" i="2"/>
  <c r="AA91" i="2"/>
  <c r="K91" i="2"/>
  <c r="V91" i="2"/>
  <c r="F91" i="2"/>
  <c r="E91" i="2"/>
  <c r="L91" i="2"/>
  <c r="W91" i="2"/>
  <c r="G91" i="2"/>
  <c r="R91" i="2"/>
  <c r="Y91" i="2"/>
  <c r="Q91" i="2"/>
  <c r="W94" i="2"/>
  <c r="G94" i="2"/>
  <c r="R94" i="2"/>
  <c r="Y94" i="2"/>
  <c r="I94" i="2"/>
  <c r="X94" i="2"/>
  <c r="S94" i="2"/>
  <c r="C94" i="2"/>
  <c r="N94" i="2"/>
  <c r="U94" i="2"/>
  <c r="E94" i="2"/>
  <c r="H94" i="2"/>
  <c r="O94" i="2"/>
  <c r="Z94" i="2"/>
  <c r="J94" i="2"/>
  <c r="Q94" i="2"/>
  <c r="P94" i="2"/>
  <c r="D94" i="2"/>
  <c r="AA94" i="2"/>
  <c r="K94" i="2"/>
  <c r="V94" i="2"/>
  <c r="F94" i="2"/>
  <c r="M94" i="2"/>
  <c r="L94" i="2"/>
  <c r="T94" i="2"/>
  <c r="S86" i="2"/>
  <c r="R86" i="2"/>
  <c r="M86" i="2"/>
  <c r="E86" i="2"/>
  <c r="C86" i="2"/>
  <c r="K86" i="2"/>
  <c r="O86" i="2"/>
  <c r="N86" i="2"/>
  <c r="H86" i="2"/>
  <c r="T86" i="2"/>
  <c r="I86" i="2"/>
  <c r="F86" i="2"/>
  <c r="AA86" i="2"/>
  <c r="Z86" i="2"/>
  <c r="J86" i="2"/>
  <c r="D86" i="2"/>
  <c r="L86" i="2"/>
  <c r="Y86" i="2"/>
  <c r="X86" i="2"/>
  <c r="W86" i="2"/>
  <c r="V86" i="2"/>
  <c r="U86" i="2"/>
  <c r="P86" i="2"/>
  <c r="G86" i="2"/>
  <c r="Q86" i="2"/>
  <c r="U92" i="2"/>
  <c r="E92" i="2"/>
  <c r="L92" i="2"/>
  <c r="W92" i="2"/>
  <c r="G92" i="2"/>
  <c r="R92" i="2"/>
  <c r="AA92" i="2"/>
  <c r="Q92" i="2"/>
  <c r="X92" i="2"/>
  <c r="H92" i="2"/>
  <c r="S92" i="2"/>
  <c r="C92" i="2"/>
  <c r="N92" i="2"/>
  <c r="M92" i="2"/>
  <c r="T92" i="2"/>
  <c r="D92" i="2"/>
  <c r="O92" i="2"/>
  <c r="V92" i="2"/>
  <c r="Z92" i="2"/>
  <c r="Y92" i="2"/>
  <c r="I92" i="2"/>
  <c r="P92" i="2"/>
  <c r="K92" i="2"/>
  <c r="J92" i="2"/>
  <c r="F92" i="2"/>
  <c r="V93" i="2"/>
  <c r="F93" i="2"/>
  <c r="M93" i="2"/>
  <c r="T93" i="2"/>
  <c r="D93" i="2"/>
  <c r="AA93" i="2"/>
  <c r="R93" i="2"/>
  <c r="Y93" i="2"/>
  <c r="I93" i="2"/>
  <c r="P93" i="2"/>
  <c r="S93" i="2"/>
  <c r="K93" i="2"/>
  <c r="N93" i="2"/>
  <c r="U93" i="2"/>
  <c r="E93" i="2"/>
  <c r="L93" i="2"/>
  <c r="C93" i="2"/>
  <c r="G93" i="2"/>
  <c r="Z93" i="2"/>
  <c r="J93" i="2"/>
  <c r="Q93" i="2"/>
  <c r="X93" i="2"/>
  <c r="H93" i="2"/>
  <c r="O93" i="2"/>
  <c r="W93" i="2"/>
  <c r="R84" i="2"/>
  <c r="W84" i="2"/>
  <c r="Q84" i="2"/>
  <c r="S84" i="2"/>
  <c r="P84" i="2"/>
  <c r="AA84" i="2"/>
  <c r="N84" i="2"/>
  <c r="K84" i="2"/>
  <c r="M84" i="2"/>
  <c r="G84" i="2"/>
  <c r="L84" i="2"/>
  <c r="O84" i="2"/>
  <c r="Z84" i="2"/>
  <c r="J84" i="2"/>
  <c r="Y84" i="2"/>
  <c r="I84" i="2"/>
  <c r="X84" i="2"/>
  <c r="H84" i="2"/>
  <c r="C84" i="2"/>
  <c r="V84" i="2"/>
  <c r="F84" i="2"/>
  <c r="U84" i="2"/>
  <c r="E84" i="2"/>
  <c r="T84" i="2"/>
  <c r="D84" i="2"/>
  <c r="O90" i="2"/>
  <c r="R90" i="2"/>
  <c r="Y90" i="2"/>
  <c r="I90" i="2"/>
  <c r="X90" i="2"/>
  <c r="D90" i="2"/>
  <c r="AA90" i="2"/>
  <c r="K90" i="2"/>
  <c r="U90" i="2"/>
  <c r="E90" i="2"/>
  <c r="H90" i="2"/>
  <c r="W90" i="2"/>
  <c r="Z90" i="2"/>
  <c r="J90" i="2"/>
  <c r="Q90" i="2"/>
  <c r="L90" i="2"/>
  <c r="T90" i="2"/>
  <c r="S90" i="2"/>
  <c r="V90" i="2"/>
  <c r="F90" i="2"/>
  <c r="M90" i="2"/>
  <c r="C90" i="2"/>
  <c r="G90" i="2"/>
  <c r="N90" i="2"/>
  <c r="P90" i="2"/>
  <c r="Y88" i="2"/>
  <c r="I88" i="2"/>
  <c r="P88" i="2"/>
  <c r="AA88" i="2"/>
  <c r="K88" i="2"/>
  <c r="F88" i="2"/>
  <c r="J88" i="2"/>
  <c r="U88" i="2"/>
  <c r="E88" i="2"/>
  <c r="L88" i="2"/>
  <c r="W88" i="2"/>
  <c r="G88" i="2"/>
  <c r="R88" i="2"/>
  <c r="Q88" i="2"/>
  <c r="X88" i="2"/>
  <c r="H88" i="2"/>
  <c r="S88" i="2"/>
  <c r="C88" i="2"/>
  <c r="Z88" i="2"/>
  <c r="M88" i="2"/>
  <c r="T88" i="2"/>
  <c r="D88" i="2"/>
  <c r="O88" i="2"/>
  <c r="V88" i="2"/>
  <c r="N88" i="2"/>
  <c r="N89" i="2"/>
  <c r="U89" i="2"/>
  <c r="E89" i="2"/>
  <c r="L89" i="2"/>
  <c r="C89" i="2"/>
  <c r="K89" i="2"/>
  <c r="Z89" i="2"/>
  <c r="J89" i="2"/>
  <c r="Q89" i="2"/>
  <c r="X89" i="2"/>
  <c r="H89" i="2"/>
  <c r="G89" i="2"/>
  <c r="W89" i="2"/>
  <c r="V89" i="2"/>
  <c r="F89" i="2"/>
  <c r="M89" i="2"/>
  <c r="T89" i="2"/>
  <c r="D89" i="2"/>
  <c r="O89" i="2"/>
  <c r="R89" i="2"/>
  <c r="Y89" i="2"/>
  <c r="I89" i="2"/>
  <c r="P89" i="2"/>
  <c r="S89" i="2"/>
  <c r="AA89" i="2"/>
  <c r="W72" i="2"/>
  <c r="G72" i="2"/>
  <c r="R72" i="2"/>
  <c r="Y72" i="2"/>
  <c r="I72" i="2"/>
  <c r="T72" i="2"/>
  <c r="S72" i="2"/>
  <c r="C72" i="2"/>
  <c r="N72" i="2"/>
  <c r="U72" i="2"/>
  <c r="E72" i="2"/>
  <c r="D72" i="2"/>
  <c r="O72" i="2"/>
  <c r="Z72" i="2"/>
  <c r="J72" i="2"/>
  <c r="Q72" i="2"/>
  <c r="X72" i="2"/>
  <c r="P72" i="2"/>
  <c r="AA72" i="2"/>
  <c r="K72" i="2"/>
  <c r="V72" i="2"/>
  <c r="F72" i="2"/>
  <c r="M72" i="2"/>
  <c r="H72" i="2"/>
  <c r="L72" i="2"/>
  <c r="R50" i="2"/>
  <c r="Y50" i="2"/>
  <c r="I50" i="2"/>
  <c r="G50" i="2"/>
  <c r="L50" i="2"/>
  <c r="S50" i="2"/>
  <c r="N50" i="2"/>
  <c r="U50" i="2"/>
  <c r="E50" i="2"/>
  <c r="X50" i="2"/>
  <c r="D50" i="2"/>
  <c r="K50" i="2"/>
  <c r="Z50" i="2"/>
  <c r="J50" i="2"/>
  <c r="Q50" i="2"/>
  <c r="W50" i="2"/>
  <c r="H50" i="2"/>
  <c r="P50" i="2"/>
  <c r="C50" i="2"/>
  <c r="V50" i="2"/>
  <c r="F50" i="2"/>
  <c r="M50" i="2"/>
  <c r="O50" i="2"/>
  <c r="T50" i="2"/>
  <c r="AA50" i="2"/>
  <c r="Q46" i="2"/>
  <c r="X46" i="2"/>
  <c r="H46" i="2"/>
  <c r="S46" i="2"/>
  <c r="C46" i="2"/>
  <c r="R46" i="2"/>
  <c r="M46" i="2"/>
  <c r="T46" i="2"/>
  <c r="D46" i="2"/>
  <c r="O46" i="2"/>
  <c r="V46" i="2"/>
  <c r="N46" i="2"/>
  <c r="Y46" i="2"/>
  <c r="I46" i="2"/>
  <c r="P46" i="2"/>
  <c r="AA46" i="2"/>
  <c r="K46" i="2"/>
  <c r="F46" i="2"/>
  <c r="J46" i="2"/>
  <c r="U46" i="2"/>
  <c r="E46" i="2"/>
  <c r="L46" i="2"/>
  <c r="W46" i="2"/>
  <c r="G46" i="2"/>
  <c r="Z46" i="2"/>
  <c r="Y79" i="2"/>
  <c r="I79" i="2"/>
  <c r="O79" i="2"/>
  <c r="S79" i="2"/>
  <c r="W79" i="2"/>
  <c r="AA79" i="2"/>
  <c r="K79" i="2"/>
  <c r="U79" i="2"/>
  <c r="E79" i="2"/>
  <c r="J79" i="2"/>
  <c r="N79" i="2"/>
  <c r="R79" i="2"/>
  <c r="F79" i="2"/>
  <c r="Q79" i="2"/>
  <c r="Z79" i="2"/>
  <c r="D79" i="2"/>
  <c r="H79" i="2"/>
  <c r="L79" i="2"/>
  <c r="V79" i="2"/>
  <c r="M79" i="2"/>
  <c r="T79" i="2"/>
  <c r="X79" i="2"/>
  <c r="C79" i="2"/>
  <c r="G79" i="2"/>
  <c r="P79" i="2"/>
  <c r="Z67" i="2"/>
  <c r="J67" i="2"/>
  <c r="Q67" i="2"/>
  <c r="X67" i="2"/>
  <c r="H67" i="2"/>
  <c r="O67" i="2"/>
  <c r="G67" i="2"/>
  <c r="V67" i="2"/>
  <c r="F67" i="2"/>
  <c r="M67" i="2"/>
  <c r="T67" i="2"/>
  <c r="D67" i="2"/>
  <c r="AA67" i="2"/>
  <c r="R67" i="2"/>
  <c r="Y67" i="2"/>
  <c r="I67" i="2"/>
  <c r="P67" i="2"/>
  <c r="S67" i="2"/>
  <c r="K67" i="2"/>
  <c r="N67" i="2"/>
  <c r="U67" i="2"/>
  <c r="E67" i="2"/>
  <c r="L67" i="2"/>
  <c r="C67" i="2"/>
  <c r="W67" i="2"/>
  <c r="S69" i="2"/>
  <c r="C69" i="2"/>
  <c r="R69" i="2"/>
  <c r="T69" i="2"/>
  <c r="Q69" i="2"/>
  <c r="X69" i="2"/>
  <c r="O69" i="2"/>
  <c r="D69" i="2"/>
  <c r="N69" i="2"/>
  <c r="L69" i="2"/>
  <c r="M69" i="2"/>
  <c r="P69" i="2"/>
  <c r="AA69" i="2"/>
  <c r="K69" i="2"/>
  <c r="Z69" i="2"/>
  <c r="J69" i="2"/>
  <c r="Y69" i="2"/>
  <c r="I69" i="2"/>
  <c r="H69" i="2"/>
  <c r="W69" i="2"/>
  <c r="G69" i="2"/>
  <c r="V69" i="2"/>
  <c r="F69" i="2"/>
  <c r="U69" i="2"/>
  <c r="E69" i="2"/>
  <c r="P56" i="2"/>
  <c r="AA56" i="2"/>
  <c r="K56" i="2"/>
  <c r="R56" i="2"/>
  <c r="I56" i="2"/>
  <c r="U56" i="2"/>
  <c r="L56" i="2"/>
  <c r="W56" i="2"/>
  <c r="G56" i="2"/>
  <c r="J56" i="2"/>
  <c r="V56" i="2"/>
  <c r="E56" i="2"/>
  <c r="X56" i="2"/>
  <c r="H56" i="2"/>
  <c r="S56" i="2"/>
  <c r="C56" i="2"/>
  <c r="Y56" i="2"/>
  <c r="N56" i="2"/>
  <c r="M56" i="2"/>
  <c r="T56" i="2"/>
  <c r="D56" i="2"/>
  <c r="O56" i="2"/>
  <c r="Z56" i="2"/>
  <c r="Q56" i="2"/>
  <c r="F56" i="2"/>
  <c r="M53" i="2"/>
  <c r="T53" i="2"/>
  <c r="D53" i="2"/>
  <c r="C53" i="2"/>
  <c r="W53" i="2"/>
  <c r="N53" i="2"/>
  <c r="Y53" i="2"/>
  <c r="I53" i="2"/>
  <c r="P53" i="2"/>
  <c r="AA53" i="2"/>
  <c r="Z53" i="2"/>
  <c r="O53" i="2"/>
  <c r="V53" i="2"/>
  <c r="U53" i="2"/>
  <c r="E53" i="2"/>
  <c r="L53" i="2"/>
  <c r="S53" i="2"/>
  <c r="R53" i="2"/>
  <c r="G53" i="2"/>
  <c r="Q53" i="2"/>
  <c r="X53" i="2"/>
  <c r="H53" i="2"/>
  <c r="K53" i="2"/>
  <c r="J53" i="2"/>
  <c r="F53" i="2"/>
  <c r="O51" i="2"/>
  <c r="Z51" i="2"/>
  <c r="J51" i="2"/>
  <c r="D51" i="2"/>
  <c r="Q51" i="2"/>
  <c r="P51" i="2"/>
  <c r="AA51" i="2"/>
  <c r="K51" i="2"/>
  <c r="V51" i="2"/>
  <c r="F51" i="2"/>
  <c r="U51" i="2"/>
  <c r="I51" i="2"/>
  <c r="H51" i="2"/>
  <c r="W51" i="2"/>
  <c r="G51" i="2"/>
  <c r="R51" i="2"/>
  <c r="T51" i="2"/>
  <c r="E51" i="2"/>
  <c r="M51" i="2"/>
  <c r="S51" i="2"/>
  <c r="C51" i="2"/>
  <c r="N51" i="2"/>
  <c r="L51" i="2"/>
  <c r="Y51" i="2"/>
  <c r="X51" i="2"/>
  <c r="Y66" i="2"/>
  <c r="I66" i="2"/>
  <c r="P66" i="2"/>
  <c r="AA66" i="2"/>
  <c r="K66" i="2"/>
  <c r="F66" i="2"/>
  <c r="J66" i="2"/>
  <c r="U66" i="2"/>
  <c r="E66" i="2"/>
  <c r="L66" i="2"/>
  <c r="W66" i="2"/>
  <c r="G66" i="2"/>
  <c r="R66" i="2"/>
  <c r="Q66" i="2"/>
  <c r="X66" i="2"/>
  <c r="H66" i="2"/>
  <c r="S66" i="2"/>
  <c r="C66" i="2"/>
  <c r="N66" i="2"/>
  <c r="M66" i="2"/>
  <c r="T66" i="2"/>
  <c r="D66" i="2"/>
  <c r="V66" i="2"/>
  <c r="Z66" i="2"/>
  <c r="O66" i="2"/>
  <c r="T65" i="2"/>
  <c r="D65" i="2"/>
  <c r="O65" i="2"/>
  <c r="Z65" i="2"/>
  <c r="J65" i="2"/>
  <c r="U65" i="2"/>
  <c r="P65" i="2"/>
  <c r="AA65" i="2"/>
  <c r="K65" i="2"/>
  <c r="V65" i="2"/>
  <c r="F65" i="2"/>
  <c r="E65" i="2"/>
  <c r="L65" i="2"/>
  <c r="W65" i="2"/>
  <c r="G65" i="2"/>
  <c r="R65" i="2"/>
  <c r="Y65" i="2"/>
  <c r="Q65" i="2"/>
  <c r="X65" i="2"/>
  <c r="H65" i="2"/>
  <c r="S65" i="2"/>
  <c r="C65" i="2"/>
  <c r="N65" i="2"/>
  <c r="I65" i="2"/>
  <c r="M65" i="2"/>
  <c r="T73" i="2"/>
  <c r="D73" i="2"/>
  <c r="O73" i="2"/>
  <c r="Z73" i="2"/>
  <c r="J73" i="2"/>
  <c r="Q73" i="2"/>
  <c r="P73" i="2"/>
  <c r="AA73" i="2"/>
  <c r="K73" i="2"/>
  <c r="V73" i="2"/>
  <c r="F73" i="2"/>
  <c r="Y73" i="2"/>
  <c r="L73" i="2"/>
  <c r="W73" i="2"/>
  <c r="G73" i="2"/>
  <c r="R73" i="2"/>
  <c r="U73" i="2"/>
  <c r="M73" i="2"/>
  <c r="X73" i="2"/>
  <c r="H73" i="2"/>
  <c r="S73" i="2"/>
  <c r="C73" i="2"/>
  <c r="N73" i="2"/>
  <c r="E73" i="2"/>
  <c r="I73" i="2"/>
  <c r="O44" i="2"/>
  <c r="Z44" i="2"/>
  <c r="J44" i="2"/>
  <c r="Q44" i="2"/>
  <c r="L44" i="2"/>
  <c r="T44" i="2"/>
  <c r="AA44" i="2"/>
  <c r="K44" i="2"/>
  <c r="V44" i="2"/>
  <c r="F44" i="2"/>
  <c r="M44" i="2"/>
  <c r="X44" i="2"/>
  <c r="D44" i="2"/>
  <c r="W44" i="2"/>
  <c r="G44" i="2"/>
  <c r="R44" i="2"/>
  <c r="Y44" i="2"/>
  <c r="I44" i="2"/>
  <c r="H44" i="2"/>
  <c r="S44" i="2"/>
  <c r="C44" i="2"/>
  <c r="N44" i="2"/>
  <c r="U44" i="2"/>
  <c r="E44" i="2"/>
  <c r="P44" i="2"/>
  <c r="V62" i="2"/>
  <c r="F62" i="2"/>
  <c r="M62" i="2"/>
  <c r="T62" i="2"/>
  <c r="D62" i="2"/>
  <c r="K62" i="2"/>
  <c r="R62" i="2"/>
  <c r="Y62" i="2"/>
  <c r="I62" i="2"/>
  <c r="P62" i="2"/>
  <c r="S62" i="2"/>
  <c r="G62" i="2"/>
  <c r="N62" i="2"/>
  <c r="U62" i="2"/>
  <c r="E62" i="2"/>
  <c r="L62" i="2"/>
  <c r="C62" i="2"/>
  <c r="AA62" i="2"/>
  <c r="Z62" i="2"/>
  <c r="J62" i="2"/>
  <c r="Q62" i="2"/>
  <c r="X62" i="2"/>
  <c r="H62" i="2"/>
  <c r="O62" i="2"/>
  <c r="W62" i="2"/>
  <c r="S64" i="2"/>
  <c r="C64" i="2"/>
  <c r="N64" i="2"/>
  <c r="U64" i="2"/>
  <c r="E64" i="2"/>
  <c r="T64" i="2"/>
  <c r="O64" i="2"/>
  <c r="Z64" i="2"/>
  <c r="J64" i="2"/>
  <c r="Q64" i="2"/>
  <c r="L64" i="2"/>
  <c r="D64" i="2"/>
  <c r="AA64" i="2"/>
  <c r="K64" i="2"/>
  <c r="V64" i="2"/>
  <c r="F64" i="2"/>
  <c r="M64" i="2"/>
  <c r="X64" i="2"/>
  <c r="P64" i="2"/>
  <c r="W64" i="2"/>
  <c r="G64" i="2"/>
  <c r="R64" i="2"/>
  <c r="Y64" i="2"/>
  <c r="I64" i="2"/>
  <c r="H64" i="2"/>
  <c r="O81" i="2"/>
  <c r="Z81" i="2"/>
  <c r="J81" i="2"/>
  <c r="D81" i="2"/>
  <c r="X81" i="2"/>
  <c r="M81" i="2"/>
  <c r="K81" i="2"/>
  <c r="F81" i="2"/>
  <c r="P81" i="2"/>
  <c r="AA81" i="2"/>
  <c r="V81" i="2"/>
  <c r="Y81" i="2"/>
  <c r="E81" i="2"/>
  <c r="W81" i="2"/>
  <c r="G81" i="2"/>
  <c r="R81" i="2"/>
  <c r="T81" i="2"/>
  <c r="Q81" i="2"/>
  <c r="H81" i="2"/>
  <c r="C81" i="2"/>
  <c r="U81" i="2"/>
  <c r="S81" i="2"/>
  <c r="N81" i="2"/>
  <c r="L81" i="2"/>
  <c r="I81" i="2"/>
  <c r="O59" i="2"/>
  <c r="Z59" i="2"/>
  <c r="J59" i="2"/>
  <c r="I59" i="2"/>
  <c r="U59" i="2"/>
  <c r="L59" i="2"/>
  <c r="AA59" i="2"/>
  <c r="K59" i="2"/>
  <c r="V59" i="2"/>
  <c r="F59" i="2"/>
  <c r="X59" i="2"/>
  <c r="M59" i="2"/>
  <c r="D59" i="2"/>
  <c r="W59" i="2"/>
  <c r="G59" i="2"/>
  <c r="R59" i="2"/>
  <c r="Y59" i="2"/>
  <c r="P59" i="2"/>
  <c r="E59" i="2"/>
  <c r="S59" i="2"/>
  <c r="C59" i="2"/>
  <c r="N59" i="2"/>
  <c r="Q59" i="2"/>
  <c r="H59" i="2"/>
  <c r="T59" i="2"/>
  <c r="V80" i="2"/>
  <c r="F80" i="2"/>
  <c r="L80" i="2"/>
  <c r="K80" i="2"/>
  <c r="O80" i="2"/>
  <c r="C80" i="2"/>
  <c r="R80" i="2"/>
  <c r="Y80" i="2"/>
  <c r="G80" i="2"/>
  <c r="E80" i="2"/>
  <c r="I80" i="2"/>
  <c r="S80" i="2"/>
  <c r="N80" i="2"/>
  <c r="W80" i="2"/>
  <c r="U80" i="2"/>
  <c r="AA80" i="2"/>
  <c r="D80" i="2"/>
  <c r="M80" i="2"/>
  <c r="Z80" i="2"/>
  <c r="J80" i="2"/>
  <c r="Q80" i="2"/>
  <c r="P80" i="2"/>
  <c r="T80" i="2"/>
  <c r="X80" i="2"/>
  <c r="H80" i="2"/>
  <c r="Z71" i="2"/>
  <c r="J71" i="2"/>
  <c r="AA71" i="2"/>
  <c r="X71" i="2"/>
  <c r="D71" i="2"/>
  <c r="L71" i="2"/>
  <c r="V71" i="2"/>
  <c r="F71" i="2"/>
  <c r="M71" i="2"/>
  <c r="S71" i="2"/>
  <c r="P71" i="2"/>
  <c r="W71" i="2"/>
  <c r="R71" i="2"/>
  <c r="Y71" i="2"/>
  <c r="I71" i="2"/>
  <c r="K71" i="2"/>
  <c r="H71" i="2"/>
  <c r="O71" i="2"/>
  <c r="Q71" i="2"/>
  <c r="N71" i="2"/>
  <c r="U71" i="2"/>
  <c r="E71" i="2"/>
  <c r="C71" i="2"/>
  <c r="T71" i="2"/>
  <c r="G71" i="2"/>
  <c r="L48" i="2"/>
  <c r="S48" i="2"/>
  <c r="U48" i="2"/>
  <c r="M48" i="2"/>
  <c r="E48" i="2"/>
  <c r="K48" i="2"/>
  <c r="X48" i="2"/>
  <c r="H48" i="2"/>
  <c r="N48" i="2"/>
  <c r="J48" i="2"/>
  <c r="G48" i="2"/>
  <c r="AA48" i="2"/>
  <c r="F48" i="2"/>
  <c r="T48" i="2"/>
  <c r="D48" i="2"/>
  <c r="I48" i="2"/>
  <c r="W48" i="2"/>
  <c r="Z48" i="2"/>
  <c r="V48" i="2"/>
  <c r="P48" i="2"/>
  <c r="Y48" i="2"/>
  <c r="C48" i="2"/>
  <c r="R48" i="2"/>
  <c r="O48" i="2"/>
  <c r="Q48" i="2"/>
  <c r="U61" i="2"/>
  <c r="E61" i="2"/>
  <c r="L61" i="2"/>
  <c r="N61" i="2"/>
  <c r="K61" i="2"/>
  <c r="Z61" i="2"/>
  <c r="Q61" i="2"/>
  <c r="X61" i="2"/>
  <c r="H61" i="2"/>
  <c r="F61" i="2"/>
  <c r="C61" i="2"/>
  <c r="J61" i="2"/>
  <c r="M61" i="2"/>
  <c r="T61" i="2"/>
  <c r="D61" i="2"/>
  <c r="AA61" i="2"/>
  <c r="R61" i="2"/>
  <c r="W61" i="2"/>
  <c r="Y61" i="2"/>
  <c r="I61" i="2"/>
  <c r="P61" i="2"/>
  <c r="V61" i="2"/>
  <c r="S61" i="2"/>
  <c r="O61" i="2"/>
  <c r="G61" i="2"/>
  <c r="M75" i="2"/>
  <c r="P75" i="2"/>
  <c r="F75" i="2"/>
  <c r="E75" i="2"/>
  <c r="D75" i="2"/>
  <c r="G75" i="2"/>
  <c r="Y75" i="2"/>
  <c r="I75" i="2"/>
  <c r="Z75" i="2"/>
  <c r="W75" i="2"/>
  <c r="V75" i="2"/>
  <c r="S75" i="2"/>
  <c r="C75" i="2"/>
  <c r="U75" i="2"/>
  <c r="X75" i="2"/>
  <c r="R75" i="2"/>
  <c r="O75" i="2"/>
  <c r="N75" i="2"/>
  <c r="L75" i="2"/>
  <c r="Q75" i="2"/>
  <c r="T75" i="2"/>
  <c r="K75" i="2"/>
  <c r="J75" i="2"/>
  <c r="H75" i="2"/>
  <c r="AA75" i="2"/>
  <c r="O63" i="2"/>
  <c r="Z63" i="2"/>
  <c r="J63" i="2"/>
  <c r="Q63" i="2"/>
  <c r="P63" i="2"/>
  <c r="X63" i="2"/>
  <c r="AA63" i="2"/>
  <c r="K63" i="2"/>
  <c r="V63" i="2"/>
  <c r="F63" i="2"/>
  <c r="M63" i="2"/>
  <c r="L63" i="2"/>
  <c r="T63" i="2"/>
  <c r="W63" i="2"/>
  <c r="G63" i="2"/>
  <c r="R63" i="2"/>
  <c r="Y63" i="2"/>
  <c r="I63" i="2"/>
  <c r="H63" i="2"/>
  <c r="S63" i="2"/>
  <c r="C63" i="2"/>
  <c r="N63" i="2"/>
  <c r="U63" i="2"/>
  <c r="E63" i="2"/>
  <c r="D63" i="2"/>
  <c r="W77" i="2"/>
  <c r="G77" i="2"/>
  <c r="P77" i="2"/>
  <c r="T77" i="2"/>
  <c r="X77" i="2"/>
  <c r="L77" i="2"/>
  <c r="S77" i="2"/>
  <c r="C77" i="2"/>
  <c r="J77" i="2"/>
  <c r="N77" i="2"/>
  <c r="R77" i="2"/>
  <c r="F77" i="2"/>
  <c r="O77" i="2"/>
  <c r="Z77" i="2"/>
  <c r="E77" i="2"/>
  <c r="I77" i="2"/>
  <c r="M77" i="2"/>
  <c r="V77" i="2"/>
  <c r="AA77" i="2"/>
  <c r="K77" i="2"/>
  <c r="U77" i="2"/>
  <c r="Y77" i="2"/>
  <c r="D77" i="2"/>
  <c r="H77" i="2"/>
  <c r="Q77" i="2"/>
  <c r="S68" i="2"/>
  <c r="C68" i="2"/>
  <c r="N68" i="2"/>
  <c r="U68" i="2"/>
  <c r="E68" i="2"/>
  <c r="H68" i="2"/>
  <c r="O68" i="2"/>
  <c r="Z68" i="2"/>
  <c r="J68" i="2"/>
  <c r="Q68" i="2"/>
  <c r="P68" i="2"/>
  <c r="T68" i="2"/>
  <c r="AA68" i="2"/>
  <c r="K68" i="2"/>
  <c r="V68" i="2"/>
  <c r="F68" i="2"/>
  <c r="M68" i="2"/>
  <c r="L68" i="2"/>
  <c r="D68" i="2"/>
  <c r="W68" i="2"/>
  <c r="G68" i="2"/>
  <c r="R68" i="2"/>
  <c r="Y68" i="2"/>
  <c r="I68" i="2"/>
  <c r="X68" i="2"/>
  <c r="Y74" i="2"/>
  <c r="I74" i="2"/>
  <c r="P74" i="2"/>
  <c r="AA74" i="2"/>
  <c r="K74" i="2"/>
  <c r="N74" i="2"/>
  <c r="F74" i="2"/>
  <c r="E74" i="2"/>
  <c r="W74" i="2"/>
  <c r="V74" i="2"/>
  <c r="S74" i="2"/>
  <c r="U74" i="2"/>
  <c r="L74" i="2"/>
  <c r="G74" i="2"/>
  <c r="Q74" i="2"/>
  <c r="X74" i="2"/>
  <c r="H74" i="2"/>
  <c r="C74" i="2"/>
  <c r="Z74" i="2"/>
  <c r="M74" i="2"/>
  <c r="T74" i="2"/>
  <c r="D74" i="2"/>
  <c r="O74" i="2"/>
  <c r="R74" i="2"/>
  <c r="J74" i="2"/>
  <c r="N54" i="2"/>
  <c r="U54" i="2"/>
  <c r="E54" i="2"/>
  <c r="W54" i="2"/>
  <c r="L54" i="2"/>
  <c r="K54" i="2"/>
  <c r="Z54" i="2"/>
  <c r="J54" i="2"/>
  <c r="Q54" i="2"/>
  <c r="X54" i="2"/>
  <c r="O54" i="2"/>
  <c r="D54" i="2"/>
  <c r="S54" i="2"/>
  <c r="V54" i="2"/>
  <c r="F54" i="2"/>
  <c r="M54" i="2"/>
  <c r="P54" i="2"/>
  <c r="G54" i="2"/>
  <c r="C54" i="2"/>
  <c r="R54" i="2"/>
  <c r="Y54" i="2"/>
  <c r="I54" i="2"/>
  <c r="H54" i="2"/>
  <c r="T54" i="2"/>
  <c r="AA54" i="2"/>
  <c r="P70" i="2"/>
  <c r="M70" i="2"/>
  <c r="O70" i="2"/>
  <c r="U70" i="2"/>
  <c r="R70" i="2"/>
  <c r="Y70" i="2"/>
  <c r="L70" i="2"/>
  <c r="AA70" i="2"/>
  <c r="K70" i="2"/>
  <c r="I70" i="2"/>
  <c r="N70" i="2"/>
  <c r="Q70" i="2"/>
  <c r="X70" i="2"/>
  <c r="H70" i="2"/>
  <c r="W70" i="2"/>
  <c r="G70" i="2"/>
  <c r="Z70" i="2"/>
  <c r="J70" i="2"/>
  <c r="E70" i="2"/>
  <c r="T70" i="2"/>
  <c r="D70" i="2"/>
  <c r="S70" i="2"/>
  <c r="C70" i="2"/>
  <c r="V70" i="2"/>
  <c r="F70" i="2"/>
  <c r="V76" i="2"/>
  <c r="F76" i="2"/>
  <c r="M76" i="2"/>
  <c r="T76" i="2"/>
  <c r="W76" i="2"/>
  <c r="K76" i="2"/>
  <c r="R76" i="2"/>
  <c r="Y76" i="2"/>
  <c r="I76" i="2"/>
  <c r="AA76" i="2"/>
  <c r="L76" i="2"/>
  <c r="C76" i="2"/>
  <c r="N76" i="2"/>
  <c r="U76" i="2"/>
  <c r="E76" i="2"/>
  <c r="O76" i="2"/>
  <c r="D76" i="2"/>
  <c r="P76" i="2"/>
  <c r="Z76" i="2"/>
  <c r="J76" i="2"/>
  <c r="Q76" i="2"/>
  <c r="X76" i="2"/>
  <c r="G76" i="2"/>
  <c r="S76" i="2"/>
  <c r="H76" i="2"/>
  <c r="N58" i="2"/>
  <c r="U58" i="2"/>
  <c r="E58" i="2"/>
  <c r="AA58" i="2"/>
  <c r="X58" i="2"/>
  <c r="O58" i="2"/>
  <c r="Z58" i="2"/>
  <c r="J58" i="2"/>
  <c r="Q58" i="2"/>
  <c r="T58" i="2"/>
  <c r="S58" i="2"/>
  <c r="P58" i="2"/>
  <c r="G58" i="2"/>
  <c r="V58" i="2"/>
  <c r="F58" i="2"/>
  <c r="M58" i="2"/>
  <c r="L58" i="2"/>
  <c r="K58" i="2"/>
  <c r="H58" i="2"/>
  <c r="R58" i="2"/>
  <c r="Y58" i="2"/>
  <c r="I58" i="2"/>
  <c r="D58" i="2"/>
  <c r="C58" i="2"/>
  <c r="W58" i="2"/>
  <c r="U57" i="2"/>
  <c r="E57" i="2"/>
  <c r="L57" i="2"/>
  <c r="O57" i="2"/>
  <c r="F57" i="2"/>
  <c r="C57" i="2"/>
  <c r="Q57" i="2"/>
  <c r="X57" i="2"/>
  <c r="H57" i="2"/>
  <c r="G57" i="2"/>
  <c r="AA57" i="2"/>
  <c r="Z57" i="2"/>
  <c r="M57" i="2"/>
  <c r="T57" i="2"/>
  <c r="D57" i="2"/>
  <c r="V57" i="2"/>
  <c r="S57" i="2"/>
  <c r="R57" i="2"/>
  <c r="Y57" i="2"/>
  <c r="I57" i="2"/>
  <c r="P57" i="2"/>
  <c r="W57" i="2"/>
  <c r="N57" i="2"/>
  <c r="K57" i="2"/>
  <c r="J57" i="2"/>
  <c r="T60" i="2"/>
  <c r="W60" i="2"/>
  <c r="G60" i="2"/>
  <c r="D60" i="2"/>
  <c r="C60" i="2"/>
  <c r="E60" i="2"/>
  <c r="P60" i="2"/>
  <c r="S60" i="2"/>
  <c r="Y60" i="2"/>
  <c r="V60" i="2"/>
  <c r="U60" i="2"/>
  <c r="M60" i="2"/>
  <c r="L60" i="2"/>
  <c r="O60" i="2"/>
  <c r="Q60" i="2"/>
  <c r="N60" i="2"/>
  <c r="F60" i="2"/>
  <c r="Z60" i="2"/>
  <c r="X60" i="2"/>
  <c r="AA60" i="2"/>
  <c r="K60" i="2"/>
  <c r="I60" i="2"/>
  <c r="H60" i="2"/>
  <c r="R60" i="2"/>
  <c r="J60" i="2"/>
  <c r="U49" i="2"/>
  <c r="E49" i="2"/>
  <c r="L49" i="2"/>
  <c r="R49" i="2"/>
  <c r="C49" i="2"/>
  <c r="K49" i="2"/>
  <c r="Q49" i="2"/>
  <c r="X49" i="2"/>
  <c r="H49" i="2"/>
  <c r="J49" i="2"/>
  <c r="W49" i="2"/>
  <c r="V49" i="2"/>
  <c r="M49" i="2"/>
  <c r="T49" i="2"/>
  <c r="D49" i="2"/>
  <c r="AA49" i="2"/>
  <c r="O49" i="2"/>
  <c r="N49" i="2"/>
  <c r="Y49" i="2"/>
  <c r="I49" i="2"/>
  <c r="P49" i="2"/>
  <c r="Z49" i="2"/>
  <c r="S49" i="2"/>
  <c r="G49" i="2"/>
  <c r="F49" i="2"/>
  <c r="T52" i="2"/>
  <c r="D52" i="2"/>
  <c r="O52" i="2"/>
  <c r="V52" i="2"/>
  <c r="M52" i="2"/>
  <c r="J52" i="2"/>
  <c r="P52" i="2"/>
  <c r="AA52" i="2"/>
  <c r="K52" i="2"/>
  <c r="N52" i="2"/>
  <c r="E52" i="2"/>
  <c r="I52" i="2"/>
  <c r="L52" i="2"/>
  <c r="W52" i="2"/>
  <c r="G52" i="2"/>
  <c r="F52" i="2"/>
  <c r="Z52" i="2"/>
  <c r="Q52" i="2"/>
  <c r="X52" i="2"/>
  <c r="H52" i="2"/>
  <c r="S52" i="2"/>
  <c r="C52" i="2"/>
  <c r="U52" i="2"/>
  <c r="R52" i="2"/>
  <c r="Y52" i="2"/>
  <c r="L45" i="2"/>
  <c r="W45" i="2"/>
  <c r="G45" i="2"/>
  <c r="R45" i="2"/>
  <c r="Y45" i="2"/>
  <c r="M45" i="2"/>
  <c r="X45" i="2"/>
  <c r="H45" i="2"/>
  <c r="S45" i="2"/>
  <c r="C45" i="2"/>
  <c r="N45" i="2"/>
  <c r="I45" i="2"/>
  <c r="Q45" i="2"/>
  <c r="T45" i="2"/>
  <c r="D45" i="2"/>
  <c r="O45" i="2"/>
  <c r="Z45" i="2"/>
  <c r="J45" i="2"/>
  <c r="U45" i="2"/>
  <c r="P45" i="2"/>
  <c r="AA45" i="2"/>
  <c r="K45" i="2"/>
  <c r="V45" i="2"/>
  <c r="F45" i="2"/>
  <c r="E45" i="2"/>
  <c r="AA55" i="2"/>
  <c r="K55" i="2"/>
  <c r="V55" i="2"/>
  <c r="F55" i="2"/>
  <c r="T55" i="2"/>
  <c r="Q55" i="2"/>
  <c r="P55" i="2"/>
  <c r="W55" i="2"/>
  <c r="G55" i="2"/>
  <c r="R55" i="2"/>
  <c r="U55" i="2"/>
  <c r="L55" i="2"/>
  <c r="I55" i="2"/>
  <c r="S55" i="2"/>
  <c r="C55" i="2"/>
  <c r="N55" i="2"/>
  <c r="M55" i="2"/>
  <c r="D55" i="2"/>
  <c r="X55" i="2"/>
  <c r="O55" i="2"/>
  <c r="Z55" i="2"/>
  <c r="J55" i="2"/>
  <c r="E55" i="2"/>
  <c r="Y55" i="2"/>
  <c r="H55" i="2"/>
  <c r="Z43" i="2"/>
  <c r="J43" i="2"/>
  <c r="Q43" i="2"/>
  <c r="X43" i="2"/>
  <c r="H43" i="2"/>
  <c r="AA43" i="2"/>
  <c r="G43" i="2"/>
  <c r="V43" i="2"/>
  <c r="F43" i="2"/>
  <c r="M43" i="2"/>
  <c r="T43" i="2"/>
  <c r="D43" i="2"/>
  <c r="K43" i="2"/>
  <c r="R43" i="2"/>
  <c r="Y43" i="2"/>
  <c r="I43" i="2"/>
  <c r="P43" i="2"/>
  <c r="O43" i="2"/>
  <c r="S43" i="2"/>
  <c r="N43" i="2"/>
  <c r="U43" i="2"/>
  <c r="E43" i="2"/>
  <c r="L43" i="2"/>
  <c r="C43" i="2"/>
  <c r="W43" i="2"/>
  <c r="P78" i="2"/>
  <c r="W78" i="2"/>
  <c r="AA78" i="2"/>
  <c r="F78" i="2"/>
  <c r="J78" i="2"/>
  <c r="C78" i="2"/>
  <c r="L78" i="2"/>
  <c r="R78" i="2"/>
  <c r="V78" i="2"/>
  <c r="Z78" i="2"/>
  <c r="E78" i="2"/>
  <c r="X78" i="2"/>
  <c r="H78" i="2"/>
  <c r="M78" i="2"/>
  <c r="Q78" i="2"/>
  <c r="U78" i="2"/>
  <c r="I78" i="2"/>
  <c r="N78" i="2"/>
  <c r="T78" i="2"/>
  <c r="D78" i="2"/>
  <c r="G78" i="2"/>
  <c r="K78" i="2"/>
  <c r="O78" i="2"/>
  <c r="Y78" i="2"/>
  <c r="S78" i="2"/>
  <c r="R47" i="2"/>
  <c r="AA47" i="2"/>
  <c r="Y47" i="2"/>
  <c r="I47" i="2"/>
  <c r="C47" i="2"/>
  <c r="L47" i="2"/>
  <c r="N47" i="2"/>
  <c r="S47" i="2"/>
  <c r="U47" i="2"/>
  <c r="E47" i="2"/>
  <c r="X47" i="2"/>
  <c r="H47" i="2"/>
  <c r="Z47" i="2"/>
  <c r="J47" i="2"/>
  <c r="O47" i="2"/>
  <c r="Q47" i="2"/>
  <c r="W47" i="2"/>
  <c r="T47" i="2"/>
  <c r="D47" i="2"/>
  <c r="V47" i="2"/>
  <c r="F47" i="2"/>
  <c r="G47" i="2"/>
  <c r="M47" i="2"/>
  <c r="K47" i="2"/>
  <c r="P47" i="2"/>
  <c r="Z82" i="2"/>
  <c r="J82" i="2"/>
  <c r="Q82" i="2"/>
  <c r="T82" i="2"/>
  <c r="S82" i="2"/>
  <c r="P82" i="2"/>
  <c r="O82" i="2"/>
  <c r="V82" i="2"/>
  <c r="F82" i="2"/>
  <c r="M82" i="2"/>
  <c r="L82" i="2"/>
  <c r="K82" i="2"/>
  <c r="H82" i="2"/>
  <c r="R82" i="2"/>
  <c r="Y82" i="2"/>
  <c r="I82" i="2"/>
  <c r="D82" i="2"/>
  <c r="C82" i="2"/>
  <c r="W82" i="2"/>
  <c r="N82" i="2"/>
  <c r="U82" i="2"/>
  <c r="E82" i="2"/>
  <c r="AA82" i="2"/>
  <c r="X82" i="2"/>
  <c r="G82" i="2"/>
  <c r="AA102" i="2"/>
  <c r="K102" i="2"/>
  <c r="V102" i="2"/>
  <c r="F102" i="2"/>
  <c r="L102" i="2"/>
  <c r="U102" i="2"/>
  <c r="E102" i="2"/>
  <c r="O102" i="2"/>
  <c r="W102" i="2"/>
  <c r="G102" i="2"/>
  <c r="R102" i="2"/>
  <c r="X102" i="2"/>
  <c r="H102" i="2"/>
  <c r="Q102" i="2"/>
  <c r="J102" i="2"/>
  <c r="Y102" i="2"/>
  <c r="S102" i="2"/>
  <c r="C102" i="2"/>
  <c r="N102" i="2"/>
  <c r="T102" i="2"/>
  <c r="D102" i="2"/>
  <c r="M102" i="2"/>
  <c r="Z102" i="2"/>
  <c r="P102" i="2"/>
  <c r="I102" i="2"/>
  <c r="Q39" i="2"/>
  <c r="X39" i="2"/>
  <c r="H39" i="2"/>
  <c r="S39" i="2"/>
  <c r="C39" i="2"/>
  <c r="J39" i="2"/>
  <c r="U39" i="2"/>
  <c r="E39" i="2"/>
  <c r="L39" i="2"/>
  <c r="Z39" i="2"/>
  <c r="M39" i="2"/>
  <c r="T39" i="2"/>
  <c r="D39" i="2"/>
  <c r="O39" i="2"/>
  <c r="N39" i="2"/>
  <c r="V39" i="2"/>
  <c r="Y39" i="2"/>
  <c r="I39" i="2"/>
  <c r="P39" i="2"/>
  <c r="AA39" i="2"/>
  <c r="K39" i="2"/>
  <c r="R39" i="2"/>
  <c r="F39" i="2"/>
  <c r="W39" i="2"/>
  <c r="G39" i="2"/>
  <c r="W32" i="2"/>
  <c r="G32" i="2"/>
  <c r="N32" i="2"/>
  <c r="R32" i="2"/>
  <c r="Q32" i="2"/>
  <c r="Z32" i="2"/>
  <c r="S32" i="2"/>
  <c r="C32" i="2"/>
  <c r="I32" i="2"/>
  <c r="M32" i="2"/>
  <c r="L32" i="2"/>
  <c r="E32" i="2"/>
  <c r="O32" i="2"/>
  <c r="Y32" i="2"/>
  <c r="D32" i="2"/>
  <c r="H32" i="2"/>
  <c r="F32" i="2"/>
  <c r="P32" i="2"/>
  <c r="AA32" i="2"/>
  <c r="K32" i="2"/>
  <c r="T32" i="2"/>
  <c r="X32" i="2"/>
  <c r="V32" i="2"/>
  <c r="J32" i="2"/>
  <c r="U32" i="2"/>
  <c r="O29" i="2"/>
  <c r="Z29" i="2"/>
  <c r="J29" i="2"/>
  <c r="Y29" i="2"/>
  <c r="I29" i="2"/>
  <c r="L29" i="2"/>
  <c r="C29" i="2"/>
  <c r="N29" i="2"/>
  <c r="H29" i="2"/>
  <c r="T29" i="2"/>
  <c r="AA29" i="2"/>
  <c r="K29" i="2"/>
  <c r="V29" i="2"/>
  <c r="F29" i="2"/>
  <c r="U29" i="2"/>
  <c r="E29" i="2"/>
  <c r="D29" i="2"/>
  <c r="S29" i="2"/>
  <c r="W29" i="2"/>
  <c r="G29" i="2"/>
  <c r="R29" i="2"/>
  <c r="P29" i="2"/>
  <c r="Q29" i="2"/>
  <c r="X29" i="2"/>
  <c r="M29" i="2"/>
  <c r="Q37" i="2"/>
  <c r="V37" i="2"/>
  <c r="T37" i="2"/>
  <c r="D37" i="2"/>
  <c r="W37" i="2"/>
  <c r="G37" i="2"/>
  <c r="E37" i="2"/>
  <c r="X37" i="2"/>
  <c r="AA37" i="2"/>
  <c r="K37" i="2"/>
  <c r="M37" i="2"/>
  <c r="R37" i="2"/>
  <c r="P37" i="2"/>
  <c r="Z37" i="2"/>
  <c r="S37" i="2"/>
  <c r="C37" i="2"/>
  <c r="Y37" i="2"/>
  <c r="I37" i="2"/>
  <c r="F37" i="2"/>
  <c r="L37" i="2"/>
  <c r="N37" i="2"/>
  <c r="O37" i="2"/>
  <c r="J37" i="2"/>
  <c r="U37" i="2"/>
  <c r="H37" i="2"/>
  <c r="M31" i="2"/>
  <c r="T31" i="2"/>
  <c r="D31" i="2"/>
  <c r="O31" i="2"/>
  <c r="V31" i="2"/>
  <c r="F31" i="2"/>
  <c r="Y31" i="2"/>
  <c r="I31" i="2"/>
  <c r="P31" i="2"/>
  <c r="AA31" i="2"/>
  <c r="K31" i="2"/>
  <c r="G31" i="2"/>
  <c r="C31" i="2"/>
  <c r="U31" i="2"/>
  <c r="E31" i="2"/>
  <c r="L31" i="2"/>
  <c r="W31" i="2"/>
  <c r="Z31" i="2"/>
  <c r="N31" i="2"/>
  <c r="X31" i="2"/>
  <c r="H31" i="2"/>
  <c r="J31" i="2"/>
  <c r="Q31" i="2"/>
  <c r="S31" i="2"/>
  <c r="R31" i="2"/>
  <c r="Y95" i="2"/>
  <c r="I95" i="2"/>
  <c r="E95" i="2"/>
  <c r="Q95" i="2"/>
  <c r="C95" i="2"/>
  <c r="L95" i="2"/>
  <c r="T95" i="2"/>
  <c r="J95" i="2"/>
  <c r="M95" i="2"/>
  <c r="H95" i="2"/>
  <c r="P95" i="2"/>
  <c r="F95" i="2"/>
  <c r="R95" i="2"/>
  <c r="V95" i="2"/>
  <c r="W95" i="2"/>
  <c r="N95" i="2"/>
  <c r="Z95" i="2"/>
  <c r="X95" i="2"/>
  <c r="O95" i="2"/>
  <c r="D95" i="2"/>
  <c r="S95" i="2"/>
  <c r="K95" i="2"/>
  <c r="AA95" i="2"/>
  <c r="G95" i="2"/>
  <c r="U95" i="2"/>
  <c r="Q105" i="2"/>
  <c r="C105" i="2"/>
  <c r="E105" i="2"/>
  <c r="AA105" i="2"/>
  <c r="M105" i="2"/>
  <c r="D105" i="2"/>
  <c r="F105" i="2"/>
  <c r="L105" i="2"/>
  <c r="U105" i="2"/>
  <c r="J105" i="2"/>
  <c r="R105" i="2"/>
  <c r="Z105" i="2"/>
  <c r="P105" i="2"/>
  <c r="N105" i="2"/>
  <c r="K105" i="2"/>
  <c r="G105" i="2"/>
  <c r="S105" i="2"/>
  <c r="I105" i="2"/>
  <c r="H105" i="2"/>
  <c r="X105" i="2"/>
  <c r="T105" i="2"/>
  <c r="O105" i="2"/>
  <c r="V105" i="2"/>
  <c r="Y105" i="2"/>
  <c r="W105" i="2"/>
  <c r="C97" i="2"/>
  <c r="F97" i="2"/>
  <c r="I97" i="2"/>
  <c r="AA97" i="2"/>
  <c r="L97" i="2"/>
  <c r="G97" i="2"/>
  <c r="J97" i="2"/>
  <c r="Z97" i="2"/>
  <c r="W97" i="2"/>
  <c r="E97" i="2"/>
  <c r="D97" i="2"/>
  <c r="O97" i="2"/>
  <c r="P97" i="2"/>
  <c r="K97" i="2"/>
  <c r="Y97" i="2"/>
  <c r="H97" i="2"/>
  <c r="U97" i="2"/>
  <c r="T97" i="2"/>
  <c r="X97" i="2"/>
  <c r="V97" i="2"/>
  <c r="S97" i="2"/>
  <c r="M97" i="2"/>
  <c r="R97" i="2"/>
  <c r="Q97" i="2"/>
  <c r="N97" i="2"/>
  <c r="Q42" i="2"/>
  <c r="X42" i="2"/>
  <c r="H42" i="2"/>
  <c r="G42" i="2"/>
  <c r="AA42" i="2"/>
  <c r="Z42" i="2"/>
  <c r="M42" i="2"/>
  <c r="T42" i="2"/>
  <c r="D42" i="2"/>
  <c r="V42" i="2"/>
  <c r="S42" i="2"/>
  <c r="J42" i="2"/>
  <c r="Y42" i="2"/>
  <c r="I42" i="2"/>
  <c r="P42" i="2"/>
  <c r="W42" i="2"/>
  <c r="N42" i="2"/>
  <c r="K42" i="2"/>
  <c r="R42" i="2"/>
  <c r="U42" i="2"/>
  <c r="E42" i="2"/>
  <c r="L42" i="2"/>
  <c r="O42" i="2"/>
  <c r="F42" i="2"/>
  <c r="C42" i="2"/>
  <c r="X41" i="2"/>
  <c r="H41" i="2"/>
  <c r="S41" i="2"/>
  <c r="C41" i="2"/>
  <c r="Y41" i="2"/>
  <c r="N41" i="2"/>
  <c r="U41" i="2"/>
  <c r="T41" i="2"/>
  <c r="D41" i="2"/>
  <c r="O41" i="2"/>
  <c r="Z41" i="2"/>
  <c r="Q41" i="2"/>
  <c r="F41" i="2"/>
  <c r="P41" i="2"/>
  <c r="AA41" i="2"/>
  <c r="K41" i="2"/>
  <c r="R41" i="2"/>
  <c r="I41" i="2"/>
  <c r="E41" i="2"/>
  <c r="L41" i="2"/>
  <c r="W41" i="2"/>
  <c r="G41" i="2"/>
  <c r="J41" i="2"/>
  <c r="V41" i="2"/>
  <c r="M41" i="2"/>
  <c r="O83" i="2"/>
  <c r="Z83" i="2"/>
  <c r="J83" i="2"/>
  <c r="I83" i="2"/>
  <c r="U83" i="2"/>
  <c r="D83" i="2"/>
  <c r="AA83" i="2"/>
  <c r="K83" i="2"/>
  <c r="V83" i="2"/>
  <c r="F83" i="2"/>
  <c r="X83" i="2"/>
  <c r="M83" i="2"/>
  <c r="L83" i="2"/>
  <c r="W83" i="2"/>
  <c r="G83" i="2"/>
  <c r="R83" i="2"/>
  <c r="Y83" i="2"/>
  <c r="P83" i="2"/>
  <c r="E83" i="2"/>
  <c r="S83" i="2"/>
  <c r="C83" i="2"/>
  <c r="N83" i="2"/>
  <c r="Q83" i="2"/>
  <c r="H83" i="2"/>
  <c r="T83" i="2"/>
  <c r="L30" i="2"/>
  <c r="W30" i="2"/>
  <c r="G30" i="2"/>
  <c r="E30" i="2"/>
  <c r="N30" i="2"/>
  <c r="Q30" i="2"/>
  <c r="X30" i="2"/>
  <c r="H30" i="2"/>
  <c r="S30" i="2"/>
  <c r="C30" i="2"/>
  <c r="Z30" i="2"/>
  <c r="J30" i="2"/>
  <c r="I30" i="2"/>
  <c r="T30" i="2"/>
  <c r="D30" i="2"/>
  <c r="O30" i="2"/>
  <c r="U30" i="2"/>
  <c r="V30" i="2"/>
  <c r="F30" i="2"/>
  <c r="P30" i="2"/>
  <c r="AA30" i="2"/>
  <c r="K30" i="2"/>
  <c r="M30" i="2"/>
  <c r="R30" i="2"/>
  <c r="Y30" i="2"/>
  <c r="I96" i="2"/>
  <c r="V96" i="2"/>
  <c r="H96" i="2"/>
  <c r="D96" i="2"/>
  <c r="P96" i="2"/>
  <c r="T96" i="2"/>
  <c r="Y96" i="2"/>
  <c r="M96" i="2"/>
  <c r="S96" i="2"/>
  <c r="R96" i="2"/>
  <c r="G96" i="2"/>
  <c r="Z96" i="2"/>
  <c r="L96" i="2"/>
  <c r="AA96" i="2"/>
  <c r="K96" i="2"/>
  <c r="E96" i="2"/>
  <c r="N96" i="2"/>
  <c r="Q96" i="2"/>
  <c r="O96" i="2"/>
  <c r="W96" i="2"/>
  <c r="F96" i="2"/>
  <c r="C96" i="2"/>
  <c r="X96" i="2"/>
  <c r="J96" i="2"/>
  <c r="U96" i="2"/>
  <c r="Z99" i="2"/>
  <c r="E99" i="2"/>
  <c r="O99" i="2"/>
  <c r="Q99" i="2"/>
  <c r="V99" i="2"/>
  <c r="AA99" i="2"/>
  <c r="R99" i="2"/>
  <c r="Y99" i="2"/>
  <c r="G99" i="2"/>
  <c r="W99" i="2"/>
  <c r="U99" i="2"/>
  <c r="P99" i="2"/>
  <c r="H99" i="2"/>
  <c r="C99" i="2"/>
  <c r="X99" i="2"/>
  <c r="M99" i="2"/>
  <c r="F99" i="2"/>
  <c r="J99" i="2"/>
  <c r="T99" i="2"/>
  <c r="S99" i="2"/>
  <c r="D99" i="2"/>
  <c r="I99" i="2"/>
  <c r="N99" i="2"/>
  <c r="K99" i="2"/>
  <c r="L99" i="2"/>
  <c r="S40" i="2"/>
  <c r="C40" i="2"/>
  <c r="I40" i="2"/>
  <c r="M40" i="2"/>
  <c r="L40" i="2"/>
  <c r="U40" i="2"/>
  <c r="O40" i="2"/>
  <c r="Y40" i="2"/>
  <c r="D40" i="2"/>
  <c r="H40" i="2"/>
  <c r="F40" i="2"/>
  <c r="Z40" i="2"/>
  <c r="AA40" i="2"/>
  <c r="K40" i="2"/>
  <c r="T40" i="2"/>
  <c r="X40" i="2"/>
  <c r="V40" i="2"/>
  <c r="P40" i="2"/>
  <c r="E40" i="2"/>
  <c r="W40" i="2"/>
  <c r="G40" i="2"/>
  <c r="N40" i="2"/>
  <c r="R40" i="2"/>
  <c r="Q40" i="2"/>
  <c r="J40" i="2"/>
  <c r="Y34" i="2"/>
  <c r="I34" i="2"/>
  <c r="N34" i="2"/>
  <c r="R34" i="2"/>
  <c r="V34" i="2"/>
  <c r="Z34" i="2"/>
  <c r="O34" i="2"/>
  <c r="U34" i="2"/>
  <c r="E34" i="2"/>
  <c r="H34" i="2"/>
  <c r="L34" i="2"/>
  <c r="P34" i="2"/>
  <c r="D34" i="2"/>
  <c r="Q34" i="2"/>
  <c r="X34" i="2"/>
  <c r="C34" i="2"/>
  <c r="G34" i="2"/>
  <c r="K34" i="2"/>
  <c r="T34" i="2"/>
  <c r="M34" i="2"/>
  <c r="S34" i="2"/>
  <c r="W34" i="2"/>
  <c r="AA34" i="2"/>
  <c r="F34" i="2"/>
  <c r="J34" i="2"/>
  <c r="T38" i="2"/>
  <c r="D38" i="2"/>
  <c r="O38" i="2"/>
  <c r="R38" i="2"/>
  <c r="Q38" i="2"/>
  <c r="C38" i="2"/>
  <c r="H38" i="2"/>
  <c r="V38" i="2"/>
  <c r="M38" i="2"/>
  <c r="P38" i="2"/>
  <c r="AA38" i="2"/>
  <c r="K38" i="2"/>
  <c r="N38" i="2"/>
  <c r="E38" i="2"/>
  <c r="G38" i="2"/>
  <c r="X38" i="2"/>
  <c r="S38" i="2"/>
  <c r="F38" i="2"/>
  <c r="I38" i="2"/>
  <c r="L38" i="2"/>
  <c r="W38" i="2"/>
  <c r="Z38" i="2"/>
  <c r="J38" i="2"/>
  <c r="U38" i="2"/>
  <c r="Y38" i="2"/>
  <c r="O104" i="2"/>
  <c r="S104" i="2"/>
  <c r="N104" i="2"/>
  <c r="R104" i="2"/>
  <c r="Y104" i="2"/>
  <c r="M104" i="2"/>
  <c r="T104" i="2"/>
  <c r="G104" i="2"/>
  <c r="E104" i="2"/>
  <c r="AA104" i="2"/>
  <c r="D104" i="2"/>
  <c r="J104" i="2"/>
  <c r="K104" i="2"/>
  <c r="C104" i="2"/>
  <c r="Z104" i="2"/>
  <c r="I104" i="2"/>
  <c r="L104" i="2"/>
  <c r="W104" i="2"/>
  <c r="H104" i="2"/>
  <c r="P104" i="2"/>
  <c r="V104" i="2"/>
  <c r="F104" i="2"/>
  <c r="X104" i="2"/>
  <c r="Q104" i="2"/>
  <c r="U104" i="2"/>
  <c r="Y98" i="2"/>
  <c r="V98" i="2"/>
  <c r="P98" i="2"/>
  <c r="M98" i="2"/>
  <c r="D98" i="2"/>
  <c r="E98" i="2"/>
  <c r="J98" i="2"/>
  <c r="O98" i="2"/>
  <c r="H98" i="2"/>
  <c r="Z98" i="2"/>
  <c r="F98" i="2"/>
  <c r="AA98" i="2"/>
  <c r="Q98" i="2"/>
  <c r="R98" i="2"/>
  <c r="U98" i="2"/>
  <c r="K98" i="2"/>
  <c r="N98" i="2"/>
  <c r="X98" i="2"/>
  <c r="I98" i="2"/>
  <c r="G98" i="2"/>
  <c r="W98" i="2"/>
  <c r="T98" i="2"/>
  <c r="S98" i="2"/>
  <c r="C98" i="2"/>
  <c r="L98" i="2"/>
  <c r="Z35" i="2"/>
  <c r="J35" i="2"/>
  <c r="P35" i="2"/>
  <c r="T35" i="2"/>
  <c r="X35" i="2"/>
  <c r="C35" i="2"/>
  <c r="L35" i="2"/>
  <c r="V35" i="2"/>
  <c r="F35" i="2"/>
  <c r="K35" i="2"/>
  <c r="O35" i="2"/>
  <c r="S35" i="2"/>
  <c r="W35" i="2"/>
  <c r="R35" i="2"/>
  <c r="AA35" i="2"/>
  <c r="E35" i="2"/>
  <c r="I35" i="2"/>
  <c r="M35" i="2"/>
  <c r="Q35" i="2"/>
  <c r="N35" i="2"/>
  <c r="U35" i="2"/>
  <c r="Y35" i="2"/>
  <c r="D35" i="2"/>
  <c r="H35" i="2"/>
  <c r="G35" i="2"/>
  <c r="W36" i="2"/>
  <c r="G36" i="2"/>
  <c r="M36" i="2"/>
  <c r="L36" i="2"/>
  <c r="P36" i="2"/>
  <c r="D36" i="2"/>
  <c r="S36" i="2"/>
  <c r="C36" i="2"/>
  <c r="H36" i="2"/>
  <c r="F36" i="2"/>
  <c r="J36" i="2"/>
  <c r="N36" i="2"/>
  <c r="O36" i="2"/>
  <c r="X36" i="2"/>
  <c r="V36" i="2"/>
  <c r="Z36" i="2"/>
  <c r="E36" i="2"/>
  <c r="Y36" i="2"/>
  <c r="AA36" i="2"/>
  <c r="K36" i="2"/>
  <c r="R36" i="2"/>
  <c r="Q36" i="2"/>
  <c r="U36" i="2"/>
  <c r="T36" i="2"/>
  <c r="I36" i="2"/>
  <c r="AA100" i="2"/>
  <c r="K100" i="2"/>
  <c r="P100" i="2"/>
  <c r="R100" i="2"/>
  <c r="Y100" i="2"/>
  <c r="I100" i="2"/>
  <c r="D100" i="2"/>
  <c r="X100" i="2"/>
  <c r="F100" i="2"/>
  <c r="W100" i="2"/>
  <c r="G100" i="2"/>
  <c r="H100" i="2"/>
  <c r="N100" i="2"/>
  <c r="U100" i="2"/>
  <c r="E100" i="2"/>
  <c r="S100" i="2"/>
  <c r="C100" i="2"/>
  <c r="Z100" i="2"/>
  <c r="J100" i="2"/>
  <c r="Q100" i="2"/>
  <c r="T100" i="2"/>
  <c r="O100" i="2"/>
  <c r="V100" i="2"/>
  <c r="M100" i="2"/>
  <c r="L100" i="2"/>
  <c r="S103" i="2"/>
  <c r="C103" i="2"/>
  <c r="M103" i="2"/>
  <c r="T103" i="2"/>
  <c r="Z103" i="2"/>
  <c r="J103" i="2"/>
  <c r="W103" i="2"/>
  <c r="Q103" i="2"/>
  <c r="H103" i="2"/>
  <c r="O103" i="2"/>
  <c r="Y103" i="2"/>
  <c r="I103" i="2"/>
  <c r="P103" i="2"/>
  <c r="V103" i="2"/>
  <c r="F103" i="2"/>
  <c r="G103" i="2"/>
  <c r="X103" i="2"/>
  <c r="N103" i="2"/>
  <c r="AA103" i="2"/>
  <c r="K103" i="2"/>
  <c r="U103" i="2"/>
  <c r="E103" i="2"/>
  <c r="L103" i="2"/>
  <c r="R103" i="2"/>
  <c r="D103" i="2"/>
  <c r="L33" i="2"/>
  <c r="V33" i="2"/>
  <c r="Z33" i="2"/>
  <c r="E33" i="2"/>
  <c r="I33" i="2"/>
  <c r="R33" i="2"/>
  <c r="X33" i="2"/>
  <c r="H33" i="2"/>
  <c r="Q33" i="2"/>
  <c r="U33" i="2"/>
  <c r="Y33" i="2"/>
  <c r="C33" i="2"/>
  <c r="M33" i="2"/>
  <c r="T33" i="2"/>
  <c r="D33" i="2"/>
  <c r="K33" i="2"/>
  <c r="O33" i="2"/>
  <c r="S33" i="2"/>
  <c r="G33" i="2"/>
  <c r="P33" i="2"/>
  <c r="AA33" i="2"/>
  <c r="F33" i="2"/>
  <c r="J33" i="2"/>
  <c r="N33" i="2"/>
  <c r="W33" i="2"/>
  <c r="V101" i="2"/>
  <c r="F101" i="2"/>
  <c r="M101" i="2"/>
  <c r="W101" i="2"/>
  <c r="C101" i="2"/>
  <c r="L101" i="2"/>
  <c r="R101" i="2"/>
  <c r="Y101" i="2"/>
  <c r="I101" i="2"/>
  <c r="S101" i="2"/>
  <c r="X101" i="2"/>
  <c r="H101" i="2"/>
  <c r="J101" i="2"/>
  <c r="N101" i="2"/>
  <c r="U101" i="2"/>
  <c r="E101" i="2"/>
  <c r="O101" i="2"/>
  <c r="T101" i="2"/>
  <c r="D101" i="2"/>
  <c r="Z101" i="2"/>
  <c r="Q101" i="2"/>
  <c r="AA101" i="2"/>
  <c r="K101" i="2"/>
  <c r="P101" i="2"/>
  <c r="G101" i="2"/>
</calcChain>
</file>

<file path=xl/sharedStrings.xml><?xml version="1.0" encoding="utf-8"?>
<sst xmlns="http://schemas.openxmlformats.org/spreadsheetml/2006/main" count="5629" uniqueCount="351">
  <si>
    <t>Padrão :</t>
  </si>
  <si>
    <t>Temperatura da Calibração :</t>
  </si>
  <si>
    <t>°C</t>
  </si>
  <si>
    <t>X8</t>
  </si>
  <si>
    <t>X7</t>
  </si>
  <si>
    <t>X6</t>
  </si>
  <si>
    <t>X5</t>
  </si>
  <si>
    <t>X4</t>
  </si>
  <si>
    <t>X3</t>
  </si>
  <si>
    <t>X2</t>
  </si>
  <si>
    <t>X1</t>
  </si>
  <si>
    <t>X0</t>
  </si>
  <si>
    <t>Identificação :</t>
  </si>
  <si>
    <t>Orgão Calibrador :</t>
  </si>
  <si>
    <t>Rastreabilidade :</t>
  </si>
  <si>
    <t>N° do certificado :</t>
  </si>
  <si>
    <t>Data da Calibração :</t>
  </si>
  <si>
    <t>Vencimento da Calibração :</t>
  </si>
  <si>
    <t>~</t>
  </si>
  <si>
    <t>Divisão de escala :</t>
  </si>
  <si>
    <t>Valores da Calibração Atual</t>
  </si>
  <si>
    <t xml:space="preserve">Valor </t>
  </si>
  <si>
    <t>Leitura do</t>
  </si>
  <si>
    <t xml:space="preserve">Incerteza </t>
  </si>
  <si>
    <t>Referência</t>
  </si>
  <si>
    <t>Instrumento</t>
  </si>
  <si>
    <t>de Medição</t>
  </si>
  <si>
    <t>k</t>
  </si>
  <si>
    <t>Grau</t>
  </si>
  <si>
    <t>de liberdade</t>
  </si>
  <si>
    <t>Certificado de calibração :</t>
  </si>
  <si>
    <t>Calibração Anterior</t>
  </si>
  <si>
    <t>Certificado :</t>
  </si>
  <si>
    <t>Observações (particularidades para utilização)</t>
  </si>
  <si>
    <t>Erro Atual</t>
  </si>
  <si>
    <t>Erro Anterior</t>
  </si>
  <si>
    <t>Diferença</t>
  </si>
  <si>
    <t>Maior Deriva</t>
  </si>
  <si>
    <t>Desvio Máximo</t>
  </si>
  <si>
    <t>Maior incerteza (em unidade)</t>
  </si>
  <si>
    <t>Unidade calibrada :</t>
  </si>
  <si>
    <t>Faixa de medição :</t>
  </si>
  <si>
    <t>%UR</t>
  </si>
  <si>
    <t>Veff curva =</t>
  </si>
  <si>
    <t>Residuo =</t>
  </si>
  <si>
    <t>R² =</t>
  </si>
  <si>
    <t>Termohigrômetro Digital</t>
  </si>
  <si>
    <t>Polinômio da Curva</t>
  </si>
  <si>
    <t>TAG</t>
  </si>
  <si>
    <t>Padrão</t>
  </si>
  <si>
    <t>Calibrado por</t>
  </si>
  <si>
    <t>Rastreabilidade</t>
  </si>
  <si>
    <t>n° do certificado</t>
  </si>
  <si>
    <t>Data da Calibração</t>
  </si>
  <si>
    <t>Vencimento</t>
  </si>
  <si>
    <t>Unidade calibrada</t>
  </si>
  <si>
    <t>Faixa mínima</t>
  </si>
  <si>
    <t>Faixa máxima</t>
  </si>
  <si>
    <t>Resolução</t>
  </si>
  <si>
    <t>Maior desvio</t>
  </si>
  <si>
    <t>Maior Incerteza</t>
  </si>
  <si>
    <t>Deriva</t>
  </si>
  <si>
    <t>Residuo</t>
  </si>
  <si>
    <t>Veff</t>
  </si>
  <si>
    <t>Temperatura da umidade</t>
  </si>
  <si>
    <t>Elus</t>
  </si>
  <si>
    <t>RBC - CAL 0439</t>
  </si>
  <si>
    <t>EL-159</t>
  </si>
  <si>
    <t>Higrômetro de Ponto de Orvalho</t>
  </si>
  <si>
    <t>°CTd</t>
  </si>
  <si>
    <t>-</t>
  </si>
  <si>
    <t>°CTd/f</t>
  </si>
  <si>
    <t>%ur</t>
  </si>
  <si>
    <t>EL-194</t>
  </si>
  <si>
    <t>EL-815</t>
  </si>
  <si>
    <t>EL-797</t>
  </si>
  <si>
    <t>EL-800</t>
  </si>
  <si>
    <t>03008</t>
  </si>
  <si>
    <t>Ajustado</t>
  </si>
  <si>
    <t>EL-928</t>
  </si>
  <si>
    <t>EL-949</t>
  </si>
  <si>
    <t>EL-950</t>
  </si>
  <si>
    <t>R0040/20</t>
  </si>
  <si>
    <t>EL-952</t>
  </si>
  <si>
    <t>R0042/20</t>
  </si>
  <si>
    <t>EL-954</t>
  </si>
  <si>
    <t>R0044/20</t>
  </si>
  <si>
    <t>EL-955</t>
  </si>
  <si>
    <t>EL-957</t>
  </si>
  <si>
    <t>R0047/20</t>
  </si>
  <si>
    <t>EL-958</t>
  </si>
  <si>
    <t>R0048/20</t>
  </si>
  <si>
    <t>R0271/20</t>
  </si>
  <si>
    <t>5,00</t>
  </si>
  <si>
    <t>0,49</t>
  </si>
  <si>
    <t>19,99</t>
  </si>
  <si>
    <t>0,58</t>
  </si>
  <si>
    <t>29,98</t>
  </si>
  <si>
    <t>0,69</t>
  </si>
  <si>
    <t>50,00</t>
  </si>
  <si>
    <t>0,95</t>
  </si>
  <si>
    <t>80,0</t>
  </si>
  <si>
    <t>1,0</t>
  </si>
  <si>
    <t>95,0</t>
  </si>
  <si>
    <t>20,00</t>
  </si>
  <si>
    <t>30,00</t>
  </si>
  <si>
    <t>49,99</t>
  </si>
  <si>
    <t>4,32</t>
  </si>
  <si>
    <t>18,87</t>
  </si>
  <si>
    <t>29,36</t>
  </si>
  <si>
    <t>49,80</t>
  </si>
  <si>
    <t>79,87</t>
  </si>
  <si>
    <t>94,86</t>
  </si>
  <si>
    <t>4,35</t>
  </si>
  <si>
    <t>19,28</t>
  </si>
  <si>
    <t>29,90</t>
  </si>
  <si>
    <t>50,99</t>
  </si>
  <si>
    <t>81,46</t>
  </si>
  <si>
    <t>97,05</t>
  </si>
  <si>
    <t>R0205/21</t>
  </si>
  <si>
    <t>Foi realizada a troca do sensor de umidade relativa e ajuste da curva de calibração.</t>
  </si>
  <si>
    <t>R0212/21</t>
  </si>
  <si>
    <t>R0103/21</t>
  </si>
  <si>
    <t>R0152/21</t>
  </si>
  <si>
    <t>R0105/21</t>
  </si>
  <si>
    <t>LV02125-20115-21-R1</t>
  </si>
  <si>
    <t>&lt; maior diferença entre a media do erro nas temperaturas.</t>
  </si>
  <si>
    <t>Maior Deriva + Dif. Temperaturas</t>
  </si>
  <si>
    <t>maior deriva</t>
  </si>
  <si>
    <t>Dif. T</t>
  </si>
  <si>
    <t>R0371/21</t>
  </si>
  <si>
    <t>4,22</t>
  </si>
  <si>
    <t>19,78</t>
  </si>
  <si>
    <t>30,05</t>
  </si>
  <si>
    <t>49,01</t>
  </si>
  <si>
    <t>80,85</t>
  </si>
  <si>
    <t>96,30</t>
  </si>
  <si>
    <t>4,25</t>
  </si>
  <si>
    <t>19,24</t>
  </si>
  <si>
    <t>30,26</t>
  </si>
  <si>
    <t>50,79</t>
  </si>
  <si>
    <t>81,70</t>
  </si>
  <si>
    <t>97,00</t>
  </si>
  <si>
    <t>Sicamet</t>
  </si>
  <si>
    <t>EMA H111</t>
  </si>
  <si>
    <t>ICH.0058.22</t>
  </si>
  <si>
    <t>R0227/22</t>
  </si>
  <si>
    <t>R0124/22</t>
  </si>
  <si>
    <t>R0084/22</t>
  </si>
  <si>
    <t>Histórico de revisões do Formulário:</t>
  </si>
  <si>
    <t>N° do documento</t>
  </si>
  <si>
    <t>1ª Revisão</t>
  </si>
  <si>
    <t>por :</t>
  </si>
  <si>
    <t>Caio C.</t>
  </si>
  <si>
    <t>Ultima Revisão</t>
  </si>
  <si>
    <t>Revisão</t>
  </si>
  <si>
    <t>Data</t>
  </si>
  <si>
    <t>Revisado por:</t>
  </si>
  <si>
    <t>Verificado por:</t>
  </si>
  <si>
    <t>Descrição das alterações:</t>
  </si>
  <si>
    <t>Caio Cesar</t>
  </si>
  <si>
    <t>Julio Cesar</t>
  </si>
  <si>
    <t>Primeira revisão</t>
  </si>
  <si>
    <t>Atualização dos padrões EL-130</t>
  </si>
  <si>
    <t>Banco de dados - Umidade</t>
  </si>
  <si>
    <t>R0114/23</t>
  </si>
  <si>
    <t>R0118/23</t>
  </si>
  <si>
    <t>EL-1217</t>
  </si>
  <si>
    <t>R0116/23</t>
  </si>
  <si>
    <t>Atualização dos padrões EL-949/953/955/956/800 e inclusão EL-1216/1217.</t>
  </si>
  <si>
    <t>5,32</t>
  </si>
  <si>
    <t>20,03</t>
  </si>
  <si>
    <t>29,80</t>
  </si>
  <si>
    <t>29,97</t>
  </si>
  <si>
    <t>49,31</t>
  </si>
  <si>
    <t>49,98</t>
  </si>
  <si>
    <t>78,14</t>
  </si>
  <si>
    <t>79,97</t>
  </si>
  <si>
    <t>92,03</t>
  </si>
  <si>
    <t>94,7</t>
  </si>
  <si>
    <t>5,10</t>
  </si>
  <si>
    <t>5,04</t>
  </si>
  <si>
    <t>19,54</t>
  </si>
  <si>
    <t>29,38</t>
  </si>
  <si>
    <t>29,99</t>
  </si>
  <si>
    <t>49,11</t>
  </si>
  <si>
    <t>49,97</t>
  </si>
  <si>
    <t>77,64</t>
  </si>
  <si>
    <t>80,00</t>
  </si>
  <si>
    <t>90,70</t>
  </si>
  <si>
    <t>94,92</t>
  </si>
  <si>
    <t>0,27</t>
  </si>
  <si>
    <t>0,39</t>
  </si>
  <si>
    <t>0,46</t>
  </si>
  <si>
    <t>0,66</t>
  </si>
  <si>
    <t>0,97</t>
  </si>
  <si>
    <t>1,1</t>
  </si>
  <si>
    <t>0,36</t>
  </si>
  <si>
    <t>0,45</t>
  </si>
  <si>
    <t>0,64</t>
  </si>
  <si>
    <t>0,94</t>
  </si>
  <si>
    <t>0,96</t>
  </si>
  <si>
    <t>R51822/23</t>
  </si>
  <si>
    <t>Atualização dos padrões EL-797.</t>
  </si>
  <si>
    <t>EL-1235</t>
  </si>
  <si>
    <t>E22554/23</t>
  </si>
  <si>
    <t>Atualização dos padrões EL-1078/1080/1081/1086/1087/1088/1079/1084/1084/1094.</t>
  </si>
  <si>
    <t>E83338/23</t>
  </si>
  <si>
    <t>Atualização dos padrões EL-226/951.</t>
  </si>
  <si>
    <t>EL-2151</t>
  </si>
  <si>
    <t>E15366/23</t>
  </si>
  <si>
    <t>E14037/22</t>
  </si>
  <si>
    <t>CAL - 221335/23</t>
  </si>
  <si>
    <t>CAL - 219375/22</t>
  </si>
  <si>
    <t>R0012/24</t>
  </si>
  <si>
    <t>R0013/24</t>
  </si>
  <si>
    <t>R0014/24</t>
  </si>
  <si>
    <t>R0015/24</t>
  </si>
  <si>
    <t>Atualização dos padrões EL-953/955/1216/1217.</t>
  </si>
  <si>
    <t>E.TH.LT-001</t>
  </si>
  <si>
    <t>E.TH.LT-002</t>
  </si>
  <si>
    <t>E.TH.LT-003</t>
  </si>
  <si>
    <t>E.TH.LT-004</t>
  </si>
  <si>
    <t>E.TH.LT-006</t>
  </si>
  <si>
    <t>E.TH.LT-005</t>
  </si>
  <si>
    <t>R0101/24</t>
  </si>
  <si>
    <t>Atualização dos padrões E.TH.LT-001/002/003/004/005/006/007.</t>
  </si>
  <si>
    <t>E.TH.FS-004</t>
  </si>
  <si>
    <t>E0208/24</t>
  </si>
  <si>
    <t>E.TH.LP-001</t>
  </si>
  <si>
    <t>E0146A/24</t>
  </si>
  <si>
    <t>E.TH.LQ-001</t>
  </si>
  <si>
    <t>E0149A/24</t>
  </si>
  <si>
    <t>E.TH.LQ-002</t>
  </si>
  <si>
    <t>E0150A/24</t>
  </si>
  <si>
    <t>E0145A/24</t>
  </si>
  <si>
    <t>R0038/14</t>
  </si>
  <si>
    <t>RBC - CAL 0088</t>
  </si>
  <si>
    <t>CTM</t>
  </si>
  <si>
    <t>30599/24</t>
  </si>
  <si>
    <t>E.TH.LT-011</t>
  </si>
  <si>
    <t>E.TH.FS-001</t>
  </si>
  <si>
    <t>R0073/24</t>
  </si>
  <si>
    <t>Atualização dos padrões ambiente-CMS, E.TH.LT-011.</t>
  </si>
  <si>
    <t>E.TH.LV-002</t>
  </si>
  <si>
    <t>R0036A/24</t>
  </si>
  <si>
    <t>M.TH.LT-009</t>
  </si>
  <si>
    <t>E0271/24</t>
  </si>
  <si>
    <t>Alexandre Oliveira</t>
  </si>
  <si>
    <t>Atualização dos padrões E. TH.LT-001/002/003/004/006/007.</t>
  </si>
  <si>
    <t>E. TH.LT-007</t>
  </si>
  <si>
    <t>E.TH.FS-040</t>
  </si>
  <si>
    <t>R0021/25</t>
  </si>
  <si>
    <t>Atualização dos padrões E.TH.FS-040.</t>
  </si>
  <si>
    <t>E.TH.FS-041</t>
  </si>
  <si>
    <t>R0030/25</t>
  </si>
  <si>
    <t>E.TH.FS-042</t>
  </si>
  <si>
    <t>R0031/25</t>
  </si>
  <si>
    <t>E.TH.FS-043</t>
  </si>
  <si>
    <t>R0032/25</t>
  </si>
  <si>
    <t>E.TH.FS-044</t>
  </si>
  <si>
    <t>R0033/25</t>
  </si>
  <si>
    <t>E.TH.FS-051</t>
  </si>
  <si>
    <t>E0069/25</t>
  </si>
  <si>
    <t>E.TH.FS-054</t>
  </si>
  <si>
    <t>E0136/25</t>
  </si>
  <si>
    <t>E.TH.FS-059</t>
  </si>
  <si>
    <t>E0137/25</t>
  </si>
  <si>
    <t>E.TH.FS-060</t>
  </si>
  <si>
    <t>E0138/25</t>
  </si>
  <si>
    <t>E.TH.FS-061</t>
  </si>
  <si>
    <t>E0139/25</t>
  </si>
  <si>
    <t>E.TH.FS-062</t>
  </si>
  <si>
    <t>E0135/25</t>
  </si>
  <si>
    <t>Atualização dos padrões E.TH.FS-054/059/060/061/062.</t>
  </si>
  <si>
    <t>E0133/25</t>
  </si>
  <si>
    <t>E.TH.FS-055</t>
  </si>
  <si>
    <t>E.TH.FS-053</t>
  </si>
  <si>
    <t>E0132/25</t>
  </si>
  <si>
    <t>X.TH.LV-001</t>
  </si>
  <si>
    <t>E0369A/24</t>
  </si>
  <si>
    <t>M.MS.LM-013</t>
  </si>
  <si>
    <t>E0040B/25</t>
  </si>
  <si>
    <t>M.MS.LM-012</t>
  </si>
  <si>
    <t>E0526B/24</t>
  </si>
  <si>
    <t>M.TH.FS-001</t>
  </si>
  <si>
    <t>E0307/24</t>
  </si>
  <si>
    <t>M.TH.FS-002</t>
  </si>
  <si>
    <t>E0308/24</t>
  </si>
  <si>
    <t>M.TH.FS-003</t>
  </si>
  <si>
    <t>E0309/24</t>
  </si>
  <si>
    <t>M.TH.FS-004</t>
  </si>
  <si>
    <t>E0310/24</t>
  </si>
  <si>
    <t>M.TH.FS-005</t>
  </si>
  <si>
    <t>E0311/24</t>
  </si>
  <si>
    <t>M.TH.FS-006</t>
  </si>
  <si>
    <t>E0312/24</t>
  </si>
  <si>
    <t>M.TH.FS-007</t>
  </si>
  <si>
    <t>E0313/24</t>
  </si>
  <si>
    <t>E.TH.LE-002</t>
  </si>
  <si>
    <t>E0203/25</t>
  </si>
  <si>
    <t>E.TH.LQ-019</t>
  </si>
  <si>
    <t>E0205/25</t>
  </si>
  <si>
    <t>E.TH.LQ-018</t>
  </si>
  <si>
    <t>E0204/25</t>
  </si>
  <si>
    <t>E.TH.LQ-020</t>
  </si>
  <si>
    <t>E0206/25</t>
  </si>
  <si>
    <t>E.TH.LM-002</t>
  </si>
  <si>
    <t>E0211/25</t>
  </si>
  <si>
    <t>E.TH.LT-025</t>
  </si>
  <si>
    <t>E0201/25</t>
  </si>
  <si>
    <t>E.TH.PMR-006</t>
  </si>
  <si>
    <t>E0208/25</t>
  </si>
  <si>
    <t>E.TH.PMR-007</t>
  </si>
  <si>
    <t>E0209/25</t>
  </si>
  <si>
    <t>E.TH.PMR-008</t>
  </si>
  <si>
    <t>E0210/25</t>
  </si>
  <si>
    <t>E0324/25</t>
  </si>
  <si>
    <t>E0325/25</t>
  </si>
  <si>
    <t>E0323/25</t>
  </si>
  <si>
    <t>E0321/25</t>
  </si>
  <si>
    <t>E0322/25</t>
  </si>
  <si>
    <t>E.TH.LT-030</t>
  </si>
  <si>
    <t>E0340/25</t>
  </si>
  <si>
    <t>E0342/25</t>
  </si>
  <si>
    <t>E0413/25</t>
  </si>
  <si>
    <t>E0397A/25</t>
  </si>
  <si>
    <t>E0400A/25</t>
  </si>
  <si>
    <t>E0398A/25</t>
  </si>
  <si>
    <t>E0396A/25</t>
  </si>
  <si>
    <t>E.TH.LT-019</t>
  </si>
  <si>
    <t>E0177/25</t>
  </si>
  <si>
    <t>E0519/25</t>
  </si>
  <si>
    <t>E0643A/25</t>
  </si>
  <si>
    <t>E.PS.LQ-020</t>
  </si>
  <si>
    <t>E0440/25</t>
  </si>
  <si>
    <t>E0843/25</t>
  </si>
  <si>
    <t>E0844/25</t>
  </si>
  <si>
    <t>E0841/25</t>
  </si>
  <si>
    <t>E0842/25</t>
  </si>
  <si>
    <t>E0839/25</t>
  </si>
  <si>
    <t>E0840/25</t>
  </si>
  <si>
    <t>E0845/25</t>
  </si>
  <si>
    <t>E0832/25</t>
  </si>
  <si>
    <t>Atualização dos padrões E.TH.FS-001.</t>
  </si>
  <si>
    <t>E0004/26</t>
  </si>
  <si>
    <t>E0048/26</t>
  </si>
  <si>
    <t>E0051/26</t>
  </si>
  <si>
    <t>E0053/26</t>
  </si>
  <si>
    <t>E0090/26</t>
  </si>
  <si>
    <t>Atualização dos padrões E.TH.FS-044/051/042/043.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</si>
</sst>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16]mmmm\-yy;@"/>
    <numFmt numFmtId="165" formatCode="0.000"/>
    <numFmt numFmtId="166" formatCode="0.0"/>
  </numFmts>
  <fonts count="5" x14ac:knownFonts="1">
    <font>
      <sz val="11"/>
      <color theme="1"/>
      <name val="Calibri"/>
      <family val="2"/>
      <scheme val="minor"/>
    </font>
    <font>
      <sz val="11"/>
      <color theme="1"/>
      <name val="Calibri"/>
      <family val="2"/>
      <scheme val="minor"/>
    </font>
    <font>
      <sz val="10"/>
      <name val="Arial"/>
      <family val="2"/>
    </font>
    <font>
      <sz val="16"/>
      <name val="Calibri"/>
      <family val="2"/>
      <scheme val="minor"/>
    </font>
    <font>
      <sz val="1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thin">
        <color indexed="64"/>
      </bottom>
      <diagonal/>
    </border>
    <border>
      <left/>
      <right/>
      <top style="dotted">
        <color indexed="64"/>
      </top>
      <bottom/>
      <diagonal/>
    </border>
  </borders>
  <cellStyleXfs count="3">
    <xf numFmtId="0" fontId="0" fillId="0" borderId="0"/>
    <xf numFmtId="164" fontId="1" fillId="0" borderId="0"/>
    <xf numFmtId="0" fontId="2" fillId="0" borderId="0"/>
  </cellStyleXfs>
  <cellXfs count="145">
    <xf numFmtId="0" fontId="0" fillId="0" borderId="0" xfId="0"/>
    <xf numFmtId="0" fontId="0" fillId="2" borderId="0" xfId="0" applyFill="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2" fontId="0" fillId="4" borderId="1" xfId="0" applyNumberFormat="1" applyFill="1" applyBorder="1" applyAlignment="1" applyProtection="1">
      <alignment horizontal="center"/>
      <protection locked="0"/>
    </xf>
    <xf numFmtId="0" fontId="0" fillId="5" borderId="0" xfId="0" applyFill="1" applyAlignment="1">
      <alignment horizontal="center"/>
    </xf>
    <xf numFmtId="0" fontId="0" fillId="2" borderId="1" xfId="0" applyFill="1" applyBorder="1" applyAlignment="1">
      <alignment horizontal="center"/>
    </xf>
    <xf numFmtId="0" fontId="0" fillId="7" borderId="1" xfId="0" applyFill="1" applyBorder="1" applyAlignment="1">
      <alignment horizontal="center"/>
    </xf>
    <xf numFmtId="165" fontId="0" fillId="7" borderId="1" xfId="0" applyNumberFormat="1" applyFill="1" applyBorder="1" applyAlignment="1">
      <alignment horizontal="center"/>
    </xf>
    <xf numFmtId="0" fontId="0" fillId="2" borderId="0" xfId="0" applyFill="1"/>
    <xf numFmtId="0" fontId="1" fillId="2" borderId="1" xfId="1" applyNumberFormat="1" applyFill="1" applyBorder="1" applyAlignment="1">
      <alignment horizontal="center"/>
    </xf>
    <xf numFmtId="0" fontId="1" fillId="4" borderId="1" xfId="1" applyNumberFormat="1" applyFill="1" applyBorder="1" applyAlignment="1">
      <alignment horizontal="center"/>
    </xf>
    <xf numFmtId="2" fontId="1" fillId="2" borderId="1" xfId="1" applyNumberFormat="1" applyFill="1" applyBorder="1" applyAlignment="1">
      <alignment horizontal="center"/>
    </xf>
    <xf numFmtId="165" fontId="1" fillId="2" borderId="1" xfId="1" applyNumberFormat="1" applyFill="1" applyBorder="1" applyAlignment="1">
      <alignment horizontal="center"/>
    </xf>
    <xf numFmtId="1" fontId="0" fillId="4" borderId="1" xfId="0" applyNumberFormat="1" applyFill="1" applyBorder="1" applyAlignment="1" applyProtection="1">
      <alignment horizontal="center"/>
      <protection locked="0"/>
    </xf>
    <xf numFmtId="0" fontId="0" fillId="4" borderId="7" xfId="0" applyFill="1" applyBorder="1" applyAlignment="1" applyProtection="1">
      <alignment horizontal="center" vertical="top"/>
      <protection locked="0"/>
    </xf>
    <xf numFmtId="0" fontId="0" fillId="2" borderId="5" xfId="0" applyFill="1" applyBorder="1" applyAlignment="1" applyProtection="1">
      <alignment horizontal="center" vertical="top"/>
      <protection locked="0"/>
    </xf>
    <xf numFmtId="0" fontId="0" fillId="4" borderId="6" xfId="0" applyFill="1" applyBorder="1" applyAlignment="1" applyProtection="1">
      <alignment horizontal="center"/>
      <protection hidden="1"/>
    </xf>
    <xf numFmtId="0" fontId="0" fillId="2" borderId="6" xfId="0" applyFill="1" applyBorder="1" applyAlignment="1" applyProtection="1">
      <alignment horizontal="center"/>
      <protection hidden="1"/>
    </xf>
    <xf numFmtId="0" fontId="0" fillId="2" borderId="1" xfId="0" applyFill="1" applyBorder="1" applyAlignment="1" applyProtection="1">
      <alignment horizontal="center"/>
      <protection hidden="1"/>
    </xf>
    <xf numFmtId="0" fontId="0" fillId="2" borderId="1" xfId="0" quotePrefix="1" applyFill="1" applyBorder="1" applyAlignment="1" applyProtection="1">
      <alignment horizontal="center"/>
      <protection hidden="1"/>
    </xf>
    <xf numFmtId="0" fontId="0" fillId="2" borderId="2" xfId="0" applyFill="1" applyBorder="1" applyAlignment="1" applyProtection="1">
      <alignment horizontal="center"/>
      <protection hidden="1"/>
    </xf>
    <xf numFmtId="0" fontId="0" fillId="2" borderId="4" xfId="0" applyFill="1" applyBorder="1" applyProtection="1">
      <protection hidden="1"/>
    </xf>
    <xf numFmtId="2" fontId="0" fillId="2" borderId="1" xfId="0" applyNumberFormat="1" applyFill="1" applyBorder="1" applyAlignment="1" applyProtection="1">
      <alignment horizontal="center"/>
      <protection hidden="1"/>
    </xf>
    <xf numFmtId="0" fontId="1" fillId="2" borderId="0" xfId="1" applyNumberFormat="1" applyFill="1" applyAlignment="1">
      <alignment horizontal="center"/>
    </xf>
    <xf numFmtId="0" fontId="0" fillId="3" borderId="1" xfId="0" applyFill="1" applyBorder="1" applyAlignment="1">
      <alignment horizontal="center"/>
    </xf>
    <xf numFmtId="0" fontId="0" fillId="2" borderId="8" xfId="0" applyFill="1" applyBorder="1"/>
    <xf numFmtId="0" fontId="0" fillId="2" borderId="1" xfId="0" applyFill="1" applyBorder="1" applyAlignment="1" applyProtection="1">
      <alignment horizontal="center" vertical="center"/>
      <protection hidden="1"/>
    </xf>
    <xf numFmtId="0" fontId="0" fillId="8" borderId="1" xfId="0" applyFill="1" applyBorder="1" applyAlignment="1" applyProtection="1">
      <alignment horizontal="center" vertical="center"/>
      <protection hidden="1"/>
    </xf>
    <xf numFmtId="0" fontId="0" fillId="9" borderId="1" xfId="0" applyFill="1" applyBorder="1" applyAlignment="1" applyProtection="1">
      <alignment horizontal="center" vertical="center"/>
      <protection hidden="1"/>
    </xf>
    <xf numFmtId="0" fontId="0" fillId="10" borderId="1" xfId="0" applyFill="1" applyBorder="1" applyAlignment="1" applyProtection="1">
      <alignment horizontal="center" vertical="center"/>
      <protection hidden="1"/>
    </xf>
    <xf numFmtId="0" fontId="0" fillId="4" borderId="1" xfId="0" applyFill="1" applyBorder="1" applyAlignment="1">
      <alignment horizontal="center"/>
    </xf>
    <xf numFmtId="14" fontId="0" fillId="4" borderId="1" xfId="0" applyNumberFormat="1" applyFill="1" applyBorder="1" applyAlignment="1">
      <alignment horizontal="center"/>
    </xf>
    <xf numFmtId="164" fontId="0" fillId="4" borderId="1" xfId="0" applyNumberFormat="1" applyFill="1" applyBorder="1" applyAlignment="1">
      <alignment horizontal="center"/>
    </xf>
    <xf numFmtId="0" fontId="0" fillId="2" borderId="1" xfId="0" applyFill="1" applyBorder="1" applyAlignment="1" applyProtection="1">
      <alignment horizontal="center" vertical="center" wrapText="1"/>
      <protection hidden="1"/>
    </xf>
    <xf numFmtId="1" fontId="0" fillId="7" borderId="1" xfId="0" applyNumberFormat="1" applyFill="1" applyBorder="1" applyAlignment="1">
      <alignment horizontal="center"/>
    </xf>
    <xf numFmtId="0" fontId="0" fillId="7" borderId="1" xfId="0" applyFill="1" applyBorder="1" applyAlignment="1" applyProtection="1">
      <alignment horizontal="center" vertical="center"/>
      <protection hidden="1"/>
    </xf>
    <xf numFmtId="0" fontId="0" fillId="4" borderId="7" xfId="0" quotePrefix="1" applyFill="1" applyBorder="1" applyAlignment="1" applyProtection="1">
      <alignment horizontal="center" vertical="top"/>
      <protection locked="0"/>
    </xf>
    <xf numFmtId="166" fontId="0" fillId="4" borderId="6" xfId="0" applyNumberFormat="1" applyFill="1" applyBorder="1" applyAlignment="1" applyProtection="1">
      <alignment horizontal="center"/>
      <protection hidden="1"/>
    </xf>
    <xf numFmtId="14" fontId="0" fillId="2" borderId="0" xfId="0" applyNumberFormat="1" applyFill="1" applyAlignment="1">
      <alignment horizontal="center"/>
    </xf>
    <xf numFmtId="0" fontId="0" fillId="7" borderId="1" xfId="0" quotePrefix="1" applyFill="1" applyBorder="1" applyAlignment="1">
      <alignment horizontal="center"/>
    </xf>
    <xf numFmtId="0" fontId="0" fillId="4" borderId="1" xfId="0" applyFill="1" applyBorder="1" applyAlignment="1" applyProtection="1">
      <alignment horizontal="center"/>
      <protection locked="0"/>
    </xf>
    <xf numFmtId="2" fontId="0" fillId="7" borderId="1" xfId="0" applyNumberFormat="1" applyFill="1" applyBorder="1" applyAlignment="1">
      <alignment horizontal="center"/>
    </xf>
    <xf numFmtId="166" fontId="0" fillId="0" borderId="0" xfId="0" applyNumberFormat="1"/>
    <xf numFmtId="2" fontId="1" fillId="4" borderId="1" xfId="1" applyNumberFormat="1" applyFill="1" applyBorder="1" applyAlignment="1">
      <alignment horizontal="center"/>
    </xf>
    <xf numFmtId="0" fontId="3" fillId="2" borderId="0" xfId="2" applyFont="1" applyFill="1" applyAlignment="1" applyProtection="1">
      <alignment horizontal="left"/>
      <protection hidden="1"/>
    </xf>
    <xf numFmtId="0" fontId="4" fillId="2" borderId="0" xfId="2" applyFont="1" applyFill="1" applyAlignment="1" applyProtection="1">
      <alignment horizontal="center"/>
      <protection hidden="1"/>
    </xf>
    <xf numFmtId="0" fontId="4" fillId="2" borderId="0" xfId="2" applyFont="1" applyFill="1" applyAlignment="1" applyProtection="1">
      <alignment horizontal="left"/>
      <protection hidden="1"/>
    </xf>
    <xf numFmtId="0" fontId="4" fillId="2" borderId="1" xfId="2" applyFont="1" applyFill="1" applyBorder="1" applyAlignment="1" applyProtection="1">
      <alignment horizontal="center"/>
      <protection hidden="1"/>
    </xf>
    <xf numFmtId="14" fontId="4" fillId="2" borderId="1" xfId="2" applyNumberFormat="1" applyFont="1" applyFill="1" applyBorder="1" applyAlignment="1" applyProtection="1">
      <alignment horizontal="center"/>
      <protection hidden="1"/>
    </xf>
    <xf numFmtId="0" fontId="4" fillId="2" borderId="1" xfId="2" quotePrefix="1" applyFont="1" applyFill="1" applyBorder="1" applyAlignment="1" applyProtection="1">
      <alignment horizontal="center"/>
      <protection hidden="1"/>
    </xf>
    <xf numFmtId="0" fontId="4" fillId="2" borderId="3" xfId="2" applyFont="1" applyFill="1" applyBorder="1" applyAlignment="1" applyProtection="1">
      <alignment horizontal="left"/>
      <protection hidden="1"/>
    </xf>
    <xf numFmtId="0" fontId="4" fillId="2" borderId="14" xfId="2" applyFont="1" applyFill="1" applyBorder="1" applyAlignment="1" applyProtection="1">
      <alignment horizontal="center"/>
      <protection hidden="1"/>
    </xf>
    <xf numFmtId="14" fontId="4" fillId="2" borderId="14" xfId="2" quotePrefix="1" applyNumberFormat="1" applyFont="1" applyFill="1" applyBorder="1" applyAlignment="1" applyProtection="1">
      <alignment horizontal="center"/>
      <protection hidden="1"/>
    </xf>
    <xf numFmtId="0" fontId="4" fillId="2" borderId="15" xfId="2" quotePrefix="1" applyFont="1" applyFill="1" applyBorder="1" applyAlignment="1" applyProtection="1">
      <alignment horizontal="left"/>
      <protection hidden="1"/>
    </xf>
    <xf numFmtId="0" fontId="4" fillId="2" borderId="15" xfId="2" applyFont="1" applyFill="1" applyBorder="1" applyAlignment="1" applyProtection="1">
      <alignment horizontal="left"/>
      <protection hidden="1"/>
    </xf>
    <xf numFmtId="0" fontId="4" fillId="2" borderId="16" xfId="2" applyFont="1" applyFill="1" applyBorder="1" applyAlignment="1" applyProtection="1">
      <alignment horizontal="center"/>
      <protection hidden="1"/>
    </xf>
    <xf numFmtId="14" fontId="4" fillId="2" borderId="16" xfId="2" applyNumberFormat="1" applyFont="1" applyFill="1" applyBorder="1" applyAlignment="1" applyProtection="1">
      <alignment horizontal="center"/>
      <protection hidden="1"/>
    </xf>
    <xf numFmtId="0" fontId="4" fillId="2" borderId="17" xfId="2" applyFont="1" applyFill="1" applyBorder="1" applyAlignment="1" applyProtection="1">
      <alignment horizontal="left"/>
      <protection hidden="1"/>
    </xf>
    <xf numFmtId="14" fontId="4" fillId="2" borderId="16" xfId="2" quotePrefix="1" applyNumberFormat="1" applyFont="1" applyFill="1" applyBorder="1" applyAlignment="1" applyProtection="1">
      <alignment horizontal="center"/>
      <protection hidden="1"/>
    </xf>
    <xf numFmtId="14" fontId="4" fillId="2" borderId="18" xfId="2" applyNumberFormat="1" applyFont="1" applyFill="1" applyBorder="1" applyAlignment="1" applyProtection="1">
      <alignment horizontal="center"/>
      <protection hidden="1"/>
    </xf>
    <xf numFmtId="14" fontId="4" fillId="2" borderId="19" xfId="2" applyNumberFormat="1" applyFont="1" applyFill="1" applyBorder="1" applyAlignment="1" applyProtection="1">
      <alignment horizontal="center"/>
      <protection hidden="1"/>
    </xf>
    <xf numFmtId="0" fontId="4" fillId="2" borderId="20" xfId="2" applyFont="1" applyFill="1" applyBorder="1" applyAlignment="1" applyProtection="1">
      <alignment horizontal="left"/>
      <protection hidden="1"/>
    </xf>
    <xf numFmtId="0" fontId="4" fillId="2" borderId="8" xfId="2" applyFont="1" applyFill="1" applyBorder="1" applyAlignment="1" applyProtection="1">
      <alignment horizontal="center"/>
      <protection hidden="1"/>
    </xf>
    <xf numFmtId="0" fontId="4" fillId="2" borderId="8" xfId="2" applyFont="1" applyFill="1" applyBorder="1" applyAlignment="1" applyProtection="1">
      <alignment horizontal="left"/>
      <protection hidden="1"/>
    </xf>
    <xf numFmtId="166" fontId="0" fillId="4" borderId="1" xfId="0" applyNumberFormat="1" applyFill="1" applyBorder="1" applyAlignment="1" applyProtection="1">
      <alignment horizontal="center"/>
      <protection locked="0"/>
    </xf>
    <xf numFmtId="166" fontId="0" fillId="7" borderId="1" xfId="0" applyNumberFormat="1" applyFill="1" applyBorder="1" applyAlignment="1">
      <alignment horizontal="center"/>
    </xf>
    <xf numFmtId="0" fontId="0" fillId="10" borderId="2" xfId="0" applyFill="1" applyBorder="1" applyAlignment="1">
      <alignment horizontal="center"/>
    </xf>
    <xf numFmtId="0" fontId="0" fillId="10" borderId="3" xfId="0" applyFill="1" applyBorder="1" applyAlignment="1">
      <alignment horizontal="center"/>
    </xf>
    <xf numFmtId="0" fontId="0" fillId="10" borderId="4" xfId="0" applyFill="1" applyBorder="1" applyAlignment="1">
      <alignment horizontal="center"/>
    </xf>
    <xf numFmtId="0" fontId="0" fillId="8" borderId="1" xfId="0" applyFill="1" applyBorder="1" applyAlignment="1" applyProtection="1">
      <alignment horizontal="center" vertical="center"/>
      <protection hidden="1"/>
    </xf>
    <xf numFmtId="0" fontId="0" fillId="9" borderId="2" xfId="0" applyFill="1" applyBorder="1" applyAlignment="1">
      <alignment horizontal="center"/>
    </xf>
    <xf numFmtId="0" fontId="0" fillId="9" borderId="3" xfId="0" applyFill="1" applyBorder="1" applyAlignment="1">
      <alignment horizontal="center"/>
    </xf>
    <xf numFmtId="0" fontId="0" fillId="9" borderId="4" xfId="0" applyFill="1" applyBorder="1" applyAlignment="1">
      <alignment horizontal="center"/>
    </xf>
    <xf numFmtId="0" fontId="0" fillId="2" borderId="2" xfId="1" applyNumberFormat="1" applyFont="1" applyFill="1" applyBorder="1" applyAlignment="1">
      <alignment horizontal="center"/>
    </xf>
    <xf numFmtId="0" fontId="0" fillId="2" borderId="3" xfId="1" applyNumberFormat="1" applyFont="1" applyFill="1" applyBorder="1" applyAlignment="1">
      <alignment horizontal="center"/>
    </xf>
    <xf numFmtId="0" fontId="0" fillId="2" borderId="4" xfId="1" applyNumberFormat="1" applyFont="1" applyFill="1" applyBorder="1" applyAlignment="1">
      <alignment horizontal="center"/>
    </xf>
    <xf numFmtId="0" fontId="0" fillId="2" borderId="2" xfId="0" applyFill="1" applyBorder="1" applyAlignment="1" applyProtection="1">
      <alignment horizontal="left"/>
      <protection hidden="1"/>
    </xf>
    <xf numFmtId="0" fontId="0" fillId="2" borderId="4" xfId="0" applyFill="1" applyBorder="1" applyAlignment="1" applyProtection="1">
      <alignment horizontal="left"/>
      <protection hidden="1"/>
    </xf>
    <xf numFmtId="0" fontId="0" fillId="2" borderId="2" xfId="0" applyFill="1" applyBorder="1" applyAlignment="1" applyProtection="1">
      <alignment horizontal="center"/>
      <protection hidden="1"/>
    </xf>
    <xf numFmtId="0" fontId="0" fillId="2" borderId="3" xfId="0" applyFill="1" applyBorder="1" applyAlignment="1" applyProtection="1">
      <alignment horizontal="center"/>
      <protection hidden="1"/>
    </xf>
    <xf numFmtId="0" fontId="0" fillId="2" borderId="4" xfId="0" applyFill="1" applyBorder="1" applyAlignment="1" applyProtection="1">
      <alignment horizontal="center"/>
      <protection hidden="1"/>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6" borderId="2" xfId="1" applyNumberFormat="1" applyFont="1" applyFill="1" applyBorder="1" applyAlignment="1">
      <alignment horizontal="center"/>
    </xf>
    <xf numFmtId="0" fontId="0" fillId="6" borderId="4" xfId="1" applyNumberFormat="1" applyFont="1" applyFill="1" applyBorder="1" applyAlignment="1">
      <alignment horizontal="center"/>
    </xf>
    <xf numFmtId="0" fontId="1" fillId="2" borderId="2" xfId="1" applyNumberFormat="1" applyFill="1" applyBorder="1" applyAlignment="1">
      <alignment horizontal="center"/>
    </xf>
    <xf numFmtId="0" fontId="1" fillId="2" borderId="3" xfId="1" applyNumberFormat="1" applyFill="1" applyBorder="1" applyAlignment="1">
      <alignment horizontal="center"/>
    </xf>
    <xf numFmtId="0" fontId="1" fillId="2" borderId="4" xfId="1" applyNumberFormat="1" applyFill="1" applyBorder="1" applyAlignment="1">
      <alignment horizontal="center"/>
    </xf>
    <xf numFmtId="0" fontId="1" fillId="4" borderId="9" xfId="1" applyNumberFormat="1" applyFill="1" applyBorder="1" applyAlignment="1">
      <alignment horizontal="center" vertical="top" wrapText="1"/>
    </xf>
    <xf numFmtId="0" fontId="1" fillId="4" borderId="8" xfId="1" applyNumberFormat="1" applyFill="1" applyBorder="1" applyAlignment="1">
      <alignment horizontal="center" vertical="top" wrapText="1"/>
    </xf>
    <xf numFmtId="0" fontId="1" fillId="4" borderId="10" xfId="1" applyNumberFormat="1" applyFill="1" applyBorder="1" applyAlignment="1">
      <alignment horizontal="center" vertical="top" wrapText="1"/>
    </xf>
    <xf numFmtId="0" fontId="1" fillId="4" borderId="11" xfId="1" applyNumberFormat="1" applyFill="1" applyBorder="1" applyAlignment="1">
      <alignment horizontal="center" vertical="top" wrapText="1"/>
    </xf>
    <xf numFmtId="0" fontId="1" fillId="4" borderId="12" xfId="1" applyNumberFormat="1" applyFill="1" applyBorder="1" applyAlignment="1">
      <alignment horizontal="center" vertical="top" wrapText="1"/>
    </xf>
    <xf numFmtId="0" fontId="1" fillId="4" borderId="13" xfId="1" applyNumberFormat="1" applyFill="1" applyBorder="1" applyAlignment="1">
      <alignment horizontal="center" vertical="top" wrapText="1"/>
    </xf>
    <xf numFmtId="0" fontId="0" fillId="2" borderId="2" xfId="0" applyFill="1" applyBorder="1" applyAlignment="1">
      <alignment horizontal="left"/>
    </xf>
    <xf numFmtId="0" fontId="0" fillId="2" borderId="4" xfId="0" applyFill="1" applyBorder="1" applyAlignment="1">
      <alignment horizontal="left"/>
    </xf>
    <xf numFmtId="0" fontId="0" fillId="4" borderId="2" xfId="0" applyFill="1" applyBorder="1" applyAlignment="1" applyProtection="1">
      <alignment horizontal="left" vertical="top"/>
      <protection locked="0"/>
    </xf>
    <xf numFmtId="0" fontId="0" fillId="4" borderId="3" xfId="0" applyFill="1" applyBorder="1" applyAlignment="1" applyProtection="1">
      <alignment horizontal="left" vertical="top"/>
      <protection locked="0"/>
    </xf>
    <xf numFmtId="0" fontId="0" fillId="4" borderId="4" xfId="0" applyFill="1" applyBorder="1" applyAlignment="1" applyProtection="1">
      <alignment horizontal="left" vertical="top"/>
      <protection locked="0"/>
    </xf>
    <xf numFmtId="14" fontId="0" fillId="4" borderId="2" xfId="0" quotePrefix="1" applyNumberFormat="1" applyFill="1" applyBorder="1" applyAlignment="1" applyProtection="1">
      <alignment horizontal="left" vertical="top"/>
      <protection locked="0"/>
    </xf>
    <xf numFmtId="14" fontId="0" fillId="4" borderId="3" xfId="0" quotePrefix="1" applyNumberFormat="1" applyFill="1" applyBorder="1" applyAlignment="1" applyProtection="1">
      <alignment horizontal="left" vertical="top"/>
      <protection locked="0"/>
    </xf>
    <xf numFmtId="14" fontId="0" fillId="4" borderId="4" xfId="0" quotePrefix="1" applyNumberFormat="1" applyFill="1" applyBorder="1" applyAlignment="1" applyProtection="1">
      <alignment horizontal="left" vertical="top"/>
      <protection locked="0"/>
    </xf>
    <xf numFmtId="164" fontId="0" fillId="4" borderId="2" xfId="0" applyNumberFormat="1" applyFill="1" applyBorder="1" applyAlignment="1" applyProtection="1">
      <alignment horizontal="left" vertical="top"/>
      <protection locked="0"/>
    </xf>
    <xf numFmtId="164" fontId="0" fillId="4" borderId="3" xfId="0" applyNumberFormat="1" applyFill="1" applyBorder="1" applyAlignment="1" applyProtection="1">
      <alignment horizontal="left" vertical="top"/>
      <protection locked="0"/>
    </xf>
    <xf numFmtId="164" fontId="0" fillId="4" borderId="4" xfId="0" applyNumberFormat="1" applyFill="1" applyBorder="1" applyAlignment="1" applyProtection="1">
      <alignment horizontal="left" vertical="top"/>
      <protection locked="0"/>
    </xf>
    <xf numFmtId="0" fontId="0" fillId="2" borderId="2" xfId="0" applyFill="1" applyBorder="1" applyAlignment="1" applyProtection="1">
      <alignment horizontal="center" vertical="top"/>
      <protection locked="0"/>
    </xf>
    <xf numFmtId="0" fontId="0" fillId="2" borderId="3" xfId="0" applyFill="1" applyBorder="1" applyAlignment="1" applyProtection="1">
      <alignment horizontal="center" vertical="top"/>
      <protection locked="0"/>
    </xf>
    <xf numFmtId="0" fontId="0" fillId="2" borderId="4" xfId="0" applyFill="1" applyBorder="1" applyAlignment="1" applyProtection="1">
      <alignment horizontal="center" vertical="top"/>
      <protection locked="0"/>
    </xf>
    <xf numFmtId="0" fontId="0" fillId="4" borderId="2" xfId="0" applyFill="1" applyBorder="1" applyAlignment="1" applyProtection="1">
      <alignment horizontal="left" vertical="top"/>
      <protection hidden="1"/>
    </xf>
    <xf numFmtId="0" fontId="0" fillId="4" borderId="3" xfId="0" applyFill="1" applyBorder="1" applyAlignment="1" applyProtection="1">
      <alignment horizontal="left" vertical="top"/>
      <protection hidden="1"/>
    </xf>
    <xf numFmtId="0" fontId="0" fillId="4" borderId="4" xfId="0" applyFill="1" applyBorder="1" applyAlignment="1" applyProtection="1">
      <alignment horizontal="left" vertical="top"/>
      <protection hidden="1"/>
    </xf>
    <xf numFmtId="14" fontId="0" fillId="4" borderId="2" xfId="0" quotePrefix="1" applyNumberFormat="1" applyFill="1" applyBorder="1" applyAlignment="1" applyProtection="1">
      <alignment horizontal="left" vertical="top"/>
      <protection hidden="1"/>
    </xf>
    <xf numFmtId="14" fontId="0" fillId="4" borderId="3" xfId="0" quotePrefix="1" applyNumberFormat="1" applyFill="1" applyBorder="1" applyAlignment="1" applyProtection="1">
      <alignment horizontal="left" vertical="top"/>
      <protection hidden="1"/>
    </xf>
    <xf numFmtId="14" fontId="0" fillId="4" borderId="4" xfId="0" quotePrefix="1" applyNumberFormat="1" applyFill="1" applyBorder="1" applyAlignment="1" applyProtection="1">
      <alignment horizontal="left" vertical="top"/>
      <protection hidden="1"/>
    </xf>
    <xf numFmtId="164" fontId="0" fillId="4" borderId="2" xfId="0" applyNumberFormat="1" applyFill="1" applyBorder="1" applyAlignment="1" applyProtection="1">
      <alignment horizontal="left" vertical="top"/>
      <protection hidden="1"/>
    </xf>
    <xf numFmtId="164" fontId="0" fillId="4" borderId="3" xfId="0" applyNumberFormat="1" applyFill="1" applyBorder="1" applyAlignment="1" applyProtection="1">
      <alignment horizontal="left" vertical="top"/>
      <protection hidden="1"/>
    </xf>
    <xf numFmtId="164" fontId="0" fillId="4" borderId="4" xfId="0" applyNumberFormat="1" applyFill="1" applyBorder="1" applyAlignment="1" applyProtection="1">
      <alignment horizontal="left" vertical="top"/>
      <protection hidden="1"/>
    </xf>
    <xf numFmtId="0" fontId="0" fillId="4" borderId="9" xfId="1" applyNumberFormat="1" applyFont="1" applyFill="1" applyBorder="1" applyAlignment="1">
      <alignment horizontal="center" vertical="top" wrapText="1"/>
    </xf>
    <xf numFmtId="14" fontId="0" fillId="4" borderId="1" xfId="0" applyNumberFormat="1" applyFill="1" applyBorder="1" applyAlignment="1" applyProtection="1">
      <alignment horizontal="left" vertical="top"/>
      <protection hidden="1"/>
    </xf>
    <xf numFmtId="14" fontId="0" fillId="4" borderId="1" xfId="0" quotePrefix="1" applyNumberFormat="1" applyFill="1" applyBorder="1" applyAlignment="1" applyProtection="1">
      <alignment horizontal="left" vertical="top"/>
      <protection hidden="1"/>
    </xf>
    <xf numFmtId="164" fontId="0" fillId="4" borderId="1" xfId="0" applyNumberFormat="1" applyFill="1" applyBorder="1" applyAlignment="1" applyProtection="1">
      <alignment horizontal="left" vertical="top"/>
      <protection hidden="1"/>
    </xf>
    <xf numFmtId="0" fontId="0" fillId="4" borderId="2" xfId="0" quotePrefix="1" applyFill="1" applyBorder="1" applyAlignment="1" applyProtection="1">
      <alignment horizontal="left" vertical="top"/>
      <protection locked="0"/>
    </xf>
    <xf numFmtId="0" fontId="0" fillId="4" borderId="3" xfId="0" quotePrefix="1" applyFill="1" applyBorder="1" applyAlignment="1" applyProtection="1">
      <alignment horizontal="left" vertical="top"/>
      <protection locked="0"/>
    </xf>
    <xf numFmtId="0" fontId="0" fillId="4" borderId="4" xfId="0" quotePrefix="1" applyFill="1" applyBorder="1" applyAlignment="1" applyProtection="1">
      <alignment horizontal="left" vertical="top"/>
      <protection locked="0"/>
    </xf>
    <xf numFmtId="0" fontId="0" fillId="0" borderId="2" xfId="0" applyBorder="1"/>
    <xf numFmtId="0" fontId="0" fillId="0" borderId="3" xfId="0" applyBorder="1"/>
    <xf numFmtId="14" fontId="0" fillId="4" borderId="2" xfId="0" applyNumberFormat="1" applyFill="1" applyBorder="1" applyAlignment="1" applyProtection="1">
      <alignment horizontal="left" vertical="top"/>
      <protection hidden="1"/>
    </xf>
    <xf numFmtId="14" fontId="0" fillId="4" borderId="3" xfId="0" applyNumberFormat="1" applyFill="1" applyBorder="1" applyAlignment="1" applyProtection="1">
      <alignment horizontal="left" vertical="top"/>
      <protection hidden="1"/>
    </xf>
    <xf numFmtId="14" fontId="0" fillId="4" borderId="4" xfId="0" applyNumberFormat="1" applyFill="1" applyBorder="1" applyAlignment="1" applyProtection="1">
      <alignment horizontal="left" vertical="top"/>
      <protection hidden="1"/>
    </xf>
    <xf numFmtId="0" fontId="0" fillId="2" borderId="1" xfId="0" applyFill="1" applyBorder="1" applyAlignment="1" applyProtection="1">
      <alignment horizontal="center" vertical="top"/>
      <protection locked="0"/>
    </xf>
    <xf numFmtId="0" fontId="0" fillId="2" borderId="1" xfId="0" applyFill="1" applyBorder="1" applyAlignment="1" applyProtection="1">
      <alignment horizontal="center"/>
      <protection hidden="1"/>
    </xf>
    <xf numFmtId="0" fontId="0" fillId="2" borderId="1" xfId="0" applyFill="1" applyBorder="1" applyAlignment="1">
      <alignment horizontal="center"/>
    </xf>
    <xf numFmtId="0" fontId="0" fillId="2" borderId="1" xfId="0" applyFill="1" applyBorder="1" applyAlignment="1">
      <alignment horizontal="left"/>
    </xf>
    <xf numFmtId="0" fontId="1" fillId="2" borderId="1" xfId="1" applyNumberFormat="1" applyFill="1" applyBorder="1" applyAlignment="1">
      <alignment horizontal="center"/>
    </xf>
    <xf numFmtId="0" fontId="1" fillId="4" borderId="1" xfId="1" applyNumberFormat="1" applyFill="1" applyBorder="1" applyAlignment="1">
      <alignment horizontal="center" vertical="top" wrapText="1"/>
    </xf>
    <xf numFmtId="0" fontId="0" fillId="2" borderId="1" xfId="1" applyNumberFormat="1" applyFont="1" applyFill="1" applyBorder="1" applyAlignment="1">
      <alignment horizontal="center"/>
    </xf>
    <xf numFmtId="0" fontId="0" fillId="2" borderId="1" xfId="0" applyFill="1" applyBorder="1" applyAlignment="1" applyProtection="1">
      <alignment horizontal="left"/>
      <protection hidden="1"/>
    </xf>
    <xf numFmtId="0" fontId="1" fillId="6" borderId="4" xfId="1" applyNumberFormat="1" applyFill="1" applyBorder="1" applyAlignment="1">
      <alignment horizontal="center"/>
    </xf>
    <xf numFmtId="0" fontId="0" fillId="4" borderId="1" xfId="0" applyFill="1" applyBorder="1" applyAlignment="1" applyProtection="1">
      <alignment horizontal="left" vertical="top"/>
      <protection locked="0"/>
    </xf>
    <xf numFmtId="0" fontId="0" fillId="4" borderId="1" xfId="0" applyFill="1" applyBorder="1" applyAlignment="1" applyProtection="1">
      <alignment horizontal="left" vertical="top"/>
      <protection hidden="1"/>
    </xf>
    <xf numFmtId="0" fontId="4" fillId="2" borderId="2" xfId="2" applyFont="1" applyFill="1" applyBorder="1" applyAlignment="1" applyProtection="1">
      <alignment horizontal="left"/>
      <protection hidden="1"/>
    </xf>
    <xf numFmtId="0" fontId="4" fillId="2" borderId="4" xfId="2" applyFont="1" applyFill="1" applyBorder="1" applyAlignment="1" applyProtection="1">
      <alignment horizontal="left"/>
      <protection hidden="1"/>
    </xf>
    <xf numFmtId="0" fontId="4" fillId="2" borderId="1" xfId="2" applyFont="1" applyFill="1" applyBorder="1" applyAlignment="1" applyProtection="1">
      <alignment horizontal="center"/>
      <protection hidden="1"/>
    </xf>
  </cellXfs>
  <cellStyles count="3">
    <cellStyle name="Normal" xfId="0" builtinId="0"/>
    <cellStyle name="Normal 2" xfId="1" xr:uid="{00000000-0005-0000-0000-000001000000}"/>
    <cellStyle name="Normal 2 2" xfId="2" xr:uid="{00000000-0005-0000-0000-000002000000}"/>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silva\AppData\Local\Microsoft\Windows\INetCache\Content.Outlook\SVRDFPQ7\E014152-1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outros\volume%20versao%20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e"/>
      <sheetName val="pAr"/>
      <sheetName val="Instrumento"/>
      <sheetName val="Ponto1"/>
      <sheetName val="Ponto2"/>
      <sheetName val="Ponto3"/>
      <sheetName val="Ponto4"/>
      <sheetName val="Ponto5"/>
      <sheetName val="Ponto6"/>
      <sheetName val="Ponto7"/>
      <sheetName val="Excentricidade"/>
      <sheetName val="Certificado."/>
      <sheetName val=" Padrão"/>
      <sheetName val="IM=1ºPonto "/>
      <sheetName val="IM=2ºPonto"/>
      <sheetName val="IM=3ºPonto"/>
      <sheetName val="IM=4ºPonto "/>
      <sheetName val="IM=5ºPonto "/>
      <sheetName val="IM=6ºPonto "/>
      <sheetName val="IM=7ºPonto"/>
      <sheetName val="IM=Excentricidade"/>
      <sheetName val="Certificado"/>
      <sheetName val="Validaçao do BD"/>
      <sheetName val="Plan1"/>
      <sheetName val="Matriz Certificados"/>
      <sheetName val="Planilha1"/>
    </sheetNames>
    <sheetDataSet>
      <sheetData sheetId="0">
        <row r="8">
          <cell r="Y8" t="str">
            <v>014152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Dados"/>
      <sheetName val="FichaVolume"/>
      <sheetName val="FichaPicno"/>
      <sheetName val="CERTIFICADO RBC"/>
      <sheetName val="CERTIFICADO ISO"/>
      <sheetName val="TemplateInformation"/>
      <sheetName val="Cliente"/>
      <sheetName val="Instrumento"/>
      <sheetName val="BuretaTitulador"/>
      <sheetName val="pAr"/>
      <sheetName val="pÁgua"/>
      <sheetName val="Calibração -1"/>
      <sheetName val="Calibração -2"/>
      <sheetName val="Calibração -3"/>
      <sheetName val="Ficha de Calibração"/>
      <sheetName val="cert. 1 ponto"/>
      <sheetName val="cert. 3 pontos"/>
      <sheetName val="calculos"/>
      <sheetName val="Planilhas"/>
      <sheetName val="Padrões"/>
      <sheetName val="Verificação"/>
      <sheetName val="Descrição Padroes"/>
      <sheetName val="Certificado"/>
      <sheetName val="Validaçao do BD"/>
      <sheetName val="Análise de dados"/>
    </sheetNames>
    <sheetDataSet>
      <sheetData sheetId="0" refreshError="1"/>
      <sheetData sheetId="1" refreshError="1">
        <row r="7">
          <cell r="E7">
            <v>36347</v>
          </cell>
        </row>
        <row r="8">
          <cell r="C8">
            <v>23</v>
          </cell>
        </row>
        <row r="10">
          <cell r="C10" t="str">
            <v>PROVETA</v>
          </cell>
          <cell r="F10" t="str">
            <v>10 ml</v>
          </cell>
        </row>
        <row r="11">
          <cell r="F11" t="str">
            <v>100 ml</v>
          </cell>
        </row>
        <row r="13">
          <cell r="C13" t="str">
            <v>teste 01</v>
          </cell>
          <cell r="F13" t="str">
            <v>SE 077</v>
          </cell>
        </row>
        <row r="14">
          <cell r="C14" t="str">
            <v>9999/99</v>
          </cell>
          <cell r="F14" t="str">
            <v>02</v>
          </cell>
        </row>
        <row r="25">
          <cell r="D25">
            <v>20</v>
          </cell>
        </row>
        <row r="27">
          <cell r="D27">
            <v>933</v>
          </cell>
        </row>
        <row r="31">
          <cell r="D31" t="str">
            <v>ml</v>
          </cell>
        </row>
      </sheetData>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106"/>
  <sheetViews>
    <sheetView tabSelected="1" workbookViewId="0">
      <pane ySplit="5" topLeftCell="A6" activePane="bottomLeft" state="frozen"/>
      <selection pane="bottomLeft" activeCell="A6" sqref="A6"/>
    </sheetView>
  </sheetViews>
  <sheetFormatPr defaultColWidth="21.5546875" defaultRowHeight="14.4" x14ac:dyDescent="0.3"/>
  <cols>
    <col min="1" max="1" width="4" style="1" bestFit="1" customWidth="1"/>
    <col min="2" max="2" width="11.6640625" style="1" bestFit="1" customWidth="1"/>
    <col min="3" max="3" width="43.109375" style="1" customWidth="1"/>
    <col min="4" max="16" width="17.5546875" style="1" customWidth="1"/>
    <col min="17" max="67" width="8.5546875" style="1" customWidth="1"/>
    <col min="68" max="16384" width="21.5546875" style="1"/>
  </cols>
  <sheetData>
    <row r="1" spans="1:67" x14ac:dyDescent="0.3">
      <c r="B1" s="1">
        <v>4</v>
      </c>
      <c r="C1" s="1">
        <v>4</v>
      </c>
      <c r="D1" s="1">
        <v>4</v>
      </c>
      <c r="E1" s="1">
        <v>4</v>
      </c>
      <c r="F1" s="1">
        <v>4</v>
      </c>
      <c r="G1" s="1">
        <v>4</v>
      </c>
      <c r="H1" s="1">
        <v>4</v>
      </c>
      <c r="I1" s="1">
        <v>4</v>
      </c>
      <c r="J1" s="1">
        <v>7</v>
      </c>
      <c r="K1" s="1">
        <v>4</v>
      </c>
      <c r="L1" s="1">
        <v>6</v>
      </c>
      <c r="M1" s="1">
        <v>4</v>
      </c>
      <c r="N1" s="1">
        <v>5</v>
      </c>
      <c r="O1" s="1">
        <v>5</v>
      </c>
      <c r="P1" s="1">
        <v>5</v>
      </c>
      <c r="Q1" s="1">
        <v>17</v>
      </c>
      <c r="R1" s="1">
        <v>15</v>
      </c>
      <c r="S1" s="1">
        <v>11</v>
      </c>
      <c r="T1" s="1">
        <v>12</v>
      </c>
      <c r="U1" s="1">
        <v>13</v>
      </c>
      <c r="V1" s="1">
        <v>14</v>
      </c>
      <c r="W1" s="1">
        <v>15</v>
      </c>
      <c r="X1" s="1">
        <v>16</v>
      </c>
      <c r="Y1" s="1">
        <v>17</v>
      </c>
      <c r="Z1" s="1">
        <v>18</v>
      </c>
      <c r="AA1" s="1">
        <v>19</v>
      </c>
      <c r="AB1" s="1">
        <v>2</v>
      </c>
      <c r="AC1" s="1">
        <v>4</v>
      </c>
      <c r="AD1" s="1">
        <v>5</v>
      </c>
      <c r="AE1" s="1">
        <v>6</v>
      </c>
      <c r="AF1" s="1">
        <v>2</v>
      </c>
      <c r="AG1" s="1">
        <v>4</v>
      </c>
      <c r="AH1" s="1">
        <v>5</v>
      </c>
      <c r="AI1" s="1">
        <v>6</v>
      </c>
      <c r="AJ1" s="1">
        <v>2</v>
      </c>
      <c r="AK1" s="1">
        <v>4</v>
      </c>
      <c r="AL1" s="1">
        <v>5</v>
      </c>
      <c r="AM1" s="1">
        <v>6</v>
      </c>
      <c r="AN1" s="1">
        <v>2</v>
      </c>
      <c r="AO1" s="1">
        <v>4</v>
      </c>
      <c r="AP1" s="1">
        <v>5</v>
      </c>
      <c r="AQ1" s="1">
        <v>6</v>
      </c>
      <c r="AR1" s="1">
        <v>2</v>
      </c>
      <c r="AS1" s="1">
        <v>4</v>
      </c>
      <c r="AT1" s="1">
        <v>5</v>
      </c>
      <c r="AU1" s="1">
        <v>6</v>
      </c>
      <c r="AV1" s="1">
        <v>2</v>
      </c>
      <c r="AW1" s="1">
        <v>4</v>
      </c>
      <c r="AX1" s="1">
        <v>5</v>
      </c>
      <c r="AY1" s="1">
        <v>6</v>
      </c>
      <c r="AZ1" s="1">
        <v>2</v>
      </c>
      <c r="BA1" s="1">
        <v>4</v>
      </c>
      <c r="BB1" s="1">
        <v>5</v>
      </c>
      <c r="BC1" s="1">
        <v>6</v>
      </c>
      <c r="BD1" s="1">
        <v>2</v>
      </c>
      <c r="BE1" s="1">
        <v>4</v>
      </c>
      <c r="BF1" s="1">
        <v>5</v>
      </c>
      <c r="BG1" s="1">
        <v>6</v>
      </c>
      <c r="BH1" s="1">
        <v>2</v>
      </c>
      <c r="BI1" s="1">
        <v>4</v>
      </c>
      <c r="BJ1" s="1">
        <v>5</v>
      </c>
      <c r="BK1" s="1">
        <v>6</v>
      </c>
      <c r="BL1" s="1">
        <v>2</v>
      </c>
      <c r="BM1" s="1">
        <v>4</v>
      </c>
      <c r="BN1" s="1">
        <v>5</v>
      </c>
      <c r="BO1" s="1">
        <v>6</v>
      </c>
    </row>
    <row r="2" spans="1:67" x14ac:dyDescent="0.3">
      <c r="B2" s="1">
        <v>203</v>
      </c>
      <c r="C2" s="1">
        <v>201</v>
      </c>
      <c r="D2" s="1">
        <v>202</v>
      </c>
      <c r="E2" s="1">
        <v>204</v>
      </c>
      <c r="F2" s="1">
        <v>205</v>
      </c>
      <c r="G2" s="1">
        <v>206</v>
      </c>
      <c r="H2" s="1">
        <v>207</v>
      </c>
      <c r="I2" s="1">
        <v>208</v>
      </c>
      <c r="J2" s="1">
        <v>210</v>
      </c>
      <c r="K2" s="1">
        <v>210</v>
      </c>
      <c r="L2" s="1">
        <v>210</v>
      </c>
      <c r="M2" s="1">
        <v>209</v>
      </c>
      <c r="N2" s="1">
        <v>235</v>
      </c>
      <c r="O2" s="1">
        <v>237</v>
      </c>
      <c r="P2" s="1">
        <v>233</v>
      </c>
      <c r="Q2" s="1">
        <v>207</v>
      </c>
      <c r="R2" s="1">
        <v>207</v>
      </c>
      <c r="S2" s="1">
        <v>205</v>
      </c>
      <c r="T2" s="1">
        <v>205</v>
      </c>
      <c r="U2" s="1">
        <v>205</v>
      </c>
      <c r="V2" s="1">
        <v>205</v>
      </c>
      <c r="W2" s="1">
        <v>205</v>
      </c>
      <c r="X2" s="1">
        <v>205</v>
      </c>
      <c r="Y2" s="1">
        <v>205</v>
      </c>
      <c r="Z2" s="1">
        <v>205</v>
      </c>
      <c r="AA2" s="1">
        <v>205</v>
      </c>
      <c r="AB2" s="1">
        <v>217</v>
      </c>
      <c r="AC2" s="1">
        <f t="shared" ref="AC2:AE3" si="0">AB2</f>
        <v>217</v>
      </c>
      <c r="AD2" s="1">
        <f t="shared" si="0"/>
        <v>217</v>
      </c>
      <c r="AE2" s="1">
        <f t="shared" si="0"/>
        <v>217</v>
      </c>
      <c r="AF2" s="1">
        <f>AE2+1</f>
        <v>218</v>
      </c>
      <c r="AG2" s="1">
        <f>AF2</f>
        <v>218</v>
      </c>
      <c r="AH2" s="1">
        <f>AG2</f>
        <v>218</v>
      </c>
      <c r="AI2" s="1">
        <f t="shared" ref="AI2:AU3" si="1">AH2</f>
        <v>218</v>
      </c>
      <c r="AJ2" s="1">
        <f>AI2+1</f>
        <v>219</v>
      </c>
      <c r="AK2" s="1">
        <f>AJ2</f>
        <v>219</v>
      </c>
      <c r="AL2" s="1">
        <f>AK2</f>
        <v>219</v>
      </c>
      <c r="AM2" s="1">
        <f t="shared" si="1"/>
        <v>219</v>
      </c>
      <c r="AN2" s="1">
        <f>AM2+1</f>
        <v>220</v>
      </c>
      <c r="AO2" s="1">
        <f>AN2</f>
        <v>220</v>
      </c>
      <c r="AP2" s="1">
        <f>AO2</f>
        <v>220</v>
      </c>
      <c r="AQ2" s="1">
        <f t="shared" si="1"/>
        <v>220</v>
      </c>
      <c r="AR2" s="1">
        <f>AQ2+1</f>
        <v>221</v>
      </c>
      <c r="AS2" s="1">
        <f>AR2</f>
        <v>221</v>
      </c>
      <c r="AT2" s="1">
        <f>AS2</f>
        <v>221</v>
      </c>
      <c r="AU2" s="1">
        <f t="shared" si="1"/>
        <v>221</v>
      </c>
      <c r="AV2" s="1">
        <f>AU2+1</f>
        <v>222</v>
      </c>
      <c r="AW2" s="1">
        <f>AV2</f>
        <v>222</v>
      </c>
      <c r="AX2" s="1">
        <f>AW2</f>
        <v>222</v>
      </c>
      <c r="AY2" s="1">
        <f t="shared" ref="AY2:AY3" si="2">AX2</f>
        <v>222</v>
      </c>
      <c r="AZ2" s="1">
        <f>AY2+1</f>
        <v>223</v>
      </c>
      <c r="BA2" s="1">
        <f>AZ2</f>
        <v>223</v>
      </c>
      <c r="BB2" s="1">
        <f>BA2</f>
        <v>223</v>
      </c>
      <c r="BC2" s="1">
        <f t="shared" ref="BC2:BC3" si="3">BB2</f>
        <v>223</v>
      </c>
      <c r="BD2" s="1">
        <f>BC2+1</f>
        <v>224</v>
      </c>
      <c r="BE2" s="1">
        <f>BD2</f>
        <v>224</v>
      </c>
      <c r="BF2" s="1">
        <f>BE2</f>
        <v>224</v>
      </c>
      <c r="BG2" s="1">
        <f t="shared" ref="BG2:BG3" si="4">BF2</f>
        <v>224</v>
      </c>
      <c r="BH2" s="1">
        <f>BG2+1</f>
        <v>225</v>
      </c>
      <c r="BI2" s="1">
        <f>BH2</f>
        <v>225</v>
      </c>
      <c r="BJ2" s="1">
        <f>BI2</f>
        <v>225</v>
      </c>
      <c r="BK2" s="1">
        <f t="shared" ref="BK2:BK3" si="5">BJ2</f>
        <v>225</v>
      </c>
      <c r="BL2" s="1">
        <f>BK2+1</f>
        <v>226</v>
      </c>
      <c r="BM2" s="1">
        <f>BL2</f>
        <v>226</v>
      </c>
      <c r="BN2" s="1">
        <f>BM2</f>
        <v>226</v>
      </c>
      <c r="BO2" s="1">
        <f t="shared" ref="BO2:BO3" si="6">BN2</f>
        <v>226</v>
      </c>
    </row>
    <row r="3" spans="1:67" x14ac:dyDescent="0.3">
      <c r="I3" s="39">
        <f ca="1">TODAY()</f>
        <v>46076</v>
      </c>
      <c r="AB3" s="1">
        <v>1</v>
      </c>
      <c r="AC3" s="1">
        <f t="shared" si="0"/>
        <v>1</v>
      </c>
      <c r="AD3" s="1">
        <f t="shared" si="0"/>
        <v>1</v>
      </c>
      <c r="AE3" s="1">
        <f t="shared" si="0"/>
        <v>1</v>
      </c>
      <c r="AF3" s="1">
        <f>AE3+1</f>
        <v>2</v>
      </c>
      <c r="AG3" s="1">
        <f>AF3</f>
        <v>2</v>
      </c>
      <c r="AH3" s="1">
        <f>AG3</f>
        <v>2</v>
      </c>
      <c r="AI3" s="1">
        <f t="shared" si="1"/>
        <v>2</v>
      </c>
      <c r="AJ3" s="1">
        <f>AI3+1</f>
        <v>3</v>
      </c>
      <c r="AK3" s="1">
        <f>AJ3</f>
        <v>3</v>
      </c>
      <c r="AL3" s="1">
        <f>AK3</f>
        <v>3</v>
      </c>
      <c r="AM3" s="1">
        <f t="shared" si="1"/>
        <v>3</v>
      </c>
      <c r="AN3" s="1">
        <f>AM3+1</f>
        <v>4</v>
      </c>
      <c r="AO3" s="1">
        <f>AN3</f>
        <v>4</v>
      </c>
      <c r="AP3" s="1">
        <f>AO3</f>
        <v>4</v>
      </c>
      <c r="AQ3" s="1">
        <f t="shared" si="1"/>
        <v>4</v>
      </c>
      <c r="AR3" s="1">
        <f>AQ3+1</f>
        <v>5</v>
      </c>
      <c r="AS3" s="1">
        <f>AR3</f>
        <v>5</v>
      </c>
      <c r="AT3" s="1">
        <f>AS3</f>
        <v>5</v>
      </c>
      <c r="AU3" s="1">
        <f t="shared" si="1"/>
        <v>5</v>
      </c>
      <c r="AV3" s="1">
        <f>AU3+1</f>
        <v>6</v>
      </c>
      <c r="AW3" s="1">
        <f>AV3</f>
        <v>6</v>
      </c>
      <c r="AX3" s="1">
        <f>AW3</f>
        <v>6</v>
      </c>
      <c r="AY3" s="1">
        <f t="shared" si="2"/>
        <v>6</v>
      </c>
      <c r="AZ3" s="1">
        <f>AY3+1</f>
        <v>7</v>
      </c>
      <c r="BA3" s="1">
        <f>AZ3</f>
        <v>7</v>
      </c>
      <c r="BB3" s="1">
        <f>BA3</f>
        <v>7</v>
      </c>
      <c r="BC3" s="1">
        <f t="shared" si="3"/>
        <v>7</v>
      </c>
      <c r="BD3" s="1">
        <f>BC3+1</f>
        <v>8</v>
      </c>
      <c r="BE3" s="1">
        <f>BD3</f>
        <v>8</v>
      </c>
      <c r="BF3" s="1">
        <f>BE3</f>
        <v>8</v>
      </c>
      <c r="BG3" s="1">
        <f t="shared" si="4"/>
        <v>8</v>
      </c>
      <c r="BH3" s="1">
        <f>BG3+1</f>
        <v>9</v>
      </c>
      <c r="BI3" s="1">
        <f>BH3</f>
        <v>9</v>
      </c>
      <c r="BJ3" s="1">
        <f>BI3</f>
        <v>9</v>
      </c>
      <c r="BK3" s="1">
        <f t="shared" si="5"/>
        <v>9</v>
      </c>
      <c r="BL3" s="1">
        <f>BK3+1</f>
        <v>10</v>
      </c>
      <c r="BM3" s="1">
        <f>BL3</f>
        <v>10</v>
      </c>
      <c r="BN3" s="1">
        <f>BM3</f>
        <v>10</v>
      </c>
      <c r="BO3" s="1">
        <f t="shared" si="6"/>
        <v>10</v>
      </c>
    </row>
    <row r="4" spans="1:67" x14ac:dyDescent="0.3">
      <c r="Q4" s="70" t="s">
        <v>47</v>
      </c>
      <c r="R4" s="70"/>
      <c r="S4" s="70"/>
      <c r="T4" s="70"/>
      <c r="U4" s="70"/>
      <c r="V4" s="70"/>
      <c r="W4" s="70"/>
      <c r="X4" s="70"/>
      <c r="Y4" s="70"/>
      <c r="Z4" s="70"/>
      <c r="AA4" s="70"/>
      <c r="AB4" s="71" t="str">
        <f>CONCATENATE(AB3,"º Ponto")</f>
        <v>1º Ponto</v>
      </c>
      <c r="AC4" s="72"/>
      <c r="AD4" s="72"/>
      <c r="AE4" s="73"/>
      <c r="AF4" s="67" t="str">
        <f t="shared" ref="AF4" si="7">CONCATENATE(AF3,"º Ponto")</f>
        <v>2º Ponto</v>
      </c>
      <c r="AG4" s="68"/>
      <c r="AH4" s="68"/>
      <c r="AI4" s="69"/>
      <c r="AJ4" s="71" t="str">
        <f t="shared" ref="AJ4" si="8">CONCATENATE(AJ3,"º Ponto")</f>
        <v>3º Ponto</v>
      </c>
      <c r="AK4" s="72"/>
      <c r="AL4" s="72"/>
      <c r="AM4" s="73"/>
      <c r="AN4" s="67" t="str">
        <f t="shared" ref="AN4" si="9">CONCATENATE(AN3,"º Ponto")</f>
        <v>4º Ponto</v>
      </c>
      <c r="AO4" s="68"/>
      <c r="AP4" s="68"/>
      <c r="AQ4" s="69"/>
      <c r="AR4" s="71" t="str">
        <f t="shared" ref="AR4" si="10">CONCATENATE(AR3,"º Ponto")</f>
        <v>5º Ponto</v>
      </c>
      <c r="AS4" s="72"/>
      <c r="AT4" s="72"/>
      <c r="AU4" s="73"/>
      <c r="AV4" s="67" t="str">
        <f t="shared" ref="AV4" si="11">CONCATENATE(AV3,"º Ponto")</f>
        <v>6º Ponto</v>
      </c>
      <c r="AW4" s="68"/>
      <c r="AX4" s="68"/>
      <c r="AY4" s="69"/>
      <c r="AZ4" s="71" t="str">
        <f t="shared" ref="AZ4" si="12">CONCATENATE(AZ3,"º Ponto")</f>
        <v>7º Ponto</v>
      </c>
      <c r="BA4" s="72"/>
      <c r="BB4" s="72"/>
      <c r="BC4" s="73"/>
      <c r="BD4" s="67" t="str">
        <f t="shared" ref="BD4" si="13">CONCATENATE(BD3,"º Ponto")</f>
        <v>8º Ponto</v>
      </c>
      <c r="BE4" s="68"/>
      <c r="BF4" s="68"/>
      <c r="BG4" s="69"/>
      <c r="BH4" s="71" t="str">
        <f t="shared" ref="BH4" si="14">CONCATENATE(BH3,"º Ponto")</f>
        <v>9º Ponto</v>
      </c>
      <c r="BI4" s="72"/>
      <c r="BJ4" s="72"/>
      <c r="BK4" s="73"/>
      <c r="BL4" s="67" t="str">
        <f t="shared" ref="BL4" si="15">CONCATENATE(BL3,"º Ponto")</f>
        <v>10º Ponto</v>
      </c>
      <c r="BM4" s="68"/>
      <c r="BN4" s="68"/>
      <c r="BO4" s="69"/>
    </row>
    <row r="5" spans="1:67" ht="28.8" x14ac:dyDescent="0.3">
      <c r="B5" s="27" t="s">
        <v>48</v>
      </c>
      <c r="C5" s="27" t="s">
        <v>49</v>
      </c>
      <c r="D5" s="34" t="s">
        <v>64</v>
      </c>
      <c r="E5" s="27" t="s">
        <v>50</v>
      </c>
      <c r="F5" s="27" t="s">
        <v>51</v>
      </c>
      <c r="G5" s="27" t="s">
        <v>52</v>
      </c>
      <c r="H5" s="27" t="s">
        <v>53</v>
      </c>
      <c r="I5" s="27" t="s">
        <v>54</v>
      </c>
      <c r="J5" s="27" t="s">
        <v>55</v>
      </c>
      <c r="K5" s="27" t="s">
        <v>56</v>
      </c>
      <c r="L5" s="27" t="s">
        <v>57</v>
      </c>
      <c r="M5" s="27" t="s">
        <v>58</v>
      </c>
      <c r="N5" s="27" t="s">
        <v>59</v>
      </c>
      <c r="O5" s="27" t="s">
        <v>60</v>
      </c>
      <c r="P5" s="27" t="s">
        <v>61</v>
      </c>
      <c r="Q5" s="28" t="s">
        <v>62</v>
      </c>
      <c r="R5" s="28" t="s">
        <v>63</v>
      </c>
      <c r="S5" s="28" t="s">
        <v>3</v>
      </c>
      <c r="T5" s="28" t="s">
        <v>4</v>
      </c>
      <c r="U5" s="28" t="s">
        <v>5</v>
      </c>
      <c r="V5" s="28" t="s">
        <v>6</v>
      </c>
      <c r="W5" s="28" t="s">
        <v>7</v>
      </c>
      <c r="X5" s="28" t="s">
        <v>8</v>
      </c>
      <c r="Y5" s="28" t="s">
        <v>9</v>
      </c>
      <c r="Z5" s="28" t="s">
        <v>10</v>
      </c>
      <c r="AA5" s="28" t="s">
        <v>11</v>
      </c>
      <c r="AB5" s="29" t="str">
        <f>CONCATENATE(AB3,"-VR")</f>
        <v>1-VR</v>
      </c>
      <c r="AC5" s="29" t="str">
        <f>CONCATENATE(AC3,"-U")</f>
        <v>1-U</v>
      </c>
      <c r="AD5" s="29" t="str">
        <f>CONCATENATE(AD3,"-K")</f>
        <v>1-K</v>
      </c>
      <c r="AE5" s="29" t="str">
        <f>CONCATENATE(AE3,"-GL")</f>
        <v>1-GL</v>
      </c>
      <c r="AF5" s="30" t="str">
        <f t="shared" ref="AF5" si="16">CONCATENATE(AF3,"-VR")</f>
        <v>2-VR</v>
      </c>
      <c r="AG5" s="30" t="str">
        <f t="shared" ref="AG5" si="17">CONCATENATE(AG3,"-U")</f>
        <v>2-U</v>
      </c>
      <c r="AH5" s="30" t="str">
        <f t="shared" ref="AH5" si="18">CONCATENATE(AH3,"-K")</f>
        <v>2-K</v>
      </c>
      <c r="AI5" s="30" t="str">
        <f t="shared" ref="AI5" si="19">CONCATENATE(AI3,"-GL")</f>
        <v>2-GL</v>
      </c>
      <c r="AJ5" s="29" t="str">
        <f t="shared" ref="AJ5" si="20">CONCATENATE(AJ3,"-VR")</f>
        <v>3-VR</v>
      </c>
      <c r="AK5" s="29" t="str">
        <f t="shared" ref="AK5" si="21">CONCATENATE(AK3,"-U")</f>
        <v>3-U</v>
      </c>
      <c r="AL5" s="29" t="str">
        <f t="shared" ref="AL5" si="22">CONCATENATE(AL3,"-K")</f>
        <v>3-K</v>
      </c>
      <c r="AM5" s="29" t="str">
        <f t="shared" ref="AM5" si="23">CONCATENATE(AM3,"-GL")</f>
        <v>3-GL</v>
      </c>
      <c r="AN5" s="30" t="str">
        <f t="shared" ref="AN5" si="24">CONCATENATE(AN3,"-VR")</f>
        <v>4-VR</v>
      </c>
      <c r="AO5" s="30" t="str">
        <f t="shared" ref="AO5" si="25">CONCATENATE(AO3,"-U")</f>
        <v>4-U</v>
      </c>
      <c r="AP5" s="30" t="str">
        <f t="shared" ref="AP5" si="26">CONCATENATE(AP3,"-K")</f>
        <v>4-K</v>
      </c>
      <c r="AQ5" s="30" t="str">
        <f t="shared" ref="AQ5" si="27">CONCATENATE(AQ3,"-GL")</f>
        <v>4-GL</v>
      </c>
      <c r="AR5" s="29" t="str">
        <f t="shared" ref="AR5" si="28">CONCATENATE(AR3,"-VR")</f>
        <v>5-VR</v>
      </c>
      <c r="AS5" s="29" t="str">
        <f t="shared" ref="AS5" si="29">CONCATENATE(AS3,"-U")</f>
        <v>5-U</v>
      </c>
      <c r="AT5" s="29" t="str">
        <f t="shared" ref="AT5" si="30">CONCATENATE(AT3,"-K")</f>
        <v>5-K</v>
      </c>
      <c r="AU5" s="29" t="str">
        <f t="shared" ref="AU5" si="31">CONCATENATE(AU3,"-GL")</f>
        <v>5-GL</v>
      </c>
      <c r="AV5" s="30" t="str">
        <f t="shared" ref="AV5" si="32">CONCATENATE(AV3,"-VR")</f>
        <v>6-VR</v>
      </c>
      <c r="AW5" s="30" t="str">
        <f t="shared" ref="AW5" si="33">CONCATENATE(AW3,"-U")</f>
        <v>6-U</v>
      </c>
      <c r="AX5" s="30" t="str">
        <f t="shared" ref="AX5" si="34">CONCATENATE(AX3,"-K")</f>
        <v>6-K</v>
      </c>
      <c r="AY5" s="30" t="str">
        <f t="shared" ref="AY5" si="35">CONCATENATE(AY3,"-GL")</f>
        <v>6-GL</v>
      </c>
      <c r="AZ5" s="29" t="str">
        <f t="shared" ref="AZ5" si="36">CONCATENATE(AZ3,"-VR")</f>
        <v>7-VR</v>
      </c>
      <c r="BA5" s="29" t="str">
        <f t="shared" ref="BA5" si="37">CONCATENATE(BA3,"-U")</f>
        <v>7-U</v>
      </c>
      <c r="BB5" s="29" t="str">
        <f t="shared" ref="BB5" si="38">CONCATENATE(BB3,"-K")</f>
        <v>7-K</v>
      </c>
      <c r="BC5" s="29" t="str">
        <f t="shared" ref="BC5" si="39">CONCATENATE(BC3,"-GL")</f>
        <v>7-GL</v>
      </c>
      <c r="BD5" s="30" t="str">
        <f t="shared" ref="BD5" si="40">CONCATENATE(BD3,"-VR")</f>
        <v>8-VR</v>
      </c>
      <c r="BE5" s="30" t="str">
        <f t="shared" ref="BE5" si="41">CONCATENATE(BE3,"-U")</f>
        <v>8-U</v>
      </c>
      <c r="BF5" s="30" t="str">
        <f t="shared" ref="BF5" si="42">CONCATENATE(BF3,"-K")</f>
        <v>8-K</v>
      </c>
      <c r="BG5" s="30" t="str">
        <f t="shared" ref="BG5" si="43">CONCATENATE(BG3,"-GL")</f>
        <v>8-GL</v>
      </c>
      <c r="BH5" s="29" t="str">
        <f t="shared" ref="BH5" si="44">CONCATENATE(BH3,"-VR")</f>
        <v>9-VR</v>
      </c>
      <c r="BI5" s="29" t="str">
        <f t="shared" ref="BI5" si="45">CONCATENATE(BI3,"-U")</f>
        <v>9-U</v>
      </c>
      <c r="BJ5" s="29" t="str">
        <f t="shared" ref="BJ5" si="46">CONCATENATE(BJ3,"-K")</f>
        <v>9-K</v>
      </c>
      <c r="BK5" s="29" t="str">
        <f t="shared" ref="BK5" si="47">CONCATENATE(BK3,"-GL")</f>
        <v>9-GL</v>
      </c>
      <c r="BL5" s="30" t="str">
        <f t="shared" ref="BL5" si="48">CONCATENATE(BL3,"-VR")</f>
        <v>10-VR</v>
      </c>
      <c r="BM5" s="30" t="str">
        <f t="shared" ref="BM5" si="49">CONCATENATE(BM3,"-U")</f>
        <v>10-U</v>
      </c>
      <c r="BN5" s="30" t="str">
        <f t="shared" ref="BN5" si="50">CONCATENATE(BN3,"-K")</f>
        <v>10-K</v>
      </c>
      <c r="BO5" s="30" t="str">
        <f t="shared" ref="BO5" si="51">CONCATENATE(BO3,"-GL")</f>
        <v>10-GL</v>
      </c>
    </row>
    <row r="6" spans="1:67" x14ac:dyDescent="0.3">
      <c r="A6" s="6">
        <v>1</v>
      </c>
      <c r="B6" s="31" t="str">
        <f>IF(VLOOKUP(ROUND(CONCATENATE($A6,B$2),0),'Cadastro dos Padrões'!$A$2:$V$4400,B$1,FALSE)="","-",VLOOKUP(ROUND(CONCATENATE($A6,B$2),0),'Cadastro dos Padrões'!$A$2:$V$4400,B$1,FALSE))</f>
        <v>X.TH.LV-001</v>
      </c>
      <c r="C6" s="31" t="str">
        <f>IF($B6="-","-",VLOOKUP(ROUND(CONCATENATE($A6,C$2),0),'Cadastro dos Padrões'!$A$2:$V$4400,C$1,FALSE))</f>
        <v>Termohigrômetro Digital</v>
      </c>
      <c r="D6" s="31">
        <f>IF($B6="-","-",VLOOKUP(ROUND(CONCATENATE($A6,D$2),0),'Cadastro dos Padrões'!$A$2:$V$4400,D$1,FALSE))</f>
        <v>20</v>
      </c>
      <c r="E6" s="31" t="str">
        <f>IF($B6="-","-",VLOOKUP(ROUND(CONCATENATE($A6,E$2),0),'Cadastro dos Padrões'!$A$2:$V$4400,E$1,FALSE))</f>
        <v>Elus</v>
      </c>
      <c r="F6" s="31" t="str">
        <f>IF($B6="-","-",VLOOKUP(ROUND(CONCATENATE($A6,F$2),0),'Cadastro dos Padrões'!$A$2:$V$4400,F$1,FALSE))</f>
        <v>RBC - CAL 0439</v>
      </c>
      <c r="G6" s="31" t="str">
        <f>IF($B6="-","-",VLOOKUP(ROUND(CONCATENATE($A6,G$2),0),'Cadastro dos Padrões'!$A$2:$V$4400,G$1,FALSE))</f>
        <v>E0643A/25</v>
      </c>
      <c r="H6" s="32">
        <f>IF($B6="-","-",VLOOKUP(ROUND(CONCATENATE($A6,H$2),0),'Cadastro dos Padrões'!$A$2:$V$4400,H$1,FALSE))</f>
        <v>45910</v>
      </c>
      <c r="I6" s="33">
        <f>IF($B6="-","-",VLOOKUP(ROUND(CONCATENATE($A6,I$2),0),'Cadastro dos Padrões'!$A$2:$V$4400,I$1,FALSE))</f>
        <v>46295</v>
      </c>
      <c r="J6" s="31" t="str">
        <f>IF($B6="-","-",VLOOKUP(ROUND(CONCATENATE($A6,J$2),0),'Cadastro dos Padrões'!$A$2:$V$4400,J$1,FALSE))</f>
        <v>%ur</v>
      </c>
      <c r="K6" s="31">
        <f>IF($B6="-","-",VLOOKUP(ROUND(CONCATENATE($A6,K$2),0),'Cadastro dos Padrões'!$A$2:$V$4400,K$1,FALSE))</f>
        <v>10</v>
      </c>
      <c r="L6" s="31">
        <f>IF($B6="-","-",VLOOKUP(ROUND(CONCATENATE($A6,L$2),0),'Cadastro dos Padrões'!$A$2:$V$4400,L$1,FALSE))</f>
        <v>90</v>
      </c>
      <c r="M6" s="31">
        <f>IF($B6="-","-",VLOOKUP(ROUND(CONCATENATE($A6,M$2),0),'Cadastro dos Padrões'!$A$2:$V$4400,M$1,FALSE))</f>
        <v>0.01</v>
      </c>
      <c r="N6" s="31">
        <f>IF($B6="-","-",VLOOKUP(ROUND(CONCATENATE($A6,N$2),0),'Cadastro dos Padrões'!$A$2:$V$4400,N$1,FALSE))</f>
        <v>1.2999999999999972</v>
      </c>
      <c r="O6" s="31">
        <f>IF($B6="-","-",VLOOKUP(ROUND(CONCATENATE($A6,O$2),0),'Cadastro dos Padrões'!$A$2:$V$4400,O$1,FALSE))</f>
        <v>1.2</v>
      </c>
      <c r="P6" s="31">
        <f>IF($B6="-","-",VLOOKUP(ROUND(CONCATENATE($A6,P$2),0),'Cadastro dos Padrões'!$A$2:$V$4400,P$1,FALSE))</f>
        <v>1.5</v>
      </c>
      <c r="Q6" s="31">
        <f>IF($B6="-","-",VLOOKUP(ROUND(CONCATENATE($A6,Q$2),0),'Cadastro dos Padrões'!$A$2:$V$4400,Q$1,FALSE))</f>
        <v>8.987611964784703E-3</v>
      </c>
      <c r="R6" s="31">
        <f>IF($B6="-","-",VLOOKUP(ROUND(CONCATENATE($A6,R$2),0),'Cadastro dos Padrões'!$A$2:$V$4400,R$1,FALSE))</f>
        <v>4</v>
      </c>
      <c r="S6" s="31">
        <f>IF($B6="-","-",VLOOKUP(ROUND(CONCATENATE($A6,S$2),0),'Cadastro dos Padrões'!$A$2:$V$4400,S$1,FALSE))</f>
        <v>0</v>
      </c>
      <c r="T6" s="31">
        <f>IF($B6="-","-",VLOOKUP(ROUND(CONCATENATE($A6,T$2),0),'Cadastro dos Padrões'!$A$2:$V$4400,T$1,FALSE))</f>
        <v>0</v>
      </c>
      <c r="U6" s="31">
        <f>IF($B6="-","-",VLOOKUP(ROUND(CONCATENATE($A6,U$2),0),'Cadastro dos Padrões'!$A$2:$V$4400,U$1,FALSE))</f>
        <v>0</v>
      </c>
      <c r="V6" s="31">
        <f>IF($B6="-","-",VLOOKUP(ROUND(CONCATENATE($A6,V$2),0),'Cadastro dos Padrões'!$A$2:$V$4400,V$1,FALSE))</f>
        <v>0</v>
      </c>
      <c r="W6" s="31">
        <f>IF($B6="-","-",VLOOKUP(ROUND(CONCATENATE($A6,W$2),0),'Cadastro dos Padrões'!$A$2:$V$4400,W$1,FALSE))</f>
        <v>-3.2655712156056859E-7</v>
      </c>
      <c r="X6" s="31">
        <f>IF($B6="-","-",VLOOKUP(ROUND(CONCATENATE($A6,X$2),0),'Cadastro dos Padrões'!$A$2:$V$4400,X$1,FALSE))</f>
        <v>6.0579675871904894E-5</v>
      </c>
      <c r="Y6" s="31">
        <f>IF($B6="-","-",VLOOKUP(ROUND(CONCATENATE($A6,Y$2),0),'Cadastro dos Padrões'!$A$2:$V$4400,Y$1,FALSE))</f>
        <v>-3.7173888714108648E-3</v>
      </c>
      <c r="Z6" s="31">
        <f>IF($B6="-","-",VLOOKUP(ROUND(CONCATENATE($A6,Z$2),0),'Cadastro dos Padrões'!$A$2:$V$4400,Z$1,FALSE))</f>
        <v>1.0702837287214311</v>
      </c>
      <c r="AA6" s="31">
        <f>IF($B6="-","-",VLOOKUP(ROUND(CONCATENATE($A6,AA$2),0),'Cadastro dos Padrões'!$A$2:$V$4400,AA$1,FALSE))</f>
        <v>-0.14499576804372349</v>
      </c>
      <c r="AB6" s="31">
        <f>IF(VLOOKUP(ROUND(CONCATENATE($A6,AB$2),0),'Cadastro dos Padrões'!$A$2:$V$4400,AB$1,FALSE)="","-",VLOOKUP(ROUND(CONCATENATE($A6,AB$2),0),'Cadastro dos Padrões'!$A$2:$V$4400,AB$1,FALSE))</f>
        <v>10</v>
      </c>
      <c r="AC6" s="31">
        <f>IF(VLOOKUP(ROUND(CONCATENATE($A6,AC$2),0),'Cadastro dos Padrões'!$A$2:$V$4400,AC$1,FALSE)="","-",VLOOKUP(ROUND(CONCATENATE($A6,AC$2),0),'Cadastro dos Padrões'!$A$2:$V$4400,AC$1,FALSE))</f>
        <v>0.81</v>
      </c>
      <c r="AD6" s="31">
        <f>IF(VLOOKUP(ROUND(CONCATENATE($A6,AD$2),0),'Cadastro dos Padrões'!$A$2:$V$4400,AD$1,FALSE)="","-",VLOOKUP(ROUND(CONCATENATE($A6,AD$2),0),'Cadastro dos Padrões'!$A$2:$V$4400,AD$1,FALSE))</f>
        <v>2</v>
      </c>
      <c r="AE6" s="31">
        <f>IF(VLOOKUP(ROUND(CONCATENATE($A6,AE$2),0),'Cadastro dos Padrões'!$A$2:$V$4400,AE$1,FALSE)="","-",VLOOKUP(ROUND(CONCATENATE($A6,AE$2),0),'Cadastro dos Padrões'!$A$2:$V$4400,AE$1,FALSE))</f>
        <v>1000000</v>
      </c>
      <c r="AF6" s="31">
        <f>IF(VLOOKUP(ROUND(CONCATENATE($A6,AF$2),0),'Cadastro dos Padrões'!$A$2:$V$4400,AF$1,FALSE)="","-",VLOOKUP(ROUND(CONCATENATE($A6,AF$2),0),'Cadastro dos Padrões'!$A$2:$V$4400,AF$1,FALSE))</f>
        <v>30</v>
      </c>
      <c r="AG6" s="31">
        <f>IF(VLOOKUP(ROUND(CONCATENATE($A6,AG$2),0),'Cadastro dos Padrões'!$A$2:$V$4400,AG$1,FALSE)="","-",VLOOKUP(ROUND(CONCATENATE($A6,AG$2),0),'Cadastro dos Padrões'!$A$2:$V$4400,AG$1,FALSE))</f>
        <v>0.94</v>
      </c>
      <c r="AH6" s="31">
        <f>IF(VLOOKUP(ROUND(CONCATENATE($A6,AH$2),0),'Cadastro dos Padrões'!$A$2:$V$4400,AH$1,FALSE)="","-",VLOOKUP(ROUND(CONCATENATE($A6,AH$2),0),'Cadastro dos Padrões'!$A$2:$V$4400,AH$1,FALSE))</f>
        <v>2</v>
      </c>
      <c r="AI6" s="31">
        <f>IF(VLOOKUP(ROUND(CONCATENATE($A6,AI$2),0),'Cadastro dos Padrões'!$A$2:$V$4400,AI$1,FALSE)="","-",VLOOKUP(ROUND(CONCATENATE($A6,AI$2),0),'Cadastro dos Padrões'!$A$2:$V$4400,AI$1,FALSE))</f>
        <v>1000000</v>
      </c>
      <c r="AJ6" s="31">
        <f>IF(VLOOKUP(ROUND(CONCATENATE($A6,AJ$2),0),'Cadastro dos Padrões'!$A$2:$V$4400,AJ$1,FALSE)="","-",VLOOKUP(ROUND(CONCATENATE($A6,AJ$2),0),'Cadastro dos Padrões'!$A$2:$V$4400,AJ$1,FALSE))</f>
        <v>50</v>
      </c>
      <c r="AK6" s="31">
        <f>IF(VLOOKUP(ROUND(CONCATENATE($A6,AK$2),0),'Cadastro dos Padrões'!$A$2:$V$4400,AK$1,FALSE)="","-",VLOOKUP(ROUND(CONCATENATE($A6,AK$2),0),'Cadastro dos Padrões'!$A$2:$V$4400,AK$1,FALSE))</f>
        <v>1.1000000000000001</v>
      </c>
      <c r="AL6" s="31">
        <f>IF(VLOOKUP(ROUND(CONCATENATE($A6,AL$2),0),'Cadastro dos Padrões'!$A$2:$V$4400,AL$1,FALSE)="","-",VLOOKUP(ROUND(CONCATENATE($A6,AL$2),0),'Cadastro dos Padrões'!$A$2:$V$4400,AL$1,FALSE))</f>
        <v>2</v>
      </c>
      <c r="AM6" s="31">
        <f>IF(VLOOKUP(ROUND(CONCATENATE($A6,AM$2),0),'Cadastro dos Padrões'!$A$2:$V$4400,AM$1,FALSE)="","-",VLOOKUP(ROUND(CONCATENATE($A6,AM$2),0),'Cadastro dos Padrões'!$A$2:$V$4400,AM$1,FALSE))</f>
        <v>1000000</v>
      </c>
      <c r="AN6" s="31">
        <f>IF(VLOOKUP(ROUND(CONCATENATE($A6,AN$2),0),'Cadastro dos Padrões'!$A$2:$V$4400,AN$1,FALSE)="","-",VLOOKUP(ROUND(CONCATENATE($A6,AN$2),0),'Cadastro dos Padrões'!$A$2:$V$4400,AN$1,FALSE))</f>
        <v>70</v>
      </c>
      <c r="AO6" s="31">
        <f>IF(VLOOKUP(ROUND(CONCATENATE($A6,AO$2),0),'Cadastro dos Padrões'!$A$2:$V$4400,AO$1,FALSE)="","-",VLOOKUP(ROUND(CONCATENATE($A6,AO$2),0),'Cadastro dos Padrões'!$A$2:$V$4400,AO$1,FALSE))</f>
        <v>1.1000000000000001</v>
      </c>
      <c r="AP6" s="31">
        <f>IF(VLOOKUP(ROUND(CONCATENATE($A6,AP$2),0),'Cadastro dos Padrões'!$A$2:$V$4400,AP$1,FALSE)="","-",VLOOKUP(ROUND(CONCATENATE($A6,AP$2),0),'Cadastro dos Padrões'!$A$2:$V$4400,AP$1,FALSE))</f>
        <v>2</v>
      </c>
      <c r="AQ6" s="31">
        <f>IF(VLOOKUP(ROUND(CONCATENATE($A6,AQ$2),0),'Cadastro dos Padrões'!$A$2:$V$4400,AQ$1,FALSE)="","-",VLOOKUP(ROUND(CONCATENATE($A6,AQ$2),0),'Cadastro dos Padrões'!$A$2:$V$4400,AQ$1,FALSE))</f>
        <v>1000000</v>
      </c>
      <c r="AR6" s="31">
        <f>IF(VLOOKUP(ROUND(CONCATENATE($A6,AR$2),0),'Cadastro dos Padrões'!$A$2:$V$4400,AR$1,FALSE)="","-",VLOOKUP(ROUND(CONCATENATE($A6,AR$2),0),'Cadastro dos Padrões'!$A$2:$V$4400,AR$1,FALSE))</f>
        <v>80</v>
      </c>
      <c r="AS6" s="31">
        <f>IF(VLOOKUP(ROUND(CONCATENATE($A6,AS$2),0),'Cadastro dos Padrões'!$A$2:$V$4400,AS$1,FALSE)="","-",VLOOKUP(ROUND(CONCATENATE($A6,AS$2),0),'Cadastro dos Padrões'!$A$2:$V$4400,AS$1,FALSE))</f>
        <v>1.2</v>
      </c>
      <c r="AT6" s="31">
        <f>IF(VLOOKUP(ROUND(CONCATENATE($A6,AT$2),0),'Cadastro dos Padrões'!$A$2:$V$4400,AT$1,FALSE)="","-",VLOOKUP(ROUND(CONCATENATE($A6,AT$2),0),'Cadastro dos Padrões'!$A$2:$V$4400,AT$1,FALSE))</f>
        <v>2</v>
      </c>
      <c r="AU6" s="31">
        <f>IF(VLOOKUP(ROUND(CONCATENATE($A6,AU$2),0),'Cadastro dos Padrões'!$A$2:$V$4400,AU$1,FALSE)="","-",VLOOKUP(ROUND(CONCATENATE($A6,AU$2),0),'Cadastro dos Padrões'!$A$2:$V$4400,AU$1,FALSE))</f>
        <v>1000000</v>
      </c>
      <c r="AV6" s="31">
        <f>IF(VLOOKUP(ROUND(CONCATENATE($A6,AV$2),0),'Cadastro dos Padrões'!$A$2:$V$4400,AV$1,FALSE)="","-",VLOOKUP(ROUND(CONCATENATE($A6,AV$2),0),'Cadastro dos Padrões'!$A$2:$V$4400,AV$1,FALSE))</f>
        <v>90</v>
      </c>
      <c r="AW6" s="31">
        <f>IF(VLOOKUP(ROUND(CONCATENATE($A6,AW$2),0),'Cadastro dos Padrões'!$A$2:$V$4400,AW$1,FALSE)="","-",VLOOKUP(ROUND(CONCATENATE($A6,AW$2),0),'Cadastro dos Padrões'!$A$2:$V$4400,AW$1,FALSE))</f>
        <v>1.2</v>
      </c>
      <c r="AX6" s="31">
        <f>IF(VLOOKUP(ROUND(CONCATENATE($A6,AX$2),0),'Cadastro dos Padrões'!$A$2:$V$4400,AX$1,FALSE)="","-",VLOOKUP(ROUND(CONCATENATE($A6,AX$2),0),'Cadastro dos Padrões'!$A$2:$V$4400,AX$1,FALSE))</f>
        <v>2</v>
      </c>
      <c r="AY6" s="31">
        <f>IF(VLOOKUP(ROUND(CONCATENATE($A6,AY$2),0),'Cadastro dos Padrões'!$A$2:$V$4400,AY$1,FALSE)="","-",VLOOKUP(ROUND(CONCATENATE($A6,AY$2),0),'Cadastro dos Padrões'!$A$2:$V$4400,AY$1,FALSE))</f>
        <v>1000000</v>
      </c>
      <c r="AZ6" s="31" t="str">
        <f>IF(VLOOKUP(ROUND(CONCATENATE($A6,AZ$2),0),'Cadastro dos Padrões'!$A$2:$V$4400,AZ$1,FALSE)="","-",VLOOKUP(ROUND(CONCATENATE($A6,AZ$2),0),'Cadastro dos Padrões'!$A$2:$V$4400,AZ$1,FALSE))</f>
        <v>-</v>
      </c>
      <c r="BA6" s="31" t="str">
        <f>IF(VLOOKUP(ROUND(CONCATENATE($A6,BA$2),0),'Cadastro dos Padrões'!$A$2:$V$4400,BA$1,FALSE)="","-",VLOOKUP(ROUND(CONCATENATE($A6,BA$2),0),'Cadastro dos Padrões'!$A$2:$V$4400,BA$1,FALSE))</f>
        <v>-</v>
      </c>
      <c r="BB6" s="31" t="str">
        <f>IF(VLOOKUP(ROUND(CONCATENATE($A6,BB$2),0),'Cadastro dos Padrões'!$A$2:$V$4400,BB$1,FALSE)="","-",VLOOKUP(ROUND(CONCATENATE($A6,BB$2),0),'Cadastro dos Padrões'!$A$2:$V$4400,BB$1,FALSE))</f>
        <v>-</v>
      </c>
      <c r="BC6" s="31" t="str">
        <f>IF(VLOOKUP(ROUND(CONCATENATE($A6,BC$2),0),'Cadastro dos Padrões'!$A$2:$V$4400,BC$1,FALSE)="","-",VLOOKUP(ROUND(CONCATENATE($A6,BC$2),0),'Cadastro dos Padrões'!$A$2:$V$4400,BC$1,FALSE))</f>
        <v>-</v>
      </c>
      <c r="BD6" s="31" t="str">
        <f>IF(VLOOKUP(ROUND(CONCATENATE($A6,BD$2),0),'Cadastro dos Padrões'!$A$2:$V$4400,BD$1,FALSE)="","-",VLOOKUP(ROUND(CONCATENATE($A6,BD$2),0),'Cadastro dos Padrões'!$A$2:$V$4400,BD$1,FALSE))</f>
        <v>-</v>
      </c>
      <c r="BE6" s="31" t="str">
        <f>IF(VLOOKUP(ROUND(CONCATENATE($A6,BE$2),0),'Cadastro dos Padrões'!$A$2:$V$4400,BE$1,FALSE)="","-",VLOOKUP(ROUND(CONCATENATE($A6,BE$2),0),'Cadastro dos Padrões'!$A$2:$V$4400,BE$1,FALSE))</f>
        <v>-</v>
      </c>
      <c r="BF6" s="31" t="str">
        <f>IF(VLOOKUP(ROUND(CONCATENATE($A6,BF$2),0),'Cadastro dos Padrões'!$A$2:$V$4400,BF$1,FALSE)="","-",VLOOKUP(ROUND(CONCATENATE($A6,BF$2),0),'Cadastro dos Padrões'!$A$2:$V$4400,BF$1,FALSE))</f>
        <v>-</v>
      </c>
      <c r="BG6" s="31" t="str">
        <f>IF(VLOOKUP(ROUND(CONCATENATE($A6,BG$2),0),'Cadastro dos Padrões'!$A$2:$V$4400,BG$1,FALSE)="","-",VLOOKUP(ROUND(CONCATENATE($A6,BG$2),0),'Cadastro dos Padrões'!$A$2:$V$4400,BG$1,FALSE))</f>
        <v>-</v>
      </c>
      <c r="BH6" s="31" t="str">
        <f>IF(VLOOKUP(ROUND(CONCATENATE($A6,BH$2),0),'Cadastro dos Padrões'!$A$2:$V$4400,BH$1,FALSE)="","-",VLOOKUP(ROUND(CONCATENATE($A6,BH$2),0),'Cadastro dos Padrões'!$A$2:$V$4400,BH$1,FALSE))</f>
        <v>-</v>
      </c>
      <c r="BI6" s="31" t="str">
        <f>IF(VLOOKUP(ROUND(CONCATENATE($A6,BI$2),0),'Cadastro dos Padrões'!$A$2:$V$4400,BI$1,FALSE)="","-",VLOOKUP(ROUND(CONCATENATE($A6,BI$2),0),'Cadastro dos Padrões'!$A$2:$V$4400,BI$1,FALSE))</f>
        <v>-</v>
      </c>
      <c r="BJ6" s="31" t="str">
        <f>IF(VLOOKUP(ROUND(CONCATENATE($A6,BJ$2),0),'Cadastro dos Padrões'!$A$2:$V$4400,BJ$1,FALSE)="","-",VLOOKUP(ROUND(CONCATENATE($A6,BJ$2),0),'Cadastro dos Padrões'!$A$2:$V$4400,BJ$1,FALSE))</f>
        <v>-</v>
      </c>
      <c r="BK6" s="31" t="str">
        <f>IF(VLOOKUP(ROUND(CONCATENATE($A6,BK$2),0),'Cadastro dos Padrões'!$A$2:$V$4400,BK$1,FALSE)="","-",VLOOKUP(ROUND(CONCATENATE($A6,BK$2),0),'Cadastro dos Padrões'!$A$2:$V$4400,BK$1,FALSE))</f>
        <v>-</v>
      </c>
      <c r="BL6" s="31" t="str">
        <f>IF(VLOOKUP(ROUND(CONCATENATE($A6,BL$2),0),'Cadastro dos Padrões'!$A$2:$V$4400,BL$1,FALSE)="","-",VLOOKUP(ROUND(CONCATENATE($A6,BL$2),0),'Cadastro dos Padrões'!$A$2:$V$4400,BL$1,FALSE))</f>
        <v>-</v>
      </c>
      <c r="BM6" s="31" t="str">
        <f>IF(VLOOKUP(ROUND(CONCATENATE($A6,BM$2),0),'Cadastro dos Padrões'!$A$2:$V$4400,BM$1,FALSE)="","-",VLOOKUP(ROUND(CONCATENATE($A6,BM$2),0),'Cadastro dos Padrões'!$A$2:$V$4400,BM$1,FALSE))</f>
        <v>-</v>
      </c>
      <c r="BN6" s="31" t="str">
        <f>IF(VLOOKUP(ROUND(CONCATENATE($A6,BN$2),0),'Cadastro dos Padrões'!$A$2:$V$4400,BN$1,FALSE)="","-",VLOOKUP(ROUND(CONCATENATE($A6,BN$2),0),'Cadastro dos Padrões'!$A$2:$V$4400,BN$1,FALSE))</f>
        <v>-</v>
      </c>
      <c r="BO6" s="31" t="str">
        <f>IF(VLOOKUP(ROUND(CONCATENATE($A6,BO$2),0),'Cadastro dos Padrões'!$A$2:$V$4400,BO$1,FALSE)="","-",VLOOKUP(ROUND(CONCATENATE($A6,BO$2),0),'Cadastro dos Padrões'!$A$2:$V$4400,BO$1,FALSE))</f>
        <v>-</v>
      </c>
    </row>
    <row r="7" spans="1:67" x14ac:dyDescent="0.3">
      <c r="A7" s="6">
        <f>A6+1</f>
        <v>2</v>
      </c>
      <c r="B7" s="31" t="str">
        <f>IF(VLOOKUP(ROUND(CONCATENATE($A7,B$2),0),'Cadastro dos Padrões'!$A$2:$V$4400,B$1,FALSE)="","-",VLOOKUP(ROUND(CONCATENATE($A7,B$2),0),'Cadastro dos Padrões'!$A$2:$V$4400,B$1,FALSE))</f>
        <v>EL-797</v>
      </c>
      <c r="C7" s="31" t="str">
        <f>IF($B7="-","-",VLOOKUP(ROUND(CONCATENATE($A7,C$2),0),'Cadastro dos Padrões'!$A$2:$V$4400,C$1,FALSE))</f>
        <v>Termohigrômetro Digital</v>
      </c>
      <c r="D7" s="31">
        <f>IF($B7="-","-",VLOOKUP(ROUND(CONCATENATE($A7,D$2),0),'Cadastro dos Padrões'!$A$2:$V$4400,D$1,FALSE))</f>
        <v>20</v>
      </c>
      <c r="E7" s="31" t="str">
        <f>IF($B7="-","-",VLOOKUP(ROUND(CONCATENATE($A7,E$2),0),'Cadastro dos Padrões'!$A$2:$V$4400,E$1,FALSE))</f>
        <v>Elus</v>
      </c>
      <c r="F7" s="31" t="str">
        <f>IF($B7="-","-",VLOOKUP(ROUND(CONCATENATE($A7,F$2),0),'Cadastro dos Padrões'!$A$2:$V$4400,F$1,FALSE))</f>
        <v>RBC - CAL 0439</v>
      </c>
      <c r="G7" s="31" t="str">
        <f>IF($B7="-","-",VLOOKUP(ROUND(CONCATENATE($A7,G$2),0),'Cadastro dos Padrões'!$A$2:$V$4400,G$1,FALSE))</f>
        <v>R51822/23</v>
      </c>
      <c r="H7" s="32">
        <f>IF($B7="-","-",VLOOKUP(ROUND(CONCATENATE($A7,H$2),0),'Cadastro dos Padrões'!$A$2:$V$4400,H$1,FALSE))</f>
        <v>45064</v>
      </c>
      <c r="I7" s="33">
        <f>IF($B7="-","-",VLOOKUP(ROUND(CONCATENATE($A7,I$2),0),'Cadastro dos Padrões'!$A$2:$V$4400,I$1,FALSE))</f>
        <v>45443</v>
      </c>
      <c r="J7" s="31" t="str">
        <f>IF($B7="-","-",VLOOKUP(ROUND(CONCATENATE($A7,J$2),0),'Cadastro dos Padrões'!$A$2:$V$4400,J$1,FALSE))</f>
        <v>%ur</v>
      </c>
      <c r="K7" s="31">
        <f>IF($B7="-","-",VLOOKUP(ROUND(CONCATENATE($A7,K$2),0),'Cadastro dos Padrões'!$A$2:$V$4400,K$1,FALSE))</f>
        <v>30</v>
      </c>
      <c r="L7" s="31">
        <f>IF($B7="-","-",VLOOKUP(ROUND(CONCATENATE($A7,L$2),0),'Cadastro dos Padrões'!$A$2:$V$4400,L$1,FALSE))</f>
        <v>80</v>
      </c>
      <c r="M7" s="31">
        <f>IF($B7="-","-",VLOOKUP(ROUND(CONCATENATE($A7,M$2),0),'Cadastro dos Padrões'!$A$2:$V$4400,M$1,FALSE))</f>
        <v>1</v>
      </c>
      <c r="N7" s="31">
        <f>IF($B7="-","-",VLOOKUP(ROUND(CONCATENATE($A7,N$2),0),'Cadastro dos Padrões'!$A$2:$V$4400,N$1,FALSE))</f>
        <v>5</v>
      </c>
      <c r="O7" s="31">
        <f>IF($B7="-","-",VLOOKUP(ROUND(CONCATENATE($A7,O$2),0),'Cadastro dos Padrões'!$A$2:$V$4400,O$1,FALSE))</f>
        <v>2</v>
      </c>
      <c r="P7" s="31">
        <f>IF($B7="-","-",VLOOKUP(ROUND(CONCATENATE($A7,P$2),0),'Cadastro dos Padrões'!$A$2:$V$4400,P$1,FALSE))</f>
        <v>1</v>
      </c>
      <c r="Q7" s="31">
        <f>IF($B7="-","-",VLOOKUP(ROUND(CONCATENATE($A7,Q$2),0),'Cadastro dos Padrões'!$A$2:$V$4400,Q$1,FALSE))</f>
        <v>0.75619906535743553</v>
      </c>
      <c r="R7" s="31">
        <f>IF($B7="-","-",VLOOKUP(ROUND(CONCATENATE($A7,R$2),0),'Cadastro dos Padrões'!$A$2:$V$4400,R$1,FALSE))</f>
        <v>1</v>
      </c>
      <c r="S7" s="31">
        <f>IF($B7="-","-",VLOOKUP(ROUND(CONCATENATE($A7,S$2),0),'Cadastro dos Padrões'!$A$2:$V$4400,S$1,FALSE))</f>
        <v>0</v>
      </c>
      <c r="T7" s="31">
        <f>IF($B7="-","-",VLOOKUP(ROUND(CONCATENATE($A7,T$2),0),'Cadastro dos Padrões'!$A$2:$V$4400,T$1,FALSE))</f>
        <v>0</v>
      </c>
      <c r="U7" s="31">
        <f>IF($B7="-","-",VLOOKUP(ROUND(CONCATENATE($A7,U$2),0),'Cadastro dos Padrões'!$A$2:$V$4400,U$1,FALSE))</f>
        <v>0</v>
      </c>
      <c r="V7" s="31">
        <f>IF($B7="-","-",VLOOKUP(ROUND(CONCATENATE($A7,V$2),0),'Cadastro dos Padrões'!$A$2:$V$4400,V$1,FALSE))</f>
        <v>0</v>
      </c>
      <c r="W7" s="31">
        <f>IF($B7="-","-",VLOOKUP(ROUND(CONCATENATE($A7,W$2),0),'Cadastro dos Padrões'!$A$2:$V$4400,W$1,FALSE))</f>
        <v>0</v>
      </c>
      <c r="X7" s="31">
        <f>IF($B7="-","-",VLOOKUP(ROUND(CONCATENATE($A7,X$2),0),'Cadastro dos Padrões'!$A$2:$V$4400,X$1,FALSE))</f>
        <v>0</v>
      </c>
      <c r="Y7" s="31">
        <f>IF($B7="-","-",VLOOKUP(ROUND(CONCATENATE($A7,Y$2),0),'Cadastro dos Padrões'!$A$2:$V$4400,Y$1,FALSE))</f>
        <v>0</v>
      </c>
      <c r="Z7" s="31">
        <f>IF($B7="-","-",VLOOKUP(ROUND(CONCATENATE($A7,Z$2),0),'Cadastro dos Padrões'!$A$2:$V$4400,Z$1,FALSE))</f>
        <v>1.1651179413867045</v>
      </c>
      <c r="AA7" s="31">
        <f>IF($B7="-","-",VLOOKUP(ROUND(CONCATENATE($A7,AA$2),0),'Cadastro dos Padrões'!$A$2:$V$4400,AA$1,FALSE))</f>
        <v>-11.136526090064315</v>
      </c>
      <c r="AB7" s="31">
        <f>IF(VLOOKUP(ROUND(CONCATENATE($A7,AB$2),0),'Cadastro dos Padrões'!$A$2:$V$4400,AB$1,FALSE)="","-",VLOOKUP(ROUND(CONCATENATE($A7,AB$2),0),'Cadastro dos Padrões'!$A$2:$V$4400,AB$1,FALSE))</f>
        <v>30</v>
      </c>
      <c r="AC7" s="31">
        <f>IF(VLOOKUP(ROUND(CONCATENATE($A7,AC$2),0),'Cadastro dos Padrões'!$A$2:$V$4400,AC$1,FALSE)="","-",VLOOKUP(ROUND(CONCATENATE($A7,AC$2),0),'Cadastro dos Padrões'!$A$2:$V$4400,AC$1,FALSE))</f>
        <v>1</v>
      </c>
      <c r="AD7" s="31">
        <f>IF(VLOOKUP(ROUND(CONCATENATE($A7,AD$2),0),'Cadastro dos Padrões'!$A$2:$V$4400,AD$1,FALSE)="","-",VLOOKUP(ROUND(CONCATENATE($A7,AD$2),0),'Cadastro dos Padrões'!$A$2:$V$4400,AD$1,FALSE))</f>
        <v>2.0099999999999998</v>
      </c>
      <c r="AE7" s="31">
        <f>IF(VLOOKUP(ROUND(CONCATENATE($A7,AE$2),0),'Cadastro dos Padrões'!$A$2:$V$4400,AE$1,FALSE)="","-",VLOOKUP(ROUND(CONCATENATE($A7,AE$2),0),'Cadastro dos Padrões'!$A$2:$V$4400,AE$1,FALSE))</f>
        <v>362</v>
      </c>
      <c r="AF7" s="31">
        <f>IF(VLOOKUP(ROUND(CONCATENATE($A7,AF$2),0),'Cadastro dos Padrões'!$A$2:$V$4400,AF$1,FALSE)="","-",VLOOKUP(ROUND(CONCATENATE($A7,AF$2),0),'Cadastro dos Padrões'!$A$2:$V$4400,AF$1,FALSE))</f>
        <v>50</v>
      </c>
      <c r="AG7" s="31">
        <f>IF(VLOOKUP(ROUND(CONCATENATE($A7,AG$2),0),'Cadastro dos Padrões'!$A$2:$V$4400,AG$1,FALSE)="","-",VLOOKUP(ROUND(CONCATENATE($A7,AG$2),0),'Cadastro dos Padrões'!$A$2:$V$4400,AG$1,FALSE))</f>
        <v>1</v>
      </c>
      <c r="AH7" s="31">
        <f>IF(VLOOKUP(ROUND(CONCATENATE($A7,AH$2),0),'Cadastro dos Padrões'!$A$2:$V$4400,AH$1,FALSE)="","-",VLOOKUP(ROUND(CONCATENATE($A7,AH$2),0),'Cadastro dos Padrões'!$A$2:$V$4400,AH$1,FALSE))</f>
        <v>2</v>
      </c>
      <c r="AI7" s="31">
        <f>IF(VLOOKUP(ROUND(CONCATENATE($A7,AI$2),0),'Cadastro dos Padrões'!$A$2:$V$4400,AI$1,FALSE)="","-",VLOOKUP(ROUND(CONCATENATE($A7,AI$2),0),'Cadastro dos Padrões'!$A$2:$V$4400,AI$1,FALSE))</f>
        <v>1000000</v>
      </c>
      <c r="AJ7" s="31">
        <f>IF(VLOOKUP(ROUND(CONCATENATE($A7,AJ$2),0),'Cadastro dos Padrões'!$A$2:$V$4400,AJ$1,FALSE)="","-",VLOOKUP(ROUND(CONCATENATE($A7,AJ$2),0),'Cadastro dos Padrões'!$A$2:$V$4400,AJ$1,FALSE))</f>
        <v>80</v>
      </c>
      <c r="AK7" s="31">
        <f>IF(VLOOKUP(ROUND(CONCATENATE($A7,AK$2),0),'Cadastro dos Padrões'!$A$2:$V$4400,AK$1,FALSE)="","-",VLOOKUP(ROUND(CONCATENATE($A7,AK$2),0),'Cadastro dos Padrões'!$A$2:$V$4400,AK$1,FALSE))</f>
        <v>2</v>
      </c>
      <c r="AL7" s="31">
        <f>IF(VLOOKUP(ROUND(CONCATENATE($A7,AL$2),0),'Cadastro dos Padrões'!$A$2:$V$4400,AL$1,FALSE)="","-",VLOOKUP(ROUND(CONCATENATE($A7,AL$2),0),'Cadastro dos Padrões'!$A$2:$V$4400,AL$1,FALSE))</f>
        <v>2</v>
      </c>
      <c r="AM7" s="31">
        <f>IF(VLOOKUP(ROUND(CONCATENATE($A7,AM$2),0),'Cadastro dos Padrões'!$A$2:$V$4400,AM$1,FALSE)="","-",VLOOKUP(ROUND(CONCATENATE($A7,AM$2),0),'Cadastro dos Padrões'!$A$2:$V$4400,AM$1,FALSE))</f>
        <v>1000000</v>
      </c>
      <c r="AN7" s="31" t="str">
        <f>IF(VLOOKUP(ROUND(CONCATENATE($A7,AN$2),0),'Cadastro dos Padrões'!$A$2:$V$4400,AN$1,FALSE)="","-",VLOOKUP(ROUND(CONCATENATE($A7,AN$2),0),'Cadastro dos Padrões'!$A$2:$V$4400,AN$1,FALSE))</f>
        <v>-</v>
      </c>
      <c r="AO7" s="31" t="str">
        <f>IF(VLOOKUP(ROUND(CONCATENATE($A7,AO$2),0),'Cadastro dos Padrões'!$A$2:$V$4400,AO$1,FALSE)="","-",VLOOKUP(ROUND(CONCATENATE($A7,AO$2),0),'Cadastro dos Padrões'!$A$2:$V$4400,AO$1,FALSE))</f>
        <v>-</v>
      </c>
      <c r="AP7" s="31" t="str">
        <f>IF(VLOOKUP(ROUND(CONCATENATE($A7,AP$2),0),'Cadastro dos Padrões'!$A$2:$V$4400,AP$1,FALSE)="","-",VLOOKUP(ROUND(CONCATENATE($A7,AP$2),0),'Cadastro dos Padrões'!$A$2:$V$4400,AP$1,FALSE))</f>
        <v>-</v>
      </c>
      <c r="AQ7" s="31" t="str">
        <f>IF(VLOOKUP(ROUND(CONCATENATE($A7,AQ$2),0),'Cadastro dos Padrões'!$A$2:$V$4400,AQ$1,FALSE)="","-",VLOOKUP(ROUND(CONCATENATE($A7,AQ$2),0),'Cadastro dos Padrões'!$A$2:$V$4400,AQ$1,FALSE))</f>
        <v>-</v>
      </c>
      <c r="AR7" s="31" t="str">
        <f>IF(VLOOKUP(ROUND(CONCATENATE($A7,AR$2),0),'Cadastro dos Padrões'!$A$2:$V$4400,AR$1,FALSE)="","-",VLOOKUP(ROUND(CONCATENATE($A7,AR$2),0),'Cadastro dos Padrões'!$A$2:$V$4400,AR$1,FALSE))</f>
        <v>-</v>
      </c>
      <c r="AS7" s="31" t="str">
        <f>IF(VLOOKUP(ROUND(CONCATENATE($A7,AS$2),0),'Cadastro dos Padrões'!$A$2:$V$4400,AS$1,FALSE)="","-",VLOOKUP(ROUND(CONCATENATE($A7,AS$2),0),'Cadastro dos Padrões'!$A$2:$V$4400,AS$1,FALSE))</f>
        <v>-</v>
      </c>
      <c r="AT7" s="31" t="str">
        <f>IF(VLOOKUP(ROUND(CONCATENATE($A7,AT$2),0),'Cadastro dos Padrões'!$A$2:$V$4400,AT$1,FALSE)="","-",VLOOKUP(ROUND(CONCATENATE($A7,AT$2),0),'Cadastro dos Padrões'!$A$2:$V$4400,AT$1,FALSE))</f>
        <v>-</v>
      </c>
      <c r="AU7" s="31" t="str">
        <f>IF(VLOOKUP(ROUND(CONCATENATE($A7,AU$2),0),'Cadastro dos Padrões'!$A$2:$V$4400,AU$1,FALSE)="","-",VLOOKUP(ROUND(CONCATENATE($A7,AU$2),0),'Cadastro dos Padrões'!$A$2:$V$4400,AU$1,FALSE))</f>
        <v>-</v>
      </c>
      <c r="AV7" s="31" t="str">
        <f>IF(VLOOKUP(ROUND(CONCATENATE($A7,AV$2),0),'Cadastro dos Padrões'!$A$2:$V$4400,AV$1,FALSE)="","-",VLOOKUP(ROUND(CONCATENATE($A7,AV$2),0),'Cadastro dos Padrões'!$A$2:$V$4400,AV$1,FALSE))</f>
        <v>-</v>
      </c>
      <c r="AW7" s="31" t="str">
        <f>IF(VLOOKUP(ROUND(CONCATENATE($A7,AW$2),0),'Cadastro dos Padrões'!$A$2:$V$4400,AW$1,FALSE)="","-",VLOOKUP(ROUND(CONCATENATE($A7,AW$2),0),'Cadastro dos Padrões'!$A$2:$V$4400,AW$1,FALSE))</f>
        <v>-</v>
      </c>
      <c r="AX7" s="31" t="str">
        <f>IF(VLOOKUP(ROUND(CONCATENATE($A7,AX$2),0),'Cadastro dos Padrões'!$A$2:$V$4400,AX$1,FALSE)="","-",VLOOKUP(ROUND(CONCATENATE($A7,AX$2),0),'Cadastro dos Padrões'!$A$2:$V$4400,AX$1,FALSE))</f>
        <v>-</v>
      </c>
      <c r="AY7" s="31" t="str">
        <f>IF(VLOOKUP(ROUND(CONCATENATE($A7,AY$2),0),'Cadastro dos Padrões'!$A$2:$V$4400,AY$1,FALSE)="","-",VLOOKUP(ROUND(CONCATENATE($A7,AY$2),0),'Cadastro dos Padrões'!$A$2:$V$4400,AY$1,FALSE))</f>
        <v>-</v>
      </c>
      <c r="AZ7" s="31" t="str">
        <f>IF(VLOOKUP(ROUND(CONCATENATE($A7,AZ$2),0),'Cadastro dos Padrões'!$A$2:$V$4400,AZ$1,FALSE)="","-",VLOOKUP(ROUND(CONCATENATE($A7,AZ$2),0),'Cadastro dos Padrões'!$A$2:$V$4400,AZ$1,FALSE))</f>
        <v>-</v>
      </c>
      <c r="BA7" s="31" t="str">
        <f>IF(VLOOKUP(ROUND(CONCATENATE($A7,BA$2),0),'Cadastro dos Padrões'!$A$2:$V$4400,BA$1,FALSE)="","-",VLOOKUP(ROUND(CONCATENATE($A7,BA$2),0),'Cadastro dos Padrões'!$A$2:$V$4400,BA$1,FALSE))</f>
        <v>-</v>
      </c>
      <c r="BB7" s="31" t="str">
        <f>IF(VLOOKUP(ROUND(CONCATENATE($A7,BB$2),0),'Cadastro dos Padrões'!$A$2:$V$4400,BB$1,FALSE)="","-",VLOOKUP(ROUND(CONCATENATE($A7,BB$2),0),'Cadastro dos Padrões'!$A$2:$V$4400,BB$1,FALSE))</f>
        <v>-</v>
      </c>
      <c r="BC7" s="31" t="str">
        <f>IF(VLOOKUP(ROUND(CONCATENATE($A7,BC$2),0),'Cadastro dos Padrões'!$A$2:$V$4400,BC$1,FALSE)="","-",VLOOKUP(ROUND(CONCATENATE($A7,BC$2),0),'Cadastro dos Padrões'!$A$2:$V$4400,BC$1,FALSE))</f>
        <v>-</v>
      </c>
      <c r="BD7" s="31" t="str">
        <f>IF(VLOOKUP(ROUND(CONCATENATE($A7,BD$2),0),'Cadastro dos Padrões'!$A$2:$V$4400,BD$1,FALSE)="","-",VLOOKUP(ROUND(CONCATENATE($A7,BD$2),0),'Cadastro dos Padrões'!$A$2:$V$4400,BD$1,FALSE))</f>
        <v>-</v>
      </c>
      <c r="BE7" s="31" t="str">
        <f>IF(VLOOKUP(ROUND(CONCATENATE($A7,BE$2),0),'Cadastro dos Padrões'!$A$2:$V$4400,BE$1,FALSE)="","-",VLOOKUP(ROUND(CONCATENATE($A7,BE$2),0),'Cadastro dos Padrões'!$A$2:$V$4400,BE$1,FALSE))</f>
        <v>-</v>
      </c>
      <c r="BF7" s="31" t="str">
        <f>IF(VLOOKUP(ROUND(CONCATENATE($A7,BF$2),0),'Cadastro dos Padrões'!$A$2:$V$4400,BF$1,FALSE)="","-",VLOOKUP(ROUND(CONCATENATE($A7,BF$2),0),'Cadastro dos Padrões'!$A$2:$V$4400,BF$1,FALSE))</f>
        <v>-</v>
      </c>
      <c r="BG7" s="31" t="str">
        <f>IF(VLOOKUP(ROUND(CONCATENATE($A7,BG$2),0),'Cadastro dos Padrões'!$A$2:$V$4400,BG$1,FALSE)="","-",VLOOKUP(ROUND(CONCATENATE($A7,BG$2),0),'Cadastro dos Padrões'!$A$2:$V$4400,BG$1,FALSE))</f>
        <v>-</v>
      </c>
      <c r="BH7" s="31" t="str">
        <f>IF(VLOOKUP(ROUND(CONCATENATE($A7,BH$2),0),'Cadastro dos Padrões'!$A$2:$V$4400,BH$1,FALSE)="","-",VLOOKUP(ROUND(CONCATENATE($A7,BH$2),0),'Cadastro dos Padrões'!$A$2:$V$4400,BH$1,FALSE))</f>
        <v>-</v>
      </c>
      <c r="BI7" s="31" t="str">
        <f>IF(VLOOKUP(ROUND(CONCATENATE($A7,BI$2),0),'Cadastro dos Padrões'!$A$2:$V$4400,BI$1,FALSE)="","-",VLOOKUP(ROUND(CONCATENATE($A7,BI$2),0),'Cadastro dos Padrões'!$A$2:$V$4400,BI$1,FALSE))</f>
        <v>-</v>
      </c>
      <c r="BJ7" s="31" t="str">
        <f>IF(VLOOKUP(ROUND(CONCATENATE($A7,BJ$2),0),'Cadastro dos Padrões'!$A$2:$V$4400,BJ$1,FALSE)="","-",VLOOKUP(ROUND(CONCATENATE($A7,BJ$2),0),'Cadastro dos Padrões'!$A$2:$V$4400,BJ$1,FALSE))</f>
        <v>-</v>
      </c>
      <c r="BK7" s="31" t="str">
        <f>IF(VLOOKUP(ROUND(CONCATENATE($A7,BK$2),0),'Cadastro dos Padrões'!$A$2:$V$4400,BK$1,FALSE)="","-",VLOOKUP(ROUND(CONCATENATE($A7,BK$2),0),'Cadastro dos Padrões'!$A$2:$V$4400,BK$1,FALSE))</f>
        <v>-</v>
      </c>
      <c r="BL7" s="31" t="str">
        <f>IF(VLOOKUP(ROUND(CONCATENATE($A7,BL$2),0),'Cadastro dos Padrões'!$A$2:$V$4400,BL$1,FALSE)="","-",VLOOKUP(ROUND(CONCATENATE($A7,BL$2),0),'Cadastro dos Padrões'!$A$2:$V$4400,BL$1,FALSE))</f>
        <v>-</v>
      </c>
      <c r="BM7" s="31" t="str">
        <f>IF(VLOOKUP(ROUND(CONCATENATE($A7,BM$2),0),'Cadastro dos Padrões'!$A$2:$V$4400,BM$1,FALSE)="","-",VLOOKUP(ROUND(CONCATENATE($A7,BM$2),0),'Cadastro dos Padrões'!$A$2:$V$4400,BM$1,FALSE))</f>
        <v>-</v>
      </c>
      <c r="BN7" s="31" t="str">
        <f>IF(VLOOKUP(ROUND(CONCATENATE($A7,BN$2),0),'Cadastro dos Padrões'!$A$2:$V$4400,BN$1,FALSE)="","-",VLOOKUP(ROUND(CONCATENATE($A7,BN$2),0),'Cadastro dos Padrões'!$A$2:$V$4400,BN$1,FALSE))</f>
        <v>-</v>
      </c>
      <c r="BO7" s="31" t="str">
        <f>IF(VLOOKUP(ROUND(CONCATENATE($A7,BO$2),0),'Cadastro dos Padrões'!$A$2:$V$4400,BO$1,FALSE)="","-",VLOOKUP(ROUND(CONCATENATE($A7,BO$2),0),'Cadastro dos Padrões'!$A$2:$V$4400,BO$1,FALSE))</f>
        <v>-</v>
      </c>
    </row>
    <row r="8" spans="1:67" x14ac:dyDescent="0.3">
      <c r="A8" s="6">
        <f t="shared" ref="A8:A105" si="52">A7+1</f>
        <v>3</v>
      </c>
      <c r="B8" s="31" t="str">
        <f>IF(VLOOKUP(ROUND(CONCATENATE($A8,B$2),0),'Cadastro dos Padrões'!$A$2:$V$4400,B$1,FALSE)="","-",VLOOKUP(ROUND(CONCATENATE($A8,B$2),0),'Cadastro dos Padrões'!$A$2:$V$4400,B$1,FALSE))</f>
        <v>EL-800</v>
      </c>
      <c r="C8" s="31" t="str">
        <f>IF($B8="-","-",VLOOKUP(ROUND(CONCATENATE($A8,C$2),0),'Cadastro dos Padrões'!$A$2:$V$4400,C$1,FALSE))</f>
        <v>Termohigrômetro Digital</v>
      </c>
      <c r="D8" s="31">
        <f>IF($B8="-","-",VLOOKUP(ROUND(CONCATENATE($A8,D$2),0),'Cadastro dos Padrões'!$A$2:$V$4400,D$1,FALSE))</f>
        <v>20</v>
      </c>
      <c r="E8" s="31" t="str">
        <f>IF($B8="-","-",VLOOKUP(ROUND(CONCATENATE($A8,E$2),0),'Cadastro dos Padrões'!$A$2:$V$4400,E$1,FALSE))</f>
        <v>Elus</v>
      </c>
      <c r="F8" s="31" t="str">
        <f>IF($B8="-","-",VLOOKUP(ROUND(CONCATENATE($A8,F$2),0),'Cadastro dos Padrões'!$A$2:$V$4400,F$1,FALSE))</f>
        <v>RBC - CAL 0439</v>
      </c>
      <c r="G8" s="31" t="str">
        <f>IF($B8="-","-",VLOOKUP(ROUND(CONCATENATE($A8,G$2),0),'Cadastro dos Padrões'!$A$2:$V$4400,G$1,FALSE))</f>
        <v>R0038/14</v>
      </c>
      <c r="H8" s="32">
        <f>IF($B8="-","-",VLOOKUP(ROUND(CONCATENATE($A8,H$2),0),'Cadastro dos Padrões'!$A$2:$V$4400,H$1,FALSE))</f>
        <v>45412</v>
      </c>
      <c r="I8" s="33">
        <f>IF($B8="-","-",VLOOKUP(ROUND(CONCATENATE($A8,I$2),0),'Cadastro dos Padrões'!$A$2:$V$4400,I$1,FALSE))</f>
        <v>45777</v>
      </c>
      <c r="J8" s="31" t="str">
        <f>IF($B8="-","-",VLOOKUP(ROUND(CONCATENATE($A8,J$2),0),'Cadastro dos Padrões'!$A$2:$V$4400,J$1,FALSE))</f>
        <v>%ur</v>
      </c>
      <c r="K8" s="31">
        <f>IF($B8="-","-",VLOOKUP(ROUND(CONCATENATE($A8,K$2),0),'Cadastro dos Padrões'!$A$2:$V$4400,K$1,FALSE))</f>
        <v>30</v>
      </c>
      <c r="L8" s="31">
        <f>IF($B8="-","-",VLOOKUP(ROUND(CONCATENATE($A8,L$2),0),'Cadastro dos Padrões'!$A$2:$V$4400,L$1,FALSE))</f>
        <v>80</v>
      </c>
      <c r="M8" s="31">
        <f>IF($B8="-","-",VLOOKUP(ROUND(CONCATENATE($A8,M$2),0),'Cadastro dos Padrões'!$A$2:$V$4400,M$1,FALSE))</f>
        <v>1</v>
      </c>
      <c r="N8" s="31">
        <f>IF($B8="-","-",VLOOKUP(ROUND(CONCATENATE($A8,N$2),0),'Cadastro dos Padrões'!$A$2:$V$4400,N$1,FALSE))</f>
        <v>3</v>
      </c>
      <c r="O8" s="31">
        <f>IF($B8="-","-",VLOOKUP(ROUND(CONCATENATE($A8,O$2),0),'Cadastro dos Padrões'!$A$2:$V$4400,O$1,FALSE))</f>
        <v>2</v>
      </c>
      <c r="P8" s="31">
        <f>IF($B8="-","-",VLOOKUP(ROUND(CONCATENATE($A8,P$2),0),'Cadastro dos Padrões'!$A$2:$V$4400,P$1,FALSE))</f>
        <v>1</v>
      </c>
      <c r="Q8" s="31">
        <f>IF($B8="-","-",VLOOKUP(ROUND(CONCATENATE($A8,Q$2),0),'Cadastro dos Padrões'!$A$2:$V$4400,Q$1,FALSE))</f>
        <v>0.67728546147860413</v>
      </c>
      <c r="R8" s="31">
        <f>IF($B8="-","-",VLOOKUP(ROUND(CONCATENATE($A8,R$2),0),'Cadastro dos Padrões'!$A$2:$V$4400,R$1,FALSE))</f>
        <v>1</v>
      </c>
      <c r="S8" s="31">
        <f>IF($B8="-","-",VLOOKUP(ROUND(CONCATENATE($A8,S$2),0),'Cadastro dos Padrões'!$A$2:$V$4400,S$1,FALSE))</f>
        <v>0</v>
      </c>
      <c r="T8" s="31">
        <f>IF($B8="-","-",VLOOKUP(ROUND(CONCATENATE($A8,T$2),0),'Cadastro dos Padrões'!$A$2:$V$4400,T$1,FALSE))</f>
        <v>0</v>
      </c>
      <c r="U8" s="31">
        <f>IF($B8="-","-",VLOOKUP(ROUND(CONCATENATE($A8,U$2),0),'Cadastro dos Padrões'!$A$2:$V$4400,U$1,FALSE))</f>
        <v>0</v>
      </c>
      <c r="V8" s="31">
        <f>IF($B8="-","-",VLOOKUP(ROUND(CONCATENATE($A8,V$2),0),'Cadastro dos Padrões'!$A$2:$V$4400,V$1,FALSE))</f>
        <v>0</v>
      </c>
      <c r="W8" s="31">
        <f>IF($B8="-","-",VLOOKUP(ROUND(CONCATENATE($A8,W$2),0),'Cadastro dos Padrões'!$A$2:$V$4400,W$1,FALSE))</f>
        <v>0</v>
      </c>
      <c r="X8" s="31">
        <f>IF($B8="-","-",VLOOKUP(ROUND(CONCATENATE($A8,X$2),0),'Cadastro dos Padrões'!$A$2:$V$4400,X$1,FALSE))</f>
        <v>0</v>
      </c>
      <c r="Y8" s="31">
        <f>IF($B8="-","-",VLOOKUP(ROUND(CONCATENATE($A8,Y$2),0),'Cadastro dos Padrões'!$A$2:$V$4400,Y$1,FALSE))</f>
        <v>0</v>
      </c>
      <c r="Z8" s="31">
        <f>IF($B8="-","-",VLOOKUP(ROUND(CONCATENATE($A8,Z$2),0),'Cadastro dos Padrões'!$A$2:$V$4400,Z$1,FALSE))</f>
        <v>1.0435779816513759</v>
      </c>
      <c r="AA8" s="31">
        <f>IF($B8="-","-",VLOOKUP(ROUND(CONCATENATE($A8,AA$2),0),'Cadastro dos Padrões'!$A$2:$V$4400,AA$1,FALSE))</f>
        <v>-4.7591743119265857</v>
      </c>
      <c r="AB8" s="31">
        <f>IF(VLOOKUP(ROUND(CONCATENATE($A8,AB$2),0),'Cadastro dos Padrões'!$A$2:$V$4400,AB$1,FALSE)="","-",VLOOKUP(ROUND(CONCATENATE($A8,AB$2),0),'Cadastro dos Padrões'!$A$2:$V$4400,AB$1,FALSE))</f>
        <v>30</v>
      </c>
      <c r="AC8" s="31">
        <f>IF(VLOOKUP(ROUND(CONCATENATE($A8,AC$2),0),'Cadastro dos Padrões'!$A$2:$V$4400,AC$1,FALSE)="","-",VLOOKUP(ROUND(CONCATENATE($A8,AC$2),0),'Cadastro dos Padrões'!$A$2:$V$4400,AC$1,FALSE))</f>
        <v>2</v>
      </c>
      <c r="AD8" s="31">
        <f>IF(VLOOKUP(ROUND(CONCATENATE($A8,AD$2),0),'Cadastro dos Padrões'!$A$2:$V$4400,AD$1,FALSE)="","-",VLOOKUP(ROUND(CONCATENATE($A8,AD$2),0),'Cadastro dos Padrões'!$A$2:$V$4400,AD$1,FALSE))</f>
        <v>2</v>
      </c>
      <c r="AE8" s="31">
        <f>IF(VLOOKUP(ROUND(CONCATENATE($A8,AE$2),0),'Cadastro dos Padrões'!$A$2:$V$4400,AE$1,FALSE)="","-",VLOOKUP(ROUND(CONCATENATE($A8,AE$2),0),'Cadastro dos Padrões'!$A$2:$V$4400,AE$1,FALSE))</f>
        <v>1000000</v>
      </c>
      <c r="AF8" s="31">
        <f>IF(VLOOKUP(ROUND(CONCATENATE($A8,AF$2),0),'Cadastro dos Padrões'!$A$2:$V$4400,AF$1,FALSE)="","-",VLOOKUP(ROUND(CONCATENATE($A8,AF$2),0),'Cadastro dos Padrões'!$A$2:$V$4400,AF$1,FALSE))</f>
        <v>50</v>
      </c>
      <c r="AG8" s="31">
        <f>IF(VLOOKUP(ROUND(CONCATENATE($A8,AG$2),0),'Cadastro dos Padrões'!$A$2:$V$4400,AG$1,FALSE)="","-",VLOOKUP(ROUND(CONCATENATE($A8,AG$2),0),'Cadastro dos Padrões'!$A$2:$V$4400,AG$1,FALSE))</f>
        <v>2</v>
      </c>
      <c r="AH8" s="31">
        <f>IF(VLOOKUP(ROUND(CONCATENATE($A8,AH$2),0),'Cadastro dos Padrões'!$A$2:$V$4400,AH$1,FALSE)="","-",VLOOKUP(ROUND(CONCATENATE($A8,AH$2),0),'Cadastro dos Padrões'!$A$2:$V$4400,AH$1,FALSE))</f>
        <v>2</v>
      </c>
      <c r="AI8" s="31">
        <f>IF(VLOOKUP(ROUND(CONCATENATE($A8,AI$2),0),'Cadastro dos Padrões'!$A$2:$V$4400,AI$1,FALSE)="","-",VLOOKUP(ROUND(CONCATENATE($A8,AI$2),0),'Cadastro dos Padrões'!$A$2:$V$4400,AI$1,FALSE))</f>
        <v>1000000</v>
      </c>
      <c r="AJ8" s="31">
        <f>IF(VLOOKUP(ROUND(CONCATENATE($A8,AJ$2),0),'Cadastro dos Padrões'!$A$2:$V$4400,AJ$1,FALSE)="","-",VLOOKUP(ROUND(CONCATENATE($A8,AJ$2),0),'Cadastro dos Padrões'!$A$2:$V$4400,AJ$1,FALSE))</f>
        <v>80</v>
      </c>
      <c r="AK8" s="31">
        <f>IF(VLOOKUP(ROUND(CONCATENATE($A8,AK$2),0),'Cadastro dos Padrões'!$A$2:$V$4400,AK$1,FALSE)="","-",VLOOKUP(ROUND(CONCATENATE($A8,AK$2),0),'Cadastro dos Padrões'!$A$2:$V$4400,AK$1,FALSE))</f>
        <v>2</v>
      </c>
      <c r="AL8" s="31">
        <f>IF(VLOOKUP(ROUND(CONCATENATE($A8,AL$2),0),'Cadastro dos Padrões'!$A$2:$V$4400,AL$1,FALSE)="","-",VLOOKUP(ROUND(CONCATENATE($A8,AL$2),0),'Cadastro dos Padrões'!$A$2:$V$4400,AL$1,FALSE))</f>
        <v>2</v>
      </c>
      <c r="AM8" s="31">
        <f>IF(VLOOKUP(ROUND(CONCATENATE($A8,AM$2),0),'Cadastro dos Padrões'!$A$2:$V$4400,AM$1,FALSE)="","-",VLOOKUP(ROUND(CONCATENATE($A8,AM$2),0),'Cadastro dos Padrões'!$A$2:$V$4400,AM$1,FALSE))</f>
        <v>1000000</v>
      </c>
      <c r="AN8" s="31" t="str">
        <f>IF(VLOOKUP(ROUND(CONCATENATE($A8,AN$2),0),'Cadastro dos Padrões'!$A$2:$V$4400,AN$1,FALSE)="","-",VLOOKUP(ROUND(CONCATENATE($A8,AN$2),0),'Cadastro dos Padrões'!$A$2:$V$4400,AN$1,FALSE))</f>
        <v>-</v>
      </c>
      <c r="AO8" s="31" t="str">
        <f>IF(VLOOKUP(ROUND(CONCATENATE($A8,AO$2),0),'Cadastro dos Padrões'!$A$2:$V$4400,AO$1,FALSE)="","-",VLOOKUP(ROUND(CONCATENATE($A8,AO$2),0),'Cadastro dos Padrões'!$A$2:$V$4400,AO$1,FALSE))</f>
        <v>-</v>
      </c>
      <c r="AP8" s="31" t="str">
        <f>IF(VLOOKUP(ROUND(CONCATENATE($A8,AP$2),0),'Cadastro dos Padrões'!$A$2:$V$4400,AP$1,FALSE)="","-",VLOOKUP(ROUND(CONCATENATE($A8,AP$2),0),'Cadastro dos Padrões'!$A$2:$V$4400,AP$1,FALSE))</f>
        <v>-</v>
      </c>
      <c r="AQ8" s="31" t="str">
        <f>IF(VLOOKUP(ROUND(CONCATENATE($A8,AQ$2),0),'Cadastro dos Padrões'!$A$2:$V$4400,AQ$1,FALSE)="","-",VLOOKUP(ROUND(CONCATENATE($A8,AQ$2),0),'Cadastro dos Padrões'!$A$2:$V$4400,AQ$1,FALSE))</f>
        <v>-</v>
      </c>
      <c r="AR8" s="31" t="str">
        <f>IF(VLOOKUP(ROUND(CONCATENATE($A8,AR$2),0),'Cadastro dos Padrões'!$A$2:$V$4400,AR$1,FALSE)="","-",VLOOKUP(ROUND(CONCATENATE($A8,AR$2),0),'Cadastro dos Padrões'!$A$2:$V$4400,AR$1,FALSE))</f>
        <v>-</v>
      </c>
      <c r="AS8" s="31" t="str">
        <f>IF(VLOOKUP(ROUND(CONCATENATE($A8,AS$2),0),'Cadastro dos Padrões'!$A$2:$V$4400,AS$1,FALSE)="","-",VLOOKUP(ROUND(CONCATENATE($A8,AS$2),0),'Cadastro dos Padrões'!$A$2:$V$4400,AS$1,FALSE))</f>
        <v>-</v>
      </c>
      <c r="AT8" s="31" t="str">
        <f>IF(VLOOKUP(ROUND(CONCATENATE($A8,AT$2),0),'Cadastro dos Padrões'!$A$2:$V$4400,AT$1,FALSE)="","-",VLOOKUP(ROUND(CONCATENATE($A8,AT$2),0),'Cadastro dos Padrões'!$A$2:$V$4400,AT$1,FALSE))</f>
        <v>-</v>
      </c>
      <c r="AU8" s="31" t="str">
        <f>IF(VLOOKUP(ROUND(CONCATENATE($A8,AU$2),0),'Cadastro dos Padrões'!$A$2:$V$4400,AU$1,FALSE)="","-",VLOOKUP(ROUND(CONCATENATE($A8,AU$2),0),'Cadastro dos Padrões'!$A$2:$V$4400,AU$1,FALSE))</f>
        <v>-</v>
      </c>
      <c r="AV8" s="31" t="str">
        <f>IF(VLOOKUP(ROUND(CONCATENATE($A8,AV$2),0),'Cadastro dos Padrões'!$A$2:$V$4400,AV$1,FALSE)="","-",VLOOKUP(ROUND(CONCATENATE($A8,AV$2),0),'Cadastro dos Padrões'!$A$2:$V$4400,AV$1,FALSE))</f>
        <v>-</v>
      </c>
      <c r="AW8" s="31" t="str">
        <f>IF(VLOOKUP(ROUND(CONCATENATE($A8,AW$2),0),'Cadastro dos Padrões'!$A$2:$V$4400,AW$1,FALSE)="","-",VLOOKUP(ROUND(CONCATENATE($A8,AW$2),0),'Cadastro dos Padrões'!$A$2:$V$4400,AW$1,FALSE))</f>
        <v>-</v>
      </c>
      <c r="AX8" s="31" t="str">
        <f>IF(VLOOKUP(ROUND(CONCATENATE($A8,AX$2),0),'Cadastro dos Padrões'!$A$2:$V$4400,AX$1,FALSE)="","-",VLOOKUP(ROUND(CONCATENATE($A8,AX$2),0),'Cadastro dos Padrões'!$A$2:$V$4400,AX$1,FALSE))</f>
        <v>-</v>
      </c>
      <c r="AY8" s="31" t="str">
        <f>IF(VLOOKUP(ROUND(CONCATENATE($A8,AY$2),0),'Cadastro dos Padrões'!$A$2:$V$4400,AY$1,FALSE)="","-",VLOOKUP(ROUND(CONCATENATE($A8,AY$2),0),'Cadastro dos Padrões'!$A$2:$V$4400,AY$1,FALSE))</f>
        <v>-</v>
      </c>
      <c r="AZ8" s="31" t="str">
        <f>IF(VLOOKUP(ROUND(CONCATENATE($A8,AZ$2),0),'Cadastro dos Padrões'!$A$2:$V$4400,AZ$1,FALSE)="","-",VLOOKUP(ROUND(CONCATENATE($A8,AZ$2),0),'Cadastro dos Padrões'!$A$2:$V$4400,AZ$1,FALSE))</f>
        <v>-</v>
      </c>
      <c r="BA8" s="31" t="str">
        <f>IF(VLOOKUP(ROUND(CONCATENATE($A8,BA$2),0),'Cadastro dos Padrões'!$A$2:$V$4400,BA$1,FALSE)="","-",VLOOKUP(ROUND(CONCATENATE($A8,BA$2),0),'Cadastro dos Padrões'!$A$2:$V$4400,BA$1,FALSE))</f>
        <v>-</v>
      </c>
      <c r="BB8" s="31" t="str">
        <f>IF(VLOOKUP(ROUND(CONCATENATE($A8,BB$2),0),'Cadastro dos Padrões'!$A$2:$V$4400,BB$1,FALSE)="","-",VLOOKUP(ROUND(CONCATENATE($A8,BB$2),0),'Cadastro dos Padrões'!$A$2:$V$4400,BB$1,FALSE))</f>
        <v>-</v>
      </c>
      <c r="BC8" s="31" t="str">
        <f>IF(VLOOKUP(ROUND(CONCATENATE($A8,BC$2),0),'Cadastro dos Padrões'!$A$2:$V$4400,BC$1,FALSE)="","-",VLOOKUP(ROUND(CONCATENATE($A8,BC$2),0),'Cadastro dos Padrões'!$A$2:$V$4400,BC$1,FALSE))</f>
        <v>-</v>
      </c>
      <c r="BD8" s="31" t="str">
        <f>IF(VLOOKUP(ROUND(CONCATENATE($A8,BD$2),0),'Cadastro dos Padrões'!$A$2:$V$4400,BD$1,FALSE)="","-",VLOOKUP(ROUND(CONCATENATE($A8,BD$2),0),'Cadastro dos Padrões'!$A$2:$V$4400,BD$1,FALSE))</f>
        <v>-</v>
      </c>
      <c r="BE8" s="31" t="str">
        <f>IF(VLOOKUP(ROUND(CONCATENATE($A8,BE$2),0),'Cadastro dos Padrões'!$A$2:$V$4400,BE$1,FALSE)="","-",VLOOKUP(ROUND(CONCATENATE($A8,BE$2),0),'Cadastro dos Padrões'!$A$2:$V$4400,BE$1,FALSE))</f>
        <v>-</v>
      </c>
      <c r="BF8" s="31" t="str">
        <f>IF(VLOOKUP(ROUND(CONCATENATE($A8,BF$2),0),'Cadastro dos Padrões'!$A$2:$V$4400,BF$1,FALSE)="","-",VLOOKUP(ROUND(CONCATENATE($A8,BF$2),0),'Cadastro dos Padrões'!$A$2:$V$4400,BF$1,FALSE))</f>
        <v>-</v>
      </c>
      <c r="BG8" s="31" t="str">
        <f>IF(VLOOKUP(ROUND(CONCATENATE($A8,BG$2),0),'Cadastro dos Padrões'!$A$2:$V$4400,BG$1,FALSE)="","-",VLOOKUP(ROUND(CONCATENATE($A8,BG$2),0),'Cadastro dos Padrões'!$A$2:$V$4400,BG$1,FALSE))</f>
        <v>-</v>
      </c>
      <c r="BH8" s="31" t="str">
        <f>IF(VLOOKUP(ROUND(CONCATENATE($A8,BH$2),0),'Cadastro dos Padrões'!$A$2:$V$4400,BH$1,FALSE)="","-",VLOOKUP(ROUND(CONCATENATE($A8,BH$2),0),'Cadastro dos Padrões'!$A$2:$V$4400,BH$1,FALSE))</f>
        <v>-</v>
      </c>
      <c r="BI8" s="31" t="str">
        <f>IF(VLOOKUP(ROUND(CONCATENATE($A8,BI$2),0),'Cadastro dos Padrões'!$A$2:$V$4400,BI$1,FALSE)="","-",VLOOKUP(ROUND(CONCATENATE($A8,BI$2),0),'Cadastro dos Padrões'!$A$2:$V$4400,BI$1,FALSE))</f>
        <v>-</v>
      </c>
      <c r="BJ8" s="31" t="str">
        <f>IF(VLOOKUP(ROUND(CONCATENATE($A8,BJ$2),0),'Cadastro dos Padrões'!$A$2:$V$4400,BJ$1,FALSE)="","-",VLOOKUP(ROUND(CONCATENATE($A8,BJ$2),0),'Cadastro dos Padrões'!$A$2:$V$4400,BJ$1,FALSE))</f>
        <v>-</v>
      </c>
      <c r="BK8" s="31" t="str">
        <f>IF(VLOOKUP(ROUND(CONCATENATE($A8,BK$2),0),'Cadastro dos Padrões'!$A$2:$V$4400,BK$1,FALSE)="","-",VLOOKUP(ROUND(CONCATENATE($A8,BK$2),0),'Cadastro dos Padrões'!$A$2:$V$4400,BK$1,FALSE))</f>
        <v>-</v>
      </c>
      <c r="BL8" s="31" t="str">
        <f>IF(VLOOKUP(ROUND(CONCATENATE($A8,BL$2),0),'Cadastro dos Padrões'!$A$2:$V$4400,BL$1,FALSE)="","-",VLOOKUP(ROUND(CONCATENATE($A8,BL$2),0),'Cadastro dos Padrões'!$A$2:$V$4400,BL$1,FALSE))</f>
        <v>-</v>
      </c>
      <c r="BM8" s="31" t="str">
        <f>IF(VLOOKUP(ROUND(CONCATENATE($A8,BM$2),0),'Cadastro dos Padrões'!$A$2:$V$4400,BM$1,FALSE)="","-",VLOOKUP(ROUND(CONCATENATE($A8,BM$2),0),'Cadastro dos Padrões'!$A$2:$V$4400,BM$1,FALSE))</f>
        <v>-</v>
      </c>
      <c r="BN8" s="31" t="str">
        <f>IF(VLOOKUP(ROUND(CONCATENATE($A8,BN$2),0),'Cadastro dos Padrões'!$A$2:$V$4400,BN$1,FALSE)="","-",VLOOKUP(ROUND(CONCATENATE($A8,BN$2),0),'Cadastro dos Padrões'!$A$2:$V$4400,BN$1,FALSE))</f>
        <v>-</v>
      </c>
      <c r="BO8" s="31" t="str">
        <f>IF(VLOOKUP(ROUND(CONCATENATE($A8,BO$2),0),'Cadastro dos Padrões'!$A$2:$V$4400,BO$1,FALSE)="","-",VLOOKUP(ROUND(CONCATENATE($A8,BO$2),0),'Cadastro dos Padrões'!$A$2:$V$4400,BO$1,FALSE))</f>
        <v>-</v>
      </c>
    </row>
    <row r="9" spans="1:67" x14ac:dyDescent="0.3">
      <c r="A9" s="6">
        <f t="shared" si="52"/>
        <v>4</v>
      </c>
      <c r="B9" s="31" t="str">
        <f>IF(VLOOKUP(ROUND(CONCATENATE($A9,B$2),0),'Cadastro dos Padrões'!$A$2:$V$4400,B$1,FALSE)="","-",VLOOKUP(ROUND(CONCATENATE($A9,B$2),0),'Cadastro dos Padrões'!$A$2:$V$4400,B$1,FALSE))</f>
        <v>EL-159</v>
      </c>
      <c r="C9" s="31" t="str">
        <f>IF($B9="-","-",VLOOKUP(ROUND(CONCATENATE($A9,C$2),0),'Cadastro dos Padrões'!$A$2:$V$4400,C$1,FALSE))</f>
        <v>Termohigrômetro Digital</v>
      </c>
      <c r="D9" s="31">
        <f>IF($B9="-","-",VLOOKUP(ROUND(CONCATENATE($A9,D$2),0),'Cadastro dos Padrões'!$A$2:$V$4400,D$1,FALSE))</f>
        <v>20</v>
      </c>
      <c r="E9" s="31" t="str">
        <f>IF($B9="-","-",VLOOKUP(ROUND(CONCATENATE($A9,E$2),0),'Cadastro dos Padrões'!$A$2:$V$4400,E$1,FALSE))</f>
        <v>Elus</v>
      </c>
      <c r="F9" s="31" t="str">
        <f>IF($B9="-","-",VLOOKUP(ROUND(CONCATENATE($A9,F$2),0),'Cadastro dos Padrões'!$A$2:$V$4400,F$1,FALSE))</f>
        <v>RBC - CAL 0439</v>
      </c>
      <c r="G9" s="31" t="str">
        <f>IF($B9="-","-",VLOOKUP(ROUND(CONCATENATE($A9,G$2),0),'Cadastro dos Padrões'!$A$2:$V$4400,G$1,FALSE))</f>
        <v>R0371/21</v>
      </c>
      <c r="H9" s="32">
        <f>IF($B9="-","-",VLOOKUP(ROUND(CONCATENATE($A9,H$2),0),'Cadastro dos Padrões'!$A$2:$V$4400,H$1,FALSE))</f>
        <v>44498</v>
      </c>
      <c r="I9" s="33">
        <f>IF($B9="-","-",VLOOKUP(ROUND(CONCATENATE($A9,I$2),0),'Cadastro dos Padrões'!$A$2:$V$4400,I$1,FALSE))</f>
        <v>44865</v>
      </c>
      <c r="J9" s="31" t="str">
        <f>IF($B9="-","-",VLOOKUP(ROUND(CONCATENATE($A9,J$2),0),'Cadastro dos Padrões'!$A$2:$V$4400,J$1,FALSE))</f>
        <v>%ur</v>
      </c>
      <c r="K9" s="31">
        <f>IF($B9="-","-",VLOOKUP(ROUND(CONCATENATE($A9,K$2),0),'Cadastro dos Padrões'!$A$2:$V$4400,K$1,FALSE))</f>
        <v>30</v>
      </c>
      <c r="L9" s="31">
        <f>IF($B9="-","-",VLOOKUP(ROUND(CONCATENATE($A9,L$2),0),'Cadastro dos Padrões'!$A$2:$V$4400,L$1,FALSE))</f>
        <v>90</v>
      </c>
      <c r="M9" s="31">
        <f>IF($B9="-","-",VLOOKUP(ROUND(CONCATENATE($A9,M$2),0),'Cadastro dos Padrões'!$A$2:$V$4400,M$1,FALSE))</f>
        <v>1</v>
      </c>
      <c r="N9" s="31">
        <f>IF($B9="-","-",VLOOKUP(ROUND(CONCATENATE($A9,N$2),0),'Cadastro dos Padrões'!$A$2:$V$4400,N$1,FALSE))</f>
        <v>9</v>
      </c>
      <c r="O9" s="31">
        <f>IF($B9="-","-",VLOOKUP(ROUND(CONCATENATE($A9,O$2),0),'Cadastro dos Padrões'!$A$2:$V$4400,O$1,FALSE))</f>
        <v>2</v>
      </c>
      <c r="P9" s="31">
        <f>IF($B9="-","-",VLOOKUP(ROUND(CONCATENATE($A9,P$2),0),'Cadastro dos Padrões'!$A$2:$V$4400,P$1,FALSE))</f>
        <v>1</v>
      </c>
      <c r="Q9" s="31">
        <f>IF($B9="-","-",VLOOKUP(ROUND(CONCATENATE($A9,Q$2),0),'Cadastro dos Padrões'!$A$2:$V$4400,Q$1,FALSE))</f>
        <v>0.40359057361334871</v>
      </c>
      <c r="R9" s="31">
        <f>IF($B9="-","-",VLOOKUP(ROUND(CONCATENATE($A9,R$2),0),'Cadastro dos Padrões'!$A$2:$V$4400,R$1,FALSE))</f>
        <v>2</v>
      </c>
      <c r="S9" s="31">
        <f>IF($B9="-","-",VLOOKUP(ROUND(CONCATENATE($A9,S$2),0),'Cadastro dos Padrões'!$A$2:$V$4400,S$1,FALSE))</f>
        <v>0</v>
      </c>
      <c r="T9" s="31">
        <f>IF($B9="-","-",VLOOKUP(ROUND(CONCATENATE($A9,T$2),0),'Cadastro dos Padrões'!$A$2:$V$4400,T$1,FALSE))</f>
        <v>0</v>
      </c>
      <c r="U9" s="31">
        <f>IF($B9="-","-",VLOOKUP(ROUND(CONCATENATE($A9,U$2),0),'Cadastro dos Padrões'!$A$2:$V$4400,U$1,FALSE))</f>
        <v>0</v>
      </c>
      <c r="V9" s="31">
        <f>IF($B9="-","-",VLOOKUP(ROUND(CONCATENATE($A9,V$2),0),'Cadastro dos Padrões'!$A$2:$V$4400,V$1,FALSE))</f>
        <v>0</v>
      </c>
      <c r="W9" s="31">
        <f>IF($B9="-","-",VLOOKUP(ROUND(CONCATENATE($A9,W$2),0),'Cadastro dos Padrões'!$A$2:$V$4400,W$1,FALSE))</f>
        <v>0</v>
      </c>
      <c r="X9" s="31">
        <f>IF($B9="-","-",VLOOKUP(ROUND(CONCATENATE($A9,X$2),0),'Cadastro dos Padrões'!$A$2:$V$4400,X$1,FALSE))</f>
        <v>0</v>
      </c>
      <c r="Y9" s="31">
        <f>IF($B9="-","-",VLOOKUP(ROUND(CONCATENATE($A9,Y$2),0),'Cadastro dos Padrões'!$A$2:$V$4400,Y$1,FALSE))</f>
        <v>-1.1432515581001907E-3</v>
      </c>
      <c r="Z9" s="31">
        <f>IF($B9="-","-",VLOOKUP(ROUND(CONCATENATE($A9,Z$2),0),'Cadastro dos Padrões'!$A$2:$V$4400,Z$1,FALSE))</f>
        <v>1.0894708872975898</v>
      </c>
      <c r="AA9" s="31">
        <f>IF($B9="-","-",VLOOKUP(ROUND(CONCATENATE($A9,AA$2),0),'Cadastro dos Padrões'!$A$2:$V$4400,AA$1,FALSE))</f>
        <v>7.5312190136070356</v>
      </c>
      <c r="AB9" s="31">
        <f>IF(VLOOKUP(ROUND(CONCATENATE($A9,AB$2),0),'Cadastro dos Padrões'!$A$2:$V$4400,AB$1,FALSE)="","-",VLOOKUP(ROUND(CONCATENATE($A9,AB$2),0),'Cadastro dos Padrões'!$A$2:$V$4400,AB$1,FALSE))</f>
        <v>30</v>
      </c>
      <c r="AC9" s="31">
        <f>IF(VLOOKUP(ROUND(CONCATENATE($A9,AC$2),0),'Cadastro dos Padrões'!$A$2:$V$4400,AC$1,FALSE)="","-",VLOOKUP(ROUND(CONCATENATE($A9,AC$2),0),'Cadastro dos Padrões'!$A$2:$V$4400,AC$1,FALSE))</f>
        <v>2</v>
      </c>
      <c r="AD9" s="31">
        <f>IF(VLOOKUP(ROUND(CONCATENATE($A9,AD$2),0),'Cadastro dos Padrões'!$A$2:$V$4400,AD$1,FALSE)="","-",VLOOKUP(ROUND(CONCATENATE($A9,AD$2),0),'Cadastro dos Padrões'!$A$2:$V$4400,AD$1,FALSE))</f>
        <v>2</v>
      </c>
      <c r="AE9" s="31">
        <f>IF(VLOOKUP(ROUND(CONCATENATE($A9,AE$2),0),'Cadastro dos Padrões'!$A$2:$V$4400,AE$1,FALSE)="","-",VLOOKUP(ROUND(CONCATENATE($A9,AE$2),0),'Cadastro dos Padrões'!$A$2:$V$4400,AE$1,FALSE))</f>
        <v>1000000</v>
      </c>
      <c r="AF9" s="31">
        <f>IF(VLOOKUP(ROUND(CONCATENATE($A9,AF$2),0),'Cadastro dos Padrões'!$A$2:$V$4400,AF$1,FALSE)="","-",VLOOKUP(ROUND(CONCATENATE($A9,AF$2),0),'Cadastro dos Padrões'!$A$2:$V$4400,AF$1,FALSE))</f>
        <v>50</v>
      </c>
      <c r="AG9" s="31">
        <f>IF(VLOOKUP(ROUND(CONCATENATE($A9,AG$2),0),'Cadastro dos Padrões'!$A$2:$V$4400,AG$1,FALSE)="","-",VLOOKUP(ROUND(CONCATENATE($A9,AG$2),0),'Cadastro dos Padrões'!$A$2:$V$4400,AG$1,FALSE))</f>
        <v>2</v>
      </c>
      <c r="AH9" s="31">
        <f>IF(VLOOKUP(ROUND(CONCATENATE($A9,AH$2),0),'Cadastro dos Padrões'!$A$2:$V$4400,AH$1,FALSE)="","-",VLOOKUP(ROUND(CONCATENATE($A9,AH$2),0),'Cadastro dos Padrões'!$A$2:$V$4400,AH$1,FALSE))</f>
        <v>2</v>
      </c>
      <c r="AI9" s="31">
        <f>IF(VLOOKUP(ROUND(CONCATENATE($A9,AI$2),0),'Cadastro dos Padrões'!$A$2:$V$4400,AI$1,FALSE)="","-",VLOOKUP(ROUND(CONCATENATE($A9,AI$2),0),'Cadastro dos Padrões'!$A$2:$V$4400,AI$1,FALSE))</f>
        <v>1000000</v>
      </c>
      <c r="AJ9" s="31">
        <f>IF(VLOOKUP(ROUND(CONCATENATE($A9,AJ$2),0),'Cadastro dos Padrões'!$A$2:$V$4400,AJ$1,FALSE)="","-",VLOOKUP(ROUND(CONCATENATE($A9,AJ$2),0),'Cadastro dos Padrões'!$A$2:$V$4400,AJ$1,FALSE))</f>
        <v>70</v>
      </c>
      <c r="AK9" s="31">
        <f>IF(VLOOKUP(ROUND(CONCATENATE($A9,AK$2),0),'Cadastro dos Padrões'!$A$2:$V$4400,AK$1,FALSE)="","-",VLOOKUP(ROUND(CONCATENATE($A9,AK$2),0),'Cadastro dos Padrões'!$A$2:$V$4400,AK$1,FALSE))</f>
        <v>2</v>
      </c>
      <c r="AL9" s="31">
        <f>IF(VLOOKUP(ROUND(CONCATENATE($A9,AL$2),0),'Cadastro dos Padrões'!$A$2:$V$4400,AL$1,FALSE)="","-",VLOOKUP(ROUND(CONCATENATE($A9,AL$2),0),'Cadastro dos Padrões'!$A$2:$V$4400,AL$1,FALSE))</f>
        <v>2</v>
      </c>
      <c r="AM9" s="31">
        <f>IF(VLOOKUP(ROUND(CONCATENATE($A9,AM$2),0),'Cadastro dos Padrões'!$A$2:$V$4400,AM$1,FALSE)="","-",VLOOKUP(ROUND(CONCATENATE($A9,AM$2),0),'Cadastro dos Padrões'!$A$2:$V$4400,AM$1,FALSE))</f>
        <v>1000000</v>
      </c>
      <c r="AN9" s="31">
        <f>IF(VLOOKUP(ROUND(CONCATENATE($A9,AN$2),0),'Cadastro dos Padrões'!$A$2:$V$4400,AN$1,FALSE)="","-",VLOOKUP(ROUND(CONCATENATE($A9,AN$2),0),'Cadastro dos Padrões'!$A$2:$V$4400,AN$1,FALSE))</f>
        <v>90</v>
      </c>
      <c r="AO9" s="31">
        <f>IF(VLOOKUP(ROUND(CONCATENATE($A9,AO$2),0),'Cadastro dos Padrões'!$A$2:$V$4400,AO$1,FALSE)="","-",VLOOKUP(ROUND(CONCATENATE($A9,AO$2),0),'Cadastro dos Padrões'!$A$2:$V$4400,AO$1,FALSE))</f>
        <v>2</v>
      </c>
      <c r="AP9" s="31">
        <f>IF(VLOOKUP(ROUND(CONCATENATE($A9,AP$2),0),'Cadastro dos Padrões'!$A$2:$V$4400,AP$1,FALSE)="","-",VLOOKUP(ROUND(CONCATENATE($A9,AP$2),0),'Cadastro dos Padrões'!$A$2:$V$4400,AP$1,FALSE))</f>
        <v>2</v>
      </c>
      <c r="AQ9" s="31">
        <f>IF(VLOOKUP(ROUND(CONCATENATE($A9,AQ$2),0),'Cadastro dos Padrões'!$A$2:$V$4400,AQ$1,FALSE)="","-",VLOOKUP(ROUND(CONCATENATE($A9,AQ$2),0),'Cadastro dos Padrões'!$A$2:$V$4400,AQ$1,FALSE))</f>
        <v>1000000</v>
      </c>
      <c r="AR9" s="31" t="str">
        <f>IF(VLOOKUP(ROUND(CONCATENATE($A9,AR$2),0),'Cadastro dos Padrões'!$A$2:$V$4400,AR$1,FALSE)="","-",VLOOKUP(ROUND(CONCATENATE($A9,AR$2),0),'Cadastro dos Padrões'!$A$2:$V$4400,AR$1,FALSE))</f>
        <v>-</v>
      </c>
      <c r="AS9" s="31" t="str">
        <f>IF(VLOOKUP(ROUND(CONCATENATE($A9,AS$2),0),'Cadastro dos Padrões'!$A$2:$V$4400,AS$1,FALSE)="","-",VLOOKUP(ROUND(CONCATENATE($A9,AS$2),0),'Cadastro dos Padrões'!$A$2:$V$4400,AS$1,FALSE))</f>
        <v>-</v>
      </c>
      <c r="AT9" s="31" t="str">
        <f>IF(VLOOKUP(ROUND(CONCATENATE($A9,AT$2),0),'Cadastro dos Padrões'!$A$2:$V$4400,AT$1,FALSE)="","-",VLOOKUP(ROUND(CONCATENATE($A9,AT$2),0),'Cadastro dos Padrões'!$A$2:$V$4400,AT$1,FALSE))</f>
        <v>-</v>
      </c>
      <c r="AU9" s="31" t="str">
        <f>IF(VLOOKUP(ROUND(CONCATENATE($A9,AU$2),0),'Cadastro dos Padrões'!$A$2:$V$4400,AU$1,FALSE)="","-",VLOOKUP(ROUND(CONCATENATE($A9,AU$2),0),'Cadastro dos Padrões'!$A$2:$V$4400,AU$1,FALSE))</f>
        <v>-</v>
      </c>
      <c r="AV9" s="31" t="str">
        <f>IF(VLOOKUP(ROUND(CONCATENATE($A9,AV$2),0),'Cadastro dos Padrões'!$A$2:$V$4400,AV$1,FALSE)="","-",VLOOKUP(ROUND(CONCATENATE($A9,AV$2),0),'Cadastro dos Padrões'!$A$2:$V$4400,AV$1,FALSE))</f>
        <v>-</v>
      </c>
      <c r="AW9" s="31" t="str">
        <f>IF(VLOOKUP(ROUND(CONCATENATE($A9,AW$2),0),'Cadastro dos Padrões'!$A$2:$V$4400,AW$1,FALSE)="","-",VLOOKUP(ROUND(CONCATENATE($A9,AW$2),0),'Cadastro dos Padrões'!$A$2:$V$4400,AW$1,FALSE))</f>
        <v>-</v>
      </c>
      <c r="AX9" s="31" t="str">
        <f>IF(VLOOKUP(ROUND(CONCATENATE($A9,AX$2),0),'Cadastro dos Padrões'!$A$2:$V$4400,AX$1,FALSE)="","-",VLOOKUP(ROUND(CONCATENATE($A9,AX$2),0),'Cadastro dos Padrões'!$A$2:$V$4400,AX$1,FALSE))</f>
        <v>-</v>
      </c>
      <c r="AY9" s="31" t="str">
        <f>IF(VLOOKUP(ROUND(CONCATENATE($A9,AY$2),0),'Cadastro dos Padrões'!$A$2:$V$4400,AY$1,FALSE)="","-",VLOOKUP(ROUND(CONCATENATE($A9,AY$2),0),'Cadastro dos Padrões'!$A$2:$V$4400,AY$1,FALSE))</f>
        <v>-</v>
      </c>
      <c r="AZ9" s="31" t="str">
        <f>IF(VLOOKUP(ROUND(CONCATENATE($A9,AZ$2),0),'Cadastro dos Padrões'!$A$2:$V$4400,AZ$1,FALSE)="","-",VLOOKUP(ROUND(CONCATENATE($A9,AZ$2),0),'Cadastro dos Padrões'!$A$2:$V$4400,AZ$1,FALSE))</f>
        <v>-</v>
      </c>
      <c r="BA9" s="31" t="str">
        <f>IF(VLOOKUP(ROUND(CONCATENATE($A9,BA$2),0),'Cadastro dos Padrões'!$A$2:$V$4400,BA$1,FALSE)="","-",VLOOKUP(ROUND(CONCATENATE($A9,BA$2),0),'Cadastro dos Padrões'!$A$2:$V$4400,BA$1,FALSE))</f>
        <v>-</v>
      </c>
      <c r="BB9" s="31" t="str">
        <f>IF(VLOOKUP(ROUND(CONCATENATE($A9,BB$2),0),'Cadastro dos Padrões'!$A$2:$V$4400,BB$1,FALSE)="","-",VLOOKUP(ROUND(CONCATENATE($A9,BB$2),0),'Cadastro dos Padrões'!$A$2:$V$4400,BB$1,FALSE))</f>
        <v>-</v>
      </c>
      <c r="BC9" s="31" t="str">
        <f>IF(VLOOKUP(ROUND(CONCATENATE($A9,BC$2),0),'Cadastro dos Padrões'!$A$2:$V$4400,BC$1,FALSE)="","-",VLOOKUP(ROUND(CONCATENATE($A9,BC$2),0),'Cadastro dos Padrões'!$A$2:$V$4400,BC$1,FALSE))</f>
        <v>-</v>
      </c>
      <c r="BD9" s="31" t="str">
        <f>IF(VLOOKUP(ROUND(CONCATENATE($A9,BD$2),0),'Cadastro dos Padrões'!$A$2:$V$4400,BD$1,FALSE)="","-",VLOOKUP(ROUND(CONCATENATE($A9,BD$2),0),'Cadastro dos Padrões'!$A$2:$V$4400,BD$1,FALSE))</f>
        <v>-</v>
      </c>
      <c r="BE9" s="31" t="str">
        <f>IF(VLOOKUP(ROUND(CONCATENATE($A9,BE$2),0),'Cadastro dos Padrões'!$A$2:$V$4400,BE$1,FALSE)="","-",VLOOKUP(ROUND(CONCATENATE($A9,BE$2),0),'Cadastro dos Padrões'!$A$2:$V$4400,BE$1,FALSE))</f>
        <v>-</v>
      </c>
      <c r="BF9" s="31" t="str">
        <f>IF(VLOOKUP(ROUND(CONCATENATE($A9,BF$2),0),'Cadastro dos Padrões'!$A$2:$V$4400,BF$1,FALSE)="","-",VLOOKUP(ROUND(CONCATENATE($A9,BF$2),0),'Cadastro dos Padrões'!$A$2:$V$4400,BF$1,FALSE))</f>
        <v>-</v>
      </c>
      <c r="BG9" s="31" t="str">
        <f>IF(VLOOKUP(ROUND(CONCATENATE($A9,BG$2),0),'Cadastro dos Padrões'!$A$2:$V$4400,BG$1,FALSE)="","-",VLOOKUP(ROUND(CONCATENATE($A9,BG$2),0),'Cadastro dos Padrões'!$A$2:$V$4400,BG$1,FALSE))</f>
        <v>-</v>
      </c>
      <c r="BH9" s="31" t="str">
        <f>IF(VLOOKUP(ROUND(CONCATENATE($A9,BH$2),0),'Cadastro dos Padrões'!$A$2:$V$4400,BH$1,FALSE)="","-",VLOOKUP(ROUND(CONCATENATE($A9,BH$2),0),'Cadastro dos Padrões'!$A$2:$V$4400,BH$1,FALSE))</f>
        <v>-</v>
      </c>
      <c r="BI9" s="31" t="str">
        <f>IF(VLOOKUP(ROUND(CONCATENATE($A9,BI$2),0),'Cadastro dos Padrões'!$A$2:$V$4400,BI$1,FALSE)="","-",VLOOKUP(ROUND(CONCATENATE($A9,BI$2),0),'Cadastro dos Padrões'!$A$2:$V$4400,BI$1,FALSE))</f>
        <v>-</v>
      </c>
      <c r="BJ9" s="31" t="str">
        <f>IF(VLOOKUP(ROUND(CONCATENATE($A9,BJ$2),0),'Cadastro dos Padrões'!$A$2:$V$4400,BJ$1,FALSE)="","-",VLOOKUP(ROUND(CONCATENATE($A9,BJ$2),0),'Cadastro dos Padrões'!$A$2:$V$4400,BJ$1,FALSE))</f>
        <v>-</v>
      </c>
      <c r="BK9" s="31" t="str">
        <f>IF(VLOOKUP(ROUND(CONCATENATE($A9,BK$2),0),'Cadastro dos Padrões'!$A$2:$V$4400,BK$1,FALSE)="","-",VLOOKUP(ROUND(CONCATENATE($A9,BK$2),0),'Cadastro dos Padrões'!$A$2:$V$4400,BK$1,FALSE))</f>
        <v>-</v>
      </c>
      <c r="BL9" s="31" t="str">
        <f>IF(VLOOKUP(ROUND(CONCATENATE($A9,BL$2),0),'Cadastro dos Padrões'!$A$2:$V$4400,BL$1,FALSE)="","-",VLOOKUP(ROUND(CONCATENATE($A9,BL$2),0),'Cadastro dos Padrões'!$A$2:$V$4400,BL$1,FALSE))</f>
        <v>-</v>
      </c>
      <c r="BM9" s="31" t="str">
        <f>IF(VLOOKUP(ROUND(CONCATENATE($A9,BM$2),0),'Cadastro dos Padrões'!$A$2:$V$4400,BM$1,FALSE)="","-",VLOOKUP(ROUND(CONCATENATE($A9,BM$2),0),'Cadastro dos Padrões'!$A$2:$V$4400,BM$1,FALSE))</f>
        <v>-</v>
      </c>
      <c r="BN9" s="31" t="str">
        <f>IF(VLOOKUP(ROUND(CONCATENATE($A9,BN$2),0),'Cadastro dos Padrões'!$A$2:$V$4400,BN$1,FALSE)="","-",VLOOKUP(ROUND(CONCATENATE($A9,BN$2),0),'Cadastro dos Padrões'!$A$2:$V$4400,BN$1,FALSE))</f>
        <v>-</v>
      </c>
      <c r="BO9" s="31" t="str">
        <f>IF(VLOOKUP(ROUND(CONCATENATE($A9,BO$2),0),'Cadastro dos Padrões'!$A$2:$V$4400,BO$1,FALSE)="","-",VLOOKUP(ROUND(CONCATENATE($A9,BO$2),0),'Cadastro dos Padrões'!$A$2:$V$4400,BO$1,FALSE))</f>
        <v>-</v>
      </c>
    </row>
    <row r="10" spans="1:67" x14ac:dyDescent="0.3">
      <c r="A10" s="6">
        <f t="shared" si="52"/>
        <v>5</v>
      </c>
      <c r="B10" s="31" t="str">
        <f>IF(VLOOKUP(ROUND(CONCATENATE($A10,B$2),0),'Cadastro dos Padrões'!$A$2:$V$4400,B$1,FALSE)="","-",VLOOKUP(ROUND(CONCATENATE($A10,B$2),0),'Cadastro dos Padrões'!$A$2:$V$4400,B$1,FALSE))</f>
        <v>E.TH.FS-051</v>
      </c>
      <c r="C10" s="31" t="str">
        <f>IF($B10="-","-",VLOOKUP(ROUND(CONCATENATE($A10,C$2),0),'Cadastro dos Padrões'!$A$2:$V$4400,C$1,FALSE))</f>
        <v>Termohigrômetro Digital</v>
      </c>
      <c r="D10" s="31">
        <f>IF($B10="-","-",VLOOKUP(ROUND(CONCATENATE($A10,D$2),0),'Cadastro dos Padrões'!$A$2:$V$4400,D$1,FALSE))</f>
        <v>20</v>
      </c>
      <c r="E10" s="31" t="str">
        <f>IF($B10="-","-",VLOOKUP(ROUND(CONCATENATE($A10,E$2),0),'Cadastro dos Padrões'!$A$2:$V$4400,E$1,FALSE))</f>
        <v>Elus</v>
      </c>
      <c r="F10" s="31" t="str">
        <f>IF($B10="-","-",VLOOKUP(ROUND(CONCATENATE($A10,F$2),0),'Cadastro dos Padrões'!$A$2:$V$4400,F$1,FALSE))</f>
        <v>RBC - CAL 0439</v>
      </c>
      <c r="G10" s="31" t="str">
        <f>IF($B10="-","-",VLOOKUP(ROUND(CONCATENATE($A10,G$2),0),'Cadastro dos Padrões'!$A$2:$V$4400,G$1,FALSE))</f>
        <v>E0051/26</v>
      </c>
      <c r="H10" s="32">
        <f>IF($B10="-","-",VLOOKUP(ROUND(CONCATENATE($A10,H$2),0),'Cadastro dos Padrões'!$A$2:$V$4400,H$1,FALSE))</f>
        <v>46056</v>
      </c>
      <c r="I10" s="33">
        <f>IF($B10="-","-",VLOOKUP(ROUND(CONCATENATE($A10,I$2),0),'Cadastro dos Padrões'!$A$2:$V$4400,I$1,FALSE))</f>
        <v>46446</v>
      </c>
      <c r="J10" s="31" t="str">
        <f>IF($B10="-","-",VLOOKUP(ROUND(CONCATENATE($A10,J$2),0),'Cadastro dos Padrões'!$A$2:$V$4400,J$1,FALSE))</f>
        <v>%ur</v>
      </c>
      <c r="K10" s="31">
        <f>IF($B10="-","-",VLOOKUP(ROUND(CONCATENATE($A10,K$2),0),'Cadastro dos Padrões'!$A$2:$V$4400,K$1,FALSE))</f>
        <v>30</v>
      </c>
      <c r="L10" s="31">
        <f>IF($B10="-","-",VLOOKUP(ROUND(CONCATENATE($A10,L$2),0),'Cadastro dos Padrões'!$A$2:$V$4400,L$1,FALSE))</f>
        <v>80</v>
      </c>
      <c r="M10" s="31">
        <f>IF($B10="-","-",VLOOKUP(ROUND(CONCATENATE($A10,M$2),0),'Cadastro dos Padrões'!$A$2:$V$4400,M$1,FALSE))</f>
        <v>1</v>
      </c>
      <c r="N10" s="31">
        <f>IF($B10="-","-",VLOOKUP(ROUND(CONCATENATE($A10,N$2),0),'Cadastro dos Padrões'!$A$2:$V$4400,N$1,FALSE))</f>
        <v>3</v>
      </c>
      <c r="O10" s="31">
        <f>IF($B10="-","-",VLOOKUP(ROUND(CONCATENATE($A10,O$2),0),'Cadastro dos Padrões'!$A$2:$V$4400,O$1,FALSE))</f>
        <v>2</v>
      </c>
      <c r="P10" s="31">
        <f>IF($B10="-","-",VLOOKUP(ROUND(CONCATENATE($A10,P$2),0),'Cadastro dos Padrões'!$A$2:$V$4400,P$1,FALSE))</f>
        <v>8</v>
      </c>
      <c r="Q10" s="31">
        <f>IF($B10="-","-",VLOOKUP(ROUND(CONCATENATE($A10,Q$2),0),'Cadastro dos Padrões'!$A$2:$V$4400,Q$1,FALSE))</f>
        <v>1.3176871827811567</v>
      </c>
      <c r="R10" s="31">
        <f>IF($B10="-","-",VLOOKUP(ROUND(CONCATENATE($A10,R$2),0),'Cadastro dos Padrões'!$A$2:$V$4400,R$1,FALSE))</f>
        <v>1</v>
      </c>
      <c r="S10" s="31">
        <f>IF($B10="-","-",VLOOKUP(ROUND(CONCATENATE($A10,S$2),0),'Cadastro dos Padrões'!$A$2:$V$4400,S$1,FALSE))</f>
        <v>0</v>
      </c>
      <c r="T10" s="31">
        <f>IF($B10="-","-",VLOOKUP(ROUND(CONCATENATE($A10,T$2),0),'Cadastro dos Padrões'!$A$2:$V$4400,T$1,FALSE))</f>
        <v>0</v>
      </c>
      <c r="U10" s="31">
        <f>IF($B10="-","-",VLOOKUP(ROUND(CONCATENATE($A10,U$2),0),'Cadastro dos Padrões'!$A$2:$V$4400,U$1,FALSE))</f>
        <v>0</v>
      </c>
      <c r="V10" s="31">
        <f>IF($B10="-","-",VLOOKUP(ROUND(CONCATENATE($A10,V$2),0),'Cadastro dos Padrões'!$A$2:$V$4400,V$1,FALSE))</f>
        <v>0</v>
      </c>
      <c r="W10" s="31">
        <f>IF($B10="-","-",VLOOKUP(ROUND(CONCATENATE($A10,W$2),0),'Cadastro dos Padrões'!$A$2:$V$4400,W$1,FALSE))</f>
        <v>0</v>
      </c>
      <c r="X10" s="31">
        <f>IF($B10="-","-",VLOOKUP(ROUND(CONCATENATE($A10,X$2),0),'Cadastro dos Padrões'!$A$2:$V$4400,X$1,FALSE))</f>
        <v>0</v>
      </c>
      <c r="Y10" s="31">
        <f>IF($B10="-","-",VLOOKUP(ROUND(CONCATENATE($A10,Y$2),0),'Cadastro dos Padrões'!$A$2:$V$4400,Y$1,FALSE))</f>
        <v>0</v>
      </c>
      <c r="Z10" s="31">
        <f>IF($B10="-","-",VLOOKUP(ROUND(CONCATENATE($A10,Z$2),0),'Cadastro dos Padrões'!$A$2:$V$4400,Z$1,FALSE))</f>
        <v>1.0146500271296797</v>
      </c>
      <c r="AA10" s="31">
        <f>IF($B10="-","-",VLOOKUP(ROUND(CONCATENATE($A10,AA$2),0),'Cadastro dos Padrões'!$A$2:$V$4400,AA$1,FALSE))</f>
        <v>-2.8106348345089387</v>
      </c>
      <c r="AB10" s="31">
        <f>IF(VLOOKUP(ROUND(CONCATENATE($A10,AB$2),0),'Cadastro dos Padrões'!$A$2:$V$4400,AB$1,FALSE)="","-",VLOOKUP(ROUND(CONCATENATE($A10,AB$2),0),'Cadastro dos Padrões'!$A$2:$V$4400,AB$1,FALSE))</f>
        <v>30</v>
      </c>
      <c r="AC10" s="31">
        <f>IF(VLOOKUP(ROUND(CONCATENATE($A10,AC$2),0),'Cadastro dos Padrões'!$A$2:$V$4400,AC$1,FALSE)="","-",VLOOKUP(ROUND(CONCATENATE($A10,AC$2),0),'Cadastro dos Padrões'!$A$2:$V$4400,AC$1,FALSE))</f>
        <v>2</v>
      </c>
      <c r="AD10" s="31">
        <f>IF(VLOOKUP(ROUND(CONCATENATE($A10,AD$2),0),'Cadastro dos Padrões'!$A$2:$V$4400,AD$1,FALSE)="","-",VLOOKUP(ROUND(CONCATENATE($A10,AD$2),0),'Cadastro dos Padrões'!$A$2:$V$4400,AD$1,FALSE))</f>
        <v>2</v>
      </c>
      <c r="AE10" s="31">
        <f>IF(VLOOKUP(ROUND(CONCATENATE($A10,AE$2),0),'Cadastro dos Padrões'!$A$2:$V$4400,AE$1,FALSE)="","-",VLOOKUP(ROUND(CONCATENATE($A10,AE$2),0),'Cadastro dos Padrões'!$A$2:$V$4400,AE$1,FALSE))</f>
        <v>1000000</v>
      </c>
      <c r="AF10" s="31">
        <f>IF(VLOOKUP(ROUND(CONCATENATE($A10,AF$2),0),'Cadastro dos Padrões'!$A$2:$V$4400,AF$1,FALSE)="","-",VLOOKUP(ROUND(CONCATENATE($A10,AF$2),0),'Cadastro dos Padrões'!$A$2:$V$4400,AF$1,FALSE))</f>
        <v>50</v>
      </c>
      <c r="AG10" s="31">
        <f>IF(VLOOKUP(ROUND(CONCATENATE($A10,AG$2),0),'Cadastro dos Padrões'!$A$2:$V$4400,AG$1,FALSE)="","-",VLOOKUP(ROUND(CONCATENATE($A10,AG$2),0),'Cadastro dos Padrões'!$A$2:$V$4400,AG$1,FALSE))</f>
        <v>2</v>
      </c>
      <c r="AH10" s="31">
        <f>IF(VLOOKUP(ROUND(CONCATENATE($A10,AH$2),0),'Cadastro dos Padrões'!$A$2:$V$4400,AH$1,FALSE)="","-",VLOOKUP(ROUND(CONCATENATE($A10,AH$2),0),'Cadastro dos Padrões'!$A$2:$V$4400,AH$1,FALSE))</f>
        <v>2</v>
      </c>
      <c r="AI10" s="31">
        <f>IF(VLOOKUP(ROUND(CONCATENATE($A10,AI$2),0),'Cadastro dos Padrões'!$A$2:$V$4400,AI$1,FALSE)="","-",VLOOKUP(ROUND(CONCATENATE($A10,AI$2),0),'Cadastro dos Padrões'!$A$2:$V$4400,AI$1,FALSE))</f>
        <v>1000000</v>
      </c>
      <c r="AJ10" s="31">
        <f>IF(VLOOKUP(ROUND(CONCATENATE($A10,AJ$2),0),'Cadastro dos Padrões'!$A$2:$V$4400,AJ$1,FALSE)="","-",VLOOKUP(ROUND(CONCATENATE($A10,AJ$2),0),'Cadastro dos Padrões'!$A$2:$V$4400,AJ$1,FALSE))</f>
        <v>80</v>
      </c>
      <c r="AK10" s="31">
        <f>IF(VLOOKUP(ROUND(CONCATENATE($A10,AK$2),0),'Cadastro dos Padrões'!$A$2:$V$4400,AK$1,FALSE)="","-",VLOOKUP(ROUND(CONCATENATE($A10,AK$2),0),'Cadastro dos Padrões'!$A$2:$V$4400,AK$1,FALSE))</f>
        <v>2</v>
      </c>
      <c r="AL10" s="31">
        <f>IF(VLOOKUP(ROUND(CONCATENATE($A10,AL$2),0),'Cadastro dos Padrões'!$A$2:$V$4400,AL$1,FALSE)="","-",VLOOKUP(ROUND(CONCATENATE($A10,AL$2),0),'Cadastro dos Padrões'!$A$2:$V$4400,AL$1,FALSE))</f>
        <v>2</v>
      </c>
      <c r="AM10" s="31">
        <f>IF(VLOOKUP(ROUND(CONCATENATE($A10,AM$2),0),'Cadastro dos Padrões'!$A$2:$V$4400,AM$1,FALSE)="","-",VLOOKUP(ROUND(CONCATENATE($A10,AM$2),0),'Cadastro dos Padrões'!$A$2:$V$4400,AM$1,FALSE))</f>
        <v>1000000</v>
      </c>
      <c r="AN10" s="31" t="str">
        <f>IF(VLOOKUP(ROUND(CONCATENATE($A10,AN$2),0),'Cadastro dos Padrões'!$A$2:$V$4400,AN$1,FALSE)="","-",VLOOKUP(ROUND(CONCATENATE($A10,AN$2),0),'Cadastro dos Padrões'!$A$2:$V$4400,AN$1,FALSE))</f>
        <v>-</v>
      </c>
      <c r="AO10" s="31" t="str">
        <f>IF(VLOOKUP(ROUND(CONCATENATE($A10,AO$2),0),'Cadastro dos Padrões'!$A$2:$V$4400,AO$1,FALSE)="","-",VLOOKUP(ROUND(CONCATENATE($A10,AO$2),0),'Cadastro dos Padrões'!$A$2:$V$4400,AO$1,FALSE))</f>
        <v>-</v>
      </c>
      <c r="AP10" s="31" t="str">
        <f>IF(VLOOKUP(ROUND(CONCATENATE($A10,AP$2),0),'Cadastro dos Padrões'!$A$2:$V$4400,AP$1,FALSE)="","-",VLOOKUP(ROUND(CONCATENATE($A10,AP$2),0),'Cadastro dos Padrões'!$A$2:$V$4400,AP$1,FALSE))</f>
        <v>-</v>
      </c>
      <c r="AQ10" s="31" t="str">
        <f>IF(VLOOKUP(ROUND(CONCATENATE($A10,AQ$2),0),'Cadastro dos Padrões'!$A$2:$V$4400,AQ$1,FALSE)="","-",VLOOKUP(ROUND(CONCATENATE($A10,AQ$2),0),'Cadastro dos Padrões'!$A$2:$V$4400,AQ$1,FALSE))</f>
        <v>-</v>
      </c>
      <c r="AR10" s="31" t="str">
        <f>IF(VLOOKUP(ROUND(CONCATENATE($A10,AR$2),0),'Cadastro dos Padrões'!$A$2:$V$4400,AR$1,FALSE)="","-",VLOOKUP(ROUND(CONCATENATE($A10,AR$2),0),'Cadastro dos Padrões'!$A$2:$V$4400,AR$1,FALSE))</f>
        <v>-</v>
      </c>
      <c r="AS10" s="31" t="str">
        <f>IF(VLOOKUP(ROUND(CONCATENATE($A10,AS$2),0),'Cadastro dos Padrões'!$A$2:$V$4400,AS$1,FALSE)="","-",VLOOKUP(ROUND(CONCATENATE($A10,AS$2),0),'Cadastro dos Padrões'!$A$2:$V$4400,AS$1,FALSE))</f>
        <v>-</v>
      </c>
      <c r="AT10" s="31" t="str">
        <f>IF(VLOOKUP(ROUND(CONCATENATE($A10,AT$2),0),'Cadastro dos Padrões'!$A$2:$V$4400,AT$1,FALSE)="","-",VLOOKUP(ROUND(CONCATENATE($A10,AT$2),0),'Cadastro dos Padrões'!$A$2:$V$4400,AT$1,FALSE))</f>
        <v>-</v>
      </c>
      <c r="AU10" s="31" t="str">
        <f>IF(VLOOKUP(ROUND(CONCATENATE($A10,AU$2),0),'Cadastro dos Padrões'!$A$2:$V$4400,AU$1,FALSE)="","-",VLOOKUP(ROUND(CONCATENATE($A10,AU$2),0),'Cadastro dos Padrões'!$A$2:$V$4400,AU$1,FALSE))</f>
        <v>-</v>
      </c>
      <c r="AV10" s="31" t="str">
        <f>IF(VLOOKUP(ROUND(CONCATENATE($A10,AV$2),0),'Cadastro dos Padrões'!$A$2:$V$4400,AV$1,FALSE)="","-",VLOOKUP(ROUND(CONCATENATE($A10,AV$2),0),'Cadastro dos Padrões'!$A$2:$V$4400,AV$1,FALSE))</f>
        <v>-</v>
      </c>
      <c r="AW10" s="31" t="str">
        <f>IF(VLOOKUP(ROUND(CONCATENATE($A10,AW$2),0),'Cadastro dos Padrões'!$A$2:$V$4400,AW$1,FALSE)="","-",VLOOKUP(ROUND(CONCATENATE($A10,AW$2),0),'Cadastro dos Padrões'!$A$2:$V$4400,AW$1,FALSE))</f>
        <v>-</v>
      </c>
      <c r="AX10" s="31" t="str">
        <f>IF(VLOOKUP(ROUND(CONCATENATE($A10,AX$2),0),'Cadastro dos Padrões'!$A$2:$V$4400,AX$1,FALSE)="","-",VLOOKUP(ROUND(CONCATENATE($A10,AX$2),0),'Cadastro dos Padrões'!$A$2:$V$4400,AX$1,FALSE))</f>
        <v>-</v>
      </c>
      <c r="AY10" s="31" t="str">
        <f>IF(VLOOKUP(ROUND(CONCATENATE($A10,AY$2),0),'Cadastro dos Padrões'!$A$2:$V$4400,AY$1,FALSE)="","-",VLOOKUP(ROUND(CONCATENATE($A10,AY$2),0),'Cadastro dos Padrões'!$A$2:$V$4400,AY$1,FALSE))</f>
        <v>-</v>
      </c>
      <c r="AZ10" s="31" t="str">
        <f>IF(VLOOKUP(ROUND(CONCATENATE($A10,AZ$2),0),'Cadastro dos Padrões'!$A$2:$V$4400,AZ$1,FALSE)="","-",VLOOKUP(ROUND(CONCATENATE($A10,AZ$2),0),'Cadastro dos Padrões'!$A$2:$V$4400,AZ$1,FALSE))</f>
        <v>-</v>
      </c>
      <c r="BA10" s="31" t="str">
        <f>IF(VLOOKUP(ROUND(CONCATENATE($A10,BA$2),0),'Cadastro dos Padrões'!$A$2:$V$4400,BA$1,FALSE)="","-",VLOOKUP(ROUND(CONCATENATE($A10,BA$2),0),'Cadastro dos Padrões'!$A$2:$V$4400,BA$1,FALSE))</f>
        <v>-</v>
      </c>
      <c r="BB10" s="31" t="str">
        <f>IF(VLOOKUP(ROUND(CONCATENATE($A10,BB$2),0),'Cadastro dos Padrões'!$A$2:$V$4400,BB$1,FALSE)="","-",VLOOKUP(ROUND(CONCATENATE($A10,BB$2),0),'Cadastro dos Padrões'!$A$2:$V$4400,BB$1,FALSE))</f>
        <v>-</v>
      </c>
      <c r="BC10" s="31" t="str">
        <f>IF(VLOOKUP(ROUND(CONCATENATE($A10,BC$2),0),'Cadastro dos Padrões'!$A$2:$V$4400,BC$1,FALSE)="","-",VLOOKUP(ROUND(CONCATENATE($A10,BC$2),0),'Cadastro dos Padrões'!$A$2:$V$4400,BC$1,FALSE))</f>
        <v>-</v>
      </c>
      <c r="BD10" s="31" t="str">
        <f>IF(VLOOKUP(ROUND(CONCATENATE($A10,BD$2),0),'Cadastro dos Padrões'!$A$2:$V$4400,BD$1,FALSE)="","-",VLOOKUP(ROUND(CONCATENATE($A10,BD$2),0),'Cadastro dos Padrões'!$A$2:$V$4400,BD$1,FALSE))</f>
        <v>-</v>
      </c>
      <c r="BE10" s="31" t="str">
        <f>IF(VLOOKUP(ROUND(CONCATENATE($A10,BE$2),0),'Cadastro dos Padrões'!$A$2:$V$4400,BE$1,FALSE)="","-",VLOOKUP(ROUND(CONCATENATE($A10,BE$2),0),'Cadastro dos Padrões'!$A$2:$V$4400,BE$1,FALSE))</f>
        <v>-</v>
      </c>
      <c r="BF10" s="31" t="str">
        <f>IF(VLOOKUP(ROUND(CONCATENATE($A10,BF$2),0),'Cadastro dos Padrões'!$A$2:$V$4400,BF$1,FALSE)="","-",VLOOKUP(ROUND(CONCATENATE($A10,BF$2),0),'Cadastro dos Padrões'!$A$2:$V$4400,BF$1,FALSE))</f>
        <v>-</v>
      </c>
      <c r="BG10" s="31" t="str">
        <f>IF(VLOOKUP(ROUND(CONCATENATE($A10,BG$2),0),'Cadastro dos Padrões'!$A$2:$V$4400,BG$1,FALSE)="","-",VLOOKUP(ROUND(CONCATENATE($A10,BG$2),0),'Cadastro dos Padrões'!$A$2:$V$4400,BG$1,FALSE))</f>
        <v>-</v>
      </c>
      <c r="BH10" s="31" t="str">
        <f>IF(VLOOKUP(ROUND(CONCATENATE($A10,BH$2),0),'Cadastro dos Padrões'!$A$2:$V$4400,BH$1,FALSE)="","-",VLOOKUP(ROUND(CONCATENATE($A10,BH$2),0),'Cadastro dos Padrões'!$A$2:$V$4400,BH$1,FALSE))</f>
        <v>-</v>
      </c>
      <c r="BI10" s="31" t="str">
        <f>IF(VLOOKUP(ROUND(CONCATENATE($A10,BI$2),0),'Cadastro dos Padrões'!$A$2:$V$4400,BI$1,FALSE)="","-",VLOOKUP(ROUND(CONCATENATE($A10,BI$2),0),'Cadastro dos Padrões'!$A$2:$V$4400,BI$1,FALSE))</f>
        <v>-</v>
      </c>
      <c r="BJ10" s="31" t="str">
        <f>IF(VLOOKUP(ROUND(CONCATENATE($A10,BJ$2),0),'Cadastro dos Padrões'!$A$2:$V$4400,BJ$1,FALSE)="","-",VLOOKUP(ROUND(CONCATENATE($A10,BJ$2),0),'Cadastro dos Padrões'!$A$2:$V$4400,BJ$1,FALSE))</f>
        <v>-</v>
      </c>
      <c r="BK10" s="31" t="str">
        <f>IF(VLOOKUP(ROUND(CONCATENATE($A10,BK$2),0),'Cadastro dos Padrões'!$A$2:$V$4400,BK$1,FALSE)="","-",VLOOKUP(ROUND(CONCATENATE($A10,BK$2),0),'Cadastro dos Padrões'!$A$2:$V$4400,BK$1,FALSE))</f>
        <v>-</v>
      </c>
      <c r="BL10" s="31" t="str">
        <f>IF(VLOOKUP(ROUND(CONCATENATE($A10,BL$2),0),'Cadastro dos Padrões'!$A$2:$V$4400,BL$1,FALSE)="","-",VLOOKUP(ROUND(CONCATENATE($A10,BL$2),0),'Cadastro dos Padrões'!$A$2:$V$4400,BL$1,FALSE))</f>
        <v>-</v>
      </c>
      <c r="BM10" s="31" t="str">
        <f>IF(VLOOKUP(ROUND(CONCATENATE($A10,BM$2),0),'Cadastro dos Padrões'!$A$2:$V$4400,BM$1,FALSE)="","-",VLOOKUP(ROUND(CONCATENATE($A10,BM$2),0),'Cadastro dos Padrões'!$A$2:$V$4400,BM$1,FALSE))</f>
        <v>-</v>
      </c>
      <c r="BN10" s="31" t="str">
        <f>IF(VLOOKUP(ROUND(CONCATENATE($A10,BN$2),0),'Cadastro dos Padrões'!$A$2:$V$4400,BN$1,FALSE)="","-",VLOOKUP(ROUND(CONCATENATE($A10,BN$2),0),'Cadastro dos Padrões'!$A$2:$V$4400,BN$1,FALSE))</f>
        <v>-</v>
      </c>
      <c r="BO10" s="31" t="str">
        <f>IF(VLOOKUP(ROUND(CONCATENATE($A10,BO$2),0),'Cadastro dos Padrões'!$A$2:$V$4400,BO$1,FALSE)="","-",VLOOKUP(ROUND(CONCATENATE($A10,BO$2),0),'Cadastro dos Padrões'!$A$2:$V$4400,BO$1,FALSE))</f>
        <v>-</v>
      </c>
    </row>
    <row r="11" spans="1:67" x14ac:dyDescent="0.3">
      <c r="A11" s="6">
        <f t="shared" si="52"/>
        <v>6</v>
      </c>
      <c r="B11" s="31" t="str">
        <f>IF(VLOOKUP(ROUND(CONCATENATE($A11,B$2),0),'Cadastro dos Padrões'!$A$2:$V$4400,B$1,FALSE)="","-",VLOOKUP(ROUND(CONCATENATE($A11,B$2),0),'Cadastro dos Padrões'!$A$2:$V$4400,B$1,FALSE))</f>
        <v>E.TH.PMR-006</v>
      </c>
      <c r="C11" s="31" t="str">
        <f>IF($B11="-","-",VLOOKUP(ROUND(CONCATENATE($A11,C$2),0),'Cadastro dos Padrões'!$A$2:$V$4400,C$1,FALSE))</f>
        <v>Termohigrômetro Digital</v>
      </c>
      <c r="D11" s="31">
        <f>IF($B11="-","-",VLOOKUP(ROUND(CONCATENATE($A11,D$2),0),'Cadastro dos Padrões'!$A$2:$V$4400,D$1,FALSE))</f>
        <v>20</v>
      </c>
      <c r="E11" s="31" t="str">
        <f>IF($B11="-","-",VLOOKUP(ROUND(CONCATENATE($A11,E$2),0),'Cadastro dos Padrões'!$A$2:$V$4400,E$1,FALSE))</f>
        <v>Elus</v>
      </c>
      <c r="F11" s="31" t="str">
        <f>IF($B11="-","-",VLOOKUP(ROUND(CONCATENATE($A11,F$2),0),'Cadastro dos Padrões'!$A$2:$V$4400,F$1,FALSE))</f>
        <v>RBC - CAL 0439</v>
      </c>
      <c r="G11" s="31" t="str">
        <f>IF($B11="-","-",VLOOKUP(ROUND(CONCATENATE($A11,G$2),0),'Cadastro dos Padrões'!$A$2:$V$4400,G$1,FALSE))</f>
        <v>E0208/25</v>
      </c>
      <c r="H11" s="32">
        <f>IF($B11="-","-",VLOOKUP(ROUND(CONCATENATE($A11,H$2),0),'Cadastro dos Padrões'!$A$2:$V$4400,H$1,FALSE))</f>
        <v>45761</v>
      </c>
      <c r="I11" s="33">
        <f>IF($B11="-","-",VLOOKUP(ROUND(CONCATENATE($A11,I$2),0),'Cadastro dos Padrões'!$A$2:$V$4400,I$1,FALSE))</f>
        <v>46142</v>
      </c>
      <c r="J11" s="31" t="str">
        <f>IF($B11="-","-",VLOOKUP(ROUND(CONCATENATE($A11,J$2),0),'Cadastro dos Padrões'!$A$2:$V$4400,J$1,FALSE))</f>
        <v>%ur</v>
      </c>
      <c r="K11" s="31">
        <f>IF($B11="-","-",VLOOKUP(ROUND(CONCATENATE($A11,K$2),0),'Cadastro dos Padrões'!$A$2:$V$4400,K$1,FALSE))</f>
        <v>20</v>
      </c>
      <c r="L11" s="31">
        <f>IF($B11="-","-",VLOOKUP(ROUND(CONCATENATE($A11,L$2),0),'Cadastro dos Padrões'!$A$2:$V$4400,L$1,FALSE))</f>
        <v>80</v>
      </c>
      <c r="M11" s="31">
        <f>IF($B11="-","-",VLOOKUP(ROUND(CONCATENATE($A11,M$2),0),'Cadastro dos Padrões'!$A$2:$V$4400,M$1,FALSE))</f>
        <v>0.1</v>
      </c>
      <c r="N11" s="31">
        <f>IF($B11="-","-",VLOOKUP(ROUND(CONCATENATE($A11,N$2),0),'Cadastro dos Padrões'!$A$2:$V$4400,N$1,FALSE))</f>
        <v>1.2999999999999972</v>
      </c>
      <c r="O11" s="31">
        <f>IF($B11="-","-",VLOOKUP(ROUND(CONCATENATE($A11,O$2),0),'Cadastro dos Padrões'!$A$2:$V$4400,O$1,FALSE))</f>
        <v>1.1000000000000001</v>
      </c>
      <c r="P11" s="31">
        <f>IF($B11="-","-",VLOOKUP(ROUND(CONCATENATE($A11,P$2),0),'Cadastro dos Padrões'!$A$2:$V$4400,P$1,FALSE))</f>
        <v>1.2999999999999972</v>
      </c>
      <c r="Q11" s="31">
        <f>IF($B11="-","-",VLOOKUP(ROUND(CONCATENATE($A11,Q$2),0),'Cadastro dos Padrões'!$A$2:$V$4400,Q$1,FALSE))</f>
        <v>0.11987667038827254</v>
      </c>
      <c r="R11" s="31">
        <f>IF($B11="-","-",VLOOKUP(ROUND(CONCATENATE($A11,R$2),0),'Cadastro dos Padrões'!$A$2:$V$4400,R$1,FALSE))</f>
        <v>1</v>
      </c>
      <c r="S11" s="31">
        <f>IF($B11="-","-",VLOOKUP(ROUND(CONCATENATE($A11,S$2),0),'Cadastro dos Padrões'!$A$2:$V$4400,S$1,FALSE))</f>
        <v>0</v>
      </c>
      <c r="T11" s="31">
        <f>IF($B11="-","-",VLOOKUP(ROUND(CONCATENATE($A11,T$2),0),'Cadastro dos Padrões'!$A$2:$V$4400,T$1,FALSE))</f>
        <v>0</v>
      </c>
      <c r="U11" s="31">
        <f>IF($B11="-","-",VLOOKUP(ROUND(CONCATENATE($A11,U$2),0),'Cadastro dos Padrões'!$A$2:$V$4400,U$1,FALSE))</f>
        <v>0</v>
      </c>
      <c r="V11" s="31">
        <f>IF($B11="-","-",VLOOKUP(ROUND(CONCATENATE($A11,V$2),0),'Cadastro dos Padrões'!$A$2:$V$4400,V$1,FALSE))</f>
        <v>0</v>
      </c>
      <c r="W11" s="31">
        <f>IF($B11="-","-",VLOOKUP(ROUND(CONCATENATE($A11,W$2),0),'Cadastro dos Padrões'!$A$2:$V$4400,W$1,FALSE))</f>
        <v>0</v>
      </c>
      <c r="X11" s="31">
        <f>IF($B11="-","-",VLOOKUP(ROUND(CONCATENATE($A11,X$2),0),'Cadastro dos Padrões'!$A$2:$V$4400,X$1,FALSE))</f>
        <v>0</v>
      </c>
      <c r="Y11" s="31">
        <f>IF($B11="-","-",VLOOKUP(ROUND(CONCATENATE($A11,Y$2),0),'Cadastro dos Padrões'!$A$2:$V$4400,Y$1,FALSE))</f>
        <v>0</v>
      </c>
      <c r="Z11" s="31">
        <f>IF($B11="-","-",VLOOKUP(ROUND(CONCATENATE($A11,Z$2),0),'Cadastro dos Padrões'!$A$2:$V$4400,Z$1,FALSE))</f>
        <v>0.9787850079303404</v>
      </c>
      <c r="AA11" s="31">
        <f>IF($B11="-","-",VLOOKUP(ROUND(CONCATENATE($A11,AA$2),0),'Cadastro dos Padrões'!$A$2:$V$4400,AA$1,FALSE))</f>
        <v>0.47347859872477471</v>
      </c>
      <c r="AB11" s="31">
        <f>IF(VLOOKUP(ROUND(CONCATENATE($A11,AB$2),0),'Cadastro dos Padrões'!$A$2:$V$4400,AB$1,FALSE)="","-",VLOOKUP(ROUND(CONCATENATE($A11,AB$2),0),'Cadastro dos Padrões'!$A$2:$V$4400,AB$1,FALSE))</f>
        <v>20</v>
      </c>
      <c r="AC11" s="31">
        <f>IF(VLOOKUP(ROUND(CONCATENATE($A11,AC$2),0),'Cadastro dos Padrões'!$A$2:$V$4400,AC$1,FALSE)="","-",VLOOKUP(ROUND(CONCATENATE($A11,AC$2),0),'Cadastro dos Padrões'!$A$2:$V$4400,AC$1,FALSE))</f>
        <v>0.7</v>
      </c>
      <c r="AD11" s="31">
        <f>IF(VLOOKUP(ROUND(CONCATENATE($A11,AD$2),0),'Cadastro dos Padrões'!$A$2:$V$4400,AD$1,FALSE)="","-",VLOOKUP(ROUND(CONCATENATE($A11,AD$2),0),'Cadastro dos Padrões'!$A$2:$V$4400,AD$1,FALSE))</f>
        <v>2</v>
      </c>
      <c r="AE11" s="31">
        <f>IF(VLOOKUP(ROUND(CONCATENATE($A11,AE$2),0),'Cadastro dos Padrões'!$A$2:$V$4400,AE$1,FALSE)="","-",VLOOKUP(ROUND(CONCATENATE($A11,AE$2),0),'Cadastro dos Padrões'!$A$2:$V$4400,AE$1,FALSE))</f>
        <v>1000000</v>
      </c>
      <c r="AF11" s="31">
        <f>IF(VLOOKUP(ROUND(CONCATENATE($A11,AF$2),0),'Cadastro dos Padrões'!$A$2:$V$4400,AF$1,FALSE)="","-",VLOOKUP(ROUND(CONCATENATE($A11,AF$2),0),'Cadastro dos Padrões'!$A$2:$V$4400,AF$1,FALSE))</f>
        <v>50</v>
      </c>
      <c r="AG11" s="31">
        <f>IF(VLOOKUP(ROUND(CONCATENATE($A11,AG$2),0),'Cadastro dos Padrões'!$A$2:$V$4400,AG$1,FALSE)="","-",VLOOKUP(ROUND(CONCATENATE($A11,AG$2),0),'Cadastro dos Padrões'!$A$2:$V$4400,AG$1,FALSE))</f>
        <v>1.1000000000000001</v>
      </c>
      <c r="AH11" s="31">
        <f>IF(VLOOKUP(ROUND(CONCATENATE($A11,AH$2),0),'Cadastro dos Padrões'!$A$2:$V$4400,AH$1,FALSE)="","-",VLOOKUP(ROUND(CONCATENATE($A11,AH$2),0),'Cadastro dos Padrões'!$A$2:$V$4400,AH$1,FALSE))</f>
        <v>2</v>
      </c>
      <c r="AI11" s="31">
        <f>IF(VLOOKUP(ROUND(CONCATENATE($A11,AI$2),0),'Cadastro dos Padrões'!$A$2:$V$4400,AI$1,FALSE)="","-",VLOOKUP(ROUND(CONCATENATE($A11,AI$2),0),'Cadastro dos Padrões'!$A$2:$V$4400,AI$1,FALSE))</f>
        <v>1000000</v>
      </c>
      <c r="AJ11" s="31">
        <f>IF(VLOOKUP(ROUND(CONCATENATE($A11,AJ$2),0),'Cadastro dos Padrões'!$A$2:$V$4400,AJ$1,FALSE)="","-",VLOOKUP(ROUND(CONCATENATE($A11,AJ$2),0),'Cadastro dos Padrões'!$A$2:$V$4400,AJ$1,FALSE))</f>
        <v>80</v>
      </c>
      <c r="AK11" s="31">
        <f>IF(VLOOKUP(ROUND(CONCATENATE($A11,AK$2),0),'Cadastro dos Padrões'!$A$2:$V$4400,AK$1,FALSE)="","-",VLOOKUP(ROUND(CONCATENATE($A11,AK$2),0),'Cadastro dos Padrões'!$A$2:$V$4400,AK$1,FALSE))</f>
        <v>1.1000000000000001</v>
      </c>
      <c r="AL11" s="31">
        <f>IF(VLOOKUP(ROUND(CONCATENATE($A11,AL$2),0),'Cadastro dos Padrões'!$A$2:$V$4400,AL$1,FALSE)="","-",VLOOKUP(ROUND(CONCATENATE($A11,AL$2),0),'Cadastro dos Padrões'!$A$2:$V$4400,AL$1,FALSE))</f>
        <v>2</v>
      </c>
      <c r="AM11" s="31">
        <f>IF(VLOOKUP(ROUND(CONCATENATE($A11,AM$2),0),'Cadastro dos Padrões'!$A$2:$V$4400,AM$1,FALSE)="","-",VLOOKUP(ROUND(CONCATENATE($A11,AM$2),0),'Cadastro dos Padrões'!$A$2:$V$4400,AM$1,FALSE))</f>
        <v>1000000</v>
      </c>
      <c r="AN11" s="31" t="str">
        <f>IF(VLOOKUP(ROUND(CONCATENATE($A11,AN$2),0),'Cadastro dos Padrões'!$A$2:$V$4400,AN$1,FALSE)="","-",VLOOKUP(ROUND(CONCATENATE($A11,AN$2),0),'Cadastro dos Padrões'!$A$2:$V$4400,AN$1,FALSE))</f>
        <v>-</v>
      </c>
      <c r="AO11" s="31" t="str">
        <f>IF(VLOOKUP(ROUND(CONCATENATE($A11,AO$2),0),'Cadastro dos Padrões'!$A$2:$V$4400,AO$1,FALSE)="","-",VLOOKUP(ROUND(CONCATENATE($A11,AO$2),0),'Cadastro dos Padrões'!$A$2:$V$4400,AO$1,FALSE))</f>
        <v>-</v>
      </c>
      <c r="AP11" s="31" t="str">
        <f>IF(VLOOKUP(ROUND(CONCATENATE($A11,AP$2),0),'Cadastro dos Padrões'!$A$2:$V$4400,AP$1,FALSE)="","-",VLOOKUP(ROUND(CONCATENATE($A11,AP$2),0),'Cadastro dos Padrões'!$A$2:$V$4400,AP$1,FALSE))</f>
        <v>-</v>
      </c>
      <c r="AQ11" s="31" t="str">
        <f>IF(VLOOKUP(ROUND(CONCATENATE($A11,AQ$2),0),'Cadastro dos Padrões'!$A$2:$V$4400,AQ$1,FALSE)="","-",VLOOKUP(ROUND(CONCATENATE($A11,AQ$2),0),'Cadastro dos Padrões'!$A$2:$V$4400,AQ$1,FALSE))</f>
        <v>-</v>
      </c>
      <c r="AR11" s="31" t="str">
        <f>IF(VLOOKUP(ROUND(CONCATENATE($A11,AR$2),0),'Cadastro dos Padrões'!$A$2:$V$4400,AR$1,FALSE)="","-",VLOOKUP(ROUND(CONCATENATE($A11,AR$2),0),'Cadastro dos Padrões'!$A$2:$V$4400,AR$1,FALSE))</f>
        <v>-</v>
      </c>
      <c r="AS11" s="31" t="str">
        <f>IF(VLOOKUP(ROUND(CONCATENATE($A11,AS$2),0),'Cadastro dos Padrões'!$A$2:$V$4400,AS$1,FALSE)="","-",VLOOKUP(ROUND(CONCATENATE($A11,AS$2),0),'Cadastro dos Padrões'!$A$2:$V$4400,AS$1,FALSE))</f>
        <v>-</v>
      </c>
      <c r="AT11" s="31" t="str">
        <f>IF(VLOOKUP(ROUND(CONCATENATE($A11,AT$2),0),'Cadastro dos Padrões'!$A$2:$V$4400,AT$1,FALSE)="","-",VLOOKUP(ROUND(CONCATENATE($A11,AT$2),0),'Cadastro dos Padrões'!$A$2:$V$4400,AT$1,FALSE))</f>
        <v>-</v>
      </c>
      <c r="AU11" s="31" t="str">
        <f>IF(VLOOKUP(ROUND(CONCATENATE($A11,AU$2),0),'Cadastro dos Padrões'!$A$2:$V$4400,AU$1,FALSE)="","-",VLOOKUP(ROUND(CONCATENATE($A11,AU$2),0),'Cadastro dos Padrões'!$A$2:$V$4400,AU$1,FALSE))</f>
        <v>-</v>
      </c>
      <c r="AV11" s="31" t="str">
        <f>IF(VLOOKUP(ROUND(CONCATENATE($A11,AV$2),0),'Cadastro dos Padrões'!$A$2:$V$4400,AV$1,FALSE)="","-",VLOOKUP(ROUND(CONCATENATE($A11,AV$2),0),'Cadastro dos Padrões'!$A$2:$V$4400,AV$1,FALSE))</f>
        <v>-</v>
      </c>
      <c r="AW11" s="31" t="str">
        <f>IF(VLOOKUP(ROUND(CONCATENATE($A11,AW$2),0),'Cadastro dos Padrões'!$A$2:$V$4400,AW$1,FALSE)="","-",VLOOKUP(ROUND(CONCATENATE($A11,AW$2),0),'Cadastro dos Padrões'!$A$2:$V$4400,AW$1,FALSE))</f>
        <v>-</v>
      </c>
      <c r="AX11" s="31" t="str">
        <f>IF(VLOOKUP(ROUND(CONCATENATE($A11,AX$2),0),'Cadastro dos Padrões'!$A$2:$V$4400,AX$1,FALSE)="","-",VLOOKUP(ROUND(CONCATENATE($A11,AX$2),0),'Cadastro dos Padrões'!$A$2:$V$4400,AX$1,FALSE))</f>
        <v>-</v>
      </c>
      <c r="AY11" s="31" t="str">
        <f>IF(VLOOKUP(ROUND(CONCATENATE($A11,AY$2),0),'Cadastro dos Padrões'!$A$2:$V$4400,AY$1,FALSE)="","-",VLOOKUP(ROUND(CONCATENATE($A11,AY$2),0),'Cadastro dos Padrões'!$A$2:$V$4400,AY$1,FALSE))</f>
        <v>-</v>
      </c>
      <c r="AZ11" s="31" t="str">
        <f>IF(VLOOKUP(ROUND(CONCATENATE($A11,AZ$2),0),'Cadastro dos Padrões'!$A$2:$V$4400,AZ$1,FALSE)="","-",VLOOKUP(ROUND(CONCATENATE($A11,AZ$2),0),'Cadastro dos Padrões'!$A$2:$V$4400,AZ$1,FALSE))</f>
        <v>-</v>
      </c>
      <c r="BA11" s="31" t="str">
        <f>IF(VLOOKUP(ROUND(CONCATENATE($A11,BA$2),0),'Cadastro dos Padrões'!$A$2:$V$4400,BA$1,FALSE)="","-",VLOOKUP(ROUND(CONCATENATE($A11,BA$2),0),'Cadastro dos Padrões'!$A$2:$V$4400,BA$1,FALSE))</f>
        <v>-</v>
      </c>
      <c r="BB11" s="31" t="str">
        <f>IF(VLOOKUP(ROUND(CONCATENATE($A11,BB$2),0),'Cadastro dos Padrões'!$A$2:$V$4400,BB$1,FALSE)="","-",VLOOKUP(ROUND(CONCATENATE($A11,BB$2),0),'Cadastro dos Padrões'!$A$2:$V$4400,BB$1,FALSE))</f>
        <v>-</v>
      </c>
      <c r="BC11" s="31" t="str">
        <f>IF(VLOOKUP(ROUND(CONCATENATE($A11,BC$2),0),'Cadastro dos Padrões'!$A$2:$V$4400,BC$1,FALSE)="","-",VLOOKUP(ROUND(CONCATENATE($A11,BC$2),0),'Cadastro dos Padrões'!$A$2:$V$4400,BC$1,FALSE))</f>
        <v>-</v>
      </c>
      <c r="BD11" s="31" t="str">
        <f>IF(VLOOKUP(ROUND(CONCATENATE($A11,BD$2),0),'Cadastro dos Padrões'!$A$2:$V$4400,BD$1,FALSE)="","-",VLOOKUP(ROUND(CONCATENATE($A11,BD$2),0),'Cadastro dos Padrões'!$A$2:$V$4400,BD$1,FALSE))</f>
        <v>-</v>
      </c>
      <c r="BE11" s="31" t="str">
        <f>IF(VLOOKUP(ROUND(CONCATENATE($A11,BE$2),0),'Cadastro dos Padrões'!$A$2:$V$4400,BE$1,FALSE)="","-",VLOOKUP(ROUND(CONCATENATE($A11,BE$2),0),'Cadastro dos Padrões'!$A$2:$V$4400,BE$1,FALSE))</f>
        <v>-</v>
      </c>
      <c r="BF11" s="31" t="str">
        <f>IF(VLOOKUP(ROUND(CONCATENATE($A11,BF$2),0),'Cadastro dos Padrões'!$A$2:$V$4400,BF$1,FALSE)="","-",VLOOKUP(ROUND(CONCATENATE($A11,BF$2),0),'Cadastro dos Padrões'!$A$2:$V$4400,BF$1,FALSE))</f>
        <v>-</v>
      </c>
      <c r="BG11" s="31" t="str">
        <f>IF(VLOOKUP(ROUND(CONCATENATE($A11,BG$2),0),'Cadastro dos Padrões'!$A$2:$V$4400,BG$1,FALSE)="","-",VLOOKUP(ROUND(CONCATENATE($A11,BG$2),0),'Cadastro dos Padrões'!$A$2:$V$4400,BG$1,FALSE))</f>
        <v>-</v>
      </c>
      <c r="BH11" s="31" t="str">
        <f>IF(VLOOKUP(ROUND(CONCATENATE($A11,BH$2),0),'Cadastro dos Padrões'!$A$2:$V$4400,BH$1,FALSE)="","-",VLOOKUP(ROUND(CONCATENATE($A11,BH$2),0),'Cadastro dos Padrões'!$A$2:$V$4400,BH$1,FALSE))</f>
        <v>-</v>
      </c>
      <c r="BI11" s="31" t="str">
        <f>IF(VLOOKUP(ROUND(CONCATENATE($A11,BI$2),0),'Cadastro dos Padrões'!$A$2:$V$4400,BI$1,FALSE)="","-",VLOOKUP(ROUND(CONCATENATE($A11,BI$2),0),'Cadastro dos Padrões'!$A$2:$V$4400,BI$1,FALSE))</f>
        <v>-</v>
      </c>
      <c r="BJ11" s="31" t="str">
        <f>IF(VLOOKUP(ROUND(CONCATENATE($A11,BJ$2),0),'Cadastro dos Padrões'!$A$2:$V$4400,BJ$1,FALSE)="","-",VLOOKUP(ROUND(CONCATENATE($A11,BJ$2),0),'Cadastro dos Padrões'!$A$2:$V$4400,BJ$1,FALSE))</f>
        <v>-</v>
      </c>
      <c r="BK11" s="31" t="str">
        <f>IF(VLOOKUP(ROUND(CONCATENATE($A11,BK$2),0),'Cadastro dos Padrões'!$A$2:$V$4400,BK$1,FALSE)="","-",VLOOKUP(ROUND(CONCATENATE($A11,BK$2),0),'Cadastro dos Padrões'!$A$2:$V$4400,BK$1,FALSE))</f>
        <v>-</v>
      </c>
      <c r="BL11" s="31" t="str">
        <f>IF(VLOOKUP(ROUND(CONCATENATE($A11,BL$2),0),'Cadastro dos Padrões'!$A$2:$V$4400,BL$1,FALSE)="","-",VLOOKUP(ROUND(CONCATENATE($A11,BL$2),0),'Cadastro dos Padrões'!$A$2:$V$4400,BL$1,FALSE))</f>
        <v>-</v>
      </c>
      <c r="BM11" s="31" t="str">
        <f>IF(VLOOKUP(ROUND(CONCATENATE($A11,BM$2),0),'Cadastro dos Padrões'!$A$2:$V$4400,BM$1,FALSE)="","-",VLOOKUP(ROUND(CONCATENATE($A11,BM$2),0),'Cadastro dos Padrões'!$A$2:$V$4400,BM$1,FALSE))</f>
        <v>-</v>
      </c>
      <c r="BN11" s="31" t="str">
        <f>IF(VLOOKUP(ROUND(CONCATENATE($A11,BN$2),0),'Cadastro dos Padrões'!$A$2:$V$4400,BN$1,FALSE)="","-",VLOOKUP(ROUND(CONCATENATE($A11,BN$2),0),'Cadastro dos Padrões'!$A$2:$V$4400,BN$1,FALSE))</f>
        <v>-</v>
      </c>
      <c r="BO11" s="31" t="str">
        <f>IF(VLOOKUP(ROUND(CONCATENATE($A11,BO$2),0),'Cadastro dos Padrões'!$A$2:$V$4400,BO$1,FALSE)="","-",VLOOKUP(ROUND(CONCATENATE($A11,BO$2),0),'Cadastro dos Padrões'!$A$2:$V$4400,BO$1,FALSE))</f>
        <v>-</v>
      </c>
    </row>
    <row r="12" spans="1:67" x14ac:dyDescent="0.3">
      <c r="A12" s="6">
        <f t="shared" si="52"/>
        <v>7</v>
      </c>
      <c r="B12" s="31" t="str">
        <f>IF(VLOOKUP(ROUND(CONCATENATE($A12,B$2),0),'Cadastro dos Padrões'!$A$2:$V$4400,B$1,FALSE)="","-",VLOOKUP(ROUND(CONCATENATE($A12,B$2),0),'Cadastro dos Padrões'!$A$2:$V$4400,B$1,FALSE))</f>
        <v>E.TH.PMR-007</v>
      </c>
      <c r="C12" s="31" t="str">
        <f>IF($B12="-","-",VLOOKUP(ROUND(CONCATENATE($A12,C$2),0),'Cadastro dos Padrões'!$A$2:$V$4400,C$1,FALSE))</f>
        <v>Termohigrômetro Digital</v>
      </c>
      <c r="D12" s="31">
        <f>IF($B12="-","-",VLOOKUP(ROUND(CONCATENATE($A12,D$2),0),'Cadastro dos Padrões'!$A$2:$V$4400,D$1,FALSE))</f>
        <v>20</v>
      </c>
      <c r="E12" s="31" t="str">
        <f>IF($B12="-","-",VLOOKUP(ROUND(CONCATENATE($A12,E$2),0),'Cadastro dos Padrões'!$A$2:$V$4400,E$1,FALSE))</f>
        <v>Elus</v>
      </c>
      <c r="F12" s="31" t="str">
        <f>IF($B12="-","-",VLOOKUP(ROUND(CONCATENATE($A12,F$2),0),'Cadastro dos Padrões'!$A$2:$V$4400,F$1,FALSE))</f>
        <v>RBC - CAL 0439</v>
      </c>
      <c r="G12" s="31" t="str">
        <f>IF($B12="-","-",VLOOKUP(ROUND(CONCATENATE($A12,G$2),0),'Cadastro dos Padrões'!$A$2:$V$4400,G$1,FALSE))</f>
        <v>E0209/25</v>
      </c>
      <c r="H12" s="32">
        <f>IF($B12="-","-",VLOOKUP(ROUND(CONCATENATE($A12,H$2),0),'Cadastro dos Padrões'!$A$2:$V$4400,H$1,FALSE))</f>
        <v>45761</v>
      </c>
      <c r="I12" s="33">
        <f>IF($B12="-","-",VLOOKUP(ROUND(CONCATENATE($A12,I$2),0),'Cadastro dos Padrões'!$A$2:$V$4400,I$1,FALSE))</f>
        <v>46142</v>
      </c>
      <c r="J12" s="31" t="str">
        <f>IF($B12="-","-",VLOOKUP(ROUND(CONCATENATE($A12,J$2),0),'Cadastro dos Padrões'!$A$2:$V$4400,J$1,FALSE))</f>
        <v>%ur</v>
      </c>
      <c r="K12" s="31">
        <f>IF($B12="-","-",VLOOKUP(ROUND(CONCATENATE($A12,K$2),0),'Cadastro dos Padrões'!$A$2:$V$4400,K$1,FALSE))</f>
        <v>20</v>
      </c>
      <c r="L12" s="31">
        <f>IF($B12="-","-",VLOOKUP(ROUND(CONCATENATE($A12,L$2),0),'Cadastro dos Padrões'!$A$2:$V$4400,L$1,FALSE))</f>
        <v>80</v>
      </c>
      <c r="M12" s="31">
        <f>IF($B12="-","-",VLOOKUP(ROUND(CONCATENATE($A12,M$2),0),'Cadastro dos Padrões'!$A$2:$V$4400,M$1,FALSE))</f>
        <v>0.1</v>
      </c>
      <c r="N12" s="31">
        <f>IF($B12="-","-",VLOOKUP(ROUND(CONCATENATE($A12,N$2),0),'Cadastro dos Padrões'!$A$2:$V$4400,N$1,FALSE))</f>
        <v>0.90000000000000568</v>
      </c>
      <c r="O12" s="31">
        <f>IF($B12="-","-",VLOOKUP(ROUND(CONCATENATE($A12,O$2),0),'Cadastro dos Padrões'!$A$2:$V$4400,O$1,FALSE))</f>
        <v>1.1000000000000001</v>
      </c>
      <c r="P12" s="31">
        <f>IF($B12="-","-",VLOOKUP(ROUND(CONCATENATE($A12,P$2),0),'Cadastro dos Padrões'!$A$2:$V$4400,P$1,FALSE))</f>
        <v>0.90000000000000568</v>
      </c>
      <c r="Q12" s="31">
        <f>IF($B12="-","-",VLOOKUP(ROUND(CONCATENATE($A12,Q$2),0),'Cadastro dos Padrões'!$A$2:$V$4400,Q$1,FALSE))</f>
        <v>0.12350316122964955</v>
      </c>
      <c r="R12" s="31">
        <f>IF($B12="-","-",VLOOKUP(ROUND(CONCATENATE($A12,R$2),0),'Cadastro dos Padrões'!$A$2:$V$4400,R$1,FALSE))</f>
        <v>1</v>
      </c>
      <c r="S12" s="31">
        <f>IF($B12="-","-",VLOOKUP(ROUND(CONCATENATE($A12,S$2),0),'Cadastro dos Padrões'!$A$2:$V$4400,S$1,FALSE))</f>
        <v>0</v>
      </c>
      <c r="T12" s="31">
        <f>IF($B12="-","-",VLOOKUP(ROUND(CONCATENATE($A12,T$2),0),'Cadastro dos Padrões'!$A$2:$V$4400,T$1,FALSE))</f>
        <v>0</v>
      </c>
      <c r="U12" s="31">
        <f>IF($B12="-","-",VLOOKUP(ROUND(CONCATENATE($A12,U$2),0),'Cadastro dos Padrões'!$A$2:$V$4400,U$1,FALSE))</f>
        <v>0</v>
      </c>
      <c r="V12" s="31">
        <f>IF($B12="-","-",VLOOKUP(ROUND(CONCATENATE($A12,V$2),0),'Cadastro dos Padrões'!$A$2:$V$4400,V$1,FALSE))</f>
        <v>0</v>
      </c>
      <c r="W12" s="31">
        <f>IF($B12="-","-",VLOOKUP(ROUND(CONCATENATE($A12,W$2),0),'Cadastro dos Padrões'!$A$2:$V$4400,W$1,FALSE))</f>
        <v>0</v>
      </c>
      <c r="X12" s="31">
        <f>IF($B12="-","-",VLOOKUP(ROUND(CONCATENATE($A12,X$2),0),'Cadastro dos Padrões'!$A$2:$V$4400,X$1,FALSE))</f>
        <v>0</v>
      </c>
      <c r="Y12" s="31">
        <f>IF($B12="-","-",VLOOKUP(ROUND(CONCATENATE($A12,Y$2),0),'Cadastro dos Padrões'!$A$2:$V$4400,Y$1,FALSE))</f>
        <v>0</v>
      </c>
      <c r="Z12" s="31">
        <f>IF($B12="-","-",VLOOKUP(ROUND(CONCATENATE($A12,Z$2),0),'Cadastro dos Padrões'!$A$2:$V$4400,Z$1,FALSE))</f>
        <v>1.0083948162292247</v>
      </c>
      <c r="AA12" s="31">
        <f>IF($B12="-","-",VLOOKUP(ROUND(CONCATENATE($A12,AA$2),0),'Cadastro dos Padrões'!$A$2:$V$4400,AA$1,FALSE))</f>
        <v>0.2861355598992219</v>
      </c>
      <c r="AB12" s="31">
        <f>IF(VLOOKUP(ROUND(CONCATENATE($A12,AB$2),0),'Cadastro dos Padrões'!$A$2:$V$4400,AB$1,FALSE)="","-",VLOOKUP(ROUND(CONCATENATE($A12,AB$2),0),'Cadastro dos Padrões'!$A$2:$V$4400,AB$1,FALSE))</f>
        <v>20</v>
      </c>
      <c r="AC12" s="31">
        <f>IF(VLOOKUP(ROUND(CONCATENATE($A12,AC$2),0),'Cadastro dos Padrões'!$A$2:$V$4400,AC$1,FALSE)="","-",VLOOKUP(ROUND(CONCATENATE($A12,AC$2),0),'Cadastro dos Padrões'!$A$2:$V$4400,AC$1,FALSE))</f>
        <v>0.7</v>
      </c>
      <c r="AD12" s="31">
        <f>IF(VLOOKUP(ROUND(CONCATENATE($A12,AD$2),0),'Cadastro dos Padrões'!$A$2:$V$4400,AD$1,FALSE)="","-",VLOOKUP(ROUND(CONCATENATE($A12,AD$2),0),'Cadastro dos Padrões'!$A$2:$V$4400,AD$1,FALSE))</f>
        <v>2</v>
      </c>
      <c r="AE12" s="31">
        <f>IF(VLOOKUP(ROUND(CONCATENATE($A12,AE$2),0),'Cadastro dos Padrões'!$A$2:$V$4400,AE$1,FALSE)="","-",VLOOKUP(ROUND(CONCATENATE($A12,AE$2),0),'Cadastro dos Padrões'!$A$2:$V$4400,AE$1,FALSE))</f>
        <v>1000000</v>
      </c>
      <c r="AF12" s="31">
        <f>IF(VLOOKUP(ROUND(CONCATENATE($A12,AF$2),0),'Cadastro dos Padrões'!$A$2:$V$4400,AF$1,FALSE)="","-",VLOOKUP(ROUND(CONCATENATE($A12,AF$2),0),'Cadastro dos Padrões'!$A$2:$V$4400,AF$1,FALSE))</f>
        <v>50</v>
      </c>
      <c r="AG12" s="31">
        <f>IF(VLOOKUP(ROUND(CONCATENATE($A12,AG$2),0),'Cadastro dos Padrões'!$A$2:$V$4400,AG$1,FALSE)="","-",VLOOKUP(ROUND(CONCATENATE($A12,AG$2),0),'Cadastro dos Padrões'!$A$2:$V$4400,AG$1,FALSE))</f>
        <v>1.1000000000000001</v>
      </c>
      <c r="AH12" s="31">
        <f>IF(VLOOKUP(ROUND(CONCATENATE($A12,AH$2),0),'Cadastro dos Padrões'!$A$2:$V$4400,AH$1,FALSE)="","-",VLOOKUP(ROUND(CONCATENATE($A12,AH$2),0),'Cadastro dos Padrões'!$A$2:$V$4400,AH$1,FALSE))</f>
        <v>2</v>
      </c>
      <c r="AI12" s="31">
        <f>IF(VLOOKUP(ROUND(CONCATENATE($A12,AI$2),0),'Cadastro dos Padrões'!$A$2:$V$4400,AI$1,FALSE)="","-",VLOOKUP(ROUND(CONCATENATE($A12,AI$2),0),'Cadastro dos Padrões'!$A$2:$V$4400,AI$1,FALSE))</f>
        <v>1000000</v>
      </c>
      <c r="AJ12" s="31">
        <f>IF(VLOOKUP(ROUND(CONCATENATE($A12,AJ$2),0),'Cadastro dos Padrões'!$A$2:$V$4400,AJ$1,FALSE)="","-",VLOOKUP(ROUND(CONCATENATE($A12,AJ$2),0),'Cadastro dos Padrões'!$A$2:$V$4400,AJ$1,FALSE))</f>
        <v>80</v>
      </c>
      <c r="AK12" s="31">
        <f>IF(VLOOKUP(ROUND(CONCATENATE($A12,AK$2),0),'Cadastro dos Padrões'!$A$2:$V$4400,AK$1,FALSE)="","-",VLOOKUP(ROUND(CONCATENATE($A12,AK$2),0),'Cadastro dos Padrões'!$A$2:$V$4400,AK$1,FALSE))</f>
        <v>1.1000000000000001</v>
      </c>
      <c r="AL12" s="31">
        <f>IF(VLOOKUP(ROUND(CONCATENATE($A12,AL$2),0),'Cadastro dos Padrões'!$A$2:$V$4400,AL$1,FALSE)="","-",VLOOKUP(ROUND(CONCATENATE($A12,AL$2),0),'Cadastro dos Padrões'!$A$2:$V$4400,AL$1,FALSE))</f>
        <v>2</v>
      </c>
      <c r="AM12" s="31">
        <f>IF(VLOOKUP(ROUND(CONCATENATE($A12,AM$2),0),'Cadastro dos Padrões'!$A$2:$V$4400,AM$1,FALSE)="","-",VLOOKUP(ROUND(CONCATENATE($A12,AM$2),0),'Cadastro dos Padrões'!$A$2:$V$4400,AM$1,FALSE))</f>
        <v>1000000</v>
      </c>
      <c r="AN12" s="31" t="str">
        <f>IF(VLOOKUP(ROUND(CONCATENATE($A12,AN$2),0),'Cadastro dos Padrões'!$A$2:$V$4400,AN$1,FALSE)="","-",VLOOKUP(ROUND(CONCATENATE($A12,AN$2),0),'Cadastro dos Padrões'!$A$2:$V$4400,AN$1,FALSE))</f>
        <v>-</v>
      </c>
      <c r="AO12" s="31" t="str">
        <f>IF(VLOOKUP(ROUND(CONCATENATE($A12,AO$2),0),'Cadastro dos Padrões'!$A$2:$V$4400,AO$1,FALSE)="","-",VLOOKUP(ROUND(CONCATENATE($A12,AO$2),0),'Cadastro dos Padrões'!$A$2:$V$4400,AO$1,FALSE))</f>
        <v>-</v>
      </c>
      <c r="AP12" s="31" t="str">
        <f>IF(VLOOKUP(ROUND(CONCATENATE($A12,AP$2),0),'Cadastro dos Padrões'!$A$2:$V$4400,AP$1,FALSE)="","-",VLOOKUP(ROUND(CONCATENATE($A12,AP$2),0),'Cadastro dos Padrões'!$A$2:$V$4400,AP$1,FALSE))</f>
        <v>-</v>
      </c>
      <c r="AQ12" s="31" t="str">
        <f>IF(VLOOKUP(ROUND(CONCATENATE($A12,AQ$2),0),'Cadastro dos Padrões'!$A$2:$V$4400,AQ$1,FALSE)="","-",VLOOKUP(ROUND(CONCATENATE($A12,AQ$2),0),'Cadastro dos Padrões'!$A$2:$V$4400,AQ$1,FALSE))</f>
        <v>-</v>
      </c>
      <c r="AR12" s="31" t="str">
        <f>IF(VLOOKUP(ROUND(CONCATENATE($A12,AR$2),0),'Cadastro dos Padrões'!$A$2:$V$4400,AR$1,FALSE)="","-",VLOOKUP(ROUND(CONCATENATE($A12,AR$2),0),'Cadastro dos Padrões'!$A$2:$V$4400,AR$1,FALSE))</f>
        <v>-</v>
      </c>
      <c r="AS12" s="31" t="str">
        <f>IF(VLOOKUP(ROUND(CONCATENATE($A12,AS$2),0),'Cadastro dos Padrões'!$A$2:$V$4400,AS$1,FALSE)="","-",VLOOKUP(ROUND(CONCATENATE($A12,AS$2),0),'Cadastro dos Padrões'!$A$2:$V$4400,AS$1,FALSE))</f>
        <v>-</v>
      </c>
      <c r="AT12" s="31" t="str">
        <f>IF(VLOOKUP(ROUND(CONCATENATE($A12,AT$2),0),'Cadastro dos Padrões'!$A$2:$V$4400,AT$1,FALSE)="","-",VLOOKUP(ROUND(CONCATENATE($A12,AT$2),0),'Cadastro dos Padrões'!$A$2:$V$4400,AT$1,FALSE))</f>
        <v>-</v>
      </c>
      <c r="AU12" s="31" t="str">
        <f>IF(VLOOKUP(ROUND(CONCATENATE($A12,AU$2),0),'Cadastro dos Padrões'!$A$2:$V$4400,AU$1,FALSE)="","-",VLOOKUP(ROUND(CONCATENATE($A12,AU$2),0),'Cadastro dos Padrões'!$A$2:$V$4400,AU$1,FALSE))</f>
        <v>-</v>
      </c>
      <c r="AV12" s="31" t="str">
        <f>IF(VLOOKUP(ROUND(CONCATENATE($A12,AV$2),0),'Cadastro dos Padrões'!$A$2:$V$4400,AV$1,FALSE)="","-",VLOOKUP(ROUND(CONCATENATE($A12,AV$2),0),'Cadastro dos Padrões'!$A$2:$V$4400,AV$1,FALSE))</f>
        <v>-</v>
      </c>
      <c r="AW12" s="31" t="str">
        <f>IF(VLOOKUP(ROUND(CONCATENATE($A12,AW$2),0),'Cadastro dos Padrões'!$A$2:$V$4400,AW$1,FALSE)="","-",VLOOKUP(ROUND(CONCATENATE($A12,AW$2),0),'Cadastro dos Padrões'!$A$2:$V$4400,AW$1,FALSE))</f>
        <v>-</v>
      </c>
      <c r="AX12" s="31" t="str">
        <f>IF(VLOOKUP(ROUND(CONCATENATE($A12,AX$2),0),'Cadastro dos Padrões'!$A$2:$V$4400,AX$1,FALSE)="","-",VLOOKUP(ROUND(CONCATENATE($A12,AX$2),0),'Cadastro dos Padrões'!$A$2:$V$4400,AX$1,FALSE))</f>
        <v>-</v>
      </c>
      <c r="AY12" s="31" t="str">
        <f>IF(VLOOKUP(ROUND(CONCATENATE($A12,AY$2),0),'Cadastro dos Padrões'!$A$2:$V$4400,AY$1,FALSE)="","-",VLOOKUP(ROUND(CONCATENATE($A12,AY$2),0),'Cadastro dos Padrões'!$A$2:$V$4400,AY$1,FALSE))</f>
        <v>-</v>
      </c>
      <c r="AZ12" s="31" t="str">
        <f>IF(VLOOKUP(ROUND(CONCATENATE($A12,AZ$2),0),'Cadastro dos Padrões'!$A$2:$V$4400,AZ$1,FALSE)="","-",VLOOKUP(ROUND(CONCATENATE($A12,AZ$2),0),'Cadastro dos Padrões'!$A$2:$V$4400,AZ$1,FALSE))</f>
        <v>-</v>
      </c>
      <c r="BA12" s="31" t="str">
        <f>IF(VLOOKUP(ROUND(CONCATENATE($A12,BA$2),0),'Cadastro dos Padrões'!$A$2:$V$4400,BA$1,FALSE)="","-",VLOOKUP(ROUND(CONCATENATE($A12,BA$2),0),'Cadastro dos Padrões'!$A$2:$V$4400,BA$1,FALSE))</f>
        <v>-</v>
      </c>
      <c r="BB12" s="31" t="str">
        <f>IF(VLOOKUP(ROUND(CONCATENATE($A12,BB$2),0),'Cadastro dos Padrões'!$A$2:$V$4400,BB$1,FALSE)="","-",VLOOKUP(ROUND(CONCATENATE($A12,BB$2),0),'Cadastro dos Padrões'!$A$2:$V$4400,BB$1,FALSE))</f>
        <v>-</v>
      </c>
      <c r="BC12" s="31" t="str">
        <f>IF(VLOOKUP(ROUND(CONCATENATE($A12,BC$2),0),'Cadastro dos Padrões'!$A$2:$V$4400,BC$1,FALSE)="","-",VLOOKUP(ROUND(CONCATENATE($A12,BC$2),0),'Cadastro dos Padrões'!$A$2:$V$4400,BC$1,FALSE))</f>
        <v>-</v>
      </c>
      <c r="BD12" s="31" t="str">
        <f>IF(VLOOKUP(ROUND(CONCATENATE($A12,BD$2),0),'Cadastro dos Padrões'!$A$2:$V$4400,BD$1,FALSE)="","-",VLOOKUP(ROUND(CONCATENATE($A12,BD$2),0),'Cadastro dos Padrões'!$A$2:$V$4400,BD$1,FALSE))</f>
        <v>-</v>
      </c>
      <c r="BE12" s="31" t="str">
        <f>IF(VLOOKUP(ROUND(CONCATENATE($A12,BE$2),0),'Cadastro dos Padrões'!$A$2:$V$4400,BE$1,FALSE)="","-",VLOOKUP(ROUND(CONCATENATE($A12,BE$2),0),'Cadastro dos Padrões'!$A$2:$V$4400,BE$1,FALSE))</f>
        <v>-</v>
      </c>
      <c r="BF12" s="31" t="str">
        <f>IF(VLOOKUP(ROUND(CONCATENATE($A12,BF$2),0),'Cadastro dos Padrões'!$A$2:$V$4400,BF$1,FALSE)="","-",VLOOKUP(ROUND(CONCATENATE($A12,BF$2),0),'Cadastro dos Padrões'!$A$2:$V$4400,BF$1,FALSE))</f>
        <v>-</v>
      </c>
      <c r="BG12" s="31" t="str">
        <f>IF(VLOOKUP(ROUND(CONCATENATE($A12,BG$2),0),'Cadastro dos Padrões'!$A$2:$V$4400,BG$1,FALSE)="","-",VLOOKUP(ROUND(CONCATENATE($A12,BG$2),0),'Cadastro dos Padrões'!$A$2:$V$4400,BG$1,FALSE))</f>
        <v>-</v>
      </c>
      <c r="BH12" s="31" t="str">
        <f>IF(VLOOKUP(ROUND(CONCATENATE($A12,BH$2),0),'Cadastro dos Padrões'!$A$2:$V$4400,BH$1,FALSE)="","-",VLOOKUP(ROUND(CONCATENATE($A12,BH$2),0),'Cadastro dos Padrões'!$A$2:$V$4400,BH$1,FALSE))</f>
        <v>-</v>
      </c>
      <c r="BI12" s="31" t="str">
        <f>IF(VLOOKUP(ROUND(CONCATENATE($A12,BI$2),0),'Cadastro dos Padrões'!$A$2:$V$4400,BI$1,FALSE)="","-",VLOOKUP(ROUND(CONCATENATE($A12,BI$2),0),'Cadastro dos Padrões'!$A$2:$V$4400,BI$1,FALSE))</f>
        <v>-</v>
      </c>
      <c r="BJ12" s="31" t="str">
        <f>IF(VLOOKUP(ROUND(CONCATENATE($A12,BJ$2),0),'Cadastro dos Padrões'!$A$2:$V$4400,BJ$1,FALSE)="","-",VLOOKUP(ROUND(CONCATENATE($A12,BJ$2),0),'Cadastro dos Padrões'!$A$2:$V$4400,BJ$1,FALSE))</f>
        <v>-</v>
      </c>
      <c r="BK12" s="31" t="str">
        <f>IF(VLOOKUP(ROUND(CONCATENATE($A12,BK$2),0),'Cadastro dos Padrões'!$A$2:$V$4400,BK$1,FALSE)="","-",VLOOKUP(ROUND(CONCATENATE($A12,BK$2),0),'Cadastro dos Padrões'!$A$2:$V$4400,BK$1,FALSE))</f>
        <v>-</v>
      </c>
      <c r="BL12" s="31" t="str">
        <f>IF(VLOOKUP(ROUND(CONCATENATE($A12,BL$2),0),'Cadastro dos Padrões'!$A$2:$V$4400,BL$1,FALSE)="","-",VLOOKUP(ROUND(CONCATENATE($A12,BL$2),0),'Cadastro dos Padrões'!$A$2:$V$4400,BL$1,FALSE))</f>
        <v>-</v>
      </c>
      <c r="BM12" s="31" t="str">
        <f>IF(VLOOKUP(ROUND(CONCATENATE($A12,BM$2),0),'Cadastro dos Padrões'!$A$2:$V$4400,BM$1,FALSE)="","-",VLOOKUP(ROUND(CONCATENATE($A12,BM$2),0),'Cadastro dos Padrões'!$A$2:$V$4400,BM$1,FALSE))</f>
        <v>-</v>
      </c>
      <c r="BN12" s="31" t="str">
        <f>IF(VLOOKUP(ROUND(CONCATENATE($A12,BN$2),0),'Cadastro dos Padrões'!$A$2:$V$4400,BN$1,FALSE)="","-",VLOOKUP(ROUND(CONCATENATE($A12,BN$2),0),'Cadastro dos Padrões'!$A$2:$V$4400,BN$1,FALSE))</f>
        <v>-</v>
      </c>
      <c r="BO12" s="31" t="str">
        <f>IF(VLOOKUP(ROUND(CONCATENATE($A12,BO$2),0),'Cadastro dos Padrões'!$A$2:$V$4400,BO$1,FALSE)="","-",VLOOKUP(ROUND(CONCATENATE($A12,BO$2),0),'Cadastro dos Padrões'!$A$2:$V$4400,BO$1,FALSE))</f>
        <v>-</v>
      </c>
    </row>
    <row r="13" spans="1:67" x14ac:dyDescent="0.3">
      <c r="A13" s="6">
        <f t="shared" si="52"/>
        <v>8</v>
      </c>
      <c r="B13" s="31" t="str">
        <f>IF(VLOOKUP(ROUND(CONCATENATE($A13,B$2),0),'Cadastro dos Padrões'!$A$2:$V$4400,B$1,FALSE)="","-",VLOOKUP(ROUND(CONCATENATE($A13,B$2),0),'Cadastro dos Padrões'!$A$2:$V$4400,B$1,FALSE))</f>
        <v>E.TH.PMR-008</v>
      </c>
      <c r="C13" s="31" t="str">
        <f>IF($B13="-","-",VLOOKUP(ROUND(CONCATENATE($A13,C$2),0),'Cadastro dos Padrões'!$A$2:$V$4400,C$1,FALSE))</f>
        <v>Termohigrômetro Digital</v>
      </c>
      <c r="D13" s="31">
        <f>IF($B13="-","-",VLOOKUP(ROUND(CONCATENATE($A13,D$2),0),'Cadastro dos Padrões'!$A$2:$V$4400,D$1,FALSE))</f>
        <v>20</v>
      </c>
      <c r="E13" s="31" t="str">
        <f>IF($B13="-","-",VLOOKUP(ROUND(CONCATENATE($A13,E$2),0),'Cadastro dos Padrões'!$A$2:$V$4400,E$1,FALSE))</f>
        <v>Elus</v>
      </c>
      <c r="F13" s="31" t="str">
        <f>IF($B13="-","-",VLOOKUP(ROUND(CONCATENATE($A13,F$2),0),'Cadastro dos Padrões'!$A$2:$V$4400,F$1,FALSE))</f>
        <v>RBC - CAL 0439</v>
      </c>
      <c r="G13" s="31" t="str">
        <f>IF($B13="-","-",VLOOKUP(ROUND(CONCATENATE($A13,G$2),0),'Cadastro dos Padrões'!$A$2:$V$4400,G$1,FALSE))</f>
        <v>E0210/25</v>
      </c>
      <c r="H13" s="32">
        <f>IF($B13="-","-",VLOOKUP(ROUND(CONCATENATE($A13,H$2),0),'Cadastro dos Padrões'!$A$2:$V$4400,H$1,FALSE))</f>
        <v>45761</v>
      </c>
      <c r="I13" s="33">
        <f>IF($B13="-","-",VLOOKUP(ROUND(CONCATENATE($A13,I$2),0),'Cadastro dos Padrões'!$A$2:$V$4400,I$1,FALSE))</f>
        <v>46142</v>
      </c>
      <c r="J13" s="31" t="str">
        <f>IF($B13="-","-",VLOOKUP(ROUND(CONCATENATE($A13,J$2),0),'Cadastro dos Padrões'!$A$2:$V$4400,J$1,FALSE))</f>
        <v>%ur</v>
      </c>
      <c r="K13" s="31">
        <f>IF($B13="-","-",VLOOKUP(ROUND(CONCATENATE($A13,K$2),0),'Cadastro dos Padrões'!$A$2:$V$4400,K$1,FALSE))</f>
        <v>20</v>
      </c>
      <c r="L13" s="31">
        <f>IF($B13="-","-",VLOOKUP(ROUND(CONCATENATE($A13,L$2),0),'Cadastro dos Padrões'!$A$2:$V$4400,L$1,FALSE))</f>
        <v>80</v>
      </c>
      <c r="M13" s="31">
        <f>IF($B13="-","-",VLOOKUP(ROUND(CONCATENATE($A13,M$2),0),'Cadastro dos Padrões'!$A$2:$V$4400,M$1,FALSE))</f>
        <v>0.1</v>
      </c>
      <c r="N13" s="31">
        <f>IF($B13="-","-",VLOOKUP(ROUND(CONCATENATE($A13,N$2),0),'Cadastro dos Padrões'!$A$2:$V$4400,N$1,FALSE))</f>
        <v>1</v>
      </c>
      <c r="O13" s="31">
        <f>IF($B13="-","-",VLOOKUP(ROUND(CONCATENATE($A13,O$2),0),'Cadastro dos Padrões'!$A$2:$V$4400,O$1,FALSE))</f>
        <v>1.1000000000000001</v>
      </c>
      <c r="P13" s="31">
        <f>IF($B13="-","-",VLOOKUP(ROUND(CONCATENATE($A13,P$2),0),'Cadastro dos Padrões'!$A$2:$V$4400,P$1,FALSE))</f>
        <v>1</v>
      </c>
      <c r="Q13" s="31">
        <f>IF($B13="-","-",VLOOKUP(ROUND(CONCATENATE($A13,Q$2),0),'Cadastro dos Padrões'!$A$2:$V$4400,Q$1,FALSE))</f>
        <v>0.12308941878433188</v>
      </c>
      <c r="R13" s="31">
        <f>IF($B13="-","-",VLOOKUP(ROUND(CONCATENATE($A13,R$2),0),'Cadastro dos Padrões'!$A$2:$V$4400,R$1,FALSE))</f>
        <v>1</v>
      </c>
      <c r="S13" s="31">
        <f>IF($B13="-","-",VLOOKUP(ROUND(CONCATENATE($A13,S$2),0),'Cadastro dos Padrões'!$A$2:$V$4400,S$1,FALSE))</f>
        <v>0</v>
      </c>
      <c r="T13" s="31">
        <f>IF($B13="-","-",VLOOKUP(ROUND(CONCATENATE($A13,T$2),0),'Cadastro dos Padrões'!$A$2:$V$4400,T$1,FALSE))</f>
        <v>0</v>
      </c>
      <c r="U13" s="31">
        <f>IF($B13="-","-",VLOOKUP(ROUND(CONCATENATE($A13,U$2),0),'Cadastro dos Padrões'!$A$2:$V$4400,U$1,FALSE))</f>
        <v>0</v>
      </c>
      <c r="V13" s="31">
        <f>IF($B13="-","-",VLOOKUP(ROUND(CONCATENATE($A13,V$2),0),'Cadastro dos Padrões'!$A$2:$V$4400,V$1,FALSE))</f>
        <v>0</v>
      </c>
      <c r="W13" s="31">
        <f>IF($B13="-","-",VLOOKUP(ROUND(CONCATENATE($A13,W$2),0),'Cadastro dos Padrões'!$A$2:$V$4400,W$1,FALSE))</f>
        <v>0</v>
      </c>
      <c r="X13" s="31">
        <f>IF($B13="-","-",VLOOKUP(ROUND(CONCATENATE($A13,X$2),0),'Cadastro dos Padrões'!$A$2:$V$4400,X$1,FALSE))</f>
        <v>0</v>
      </c>
      <c r="Y13" s="31">
        <f>IF($B13="-","-",VLOOKUP(ROUND(CONCATENATE($A13,Y$2),0),'Cadastro dos Padrões'!$A$2:$V$4400,Y$1,FALSE))</f>
        <v>0</v>
      </c>
      <c r="Z13" s="31">
        <f>IF($B13="-","-",VLOOKUP(ROUND(CONCATENATE($A13,Z$2),0),'Cadastro dos Padrões'!$A$2:$V$4400,Z$1,FALSE))</f>
        <v>1.0050166661055184</v>
      </c>
      <c r="AA13" s="31">
        <f>IF($B13="-","-",VLOOKUP(ROUND(CONCATENATE($A13,AA$2),0),'Cadastro dos Padrões'!$A$2:$V$4400,AA$1,FALSE))</f>
        <v>0.55318002760849794</v>
      </c>
      <c r="AB13" s="31">
        <f>IF(VLOOKUP(ROUND(CONCATENATE($A13,AB$2),0),'Cadastro dos Padrões'!$A$2:$V$4400,AB$1,FALSE)="","-",VLOOKUP(ROUND(CONCATENATE($A13,AB$2),0),'Cadastro dos Padrões'!$A$2:$V$4400,AB$1,FALSE))</f>
        <v>20</v>
      </c>
      <c r="AC13" s="31">
        <f>IF(VLOOKUP(ROUND(CONCATENATE($A13,AC$2),0),'Cadastro dos Padrões'!$A$2:$V$4400,AC$1,FALSE)="","-",VLOOKUP(ROUND(CONCATENATE($A13,AC$2),0),'Cadastro dos Padrões'!$A$2:$V$4400,AC$1,FALSE))</f>
        <v>0.7</v>
      </c>
      <c r="AD13" s="31">
        <f>IF(VLOOKUP(ROUND(CONCATENATE($A13,AD$2),0),'Cadastro dos Padrões'!$A$2:$V$4400,AD$1,FALSE)="","-",VLOOKUP(ROUND(CONCATENATE($A13,AD$2),0),'Cadastro dos Padrões'!$A$2:$V$4400,AD$1,FALSE))</f>
        <v>2</v>
      </c>
      <c r="AE13" s="31">
        <f>IF(VLOOKUP(ROUND(CONCATENATE($A13,AE$2),0),'Cadastro dos Padrões'!$A$2:$V$4400,AE$1,FALSE)="","-",VLOOKUP(ROUND(CONCATENATE($A13,AE$2),0),'Cadastro dos Padrões'!$A$2:$V$4400,AE$1,FALSE))</f>
        <v>1000000</v>
      </c>
      <c r="AF13" s="31">
        <f>IF(VLOOKUP(ROUND(CONCATENATE($A13,AF$2),0),'Cadastro dos Padrões'!$A$2:$V$4400,AF$1,FALSE)="","-",VLOOKUP(ROUND(CONCATENATE($A13,AF$2),0),'Cadastro dos Padrões'!$A$2:$V$4400,AF$1,FALSE))</f>
        <v>50</v>
      </c>
      <c r="AG13" s="31">
        <f>IF(VLOOKUP(ROUND(CONCATENATE($A13,AG$2),0),'Cadastro dos Padrões'!$A$2:$V$4400,AG$1,FALSE)="","-",VLOOKUP(ROUND(CONCATENATE($A13,AG$2),0),'Cadastro dos Padrões'!$A$2:$V$4400,AG$1,FALSE))</f>
        <v>1.1000000000000001</v>
      </c>
      <c r="AH13" s="31">
        <f>IF(VLOOKUP(ROUND(CONCATENATE($A13,AH$2),0),'Cadastro dos Padrões'!$A$2:$V$4400,AH$1,FALSE)="","-",VLOOKUP(ROUND(CONCATENATE($A13,AH$2),0),'Cadastro dos Padrões'!$A$2:$V$4400,AH$1,FALSE))</f>
        <v>2</v>
      </c>
      <c r="AI13" s="31">
        <f>IF(VLOOKUP(ROUND(CONCATENATE($A13,AI$2),0),'Cadastro dos Padrões'!$A$2:$V$4400,AI$1,FALSE)="","-",VLOOKUP(ROUND(CONCATENATE($A13,AI$2),0),'Cadastro dos Padrões'!$A$2:$V$4400,AI$1,FALSE))</f>
        <v>1000000</v>
      </c>
      <c r="AJ13" s="31">
        <f>IF(VLOOKUP(ROUND(CONCATENATE($A13,AJ$2),0),'Cadastro dos Padrões'!$A$2:$V$4400,AJ$1,FALSE)="","-",VLOOKUP(ROUND(CONCATENATE($A13,AJ$2),0),'Cadastro dos Padrões'!$A$2:$V$4400,AJ$1,FALSE))</f>
        <v>80</v>
      </c>
      <c r="AK13" s="31">
        <f>IF(VLOOKUP(ROUND(CONCATENATE($A13,AK$2),0),'Cadastro dos Padrões'!$A$2:$V$4400,AK$1,FALSE)="","-",VLOOKUP(ROUND(CONCATENATE($A13,AK$2),0),'Cadastro dos Padrões'!$A$2:$V$4400,AK$1,FALSE))</f>
        <v>1.1000000000000001</v>
      </c>
      <c r="AL13" s="31">
        <f>IF(VLOOKUP(ROUND(CONCATENATE($A13,AL$2),0),'Cadastro dos Padrões'!$A$2:$V$4400,AL$1,FALSE)="","-",VLOOKUP(ROUND(CONCATENATE($A13,AL$2),0),'Cadastro dos Padrões'!$A$2:$V$4400,AL$1,FALSE))</f>
        <v>2</v>
      </c>
      <c r="AM13" s="31">
        <f>IF(VLOOKUP(ROUND(CONCATENATE($A13,AM$2),0),'Cadastro dos Padrões'!$A$2:$V$4400,AM$1,FALSE)="","-",VLOOKUP(ROUND(CONCATENATE($A13,AM$2),0),'Cadastro dos Padrões'!$A$2:$V$4400,AM$1,FALSE))</f>
        <v>1000000</v>
      </c>
      <c r="AN13" s="31" t="str">
        <f>IF(VLOOKUP(ROUND(CONCATENATE($A13,AN$2),0),'Cadastro dos Padrões'!$A$2:$V$4400,AN$1,FALSE)="","-",VLOOKUP(ROUND(CONCATENATE($A13,AN$2),0),'Cadastro dos Padrões'!$A$2:$V$4400,AN$1,FALSE))</f>
        <v>-</v>
      </c>
      <c r="AO13" s="31" t="str">
        <f>IF(VLOOKUP(ROUND(CONCATENATE($A13,AO$2),0),'Cadastro dos Padrões'!$A$2:$V$4400,AO$1,FALSE)="","-",VLOOKUP(ROUND(CONCATENATE($A13,AO$2),0),'Cadastro dos Padrões'!$A$2:$V$4400,AO$1,FALSE))</f>
        <v>-</v>
      </c>
      <c r="AP13" s="31" t="str">
        <f>IF(VLOOKUP(ROUND(CONCATENATE($A13,AP$2),0),'Cadastro dos Padrões'!$A$2:$V$4400,AP$1,FALSE)="","-",VLOOKUP(ROUND(CONCATENATE($A13,AP$2),0),'Cadastro dos Padrões'!$A$2:$V$4400,AP$1,FALSE))</f>
        <v>-</v>
      </c>
      <c r="AQ13" s="31" t="str">
        <f>IF(VLOOKUP(ROUND(CONCATENATE($A13,AQ$2),0),'Cadastro dos Padrões'!$A$2:$V$4400,AQ$1,FALSE)="","-",VLOOKUP(ROUND(CONCATENATE($A13,AQ$2),0),'Cadastro dos Padrões'!$A$2:$V$4400,AQ$1,FALSE))</f>
        <v>-</v>
      </c>
      <c r="AR13" s="31" t="str">
        <f>IF(VLOOKUP(ROUND(CONCATENATE($A13,AR$2),0),'Cadastro dos Padrões'!$A$2:$V$4400,AR$1,FALSE)="","-",VLOOKUP(ROUND(CONCATENATE($A13,AR$2),0),'Cadastro dos Padrões'!$A$2:$V$4400,AR$1,FALSE))</f>
        <v>-</v>
      </c>
      <c r="AS13" s="31" t="str">
        <f>IF(VLOOKUP(ROUND(CONCATENATE($A13,AS$2),0),'Cadastro dos Padrões'!$A$2:$V$4400,AS$1,FALSE)="","-",VLOOKUP(ROUND(CONCATENATE($A13,AS$2),0),'Cadastro dos Padrões'!$A$2:$V$4400,AS$1,FALSE))</f>
        <v>-</v>
      </c>
      <c r="AT13" s="31" t="str">
        <f>IF(VLOOKUP(ROUND(CONCATENATE($A13,AT$2),0),'Cadastro dos Padrões'!$A$2:$V$4400,AT$1,FALSE)="","-",VLOOKUP(ROUND(CONCATENATE($A13,AT$2),0),'Cadastro dos Padrões'!$A$2:$V$4400,AT$1,FALSE))</f>
        <v>-</v>
      </c>
      <c r="AU13" s="31" t="str">
        <f>IF(VLOOKUP(ROUND(CONCATENATE($A13,AU$2),0),'Cadastro dos Padrões'!$A$2:$V$4400,AU$1,FALSE)="","-",VLOOKUP(ROUND(CONCATENATE($A13,AU$2),0),'Cadastro dos Padrões'!$A$2:$V$4400,AU$1,FALSE))</f>
        <v>-</v>
      </c>
      <c r="AV13" s="31" t="str">
        <f>IF(VLOOKUP(ROUND(CONCATENATE($A13,AV$2),0),'Cadastro dos Padrões'!$A$2:$V$4400,AV$1,FALSE)="","-",VLOOKUP(ROUND(CONCATENATE($A13,AV$2),0),'Cadastro dos Padrões'!$A$2:$V$4400,AV$1,FALSE))</f>
        <v>-</v>
      </c>
      <c r="AW13" s="31" t="str">
        <f>IF(VLOOKUP(ROUND(CONCATENATE($A13,AW$2),0),'Cadastro dos Padrões'!$A$2:$V$4400,AW$1,FALSE)="","-",VLOOKUP(ROUND(CONCATENATE($A13,AW$2),0),'Cadastro dos Padrões'!$A$2:$V$4400,AW$1,FALSE))</f>
        <v>-</v>
      </c>
      <c r="AX13" s="31" t="str">
        <f>IF(VLOOKUP(ROUND(CONCATENATE($A13,AX$2),0),'Cadastro dos Padrões'!$A$2:$V$4400,AX$1,FALSE)="","-",VLOOKUP(ROUND(CONCATENATE($A13,AX$2),0),'Cadastro dos Padrões'!$A$2:$V$4400,AX$1,FALSE))</f>
        <v>-</v>
      </c>
      <c r="AY13" s="31" t="str">
        <f>IF(VLOOKUP(ROUND(CONCATENATE($A13,AY$2),0),'Cadastro dos Padrões'!$A$2:$V$4400,AY$1,FALSE)="","-",VLOOKUP(ROUND(CONCATENATE($A13,AY$2),0),'Cadastro dos Padrões'!$A$2:$V$4400,AY$1,FALSE))</f>
        <v>-</v>
      </c>
      <c r="AZ13" s="31" t="str">
        <f>IF(VLOOKUP(ROUND(CONCATENATE($A13,AZ$2),0),'Cadastro dos Padrões'!$A$2:$V$4400,AZ$1,FALSE)="","-",VLOOKUP(ROUND(CONCATENATE($A13,AZ$2),0),'Cadastro dos Padrões'!$A$2:$V$4400,AZ$1,FALSE))</f>
        <v>-</v>
      </c>
      <c r="BA13" s="31" t="str">
        <f>IF(VLOOKUP(ROUND(CONCATENATE($A13,BA$2),0),'Cadastro dos Padrões'!$A$2:$V$4400,BA$1,FALSE)="","-",VLOOKUP(ROUND(CONCATENATE($A13,BA$2),0),'Cadastro dos Padrões'!$A$2:$V$4400,BA$1,FALSE))</f>
        <v>-</v>
      </c>
      <c r="BB13" s="31" t="str">
        <f>IF(VLOOKUP(ROUND(CONCATENATE($A13,BB$2),0),'Cadastro dos Padrões'!$A$2:$V$4400,BB$1,FALSE)="","-",VLOOKUP(ROUND(CONCATENATE($A13,BB$2),0),'Cadastro dos Padrões'!$A$2:$V$4400,BB$1,FALSE))</f>
        <v>-</v>
      </c>
      <c r="BC13" s="31" t="str">
        <f>IF(VLOOKUP(ROUND(CONCATENATE($A13,BC$2),0),'Cadastro dos Padrões'!$A$2:$V$4400,BC$1,FALSE)="","-",VLOOKUP(ROUND(CONCATENATE($A13,BC$2),0),'Cadastro dos Padrões'!$A$2:$V$4400,BC$1,FALSE))</f>
        <v>-</v>
      </c>
      <c r="BD13" s="31" t="str">
        <f>IF(VLOOKUP(ROUND(CONCATENATE($A13,BD$2),0),'Cadastro dos Padrões'!$A$2:$V$4400,BD$1,FALSE)="","-",VLOOKUP(ROUND(CONCATENATE($A13,BD$2),0),'Cadastro dos Padrões'!$A$2:$V$4400,BD$1,FALSE))</f>
        <v>-</v>
      </c>
      <c r="BE13" s="31" t="str">
        <f>IF(VLOOKUP(ROUND(CONCATENATE($A13,BE$2),0),'Cadastro dos Padrões'!$A$2:$V$4400,BE$1,FALSE)="","-",VLOOKUP(ROUND(CONCATENATE($A13,BE$2),0),'Cadastro dos Padrões'!$A$2:$V$4400,BE$1,FALSE))</f>
        <v>-</v>
      </c>
      <c r="BF13" s="31" t="str">
        <f>IF(VLOOKUP(ROUND(CONCATENATE($A13,BF$2),0),'Cadastro dos Padrões'!$A$2:$V$4400,BF$1,FALSE)="","-",VLOOKUP(ROUND(CONCATENATE($A13,BF$2),0),'Cadastro dos Padrões'!$A$2:$V$4400,BF$1,FALSE))</f>
        <v>-</v>
      </c>
      <c r="BG13" s="31" t="str">
        <f>IF(VLOOKUP(ROUND(CONCATENATE($A13,BG$2),0),'Cadastro dos Padrões'!$A$2:$V$4400,BG$1,FALSE)="","-",VLOOKUP(ROUND(CONCATENATE($A13,BG$2),0),'Cadastro dos Padrões'!$A$2:$V$4400,BG$1,FALSE))</f>
        <v>-</v>
      </c>
      <c r="BH13" s="31" t="str">
        <f>IF(VLOOKUP(ROUND(CONCATENATE($A13,BH$2),0),'Cadastro dos Padrões'!$A$2:$V$4400,BH$1,FALSE)="","-",VLOOKUP(ROUND(CONCATENATE($A13,BH$2),0),'Cadastro dos Padrões'!$A$2:$V$4400,BH$1,FALSE))</f>
        <v>-</v>
      </c>
      <c r="BI13" s="31" t="str">
        <f>IF(VLOOKUP(ROUND(CONCATENATE($A13,BI$2),0),'Cadastro dos Padrões'!$A$2:$V$4400,BI$1,FALSE)="","-",VLOOKUP(ROUND(CONCATENATE($A13,BI$2),0),'Cadastro dos Padrões'!$A$2:$V$4400,BI$1,FALSE))</f>
        <v>-</v>
      </c>
      <c r="BJ13" s="31" t="str">
        <f>IF(VLOOKUP(ROUND(CONCATENATE($A13,BJ$2),0),'Cadastro dos Padrões'!$A$2:$V$4400,BJ$1,FALSE)="","-",VLOOKUP(ROUND(CONCATENATE($A13,BJ$2),0),'Cadastro dos Padrões'!$A$2:$V$4400,BJ$1,FALSE))</f>
        <v>-</v>
      </c>
      <c r="BK13" s="31" t="str">
        <f>IF(VLOOKUP(ROUND(CONCATENATE($A13,BK$2),0),'Cadastro dos Padrões'!$A$2:$V$4400,BK$1,FALSE)="","-",VLOOKUP(ROUND(CONCATENATE($A13,BK$2),0),'Cadastro dos Padrões'!$A$2:$V$4400,BK$1,FALSE))</f>
        <v>-</v>
      </c>
      <c r="BL13" s="31" t="str">
        <f>IF(VLOOKUP(ROUND(CONCATENATE($A13,BL$2),0),'Cadastro dos Padrões'!$A$2:$V$4400,BL$1,FALSE)="","-",VLOOKUP(ROUND(CONCATENATE($A13,BL$2),0),'Cadastro dos Padrões'!$A$2:$V$4400,BL$1,FALSE))</f>
        <v>-</v>
      </c>
      <c r="BM13" s="31" t="str">
        <f>IF(VLOOKUP(ROUND(CONCATENATE($A13,BM$2),0),'Cadastro dos Padrões'!$A$2:$V$4400,BM$1,FALSE)="","-",VLOOKUP(ROUND(CONCATENATE($A13,BM$2),0),'Cadastro dos Padrões'!$A$2:$V$4400,BM$1,FALSE))</f>
        <v>-</v>
      </c>
      <c r="BN13" s="31" t="str">
        <f>IF(VLOOKUP(ROUND(CONCATENATE($A13,BN$2),0),'Cadastro dos Padrões'!$A$2:$V$4400,BN$1,FALSE)="","-",VLOOKUP(ROUND(CONCATENATE($A13,BN$2),0),'Cadastro dos Padrões'!$A$2:$V$4400,BN$1,FALSE))</f>
        <v>-</v>
      </c>
      <c r="BO13" s="31" t="str">
        <f>IF(VLOOKUP(ROUND(CONCATENATE($A13,BO$2),0),'Cadastro dos Padrões'!$A$2:$V$4400,BO$1,FALSE)="","-",VLOOKUP(ROUND(CONCATENATE($A13,BO$2),0),'Cadastro dos Padrões'!$A$2:$V$4400,BO$1,FALSE))</f>
        <v>-</v>
      </c>
    </row>
    <row r="14" spans="1:67" x14ac:dyDescent="0.3">
      <c r="A14" s="6">
        <f t="shared" si="52"/>
        <v>9</v>
      </c>
      <c r="B14" s="31" t="str">
        <f>IF(VLOOKUP(ROUND(CONCATENATE($A14,B$2),0),'Cadastro dos Padrões'!$A$2:$V$4400,B$1,FALSE)="","-",VLOOKUP(ROUND(CONCATENATE($A14,B$2),0),'Cadastro dos Padrões'!$A$2:$V$4400,B$1,FALSE))</f>
        <v>E.TH.LT-006</v>
      </c>
      <c r="C14" s="31" t="str">
        <f>IF($B14="-","-",VLOOKUP(ROUND(CONCATENATE($A14,C$2),0),'Cadastro dos Padrões'!$A$2:$V$4400,C$1,FALSE))</f>
        <v>Termohigrômetro Digital</v>
      </c>
      <c r="D14" s="31">
        <f>IF($B14="-","-",VLOOKUP(ROUND(CONCATENATE($A14,D$2),0),'Cadastro dos Padrões'!$A$2:$V$4400,D$1,FALSE))</f>
        <v>20</v>
      </c>
      <c r="E14" s="31" t="str">
        <f>IF($B14="-","-",VLOOKUP(ROUND(CONCATENATE($A14,E$2),0),'Cadastro dos Padrões'!$A$2:$V$4400,E$1,FALSE))</f>
        <v>Elus</v>
      </c>
      <c r="F14" s="31" t="str">
        <f>IF($B14="-","-",VLOOKUP(ROUND(CONCATENATE($A14,F$2),0),'Cadastro dos Padrões'!$A$2:$V$4400,F$1,FALSE))</f>
        <v>RBC - CAL 0439</v>
      </c>
      <c r="G14" s="31" t="str">
        <f>IF($B14="-","-",VLOOKUP(ROUND(CONCATENATE($A14,G$2),0),'Cadastro dos Padrões'!$A$2:$V$4400,G$1,FALSE))</f>
        <v>E0843/25</v>
      </c>
      <c r="H14" s="32">
        <f>IF($B14="-","-",VLOOKUP(ROUND(CONCATENATE($A14,H$2),0),'Cadastro dos Padrões'!$A$2:$V$4400,H$1,FALSE))</f>
        <v>45989</v>
      </c>
      <c r="I14" s="33">
        <f>IF($B14="-","-",VLOOKUP(ROUND(CONCATENATE($A14,I$2),0),'Cadastro dos Padrões'!$A$2:$V$4400,I$1,FALSE))</f>
        <v>46170</v>
      </c>
      <c r="J14" s="31" t="str">
        <f>IF($B14="-","-",VLOOKUP(ROUND(CONCATENATE($A14,J$2),0),'Cadastro dos Padrões'!$A$2:$V$4400,J$1,FALSE))</f>
        <v>%ur</v>
      </c>
      <c r="K14" s="31">
        <f>IF($B14="-","-",VLOOKUP(ROUND(CONCATENATE($A14,K$2),0),'Cadastro dos Padrões'!$A$2:$V$4400,K$1,FALSE))</f>
        <v>5.01</v>
      </c>
      <c r="L14" s="31">
        <f>IF($B14="-","-",VLOOKUP(ROUND(CONCATENATE($A14,L$2),0),'Cadastro dos Padrões'!$A$2:$V$4400,L$1,FALSE))</f>
        <v>97.96</v>
      </c>
      <c r="M14" s="31">
        <f>IF($B14="-","-",VLOOKUP(ROUND(CONCATENATE($A14,M$2),0),'Cadastro dos Padrões'!$A$2:$V$4400,M$1,FALSE))</f>
        <v>0.01</v>
      </c>
      <c r="N14" s="31">
        <f>IF($B14="-","-",VLOOKUP(ROUND(CONCATENATE($A14,N$2),0),'Cadastro dos Padrões'!$A$2:$V$4400,N$1,FALSE))</f>
        <v>0.68000000000000327</v>
      </c>
      <c r="O14" s="31">
        <f>IF($B14="-","-",VLOOKUP(ROUND(CONCATENATE($A14,O$2),0),'Cadastro dos Padrões'!$A$2:$V$4400,O$1,FALSE))</f>
        <v>0.99</v>
      </c>
      <c r="P14" s="31">
        <f>IF($B14="-","-",VLOOKUP(ROUND(CONCATENATE($A14,P$2),0),'Cadastro dos Padrões'!$A$2:$V$4400,P$1,FALSE))</f>
        <v>0.45000000000000018</v>
      </c>
      <c r="Q14" s="31">
        <f>IF($B14="-","-",VLOOKUP(ROUND(CONCATENATE($A14,Q$2),0),'Cadastro dos Padrões'!$A$2:$V$4400,Q$1,FALSE))</f>
        <v>0.20467235703562636</v>
      </c>
      <c r="R14" s="31">
        <f>IF($B14="-","-",VLOOKUP(ROUND(CONCATENATE($A14,R$2),0),'Cadastro dos Padrões'!$A$2:$V$4400,R$1,FALSE))</f>
        <v>4</v>
      </c>
      <c r="S14" s="31">
        <f>IF($B14="-","-",VLOOKUP(ROUND(CONCATENATE($A14,S$2),0),'Cadastro dos Padrões'!$A$2:$V$4400,S$1,FALSE))</f>
        <v>0</v>
      </c>
      <c r="T14" s="31">
        <f>IF($B14="-","-",VLOOKUP(ROUND(CONCATENATE($A14,T$2),0),'Cadastro dos Padrões'!$A$2:$V$4400,T$1,FALSE))</f>
        <v>0</v>
      </c>
      <c r="U14" s="31">
        <f>IF($B14="-","-",VLOOKUP(ROUND(CONCATENATE($A14,U$2),0),'Cadastro dos Padrões'!$A$2:$V$4400,U$1,FALSE))</f>
        <v>0</v>
      </c>
      <c r="V14" s="31">
        <f>IF($B14="-","-",VLOOKUP(ROUND(CONCATENATE($A14,V$2),0),'Cadastro dos Padrões'!$A$2:$V$4400,V$1,FALSE))</f>
        <v>0</v>
      </c>
      <c r="W14" s="31">
        <f>IF($B14="-","-",VLOOKUP(ROUND(CONCATENATE($A14,W$2),0),'Cadastro dos Padrões'!$A$2:$V$4400,W$1,FALSE))</f>
        <v>-3.2294994809459297E-7</v>
      </c>
      <c r="X14" s="31">
        <f>IF($B14="-","-",VLOOKUP(ROUND(CONCATENATE($A14,X$2),0),'Cadastro dos Padrões'!$A$2:$V$4400,X$1,FALSE))</f>
        <v>6.388775761934544E-5</v>
      </c>
      <c r="Y14" s="31">
        <f>IF($B14="-","-",VLOOKUP(ROUND(CONCATENATE($A14,Y$2),0),'Cadastro dos Padrões'!$A$2:$V$4400,Y$1,FALSE))</f>
        <v>-3.9161576302145637E-3</v>
      </c>
      <c r="Z14" s="31">
        <f>IF($B14="-","-",VLOOKUP(ROUND(CONCATENATE($A14,Z$2),0),'Cadastro dos Padrões'!$A$2:$V$4400,Z$1,FALSE))</f>
        <v>1.0710134479490356</v>
      </c>
      <c r="AA14" s="31">
        <f>IF($B14="-","-",VLOOKUP(ROUND(CONCATENATE($A14,AA$2),0),'Cadastro dos Padrões'!$A$2:$V$4400,AA$1,FALSE))</f>
        <v>0.23473038532220514</v>
      </c>
      <c r="AB14" s="31">
        <f>IF(VLOOKUP(ROUND(CONCATENATE($A14,AB$2),0),'Cadastro dos Padrões'!$A$2:$V$4400,AB$1,FALSE)="","-",VLOOKUP(ROUND(CONCATENATE($A14,AB$2),0),'Cadastro dos Padrões'!$A$2:$V$4400,AB$1,FALSE))</f>
        <v>5.01</v>
      </c>
      <c r="AC14" s="31">
        <f>IF(VLOOKUP(ROUND(CONCATENATE($A14,AC$2),0),'Cadastro dos Padrões'!$A$2:$V$4400,AC$1,FALSE)="","-",VLOOKUP(ROUND(CONCATENATE($A14,AC$2),0),'Cadastro dos Padrões'!$A$2:$V$4400,AC$1,FALSE))</f>
        <v>0.25</v>
      </c>
      <c r="AD14" s="31">
        <f>IF(VLOOKUP(ROUND(CONCATENATE($A14,AD$2),0),'Cadastro dos Padrões'!$A$2:$V$4400,AD$1,FALSE)="","-",VLOOKUP(ROUND(CONCATENATE($A14,AD$2),0),'Cadastro dos Padrões'!$A$2:$V$4400,AD$1,FALSE))</f>
        <v>2.0299999999999998</v>
      </c>
      <c r="AE14" s="31">
        <f>IF(VLOOKUP(ROUND(CONCATENATE($A14,AE$2),0),'Cadastro dos Padrões'!$A$2:$V$4400,AE$1,FALSE)="","-",VLOOKUP(ROUND(CONCATENATE($A14,AE$2),0),'Cadastro dos Padrões'!$A$2:$V$4400,AE$1,FALSE))</f>
        <v>87</v>
      </c>
      <c r="AF14" s="31">
        <f>IF(VLOOKUP(ROUND(CONCATENATE($A14,AF$2),0),'Cadastro dos Padrões'!$A$2:$V$4400,AF$1,FALSE)="","-",VLOOKUP(ROUND(CONCATENATE($A14,AF$2),0),'Cadastro dos Padrões'!$A$2:$V$4400,AF$1,FALSE))</f>
        <v>20.010000000000002</v>
      </c>
      <c r="AG14" s="31">
        <f>IF(VLOOKUP(ROUND(CONCATENATE($A14,AG$2),0),'Cadastro dos Padrões'!$A$2:$V$4400,AG$1,FALSE)="","-",VLOOKUP(ROUND(CONCATENATE($A14,AG$2),0),'Cadastro dos Padrões'!$A$2:$V$4400,AG$1,FALSE))</f>
        <v>0.27</v>
      </c>
      <c r="AH14" s="31">
        <f>IF(VLOOKUP(ROUND(CONCATENATE($A14,AH$2),0),'Cadastro dos Padrões'!$A$2:$V$4400,AH$1,FALSE)="","-",VLOOKUP(ROUND(CONCATENATE($A14,AH$2),0),'Cadastro dos Padrões'!$A$2:$V$4400,AH$1,FALSE))</f>
        <v>2.04</v>
      </c>
      <c r="AI14" s="31">
        <f>IF(VLOOKUP(ROUND(CONCATENATE($A14,AI$2),0),'Cadastro dos Padrões'!$A$2:$V$4400,AI$1,FALSE)="","-",VLOOKUP(ROUND(CONCATENATE($A14,AI$2),0),'Cadastro dos Padrões'!$A$2:$V$4400,AI$1,FALSE))</f>
        <v>65</v>
      </c>
      <c r="AJ14" s="31">
        <f>IF(VLOOKUP(ROUND(CONCATENATE($A14,AJ$2),0),'Cadastro dos Padrões'!$A$2:$V$4400,AJ$1,FALSE)="","-",VLOOKUP(ROUND(CONCATENATE($A14,AJ$2),0),'Cadastro dos Padrões'!$A$2:$V$4400,AJ$1,FALSE))</f>
        <v>29.99</v>
      </c>
      <c r="AK14" s="31">
        <f>IF(VLOOKUP(ROUND(CONCATENATE($A14,AK$2),0),'Cadastro dos Padrões'!$A$2:$V$4400,AK$1,FALSE)="","-",VLOOKUP(ROUND(CONCATENATE($A14,AK$2),0),'Cadastro dos Padrões'!$A$2:$V$4400,AK$1,FALSE))</f>
        <v>0.35</v>
      </c>
      <c r="AL14" s="31">
        <f>IF(VLOOKUP(ROUND(CONCATENATE($A14,AL$2),0),'Cadastro dos Padrões'!$A$2:$V$4400,AL$1,FALSE)="","-",VLOOKUP(ROUND(CONCATENATE($A14,AL$2),0),'Cadastro dos Padrões'!$A$2:$V$4400,AL$1,FALSE))</f>
        <v>2.04</v>
      </c>
      <c r="AM14" s="31">
        <f>IF(VLOOKUP(ROUND(CONCATENATE($A14,AM$2),0),'Cadastro dos Padrões'!$A$2:$V$4400,AM$1,FALSE)="","-",VLOOKUP(ROUND(CONCATENATE($A14,AM$2),0),'Cadastro dos Padrões'!$A$2:$V$4400,AM$1,FALSE))</f>
        <v>67</v>
      </c>
      <c r="AN14" s="31">
        <f>IF(VLOOKUP(ROUND(CONCATENATE($A14,AN$2),0),'Cadastro dos Padrões'!$A$2:$V$4400,AN$1,FALSE)="","-",VLOOKUP(ROUND(CONCATENATE($A14,AN$2),0),'Cadastro dos Padrões'!$A$2:$V$4400,AN$1,FALSE))</f>
        <v>50.01</v>
      </c>
      <c r="AO14" s="31">
        <f>IF(VLOOKUP(ROUND(CONCATENATE($A14,AO$2),0),'Cadastro dos Padrões'!$A$2:$V$4400,AO$1,FALSE)="","-",VLOOKUP(ROUND(CONCATENATE($A14,AO$2),0),'Cadastro dos Padrões'!$A$2:$V$4400,AO$1,FALSE))</f>
        <v>0.55000000000000004</v>
      </c>
      <c r="AP14" s="31">
        <f>IF(VLOOKUP(ROUND(CONCATENATE($A14,AP$2),0),'Cadastro dos Padrões'!$A$2:$V$4400,AP$1,FALSE)="","-",VLOOKUP(ROUND(CONCATENATE($A14,AP$2),0),'Cadastro dos Padrões'!$A$2:$V$4400,AP$1,FALSE))</f>
        <v>2.04</v>
      </c>
      <c r="AQ14" s="31">
        <f>IF(VLOOKUP(ROUND(CONCATENATE($A14,AQ$2),0),'Cadastro dos Padrões'!$A$2:$V$4400,AQ$1,FALSE)="","-",VLOOKUP(ROUND(CONCATENATE($A14,AQ$2),0),'Cadastro dos Padrões'!$A$2:$V$4400,AQ$1,FALSE))</f>
        <v>67</v>
      </c>
      <c r="AR14" s="31">
        <f>IF(VLOOKUP(ROUND(CONCATENATE($A14,AR$2),0),'Cadastro dos Padrões'!$A$2:$V$4400,AR$1,FALSE)="","-",VLOOKUP(ROUND(CONCATENATE($A14,AR$2),0),'Cadastro dos Padrões'!$A$2:$V$4400,AR$1,FALSE))</f>
        <v>80.010000000000005</v>
      </c>
      <c r="AS14" s="31">
        <f>IF(VLOOKUP(ROUND(CONCATENATE($A14,AS$2),0),'Cadastro dos Padrões'!$A$2:$V$4400,AS$1,FALSE)="","-",VLOOKUP(ROUND(CONCATENATE($A14,AS$2),0),'Cadastro dos Padrões'!$A$2:$V$4400,AS$1,FALSE))</f>
        <v>0.83</v>
      </c>
      <c r="AT14" s="31">
        <f>IF(VLOOKUP(ROUND(CONCATENATE($A14,AT$2),0),'Cadastro dos Padrões'!$A$2:$V$4400,AT$1,FALSE)="","-",VLOOKUP(ROUND(CONCATENATE($A14,AT$2),0),'Cadastro dos Padrões'!$A$2:$V$4400,AT$1,FALSE))</f>
        <v>2.04</v>
      </c>
      <c r="AU14" s="31">
        <f>IF(VLOOKUP(ROUND(CONCATENATE($A14,AU$2),0),'Cadastro dos Padrões'!$A$2:$V$4400,AU$1,FALSE)="","-",VLOOKUP(ROUND(CONCATENATE($A14,AU$2),0),'Cadastro dos Padrões'!$A$2:$V$4400,AU$1,FALSE))</f>
        <v>68</v>
      </c>
      <c r="AV14" s="31">
        <f>IF(VLOOKUP(ROUND(CONCATENATE($A14,AV$2),0),'Cadastro dos Padrões'!$A$2:$V$4400,AV$1,FALSE)="","-",VLOOKUP(ROUND(CONCATENATE($A14,AV$2),0),'Cadastro dos Padrões'!$A$2:$V$4400,AV$1,FALSE))</f>
        <v>97.96</v>
      </c>
      <c r="AW14" s="31">
        <f>IF(VLOOKUP(ROUND(CONCATENATE($A14,AW$2),0),'Cadastro dos Padrões'!$A$2:$V$4400,AW$1,FALSE)="","-",VLOOKUP(ROUND(CONCATENATE($A14,AW$2),0),'Cadastro dos Padrões'!$A$2:$V$4400,AW$1,FALSE))</f>
        <v>0.99</v>
      </c>
      <c r="AX14" s="31">
        <f>IF(VLOOKUP(ROUND(CONCATENATE($A14,AX$2),0),'Cadastro dos Padrões'!$A$2:$V$4400,AX$1,FALSE)="","-",VLOOKUP(ROUND(CONCATENATE($A14,AX$2),0),'Cadastro dos Padrões'!$A$2:$V$4400,AX$1,FALSE))</f>
        <v>2.04</v>
      </c>
      <c r="AY14" s="31">
        <f>IF(VLOOKUP(ROUND(CONCATENATE($A14,AY$2),0),'Cadastro dos Padrões'!$A$2:$V$4400,AY$1,FALSE)="","-",VLOOKUP(ROUND(CONCATENATE($A14,AY$2),0),'Cadastro dos Padrões'!$A$2:$V$4400,AY$1,FALSE))</f>
        <v>68</v>
      </c>
      <c r="AZ14" s="31" t="str">
        <f>IF(VLOOKUP(ROUND(CONCATENATE($A14,AZ$2),0),'Cadastro dos Padrões'!$A$2:$V$4400,AZ$1,FALSE)="","-",VLOOKUP(ROUND(CONCATENATE($A14,AZ$2),0),'Cadastro dos Padrões'!$A$2:$V$4400,AZ$1,FALSE))</f>
        <v>-</v>
      </c>
      <c r="BA14" s="31" t="str">
        <f>IF(VLOOKUP(ROUND(CONCATENATE($A14,BA$2),0),'Cadastro dos Padrões'!$A$2:$V$4400,BA$1,FALSE)="","-",VLOOKUP(ROUND(CONCATENATE($A14,BA$2),0),'Cadastro dos Padrões'!$A$2:$V$4400,BA$1,FALSE))</f>
        <v>-</v>
      </c>
      <c r="BB14" s="31" t="str">
        <f>IF(VLOOKUP(ROUND(CONCATENATE($A14,BB$2),0),'Cadastro dos Padrões'!$A$2:$V$4400,BB$1,FALSE)="","-",VLOOKUP(ROUND(CONCATENATE($A14,BB$2),0),'Cadastro dos Padrões'!$A$2:$V$4400,BB$1,FALSE))</f>
        <v>-</v>
      </c>
      <c r="BC14" s="31" t="str">
        <f>IF(VLOOKUP(ROUND(CONCATENATE($A14,BC$2),0),'Cadastro dos Padrões'!$A$2:$V$4400,BC$1,FALSE)="","-",VLOOKUP(ROUND(CONCATENATE($A14,BC$2),0),'Cadastro dos Padrões'!$A$2:$V$4400,BC$1,FALSE))</f>
        <v>-</v>
      </c>
      <c r="BD14" s="31" t="str">
        <f>IF(VLOOKUP(ROUND(CONCATENATE($A14,BD$2),0),'Cadastro dos Padrões'!$A$2:$V$4400,BD$1,FALSE)="","-",VLOOKUP(ROUND(CONCATENATE($A14,BD$2),0),'Cadastro dos Padrões'!$A$2:$V$4400,BD$1,FALSE))</f>
        <v>-</v>
      </c>
      <c r="BE14" s="31" t="str">
        <f>IF(VLOOKUP(ROUND(CONCATENATE($A14,BE$2),0),'Cadastro dos Padrões'!$A$2:$V$4400,BE$1,FALSE)="","-",VLOOKUP(ROUND(CONCATENATE($A14,BE$2),0),'Cadastro dos Padrões'!$A$2:$V$4400,BE$1,FALSE))</f>
        <v>-</v>
      </c>
      <c r="BF14" s="31" t="str">
        <f>IF(VLOOKUP(ROUND(CONCATENATE($A14,BF$2),0),'Cadastro dos Padrões'!$A$2:$V$4400,BF$1,FALSE)="","-",VLOOKUP(ROUND(CONCATENATE($A14,BF$2),0),'Cadastro dos Padrões'!$A$2:$V$4400,BF$1,FALSE))</f>
        <v>-</v>
      </c>
      <c r="BG14" s="31" t="str">
        <f>IF(VLOOKUP(ROUND(CONCATENATE($A14,BG$2),0),'Cadastro dos Padrões'!$A$2:$V$4400,BG$1,FALSE)="","-",VLOOKUP(ROUND(CONCATENATE($A14,BG$2),0),'Cadastro dos Padrões'!$A$2:$V$4400,BG$1,FALSE))</f>
        <v>-</v>
      </c>
      <c r="BH14" s="31" t="str">
        <f>IF(VLOOKUP(ROUND(CONCATENATE($A14,BH$2),0),'Cadastro dos Padrões'!$A$2:$V$4400,BH$1,FALSE)="","-",VLOOKUP(ROUND(CONCATENATE($A14,BH$2),0),'Cadastro dos Padrões'!$A$2:$V$4400,BH$1,FALSE))</f>
        <v>-</v>
      </c>
      <c r="BI14" s="31" t="str">
        <f>IF(VLOOKUP(ROUND(CONCATENATE($A14,BI$2),0),'Cadastro dos Padrões'!$A$2:$V$4400,BI$1,FALSE)="","-",VLOOKUP(ROUND(CONCATENATE($A14,BI$2),0),'Cadastro dos Padrões'!$A$2:$V$4400,BI$1,FALSE))</f>
        <v>-</v>
      </c>
      <c r="BJ14" s="31" t="str">
        <f>IF(VLOOKUP(ROUND(CONCATENATE($A14,BJ$2),0),'Cadastro dos Padrões'!$A$2:$V$4400,BJ$1,FALSE)="","-",VLOOKUP(ROUND(CONCATENATE($A14,BJ$2),0),'Cadastro dos Padrões'!$A$2:$V$4400,BJ$1,FALSE))</f>
        <v>-</v>
      </c>
      <c r="BK14" s="31" t="str">
        <f>IF(VLOOKUP(ROUND(CONCATENATE($A14,BK$2),0),'Cadastro dos Padrões'!$A$2:$V$4400,BK$1,FALSE)="","-",VLOOKUP(ROUND(CONCATENATE($A14,BK$2),0),'Cadastro dos Padrões'!$A$2:$V$4400,BK$1,FALSE))</f>
        <v>-</v>
      </c>
      <c r="BL14" s="31" t="str">
        <f>IF(VLOOKUP(ROUND(CONCATENATE($A14,BL$2),0),'Cadastro dos Padrões'!$A$2:$V$4400,BL$1,FALSE)="","-",VLOOKUP(ROUND(CONCATENATE($A14,BL$2),0),'Cadastro dos Padrões'!$A$2:$V$4400,BL$1,FALSE))</f>
        <v>-</v>
      </c>
      <c r="BM14" s="31" t="str">
        <f>IF(VLOOKUP(ROUND(CONCATENATE($A14,BM$2),0),'Cadastro dos Padrões'!$A$2:$V$4400,BM$1,FALSE)="","-",VLOOKUP(ROUND(CONCATENATE($A14,BM$2),0),'Cadastro dos Padrões'!$A$2:$V$4400,BM$1,FALSE))</f>
        <v>-</v>
      </c>
      <c r="BN14" s="31" t="str">
        <f>IF(VLOOKUP(ROUND(CONCATENATE($A14,BN$2),0),'Cadastro dos Padrões'!$A$2:$V$4400,BN$1,FALSE)="","-",VLOOKUP(ROUND(CONCATENATE($A14,BN$2),0),'Cadastro dos Padrões'!$A$2:$V$4400,BN$1,FALSE))</f>
        <v>-</v>
      </c>
      <c r="BO14" s="31" t="str">
        <f>IF(VLOOKUP(ROUND(CONCATENATE($A14,BO$2),0),'Cadastro dos Padrões'!$A$2:$V$4400,BO$1,FALSE)="","-",VLOOKUP(ROUND(CONCATENATE($A14,BO$2),0),'Cadastro dos Padrões'!$A$2:$V$4400,BO$1,FALSE))</f>
        <v>-</v>
      </c>
    </row>
    <row r="15" spans="1:67" x14ac:dyDescent="0.3">
      <c r="A15" s="6">
        <f t="shared" si="52"/>
        <v>10</v>
      </c>
      <c r="B15" s="31" t="str">
        <f>IF(VLOOKUP(ROUND(CONCATENATE($A15,B$2),0),'Cadastro dos Padrões'!$A$2:$V$4400,B$1,FALSE)="","-",VLOOKUP(ROUND(CONCATENATE($A15,B$2),0),'Cadastro dos Padrões'!$A$2:$V$4400,B$1,FALSE))</f>
        <v>E.TH.LT-006</v>
      </c>
      <c r="C15" s="31" t="str">
        <f>IF($B15="-","-",VLOOKUP(ROUND(CONCATENATE($A15,C$2),0),'Cadastro dos Padrões'!$A$2:$V$4400,C$1,FALSE))</f>
        <v>Termohigrômetro Digital</v>
      </c>
      <c r="D15" s="31">
        <f>IF($B15="-","-",VLOOKUP(ROUND(CONCATENATE($A15,D$2),0),'Cadastro dos Padrões'!$A$2:$V$4400,D$1,FALSE))</f>
        <v>25</v>
      </c>
      <c r="E15" s="31" t="str">
        <f>IF($B15="-","-",VLOOKUP(ROUND(CONCATENATE($A15,E$2),0),'Cadastro dos Padrões'!$A$2:$V$4400,E$1,FALSE))</f>
        <v>Elus</v>
      </c>
      <c r="F15" s="31" t="str">
        <f>IF($B15="-","-",VLOOKUP(ROUND(CONCATENATE($A15,F$2),0),'Cadastro dos Padrões'!$A$2:$V$4400,F$1,FALSE))</f>
        <v>RBC - CAL 0439</v>
      </c>
      <c r="G15" s="31" t="str">
        <f>IF($B15="-","-",VLOOKUP(ROUND(CONCATENATE($A15,G$2),0),'Cadastro dos Padrões'!$A$2:$V$4400,G$1,FALSE))</f>
        <v>E0843/25</v>
      </c>
      <c r="H15" s="32">
        <f>IF($B15="-","-",VLOOKUP(ROUND(CONCATENATE($A15,H$2),0),'Cadastro dos Padrões'!$A$2:$V$4400,H$1,FALSE))</f>
        <v>45989</v>
      </c>
      <c r="I15" s="33">
        <f>IF($B15="-","-",VLOOKUP(ROUND(CONCATENATE($A15,I$2),0),'Cadastro dos Padrões'!$A$2:$V$4400,I$1,FALSE))</f>
        <v>46170</v>
      </c>
      <c r="J15" s="31" t="str">
        <f>IF($B15="-","-",VLOOKUP(ROUND(CONCATENATE($A15,J$2),0),'Cadastro dos Padrões'!$A$2:$V$4400,J$1,FALSE))</f>
        <v>%ur</v>
      </c>
      <c r="K15" s="31">
        <f>IF($B15="-","-",VLOOKUP(ROUND(CONCATENATE($A15,K$2),0),'Cadastro dos Padrões'!$A$2:$V$4400,K$1,FALSE))</f>
        <v>5.01</v>
      </c>
      <c r="L15" s="31">
        <f>IF($B15="-","-",VLOOKUP(ROUND(CONCATENATE($A15,L$2),0),'Cadastro dos Padrões'!$A$2:$V$4400,L$1,FALSE))</f>
        <v>97.97</v>
      </c>
      <c r="M15" s="31">
        <f>IF($B15="-","-",VLOOKUP(ROUND(CONCATENATE($A15,M$2),0),'Cadastro dos Padrões'!$A$2:$V$4400,M$1,FALSE))</f>
        <v>0.01</v>
      </c>
      <c r="N15" s="31">
        <f>IF($B15="-","-",VLOOKUP(ROUND(CONCATENATE($A15,N$2),0),'Cadastro dos Padrões'!$A$2:$V$4400,N$1,FALSE))</f>
        <v>0.76999999999999957</v>
      </c>
      <c r="O15" s="31">
        <f>IF($B15="-","-",VLOOKUP(ROUND(CONCATENATE($A15,O$2),0),'Cadastro dos Padrões'!$A$2:$V$4400,O$1,FALSE))</f>
        <v>0.93</v>
      </c>
      <c r="P15" s="31">
        <f>IF($B15="-","-",VLOOKUP(ROUND(CONCATENATE($A15,P$2),0),'Cadastro dos Padrões'!$A$2:$V$4400,P$1,FALSE))</f>
        <v>0.85000000000000853</v>
      </c>
      <c r="Q15" s="31">
        <f>IF($B15="-","-",VLOOKUP(ROUND(CONCATENATE($A15,Q$2),0),'Cadastro dos Padrões'!$A$2:$V$4400,Q$1,FALSE))</f>
        <v>2.8328902343051077E-2</v>
      </c>
      <c r="R15" s="31">
        <f>IF($B15="-","-",VLOOKUP(ROUND(CONCATENATE($A15,R$2),0),'Cadastro dos Padrões'!$A$2:$V$4400,R$1,FALSE))</f>
        <v>4</v>
      </c>
      <c r="S15" s="31">
        <f>IF($B15="-","-",VLOOKUP(ROUND(CONCATENATE($A15,S$2),0),'Cadastro dos Padrões'!$A$2:$V$4400,S$1,FALSE))</f>
        <v>0</v>
      </c>
      <c r="T15" s="31">
        <f>IF($B15="-","-",VLOOKUP(ROUND(CONCATENATE($A15,T$2),0),'Cadastro dos Padrões'!$A$2:$V$4400,T$1,FALSE))</f>
        <v>0</v>
      </c>
      <c r="U15" s="31">
        <f>IF($B15="-","-",VLOOKUP(ROUND(CONCATENATE($A15,U$2),0),'Cadastro dos Padrões'!$A$2:$V$4400,U$1,FALSE))</f>
        <v>0</v>
      </c>
      <c r="V15" s="31">
        <f>IF($B15="-","-",VLOOKUP(ROUND(CONCATENATE($A15,V$2),0),'Cadastro dos Padrões'!$A$2:$V$4400,V$1,FALSE))</f>
        <v>0</v>
      </c>
      <c r="W15" s="31">
        <f>IF($B15="-","-",VLOOKUP(ROUND(CONCATENATE($A15,W$2),0),'Cadastro dos Padrões'!$A$2:$V$4400,W$1,FALSE))</f>
        <v>-9.4175686986420247E-8</v>
      </c>
      <c r="X15" s="31">
        <f>IF($B15="-","-",VLOOKUP(ROUND(CONCATENATE($A15,X$2),0),'Cadastro dos Padrões'!$A$2:$V$4400,X$1,FALSE))</f>
        <v>1.5559031970882384E-5</v>
      </c>
      <c r="Y15" s="31">
        <f>IF($B15="-","-",VLOOKUP(ROUND(CONCATENATE($A15,Y$2),0),'Cadastro dos Padrões'!$A$2:$V$4400,Y$1,FALSE))</f>
        <v>-5.2680065819076427E-4</v>
      </c>
      <c r="Z15" s="31">
        <f>IF($B15="-","-",VLOOKUP(ROUND(CONCATENATE($A15,Z$2),0),'Cadastro dos Padrões'!$A$2:$V$4400,Z$1,FALSE))</f>
        <v>0.98371024885885616</v>
      </c>
      <c r="AA15" s="31">
        <f>IF($B15="-","-",VLOOKUP(ROUND(CONCATENATE($A15,AA$2),0),'Cadastro dos Padrões'!$A$2:$V$4400,AA$1,FALSE))</f>
        <v>0.84446984104603784</v>
      </c>
      <c r="AB15" s="31">
        <f>IF(VLOOKUP(ROUND(CONCATENATE($A15,AB$2),0),'Cadastro dos Padrões'!$A$2:$V$4400,AB$1,FALSE)="","-",VLOOKUP(ROUND(CONCATENATE($A15,AB$2),0),'Cadastro dos Padrões'!$A$2:$V$4400,AB$1,FALSE))</f>
        <v>5.01</v>
      </c>
      <c r="AC15" s="31">
        <f>IF(VLOOKUP(ROUND(CONCATENATE($A15,AC$2),0),'Cadastro dos Padrões'!$A$2:$V$4400,AC$1,FALSE)="","-",VLOOKUP(ROUND(CONCATENATE($A15,AC$2),0),'Cadastro dos Padrões'!$A$2:$V$4400,AC$1,FALSE))</f>
        <v>0.25</v>
      </c>
      <c r="AD15" s="31">
        <f>IF(VLOOKUP(ROUND(CONCATENATE($A15,AD$2),0),'Cadastro dos Padrões'!$A$2:$V$4400,AD$1,FALSE)="","-",VLOOKUP(ROUND(CONCATENATE($A15,AD$2),0),'Cadastro dos Padrões'!$A$2:$V$4400,AD$1,FALSE))</f>
        <v>2.0299999999999998</v>
      </c>
      <c r="AE15" s="31">
        <f>IF(VLOOKUP(ROUND(CONCATENATE($A15,AE$2),0),'Cadastro dos Padrões'!$A$2:$V$4400,AE$1,FALSE)="","-",VLOOKUP(ROUND(CONCATENATE($A15,AE$2),0),'Cadastro dos Padrões'!$A$2:$V$4400,AE$1,FALSE))</f>
        <v>87</v>
      </c>
      <c r="AF15" s="31">
        <f>IF(VLOOKUP(ROUND(CONCATENATE($A15,AF$2),0),'Cadastro dos Padrões'!$A$2:$V$4400,AF$1,FALSE)="","-",VLOOKUP(ROUND(CONCATENATE($A15,AF$2),0),'Cadastro dos Padrões'!$A$2:$V$4400,AF$1,FALSE))</f>
        <v>19.989999999999998</v>
      </c>
      <c r="AG15" s="31">
        <f>IF(VLOOKUP(ROUND(CONCATENATE($A15,AG$2),0),'Cadastro dos Padrões'!$A$2:$V$4400,AG$1,FALSE)="","-",VLOOKUP(ROUND(CONCATENATE($A15,AG$2),0),'Cadastro dos Padrões'!$A$2:$V$4400,AG$1,FALSE))</f>
        <v>0.25</v>
      </c>
      <c r="AH15" s="31">
        <f>IF(VLOOKUP(ROUND(CONCATENATE($A15,AH$2),0),'Cadastro dos Padrões'!$A$2:$V$4400,AH$1,FALSE)="","-",VLOOKUP(ROUND(CONCATENATE($A15,AH$2),0),'Cadastro dos Padrões'!$A$2:$V$4400,AH$1,FALSE))</f>
        <v>2.04</v>
      </c>
      <c r="AI15" s="31">
        <f>IF(VLOOKUP(ROUND(CONCATENATE($A15,AI$2),0),'Cadastro dos Padrões'!$A$2:$V$4400,AI$1,FALSE)="","-",VLOOKUP(ROUND(CONCATENATE($A15,AI$2),0),'Cadastro dos Padrões'!$A$2:$V$4400,AI$1,FALSE))</f>
        <v>66</v>
      </c>
      <c r="AJ15" s="31">
        <f>IF(VLOOKUP(ROUND(CONCATENATE($A15,AJ$2),0),'Cadastro dos Padrões'!$A$2:$V$4400,AJ$1,FALSE)="","-",VLOOKUP(ROUND(CONCATENATE($A15,AJ$2),0),'Cadastro dos Padrões'!$A$2:$V$4400,AJ$1,FALSE))</f>
        <v>30.01</v>
      </c>
      <c r="AK15" s="31">
        <f>IF(VLOOKUP(ROUND(CONCATENATE($A15,AK$2),0),'Cadastro dos Padrões'!$A$2:$V$4400,AK$1,FALSE)="","-",VLOOKUP(ROUND(CONCATENATE($A15,AK$2),0),'Cadastro dos Padrões'!$A$2:$V$4400,AK$1,FALSE))</f>
        <v>0.33</v>
      </c>
      <c r="AL15" s="31">
        <f>IF(VLOOKUP(ROUND(CONCATENATE($A15,AL$2),0),'Cadastro dos Padrões'!$A$2:$V$4400,AL$1,FALSE)="","-",VLOOKUP(ROUND(CONCATENATE($A15,AL$2),0),'Cadastro dos Padrões'!$A$2:$V$4400,AL$1,FALSE))</f>
        <v>2.04</v>
      </c>
      <c r="AM15" s="31">
        <f>IF(VLOOKUP(ROUND(CONCATENATE($A15,AM$2),0),'Cadastro dos Padrões'!$A$2:$V$4400,AM$1,FALSE)="","-",VLOOKUP(ROUND(CONCATENATE($A15,AM$2),0),'Cadastro dos Padrões'!$A$2:$V$4400,AM$1,FALSE))</f>
        <v>67</v>
      </c>
      <c r="AN15" s="31">
        <f>IF(VLOOKUP(ROUND(CONCATENATE($A15,AN$2),0),'Cadastro dos Padrões'!$A$2:$V$4400,AN$1,FALSE)="","-",VLOOKUP(ROUND(CONCATENATE($A15,AN$2),0),'Cadastro dos Padrões'!$A$2:$V$4400,AN$1,FALSE))</f>
        <v>50</v>
      </c>
      <c r="AO15" s="31">
        <f>IF(VLOOKUP(ROUND(CONCATENATE($A15,AO$2),0),'Cadastro dos Padrões'!$A$2:$V$4400,AO$1,FALSE)="","-",VLOOKUP(ROUND(CONCATENATE($A15,AO$2),0),'Cadastro dos Padrões'!$A$2:$V$4400,AO$1,FALSE))</f>
        <v>0.53</v>
      </c>
      <c r="AP15" s="31">
        <f>IF(VLOOKUP(ROUND(CONCATENATE($A15,AP$2),0),'Cadastro dos Padrões'!$A$2:$V$4400,AP$1,FALSE)="","-",VLOOKUP(ROUND(CONCATENATE($A15,AP$2),0),'Cadastro dos Padrões'!$A$2:$V$4400,AP$1,FALSE))</f>
        <v>2.04</v>
      </c>
      <c r="AQ15" s="31">
        <f>IF(VLOOKUP(ROUND(CONCATENATE($A15,AQ$2),0),'Cadastro dos Padrões'!$A$2:$V$4400,AQ$1,FALSE)="","-",VLOOKUP(ROUND(CONCATENATE($A15,AQ$2),0),'Cadastro dos Padrões'!$A$2:$V$4400,AQ$1,FALSE))</f>
        <v>67</v>
      </c>
      <c r="AR15" s="31">
        <f>IF(VLOOKUP(ROUND(CONCATENATE($A15,AR$2),0),'Cadastro dos Padrões'!$A$2:$V$4400,AR$1,FALSE)="","-",VLOOKUP(ROUND(CONCATENATE($A15,AR$2),0),'Cadastro dos Padrões'!$A$2:$V$4400,AR$1,FALSE))</f>
        <v>79.989999999999995</v>
      </c>
      <c r="AS15" s="31">
        <f>IF(VLOOKUP(ROUND(CONCATENATE($A15,AS$2),0),'Cadastro dos Padrões'!$A$2:$V$4400,AS$1,FALSE)="","-",VLOOKUP(ROUND(CONCATENATE($A15,AS$2),0),'Cadastro dos Padrões'!$A$2:$V$4400,AS$1,FALSE))</f>
        <v>0.8</v>
      </c>
      <c r="AT15" s="31">
        <f>IF(VLOOKUP(ROUND(CONCATENATE($A15,AT$2),0),'Cadastro dos Padrões'!$A$2:$V$4400,AT$1,FALSE)="","-",VLOOKUP(ROUND(CONCATENATE($A15,AT$2),0),'Cadastro dos Padrões'!$A$2:$V$4400,AT$1,FALSE))</f>
        <v>2.04</v>
      </c>
      <c r="AU15" s="31">
        <f>IF(VLOOKUP(ROUND(CONCATENATE($A15,AU$2),0),'Cadastro dos Padrões'!$A$2:$V$4400,AU$1,FALSE)="","-",VLOOKUP(ROUND(CONCATENATE($A15,AU$2),0),'Cadastro dos Padrões'!$A$2:$V$4400,AU$1,FALSE))</f>
        <v>68</v>
      </c>
      <c r="AV15" s="31">
        <f>IF(VLOOKUP(ROUND(CONCATENATE($A15,AV$2),0),'Cadastro dos Padrões'!$A$2:$V$4400,AV$1,FALSE)="","-",VLOOKUP(ROUND(CONCATENATE($A15,AV$2),0),'Cadastro dos Padrões'!$A$2:$V$4400,AV$1,FALSE))</f>
        <v>97.97</v>
      </c>
      <c r="AW15" s="31">
        <f>IF(VLOOKUP(ROUND(CONCATENATE($A15,AW$2),0),'Cadastro dos Padrões'!$A$2:$V$4400,AW$1,FALSE)="","-",VLOOKUP(ROUND(CONCATENATE($A15,AW$2),0),'Cadastro dos Padrões'!$A$2:$V$4400,AW$1,FALSE))</f>
        <v>0.93</v>
      </c>
      <c r="AX15" s="31">
        <f>IF(VLOOKUP(ROUND(CONCATENATE($A15,AX$2),0),'Cadastro dos Padrões'!$A$2:$V$4400,AX$1,FALSE)="","-",VLOOKUP(ROUND(CONCATENATE($A15,AX$2),0),'Cadastro dos Padrões'!$A$2:$V$4400,AX$1,FALSE))</f>
        <v>2.04</v>
      </c>
      <c r="AY15" s="31">
        <f>IF(VLOOKUP(ROUND(CONCATENATE($A15,AY$2),0),'Cadastro dos Padrões'!$A$2:$V$4400,AY$1,FALSE)="","-",VLOOKUP(ROUND(CONCATENATE($A15,AY$2),0),'Cadastro dos Padrões'!$A$2:$V$4400,AY$1,FALSE))</f>
        <v>62</v>
      </c>
      <c r="AZ15" s="31" t="str">
        <f>IF(VLOOKUP(ROUND(CONCATENATE($A15,AZ$2),0),'Cadastro dos Padrões'!$A$2:$V$4400,AZ$1,FALSE)="","-",VLOOKUP(ROUND(CONCATENATE($A15,AZ$2),0),'Cadastro dos Padrões'!$A$2:$V$4400,AZ$1,FALSE))</f>
        <v>-</v>
      </c>
      <c r="BA15" s="31" t="str">
        <f>IF(VLOOKUP(ROUND(CONCATENATE($A15,BA$2),0),'Cadastro dos Padrões'!$A$2:$V$4400,BA$1,FALSE)="","-",VLOOKUP(ROUND(CONCATENATE($A15,BA$2),0),'Cadastro dos Padrões'!$A$2:$V$4400,BA$1,FALSE))</f>
        <v>-</v>
      </c>
      <c r="BB15" s="31" t="str">
        <f>IF(VLOOKUP(ROUND(CONCATENATE($A15,BB$2),0),'Cadastro dos Padrões'!$A$2:$V$4400,BB$1,FALSE)="","-",VLOOKUP(ROUND(CONCATENATE($A15,BB$2),0),'Cadastro dos Padrões'!$A$2:$V$4400,BB$1,FALSE))</f>
        <v>-</v>
      </c>
      <c r="BC15" s="31" t="str">
        <f>IF(VLOOKUP(ROUND(CONCATENATE($A15,BC$2),0),'Cadastro dos Padrões'!$A$2:$V$4400,BC$1,FALSE)="","-",VLOOKUP(ROUND(CONCATENATE($A15,BC$2),0),'Cadastro dos Padrões'!$A$2:$V$4400,BC$1,FALSE))</f>
        <v>-</v>
      </c>
      <c r="BD15" s="31" t="str">
        <f>IF(VLOOKUP(ROUND(CONCATENATE($A15,BD$2),0),'Cadastro dos Padrões'!$A$2:$V$4400,BD$1,FALSE)="","-",VLOOKUP(ROUND(CONCATENATE($A15,BD$2),0),'Cadastro dos Padrões'!$A$2:$V$4400,BD$1,FALSE))</f>
        <v>-</v>
      </c>
      <c r="BE15" s="31" t="str">
        <f>IF(VLOOKUP(ROUND(CONCATENATE($A15,BE$2),0),'Cadastro dos Padrões'!$A$2:$V$4400,BE$1,FALSE)="","-",VLOOKUP(ROUND(CONCATENATE($A15,BE$2),0),'Cadastro dos Padrões'!$A$2:$V$4400,BE$1,FALSE))</f>
        <v>-</v>
      </c>
      <c r="BF15" s="31" t="str">
        <f>IF(VLOOKUP(ROUND(CONCATENATE($A15,BF$2),0),'Cadastro dos Padrões'!$A$2:$V$4400,BF$1,FALSE)="","-",VLOOKUP(ROUND(CONCATENATE($A15,BF$2),0),'Cadastro dos Padrões'!$A$2:$V$4400,BF$1,FALSE))</f>
        <v>-</v>
      </c>
      <c r="BG15" s="31" t="str">
        <f>IF(VLOOKUP(ROUND(CONCATENATE($A15,BG$2),0),'Cadastro dos Padrões'!$A$2:$V$4400,BG$1,FALSE)="","-",VLOOKUP(ROUND(CONCATENATE($A15,BG$2),0),'Cadastro dos Padrões'!$A$2:$V$4400,BG$1,FALSE))</f>
        <v>-</v>
      </c>
      <c r="BH15" s="31" t="str">
        <f>IF(VLOOKUP(ROUND(CONCATENATE($A15,BH$2),0),'Cadastro dos Padrões'!$A$2:$V$4400,BH$1,FALSE)="","-",VLOOKUP(ROUND(CONCATENATE($A15,BH$2),0),'Cadastro dos Padrões'!$A$2:$V$4400,BH$1,FALSE))</f>
        <v>-</v>
      </c>
      <c r="BI15" s="31" t="str">
        <f>IF(VLOOKUP(ROUND(CONCATENATE($A15,BI$2),0),'Cadastro dos Padrões'!$A$2:$V$4400,BI$1,FALSE)="","-",VLOOKUP(ROUND(CONCATENATE($A15,BI$2),0),'Cadastro dos Padrões'!$A$2:$V$4400,BI$1,FALSE))</f>
        <v>-</v>
      </c>
      <c r="BJ15" s="31" t="str">
        <f>IF(VLOOKUP(ROUND(CONCATENATE($A15,BJ$2),0),'Cadastro dos Padrões'!$A$2:$V$4400,BJ$1,FALSE)="","-",VLOOKUP(ROUND(CONCATENATE($A15,BJ$2),0),'Cadastro dos Padrões'!$A$2:$V$4400,BJ$1,FALSE))</f>
        <v>-</v>
      </c>
      <c r="BK15" s="31" t="str">
        <f>IF(VLOOKUP(ROUND(CONCATENATE($A15,BK$2),0),'Cadastro dos Padrões'!$A$2:$V$4400,BK$1,FALSE)="","-",VLOOKUP(ROUND(CONCATENATE($A15,BK$2),0),'Cadastro dos Padrões'!$A$2:$V$4400,BK$1,FALSE))</f>
        <v>-</v>
      </c>
      <c r="BL15" s="31" t="str">
        <f>IF(VLOOKUP(ROUND(CONCATENATE($A15,BL$2),0),'Cadastro dos Padrões'!$A$2:$V$4400,BL$1,FALSE)="","-",VLOOKUP(ROUND(CONCATENATE($A15,BL$2),0),'Cadastro dos Padrões'!$A$2:$V$4400,BL$1,FALSE))</f>
        <v>-</v>
      </c>
      <c r="BM15" s="31" t="str">
        <f>IF(VLOOKUP(ROUND(CONCATENATE($A15,BM$2),0),'Cadastro dos Padrões'!$A$2:$V$4400,BM$1,FALSE)="","-",VLOOKUP(ROUND(CONCATENATE($A15,BM$2),0),'Cadastro dos Padrões'!$A$2:$V$4400,BM$1,FALSE))</f>
        <v>-</v>
      </c>
      <c r="BN15" s="31" t="str">
        <f>IF(VLOOKUP(ROUND(CONCATENATE($A15,BN$2),0),'Cadastro dos Padrões'!$A$2:$V$4400,BN$1,FALSE)="","-",VLOOKUP(ROUND(CONCATENATE($A15,BN$2),0),'Cadastro dos Padrões'!$A$2:$V$4400,BN$1,FALSE))</f>
        <v>-</v>
      </c>
      <c r="BO15" s="31" t="str">
        <f>IF(VLOOKUP(ROUND(CONCATENATE($A15,BO$2),0),'Cadastro dos Padrões'!$A$2:$V$4400,BO$1,FALSE)="","-",VLOOKUP(ROUND(CONCATENATE($A15,BO$2),0),'Cadastro dos Padrões'!$A$2:$V$4400,BO$1,FALSE))</f>
        <v>-</v>
      </c>
    </row>
    <row r="16" spans="1:67" x14ac:dyDescent="0.3">
      <c r="A16" s="6">
        <f t="shared" si="52"/>
        <v>11</v>
      </c>
      <c r="B16" s="31" t="str">
        <f>IF(VLOOKUP(ROUND(CONCATENATE($A16,B$2),0),'Cadastro dos Padrões'!$A$2:$V$4400,B$1,FALSE)="","-",VLOOKUP(ROUND(CONCATENATE($A16,B$2),0),'Cadastro dos Padrões'!$A$2:$V$4400,B$1,FALSE))</f>
        <v>-</v>
      </c>
      <c r="C16" s="31" t="str">
        <f>IF($B16="-","-",VLOOKUP(ROUND(CONCATENATE($A16,C$2),0),'Cadastro dos Padrões'!$A$2:$V$4400,C$1,FALSE))</f>
        <v>-</v>
      </c>
      <c r="D16" s="31" t="str">
        <f>IF($B16="-","-",VLOOKUP(ROUND(CONCATENATE($A16,D$2),0),'Cadastro dos Padrões'!$A$2:$V$4400,D$1,FALSE))</f>
        <v>-</v>
      </c>
      <c r="E16" s="31" t="str">
        <f>IF($B16="-","-",VLOOKUP(ROUND(CONCATENATE($A16,E$2),0),'Cadastro dos Padrões'!$A$2:$V$4400,E$1,FALSE))</f>
        <v>-</v>
      </c>
      <c r="F16" s="31" t="str">
        <f>IF($B16="-","-",VLOOKUP(ROUND(CONCATENATE($A16,F$2),0),'Cadastro dos Padrões'!$A$2:$V$4400,F$1,FALSE))</f>
        <v>-</v>
      </c>
      <c r="G16" s="31" t="str">
        <f>IF($B16="-","-",VLOOKUP(ROUND(CONCATENATE($A16,G$2),0),'Cadastro dos Padrões'!$A$2:$V$4400,G$1,FALSE))</f>
        <v>-</v>
      </c>
      <c r="H16" s="32" t="str">
        <f>IF($B16="-","-",VLOOKUP(ROUND(CONCATENATE($A16,H$2),0),'Cadastro dos Padrões'!$A$2:$V$4400,H$1,FALSE))</f>
        <v>-</v>
      </c>
      <c r="I16" s="33" t="str">
        <f>IF($B16="-","-",VLOOKUP(ROUND(CONCATENATE($A16,I$2),0),'Cadastro dos Padrões'!$A$2:$V$4400,I$1,FALSE))</f>
        <v>-</v>
      </c>
      <c r="J16" s="31" t="str">
        <f>IF($B16="-","-",VLOOKUP(ROUND(CONCATENATE($A16,J$2),0),'Cadastro dos Padrões'!$A$2:$V$4400,J$1,FALSE))</f>
        <v>-</v>
      </c>
      <c r="K16" s="31" t="str">
        <f>IF($B16="-","-",VLOOKUP(ROUND(CONCATENATE($A16,K$2),0),'Cadastro dos Padrões'!$A$2:$V$4400,K$1,FALSE))</f>
        <v>-</v>
      </c>
      <c r="L16" s="31" t="str">
        <f>IF($B16="-","-",VLOOKUP(ROUND(CONCATENATE($A16,L$2),0),'Cadastro dos Padrões'!$A$2:$V$4400,L$1,FALSE))</f>
        <v>-</v>
      </c>
      <c r="M16" s="31" t="str">
        <f>IF($B16="-","-",VLOOKUP(ROUND(CONCATENATE($A16,M$2),0),'Cadastro dos Padrões'!$A$2:$V$4400,M$1,FALSE))</f>
        <v>-</v>
      </c>
      <c r="N16" s="31" t="str">
        <f>IF($B16="-","-",VLOOKUP(ROUND(CONCATENATE($A16,N$2),0),'Cadastro dos Padrões'!$A$2:$V$4400,N$1,FALSE))</f>
        <v>-</v>
      </c>
      <c r="O16" s="31" t="str">
        <f>IF($B16="-","-",VLOOKUP(ROUND(CONCATENATE($A16,O$2),0),'Cadastro dos Padrões'!$A$2:$V$4400,O$1,FALSE))</f>
        <v>-</v>
      </c>
      <c r="P16" s="31" t="str">
        <f>IF($B16="-","-",VLOOKUP(ROUND(CONCATENATE($A16,P$2),0),'Cadastro dos Padrões'!$A$2:$V$4400,P$1,FALSE))</f>
        <v>-</v>
      </c>
      <c r="Q16" s="31" t="str">
        <f>IF($B16="-","-",VLOOKUP(ROUND(CONCATENATE($A16,Q$2),0),'Cadastro dos Padrões'!$A$2:$V$4400,Q$1,FALSE))</f>
        <v>-</v>
      </c>
      <c r="R16" s="31" t="str">
        <f>IF($B16="-","-",VLOOKUP(ROUND(CONCATENATE($A16,R$2),0),'Cadastro dos Padrões'!$A$2:$V$4400,R$1,FALSE))</f>
        <v>-</v>
      </c>
      <c r="S16" s="31" t="str">
        <f>IF($B16="-","-",VLOOKUP(ROUND(CONCATENATE($A16,S$2),0),'Cadastro dos Padrões'!$A$2:$V$4400,S$1,FALSE))</f>
        <v>-</v>
      </c>
      <c r="T16" s="31" t="str">
        <f>IF($B16="-","-",VLOOKUP(ROUND(CONCATENATE($A16,T$2),0),'Cadastro dos Padrões'!$A$2:$V$4400,T$1,FALSE))</f>
        <v>-</v>
      </c>
      <c r="U16" s="31" t="str">
        <f>IF($B16="-","-",VLOOKUP(ROUND(CONCATENATE($A16,U$2),0),'Cadastro dos Padrões'!$A$2:$V$4400,U$1,FALSE))</f>
        <v>-</v>
      </c>
      <c r="V16" s="31" t="str">
        <f>IF($B16="-","-",VLOOKUP(ROUND(CONCATENATE($A16,V$2),0),'Cadastro dos Padrões'!$A$2:$V$4400,V$1,FALSE))</f>
        <v>-</v>
      </c>
      <c r="W16" s="31" t="str">
        <f>IF($B16="-","-",VLOOKUP(ROUND(CONCATENATE($A16,W$2),0),'Cadastro dos Padrões'!$A$2:$V$4400,W$1,FALSE))</f>
        <v>-</v>
      </c>
      <c r="X16" s="31" t="str">
        <f>IF($B16="-","-",VLOOKUP(ROUND(CONCATENATE($A16,X$2),0),'Cadastro dos Padrões'!$A$2:$V$4400,X$1,FALSE))</f>
        <v>-</v>
      </c>
      <c r="Y16" s="31" t="str">
        <f>IF($B16="-","-",VLOOKUP(ROUND(CONCATENATE($A16,Y$2),0),'Cadastro dos Padrões'!$A$2:$V$4400,Y$1,FALSE))</f>
        <v>-</v>
      </c>
      <c r="Z16" s="31" t="str">
        <f>IF($B16="-","-",VLOOKUP(ROUND(CONCATENATE($A16,Z$2),0),'Cadastro dos Padrões'!$A$2:$V$4400,Z$1,FALSE))</f>
        <v>-</v>
      </c>
      <c r="AA16" s="31" t="str">
        <f>IF($B16="-","-",VLOOKUP(ROUND(CONCATENATE($A16,AA$2),0),'Cadastro dos Padrões'!$A$2:$V$4400,AA$1,FALSE))</f>
        <v>-</v>
      </c>
      <c r="AB16" s="31" t="str">
        <f>IF(VLOOKUP(ROUND(CONCATENATE($A16,AB$2),0),'Cadastro dos Padrões'!$A$2:$V$4400,AB$1,FALSE)="","-",VLOOKUP(ROUND(CONCATENATE($A16,AB$2),0),'Cadastro dos Padrões'!$A$2:$V$4400,AB$1,FALSE))</f>
        <v>-</v>
      </c>
      <c r="AC16" s="31" t="str">
        <f>IF(VLOOKUP(ROUND(CONCATENATE($A16,AC$2),0),'Cadastro dos Padrões'!$A$2:$V$4400,AC$1,FALSE)="","-",VLOOKUP(ROUND(CONCATENATE($A16,AC$2),0),'Cadastro dos Padrões'!$A$2:$V$4400,AC$1,FALSE))</f>
        <v>-</v>
      </c>
      <c r="AD16" s="31" t="str">
        <f>IF(VLOOKUP(ROUND(CONCATENATE($A16,AD$2),0),'Cadastro dos Padrões'!$A$2:$V$4400,AD$1,FALSE)="","-",VLOOKUP(ROUND(CONCATENATE($A16,AD$2),0),'Cadastro dos Padrões'!$A$2:$V$4400,AD$1,FALSE))</f>
        <v>-</v>
      </c>
      <c r="AE16" s="31" t="str">
        <f>IF(VLOOKUP(ROUND(CONCATENATE($A16,AE$2),0),'Cadastro dos Padrões'!$A$2:$V$4400,AE$1,FALSE)="","-",VLOOKUP(ROUND(CONCATENATE($A16,AE$2),0),'Cadastro dos Padrões'!$A$2:$V$4400,AE$1,FALSE))</f>
        <v>-</v>
      </c>
      <c r="AF16" s="31" t="str">
        <f>IF(VLOOKUP(ROUND(CONCATENATE($A16,AF$2),0),'Cadastro dos Padrões'!$A$2:$V$4400,AF$1,FALSE)="","-",VLOOKUP(ROUND(CONCATENATE($A16,AF$2),0),'Cadastro dos Padrões'!$A$2:$V$4400,AF$1,FALSE))</f>
        <v>-</v>
      </c>
      <c r="AG16" s="31" t="str">
        <f>IF(VLOOKUP(ROUND(CONCATENATE($A16,AG$2),0),'Cadastro dos Padrões'!$A$2:$V$4400,AG$1,FALSE)="","-",VLOOKUP(ROUND(CONCATENATE($A16,AG$2),0),'Cadastro dos Padrões'!$A$2:$V$4400,AG$1,FALSE))</f>
        <v>-</v>
      </c>
      <c r="AH16" s="31" t="str">
        <f>IF(VLOOKUP(ROUND(CONCATENATE($A16,AH$2),0),'Cadastro dos Padrões'!$A$2:$V$4400,AH$1,FALSE)="","-",VLOOKUP(ROUND(CONCATENATE($A16,AH$2),0),'Cadastro dos Padrões'!$A$2:$V$4400,AH$1,FALSE))</f>
        <v>-</v>
      </c>
      <c r="AI16" s="31" t="str">
        <f>IF(VLOOKUP(ROUND(CONCATENATE($A16,AI$2),0),'Cadastro dos Padrões'!$A$2:$V$4400,AI$1,FALSE)="","-",VLOOKUP(ROUND(CONCATENATE($A16,AI$2),0),'Cadastro dos Padrões'!$A$2:$V$4400,AI$1,FALSE))</f>
        <v>-</v>
      </c>
      <c r="AJ16" s="31" t="str">
        <f>IF(VLOOKUP(ROUND(CONCATENATE($A16,AJ$2),0),'Cadastro dos Padrões'!$A$2:$V$4400,AJ$1,FALSE)="","-",VLOOKUP(ROUND(CONCATENATE($A16,AJ$2),0),'Cadastro dos Padrões'!$A$2:$V$4400,AJ$1,FALSE))</f>
        <v>-</v>
      </c>
      <c r="AK16" s="31" t="str">
        <f>IF(VLOOKUP(ROUND(CONCATENATE($A16,AK$2),0),'Cadastro dos Padrões'!$A$2:$V$4400,AK$1,FALSE)="","-",VLOOKUP(ROUND(CONCATENATE($A16,AK$2),0),'Cadastro dos Padrões'!$A$2:$V$4400,AK$1,FALSE))</f>
        <v>-</v>
      </c>
      <c r="AL16" s="31" t="str">
        <f>IF(VLOOKUP(ROUND(CONCATENATE($A16,AL$2),0),'Cadastro dos Padrões'!$A$2:$V$4400,AL$1,FALSE)="","-",VLOOKUP(ROUND(CONCATENATE($A16,AL$2),0),'Cadastro dos Padrões'!$A$2:$V$4400,AL$1,FALSE))</f>
        <v>-</v>
      </c>
      <c r="AM16" s="31" t="str">
        <f>IF(VLOOKUP(ROUND(CONCATENATE($A16,AM$2),0),'Cadastro dos Padrões'!$A$2:$V$4400,AM$1,FALSE)="","-",VLOOKUP(ROUND(CONCATENATE($A16,AM$2),0),'Cadastro dos Padrões'!$A$2:$V$4400,AM$1,FALSE))</f>
        <v>-</v>
      </c>
      <c r="AN16" s="31" t="str">
        <f>IF(VLOOKUP(ROUND(CONCATENATE($A16,AN$2),0),'Cadastro dos Padrões'!$A$2:$V$4400,AN$1,FALSE)="","-",VLOOKUP(ROUND(CONCATENATE($A16,AN$2),0),'Cadastro dos Padrões'!$A$2:$V$4400,AN$1,FALSE))</f>
        <v>-</v>
      </c>
      <c r="AO16" s="31" t="str">
        <f>IF(VLOOKUP(ROUND(CONCATENATE($A16,AO$2),0),'Cadastro dos Padrões'!$A$2:$V$4400,AO$1,FALSE)="","-",VLOOKUP(ROUND(CONCATENATE($A16,AO$2),0),'Cadastro dos Padrões'!$A$2:$V$4400,AO$1,FALSE))</f>
        <v>-</v>
      </c>
      <c r="AP16" s="31" t="str">
        <f>IF(VLOOKUP(ROUND(CONCATENATE($A16,AP$2),0),'Cadastro dos Padrões'!$A$2:$V$4400,AP$1,FALSE)="","-",VLOOKUP(ROUND(CONCATENATE($A16,AP$2),0),'Cadastro dos Padrões'!$A$2:$V$4400,AP$1,FALSE))</f>
        <v>-</v>
      </c>
      <c r="AQ16" s="31" t="str">
        <f>IF(VLOOKUP(ROUND(CONCATENATE($A16,AQ$2),0),'Cadastro dos Padrões'!$A$2:$V$4400,AQ$1,FALSE)="","-",VLOOKUP(ROUND(CONCATENATE($A16,AQ$2),0),'Cadastro dos Padrões'!$A$2:$V$4400,AQ$1,FALSE))</f>
        <v>-</v>
      </c>
      <c r="AR16" s="31" t="str">
        <f>IF(VLOOKUP(ROUND(CONCATENATE($A16,AR$2),0),'Cadastro dos Padrões'!$A$2:$V$4400,AR$1,FALSE)="","-",VLOOKUP(ROUND(CONCATENATE($A16,AR$2),0),'Cadastro dos Padrões'!$A$2:$V$4400,AR$1,FALSE))</f>
        <v>-</v>
      </c>
      <c r="AS16" s="31" t="str">
        <f>IF(VLOOKUP(ROUND(CONCATENATE($A16,AS$2),0),'Cadastro dos Padrões'!$A$2:$V$4400,AS$1,FALSE)="","-",VLOOKUP(ROUND(CONCATENATE($A16,AS$2),0),'Cadastro dos Padrões'!$A$2:$V$4400,AS$1,FALSE))</f>
        <v>-</v>
      </c>
      <c r="AT16" s="31" t="str">
        <f>IF(VLOOKUP(ROUND(CONCATENATE($A16,AT$2),0),'Cadastro dos Padrões'!$A$2:$V$4400,AT$1,FALSE)="","-",VLOOKUP(ROUND(CONCATENATE($A16,AT$2),0),'Cadastro dos Padrões'!$A$2:$V$4400,AT$1,FALSE))</f>
        <v>-</v>
      </c>
      <c r="AU16" s="31" t="str">
        <f>IF(VLOOKUP(ROUND(CONCATENATE($A16,AU$2),0),'Cadastro dos Padrões'!$A$2:$V$4400,AU$1,FALSE)="","-",VLOOKUP(ROUND(CONCATENATE($A16,AU$2),0),'Cadastro dos Padrões'!$A$2:$V$4400,AU$1,FALSE))</f>
        <v>-</v>
      </c>
      <c r="AV16" s="31" t="str">
        <f>IF(VLOOKUP(ROUND(CONCATENATE($A16,AV$2),0),'Cadastro dos Padrões'!$A$2:$V$4400,AV$1,FALSE)="","-",VLOOKUP(ROUND(CONCATENATE($A16,AV$2),0),'Cadastro dos Padrões'!$A$2:$V$4400,AV$1,FALSE))</f>
        <v>-</v>
      </c>
      <c r="AW16" s="31" t="str">
        <f>IF(VLOOKUP(ROUND(CONCATENATE($A16,AW$2),0),'Cadastro dos Padrões'!$A$2:$V$4400,AW$1,FALSE)="","-",VLOOKUP(ROUND(CONCATENATE($A16,AW$2),0),'Cadastro dos Padrões'!$A$2:$V$4400,AW$1,FALSE))</f>
        <v>-</v>
      </c>
      <c r="AX16" s="31" t="str">
        <f>IF(VLOOKUP(ROUND(CONCATENATE($A16,AX$2),0),'Cadastro dos Padrões'!$A$2:$V$4400,AX$1,FALSE)="","-",VLOOKUP(ROUND(CONCATENATE($A16,AX$2),0),'Cadastro dos Padrões'!$A$2:$V$4400,AX$1,FALSE))</f>
        <v>-</v>
      </c>
      <c r="AY16" s="31" t="str">
        <f>IF(VLOOKUP(ROUND(CONCATENATE($A16,AY$2),0),'Cadastro dos Padrões'!$A$2:$V$4400,AY$1,FALSE)="","-",VLOOKUP(ROUND(CONCATENATE($A16,AY$2),0),'Cadastro dos Padrões'!$A$2:$V$4400,AY$1,FALSE))</f>
        <v>-</v>
      </c>
      <c r="AZ16" s="31" t="str">
        <f>IF(VLOOKUP(ROUND(CONCATENATE($A16,AZ$2),0),'Cadastro dos Padrões'!$A$2:$V$4400,AZ$1,FALSE)="","-",VLOOKUP(ROUND(CONCATENATE($A16,AZ$2),0),'Cadastro dos Padrões'!$A$2:$V$4400,AZ$1,FALSE))</f>
        <v>-</v>
      </c>
      <c r="BA16" s="31" t="str">
        <f>IF(VLOOKUP(ROUND(CONCATENATE($A16,BA$2),0),'Cadastro dos Padrões'!$A$2:$V$4400,BA$1,FALSE)="","-",VLOOKUP(ROUND(CONCATENATE($A16,BA$2),0),'Cadastro dos Padrões'!$A$2:$V$4400,BA$1,FALSE))</f>
        <v>-</v>
      </c>
      <c r="BB16" s="31" t="str">
        <f>IF(VLOOKUP(ROUND(CONCATENATE($A16,BB$2),0),'Cadastro dos Padrões'!$A$2:$V$4400,BB$1,FALSE)="","-",VLOOKUP(ROUND(CONCATENATE($A16,BB$2),0),'Cadastro dos Padrões'!$A$2:$V$4400,BB$1,FALSE))</f>
        <v>-</v>
      </c>
      <c r="BC16" s="31" t="str">
        <f>IF(VLOOKUP(ROUND(CONCATENATE($A16,BC$2),0),'Cadastro dos Padrões'!$A$2:$V$4400,BC$1,FALSE)="","-",VLOOKUP(ROUND(CONCATENATE($A16,BC$2),0),'Cadastro dos Padrões'!$A$2:$V$4400,BC$1,FALSE))</f>
        <v>-</v>
      </c>
      <c r="BD16" s="31" t="str">
        <f>IF(VLOOKUP(ROUND(CONCATENATE($A16,BD$2),0),'Cadastro dos Padrões'!$A$2:$V$4400,BD$1,FALSE)="","-",VLOOKUP(ROUND(CONCATENATE($A16,BD$2),0),'Cadastro dos Padrões'!$A$2:$V$4400,BD$1,FALSE))</f>
        <v>-</v>
      </c>
      <c r="BE16" s="31" t="str">
        <f>IF(VLOOKUP(ROUND(CONCATENATE($A16,BE$2),0),'Cadastro dos Padrões'!$A$2:$V$4400,BE$1,FALSE)="","-",VLOOKUP(ROUND(CONCATENATE($A16,BE$2),0),'Cadastro dos Padrões'!$A$2:$V$4400,BE$1,FALSE))</f>
        <v>-</v>
      </c>
      <c r="BF16" s="31" t="str">
        <f>IF(VLOOKUP(ROUND(CONCATENATE($A16,BF$2),0),'Cadastro dos Padrões'!$A$2:$V$4400,BF$1,FALSE)="","-",VLOOKUP(ROUND(CONCATENATE($A16,BF$2),0),'Cadastro dos Padrões'!$A$2:$V$4400,BF$1,FALSE))</f>
        <v>-</v>
      </c>
      <c r="BG16" s="31" t="str">
        <f>IF(VLOOKUP(ROUND(CONCATENATE($A16,BG$2),0),'Cadastro dos Padrões'!$A$2:$V$4400,BG$1,FALSE)="","-",VLOOKUP(ROUND(CONCATENATE($A16,BG$2),0),'Cadastro dos Padrões'!$A$2:$V$4400,BG$1,FALSE))</f>
        <v>-</v>
      </c>
      <c r="BH16" s="31" t="str">
        <f>IF(VLOOKUP(ROUND(CONCATENATE($A16,BH$2),0),'Cadastro dos Padrões'!$A$2:$V$4400,BH$1,FALSE)="","-",VLOOKUP(ROUND(CONCATENATE($A16,BH$2),0),'Cadastro dos Padrões'!$A$2:$V$4400,BH$1,FALSE))</f>
        <v>-</v>
      </c>
      <c r="BI16" s="31" t="str">
        <f>IF(VLOOKUP(ROUND(CONCATENATE($A16,BI$2),0),'Cadastro dos Padrões'!$A$2:$V$4400,BI$1,FALSE)="","-",VLOOKUP(ROUND(CONCATENATE($A16,BI$2),0),'Cadastro dos Padrões'!$A$2:$V$4400,BI$1,FALSE))</f>
        <v>-</v>
      </c>
      <c r="BJ16" s="31" t="str">
        <f>IF(VLOOKUP(ROUND(CONCATENATE($A16,BJ$2),0),'Cadastro dos Padrões'!$A$2:$V$4400,BJ$1,FALSE)="","-",VLOOKUP(ROUND(CONCATENATE($A16,BJ$2),0),'Cadastro dos Padrões'!$A$2:$V$4400,BJ$1,FALSE))</f>
        <v>-</v>
      </c>
      <c r="BK16" s="31" t="str">
        <f>IF(VLOOKUP(ROUND(CONCATENATE($A16,BK$2),0),'Cadastro dos Padrões'!$A$2:$V$4400,BK$1,FALSE)="","-",VLOOKUP(ROUND(CONCATENATE($A16,BK$2),0),'Cadastro dos Padrões'!$A$2:$V$4400,BK$1,FALSE))</f>
        <v>-</v>
      </c>
      <c r="BL16" s="31" t="str">
        <f>IF(VLOOKUP(ROUND(CONCATENATE($A16,BL$2),0),'Cadastro dos Padrões'!$A$2:$V$4400,BL$1,FALSE)="","-",VLOOKUP(ROUND(CONCATENATE($A16,BL$2),0),'Cadastro dos Padrões'!$A$2:$V$4400,BL$1,FALSE))</f>
        <v>-</v>
      </c>
      <c r="BM16" s="31" t="str">
        <f>IF(VLOOKUP(ROUND(CONCATENATE($A16,BM$2),0),'Cadastro dos Padrões'!$A$2:$V$4400,BM$1,FALSE)="","-",VLOOKUP(ROUND(CONCATENATE($A16,BM$2),0),'Cadastro dos Padrões'!$A$2:$V$4400,BM$1,FALSE))</f>
        <v>-</v>
      </c>
      <c r="BN16" s="31" t="str">
        <f>IF(VLOOKUP(ROUND(CONCATENATE($A16,BN$2),0),'Cadastro dos Padrões'!$A$2:$V$4400,BN$1,FALSE)="","-",VLOOKUP(ROUND(CONCATENATE($A16,BN$2),0),'Cadastro dos Padrões'!$A$2:$V$4400,BN$1,FALSE))</f>
        <v>-</v>
      </c>
      <c r="BO16" s="31" t="str">
        <f>IF(VLOOKUP(ROUND(CONCATENATE($A16,BO$2),0),'Cadastro dos Padrões'!$A$2:$V$4400,BO$1,FALSE)="","-",VLOOKUP(ROUND(CONCATENATE($A16,BO$2),0),'Cadastro dos Padrões'!$A$2:$V$4400,BO$1,FALSE))</f>
        <v>-</v>
      </c>
    </row>
    <row r="17" spans="1:67" x14ac:dyDescent="0.3">
      <c r="A17" s="6">
        <f t="shared" si="52"/>
        <v>12</v>
      </c>
      <c r="B17" s="31" t="str">
        <f>IF(VLOOKUP(ROUND(CONCATENATE($A17,B$2),0),'Cadastro dos Padrões'!$A$2:$V$4400,B$1,FALSE)="","-",VLOOKUP(ROUND(CONCATENATE($A17,B$2),0),'Cadastro dos Padrões'!$A$2:$V$4400,B$1,FALSE))</f>
        <v>E.TH.LT-019</v>
      </c>
      <c r="C17" s="31" t="str">
        <f>IF($B17="-","-",VLOOKUP(ROUND(CONCATENATE($A17,C$2),0),'Cadastro dos Padrões'!$A$2:$V$4400,C$1,FALSE))</f>
        <v>Higrômetro de Ponto de Orvalho</v>
      </c>
      <c r="D17" s="31" t="str">
        <f>IF($B17="-","-",VLOOKUP(ROUND(CONCATENATE($A17,D$2),0),'Cadastro dos Padrões'!$A$2:$V$4400,D$1,FALSE))</f>
        <v>-</v>
      </c>
      <c r="E17" s="31" t="str">
        <f>IF($B17="-","-",VLOOKUP(ROUND(CONCATENATE($A17,E$2),0),'Cadastro dos Padrões'!$A$2:$V$4400,E$1,FALSE))</f>
        <v>Elus</v>
      </c>
      <c r="F17" s="31" t="str">
        <f>IF($B17="-","-",VLOOKUP(ROUND(CONCATENATE($A17,F$2),0),'Cadastro dos Padrões'!$A$2:$V$4400,F$1,FALSE))</f>
        <v>RBC - CAL 0439</v>
      </c>
      <c r="G17" s="31" t="str">
        <f>IF($B17="-","-",VLOOKUP(ROUND(CONCATENATE($A17,G$2),0),'Cadastro dos Padrões'!$A$2:$V$4400,G$1,FALSE))</f>
        <v>E0177/25</v>
      </c>
      <c r="H17" s="32">
        <f>IF($B17="-","-",VLOOKUP(ROUND(CONCATENATE($A17,H$2),0),'Cadastro dos Padrões'!$A$2:$V$4400,H$1,FALSE))</f>
        <v>45748</v>
      </c>
      <c r="I17" s="33">
        <f>IF($B17="-","-",VLOOKUP(ROUND(CONCATENATE($A17,I$2),0),'Cadastro dos Padrões'!$A$2:$V$4400,I$1,FALSE))</f>
        <v>46142</v>
      </c>
      <c r="J17" s="31" t="str">
        <f>IF($B17="-","-",VLOOKUP(ROUND(CONCATENATE($A17,J$2),0),'Cadastro dos Padrões'!$A$2:$V$4400,J$1,FALSE))</f>
        <v>°CTd/f</v>
      </c>
      <c r="K17" s="31">
        <f>IF($B17="-","-",VLOOKUP(ROUND(CONCATENATE($A17,K$2),0),'Cadastro dos Padrões'!$A$2:$V$4400,K$1,FALSE))</f>
        <v>-60</v>
      </c>
      <c r="L17" s="31">
        <f>IF($B17="-","-",VLOOKUP(ROUND(CONCATENATE($A17,L$2),0),'Cadastro dos Padrões'!$A$2:$V$4400,L$1,FALSE))</f>
        <v>0</v>
      </c>
      <c r="M17" s="31">
        <f>IF($B17="-","-",VLOOKUP(ROUND(CONCATENATE($A17,M$2),0),'Cadastro dos Padrões'!$A$2:$V$4400,M$1,FALSE))</f>
        <v>0.01</v>
      </c>
      <c r="N17" s="31">
        <f>IF($B17="-","-",VLOOKUP(ROUND(CONCATENATE($A17,N$2),0),'Cadastro dos Padrões'!$A$2:$V$4400,N$1,FALSE))</f>
        <v>1.69</v>
      </c>
      <c r="O17" s="31">
        <f>IF($B17="-","-",VLOOKUP(ROUND(CONCATENATE($A17,O$2),0),'Cadastro dos Padrões'!$A$2:$V$4400,O$1,FALSE))</f>
        <v>0.28000000000000003</v>
      </c>
      <c r="P17" s="31">
        <f>IF($B17="-","-",VLOOKUP(ROUND(CONCATENATE($A17,P$2),0),'Cadastro dos Padrões'!$A$2:$V$4400,P$1,FALSE))</f>
        <v>4.9999999999997158E-2</v>
      </c>
      <c r="Q17" s="31">
        <f>IF($B17="-","-",VLOOKUP(ROUND(CONCATENATE($A17,Q$2),0),'Cadastro dos Padrões'!$A$2:$V$4400,Q$1,FALSE))</f>
        <v>7.6745049498854967E-2</v>
      </c>
      <c r="R17" s="31">
        <f>IF($B17="-","-",VLOOKUP(ROUND(CONCATENATE($A17,R$2),0),'Cadastro dos Padrões'!$A$2:$V$4400,R$1,FALSE))</f>
        <v>5</v>
      </c>
      <c r="S17" s="31">
        <f>IF($B17="-","-",VLOOKUP(ROUND(CONCATENATE($A17,S$2),0),'Cadastro dos Padrões'!$A$2:$V$4400,S$1,FALSE))</f>
        <v>0</v>
      </c>
      <c r="T17" s="31">
        <f>IF($B17="-","-",VLOOKUP(ROUND(CONCATENATE($A17,T$2),0),'Cadastro dos Padrões'!$A$2:$V$4400,T$1,FALSE))</f>
        <v>0</v>
      </c>
      <c r="U17" s="31">
        <f>IF($B17="-","-",VLOOKUP(ROUND(CONCATENATE($A17,U$2),0),'Cadastro dos Padrões'!$A$2:$V$4400,U$1,FALSE))</f>
        <v>0</v>
      </c>
      <c r="V17" s="31">
        <f>IF($B17="-","-",VLOOKUP(ROUND(CONCATENATE($A17,V$2),0),'Cadastro dos Padrões'!$A$2:$V$4400,V$1,FALSE))</f>
        <v>-9.4674692167357336E-9</v>
      </c>
      <c r="W17" s="31">
        <f>IF($B17="-","-",VLOOKUP(ROUND(CONCATENATE($A17,W$2),0),'Cadastro dos Padrões'!$A$2:$V$4400,W$1,FALSE))</f>
        <v>-1.9958038609525072E-6</v>
      </c>
      <c r="X17" s="31">
        <f>IF($B17="-","-",VLOOKUP(ROUND(CONCATENATE($A17,X$2),0),'Cadastro dos Padrões'!$A$2:$V$4400,X$1,FALSE))</f>
        <v>-1.4769373489171385E-4</v>
      </c>
      <c r="Y17" s="31">
        <f>IF($B17="-","-",VLOOKUP(ROUND(CONCATENATE($A17,Y$2),0),'Cadastro dos Padrões'!$A$2:$V$4400,Y$1,FALSE))</f>
        <v>-4.8624460398508538E-3</v>
      </c>
      <c r="Z17" s="31">
        <f>IF($B17="-","-",VLOOKUP(ROUND(CONCATENATE($A17,Z$2),0),'Cadastro dos Padrões'!$A$2:$V$4400,Z$1,FALSE))</f>
        <v>0.92755887727692632</v>
      </c>
      <c r="AA17" s="31">
        <f>IF($B17="-","-",VLOOKUP(ROUND(CONCATENATE($A17,AA$2),0),'Cadastro dos Padrões'!$A$2:$V$4400,AA$1,FALSE))</f>
        <v>-1.5552394150979905</v>
      </c>
      <c r="AB17" s="31">
        <f>IF(VLOOKUP(ROUND(CONCATENATE($A17,AB$2),0),'Cadastro dos Padrões'!$A$2:$V$4400,AB$1,FALSE)="","-",VLOOKUP(ROUND(CONCATENATE($A17,AB$2),0),'Cadastro dos Padrões'!$A$2:$V$4400,AB$1,FALSE))</f>
        <v>-60</v>
      </c>
      <c r="AC17" s="31">
        <f>IF(VLOOKUP(ROUND(CONCATENATE($A17,AC$2),0),'Cadastro dos Padrões'!$A$2:$V$4400,AC$1,FALSE)="","-",VLOOKUP(ROUND(CONCATENATE($A17,AC$2),0),'Cadastro dos Padrões'!$A$2:$V$4400,AC$1,FALSE))</f>
        <v>0.26</v>
      </c>
      <c r="AD17" s="31">
        <f>IF(VLOOKUP(ROUND(CONCATENATE($A17,AD$2),0),'Cadastro dos Padrões'!$A$2:$V$4400,AD$1,FALSE)="","-",VLOOKUP(ROUND(CONCATENATE($A17,AD$2),0),'Cadastro dos Padrões'!$A$2:$V$4400,AD$1,FALSE))</f>
        <v>2</v>
      </c>
      <c r="AE17" s="31">
        <f>IF(VLOOKUP(ROUND(CONCATENATE($A17,AE$2),0),'Cadastro dos Padrões'!$A$2:$V$4400,AE$1,FALSE)="","-",VLOOKUP(ROUND(CONCATENATE($A17,AE$2),0),'Cadastro dos Padrões'!$A$2:$V$4400,AE$1,FALSE))</f>
        <v>1000000</v>
      </c>
      <c r="AF17" s="31">
        <f>IF(VLOOKUP(ROUND(CONCATENATE($A17,AF$2),0),'Cadastro dos Padrões'!$A$2:$V$4400,AF$1,FALSE)="","-",VLOOKUP(ROUND(CONCATENATE($A17,AF$2),0),'Cadastro dos Padrões'!$A$2:$V$4400,AF$1,FALSE))</f>
        <v>-50</v>
      </c>
      <c r="AG17" s="31">
        <f>IF(VLOOKUP(ROUND(CONCATENATE($A17,AG$2),0),'Cadastro dos Padrões'!$A$2:$V$4400,AG$1,FALSE)="","-",VLOOKUP(ROUND(CONCATENATE($A17,AG$2),0),'Cadastro dos Padrões'!$A$2:$V$4400,AG$1,FALSE))</f>
        <v>0.26</v>
      </c>
      <c r="AH17" s="31">
        <f>IF(VLOOKUP(ROUND(CONCATENATE($A17,AH$2),0),'Cadastro dos Padrões'!$A$2:$V$4400,AH$1,FALSE)="","-",VLOOKUP(ROUND(CONCATENATE($A17,AH$2),0),'Cadastro dos Padrões'!$A$2:$V$4400,AH$1,FALSE))</f>
        <v>2</v>
      </c>
      <c r="AI17" s="31">
        <f>IF(VLOOKUP(ROUND(CONCATENATE($A17,AI$2),0),'Cadastro dos Padrões'!$A$2:$V$4400,AI$1,FALSE)="","-",VLOOKUP(ROUND(CONCATENATE($A17,AI$2),0),'Cadastro dos Padrões'!$A$2:$V$4400,AI$1,FALSE))</f>
        <v>1000000</v>
      </c>
      <c r="AJ17" s="31">
        <f>IF(VLOOKUP(ROUND(CONCATENATE($A17,AJ$2),0),'Cadastro dos Padrões'!$A$2:$V$4400,AJ$1,FALSE)="","-",VLOOKUP(ROUND(CONCATENATE($A17,AJ$2),0),'Cadastro dos Padrões'!$A$2:$V$4400,AJ$1,FALSE))</f>
        <v>-40</v>
      </c>
      <c r="AK17" s="31">
        <f>IF(VLOOKUP(ROUND(CONCATENATE($A17,AK$2),0),'Cadastro dos Padrões'!$A$2:$V$4400,AK$1,FALSE)="","-",VLOOKUP(ROUND(CONCATENATE($A17,AK$2),0),'Cadastro dos Padrões'!$A$2:$V$4400,AK$1,FALSE))</f>
        <v>0.27</v>
      </c>
      <c r="AL17" s="31">
        <f>IF(VLOOKUP(ROUND(CONCATENATE($A17,AL$2),0),'Cadastro dos Padrões'!$A$2:$V$4400,AL$1,FALSE)="","-",VLOOKUP(ROUND(CONCATENATE($A17,AL$2),0),'Cadastro dos Padrões'!$A$2:$V$4400,AL$1,FALSE))</f>
        <v>2</v>
      </c>
      <c r="AM17" s="31">
        <f>IF(VLOOKUP(ROUND(CONCATENATE($A17,AM$2),0),'Cadastro dos Padrões'!$A$2:$V$4400,AM$1,FALSE)="","-",VLOOKUP(ROUND(CONCATENATE($A17,AM$2),0),'Cadastro dos Padrões'!$A$2:$V$4400,AM$1,FALSE))</f>
        <v>1000000</v>
      </c>
      <c r="AN17" s="31">
        <f>IF(VLOOKUP(ROUND(CONCATENATE($A17,AN$2),0),'Cadastro dos Padrões'!$A$2:$V$4400,AN$1,FALSE)="","-",VLOOKUP(ROUND(CONCATENATE($A17,AN$2),0),'Cadastro dos Padrões'!$A$2:$V$4400,AN$1,FALSE))</f>
        <v>-30</v>
      </c>
      <c r="AO17" s="31">
        <f>IF(VLOOKUP(ROUND(CONCATENATE($A17,AO$2),0),'Cadastro dos Padrões'!$A$2:$V$4400,AO$1,FALSE)="","-",VLOOKUP(ROUND(CONCATENATE($A17,AO$2),0),'Cadastro dos Padrões'!$A$2:$V$4400,AO$1,FALSE))</f>
        <v>0.27</v>
      </c>
      <c r="AP17" s="31">
        <f>IF(VLOOKUP(ROUND(CONCATENATE($A17,AP$2),0),'Cadastro dos Padrões'!$A$2:$V$4400,AP$1,FALSE)="","-",VLOOKUP(ROUND(CONCATENATE($A17,AP$2),0),'Cadastro dos Padrões'!$A$2:$V$4400,AP$1,FALSE))</f>
        <v>2</v>
      </c>
      <c r="AQ17" s="31">
        <f>IF(VLOOKUP(ROUND(CONCATENATE($A17,AQ$2),0),'Cadastro dos Padrões'!$A$2:$V$4400,AQ$1,FALSE)="","-",VLOOKUP(ROUND(CONCATENATE($A17,AQ$2),0),'Cadastro dos Padrões'!$A$2:$V$4400,AQ$1,FALSE))</f>
        <v>1000000</v>
      </c>
      <c r="AR17" s="31">
        <f>IF(VLOOKUP(ROUND(CONCATENATE($A17,AR$2),0),'Cadastro dos Padrões'!$A$2:$V$4400,AR$1,FALSE)="","-",VLOOKUP(ROUND(CONCATENATE($A17,AR$2),0),'Cadastro dos Padrões'!$A$2:$V$4400,AR$1,FALSE))</f>
        <v>-20</v>
      </c>
      <c r="AS17" s="31">
        <f>IF(VLOOKUP(ROUND(CONCATENATE($A17,AS$2),0),'Cadastro dos Padrões'!$A$2:$V$4400,AS$1,FALSE)="","-",VLOOKUP(ROUND(CONCATENATE($A17,AS$2),0),'Cadastro dos Padrões'!$A$2:$V$4400,AS$1,FALSE))</f>
        <v>0.28000000000000003</v>
      </c>
      <c r="AT17" s="31">
        <f>IF(VLOOKUP(ROUND(CONCATENATE($A17,AT$2),0),'Cadastro dos Padrões'!$A$2:$V$4400,AT$1,FALSE)="","-",VLOOKUP(ROUND(CONCATENATE($A17,AT$2),0),'Cadastro dos Padrões'!$A$2:$V$4400,AT$1,FALSE))</f>
        <v>2</v>
      </c>
      <c r="AU17" s="31">
        <f>IF(VLOOKUP(ROUND(CONCATENATE($A17,AU$2),0),'Cadastro dos Padrões'!$A$2:$V$4400,AU$1,FALSE)="","-",VLOOKUP(ROUND(CONCATENATE($A17,AU$2),0),'Cadastro dos Padrões'!$A$2:$V$4400,AU$1,FALSE))</f>
        <v>1000000</v>
      </c>
      <c r="AV17" s="31">
        <f>IF(VLOOKUP(ROUND(CONCATENATE($A17,AV$2),0),'Cadastro dos Padrões'!$A$2:$V$4400,AV$1,FALSE)="","-",VLOOKUP(ROUND(CONCATENATE($A17,AV$2),0),'Cadastro dos Padrões'!$A$2:$V$4400,AV$1,FALSE))</f>
        <v>-10</v>
      </c>
      <c r="AW17" s="31">
        <f>IF(VLOOKUP(ROUND(CONCATENATE($A17,AW$2),0),'Cadastro dos Padrões'!$A$2:$V$4400,AW$1,FALSE)="","-",VLOOKUP(ROUND(CONCATENATE($A17,AW$2),0),'Cadastro dos Padrões'!$A$2:$V$4400,AW$1,FALSE))</f>
        <v>0.28000000000000003</v>
      </c>
      <c r="AX17" s="31">
        <f>IF(VLOOKUP(ROUND(CONCATENATE($A17,AX$2),0),'Cadastro dos Padrões'!$A$2:$V$4400,AX$1,FALSE)="","-",VLOOKUP(ROUND(CONCATENATE($A17,AX$2),0),'Cadastro dos Padrões'!$A$2:$V$4400,AX$1,FALSE))</f>
        <v>2</v>
      </c>
      <c r="AY17" s="31">
        <f>IF(VLOOKUP(ROUND(CONCATENATE($A17,AY$2),0),'Cadastro dos Padrões'!$A$2:$V$4400,AY$1,FALSE)="","-",VLOOKUP(ROUND(CONCATENATE($A17,AY$2),0),'Cadastro dos Padrões'!$A$2:$V$4400,AY$1,FALSE))</f>
        <v>1000000</v>
      </c>
      <c r="AZ17" s="31">
        <f>IF(VLOOKUP(ROUND(CONCATENATE($A17,AZ$2),0),'Cadastro dos Padrões'!$A$2:$V$4400,AZ$1,FALSE)="","-",VLOOKUP(ROUND(CONCATENATE($A17,AZ$2),0),'Cadastro dos Padrões'!$A$2:$V$4400,AZ$1,FALSE))</f>
        <v>0</v>
      </c>
      <c r="BA17" s="31">
        <f>IF(VLOOKUP(ROUND(CONCATENATE($A17,BA$2),0),'Cadastro dos Padrões'!$A$2:$V$4400,BA$1,FALSE)="","-",VLOOKUP(ROUND(CONCATENATE($A17,BA$2),0),'Cadastro dos Padrões'!$A$2:$V$4400,BA$1,FALSE))</f>
        <v>0.28000000000000003</v>
      </c>
      <c r="BB17" s="31">
        <f>IF(VLOOKUP(ROUND(CONCATENATE($A17,BB$2),0),'Cadastro dos Padrões'!$A$2:$V$4400,BB$1,FALSE)="","-",VLOOKUP(ROUND(CONCATENATE($A17,BB$2),0),'Cadastro dos Padrões'!$A$2:$V$4400,BB$1,FALSE))</f>
        <v>2</v>
      </c>
      <c r="BC17" s="31">
        <f>IF(VLOOKUP(ROUND(CONCATENATE($A17,BC$2),0),'Cadastro dos Padrões'!$A$2:$V$4400,BC$1,FALSE)="","-",VLOOKUP(ROUND(CONCATENATE($A17,BC$2),0),'Cadastro dos Padrões'!$A$2:$V$4400,BC$1,FALSE))</f>
        <v>1000000</v>
      </c>
      <c r="BD17" s="31" t="str">
        <f>IF(VLOOKUP(ROUND(CONCATENATE($A17,BD$2),0),'Cadastro dos Padrões'!$A$2:$V$4400,BD$1,FALSE)="","-",VLOOKUP(ROUND(CONCATENATE($A17,BD$2),0),'Cadastro dos Padrões'!$A$2:$V$4400,BD$1,FALSE))</f>
        <v>-</v>
      </c>
      <c r="BE17" s="31" t="str">
        <f>IF(VLOOKUP(ROUND(CONCATENATE($A17,BE$2),0),'Cadastro dos Padrões'!$A$2:$V$4400,BE$1,FALSE)="","-",VLOOKUP(ROUND(CONCATENATE($A17,BE$2),0),'Cadastro dos Padrões'!$A$2:$V$4400,BE$1,FALSE))</f>
        <v>-</v>
      </c>
      <c r="BF17" s="31" t="str">
        <f>IF(VLOOKUP(ROUND(CONCATENATE($A17,BF$2),0),'Cadastro dos Padrões'!$A$2:$V$4400,BF$1,FALSE)="","-",VLOOKUP(ROUND(CONCATENATE($A17,BF$2),0),'Cadastro dos Padrões'!$A$2:$V$4400,BF$1,FALSE))</f>
        <v>-</v>
      </c>
      <c r="BG17" s="31" t="str">
        <f>IF(VLOOKUP(ROUND(CONCATENATE($A17,BG$2),0),'Cadastro dos Padrões'!$A$2:$V$4400,BG$1,FALSE)="","-",VLOOKUP(ROUND(CONCATENATE($A17,BG$2),0),'Cadastro dos Padrões'!$A$2:$V$4400,BG$1,FALSE))</f>
        <v>-</v>
      </c>
      <c r="BH17" s="31" t="str">
        <f>IF(VLOOKUP(ROUND(CONCATENATE($A17,BH$2),0),'Cadastro dos Padrões'!$A$2:$V$4400,BH$1,FALSE)="","-",VLOOKUP(ROUND(CONCATENATE($A17,BH$2),0),'Cadastro dos Padrões'!$A$2:$V$4400,BH$1,FALSE))</f>
        <v>-</v>
      </c>
      <c r="BI17" s="31" t="str">
        <f>IF(VLOOKUP(ROUND(CONCATENATE($A17,BI$2),0),'Cadastro dos Padrões'!$A$2:$V$4400,BI$1,FALSE)="","-",VLOOKUP(ROUND(CONCATENATE($A17,BI$2),0),'Cadastro dos Padrões'!$A$2:$V$4400,BI$1,FALSE))</f>
        <v>-</v>
      </c>
      <c r="BJ17" s="31" t="str">
        <f>IF(VLOOKUP(ROUND(CONCATENATE($A17,BJ$2),0),'Cadastro dos Padrões'!$A$2:$V$4400,BJ$1,FALSE)="","-",VLOOKUP(ROUND(CONCATENATE($A17,BJ$2),0),'Cadastro dos Padrões'!$A$2:$V$4400,BJ$1,FALSE))</f>
        <v>-</v>
      </c>
      <c r="BK17" s="31" t="str">
        <f>IF(VLOOKUP(ROUND(CONCATENATE($A17,BK$2),0),'Cadastro dos Padrões'!$A$2:$V$4400,BK$1,FALSE)="","-",VLOOKUP(ROUND(CONCATENATE($A17,BK$2),0),'Cadastro dos Padrões'!$A$2:$V$4400,BK$1,FALSE))</f>
        <v>-</v>
      </c>
      <c r="BL17" s="31" t="str">
        <f>IF(VLOOKUP(ROUND(CONCATENATE($A17,BL$2),0),'Cadastro dos Padrões'!$A$2:$V$4400,BL$1,FALSE)="","-",VLOOKUP(ROUND(CONCATENATE($A17,BL$2),0),'Cadastro dos Padrões'!$A$2:$V$4400,BL$1,FALSE))</f>
        <v>-</v>
      </c>
      <c r="BM17" s="31" t="str">
        <f>IF(VLOOKUP(ROUND(CONCATENATE($A17,BM$2),0),'Cadastro dos Padrões'!$A$2:$V$4400,BM$1,FALSE)="","-",VLOOKUP(ROUND(CONCATENATE($A17,BM$2),0),'Cadastro dos Padrões'!$A$2:$V$4400,BM$1,FALSE))</f>
        <v>-</v>
      </c>
      <c r="BN17" s="31" t="str">
        <f>IF(VLOOKUP(ROUND(CONCATENATE($A17,BN$2),0),'Cadastro dos Padrões'!$A$2:$V$4400,BN$1,FALSE)="","-",VLOOKUP(ROUND(CONCATENATE($A17,BN$2),0),'Cadastro dos Padrões'!$A$2:$V$4400,BN$1,FALSE))</f>
        <v>-</v>
      </c>
      <c r="BO17" s="31" t="str">
        <f>IF(VLOOKUP(ROUND(CONCATENATE($A17,BO$2),0),'Cadastro dos Padrões'!$A$2:$V$4400,BO$1,FALSE)="","-",VLOOKUP(ROUND(CONCATENATE($A17,BO$2),0),'Cadastro dos Padrões'!$A$2:$V$4400,BO$1,FALSE))</f>
        <v>-</v>
      </c>
    </row>
    <row r="18" spans="1:67" x14ac:dyDescent="0.3">
      <c r="A18" s="6">
        <f t="shared" si="52"/>
        <v>13</v>
      </c>
      <c r="B18" s="31" t="str">
        <f>IF(VLOOKUP(ROUND(CONCATENATE($A18,B$2),0),'Cadastro dos Padrões'!$A$2:$V$4400,B$1,FALSE)="","-",VLOOKUP(ROUND(CONCATENATE($A18,B$2),0),'Cadastro dos Padrões'!$A$2:$V$4400,B$1,FALSE))</f>
        <v>EL-194</v>
      </c>
      <c r="C18" s="31" t="str">
        <f>IF($B18="-","-",VLOOKUP(ROUND(CONCATENATE($A18,C$2),0),'Cadastro dos Padrões'!$A$2:$V$4400,C$1,FALSE))</f>
        <v>Higrômetro de Ponto de Orvalho</v>
      </c>
      <c r="D18" s="31" t="str">
        <f>IF($B18="-","-",VLOOKUP(ROUND(CONCATENATE($A18,D$2),0),'Cadastro dos Padrões'!$A$2:$V$4400,D$1,FALSE))</f>
        <v>-</v>
      </c>
      <c r="E18" s="31" t="str">
        <f>IF($B18="-","-",VLOOKUP(ROUND(CONCATENATE($A18,E$2),0),'Cadastro dos Padrões'!$A$2:$V$4400,E$1,FALSE))</f>
        <v>Elus</v>
      </c>
      <c r="F18" s="31" t="str">
        <f>IF($B18="-","-",VLOOKUP(ROUND(CONCATENATE($A18,F$2),0),'Cadastro dos Padrões'!$A$2:$V$4400,F$1,FALSE))</f>
        <v>RBC - CAL 0439</v>
      </c>
      <c r="G18" s="31" t="str">
        <f>IF($B18="-","-",VLOOKUP(ROUND(CONCATENATE($A18,G$2),0),'Cadastro dos Padrões'!$A$2:$V$4400,G$1,FALSE))</f>
        <v>R0124/22</v>
      </c>
      <c r="H18" s="32">
        <f>IF($B18="-","-",VLOOKUP(ROUND(CONCATENATE($A18,H$2),0),'Cadastro dos Padrões'!$A$2:$V$4400,H$1,FALSE))</f>
        <v>44607</v>
      </c>
      <c r="I18" s="33">
        <f>IF($B18="-","-",VLOOKUP(ROUND(CONCATENATE($A18,I$2),0),'Cadastro dos Padrões'!$A$2:$V$4400,I$1,FALSE))</f>
        <v>44985</v>
      </c>
      <c r="J18" s="31" t="str">
        <f>IF($B18="-","-",VLOOKUP(ROUND(CONCATENATE($A18,J$2),0),'Cadastro dos Padrões'!$A$2:$V$4400,J$1,FALSE))</f>
        <v>°CTd/f</v>
      </c>
      <c r="K18" s="31">
        <f>IF($B18="-","-",VLOOKUP(ROUND(CONCATENATE($A18,K$2),0),'Cadastro dos Padrões'!$A$2:$V$4400,K$1,FALSE))</f>
        <v>-60</v>
      </c>
      <c r="L18" s="31">
        <f>IF($B18="-","-",VLOOKUP(ROUND(CONCATENATE($A18,L$2),0),'Cadastro dos Padrões'!$A$2:$V$4400,L$1,FALSE))</f>
        <v>0</v>
      </c>
      <c r="M18" s="31">
        <f>IF($B18="-","-",VLOOKUP(ROUND(CONCATENATE($A18,M$2),0),'Cadastro dos Padrões'!$A$2:$V$4400,M$1,FALSE))</f>
        <v>0.01</v>
      </c>
      <c r="N18" s="31">
        <f>IF($B18="-","-",VLOOKUP(ROUND(CONCATENATE($A18,N$2),0),'Cadastro dos Padrões'!$A$2:$V$4400,N$1,FALSE))</f>
        <v>1.61</v>
      </c>
      <c r="O18" s="31">
        <f>IF($B18="-","-",VLOOKUP(ROUND(CONCATENATE($A18,O$2),0),'Cadastro dos Padrões'!$A$2:$V$4400,O$1,FALSE))</f>
        <v>0.28000000000000003</v>
      </c>
      <c r="P18" s="31">
        <f>IF($B18="-","-",VLOOKUP(ROUND(CONCATENATE($A18,P$2),0),'Cadastro dos Padrões'!$A$2:$V$4400,P$1,FALSE))</f>
        <v>1.3800000000000001</v>
      </c>
      <c r="Q18" s="31">
        <f>IF($B18="-","-",VLOOKUP(ROUND(CONCATENATE($A18,Q$2),0),'Cadastro dos Padrões'!$A$2:$V$4400,Q$1,FALSE))</f>
        <v>5.7078710338287708E-2</v>
      </c>
      <c r="R18" s="31">
        <f>IF($B18="-","-",VLOOKUP(ROUND(CONCATENATE($A18,R$2),0),'Cadastro dos Padrões'!$A$2:$V$4400,R$1,FALSE))</f>
        <v>5</v>
      </c>
      <c r="S18" s="31">
        <f>IF($B18="-","-",VLOOKUP(ROUND(CONCATENATE($A18,S$2),0),'Cadastro dos Padrões'!$A$2:$V$4400,S$1,FALSE))</f>
        <v>0</v>
      </c>
      <c r="T18" s="31">
        <f>IF($B18="-","-",VLOOKUP(ROUND(CONCATENATE($A18,T$2),0),'Cadastro dos Padrões'!$A$2:$V$4400,T$1,FALSE))</f>
        <v>0</v>
      </c>
      <c r="U18" s="31">
        <f>IF($B18="-","-",VLOOKUP(ROUND(CONCATENATE($A18,U$2),0),'Cadastro dos Padrões'!$A$2:$V$4400,U$1,FALSE))</f>
        <v>0</v>
      </c>
      <c r="V18" s="31">
        <f>IF($B18="-","-",VLOOKUP(ROUND(CONCATENATE($A18,V$2),0),'Cadastro dos Padrões'!$A$2:$V$4400,V$1,FALSE))</f>
        <v>4.2761370987454003E-8</v>
      </c>
      <c r="W18" s="31">
        <f>IF($B18="-","-",VLOOKUP(ROUND(CONCATENATE($A18,W$2),0),'Cadastro dos Padrões'!$A$2:$V$4400,W$1,FALSE))</f>
        <v>6.1182783721849177E-6</v>
      </c>
      <c r="X18" s="31">
        <f>IF($B18="-","-",VLOOKUP(ROUND(CONCATENATE($A18,X$2),0),'Cadastro dos Padrões'!$A$2:$V$4400,X$1,FALSE))</f>
        <v>2.7051697492641835E-4</v>
      </c>
      <c r="Y18" s="31">
        <f>IF($B18="-","-",VLOOKUP(ROUND(CONCATENATE($A18,Y$2),0),'Cadastro dos Padrões'!$A$2:$V$4400,Y$1,FALSE))</f>
        <v>3.4929307343563839E-3</v>
      </c>
      <c r="Z18" s="31">
        <f>IF($B18="-","-",VLOOKUP(ROUND(CONCATENATE($A18,Z$2),0),'Cadastro dos Padrões'!$A$2:$V$4400,Z$1,FALSE))</f>
        <v>0.98551427756820997</v>
      </c>
      <c r="AA18" s="31">
        <f>IF($B18="-","-",VLOOKUP(ROUND(CONCATENATE($A18,AA$2),0),'Cadastro dos Padrões'!$A$2:$V$4400,AA$1,FALSE))</f>
        <v>-1.5951148735383649</v>
      </c>
      <c r="AB18" s="31">
        <f>IF(VLOOKUP(ROUND(CONCATENATE($A18,AB$2),0),'Cadastro dos Padrões'!$A$2:$V$4400,AB$1,FALSE)="","-",VLOOKUP(ROUND(CONCATENATE($A18,AB$2),0),'Cadastro dos Padrões'!$A$2:$V$4400,AB$1,FALSE))</f>
        <v>-60</v>
      </c>
      <c r="AC18" s="31">
        <f>IF(VLOOKUP(ROUND(CONCATENATE($A18,AC$2),0),'Cadastro dos Padrões'!$A$2:$V$4400,AC$1,FALSE)="","-",VLOOKUP(ROUND(CONCATENATE($A18,AC$2),0),'Cadastro dos Padrões'!$A$2:$V$4400,AC$1,FALSE))</f>
        <v>0.28000000000000003</v>
      </c>
      <c r="AD18" s="31">
        <f>IF(VLOOKUP(ROUND(CONCATENATE($A18,AD$2),0),'Cadastro dos Padrões'!$A$2:$V$4400,AD$1,FALSE)="","-",VLOOKUP(ROUND(CONCATENATE($A18,AD$2),0),'Cadastro dos Padrões'!$A$2:$V$4400,AD$1,FALSE))</f>
        <v>2</v>
      </c>
      <c r="AE18" s="31">
        <f>IF(VLOOKUP(ROUND(CONCATENATE($A18,AE$2),0),'Cadastro dos Padrões'!$A$2:$V$4400,AE$1,FALSE)="","-",VLOOKUP(ROUND(CONCATENATE($A18,AE$2),0),'Cadastro dos Padrões'!$A$2:$V$4400,AE$1,FALSE))</f>
        <v>1000000</v>
      </c>
      <c r="AF18" s="31">
        <f>IF(VLOOKUP(ROUND(CONCATENATE($A18,AF$2),0),'Cadastro dos Padrões'!$A$2:$V$4400,AF$1,FALSE)="","-",VLOOKUP(ROUND(CONCATENATE($A18,AF$2),0),'Cadastro dos Padrões'!$A$2:$V$4400,AF$1,FALSE))</f>
        <v>-50</v>
      </c>
      <c r="AG18" s="31">
        <f>IF(VLOOKUP(ROUND(CONCATENATE($A18,AG$2),0),'Cadastro dos Padrões'!$A$2:$V$4400,AG$1,FALSE)="","-",VLOOKUP(ROUND(CONCATENATE($A18,AG$2),0),'Cadastro dos Padrões'!$A$2:$V$4400,AG$1,FALSE))</f>
        <v>0.28000000000000003</v>
      </c>
      <c r="AH18" s="31">
        <f>IF(VLOOKUP(ROUND(CONCATENATE($A18,AH$2),0),'Cadastro dos Padrões'!$A$2:$V$4400,AH$1,FALSE)="","-",VLOOKUP(ROUND(CONCATENATE($A18,AH$2),0),'Cadastro dos Padrões'!$A$2:$V$4400,AH$1,FALSE))</f>
        <v>2</v>
      </c>
      <c r="AI18" s="31">
        <f>IF(VLOOKUP(ROUND(CONCATENATE($A18,AI$2),0),'Cadastro dos Padrões'!$A$2:$V$4400,AI$1,FALSE)="","-",VLOOKUP(ROUND(CONCATENATE($A18,AI$2),0),'Cadastro dos Padrões'!$A$2:$V$4400,AI$1,FALSE))</f>
        <v>1000000</v>
      </c>
      <c r="AJ18" s="31">
        <f>IF(VLOOKUP(ROUND(CONCATENATE($A18,AJ$2),0),'Cadastro dos Padrões'!$A$2:$V$4400,AJ$1,FALSE)="","-",VLOOKUP(ROUND(CONCATENATE($A18,AJ$2),0),'Cadastro dos Padrões'!$A$2:$V$4400,AJ$1,FALSE))</f>
        <v>-40</v>
      </c>
      <c r="AK18" s="31">
        <f>IF(VLOOKUP(ROUND(CONCATENATE($A18,AK$2),0),'Cadastro dos Padrões'!$A$2:$V$4400,AK$1,FALSE)="","-",VLOOKUP(ROUND(CONCATENATE($A18,AK$2),0),'Cadastro dos Padrões'!$A$2:$V$4400,AK$1,FALSE))</f>
        <v>0.28000000000000003</v>
      </c>
      <c r="AL18" s="31">
        <f>IF(VLOOKUP(ROUND(CONCATENATE($A18,AL$2),0),'Cadastro dos Padrões'!$A$2:$V$4400,AL$1,FALSE)="","-",VLOOKUP(ROUND(CONCATENATE($A18,AL$2),0),'Cadastro dos Padrões'!$A$2:$V$4400,AL$1,FALSE))</f>
        <v>2</v>
      </c>
      <c r="AM18" s="31">
        <f>IF(VLOOKUP(ROUND(CONCATENATE($A18,AM$2),0),'Cadastro dos Padrões'!$A$2:$V$4400,AM$1,FALSE)="","-",VLOOKUP(ROUND(CONCATENATE($A18,AM$2),0),'Cadastro dos Padrões'!$A$2:$V$4400,AM$1,FALSE))</f>
        <v>1000000</v>
      </c>
      <c r="AN18" s="31">
        <f>IF(VLOOKUP(ROUND(CONCATENATE($A18,AN$2),0),'Cadastro dos Padrões'!$A$2:$V$4400,AN$1,FALSE)="","-",VLOOKUP(ROUND(CONCATENATE($A18,AN$2),0),'Cadastro dos Padrões'!$A$2:$V$4400,AN$1,FALSE))</f>
        <v>-30</v>
      </c>
      <c r="AO18" s="31">
        <f>IF(VLOOKUP(ROUND(CONCATENATE($A18,AO$2),0),'Cadastro dos Padrões'!$A$2:$V$4400,AO$1,FALSE)="","-",VLOOKUP(ROUND(CONCATENATE($A18,AO$2),0),'Cadastro dos Padrões'!$A$2:$V$4400,AO$1,FALSE))</f>
        <v>0.28000000000000003</v>
      </c>
      <c r="AP18" s="31">
        <f>IF(VLOOKUP(ROUND(CONCATENATE($A18,AP$2),0),'Cadastro dos Padrões'!$A$2:$V$4400,AP$1,FALSE)="","-",VLOOKUP(ROUND(CONCATENATE($A18,AP$2),0),'Cadastro dos Padrões'!$A$2:$V$4400,AP$1,FALSE))</f>
        <v>2</v>
      </c>
      <c r="AQ18" s="31">
        <f>IF(VLOOKUP(ROUND(CONCATENATE($A18,AQ$2),0),'Cadastro dos Padrões'!$A$2:$V$4400,AQ$1,FALSE)="","-",VLOOKUP(ROUND(CONCATENATE($A18,AQ$2),0),'Cadastro dos Padrões'!$A$2:$V$4400,AQ$1,FALSE))</f>
        <v>1000000</v>
      </c>
      <c r="AR18" s="31">
        <f>IF(VLOOKUP(ROUND(CONCATENATE($A18,AR$2),0),'Cadastro dos Padrões'!$A$2:$V$4400,AR$1,FALSE)="","-",VLOOKUP(ROUND(CONCATENATE($A18,AR$2),0),'Cadastro dos Padrões'!$A$2:$V$4400,AR$1,FALSE))</f>
        <v>-20</v>
      </c>
      <c r="AS18" s="31">
        <f>IF(VLOOKUP(ROUND(CONCATENATE($A18,AS$2),0),'Cadastro dos Padrões'!$A$2:$V$4400,AS$1,FALSE)="","-",VLOOKUP(ROUND(CONCATENATE($A18,AS$2),0),'Cadastro dos Padrões'!$A$2:$V$4400,AS$1,FALSE))</f>
        <v>0.24</v>
      </c>
      <c r="AT18" s="31">
        <f>IF(VLOOKUP(ROUND(CONCATENATE($A18,AT$2),0),'Cadastro dos Padrões'!$A$2:$V$4400,AT$1,FALSE)="","-",VLOOKUP(ROUND(CONCATENATE($A18,AT$2),0),'Cadastro dos Padrões'!$A$2:$V$4400,AT$1,FALSE))</f>
        <v>2</v>
      </c>
      <c r="AU18" s="31">
        <f>IF(VLOOKUP(ROUND(CONCATENATE($A18,AU$2),0),'Cadastro dos Padrões'!$A$2:$V$4400,AU$1,FALSE)="","-",VLOOKUP(ROUND(CONCATENATE($A18,AU$2),0),'Cadastro dos Padrões'!$A$2:$V$4400,AU$1,FALSE))</f>
        <v>1000000</v>
      </c>
      <c r="AV18" s="31">
        <f>IF(VLOOKUP(ROUND(CONCATENATE($A18,AV$2),0),'Cadastro dos Padrões'!$A$2:$V$4400,AV$1,FALSE)="","-",VLOOKUP(ROUND(CONCATENATE($A18,AV$2),0),'Cadastro dos Padrões'!$A$2:$V$4400,AV$1,FALSE))</f>
        <v>-10</v>
      </c>
      <c r="AW18" s="31">
        <f>IF(VLOOKUP(ROUND(CONCATENATE($A18,AW$2),0),'Cadastro dos Padrões'!$A$2:$V$4400,AW$1,FALSE)="","-",VLOOKUP(ROUND(CONCATENATE($A18,AW$2),0),'Cadastro dos Padrões'!$A$2:$V$4400,AW$1,FALSE))</f>
        <v>0.24</v>
      </c>
      <c r="AX18" s="31">
        <f>IF(VLOOKUP(ROUND(CONCATENATE($A18,AX$2),0),'Cadastro dos Padrões'!$A$2:$V$4400,AX$1,FALSE)="","-",VLOOKUP(ROUND(CONCATENATE($A18,AX$2),0),'Cadastro dos Padrões'!$A$2:$V$4400,AX$1,FALSE))</f>
        <v>2</v>
      </c>
      <c r="AY18" s="31">
        <f>IF(VLOOKUP(ROUND(CONCATENATE($A18,AY$2),0),'Cadastro dos Padrões'!$A$2:$V$4400,AY$1,FALSE)="","-",VLOOKUP(ROUND(CONCATENATE($A18,AY$2),0),'Cadastro dos Padrões'!$A$2:$V$4400,AY$1,FALSE))</f>
        <v>1000000</v>
      </c>
      <c r="AZ18" s="31">
        <f>IF(VLOOKUP(ROUND(CONCATENATE($A18,AZ$2),0),'Cadastro dos Padrões'!$A$2:$V$4400,AZ$1,FALSE)="","-",VLOOKUP(ROUND(CONCATENATE($A18,AZ$2),0),'Cadastro dos Padrões'!$A$2:$V$4400,AZ$1,FALSE))</f>
        <v>0</v>
      </c>
      <c r="BA18" s="31">
        <f>IF(VLOOKUP(ROUND(CONCATENATE($A18,BA$2),0),'Cadastro dos Padrões'!$A$2:$V$4400,BA$1,FALSE)="","-",VLOOKUP(ROUND(CONCATENATE($A18,BA$2),0),'Cadastro dos Padrões'!$A$2:$V$4400,BA$1,FALSE))</f>
        <v>0.24</v>
      </c>
      <c r="BB18" s="31">
        <f>IF(VLOOKUP(ROUND(CONCATENATE($A18,BB$2),0),'Cadastro dos Padrões'!$A$2:$V$4400,BB$1,FALSE)="","-",VLOOKUP(ROUND(CONCATENATE($A18,BB$2),0),'Cadastro dos Padrões'!$A$2:$V$4400,BB$1,FALSE))</f>
        <v>2</v>
      </c>
      <c r="BC18" s="31">
        <f>IF(VLOOKUP(ROUND(CONCATENATE($A18,BC$2),0),'Cadastro dos Padrões'!$A$2:$V$4400,BC$1,FALSE)="","-",VLOOKUP(ROUND(CONCATENATE($A18,BC$2),0),'Cadastro dos Padrões'!$A$2:$V$4400,BC$1,FALSE))</f>
        <v>1000000</v>
      </c>
      <c r="BD18" s="31" t="str">
        <f>IF(VLOOKUP(ROUND(CONCATENATE($A18,BD$2),0),'Cadastro dos Padrões'!$A$2:$V$4400,BD$1,FALSE)="","-",VLOOKUP(ROUND(CONCATENATE($A18,BD$2),0),'Cadastro dos Padrões'!$A$2:$V$4400,BD$1,FALSE))</f>
        <v>-</v>
      </c>
      <c r="BE18" s="31" t="str">
        <f>IF(VLOOKUP(ROUND(CONCATENATE($A18,BE$2),0),'Cadastro dos Padrões'!$A$2:$V$4400,BE$1,FALSE)="","-",VLOOKUP(ROUND(CONCATENATE($A18,BE$2),0),'Cadastro dos Padrões'!$A$2:$V$4400,BE$1,FALSE))</f>
        <v>-</v>
      </c>
      <c r="BF18" s="31" t="str">
        <f>IF(VLOOKUP(ROUND(CONCATENATE($A18,BF$2),0),'Cadastro dos Padrões'!$A$2:$V$4400,BF$1,FALSE)="","-",VLOOKUP(ROUND(CONCATENATE($A18,BF$2),0),'Cadastro dos Padrões'!$A$2:$V$4400,BF$1,FALSE))</f>
        <v>-</v>
      </c>
      <c r="BG18" s="31" t="str">
        <f>IF(VLOOKUP(ROUND(CONCATENATE($A18,BG$2),0),'Cadastro dos Padrões'!$A$2:$V$4400,BG$1,FALSE)="","-",VLOOKUP(ROUND(CONCATENATE($A18,BG$2),0),'Cadastro dos Padrões'!$A$2:$V$4400,BG$1,FALSE))</f>
        <v>-</v>
      </c>
      <c r="BH18" s="31" t="str">
        <f>IF(VLOOKUP(ROUND(CONCATENATE($A18,BH$2),0),'Cadastro dos Padrões'!$A$2:$V$4400,BH$1,FALSE)="","-",VLOOKUP(ROUND(CONCATENATE($A18,BH$2),0),'Cadastro dos Padrões'!$A$2:$V$4400,BH$1,FALSE))</f>
        <v>-</v>
      </c>
      <c r="BI18" s="31" t="str">
        <f>IF(VLOOKUP(ROUND(CONCATENATE($A18,BI$2),0),'Cadastro dos Padrões'!$A$2:$V$4400,BI$1,FALSE)="","-",VLOOKUP(ROUND(CONCATENATE($A18,BI$2),0),'Cadastro dos Padrões'!$A$2:$V$4400,BI$1,FALSE))</f>
        <v>-</v>
      </c>
      <c r="BJ18" s="31" t="str">
        <f>IF(VLOOKUP(ROUND(CONCATENATE($A18,BJ$2),0),'Cadastro dos Padrões'!$A$2:$V$4400,BJ$1,FALSE)="","-",VLOOKUP(ROUND(CONCATENATE($A18,BJ$2),0),'Cadastro dos Padrões'!$A$2:$V$4400,BJ$1,FALSE))</f>
        <v>-</v>
      </c>
      <c r="BK18" s="31" t="str">
        <f>IF(VLOOKUP(ROUND(CONCATENATE($A18,BK$2),0),'Cadastro dos Padrões'!$A$2:$V$4400,BK$1,FALSE)="","-",VLOOKUP(ROUND(CONCATENATE($A18,BK$2),0),'Cadastro dos Padrões'!$A$2:$V$4400,BK$1,FALSE))</f>
        <v>-</v>
      </c>
      <c r="BL18" s="31" t="str">
        <f>IF(VLOOKUP(ROUND(CONCATENATE($A18,BL$2),0),'Cadastro dos Padrões'!$A$2:$V$4400,BL$1,FALSE)="","-",VLOOKUP(ROUND(CONCATENATE($A18,BL$2),0),'Cadastro dos Padrões'!$A$2:$V$4400,BL$1,FALSE))</f>
        <v>-</v>
      </c>
      <c r="BM18" s="31" t="str">
        <f>IF(VLOOKUP(ROUND(CONCATENATE($A18,BM$2),0),'Cadastro dos Padrões'!$A$2:$V$4400,BM$1,FALSE)="","-",VLOOKUP(ROUND(CONCATENATE($A18,BM$2),0),'Cadastro dos Padrões'!$A$2:$V$4400,BM$1,FALSE))</f>
        <v>-</v>
      </c>
      <c r="BN18" s="31" t="str">
        <f>IF(VLOOKUP(ROUND(CONCATENATE($A18,BN$2),0),'Cadastro dos Padrões'!$A$2:$V$4400,BN$1,FALSE)="","-",VLOOKUP(ROUND(CONCATENATE($A18,BN$2),0),'Cadastro dos Padrões'!$A$2:$V$4400,BN$1,FALSE))</f>
        <v>-</v>
      </c>
      <c r="BO18" s="31" t="str">
        <f>IF(VLOOKUP(ROUND(CONCATENATE($A18,BO$2),0),'Cadastro dos Padrões'!$A$2:$V$4400,BO$1,FALSE)="","-",VLOOKUP(ROUND(CONCATENATE($A18,BO$2),0),'Cadastro dos Padrões'!$A$2:$V$4400,BO$1,FALSE))</f>
        <v>-</v>
      </c>
    </row>
    <row r="19" spans="1:67" x14ac:dyDescent="0.3">
      <c r="A19" s="6">
        <f t="shared" si="52"/>
        <v>14</v>
      </c>
      <c r="B19" s="31" t="str">
        <f>IF(VLOOKUP(ROUND(CONCATENATE($A19,B$2),0),'Cadastro dos Padrões'!$A$2:$V$4400,B$1,FALSE)="","-",VLOOKUP(ROUND(CONCATENATE($A19,B$2),0),'Cadastro dos Padrões'!$A$2:$V$4400,B$1,FALSE))</f>
        <v>-</v>
      </c>
      <c r="C19" s="31" t="str">
        <f>IF($B19="-","-",VLOOKUP(ROUND(CONCATENATE($A19,C$2),0),'Cadastro dos Padrões'!$A$2:$V$4400,C$1,FALSE))</f>
        <v>-</v>
      </c>
      <c r="D19" s="31" t="str">
        <f>IF($B19="-","-",VLOOKUP(ROUND(CONCATENATE($A19,D$2),0),'Cadastro dos Padrões'!$A$2:$V$4400,D$1,FALSE))</f>
        <v>-</v>
      </c>
      <c r="E19" s="31" t="str">
        <f>IF($B19="-","-",VLOOKUP(ROUND(CONCATENATE($A19,E$2),0),'Cadastro dos Padrões'!$A$2:$V$4400,E$1,FALSE))</f>
        <v>-</v>
      </c>
      <c r="F19" s="31" t="str">
        <f>IF($B19="-","-",VLOOKUP(ROUND(CONCATENATE($A19,F$2),0),'Cadastro dos Padrões'!$A$2:$V$4400,F$1,FALSE))</f>
        <v>-</v>
      </c>
      <c r="G19" s="31" t="str">
        <f>IF($B19="-","-",VLOOKUP(ROUND(CONCATENATE($A19,G$2),0),'Cadastro dos Padrões'!$A$2:$V$4400,G$1,FALSE))</f>
        <v>-</v>
      </c>
      <c r="H19" s="32" t="str">
        <f>IF($B19="-","-",VLOOKUP(ROUND(CONCATENATE($A19,H$2),0),'Cadastro dos Padrões'!$A$2:$V$4400,H$1,FALSE))</f>
        <v>-</v>
      </c>
      <c r="I19" s="33" t="str">
        <f>IF($B19="-","-",VLOOKUP(ROUND(CONCATENATE($A19,I$2),0),'Cadastro dos Padrões'!$A$2:$V$4400,I$1,FALSE))</f>
        <v>-</v>
      </c>
      <c r="J19" s="31" t="str">
        <f>IF($B19="-","-",VLOOKUP(ROUND(CONCATENATE($A19,J$2),0),'Cadastro dos Padrões'!$A$2:$V$4400,J$1,FALSE))</f>
        <v>-</v>
      </c>
      <c r="K19" s="31" t="str">
        <f>IF($B19="-","-",VLOOKUP(ROUND(CONCATENATE($A19,K$2),0),'Cadastro dos Padrões'!$A$2:$V$4400,K$1,FALSE))</f>
        <v>-</v>
      </c>
      <c r="L19" s="31" t="str">
        <f>IF($B19="-","-",VLOOKUP(ROUND(CONCATENATE($A19,L$2),0),'Cadastro dos Padrões'!$A$2:$V$4400,L$1,FALSE))</f>
        <v>-</v>
      </c>
      <c r="M19" s="31" t="str">
        <f>IF($B19="-","-",VLOOKUP(ROUND(CONCATENATE($A19,M$2),0),'Cadastro dos Padrões'!$A$2:$V$4400,M$1,FALSE))</f>
        <v>-</v>
      </c>
      <c r="N19" s="31" t="str">
        <f>IF($B19="-","-",VLOOKUP(ROUND(CONCATENATE($A19,N$2),0),'Cadastro dos Padrões'!$A$2:$V$4400,N$1,FALSE))</f>
        <v>-</v>
      </c>
      <c r="O19" s="31" t="str">
        <f>IF($B19="-","-",VLOOKUP(ROUND(CONCATENATE($A19,O$2),0),'Cadastro dos Padrões'!$A$2:$V$4400,O$1,FALSE))</f>
        <v>-</v>
      </c>
      <c r="P19" s="31" t="str">
        <f>IF($B19="-","-",VLOOKUP(ROUND(CONCATENATE($A19,P$2),0),'Cadastro dos Padrões'!$A$2:$V$4400,P$1,FALSE))</f>
        <v>-</v>
      </c>
      <c r="Q19" s="31" t="str">
        <f>IF($B19="-","-",VLOOKUP(ROUND(CONCATENATE($A19,Q$2),0),'Cadastro dos Padrões'!$A$2:$V$4400,Q$1,FALSE))</f>
        <v>-</v>
      </c>
      <c r="R19" s="31" t="str">
        <f>IF($B19="-","-",VLOOKUP(ROUND(CONCATENATE($A19,R$2),0),'Cadastro dos Padrões'!$A$2:$V$4400,R$1,FALSE))</f>
        <v>-</v>
      </c>
      <c r="S19" s="31" t="str">
        <f>IF($B19="-","-",VLOOKUP(ROUND(CONCATENATE($A19,S$2),0),'Cadastro dos Padrões'!$A$2:$V$4400,S$1,FALSE))</f>
        <v>-</v>
      </c>
      <c r="T19" s="31" t="str">
        <f>IF($B19="-","-",VLOOKUP(ROUND(CONCATENATE($A19,T$2),0),'Cadastro dos Padrões'!$A$2:$V$4400,T$1,FALSE))</f>
        <v>-</v>
      </c>
      <c r="U19" s="31" t="str">
        <f>IF($B19="-","-",VLOOKUP(ROUND(CONCATENATE($A19,U$2),0),'Cadastro dos Padrões'!$A$2:$V$4400,U$1,FALSE))</f>
        <v>-</v>
      </c>
      <c r="V19" s="31" t="str">
        <f>IF($B19="-","-",VLOOKUP(ROUND(CONCATENATE($A19,V$2),0),'Cadastro dos Padrões'!$A$2:$V$4400,V$1,FALSE))</f>
        <v>-</v>
      </c>
      <c r="W19" s="31" t="str">
        <f>IF($B19="-","-",VLOOKUP(ROUND(CONCATENATE($A19,W$2),0),'Cadastro dos Padrões'!$A$2:$V$4400,W$1,FALSE))</f>
        <v>-</v>
      </c>
      <c r="X19" s="31" t="str">
        <f>IF($B19="-","-",VLOOKUP(ROUND(CONCATENATE($A19,X$2),0),'Cadastro dos Padrões'!$A$2:$V$4400,X$1,FALSE))</f>
        <v>-</v>
      </c>
      <c r="Y19" s="31" t="str">
        <f>IF($B19="-","-",VLOOKUP(ROUND(CONCATENATE($A19,Y$2),0),'Cadastro dos Padrões'!$A$2:$V$4400,Y$1,FALSE))</f>
        <v>-</v>
      </c>
      <c r="Z19" s="31" t="str">
        <f>IF($B19="-","-",VLOOKUP(ROUND(CONCATENATE($A19,Z$2),0),'Cadastro dos Padrões'!$A$2:$V$4400,Z$1,FALSE))</f>
        <v>-</v>
      </c>
      <c r="AA19" s="31" t="str">
        <f>IF($B19="-","-",VLOOKUP(ROUND(CONCATENATE($A19,AA$2),0),'Cadastro dos Padrões'!$A$2:$V$4400,AA$1,FALSE))</f>
        <v>-</v>
      </c>
      <c r="AB19" s="31" t="str">
        <f>IF(VLOOKUP(ROUND(CONCATENATE($A19,AB$2),0),'Cadastro dos Padrões'!$A$2:$V$4400,AB$1,FALSE)="","-",VLOOKUP(ROUND(CONCATENATE($A19,AB$2),0),'Cadastro dos Padrões'!$A$2:$V$4400,AB$1,FALSE))</f>
        <v>-</v>
      </c>
      <c r="AC19" s="31" t="str">
        <f>IF(VLOOKUP(ROUND(CONCATENATE($A19,AC$2),0),'Cadastro dos Padrões'!$A$2:$V$4400,AC$1,FALSE)="","-",VLOOKUP(ROUND(CONCATENATE($A19,AC$2),0),'Cadastro dos Padrões'!$A$2:$V$4400,AC$1,FALSE))</f>
        <v>-</v>
      </c>
      <c r="AD19" s="31" t="str">
        <f>IF(VLOOKUP(ROUND(CONCATENATE($A19,AD$2),0),'Cadastro dos Padrões'!$A$2:$V$4400,AD$1,FALSE)="","-",VLOOKUP(ROUND(CONCATENATE($A19,AD$2),0),'Cadastro dos Padrões'!$A$2:$V$4400,AD$1,FALSE))</f>
        <v>-</v>
      </c>
      <c r="AE19" s="31" t="str">
        <f>IF(VLOOKUP(ROUND(CONCATENATE($A19,AE$2),0),'Cadastro dos Padrões'!$A$2:$V$4400,AE$1,FALSE)="","-",VLOOKUP(ROUND(CONCATENATE($A19,AE$2),0),'Cadastro dos Padrões'!$A$2:$V$4400,AE$1,FALSE))</f>
        <v>-</v>
      </c>
      <c r="AF19" s="31" t="str">
        <f>IF(VLOOKUP(ROUND(CONCATENATE($A19,AF$2),0),'Cadastro dos Padrões'!$A$2:$V$4400,AF$1,FALSE)="","-",VLOOKUP(ROUND(CONCATENATE($A19,AF$2),0),'Cadastro dos Padrões'!$A$2:$V$4400,AF$1,FALSE))</f>
        <v>-</v>
      </c>
      <c r="AG19" s="31" t="str">
        <f>IF(VLOOKUP(ROUND(CONCATENATE($A19,AG$2),0),'Cadastro dos Padrões'!$A$2:$V$4400,AG$1,FALSE)="","-",VLOOKUP(ROUND(CONCATENATE($A19,AG$2),0),'Cadastro dos Padrões'!$A$2:$V$4400,AG$1,FALSE))</f>
        <v>-</v>
      </c>
      <c r="AH19" s="31" t="str">
        <f>IF(VLOOKUP(ROUND(CONCATENATE($A19,AH$2),0),'Cadastro dos Padrões'!$A$2:$V$4400,AH$1,FALSE)="","-",VLOOKUP(ROUND(CONCATENATE($A19,AH$2),0),'Cadastro dos Padrões'!$A$2:$V$4400,AH$1,FALSE))</f>
        <v>-</v>
      </c>
      <c r="AI19" s="31" t="str">
        <f>IF(VLOOKUP(ROUND(CONCATENATE($A19,AI$2),0),'Cadastro dos Padrões'!$A$2:$V$4400,AI$1,FALSE)="","-",VLOOKUP(ROUND(CONCATENATE($A19,AI$2),0),'Cadastro dos Padrões'!$A$2:$V$4400,AI$1,FALSE))</f>
        <v>-</v>
      </c>
      <c r="AJ19" s="31" t="str">
        <f>IF(VLOOKUP(ROUND(CONCATENATE($A19,AJ$2),0),'Cadastro dos Padrões'!$A$2:$V$4400,AJ$1,FALSE)="","-",VLOOKUP(ROUND(CONCATENATE($A19,AJ$2),0),'Cadastro dos Padrões'!$A$2:$V$4400,AJ$1,FALSE))</f>
        <v>-</v>
      </c>
      <c r="AK19" s="31" t="str">
        <f>IF(VLOOKUP(ROUND(CONCATENATE($A19,AK$2),0),'Cadastro dos Padrões'!$A$2:$V$4400,AK$1,FALSE)="","-",VLOOKUP(ROUND(CONCATENATE($A19,AK$2),0),'Cadastro dos Padrões'!$A$2:$V$4400,AK$1,FALSE))</f>
        <v>-</v>
      </c>
      <c r="AL19" s="31" t="str">
        <f>IF(VLOOKUP(ROUND(CONCATENATE($A19,AL$2),0),'Cadastro dos Padrões'!$A$2:$V$4400,AL$1,FALSE)="","-",VLOOKUP(ROUND(CONCATENATE($A19,AL$2),0),'Cadastro dos Padrões'!$A$2:$V$4400,AL$1,FALSE))</f>
        <v>-</v>
      </c>
      <c r="AM19" s="31" t="str">
        <f>IF(VLOOKUP(ROUND(CONCATENATE($A19,AM$2),0),'Cadastro dos Padrões'!$A$2:$V$4400,AM$1,FALSE)="","-",VLOOKUP(ROUND(CONCATENATE($A19,AM$2),0),'Cadastro dos Padrões'!$A$2:$V$4400,AM$1,FALSE))</f>
        <v>-</v>
      </c>
      <c r="AN19" s="31" t="str">
        <f>IF(VLOOKUP(ROUND(CONCATENATE($A19,AN$2),0),'Cadastro dos Padrões'!$A$2:$V$4400,AN$1,FALSE)="","-",VLOOKUP(ROUND(CONCATENATE($A19,AN$2),0),'Cadastro dos Padrões'!$A$2:$V$4400,AN$1,FALSE))</f>
        <v>-</v>
      </c>
      <c r="AO19" s="31" t="str">
        <f>IF(VLOOKUP(ROUND(CONCATENATE($A19,AO$2),0),'Cadastro dos Padrões'!$A$2:$V$4400,AO$1,FALSE)="","-",VLOOKUP(ROUND(CONCATENATE($A19,AO$2),0),'Cadastro dos Padrões'!$A$2:$V$4400,AO$1,FALSE))</f>
        <v>-</v>
      </c>
      <c r="AP19" s="31" t="str">
        <f>IF(VLOOKUP(ROUND(CONCATENATE($A19,AP$2),0),'Cadastro dos Padrões'!$A$2:$V$4400,AP$1,FALSE)="","-",VLOOKUP(ROUND(CONCATENATE($A19,AP$2),0),'Cadastro dos Padrões'!$A$2:$V$4400,AP$1,FALSE))</f>
        <v>-</v>
      </c>
      <c r="AQ19" s="31" t="str">
        <f>IF(VLOOKUP(ROUND(CONCATENATE($A19,AQ$2),0),'Cadastro dos Padrões'!$A$2:$V$4400,AQ$1,FALSE)="","-",VLOOKUP(ROUND(CONCATENATE($A19,AQ$2),0),'Cadastro dos Padrões'!$A$2:$V$4400,AQ$1,FALSE))</f>
        <v>-</v>
      </c>
      <c r="AR19" s="31" t="str">
        <f>IF(VLOOKUP(ROUND(CONCATENATE($A19,AR$2),0),'Cadastro dos Padrões'!$A$2:$V$4400,AR$1,FALSE)="","-",VLOOKUP(ROUND(CONCATENATE($A19,AR$2),0),'Cadastro dos Padrões'!$A$2:$V$4400,AR$1,FALSE))</f>
        <v>-</v>
      </c>
      <c r="AS19" s="31" t="str">
        <f>IF(VLOOKUP(ROUND(CONCATENATE($A19,AS$2),0),'Cadastro dos Padrões'!$A$2:$V$4400,AS$1,FALSE)="","-",VLOOKUP(ROUND(CONCATENATE($A19,AS$2),0),'Cadastro dos Padrões'!$A$2:$V$4400,AS$1,FALSE))</f>
        <v>-</v>
      </c>
      <c r="AT19" s="31" t="str">
        <f>IF(VLOOKUP(ROUND(CONCATENATE($A19,AT$2),0),'Cadastro dos Padrões'!$A$2:$V$4400,AT$1,FALSE)="","-",VLOOKUP(ROUND(CONCATENATE($A19,AT$2),0),'Cadastro dos Padrões'!$A$2:$V$4400,AT$1,FALSE))</f>
        <v>-</v>
      </c>
      <c r="AU19" s="31" t="str">
        <f>IF(VLOOKUP(ROUND(CONCATENATE($A19,AU$2),0),'Cadastro dos Padrões'!$A$2:$V$4400,AU$1,FALSE)="","-",VLOOKUP(ROUND(CONCATENATE($A19,AU$2),0),'Cadastro dos Padrões'!$A$2:$V$4400,AU$1,FALSE))</f>
        <v>-</v>
      </c>
      <c r="AV19" s="31" t="str">
        <f>IF(VLOOKUP(ROUND(CONCATENATE($A19,AV$2),0),'Cadastro dos Padrões'!$A$2:$V$4400,AV$1,FALSE)="","-",VLOOKUP(ROUND(CONCATENATE($A19,AV$2),0),'Cadastro dos Padrões'!$A$2:$V$4400,AV$1,FALSE))</f>
        <v>-</v>
      </c>
      <c r="AW19" s="31" t="str">
        <f>IF(VLOOKUP(ROUND(CONCATENATE($A19,AW$2),0),'Cadastro dos Padrões'!$A$2:$V$4400,AW$1,FALSE)="","-",VLOOKUP(ROUND(CONCATENATE($A19,AW$2),0),'Cadastro dos Padrões'!$A$2:$V$4400,AW$1,FALSE))</f>
        <v>-</v>
      </c>
      <c r="AX19" s="31" t="str">
        <f>IF(VLOOKUP(ROUND(CONCATENATE($A19,AX$2),0),'Cadastro dos Padrões'!$A$2:$V$4400,AX$1,FALSE)="","-",VLOOKUP(ROUND(CONCATENATE($A19,AX$2),0),'Cadastro dos Padrões'!$A$2:$V$4400,AX$1,FALSE))</f>
        <v>-</v>
      </c>
      <c r="AY19" s="31" t="str">
        <f>IF(VLOOKUP(ROUND(CONCATENATE($A19,AY$2),0),'Cadastro dos Padrões'!$A$2:$V$4400,AY$1,FALSE)="","-",VLOOKUP(ROUND(CONCATENATE($A19,AY$2),0),'Cadastro dos Padrões'!$A$2:$V$4400,AY$1,FALSE))</f>
        <v>-</v>
      </c>
      <c r="AZ19" s="31" t="str">
        <f>IF(VLOOKUP(ROUND(CONCATENATE($A19,AZ$2),0),'Cadastro dos Padrões'!$A$2:$V$4400,AZ$1,FALSE)="","-",VLOOKUP(ROUND(CONCATENATE($A19,AZ$2),0),'Cadastro dos Padrões'!$A$2:$V$4400,AZ$1,FALSE))</f>
        <v>-</v>
      </c>
      <c r="BA19" s="31" t="str">
        <f>IF(VLOOKUP(ROUND(CONCATENATE($A19,BA$2),0),'Cadastro dos Padrões'!$A$2:$V$4400,BA$1,FALSE)="","-",VLOOKUP(ROUND(CONCATENATE($A19,BA$2),0),'Cadastro dos Padrões'!$A$2:$V$4400,BA$1,FALSE))</f>
        <v>-</v>
      </c>
      <c r="BB19" s="31" t="str">
        <f>IF(VLOOKUP(ROUND(CONCATENATE($A19,BB$2),0),'Cadastro dos Padrões'!$A$2:$V$4400,BB$1,FALSE)="","-",VLOOKUP(ROUND(CONCATENATE($A19,BB$2),0),'Cadastro dos Padrões'!$A$2:$V$4400,BB$1,FALSE))</f>
        <v>-</v>
      </c>
      <c r="BC19" s="31" t="str">
        <f>IF(VLOOKUP(ROUND(CONCATENATE($A19,BC$2),0),'Cadastro dos Padrões'!$A$2:$V$4400,BC$1,FALSE)="","-",VLOOKUP(ROUND(CONCATENATE($A19,BC$2),0),'Cadastro dos Padrões'!$A$2:$V$4400,BC$1,FALSE))</f>
        <v>-</v>
      </c>
      <c r="BD19" s="31" t="str">
        <f>IF(VLOOKUP(ROUND(CONCATENATE($A19,BD$2),0),'Cadastro dos Padrões'!$A$2:$V$4400,BD$1,FALSE)="","-",VLOOKUP(ROUND(CONCATENATE($A19,BD$2),0),'Cadastro dos Padrões'!$A$2:$V$4400,BD$1,FALSE))</f>
        <v>-</v>
      </c>
      <c r="BE19" s="31" t="str">
        <f>IF(VLOOKUP(ROUND(CONCATENATE($A19,BE$2),0),'Cadastro dos Padrões'!$A$2:$V$4400,BE$1,FALSE)="","-",VLOOKUP(ROUND(CONCATENATE($A19,BE$2),0),'Cadastro dos Padrões'!$A$2:$V$4400,BE$1,FALSE))</f>
        <v>-</v>
      </c>
      <c r="BF19" s="31" t="str">
        <f>IF(VLOOKUP(ROUND(CONCATENATE($A19,BF$2),0),'Cadastro dos Padrões'!$A$2:$V$4400,BF$1,FALSE)="","-",VLOOKUP(ROUND(CONCATENATE($A19,BF$2),0),'Cadastro dos Padrões'!$A$2:$V$4400,BF$1,FALSE))</f>
        <v>-</v>
      </c>
      <c r="BG19" s="31" t="str">
        <f>IF(VLOOKUP(ROUND(CONCATENATE($A19,BG$2),0),'Cadastro dos Padrões'!$A$2:$V$4400,BG$1,FALSE)="","-",VLOOKUP(ROUND(CONCATENATE($A19,BG$2),0),'Cadastro dos Padrões'!$A$2:$V$4400,BG$1,FALSE))</f>
        <v>-</v>
      </c>
      <c r="BH19" s="31" t="str">
        <f>IF(VLOOKUP(ROUND(CONCATENATE($A19,BH$2),0),'Cadastro dos Padrões'!$A$2:$V$4400,BH$1,FALSE)="","-",VLOOKUP(ROUND(CONCATENATE($A19,BH$2),0),'Cadastro dos Padrões'!$A$2:$V$4400,BH$1,FALSE))</f>
        <v>-</v>
      </c>
      <c r="BI19" s="31" t="str">
        <f>IF(VLOOKUP(ROUND(CONCATENATE($A19,BI$2),0),'Cadastro dos Padrões'!$A$2:$V$4400,BI$1,FALSE)="","-",VLOOKUP(ROUND(CONCATENATE($A19,BI$2),0),'Cadastro dos Padrões'!$A$2:$V$4400,BI$1,FALSE))</f>
        <v>-</v>
      </c>
      <c r="BJ19" s="31" t="str">
        <f>IF(VLOOKUP(ROUND(CONCATENATE($A19,BJ$2),0),'Cadastro dos Padrões'!$A$2:$V$4400,BJ$1,FALSE)="","-",VLOOKUP(ROUND(CONCATENATE($A19,BJ$2),0),'Cadastro dos Padrões'!$A$2:$V$4400,BJ$1,FALSE))</f>
        <v>-</v>
      </c>
      <c r="BK19" s="31" t="str">
        <f>IF(VLOOKUP(ROUND(CONCATENATE($A19,BK$2),0),'Cadastro dos Padrões'!$A$2:$V$4400,BK$1,FALSE)="","-",VLOOKUP(ROUND(CONCATENATE($A19,BK$2),0),'Cadastro dos Padrões'!$A$2:$V$4400,BK$1,FALSE))</f>
        <v>-</v>
      </c>
      <c r="BL19" s="31" t="str">
        <f>IF(VLOOKUP(ROUND(CONCATENATE($A19,BL$2),0),'Cadastro dos Padrões'!$A$2:$V$4400,BL$1,FALSE)="","-",VLOOKUP(ROUND(CONCATENATE($A19,BL$2),0),'Cadastro dos Padrões'!$A$2:$V$4400,BL$1,FALSE))</f>
        <v>-</v>
      </c>
      <c r="BM19" s="31" t="str">
        <f>IF(VLOOKUP(ROUND(CONCATENATE($A19,BM$2),0),'Cadastro dos Padrões'!$A$2:$V$4400,BM$1,FALSE)="","-",VLOOKUP(ROUND(CONCATENATE($A19,BM$2),0),'Cadastro dos Padrões'!$A$2:$V$4400,BM$1,FALSE))</f>
        <v>-</v>
      </c>
      <c r="BN19" s="31" t="str">
        <f>IF(VLOOKUP(ROUND(CONCATENATE($A19,BN$2),0),'Cadastro dos Padrões'!$A$2:$V$4400,BN$1,FALSE)="","-",VLOOKUP(ROUND(CONCATENATE($A19,BN$2),0),'Cadastro dos Padrões'!$A$2:$V$4400,BN$1,FALSE))</f>
        <v>-</v>
      </c>
      <c r="BO19" s="31" t="str">
        <f>IF(VLOOKUP(ROUND(CONCATENATE($A19,BO$2),0),'Cadastro dos Padrões'!$A$2:$V$4400,BO$1,FALSE)="","-",VLOOKUP(ROUND(CONCATENATE($A19,BO$2),0),'Cadastro dos Padrões'!$A$2:$V$4400,BO$1,FALSE))</f>
        <v>-</v>
      </c>
    </row>
    <row r="20" spans="1:67" x14ac:dyDescent="0.3">
      <c r="A20" s="6">
        <f t="shared" si="52"/>
        <v>15</v>
      </c>
      <c r="B20" s="31" t="str">
        <f>IF(VLOOKUP(ROUND(CONCATENATE($A20,B$2),0),'Cadastro dos Padrões'!$A$2:$V$4400,B$1,FALSE)="","-",VLOOKUP(ROUND(CONCATENATE($A20,B$2),0),'Cadastro dos Padrões'!$A$2:$V$4400,B$1,FALSE))</f>
        <v>EL-2151</v>
      </c>
      <c r="C20" s="31" t="str">
        <f>IF($B20="-","-",VLOOKUP(ROUND(CONCATENATE($A20,C$2),0),'Cadastro dos Padrões'!$A$2:$V$4400,C$1,FALSE))</f>
        <v>Termohigrômetro Digital</v>
      </c>
      <c r="D20" s="31">
        <f>IF($B20="-","-",VLOOKUP(ROUND(CONCATENATE($A20,D$2),0),'Cadastro dos Padrões'!$A$2:$V$4400,D$1,FALSE))</f>
        <v>20</v>
      </c>
      <c r="E20" s="31" t="str">
        <f>IF($B20="-","-",VLOOKUP(ROUND(CONCATENATE($A20,E$2),0),'Cadastro dos Padrões'!$A$2:$V$4400,E$1,FALSE))</f>
        <v>Elus</v>
      </c>
      <c r="F20" s="31" t="str">
        <f>IF($B20="-","-",VLOOKUP(ROUND(CONCATENATE($A20,F$2),0),'Cadastro dos Padrões'!$A$2:$V$4400,F$1,FALSE))</f>
        <v>RBC - CAL 0439</v>
      </c>
      <c r="G20" s="31" t="str">
        <f>IF($B20="-","-",VLOOKUP(ROUND(CONCATENATE($A20,G$2),0),'Cadastro dos Padrões'!$A$2:$V$4400,G$1,FALSE))</f>
        <v>E15366/23</v>
      </c>
      <c r="H20" s="32">
        <f>IF($B20="-","-",VLOOKUP(ROUND(CONCATENATE($A20,H$2),0),'Cadastro dos Padrões'!$A$2:$V$4400,H$1,FALSE))</f>
        <v>45260</v>
      </c>
      <c r="I20" s="33">
        <f>IF($B20="-","-",VLOOKUP(ROUND(CONCATENATE($A20,I$2),0),'Cadastro dos Padrões'!$A$2:$V$4400,I$1,FALSE))</f>
        <v>45442</v>
      </c>
      <c r="J20" s="31" t="str">
        <f>IF($B20="-","-",VLOOKUP(ROUND(CONCATENATE($A20,J$2),0),'Cadastro dos Padrões'!$A$2:$V$4400,J$1,FALSE))</f>
        <v>%ur</v>
      </c>
      <c r="K20" s="31">
        <f>IF($B20="-","-",VLOOKUP(ROUND(CONCATENATE($A20,K$2),0),'Cadastro dos Padrões'!$A$2:$V$4400,K$1,FALSE))</f>
        <v>5</v>
      </c>
      <c r="L20" s="31">
        <f>IF($B20="-","-",VLOOKUP(ROUND(CONCATENATE($A20,L$2),0),'Cadastro dos Padrões'!$A$2:$V$4400,L$1,FALSE))</f>
        <v>97.98</v>
      </c>
      <c r="M20" s="31">
        <f>IF($B20="-","-",VLOOKUP(ROUND(CONCATENATE($A20,M$2),0),'Cadastro dos Padrões'!$A$2:$V$4400,M$1,FALSE))</f>
        <v>0.01</v>
      </c>
      <c r="N20" s="31">
        <f>IF($B20="-","-",VLOOKUP(ROUND(CONCATENATE($A20,N$2),0),'Cadastro dos Padrões'!$A$2:$V$4400,N$1,FALSE))</f>
        <v>0.44999999999999929</v>
      </c>
      <c r="O20" s="31">
        <f>IF($B20="-","-",VLOOKUP(ROUND(CONCATENATE($A20,O$2),0),'Cadastro dos Padrões'!$A$2:$V$4400,O$1,FALSE))</f>
        <v>0.93</v>
      </c>
      <c r="P20" s="31">
        <f>IF($B20="-","-",VLOOKUP(ROUND(CONCATENATE($A20,P$2),0),'Cadastro dos Padrões'!$A$2:$V$4400,P$1,FALSE))</f>
        <v>0.35</v>
      </c>
      <c r="Q20" s="31">
        <f>IF($B20="-","-",VLOOKUP(ROUND(CONCATENATE($A20,Q$2),0),'Cadastro dos Padrões'!$A$2:$V$4400,Q$1,FALSE))</f>
        <v>2.2692871885138466E-2</v>
      </c>
      <c r="R20" s="31">
        <f>IF($B20="-","-",VLOOKUP(ROUND(CONCATENATE($A20,R$2),0),'Cadastro dos Padrões'!$A$2:$V$4400,R$1,FALSE))</f>
        <v>4</v>
      </c>
      <c r="S20" s="31">
        <f>IF($B20="-","-",VLOOKUP(ROUND(CONCATENATE($A20,S$2),0),'Cadastro dos Padrões'!$A$2:$V$4400,S$1,FALSE))</f>
        <v>0</v>
      </c>
      <c r="T20" s="31">
        <f>IF($B20="-","-",VLOOKUP(ROUND(CONCATENATE($A20,T$2),0),'Cadastro dos Padrões'!$A$2:$V$4400,T$1,FALSE))</f>
        <v>0</v>
      </c>
      <c r="U20" s="31">
        <f>IF($B20="-","-",VLOOKUP(ROUND(CONCATENATE($A20,U$2),0),'Cadastro dos Padrões'!$A$2:$V$4400,U$1,FALSE))</f>
        <v>0</v>
      </c>
      <c r="V20" s="31">
        <f>IF($B20="-","-",VLOOKUP(ROUND(CONCATENATE($A20,V$2),0),'Cadastro dos Padrões'!$A$2:$V$4400,V$1,FALSE))</f>
        <v>0</v>
      </c>
      <c r="W20" s="31">
        <f>IF($B20="-","-",VLOOKUP(ROUND(CONCATENATE($A20,W$2),0),'Cadastro dos Padrões'!$A$2:$V$4400,W$1,FALSE))</f>
        <v>-1.8536148923327379E-7</v>
      </c>
      <c r="X20" s="31">
        <f>IF($B20="-","-",VLOOKUP(ROUND(CONCATENATE($A20,X$2),0),'Cadastro dos Padrões'!$A$2:$V$4400,X$1,FALSE))</f>
        <v>3.9755305544744543E-5</v>
      </c>
      <c r="Y20" s="31">
        <f>IF($B20="-","-",VLOOKUP(ROUND(CONCATENATE($A20,Y$2),0),'Cadastro dos Padrões'!$A$2:$V$4400,Y$1,FALSE))</f>
        <v>-2.6740613243078073E-3</v>
      </c>
      <c r="Z20" s="31">
        <f>IF($B20="-","-",VLOOKUP(ROUND(CONCATENATE($A20,Z$2),0),'Cadastro dos Padrões'!$A$2:$V$4400,Z$1,FALSE))</f>
        <v>1.0580605849540461</v>
      </c>
      <c r="AA20" s="31">
        <f>IF($B20="-","-",VLOOKUP(ROUND(CONCATENATE($A20,AA$2),0),'Cadastro dos Padrões'!$A$2:$V$4400,AA$1,FALSE))</f>
        <v>5.3549522681626271E-2</v>
      </c>
      <c r="AB20" s="31">
        <f>IF(VLOOKUP(ROUND(CONCATENATE($A20,AB$2),0),'Cadastro dos Padrões'!$A$2:$V$4400,AB$1,FALSE)="","-",VLOOKUP(ROUND(CONCATENATE($A20,AB$2),0),'Cadastro dos Padrões'!$A$2:$V$4400,AB$1,FALSE))</f>
        <v>5</v>
      </c>
      <c r="AC20" s="31">
        <f>IF(VLOOKUP(ROUND(CONCATENATE($A20,AC$2),0),'Cadastro dos Padrões'!$A$2:$V$4400,AC$1,FALSE)="","-",VLOOKUP(ROUND(CONCATENATE($A20,AC$2),0),'Cadastro dos Padrões'!$A$2:$V$4400,AC$1,FALSE))</f>
        <v>0.25</v>
      </c>
      <c r="AD20" s="31">
        <f>IF(VLOOKUP(ROUND(CONCATENATE($A20,AD$2),0),'Cadastro dos Padrões'!$A$2:$V$4400,AD$1,FALSE)="","-",VLOOKUP(ROUND(CONCATENATE($A20,AD$2),0),'Cadastro dos Padrões'!$A$2:$V$4400,AD$1,FALSE))</f>
        <v>2</v>
      </c>
      <c r="AE20" s="31">
        <f>IF(VLOOKUP(ROUND(CONCATENATE($A20,AE$2),0),'Cadastro dos Padrões'!$A$2:$V$4400,AE$1,FALSE)="","-",VLOOKUP(ROUND(CONCATENATE($A20,AE$2),0),'Cadastro dos Padrões'!$A$2:$V$4400,AE$1,FALSE))</f>
        <v>1000000</v>
      </c>
      <c r="AF20" s="31">
        <f>IF(VLOOKUP(ROUND(CONCATENATE($A20,AF$2),0),'Cadastro dos Padrões'!$A$2:$V$4400,AF$1,FALSE)="","-",VLOOKUP(ROUND(CONCATENATE($A20,AF$2),0),'Cadastro dos Padrões'!$A$2:$V$4400,AF$1,FALSE))</f>
        <v>19.989999999999998</v>
      </c>
      <c r="AG20" s="31">
        <f>IF(VLOOKUP(ROUND(CONCATENATE($A20,AG$2),0),'Cadastro dos Padrões'!$A$2:$V$4400,AG$1,FALSE)="","-",VLOOKUP(ROUND(CONCATENATE($A20,AG$2),0),'Cadastro dos Padrões'!$A$2:$V$4400,AG$1,FALSE))</f>
        <v>0.26</v>
      </c>
      <c r="AH20" s="31">
        <f>IF(VLOOKUP(ROUND(CONCATENATE($A20,AH$2),0),'Cadastro dos Padrões'!$A$2:$V$4400,AH$1,FALSE)="","-",VLOOKUP(ROUND(CONCATENATE($A20,AH$2),0),'Cadastro dos Padrões'!$A$2:$V$4400,AH$1,FALSE))</f>
        <v>2</v>
      </c>
      <c r="AI20" s="31">
        <f>IF(VLOOKUP(ROUND(CONCATENATE($A20,AI$2),0),'Cadastro dos Padrões'!$A$2:$V$4400,AI$1,FALSE)="","-",VLOOKUP(ROUND(CONCATENATE($A20,AI$2),0),'Cadastro dos Padrões'!$A$2:$V$4400,AI$1,FALSE))</f>
        <v>1000000</v>
      </c>
      <c r="AJ20" s="31">
        <f>IF(VLOOKUP(ROUND(CONCATENATE($A20,AJ$2),0),'Cadastro dos Padrões'!$A$2:$V$4400,AJ$1,FALSE)="","-",VLOOKUP(ROUND(CONCATENATE($A20,AJ$2),0),'Cadastro dos Padrões'!$A$2:$V$4400,AJ$1,FALSE))</f>
        <v>30</v>
      </c>
      <c r="AK20" s="31">
        <f>IF(VLOOKUP(ROUND(CONCATENATE($A20,AK$2),0),'Cadastro dos Padrões'!$A$2:$V$4400,AK$1,FALSE)="","-",VLOOKUP(ROUND(CONCATENATE($A20,AK$2),0),'Cadastro dos Padrões'!$A$2:$V$4400,AK$1,FALSE))</f>
        <v>0.33</v>
      </c>
      <c r="AL20" s="31">
        <f>IF(VLOOKUP(ROUND(CONCATENATE($A20,AL$2),0),'Cadastro dos Padrões'!$A$2:$V$4400,AL$1,FALSE)="","-",VLOOKUP(ROUND(CONCATENATE($A20,AL$2),0),'Cadastro dos Padrões'!$A$2:$V$4400,AL$1,FALSE))</f>
        <v>2</v>
      </c>
      <c r="AM20" s="31">
        <f>IF(VLOOKUP(ROUND(CONCATENATE($A20,AM$2),0),'Cadastro dos Padrões'!$A$2:$V$4400,AM$1,FALSE)="","-",VLOOKUP(ROUND(CONCATENATE($A20,AM$2),0),'Cadastro dos Padrões'!$A$2:$V$4400,AM$1,FALSE))</f>
        <v>1000000</v>
      </c>
      <c r="AN20" s="31">
        <f>IF(VLOOKUP(ROUND(CONCATENATE($A20,AN$2),0),'Cadastro dos Padrões'!$A$2:$V$4400,AN$1,FALSE)="","-",VLOOKUP(ROUND(CONCATENATE($A20,AN$2),0),'Cadastro dos Padrões'!$A$2:$V$4400,AN$1,FALSE))</f>
        <v>49.99</v>
      </c>
      <c r="AO20" s="31">
        <f>IF(VLOOKUP(ROUND(CONCATENATE($A20,AO$2),0),'Cadastro dos Padrões'!$A$2:$V$4400,AO$1,FALSE)="","-",VLOOKUP(ROUND(CONCATENATE($A20,AO$2),0),'Cadastro dos Padrões'!$A$2:$V$4400,AO$1,FALSE))</f>
        <v>0.51</v>
      </c>
      <c r="AP20" s="31">
        <f>IF(VLOOKUP(ROUND(CONCATENATE($A20,AP$2),0),'Cadastro dos Padrões'!$A$2:$V$4400,AP$1,FALSE)="","-",VLOOKUP(ROUND(CONCATENATE($A20,AP$2),0),'Cadastro dos Padrões'!$A$2:$V$4400,AP$1,FALSE))</f>
        <v>2</v>
      </c>
      <c r="AQ20" s="31">
        <f>IF(VLOOKUP(ROUND(CONCATENATE($A20,AQ$2),0),'Cadastro dos Padrões'!$A$2:$V$4400,AQ$1,FALSE)="","-",VLOOKUP(ROUND(CONCATENATE($A20,AQ$2),0),'Cadastro dos Padrões'!$A$2:$V$4400,AQ$1,FALSE))</f>
        <v>1000000</v>
      </c>
      <c r="AR20" s="31">
        <f>IF(VLOOKUP(ROUND(CONCATENATE($A20,AR$2),0),'Cadastro dos Padrões'!$A$2:$V$4400,AR$1,FALSE)="","-",VLOOKUP(ROUND(CONCATENATE($A20,AR$2),0),'Cadastro dos Padrões'!$A$2:$V$4400,AR$1,FALSE))</f>
        <v>80.03</v>
      </c>
      <c r="AS20" s="31">
        <f>IF(VLOOKUP(ROUND(CONCATENATE($A20,AS$2),0),'Cadastro dos Padrões'!$A$2:$V$4400,AS$1,FALSE)="","-",VLOOKUP(ROUND(CONCATENATE($A20,AS$2),0),'Cadastro dos Padrões'!$A$2:$V$4400,AS$1,FALSE))</f>
        <v>0.78</v>
      </c>
      <c r="AT20" s="31">
        <f>IF(VLOOKUP(ROUND(CONCATENATE($A20,AT$2),0),'Cadastro dos Padrões'!$A$2:$V$4400,AT$1,FALSE)="","-",VLOOKUP(ROUND(CONCATENATE($A20,AT$2),0),'Cadastro dos Padrões'!$A$2:$V$4400,AT$1,FALSE))</f>
        <v>2</v>
      </c>
      <c r="AU20" s="31">
        <f>IF(VLOOKUP(ROUND(CONCATENATE($A20,AU$2),0),'Cadastro dos Padrões'!$A$2:$V$4400,AU$1,FALSE)="","-",VLOOKUP(ROUND(CONCATENATE($A20,AU$2),0),'Cadastro dos Padrões'!$A$2:$V$4400,AU$1,FALSE))</f>
        <v>1000000</v>
      </c>
      <c r="AV20" s="31">
        <f>IF(VLOOKUP(ROUND(CONCATENATE($A20,AV$2),0),'Cadastro dos Padrões'!$A$2:$V$4400,AV$1,FALSE)="","-",VLOOKUP(ROUND(CONCATENATE($A20,AV$2),0),'Cadastro dos Padrões'!$A$2:$V$4400,AV$1,FALSE))</f>
        <v>97.98</v>
      </c>
      <c r="AW20" s="31">
        <f>IF(VLOOKUP(ROUND(CONCATENATE($A20,AW$2),0),'Cadastro dos Padrões'!$A$2:$V$4400,AW$1,FALSE)="","-",VLOOKUP(ROUND(CONCATENATE($A20,AW$2),0),'Cadastro dos Padrões'!$A$2:$V$4400,AW$1,FALSE))</f>
        <v>0.93</v>
      </c>
      <c r="AX20" s="31">
        <f>IF(VLOOKUP(ROUND(CONCATENATE($A20,AX$2),0),'Cadastro dos Padrões'!$A$2:$V$4400,AX$1,FALSE)="","-",VLOOKUP(ROUND(CONCATENATE($A20,AX$2),0),'Cadastro dos Padrões'!$A$2:$V$4400,AX$1,FALSE))</f>
        <v>2</v>
      </c>
      <c r="AY20" s="31">
        <f>IF(VLOOKUP(ROUND(CONCATENATE($A20,AY$2),0),'Cadastro dos Padrões'!$A$2:$V$4400,AY$1,FALSE)="","-",VLOOKUP(ROUND(CONCATENATE($A20,AY$2),0),'Cadastro dos Padrões'!$A$2:$V$4400,AY$1,FALSE))</f>
        <v>1000000</v>
      </c>
      <c r="AZ20" s="31" t="str">
        <f>IF(VLOOKUP(ROUND(CONCATENATE($A20,AZ$2),0),'Cadastro dos Padrões'!$A$2:$V$4400,AZ$1,FALSE)="","-",VLOOKUP(ROUND(CONCATENATE($A20,AZ$2),0),'Cadastro dos Padrões'!$A$2:$V$4400,AZ$1,FALSE))</f>
        <v>-</v>
      </c>
      <c r="BA20" s="31" t="str">
        <f>IF(VLOOKUP(ROUND(CONCATENATE($A20,BA$2),0),'Cadastro dos Padrões'!$A$2:$V$4400,BA$1,FALSE)="","-",VLOOKUP(ROUND(CONCATENATE($A20,BA$2),0),'Cadastro dos Padrões'!$A$2:$V$4400,BA$1,FALSE))</f>
        <v>-</v>
      </c>
      <c r="BB20" s="31" t="str">
        <f>IF(VLOOKUP(ROUND(CONCATENATE($A20,BB$2),0),'Cadastro dos Padrões'!$A$2:$V$4400,BB$1,FALSE)="","-",VLOOKUP(ROUND(CONCATENATE($A20,BB$2),0),'Cadastro dos Padrões'!$A$2:$V$4400,BB$1,FALSE))</f>
        <v>-</v>
      </c>
      <c r="BC20" s="31" t="str">
        <f>IF(VLOOKUP(ROUND(CONCATENATE($A20,BC$2),0),'Cadastro dos Padrões'!$A$2:$V$4400,BC$1,FALSE)="","-",VLOOKUP(ROUND(CONCATENATE($A20,BC$2),0),'Cadastro dos Padrões'!$A$2:$V$4400,BC$1,FALSE))</f>
        <v>-</v>
      </c>
      <c r="BD20" s="31" t="str">
        <f>IF(VLOOKUP(ROUND(CONCATENATE($A20,BD$2),0),'Cadastro dos Padrões'!$A$2:$V$4400,BD$1,FALSE)="","-",VLOOKUP(ROUND(CONCATENATE($A20,BD$2),0),'Cadastro dos Padrões'!$A$2:$V$4400,BD$1,FALSE))</f>
        <v>-</v>
      </c>
      <c r="BE20" s="31" t="str">
        <f>IF(VLOOKUP(ROUND(CONCATENATE($A20,BE$2),0),'Cadastro dos Padrões'!$A$2:$V$4400,BE$1,FALSE)="","-",VLOOKUP(ROUND(CONCATENATE($A20,BE$2),0),'Cadastro dos Padrões'!$A$2:$V$4400,BE$1,FALSE))</f>
        <v>-</v>
      </c>
      <c r="BF20" s="31" t="str">
        <f>IF(VLOOKUP(ROUND(CONCATENATE($A20,BF$2),0),'Cadastro dos Padrões'!$A$2:$V$4400,BF$1,FALSE)="","-",VLOOKUP(ROUND(CONCATENATE($A20,BF$2),0),'Cadastro dos Padrões'!$A$2:$V$4400,BF$1,FALSE))</f>
        <v>-</v>
      </c>
      <c r="BG20" s="31" t="str">
        <f>IF(VLOOKUP(ROUND(CONCATENATE($A20,BG$2),0),'Cadastro dos Padrões'!$A$2:$V$4400,BG$1,FALSE)="","-",VLOOKUP(ROUND(CONCATENATE($A20,BG$2),0),'Cadastro dos Padrões'!$A$2:$V$4400,BG$1,FALSE))</f>
        <v>-</v>
      </c>
      <c r="BH20" s="31" t="str">
        <f>IF(VLOOKUP(ROUND(CONCATENATE($A20,BH$2),0),'Cadastro dos Padrões'!$A$2:$V$4400,BH$1,FALSE)="","-",VLOOKUP(ROUND(CONCATENATE($A20,BH$2),0),'Cadastro dos Padrões'!$A$2:$V$4400,BH$1,FALSE))</f>
        <v>-</v>
      </c>
      <c r="BI20" s="31" t="str">
        <f>IF(VLOOKUP(ROUND(CONCATENATE($A20,BI$2),0),'Cadastro dos Padrões'!$A$2:$V$4400,BI$1,FALSE)="","-",VLOOKUP(ROUND(CONCATENATE($A20,BI$2),0),'Cadastro dos Padrões'!$A$2:$V$4400,BI$1,FALSE))</f>
        <v>-</v>
      </c>
      <c r="BJ20" s="31" t="str">
        <f>IF(VLOOKUP(ROUND(CONCATENATE($A20,BJ$2),0),'Cadastro dos Padrões'!$A$2:$V$4400,BJ$1,FALSE)="","-",VLOOKUP(ROUND(CONCATENATE($A20,BJ$2),0),'Cadastro dos Padrões'!$A$2:$V$4400,BJ$1,FALSE))</f>
        <v>-</v>
      </c>
      <c r="BK20" s="31" t="str">
        <f>IF(VLOOKUP(ROUND(CONCATENATE($A20,BK$2),0),'Cadastro dos Padrões'!$A$2:$V$4400,BK$1,FALSE)="","-",VLOOKUP(ROUND(CONCATENATE($A20,BK$2),0),'Cadastro dos Padrões'!$A$2:$V$4400,BK$1,FALSE))</f>
        <v>-</v>
      </c>
      <c r="BL20" s="31" t="str">
        <f>IF(VLOOKUP(ROUND(CONCATENATE($A20,BL$2),0),'Cadastro dos Padrões'!$A$2:$V$4400,BL$1,FALSE)="","-",VLOOKUP(ROUND(CONCATENATE($A20,BL$2),0),'Cadastro dos Padrões'!$A$2:$V$4400,BL$1,FALSE))</f>
        <v>-</v>
      </c>
      <c r="BM20" s="31" t="str">
        <f>IF(VLOOKUP(ROUND(CONCATENATE($A20,BM$2),0),'Cadastro dos Padrões'!$A$2:$V$4400,BM$1,FALSE)="","-",VLOOKUP(ROUND(CONCATENATE($A20,BM$2),0),'Cadastro dos Padrões'!$A$2:$V$4400,BM$1,FALSE))</f>
        <v>-</v>
      </c>
      <c r="BN20" s="31" t="str">
        <f>IF(VLOOKUP(ROUND(CONCATENATE($A20,BN$2),0),'Cadastro dos Padrões'!$A$2:$V$4400,BN$1,FALSE)="","-",VLOOKUP(ROUND(CONCATENATE($A20,BN$2),0),'Cadastro dos Padrões'!$A$2:$V$4400,BN$1,FALSE))</f>
        <v>-</v>
      </c>
      <c r="BO20" s="31" t="str">
        <f>IF(VLOOKUP(ROUND(CONCATENATE($A20,BO$2),0),'Cadastro dos Padrões'!$A$2:$V$4400,BO$1,FALSE)="","-",VLOOKUP(ROUND(CONCATENATE($A20,BO$2),0),'Cadastro dos Padrões'!$A$2:$V$4400,BO$1,FALSE))</f>
        <v>-</v>
      </c>
    </row>
    <row r="21" spans="1:67" x14ac:dyDescent="0.3">
      <c r="A21" s="6">
        <f t="shared" si="52"/>
        <v>16</v>
      </c>
      <c r="B21" s="31" t="str">
        <f>IF(VLOOKUP(ROUND(CONCATENATE($A21,B$2),0),'Cadastro dos Padrões'!$A$2:$V$4400,B$1,FALSE)="","-",VLOOKUP(ROUND(CONCATENATE($A21,B$2),0),'Cadastro dos Padrões'!$A$2:$V$4400,B$1,FALSE))</f>
        <v>EL-2151</v>
      </c>
      <c r="C21" s="31" t="str">
        <f>IF($B21="-","-",VLOOKUP(ROUND(CONCATENATE($A21,C$2),0),'Cadastro dos Padrões'!$A$2:$V$4400,C$1,FALSE))</f>
        <v>Termohigrômetro Digital</v>
      </c>
      <c r="D21" s="31">
        <f>IF($B21="-","-",VLOOKUP(ROUND(CONCATENATE($A21,D$2),0),'Cadastro dos Padrões'!$A$2:$V$4400,D$1,FALSE))</f>
        <v>25</v>
      </c>
      <c r="E21" s="31" t="str">
        <f>IF($B21="-","-",VLOOKUP(ROUND(CONCATENATE($A21,E$2),0),'Cadastro dos Padrões'!$A$2:$V$4400,E$1,FALSE))</f>
        <v>Elus</v>
      </c>
      <c r="F21" s="31" t="str">
        <f>IF($B21="-","-",VLOOKUP(ROUND(CONCATENATE($A21,F$2),0),'Cadastro dos Padrões'!$A$2:$V$4400,F$1,FALSE))</f>
        <v>RBC - CAL 0439</v>
      </c>
      <c r="G21" s="31" t="str">
        <f>IF($B21="-","-",VLOOKUP(ROUND(CONCATENATE($A21,G$2),0),'Cadastro dos Padrões'!$A$2:$V$4400,G$1,FALSE))</f>
        <v>E15366/23</v>
      </c>
      <c r="H21" s="32">
        <f>IF($B21="-","-",VLOOKUP(ROUND(CONCATENATE($A21,H$2),0),'Cadastro dos Padrões'!$A$2:$V$4400,H$1,FALSE))</f>
        <v>45260</v>
      </c>
      <c r="I21" s="33">
        <f>IF($B21="-","-",VLOOKUP(ROUND(CONCATENATE($A21,I$2),0),'Cadastro dos Padrões'!$A$2:$V$4400,I$1,FALSE))</f>
        <v>45442</v>
      </c>
      <c r="J21" s="31" t="str">
        <f>IF($B21="-","-",VLOOKUP(ROUND(CONCATENATE($A21,J$2),0),'Cadastro dos Padrões'!$A$2:$V$4400,J$1,FALSE))</f>
        <v>%ur</v>
      </c>
      <c r="K21" s="31">
        <f>IF($B21="-","-",VLOOKUP(ROUND(CONCATENATE($A21,K$2),0),'Cadastro dos Padrões'!$A$2:$V$4400,K$1,FALSE))</f>
        <v>5.01</v>
      </c>
      <c r="L21" s="31">
        <f>IF($B21="-","-",VLOOKUP(ROUND(CONCATENATE($A21,L$2),0),'Cadastro dos Padrões'!$A$2:$V$4400,L$1,FALSE))</f>
        <v>97.99</v>
      </c>
      <c r="M21" s="31">
        <f>IF($B21="-","-",VLOOKUP(ROUND(CONCATENATE($A21,M$2),0),'Cadastro dos Padrões'!$A$2:$V$4400,M$1,FALSE))</f>
        <v>0.01</v>
      </c>
      <c r="N21" s="31">
        <f>IF($B21="-","-",VLOOKUP(ROUND(CONCATENATE($A21,N$2),0),'Cadastro dos Padrões'!$A$2:$V$4400,N$1,FALSE))</f>
        <v>0.67000000000000171</v>
      </c>
      <c r="O21" s="31">
        <f>IF($B21="-","-",VLOOKUP(ROUND(CONCATENATE($A21,O$2),0),'Cadastro dos Padrões'!$A$2:$V$4400,O$1,FALSE))</f>
        <v>0.84</v>
      </c>
      <c r="P21" s="31">
        <f>IF($B21="-","-",VLOOKUP(ROUND(CONCATENATE($A21,P$2),0),'Cadastro dos Padrões'!$A$2:$V$4400,P$1,FALSE))</f>
        <v>0.46000000000000441</v>
      </c>
      <c r="Q21" s="31">
        <f>IF($B21="-","-",VLOOKUP(ROUND(CONCATENATE($A21,Q$2),0),'Cadastro dos Padrões'!$A$2:$V$4400,Q$1,FALSE))</f>
        <v>0.11959927046829599</v>
      </c>
      <c r="R21" s="31">
        <f>IF($B21="-","-",VLOOKUP(ROUND(CONCATENATE($A21,R$2),0),'Cadastro dos Padrões'!$A$2:$V$4400,R$1,FALSE))</f>
        <v>4</v>
      </c>
      <c r="S21" s="31">
        <f>IF($B21="-","-",VLOOKUP(ROUND(CONCATENATE($A21,S$2),0),'Cadastro dos Padrões'!$A$2:$V$4400,S$1,FALSE))</f>
        <v>0</v>
      </c>
      <c r="T21" s="31">
        <f>IF($B21="-","-",VLOOKUP(ROUND(CONCATENATE($A21,T$2),0),'Cadastro dos Padrões'!$A$2:$V$4400,T$1,FALSE))</f>
        <v>0</v>
      </c>
      <c r="U21" s="31">
        <f>IF($B21="-","-",VLOOKUP(ROUND(CONCATENATE($A21,U$2),0),'Cadastro dos Padrões'!$A$2:$V$4400,U$1,FALSE))</f>
        <v>0</v>
      </c>
      <c r="V21" s="31">
        <f>IF($B21="-","-",VLOOKUP(ROUND(CONCATENATE($A21,V$2),0),'Cadastro dos Padrões'!$A$2:$V$4400,V$1,FALSE))</f>
        <v>0</v>
      </c>
      <c r="W21" s="31">
        <f>IF($B21="-","-",VLOOKUP(ROUND(CONCATENATE($A21,W$2),0),'Cadastro dos Padrões'!$A$2:$V$4400,W$1,FALSE))</f>
        <v>-5.618841914387737E-9</v>
      </c>
      <c r="X21" s="31">
        <f>IF($B21="-","-",VLOOKUP(ROUND(CONCATENATE($A21,X$2),0),'Cadastro dos Padrões'!$A$2:$V$4400,X$1,FALSE))</f>
        <v>3.3224469686809301E-6</v>
      </c>
      <c r="Y21" s="31">
        <f>IF($B21="-","-",VLOOKUP(ROUND(CONCATENATE($A21,Y$2),0),'Cadastro dos Padrões'!$A$2:$V$4400,Y$1,FALSE))</f>
        <v>-4.0961354675490152E-4</v>
      </c>
      <c r="Z21" s="31">
        <f>IF($B21="-","-",VLOOKUP(ROUND(CONCATENATE($A21,Z$2),0),'Cadastro dos Padrões'!$A$2:$V$4400,Z$1,FALSE))</f>
        <v>1.0186688120158724</v>
      </c>
      <c r="AA21" s="31">
        <f>IF($B21="-","-",VLOOKUP(ROUND(CONCATENATE($A21,AA$2),0),'Cadastro dos Padrões'!$A$2:$V$4400,AA$1,FALSE))</f>
        <v>0.17775750073295152</v>
      </c>
      <c r="AB21" s="31">
        <f>IF(VLOOKUP(ROUND(CONCATENATE($A21,AB$2),0),'Cadastro dos Padrões'!$A$2:$V$4400,AB$1,FALSE)="","-",VLOOKUP(ROUND(CONCATENATE($A21,AB$2),0),'Cadastro dos Padrões'!$A$2:$V$4400,AB$1,FALSE))</f>
        <v>5.01</v>
      </c>
      <c r="AC21" s="31">
        <f>IF(VLOOKUP(ROUND(CONCATENATE($A21,AC$2),0),'Cadastro dos Padrões'!$A$2:$V$4400,AC$1,FALSE)="","-",VLOOKUP(ROUND(CONCATENATE($A21,AC$2),0),'Cadastro dos Padrões'!$A$2:$V$4400,AC$1,FALSE))</f>
        <v>0.25</v>
      </c>
      <c r="AD21" s="31">
        <f>IF(VLOOKUP(ROUND(CONCATENATE($A21,AD$2),0),'Cadastro dos Padrões'!$A$2:$V$4400,AD$1,FALSE)="","-",VLOOKUP(ROUND(CONCATENATE($A21,AD$2),0),'Cadastro dos Padrões'!$A$2:$V$4400,AD$1,FALSE))</f>
        <v>2</v>
      </c>
      <c r="AE21" s="31">
        <f>IF(VLOOKUP(ROUND(CONCATENATE($A21,AE$2),0),'Cadastro dos Padrões'!$A$2:$V$4400,AE$1,FALSE)="","-",VLOOKUP(ROUND(CONCATENATE($A21,AE$2),0),'Cadastro dos Padrões'!$A$2:$V$4400,AE$1,FALSE))</f>
        <v>1000000</v>
      </c>
      <c r="AF21" s="31">
        <f>IF(VLOOKUP(ROUND(CONCATENATE($A21,AF$2),0),'Cadastro dos Padrões'!$A$2:$V$4400,AF$1,FALSE)="","-",VLOOKUP(ROUND(CONCATENATE($A21,AF$2),0),'Cadastro dos Padrões'!$A$2:$V$4400,AF$1,FALSE))</f>
        <v>19.989999999999998</v>
      </c>
      <c r="AG21" s="31">
        <f>IF(VLOOKUP(ROUND(CONCATENATE($A21,AG$2),0),'Cadastro dos Padrões'!$A$2:$V$4400,AG$1,FALSE)="","-",VLOOKUP(ROUND(CONCATENATE($A21,AG$2),0),'Cadastro dos Padrões'!$A$2:$V$4400,AG$1,FALSE))</f>
        <v>0.25</v>
      </c>
      <c r="AH21" s="31">
        <f>IF(VLOOKUP(ROUND(CONCATENATE($A21,AH$2),0),'Cadastro dos Padrões'!$A$2:$V$4400,AH$1,FALSE)="","-",VLOOKUP(ROUND(CONCATENATE($A21,AH$2),0),'Cadastro dos Padrões'!$A$2:$V$4400,AH$1,FALSE))</f>
        <v>2</v>
      </c>
      <c r="AI21" s="31">
        <f>IF(VLOOKUP(ROUND(CONCATENATE($A21,AI$2),0),'Cadastro dos Padrões'!$A$2:$V$4400,AI$1,FALSE)="","-",VLOOKUP(ROUND(CONCATENATE($A21,AI$2),0),'Cadastro dos Padrões'!$A$2:$V$4400,AI$1,FALSE))</f>
        <v>1000000</v>
      </c>
      <c r="AJ21" s="31">
        <f>IF(VLOOKUP(ROUND(CONCATENATE($A21,AJ$2),0),'Cadastro dos Padrões'!$A$2:$V$4400,AJ$1,FALSE)="","-",VLOOKUP(ROUND(CONCATENATE($A21,AJ$2),0),'Cadastro dos Padrões'!$A$2:$V$4400,AJ$1,FALSE))</f>
        <v>30.01</v>
      </c>
      <c r="AK21" s="31">
        <f>IF(VLOOKUP(ROUND(CONCATENATE($A21,AK$2),0),'Cadastro dos Padrões'!$A$2:$V$4400,AK$1,FALSE)="","-",VLOOKUP(ROUND(CONCATENATE($A21,AK$2),0),'Cadastro dos Padrões'!$A$2:$V$4400,AK$1,FALSE))</f>
        <v>0.32</v>
      </c>
      <c r="AL21" s="31">
        <f>IF(VLOOKUP(ROUND(CONCATENATE($A21,AL$2),0),'Cadastro dos Padrões'!$A$2:$V$4400,AL$1,FALSE)="","-",VLOOKUP(ROUND(CONCATENATE($A21,AL$2),0),'Cadastro dos Padrões'!$A$2:$V$4400,AL$1,FALSE))</f>
        <v>2</v>
      </c>
      <c r="AM21" s="31">
        <f>IF(VLOOKUP(ROUND(CONCATENATE($A21,AM$2),0),'Cadastro dos Padrões'!$A$2:$V$4400,AM$1,FALSE)="","-",VLOOKUP(ROUND(CONCATENATE($A21,AM$2),0),'Cadastro dos Padrões'!$A$2:$V$4400,AM$1,FALSE))</f>
        <v>1000000</v>
      </c>
      <c r="AN21" s="31">
        <f>IF(VLOOKUP(ROUND(CONCATENATE($A21,AN$2),0),'Cadastro dos Padrões'!$A$2:$V$4400,AN$1,FALSE)="","-",VLOOKUP(ROUND(CONCATENATE($A21,AN$2),0),'Cadastro dos Padrões'!$A$2:$V$4400,AN$1,FALSE))</f>
        <v>50.01</v>
      </c>
      <c r="AO21" s="31">
        <f>IF(VLOOKUP(ROUND(CONCATENATE($A21,AO$2),0),'Cadastro dos Padrões'!$A$2:$V$4400,AO$1,FALSE)="","-",VLOOKUP(ROUND(CONCATENATE($A21,AO$2),0),'Cadastro dos Padrões'!$A$2:$V$4400,AO$1,FALSE))</f>
        <v>0.5</v>
      </c>
      <c r="AP21" s="31">
        <f>IF(VLOOKUP(ROUND(CONCATENATE($A21,AP$2),0),'Cadastro dos Padrões'!$A$2:$V$4400,AP$1,FALSE)="","-",VLOOKUP(ROUND(CONCATENATE($A21,AP$2),0),'Cadastro dos Padrões'!$A$2:$V$4400,AP$1,FALSE))</f>
        <v>2</v>
      </c>
      <c r="AQ21" s="31">
        <f>IF(VLOOKUP(ROUND(CONCATENATE($A21,AQ$2),0),'Cadastro dos Padrões'!$A$2:$V$4400,AQ$1,FALSE)="","-",VLOOKUP(ROUND(CONCATENATE($A21,AQ$2),0),'Cadastro dos Padrões'!$A$2:$V$4400,AQ$1,FALSE))</f>
        <v>1000000</v>
      </c>
      <c r="AR21" s="31">
        <f>IF(VLOOKUP(ROUND(CONCATENATE($A21,AR$2),0),'Cadastro dos Padrões'!$A$2:$V$4400,AR$1,FALSE)="","-",VLOOKUP(ROUND(CONCATENATE($A21,AR$2),0),'Cadastro dos Padrões'!$A$2:$V$4400,AR$1,FALSE))</f>
        <v>80.010000000000005</v>
      </c>
      <c r="AS21" s="31">
        <f>IF(VLOOKUP(ROUND(CONCATENATE($A21,AS$2),0),'Cadastro dos Padrões'!$A$2:$V$4400,AS$1,FALSE)="","-",VLOOKUP(ROUND(CONCATENATE($A21,AS$2),0),'Cadastro dos Padrões'!$A$2:$V$4400,AS$1,FALSE))</f>
        <v>0.75</v>
      </c>
      <c r="AT21" s="31">
        <f>IF(VLOOKUP(ROUND(CONCATENATE($A21,AT$2),0),'Cadastro dos Padrões'!$A$2:$V$4400,AT$1,FALSE)="","-",VLOOKUP(ROUND(CONCATENATE($A21,AT$2),0),'Cadastro dos Padrões'!$A$2:$V$4400,AT$1,FALSE))</f>
        <v>2</v>
      </c>
      <c r="AU21" s="31">
        <f>IF(VLOOKUP(ROUND(CONCATENATE($A21,AU$2),0),'Cadastro dos Padrões'!$A$2:$V$4400,AU$1,FALSE)="","-",VLOOKUP(ROUND(CONCATENATE($A21,AU$2),0),'Cadastro dos Padrões'!$A$2:$V$4400,AU$1,FALSE))</f>
        <v>1000000</v>
      </c>
      <c r="AV21" s="31">
        <f>IF(VLOOKUP(ROUND(CONCATENATE($A21,AV$2),0),'Cadastro dos Padrões'!$A$2:$V$4400,AV$1,FALSE)="","-",VLOOKUP(ROUND(CONCATENATE($A21,AV$2),0),'Cadastro dos Padrões'!$A$2:$V$4400,AV$1,FALSE))</f>
        <v>97.99</v>
      </c>
      <c r="AW21" s="31">
        <f>IF(VLOOKUP(ROUND(CONCATENATE($A21,AW$2),0),'Cadastro dos Padrões'!$A$2:$V$4400,AW$1,FALSE)="","-",VLOOKUP(ROUND(CONCATENATE($A21,AW$2),0),'Cadastro dos Padrões'!$A$2:$V$4400,AW$1,FALSE))</f>
        <v>0.84</v>
      </c>
      <c r="AX21" s="31">
        <f>IF(VLOOKUP(ROUND(CONCATENATE($A21,AX$2),0),'Cadastro dos Padrões'!$A$2:$V$4400,AX$1,FALSE)="","-",VLOOKUP(ROUND(CONCATENATE($A21,AX$2),0),'Cadastro dos Padrões'!$A$2:$V$4400,AX$1,FALSE))</f>
        <v>2</v>
      </c>
      <c r="AY21" s="31">
        <f>IF(VLOOKUP(ROUND(CONCATENATE($A21,AY$2),0),'Cadastro dos Padrões'!$A$2:$V$4400,AY$1,FALSE)="","-",VLOOKUP(ROUND(CONCATENATE($A21,AY$2),0),'Cadastro dos Padrões'!$A$2:$V$4400,AY$1,FALSE))</f>
        <v>1000000</v>
      </c>
      <c r="AZ21" s="31" t="str">
        <f>IF(VLOOKUP(ROUND(CONCATENATE($A21,AZ$2),0),'Cadastro dos Padrões'!$A$2:$V$4400,AZ$1,FALSE)="","-",VLOOKUP(ROUND(CONCATENATE($A21,AZ$2),0),'Cadastro dos Padrões'!$A$2:$V$4400,AZ$1,FALSE))</f>
        <v>-</v>
      </c>
      <c r="BA21" s="31" t="str">
        <f>IF(VLOOKUP(ROUND(CONCATENATE($A21,BA$2),0),'Cadastro dos Padrões'!$A$2:$V$4400,BA$1,FALSE)="","-",VLOOKUP(ROUND(CONCATENATE($A21,BA$2),0),'Cadastro dos Padrões'!$A$2:$V$4400,BA$1,FALSE))</f>
        <v>-</v>
      </c>
      <c r="BB21" s="31" t="str">
        <f>IF(VLOOKUP(ROUND(CONCATENATE($A21,BB$2),0),'Cadastro dos Padrões'!$A$2:$V$4400,BB$1,FALSE)="","-",VLOOKUP(ROUND(CONCATENATE($A21,BB$2),0),'Cadastro dos Padrões'!$A$2:$V$4400,BB$1,FALSE))</f>
        <v>-</v>
      </c>
      <c r="BC21" s="31" t="str">
        <f>IF(VLOOKUP(ROUND(CONCATENATE($A21,BC$2),0),'Cadastro dos Padrões'!$A$2:$V$4400,BC$1,FALSE)="","-",VLOOKUP(ROUND(CONCATENATE($A21,BC$2),0),'Cadastro dos Padrões'!$A$2:$V$4400,BC$1,FALSE))</f>
        <v>-</v>
      </c>
      <c r="BD21" s="31" t="str">
        <f>IF(VLOOKUP(ROUND(CONCATENATE($A21,BD$2),0),'Cadastro dos Padrões'!$A$2:$V$4400,BD$1,FALSE)="","-",VLOOKUP(ROUND(CONCATENATE($A21,BD$2),0),'Cadastro dos Padrões'!$A$2:$V$4400,BD$1,FALSE))</f>
        <v>-</v>
      </c>
      <c r="BE21" s="31" t="str">
        <f>IF(VLOOKUP(ROUND(CONCATENATE($A21,BE$2),0),'Cadastro dos Padrões'!$A$2:$V$4400,BE$1,FALSE)="","-",VLOOKUP(ROUND(CONCATENATE($A21,BE$2),0),'Cadastro dos Padrões'!$A$2:$V$4400,BE$1,FALSE))</f>
        <v>-</v>
      </c>
      <c r="BF21" s="31" t="str">
        <f>IF(VLOOKUP(ROUND(CONCATENATE($A21,BF$2),0),'Cadastro dos Padrões'!$A$2:$V$4400,BF$1,FALSE)="","-",VLOOKUP(ROUND(CONCATENATE($A21,BF$2),0),'Cadastro dos Padrões'!$A$2:$V$4400,BF$1,FALSE))</f>
        <v>-</v>
      </c>
      <c r="BG21" s="31" t="str">
        <f>IF(VLOOKUP(ROUND(CONCATENATE($A21,BG$2),0),'Cadastro dos Padrões'!$A$2:$V$4400,BG$1,FALSE)="","-",VLOOKUP(ROUND(CONCATENATE($A21,BG$2),0),'Cadastro dos Padrões'!$A$2:$V$4400,BG$1,FALSE))</f>
        <v>-</v>
      </c>
      <c r="BH21" s="31" t="str">
        <f>IF(VLOOKUP(ROUND(CONCATENATE($A21,BH$2),0),'Cadastro dos Padrões'!$A$2:$V$4400,BH$1,FALSE)="","-",VLOOKUP(ROUND(CONCATENATE($A21,BH$2),0),'Cadastro dos Padrões'!$A$2:$V$4400,BH$1,FALSE))</f>
        <v>-</v>
      </c>
      <c r="BI21" s="31" t="str">
        <f>IF(VLOOKUP(ROUND(CONCATENATE($A21,BI$2),0),'Cadastro dos Padrões'!$A$2:$V$4400,BI$1,FALSE)="","-",VLOOKUP(ROUND(CONCATENATE($A21,BI$2),0),'Cadastro dos Padrões'!$A$2:$V$4400,BI$1,FALSE))</f>
        <v>-</v>
      </c>
      <c r="BJ21" s="31" t="str">
        <f>IF(VLOOKUP(ROUND(CONCATENATE($A21,BJ$2),0),'Cadastro dos Padrões'!$A$2:$V$4400,BJ$1,FALSE)="","-",VLOOKUP(ROUND(CONCATENATE($A21,BJ$2),0),'Cadastro dos Padrões'!$A$2:$V$4400,BJ$1,FALSE))</f>
        <v>-</v>
      </c>
      <c r="BK21" s="31" t="str">
        <f>IF(VLOOKUP(ROUND(CONCATENATE($A21,BK$2),0),'Cadastro dos Padrões'!$A$2:$V$4400,BK$1,FALSE)="","-",VLOOKUP(ROUND(CONCATENATE($A21,BK$2),0),'Cadastro dos Padrões'!$A$2:$V$4400,BK$1,FALSE))</f>
        <v>-</v>
      </c>
      <c r="BL21" s="31" t="str">
        <f>IF(VLOOKUP(ROUND(CONCATENATE($A21,BL$2),0),'Cadastro dos Padrões'!$A$2:$V$4400,BL$1,FALSE)="","-",VLOOKUP(ROUND(CONCATENATE($A21,BL$2),0),'Cadastro dos Padrões'!$A$2:$V$4400,BL$1,FALSE))</f>
        <v>-</v>
      </c>
      <c r="BM21" s="31" t="str">
        <f>IF(VLOOKUP(ROUND(CONCATENATE($A21,BM$2),0),'Cadastro dos Padrões'!$A$2:$V$4400,BM$1,FALSE)="","-",VLOOKUP(ROUND(CONCATENATE($A21,BM$2),0),'Cadastro dos Padrões'!$A$2:$V$4400,BM$1,FALSE))</f>
        <v>-</v>
      </c>
      <c r="BN21" s="31" t="str">
        <f>IF(VLOOKUP(ROUND(CONCATENATE($A21,BN$2),0),'Cadastro dos Padrões'!$A$2:$V$4400,BN$1,FALSE)="","-",VLOOKUP(ROUND(CONCATENATE($A21,BN$2),0),'Cadastro dos Padrões'!$A$2:$V$4400,BN$1,FALSE))</f>
        <v>-</v>
      </c>
      <c r="BO21" s="31" t="str">
        <f>IF(VLOOKUP(ROUND(CONCATENATE($A21,BO$2),0),'Cadastro dos Padrões'!$A$2:$V$4400,BO$1,FALSE)="","-",VLOOKUP(ROUND(CONCATENATE($A21,BO$2),0),'Cadastro dos Padrões'!$A$2:$V$4400,BO$1,FALSE))</f>
        <v>-</v>
      </c>
    </row>
    <row r="22" spans="1:67" x14ac:dyDescent="0.3">
      <c r="A22" s="6">
        <f t="shared" si="52"/>
        <v>17</v>
      </c>
      <c r="B22" s="31" t="str">
        <f>IF(VLOOKUP(ROUND(CONCATENATE($A22,B$2),0),'Cadastro dos Padrões'!$A$2:$V$4400,B$1,FALSE)="","-",VLOOKUP(ROUND(CONCATENATE($A22,B$2),0),'Cadastro dos Padrões'!$A$2:$V$4400,B$1,FALSE))</f>
        <v>-</v>
      </c>
      <c r="C22" s="31" t="str">
        <f>IF($B22="-","-",VLOOKUP(ROUND(CONCATENATE($A22,C$2),0),'Cadastro dos Padrões'!$A$2:$V$4400,C$1,FALSE))</f>
        <v>-</v>
      </c>
      <c r="D22" s="31" t="str">
        <f>IF($B22="-","-",VLOOKUP(ROUND(CONCATENATE($A22,D$2),0),'Cadastro dos Padrões'!$A$2:$V$4400,D$1,FALSE))</f>
        <v>-</v>
      </c>
      <c r="E22" s="31" t="str">
        <f>IF($B22="-","-",VLOOKUP(ROUND(CONCATENATE($A22,E$2),0),'Cadastro dos Padrões'!$A$2:$V$4400,E$1,FALSE))</f>
        <v>-</v>
      </c>
      <c r="F22" s="31" t="str">
        <f>IF($B22="-","-",VLOOKUP(ROUND(CONCATENATE($A22,F$2),0),'Cadastro dos Padrões'!$A$2:$V$4400,F$1,FALSE))</f>
        <v>-</v>
      </c>
      <c r="G22" s="31" t="str">
        <f>IF($B22="-","-",VLOOKUP(ROUND(CONCATENATE($A22,G$2),0),'Cadastro dos Padrões'!$A$2:$V$4400,G$1,FALSE))</f>
        <v>-</v>
      </c>
      <c r="H22" s="32" t="str">
        <f>IF($B22="-","-",VLOOKUP(ROUND(CONCATENATE($A22,H$2),0),'Cadastro dos Padrões'!$A$2:$V$4400,H$1,FALSE))</f>
        <v>-</v>
      </c>
      <c r="I22" s="33" t="str">
        <f>IF($B22="-","-",VLOOKUP(ROUND(CONCATENATE($A22,I$2),0),'Cadastro dos Padrões'!$A$2:$V$4400,I$1,FALSE))</f>
        <v>-</v>
      </c>
      <c r="J22" s="31" t="str">
        <f>IF($B22="-","-",VLOOKUP(ROUND(CONCATENATE($A22,J$2),0),'Cadastro dos Padrões'!$A$2:$V$4400,J$1,FALSE))</f>
        <v>-</v>
      </c>
      <c r="K22" s="31" t="str">
        <f>IF($B22="-","-",VLOOKUP(ROUND(CONCATENATE($A22,K$2),0),'Cadastro dos Padrões'!$A$2:$V$4400,K$1,FALSE))</f>
        <v>-</v>
      </c>
      <c r="L22" s="31" t="str">
        <f>IF($B22="-","-",VLOOKUP(ROUND(CONCATENATE($A22,L$2),0),'Cadastro dos Padrões'!$A$2:$V$4400,L$1,FALSE))</f>
        <v>-</v>
      </c>
      <c r="M22" s="31" t="str">
        <f>IF($B22="-","-",VLOOKUP(ROUND(CONCATENATE($A22,M$2),0),'Cadastro dos Padrões'!$A$2:$V$4400,M$1,FALSE))</f>
        <v>-</v>
      </c>
      <c r="N22" s="31" t="str">
        <f>IF($B22="-","-",VLOOKUP(ROUND(CONCATENATE($A22,N$2),0),'Cadastro dos Padrões'!$A$2:$V$4400,N$1,FALSE))</f>
        <v>-</v>
      </c>
      <c r="O22" s="31" t="str">
        <f>IF($B22="-","-",VLOOKUP(ROUND(CONCATENATE($A22,O$2),0),'Cadastro dos Padrões'!$A$2:$V$4400,O$1,FALSE))</f>
        <v>-</v>
      </c>
      <c r="P22" s="31" t="str">
        <f>IF($B22="-","-",VLOOKUP(ROUND(CONCATENATE($A22,P$2),0),'Cadastro dos Padrões'!$A$2:$V$4400,P$1,FALSE))</f>
        <v>-</v>
      </c>
      <c r="Q22" s="31" t="str">
        <f>IF($B22="-","-",VLOOKUP(ROUND(CONCATENATE($A22,Q$2),0),'Cadastro dos Padrões'!$A$2:$V$4400,Q$1,FALSE))</f>
        <v>-</v>
      </c>
      <c r="R22" s="31" t="str">
        <f>IF($B22="-","-",VLOOKUP(ROUND(CONCATENATE($A22,R$2),0),'Cadastro dos Padrões'!$A$2:$V$4400,R$1,FALSE))</f>
        <v>-</v>
      </c>
      <c r="S22" s="31" t="str">
        <f>IF($B22="-","-",VLOOKUP(ROUND(CONCATENATE($A22,S$2),0),'Cadastro dos Padrões'!$A$2:$V$4400,S$1,FALSE))</f>
        <v>-</v>
      </c>
      <c r="T22" s="31" t="str">
        <f>IF($B22="-","-",VLOOKUP(ROUND(CONCATENATE($A22,T$2),0),'Cadastro dos Padrões'!$A$2:$V$4400,T$1,FALSE))</f>
        <v>-</v>
      </c>
      <c r="U22" s="31" t="str">
        <f>IF($B22="-","-",VLOOKUP(ROUND(CONCATENATE($A22,U$2),0),'Cadastro dos Padrões'!$A$2:$V$4400,U$1,FALSE))</f>
        <v>-</v>
      </c>
      <c r="V22" s="31" t="str">
        <f>IF($B22="-","-",VLOOKUP(ROUND(CONCATENATE($A22,V$2),0),'Cadastro dos Padrões'!$A$2:$V$4400,V$1,FALSE))</f>
        <v>-</v>
      </c>
      <c r="W22" s="31" t="str">
        <f>IF($B22="-","-",VLOOKUP(ROUND(CONCATENATE($A22,W$2),0),'Cadastro dos Padrões'!$A$2:$V$4400,W$1,FALSE))</f>
        <v>-</v>
      </c>
      <c r="X22" s="31" t="str">
        <f>IF($B22="-","-",VLOOKUP(ROUND(CONCATENATE($A22,X$2),0),'Cadastro dos Padrões'!$A$2:$V$4400,X$1,FALSE))</f>
        <v>-</v>
      </c>
      <c r="Y22" s="31" t="str">
        <f>IF($B22="-","-",VLOOKUP(ROUND(CONCATENATE($A22,Y$2),0),'Cadastro dos Padrões'!$A$2:$V$4400,Y$1,FALSE))</f>
        <v>-</v>
      </c>
      <c r="Z22" s="31" t="str">
        <f>IF($B22="-","-",VLOOKUP(ROUND(CONCATENATE($A22,Z$2),0),'Cadastro dos Padrões'!$A$2:$V$4400,Z$1,FALSE))</f>
        <v>-</v>
      </c>
      <c r="AA22" s="31" t="str">
        <f>IF($B22="-","-",VLOOKUP(ROUND(CONCATENATE($A22,AA$2),0),'Cadastro dos Padrões'!$A$2:$V$4400,AA$1,FALSE))</f>
        <v>-</v>
      </c>
      <c r="AB22" s="31" t="str">
        <f>IF(VLOOKUP(ROUND(CONCATENATE($A22,AB$2),0),'Cadastro dos Padrões'!$A$2:$V$4400,AB$1,FALSE)="","-",VLOOKUP(ROUND(CONCATENATE($A22,AB$2),0),'Cadastro dos Padrões'!$A$2:$V$4400,AB$1,FALSE))</f>
        <v>-</v>
      </c>
      <c r="AC22" s="31" t="str">
        <f>IF(VLOOKUP(ROUND(CONCATENATE($A22,AC$2),0),'Cadastro dos Padrões'!$A$2:$V$4400,AC$1,FALSE)="","-",VLOOKUP(ROUND(CONCATENATE($A22,AC$2),0),'Cadastro dos Padrões'!$A$2:$V$4400,AC$1,FALSE))</f>
        <v>-</v>
      </c>
      <c r="AD22" s="31" t="str">
        <f>IF(VLOOKUP(ROUND(CONCATENATE($A22,AD$2),0),'Cadastro dos Padrões'!$A$2:$V$4400,AD$1,FALSE)="","-",VLOOKUP(ROUND(CONCATENATE($A22,AD$2),0),'Cadastro dos Padrões'!$A$2:$V$4400,AD$1,FALSE))</f>
        <v>-</v>
      </c>
      <c r="AE22" s="31" t="str">
        <f>IF(VLOOKUP(ROUND(CONCATENATE($A22,AE$2),0),'Cadastro dos Padrões'!$A$2:$V$4400,AE$1,FALSE)="","-",VLOOKUP(ROUND(CONCATENATE($A22,AE$2),0),'Cadastro dos Padrões'!$A$2:$V$4400,AE$1,FALSE))</f>
        <v>-</v>
      </c>
      <c r="AF22" s="31" t="str">
        <f>IF(VLOOKUP(ROUND(CONCATENATE($A22,AF$2),0),'Cadastro dos Padrões'!$A$2:$V$4400,AF$1,FALSE)="","-",VLOOKUP(ROUND(CONCATENATE($A22,AF$2),0),'Cadastro dos Padrões'!$A$2:$V$4400,AF$1,FALSE))</f>
        <v>-</v>
      </c>
      <c r="AG22" s="31" t="str">
        <f>IF(VLOOKUP(ROUND(CONCATENATE($A22,AG$2),0),'Cadastro dos Padrões'!$A$2:$V$4400,AG$1,FALSE)="","-",VLOOKUP(ROUND(CONCATENATE($A22,AG$2),0),'Cadastro dos Padrões'!$A$2:$V$4400,AG$1,FALSE))</f>
        <v>-</v>
      </c>
      <c r="AH22" s="31" t="str">
        <f>IF(VLOOKUP(ROUND(CONCATENATE($A22,AH$2),0),'Cadastro dos Padrões'!$A$2:$V$4400,AH$1,FALSE)="","-",VLOOKUP(ROUND(CONCATENATE($A22,AH$2),0),'Cadastro dos Padrões'!$A$2:$V$4400,AH$1,FALSE))</f>
        <v>-</v>
      </c>
      <c r="AI22" s="31" t="str">
        <f>IF(VLOOKUP(ROUND(CONCATENATE($A22,AI$2),0),'Cadastro dos Padrões'!$A$2:$V$4400,AI$1,FALSE)="","-",VLOOKUP(ROUND(CONCATENATE($A22,AI$2),0),'Cadastro dos Padrões'!$A$2:$V$4400,AI$1,FALSE))</f>
        <v>-</v>
      </c>
      <c r="AJ22" s="31" t="str">
        <f>IF(VLOOKUP(ROUND(CONCATENATE($A22,AJ$2),0),'Cadastro dos Padrões'!$A$2:$V$4400,AJ$1,FALSE)="","-",VLOOKUP(ROUND(CONCATENATE($A22,AJ$2),0),'Cadastro dos Padrões'!$A$2:$V$4400,AJ$1,FALSE))</f>
        <v>-</v>
      </c>
      <c r="AK22" s="31" t="str">
        <f>IF(VLOOKUP(ROUND(CONCATENATE($A22,AK$2),0),'Cadastro dos Padrões'!$A$2:$V$4400,AK$1,FALSE)="","-",VLOOKUP(ROUND(CONCATENATE($A22,AK$2),0),'Cadastro dos Padrões'!$A$2:$V$4400,AK$1,FALSE))</f>
        <v>-</v>
      </c>
      <c r="AL22" s="31" t="str">
        <f>IF(VLOOKUP(ROUND(CONCATENATE($A22,AL$2),0),'Cadastro dos Padrões'!$A$2:$V$4400,AL$1,FALSE)="","-",VLOOKUP(ROUND(CONCATENATE($A22,AL$2),0),'Cadastro dos Padrões'!$A$2:$V$4400,AL$1,FALSE))</f>
        <v>-</v>
      </c>
      <c r="AM22" s="31" t="str">
        <f>IF(VLOOKUP(ROUND(CONCATENATE($A22,AM$2),0),'Cadastro dos Padrões'!$A$2:$V$4400,AM$1,FALSE)="","-",VLOOKUP(ROUND(CONCATENATE($A22,AM$2),0),'Cadastro dos Padrões'!$A$2:$V$4400,AM$1,FALSE))</f>
        <v>-</v>
      </c>
      <c r="AN22" s="31" t="str">
        <f>IF(VLOOKUP(ROUND(CONCATENATE($A22,AN$2),0),'Cadastro dos Padrões'!$A$2:$V$4400,AN$1,FALSE)="","-",VLOOKUP(ROUND(CONCATENATE($A22,AN$2),0),'Cadastro dos Padrões'!$A$2:$V$4400,AN$1,FALSE))</f>
        <v>-</v>
      </c>
      <c r="AO22" s="31" t="str">
        <f>IF(VLOOKUP(ROUND(CONCATENATE($A22,AO$2),0),'Cadastro dos Padrões'!$A$2:$V$4400,AO$1,FALSE)="","-",VLOOKUP(ROUND(CONCATENATE($A22,AO$2),0),'Cadastro dos Padrões'!$A$2:$V$4400,AO$1,FALSE))</f>
        <v>-</v>
      </c>
      <c r="AP22" s="31" t="str">
        <f>IF(VLOOKUP(ROUND(CONCATENATE($A22,AP$2),0),'Cadastro dos Padrões'!$A$2:$V$4400,AP$1,FALSE)="","-",VLOOKUP(ROUND(CONCATENATE($A22,AP$2),0),'Cadastro dos Padrões'!$A$2:$V$4400,AP$1,FALSE))</f>
        <v>-</v>
      </c>
      <c r="AQ22" s="31" t="str">
        <f>IF(VLOOKUP(ROUND(CONCATENATE($A22,AQ$2),0),'Cadastro dos Padrões'!$A$2:$V$4400,AQ$1,FALSE)="","-",VLOOKUP(ROUND(CONCATENATE($A22,AQ$2),0),'Cadastro dos Padrões'!$A$2:$V$4400,AQ$1,FALSE))</f>
        <v>-</v>
      </c>
      <c r="AR22" s="31" t="str">
        <f>IF(VLOOKUP(ROUND(CONCATENATE($A22,AR$2),0),'Cadastro dos Padrões'!$A$2:$V$4400,AR$1,FALSE)="","-",VLOOKUP(ROUND(CONCATENATE($A22,AR$2),0),'Cadastro dos Padrões'!$A$2:$V$4400,AR$1,FALSE))</f>
        <v>-</v>
      </c>
      <c r="AS22" s="31" t="str">
        <f>IF(VLOOKUP(ROUND(CONCATENATE($A22,AS$2),0),'Cadastro dos Padrões'!$A$2:$V$4400,AS$1,FALSE)="","-",VLOOKUP(ROUND(CONCATENATE($A22,AS$2),0),'Cadastro dos Padrões'!$A$2:$V$4400,AS$1,FALSE))</f>
        <v>-</v>
      </c>
      <c r="AT22" s="31" t="str">
        <f>IF(VLOOKUP(ROUND(CONCATENATE($A22,AT$2),0),'Cadastro dos Padrões'!$A$2:$V$4400,AT$1,FALSE)="","-",VLOOKUP(ROUND(CONCATENATE($A22,AT$2),0),'Cadastro dos Padrões'!$A$2:$V$4400,AT$1,FALSE))</f>
        <v>-</v>
      </c>
      <c r="AU22" s="31" t="str">
        <f>IF(VLOOKUP(ROUND(CONCATENATE($A22,AU$2),0),'Cadastro dos Padrões'!$A$2:$V$4400,AU$1,FALSE)="","-",VLOOKUP(ROUND(CONCATENATE($A22,AU$2),0),'Cadastro dos Padrões'!$A$2:$V$4400,AU$1,FALSE))</f>
        <v>-</v>
      </c>
      <c r="AV22" s="31" t="str">
        <f>IF(VLOOKUP(ROUND(CONCATENATE($A22,AV$2),0),'Cadastro dos Padrões'!$A$2:$V$4400,AV$1,FALSE)="","-",VLOOKUP(ROUND(CONCATENATE($A22,AV$2),0),'Cadastro dos Padrões'!$A$2:$V$4400,AV$1,FALSE))</f>
        <v>-</v>
      </c>
      <c r="AW22" s="31" t="str">
        <f>IF(VLOOKUP(ROUND(CONCATENATE($A22,AW$2),0),'Cadastro dos Padrões'!$A$2:$V$4400,AW$1,FALSE)="","-",VLOOKUP(ROUND(CONCATENATE($A22,AW$2),0),'Cadastro dos Padrões'!$A$2:$V$4400,AW$1,FALSE))</f>
        <v>-</v>
      </c>
      <c r="AX22" s="31" t="str">
        <f>IF(VLOOKUP(ROUND(CONCATENATE($A22,AX$2),0),'Cadastro dos Padrões'!$A$2:$V$4400,AX$1,FALSE)="","-",VLOOKUP(ROUND(CONCATENATE($A22,AX$2),0),'Cadastro dos Padrões'!$A$2:$V$4400,AX$1,FALSE))</f>
        <v>-</v>
      </c>
      <c r="AY22" s="31" t="str">
        <f>IF(VLOOKUP(ROUND(CONCATENATE($A22,AY$2),0),'Cadastro dos Padrões'!$A$2:$V$4400,AY$1,FALSE)="","-",VLOOKUP(ROUND(CONCATENATE($A22,AY$2),0),'Cadastro dos Padrões'!$A$2:$V$4400,AY$1,FALSE))</f>
        <v>-</v>
      </c>
      <c r="AZ22" s="31" t="str">
        <f>IF(VLOOKUP(ROUND(CONCATENATE($A22,AZ$2),0),'Cadastro dos Padrões'!$A$2:$V$4400,AZ$1,FALSE)="","-",VLOOKUP(ROUND(CONCATENATE($A22,AZ$2),0),'Cadastro dos Padrões'!$A$2:$V$4400,AZ$1,FALSE))</f>
        <v>-</v>
      </c>
      <c r="BA22" s="31" t="str">
        <f>IF(VLOOKUP(ROUND(CONCATENATE($A22,BA$2),0),'Cadastro dos Padrões'!$A$2:$V$4400,BA$1,FALSE)="","-",VLOOKUP(ROUND(CONCATENATE($A22,BA$2),0),'Cadastro dos Padrões'!$A$2:$V$4400,BA$1,FALSE))</f>
        <v>-</v>
      </c>
      <c r="BB22" s="31" t="str">
        <f>IF(VLOOKUP(ROUND(CONCATENATE($A22,BB$2),0),'Cadastro dos Padrões'!$A$2:$V$4400,BB$1,FALSE)="","-",VLOOKUP(ROUND(CONCATENATE($A22,BB$2),0),'Cadastro dos Padrões'!$A$2:$V$4400,BB$1,FALSE))</f>
        <v>-</v>
      </c>
      <c r="BC22" s="31" t="str">
        <f>IF(VLOOKUP(ROUND(CONCATENATE($A22,BC$2),0),'Cadastro dos Padrões'!$A$2:$V$4400,BC$1,FALSE)="","-",VLOOKUP(ROUND(CONCATENATE($A22,BC$2),0),'Cadastro dos Padrões'!$A$2:$V$4400,BC$1,FALSE))</f>
        <v>-</v>
      </c>
      <c r="BD22" s="31" t="str">
        <f>IF(VLOOKUP(ROUND(CONCATENATE($A22,BD$2),0),'Cadastro dos Padrões'!$A$2:$V$4400,BD$1,FALSE)="","-",VLOOKUP(ROUND(CONCATENATE($A22,BD$2),0),'Cadastro dos Padrões'!$A$2:$V$4400,BD$1,FALSE))</f>
        <v>-</v>
      </c>
      <c r="BE22" s="31" t="str">
        <f>IF(VLOOKUP(ROUND(CONCATENATE($A22,BE$2),0),'Cadastro dos Padrões'!$A$2:$V$4400,BE$1,FALSE)="","-",VLOOKUP(ROUND(CONCATENATE($A22,BE$2),0),'Cadastro dos Padrões'!$A$2:$V$4400,BE$1,FALSE))</f>
        <v>-</v>
      </c>
      <c r="BF22" s="31" t="str">
        <f>IF(VLOOKUP(ROUND(CONCATENATE($A22,BF$2),0),'Cadastro dos Padrões'!$A$2:$V$4400,BF$1,FALSE)="","-",VLOOKUP(ROUND(CONCATENATE($A22,BF$2),0),'Cadastro dos Padrões'!$A$2:$V$4400,BF$1,FALSE))</f>
        <v>-</v>
      </c>
      <c r="BG22" s="31" t="str">
        <f>IF(VLOOKUP(ROUND(CONCATENATE($A22,BG$2),0),'Cadastro dos Padrões'!$A$2:$V$4400,BG$1,FALSE)="","-",VLOOKUP(ROUND(CONCATENATE($A22,BG$2),0),'Cadastro dos Padrões'!$A$2:$V$4400,BG$1,FALSE))</f>
        <v>-</v>
      </c>
      <c r="BH22" s="31" t="str">
        <f>IF(VLOOKUP(ROUND(CONCATENATE($A22,BH$2),0),'Cadastro dos Padrões'!$A$2:$V$4400,BH$1,FALSE)="","-",VLOOKUP(ROUND(CONCATENATE($A22,BH$2),0),'Cadastro dos Padrões'!$A$2:$V$4400,BH$1,FALSE))</f>
        <v>-</v>
      </c>
      <c r="BI22" s="31" t="str">
        <f>IF(VLOOKUP(ROUND(CONCATENATE($A22,BI$2),0),'Cadastro dos Padrões'!$A$2:$V$4400,BI$1,FALSE)="","-",VLOOKUP(ROUND(CONCATENATE($A22,BI$2),0),'Cadastro dos Padrões'!$A$2:$V$4400,BI$1,FALSE))</f>
        <v>-</v>
      </c>
      <c r="BJ22" s="31" t="str">
        <f>IF(VLOOKUP(ROUND(CONCATENATE($A22,BJ$2),0),'Cadastro dos Padrões'!$A$2:$V$4400,BJ$1,FALSE)="","-",VLOOKUP(ROUND(CONCATENATE($A22,BJ$2),0),'Cadastro dos Padrões'!$A$2:$V$4400,BJ$1,FALSE))</f>
        <v>-</v>
      </c>
      <c r="BK22" s="31" t="str">
        <f>IF(VLOOKUP(ROUND(CONCATENATE($A22,BK$2),0),'Cadastro dos Padrões'!$A$2:$V$4400,BK$1,FALSE)="","-",VLOOKUP(ROUND(CONCATENATE($A22,BK$2),0),'Cadastro dos Padrões'!$A$2:$V$4400,BK$1,FALSE))</f>
        <v>-</v>
      </c>
      <c r="BL22" s="31" t="str">
        <f>IF(VLOOKUP(ROUND(CONCATENATE($A22,BL$2),0),'Cadastro dos Padrões'!$A$2:$V$4400,BL$1,FALSE)="","-",VLOOKUP(ROUND(CONCATENATE($A22,BL$2),0),'Cadastro dos Padrões'!$A$2:$V$4400,BL$1,FALSE))</f>
        <v>-</v>
      </c>
      <c r="BM22" s="31" t="str">
        <f>IF(VLOOKUP(ROUND(CONCATENATE($A22,BM$2),0),'Cadastro dos Padrões'!$A$2:$V$4400,BM$1,FALSE)="","-",VLOOKUP(ROUND(CONCATENATE($A22,BM$2),0),'Cadastro dos Padrões'!$A$2:$V$4400,BM$1,FALSE))</f>
        <v>-</v>
      </c>
      <c r="BN22" s="31" t="str">
        <f>IF(VLOOKUP(ROUND(CONCATENATE($A22,BN$2),0),'Cadastro dos Padrões'!$A$2:$V$4400,BN$1,FALSE)="","-",VLOOKUP(ROUND(CONCATENATE($A22,BN$2),0),'Cadastro dos Padrões'!$A$2:$V$4400,BN$1,FALSE))</f>
        <v>-</v>
      </c>
      <c r="BO22" s="31" t="str">
        <f>IF(VLOOKUP(ROUND(CONCATENATE($A22,BO$2),0),'Cadastro dos Padrões'!$A$2:$V$4400,BO$1,FALSE)="","-",VLOOKUP(ROUND(CONCATENATE($A22,BO$2),0),'Cadastro dos Padrões'!$A$2:$V$4400,BO$1,FALSE))</f>
        <v>-</v>
      </c>
    </row>
    <row r="23" spans="1:67" x14ac:dyDescent="0.3">
      <c r="A23" s="6">
        <f t="shared" si="52"/>
        <v>18</v>
      </c>
      <c r="B23" s="31" t="str">
        <f>IF(VLOOKUP(ROUND(CONCATENATE($A23,B$2),0),'Cadastro dos Padrões'!$A$2:$V$4400,B$1,FALSE)="","-",VLOOKUP(ROUND(CONCATENATE($A23,B$2),0),'Cadastro dos Padrões'!$A$2:$V$4400,B$1,FALSE))</f>
        <v>E. TH.LT-007</v>
      </c>
      <c r="C23" s="31" t="str">
        <f>IF($B23="-","-",VLOOKUP(ROUND(CONCATENATE($A23,C$2),0),'Cadastro dos Padrões'!$A$2:$V$4400,C$1,FALSE))</f>
        <v>Termohigrômetro Digital</v>
      </c>
      <c r="D23" s="31">
        <f>IF($B23="-","-",VLOOKUP(ROUND(CONCATENATE($A23,D$2),0),'Cadastro dos Padrões'!$A$2:$V$4400,D$1,FALSE))</f>
        <v>20</v>
      </c>
      <c r="E23" s="31" t="str">
        <f>IF($B23="-","-",VLOOKUP(ROUND(CONCATENATE($A23,E$2),0),'Cadastro dos Padrões'!$A$2:$V$4400,E$1,FALSE))</f>
        <v>Elus</v>
      </c>
      <c r="F23" s="31" t="str">
        <f>IF($B23="-","-",VLOOKUP(ROUND(CONCATENATE($A23,F$2),0),'Cadastro dos Padrões'!$A$2:$V$4400,F$1,FALSE))</f>
        <v>RBC - CAL 0439</v>
      </c>
      <c r="G23" s="31" t="str">
        <f>IF($B23="-","-",VLOOKUP(ROUND(CONCATENATE($A23,G$2),0),'Cadastro dos Padrões'!$A$2:$V$4400,G$1,FALSE))</f>
        <v>E0844/25</v>
      </c>
      <c r="H23" s="32">
        <f>IF($B23="-","-",VLOOKUP(ROUND(CONCATENATE($A23,H$2),0),'Cadastro dos Padrões'!$A$2:$V$4400,H$1,FALSE))</f>
        <v>45989</v>
      </c>
      <c r="I23" s="33">
        <f>IF($B23="-","-",VLOOKUP(ROUND(CONCATENATE($A23,I$2),0),'Cadastro dos Padrões'!$A$2:$V$4400,I$1,FALSE))</f>
        <v>46170</v>
      </c>
      <c r="J23" s="31" t="str">
        <f>IF($B23="-","-",VLOOKUP(ROUND(CONCATENATE($A23,J$2),0),'Cadastro dos Padrões'!$A$2:$V$4400,J$1,FALSE))</f>
        <v>%ur</v>
      </c>
      <c r="K23" s="31">
        <f>IF($B23="-","-",VLOOKUP(ROUND(CONCATENATE($A23,K$2),0),'Cadastro dos Padrões'!$A$2:$V$4400,K$1,FALSE))</f>
        <v>5.01</v>
      </c>
      <c r="L23" s="31">
        <f>IF($B23="-","-",VLOOKUP(ROUND(CONCATENATE($A23,L$2),0),'Cadastro dos Padrões'!$A$2:$V$4400,L$1,FALSE))</f>
        <v>97.96</v>
      </c>
      <c r="M23" s="31">
        <f>IF($B23="-","-",VLOOKUP(ROUND(CONCATENATE($A23,M$2),0),'Cadastro dos Padrões'!$A$2:$V$4400,M$1,FALSE))</f>
        <v>0.01</v>
      </c>
      <c r="N23" s="31">
        <f>IF($B23="-","-",VLOOKUP(ROUND(CONCATENATE($A23,N$2),0),'Cadastro dos Padrões'!$A$2:$V$4400,N$1,FALSE))</f>
        <v>2.7299999999999898</v>
      </c>
      <c r="O23" s="31">
        <f>IF($B23="-","-",VLOOKUP(ROUND(CONCATENATE($A23,O$2),0),'Cadastro dos Padrões'!$A$2:$V$4400,O$1,FALSE))</f>
        <v>0.99</v>
      </c>
      <c r="P23" s="31">
        <f>IF($B23="-","-",VLOOKUP(ROUND(CONCATENATE($A23,P$2),0),'Cadastro dos Padrões'!$A$2:$V$4400,P$1,FALSE))</f>
        <v>2.5299999999999869</v>
      </c>
      <c r="Q23" s="31">
        <f>IF($B23="-","-",VLOOKUP(ROUND(CONCATENATE($A23,Q$2),0),'Cadastro dos Padrões'!$A$2:$V$4400,Q$1,FALSE))</f>
        <v>0.22177973826064212</v>
      </c>
      <c r="R23" s="31">
        <f>IF($B23="-","-",VLOOKUP(ROUND(CONCATENATE($A23,R$2),0),'Cadastro dos Padrões'!$A$2:$V$4400,R$1,FALSE))</f>
        <v>4</v>
      </c>
      <c r="S23" s="31">
        <f>IF($B23="-","-",VLOOKUP(ROUND(CONCATENATE($A23,S$2),0),'Cadastro dos Padrões'!$A$2:$V$4400,S$1,FALSE))</f>
        <v>0</v>
      </c>
      <c r="T23" s="31">
        <f>IF($B23="-","-",VLOOKUP(ROUND(CONCATENATE($A23,T$2),0),'Cadastro dos Padrões'!$A$2:$V$4400,T$1,FALSE))</f>
        <v>0</v>
      </c>
      <c r="U23" s="31">
        <f>IF($B23="-","-",VLOOKUP(ROUND(CONCATENATE($A23,U$2),0),'Cadastro dos Padrões'!$A$2:$V$4400,U$1,FALSE))</f>
        <v>0</v>
      </c>
      <c r="V23" s="31">
        <f>IF($B23="-","-",VLOOKUP(ROUND(CONCATENATE($A23,V$2),0),'Cadastro dos Padrões'!$A$2:$V$4400,V$1,FALSE))</f>
        <v>0</v>
      </c>
      <c r="W23" s="31">
        <f>IF($B23="-","-",VLOOKUP(ROUND(CONCATENATE($A23,W$2),0),'Cadastro dos Padrões'!$A$2:$V$4400,W$1,FALSE))</f>
        <v>-2.8337796885863479E-7</v>
      </c>
      <c r="X23" s="31">
        <f>IF($B23="-","-",VLOOKUP(ROUND(CONCATENATE($A23,X$2),0),'Cadastro dos Padrões'!$A$2:$V$4400,X$1,FALSE))</f>
        <v>4.5898195795382721E-5</v>
      </c>
      <c r="Y23" s="31">
        <f>IF($B23="-","-",VLOOKUP(ROUND(CONCATENATE($A23,Y$2),0),'Cadastro dos Padrões'!$A$2:$V$4400,Y$1,FALSE))</f>
        <v>-1.3065328712094019E-3</v>
      </c>
      <c r="Z23" s="31">
        <f>IF($B23="-","-",VLOOKUP(ROUND(CONCATENATE($A23,Z$2),0),'Cadastro dos Padrões'!$A$2:$V$4400,Z$1,FALSE))</f>
        <v>0.97479228674402874</v>
      </c>
      <c r="AA23" s="31">
        <f>IF($B23="-","-",VLOOKUP(ROUND(CONCATENATE($A23,AA$2),0),'Cadastro dos Padrões'!$A$2:$V$4400,AA$1,FALSE))</f>
        <v>0.63869411428818434</v>
      </c>
      <c r="AB23" s="31">
        <f>IF(VLOOKUP(ROUND(CONCATENATE($A23,AB$2),0),'Cadastro dos Padrões'!$A$2:$V$4400,AB$1,FALSE)="","-",VLOOKUP(ROUND(CONCATENATE($A23,AB$2),0),'Cadastro dos Padrões'!$A$2:$V$4400,AB$1,FALSE))</f>
        <v>5.01</v>
      </c>
      <c r="AC23" s="31">
        <f>IF(VLOOKUP(ROUND(CONCATENATE($A23,AC$2),0),'Cadastro dos Padrões'!$A$2:$V$4400,AC$1,FALSE)="","-",VLOOKUP(ROUND(CONCATENATE($A23,AC$2),0),'Cadastro dos Padrões'!$A$2:$V$4400,AC$1,FALSE))</f>
        <v>0.25</v>
      </c>
      <c r="AD23" s="31">
        <f>IF(VLOOKUP(ROUND(CONCATENATE($A23,AD$2),0),'Cadastro dos Padrões'!$A$2:$V$4400,AD$1,FALSE)="","-",VLOOKUP(ROUND(CONCATENATE($A23,AD$2),0),'Cadastro dos Padrões'!$A$2:$V$4400,AD$1,FALSE))</f>
        <v>2.0299999999999998</v>
      </c>
      <c r="AE23" s="31">
        <f>IF(VLOOKUP(ROUND(CONCATENATE($A23,AE$2),0),'Cadastro dos Padrões'!$A$2:$V$4400,AE$1,FALSE)="","-",VLOOKUP(ROUND(CONCATENATE($A23,AE$2),0),'Cadastro dos Padrões'!$A$2:$V$4400,AE$1,FALSE))</f>
        <v>87</v>
      </c>
      <c r="AF23" s="31">
        <f>IF(VLOOKUP(ROUND(CONCATENATE($A23,AF$2),0),'Cadastro dos Padrões'!$A$2:$V$4400,AF$1,FALSE)="","-",VLOOKUP(ROUND(CONCATENATE($A23,AF$2),0),'Cadastro dos Padrões'!$A$2:$V$4400,AF$1,FALSE))</f>
        <v>20.010000000000002</v>
      </c>
      <c r="AG23" s="31">
        <f>IF(VLOOKUP(ROUND(CONCATENATE($A23,AG$2),0),'Cadastro dos Padrões'!$A$2:$V$4400,AG$1,FALSE)="","-",VLOOKUP(ROUND(CONCATENATE($A23,AG$2),0),'Cadastro dos Padrões'!$A$2:$V$4400,AG$1,FALSE))</f>
        <v>0.27</v>
      </c>
      <c r="AH23" s="31">
        <f>IF(VLOOKUP(ROUND(CONCATENATE($A23,AH$2),0),'Cadastro dos Padrões'!$A$2:$V$4400,AH$1,FALSE)="","-",VLOOKUP(ROUND(CONCATENATE($A23,AH$2),0),'Cadastro dos Padrões'!$A$2:$V$4400,AH$1,FALSE))</f>
        <v>2.04</v>
      </c>
      <c r="AI23" s="31">
        <f>IF(VLOOKUP(ROUND(CONCATENATE($A23,AI$2),0),'Cadastro dos Padrões'!$A$2:$V$4400,AI$1,FALSE)="","-",VLOOKUP(ROUND(CONCATENATE($A23,AI$2),0),'Cadastro dos Padrões'!$A$2:$V$4400,AI$1,FALSE))</f>
        <v>65</v>
      </c>
      <c r="AJ23" s="31">
        <f>IF(VLOOKUP(ROUND(CONCATENATE($A23,AJ$2),0),'Cadastro dos Padrões'!$A$2:$V$4400,AJ$1,FALSE)="","-",VLOOKUP(ROUND(CONCATENATE($A23,AJ$2),0),'Cadastro dos Padrões'!$A$2:$V$4400,AJ$1,FALSE))</f>
        <v>29.99</v>
      </c>
      <c r="AK23" s="31">
        <f>IF(VLOOKUP(ROUND(CONCATENATE($A23,AK$2),0),'Cadastro dos Padrões'!$A$2:$V$4400,AK$1,FALSE)="","-",VLOOKUP(ROUND(CONCATENATE($A23,AK$2),0),'Cadastro dos Padrões'!$A$2:$V$4400,AK$1,FALSE))</f>
        <v>0.35</v>
      </c>
      <c r="AL23" s="31">
        <f>IF(VLOOKUP(ROUND(CONCATENATE($A23,AL$2),0),'Cadastro dos Padrões'!$A$2:$V$4400,AL$1,FALSE)="","-",VLOOKUP(ROUND(CONCATENATE($A23,AL$2),0),'Cadastro dos Padrões'!$A$2:$V$4400,AL$1,FALSE))</f>
        <v>2.04</v>
      </c>
      <c r="AM23" s="31">
        <f>IF(VLOOKUP(ROUND(CONCATENATE($A23,AM$2),0),'Cadastro dos Padrões'!$A$2:$V$4400,AM$1,FALSE)="","-",VLOOKUP(ROUND(CONCATENATE($A23,AM$2),0),'Cadastro dos Padrões'!$A$2:$V$4400,AM$1,FALSE))</f>
        <v>67</v>
      </c>
      <c r="AN23" s="31">
        <f>IF(VLOOKUP(ROUND(CONCATENATE($A23,AN$2),0),'Cadastro dos Padrões'!$A$2:$V$4400,AN$1,FALSE)="","-",VLOOKUP(ROUND(CONCATENATE($A23,AN$2),0),'Cadastro dos Padrões'!$A$2:$V$4400,AN$1,FALSE))</f>
        <v>50.01</v>
      </c>
      <c r="AO23" s="31">
        <f>IF(VLOOKUP(ROUND(CONCATENATE($A23,AO$2),0),'Cadastro dos Padrões'!$A$2:$V$4400,AO$1,FALSE)="","-",VLOOKUP(ROUND(CONCATENATE($A23,AO$2),0),'Cadastro dos Padrões'!$A$2:$V$4400,AO$1,FALSE))</f>
        <v>0.55000000000000004</v>
      </c>
      <c r="AP23" s="31">
        <f>IF(VLOOKUP(ROUND(CONCATENATE($A23,AP$2),0),'Cadastro dos Padrões'!$A$2:$V$4400,AP$1,FALSE)="","-",VLOOKUP(ROUND(CONCATENATE($A23,AP$2),0),'Cadastro dos Padrões'!$A$2:$V$4400,AP$1,FALSE))</f>
        <v>2.04</v>
      </c>
      <c r="AQ23" s="31">
        <f>IF(VLOOKUP(ROUND(CONCATENATE($A23,AQ$2),0),'Cadastro dos Padrões'!$A$2:$V$4400,AQ$1,FALSE)="","-",VLOOKUP(ROUND(CONCATENATE($A23,AQ$2),0),'Cadastro dos Padrões'!$A$2:$V$4400,AQ$1,FALSE))</f>
        <v>67</v>
      </c>
      <c r="AR23" s="31">
        <f>IF(VLOOKUP(ROUND(CONCATENATE($A23,AR$2),0),'Cadastro dos Padrões'!$A$2:$V$4400,AR$1,FALSE)="","-",VLOOKUP(ROUND(CONCATENATE($A23,AR$2),0),'Cadastro dos Padrões'!$A$2:$V$4400,AR$1,FALSE))</f>
        <v>80.010000000000005</v>
      </c>
      <c r="AS23" s="31">
        <f>IF(VLOOKUP(ROUND(CONCATENATE($A23,AS$2),0),'Cadastro dos Padrões'!$A$2:$V$4400,AS$1,FALSE)="","-",VLOOKUP(ROUND(CONCATENATE($A23,AS$2),0),'Cadastro dos Padrões'!$A$2:$V$4400,AS$1,FALSE))</f>
        <v>0.83</v>
      </c>
      <c r="AT23" s="31">
        <f>IF(VLOOKUP(ROUND(CONCATENATE($A23,AT$2),0),'Cadastro dos Padrões'!$A$2:$V$4400,AT$1,FALSE)="","-",VLOOKUP(ROUND(CONCATENATE($A23,AT$2),0),'Cadastro dos Padrões'!$A$2:$V$4400,AT$1,FALSE))</f>
        <v>2.04</v>
      </c>
      <c r="AU23" s="31">
        <f>IF(VLOOKUP(ROUND(CONCATENATE($A23,AU$2),0),'Cadastro dos Padrões'!$A$2:$V$4400,AU$1,FALSE)="","-",VLOOKUP(ROUND(CONCATENATE($A23,AU$2),0),'Cadastro dos Padrões'!$A$2:$V$4400,AU$1,FALSE))</f>
        <v>68</v>
      </c>
      <c r="AV23" s="31">
        <f>IF(VLOOKUP(ROUND(CONCATENATE($A23,AV$2),0),'Cadastro dos Padrões'!$A$2:$V$4400,AV$1,FALSE)="","-",VLOOKUP(ROUND(CONCATENATE($A23,AV$2),0),'Cadastro dos Padrões'!$A$2:$V$4400,AV$1,FALSE))</f>
        <v>97.96</v>
      </c>
      <c r="AW23" s="31">
        <f>IF(VLOOKUP(ROUND(CONCATENATE($A23,AW$2),0),'Cadastro dos Padrões'!$A$2:$V$4400,AW$1,FALSE)="","-",VLOOKUP(ROUND(CONCATENATE($A23,AW$2),0),'Cadastro dos Padrões'!$A$2:$V$4400,AW$1,FALSE))</f>
        <v>0.99</v>
      </c>
      <c r="AX23" s="31">
        <f>IF(VLOOKUP(ROUND(CONCATENATE($A23,AX$2),0),'Cadastro dos Padrões'!$A$2:$V$4400,AX$1,FALSE)="","-",VLOOKUP(ROUND(CONCATENATE($A23,AX$2),0),'Cadastro dos Padrões'!$A$2:$V$4400,AX$1,FALSE))</f>
        <v>2.04</v>
      </c>
      <c r="AY23" s="31">
        <f>IF(VLOOKUP(ROUND(CONCATENATE($A23,AY$2),0),'Cadastro dos Padrões'!$A$2:$V$4400,AY$1,FALSE)="","-",VLOOKUP(ROUND(CONCATENATE($A23,AY$2),0),'Cadastro dos Padrões'!$A$2:$V$4400,AY$1,FALSE))</f>
        <v>68</v>
      </c>
      <c r="AZ23" s="31" t="str">
        <f>IF(VLOOKUP(ROUND(CONCATENATE($A23,AZ$2),0),'Cadastro dos Padrões'!$A$2:$V$4400,AZ$1,FALSE)="","-",VLOOKUP(ROUND(CONCATENATE($A23,AZ$2),0),'Cadastro dos Padrões'!$A$2:$V$4400,AZ$1,FALSE))</f>
        <v>-</v>
      </c>
      <c r="BA23" s="31" t="str">
        <f>IF(VLOOKUP(ROUND(CONCATENATE($A23,BA$2),0),'Cadastro dos Padrões'!$A$2:$V$4400,BA$1,FALSE)="","-",VLOOKUP(ROUND(CONCATENATE($A23,BA$2),0),'Cadastro dos Padrões'!$A$2:$V$4400,BA$1,FALSE))</f>
        <v>-</v>
      </c>
      <c r="BB23" s="31" t="str">
        <f>IF(VLOOKUP(ROUND(CONCATENATE($A23,BB$2),0),'Cadastro dos Padrões'!$A$2:$V$4400,BB$1,FALSE)="","-",VLOOKUP(ROUND(CONCATENATE($A23,BB$2),0),'Cadastro dos Padrões'!$A$2:$V$4400,BB$1,FALSE))</f>
        <v>-</v>
      </c>
      <c r="BC23" s="31" t="str">
        <f>IF(VLOOKUP(ROUND(CONCATENATE($A23,BC$2),0),'Cadastro dos Padrões'!$A$2:$V$4400,BC$1,FALSE)="","-",VLOOKUP(ROUND(CONCATENATE($A23,BC$2),0),'Cadastro dos Padrões'!$A$2:$V$4400,BC$1,FALSE))</f>
        <v>-</v>
      </c>
      <c r="BD23" s="31" t="str">
        <f>IF(VLOOKUP(ROUND(CONCATENATE($A23,BD$2),0),'Cadastro dos Padrões'!$A$2:$V$4400,BD$1,FALSE)="","-",VLOOKUP(ROUND(CONCATENATE($A23,BD$2),0),'Cadastro dos Padrões'!$A$2:$V$4400,BD$1,FALSE))</f>
        <v>-</v>
      </c>
      <c r="BE23" s="31" t="str">
        <f>IF(VLOOKUP(ROUND(CONCATENATE($A23,BE$2),0),'Cadastro dos Padrões'!$A$2:$V$4400,BE$1,FALSE)="","-",VLOOKUP(ROUND(CONCATENATE($A23,BE$2),0),'Cadastro dos Padrões'!$A$2:$V$4400,BE$1,FALSE))</f>
        <v>-</v>
      </c>
      <c r="BF23" s="31" t="str">
        <f>IF(VLOOKUP(ROUND(CONCATENATE($A23,BF$2),0),'Cadastro dos Padrões'!$A$2:$V$4400,BF$1,FALSE)="","-",VLOOKUP(ROUND(CONCATENATE($A23,BF$2),0),'Cadastro dos Padrões'!$A$2:$V$4400,BF$1,FALSE))</f>
        <v>-</v>
      </c>
      <c r="BG23" s="31" t="str">
        <f>IF(VLOOKUP(ROUND(CONCATENATE($A23,BG$2),0),'Cadastro dos Padrões'!$A$2:$V$4400,BG$1,FALSE)="","-",VLOOKUP(ROUND(CONCATENATE($A23,BG$2),0),'Cadastro dos Padrões'!$A$2:$V$4400,BG$1,FALSE))</f>
        <v>-</v>
      </c>
      <c r="BH23" s="31" t="str">
        <f>IF(VLOOKUP(ROUND(CONCATENATE($A23,BH$2),0),'Cadastro dos Padrões'!$A$2:$V$4400,BH$1,FALSE)="","-",VLOOKUP(ROUND(CONCATENATE($A23,BH$2),0),'Cadastro dos Padrões'!$A$2:$V$4400,BH$1,FALSE))</f>
        <v>-</v>
      </c>
      <c r="BI23" s="31" t="str">
        <f>IF(VLOOKUP(ROUND(CONCATENATE($A23,BI$2),0),'Cadastro dos Padrões'!$A$2:$V$4400,BI$1,FALSE)="","-",VLOOKUP(ROUND(CONCATENATE($A23,BI$2),0),'Cadastro dos Padrões'!$A$2:$V$4400,BI$1,FALSE))</f>
        <v>-</v>
      </c>
      <c r="BJ23" s="31" t="str">
        <f>IF(VLOOKUP(ROUND(CONCATENATE($A23,BJ$2),0),'Cadastro dos Padrões'!$A$2:$V$4400,BJ$1,FALSE)="","-",VLOOKUP(ROUND(CONCATENATE($A23,BJ$2),0),'Cadastro dos Padrões'!$A$2:$V$4400,BJ$1,FALSE))</f>
        <v>-</v>
      </c>
      <c r="BK23" s="31" t="str">
        <f>IF(VLOOKUP(ROUND(CONCATENATE($A23,BK$2),0),'Cadastro dos Padrões'!$A$2:$V$4400,BK$1,FALSE)="","-",VLOOKUP(ROUND(CONCATENATE($A23,BK$2),0),'Cadastro dos Padrões'!$A$2:$V$4400,BK$1,FALSE))</f>
        <v>-</v>
      </c>
      <c r="BL23" s="31" t="str">
        <f>IF(VLOOKUP(ROUND(CONCATENATE($A23,BL$2),0),'Cadastro dos Padrões'!$A$2:$V$4400,BL$1,FALSE)="","-",VLOOKUP(ROUND(CONCATENATE($A23,BL$2),0),'Cadastro dos Padrões'!$A$2:$V$4400,BL$1,FALSE))</f>
        <v>-</v>
      </c>
      <c r="BM23" s="31" t="str">
        <f>IF(VLOOKUP(ROUND(CONCATENATE($A23,BM$2),0),'Cadastro dos Padrões'!$A$2:$V$4400,BM$1,FALSE)="","-",VLOOKUP(ROUND(CONCATENATE($A23,BM$2),0),'Cadastro dos Padrões'!$A$2:$V$4400,BM$1,FALSE))</f>
        <v>-</v>
      </c>
      <c r="BN23" s="31" t="str">
        <f>IF(VLOOKUP(ROUND(CONCATENATE($A23,BN$2),0),'Cadastro dos Padrões'!$A$2:$V$4400,BN$1,FALSE)="","-",VLOOKUP(ROUND(CONCATENATE($A23,BN$2),0),'Cadastro dos Padrões'!$A$2:$V$4400,BN$1,FALSE))</f>
        <v>-</v>
      </c>
      <c r="BO23" s="31" t="str">
        <f>IF(VLOOKUP(ROUND(CONCATENATE($A23,BO$2),0),'Cadastro dos Padrões'!$A$2:$V$4400,BO$1,FALSE)="","-",VLOOKUP(ROUND(CONCATENATE($A23,BO$2),0),'Cadastro dos Padrões'!$A$2:$V$4400,BO$1,FALSE))</f>
        <v>-</v>
      </c>
    </row>
    <row r="24" spans="1:67" x14ac:dyDescent="0.3">
      <c r="A24" s="6">
        <f t="shared" si="52"/>
        <v>19</v>
      </c>
      <c r="B24" s="31" t="str">
        <f>IF(VLOOKUP(ROUND(CONCATENATE($A24,B$2),0),'Cadastro dos Padrões'!$A$2:$V$4400,B$1,FALSE)="","-",VLOOKUP(ROUND(CONCATENATE($A24,B$2),0),'Cadastro dos Padrões'!$A$2:$V$4400,B$1,FALSE))</f>
        <v>E. TH.LT-007</v>
      </c>
      <c r="C24" s="31" t="str">
        <f>IF($B24="-","-",VLOOKUP(ROUND(CONCATENATE($A24,C$2),0),'Cadastro dos Padrões'!$A$2:$V$4400,C$1,FALSE))</f>
        <v>Termohigrômetro Digital</v>
      </c>
      <c r="D24" s="31">
        <f>IF($B24="-","-",VLOOKUP(ROUND(CONCATENATE($A24,D$2),0),'Cadastro dos Padrões'!$A$2:$V$4400,D$1,FALSE))</f>
        <v>25</v>
      </c>
      <c r="E24" s="31" t="str">
        <f>IF($B24="-","-",VLOOKUP(ROUND(CONCATENATE($A24,E$2),0),'Cadastro dos Padrões'!$A$2:$V$4400,E$1,FALSE))</f>
        <v>Elus</v>
      </c>
      <c r="F24" s="31" t="str">
        <f>IF($B24="-","-",VLOOKUP(ROUND(CONCATENATE($A24,F$2),0),'Cadastro dos Padrões'!$A$2:$V$4400,F$1,FALSE))</f>
        <v>RBC - CAL 0439</v>
      </c>
      <c r="G24" s="31" t="str">
        <f>IF($B24="-","-",VLOOKUP(ROUND(CONCATENATE($A24,G$2),0),'Cadastro dos Padrões'!$A$2:$V$4400,G$1,FALSE))</f>
        <v>E0844/25</v>
      </c>
      <c r="H24" s="32">
        <f>IF($B24="-","-",VLOOKUP(ROUND(CONCATENATE($A24,H$2),0),'Cadastro dos Padrões'!$A$2:$V$4400,H$1,FALSE))</f>
        <v>45989</v>
      </c>
      <c r="I24" s="33">
        <f>IF($B24="-","-",VLOOKUP(ROUND(CONCATENATE($A24,I$2),0),'Cadastro dos Padrões'!$A$2:$V$4400,I$1,FALSE))</f>
        <v>46170</v>
      </c>
      <c r="J24" s="31" t="str">
        <f>IF($B24="-","-",VLOOKUP(ROUND(CONCATENATE($A24,J$2),0),'Cadastro dos Padrões'!$A$2:$V$4400,J$1,FALSE))</f>
        <v>%ur</v>
      </c>
      <c r="K24" s="31">
        <f>IF($B24="-","-",VLOOKUP(ROUND(CONCATENATE($A24,K$2),0),'Cadastro dos Padrões'!$A$2:$V$4400,K$1,FALSE))</f>
        <v>5.01</v>
      </c>
      <c r="L24" s="31">
        <f>IF($B24="-","-",VLOOKUP(ROUND(CONCATENATE($A24,L$2),0),'Cadastro dos Padrões'!$A$2:$V$4400,L$1,FALSE))</f>
        <v>97.97</v>
      </c>
      <c r="M24" s="31">
        <f>IF($B24="-","-",VLOOKUP(ROUND(CONCATENATE($A24,M$2),0),'Cadastro dos Padrões'!$A$2:$V$4400,M$1,FALSE))</f>
        <v>0.01</v>
      </c>
      <c r="N24" s="31">
        <f>IF($B24="-","-",VLOOKUP(ROUND(CONCATENATE($A24,N$2),0),'Cadastro dos Padrões'!$A$2:$V$4400,N$1,FALSE))</f>
        <v>2.4299999999999926</v>
      </c>
      <c r="O24" s="31">
        <f>IF($B24="-","-",VLOOKUP(ROUND(CONCATENATE($A24,O$2),0),'Cadastro dos Padrões'!$A$2:$V$4400,O$1,FALSE))</f>
        <v>0.93</v>
      </c>
      <c r="P24" s="31">
        <f>IF($B24="-","-",VLOOKUP(ROUND(CONCATENATE($A24,P$2),0),'Cadastro dos Padrões'!$A$2:$V$4400,P$1,FALSE))</f>
        <v>2.5299999999999869</v>
      </c>
      <c r="Q24" s="31">
        <f>IF($B24="-","-",VLOOKUP(ROUND(CONCATENATE($A24,Q$2),0),'Cadastro dos Padrões'!$A$2:$V$4400,Q$1,FALSE))</f>
        <v>0.21999928713900863</v>
      </c>
      <c r="R24" s="31">
        <f>IF($B24="-","-",VLOOKUP(ROUND(CONCATENATE($A24,R$2),0),'Cadastro dos Padrões'!$A$2:$V$4400,R$1,FALSE))</f>
        <v>4</v>
      </c>
      <c r="S24" s="31">
        <f>IF($B24="-","-",VLOOKUP(ROUND(CONCATENATE($A24,S$2),0),'Cadastro dos Padrões'!$A$2:$V$4400,S$1,FALSE))</f>
        <v>0</v>
      </c>
      <c r="T24" s="31">
        <f>IF($B24="-","-",VLOOKUP(ROUND(CONCATENATE($A24,T$2),0),'Cadastro dos Padrões'!$A$2:$V$4400,T$1,FALSE))</f>
        <v>0</v>
      </c>
      <c r="U24" s="31">
        <f>IF($B24="-","-",VLOOKUP(ROUND(CONCATENATE($A24,U$2),0),'Cadastro dos Padrões'!$A$2:$V$4400,U$1,FALSE))</f>
        <v>0</v>
      </c>
      <c r="V24" s="31">
        <f>IF($B24="-","-",VLOOKUP(ROUND(CONCATENATE($A24,V$2),0),'Cadastro dos Padrões'!$A$2:$V$4400,V$1,FALSE))</f>
        <v>0</v>
      </c>
      <c r="W24" s="31">
        <f>IF($B24="-","-",VLOOKUP(ROUND(CONCATENATE($A24,W$2),0),'Cadastro dos Padrões'!$A$2:$V$4400,W$1,FALSE))</f>
        <v>-1.2783919580699958E-7</v>
      </c>
      <c r="X24" s="31">
        <f>IF($B24="-","-",VLOOKUP(ROUND(CONCATENATE($A24,X$2),0),'Cadastro dos Padrões'!$A$2:$V$4400,X$1,FALSE))</f>
        <v>2.2545503696244692E-5</v>
      </c>
      <c r="Y24" s="31">
        <f>IF($B24="-","-",VLOOKUP(ROUND(CONCATENATE($A24,Y$2),0),'Cadastro dos Padrões'!$A$2:$V$4400,Y$1,FALSE))</f>
        <v>-4.4488065481288169E-4</v>
      </c>
      <c r="Z24" s="31">
        <f>IF($B24="-","-",VLOOKUP(ROUND(CONCATENATE($A24,Z$2),0),'Cadastro dos Padrões'!$A$2:$V$4400,Z$1,FALSE))</f>
        <v>0.96950637927180283</v>
      </c>
      <c r="AA24" s="31">
        <f>IF($B24="-","-",VLOOKUP(ROUND(CONCATENATE($A24,AA$2),0),'Cadastro dos Padrões'!$A$2:$V$4400,AA$1,FALSE))</f>
        <v>0.38627791339066864</v>
      </c>
      <c r="AB24" s="31">
        <f>IF(VLOOKUP(ROUND(CONCATENATE($A24,AB$2),0),'Cadastro dos Padrões'!$A$2:$V$4400,AB$1,FALSE)="","-",VLOOKUP(ROUND(CONCATENATE($A24,AB$2),0),'Cadastro dos Padrões'!$A$2:$V$4400,AB$1,FALSE))</f>
        <v>5.01</v>
      </c>
      <c r="AC24" s="31">
        <f>IF(VLOOKUP(ROUND(CONCATENATE($A24,AC$2),0),'Cadastro dos Padrões'!$A$2:$V$4400,AC$1,FALSE)="","-",VLOOKUP(ROUND(CONCATENATE($A24,AC$2),0),'Cadastro dos Padrões'!$A$2:$V$4400,AC$1,FALSE))</f>
        <v>0.25</v>
      </c>
      <c r="AD24" s="31">
        <f>IF(VLOOKUP(ROUND(CONCATENATE($A24,AD$2),0),'Cadastro dos Padrões'!$A$2:$V$4400,AD$1,FALSE)="","-",VLOOKUP(ROUND(CONCATENATE($A24,AD$2),0),'Cadastro dos Padrões'!$A$2:$V$4400,AD$1,FALSE))</f>
        <v>2.0299999999999998</v>
      </c>
      <c r="AE24" s="31">
        <f>IF(VLOOKUP(ROUND(CONCATENATE($A24,AE$2),0),'Cadastro dos Padrões'!$A$2:$V$4400,AE$1,FALSE)="","-",VLOOKUP(ROUND(CONCATENATE($A24,AE$2),0),'Cadastro dos Padrões'!$A$2:$V$4400,AE$1,FALSE))</f>
        <v>87</v>
      </c>
      <c r="AF24" s="31">
        <f>IF(VLOOKUP(ROUND(CONCATENATE($A24,AF$2),0),'Cadastro dos Padrões'!$A$2:$V$4400,AF$1,FALSE)="","-",VLOOKUP(ROUND(CONCATENATE($A24,AF$2),0),'Cadastro dos Padrões'!$A$2:$V$4400,AF$1,FALSE))</f>
        <v>19.989999999999998</v>
      </c>
      <c r="AG24" s="31">
        <f>IF(VLOOKUP(ROUND(CONCATENATE($A24,AG$2),0),'Cadastro dos Padrões'!$A$2:$V$4400,AG$1,FALSE)="","-",VLOOKUP(ROUND(CONCATENATE($A24,AG$2),0),'Cadastro dos Padrões'!$A$2:$V$4400,AG$1,FALSE))</f>
        <v>0.25</v>
      </c>
      <c r="AH24" s="31">
        <f>IF(VLOOKUP(ROUND(CONCATENATE($A24,AH$2),0),'Cadastro dos Padrões'!$A$2:$V$4400,AH$1,FALSE)="","-",VLOOKUP(ROUND(CONCATENATE($A24,AH$2),0),'Cadastro dos Padrões'!$A$2:$V$4400,AH$1,FALSE))</f>
        <v>2.04</v>
      </c>
      <c r="AI24" s="31">
        <f>IF(VLOOKUP(ROUND(CONCATENATE($A24,AI$2),0),'Cadastro dos Padrões'!$A$2:$V$4400,AI$1,FALSE)="","-",VLOOKUP(ROUND(CONCATENATE($A24,AI$2),0),'Cadastro dos Padrões'!$A$2:$V$4400,AI$1,FALSE))</f>
        <v>66</v>
      </c>
      <c r="AJ24" s="31">
        <f>IF(VLOOKUP(ROUND(CONCATENATE($A24,AJ$2),0),'Cadastro dos Padrões'!$A$2:$V$4400,AJ$1,FALSE)="","-",VLOOKUP(ROUND(CONCATENATE($A24,AJ$2),0),'Cadastro dos Padrões'!$A$2:$V$4400,AJ$1,FALSE))</f>
        <v>30.01</v>
      </c>
      <c r="AK24" s="31">
        <f>IF(VLOOKUP(ROUND(CONCATENATE($A24,AK$2),0),'Cadastro dos Padrões'!$A$2:$V$4400,AK$1,FALSE)="","-",VLOOKUP(ROUND(CONCATENATE($A24,AK$2),0),'Cadastro dos Padrões'!$A$2:$V$4400,AK$1,FALSE))</f>
        <v>0.33</v>
      </c>
      <c r="AL24" s="31">
        <f>IF(VLOOKUP(ROUND(CONCATENATE($A24,AL$2),0),'Cadastro dos Padrões'!$A$2:$V$4400,AL$1,FALSE)="","-",VLOOKUP(ROUND(CONCATENATE($A24,AL$2),0),'Cadastro dos Padrões'!$A$2:$V$4400,AL$1,FALSE))</f>
        <v>2.04</v>
      </c>
      <c r="AM24" s="31">
        <f>IF(VLOOKUP(ROUND(CONCATENATE($A24,AM$2),0),'Cadastro dos Padrões'!$A$2:$V$4400,AM$1,FALSE)="","-",VLOOKUP(ROUND(CONCATENATE($A24,AM$2),0),'Cadastro dos Padrões'!$A$2:$V$4400,AM$1,FALSE))</f>
        <v>67</v>
      </c>
      <c r="AN24" s="31">
        <f>IF(VLOOKUP(ROUND(CONCATENATE($A24,AN$2),0),'Cadastro dos Padrões'!$A$2:$V$4400,AN$1,FALSE)="","-",VLOOKUP(ROUND(CONCATENATE($A24,AN$2),0),'Cadastro dos Padrões'!$A$2:$V$4400,AN$1,FALSE))</f>
        <v>50</v>
      </c>
      <c r="AO24" s="31">
        <f>IF(VLOOKUP(ROUND(CONCATENATE($A24,AO$2),0),'Cadastro dos Padrões'!$A$2:$V$4400,AO$1,FALSE)="","-",VLOOKUP(ROUND(CONCATENATE($A24,AO$2),0),'Cadastro dos Padrões'!$A$2:$V$4400,AO$1,FALSE))</f>
        <v>0.53</v>
      </c>
      <c r="AP24" s="31">
        <f>IF(VLOOKUP(ROUND(CONCATENATE($A24,AP$2),0),'Cadastro dos Padrões'!$A$2:$V$4400,AP$1,FALSE)="","-",VLOOKUP(ROUND(CONCATENATE($A24,AP$2),0),'Cadastro dos Padrões'!$A$2:$V$4400,AP$1,FALSE))</f>
        <v>2.04</v>
      </c>
      <c r="AQ24" s="31">
        <f>IF(VLOOKUP(ROUND(CONCATENATE($A24,AQ$2),0),'Cadastro dos Padrões'!$A$2:$V$4400,AQ$1,FALSE)="","-",VLOOKUP(ROUND(CONCATENATE($A24,AQ$2),0),'Cadastro dos Padrões'!$A$2:$V$4400,AQ$1,FALSE))</f>
        <v>67</v>
      </c>
      <c r="AR24" s="31">
        <f>IF(VLOOKUP(ROUND(CONCATENATE($A24,AR$2),0),'Cadastro dos Padrões'!$A$2:$V$4400,AR$1,FALSE)="","-",VLOOKUP(ROUND(CONCATENATE($A24,AR$2),0),'Cadastro dos Padrões'!$A$2:$V$4400,AR$1,FALSE))</f>
        <v>79.989999999999995</v>
      </c>
      <c r="AS24" s="31">
        <f>IF(VLOOKUP(ROUND(CONCATENATE($A24,AS$2),0),'Cadastro dos Padrões'!$A$2:$V$4400,AS$1,FALSE)="","-",VLOOKUP(ROUND(CONCATENATE($A24,AS$2),0),'Cadastro dos Padrões'!$A$2:$V$4400,AS$1,FALSE))</f>
        <v>0.8</v>
      </c>
      <c r="AT24" s="31">
        <f>IF(VLOOKUP(ROUND(CONCATENATE($A24,AT$2),0),'Cadastro dos Padrões'!$A$2:$V$4400,AT$1,FALSE)="","-",VLOOKUP(ROUND(CONCATENATE($A24,AT$2),0),'Cadastro dos Padrões'!$A$2:$V$4400,AT$1,FALSE))</f>
        <v>2.04</v>
      </c>
      <c r="AU24" s="31">
        <f>IF(VLOOKUP(ROUND(CONCATENATE($A24,AU$2),0),'Cadastro dos Padrões'!$A$2:$V$4400,AU$1,FALSE)="","-",VLOOKUP(ROUND(CONCATENATE($A24,AU$2),0),'Cadastro dos Padrões'!$A$2:$V$4400,AU$1,FALSE))</f>
        <v>68</v>
      </c>
      <c r="AV24" s="31">
        <f>IF(VLOOKUP(ROUND(CONCATENATE($A24,AV$2),0),'Cadastro dos Padrões'!$A$2:$V$4400,AV$1,FALSE)="","-",VLOOKUP(ROUND(CONCATENATE($A24,AV$2),0),'Cadastro dos Padrões'!$A$2:$V$4400,AV$1,FALSE))</f>
        <v>97.97</v>
      </c>
      <c r="AW24" s="31">
        <f>IF(VLOOKUP(ROUND(CONCATENATE($A24,AW$2),0),'Cadastro dos Padrões'!$A$2:$V$4400,AW$1,FALSE)="","-",VLOOKUP(ROUND(CONCATENATE($A24,AW$2),0),'Cadastro dos Padrões'!$A$2:$V$4400,AW$1,FALSE))</f>
        <v>0.93</v>
      </c>
      <c r="AX24" s="31">
        <f>IF(VLOOKUP(ROUND(CONCATENATE($A24,AX$2),0),'Cadastro dos Padrões'!$A$2:$V$4400,AX$1,FALSE)="","-",VLOOKUP(ROUND(CONCATENATE($A24,AX$2),0),'Cadastro dos Padrões'!$A$2:$V$4400,AX$1,FALSE))</f>
        <v>2.04</v>
      </c>
      <c r="AY24" s="31">
        <f>IF(VLOOKUP(ROUND(CONCATENATE($A24,AY$2),0),'Cadastro dos Padrões'!$A$2:$V$4400,AY$1,FALSE)="","-",VLOOKUP(ROUND(CONCATENATE($A24,AY$2),0),'Cadastro dos Padrões'!$A$2:$V$4400,AY$1,FALSE))</f>
        <v>62</v>
      </c>
      <c r="AZ24" s="31" t="str">
        <f>IF(VLOOKUP(ROUND(CONCATENATE($A24,AZ$2),0),'Cadastro dos Padrões'!$A$2:$V$4400,AZ$1,FALSE)="","-",VLOOKUP(ROUND(CONCATENATE($A24,AZ$2),0),'Cadastro dos Padrões'!$A$2:$V$4400,AZ$1,FALSE))</f>
        <v>-</v>
      </c>
      <c r="BA24" s="31" t="str">
        <f>IF(VLOOKUP(ROUND(CONCATENATE($A24,BA$2),0),'Cadastro dos Padrões'!$A$2:$V$4400,BA$1,FALSE)="","-",VLOOKUP(ROUND(CONCATENATE($A24,BA$2),0),'Cadastro dos Padrões'!$A$2:$V$4400,BA$1,FALSE))</f>
        <v>-</v>
      </c>
      <c r="BB24" s="31" t="str">
        <f>IF(VLOOKUP(ROUND(CONCATENATE($A24,BB$2),0),'Cadastro dos Padrões'!$A$2:$V$4400,BB$1,FALSE)="","-",VLOOKUP(ROUND(CONCATENATE($A24,BB$2),0),'Cadastro dos Padrões'!$A$2:$V$4400,BB$1,FALSE))</f>
        <v>-</v>
      </c>
      <c r="BC24" s="31" t="str">
        <f>IF(VLOOKUP(ROUND(CONCATENATE($A24,BC$2),0),'Cadastro dos Padrões'!$A$2:$V$4400,BC$1,FALSE)="","-",VLOOKUP(ROUND(CONCATENATE($A24,BC$2),0),'Cadastro dos Padrões'!$A$2:$V$4400,BC$1,FALSE))</f>
        <v>-</v>
      </c>
      <c r="BD24" s="31" t="str">
        <f>IF(VLOOKUP(ROUND(CONCATENATE($A24,BD$2),0),'Cadastro dos Padrões'!$A$2:$V$4400,BD$1,FALSE)="","-",VLOOKUP(ROUND(CONCATENATE($A24,BD$2),0),'Cadastro dos Padrões'!$A$2:$V$4400,BD$1,FALSE))</f>
        <v>-</v>
      </c>
      <c r="BE24" s="31" t="str">
        <f>IF(VLOOKUP(ROUND(CONCATENATE($A24,BE$2),0),'Cadastro dos Padrões'!$A$2:$V$4400,BE$1,FALSE)="","-",VLOOKUP(ROUND(CONCATENATE($A24,BE$2),0),'Cadastro dos Padrões'!$A$2:$V$4400,BE$1,FALSE))</f>
        <v>-</v>
      </c>
      <c r="BF24" s="31" t="str">
        <f>IF(VLOOKUP(ROUND(CONCATENATE($A24,BF$2),0),'Cadastro dos Padrões'!$A$2:$V$4400,BF$1,FALSE)="","-",VLOOKUP(ROUND(CONCATENATE($A24,BF$2),0),'Cadastro dos Padrões'!$A$2:$V$4400,BF$1,FALSE))</f>
        <v>-</v>
      </c>
      <c r="BG24" s="31" t="str">
        <f>IF(VLOOKUP(ROUND(CONCATENATE($A24,BG$2),0),'Cadastro dos Padrões'!$A$2:$V$4400,BG$1,FALSE)="","-",VLOOKUP(ROUND(CONCATENATE($A24,BG$2),0),'Cadastro dos Padrões'!$A$2:$V$4400,BG$1,FALSE))</f>
        <v>-</v>
      </c>
      <c r="BH24" s="31" t="str">
        <f>IF(VLOOKUP(ROUND(CONCATENATE($A24,BH$2),0),'Cadastro dos Padrões'!$A$2:$V$4400,BH$1,FALSE)="","-",VLOOKUP(ROUND(CONCATENATE($A24,BH$2),0),'Cadastro dos Padrões'!$A$2:$V$4400,BH$1,FALSE))</f>
        <v>-</v>
      </c>
      <c r="BI24" s="31" t="str">
        <f>IF(VLOOKUP(ROUND(CONCATENATE($A24,BI$2),0),'Cadastro dos Padrões'!$A$2:$V$4400,BI$1,FALSE)="","-",VLOOKUP(ROUND(CONCATENATE($A24,BI$2),0),'Cadastro dos Padrões'!$A$2:$V$4400,BI$1,FALSE))</f>
        <v>-</v>
      </c>
      <c r="BJ24" s="31" t="str">
        <f>IF(VLOOKUP(ROUND(CONCATENATE($A24,BJ$2),0),'Cadastro dos Padrões'!$A$2:$V$4400,BJ$1,FALSE)="","-",VLOOKUP(ROUND(CONCATENATE($A24,BJ$2),0),'Cadastro dos Padrões'!$A$2:$V$4400,BJ$1,FALSE))</f>
        <v>-</v>
      </c>
      <c r="BK24" s="31" t="str">
        <f>IF(VLOOKUP(ROUND(CONCATENATE($A24,BK$2),0),'Cadastro dos Padrões'!$A$2:$V$4400,BK$1,FALSE)="","-",VLOOKUP(ROUND(CONCATENATE($A24,BK$2),0),'Cadastro dos Padrões'!$A$2:$V$4400,BK$1,FALSE))</f>
        <v>-</v>
      </c>
      <c r="BL24" s="31" t="str">
        <f>IF(VLOOKUP(ROUND(CONCATENATE($A24,BL$2),0),'Cadastro dos Padrões'!$A$2:$V$4400,BL$1,FALSE)="","-",VLOOKUP(ROUND(CONCATENATE($A24,BL$2),0),'Cadastro dos Padrões'!$A$2:$V$4400,BL$1,FALSE))</f>
        <v>-</v>
      </c>
      <c r="BM24" s="31" t="str">
        <f>IF(VLOOKUP(ROUND(CONCATENATE($A24,BM$2),0),'Cadastro dos Padrões'!$A$2:$V$4400,BM$1,FALSE)="","-",VLOOKUP(ROUND(CONCATENATE($A24,BM$2),0),'Cadastro dos Padrões'!$A$2:$V$4400,BM$1,FALSE))</f>
        <v>-</v>
      </c>
      <c r="BN24" s="31" t="str">
        <f>IF(VLOOKUP(ROUND(CONCATENATE($A24,BN$2),0),'Cadastro dos Padrões'!$A$2:$V$4400,BN$1,FALSE)="","-",VLOOKUP(ROUND(CONCATENATE($A24,BN$2),0),'Cadastro dos Padrões'!$A$2:$V$4400,BN$1,FALSE))</f>
        <v>-</v>
      </c>
      <c r="BO24" s="31" t="str">
        <f>IF(VLOOKUP(ROUND(CONCATENATE($A24,BO$2),0),'Cadastro dos Padrões'!$A$2:$V$4400,BO$1,FALSE)="","-",VLOOKUP(ROUND(CONCATENATE($A24,BO$2),0),'Cadastro dos Padrões'!$A$2:$V$4400,BO$1,FALSE))</f>
        <v>-</v>
      </c>
    </row>
    <row r="25" spans="1:67" x14ac:dyDescent="0.3">
      <c r="A25" s="6">
        <f t="shared" si="52"/>
        <v>20</v>
      </c>
      <c r="B25" s="31" t="str">
        <f>IF(VLOOKUP(ROUND(CONCATENATE($A25,B$2),0),'Cadastro dos Padrões'!$A$2:$V$4400,B$1,FALSE)="","-",VLOOKUP(ROUND(CONCATENATE($A25,B$2),0),'Cadastro dos Padrões'!$A$2:$V$4400,B$1,FALSE))</f>
        <v>E.TH.LT-003</v>
      </c>
      <c r="C25" s="31" t="str">
        <f>IF($B25="-","-",VLOOKUP(ROUND(CONCATENATE($A25,C$2),0),'Cadastro dos Padrões'!$A$2:$V$4400,C$1,FALSE))</f>
        <v>Termohigrômetro Digital</v>
      </c>
      <c r="D25" s="31">
        <f>IF($B25="-","-",VLOOKUP(ROUND(CONCATENATE($A25,D$2),0),'Cadastro dos Padrões'!$A$2:$V$4400,D$1,FALSE))</f>
        <v>20</v>
      </c>
      <c r="E25" s="31" t="str">
        <f>IF($B25="-","-",VLOOKUP(ROUND(CONCATENATE($A25,E$2),0),'Cadastro dos Padrões'!$A$2:$V$4400,E$1,FALSE))</f>
        <v>Elus</v>
      </c>
      <c r="F25" s="31" t="str">
        <f>IF($B25="-","-",VLOOKUP(ROUND(CONCATENATE($A25,F$2),0),'Cadastro dos Padrões'!$A$2:$V$4400,F$1,FALSE))</f>
        <v>RBC - CAL 0439</v>
      </c>
      <c r="G25" s="31" t="str">
        <f>IF($B25="-","-",VLOOKUP(ROUND(CONCATENATE($A25,G$2),0),'Cadastro dos Padrões'!$A$2:$V$4400,G$1,FALSE))</f>
        <v>E0841/25</v>
      </c>
      <c r="H25" s="32">
        <f>IF($B25="-","-",VLOOKUP(ROUND(CONCATENATE($A25,H$2),0),'Cadastro dos Padrões'!$A$2:$V$4400,H$1,FALSE))</f>
        <v>45989</v>
      </c>
      <c r="I25" s="33">
        <f>IF($B25="-","-",VLOOKUP(ROUND(CONCATENATE($A25,I$2),0),'Cadastro dos Padrões'!$A$2:$V$4400,I$1,FALSE))</f>
        <v>46170</v>
      </c>
      <c r="J25" s="31" t="str">
        <f>IF($B25="-","-",VLOOKUP(ROUND(CONCATENATE($A25,J$2),0),'Cadastro dos Padrões'!$A$2:$V$4400,J$1,FALSE))</f>
        <v>%ur</v>
      </c>
      <c r="K25" s="31">
        <f>IF($B25="-","-",VLOOKUP(ROUND(CONCATENATE($A25,K$2),0),'Cadastro dos Padrões'!$A$2:$V$4400,K$1,FALSE))</f>
        <v>5.01</v>
      </c>
      <c r="L25" s="31">
        <f>IF($B25="-","-",VLOOKUP(ROUND(CONCATENATE($A25,L$2),0),'Cadastro dos Padrões'!$A$2:$V$4400,L$1,FALSE))</f>
        <v>97.96</v>
      </c>
      <c r="M25" s="31">
        <f>IF($B25="-","-",VLOOKUP(ROUND(CONCATENATE($A25,M$2),0),'Cadastro dos Padrões'!$A$2:$V$4400,M$1,FALSE))</f>
        <v>0.01</v>
      </c>
      <c r="N25" s="31">
        <f>IF($B25="-","-",VLOOKUP(ROUND(CONCATENATE($A25,N$2),0),'Cadastro dos Padrões'!$A$2:$V$4400,N$1,FALSE))</f>
        <v>1.6999999999999997</v>
      </c>
      <c r="O25" s="31">
        <f>IF($B25="-","-",VLOOKUP(ROUND(CONCATENATE($A25,O$2),0),'Cadastro dos Padrões'!$A$2:$V$4400,O$1,FALSE))</f>
        <v>0.99</v>
      </c>
      <c r="P25" s="31">
        <f>IF($B25="-","-",VLOOKUP(ROUND(CONCATENATE($A25,P$2),0),'Cadastro dos Padrões'!$A$2:$V$4400,P$1,FALSE))</f>
        <v>2.6300000000000097</v>
      </c>
      <c r="Q25" s="31">
        <f>IF($B25="-","-",VLOOKUP(ROUND(CONCATENATE($A25,Q$2),0),'Cadastro dos Padrões'!$A$2:$V$4400,Q$1,FALSE))</f>
        <v>7.5553382360745935E-2</v>
      </c>
      <c r="R25" s="31">
        <f>IF($B25="-","-",VLOOKUP(ROUND(CONCATENATE($A25,R$2),0),'Cadastro dos Padrões'!$A$2:$V$4400,R$1,FALSE))</f>
        <v>4</v>
      </c>
      <c r="S25" s="31">
        <f>IF($B25="-","-",VLOOKUP(ROUND(CONCATENATE($A25,S$2),0),'Cadastro dos Padrões'!$A$2:$V$4400,S$1,FALSE))</f>
        <v>0</v>
      </c>
      <c r="T25" s="31">
        <f>IF($B25="-","-",VLOOKUP(ROUND(CONCATENATE($A25,T$2),0),'Cadastro dos Padrões'!$A$2:$V$4400,T$1,FALSE))</f>
        <v>0</v>
      </c>
      <c r="U25" s="31">
        <f>IF($B25="-","-",VLOOKUP(ROUND(CONCATENATE($A25,U$2),0),'Cadastro dos Padrões'!$A$2:$V$4400,U$1,FALSE))</f>
        <v>0</v>
      </c>
      <c r="V25" s="31">
        <f>IF($B25="-","-",VLOOKUP(ROUND(CONCATENATE($A25,V$2),0),'Cadastro dos Padrões'!$A$2:$V$4400,V$1,FALSE))</f>
        <v>0</v>
      </c>
      <c r="W25" s="31">
        <f>IF($B25="-","-",VLOOKUP(ROUND(CONCATENATE($A25,W$2),0),'Cadastro dos Padrões'!$A$2:$V$4400,W$1,FALSE))</f>
        <v>-6.1657638006849323E-7</v>
      </c>
      <c r="X25" s="31">
        <f>IF($B25="-","-",VLOOKUP(ROUND(CONCATENATE($A25,X$2),0),'Cadastro dos Padrões'!$A$2:$V$4400,X$1,FALSE))</f>
        <v>1.0721522138606558E-4</v>
      </c>
      <c r="Y25" s="31">
        <f>IF($B25="-","-",VLOOKUP(ROUND(CONCATENATE($A25,Y$2),0),'Cadastro dos Padrões'!$A$2:$V$4400,Y$1,FALSE))</f>
        <v>-4.6163873813914874E-3</v>
      </c>
      <c r="Z25" s="31">
        <f>IF($B25="-","-",VLOOKUP(ROUND(CONCATENATE($A25,Z$2),0),'Cadastro dos Padrões'!$A$2:$V$4400,Z$1,FALSE))</f>
        <v>0.98034711700844934</v>
      </c>
      <c r="AA25" s="31">
        <f>IF($B25="-","-",VLOOKUP(ROUND(CONCATENATE($A25,AA$2),0),'Cadastro dos Padrões'!$A$2:$V$4400,AA$1,FALSE))</f>
        <v>1.8191509687854897</v>
      </c>
      <c r="AB25" s="31">
        <f>IF(VLOOKUP(ROUND(CONCATENATE($A25,AB$2),0),'Cadastro dos Padrões'!$A$2:$V$4400,AB$1,FALSE)="","-",VLOOKUP(ROUND(CONCATENATE($A25,AB$2),0),'Cadastro dos Padrões'!$A$2:$V$4400,AB$1,FALSE))</f>
        <v>5.01</v>
      </c>
      <c r="AC25" s="31">
        <f>IF(VLOOKUP(ROUND(CONCATENATE($A25,AC$2),0),'Cadastro dos Padrões'!$A$2:$V$4400,AC$1,FALSE)="","-",VLOOKUP(ROUND(CONCATENATE($A25,AC$2),0),'Cadastro dos Padrões'!$A$2:$V$4400,AC$1,FALSE))</f>
        <v>0.25</v>
      </c>
      <c r="AD25" s="31">
        <f>IF(VLOOKUP(ROUND(CONCATENATE($A25,AD$2),0),'Cadastro dos Padrões'!$A$2:$V$4400,AD$1,FALSE)="","-",VLOOKUP(ROUND(CONCATENATE($A25,AD$2),0),'Cadastro dos Padrões'!$A$2:$V$4400,AD$1,FALSE))</f>
        <v>2.0299999999999998</v>
      </c>
      <c r="AE25" s="31">
        <f>IF(VLOOKUP(ROUND(CONCATENATE($A25,AE$2),0),'Cadastro dos Padrões'!$A$2:$V$4400,AE$1,FALSE)="","-",VLOOKUP(ROUND(CONCATENATE($A25,AE$2),0),'Cadastro dos Padrões'!$A$2:$V$4400,AE$1,FALSE))</f>
        <v>87</v>
      </c>
      <c r="AF25" s="31">
        <f>IF(VLOOKUP(ROUND(CONCATENATE($A25,AF$2),0),'Cadastro dos Padrões'!$A$2:$V$4400,AF$1,FALSE)="","-",VLOOKUP(ROUND(CONCATENATE($A25,AF$2),0),'Cadastro dos Padrões'!$A$2:$V$4400,AF$1,FALSE))</f>
        <v>20.010000000000002</v>
      </c>
      <c r="AG25" s="31">
        <f>IF(VLOOKUP(ROUND(CONCATENATE($A25,AG$2),0),'Cadastro dos Padrões'!$A$2:$V$4400,AG$1,FALSE)="","-",VLOOKUP(ROUND(CONCATENATE($A25,AG$2),0),'Cadastro dos Padrões'!$A$2:$V$4400,AG$1,FALSE))</f>
        <v>0.27</v>
      </c>
      <c r="AH25" s="31">
        <f>IF(VLOOKUP(ROUND(CONCATENATE($A25,AH$2),0),'Cadastro dos Padrões'!$A$2:$V$4400,AH$1,FALSE)="","-",VLOOKUP(ROUND(CONCATENATE($A25,AH$2),0),'Cadastro dos Padrões'!$A$2:$V$4400,AH$1,FALSE))</f>
        <v>2.04</v>
      </c>
      <c r="AI25" s="31">
        <f>IF(VLOOKUP(ROUND(CONCATENATE($A25,AI$2),0),'Cadastro dos Padrões'!$A$2:$V$4400,AI$1,FALSE)="","-",VLOOKUP(ROUND(CONCATENATE($A25,AI$2),0),'Cadastro dos Padrões'!$A$2:$V$4400,AI$1,FALSE))</f>
        <v>65</v>
      </c>
      <c r="AJ25" s="31">
        <f>IF(VLOOKUP(ROUND(CONCATENATE($A25,AJ$2),0),'Cadastro dos Padrões'!$A$2:$V$4400,AJ$1,FALSE)="","-",VLOOKUP(ROUND(CONCATENATE($A25,AJ$2),0),'Cadastro dos Padrões'!$A$2:$V$4400,AJ$1,FALSE))</f>
        <v>29.99</v>
      </c>
      <c r="AK25" s="31">
        <f>IF(VLOOKUP(ROUND(CONCATENATE($A25,AK$2),0),'Cadastro dos Padrões'!$A$2:$V$4400,AK$1,FALSE)="","-",VLOOKUP(ROUND(CONCATENATE($A25,AK$2),0),'Cadastro dos Padrões'!$A$2:$V$4400,AK$1,FALSE))</f>
        <v>0.35</v>
      </c>
      <c r="AL25" s="31">
        <f>IF(VLOOKUP(ROUND(CONCATENATE($A25,AL$2),0),'Cadastro dos Padrões'!$A$2:$V$4400,AL$1,FALSE)="","-",VLOOKUP(ROUND(CONCATENATE($A25,AL$2),0),'Cadastro dos Padrões'!$A$2:$V$4400,AL$1,FALSE))</f>
        <v>2.04</v>
      </c>
      <c r="AM25" s="31">
        <f>IF(VLOOKUP(ROUND(CONCATENATE($A25,AM$2),0),'Cadastro dos Padrões'!$A$2:$V$4400,AM$1,FALSE)="","-",VLOOKUP(ROUND(CONCATENATE($A25,AM$2),0),'Cadastro dos Padrões'!$A$2:$V$4400,AM$1,FALSE))</f>
        <v>67</v>
      </c>
      <c r="AN25" s="31">
        <f>IF(VLOOKUP(ROUND(CONCATENATE($A25,AN$2),0),'Cadastro dos Padrões'!$A$2:$V$4400,AN$1,FALSE)="","-",VLOOKUP(ROUND(CONCATENATE($A25,AN$2),0),'Cadastro dos Padrões'!$A$2:$V$4400,AN$1,FALSE))</f>
        <v>50.01</v>
      </c>
      <c r="AO25" s="31">
        <f>IF(VLOOKUP(ROUND(CONCATENATE($A25,AO$2),0),'Cadastro dos Padrões'!$A$2:$V$4400,AO$1,FALSE)="","-",VLOOKUP(ROUND(CONCATENATE($A25,AO$2),0),'Cadastro dos Padrões'!$A$2:$V$4400,AO$1,FALSE))</f>
        <v>0.55000000000000004</v>
      </c>
      <c r="AP25" s="31">
        <f>IF(VLOOKUP(ROUND(CONCATENATE($A25,AP$2),0),'Cadastro dos Padrões'!$A$2:$V$4400,AP$1,FALSE)="","-",VLOOKUP(ROUND(CONCATENATE($A25,AP$2),0),'Cadastro dos Padrões'!$A$2:$V$4400,AP$1,FALSE))</f>
        <v>2.04</v>
      </c>
      <c r="AQ25" s="31">
        <f>IF(VLOOKUP(ROUND(CONCATENATE($A25,AQ$2),0),'Cadastro dos Padrões'!$A$2:$V$4400,AQ$1,FALSE)="","-",VLOOKUP(ROUND(CONCATENATE($A25,AQ$2),0),'Cadastro dos Padrões'!$A$2:$V$4400,AQ$1,FALSE))</f>
        <v>67</v>
      </c>
      <c r="AR25" s="31">
        <f>IF(VLOOKUP(ROUND(CONCATENATE($A25,AR$2),0),'Cadastro dos Padrões'!$A$2:$V$4400,AR$1,FALSE)="","-",VLOOKUP(ROUND(CONCATENATE($A25,AR$2),0),'Cadastro dos Padrões'!$A$2:$V$4400,AR$1,FALSE))</f>
        <v>80.010000000000005</v>
      </c>
      <c r="AS25" s="31">
        <f>IF(VLOOKUP(ROUND(CONCATENATE($A25,AS$2),0),'Cadastro dos Padrões'!$A$2:$V$4400,AS$1,FALSE)="","-",VLOOKUP(ROUND(CONCATENATE($A25,AS$2),0),'Cadastro dos Padrões'!$A$2:$V$4400,AS$1,FALSE))</f>
        <v>0.83</v>
      </c>
      <c r="AT25" s="31">
        <f>IF(VLOOKUP(ROUND(CONCATENATE($A25,AT$2),0),'Cadastro dos Padrões'!$A$2:$V$4400,AT$1,FALSE)="","-",VLOOKUP(ROUND(CONCATENATE($A25,AT$2),0),'Cadastro dos Padrões'!$A$2:$V$4400,AT$1,FALSE))</f>
        <v>2.04</v>
      </c>
      <c r="AU25" s="31">
        <f>IF(VLOOKUP(ROUND(CONCATENATE($A25,AU$2),0),'Cadastro dos Padrões'!$A$2:$V$4400,AU$1,FALSE)="","-",VLOOKUP(ROUND(CONCATENATE($A25,AU$2),0),'Cadastro dos Padrões'!$A$2:$V$4400,AU$1,FALSE))</f>
        <v>68</v>
      </c>
      <c r="AV25" s="31">
        <f>IF(VLOOKUP(ROUND(CONCATENATE($A25,AV$2),0),'Cadastro dos Padrões'!$A$2:$V$4400,AV$1,FALSE)="","-",VLOOKUP(ROUND(CONCATENATE($A25,AV$2),0),'Cadastro dos Padrões'!$A$2:$V$4400,AV$1,FALSE))</f>
        <v>97.96</v>
      </c>
      <c r="AW25" s="31">
        <f>IF(VLOOKUP(ROUND(CONCATENATE($A25,AW$2),0),'Cadastro dos Padrões'!$A$2:$V$4400,AW$1,FALSE)="","-",VLOOKUP(ROUND(CONCATENATE($A25,AW$2),0),'Cadastro dos Padrões'!$A$2:$V$4400,AW$1,FALSE))</f>
        <v>0.99</v>
      </c>
      <c r="AX25" s="31">
        <f>IF(VLOOKUP(ROUND(CONCATENATE($A25,AX$2),0),'Cadastro dos Padrões'!$A$2:$V$4400,AX$1,FALSE)="","-",VLOOKUP(ROUND(CONCATENATE($A25,AX$2),0),'Cadastro dos Padrões'!$A$2:$V$4400,AX$1,FALSE))</f>
        <v>2.04</v>
      </c>
      <c r="AY25" s="31">
        <f>IF(VLOOKUP(ROUND(CONCATENATE($A25,AY$2),0),'Cadastro dos Padrões'!$A$2:$V$4400,AY$1,FALSE)="","-",VLOOKUP(ROUND(CONCATENATE($A25,AY$2),0),'Cadastro dos Padrões'!$A$2:$V$4400,AY$1,FALSE))</f>
        <v>68</v>
      </c>
      <c r="AZ25" s="31" t="str">
        <f>IF(VLOOKUP(ROUND(CONCATENATE($A25,AZ$2),0),'Cadastro dos Padrões'!$A$2:$V$4400,AZ$1,FALSE)="","-",VLOOKUP(ROUND(CONCATENATE($A25,AZ$2),0),'Cadastro dos Padrões'!$A$2:$V$4400,AZ$1,FALSE))</f>
        <v>-</v>
      </c>
      <c r="BA25" s="31" t="str">
        <f>IF(VLOOKUP(ROUND(CONCATENATE($A25,BA$2),0),'Cadastro dos Padrões'!$A$2:$V$4400,BA$1,FALSE)="","-",VLOOKUP(ROUND(CONCATENATE($A25,BA$2),0),'Cadastro dos Padrões'!$A$2:$V$4400,BA$1,FALSE))</f>
        <v>-</v>
      </c>
      <c r="BB25" s="31" t="str">
        <f>IF(VLOOKUP(ROUND(CONCATENATE($A25,BB$2),0),'Cadastro dos Padrões'!$A$2:$V$4400,BB$1,FALSE)="","-",VLOOKUP(ROUND(CONCATENATE($A25,BB$2),0),'Cadastro dos Padrões'!$A$2:$V$4400,BB$1,FALSE))</f>
        <v>-</v>
      </c>
      <c r="BC25" s="31" t="str">
        <f>IF(VLOOKUP(ROUND(CONCATENATE($A25,BC$2),0),'Cadastro dos Padrões'!$A$2:$V$4400,BC$1,FALSE)="","-",VLOOKUP(ROUND(CONCATENATE($A25,BC$2),0),'Cadastro dos Padrões'!$A$2:$V$4400,BC$1,FALSE))</f>
        <v>-</v>
      </c>
      <c r="BD25" s="31" t="str">
        <f>IF(VLOOKUP(ROUND(CONCATENATE($A25,BD$2),0),'Cadastro dos Padrões'!$A$2:$V$4400,BD$1,FALSE)="","-",VLOOKUP(ROUND(CONCATENATE($A25,BD$2),0),'Cadastro dos Padrões'!$A$2:$V$4400,BD$1,FALSE))</f>
        <v>-</v>
      </c>
      <c r="BE25" s="31" t="str">
        <f>IF(VLOOKUP(ROUND(CONCATENATE($A25,BE$2),0),'Cadastro dos Padrões'!$A$2:$V$4400,BE$1,FALSE)="","-",VLOOKUP(ROUND(CONCATENATE($A25,BE$2),0),'Cadastro dos Padrões'!$A$2:$V$4400,BE$1,FALSE))</f>
        <v>-</v>
      </c>
      <c r="BF25" s="31" t="str">
        <f>IF(VLOOKUP(ROUND(CONCATENATE($A25,BF$2),0),'Cadastro dos Padrões'!$A$2:$V$4400,BF$1,FALSE)="","-",VLOOKUP(ROUND(CONCATENATE($A25,BF$2),0),'Cadastro dos Padrões'!$A$2:$V$4400,BF$1,FALSE))</f>
        <v>-</v>
      </c>
      <c r="BG25" s="31" t="str">
        <f>IF(VLOOKUP(ROUND(CONCATENATE($A25,BG$2),0),'Cadastro dos Padrões'!$A$2:$V$4400,BG$1,FALSE)="","-",VLOOKUP(ROUND(CONCATENATE($A25,BG$2),0),'Cadastro dos Padrões'!$A$2:$V$4400,BG$1,FALSE))</f>
        <v>-</v>
      </c>
      <c r="BH25" s="31" t="str">
        <f>IF(VLOOKUP(ROUND(CONCATENATE($A25,BH$2),0),'Cadastro dos Padrões'!$A$2:$V$4400,BH$1,FALSE)="","-",VLOOKUP(ROUND(CONCATENATE($A25,BH$2),0),'Cadastro dos Padrões'!$A$2:$V$4400,BH$1,FALSE))</f>
        <v>-</v>
      </c>
      <c r="BI25" s="31" t="str">
        <f>IF(VLOOKUP(ROUND(CONCATENATE($A25,BI$2),0),'Cadastro dos Padrões'!$A$2:$V$4400,BI$1,FALSE)="","-",VLOOKUP(ROUND(CONCATENATE($A25,BI$2),0),'Cadastro dos Padrões'!$A$2:$V$4400,BI$1,FALSE))</f>
        <v>-</v>
      </c>
      <c r="BJ25" s="31" t="str">
        <f>IF(VLOOKUP(ROUND(CONCATENATE($A25,BJ$2),0),'Cadastro dos Padrões'!$A$2:$V$4400,BJ$1,FALSE)="","-",VLOOKUP(ROUND(CONCATENATE($A25,BJ$2),0),'Cadastro dos Padrões'!$A$2:$V$4400,BJ$1,FALSE))</f>
        <v>-</v>
      </c>
      <c r="BK25" s="31" t="str">
        <f>IF(VLOOKUP(ROUND(CONCATENATE($A25,BK$2),0),'Cadastro dos Padrões'!$A$2:$V$4400,BK$1,FALSE)="","-",VLOOKUP(ROUND(CONCATENATE($A25,BK$2),0),'Cadastro dos Padrões'!$A$2:$V$4400,BK$1,FALSE))</f>
        <v>-</v>
      </c>
      <c r="BL25" s="31" t="str">
        <f>IF(VLOOKUP(ROUND(CONCATENATE($A25,BL$2),0),'Cadastro dos Padrões'!$A$2:$V$4400,BL$1,FALSE)="","-",VLOOKUP(ROUND(CONCATENATE($A25,BL$2),0),'Cadastro dos Padrões'!$A$2:$V$4400,BL$1,FALSE))</f>
        <v>-</v>
      </c>
      <c r="BM25" s="31" t="str">
        <f>IF(VLOOKUP(ROUND(CONCATENATE($A25,BM$2),0),'Cadastro dos Padrões'!$A$2:$V$4400,BM$1,FALSE)="","-",VLOOKUP(ROUND(CONCATENATE($A25,BM$2),0),'Cadastro dos Padrões'!$A$2:$V$4400,BM$1,FALSE))</f>
        <v>-</v>
      </c>
      <c r="BN25" s="31" t="str">
        <f>IF(VLOOKUP(ROUND(CONCATENATE($A25,BN$2),0),'Cadastro dos Padrões'!$A$2:$V$4400,BN$1,FALSE)="","-",VLOOKUP(ROUND(CONCATENATE($A25,BN$2),0),'Cadastro dos Padrões'!$A$2:$V$4400,BN$1,FALSE))</f>
        <v>-</v>
      </c>
      <c r="BO25" s="31" t="str">
        <f>IF(VLOOKUP(ROUND(CONCATENATE($A25,BO$2),0),'Cadastro dos Padrões'!$A$2:$V$4400,BO$1,FALSE)="","-",VLOOKUP(ROUND(CONCATENATE($A25,BO$2),0),'Cadastro dos Padrões'!$A$2:$V$4400,BO$1,FALSE))</f>
        <v>-</v>
      </c>
    </row>
    <row r="26" spans="1:67" x14ac:dyDescent="0.3">
      <c r="A26" s="6">
        <f t="shared" si="52"/>
        <v>21</v>
      </c>
      <c r="B26" s="31" t="str">
        <f>IF(VLOOKUP(ROUND(CONCATENATE($A26,B$2),0),'Cadastro dos Padrões'!$A$2:$V$4400,B$1,FALSE)="","-",VLOOKUP(ROUND(CONCATENATE($A26,B$2),0),'Cadastro dos Padrões'!$A$2:$V$4400,B$1,FALSE))</f>
        <v>E.TH.LT-003</v>
      </c>
      <c r="C26" s="31" t="str">
        <f>IF($B26="-","-",VLOOKUP(ROUND(CONCATENATE($A26,C$2),0),'Cadastro dos Padrões'!$A$2:$V$4400,C$1,FALSE))</f>
        <v>Termohigrômetro Digital</v>
      </c>
      <c r="D26" s="31">
        <f>IF($B26="-","-",VLOOKUP(ROUND(CONCATENATE($A26,D$2),0),'Cadastro dos Padrões'!$A$2:$V$4400,D$1,FALSE))</f>
        <v>25</v>
      </c>
      <c r="E26" s="31" t="str">
        <f>IF($B26="-","-",VLOOKUP(ROUND(CONCATENATE($A26,E$2),0),'Cadastro dos Padrões'!$A$2:$V$4400,E$1,FALSE))</f>
        <v>Elus</v>
      </c>
      <c r="F26" s="31" t="str">
        <f>IF($B26="-","-",VLOOKUP(ROUND(CONCATENATE($A26,F$2),0),'Cadastro dos Padrões'!$A$2:$V$4400,F$1,FALSE))</f>
        <v>RBC - CAL 0439</v>
      </c>
      <c r="G26" s="31" t="str">
        <f>IF($B26="-","-",VLOOKUP(ROUND(CONCATENATE($A26,G$2),0),'Cadastro dos Padrões'!$A$2:$V$4400,G$1,FALSE))</f>
        <v>E0841/25</v>
      </c>
      <c r="H26" s="32">
        <f>IF($B26="-","-",VLOOKUP(ROUND(CONCATENATE($A26,H$2),0),'Cadastro dos Padrões'!$A$2:$V$4400,H$1,FALSE))</f>
        <v>45989</v>
      </c>
      <c r="I26" s="33">
        <f>IF($B26="-","-",VLOOKUP(ROUND(CONCATENATE($A26,I$2),0),'Cadastro dos Padrões'!$A$2:$V$4400,I$1,FALSE))</f>
        <v>46170</v>
      </c>
      <c r="J26" s="31" t="str">
        <f>IF($B26="-","-",VLOOKUP(ROUND(CONCATENATE($A26,J$2),0),'Cadastro dos Padrões'!$A$2:$V$4400,J$1,FALSE))</f>
        <v>%ur</v>
      </c>
      <c r="K26" s="31">
        <f>IF($B26="-","-",VLOOKUP(ROUND(CONCATENATE($A26,K$2),0),'Cadastro dos Padrões'!$A$2:$V$4400,K$1,FALSE))</f>
        <v>5.01</v>
      </c>
      <c r="L26" s="31">
        <f>IF($B26="-","-",VLOOKUP(ROUND(CONCATENATE($A26,L$2),0),'Cadastro dos Padrões'!$A$2:$V$4400,L$1,FALSE))</f>
        <v>97.97</v>
      </c>
      <c r="M26" s="31">
        <f>IF($B26="-","-",VLOOKUP(ROUND(CONCATENATE($A26,M$2),0),'Cadastro dos Padrões'!$A$2:$V$4400,M$1,FALSE))</f>
        <v>0.01</v>
      </c>
      <c r="N26" s="31">
        <f>IF($B26="-","-",VLOOKUP(ROUND(CONCATENATE($A26,N$2),0),'Cadastro dos Padrões'!$A$2:$V$4400,N$1,FALSE))</f>
        <v>1.8800000000000026</v>
      </c>
      <c r="O26" s="31">
        <f>IF($B26="-","-",VLOOKUP(ROUND(CONCATENATE($A26,O$2),0),'Cadastro dos Padrões'!$A$2:$V$4400,O$1,FALSE))</f>
        <v>0.93</v>
      </c>
      <c r="P26" s="31">
        <f>IF($B26="-","-",VLOOKUP(ROUND(CONCATENATE($A26,P$2),0),'Cadastro dos Padrões'!$A$2:$V$4400,P$1,FALSE))</f>
        <v>2.1299999999999955</v>
      </c>
      <c r="Q26" s="31">
        <f>IF($B26="-","-",VLOOKUP(ROUND(CONCATENATE($A26,Q$2),0),'Cadastro dos Padrões'!$A$2:$V$4400,Q$1,FALSE))</f>
        <v>1.925309815391385E-2</v>
      </c>
      <c r="R26" s="31">
        <f>IF($B26="-","-",VLOOKUP(ROUND(CONCATENATE($A26,R$2),0),'Cadastro dos Padrões'!$A$2:$V$4400,R$1,FALSE))</f>
        <v>4</v>
      </c>
      <c r="S26" s="31">
        <f>IF($B26="-","-",VLOOKUP(ROUND(CONCATENATE($A26,S$2),0),'Cadastro dos Padrões'!$A$2:$V$4400,S$1,FALSE))</f>
        <v>0</v>
      </c>
      <c r="T26" s="31">
        <f>IF($B26="-","-",VLOOKUP(ROUND(CONCATENATE($A26,T$2),0),'Cadastro dos Padrões'!$A$2:$V$4400,T$1,FALSE))</f>
        <v>0</v>
      </c>
      <c r="U26" s="31">
        <f>IF($B26="-","-",VLOOKUP(ROUND(CONCATENATE($A26,U$2),0),'Cadastro dos Padrões'!$A$2:$V$4400,U$1,FALSE))</f>
        <v>0</v>
      </c>
      <c r="V26" s="31">
        <f>IF($B26="-","-",VLOOKUP(ROUND(CONCATENATE($A26,V$2),0),'Cadastro dos Padrões'!$A$2:$V$4400,V$1,FALSE))</f>
        <v>0</v>
      </c>
      <c r="W26" s="31">
        <f>IF($B26="-","-",VLOOKUP(ROUND(CONCATENATE($A26,W$2),0),'Cadastro dos Padrões'!$A$2:$V$4400,W$1,FALSE))</f>
        <v>-4.4729325471197262E-7</v>
      </c>
      <c r="X26" s="31">
        <f>IF($B26="-","-",VLOOKUP(ROUND(CONCATENATE($A26,X$2),0),'Cadastro dos Padrões'!$A$2:$V$4400,X$1,FALSE))</f>
        <v>7.9795887463132229E-5</v>
      </c>
      <c r="Y26" s="31">
        <f>IF($B26="-","-",VLOOKUP(ROUND(CONCATENATE($A26,Y$2),0),'Cadastro dos Padrões'!$A$2:$V$4400,Y$1,FALSE))</f>
        <v>-3.4503456772005006E-3</v>
      </c>
      <c r="Z26" s="31">
        <f>IF($B26="-","-",VLOOKUP(ROUND(CONCATENATE($A26,Z$2),0),'Cadastro dos Padrões'!$A$2:$V$4400,Z$1,FALSE))</f>
        <v>0.96083562112748744</v>
      </c>
      <c r="AA26" s="31">
        <f>IF($B26="-","-",VLOOKUP(ROUND(CONCATENATE($A26,AA$2),0),'Cadastro dos Padrões'!$A$2:$V$4400,AA$1,FALSE))</f>
        <v>1.5432394476313807</v>
      </c>
      <c r="AB26" s="31">
        <f>IF(VLOOKUP(ROUND(CONCATENATE($A26,AB$2),0),'Cadastro dos Padrões'!$A$2:$V$4400,AB$1,FALSE)="","-",VLOOKUP(ROUND(CONCATENATE($A26,AB$2),0),'Cadastro dos Padrões'!$A$2:$V$4400,AB$1,FALSE))</f>
        <v>5.01</v>
      </c>
      <c r="AC26" s="31">
        <f>IF(VLOOKUP(ROUND(CONCATENATE($A26,AC$2),0),'Cadastro dos Padrões'!$A$2:$V$4400,AC$1,FALSE)="","-",VLOOKUP(ROUND(CONCATENATE($A26,AC$2),0),'Cadastro dos Padrões'!$A$2:$V$4400,AC$1,FALSE))</f>
        <v>0.25</v>
      </c>
      <c r="AD26" s="31">
        <f>IF(VLOOKUP(ROUND(CONCATENATE($A26,AD$2),0),'Cadastro dos Padrões'!$A$2:$V$4400,AD$1,FALSE)="","-",VLOOKUP(ROUND(CONCATENATE($A26,AD$2),0),'Cadastro dos Padrões'!$A$2:$V$4400,AD$1,FALSE))</f>
        <v>2.0299999999999998</v>
      </c>
      <c r="AE26" s="31">
        <f>IF(VLOOKUP(ROUND(CONCATENATE($A26,AE$2),0),'Cadastro dos Padrões'!$A$2:$V$4400,AE$1,FALSE)="","-",VLOOKUP(ROUND(CONCATENATE($A26,AE$2),0),'Cadastro dos Padrões'!$A$2:$V$4400,AE$1,FALSE))</f>
        <v>87</v>
      </c>
      <c r="AF26" s="31">
        <f>IF(VLOOKUP(ROUND(CONCATENATE($A26,AF$2),0),'Cadastro dos Padrões'!$A$2:$V$4400,AF$1,FALSE)="","-",VLOOKUP(ROUND(CONCATENATE($A26,AF$2),0),'Cadastro dos Padrões'!$A$2:$V$4400,AF$1,FALSE))</f>
        <v>19.989999999999998</v>
      </c>
      <c r="AG26" s="31">
        <f>IF(VLOOKUP(ROUND(CONCATENATE($A26,AG$2),0),'Cadastro dos Padrões'!$A$2:$V$4400,AG$1,FALSE)="","-",VLOOKUP(ROUND(CONCATENATE($A26,AG$2),0),'Cadastro dos Padrões'!$A$2:$V$4400,AG$1,FALSE))</f>
        <v>0.25</v>
      </c>
      <c r="AH26" s="31">
        <f>IF(VLOOKUP(ROUND(CONCATENATE($A26,AH$2),0),'Cadastro dos Padrões'!$A$2:$V$4400,AH$1,FALSE)="","-",VLOOKUP(ROUND(CONCATENATE($A26,AH$2),0),'Cadastro dos Padrões'!$A$2:$V$4400,AH$1,FALSE))</f>
        <v>2.04</v>
      </c>
      <c r="AI26" s="31">
        <f>IF(VLOOKUP(ROUND(CONCATENATE($A26,AI$2),0),'Cadastro dos Padrões'!$A$2:$V$4400,AI$1,FALSE)="","-",VLOOKUP(ROUND(CONCATENATE($A26,AI$2),0),'Cadastro dos Padrões'!$A$2:$V$4400,AI$1,FALSE))</f>
        <v>66</v>
      </c>
      <c r="AJ26" s="31">
        <f>IF(VLOOKUP(ROUND(CONCATENATE($A26,AJ$2),0),'Cadastro dos Padrões'!$A$2:$V$4400,AJ$1,FALSE)="","-",VLOOKUP(ROUND(CONCATENATE($A26,AJ$2),0),'Cadastro dos Padrões'!$A$2:$V$4400,AJ$1,FALSE))</f>
        <v>30.01</v>
      </c>
      <c r="AK26" s="31">
        <f>IF(VLOOKUP(ROUND(CONCATENATE($A26,AK$2),0),'Cadastro dos Padrões'!$A$2:$V$4400,AK$1,FALSE)="","-",VLOOKUP(ROUND(CONCATENATE($A26,AK$2),0),'Cadastro dos Padrões'!$A$2:$V$4400,AK$1,FALSE))</f>
        <v>0.33</v>
      </c>
      <c r="AL26" s="31">
        <f>IF(VLOOKUP(ROUND(CONCATENATE($A26,AL$2),0),'Cadastro dos Padrões'!$A$2:$V$4400,AL$1,FALSE)="","-",VLOOKUP(ROUND(CONCATENATE($A26,AL$2),0),'Cadastro dos Padrões'!$A$2:$V$4400,AL$1,FALSE))</f>
        <v>2.04</v>
      </c>
      <c r="AM26" s="31">
        <f>IF(VLOOKUP(ROUND(CONCATENATE($A26,AM$2),0),'Cadastro dos Padrões'!$A$2:$V$4400,AM$1,FALSE)="","-",VLOOKUP(ROUND(CONCATENATE($A26,AM$2),0),'Cadastro dos Padrões'!$A$2:$V$4400,AM$1,FALSE))</f>
        <v>67</v>
      </c>
      <c r="AN26" s="31">
        <f>IF(VLOOKUP(ROUND(CONCATENATE($A26,AN$2),0),'Cadastro dos Padrões'!$A$2:$V$4400,AN$1,FALSE)="","-",VLOOKUP(ROUND(CONCATENATE($A26,AN$2),0),'Cadastro dos Padrões'!$A$2:$V$4400,AN$1,FALSE))</f>
        <v>50</v>
      </c>
      <c r="AO26" s="31">
        <f>IF(VLOOKUP(ROUND(CONCATENATE($A26,AO$2),0),'Cadastro dos Padrões'!$A$2:$V$4400,AO$1,FALSE)="","-",VLOOKUP(ROUND(CONCATENATE($A26,AO$2),0),'Cadastro dos Padrões'!$A$2:$V$4400,AO$1,FALSE))</f>
        <v>0.53</v>
      </c>
      <c r="AP26" s="31">
        <f>IF(VLOOKUP(ROUND(CONCATENATE($A26,AP$2),0),'Cadastro dos Padrões'!$A$2:$V$4400,AP$1,FALSE)="","-",VLOOKUP(ROUND(CONCATENATE($A26,AP$2),0),'Cadastro dos Padrões'!$A$2:$V$4400,AP$1,FALSE))</f>
        <v>2.04</v>
      </c>
      <c r="AQ26" s="31">
        <f>IF(VLOOKUP(ROUND(CONCATENATE($A26,AQ$2),0),'Cadastro dos Padrões'!$A$2:$V$4400,AQ$1,FALSE)="","-",VLOOKUP(ROUND(CONCATENATE($A26,AQ$2),0),'Cadastro dos Padrões'!$A$2:$V$4400,AQ$1,FALSE))</f>
        <v>67</v>
      </c>
      <c r="AR26" s="31">
        <f>IF(VLOOKUP(ROUND(CONCATENATE($A26,AR$2),0),'Cadastro dos Padrões'!$A$2:$V$4400,AR$1,FALSE)="","-",VLOOKUP(ROUND(CONCATENATE($A26,AR$2),0),'Cadastro dos Padrões'!$A$2:$V$4400,AR$1,FALSE))</f>
        <v>79.989999999999995</v>
      </c>
      <c r="AS26" s="31">
        <f>IF(VLOOKUP(ROUND(CONCATENATE($A26,AS$2),0),'Cadastro dos Padrões'!$A$2:$V$4400,AS$1,FALSE)="","-",VLOOKUP(ROUND(CONCATENATE($A26,AS$2),0),'Cadastro dos Padrões'!$A$2:$V$4400,AS$1,FALSE))</f>
        <v>0.8</v>
      </c>
      <c r="AT26" s="31">
        <f>IF(VLOOKUP(ROUND(CONCATENATE($A26,AT$2),0),'Cadastro dos Padrões'!$A$2:$V$4400,AT$1,FALSE)="","-",VLOOKUP(ROUND(CONCATENATE($A26,AT$2),0),'Cadastro dos Padrões'!$A$2:$V$4400,AT$1,FALSE))</f>
        <v>2.04</v>
      </c>
      <c r="AU26" s="31">
        <f>IF(VLOOKUP(ROUND(CONCATENATE($A26,AU$2),0),'Cadastro dos Padrões'!$A$2:$V$4400,AU$1,FALSE)="","-",VLOOKUP(ROUND(CONCATENATE($A26,AU$2),0),'Cadastro dos Padrões'!$A$2:$V$4400,AU$1,FALSE))</f>
        <v>68</v>
      </c>
      <c r="AV26" s="31">
        <f>IF(VLOOKUP(ROUND(CONCATENATE($A26,AV$2),0),'Cadastro dos Padrões'!$A$2:$V$4400,AV$1,FALSE)="","-",VLOOKUP(ROUND(CONCATENATE($A26,AV$2),0),'Cadastro dos Padrões'!$A$2:$V$4400,AV$1,FALSE))</f>
        <v>97.97</v>
      </c>
      <c r="AW26" s="31">
        <f>IF(VLOOKUP(ROUND(CONCATENATE($A26,AW$2),0),'Cadastro dos Padrões'!$A$2:$V$4400,AW$1,FALSE)="","-",VLOOKUP(ROUND(CONCATENATE($A26,AW$2),0),'Cadastro dos Padrões'!$A$2:$V$4400,AW$1,FALSE))</f>
        <v>0.93</v>
      </c>
      <c r="AX26" s="31">
        <f>IF(VLOOKUP(ROUND(CONCATENATE($A26,AX$2),0),'Cadastro dos Padrões'!$A$2:$V$4400,AX$1,FALSE)="","-",VLOOKUP(ROUND(CONCATENATE($A26,AX$2),0),'Cadastro dos Padrões'!$A$2:$V$4400,AX$1,FALSE))</f>
        <v>2.04</v>
      </c>
      <c r="AY26" s="31">
        <f>IF(VLOOKUP(ROUND(CONCATENATE($A26,AY$2),0),'Cadastro dos Padrões'!$A$2:$V$4400,AY$1,FALSE)="","-",VLOOKUP(ROUND(CONCATENATE($A26,AY$2),0),'Cadastro dos Padrões'!$A$2:$V$4400,AY$1,FALSE))</f>
        <v>62</v>
      </c>
      <c r="AZ26" s="31" t="str">
        <f>IF(VLOOKUP(ROUND(CONCATENATE($A26,AZ$2),0),'Cadastro dos Padrões'!$A$2:$V$4400,AZ$1,FALSE)="","-",VLOOKUP(ROUND(CONCATENATE($A26,AZ$2),0),'Cadastro dos Padrões'!$A$2:$V$4400,AZ$1,FALSE))</f>
        <v>-</v>
      </c>
      <c r="BA26" s="31" t="str">
        <f>IF(VLOOKUP(ROUND(CONCATENATE($A26,BA$2),0),'Cadastro dos Padrões'!$A$2:$V$4400,BA$1,FALSE)="","-",VLOOKUP(ROUND(CONCATENATE($A26,BA$2),0),'Cadastro dos Padrões'!$A$2:$V$4400,BA$1,FALSE))</f>
        <v>-</v>
      </c>
      <c r="BB26" s="31" t="str">
        <f>IF(VLOOKUP(ROUND(CONCATENATE($A26,BB$2),0),'Cadastro dos Padrões'!$A$2:$V$4400,BB$1,FALSE)="","-",VLOOKUP(ROUND(CONCATENATE($A26,BB$2),0),'Cadastro dos Padrões'!$A$2:$V$4400,BB$1,FALSE))</f>
        <v>-</v>
      </c>
      <c r="BC26" s="31" t="str">
        <f>IF(VLOOKUP(ROUND(CONCATENATE($A26,BC$2),0),'Cadastro dos Padrões'!$A$2:$V$4400,BC$1,FALSE)="","-",VLOOKUP(ROUND(CONCATENATE($A26,BC$2),0),'Cadastro dos Padrões'!$A$2:$V$4400,BC$1,FALSE))</f>
        <v>-</v>
      </c>
      <c r="BD26" s="31" t="str">
        <f>IF(VLOOKUP(ROUND(CONCATENATE($A26,BD$2),0),'Cadastro dos Padrões'!$A$2:$V$4400,BD$1,FALSE)="","-",VLOOKUP(ROUND(CONCATENATE($A26,BD$2),0),'Cadastro dos Padrões'!$A$2:$V$4400,BD$1,FALSE))</f>
        <v>-</v>
      </c>
      <c r="BE26" s="31" t="str">
        <f>IF(VLOOKUP(ROUND(CONCATENATE($A26,BE$2),0),'Cadastro dos Padrões'!$A$2:$V$4400,BE$1,FALSE)="","-",VLOOKUP(ROUND(CONCATENATE($A26,BE$2),0),'Cadastro dos Padrões'!$A$2:$V$4400,BE$1,FALSE))</f>
        <v>-</v>
      </c>
      <c r="BF26" s="31" t="str">
        <f>IF(VLOOKUP(ROUND(CONCATENATE($A26,BF$2),0),'Cadastro dos Padrões'!$A$2:$V$4400,BF$1,FALSE)="","-",VLOOKUP(ROUND(CONCATENATE($A26,BF$2),0),'Cadastro dos Padrões'!$A$2:$V$4400,BF$1,FALSE))</f>
        <v>-</v>
      </c>
      <c r="BG26" s="31" t="str">
        <f>IF(VLOOKUP(ROUND(CONCATENATE($A26,BG$2),0),'Cadastro dos Padrões'!$A$2:$V$4400,BG$1,FALSE)="","-",VLOOKUP(ROUND(CONCATENATE($A26,BG$2),0),'Cadastro dos Padrões'!$A$2:$V$4400,BG$1,FALSE))</f>
        <v>-</v>
      </c>
      <c r="BH26" s="31" t="str">
        <f>IF(VLOOKUP(ROUND(CONCATENATE($A26,BH$2),0),'Cadastro dos Padrões'!$A$2:$V$4400,BH$1,FALSE)="","-",VLOOKUP(ROUND(CONCATENATE($A26,BH$2),0),'Cadastro dos Padrões'!$A$2:$V$4400,BH$1,FALSE))</f>
        <v>-</v>
      </c>
      <c r="BI26" s="31" t="str">
        <f>IF(VLOOKUP(ROUND(CONCATENATE($A26,BI$2),0),'Cadastro dos Padrões'!$A$2:$V$4400,BI$1,FALSE)="","-",VLOOKUP(ROUND(CONCATENATE($A26,BI$2),0),'Cadastro dos Padrões'!$A$2:$V$4400,BI$1,FALSE))</f>
        <v>-</v>
      </c>
      <c r="BJ26" s="31" t="str">
        <f>IF(VLOOKUP(ROUND(CONCATENATE($A26,BJ$2),0),'Cadastro dos Padrões'!$A$2:$V$4400,BJ$1,FALSE)="","-",VLOOKUP(ROUND(CONCATENATE($A26,BJ$2),0),'Cadastro dos Padrões'!$A$2:$V$4400,BJ$1,FALSE))</f>
        <v>-</v>
      </c>
      <c r="BK26" s="31" t="str">
        <f>IF(VLOOKUP(ROUND(CONCATENATE($A26,BK$2),0),'Cadastro dos Padrões'!$A$2:$V$4400,BK$1,FALSE)="","-",VLOOKUP(ROUND(CONCATENATE($A26,BK$2),0),'Cadastro dos Padrões'!$A$2:$V$4400,BK$1,FALSE))</f>
        <v>-</v>
      </c>
      <c r="BL26" s="31" t="str">
        <f>IF(VLOOKUP(ROUND(CONCATENATE($A26,BL$2),0),'Cadastro dos Padrões'!$A$2:$V$4400,BL$1,FALSE)="","-",VLOOKUP(ROUND(CONCATENATE($A26,BL$2),0),'Cadastro dos Padrões'!$A$2:$V$4400,BL$1,FALSE))</f>
        <v>-</v>
      </c>
      <c r="BM26" s="31" t="str">
        <f>IF(VLOOKUP(ROUND(CONCATENATE($A26,BM$2),0),'Cadastro dos Padrões'!$A$2:$V$4400,BM$1,FALSE)="","-",VLOOKUP(ROUND(CONCATENATE($A26,BM$2),0),'Cadastro dos Padrões'!$A$2:$V$4400,BM$1,FALSE))</f>
        <v>-</v>
      </c>
      <c r="BN26" s="31" t="str">
        <f>IF(VLOOKUP(ROUND(CONCATENATE($A26,BN$2),0),'Cadastro dos Padrões'!$A$2:$V$4400,BN$1,FALSE)="","-",VLOOKUP(ROUND(CONCATENATE($A26,BN$2),0),'Cadastro dos Padrões'!$A$2:$V$4400,BN$1,FALSE))</f>
        <v>-</v>
      </c>
      <c r="BO26" s="31" t="str">
        <f>IF(VLOOKUP(ROUND(CONCATENATE($A26,BO$2),0),'Cadastro dos Padrões'!$A$2:$V$4400,BO$1,FALSE)="","-",VLOOKUP(ROUND(CONCATENATE($A26,BO$2),0),'Cadastro dos Padrões'!$A$2:$V$4400,BO$1,FALSE))</f>
        <v>-</v>
      </c>
    </row>
    <row r="27" spans="1:67" x14ac:dyDescent="0.3">
      <c r="A27" s="6">
        <f t="shared" si="52"/>
        <v>22</v>
      </c>
      <c r="B27" s="31" t="str">
        <f>IF(VLOOKUP(ROUND(CONCATENATE($A27,B$2),0),'Cadastro dos Padrões'!$A$2:$V$4400,B$1,FALSE)="","-",VLOOKUP(ROUND(CONCATENATE($A27,B$2),0),'Cadastro dos Padrões'!$A$2:$V$4400,B$1,FALSE))</f>
        <v>E.TH.LT-004</v>
      </c>
      <c r="C27" s="31" t="str">
        <f>IF($B27="-","-",VLOOKUP(ROUND(CONCATENATE($A27,C$2),0),'Cadastro dos Padrões'!$A$2:$V$4400,C$1,FALSE))</f>
        <v>Termohigrômetro Digital</v>
      </c>
      <c r="D27" s="31">
        <f>IF($B27="-","-",VLOOKUP(ROUND(CONCATENATE($A27,D$2),0),'Cadastro dos Padrões'!$A$2:$V$4400,D$1,FALSE))</f>
        <v>20</v>
      </c>
      <c r="E27" s="31" t="str">
        <f>IF($B27="-","-",VLOOKUP(ROUND(CONCATENATE($A27,E$2),0),'Cadastro dos Padrões'!$A$2:$V$4400,E$1,FALSE))</f>
        <v>Elus</v>
      </c>
      <c r="F27" s="31" t="str">
        <f>IF($B27="-","-",VLOOKUP(ROUND(CONCATENATE($A27,F$2),0),'Cadastro dos Padrões'!$A$2:$V$4400,F$1,FALSE))</f>
        <v>RBC - CAL 0439</v>
      </c>
      <c r="G27" s="31" t="str">
        <f>IF($B27="-","-",VLOOKUP(ROUND(CONCATENATE($A27,G$2),0),'Cadastro dos Padrões'!$A$2:$V$4400,G$1,FALSE))</f>
        <v>E0842/25</v>
      </c>
      <c r="H27" s="32">
        <f>IF($B27="-","-",VLOOKUP(ROUND(CONCATENATE($A27,H$2),0),'Cadastro dos Padrões'!$A$2:$V$4400,H$1,FALSE))</f>
        <v>45989</v>
      </c>
      <c r="I27" s="33">
        <f>IF($B27="-","-",VLOOKUP(ROUND(CONCATENATE($A27,I$2),0),'Cadastro dos Padrões'!$A$2:$V$4400,I$1,FALSE))</f>
        <v>46170</v>
      </c>
      <c r="J27" s="31" t="str">
        <f>IF($B27="-","-",VLOOKUP(ROUND(CONCATENATE($A27,J$2),0),'Cadastro dos Padrões'!$A$2:$V$4400,J$1,FALSE))</f>
        <v>%ur</v>
      </c>
      <c r="K27" s="31">
        <f>IF($B27="-","-",VLOOKUP(ROUND(CONCATENATE($A27,K$2),0),'Cadastro dos Padrões'!$A$2:$V$4400,K$1,FALSE))</f>
        <v>5.01</v>
      </c>
      <c r="L27" s="31">
        <f>IF($B27="-","-",VLOOKUP(ROUND(CONCATENATE($A27,L$2),0),'Cadastro dos Padrões'!$A$2:$V$4400,L$1,FALSE))</f>
        <v>97.96</v>
      </c>
      <c r="M27" s="31">
        <f>IF($B27="-","-",VLOOKUP(ROUND(CONCATENATE($A27,M$2),0),'Cadastro dos Padrões'!$A$2:$V$4400,M$1,FALSE))</f>
        <v>0.01</v>
      </c>
      <c r="N27" s="31">
        <f>IF($B27="-","-",VLOOKUP(ROUND(CONCATENATE($A27,N$2),0),'Cadastro dos Padrões'!$A$2:$V$4400,N$1,FALSE))</f>
        <v>0.30999999999999961</v>
      </c>
      <c r="O27" s="31">
        <f>IF($B27="-","-",VLOOKUP(ROUND(CONCATENATE($A27,O$2),0),'Cadastro dos Padrões'!$A$2:$V$4400,O$1,FALSE))</f>
        <v>0.99</v>
      </c>
      <c r="P27" s="31">
        <f>IF($B27="-","-",VLOOKUP(ROUND(CONCATENATE($A27,P$2),0),'Cadastro dos Padrões'!$A$2:$V$4400,P$1,FALSE))</f>
        <v>1.0299999999999994</v>
      </c>
      <c r="Q27" s="31">
        <f>IF($B27="-","-",VLOOKUP(ROUND(CONCATENATE($A27,Q$2),0),'Cadastro dos Padrões'!$A$2:$V$4400,Q$1,FALSE))</f>
        <v>0.13980681469748757</v>
      </c>
      <c r="R27" s="31">
        <f>IF($B27="-","-",VLOOKUP(ROUND(CONCATENATE($A27,R$2),0),'Cadastro dos Padrões'!$A$2:$V$4400,R$1,FALSE))</f>
        <v>4</v>
      </c>
      <c r="S27" s="31">
        <f>IF($B27="-","-",VLOOKUP(ROUND(CONCATENATE($A27,S$2),0),'Cadastro dos Padrões'!$A$2:$V$4400,S$1,FALSE))</f>
        <v>0</v>
      </c>
      <c r="T27" s="31">
        <f>IF($B27="-","-",VLOOKUP(ROUND(CONCATENATE($A27,T$2),0),'Cadastro dos Padrões'!$A$2:$V$4400,T$1,FALSE))</f>
        <v>0</v>
      </c>
      <c r="U27" s="31">
        <f>IF($B27="-","-",VLOOKUP(ROUND(CONCATENATE($A27,U$2),0),'Cadastro dos Padrões'!$A$2:$V$4400,U$1,FALSE))</f>
        <v>0</v>
      </c>
      <c r="V27" s="31">
        <f>IF($B27="-","-",VLOOKUP(ROUND(CONCATENATE($A27,V$2),0),'Cadastro dos Padrões'!$A$2:$V$4400,V$1,FALSE))</f>
        <v>0</v>
      </c>
      <c r="W27" s="31">
        <f>IF($B27="-","-",VLOOKUP(ROUND(CONCATENATE($A27,W$2),0),'Cadastro dos Padrões'!$A$2:$V$4400,W$1,FALSE))</f>
        <v>-1.4963099310116342E-7</v>
      </c>
      <c r="X27" s="31">
        <f>IF($B27="-","-",VLOOKUP(ROUND(CONCATENATE($A27,X$2),0),'Cadastro dos Padrões'!$A$2:$V$4400,X$1,FALSE))</f>
        <v>2.6768492542525556E-5</v>
      </c>
      <c r="Y27" s="31">
        <f>IF($B27="-","-",VLOOKUP(ROUND(CONCATENATE($A27,Y$2),0),'Cadastro dos Padrões'!$A$2:$V$4400,Y$1,FALSE))</f>
        <v>-1.3173342497126853E-3</v>
      </c>
      <c r="Z27" s="31">
        <f>IF($B27="-","-",VLOOKUP(ROUND(CONCATENATE($A27,Z$2),0),'Cadastro dos Padrões'!$A$2:$V$4400,Z$1,FALSE))</f>
        <v>1.0104904504086749</v>
      </c>
      <c r="AA27" s="31">
        <f>IF($B27="-","-",VLOOKUP(ROUND(CONCATENATE($A27,AA$2),0),'Cadastro dos Padrões'!$A$2:$V$4400,AA$1,FALSE))</f>
        <v>0.30188949023926348</v>
      </c>
      <c r="AB27" s="31">
        <f>IF(VLOOKUP(ROUND(CONCATENATE($A27,AB$2),0),'Cadastro dos Padrões'!$A$2:$V$4400,AB$1,FALSE)="","-",VLOOKUP(ROUND(CONCATENATE($A27,AB$2),0),'Cadastro dos Padrões'!$A$2:$V$4400,AB$1,FALSE))</f>
        <v>5.01</v>
      </c>
      <c r="AC27" s="31">
        <f>IF(VLOOKUP(ROUND(CONCATENATE($A27,AC$2),0),'Cadastro dos Padrões'!$A$2:$V$4400,AC$1,FALSE)="","-",VLOOKUP(ROUND(CONCATENATE($A27,AC$2),0),'Cadastro dos Padrões'!$A$2:$V$4400,AC$1,FALSE))</f>
        <v>0.25</v>
      </c>
      <c r="AD27" s="31">
        <f>IF(VLOOKUP(ROUND(CONCATENATE($A27,AD$2),0),'Cadastro dos Padrões'!$A$2:$V$4400,AD$1,FALSE)="","-",VLOOKUP(ROUND(CONCATENATE($A27,AD$2),0),'Cadastro dos Padrões'!$A$2:$V$4400,AD$1,FALSE))</f>
        <v>2.0299999999999998</v>
      </c>
      <c r="AE27" s="31">
        <f>IF(VLOOKUP(ROUND(CONCATENATE($A27,AE$2),0),'Cadastro dos Padrões'!$A$2:$V$4400,AE$1,FALSE)="","-",VLOOKUP(ROUND(CONCATENATE($A27,AE$2),0),'Cadastro dos Padrões'!$A$2:$V$4400,AE$1,FALSE))</f>
        <v>87</v>
      </c>
      <c r="AF27" s="31">
        <f>IF(VLOOKUP(ROUND(CONCATENATE($A27,AF$2),0),'Cadastro dos Padrões'!$A$2:$V$4400,AF$1,FALSE)="","-",VLOOKUP(ROUND(CONCATENATE($A27,AF$2),0),'Cadastro dos Padrões'!$A$2:$V$4400,AF$1,FALSE))</f>
        <v>20.010000000000002</v>
      </c>
      <c r="AG27" s="31">
        <f>IF(VLOOKUP(ROUND(CONCATENATE($A27,AG$2),0),'Cadastro dos Padrões'!$A$2:$V$4400,AG$1,FALSE)="","-",VLOOKUP(ROUND(CONCATENATE($A27,AG$2),0),'Cadastro dos Padrões'!$A$2:$V$4400,AG$1,FALSE))</f>
        <v>0.27</v>
      </c>
      <c r="AH27" s="31">
        <f>IF(VLOOKUP(ROUND(CONCATENATE($A27,AH$2),0),'Cadastro dos Padrões'!$A$2:$V$4400,AH$1,FALSE)="","-",VLOOKUP(ROUND(CONCATENATE($A27,AH$2),0),'Cadastro dos Padrões'!$A$2:$V$4400,AH$1,FALSE))</f>
        <v>2.04</v>
      </c>
      <c r="AI27" s="31">
        <f>IF(VLOOKUP(ROUND(CONCATENATE($A27,AI$2),0),'Cadastro dos Padrões'!$A$2:$V$4400,AI$1,FALSE)="","-",VLOOKUP(ROUND(CONCATENATE($A27,AI$2),0),'Cadastro dos Padrões'!$A$2:$V$4400,AI$1,FALSE))</f>
        <v>65</v>
      </c>
      <c r="AJ27" s="31">
        <f>IF(VLOOKUP(ROUND(CONCATENATE($A27,AJ$2),0),'Cadastro dos Padrões'!$A$2:$V$4400,AJ$1,FALSE)="","-",VLOOKUP(ROUND(CONCATENATE($A27,AJ$2),0),'Cadastro dos Padrões'!$A$2:$V$4400,AJ$1,FALSE))</f>
        <v>29.99</v>
      </c>
      <c r="AK27" s="31">
        <f>IF(VLOOKUP(ROUND(CONCATENATE($A27,AK$2),0),'Cadastro dos Padrões'!$A$2:$V$4400,AK$1,FALSE)="","-",VLOOKUP(ROUND(CONCATENATE($A27,AK$2),0),'Cadastro dos Padrões'!$A$2:$V$4400,AK$1,FALSE))</f>
        <v>0.35</v>
      </c>
      <c r="AL27" s="31">
        <f>IF(VLOOKUP(ROUND(CONCATENATE($A27,AL$2),0),'Cadastro dos Padrões'!$A$2:$V$4400,AL$1,FALSE)="","-",VLOOKUP(ROUND(CONCATENATE($A27,AL$2),0),'Cadastro dos Padrões'!$A$2:$V$4400,AL$1,FALSE))</f>
        <v>2.04</v>
      </c>
      <c r="AM27" s="31">
        <f>IF(VLOOKUP(ROUND(CONCATENATE($A27,AM$2),0),'Cadastro dos Padrões'!$A$2:$V$4400,AM$1,FALSE)="","-",VLOOKUP(ROUND(CONCATENATE($A27,AM$2),0),'Cadastro dos Padrões'!$A$2:$V$4400,AM$1,FALSE))</f>
        <v>67</v>
      </c>
      <c r="AN27" s="31">
        <f>IF(VLOOKUP(ROUND(CONCATENATE($A27,AN$2),0),'Cadastro dos Padrões'!$A$2:$V$4400,AN$1,FALSE)="","-",VLOOKUP(ROUND(CONCATENATE($A27,AN$2),0),'Cadastro dos Padrões'!$A$2:$V$4400,AN$1,FALSE))</f>
        <v>50.01</v>
      </c>
      <c r="AO27" s="31">
        <f>IF(VLOOKUP(ROUND(CONCATENATE($A27,AO$2),0),'Cadastro dos Padrões'!$A$2:$V$4400,AO$1,FALSE)="","-",VLOOKUP(ROUND(CONCATENATE($A27,AO$2),0),'Cadastro dos Padrões'!$A$2:$V$4400,AO$1,FALSE))</f>
        <v>0.55000000000000004</v>
      </c>
      <c r="AP27" s="31">
        <f>IF(VLOOKUP(ROUND(CONCATENATE($A27,AP$2),0),'Cadastro dos Padrões'!$A$2:$V$4400,AP$1,FALSE)="","-",VLOOKUP(ROUND(CONCATENATE($A27,AP$2),0),'Cadastro dos Padrões'!$A$2:$V$4400,AP$1,FALSE))</f>
        <v>2.04</v>
      </c>
      <c r="AQ27" s="31">
        <f>IF(VLOOKUP(ROUND(CONCATENATE($A27,AQ$2),0),'Cadastro dos Padrões'!$A$2:$V$4400,AQ$1,FALSE)="","-",VLOOKUP(ROUND(CONCATENATE($A27,AQ$2),0),'Cadastro dos Padrões'!$A$2:$V$4400,AQ$1,FALSE))</f>
        <v>67</v>
      </c>
      <c r="AR27" s="31">
        <f>IF(VLOOKUP(ROUND(CONCATENATE($A27,AR$2),0),'Cadastro dos Padrões'!$A$2:$V$4400,AR$1,FALSE)="","-",VLOOKUP(ROUND(CONCATENATE($A27,AR$2),0),'Cadastro dos Padrões'!$A$2:$V$4400,AR$1,FALSE))</f>
        <v>80.010000000000005</v>
      </c>
      <c r="AS27" s="31">
        <f>IF(VLOOKUP(ROUND(CONCATENATE($A27,AS$2),0),'Cadastro dos Padrões'!$A$2:$V$4400,AS$1,FALSE)="","-",VLOOKUP(ROUND(CONCATENATE($A27,AS$2),0),'Cadastro dos Padrões'!$A$2:$V$4400,AS$1,FALSE))</f>
        <v>0.83</v>
      </c>
      <c r="AT27" s="31">
        <f>IF(VLOOKUP(ROUND(CONCATENATE($A27,AT$2),0),'Cadastro dos Padrões'!$A$2:$V$4400,AT$1,FALSE)="","-",VLOOKUP(ROUND(CONCATENATE($A27,AT$2),0),'Cadastro dos Padrões'!$A$2:$V$4400,AT$1,FALSE))</f>
        <v>2.04</v>
      </c>
      <c r="AU27" s="31">
        <f>IF(VLOOKUP(ROUND(CONCATENATE($A27,AU$2),0),'Cadastro dos Padrões'!$A$2:$V$4400,AU$1,FALSE)="","-",VLOOKUP(ROUND(CONCATENATE($A27,AU$2),0),'Cadastro dos Padrões'!$A$2:$V$4400,AU$1,FALSE))</f>
        <v>68</v>
      </c>
      <c r="AV27" s="31">
        <f>IF(VLOOKUP(ROUND(CONCATENATE($A27,AV$2),0),'Cadastro dos Padrões'!$A$2:$V$4400,AV$1,FALSE)="","-",VLOOKUP(ROUND(CONCATENATE($A27,AV$2),0),'Cadastro dos Padrões'!$A$2:$V$4400,AV$1,FALSE))</f>
        <v>97.96</v>
      </c>
      <c r="AW27" s="31">
        <f>IF(VLOOKUP(ROUND(CONCATENATE($A27,AW$2),0),'Cadastro dos Padrões'!$A$2:$V$4400,AW$1,FALSE)="","-",VLOOKUP(ROUND(CONCATENATE($A27,AW$2),0),'Cadastro dos Padrões'!$A$2:$V$4400,AW$1,FALSE))</f>
        <v>0.99</v>
      </c>
      <c r="AX27" s="31">
        <f>IF(VLOOKUP(ROUND(CONCATENATE($A27,AX$2),0),'Cadastro dos Padrões'!$A$2:$V$4400,AX$1,FALSE)="","-",VLOOKUP(ROUND(CONCATENATE($A27,AX$2),0),'Cadastro dos Padrões'!$A$2:$V$4400,AX$1,FALSE))</f>
        <v>2.04</v>
      </c>
      <c r="AY27" s="31">
        <f>IF(VLOOKUP(ROUND(CONCATENATE($A27,AY$2),0),'Cadastro dos Padrões'!$A$2:$V$4400,AY$1,FALSE)="","-",VLOOKUP(ROUND(CONCATENATE($A27,AY$2),0),'Cadastro dos Padrões'!$A$2:$V$4400,AY$1,FALSE))</f>
        <v>68</v>
      </c>
      <c r="AZ27" s="31" t="str">
        <f>IF(VLOOKUP(ROUND(CONCATENATE($A27,AZ$2),0),'Cadastro dos Padrões'!$A$2:$V$4400,AZ$1,FALSE)="","-",VLOOKUP(ROUND(CONCATENATE($A27,AZ$2),0),'Cadastro dos Padrões'!$A$2:$V$4400,AZ$1,FALSE))</f>
        <v>-</v>
      </c>
      <c r="BA27" s="31" t="str">
        <f>IF(VLOOKUP(ROUND(CONCATENATE($A27,BA$2),0),'Cadastro dos Padrões'!$A$2:$V$4400,BA$1,FALSE)="","-",VLOOKUP(ROUND(CONCATENATE($A27,BA$2),0),'Cadastro dos Padrões'!$A$2:$V$4400,BA$1,FALSE))</f>
        <v>-</v>
      </c>
      <c r="BB27" s="31" t="str">
        <f>IF(VLOOKUP(ROUND(CONCATENATE($A27,BB$2),0),'Cadastro dos Padrões'!$A$2:$V$4400,BB$1,FALSE)="","-",VLOOKUP(ROUND(CONCATENATE($A27,BB$2),0),'Cadastro dos Padrões'!$A$2:$V$4400,BB$1,FALSE))</f>
        <v>-</v>
      </c>
      <c r="BC27" s="31" t="str">
        <f>IF(VLOOKUP(ROUND(CONCATENATE($A27,BC$2),0),'Cadastro dos Padrões'!$A$2:$V$4400,BC$1,FALSE)="","-",VLOOKUP(ROUND(CONCATENATE($A27,BC$2),0),'Cadastro dos Padrões'!$A$2:$V$4400,BC$1,FALSE))</f>
        <v>-</v>
      </c>
      <c r="BD27" s="31" t="str">
        <f>IF(VLOOKUP(ROUND(CONCATENATE($A27,BD$2),0),'Cadastro dos Padrões'!$A$2:$V$4400,BD$1,FALSE)="","-",VLOOKUP(ROUND(CONCATENATE($A27,BD$2),0),'Cadastro dos Padrões'!$A$2:$V$4400,BD$1,FALSE))</f>
        <v>-</v>
      </c>
      <c r="BE27" s="31" t="str">
        <f>IF(VLOOKUP(ROUND(CONCATENATE($A27,BE$2),0),'Cadastro dos Padrões'!$A$2:$V$4400,BE$1,FALSE)="","-",VLOOKUP(ROUND(CONCATENATE($A27,BE$2),0),'Cadastro dos Padrões'!$A$2:$V$4400,BE$1,FALSE))</f>
        <v>-</v>
      </c>
      <c r="BF27" s="31" t="str">
        <f>IF(VLOOKUP(ROUND(CONCATENATE($A27,BF$2),0),'Cadastro dos Padrões'!$A$2:$V$4400,BF$1,FALSE)="","-",VLOOKUP(ROUND(CONCATENATE($A27,BF$2),0),'Cadastro dos Padrões'!$A$2:$V$4400,BF$1,FALSE))</f>
        <v>-</v>
      </c>
      <c r="BG27" s="31" t="str">
        <f>IF(VLOOKUP(ROUND(CONCATENATE($A27,BG$2),0),'Cadastro dos Padrões'!$A$2:$V$4400,BG$1,FALSE)="","-",VLOOKUP(ROUND(CONCATENATE($A27,BG$2),0),'Cadastro dos Padrões'!$A$2:$V$4400,BG$1,FALSE))</f>
        <v>-</v>
      </c>
      <c r="BH27" s="31" t="str">
        <f>IF(VLOOKUP(ROUND(CONCATENATE($A27,BH$2),0),'Cadastro dos Padrões'!$A$2:$V$4400,BH$1,FALSE)="","-",VLOOKUP(ROUND(CONCATENATE($A27,BH$2),0),'Cadastro dos Padrões'!$A$2:$V$4400,BH$1,FALSE))</f>
        <v>-</v>
      </c>
      <c r="BI27" s="31" t="str">
        <f>IF(VLOOKUP(ROUND(CONCATENATE($A27,BI$2),0),'Cadastro dos Padrões'!$A$2:$V$4400,BI$1,FALSE)="","-",VLOOKUP(ROUND(CONCATENATE($A27,BI$2),0),'Cadastro dos Padrões'!$A$2:$V$4400,BI$1,FALSE))</f>
        <v>-</v>
      </c>
      <c r="BJ27" s="31" t="str">
        <f>IF(VLOOKUP(ROUND(CONCATENATE($A27,BJ$2),0),'Cadastro dos Padrões'!$A$2:$V$4400,BJ$1,FALSE)="","-",VLOOKUP(ROUND(CONCATENATE($A27,BJ$2),0),'Cadastro dos Padrões'!$A$2:$V$4400,BJ$1,FALSE))</f>
        <v>-</v>
      </c>
      <c r="BK27" s="31" t="str">
        <f>IF(VLOOKUP(ROUND(CONCATENATE($A27,BK$2),0),'Cadastro dos Padrões'!$A$2:$V$4400,BK$1,FALSE)="","-",VLOOKUP(ROUND(CONCATENATE($A27,BK$2),0),'Cadastro dos Padrões'!$A$2:$V$4400,BK$1,FALSE))</f>
        <v>-</v>
      </c>
      <c r="BL27" s="31" t="str">
        <f>IF(VLOOKUP(ROUND(CONCATENATE($A27,BL$2),0),'Cadastro dos Padrões'!$A$2:$V$4400,BL$1,FALSE)="","-",VLOOKUP(ROUND(CONCATENATE($A27,BL$2),0),'Cadastro dos Padrões'!$A$2:$V$4400,BL$1,FALSE))</f>
        <v>-</v>
      </c>
      <c r="BM27" s="31" t="str">
        <f>IF(VLOOKUP(ROUND(CONCATENATE($A27,BM$2),0),'Cadastro dos Padrões'!$A$2:$V$4400,BM$1,FALSE)="","-",VLOOKUP(ROUND(CONCATENATE($A27,BM$2),0),'Cadastro dos Padrões'!$A$2:$V$4400,BM$1,FALSE))</f>
        <v>-</v>
      </c>
      <c r="BN27" s="31" t="str">
        <f>IF(VLOOKUP(ROUND(CONCATENATE($A27,BN$2),0),'Cadastro dos Padrões'!$A$2:$V$4400,BN$1,FALSE)="","-",VLOOKUP(ROUND(CONCATENATE($A27,BN$2),0),'Cadastro dos Padrões'!$A$2:$V$4400,BN$1,FALSE))</f>
        <v>-</v>
      </c>
      <c r="BO27" s="31" t="str">
        <f>IF(VLOOKUP(ROUND(CONCATENATE($A27,BO$2),0),'Cadastro dos Padrões'!$A$2:$V$4400,BO$1,FALSE)="","-",VLOOKUP(ROUND(CONCATENATE($A27,BO$2),0),'Cadastro dos Padrões'!$A$2:$V$4400,BO$1,FALSE))</f>
        <v>-</v>
      </c>
    </row>
    <row r="28" spans="1:67" x14ac:dyDescent="0.3">
      <c r="A28" s="6">
        <f t="shared" si="52"/>
        <v>23</v>
      </c>
      <c r="B28" s="31" t="str">
        <f>IF(VLOOKUP(ROUND(CONCATENATE($A28,B$2),0),'Cadastro dos Padrões'!$A$2:$V$4400,B$1,FALSE)="","-",VLOOKUP(ROUND(CONCATENATE($A28,B$2),0),'Cadastro dos Padrões'!$A$2:$V$4400,B$1,FALSE))</f>
        <v>E.TH.LT-004</v>
      </c>
      <c r="C28" s="31" t="str">
        <f>IF($B28="-","-",VLOOKUP(ROUND(CONCATENATE($A28,C$2),0),'Cadastro dos Padrões'!$A$2:$V$4400,C$1,FALSE))</f>
        <v>Termohigrômetro Digital</v>
      </c>
      <c r="D28" s="31">
        <f>IF($B28="-","-",VLOOKUP(ROUND(CONCATENATE($A28,D$2),0),'Cadastro dos Padrões'!$A$2:$V$4400,D$1,FALSE))</f>
        <v>25</v>
      </c>
      <c r="E28" s="31" t="str">
        <f>IF($B28="-","-",VLOOKUP(ROUND(CONCATENATE($A28,E$2),0),'Cadastro dos Padrões'!$A$2:$V$4400,E$1,FALSE))</f>
        <v>Elus</v>
      </c>
      <c r="F28" s="31" t="str">
        <f>IF($B28="-","-",VLOOKUP(ROUND(CONCATENATE($A28,F$2),0),'Cadastro dos Padrões'!$A$2:$V$4400,F$1,FALSE))</f>
        <v>RBC - CAL 0439</v>
      </c>
      <c r="G28" s="31" t="str">
        <f>IF($B28="-","-",VLOOKUP(ROUND(CONCATENATE($A28,G$2),0),'Cadastro dos Padrões'!$A$2:$V$4400,G$1,FALSE))</f>
        <v>E0842/25</v>
      </c>
      <c r="H28" s="32">
        <f>IF($B28="-","-",VLOOKUP(ROUND(CONCATENATE($A28,H$2),0),'Cadastro dos Padrões'!$A$2:$V$4400,H$1,FALSE))</f>
        <v>45989</v>
      </c>
      <c r="I28" s="33">
        <f>IF($B28="-","-",VLOOKUP(ROUND(CONCATENATE($A28,I$2),0),'Cadastro dos Padrões'!$A$2:$V$4400,I$1,FALSE))</f>
        <v>46170</v>
      </c>
      <c r="J28" s="31" t="str">
        <f>IF($B28="-","-",VLOOKUP(ROUND(CONCATENATE($A28,J$2),0),'Cadastro dos Padrões'!$A$2:$V$4400,J$1,FALSE))</f>
        <v>%ur</v>
      </c>
      <c r="K28" s="31">
        <f>IF($B28="-","-",VLOOKUP(ROUND(CONCATENATE($A28,K$2),0),'Cadastro dos Padrões'!$A$2:$V$4400,K$1,FALSE))</f>
        <v>5.01</v>
      </c>
      <c r="L28" s="31">
        <f>IF($B28="-","-",VLOOKUP(ROUND(CONCATENATE($A28,L$2),0),'Cadastro dos Padrões'!$A$2:$V$4400,L$1,FALSE))</f>
        <v>97.97</v>
      </c>
      <c r="M28" s="31">
        <f>IF($B28="-","-",VLOOKUP(ROUND(CONCATENATE($A28,M$2),0),'Cadastro dos Padrões'!$A$2:$V$4400,M$1,FALSE))</f>
        <v>0.01</v>
      </c>
      <c r="N28" s="31">
        <f>IF($B28="-","-",VLOOKUP(ROUND(CONCATENATE($A28,N$2),0),'Cadastro dos Padrões'!$A$2:$V$4400,N$1,FALSE))</f>
        <v>0.84000000000000341</v>
      </c>
      <c r="O28" s="31">
        <f>IF($B28="-","-",VLOOKUP(ROUND(CONCATENATE($A28,O$2),0),'Cadastro dos Padrões'!$A$2:$V$4400,O$1,FALSE))</f>
        <v>0.93</v>
      </c>
      <c r="P28" s="31">
        <f>IF($B28="-","-",VLOOKUP(ROUND(CONCATENATE($A28,P$2),0),'Cadastro dos Padrões'!$A$2:$V$4400,P$1,FALSE))</f>
        <v>0.62999999999999545</v>
      </c>
      <c r="Q28" s="31">
        <f>IF($B28="-","-",VLOOKUP(ROUND(CONCATENATE($A28,Q$2),0),'Cadastro dos Padrões'!$A$2:$V$4400,Q$1,FALSE))</f>
        <v>2.5899429639532956E-2</v>
      </c>
      <c r="R28" s="31">
        <f>IF($B28="-","-",VLOOKUP(ROUND(CONCATENATE($A28,R$2),0),'Cadastro dos Padrões'!$A$2:$V$4400,R$1,FALSE))</f>
        <v>4</v>
      </c>
      <c r="S28" s="31">
        <f>IF($B28="-","-",VLOOKUP(ROUND(CONCATENATE($A28,S$2),0),'Cadastro dos Padrões'!$A$2:$V$4400,S$1,FALSE))</f>
        <v>0</v>
      </c>
      <c r="T28" s="31">
        <f>IF($B28="-","-",VLOOKUP(ROUND(CONCATENATE($A28,T$2),0),'Cadastro dos Padrões'!$A$2:$V$4400,T$1,FALSE))</f>
        <v>0</v>
      </c>
      <c r="U28" s="31">
        <f>IF($B28="-","-",VLOOKUP(ROUND(CONCATENATE($A28,U$2),0),'Cadastro dos Padrões'!$A$2:$V$4400,U$1,FALSE))</f>
        <v>0</v>
      </c>
      <c r="V28" s="31">
        <f>IF($B28="-","-",VLOOKUP(ROUND(CONCATENATE($A28,V$2),0),'Cadastro dos Padrões'!$A$2:$V$4400,V$1,FALSE))</f>
        <v>0</v>
      </c>
      <c r="W28" s="31">
        <f>IF($B28="-","-",VLOOKUP(ROUND(CONCATENATE($A28,W$2),0),'Cadastro dos Padrões'!$A$2:$V$4400,W$1,FALSE))</f>
        <v>-4.5222785762450773E-8</v>
      </c>
      <c r="X28" s="31">
        <f>IF($B28="-","-",VLOOKUP(ROUND(CONCATENATE($A28,X$2),0),'Cadastro dos Padrões'!$A$2:$V$4400,X$1,FALSE))</f>
        <v>7.2491089531375687E-6</v>
      </c>
      <c r="Y28" s="31">
        <f>IF($B28="-","-",VLOOKUP(ROUND(CONCATENATE($A28,Y$2),0),'Cadastro dos Padrões'!$A$2:$V$4400,Y$1,FALSE))</f>
        <v>-2.7489094108629447E-4</v>
      </c>
      <c r="Z28" s="31">
        <f>IF($B28="-","-",VLOOKUP(ROUND(CONCATENATE($A28,Z$2),0),'Cadastro dos Padrões'!$A$2:$V$4400,Z$1,FALSE))</f>
        <v>0.99155894599953109</v>
      </c>
      <c r="AA28" s="31">
        <f>IF($B28="-","-",VLOOKUP(ROUND(CONCATENATE($A28,AA$2),0),'Cadastro dos Padrões'!$A$2:$V$4400,AA$1,FALSE))</f>
        <v>-3.8661068307817015E-3</v>
      </c>
      <c r="AB28" s="31">
        <f>IF(VLOOKUP(ROUND(CONCATENATE($A28,AB$2),0),'Cadastro dos Padrões'!$A$2:$V$4400,AB$1,FALSE)="","-",VLOOKUP(ROUND(CONCATENATE($A28,AB$2),0),'Cadastro dos Padrões'!$A$2:$V$4400,AB$1,FALSE))</f>
        <v>5.01</v>
      </c>
      <c r="AC28" s="31">
        <f>IF(VLOOKUP(ROUND(CONCATENATE($A28,AC$2),0),'Cadastro dos Padrões'!$A$2:$V$4400,AC$1,FALSE)="","-",VLOOKUP(ROUND(CONCATENATE($A28,AC$2),0),'Cadastro dos Padrões'!$A$2:$V$4400,AC$1,FALSE))</f>
        <v>0.25</v>
      </c>
      <c r="AD28" s="31">
        <f>IF(VLOOKUP(ROUND(CONCATENATE($A28,AD$2),0),'Cadastro dos Padrões'!$A$2:$V$4400,AD$1,FALSE)="","-",VLOOKUP(ROUND(CONCATENATE($A28,AD$2),0),'Cadastro dos Padrões'!$A$2:$V$4400,AD$1,FALSE))</f>
        <v>2.0299999999999998</v>
      </c>
      <c r="AE28" s="31">
        <f>IF(VLOOKUP(ROUND(CONCATENATE($A28,AE$2),0),'Cadastro dos Padrões'!$A$2:$V$4400,AE$1,FALSE)="","-",VLOOKUP(ROUND(CONCATENATE($A28,AE$2),0),'Cadastro dos Padrões'!$A$2:$V$4400,AE$1,FALSE))</f>
        <v>87</v>
      </c>
      <c r="AF28" s="31">
        <f>IF(VLOOKUP(ROUND(CONCATENATE($A28,AF$2),0),'Cadastro dos Padrões'!$A$2:$V$4400,AF$1,FALSE)="","-",VLOOKUP(ROUND(CONCATENATE($A28,AF$2),0),'Cadastro dos Padrões'!$A$2:$V$4400,AF$1,FALSE))</f>
        <v>19.989999999999998</v>
      </c>
      <c r="AG28" s="31">
        <f>IF(VLOOKUP(ROUND(CONCATENATE($A28,AG$2),0),'Cadastro dos Padrões'!$A$2:$V$4400,AG$1,FALSE)="","-",VLOOKUP(ROUND(CONCATENATE($A28,AG$2),0),'Cadastro dos Padrões'!$A$2:$V$4400,AG$1,FALSE))</f>
        <v>0.25</v>
      </c>
      <c r="AH28" s="31">
        <f>IF(VLOOKUP(ROUND(CONCATENATE($A28,AH$2),0),'Cadastro dos Padrões'!$A$2:$V$4400,AH$1,FALSE)="","-",VLOOKUP(ROUND(CONCATENATE($A28,AH$2),0),'Cadastro dos Padrões'!$A$2:$V$4400,AH$1,FALSE))</f>
        <v>2.04</v>
      </c>
      <c r="AI28" s="31">
        <f>IF(VLOOKUP(ROUND(CONCATENATE($A28,AI$2),0),'Cadastro dos Padrões'!$A$2:$V$4400,AI$1,FALSE)="","-",VLOOKUP(ROUND(CONCATENATE($A28,AI$2),0),'Cadastro dos Padrões'!$A$2:$V$4400,AI$1,FALSE))</f>
        <v>66</v>
      </c>
      <c r="AJ28" s="31">
        <f>IF(VLOOKUP(ROUND(CONCATENATE($A28,AJ$2),0),'Cadastro dos Padrões'!$A$2:$V$4400,AJ$1,FALSE)="","-",VLOOKUP(ROUND(CONCATENATE($A28,AJ$2),0),'Cadastro dos Padrões'!$A$2:$V$4400,AJ$1,FALSE))</f>
        <v>30.01</v>
      </c>
      <c r="AK28" s="31">
        <f>IF(VLOOKUP(ROUND(CONCATENATE($A28,AK$2),0),'Cadastro dos Padrões'!$A$2:$V$4400,AK$1,FALSE)="","-",VLOOKUP(ROUND(CONCATENATE($A28,AK$2),0),'Cadastro dos Padrões'!$A$2:$V$4400,AK$1,FALSE))</f>
        <v>0.33</v>
      </c>
      <c r="AL28" s="31">
        <f>IF(VLOOKUP(ROUND(CONCATENATE($A28,AL$2),0),'Cadastro dos Padrões'!$A$2:$V$4400,AL$1,FALSE)="","-",VLOOKUP(ROUND(CONCATENATE($A28,AL$2),0),'Cadastro dos Padrões'!$A$2:$V$4400,AL$1,FALSE))</f>
        <v>2.04</v>
      </c>
      <c r="AM28" s="31">
        <f>IF(VLOOKUP(ROUND(CONCATENATE($A28,AM$2),0),'Cadastro dos Padrões'!$A$2:$V$4400,AM$1,FALSE)="","-",VLOOKUP(ROUND(CONCATENATE($A28,AM$2),0),'Cadastro dos Padrões'!$A$2:$V$4400,AM$1,FALSE))</f>
        <v>67</v>
      </c>
      <c r="AN28" s="31">
        <f>IF(VLOOKUP(ROUND(CONCATENATE($A28,AN$2),0),'Cadastro dos Padrões'!$A$2:$V$4400,AN$1,FALSE)="","-",VLOOKUP(ROUND(CONCATENATE($A28,AN$2),0),'Cadastro dos Padrões'!$A$2:$V$4400,AN$1,FALSE))</f>
        <v>50</v>
      </c>
      <c r="AO28" s="31">
        <f>IF(VLOOKUP(ROUND(CONCATENATE($A28,AO$2),0),'Cadastro dos Padrões'!$A$2:$V$4400,AO$1,FALSE)="","-",VLOOKUP(ROUND(CONCATENATE($A28,AO$2),0),'Cadastro dos Padrões'!$A$2:$V$4400,AO$1,FALSE))</f>
        <v>0.53</v>
      </c>
      <c r="AP28" s="31">
        <f>IF(VLOOKUP(ROUND(CONCATENATE($A28,AP$2),0),'Cadastro dos Padrões'!$A$2:$V$4400,AP$1,FALSE)="","-",VLOOKUP(ROUND(CONCATENATE($A28,AP$2),0),'Cadastro dos Padrões'!$A$2:$V$4400,AP$1,FALSE))</f>
        <v>2.04</v>
      </c>
      <c r="AQ28" s="31">
        <f>IF(VLOOKUP(ROUND(CONCATENATE($A28,AQ$2),0),'Cadastro dos Padrões'!$A$2:$V$4400,AQ$1,FALSE)="","-",VLOOKUP(ROUND(CONCATENATE($A28,AQ$2),0),'Cadastro dos Padrões'!$A$2:$V$4400,AQ$1,FALSE))</f>
        <v>67</v>
      </c>
      <c r="AR28" s="31">
        <f>IF(VLOOKUP(ROUND(CONCATENATE($A28,AR$2),0),'Cadastro dos Padrões'!$A$2:$V$4400,AR$1,FALSE)="","-",VLOOKUP(ROUND(CONCATENATE($A28,AR$2),0),'Cadastro dos Padrões'!$A$2:$V$4400,AR$1,FALSE))</f>
        <v>79.989999999999995</v>
      </c>
      <c r="AS28" s="31">
        <f>IF(VLOOKUP(ROUND(CONCATENATE($A28,AS$2),0),'Cadastro dos Padrões'!$A$2:$V$4400,AS$1,FALSE)="","-",VLOOKUP(ROUND(CONCATENATE($A28,AS$2),0),'Cadastro dos Padrões'!$A$2:$V$4400,AS$1,FALSE))</f>
        <v>0.8</v>
      </c>
      <c r="AT28" s="31">
        <f>IF(VLOOKUP(ROUND(CONCATENATE($A28,AT$2),0),'Cadastro dos Padrões'!$A$2:$V$4400,AT$1,FALSE)="","-",VLOOKUP(ROUND(CONCATENATE($A28,AT$2),0),'Cadastro dos Padrões'!$A$2:$V$4400,AT$1,FALSE))</f>
        <v>2.04</v>
      </c>
      <c r="AU28" s="31">
        <f>IF(VLOOKUP(ROUND(CONCATENATE($A28,AU$2),0),'Cadastro dos Padrões'!$A$2:$V$4400,AU$1,FALSE)="","-",VLOOKUP(ROUND(CONCATENATE($A28,AU$2),0),'Cadastro dos Padrões'!$A$2:$V$4400,AU$1,FALSE))</f>
        <v>68</v>
      </c>
      <c r="AV28" s="31">
        <f>IF(VLOOKUP(ROUND(CONCATENATE($A28,AV$2),0),'Cadastro dos Padrões'!$A$2:$V$4400,AV$1,FALSE)="","-",VLOOKUP(ROUND(CONCATENATE($A28,AV$2),0),'Cadastro dos Padrões'!$A$2:$V$4400,AV$1,FALSE))</f>
        <v>97.97</v>
      </c>
      <c r="AW28" s="31">
        <f>IF(VLOOKUP(ROUND(CONCATENATE($A28,AW$2),0),'Cadastro dos Padrões'!$A$2:$V$4400,AW$1,FALSE)="","-",VLOOKUP(ROUND(CONCATENATE($A28,AW$2),0),'Cadastro dos Padrões'!$A$2:$V$4400,AW$1,FALSE))</f>
        <v>0.93</v>
      </c>
      <c r="AX28" s="31">
        <f>IF(VLOOKUP(ROUND(CONCATENATE($A28,AX$2),0),'Cadastro dos Padrões'!$A$2:$V$4400,AX$1,FALSE)="","-",VLOOKUP(ROUND(CONCATENATE($A28,AX$2),0),'Cadastro dos Padrões'!$A$2:$V$4400,AX$1,FALSE))</f>
        <v>2.04</v>
      </c>
      <c r="AY28" s="31">
        <f>IF(VLOOKUP(ROUND(CONCATENATE($A28,AY$2),0),'Cadastro dos Padrões'!$A$2:$V$4400,AY$1,FALSE)="","-",VLOOKUP(ROUND(CONCATENATE($A28,AY$2),0),'Cadastro dos Padrões'!$A$2:$V$4400,AY$1,FALSE))</f>
        <v>62</v>
      </c>
      <c r="AZ28" s="31" t="str">
        <f>IF(VLOOKUP(ROUND(CONCATENATE($A28,AZ$2),0),'Cadastro dos Padrões'!$A$2:$V$4400,AZ$1,FALSE)="","-",VLOOKUP(ROUND(CONCATENATE($A28,AZ$2),0),'Cadastro dos Padrões'!$A$2:$V$4400,AZ$1,FALSE))</f>
        <v>-</v>
      </c>
      <c r="BA28" s="31" t="str">
        <f>IF(VLOOKUP(ROUND(CONCATENATE($A28,BA$2),0),'Cadastro dos Padrões'!$A$2:$V$4400,BA$1,FALSE)="","-",VLOOKUP(ROUND(CONCATENATE($A28,BA$2),0),'Cadastro dos Padrões'!$A$2:$V$4400,BA$1,FALSE))</f>
        <v>-</v>
      </c>
      <c r="BB28" s="31" t="str">
        <f>IF(VLOOKUP(ROUND(CONCATENATE($A28,BB$2),0),'Cadastro dos Padrões'!$A$2:$V$4400,BB$1,FALSE)="","-",VLOOKUP(ROUND(CONCATENATE($A28,BB$2),0),'Cadastro dos Padrões'!$A$2:$V$4400,BB$1,FALSE))</f>
        <v>-</v>
      </c>
      <c r="BC28" s="31" t="str">
        <f>IF(VLOOKUP(ROUND(CONCATENATE($A28,BC$2),0),'Cadastro dos Padrões'!$A$2:$V$4400,BC$1,FALSE)="","-",VLOOKUP(ROUND(CONCATENATE($A28,BC$2),0),'Cadastro dos Padrões'!$A$2:$V$4400,BC$1,FALSE))</f>
        <v>-</v>
      </c>
      <c r="BD28" s="31" t="str">
        <f>IF(VLOOKUP(ROUND(CONCATENATE($A28,BD$2),0),'Cadastro dos Padrões'!$A$2:$V$4400,BD$1,FALSE)="","-",VLOOKUP(ROUND(CONCATENATE($A28,BD$2),0),'Cadastro dos Padrões'!$A$2:$V$4400,BD$1,FALSE))</f>
        <v>-</v>
      </c>
      <c r="BE28" s="31" t="str">
        <f>IF(VLOOKUP(ROUND(CONCATENATE($A28,BE$2),0),'Cadastro dos Padrões'!$A$2:$V$4400,BE$1,FALSE)="","-",VLOOKUP(ROUND(CONCATENATE($A28,BE$2),0),'Cadastro dos Padrões'!$A$2:$V$4400,BE$1,FALSE))</f>
        <v>-</v>
      </c>
      <c r="BF28" s="31" t="str">
        <f>IF(VLOOKUP(ROUND(CONCATENATE($A28,BF$2),0),'Cadastro dos Padrões'!$A$2:$V$4400,BF$1,FALSE)="","-",VLOOKUP(ROUND(CONCATENATE($A28,BF$2),0),'Cadastro dos Padrões'!$A$2:$V$4400,BF$1,FALSE))</f>
        <v>-</v>
      </c>
      <c r="BG28" s="31" t="str">
        <f>IF(VLOOKUP(ROUND(CONCATENATE($A28,BG$2),0),'Cadastro dos Padrões'!$A$2:$V$4400,BG$1,FALSE)="","-",VLOOKUP(ROUND(CONCATENATE($A28,BG$2),0),'Cadastro dos Padrões'!$A$2:$V$4400,BG$1,FALSE))</f>
        <v>-</v>
      </c>
      <c r="BH28" s="31" t="str">
        <f>IF(VLOOKUP(ROUND(CONCATENATE($A28,BH$2),0),'Cadastro dos Padrões'!$A$2:$V$4400,BH$1,FALSE)="","-",VLOOKUP(ROUND(CONCATENATE($A28,BH$2),0),'Cadastro dos Padrões'!$A$2:$V$4400,BH$1,FALSE))</f>
        <v>-</v>
      </c>
      <c r="BI28" s="31" t="str">
        <f>IF(VLOOKUP(ROUND(CONCATENATE($A28,BI$2),0),'Cadastro dos Padrões'!$A$2:$V$4400,BI$1,FALSE)="","-",VLOOKUP(ROUND(CONCATENATE($A28,BI$2),0),'Cadastro dos Padrões'!$A$2:$V$4400,BI$1,FALSE))</f>
        <v>-</v>
      </c>
      <c r="BJ28" s="31" t="str">
        <f>IF(VLOOKUP(ROUND(CONCATENATE($A28,BJ$2),0),'Cadastro dos Padrões'!$A$2:$V$4400,BJ$1,FALSE)="","-",VLOOKUP(ROUND(CONCATENATE($A28,BJ$2),0),'Cadastro dos Padrões'!$A$2:$V$4400,BJ$1,FALSE))</f>
        <v>-</v>
      </c>
      <c r="BK28" s="31" t="str">
        <f>IF(VLOOKUP(ROUND(CONCATENATE($A28,BK$2),0),'Cadastro dos Padrões'!$A$2:$V$4400,BK$1,FALSE)="","-",VLOOKUP(ROUND(CONCATENATE($A28,BK$2),0),'Cadastro dos Padrões'!$A$2:$V$4400,BK$1,FALSE))</f>
        <v>-</v>
      </c>
      <c r="BL28" s="31" t="str">
        <f>IF(VLOOKUP(ROUND(CONCATENATE($A28,BL$2),0),'Cadastro dos Padrões'!$A$2:$V$4400,BL$1,FALSE)="","-",VLOOKUP(ROUND(CONCATENATE($A28,BL$2),0),'Cadastro dos Padrões'!$A$2:$V$4400,BL$1,FALSE))</f>
        <v>-</v>
      </c>
      <c r="BM28" s="31" t="str">
        <f>IF(VLOOKUP(ROUND(CONCATENATE($A28,BM$2),0),'Cadastro dos Padrões'!$A$2:$V$4400,BM$1,FALSE)="","-",VLOOKUP(ROUND(CONCATENATE($A28,BM$2),0),'Cadastro dos Padrões'!$A$2:$V$4400,BM$1,FALSE))</f>
        <v>-</v>
      </c>
      <c r="BN28" s="31" t="str">
        <f>IF(VLOOKUP(ROUND(CONCATENATE($A28,BN$2),0),'Cadastro dos Padrões'!$A$2:$V$4400,BN$1,FALSE)="","-",VLOOKUP(ROUND(CONCATENATE($A28,BN$2),0),'Cadastro dos Padrões'!$A$2:$V$4400,BN$1,FALSE))</f>
        <v>-</v>
      </c>
      <c r="BO28" s="31" t="str">
        <f>IF(VLOOKUP(ROUND(CONCATENATE($A28,BO$2),0),'Cadastro dos Padrões'!$A$2:$V$4400,BO$1,FALSE)="","-",VLOOKUP(ROUND(CONCATENATE($A28,BO$2),0),'Cadastro dos Padrões'!$A$2:$V$4400,BO$1,FALSE))</f>
        <v>-</v>
      </c>
    </row>
    <row r="29" spans="1:67" x14ac:dyDescent="0.3">
      <c r="A29" s="6">
        <f t="shared" si="52"/>
        <v>24</v>
      </c>
      <c r="B29" s="31" t="str">
        <f>IF(VLOOKUP(ROUND(CONCATENATE($A29,B$2),0),'Cadastro dos Padrões'!$A$2:$V$4400,B$1,FALSE)="","-",VLOOKUP(ROUND(CONCATENATE($A29,B$2),0),'Cadastro dos Padrões'!$A$2:$V$4400,B$1,FALSE))</f>
        <v>E.TH.LT-001</v>
      </c>
      <c r="C29" s="31" t="str">
        <f>IF($B29="-","-",VLOOKUP(ROUND(CONCATENATE($A29,C$2),0),'Cadastro dos Padrões'!$A$2:$V$4400,C$1,FALSE))</f>
        <v>Termohigrômetro Digital</v>
      </c>
      <c r="D29" s="31">
        <f>IF($B29="-","-",VLOOKUP(ROUND(CONCATENATE($A29,D$2),0),'Cadastro dos Padrões'!$A$2:$V$4400,D$1,FALSE))</f>
        <v>20</v>
      </c>
      <c r="E29" s="31" t="str">
        <f>IF($B29="-","-",VLOOKUP(ROUND(CONCATENATE($A29,E$2),0),'Cadastro dos Padrões'!$A$2:$V$4400,E$1,FALSE))</f>
        <v>Elus</v>
      </c>
      <c r="F29" s="31" t="str">
        <f>IF($B29="-","-",VLOOKUP(ROUND(CONCATENATE($A29,F$2),0),'Cadastro dos Padrões'!$A$2:$V$4400,F$1,FALSE))</f>
        <v>RBC - CAL 0439</v>
      </c>
      <c r="G29" s="31" t="str">
        <f>IF($B29="-","-",VLOOKUP(ROUND(CONCATENATE($A29,G$2),0),'Cadastro dos Padrões'!$A$2:$V$4400,G$1,FALSE))</f>
        <v>E0839/25</v>
      </c>
      <c r="H29" s="32">
        <f>IF($B29="-","-",VLOOKUP(ROUND(CONCATENATE($A29,H$2),0),'Cadastro dos Padrões'!$A$2:$V$4400,H$1,FALSE))</f>
        <v>45989</v>
      </c>
      <c r="I29" s="33">
        <f>IF($B29="-","-",VLOOKUP(ROUND(CONCATENATE($A29,I$2),0),'Cadastro dos Padrões'!$A$2:$V$4400,I$1,FALSE))</f>
        <v>46170</v>
      </c>
      <c r="J29" s="31" t="str">
        <f>IF($B29="-","-",VLOOKUP(ROUND(CONCATENATE($A29,J$2),0),'Cadastro dos Padrões'!$A$2:$V$4400,J$1,FALSE))</f>
        <v>%ur</v>
      </c>
      <c r="K29" s="31">
        <f>IF($B29="-","-",VLOOKUP(ROUND(CONCATENATE($A29,K$2),0),'Cadastro dos Padrões'!$A$2:$V$4400,K$1,FALSE))</f>
        <v>5.01</v>
      </c>
      <c r="L29" s="31">
        <f>IF($B29="-","-",VLOOKUP(ROUND(CONCATENATE($A29,L$2),0),'Cadastro dos Padrões'!$A$2:$V$4400,L$1,FALSE))</f>
        <v>97.96</v>
      </c>
      <c r="M29" s="31">
        <f>IF($B29="-","-",VLOOKUP(ROUND(CONCATENATE($A29,M$2),0),'Cadastro dos Padrões'!$A$2:$V$4400,M$1,FALSE))</f>
        <v>0.01</v>
      </c>
      <c r="N29" s="31">
        <f>IF($B29="-","-",VLOOKUP(ROUND(CONCATENATE($A29,N$2),0),'Cadastro dos Padrões'!$A$2:$V$4400,N$1,FALSE))</f>
        <v>0.95000000000000284</v>
      </c>
      <c r="O29" s="31">
        <f>IF($B29="-","-",VLOOKUP(ROUND(CONCATENATE($A29,O$2),0),'Cadastro dos Padrões'!$A$2:$V$4400,O$1,FALSE))</f>
        <v>0.99</v>
      </c>
      <c r="P29" s="31">
        <f>IF($B29="-","-",VLOOKUP(ROUND(CONCATENATE($A29,P$2),0),'Cadastro dos Padrões'!$A$2:$V$4400,P$1,FALSE))</f>
        <v>0.30999999999999961</v>
      </c>
      <c r="Q29" s="31">
        <f>IF($B29="-","-",VLOOKUP(ROUND(CONCATENATE($A29,Q$2),0),'Cadastro dos Padrões'!$A$2:$V$4400,Q$1,FALSE))</f>
        <v>1.5460496848378469E-2</v>
      </c>
      <c r="R29" s="31">
        <f>IF($B29="-","-",VLOOKUP(ROUND(CONCATENATE($A29,R$2),0),'Cadastro dos Padrões'!$A$2:$V$4400,R$1,FALSE))</f>
        <v>4</v>
      </c>
      <c r="S29" s="31">
        <f>IF($B29="-","-",VLOOKUP(ROUND(CONCATENATE($A29,S$2),0),'Cadastro dos Padrões'!$A$2:$V$4400,S$1,FALSE))</f>
        <v>0</v>
      </c>
      <c r="T29" s="31">
        <f>IF($B29="-","-",VLOOKUP(ROUND(CONCATENATE($A29,T$2),0),'Cadastro dos Padrões'!$A$2:$V$4400,T$1,FALSE))</f>
        <v>0</v>
      </c>
      <c r="U29" s="31">
        <f>IF($B29="-","-",VLOOKUP(ROUND(CONCATENATE($A29,U$2),0),'Cadastro dos Padrões'!$A$2:$V$4400,U$1,FALSE))</f>
        <v>0</v>
      </c>
      <c r="V29" s="31">
        <f>IF($B29="-","-",VLOOKUP(ROUND(CONCATENATE($A29,V$2),0),'Cadastro dos Padrões'!$A$2:$V$4400,V$1,FALSE))</f>
        <v>0</v>
      </c>
      <c r="W29" s="31">
        <f>IF($B29="-","-",VLOOKUP(ROUND(CONCATENATE($A29,W$2),0),'Cadastro dos Padrões'!$A$2:$V$4400,W$1,FALSE))</f>
        <v>-2.7897444063811873E-8</v>
      </c>
      <c r="X29" s="31">
        <f>IF($B29="-","-",VLOOKUP(ROUND(CONCATENATE($A29,X$2),0),'Cadastro dos Padrões'!$A$2:$V$4400,X$1,FALSE))</f>
        <v>5.44214386578084E-6</v>
      </c>
      <c r="Y29" s="31">
        <f>IF($B29="-","-",VLOOKUP(ROUND(CONCATENATE($A29,Y$2),0),'Cadastro dos Padrões'!$A$2:$V$4400,Y$1,FALSE))</f>
        <v>-3.1646347748226511E-4</v>
      </c>
      <c r="Z29" s="31">
        <f>IF($B29="-","-",VLOOKUP(ROUND(CONCATENATE($A29,Z$2),0),'Cadastro dos Padrões'!$A$2:$V$4400,Z$1,FALSE))</f>
        <v>0.99743817754209185</v>
      </c>
      <c r="AA29" s="31">
        <f>IF($B29="-","-",VLOOKUP(ROUND(CONCATENATE($A29,AA$2),0),'Cadastro dos Padrões'!$A$2:$V$4400,AA$1,FALSE))</f>
        <v>-0.1970735968230678</v>
      </c>
      <c r="AB29" s="31">
        <f>IF(VLOOKUP(ROUND(CONCATENATE($A29,AB$2),0),'Cadastro dos Padrões'!$A$2:$V$4400,AB$1,FALSE)="","-",VLOOKUP(ROUND(CONCATENATE($A29,AB$2),0),'Cadastro dos Padrões'!$A$2:$V$4400,AB$1,FALSE))</f>
        <v>5.01</v>
      </c>
      <c r="AC29" s="31">
        <f>IF(VLOOKUP(ROUND(CONCATENATE($A29,AC$2),0),'Cadastro dos Padrões'!$A$2:$V$4400,AC$1,FALSE)="","-",VLOOKUP(ROUND(CONCATENATE($A29,AC$2),0),'Cadastro dos Padrões'!$A$2:$V$4400,AC$1,FALSE))</f>
        <v>0.25</v>
      </c>
      <c r="AD29" s="31">
        <f>IF(VLOOKUP(ROUND(CONCATENATE($A29,AD$2),0),'Cadastro dos Padrões'!$A$2:$V$4400,AD$1,FALSE)="","-",VLOOKUP(ROUND(CONCATENATE($A29,AD$2),0),'Cadastro dos Padrões'!$A$2:$V$4400,AD$1,FALSE))</f>
        <v>2.0299999999999998</v>
      </c>
      <c r="AE29" s="31">
        <f>IF(VLOOKUP(ROUND(CONCATENATE($A29,AE$2),0),'Cadastro dos Padrões'!$A$2:$V$4400,AE$1,FALSE)="","-",VLOOKUP(ROUND(CONCATENATE($A29,AE$2),0),'Cadastro dos Padrões'!$A$2:$V$4400,AE$1,FALSE))</f>
        <v>87</v>
      </c>
      <c r="AF29" s="31">
        <f>IF(VLOOKUP(ROUND(CONCATENATE($A29,AF$2),0),'Cadastro dos Padrões'!$A$2:$V$4400,AF$1,FALSE)="","-",VLOOKUP(ROUND(CONCATENATE($A29,AF$2),0),'Cadastro dos Padrões'!$A$2:$V$4400,AF$1,FALSE))</f>
        <v>20.010000000000002</v>
      </c>
      <c r="AG29" s="31">
        <f>IF(VLOOKUP(ROUND(CONCATENATE($A29,AG$2),0),'Cadastro dos Padrões'!$A$2:$V$4400,AG$1,FALSE)="","-",VLOOKUP(ROUND(CONCATENATE($A29,AG$2),0),'Cadastro dos Padrões'!$A$2:$V$4400,AG$1,FALSE))</f>
        <v>0.27</v>
      </c>
      <c r="AH29" s="31">
        <f>IF(VLOOKUP(ROUND(CONCATENATE($A29,AH$2),0),'Cadastro dos Padrões'!$A$2:$V$4400,AH$1,FALSE)="","-",VLOOKUP(ROUND(CONCATENATE($A29,AH$2),0),'Cadastro dos Padrões'!$A$2:$V$4400,AH$1,FALSE))</f>
        <v>2.04</v>
      </c>
      <c r="AI29" s="31">
        <f>IF(VLOOKUP(ROUND(CONCATENATE($A29,AI$2),0),'Cadastro dos Padrões'!$A$2:$V$4400,AI$1,FALSE)="","-",VLOOKUP(ROUND(CONCATENATE($A29,AI$2),0),'Cadastro dos Padrões'!$A$2:$V$4400,AI$1,FALSE))</f>
        <v>65</v>
      </c>
      <c r="AJ29" s="31">
        <f>IF(VLOOKUP(ROUND(CONCATENATE($A29,AJ$2),0),'Cadastro dos Padrões'!$A$2:$V$4400,AJ$1,FALSE)="","-",VLOOKUP(ROUND(CONCATENATE($A29,AJ$2),0),'Cadastro dos Padrões'!$A$2:$V$4400,AJ$1,FALSE))</f>
        <v>29.99</v>
      </c>
      <c r="AK29" s="31">
        <f>IF(VLOOKUP(ROUND(CONCATENATE($A29,AK$2),0),'Cadastro dos Padrões'!$A$2:$V$4400,AK$1,FALSE)="","-",VLOOKUP(ROUND(CONCATENATE($A29,AK$2),0),'Cadastro dos Padrões'!$A$2:$V$4400,AK$1,FALSE))</f>
        <v>0.35</v>
      </c>
      <c r="AL29" s="31">
        <f>IF(VLOOKUP(ROUND(CONCATENATE($A29,AL$2),0),'Cadastro dos Padrões'!$A$2:$V$4400,AL$1,FALSE)="","-",VLOOKUP(ROUND(CONCATENATE($A29,AL$2),0),'Cadastro dos Padrões'!$A$2:$V$4400,AL$1,FALSE))</f>
        <v>2.04</v>
      </c>
      <c r="AM29" s="31">
        <f>IF(VLOOKUP(ROUND(CONCATENATE($A29,AM$2),0),'Cadastro dos Padrões'!$A$2:$V$4400,AM$1,FALSE)="","-",VLOOKUP(ROUND(CONCATENATE($A29,AM$2),0),'Cadastro dos Padrões'!$A$2:$V$4400,AM$1,FALSE))</f>
        <v>67</v>
      </c>
      <c r="AN29" s="31">
        <f>IF(VLOOKUP(ROUND(CONCATENATE($A29,AN$2),0),'Cadastro dos Padrões'!$A$2:$V$4400,AN$1,FALSE)="","-",VLOOKUP(ROUND(CONCATENATE($A29,AN$2),0),'Cadastro dos Padrões'!$A$2:$V$4400,AN$1,FALSE))</f>
        <v>50.01</v>
      </c>
      <c r="AO29" s="31">
        <f>IF(VLOOKUP(ROUND(CONCATENATE($A29,AO$2),0),'Cadastro dos Padrões'!$A$2:$V$4400,AO$1,FALSE)="","-",VLOOKUP(ROUND(CONCATENATE($A29,AO$2),0),'Cadastro dos Padrões'!$A$2:$V$4400,AO$1,FALSE))</f>
        <v>0.55000000000000004</v>
      </c>
      <c r="AP29" s="31">
        <f>IF(VLOOKUP(ROUND(CONCATENATE($A29,AP$2),0),'Cadastro dos Padrões'!$A$2:$V$4400,AP$1,FALSE)="","-",VLOOKUP(ROUND(CONCATENATE($A29,AP$2),0),'Cadastro dos Padrões'!$A$2:$V$4400,AP$1,FALSE))</f>
        <v>2.04</v>
      </c>
      <c r="AQ29" s="31">
        <f>IF(VLOOKUP(ROUND(CONCATENATE($A29,AQ$2),0),'Cadastro dos Padrões'!$A$2:$V$4400,AQ$1,FALSE)="","-",VLOOKUP(ROUND(CONCATENATE($A29,AQ$2),0),'Cadastro dos Padrões'!$A$2:$V$4400,AQ$1,FALSE))</f>
        <v>67</v>
      </c>
      <c r="AR29" s="31">
        <f>IF(VLOOKUP(ROUND(CONCATENATE($A29,AR$2),0),'Cadastro dos Padrões'!$A$2:$V$4400,AR$1,FALSE)="","-",VLOOKUP(ROUND(CONCATENATE($A29,AR$2),0),'Cadastro dos Padrões'!$A$2:$V$4400,AR$1,FALSE))</f>
        <v>80.010000000000005</v>
      </c>
      <c r="AS29" s="31">
        <f>IF(VLOOKUP(ROUND(CONCATENATE($A29,AS$2),0),'Cadastro dos Padrões'!$A$2:$V$4400,AS$1,FALSE)="","-",VLOOKUP(ROUND(CONCATENATE($A29,AS$2),0),'Cadastro dos Padrões'!$A$2:$V$4400,AS$1,FALSE))</f>
        <v>0.83</v>
      </c>
      <c r="AT29" s="31">
        <f>IF(VLOOKUP(ROUND(CONCATENATE($A29,AT$2),0),'Cadastro dos Padrões'!$A$2:$V$4400,AT$1,FALSE)="","-",VLOOKUP(ROUND(CONCATENATE($A29,AT$2),0),'Cadastro dos Padrões'!$A$2:$V$4400,AT$1,FALSE))</f>
        <v>2.04</v>
      </c>
      <c r="AU29" s="31">
        <f>IF(VLOOKUP(ROUND(CONCATENATE($A29,AU$2),0),'Cadastro dos Padrões'!$A$2:$V$4400,AU$1,FALSE)="","-",VLOOKUP(ROUND(CONCATENATE($A29,AU$2),0),'Cadastro dos Padrões'!$A$2:$V$4400,AU$1,FALSE))</f>
        <v>68</v>
      </c>
      <c r="AV29" s="31">
        <f>IF(VLOOKUP(ROUND(CONCATENATE($A29,AV$2),0),'Cadastro dos Padrões'!$A$2:$V$4400,AV$1,FALSE)="","-",VLOOKUP(ROUND(CONCATENATE($A29,AV$2),0),'Cadastro dos Padrões'!$A$2:$V$4400,AV$1,FALSE))</f>
        <v>97.96</v>
      </c>
      <c r="AW29" s="31">
        <f>IF(VLOOKUP(ROUND(CONCATENATE($A29,AW$2),0),'Cadastro dos Padrões'!$A$2:$V$4400,AW$1,FALSE)="","-",VLOOKUP(ROUND(CONCATENATE($A29,AW$2),0),'Cadastro dos Padrões'!$A$2:$V$4400,AW$1,FALSE))</f>
        <v>0.99</v>
      </c>
      <c r="AX29" s="31">
        <f>IF(VLOOKUP(ROUND(CONCATENATE($A29,AX$2),0),'Cadastro dos Padrões'!$A$2:$V$4400,AX$1,FALSE)="","-",VLOOKUP(ROUND(CONCATENATE($A29,AX$2),0),'Cadastro dos Padrões'!$A$2:$V$4400,AX$1,FALSE))</f>
        <v>2.04</v>
      </c>
      <c r="AY29" s="31">
        <f>IF(VLOOKUP(ROUND(CONCATENATE($A29,AY$2),0),'Cadastro dos Padrões'!$A$2:$V$4400,AY$1,FALSE)="","-",VLOOKUP(ROUND(CONCATENATE($A29,AY$2),0),'Cadastro dos Padrões'!$A$2:$V$4400,AY$1,FALSE))</f>
        <v>68</v>
      </c>
      <c r="AZ29" s="31" t="str">
        <f>IF(VLOOKUP(ROUND(CONCATENATE($A29,AZ$2),0),'Cadastro dos Padrões'!$A$2:$V$4400,AZ$1,FALSE)="","-",VLOOKUP(ROUND(CONCATENATE($A29,AZ$2),0),'Cadastro dos Padrões'!$A$2:$V$4400,AZ$1,FALSE))</f>
        <v>-</v>
      </c>
      <c r="BA29" s="31" t="str">
        <f>IF(VLOOKUP(ROUND(CONCATENATE($A29,BA$2),0),'Cadastro dos Padrões'!$A$2:$V$4400,BA$1,FALSE)="","-",VLOOKUP(ROUND(CONCATENATE($A29,BA$2),0),'Cadastro dos Padrões'!$A$2:$V$4400,BA$1,FALSE))</f>
        <v>-</v>
      </c>
      <c r="BB29" s="31" t="str">
        <f>IF(VLOOKUP(ROUND(CONCATENATE($A29,BB$2),0),'Cadastro dos Padrões'!$A$2:$V$4400,BB$1,FALSE)="","-",VLOOKUP(ROUND(CONCATENATE($A29,BB$2),0),'Cadastro dos Padrões'!$A$2:$V$4400,BB$1,FALSE))</f>
        <v>-</v>
      </c>
      <c r="BC29" s="31" t="str">
        <f>IF(VLOOKUP(ROUND(CONCATENATE($A29,BC$2),0),'Cadastro dos Padrões'!$A$2:$V$4400,BC$1,FALSE)="","-",VLOOKUP(ROUND(CONCATENATE($A29,BC$2),0),'Cadastro dos Padrões'!$A$2:$V$4400,BC$1,FALSE))</f>
        <v>-</v>
      </c>
      <c r="BD29" s="31" t="str">
        <f>IF(VLOOKUP(ROUND(CONCATENATE($A29,BD$2),0),'Cadastro dos Padrões'!$A$2:$V$4400,BD$1,FALSE)="","-",VLOOKUP(ROUND(CONCATENATE($A29,BD$2),0),'Cadastro dos Padrões'!$A$2:$V$4400,BD$1,FALSE))</f>
        <v>-</v>
      </c>
      <c r="BE29" s="31" t="str">
        <f>IF(VLOOKUP(ROUND(CONCATENATE($A29,BE$2),0),'Cadastro dos Padrões'!$A$2:$V$4400,BE$1,FALSE)="","-",VLOOKUP(ROUND(CONCATENATE($A29,BE$2),0),'Cadastro dos Padrões'!$A$2:$V$4400,BE$1,FALSE))</f>
        <v>-</v>
      </c>
      <c r="BF29" s="31" t="str">
        <f>IF(VLOOKUP(ROUND(CONCATENATE($A29,BF$2),0),'Cadastro dos Padrões'!$A$2:$V$4400,BF$1,FALSE)="","-",VLOOKUP(ROUND(CONCATENATE($A29,BF$2),0),'Cadastro dos Padrões'!$A$2:$V$4400,BF$1,FALSE))</f>
        <v>-</v>
      </c>
      <c r="BG29" s="31" t="str">
        <f>IF(VLOOKUP(ROUND(CONCATENATE($A29,BG$2),0),'Cadastro dos Padrões'!$A$2:$V$4400,BG$1,FALSE)="","-",VLOOKUP(ROUND(CONCATENATE($A29,BG$2),0),'Cadastro dos Padrões'!$A$2:$V$4400,BG$1,FALSE))</f>
        <v>-</v>
      </c>
      <c r="BH29" s="31" t="str">
        <f>IF(VLOOKUP(ROUND(CONCATENATE($A29,BH$2),0),'Cadastro dos Padrões'!$A$2:$V$4400,BH$1,FALSE)="","-",VLOOKUP(ROUND(CONCATENATE($A29,BH$2),0),'Cadastro dos Padrões'!$A$2:$V$4400,BH$1,FALSE))</f>
        <v>-</v>
      </c>
      <c r="BI29" s="31" t="str">
        <f>IF(VLOOKUP(ROUND(CONCATENATE($A29,BI$2),0),'Cadastro dos Padrões'!$A$2:$V$4400,BI$1,FALSE)="","-",VLOOKUP(ROUND(CONCATENATE($A29,BI$2),0),'Cadastro dos Padrões'!$A$2:$V$4400,BI$1,FALSE))</f>
        <v>-</v>
      </c>
      <c r="BJ29" s="31" t="str">
        <f>IF(VLOOKUP(ROUND(CONCATENATE($A29,BJ$2),0),'Cadastro dos Padrões'!$A$2:$V$4400,BJ$1,FALSE)="","-",VLOOKUP(ROUND(CONCATENATE($A29,BJ$2),0),'Cadastro dos Padrões'!$A$2:$V$4400,BJ$1,FALSE))</f>
        <v>-</v>
      </c>
      <c r="BK29" s="31" t="str">
        <f>IF(VLOOKUP(ROUND(CONCATENATE($A29,BK$2),0),'Cadastro dos Padrões'!$A$2:$V$4400,BK$1,FALSE)="","-",VLOOKUP(ROUND(CONCATENATE($A29,BK$2),0),'Cadastro dos Padrões'!$A$2:$V$4400,BK$1,FALSE))</f>
        <v>-</v>
      </c>
      <c r="BL29" s="31" t="str">
        <f>IF(VLOOKUP(ROUND(CONCATENATE($A29,BL$2),0),'Cadastro dos Padrões'!$A$2:$V$4400,BL$1,FALSE)="","-",VLOOKUP(ROUND(CONCATENATE($A29,BL$2),0),'Cadastro dos Padrões'!$A$2:$V$4400,BL$1,FALSE))</f>
        <v>-</v>
      </c>
      <c r="BM29" s="31" t="str">
        <f>IF(VLOOKUP(ROUND(CONCATENATE($A29,BM$2),0),'Cadastro dos Padrões'!$A$2:$V$4400,BM$1,FALSE)="","-",VLOOKUP(ROUND(CONCATENATE($A29,BM$2),0),'Cadastro dos Padrões'!$A$2:$V$4400,BM$1,FALSE))</f>
        <v>-</v>
      </c>
      <c r="BN29" s="31" t="str">
        <f>IF(VLOOKUP(ROUND(CONCATENATE($A29,BN$2),0),'Cadastro dos Padrões'!$A$2:$V$4400,BN$1,FALSE)="","-",VLOOKUP(ROUND(CONCATENATE($A29,BN$2),0),'Cadastro dos Padrões'!$A$2:$V$4400,BN$1,FALSE))</f>
        <v>-</v>
      </c>
      <c r="BO29" s="31" t="str">
        <f>IF(VLOOKUP(ROUND(CONCATENATE($A29,BO$2),0),'Cadastro dos Padrões'!$A$2:$V$4400,BO$1,FALSE)="","-",VLOOKUP(ROUND(CONCATENATE($A29,BO$2),0),'Cadastro dos Padrões'!$A$2:$V$4400,BO$1,FALSE))</f>
        <v>-</v>
      </c>
    </row>
    <row r="30" spans="1:67" x14ac:dyDescent="0.3">
      <c r="A30" s="6">
        <f t="shared" si="52"/>
        <v>25</v>
      </c>
      <c r="B30" s="31" t="str">
        <f>IF(VLOOKUP(ROUND(CONCATENATE($A30,B$2),0),'Cadastro dos Padrões'!$A$2:$V$4400,B$1,FALSE)="","-",VLOOKUP(ROUND(CONCATENATE($A30,B$2),0),'Cadastro dos Padrões'!$A$2:$V$4400,B$1,FALSE))</f>
        <v>E.TH.LT-001</v>
      </c>
      <c r="C30" s="31" t="str">
        <f>IF($B30="-","-",VLOOKUP(ROUND(CONCATENATE($A30,C$2),0),'Cadastro dos Padrões'!$A$2:$V$4400,C$1,FALSE))</f>
        <v>Termohigrômetro Digital</v>
      </c>
      <c r="D30" s="31">
        <f>IF($B30="-","-",VLOOKUP(ROUND(CONCATENATE($A30,D$2),0),'Cadastro dos Padrões'!$A$2:$V$4400,D$1,FALSE))</f>
        <v>25</v>
      </c>
      <c r="E30" s="31" t="str">
        <f>IF($B30="-","-",VLOOKUP(ROUND(CONCATENATE($A30,E$2),0),'Cadastro dos Padrões'!$A$2:$V$4400,E$1,FALSE))</f>
        <v>Elus</v>
      </c>
      <c r="F30" s="31" t="str">
        <f>IF($B30="-","-",VLOOKUP(ROUND(CONCATENATE($A30,F$2),0),'Cadastro dos Padrões'!$A$2:$V$4400,F$1,FALSE))</f>
        <v>RBC - CAL 0439</v>
      </c>
      <c r="G30" s="31" t="str">
        <f>IF($B30="-","-",VLOOKUP(ROUND(CONCATENATE($A30,G$2),0),'Cadastro dos Padrões'!$A$2:$V$4400,G$1,FALSE))</f>
        <v>E0839/25</v>
      </c>
      <c r="H30" s="32">
        <f>IF($B30="-","-",VLOOKUP(ROUND(CONCATENATE($A30,H$2),0),'Cadastro dos Padrões'!$A$2:$V$4400,H$1,FALSE))</f>
        <v>45989</v>
      </c>
      <c r="I30" s="33">
        <f>IF($B30="-","-",VLOOKUP(ROUND(CONCATENATE($A30,I$2),0),'Cadastro dos Padrões'!$A$2:$V$4400,I$1,FALSE))</f>
        <v>46170</v>
      </c>
      <c r="J30" s="31" t="str">
        <f>IF($B30="-","-",VLOOKUP(ROUND(CONCATENATE($A30,J$2),0),'Cadastro dos Padrões'!$A$2:$V$4400,J$1,FALSE))</f>
        <v>%ur</v>
      </c>
      <c r="K30" s="31">
        <f>IF($B30="-","-",VLOOKUP(ROUND(CONCATENATE($A30,K$2),0),'Cadastro dos Padrões'!$A$2:$V$4400,K$1,FALSE))</f>
        <v>5.01</v>
      </c>
      <c r="L30" s="31">
        <f>IF($B30="-","-",VLOOKUP(ROUND(CONCATENATE($A30,L$2),0),'Cadastro dos Padrões'!$A$2:$V$4400,L$1,FALSE))</f>
        <v>97.97</v>
      </c>
      <c r="M30" s="31">
        <f>IF($B30="-","-",VLOOKUP(ROUND(CONCATENATE($A30,M$2),0),'Cadastro dos Padrões'!$A$2:$V$4400,M$1,FALSE))</f>
        <v>0.01</v>
      </c>
      <c r="N30" s="31">
        <f>IF($B30="-","-",VLOOKUP(ROUND(CONCATENATE($A30,N$2),0),'Cadastro dos Padrões'!$A$2:$V$4400,N$1,FALSE))</f>
        <v>1</v>
      </c>
      <c r="O30" s="31">
        <f>IF($B30="-","-",VLOOKUP(ROUND(CONCATENATE($A30,O$2),0),'Cadastro dos Padrões'!$A$2:$V$4400,O$1,FALSE))</f>
        <v>0.93</v>
      </c>
      <c r="P30" s="31">
        <f>IF($B30="-","-",VLOOKUP(ROUND(CONCATENATE($A30,P$2),0),'Cadastro dos Padrões'!$A$2:$V$4400,P$1,FALSE))</f>
        <v>0.43999999999999773</v>
      </c>
      <c r="Q30" s="31">
        <f>IF($B30="-","-",VLOOKUP(ROUND(CONCATENATE($A30,Q$2),0),'Cadastro dos Padrões'!$A$2:$V$4400,Q$1,FALSE))</f>
        <v>3.485131070124492E-4</v>
      </c>
      <c r="R30" s="31">
        <f>IF($B30="-","-",VLOOKUP(ROUND(CONCATENATE($A30,R$2),0),'Cadastro dos Padrões'!$A$2:$V$4400,R$1,FALSE))</f>
        <v>4</v>
      </c>
      <c r="S30" s="31">
        <f>IF($B30="-","-",VLOOKUP(ROUND(CONCATENATE($A30,S$2),0),'Cadastro dos Padrões'!$A$2:$V$4400,S$1,FALSE))</f>
        <v>0</v>
      </c>
      <c r="T30" s="31">
        <f>IF($B30="-","-",VLOOKUP(ROUND(CONCATENATE($A30,T$2),0),'Cadastro dos Padrões'!$A$2:$V$4400,T$1,FALSE))</f>
        <v>0</v>
      </c>
      <c r="U30" s="31">
        <f>IF($B30="-","-",VLOOKUP(ROUND(CONCATENATE($A30,U$2),0),'Cadastro dos Padrões'!$A$2:$V$4400,U$1,FALSE))</f>
        <v>0</v>
      </c>
      <c r="V30" s="31">
        <f>IF($B30="-","-",VLOOKUP(ROUND(CONCATENATE($A30,V$2),0),'Cadastro dos Padrões'!$A$2:$V$4400,V$1,FALSE))</f>
        <v>0</v>
      </c>
      <c r="W30" s="31">
        <f>IF($B30="-","-",VLOOKUP(ROUND(CONCATENATE($A30,W$2),0),'Cadastro dos Padrões'!$A$2:$V$4400,W$1,FALSE))</f>
        <v>3.0697267863420146E-8</v>
      </c>
      <c r="X30" s="31">
        <f>IF($B30="-","-",VLOOKUP(ROUND(CONCATENATE($A30,X$2),0),'Cadastro dos Padrões'!$A$2:$V$4400,X$1,FALSE))</f>
        <v>-8.1006462156860057E-6</v>
      </c>
      <c r="Y30" s="31">
        <f>IF($B30="-","-",VLOOKUP(ROUND(CONCATENATE($A30,Y$2),0),'Cadastro dos Padrões'!$A$2:$V$4400,Y$1,FALSE))</f>
        <v>5.5398579651856519E-4</v>
      </c>
      <c r="Z30" s="31">
        <f>IF($B30="-","-",VLOOKUP(ROUND(CONCATENATE($A30,Z$2),0),'Cadastro dos Padrões'!$A$2:$V$4400,Z$1,FALSE))</f>
        <v>0.98661407364266807</v>
      </c>
      <c r="AA30" s="31">
        <f>IF($B30="-","-",VLOOKUP(ROUND(CONCATENATE($A30,AA$2),0),'Cadastro dos Padrões'!$A$2:$V$4400,AA$1,FALSE))</f>
        <v>-0.19379883549246091</v>
      </c>
      <c r="AB30" s="31">
        <f>IF(VLOOKUP(ROUND(CONCATENATE($A30,AB$2),0),'Cadastro dos Padrões'!$A$2:$V$4400,AB$1,FALSE)="","-",VLOOKUP(ROUND(CONCATENATE($A30,AB$2),0),'Cadastro dos Padrões'!$A$2:$V$4400,AB$1,FALSE))</f>
        <v>5.01</v>
      </c>
      <c r="AC30" s="31">
        <f>IF(VLOOKUP(ROUND(CONCATENATE($A30,AC$2),0),'Cadastro dos Padrões'!$A$2:$V$4400,AC$1,FALSE)="","-",VLOOKUP(ROUND(CONCATENATE($A30,AC$2),0),'Cadastro dos Padrões'!$A$2:$V$4400,AC$1,FALSE))</f>
        <v>0.25</v>
      </c>
      <c r="AD30" s="31">
        <f>IF(VLOOKUP(ROUND(CONCATENATE($A30,AD$2),0),'Cadastro dos Padrões'!$A$2:$V$4400,AD$1,FALSE)="","-",VLOOKUP(ROUND(CONCATENATE($A30,AD$2),0),'Cadastro dos Padrões'!$A$2:$V$4400,AD$1,FALSE))</f>
        <v>2.0299999999999998</v>
      </c>
      <c r="AE30" s="31">
        <f>IF(VLOOKUP(ROUND(CONCATENATE($A30,AE$2),0),'Cadastro dos Padrões'!$A$2:$V$4400,AE$1,FALSE)="","-",VLOOKUP(ROUND(CONCATENATE($A30,AE$2),0),'Cadastro dos Padrões'!$A$2:$V$4400,AE$1,FALSE))</f>
        <v>87</v>
      </c>
      <c r="AF30" s="31">
        <f>IF(VLOOKUP(ROUND(CONCATENATE($A30,AF$2),0),'Cadastro dos Padrões'!$A$2:$V$4400,AF$1,FALSE)="","-",VLOOKUP(ROUND(CONCATENATE($A30,AF$2),0),'Cadastro dos Padrões'!$A$2:$V$4400,AF$1,FALSE))</f>
        <v>19.989999999999998</v>
      </c>
      <c r="AG30" s="31">
        <f>IF(VLOOKUP(ROUND(CONCATENATE($A30,AG$2),0),'Cadastro dos Padrões'!$A$2:$V$4400,AG$1,FALSE)="","-",VLOOKUP(ROUND(CONCATENATE($A30,AG$2),0),'Cadastro dos Padrões'!$A$2:$V$4400,AG$1,FALSE))</f>
        <v>0.25</v>
      </c>
      <c r="AH30" s="31">
        <f>IF(VLOOKUP(ROUND(CONCATENATE($A30,AH$2),0),'Cadastro dos Padrões'!$A$2:$V$4400,AH$1,FALSE)="","-",VLOOKUP(ROUND(CONCATENATE($A30,AH$2),0),'Cadastro dos Padrões'!$A$2:$V$4400,AH$1,FALSE))</f>
        <v>2.04</v>
      </c>
      <c r="AI30" s="31">
        <f>IF(VLOOKUP(ROUND(CONCATENATE($A30,AI$2),0),'Cadastro dos Padrões'!$A$2:$V$4400,AI$1,FALSE)="","-",VLOOKUP(ROUND(CONCATENATE($A30,AI$2),0),'Cadastro dos Padrões'!$A$2:$V$4400,AI$1,FALSE))</f>
        <v>66</v>
      </c>
      <c r="AJ30" s="31">
        <f>IF(VLOOKUP(ROUND(CONCATENATE($A30,AJ$2),0),'Cadastro dos Padrões'!$A$2:$V$4400,AJ$1,FALSE)="","-",VLOOKUP(ROUND(CONCATENATE($A30,AJ$2),0),'Cadastro dos Padrões'!$A$2:$V$4400,AJ$1,FALSE))</f>
        <v>30.01</v>
      </c>
      <c r="AK30" s="31">
        <f>IF(VLOOKUP(ROUND(CONCATENATE($A30,AK$2),0),'Cadastro dos Padrões'!$A$2:$V$4400,AK$1,FALSE)="","-",VLOOKUP(ROUND(CONCATENATE($A30,AK$2),0),'Cadastro dos Padrões'!$A$2:$V$4400,AK$1,FALSE))</f>
        <v>0.33</v>
      </c>
      <c r="AL30" s="31">
        <f>IF(VLOOKUP(ROUND(CONCATENATE($A30,AL$2),0),'Cadastro dos Padrões'!$A$2:$V$4400,AL$1,FALSE)="","-",VLOOKUP(ROUND(CONCATENATE($A30,AL$2),0),'Cadastro dos Padrões'!$A$2:$V$4400,AL$1,FALSE))</f>
        <v>2.04</v>
      </c>
      <c r="AM30" s="31">
        <f>IF(VLOOKUP(ROUND(CONCATENATE($A30,AM$2),0),'Cadastro dos Padrões'!$A$2:$V$4400,AM$1,FALSE)="","-",VLOOKUP(ROUND(CONCATENATE($A30,AM$2),0),'Cadastro dos Padrões'!$A$2:$V$4400,AM$1,FALSE))</f>
        <v>67</v>
      </c>
      <c r="AN30" s="31">
        <f>IF(VLOOKUP(ROUND(CONCATENATE($A30,AN$2),0),'Cadastro dos Padrões'!$A$2:$V$4400,AN$1,FALSE)="","-",VLOOKUP(ROUND(CONCATENATE($A30,AN$2),0),'Cadastro dos Padrões'!$A$2:$V$4400,AN$1,FALSE))</f>
        <v>50</v>
      </c>
      <c r="AO30" s="31">
        <f>IF(VLOOKUP(ROUND(CONCATENATE($A30,AO$2),0),'Cadastro dos Padrões'!$A$2:$V$4400,AO$1,FALSE)="","-",VLOOKUP(ROUND(CONCATENATE($A30,AO$2),0),'Cadastro dos Padrões'!$A$2:$V$4400,AO$1,FALSE))</f>
        <v>0.53</v>
      </c>
      <c r="AP30" s="31">
        <f>IF(VLOOKUP(ROUND(CONCATENATE($A30,AP$2),0),'Cadastro dos Padrões'!$A$2:$V$4400,AP$1,FALSE)="","-",VLOOKUP(ROUND(CONCATENATE($A30,AP$2),0),'Cadastro dos Padrões'!$A$2:$V$4400,AP$1,FALSE))</f>
        <v>2.04</v>
      </c>
      <c r="AQ30" s="31">
        <f>IF(VLOOKUP(ROUND(CONCATENATE($A30,AQ$2),0),'Cadastro dos Padrões'!$A$2:$V$4400,AQ$1,FALSE)="","-",VLOOKUP(ROUND(CONCATENATE($A30,AQ$2),0),'Cadastro dos Padrões'!$A$2:$V$4400,AQ$1,FALSE))</f>
        <v>67</v>
      </c>
      <c r="AR30" s="31">
        <f>IF(VLOOKUP(ROUND(CONCATENATE($A30,AR$2),0),'Cadastro dos Padrões'!$A$2:$V$4400,AR$1,FALSE)="","-",VLOOKUP(ROUND(CONCATENATE($A30,AR$2),0),'Cadastro dos Padrões'!$A$2:$V$4400,AR$1,FALSE))</f>
        <v>79.989999999999995</v>
      </c>
      <c r="AS30" s="31">
        <f>IF(VLOOKUP(ROUND(CONCATENATE($A30,AS$2),0),'Cadastro dos Padrões'!$A$2:$V$4400,AS$1,FALSE)="","-",VLOOKUP(ROUND(CONCATENATE($A30,AS$2),0),'Cadastro dos Padrões'!$A$2:$V$4400,AS$1,FALSE))</f>
        <v>0.8</v>
      </c>
      <c r="AT30" s="31">
        <f>IF(VLOOKUP(ROUND(CONCATENATE($A30,AT$2),0),'Cadastro dos Padrões'!$A$2:$V$4400,AT$1,FALSE)="","-",VLOOKUP(ROUND(CONCATENATE($A30,AT$2),0),'Cadastro dos Padrões'!$A$2:$V$4400,AT$1,FALSE))</f>
        <v>2.04</v>
      </c>
      <c r="AU30" s="31">
        <f>IF(VLOOKUP(ROUND(CONCATENATE($A30,AU$2),0),'Cadastro dos Padrões'!$A$2:$V$4400,AU$1,FALSE)="","-",VLOOKUP(ROUND(CONCATENATE($A30,AU$2),0),'Cadastro dos Padrões'!$A$2:$V$4400,AU$1,FALSE))</f>
        <v>68</v>
      </c>
      <c r="AV30" s="31">
        <f>IF(VLOOKUP(ROUND(CONCATENATE($A30,AV$2),0),'Cadastro dos Padrões'!$A$2:$V$4400,AV$1,FALSE)="","-",VLOOKUP(ROUND(CONCATENATE($A30,AV$2),0),'Cadastro dos Padrões'!$A$2:$V$4400,AV$1,FALSE))</f>
        <v>97.97</v>
      </c>
      <c r="AW30" s="31">
        <f>IF(VLOOKUP(ROUND(CONCATENATE($A30,AW$2),0),'Cadastro dos Padrões'!$A$2:$V$4400,AW$1,FALSE)="","-",VLOOKUP(ROUND(CONCATENATE($A30,AW$2),0),'Cadastro dos Padrões'!$A$2:$V$4400,AW$1,FALSE))</f>
        <v>0.93</v>
      </c>
      <c r="AX30" s="31">
        <f>IF(VLOOKUP(ROUND(CONCATENATE($A30,AX$2),0),'Cadastro dos Padrões'!$A$2:$V$4400,AX$1,FALSE)="","-",VLOOKUP(ROUND(CONCATENATE($A30,AX$2),0),'Cadastro dos Padrões'!$A$2:$V$4400,AX$1,FALSE))</f>
        <v>2.04</v>
      </c>
      <c r="AY30" s="31">
        <f>IF(VLOOKUP(ROUND(CONCATENATE($A30,AY$2),0),'Cadastro dos Padrões'!$A$2:$V$4400,AY$1,FALSE)="","-",VLOOKUP(ROUND(CONCATENATE($A30,AY$2),0),'Cadastro dos Padrões'!$A$2:$V$4400,AY$1,FALSE))</f>
        <v>62</v>
      </c>
      <c r="AZ30" s="31" t="str">
        <f>IF(VLOOKUP(ROUND(CONCATENATE($A30,AZ$2),0),'Cadastro dos Padrões'!$A$2:$V$4400,AZ$1,FALSE)="","-",VLOOKUP(ROUND(CONCATENATE($A30,AZ$2),0),'Cadastro dos Padrões'!$A$2:$V$4400,AZ$1,FALSE))</f>
        <v>-</v>
      </c>
      <c r="BA30" s="31" t="str">
        <f>IF(VLOOKUP(ROUND(CONCATENATE($A30,BA$2),0),'Cadastro dos Padrões'!$A$2:$V$4400,BA$1,FALSE)="","-",VLOOKUP(ROUND(CONCATENATE($A30,BA$2),0),'Cadastro dos Padrões'!$A$2:$V$4400,BA$1,FALSE))</f>
        <v>-</v>
      </c>
      <c r="BB30" s="31" t="str">
        <f>IF(VLOOKUP(ROUND(CONCATENATE($A30,BB$2),0),'Cadastro dos Padrões'!$A$2:$V$4400,BB$1,FALSE)="","-",VLOOKUP(ROUND(CONCATENATE($A30,BB$2),0),'Cadastro dos Padrões'!$A$2:$V$4400,BB$1,FALSE))</f>
        <v>-</v>
      </c>
      <c r="BC30" s="31" t="str">
        <f>IF(VLOOKUP(ROUND(CONCATENATE($A30,BC$2),0),'Cadastro dos Padrões'!$A$2:$V$4400,BC$1,FALSE)="","-",VLOOKUP(ROUND(CONCATENATE($A30,BC$2),0),'Cadastro dos Padrões'!$A$2:$V$4400,BC$1,FALSE))</f>
        <v>-</v>
      </c>
      <c r="BD30" s="31" t="str">
        <f>IF(VLOOKUP(ROUND(CONCATENATE($A30,BD$2),0),'Cadastro dos Padrões'!$A$2:$V$4400,BD$1,FALSE)="","-",VLOOKUP(ROUND(CONCATENATE($A30,BD$2),0),'Cadastro dos Padrões'!$A$2:$V$4400,BD$1,FALSE))</f>
        <v>-</v>
      </c>
      <c r="BE30" s="31" t="str">
        <f>IF(VLOOKUP(ROUND(CONCATENATE($A30,BE$2),0),'Cadastro dos Padrões'!$A$2:$V$4400,BE$1,FALSE)="","-",VLOOKUP(ROUND(CONCATENATE($A30,BE$2),0),'Cadastro dos Padrões'!$A$2:$V$4400,BE$1,FALSE))</f>
        <v>-</v>
      </c>
      <c r="BF30" s="31" t="str">
        <f>IF(VLOOKUP(ROUND(CONCATENATE($A30,BF$2),0),'Cadastro dos Padrões'!$A$2:$V$4400,BF$1,FALSE)="","-",VLOOKUP(ROUND(CONCATENATE($A30,BF$2),0),'Cadastro dos Padrões'!$A$2:$V$4400,BF$1,FALSE))</f>
        <v>-</v>
      </c>
      <c r="BG30" s="31" t="str">
        <f>IF(VLOOKUP(ROUND(CONCATENATE($A30,BG$2),0),'Cadastro dos Padrões'!$A$2:$V$4400,BG$1,FALSE)="","-",VLOOKUP(ROUND(CONCATENATE($A30,BG$2),0),'Cadastro dos Padrões'!$A$2:$V$4400,BG$1,FALSE))</f>
        <v>-</v>
      </c>
      <c r="BH30" s="31" t="str">
        <f>IF(VLOOKUP(ROUND(CONCATENATE($A30,BH$2),0),'Cadastro dos Padrões'!$A$2:$V$4400,BH$1,FALSE)="","-",VLOOKUP(ROUND(CONCATENATE($A30,BH$2),0),'Cadastro dos Padrões'!$A$2:$V$4400,BH$1,FALSE))</f>
        <v>-</v>
      </c>
      <c r="BI30" s="31" t="str">
        <f>IF(VLOOKUP(ROUND(CONCATENATE($A30,BI$2),0),'Cadastro dos Padrões'!$A$2:$V$4400,BI$1,FALSE)="","-",VLOOKUP(ROUND(CONCATENATE($A30,BI$2),0),'Cadastro dos Padrões'!$A$2:$V$4400,BI$1,FALSE))</f>
        <v>-</v>
      </c>
      <c r="BJ30" s="31" t="str">
        <f>IF(VLOOKUP(ROUND(CONCATENATE($A30,BJ$2),0),'Cadastro dos Padrões'!$A$2:$V$4400,BJ$1,FALSE)="","-",VLOOKUP(ROUND(CONCATENATE($A30,BJ$2),0),'Cadastro dos Padrões'!$A$2:$V$4400,BJ$1,FALSE))</f>
        <v>-</v>
      </c>
      <c r="BK30" s="31" t="str">
        <f>IF(VLOOKUP(ROUND(CONCATENATE($A30,BK$2),0),'Cadastro dos Padrões'!$A$2:$V$4400,BK$1,FALSE)="","-",VLOOKUP(ROUND(CONCATENATE($A30,BK$2),0),'Cadastro dos Padrões'!$A$2:$V$4400,BK$1,FALSE))</f>
        <v>-</v>
      </c>
      <c r="BL30" s="31" t="str">
        <f>IF(VLOOKUP(ROUND(CONCATENATE($A30,BL$2),0),'Cadastro dos Padrões'!$A$2:$V$4400,BL$1,FALSE)="","-",VLOOKUP(ROUND(CONCATENATE($A30,BL$2),0),'Cadastro dos Padrões'!$A$2:$V$4400,BL$1,FALSE))</f>
        <v>-</v>
      </c>
      <c r="BM30" s="31" t="str">
        <f>IF(VLOOKUP(ROUND(CONCATENATE($A30,BM$2),0),'Cadastro dos Padrões'!$A$2:$V$4400,BM$1,FALSE)="","-",VLOOKUP(ROUND(CONCATENATE($A30,BM$2),0),'Cadastro dos Padrões'!$A$2:$V$4400,BM$1,FALSE))</f>
        <v>-</v>
      </c>
      <c r="BN30" s="31" t="str">
        <f>IF(VLOOKUP(ROUND(CONCATENATE($A30,BN$2),0),'Cadastro dos Padrões'!$A$2:$V$4400,BN$1,FALSE)="","-",VLOOKUP(ROUND(CONCATENATE($A30,BN$2),0),'Cadastro dos Padrões'!$A$2:$V$4400,BN$1,FALSE))</f>
        <v>-</v>
      </c>
      <c r="BO30" s="31" t="str">
        <f>IF(VLOOKUP(ROUND(CONCATENATE($A30,BO$2),0),'Cadastro dos Padrões'!$A$2:$V$4400,BO$1,FALSE)="","-",VLOOKUP(ROUND(CONCATENATE($A30,BO$2),0),'Cadastro dos Padrões'!$A$2:$V$4400,BO$1,FALSE))</f>
        <v>-</v>
      </c>
    </row>
    <row r="31" spans="1:67" x14ac:dyDescent="0.3">
      <c r="A31" s="6">
        <f t="shared" si="52"/>
        <v>26</v>
      </c>
      <c r="B31" s="31" t="str">
        <f>IF(VLOOKUP(ROUND(CONCATENATE($A31,B$2),0),'Cadastro dos Padrões'!$A$2:$V$4400,B$1,FALSE)="","-",VLOOKUP(ROUND(CONCATENATE($A31,B$2),0),'Cadastro dos Padrões'!$A$2:$V$4400,B$1,FALSE))</f>
        <v>E.TH.LT-002</v>
      </c>
      <c r="C31" s="31" t="str">
        <f>IF($B31="-","-",VLOOKUP(ROUND(CONCATENATE($A31,C$2),0),'Cadastro dos Padrões'!$A$2:$V$4400,C$1,FALSE))</f>
        <v>Termohigrômetro Digital</v>
      </c>
      <c r="D31" s="31">
        <f>IF($B31="-","-",VLOOKUP(ROUND(CONCATENATE($A31,D$2),0),'Cadastro dos Padrões'!$A$2:$V$4400,D$1,FALSE))</f>
        <v>20</v>
      </c>
      <c r="E31" s="31" t="str">
        <f>IF($B31="-","-",VLOOKUP(ROUND(CONCATENATE($A31,E$2),0),'Cadastro dos Padrões'!$A$2:$V$4400,E$1,FALSE))</f>
        <v>Elus</v>
      </c>
      <c r="F31" s="31" t="str">
        <f>IF($B31="-","-",VLOOKUP(ROUND(CONCATENATE($A31,F$2),0),'Cadastro dos Padrões'!$A$2:$V$4400,F$1,FALSE))</f>
        <v>RBC - CAL 0439</v>
      </c>
      <c r="G31" s="31" t="str">
        <f>IF($B31="-","-",VLOOKUP(ROUND(CONCATENATE($A31,G$2),0),'Cadastro dos Padrões'!$A$2:$V$4400,G$1,FALSE))</f>
        <v>E0840/25</v>
      </c>
      <c r="H31" s="32">
        <f>IF($B31="-","-",VLOOKUP(ROUND(CONCATENATE($A31,H$2),0),'Cadastro dos Padrões'!$A$2:$V$4400,H$1,FALSE))</f>
        <v>45989</v>
      </c>
      <c r="I31" s="33">
        <f>IF($B31="-","-",VLOOKUP(ROUND(CONCATENATE($A31,I$2),0),'Cadastro dos Padrões'!$A$2:$V$4400,I$1,FALSE))</f>
        <v>46170</v>
      </c>
      <c r="J31" s="31" t="str">
        <f>IF($B31="-","-",VLOOKUP(ROUND(CONCATENATE($A31,J$2),0),'Cadastro dos Padrões'!$A$2:$V$4400,J$1,FALSE))</f>
        <v>%ur</v>
      </c>
      <c r="K31" s="31">
        <f>IF($B31="-","-",VLOOKUP(ROUND(CONCATENATE($A31,K$2),0),'Cadastro dos Padrões'!$A$2:$V$4400,K$1,FALSE))</f>
        <v>5.01</v>
      </c>
      <c r="L31" s="31">
        <f>IF($B31="-","-",VLOOKUP(ROUND(CONCATENATE($A31,L$2),0),'Cadastro dos Padrões'!$A$2:$V$4400,L$1,FALSE))</f>
        <v>97.96</v>
      </c>
      <c r="M31" s="31">
        <f>IF($B31="-","-",VLOOKUP(ROUND(CONCATENATE($A31,M$2),0),'Cadastro dos Padrões'!$A$2:$V$4400,M$1,FALSE))</f>
        <v>0.01</v>
      </c>
      <c r="N31" s="31">
        <f>IF($B31="-","-",VLOOKUP(ROUND(CONCATENATE($A31,N$2),0),'Cadastro dos Padrões'!$A$2:$V$4400,N$1,FALSE))</f>
        <v>0.90000000000000568</v>
      </c>
      <c r="O31" s="31">
        <f>IF($B31="-","-",VLOOKUP(ROUND(CONCATENATE($A31,O$2),0),'Cadastro dos Padrões'!$A$2:$V$4400,O$1,FALSE))</f>
        <v>0.99</v>
      </c>
      <c r="P31" s="31">
        <f>IF($B31="-","-",VLOOKUP(ROUND(CONCATENATE($A31,P$2),0),'Cadastro dos Padrões'!$A$2:$V$4400,P$1,FALSE))</f>
        <v>0.29000000000002046</v>
      </c>
      <c r="Q31" s="31">
        <f>IF($B31="-","-",VLOOKUP(ROUND(CONCATENATE($A31,Q$2),0),'Cadastro dos Padrões'!$A$2:$V$4400,Q$1,FALSE))</f>
        <v>0.11230470683599547</v>
      </c>
      <c r="R31" s="31">
        <f>IF($B31="-","-",VLOOKUP(ROUND(CONCATENATE($A31,R$2),0),'Cadastro dos Padrões'!$A$2:$V$4400,R$1,FALSE))</f>
        <v>4</v>
      </c>
      <c r="S31" s="31">
        <f>IF($B31="-","-",VLOOKUP(ROUND(CONCATENATE($A31,S$2),0),'Cadastro dos Padrões'!$A$2:$V$4400,S$1,FALSE))</f>
        <v>0</v>
      </c>
      <c r="T31" s="31">
        <f>IF($B31="-","-",VLOOKUP(ROUND(CONCATENATE($A31,T$2),0),'Cadastro dos Padrões'!$A$2:$V$4400,T$1,FALSE))</f>
        <v>0</v>
      </c>
      <c r="U31" s="31">
        <f>IF($B31="-","-",VLOOKUP(ROUND(CONCATENATE($A31,U$2),0),'Cadastro dos Padrões'!$A$2:$V$4400,U$1,FALSE))</f>
        <v>0</v>
      </c>
      <c r="V31" s="31">
        <f>IF($B31="-","-",VLOOKUP(ROUND(CONCATENATE($A31,V$2),0),'Cadastro dos Padrões'!$A$2:$V$4400,V$1,FALSE))</f>
        <v>0</v>
      </c>
      <c r="W31" s="31">
        <f>IF($B31="-","-",VLOOKUP(ROUND(CONCATENATE($A31,W$2),0),'Cadastro dos Padrões'!$A$2:$V$4400,W$1,FALSE))</f>
        <v>-3.0270776959875996E-7</v>
      </c>
      <c r="X31" s="31">
        <f>IF($B31="-","-",VLOOKUP(ROUND(CONCATENATE($A31,X$2),0),'Cadastro dos Padrões'!$A$2:$V$4400,X$1,FALSE))</f>
        <v>6.9167912028383517E-5</v>
      </c>
      <c r="Y31" s="31">
        <f>IF($B31="-","-",VLOOKUP(ROUND(CONCATENATE($A31,Y$2),0),'Cadastro dos Padrões'!$A$2:$V$4400,Y$1,FALSE))</f>
        <v>-5.0551921638026416E-3</v>
      </c>
      <c r="Z31" s="31">
        <f>IF($B31="-","-",VLOOKUP(ROUND(CONCATENATE($A31,Z$2),0),'Cadastro dos Padrões'!$A$2:$V$4400,Z$1,FALSE))</f>
        <v>1.1077867663523504</v>
      </c>
      <c r="AA31" s="31">
        <f>IF($B31="-","-",VLOOKUP(ROUND(CONCATENATE($A31,AA$2),0),'Cadastro dos Padrões'!$A$2:$V$4400,AA$1,FALSE))</f>
        <v>-6.1886035163623454E-2</v>
      </c>
      <c r="AB31" s="31">
        <f>IF(VLOOKUP(ROUND(CONCATENATE($A31,AB$2),0),'Cadastro dos Padrões'!$A$2:$V$4400,AB$1,FALSE)="","-",VLOOKUP(ROUND(CONCATENATE($A31,AB$2),0),'Cadastro dos Padrões'!$A$2:$V$4400,AB$1,FALSE))</f>
        <v>5.01</v>
      </c>
      <c r="AC31" s="31">
        <f>IF(VLOOKUP(ROUND(CONCATENATE($A31,AC$2),0),'Cadastro dos Padrões'!$A$2:$V$4400,AC$1,FALSE)="","-",VLOOKUP(ROUND(CONCATENATE($A31,AC$2),0),'Cadastro dos Padrões'!$A$2:$V$4400,AC$1,FALSE))</f>
        <v>0.25</v>
      </c>
      <c r="AD31" s="31">
        <f>IF(VLOOKUP(ROUND(CONCATENATE($A31,AD$2),0),'Cadastro dos Padrões'!$A$2:$V$4400,AD$1,FALSE)="","-",VLOOKUP(ROUND(CONCATENATE($A31,AD$2),0),'Cadastro dos Padrões'!$A$2:$V$4400,AD$1,FALSE))</f>
        <v>2.0299999999999998</v>
      </c>
      <c r="AE31" s="31">
        <f>IF(VLOOKUP(ROUND(CONCATENATE($A31,AE$2),0),'Cadastro dos Padrões'!$A$2:$V$4400,AE$1,FALSE)="","-",VLOOKUP(ROUND(CONCATENATE($A31,AE$2),0),'Cadastro dos Padrões'!$A$2:$V$4400,AE$1,FALSE))</f>
        <v>87</v>
      </c>
      <c r="AF31" s="31">
        <f>IF(VLOOKUP(ROUND(CONCATENATE($A31,AF$2),0),'Cadastro dos Padrões'!$A$2:$V$4400,AF$1,FALSE)="","-",VLOOKUP(ROUND(CONCATENATE($A31,AF$2),0),'Cadastro dos Padrões'!$A$2:$V$4400,AF$1,FALSE))</f>
        <v>20.010000000000002</v>
      </c>
      <c r="AG31" s="31">
        <f>IF(VLOOKUP(ROUND(CONCATENATE($A31,AG$2),0),'Cadastro dos Padrões'!$A$2:$V$4400,AG$1,FALSE)="","-",VLOOKUP(ROUND(CONCATENATE($A31,AG$2),0),'Cadastro dos Padrões'!$A$2:$V$4400,AG$1,FALSE))</f>
        <v>0.27</v>
      </c>
      <c r="AH31" s="31">
        <f>IF(VLOOKUP(ROUND(CONCATENATE($A31,AH$2),0),'Cadastro dos Padrões'!$A$2:$V$4400,AH$1,FALSE)="","-",VLOOKUP(ROUND(CONCATENATE($A31,AH$2),0),'Cadastro dos Padrões'!$A$2:$V$4400,AH$1,FALSE))</f>
        <v>2.04</v>
      </c>
      <c r="AI31" s="31">
        <f>IF(VLOOKUP(ROUND(CONCATENATE($A31,AI$2),0),'Cadastro dos Padrões'!$A$2:$V$4400,AI$1,FALSE)="","-",VLOOKUP(ROUND(CONCATENATE($A31,AI$2),0),'Cadastro dos Padrões'!$A$2:$V$4400,AI$1,FALSE))</f>
        <v>65</v>
      </c>
      <c r="AJ31" s="31">
        <f>IF(VLOOKUP(ROUND(CONCATENATE($A31,AJ$2),0),'Cadastro dos Padrões'!$A$2:$V$4400,AJ$1,FALSE)="","-",VLOOKUP(ROUND(CONCATENATE($A31,AJ$2),0),'Cadastro dos Padrões'!$A$2:$V$4400,AJ$1,FALSE))</f>
        <v>29.99</v>
      </c>
      <c r="AK31" s="31">
        <f>IF(VLOOKUP(ROUND(CONCATENATE($A31,AK$2),0),'Cadastro dos Padrões'!$A$2:$V$4400,AK$1,FALSE)="","-",VLOOKUP(ROUND(CONCATENATE($A31,AK$2),0),'Cadastro dos Padrões'!$A$2:$V$4400,AK$1,FALSE))</f>
        <v>0.35</v>
      </c>
      <c r="AL31" s="31">
        <f>IF(VLOOKUP(ROUND(CONCATENATE($A31,AL$2),0),'Cadastro dos Padrões'!$A$2:$V$4400,AL$1,FALSE)="","-",VLOOKUP(ROUND(CONCATENATE($A31,AL$2),0),'Cadastro dos Padrões'!$A$2:$V$4400,AL$1,FALSE))</f>
        <v>2.04</v>
      </c>
      <c r="AM31" s="31">
        <f>IF(VLOOKUP(ROUND(CONCATENATE($A31,AM$2),0),'Cadastro dos Padrões'!$A$2:$V$4400,AM$1,FALSE)="","-",VLOOKUP(ROUND(CONCATENATE($A31,AM$2),0),'Cadastro dos Padrões'!$A$2:$V$4400,AM$1,FALSE))</f>
        <v>67</v>
      </c>
      <c r="AN31" s="31">
        <f>IF(VLOOKUP(ROUND(CONCATENATE($A31,AN$2),0),'Cadastro dos Padrões'!$A$2:$V$4400,AN$1,FALSE)="","-",VLOOKUP(ROUND(CONCATENATE($A31,AN$2),0),'Cadastro dos Padrões'!$A$2:$V$4400,AN$1,FALSE))</f>
        <v>50.01</v>
      </c>
      <c r="AO31" s="31">
        <f>IF(VLOOKUP(ROUND(CONCATENATE($A31,AO$2),0),'Cadastro dos Padrões'!$A$2:$V$4400,AO$1,FALSE)="","-",VLOOKUP(ROUND(CONCATENATE($A31,AO$2),0),'Cadastro dos Padrões'!$A$2:$V$4400,AO$1,FALSE))</f>
        <v>0.55000000000000004</v>
      </c>
      <c r="AP31" s="31">
        <f>IF(VLOOKUP(ROUND(CONCATENATE($A31,AP$2),0),'Cadastro dos Padrões'!$A$2:$V$4400,AP$1,FALSE)="","-",VLOOKUP(ROUND(CONCATENATE($A31,AP$2),0),'Cadastro dos Padrões'!$A$2:$V$4400,AP$1,FALSE))</f>
        <v>2.04</v>
      </c>
      <c r="AQ31" s="31">
        <f>IF(VLOOKUP(ROUND(CONCATENATE($A31,AQ$2),0),'Cadastro dos Padrões'!$A$2:$V$4400,AQ$1,FALSE)="","-",VLOOKUP(ROUND(CONCATENATE($A31,AQ$2),0),'Cadastro dos Padrões'!$A$2:$V$4400,AQ$1,FALSE))</f>
        <v>67</v>
      </c>
      <c r="AR31" s="31">
        <f>IF(VLOOKUP(ROUND(CONCATENATE($A31,AR$2),0),'Cadastro dos Padrões'!$A$2:$V$4400,AR$1,FALSE)="","-",VLOOKUP(ROUND(CONCATENATE($A31,AR$2),0),'Cadastro dos Padrões'!$A$2:$V$4400,AR$1,FALSE))</f>
        <v>80.010000000000005</v>
      </c>
      <c r="AS31" s="31">
        <f>IF(VLOOKUP(ROUND(CONCATENATE($A31,AS$2),0),'Cadastro dos Padrões'!$A$2:$V$4400,AS$1,FALSE)="","-",VLOOKUP(ROUND(CONCATENATE($A31,AS$2),0),'Cadastro dos Padrões'!$A$2:$V$4400,AS$1,FALSE))</f>
        <v>0.83</v>
      </c>
      <c r="AT31" s="31">
        <f>IF(VLOOKUP(ROUND(CONCATENATE($A31,AT$2),0),'Cadastro dos Padrões'!$A$2:$V$4400,AT$1,FALSE)="","-",VLOOKUP(ROUND(CONCATENATE($A31,AT$2),0),'Cadastro dos Padrões'!$A$2:$V$4400,AT$1,FALSE))</f>
        <v>2.04</v>
      </c>
      <c r="AU31" s="31">
        <f>IF(VLOOKUP(ROUND(CONCATENATE($A31,AU$2),0),'Cadastro dos Padrões'!$A$2:$V$4400,AU$1,FALSE)="","-",VLOOKUP(ROUND(CONCATENATE($A31,AU$2),0),'Cadastro dos Padrões'!$A$2:$V$4400,AU$1,FALSE))</f>
        <v>68</v>
      </c>
      <c r="AV31" s="31">
        <f>IF(VLOOKUP(ROUND(CONCATENATE($A31,AV$2),0),'Cadastro dos Padrões'!$A$2:$V$4400,AV$1,FALSE)="","-",VLOOKUP(ROUND(CONCATENATE($A31,AV$2),0),'Cadastro dos Padrões'!$A$2:$V$4400,AV$1,FALSE))</f>
        <v>97.96</v>
      </c>
      <c r="AW31" s="31">
        <f>IF(VLOOKUP(ROUND(CONCATENATE($A31,AW$2),0),'Cadastro dos Padrões'!$A$2:$V$4400,AW$1,FALSE)="","-",VLOOKUP(ROUND(CONCATENATE($A31,AW$2),0),'Cadastro dos Padrões'!$A$2:$V$4400,AW$1,FALSE))</f>
        <v>0.99</v>
      </c>
      <c r="AX31" s="31">
        <f>IF(VLOOKUP(ROUND(CONCATENATE($A31,AX$2),0),'Cadastro dos Padrões'!$A$2:$V$4400,AX$1,FALSE)="","-",VLOOKUP(ROUND(CONCATENATE($A31,AX$2),0),'Cadastro dos Padrões'!$A$2:$V$4400,AX$1,FALSE))</f>
        <v>2.04</v>
      </c>
      <c r="AY31" s="31">
        <f>IF(VLOOKUP(ROUND(CONCATENATE($A31,AY$2),0),'Cadastro dos Padrões'!$A$2:$V$4400,AY$1,FALSE)="","-",VLOOKUP(ROUND(CONCATENATE($A31,AY$2),0),'Cadastro dos Padrões'!$A$2:$V$4400,AY$1,FALSE))</f>
        <v>68</v>
      </c>
      <c r="AZ31" s="31" t="str">
        <f>IF(VLOOKUP(ROUND(CONCATENATE($A31,AZ$2),0),'Cadastro dos Padrões'!$A$2:$V$4400,AZ$1,FALSE)="","-",VLOOKUP(ROUND(CONCATENATE($A31,AZ$2),0),'Cadastro dos Padrões'!$A$2:$V$4400,AZ$1,FALSE))</f>
        <v>-</v>
      </c>
      <c r="BA31" s="31" t="str">
        <f>IF(VLOOKUP(ROUND(CONCATENATE($A31,BA$2),0),'Cadastro dos Padrões'!$A$2:$V$4400,BA$1,FALSE)="","-",VLOOKUP(ROUND(CONCATENATE($A31,BA$2),0),'Cadastro dos Padrões'!$A$2:$V$4400,BA$1,FALSE))</f>
        <v>-</v>
      </c>
      <c r="BB31" s="31" t="str">
        <f>IF(VLOOKUP(ROUND(CONCATENATE($A31,BB$2),0),'Cadastro dos Padrões'!$A$2:$V$4400,BB$1,FALSE)="","-",VLOOKUP(ROUND(CONCATENATE($A31,BB$2),0),'Cadastro dos Padrões'!$A$2:$V$4400,BB$1,FALSE))</f>
        <v>-</v>
      </c>
      <c r="BC31" s="31" t="str">
        <f>IF(VLOOKUP(ROUND(CONCATENATE($A31,BC$2),0),'Cadastro dos Padrões'!$A$2:$V$4400,BC$1,FALSE)="","-",VLOOKUP(ROUND(CONCATENATE($A31,BC$2),0),'Cadastro dos Padrões'!$A$2:$V$4400,BC$1,FALSE))</f>
        <v>-</v>
      </c>
      <c r="BD31" s="31" t="str">
        <f>IF(VLOOKUP(ROUND(CONCATENATE($A31,BD$2),0),'Cadastro dos Padrões'!$A$2:$V$4400,BD$1,FALSE)="","-",VLOOKUP(ROUND(CONCATENATE($A31,BD$2),0),'Cadastro dos Padrões'!$A$2:$V$4400,BD$1,FALSE))</f>
        <v>-</v>
      </c>
      <c r="BE31" s="31" t="str">
        <f>IF(VLOOKUP(ROUND(CONCATENATE($A31,BE$2),0),'Cadastro dos Padrões'!$A$2:$V$4400,BE$1,FALSE)="","-",VLOOKUP(ROUND(CONCATENATE($A31,BE$2),0),'Cadastro dos Padrões'!$A$2:$V$4400,BE$1,FALSE))</f>
        <v>-</v>
      </c>
      <c r="BF31" s="31" t="str">
        <f>IF(VLOOKUP(ROUND(CONCATENATE($A31,BF$2),0),'Cadastro dos Padrões'!$A$2:$V$4400,BF$1,FALSE)="","-",VLOOKUP(ROUND(CONCATENATE($A31,BF$2),0),'Cadastro dos Padrões'!$A$2:$V$4400,BF$1,FALSE))</f>
        <v>-</v>
      </c>
      <c r="BG31" s="31" t="str">
        <f>IF(VLOOKUP(ROUND(CONCATENATE($A31,BG$2),0),'Cadastro dos Padrões'!$A$2:$V$4400,BG$1,FALSE)="","-",VLOOKUP(ROUND(CONCATENATE($A31,BG$2),0),'Cadastro dos Padrões'!$A$2:$V$4400,BG$1,FALSE))</f>
        <v>-</v>
      </c>
      <c r="BH31" s="31" t="str">
        <f>IF(VLOOKUP(ROUND(CONCATENATE($A31,BH$2),0),'Cadastro dos Padrões'!$A$2:$V$4400,BH$1,FALSE)="","-",VLOOKUP(ROUND(CONCATENATE($A31,BH$2),0),'Cadastro dos Padrões'!$A$2:$V$4400,BH$1,FALSE))</f>
        <v>-</v>
      </c>
      <c r="BI31" s="31" t="str">
        <f>IF(VLOOKUP(ROUND(CONCATENATE($A31,BI$2),0),'Cadastro dos Padrões'!$A$2:$V$4400,BI$1,FALSE)="","-",VLOOKUP(ROUND(CONCATENATE($A31,BI$2),0),'Cadastro dos Padrões'!$A$2:$V$4400,BI$1,FALSE))</f>
        <v>-</v>
      </c>
      <c r="BJ31" s="31" t="str">
        <f>IF(VLOOKUP(ROUND(CONCATENATE($A31,BJ$2),0),'Cadastro dos Padrões'!$A$2:$V$4400,BJ$1,FALSE)="","-",VLOOKUP(ROUND(CONCATENATE($A31,BJ$2),0),'Cadastro dos Padrões'!$A$2:$V$4400,BJ$1,FALSE))</f>
        <v>-</v>
      </c>
      <c r="BK31" s="31" t="str">
        <f>IF(VLOOKUP(ROUND(CONCATENATE($A31,BK$2),0),'Cadastro dos Padrões'!$A$2:$V$4400,BK$1,FALSE)="","-",VLOOKUP(ROUND(CONCATENATE($A31,BK$2),0),'Cadastro dos Padrões'!$A$2:$V$4400,BK$1,FALSE))</f>
        <v>-</v>
      </c>
      <c r="BL31" s="31" t="str">
        <f>IF(VLOOKUP(ROUND(CONCATENATE($A31,BL$2),0),'Cadastro dos Padrões'!$A$2:$V$4400,BL$1,FALSE)="","-",VLOOKUP(ROUND(CONCATENATE($A31,BL$2),0),'Cadastro dos Padrões'!$A$2:$V$4400,BL$1,FALSE))</f>
        <v>-</v>
      </c>
      <c r="BM31" s="31" t="str">
        <f>IF(VLOOKUP(ROUND(CONCATENATE($A31,BM$2),0),'Cadastro dos Padrões'!$A$2:$V$4400,BM$1,FALSE)="","-",VLOOKUP(ROUND(CONCATENATE($A31,BM$2),0),'Cadastro dos Padrões'!$A$2:$V$4400,BM$1,FALSE))</f>
        <v>-</v>
      </c>
      <c r="BN31" s="31" t="str">
        <f>IF(VLOOKUP(ROUND(CONCATENATE($A31,BN$2),0),'Cadastro dos Padrões'!$A$2:$V$4400,BN$1,FALSE)="","-",VLOOKUP(ROUND(CONCATENATE($A31,BN$2),0),'Cadastro dos Padrões'!$A$2:$V$4400,BN$1,FALSE))</f>
        <v>-</v>
      </c>
      <c r="BO31" s="31" t="str">
        <f>IF(VLOOKUP(ROUND(CONCATENATE($A31,BO$2),0),'Cadastro dos Padrões'!$A$2:$V$4400,BO$1,FALSE)="","-",VLOOKUP(ROUND(CONCATENATE($A31,BO$2),0),'Cadastro dos Padrões'!$A$2:$V$4400,BO$1,FALSE))</f>
        <v>-</v>
      </c>
    </row>
    <row r="32" spans="1:67" x14ac:dyDescent="0.3">
      <c r="A32" s="6">
        <f t="shared" si="52"/>
        <v>27</v>
      </c>
      <c r="B32" s="31" t="str">
        <f>IF(VLOOKUP(ROUND(CONCATENATE($A32,B$2),0),'Cadastro dos Padrões'!$A$2:$V$4400,B$1,FALSE)="","-",VLOOKUP(ROUND(CONCATENATE($A32,B$2),0),'Cadastro dos Padrões'!$A$2:$V$4400,B$1,FALSE))</f>
        <v>E.TH.LT-002</v>
      </c>
      <c r="C32" s="31" t="str">
        <f>IF($B32="-","-",VLOOKUP(ROUND(CONCATENATE($A32,C$2),0),'Cadastro dos Padrões'!$A$2:$V$4400,C$1,FALSE))</f>
        <v>Termohigrômetro Digital</v>
      </c>
      <c r="D32" s="31">
        <f>IF($B32="-","-",VLOOKUP(ROUND(CONCATENATE($A32,D$2),0),'Cadastro dos Padrões'!$A$2:$V$4400,D$1,FALSE))</f>
        <v>25</v>
      </c>
      <c r="E32" s="31" t="str">
        <f>IF($B32="-","-",VLOOKUP(ROUND(CONCATENATE($A32,E$2),0),'Cadastro dos Padrões'!$A$2:$V$4400,E$1,FALSE))</f>
        <v>Elus</v>
      </c>
      <c r="F32" s="31" t="str">
        <f>IF($B32="-","-",VLOOKUP(ROUND(CONCATENATE($A32,F$2),0),'Cadastro dos Padrões'!$A$2:$V$4400,F$1,FALSE))</f>
        <v>RBC - CAL 0439</v>
      </c>
      <c r="G32" s="31" t="str">
        <f>IF($B32="-","-",VLOOKUP(ROUND(CONCATENATE($A32,G$2),0),'Cadastro dos Padrões'!$A$2:$V$4400,G$1,FALSE))</f>
        <v>E0840/25</v>
      </c>
      <c r="H32" s="32">
        <f>IF($B32="-","-",VLOOKUP(ROUND(CONCATENATE($A32,H$2),0),'Cadastro dos Padrões'!$A$2:$V$4400,H$1,FALSE))</f>
        <v>45989</v>
      </c>
      <c r="I32" s="33">
        <f>IF($B32="-","-",VLOOKUP(ROUND(CONCATENATE($A32,I$2),0),'Cadastro dos Padrões'!$A$2:$V$4400,I$1,FALSE))</f>
        <v>46170</v>
      </c>
      <c r="J32" s="31" t="str">
        <f>IF($B32="-","-",VLOOKUP(ROUND(CONCATENATE($A32,J$2),0),'Cadastro dos Padrões'!$A$2:$V$4400,J$1,FALSE))</f>
        <v>%ur</v>
      </c>
      <c r="K32" s="31">
        <f>IF($B32="-","-",VLOOKUP(ROUND(CONCATENATE($A32,K$2),0),'Cadastro dos Padrões'!$A$2:$V$4400,K$1,FALSE))</f>
        <v>5.01</v>
      </c>
      <c r="L32" s="31">
        <f>IF($B32="-","-",VLOOKUP(ROUND(CONCATENATE($A32,L$2),0),'Cadastro dos Padrões'!$A$2:$V$4400,L$1,FALSE))</f>
        <v>97.97</v>
      </c>
      <c r="M32" s="31">
        <f>IF($B32="-","-",VLOOKUP(ROUND(CONCATENATE($A32,M$2),0),'Cadastro dos Padrões'!$A$2:$V$4400,M$1,FALSE))</f>
        <v>0.01</v>
      </c>
      <c r="N32" s="31">
        <f>IF($B32="-","-",VLOOKUP(ROUND(CONCATENATE($A32,N$2),0),'Cadastro dos Padrões'!$A$2:$V$4400,N$1,FALSE))</f>
        <v>0.96999999999999886</v>
      </c>
      <c r="O32" s="31">
        <f>IF($B32="-","-",VLOOKUP(ROUND(CONCATENATE($A32,O$2),0),'Cadastro dos Padrões'!$A$2:$V$4400,O$1,FALSE))</f>
        <v>0.93</v>
      </c>
      <c r="P32" s="31">
        <f>IF($B32="-","-",VLOOKUP(ROUND(CONCATENATE($A32,P$2),0),'Cadastro dos Padrões'!$A$2:$V$4400,P$1,FALSE))</f>
        <v>0.55999999999999517</v>
      </c>
      <c r="Q32" s="31">
        <f>IF($B32="-","-",VLOOKUP(ROUND(CONCATENATE($A32,Q$2),0),'Cadastro dos Padrões'!$A$2:$V$4400,Q$1,FALSE))</f>
        <v>0.13578185460961922</v>
      </c>
      <c r="R32" s="31">
        <f>IF($B32="-","-",VLOOKUP(ROUND(CONCATENATE($A32,R$2),0),'Cadastro dos Padrões'!$A$2:$V$4400,R$1,FALSE))</f>
        <v>4</v>
      </c>
      <c r="S32" s="31">
        <f>IF($B32="-","-",VLOOKUP(ROUND(CONCATENATE($A32,S$2),0),'Cadastro dos Padrões'!$A$2:$V$4400,S$1,FALSE))</f>
        <v>0</v>
      </c>
      <c r="T32" s="31">
        <f>IF($B32="-","-",VLOOKUP(ROUND(CONCATENATE($A32,T$2),0),'Cadastro dos Padrões'!$A$2:$V$4400,T$1,FALSE))</f>
        <v>0</v>
      </c>
      <c r="U32" s="31">
        <f>IF($B32="-","-",VLOOKUP(ROUND(CONCATENATE($A32,U$2),0),'Cadastro dos Padrões'!$A$2:$V$4400,U$1,FALSE))</f>
        <v>0</v>
      </c>
      <c r="V32" s="31">
        <f>IF($B32="-","-",VLOOKUP(ROUND(CONCATENATE($A32,V$2),0),'Cadastro dos Padrões'!$A$2:$V$4400,V$1,FALSE))</f>
        <v>0</v>
      </c>
      <c r="W32" s="31">
        <f>IF($B32="-","-",VLOOKUP(ROUND(CONCATENATE($A32,W$2),0),'Cadastro dos Padrões'!$A$2:$V$4400,W$1,FALSE))</f>
        <v>2.8405978568686222E-10</v>
      </c>
      <c r="X32" s="31">
        <f>IF($B32="-","-",VLOOKUP(ROUND(CONCATENATE($A32,X$2),0),'Cadastro dos Padrões'!$A$2:$V$4400,X$1,FALSE))</f>
        <v>4.8399722706151583E-6</v>
      </c>
      <c r="Y32" s="31">
        <f>IF($B32="-","-",VLOOKUP(ROUND(CONCATENATE($A32,Y$2),0),'Cadastro dos Padrões'!$A$2:$V$4400,Y$1,FALSE))</f>
        <v>-7.6477282143779944E-4</v>
      </c>
      <c r="Z32" s="31">
        <f>IF($B32="-","-",VLOOKUP(ROUND(CONCATENATE($A32,Z$2),0),'Cadastro dos Padrões'!$A$2:$V$4400,Z$1,FALSE))</f>
        <v>1.0151307118403785</v>
      </c>
      <c r="AA32" s="31">
        <f>IF($B32="-","-",VLOOKUP(ROUND(CONCATENATE($A32,AA$2),0),'Cadastro dos Padrões'!$A$2:$V$4400,AA$1,FALSE))</f>
        <v>0.30046364994957497</v>
      </c>
      <c r="AB32" s="31">
        <f>IF(VLOOKUP(ROUND(CONCATENATE($A32,AB$2),0),'Cadastro dos Padrões'!$A$2:$V$4400,AB$1,FALSE)="","-",VLOOKUP(ROUND(CONCATENATE($A32,AB$2),0),'Cadastro dos Padrões'!$A$2:$V$4400,AB$1,FALSE))</f>
        <v>5.01</v>
      </c>
      <c r="AC32" s="31">
        <f>IF(VLOOKUP(ROUND(CONCATENATE($A32,AC$2),0),'Cadastro dos Padrões'!$A$2:$V$4400,AC$1,FALSE)="","-",VLOOKUP(ROUND(CONCATENATE($A32,AC$2),0),'Cadastro dos Padrões'!$A$2:$V$4400,AC$1,FALSE))</f>
        <v>0.25</v>
      </c>
      <c r="AD32" s="31">
        <f>IF(VLOOKUP(ROUND(CONCATENATE($A32,AD$2),0),'Cadastro dos Padrões'!$A$2:$V$4400,AD$1,FALSE)="","-",VLOOKUP(ROUND(CONCATENATE($A32,AD$2),0),'Cadastro dos Padrões'!$A$2:$V$4400,AD$1,FALSE))</f>
        <v>2.0299999999999998</v>
      </c>
      <c r="AE32" s="31">
        <f>IF(VLOOKUP(ROUND(CONCATENATE($A32,AE$2),0),'Cadastro dos Padrões'!$A$2:$V$4400,AE$1,FALSE)="","-",VLOOKUP(ROUND(CONCATENATE($A32,AE$2),0),'Cadastro dos Padrões'!$A$2:$V$4400,AE$1,FALSE))</f>
        <v>87</v>
      </c>
      <c r="AF32" s="31">
        <f>IF(VLOOKUP(ROUND(CONCATENATE($A32,AF$2),0),'Cadastro dos Padrões'!$A$2:$V$4400,AF$1,FALSE)="","-",VLOOKUP(ROUND(CONCATENATE($A32,AF$2),0),'Cadastro dos Padrões'!$A$2:$V$4400,AF$1,FALSE))</f>
        <v>19.989999999999998</v>
      </c>
      <c r="AG32" s="31">
        <f>IF(VLOOKUP(ROUND(CONCATENATE($A32,AG$2),0),'Cadastro dos Padrões'!$A$2:$V$4400,AG$1,FALSE)="","-",VLOOKUP(ROUND(CONCATENATE($A32,AG$2),0),'Cadastro dos Padrões'!$A$2:$V$4400,AG$1,FALSE))</f>
        <v>0.25</v>
      </c>
      <c r="AH32" s="31">
        <f>IF(VLOOKUP(ROUND(CONCATENATE($A32,AH$2),0),'Cadastro dos Padrões'!$A$2:$V$4400,AH$1,FALSE)="","-",VLOOKUP(ROUND(CONCATENATE($A32,AH$2),0),'Cadastro dos Padrões'!$A$2:$V$4400,AH$1,FALSE))</f>
        <v>2.04</v>
      </c>
      <c r="AI32" s="31">
        <f>IF(VLOOKUP(ROUND(CONCATENATE($A32,AI$2),0),'Cadastro dos Padrões'!$A$2:$V$4400,AI$1,FALSE)="","-",VLOOKUP(ROUND(CONCATENATE($A32,AI$2),0),'Cadastro dos Padrões'!$A$2:$V$4400,AI$1,FALSE))</f>
        <v>66</v>
      </c>
      <c r="AJ32" s="31">
        <f>IF(VLOOKUP(ROUND(CONCATENATE($A32,AJ$2),0),'Cadastro dos Padrões'!$A$2:$V$4400,AJ$1,FALSE)="","-",VLOOKUP(ROUND(CONCATENATE($A32,AJ$2),0),'Cadastro dos Padrões'!$A$2:$V$4400,AJ$1,FALSE))</f>
        <v>30.01</v>
      </c>
      <c r="AK32" s="31">
        <f>IF(VLOOKUP(ROUND(CONCATENATE($A32,AK$2),0),'Cadastro dos Padrões'!$A$2:$V$4400,AK$1,FALSE)="","-",VLOOKUP(ROUND(CONCATENATE($A32,AK$2),0),'Cadastro dos Padrões'!$A$2:$V$4400,AK$1,FALSE))</f>
        <v>0.33</v>
      </c>
      <c r="AL32" s="31">
        <f>IF(VLOOKUP(ROUND(CONCATENATE($A32,AL$2),0),'Cadastro dos Padrões'!$A$2:$V$4400,AL$1,FALSE)="","-",VLOOKUP(ROUND(CONCATENATE($A32,AL$2),0),'Cadastro dos Padrões'!$A$2:$V$4400,AL$1,FALSE))</f>
        <v>2.04</v>
      </c>
      <c r="AM32" s="31">
        <f>IF(VLOOKUP(ROUND(CONCATENATE($A32,AM$2),0),'Cadastro dos Padrões'!$A$2:$V$4400,AM$1,FALSE)="","-",VLOOKUP(ROUND(CONCATENATE($A32,AM$2),0),'Cadastro dos Padrões'!$A$2:$V$4400,AM$1,FALSE))</f>
        <v>67</v>
      </c>
      <c r="AN32" s="31">
        <f>IF(VLOOKUP(ROUND(CONCATENATE($A32,AN$2),0),'Cadastro dos Padrões'!$A$2:$V$4400,AN$1,FALSE)="","-",VLOOKUP(ROUND(CONCATENATE($A32,AN$2),0),'Cadastro dos Padrões'!$A$2:$V$4400,AN$1,FALSE))</f>
        <v>50</v>
      </c>
      <c r="AO32" s="31">
        <f>IF(VLOOKUP(ROUND(CONCATENATE($A32,AO$2),0),'Cadastro dos Padrões'!$A$2:$V$4400,AO$1,FALSE)="","-",VLOOKUP(ROUND(CONCATENATE($A32,AO$2),0),'Cadastro dos Padrões'!$A$2:$V$4400,AO$1,FALSE))</f>
        <v>0.53</v>
      </c>
      <c r="AP32" s="31">
        <f>IF(VLOOKUP(ROUND(CONCATENATE($A32,AP$2),0),'Cadastro dos Padrões'!$A$2:$V$4400,AP$1,FALSE)="","-",VLOOKUP(ROUND(CONCATENATE($A32,AP$2),0),'Cadastro dos Padrões'!$A$2:$V$4400,AP$1,FALSE))</f>
        <v>2.04</v>
      </c>
      <c r="AQ32" s="31">
        <f>IF(VLOOKUP(ROUND(CONCATENATE($A32,AQ$2),0),'Cadastro dos Padrões'!$A$2:$V$4400,AQ$1,FALSE)="","-",VLOOKUP(ROUND(CONCATENATE($A32,AQ$2),0),'Cadastro dos Padrões'!$A$2:$V$4400,AQ$1,FALSE))</f>
        <v>67</v>
      </c>
      <c r="AR32" s="31">
        <f>IF(VLOOKUP(ROUND(CONCATENATE($A32,AR$2),0),'Cadastro dos Padrões'!$A$2:$V$4400,AR$1,FALSE)="","-",VLOOKUP(ROUND(CONCATENATE($A32,AR$2),0),'Cadastro dos Padrões'!$A$2:$V$4400,AR$1,FALSE))</f>
        <v>79.989999999999995</v>
      </c>
      <c r="AS32" s="31">
        <f>IF(VLOOKUP(ROUND(CONCATENATE($A32,AS$2),0),'Cadastro dos Padrões'!$A$2:$V$4400,AS$1,FALSE)="","-",VLOOKUP(ROUND(CONCATENATE($A32,AS$2),0),'Cadastro dos Padrões'!$A$2:$V$4400,AS$1,FALSE))</f>
        <v>0.8</v>
      </c>
      <c r="AT32" s="31">
        <f>IF(VLOOKUP(ROUND(CONCATENATE($A32,AT$2),0),'Cadastro dos Padrões'!$A$2:$V$4400,AT$1,FALSE)="","-",VLOOKUP(ROUND(CONCATENATE($A32,AT$2),0),'Cadastro dos Padrões'!$A$2:$V$4400,AT$1,FALSE))</f>
        <v>2.04</v>
      </c>
      <c r="AU32" s="31">
        <f>IF(VLOOKUP(ROUND(CONCATENATE($A32,AU$2),0),'Cadastro dos Padrões'!$A$2:$V$4400,AU$1,FALSE)="","-",VLOOKUP(ROUND(CONCATENATE($A32,AU$2),0),'Cadastro dos Padrões'!$A$2:$V$4400,AU$1,FALSE))</f>
        <v>68</v>
      </c>
      <c r="AV32" s="31">
        <f>IF(VLOOKUP(ROUND(CONCATENATE($A32,AV$2),0),'Cadastro dos Padrões'!$A$2:$V$4400,AV$1,FALSE)="","-",VLOOKUP(ROUND(CONCATENATE($A32,AV$2),0),'Cadastro dos Padrões'!$A$2:$V$4400,AV$1,FALSE))</f>
        <v>97.97</v>
      </c>
      <c r="AW32" s="31">
        <f>IF(VLOOKUP(ROUND(CONCATENATE($A32,AW$2),0),'Cadastro dos Padrões'!$A$2:$V$4400,AW$1,FALSE)="","-",VLOOKUP(ROUND(CONCATENATE($A32,AW$2),0),'Cadastro dos Padrões'!$A$2:$V$4400,AW$1,FALSE))</f>
        <v>0.93</v>
      </c>
      <c r="AX32" s="31">
        <f>IF(VLOOKUP(ROUND(CONCATENATE($A32,AX$2),0),'Cadastro dos Padrões'!$A$2:$V$4400,AX$1,FALSE)="","-",VLOOKUP(ROUND(CONCATENATE($A32,AX$2),0),'Cadastro dos Padrões'!$A$2:$V$4400,AX$1,FALSE))</f>
        <v>2.04</v>
      </c>
      <c r="AY32" s="31">
        <f>IF(VLOOKUP(ROUND(CONCATENATE($A32,AY$2),0),'Cadastro dos Padrões'!$A$2:$V$4400,AY$1,FALSE)="","-",VLOOKUP(ROUND(CONCATENATE($A32,AY$2),0),'Cadastro dos Padrões'!$A$2:$V$4400,AY$1,FALSE))</f>
        <v>62</v>
      </c>
      <c r="AZ32" s="31" t="str">
        <f>IF(VLOOKUP(ROUND(CONCATENATE($A32,AZ$2),0),'Cadastro dos Padrões'!$A$2:$V$4400,AZ$1,FALSE)="","-",VLOOKUP(ROUND(CONCATENATE($A32,AZ$2),0),'Cadastro dos Padrões'!$A$2:$V$4400,AZ$1,FALSE))</f>
        <v>-</v>
      </c>
      <c r="BA32" s="31" t="str">
        <f>IF(VLOOKUP(ROUND(CONCATENATE($A32,BA$2),0),'Cadastro dos Padrões'!$A$2:$V$4400,BA$1,FALSE)="","-",VLOOKUP(ROUND(CONCATENATE($A32,BA$2),0),'Cadastro dos Padrões'!$A$2:$V$4400,BA$1,FALSE))</f>
        <v>-</v>
      </c>
      <c r="BB32" s="31" t="str">
        <f>IF(VLOOKUP(ROUND(CONCATENATE($A32,BB$2),0),'Cadastro dos Padrões'!$A$2:$V$4400,BB$1,FALSE)="","-",VLOOKUP(ROUND(CONCATENATE($A32,BB$2),0),'Cadastro dos Padrões'!$A$2:$V$4400,BB$1,FALSE))</f>
        <v>-</v>
      </c>
      <c r="BC32" s="31" t="str">
        <f>IF(VLOOKUP(ROUND(CONCATENATE($A32,BC$2),0),'Cadastro dos Padrões'!$A$2:$V$4400,BC$1,FALSE)="","-",VLOOKUP(ROUND(CONCATENATE($A32,BC$2),0),'Cadastro dos Padrões'!$A$2:$V$4400,BC$1,FALSE))</f>
        <v>-</v>
      </c>
      <c r="BD32" s="31" t="str">
        <f>IF(VLOOKUP(ROUND(CONCATENATE($A32,BD$2),0),'Cadastro dos Padrões'!$A$2:$V$4400,BD$1,FALSE)="","-",VLOOKUP(ROUND(CONCATENATE($A32,BD$2),0),'Cadastro dos Padrões'!$A$2:$V$4400,BD$1,FALSE))</f>
        <v>-</v>
      </c>
      <c r="BE32" s="31" t="str">
        <f>IF(VLOOKUP(ROUND(CONCATENATE($A32,BE$2),0),'Cadastro dos Padrões'!$A$2:$V$4400,BE$1,FALSE)="","-",VLOOKUP(ROUND(CONCATENATE($A32,BE$2),0),'Cadastro dos Padrões'!$A$2:$V$4400,BE$1,FALSE))</f>
        <v>-</v>
      </c>
      <c r="BF32" s="31" t="str">
        <f>IF(VLOOKUP(ROUND(CONCATENATE($A32,BF$2),0),'Cadastro dos Padrões'!$A$2:$V$4400,BF$1,FALSE)="","-",VLOOKUP(ROUND(CONCATENATE($A32,BF$2),0),'Cadastro dos Padrões'!$A$2:$V$4400,BF$1,FALSE))</f>
        <v>-</v>
      </c>
      <c r="BG32" s="31" t="str">
        <f>IF(VLOOKUP(ROUND(CONCATENATE($A32,BG$2),0),'Cadastro dos Padrões'!$A$2:$V$4400,BG$1,FALSE)="","-",VLOOKUP(ROUND(CONCATENATE($A32,BG$2),0),'Cadastro dos Padrões'!$A$2:$V$4400,BG$1,FALSE))</f>
        <v>-</v>
      </c>
      <c r="BH32" s="31" t="str">
        <f>IF(VLOOKUP(ROUND(CONCATENATE($A32,BH$2),0),'Cadastro dos Padrões'!$A$2:$V$4400,BH$1,FALSE)="","-",VLOOKUP(ROUND(CONCATENATE($A32,BH$2),0),'Cadastro dos Padrões'!$A$2:$V$4400,BH$1,FALSE))</f>
        <v>-</v>
      </c>
      <c r="BI32" s="31" t="str">
        <f>IF(VLOOKUP(ROUND(CONCATENATE($A32,BI$2),0),'Cadastro dos Padrões'!$A$2:$V$4400,BI$1,FALSE)="","-",VLOOKUP(ROUND(CONCATENATE($A32,BI$2),0),'Cadastro dos Padrões'!$A$2:$V$4400,BI$1,FALSE))</f>
        <v>-</v>
      </c>
      <c r="BJ32" s="31" t="str">
        <f>IF(VLOOKUP(ROUND(CONCATENATE($A32,BJ$2),0),'Cadastro dos Padrões'!$A$2:$V$4400,BJ$1,FALSE)="","-",VLOOKUP(ROUND(CONCATENATE($A32,BJ$2),0),'Cadastro dos Padrões'!$A$2:$V$4400,BJ$1,FALSE))</f>
        <v>-</v>
      </c>
      <c r="BK32" s="31" t="str">
        <f>IF(VLOOKUP(ROUND(CONCATENATE($A32,BK$2),0),'Cadastro dos Padrões'!$A$2:$V$4400,BK$1,FALSE)="","-",VLOOKUP(ROUND(CONCATENATE($A32,BK$2),0),'Cadastro dos Padrões'!$A$2:$V$4400,BK$1,FALSE))</f>
        <v>-</v>
      </c>
      <c r="BL32" s="31" t="str">
        <f>IF(VLOOKUP(ROUND(CONCATENATE($A32,BL$2),0),'Cadastro dos Padrões'!$A$2:$V$4400,BL$1,FALSE)="","-",VLOOKUP(ROUND(CONCATENATE($A32,BL$2),0),'Cadastro dos Padrões'!$A$2:$V$4400,BL$1,FALSE))</f>
        <v>-</v>
      </c>
      <c r="BM32" s="31" t="str">
        <f>IF(VLOOKUP(ROUND(CONCATENATE($A32,BM$2),0),'Cadastro dos Padrões'!$A$2:$V$4400,BM$1,FALSE)="","-",VLOOKUP(ROUND(CONCATENATE($A32,BM$2),0),'Cadastro dos Padrões'!$A$2:$V$4400,BM$1,FALSE))</f>
        <v>-</v>
      </c>
      <c r="BN32" s="31" t="str">
        <f>IF(VLOOKUP(ROUND(CONCATENATE($A32,BN$2),0),'Cadastro dos Padrões'!$A$2:$V$4400,BN$1,FALSE)="","-",VLOOKUP(ROUND(CONCATENATE($A32,BN$2),0),'Cadastro dos Padrões'!$A$2:$V$4400,BN$1,FALSE))</f>
        <v>-</v>
      </c>
      <c r="BO32" s="31" t="str">
        <f>IF(VLOOKUP(ROUND(CONCATENATE($A32,BO$2),0),'Cadastro dos Padrões'!$A$2:$V$4400,BO$1,FALSE)="","-",VLOOKUP(ROUND(CONCATENATE($A32,BO$2),0),'Cadastro dos Padrões'!$A$2:$V$4400,BO$1,FALSE))</f>
        <v>-</v>
      </c>
    </row>
    <row r="33" spans="1:67" x14ac:dyDescent="0.3">
      <c r="A33" s="6">
        <f t="shared" si="52"/>
        <v>28</v>
      </c>
      <c r="B33" s="31" t="str">
        <f>IF(VLOOKUP(ROUND(CONCATENATE($A33,B$2),0),'Cadastro dos Padrões'!$A$2:$V$4400,B$1,FALSE)="","-",VLOOKUP(ROUND(CONCATENATE($A33,B$2),0),'Cadastro dos Padrões'!$A$2:$V$4400,B$1,FALSE))</f>
        <v>E.TH.LT-030</v>
      </c>
      <c r="C33" s="31" t="str">
        <f>IF($B33="-","-",VLOOKUP(ROUND(CONCATENATE($A33,C$2),0),'Cadastro dos Padrões'!$A$2:$V$4400,C$1,FALSE))</f>
        <v>Termohigrômetro Digital</v>
      </c>
      <c r="D33" s="31">
        <f>IF($B33="-","-",VLOOKUP(ROUND(CONCATENATE($A33,D$2),0),'Cadastro dos Padrões'!$A$2:$V$4400,D$1,FALSE))</f>
        <v>20</v>
      </c>
      <c r="E33" s="31" t="str">
        <f>IF($B33="-","-",VLOOKUP(ROUND(CONCATENATE($A33,E$2),0),'Cadastro dos Padrões'!$A$2:$V$4400,E$1,FALSE))</f>
        <v>Elus</v>
      </c>
      <c r="F33" s="31" t="str">
        <f>IF($B33="-","-",VLOOKUP(ROUND(CONCATENATE($A33,F$2),0),'Cadastro dos Padrões'!$A$2:$V$4400,F$1,FALSE))</f>
        <v>RBC - CAL 0439</v>
      </c>
      <c r="G33" s="31" t="str">
        <f>IF($B33="-","-",VLOOKUP(ROUND(CONCATENATE($A33,G$2),0),'Cadastro dos Padrões'!$A$2:$V$4400,G$1,FALSE))</f>
        <v>E0845/25</v>
      </c>
      <c r="H33" s="32">
        <f>IF($B33="-","-",VLOOKUP(ROUND(CONCATENATE($A33,H$2),0),'Cadastro dos Padrões'!$A$2:$V$4400,H$1,FALSE))</f>
        <v>45989</v>
      </c>
      <c r="I33" s="33">
        <f>IF($B33="-","-",VLOOKUP(ROUND(CONCATENATE($A33,I$2),0),'Cadastro dos Padrões'!$A$2:$V$4400,I$1,FALSE))</f>
        <v>46170</v>
      </c>
      <c r="J33" s="31" t="str">
        <f>IF($B33="-","-",VLOOKUP(ROUND(CONCATENATE($A33,J$2),0),'Cadastro dos Padrões'!$A$2:$V$4400,J$1,FALSE))</f>
        <v>%ur</v>
      </c>
      <c r="K33" s="31">
        <f>IF($B33="-","-",VLOOKUP(ROUND(CONCATENATE($A33,K$2),0),'Cadastro dos Padrões'!$A$2:$V$4400,K$1,FALSE))</f>
        <v>5.01</v>
      </c>
      <c r="L33" s="31">
        <f>IF($B33="-","-",VLOOKUP(ROUND(CONCATENATE($A33,L$2),0),'Cadastro dos Padrões'!$A$2:$V$4400,L$1,FALSE))</f>
        <v>97.96</v>
      </c>
      <c r="M33" s="31">
        <f>IF($B33="-","-",VLOOKUP(ROUND(CONCATENATE($A33,M$2),0),'Cadastro dos Padrões'!$A$2:$V$4400,M$1,FALSE))</f>
        <v>0.01</v>
      </c>
      <c r="N33" s="31">
        <f>IF($B33="-","-",VLOOKUP(ROUND(CONCATENATE($A33,N$2),0),'Cadastro dos Padrões'!$A$2:$V$4400,N$1,FALSE))</f>
        <v>0.89000000000000057</v>
      </c>
      <c r="O33" s="31">
        <f>IF($B33="-","-",VLOOKUP(ROUND(CONCATENATE($A33,O$2),0),'Cadastro dos Padrões'!$A$2:$V$4400,O$1,FALSE))</f>
        <v>0.99</v>
      </c>
      <c r="P33" s="31">
        <f>IF($B33="-","-",VLOOKUP(ROUND(CONCATENATE($A33,P$2),0),'Cadastro dos Padrões'!$A$2:$V$4400,P$1,FALSE))</f>
        <v>1.0999999999999996</v>
      </c>
      <c r="Q33" s="31">
        <f>IF($B33="-","-",VLOOKUP(ROUND(CONCATENATE($A33,Q$2),0),'Cadastro dos Padrões'!$A$2:$V$4400,Q$1,FALSE))</f>
        <v>0.15520648576805929</v>
      </c>
      <c r="R33" s="31">
        <f>IF($B33="-","-",VLOOKUP(ROUND(CONCATENATE($A33,R$2),0),'Cadastro dos Padrões'!$A$2:$V$4400,R$1,FALSE))</f>
        <v>4</v>
      </c>
      <c r="S33" s="31">
        <f>IF($B33="-","-",VLOOKUP(ROUND(CONCATENATE($A33,S$2),0),'Cadastro dos Padrões'!$A$2:$V$4400,S$1,FALSE))</f>
        <v>0</v>
      </c>
      <c r="T33" s="31">
        <f>IF($B33="-","-",VLOOKUP(ROUND(CONCATENATE($A33,T$2),0),'Cadastro dos Padrões'!$A$2:$V$4400,T$1,FALSE))</f>
        <v>0</v>
      </c>
      <c r="U33" s="31">
        <f>IF($B33="-","-",VLOOKUP(ROUND(CONCATENATE($A33,U$2),0),'Cadastro dos Padrões'!$A$2:$V$4400,U$1,FALSE))</f>
        <v>0</v>
      </c>
      <c r="V33" s="31">
        <f>IF($B33="-","-",VLOOKUP(ROUND(CONCATENATE($A33,V$2),0),'Cadastro dos Padrões'!$A$2:$V$4400,V$1,FALSE))</f>
        <v>0</v>
      </c>
      <c r="W33" s="31">
        <f>IF($B33="-","-",VLOOKUP(ROUND(CONCATENATE($A33,W$2),0),'Cadastro dos Padrões'!$A$2:$V$4400,W$1,FALSE))</f>
        <v>-1.0863305621617384E-7</v>
      </c>
      <c r="X33" s="31">
        <f>IF($B33="-","-",VLOOKUP(ROUND(CONCATENATE($A33,X$2),0),'Cadastro dos Padrões'!$A$2:$V$4400,X$1,FALSE))</f>
        <v>1.6304673757770385E-5</v>
      </c>
      <c r="Y33" s="31">
        <f>IF($B33="-","-",VLOOKUP(ROUND(CONCATENATE($A33,Y$2),0),'Cadastro dos Padrões'!$A$2:$V$4400,Y$1,FALSE))</f>
        <v>-3.7878043491504132E-4</v>
      </c>
      <c r="Z33" s="31">
        <f>IF($B33="-","-",VLOOKUP(ROUND(CONCATENATE($A33,Z$2),0),'Cadastro dos Padrões'!$A$2:$V$4400,Z$1,FALSE))</f>
        <v>0.98207721071576493</v>
      </c>
      <c r="AA33" s="31">
        <f>IF($B33="-","-",VLOOKUP(ROUND(CONCATENATE($A33,AA$2),0),'Cadastro dos Padrões'!$A$2:$V$4400,AA$1,FALSE))</f>
        <v>0.87745907256762434</v>
      </c>
      <c r="AB33" s="31">
        <f>IF(VLOOKUP(ROUND(CONCATENATE($A33,AB$2),0),'Cadastro dos Padrões'!$A$2:$V$4400,AB$1,FALSE)="","-",VLOOKUP(ROUND(CONCATENATE($A33,AB$2),0),'Cadastro dos Padrões'!$A$2:$V$4400,AB$1,FALSE))</f>
        <v>5.01</v>
      </c>
      <c r="AC33" s="31">
        <f>IF(VLOOKUP(ROUND(CONCATENATE($A33,AC$2),0),'Cadastro dos Padrões'!$A$2:$V$4400,AC$1,FALSE)="","-",VLOOKUP(ROUND(CONCATENATE($A33,AC$2),0),'Cadastro dos Padrões'!$A$2:$V$4400,AC$1,FALSE))</f>
        <v>0.25</v>
      </c>
      <c r="AD33" s="31">
        <f>IF(VLOOKUP(ROUND(CONCATENATE($A33,AD$2),0),'Cadastro dos Padrões'!$A$2:$V$4400,AD$1,FALSE)="","-",VLOOKUP(ROUND(CONCATENATE($A33,AD$2),0),'Cadastro dos Padrões'!$A$2:$V$4400,AD$1,FALSE))</f>
        <v>2.0299999999999998</v>
      </c>
      <c r="AE33" s="31">
        <f>IF(VLOOKUP(ROUND(CONCATENATE($A33,AE$2),0),'Cadastro dos Padrões'!$A$2:$V$4400,AE$1,FALSE)="","-",VLOOKUP(ROUND(CONCATENATE($A33,AE$2),0),'Cadastro dos Padrões'!$A$2:$V$4400,AE$1,FALSE))</f>
        <v>87</v>
      </c>
      <c r="AF33" s="31">
        <f>IF(VLOOKUP(ROUND(CONCATENATE($A33,AF$2),0),'Cadastro dos Padrões'!$A$2:$V$4400,AF$1,FALSE)="","-",VLOOKUP(ROUND(CONCATENATE($A33,AF$2),0),'Cadastro dos Padrões'!$A$2:$V$4400,AF$1,FALSE))</f>
        <v>20.010000000000002</v>
      </c>
      <c r="AG33" s="31">
        <f>IF(VLOOKUP(ROUND(CONCATENATE($A33,AG$2),0),'Cadastro dos Padrões'!$A$2:$V$4400,AG$1,FALSE)="","-",VLOOKUP(ROUND(CONCATENATE($A33,AG$2),0),'Cadastro dos Padrões'!$A$2:$V$4400,AG$1,FALSE))</f>
        <v>0.27</v>
      </c>
      <c r="AH33" s="31">
        <f>IF(VLOOKUP(ROUND(CONCATENATE($A33,AH$2),0),'Cadastro dos Padrões'!$A$2:$V$4400,AH$1,FALSE)="","-",VLOOKUP(ROUND(CONCATENATE($A33,AH$2),0),'Cadastro dos Padrões'!$A$2:$V$4400,AH$1,FALSE))</f>
        <v>2.04</v>
      </c>
      <c r="AI33" s="31">
        <f>IF(VLOOKUP(ROUND(CONCATENATE($A33,AI$2),0),'Cadastro dos Padrões'!$A$2:$V$4400,AI$1,FALSE)="","-",VLOOKUP(ROUND(CONCATENATE($A33,AI$2),0),'Cadastro dos Padrões'!$A$2:$V$4400,AI$1,FALSE))</f>
        <v>65</v>
      </c>
      <c r="AJ33" s="31">
        <f>IF(VLOOKUP(ROUND(CONCATENATE($A33,AJ$2),0),'Cadastro dos Padrões'!$A$2:$V$4400,AJ$1,FALSE)="","-",VLOOKUP(ROUND(CONCATENATE($A33,AJ$2),0),'Cadastro dos Padrões'!$A$2:$V$4400,AJ$1,FALSE))</f>
        <v>29.99</v>
      </c>
      <c r="AK33" s="31">
        <f>IF(VLOOKUP(ROUND(CONCATENATE($A33,AK$2),0),'Cadastro dos Padrões'!$A$2:$V$4400,AK$1,FALSE)="","-",VLOOKUP(ROUND(CONCATENATE($A33,AK$2),0),'Cadastro dos Padrões'!$A$2:$V$4400,AK$1,FALSE))</f>
        <v>0.35</v>
      </c>
      <c r="AL33" s="31">
        <f>IF(VLOOKUP(ROUND(CONCATENATE($A33,AL$2),0),'Cadastro dos Padrões'!$A$2:$V$4400,AL$1,FALSE)="","-",VLOOKUP(ROUND(CONCATENATE($A33,AL$2),0),'Cadastro dos Padrões'!$A$2:$V$4400,AL$1,FALSE))</f>
        <v>2.04</v>
      </c>
      <c r="AM33" s="31">
        <f>IF(VLOOKUP(ROUND(CONCATENATE($A33,AM$2),0),'Cadastro dos Padrões'!$A$2:$V$4400,AM$1,FALSE)="","-",VLOOKUP(ROUND(CONCATENATE($A33,AM$2),0),'Cadastro dos Padrões'!$A$2:$V$4400,AM$1,FALSE))</f>
        <v>67</v>
      </c>
      <c r="AN33" s="31">
        <f>IF(VLOOKUP(ROUND(CONCATENATE($A33,AN$2),0),'Cadastro dos Padrões'!$A$2:$V$4400,AN$1,FALSE)="","-",VLOOKUP(ROUND(CONCATENATE($A33,AN$2),0),'Cadastro dos Padrões'!$A$2:$V$4400,AN$1,FALSE))</f>
        <v>50.01</v>
      </c>
      <c r="AO33" s="31">
        <f>IF(VLOOKUP(ROUND(CONCATENATE($A33,AO$2),0),'Cadastro dos Padrões'!$A$2:$V$4400,AO$1,FALSE)="","-",VLOOKUP(ROUND(CONCATENATE($A33,AO$2),0),'Cadastro dos Padrões'!$A$2:$V$4400,AO$1,FALSE))</f>
        <v>0.55000000000000004</v>
      </c>
      <c r="AP33" s="31">
        <f>IF(VLOOKUP(ROUND(CONCATENATE($A33,AP$2),0),'Cadastro dos Padrões'!$A$2:$V$4400,AP$1,FALSE)="","-",VLOOKUP(ROUND(CONCATENATE($A33,AP$2),0),'Cadastro dos Padrões'!$A$2:$V$4400,AP$1,FALSE))</f>
        <v>2.04</v>
      </c>
      <c r="AQ33" s="31">
        <f>IF(VLOOKUP(ROUND(CONCATENATE($A33,AQ$2),0),'Cadastro dos Padrões'!$A$2:$V$4400,AQ$1,FALSE)="","-",VLOOKUP(ROUND(CONCATENATE($A33,AQ$2),0),'Cadastro dos Padrões'!$A$2:$V$4400,AQ$1,FALSE))</f>
        <v>67</v>
      </c>
      <c r="AR33" s="31">
        <f>IF(VLOOKUP(ROUND(CONCATENATE($A33,AR$2),0),'Cadastro dos Padrões'!$A$2:$V$4400,AR$1,FALSE)="","-",VLOOKUP(ROUND(CONCATENATE($A33,AR$2),0),'Cadastro dos Padrões'!$A$2:$V$4400,AR$1,FALSE))</f>
        <v>80.010000000000005</v>
      </c>
      <c r="AS33" s="31">
        <f>IF(VLOOKUP(ROUND(CONCATENATE($A33,AS$2),0),'Cadastro dos Padrões'!$A$2:$V$4400,AS$1,FALSE)="","-",VLOOKUP(ROUND(CONCATENATE($A33,AS$2),0),'Cadastro dos Padrões'!$A$2:$V$4400,AS$1,FALSE))</f>
        <v>0.83</v>
      </c>
      <c r="AT33" s="31">
        <f>IF(VLOOKUP(ROUND(CONCATENATE($A33,AT$2),0),'Cadastro dos Padrões'!$A$2:$V$4400,AT$1,FALSE)="","-",VLOOKUP(ROUND(CONCATENATE($A33,AT$2),0),'Cadastro dos Padrões'!$A$2:$V$4400,AT$1,FALSE))</f>
        <v>2.04</v>
      </c>
      <c r="AU33" s="31">
        <f>IF(VLOOKUP(ROUND(CONCATENATE($A33,AU$2),0),'Cadastro dos Padrões'!$A$2:$V$4400,AU$1,FALSE)="","-",VLOOKUP(ROUND(CONCATENATE($A33,AU$2),0),'Cadastro dos Padrões'!$A$2:$V$4400,AU$1,FALSE))</f>
        <v>68</v>
      </c>
      <c r="AV33" s="31">
        <f>IF(VLOOKUP(ROUND(CONCATENATE($A33,AV$2),0),'Cadastro dos Padrões'!$A$2:$V$4400,AV$1,FALSE)="","-",VLOOKUP(ROUND(CONCATENATE($A33,AV$2),0),'Cadastro dos Padrões'!$A$2:$V$4400,AV$1,FALSE))</f>
        <v>97.96</v>
      </c>
      <c r="AW33" s="31">
        <f>IF(VLOOKUP(ROUND(CONCATENATE($A33,AW$2),0),'Cadastro dos Padrões'!$A$2:$V$4400,AW$1,FALSE)="","-",VLOOKUP(ROUND(CONCATENATE($A33,AW$2),0),'Cadastro dos Padrões'!$A$2:$V$4400,AW$1,FALSE))</f>
        <v>0.99</v>
      </c>
      <c r="AX33" s="31">
        <f>IF(VLOOKUP(ROUND(CONCATENATE($A33,AX$2),0),'Cadastro dos Padrões'!$A$2:$V$4400,AX$1,FALSE)="","-",VLOOKUP(ROUND(CONCATENATE($A33,AX$2),0),'Cadastro dos Padrões'!$A$2:$V$4400,AX$1,FALSE))</f>
        <v>2.04</v>
      </c>
      <c r="AY33" s="31">
        <f>IF(VLOOKUP(ROUND(CONCATENATE($A33,AY$2),0),'Cadastro dos Padrões'!$A$2:$V$4400,AY$1,FALSE)="","-",VLOOKUP(ROUND(CONCATENATE($A33,AY$2),0),'Cadastro dos Padrões'!$A$2:$V$4400,AY$1,FALSE))</f>
        <v>68</v>
      </c>
      <c r="AZ33" s="31" t="str">
        <f>IF(VLOOKUP(ROUND(CONCATENATE($A33,AZ$2),0),'Cadastro dos Padrões'!$A$2:$V$4400,AZ$1,FALSE)="","-",VLOOKUP(ROUND(CONCATENATE($A33,AZ$2),0),'Cadastro dos Padrões'!$A$2:$V$4400,AZ$1,FALSE))</f>
        <v>-</v>
      </c>
      <c r="BA33" s="31" t="str">
        <f>IF(VLOOKUP(ROUND(CONCATENATE($A33,BA$2),0),'Cadastro dos Padrões'!$A$2:$V$4400,BA$1,FALSE)="","-",VLOOKUP(ROUND(CONCATENATE($A33,BA$2),0),'Cadastro dos Padrões'!$A$2:$V$4400,BA$1,FALSE))</f>
        <v>-</v>
      </c>
      <c r="BB33" s="31" t="str">
        <f>IF(VLOOKUP(ROUND(CONCATENATE($A33,BB$2),0),'Cadastro dos Padrões'!$A$2:$V$4400,BB$1,FALSE)="","-",VLOOKUP(ROUND(CONCATENATE($A33,BB$2),0),'Cadastro dos Padrões'!$A$2:$V$4400,BB$1,FALSE))</f>
        <v>-</v>
      </c>
      <c r="BC33" s="31" t="str">
        <f>IF(VLOOKUP(ROUND(CONCATENATE($A33,BC$2),0),'Cadastro dos Padrões'!$A$2:$V$4400,BC$1,FALSE)="","-",VLOOKUP(ROUND(CONCATENATE($A33,BC$2),0),'Cadastro dos Padrões'!$A$2:$V$4400,BC$1,FALSE))</f>
        <v>-</v>
      </c>
      <c r="BD33" s="31" t="str">
        <f>IF(VLOOKUP(ROUND(CONCATENATE($A33,BD$2),0),'Cadastro dos Padrões'!$A$2:$V$4400,BD$1,FALSE)="","-",VLOOKUP(ROUND(CONCATENATE($A33,BD$2),0),'Cadastro dos Padrões'!$A$2:$V$4400,BD$1,FALSE))</f>
        <v>-</v>
      </c>
      <c r="BE33" s="31" t="str">
        <f>IF(VLOOKUP(ROUND(CONCATENATE($A33,BE$2),0),'Cadastro dos Padrões'!$A$2:$V$4400,BE$1,FALSE)="","-",VLOOKUP(ROUND(CONCATENATE($A33,BE$2),0),'Cadastro dos Padrões'!$A$2:$V$4400,BE$1,FALSE))</f>
        <v>-</v>
      </c>
      <c r="BF33" s="31" t="str">
        <f>IF(VLOOKUP(ROUND(CONCATENATE($A33,BF$2),0),'Cadastro dos Padrões'!$A$2:$V$4400,BF$1,FALSE)="","-",VLOOKUP(ROUND(CONCATENATE($A33,BF$2),0),'Cadastro dos Padrões'!$A$2:$V$4400,BF$1,FALSE))</f>
        <v>-</v>
      </c>
      <c r="BG33" s="31" t="str">
        <f>IF(VLOOKUP(ROUND(CONCATENATE($A33,BG$2),0),'Cadastro dos Padrões'!$A$2:$V$4400,BG$1,FALSE)="","-",VLOOKUP(ROUND(CONCATENATE($A33,BG$2),0),'Cadastro dos Padrões'!$A$2:$V$4400,BG$1,FALSE))</f>
        <v>-</v>
      </c>
      <c r="BH33" s="31" t="str">
        <f>IF(VLOOKUP(ROUND(CONCATENATE($A33,BH$2),0),'Cadastro dos Padrões'!$A$2:$V$4400,BH$1,FALSE)="","-",VLOOKUP(ROUND(CONCATENATE($A33,BH$2),0),'Cadastro dos Padrões'!$A$2:$V$4400,BH$1,FALSE))</f>
        <v>-</v>
      </c>
      <c r="BI33" s="31" t="str">
        <f>IF(VLOOKUP(ROUND(CONCATENATE($A33,BI$2),0),'Cadastro dos Padrões'!$A$2:$V$4400,BI$1,FALSE)="","-",VLOOKUP(ROUND(CONCATENATE($A33,BI$2),0),'Cadastro dos Padrões'!$A$2:$V$4400,BI$1,FALSE))</f>
        <v>-</v>
      </c>
      <c r="BJ33" s="31" t="str">
        <f>IF(VLOOKUP(ROUND(CONCATENATE($A33,BJ$2),0),'Cadastro dos Padrões'!$A$2:$V$4400,BJ$1,FALSE)="","-",VLOOKUP(ROUND(CONCATENATE($A33,BJ$2),0),'Cadastro dos Padrões'!$A$2:$V$4400,BJ$1,FALSE))</f>
        <v>-</v>
      </c>
      <c r="BK33" s="31" t="str">
        <f>IF(VLOOKUP(ROUND(CONCATENATE($A33,BK$2),0),'Cadastro dos Padrões'!$A$2:$V$4400,BK$1,FALSE)="","-",VLOOKUP(ROUND(CONCATENATE($A33,BK$2),0),'Cadastro dos Padrões'!$A$2:$V$4400,BK$1,FALSE))</f>
        <v>-</v>
      </c>
      <c r="BL33" s="31" t="str">
        <f>IF(VLOOKUP(ROUND(CONCATENATE($A33,BL$2),0),'Cadastro dos Padrões'!$A$2:$V$4400,BL$1,FALSE)="","-",VLOOKUP(ROUND(CONCATENATE($A33,BL$2),0),'Cadastro dos Padrões'!$A$2:$V$4400,BL$1,FALSE))</f>
        <v>-</v>
      </c>
      <c r="BM33" s="31" t="str">
        <f>IF(VLOOKUP(ROUND(CONCATENATE($A33,BM$2),0),'Cadastro dos Padrões'!$A$2:$V$4400,BM$1,FALSE)="","-",VLOOKUP(ROUND(CONCATENATE($A33,BM$2),0),'Cadastro dos Padrões'!$A$2:$V$4400,BM$1,FALSE))</f>
        <v>-</v>
      </c>
      <c r="BN33" s="31" t="str">
        <f>IF(VLOOKUP(ROUND(CONCATENATE($A33,BN$2),0),'Cadastro dos Padrões'!$A$2:$V$4400,BN$1,FALSE)="","-",VLOOKUP(ROUND(CONCATENATE($A33,BN$2),0),'Cadastro dos Padrões'!$A$2:$V$4400,BN$1,FALSE))</f>
        <v>-</v>
      </c>
      <c r="BO33" s="31" t="str">
        <f>IF(VLOOKUP(ROUND(CONCATENATE($A33,BO$2),0),'Cadastro dos Padrões'!$A$2:$V$4400,BO$1,FALSE)="","-",VLOOKUP(ROUND(CONCATENATE($A33,BO$2),0),'Cadastro dos Padrões'!$A$2:$V$4400,BO$1,FALSE))</f>
        <v>-</v>
      </c>
    </row>
    <row r="34" spans="1:67" x14ac:dyDescent="0.3">
      <c r="A34" s="6">
        <f t="shared" si="52"/>
        <v>29</v>
      </c>
      <c r="B34" s="31" t="str">
        <f>IF(VLOOKUP(ROUND(CONCATENATE($A34,B$2),0),'Cadastro dos Padrões'!$A$2:$V$4400,B$1,FALSE)="","-",VLOOKUP(ROUND(CONCATENATE($A34,B$2),0),'Cadastro dos Padrões'!$A$2:$V$4400,B$1,FALSE))</f>
        <v>E.TH.LT-030</v>
      </c>
      <c r="C34" s="31" t="str">
        <f>IF($B34="-","-",VLOOKUP(ROUND(CONCATENATE($A34,C$2),0),'Cadastro dos Padrões'!$A$2:$V$4400,C$1,FALSE))</f>
        <v>Termohigrômetro Digital</v>
      </c>
      <c r="D34" s="31">
        <f>IF($B34="-","-",VLOOKUP(ROUND(CONCATENATE($A34,D$2),0),'Cadastro dos Padrões'!$A$2:$V$4400,D$1,FALSE))</f>
        <v>25</v>
      </c>
      <c r="E34" s="31" t="str">
        <f>IF($B34="-","-",VLOOKUP(ROUND(CONCATENATE($A34,E$2),0),'Cadastro dos Padrões'!$A$2:$V$4400,E$1,FALSE))</f>
        <v>Elus</v>
      </c>
      <c r="F34" s="31" t="str">
        <f>IF($B34="-","-",VLOOKUP(ROUND(CONCATENATE($A34,F$2),0),'Cadastro dos Padrões'!$A$2:$V$4400,F$1,FALSE))</f>
        <v>RBC - CAL 0439</v>
      </c>
      <c r="G34" s="31" t="str">
        <f>IF($B34="-","-",VLOOKUP(ROUND(CONCATENATE($A34,G$2),0),'Cadastro dos Padrões'!$A$2:$V$4400,G$1,FALSE))</f>
        <v>E0845/25</v>
      </c>
      <c r="H34" s="32">
        <f>IF($B34="-","-",VLOOKUP(ROUND(CONCATENATE($A34,H$2),0),'Cadastro dos Padrões'!$A$2:$V$4400,H$1,FALSE))</f>
        <v>45989</v>
      </c>
      <c r="I34" s="33">
        <f>IF($B34="-","-",VLOOKUP(ROUND(CONCATENATE($A34,I$2),0),'Cadastro dos Padrões'!$A$2:$V$4400,I$1,FALSE))</f>
        <v>46170</v>
      </c>
      <c r="J34" s="31" t="str">
        <f>IF($B34="-","-",VLOOKUP(ROUND(CONCATENATE($A34,J$2),0),'Cadastro dos Padrões'!$A$2:$V$4400,J$1,FALSE))</f>
        <v>%ur</v>
      </c>
      <c r="K34" s="31">
        <f>IF($B34="-","-",VLOOKUP(ROUND(CONCATENATE($A34,K$2),0),'Cadastro dos Padrões'!$A$2:$V$4400,K$1,FALSE))</f>
        <v>5.01</v>
      </c>
      <c r="L34" s="31">
        <f>IF($B34="-","-",VLOOKUP(ROUND(CONCATENATE($A34,L$2),0),'Cadastro dos Padrões'!$A$2:$V$4400,L$1,FALSE))</f>
        <v>97.97</v>
      </c>
      <c r="M34" s="31">
        <f>IF($B34="-","-",VLOOKUP(ROUND(CONCATENATE($A34,M$2),0),'Cadastro dos Padrões'!$A$2:$V$4400,M$1,FALSE))</f>
        <v>0.01</v>
      </c>
      <c r="N34" s="31">
        <f>IF($B34="-","-",VLOOKUP(ROUND(CONCATENATE($A34,N$2),0),'Cadastro dos Padrões'!$A$2:$V$4400,N$1,FALSE))</f>
        <v>0.45999999999999996</v>
      </c>
      <c r="O34" s="31">
        <f>IF($B34="-","-",VLOOKUP(ROUND(CONCATENATE($A34,O$2),0),'Cadastro dos Padrões'!$A$2:$V$4400,O$1,FALSE))</f>
        <v>0.93</v>
      </c>
      <c r="P34" s="31">
        <f>IF($B34="-","-",VLOOKUP(ROUND(CONCATENATE($A34,P$2),0),'Cadastro dos Padrões'!$A$2:$V$4400,P$1,FALSE))</f>
        <v>0.82000000000000739</v>
      </c>
      <c r="Q34" s="31">
        <f>IF($B34="-","-",VLOOKUP(ROUND(CONCATENATE($A34,Q$2),0),'Cadastro dos Padrões'!$A$2:$V$4400,Q$1,FALSE))</f>
        <v>2.8016279150355317E-2</v>
      </c>
      <c r="R34" s="31">
        <f>IF($B34="-","-",VLOOKUP(ROUND(CONCATENATE($A34,R$2),0),'Cadastro dos Padrões'!$A$2:$V$4400,R$1,FALSE))</f>
        <v>4</v>
      </c>
      <c r="S34" s="31">
        <f>IF($B34="-","-",VLOOKUP(ROUND(CONCATENATE($A34,S$2),0),'Cadastro dos Padrões'!$A$2:$V$4400,S$1,FALSE))</f>
        <v>0</v>
      </c>
      <c r="T34" s="31">
        <f>IF($B34="-","-",VLOOKUP(ROUND(CONCATENATE($A34,T$2),0),'Cadastro dos Padrões'!$A$2:$V$4400,T$1,FALSE))</f>
        <v>0</v>
      </c>
      <c r="U34" s="31">
        <f>IF($B34="-","-",VLOOKUP(ROUND(CONCATENATE($A34,U$2),0),'Cadastro dos Padrões'!$A$2:$V$4400,U$1,FALSE))</f>
        <v>0</v>
      </c>
      <c r="V34" s="31">
        <f>IF($B34="-","-",VLOOKUP(ROUND(CONCATENATE($A34,V$2),0),'Cadastro dos Padrões'!$A$2:$V$4400,V$1,FALSE))</f>
        <v>0</v>
      </c>
      <c r="W34" s="31">
        <f>IF($B34="-","-",VLOOKUP(ROUND(CONCATENATE($A34,W$2),0),'Cadastro dos Padrões'!$A$2:$V$4400,W$1,FALSE))</f>
        <v>2.0978538039685684E-8</v>
      </c>
      <c r="X34" s="31">
        <f>IF($B34="-","-",VLOOKUP(ROUND(CONCATENATE($A34,X$2),0),'Cadastro dos Padrões'!$A$2:$V$4400,X$1,FALSE))</f>
        <v>-7.956036523882949E-6</v>
      </c>
      <c r="Y34" s="31">
        <f>IF($B34="-","-",VLOOKUP(ROUND(CONCATENATE($A34,Y$2),0),'Cadastro dos Padrões'!$A$2:$V$4400,Y$1,FALSE))</f>
        <v>9.7282138091953887E-4</v>
      </c>
      <c r="Z34" s="31">
        <f>IF($B34="-","-",VLOOKUP(ROUND(CONCATENATE($A34,Z$2),0),'Cadastro dos Padrões'!$A$2:$V$4400,Z$1,FALSE))</f>
        <v>0.95596949358817485</v>
      </c>
      <c r="AA34" s="31">
        <f>IF($B34="-","-",VLOOKUP(ROUND(CONCATENATE($A34,AA$2),0),'Cadastro dos Padrões'!$A$2:$V$4400,AA$1,FALSE))</f>
        <v>0.6438003024512402</v>
      </c>
      <c r="AB34" s="31">
        <f>IF(VLOOKUP(ROUND(CONCATENATE($A34,AB$2),0),'Cadastro dos Padrões'!$A$2:$V$4400,AB$1,FALSE)="","-",VLOOKUP(ROUND(CONCATENATE($A34,AB$2),0),'Cadastro dos Padrões'!$A$2:$V$4400,AB$1,FALSE))</f>
        <v>5.01</v>
      </c>
      <c r="AC34" s="31">
        <f>IF(VLOOKUP(ROUND(CONCATENATE($A34,AC$2),0),'Cadastro dos Padrões'!$A$2:$V$4400,AC$1,FALSE)="","-",VLOOKUP(ROUND(CONCATENATE($A34,AC$2),0),'Cadastro dos Padrões'!$A$2:$V$4400,AC$1,FALSE))</f>
        <v>0.25</v>
      </c>
      <c r="AD34" s="31">
        <f>IF(VLOOKUP(ROUND(CONCATENATE($A34,AD$2),0),'Cadastro dos Padrões'!$A$2:$V$4400,AD$1,FALSE)="","-",VLOOKUP(ROUND(CONCATENATE($A34,AD$2),0),'Cadastro dos Padrões'!$A$2:$V$4400,AD$1,FALSE))</f>
        <v>2.0299999999999998</v>
      </c>
      <c r="AE34" s="31">
        <f>IF(VLOOKUP(ROUND(CONCATENATE($A34,AE$2),0),'Cadastro dos Padrões'!$A$2:$V$4400,AE$1,FALSE)="","-",VLOOKUP(ROUND(CONCATENATE($A34,AE$2),0),'Cadastro dos Padrões'!$A$2:$V$4400,AE$1,FALSE))</f>
        <v>87</v>
      </c>
      <c r="AF34" s="31">
        <f>IF(VLOOKUP(ROUND(CONCATENATE($A34,AF$2),0),'Cadastro dos Padrões'!$A$2:$V$4400,AF$1,FALSE)="","-",VLOOKUP(ROUND(CONCATENATE($A34,AF$2),0),'Cadastro dos Padrões'!$A$2:$V$4400,AF$1,FALSE))</f>
        <v>19.989999999999998</v>
      </c>
      <c r="AG34" s="31">
        <f>IF(VLOOKUP(ROUND(CONCATENATE($A34,AG$2),0),'Cadastro dos Padrões'!$A$2:$V$4400,AG$1,FALSE)="","-",VLOOKUP(ROUND(CONCATENATE($A34,AG$2),0),'Cadastro dos Padrões'!$A$2:$V$4400,AG$1,FALSE))</f>
        <v>0.25</v>
      </c>
      <c r="AH34" s="31">
        <f>IF(VLOOKUP(ROUND(CONCATENATE($A34,AH$2),0),'Cadastro dos Padrões'!$A$2:$V$4400,AH$1,FALSE)="","-",VLOOKUP(ROUND(CONCATENATE($A34,AH$2),0),'Cadastro dos Padrões'!$A$2:$V$4400,AH$1,FALSE))</f>
        <v>2.04</v>
      </c>
      <c r="AI34" s="31">
        <f>IF(VLOOKUP(ROUND(CONCATENATE($A34,AI$2),0),'Cadastro dos Padrões'!$A$2:$V$4400,AI$1,FALSE)="","-",VLOOKUP(ROUND(CONCATENATE($A34,AI$2),0),'Cadastro dos Padrões'!$A$2:$V$4400,AI$1,FALSE))</f>
        <v>66</v>
      </c>
      <c r="AJ34" s="31">
        <f>IF(VLOOKUP(ROUND(CONCATENATE($A34,AJ$2),0),'Cadastro dos Padrões'!$A$2:$V$4400,AJ$1,FALSE)="","-",VLOOKUP(ROUND(CONCATENATE($A34,AJ$2),0),'Cadastro dos Padrões'!$A$2:$V$4400,AJ$1,FALSE))</f>
        <v>30.01</v>
      </c>
      <c r="AK34" s="31">
        <f>IF(VLOOKUP(ROUND(CONCATENATE($A34,AK$2),0),'Cadastro dos Padrões'!$A$2:$V$4400,AK$1,FALSE)="","-",VLOOKUP(ROUND(CONCATENATE($A34,AK$2),0),'Cadastro dos Padrões'!$A$2:$V$4400,AK$1,FALSE))</f>
        <v>0.33</v>
      </c>
      <c r="AL34" s="31">
        <f>IF(VLOOKUP(ROUND(CONCATENATE($A34,AL$2),0),'Cadastro dos Padrões'!$A$2:$V$4400,AL$1,FALSE)="","-",VLOOKUP(ROUND(CONCATENATE($A34,AL$2),0),'Cadastro dos Padrões'!$A$2:$V$4400,AL$1,FALSE))</f>
        <v>2.04</v>
      </c>
      <c r="AM34" s="31">
        <f>IF(VLOOKUP(ROUND(CONCATENATE($A34,AM$2),0),'Cadastro dos Padrões'!$A$2:$V$4400,AM$1,FALSE)="","-",VLOOKUP(ROUND(CONCATENATE($A34,AM$2),0),'Cadastro dos Padrões'!$A$2:$V$4400,AM$1,FALSE))</f>
        <v>67</v>
      </c>
      <c r="AN34" s="31">
        <f>IF(VLOOKUP(ROUND(CONCATENATE($A34,AN$2),0),'Cadastro dos Padrões'!$A$2:$V$4400,AN$1,FALSE)="","-",VLOOKUP(ROUND(CONCATENATE($A34,AN$2),0),'Cadastro dos Padrões'!$A$2:$V$4400,AN$1,FALSE))</f>
        <v>50</v>
      </c>
      <c r="AO34" s="31">
        <f>IF(VLOOKUP(ROUND(CONCATENATE($A34,AO$2),0),'Cadastro dos Padrões'!$A$2:$V$4400,AO$1,FALSE)="","-",VLOOKUP(ROUND(CONCATENATE($A34,AO$2),0),'Cadastro dos Padrões'!$A$2:$V$4400,AO$1,FALSE))</f>
        <v>0.53</v>
      </c>
      <c r="AP34" s="31">
        <f>IF(VLOOKUP(ROUND(CONCATENATE($A34,AP$2),0),'Cadastro dos Padrões'!$A$2:$V$4400,AP$1,FALSE)="","-",VLOOKUP(ROUND(CONCATENATE($A34,AP$2),0),'Cadastro dos Padrões'!$A$2:$V$4400,AP$1,FALSE))</f>
        <v>2.04</v>
      </c>
      <c r="AQ34" s="31">
        <f>IF(VLOOKUP(ROUND(CONCATENATE($A34,AQ$2),0),'Cadastro dos Padrões'!$A$2:$V$4400,AQ$1,FALSE)="","-",VLOOKUP(ROUND(CONCATENATE($A34,AQ$2),0),'Cadastro dos Padrões'!$A$2:$V$4400,AQ$1,FALSE))</f>
        <v>67</v>
      </c>
      <c r="AR34" s="31">
        <f>IF(VLOOKUP(ROUND(CONCATENATE($A34,AR$2),0),'Cadastro dos Padrões'!$A$2:$V$4400,AR$1,FALSE)="","-",VLOOKUP(ROUND(CONCATENATE($A34,AR$2),0),'Cadastro dos Padrões'!$A$2:$V$4400,AR$1,FALSE))</f>
        <v>79.989999999999995</v>
      </c>
      <c r="AS34" s="31">
        <f>IF(VLOOKUP(ROUND(CONCATENATE($A34,AS$2),0),'Cadastro dos Padrões'!$A$2:$V$4400,AS$1,FALSE)="","-",VLOOKUP(ROUND(CONCATENATE($A34,AS$2),0),'Cadastro dos Padrões'!$A$2:$V$4400,AS$1,FALSE))</f>
        <v>0.8</v>
      </c>
      <c r="AT34" s="31">
        <f>IF(VLOOKUP(ROUND(CONCATENATE($A34,AT$2),0),'Cadastro dos Padrões'!$A$2:$V$4400,AT$1,FALSE)="","-",VLOOKUP(ROUND(CONCATENATE($A34,AT$2),0),'Cadastro dos Padrões'!$A$2:$V$4400,AT$1,FALSE))</f>
        <v>2.04</v>
      </c>
      <c r="AU34" s="31">
        <f>IF(VLOOKUP(ROUND(CONCATENATE($A34,AU$2),0),'Cadastro dos Padrões'!$A$2:$V$4400,AU$1,FALSE)="","-",VLOOKUP(ROUND(CONCATENATE($A34,AU$2),0),'Cadastro dos Padrões'!$A$2:$V$4400,AU$1,FALSE))</f>
        <v>68</v>
      </c>
      <c r="AV34" s="31">
        <f>IF(VLOOKUP(ROUND(CONCATENATE($A34,AV$2),0),'Cadastro dos Padrões'!$A$2:$V$4400,AV$1,FALSE)="","-",VLOOKUP(ROUND(CONCATENATE($A34,AV$2),0),'Cadastro dos Padrões'!$A$2:$V$4400,AV$1,FALSE))</f>
        <v>97.97</v>
      </c>
      <c r="AW34" s="31">
        <f>IF(VLOOKUP(ROUND(CONCATENATE($A34,AW$2),0),'Cadastro dos Padrões'!$A$2:$V$4400,AW$1,FALSE)="","-",VLOOKUP(ROUND(CONCATENATE($A34,AW$2),0),'Cadastro dos Padrões'!$A$2:$V$4400,AW$1,FALSE))</f>
        <v>0.93</v>
      </c>
      <c r="AX34" s="31">
        <f>IF(VLOOKUP(ROUND(CONCATENATE($A34,AX$2),0),'Cadastro dos Padrões'!$A$2:$V$4400,AX$1,FALSE)="","-",VLOOKUP(ROUND(CONCATENATE($A34,AX$2),0),'Cadastro dos Padrões'!$A$2:$V$4400,AX$1,FALSE))</f>
        <v>2.04</v>
      </c>
      <c r="AY34" s="31">
        <f>IF(VLOOKUP(ROUND(CONCATENATE($A34,AY$2),0),'Cadastro dos Padrões'!$A$2:$V$4400,AY$1,FALSE)="","-",VLOOKUP(ROUND(CONCATENATE($A34,AY$2),0),'Cadastro dos Padrões'!$A$2:$V$4400,AY$1,FALSE))</f>
        <v>62</v>
      </c>
      <c r="AZ34" s="31" t="str">
        <f>IF(VLOOKUP(ROUND(CONCATENATE($A34,AZ$2),0),'Cadastro dos Padrões'!$A$2:$V$4400,AZ$1,FALSE)="","-",VLOOKUP(ROUND(CONCATENATE($A34,AZ$2),0),'Cadastro dos Padrões'!$A$2:$V$4400,AZ$1,FALSE))</f>
        <v>-</v>
      </c>
      <c r="BA34" s="31" t="str">
        <f>IF(VLOOKUP(ROUND(CONCATENATE($A34,BA$2),0),'Cadastro dos Padrões'!$A$2:$V$4400,BA$1,FALSE)="","-",VLOOKUP(ROUND(CONCATENATE($A34,BA$2),0),'Cadastro dos Padrões'!$A$2:$V$4400,BA$1,FALSE))</f>
        <v>-</v>
      </c>
      <c r="BB34" s="31" t="str">
        <f>IF(VLOOKUP(ROUND(CONCATENATE($A34,BB$2),0),'Cadastro dos Padrões'!$A$2:$V$4400,BB$1,FALSE)="","-",VLOOKUP(ROUND(CONCATENATE($A34,BB$2),0),'Cadastro dos Padrões'!$A$2:$V$4400,BB$1,FALSE))</f>
        <v>-</v>
      </c>
      <c r="BC34" s="31" t="str">
        <f>IF(VLOOKUP(ROUND(CONCATENATE($A34,BC$2),0),'Cadastro dos Padrões'!$A$2:$V$4400,BC$1,FALSE)="","-",VLOOKUP(ROUND(CONCATENATE($A34,BC$2),0),'Cadastro dos Padrões'!$A$2:$V$4400,BC$1,FALSE))</f>
        <v>-</v>
      </c>
      <c r="BD34" s="31" t="str">
        <f>IF(VLOOKUP(ROUND(CONCATENATE($A34,BD$2),0),'Cadastro dos Padrões'!$A$2:$V$4400,BD$1,FALSE)="","-",VLOOKUP(ROUND(CONCATENATE($A34,BD$2),0),'Cadastro dos Padrões'!$A$2:$V$4400,BD$1,FALSE))</f>
        <v>-</v>
      </c>
      <c r="BE34" s="31" t="str">
        <f>IF(VLOOKUP(ROUND(CONCATENATE($A34,BE$2),0),'Cadastro dos Padrões'!$A$2:$V$4400,BE$1,FALSE)="","-",VLOOKUP(ROUND(CONCATENATE($A34,BE$2),0),'Cadastro dos Padrões'!$A$2:$V$4400,BE$1,FALSE))</f>
        <v>-</v>
      </c>
      <c r="BF34" s="31" t="str">
        <f>IF(VLOOKUP(ROUND(CONCATENATE($A34,BF$2),0),'Cadastro dos Padrões'!$A$2:$V$4400,BF$1,FALSE)="","-",VLOOKUP(ROUND(CONCATENATE($A34,BF$2),0),'Cadastro dos Padrões'!$A$2:$V$4400,BF$1,FALSE))</f>
        <v>-</v>
      </c>
      <c r="BG34" s="31" t="str">
        <f>IF(VLOOKUP(ROUND(CONCATENATE($A34,BG$2),0),'Cadastro dos Padrões'!$A$2:$V$4400,BG$1,FALSE)="","-",VLOOKUP(ROUND(CONCATENATE($A34,BG$2),0),'Cadastro dos Padrões'!$A$2:$V$4400,BG$1,FALSE))</f>
        <v>-</v>
      </c>
      <c r="BH34" s="31" t="str">
        <f>IF(VLOOKUP(ROUND(CONCATENATE($A34,BH$2),0),'Cadastro dos Padrões'!$A$2:$V$4400,BH$1,FALSE)="","-",VLOOKUP(ROUND(CONCATENATE($A34,BH$2),0),'Cadastro dos Padrões'!$A$2:$V$4400,BH$1,FALSE))</f>
        <v>-</v>
      </c>
      <c r="BI34" s="31" t="str">
        <f>IF(VLOOKUP(ROUND(CONCATENATE($A34,BI$2),0),'Cadastro dos Padrões'!$A$2:$V$4400,BI$1,FALSE)="","-",VLOOKUP(ROUND(CONCATENATE($A34,BI$2),0),'Cadastro dos Padrões'!$A$2:$V$4400,BI$1,FALSE))</f>
        <v>-</v>
      </c>
      <c r="BJ34" s="31" t="str">
        <f>IF(VLOOKUP(ROUND(CONCATENATE($A34,BJ$2),0),'Cadastro dos Padrões'!$A$2:$V$4400,BJ$1,FALSE)="","-",VLOOKUP(ROUND(CONCATENATE($A34,BJ$2),0),'Cadastro dos Padrões'!$A$2:$V$4400,BJ$1,FALSE))</f>
        <v>-</v>
      </c>
      <c r="BK34" s="31" t="str">
        <f>IF(VLOOKUP(ROUND(CONCATENATE($A34,BK$2),0),'Cadastro dos Padrões'!$A$2:$V$4400,BK$1,FALSE)="","-",VLOOKUP(ROUND(CONCATENATE($A34,BK$2),0),'Cadastro dos Padrões'!$A$2:$V$4400,BK$1,FALSE))</f>
        <v>-</v>
      </c>
      <c r="BL34" s="31" t="str">
        <f>IF(VLOOKUP(ROUND(CONCATENATE($A34,BL$2),0),'Cadastro dos Padrões'!$A$2:$V$4400,BL$1,FALSE)="","-",VLOOKUP(ROUND(CONCATENATE($A34,BL$2),0),'Cadastro dos Padrões'!$A$2:$V$4400,BL$1,FALSE))</f>
        <v>-</v>
      </c>
      <c r="BM34" s="31" t="str">
        <f>IF(VLOOKUP(ROUND(CONCATENATE($A34,BM$2),0),'Cadastro dos Padrões'!$A$2:$V$4400,BM$1,FALSE)="","-",VLOOKUP(ROUND(CONCATENATE($A34,BM$2),0),'Cadastro dos Padrões'!$A$2:$V$4400,BM$1,FALSE))</f>
        <v>-</v>
      </c>
      <c r="BN34" s="31" t="str">
        <f>IF(VLOOKUP(ROUND(CONCATENATE($A34,BN$2),0),'Cadastro dos Padrões'!$A$2:$V$4400,BN$1,FALSE)="","-",VLOOKUP(ROUND(CONCATENATE($A34,BN$2),0),'Cadastro dos Padrões'!$A$2:$V$4400,BN$1,FALSE))</f>
        <v>-</v>
      </c>
      <c r="BO34" s="31" t="str">
        <f>IF(VLOOKUP(ROUND(CONCATENATE($A34,BO$2),0),'Cadastro dos Padrões'!$A$2:$V$4400,BO$1,FALSE)="","-",VLOOKUP(ROUND(CONCATENATE($A34,BO$2),0),'Cadastro dos Padrões'!$A$2:$V$4400,BO$1,FALSE))</f>
        <v>-</v>
      </c>
    </row>
    <row r="35" spans="1:67" x14ac:dyDescent="0.3">
      <c r="A35" s="6">
        <f t="shared" si="52"/>
        <v>30</v>
      </c>
      <c r="B35" s="31" t="str">
        <f>IF(VLOOKUP(ROUND(CONCATENATE($A35,B$2),0),'Cadastro dos Padrões'!$A$2:$V$4400,B$1,FALSE)="","-",VLOOKUP(ROUND(CONCATENATE($A35,B$2),0),'Cadastro dos Padrões'!$A$2:$V$4400,B$1,FALSE))</f>
        <v>E.TH.FS-004</v>
      </c>
      <c r="C35" s="31" t="str">
        <f>IF($B35="-","-",VLOOKUP(ROUND(CONCATENATE($A35,C$2),0),'Cadastro dos Padrões'!$A$2:$V$4400,C$1,FALSE))</f>
        <v>Termohigrômetro Digital</v>
      </c>
      <c r="D35" s="31">
        <f>IF($B35="-","-",VLOOKUP(ROUND(CONCATENATE($A35,D$2),0),'Cadastro dos Padrões'!$A$2:$V$4400,D$1,FALSE))</f>
        <v>20</v>
      </c>
      <c r="E35" s="31" t="str">
        <f>IF($B35="-","-",VLOOKUP(ROUND(CONCATENATE($A35,E$2),0),'Cadastro dos Padrões'!$A$2:$V$4400,E$1,FALSE))</f>
        <v>Elus</v>
      </c>
      <c r="F35" s="31" t="str">
        <f>IF($B35="-","-",VLOOKUP(ROUND(CONCATENATE($A35,F$2),0),'Cadastro dos Padrões'!$A$2:$V$4400,F$1,FALSE))</f>
        <v>RBC - CAL 0439</v>
      </c>
      <c r="G35" s="31" t="str">
        <f>IF($B35="-","-",VLOOKUP(ROUND(CONCATENATE($A35,G$2),0),'Cadastro dos Padrões'!$A$2:$V$4400,G$1,FALSE))</f>
        <v>E0208/24</v>
      </c>
      <c r="H35" s="32">
        <f>IF($B35="-","-",VLOOKUP(ROUND(CONCATENATE($A35,H$2),0),'Cadastro dos Padrões'!$A$2:$V$4400,H$1,FALSE))</f>
        <v>45460</v>
      </c>
      <c r="I35" s="33">
        <f>IF($B35="-","-",VLOOKUP(ROUND(CONCATENATE($A35,I$2),0),'Cadastro dos Padrões'!$A$2:$V$4400,I$1,FALSE))</f>
        <v>45838</v>
      </c>
      <c r="J35" s="31" t="str">
        <f>IF($B35="-","-",VLOOKUP(ROUND(CONCATENATE($A35,J$2),0),'Cadastro dos Padrões'!$A$2:$V$4400,J$1,FALSE))</f>
        <v/>
      </c>
      <c r="K35" s="31">
        <f>IF($B35="-","-",VLOOKUP(ROUND(CONCATENATE($A35,K$2),0),'Cadastro dos Padrões'!$A$2:$V$4400,K$1,FALSE))</f>
        <v>10</v>
      </c>
      <c r="L35" s="31">
        <f>IF($B35="-","-",VLOOKUP(ROUND(CONCATENATE($A35,L$2),0),'Cadastro dos Padrões'!$A$2:$V$4400,L$1,FALSE))</f>
        <v>90</v>
      </c>
      <c r="M35" s="31">
        <f>IF($B35="-","-",VLOOKUP(ROUND(CONCATENATE($A35,M$2),0),'Cadastro dos Padrões'!$A$2:$V$4400,M$1,FALSE))</f>
        <v>0.1</v>
      </c>
      <c r="N35" s="31">
        <f>IF($B35="-","-",VLOOKUP(ROUND(CONCATENATE($A35,N$2),0),'Cadastro dos Padrões'!$A$2:$V$4400,N$1,FALSE))</f>
        <v>4.2999999999999972</v>
      </c>
      <c r="O35" s="31">
        <f>IF($B35="-","-",VLOOKUP(ROUND(CONCATENATE($A35,O$2),0),'Cadastro dos Padrões'!$A$2:$V$4400,O$1,FALSE))</f>
        <v>1.1000000000000001</v>
      </c>
      <c r="P35" s="31">
        <f>IF($B35="-","-",VLOOKUP(ROUND(CONCATENATE($A35,P$2),0),'Cadastro dos Padrões'!$A$2:$V$4400,P$1,FALSE))</f>
        <v>1.0000000000000009</v>
      </c>
      <c r="Q35" s="31">
        <f>IF($B35="-","-",VLOOKUP(ROUND(CONCATENATE($A35,Q$2),0),'Cadastro dos Padrões'!$A$2:$V$4400,Q$1,FALSE))</f>
        <v>0.47502247686151833</v>
      </c>
      <c r="R35" s="31">
        <f>IF($B35="-","-",VLOOKUP(ROUND(CONCATENATE($A35,R$2),0),'Cadastro dos Padrões'!$A$2:$V$4400,R$1,FALSE))</f>
        <v>3</v>
      </c>
      <c r="S35" s="31">
        <f>IF($B35="-","-",VLOOKUP(ROUND(CONCATENATE($A35,S$2),0),'Cadastro dos Padrões'!$A$2:$V$4400,S$1,FALSE))</f>
        <v>0</v>
      </c>
      <c r="T35" s="31">
        <f>IF($B35="-","-",VLOOKUP(ROUND(CONCATENATE($A35,T$2),0),'Cadastro dos Padrões'!$A$2:$V$4400,T$1,FALSE))</f>
        <v>0</v>
      </c>
      <c r="U35" s="31">
        <f>IF($B35="-","-",VLOOKUP(ROUND(CONCATENATE($A35,U$2),0),'Cadastro dos Padrões'!$A$2:$V$4400,U$1,FALSE))</f>
        <v>0</v>
      </c>
      <c r="V35" s="31">
        <f>IF($B35="-","-",VLOOKUP(ROUND(CONCATENATE($A35,V$2),0),'Cadastro dos Padrões'!$A$2:$V$4400,V$1,FALSE))</f>
        <v>0</v>
      </c>
      <c r="W35" s="31">
        <f>IF($B35="-","-",VLOOKUP(ROUND(CONCATENATE($A35,W$2),0),'Cadastro dos Padrões'!$A$2:$V$4400,W$1,FALSE))</f>
        <v>0</v>
      </c>
      <c r="X35" s="31">
        <f>IF($B35="-","-",VLOOKUP(ROUND(CONCATENATE($A35,X$2),0),'Cadastro dos Padrões'!$A$2:$V$4400,X$1,FALSE))</f>
        <v>-2.4816483835985969E-5</v>
      </c>
      <c r="Y35" s="31">
        <f>IF($B35="-","-",VLOOKUP(ROUND(CONCATENATE($A35,Y$2),0),'Cadastro dos Padrões'!$A$2:$V$4400,Y$1,FALSE))</f>
        <v>3.8284713277157252E-3</v>
      </c>
      <c r="Z35" s="31">
        <f>IF($B35="-","-",VLOOKUP(ROUND(CONCATENATE($A35,Z$2),0),'Cadastro dos Padrões'!$A$2:$V$4400,Z$1,FALSE))</f>
        <v>0.77349380161529024</v>
      </c>
      <c r="AA35" s="31">
        <f>IF($B35="-","-",VLOOKUP(ROUND(CONCATENATE($A35,AA$2),0),'Cadastro dos Padrões'!$A$2:$V$4400,AA$1,FALSE))</f>
        <v>3.6894362180375353</v>
      </c>
      <c r="AB35" s="31">
        <f>IF(VLOOKUP(ROUND(CONCATENATE($A35,AB$2),0),'Cadastro dos Padrões'!$A$2:$V$4400,AB$1,FALSE)="","-",VLOOKUP(ROUND(CONCATENATE($A35,AB$2),0),'Cadastro dos Padrões'!$A$2:$V$4400,AB$1,FALSE))</f>
        <v>10</v>
      </c>
      <c r="AC35" s="31">
        <f>IF(VLOOKUP(ROUND(CONCATENATE($A35,AC$2),0),'Cadastro dos Padrões'!$A$2:$V$4400,AC$1,FALSE)="","-",VLOOKUP(ROUND(CONCATENATE($A35,AC$2),0),'Cadastro dos Padrões'!$A$2:$V$4400,AC$1,FALSE))</f>
        <v>0.6</v>
      </c>
      <c r="AD35" s="31">
        <f>IF(VLOOKUP(ROUND(CONCATENATE($A35,AD$2),0),'Cadastro dos Padrões'!$A$2:$V$4400,AD$1,FALSE)="","-",VLOOKUP(ROUND(CONCATENATE($A35,AD$2),0),'Cadastro dos Padrões'!$A$2:$V$4400,AD$1,FALSE))</f>
        <v>2</v>
      </c>
      <c r="AE35" s="31">
        <f>IF(VLOOKUP(ROUND(CONCATENATE($A35,AE$2),0),'Cadastro dos Padrões'!$A$2:$V$4400,AE$1,FALSE)="","-",VLOOKUP(ROUND(CONCATENATE($A35,AE$2),0),'Cadastro dos Padrões'!$A$2:$V$4400,AE$1,FALSE))</f>
        <v>1000000</v>
      </c>
      <c r="AF35" s="31">
        <f>IF(VLOOKUP(ROUND(CONCATENATE($A35,AF$2),0),'Cadastro dos Padrões'!$A$2:$V$4400,AF$1,FALSE)="","-",VLOOKUP(ROUND(CONCATENATE($A35,AF$2),0),'Cadastro dos Padrões'!$A$2:$V$4400,AF$1,FALSE))</f>
        <v>30</v>
      </c>
      <c r="AG35" s="31">
        <f>IF(VLOOKUP(ROUND(CONCATENATE($A35,AG$2),0),'Cadastro dos Padrões'!$A$2:$V$4400,AG$1,FALSE)="","-",VLOOKUP(ROUND(CONCATENATE($A35,AG$2),0),'Cadastro dos Padrões'!$A$2:$V$4400,AG$1,FALSE))</f>
        <v>0.8</v>
      </c>
      <c r="AH35" s="31">
        <f>IF(VLOOKUP(ROUND(CONCATENATE($A35,AH$2),0),'Cadastro dos Padrões'!$A$2:$V$4400,AH$1,FALSE)="","-",VLOOKUP(ROUND(CONCATENATE($A35,AH$2),0),'Cadastro dos Padrões'!$A$2:$V$4400,AH$1,FALSE))</f>
        <v>2</v>
      </c>
      <c r="AI35" s="31">
        <f>IF(VLOOKUP(ROUND(CONCATENATE($A35,AI$2),0),'Cadastro dos Padrões'!$A$2:$V$4400,AI$1,FALSE)="","-",VLOOKUP(ROUND(CONCATENATE($A35,AI$2),0),'Cadastro dos Padrões'!$A$2:$V$4400,AI$1,FALSE))</f>
        <v>1000000</v>
      </c>
      <c r="AJ35" s="31">
        <f>IF(VLOOKUP(ROUND(CONCATENATE($A35,AJ$2),0),'Cadastro dos Padrões'!$A$2:$V$4400,AJ$1,FALSE)="","-",VLOOKUP(ROUND(CONCATENATE($A35,AJ$2),0),'Cadastro dos Padrões'!$A$2:$V$4400,AJ$1,FALSE))</f>
        <v>50</v>
      </c>
      <c r="AK35" s="31">
        <f>IF(VLOOKUP(ROUND(CONCATENATE($A35,AK$2),0),'Cadastro dos Padrões'!$A$2:$V$4400,AK$1,FALSE)="","-",VLOOKUP(ROUND(CONCATENATE($A35,AK$2),0),'Cadastro dos Padrões'!$A$2:$V$4400,AK$1,FALSE))</f>
        <v>0.8</v>
      </c>
      <c r="AL35" s="31">
        <f>IF(VLOOKUP(ROUND(CONCATENATE($A35,AL$2),0),'Cadastro dos Padrões'!$A$2:$V$4400,AL$1,FALSE)="","-",VLOOKUP(ROUND(CONCATENATE($A35,AL$2),0),'Cadastro dos Padrões'!$A$2:$V$4400,AL$1,FALSE))</f>
        <v>2</v>
      </c>
      <c r="AM35" s="31">
        <f>IF(VLOOKUP(ROUND(CONCATENATE($A35,AM$2),0),'Cadastro dos Padrões'!$A$2:$V$4400,AM$1,FALSE)="","-",VLOOKUP(ROUND(CONCATENATE($A35,AM$2),0),'Cadastro dos Padrões'!$A$2:$V$4400,AM$1,FALSE))</f>
        <v>1000000</v>
      </c>
      <c r="AN35" s="31">
        <f>IF(VLOOKUP(ROUND(CONCATENATE($A35,AN$2),0),'Cadastro dos Padrões'!$A$2:$V$4400,AN$1,FALSE)="","-",VLOOKUP(ROUND(CONCATENATE($A35,AN$2),0),'Cadastro dos Padrões'!$A$2:$V$4400,AN$1,FALSE))</f>
        <v>80</v>
      </c>
      <c r="AO35" s="31">
        <f>IF(VLOOKUP(ROUND(CONCATENATE($A35,AO$2),0),'Cadastro dos Padrões'!$A$2:$V$4400,AO$1,FALSE)="","-",VLOOKUP(ROUND(CONCATENATE($A35,AO$2),0),'Cadastro dos Padrões'!$A$2:$V$4400,AO$1,FALSE))</f>
        <v>1</v>
      </c>
      <c r="AP35" s="31">
        <f>IF(VLOOKUP(ROUND(CONCATENATE($A35,AP$2),0),'Cadastro dos Padrões'!$A$2:$V$4400,AP$1,FALSE)="","-",VLOOKUP(ROUND(CONCATENATE($A35,AP$2),0),'Cadastro dos Padrões'!$A$2:$V$4400,AP$1,FALSE))</f>
        <v>2</v>
      </c>
      <c r="AQ35" s="31">
        <f>IF(VLOOKUP(ROUND(CONCATENATE($A35,AQ$2),0),'Cadastro dos Padrões'!$A$2:$V$4400,AQ$1,FALSE)="","-",VLOOKUP(ROUND(CONCATENATE($A35,AQ$2),0),'Cadastro dos Padrões'!$A$2:$V$4400,AQ$1,FALSE))</f>
        <v>1000000</v>
      </c>
      <c r="AR35" s="31">
        <f>IF(VLOOKUP(ROUND(CONCATENATE($A35,AR$2),0),'Cadastro dos Padrões'!$A$2:$V$4400,AR$1,FALSE)="","-",VLOOKUP(ROUND(CONCATENATE($A35,AR$2),0),'Cadastro dos Padrões'!$A$2:$V$4400,AR$1,FALSE))</f>
        <v>90</v>
      </c>
      <c r="AS35" s="31">
        <f>IF(VLOOKUP(ROUND(CONCATENATE($A35,AS$2),0),'Cadastro dos Padrões'!$A$2:$V$4400,AS$1,FALSE)="","-",VLOOKUP(ROUND(CONCATENATE($A35,AS$2),0),'Cadastro dos Padrões'!$A$2:$V$4400,AS$1,FALSE))</f>
        <v>1.1000000000000001</v>
      </c>
      <c r="AT35" s="31">
        <f>IF(VLOOKUP(ROUND(CONCATENATE($A35,AT$2),0),'Cadastro dos Padrões'!$A$2:$V$4400,AT$1,FALSE)="","-",VLOOKUP(ROUND(CONCATENATE($A35,AT$2),0),'Cadastro dos Padrões'!$A$2:$V$4400,AT$1,FALSE))</f>
        <v>2</v>
      </c>
      <c r="AU35" s="31">
        <f>IF(VLOOKUP(ROUND(CONCATENATE($A35,AU$2),0),'Cadastro dos Padrões'!$A$2:$V$4400,AU$1,FALSE)="","-",VLOOKUP(ROUND(CONCATENATE($A35,AU$2),0),'Cadastro dos Padrões'!$A$2:$V$4400,AU$1,FALSE))</f>
        <v>1000000</v>
      </c>
      <c r="AV35" s="31" t="str">
        <f>IF(VLOOKUP(ROUND(CONCATENATE($A35,AV$2),0),'Cadastro dos Padrões'!$A$2:$V$4400,AV$1,FALSE)="","-",VLOOKUP(ROUND(CONCATENATE($A35,AV$2),0),'Cadastro dos Padrões'!$A$2:$V$4400,AV$1,FALSE))</f>
        <v>-</v>
      </c>
      <c r="AW35" s="31" t="str">
        <f>IF(VLOOKUP(ROUND(CONCATENATE($A35,AW$2),0),'Cadastro dos Padrões'!$A$2:$V$4400,AW$1,FALSE)="","-",VLOOKUP(ROUND(CONCATENATE($A35,AW$2),0),'Cadastro dos Padrões'!$A$2:$V$4400,AW$1,FALSE))</f>
        <v>-</v>
      </c>
      <c r="AX35" s="31" t="str">
        <f>IF(VLOOKUP(ROUND(CONCATENATE($A35,AX$2),0),'Cadastro dos Padrões'!$A$2:$V$4400,AX$1,FALSE)="","-",VLOOKUP(ROUND(CONCATENATE($A35,AX$2),0),'Cadastro dos Padrões'!$A$2:$V$4400,AX$1,FALSE))</f>
        <v>-</v>
      </c>
      <c r="AY35" s="31" t="str">
        <f>IF(VLOOKUP(ROUND(CONCATENATE($A35,AY$2),0),'Cadastro dos Padrões'!$A$2:$V$4400,AY$1,FALSE)="","-",VLOOKUP(ROUND(CONCATENATE($A35,AY$2),0),'Cadastro dos Padrões'!$A$2:$V$4400,AY$1,FALSE))</f>
        <v>-</v>
      </c>
      <c r="AZ35" s="31" t="str">
        <f>IF(VLOOKUP(ROUND(CONCATENATE($A35,AZ$2),0),'Cadastro dos Padrões'!$A$2:$V$4400,AZ$1,FALSE)="","-",VLOOKUP(ROUND(CONCATENATE($A35,AZ$2),0),'Cadastro dos Padrões'!$A$2:$V$4400,AZ$1,FALSE))</f>
        <v>-</v>
      </c>
      <c r="BA35" s="31" t="str">
        <f>IF(VLOOKUP(ROUND(CONCATENATE($A35,BA$2),0),'Cadastro dos Padrões'!$A$2:$V$4400,BA$1,FALSE)="","-",VLOOKUP(ROUND(CONCATENATE($A35,BA$2),0),'Cadastro dos Padrões'!$A$2:$V$4400,BA$1,FALSE))</f>
        <v>-</v>
      </c>
      <c r="BB35" s="31" t="str">
        <f>IF(VLOOKUP(ROUND(CONCATENATE($A35,BB$2),0),'Cadastro dos Padrões'!$A$2:$V$4400,BB$1,FALSE)="","-",VLOOKUP(ROUND(CONCATENATE($A35,BB$2),0),'Cadastro dos Padrões'!$A$2:$V$4400,BB$1,FALSE))</f>
        <v>-</v>
      </c>
      <c r="BC35" s="31" t="str">
        <f>IF(VLOOKUP(ROUND(CONCATENATE($A35,BC$2),0),'Cadastro dos Padrões'!$A$2:$V$4400,BC$1,FALSE)="","-",VLOOKUP(ROUND(CONCATENATE($A35,BC$2),0),'Cadastro dos Padrões'!$A$2:$V$4400,BC$1,FALSE))</f>
        <v>-</v>
      </c>
      <c r="BD35" s="31" t="str">
        <f>IF(VLOOKUP(ROUND(CONCATENATE($A35,BD$2),0),'Cadastro dos Padrões'!$A$2:$V$4400,BD$1,FALSE)="","-",VLOOKUP(ROUND(CONCATENATE($A35,BD$2),0),'Cadastro dos Padrões'!$A$2:$V$4400,BD$1,FALSE))</f>
        <v>-</v>
      </c>
      <c r="BE35" s="31" t="str">
        <f>IF(VLOOKUP(ROUND(CONCATENATE($A35,BE$2),0),'Cadastro dos Padrões'!$A$2:$V$4400,BE$1,FALSE)="","-",VLOOKUP(ROUND(CONCATENATE($A35,BE$2),0),'Cadastro dos Padrões'!$A$2:$V$4400,BE$1,FALSE))</f>
        <v>-</v>
      </c>
      <c r="BF35" s="31" t="str">
        <f>IF(VLOOKUP(ROUND(CONCATENATE($A35,BF$2),0),'Cadastro dos Padrões'!$A$2:$V$4400,BF$1,FALSE)="","-",VLOOKUP(ROUND(CONCATENATE($A35,BF$2),0),'Cadastro dos Padrões'!$A$2:$V$4400,BF$1,FALSE))</f>
        <v>-</v>
      </c>
      <c r="BG35" s="31" t="str">
        <f>IF(VLOOKUP(ROUND(CONCATENATE($A35,BG$2),0),'Cadastro dos Padrões'!$A$2:$V$4400,BG$1,FALSE)="","-",VLOOKUP(ROUND(CONCATENATE($A35,BG$2),0),'Cadastro dos Padrões'!$A$2:$V$4400,BG$1,FALSE))</f>
        <v>-</v>
      </c>
      <c r="BH35" s="31" t="str">
        <f>IF(VLOOKUP(ROUND(CONCATENATE($A35,BH$2),0),'Cadastro dos Padrões'!$A$2:$V$4400,BH$1,FALSE)="","-",VLOOKUP(ROUND(CONCATENATE($A35,BH$2),0),'Cadastro dos Padrões'!$A$2:$V$4400,BH$1,FALSE))</f>
        <v>-</v>
      </c>
      <c r="BI35" s="31" t="str">
        <f>IF(VLOOKUP(ROUND(CONCATENATE($A35,BI$2),0),'Cadastro dos Padrões'!$A$2:$V$4400,BI$1,FALSE)="","-",VLOOKUP(ROUND(CONCATENATE($A35,BI$2),0),'Cadastro dos Padrões'!$A$2:$V$4400,BI$1,FALSE))</f>
        <v>-</v>
      </c>
      <c r="BJ35" s="31" t="str">
        <f>IF(VLOOKUP(ROUND(CONCATENATE($A35,BJ$2),0),'Cadastro dos Padrões'!$A$2:$V$4400,BJ$1,FALSE)="","-",VLOOKUP(ROUND(CONCATENATE($A35,BJ$2),0),'Cadastro dos Padrões'!$A$2:$V$4400,BJ$1,FALSE))</f>
        <v>-</v>
      </c>
      <c r="BK35" s="31" t="str">
        <f>IF(VLOOKUP(ROUND(CONCATENATE($A35,BK$2),0),'Cadastro dos Padrões'!$A$2:$V$4400,BK$1,FALSE)="","-",VLOOKUP(ROUND(CONCATENATE($A35,BK$2),0),'Cadastro dos Padrões'!$A$2:$V$4400,BK$1,FALSE))</f>
        <v>-</v>
      </c>
      <c r="BL35" s="31" t="str">
        <f>IF(VLOOKUP(ROUND(CONCATENATE($A35,BL$2),0),'Cadastro dos Padrões'!$A$2:$V$4400,BL$1,FALSE)="","-",VLOOKUP(ROUND(CONCATENATE($A35,BL$2),0),'Cadastro dos Padrões'!$A$2:$V$4400,BL$1,FALSE))</f>
        <v>-</v>
      </c>
      <c r="BM35" s="31" t="str">
        <f>IF(VLOOKUP(ROUND(CONCATENATE($A35,BM$2),0),'Cadastro dos Padrões'!$A$2:$V$4400,BM$1,FALSE)="","-",VLOOKUP(ROUND(CONCATENATE($A35,BM$2),0),'Cadastro dos Padrões'!$A$2:$V$4400,BM$1,FALSE))</f>
        <v>-</v>
      </c>
      <c r="BN35" s="31" t="str">
        <f>IF(VLOOKUP(ROUND(CONCATENATE($A35,BN$2),0),'Cadastro dos Padrões'!$A$2:$V$4400,BN$1,FALSE)="","-",VLOOKUP(ROUND(CONCATENATE($A35,BN$2),0),'Cadastro dos Padrões'!$A$2:$V$4400,BN$1,FALSE))</f>
        <v>-</v>
      </c>
      <c r="BO35" s="31" t="str">
        <f>IF(VLOOKUP(ROUND(CONCATENATE($A35,BO$2),0),'Cadastro dos Padrões'!$A$2:$V$4400,BO$1,FALSE)="","-",VLOOKUP(ROUND(CONCATENATE($A35,BO$2),0),'Cadastro dos Padrões'!$A$2:$V$4400,BO$1,FALSE))</f>
        <v>-</v>
      </c>
    </row>
    <row r="36" spans="1:67" x14ac:dyDescent="0.3">
      <c r="A36" s="6">
        <f t="shared" si="52"/>
        <v>31</v>
      </c>
      <c r="B36" s="31" t="str">
        <f>IF(VLOOKUP(ROUND(CONCATENATE($A36,B$2),0),'Cadastro dos Padrões'!$A$2:$V$4400,B$1,FALSE)="","-",VLOOKUP(ROUND(CONCATENATE($A36,B$2),0),'Cadastro dos Padrões'!$A$2:$V$4400,B$1,FALSE))</f>
        <v>-</v>
      </c>
      <c r="C36" s="31" t="str">
        <f>IF($B36="-","-",VLOOKUP(ROUND(CONCATENATE($A36,C$2),0),'Cadastro dos Padrões'!$A$2:$V$4400,C$1,FALSE))</f>
        <v>-</v>
      </c>
      <c r="D36" s="31" t="str">
        <f>IF($B36="-","-",VLOOKUP(ROUND(CONCATENATE($A36,D$2),0),'Cadastro dos Padrões'!$A$2:$V$4400,D$1,FALSE))</f>
        <v>-</v>
      </c>
      <c r="E36" s="31" t="str">
        <f>IF($B36="-","-",VLOOKUP(ROUND(CONCATENATE($A36,E$2),0),'Cadastro dos Padrões'!$A$2:$V$4400,E$1,FALSE))</f>
        <v>-</v>
      </c>
      <c r="F36" s="31" t="str">
        <f>IF($B36="-","-",VLOOKUP(ROUND(CONCATENATE($A36,F$2),0),'Cadastro dos Padrões'!$A$2:$V$4400,F$1,FALSE))</f>
        <v>-</v>
      </c>
      <c r="G36" s="31" t="str">
        <f>IF($B36="-","-",VLOOKUP(ROUND(CONCATENATE($A36,G$2),0),'Cadastro dos Padrões'!$A$2:$V$4400,G$1,FALSE))</f>
        <v>-</v>
      </c>
      <c r="H36" s="32" t="str">
        <f>IF($B36="-","-",VLOOKUP(ROUND(CONCATENATE($A36,H$2),0),'Cadastro dos Padrões'!$A$2:$V$4400,H$1,FALSE))</f>
        <v>-</v>
      </c>
      <c r="I36" s="33" t="str">
        <f>IF($B36="-","-",VLOOKUP(ROUND(CONCATENATE($A36,I$2),0),'Cadastro dos Padrões'!$A$2:$V$4400,I$1,FALSE))</f>
        <v>-</v>
      </c>
      <c r="J36" s="31" t="str">
        <f>IF($B36="-","-",VLOOKUP(ROUND(CONCATENATE($A36,J$2),0),'Cadastro dos Padrões'!$A$2:$V$4400,J$1,FALSE))</f>
        <v>-</v>
      </c>
      <c r="K36" s="31" t="str">
        <f>IF($B36="-","-",VLOOKUP(ROUND(CONCATENATE($A36,K$2),0),'Cadastro dos Padrões'!$A$2:$V$4400,K$1,FALSE))</f>
        <v>-</v>
      </c>
      <c r="L36" s="31" t="str">
        <f>IF($B36="-","-",VLOOKUP(ROUND(CONCATENATE($A36,L$2),0),'Cadastro dos Padrões'!$A$2:$V$4400,L$1,FALSE))</f>
        <v>-</v>
      </c>
      <c r="M36" s="31" t="str">
        <f>IF($B36="-","-",VLOOKUP(ROUND(CONCATENATE($A36,M$2),0),'Cadastro dos Padrões'!$A$2:$V$4400,M$1,FALSE))</f>
        <v>-</v>
      </c>
      <c r="N36" s="31" t="str">
        <f>IF($B36="-","-",VLOOKUP(ROUND(CONCATENATE($A36,N$2),0),'Cadastro dos Padrões'!$A$2:$V$4400,N$1,FALSE))</f>
        <v>-</v>
      </c>
      <c r="O36" s="31" t="str">
        <f>IF($B36="-","-",VLOOKUP(ROUND(CONCATENATE($A36,O$2),0),'Cadastro dos Padrões'!$A$2:$V$4400,O$1,FALSE))</f>
        <v>-</v>
      </c>
      <c r="P36" s="31" t="str">
        <f>IF($B36="-","-",VLOOKUP(ROUND(CONCATENATE($A36,P$2),0),'Cadastro dos Padrões'!$A$2:$V$4400,P$1,FALSE))</f>
        <v>-</v>
      </c>
      <c r="Q36" s="31" t="str">
        <f>IF($B36="-","-",VLOOKUP(ROUND(CONCATENATE($A36,Q$2),0),'Cadastro dos Padrões'!$A$2:$V$4400,Q$1,FALSE))</f>
        <v>-</v>
      </c>
      <c r="R36" s="31" t="str">
        <f>IF($B36="-","-",VLOOKUP(ROUND(CONCATENATE($A36,R$2),0),'Cadastro dos Padrões'!$A$2:$V$4400,R$1,FALSE))</f>
        <v>-</v>
      </c>
      <c r="S36" s="31" t="str">
        <f>IF($B36="-","-",VLOOKUP(ROUND(CONCATENATE($A36,S$2),0),'Cadastro dos Padrões'!$A$2:$V$4400,S$1,FALSE))</f>
        <v>-</v>
      </c>
      <c r="T36" s="31" t="str">
        <f>IF($B36="-","-",VLOOKUP(ROUND(CONCATENATE($A36,T$2),0),'Cadastro dos Padrões'!$A$2:$V$4400,T$1,FALSE))</f>
        <v>-</v>
      </c>
      <c r="U36" s="31" t="str">
        <f>IF($B36="-","-",VLOOKUP(ROUND(CONCATENATE($A36,U$2),0),'Cadastro dos Padrões'!$A$2:$V$4400,U$1,FALSE))</f>
        <v>-</v>
      </c>
      <c r="V36" s="31" t="str">
        <f>IF($B36="-","-",VLOOKUP(ROUND(CONCATENATE($A36,V$2),0),'Cadastro dos Padrões'!$A$2:$V$4400,V$1,FALSE))</f>
        <v>-</v>
      </c>
      <c r="W36" s="31" t="str">
        <f>IF($B36="-","-",VLOOKUP(ROUND(CONCATENATE($A36,W$2),0),'Cadastro dos Padrões'!$A$2:$V$4400,W$1,FALSE))</f>
        <v>-</v>
      </c>
      <c r="X36" s="31" t="str">
        <f>IF($B36="-","-",VLOOKUP(ROUND(CONCATENATE($A36,X$2),0),'Cadastro dos Padrões'!$A$2:$V$4400,X$1,FALSE))</f>
        <v>-</v>
      </c>
      <c r="Y36" s="31" t="str">
        <f>IF($B36="-","-",VLOOKUP(ROUND(CONCATENATE($A36,Y$2),0),'Cadastro dos Padrões'!$A$2:$V$4400,Y$1,FALSE))</f>
        <v>-</v>
      </c>
      <c r="Z36" s="31" t="str">
        <f>IF($B36="-","-",VLOOKUP(ROUND(CONCATENATE($A36,Z$2),0),'Cadastro dos Padrões'!$A$2:$V$4400,Z$1,FALSE))</f>
        <v>-</v>
      </c>
      <c r="AA36" s="31" t="str">
        <f>IF($B36="-","-",VLOOKUP(ROUND(CONCATENATE($A36,AA$2),0),'Cadastro dos Padrões'!$A$2:$V$4400,AA$1,FALSE))</f>
        <v>-</v>
      </c>
      <c r="AB36" s="31" t="str">
        <f>IF(VLOOKUP(ROUND(CONCATENATE($A36,AB$2),0),'Cadastro dos Padrões'!$A$2:$V$4400,AB$1,FALSE)="","-",VLOOKUP(ROUND(CONCATENATE($A36,AB$2),0),'Cadastro dos Padrões'!$A$2:$V$4400,AB$1,FALSE))</f>
        <v>-</v>
      </c>
      <c r="AC36" s="31" t="str">
        <f>IF(VLOOKUP(ROUND(CONCATENATE($A36,AC$2),0),'Cadastro dos Padrões'!$A$2:$V$4400,AC$1,FALSE)="","-",VLOOKUP(ROUND(CONCATENATE($A36,AC$2),0),'Cadastro dos Padrões'!$A$2:$V$4400,AC$1,FALSE))</f>
        <v>-</v>
      </c>
      <c r="AD36" s="31" t="str">
        <f>IF(VLOOKUP(ROUND(CONCATENATE($A36,AD$2),0),'Cadastro dos Padrões'!$A$2:$V$4400,AD$1,FALSE)="","-",VLOOKUP(ROUND(CONCATENATE($A36,AD$2),0),'Cadastro dos Padrões'!$A$2:$V$4400,AD$1,FALSE))</f>
        <v>-</v>
      </c>
      <c r="AE36" s="31" t="str">
        <f>IF(VLOOKUP(ROUND(CONCATENATE($A36,AE$2),0),'Cadastro dos Padrões'!$A$2:$V$4400,AE$1,FALSE)="","-",VLOOKUP(ROUND(CONCATENATE($A36,AE$2),0),'Cadastro dos Padrões'!$A$2:$V$4400,AE$1,FALSE))</f>
        <v>-</v>
      </c>
      <c r="AF36" s="31" t="str">
        <f>IF(VLOOKUP(ROUND(CONCATENATE($A36,AF$2),0),'Cadastro dos Padrões'!$A$2:$V$4400,AF$1,FALSE)="","-",VLOOKUP(ROUND(CONCATENATE($A36,AF$2),0),'Cadastro dos Padrões'!$A$2:$V$4400,AF$1,FALSE))</f>
        <v>-</v>
      </c>
      <c r="AG36" s="31" t="str">
        <f>IF(VLOOKUP(ROUND(CONCATENATE($A36,AG$2),0),'Cadastro dos Padrões'!$A$2:$V$4400,AG$1,FALSE)="","-",VLOOKUP(ROUND(CONCATENATE($A36,AG$2),0),'Cadastro dos Padrões'!$A$2:$V$4400,AG$1,FALSE))</f>
        <v>-</v>
      </c>
      <c r="AH36" s="31" t="str">
        <f>IF(VLOOKUP(ROUND(CONCATENATE($A36,AH$2),0),'Cadastro dos Padrões'!$A$2:$V$4400,AH$1,FALSE)="","-",VLOOKUP(ROUND(CONCATENATE($A36,AH$2),0),'Cadastro dos Padrões'!$A$2:$V$4400,AH$1,FALSE))</f>
        <v>-</v>
      </c>
      <c r="AI36" s="31" t="str">
        <f>IF(VLOOKUP(ROUND(CONCATENATE($A36,AI$2),0),'Cadastro dos Padrões'!$A$2:$V$4400,AI$1,FALSE)="","-",VLOOKUP(ROUND(CONCATENATE($A36,AI$2),0),'Cadastro dos Padrões'!$A$2:$V$4400,AI$1,FALSE))</f>
        <v>-</v>
      </c>
      <c r="AJ36" s="31" t="str">
        <f>IF(VLOOKUP(ROUND(CONCATENATE($A36,AJ$2),0),'Cadastro dos Padrões'!$A$2:$V$4400,AJ$1,FALSE)="","-",VLOOKUP(ROUND(CONCATENATE($A36,AJ$2),0),'Cadastro dos Padrões'!$A$2:$V$4400,AJ$1,FALSE))</f>
        <v>-</v>
      </c>
      <c r="AK36" s="31" t="str">
        <f>IF(VLOOKUP(ROUND(CONCATENATE($A36,AK$2),0),'Cadastro dos Padrões'!$A$2:$V$4400,AK$1,FALSE)="","-",VLOOKUP(ROUND(CONCATENATE($A36,AK$2),0),'Cadastro dos Padrões'!$A$2:$V$4400,AK$1,FALSE))</f>
        <v>-</v>
      </c>
      <c r="AL36" s="31" t="str">
        <f>IF(VLOOKUP(ROUND(CONCATENATE($A36,AL$2),0),'Cadastro dos Padrões'!$A$2:$V$4400,AL$1,FALSE)="","-",VLOOKUP(ROUND(CONCATENATE($A36,AL$2),0),'Cadastro dos Padrões'!$A$2:$V$4400,AL$1,FALSE))</f>
        <v>-</v>
      </c>
      <c r="AM36" s="31" t="str">
        <f>IF(VLOOKUP(ROUND(CONCATENATE($A36,AM$2),0),'Cadastro dos Padrões'!$A$2:$V$4400,AM$1,FALSE)="","-",VLOOKUP(ROUND(CONCATENATE($A36,AM$2),0),'Cadastro dos Padrões'!$A$2:$V$4400,AM$1,FALSE))</f>
        <v>-</v>
      </c>
      <c r="AN36" s="31" t="str">
        <f>IF(VLOOKUP(ROUND(CONCATENATE($A36,AN$2),0),'Cadastro dos Padrões'!$A$2:$V$4400,AN$1,FALSE)="","-",VLOOKUP(ROUND(CONCATENATE($A36,AN$2),0),'Cadastro dos Padrões'!$A$2:$V$4400,AN$1,FALSE))</f>
        <v>-</v>
      </c>
      <c r="AO36" s="31" t="str">
        <f>IF(VLOOKUP(ROUND(CONCATENATE($A36,AO$2),0),'Cadastro dos Padrões'!$A$2:$V$4400,AO$1,FALSE)="","-",VLOOKUP(ROUND(CONCATENATE($A36,AO$2),0),'Cadastro dos Padrões'!$A$2:$V$4400,AO$1,FALSE))</f>
        <v>-</v>
      </c>
      <c r="AP36" s="31" t="str">
        <f>IF(VLOOKUP(ROUND(CONCATENATE($A36,AP$2),0),'Cadastro dos Padrões'!$A$2:$V$4400,AP$1,FALSE)="","-",VLOOKUP(ROUND(CONCATENATE($A36,AP$2),0),'Cadastro dos Padrões'!$A$2:$V$4400,AP$1,FALSE))</f>
        <v>-</v>
      </c>
      <c r="AQ36" s="31" t="str">
        <f>IF(VLOOKUP(ROUND(CONCATENATE($A36,AQ$2),0),'Cadastro dos Padrões'!$A$2:$V$4400,AQ$1,FALSE)="","-",VLOOKUP(ROUND(CONCATENATE($A36,AQ$2),0),'Cadastro dos Padrões'!$A$2:$V$4400,AQ$1,FALSE))</f>
        <v>-</v>
      </c>
      <c r="AR36" s="31" t="str">
        <f>IF(VLOOKUP(ROUND(CONCATENATE($A36,AR$2),0),'Cadastro dos Padrões'!$A$2:$V$4400,AR$1,FALSE)="","-",VLOOKUP(ROUND(CONCATENATE($A36,AR$2),0),'Cadastro dos Padrões'!$A$2:$V$4400,AR$1,FALSE))</f>
        <v>-</v>
      </c>
      <c r="AS36" s="31" t="str">
        <f>IF(VLOOKUP(ROUND(CONCATENATE($A36,AS$2),0),'Cadastro dos Padrões'!$A$2:$V$4400,AS$1,FALSE)="","-",VLOOKUP(ROUND(CONCATENATE($A36,AS$2),0),'Cadastro dos Padrões'!$A$2:$V$4400,AS$1,FALSE))</f>
        <v>-</v>
      </c>
      <c r="AT36" s="31" t="str">
        <f>IF(VLOOKUP(ROUND(CONCATENATE($A36,AT$2),0),'Cadastro dos Padrões'!$A$2:$V$4400,AT$1,FALSE)="","-",VLOOKUP(ROUND(CONCATENATE($A36,AT$2),0),'Cadastro dos Padrões'!$A$2:$V$4400,AT$1,FALSE))</f>
        <v>-</v>
      </c>
      <c r="AU36" s="31" t="str">
        <f>IF(VLOOKUP(ROUND(CONCATENATE($A36,AU$2),0),'Cadastro dos Padrões'!$A$2:$V$4400,AU$1,FALSE)="","-",VLOOKUP(ROUND(CONCATENATE($A36,AU$2),0),'Cadastro dos Padrões'!$A$2:$V$4400,AU$1,FALSE))</f>
        <v>-</v>
      </c>
      <c r="AV36" s="31" t="str">
        <f>IF(VLOOKUP(ROUND(CONCATENATE($A36,AV$2),0),'Cadastro dos Padrões'!$A$2:$V$4400,AV$1,FALSE)="","-",VLOOKUP(ROUND(CONCATENATE($A36,AV$2),0),'Cadastro dos Padrões'!$A$2:$V$4400,AV$1,FALSE))</f>
        <v>-</v>
      </c>
      <c r="AW36" s="31" t="str">
        <f>IF(VLOOKUP(ROUND(CONCATENATE($A36,AW$2),0),'Cadastro dos Padrões'!$A$2:$V$4400,AW$1,FALSE)="","-",VLOOKUP(ROUND(CONCATENATE($A36,AW$2),0),'Cadastro dos Padrões'!$A$2:$V$4400,AW$1,FALSE))</f>
        <v>-</v>
      </c>
      <c r="AX36" s="31" t="str">
        <f>IF(VLOOKUP(ROUND(CONCATENATE($A36,AX$2),0),'Cadastro dos Padrões'!$A$2:$V$4400,AX$1,FALSE)="","-",VLOOKUP(ROUND(CONCATENATE($A36,AX$2),0),'Cadastro dos Padrões'!$A$2:$V$4400,AX$1,FALSE))</f>
        <v>-</v>
      </c>
      <c r="AY36" s="31" t="str">
        <f>IF(VLOOKUP(ROUND(CONCATENATE($A36,AY$2),0),'Cadastro dos Padrões'!$A$2:$V$4400,AY$1,FALSE)="","-",VLOOKUP(ROUND(CONCATENATE($A36,AY$2),0),'Cadastro dos Padrões'!$A$2:$V$4400,AY$1,FALSE))</f>
        <v>-</v>
      </c>
      <c r="AZ36" s="31" t="str">
        <f>IF(VLOOKUP(ROUND(CONCATENATE($A36,AZ$2),0),'Cadastro dos Padrões'!$A$2:$V$4400,AZ$1,FALSE)="","-",VLOOKUP(ROUND(CONCATENATE($A36,AZ$2),0),'Cadastro dos Padrões'!$A$2:$V$4400,AZ$1,FALSE))</f>
        <v>-</v>
      </c>
      <c r="BA36" s="31" t="str">
        <f>IF(VLOOKUP(ROUND(CONCATENATE($A36,BA$2),0),'Cadastro dos Padrões'!$A$2:$V$4400,BA$1,FALSE)="","-",VLOOKUP(ROUND(CONCATENATE($A36,BA$2),0),'Cadastro dos Padrões'!$A$2:$V$4400,BA$1,FALSE))</f>
        <v>-</v>
      </c>
      <c r="BB36" s="31" t="str">
        <f>IF(VLOOKUP(ROUND(CONCATENATE($A36,BB$2),0),'Cadastro dos Padrões'!$A$2:$V$4400,BB$1,FALSE)="","-",VLOOKUP(ROUND(CONCATENATE($A36,BB$2),0),'Cadastro dos Padrões'!$A$2:$V$4400,BB$1,FALSE))</f>
        <v>-</v>
      </c>
      <c r="BC36" s="31" t="str">
        <f>IF(VLOOKUP(ROUND(CONCATENATE($A36,BC$2),0),'Cadastro dos Padrões'!$A$2:$V$4400,BC$1,FALSE)="","-",VLOOKUP(ROUND(CONCATENATE($A36,BC$2),0),'Cadastro dos Padrões'!$A$2:$V$4400,BC$1,FALSE))</f>
        <v>-</v>
      </c>
      <c r="BD36" s="31" t="str">
        <f>IF(VLOOKUP(ROUND(CONCATENATE($A36,BD$2),0),'Cadastro dos Padrões'!$A$2:$V$4400,BD$1,FALSE)="","-",VLOOKUP(ROUND(CONCATENATE($A36,BD$2),0),'Cadastro dos Padrões'!$A$2:$V$4400,BD$1,FALSE))</f>
        <v>-</v>
      </c>
      <c r="BE36" s="31" t="str">
        <f>IF(VLOOKUP(ROUND(CONCATENATE($A36,BE$2),0),'Cadastro dos Padrões'!$A$2:$V$4400,BE$1,FALSE)="","-",VLOOKUP(ROUND(CONCATENATE($A36,BE$2),0),'Cadastro dos Padrões'!$A$2:$V$4400,BE$1,FALSE))</f>
        <v>-</v>
      </c>
      <c r="BF36" s="31" t="str">
        <f>IF(VLOOKUP(ROUND(CONCATENATE($A36,BF$2),0),'Cadastro dos Padrões'!$A$2:$V$4400,BF$1,FALSE)="","-",VLOOKUP(ROUND(CONCATENATE($A36,BF$2),0),'Cadastro dos Padrões'!$A$2:$V$4400,BF$1,FALSE))</f>
        <v>-</v>
      </c>
      <c r="BG36" s="31" t="str">
        <f>IF(VLOOKUP(ROUND(CONCATENATE($A36,BG$2),0),'Cadastro dos Padrões'!$A$2:$V$4400,BG$1,FALSE)="","-",VLOOKUP(ROUND(CONCATENATE($A36,BG$2),0),'Cadastro dos Padrões'!$A$2:$V$4400,BG$1,FALSE))</f>
        <v>-</v>
      </c>
      <c r="BH36" s="31" t="str">
        <f>IF(VLOOKUP(ROUND(CONCATENATE($A36,BH$2),0),'Cadastro dos Padrões'!$A$2:$V$4400,BH$1,FALSE)="","-",VLOOKUP(ROUND(CONCATENATE($A36,BH$2),0),'Cadastro dos Padrões'!$A$2:$V$4400,BH$1,FALSE))</f>
        <v>-</v>
      </c>
      <c r="BI36" s="31" t="str">
        <f>IF(VLOOKUP(ROUND(CONCATENATE($A36,BI$2),0),'Cadastro dos Padrões'!$A$2:$V$4400,BI$1,FALSE)="","-",VLOOKUP(ROUND(CONCATENATE($A36,BI$2),0),'Cadastro dos Padrões'!$A$2:$V$4400,BI$1,FALSE))</f>
        <v>-</v>
      </c>
      <c r="BJ36" s="31" t="str">
        <f>IF(VLOOKUP(ROUND(CONCATENATE($A36,BJ$2),0),'Cadastro dos Padrões'!$A$2:$V$4400,BJ$1,FALSE)="","-",VLOOKUP(ROUND(CONCATENATE($A36,BJ$2),0),'Cadastro dos Padrões'!$A$2:$V$4400,BJ$1,FALSE))</f>
        <v>-</v>
      </c>
      <c r="BK36" s="31" t="str">
        <f>IF(VLOOKUP(ROUND(CONCATENATE($A36,BK$2),0),'Cadastro dos Padrões'!$A$2:$V$4400,BK$1,FALSE)="","-",VLOOKUP(ROUND(CONCATENATE($A36,BK$2),0),'Cadastro dos Padrões'!$A$2:$V$4400,BK$1,FALSE))</f>
        <v>-</v>
      </c>
      <c r="BL36" s="31" t="str">
        <f>IF(VLOOKUP(ROUND(CONCATENATE($A36,BL$2),0),'Cadastro dos Padrões'!$A$2:$V$4400,BL$1,FALSE)="","-",VLOOKUP(ROUND(CONCATENATE($A36,BL$2),0),'Cadastro dos Padrões'!$A$2:$V$4400,BL$1,FALSE))</f>
        <v>-</v>
      </c>
      <c r="BM36" s="31" t="str">
        <f>IF(VLOOKUP(ROUND(CONCATENATE($A36,BM$2),0),'Cadastro dos Padrões'!$A$2:$V$4400,BM$1,FALSE)="","-",VLOOKUP(ROUND(CONCATENATE($A36,BM$2),0),'Cadastro dos Padrões'!$A$2:$V$4400,BM$1,FALSE))</f>
        <v>-</v>
      </c>
      <c r="BN36" s="31" t="str">
        <f>IF(VLOOKUP(ROUND(CONCATENATE($A36,BN$2),0),'Cadastro dos Padrões'!$A$2:$V$4400,BN$1,FALSE)="","-",VLOOKUP(ROUND(CONCATENATE($A36,BN$2),0),'Cadastro dos Padrões'!$A$2:$V$4400,BN$1,FALSE))</f>
        <v>-</v>
      </c>
      <c r="BO36" s="31" t="str">
        <f>IF(VLOOKUP(ROUND(CONCATENATE($A36,BO$2),0),'Cadastro dos Padrões'!$A$2:$V$4400,BO$1,FALSE)="","-",VLOOKUP(ROUND(CONCATENATE($A36,BO$2),0),'Cadastro dos Padrões'!$A$2:$V$4400,BO$1,FALSE))</f>
        <v>-</v>
      </c>
    </row>
    <row r="37" spans="1:67" x14ac:dyDescent="0.3">
      <c r="A37" s="6">
        <f t="shared" si="52"/>
        <v>32</v>
      </c>
      <c r="B37" s="31" t="str">
        <f>IF(VLOOKUP(ROUND(CONCATENATE($A37,B$2),0),'Cadastro dos Padrões'!$A$2:$V$4400,B$1,FALSE)="","-",VLOOKUP(ROUND(CONCATENATE($A37,B$2),0),'Cadastro dos Padrões'!$A$2:$V$4400,B$1,FALSE))</f>
        <v>E.TH.LT-005</v>
      </c>
      <c r="C37" s="31" t="str">
        <f>IF($B37="-","-",VLOOKUP(ROUND(CONCATENATE($A37,C$2),0),'Cadastro dos Padrões'!$A$2:$V$4400,C$1,FALSE))</f>
        <v>Higrômetro de Ponto de Orvalho</v>
      </c>
      <c r="D37" s="31" t="str">
        <f>IF($B37="-","-",VLOOKUP(ROUND(CONCATENATE($A37,D$2),0),'Cadastro dos Padrões'!$A$2:$V$4400,D$1,FALSE))</f>
        <v>-</v>
      </c>
      <c r="E37" s="31" t="str">
        <f>IF($B37="-","-",VLOOKUP(ROUND(CONCATENATE($A37,E$2),0),'Cadastro dos Padrões'!$A$2:$V$4400,E$1,FALSE))</f>
        <v>Elus</v>
      </c>
      <c r="F37" s="31" t="str">
        <f>IF($B37="-","-",VLOOKUP(ROUND(CONCATENATE($A37,F$2),0),'Cadastro dos Padrões'!$A$2:$V$4400,F$1,FALSE))</f>
        <v>RBC - CAL 0439</v>
      </c>
      <c r="G37" s="31" t="str">
        <f>IF($B37="-","-",VLOOKUP(ROUND(CONCATENATE($A37,G$2),0),'Cadastro dos Padrões'!$A$2:$V$4400,G$1,FALSE))</f>
        <v>E0342/25</v>
      </c>
      <c r="H37" s="32">
        <f>IF($B37="-","-",VLOOKUP(ROUND(CONCATENATE($A37,H$2),0),'Cadastro dos Padrões'!$A$2:$V$4400,H$1,FALSE))</f>
        <v>45807</v>
      </c>
      <c r="I37" s="33">
        <f>IF($B37="-","-",VLOOKUP(ROUND(CONCATENATE($A37,I$2),0),'Cadastro dos Padrões'!$A$2:$V$4400,I$1,FALSE))</f>
        <v>46172</v>
      </c>
      <c r="J37" s="31" t="str">
        <f>IF($B37="-","-",VLOOKUP(ROUND(CONCATENATE($A37,J$2),0),'Cadastro dos Padrões'!$A$2:$V$4400,J$1,FALSE))</f>
        <v>°CTd</v>
      </c>
      <c r="K37" s="31">
        <f>IF($B37="-","-",VLOOKUP(ROUND(CONCATENATE($A37,K$2),0),'Cadastro dos Padrões'!$A$2:$V$4400,K$1,FALSE))</f>
        <v>-40</v>
      </c>
      <c r="L37" s="31">
        <f>IF($B37="-","-",VLOOKUP(ROUND(CONCATENATE($A37,L$2),0),'Cadastro dos Padrões'!$A$2:$V$4400,L$1,FALSE))</f>
        <v>60</v>
      </c>
      <c r="M37" s="31">
        <f>IF($B37="-","-",VLOOKUP(ROUND(CONCATENATE($A37,M$2),0),'Cadastro dos Padrões'!$A$2:$V$4400,M$1,FALSE))</f>
        <v>0.1</v>
      </c>
      <c r="N37" s="31">
        <f>IF($B37="-","-",VLOOKUP(ROUND(CONCATENATE($A37,N$2),0),'Cadastro dos Padrões'!$A$2:$V$4400,N$1,FALSE))</f>
        <v>0.20000000000000284</v>
      </c>
      <c r="O37" s="31">
        <f>IF($B37="-","-",VLOOKUP(ROUND(CONCATENATE($A37,O$2),0),'Cadastro dos Padrões'!$A$2:$V$4400,O$1,FALSE))</f>
        <v>0.2</v>
      </c>
      <c r="P37" s="31">
        <f>IF($B37="-","-",VLOOKUP(ROUND(CONCATENATE($A37,P$2),0),'Cadastro dos Padrões'!$A$2:$V$4400,P$1,FALSE))</f>
        <v>0.10000000000000142</v>
      </c>
      <c r="Q37" s="31">
        <f>IF($B37="-","-",VLOOKUP(ROUND(CONCATENATE($A37,Q$2),0),'Cadastro dos Padrões'!$A$2:$V$4400,Q$1,FALSE))</f>
        <v>7.4127652518853893E-3</v>
      </c>
      <c r="R37" s="31">
        <f>IF($B37="-","-",VLOOKUP(ROUND(CONCATENATE($A37,R$2),0),'Cadastro dos Padrões'!$A$2:$V$4400,R$1,FALSE))</f>
        <v>3</v>
      </c>
      <c r="S37" s="31">
        <f>IF($B37="-","-",VLOOKUP(ROUND(CONCATENATE($A37,S$2),0),'Cadastro dos Padrões'!$A$2:$V$4400,S$1,FALSE))</f>
        <v>0</v>
      </c>
      <c r="T37" s="31">
        <f>IF($B37="-","-",VLOOKUP(ROUND(CONCATENATE($A37,T$2),0),'Cadastro dos Padrões'!$A$2:$V$4400,T$1,FALSE))</f>
        <v>0</v>
      </c>
      <c r="U37" s="31">
        <f>IF($B37="-","-",VLOOKUP(ROUND(CONCATENATE($A37,U$2),0),'Cadastro dos Padrões'!$A$2:$V$4400,U$1,FALSE))</f>
        <v>0</v>
      </c>
      <c r="V37" s="31">
        <f>IF($B37="-","-",VLOOKUP(ROUND(CONCATENATE($A37,V$2),0),'Cadastro dos Padrões'!$A$2:$V$4400,V$1,FALSE))</f>
        <v>0</v>
      </c>
      <c r="W37" s="31">
        <f>IF($B37="-","-",VLOOKUP(ROUND(CONCATENATE($A37,W$2),0),'Cadastro dos Padrões'!$A$2:$V$4400,W$1,FALSE))</f>
        <v>0</v>
      </c>
      <c r="X37" s="31">
        <f>IF($B37="-","-",VLOOKUP(ROUND(CONCATENATE($A37,X$2),0),'Cadastro dos Padrões'!$A$2:$V$4400,X$1,FALSE))</f>
        <v>6.7453915752834889E-7</v>
      </c>
      <c r="Y37" s="31">
        <f>IF($B37="-","-",VLOOKUP(ROUND(CONCATENATE($A37,Y$2),0),'Cadastro dos Padrões'!$A$2:$V$4400,Y$1,FALSE))</f>
        <v>2.2113046707654254E-5</v>
      </c>
      <c r="Z37" s="31">
        <f>IF($B37="-","-",VLOOKUP(ROUND(CONCATENATE($A37,Z$2),0),'Cadastro dos Padrões'!$A$2:$V$4400,Z$1,FALSE))</f>
        <v>0.99969636569369602</v>
      </c>
      <c r="AA37" s="31">
        <f>IF($B37="-","-",VLOOKUP(ROUND(CONCATENATE($A37,AA$2),0),'Cadastro dos Padrões'!$A$2:$V$4400,AA$1,FALSE))</f>
        <v>-5.4428582063317278E-3</v>
      </c>
      <c r="AB37" s="31">
        <f>IF(VLOOKUP(ROUND(CONCATENATE($A37,AB$2),0),'Cadastro dos Padrões'!$A$2:$V$4400,AB$1,FALSE)="","-",VLOOKUP(ROUND(CONCATENATE($A37,AB$2),0),'Cadastro dos Padrões'!$A$2:$V$4400,AB$1,FALSE))</f>
        <v>-40</v>
      </c>
      <c r="AC37" s="31">
        <f>IF(VLOOKUP(ROUND(CONCATENATE($A37,AC$2),0),'Cadastro dos Padrões'!$A$2:$V$4400,AC$1,FALSE)="","-",VLOOKUP(ROUND(CONCATENATE($A37,AC$2),0),'Cadastro dos Padrões'!$A$2:$V$4400,AC$1,FALSE))</f>
        <v>0.2</v>
      </c>
      <c r="AD37" s="31">
        <f>IF(VLOOKUP(ROUND(CONCATENATE($A37,AD$2),0),'Cadastro dos Padrões'!$A$2:$V$4400,AD$1,FALSE)="","-",VLOOKUP(ROUND(CONCATENATE($A37,AD$2),0),'Cadastro dos Padrões'!$A$2:$V$4400,AD$1,FALSE))</f>
        <v>2</v>
      </c>
      <c r="AE37" s="31">
        <f>IF(VLOOKUP(ROUND(CONCATENATE($A37,AE$2),0),'Cadastro dos Padrões'!$A$2:$V$4400,AE$1,FALSE)="","-",VLOOKUP(ROUND(CONCATENATE($A37,AE$2),0),'Cadastro dos Padrões'!$A$2:$V$4400,AE$1,FALSE))</f>
        <v>1000000</v>
      </c>
      <c r="AF37" s="31">
        <f>IF(VLOOKUP(ROUND(CONCATENATE($A37,AF$2),0),'Cadastro dos Padrões'!$A$2:$V$4400,AF$1,FALSE)="","-",VLOOKUP(ROUND(CONCATENATE($A37,AF$2),0),'Cadastro dos Padrões'!$A$2:$V$4400,AF$1,FALSE))</f>
        <v>-20</v>
      </c>
      <c r="AG37" s="31">
        <f>IF(VLOOKUP(ROUND(CONCATENATE($A37,AG$2),0),'Cadastro dos Padrões'!$A$2:$V$4400,AG$1,FALSE)="","-",VLOOKUP(ROUND(CONCATENATE($A37,AG$2),0),'Cadastro dos Padrões'!$A$2:$V$4400,AG$1,FALSE))</f>
        <v>0.2</v>
      </c>
      <c r="AH37" s="31">
        <f>IF(VLOOKUP(ROUND(CONCATENATE($A37,AH$2),0),'Cadastro dos Padrões'!$A$2:$V$4400,AH$1,FALSE)="","-",VLOOKUP(ROUND(CONCATENATE($A37,AH$2),0),'Cadastro dos Padrões'!$A$2:$V$4400,AH$1,FALSE))</f>
        <v>2</v>
      </c>
      <c r="AI37" s="31">
        <f>IF(VLOOKUP(ROUND(CONCATENATE($A37,AI$2),0),'Cadastro dos Padrões'!$A$2:$V$4400,AI$1,FALSE)="","-",VLOOKUP(ROUND(CONCATENATE($A37,AI$2),0),'Cadastro dos Padrões'!$A$2:$V$4400,AI$1,FALSE))</f>
        <v>1000000</v>
      </c>
      <c r="AJ37" s="31">
        <f>IF(VLOOKUP(ROUND(CONCATENATE($A37,AJ$2),0),'Cadastro dos Padrões'!$A$2:$V$4400,AJ$1,FALSE)="","-",VLOOKUP(ROUND(CONCATENATE($A37,AJ$2),0),'Cadastro dos Padrões'!$A$2:$V$4400,AJ$1,FALSE))</f>
        <v>0</v>
      </c>
      <c r="AK37" s="31">
        <f>IF(VLOOKUP(ROUND(CONCATENATE($A37,AK$2),0),'Cadastro dos Padrões'!$A$2:$V$4400,AK$1,FALSE)="","-",VLOOKUP(ROUND(CONCATENATE($A37,AK$2),0),'Cadastro dos Padrões'!$A$2:$V$4400,AK$1,FALSE))</f>
        <v>0.2</v>
      </c>
      <c r="AL37" s="31">
        <f>IF(VLOOKUP(ROUND(CONCATENATE($A37,AL$2),0),'Cadastro dos Padrões'!$A$2:$V$4400,AL$1,FALSE)="","-",VLOOKUP(ROUND(CONCATENATE($A37,AL$2),0),'Cadastro dos Padrões'!$A$2:$V$4400,AL$1,FALSE))</f>
        <v>2</v>
      </c>
      <c r="AM37" s="31">
        <f>IF(VLOOKUP(ROUND(CONCATENATE($A37,AM$2),0),'Cadastro dos Padrões'!$A$2:$V$4400,AM$1,FALSE)="","-",VLOOKUP(ROUND(CONCATENATE($A37,AM$2),0),'Cadastro dos Padrões'!$A$2:$V$4400,AM$1,FALSE))</f>
        <v>1000000</v>
      </c>
      <c r="AN37" s="31">
        <f>IF(VLOOKUP(ROUND(CONCATENATE($A37,AN$2),0),'Cadastro dos Padrões'!$A$2:$V$4400,AN$1,FALSE)="","-",VLOOKUP(ROUND(CONCATENATE($A37,AN$2),0),'Cadastro dos Padrões'!$A$2:$V$4400,AN$1,FALSE))</f>
        <v>20</v>
      </c>
      <c r="AO37" s="31">
        <f>IF(VLOOKUP(ROUND(CONCATENATE($A37,AO$2),0),'Cadastro dos Padrões'!$A$2:$V$4400,AO$1,FALSE)="","-",VLOOKUP(ROUND(CONCATENATE($A37,AO$2),0),'Cadastro dos Padrões'!$A$2:$V$4400,AO$1,FALSE))</f>
        <v>0.2</v>
      </c>
      <c r="AP37" s="31">
        <f>IF(VLOOKUP(ROUND(CONCATENATE($A37,AP$2),0),'Cadastro dos Padrões'!$A$2:$V$4400,AP$1,FALSE)="","-",VLOOKUP(ROUND(CONCATENATE($A37,AP$2),0),'Cadastro dos Padrões'!$A$2:$V$4400,AP$1,FALSE))</f>
        <v>2</v>
      </c>
      <c r="AQ37" s="31">
        <f>IF(VLOOKUP(ROUND(CONCATENATE($A37,AQ$2),0),'Cadastro dos Padrões'!$A$2:$V$4400,AQ$1,FALSE)="","-",VLOOKUP(ROUND(CONCATENATE($A37,AQ$2),0),'Cadastro dos Padrões'!$A$2:$V$4400,AQ$1,FALSE))</f>
        <v>1000000</v>
      </c>
      <c r="AR37" s="31">
        <f>IF(VLOOKUP(ROUND(CONCATENATE($A37,AR$2),0),'Cadastro dos Padrões'!$A$2:$V$4400,AR$1,FALSE)="","-",VLOOKUP(ROUND(CONCATENATE($A37,AR$2),0),'Cadastro dos Padrões'!$A$2:$V$4400,AR$1,FALSE))</f>
        <v>60</v>
      </c>
      <c r="AS37" s="31">
        <f>IF(VLOOKUP(ROUND(CONCATENATE($A37,AS$2),0),'Cadastro dos Padrões'!$A$2:$V$4400,AS$1,FALSE)="","-",VLOOKUP(ROUND(CONCATENATE($A37,AS$2),0),'Cadastro dos Padrões'!$A$2:$V$4400,AS$1,FALSE))</f>
        <v>0.2</v>
      </c>
      <c r="AT37" s="31">
        <f>IF(VLOOKUP(ROUND(CONCATENATE($A37,AT$2),0),'Cadastro dos Padrões'!$A$2:$V$4400,AT$1,FALSE)="","-",VLOOKUP(ROUND(CONCATENATE($A37,AT$2),0),'Cadastro dos Padrões'!$A$2:$V$4400,AT$1,FALSE))</f>
        <v>2</v>
      </c>
      <c r="AU37" s="31">
        <f>IF(VLOOKUP(ROUND(CONCATENATE($A37,AU$2),0),'Cadastro dos Padrões'!$A$2:$V$4400,AU$1,FALSE)="","-",VLOOKUP(ROUND(CONCATENATE($A37,AU$2),0),'Cadastro dos Padrões'!$A$2:$V$4400,AU$1,FALSE))</f>
        <v>1000000</v>
      </c>
      <c r="AV37" s="31" t="str">
        <f>IF(VLOOKUP(ROUND(CONCATENATE($A37,AV$2),0),'Cadastro dos Padrões'!$A$2:$V$4400,AV$1,FALSE)="","-",VLOOKUP(ROUND(CONCATENATE($A37,AV$2),0),'Cadastro dos Padrões'!$A$2:$V$4400,AV$1,FALSE))</f>
        <v>-</v>
      </c>
      <c r="AW37" s="31" t="str">
        <f>IF(VLOOKUP(ROUND(CONCATENATE($A37,AW$2),0),'Cadastro dos Padrões'!$A$2:$V$4400,AW$1,FALSE)="","-",VLOOKUP(ROUND(CONCATENATE($A37,AW$2),0),'Cadastro dos Padrões'!$A$2:$V$4400,AW$1,FALSE))</f>
        <v>-</v>
      </c>
      <c r="AX37" s="31" t="str">
        <f>IF(VLOOKUP(ROUND(CONCATENATE($A37,AX$2),0),'Cadastro dos Padrões'!$A$2:$V$4400,AX$1,FALSE)="","-",VLOOKUP(ROUND(CONCATENATE($A37,AX$2),0),'Cadastro dos Padrões'!$A$2:$V$4400,AX$1,FALSE))</f>
        <v>-</v>
      </c>
      <c r="AY37" s="31" t="str">
        <f>IF(VLOOKUP(ROUND(CONCATENATE($A37,AY$2),0),'Cadastro dos Padrões'!$A$2:$V$4400,AY$1,FALSE)="","-",VLOOKUP(ROUND(CONCATENATE($A37,AY$2),0),'Cadastro dos Padrões'!$A$2:$V$4400,AY$1,FALSE))</f>
        <v>-</v>
      </c>
      <c r="AZ37" s="31" t="str">
        <f>IF(VLOOKUP(ROUND(CONCATENATE($A37,AZ$2),0),'Cadastro dos Padrões'!$A$2:$V$4400,AZ$1,FALSE)="","-",VLOOKUP(ROUND(CONCATENATE($A37,AZ$2),0),'Cadastro dos Padrões'!$A$2:$V$4400,AZ$1,FALSE))</f>
        <v>-</v>
      </c>
      <c r="BA37" s="31" t="str">
        <f>IF(VLOOKUP(ROUND(CONCATENATE($A37,BA$2),0),'Cadastro dos Padrões'!$A$2:$V$4400,BA$1,FALSE)="","-",VLOOKUP(ROUND(CONCATENATE($A37,BA$2),0),'Cadastro dos Padrões'!$A$2:$V$4400,BA$1,FALSE))</f>
        <v>-</v>
      </c>
      <c r="BB37" s="31" t="str">
        <f>IF(VLOOKUP(ROUND(CONCATENATE($A37,BB$2),0),'Cadastro dos Padrões'!$A$2:$V$4400,BB$1,FALSE)="","-",VLOOKUP(ROUND(CONCATENATE($A37,BB$2),0),'Cadastro dos Padrões'!$A$2:$V$4400,BB$1,FALSE))</f>
        <v>-</v>
      </c>
      <c r="BC37" s="31" t="str">
        <f>IF(VLOOKUP(ROUND(CONCATENATE($A37,BC$2),0),'Cadastro dos Padrões'!$A$2:$V$4400,BC$1,FALSE)="","-",VLOOKUP(ROUND(CONCATENATE($A37,BC$2),0),'Cadastro dos Padrões'!$A$2:$V$4400,BC$1,FALSE))</f>
        <v>-</v>
      </c>
      <c r="BD37" s="31" t="str">
        <f>IF(VLOOKUP(ROUND(CONCATENATE($A37,BD$2),0),'Cadastro dos Padrões'!$A$2:$V$4400,BD$1,FALSE)="","-",VLOOKUP(ROUND(CONCATENATE($A37,BD$2),0),'Cadastro dos Padrões'!$A$2:$V$4400,BD$1,FALSE))</f>
        <v>-</v>
      </c>
      <c r="BE37" s="31" t="str">
        <f>IF(VLOOKUP(ROUND(CONCATENATE($A37,BE$2),0),'Cadastro dos Padrões'!$A$2:$V$4400,BE$1,FALSE)="","-",VLOOKUP(ROUND(CONCATENATE($A37,BE$2),0),'Cadastro dos Padrões'!$A$2:$V$4400,BE$1,FALSE))</f>
        <v>-</v>
      </c>
      <c r="BF37" s="31" t="str">
        <f>IF(VLOOKUP(ROUND(CONCATENATE($A37,BF$2),0),'Cadastro dos Padrões'!$A$2:$V$4400,BF$1,FALSE)="","-",VLOOKUP(ROUND(CONCATENATE($A37,BF$2),0),'Cadastro dos Padrões'!$A$2:$V$4400,BF$1,FALSE))</f>
        <v>-</v>
      </c>
      <c r="BG37" s="31" t="str">
        <f>IF(VLOOKUP(ROUND(CONCATENATE($A37,BG$2),0),'Cadastro dos Padrões'!$A$2:$V$4400,BG$1,FALSE)="","-",VLOOKUP(ROUND(CONCATENATE($A37,BG$2),0),'Cadastro dos Padrões'!$A$2:$V$4400,BG$1,FALSE))</f>
        <v>-</v>
      </c>
      <c r="BH37" s="31" t="str">
        <f>IF(VLOOKUP(ROUND(CONCATENATE($A37,BH$2),0),'Cadastro dos Padrões'!$A$2:$V$4400,BH$1,FALSE)="","-",VLOOKUP(ROUND(CONCATENATE($A37,BH$2),0),'Cadastro dos Padrões'!$A$2:$V$4400,BH$1,FALSE))</f>
        <v>-</v>
      </c>
      <c r="BI37" s="31" t="str">
        <f>IF(VLOOKUP(ROUND(CONCATENATE($A37,BI$2),0),'Cadastro dos Padrões'!$A$2:$V$4400,BI$1,FALSE)="","-",VLOOKUP(ROUND(CONCATENATE($A37,BI$2),0),'Cadastro dos Padrões'!$A$2:$V$4400,BI$1,FALSE))</f>
        <v>-</v>
      </c>
      <c r="BJ37" s="31" t="str">
        <f>IF(VLOOKUP(ROUND(CONCATENATE($A37,BJ$2),0),'Cadastro dos Padrões'!$A$2:$V$4400,BJ$1,FALSE)="","-",VLOOKUP(ROUND(CONCATENATE($A37,BJ$2),0),'Cadastro dos Padrões'!$A$2:$V$4400,BJ$1,FALSE))</f>
        <v>-</v>
      </c>
      <c r="BK37" s="31" t="str">
        <f>IF(VLOOKUP(ROUND(CONCATENATE($A37,BK$2),0),'Cadastro dos Padrões'!$A$2:$V$4400,BK$1,FALSE)="","-",VLOOKUP(ROUND(CONCATENATE($A37,BK$2),0),'Cadastro dos Padrões'!$A$2:$V$4400,BK$1,FALSE))</f>
        <v>-</v>
      </c>
      <c r="BL37" s="31" t="str">
        <f>IF(VLOOKUP(ROUND(CONCATENATE($A37,BL$2),0),'Cadastro dos Padrões'!$A$2:$V$4400,BL$1,FALSE)="","-",VLOOKUP(ROUND(CONCATENATE($A37,BL$2),0),'Cadastro dos Padrões'!$A$2:$V$4400,BL$1,FALSE))</f>
        <v>-</v>
      </c>
      <c r="BM37" s="31" t="str">
        <f>IF(VLOOKUP(ROUND(CONCATENATE($A37,BM$2),0),'Cadastro dos Padrões'!$A$2:$V$4400,BM$1,FALSE)="","-",VLOOKUP(ROUND(CONCATENATE($A37,BM$2),0),'Cadastro dos Padrões'!$A$2:$V$4400,BM$1,FALSE))</f>
        <v>-</v>
      </c>
      <c r="BN37" s="31" t="str">
        <f>IF(VLOOKUP(ROUND(CONCATENATE($A37,BN$2),0),'Cadastro dos Padrões'!$A$2:$V$4400,BN$1,FALSE)="","-",VLOOKUP(ROUND(CONCATENATE($A37,BN$2),0),'Cadastro dos Padrões'!$A$2:$V$4400,BN$1,FALSE))</f>
        <v>-</v>
      </c>
      <c r="BO37" s="31" t="str">
        <f>IF(VLOOKUP(ROUND(CONCATENATE($A37,BO$2),0),'Cadastro dos Padrões'!$A$2:$V$4400,BO$1,FALSE)="","-",VLOOKUP(ROUND(CONCATENATE($A37,BO$2),0),'Cadastro dos Padrões'!$A$2:$V$4400,BO$1,FALSE))</f>
        <v>-</v>
      </c>
    </row>
    <row r="38" spans="1:67" x14ac:dyDescent="0.3">
      <c r="A38" s="6">
        <f t="shared" si="52"/>
        <v>33</v>
      </c>
      <c r="B38" s="31" t="str">
        <f>IF(VLOOKUP(ROUND(CONCATENATE($A38,B$2),0),'Cadastro dos Padrões'!$A$2:$V$4400,B$1,FALSE)="","-",VLOOKUP(ROUND(CONCATENATE($A38,B$2),0),'Cadastro dos Padrões'!$A$2:$V$4400,B$1,FALSE))</f>
        <v>EL-815</v>
      </c>
      <c r="C38" s="31" t="str">
        <f>IF($B38="-","-",VLOOKUP(ROUND(CONCATENATE($A38,C$2),0),'Cadastro dos Padrões'!$A$2:$V$4400,C$1,FALSE))</f>
        <v>Higrômetro de Ponto de Orvalho</v>
      </c>
      <c r="D38" s="31" t="str">
        <f>IF($B38="-","-",VLOOKUP(ROUND(CONCATENATE($A38,D$2),0),'Cadastro dos Padrões'!$A$2:$V$4400,D$1,FALSE))</f>
        <v>-</v>
      </c>
      <c r="E38" s="31" t="str">
        <f>IF($B38="-","-",VLOOKUP(ROUND(CONCATENATE($A38,E$2),0),'Cadastro dos Padrões'!$A$2:$V$4400,E$1,FALSE))</f>
        <v>Sicamet</v>
      </c>
      <c r="F38" s="31" t="str">
        <f>IF($B38="-","-",VLOOKUP(ROUND(CONCATENATE($A38,F$2),0),'Cadastro dos Padrões'!$A$2:$V$4400,F$1,FALSE))</f>
        <v>EMA H111</v>
      </c>
      <c r="G38" s="31" t="str">
        <f>IF($B38="-","-",VLOOKUP(ROUND(CONCATENATE($A38,G$2),0),'Cadastro dos Padrões'!$A$2:$V$4400,G$1,FALSE))</f>
        <v>ICH.0058.22</v>
      </c>
      <c r="H38" s="32">
        <f>IF($B38="-","-",VLOOKUP(ROUND(CONCATENATE($A38,H$2),0),'Cadastro dos Padrões'!$A$2:$V$4400,H$1,FALSE))</f>
        <v>44768</v>
      </c>
      <c r="I38" s="33">
        <f>IF($B38="-","-",VLOOKUP(ROUND(CONCATENATE($A38,I$2),0),'Cadastro dos Padrões'!$A$2:$V$4400,I$1,FALSE))</f>
        <v>45839</v>
      </c>
      <c r="J38" s="31" t="str">
        <f>IF($B38="-","-",VLOOKUP(ROUND(CONCATENATE($A38,J$2),0),'Cadastro dos Padrões'!$A$2:$V$4400,J$1,FALSE))</f>
        <v>°CTd</v>
      </c>
      <c r="K38" s="31">
        <f>IF($B38="-","-",VLOOKUP(ROUND(CONCATENATE($A38,K$2),0),'Cadastro dos Padrões'!$A$2:$V$4400,K$1,FALSE))</f>
        <v>-65.641000000000005</v>
      </c>
      <c r="L38" s="31">
        <f>IF($B38="-","-",VLOOKUP(ROUND(CONCATENATE($A38,L$2),0),'Cadastro dos Padrões'!$A$2:$V$4400,L$1,FALSE))</f>
        <v>20.03</v>
      </c>
      <c r="M38" s="31">
        <f>IF($B38="-","-",VLOOKUP(ROUND(CONCATENATE($A38,M$2),0),'Cadastro dos Padrões'!$A$2:$V$4400,M$1,FALSE))</f>
        <v>1E-3</v>
      </c>
      <c r="N38" s="31">
        <f>IF($B38="-","-",VLOOKUP(ROUND(CONCATENATE($A38,N$2),0),'Cadastro dos Padrões'!$A$2:$V$4400,N$1,FALSE))</f>
        <v>0.19600000000000001</v>
      </c>
      <c r="O38" s="31">
        <f>IF($B38="-","-",VLOOKUP(ROUND(CONCATENATE($A38,O$2),0),'Cadastro dos Padrões'!$A$2:$V$4400,O$1,FALSE))</f>
        <v>0.12</v>
      </c>
      <c r="P38" s="31">
        <f>IF($B38="-","-",VLOOKUP(ROUND(CONCATENATE($A38,P$2),0),'Cadastro dos Padrões'!$A$2:$V$4400,P$1,FALSE))</f>
        <v>0.21599999999999997</v>
      </c>
      <c r="Q38" s="31">
        <f>IF($B38="-","-",VLOOKUP(ROUND(CONCATENATE($A38,Q$2),0),'Cadastro dos Padrões'!$A$2:$V$4400,Q$1,FALSE))</f>
        <v>0.14099380650473137</v>
      </c>
      <c r="R38" s="31">
        <f>IF($B38="-","-",VLOOKUP(ROUND(CONCATENATE($A38,R$2),0),'Cadastro dos Padrões'!$A$2:$V$4400,R$1,FALSE))</f>
        <v>3</v>
      </c>
      <c r="S38" s="31">
        <f>IF($B38="-","-",VLOOKUP(ROUND(CONCATENATE($A38,S$2),0),'Cadastro dos Padrões'!$A$2:$V$4400,S$1,FALSE))</f>
        <v>0</v>
      </c>
      <c r="T38" s="31">
        <f>IF($B38="-","-",VLOOKUP(ROUND(CONCATENATE($A38,T$2),0),'Cadastro dos Padrões'!$A$2:$V$4400,T$1,FALSE))</f>
        <v>0</v>
      </c>
      <c r="U38" s="31">
        <f>IF($B38="-","-",VLOOKUP(ROUND(CONCATENATE($A38,U$2),0),'Cadastro dos Padrões'!$A$2:$V$4400,U$1,FALSE))</f>
        <v>0</v>
      </c>
      <c r="V38" s="31">
        <f>IF($B38="-","-",VLOOKUP(ROUND(CONCATENATE($A38,V$2),0),'Cadastro dos Padrões'!$A$2:$V$4400,V$1,FALSE))</f>
        <v>0</v>
      </c>
      <c r="W38" s="31">
        <f>IF($B38="-","-",VLOOKUP(ROUND(CONCATENATE($A38,W$2),0),'Cadastro dos Padrões'!$A$2:$V$4400,W$1,FALSE))</f>
        <v>0</v>
      </c>
      <c r="X38" s="31">
        <f>IF($B38="-","-",VLOOKUP(ROUND(CONCATENATE($A38,X$2),0),'Cadastro dos Padrões'!$A$2:$V$4400,X$1,FALSE))</f>
        <v>3.1535707161766998E-6</v>
      </c>
      <c r="Y38" s="31">
        <f>IF($B38="-","-",VLOOKUP(ROUND(CONCATENATE($A38,Y$2),0),'Cadastro dos Padrões'!$A$2:$V$4400,Y$1,FALSE))</f>
        <v>2.2139756301785802E-4</v>
      </c>
      <c r="Z38" s="31">
        <f>IF($B38="-","-",VLOOKUP(ROUND(CONCATENATE($A38,Z$2),0),'Cadastro dos Padrões'!$A$2:$V$4400,Z$1,FALSE))</f>
        <v>1.0004207578206086</v>
      </c>
      <c r="AA38" s="31">
        <f>IF($B38="-","-",VLOOKUP(ROUND(CONCATENATE($A38,AA$2),0),'Cadastro dos Padrões'!$A$2:$V$4400,AA$1,FALSE))</f>
        <v>-0.12417231514128241</v>
      </c>
      <c r="AB38" s="31">
        <f>IF(VLOOKUP(ROUND(CONCATENATE($A38,AB$2),0),'Cadastro dos Padrões'!$A$2:$V$4400,AB$1,FALSE)="","-",VLOOKUP(ROUND(CONCATENATE($A38,AB$2),0),'Cadastro dos Padrões'!$A$2:$V$4400,AB$1,FALSE))</f>
        <v>-65.641000000000005</v>
      </c>
      <c r="AC38" s="31">
        <f>IF(VLOOKUP(ROUND(CONCATENATE($A38,AC$2),0),'Cadastro dos Padrões'!$A$2:$V$4400,AC$1,FALSE)="","-",VLOOKUP(ROUND(CONCATENATE($A38,AC$2),0),'Cadastro dos Padrões'!$A$2:$V$4400,AC$1,FALSE))</f>
        <v>4.1000000000000002E-2</v>
      </c>
      <c r="AD38" s="31">
        <f>IF(VLOOKUP(ROUND(CONCATENATE($A38,AD$2),0),'Cadastro dos Padrões'!$A$2:$V$4400,AD$1,FALSE)="","-",VLOOKUP(ROUND(CONCATENATE($A38,AD$2),0),'Cadastro dos Padrões'!$A$2:$V$4400,AD$1,FALSE))</f>
        <v>2</v>
      </c>
      <c r="AE38" s="31">
        <f>IF(VLOOKUP(ROUND(CONCATENATE($A38,AE$2),0),'Cadastro dos Padrões'!$A$2:$V$4400,AE$1,FALSE)="","-",VLOOKUP(ROUND(CONCATENATE($A38,AE$2),0),'Cadastro dos Padrões'!$A$2:$V$4400,AE$1,FALSE))</f>
        <v>1000000</v>
      </c>
      <c r="AF38" s="31">
        <f>IF(VLOOKUP(ROUND(CONCATENATE($A38,AF$2),0),'Cadastro dos Padrões'!$A$2:$V$4400,AF$1,FALSE)="","-",VLOOKUP(ROUND(CONCATENATE($A38,AF$2),0),'Cadastro dos Padrões'!$A$2:$V$4400,AF$1,FALSE))</f>
        <v>-40.366</v>
      </c>
      <c r="AG38" s="31">
        <f>IF(VLOOKUP(ROUND(CONCATENATE($A38,AG$2),0),'Cadastro dos Padrões'!$A$2:$V$4400,AG$1,FALSE)="","-",VLOOKUP(ROUND(CONCATENATE($A38,AG$2),0),'Cadastro dos Padrões'!$A$2:$V$4400,AG$1,FALSE))</f>
        <v>4.7E-2</v>
      </c>
      <c r="AH38" s="31">
        <f>IF(VLOOKUP(ROUND(CONCATENATE($A38,AH$2),0),'Cadastro dos Padrões'!$A$2:$V$4400,AH$1,FALSE)="","-",VLOOKUP(ROUND(CONCATENATE($A38,AH$2),0),'Cadastro dos Padrões'!$A$2:$V$4400,AH$1,FALSE))</f>
        <v>2</v>
      </c>
      <c r="AI38" s="31">
        <f>IF(VLOOKUP(ROUND(CONCATENATE($A38,AI$2),0),'Cadastro dos Padrões'!$A$2:$V$4400,AI$1,FALSE)="","-",VLOOKUP(ROUND(CONCATENATE($A38,AI$2),0),'Cadastro dos Padrões'!$A$2:$V$4400,AI$1,FALSE))</f>
        <v>1000000</v>
      </c>
      <c r="AJ38" s="31">
        <f>IF(VLOOKUP(ROUND(CONCATENATE($A38,AJ$2),0),'Cadastro dos Padrões'!$A$2:$V$4400,AJ$1,FALSE)="","-",VLOOKUP(ROUND(CONCATENATE($A38,AJ$2),0),'Cadastro dos Padrões'!$A$2:$V$4400,AJ$1,FALSE))</f>
        <v>-19.942</v>
      </c>
      <c r="AK38" s="31">
        <f>IF(VLOOKUP(ROUND(CONCATENATE($A38,AK$2),0),'Cadastro dos Padrões'!$A$2:$V$4400,AK$1,FALSE)="","-",VLOOKUP(ROUND(CONCATENATE($A38,AK$2),0),'Cadastro dos Padrões'!$A$2:$V$4400,AK$1,FALSE))</f>
        <v>6.6000000000000003E-2</v>
      </c>
      <c r="AL38" s="31">
        <f>IF(VLOOKUP(ROUND(CONCATENATE($A38,AL$2),0),'Cadastro dos Padrões'!$A$2:$V$4400,AL$1,FALSE)="","-",VLOOKUP(ROUND(CONCATENATE($A38,AL$2),0),'Cadastro dos Padrões'!$A$2:$V$4400,AL$1,FALSE))</f>
        <v>2</v>
      </c>
      <c r="AM38" s="31">
        <f>IF(VLOOKUP(ROUND(CONCATENATE($A38,AM$2),0),'Cadastro dos Padrões'!$A$2:$V$4400,AM$1,FALSE)="","-",VLOOKUP(ROUND(CONCATENATE($A38,AM$2),0),'Cadastro dos Padrões'!$A$2:$V$4400,AM$1,FALSE))</f>
        <v>1000000</v>
      </c>
      <c r="AN38" s="31">
        <f>IF(VLOOKUP(ROUND(CONCATENATE($A38,AN$2),0),'Cadastro dos Padrões'!$A$2:$V$4400,AN$1,FALSE)="","-",VLOOKUP(ROUND(CONCATENATE($A38,AN$2),0),'Cadastro dos Padrões'!$A$2:$V$4400,AN$1,FALSE))</f>
        <v>4.3999999999999997E-2</v>
      </c>
      <c r="AO38" s="31">
        <f>IF(VLOOKUP(ROUND(CONCATENATE($A38,AO$2),0),'Cadastro dos Padrões'!$A$2:$V$4400,AO$1,FALSE)="","-",VLOOKUP(ROUND(CONCATENATE($A38,AO$2),0),'Cadastro dos Padrões'!$A$2:$V$4400,AO$1,FALSE))</f>
        <v>0.12</v>
      </c>
      <c r="AP38" s="31">
        <f>IF(VLOOKUP(ROUND(CONCATENATE($A38,AP$2),0),'Cadastro dos Padrões'!$A$2:$V$4400,AP$1,FALSE)="","-",VLOOKUP(ROUND(CONCATENATE($A38,AP$2),0),'Cadastro dos Padrões'!$A$2:$V$4400,AP$1,FALSE))</f>
        <v>2</v>
      </c>
      <c r="AQ38" s="31">
        <f>IF(VLOOKUP(ROUND(CONCATENATE($A38,AQ$2),0),'Cadastro dos Padrões'!$A$2:$V$4400,AQ$1,FALSE)="","-",VLOOKUP(ROUND(CONCATENATE($A38,AQ$2),0),'Cadastro dos Padrões'!$A$2:$V$4400,AQ$1,FALSE))</f>
        <v>1000000</v>
      </c>
      <c r="AR38" s="31">
        <f>IF(VLOOKUP(ROUND(CONCATENATE($A38,AR$2),0),'Cadastro dos Padrões'!$A$2:$V$4400,AR$1,FALSE)="","-",VLOOKUP(ROUND(CONCATENATE($A38,AR$2),0),'Cadastro dos Padrões'!$A$2:$V$4400,AR$1,FALSE))</f>
        <v>20.03</v>
      </c>
      <c r="AS38" s="31">
        <f>IF(VLOOKUP(ROUND(CONCATENATE($A38,AS$2),0),'Cadastro dos Padrões'!$A$2:$V$4400,AS$1,FALSE)="","-",VLOOKUP(ROUND(CONCATENATE($A38,AS$2),0),'Cadastro dos Padrões'!$A$2:$V$4400,AS$1,FALSE))</f>
        <v>9.1999999999999998E-2</v>
      </c>
      <c r="AT38" s="31">
        <f>IF(VLOOKUP(ROUND(CONCATENATE($A38,AT$2),0),'Cadastro dos Padrões'!$A$2:$V$4400,AT$1,FALSE)="","-",VLOOKUP(ROUND(CONCATENATE($A38,AT$2),0),'Cadastro dos Padrões'!$A$2:$V$4400,AT$1,FALSE))</f>
        <v>2</v>
      </c>
      <c r="AU38" s="31">
        <f>IF(VLOOKUP(ROUND(CONCATENATE($A38,AU$2),0),'Cadastro dos Padrões'!$A$2:$V$4400,AU$1,FALSE)="","-",VLOOKUP(ROUND(CONCATENATE($A38,AU$2),0),'Cadastro dos Padrões'!$A$2:$V$4400,AU$1,FALSE))</f>
        <v>1000000</v>
      </c>
      <c r="AV38" s="31" t="str">
        <f>IF(VLOOKUP(ROUND(CONCATENATE($A38,AV$2),0),'Cadastro dos Padrões'!$A$2:$V$4400,AV$1,FALSE)="","-",VLOOKUP(ROUND(CONCATENATE($A38,AV$2),0),'Cadastro dos Padrões'!$A$2:$V$4400,AV$1,FALSE))</f>
        <v>-</v>
      </c>
      <c r="AW38" s="31" t="str">
        <f>IF(VLOOKUP(ROUND(CONCATENATE($A38,AW$2),0),'Cadastro dos Padrões'!$A$2:$V$4400,AW$1,FALSE)="","-",VLOOKUP(ROUND(CONCATENATE($A38,AW$2),0),'Cadastro dos Padrões'!$A$2:$V$4400,AW$1,FALSE))</f>
        <v>-</v>
      </c>
      <c r="AX38" s="31" t="str">
        <f>IF(VLOOKUP(ROUND(CONCATENATE($A38,AX$2),0),'Cadastro dos Padrões'!$A$2:$V$4400,AX$1,FALSE)="","-",VLOOKUP(ROUND(CONCATENATE($A38,AX$2),0),'Cadastro dos Padrões'!$A$2:$V$4400,AX$1,FALSE))</f>
        <v>-</v>
      </c>
      <c r="AY38" s="31" t="str">
        <f>IF(VLOOKUP(ROUND(CONCATENATE($A38,AY$2),0),'Cadastro dos Padrões'!$A$2:$V$4400,AY$1,FALSE)="","-",VLOOKUP(ROUND(CONCATENATE($A38,AY$2),0),'Cadastro dos Padrões'!$A$2:$V$4400,AY$1,FALSE))</f>
        <v>-</v>
      </c>
      <c r="AZ38" s="31" t="str">
        <f>IF(VLOOKUP(ROUND(CONCATENATE($A38,AZ$2),0),'Cadastro dos Padrões'!$A$2:$V$4400,AZ$1,FALSE)="","-",VLOOKUP(ROUND(CONCATENATE($A38,AZ$2),0),'Cadastro dos Padrões'!$A$2:$V$4400,AZ$1,FALSE))</f>
        <v>-</v>
      </c>
      <c r="BA38" s="31" t="str">
        <f>IF(VLOOKUP(ROUND(CONCATENATE($A38,BA$2),0),'Cadastro dos Padrões'!$A$2:$V$4400,BA$1,FALSE)="","-",VLOOKUP(ROUND(CONCATENATE($A38,BA$2),0),'Cadastro dos Padrões'!$A$2:$V$4400,BA$1,FALSE))</f>
        <v>-</v>
      </c>
      <c r="BB38" s="31" t="str">
        <f>IF(VLOOKUP(ROUND(CONCATENATE($A38,BB$2),0),'Cadastro dos Padrões'!$A$2:$V$4400,BB$1,FALSE)="","-",VLOOKUP(ROUND(CONCATENATE($A38,BB$2),0),'Cadastro dos Padrões'!$A$2:$V$4400,BB$1,FALSE))</f>
        <v>-</v>
      </c>
      <c r="BC38" s="31" t="str">
        <f>IF(VLOOKUP(ROUND(CONCATENATE($A38,BC$2),0),'Cadastro dos Padrões'!$A$2:$V$4400,BC$1,FALSE)="","-",VLOOKUP(ROUND(CONCATENATE($A38,BC$2),0),'Cadastro dos Padrões'!$A$2:$V$4400,BC$1,FALSE))</f>
        <v>-</v>
      </c>
      <c r="BD38" s="31" t="str">
        <f>IF(VLOOKUP(ROUND(CONCATENATE($A38,BD$2),0),'Cadastro dos Padrões'!$A$2:$V$4400,BD$1,FALSE)="","-",VLOOKUP(ROUND(CONCATENATE($A38,BD$2),0),'Cadastro dos Padrões'!$A$2:$V$4400,BD$1,FALSE))</f>
        <v>-</v>
      </c>
      <c r="BE38" s="31" t="str">
        <f>IF(VLOOKUP(ROUND(CONCATENATE($A38,BE$2),0),'Cadastro dos Padrões'!$A$2:$V$4400,BE$1,FALSE)="","-",VLOOKUP(ROUND(CONCATENATE($A38,BE$2),0),'Cadastro dos Padrões'!$A$2:$V$4400,BE$1,FALSE))</f>
        <v>-</v>
      </c>
      <c r="BF38" s="31" t="str">
        <f>IF(VLOOKUP(ROUND(CONCATENATE($A38,BF$2),0),'Cadastro dos Padrões'!$A$2:$V$4400,BF$1,FALSE)="","-",VLOOKUP(ROUND(CONCATENATE($A38,BF$2),0),'Cadastro dos Padrões'!$A$2:$V$4400,BF$1,FALSE))</f>
        <v>-</v>
      </c>
      <c r="BG38" s="31" t="str">
        <f>IF(VLOOKUP(ROUND(CONCATENATE($A38,BG$2),0),'Cadastro dos Padrões'!$A$2:$V$4400,BG$1,FALSE)="","-",VLOOKUP(ROUND(CONCATENATE($A38,BG$2),0),'Cadastro dos Padrões'!$A$2:$V$4400,BG$1,FALSE))</f>
        <v>-</v>
      </c>
      <c r="BH38" s="31" t="str">
        <f>IF(VLOOKUP(ROUND(CONCATENATE($A38,BH$2),0),'Cadastro dos Padrões'!$A$2:$V$4400,BH$1,FALSE)="","-",VLOOKUP(ROUND(CONCATENATE($A38,BH$2),0),'Cadastro dos Padrões'!$A$2:$V$4400,BH$1,FALSE))</f>
        <v>-</v>
      </c>
      <c r="BI38" s="31" t="str">
        <f>IF(VLOOKUP(ROUND(CONCATENATE($A38,BI$2),0),'Cadastro dos Padrões'!$A$2:$V$4400,BI$1,FALSE)="","-",VLOOKUP(ROUND(CONCATENATE($A38,BI$2),0),'Cadastro dos Padrões'!$A$2:$V$4400,BI$1,FALSE))</f>
        <v>-</v>
      </c>
      <c r="BJ38" s="31" t="str">
        <f>IF(VLOOKUP(ROUND(CONCATENATE($A38,BJ$2),0),'Cadastro dos Padrões'!$A$2:$V$4400,BJ$1,FALSE)="","-",VLOOKUP(ROUND(CONCATENATE($A38,BJ$2),0),'Cadastro dos Padrões'!$A$2:$V$4400,BJ$1,FALSE))</f>
        <v>-</v>
      </c>
      <c r="BK38" s="31" t="str">
        <f>IF(VLOOKUP(ROUND(CONCATENATE($A38,BK$2),0),'Cadastro dos Padrões'!$A$2:$V$4400,BK$1,FALSE)="","-",VLOOKUP(ROUND(CONCATENATE($A38,BK$2),0),'Cadastro dos Padrões'!$A$2:$V$4400,BK$1,FALSE))</f>
        <v>-</v>
      </c>
      <c r="BL38" s="31" t="str">
        <f>IF(VLOOKUP(ROUND(CONCATENATE($A38,BL$2),0),'Cadastro dos Padrões'!$A$2:$V$4400,BL$1,FALSE)="","-",VLOOKUP(ROUND(CONCATENATE($A38,BL$2),0),'Cadastro dos Padrões'!$A$2:$V$4400,BL$1,FALSE))</f>
        <v>-</v>
      </c>
      <c r="BM38" s="31" t="str">
        <f>IF(VLOOKUP(ROUND(CONCATENATE($A38,BM$2),0),'Cadastro dos Padrões'!$A$2:$V$4400,BM$1,FALSE)="","-",VLOOKUP(ROUND(CONCATENATE($A38,BM$2),0),'Cadastro dos Padrões'!$A$2:$V$4400,BM$1,FALSE))</f>
        <v>-</v>
      </c>
      <c r="BN38" s="31" t="str">
        <f>IF(VLOOKUP(ROUND(CONCATENATE($A38,BN$2),0),'Cadastro dos Padrões'!$A$2:$V$4400,BN$1,FALSE)="","-",VLOOKUP(ROUND(CONCATENATE($A38,BN$2),0),'Cadastro dos Padrões'!$A$2:$V$4400,BN$1,FALSE))</f>
        <v>-</v>
      </c>
      <c r="BO38" s="31" t="str">
        <f>IF(VLOOKUP(ROUND(CONCATENATE($A38,BO$2),0),'Cadastro dos Padrões'!$A$2:$V$4400,BO$1,FALSE)="","-",VLOOKUP(ROUND(CONCATENATE($A38,BO$2),0),'Cadastro dos Padrões'!$A$2:$V$4400,BO$1,FALSE))</f>
        <v>-</v>
      </c>
    </row>
    <row r="39" spans="1:67" x14ac:dyDescent="0.3">
      <c r="A39" s="6">
        <f t="shared" si="52"/>
        <v>34</v>
      </c>
      <c r="B39" s="31" t="str">
        <f>IF(VLOOKUP(ROUND(CONCATENATE($A39,B$2),0),'Cadastro dos Padrões'!$A$2:$V$4400,B$1,FALSE)="","-",VLOOKUP(ROUND(CONCATENATE($A39,B$2),0),'Cadastro dos Padrões'!$A$2:$V$4400,B$1,FALSE))</f>
        <v>E.PS.LQ-020</v>
      </c>
      <c r="C39" s="31" t="str">
        <f>IF($B39="-","-",VLOOKUP(ROUND(CONCATENATE($A39,C$2),0),'Cadastro dos Padrões'!$A$2:$V$4400,C$1,FALSE))</f>
        <v>Termohigrômetro Digital</v>
      </c>
      <c r="D39" s="31">
        <f>IF($B39="-","-",VLOOKUP(ROUND(CONCATENATE($A39,D$2),0),'Cadastro dos Padrões'!$A$2:$V$4400,D$1,FALSE))</f>
        <v>20</v>
      </c>
      <c r="E39" s="31" t="str">
        <f>IF($B39="-","-",VLOOKUP(ROUND(CONCATENATE($A39,E$2),0),'Cadastro dos Padrões'!$A$2:$V$4400,E$1,FALSE))</f>
        <v>Elus</v>
      </c>
      <c r="F39" s="31" t="str">
        <f>IF($B39="-","-",VLOOKUP(ROUND(CONCATENATE($A39,F$2),0),'Cadastro dos Padrões'!$A$2:$V$4400,F$1,FALSE))</f>
        <v>RBC - CAL 0439</v>
      </c>
      <c r="G39" s="31" t="str">
        <f>IF($B39="-","-",VLOOKUP(ROUND(CONCATENATE($A39,G$2),0),'Cadastro dos Padrões'!$A$2:$V$4400,G$1,FALSE))</f>
        <v>E0440/25</v>
      </c>
      <c r="H39" s="32">
        <f>IF($B39="-","-",VLOOKUP(ROUND(CONCATENATE($A39,H$2),0),'Cadastro dos Padrões'!$A$2:$V$4400,H$1,FALSE))</f>
        <v>45839</v>
      </c>
      <c r="I39" s="33">
        <f>IF($B39="-","-",VLOOKUP(ROUND(CONCATENATE($A39,I$2),0),'Cadastro dos Padrões'!$A$2:$V$4400,I$1,FALSE))</f>
        <v>46233</v>
      </c>
      <c r="J39" s="31" t="str">
        <f>IF($B39="-","-",VLOOKUP(ROUND(CONCATENATE($A39,J$2),0),'Cadastro dos Padrões'!$A$2:$V$4400,J$1,FALSE))</f>
        <v>%ur</v>
      </c>
      <c r="K39" s="31">
        <f>IF($B39="-","-",VLOOKUP(ROUND(CONCATENATE($A39,K$2),0),'Cadastro dos Padrões'!$A$2:$V$4400,K$1,FALSE))</f>
        <v>30</v>
      </c>
      <c r="L39" s="31">
        <f>IF($B39="-","-",VLOOKUP(ROUND(CONCATENATE($A39,L$2),0),'Cadastro dos Padrões'!$A$2:$V$4400,L$1,FALSE))</f>
        <v>90</v>
      </c>
      <c r="M39" s="31">
        <f>IF($B39="-","-",VLOOKUP(ROUND(CONCATENATE($A39,M$2),0),'Cadastro dos Padrões'!$A$2:$V$4400,M$1,FALSE))</f>
        <v>1</v>
      </c>
      <c r="N39" s="31">
        <f>IF($B39="-","-",VLOOKUP(ROUND(CONCATENATE($A39,N$2),0),'Cadastro dos Padrões'!$A$2:$V$4400,N$1,FALSE))</f>
        <v>5</v>
      </c>
      <c r="O39" s="31">
        <f>IF($B39="-","-",VLOOKUP(ROUND(CONCATENATE($A39,O$2),0),'Cadastro dos Padrões'!$A$2:$V$4400,O$1,FALSE))</f>
        <v>2</v>
      </c>
      <c r="P39" s="31">
        <f>IF($B39="-","-",VLOOKUP(ROUND(CONCATENATE($A39,P$2),0),'Cadastro dos Padrões'!$A$2:$V$4400,P$1,FALSE))</f>
        <v>11</v>
      </c>
      <c r="Q39" s="31">
        <f>IF($B39="-","-",VLOOKUP(ROUND(CONCATENATE($A39,Q$2),0),'Cadastro dos Padrões'!$A$2:$V$4400,Q$1,FALSE))</f>
        <v>1.3186193956779038</v>
      </c>
      <c r="R39" s="31">
        <f>IF($B39="-","-",VLOOKUP(ROUND(CONCATENATE($A39,R$2),0),'Cadastro dos Padrões'!$A$2:$V$4400,R$1,FALSE))</f>
        <v>2</v>
      </c>
      <c r="S39" s="31">
        <f>IF($B39="-","-",VLOOKUP(ROUND(CONCATENATE($A39,S$2),0),'Cadastro dos Padrões'!$A$2:$V$4400,S$1,FALSE))</f>
        <v>0</v>
      </c>
      <c r="T39" s="31">
        <f>IF($B39="-","-",VLOOKUP(ROUND(CONCATENATE($A39,T$2),0),'Cadastro dos Padrões'!$A$2:$V$4400,T$1,FALSE))</f>
        <v>0</v>
      </c>
      <c r="U39" s="31">
        <f>IF($B39="-","-",VLOOKUP(ROUND(CONCATENATE($A39,U$2),0),'Cadastro dos Padrões'!$A$2:$V$4400,U$1,FALSE))</f>
        <v>0</v>
      </c>
      <c r="V39" s="31">
        <f>IF($B39="-","-",VLOOKUP(ROUND(CONCATENATE($A39,V$2),0),'Cadastro dos Padrões'!$A$2:$V$4400,V$1,FALSE))</f>
        <v>0</v>
      </c>
      <c r="W39" s="31">
        <f>IF($B39="-","-",VLOOKUP(ROUND(CONCATENATE($A39,W$2),0),'Cadastro dos Padrões'!$A$2:$V$4400,W$1,FALSE))</f>
        <v>0</v>
      </c>
      <c r="X39" s="31">
        <f>IF($B39="-","-",VLOOKUP(ROUND(CONCATENATE($A39,X$2),0),'Cadastro dos Padrões'!$A$2:$V$4400,X$1,FALSE))</f>
        <v>0</v>
      </c>
      <c r="Y39" s="31">
        <f>IF($B39="-","-",VLOOKUP(ROUND(CONCATENATE($A39,Y$2),0),'Cadastro dos Padrões'!$A$2:$V$4400,Y$1,FALSE))</f>
        <v>-4.4823338802087399E-3</v>
      </c>
      <c r="Z39" s="31">
        <f>IF($B39="-","-",VLOOKUP(ROUND(CONCATENATE($A39,Z$2),0),'Cadastro dos Padrões'!$A$2:$V$4400,Z$1,FALSE))</f>
        <v>1.5799945823558579</v>
      </c>
      <c r="AA39" s="31">
        <f>IF($B39="-","-",VLOOKUP(ROUND(CONCATENATE($A39,AA$2),0),'Cadastro dos Padrões'!$A$2:$V$4400,AA$1,FALSE))</f>
        <v>-12.969686747726893</v>
      </c>
      <c r="AB39" s="31">
        <f>IF(VLOOKUP(ROUND(CONCATENATE($A39,AB$2),0),'Cadastro dos Padrões'!$A$2:$V$4400,AB$1,FALSE)="","-",VLOOKUP(ROUND(CONCATENATE($A39,AB$2),0),'Cadastro dos Padrões'!$A$2:$V$4400,AB$1,FALSE))</f>
        <v>30</v>
      </c>
      <c r="AC39" s="31">
        <f>IF(VLOOKUP(ROUND(CONCATENATE($A39,AC$2),0),'Cadastro dos Padrões'!$A$2:$V$4400,AC$1,FALSE)="","-",VLOOKUP(ROUND(CONCATENATE($A39,AC$2),0),'Cadastro dos Padrões'!$A$2:$V$4400,AC$1,FALSE))</f>
        <v>2</v>
      </c>
      <c r="AD39" s="31">
        <f>IF(VLOOKUP(ROUND(CONCATENATE($A39,AD$2),0),'Cadastro dos Padrões'!$A$2:$V$4400,AD$1,FALSE)="","-",VLOOKUP(ROUND(CONCATENATE($A39,AD$2),0),'Cadastro dos Padrões'!$A$2:$V$4400,AD$1,FALSE))</f>
        <v>2</v>
      </c>
      <c r="AE39" s="31">
        <f>IF(VLOOKUP(ROUND(CONCATENATE($A39,AE$2),0),'Cadastro dos Padrões'!$A$2:$V$4400,AE$1,FALSE)="","-",VLOOKUP(ROUND(CONCATENATE($A39,AE$2),0),'Cadastro dos Padrões'!$A$2:$V$4400,AE$1,FALSE))</f>
        <v>1000000</v>
      </c>
      <c r="AF39" s="31">
        <f>IF(VLOOKUP(ROUND(CONCATENATE($A39,AF$2),0),'Cadastro dos Padrões'!$A$2:$V$4400,AF$1,FALSE)="","-",VLOOKUP(ROUND(CONCATENATE($A39,AF$2),0),'Cadastro dos Padrões'!$A$2:$V$4400,AF$1,FALSE))</f>
        <v>50</v>
      </c>
      <c r="AG39" s="31">
        <f>IF(VLOOKUP(ROUND(CONCATENATE($A39,AG$2),0),'Cadastro dos Padrões'!$A$2:$V$4400,AG$1,FALSE)="","-",VLOOKUP(ROUND(CONCATENATE($A39,AG$2),0),'Cadastro dos Padrões'!$A$2:$V$4400,AG$1,FALSE))</f>
        <v>2</v>
      </c>
      <c r="AH39" s="31">
        <f>IF(VLOOKUP(ROUND(CONCATENATE($A39,AH$2),0),'Cadastro dos Padrões'!$A$2:$V$4400,AH$1,FALSE)="","-",VLOOKUP(ROUND(CONCATENATE($A39,AH$2),0),'Cadastro dos Padrões'!$A$2:$V$4400,AH$1,FALSE))</f>
        <v>2</v>
      </c>
      <c r="AI39" s="31">
        <f>IF(VLOOKUP(ROUND(CONCATENATE($A39,AI$2),0),'Cadastro dos Padrões'!$A$2:$V$4400,AI$1,FALSE)="","-",VLOOKUP(ROUND(CONCATENATE($A39,AI$2),0),'Cadastro dos Padrões'!$A$2:$V$4400,AI$1,FALSE))</f>
        <v>1000000</v>
      </c>
      <c r="AJ39" s="31">
        <f>IF(VLOOKUP(ROUND(CONCATENATE($A39,AJ$2),0),'Cadastro dos Padrões'!$A$2:$V$4400,AJ$1,FALSE)="","-",VLOOKUP(ROUND(CONCATENATE($A39,AJ$2),0),'Cadastro dos Padrões'!$A$2:$V$4400,AJ$1,FALSE))</f>
        <v>70</v>
      </c>
      <c r="AK39" s="31">
        <f>IF(VLOOKUP(ROUND(CONCATENATE($A39,AK$2),0),'Cadastro dos Padrões'!$A$2:$V$4400,AK$1,FALSE)="","-",VLOOKUP(ROUND(CONCATENATE($A39,AK$2),0),'Cadastro dos Padrões'!$A$2:$V$4400,AK$1,FALSE))</f>
        <v>2</v>
      </c>
      <c r="AL39" s="31">
        <f>IF(VLOOKUP(ROUND(CONCATENATE($A39,AL$2),0),'Cadastro dos Padrões'!$A$2:$V$4400,AL$1,FALSE)="","-",VLOOKUP(ROUND(CONCATENATE($A39,AL$2),0),'Cadastro dos Padrões'!$A$2:$V$4400,AL$1,FALSE))</f>
        <v>2</v>
      </c>
      <c r="AM39" s="31">
        <f>IF(VLOOKUP(ROUND(CONCATENATE($A39,AM$2),0),'Cadastro dos Padrões'!$A$2:$V$4400,AM$1,FALSE)="","-",VLOOKUP(ROUND(CONCATENATE($A39,AM$2),0),'Cadastro dos Padrões'!$A$2:$V$4400,AM$1,FALSE))</f>
        <v>1000000</v>
      </c>
      <c r="AN39" s="31">
        <f>IF(VLOOKUP(ROUND(CONCATENATE($A39,AN$2),0),'Cadastro dos Padrões'!$A$2:$V$4400,AN$1,FALSE)="","-",VLOOKUP(ROUND(CONCATENATE($A39,AN$2),0),'Cadastro dos Padrões'!$A$2:$V$4400,AN$1,FALSE))</f>
        <v>90</v>
      </c>
      <c r="AO39" s="31">
        <f>IF(VLOOKUP(ROUND(CONCATENATE($A39,AO$2),0),'Cadastro dos Padrões'!$A$2:$V$4400,AO$1,FALSE)="","-",VLOOKUP(ROUND(CONCATENATE($A39,AO$2),0),'Cadastro dos Padrões'!$A$2:$V$4400,AO$1,FALSE))</f>
        <v>2</v>
      </c>
      <c r="AP39" s="31">
        <f>IF(VLOOKUP(ROUND(CONCATENATE($A39,AP$2),0),'Cadastro dos Padrões'!$A$2:$V$4400,AP$1,FALSE)="","-",VLOOKUP(ROUND(CONCATENATE($A39,AP$2),0),'Cadastro dos Padrões'!$A$2:$V$4400,AP$1,FALSE))</f>
        <v>2</v>
      </c>
      <c r="AQ39" s="31">
        <f>IF(VLOOKUP(ROUND(CONCATENATE($A39,AQ$2),0),'Cadastro dos Padrões'!$A$2:$V$4400,AQ$1,FALSE)="","-",VLOOKUP(ROUND(CONCATENATE($A39,AQ$2),0),'Cadastro dos Padrões'!$A$2:$V$4400,AQ$1,FALSE))</f>
        <v>1000000</v>
      </c>
      <c r="AR39" s="31" t="str">
        <f>IF(VLOOKUP(ROUND(CONCATENATE($A39,AR$2),0),'Cadastro dos Padrões'!$A$2:$V$4400,AR$1,FALSE)="","-",VLOOKUP(ROUND(CONCATENATE($A39,AR$2),0),'Cadastro dos Padrões'!$A$2:$V$4400,AR$1,FALSE))</f>
        <v>-</v>
      </c>
      <c r="AS39" s="31" t="str">
        <f>IF(VLOOKUP(ROUND(CONCATENATE($A39,AS$2),0),'Cadastro dos Padrões'!$A$2:$V$4400,AS$1,FALSE)="","-",VLOOKUP(ROUND(CONCATENATE($A39,AS$2),0),'Cadastro dos Padrões'!$A$2:$V$4400,AS$1,FALSE))</f>
        <v>-</v>
      </c>
      <c r="AT39" s="31" t="str">
        <f>IF(VLOOKUP(ROUND(CONCATENATE($A39,AT$2),0),'Cadastro dos Padrões'!$A$2:$V$4400,AT$1,FALSE)="","-",VLOOKUP(ROUND(CONCATENATE($A39,AT$2),0),'Cadastro dos Padrões'!$A$2:$V$4400,AT$1,FALSE))</f>
        <v>-</v>
      </c>
      <c r="AU39" s="31" t="str">
        <f>IF(VLOOKUP(ROUND(CONCATENATE($A39,AU$2),0),'Cadastro dos Padrões'!$A$2:$V$4400,AU$1,FALSE)="","-",VLOOKUP(ROUND(CONCATENATE($A39,AU$2),0),'Cadastro dos Padrões'!$A$2:$V$4400,AU$1,FALSE))</f>
        <v>-</v>
      </c>
      <c r="AV39" s="31" t="str">
        <f>IF(VLOOKUP(ROUND(CONCATENATE($A39,AV$2),0),'Cadastro dos Padrões'!$A$2:$V$4400,AV$1,FALSE)="","-",VLOOKUP(ROUND(CONCATENATE($A39,AV$2),0),'Cadastro dos Padrões'!$A$2:$V$4400,AV$1,FALSE))</f>
        <v>-</v>
      </c>
      <c r="AW39" s="31" t="str">
        <f>IF(VLOOKUP(ROUND(CONCATENATE($A39,AW$2),0),'Cadastro dos Padrões'!$A$2:$V$4400,AW$1,FALSE)="","-",VLOOKUP(ROUND(CONCATENATE($A39,AW$2),0),'Cadastro dos Padrões'!$A$2:$V$4400,AW$1,FALSE))</f>
        <v>-</v>
      </c>
      <c r="AX39" s="31" t="str">
        <f>IF(VLOOKUP(ROUND(CONCATENATE($A39,AX$2),0),'Cadastro dos Padrões'!$A$2:$V$4400,AX$1,FALSE)="","-",VLOOKUP(ROUND(CONCATENATE($A39,AX$2),0),'Cadastro dos Padrões'!$A$2:$V$4400,AX$1,FALSE))</f>
        <v>-</v>
      </c>
      <c r="AY39" s="31" t="str">
        <f>IF(VLOOKUP(ROUND(CONCATENATE($A39,AY$2),0),'Cadastro dos Padrões'!$A$2:$V$4400,AY$1,FALSE)="","-",VLOOKUP(ROUND(CONCATENATE($A39,AY$2),0),'Cadastro dos Padrões'!$A$2:$V$4400,AY$1,FALSE))</f>
        <v>-</v>
      </c>
      <c r="AZ39" s="31" t="str">
        <f>IF(VLOOKUP(ROUND(CONCATENATE($A39,AZ$2),0),'Cadastro dos Padrões'!$A$2:$V$4400,AZ$1,FALSE)="","-",VLOOKUP(ROUND(CONCATENATE($A39,AZ$2),0),'Cadastro dos Padrões'!$A$2:$V$4400,AZ$1,FALSE))</f>
        <v>-</v>
      </c>
      <c r="BA39" s="31" t="str">
        <f>IF(VLOOKUP(ROUND(CONCATENATE($A39,BA$2),0),'Cadastro dos Padrões'!$A$2:$V$4400,BA$1,FALSE)="","-",VLOOKUP(ROUND(CONCATENATE($A39,BA$2),0),'Cadastro dos Padrões'!$A$2:$V$4400,BA$1,FALSE))</f>
        <v>-</v>
      </c>
      <c r="BB39" s="31" t="str">
        <f>IF(VLOOKUP(ROUND(CONCATENATE($A39,BB$2),0),'Cadastro dos Padrões'!$A$2:$V$4400,BB$1,FALSE)="","-",VLOOKUP(ROUND(CONCATENATE($A39,BB$2),0),'Cadastro dos Padrões'!$A$2:$V$4400,BB$1,FALSE))</f>
        <v>-</v>
      </c>
      <c r="BC39" s="31" t="str">
        <f>IF(VLOOKUP(ROUND(CONCATENATE($A39,BC$2),0),'Cadastro dos Padrões'!$A$2:$V$4400,BC$1,FALSE)="","-",VLOOKUP(ROUND(CONCATENATE($A39,BC$2),0),'Cadastro dos Padrões'!$A$2:$V$4400,BC$1,FALSE))</f>
        <v>-</v>
      </c>
      <c r="BD39" s="31" t="str">
        <f>IF(VLOOKUP(ROUND(CONCATENATE($A39,BD$2),0),'Cadastro dos Padrões'!$A$2:$V$4400,BD$1,FALSE)="","-",VLOOKUP(ROUND(CONCATENATE($A39,BD$2),0),'Cadastro dos Padrões'!$A$2:$V$4400,BD$1,FALSE))</f>
        <v>-</v>
      </c>
      <c r="BE39" s="31" t="str">
        <f>IF(VLOOKUP(ROUND(CONCATENATE($A39,BE$2),0),'Cadastro dos Padrões'!$A$2:$V$4400,BE$1,FALSE)="","-",VLOOKUP(ROUND(CONCATENATE($A39,BE$2),0),'Cadastro dos Padrões'!$A$2:$V$4400,BE$1,FALSE))</f>
        <v>-</v>
      </c>
      <c r="BF39" s="31" t="str">
        <f>IF(VLOOKUP(ROUND(CONCATENATE($A39,BF$2),0),'Cadastro dos Padrões'!$A$2:$V$4400,BF$1,FALSE)="","-",VLOOKUP(ROUND(CONCATENATE($A39,BF$2),0),'Cadastro dos Padrões'!$A$2:$V$4400,BF$1,FALSE))</f>
        <v>-</v>
      </c>
      <c r="BG39" s="31" t="str">
        <f>IF(VLOOKUP(ROUND(CONCATENATE($A39,BG$2),0),'Cadastro dos Padrões'!$A$2:$V$4400,BG$1,FALSE)="","-",VLOOKUP(ROUND(CONCATENATE($A39,BG$2),0),'Cadastro dos Padrões'!$A$2:$V$4400,BG$1,FALSE))</f>
        <v>-</v>
      </c>
      <c r="BH39" s="31" t="str">
        <f>IF(VLOOKUP(ROUND(CONCATENATE($A39,BH$2),0),'Cadastro dos Padrões'!$A$2:$V$4400,BH$1,FALSE)="","-",VLOOKUP(ROUND(CONCATENATE($A39,BH$2),0),'Cadastro dos Padrões'!$A$2:$V$4400,BH$1,FALSE))</f>
        <v>-</v>
      </c>
      <c r="BI39" s="31" t="str">
        <f>IF(VLOOKUP(ROUND(CONCATENATE($A39,BI$2),0),'Cadastro dos Padrões'!$A$2:$V$4400,BI$1,FALSE)="","-",VLOOKUP(ROUND(CONCATENATE($A39,BI$2),0),'Cadastro dos Padrões'!$A$2:$V$4400,BI$1,FALSE))</f>
        <v>-</v>
      </c>
      <c r="BJ39" s="31" t="str">
        <f>IF(VLOOKUP(ROUND(CONCATENATE($A39,BJ$2),0),'Cadastro dos Padrões'!$A$2:$V$4400,BJ$1,FALSE)="","-",VLOOKUP(ROUND(CONCATENATE($A39,BJ$2),0),'Cadastro dos Padrões'!$A$2:$V$4400,BJ$1,FALSE))</f>
        <v>-</v>
      </c>
      <c r="BK39" s="31" t="str">
        <f>IF(VLOOKUP(ROUND(CONCATENATE($A39,BK$2),0),'Cadastro dos Padrões'!$A$2:$V$4400,BK$1,FALSE)="","-",VLOOKUP(ROUND(CONCATENATE($A39,BK$2),0),'Cadastro dos Padrões'!$A$2:$V$4400,BK$1,FALSE))</f>
        <v>-</v>
      </c>
      <c r="BL39" s="31" t="str">
        <f>IF(VLOOKUP(ROUND(CONCATENATE($A39,BL$2),0),'Cadastro dos Padrões'!$A$2:$V$4400,BL$1,FALSE)="","-",VLOOKUP(ROUND(CONCATENATE($A39,BL$2),0),'Cadastro dos Padrões'!$A$2:$V$4400,BL$1,FALSE))</f>
        <v>-</v>
      </c>
      <c r="BM39" s="31" t="str">
        <f>IF(VLOOKUP(ROUND(CONCATENATE($A39,BM$2),0),'Cadastro dos Padrões'!$A$2:$V$4400,BM$1,FALSE)="","-",VLOOKUP(ROUND(CONCATENATE($A39,BM$2),0),'Cadastro dos Padrões'!$A$2:$V$4400,BM$1,FALSE))</f>
        <v>-</v>
      </c>
      <c r="BN39" s="31" t="str">
        <f>IF(VLOOKUP(ROUND(CONCATENATE($A39,BN$2),0),'Cadastro dos Padrões'!$A$2:$V$4400,BN$1,FALSE)="","-",VLOOKUP(ROUND(CONCATENATE($A39,BN$2),0),'Cadastro dos Padrões'!$A$2:$V$4400,BN$1,FALSE))</f>
        <v>-</v>
      </c>
      <c r="BO39" s="31" t="str">
        <f>IF(VLOOKUP(ROUND(CONCATENATE($A39,BO$2),0),'Cadastro dos Padrões'!$A$2:$V$4400,BO$1,FALSE)="","-",VLOOKUP(ROUND(CONCATENATE($A39,BO$2),0),'Cadastro dos Padrões'!$A$2:$V$4400,BO$1,FALSE))</f>
        <v>-</v>
      </c>
    </row>
    <row r="40" spans="1:67" x14ac:dyDescent="0.3">
      <c r="A40" s="6">
        <f t="shared" si="52"/>
        <v>35</v>
      </c>
      <c r="B40" s="31" t="str">
        <f>IF(VLOOKUP(ROUND(CONCATENATE($A40,B$2),0),'Cadastro dos Padrões'!$A$2:$V$4400,B$1,FALSE)="","-",VLOOKUP(ROUND(CONCATENATE($A40,B$2),0),'Cadastro dos Padrões'!$A$2:$V$4400,B$1,FALSE))</f>
        <v>EL-928</v>
      </c>
      <c r="C40" s="31" t="str">
        <f>IF($B40="-","-",VLOOKUP(ROUND(CONCATENATE($A40,C$2),0),'Cadastro dos Padrões'!$A$2:$V$4400,C$1,FALSE))</f>
        <v>Termohigrômetro Digital</v>
      </c>
      <c r="D40" s="31" t="str">
        <f>IF($B40="-","-",VLOOKUP(ROUND(CONCATENATE($A40,D$2),0),'Cadastro dos Padrões'!$A$2:$V$4400,D$1,FALSE))</f>
        <v>-</v>
      </c>
      <c r="E40" s="31" t="str">
        <f>IF($B40="-","-",VLOOKUP(ROUND(CONCATENATE($A40,E$2),0),'Cadastro dos Padrões'!$A$2:$V$4400,E$1,FALSE))</f>
        <v>Elus</v>
      </c>
      <c r="F40" s="31" t="str">
        <f>IF($B40="-","-",VLOOKUP(ROUND(CONCATENATE($A40,F$2),0),'Cadastro dos Padrões'!$A$2:$V$4400,F$1,FALSE))</f>
        <v>RBC - CAL 0439</v>
      </c>
      <c r="G40" s="31" t="str">
        <f>IF($B40="-","-",VLOOKUP(ROUND(CONCATENATE($A40,G$2),0),'Cadastro dos Padrões'!$A$2:$V$4400,G$1,FALSE))</f>
        <v>R0212/21</v>
      </c>
      <c r="H40" s="32">
        <f>IF($B40="-","-",VLOOKUP(ROUND(CONCATENATE($A40,H$2),0),'Cadastro dos Padrões'!$A$2:$V$4400,H$1,FALSE))</f>
        <v>44347</v>
      </c>
      <c r="I40" s="33">
        <f>IF($B40="-","-",VLOOKUP(ROUND(CONCATENATE($A40,I$2),0),'Cadastro dos Padrões'!$A$2:$V$4400,I$1,FALSE))</f>
        <v>44530</v>
      </c>
      <c r="J40" s="31" t="str">
        <f>IF($B40="-","-",VLOOKUP(ROUND(CONCATENATE($A40,J$2),0),'Cadastro dos Padrões'!$A$2:$V$4400,J$1,FALSE))</f>
        <v>°CTd</v>
      </c>
      <c r="K40" s="31">
        <f>IF($B40="-","-",VLOOKUP(ROUND(CONCATENATE($A40,K$2),0),'Cadastro dos Padrões'!$A$2:$V$4400,K$1,FALSE))</f>
        <v>-30</v>
      </c>
      <c r="L40" s="31">
        <f>IF($B40="-","-",VLOOKUP(ROUND(CONCATENATE($A40,L$2),0),'Cadastro dos Padrões'!$A$2:$V$4400,L$1,FALSE))</f>
        <v>40</v>
      </c>
      <c r="M40" s="31">
        <f>IF($B40="-","-",VLOOKUP(ROUND(CONCATENATE($A40,M$2),0),'Cadastro dos Padrões'!$A$2:$V$4400,M$1,FALSE))</f>
        <v>0.1</v>
      </c>
      <c r="N40" s="31">
        <f>IF($B40="-","-",VLOOKUP(ROUND(CONCATENATE($A40,N$2),0),'Cadastro dos Padrões'!$A$2:$V$4400,N$1,FALSE))</f>
        <v>0.39999999999999858</v>
      </c>
      <c r="O40" s="31">
        <f>IF($B40="-","-",VLOOKUP(ROUND(CONCATENATE($A40,O$2),0),'Cadastro dos Padrões'!$A$2:$V$4400,O$1,FALSE))</f>
        <v>0.4</v>
      </c>
      <c r="P40" s="31">
        <f>IF($B40="-","-",VLOOKUP(ROUND(CONCATENATE($A40,P$2),0),'Cadastro dos Padrões'!$A$2:$V$4400,P$1,FALSE))</f>
        <v>0.39999999999999858</v>
      </c>
      <c r="Q40" s="31">
        <f>IF($B40="-","-",VLOOKUP(ROUND(CONCATENATE($A40,Q$2),0),'Cadastro dos Padrões'!$A$2:$V$4400,Q$1,FALSE))</f>
        <v>6.2322357055087707E-2</v>
      </c>
      <c r="R40" s="31">
        <f>IF($B40="-","-",VLOOKUP(ROUND(CONCATENATE($A40,R$2),0),'Cadastro dos Padrões'!$A$2:$V$4400,R$1,FALSE))</f>
        <v>3</v>
      </c>
      <c r="S40" s="31">
        <f>IF($B40="-","-",VLOOKUP(ROUND(CONCATENATE($A40,S$2),0),'Cadastro dos Padrões'!$A$2:$V$4400,S$1,FALSE))</f>
        <v>0</v>
      </c>
      <c r="T40" s="31">
        <f>IF($B40="-","-",VLOOKUP(ROUND(CONCATENATE($A40,T$2),0),'Cadastro dos Padrões'!$A$2:$V$4400,T$1,FALSE))</f>
        <v>0</v>
      </c>
      <c r="U40" s="31">
        <f>IF($B40="-","-",VLOOKUP(ROUND(CONCATENATE($A40,U$2),0),'Cadastro dos Padrões'!$A$2:$V$4400,U$1,FALSE))</f>
        <v>0</v>
      </c>
      <c r="V40" s="31">
        <f>IF($B40="-","-",VLOOKUP(ROUND(CONCATENATE($A40,V$2),0),'Cadastro dos Padrões'!$A$2:$V$4400,V$1,FALSE))</f>
        <v>0</v>
      </c>
      <c r="W40" s="31">
        <f>IF($B40="-","-",VLOOKUP(ROUND(CONCATENATE($A40,W$2),0),'Cadastro dos Padrões'!$A$2:$V$4400,W$1,FALSE))</f>
        <v>0</v>
      </c>
      <c r="X40" s="31">
        <f>IF($B40="-","-",VLOOKUP(ROUND(CONCATENATE($A40,X$2),0),'Cadastro dos Padrões'!$A$2:$V$4400,X$1,FALSE))</f>
        <v>3.6920365546713187E-6</v>
      </c>
      <c r="Y40" s="31">
        <f>IF($B40="-","-",VLOOKUP(ROUND(CONCATENATE($A40,Y$2),0),'Cadastro dos Padrões'!$A$2:$V$4400,Y$1,FALSE))</f>
        <v>-1.2581358710956196E-4</v>
      </c>
      <c r="Z40" s="31">
        <f>IF($B40="-","-",VLOOKUP(ROUND(CONCATENATE($A40,Z$2),0),'Cadastro dos Padrões'!$A$2:$V$4400,Z$1,FALSE))</f>
        <v>0.98640446154556882</v>
      </c>
      <c r="AA40" s="31">
        <f>IF($B40="-","-",VLOOKUP(ROUND(CONCATENATE($A40,AA$2),0),'Cadastro dos Padrões'!$A$2:$V$4400,AA$1,FALSE))</f>
        <v>0.1010627131224516</v>
      </c>
      <c r="AB40" s="31">
        <f>IF(VLOOKUP(ROUND(CONCATENATE($A40,AB$2),0),'Cadastro dos Padrões'!$A$2:$V$4400,AB$1,FALSE)="","-",VLOOKUP(ROUND(CONCATENATE($A40,AB$2),0),'Cadastro dos Padrões'!$A$2:$V$4400,AB$1,FALSE))</f>
        <v>-30</v>
      </c>
      <c r="AC40" s="31">
        <f>IF(VLOOKUP(ROUND(CONCATENATE($A40,AC$2),0),'Cadastro dos Padrões'!$A$2:$V$4400,AC$1,FALSE)="","-",VLOOKUP(ROUND(CONCATENATE($A40,AC$2),0),'Cadastro dos Padrões'!$A$2:$V$4400,AC$1,FALSE))</f>
        <v>0.3</v>
      </c>
      <c r="AD40" s="31">
        <f>IF(VLOOKUP(ROUND(CONCATENATE($A40,AD$2),0),'Cadastro dos Padrões'!$A$2:$V$4400,AD$1,FALSE)="","-",VLOOKUP(ROUND(CONCATENATE($A40,AD$2),0),'Cadastro dos Padrões'!$A$2:$V$4400,AD$1,FALSE))</f>
        <v>2</v>
      </c>
      <c r="AE40" s="31">
        <f>IF(VLOOKUP(ROUND(CONCATENATE($A40,AE$2),0),'Cadastro dos Padrões'!$A$2:$V$4400,AE$1,FALSE)="","-",VLOOKUP(ROUND(CONCATENATE($A40,AE$2),0),'Cadastro dos Padrões'!$A$2:$V$4400,AE$1,FALSE))</f>
        <v>1000000</v>
      </c>
      <c r="AF40" s="31">
        <f>IF(VLOOKUP(ROUND(CONCATENATE($A40,AF$2),0),'Cadastro dos Padrões'!$A$2:$V$4400,AF$1,FALSE)="","-",VLOOKUP(ROUND(CONCATENATE($A40,AF$2),0),'Cadastro dos Padrões'!$A$2:$V$4400,AF$1,FALSE))</f>
        <v>-10</v>
      </c>
      <c r="AG40" s="31">
        <f>IF(VLOOKUP(ROUND(CONCATENATE($A40,AG$2),0),'Cadastro dos Padrões'!$A$2:$V$4400,AG$1,FALSE)="","-",VLOOKUP(ROUND(CONCATENATE($A40,AG$2),0),'Cadastro dos Padrões'!$A$2:$V$4400,AG$1,FALSE))</f>
        <v>0.3</v>
      </c>
      <c r="AH40" s="31">
        <f>IF(VLOOKUP(ROUND(CONCATENATE($A40,AH$2),0),'Cadastro dos Padrões'!$A$2:$V$4400,AH$1,FALSE)="","-",VLOOKUP(ROUND(CONCATENATE($A40,AH$2),0),'Cadastro dos Padrões'!$A$2:$V$4400,AH$1,FALSE))</f>
        <v>2</v>
      </c>
      <c r="AI40" s="31">
        <f>IF(VLOOKUP(ROUND(CONCATENATE($A40,AI$2),0),'Cadastro dos Padrões'!$A$2:$V$4400,AI$1,FALSE)="","-",VLOOKUP(ROUND(CONCATENATE($A40,AI$2),0),'Cadastro dos Padrões'!$A$2:$V$4400,AI$1,FALSE))</f>
        <v>1000000</v>
      </c>
      <c r="AJ40" s="31">
        <f>IF(VLOOKUP(ROUND(CONCATENATE($A40,AJ$2),0),'Cadastro dos Padrões'!$A$2:$V$4400,AJ$1,FALSE)="","-",VLOOKUP(ROUND(CONCATENATE($A40,AJ$2),0),'Cadastro dos Padrões'!$A$2:$V$4400,AJ$1,FALSE))</f>
        <v>10</v>
      </c>
      <c r="AK40" s="31">
        <f>IF(VLOOKUP(ROUND(CONCATENATE($A40,AK$2),0),'Cadastro dos Padrões'!$A$2:$V$4400,AK$1,FALSE)="","-",VLOOKUP(ROUND(CONCATENATE($A40,AK$2),0),'Cadastro dos Padrões'!$A$2:$V$4400,AK$1,FALSE))</f>
        <v>0.3</v>
      </c>
      <c r="AL40" s="31">
        <f>IF(VLOOKUP(ROUND(CONCATENATE($A40,AL$2),0),'Cadastro dos Padrões'!$A$2:$V$4400,AL$1,FALSE)="","-",VLOOKUP(ROUND(CONCATENATE($A40,AL$2),0),'Cadastro dos Padrões'!$A$2:$V$4400,AL$1,FALSE))</f>
        <v>2</v>
      </c>
      <c r="AM40" s="31">
        <f>IF(VLOOKUP(ROUND(CONCATENATE($A40,AM$2),0),'Cadastro dos Padrões'!$A$2:$V$4400,AM$1,FALSE)="","-",VLOOKUP(ROUND(CONCATENATE($A40,AM$2),0),'Cadastro dos Padrões'!$A$2:$V$4400,AM$1,FALSE))</f>
        <v>1000000</v>
      </c>
      <c r="AN40" s="31">
        <f>IF(VLOOKUP(ROUND(CONCATENATE($A40,AN$2),0),'Cadastro dos Padrões'!$A$2:$V$4400,AN$1,FALSE)="","-",VLOOKUP(ROUND(CONCATENATE($A40,AN$2),0),'Cadastro dos Padrões'!$A$2:$V$4400,AN$1,FALSE))</f>
        <v>25</v>
      </c>
      <c r="AO40" s="31">
        <f>IF(VLOOKUP(ROUND(CONCATENATE($A40,AO$2),0),'Cadastro dos Padrões'!$A$2:$V$4400,AO$1,FALSE)="","-",VLOOKUP(ROUND(CONCATENATE($A40,AO$2),0),'Cadastro dos Padrões'!$A$2:$V$4400,AO$1,FALSE))</f>
        <v>0.4</v>
      </c>
      <c r="AP40" s="31">
        <f>IF(VLOOKUP(ROUND(CONCATENATE($A40,AP$2),0),'Cadastro dos Padrões'!$A$2:$V$4400,AP$1,FALSE)="","-",VLOOKUP(ROUND(CONCATENATE($A40,AP$2),0),'Cadastro dos Padrões'!$A$2:$V$4400,AP$1,FALSE))</f>
        <v>2</v>
      </c>
      <c r="AQ40" s="31">
        <f>IF(VLOOKUP(ROUND(CONCATENATE($A40,AQ$2),0),'Cadastro dos Padrões'!$A$2:$V$4400,AQ$1,FALSE)="","-",VLOOKUP(ROUND(CONCATENATE($A40,AQ$2),0),'Cadastro dos Padrões'!$A$2:$V$4400,AQ$1,FALSE))</f>
        <v>1000000</v>
      </c>
      <c r="AR40" s="31">
        <f>IF(VLOOKUP(ROUND(CONCATENATE($A40,AR$2),0),'Cadastro dos Padrões'!$A$2:$V$4400,AR$1,FALSE)="","-",VLOOKUP(ROUND(CONCATENATE($A40,AR$2),0),'Cadastro dos Padrões'!$A$2:$V$4400,AR$1,FALSE))</f>
        <v>40</v>
      </c>
      <c r="AS40" s="31">
        <f>IF(VLOOKUP(ROUND(CONCATENATE($A40,AS$2),0),'Cadastro dos Padrões'!$A$2:$V$4400,AS$1,FALSE)="","-",VLOOKUP(ROUND(CONCATENATE($A40,AS$2),0),'Cadastro dos Padrões'!$A$2:$V$4400,AS$1,FALSE))</f>
        <v>0.4</v>
      </c>
      <c r="AT40" s="31">
        <f>IF(VLOOKUP(ROUND(CONCATENATE($A40,AT$2),0),'Cadastro dos Padrões'!$A$2:$V$4400,AT$1,FALSE)="","-",VLOOKUP(ROUND(CONCATENATE($A40,AT$2),0),'Cadastro dos Padrões'!$A$2:$V$4400,AT$1,FALSE))</f>
        <v>2</v>
      </c>
      <c r="AU40" s="31">
        <f>IF(VLOOKUP(ROUND(CONCATENATE($A40,AU$2),0),'Cadastro dos Padrões'!$A$2:$V$4400,AU$1,FALSE)="","-",VLOOKUP(ROUND(CONCATENATE($A40,AU$2),0),'Cadastro dos Padrões'!$A$2:$V$4400,AU$1,FALSE))</f>
        <v>1000000</v>
      </c>
      <c r="AV40" s="31" t="str">
        <f>IF(VLOOKUP(ROUND(CONCATENATE($A40,AV$2),0),'Cadastro dos Padrões'!$A$2:$V$4400,AV$1,FALSE)="","-",VLOOKUP(ROUND(CONCATENATE($A40,AV$2),0),'Cadastro dos Padrões'!$A$2:$V$4400,AV$1,FALSE))</f>
        <v>-</v>
      </c>
      <c r="AW40" s="31" t="str">
        <f>IF(VLOOKUP(ROUND(CONCATENATE($A40,AW$2),0),'Cadastro dos Padrões'!$A$2:$V$4400,AW$1,FALSE)="","-",VLOOKUP(ROUND(CONCATENATE($A40,AW$2),0),'Cadastro dos Padrões'!$A$2:$V$4400,AW$1,FALSE))</f>
        <v>-</v>
      </c>
      <c r="AX40" s="31" t="str">
        <f>IF(VLOOKUP(ROUND(CONCATENATE($A40,AX$2),0),'Cadastro dos Padrões'!$A$2:$V$4400,AX$1,FALSE)="","-",VLOOKUP(ROUND(CONCATENATE($A40,AX$2),0),'Cadastro dos Padrões'!$A$2:$V$4400,AX$1,FALSE))</f>
        <v>-</v>
      </c>
      <c r="AY40" s="31" t="str">
        <f>IF(VLOOKUP(ROUND(CONCATENATE($A40,AY$2),0),'Cadastro dos Padrões'!$A$2:$V$4400,AY$1,FALSE)="","-",VLOOKUP(ROUND(CONCATENATE($A40,AY$2),0),'Cadastro dos Padrões'!$A$2:$V$4400,AY$1,FALSE))</f>
        <v>-</v>
      </c>
      <c r="AZ40" s="31" t="str">
        <f>IF(VLOOKUP(ROUND(CONCATENATE($A40,AZ$2),0),'Cadastro dos Padrões'!$A$2:$V$4400,AZ$1,FALSE)="","-",VLOOKUP(ROUND(CONCATENATE($A40,AZ$2),0),'Cadastro dos Padrões'!$A$2:$V$4400,AZ$1,FALSE))</f>
        <v>-</v>
      </c>
      <c r="BA40" s="31" t="str">
        <f>IF(VLOOKUP(ROUND(CONCATENATE($A40,BA$2),0),'Cadastro dos Padrões'!$A$2:$V$4400,BA$1,FALSE)="","-",VLOOKUP(ROUND(CONCATENATE($A40,BA$2),0),'Cadastro dos Padrões'!$A$2:$V$4400,BA$1,FALSE))</f>
        <v>-</v>
      </c>
      <c r="BB40" s="31" t="str">
        <f>IF(VLOOKUP(ROUND(CONCATENATE($A40,BB$2),0),'Cadastro dos Padrões'!$A$2:$V$4400,BB$1,FALSE)="","-",VLOOKUP(ROUND(CONCATENATE($A40,BB$2),0),'Cadastro dos Padrões'!$A$2:$V$4400,BB$1,FALSE))</f>
        <v>-</v>
      </c>
      <c r="BC40" s="31" t="str">
        <f>IF(VLOOKUP(ROUND(CONCATENATE($A40,BC$2),0),'Cadastro dos Padrões'!$A$2:$V$4400,BC$1,FALSE)="","-",VLOOKUP(ROUND(CONCATENATE($A40,BC$2),0),'Cadastro dos Padrões'!$A$2:$V$4400,BC$1,FALSE))</f>
        <v>-</v>
      </c>
      <c r="BD40" s="31" t="str">
        <f>IF(VLOOKUP(ROUND(CONCATENATE($A40,BD$2),0),'Cadastro dos Padrões'!$A$2:$V$4400,BD$1,FALSE)="","-",VLOOKUP(ROUND(CONCATENATE($A40,BD$2),0),'Cadastro dos Padrões'!$A$2:$V$4400,BD$1,FALSE))</f>
        <v>-</v>
      </c>
      <c r="BE40" s="31" t="str">
        <f>IF(VLOOKUP(ROUND(CONCATENATE($A40,BE$2),0),'Cadastro dos Padrões'!$A$2:$V$4400,BE$1,FALSE)="","-",VLOOKUP(ROUND(CONCATENATE($A40,BE$2),0),'Cadastro dos Padrões'!$A$2:$V$4400,BE$1,FALSE))</f>
        <v>-</v>
      </c>
      <c r="BF40" s="31" t="str">
        <f>IF(VLOOKUP(ROUND(CONCATENATE($A40,BF$2),0),'Cadastro dos Padrões'!$A$2:$V$4400,BF$1,FALSE)="","-",VLOOKUP(ROUND(CONCATENATE($A40,BF$2),0),'Cadastro dos Padrões'!$A$2:$V$4400,BF$1,FALSE))</f>
        <v>-</v>
      </c>
      <c r="BG40" s="31" t="str">
        <f>IF(VLOOKUP(ROUND(CONCATENATE($A40,BG$2),0),'Cadastro dos Padrões'!$A$2:$V$4400,BG$1,FALSE)="","-",VLOOKUP(ROUND(CONCATENATE($A40,BG$2),0),'Cadastro dos Padrões'!$A$2:$V$4400,BG$1,FALSE))</f>
        <v>-</v>
      </c>
      <c r="BH40" s="31" t="str">
        <f>IF(VLOOKUP(ROUND(CONCATENATE($A40,BH$2),0),'Cadastro dos Padrões'!$A$2:$V$4400,BH$1,FALSE)="","-",VLOOKUP(ROUND(CONCATENATE($A40,BH$2),0),'Cadastro dos Padrões'!$A$2:$V$4400,BH$1,FALSE))</f>
        <v>-</v>
      </c>
      <c r="BI40" s="31" t="str">
        <f>IF(VLOOKUP(ROUND(CONCATENATE($A40,BI$2),0),'Cadastro dos Padrões'!$A$2:$V$4400,BI$1,FALSE)="","-",VLOOKUP(ROUND(CONCATENATE($A40,BI$2),0),'Cadastro dos Padrões'!$A$2:$V$4400,BI$1,FALSE))</f>
        <v>-</v>
      </c>
      <c r="BJ40" s="31" t="str">
        <f>IF(VLOOKUP(ROUND(CONCATENATE($A40,BJ$2),0),'Cadastro dos Padrões'!$A$2:$V$4400,BJ$1,FALSE)="","-",VLOOKUP(ROUND(CONCATENATE($A40,BJ$2),0),'Cadastro dos Padrões'!$A$2:$V$4400,BJ$1,FALSE))</f>
        <v>-</v>
      </c>
      <c r="BK40" s="31" t="str">
        <f>IF(VLOOKUP(ROUND(CONCATENATE($A40,BK$2),0),'Cadastro dos Padrões'!$A$2:$V$4400,BK$1,FALSE)="","-",VLOOKUP(ROUND(CONCATENATE($A40,BK$2),0),'Cadastro dos Padrões'!$A$2:$V$4400,BK$1,FALSE))</f>
        <v>-</v>
      </c>
      <c r="BL40" s="31" t="str">
        <f>IF(VLOOKUP(ROUND(CONCATENATE($A40,BL$2),0),'Cadastro dos Padrões'!$A$2:$V$4400,BL$1,FALSE)="","-",VLOOKUP(ROUND(CONCATENATE($A40,BL$2),0),'Cadastro dos Padrões'!$A$2:$V$4400,BL$1,FALSE))</f>
        <v>-</v>
      </c>
      <c r="BM40" s="31" t="str">
        <f>IF(VLOOKUP(ROUND(CONCATENATE($A40,BM$2),0),'Cadastro dos Padrões'!$A$2:$V$4400,BM$1,FALSE)="","-",VLOOKUP(ROUND(CONCATENATE($A40,BM$2),0),'Cadastro dos Padrões'!$A$2:$V$4400,BM$1,FALSE))</f>
        <v>-</v>
      </c>
      <c r="BN40" s="31" t="str">
        <f>IF(VLOOKUP(ROUND(CONCATENATE($A40,BN$2),0),'Cadastro dos Padrões'!$A$2:$V$4400,BN$1,FALSE)="","-",VLOOKUP(ROUND(CONCATENATE($A40,BN$2),0),'Cadastro dos Padrões'!$A$2:$V$4400,BN$1,FALSE))</f>
        <v>-</v>
      </c>
      <c r="BO40" s="31" t="str">
        <f>IF(VLOOKUP(ROUND(CONCATENATE($A40,BO$2),0),'Cadastro dos Padrões'!$A$2:$V$4400,BO$1,FALSE)="","-",VLOOKUP(ROUND(CONCATENATE($A40,BO$2),0),'Cadastro dos Padrões'!$A$2:$V$4400,BO$1,FALSE))</f>
        <v>-</v>
      </c>
    </row>
    <row r="41" spans="1:67" x14ac:dyDescent="0.3">
      <c r="A41" s="6">
        <f t="shared" si="52"/>
        <v>36</v>
      </c>
      <c r="B41" s="31" t="str">
        <f>IF(VLOOKUP(ROUND(CONCATENATE($A41,B$2),0),'Cadastro dos Padrões'!$A$2:$V$4400,B$1,FALSE)="","-",VLOOKUP(ROUND(CONCATENATE($A41,B$2),0),'Cadastro dos Padrões'!$A$2:$V$4400,B$1,FALSE))</f>
        <v>M.TH.LT-009</v>
      </c>
      <c r="C41" s="31" t="str">
        <f>IF($B41="-","-",VLOOKUP(ROUND(CONCATENATE($A41,C$2),0),'Cadastro dos Padrões'!$A$2:$V$4400,C$1,FALSE))</f>
        <v>Termohigrômetro Digital</v>
      </c>
      <c r="D41" s="31">
        <f>IF($B41="-","-",VLOOKUP(ROUND(CONCATENATE($A41,D$2),0),'Cadastro dos Padrões'!$A$2:$V$4400,D$1,FALSE))</f>
        <v>20</v>
      </c>
      <c r="E41" s="31" t="str">
        <f>IF($B41="-","-",VLOOKUP(ROUND(CONCATENATE($A41,E$2),0),'Cadastro dos Padrões'!$A$2:$V$4400,E$1,FALSE))</f>
        <v>Elus</v>
      </c>
      <c r="F41" s="31" t="str">
        <f>IF($B41="-","-",VLOOKUP(ROUND(CONCATENATE($A41,F$2),0),'Cadastro dos Padrões'!$A$2:$V$4400,F$1,FALSE))</f>
        <v>RBC - CAL 0439</v>
      </c>
      <c r="G41" s="31" t="str">
        <f>IF($B41="-","-",VLOOKUP(ROUND(CONCATENATE($A41,G$2),0),'Cadastro dos Padrões'!$A$2:$V$4400,G$1,FALSE))</f>
        <v>E0519/25</v>
      </c>
      <c r="H41" s="32">
        <f>IF($B41="-","-",VLOOKUP(ROUND(CONCATENATE($A41,H$2),0),'Cadastro dos Padrões'!$A$2:$V$4400,H$1,FALSE))</f>
        <v>45894</v>
      </c>
      <c r="I41" s="33">
        <f>IF($B41="-","-",VLOOKUP(ROUND(CONCATENATE($A41,I$2),0),'Cadastro dos Padrões'!$A$2:$V$4400,I$1,FALSE))</f>
        <v>46264</v>
      </c>
      <c r="J41" s="31" t="str">
        <f>IF($B41="-","-",VLOOKUP(ROUND(CONCATENATE($A41,J$2),0),'Cadastro dos Padrões'!$A$2:$V$4400,J$1,FALSE))</f>
        <v>%ur</v>
      </c>
      <c r="K41" s="31">
        <f>IF($B41="-","-",VLOOKUP(ROUND(CONCATENATE($A41,K$2),0),'Cadastro dos Padrões'!$A$2:$V$4400,K$1,FALSE))</f>
        <v>5</v>
      </c>
      <c r="L41" s="31">
        <f>IF($B41="-","-",VLOOKUP(ROUND(CONCATENATE($A41,L$2),0),'Cadastro dos Padrões'!$A$2:$V$4400,L$1,FALSE))</f>
        <v>95</v>
      </c>
      <c r="M41" s="31">
        <f>IF($B41="-","-",VLOOKUP(ROUND(CONCATENATE($A41,M$2),0),'Cadastro dos Padrões'!$A$2:$V$4400,M$1,FALSE))</f>
        <v>0.01</v>
      </c>
      <c r="N41" s="31">
        <f>IF($B41="-","-",VLOOKUP(ROUND(CONCATENATE($A41,N$2),0),'Cadastro dos Padrões'!$A$2:$V$4400,N$1,FALSE))</f>
        <v>1.2000000000000028</v>
      </c>
      <c r="O41" s="31">
        <f>IF($B41="-","-",VLOOKUP(ROUND(CONCATENATE($A41,O$2),0),'Cadastro dos Padrões'!$A$2:$V$4400,O$1,FALSE))</f>
        <v>1</v>
      </c>
      <c r="P41" s="31">
        <f>IF($B41="-","-",VLOOKUP(ROUND(CONCATENATE($A41,P$2),0),'Cadastro dos Padrões'!$A$2:$V$4400,P$1,FALSE))</f>
        <v>1.039999999999992</v>
      </c>
      <c r="Q41" s="31">
        <f>IF($B41="-","-",VLOOKUP(ROUND(CONCATENATE($A41,Q$2),0),'Cadastro dos Padrões'!$A$2:$V$4400,Q$1,FALSE))</f>
        <v>0.16213705900563413</v>
      </c>
      <c r="R41" s="31">
        <f>IF($B41="-","-",VLOOKUP(ROUND(CONCATENATE($A41,R$2),0),'Cadastro dos Padrões'!$A$2:$V$4400,R$1,FALSE))</f>
        <v>4</v>
      </c>
      <c r="S41" s="31">
        <f>IF($B41="-","-",VLOOKUP(ROUND(CONCATENATE($A41,S$2),0),'Cadastro dos Padrões'!$A$2:$V$4400,S$1,FALSE))</f>
        <v>0</v>
      </c>
      <c r="T41" s="31">
        <f>IF($B41="-","-",VLOOKUP(ROUND(CONCATENATE($A41,T$2),0),'Cadastro dos Padrões'!$A$2:$V$4400,T$1,FALSE))</f>
        <v>0</v>
      </c>
      <c r="U41" s="31">
        <f>IF($B41="-","-",VLOOKUP(ROUND(CONCATENATE($A41,U$2),0),'Cadastro dos Padrões'!$A$2:$V$4400,U$1,FALSE))</f>
        <v>0</v>
      </c>
      <c r="V41" s="31">
        <f>IF($B41="-","-",VLOOKUP(ROUND(CONCATENATE($A41,V$2),0),'Cadastro dos Padrões'!$A$2:$V$4400,V$1,FALSE))</f>
        <v>0</v>
      </c>
      <c r="W41" s="31">
        <f>IF($B41="-","-",VLOOKUP(ROUND(CONCATENATE($A41,W$2),0),'Cadastro dos Padrões'!$A$2:$V$4400,W$1,FALSE))</f>
        <v>9.3278914995480517E-8</v>
      </c>
      <c r="X41" s="31">
        <f>IF($B41="-","-",VLOOKUP(ROUND(CONCATENATE($A41,X$2),0),'Cadastro dos Padrões'!$A$2:$V$4400,X$1,FALSE))</f>
        <v>-2.7466756129165432E-5</v>
      </c>
      <c r="Y41" s="31">
        <f>IF($B41="-","-",VLOOKUP(ROUND(CONCATENATE($A41,Y$2),0),'Cadastro dos Padrões'!$A$2:$V$4400,Y$1,FALSE))</f>
        <v>3.2830997213757628E-3</v>
      </c>
      <c r="Z41" s="31">
        <f>IF($B41="-","-",VLOOKUP(ROUND(CONCATENATE($A41,Z$2),0),'Cadastro dos Padrões'!$A$2:$V$4400,Z$1,FALSE))</f>
        <v>0.8528865681685327</v>
      </c>
      <c r="AA41" s="31">
        <f>IF($B41="-","-",VLOOKUP(ROUND(CONCATENATE($A41,AA$2),0),'Cadastro dos Padrões'!$A$2:$V$4400,AA$1,FALSE))</f>
        <v>1.5524913776670941</v>
      </c>
      <c r="AB41" s="31">
        <f>IF(VLOOKUP(ROUND(CONCATENATE($A41,AB$2),0),'Cadastro dos Padrões'!$A$2:$V$4400,AB$1,FALSE)="","-",VLOOKUP(ROUND(CONCATENATE($A41,AB$2),0),'Cadastro dos Padrões'!$A$2:$V$4400,AB$1,FALSE))</f>
        <v>5</v>
      </c>
      <c r="AC41" s="31">
        <f>IF(VLOOKUP(ROUND(CONCATENATE($A41,AC$2),0),'Cadastro dos Padrões'!$A$2:$V$4400,AC$1,FALSE)="","-",VLOOKUP(ROUND(CONCATENATE($A41,AC$2),0),'Cadastro dos Padrões'!$A$2:$V$4400,AC$1,FALSE))</f>
        <v>0.27</v>
      </c>
      <c r="AD41" s="31">
        <f>IF(VLOOKUP(ROUND(CONCATENATE($A41,AD$2),0),'Cadastro dos Padrões'!$A$2:$V$4400,AD$1,FALSE)="","-",VLOOKUP(ROUND(CONCATENATE($A41,AD$2),0),'Cadastro dos Padrões'!$A$2:$V$4400,AD$1,FALSE))</f>
        <v>2</v>
      </c>
      <c r="AE41" s="31">
        <f>IF(VLOOKUP(ROUND(CONCATENATE($A41,AE$2),0),'Cadastro dos Padrões'!$A$2:$V$4400,AE$1,FALSE)="","-",VLOOKUP(ROUND(CONCATENATE($A41,AE$2),0),'Cadastro dos Padrões'!$A$2:$V$4400,AE$1,FALSE))</f>
        <v>1000000</v>
      </c>
      <c r="AF41" s="31">
        <f>IF(VLOOKUP(ROUND(CONCATENATE($A41,AF$2),0),'Cadastro dos Padrões'!$A$2:$V$4400,AF$1,FALSE)="","-",VLOOKUP(ROUND(CONCATENATE($A41,AF$2),0),'Cadastro dos Padrões'!$A$2:$V$4400,AF$1,FALSE))</f>
        <v>19.989999999999998</v>
      </c>
      <c r="AG41" s="31">
        <f>IF(VLOOKUP(ROUND(CONCATENATE($A41,AG$2),0),'Cadastro dos Padrões'!$A$2:$V$4400,AG$1,FALSE)="","-",VLOOKUP(ROUND(CONCATENATE($A41,AG$2),0),'Cadastro dos Padrões'!$A$2:$V$4400,AG$1,FALSE))</f>
        <v>0.38</v>
      </c>
      <c r="AH41" s="31">
        <f>IF(VLOOKUP(ROUND(CONCATENATE($A41,AH$2),0),'Cadastro dos Padrões'!$A$2:$V$4400,AH$1,FALSE)="","-",VLOOKUP(ROUND(CONCATENATE($A41,AH$2),0),'Cadastro dos Padrões'!$A$2:$V$4400,AH$1,FALSE))</f>
        <v>2.0099999999999998</v>
      </c>
      <c r="AI41" s="31">
        <f>IF(VLOOKUP(ROUND(CONCATENATE($A41,AI$2),0),'Cadastro dos Padrões'!$A$2:$V$4400,AI$1,FALSE)="","-",VLOOKUP(ROUND(CONCATENATE($A41,AI$2),0),'Cadastro dos Padrões'!$A$2:$V$4400,AI$1,FALSE))</f>
        <v>256</v>
      </c>
      <c r="AJ41" s="31">
        <f>IF(VLOOKUP(ROUND(CONCATENATE($A41,AJ$2),0),'Cadastro dos Padrões'!$A$2:$V$4400,AJ$1,FALSE)="","-",VLOOKUP(ROUND(CONCATENATE($A41,AJ$2),0),'Cadastro dos Padrões'!$A$2:$V$4400,AJ$1,FALSE))</f>
        <v>29.99</v>
      </c>
      <c r="AK41" s="31">
        <f>IF(VLOOKUP(ROUND(CONCATENATE($A41,AK$2),0),'Cadastro dos Padrões'!$A$2:$V$4400,AK$1,FALSE)="","-",VLOOKUP(ROUND(CONCATENATE($A41,AK$2),0),'Cadastro dos Padrões'!$A$2:$V$4400,AK$1,FALSE))</f>
        <v>0.44</v>
      </c>
      <c r="AL41" s="31">
        <f>IF(VLOOKUP(ROUND(CONCATENATE($A41,AL$2),0),'Cadastro dos Padrões'!$A$2:$V$4400,AL$1,FALSE)="","-",VLOOKUP(ROUND(CONCATENATE($A41,AL$2),0),'Cadastro dos Padrões'!$A$2:$V$4400,AL$1,FALSE))</f>
        <v>2.0099999999999998</v>
      </c>
      <c r="AM41" s="31">
        <f>IF(VLOOKUP(ROUND(CONCATENATE($A41,AM$2),0),'Cadastro dos Padrões'!$A$2:$V$4400,AM$1,FALSE)="","-",VLOOKUP(ROUND(CONCATENATE($A41,AM$2),0),'Cadastro dos Padrões'!$A$2:$V$4400,AM$1,FALSE))</f>
        <v>183</v>
      </c>
      <c r="AN41" s="31">
        <f>IF(VLOOKUP(ROUND(CONCATENATE($A41,AN$2),0),'Cadastro dos Padrões'!$A$2:$V$4400,AN$1,FALSE)="","-",VLOOKUP(ROUND(CONCATENATE($A41,AN$2),0),'Cadastro dos Padrões'!$A$2:$V$4400,AN$1,FALSE))</f>
        <v>49.98</v>
      </c>
      <c r="AO41" s="31">
        <f>IF(VLOOKUP(ROUND(CONCATENATE($A41,AO$2),0),'Cadastro dos Padrões'!$A$2:$V$4400,AO$1,FALSE)="","-",VLOOKUP(ROUND(CONCATENATE($A41,AO$2),0),'Cadastro dos Padrões'!$A$2:$V$4400,AO$1,FALSE))</f>
        <v>0.62</v>
      </c>
      <c r="AP41" s="31">
        <f>IF(VLOOKUP(ROUND(CONCATENATE($A41,AP$2),0),'Cadastro dos Padrões'!$A$2:$V$4400,AP$1,FALSE)="","-",VLOOKUP(ROUND(CONCATENATE($A41,AP$2),0),'Cadastro dos Padrões'!$A$2:$V$4400,AP$1,FALSE))</f>
        <v>2.02</v>
      </c>
      <c r="AQ41" s="31">
        <f>IF(VLOOKUP(ROUND(CONCATENATE($A41,AQ$2),0),'Cadastro dos Padrões'!$A$2:$V$4400,AQ$1,FALSE)="","-",VLOOKUP(ROUND(CONCATENATE($A41,AQ$2),0),'Cadastro dos Padrões'!$A$2:$V$4400,AQ$1,FALSE))</f>
        <v>120</v>
      </c>
      <c r="AR41" s="31">
        <f>IF(VLOOKUP(ROUND(CONCATENATE($A41,AR$2),0),'Cadastro dos Padrões'!$A$2:$V$4400,AR$1,FALSE)="","-",VLOOKUP(ROUND(CONCATENATE($A41,AR$2),0),'Cadastro dos Padrões'!$A$2:$V$4400,AR$1,FALSE))</f>
        <v>80.010000000000005</v>
      </c>
      <c r="AS41" s="31">
        <f>IF(VLOOKUP(ROUND(CONCATENATE($A41,AS$2),0),'Cadastro dos Padrões'!$A$2:$V$4400,AS$1,FALSE)="","-",VLOOKUP(ROUND(CONCATENATE($A41,AS$2),0),'Cadastro dos Padrões'!$A$2:$V$4400,AS$1,FALSE))</f>
        <v>0.9</v>
      </c>
      <c r="AT41" s="31">
        <f>IF(VLOOKUP(ROUND(CONCATENATE($A41,AT$2),0),'Cadastro dos Padrões'!$A$2:$V$4400,AT$1,FALSE)="","-",VLOOKUP(ROUND(CONCATENATE($A41,AT$2),0),'Cadastro dos Padrões'!$A$2:$V$4400,AT$1,FALSE))</f>
        <v>2.02</v>
      </c>
      <c r="AU41" s="31">
        <f>IF(VLOOKUP(ROUND(CONCATENATE($A41,AU$2),0),'Cadastro dos Padrões'!$A$2:$V$4400,AU$1,FALSE)="","-",VLOOKUP(ROUND(CONCATENATE($A41,AU$2),0),'Cadastro dos Padrões'!$A$2:$V$4400,AU$1,FALSE))</f>
        <v>102</v>
      </c>
      <c r="AV41" s="31">
        <f>IF(VLOOKUP(ROUND(CONCATENATE($A41,AV$2),0),'Cadastro dos Padrões'!$A$2:$V$4400,AV$1,FALSE)="","-",VLOOKUP(ROUND(CONCATENATE($A41,AV$2),0),'Cadastro dos Padrões'!$A$2:$V$4400,AV$1,FALSE))</f>
        <v>95</v>
      </c>
      <c r="AW41" s="31">
        <f>IF(VLOOKUP(ROUND(CONCATENATE($A41,AW$2),0),'Cadastro dos Padrões'!$A$2:$V$4400,AW$1,FALSE)="","-",VLOOKUP(ROUND(CONCATENATE($A41,AW$2),0),'Cadastro dos Padrões'!$A$2:$V$4400,AW$1,FALSE))</f>
        <v>1</v>
      </c>
      <c r="AX41" s="31">
        <f>IF(VLOOKUP(ROUND(CONCATENATE($A41,AX$2),0),'Cadastro dos Padrões'!$A$2:$V$4400,AX$1,FALSE)="","-",VLOOKUP(ROUND(CONCATENATE($A41,AX$2),0),'Cadastro dos Padrões'!$A$2:$V$4400,AX$1,FALSE))</f>
        <v>2.0299999999999998</v>
      </c>
      <c r="AY41" s="31">
        <f>IF(VLOOKUP(ROUND(CONCATENATE($A41,AY$2),0),'Cadastro dos Padrões'!$A$2:$V$4400,AY$1,FALSE)="","-",VLOOKUP(ROUND(CONCATENATE($A41,AY$2),0),'Cadastro dos Padrões'!$A$2:$V$4400,AY$1,FALSE))</f>
        <v>81</v>
      </c>
      <c r="AZ41" s="31" t="str">
        <f>IF(VLOOKUP(ROUND(CONCATENATE($A41,AZ$2),0),'Cadastro dos Padrões'!$A$2:$V$4400,AZ$1,FALSE)="","-",VLOOKUP(ROUND(CONCATENATE($A41,AZ$2),0),'Cadastro dos Padrões'!$A$2:$V$4400,AZ$1,FALSE))</f>
        <v>-</v>
      </c>
      <c r="BA41" s="31" t="str">
        <f>IF(VLOOKUP(ROUND(CONCATENATE($A41,BA$2),0),'Cadastro dos Padrões'!$A$2:$V$4400,BA$1,FALSE)="","-",VLOOKUP(ROUND(CONCATENATE($A41,BA$2),0),'Cadastro dos Padrões'!$A$2:$V$4400,BA$1,FALSE))</f>
        <v>-</v>
      </c>
      <c r="BB41" s="31" t="str">
        <f>IF(VLOOKUP(ROUND(CONCATENATE($A41,BB$2),0),'Cadastro dos Padrões'!$A$2:$V$4400,BB$1,FALSE)="","-",VLOOKUP(ROUND(CONCATENATE($A41,BB$2),0),'Cadastro dos Padrões'!$A$2:$V$4400,BB$1,FALSE))</f>
        <v>-</v>
      </c>
      <c r="BC41" s="31" t="str">
        <f>IF(VLOOKUP(ROUND(CONCATENATE($A41,BC$2),0),'Cadastro dos Padrões'!$A$2:$V$4400,BC$1,FALSE)="","-",VLOOKUP(ROUND(CONCATENATE($A41,BC$2),0),'Cadastro dos Padrões'!$A$2:$V$4400,BC$1,FALSE))</f>
        <v>-</v>
      </c>
      <c r="BD41" s="31" t="str">
        <f>IF(VLOOKUP(ROUND(CONCATENATE($A41,BD$2),0),'Cadastro dos Padrões'!$A$2:$V$4400,BD$1,FALSE)="","-",VLOOKUP(ROUND(CONCATENATE($A41,BD$2),0),'Cadastro dos Padrões'!$A$2:$V$4400,BD$1,FALSE))</f>
        <v>-</v>
      </c>
      <c r="BE41" s="31" t="str">
        <f>IF(VLOOKUP(ROUND(CONCATENATE($A41,BE$2),0),'Cadastro dos Padrões'!$A$2:$V$4400,BE$1,FALSE)="","-",VLOOKUP(ROUND(CONCATENATE($A41,BE$2),0),'Cadastro dos Padrões'!$A$2:$V$4400,BE$1,FALSE))</f>
        <v>-</v>
      </c>
      <c r="BF41" s="31" t="str">
        <f>IF(VLOOKUP(ROUND(CONCATENATE($A41,BF$2),0),'Cadastro dos Padrões'!$A$2:$V$4400,BF$1,FALSE)="","-",VLOOKUP(ROUND(CONCATENATE($A41,BF$2),0),'Cadastro dos Padrões'!$A$2:$V$4400,BF$1,FALSE))</f>
        <v>-</v>
      </c>
      <c r="BG41" s="31" t="str">
        <f>IF(VLOOKUP(ROUND(CONCATENATE($A41,BG$2),0),'Cadastro dos Padrões'!$A$2:$V$4400,BG$1,FALSE)="","-",VLOOKUP(ROUND(CONCATENATE($A41,BG$2),0),'Cadastro dos Padrões'!$A$2:$V$4400,BG$1,FALSE))</f>
        <v>-</v>
      </c>
      <c r="BH41" s="31" t="str">
        <f>IF(VLOOKUP(ROUND(CONCATENATE($A41,BH$2),0),'Cadastro dos Padrões'!$A$2:$V$4400,BH$1,FALSE)="","-",VLOOKUP(ROUND(CONCATENATE($A41,BH$2),0),'Cadastro dos Padrões'!$A$2:$V$4400,BH$1,FALSE))</f>
        <v>-</v>
      </c>
      <c r="BI41" s="31" t="str">
        <f>IF(VLOOKUP(ROUND(CONCATENATE($A41,BI$2),0),'Cadastro dos Padrões'!$A$2:$V$4400,BI$1,FALSE)="","-",VLOOKUP(ROUND(CONCATENATE($A41,BI$2),0),'Cadastro dos Padrões'!$A$2:$V$4400,BI$1,FALSE))</f>
        <v>-</v>
      </c>
      <c r="BJ41" s="31" t="str">
        <f>IF(VLOOKUP(ROUND(CONCATENATE($A41,BJ$2),0),'Cadastro dos Padrões'!$A$2:$V$4400,BJ$1,FALSE)="","-",VLOOKUP(ROUND(CONCATENATE($A41,BJ$2),0),'Cadastro dos Padrões'!$A$2:$V$4400,BJ$1,FALSE))</f>
        <v>-</v>
      </c>
      <c r="BK41" s="31" t="str">
        <f>IF(VLOOKUP(ROUND(CONCATENATE($A41,BK$2),0),'Cadastro dos Padrões'!$A$2:$V$4400,BK$1,FALSE)="","-",VLOOKUP(ROUND(CONCATENATE($A41,BK$2),0),'Cadastro dos Padrões'!$A$2:$V$4400,BK$1,FALSE))</f>
        <v>-</v>
      </c>
      <c r="BL41" s="31" t="str">
        <f>IF(VLOOKUP(ROUND(CONCATENATE($A41,BL$2),0),'Cadastro dos Padrões'!$A$2:$V$4400,BL$1,FALSE)="","-",VLOOKUP(ROUND(CONCATENATE($A41,BL$2),0),'Cadastro dos Padrões'!$A$2:$V$4400,BL$1,FALSE))</f>
        <v>-</v>
      </c>
      <c r="BM41" s="31" t="str">
        <f>IF(VLOOKUP(ROUND(CONCATENATE($A41,BM$2),0),'Cadastro dos Padrões'!$A$2:$V$4400,BM$1,FALSE)="","-",VLOOKUP(ROUND(CONCATENATE($A41,BM$2),0),'Cadastro dos Padrões'!$A$2:$V$4400,BM$1,FALSE))</f>
        <v>-</v>
      </c>
      <c r="BN41" s="31" t="str">
        <f>IF(VLOOKUP(ROUND(CONCATENATE($A41,BN$2),0),'Cadastro dos Padrões'!$A$2:$V$4400,BN$1,FALSE)="","-",VLOOKUP(ROUND(CONCATENATE($A41,BN$2),0),'Cadastro dos Padrões'!$A$2:$V$4400,BN$1,FALSE))</f>
        <v>-</v>
      </c>
      <c r="BO41" s="31" t="str">
        <f>IF(VLOOKUP(ROUND(CONCATENATE($A41,BO$2),0),'Cadastro dos Padrões'!$A$2:$V$4400,BO$1,FALSE)="","-",VLOOKUP(ROUND(CONCATENATE($A41,BO$2),0),'Cadastro dos Padrões'!$A$2:$V$4400,BO$1,FALSE))</f>
        <v>-</v>
      </c>
    </row>
    <row r="42" spans="1:67" x14ac:dyDescent="0.3">
      <c r="A42" s="6">
        <f t="shared" si="52"/>
        <v>37</v>
      </c>
      <c r="B42" s="31" t="str">
        <f>IF(VLOOKUP(ROUND(CONCATENATE($A42,B$2),0),'Cadastro dos Padrões'!$A$2:$V$4400,B$1,FALSE)="","-",VLOOKUP(ROUND(CONCATENATE($A42,B$2),0),'Cadastro dos Padrões'!$A$2:$V$4400,B$1,FALSE))</f>
        <v>M.TH.LT-009</v>
      </c>
      <c r="C42" s="31" t="str">
        <f>IF($B42="-","-",VLOOKUP(ROUND(CONCATENATE($A42,C$2),0),'Cadastro dos Padrões'!$A$2:$V$4400,C$1,FALSE))</f>
        <v>Termohigrômetro Digital</v>
      </c>
      <c r="D42" s="31">
        <f>IF($B42="-","-",VLOOKUP(ROUND(CONCATENATE($A42,D$2),0),'Cadastro dos Padrões'!$A$2:$V$4400,D$1,FALSE))</f>
        <v>25</v>
      </c>
      <c r="E42" s="31" t="str">
        <f>IF($B42="-","-",VLOOKUP(ROUND(CONCATENATE($A42,E$2),0),'Cadastro dos Padrões'!$A$2:$V$4400,E$1,FALSE))</f>
        <v>Elus</v>
      </c>
      <c r="F42" s="31" t="str">
        <f>IF($B42="-","-",VLOOKUP(ROUND(CONCATENATE($A42,F$2),0),'Cadastro dos Padrões'!$A$2:$V$4400,F$1,FALSE))</f>
        <v>RBC - CAL 0439</v>
      </c>
      <c r="G42" s="31" t="str">
        <f>IF($B42="-","-",VLOOKUP(ROUND(CONCATENATE($A42,G$2),0),'Cadastro dos Padrões'!$A$2:$V$4400,G$1,FALSE))</f>
        <v>E0519/25</v>
      </c>
      <c r="H42" s="32">
        <f>IF($B42="-","-",VLOOKUP(ROUND(CONCATENATE($A42,H$2),0),'Cadastro dos Padrões'!$A$2:$V$4400,H$1,FALSE))</f>
        <v>45894</v>
      </c>
      <c r="I42" s="33">
        <f>IF($B42="-","-",VLOOKUP(ROUND(CONCATENATE($A42,I$2),0),'Cadastro dos Padrões'!$A$2:$V$4400,I$1,FALSE))</f>
        <v>46264</v>
      </c>
      <c r="J42" s="31" t="str">
        <f>IF($B42="-","-",VLOOKUP(ROUND(CONCATENATE($A42,J$2),0),'Cadastro dos Padrões'!$A$2:$V$4400,J$1,FALSE))</f>
        <v>%ur</v>
      </c>
      <c r="K42" s="31">
        <f>IF($B42="-","-",VLOOKUP(ROUND(CONCATENATE($A42,K$2),0),'Cadastro dos Padrões'!$A$2:$V$4400,K$1,FALSE))</f>
        <v>5</v>
      </c>
      <c r="L42" s="31">
        <f>IF($B42="-","-",VLOOKUP(ROUND(CONCATENATE($A42,L$2),0),'Cadastro dos Padrões'!$A$2:$V$4400,L$1,FALSE))</f>
        <v>95.02</v>
      </c>
      <c r="M42" s="31">
        <f>IF($B42="-","-",VLOOKUP(ROUND(CONCATENATE($A42,M$2),0),'Cadastro dos Padrões'!$A$2:$V$4400,M$1,FALSE))</f>
        <v>0.01</v>
      </c>
      <c r="N42" s="31">
        <f>IF($B42="-","-",VLOOKUP(ROUND(CONCATENATE($A42,N$2),0),'Cadastro dos Padrões'!$A$2:$V$4400,N$1,FALSE))</f>
        <v>1.27</v>
      </c>
      <c r="O42" s="31">
        <f>IF($B42="-","-",VLOOKUP(ROUND(CONCATENATE($A42,O$2),0),'Cadastro dos Padrões'!$A$2:$V$4400,O$1,FALSE))</f>
        <v>0.94</v>
      </c>
      <c r="P42" s="31">
        <f>IF($B42="-","-",VLOOKUP(ROUND(CONCATENATE($A42,P$2),0),'Cadastro dos Padrões'!$A$2:$V$4400,P$1,FALSE))</f>
        <v>1.27</v>
      </c>
      <c r="Q42" s="31">
        <f>IF($B42="-","-",VLOOKUP(ROUND(CONCATENATE($A42,Q$2),0),'Cadastro dos Padrões'!$A$2:$V$4400,Q$1,FALSE))</f>
        <v>1.1356618537590624E-2</v>
      </c>
      <c r="R42" s="31">
        <f>IF($B42="-","-",VLOOKUP(ROUND(CONCATENATE($A42,R$2),0),'Cadastro dos Padrões'!$A$2:$V$4400,R$1,FALSE))</f>
        <v>4</v>
      </c>
      <c r="S42" s="31">
        <f>IF($B42="-","-",VLOOKUP(ROUND(CONCATENATE($A42,S$2),0),'Cadastro dos Padrões'!$A$2:$V$4400,S$1,FALSE))</f>
        <v>0</v>
      </c>
      <c r="T42" s="31">
        <f>IF($B42="-","-",VLOOKUP(ROUND(CONCATENATE($A42,T$2),0),'Cadastro dos Padrões'!$A$2:$V$4400,T$1,FALSE))</f>
        <v>0</v>
      </c>
      <c r="U42" s="31">
        <f>IF($B42="-","-",VLOOKUP(ROUND(CONCATENATE($A42,U$2),0),'Cadastro dos Padrões'!$A$2:$V$4400,U$1,FALSE))</f>
        <v>0</v>
      </c>
      <c r="V42" s="31">
        <f>IF($B42="-","-",VLOOKUP(ROUND(CONCATENATE($A42,V$2),0),'Cadastro dos Padrões'!$A$2:$V$4400,V$1,FALSE))</f>
        <v>0</v>
      </c>
      <c r="W42" s="31">
        <f>IF($B42="-","-",VLOOKUP(ROUND(CONCATENATE($A42,W$2),0),'Cadastro dos Padrões'!$A$2:$V$4400,W$1,FALSE))</f>
        <v>1.387328415077682E-7</v>
      </c>
      <c r="X42" s="31">
        <f>IF($B42="-","-",VLOOKUP(ROUND(CONCATENATE($A42,X$2),0),'Cadastro dos Padrões'!$A$2:$V$4400,X$1,FALSE))</f>
        <v>-4.1420082436107202E-5</v>
      </c>
      <c r="Y42" s="31">
        <f>IF($B42="-","-",VLOOKUP(ROUND(CONCATENATE($A42,Y$2),0),'Cadastro dos Padrões'!$A$2:$V$4400,Y$1,FALSE))</f>
        <v>4.4558169296664051E-3</v>
      </c>
      <c r="Z42" s="31">
        <f>IF($B42="-","-",VLOOKUP(ROUND(CONCATENATE($A42,Z$2),0),'Cadastro dos Padrões'!$A$2:$V$4400,Z$1,FALSE))</f>
        <v>0.82171072088862673</v>
      </c>
      <c r="AA42" s="31">
        <f>IF($B42="-","-",VLOOKUP(ROUND(CONCATENATE($A42,AA$2),0),'Cadastro dos Padrões'!$A$2:$V$4400,AA$1,FALSE))</f>
        <v>1.8761500590692899</v>
      </c>
      <c r="AB42" s="31">
        <f>IF(VLOOKUP(ROUND(CONCATENATE($A42,AB$2),0),'Cadastro dos Padrões'!$A$2:$V$4400,AB$1,FALSE)="","-",VLOOKUP(ROUND(CONCATENATE($A42,AB$2),0),'Cadastro dos Padrões'!$A$2:$V$4400,AB$1,FALSE))</f>
        <v>5</v>
      </c>
      <c r="AC42" s="31">
        <f>IF(VLOOKUP(ROUND(CONCATENATE($A42,AC$2),0),'Cadastro dos Padrões'!$A$2:$V$4400,AC$1,FALSE)="","-",VLOOKUP(ROUND(CONCATENATE($A42,AC$2),0),'Cadastro dos Padrões'!$A$2:$V$4400,AC$1,FALSE))</f>
        <v>0.27</v>
      </c>
      <c r="AD42" s="31">
        <f>IF(VLOOKUP(ROUND(CONCATENATE($A42,AD$2),0),'Cadastro dos Padrões'!$A$2:$V$4400,AD$1,FALSE)="","-",VLOOKUP(ROUND(CONCATENATE($A42,AD$2),0),'Cadastro dos Padrões'!$A$2:$V$4400,AD$1,FALSE))</f>
        <v>2</v>
      </c>
      <c r="AE42" s="31">
        <f>IF(VLOOKUP(ROUND(CONCATENATE($A42,AE$2),0),'Cadastro dos Padrões'!$A$2:$V$4400,AE$1,FALSE)="","-",VLOOKUP(ROUND(CONCATENATE($A42,AE$2),0),'Cadastro dos Padrões'!$A$2:$V$4400,AE$1,FALSE))</f>
        <v>1000000</v>
      </c>
      <c r="AF42" s="31">
        <f>IF(VLOOKUP(ROUND(CONCATENATE($A42,AF$2),0),'Cadastro dos Padrões'!$A$2:$V$4400,AF$1,FALSE)="","-",VLOOKUP(ROUND(CONCATENATE($A42,AF$2),0),'Cadastro dos Padrões'!$A$2:$V$4400,AF$1,FALSE))</f>
        <v>20</v>
      </c>
      <c r="AG42" s="31">
        <f>IF(VLOOKUP(ROUND(CONCATENATE($A42,AG$2),0),'Cadastro dos Padrões'!$A$2:$V$4400,AG$1,FALSE)="","-",VLOOKUP(ROUND(CONCATENATE($A42,AG$2),0),'Cadastro dos Padrões'!$A$2:$V$4400,AG$1,FALSE))</f>
        <v>0.35</v>
      </c>
      <c r="AH42" s="31">
        <f>IF(VLOOKUP(ROUND(CONCATENATE($A42,AH$2),0),'Cadastro dos Padrões'!$A$2:$V$4400,AH$1,FALSE)="","-",VLOOKUP(ROUND(CONCATENATE($A42,AH$2),0),'Cadastro dos Padrões'!$A$2:$V$4400,AH$1,FALSE))</f>
        <v>2.0099999999999998</v>
      </c>
      <c r="AI42" s="31">
        <f>IF(VLOOKUP(ROUND(CONCATENATE($A42,AI$2),0),'Cadastro dos Padrões'!$A$2:$V$4400,AI$1,FALSE)="","-",VLOOKUP(ROUND(CONCATENATE($A42,AI$2),0),'Cadastro dos Padrões'!$A$2:$V$4400,AI$1,FALSE))</f>
        <v>356</v>
      </c>
      <c r="AJ42" s="31">
        <f>IF(VLOOKUP(ROUND(CONCATENATE($A42,AJ$2),0),'Cadastro dos Padrões'!$A$2:$V$4400,AJ$1,FALSE)="","-",VLOOKUP(ROUND(CONCATENATE($A42,AJ$2),0),'Cadastro dos Padrões'!$A$2:$V$4400,AJ$1,FALSE))</f>
        <v>30</v>
      </c>
      <c r="AK42" s="31">
        <f>IF(VLOOKUP(ROUND(CONCATENATE($A42,AK$2),0),'Cadastro dos Padrões'!$A$2:$V$4400,AK$1,FALSE)="","-",VLOOKUP(ROUND(CONCATENATE($A42,AK$2),0),'Cadastro dos Padrões'!$A$2:$V$4400,AK$1,FALSE))</f>
        <v>0.43</v>
      </c>
      <c r="AL42" s="31">
        <f>IF(VLOOKUP(ROUND(CONCATENATE($A42,AL$2),0),'Cadastro dos Padrões'!$A$2:$V$4400,AL$1,FALSE)="","-",VLOOKUP(ROUND(CONCATENATE($A42,AL$2),0),'Cadastro dos Padrões'!$A$2:$V$4400,AL$1,FALSE))</f>
        <v>2.0099999999999998</v>
      </c>
      <c r="AM42" s="31">
        <f>IF(VLOOKUP(ROUND(CONCATENATE($A42,AM$2),0),'Cadastro dos Padrões'!$A$2:$V$4400,AM$1,FALSE)="","-",VLOOKUP(ROUND(CONCATENATE($A42,AM$2),0),'Cadastro dos Padrões'!$A$2:$V$4400,AM$1,FALSE))</f>
        <v>192</v>
      </c>
      <c r="AN42" s="31">
        <f>IF(VLOOKUP(ROUND(CONCATENATE($A42,AN$2),0),'Cadastro dos Padrões'!$A$2:$V$4400,AN$1,FALSE)="","-",VLOOKUP(ROUND(CONCATENATE($A42,AN$2),0),'Cadastro dos Padrões'!$A$2:$V$4400,AN$1,FALSE))</f>
        <v>50</v>
      </c>
      <c r="AO42" s="31">
        <f>IF(VLOOKUP(ROUND(CONCATENATE($A42,AO$2),0),'Cadastro dos Padrões'!$A$2:$V$4400,AO$1,FALSE)="","-",VLOOKUP(ROUND(CONCATENATE($A42,AO$2),0),'Cadastro dos Padrões'!$A$2:$V$4400,AO$1,FALSE))</f>
        <v>0.61</v>
      </c>
      <c r="AP42" s="31">
        <f>IF(VLOOKUP(ROUND(CONCATENATE($A42,AP$2),0),'Cadastro dos Padrões'!$A$2:$V$4400,AP$1,FALSE)="","-",VLOOKUP(ROUND(CONCATENATE($A42,AP$2),0),'Cadastro dos Padrões'!$A$2:$V$4400,AP$1,FALSE))</f>
        <v>2.02</v>
      </c>
      <c r="AQ42" s="31">
        <f>IF(VLOOKUP(ROUND(CONCATENATE($A42,AQ$2),0),'Cadastro dos Padrões'!$A$2:$V$4400,AQ$1,FALSE)="","-",VLOOKUP(ROUND(CONCATENATE($A42,AQ$2),0),'Cadastro dos Padrões'!$A$2:$V$4400,AQ$1,FALSE))</f>
        <v>123</v>
      </c>
      <c r="AR42" s="31">
        <f>IF(VLOOKUP(ROUND(CONCATENATE($A42,AR$2),0),'Cadastro dos Padrões'!$A$2:$V$4400,AR$1,FALSE)="","-",VLOOKUP(ROUND(CONCATENATE($A42,AR$2),0),'Cadastro dos Padrões'!$A$2:$V$4400,AR$1,FALSE))</f>
        <v>79.989999999999995</v>
      </c>
      <c r="AS42" s="31">
        <f>IF(VLOOKUP(ROUND(CONCATENATE($A42,AS$2),0),'Cadastro dos Padrões'!$A$2:$V$4400,AS$1,FALSE)="","-",VLOOKUP(ROUND(CONCATENATE($A42,AS$2),0),'Cadastro dos Padrões'!$A$2:$V$4400,AS$1,FALSE))</f>
        <v>0.87</v>
      </c>
      <c r="AT42" s="31">
        <f>IF(VLOOKUP(ROUND(CONCATENATE($A42,AT$2),0),'Cadastro dos Padrões'!$A$2:$V$4400,AT$1,FALSE)="","-",VLOOKUP(ROUND(CONCATENATE($A42,AT$2),0),'Cadastro dos Padrões'!$A$2:$V$4400,AT$1,FALSE))</f>
        <v>2.02</v>
      </c>
      <c r="AU42" s="31">
        <f>IF(VLOOKUP(ROUND(CONCATENATE($A42,AU$2),0),'Cadastro dos Padrões'!$A$2:$V$4400,AU$1,FALSE)="","-",VLOOKUP(ROUND(CONCATENATE($A42,AU$2),0),'Cadastro dos Padrões'!$A$2:$V$4400,AU$1,FALSE))</f>
        <v>103</v>
      </c>
      <c r="AV42" s="31">
        <f>IF(VLOOKUP(ROUND(CONCATENATE($A42,AV$2),0),'Cadastro dos Padrões'!$A$2:$V$4400,AV$1,FALSE)="","-",VLOOKUP(ROUND(CONCATENATE($A42,AV$2),0),'Cadastro dos Padrões'!$A$2:$V$4400,AV$1,FALSE))</f>
        <v>95.02</v>
      </c>
      <c r="AW42" s="31">
        <f>IF(VLOOKUP(ROUND(CONCATENATE($A42,AW$2),0),'Cadastro dos Padrões'!$A$2:$V$4400,AW$1,FALSE)="","-",VLOOKUP(ROUND(CONCATENATE($A42,AW$2),0),'Cadastro dos Padrões'!$A$2:$V$4400,AW$1,FALSE))</f>
        <v>0.94</v>
      </c>
      <c r="AX42" s="31">
        <f>IF(VLOOKUP(ROUND(CONCATENATE($A42,AX$2),0),'Cadastro dos Padrões'!$A$2:$V$4400,AX$1,FALSE)="","-",VLOOKUP(ROUND(CONCATENATE($A42,AX$2),0),'Cadastro dos Padrões'!$A$2:$V$4400,AX$1,FALSE))</f>
        <v>2.04</v>
      </c>
      <c r="AY42" s="31">
        <f>IF(VLOOKUP(ROUND(CONCATENATE($A42,AY$2),0),'Cadastro dos Padrões'!$A$2:$V$4400,AY$1,FALSE)="","-",VLOOKUP(ROUND(CONCATENATE($A42,AY$2),0),'Cadastro dos Padrões'!$A$2:$V$4400,AY$1,FALSE))</f>
        <v>72</v>
      </c>
      <c r="AZ42" s="31" t="str">
        <f>IF(VLOOKUP(ROUND(CONCATENATE($A42,AZ$2),0),'Cadastro dos Padrões'!$A$2:$V$4400,AZ$1,FALSE)="","-",VLOOKUP(ROUND(CONCATENATE($A42,AZ$2),0),'Cadastro dos Padrões'!$A$2:$V$4400,AZ$1,FALSE))</f>
        <v>-</v>
      </c>
      <c r="BA42" s="31" t="str">
        <f>IF(VLOOKUP(ROUND(CONCATENATE($A42,BA$2),0),'Cadastro dos Padrões'!$A$2:$V$4400,BA$1,FALSE)="","-",VLOOKUP(ROUND(CONCATENATE($A42,BA$2),0),'Cadastro dos Padrões'!$A$2:$V$4400,BA$1,FALSE))</f>
        <v>-</v>
      </c>
      <c r="BB42" s="31" t="str">
        <f>IF(VLOOKUP(ROUND(CONCATENATE($A42,BB$2),0),'Cadastro dos Padrões'!$A$2:$V$4400,BB$1,FALSE)="","-",VLOOKUP(ROUND(CONCATENATE($A42,BB$2),0),'Cadastro dos Padrões'!$A$2:$V$4400,BB$1,FALSE))</f>
        <v>-</v>
      </c>
      <c r="BC42" s="31" t="str">
        <f>IF(VLOOKUP(ROUND(CONCATENATE($A42,BC$2),0),'Cadastro dos Padrões'!$A$2:$V$4400,BC$1,FALSE)="","-",VLOOKUP(ROUND(CONCATENATE($A42,BC$2),0),'Cadastro dos Padrões'!$A$2:$V$4400,BC$1,FALSE))</f>
        <v>-</v>
      </c>
      <c r="BD42" s="31" t="str">
        <f>IF(VLOOKUP(ROUND(CONCATENATE($A42,BD$2),0),'Cadastro dos Padrões'!$A$2:$V$4400,BD$1,FALSE)="","-",VLOOKUP(ROUND(CONCATENATE($A42,BD$2),0),'Cadastro dos Padrões'!$A$2:$V$4400,BD$1,FALSE))</f>
        <v>-</v>
      </c>
      <c r="BE42" s="31" t="str">
        <f>IF(VLOOKUP(ROUND(CONCATENATE($A42,BE$2),0),'Cadastro dos Padrões'!$A$2:$V$4400,BE$1,FALSE)="","-",VLOOKUP(ROUND(CONCATENATE($A42,BE$2),0),'Cadastro dos Padrões'!$A$2:$V$4400,BE$1,FALSE))</f>
        <v>-</v>
      </c>
      <c r="BF42" s="31" t="str">
        <f>IF(VLOOKUP(ROUND(CONCATENATE($A42,BF$2),0),'Cadastro dos Padrões'!$A$2:$V$4400,BF$1,FALSE)="","-",VLOOKUP(ROUND(CONCATENATE($A42,BF$2),0),'Cadastro dos Padrões'!$A$2:$V$4400,BF$1,FALSE))</f>
        <v>-</v>
      </c>
      <c r="BG42" s="31" t="str">
        <f>IF(VLOOKUP(ROUND(CONCATENATE($A42,BG$2),0),'Cadastro dos Padrões'!$A$2:$V$4400,BG$1,FALSE)="","-",VLOOKUP(ROUND(CONCATENATE($A42,BG$2),0),'Cadastro dos Padrões'!$A$2:$V$4400,BG$1,FALSE))</f>
        <v>-</v>
      </c>
      <c r="BH42" s="31" t="str">
        <f>IF(VLOOKUP(ROUND(CONCATENATE($A42,BH$2),0),'Cadastro dos Padrões'!$A$2:$V$4400,BH$1,FALSE)="","-",VLOOKUP(ROUND(CONCATENATE($A42,BH$2),0),'Cadastro dos Padrões'!$A$2:$V$4400,BH$1,FALSE))</f>
        <v>-</v>
      </c>
      <c r="BI42" s="31" t="str">
        <f>IF(VLOOKUP(ROUND(CONCATENATE($A42,BI$2),0),'Cadastro dos Padrões'!$A$2:$V$4400,BI$1,FALSE)="","-",VLOOKUP(ROUND(CONCATENATE($A42,BI$2),0),'Cadastro dos Padrões'!$A$2:$V$4400,BI$1,FALSE))</f>
        <v>-</v>
      </c>
      <c r="BJ42" s="31" t="str">
        <f>IF(VLOOKUP(ROUND(CONCATENATE($A42,BJ$2),0),'Cadastro dos Padrões'!$A$2:$V$4400,BJ$1,FALSE)="","-",VLOOKUP(ROUND(CONCATENATE($A42,BJ$2),0),'Cadastro dos Padrões'!$A$2:$V$4400,BJ$1,FALSE))</f>
        <v>-</v>
      </c>
      <c r="BK42" s="31" t="str">
        <f>IF(VLOOKUP(ROUND(CONCATENATE($A42,BK$2),0),'Cadastro dos Padrões'!$A$2:$V$4400,BK$1,FALSE)="","-",VLOOKUP(ROUND(CONCATENATE($A42,BK$2),0),'Cadastro dos Padrões'!$A$2:$V$4400,BK$1,FALSE))</f>
        <v>-</v>
      </c>
      <c r="BL42" s="31" t="str">
        <f>IF(VLOOKUP(ROUND(CONCATENATE($A42,BL$2),0),'Cadastro dos Padrões'!$A$2:$V$4400,BL$1,FALSE)="","-",VLOOKUP(ROUND(CONCATENATE($A42,BL$2),0),'Cadastro dos Padrões'!$A$2:$V$4400,BL$1,FALSE))</f>
        <v>-</v>
      </c>
      <c r="BM42" s="31" t="str">
        <f>IF(VLOOKUP(ROUND(CONCATENATE($A42,BM$2),0),'Cadastro dos Padrões'!$A$2:$V$4400,BM$1,FALSE)="","-",VLOOKUP(ROUND(CONCATENATE($A42,BM$2),0),'Cadastro dos Padrões'!$A$2:$V$4400,BM$1,FALSE))</f>
        <v>-</v>
      </c>
      <c r="BN42" s="31" t="str">
        <f>IF(VLOOKUP(ROUND(CONCATENATE($A42,BN$2),0),'Cadastro dos Padrões'!$A$2:$V$4400,BN$1,FALSE)="","-",VLOOKUP(ROUND(CONCATENATE($A42,BN$2),0),'Cadastro dos Padrões'!$A$2:$V$4400,BN$1,FALSE))</f>
        <v>-</v>
      </c>
      <c r="BO42" s="31" t="str">
        <f>IF(VLOOKUP(ROUND(CONCATENATE($A42,BO$2),0),'Cadastro dos Padrões'!$A$2:$V$4400,BO$1,FALSE)="","-",VLOOKUP(ROUND(CONCATENATE($A42,BO$2),0),'Cadastro dos Padrões'!$A$2:$V$4400,BO$1,FALSE))</f>
        <v>-</v>
      </c>
    </row>
    <row r="43" spans="1:67" x14ac:dyDescent="0.3">
      <c r="A43" s="6">
        <f t="shared" si="52"/>
        <v>38</v>
      </c>
      <c r="B43" s="31" t="str">
        <f>IF(VLOOKUP(ROUND(CONCATENATE($A43,B$2),0),'Cadastro dos Padrões'!$A$2:$V$4400,B$1,FALSE)="","-",VLOOKUP(ROUND(CONCATENATE($A43,B$2),0),'Cadastro dos Padrões'!$A$2:$V$4400,B$1,FALSE))</f>
        <v>E.TH.LT-011</v>
      </c>
      <c r="C43" s="31" t="str">
        <f>IF($B43="-","-",VLOOKUP(ROUND(CONCATENATE($A43,C$2),0),'Cadastro dos Padrões'!$A$2:$V$4400,C$1,FALSE))</f>
        <v>Higrômetro de Ponto de Orvalho</v>
      </c>
      <c r="D43" s="31" t="str">
        <f>IF($B43="-","-",VLOOKUP(ROUND(CONCATENATE($A43,D$2),0),'Cadastro dos Padrões'!$A$2:$V$4400,D$1,FALSE))</f>
        <v>-</v>
      </c>
      <c r="E43" s="31" t="str">
        <f>IF($B43="-","-",VLOOKUP(ROUND(CONCATENATE($A43,E$2),0),'Cadastro dos Padrões'!$A$2:$V$4400,E$1,FALSE))</f>
        <v>CTM</v>
      </c>
      <c r="F43" s="31" t="str">
        <f>IF($B43="-","-",VLOOKUP(ROUND(CONCATENATE($A43,F$2),0),'Cadastro dos Padrões'!$A$2:$V$4400,F$1,FALSE))</f>
        <v>RBC - CAL 0088</v>
      </c>
      <c r="G43" s="31" t="str">
        <f>IF($B43="-","-",VLOOKUP(ROUND(CONCATENATE($A43,G$2),0),'Cadastro dos Padrões'!$A$2:$V$4400,G$1,FALSE))</f>
        <v>30599/24</v>
      </c>
      <c r="H43" s="32">
        <f>IF($B43="-","-",VLOOKUP(ROUND(CONCATENATE($A43,H$2),0),'Cadastro dos Padrões'!$A$2:$V$4400,H$1,FALSE))</f>
        <v>45477</v>
      </c>
      <c r="I43" s="33">
        <f>IF($B43="-","-",VLOOKUP(ROUND(CONCATENATE($A43,I$2),0),'Cadastro dos Padrões'!$A$2:$V$4400,I$1,FALSE))</f>
        <v>46598</v>
      </c>
      <c r="J43" s="31" t="str">
        <f>IF($B43="-","-",VLOOKUP(ROUND(CONCATENATE($A43,J$2),0),'Cadastro dos Padrões'!$A$2:$V$4400,J$1,FALSE))</f>
        <v>°CTd/f</v>
      </c>
      <c r="K43" s="31">
        <f>IF($B43="-","-",VLOOKUP(ROUND(CONCATENATE($A43,K$2),0),'Cadastro dos Padrões'!$A$2:$V$4400,K$1,FALSE))</f>
        <v>-24.88</v>
      </c>
      <c r="L43" s="31">
        <f>IF($B43="-","-",VLOOKUP(ROUND(CONCATENATE($A43,L$2),0),'Cadastro dos Padrões'!$A$2:$V$4400,L$1,FALSE))</f>
        <v>59.87</v>
      </c>
      <c r="M43" s="31">
        <f>IF($B43="-","-",VLOOKUP(ROUND(CONCATENATE($A43,M$2),0),'Cadastro dos Padrões'!$A$2:$V$4400,M$1,FALSE))</f>
        <v>0.01</v>
      </c>
      <c r="N43" s="31">
        <f>IF($B43="-","-",VLOOKUP(ROUND(CONCATENATE($A43,N$2),0),'Cadastro dos Padrões'!$A$2:$V$4400,N$1,FALSE))</f>
        <v>0.38000000000000256</v>
      </c>
      <c r="O43" s="31">
        <f>IF($B43="-","-",VLOOKUP(ROUND(CONCATENATE($A43,O$2),0),'Cadastro dos Padrões'!$A$2:$V$4400,O$1,FALSE))</f>
        <v>0.08</v>
      </c>
      <c r="P43" s="31">
        <f>IF($B43="-","-",VLOOKUP(ROUND(CONCATENATE($A43,P$2),0),'Cadastro dos Padrões'!$A$2:$V$4400,P$1,FALSE))</f>
        <v>0.25000000000000711</v>
      </c>
      <c r="Q43" s="31">
        <f>IF($B43="-","-",VLOOKUP(ROUND(CONCATENATE($A43,Q$2),0),'Cadastro dos Padrões'!$A$2:$V$4400,Q$1,FALSE))</f>
        <v>3.6346570461893712E-2</v>
      </c>
      <c r="R43" s="31">
        <f>IF($B43="-","-",VLOOKUP(ROUND(CONCATENATE($A43,R$2),0),'Cadastro dos Padrões'!$A$2:$V$4400,R$1,FALSE))</f>
        <v>3</v>
      </c>
      <c r="S43" s="31">
        <f>IF($B43="-","-",VLOOKUP(ROUND(CONCATENATE($A43,S$2),0),'Cadastro dos Padrões'!$A$2:$V$4400,S$1,FALSE))</f>
        <v>0</v>
      </c>
      <c r="T43" s="31">
        <f>IF($B43="-","-",VLOOKUP(ROUND(CONCATENATE($A43,T$2),0),'Cadastro dos Padrões'!$A$2:$V$4400,T$1,FALSE))</f>
        <v>0</v>
      </c>
      <c r="U43" s="31">
        <f>IF($B43="-","-",VLOOKUP(ROUND(CONCATENATE($A43,U$2),0),'Cadastro dos Padrões'!$A$2:$V$4400,U$1,FALSE))</f>
        <v>0</v>
      </c>
      <c r="V43" s="31">
        <f>IF($B43="-","-",VLOOKUP(ROUND(CONCATENATE($A43,V$2),0),'Cadastro dos Padrões'!$A$2:$V$4400,V$1,FALSE))</f>
        <v>0</v>
      </c>
      <c r="W43" s="31">
        <f>IF($B43="-","-",VLOOKUP(ROUND(CONCATENATE($A43,W$2),0),'Cadastro dos Padrões'!$A$2:$V$4400,W$1,FALSE))</f>
        <v>0</v>
      </c>
      <c r="X43" s="31">
        <f>IF($B43="-","-",VLOOKUP(ROUND(CONCATENATE($A43,X$2),0),'Cadastro dos Padrões'!$A$2:$V$4400,X$1,FALSE))</f>
        <v>7.6158939204116998E-8</v>
      </c>
      <c r="Y43" s="31">
        <f>IF($B43="-","-",VLOOKUP(ROUND(CONCATENATE($A43,Y$2),0),'Cadastro dos Padrões'!$A$2:$V$4400,Y$1,FALSE))</f>
        <v>7.4933760528497037E-6</v>
      </c>
      <c r="Z43" s="31">
        <f>IF($B43="-","-",VLOOKUP(ROUND(CONCATENATE($A43,Z$2),0),'Cadastro dos Padrões'!$A$2:$V$4400,Z$1,FALSE))</f>
        <v>0.9940670230418116</v>
      </c>
      <c r="AA43" s="31">
        <f>IF($B43="-","-",VLOOKUP(ROUND(CONCATENATE($A43,AA$2),0),'Cadastro dos Padrões'!$A$2:$V$4400,AA$1,FALSE))</f>
        <v>-6.5385080054713773E-2</v>
      </c>
      <c r="AB43" s="31">
        <f>IF(VLOOKUP(ROUND(CONCATENATE($A43,AB$2),0),'Cadastro dos Padrões'!$A$2:$V$4400,AB$1,FALSE)="","-",VLOOKUP(ROUND(CONCATENATE($A43,AB$2),0),'Cadastro dos Padrões'!$A$2:$V$4400,AB$1,FALSE))</f>
        <v>-24.88</v>
      </c>
      <c r="AC43" s="31">
        <f>IF(VLOOKUP(ROUND(CONCATENATE($A43,AC$2),0),'Cadastro dos Padrões'!$A$2:$V$4400,AC$1,FALSE)="","-",VLOOKUP(ROUND(CONCATENATE($A43,AC$2),0),'Cadastro dos Padrões'!$A$2:$V$4400,AC$1,FALSE))</f>
        <v>0.08</v>
      </c>
      <c r="AD43" s="31">
        <f>IF(VLOOKUP(ROUND(CONCATENATE($A43,AD$2),0),'Cadastro dos Padrões'!$A$2:$V$4400,AD$1,FALSE)="","-",VLOOKUP(ROUND(CONCATENATE($A43,AD$2),0),'Cadastro dos Padrões'!$A$2:$V$4400,AD$1,FALSE))</f>
        <v>2</v>
      </c>
      <c r="AE43" s="31">
        <f>IF(VLOOKUP(ROUND(CONCATENATE($A43,AE$2),0),'Cadastro dos Padrões'!$A$2:$V$4400,AE$1,FALSE)="","-",VLOOKUP(ROUND(CONCATENATE($A43,AE$2),0),'Cadastro dos Padrões'!$A$2:$V$4400,AE$1,FALSE))</f>
        <v>1000000</v>
      </c>
      <c r="AF43" s="31">
        <f>IF(VLOOKUP(ROUND(CONCATENATE($A43,AF$2),0),'Cadastro dos Padrões'!$A$2:$V$4400,AF$1,FALSE)="","-",VLOOKUP(ROUND(CONCATENATE($A43,AF$2),0),'Cadastro dos Padrões'!$A$2:$V$4400,AF$1,FALSE))</f>
        <v>-9.9</v>
      </c>
      <c r="AG43" s="31">
        <f>IF(VLOOKUP(ROUND(CONCATENATE($A43,AG$2),0),'Cadastro dos Padrões'!$A$2:$V$4400,AG$1,FALSE)="","-",VLOOKUP(ROUND(CONCATENATE($A43,AG$2),0),'Cadastro dos Padrões'!$A$2:$V$4400,AG$1,FALSE))</f>
        <v>0.05</v>
      </c>
      <c r="AH43" s="31">
        <f>IF(VLOOKUP(ROUND(CONCATENATE($A43,AH$2),0),'Cadastro dos Padrões'!$A$2:$V$4400,AH$1,FALSE)="","-",VLOOKUP(ROUND(CONCATENATE($A43,AH$2),0),'Cadastro dos Padrões'!$A$2:$V$4400,AH$1,FALSE))</f>
        <v>2</v>
      </c>
      <c r="AI43" s="31">
        <f>IF(VLOOKUP(ROUND(CONCATENATE($A43,AI$2),0),'Cadastro dos Padrões'!$A$2:$V$4400,AI$1,FALSE)="","-",VLOOKUP(ROUND(CONCATENATE($A43,AI$2),0),'Cadastro dos Padrões'!$A$2:$V$4400,AI$1,FALSE))</f>
        <v>1000000</v>
      </c>
      <c r="AJ43" s="31">
        <f>IF(VLOOKUP(ROUND(CONCATENATE($A43,AJ$2),0),'Cadastro dos Padrões'!$A$2:$V$4400,AJ$1,FALSE)="","-",VLOOKUP(ROUND(CONCATENATE($A43,AJ$2),0),'Cadastro dos Padrões'!$A$2:$V$4400,AJ$1,FALSE))</f>
        <v>-0.01</v>
      </c>
      <c r="AK43" s="31">
        <f>IF(VLOOKUP(ROUND(CONCATENATE($A43,AK$2),0),'Cadastro dos Padrões'!$A$2:$V$4400,AK$1,FALSE)="","-",VLOOKUP(ROUND(CONCATENATE($A43,AK$2),0),'Cadastro dos Padrões'!$A$2:$V$4400,AK$1,FALSE))</f>
        <v>0.05</v>
      </c>
      <c r="AL43" s="31">
        <f>IF(VLOOKUP(ROUND(CONCATENATE($A43,AL$2),0),'Cadastro dos Padrões'!$A$2:$V$4400,AL$1,FALSE)="","-",VLOOKUP(ROUND(CONCATENATE($A43,AL$2),0),'Cadastro dos Padrões'!$A$2:$V$4400,AL$1,FALSE))</f>
        <v>2</v>
      </c>
      <c r="AM43" s="31">
        <f>IF(VLOOKUP(ROUND(CONCATENATE($A43,AM$2),0),'Cadastro dos Padrões'!$A$2:$V$4400,AM$1,FALSE)="","-",VLOOKUP(ROUND(CONCATENATE($A43,AM$2),0),'Cadastro dos Padrões'!$A$2:$V$4400,AM$1,FALSE))</f>
        <v>1000000</v>
      </c>
      <c r="AN43" s="31">
        <f>IF(VLOOKUP(ROUND(CONCATENATE($A43,AN$2),0),'Cadastro dos Padrões'!$A$2:$V$4400,AN$1,FALSE)="","-",VLOOKUP(ROUND(CONCATENATE($A43,AN$2),0),'Cadastro dos Padrões'!$A$2:$V$4400,AN$1,FALSE))</f>
        <v>29.94</v>
      </c>
      <c r="AO43" s="31">
        <f>IF(VLOOKUP(ROUND(CONCATENATE($A43,AO$2),0),'Cadastro dos Padrões'!$A$2:$V$4400,AO$1,FALSE)="","-",VLOOKUP(ROUND(CONCATENATE($A43,AO$2),0),'Cadastro dos Padrões'!$A$2:$V$4400,AO$1,FALSE))</f>
        <v>0.05</v>
      </c>
      <c r="AP43" s="31">
        <f>IF(VLOOKUP(ROUND(CONCATENATE($A43,AP$2),0),'Cadastro dos Padrões'!$A$2:$V$4400,AP$1,FALSE)="","-",VLOOKUP(ROUND(CONCATENATE($A43,AP$2),0),'Cadastro dos Padrões'!$A$2:$V$4400,AP$1,FALSE))</f>
        <v>2</v>
      </c>
      <c r="AQ43" s="31">
        <f>IF(VLOOKUP(ROUND(CONCATENATE($A43,AQ$2),0),'Cadastro dos Padrões'!$A$2:$V$4400,AQ$1,FALSE)="","-",VLOOKUP(ROUND(CONCATENATE($A43,AQ$2),0),'Cadastro dos Padrões'!$A$2:$V$4400,AQ$1,FALSE))</f>
        <v>1000000</v>
      </c>
      <c r="AR43" s="31">
        <f>IF(VLOOKUP(ROUND(CONCATENATE($A43,AR$2),0),'Cadastro dos Padrões'!$A$2:$V$4400,AR$1,FALSE)="","-",VLOOKUP(ROUND(CONCATENATE($A43,AR$2),0),'Cadastro dos Padrões'!$A$2:$V$4400,AR$1,FALSE))</f>
        <v>59.87</v>
      </c>
      <c r="AS43" s="31">
        <f>IF(VLOOKUP(ROUND(CONCATENATE($A43,AS$2),0),'Cadastro dos Padrões'!$A$2:$V$4400,AS$1,FALSE)="","-",VLOOKUP(ROUND(CONCATENATE($A43,AS$2),0),'Cadastro dos Padrões'!$A$2:$V$4400,AS$1,FALSE))</f>
        <v>0.05</v>
      </c>
      <c r="AT43" s="31">
        <f>IF(VLOOKUP(ROUND(CONCATENATE($A43,AT$2),0),'Cadastro dos Padrões'!$A$2:$V$4400,AT$1,FALSE)="","-",VLOOKUP(ROUND(CONCATENATE($A43,AT$2),0),'Cadastro dos Padrões'!$A$2:$V$4400,AT$1,FALSE))</f>
        <v>2</v>
      </c>
      <c r="AU43" s="31">
        <f>IF(VLOOKUP(ROUND(CONCATENATE($A43,AU$2),0),'Cadastro dos Padrões'!$A$2:$V$4400,AU$1,FALSE)="","-",VLOOKUP(ROUND(CONCATENATE($A43,AU$2),0),'Cadastro dos Padrões'!$A$2:$V$4400,AU$1,FALSE))</f>
        <v>1000000</v>
      </c>
      <c r="AV43" s="31" t="str">
        <f>IF(VLOOKUP(ROUND(CONCATENATE($A43,AV$2),0),'Cadastro dos Padrões'!$A$2:$V$4400,AV$1,FALSE)="","-",VLOOKUP(ROUND(CONCATENATE($A43,AV$2),0),'Cadastro dos Padrões'!$A$2:$V$4400,AV$1,FALSE))</f>
        <v>-</v>
      </c>
      <c r="AW43" s="31" t="str">
        <f>IF(VLOOKUP(ROUND(CONCATENATE($A43,AW$2),0),'Cadastro dos Padrões'!$A$2:$V$4400,AW$1,FALSE)="","-",VLOOKUP(ROUND(CONCATENATE($A43,AW$2),0),'Cadastro dos Padrões'!$A$2:$V$4400,AW$1,FALSE))</f>
        <v>-</v>
      </c>
      <c r="AX43" s="31" t="str">
        <f>IF(VLOOKUP(ROUND(CONCATENATE($A43,AX$2),0),'Cadastro dos Padrões'!$A$2:$V$4400,AX$1,FALSE)="","-",VLOOKUP(ROUND(CONCATENATE($A43,AX$2),0),'Cadastro dos Padrões'!$A$2:$V$4400,AX$1,FALSE))</f>
        <v>-</v>
      </c>
      <c r="AY43" s="31" t="str">
        <f>IF(VLOOKUP(ROUND(CONCATENATE($A43,AY$2),0),'Cadastro dos Padrões'!$A$2:$V$4400,AY$1,FALSE)="","-",VLOOKUP(ROUND(CONCATENATE($A43,AY$2),0),'Cadastro dos Padrões'!$A$2:$V$4400,AY$1,FALSE))</f>
        <v>-</v>
      </c>
      <c r="AZ43" s="31" t="str">
        <f>IF(VLOOKUP(ROUND(CONCATENATE($A43,AZ$2),0),'Cadastro dos Padrões'!$A$2:$V$4400,AZ$1,FALSE)="","-",VLOOKUP(ROUND(CONCATENATE($A43,AZ$2),0),'Cadastro dos Padrões'!$A$2:$V$4400,AZ$1,FALSE))</f>
        <v>-</v>
      </c>
      <c r="BA43" s="31" t="str">
        <f>IF(VLOOKUP(ROUND(CONCATENATE($A43,BA$2),0),'Cadastro dos Padrões'!$A$2:$V$4400,BA$1,FALSE)="","-",VLOOKUP(ROUND(CONCATENATE($A43,BA$2),0),'Cadastro dos Padrões'!$A$2:$V$4400,BA$1,FALSE))</f>
        <v>-</v>
      </c>
      <c r="BB43" s="31" t="str">
        <f>IF(VLOOKUP(ROUND(CONCATENATE($A43,BB$2),0),'Cadastro dos Padrões'!$A$2:$V$4400,BB$1,FALSE)="","-",VLOOKUP(ROUND(CONCATENATE($A43,BB$2),0),'Cadastro dos Padrões'!$A$2:$V$4400,BB$1,FALSE))</f>
        <v>-</v>
      </c>
      <c r="BC43" s="31" t="str">
        <f>IF(VLOOKUP(ROUND(CONCATENATE($A43,BC$2),0),'Cadastro dos Padrões'!$A$2:$V$4400,BC$1,FALSE)="","-",VLOOKUP(ROUND(CONCATENATE($A43,BC$2),0),'Cadastro dos Padrões'!$A$2:$V$4400,BC$1,FALSE))</f>
        <v>-</v>
      </c>
      <c r="BD43" s="31" t="str">
        <f>IF(VLOOKUP(ROUND(CONCATENATE($A43,BD$2),0),'Cadastro dos Padrões'!$A$2:$V$4400,BD$1,FALSE)="","-",VLOOKUP(ROUND(CONCATENATE($A43,BD$2),0),'Cadastro dos Padrões'!$A$2:$V$4400,BD$1,FALSE))</f>
        <v>-</v>
      </c>
      <c r="BE43" s="31" t="str">
        <f>IF(VLOOKUP(ROUND(CONCATENATE($A43,BE$2),0),'Cadastro dos Padrões'!$A$2:$V$4400,BE$1,FALSE)="","-",VLOOKUP(ROUND(CONCATENATE($A43,BE$2),0),'Cadastro dos Padrões'!$A$2:$V$4400,BE$1,FALSE))</f>
        <v>-</v>
      </c>
      <c r="BF43" s="31" t="str">
        <f>IF(VLOOKUP(ROUND(CONCATENATE($A43,BF$2),0),'Cadastro dos Padrões'!$A$2:$V$4400,BF$1,FALSE)="","-",VLOOKUP(ROUND(CONCATENATE($A43,BF$2),0),'Cadastro dos Padrões'!$A$2:$V$4400,BF$1,FALSE))</f>
        <v>-</v>
      </c>
      <c r="BG43" s="31" t="str">
        <f>IF(VLOOKUP(ROUND(CONCATENATE($A43,BG$2),0),'Cadastro dos Padrões'!$A$2:$V$4400,BG$1,FALSE)="","-",VLOOKUP(ROUND(CONCATENATE($A43,BG$2),0),'Cadastro dos Padrões'!$A$2:$V$4400,BG$1,FALSE))</f>
        <v>-</v>
      </c>
      <c r="BH43" s="31" t="str">
        <f>IF(VLOOKUP(ROUND(CONCATENATE($A43,BH$2),0),'Cadastro dos Padrões'!$A$2:$V$4400,BH$1,FALSE)="","-",VLOOKUP(ROUND(CONCATENATE($A43,BH$2),0),'Cadastro dos Padrões'!$A$2:$V$4400,BH$1,FALSE))</f>
        <v>-</v>
      </c>
      <c r="BI43" s="31" t="str">
        <f>IF(VLOOKUP(ROUND(CONCATENATE($A43,BI$2),0),'Cadastro dos Padrões'!$A$2:$V$4400,BI$1,FALSE)="","-",VLOOKUP(ROUND(CONCATENATE($A43,BI$2),0),'Cadastro dos Padrões'!$A$2:$V$4400,BI$1,FALSE))</f>
        <v>-</v>
      </c>
      <c r="BJ43" s="31" t="str">
        <f>IF(VLOOKUP(ROUND(CONCATENATE($A43,BJ$2),0),'Cadastro dos Padrões'!$A$2:$V$4400,BJ$1,FALSE)="","-",VLOOKUP(ROUND(CONCATENATE($A43,BJ$2),0),'Cadastro dos Padrões'!$A$2:$V$4400,BJ$1,FALSE))</f>
        <v>-</v>
      </c>
      <c r="BK43" s="31" t="str">
        <f>IF(VLOOKUP(ROUND(CONCATENATE($A43,BK$2),0),'Cadastro dos Padrões'!$A$2:$V$4400,BK$1,FALSE)="","-",VLOOKUP(ROUND(CONCATENATE($A43,BK$2),0),'Cadastro dos Padrões'!$A$2:$V$4400,BK$1,FALSE))</f>
        <v>-</v>
      </c>
      <c r="BL43" s="31" t="str">
        <f>IF(VLOOKUP(ROUND(CONCATENATE($A43,BL$2),0),'Cadastro dos Padrões'!$A$2:$V$4400,BL$1,FALSE)="","-",VLOOKUP(ROUND(CONCATENATE($A43,BL$2),0),'Cadastro dos Padrões'!$A$2:$V$4400,BL$1,FALSE))</f>
        <v>-</v>
      </c>
      <c r="BM43" s="31" t="str">
        <f>IF(VLOOKUP(ROUND(CONCATENATE($A43,BM$2),0),'Cadastro dos Padrões'!$A$2:$V$4400,BM$1,FALSE)="","-",VLOOKUP(ROUND(CONCATENATE($A43,BM$2),0),'Cadastro dos Padrões'!$A$2:$V$4400,BM$1,FALSE))</f>
        <v>-</v>
      </c>
      <c r="BN43" s="31" t="str">
        <f>IF(VLOOKUP(ROUND(CONCATENATE($A43,BN$2),0),'Cadastro dos Padrões'!$A$2:$V$4400,BN$1,FALSE)="","-",VLOOKUP(ROUND(CONCATENATE($A43,BN$2),0),'Cadastro dos Padrões'!$A$2:$V$4400,BN$1,FALSE))</f>
        <v>-</v>
      </c>
      <c r="BO43" s="31" t="str">
        <f>IF(VLOOKUP(ROUND(CONCATENATE($A43,BO$2),0),'Cadastro dos Padrões'!$A$2:$V$4400,BO$1,FALSE)="","-",VLOOKUP(ROUND(CONCATENATE($A43,BO$2),0),'Cadastro dos Padrões'!$A$2:$V$4400,BO$1,FALSE))</f>
        <v>-</v>
      </c>
    </row>
    <row r="44" spans="1:67" x14ac:dyDescent="0.3">
      <c r="A44" s="6">
        <f t="shared" si="52"/>
        <v>39</v>
      </c>
      <c r="B44" s="31" t="str">
        <f>IF(VLOOKUP(ROUND(CONCATENATE($A44,B$2),0),'Cadastro dos Padrões'!$A$2:$V$4400,B$1,FALSE)="","-",VLOOKUP(ROUND(CONCATENATE($A44,B$2),0),'Cadastro dos Padrões'!$A$2:$V$4400,B$1,FALSE))</f>
        <v>EL-949</v>
      </c>
      <c r="C44" s="31" t="str">
        <f>IF($B44="-","-",VLOOKUP(ROUND(CONCATENATE($A44,C$2),0),'Cadastro dos Padrões'!$A$2:$V$4400,C$1,FALSE))</f>
        <v>Termohigrômetro Digital</v>
      </c>
      <c r="D44" s="31">
        <f>IF($B44="-","-",VLOOKUP(ROUND(CONCATENATE($A44,D$2),0),'Cadastro dos Padrões'!$A$2:$V$4400,D$1,FALSE))</f>
        <v>20</v>
      </c>
      <c r="E44" s="31" t="str">
        <f>IF($B44="-","-",VLOOKUP(ROUND(CONCATENATE($A44,E$2),0),'Cadastro dos Padrões'!$A$2:$V$4400,E$1,FALSE))</f>
        <v>Elus</v>
      </c>
      <c r="F44" s="31" t="str">
        <f>IF($B44="-","-",VLOOKUP(ROUND(CONCATENATE($A44,F$2),0),'Cadastro dos Padrões'!$A$2:$V$4400,F$1,FALSE))</f>
        <v>RBC - CAL 0439</v>
      </c>
      <c r="G44" s="31" t="str">
        <f>IF($B44="-","-",VLOOKUP(ROUND(CONCATENATE($A44,G$2),0),'Cadastro dos Padrões'!$A$2:$V$4400,G$1,FALSE))</f>
        <v>R0118/23</v>
      </c>
      <c r="H44" s="32">
        <f>IF($B44="-","-",VLOOKUP(ROUND(CONCATENATE($A44,H$2),0),'Cadastro dos Padrões'!$A$2:$V$4400,H$1,FALSE))</f>
        <v>45008</v>
      </c>
      <c r="I44" s="33">
        <f>IF($B44="-","-",VLOOKUP(ROUND(CONCATENATE($A44,I$2),0),'Cadastro dos Padrões'!$A$2:$V$4400,I$1,FALSE))</f>
        <v>45381</v>
      </c>
      <c r="J44" s="31" t="str">
        <f>IF($B44="-","-",VLOOKUP(ROUND(CONCATENATE($A44,J$2),0),'Cadastro dos Padrões'!$A$2:$V$4400,J$1,FALSE))</f>
        <v>%ur</v>
      </c>
      <c r="K44" s="31">
        <f>IF($B44="-","-",VLOOKUP(ROUND(CONCATENATE($A44,K$2),0),'Cadastro dos Padrões'!$A$2:$V$4400,K$1,FALSE))</f>
        <v>30</v>
      </c>
      <c r="L44" s="31">
        <f>IF($B44="-","-",VLOOKUP(ROUND(CONCATENATE($A44,L$2),0),'Cadastro dos Padrões'!$A$2:$V$4400,L$1,FALSE))</f>
        <v>80</v>
      </c>
      <c r="M44" s="31">
        <f>IF($B44="-","-",VLOOKUP(ROUND(CONCATENATE($A44,M$2),0),'Cadastro dos Padrões'!$A$2:$V$4400,M$1,FALSE))</f>
        <v>1</v>
      </c>
      <c r="N44" s="31">
        <f>IF($B44="-","-",VLOOKUP(ROUND(CONCATENATE($A44,N$2),0),'Cadastro dos Padrões'!$A$2:$V$4400,N$1,FALSE))</f>
        <v>8</v>
      </c>
      <c r="O44" s="31">
        <f>IF($B44="-","-",VLOOKUP(ROUND(CONCATENATE($A44,O$2),0),'Cadastro dos Padrões'!$A$2:$V$4400,O$1,FALSE))</f>
        <v>2</v>
      </c>
      <c r="P44" s="31">
        <f>IF($B44="-","-",VLOOKUP(ROUND(CONCATENATE($A44,P$2),0),'Cadastro dos Padrões'!$A$2:$V$4400,P$1,FALSE))</f>
        <v>2</v>
      </c>
      <c r="Q44" s="31">
        <f>IF($B44="-","-",VLOOKUP(ROUND(CONCATENATE($A44,Q$2),0),'Cadastro dos Padrões'!$A$2:$V$4400,Q$1,FALSE))</f>
        <v>1.4615084586538174</v>
      </c>
      <c r="R44" s="31">
        <f>IF($B44="-","-",VLOOKUP(ROUND(CONCATENATE($A44,R$2),0),'Cadastro dos Padrões'!$A$2:$V$4400,R$1,FALSE))</f>
        <v>1</v>
      </c>
      <c r="S44" s="31">
        <f>IF($B44="-","-",VLOOKUP(ROUND(CONCATENATE($A44,S$2),0),'Cadastro dos Padrões'!$A$2:$V$4400,S$1,FALSE))</f>
        <v>0</v>
      </c>
      <c r="T44" s="31">
        <f>IF($B44="-","-",VLOOKUP(ROUND(CONCATENATE($A44,T$2),0),'Cadastro dos Padrões'!$A$2:$V$4400,T$1,FALSE))</f>
        <v>0</v>
      </c>
      <c r="U44" s="31">
        <f>IF($B44="-","-",VLOOKUP(ROUND(CONCATENATE($A44,U$2),0),'Cadastro dos Padrões'!$A$2:$V$4400,U$1,FALSE))</f>
        <v>0</v>
      </c>
      <c r="V44" s="31">
        <f>IF($B44="-","-",VLOOKUP(ROUND(CONCATENATE($A44,V$2),0),'Cadastro dos Padrões'!$A$2:$V$4400,V$1,FALSE))</f>
        <v>0</v>
      </c>
      <c r="W44" s="31">
        <f>IF($B44="-","-",VLOOKUP(ROUND(CONCATENATE($A44,W$2),0),'Cadastro dos Padrões'!$A$2:$V$4400,W$1,FALSE))</f>
        <v>0</v>
      </c>
      <c r="X44" s="31">
        <f>IF($B44="-","-",VLOOKUP(ROUND(CONCATENATE($A44,X$2),0),'Cadastro dos Padrões'!$A$2:$V$4400,X$1,FALSE))</f>
        <v>0</v>
      </c>
      <c r="Y44" s="31">
        <f>IF($B44="-","-",VLOOKUP(ROUND(CONCATENATE($A44,Y$2),0),'Cadastro dos Padrões'!$A$2:$V$4400,Y$1,FALSE))</f>
        <v>0</v>
      </c>
      <c r="Z44" s="31">
        <f>IF($B44="-","-",VLOOKUP(ROUND(CONCATENATE($A44,Z$2),0),'Cadastro dos Padrões'!$A$2:$V$4400,Z$1,FALSE))</f>
        <v>1.285963382737576</v>
      </c>
      <c r="AA44" s="31">
        <f>IF($B44="-","-",VLOOKUP(ROUND(CONCATENATE($A44,AA$2),0),'Cadastro dos Padrões'!$A$2:$V$4400,AA$1,FALSE))</f>
        <v>-13.108108108108091</v>
      </c>
      <c r="AB44" s="31">
        <f>IF(VLOOKUP(ROUND(CONCATENATE($A44,AB$2),0),'Cadastro dos Padrões'!$A$2:$V$4400,AB$1,FALSE)="","-",VLOOKUP(ROUND(CONCATENATE($A44,AB$2),0),'Cadastro dos Padrões'!$A$2:$V$4400,AB$1,FALSE))</f>
        <v>30</v>
      </c>
      <c r="AC44" s="31">
        <f>IF(VLOOKUP(ROUND(CONCATENATE($A44,AC$2),0),'Cadastro dos Padrões'!$A$2:$V$4400,AC$1,FALSE)="","-",VLOOKUP(ROUND(CONCATENATE($A44,AC$2),0),'Cadastro dos Padrões'!$A$2:$V$4400,AC$1,FALSE))</f>
        <v>2</v>
      </c>
      <c r="AD44" s="31">
        <f>IF(VLOOKUP(ROUND(CONCATENATE($A44,AD$2),0),'Cadastro dos Padrões'!$A$2:$V$4400,AD$1,FALSE)="","-",VLOOKUP(ROUND(CONCATENATE($A44,AD$2),0),'Cadastro dos Padrões'!$A$2:$V$4400,AD$1,FALSE))</f>
        <v>2</v>
      </c>
      <c r="AE44" s="31">
        <f>IF(VLOOKUP(ROUND(CONCATENATE($A44,AE$2),0),'Cadastro dos Padrões'!$A$2:$V$4400,AE$1,FALSE)="","-",VLOOKUP(ROUND(CONCATENATE($A44,AE$2),0),'Cadastro dos Padrões'!$A$2:$V$4400,AE$1,FALSE))</f>
        <v>1000000</v>
      </c>
      <c r="AF44" s="31">
        <f>IF(VLOOKUP(ROUND(CONCATENATE($A44,AF$2),0),'Cadastro dos Padrões'!$A$2:$V$4400,AF$1,FALSE)="","-",VLOOKUP(ROUND(CONCATENATE($A44,AF$2),0),'Cadastro dos Padrões'!$A$2:$V$4400,AF$1,FALSE))</f>
        <v>50</v>
      </c>
      <c r="AG44" s="31">
        <f>IF(VLOOKUP(ROUND(CONCATENATE($A44,AG$2),0),'Cadastro dos Padrões'!$A$2:$V$4400,AG$1,FALSE)="","-",VLOOKUP(ROUND(CONCATENATE($A44,AG$2),0),'Cadastro dos Padrões'!$A$2:$V$4400,AG$1,FALSE))</f>
        <v>2</v>
      </c>
      <c r="AH44" s="31">
        <f>IF(VLOOKUP(ROUND(CONCATENATE($A44,AH$2),0),'Cadastro dos Padrões'!$A$2:$V$4400,AH$1,FALSE)="","-",VLOOKUP(ROUND(CONCATENATE($A44,AH$2),0),'Cadastro dos Padrões'!$A$2:$V$4400,AH$1,FALSE))</f>
        <v>2</v>
      </c>
      <c r="AI44" s="31">
        <f>IF(VLOOKUP(ROUND(CONCATENATE($A44,AI$2),0),'Cadastro dos Padrões'!$A$2:$V$4400,AI$1,FALSE)="","-",VLOOKUP(ROUND(CONCATENATE($A44,AI$2),0),'Cadastro dos Padrões'!$A$2:$V$4400,AI$1,FALSE))</f>
        <v>1000000</v>
      </c>
      <c r="AJ44" s="31">
        <f>IF(VLOOKUP(ROUND(CONCATENATE($A44,AJ$2),0),'Cadastro dos Padrões'!$A$2:$V$4400,AJ$1,FALSE)="","-",VLOOKUP(ROUND(CONCATENATE($A44,AJ$2),0),'Cadastro dos Padrões'!$A$2:$V$4400,AJ$1,FALSE))</f>
        <v>80</v>
      </c>
      <c r="AK44" s="31">
        <f>IF(VLOOKUP(ROUND(CONCATENATE($A44,AK$2),0),'Cadastro dos Padrões'!$A$2:$V$4400,AK$1,FALSE)="","-",VLOOKUP(ROUND(CONCATENATE($A44,AK$2),0),'Cadastro dos Padrões'!$A$2:$V$4400,AK$1,FALSE))</f>
        <v>2</v>
      </c>
      <c r="AL44" s="31">
        <f>IF(VLOOKUP(ROUND(CONCATENATE($A44,AL$2),0),'Cadastro dos Padrões'!$A$2:$V$4400,AL$1,FALSE)="","-",VLOOKUP(ROUND(CONCATENATE($A44,AL$2),0),'Cadastro dos Padrões'!$A$2:$V$4400,AL$1,FALSE))</f>
        <v>2</v>
      </c>
      <c r="AM44" s="31">
        <f>IF(VLOOKUP(ROUND(CONCATENATE($A44,AM$2),0),'Cadastro dos Padrões'!$A$2:$V$4400,AM$1,FALSE)="","-",VLOOKUP(ROUND(CONCATENATE($A44,AM$2),0),'Cadastro dos Padrões'!$A$2:$V$4400,AM$1,FALSE))</f>
        <v>1000000</v>
      </c>
      <c r="AN44" s="31" t="str">
        <f>IF(VLOOKUP(ROUND(CONCATENATE($A44,AN$2),0),'Cadastro dos Padrões'!$A$2:$V$4400,AN$1,FALSE)="","-",VLOOKUP(ROUND(CONCATENATE($A44,AN$2),0),'Cadastro dos Padrões'!$A$2:$V$4400,AN$1,FALSE))</f>
        <v>-</v>
      </c>
      <c r="AO44" s="31" t="str">
        <f>IF(VLOOKUP(ROUND(CONCATENATE($A44,AO$2),0),'Cadastro dos Padrões'!$A$2:$V$4400,AO$1,FALSE)="","-",VLOOKUP(ROUND(CONCATENATE($A44,AO$2),0),'Cadastro dos Padrões'!$A$2:$V$4400,AO$1,FALSE))</f>
        <v>-</v>
      </c>
      <c r="AP44" s="31" t="str">
        <f>IF(VLOOKUP(ROUND(CONCATENATE($A44,AP$2),0),'Cadastro dos Padrões'!$A$2:$V$4400,AP$1,FALSE)="","-",VLOOKUP(ROUND(CONCATENATE($A44,AP$2),0),'Cadastro dos Padrões'!$A$2:$V$4400,AP$1,FALSE))</f>
        <v>-</v>
      </c>
      <c r="AQ44" s="31" t="str">
        <f>IF(VLOOKUP(ROUND(CONCATENATE($A44,AQ$2),0),'Cadastro dos Padrões'!$A$2:$V$4400,AQ$1,FALSE)="","-",VLOOKUP(ROUND(CONCATENATE($A44,AQ$2),0),'Cadastro dos Padrões'!$A$2:$V$4400,AQ$1,FALSE))</f>
        <v>-</v>
      </c>
      <c r="AR44" s="31" t="str">
        <f>IF(VLOOKUP(ROUND(CONCATENATE($A44,AR$2),0),'Cadastro dos Padrões'!$A$2:$V$4400,AR$1,FALSE)="","-",VLOOKUP(ROUND(CONCATENATE($A44,AR$2),0),'Cadastro dos Padrões'!$A$2:$V$4400,AR$1,FALSE))</f>
        <v>-</v>
      </c>
      <c r="AS44" s="31" t="str">
        <f>IF(VLOOKUP(ROUND(CONCATENATE($A44,AS$2),0),'Cadastro dos Padrões'!$A$2:$V$4400,AS$1,FALSE)="","-",VLOOKUP(ROUND(CONCATENATE($A44,AS$2),0),'Cadastro dos Padrões'!$A$2:$V$4400,AS$1,FALSE))</f>
        <v>-</v>
      </c>
      <c r="AT44" s="31" t="str">
        <f>IF(VLOOKUP(ROUND(CONCATENATE($A44,AT$2),0),'Cadastro dos Padrões'!$A$2:$V$4400,AT$1,FALSE)="","-",VLOOKUP(ROUND(CONCATENATE($A44,AT$2),0),'Cadastro dos Padrões'!$A$2:$V$4400,AT$1,FALSE))</f>
        <v>-</v>
      </c>
      <c r="AU44" s="31" t="str">
        <f>IF(VLOOKUP(ROUND(CONCATENATE($A44,AU$2),0),'Cadastro dos Padrões'!$A$2:$V$4400,AU$1,FALSE)="","-",VLOOKUP(ROUND(CONCATENATE($A44,AU$2),0),'Cadastro dos Padrões'!$A$2:$V$4400,AU$1,FALSE))</f>
        <v>-</v>
      </c>
      <c r="AV44" s="31" t="str">
        <f>IF(VLOOKUP(ROUND(CONCATENATE($A44,AV$2),0),'Cadastro dos Padrões'!$A$2:$V$4400,AV$1,FALSE)="","-",VLOOKUP(ROUND(CONCATENATE($A44,AV$2),0),'Cadastro dos Padrões'!$A$2:$V$4400,AV$1,FALSE))</f>
        <v>-</v>
      </c>
      <c r="AW44" s="31" t="str">
        <f>IF(VLOOKUP(ROUND(CONCATENATE($A44,AW$2),0),'Cadastro dos Padrões'!$A$2:$V$4400,AW$1,FALSE)="","-",VLOOKUP(ROUND(CONCATENATE($A44,AW$2),0),'Cadastro dos Padrões'!$A$2:$V$4400,AW$1,FALSE))</f>
        <v>-</v>
      </c>
      <c r="AX44" s="31" t="str">
        <f>IF(VLOOKUP(ROUND(CONCATENATE($A44,AX$2),0),'Cadastro dos Padrões'!$A$2:$V$4400,AX$1,FALSE)="","-",VLOOKUP(ROUND(CONCATENATE($A44,AX$2),0),'Cadastro dos Padrões'!$A$2:$V$4400,AX$1,FALSE))</f>
        <v>-</v>
      </c>
      <c r="AY44" s="31" t="str">
        <f>IF(VLOOKUP(ROUND(CONCATENATE($A44,AY$2),0),'Cadastro dos Padrões'!$A$2:$V$4400,AY$1,FALSE)="","-",VLOOKUP(ROUND(CONCATENATE($A44,AY$2),0),'Cadastro dos Padrões'!$A$2:$V$4400,AY$1,FALSE))</f>
        <v>-</v>
      </c>
      <c r="AZ44" s="31" t="str">
        <f>IF(VLOOKUP(ROUND(CONCATENATE($A44,AZ$2),0),'Cadastro dos Padrões'!$A$2:$V$4400,AZ$1,FALSE)="","-",VLOOKUP(ROUND(CONCATENATE($A44,AZ$2),0),'Cadastro dos Padrões'!$A$2:$V$4400,AZ$1,FALSE))</f>
        <v>-</v>
      </c>
      <c r="BA44" s="31" t="str">
        <f>IF(VLOOKUP(ROUND(CONCATENATE($A44,BA$2),0),'Cadastro dos Padrões'!$A$2:$V$4400,BA$1,FALSE)="","-",VLOOKUP(ROUND(CONCATENATE($A44,BA$2),0),'Cadastro dos Padrões'!$A$2:$V$4400,BA$1,FALSE))</f>
        <v>-</v>
      </c>
      <c r="BB44" s="31" t="str">
        <f>IF(VLOOKUP(ROUND(CONCATENATE($A44,BB$2),0),'Cadastro dos Padrões'!$A$2:$V$4400,BB$1,FALSE)="","-",VLOOKUP(ROUND(CONCATENATE($A44,BB$2),0),'Cadastro dos Padrões'!$A$2:$V$4400,BB$1,FALSE))</f>
        <v>-</v>
      </c>
      <c r="BC44" s="31" t="str">
        <f>IF(VLOOKUP(ROUND(CONCATENATE($A44,BC$2),0),'Cadastro dos Padrões'!$A$2:$V$4400,BC$1,FALSE)="","-",VLOOKUP(ROUND(CONCATENATE($A44,BC$2),0),'Cadastro dos Padrões'!$A$2:$V$4400,BC$1,FALSE))</f>
        <v>-</v>
      </c>
      <c r="BD44" s="31" t="str">
        <f>IF(VLOOKUP(ROUND(CONCATENATE($A44,BD$2),0),'Cadastro dos Padrões'!$A$2:$V$4400,BD$1,FALSE)="","-",VLOOKUP(ROUND(CONCATENATE($A44,BD$2),0),'Cadastro dos Padrões'!$A$2:$V$4400,BD$1,FALSE))</f>
        <v>-</v>
      </c>
      <c r="BE44" s="31" t="str">
        <f>IF(VLOOKUP(ROUND(CONCATENATE($A44,BE$2),0),'Cadastro dos Padrões'!$A$2:$V$4400,BE$1,FALSE)="","-",VLOOKUP(ROUND(CONCATENATE($A44,BE$2),0),'Cadastro dos Padrões'!$A$2:$V$4400,BE$1,FALSE))</f>
        <v>-</v>
      </c>
      <c r="BF44" s="31" t="str">
        <f>IF(VLOOKUP(ROUND(CONCATENATE($A44,BF$2),0),'Cadastro dos Padrões'!$A$2:$V$4400,BF$1,FALSE)="","-",VLOOKUP(ROUND(CONCATENATE($A44,BF$2),0),'Cadastro dos Padrões'!$A$2:$V$4400,BF$1,FALSE))</f>
        <v>-</v>
      </c>
      <c r="BG44" s="31" t="str">
        <f>IF(VLOOKUP(ROUND(CONCATENATE($A44,BG$2),0),'Cadastro dos Padrões'!$A$2:$V$4400,BG$1,FALSE)="","-",VLOOKUP(ROUND(CONCATENATE($A44,BG$2),0),'Cadastro dos Padrões'!$A$2:$V$4400,BG$1,FALSE))</f>
        <v>-</v>
      </c>
      <c r="BH44" s="31" t="str">
        <f>IF(VLOOKUP(ROUND(CONCATENATE($A44,BH$2),0),'Cadastro dos Padrões'!$A$2:$V$4400,BH$1,FALSE)="","-",VLOOKUP(ROUND(CONCATENATE($A44,BH$2),0),'Cadastro dos Padrões'!$A$2:$V$4400,BH$1,FALSE))</f>
        <v>-</v>
      </c>
      <c r="BI44" s="31" t="str">
        <f>IF(VLOOKUP(ROUND(CONCATENATE($A44,BI$2),0),'Cadastro dos Padrões'!$A$2:$V$4400,BI$1,FALSE)="","-",VLOOKUP(ROUND(CONCATENATE($A44,BI$2),0),'Cadastro dos Padrões'!$A$2:$V$4400,BI$1,FALSE))</f>
        <v>-</v>
      </c>
      <c r="BJ44" s="31" t="str">
        <f>IF(VLOOKUP(ROUND(CONCATENATE($A44,BJ$2),0),'Cadastro dos Padrões'!$A$2:$V$4400,BJ$1,FALSE)="","-",VLOOKUP(ROUND(CONCATENATE($A44,BJ$2),0),'Cadastro dos Padrões'!$A$2:$V$4400,BJ$1,FALSE))</f>
        <v>-</v>
      </c>
      <c r="BK44" s="31" t="str">
        <f>IF(VLOOKUP(ROUND(CONCATENATE($A44,BK$2),0),'Cadastro dos Padrões'!$A$2:$V$4400,BK$1,FALSE)="","-",VLOOKUP(ROUND(CONCATENATE($A44,BK$2),0),'Cadastro dos Padrões'!$A$2:$V$4400,BK$1,FALSE))</f>
        <v>-</v>
      </c>
      <c r="BL44" s="31" t="str">
        <f>IF(VLOOKUP(ROUND(CONCATENATE($A44,BL$2),0),'Cadastro dos Padrões'!$A$2:$V$4400,BL$1,FALSE)="","-",VLOOKUP(ROUND(CONCATENATE($A44,BL$2),0),'Cadastro dos Padrões'!$A$2:$V$4400,BL$1,FALSE))</f>
        <v>-</v>
      </c>
      <c r="BM44" s="31" t="str">
        <f>IF(VLOOKUP(ROUND(CONCATENATE($A44,BM$2),0),'Cadastro dos Padrões'!$A$2:$V$4400,BM$1,FALSE)="","-",VLOOKUP(ROUND(CONCATENATE($A44,BM$2),0),'Cadastro dos Padrões'!$A$2:$V$4400,BM$1,FALSE))</f>
        <v>-</v>
      </c>
      <c r="BN44" s="31" t="str">
        <f>IF(VLOOKUP(ROUND(CONCATENATE($A44,BN$2),0),'Cadastro dos Padrões'!$A$2:$V$4400,BN$1,FALSE)="","-",VLOOKUP(ROUND(CONCATENATE($A44,BN$2),0),'Cadastro dos Padrões'!$A$2:$V$4400,BN$1,FALSE))</f>
        <v>-</v>
      </c>
      <c r="BO44" s="31" t="str">
        <f>IF(VLOOKUP(ROUND(CONCATENATE($A44,BO$2),0),'Cadastro dos Padrões'!$A$2:$V$4400,BO$1,FALSE)="","-",VLOOKUP(ROUND(CONCATENATE($A44,BO$2),0),'Cadastro dos Padrões'!$A$2:$V$4400,BO$1,FALSE))</f>
        <v>-</v>
      </c>
    </row>
    <row r="45" spans="1:67" x14ac:dyDescent="0.3">
      <c r="A45" s="6">
        <f t="shared" si="52"/>
        <v>40</v>
      </c>
      <c r="B45" s="31" t="str">
        <f>IF(VLOOKUP(ROUND(CONCATENATE($A45,B$2),0),'Cadastro dos Padrões'!$A$2:$V$4400,B$1,FALSE)="","-",VLOOKUP(ROUND(CONCATENATE($A45,B$2),0),'Cadastro dos Padrões'!$A$2:$V$4400,B$1,FALSE))</f>
        <v>EL-950</v>
      </c>
      <c r="C45" s="31" t="str">
        <f>IF($B45="-","-",VLOOKUP(ROUND(CONCATENATE($A45,C$2),0),'Cadastro dos Padrões'!$A$2:$V$4400,C$1,FALSE))</f>
        <v>Termohigrômetro Digital</v>
      </c>
      <c r="D45" s="31">
        <f>IF($B45="-","-",VLOOKUP(ROUND(CONCATENATE($A45,D$2),0),'Cadastro dos Padrões'!$A$2:$V$4400,D$1,FALSE))</f>
        <v>20</v>
      </c>
      <c r="E45" s="31" t="str">
        <f>IF($B45="-","-",VLOOKUP(ROUND(CONCATENATE($A45,E$2),0),'Cadastro dos Padrões'!$A$2:$V$4400,E$1,FALSE))</f>
        <v>Elus</v>
      </c>
      <c r="F45" s="31" t="str">
        <f>IF($B45="-","-",VLOOKUP(ROUND(CONCATENATE($A45,F$2),0),'Cadastro dos Padrões'!$A$2:$V$4400,F$1,FALSE))</f>
        <v>RBC - CAL 0439</v>
      </c>
      <c r="G45" s="31" t="str">
        <f>IF($B45="-","-",VLOOKUP(ROUND(CONCATENATE($A45,G$2),0),'Cadastro dos Padrões'!$A$2:$V$4400,G$1,FALSE))</f>
        <v>R0040/20</v>
      </c>
      <c r="H45" s="32">
        <f>IF($B45="-","-",VLOOKUP(ROUND(CONCATENATE($A45,H$2),0),'Cadastro dos Padrões'!$A$2:$V$4400,H$1,FALSE))</f>
        <v>43892</v>
      </c>
      <c r="I45" s="33">
        <f>IF($B45="-","-",VLOOKUP(ROUND(CONCATENATE($A45,I$2),0),'Cadastro dos Padrões'!$A$2:$V$4400,I$1,FALSE))</f>
        <v>44286</v>
      </c>
      <c r="J45" s="31" t="str">
        <f>IF($B45="-","-",VLOOKUP(ROUND(CONCATENATE($A45,J$2),0),'Cadastro dos Padrões'!$A$2:$V$4400,J$1,FALSE))</f>
        <v>%ur</v>
      </c>
      <c r="K45" s="31">
        <f>IF($B45="-","-",VLOOKUP(ROUND(CONCATENATE($A45,K$2),0),'Cadastro dos Padrões'!$A$2:$V$4400,K$1,FALSE))</f>
        <v>30</v>
      </c>
      <c r="L45" s="31">
        <f>IF($B45="-","-",VLOOKUP(ROUND(CONCATENATE($A45,L$2),0),'Cadastro dos Padrões'!$A$2:$V$4400,L$1,FALSE))</f>
        <v>80</v>
      </c>
      <c r="M45" s="31">
        <f>IF($B45="-","-",VLOOKUP(ROUND(CONCATENATE($A45,M$2),0),'Cadastro dos Padrões'!$A$2:$V$4400,M$1,FALSE))</f>
        <v>1</v>
      </c>
      <c r="N45" s="31">
        <f>IF($B45="-","-",VLOOKUP(ROUND(CONCATENATE($A45,N$2),0),'Cadastro dos Padrões'!$A$2:$V$4400,N$1,FALSE))</f>
        <v>4</v>
      </c>
      <c r="O45" s="31">
        <f>IF($B45="-","-",VLOOKUP(ROUND(CONCATENATE($A45,O$2),0),'Cadastro dos Padrões'!$A$2:$V$4400,O$1,FALSE))</f>
        <v>2</v>
      </c>
      <c r="P45" s="31">
        <f>IF($B45="-","-",VLOOKUP(ROUND(CONCATENATE($A45,P$2),0),'Cadastro dos Padrões'!$A$2:$V$4400,P$1,FALSE))</f>
        <v>4</v>
      </c>
      <c r="Q45" s="31">
        <f>IF($B45="-","-",VLOOKUP(ROUND(CONCATENATE($A45,Q$2),0),'Cadastro dos Padrões'!$A$2:$V$4400,Q$1,FALSE))</f>
        <v>1.1270711351480074</v>
      </c>
      <c r="R45" s="31">
        <f>IF($B45="-","-",VLOOKUP(ROUND(CONCATENATE($A45,R$2),0),'Cadastro dos Padrões'!$A$2:$V$4400,R$1,FALSE))</f>
        <v>1</v>
      </c>
      <c r="S45" s="31">
        <f>IF($B45="-","-",VLOOKUP(ROUND(CONCATENATE($A45,S$2),0),'Cadastro dos Padrões'!$A$2:$V$4400,S$1,FALSE))</f>
        <v>0</v>
      </c>
      <c r="T45" s="31">
        <f>IF($B45="-","-",VLOOKUP(ROUND(CONCATENATE($A45,T$2),0),'Cadastro dos Padrões'!$A$2:$V$4400,T$1,FALSE))</f>
        <v>0</v>
      </c>
      <c r="U45" s="31">
        <f>IF($B45="-","-",VLOOKUP(ROUND(CONCATENATE($A45,U$2),0),'Cadastro dos Padrões'!$A$2:$V$4400,U$1,FALSE))</f>
        <v>0</v>
      </c>
      <c r="V45" s="31">
        <f>IF($B45="-","-",VLOOKUP(ROUND(CONCATENATE($A45,V$2),0),'Cadastro dos Padrões'!$A$2:$V$4400,V$1,FALSE))</f>
        <v>0</v>
      </c>
      <c r="W45" s="31">
        <f>IF($B45="-","-",VLOOKUP(ROUND(CONCATENATE($A45,W$2),0),'Cadastro dos Padrões'!$A$2:$V$4400,W$1,FALSE))</f>
        <v>0</v>
      </c>
      <c r="X45" s="31">
        <f>IF($B45="-","-",VLOOKUP(ROUND(CONCATENATE($A45,X$2),0),'Cadastro dos Padrões'!$A$2:$V$4400,X$1,FALSE))</f>
        <v>0</v>
      </c>
      <c r="Y45" s="31">
        <f>IF($B45="-","-",VLOOKUP(ROUND(CONCATENATE($A45,Y$2),0),'Cadastro dos Padrões'!$A$2:$V$4400,Y$1,FALSE))</f>
        <v>0</v>
      </c>
      <c r="Z45" s="31">
        <f>IF($B45="-","-",VLOOKUP(ROUND(CONCATENATE($A45,Z$2),0),'Cadastro dos Padrões'!$A$2:$V$4400,Z$1,FALSE))</f>
        <v>1.1573747353563866</v>
      </c>
      <c r="AA45" s="31">
        <f>IF($B45="-","-",VLOOKUP(ROUND(CONCATENATE($A45,AA$2),0),'Cadastro dos Padrões'!$A$2:$V$4400,AA$1,FALSE))</f>
        <v>-7.6217360621030181</v>
      </c>
      <c r="AB45" s="31">
        <f>IF(VLOOKUP(ROUND(CONCATENATE($A45,AB$2),0),'Cadastro dos Padrões'!$A$2:$V$4400,AB$1,FALSE)="","-",VLOOKUP(ROUND(CONCATENATE($A45,AB$2),0),'Cadastro dos Padrões'!$A$2:$V$4400,AB$1,FALSE))</f>
        <v>30</v>
      </c>
      <c r="AC45" s="31">
        <f>IF(VLOOKUP(ROUND(CONCATENATE($A45,AC$2),0),'Cadastro dos Padrões'!$A$2:$V$4400,AC$1,FALSE)="","-",VLOOKUP(ROUND(CONCATENATE($A45,AC$2),0),'Cadastro dos Padrões'!$A$2:$V$4400,AC$1,FALSE))</f>
        <v>2</v>
      </c>
      <c r="AD45" s="31">
        <f>IF(VLOOKUP(ROUND(CONCATENATE($A45,AD$2),0),'Cadastro dos Padrões'!$A$2:$V$4400,AD$1,FALSE)="","-",VLOOKUP(ROUND(CONCATENATE($A45,AD$2),0),'Cadastro dos Padrões'!$A$2:$V$4400,AD$1,FALSE))</f>
        <v>2</v>
      </c>
      <c r="AE45" s="31">
        <f>IF(VLOOKUP(ROUND(CONCATENATE($A45,AE$2),0),'Cadastro dos Padrões'!$A$2:$V$4400,AE$1,FALSE)="","-",VLOOKUP(ROUND(CONCATENATE($A45,AE$2),0),'Cadastro dos Padrões'!$A$2:$V$4400,AE$1,FALSE))</f>
        <v>1000000</v>
      </c>
      <c r="AF45" s="31">
        <f>IF(VLOOKUP(ROUND(CONCATENATE($A45,AF$2),0),'Cadastro dos Padrões'!$A$2:$V$4400,AF$1,FALSE)="","-",VLOOKUP(ROUND(CONCATENATE($A45,AF$2),0),'Cadastro dos Padrões'!$A$2:$V$4400,AF$1,FALSE))</f>
        <v>50</v>
      </c>
      <c r="AG45" s="31">
        <f>IF(VLOOKUP(ROUND(CONCATENATE($A45,AG$2),0),'Cadastro dos Padrões'!$A$2:$V$4400,AG$1,FALSE)="","-",VLOOKUP(ROUND(CONCATENATE($A45,AG$2),0),'Cadastro dos Padrões'!$A$2:$V$4400,AG$1,FALSE))</f>
        <v>2</v>
      </c>
      <c r="AH45" s="31">
        <f>IF(VLOOKUP(ROUND(CONCATENATE($A45,AH$2),0),'Cadastro dos Padrões'!$A$2:$V$4400,AH$1,FALSE)="","-",VLOOKUP(ROUND(CONCATENATE($A45,AH$2),0),'Cadastro dos Padrões'!$A$2:$V$4400,AH$1,FALSE))</f>
        <v>2</v>
      </c>
      <c r="AI45" s="31">
        <f>IF(VLOOKUP(ROUND(CONCATENATE($A45,AI$2),0),'Cadastro dos Padrões'!$A$2:$V$4400,AI$1,FALSE)="","-",VLOOKUP(ROUND(CONCATENATE($A45,AI$2),0),'Cadastro dos Padrões'!$A$2:$V$4400,AI$1,FALSE))</f>
        <v>1000000</v>
      </c>
      <c r="AJ45" s="31">
        <f>IF(VLOOKUP(ROUND(CONCATENATE($A45,AJ$2),0),'Cadastro dos Padrões'!$A$2:$V$4400,AJ$1,FALSE)="","-",VLOOKUP(ROUND(CONCATENATE($A45,AJ$2),0),'Cadastro dos Padrões'!$A$2:$V$4400,AJ$1,FALSE))</f>
        <v>80</v>
      </c>
      <c r="AK45" s="31">
        <f>IF(VLOOKUP(ROUND(CONCATENATE($A45,AK$2),0),'Cadastro dos Padrões'!$A$2:$V$4400,AK$1,FALSE)="","-",VLOOKUP(ROUND(CONCATENATE($A45,AK$2),0),'Cadastro dos Padrões'!$A$2:$V$4400,AK$1,FALSE))</f>
        <v>2</v>
      </c>
      <c r="AL45" s="31">
        <f>IF(VLOOKUP(ROUND(CONCATENATE($A45,AL$2),0),'Cadastro dos Padrões'!$A$2:$V$4400,AL$1,FALSE)="","-",VLOOKUP(ROUND(CONCATENATE($A45,AL$2),0),'Cadastro dos Padrões'!$A$2:$V$4400,AL$1,FALSE))</f>
        <v>2</v>
      </c>
      <c r="AM45" s="31">
        <f>IF(VLOOKUP(ROUND(CONCATENATE($A45,AM$2),0),'Cadastro dos Padrões'!$A$2:$V$4400,AM$1,FALSE)="","-",VLOOKUP(ROUND(CONCATENATE($A45,AM$2),0),'Cadastro dos Padrões'!$A$2:$V$4400,AM$1,FALSE))</f>
        <v>1000000</v>
      </c>
      <c r="AN45" s="31" t="str">
        <f>IF(VLOOKUP(ROUND(CONCATENATE($A45,AN$2),0),'Cadastro dos Padrões'!$A$2:$V$4400,AN$1,FALSE)="","-",VLOOKUP(ROUND(CONCATENATE($A45,AN$2),0),'Cadastro dos Padrões'!$A$2:$V$4400,AN$1,FALSE))</f>
        <v>-</v>
      </c>
      <c r="AO45" s="31" t="str">
        <f>IF(VLOOKUP(ROUND(CONCATENATE($A45,AO$2),0),'Cadastro dos Padrões'!$A$2:$V$4400,AO$1,FALSE)="","-",VLOOKUP(ROUND(CONCATENATE($A45,AO$2),0),'Cadastro dos Padrões'!$A$2:$V$4400,AO$1,FALSE))</f>
        <v>-</v>
      </c>
      <c r="AP45" s="31" t="str">
        <f>IF(VLOOKUP(ROUND(CONCATENATE($A45,AP$2),0),'Cadastro dos Padrões'!$A$2:$V$4400,AP$1,FALSE)="","-",VLOOKUP(ROUND(CONCATENATE($A45,AP$2),0),'Cadastro dos Padrões'!$A$2:$V$4400,AP$1,FALSE))</f>
        <v>-</v>
      </c>
      <c r="AQ45" s="31" t="str">
        <f>IF(VLOOKUP(ROUND(CONCATENATE($A45,AQ$2),0),'Cadastro dos Padrões'!$A$2:$V$4400,AQ$1,FALSE)="","-",VLOOKUP(ROUND(CONCATENATE($A45,AQ$2),0),'Cadastro dos Padrões'!$A$2:$V$4400,AQ$1,FALSE))</f>
        <v>-</v>
      </c>
      <c r="AR45" s="31" t="str">
        <f>IF(VLOOKUP(ROUND(CONCATENATE($A45,AR$2),0),'Cadastro dos Padrões'!$A$2:$V$4400,AR$1,FALSE)="","-",VLOOKUP(ROUND(CONCATENATE($A45,AR$2),0),'Cadastro dos Padrões'!$A$2:$V$4400,AR$1,FALSE))</f>
        <v>-</v>
      </c>
      <c r="AS45" s="31" t="str">
        <f>IF(VLOOKUP(ROUND(CONCATENATE($A45,AS$2),0),'Cadastro dos Padrões'!$A$2:$V$4400,AS$1,FALSE)="","-",VLOOKUP(ROUND(CONCATENATE($A45,AS$2),0),'Cadastro dos Padrões'!$A$2:$V$4400,AS$1,FALSE))</f>
        <v>-</v>
      </c>
      <c r="AT45" s="31" t="str">
        <f>IF(VLOOKUP(ROUND(CONCATENATE($A45,AT$2),0),'Cadastro dos Padrões'!$A$2:$V$4400,AT$1,FALSE)="","-",VLOOKUP(ROUND(CONCATENATE($A45,AT$2),0),'Cadastro dos Padrões'!$A$2:$V$4400,AT$1,FALSE))</f>
        <v>-</v>
      </c>
      <c r="AU45" s="31" t="str">
        <f>IF(VLOOKUP(ROUND(CONCATENATE($A45,AU$2),0),'Cadastro dos Padrões'!$A$2:$V$4400,AU$1,FALSE)="","-",VLOOKUP(ROUND(CONCATENATE($A45,AU$2),0),'Cadastro dos Padrões'!$A$2:$V$4400,AU$1,FALSE))</f>
        <v>-</v>
      </c>
      <c r="AV45" s="31" t="str">
        <f>IF(VLOOKUP(ROUND(CONCATENATE($A45,AV$2),0),'Cadastro dos Padrões'!$A$2:$V$4400,AV$1,FALSE)="","-",VLOOKUP(ROUND(CONCATENATE($A45,AV$2),0),'Cadastro dos Padrões'!$A$2:$V$4400,AV$1,FALSE))</f>
        <v>-</v>
      </c>
      <c r="AW45" s="31" t="str">
        <f>IF(VLOOKUP(ROUND(CONCATENATE($A45,AW$2),0),'Cadastro dos Padrões'!$A$2:$V$4400,AW$1,FALSE)="","-",VLOOKUP(ROUND(CONCATENATE($A45,AW$2),0),'Cadastro dos Padrões'!$A$2:$V$4400,AW$1,FALSE))</f>
        <v>-</v>
      </c>
      <c r="AX45" s="31" t="str">
        <f>IF(VLOOKUP(ROUND(CONCATENATE($A45,AX$2),0),'Cadastro dos Padrões'!$A$2:$V$4400,AX$1,FALSE)="","-",VLOOKUP(ROUND(CONCATENATE($A45,AX$2),0),'Cadastro dos Padrões'!$A$2:$V$4400,AX$1,FALSE))</f>
        <v>-</v>
      </c>
      <c r="AY45" s="31" t="str">
        <f>IF(VLOOKUP(ROUND(CONCATENATE($A45,AY$2),0),'Cadastro dos Padrões'!$A$2:$V$4400,AY$1,FALSE)="","-",VLOOKUP(ROUND(CONCATENATE($A45,AY$2),0),'Cadastro dos Padrões'!$A$2:$V$4400,AY$1,FALSE))</f>
        <v>-</v>
      </c>
      <c r="AZ45" s="31" t="str">
        <f>IF(VLOOKUP(ROUND(CONCATENATE($A45,AZ$2),0),'Cadastro dos Padrões'!$A$2:$V$4400,AZ$1,FALSE)="","-",VLOOKUP(ROUND(CONCATENATE($A45,AZ$2),0),'Cadastro dos Padrões'!$A$2:$V$4400,AZ$1,FALSE))</f>
        <v>-</v>
      </c>
      <c r="BA45" s="31" t="str">
        <f>IF(VLOOKUP(ROUND(CONCATENATE($A45,BA$2),0),'Cadastro dos Padrões'!$A$2:$V$4400,BA$1,FALSE)="","-",VLOOKUP(ROUND(CONCATENATE($A45,BA$2),0),'Cadastro dos Padrões'!$A$2:$V$4400,BA$1,FALSE))</f>
        <v>-</v>
      </c>
      <c r="BB45" s="31" t="str">
        <f>IF(VLOOKUP(ROUND(CONCATENATE($A45,BB$2),0),'Cadastro dos Padrões'!$A$2:$V$4400,BB$1,FALSE)="","-",VLOOKUP(ROUND(CONCATENATE($A45,BB$2),0),'Cadastro dos Padrões'!$A$2:$V$4400,BB$1,FALSE))</f>
        <v>-</v>
      </c>
      <c r="BC45" s="31" t="str">
        <f>IF(VLOOKUP(ROUND(CONCATENATE($A45,BC$2),0),'Cadastro dos Padrões'!$A$2:$V$4400,BC$1,FALSE)="","-",VLOOKUP(ROUND(CONCATENATE($A45,BC$2),0),'Cadastro dos Padrões'!$A$2:$V$4400,BC$1,FALSE))</f>
        <v>-</v>
      </c>
      <c r="BD45" s="31" t="str">
        <f>IF(VLOOKUP(ROUND(CONCATENATE($A45,BD$2),0),'Cadastro dos Padrões'!$A$2:$V$4400,BD$1,FALSE)="","-",VLOOKUP(ROUND(CONCATENATE($A45,BD$2),0),'Cadastro dos Padrões'!$A$2:$V$4400,BD$1,FALSE))</f>
        <v>-</v>
      </c>
      <c r="BE45" s="31" t="str">
        <f>IF(VLOOKUP(ROUND(CONCATENATE($A45,BE$2),0),'Cadastro dos Padrões'!$A$2:$V$4400,BE$1,FALSE)="","-",VLOOKUP(ROUND(CONCATENATE($A45,BE$2),0),'Cadastro dos Padrões'!$A$2:$V$4400,BE$1,FALSE))</f>
        <v>-</v>
      </c>
      <c r="BF45" s="31" t="str">
        <f>IF(VLOOKUP(ROUND(CONCATENATE($A45,BF$2),0),'Cadastro dos Padrões'!$A$2:$V$4400,BF$1,FALSE)="","-",VLOOKUP(ROUND(CONCATENATE($A45,BF$2),0),'Cadastro dos Padrões'!$A$2:$V$4400,BF$1,FALSE))</f>
        <v>-</v>
      </c>
      <c r="BG45" s="31" t="str">
        <f>IF(VLOOKUP(ROUND(CONCATENATE($A45,BG$2),0),'Cadastro dos Padrões'!$A$2:$V$4400,BG$1,FALSE)="","-",VLOOKUP(ROUND(CONCATENATE($A45,BG$2),0),'Cadastro dos Padrões'!$A$2:$V$4400,BG$1,FALSE))</f>
        <v>-</v>
      </c>
      <c r="BH45" s="31" t="str">
        <f>IF(VLOOKUP(ROUND(CONCATENATE($A45,BH$2),0),'Cadastro dos Padrões'!$A$2:$V$4400,BH$1,FALSE)="","-",VLOOKUP(ROUND(CONCATENATE($A45,BH$2),0),'Cadastro dos Padrões'!$A$2:$V$4400,BH$1,FALSE))</f>
        <v>-</v>
      </c>
      <c r="BI45" s="31" t="str">
        <f>IF(VLOOKUP(ROUND(CONCATENATE($A45,BI$2),0),'Cadastro dos Padrões'!$A$2:$V$4400,BI$1,FALSE)="","-",VLOOKUP(ROUND(CONCATENATE($A45,BI$2),0),'Cadastro dos Padrões'!$A$2:$V$4400,BI$1,FALSE))</f>
        <v>-</v>
      </c>
      <c r="BJ45" s="31" t="str">
        <f>IF(VLOOKUP(ROUND(CONCATENATE($A45,BJ$2),0),'Cadastro dos Padrões'!$A$2:$V$4400,BJ$1,FALSE)="","-",VLOOKUP(ROUND(CONCATENATE($A45,BJ$2),0),'Cadastro dos Padrões'!$A$2:$V$4400,BJ$1,FALSE))</f>
        <v>-</v>
      </c>
      <c r="BK45" s="31" t="str">
        <f>IF(VLOOKUP(ROUND(CONCATENATE($A45,BK$2),0),'Cadastro dos Padrões'!$A$2:$V$4400,BK$1,FALSE)="","-",VLOOKUP(ROUND(CONCATENATE($A45,BK$2),0),'Cadastro dos Padrões'!$A$2:$V$4400,BK$1,FALSE))</f>
        <v>-</v>
      </c>
      <c r="BL45" s="31" t="str">
        <f>IF(VLOOKUP(ROUND(CONCATENATE($A45,BL$2),0),'Cadastro dos Padrões'!$A$2:$V$4400,BL$1,FALSE)="","-",VLOOKUP(ROUND(CONCATENATE($A45,BL$2),0),'Cadastro dos Padrões'!$A$2:$V$4400,BL$1,FALSE))</f>
        <v>-</v>
      </c>
      <c r="BM45" s="31" t="str">
        <f>IF(VLOOKUP(ROUND(CONCATENATE($A45,BM$2),0),'Cadastro dos Padrões'!$A$2:$V$4400,BM$1,FALSE)="","-",VLOOKUP(ROUND(CONCATENATE($A45,BM$2),0),'Cadastro dos Padrões'!$A$2:$V$4400,BM$1,FALSE))</f>
        <v>-</v>
      </c>
      <c r="BN45" s="31" t="str">
        <f>IF(VLOOKUP(ROUND(CONCATENATE($A45,BN$2),0),'Cadastro dos Padrões'!$A$2:$V$4400,BN$1,FALSE)="","-",VLOOKUP(ROUND(CONCATENATE($A45,BN$2),0),'Cadastro dos Padrões'!$A$2:$V$4400,BN$1,FALSE))</f>
        <v>-</v>
      </c>
      <c r="BO45" s="31" t="str">
        <f>IF(VLOOKUP(ROUND(CONCATENATE($A45,BO$2),0),'Cadastro dos Padrões'!$A$2:$V$4400,BO$1,FALSE)="","-",VLOOKUP(ROUND(CONCATENATE($A45,BO$2),0),'Cadastro dos Padrões'!$A$2:$V$4400,BO$1,FALSE))</f>
        <v>-</v>
      </c>
    </row>
    <row r="46" spans="1:67" x14ac:dyDescent="0.3">
      <c r="A46" s="6">
        <f t="shared" si="52"/>
        <v>41</v>
      </c>
      <c r="B46" s="31" t="str">
        <f>IF(VLOOKUP(ROUND(CONCATENATE($A46,B$2),0),'Cadastro dos Padrões'!$A$2:$V$4400,B$1,FALSE)="","-",VLOOKUP(ROUND(CONCATENATE($A46,B$2),0),'Cadastro dos Padrões'!$A$2:$V$4400,B$1,FALSE))</f>
        <v>E.TH.FS-040</v>
      </c>
      <c r="C46" s="31" t="str">
        <f>IF($B46="-","-",VLOOKUP(ROUND(CONCATENATE($A46,C$2),0),'Cadastro dos Padrões'!$A$2:$V$4400,C$1,FALSE))</f>
        <v>Termohigrômetro Digital</v>
      </c>
      <c r="D46" s="31">
        <f>IF($B46="-","-",VLOOKUP(ROUND(CONCATENATE($A46,D$2),0),'Cadastro dos Padrões'!$A$2:$V$4400,D$1,FALSE))</f>
        <v>20</v>
      </c>
      <c r="E46" s="31" t="str">
        <f>IF($B46="-","-",VLOOKUP(ROUND(CONCATENATE($A46,E$2),0),'Cadastro dos Padrões'!$A$2:$V$4400,E$1,FALSE))</f>
        <v>Elus</v>
      </c>
      <c r="F46" s="31" t="str">
        <f>IF($B46="-","-",VLOOKUP(ROUND(CONCATENATE($A46,F$2),0),'Cadastro dos Padrões'!$A$2:$V$4400,F$1,FALSE))</f>
        <v>RBC - CAL 0439</v>
      </c>
      <c r="G46" s="31" t="str">
        <f>IF($B46="-","-",VLOOKUP(ROUND(CONCATENATE($A46,G$2),0),'Cadastro dos Padrões'!$A$2:$V$4400,G$1,FALSE))</f>
        <v>E0004/26</v>
      </c>
      <c r="H46" s="32">
        <f>IF($B46="-","-",VLOOKUP(ROUND(CONCATENATE($A46,H$2),0),'Cadastro dos Padrões'!$A$2:$V$4400,H$1,FALSE))</f>
        <v>46029</v>
      </c>
      <c r="I46" s="33">
        <f>IF($B46="-","-",VLOOKUP(ROUND(CONCATENATE($A46,I$2),0),'Cadastro dos Padrões'!$A$2:$V$4400,I$1,FALSE))</f>
        <v>46417</v>
      </c>
      <c r="J46" s="31" t="str">
        <f>IF($B46="-","-",VLOOKUP(ROUND(CONCATENATE($A46,J$2),0),'Cadastro dos Padrões'!$A$2:$V$4400,J$1,FALSE))</f>
        <v>%ur</v>
      </c>
      <c r="K46" s="31">
        <f>IF($B46="-","-",VLOOKUP(ROUND(CONCATENATE($A46,K$2),0),'Cadastro dos Padrões'!$A$2:$V$4400,K$1,FALSE))</f>
        <v>30</v>
      </c>
      <c r="L46" s="31">
        <f>IF($B46="-","-",VLOOKUP(ROUND(CONCATENATE($A46,L$2),0),'Cadastro dos Padrões'!$A$2:$V$4400,L$1,FALSE))</f>
        <v>90</v>
      </c>
      <c r="M46" s="31">
        <f>IF($B46="-","-",VLOOKUP(ROUND(CONCATENATE($A46,M$2),0),'Cadastro dos Padrões'!$A$2:$V$4400,M$1,FALSE))</f>
        <v>1</v>
      </c>
      <c r="N46" s="31">
        <f>IF($B46="-","-",VLOOKUP(ROUND(CONCATENATE($A46,N$2),0),'Cadastro dos Padrões'!$A$2:$V$4400,N$1,FALSE))</f>
        <v>2</v>
      </c>
      <c r="O46" s="31">
        <f>IF($B46="-","-",VLOOKUP(ROUND(CONCATENATE($A46,O$2),0),'Cadastro dos Padrões'!$A$2:$V$4400,O$1,FALSE))</f>
        <v>2</v>
      </c>
      <c r="P46" s="31">
        <f>IF($B46="-","-",VLOOKUP(ROUND(CONCATENATE($A46,P$2),0),'Cadastro dos Padrões'!$A$2:$V$4400,P$1,FALSE))</f>
        <v>6</v>
      </c>
      <c r="Q46" s="31">
        <f>IF($B46="-","-",VLOOKUP(ROUND(CONCATENATE($A46,Q$2),0),'Cadastro dos Padrões'!$A$2:$V$4400,Q$1,FALSE))</f>
        <v>0.43842363202141055</v>
      </c>
      <c r="R46" s="31">
        <f>IF($B46="-","-",VLOOKUP(ROUND(CONCATENATE($A46,R$2),0),'Cadastro dos Padrões'!$A$2:$V$4400,R$1,FALSE))</f>
        <v>2</v>
      </c>
      <c r="S46" s="31">
        <f>IF($B46="-","-",VLOOKUP(ROUND(CONCATENATE($A46,S$2),0),'Cadastro dos Padrões'!$A$2:$V$4400,S$1,FALSE))</f>
        <v>0</v>
      </c>
      <c r="T46" s="31">
        <f>IF($B46="-","-",VLOOKUP(ROUND(CONCATENATE($A46,T$2),0),'Cadastro dos Padrões'!$A$2:$V$4400,T$1,FALSE))</f>
        <v>0</v>
      </c>
      <c r="U46" s="31">
        <f>IF($B46="-","-",VLOOKUP(ROUND(CONCATENATE($A46,U$2),0),'Cadastro dos Padrões'!$A$2:$V$4400,U$1,FALSE))</f>
        <v>0</v>
      </c>
      <c r="V46" s="31">
        <f>IF($B46="-","-",VLOOKUP(ROUND(CONCATENATE($A46,V$2),0),'Cadastro dos Padrões'!$A$2:$V$4400,V$1,FALSE))</f>
        <v>0</v>
      </c>
      <c r="W46" s="31">
        <f>IF($B46="-","-",VLOOKUP(ROUND(CONCATENATE($A46,W$2),0),'Cadastro dos Padrões'!$A$2:$V$4400,W$1,FALSE))</f>
        <v>0</v>
      </c>
      <c r="X46" s="31">
        <f>IF($B46="-","-",VLOOKUP(ROUND(CONCATENATE($A46,X$2),0),'Cadastro dos Padrões'!$A$2:$V$4400,X$1,FALSE))</f>
        <v>0</v>
      </c>
      <c r="Y46" s="31">
        <f>IF($B46="-","-",VLOOKUP(ROUND(CONCATENATE($A46,Y$2),0),'Cadastro dos Padrões'!$A$2:$V$4400,Y$1,FALSE))</f>
        <v>0</v>
      </c>
      <c r="Z46" s="31">
        <f>IF($B46="-","-",VLOOKUP(ROUND(CONCATENATE($A46,Z$2),0),'Cadastro dos Padrões'!$A$2:$V$4400,Z$1,FALSE))</f>
        <v>0.98029793368572804</v>
      </c>
      <c r="AA46" s="31">
        <f>IF($B46="-","-",VLOOKUP(ROUND(CONCATENATE($A46,AA$2),0),'Cadastro dos Padrões'!$A$2:$V$4400,AA$1,FALSE))</f>
        <v>2.6525708793849105</v>
      </c>
      <c r="AB46" s="31">
        <f>IF(VLOOKUP(ROUND(CONCATENATE($A46,AB$2),0),'Cadastro dos Padrões'!$A$2:$V$4400,AB$1,FALSE)="","-",VLOOKUP(ROUND(CONCATENATE($A46,AB$2),0),'Cadastro dos Padrões'!$A$2:$V$4400,AB$1,FALSE))</f>
        <v>30</v>
      </c>
      <c r="AC46" s="31">
        <f>IF(VLOOKUP(ROUND(CONCATENATE($A46,AC$2),0),'Cadastro dos Padrões'!$A$2:$V$4400,AC$1,FALSE)="","-",VLOOKUP(ROUND(CONCATENATE($A46,AC$2),0),'Cadastro dos Padrões'!$A$2:$V$4400,AC$1,FALSE))</f>
        <v>1</v>
      </c>
      <c r="AD46" s="31">
        <f>IF(VLOOKUP(ROUND(CONCATENATE($A46,AD$2),0),'Cadastro dos Padrões'!$A$2:$V$4400,AD$1,FALSE)="","-",VLOOKUP(ROUND(CONCATENATE($A46,AD$2),0),'Cadastro dos Padrões'!$A$2:$V$4400,AD$1,FALSE))</f>
        <v>2</v>
      </c>
      <c r="AE46" s="31">
        <f>IF(VLOOKUP(ROUND(CONCATENATE($A46,AE$2),0),'Cadastro dos Padrões'!$A$2:$V$4400,AE$1,FALSE)="","-",VLOOKUP(ROUND(CONCATENATE($A46,AE$2),0),'Cadastro dos Padrões'!$A$2:$V$4400,AE$1,FALSE))</f>
        <v>1000000</v>
      </c>
      <c r="AF46" s="31">
        <f>IF(VLOOKUP(ROUND(CONCATENATE($A46,AF$2),0),'Cadastro dos Padrões'!$A$2:$V$4400,AF$1,FALSE)="","-",VLOOKUP(ROUND(CONCATENATE($A46,AF$2),0),'Cadastro dos Padrões'!$A$2:$V$4400,AF$1,FALSE))</f>
        <v>50</v>
      </c>
      <c r="AG46" s="31">
        <f>IF(VLOOKUP(ROUND(CONCATENATE($A46,AG$2),0),'Cadastro dos Padrões'!$A$2:$V$4400,AG$1,FALSE)="","-",VLOOKUP(ROUND(CONCATENATE($A46,AG$2),0),'Cadastro dos Padrões'!$A$2:$V$4400,AG$1,FALSE))</f>
        <v>2</v>
      </c>
      <c r="AH46" s="31">
        <f>IF(VLOOKUP(ROUND(CONCATENATE($A46,AH$2),0),'Cadastro dos Padrões'!$A$2:$V$4400,AH$1,FALSE)="","-",VLOOKUP(ROUND(CONCATENATE($A46,AH$2),0),'Cadastro dos Padrões'!$A$2:$V$4400,AH$1,FALSE))</f>
        <v>2</v>
      </c>
      <c r="AI46" s="31">
        <f>IF(VLOOKUP(ROUND(CONCATENATE($A46,AI$2),0),'Cadastro dos Padrões'!$A$2:$V$4400,AI$1,FALSE)="","-",VLOOKUP(ROUND(CONCATENATE($A46,AI$2),0),'Cadastro dos Padrões'!$A$2:$V$4400,AI$1,FALSE))</f>
        <v>1000000</v>
      </c>
      <c r="AJ46" s="31">
        <f>IF(VLOOKUP(ROUND(CONCATENATE($A46,AJ$2),0),'Cadastro dos Padrões'!$A$2:$V$4400,AJ$1,FALSE)="","-",VLOOKUP(ROUND(CONCATENATE($A46,AJ$2),0),'Cadastro dos Padrões'!$A$2:$V$4400,AJ$1,FALSE))</f>
        <v>70</v>
      </c>
      <c r="AK46" s="31">
        <f>IF(VLOOKUP(ROUND(CONCATENATE($A46,AK$2),0),'Cadastro dos Padrões'!$A$2:$V$4400,AK$1,FALSE)="","-",VLOOKUP(ROUND(CONCATENATE($A46,AK$2),0),'Cadastro dos Padrões'!$A$2:$V$4400,AK$1,FALSE))</f>
        <v>2</v>
      </c>
      <c r="AL46" s="31">
        <f>IF(VLOOKUP(ROUND(CONCATENATE($A46,AL$2),0),'Cadastro dos Padrões'!$A$2:$V$4400,AL$1,FALSE)="","-",VLOOKUP(ROUND(CONCATENATE($A46,AL$2),0),'Cadastro dos Padrões'!$A$2:$V$4400,AL$1,FALSE))</f>
        <v>2</v>
      </c>
      <c r="AM46" s="31">
        <f>IF(VLOOKUP(ROUND(CONCATENATE($A46,AM$2),0),'Cadastro dos Padrões'!$A$2:$V$4400,AM$1,FALSE)="","-",VLOOKUP(ROUND(CONCATENATE($A46,AM$2),0),'Cadastro dos Padrões'!$A$2:$V$4400,AM$1,FALSE))</f>
        <v>1000000</v>
      </c>
      <c r="AN46" s="31">
        <f>IF(VLOOKUP(ROUND(CONCATENATE($A46,AN$2),0),'Cadastro dos Padrões'!$A$2:$V$4400,AN$1,FALSE)="","-",VLOOKUP(ROUND(CONCATENATE($A46,AN$2),0),'Cadastro dos Padrões'!$A$2:$V$4400,AN$1,FALSE))</f>
        <v>90</v>
      </c>
      <c r="AO46" s="31">
        <f>IF(VLOOKUP(ROUND(CONCATENATE($A46,AO$2),0),'Cadastro dos Padrões'!$A$2:$V$4400,AO$1,FALSE)="","-",VLOOKUP(ROUND(CONCATENATE($A46,AO$2),0),'Cadastro dos Padrões'!$A$2:$V$4400,AO$1,FALSE))</f>
        <v>2</v>
      </c>
      <c r="AP46" s="31">
        <f>IF(VLOOKUP(ROUND(CONCATENATE($A46,AP$2),0),'Cadastro dos Padrões'!$A$2:$V$4400,AP$1,FALSE)="","-",VLOOKUP(ROUND(CONCATENATE($A46,AP$2),0),'Cadastro dos Padrões'!$A$2:$V$4400,AP$1,FALSE))</f>
        <v>2</v>
      </c>
      <c r="AQ46" s="31">
        <f>IF(VLOOKUP(ROUND(CONCATENATE($A46,AQ$2),0),'Cadastro dos Padrões'!$A$2:$V$4400,AQ$1,FALSE)="","-",VLOOKUP(ROUND(CONCATENATE($A46,AQ$2),0),'Cadastro dos Padrões'!$A$2:$V$4400,AQ$1,FALSE))</f>
        <v>1000000</v>
      </c>
      <c r="AR46" s="31" t="str">
        <f>IF(VLOOKUP(ROUND(CONCATENATE($A46,AR$2),0),'Cadastro dos Padrões'!$A$2:$V$4400,AR$1,FALSE)="","-",VLOOKUP(ROUND(CONCATENATE($A46,AR$2),0),'Cadastro dos Padrões'!$A$2:$V$4400,AR$1,FALSE))</f>
        <v>-</v>
      </c>
      <c r="AS46" s="31" t="str">
        <f>IF(VLOOKUP(ROUND(CONCATENATE($A46,AS$2),0),'Cadastro dos Padrões'!$A$2:$V$4400,AS$1,FALSE)="","-",VLOOKUP(ROUND(CONCATENATE($A46,AS$2),0),'Cadastro dos Padrões'!$A$2:$V$4400,AS$1,FALSE))</f>
        <v>-</v>
      </c>
      <c r="AT46" s="31" t="str">
        <f>IF(VLOOKUP(ROUND(CONCATENATE($A46,AT$2),0),'Cadastro dos Padrões'!$A$2:$V$4400,AT$1,FALSE)="","-",VLOOKUP(ROUND(CONCATENATE($A46,AT$2),0),'Cadastro dos Padrões'!$A$2:$V$4400,AT$1,FALSE))</f>
        <v>-</v>
      </c>
      <c r="AU46" s="31" t="str">
        <f>IF(VLOOKUP(ROUND(CONCATENATE($A46,AU$2),0),'Cadastro dos Padrões'!$A$2:$V$4400,AU$1,FALSE)="","-",VLOOKUP(ROUND(CONCATENATE($A46,AU$2),0),'Cadastro dos Padrões'!$A$2:$V$4400,AU$1,FALSE))</f>
        <v>-</v>
      </c>
      <c r="AV46" s="31" t="str">
        <f>IF(VLOOKUP(ROUND(CONCATENATE($A46,AV$2),0),'Cadastro dos Padrões'!$A$2:$V$4400,AV$1,FALSE)="","-",VLOOKUP(ROUND(CONCATENATE($A46,AV$2),0),'Cadastro dos Padrões'!$A$2:$V$4400,AV$1,FALSE))</f>
        <v>-</v>
      </c>
      <c r="AW46" s="31" t="str">
        <f>IF(VLOOKUP(ROUND(CONCATENATE($A46,AW$2),0),'Cadastro dos Padrões'!$A$2:$V$4400,AW$1,FALSE)="","-",VLOOKUP(ROUND(CONCATENATE($A46,AW$2),0),'Cadastro dos Padrões'!$A$2:$V$4400,AW$1,FALSE))</f>
        <v>-</v>
      </c>
      <c r="AX46" s="31" t="str">
        <f>IF(VLOOKUP(ROUND(CONCATENATE($A46,AX$2),0),'Cadastro dos Padrões'!$A$2:$V$4400,AX$1,FALSE)="","-",VLOOKUP(ROUND(CONCATENATE($A46,AX$2),0),'Cadastro dos Padrões'!$A$2:$V$4400,AX$1,FALSE))</f>
        <v>-</v>
      </c>
      <c r="AY46" s="31" t="str">
        <f>IF(VLOOKUP(ROUND(CONCATENATE($A46,AY$2),0),'Cadastro dos Padrões'!$A$2:$V$4400,AY$1,FALSE)="","-",VLOOKUP(ROUND(CONCATENATE($A46,AY$2),0),'Cadastro dos Padrões'!$A$2:$V$4400,AY$1,FALSE))</f>
        <v>-</v>
      </c>
      <c r="AZ46" s="31" t="str">
        <f>IF(VLOOKUP(ROUND(CONCATENATE($A46,AZ$2),0),'Cadastro dos Padrões'!$A$2:$V$4400,AZ$1,FALSE)="","-",VLOOKUP(ROUND(CONCATENATE($A46,AZ$2),0),'Cadastro dos Padrões'!$A$2:$V$4400,AZ$1,FALSE))</f>
        <v>-</v>
      </c>
      <c r="BA46" s="31" t="str">
        <f>IF(VLOOKUP(ROUND(CONCATENATE($A46,BA$2),0),'Cadastro dos Padrões'!$A$2:$V$4400,BA$1,FALSE)="","-",VLOOKUP(ROUND(CONCATENATE($A46,BA$2),0),'Cadastro dos Padrões'!$A$2:$V$4400,BA$1,FALSE))</f>
        <v>-</v>
      </c>
      <c r="BB46" s="31" t="str">
        <f>IF(VLOOKUP(ROUND(CONCATENATE($A46,BB$2),0),'Cadastro dos Padrões'!$A$2:$V$4400,BB$1,FALSE)="","-",VLOOKUP(ROUND(CONCATENATE($A46,BB$2),0),'Cadastro dos Padrões'!$A$2:$V$4400,BB$1,FALSE))</f>
        <v>-</v>
      </c>
      <c r="BC46" s="31" t="str">
        <f>IF(VLOOKUP(ROUND(CONCATENATE($A46,BC$2),0),'Cadastro dos Padrões'!$A$2:$V$4400,BC$1,FALSE)="","-",VLOOKUP(ROUND(CONCATENATE($A46,BC$2),0),'Cadastro dos Padrões'!$A$2:$V$4400,BC$1,FALSE))</f>
        <v>-</v>
      </c>
      <c r="BD46" s="31" t="str">
        <f>IF(VLOOKUP(ROUND(CONCATENATE($A46,BD$2),0),'Cadastro dos Padrões'!$A$2:$V$4400,BD$1,FALSE)="","-",VLOOKUP(ROUND(CONCATENATE($A46,BD$2),0),'Cadastro dos Padrões'!$A$2:$V$4400,BD$1,FALSE))</f>
        <v>-</v>
      </c>
      <c r="BE46" s="31" t="str">
        <f>IF(VLOOKUP(ROUND(CONCATENATE($A46,BE$2),0),'Cadastro dos Padrões'!$A$2:$V$4400,BE$1,FALSE)="","-",VLOOKUP(ROUND(CONCATENATE($A46,BE$2),0),'Cadastro dos Padrões'!$A$2:$V$4400,BE$1,FALSE))</f>
        <v>-</v>
      </c>
      <c r="BF46" s="31" t="str">
        <f>IF(VLOOKUP(ROUND(CONCATENATE($A46,BF$2),0),'Cadastro dos Padrões'!$A$2:$V$4400,BF$1,FALSE)="","-",VLOOKUP(ROUND(CONCATENATE($A46,BF$2),0),'Cadastro dos Padrões'!$A$2:$V$4400,BF$1,FALSE))</f>
        <v>-</v>
      </c>
      <c r="BG46" s="31" t="str">
        <f>IF(VLOOKUP(ROUND(CONCATENATE($A46,BG$2),0),'Cadastro dos Padrões'!$A$2:$V$4400,BG$1,FALSE)="","-",VLOOKUP(ROUND(CONCATENATE($A46,BG$2),0),'Cadastro dos Padrões'!$A$2:$V$4400,BG$1,FALSE))</f>
        <v>-</v>
      </c>
      <c r="BH46" s="31" t="str">
        <f>IF(VLOOKUP(ROUND(CONCATENATE($A46,BH$2),0),'Cadastro dos Padrões'!$A$2:$V$4400,BH$1,FALSE)="","-",VLOOKUP(ROUND(CONCATENATE($A46,BH$2),0),'Cadastro dos Padrões'!$A$2:$V$4400,BH$1,FALSE))</f>
        <v>-</v>
      </c>
      <c r="BI46" s="31" t="str">
        <f>IF(VLOOKUP(ROUND(CONCATENATE($A46,BI$2),0),'Cadastro dos Padrões'!$A$2:$V$4400,BI$1,FALSE)="","-",VLOOKUP(ROUND(CONCATENATE($A46,BI$2),0),'Cadastro dos Padrões'!$A$2:$V$4400,BI$1,FALSE))</f>
        <v>-</v>
      </c>
      <c r="BJ46" s="31" t="str">
        <f>IF(VLOOKUP(ROUND(CONCATENATE($A46,BJ$2),0),'Cadastro dos Padrões'!$A$2:$V$4400,BJ$1,FALSE)="","-",VLOOKUP(ROUND(CONCATENATE($A46,BJ$2),0),'Cadastro dos Padrões'!$A$2:$V$4400,BJ$1,FALSE))</f>
        <v>-</v>
      </c>
      <c r="BK46" s="31" t="str">
        <f>IF(VLOOKUP(ROUND(CONCATENATE($A46,BK$2),0),'Cadastro dos Padrões'!$A$2:$V$4400,BK$1,FALSE)="","-",VLOOKUP(ROUND(CONCATENATE($A46,BK$2),0),'Cadastro dos Padrões'!$A$2:$V$4400,BK$1,FALSE))</f>
        <v>-</v>
      </c>
      <c r="BL46" s="31" t="str">
        <f>IF(VLOOKUP(ROUND(CONCATENATE($A46,BL$2),0),'Cadastro dos Padrões'!$A$2:$V$4400,BL$1,FALSE)="","-",VLOOKUP(ROUND(CONCATENATE($A46,BL$2),0),'Cadastro dos Padrões'!$A$2:$V$4400,BL$1,FALSE))</f>
        <v>-</v>
      </c>
      <c r="BM46" s="31" t="str">
        <f>IF(VLOOKUP(ROUND(CONCATENATE($A46,BM$2),0),'Cadastro dos Padrões'!$A$2:$V$4400,BM$1,FALSE)="","-",VLOOKUP(ROUND(CONCATENATE($A46,BM$2),0),'Cadastro dos Padrões'!$A$2:$V$4400,BM$1,FALSE))</f>
        <v>-</v>
      </c>
      <c r="BN46" s="31" t="str">
        <f>IF(VLOOKUP(ROUND(CONCATENATE($A46,BN$2),0),'Cadastro dos Padrões'!$A$2:$V$4400,BN$1,FALSE)="","-",VLOOKUP(ROUND(CONCATENATE($A46,BN$2),0),'Cadastro dos Padrões'!$A$2:$V$4400,BN$1,FALSE))</f>
        <v>-</v>
      </c>
      <c r="BO46" s="31" t="str">
        <f>IF(VLOOKUP(ROUND(CONCATENATE($A46,BO$2),0),'Cadastro dos Padrões'!$A$2:$V$4400,BO$1,FALSE)="","-",VLOOKUP(ROUND(CONCATENATE($A46,BO$2),0),'Cadastro dos Padrões'!$A$2:$V$4400,BO$1,FALSE))</f>
        <v>-</v>
      </c>
    </row>
    <row r="47" spans="1:67" x14ac:dyDescent="0.3">
      <c r="A47" s="6">
        <f t="shared" si="52"/>
        <v>42</v>
      </c>
      <c r="B47" s="31" t="str">
        <f>IF(VLOOKUP(ROUND(CONCATENATE($A47,B$2),0),'Cadastro dos Padrões'!$A$2:$V$4400,B$1,FALSE)="","-",VLOOKUP(ROUND(CONCATENATE($A47,B$2),0),'Cadastro dos Padrões'!$A$2:$V$4400,B$1,FALSE))</f>
        <v>EL-952</v>
      </c>
      <c r="C47" s="31" t="str">
        <f>IF($B47="-","-",VLOOKUP(ROUND(CONCATENATE($A47,C$2),0),'Cadastro dos Padrões'!$A$2:$V$4400,C$1,FALSE))</f>
        <v>Termohigrômetro Digital</v>
      </c>
      <c r="D47" s="31">
        <f>IF($B47="-","-",VLOOKUP(ROUND(CONCATENATE($A47,D$2),0),'Cadastro dos Padrões'!$A$2:$V$4400,D$1,FALSE))</f>
        <v>20</v>
      </c>
      <c r="E47" s="31" t="str">
        <f>IF($B47="-","-",VLOOKUP(ROUND(CONCATENATE($A47,E$2),0),'Cadastro dos Padrões'!$A$2:$V$4400,E$1,FALSE))</f>
        <v>Elus</v>
      </c>
      <c r="F47" s="31" t="str">
        <f>IF($B47="-","-",VLOOKUP(ROUND(CONCATENATE($A47,F$2),0),'Cadastro dos Padrões'!$A$2:$V$4400,F$1,FALSE))</f>
        <v>RBC - CAL 0439</v>
      </c>
      <c r="G47" s="31" t="str">
        <f>IF($B47="-","-",VLOOKUP(ROUND(CONCATENATE($A47,G$2),0),'Cadastro dos Padrões'!$A$2:$V$4400,G$1,FALSE))</f>
        <v>R0152/21</v>
      </c>
      <c r="H47" s="32">
        <f>IF($B47="-","-",VLOOKUP(ROUND(CONCATENATE($A47,H$2),0),'Cadastro dos Padrões'!$A$2:$V$4400,H$1,FALSE))</f>
        <v>44274</v>
      </c>
      <c r="I47" s="33">
        <f>IF($B47="-","-",VLOOKUP(ROUND(CONCATENATE($A47,I$2),0),'Cadastro dos Padrões'!$A$2:$V$4400,I$1,FALSE))</f>
        <v>44651</v>
      </c>
      <c r="J47" s="31" t="str">
        <f>IF($B47="-","-",VLOOKUP(ROUND(CONCATENATE($A47,J$2),0),'Cadastro dos Padrões'!$A$2:$V$4400,J$1,FALSE))</f>
        <v>%ur</v>
      </c>
      <c r="K47" s="31">
        <f>IF($B47="-","-",VLOOKUP(ROUND(CONCATENATE($A47,K$2),0),'Cadastro dos Padrões'!$A$2:$V$4400,K$1,FALSE))</f>
        <v>30</v>
      </c>
      <c r="L47" s="31">
        <f>IF($B47="-","-",VLOOKUP(ROUND(CONCATENATE($A47,L$2),0),'Cadastro dos Padrões'!$A$2:$V$4400,L$1,FALSE))</f>
        <v>80</v>
      </c>
      <c r="M47" s="31">
        <f>IF($B47="-","-",VLOOKUP(ROUND(CONCATENATE($A47,M$2),0),'Cadastro dos Padrões'!$A$2:$V$4400,M$1,FALSE))</f>
        <v>1</v>
      </c>
      <c r="N47" s="31">
        <f>IF($B47="-","-",VLOOKUP(ROUND(CONCATENATE($A47,N$2),0),'Cadastro dos Padrões'!$A$2:$V$4400,N$1,FALSE))</f>
        <v>6</v>
      </c>
      <c r="O47" s="31">
        <f>IF($B47="-","-",VLOOKUP(ROUND(CONCATENATE($A47,O$2),0),'Cadastro dos Padrões'!$A$2:$V$4400,O$1,FALSE))</f>
        <v>2</v>
      </c>
      <c r="P47" s="31">
        <f>IF($B47="-","-",VLOOKUP(ROUND(CONCATENATE($A47,P$2),0),'Cadastro dos Padrões'!$A$2:$V$4400,P$1,FALSE))</f>
        <v>1</v>
      </c>
      <c r="Q47" s="31">
        <f>IF($B47="-","-",VLOOKUP(ROUND(CONCATENATE($A47,Q$2),0),'Cadastro dos Padrões'!$A$2:$V$4400,Q$1,FALSE))</f>
        <v>0.39513038984679838</v>
      </c>
      <c r="R47" s="31">
        <f>IF($B47="-","-",VLOOKUP(ROUND(CONCATENATE($A47,R$2),0),'Cadastro dos Padrões'!$A$2:$V$4400,R$1,FALSE))</f>
        <v>1</v>
      </c>
      <c r="S47" s="31">
        <f>IF($B47="-","-",VLOOKUP(ROUND(CONCATENATE($A47,S$2),0),'Cadastro dos Padrões'!$A$2:$V$4400,S$1,FALSE))</f>
        <v>0</v>
      </c>
      <c r="T47" s="31">
        <f>IF($B47="-","-",VLOOKUP(ROUND(CONCATENATE($A47,T$2),0),'Cadastro dos Padrões'!$A$2:$V$4400,T$1,FALSE))</f>
        <v>0</v>
      </c>
      <c r="U47" s="31">
        <f>IF($B47="-","-",VLOOKUP(ROUND(CONCATENATE($A47,U$2),0),'Cadastro dos Padrões'!$A$2:$V$4400,U$1,FALSE))</f>
        <v>0</v>
      </c>
      <c r="V47" s="31">
        <f>IF($B47="-","-",VLOOKUP(ROUND(CONCATENATE($A47,V$2),0),'Cadastro dos Padrões'!$A$2:$V$4400,V$1,FALSE))</f>
        <v>0</v>
      </c>
      <c r="W47" s="31">
        <f>IF($B47="-","-",VLOOKUP(ROUND(CONCATENATE($A47,W$2),0),'Cadastro dos Padrões'!$A$2:$V$4400,W$1,FALSE))</f>
        <v>0</v>
      </c>
      <c r="X47" s="31">
        <f>IF($B47="-","-",VLOOKUP(ROUND(CONCATENATE($A47,X$2),0),'Cadastro dos Padrões'!$A$2:$V$4400,X$1,FALSE))</f>
        <v>0</v>
      </c>
      <c r="Y47" s="31">
        <f>IF($B47="-","-",VLOOKUP(ROUND(CONCATENATE($A47,Y$2),0),'Cadastro dos Padrões'!$A$2:$V$4400,Y$1,FALSE))</f>
        <v>0</v>
      </c>
      <c r="Z47" s="31">
        <f>IF($B47="-","-",VLOOKUP(ROUND(CONCATENATE($A47,Z$2),0),'Cadastro dos Padrões'!$A$2:$V$4400,Z$1,FALSE))</f>
        <v>1.2177985948477752</v>
      </c>
      <c r="AA47" s="31">
        <f>IF($B47="-","-",VLOOKUP(ROUND(CONCATENATE($A47,AA$2),0),'Cadastro dos Padrões'!$A$2:$V$4400,AA$1,FALSE))</f>
        <v>-9.9921935987509727</v>
      </c>
      <c r="AB47" s="31">
        <f>IF(VLOOKUP(ROUND(CONCATENATE($A47,AB$2),0),'Cadastro dos Padrões'!$A$2:$V$4400,AB$1,FALSE)="","-",VLOOKUP(ROUND(CONCATENATE($A47,AB$2),0),'Cadastro dos Padrões'!$A$2:$V$4400,AB$1,FALSE))</f>
        <v>30</v>
      </c>
      <c r="AC47" s="31">
        <f>IF(VLOOKUP(ROUND(CONCATENATE($A47,AC$2),0),'Cadastro dos Padrões'!$A$2:$V$4400,AC$1,FALSE)="","-",VLOOKUP(ROUND(CONCATENATE($A47,AC$2),0),'Cadastro dos Padrões'!$A$2:$V$4400,AC$1,FALSE))</f>
        <v>2</v>
      </c>
      <c r="AD47" s="31">
        <f>IF(VLOOKUP(ROUND(CONCATENATE($A47,AD$2),0),'Cadastro dos Padrões'!$A$2:$V$4400,AD$1,FALSE)="","-",VLOOKUP(ROUND(CONCATENATE($A47,AD$2),0),'Cadastro dos Padrões'!$A$2:$V$4400,AD$1,FALSE))</f>
        <v>2</v>
      </c>
      <c r="AE47" s="31">
        <f>IF(VLOOKUP(ROUND(CONCATENATE($A47,AE$2),0),'Cadastro dos Padrões'!$A$2:$V$4400,AE$1,FALSE)="","-",VLOOKUP(ROUND(CONCATENATE($A47,AE$2),0),'Cadastro dos Padrões'!$A$2:$V$4400,AE$1,FALSE))</f>
        <v>1000000</v>
      </c>
      <c r="AF47" s="31">
        <f>IF(VLOOKUP(ROUND(CONCATENATE($A47,AF$2),0),'Cadastro dos Padrões'!$A$2:$V$4400,AF$1,FALSE)="","-",VLOOKUP(ROUND(CONCATENATE($A47,AF$2),0),'Cadastro dos Padrões'!$A$2:$V$4400,AF$1,FALSE))</f>
        <v>50</v>
      </c>
      <c r="AG47" s="31">
        <f>IF(VLOOKUP(ROUND(CONCATENATE($A47,AG$2),0),'Cadastro dos Padrões'!$A$2:$V$4400,AG$1,FALSE)="","-",VLOOKUP(ROUND(CONCATENATE($A47,AG$2),0),'Cadastro dos Padrões'!$A$2:$V$4400,AG$1,FALSE))</f>
        <v>2</v>
      </c>
      <c r="AH47" s="31">
        <f>IF(VLOOKUP(ROUND(CONCATENATE($A47,AH$2),0),'Cadastro dos Padrões'!$A$2:$V$4400,AH$1,FALSE)="","-",VLOOKUP(ROUND(CONCATENATE($A47,AH$2),0),'Cadastro dos Padrões'!$A$2:$V$4400,AH$1,FALSE))</f>
        <v>2</v>
      </c>
      <c r="AI47" s="31">
        <f>IF(VLOOKUP(ROUND(CONCATENATE($A47,AI$2),0),'Cadastro dos Padrões'!$A$2:$V$4400,AI$1,FALSE)="","-",VLOOKUP(ROUND(CONCATENATE($A47,AI$2),0),'Cadastro dos Padrões'!$A$2:$V$4400,AI$1,FALSE))</f>
        <v>1000000</v>
      </c>
      <c r="AJ47" s="31">
        <f>IF(VLOOKUP(ROUND(CONCATENATE($A47,AJ$2),0),'Cadastro dos Padrões'!$A$2:$V$4400,AJ$1,FALSE)="","-",VLOOKUP(ROUND(CONCATENATE($A47,AJ$2),0),'Cadastro dos Padrões'!$A$2:$V$4400,AJ$1,FALSE))</f>
        <v>80</v>
      </c>
      <c r="AK47" s="31">
        <f>IF(VLOOKUP(ROUND(CONCATENATE($A47,AK$2),0),'Cadastro dos Padrões'!$A$2:$V$4400,AK$1,FALSE)="","-",VLOOKUP(ROUND(CONCATENATE($A47,AK$2),0),'Cadastro dos Padrões'!$A$2:$V$4400,AK$1,FALSE))</f>
        <v>2</v>
      </c>
      <c r="AL47" s="31">
        <f>IF(VLOOKUP(ROUND(CONCATENATE($A47,AL$2),0),'Cadastro dos Padrões'!$A$2:$V$4400,AL$1,FALSE)="","-",VLOOKUP(ROUND(CONCATENATE($A47,AL$2),0),'Cadastro dos Padrões'!$A$2:$V$4400,AL$1,FALSE))</f>
        <v>2</v>
      </c>
      <c r="AM47" s="31">
        <f>IF(VLOOKUP(ROUND(CONCATENATE($A47,AM$2),0),'Cadastro dos Padrões'!$A$2:$V$4400,AM$1,FALSE)="","-",VLOOKUP(ROUND(CONCATENATE($A47,AM$2),0),'Cadastro dos Padrões'!$A$2:$V$4400,AM$1,FALSE))</f>
        <v>1000000</v>
      </c>
      <c r="AN47" s="31" t="str">
        <f>IF(VLOOKUP(ROUND(CONCATENATE($A47,AN$2),0),'Cadastro dos Padrões'!$A$2:$V$4400,AN$1,FALSE)="","-",VLOOKUP(ROUND(CONCATENATE($A47,AN$2),0),'Cadastro dos Padrões'!$A$2:$V$4400,AN$1,FALSE))</f>
        <v>-</v>
      </c>
      <c r="AO47" s="31" t="str">
        <f>IF(VLOOKUP(ROUND(CONCATENATE($A47,AO$2),0),'Cadastro dos Padrões'!$A$2:$V$4400,AO$1,FALSE)="","-",VLOOKUP(ROUND(CONCATENATE($A47,AO$2),0),'Cadastro dos Padrões'!$A$2:$V$4400,AO$1,FALSE))</f>
        <v>-</v>
      </c>
      <c r="AP47" s="31" t="str">
        <f>IF(VLOOKUP(ROUND(CONCATENATE($A47,AP$2),0),'Cadastro dos Padrões'!$A$2:$V$4400,AP$1,FALSE)="","-",VLOOKUP(ROUND(CONCATENATE($A47,AP$2),0),'Cadastro dos Padrões'!$A$2:$V$4400,AP$1,FALSE))</f>
        <v>-</v>
      </c>
      <c r="AQ47" s="31" t="str">
        <f>IF(VLOOKUP(ROUND(CONCATENATE($A47,AQ$2),0),'Cadastro dos Padrões'!$A$2:$V$4400,AQ$1,FALSE)="","-",VLOOKUP(ROUND(CONCATENATE($A47,AQ$2),0),'Cadastro dos Padrões'!$A$2:$V$4400,AQ$1,FALSE))</f>
        <v>-</v>
      </c>
      <c r="AR47" s="31" t="str">
        <f>IF(VLOOKUP(ROUND(CONCATENATE($A47,AR$2),0),'Cadastro dos Padrões'!$A$2:$V$4400,AR$1,FALSE)="","-",VLOOKUP(ROUND(CONCATENATE($A47,AR$2),0),'Cadastro dos Padrões'!$A$2:$V$4400,AR$1,FALSE))</f>
        <v>-</v>
      </c>
      <c r="AS47" s="31" t="str">
        <f>IF(VLOOKUP(ROUND(CONCATENATE($A47,AS$2),0),'Cadastro dos Padrões'!$A$2:$V$4400,AS$1,FALSE)="","-",VLOOKUP(ROUND(CONCATENATE($A47,AS$2),0),'Cadastro dos Padrões'!$A$2:$V$4400,AS$1,FALSE))</f>
        <v>-</v>
      </c>
      <c r="AT47" s="31" t="str">
        <f>IF(VLOOKUP(ROUND(CONCATENATE($A47,AT$2),0),'Cadastro dos Padrões'!$A$2:$V$4400,AT$1,FALSE)="","-",VLOOKUP(ROUND(CONCATENATE($A47,AT$2),0),'Cadastro dos Padrões'!$A$2:$V$4400,AT$1,FALSE))</f>
        <v>-</v>
      </c>
      <c r="AU47" s="31" t="str">
        <f>IF(VLOOKUP(ROUND(CONCATENATE($A47,AU$2),0),'Cadastro dos Padrões'!$A$2:$V$4400,AU$1,FALSE)="","-",VLOOKUP(ROUND(CONCATENATE($A47,AU$2),0),'Cadastro dos Padrões'!$A$2:$V$4400,AU$1,FALSE))</f>
        <v>-</v>
      </c>
      <c r="AV47" s="31" t="str">
        <f>IF(VLOOKUP(ROUND(CONCATENATE($A47,AV$2),0),'Cadastro dos Padrões'!$A$2:$V$4400,AV$1,FALSE)="","-",VLOOKUP(ROUND(CONCATENATE($A47,AV$2),0),'Cadastro dos Padrões'!$A$2:$V$4400,AV$1,FALSE))</f>
        <v>-</v>
      </c>
      <c r="AW47" s="31" t="str">
        <f>IF(VLOOKUP(ROUND(CONCATENATE($A47,AW$2),0),'Cadastro dos Padrões'!$A$2:$V$4400,AW$1,FALSE)="","-",VLOOKUP(ROUND(CONCATENATE($A47,AW$2),0),'Cadastro dos Padrões'!$A$2:$V$4400,AW$1,FALSE))</f>
        <v>-</v>
      </c>
      <c r="AX47" s="31" t="str">
        <f>IF(VLOOKUP(ROUND(CONCATENATE($A47,AX$2),0),'Cadastro dos Padrões'!$A$2:$V$4400,AX$1,FALSE)="","-",VLOOKUP(ROUND(CONCATENATE($A47,AX$2),0),'Cadastro dos Padrões'!$A$2:$V$4400,AX$1,FALSE))</f>
        <v>-</v>
      </c>
      <c r="AY47" s="31" t="str">
        <f>IF(VLOOKUP(ROUND(CONCATENATE($A47,AY$2),0),'Cadastro dos Padrões'!$A$2:$V$4400,AY$1,FALSE)="","-",VLOOKUP(ROUND(CONCATENATE($A47,AY$2),0),'Cadastro dos Padrões'!$A$2:$V$4400,AY$1,FALSE))</f>
        <v>-</v>
      </c>
      <c r="AZ47" s="31" t="str">
        <f>IF(VLOOKUP(ROUND(CONCATENATE($A47,AZ$2),0),'Cadastro dos Padrões'!$A$2:$V$4400,AZ$1,FALSE)="","-",VLOOKUP(ROUND(CONCATENATE($A47,AZ$2),0),'Cadastro dos Padrões'!$A$2:$V$4400,AZ$1,FALSE))</f>
        <v>-</v>
      </c>
      <c r="BA47" s="31" t="str">
        <f>IF(VLOOKUP(ROUND(CONCATENATE($A47,BA$2),0),'Cadastro dos Padrões'!$A$2:$V$4400,BA$1,FALSE)="","-",VLOOKUP(ROUND(CONCATENATE($A47,BA$2),0),'Cadastro dos Padrões'!$A$2:$V$4400,BA$1,FALSE))</f>
        <v>-</v>
      </c>
      <c r="BB47" s="31" t="str">
        <f>IF(VLOOKUP(ROUND(CONCATENATE($A47,BB$2),0),'Cadastro dos Padrões'!$A$2:$V$4400,BB$1,FALSE)="","-",VLOOKUP(ROUND(CONCATENATE($A47,BB$2),0),'Cadastro dos Padrões'!$A$2:$V$4400,BB$1,FALSE))</f>
        <v>-</v>
      </c>
      <c r="BC47" s="31" t="str">
        <f>IF(VLOOKUP(ROUND(CONCATENATE($A47,BC$2),0),'Cadastro dos Padrões'!$A$2:$V$4400,BC$1,FALSE)="","-",VLOOKUP(ROUND(CONCATENATE($A47,BC$2),0),'Cadastro dos Padrões'!$A$2:$V$4400,BC$1,FALSE))</f>
        <v>-</v>
      </c>
      <c r="BD47" s="31" t="str">
        <f>IF(VLOOKUP(ROUND(CONCATENATE($A47,BD$2),0),'Cadastro dos Padrões'!$A$2:$V$4400,BD$1,FALSE)="","-",VLOOKUP(ROUND(CONCATENATE($A47,BD$2),0),'Cadastro dos Padrões'!$A$2:$V$4400,BD$1,FALSE))</f>
        <v>-</v>
      </c>
      <c r="BE47" s="31" t="str">
        <f>IF(VLOOKUP(ROUND(CONCATENATE($A47,BE$2),0),'Cadastro dos Padrões'!$A$2:$V$4400,BE$1,FALSE)="","-",VLOOKUP(ROUND(CONCATENATE($A47,BE$2),0),'Cadastro dos Padrões'!$A$2:$V$4400,BE$1,FALSE))</f>
        <v>-</v>
      </c>
      <c r="BF47" s="31" t="str">
        <f>IF(VLOOKUP(ROUND(CONCATENATE($A47,BF$2),0),'Cadastro dos Padrões'!$A$2:$V$4400,BF$1,FALSE)="","-",VLOOKUP(ROUND(CONCATENATE($A47,BF$2),0),'Cadastro dos Padrões'!$A$2:$V$4400,BF$1,FALSE))</f>
        <v>-</v>
      </c>
      <c r="BG47" s="31" t="str">
        <f>IF(VLOOKUP(ROUND(CONCATENATE($A47,BG$2),0),'Cadastro dos Padrões'!$A$2:$V$4400,BG$1,FALSE)="","-",VLOOKUP(ROUND(CONCATENATE($A47,BG$2),0),'Cadastro dos Padrões'!$A$2:$V$4400,BG$1,FALSE))</f>
        <v>-</v>
      </c>
      <c r="BH47" s="31" t="str">
        <f>IF(VLOOKUP(ROUND(CONCATENATE($A47,BH$2),0),'Cadastro dos Padrões'!$A$2:$V$4400,BH$1,FALSE)="","-",VLOOKUP(ROUND(CONCATENATE($A47,BH$2),0),'Cadastro dos Padrões'!$A$2:$V$4400,BH$1,FALSE))</f>
        <v>-</v>
      </c>
      <c r="BI47" s="31" t="str">
        <f>IF(VLOOKUP(ROUND(CONCATENATE($A47,BI$2),0),'Cadastro dos Padrões'!$A$2:$V$4400,BI$1,FALSE)="","-",VLOOKUP(ROUND(CONCATENATE($A47,BI$2),0),'Cadastro dos Padrões'!$A$2:$V$4400,BI$1,FALSE))</f>
        <v>-</v>
      </c>
      <c r="BJ47" s="31" t="str">
        <f>IF(VLOOKUP(ROUND(CONCATENATE($A47,BJ$2),0),'Cadastro dos Padrões'!$A$2:$V$4400,BJ$1,FALSE)="","-",VLOOKUP(ROUND(CONCATENATE($A47,BJ$2),0),'Cadastro dos Padrões'!$A$2:$V$4400,BJ$1,FALSE))</f>
        <v>-</v>
      </c>
      <c r="BK47" s="31" t="str">
        <f>IF(VLOOKUP(ROUND(CONCATENATE($A47,BK$2),0),'Cadastro dos Padrões'!$A$2:$V$4400,BK$1,FALSE)="","-",VLOOKUP(ROUND(CONCATENATE($A47,BK$2),0),'Cadastro dos Padrões'!$A$2:$V$4400,BK$1,FALSE))</f>
        <v>-</v>
      </c>
      <c r="BL47" s="31" t="str">
        <f>IF(VLOOKUP(ROUND(CONCATENATE($A47,BL$2),0),'Cadastro dos Padrões'!$A$2:$V$4400,BL$1,FALSE)="","-",VLOOKUP(ROUND(CONCATENATE($A47,BL$2),0),'Cadastro dos Padrões'!$A$2:$V$4400,BL$1,FALSE))</f>
        <v>-</v>
      </c>
      <c r="BM47" s="31" t="str">
        <f>IF(VLOOKUP(ROUND(CONCATENATE($A47,BM$2),0),'Cadastro dos Padrões'!$A$2:$V$4400,BM$1,FALSE)="","-",VLOOKUP(ROUND(CONCATENATE($A47,BM$2),0),'Cadastro dos Padrões'!$A$2:$V$4400,BM$1,FALSE))</f>
        <v>-</v>
      </c>
      <c r="BN47" s="31" t="str">
        <f>IF(VLOOKUP(ROUND(CONCATENATE($A47,BN$2),0),'Cadastro dos Padrões'!$A$2:$V$4400,BN$1,FALSE)="","-",VLOOKUP(ROUND(CONCATENATE($A47,BN$2),0),'Cadastro dos Padrões'!$A$2:$V$4400,BN$1,FALSE))</f>
        <v>-</v>
      </c>
      <c r="BO47" s="31" t="str">
        <f>IF(VLOOKUP(ROUND(CONCATENATE($A47,BO$2),0),'Cadastro dos Padrões'!$A$2:$V$4400,BO$1,FALSE)="","-",VLOOKUP(ROUND(CONCATENATE($A47,BO$2),0),'Cadastro dos Padrões'!$A$2:$V$4400,BO$1,FALSE))</f>
        <v>-</v>
      </c>
    </row>
    <row r="48" spans="1:67" x14ac:dyDescent="0.3">
      <c r="A48" s="6">
        <f t="shared" si="52"/>
        <v>43</v>
      </c>
      <c r="B48" s="31" t="str">
        <f>IF(VLOOKUP(ROUND(CONCATENATE($A48,B$2),0),'Cadastro dos Padrões'!$A$2:$V$4400,B$1,FALSE)="","-",VLOOKUP(ROUND(CONCATENATE($A48,B$2),0),'Cadastro dos Padrões'!$A$2:$V$4400,B$1,FALSE))</f>
        <v>E.TH.FS-053</v>
      </c>
      <c r="C48" s="31" t="str">
        <f>IF($B48="-","-",VLOOKUP(ROUND(CONCATENATE($A48,C$2),0),'Cadastro dos Padrões'!$A$2:$V$4400,C$1,FALSE))</f>
        <v>Termohigrômetro Digital</v>
      </c>
      <c r="D48" s="31">
        <f>IF($B48="-","-",VLOOKUP(ROUND(CONCATENATE($A48,D$2),0),'Cadastro dos Padrões'!$A$2:$V$4400,D$1,FALSE))</f>
        <v>20</v>
      </c>
      <c r="E48" s="31" t="str">
        <f>IF($B48="-","-",VLOOKUP(ROUND(CONCATENATE($A48,E$2),0),'Cadastro dos Padrões'!$A$2:$V$4400,E$1,FALSE))</f>
        <v>Elus</v>
      </c>
      <c r="F48" s="31" t="str">
        <f>IF($B48="-","-",VLOOKUP(ROUND(CONCATENATE($A48,F$2),0),'Cadastro dos Padrões'!$A$2:$V$4400,F$1,FALSE))</f>
        <v>RBC - CAL 0439</v>
      </c>
      <c r="G48" s="31" t="str">
        <f>IF($B48="-","-",VLOOKUP(ROUND(CONCATENATE($A48,G$2),0),'Cadastro dos Padrões'!$A$2:$V$4400,G$1,FALSE))</f>
        <v>E0132/25</v>
      </c>
      <c r="H48" s="32">
        <f>IF($B48="-","-",VLOOKUP(ROUND(CONCATENATE($A48,H$2),0),'Cadastro dos Padrões'!$A$2:$V$4400,H$1,FALSE))</f>
        <v>45733</v>
      </c>
      <c r="I48" s="33">
        <f>IF($B48="-","-",VLOOKUP(ROUND(CONCATENATE($A48,I$2),0),'Cadastro dos Padrões'!$A$2:$V$4400,I$1,FALSE))</f>
        <v>46112</v>
      </c>
      <c r="J48" s="31" t="str">
        <f>IF($B48="-","-",VLOOKUP(ROUND(CONCATENATE($A48,J$2),0),'Cadastro dos Padrões'!$A$2:$V$4400,J$1,FALSE))</f>
        <v>%ur</v>
      </c>
      <c r="K48" s="31">
        <f>IF($B48="-","-",VLOOKUP(ROUND(CONCATENATE($A48,K$2),0),'Cadastro dos Padrões'!$A$2:$V$4400,K$1,FALSE))</f>
        <v>30</v>
      </c>
      <c r="L48" s="31">
        <f>IF($B48="-","-",VLOOKUP(ROUND(CONCATENATE($A48,L$2),0),'Cadastro dos Padrões'!$A$2:$V$4400,L$1,FALSE))</f>
        <v>80</v>
      </c>
      <c r="M48" s="31">
        <f>IF($B48="-","-",VLOOKUP(ROUND(CONCATENATE($A48,M$2),0),'Cadastro dos Padrões'!$A$2:$V$4400,M$1,FALSE))</f>
        <v>1</v>
      </c>
      <c r="N48" s="31">
        <f>IF($B48="-","-",VLOOKUP(ROUND(CONCATENATE($A48,N$2),0),'Cadastro dos Padrões'!$A$2:$V$4400,N$1,FALSE))</f>
        <v>10</v>
      </c>
      <c r="O48" s="31">
        <f>IF($B48="-","-",VLOOKUP(ROUND(CONCATENATE($A48,O$2),0),'Cadastro dos Padrões'!$A$2:$V$4400,O$1,FALSE))</f>
        <v>2</v>
      </c>
      <c r="P48" s="31">
        <f>IF($B48="-","-",VLOOKUP(ROUND(CONCATENATE($A48,P$2),0),'Cadastro dos Padrões'!$A$2:$V$4400,P$1,FALSE))</f>
        <v>4</v>
      </c>
      <c r="Q48" s="31">
        <f>IF($B48="-","-",VLOOKUP(ROUND(CONCATENATE($A48,Q$2),0),'Cadastro dos Padrões'!$A$2:$V$4400,Q$1,FALSE))</f>
        <v>0.21329769189682679</v>
      </c>
      <c r="R48" s="31">
        <f>IF($B48="-","-",VLOOKUP(ROUND(CONCATENATE($A48,R$2),0),'Cadastro dos Padrões'!$A$2:$V$4400,R$1,FALSE))</f>
        <v>1</v>
      </c>
      <c r="S48" s="31">
        <f>IF($B48="-","-",VLOOKUP(ROUND(CONCATENATE($A48,S$2),0),'Cadastro dos Padrões'!$A$2:$V$4400,S$1,FALSE))</f>
        <v>0</v>
      </c>
      <c r="T48" s="31">
        <f>IF($B48="-","-",VLOOKUP(ROUND(CONCATENATE($A48,T$2),0),'Cadastro dos Padrões'!$A$2:$V$4400,T$1,FALSE))</f>
        <v>0</v>
      </c>
      <c r="U48" s="31">
        <f>IF($B48="-","-",VLOOKUP(ROUND(CONCATENATE($A48,U$2),0),'Cadastro dos Padrões'!$A$2:$V$4400,U$1,FALSE))</f>
        <v>0</v>
      </c>
      <c r="V48" s="31">
        <f>IF($B48="-","-",VLOOKUP(ROUND(CONCATENATE($A48,V$2),0),'Cadastro dos Padrões'!$A$2:$V$4400,V$1,FALSE))</f>
        <v>0</v>
      </c>
      <c r="W48" s="31">
        <f>IF($B48="-","-",VLOOKUP(ROUND(CONCATENATE($A48,W$2),0),'Cadastro dos Padrões'!$A$2:$V$4400,W$1,FALSE))</f>
        <v>0</v>
      </c>
      <c r="X48" s="31">
        <f>IF($B48="-","-",VLOOKUP(ROUND(CONCATENATE($A48,X$2),0),'Cadastro dos Padrões'!$A$2:$V$4400,X$1,FALSE))</f>
        <v>0</v>
      </c>
      <c r="Y48" s="31">
        <f>IF($B48="-","-",VLOOKUP(ROUND(CONCATENATE($A48,Y$2),0),'Cadastro dos Padrões'!$A$2:$V$4400,Y$1,FALSE))</f>
        <v>0</v>
      </c>
      <c r="Z48" s="31">
        <f>IF($B48="-","-",VLOOKUP(ROUND(CONCATENATE($A48,Z$2),0),'Cadastro dos Padrões'!$A$2:$V$4400,Z$1,FALSE))</f>
        <v>1.3148316651501364</v>
      </c>
      <c r="AA48" s="31">
        <f>IF($B48="-","-",VLOOKUP(ROUND(CONCATENATE($A48,AA$2),0),'Cadastro dos Padrões'!$A$2:$V$4400,AA$1,FALSE))</f>
        <v>-11.969972702456765</v>
      </c>
      <c r="AB48" s="31">
        <f>IF(VLOOKUP(ROUND(CONCATENATE($A48,AB$2),0),'Cadastro dos Padrões'!$A$2:$V$4400,AB$1,FALSE)="","-",VLOOKUP(ROUND(CONCATENATE($A48,AB$2),0),'Cadastro dos Padrões'!$A$2:$V$4400,AB$1,FALSE))</f>
        <v>30</v>
      </c>
      <c r="AC48" s="31">
        <f>IF(VLOOKUP(ROUND(CONCATENATE($A48,AC$2),0),'Cadastro dos Padrões'!$A$2:$V$4400,AC$1,FALSE)="","-",VLOOKUP(ROUND(CONCATENATE($A48,AC$2),0),'Cadastro dos Padrões'!$A$2:$V$4400,AC$1,FALSE))</f>
        <v>2</v>
      </c>
      <c r="AD48" s="31">
        <f>IF(VLOOKUP(ROUND(CONCATENATE($A48,AD$2),0),'Cadastro dos Padrões'!$A$2:$V$4400,AD$1,FALSE)="","-",VLOOKUP(ROUND(CONCATENATE($A48,AD$2),0),'Cadastro dos Padrões'!$A$2:$V$4400,AD$1,FALSE))</f>
        <v>2</v>
      </c>
      <c r="AE48" s="31">
        <f>IF(VLOOKUP(ROUND(CONCATENATE($A48,AE$2),0),'Cadastro dos Padrões'!$A$2:$V$4400,AE$1,FALSE)="","-",VLOOKUP(ROUND(CONCATENATE($A48,AE$2),0),'Cadastro dos Padrões'!$A$2:$V$4400,AE$1,FALSE))</f>
        <v>1000000</v>
      </c>
      <c r="AF48" s="31">
        <f>IF(VLOOKUP(ROUND(CONCATENATE($A48,AF$2),0),'Cadastro dos Padrões'!$A$2:$V$4400,AF$1,FALSE)="","-",VLOOKUP(ROUND(CONCATENATE($A48,AF$2),0),'Cadastro dos Padrões'!$A$2:$V$4400,AF$1,FALSE))</f>
        <v>50</v>
      </c>
      <c r="AG48" s="31">
        <f>IF(VLOOKUP(ROUND(CONCATENATE($A48,AG$2),0),'Cadastro dos Padrões'!$A$2:$V$4400,AG$1,FALSE)="","-",VLOOKUP(ROUND(CONCATENATE($A48,AG$2),0),'Cadastro dos Padrões'!$A$2:$V$4400,AG$1,FALSE))</f>
        <v>2</v>
      </c>
      <c r="AH48" s="31">
        <f>IF(VLOOKUP(ROUND(CONCATENATE($A48,AH$2),0),'Cadastro dos Padrões'!$A$2:$V$4400,AH$1,FALSE)="","-",VLOOKUP(ROUND(CONCATENATE($A48,AH$2),0),'Cadastro dos Padrões'!$A$2:$V$4400,AH$1,FALSE))</f>
        <v>2</v>
      </c>
      <c r="AI48" s="31">
        <f>IF(VLOOKUP(ROUND(CONCATENATE($A48,AI$2),0),'Cadastro dos Padrões'!$A$2:$V$4400,AI$1,FALSE)="","-",VLOOKUP(ROUND(CONCATENATE($A48,AI$2),0),'Cadastro dos Padrões'!$A$2:$V$4400,AI$1,FALSE))</f>
        <v>1000000</v>
      </c>
      <c r="AJ48" s="31">
        <f>IF(VLOOKUP(ROUND(CONCATENATE($A48,AJ$2),0),'Cadastro dos Padrões'!$A$2:$V$4400,AJ$1,FALSE)="","-",VLOOKUP(ROUND(CONCATENATE($A48,AJ$2),0),'Cadastro dos Padrões'!$A$2:$V$4400,AJ$1,FALSE))</f>
        <v>80</v>
      </c>
      <c r="AK48" s="31">
        <f>IF(VLOOKUP(ROUND(CONCATENATE($A48,AK$2),0),'Cadastro dos Padrões'!$A$2:$V$4400,AK$1,FALSE)="","-",VLOOKUP(ROUND(CONCATENATE($A48,AK$2),0),'Cadastro dos Padrões'!$A$2:$V$4400,AK$1,FALSE))</f>
        <v>2</v>
      </c>
      <c r="AL48" s="31">
        <f>IF(VLOOKUP(ROUND(CONCATENATE($A48,AL$2),0),'Cadastro dos Padrões'!$A$2:$V$4400,AL$1,FALSE)="","-",VLOOKUP(ROUND(CONCATENATE($A48,AL$2),0),'Cadastro dos Padrões'!$A$2:$V$4400,AL$1,FALSE))</f>
        <v>2</v>
      </c>
      <c r="AM48" s="31">
        <f>IF(VLOOKUP(ROUND(CONCATENATE($A48,AM$2),0),'Cadastro dos Padrões'!$A$2:$V$4400,AM$1,FALSE)="","-",VLOOKUP(ROUND(CONCATENATE($A48,AM$2),0),'Cadastro dos Padrões'!$A$2:$V$4400,AM$1,FALSE))</f>
        <v>1000000</v>
      </c>
      <c r="AN48" s="31" t="str">
        <f>IF(VLOOKUP(ROUND(CONCATENATE($A48,AN$2),0),'Cadastro dos Padrões'!$A$2:$V$4400,AN$1,FALSE)="","-",VLOOKUP(ROUND(CONCATENATE($A48,AN$2),0),'Cadastro dos Padrões'!$A$2:$V$4400,AN$1,FALSE))</f>
        <v>-</v>
      </c>
      <c r="AO48" s="31" t="str">
        <f>IF(VLOOKUP(ROUND(CONCATENATE($A48,AO$2),0),'Cadastro dos Padrões'!$A$2:$V$4400,AO$1,FALSE)="","-",VLOOKUP(ROUND(CONCATENATE($A48,AO$2),0),'Cadastro dos Padrões'!$A$2:$V$4400,AO$1,FALSE))</f>
        <v>-</v>
      </c>
      <c r="AP48" s="31" t="str">
        <f>IF(VLOOKUP(ROUND(CONCATENATE($A48,AP$2),0),'Cadastro dos Padrões'!$A$2:$V$4400,AP$1,FALSE)="","-",VLOOKUP(ROUND(CONCATENATE($A48,AP$2),0),'Cadastro dos Padrões'!$A$2:$V$4400,AP$1,FALSE))</f>
        <v>-</v>
      </c>
      <c r="AQ48" s="31" t="str">
        <f>IF(VLOOKUP(ROUND(CONCATENATE($A48,AQ$2),0),'Cadastro dos Padrões'!$A$2:$V$4400,AQ$1,FALSE)="","-",VLOOKUP(ROUND(CONCATENATE($A48,AQ$2),0),'Cadastro dos Padrões'!$A$2:$V$4400,AQ$1,FALSE))</f>
        <v>-</v>
      </c>
      <c r="AR48" s="31" t="str">
        <f>IF(VLOOKUP(ROUND(CONCATENATE($A48,AR$2),0),'Cadastro dos Padrões'!$A$2:$V$4400,AR$1,FALSE)="","-",VLOOKUP(ROUND(CONCATENATE($A48,AR$2),0),'Cadastro dos Padrões'!$A$2:$V$4400,AR$1,FALSE))</f>
        <v>-</v>
      </c>
      <c r="AS48" s="31" t="str">
        <f>IF(VLOOKUP(ROUND(CONCATENATE($A48,AS$2),0),'Cadastro dos Padrões'!$A$2:$V$4400,AS$1,FALSE)="","-",VLOOKUP(ROUND(CONCATENATE($A48,AS$2),0),'Cadastro dos Padrões'!$A$2:$V$4400,AS$1,FALSE))</f>
        <v>-</v>
      </c>
      <c r="AT48" s="31" t="str">
        <f>IF(VLOOKUP(ROUND(CONCATENATE($A48,AT$2),0),'Cadastro dos Padrões'!$A$2:$V$4400,AT$1,FALSE)="","-",VLOOKUP(ROUND(CONCATENATE($A48,AT$2),0),'Cadastro dos Padrões'!$A$2:$V$4400,AT$1,FALSE))</f>
        <v>-</v>
      </c>
      <c r="AU48" s="31" t="str">
        <f>IF(VLOOKUP(ROUND(CONCATENATE($A48,AU$2),0),'Cadastro dos Padrões'!$A$2:$V$4400,AU$1,FALSE)="","-",VLOOKUP(ROUND(CONCATENATE($A48,AU$2),0),'Cadastro dos Padrões'!$A$2:$V$4400,AU$1,FALSE))</f>
        <v>-</v>
      </c>
      <c r="AV48" s="31" t="str">
        <f>IF(VLOOKUP(ROUND(CONCATENATE($A48,AV$2),0),'Cadastro dos Padrões'!$A$2:$V$4400,AV$1,FALSE)="","-",VLOOKUP(ROUND(CONCATENATE($A48,AV$2),0),'Cadastro dos Padrões'!$A$2:$V$4400,AV$1,FALSE))</f>
        <v>-</v>
      </c>
      <c r="AW48" s="31" t="str">
        <f>IF(VLOOKUP(ROUND(CONCATENATE($A48,AW$2),0),'Cadastro dos Padrões'!$A$2:$V$4400,AW$1,FALSE)="","-",VLOOKUP(ROUND(CONCATENATE($A48,AW$2),0),'Cadastro dos Padrões'!$A$2:$V$4400,AW$1,FALSE))</f>
        <v>-</v>
      </c>
      <c r="AX48" s="31" t="str">
        <f>IF(VLOOKUP(ROUND(CONCATENATE($A48,AX$2),0),'Cadastro dos Padrões'!$A$2:$V$4400,AX$1,FALSE)="","-",VLOOKUP(ROUND(CONCATENATE($A48,AX$2),0),'Cadastro dos Padrões'!$A$2:$V$4400,AX$1,FALSE))</f>
        <v>-</v>
      </c>
      <c r="AY48" s="31" t="str">
        <f>IF(VLOOKUP(ROUND(CONCATENATE($A48,AY$2),0),'Cadastro dos Padrões'!$A$2:$V$4400,AY$1,FALSE)="","-",VLOOKUP(ROUND(CONCATENATE($A48,AY$2),0),'Cadastro dos Padrões'!$A$2:$V$4400,AY$1,FALSE))</f>
        <v>-</v>
      </c>
      <c r="AZ48" s="31" t="str">
        <f>IF(VLOOKUP(ROUND(CONCATENATE($A48,AZ$2),0),'Cadastro dos Padrões'!$A$2:$V$4400,AZ$1,FALSE)="","-",VLOOKUP(ROUND(CONCATENATE($A48,AZ$2),0),'Cadastro dos Padrões'!$A$2:$V$4400,AZ$1,FALSE))</f>
        <v>-</v>
      </c>
      <c r="BA48" s="31" t="str">
        <f>IF(VLOOKUP(ROUND(CONCATENATE($A48,BA$2),0),'Cadastro dos Padrões'!$A$2:$V$4400,BA$1,FALSE)="","-",VLOOKUP(ROUND(CONCATENATE($A48,BA$2),0),'Cadastro dos Padrões'!$A$2:$V$4400,BA$1,FALSE))</f>
        <v>-</v>
      </c>
      <c r="BB48" s="31" t="str">
        <f>IF(VLOOKUP(ROUND(CONCATENATE($A48,BB$2),0),'Cadastro dos Padrões'!$A$2:$V$4400,BB$1,FALSE)="","-",VLOOKUP(ROUND(CONCATENATE($A48,BB$2),0),'Cadastro dos Padrões'!$A$2:$V$4400,BB$1,FALSE))</f>
        <v>-</v>
      </c>
      <c r="BC48" s="31" t="str">
        <f>IF(VLOOKUP(ROUND(CONCATENATE($A48,BC$2),0),'Cadastro dos Padrões'!$A$2:$V$4400,BC$1,FALSE)="","-",VLOOKUP(ROUND(CONCATENATE($A48,BC$2),0),'Cadastro dos Padrões'!$A$2:$V$4400,BC$1,FALSE))</f>
        <v>-</v>
      </c>
      <c r="BD48" s="31" t="str">
        <f>IF(VLOOKUP(ROUND(CONCATENATE($A48,BD$2),0),'Cadastro dos Padrões'!$A$2:$V$4400,BD$1,FALSE)="","-",VLOOKUP(ROUND(CONCATENATE($A48,BD$2),0),'Cadastro dos Padrões'!$A$2:$V$4400,BD$1,FALSE))</f>
        <v>-</v>
      </c>
      <c r="BE48" s="31" t="str">
        <f>IF(VLOOKUP(ROUND(CONCATENATE($A48,BE$2),0),'Cadastro dos Padrões'!$A$2:$V$4400,BE$1,FALSE)="","-",VLOOKUP(ROUND(CONCATENATE($A48,BE$2),0),'Cadastro dos Padrões'!$A$2:$V$4400,BE$1,FALSE))</f>
        <v>-</v>
      </c>
      <c r="BF48" s="31" t="str">
        <f>IF(VLOOKUP(ROUND(CONCATENATE($A48,BF$2),0),'Cadastro dos Padrões'!$A$2:$V$4400,BF$1,FALSE)="","-",VLOOKUP(ROUND(CONCATENATE($A48,BF$2),0),'Cadastro dos Padrões'!$A$2:$V$4400,BF$1,FALSE))</f>
        <v>-</v>
      </c>
      <c r="BG48" s="31" t="str">
        <f>IF(VLOOKUP(ROUND(CONCATENATE($A48,BG$2),0),'Cadastro dos Padrões'!$A$2:$V$4400,BG$1,FALSE)="","-",VLOOKUP(ROUND(CONCATENATE($A48,BG$2),0),'Cadastro dos Padrões'!$A$2:$V$4400,BG$1,FALSE))</f>
        <v>-</v>
      </c>
      <c r="BH48" s="31" t="str">
        <f>IF(VLOOKUP(ROUND(CONCATENATE($A48,BH$2),0),'Cadastro dos Padrões'!$A$2:$V$4400,BH$1,FALSE)="","-",VLOOKUP(ROUND(CONCATENATE($A48,BH$2),0),'Cadastro dos Padrões'!$A$2:$V$4400,BH$1,FALSE))</f>
        <v>-</v>
      </c>
      <c r="BI48" s="31" t="str">
        <f>IF(VLOOKUP(ROUND(CONCATENATE($A48,BI$2),0),'Cadastro dos Padrões'!$A$2:$V$4400,BI$1,FALSE)="","-",VLOOKUP(ROUND(CONCATENATE($A48,BI$2),0),'Cadastro dos Padrões'!$A$2:$V$4400,BI$1,FALSE))</f>
        <v>-</v>
      </c>
      <c r="BJ48" s="31" t="str">
        <f>IF(VLOOKUP(ROUND(CONCATENATE($A48,BJ$2),0),'Cadastro dos Padrões'!$A$2:$V$4400,BJ$1,FALSE)="","-",VLOOKUP(ROUND(CONCATENATE($A48,BJ$2),0),'Cadastro dos Padrões'!$A$2:$V$4400,BJ$1,FALSE))</f>
        <v>-</v>
      </c>
      <c r="BK48" s="31" t="str">
        <f>IF(VLOOKUP(ROUND(CONCATENATE($A48,BK$2),0),'Cadastro dos Padrões'!$A$2:$V$4400,BK$1,FALSE)="","-",VLOOKUP(ROUND(CONCATENATE($A48,BK$2),0),'Cadastro dos Padrões'!$A$2:$V$4400,BK$1,FALSE))</f>
        <v>-</v>
      </c>
      <c r="BL48" s="31" t="str">
        <f>IF(VLOOKUP(ROUND(CONCATENATE($A48,BL$2),0),'Cadastro dos Padrões'!$A$2:$V$4400,BL$1,FALSE)="","-",VLOOKUP(ROUND(CONCATENATE($A48,BL$2),0),'Cadastro dos Padrões'!$A$2:$V$4400,BL$1,FALSE))</f>
        <v>-</v>
      </c>
      <c r="BM48" s="31" t="str">
        <f>IF(VLOOKUP(ROUND(CONCATENATE($A48,BM$2),0),'Cadastro dos Padrões'!$A$2:$V$4400,BM$1,FALSE)="","-",VLOOKUP(ROUND(CONCATENATE($A48,BM$2),0),'Cadastro dos Padrões'!$A$2:$V$4400,BM$1,FALSE))</f>
        <v>-</v>
      </c>
      <c r="BN48" s="31" t="str">
        <f>IF(VLOOKUP(ROUND(CONCATENATE($A48,BN$2),0),'Cadastro dos Padrões'!$A$2:$V$4400,BN$1,FALSE)="","-",VLOOKUP(ROUND(CONCATENATE($A48,BN$2),0),'Cadastro dos Padrões'!$A$2:$V$4400,BN$1,FALSE))</f>
        <v>-</v>
      </c>
      <c r="BO48" s="31" t="str">
        <f>IF(VLOOKUP(ROUND(CONCATENATE($A48,BO$2),0),'Cadastro dos Padrões'!$A$2:$V$4400,BO$1,FALSE)="","-",VLOOKUP(ROUND(CONCATENATE($A48,BO$2),0),'Cadastro dos Padrões'!$A$2:$V$4400,BO$1,FALSE))</f>
        <v>-</v>
      </c>
    </row>
    <row r="49" spans="1:67" x14ac:dyDescent="0.3">
      <c r="A49" s="6">
        <f t="shared" si="52"/>
        <v>44</v>
      </c>
      <c r="B49" s="31" t="str">
        <f>IF(VLOOKUP(ROUND(CONCATENATE($A49,B$2),0),'Cadastro dos Padrões'!$A$2:$V$4400,B$1,FALSE)="","-",VLOOKUP(ROUND(CONCATENATE($A49,B$2),0),'Cadastro dos Padrões'!$A$2:$V$4400,B$1,FALSE))</f>
        <v>EL-954</v>
      </c>
      <c r="C49" s="31" t="str">
        <f>IF($B49="-","-",VLOOKUP(ROUND(CONCATENATE($A49,C$2),0),'Cadastro dos Padrões'!$A$2:$V$4400,C$1,FALSE))</f>
        <v>Termohigrômetro Digital</v>
      </c>
      <c r="D49" s="31">
        <f>IF($B49="-","-",VLOOKUP(ROUND(CONCATENATE($A49,D$2),0),'Cadastro dos Padrões'!$A$2:$V$4400,D$1,FALSE))</f>
        <v>20</v>
      </c>
      <c r="E49" s="31" t="str">
        <f>IF($B49="-","-",VLOOKUP(ROUND(CONCATENATE($A49,E$2),0),'Cadastro dos Padrões'!$A$2:$V$4400,E$1,FALSE))</f>
        <v>Elus</v>
      </c>
      <c r="F49" s="31" t="str">
        <f>IF($B49="-","-",VLOOKUP(ROUND(CONCATENATE($A49,F$2),0),'Cadastro dos Padrões'!$A$2:$V$4400,F$1,FALSE))</f>
        <v>RBC - CAL 0439</v>
      </c>
      <c r="G49" s="31" t="str">
        <f>IF($B49="-","-",VLOOKUP(ROUND(CONCATENATE($A49,G$2),0),'Cadastro dos Padrões'!$A$2:$V$4400,G$1,FALSE))</f>
        <v>R0044/20</v>
      </c>
      <c r="H49" s="32">
        <f>IF($B49="-","-",VLOOKUP(ROUND(CONCATENATE($A49,H$2),0),'Cadastro dos Padrões'!$A$2:$V$4400,H$1,FALSE))</f>
        <v>43892</v>
      </c>
      <c r="I49" s="33">
        <f>IF($B49="-","-",VLOOKUP(ROUND(CONCATENATE($A49,I$2),0),'Cadastro dos Padrões'!$A$2:$V$4400,I$1,FALSE))</f>
        <v>44286</v>
      </c>
      <c r="J49" s="31" t="str">
        <f>IF($B49="-","-",VLOOKUP(ROUND(CONCATENATE($A49,J$2),0),'Cadastro dos Padrões'!$A$2:$V$4400,J$1,FALSE))</f>
        <v>%ur</v>
      </c>
      <c r="K49" s="31">
        <f>IF($B49="-","-",VLOOKUP(ROUND(CONCATENATE($A49,K$2),0),'Cadastro dos Padrões'!$A$2:$V$4400,K$1,FALSE))</f>
        <v>30</v>
      </c>
      <c r="L49" s="31">
        <f>IF($B49="-","-",VLOOKUP(ROUND(CONCATENATE($A49,L$2),0),'Cadastro dos Padrões'!$A$2:$V$4400,L$1,FALSE))</f>
        <v>80</v>
      </c>
      <c r="M49" s="31">
        <f>IF($B49="-","-",VLOOKUP(ROUND(CONCATENATE($A49,M$2),0),'Cadastro dos Padrões'!$A$2:$V$4400,M$1,FALSE))</f>
        <v>1</v>
      </c>
      <c r="N49" s="31">
        <f>IF($B49="-","-",VLOOKUP(ROUND(CONCATENATE($A49,N$2),0),'Cadastro dos Padrões'!$A$2:$V$4400,N$1,FALSE))</f>
        <v>4</v>
      </c>
      <c r="O49" s="31">
        <f>IF($B49="-","-",VLOOKUP(ROUND(CONCATENATE($A49,O$2),0),'Cadastro dos Padrões'!$A$2:$V$4400,O$1,FALSE))</f>
        <v>2</v>
      </c>
      <c r="P49" s="31">
        <f>IF($B49="-","-",VLOOKUP(ROUND(CONCATENATE($A49,P$2),0),'Cadastro dos Padrões'!$A$2:$V$4400,P$1,FALSE))</f>
        <v>4</v>
      </c>
      <c r="Q49" s="31">
        <f>IF($B49="-","-",VLOOKUP(ROUND(CONCATENATE($A49,Q$2),0),'Cadastro dos Padrões'!$A$2:$V$4400,Q$1,FALSE))</f>
        <v>2.057602945428421</v>
      </c>
      <c r="R49" s="31">
        <f>IF($B49="-","-",VLOOKUP(ROUND(CONCATENATE($A49,R$2),0),'Cadastro dos Padrões'!$A$2:$V$4400,R$1,FALSE))</f>
        <v>1</v>
      </c>
      <c r="S49" s="31">
        <f>IF($B49="-","-",VLOOKUP(ROUND(CONCATENATE($A49,S$2),0),'Cadastro dos Padrões'!$A$2:$V$4400,S$1,FALSE))</f>
        <v>0</v>
      </c>
      <c r="T49" s="31">
        <f>IF($B49="-","-",VLOOKUP(ROUND(CONCATENATE($A49,T$2),0),'Cadastro dos Padrões'!$A$2:$V$4400,T$1,FALSE))</f>
        <v>0</v>
      </c>
      <c r="U49" s="31">
        <f>IF($B49="-","-",VLOOKUP(ROUND(CONCATENATE($A49,U$2),0),'Cadastro dos Padrões'!$A$2:$V$4400,U$1,FALSE))</f>
        <v>0</v>
      </c>
      <c r="V49" s="31">
        <f>IF($B49="-","-",VLOOKUP(ROUND(CONCATENATE($A49,V$2),0),'Cadastro dos Padrões'!$A$2:$V$4400,V$1,FALSE))</f>
        <v>0</v>
      </c>
      <c r="W49" s="31">
        <f>IF($B49="-","-",VLOOKUP(ROUND(CONCATENATE($A49,W$2),0),'Cadastro dos Padrões'!$A$2:$V$4400,W$1,FALSE))</f>
        <v>0</v>
      </c>
      <c r="X49" s="31">
        <f>IF($B49="-","-",VLOOKUP(ROUND(CONCATENATE($A49,X$2),0),'Cadastro dos Padrões'!$A$2:$V$4400,X$1,FALSE))</f>
        <v>0</v>
      </c>
      <c r="Y49" s="31">
        <f>IF($B49="-","-",VLOOKUP(ROUND(CONCATENATE($A49,Y$2),0),'Cadastro dos Padrões'!$A$2:$V$4400,Y$1,FALSE))</f>
        <v>0</v>
      </c>
      <c r="Z49" s="31">
        <f>IF($B49="-","-",VLOOKUP(ROUND(CONCATENATE($A49,Z$2),0),'Cadastro dos Padrões'!$A$2:$V$4400,Z$1,FALSE))</f>
        <v>1.1511546536039188</v>
      </c>
      <c r="AA49" s="31">
        <f>IF($B49="-","-",VLOOKUP(ROUND(CONCATENATE($A49,AA$2),0),'Cadastro dos Padrões'!$A$2:$V$4400,AA$1,FALSE))</f>
        <v>-6.9104268719384194</v>
      </c>
      <c r="AB49" s="31">
        <f>IF(VLOOKUP(ROUND(CONCATENATE($A49,AB$2),0),'Cadastro dos Padrões'!$A$2:$V$4400,AB$1,FALSE)="","-",VLOOKUP(ROUND(CONCATENATE($A49,AB$2),0),'Cadastro dos Padrões'!$A$2:$V$4400,AB$1,FALSE))</f>
        <v>30</v>
      </c>
      <c r="AC49" s="31">
        <f>IF(VLOOKUP(ROUND(CONCATENATE($A49,AC$2),0),'Cadastro dos Padrões'!$A$2:$V$4400,AC$1,FALSE)="","-",VLOOKUP(ROUND(CONCATENATE($A49,AC$2),0),'Cadastro dos Padrões'!$A$2:$V$4400,AC$1,FALSE))</f>
        <v>2</v>
      </c>
      <c r="AD49" s="31">
        <f>IF(VLOOKUP(ROUND(CONCATENATE($A49,AD$2),0),'Cadastro dos Padrões'!$A$2:$V$4400,AD$1,FALSE)="","-",VLOOKUP(ROUND(CONCATENATE($A49,AD$2),0),'Cadastro dos Padrões'!$A$2:$V$4400,AD$1,FALSE))</f>
        <v>2</v>
      </c>
      <c r="AE49" s="31">
        <f>IF(VLOOKUP(ROUND(CONCATENATE($A49,AE$2),0),'Cadastro dos Padrões'!$A$2:$V$4400,AE$1,FALSE)="","-",VLOOKUP(ROUND(CONCATENATE($A49,AE$2),0),'Cadastro dos Padrões'!$A$2:$V$4400,AE$1,FALSE))</f>
        <v>1000000</v>
      </c>
      <c r="AF49" s="31">
        <f>IF(VLOOKUP(ROUND(CONCATENATE($A49,AF$2),0),'Cadastro dos Padrões'!$A$2:$V$4400,AF$1,FALSE)="","-",VLOOKUP(ROUND(CONCATENATE($A49,AF$2),0),'Cadastro dos Padrões'!$A$2:$V$4400,AF$1,FALSE))</f>
        <v>50</v>
      </c>
      <c r="AG49" s="31">
        <f>IF(VLOOKUP(ROUND(CONCATENATE($A49,AG$2),0),'Cadastro dos Padrões'!$A$2:$V$4400,AG$1,FALSE)="","-",VLOOKUP(ROUND(CONCATENATE($A49,AG$2),0),'Cadastro dos Padrões'!$A$2:$V$4400,AG$1,FALSE))</f>
        <v>2</v>
      </c>
      <c r="AH49" s="31">
        <f>IF(VLOOKUP(ROUND(CONCATENATE($A49,AH$2),0),'Cadastro dos Padrões'!$A$2:$V$4400,AH$1,FALSE)="","-",VLOOKUP(ROUND(CONCATENATE($A49,AH$2),0),'Cadastro dos Padrões'!$A$2:$V$4400,AH$1,FALSE))</f>
        <v>2</v>
      </c>
      <c r="AI49" s="31">
        <f>IF(VLOOKUP(ROUND(CONCATENATE($A49,AI$2),0),'Cadastro dos Padrões'!$A$2:$V$4400,AI$1,FALSE)="","-",VLOOKUP(ROUND(CONCATENATE($A49,AI$2),0),'Cadastro dos Padrões'!$A$2:$V$4400,AI$1,FALSE))</f>
        <v>1000000</v>
      </c>
      <c r="AJ49" s="31">
        <f>IF(VLOOKUP(ROUND(CONCATENATE($A49,AJ$2),0),'Cadastro dos Padrões'!$A$2:$V$4400,AJ$1,FALSE)="","-",VLOOKUP(ROUND(CONCATENATE($A49,AJ$2),0),'Cadastro dos Padrões'!$A$2:$V$4400,AJ$1,FALSE))</f>
        <v>80</v>
      </c>
      <c r="AK49" s="31">
        <f>IF(VLOOKUP(ROUND(CONCATENATE($A49,AK$2),0),'Cadastro dos Padrões'!$A$2:$V$4400,AK$1,FALSE)="","-",VLOOKUP(ROUND(CONCATENATE($A49,AK$2),0),'Cadastro dos Padrões'!$A$2:$V$4400,AK$1,FALSE))</f>
        <v>2</v>
      </c>
      <c r="AL49" s="31">
        <f>IF(VLOOKUP(ROUND(CONCATENATE($A49,AL$2),0),'Cadastro dos Padrões'!$A$2:$V$4400,AL$1,FALSE)="","-",VLOOKUP(ROUND(CONCATENATE($A49,AL$2),0),'Cadastro dos Padrões'!$A$2:$V$4400,AL$1,FALSE))</f>
        <v>2</v>
      </c>
      <c r="AM49" s="31">
        <f>IF(VLOOKUP(ROUND(CONCATENATE($A49,AM$2),0),'Cadastro dos Padrões'!$A$2:$V$4400,AM$1,FALSE)="","-",VLOOKUP(ROUND(CONCATENATE($A49,AM$2),0),'Cadastro dos Padrões'!$A$2:$V$4400,AM$1,FALSE))</f>
        <v>1000000</v>
      </c>
      <c r="AN49" s="31" t="str">
        <f>IF(VLOOKUP(ROUND(CONCATENATE($A49,AN$2),0),'Cadastro dos Padrões'!$A$2:$V$4400,AN$1,FALSE)="","-",VLOOKUP(ROUND(CONCATENATE($A49,AN$2),0),'Cadastro dos Padrões'!$A$2:$V$4400,AN$1,FALSE))</f>
        <v>-</v>
      </c>
      <c r="AO49" s="31" t="str">
        <f>IF(VLOOKUP(ROUND(CONCATENATE($A49,AO$2),0),'Cadastro dos Padrões'!$A$2:$V$4400,AO$1,FALSE)="","-",VLOOKUP(ROUND(CONCATENATE($A49,AO$2),0),'Cadastro dos Padrões'!$A$2:$V$4400,AO$1,FALSE))</f>
        <v>-</v>
      </c>
      <c r="AP49" s="31" t="str">
        <f>IF(VLOOKUP(ROUND(CONCATENATE($A49,AP$2),0),'Cadastro dos Padrões'!$A$2:$V$4400,AP$1,FALSE)="","-",VLOOKUP(ROUND(CONCATENATE($A49,AP$2),0),'Cadastro dos Padrões'!$A$2:$V$4400,AP$1,FALSE))</f>
        <v>-</v>
      </c>
      <c r="AQ49" s="31" t="str">
        <f>IF(VLOOKUP(ROUND(CONCATENATE($A49,AQ$2),0),'Cadastro dos Padrões'!$A$2:$V$4400,AQ$1,FALSE)="","-",VLOOKUP(ROUND(CONCATENATE($A49,AQ$2),0),'Cadastro dos Padrões'!$A$2:$V$4400,AQ$1,FALSE))</f>
        <v>-</v>
      </c>
      <c r="AR49" s="31" t="str">
        <f>IF(VLOOKUP(ROUND(CONCATENATE($A49,AR$2),0),'Cadastro dos Padrões'!$A$2:$V$4400,AR$1,FALSE)="","-",VLOOKUP(ROUND(CONCATENATE($A49,AR$2),0),'Cadastro dos Padrões'!$A$2:$V$4400,AR$1,FALSE))</f>
        <v>-</v>
      </c>
      <c r="AS49" s="31" t="str">
        <f>IF(VLOOKUP(ROUND(CONCATENATE($A49,AS$2),0),'Cadastro dos Padrões'!$A$2:$V$4400,AS$1,FALSE)="","-",VLOOKUP(ROUND(CONCATENATE($A49,AS$2),0),'Cadastro dos Padrões'!$A$2:$V$4400,AS$1,FALSE))</f>
        <v>-</v>
      </c>
      <c r="AT49" s="31" t="str">
        <f>IF(VLOOKUP(ROUND(CONCATENATE($A49,AT$2),0),'Cadastro dos Padrões'!$A$2:$V$4400,AT$1,FALSE)="","-",VLOOKUP(ROUND(CONCATENATE($A49,AT$2),0),'Cadastro dos Padrões'!$A$2:$V$4400,AT$1,FALSE))</f>
        <v>-</v>
      </c>
      <c r="AU49" s="31" t="str">
        <f>IF(VLOOKUP(ROUND(CONCATENATE($A49,AU$2),0),'Cadastro dos Padrões'!$A$2:$V$4400,AU$1,FALSE)="","-",VLOOKUP(ROUND(CONCATENATE($A49,AU$2),0),'Cadastro dos Padrões'!$A$2:$V$4400,AU$1,FALSE))</f>
        <v>-</v>
      </c>
      <c r="AV49" s="31" t="str">
        <f>IF(VLOOKUP(ROUND(CONCATENATE($A49,AV$2),0),'Cadastro dos Padrões'!$A$2:$V$4400,AV$1,FALSE)="","-",VLOOKUP(ROUND(CONCATENATE($A49,AV$2),0),'Cadastro dos Padrões'!$A$2:$V$4400,AV$1,FALSE))</f>
        <v>-</v>
      </c>
      <c r="AW49" s="31" t="str">
        <f>IF(VLOOKUP(ROUND(CONCATENATE($A49,AW$2),0),'Cadastro dos Padrões'!$A$2:$V$4400,AW$1,FALSE)="","-",VLOOKUP(ROUND(CONCATENATE($A49,AW$2),0),'Cadastro dos Padrões'!$A$2:$V$4400,AW$1,FALSE))</f>
        <v>-</v>
      </c>
      <c r="AX49" s="31" t="str">
        <f>IF(VLOOKUP(ROUND(CONCATENATE($A49,AX$2),0),'Cadastro dos Padrões'!$A$2:$V$4400,AX$1,FALSE)="","-",VLOOKUP(ROUND(CONCATENATE($A49,AX$2),0),'Cadastro dos Padrões'!$A$2:$V$4400,AX$1,FALSE))</f>
        <v>-</v>
      </c>
      <c r="AY49" s="31" t="str">
        <f>IF(VLOOKUP(ROUND(CONCATENATE($A49,AY$2),0),'Cadastro dos Padrões'!$A$2:$V$4400,AY$1,FALSE)="","-",VLOOKUP(ROUND(CONCATENATE($A49,AY$2),0),'Cadastro dos Padrões'!$A$2:$V$4400,AY$1,FALSE))</f>
        <v>-</v>
      </c>
      <c r="AZ49" s="31" t="str">
        <f>IF(VLOOKUP(ROUND(CONCATENATE($A49,AZ$2),0),'Cadastro dos Padrões'!$A$2:$V$4400,AZ$1,FALSE)="","-",VLOOKUP(ROUND(CONCATENATE($A49,AZ$2),0),'Cadastro dos Padrões'!$A$2:$V$4400,AZ$1,FALSE))</f>
        <v>-</v>
      </c>
      <c r="BA49" s="31" t="str">
        <f>IF(VLOOKUP(ROUND(CONCATENATE($A49,BA$2),0),'Cadastro dos Padrões'!$A$2:$V$4400,BA$1,FALSE)="","-",VLOOKUP(ROUND(CONCATENATE($A49,BA$2),0),'Cadastro dos Padrões'!$A$2:$V$4400,BA$1,FALSE))</f>
        <v>-</v>
      </c>
      <c r="BB49" s="31" t="str">
        <f>IF(VLOOKUP(ROUND(CONCATENATE($A49,BB$2),0),'Cadastro dos Padrões'!$A$2:$V$4400,BB$1,FALSE)="","-",VLOOKUP(ROUND(CONCATENATE($A49,BB$2),0),'Cadastro dos Padrões'!$A$2:$V$4400,BB$1,FALSE))</f>
        <v>-</v>
      </c>
      <c r="BC49" s="31" t="str">
        <f>IF(VLOOKUP(ROUND(CONCATENATE($A49,BC$2),0),'Cadastro dos Padrões'!$A$2:$V$4400,BC$1,FALSE)="","-",VLOOKUP(ROUND(CONCATENATE($A49,BC$2),0),'Cadastro dos Padrões'!$A$2:$V$4400,BC$1,FALSE))</f>
        <v>-</v>
      </c>
      <c r="BD49" s="31" t="str">
        <f>IF(VLOOKUP(ROUND(CONCATENATE($A49,BD$2),0),'Cadastro dos Padrões'!$A$2:$V$4400,BD$1,FALSE)="","-",VLOOKUP(ROUND(CONCATENATE($A49,BD$2),0),'Cadastro dos Padrões'!$A$2:$V$4400,BD$1,FALSE))</f>
        <v>-</v>
      </c>
      <c r="BE49" s="31" t="str">
        <f>IF(VLOOKUP(ROUND(CONCATENATE($A49,BE$2),0),'Cadastro dos Padrões'!$A$2:$V$4400,BE$1,FALSE)="","-",VLOOKUP(ROUND(CONCATENATE($A49,BE$2),0),'Cadastro dos Padrões'!$A$2:$V$4400,BE$1,FALSE))</f>
        <v>-</v>
      </c>
      <c r="BF49" s="31" t="str">
        <f>IF(VLOOKUP(ROUND(CONCATENATE($A49,BF$2),0),'Cadastro dos Padrões'!$A$2:$V$4400,BF$1,FALSE)="","-",VLOOKUP(ROUND(CONCATENATE($A49,BF$2),0),'Cadastro dos Padrões'!$A$2:$V$4400,BF$1,FALSE))</f>
        <v>-</v>
      </c>
      <c r="BG49" s="31" t="str">
        <f>IF(VLOOKUP(ROUND(CONCATENATE($A49,BG$2),0),'Cadastro dos Padrões'!$A$2:$V$4400,BG$1,FALSE)="","-",VLOOKUP(ROUND(CONCATENATE($A49,BG$2),0),'Cadastro dos Padrões'!$A$2:$V$4400,BG$1,FALSE))</f>
        <v>-</v>
      </c>
      <c r="BH49" s="31" t="str">
        <f>IF(VLOOKUP(ROUND(CONCATENATE($A49,BH$2),0),'Cadastro dos Padrões'!$A$2:$V$4400,BH$1,FALSE)="","-",VLOOKUP(ROUND(CONCATENATE($A49,BH$2),0),'Cadastro dos Padrões'!$A$2:$V$4400,BH$1,FALSE))</f>
        <v>-</v>
      </c>
      <c r="BI49" s="31" t="str">
        <f>IF(VLOOKUP(ROUND(CONCATENATE($A49,BI$2),0),'Cadastro dos Padrões'!$A$2:$V$4400,BI$1,FALSE)="","-",VLOOKUP(ROUND(CONCATENATE($A49,BI$2),0),'Cadastro dos Padrões'!$A$2:$V$4400,BI$1,FALSE))</f>
        <v>-</v>
      </c>
      <c r="BJ49" s="31" t="str">
        <f>IF(VLOOKUP(ROUND(CONCATENATE($A49,BJ$2),0),'Cadastro dos Padrões'!$A$2:$V$4400,BJ$1,FALSE)="","-",VLOOKUP(ROUND(CONCATENATE($A49,BJ$2),0),'Cadastro dos Padrões'!$A$2:$V$4400,BJ$1,FALSE))</f>
        <v>-</v>
      </c>
      <c r="BK49" s="31" t="str">
        <f>IF(VLOOKUP(ROUND(CONCATENATE($A49,BK$2),0),'Cadastro dos Padrões'!$A$2:$V$4400,BK$1,FALSE)="","-",VLOOKUP(ROUND(CONCATENATE($A49,BK$2),0),'Cadastro dos Padrões'!$A$2:$V$4400,BK$1,FALSE))</f>
        <v>-</v>
      </c>
      <c r="BL49" s="31" t="str">
        <f>IF(VLOOKUP(ROUND(CONCATENATE($A49,BL$2),0),'Cadastro dos Padrões'!$A$2:$V$4400,BL$1,FALSE)="","-",VLOOKUP(ROUND(CONCATENATE($A49,BL$2),0),'Cadastro dos Padrões'!$A$2:$V$4400,BL$1,FALSE))</f>
        <v>-</v>
      </c>
      <c r="BM49" s="31" t="str">
        <f>IF(VLOOKUP(ROUND(CONCATENATE($A49,BM$2),0),'Cadastro dos Padrões'!$A$2:$V$4400,BM$1,FALSE)="","-",VLOOKUP(ROUND(CONCATENATE($A49,BM$2),0),'Cadastro dos Padrões'!$A$2:$V$4400,BM$1,FALSE))</f>
        <v>-</v>
      </c>
      <c r="BN49" s="31" t="str">
        <f>IF(VLOOKUP(ROUND(CONCATENATE($A49,BN$2),0),'Cadastro dos Padrões'!$A$2:$V$4400,BN$1,FALSE)="","-",VLOOKUP(ROUND(CONCATENATE($A49,BN$2),0),'Cadastro dos Padrões'!$A$2:$V$4400,BN$1,FALSE))</f>
        <v>-</v>
      </c>
      <c r="BO49" s="31" t="str">
        <f>IF(VLOOKUP(ROUND(CONCATENATE($A49,BO$2),0),'Cadastro dos Padrões'!$A$2:$V$4400,BO$1,FALSE)="","-",VLOOKUP(ROUND(CONCATENATE($A49,BO$2),0),'Cadastro dos Padrões'!$A$2:$V$4400,BO$1,FALSE))</f>
        <v>-</v>
      </c>
    </row>
    <row r="50" spans="1:67" x14ac:dyDescent="0.3">
      <c r="A50" s="6">
        <f t="shared" si="52"/>
        <v>45</v>
      </c>
      <c r="B50" s="31" t="str">
        <f>IF(VLOOKUP(ROUND(CONCATENATE($A50,B$2),0),'Cadastro dos Padrões'!$A$2:$V$4400,B$1,FALSE)="","-",VLOOKUP(ROUND(CONCATENATE($A50,B$2),0),'Cadastro dos Padrões'!$A$2:$V$4400,B$1,FALSE))</f>
        <v>EL-955</v>
      </c>
      <c r="C50" s="31" t="str">
        <f>IF($B50="-","-",VLOOKUP(ROUND(CONCATENATE($A50,C$2),0),'Cadastro dos Padrões'!$A$2:$V$4400,C$1,FALSE))</f>
        <v>Termohigrômetro Digital</v>
      </c>
      <c r="D50" s="31">
        <f>IF($B50="-","-",VLOOKUP(ROUND(CONCATENATE($A50,D$2),0),'Cadastro dos Padrões'!$A$2:$V$4400,D$1,FALSE))</f>
        <v>20</v>
      </c>
      <c r="E50" s="31" t="str">
        <f>IF($B50="-","-",VLOOKUP(ROUND(CONCATENATE($A50,E$2),0),'Cadastro dos Padrões'!$A$2:$V$4400,E$1,FALSE))</f>
        <v>Elus</v>
      </c>
      <c r="F50" s="31" t="str">
        <f>IF($B50="-","-",VLOOKUP(ROUND(CONCATENATE($A50,F$2),0),'Cadastro dos Padrões'!$A$2:$V$4400,F$1,FALSE))</f>
        <v>RBC - CAL 0439</v>
      </c>
      <c r="G50" s="31" t="str">
        <f>IF($B50="-","-",VLOOKUP(ROUND(CONCATENATE($A50,G$2),0),'Cadastro dos Padrões'!$A$2:$V$4400,G$1,FALSE))</f>
        <v>R0013/24</v>
      </c>
      <c r="H50" s="32">
        <f>IF($B50="-","-",VLOOKUP(ROUND(CONCATENATE($A50,H$2),0),'Cadastro dos Padrões'!$A$2:$V$4400,H$1,FALSE))</f>
        <v>45373</v>
      </c>
      <c r="I50" s="33">
        <f>IF($B50="-","-",VLOOKUP(ROUND(CONCATENATE($A50,I$2),0),'Cadastro dos Padrões'!$A$2:$V$4400,I$1,FALSE))</f>
        <v>45747</v>
      </c>
      <c r="J50" s="31" t="str">
        <f>IF($B50="-","-",VLOOKUP(ROUND(CONCATENATE($A50,J$2),0),'Cadastro dos Padrões'!$A$2:$V$4400,J$1,FALSE))</f>
        <v>%ur</v>
      </c>
      <c r="K50" s="31">
        <f>IF($B50="-","-",VLOOKUP(ROUND(CONCATENATE($A50,K$2),0),'Cadastro dos Padrões'!$A$2:$V$4400,K$1,FALSE))</f>
        <v>30</v>
      </c>
      <c r="L50" s="31">
        <f>IF($B50="-","-",VLOOKUP(ROUND(CONCATENATE($A50,L$2),0),'Cadastro dos Padrões'!$A$2:$V$4400,L$1,FALSE))</f>
        <v>80</v>
      </c>
      <c r="M50" s="31">
        <f>IF($B50="-","-",VLOOKUP(ROUND(CONCATENATE($A50,M$2),0),'Cadastro dos Padrões'!$A$2:$V$4400,M$1,FALSE))</f>
        <v>1</v>
      </c>
      <c r="N50" s="31">
        <f>IF($B50="-","-",VLOOKUP(ROUND(CONCATENATE($A50,N$2),0),'Cadastro dos Padrões'!$A$2:$V$4400,N$1,FALSE))</f>
        <v>14</v>
      </c>
      <c r="O50" s="31">
        <f>IF($B50="-","-",VLOOKUP(ROUND(CONCATENATE($A50,O$2),0),'Cadastro dos Padrões'!$A$2:$V$4400,O$1,FALSE))</f>
        <v>2</v>
      </c>
      <c r="P50" s="31">
        <f>IF($B50="-","-",VLOOKUP(ROUND(CONCATENATE($A50,P$2),0),'Cadastro dos Padrões'!$A$2:$V$4400,P$1,FALSE))</f>
        <v>4</v>
      </c>
      <c r="Q50" s="31">
        <f>IF($B50="-","-",VLOOKUP(ROUND(CONCATENATE($A50,Q$2),0),'Cadastro dos Padrões'!$A$2:$V$4400,Q$1,FALSE))</f>
        <v>0.47781848256750692</v>
      </c>
      <c r="R50" s="31">
        <f>IF($B50="-","-",VLOOKUP(ROUND(CONCATENATE($A50,R$2),0),'Cadastro dos Padrões'!$A$2:$V$4400,R$1,FALSE))</f>
        <v>1</v>
      </c>
      <c r="S50" s="31">
        <f>IF($B50="-","-",VLOOKUP(ROUND(CONCATENATE($A50,S$2),0),'Cadastro dos Padrões'!$A$2:$V$4400,S$1,FALSE))</f>
        <v>0</v>
      </c>
      <c r="T50" s="31">
        <f>IF($B50="-","-",VLOOKUP(ROUND(CONCATENATE($A50,T$2),0),'Cadastro dos Padrões'!$A$2:$V$4400,T$1,FALSE))</f>
        <v>0</v>
      </c>
      <c r="U50" s="31">
        <f>IF($B50="-","-",VLOOKUP(ROUND(CONCATENATE($A50,U$2),0),'Cadastro dos Padrões'!$A$2:$V$4400,U$1,FALSE))</f>
        <v>0</v>
      </c>
      <c r="V50" s="31">
        <f>IF($B50="-","-",VLOOKUP(ROUND(CONCATENATE($A50,V$2),0),'Cadastro dos Padrões'!$A$2:$V$4400,V$1,FALSE))</f>
        <v>0</v>
      </c>
      <c r="W50" s="31">
        <f>IF($B50="-","-",VLOOKUP(ROUND(CONCATENATE($A50,W$2),0),'Cadastro dos Padrões'!$A$2:$V$4400,W$1,FALSE))</f>
        <v>0</v>
      </c>
      <c r="X50" s="31">
        <f>IF($B50="-","-",VLOOKUP(ROUND(CONCATENATE($A50,X$2),0),'Cadastro dos Padrões'!$A$2:$V$4400,X$1,FALSE))</f>
        <v>0</v>
      </c>
      <c r="Y50" s="31">
        <f>IF($B50="-","-",VLOOKUP(ROUND(CONCATENATE($A50,Y$2),0),'Cadastro dos Padrões'!$A$2:$V$4400,Y$1,FALSE))</f>
        <v>0</v>
      </c>
      <c r="Z50" s="31">
        <f>IF($B50="-","-",VLOOKUP(ROUND(CONCATENATE($A50,Z$2),0),'Cadastro dos Padrões'!$A$2:$V$4400,Z$1,FALSE))</f>
        <v>1.4726027397260268</v>
      </c>
      <c r="AA50" s="31">
        <f>IF($B50="-","-",VLOOKUP(ROUND(CONCATENATE($A50,AA$2),0),'Cadastro dos Padrões'!$A$2:$V$4400,AA$1,FALSE))</f>
        <v>-17.35159817351596</v>
      </c>
      <c r="AB50" s="31">
        <f>IF(VLOOKUP(ROUND(CONCATENATE($A50,AB$2),0),'Cadastro dos Padrões'!$A$2:$V$4400,AB$1,FALSE)="","-",VLOOKUP(ROUND(CONCATENATE($A50,AB$2),0),'Cadastro dos Padrões'!$A$2:$V$4400,AB$1,FALSE))</f>
        <v>30</v>
      </c>
      <c r="AC50" s="31">
        <f>IF(VLOOKUP(ROUND(CONCATENATE($A50,AC$2),0),'Cadastro dos Padrões'!$A$2:$V$4400,AC$1,FALSE)="","-",VLOOKUP(ROUND(CONCATENATE($A50,AC$2),0),'Cadastro dos Padrões'!$A$2:$V$4400,AC$1,FALSE))</f>
        <v>2</v>
      </c>
      <c r="AD50" s="31">
        <f>IF(VLOOKUP(ROUND(CONCATENATE($A50,AD$2),0),'Cadastro dos Padrões'!$A$2:$V$4400,AD$1,FALSE)="","-",VLOOKUP(ROUND(CONCATENATE($A50,AD$2),0),'Cadastro dos Padrões'!$A$2:$V$4400,AD$1,FALSE))</f>
        <v>2</v>
      </c>
      <c r="AE50" s="31">
        <f>IF(VLOOKUP(ROUND(CONCATENATE($A50,AE$2),0),'Cadastro dos Padrões'!$A$2:$V$4400,AE$1,FALSE)="","-",VLOOKUP(ROUND(CONCATENATE($A50,AE$2),0),'Cadastro dos Padrões'!$A$2:$V$4400,AE$1,FALSE))</f>
        <v>1000000</v>
      </c>
      <c r="AF50" s="31">
        <f>IF(VLOOKUP(ROUND(CONCATENATE($A50,AF$2),0),'Cadastro dos Padrões'!$A$2:$V$4400,AF$1,FALSE)="","-",VLOOKUP(ROUND(CONCATENATE($A50,AF$2),0),'Cadastro dos Padrões'!$A$2:$V$4400,AF$1,FALSE))</f>
        <v>50</v>
      </c>
      <c r="AG50" s="31">
        <f>IF(VLOOKUP(ROUND(CONCATENATE($A50,AG$2),0),'Cadastro dos Padrões'!$A$2:$V$4400,AG$1,FALSE)="","-",VLOOKUP(ROUND(CONCATENATE($A50,AG$2),0),'Cadastro dos Padrões'!$A$2:$V$4400,AG$1,FALSE))</f>
        <v>2</v>
      </c>
      <c r="AH50" s="31">
        <f>IF(VLOOKUP(ROUND(CONCATENATE($A50,AH$2),0),'Cadastro dos Padrões'!$A$2:$V$4400,AH$1,FALSE)="","-",VLOOKUP(ROUND(CONCATENATE($A50,AH$2),0),'Cadastro dos Padrões'!$A$2:$V$4400,AH$1,FALSE))</f>
        <v>2</v>
      </c>
      <c r="AI50" s="31">
        <f>IF(VLOOKUP(ROUND(CONCATENATE($A50,AI$2),0),'Cadastro dos Padrões'!$A$2:$V$4400,AI$1,FALSE)="","-",VLOOKUP(ROUND(CONCATENATE($A50,AI$2),0),'Cadastro dos Padrões'!$A$2:$V$4400,AI$1,FALSE))</f>
        <v>1000000</v>
      </c>
      <c r="AJ50" s="31">
        <f>IF(VLOOKUP(ROUND(CONCATENATE($A50,AJ$2),0),'Cadastro dos Padrões'!$A$2:$V$4400,AJ$1,FALSE)="","-",VLOOKUP(ROUND(CONCATENATE($A50,AJ$2),0),'Cadastro dos Padrões'!$A$2:$V$4400,AJ$1,FALSE))</f>
        <v>80</v>
      </c>
      <c r="AK50" s="31">
        <f>IF(VLOOKUP(ROUND(CONCATENATE($A50,AK$2),0),'Cadastro dos Padrões'!$A$2:$V$4400,AK$1,FALSE)="","-",VLOOKUP(ROUND(CONCATENATE($A50,AK$2),0),'Cadastro dos Padrões'!$A$2:$V$4400,AK$1,FALSE))</f>
        <v>2</v>
      </c>
      <c r="AL50" s="31">
        <f>IF(VLOOKUP(ROUND(CONCATENATE($A50,AL$2),0),'Cadastro dos Padrões'!$A$2:$V$4400,AL$1,FALSE)="","-",VLOOKUP(ROUND(CONCATENATE($A50,AL$2),0),'Cadastro dos Padrões'!$A$2:$V$4400,AL$1,FALSE))</f>
        <v>2</v>
      </c>
      <c r="AM50" s="31">
        <f>IF(VLOOKUP(ROUND(CONCATENATE($A50,AM$2),0),'Cadastro dos Padrões'!$A$2:$V$4400,AM$1,FALSE)="","-",VLOOKUP(ROUND(CONCATENATE($A50,AM$2),0),'Cadastro dos Padrões'!$A$2:$V$4400,AM$1,FALSE))</f>
        <v>1000000</v>
      </c>
      <c r="AN50" s="31" t="str">
        <f>IF(VLOOKUP(ROUND(CONCATENATE($A50,AN$2),0),'Cadastro dos Padrões'!$A$2:$V$4400,AN$1,FALSE)="","-",VLOOKUP(ROUND(CONCATENATE($A50,AN$2),0),'Cadastro dos Padrões'!$A$2:$V$4400,AN$1,FALSE))</f>
        <v>-</v>
      </c>
      <c r="AO50" s="31" t="str">
        <f>IF(VLOOKUP(ROUND(CONCATENATE($A50,AO$2),0),'Cadastro dos Padrões'!$A$2:$V$4400,AO$1,FALSE)="","-",VLOOKUP(ROUND(CONCATENATE($A50,AO$2),0),'Cadastro dos Padrões'!$A$2:$V$4400,AO$1,FALSE))</f>
        <v>-</v>
      </c>
      <c r="AP50" s="31" t="str">
        <f>IF(VLOOKUP(ROUND(CONCATENATE($A50,AP$2),0),'Cadastro dos Padrões'!$A$2:$V$4400,AP$1,FALSE)="","-",VLOOKUP(ROUND(CONCATENATE($A50,AP$2),0),'Cadastro dos Padrões'!$A$2:$V$4400,AP$1,FALSE))</f>
        <v>-</v>
      </c>
      <c r="AQ50" s="31" t="str">
        <f>IF(VLOOKUP(ROUND(CONCATENATE($A50,AQ$2),0),'Cadastro dos Padrões'!$A$2:$V$4400,AQ$1,FALSE)="","-",VLOOKUP(ROUND(CONCATENATE($A50,AQ$2),0),'Cadastro dos Padrões'!$A$2:$V$4400,AQ$1,FALSE))</f>
        <v>-</v>
      </c>
      <c r="AR50" s="31" t="str">
        <f>IF(VLOOKUP(ROUND(CONCATENATE($A50,AR$2),0),'Cadastro dos Padrões'!$A$2:$V$4400,AR$1,FALSE)="","-",VLOOKUP(ROUND(CONCATENATE($A50,AR$2),0),'Cadastro dos Padrões'!$A$2:$V$4400,AR$1,FALSE))</f>
        <v>-</v>
      </c>
      <c r="AS50" s="31" t="str">
        <f>IF(VLOOKUP(ROUND(CONCATENATE($A50,AS$2),0),'Cadastro dos Padrões'!$A$2:$V$4400,AS$1,FALSE)="","-",VLOOKUP(ROUND(CONCATENATE($A50,AS$2),0),'Cadastro dos Padrões'!$A$2:$V$4400,AS$1,FALSE))</f>
        <v>-</v>
      </c>
      <c r="AT50" s="31" t="str">
        <f>IF(VLOOKUP(ROUND(CONCATENATE($A50,AT$2),0),'Cadastro dos Padrões'!$A$2:$V$4400,AT$1,FALSE)="","-",VLOOKUP(ROUND(CONCATENATE($A50,AT$2),0),'Cadastro dos Padrões'!$A$2:$V$4400,AT$1,FALSE))</f>
        <v>-</v>
      </c>
      <c r="AU50" s="31" t="str">
        <f>IF(VLOOKUP(ROUND(CONCATENATE($A50,AU$2),0),'Cadastro dos Padrões'!$A$2:$V$4400,AU$1,FALSE)="","-",VLOOKUP(ROUND(CONCATENATE($A50,AU$2),0),'Cadastro dos Padrões'!$A$2:$V$4400,AU$1,FALSE))</f>
        <v>-</v>
      </c>
      <c r="AV50" s="31" t="str">
        <f>IF(VLOOKUP(ROUND(CONCATENATE($A50,AV$2),0),'Cadastro dos Padrões'!$A$2:$V$4400,AV$1,FALSE)="","-",VLOOKUP(ROUND(CONCATENATE($A50,AV$2),0),'Cadastro dos Padrões'!$A$2:$V$4400,AV$1,FALSE))</f>
        <v>-</v>
      </c>
      <c r="AW50" s="31" t="str">
        <f>IF(VLOOKUP(ROUND(CONCATENATE($A50,AW$2),0),'Cadastro dos Padrões'!$A$2:$V$4400,AW$1,FALSE)="","-",VLOOKUP(ROUND(CONCATENATE($A50,AW$2),0),'Cadastro dos Padrões'!$A$2:$V$4400,AW$1,FALSE))</f>
        <v>-</v>
      </c>
      <c r="AX50" s="31" t="str">
        <f>IF(VLOOKUP(ROUND(CONCATENATE($A50,AX$2),0),'Cadastro dos Padrões'!$A$2:$V$4400,AX$1,FALSE)="","-",VLOOKUP(ROUND(CONCATENATE($A50,AX$2),0),'Cadastro dos Padrões'!$A$2:$V$4400,AX$1,FALSE))</f>
        <v>-</v>
      </c>
      <c r="AY50" s="31" t="str">
        <f>IF(VLOOKUP(ROUND(CONCATENATE($A50,AY$2),0),'Cadastro dos Padrões'!$A$2:$V$4400,AY$1,FALSE)="","-",VLOOKUP(ROUND(CONCATENATE($A50,AY$2),0),'Cadastro dos Padrões'!$A$2:$V$4400,AY$1,FALSE))</f>
        <v>-</v>
      </c>
      <c r="AZ50" s="31" t="str">
        <f>IF(VLOOKUP(ROUND(CONCATENATE($A50,AZ$2),0),'Cadastro dos Padrões'!$A$2:$V$4400,AZ$1,FALSE)="","-",VLOOKUP(ROUND(CONCATENATE($A50,AZ$2),0),'Cadastro dos Padrões'!$A$2:$V$4400,AZ$1,FALSE))</f>
        <v>-</v>
      </c>
      <c r="BA50" s="31" t="str">
        <f>IF(VLOOKUP(ROUND(CONCATENATE($A50,BA$2),0),'Cadastro dos Padrões'!$A$2:$V$4400,BA$1,FALSE)="","-",VLOOKUP(ROUND(CONCATENATE($A50,BA$2),0),'Cadastro dos Padrões'!$A$2:$V$4400,BA$1,FALSE))</f>
        <v>-</v>
      </c>
      <c r="BB50" s="31" t="str">
        <f>IF(VLOOKUP(ROUND(CONCATENATE($A50,BB$2),0),'Cadastro dos Padrões'!$A$2:$V$4400,BB$1,FALSE)="","-",VLOOKUP(ROUND(CONCATENATE($A50,BB$2),0),'Cadastro dos Padrões'!$A$2:$V$4400,BB$1,FALSE))</f>
        <v>-</v>
      </c>
      <c r="BC50" s="31" t="str">
        <f>IF(VLOOKUP(ROUND(CONCATENATE($A50,BC$2),0),'Cadastro dos Padrões'!$A$2:$V$4400,BC$1,FALSE)="","-",VLOOKUP(ROUND(CONCATENATE($A50,BC$2),0),'Cadastro dos Padrões'!$A$2:$V$4400,BC$1,FALSE))</f>
        <v>-</v>
      </c>
      <c r="BD50" s="31" t="str">
        <f>IF(VLOOKUP(ROUND(CONCATENATE($A50,BD$2),0),'Cadastro dos Padrões'!$A$2:$V$4400,BD$1,FALSE)="","-",VLOOKUP(ROUND(CONCATENATE($A50,BD$2),0),'Cadastro dos Padrões'!$A$2:$V$4400,BD$1,FALSE))</f>
        <v>-</v>
      </c>
      <c r="BE50" s="31" t="str">
        <f>IF(VLOOKUP(ROUND(CONCATENATE($A50,BE$2),0),'Cadastro dos Padrões'!$A$2:$V$4400,BE$1,FALSE)="","-",VLOOKUP(ROUND(CONCATENATE($A50,BE$2),0),'Cadastro dos Padrões'!$A$2:$V$4400,BE$1,FALSE))</f>
        <v>-</v>
      </c>
      <c r="BF50" s="31" t="str">
        <f>IF(VLOOKUP(ROUND(CONCATENATE($A50,BF$2),0),'Cadastro dos Padrões'!$A$2:$V$4400,BF$1,FALSE)="","-",VLOOKUP(ROUND(CONCATENATE($A50,BF$2),0),'Cadastro dos Padrões'!$A$2:$V$4400,BF$1,FALSE))</f>
        <v>-</v>
      </c>
      <c r="BG50" s="31" t="str">
        <f>IF(VLOOKUP(ROUND(CONCATENATE($A50,BG$2),0),'Cadastro dos Padrões'!$A$2:$V$4400,BG$1,FALSE)="","-",VLOOKUP(ROUND(CONCATENATE($A50,BG$2),0),'Cadastro dos Padrões'!$A$2:$V$4400,BG$1,FALSE))</f>
        <v>-</v>
      </c>
      <c r="BH50" s="31" t="str">
        <f>IF(VLOOKUP(ROUND(CONCATENATE($A50,BH$2),0),'Cadastro dos Padrões'!$A$2:$V$4400,BH$1,FALSE)="","-",VLOOKUP(ROUND(CONCATENATE($A50,BH$2),0),'Cadastro dos Padrões'!$A$2:$V$4400,BH$1,FALSE))</f>
        <v>-</v>
      </c>
      <c r="BI50" s="31" t="str">
        <f>IF(VLOOKUP(ROUND(CONCATENATE($A50,BI$2),0),'Cadastro dos Padrões'!$A$2:$V$4400,BI$1,FALSE)="","-",VLOOKUP(ROUND(CONCATENATE($A50,BI$2),0),'Cadastro dos Padrões'!$A$2:$V$4400,BI$1,FALSE))</f>
        <v>-</v>
      </c>
      <c r="BJ50" s="31" t="str">
        <f>IF(VLOOKUP(ROUND(CONCATENATE($A50,BJ$2),0),'Cadastro dos Padrões'!$A$2:$V$4400,BJ$1,FALSE)="","-",VLOOKUP(ROUND(CONCATENATE($A50,BJ$2),0),'Cadastro dos Padrões'!$A$2:$V$4400,BJ$1,FALSE))</f>
        <v>-</v>
      </c>
      <c r="BK50" s="31" t="str">
        <f>IF(VLOOKUP(ROUND(CONCATENATE($A50,BK$2),0),'Cadastro dos Padrões'!$A$2:$V$4400,BK$1,FALSE)="","-",VLOOKUP(ROUND(CONCATENATE($A50,BK$2),0),'Cadastro dos Padrões'!$A$2:$V$4400,BK$1,FALSE))</f>
        <v>-</v>
      </c>
      <c r="BL50" s="31" t="str">
        <f>IF(VLOOKUP(ROUND(CONCATENATE($A50,BL$2),0),'Cadastro dos Padrões'!$A$2:$V$4400,BL$1,FALSE)="","-",VLOOKUP(ROUND(CONCATENATE($A50,BL$2),0),'Cadastro dos Padrões'!$A$2:$V$4400,BL$1,FALSE))</f>
        <v>-</v>
      </c>
      <c r="BM50" s="31" t="str">
        <f>IF(VLOOKUP(ROUND(CONCATENATE($A50,BM$2),0),'Cadastro dos Padrões'!$A$2:$V$4400,BM$1,FALSE)="","-",VLOOKUP(ROUND(CONCATENATE($A50,BM$2),0),'Cadastro dos Padrões'!$A$2:$V$4400,BM$1,FALSE))</f>
        <v>-</v>
      </c>
      <c r="BN50" s="31" t="str">
        <f>IF(VLOOKUP(ROUND(CONCATENATE($A50,BN$2),0),'Cadastro dos Padrões'!$A$2:$V$4400,BN$1,FALSE)="","-",VLOOKUP(ROUND(CONCATENATE($A50,BN$2),0),'Cadastro dos Padrões'!$A$2:$V$4400,BN$1,FALSE))</f>
        <v>-</v>
      </c>
      <c r="BO50" s="31" t="str">
        <f>IF(VLOOKUP(ROUND(CONCATENATE($A50,BO$2),0),'Cadastro dos Padrões'!$A$2:$V$4400,BO$1,FALSE)="","-",VLOOKUP(ROUND(CONCATENATE($A50,BO$2),0),'Cadastro dos Padrões'!$A$2:$V$4400,BO$1,FALSE))</f>
        <v>-</v>
      </c>
    </row>
    <row r="51" spans="1:67" x14ac:dyDescent="0.3">
      <c r="A51" s="6">
        <f t="shared" si="52"/>
        <v>46</v>
      </c>
      <c r="B51" s="31" t="str">
        <f>IF(VLOOKUP(ROUND(CONCATENATE($A51,B$2),0),'Cadastro dos Padrões'!$A$2:$V$4400,B$1,FALSE)="","-",VLOOKUP(ROUND(CONCATENATE($A51,B$2),0),'Cadastro dos Padrões'!$A$2:$V$4400,B$1,FALSE))</f>
        <v>E.TH.FS-001</v>
      </c>
      <c r="C51" s="31" t="str">
        <f>IF($B51="-","-",VLOOKUP(ROUND(CONCATENATE($A51,C$2),0),'Cadastro dos Padrões'!$A$2:$V$4400,C$1,FALSE))</f>
        <v>Termohigrômetro Digital</v>
      </c>
      <c r="D51" s="31">
        <f>IF($B51="-","-",VLOOKUP(ROUND(CONCATENATE($A51,D$2),0),'Cadastro dos Padrões'!$A$2:$V$4400,D$1,FALSE))</f>
        <v>20</v>
      </c>
      <c r="E51" s="31" t="str">
        <f>IF($B51="-","-",VLOOKUP(ROUND(CONCATENATE($A51,E$2),0),'Cadastro dos Padrões'!$A$2:$V$4400,E$1,FALSE))</f>
        <v>Elus</v>
      </c>
      <c r="F51" s="31" t="str">
        <f>IF($B51="-","-",VLOOKUP(ROUND(CONCATENATE($A51,F$2),0),'Cadastro dos Padrões'!$A$2:$V$4400,F$1,FALSE))</f>
        <v>RBC - CAL 0439</v>
      </c>
      <c r="G51" s="31" t="str">
        <f>IF($B51="-","-",VLOOKUP(ROUND(CONCATENATE($A51,G$2),0),'Cadastro dos Padrões'!$A$2:$V$4400,G$1,FALSE))</f>
        <v>E0832/25</v>
      </c>
      <c r="H51" s="32">
        <f>IF($B51="-","-",VLOOKUP(ROUND(CONCATENATE($A51,H$2),0),'Cadastro dos Padrões'!$A$2:$V$4400,H$1,FALSE))</f>
        <v>45807</v>
      </c>
      <c r="I51" s="33">
        <f>IF($B51="-","-",VLOOKUP(ROUND(CONCATENATE($A51,I$2),0),'Cadastro dos Padrões'!$A$2:$V$4400,I$1,FALSE))</f>
        <v>46172</v>
      </c>
      <c r="J51" s="31" t="str">
        <f>IF($B51="-","-",VLOOKUP(ROUND(CONCATENATE($A51,J$2),0),'Cadastro dos Padrões'!$A$2:$V$4400,J$1,FALSE))</f>
        <v>%ur</v>
      </c>
      <c r="K51" s="31">
        <f>IF($B51="-","-",VLOOKUP(ROUND(CONCATENATE($A51,K$2),0),'Cadastro dos Padrões'!$A$2:$V$4400,K$1,FALSE))</f>
        <v>30</v>
      </c>
      <c r="L51" s="31">
        <f>IF($B51="-","-",VLOOKUP(ROUND(CONCATENATE($A51,L$2),0),'Cadastro dos Padrões'!$A$2:$V$4400,L$1,FALSE))</f>
        <v>80</v>
      </c>
      <c r="M51" s="31">
        <f>IF($B51="-","-",VLOOKUP(ROUND(CONCATENATE($A51,M$2),0),'Cadastro dos Padrões'!$A$2:$V$4400,M$1,FALSE))</f>
        <v>1</v>
      </c>
      <c r="N51" s="31">
        <f>IF($B51="-","-",VLOOKUP(ROUND(CONCATENATE($A51,N$2),0),'Cadastro dos Padrões'!$A$2:$V$4400,N$1,FALSE))</f>
        <v>4</v>
      </c>
      <c r="O51" s="31">
        <f>IF($B51="-","-",VLOOKUP(ROUND(CONCATENATE($A51,O$2),0),'Cadastro dos Padrões'!$A$2:$V$4400,O$1,FALSE))</f>
        <v>2</v>
      </c>
      <c r="P51" s="31">
        <f>IF($B51="-","-",VLOOKUP(ROUND(CONCATENATE($A51,P$2),0),'Cadastro dos Padrões'!$A$2:$V$4400,P$1,FALSE))</f>
        <v>2</v>
      </c>
      <c r="Q51" s="31">
        <f>IF($B51="-","-",VLOOKUP(ROUND(CONCATENATE($A51,Q$2),0),'Cadastro dos Padrões'!$A$2:$V$4400,Q$1,FALSE))</f>
        <v>0.77037121577134826</v>
      </c>
      <c r="R51" s="31">
        <f>IF($B51="-","-",VLOOKUP(ROUND(CONCATENATE($A51,R$2),0),'Cadastro dos Padrões'!$A$2:$V$4400,R$1,FALSE))</f>
        <v>1</v>
      </c>
      <c r="S51" s="31">
        <f>IF($B51="-","-",VLOOKUP(ROUND(CONCATENATE($A51,S$2),0),'Cadastro dos Padrões'!$A$2:$V$4400,S$1,FALSE))</f>
        <v>0</v>
      </c>
      <c r="T51" s="31">
        <f>IF($B51="-","-",VLOOKUP(ROUND(CONCATENATE($A51,T$2),0),'Cadastro dos Padrões'!$A$2:$V$4400,T$1,FALSE))</f>
        <v>0</v>
      </c>
      <c r="U51" s="31">
        <f>IF($B51="-","-",VLOOKUP(ROUND(CONCATENATE($A51,U$2),0),'Cadastro dos Padrões'!$A$2:$V$4400,U$1,FALSE))</f>
        <v>0</v>
      </c>
      <c r="V51" s="31">
        <f>IF($B51="-","-",VLOOKUP(ROUND(CONCATENATE($A51,V$2),0),'Cadastro dos Padrões'!$A$2:$V$4400,V$1,FALSE))</f>
        <v>0</v>
      </c>
      <c r="W51" s="31">
        <f>IF($B51="-","-",VLOOKUP(ROUND(CONCATENATE($A51,W$2),0),'Cadastro dos Padrões'!$A$2:$V$4400,W$1,FALSE))</f>
        <v>0</v>
      </c>
      <c r="X51" s="31">
        <f>IF($B51="-","-",VLOOKUP(ROUND(CONCATENATE($A51,X$2),0),'Cadastro dos Padrões'!$A$2:$V$4400,X$1,FALSE))</f>
        <v>0</v>
      </c>
      <c r="Y51" s="31">
        <f>IF($B51="-","-",VLOOKUP(ROUND(CONCATENATE($A51,Y$2),0),'Cadastro dos Padrões'!$A$2:$V$4400,Y$1,FALSE))</f>
        <v>0</v>
      </c>
      <c r="Z51" s="31">
        <f>IF($B51="-","-",VLOOKUP(ROUND(CONCATENATE($A51,Z$2),0),'Cadastro dos Padrões'!$A$2:$V$4400,Z$1,FALSE))</f>
        <v>1.1869436201780414</v>
      </c>
      <c r="AA51" s="31">
        <f>IF($B51="-","-",VLOOKUP(ROUND(CONCATENATE($A51,AA$2),0),'Cadastro dos Padrões'!$A$2:$V$4400,AA$1,FALSE))</f>
        <v>-9.9703264094955415</v>
      </c>
      <c r="AB51" s="31">
        <f>IF(VLOOKUP(ROUND(CONCATENATE($A51,AB$2),0),'Cadastro dos Padrões'!$A$2:$V$4400,AB$1,FALSE)="","-",VLOOKUP(ROUND(CONCATENATE($A51,AB$2),0),'Cadastro dos Padrões'!$A$2:$V$4400,AB$1,FALSE))</f>
        <v>30</v>
      </c>
      <c r="AC51" s="31">
        <f>IF(VLOOKUP(ROUND(CONCATENATE($A51,AC$2),0),'Cadastro dos Padrões'!$A$2:$V$4400,AC$1,FALSE)="","-",VLOOKUP(ROUND(CONCATENATE($A51,AC$2),0),'Cadastro dos Padrões'!$A$2:$V$4400,AC$1,FALSE))</f>
        <v>2</v>
      </c>
      <c r="AD51" s="31">
        <f>IF(VLOOKUP(ROUND(CONCATENATE($A51,AD$2),0),'Cadastro dos Padrões'!$A$2:$V$4400,AD$1,FALSE)="","-",VLOOKUP(ROUND(CONCATENATE($A51,AD$2),0),'Cadastro dos Padrões'!$A$2:$V$4400,AD$1,FALSE))</f>
        <v>2</v>
      </c>
      <c r="AE51" s="31">
        <f>IF(VLOOKUP(ROUND(CONCATENATE($A51,AE$2),0),'Cadastro dos Padrões'!$A$2:$V$4400,AE$1,FALSE)="","-",VLOOKUP(ROUND(CONCATENATE($A51,AE$2),0),'Cadastro dos Padrões'!$A$2:$V$4400,AE$1,FALSE))</f>
        <v>1000000</v>
      </c>
      <c r="AF51" s="31">
        <f>IF(VLOOKUP(ROUND(CONCATENATE($A51,AF$2),0),'Cadastro dos Padrões'!$A$2:$V$4400,AF$1,FALSE)="","-",VLOOKUP(ROUND(CONCATENATE($A51,AF$2),0),'Cadastro dos Padrões'!$A$2:$V$4400,AF$1,FALSE))</f>
        <v>50</v>
      </c>
      <c r="AG51" s="31">
        <f>IF(VLOOKUP(ROUND(CONCATENATE($A51,AG$2),0),'Cadastro dos Padrões'!$A$2:$V$4400,AG$1,FALSE)="","-",VLOOKUP(ROUND(CONCATENATE($A51,AG$2),0),'Cadastro dos Padrões'!$A$2:$V$4400,AG$1,FALSE))</f>
        <v>2</v>
      </c>
      <c r="AH51" s="31">
        <f>IF(VLOOKUP(ROUND(CONCATENATE($A51,AH$2),0),'Cadastro dos Padrões'!$A$2:$V$4400,AH$1,FALSE)="","-",VLOOKUP(ROUND(CONCATENATE($A51,AH$2),0),'Cadastro dos Padrões'!$A$2:$V$4400,AH$1,FALSE))</f>
        <v>2</v>
      </c>
      <c r="AI51" s="31">
        <f>IF(VLOOKUP(ROUND(CONCATENATE($A51,AI$2),0),'Cadastro dos Padrões'!$A$2:$V$4400,AI$1,FALSE)="","-",VLOOKUP(ROUND(CONCATENATE($A51,AI$2),0),'Cadastro dos Padrões'!$A$2:$V$4400,AI$1,FALSE))</f>
        <v>1000000</v>
      </c>
      <c r="AJ51" s="31">
        <f>IF(VLOOKUP(ROUND(CONCATENATE($A51,AJ$2),0),'Cadastro dos Padrões'!$A$2:$V$4400,AJ$1,FALSE)="","-",VLOOKUP(ROUND(CONCATENATE($A51,AJ$2),0),'Cadastro dos Padrões'!$A$2:$V$4400,AJ$1,FALSE))</f>
        <v>80</v>
      </c>
      <c r="AK51" s="31">
        <f>IF(VLOOKUP(ROUND(CONCATENATE($A51,AK$2),0),'Cadastro dos Padrões'!$A$2:$V$4400,AK$1,FALSE)="","-",VLOOKUP(ROUND(CONCATENATE($A51,AK$2),0),'Cadastro dos Padrões'!$A$2:$V$4400,AK$1,FALSE))</f>
        <v>2</v>
      </c>
      <c r="AL51" s="31">
        <f>IF(VLOOKUP(ROUND(CONCATENATE($A51,AL$2),0),'Cadastro dos Padrões'!$A$2:$V$4400,AL$1,FALSE)="","-",VLOOKUP(ROUND(CONCATENATE($A51,AL$2),0),'Cadastro dos Padrões'!$A$2:$V$4400,AL$1,FALSE))</f>
        <v>2</v>
      </c>
      <c r="AM51" s="31">
        <f>IF(VLOOKUP(ROUND(CONCATENATE($A51,AM$2),0),'Cadastro dos Padrões'!$A$2:$V$4400,AM$1,FALSE)="","-",VLOOKUP(ROUND(CONCATENATE($A51,AM$2),0),'Cadastro dos Padrões'!$A$2:$V$4400,AM$1,FALSE))</f>
        <v>1000000</v>
      </c>
      <c r="AN51" s="31" t="str">
        <f>IF(VLOOKUP(ROUND(CONCATENATE($A51,AN$2),0),'Cadastro dos Padrões'!$A$2:$V$4400,AN$1,FALSE)="","-",VLOOKUP(ROUND(CONCATENATE($A51,AN$2),0),'Cadastro dos Padrões'!$A$2:$V$4400,AN$1,FALSE))</f>
        <v>-</v>
      </c>
      <c r="AO51" s="31" t="str">
        <f>IF(VLOOKUP(ROUND(CONCATENATE($A51,AO$2),0),'Cadastro dos Padrões'!$A$2:$V$4400,AO$1,FALSE)="","-",VLOOKUP(ROUND(CONCATENATE($A51,AO$2),0),'Cadastro dos Padrões'!$A$2:$V$4400,AO$1,FALSE))</f>
        <v>-</v>
      </c>
      <c r="AP51" s="31" t="str">
        <f>IF(VLOOKUP(ROUND(CONCATENATE($A51,AP$2),0),'Cadastro dos Padrões'!$A$2:$V$4400,AP$1,FALSE)="","-",VLOOKUP(ROUND(CONCATENATE($A51,AP$2),0),'Cadastro dos Padrões'!$A$2:$V$4400,AP$1,FALSE))</f>
        <v>-</v>
      </c>
      <c r="AQ51" s="31" t="str">
        <f>IF(VLOOKUP(ROUND(CONCATENATE($A51,AQ$2),0),'Cadastro dos Padrões'!$A$2:$V$4400,AQ$1,FALSE)="","-",VLOOKUP(ROUND(CONCATENATE($A51,AQ$2),0),'Cadastro dos Padrões'!$A$2:$V$4400,AQ$1,FALSE))</f>
        <v>-</v>
      </c>
      <c r="AR51" s="31" t="str">
        <f>IF(VLOOKUP(ROUND(CONCATENATE($A51,AR$2),0),'Cadastro dos Padrões'!$A$2:$V$4400,AR$1,FALSE)="","-",VLOOKUP(ROUND(CONCATENATE($A51,AR$2),0),'Cadastro dos Padrões'!$A$2:$V$4400,AR$1,FALSE))</f>
        <v>-</v>
      </c>
      <c r="AS51" s="31" t="str">
        <f>IF(VLOOKUP(ROUND(CONCATENATE($A51,AS$2),0),'Cadastro dos Padrões'!$A$2:$V$4400,AS$1,FALSE)="","-",VLOOKUP(ROUND(CONCATENATE($A51,AS$2),0),'Cadastro dos Padrões'!$A$2:$V$4400,AS$1,FALSE))</f>
        <v>-</v>
      </c>
      <c r="AT51" s="31" t="str">
        <f>IF(VLOOKUP(ROUND(CONCATENATE($A51,AT$2),0),'Cadastro dos Padrões'!$A$2:$V$4400,AT$1,FALSE)="","-",VLOOKUP(ROUND(CONCATENATE($A51,AT$2),0),'Cadastro dos Padrões'!$A$2:$V$4400,AT$1,FALSE))</f>
        <v>-</v>
      </c>
      <c r="AU51" s="31" t="str">
        <f>IF(VLOOKUP(ROUND(CONCATENATE($A51,AU$2),0),'Cadastro dos Padrões'!$A$2:$V$4400,AU$1,FALSE)="","-",VLOOKUP(ROUND(CONCATENATE($A51,AU$2),0),'Cadastro dos Padrões'!$A$2:$V$4400,AU$1,FALSE))</f>
        <v>-</v>
      </c>
      <c r="AV51" s="31" t="str">
        <f>IF(VLOOKUP(ROUND(CONCATENATE($A51,AV$2),0),'Cadastro dos Padrões'!$A$2:$V$4400,AV$1,FALSE)="","-",VLOOKUP(ROUND(CONCATENATE($A51,AV$2),0),'Cadastro dos Padrões'!$A$2:$V$4400,AV$1,FALSE))</f>
        <v>-</v>
      </c>
      <c r="AW51" s="31" t="str">
        <f>IF(VLOOKUP(ROUND(CONCATENATE($A51,AW$2),0),'Cadastro dos Padrões'!$A$2:$V$4400,AW$1,FALSE)="","-",VLOOKUP(ROUND(CONCATENATE($A51,AW$2),0),'Cadastro dos Padrões'!$A$2:$V$4400,AW$1,FALSE))</f>
        <v>-</v>
      </c>
      <c r="AX51" s="31" t="str">
        <f>IF(VLOOKUP(ROUND(CONCATENATE($A51,AX$2),0),'Cadastro dos Padrões'!$A$2:$V$4400,AX$1,FALSE)="","-",VLOOKUP(ROUND(CONCATENATE($A51,AX$2),0),'Cadastro dos Padrões'!$A$2:$V$4400,AX$1,FALSE))</f>
        <v>-</v>
      </c>
      <c r="AY51" s="31" t="str">
        <f>IF(VLOOKUP(ROUND(CONCATENATE($A51,AY$2),0),'Cadastro dos Padrões'!$A$2:$V$4400,AY$1,FALSE)="","-",VLOOKUP(ROUND(CONCATENATE($A51,AY$2),0),'Cadastro dos Padrões'!$A$2:$V$4400,AY$1,FALSE))</f>
        <v>-</v>
      </c>
      <c r="AZ51" s="31" t="str">
        <f>IF(VLOOKUP(ROUND(CONCATENATE($A51,AZ$2),0),'Cadastro dos Padrões'!$A$2:$V$4400,AZ$1,FALSE)="","-",VLOOKUP(ROUND(CONCATENATE($A51,AZ$2),0),'Cadastro dos Padrões'!$A$2:$V$4400,AZ$1,FALSE))</f>
        <v>-</v>
      </c>
      <c r="BA51" s="31" t="str">
        <f>IF(VLOOKUP(ROUND(CONCATENATE($A51,BA$2),0),'Cadastro dos Padrões'!$A$2:$V$4400,BA$1,FALSE)="","-",VLOOKUP(ROUND(CONCATENATE($A51,BA$2),0),'Cadastro dos Padrões'!$A$2:$V$4400,BA$1,FALSE))</f>
        <v>-</v>
      </c>
      <c r="BB51" s="31" t="str">
        <f>IF(VLOOKUP(ROUND(CONCATENATE($A51,BB$2),0),'Cadastro dos Padrões'!$A$2:$V$4400,BB$1,FALSE)="","-",VLOOKUP(ROUND(CONCATENATE($A51,BB$2),0),'Cadastro dos Padrões'!$A$2:$V$4400,BB$1,FALSE))</f>
        <v>-</v>
      </c>
      <c r="BC51" s="31" t="str">
        <f>IF(VLOOKUP(ROUND(CONCATENATE($A51,BC$2),0),'Cadastro dos Padrões'!$A$2:$V$4400,BC$1,FALSE)="","-",VLOOKUP(ROUND(CONCATENATE($A51,BC$2),0),'Cadastro dos Padrões'!$A$2:$V$4400,BC$1,FALSE))</f>
        <v>-</v>
      </c>
      <c r="BD51" s="31" t="str">
        <f>IF(VLOOKUP(ROUND(CONCATENATE($A51,BD$2),0),'Cadastro dos Padrões'!$A$2:$V$4400,BD$1,FALSE)="","-",VLOOKUP(ROUND(CONCATENATE($A51,BD$2),0),'Cadastro dos Padrões'!$A$2:$V$4400,BD$1,FALSE))</f>
        <v>-</v>
      </c>
      <c r="BE51" s="31" t="str">
        <f>IF(VLOOKUP(ROUND(CONCATENATE($A51,BE$2),0),'Cadastro dos Padrões'!$A$2:$V$4400,BE$1,FALSE)="","-",VLOOKUP(ROUND(CONCATENATE($A51,BE$2),0),'Cadastro dos Padrões'!$A$2:$V$4400,BE$1,FALSE))</f>
        <v>-</v>
      </c>
      <c r="BF51" s="31" t="str">
        <f>IF(VLOOKUP(ROUND(CONCATENATE($A51,BF$2),0),'Cadastro dos Padrões'!$A$2:$V$4400,BF$1,FALSE)="","-",VLOOKUP(ROUND(CONCATENATE($A51,BF$2),0),'Cadastro dos Padrões'!$A$2:$V$4400,BF$1,FALSE))</f>
        <v>-</v>
      </c>
      <c r="BG51" s="31" t="str">
        <f>IF(VLOOKUP(ROUND(CONCATENATE($A51,BG$2),0),'Cadastro dos Padrões'!$A$2:$V$4400,BG$1,FALSE)="","-",VLOOKUP(ROUND(CONCATENATE($A51,BG$2),0),'Cadastro dos Padrões'!$A$2:$V$4400,BG$1,FALSE))</f>
        <v>-</v>
      </c>
      <c r="BH51" s="31" t="str">
        <f>IF(VLOOKUP(ROUND(CONCATENATE($A51,BH$2),0),'Cadastro dos Padrões'!$A$2:$V$4400,BH$1,FALSE)="","-",VLOOKUP(ROUND(CONCATENATE($A51,BH$2),0),'Cadastro dos Padrões'!$A$2:$V$4400,BH$1,FALSE))</f>
        <v>-</v>
      </c>
      <c r="BI51" s="31" t="str">
        <f>IF(VLOOKUP(ROUND(CONCATENATE($A51,BI$2),0),'Cadastro dos Padrões'!$A$2:$V$4400,BI$1,FALSE)="","-",VLOOKUP(ROUND(CONCATENATE($A51,BI$2),0),'Cadastro dos Padrões'!$A$2:$V$4400,BI$1,FALSE))</f>
        <v>-</v>
      </c>
      <c r="BJ51" s="31" t="str">
        <f>IF(VLOOKUP(ROUND(CONCATENATE($A51,BJ$2),0),'Cadastro dos Padrões'!$A$2:$V$4400,BJ$1,FALSE)="","-",VLOOKUP(ROUND(CONCATENATE($A51,BJ$2),0),'Cadastro dos Padrões'!$A$2:$V$4400,BJ$1,FALSE))</f>
        <v>-</v>
      </c>
      <c r="BK51" s="31" t="str">
        <f>IF(VLOOKUP(ROUND(CONCATENATE($A51,BK$2),0),'Cadastro dos Padrões'!$A$2:$V$4400,BK$1,FALSE)="","-",VLOOKUP(ROUND(CONCATENATE($A51,BK$2),0),'Cadastro dos Padrões'!$A$2:$V$4400,BK$1,FALSE))</f>
        <v>-</v>
      </c>
      <c r="BL51" s="31" t="str">
        <f>IF(VLOOKUP(ROUND(CONCATENATE($A51,BL$2),0),'Cadastro dos Padrões'!$A$2:$V$4400,BL$1,FALSE)="","-",VLOOKUP(ROUND(CONCATENATE($A51,BL$2),0),'Cadastro dos Padrões'!$A$2:$V$4400,BL$1,FALSE))</f>
        <v>-</v>
      </c>
      <c r="BM51" s="31" t="str">
        <f>IF(VLOOKUP(ROUND(CONCATENATE($A51,BM$2),0),'Cadastro dos Padrões'!$A$2:$V$4400,BM$1,FALSE)="","-",VLOOKUP(ROUND(CONCATENATE($A51,BM$2),0),'Cadastro dos Padrões'!$A$2:$V$4400,BM$1,FALSE))</f>
        <v>-</v>
      </c>
      <c r="BN51" s="31" t="str">
        <f>IF(VLOOKUP(ROUND(CONCATENATE($A51,BN$2),0),'Cadastro dos Padrões'!$A$2:$V$4400,BN$1,FALSE)="","-",VLOOKUP(ROUND(CONCATENATE($A51,BN$2),0),'Cadastro dos Padrões'!$A$2:$V$4400,BN$1,FALSE))</f>
        <v>-</v>
      </c>
      <c r="BO51" s="31" t="str">
        <f>IF(VLOOKUP(ROUND(CONCATENATE($A51,BO$2),0),'Cadastro dos Padrões'!$A$2:$V$4400,BO$1,FALSE)="","-",VLOOKUP(ROUND(CONCATENATE($A51,BO$2),0),'Cadastro dos Padrões'!$A$2:$V$4400,BO$1,FALSE))</f>
        <v>-</v>
      </c>
    </row>
    <row r="52" spans="1:67" x14ac:dyDescent="0.3">
      <c r="A52" s="6">
        <f t="shared" si="52"/>
        <v>47</v>
      </c>
      <c r="B52" s="31" t="str">
        <f>IF(VLOOKUP(ROUND(CONCATENATE($A52,B$2),0),'Cadastro dos Padrões'!$A$2:$V$4400,B$1,FALSE)="","-",VLOOKUP(ROUND(CONCATENATE($A52,B$2),0),'Cadastro dos Padrões'!$A$2:$V$4400,B$1,FALSE))</f>
        <v>EL-957</v>
      </c>
      <c r="C52" s="31" t="str">
        <f>IF($B52="-","-",VLOOKUP(ROUND(CONCATENATE($A52,C$2),0),'Cadastro dos Padrões'!$A$2:$V$4400,C$1,FALSE))</f>
        <v>Termohigrômetro Digital</v>
      </c>
      <c r="D52" s="31">
        <f>IF($B52="-","-",VLOOKUP(ROUND(CONCATENATE($A52,D$2),0),'Cadastro dos Padrões'!$A$2:$V$4400,D$1,FALSE))</f>
        <v>20</v>
      </c>
      <c r="E52" s="31" t="str">
        <f>IF($B52="-","-",VLOOKUP(ROUND(CONCATENATE($A52,E$2),0),'Cadastro dos Padrões'!$A$2:$V$4400,E$1,FALSE))</f>
        <v>Elus</v>
      </c>
      <c r="F52" s="31" t="str">
        <f>IF($B52="-","-",VLOOKUP(ROUND(CONCATENATE($A52,F$2),0),'Cadastro dos Padrões'!$A$2:$V$4400,F$1,FALSE))</f>
        <v>RBC - CAL 0439</v>
      </c>
      <c r="G52" s="31" t="str">
        <f>IF($B52="-","-",VLOOKUP(ROUND(CONCATENATE($A52,G$2),0),'Cadastro dos Padrões'!$A$2:$V$4400,G$1,FALSE))</f>
        <v>R0047/20</v>
      </c>
      <c r="H52" s="32">
        <f>IF($B52="-","-",VLOOKUP(ROUND(CONCATENATE($A52,H$2),0),'Cadastro dos Padrões'!$A$2:$V$4400,H$1,FALSE))</f>
        <v>43892</v>
      </c>
      <c r="I52" s="33">
        <f>IF($B52="-","-",VLOOKUP(ROUND(CONCATENATE($A52,I$2),0),'Cadastro dos Padrões'!$A$2:$V$4400,I$1,FALSE))</f>
        <v>44286</v>
      </c>
      <c r="J52" s="31" t="str">
        <f>IF($B52="-","-",VLOOKUP(ROUND(CONCATENATE($A52,J$2),0),'Cadastro dos Padrões'!$A$2:$V$4400,J$1,FALSE))</f>
        <v>%ur</v>
      </c>
      <c r="K52" s="31">
        <f>IF($B52="-","-",VLOOKUP(ROUND(CONCATENATE($A52,K$2),0),'Cadastro dos Padrões'!$A$2:$V$4400,K$1,FALSE))</f>
        <v>30</v>
      </c>
      <c r="L52" s="31">
        <f>IF($B52="-","-",VLOOKUP(ROUND(CONCATENATE($A52,L$2),0),'Cadastro dos Padrões'!$A$2:$V$4400,L$1,FALSE))</f>
        <v>80</v>
      </c>
      <c r="M52" s="31">
        <f>IF($B52="-","-",VLOOKUP(ROUND(CONCATENATE($A52,M$2),0),'Cadastro dos Padrões'!$A$2:$V$4400,M$1,FALSE))</f>
        <v>1</v>
      </c>
      <c r="N52" s="31">
        <f>IF($B52="-","-",VLOOKUP(ROUND(CONCATENATE($A52,N$2),0),'Cadastro dos Padrões'!$A$2:$V$4400,N$1,FALSE))</f>
        <v>3</v>
      </c>
      <c r="O52" s="31">
        <f>IF($B52="-","-",VLOOKUP(ROUND(CONCATENATE($A52,O$2),0),'Cadastro dos Padrões'!$A$2:$V$4400,O$1,FALSE))</f>
        <v>2</v>
      </c>
      <c r="P52" s="31">
        <f>IF($B52="-","-",VLOOKUP(ROUND(CONCATENATE($A52,P$2),0),'Cadastro dos Padrões'!$A$2:$V$4400,P$1,FALSE))</f>
        <v>3</v>
      </c>
      <c r="Q52" s="31">
        <f>IF($B52="-","-",VLOOKUP(ROUND(CONCATENATE($A52,Q$2),0),'Cadastro dos Padrões'!$A$2:$V$4400,Q$1,FALSE))</f>
        <v>0.5298335995093737</v>
      </c>
      <c r="R52" s="31">
        <f>IF($B52="-","-",VLOOKUP(ROUND(CONCATENATE($A52,R$2),0),'Cadastro dos Padrões'!$A$2:$V$4400,R$1,FALSE))</f>
        <v>1</v>
      </c>
      <c r="S52" s="31">
        <f>IF($B52="-","-",VLOOKUP(ROUND(CONCATENATE($A52,S$2),0),'Cadastro dos Padrões'!$A$2:$V$4400,S$1,FALSE))</f>
        <v>0</v>
      </c>
      <c r="T52" s="31">
        <f>IF($B52="-","-",VLOOKUP(ROUND(CONCATENATE($A52,T$2),0),'Cadastro dos Padrões'!$A$2:$V$4400,T$1,FALSE))</f>
        <v>0</v>
      </c>
      <c r="U52" s="31">
        <f>IF($B52="-","-",VLOOKUP(ROUND(CONCATENATE($A52,U$2),0),'Cadastro dos Padrões'!$A$2:$V$4400,U$1,FALSE))</f>
        <v>0</v>
      </c>
      <c r="V52" s="31">
        <f>IF($B52="-","-",VLOOKUP(ROUND(CONCATENATE($A52,V$2),0),'Cadastro dos Padrões'!$A$2:$V$4400,V$1,FALSE))</f>
        <v>0</v>
      </c>
      <c r="W52" s="31">
        <f>IF($B52="-","-",VLOOKUP(ROUND(CONCATENATE($A52,W$2),0),'Cadastro dos Padrões'!$A$2:$V$4400,W$1,FALSE))</f>
        <v>0</v>
      </c>
      <c r="X52" s="31">
        <f>IF($B52="-","-",VLOOKUP(ROUND(CONCATENATE($A52,X$2),0),'Cadastro dos Padrões'!$A$2:$V$4400,X$1,FALSE))</f>
        <v>0</v>
      </c>
      <c r="Y52" s="31">
        <f>IF($B52="-","-",VLOOKUP(ROUND(CONCATENATE($A52,Y$2),0),'Cadastro dos Padrões'!$A$2:$V$4400,Y$1,FALSE))</f>
        <v>0</v>
      </c>
      <c r="Z52" s="31">
        <f>IF($B52="-","-",VLOOKUP(ROUND(CONCATENATE($A52,Z$2),0),'Cadastro dos Padrões'!$A$2:$V$4400,Z$1,FALSE))</f>
        <v>1.0885839051777917</v>
      </c>
      <c r="AA52" s="31">
        <f>IF($B52="-","-",VLOOKUP(ROUND(CONCATENATE($A52,AA$2),0),'Cadastro dos Padrões'!$A$2:$V$4400,AA$1,FALSE))</f>
        <v>-3.9987523393636906</v>
      </c>
      <c r="AB52" s="31">
        <f>IF(VLOOKUP(ROUND(CONCATENATE($A52,AB$2),0),'Cadastro dos Padrões'!$A$2:$V$4400,AB$1,FALSE)="","-",VLOOKUP(ROUND(CONCATENATE($A52,AB$2),0),'Cadastro dos Padrões'!$A$2:$V$4400,AB$1,FALSE))</f>
        <v>30</v>
      </c>
      <c r="AC52" s="31">
        <f>IF(VLOOKUP(ROUND(CONCATENATE($A52,AC$2),0),'Cadastro dos Padrões'!$A$2:$V$4400,AC$1,FALSE)="","-",VLOOKUP(ROUND(CONCATENATE($A52,AC$2),0),'Cadastro dos Padrões'!$A$2:$V$4400,AC$1,FALSE))</f>
        <v>2</v>
      </c>
      <c r="AD52" s="31">
        <f>IF(VLOOKUP(ROUND(CONCATENATE($A52,AD$2),0),'Cadastro dos Padrões'!$A$2:$V$4400,AD$1,FALSE)="","-",VLOOKUP(ROUND(CONCATENATE($A52,AD$2),0),'Cadastro dos Padrões'!$A$2:$V$4400,AD$1,FALSE))</f>
        <v>2</v>
      </c>
      <c r="AE52" s="31">
        <f>IF(VLOOKUP(ROUND(CONCATENATE($A52,AE$2),0),'Cadastro dos Padrões'!$A$2:$V$4400,AE$1,FALSE)="","-",VLOOKUP(ROUND(CONCATENATE($A52,AE$2),0),'Cadastro dos Padrões'!$A$2:$V$4400,AE$1,FALSE))</f>
        <v>1000000</v>
      </c>
      <c r="AF52" s="31">
        <f>IF(VLOOKUP(ROUND(CONCATENATE($A52,AF$2),0),'Cadastro dos Padrões'!$A$2:$V$4400,AF$1,FALSE)="","-",VLOOKUP(ROUND(CONCATENATE($A52,AF$2),0),'Cadastro dos Padrões'!$A$2:$V$4400,AF$1,FALSE))</f>
        <v>50</v>
      </c>
      <c r="AG52" s="31">
        <f>IF(VLOOKUP(ROUND(CONCATENATE($A52,AG$2),0),'Cadastro dos Padrões'!$A$2:$V$4400,AG$1,FALSE)="","-",VLOOKUP(ROUND(CONCATENATE($A52,AG$2),0),'Cadastro dos Padrões'!$A$2:$V$4400,AG$1,FALSE))</f>
        <v>2</v>
      </c>
      <c r="AH52" s="31">
        <f>IF(VLOOKUP(ROUND(CONCATENATE($A52,AH$2),0),'Cadastro dos Padrões'!$A$2:$V$4400,AH$1,FALSE)="","-",VLOOKUP(ROUND(CONCATENATE($A52,AH$2),0),'Cadastro dos Padrões'!$A$2:$V$4400,AH$1,FALSE))</f>
        <v>2</v>
      </c>
      <c r="AI52" s="31">
        <f>IF(VLOOKUP(ROUND(CONCATENATE($A52,AI$2),0),'Cadastro dos Padrões'!$A$2:$V$4400,AI$1,FALSE)="","-",VLOOKUP(ROUND(CONCATENATE($A52,AI$2),0),'Cadastro dos Padrões'!$A$2:$V$4400,AI$1,FALSE))</f>
        <v>1000000</v>
      </c>
      <c r="AJ52" s="31">
        <f>IF(VLOOKUP(ROUND(CONCATENATE($A52,AJ$2),0),'Cadastro dos Padrões'!$A$2:$V$4400,AJ$1,FALSE)="","-",VLOOKUP(ROUND(CONCATENATE($A52,AJ$2),0),'Cadastro dos Padrões'!$A$2:$V$4400,AJ$1,FALSE))</f>
        <v>80</v>
      </c>
      <c r="AK52" s="31">
        <f>IF(VLOOKUP(ROUND(CONCATENATE($A52,AK$2),0),'Cadastro dos Padrões'!$A$2:$V$4400,AK$1,FALSE)="","-",VLOOKUP(ROUND(CONCATENATE($A52,AK$2),0),'Cadastro dos Padrões'!$A$2:$V$4400,AK$1,FALSE))</f>
        <v>2</v>
      </c>
      <c r="AL52" s="31">
        <f>IF(VLOOKUP(ROUND(CONCATENATE($A52,AL$2),0),'Cadastro dos Padrões'!$A$2:$V$4400,AL$1,FALSE)="","-",VLOOKUP(ROUND(CONCATENATE($A52,AL$2),0),'Cadastro dos Padrões'!$A$2:$V$4400,AL$1,FALSE))</f>
        <v>2</v>
      </c>
      <c r="AM52" s="31">
        <f>IF(VLOOKUP(ROUND(CONCATENATE($A52,AM$2),0),'Cadastro dos Padrões'!$A$2:$V$4400,AM$1,FALSE)="","-",VLOOKUP(ROUND(CONCATENATE($A52,AM$2),0),'Cadastro dos Padrões'!$A$2:$V$4400,AM$1,FALSE))</f>
        <v>1000000</v>
      </c>
      <c r="AN52" s="31" t="str">
        <f>IF(VLOOKUP(ROUND(CONCATENATE($A52,AN$2),0),'Cadastro dos Padrões'!$A$2:$V$4400,AN$1,FALSE)="","-",VLOOKUP(ROUND(CONCATENATE($A52,AN$2),0),'Cadastro dos Padrões'!$A$2:$V$4400,AN$1,FALSE))</f>
        <v>-</v>
      </c>
      <c r="AO52" s="31" t="str">
        <f>IF(VLOOKUP(ROUND(CONCATENATE($A52,AO$2),0),'Cadastro dos Padrões'!$A$2:$V$4400,AO$1,FALSE)="","-",VLOOKUP(ROUND(CONCATENATE($A52,AO$2),0),'Cadastro dos Padrões'!$A$2:$V$4400,AO$1,FALSE))</f>
        <v>-</v>
      </c>
      <c r="AP52" s="31" t="str">
        <f>IF(VLOOKUP(ROUND(CONCATENATE($A52,AP$2),0),'Cadastro dos Padrões'!$A$2:$V$4400,AP$1,FALSE)="","-",VLOOKUP(ROUND(CONCATENATE($A52,AP$2),0),'Cadastro dos Padrões'!$A$2:$V$4400,AP$1,FALSE))</f>
        <v>-</v>
      </c>
      <c r="AQ52" s="31" t="str">
        <f>IF(VLOOKUP(ROUND(CONCATENATE($A52,AQ$2),0),'Cadastro dos Padrões'!$A$2:$V$4400,AQ$1,FALSE)="","-",VLOOKUP(ROUND(CONCATENATE($A52,AQ$2),0),'Cadastro dos Padrões'!$A$2:$V$4400,AQ$1,FALSE))</f>
        <v>-</v>
      </c>
      <c r="AR52" s="31" t="str">
        <f>IF(VLOOKUP(ROUND(CONCATENATE($A52,AR$2),0),'Cadastro dos Padrões'!$A$2:$V$4400,AR$1,FALSE)="","-",VLOOKUP(ROUND(CONCATENATE($A52,AR$2),0),'Cadastro dos Padrões'!$A$2:$V$4400,AR$1,FALSE))</f>
        <v>-</v>
      </c>
      <c r="AS52" s="31" t="str">
        <f>IF(VLOOKUP(ROUND(CONCATENATE($A52,AS$2),0),'Cadastro dos Padrões'!$A$2:$V$4400,AS$1,FALSE)="","-",VLOOKUP(ROUND(CONCATENATE($A52,AS$2),0),'Cadastro dos Padrões'!$A$2:$V$4400,AS$1,FALSE))</f>
        <v>-</v>
      </c>
      <c r="AT52" s="31" t="str">
        <f>IF(VLOOKUP(ROUND(CONCATENATE($A52,AT$2),0),'Cadastro dos Padrões'!$A$2:$V$4400,AT$1,FALSE)="","-",VLOOKUP(ROUND(CONCATENATE($A52,AT$2),0),'Cadastro dos Padrões'!$A$2:$V$4400,AT$1,FALSE))</f>
        <v>-</v>
      </c>
      <c r="AU52" s="31" t="str">
        <f>IF(VLOOKUP(ROUND(CONCATENATE($A52,AU$2),0),'Cadastro dos Padrões'!$A$2:$V$4400,AU$1,FALSE)="","-",VLOOKUP(ROUND(CONCATENATE($A52,AU$2),0),'Cadastro dos Padrões'!$A$2:$V$4400,AU$1,FALSE))</f>
        <v>-</v>
      </c>
      <c r="AV52" s="31" t="str">
        <f>IF(VLOOKUP(ROUND(CONCATENATE($A52,AV$2),0),'Cadastro dos Padrões'!$A$2:$V$4400,AV$1,FALSE)="","-",VLOOKUP(ROUND(CONCATENATE($A52,AV$2),0),'Cadastro dos Padrões'!$A$2:$V$4400,AV$1,FALSE))</f>
        <v>-</v>
      </c>
      <c r="AW52" s="31" t="str">
        <f>IF(VLOOKUP(ROUND(CONCATENATE($A52,AW$2),0),'Cadastro dos Padrões'!$A$2:$V$4400,AW$1,FALSE)="","-",VLOOKUP(ROUND(CONCATENATE($A52,AW$2),0),'Cadastro dos Padrões'!$A$2:$V$4400,AW$1,FALSE))</f>
        <v>-</v>
      </c>
      <c r="AX52" s="31" t="str">
        <f>IF(VLOOKUP(ROUND(CONCATENATE($A52,AX$2),0),'Cadastro dos Padrões'!$A$2:$V$4400,AX$1,FALSE)="","-",VLOOKUP(ROUND(CONCATENATE($A52,AX$2),0),'Cadastro dos Padrões'!$A$2:$V$4400,AX$1,FALSE))</f>
        <v>-</v>
      </c>
      <c r="AY52" s="31" t="str">
        <f>IF(VLOOKUP(ROUND(CONCATENATE($A52,AY$2),0),'Cadastro dos Padrões'!$A$2:$V$4400,AY$1,FALSE)="","-",VLOOKUP(ROUND(CONCATENATE($A52,AY$2),0),'Cadastro dos Padrões'!$A$2:$V$4400,AY$1,FALSE))</f>
        <v>-</v>
      </c>
      <c r="AZ52" s="31" t="str">
        <f>IF(VLOOKUP(ROUND(CONCATENATE($A52,AZ$2),0),'Cadastro dos Padrões'!$A$2:$V$4400,AZ$1,FALSE)="","-",VLOOKUP(ROUND(CONCATENATE($A52,AZ$2),0),'Cadastro dos Padrões'!$A$2:$V$4400,AZ$1,FALSE))</f>
        <v>-</v>
      </c>
      <c r="BA52" s="31" t="str">
        <f>IF(VLOOKUP(ROUND(CONCATENATE($A52,BA$2),0),'Cadastro dos Padrões'!$A$2:$V$4400,BA$1,FALSE)="","-",VLOOKUP(ROUND(CONCATENATE($A52,BA$2),0),'Cadastro dos Padrões'!$A$2:$V$4400,BA$1,FALSE))</f>
        <v>-</v>
      </c>
      <c r="BB52" s="31" t="str">
        <f>IF(VLOOKUP(ROUND(CONCATENATE($A52,BB$2),0),'Cadastro dos Padrões'!$A$2:$V$4400,BB$1,FALSE)="","-",VLOOKUP(ROUND(CONCATENATE($A52,BB$2),0),'Cadastro dos Padrões'!$A$2:$V$4400,BB$1,FALSE))</f>
        <v>-</v>
      </c>
      <c r="BC52" s="31" t="str">
        <f>IF(VLOOKUP(ROUND(CONCATENATE($A52,BC$2),0),'Cadastro dos Padrões'!$A$2:$V$4400,BC$1,FALSE)="","-",VLOOKUP(ROUND(CONCATENATE($A52,BC$2),0),'Cadastro dos Padrões'!$A$2:$V$4400,BC$1,FALSE))</f>
        <v>-</v>
      </c>
      <c r="BD52" s="31" t="str">
        <f>IF(VLOOKUP(ROUND(CONCATENATE($A52,BD$2),0),'Cadastro dos Padrões'!$A$2:$V$4400,BD$1,FALSE)="","-",VLOOKUP(ROUND(CONCATENATE($A52,BD$2),0),'Cadastro dos Padrões'!$A$2:$V$4400,BD$1,FALSE))</f>
        <v>-</v>
      </c>
      <c r="BE52" s="31" t="str">
        <f>IF(VLOOKUP(ROUND(CONCATENATE($A52,BE$2),0),'Cadastro dos Padrões'!$A$2:$V$4400,BE$1,FALSE)="","-",VLOOKUP(ROUND(CONCATENATE($A52,BE$2),0),'Cadastro dos Padrões'!$A$2:$V$4400,BE$1,FALSE))</f>
        <v>-</v>
      </c>
      <c r="BF52" s="31" t="str">
        <f>IF(VLOOKUP(ROUND(CONCATENATE($A52,BF$2),0),'Cadastro dos Padrões'!$A$2:$V$4400,BF$1,FALSE)="","-",VLOOKUP(ROUND(CONCATENATE($A52,BF$2),0),'Cadastro dos Padrões'!$A$2:$V$4400,BF$1,FALSE))</f>
        <v>-</v>
      </c>
      <c r="BG52" s="31" t="str">
        <f>IF(VLOOKUP(ROUND(CONCATENATE($A52,BG$2),0),'Cadastro dos Padrões'!$A$2:$V$4400,BG$1,FALSE)="","-",VLOOKUP(ROUND(CONCATENATE($A52,BG$2),0),'Cadastro dos Padrões'!$A$2:$V$4400,BG$1,FALSE))</f>
        <v>-</v>
      </c>
      <c r="BH52" s="31" t="str">
        <f>IF(VLOOKUP(ROUND(CONCATENATE($A52,BH$2),0),'Cadastro dos Padrões'!$A$2:$V$4400,BH$1,FALSE)="","-",VLOOKUP(ROUND(CONCATENATE($A52,BH$2),0),'Cadastro dos Padrões'!$A$2:$V$4400,BH$1,FALSE))</f>
        <v>-</v>
      </c>
      <c r="BI52" s="31" t="str">
        <f>IF(VLOOKUP(ROUND(CONCATENATE($A52,BI$2),0),'Cadastro dos Padrões'!$A$2:$V$4400,BI$1,FALSE)="","-",VLOOKUP(ROUND(CONCATENATE($A52,BI$2),0),'Cadastro dos Padrões'!$A$2:$V$4400,BI$1,FALSE))</f>
        <v>-</v>
      </c>
      <c r="BJ52" s="31" t="str">
        <f>IF(VLOOKUP(ROUND(CONCATENATE($A52,BJ$2),0),'Cadastro dos Padrões'!$A$2:$V$4400,BJ$1,FALSE)="","-",VLOOKUP(ROUND(CONCATENATE($A52,BJ$2),0),'Cadastro dos Padrões'!$A$2:$V$4400,BJ$1,FALSE))</f>
        <v>-</v>
      </c>
      <c r="BK52" s="31" t="str">
        <f>IF(VLOOKUP(ROUND(CONCATENATE($A52,BK$2),0),'Cadastro dos Padrões'!$A$2:$V$4400,BK$1,FALSE)="","-",VLOOKUP(ROUND(CONCATENATE($A52,BK$2),0),'Cadastro dos Padrões'!$A$2:$V$4400,BK$1,FALSE))</f>
        <v>-</v>
      </c>
      <c r="BL52" s="31" t="str">
        <f>IF(VLOOKUP(ROUND(CONCATENATE($A52,BL$2),0),'Cadastro dos Padrões'!$A$2:$V$4400,BL$1,FALSE)="","-",VLOOKUP(ROUND(CONCATENATE($A52,BL$2),0),'Cadastro dos Padrões'!$A$2:$V$4400,BL$1,FALSE))</f>
        <v>-</v>
      </c>
      <c r="BM52" s="31" t="str">
        <f>IF(VLOOKUP(ROUND(CONCATENATE($A52,BM$2),0),'Cadastro dos Padrões'!$A$2:$V$4400,BM$1,FALSE)="","-",VLOOKUP(ROUND(CONCATENATE($A52,BM$2),0),'Cadastro dos Padrões'!$A$2:$V$4400,BM$1,FALSE))</f>
        <v>-</v>
      </c>
      <c r="BN52" s="31" t="str">
        <f>IF(VLOOKUP(ROUND(CONCATENATE($A52,BN$2),0),'Cadastro dos Padrões'!$A$2:$V$4400,BN$1,FALSE)="","-",VLOOKUP(ROUND(CONCATENATE($A52,BN$2),0),'Cadastro dos Padrões'!$A$2:$V$4400,BN$1,FALSE))</f>
        <v>-</v>
      </c>
      <c r="BO52" s="31" t="str">
        <f>IF(VLOOKUP(ROUND(CONCATENATE($A52,BO$2),0),'Cadastro dos Padrões'!$A$2:$V$4400,BO$1,FALSE)="","-",VLOOKUP(ROUND(CONCATENATE($A52,BO$2),0),'Cadastro dos Padrões'!$A$2:$V$4400,BO$1,FALSE))</f>
        <v>-</v>
      </c>
    </row>
    <row r="53" spans="1:67" x14ac:dyDescent="0.3">
      <c r="A53" s="6">
        <f t="shared" si="52"/>
        <v>48</v>
      </c>
      <c r="B53" s="31" t="str">
        <f>IF(VLOOKUP(ROUND(CONCATENATE($A53,B$2),0),'Cadastro dos Padrões'!$A$2:$V$4400,B$1,FALSE)="","-",VLOOKUP(ROUND(CONCATENATE($A53,B$2),0),'Cadastro dos Padrões'!$A$2:$V$4400,B$1,FALSE))</f>
        <v>EL-958</v>
      </c>
      <c r="C53" s="31" t="str">
        <f>IF($B53="-","-",VLOOKUP(ROUND(CONCATENATE($A53,C$2),0),'Cadastro dos Padrões'!$A$2:$V$4400,C$1,FALSE))</f>
        <v>Termohigrômetro Digital</v>
      </c>
      <c r="D53" s="31">
        <f>IF($B53="-","-",VLOOKUP(ROUND(CONCATENATE($A53,D$2),0),'Cadastro dos Padrões'!$A$2:$V$4400,D$1,FALSE))</f>
        <v>20</v>
      </c>
      <c r="E53" s="31" t="str">
        <f>IF($B53="-","-",VLOOKUP(ROUND(CONCATENATE($A53,E$2),0),'Cadastro dos Padrões'!$A$2:$V$4400,E$1,FALSE))</f>
        <v>Elus</v>
      </c>
      <c r="F53" s="31" t="str">
        <f>IF($B53="-","-",VLOOKUP(ROUND(CONCATENATE($A53,F$2),0),'Cadastro dos Padrões'!$A$2:$V$4400,F$1,FALSE))</f>
        <v>RBC - CAL 0439</v>
      </c>
      <c r="G53" s="31" t="str">
        <f>IF($B53="-","-",VLOOKUP(ROUND(CONCATENATE($A53,G$2),0),'Cadastro dos Padrões'!$A$2:$V$4400,G$1,FALSE))</f>
        <v>R0105/21</v>
      </c>
      <c r="H53" s="32">
        <f>IF($B53="-","-",VLOOKUP(ROUND(CONCATENATE($A53,H$2),0),'Cadastro dos Padrões'!$A$2:$V$4400,H$1,FALSE))</f>
        <v>44274</v>
      </c>
      <c r="I53" s="33">
        <f>IF($B53="-","-",VLOOKUP(ROUND(CONCATENATE($A53,I$2),0),'Cadastro dos Padrões'!$A$2:$V$4400,I$1,FALSE))</f>
        <v>44651</v>
      </c>
      <c r="J53" s="31" t="str">
        <f>IF($B53="-","-",VLOOKUP(ROUND(CONCATENATE($A53,J$2),0),'Cadastro dos Padrões'!$A$2:$V$4400,J$1,FALSE))</f>
        <v>%ur</v>
      </c>
      <c r="K53" s="31">
        <f>IF($B53="-","-",VLOOKUP(ROUND(CONCATENATE($A53,K$2),0),'Cadastro dos Padrões'!$A$2:$V$4400,K$1,FALSE))</f>
        <v>30</v>
      </c>
      <c r="L53" s="31">
        <f>IF($B53="-","-",VLOOKUP(ROUND(CONCATENATE($A53,L$2),0),'Cadastro dos Padrões'!$A$2:$V$4400,L$1,FALSE))</f>
        <v>80</v>
      </c>
      <c r="M53" s="31">
        <f>IF($B53="-","-",VLOOKUP(ROUND(CONCATENATE($A53,M$2),0),'Cadastro dos Padrões'!$A$2:$V$4400,M$1,FALSE))</f>
        <v>1</v>
      </c>
      <c r="N53" s="31">
        <f>IF($B53="-","-",VLOOKUP(ROUND(CONCATENATE($A53,N$2),0),'Cadastro dos Padrões'!$A$2:$V$4400,N$1,FALSE))</f>
        <v>7</v>
      </c>
      <c r="O53" s="31">
        <f>IF($B53="-","-",VLOOKUP(ROUND(CONCATENATE($A53,O$2),0),'Cadastro dos Padrões'!$A$2:$V$4400,O$1,FALSE))</f>
        <v>2</v>
      </c>
      <c r="P53" s="31">
        <f>IF($B53="-","-",VLOOKUP(ROUND(CONCATENATE($A53,P$2),0),'Cadastro dos Padrões'!$A$2:$V$4400,P$1,FALSE))</f>
        <v>7</v>
      </c>
      <c r="Q53" s="31">
        <f>IF($B53="-","-",VLOOKUP(ROUND(CONCATENATE($A53,Q$2),0),'Cadastro dos Padrões'!$A$2:$V$4400,Q$1,FALSE))</f>
        <v>0</v>
      </c>
      <c r="R53" s="31">
        <f>IF($B53="-","-",VLOOKUP(ROUND(CONCATENATE($A53,R$2),0),'Cadastro dos Padrões'!$A$2:$V$4400,R$1,FALSE))</f>
        <v>1</v>
      </c>
      <c r="S53" s="31">
        <f>IF($B53="-","-",VLOOKUP(ROUND(CONCATENATE($A53,S$2),0),'Cadastro dos Padrões'!$A$2:$V$4400,S$1,FALSE))</f>
        <v>0</v>
      </c>
      <c r="T53" s="31">
        <f>IF($B53="-","-",VLOOKUP(ROUND(CONCATENATE($A53,T$2),0),'Cadastro dos Padrões'!$A$2:$V$4400,T$1,FALSE))</f>
        <v>0</v>
      </c>
      <c r="U53" s="31">
        <f>IF($B53="-","-",VLOOKUP(ROUND(CONCATENATE($A53,U$2),0),'Cadastro dos Padrões'!$A$2:$V$4400,U$1,FALSE))</f>
        <v>0</v>
      </c>
      <c r="V53" s="31">
        <f>IF($B53="-","-",VLOOKUP(ROUND(CONCATENATE($A53,V$2),0),'Cadastro dos Padrões'!$A$2:$V$4400,V$1,FALSE))</f>
        <v>0</v>
      </c>
      <c r="W53" s="31">
        <f>IF($B53="-","-",VLOOKUP(ROUND(CONCATENATE($A53,W$2),0),'Cadastro dos Padrões'!$A$2:$V$4400,W$1,FALSE))</f>
        <v>0</v>
      </c>
      <c r="X53" s="31">
        <f>IF($B53="-","-",VLOOKUP(ROUND(CONCATENATE($A53,X$2),0),'Cadastro dos Padrões'!$A$2:$V$4400,X$1,FALSE))</f>
        <v>0</v>
      </c>
      <c r="Y53" s="31">
        <f>IF($B53="-","-",VLOOKUP(ROUND(CONCATENATE($A53,Y$2),0),'Cadastro dos Padrões'!$A$2:$V$4400,Y$1,FALSE))</f>
        <v>0</v>
      </c>
      <c r="Z53" s="31">
        <f>IF($B53="-","-",VLOOKUP(ROUND(CONCATENATE($A53,Z$2),0),'Cadastro dos Padrões'!$A$2:$V$4400,Z$1,FALSE))</f>
        <v>1.2499999999999998</v>
      </c>
      <c r="AA53" s="31">
        <f>IF($B53="-","-",VLOOKUP(ROUND(CONCATENATE($A53,AA$2),0),'Cadastro dos Padrões'!$A$2:$V$4400,AA$1,FALSE))</f>
        <v>-11.249999999999979</v>
      </c>
      <c r="AB53" s="31">
        <f>IF(VLOOKUP(ROUND(CONCATENATE($A53,AB$2),0),'Cadastro dos Padrões'!$A$2:$V$4400,AB$1,FALSE)="","-",VLOOKUP(ROUND(CONCATENATE($A53,AB$2),0),'Cadastro dos Padrões'!$A$2:$V$4400,AB$1,FALSE))</f>
        <v>30</v>
      </c>
      <c r="AC53" s="31">
        <f>IF(VLOOKUP(ROUND(CONCATENATE($A53,AC$2),0),'Cadastro dos Padrões'!$A$2:$V$4400,AC$1,FALSE)="","-",VLOOKUP(ROUND(CONCATENATE($A53,AC$2),0),'Cadastro dos Padrões'!$A$2:$V$4400,AC$1,FALSE))</f>
        <v>2</v>
      </c>
      <c r="AD53" s="31">
        <f>IF(VLOOKUP(ROUND(CONCATENATE($A53,AD$2),0),'Cadastro dos Padrões'!$A$2:$V$4400,AD$1,FALSE)="","-",VLOOKUP(ROUND(CONCATENATE($A53,AD$2),0),'Cadastro dos Padrões'!$A$2:$V$4400,AD$1,FALSE))</f>
        <v>2</v>
      </c>
      <c r="AE53" s="31">
        <f>IF(VLOOKUP(ROUND(CONCATENATE($A53,AE$2),0),'Cadastro dos Padrões'!$A$2:$V$4400,AE$1,FALSE)="","-",VLOOKUP(ROUND(CONCATENATE($A53,AE$2),0),'Cadastro dos Padrões'!$A$2:$V$4400,AE$1,FALSE))</f>
        <v>1000000</v>
      </c>
      <c r="AF53" s="31">
        <f>IF(VLOOKUP(ROUND(CONCATENATE($A53,AF$2),0),'Cadastro dos Padrões'!$A$2:$V$4400,AF$1,FALSE)="","-",VLOOKUP(ROUND(CONCATENATE($A53,AF$2),0),'Cadastro dos Padrões'!$A$2:$V$4400,AF$1,FALSE))</f>
        <v>50</v>
      </c>
      <c r="AG53" s="31">
        <f>IF(VLOOKUP(ROUND(CONCATENATE($A53,AG$2),0),'Cadastro dos Padrões'!$A$2:$V$4400,AG$1,FALSE)="","-",VLOOKUP(ROUND(CONCATENATE($A53,AG$2),0),'Cadastro dos Padrões'!$A$2:$V$4400,AG$1,FALSE))</f>
        <v>2</v>
      </c>
      <c r="AH53" s="31">
        <f>IF(VLOOKUP(ROUND(CONCATENATE($A53,AH$2),0),'Cadastro dos Padrões'!$A$2:$V$4400,AH$1,FALSE)="","-",VLOOKUP(ROUND(CONCATENATE($A53,AH$2),0),'Cadastro dos Padrões'!$A$2:$V$4400,AH$1,FALSE))</f>
        <v>2</v>
      </c>
      <c r="AI53" s="31">
        <f>IF(VLOOKUP(ROUND(CONCATENATE($A53,AI$2),0),'Cadastro dos Padrões'!$A$2:$V$4400,AI$1,FALSE)="","-",VLOOKUP(ROUND(CONCATENATE($A53,AI$2),0),'Cadastro dos Padrões'!$A$2:$V$4400,AI$1,FALSE))</f>
        <v>1000000</v>
      </c>
      <c r="AJ53" s="31">
        <f>IF(VLOOKUP(ROUND(CONCATENATE($A53,AJ$2),0),'Cadastro dos Padrões'!$A$2:$V$4400,AJ$1,FALSE)="","-",VLOOKUP(ROUND(CONCATENATE($A53,AJ$2),0),'Cadastro dos Padrões'!$A$2:$V$4400,AJ$1,FALSE))</f>
        <v>80</v>
      </c>
      <c r="AK53" s="31">
        <f>IF(VLOOKUP(ROUND(CONCATENATE($A53,AK$2),0),'Cadastro dos Padrões'!$A$2:$V$4400,AK$1,FALSE)="","-",VLOOKUP(ROUND(CONCATENATE($A53,AK$2),0),'Cadastro dos Padrões'!$A$2:$V$4400,AK$1,FALSE))</f>
        <v>2</v>
      </c>
      <c r="AL53" s="31">
        <f>IF(VLOOKUP(ROUND(CONCATENATE($A53,AL$2),0),'Cadastro dos Padrões'!$A$2:$V$4400,AL$1,FALSE)="","-",VLOOKUP(ROUND(CONCATENATE($A53,AL$2),0),'Cadastro dos Padrões'!$A$2:$V$4400,AL$1,FALSE))</f>
        <v>2</v>
      </c>
      <c r="AM53" s="31">
        <f>IF(VLOOKUP(ROUND(CONCATENATE($A53,AM$2),0),'Cadastro dos Padrões'!$A$2:$V$4400,AM$1,FALSE)="","-",VLOOKUP(ROUND(CONCATENATE($A53,AM$2),0),'Cadastro dos Padrões'!$A$2:$V$4400,AM$1,FALSE))</f>
        <v>1000000</v>
      </c>
      <c r="AN53" s="31" t="str">
        <f>IF(VLOOKUP(ROUND(CONCATENATE($A53,AN$2),0),'Cadastro dos Padrões'!$A$2:$V$4400,AN$1,FALSE)="","-",VLOOKUP(ROUND(CONCATENATE($A53,AN$2),0),'Cadastro dos Padrões'!$A$2:$V$4400,AN$1,FALSE))</f>
        <v>-</v>
      </c>
      <c r="AO53" s="31" t="str">
        <f>IF(VLOOKUP(ROUND(CONCATENATE($A53,AO$2),0),'Cadastro dos Padrões'!$A$2:$V$4400,AO$1,FALSE)="","-",VLOOKUP(ROUND(CONCATENATE($A53,AO$2),0),'Cadastro dos Padrões'!$A$2:$V$4400,AO$1,FALSE))</f>
        <v>-</v>
      </c>
      <c r="AP53" s="31" t="str">
        <f>IF(VLOOKUP(ROUND(CONCATENATE($A53,AP$2),0),'Cadastro dos Padrões'!$A$2:$V$4400,AP$1,FALSE)="","-",VLOOKUP(ROUND(CONCATENATE($A53,AP$2),0),'Cadastro dos Padrões'!$A$2:$V$4400,AP$1,FALSE))</f>
        <v>-</v>
      </c>
      <c r="AQ53" s="31" t="str">
        <f>IF(VLOOKUP(ROUND(CONCATENATE($A53,AQ$2),0),'Cadastro dos Padrões'!$A$2:$V$4400,AQ$1,FALSE)="","-",VLOOKUP(ROUND(CONCATENATE($A53,AQ$2),0),'Cadastro dos Padrões'!$A$2:$V$4400,AQ$1,FALSE))</f>
        <v>-</v>
      </c>
      <c r="AR53" s="31" t="str">
        <f>IF(VLOOKUP(ROUND(CONCATENATE($A53,AR$2),0),'Cadastro dos Padrões'!$A$2:$V$4400,AR$1,FALSE)="","-",VLOOKUP(ROUND(CONCATENATE($A53,AR$2),0),'Cadastro dos Padrões'!$A$2:$V$4400,AR$1,FALSE))</f>
        <v>-</v>
      </c>
      <c r="AS53" s="31" t="str">
        <f>IF(VLOOKUP(ROUND(CONCATENATE($A53,AS$2),0),'Cadastro dos Padrões'!$A$2:$V$4400,AS$1,FALSE)="","-",VLOOKUP(ROUND(CONCATENATE($A53,AS$2),0),'Cadastro dos Padrões'!$A$2:$V$4400,AS$1,FALSE))</f>
        <v>-</v>
      </c>
      <c r="AT53" s="31" t="str">
        <f>IF(VLOOKUP(ROUND(CONCATENATE($A53,AT$2),0),'Cadastro dos Padrões'!$A$2:$V$4400,AT$1,FALSE)="","-",VLOOKUP(ROUND(CONCATENATE($A53,AT$2),0),'Cadastro dos Padrões'!$A$2:$V$4400,AT$1,FALSE))</f>
        <v>-</v>
      </c>
      <c r="AU53" s="31" t="str">
        <f>IF(VLOOKUP(ROUND(CONCATENATE($A53,AU$2),0),'Cadastro dos Padrões'!$A$2:$V$4400,AU$1,FALSE)="","-",VLOOKUP(ROUND(CONCATENATE($A53,AU$2),0),'Cadastro dos Padrões'!$A$2:$V$4400,AU$1,FALSE))</f>
        <v>-</v>
      </c>
      <c r="AV53" s="31" t="str">
        <f>IF(VLOOKUP(ROUND(CONCATENATE($A53,AV$2),0),'Cadastro dos Padrões'!$A$2:$V$4400,AV$1,FALSE)="","-",VLOOKUP(ROUND(CONCATENATE($A53,AV$2),0),'Cadastro dos Padrões'!$A$2:$V$4400,AV$1,FALSE))</f>
        <v>-</v>
      </c>
      <c r="AW53" s="31" t="str">
        <f>IF(VLOOKUP(ROUND(CONCATENATE($A53,AW$2),0),'Cadastro dos Padrões'!$A$2:$V$4400,AW$1,FALSE)="","-",VLOOKUP(ROUND(CONCATENATE($A53,AW$2),0),'Cadastro dos Padrões'!$A$2:$V$4400,AW$1,FALSE))</f>
        <v>-</v>
      </c>
      <c r="AX53" s="31" t="str">
        <f>IF(VLOOKUP(ROUND(CONCATENATE($A53,AX$2),0),'Cadastro dos Padrões'!$A$2:$V$4400,AX$1,FALSE)="","-",VLOOKUP(ROUND(CONCATENATE($A53,AX$2),0),'Cadastro dos Padrões'!$A$2:$V$4400,AX$1,FALSE))</f>
        <v>-</v>
      </c>
      <c r="AY53" s="31" t="str">
        <f>IF(VLOOKUP(ROUND(CONCATENATE($A53,AY$2),0),'Cadastro dos Padrões'!$A$2:$V$4400,AY$1,FALSE)="","-",VLOOKUP(ROUND(CONCATENATE($A53,AY$2),0),'Cadastro dos Padrões'!$A$2:$V$4400,AY$1,FALSE))</f>
        <v>-</v>
      </c>
      <c r="AZ53" s="31" t="str">
        <f>IF(VLOOKUP(ROUND(CONCATENATE($A53,AZ$2),0),'Cadastro dos Padrões'!$A$2:$V$4400,AZ$1,FALSE)="","-",VLOOKUP(ROUND(CONCATENATE($A53,AZ$2),0),'Cadastro dos Padrões'!$A$2:$V$4400,AZ$1,FALSE))</f>
        <v>-</v>
      </c>
      <c r="BA53" s="31" t="str">
        <f>IF(VLOOKUP(ROUND(CONCATENATE($A53,BA$2),0),'Cadastro dos Padrões'!$A$2:$V$4400,BA$1,FALSE)="","-",VLOOKUP(ROUND(CONCATENATE($A53,BA$2),0),'Cadastro dos Padrões'!$A$2:$V$4400,BA$1,FALSE))</f>
        <v>-</v>
      </c>
      <c r="BB53" s="31" t="str">
        <f>IF(VLOOKUP(ROUND(CONCATENATE($A53,BB$2),0),'Cadastro dos Padrões'!$A$2:$V$4400,BB$1,FALSE)="","-",VLOOKUP(ROUND(CONCATENATE($A53,BB$2),0),'Cadastro dos Padrões'!$A$2:$V$4400,BB$1,FALSE))</f>
        <v>-</v>
      </c>
      <c r="BC53" s="31" t="str">
        <f>IF(VLOOKUP(ROUND(CONCATENATE($A53,BC$2),0),'Cadastro dos Padrões'!$A$2:$V$4400,BC$1,FALSE)="","-",VLOOKUP(ROUND(CONCATENATE($A53,BC$2),0),'Cadastro dos Padrões'!$A$2:$V$4400,BC$1,FALSE))</f>
        <v>-</v>
      </c>
      <c r="BD53" s="31" t="str">
        <f>IF(VLOOKUP(ROUND(CONCATENATE($A53,BD$2),0),'Cadastro dos Padrões'!$A$2:$V$4400,BD$1,FALSE)="","-",VLOOKUP(ROUND(CONCATENATE($A53,BD$2),0),'Cadastro dos Padrões'!$A$2:$V$4400,BD$1,FALSE))</f>
        <v>-</v>
      </c>
      <c r="BE53" s="31" t="str">
        <f>IF(VLOOKUP(ROUND(CONCATENATE($A53,BE$2),0),'Cadastro dos Padrões'!$A$2:$V$4400,BE$1,FALSE)="","-",VLOOKUP(ROUND(CONCATENATE($A53,BE$2),0),'Cadastro dos Padrões'!$A$2:$V$4400,BE$1,FALSE))</f>
        <v>-</v>
      </c>
      <c r="BF53" s="31" t="str">
        <f>IF(VLOOKUP(ROUND(CONCATENATE($A53,BF$2),0),'Cadastro dos Padrões'!$A$2:$V$4400,BF$1,FALSE)="","-",VLOOKUP(ROUND(CONCATENATE($A53,BF$2),0),'Cadastro dos Padrões'!$A$2:$V$4400,BF$1,FALSE))</f>
        <v>-</v>
      </c>
      <c r="BG53" s="31" t="str">
        <f>IF(VLOOKUP(ROUND(CONCATENATE($A53,BG$2),0),'Cadastro dos Padrões'!$A$2:$V$4400,BG$1,FALSE)="","-",VLOOKUP(ROUND(CONCATENATE($A53,BG$2),0),'Cadastro dos Padrões'!$A$2:$V$4400,BG$1,FALSE))</f>
        <v>-</v>
      </c>
      <c r="BH53" s="31" t="str">
        <f>IF(VLOOKUP(ROUND(CONCATENATE($A53,BH$2),0),'Cadastro dos Padrões'!$A$2:$V$4400,BH$1,FALSE)="","-",VLOOKUP(ROUND(CONCATENATE($A53,BH$2),0),'Cadastro dos Padrões'!$A$2:$V$4400,BH$1,FALSE))</f>
        <v>-</v>
      </c>
      <c r="BI53" s="31" t="str">
        <f>IF(VLOOKUP(ROUND(CONCATENATE($A53,BI$2),0),'Cadastro dos Padrões'!$A$2:$V$4400,BI$1,FALSE)="","-",VLOOKUP(ROUND(CONCATENATE($A53,BI$2),0),'Cadastro dos Padrões'!$A$2:$V$4400,BI$1,FALSE))</f>
        <v>-</v>
      </c>
      <c r="BJ53" s="31" t="str">
        <f>IF(VLOOKUP(ROUND(CONCATENATE($A53,BJ$2),0),'Cadastro dos Padrões'!$A$2:$V$4400,BJ$1,FALSE)="","-",VLOOKUP(ROUND(CONCATENATE($A53,BJ$2),0),'Cadastro dos Padrões'!$A$2:$V$4400,BJ$1,FALSE))</f>
        <v>-</v>
      </c>
      <c r="BK53" s="31" t="str">
        <f>IF(VLOOKUP(ROUND(CONCATENATE($A53,BK$2),0),'Cadastro dos Padrões'!$A$2:$V$4400,BK$1,FALSE)="","-",VLOOKUP(ROUND(CONCATENATE($A53,BK$2),0),'Cadastro dos Padrões'!$A$2:$V$4400,BK$1,FALSE))</f>
        <v>-</v>
      </c>
      <c r="BL53" s="31" t="str">
        <f>IF(VLOOKUP(ROUND(CONCATENATE($A53,BL$2),0),'Cadastro dos Padrões'!$A$2:$V$4400,BL$1,FALSE)="","-",VLOOKUP(ROUND(CONCATENATE($A53,BL$2),0),'Cadastro dos Padrões'!$A$2:$V$4400,BL$1,FALSE))</f>
        <v>-</v>
      </c>
      <c r="BM53" s="31" t="str">
        <f>IF(VLOOKUP(ROUND(CONCATENATE($A53,BM$2),0),'Cadastro dos Padrões'!$A$2:$V$4400,BM$1,FALSE)="","-",VLOOKUP(ROUND(CONCATENATE($A53,BM$2),0),'Cadastro dos Padrões'!$A$2:$V$4400,BM$1,FALSE))</f>
        <v>-</v>
      </c>
      <c r="BN53" s="31" t="str">
        <f>IF(VLOOKUP(ROUND(CONCATENATE($A53,BN$2),0),'Cadastro dos Padrões'!$A$2:$V$4400,BN$1,FALSE)="","-",VLOOKUP(ROUND(CONCATENATE($A53,BN$2),0),'Cadastro dos Padrões'!$A$2:$V$4400,BN$1,FALSE))</f>
        <v>-</v>
      </c>
      <c r="BO53" s="31" t="str">
        <f>IF(VLOOKUP(ROUND(CONCATENATE($A53,BO$2),0),'Cadastro dos Padrões'!$A$2:$V$4400,BO$1,FALSE)="","-",VLOOKUP(ROUND(CONCATENATE($A53,BO$2),0),'Cadastro dos Padrões'!$A$2:$V$4400,BO$1,FALSE))</f>
        <v>-</v>
      </c>
    </row>
    <row r="54" spans="1:67" x14ac:dyDescent="0.3">
      <c r="A54" s="6">
        <f t="shared" si="52"/>
        <v>49</v>
      </c>
      <c r="B54" s="31" t="str">
        <f>IF(VLOOKUP(ROUND(CONCATENATE($A54,B$2),0),'Cadastro dos Padrões'!$A$2:$V$4400,B$1,FALSE)="","-",VLOOKUP(ROUND(CONCATENATE($A54,B$2),0),'Cadastro dos Padrões'!$A$2:$V$4400,B$1,FALSE))</f>
        <v>E.TH.LT-025</v>
      </c>
      <c r="C54" s="31" t="str">
        <f>IF($B54="-","-",VLOOKUP(ROUND(CONCATENATE($A54,C$2),0),'Cadastro dos Padrões'!$A$2:$V$4400,C$1,FALSE))</f>
        <v>Termohigrômetro Digital</v>
      </c>
      <c r="D54" s="31">
        <f>IF($B54="-","-",VLOOKUP(ROUND(CONCATENATE($A54,D$2),0),'Cadastro dos Padrões'!$A$2:$V$4400,D$1,FALSE))</f>
        <v>20</v>
      </c>
      <c r="E54" s="31" t="str">
        <f>IF($B54="-","-",VLOOKUP(ROUND(CONCATENATE($A54,E$2),0),'Cadastro dos Padrões'!$A$2:$V$4400,E$1,FALSE))</f>
        <v>Elus</v>
      </c>
      <c r="F54" s="31" t="str">
        <f>IF($B54="-","-",VLOOKUP(ROUND(CONCATENATE($A54,F$2),0),'Cadastro dos Padrões'!$A$2:$V$4400,F$1,FALSE))</f>
        <v>RBC - CAL 0439</v>
      </c>
      <c r="G54" s="31" t="str">
        <f>IF($B54="-","-",VLOOKUP(ROUND(CONCATENATE($A54,G$2),0),'Cadastro dos Padrões'!$A$2:$V$4400,G$1,FALSE))</f>
        <v>E0201/25</v>
      </c>
      <c r="H54" s="32">
        <f>IF($B54="-","-",VLOOKUP(ROUND(CONCATENATE($A54,H$2),0),'Cadastro dos Padrões'!$A$2:$V$4400,H$1,FALSE))</f>
        <v>45761</v>
      </c>
      <c r="I54" s="33">
        <f>IF($B54="-","-",VLOOKUP(ROUND(CONCATENATE($A54,I$2),0),'Cadastro dos Padrões'!$A$2:$V$4400,I$1,FALSE))</f>
        <v>46142</v>
      </c>
      <c r="J54" s="31" t="str">
        <f>IF($B54="-","-",VLOOKUP(ROUND(CONCATENATE($A54,J$2),0),'Cadastro dos Padrões'!$A$2:$V$4400,J$1,FALSE))</f>
        <v>%ur</v>
      </c>
      <c r="K54" s="31">
        <f>IF($B54="-","-",VLOOKUP(ROUND(CONCATENATE($A54,K$2),0),'Cadastro dos Padrões'!$A$2:$V$4400,K$1,FALSE))</f>
        <v>20</v>
      </c>
      <c r="L54" s="31">
        <f>IF($B54="-","-",VLOOKUP(ROUND(CONCATENATE($A54,L$2),0),'Cadastro dos Padrões'!$A$2:$V$4400,L$1,FALSE))</f>
        <v>80</v>
      </c>
      <c r="M54" s="31">
        <f>IF($B54="-","-",VLOOKUP(ROUND(CONCATENATE($A54,M$2),0),'Cadastro dos Padrões'!$A$2:$V$4400,M$1,FALSE))</f>
        <v>0.1</v>
      </c>
      <c r="N54" s="31">
        <f>IF($B54="-","-",VLOOKUP(ROUND(CONCATENATE($A54,N$2),0),'Cadastro dos Padrões'!$A$2:$V$4400,N$1,FALSE))</f>
        <v>1.9000000000000057</v>
      </c>
      <c r="O54" s="31">
        <f>IF($B54="-","-",VLOOKUP(ROUND(CONCATENATE($A54,O$2),0),'Cadastro dos Padrões'!$A$2:$V$4400,O$1,FALSE))</f>
        <v>1.1000000000000001</v>
      </c>
      <c r="P54" s="31">
        <f>IF($B54="-","-",VLOOKUP(ROUND(CONCATENATE($A54,P$2),0),'Cadastro dos Padrões'!$A$2:$V$4400,P$1,FALSE))</f>
        <v>1.9000000000000057</v>
      </c>
      <c r="Q54" s="31">
        <f>IF($B54="-","-",VLOOKUP(ROUND(CONCATENATE($A54,Q$2),0),'Cadastro dos Padrões'!$A$2:$V$4400,Q$1,FALSE))</f>
        <v>0.47559919068412171</v>
      </c>
      <c r="R54" s="31">
        <f>IF($B54="-","-",VLOOKUP(ROUND(CONCATENATE($A54,R$2),0),'Cadastro dos Padrões'!$A$2:$V$4400,R$1,FALSE))</f>
        <v>1</v>
      </c>
      <c r="S54" s="31">
        <f>IF($B54="-","-",VLOOKUP(ROUND(CONCATENATE($A54,S$2),0),'Cadastro dos Padrões'!$A$2:$V$4400,S$1,FALSE))</f>
        <v>0</v>
      </c>
      <c r="T54" s="31">
        <f>IF($B54="-","-",VLOOKUP(ROUND(CONCATENATE($A54,T$2),0),'Cadastro dos Padrões'!$A$2:$V$4400,T$1,FALSE))</f>
        <v>0</v>
      </c>
      <c r="U54" s="31">
        <f>IF($B54="-","-",VLOOKUP(ROUND(CONCATENATE($A54,U$2),0),'Cadastro dos Padrões'!$A$2:$V$4400,U$1,FALSE))</f>
        <v>0</v>
      </c>
      <c r="V54" s="31">
        <f>IF($B54="-","-",VLOOKUP(ROUND(CONCATENATE($A54,V$2),0),'Cadastro dos Padrões'!$A$2:$V$4400,V$1,FALSE))</f>
        <v>0</v>
      </c>
      <c r="W54" s="31">
        <f>IF($B54="-","-",VLOOKUP(ROUND(CONCATENATE($A54,W$2),0),'Cadastro dos Padrões'!$A$2:$V$4400,W$1,FALSE))</f>
        <v>0</v>
      </c>
      <c r="X54" s="31">
        <f>IF($B54="-","-",VLOOKUP(ROUND(CONCATENATE($A54,X$2),0),'Cadastro dos Padrões'!$A$2:$V$4400,X$1,FALSE))</f>
        <v>0</v>
      </c>
      <c r="Y54" s="31">
        <f>IF($B54="-","-",VLOOKUP(ROUND(CONCATENATE($A54,Y$2),0),'Cadastro dos Padrões'!$A$2:$V$4400,Y$1,FALSE))</f>
        <v>0</v>
      </c>
      <c r="Z54" s="31">
        <f>IF($B54="-","-",VLOOKUP(ROUND(CONCATENATE($A54,Z$2),0),'Cadastro dos Padrões'!$A$2:$V$4400,Z$1,FALSE))</f>
        <v>0.97075178285319341</v>
      </c>
      <c r="AA54" s="31">
        <f>IF($B54="-","-",VLOOKUP(ROUND(CONCATENATE($A54,AA$2),0),'Cadastro dos Padrões'!$A$2:$V$4400,AA$1,FALSE))</f>
        <v>0.68580943105776981</v>
      </c>
      <c r="AB54" s="31">
        <f>IF(VLOOKUP(ROUND(CONCATENATE($A54,AB$2),0),'Cadastro dos Padrões'!$A$2:$V$4400,AB$1,FALSE)="","-",VLOOKUP(ROUND(CONCATENATE($A54,AB$2),0),'Cadastro dos Padrões'!$A$2:$V$4400,AB$1,FALSE))</f>
        <v>20</v>
      </c>
      <c r="AC54" s="31">
        <f>IF(VLOOKUP(ROUND(CONCATENATE($A54,AC$2),0),'Cadastro dos Padrões'!$A$2:$V$4400,AC$1,FALSE)="","-",VLOOKUP(ROUND(CONCATENATE($A54,AC$2),0),'Cadastro dos Padrões'!$A$2:$V$4400,AC$1,FALSE))</f>
        <v>0.7</v>
      </c>
      <c r="AD54" s="31">
        <f>IF(VLOOKUP(ROUND(CONCATENATE($A54,AD$2),0),'Cadastro dos Padrões'!$A$2:$V$4400,AD$1,FALSE)="","-",VLOOKUP(ROUND(CONCATENATE($A54,AD$2),0),'Cadastro dos Padrões'!$A$2:$V$4400,AD$1,FALSE))</f>
        <v>2</v>
      </c>
      <c r="AE54" s="31">
        <f>IF(VLOOKUP(ROUND(CONCATENATE($A54,AE$2),0),'Cadastro dos Padrões'!$A$2:$V$4400,AE$1,FALSE)="","-",VLOOKUP(ROUND(CONCATENATE($A54,AE$2),0),'Cadastro dos Padrões'!$A$2:$V$4400,AE$1,FALSE))</f>
        <v>1000000</v>
      </c>
      <c r="AF54" s="31">
        <f>IF(VLOOKUP(ROUND(CONCATENATE($A54,AF$2),0),'Cadastro dos Padrões'!$A$2:$V$4400,AF$1,FALSE)="","-",VLOOKUP(ROUND(CONCATENATE($A54,AF$2),0),'Cadastro dos Padrões'!$A$2:$V$4400,AF$1,FALSE))</f>
        <v>50</v>
      </c>
      <c r="AG54" s="31">
        <f>IF(VLOOKUP(ROUND(CONCATENATE($A54,AG$2),0),'Cadastro dos Padrões'!$A$2:$V$4400,AG$1,FALSE)="","-",VLOOKUP(ROUND(CONCATENATE($A54,AG$2),0),'Cadastro dos Padrões'!$A$2:$V$4400,AG$1,FALSE))</f>
        <v>1.1000000000000001</v>
      </c>
      <c r="AH54" s="31">
        <f>IF(VLOOKUP(ROUND(CONCATENATE($A54,AH$2),0),'Cadastro dos Padrões'!$A$2:$V$4400,AH$1,FALSE)="","-",VLOOKUP(ROUND(CONCATENATE($A54,AH$2),0),'Cadastro dos Padrões'!$A$2:$V$4400,AH$1,FALSE))</f>
        <v>2</v>
      </c>
      <c r="AI54" s="31">
        <f>IF(VLOOKUP(ROUND(CONCATENATE($A54,AI$2),0),'Cadastro dos Padrões'!$A$2:$V$4400,AI$1,FALSE)="","-",VLOOKUP(ROUND(CONCATENATE($A54,AI$2),0),'Cadastro dos Padrões'!$A$2:$V$4400,AI$1,FALSE))</f>
        <v>1000000</v>
      </c>
      <c r="AJ54" s="31">
        <f>IF(VLOOKUP(ROUND(CONCATENATE($A54,AJ$2),0),'Cadastro dos Padrões'!$A$2:$V$4400,AJ$1,FALSE)="","-",VLOOKUP(ROUND(CONCATENATE($A54,AJ$2),0),'Cadastro dos Padrões'!$A$2:$V$4400,AJ$1,FALSE))</f>
        <v>80</v>
      </c>
      <c r="AK54" s="31">
        <f>IF(VLOOKUP(ROUND(CONCATENATE($A54,AK$2),0),'Cadastro dos Padrões'!$A$2:$V$4400,AK$1,FALSE)="","-",VLOOKUP(ROUND(CONCATENATE($A54,AK$2),0),'Cadastro dos Padrões'!$A$2:$V$4400,AK$1,FALSE))</f>
        <v>1.1000000000000001</v>
      </c>
      <c r="AL54" s="31">
        <f>IF(VLOOKUP(ROUND(CONCATENATE($A54,AL$2),0),'Cadastro dos Padrões'!$A$2:$V$4400,AL$1,FALSE)="","-",VLOOKUP(ROUND(CONCATENATE($A54,AL$2),0),'Cadastro dos Padrões'!$A$2:$V$4400,AL$1,FALSE))</f>
        <v>2</v>
      </c>
      <c r="AM54" s="31">
        <f>IF(VLOOKUP(ROUND(CONCATENATE($A54,AM$2),0),'Cadastro dos Padrões'!$A$2:$V$4400,AM$1,FALSE)="","-",VLOOKUP(ROUND(CONCATENATE($A54,AM$2),0),'Cadastro dos Padrões'!$A$2:$V$4400,AM$1,FALSE))</f>
        <v>1000000</v>
      </c>
      <c r="AN54" s="31" t="str">
        <f>IF(VLOOKUP(ROUND(CONCATENATE($A54,AN$2),0),'Cadastro dos Padrões'!$A$2:$V$4400,AN$1,FALSE)="","-",VLOOKUP(ROUND(CONCATENATE($A54,AN$2),0),'Cadastro dos Padrões'!$A$2:$V$4400,AN$1,FALSE))</f>
        <v>-</v>
      </c>
      <c r="AO54" s="31" t="str">
        <f>IF(VLOOKUP(ROUND(CONCATENATE($A54,AO$2),0),'Cadastro dos Padrões'!$A$2:$V$4400,AO$1,FALSE)="","-",VLOOKUP(ROUND(CONCATENATE($A54,AO$2),0),'Cadastro dos Padrões'!$A$2:$V$4400,AO$1,FALSE))</f>
        <v>-</v>
      </c>
      <c r="AP54" s="31" t="str">
        <f>IF(VLOOKUP(ROUND(CONCATENATE($A54,AP$2),0),'Cadastro dos Padrões'!$A$2:$V$4400,AP$1,FALSE)="","-",VLOOKUP(ROUND(CONCATENATE($A54,AP$2),0),'Cadastro dos Padrões'!$A$2:$V$4400,AP$1,FALSE))</f>
        <v>-</v>
      </c>
      <c r="AQ54" s="31" t="str">
        <f>IF(VLOOKUP(ROUND(CONCATENATE($A54,AQ$2),0),'Cadastro dos Padrões'!$A$2:$V$4400,AQ$1,FALSE)="","-",VLOOKUP(ROUND(CONCATENATE($A54,AQ$2),0),'Cadastro dos Padrões'!$A$2:$V$4400,AQ$1,FALSE))</f>
        <v>-</v>
      </c>
      <c r="AR54" s="31" t="str">
        <f>IF(VLOOKUP(ROUND(CONCATENATE($A54,AR$2),0),'Cadastro dos Padrões'!$A$2:$V$4400,AR$1,FALSE)="","-",VLOOKUP(ROUND(CONCATENATE($A54,AR$2),0),'Cadastro dos Padrões'!$A$2:$V$4400,AR$1,FALSE))</f>
        <v>-</v>
      </c>
      <c r="AS54" s="31" t="str">
        <f>IF(VLOOKUP(ROUND(CONCATENATE($A54,AS$2),0),'Cadastro dos Padrões'!$A$2:$V$4400,AS$1,FALSE)="","-",VLOOKUP(ROUND(CONCATENATE($A54,AS$2),0),'Cadastro dos Padrões'!$A$2:$V$4400,AS$1,FALSE))</f>
        <v>-</v>
      </c>
      <c r="AT54" s="31" t="str">
        <f>IF(VLOOKUP(ROUND(CONCATENATE($A54,AT$2),0),'Cadastro dos Padrões'!$A$2:$V$4400,AT$1,FALSE)="","-",VLOOKUP(ROUND(CONCATENATE($A54,AT$2),0),'Cadastro dos Padrões'!$A$2:$V$4400,AT$1,FALSE))</f>
        <v>-</v>
      </c>
      <c r="AU54" s="31" t="str">
        <f>IF(VLOOKUP(ROUND(CONCATENATE($A54,AU$2),0),'Cadastro dos Padrões'!$A$2:$V$4400,AU$1,FALSE)="","-",VLOOKUP(ROUND(CONCATENATE($A54,AU$2),0),'Cadastro dos Padrões'!$A$2:$V$4400,AU$1,FALSE))</f>
        <v>-</v>
      </c>
      <c r="AV54" s="31" t="str">
        <f>IF(VLOOKUP(ROUND(CONCATENATE($A54,AV$2),0),'Cadastro dos Padrões'!$A$2:$V$4400,AV$1,FALSE)="","-",VLOOKUP(ROUND(CONCATENATE($A54,AV$2),0),'Cadastro dos Padrões'!$A$2:$V$4400,AV$1,FALSE))</f>
        <v>-</v>
      </c>
      <c r="AW54" s="31" t="str">
        <f>IF(VLOOKUP(ROUND(CONCATENATE($A54,AW$2),0),'Cadastro dos Padrões'!$A$2:$V$4400,AW$1,FALSE)="","-",VLOOKUP(ROUND(CONCATENATE($A54,AW$2),0),'Cadastro dos Padrões'!$A$2:$V$4400,AW$1,FALSE))</f>
        <v>-</v>
      </c>
      <c r="AX54" s="31" t="str">
        <f>IF(VLOOKUP(ROUND(CONCATENATE($A54,AX$2),0),'Cadastro dos Padrões'!$A$2:$V$4400,AX$1,FALSE)="","-",VLOOKUP(ROUND(CONCATENATE($A54,AX$2),0),'Cadastro dos Padrões'!$A$2:$V$4400,AX$1,FALSE))</f>
        <v>-</v>
      </c>
      <c r="AY54" s="31" t="str">
        <f>IF(VLOOKUP(ROUND(CONCATENATE($A54,AY$2),0),'Cadastro dos Padrões'!$A$2:$V$4400,AY$1,FALSE)="","-",VLOOKUP(ROUND(CONCATENATE($A54,AY$2),0),'Cadastro dos Padrões'!$A$2:$V$4400,AY$1,FALSE))</f>
        <v>-</v>
      </c>
      <c r="AZ54" s="31" t="str">
        <f>IF(VLOOKUP(ROUND(CONCATENATE($A54,AZ$2),0),'Cadastro dos Padrões'!$A$2:$V$4400,AZ$1,FALSE)="","-",VLOOKUP(ROUND(CONCATENATE($A54,AZ$2),0),'Cadastro dos Padrões'!$A$2:$V$4400,AZ$1,FALSE))</f>
        <v>-</v>
      </c>
      <c r="BA54" s="31" t="str">
        <f>IF(VLOOKUP(ROUND(CONCATENATE($A54,BA$2),0),'Cadastro dos Padrões'!$A$2:$V$4400,BA$1,FALSE)="","-",VLOOKUP(ROUND(CONCATENATE($A54,BA$2),0),'Cadastro dos Padrões'!$A$2:$V$4400,BA$1,FALSE))</f>
        <v>-</v>
      </c>
      <c r="BB54" s="31" t="str">
        <f>IF(VLOOKUP(ROUND(CONCATENATE($A54,BB$2),0),'Cadastro dos Padrões'!$A$2:$V$4400,BB$1,FALSE)="","-",VLOOKUP(ROUND(CONCATENATE($A54,BB$2),0),'Cadastro dos Padrões'!$A$2:$V$4400,BB$1,FALSE))</f>
        <v>-</v>
      </c>
      <c r="BC54" s="31" t="str">
        <f>IF(VLOOKUP(ROUND(CONCATENATE($A54,BC$2),0),'Cadastro dos Padrões'!$A$2:$V$4400,BC$1,FALSE)="","-",VLOOKUP(ROUND(CONCATENATE($A54,BC$2),0),'Cadastro dos Padrões'!$A$2:$V$4400,BC$1,FALSE))</f>
        <v>-</v>
      </c>
      <c r="BD54" s="31" t="str">
        <f>IF(VLOOKUP(ROUND(CONCATENATE($A54,BD$2),0),'Cadastro dos Padrões'!$A$2:$V$4400,BD$1,FALSE)="","-",VLOOKUP(ROUND(CONCATENATE($A54,BD$2),0),'Cadastro dos Padrões'!$A$2:$V$4400,BD$1,FALSE))</f>
        <v>-</v>
      </c>
      <c r="BE54" s="31" t="str">
        <f>IF(VLOOKUP(ROUND(CONCATENATE($A54,BE$2),0),'Cadastro dos Padrões'!$A$2:$V$4400,BE$1,FALSE)="","-",VLOOKUP(ROUND(CONCATENATE($A54,BE$2),0),'Cadastro dos Padrões'!$A$2:$V$4400,BE$1,FALSE))</f>
        <v>-</v>
      </c>
      <c r="BF54" s="31" t="str">
        <f>IF(VLOOKUP(ROUND(CONCATENATE($A54,BF$2),0),'Cadastro dos Padrões'!$A$2:$V$4400,BF$1,FALSE)="","-",VLOOKUP(ROUND(CONCATENATE($A54,BF$2),0),'Cadastro dos Padrões'!$A$2:$V$4400,BF$1,FALSE))</f>
        <v>-</v>
      </c>
      <c r="BG54" s="31" t="str">
        <f>IF(VLOOKUP(ROUND(CONCATENATE($A54,BG$2),0),'Cadastro dos Padrões'!$A$2:$V$4400,BG$1,FALSE)="","-",VLOOKUP(ROUND(CONCATENATE($A54,BG$2),0),'Cadastro dos Padrões'!$A$2:$V$4400,BG$1,FALSE))</f>
        <v>-</v>
      </c>
      <c r="BH54" s="31" t="str">
        <f>IF(VLOOKUP(ROUND(CONCATENATE($A54,BH$2),0),'Cadastro dos Padrões'!$A$2:$V$4400,BH$1,FALSE)="","-",VLOOKUP(ROUND(CONCATENATE($A54,BH$2),0),'Cadastro dos Padrões'!$A$2:$V$4400,BH$1,FALSE))</f>
        <v>-</v>
      </c>
      <c r="BI54" s="31" t="str">
        <f>IF(VLOOKUP(ROUND(CONCATENATE($A54,BI$2),0),'Cadastro dos Padrões'!$A$2:$V$4400,BI$1,FALSE)="","-",VLOOKUP(ROUND(CONCATENATE($A54,BI$2),0),'Cadastro dos Padrões'!$A$2:$V$4400,BI$1,FALSE))</f>
        <v>-</v>
      </c>
      <c r="BJ54" s="31" t="str">
        <f>IF(VLOOKUP(ROUND(CONCATENATE($A54,BJ$2),0),'Cadastro dos Padrões'!$A$2:$V$4400,BJ$1,FALSE)="","-",VLOOKUP(ROUND(CONCATENATE($A54,BJ$2),0),'Cadastro dos Padrões'!$A$2:$V$4400,BJ$1,FALSE))</f>
        <v>-</v>
      </c>
      <c r="BK54" s="31" t="str">
        <f>IF(VLOOKUP(ROUND(CONCATENATE($A54,BK$2),0),'Cadastro dos Padrões'!$A$2:$V$4400,BK$1,FALSE)="","-",VLOOKUP(ROUND(CONCATENATE($A54,BK$2),0),'Cadastro dos Padrões'!$A$2:$V$4400,BK$1,FALSE))</f>
        <v>-</v>
      </c>
      <c r="BL54" s="31" t="str">
        <f>IF(VLOOKUP(ROUND(CONCATENATE($A54,BL$2),0),'Cadastro dos Padrões'!$A$2:$V$4400,BL$1,FALSE)="","-",VLOOKUP(ROUND(CONCATENATE($A54,BL$2),0),'Cadastro dos Padrões'!$A$2:$V$4400,BL$1,FALSE))</f>
        <v>-</v>
      </c>
      <c r="BM54" s="31" t="str">
        <f>IF(VLOOKUP(ROUND(CONCATENATE($A54,BM$2),0),'Cadastro dos Padrões'!$A$2:$V$4400,BM$1,FALSE)="","-",VLOOKUP(ROUND(CONCATENATE($A54,BM$2),0),'Cadastro dos Padrões'!$A$2:$V$4400,BM$1,FALSE))</f>
        <v>-</v>
      </c>
      <c r="BN54" s="31" t="str">
        <f>IF(VLOOKUP(ROUND(CONCATENATE($A54,BN$2),0),'Cadastro dos Padrões'!$A$2:$V$4400,BN$1,FALSE)="","-",VLOOKUP(ROUND(CONCATENATE($A54,BN$2),0),'Cadastro dos Padrões'!$A$2:$V$4400,BN$1,FALSE))</f>
        <v>-</v>
      </c>
      <c r="BO54" s="31" t="str">
        <f>IF(VLOOKUP(ROUND(CONCATENATE($A54,BO$2),0),'Cadastro dos Padrões'!$A$2:$V$4400,BO$1,FALSE)="","-",VLOOKUP(ROUND(CONCATENATE($A54,BO$2),0),'Cadastro dos Padrões'!$A$2:$V$4400,BO$1,FALSE))</f>
        <v>-</v>
      </c>
    </row>
    <row r="55" spans="1:67" x14ac:dyDescent="0.3">
      <c r="A55" s="6">
        <f t="shared" si="52"/>
        <v>50</v>
      </c>
      <c r="B55" s="31" t="str">
        <f>IF(VLOOKUP(ROUND(CONCATENATE($A55,B$2),0),'Cadastro dos Padrões'!$A$2:$V$4400,B$1,FALSE)="","-",VLOOKUP(ROUND(CONCATENATE($A55,B$2),0),'Cadastro dos Padrões'!$A$2:$V$4400,B$1,FALSE))</f>
        <v>E.TH.LP-001</v>
      </c>
      <c r="C55" s="31" t="str">
        <f>IF($B55="-","-",VLOOKUP(ROUND(CONCATENATE($A55,C$2),0),'Cadastro dos Padrões'!$A$2:$V$4400,C$1,FALSE))</f>
        <v>Termohigrômetro Digital</v>
      </c>
      <c r="D55" s="31">
        <f>IF($B55="-","-",VLOOKUP(ROUND(CONCATENATE($A55,D$2),0),'Cadastro dos Padrões'!$A$2:$V$4400,D$1,FALSE))</f>
        <v>20</v>
      </c>
      <c r="E55" s="31" t="str">
        <f>IF($B55="-","-",VLOOKUP(ROUND(CONCATENATE($A55,E$2),0),'Cadastro dos Padrões'!$A$2:$V$4400,E$1,FALSE))</f>
        <v>Elus</v>
      </c>
      <c r="F55" s="31" t="str">
        <f>IF($B55="-","-",VLOOKUP(ROUND(CONCATENATE($A55,F$2),0),'Cadastro dos Padrões'!$A$2:$V$4400,F$1,FALSE))</f>
        <v>RBC - CAL 0439</v>
      </c>
      <c r="G55" s="31" t="str">
        <f>IF($B55="-","-",VLOOKUP(ROUND(CONCATENATE($A55,G$2),0),'Cadastro dos Padrões'!$A$2:$V$4400,G$1,FALSE))</f>
        <v>E0396A/25</v>
      </c>
      <c r="H55" s="32">
        <f>IF($B55="-","-",VLOOKUP(ROUND(CONCATENATE($A55,H$2),0),'Cadastro dos Padrões'!$A$2:$V$4400,H$1,FALSE))</f>
        <v>45836</v>
      </c>
      <c r="I55" s="33">
        <f>IF($B55="-","-",VLOOKUP(ROUND(CONCATENATE($A55,I$2),0),'Cadastro dos Padrões'!$A$2:$V$4400,I$1,FALSE))</f>
        <v>46203</v>
      </c>
      <c r="J55" s="31" t="str">
        <f>IF($B55="-","-",VLOOKUP(ROUND(CONCATENATE($A55,J$2),0),'Cadastro dos Padrões'!$A$2:$V$4400,J$1,FALSE))</f>
        <v>%UR</v>
      </c>
      <c r="K55" s="31">
        <f>IF($B55="-","-",VLOOKUP(ROUND(CONCATENATE($A55,K$2),0),'Cadastro dos Padrões'!$A$2:$V$4400,K$1,FALSE))</f>
        <v>20</v>
      </c>
      <c r="L55" s="31">
        <f>IF($B55="-","-",VLOOKUP(ROUND(CONCATENATE($A55,L$2),0),'Cadastro dos Padrões'!$A$2:$V$4400,L$1,FALSE))</f>
        <v>80</v>
      </c>
      <c r="M55" s="31">
        <f>IF($B55="-","-",VLOOKUP(ROUND(CONCATENATE($A55,M$2),0),'Cadastro dos Padrões'!$A$2:$V$4400,M$1,FALSE))</f>
        <v>0.1</v>
      </c>
      <c r="N55" s="31">
        <f>IF($B55="-","-",VLOOKUP(ROUND(CONCATENATE($A55,N$2),0),'Cadastro dos Padrões'!$A$2:$V$4400,N$1,FALSE))</f>
        <v>0.5</v>
      </c>
      <c r="O55" s="31">
        <f>IF($B55="-","-",VLOOKUP(ROUND(CONCATENATE($A55,O$2),0),'Cadastro dos Padrões'!$A$2:$V$4400,O$1,FALSE))</f>
        <v>0.9</v>
      </c>
      <c r="P55" s="31">
        <f>IF($B55="-","-",VLOOKUP(ROUND(CONCATENATE($A55,P$2),0),'Cadastro dos Padrões'!$A$2:$V$4400,P$1,FALSE))</f>
        <v>0.10000000000000142</v>
      </c>
      <c r="Q55" s="31">
        <f>IF($B55="-","-",VLOOKUP(ROUND(CONCATENATE($A55,Q$2),0),'Cadastro dos Padrões'!$A$2:$V$4400,Q$1,FALSE))</f>
        <v>4.0756882072074063E-2</v>
      </c>
      <c r="R55" s="31">
        <f>IF($B55="-","-",VLOOKUP(ROUND(CONCATENATE($A55,R$2),0),'Cadastro dos Padrões'!$A$2:$V$4400,R$1,FALSE))</f>
        <v>1</v>
      </c>
      <c r="S55" s="31">
        <f>IF($B55="-","-",VLOOKUP(ROUND(CONCATENATE($A55,S$2),0),'Cadastro dos Padrões'!$A$2:$V$4400,S$1,FALSE))</f>
        <v>0</v>
      </c>
      <c r="T55" s="31">
        <f>IF($B55="-","-",VLOOKUP(ROUND(CONCATENATE($A55,T$2),0),'Cadastro dos Padrões'!$A$2:$V$4400,T$1,FALSE))</f>
        <v>0</v>
      </c>
      <c r="U55" s="31">
        <f>IF($B55="-","-",VLOOKUP(ROUND(CONCATENATE($A55,U$2),0),'Cadastro dos Padrões'!$A$2:$V$4400,U$1,FALSE))</f>
        <v>0</v>
      </c>
      <c r="V55" s="31">
        <f>IF($B55="-","-",VLOOKUP(ROUND(CONCATENATE($A55,V$2),0),'Cadastro dos Padrões'!$A$2:$V$4400,V$1,FALSE))</f>
        <v>0</v>
      </c>
      <c r="W55" s="31">
        <f>IF($B55="-","-",VLOOKUP(ROUND(CONCATENATE($A55,W$2),0),'Cadastro dos Padrões'!$A$2:$V$4400,W$1,FALSE))</f>
        <v>0</v>
      </c>
      <c r="X55" s="31">
        <f>IF($B55="-","-",VLOOKUP(ROUND(CONCATENATE($A55,X$2),0),'Cadastro dos Padrões'!$A$2:$V$4400,X$1,FALSE))</f>
        <v>0</v>
      </c>
      <c r="Y55" s="31">
        <f>IF($B55="-","-",VLOOKUP(ROUND(CONCATENATE($A55,Y$2),0),'Cadastro dos Padrões'!$A$2:$V$4400,Y$1,FALSE))</f>
        <v>0</v>
      </c>
      <c r="Z55" s="31">
        <f>IF($B55="-","-",VLOOKUP(ROUND(CONCATENATE($A55,Z$2),0),'Cadastro dos Padrões'!$A$2:$V$4400,Z$1,FALSE))</f>
        <v>0.99833518517834929</v>
      </c>
      <c r="AA55" s="31">
        <f>IF($B55="-","-",VLOOKUP(ROUND(CONCATENATE($A55,AA$2),0),'Cadastro dos Padrões'!$A$2:$V$4400,AA$1,FALSE))</f>
        <v>-0.38264901200069801</v>
      </c>
      <c r="AB55" s="31">
        <f>IF(VLOOKUP(ROUND(CONCATENATE($A55,AB$2),0),'Cadastro dos Padrões'!$A$2:$V$4400,AB$1,FALSE)="","-",VLOOKUP(ROUND(CONCATENATE($A55,AB$2),0),'Cadastro dos Padrões'!$A$2:$V$4400,AB$1,FALSE))</f>
        <v>20</v>
      </c>
      <c r="AC55" s="31">
        <f>IF(VLOOKUP(ROUND(CONCATENATE($A55,AC$2),0),'Cadastro dos Padrões'!$A$2:$V$4400,AC$1,FALSE)="","-",VLOOKUP(ROUND(CONCATENATE($A55,AC$2),0),'Cadastro dos Padrões'!$A$2:$V$4400,AC$1,FALSE))</f>
        <v>0.4</v>
      </c>
      <c r="AD55" s="31">
        <f>IF(VLOOKUP(ROUND(CONCATENATE($A55,AD$2),0),'Cadastro dos Padrões'!$A$2:$V$4400,AD$1,FALSE)="","-",VLOOKUP(ROUND(CONCATENATE($A55,AD$2),0),'Cadastro dos Padrões'!$A$2:$V$4400,AD$1,FALSE))</f>
        <v>2.0099999999999998</v>
      </c>
      <c r="AE55" s="31">
        <f>IF(VLOOKUP(ROUND(CONCATENATE($A55,AE$2),0),'Cadastro dos Padrões'!$A$2:$V$4400,AE$1,FALSE)="","-",VLOOKUP(ROUND(CONCATENATE($A55,AE$2),0),'Cadastro dos Padrões'!$A$2:$V$4400,AE$1,FALSE))</f>
        <v>269</v>
      </c>
      <c r="AF55" s="31">
        <f>IF(VLOOKUP(ROUND(CONCATENATE($A55,AF$2),0),'Cadastro dos Padrões'!$A$2:$V$4400,AF$1,FALSE)="","-",VLOOKUP(ROUND(CONCATENATE($A55,AF$2),0),'Cadastro dos Padrões'!$A$2:$V$4400,AF$1,FALSE))</f>
        <v>50</v>
      </c>
      <c r="AG55" s="31">
        <f>IF(VLOOKUP(ROUND(CONCATENATE($A55,AG$2),0),'Cadastro dos Padrões'!$A$2:$V$4400,AG$1,FALSE)="","-",VLOOKUP(ROUND(CONCATENATE($A55,AG$2),0),'Cadastro dos Padrões'!$A$2:$V$4400,AG$1,FALSE))</f>
        <v>0.7</v>
      </c>
      <c r="AH55" s="31">
        <f>IF(VLOOKUP(ROUND(CONCATENATE($A55,AH$2),0),'Cadastro dos Padrões'!$A$2:$V$4400,AH$1,FALSE)="","-",VLOOKUP(ROUND(CONCATENATE($A55,AH$2),0),'Cadastro dos Padrões'!$A$2:$V$4400,AH$1,FALSE))</f>
        <v>2.02</v>
      </c>
      <c r="AI55" s="31">
        <f>IF(VLOOKUP(ROUND(CONCATENATE($A55,AI$2),0),'Cadastro dos Padrões'!$A$2:$V$4400,AI$1,FALSE)="","-",VLOOKUP(ROUND(CONCATENATE($A55,AI$2),0),'Cadastro dos Padrões'!$A$2:$V$4400,AI$1,FALSE))</f>
        <v>124</v>
      </c>
      <c r="AJ55" s="31">
        <f>IF(VLOOKUP(ROUND(CONCATENATE($A55,AJ$2),0),'Cadastro dos Padrões'!$A$2:$V$4400,AJ$1,FALSE)="","-",VLOOKUP(ROUND(CONCATENATE($A55,AJ$2),0),'Cadastro dos Padrões'!$A$2:$V$4400,AJ$1,FALSE))</f>
        <v>80</v>
      </c>
      <c r="AK55" s="31">
        <f>IF(VLOOKUP(ROUND(CONCATENATE($A55,AK$2),0),'Cadastro dos Padrões'!$A$2:$V$4400,AK$1,FALSE)="","-",VLOOKUP(ROUND(CONCATENATE($A55,AK$2),0),'Cadastro dos Padrões'!$A$2:$V$4400,AK$1,FALSE))</f>
        <v>0.9</v>
      </c>
      <c r="AL55" s="31">
        <f>IF(VLOOKUP(ROUND(CONCATENATE($A55,AL$2),0),'Cadastro dos Padrões'!$A$2:$V$4400,AL$1,FALSE)="","-",VLOOKUP(ROUND(CONCATENATE($A55,AL$2),0),'Cadastro dos Padrões'!$A$2:$V$4400,AL$1,FALSE))</f>
        <v>2.02</v>
      </c>
      <c r="AM55" s="31">
        <f>IF(VLOOKUP(ROUND(CONCATENATE($A55,AM$2),0),'Cadastro dos Padrões'!$A$2:$V$4400,AM$1,FALSE)="","-",VLOOKUP(ROUND(CONCATENATE($A55,AM$2),0),'Cadastro dos Padrões'!$A$2:$V$4400,AM$1,FALSE))</f>
        <v>104</v>
      </c>
      <c r="AN55" s="31" t="str">
        <f>IF(VLOOKUP(ROUND(CONCATENATE($A55,AN$2),0),'Cadastro dos Padrões'!$A$2:$V$4400,AN$1,FALSE)="","-",VLOOKUP(ROUND(CONCATENATE($A55,AN$2),0),'Cadastro dos Padrões'!$A$2:$V$4400,AN$1,FALSE))</f>
        <v>-</v>
      </c>
      <c r="AO55" s="31" t="str">
        <f>IF(VLOOKUP(ROUND(CONCATENATE($A55,AO$2),0),'Cadastro dos Padrões'!$A$2:$V$4400,AO$1,FALSE)="","-",VLOOKUP(ROUND(CONCATENATE($A55,AO$2),0),'Cadastro dos Padrões'!$A$2:$V$4400,AO$1,FALSE))</f>
        <v>-</v>
      </c>
      <c r="AP55" s="31" t="str">
        <f>IF(VLOOKUP(ROUND(CONCATENATE($A55,AP$2),0),'Cadastro dos Padrões'!$A$2:$V$4400,AP$1,FALSE)="","-",VLOOKUP(ROUND(CONCATENATE($A55,AP$2),0),'Cadastro dos Padrões'!$A$2:$V$4400,AP$1,FALSE))</f>
        <v>-</v>
      </c>
      <c r="AQ55" s="31" t="str">
        <f>IF(VLOOKUP(ROUND(CONCATENATE($A55,AQ$2),0),'Cadastro dos Padrões'!$A$2:$V$4400,AQ$1,FALSE)="","-",VLOOKUP(ROUND(CONCATENATE($A55,AQ$2),0),'Cadastro dos Padrões'!$A$2:$V$4400,AQ$1,FALSE))</f>
        <v>-</v>
      </c>
      <c r="AR55" s="31" t="str">
        <f>IF(VLOOKUP(ROUND(CONCATENATE($A55,AR$2),0),'Cadastro dos Padrões'!$A$2:$V$4400,AR$1,FALSE)="","-",VLOOKUP(ROUND(CONCATENATE($A55,AR$2),0),'Cadastro dos Padrões'!$A$2:$V$4400,AR$1,FALSE))</f>
        <v>-</v>
      </c>
      <c r="AS55" s="31" t="str">
        <f>IF(VLOOKUP(ROUND(CONCATENATE($A55,AS$2),0),'Cadastro dos Padrões'!$A$2:$V$4400,AS$1,FALSE)="","-",VLOOKUP(ROUND(CONCATENATE($A55,AS$2),0),'Cadastro dos Padrões'!$A$2:$V$4400,AS$1,FALSE))</f>
        <v>-</v>
      </c>
      <c r="AT55" s="31" t="str">
        <f>IF(VLOOKUP(ROUND(CONCATENATE($A55,AT$2),0),'Cadastro dos Padrões'!$A$2:$V$4400,AT$1,FALSE)="","-",VLOOKUP(ROUND(CONCATENATE($A55,AT$2),0),'Cadastro dos Padrões'!$A$2:$V$4400,AT$1,FALSE))</f>
        <v>-</v>
      </c>
      <c r="AU55" s="31" t="str">
        <f>IF(VLOOKUP(ROUND(CONCATENATE($A55,AU$2),0),'Cadastro dos Padrões'!$A$2:$V$4400,AU$1,FALSE)="","-",VLOOKUP(ROUND(CONCATENATE($A55,AU$2),0),'Cadastro dos Padrões'!$A$2:$V$4400,AU$1,FALSE))</f>
        <v>-</v>
      </c>
      <c r="AV55" s="31" t="str">
        <f>IF(VLOOKUP(ROUND(CONCATENATE($A55,AV$2),0),'Cadastro dos Padrões'!$A$2:$V$4400,AV$1,FALSE)="","-",VLOOKUP(ROUND(CONCATENATE($A55,AV$2),0),'Cadastro dos Padrões'!$A$2:$V$4400,AV$1,FALSE))</f>
        <v>-</v>
      </c>
      <c r="AW55" s="31" t="str">
        <f>IF(VLOOKUP(ROUND(CONCATENATE($A55,AW$2),0),'Cadastro dos Padrões'!$A$2:$V$4400,AW$1,FALSE)="","-",VLOOKUP(ROUND(CONCATENATE($A55,AW$2),0),'Cadastro dos Padrões'!$A$2:$V$4400,AW$1,FALSE))</f>
        <v>-</v>
      </c>
      <c r="AX55" s="31" t="str">
        <f>IF(VLOOKUP(ROUND(CONCATENATE($A55,AX$2),0),'Cadastro dos Padrões'!$A$2:$V$4400,AX$1,FALSE)="","-",VLOOKUP(ROUND(CONCATENATE($A55,AX$2),0),'Cadastro dos Padrões'!$A$2:$V$4400,AX$1,FALSE))</f>
        <v>-</v>
      </c>
      <c r="AY55" s="31" t="str">
        <f>IF(VLOOKUP(ROUND(CONCATENATE($A55,AY$2),0),'Cadastro dos Padrões'!$A$2:$V$4400,AY$1,FALSE)="","-",VLOOKUP(ROUND(CONCATENATE($A55,AY$2),0),'Cadastro dos Padrões'!$A$2:$V$4400,AY$1,FALSE))</f>
        <v>-</v>
      </c>
      <c r="AZ55" s="31" t="str">
        <f>IF(VLOOKUP(ROUND(CONCATENATE($A55,AZ$2),0),'Cadastro dos Padrões'!$A$2:$V$4400,AZ$1,FALSE)="","-",VLOOKUP(ROUND(CONCATENATE($A55,AZ$2),0),'Cadastro dos Padrões'!$A$2:$V$4400,AZ$1,FALSE))</f>
        <v>-</v>
      </c>
      <c r="BA55" s="31" t="str">
        <f>IF(VLOOKUP(ROUND(CONCATENATE($A55,BA$2),0),'Cadastro dos Padrões'!$A$2:$V$4400,BA$1,FALSE)="","-",VLOOKUP(ROUND(CONCATENATE($A55,BA$2),0),'Cadastro dos Padrões'!$A$2:$V$4400,BA$1,FALSE))</f>
        <v>-</v>
      </c>
      <c r="BB55" s="31" t="str">
        <f>IF(VLOOKUP(ROUND(CONCATENATE($A55,BB$2),0),'Cadastro dos Padrões'!$A$2:$V$4400,BB$1,FALSE)="","-",VLOOKUP(ROUND(CONCATENATE($A55,BB$2),0),'Cadastro dos Padrões'!$A$2:$V$4400,BB$1,FALSE))</f>
        <v>-</v>
      </c>
      <c r="BC55" s="31" t="str">
        <f>IF(VLOOKUP(ROUND(CONCATENATE($A55,BC$2),0),'Cadastro dos Padrões'!$A$2:$V$4400,BC$1,FALSE)="","-",VLOOKUP(ROUND(CONCATENATE($A55,BC$2),0),'Cadastro dos Padrões'!$A$2:$V$4400,BC$1,FALSE))</f>
        <v>-</v>
      </c>
      <c r="BD55" s="31" t="str">
        <f>IF(VLOOKUP(ROUND(CONCATENATE($A55,BD$2),0),'Cadastro dos Padrões'!$A$2:$V$4400,BD$1,FALSE)="","-",VLOOKUP(ROUND(CONCATENATE($A55,BD$2),0),'Cadastro dos Padrões'!$A$2:$V$4400,BD$1,FALSE))</f>
        <v>-</v>
      </c>
      <c r="BE55" s="31" t="str">
        <f>IF(VLOOKUP(ROUND(CONCATENATE($A55,BE$2),0),'Cadastro dos Padrões'!$A$2:$V$4400,BE$1,FALSE)="","-",VLOOKUP(ROUND(CONCATENATE($A55,BE$2),0),'Cadastro dos Padrões'!$A$2:$V$4400,BE$1,FALSE))</f>
        <v>-</v>
      </c>
      <c r="BF55" s="31" t="str">
        <f>IF(VLOOKUP(ROUND(CONCATENATE($A55,BF$2),0),'Cadastro dos Padrões'!$A$2:$V$4400,BF$1,FALSE)="","-",VLOOKUP(ROUND(CONCATENATE($A55,BF$2),0),'Cadastro dos Padrões'!$A$2:$V$4400,BF$1,FALSE))</f>
        <v>-</v>
      </c>
      <c r="BG55" s="31" t="str">
        <f>IF(VLOOKUP(ROUND(CONCATENATE($A55,BG$2),0),'Cadastro dos Padrões'!$A$2:$V$4400,BG$1,FALSE)="","-",VLOOKUP(ROUND(CONCATENATE($A55,BG$2),0),'Cadastro dos Padrões'!$A$2:$V$4400,BG$1,FALSE))</f>
        <v>-</v>
      </c>
      <c r="BH55" s="31" t="str">
        <f>IF(VLOOKUP(ROUND(CONCATENATE($A55,BH$2),0),'Cadastro dos Padrões'!$A$2:$V$4400,BH$1,FALSE)="","-",VLOOKUP(ROUND(CONCATENATE($A55,BH$2),0),'Cadastro dos Padrões'!$A$2:$V$4400,BH$1,FALSE))</f>
        <v>-</v>
      </c>
      <c r="BI55" s="31" t="str">
        <f>IF(VLOOKUP(ROUND(CONCATENATE($A55,BI$2),0),'Cadastro dos Padrões'!$A$2:$V$4400,BI$1,FALSE)="","-",VLOOKUP(ROUND(CONCATENATE($A55,BI$2),0),'Cadastro dos Padrões'!$A$2:$V$4400,BI$1,FALSE))</f>
        <v>-</v>
      </c>
      <c r="BJ55" s="31" t="str">
        <f>IF(VLOOKUP(ROUND(CONCATENATE($A55,BJ$2),0),'Cadastro dos Padrões'!$A$2:$V$4400,BJ$1,FALSE)="","-",VLOOKUP(ROUND(CONCATENATE($A55,BJ$2),0),'Cadastro dos Padrões'!$A$2:$V$4400,BJ$1,FALSE))</f>
        <v>-</v>
      </c>
      <c r="BK55" s="31" t="str">
        <f>IF(VLOOKUP(ROUND(CONCATENATE($A55,BK$2),0),'Cadastro dos Padrões'!$A$2:$V$4400,BK$1,FALSE)="","-",VLOOKUP(ROUND(CONCATENATE($A55,BK$2),0),'Cadastro dos Padrões'!$A$2:$V$4400,BK$1,FALSE))</f>
        <v>-</v>
      </c>
      <c r="BL55" s="31" t="str">
        <f>IF(VLOOKUP(ROUND(CONCATENATE($A55,BL$2),0),'Cadastro dos Padrões'!$A$2:$V$4400,BL$1,FALSE)="","-",VLOOKUP(ROUND(CONCATENATE($A55,BL$2),0),'Cadastro dos Padrões'!$A$2:$V$4400,BL$1,FALSE))</f>
        <v>-</v>
      </c>
      <c r="BM55" s="31" t="str">
        <f>IF(VLOOKUP(ROUND(CONCATENATE($A55,BM$2),0),'Cadastro dos Padrões'!$A$2:$V$4400,BM$1,FALSE)="","-",VLOOKUP(ROUND(CONCATENATE($A55,BM$2),0),'Cadastro dos Padrões'!$A$2:$V$4400,BM$1,FALSE))</f>
        <v>-</v>
      </c>
      <c r="BN55" s="31" t="str">
        <f>IF(VLOOKUP(ROUND(CONCATENATE($A55,BN$2),0),'Cadastro dos Padrões'!$A$2:$V$4400,BN$1,FALSE)="","-",VLOOKUP(ROUND(CONCATENATE($A55,BN$2),0),'Cadastro dos Padrões'!$A$2:$V$4400,BN$1,FALSE))</f>
        <v>-</v>
      </c>
      <c r="BO55" s="31" t="str">
        <f>IF(VLOOKUP(ROUND(CONCATENATE($A55,BO$2),0),'Cadastro dos Padrões'!$A$2:$V$4400,BO$1,FALSE)="","-",VLOOKUP(ROUND(CONCATENATE($A55,BO$2),0),'Cadastro dos Padrões'!$A$2:$V$4400,BO$1,FALSE))</f>
        <v>-</v>
      </c>
    </row>
    <row r="56" spans="1:67" x14ac:dyDescent="0.3">
      <c r="A56" s="6">
        <f t="shared" si="52"/>
        <v>51</v>
      </c>
      <c r="B56" s="31" t="str">
        <f>IF(VLOOKUP(ROUND(CONCATENATE($A56,B$2),0),'Cadastro dos Padrões'!$A$2:$V$4400,B$1,FALSE)="","-",VLOOKUP(ROUND(CONCATENATE($A56,B$2),0),'Cadastro dos Padrões'!$A$2:$V$4400,B$1,FALSE))</f>
        <v>E.TH.LE-002</v>
      </c>
      <c r="C56" s="31" t="str">
        <f>IF($B56="-","-",VLOOKUP(ROUND(CONCATENATE($A56,C$2),0),'Cadastro dos Padrões'!$A$2:$V$4400,C$1,FALSE))</f>
        <v>Termohigrômetro Digital</v>
      </c>
      <c r="D56" s="31">
        <f>IF($B56="-","-",VLOOKUP(ROUND(CONCATENATE($A56,D$2),0),'Cadastro dos Padrões'!$A$2:$V$4400,D$1,FALSE))</f>
        <v>20</v>
      </c>
      <c r="E56" s="31" t="str">
        <f>IF($B56="-","-",VLOOKUP(ROUND(CONCATENATE($A56,E$2),0),'Cadastro dos Padrões'!$A$2:$V$4400,E$1,FALSE))</f>
        <v>Elus</v>
      </c>
      <c r="F56" s="31" t="str">
        <f>IF($B56="-","-",VLOOKUP(ROUND(CONCATENATE($A56,F$2),0),'Cadastro dos Padrões'!$A$2:$V$4400,F$1,FALSE))</f>
        <v>RBC - CAL 0439</v>
      </c>
      <c r="G56" s="31" t="str">
        <f>IF($B56="-","-",VLOOKUP(ROUND(CONCATENATE($A56,G$2),0),'Cadastro dos Padrões'!$A$2:$V$4400,G$1,FALSE))</f>
        <v>E0203/25</v>
      </c>
      <c r="H56" s="32">
        <f>IF($B56="-","-",VLOOKUP(ROUND(CONCATENATE($A56,H$2),0),'Cadastro dos Padrões'!$A$2:$V$4400,H$1,FALSE))</f>
        <v>45761</v>
      </c>
      <c r="I56" s="33">
        <f>IF($B56="-","-",VLOOKUP(ROUND(CONCATENATE($A56,I$2),0),'Cadastro dos Padrões'!$A$2:$V$4400,I$1,FALSE))</f>
        <v>46142</v>
      </c>
      <c r="J56" s="31" t="str">
        <f>IF($B56="-","-",VLOOKUP(ROUND(CONCATENATE($A56,J$2),0),'Cadastro dos Padrões'!$A$2:$V$4400,J$1,FALSE))</f>
        <v>%UR</v>
      </c>
      <c r="K56" s="31">
        <f>IF($B56="-","-",VLOOKUP(ROUND(CONCATENATE($A56,K$2),0),'Cadastro dos Padrões'!$A$2:$V$4400,K$1,FALSE))</f>
        <v>20</v>
      </c>
      <c r="L56" s="31">
        <f>IF($B56="-","-",VLOOKUP(ROUND(CONCATENATE($A56,L$2),0),'Cadastro dos Padrões'!$A$2:$V$4400,L$1,FALSE))</f>
        <v>80</v>
      </c>
      <c r="M56" s="31">
        <f>IF($B56="-","-",VLOOKUP(ROUND(CONCATENATE($A56,M$2),0),'Cadastro dos Padrões'!$A$2:$V$4400,M$1,FALSE))</f>
        <v>0.1</v>
      </c>
      <c r="N56" s="31">
        <f>IF($B56="-","-",VLOOKUP(ROUND(CONCATENATE($A56,N$2),0),'Cadastro dos Padrões'!$A$2:$V$4400,N$1,FALSE))</f>
        <v>0.29999999999999716</v>
      </c>
      <c r="O56" s="31">
        <f>IF($B56="-","-",VLOOKUP(ROUND(CONCATENATE($A56,O$2),0),'Cadastro dos Padrões'!$A$2:$V$4400,O$1,FALSE))</f>
        <v>1.1000000000000001</v>
      </c>
      <c r="P56" s="31">
        <f>IF($B56="-","-",VLOOKUP(ROUND(CONCATENATE($A56,P$2),0),'Cadastro dos Padrões'!$A$2:$V$4400,P$1,FALSE))</f>
        <v>0.29999999999999716</v>
      </c>
      <c r="Q56" s="31">
        <f>IF($B56="-","-",VLOOKUP(ROUND(CONCATENATE($A56,Q$2),0),'Cadastro dos Padrões'!$A$2:$V$4400,Q$1,FALSE))</f>
        <v>0.44830088071000063</v>
      </c>
      <c r="R56" s="31">
        <f>IF($B56="-","-",VLOOKUP(ROUND(CONCATENATE($A56,R$2),0),'Cadastro dos Padrões'!$A$2:$V$4400,R$1,FALSE))</f>
        <v>1</v>
      </c>
      <c r="S56" s="31">
        <f>IF($B56="-","-",VLOOKUP(ROUND(CONCATENATE($A56,S$2),0),'Cadastro dos Padrões'!$A$2:$V$4400,S$1,FALSE))</f>
        <v>0</v>
      </c>
      <c r="T56" s="31">
        <f>IF($B56="-","-",VLOOKUP(ROUND(CONCATENATE($A56,T$2),0),'Cadastro dos Padrões'!$A$2:$V$4400,T$1,FALSE))</f>
        <v>0</v>
      </c>
      <c r="U56" s="31">
        <f>IF($B56="-","-",VLOOKUP(ROUND(CONCATENATE($A56,U$2),0),'Cadastro dos Padrões'!$A$2:$V$4400,U$1,FALSE))</f>
        <v>0</v>
      </c>
      <c r="V56" s="31">
        <f>IF($B56="-","-",VLOOKUP(ROUND(CONCATENATE($A56,V$2),0),'Cadastro dos Padrões'!$A$2:$V$4400,V$1,FALSE))</f>
        <v>0</v>
      </c>
      <c r="W56" s="31">
        <f>IF($B56="-","-",VLOOKUP(ROUND(CONCATENATE($A56,W$2),0),'Cadastro dos Padrões'!$A$2:$V$4400,W$1,FALSE))</f>
        <v>0</v>
      </c>
      <c r="X56" s="31">
        <f>IF($B56="-","-",VLOOKUP(ROUND(CONCATENATE($A56,X$2),0),'Cadastro dos Padrões'!$A$2:$V$4400,X$1,FALSE))</f>
        <v>0</v>
      </c>
      <c r="Y56" s="31">
        <f>IF($B56="-","-",VLOOKUP(ROUND(CONCATENATE($A56,Y$2),0),'Cadastro dos Padrões'!$A$2:$V$4400,Y$1,FALSE))</f>
        <v>0</v>
      </c>
      <c r="Z56" s="31">
        <f>IF($B56="-","-",VLOOKUP(ROUND(CONCATENATE($A56,Z$2),0),'Cadastro dos Padrões'!$A$2:$V$4400,Z$1,FALSE))</f>
        <v>0.99822464022204893</v>
      </c>
      <c r="AA56" s="31">
        <f>IF($B56="-","-",VLOOKUP(ROUND(CONCATENATE($A56,AA$2),0),'Cadastro dos Padrões'!$A$2:$V$4400,AA$1,FALSE))</f>
        <v>2.2219679549422722E-2</v>
      </c>
      <c r="AB56" s="31">
        <f>IF(VLOOKUP(ROUND(CONCATENATE($A56,AB$2),0),'Cadastro dos Padrões'!$A$2:$V$4400,AB$1,FALSE)="","-",VLOOKUP(ROUND(CONCATENATE($A56,AB$2),0),'Cadastro dos Padrões'!$A$2:$V$4400,AB$1,FALSE))</f>
        <v>20</v>
      </c>
      <c r="AC56" s="31">
        <f>IF(VLOOKUP(ROUND(CONCATENATE($A56,AC$2),0),'Cadastro dos Padrões'!$A$2:$V$4400,AC$1,FALSE)="","-",VLOOKUP(ROUND(CONCATENATE($A56,AC$2),0),'Cadastro dos Padrões'!$A$2:$V$4400,AC$1,FALSE))</f>
        <v>0.7</v>
      </c>
      <c r="AD56" s="31">
        <f>IF(VLOOKUP(ROUND(CONCATENATE($A56,AD$2),0),'Cadastro dos Padrões'!$A$2:$V$4400,AD$1,FALSE)="","-",VLOOKUP(ROUND(CONCATENATE($A56,AD$2),0),'Cadastro dos Padrões'!$A$2:$V$4400,AD$1,FALSE))</f>
        <v>2</v>
      </c>
      <c r="AE56" s="31">
        <f>IF(VLOOKUP(ROUND(CONCATENATE($A56,AE$2),0),'Cadastro dos Padrões'!$A$2:$V$4400,AE$1,FALSE)="","-",VLOOKUP(ROUND(CONCATENATE($A56,AE$2),0),'Cadastro dos Padrões'!$A$2:$V$4400,AE$1,FALSE))</f>
        <v>1000000</v>
      </c>
      <c r="AF56" s="31">
        <f>IF(VLOOKUP(ROUND(CONCATENATE($A56,AF$2),0),'Cadastro dos Padrões'!$A$2:$V$4400,AF$1,FALSE)="","-",VLOOKUP(ROUND(CONCATENATE($A56,AF$2),0),'Cadastro dos Padrões'!$A$2:$V$4400,AF$1,FALSE))</f>
        <v>50</v>
      </c>
      <c r="AG56" s="31">
        <f>IF(VLOOKUP(ROUND(CONCATENATE($A56,AG$2),0),'Cadastro dos Padrões'!$A$2:$V$4400,AG$1,FALSE)="","-",VLOOKUP(ROUND(CONCATENATE($A56,AG$2),0),'Cadastro dos Padrões'!$A$2:$V$4400,AG$1,FALSE))</f>
        <v>1.1000000000000001</v>
      </c>
      <c r="AH56" s="31">
        <f>IF(VLOOKUP(ROUND(CONCATENATE($A56,AH$2),0),'Cadastro dos Padrões'!$A$2:$V$4400,AH$1,FALSE)="","-",VLOOKUP(ROUND(CONCATENATE($A56,AH$2),0),'Cadastro dos Padrões'!$A$2:$V$4400,AH$1,FALSE))</f>
        <v>2</v>
      </c>
      <c r="AI56" s="31">
        <f>IF(VLOOKUP(ROUND(CONCATENATE($A56,AI$2),0),'Cadastro dos Padrões'!$A$2:$V$4400,AI$1,FALSE)="","-",VLOOKUP(ROUND(CONCATENATE($A56,AI$2),0),'Cadastro dos Padrões'!$A$2:$V$4400,AI$1,FALSE))</f>
        <v>1000000</v>
      </c>
      <c r="AJ56" s="31">
        <f>IF(VLOOKUP(ROUND(CONCATENATE($A56,AJ$2),0),'Cadastro dos Padrões'!$A$2:$V$4400,AJ$1,FALSE)="","-",VLOOKUP(ROUND(CONCATENATE($A56,AJ$2),0),'Cadastro dos Padrões'!$A$2:$V$4400,AJ$1,FALSE))</f>
        <v>80</v>
      </c>
      <c r="AK56" s="31">
        <f>IF(VLOOKUP(ROUND(CONCATENATE($A56,AK$2),0),'Cadastro dos Padrões'!$A$2:$V$4400,AK$1,FALSE)="","-",VLOOKUP(ROUND(CONCATENATE($A56,AK$2),0),'Cadastro dos Padrões'!$A$2:$V$4400,AK$1,FALSE))</f>
        <v>1.1000000000000001</v>
      </c>
      <c r="AL56" s="31">
        <f>IF(VLOOKUP(ROUND(CONCATENATE($A56,AL$2),0),'Cadastro dos Padrões'!$A$2:$V$4400,AL$1,FALSE)="","-",VLOOKUP(ROUND(CONCATENATE($A56,AL$2),0),'Cadastro dos Padrões'!$A$2:$V$4400,AL$1,FALSE))</f>
        <v>2</v>
      </c>
      <c r="AM56" s="31">
        <f>IF(VLOOKUP(ROUND(CONCATENATE($A56,AM$2),0),'Cadastro dos Padrões'!$A$2:$V$4400,AM$1,FALSE)="","-",VLOOKUP(ROUND(CONCATENATE($A56,AM$2),0),'Cadastro dos Padrões'!$A$2:$V$4400,AM$1,FALSE))</f>
        <v>1000000</v>
      </c>
      <c r="AN56" s="31" t="str">
        <f>IF(VLOOKUP(ROUND(CONCATENATE($A56,AN$2),0),'Cadastro dos Padrões'!$A$2:$V$4400,AN$1,FALSE)="","-",VLOOKUP(ROUND(CONCATENATE($A56,AN$2),0),'Cadastro dos Padrões'!$A$2:$V$4400,AN$1,FALSE))</f>
        <v>-</v>
      </c>
      <c r="AO56" s="31" t="str">
        <f>IF(VLOOKUP(ROUND(CONCATENATE($A56,AO$2),0),'Cadastro dos Padrões'!$A$2:$V$4400,AO$1,FALSE)="","-",VLOOKUP(ROUND(CONCATENATE($A56,AO$2),0),'Cadastro dos Padrões'!$A$2:$V$4400,AO$1,FALSE))</f>
        <v>-</v>
      </c>
      <c r="AP56" s="31" t="str">
        <f>IF(VLOOKUP(ROUND(CONCATENATE($A56,AP$2),0),'Cadastro dos Padrões'!$A$2:$V$4400,AP$1,FALSE)="","-",VLOOKUP(ROUND(CONCATENATE($A56,AP$2),0),'Cadastro dos Padrões'!$A$2:$V$4400,AP$1,FALSE))</f>
        <v>-</v>
      </c>
      <c r="AQ56" s="31" t="str">
        <f>IF(VLOOKUP(ROUND(CONCATENATE($A56,AQ$2),0),'Cadastro dos Padrões'!$A$2:$V$4400,AQ$1,FALSE)="","-",VLOOKUP(ROUND(CONCATENATE($A56,AQ$2),0),'Cadastro dos Padrões'!$A$2:$V$4400,AQ$1,FALSE))</f>
        <v>-</v>
      </c>
      <c r="AR56" s="31" t="str">
        <f>IF(VLOOKUP(ROUND(CONCATENATE($A56,AR$2),0),'Cadastro dos Padrões'!$A$2:$V$4400,AR$1,FALSE)="","-",VLOOKUP(ROUND(CONCATENATE($A56,AR$2),0),'Cadastro dos Padrões'!$A$2:$V$4400,AR$1,FALSE))</f>
        <v>-</v>
      </c>
      <c r="AS56" s="31" t="str">
        <f>IF(VLOOKUP(ROUND(CONCATENATE($A56,AS$2),0),'Cadastro dos Padrões'!$A$2:$V$4400,AS$1,FALSE)="","-",VLOOKUP(ROUND(CONCATENATE($A56,AS$2),0),'Cadastro dos Padrões'!$A$2:$V$4400,AS$1,FALSE))</f>
        <v>-</v>
      </c>
      <c r="AT56" s="31" t="str">
        <f>IF(VLOOKUP(ROUND(CONCATENATE($A56,AT$2),0),'Cadastro dos Padrões'!$A$2:$V$4400,AT$1,FALSE)="","-",VLOOKUP(ROUND(CONCATENATE($A56,AT$2),0),'Cadastro dos Padrões'!$A$2:$V$4400,AT$1,FALSE))</f>
        <v>-</v>
      </c>
      <c r="AU56" s="31" t="str">
        <f>IF(VLOOKUP(ROUND(CONCATENATE($A56,AU$2),0),'Cadastro dos Padrões'!$A$2:$V$4400,AU$1,FALSE)="","-",VLOOKUP(ROUND(CONCATENATE($A56,AU$2),0),'Cadastro dos Padrões'!$A$2:$V$4400,AU$1,FALSE))</f>
        <v>-</v>
      </c>
      <c r="AV56" s="31" t="str">
        <f>IF(VLOOKUP(ROUND(CONCATENATE($A56,AV$2),0),'Cadastro dos Padrões'!$A$2:$V$4400,AV$1,FALSE)="","-",VLOOKUP(ROUND(CONCATENATE($A56,AV$2),0),'Cadastro dos Padrões'!$A$2:$V$4400,AV$1,FALSE))</f>
        <v>-</v>
      </c>
      <c r="AW56" s="31" t="str">
        <f>IF(VLOOKUP(ROUND(CONCATENATE($A56,AW$2),0),'Cadastro dos Padrões'!$A$2:$V$4400,AW$1,FALSE)="","-",VLOOKUP(ROUND(CONCATENATE($A56,AW$2),0),'Cadastro dos Padrões'!$A$2:$V$4400,AW$1,FALSE))</f>
        <v>-</v>
      </c>
      <c r="AX56" s="31" t="str">
        <f>IF(VLOOKUP(ROUND(CONCATENATE($A56,AX$2),0),'Cadastro dos Padrões'!$A$2:$V$4400,AX$1,FALSE)="","-",VLOOKUP(ROUND(CONCATENATE($A56,AX$2),0),'Cadastro dos Padrões'!$A$2:$V$4400,AX$1,FALSE))</f>
        <v>-</v>
      </c>
      <c r="AY56" s="31" t="str">
        <f>IF(VLOOKUP(ROUND(CONCATENATE($A56,AY$2),0),'Cadastro dos Padrões'!$A$2:$V$4400,AY$1,FALSE)="","-",VLOOKUP(ROUND(CONCATENATE($A56,AY$2),0),'Cadastro dos Padrões'!$A$2:$V$4400,AY$1,FALSE))</f>
        <v>-</v>
      </c>
      <c r="AZ56" s="31" t="str">
        <f>IF(VLOOKUP(ROUND(CONCATENATE($A56,AZ$2),0),'Cadastro dos Padrões'!$A$2:$V$4400,AZ$1,FALSE)="","-",VLOOKUP(ROUND(CONCATENATE($A56,AZ$2),0),'Cadastro dos Padrões'!$A$2:$V$4400,AZ$1,FALSE))</f>
        <v>-</v>
      </c>
      <c r="BA56" s="31" t="str">
        <f>IF(VLOOKUP(ROUND(CONCATENATE($A56,BA$2),0),'Cadastro dos Padrões'!$A$2:$V$4400,BA$1,FALSE)="","-",VLOOKUP(ROUND(CONCATENATE($A56,BA$2),0),'Cadastro dos Padrões'!$A$2:$V$4400,BA$1,FALSE))</f>
        <v>-</v>
      </c>
      <c r="BB56" s="31" t="str">
        <f>IF(VLOOKUP(ROUND(CONCATENATE($A56,BB$2),0),'Cadastro dos Padrões'!$A$2:$V$4400,BB$1,FALSE)="","-",VLOOKUP(ROUND(CONCATENATE($A56,BB$2),0),'Cadastro dos Padrões'!$A$2:$V$4400,BB$1,FALSE))</f>
        <v>-</v>
      </c>
      <c r="BC56" s="31" t="str">
        <f>IF(VLOOKUP(ROUND(CONCATENATE($A56,BC$2),0),'Cadastro dos Padrões'!$A$2:$V$4400,BC$1,FALSE)="","-",VLOOKUP(ROUND(CONCATENATE($A56,BC$2),0),'Cadastro dos Padrões'!$A$2:$V$4400,BC$1,FALSE))</f>
        <v>-</v>
      </c>
      <c r="BD56" s="31" t="str">
        <f>IF(VLOOKUP(ROUND(CONCATENATE($A56,BD$2),0),'Cadastro dos Padrões'!$A$2:$V$4400,BD$1,FALSE)="","-",VLOOKUP(ROUND(CONCATENATE($A56,BD$2),0),'Cadastro dos Padrões'!$A$2:$V$4400,BD$1,FALSE))</f>
        <v>-</v>
      </c>
      <c r="BE56" s="31" t="str">
        <f>IF(VLOOKUP(ROUND(CONCATENATE($A56,BE$2),0),'Cadastro dos Padrões'!$A$2:$V$4400,BE$1,FALSE)="","-",VLOOKUP(ROUND(CONCATENATE($A56,BE$2),0),'Cadastro dos Padrões'!$A$2:$V$4400,BE$1,FALSE))</f>
        <v>-</v>
      </c>
      <c r="BF56" s="31" t="str">
        <f>IF(VLOOKUP(ROUND(CONCATENATE($A56,BF$2),0),'Cadastro dos Padrões'!$A$2:$V$4400,BF$1,FALSE)="","-",VLOOKUP(ROUND(CONCATENATE($A56,BF$2),0),'Cadastro dos Padrões'!$A$2:$V$4400,BF$1,FALSE))</f>
        <v>-</v>
      </c>
      <c r="BG56" s="31" t="str">
        <f>IF(VLOOKUP(ROUND(CONCATENATE($A56,BG$2),0),'Cadastro dos Padrões'!$A$2:$V$4400,BG$1,FALSE)="","-",VLOOKUP(ROUND(CONCATENATE($A56,BG$2),0),'Cadastro dos Padrões'!$A$2:$V$4400,BG$1,FALSE))</f>
        <v>-</v>
      </c>
      <c r="BH56" s="31" t="str">
        <f>IF(VLOOKUP(ROUND(CONCATENATE($A56,BH$2),0),'Cadastro dos Padrões'!$A$2:$V$4400,BH$1,FALSE)="","-",VLOOKUP(ROUND(CONCATENATE($A56,BH$2),0),'Cadastro dos Padrões'!$A$2:$V$4400,BH$1,FALSE))</f>
        <v>-</v>
      </c>
      <c r="BI56" s="31" t="str">
        <f>IF(VLOOKUP(ROUND(CONCATENATE($A56,BI$2),0),'Cadastro dos Padrões'!$A$2:$V$4400,BI$1,FALSE)="","-",VLOOKUP(ROUND(CONCATENATE($A56,BI$2),0),'Cadastro dos Padrões'!$A$2:$V$4400,BI$1,FALSE))</f>
        <v>-</v>
      </c>
      <c r="BJ56" s="31" t="str">
        <f>IF(VLOOKUP(ROUND(CONCATENATE($A56,BJ$2),0),'Cadastro dos Padrões'!$A$2:$V$4400,BJ$1,FALSE)="","-",VLOOKUP(ROUND(CONCATENATE($A56,BJ$2),0),'Cadastro dos Padrões'!$A$2:$V$4400,BJ$1,FALSE))</f>
        <v>-</v>
      </c>
      <c r="BK56" s="31" t="str">
        <f>IF(VLOOKUP(ROUND(CONCATENATE($A56,BK$2),0),'Cadastro dos Padrões'!$A$2:$V$4400,BK$1,FALSE)="","-",VLOOKUP(ROUND(CONCATENATE($A56,BK$2),0),'Cadastro dos Padrões'!$A$2:$V$4400,BK$1,FALSE))</f>
        <v>-</v>
      </c>
      <c r="BL56" s="31" t="str">
        <f>IF(VLOOKUP(ROUND(CONCATENATE($A56,BL$2),0),'Cadastro dos Padrões'!$A$2:$V$4400,BL$1,FALSE)="","-",VLOOKUP(ROUND(CONCATENATE($A56,BL$2),0),'Cadastro dos Padrões'!$A$2:$V$4400,BL$1,FALSE))</f>
        <v>-</v>
      </c>
      <c r="BM56" s="31" t="str">
        <f>IF(VLOOKUP(ROUND(CONCATENATE($A56,BM$2),0),'Cadastro dos Padrões'!$A$2:$V$4400,BM$1,FALSE)="","-",VLOOKUP(ROUND(CONCATENATE($A56,BM$2),0),'Cadastro dos Padrões'!$A$2:$V$4400,BM$1,FALSE))</f>
        <v>-</v>
      </c>
      <c r="BN56" s="31" t="str">
        <f>IF(VLOOKUP(ROUND(CONCATENATE($A56,BN$2),0),'Cadastro dos Padrões'!$A$2:$V$4400,BN$1,FALSE)="","-",VLOOKUP(ROUND(CONCATENATE($A56,BN$2),0),'Cadastro dos Padrões'!$A$2:$V$4400,BN$1,FALSE))</f>
        <v>-</v>
      </c>
      <c r="BO56" s="31" t="str">
        <f>IF(VLOOKUP(ROUND(CONCATENATE($A56,BO$2),0),'Cadastro dos Padrões'!$A$2:$V$4400,BO$1,FALSE)="","-",VLOOKUP(ROUND(CONCATENATE($A56,BO$2),0),'Cadastro dos Padrões'!$A$2:$V$4400,BO$1,FALSE))</f>
        <v>-</v>
      </c>
    </row>
    <row r="57" spans="1:67" x14ac:dyDescent="0.3">
      <c r="A57" s="6">
        <f t="shared" si="52"/>
        <v>52</v>
      </c>
      <c r="B57" s="31" t="str">
        <f>IF(VLOOKUP(ROUND(CONCATENATE($A57,B$2),0),'Cadastro dos Padrões'!$A$2:$V$4400,B$1,FALSE)="","-",VLOOKUP(ROUND(CONCATENATE($A57,B$2),0),'Cadastro dos Padrões'!$A$2:$V$4400,B$1,FALSE))</f>
        <v>E.TH.LQ-001</v>
      </c>
      <c r="C57" s="31" t="str">
        <f>IF($B57="-","-",VLOOKUP(ROUND(CONCATENATE($A57,C$2),0),'Cadastro dos Padrões'!$A$2:$V$4400,C$1,FALSE))</f>
        <v>Termohigrômetro Digital</v>
      </c>
      <c r="D57" s="31">
        <f>IF($B57="-","-",VLOOKUP(ROUND(CONCATENATE($A57,D$2),0),'Cadastro dos Padrões'!$A$2:$V$4400,D$1,FALSE))</f>
        <v>20</v>
      </c>
      <c r="E57" s="31" t="str">
        <f>IF($B57="-","-",VLOOKUP(ROUND(CONCATENATE($A57,E$2),0),'Cadastro dos Padrões'!$A$2:$V$4400,E$1,FALSE))</f>
        <v>Elus</v>
      </c>
      <c r="F57" s="31" t="str">
        <f>IF($B57="-","-",VLOOKUP(ROUND(CONCATENATE($A57,F$2),0),'Cadastro dos Padrões'!$A$2:$V$4400,F$1,FALSE))</f>
        <v>RBC - CAL 0439</v>
      </c>
      <c r="G57" s="31" t="str">
        <f>IF($B57="-","-",VLOOKUP(ROUND(CONCATENATE($A57,G$2),0),'Cadastro dos Padrões'!$A$2:$V$4400,G$1,FALSE))</f>
        <v>E0397A/25</v>
      </c>
      <c r="H57" s="32">
        <f>IF($B57="-","-",VLOOKUP(ROUND(CONCATENATE($A57,H$2),0),'Cadastro dos Padrões'!$A$2:$V$4400,H$1,FALSE))</f>
        <v>45836</v>
      </c>
      <c r="I57" s="33">
        <f>IF($B57="-","-",VLOOKUP(ROUND(CONCATENATE($A57,I$2),0),'Cadastro dos Padrões'!$A$2:$V$4400,I$1,FALSE))</f>
        <v>46203</v>
      </c>
      <c r="J57" s="31" t="str">
        <f>IF($B57="-","-",VLOOKUP(ROUND(CONCATENATE($A57,J$2),0),'Cadastro dos Padrões'!$A$2:$V$4400,J$1,FALSE))</f>
        <v>%ur</v>
      </c>
      <c r="K57" s="31">
        <f>IF($B57="-","-",VLOOKUP(ROUND(CONCATENATE($A57,K$2),0),'Cadastro dos Padrões'!$A$2:$V$4400,K$1,FALSE))</f>
        <v>20</v>
      </c>
      <c r="L57" s="31">
        <f>IF($B57="-","-",VLOOKUP(ROUND(CONCATENATE($A57,L$2),0),'Cadastro dos Padrões'!$A$2:$V$4400,L$1,FALSE))</f>
        <v>80</v>
      </c>
      <c r="M57" s="31">
        <f>IF($B57="-","-",VLOOKUP(ROUND(CONCATENATE($A57,M$2),0),'Cadastro dos Padrões'!$A$2:$V$4400,M$1,FALSE))</f>
        <v>0.1</v>
      </c>
      <c r="N57" s="31">
        <f>IF($B57="-","-",VLOOKUP(ROUND(CONCATENATE($A57,N$2),0),'Cadastro dos Padrões'!$A$2:$V$4400,N$1,FALSE))</f>
        <v>0.70000000000000284</v>
      </c>
      <c r="O57" s="31">
        <f>IF($B57="-","-",VLOOKUP(ROUND(CONCATENATE($A57,O$2),0),'Cadastro dos Padrões'!$A$2:$V$4400,O$1,FALSE))</f>
        <v>0.9</v>
      </c>
      <c r="P57" s="31">
        <f>IF($B57="-","-",VLOOKUP(ROUND(CONCATENATE($A57,P$2),0),'Cadastro dos Padrões'!$A$2:$V$4400,P$1,FALSE))</f>
        <v>0.20000000000000284</v>
      </c>
      <c r="Q57" s="31">
        <f>IF($B57="-","-",VLOOKUP(ROUND(CONCATENATE($A57,Q$2),0),'Cadastro dos Padrões'!$A$2:$V$4400,Q$1,FALSE))</f>
        <v>8.1108783661761663E-2</v>
      </c>
      <c r="R57" s="31">
        <f>IF($B57="-","-",VLOOKUP(ROUND(CONCATENATE($A57,R$2),0),'Cadastro dos Padrões'!$A$2:$V$4400,R$1,FALSE))</f>
        <v>1</v>
      </c>
      <c r="S57" s="31">
        <f>IF($B57="-","-",VLOOKUP(ROUND(CONCATENATE($A57,S$2),0),'Cadastro dos Padrões'!$A$2:$V$4400,S$1,FALSE))</f>
        <v>0</v>
      </c>
      <c r="T57" s="31">
        <f>IF($B57="-","-",VLOOKUP(ROUND(CONCATENATE($A57,T$2),0),'Cadastro dos Padrões'!$A$2:$V$4400,T$1,FALSE))</f>
        <v>0</v>
      </c>
      <c r="U57" s="31">
        <f>IF($B57="-","-",VLOOKUP(ROUND(CONCATENATE($A57,U$2),0),'Cadastro dos Padrões'!$A$2:$V$4400,U$1,FALSE))</f>
        <v>0</v>
      </c>
      <c r="V57" s="31">
        <f>IF($B57="-","-",VLOOKUP(ROUND(CONCATENATE($A57,V$2),0),'Cadastro dos Padrões'!$A$2:$V$4400,V$1,FALSE))</f>
        <v>0</v>
      </c>
      <c r="W57" s="31">
        <f>IF($B57="-","-",VLOOKUP(ROUND(CONCATENATE($A57,W$2),0),'Cadastro dos Padrões'!$A$2:$V$4400,W$1,FALSE))</f>
        <v>0</v>
      </c>
      <c r="X57" s="31">
        <f>IF($B57="-","-",VLOOKUP(ROUND(CONCATENATE($A57,X$2),0),'Cadastro dos Padrões'!$A$2:$V$4400,X$1,FALSE))</f>
        <v>0</v>
      </c>
      <c r="Y57" s="31">
        <f>IF($B57="-","-",VLOOKUP(ROUND(CONCATENATE($A57,Y$2),0),'Cadastro dos Padrões'!$A$2:$V$4400,Y$1,FALSE))</f>
        <v>0</v>
      </c>
      <c r="Z57" s="31">
        <f>IF($B57="-","-",VLOOKUP(ROUND(CONCATENATE($A57,Z$2),0),'Cadastro dos Padrões'!$A$2:$V$4400,Z$1,FALSE))</f>
        <v>0.99337385285055901</v>
      </c>
      <c r="AA57" s="31">
        <f>IF($B57="-","-",VLOOKUP(ROUND(CONCATENATE($A57,AA$2),0),'Cadastro dos Padrões'!$A$2:$V$4400,AA$1,FALSE))</f>
        <v>-0.13226710719154511</v>
      </c>
      <c r="AB57" s="31">
        <f>IF(VLOOKUP(ROUND(CONCATENATE($A57,AB$2),0),'Cadastro dos Padrões'!$A$2:$V$4400,AB$1,FALSE)="","-",VLOOKUP(ROUND(CONCATENATE($A57,AB$2),0),'Cadastro dos Padrões'!$A$2:$V$4400,AB$1,FALSE))</f>
        <v>20</v>
      </c>
      <c r="AC57" s="31">
        <f>IF(VLOOKUP(ROUND(CONCATENATE($A57,AC$2),0),'Cadastro dos Padrões'!$A$2:$V$4400,AC$1,FALSE)="","-",VLOOKUP(ROUND(CONCATENATE($A57,AC$2),0),'Cadastro dos Padrões'!$A$2:$V$4400,AC$1,FALSE))</f>
        <v>0.4</v>
      </c>
      <c r="AD57" s="31">
        <f>IF(VLOOKUP(ROUND(CONCATENATE($A57,AD$2),0),'Cadastro dos Padrões'!$A$2:$V$4400,AD$1,FALSE)="","-",VLOOKUP(ROUND(CONCATENATE($A57,AD$2),0),'Cadastro dos Padrões'!$A$2:$V$4400,AD$1,FALSE))</f>
        <v>2.0099999999999998</v>
      </c>
      <c r="AE57" s="31">
        <f>IF(VLOOKUP(ROUND(CONCATENATE($A57,AE$2),0),'Cadastro dos Padrões'!$A$2:$V$4400,AE$1,FALSE)="","-",VLOOKUP(ROUND(CONCATENATE($A57,AE$2),0),'Cadastro dos Padrões'!$A$2:$V$4400,AE$1,FALSE))</f>
        <v>269</v>
      </c>
      <c r="AF57" s="31">
        <f>IF(VLOOKUP(ROUND(CONCATENATE($A57,AF$2),0),'Cadastro dos Padrões'!$A$2:$V$4400,AF$1,FALSE)="","-",VLOOKUP(ROUND(CONCATENATE($A57,AF$2),0),'Cadastro dos Padrões'!$A$2:$V$4400,AF$1,FALSE))</f>
        <v>50</v>
      </c>
      <c r="AG57" s="31">
        <f>IF(VLOOKUP(ROUND(CONCATENATE($A57,AG$2),0),'Cadastro dos Padrões'!$A$2:$V$4400,AG$1,FALSE)="","-",VLOOKUP(ROUND(CONCATENATE($A57,AG$2),0),'Cadastro dos Padrões'!$A$2:$V$4400,AG$1,FALSE))</f>
        <v>0.6</v>
      </c>
      <c r="AH57" s="31">
        <f>IF(VLOOKUP(ROUND(CONCATENATE($A57,AH$2),0),'Cadastro dos Padrões'!$A$2:$V$4400,AH$1,FALSE)="","-",VLOOKUP(ROUND(CONCATENATE($A57,AH$2),0),'Cadastro dos Padrões'!$A$2:$V$4400,AH$1,FALSE))</f>
        <v>2.02</v>
      </c>
      <c r="AI57" s="31">
        <f>IF(VLOOKUP(ROUND(CONCATENATE($A57,AI$2),0),'Cadastro dos Padrões'!$A$2:$V$4400,AI$1,FALSE)="","-",VLOOKUP(ROUND(CONCATENATE($A57,AI$2),0),'Cadastro dos Padrões'!$A$2:$V$4400,AI$1,FALSE))</f>
        <v>124</v>
      </c>
      <c r="AJ57" s="31">
        <f>IF(VLOOKUP(ROUND(CONCATENATE($A57,AJ$2),0),'Cadastro dos Padrões'!$A$2:$V$4400,AJ$1,FALSE)="","-",VLOOKUP(ROUND(CONCATENATE($A57,AJ$2),0),'Cadastro dos Padrões'!$A$2:$V$4400,AJ$1,FALSE))</f>
        <v>80</v>
      </c>
      <c r="AK57" s="31">
        <f>IF(VLOOKUP(ROUND(CONCATENATE($A57,AK$2),0),'Cadastro dos Padrões'!$A$2:$V$4400,AK$1,FALSE)="","-",VLOOKUP(ROUND(CONCATENATE($A57,AK$2),0),'Cadastro dos Padrões'!$A$2:$V$4400,AK$1,FALSE))</f>
        <v>0.9</v>
      </c>
      <c r="AL57" s="31">
        <f>IF(VLOOKUP(ROUND(CONCATENATE($A57,AL$2),0),'Cadastro dos Padrões'!$A$2:$V$4400,AL$1,FALSE)="","-",VLOOKUP(ROUND(CONCATENATE($A57,AL$2),0),'Cadastro dos Padrões'!$A$2:$V$4400,AL$1,FALSE))</f>
        <v>2.02</v>
      </c>
      <c r="AM57" s="31">
        <f>IF(VLOOKUP(ROUND(CONCATENATE($A57,AM$2),0),'Cadastro dos Padrões'!$A$2:$V$4400,AM$1,FALSE)="","-",VLOOKUP(ROUND(CONCATENATE($A57,AM$2),0),'Cadastro dos Padrões'!$A$2:$V$4400,AM$1,FALSE))</f>
        <v>104</v>
      </c>
      <c r="AN57" s="31" t="str">
        <f>IF(VLOOKUP(ROUND(CONCATENATE($A57,AN$2),0),'Cadastro dos Padrões'!$A$2:$V$4400,AN$1,FALSE)="","-",VLOOKUP(ROUND(CONCATENATE($A57,AN$2),0),'Cadastro dos Padrões'!$A$2:$V$4400,AN$1,FALSE))</f>
        <v>-</v>
      </c>
      <c r="AO57" s="31" t="str">
        <f>IF(VLOOKUP(ROUND(CONCATENATE($A57,AO$2),0),'Cadastro dos Padrões'!$A$2:$V$4400,AO$1,FALSE)="","-",VLOOKUP(ROUND(CONCATENATE($A57,AO$2),0),'Cadastro dos Padrões'!$A$2:$V$4400,AO$1,FALSE))</f>
        <v>-</v>
      </c>
      <c r="AP57" s="31" t="str">
        <f>IF(VLOOKUP(ROUND(CONCATENATE($A57,AP$2),0),'Cadastro dos Padrões'!$A$2:$V$4400,AP$1,FALSE)="","-",VLOOKUP(ROUND(CONCATENATE($A57,AP$2),0),'Cadastro dos Padrões'!$A$2:$V$4400,AP$1,FALSE))</f>
        <v>-</v>
      </c>
      <c r="AQ57" s="31" t="str">
        <f>IF(VLOOKUP(ROUND(CONCATENATE($A57,AQ$2),0),'Cadastro dos Padrões'!$A$2:$V$4400,AQ$1,FALSE)="","-",VLOOKUP(ROUND(CONCATENATE($A57,AQ$2),0),'Cadastro dos Padrões'!$A$2:$V$4400,AQ$1,FALSE))</f>
        <v>-</v>
      </c>
      <c r="AR57" s="31" t="str">
        <f>IF(VLOOKUP(ROUND(CONCATENATE($A57,AR$2),0),'Cadastro dos Padrões'!$A$2:$V$4400,AR$1,FALSE)="","-",VLOOKUP(ROUND(CONCATENATE($A57,AR$2),0),'Cadastro dos Padrões'!$A$2:$V$4400,AR$1,FALSE))</f>
        <v>-</v>
      </c>
      <c r="AS57" s="31" t="str">
        <f>IF(VLOOKUP(ROUND(CONCATENATE($A57,AS$2),0),'Cadastro dos Padrões'!$A$2:$V$4400,AS$1,FALSE)="","-",VLOOKUP(ROUND(CONCATENATE($A57,AS$2),0),'Cadastro dos Padrões'!$A$2:$V$4400,AS$1,FALSE))</f>
        <v>-</v>
      </c>
      <c r="AT57" s="31" t="str">
        <f>IF(VLOOKUP(ROUND(CONCATENATE($A57,AT$2),0),'Cadastro dos Padrões'!$A$2:$V$4400,AT$1,FALSE)="","-",VLOOKUP(ROUND(CONCATENATE($A57,AT$2),0),'Cadastro dos Padrões'!$A$2:$V$4400,AT$1,FALSE))</f>
        <v>-</v>
      </c>
      <c r="AU57" s="31" t="str">
        <f>IF(VLOOKUP(ROUND(CONCATENATE($A57,AU$2),0),'Cadastro dos Padrões'!$A$2:$V$4400,AU$1,FALSE)="","-",VLOOKUP(ROUND(CONCATENATE($A57,AU$2),0),'Cadastro dos Padrões'!$A$2:$V$4400,AU$1,FALSE))</f>
        <v>-</v>
      </c>
      <c r="AV57" s="31" t="str">
        <f>IF(VLOOKUP(ROUND(CONCATENATE($A57,AV$2),0),'Cadastro dos Padrões'!$A$2:$V$4400,AV$1,FALSE)="","-",VLOOKUP(ROUND(CONCATENATE($A57,AV$2),0),'Cadastro dos Padrões'!$A$2:$V$4400,AV$1,FALSE))</f>
        <v>-</v>
      </c>
      <c r="AW57" s="31" t="str">
        <f>IF(VLOOKUP(ROUND(CONCATENATE($A57,AW$2),0),'Cadastro dos Padrões'!$A$2:$V$4400,AW$1,FALSE)="","-",VLOOKUP(ROUND(CONCATENATE($A57,AW$2),0),'Cadastro dos Padrões'!$A$2:$V$4400,AW$1,FALSE))</f>
        <v>-</v>
      </c>
      <c r="AX57" s="31" t="str">
        <f>IF(VLOOKUP(ROUND(CONCATENATE($A57,AX$2),0),'Cadastro dos Padrões'!$A$2:$V$4400,AX$1,FALSE)="","-",VLOOKUP(ROUND(CONCATENATE($A57,AX$2),0),'Cadastro dos Padrões'!$A$2:$V$4400,AX$1,FALSE))</f>
        <v>-</v>
      </c>
      <c r="AY57" s="31" t="str">
        <f>IF(VLOOKUP(ROUND(CONCATENATE($A57,AY$2),0),'Cadastro dos Padrões'!$A$2:$V$4400,AY$1,FALSE)="","-",VLOOKUP(ROUND(CONCATENATE($A57,AY$2),0),'Cadastro dos Padrões'!$A$2:$V$4400,AY$1,FALSE))</f>
        <v>-</v>
      </c>
      <c r="AZ57" s="31" t="str">
        <f>IF(VLOOKUP(ROUND(CONCATENATE($A57,AZ$2),0),'Cadastro dos Padrões'!$A$2:$V$4400,AZ$1,FALSE)="","-",VLOOKUP(ROUND(CONCATENATE($A57,AZ$2),0),'Cadastro dos Padrões'!$A$2:$V$4400,AZ$1,FALSE))</f>
        <v>-</v>
      </c>
      <c r="BA57" s="31" t="str">
        <f>IF(VLOOKUP(ROUND(CONCATENATE($A57,BA$2),0),'Cadastro dos Padrões'!$A$2:$V$4400,BA$1,FALSE)="","-",VLOOKUP(ROUND(CONCATENATE($A57,BA$2),0),'Cadastro dos Padrões'!$A$2:$V$4400,BA$1,FALSE))</f>
        <v>-</v>
      </c>
      <c r="BB57" s="31" t="str">
        <f>IF(VLOOKUP(ROUND(CONCATENATE($A57,BB$2),0),'Cadastro dos Padrões'!$A$2:$V$4400,BB$1,FALSE)="","-",VLOOKUP(ROUND(CONCATENATE($A57,BB$2),0),'Cadastro dos Padrões'!$A$2:$V$4400,BB$1,FALSE))</f>
        <v>-</v>
      </c>
      <c r="BC57" s="31" t="str">
        <f>IF(VLOOKUP(ROUND(CONCATENATE($A57,BC$2),0),'Cadastro dos Padrões'!$A$2:$V$4400,BC$1,FALSE)="","-",VLOOKUP(ROUND(CONCATENATE($A57,BC$2),0),'Cadastro dos Padrões'!$A$2:$V$4400,BC$1,FALSE))</f>
        <v>-</v>
      </c>
      <c r="BD57" s="31" t="str">
        <f>IF(VLOOKUP(ROUND(CONCATENATE($A57,BD$2),0),'Cadastro dos Padrões'!$A$2:$V$4400,BD$1,FALSE)="","-",VLOOKUP(ROUND(CONCATENATE($A57,BD$2),0),'Cadastro dos Padrões'!$A$2:$V$4400,BD$1,FALSE))</f>
        <v>-</v>
      </c>
      <c r="BE57" s="31" t="str">
        <f>IF(VLOOKUP(ROUND(CONCATENATE($A57,BE$2),0),'Cadastro dos Padrões'!$A$2:$V$4400,BE$1,FALSE)="","-",VLOOKUP(ROUND(CONCATENATE($A57,BE$2),0),'Cadastro dos Padrões'!$A$2:$V$4400,BE$1,FALSE))</f>
        <v>-</v>
      </c>
      <c r="BF57" s="31" t="str">
        <f>IF(VLOOKUP(ROUND(CONCATENATE($A57,BF$2),0),'Cadastro dos Padrões'!$A$2:$V$4400,BF$1,FALSE)="","-",VLOOKUP(ROUND(CONCATENATE($A57,BF$2),0),'Cadastro dos Padrões'!$A$2:$V$4400,BF$1,FALSE))</f>
        <v>-</v>
      </c>
      <c r="BG57" s="31" t="str">
        <f>IF(VLOOKUP(ROUND(CONCATENATE($A57,BG$2),0),'Cadastro dos Padrões'!$A$2:$V$4400,BG$1,FALSE)="","-",VLOOKUP(ROUND(CONCATENATE($A57,BG$2),0),'Cadastro dos Padrões'!$A$2:$V$4400,BG$1,FALSE))</f>
        <v>-</v>
      </c>
      <c r="BH57" s="31" t="str">
        <f>IF(VLOOKUP(ROUND(CONCATENATE($A57,BH$2),0),'Cadastro dos Padrões'!$A$2:$V$4400,BH$1,FALSE)="","-",VLOOKUP(ROUND(CONCATENATE($A57,BH$2),0),'Cadastro dos Padrões'!$A$2:$V$4400,BH$1,FALSE))</f>
        <v>-</v>
      </c>
      <c r="BI57" s="31" t="str">
        <f>IF(VLOOKUP(ROUND(CONCATENATE($A57,BI$2),0),'Cadastro dos Padrões'!$A$2:$V$4400,BI$1,FALSE)="","-",VLOOKUP(ROUND(CONCATENATE($A57,BI$2),0),'Cadastro dos Padrões'!$A$2:$V$4400,BI$1,FALSE))</f>
        <v>-</v>
      </c>
      <c r="BJ57" s="31" t="str">
        <f>IF(VLOOKUP(ROUND(CONCATENATE($A57,BJ$2),0),'Cadastro dos Padrões'!$A$2:$V$4400,BJ$1,FALSE)="","-",VLOOKUP(ROUND(CONCATENATE($A57,BJ$2),0),'Cadastro dos Padrões'!$A$2:$V$4400,BJ$1,FALSE))</f>
        <v>-</v>
      </c>
      <c r="BK57" s="31" t="str">
        <f>IF(VLOOKUP(ROUND(CONCATENATE($A57,BK$2),0),'Cadastro dos Padrões'!$A$2:$V$4400,BK$1,FALSE)="","-",VLOOKUP(ROUND(CONCATENATE($A57,BK$2),0),'Cadastro dos Padrões'!$A$2:$V$4400,BK$1,FALSE))</f>
        <v>-</v>
      </c>
      <c r="BL57" s="31" t="str">
        <f>IF(VLOOKUP(ROUND(CONCATENATE($A57,BL$2),0),'Cadastro dos Padrões'!$A$2:$V$4400,BL$1,FALSE)="","-",VLOOKUP(ROUND(CONCATENATE($A57,BL$2),0),'Cadastro dos Padrões'!$A$2:$V$4400,BL$1,FALSE))</f>
        <v>-</v>
      </c>
      <c r="BM57" s="31" t="str">
        <f>IF(VLOOKUP(ROUND(CONCATENATE($A57,BM$2),0),'Cadastro dos Padrões'!$A$2:$V$4400,BM$1,FALSE)="","-",VLOOKUP(ROUND(CONCATENATE($A57,BM$2),0),'Cadastro dos Padrões'!$A$2:$V$4400,BM$1,FALSE))</f>
        <v>-</v>
      </c>
      <c r="BN57" s="31" t="str">
        <f>IF(VLOOKUP(ROUND(CONCATENATE($A57,BN$2),0),'Cadastro dos Padrões'!$A$2:$V$4400,BN$1,FALSE)="","-",VLOOKUP(ROUND(CONCATENATE($A57,BN$2),0),'Cadastro dos Padrões'!$A$2:$V$4400,BN$1,FALSE))</f>
        <v>-</v>
      </c>
      <c r="BO57" s="31" t="str">
        <f>IF(VLOOKUP(ROUND(CONCATENATE($A57,BO$2),0),'Cadastro dos Padrões'!$A$2:$V$4400,BO$1,FALSE)="","-",VLOOKUP(ROUND(CONCATENATE($A57,BO$2),0),'Cadastro dos Padrões'!$A$2:$V$4400,BO$1,FALSE))</f>
        <v>-</v>
      </c>
    </row>
    <row r="58" spans="1:67" x14ac:dyDescent="0.3">
      <c r="A58" s="6">
        <f t="shared" si="52"/>
        <v>53</v>
      </c>
      <c r="B58" s="31" t="str">
        <f>IF(VLOOKUP(ROUND(CONCATENATE($A58,B$2),0),'Cadastro dos Padrões'!$A$2:$V$4400,B$1,FALSE)="","-",VLOOKUP(ROUND(CONCATENATE($A58,B$2),0),'Cadastro dos Padrões'!$A$2:$V$4400,B$1,FALSE))</f>
        <v>E.TH.LQ-019</v>
      </c>
      <c r="C58" s="31" t="str">
        <f>IF($B58="-","-",VLOOKUP(ROUND(CONCATENATE($A58,C$2),0),'Cadastro dos Padrões'!$A$2:$V$4400,C$1,FALSE))</f>
        <v>Termohigrômetro Digital</v>
      </c>
      <c r="D58" s="31">
        <f>IF($B58="-","-",VLOOKUP(ROUND(CONCATENATE($A58,D$2),0),'Cadastro dos Padrões'!$A$2:$V$4400,D$1,FALSE))</f>
        <v>20</v>
      </c>
      <c r="E58" s="31" t="str">
        <f>IF($B58="-","-",VLOOKUP(ROUND(CONCATENATE($A58,E$2),0),'Cadastro dos Padrões'!$A$2:$V$4400,E$1,FALSE))</f>
        <v>Elus</v>
      </c>
      <c r="F58" s="31" t="str">
        <f>IF($B58="-","-",VLOOKUP(ROUND(CONCATENATE($A58,F$2),0),'Cadastro dos Padrões'!$A$2:$V$4400,F$1,FALSE))</f>
        <v>RBC - CAL 0439</v>
      </c>
      <c r="G58" s="31" t="str">
        <f>IF($B58="-","-",VLOOKUP(ROUND(CONCATENATE($A58,G$2),0),'Cadastro dos Padrões'!$A$2:$V$4400,G$1,FALSE))</f>
        <v>E0205/25</v>
      </c>
      <c r="H58" s="32">
        <f>IF($B58="-","-",VLOOKUP(ROUND(CONCATENATE($A58,H$2),0),'Cadastro dos Padrões'!$A$2:$V$4400,H$1,FALSE))</f>
        <v>45761</v>
      </c>
      <c r="I58" s="33">
        <f>IF($B58="-","-",VLOOKUP(ROUND(CONCATENATE($A58,I$2),0),'Cadastro dos Padrões'!$A$2:$V$4400,I$1,FALSE))</f>
        <v>46142</v>
      </c>
      <c r="J58" s="31" t="str">
        <f>IF($B58="-","-",VLOOKUP(ROUND(CONCATENATE($A58,J$2),0),'Cadastro dos Padrões'!$A$2:$V$4400,J$1,FALSE))</f>
        <v>%ur</v>
      </c>
      <c r="K58" s="31">
        <f>IF($B58="-","-",VLOOKUP(ROUND(CONCATENATE($A58,K$2),0),'Cadastro dos Padrões'!$A$2:$V$4400,K$1,FALSE))</f>
        <v>20</v>
      </c>
      <c r="L58" s="31">
        <f>IF($B58="-","-",VLOOKUP(ROUND(CONCATENATE($A58,L$2),0),'Cadastro dos Padrões'!$A$2:$V$4400,L$1,FALSE))</f>
        <v>80</v>
      </c>
      <c r="M58" s="31">
        <f>IF($B58="-","-",VLOOKUP(ROUND(CONCATENATE($A58,M$2),0),'Cadastro dos Padrões'!$A$2:$V$4400,M$1,FALSE))</f>
        <v>0.1</v>
      </c>
      <c r="N58" s="31">
        <f>IF($B58="-","-",VLOOKUP(ROUND(CONCATENATE($A58,N$2),0),'Cadastro dos Padrões'!$A$2:$V$4400,N$1,FALSE))</f>
        <v>2.2999999999999972</v>
      </c>
      <c r="O58" s="31">
        <f>IF($B58="-","-",VLOOKUP(ROUND(CONCATENATE($A58,O$2),0),'Cadastro dos Padrões'!$A$2:$V$4400,O$1,FALSE))</f>
        <v>1.1000000000000001</v>
      </c>
      <c r="P58" s="31">
        <f>IF($B58="-","-",VLOOKUP(ROUND(CONCATENATE($A58,P$2),0),'Cadastro dos Padrões'!$A$2:$V$4400,P$1,FALSE))</f>
        <v>2.2999999999999972</v>
      </c>
      <c r="Q58" s="31">
        <f>IF($B58="-","-",VLOOKUP(ROUND(CONCATENATE($A58,Q$2),0),'Cadastro dos Padrões'!$A$2:$V$4400,Q$1,FALSE))</f>
        <v>7.1054273576010019E-15</v>
      </c>
      <c r="R58" s="31">
        <f>IF($B58="-","-",VLOOKUP(ROUND(CONCATENATE($A58,R$2),0),'Cadastro dos Padrões'!$A$2:$V$4400,R$1,FALSE))</f>
        <v>1</v>
      </c>
      <c r="S58" s="31">
        <f>IF($B58="-","-",VLOOKUP(ROUND(CONCATENATE($A58,S$2),0),'Cadastro dos Padrões'!$A$2:$V$4400,S$1,FALSE))</f>
        <v>0</v>
      </c>
      <c r="T58" s="31">
        <f>IF($B58="-","-",VLOOKUP(ROUND(CONCATENATE($A58,T$2),0),'Cadastro dos Padrões'!$A$2:$V$4400,T$1,FALSE))</f>
        <v>0</v>
      </c>
      <c r="U58" s="31">
        <f>IF($B58="-","-",VLOOKUP(ROUND(CONCATENATE($A58,U$2),0),'Cadastro dos Padrões'!$A$2:$V$4400,U$1,FALSE))</f>
        <v>0</v>
      </c>
      <c r="V58" s="31">
        <f>IF($B58="-","-",VLOOKUP(ROUND(CONCATENATE($A58,V$2),0),'Cadastro dos Padrões'!$A$2:$V$4400,V$1,FALSE))</f>
        <v>0</v>
      </c>
      <c r="W58" s="31">
        <f>IF($B58="-","-",VLOOKUP(ROUND(CONCATENATE($A58,W$2),0),'Cadastro dos Padrões'!$A$2:$V$4400,W$1,FALSE))</f>
        <v>0</v>
      </c>
      <c r="X58" s="31">
        <f>IF($B58="-","-",VLOOKUP(ROUND(CONCATENATE($A58,X$2),0),'Cadastro dos Padrões'!$A$2:$V$4400,X$1,FALSE))</f>
        <v>0</v>
      </c>
      <c r="Y58" s="31">
        <f>IF($B58="-","-",VLOOKUP(ROUND(CONCATENATE($A58,Y$2),0),'Cadastro dos Padrões'!$A$2:$V$4400,Y$1,FALSE))</f>
        <v>0</v>
      </c>
      <c r="Z58" s="31">
        <f>IF($B58="-","-",VLOOKUP(ROUND(CONCATENATE($A58,Z$2),0),'Cadastro dos Padrões'!$A$2:$V$4400,Z$1,FALSE))</f>
        <v>0.95541401273885374</v>
      </c>
      <c r="AA58" s="31">
        <f>IF($B58="-","-",VLOOKUP(ROUND(CONCATENATE($A58,AA$2),0),'Cadastro dos Padrões'!$A$2:$V$4400,AA$1,FALSE))</f>
        <v>1.3694267515923428</v>
      </c>
      <c r="AB58" s="31">
        <f>IF(VLOOKUP(ROUND(CONCATENATE($A58,AB$2),0),'Cadastro dos Padrões'!$A$2:$V$4400,AB$1,FALSE)="","-",VLOOKUP(ROUND(CONCATENATE($A58,AB$2),0),'Cadastro dos Padrões'!$A$2:$V$4400,AB$1,FALSE))</f>
        <v>20</v>
      </c>
      <c r="AC58" s="31">
        <f>IF(VLOOKUP(ROUND(CONCATENATE($A58,AC$2),0),'Cadastro dos Padrões'!$A$2:$V$4400,AC$1,FALSE)="","-",VLOOKUP(ROUND(CONCATENATE($A58,AC$2),0),'Cadastro dos Padrões'!$A$2:$V$4400,AC$1,FALSE))</f>
        <v>0.7</v>
      </c>
      <c r="AD58" s="31">
        <f>IF(VLOOKUP(ROUND(CONCATENATE($A58,AD$2),0),'Cadastro dos Padrões'!$A$2:$V$4400,AD$1,FALSE)="","-",VLOOKUP(ROUND(CONCATENATE($A58,AD$2),0),'Cadastro dos Padrões'!$A$2:$V$4400,AD$1,FALSE))</f>
        <v>2</v>
      </c>
      <c r="AE58" s="31">
        <f>IF(VLOOKUP(ROUND(CONCATENATE($A58,AE$2),0),'Cadastro dos Padrões'!$A$2:$V$4400,AE$1,FALSE)="","-",VLOOKUP(ROUND(CONCATENATE($A58,AE$2),0),'Cadastro dos Padrões'!$A$2:$V$4400,AE$1,FALSE))</f>
        <v>1000000</v>
      </c>
      <c r="AF58" s="31">
        <f>IF(VLOOKUP(ROUND(CONCATENATE($A58,AF$2),0),'Cadastro dos Padrões'!$A$2:$V$4400,AF$1,FALSE)="","-",VLOOKUP(ROUND(CONCATENATE($A58,AF$2),0),'Cadastro dos Padrões'!$A$2:$V$4400,AF$1,FALSE))</f>
        <v>50</v>
      </c>
      <c r="AG58" s="31">
        <f>IF(VLOOKUP(ROUND(CONCATENATE($A58,AG$2),0),'Cadastro dos Padrões'!$A$2:$V$4400,AG$1,FALSE)="","-",VLOOKUP(ROUND(CONCATENATE($A58,AG$2),0),'Cadastro dos Padrões'!$A$2:$V$4400,AG$1,FALSE))</f>
        <v>1.1000000000000001</v>
      </c>
      <c r="AH58" s="31">
        <f>IF(VLOOKUP(ROUND(CONCATENATE($A58,AH$2),0),'Cadastro dos Padrões'!$A$2:$V$4400,AH$1,FALSE)="","-",VLOOKUP(ROUND(CONCATENATE($A58,AH$2),0),'Cadastro dos Padrões'!$A$2:$V$4400,AH$1,FALSE))</f>
        <v>2</v>
      </c>
      <c r="AI58" s="31">
        <f>IF(VLOOKUP(ROUND(CONCATENATE($A58,AI$2),0),'Cadastro dos Padrões'!$A$2:$V$4400,AI$1,FALSE)="","-",VLOOKUP(ROUND(CONCATENATE($A58,AI$2),0),'Cadastro dos Padrões'!$A$2:$V$4400,AI$1,FALSE))</f>
        <v>1000000</v>
      </c>
      <c r="AJ58" s="31">
        <f>IF(VLOOKUP(ROUND(CONCATENATE($A58,AJ$2),0),'Cadastro dos Padrões'!$A$2:$V$4400,AJ$1,FALSE)="","-",VLOOKUP(ROUND(CONCATENATE($A58,AJ$2),0),'Cadastro dos Padrões'!$A$2:$V$4400,AJ$1,FALSE))</f>
        <v>80</v>
      </c>
      <c r="AK58" s="31">
        <f>IF(VLOOKUP(ROUND(CONCATENATE($A58,AK$2),0),'Cadastro dos Padrões'!$A$2:$V$4400,AK$1,FALSE)="","-",VLOOKUP(ROUND(CONCATENATE($A58,AK$2),0),'Cadastro dos Padrões'!$A$2:$V$4400,AK$1,FALSE))</f>
        <v>1.1000000000000001</v>
      </c>
      <c r="AL58" s="31">
        <f>IF(VLOOKUP(ROUND(CONCATENATE($A58,AL$2),0),'Cadastro dos Padrões'!$A$2:$V$4400,AL$1,FALSE)="","-",VLOOKUP(ROUND(CONCATENATE($A58,AL$2),0),'Cadastro dos Padrões'!$A$2:$V$4400,AL$1,FALSE))</f>
        <v>2</v>
      </c>
      <c r="AM58" s="31">
        <f>IF(VLOOKUP(ROUND(CONCATENATE($A58,AM$2),0),'Cadastro dos Padrões'!$A$2:$V$4400,AM$1,FALSE)="","-",VLOOKUP(ROUND(CONCATENATE($A58,AM$2),0),'Cadastro dos Padrões'!$A$2:$V$4400,AM$1,FALSE))</f>
        <v>1000000</v>
      </c>
      <c r="AN58" s="31" t="str">
        <f>IF(VLOOKUP(ROUND(CONCATENATE($A58,AN$2),0),'Cadastro dos Padrões'!$A$2:$V$4400,AN$1,FALSE)="","-",VLOOKUP(ROUND(CONCATENATE($A58,AN$2),0),'Cadastro dos Padrões'!$A$2:$V$4400,AN$1,FALSE))</f>
        <v>-</v>
      </c>
      <c r="AO58" s="31" t="str">
        <f>IF(VLOOKUP(ROUND(CONCATENATE($A58,AO$2),0),'Cadastro dos Padrões'!$A$2:$V$4400,AO$1,FALSE)="","-",VLOOKUP(ROUND(CONCATENATE($A58,AO$2),0),'Cadastro dos Padrões'!$A$2:$V$4400,AO$1,FALSE))</f>
        <v>-</v>
      </c>
      <c r="AP58" s="31" t="str">
        <f>IF(VLOOKUP(ROUND(CONCATENATE($A58,AP$2),0),'Cadastro dos Padrões'!$A$2:$V$4400,AP$1,FALSE)="","-",VLOOKUP(ROUND(CONCATENATE($A58,AP$2),0),'Cadastro dos Padrões'!$A$2:$V$4400,AP$1,FALSE))</f>
        <v>-</v>
      </c>
      <c r="AQ58" s="31" t="str">
        <f>IF(VLOOKUP(ROUND(CONCATENATE($A58,AQ$2),0),'Cadastro dos Padrões'!$A$2:$V$4400,AQ$1,FALSE)="","-",VLOOKUP(ROUND(CONCATENATE($A58,AQ$2),0),'Cadastro dos Padrões'!$A$2:$V$4400,AQ$1,FALSE))</f>
        <v>-</v>
      </c>
      <c r="AR58" s="31" t="str">
        <f>IF(VLOOKUP(ROUND(CONCATENATE($A58,AR$2),0),'Cadastro dos Padrões'!$A$2:$V$4400,AR$1,FALSE)="","-",VLOOKUP(ROUND(CONCATENATE($A58,AR$2),0),'Cadastro dos Padrões'!$A$2:$V$4400,AR$1,FALSE))</f>
        <v>-</v>
      </c>
      <c r="AS58" s="31" t="str">
        <f>IF(VLOOKUP(ROUND(CONCATENATE($A58,AS$2),0),'Cadastro dos Padrões'!$A$2:$V$4400,AS$1,FALSE)="","-",VLOOKUP(ROUND(CONCATENATE($A58,AS$2),0),'Cadastro dos Padrões'!$A$2:$V$4400,AS$1,FALSE))</f>
        <v>-</v>
      </c>
      <c r="AT58" s="31" t="str">
        <f>IF(VLOOKUP(ROUND(CONCATENATE($A58,AT$2),0),'Cadastro dos Padrões'!$A$2:$V$4400,AT$1,FALSE)="","-",VLOOKUP(ROUND(CONCATENATE($A58,AT$2),0),'Cadastro dos Padrões'!$A$2:$V$4400,AT$1,FALSE))</f>
        <v>-</v>
      </c>
      <c r="AU58" s="31" t="str">
        <f>IF(VLOOKUP(ROUND(CONCATENATE($A58,AU$2),0),'Cadastro dos Padrões'!$A$2:$V$4400,AU$1,FALSE)="","-",VLOOKUP(ROUND(CONCATENATE($A58,AU$2),0),'Cadastro dos Padrões'!$A$2:$V$4400,AU$1,FALSE))</f>
        <v>-</v>
      </c>
      <c r="AV58" s="31" t="str">
        <f>IF(VLOOKUP(ROUND(CONCATENATE($A58,AV$2),0),'Cadastro dos Padrões'!$A$2:$V$4400,AV$1,FALSE)="","-",VLOOKUP(ROUND(CONCATENATE($A58,AV$2),0),'Cadastro dos Padrões'!$A$2:$V$4400,AV$1,FALSE))</f>
        <v>-</v>
      </c>
      <c r="AW58" s="31" t="str">
        <f>IF(VLOOKUP(ROUND(CONCATENATE($A58,AW$2),0),'Cadastro dos Padrões'!$A$2:$V$4400,AW$1,FALSE)="","-",VLOOKUP(ROUND(CONCATENATE($A58,AW$2),0),'Cadastro dos Padrões'!$A$2:$V$4400,AW$1,FALSE))</f>
        <v>-</v>
      </c>
      <c r="AX58" s="31" t="str">
        <f>IF(VLOOKUP(ROUND(CONCATENATE($A58,AX$2),0),'Cadastro dos Padrões'!$A$2:$V$4400,AX$1,FALSE)="","-",VLOOKUP(ROUND(CONCATENATE($A58,AX$2),0),'Cadastro dos Padrões'!$A$2:$V$4400,AX$1,FALSE))</f>
        <v>-</v>
      </c>
      <c r="AY58" s="31" t="str">
        <f>IF(VLOOKUP(ROUND(CONCATENATE($A58,AY$2),0),'Cadastro dos Padrões'!$A$2:$V$4400,AY$1,FALSE)="","-",VLOOKUP(ROUND(CONCATENATE($A58,AY$2),0),'Cadastro dos Padrões'!$A$2:$V$4400,AY$1,FALSE))</f>
        <v>-</v>
      </c>
      <c r="AZ58" s="31" t="str">
        <f>IF(VLOOKUP(ROUND(CONCATENATE($A58,AZ$2),0),'Cadastro dos Padrões'!$A$2:$V$4400,AZ$1,FALSE)="","-",VLOOKUP(ROUND(CONCATENATE($A58,AZ$2),0),'Cadastro dos Padrões'!$A$2:$V$4400,AZ$1,FALSE))</f>
        <v>-</v>
      </c>
      <c r="BA58" s="31" t="str">
        <f>IF(VLOOKUP(ROUND(CONCATENATE($A58,BA$2),0),'Cadastro dos Padrões'!$A$2:$V$4400,BA$1,FALSE)="","-",VLOOKUP(ROUND(CONCATENATE($A58,BA$2),0),'Cadastro dos Padrões'!$A$2:$V$4400,BA$1,FALSE))</f>
        <v>-</v>
      </c>
      <c r="BB58" s="31" t="str">
        <f>IF(VLOOKUP(ROUND(CONCATENATE($A58,BB$2),0),'Cadastro dos Padrões'!$A$2:$V$4400,BB$1,FALSE)="","-",VLOOKUP(ROUND(CONCATENATE($A58,BB$2),0),'Cadastro dos Padrões'!$A$2:$V$4400,BB$1,FALSE))</f>
        <v>-</v>
      </c>
      <c r="BC58" s="31" t="str">
        <f>IF(VLOOKUP(ROUND(CONCATENATE($A58,BC$2),0),'Cadastro dos Padrões'!$A$2:$V$4400,BC$1,FALSE)="","-",VLOOKUP(ROUND(CONCATENATE($A58,BC$2),0),'Cadastro dos Padrões'!$A$2:$V$4400,BC$1,FALSE))</f>
        <v>-</v>
      </c>
      <c r="BD58" s="31" t="str">
        <f>IF(VLOOKUP(ROUND(CONCATENATE($A58,BD$2),0),'Cadastro dos Padrões'!$A$2:$V$4400,BD$1,FALSE)="","-",VLOOKUP(ROUND(CONCATENATE($A58,BD$2),0),'Cadastro dos Padrões'!$A$2:$V$4400,BD$1,FALSE))</f>
        <v>-</v>
      </c>
      <c r="BE58" s="31" t="str">
        <f>IF(VLOOKUP(ROUND(CONCATENATE($A58,BE$2),0),'Cadastro dos Padrões'!$A$2:$V$4400,BE$1,FALSE)="","-",VLOOKUP(ROUND(CONCATENATE($A58,BE$2),0),'Cadastro dos Padrões'!$A$2:$V$4400,BE$1,FALSE))</f>
        <v>-</v>
      </c>
      <c r="BF58" s="31" t="str">
        <f>IF(VLOOKUP(ROUND(CONCATENATE($A58,BF$2),0),'Cadastro dos Padrões'!$A$2:$V$4400,BF$1,FALSE)="","-",VLOOKUP(ROUND(CONCATENATE($A58,BF$2),0),'Cadastro dos Padrões'!$A$2:$V$4400,BF$1,FALSE))</f>
        <v>-</v>
      </c>
      <c r="BG58" s="31" t="str">
        <f>IF(VLOOKUP(ROUND(CONCATENATE($A58,BG$2),0),'Cadastro dos Padrões'!$A$2:$V$4400,BG$1,FALSE)="","-",VLOOKUP(ROUND(CONCATENATE($A58,BG$2),0),'Cadastro dos Padrões'!$A$2:$V$4400,BG$1,FALSE))</f>
        <v>-</v>
      </c>
      <c r="BH58" s="31" t="str">
        <f>IF(VLOOKUP(ROUND(CONCATENATE($A58,BH$2),0),'Cadastro dos Padrões'!$A$2:$V$4400,BH$1,FALSE)="","-",VLOOKUP(ROUND(CONCATENATE($A58,BH$2),0),'Cadastro dos Padrões'!$A$2:$V$4400,BH$1,FALSE))</f>
        <v>-</v>
      </c>
      <c r="BI58" s="31" t="str">
        <f>IF(VLOOKUP(ROUND(CONCATENATE($A58,BI$2),0),'Cadastro dos Padrões'!$A$2:$V$4400,BI$1,FALSE)="","-",VLOOKUP(ROUND(CONCATENATE($A58,BI$2),0),'Cadastro dos Padrões'!$A$2:$V$4400,BI$1,FALSE))</f>
        <v>-</v>
      </c>
      <c r="BJ58" s="31" t="str">
        <f>IF(VLOOKUP(ROUND(CONCATENATE($A58,BJ$2),0),'Cadastro dos Padrões'!$A$2:$V$4400,BJ$1,FALSE)="","-",VLOOKUP(ROUND(CONCATENATE($A58,BJ$2),0),'Cadastro dos Padrões'!$A$2:$V$4400,BJ$1,FALSE))</f>
        <v>-</v>
      </c>
      <c r="BK58" s="31" t="str">
        <f>IF(VLOOKUP(ROUND(CONCATENATE($A58,BK$2),0),'Cadastro dos Padrões'!$A$2:$V$4400,BK$1,FALSE)="","-",VLOOKUP(ROUND(CONCATENATE($A58,BK$2),0),'Cadastro dos Padrões'!$A$2:$V$4400,BK$1,FALSE))</f>
        <v>-</v>
      </c>
      <c r="BL58" s="31" t="str">
        <f>IF(VLOOKUP(ROUND(CONCATENATE($A58,BL$2),0),'Cadastro dos Padrões'!$A$2:$V$4400,BL$1,FALSE)="","-",VLOOKUP(ROUND(CONCATENATE($A58,BL$2),0),'Cadastro dos Padrões'!$A$2:$V$4400,BL$1,FALSE))</f>
        <v>-</v>
      </c>
      <c r="BM58" s="31" t="str">
        <f>IF(VLOOKUP(ROUND(CONCATENATE($A58,BM$2),0),'Cadastro dos Padrões'!$A$2:$V$4400,BM$1,FALSE)="","-",VLOOKUP(ROUND(CONCATENATE($A58,BM$2),0),'Cadastro dos Padrões'!$A$2:$V$4400,BM$1,FALSE))</f>
        <v>-</v>
      </c>
      <c r="BN58" s="31" t="str">
        <f>IF(VLOOKUP(ROUND(CONCATENATE($A58,BN$2),0),'Cadastro dos Padrões'!$A$2:$V$4400,BN$1,FALSE)="","-",VLOOKUP(ROUND(CONCATENATE($A58,BN$2),0),'Cadastro dos Padrões'!$A$2:$V$4400,BN$1,FALSE))</f>
        <v>-</v>
      </c>
      <c r="BO58" s="31" t="str">
        <f>IF(VLOOKUP(ROUND(CONCATENATE($A58,BO$2),0),'Cadastro dos Padrões'!$A$2:$V$4400,BO$1,FALSE)="","-",VLOOKUP(ROUND(CONCATENATE($A58,BO$2),0),'Cadastro dos Padrões'!$A$2:$V$4400,BO$1,FALSE))</f>
        <v>-</v>
      </c>
    </row>
    <row r="59" spans="1:67" x14ac:dyDescent="0.3">
      <c r="A59" s="6">
        <f t="shared" si="52"/>
        <v>54</v>
      </c>
      <c r="B59" s="31" t="str">
        <f>IF(VLOOKUP(ROUND(CONCATENATE($A59,B$2),0),'Cadastro dos Padrões'!$A$2:$V$4400,B$1,FALSE)="","-",VLOOKUP(ROUND(CONCATENATE($A59,B$2),0),'Cadastro dos Padrões'!$A$2:$V$4400,B$1,FALSE))</f>
        <v>E.TH.LQ-018</v>
      </c>
      <c r="C59" s="31" t="str">
        <f>IF($B59="-","-",VLOOKUP(ROUND(CONCATENATE($A59,C$2),0),'Cadastro dos Padrões'!$A$2:$V$4400,C$1,FALSE))</f>
        <v>Termohigrômetro Digital</v>
      </c>
      <c r="D59" s="31">
        <f>IF($B59="-","-",VLOOKUP(ROUND(CONCATENATE($A59,D$2),0),'Cadastro dos Padrões'!$A$2:$V$4400,D$1,FALSE))</f>
        <v>20</v>
      </c>
      <c r="E59" s="31" t="str">
        <f>IF($B59="-","-",VLOOKUP(ROUND(CONCATENATE($A59,E$2),0),'Cadastro dos Padrões'!$A$2:$V$4400,E$1,FALSE))</f>
        <v>Elus</v>
      </c>
      <c r="F59" s="31" t="str">
        <f>IF($B59="-","-",VLOOKUP(ROUND(CONCATENATE($A59,F$2),0),'Cadastro dos Padrões'!$A$2:$V$4400,F$1,FALSE))</f>
        <v>RBC - CAL 0439</v>
      </c>
      <c r="G59" s="31" t="str">
        <f>IF($B59="-","-",VLOOKUP(ROUND(CONCATENATE($A59,G$2),0),'Cadastro dos Padrões'!$A$2:$V$4400,G$1,FALSE))</f>
        <v>E0204/25</v>
      </c>
      <c r="H59" s="32">
        <f>IF($B59="-","-",VLOOKUP(ROUND(CONCATENATE($A59,H$2),0),'Cadastro dos Padrões'!$A$2:$V$4400,H$1,FALSE))</f>
        <v>45761</v>
      </c>
      <c r="I59" s="33">
        <f>IF($B59="-","-",VLOOKUP(ROUND(CONCATENATE($A59,I$2),0),'Cadastro dos Padrões'!$A$2:$V$4400,I$1,FALSE))</f>
        <v>46142</v>
      </c>
      <c r="J59" s="31" t="str">
        <f>IF($B59="-","-",VLOOKUP(ROUND(CONCATENATE($A59,J$2),0),'Cadastro dos Padrões'!$A$2:$V$4400,J$1,FALSE))</f>
        <v>%ur</v>
      </c>
      <c r="K59" s="31">
        <f>IF($B59="-","-",VLOOKUP(ROUND(CONCATENATE($A59,K$2),0),'Cadastro dos Padrões'!$A$2:$V$4400,K$1,FALSE))</f>
        <v>20</v>
      </c>
      <c r="L59" s="31">
        <f>IF($B59="-","-",VLOOKUP(ROUND(CONCATENATE($A59,L$2),0),'Cadastro dos Padrões'!$A$2:$V$4400,L$1,FALSE))</f>
        <v>80</v>
      </c>
      <c r="M59" s="31">
        <f>IF($B59="-","-",VLOOKUP(ROUND(CONCATENATE($A59,M$2),0),'Cadastro dos Padrões'!$A$2:$V$4400,M$1,FALSE))</f>
        <v>0.1</v>
      </c>
      <c r="N59" s="31">
        <f>IF($B59="-","-",VLOOKUP(ROUND(CONCATENATE($A59,N$2),0),'Cadastro dos Padrões'!$A$2:$V$4400,N$1,FALSE))</f>
        <v>0.5</v>
      </c>
      <c r="O59" s="31">
        <f>IF($B59="-","-",VLOOKUP(ROUND(CONCATENATE($A59,O$2),0),'Cadastro dos Padrões'!$A$2:$V$4400,O$1,FALSE))</f>
        <v>1.1000000000000001</v>
      </c>
      <c r="P59" s="31">
        <f>IF($B59="-","-",VLOOKUP(ROUND(CONCATENATE($A59,P$2),0),'Cadastro dos Padrões'!$A$2:$V$4400,P$1,FALSE))</f>
        <v>0.5</v>
      </c>
      <c r="Q59" s="31">
        <f>IF($B59="-","-",VLOOKUP(ROUND(CONCATENATE($A59,Q$2),0),'Cadastro dos Padrões'!$A$2:$V$4400,Q$1,FALSE))</f>
        <v>0.24413114848226058</v>
      </c>
      <c r="R59" s="31">
        <f>IF($B59="-","-",VLOOKUP(ROUND(CONCATENATE($A59,R$2),0),'Cadastro dos Padrões'!$A$2:$V$4400,R$1,FALSE))</f>
        <v>1</v>
      </c>
      <c r="S59" s="31">
        <f>IF($B59="-","-",VLOOKUP(ROUND(CONCATENATE($A59,S$2),0),'Cadastro dos Padrões'!$A$2:$V$4400,S$1,FALSE))</f>
        <v>0</v>
      </c>
      <c r="T59" s="31">
        <f>IF($B59="-","-",VLOOKUP(ROUND(CONCATENATE($A59,T$2),0),'Cadastro dos Padrões'!$A$2:$V$4400,T$1,FALSE))</f>
        <v>0</v>
      </c>
      <c r="U59" s="31">
        <f>IF($B59="-","-",VLOOKUP(ROUND(CONCATENATE($A59,U$2),0),'Cadastro dos Padrões'!$A$2:$V$4400,U$1,FALSE))</f>
        <v>0</v>
      </c>
      <c r="V59" s="31">
        <f>IF($B59="-","-",VLOOKUP(ROUND(CONCATENATE($A59,V$2),0),'Cadastro dos Padrões'!$A$2:$V$4400,V$1,FALSE))</f>
        <v>0</v>
      </c>
      <c r="W59" s="31">
        <f>IF($B59="-","-",VLOOKUP(ROUND(CONCATENATE($A59,W$2),0),'Cadastro dos Padrões'!$A$2:$V$4400,W$1,FALSE))</f>
        <v>0</v>
      </c>
      <c r="X59" s="31">
        <f>IF($B59="-","-",VLOOKUP(ROUND(CONCATENATE($A59,X$2),0),'Cadastro dos Padrões'!$A$2:$V$4400,X$1,FALSE))</f>
        <v>0</v>
      </c>
      <c r="Y59" s="31">
        <f>IF($B59="-","-",VLOOKUP(ROUND(CONCATENATE($A59,Y$2),0),'Cadastro dos Padrões'!$A$2:$V$4400,Y$1,FALSE))</f>
        <v>0</v>
      </c>
      <c r="Z59" s="31">
        <f>IF($B59="-","-",VLOOKUP(ROUND(CONCATENATE($A59,Z$2),0),'Cadastro dos Padrões'!$A$2:$V$4400,Z$1,FALSE))</f>
        <v>0.99664473974658974</v>
      </c>
      <c r="AA59" s="31">
        <f>IF($B59="-","-",VLOOKUP(ROUND(CONCATENATE($A59,AA$2),0),'Cadastro dos Padrões'!$A$2:$V$4400,AA$1,FALSE))</f>
        <v>-0.13123040925346885</v>
      </c>
      <c r="AB59" s="31">
        <f>IF(VLOOKUP(ROUND(CONCATENATE($A59,AB$2),0),'Cadastro dos Padrões'!$A$2:$V$4400,AB$1,FALSE)="","-",VLOOKUP(ROUND(CONCATENATE($A59,AB$2),0),'Cadastro dos Padrões'!$A$2:$V$4400,AB$1,FALSE))</f>
        <v>20</v>
      </c>
      <c r="AC59" s="31">
        <f>IF(VLOOKUP(ROUND(CONCATENATE($A59,AC$2),0),'Cadastro dos Padrões'!$A$2:$V$4400,AC$1,FALSE)="","-",VLOOKUP(ROUND(CONCATENATE($A59,AC$2),0),'Cadastro dos Padrões'!$A$2:$V$4400,AC$1,FALSE))</f>
        <v>0.7</v>
      </c>
      <c r="AD59" s="31">
        <f>IF(VLOOKUP(ROUND(CONCATENATE($A59,AD$2),0),'Cadastro dos Padrões'!$A$2:$V$4400,AD$1,FALSE)="","-",VLOOKUP(ROUND(CONCATENATE($A59,AD$2),0),'Cadastro dos Padrões'!$A$2:$V$4400,AD$1,FALSE))</f>
        <v>2</v>
      </c>
      <c r="AE59" s="31">
        <f>IF(VLOOKUP(ROUND(CONCATENATE($A59,AE$2),0),'Cadastro dos Padrões'!$A$2:$V$4400,AE$1,FALSE)="","-",VLOOKUP(ROUND(CONCATENATE($A59,AE$2),0),'Cadastro dos Padrões'!$A$2:$V$4400,AE$1,FALSE))</f>
        <v>1000000</v>
      </c>
      <c r="AF59" s="31">
        <f>IF(VLOOKUP(ROUND(CONCATENATE($A59,AF$2),0),'Cadastro dos Padrões'!$A$2:$V$4400,AF$1,FALSE)="","-",VLOOKUP(ROUND(CONCATENATE($A59,AF$2),0),'Cadastro dos Padrões'!$A$2:$V$4400,AF$1,FALSE))</f>
        <v>50</v>
      </c>
      <c r="AG59" s="31">
        <f>IF(VLOOKUP(ROUND(CONCATENATE($A59,AG$2),0),'Cadastro dos Padrões'!$A$2:$V$4400,AG$1,FALSE)="","-",VLOOKUP(ROUND(CONCATENATE($A59,AG$2),0),'Cadastro dos Padrões'!$A$2:$V$4400,AG$1,FALSE))</f>
        <v>1.1000000000000001</v>
      </c>
      <c r="AH59" s="31">
        <f>IF(VLOOKUP(ROUND(CONCATENATE($A59,AH$2),0),'Cadastro dos Padrões'!$A$2:$V$4400,AH$1,FALSE)="","-",VLOOKUP(ROUND(CONCATENATE($A59,AH$2),0),'Cadastro dos Padrões'!$A$2:$V$4400,AH$1,FALSE))</f>
        <v>2</v>
      </c>
      <c r="AI59" s="31">
        <f>IF(VLOOKUP(ROUND(CONCATENATE($A59,AI$2),0),'Cadastro dos Padrões'!$A$2:$V$4400,AI$1,FALSE)="","-",VLOOKUP(ROUND(CONCATENATE($A59,AI$2),0),'Cadastro dos Padrões'!$A$2:$V$4400,AI$1,FALSE))</f>
        <v>1000000</v>
      </c>
      <c r="AJ59" s="31">
        <f>IF(VLOOKUP(ROUND(CONCATENATE($A59,AJ$2),0),'Cadastro dos Padrões'!$A$2:$V$4400,AJ$1,FALSE)="","-",VLOOKUP(ROUND(CONCATENATE($A59,AJ$2),0),'Cadastro dos Padrões'!$A$2:$V$4400,AJ$1,FALSE))</f>
        <v>80</v>
      </c>
      <c r="AK59" s="31">
        <f>IF(VLOOKUP(ROUND(CONCATENATE($A59,AK$2),0),'Cadastro dos Padrões'!$A$2:$V$4400,AK$1,FALSE)="","-",VLOOKUP(ROUND(CONCATENATE($A59,AK$2),0),'Cadastro dos Padrões'!$A$2:$V$4400,AK$1,FALSE))</f>
        <v>1.1000000000000001</v>
      </c>
      <c r="AL59" s="31">
        <f>IF(VLOOKUP(ROUND(CONCATENATE($A59,AL$2),0),'Cadastro dos Padrões'!$A$2:$V$4400,AL$1,FALSE)="","-",VLOOKUP(ROUND(CONCATENATE($A59,AL$2),0),'Cadastro dos Padrões'!$A$2:$V$4400,AL$1,FALSE))</f>
        <v>2</v>
      </c>
      <c r="AM59" s="31">
        <f>IF(VLOOKUP(ROUND(CONCATENATE($A59,AM$2),0),'Cadastro dos Padrões'!$A$2:$V$4400,AM$1,FALSE)="","-",VLOOKUP(ROUND(CONCATENATE($A59,AM$2),0),'Cadastro dos Padrões'!$A$2:$V$4400,AM$1,FALSE))</f>
        <v>1000000</v>
      </c>
      <c r="AN59" s="31" t="str">
        <f>IF(VLOOKUP(ROUND(CONCATENATE($A59,AN$2),0),'Cadastro dos Padrões'!$A$2:$V$4400,AN$1,FALSE)="","-",VLOOKUP(ROUND(CONCATENATE($A59,AN$2),0),'Cadastro dos Padrões'!$A$2:$V$4400,AN$1,FALSE))</f>
        <v>-</v>
      </c>
      <c r="AO59" s="31" t="str">
        <f>IF(VLOOKUP(ROUND(CONCATENATE($A59,AO$2),0),'Cadastro dos Padrões'!$A$2:$V$4400,AO$1,FALSE)="","-",VLOOKUP(ROUND(CONCATENATE($A59,AO$2),0),'Cadastro dos Padrões'!$A$2:$V$4400,AO$1,FALSE))</f>
        <v>-</v>
      </c>
      <c r="AP59" s="31" t="str">
        <f>IF(VLOOKUP(ROUND(CONCATENATE($A59,AP$2),0),'Cadastro dos Padrões'!$A$2:$V$4400,AP$1,FALSE)="","-",VLOOKUP(ROUND(CONCATENATE($A59,AP$2),0),'Cadastro dos Padrões'!$A$2:$V$4400,AP$1,FALSE))</f>
        <v>-</v>
      </c>
      <c r="AQ59" s="31" t="str">
        <f>IF(VLOOKUP(ROUND(CONCATENATE($A59,AQ$2),0),'Cadastro dos Padrões'!$A$2:$V$4400,AQ$1,FALSE)="","-",VLOOKUP(ROUND(CONCATENATE($A59,AQ$2),0),'Cadastro dos Padrões'!$A$2:$V$4400,AQ$1,FALSE))</f>
        <v>-</v>
      </c>
      <c r="AR59" s="31" t="str">
        <f>IF(VLOOKUP(ROUND(CONCATENATE($A59,AR$2),0),'Cadastro dos Padrões'!$A$2:$V$4400,AR$1,FALSE)="","-",VLOOKUP(ROUND(CONCATENATE($A59,AR$2),0),'Cadastro dos Padrões'!$A$2:$V$4400,AR$1,FALSE))</f>
        <v>-</v>
      </c>
      <c r="AS59" s="31" t="str">
        <f>IF(VLOOKUP(ROUND(CONCATENATE($A59,AS$2),0),'Cadastro dos Padrões'!$A$2:$V$4400,AS$1,FALSE)="","-",VLOOKUP(ROUND(CONCATENATE($A59,AS$2),0),'Cadastro dos Padrões'!$A$2:$V$4400,AS$1,FALSE))</f>
        <v>-</v>
      </c>
      <c r="AT59" s="31" t="str">
        <f>IF(VLOOKUP(ROUND(CONCATENATE($A59,AT$2),0),'Cadastro dos Padrões'!$A$2:$V$4400,AT$1,FALSE)="","-",VLOOKUP(ROUND(CONCATENATE($A59,AT$2),0),'Cadastro dos Padrões'!$A$2:$V$4400,AT$1,FALSE))</f>
        <v>-</v>
      </c>
      <c r="AU59" s="31" t="str">
        <f>IF(VLOOKUP(ROUND(CONCATENATE($A59,AU$2),0),'Cadastro dos Padrões'!$A$2:$V$4400,AU$1,FALSE)="","-",VLOOKUP(ROUND(CONCATENATE($A59,AU$2),0),'Cadastro dos Padrões'!$A$2:$V$4400,AU$1,FALSE))</f>
        <v>-</v>
      </c>
      <c r="AV59" s="31" t="str">
        <f>IF(VLOOKUP(ROUND(CONCATENATE($A59,AV$2),0),'Cadastro dos Padrões'!$A$2:$V$4400,AV$1,FALSE)="","-",VLOOKUP(ROUND(CONCATENATE($A59,AV$2),0),'Cadastro dos Padrões'!$A$2:$V$4400,AV$1,FALSE))</f>
        <v>-</v>
      </c>
      <c r="AW59" s="31" t="str">
        <f>IF(VLOOKUP(ROUND(CONCATENATE($A59,AW$2),0),'Cadastro dos Padrões'!$A$2:$V$4400,AW$1,FALSE)="","-",VLOOKUP(ROUND(CONCATENATE($A59,AW$2),0),'Cadastro dos Padrões'!$A$2:$V$4400,AW$1,FALSE))</f>
        <v>-</v>
      </c>
      <c r="AX59" s="31" t="str">
        <f>IF(VLOOKUP(ROUND(CONCATENATE($A59,AX$2),0),'Cadastro dos Padrões'!$A$2:$V$4400,AX$1,FALSE)="","-",VLOOKUP(ROUND(CONCATENATE($A59,AX$2),0),'Cadastro dos Padrões'!$A$2:$V$4400,AX$1,FALSE))</f>
        <v>-</v>
      </c>
      <c r="AY59" s="31" t="str">
        <f>IF(VLOOKUP(ROUND(CONCATENATE($A59,AY$2),0),'Cadastro dos Padrões'!$A$2:$V$4400,AY$1,FALSE)="","-",VLOOKUP(ROUND(CONCATENATE($A59,AY$2),0),'Cadastro dos Padrões'!$A$2:$V$4400,AY$1,FALSE))</f>
        <v>-</v>
      </c>
      <c r="AZ59" s="31" t="str">
        <f>IF(VLOOKUP(ROUND(CONCATENATE($A59,AZ$2),0),'Cadastro dos Padrões'!$A$2:$V$4400,AZ$1,FALSE)="","-",VLOOKUP(ROUND(CONCATENATE($A59,AZ$2),0),'Cadastro dos Padrões'!$A$2:$V$4400,AZ$1,FALSE))</f>
        <v>-</v>
      </c>
      <c r="BA59" s="31" t="str">
        <f>IF(VLOOKUP(ROUND(CONCATENATE($A59,BA$2),0),'Cadastro dos Padrões'!$A$2:$V$4400,BA$1,FALSE)="","-",VLOOKUP(ROUND(CONCATENATE($A59,BA$2),0),'Cadastro dos Padrões'!$A$2:$V$4400,BA$1,FALSE))</f>
        <v>-</v>
      </c>
      <c r="BB59" s="31" t="str">
        <f>IF(VLOOKUP(ROUND(CONCATENATE($A59,BB$2),0),'Cadastro dos Padrões'!$A$2:$V$4400,BB$1,FALSE)="","-",VLOOKUP(ROUND(CONCATENATE($A59,BB$2),0),'Cadastro dos Padrões'!$A$2:$V$4400,BB$1,FALSE))</f>
        <v>-</v>
      </c>
      <c r="BC59" s="31" t="str">
        <f>IF(VLOOKUP(ROUND(CONCATENATE($A59,BC$2),0),'Cadastro dos Padrões'!$A$2:$V$4400,BC$1,FALSE)="","-",VLOOKUP(ROUND(CONCATENATE($A59,BC$2),0),'Cadastro dos Padrões'!$A$2:$V$4400,BC$1,FALSE))</f>
        <v>-</v>
      </c>
      <c r="BD59" s="31" t="str">
        <f>IF(VLOOKUP(ROUND(CONCATENATE($A59,BD$2),0),'Cadastro dos Padrões'!$A$2:$V$4400,BD$1,FALSE)="","-",VLOOKUP(ROUND(CONCATENATE($A59,BD$2),0),'Cadastro dos Padrões'!$A$2:$V$4400,BD$1,FALSE))</f>
        <v>-</v>
      </c>
      <c r="BE59" s="31" t="str">
        <f>IF(VLOOKUP(ROUND(CONCATENATE($A59,BE$2),0),'Cadastro dos Padrões'!$A$2:$V$4400,BE$1,FALSE)="","-",VLOOKUP(ROUND(CONCATENATE($A59,BE$2),0),'Cadastro dos Padrões'!$A$2:$V$4400,BE$1,FALSE))</f>
        <v>-</v>
      </c>
      <c r="BF59" s="31" t="str">
        <f>IF(VLOOKUP(ROUND(CONCATENATE($A59,BF$2),0),'Cadastro dos Padrões'!$A$2:$V$4400,BF$1,FALSE)="","-",VLOOKUP(ROUND(CONCATENATE($A59,BF$2),0),'Cadastro dos Padrões'!$A$2:$V$4400,BF$1,FALSE))</f>
        <v>-</v>
      </c>
      <c r="BG59" s="31" t="str">
        <f>IF(VLOOKUP(ROUND(CONCATENATE($A59,BG$2),0),'Cadastro dos Padrões'!$A$2:$V$4400,BG$1,FALSE)="","-",VLOOKUP(ROUND(CONCATENATE($A59,BG$2),0),'Cadastro dos Padrões'!$A$2:$V$4400,BG$1,FALSE))</f>
        <v>-</v>
      </c>
      <c r="BH59" s="31" t="str">
        <f>IF(VLOOKUP(ROUND(CONCATENATE($A59,BH$2),0),'Cadastro dos Padrões'!$A$2:$V$4400,BH$1,FALSE)="","-",VLOOKUP(ROUND(CONCATENATE($A59,BH$2),0),'Cadastro dos Padrões'!$A$2:$V$4400,BH$1,FALSE))</f>
        <v>-</v>
      </c>
      <c r="BI59" s="31" t="str">
        <f>IF(VLOOKUP(ROUND(CONCATENATE($A59,BI$2),0),'Cadastro dos Padrões'!$A$2:$V$4400,BI$1,FALSE)="","-",VLOOKUP(ROUND(CONCATENATE($A59,BI$2),0),'Cadastro dos Padrões'!$A$2:$V$4400,BI$1,FALSE))</f>
        <v>-</v>
      </c>
      <c r="BJ59" s="31" t="str">
        <f>IF(VLOOKUP(ROUND(CONCATENATE($A59,BJ$2),0),'Cadastro dos Padrões'!$A$2:$V$4400,BJ$1,FALSE)="","-",VLOOKUP(ROUND(CONCATENATE($A59,BJ$2),0),'Cadastro dos Padrões'!$A$2:$V$4400,BJ$1,FALSE))</f>
        <v>-</v>
      </c>
      <c r="BK59" s="31" t="str">
        <f>IF(VLOOKUP(ROUND(CONCATENATE($A59,BK$2),0),'Cadastro dos Padrões'!$A$2:$V$4400,BK$1,FALSE)="","-",VLOOKUP(ROUND(CONCATENATE($A59,BK$2),0),'Cadastro dos Padrões'!$A$2:$V$4400,BK$1,FALSE))</f>
        <v>-</v>
      </c>
      <c r="BL59" s="31" t="str">
        <f>IF(VLOOKUP(ROUND(CONCATENATE($A59,BL$2),0),'Cadastro dos Padrões'!$A$2:$V$4400,BL$1,FALSE)="","-",VLOOKUP(ROUND(CONCATENATE($A59,BL$2),0),'Cadastro dos Padrões'!$A$2:$V$4400,BL$1,FALSE))</f>
        <v>-</v>
      </c>
      <c r="BM59" s="31" t="str">
        <f>IF(VLOOKUP(ROUND(CONCATENATE($A59,BM$2),0),'Cadastro dos Padrões'!$A$2:$V$4400,BM$1,FALSE)="","-",VLOOKUP(ROUND(CONCATENATE($A59,BM$2),0),'Cadastro dos Padrões'!$A$2:$V$4400,BM$1,FALSE))</f>
        <v>-</v>
      </c>
      <c r="BN59" s="31" t="str">
        <f>IF(VLOOKUP(ROUND(CONCATENATE($A59,BN$2),0),'Cadastro dos Padrões'!$A$2:$V$4400,BN$1,FALSE)="","-",VLOOKUP(ROUND(CONCATENATE($A59,BN$2),0),'Cadastro dos Padrões'!$A$2:$V$4400,BN$1,FALSE))</f>
        <v>-</v>
      </c>
      <c r="BO59" s="31" t="str">
        <f>IF(VLOOKUP(ROUND(CONCATENATE($A59,BO$2),0),'Cadastro dos Padrões'!$A$2:$V$4400,BO$1,FALSE)="","-",VLOOKUP(ROUND(CONCATENATE($A59,BO$2),0),'Cadastro dos Padrões'!$A$2:$V$4400,BO$1,FALSE))</f>
        <v>-</v>
      </c>
    </row>
    <row r="60" spans="1:67" x14ac:dyDescent="0.3">
      <c r="A60" s="6">
        <f t="shared" si="52"/>
        <v>55</v>
      </c>
      <c r="B60" s="31" t="str">
        <f>IF(VLOOKUP(ROUND(CONCATENATE($A60,B$2),0),'Cadastro dos Padrões'!$A$2:$V$4400,B$1,FALSE)="","-",VLOOKUP(ROUND(CONCATENATE($A60,B$2),0),'Cadastro dos Padrões'!$A$2:$V$4400,B$1,FALSE))</f>
        <v>E.TH.LQ-002</v>
      </c>
      <c r="C60" s="31" t="str">
        <f>IF($B60="-","-",VLOOKUP(ROUND(CONCATENATE($A60,C$2),0),'Cadastro dos Padrões'!$A$2:$V$4400,C$1,FALSE))</f>
        <v>Termohigrômetro Digital</v>
      </c>
      <c r="D60" s="31">
        <f>IF($B60="-","-",VLOOKUP(ROUND(CONCATENATE($A60,D$2),0),'Cadastro dos Padrões'!$A$2:$V$4400,D$1,FALSE))</f>
        <v>20</v>
      </c>
      <c r="E60" s="31" t="str">
        <f>IF($B60="-","-",VLOOKUP(ROUND(CONCATENATE($A60,E$2),0),'Cadastro dos Padrões'!$A$2:$V$4400,E$1,FALSE))</f>
        <v>Elus</v>
      </c>
      <c r="F60" s="31" t="str">
        <f>IF($B60="-","-",VLOOKUP(ROUND(CONCATENATE($A60,F$2),0),'Cadastro dos Padrões'!$A$2:$V$4400,F$1,FALSE))</f>
        <v>RBC - CAL 0439</v>
      </c>
      <c r="G60" s="31" t="str">
        <f>IF($B60="-","-",VLOOKUP(ROUND(CONCATENATE($A60,G$2),0),'Cadastro dos Padrões'!$A$2:$V$4400,G$1,FALSE))</f>
        <v>E0398A/25</v>
      </c>
      <c r="H60" s="32">
        <f>IF($B60="-","-",VLOOKUP(ROUND(CONCATENATE($A60,H$2),0),'Cadastro dos Padrões'!$A$2:$V$4400,H$1,FALSE))</f>
        <v>45838</v>
      </c>
      <c r="I60" s="33">
        <f>IF($B60="-","-",VLOOKUP(ROUND(CONCATENATE($A60,I$2),0),'Cadastro dos Padrões'!$A$2:$V$4400,I$1,FALSE))</f>
        <v>46203</v>
      </c>
      <c r="J60" s="31" t="str">
        <f>IF($B60="-","-",VLOOKUP(ROUND(CONCATENATE($A60,J$2),0),'Cadastro dos Padrões'!$A$2:$V$4400,J$1,FALSE))</f>
        <v>%ur</v>
      </c>
      <c r="K60" s="31">
        <f>IF($B60="-","-",VLOOKUP(ROUND(CONCATENATE($A60,K$2),0),'Cadastro dos Padrões'!$A$2:$V$4400,K$1,FALSE))</f>
        <v>20</v>
      </c>
      <c r="L60" s="31">
        <f>IF($B60="-","-",VLOOKUP(ROUND(CONCATENATE($A60,L$2),0),'Cadastro dos Padrões'!$A$2:$V$4400,L$1,FALSE))</f>
        <v>80</v>
      </c>
      <c r="M60" s="31">
        <f>IF($B60="-","-",VLOOKUP(ROUND(CONCATENATE($A60,M$2),0),'Cadastro dos Padrões'!$A$2:$V$4400,M$1,FALSE))</f>
        <v>0.1</v>
      </c>
      <c r="N60" s="31">
        <f>IF($B60="-","-",VLOOKUP(ROUND(CONCATENATE($A60,N$2),0),'Cadastro dos Padrões'!$A$2:$V$4400,N$1,FALSE))</f>
        <v>0.30000000000000071</v>
      </c>
      <c r="O60" s="31">
        <f>IF($B60="-","-",VLOOKUP(ROUND(CONCATENATE($A60,O$2),0),'Cadastro dos Padrões'!$A$2:$V$4400,O$1,FALSE))</f>
        <v>0.9</v>
      </c>
      <c r="P60" s="31">
        <f>IF($B60="-","-",VLOOKUP(ROUND(CONCATENATE($A60,P$2),0),'Cadastro dos Padrões'!$A$2:$V$4400,P$1,FALSE))</f>
        <v>0.19999999999999929</v>
      </c>
      <c r="Q60" s="31">
        <f>IF($B60="-","-",VLOOKUP(ROUND(CONCATENATE($A60,Q$2),0),'Cadastro dos Padrões'!$A$2:$V$4400,Q$1,FALSE))</f>
        <v>0</v>
      </c>
      <c r="R60" s="31">
        <f>IF($B60="-","-",VLOOKUP(ROUND(CONCATENATE($A60,R$2),0),'Cadastro dos Padrões'!$A$2:$V$4400,R$1,FALSE))</f>
        <v>1</v>
      </c>
      <c r="S60" s="31">
        <f>IF($B60="-","-",VLOOKUP(ROUND(CONCATENATE($A60,S$2),0),'Cadastro dos Padrões'!$A$2:$V$4400,S$1,FALSE))</f>
        <v>0</v>
      </c>
      <c r="T60" s="31">
        <f>IF($B60="-","-",VLOOKUP(ROUND(CONCATENATE($A60,T$2),0),'Cadastro dos Padrões'!$A$2:$V$4400,T$1,FALSE))</f>
        <v>0</v>
      </c>
      <c r="U60" s="31">
        <f>IF($B60="-","-",VLOOKUP(ROUND(CONCATENATE($A60,U$2),0),'Cadastro dos Padrões'!$A$2:$V$4400,U$1,FALSE))</f>
        <v>0</v>
      </c>
      <c r="V60" s="31">
        <f>IF($B60="-","-",VLOOKUP(ROUND(CONCATENATE($A60,V$2),0),'Cadastro dos Padrões'!$A$2:$V$4400,V$1,FALSE))</f>
        <v>0</v>
      </c>
      <c r="W60" s="31">
        <f>IF($B60="-","-",VLOOKUP(ROUND(CONCATENATE($A60,W$2),0),'Cadastro dos Padrões'!$A$2:$V$4400,W$1,FALSE))</f>
        <v>0</v>
      </c>
      <c r="X60" s="31">
        <f>IF($B60="-","-",VLOOKUP(ROUND(CONCATENATE($A60,X$2),0),'Cadastro dos Padrões'!$A$2:$V$4400,X$1,FALSE))</f>
        <v>0</v>
      </c>
      <c r="Y60" s="31">
        <f>IF($B60="-","-",VLOOKUP(ROUND(CONCATENATE($A60,Y$2),0),'Cadastro dos Padrões'!$A$2:$V$4400,Y$1,FALSE))</f>
        <v>0</v>
      </c>
      <c r="Z60" s="31">
        <f>IF($B60="-","-",VLOOKUP(ROUND(CONCATENATE($A60,Z$2),0),'Cadastro dos Padrões'!$A$2:$V$4400,Z$1,FALSE))</f>
        <v>0.99009900990099009</v>
      </c>
      <c r="AA60" s="31">
        <f>IF($B60="-","-",VLOOKUP(ROUND(CONCATENATE($A60,AA$2),0),'Cadastro dos Padrões'!$A$2:$V$4400,AA$1,FALSE))</f>
        <v>0.49504950495049371</v>
      </c>
      <c r="AB60" s="31">
        <f>IF(VLOOKUP(ROUND(CONCATENATE($A60,AB$2),0),'Cadastro dos Padrões'!$A$2:$V$4400,AB$1,FALSE)="","-",VLOOKUP(ROUND(CONCATENATE($A60,AB$2),0),'Cadastro dos Padrões'!$A$2:$V$4400,AB$1,FALSE))</f>
        <v>20</v>
      </c>
      <c r="AC60" s="31">
        <f>IF(VLOOKUP(ROUND(CONCATENATE($A60,AC$2),0),'Cadastro dos Padrões'!$A$2:$V$4400,AC$1,FALSE)="","-",VLOOKUP(ROUND(CONCATENATE($A60,AC$2),0),'Cadastro dos Padrões'!$A$2:$V$4400,AC$1,FALSE))</f>
        <v>0.4</v>
      </c>
      <c r="AD60" s="31">
        <f>IF(VLOOKUP(ROUND(CONCATENATE($A60,AD$2),0),'Cadastro dos Padrões'!$A$2:$V$4400,AD$1,FALSE)="","-",VLOOKUP(ROUND(CONCATENATE($A60,AD$2),0),'Cadastro dos Padrões'!$A$2:$V$4400,AD$1,FALSE))</f>
        <v>2.0099999999999998</v>
      </c>
      <c r="AE60" s="31">
        <f>IF(VLOOKUP(ROUND(CONCATENATE($A60,AE$2),0),'Cadastro dos Padrões'!$A$2:$V$4400,AE$1,FALSE)="","-",VLOOKUP(ROUND(CONCATENATE($A60,AE$2),0),'Cadastro dos Padrões'!$A$2:$V$4400,AE$1,FALSE))</f>
        <v>269</v>
      </c>
      <c r="AF60" s="31">
        <f>IF(VLOOKUP(ROUND(CONCATENATE($A60,AF$2),0),'Cadastro dos Padrões'!$A$2:$V$4400,AF$1,FALSE)="","-",VLOOKUP(ROUND(CONCATENATE($A60,AF$2),0),'Cadastro dos Padrões'!$A$2:$V$4400,AF$1,FALSE))</f>
        <v>50</v>
      </c>
      <c r="AG60" s="31">
        <f>IF(VLOOKUP(ROUND(CONCATENATE($A60,AG$2),0),'Cadastro dos Padrões'!$A$2:$V$4400,AG$1,FALSE)="","-",VLOOKUP(ROUND(CONCATENATE($A60,AG$2),0),'Cadastro dos Padrões'!$A$2:$V$4400,AG$1,FALSE))</f>
        <v>0.7</v>
      </c>
      <c r="AH60" s="31">
        <f>IF(VLOOKUP(ROUND(CONCATENATE($A60,AH$2),0),'Cadastro dos Padrões'!$A$2:$V$4400,AH$1,FALSE)="","-",VLOOKUP(ROUND(CONCATENATE($A60,AH$2),0),'Cadastro dos Padrões'!$A$2:$V$4400,AH$1,FALSE))</f>
        <v>2.02</v>
      </c>
      <c r="AI60" s="31">
        <f>IF(VLOOKUP(ROUND(CONCATENATE($A60,AI$2),0),'Cadastro dos Padrões'!$A$2:$V$4400,AI$1,FALSE)="","-",VLOOKUP(ROUND(CONCATENATE($A60,AI$2),0),'Cadastro dos Padrões'!$A$2:$V$4400,AI$1,FALSE))</f>
        <v>124</v>
      </c>
      <c r="AJ60" s="31">
        <f>IF(VLOOKUP(ROUND(CONCATENATE($A60,AJ$2),0),'Cadastro dos Padrões'!$A$2:$V$4400,AJ$1,FALSE)="","-",VLOOKUP(ROUND(CONCATENATE($A60,AJ$2),0),'Cadastro dos Padrões'!$A$2:$V$4400,AJ$1,FALSE))</f>
        <v>80</v>
      </c>
      <c r="AK60" s="31">
        <f>IF(VLOOKUP(ROUND(CONCATENATE($A60,AK$2),0),'Cadastro dos Padrões'!$A$2:$V$4400,AK$1,FALSE)="","-",VLOOKUP(ROUND(CONCATENATE($A60,AK$2),0),'Cadastro dos Padrões'!$A$2:$V$4400,AK$1,FALSE))</f>
        <v>0.9</v>
      </c>
      <c r="AL60" s="31">
        <f>IF(VLOOKUP(ROUND(CONCATENATE($A60,AL$2),0),'Cadastro dos Padrões'!$A$2:$V$4400,AL$1,FALSE)="","-",VLOOKUP(ROUND(CONCATENATE($A60,AL$2),0),'Cadastro dos Padrões'!$A$2:$V$4400,AL$1,FALSE))</f>
        <v>2.02</v>
      </c>
      <c r="AM60" s="31">
        <f>IF(VLOOKUP(ROUND(CONCATENATE($A60,AM$2),0),'Cadastro dos Padrões'!$A$2:$V$4400,AM$1,FALSE)="","-",VLOOKUP(ROUND(CONCATENATE($A60,AM$2),0),'Cadastro dos Padrões'!$A$2:$V$4400,AM$1,FALSE))</f>
        <v>104</v>
      </c>
      <c r="AN60" s="31" t="str">
        <f>IF(VLOOKUP(ROUND(CONCATENATE($A60,AN$2),0),'Cadastro dos Padrões'!$A$2:$V$4400,AN$1,FALSE)="","-",VLOOKUP(ROUND(CONCATENATE($A60,AN$2),0),'Cadastro dos Padrões'!$A$2:$V$4400,AN$1,FALSE))</f>
        <v>-</v>
      </c>
      <c r="AO60" s="31" t="str">
        <f>IF(VLOOKUP(ROUND(CONCATENATE($A60,AO$2),0),'Cadastro dos Padrões'!$A$2:$V$4400,AO$1,FALSE)="","-",VLOOKUP(ROUND(CONCATENATE($A60,AO$2),0),'Cadastro dos Padrões'!$A$2:$V$4400,AO$1,FALSE))</f>
        <v>-</v>
      </c>
      <c r="AP60" s="31" t="str">
        <f>IF(VLOOKUP(ROUND(CONCATENATE($A60,AP$2),0),'Cadastro dos Padrões'!$A$2:$V$4400,AP$1,FALSE)="","-",VLOOKUP(ROUND(CONCATENATE($A60,AP$2),0),'Cadastro dos Padrões'!$A$2:$V$4400,AP$1,FALSE))</f>
        <v>-</v>
      </c>
      <c r="AQ60" s="31" t="str">
        <f>IF(VLOOKUP(ROUND(CONCATENATE($A60,AQ$2),0),'Cadastro dos Padrões'!$A$2:$V$4400,AQ$1,FALSE)="","-",VLOOKUP(ROUND(CONCATENATE($A60,AQ$2),0),'Cadastro dos Padrões'!$A$2:$V$4400,AQ$1,FALSE))</f>
        <v>-</v>
      </c>
      <c r="AR60" s="31" t="str">
        <f>IF(VLOOKUP(ROUND(CONCATENATE($A60,AR$2),0),'Cadastro dos Padrões'!$A$2:$V$4400,AR$1,FALSE)="","-",VLOOKUP(ROUND(CONCATENATE($A60,AR$2),0),'Cadastro dos Padrões'!$A$2:$V$4400,AR$1,FALSE))</f>
        <v>-</v>
      </c>
      <c r="AS60" s="31" t="str">
        <f>IF(VLOOKUP(ROUND(CONCATENATE($A60,AS$2),0),'Cadastro dos Padrões'!$A$2:$V$4400,AS$1,FALSE)="","-",VLOOKUP(ROUND(CONCATENATE($A60,AS$2),0),'Cadastro dos Padrões'!$A$2:$V$4400,AS$1,FALSE))</f>
        <v>-</v>
      </c>
      <c r="AT60" s="31" t="str">
        <f>IF(VLOOKUP(ROUND(CONCATENATE($A60,AT$2),0),'Cadastro dos Padrões'!$A$2:$V$4400,AT$1,FALSE)="","-",VLOOKUP(ROUND(CONCATENATE($A60,AT$2),0),'Cadastro dos Padrões'!$A$2:$V$4400,AT$1,FALSE))</f>
        <v>-</v>
      </c>
      <c r="AU60" s="31" t="str">
        <f>IF(VLOOKUP(ROUND(CONCATENATE($A60,AU$2),0),'Cadastro dos Padrões'!$A$2:$V$4400,AU$1,FALSE)="","-",VLOOKUP(ROUND(CONCATENATE($A60,AU$2),0),'Cadastro dos Padrões'!$A$2:$V$4400,AU$1,FALSE))</f>
        <v>-</v>
      </c>
      <c r="AV60" s="31" t="str">
        <f>IF(VLOOKUP(ROUND(CONCATENATE($A60,AV$2),0),'Cadastro dos Padrões'!$A$2:$V$4400,AV$1,FALSE)="","-",VLOOKUP(ROUND(CONCATENATE($A60,AV$2),0),'Cadastro dos Padrões'!$A$2:$V$4400,AV$1,FALSE))</f>
        <v>-</v>
      </c>
      <c r="AW60" s="31" t="str">
        <f>IF(VLOOKUP(ROUND(CONCATENATE($A60,AW$2),0),'Cadastro dos Padrões'!$A$2:$V$4400,AW$1,FALSE)="","-",VLOOKUP(ROUND(CONCATENATE($A60,AW$2),0),'Cadastro dos Padrões'!$A$2:$V$4400,AW$1,FALSE))</f>
        <v>-</v>
      </c>
      <c r="AX60" s="31" t="str">
        <f>IF(VLOOKUP(ROUND(CONCATENATE($A60,AX$2),0),'Cadastro dos Padrões'!$A$2:$V$4400,AX$1,FALSE)="","-",VLOOKUP(ROUND(CONCATENATE($A60,AX$2),0),'Cadastro dos Padrões'!$A$2:$V$4400,AX$1,FALSE))</f>
        <v>-</v>
      </c>
      <c r="AY60" s="31" t="str">
        <f>IF(VLOOKUP(ROUND(CONCATENATE($A60,AY$2),0),'Cadastro dos Padrões'!$A$2:$V$4400,AY$1,FALSE)="","-",VLOOKUP(ROUND(CONCATENATE($A60,AY$2),0),'Cadastro dos Padrões'!$A$2:$V$4400,AY$1,FALSE))</f>
        <v>-</v>
      </c>
      <c r="AZ60" s="31" t="str">
        <f>IF(VLOOKUP(ROUND(CONCATENATE($A60,AZ$2),0),'Cadastro dos Padrões'!$A$2:$V$4400,AZ$1,FALSE)="","-",VLOOKUP(ROUND(CONCATENATE($A60,AZ$2),0),'Cadastro dos Padrões'!$A$2:$V$4400,AZ$1,FALSE))</f>
        <v>-</v>
      </c>
      <c r="BA60" s="31" t="str">
        <f>IF(VLOOKUP(ROUND(CONCATENATE($A60,BA$2),0),'Cadastro dos Padrões'!$A$2:$V$4400,BA$1,FALSE)="","-",VLOOKUP(ROUND(CONCATENATE($A60,BA$2),0),'Cadastro dos Padrões'!$A$2:$V$4400,BA$1,FALSE))</f>
        <v>-</v>
      </c>
      <c r="BB60" s="31" t="str">
        <f>IF(VLOOKUP(ROUND(CONCATENATE($A60,BB$2),0),'Cadastro dos Padrões'!$A$2:$V$4400,BB$1,FALSE)="","-",VLOOKUP(ROUND(CONCATENATE($A60,BB$2),0),'Cadastro dos Padrões'!$A$2:$V$4400,BB$1,FALSE))</f>
        <v>-</v>
      </c>
      <c r="BC60" s="31" t="str">
        <f>IF(VLOOKUP(ROUND(CONCATENATE($A60,BC$2),0),'Cadastro dos Padrões'!$A$2:$V$4400,BC$1,FALSE)="","-",VLOOKUP(ROUND(CONCATENATE($A60,BC$2),0),'Cadastro dos Padrões'!$A$2:$V$4400,BC$1,FALSE))</f>
        <v>-</v>
      </c>
      <c r="BD60" s="31" t="str">
        <f>IF(VLOOKUP(ROUND(CONCATENATE($A60,BD$2),0),'Cadastro dos Padrões'!$A$2:$V$4400,BD$1,FALSE)="","-",VLOOKUP(ROUND(CONCATENATE($A60,BD$2),0),'Cadastro dos Padrões'!$A$2:$V$4400,BD$1,FALSE))</f>
        <v>-</v>
      </c>
      <c r="BE60" s="31" t="str">
        <f>IF(VLOOKUP(ROUND(CONCATENATE($A60,BE$2),0),'Cadastro dos Padrões'!$A$2:$V$4400,BE$1,FALSE)="","-",VLOOKUP(ROUND(CONCATENATE($A60,BE$2),0),'Cadastro dos Padrões'!$A$2:$V$4400,BE$1,FALSE))</f>
        <v>-</v>
      </c>
      <c r="BF60" s="31" t="str">
        <f>IF(VLOOKUP(ROUND(CONCATENATE($A60,BF$2),0),'Cadastro dos Padrões'!$A$2:$V$4400,BF$1,FALSE)="","-",VLOOKUP(ROUND(CONCATENATE($A60,BF$2),0),'Cadastro dos Padrões'!$A$2:$V$4400,BF$1,FALSE))</f>
        <v>-</v>
      </c>
      <c r="BG60" s="31" t="str">
        <f>IF(VLOOKUP(ROUND(CONCATENATE($A60,BG$2),0),'Cadastro dos Padrões'!$A$2:$V$4400,BG$1,FALSE)="","-",VLOOKUP(ROUND(CONCATENATE($A60,BG$2),0),'Cadastro dos Padrões'!$A$2:$V$4400,BG$1,FALSE))</f>
        <v>-</v>
      </c>
      <c r="BH60" s="31" t="str">
        <f>IF(VLOOKUP(ROUND(CONCATENATE($A60,BH$2),0),'Cadastro dos Padrões'!$A$2:$V$4400,BH$1,FALSE)="","-",VLOOKUP(ROUND(CONCATENATE($A60,BH$2),0),'Cadastro dos Padrões'!$A$2:$V$4400,BH$1,FALSE))</f>
        <v>-</v>
      </c>
      <c r="BI60" s="31" t="str">
        <f>IF(VLOOKUP(ROUND(CONCATENATE($A60,BI$2),0),'Cadastro dos Padrões'!$A$2:$V$4400,BI$1,FALSE)="","-",VLOOKUP(ROUND(CONCATENATE($A60,BI$2),0),'Cadastro dos Padrões'!$A$2:$V$4400,BI$1,FALSE))</f>
        <v>-</v>
      </c>
      <c r="BJ60" s="31" t="str">
        <f>IF(VLOOKUP(ROUND(CONCATENATE($A60,BJ$2),0),'Cadastro dos Padrões'!$A$2:$V$4400,BJ$1,FALSE)="","-",VLOOKUP(ROUND(CONCATENATE($A60,BJ$2),0),'Cadastro dos Padrões'!$A$2:$V$4400,BJ$1,FALSE))</f>
        <v>-</v>
      </c>
      <c r="BK60" s="31" t="str">
        <f>IF(VLOOKUP(ROUND(CONCATENATE($A60,BK$2),0),'Cadastro dos Padrões'!$A$2:$V$4400,BK$1,FALSE)="","-",VLOOKUP(ROUND(CONCATENATE($A60,BK$2),0),'Cadastro dos Padrões'!$A$2:$V$4400,BK$1,FALSE))</f>
        <v>-</v>
      </c>
      <c r="BL60" s="31" t="str">
        <f>IF(VLOOKUP(ROUND(CONCATENATE($A60,BL$2),0),'Cadastro dos Padrões'!$A$2:$V$4400,BL$1,FALSE)="","-",VLOOKUP(ROUND(CONCATENATE($A60,BL$2),0),'Cadastro dos Padrões'!$A$2:$V$4400,BL$1,FALSE))</f>
        <v>-</v>
      </c>
      <c r="BM60" s="31" t="str">
        <f>IF(VLOOKUP(ROUND(CONCATENATE($A60,BM$2),0),'Cadastro dos Padrões'!$A$2:$V$4400,BM$1,FALSE)="","-",VLOOKUP(ROUND(CONCATENATE($A60,BM$2),0),'Cadastro dos Padrões'!$A$2:$V$4400,BM$1,FALSE))</f>
        <v>-</v>
      </c>
      <c r="BN60" s="31" t="str">
        <f>IF(VLOOKUP(ROUND(CONCATENATE($A60,BN$2),0),'Cadastro dos Padrões'!$A$2:$V$4400,BN$1,FALSE)="","-",VLOOKUP(ROUND(CONCATENATE($A60,BN$2),0),'Cadastro dos Padrões'!$A$2:$V$4400,BN$1,FALSE))</f>
        <v>-</v>
      </c>
      <c r="BO60" s="31" t="str">
        <f>IF(VLOOKUP(ROUND(CONCATENATE($A60,BO$2),0),'Cadastro dos Padrões'!$A$2:$V$4400,BO$1,FALSE)="","-",VLOOKUP(ROUND(CONCATENATE($A60,BO$2),0),'Cadastro dos Padrões'!$A$2:$V$4400,BO$1,FALSE))</f>
        <v>-</v>
      </c>
    </row>
    <row r="61" spans="1:67" x14ac:dyDescent="0.3">
      <c r="A61" s="6">
        <f t="shared" si="52"/>
        <v>56</v>
      </c>
      <c r="B61" s="31" t="str">
        <f>IF(VLOOKUP(ROUND(CONCATENATE($A61,B$2),0),'Cadastro dos Padrões'!$A$2:$V$4400,B$1,FALSE)="","-",VLOOKUP(ROUND(CONCATENATE($A61,B$2),0),'Cadastro dos Padrões'!$A$2:$V$4400,B$1,FALSE))</f>
        <v>E.TH.LQ-020</v>
      </c>
      <c r="C61" s="31" t="str">
        <f>IF($B61="-","-",VLOOKUP(ROUND(CONCATENATE($A61,C$2),0),'Cadastro dos Padrões'!$A$2:$V$4400,C$1,FALSE))</f>
        <v>Termohigrômetro Digital</v>
      </c>
      <c r="D61" s="31">
        <f>IF($B61="-","-",VLOOKUP(ROUND(CONCATENATE($A61,D$2),0),'Cadastro dos Padrões'!$A$2:$V$4400,D$1,FALSE))</f>
        <v>20</v>
      </c>
      <c r="E61" s="31" t="str">
        <f>IF($B61="-","-",VLOOKUP(ROUND(CONCATENATE($A61,E$2),0),'Cadastro dos Padrões'!$A$2:$V$4400,E$1,FALSE))</f>
        <v>Elus</v>
      </c>
      <c r="F61" s="31" t="str">
        <f>IF($B61="-","-",VLOOKUP(ROUND(CONCATENATE($A61,F$2),0),'Cadastro dos Padrões'!$A$2:$V$4400,F$1,FALSE))</f>
        <v>RBC - CAL 0439</v>
      </c>
      <c r="G61" s="31" t="str">
        <f>IF($B61="-","-",VLOOKUP(ROUND(CONCATENATE($A61,G$2),0),'Cadastro dos Padrões'!$A$2:$V$4400,G$1,FALSE))</f>
        <v>E0206/25</v>
      </c>
      <c r="H61" s="32">
        <f>IF($B61="-","-",VLOOKUP(ROUND(CONCATENATE($A61,H$2),0),'Cadastro dos Padrões'!$A$2:$V$4400,H$1,FALSE))</f>
        <v>45761</v>
      </c>
      <c r="I61" s="33">
        <f>IF($B61="-","-",VLOOKUP(ROUND(CONCATENATE($A61,I$2),0),'Cadastro dos Padrões'!$A$2:$V$4400,I$1,FALSE))</f>
        <v>46142</v>
      </c>
      <c r="J61" s="31" t="str">
        <f>IF($B61="-","-",VLOOKUP(ROUND(CONCATENATE($A61,J$2),0),'Cadastro dos Padrões'!$A$2:$V$4400,J$1,FALSE))</f>
        <v>%ur</v>
      </c>
      <c r="K61" s="31">
        <f>IF($B61="-","-",VLOOKUP(ROUND(CONCATENATE($A61,K$2),0),'Cadastro dos Padrões'!$A$2:$V$4400,K$1,FALSE))</f>
        <v>20</v>
      </c>
      <c r="L61" s="31">
        <f>IF($B61="-","-",VLOOKUP(ROUND(CONCATENATE($A61,L$2),0),'Cadastro dos Padrões'!$A$2:$V$4400,L$1,FALSE))</f>
        <v>80</v>
      </c>
      <c r="M61" s="31">
        <f>IF($B61="-","-",VLOOKUP(ROUND(CONCATENATE($A61,M$2),0),'Cadastro dos Padrões'!$A$2:$V$4400,M$1,FALSE))</f>
        <v>0.1</v>
      </c>
      <c r="N61" s="31">
        <f>IF($B61="-","-",VLOOKUP(ROUND(CONCATENATE($A61,N$2),0),'Cadastro dos Padrões'!$A$2:$V$4400,N$1,FALSE))</f>
        <v>0.79999999999999716</v>
      </c>
      <c r="O61" s="31">
        <f>IF($B61="-","-",VLOOKUP(ROUND(CONCATENATE($A61,O$2),0),'Cadastro dos Padrões'!$A$2:$V$4400,O$1,FALSE))</f>
        <v>1.1000000000000001</v>
      </c>
      <c r="P61" s="31">
        <f>IF($B61="-","-",VLOOKUP(ROUND(CONCATENATE($A61,P$2),0),'Cadastro dos Padrões'!$A$2:$V$4400,P$1,FALSE))</f>
        <v>0.79999999999999716</v>
      </c>
      <c r="Q61" s="31">
        <f>IF($B61="-","-",VLOOKUP(ROUND(CONCATENATE($A61,Q$2),0),'Cadastro dos Padrões'!$A$2:$V$4400,Q$1,FALSE))</f>
        <v>8.0048541923012806E-2</v>
      </c>
      <c r="R61" s="31">
        <f>IF($B61="-","-",VLOOKUP(ROUND(CONCATENATE($A61,R$2),0),'Cadastro dos Padrões'!$A$2:$V$4400,R$1,FALSE))</f>
        <v>1</v>
      </c>
      <c r="S61" s="31">
        <f>IF($B61="-","-",VLOOKUP(ROUND(CONCATENATE($A61,S$2),0),'Cadastro dos Padrões'!$A$2:$V$4400,S$1,FALSE))</f>
        <v>0</v>
      </c>
      <c r="T61" s="31">
        <f>IF($B61="-","-",VLOOKUP(ROUND(CONCATENATE($A61,T$2),0),'Cadastro dos Padrões'!$A$2:$V$4400,T$1,FALSE))</f>
        <v>0</v>
      </c>
      <c r="U61" s="31">
        <f>IF($B61="-","-",VLOOKUP(ROUND(CONCATENATE($A61,U$2),0),'Cadastro dos Padrões'!$A$2:$V$4400,U$1,FALSE))</f>
        <v>0</v>
      </c>
      <c r="V61" s="31">
        <f>IF($B61="-","-",VLOOKUP(ROUND(CONCATENATE($A61,V$2),0),'Cadastro dos Padrões'!$A$2:$V$4400,V$1,FALSE))</f>
        <v>0</v>
      </c>
      <c r="W61" s="31">
        <f>IF($B61="-","-",VLOOKUP(ROUND(CONCATENATE($A61,W$2),0),'Cadastro dos Padrões'!$A$2:$V$4400,W$1,FALSE))</f>
        <v>0</v>
      </c>
      <c r="X61" s="31">
        <f>IF($B61="-","-",VLOOKUP(ROUND(CONCATENATE($A61,X$2),0),'Cadastro dos Padrões'!$A$2:$V$4400,X$1,FALSE))</f>
        <v>0</v>
      </c>
      <c r="Y61" s="31">
        <f>IF($B61="-","-",VLOOKUP(ROUND(CONCATENATE($A61,Y$2),0),'Cadastro dos Padrões'!$A$2:$V$4400,Y$1,FALSE))</f>
        <v>0</v>
      </c>
      <c r="Z61" s="31">
        <f>IF($B61="-","-",VLOOKUP(ROUND(CONCATENATE($A61,Z$2),0),'Cadastro dos Padrões'!$A$2:$V$4400,Z$1,FALSE))</f>
        <v>0.98038866679244929</v>
      </c>
      <c r="AA61" s="31">
        <f>IF($B61="-","-",VLOOKUP(ROUND(CONCATENATE($A61,AA$2),0),'Cadastro dos Padrões'!$A$2:$V$4400,AA$1,FALSE))</f>
        <v>0.75180930479263708</v>
      </c>
      <c r="AB61" s="31">
        <f>IF(VLOOKUP(ROUND(CONCATENATE($A61,AB$2),0),'Cadastro dos Padrões'!$A$2:$V$4400,AB$1,FALSE)="","-",VLOOKUP(ROUND(CONCATENATE($A61,AB$2),0),'Cadastro dos Padrões'!$A$2:$V$4400,AB$1,FALSE))</f>
        <v>20</v>
      </c>
      <c r="AC61" s="31">
        <f>IF(VLOOKUP(ROUND(CONCATENATE($A61,AC$2),0),'Cadastro dos Padrões'!$A$2:$V$4400,AC$1,FALSE)="","-",VLOOKUP(ROUND(CONCATENATE($A61,AC$2),0),'Cadastro dos Padrões'!$A$2:$V$4400,AC$1,FALSE))</f>
        <v>0.7</v>
      </c>
      <c r="AD61" s="31">
        <f>IF(VLOOKUP(ROUND(CONCATENATE($A61,AD$2),0),'Cadastro dos Padrões'!$A$2:$V$4400,AD$1,FALSE)="","-",VLOOKUP(ROUND(CONCATENATE($A61,AD$2),0),'Cadastro dos Padrões'!$A$2:$V$4400,AD$1,FALSE))</f>
        <v>2</v>
      </c>
      <c r="AE61" s="31">
        <f>IF(VLOOKUP(ROUND(CONCATENATE($A61,AE$2),0),'Cadastro dos Padrões'!$A$2:$V$4400,AE$1,FALSE)="","-",VLOOKUP(ROUND(CONCATENATE($A61,AE$2),0),'Cadastro dos Padrões'!$A$2:$V$4400,AE$1,FALSE))</f>
        <v>1000000</v>
      </c>
      <c r="AF61" s="31">
        <f>IF(VLOOKUP(ROUND(CONCATENATE($A61,AF$2),0),'Cadastro dos Padrões'!$A$2:$V$4400,AF$1,FALSE)="","-",VLOOKUP(ROUND(CONCATENATE($A61,AF$2),0),'Cadastro dos Padrões'!$A$2:$V$4400,AF$1,FALSE))</f>
        <v>50</v>
      </c>
      <c r="AG61" s="31">
        <f>IF(VLOOKUP(ROUND(CONCATENATE($A61,AG$2),0),'Cadastro dos Padrões'!$A$2:$V$4400,AG$1,FALSE)="","-",VLOOKUP(ROUND(CONCATENATE($A61,AG$2),0),'Cadastro dos Padrões'!$A$2:$V$4400,AG$1,FALSE))</f>
        <v>1.1000000000000001</v>
      </c>
      <c r="AH61" s="31">
        <f>IF(VLOOKUP(ROUND(CONCATENATE($A61,AH$2),0),'Cadastro dos Padrões'!$A$2:$V$4400,AH$1,FALSE)="","-",VLOOKUP(ROUND(CONCATENATE($A61,AH$2),0),'Cadastro dos Padrões'!$A$2:$V$4400,AH$1,FALSE))</f>
        <v>2</v>
      </c>
      <c r="AI61" s="31">
        <f>IF(VLOOKUP(ROUND(CONCATENATE($A61,AI$2),0),'Cadastro dos Padrões'!$A$2:$V$4400,AI$1,FALSE)="","-",VLOOKUP(ROUND(CONCATENATE($A61,AI$2),0),'Cadastro dos Padrões'!$A$2:$V$4400,AI$1,FALSE))</f>
        <v>1000000</v>
      </c>
      <c r="AJ61" s="31">
        <f>IF(VLOOKUP(ROUND(CONCATENATE($A61,AJ$2),0),'Cadastro dos Padrões'!$A$2:$V$4400,AJ$1,FALSE)="","-",VLOOKUP(ROUND(CONCATENATE($A61,AJ$2),0),'Cadastro dos Padrões'!$A$2:$V$4400,AJ$1,FALSE))</f>
        <v>80</v>
      </c>
      <c r="AK61" s="31">
        <f>IF(VLOOKUP(ROUND(CONCATENATE($A61,AK$2),0),'Cadastro dos Padrões'!$A$2:$V$4400,AK$1,FALSE)="","-",VLOOKUP(ROUND(CONCATENATE($A61,AK$2),0),'Cadastro dos Padrões'!$A$2:$V$4400,AK$1,FALSE))</f>
        <v>1.1000000000000001</v>
      </c>
      <c r="AL61" s="31">
        <f>IF(VLOOKUP(ROUND(CONCATENATE($A61,AL$2),0),'Cadastro dos Padrões'!$A$2:$V$4400,AL$1,FALSE)="","-",VLOOKUP(ROUND(CONCATENATE($A61,AL$2),0),'Cadastro dos Padrões'!$A$2:$V$4400,AL$1,FALSE))</f>
        <v>2</v>
      </c>
      <c r="AM61" s="31">
        <f>IF(VLOOKUP(ROUND(CONCATENATE($A61,AM$2),0),'Cadastro dos Padrões'!$A$2:$V$4400,AM$1,FALSE)="","-",VLOOKUP(ROUND(CONCATENATE($A61,AM$2),0),'Cadastro dos Padrões'!$A$2:$V$4400,AM$1,FALSE))</f>
        <v>1000000</v>
      </c>
      <c r="AN61" s="31" t="str">
        <f>IF(VLOOKUP(ROUND(CONCATENATE($A61,AN$2),0),'Cadastro dos Padrões'!$A$2:$V$4400,AN$1,FALSE)="","-",VLOOKUP(ROUND(CONCATENATE($A61,AN$2),0),'Cadastro dos Padrões'!$A$2:$V$4400,AN$1,FALSE))</f>
        <v>-</v>
      </c>
      <c r="AO61" s="31" t="str">
        <f>IF(VLOOKUP(ROUND(CONCATENATE($A61,AO$2),0),'Cadastro dos Padrões'!$A$2:$V$4400,AO$1,FALSE)="","-",VLOOKUP(ROUND(CONCATENATE($A61,AO$2),0),'Cadastro dos Padrões'!$A$2:$V$4400,AO$1,FALSE))</f>
        <v>-</v>
      </c>
      <c r="AP61" s="31" t="str">
        <f>IF(VLOOKUP(ROUND(CONCATENATE($A61,AP$2),0),'Cadastro dos Padrões'!$A$2:$V$4400,AP$1,FALSE)="","-",VLOOKUP(ROUND(CONCATENATE($A61,AP$2),0),'Cadastro dos Padrões'!$A$2:$V$4400,AP$1,FALSE))</f>
        <v>-</v>
      </c>
      <c r="AQ61" s="31" t="str">
        <f>IF(VLOOKUP(ROUND(CONCATENATE($A61,AQ$2),0),'Cadastro dos Padrões'!$A$2:$V$4400,AQ$1,FALSE)="","-",VLOOKUP(ROUND(CONCATENATE($A61,AQ$2),0),'Cadastro dos Padrões'!$A$2:$V$4400,AQ$1,FALSE))</f>
        <v>-</v>
      </c>
      <c r="AR61" s="31" t="str">
        <f>IF(VLOOKUP(ROUND(CONCATENATE($A61,AR$2),0),'Cadastro dos Padrões'!$A$2:$V$4400,AR$1,FALSE)="","-",VLOOKUP(ROUND(CONCATENATE($A61,AR$2),0),'Cadastro dos Padrões'!$A$2:$V$4400,AR$1,FALSE))</f>
        <v>-</v>
      </c>
      <c r="AS61" s="31" t="str">
        <f>IF(VLOOKUP(ROUND(CONCATENATE($A61,AS$2),0),'Cadastro dos Padrões'!$A$2:$V$4400,AS$1,FALSE)="","-",VLOOKUP(ROUND(CONCATENATE($A61,AS$2),0),'Cadastro dos Padrões'!$A$2:$V$4400,AS$1,FALSE))</f>
        <v>-</v>
      </c>
      <c r="AT61" s="31" t="str">
        <f>IF(VLOOKUP(ROUND(CONCATENATE($A61,AT$2),0),'Cadastro dos Padrões'!$A$2:$V$4400,AT$1,FALSE)="","-",VLOOKUP(ROUND(CONCATENATE($A61,AT$2),0),'Cadastro dos Padrões'!$A$2:$V$4400,AT$1,FALSE))</f>
        <v>-</v>
      </c>
      <c r="AU61" s="31" t="str">
        <f>IF(VLOOKUP(ROUND(CONCATENATE($A61,AU$2),0),'Cadastro dos Padrões'!$A$2:$V$4400,AU$1,FALSE)="","-",VLOOKUP(ROUND(CONCATENATE($A61,AU$2),0),'Cadastro dos Padrões'!$A$2:$V$4400,AU$1,FALSE))</f>
        <v>-</v>
      </c>
      <c r="AV61" s="31" t="str">
        <f>IF(VLOOKUP(ROUND(CONCATENATE($A61,AV$2),0),'Cadastro dos Padrões'!$A$2:$V$4400,AV$1,FALSE)="","-",VLOOKUP(ROUND(CONCATENATE($A61,AV$2),0),'Cadastro dos Padrões'!$A$2:$V$4400,AV$1,FALSE))</f>
        <v>-</v>
      </c>
      <c r="AW61" s="31" t="str">
        <f>IF(VLOOKUP(ROUND(CONCATENATE($A61,AW$2),0),'Cadastro dos Padrões'!$A$2:$V$4400,AW$1,FALSE)="","-",VLOOKUP(ROUND(CONCATENATE($A61,AW$2),0),'Cadastro dos Padrões'!$A$2:$V$4400,AW$1,FALSE))</f>
        <v>-</v>
      </c>
      <c r="AX61" s="31" t="str">
        <f>IF(VLOOKUP(ROUND(CONCATENATE($A61,AX$2),0),'Cadastro dos Padrões'!$A$2:$V$4400,AX$1,FALSE)="","-",VLOOKUP(ROUND(CONCATENATE($A61,AX$2),0),'Cadastro dos Padrões'!$A$2:$V$4400,AX$1,FALSE))</f>
        <v>-</v>
      </c>
      <c r="AY61" s="31" t="str">
        <f>IF(VLOOKUP(ROUND(CONCATENATE($A61,AY$2),0),'Cadastro dos Padrões'!$A$2:$V$4400,AY$1,FALSE)="","-",VLOOKUP(ROUND(CONCATENATE($A61,AY$2),0),'Cadastro dos Padrões'!$A$2:$V$4400,AY$1,FALSE))</f>
        <v>-</v>
      </c>
      <c r="AZ61" s="31" t="str">
        <f>IF(VLOOKUP(ROUND(CONCATENATE($A61,AZ$2),0),'Cadastro dos Padrões'!$A$2:$V$4400,AZ$1,FALSE)="","-",VLOOKUP(ROUND(CONCATENATE($A61,AZ$2),0),'Cadastro dos Padrões'!$A$2:$V$4400,AZ$1,FALSE))</f>
        <v>-</v>
      </c>
      <c r="BA61" s="31" t="str">
        <f>IF(VLOOKUP(ROUND(CONCATENATE($A61,BA$2),0),'Cadastro dos Padrões'!$A$2:$V$4400,BA$1,FALSE)="","-",VLOOKUP(ROUND(CONCATENATE($A61,BA$2),0),'Cadastro dos Padrões'!$A$2:$V$4400,BA$1,FALSE))</f>
        <v>-</v>
      </c>
      <c r="BB61" s="31" t="str">
        <f>IF(VLOOKUP(ROUND(CONCATENATE($A61,BB$2),0),'Cadastro dos Padrões'!$A$2:$V$4400,BB$1,FALSE)="","-",VLOOKUP(ROUND(CONCATENATE($A61,BB$2),0),'Cadastro dos Padrões'!$A$2:$V$4400,BB$1,FALSE))</f>
        <v>-</v>
      </c>
      <c r="BC61" s="31" t="str">
        <f>IF(VLOOKUP(ROUND(CONCATENATE($A61,BC$2),0),'Cadastro dos Padrões'!$A$2:$V$4400,BC$1,FALSE)="","-",VLOOKUP(ROUND(CONCATENATE($A61,BC$2),0),'Cadastro dos Padrões'!$A$2:$V$4400,BC$1,FALSE))</f>
        <v>-</v>
      </c>
      <c r="BD61" s="31" t="str">
        <f>IF(VLOOKUP(ROUND(CONCATENATE($A61,BD$2),0),'Cadastro dos Padrões'!$A$2:$V$4400,BD$1,FALSE)="","-",VLOOKUP(ROUND(CONCATENATE($A61,BD$2),0),'Cadastro dos Padrões'!$A$2:$V$4400,BD$1,FALSE))</f>
        <v>-</v>
      </c>
      <c r="BE61" s="31" t="str">
        <f>IF(VLOOKUP(ROUND(CONCATENATE($A61,BE$2),0),'Cadastro dos Padrões'!$A$2:$V$4400,BE$1,FALSE)="","-",VLOOKUP(ROUND(CONCATENATE($A61,BE$2),0),'Cadastro dos Padrões'!$A$2:$V$4400,BE$1,FALSE))</f>
        <v>-</v>
      </c>
      <c r="BF61" s="31" t="str">
        <f>IF(VLOOKUP(ROUND(CONCATENATE($A61,BF$2),0),'Cadastro dos Padrões'!$A$2:$V$4400,BF$1,FALSE)="","-",VLOOKUP(ROUND(CONCATENATE($A61,BF$2),0),'Cadastro dos Padrões'!$A$2:$V$4400,BF$1,FALSE))</f>
        <v>-</v>
      </c>
      <c r="BG61" s="31" t="str">
        <f>IF(VLOOKUP(ROUND(CONCATENATE($A61,BG$2),0),'Cadastro dos Padrões'!$A$2:$V$4400,BG$1,FALSE)="","-",VLOOKUP(ROUND(CONCATENATE($A61,BG$2),0),'Cadastro dos Padrões'!$A$2:$V$4400,BG$1,FALSE))</f>
        <v>-</v>
      </c>
      <c r="BH61" s="31" t="str">
        <f>IF(VLOOKUP(ROUND(CONCATENATE($A61,BH$2),0),'Cadastro dos Padrões'!$A$2:$V$4400,BH$1,FALSE)="","-",VLOOKUP(ROUND(CONCATENATE($A61,BH$2),0),'Cadastro dos Padrões'!$A$2:$V$4400,BH$1,FALSE))</f>
        <v>-</v>
      </c>
      <c r="BI61" s="31" t="str">
        <f>IF(VLOOKUP(ROUND(CONCATENATE($A61,BI$2),0),'Cadastro dos Padrões'!$A$2:$V$4400,BI$1,FALSE)="","-",VLOOKUP(ROUND(CONCATENATE($A61,BI$2),0),'Cadastro dos Padrões'!$A$2:$V$4400,BI$1,FALSE))</f>
        <v>-</v>
      </c>
      <c r="BJ61" s="31" t="str">
        <f>IF(VLOOKUP(ROUND(CONCATENATE($A61,BJ$2),0),'Cadastro dos Padrões'!$A$2:$V$4400,BJ$1,FALSE)="","-",VLOOKUP(ROUND(CONCATENATE($A61,BJ$2),0),'Cadastro dos Padrões'!$A$2:$V$4400,BJ$1,FALSE))</f>
        <v>-</v>
      </c>
      <c r="BK61" s="31" t="str">
        <f>IF(VLOOKUP(ROUND(CONCATENATE($A61,BK$2),0),'Cadastro dos Padrões'!$A$2:$V$4400,BK$1,FALSE)="","-",VLOOKUP(ROUND(CONCATENATE($A61,BK$2),0),'Cadastro dos Padrões'!$A$2:$V$4400,BK$1,FALSE))</f>
        <v>-</v>
      </c>
      <c r="BL61" s="31" t="str">
        <f>IF(VLOOKUP(ROUND(CONCATENATE($A61,BL$2),0),'Cadastro dos Padrões'!$A$2:$V$4400,BL$1,FALSE)="","-",VLOOKUP(ROUND(CONCATENATE($A61,BL$2),0),'Cadastro dos Padrões'!$A$2:$V$4400,BL$1,FALSE))</f>
        <v>-</v>
      </c>
      <c r="BM61" s="31" t="str">
        <f>IF(VLOOKUP(ROUND(CONCATENATE($A61,BM$2),0),'Cadastro dos Padrões'!$A$2:$V$4400,BM$1,FALSE)="","-",VLOOKUP(ROUND(CONCATENATE($A61,BM$2),0),'Cadastro dos Padrões'!$A$2:$V$4400,BM$1,FALSE))</f>
        <v>-</v>
      </c>
      <c r="BN61" s="31" t="str">
        <f>IF(VLOOKUP(ROUND(CONCATENATE($A61,BN$2),0),'Cadastro dos Padrões'!$A$2:$V$4400,BN$1,FALSE)="","-",VLOOKUP(ROUND(CONCATENATE($A61,BN$2),0),'Cadastro dos Padrões'!$A$2:$V$4400,BN$1,FALSE))</f>
        <v>-</v>
      </c>
      <c r="BO61" s="31" t="str">
        <f>IF(VLOOKUP(ROUND(CONCATENATE($A61,BO$2),0),'Cadastro dos Padrões'!$A$2:$V$4400,BO$1,FALSE)="","-",VLOOKUP(ROUND(CONCATENATE($A61,BO$2),0),'Cadastro dos Padrões'!$A$2:$V$4400,BO$1,FALSE))</f>
        <v>-</v>
      </c>
    </row>
    <row r="62" spans="1:67" x14ac:dyDescent="0.3">
      <c r="A62" s="6">
        <f t="shared" si="52"/>
        <v>57</v>
      </c>
      <c r="B62" s="31" t="str">
        <f>IF(VLOOKUP(ROUND(CONCATENATE($A62,B$2),0),'Cadastro dos Padrões'!$A$2:$V$4400,B$1,FALSE)="","-",VLOOKUP(ROUND(CONCATENATE($A62,B$2),0),'Cadastro dos Padrões'!$A$2:$V$4400,B$1,FALSE))</f>
        <v>E.TH.LM-002</v>
      </c>
      <c r="C62" s="31" t="str">
        <f>IF($B62="-","-",VLOOKUP(ROUND(CONCATENATE($A62,C$2),0),'Cadastro dos Padrões'!$A$2:$V$4400,C$1,FALSE))</f>
        <v>Termohigrômetro Digital</v>
      </c>
      <c r="D62" s="31">
        <f>IF($B62="-","-",VLOOKUP(ROUND(CONCATENATE($A62,D$2),0),'Cadastro dos Padrões'!$A$2:$V$4400,D$1,FALSE))</f>
        <v>20</v>
      </c>
      <c r="E62" s="31" t="str">
        <f>IF($B62="-","-",VLOOKUP(ROUND(CONCATENATE($A62,E$2),0),'Cadastro dos Padrões'!$A$2:$V$4400,E$1,FALSE))</f>
        <v>Elus</v>
      </c>
      <c r="F62" s="31" t="str">
        <f>IF($B62="-","-",VLOOKUP(ROUND(CONCATENATE($A62,F$2),0),'Cadastro dos Padrões'!$A$2:$V$4400,F$1,FALSE))</f>
        <v>RBC - CAL 0439</v>
      </c>
      <c r="G62" s="31" t="str">
        <f>IF($B62="-","-",VLOOKUP(ROUND(CONCATENATE($A62,G$2),0),'Cadastro dos Padrões'!$A$2:$V$4400,G$1,FALSE))</f>
        <v>E0211/25</v>
      </c>
      <c r="H62" s="32">
        <f>IF($B62="-","-",VLOOKUP(ROUND(CONCATENATE($A62,H$2),0),'Cadastro dos Padrões'!$A$2:$V$4400,H$1,FALSE))</f>
        <v>45761</v>
      </c>
      <c r="I62" s="33">
        <f>IF($B62="-","-",VLOOKUP(ROUND(CONCATENATE($A62,I$2),0),'Cadastro dos Padrões'!$A$2:$V$4400,I$1,FALSE))</f>
        <v>46142</v>
      </c>
      <c r="J62" s="31" t="str">
        <f>IF($B62="-","-",VLOOKUP(ROUND(CONCATENATE($A62,J$2),0),'Cadastro dos Padrões'!$A$2:$V$4400,J$1,FALSE))</f>
        <v>%ur</v>
      </c>
      <c r="K62" s="31">
        <f>IF($B62="-","-",VLOOKUP(ROUND(CONCATENATE($A62,K$2),0),'Cadastro dos Padrões'!$A$2:$V$4400,K$1,FALSE))</f>
        <v>20</v>
      </c>
      <c r="L62" s="31">
        <f>IF($B62="-","-",VLOOKUP(ROUND(CONCATENATE($A62,L$2),0),'Cadastro dos Padrões'!$A$2:$V$4400,L$1,FALSE))</f>
        <v>80</v>
      </c>
      <c r="M62" s="31">
        <f>IF($B62="-","-",VLOOKUP(ROUND(CONCATENATE($A62,M$2),0),'Cadastro dos Padrões'!$A$2:$V$4400,M$1,FALSE))</f>
        <v>0.1</v>
      </c>
      <c r="N62" s="31">
        <f>IF($B62="-","-",VLOOKUP(ROUND(CONCATENATE($A62,N$2),0),'Cadastro dos Padrões'!$A$2:$V$4400,N$1,FALSE))</f>
        <v>1.7000000000000028</v>
      </c>
      <c r="O62" s="31">
        <f>IF($B62="-","-",VLOOKUP(ROUND(CONCATENATE($A62,O$2),0),'Cadastro dos Padrões'!$A$2:$V$4400,O$1,FALSE))</f>
        <v>1.1000000000000001</v>
      </c>
      <c r="P62" s="31">
        <f>IF($B62="-","-",VLOOKUP(ROUND(CONCATENATE($A62,P$2),0),'Cadastro dos Padrões'!$A$2:$V$4400,P$1,FALSE))</f>
        <v>1.7000000000000028</v>
      </c>
      <c r="Q62" s="31">
        <f>IF($B62="-","-",VLOOKUP(ROUND(CONCATENATE($A62,Q$2),0),'Cadastro dos Padrões'!$A$2:$V$4400,Q$1,FALSE))</f>
        <v>7.8761592344328335E-2</v>
      </c>
      <c r="R62" s="31">
        <f>IF($B62="-","-",VLOOKUP(ROUND(CONCATENATE($A62,R$2),0),'Cadastro dos Padrões'!$A$2:$V$4400,R$1,FALSE))</f>
        <v>1</v>
      </c>
      <c r="S62" s="31">
        <f>IF($B62="-","-",VLOOKUP(ROUND(CONCATENATE($A62,S$2),0),'Cadastro dos Padrões'!$A$2:$V$4400,S$1,FALSE))</f>
        <v>0</v>
      </c>
      <c r="T62" s="31">
        <f>IF($B62="-","-",VLOOKUP(ROUND(CONCATENATE($A62,T$2),0),'Cadastro dos Padrões'!$A$2:$V$4400,T$1,FALSE))</f>
        <v>0</v>
      </c>
      <c r="U62" s="31">
        <f>IF($B62="-","-",VLOOKUP(ROUND(CONCATENATE($A62,U$2),0),'Cadastro dos Padrões'!$A$2:$V$4400,U$1,FALSE))</f>
        <v>0</v>
      </c>
      <c r="V62" s="31">
        <f>IF($B62="-","-",VLOOKUP(ROUND(CONCATENATE($A62,V$2),0),'Cadastro dos Padrões'!$A$2:$V$4400,V$1,FALSE))</f>
        <v>0</v>
      </c>
      <c r="W62" s="31">
        <f>IF($B62="-","-",VLOOKUP(ROUND(CONCATENATE($A62,W$2),0),'Cadastro dos Padrões'!$A$2:$V$4400,W$1,FALSE))</f>
        <v>0</v>
      </c>
      <c r="X62" s="31">
        <f>IF($B62="-","-",VLOOKUP(ROUND(CONCATENATE($A62,X$2),0),'Cadastro dos Padrões'!$A$2:$V$4400,X$1,FALSE))</f>
        <v>0</v>
      </c>
      <c r="Y62" s="31">
        <f>IF($B62="-","-",VLOOKUP(ROUND(CONCATENATE($A62,Y$2),0),'Cadastro dos Padrões'!$A$2:$V$4400,Y$1,FALSE))</f>
        <v>0</v>
      </c>
      <c r="Z62" s="31">
        <f>IF($B62="-","-",VLOOKUP(ROUND(CONCATENATE($A62,Z$2),0),'Cadastro dos Padrões'!$A$2:$V$4400,Z$1,FALSE))</f>
        <v>0.96462690064928802</v>
      </c>
      <c r="AA62" s="31">
        <f>IF($B62="-","-",VLOOKUP(ROUND(CONCATENATE($A62,AA$2),0),'Cadastro dos Padrões'!$A$2:$V$4400,AA$1,FALSE))</f>
        <v>1.2220330571676712</v>
      </c>
      <c r="AB62" s="31">
        <f>IF(VLOOKUP(ROUND(CONCATENATE($A62,AB$2),0),'Cadastro dos Padrões'!$A$2:$V$4400,AB$1,FALSE)="","-",VLOOKUP(ROUND(CONCATENATE($A62,AB$2),0),'Cadastro dos Padrões'!$A$2:$V$4400,AB$1,FALSE))</f>
        <v>20</v>
      </c>
      <c r="AC62" s="31">
        <f>IF(VLOOKUP(ROUND(CONCATENATE($A62,AC$2),0),'Cadastro dos Padrões'!$A$2:$V$4400,AC$1,FALSE)="","-",VLOOKUP(ROUND(CONCATENATE($A62,AC$2),0),'Cadastro dos Padrões'!$A$2:$V$4400,AC$1,FALSE))</f>
        <v>0.7</v>
      </c>
      <c r="AD62" s="31">
        <f>IF(VLOOKUP(ROUND(CONCATENATE($A62,AD$2),0),'Cadastro dos Padrões'!$A$2:$V$4400,AD$1,FALSE)="","-",VLOOKUP(ROUND(CONCATENATE($A62,AD$2),0),'Cadastro dos Padrões'!$A$2:$V$4400,AD$1,FALSE))</f>
        <v>2</v>
      </c>
      <c r="AE62" s="31">
        <f>IF(VLOOKUP(ROUND(CONCATENATE($A62,AE$2),0),'Cadastro dos Padrões'!$A$2:$V$4400,AE$1,FALSE)="","-",VLOOKUP(ROUND(CONCATENATE($A62,AE$2),0),'Cadastro dos Padrões'!$A$2:$V$4400,AE$1,FALSE))</f>
        <v>1000000</v>
      </c>
      <c r="AF62" s="31">
        <f>IF(VLOOKUP(ROUND(CONCATENATE($A62,AF$2),0),'Cadastro dos Padrões'!$A$2:$V$4400,AF$1,FALSE)="","-",VLOOKUP(ROUND(CONCATENATE($A62,AF$2),0),'Cadastro dos Padrões'!$A$2:$V$4400,AF$1,FALSE))</f>
        <v>50</v>
      </c>
      <c r="AG62" s="31">
        <f>IF(VLOOKUP(ROUND(CONCATENATE($A62,AG$2),0),'Cadastro dos Padrões'!$A$2:$V$4400,AG$1,FALSE)="","-",VLOOKUP(ROUND(CONCATENATE($A62,AG$2),0),'Cadastro dos Padrões'!$A$2:$V$4400,AG$1,FALSE))</f>
        <v>1.1000000000000001</v>
      </c>
      <c r="AH62" s="31">
        <f>IF(VLOOKUP(ROUND(CONCATENATE($A62,AH$2),0),'Cadastro dos Padrões'!$A$2:$V$4400,AH$1,FALSE)="","-",VLOOKUP(ROUND(CONCATENATE($A62,AH$2),0),'Cadastro dos Padrões'!$A$2:$V$4400,AH$1,FALSE))</f>
        <v>2</v>
      </c>
      <c r="AI62" s="31">
        <f>IF(VLOOKUP(ROUND(CONCATENATE($A62,AI$2),0),'Cadastro dos Padrões'!$A$2:$V$4400,AI$1,FALSE)="","-",VLOOKUP(ROUND(CONCATENATE($A62,AI$2),0),'Cadastro dos Padrões'!$A$2:$V$4400,AI$1,FALSE))</f>
        <v>1000000</v>
      </c>
      <c r="AJ62" s="31">
        <f>IF(VLOOKUP(ROUND(CONCATENATE($A62,AJ$2),0),'Cadastro dos Padrões'!$A$2:$V$4400,AJ$1,FALSE)="","-",VLOOKUP(ROUND(CONCATENATE($A62,AJ$2),0),'Cadastro dos Padrões'!$A$2:$V$4400,AJ$1,FALSE))</f>
        <v>80</v>
      </c>
      <c r="AK62" s="31">
        <f>IF(VLOOKUP(ROUND(CONCATENATE($A62,AK$2),0),'Cadastro dos Padrões'!$A$2:$V$4400,AK$1,FALSE)="","-",VLOOKUP(ROUND(CONCATENATE($A62,AK$2),0),'Cadastro dos Padrões'!$A$2:$V$4400,AK$1,FALSE))</f>
        <v>1.1000000000000001</v>
      </c>
      <c r="AL62" s="31">
        <f>IF(VLOOKUP(ROUND(CONCATENATE($A62,AL$2),0),'Cadastro dos Padrões'!$A$2:$V$4400,AL$1,FALSE)="","-",VLOOKUP(ROUND(CONCATENATE($A62,AL$2),0),'Cadastro dos Padrões'!$A$2:$V$4400,AL$1,FALSE))</f>
        <v>2</v>
      </c>
      <c r="AM62" s="31">
        <f>IF(VLOOKUP(ROUND(CONCATENATE($A62,AM$2),0),'Cadastro dos Padrões'!$A$2:$V$4400,AM$1,FALSE)="","-",VLOOKUP(ROUND(CONCATENATE($A62,AM$2),0),'Cadastro dos Padrões'!$A$2:$V$4400,AM$1,FALSE))</f>
        <v>1000000</v>
      </c>
      <c r="AN62" s="31" t="str">
        <f>IF(VLOOKUP(ROUND(CONCATENATE($A62,AN$2),0),'Cadastro dos Padrões'!$A$2:$V$4400,AN$1,FALSE)="","-",VLOOKUP(ROUND(CONCATENATE($A62,AN$2),0),'Cadastro dos Padrões'!$A$2:$V$4400,AN$1,FALSE))</f>
        <v>-</v>
      </c>
      <c r="AO62" s="31" t="str">
        <f>IF(VLOOKUP(ROUND(CONCATENATE($A62,AO$2),0),'Cadastro dos Padrões'!$A$2:$V$4400,AO$1,FALSE)="","-",VLOOKUP(ROUND(CONCATENATE($A62,AO$2),0),'Cadastro dos Padrões'!$A$2:$V$4400,AO$1,FALSE))</f>
        <v>-</v>
      </c>
      <c r="AP62" s="31" t="str">
        <f>IF(VLOOKUP(ROUND(CONCATENATE($A62,AP$2),0),'Cadastro dos Padrões'!$A$2:$V$4400,AP$1,FALSE)="","-",VLOOKUP(ROUND(CONCATENATE($A62,AP$2),0),'Cadastro dos Padrões'!$A$2:$V$4400,AP$1,FALSE))</f>
        <v>-</v>
      </c>
      <c r="AQ62" s="31" t="str">
        <f>IF(VLOOKUP(ROUND(CONCATENATE($A62,AQ$2),0),'Cadastro dos Padrões'!$A$2:$V$4400,AQ$1,FALSE)="","-",VLOOKUP(ROUND(CONCATENATE($A62,AQ$2),0),'Cadastro dos Padrões'!$A$2:$V$4400,AQ$1,FALSE))</f>
        <v>-</v>
      </c>
      <c r="AR62" s="31" t="str">
        <f>IF(VLOOKUP(ROUND(CONCATENATE($A62,AR$2),0),'Cadastro dos Padrões'!$A$2:$V$4400,AR$1,FALSE)="","-",VLOOKUP(ROUND(CONCATENATE($A62,AR$2),0),'Cadastro dos Padrões'!$A$2:$V$4400,AR$1,FALSE))</f>
        <v>-</v>
      </c>
      <c r="AS62" s="31" t="str">
        <f>IF(VLOOKUP(ROUND(CONCATENATE($A62,AS$2),0),'Cadastro dos Padrões'!$A$2:$V$4400,AS$1,FALSE)="","-",VLOOKUP(ROUND(CONCATENATE($A62,AS$2),0),'Cadastro dos Padrões'!$A$2:$V$4400,AS$1,FALSE))</f>
        <v>-</v>
      </c>
      <c r="AT62" s="31" t="str">
        <f>IF(VLOOKUP(ROUND(CONCATENATE($A62,AT$2),0),'Cadastro dos Padrões'!$A$2:$V$4400,AT$1,FALSE)="","-",VLOOKUP(ROUND(CONCATENATE($A62,AT$2),0),'Cadastro dos Padrões'!$A$2:$V$4400,AT$1,FALSE))</f>
        <v>-</v>
      </c>
      <c r="AU62" s="31" t="str">
        <f>IF(VLOOKUP(ROUND(CONCATENATE($A62,AU$2),0),'Cadastro dos Padrões'!$A$2:$V$4400,AU$1,FALSE)="","-",VLOOKUP(ROUND(CONCATENATE($A62,AU$2),0),'Cadastro dos Padrões'!$A$2:$V$4400,AU$1,FALSE))</f>
        <v>-</v>
      </c>
      <c r="AV62" s="31" t="str">
        <f>IF(VLOOKUP(ROUND(CONCATENATE($A62,AV$2),0),'Cadastro dos Padrões'!$A$2:$V$4400,AV$1,FALSE)="","-",VLOOKUP(ROUND(CONCATENATE($A62,AV$2),0),'Cadastro dos Padrões'!$A$2:$V$4400,AV$1,FALSE))</f>
        <v>-</v>
      </c>
      <c r="AW62" s="31" t="str">
        <f>IF(VLOOKUP(ROUND(CONCATENATE($A62,AW$2),0),'Cadastro dos Padrões'!$A$2:$V$4400,AW$1,FALSE)="","-",VLOOKUP(ROUND(CONCATENATE($A62,AW$2),0),'Cadastro dos Padrões'!$A$2:$V$4400,AW$1,FALSE))</f>
        <v>-</v>
      </c>
      <c r="AX62" s="31" t="str">
        <f>IF(VLOOKUP(ROUND(CONCATENATE($A62,AX$2),0),'Cadastro dos Padrões'!$A$2:$V$4400,AX$1,FALSE)="","-",VLOOKUP(ROUND(CONCATENATE($A62,AX$2),0),'Cadastro dos Padrões'!$A$2:$V$4400,AX$1,FALSE))</f>
        <v>-</v>
      </c>
      <c r="AY62" s="31" t="str">
        <f>IF(VLOOKUP(ROUND(CONCATENATE($A62,AY$2),0),'Cadastro dos Padrões'!$A$2:$V$4400,AY$1,FALSE)="","-",VLOOKUP(ROUND(CONCATENATE($A62,AY$2),0),'Cadastro dos Padrões'!$A$2:$V$4400,AY$1,FALSE))</f>
        <v>-</v>
      </c>
      <c r="AZ62" s="31" t="str">
        <f>IF(VLOOKUP(ROUND(CONCATENATE($A62,AZ$2),0),'Cadastro dos Padrões'!$A$2:$V$4400,AZ$1,FALSE)="","-",VLOOKUP(ROUND(CONCATENATE($A62,AZ$2),0),'Cadastro dos Padrões'!$A$2:$V$4400,AZ$1,FALSE))</f>
        <v>-</v>
      </c>
      <c r="BA62" s="31" t="str">
        <f>IF(VLOOKUP(ROUND(CONCATENATE($A62,BA$2),0),'Cadastro dos Padrões'!$A$2:$V$4400,BA$1,FALSE)="","-",VLOOKUP(ROUND(CONCATENATE($A62,BA$2),0),'Cadastro dos Padrões'!$A$2:$V$4400,BA$1,FALSE))</f>
        <v>-</v>
      </c>
      <c r="BB62" s="31" t="str">
        <f>IF(VLOOKUP(ROUND(CONCATENATE($A62,BB$2),0),'Cadastro dos Padrões'!$A$2:$V$4400,BB$1,FALSE)="","-",VLOOKUP(ROUND(CONCATENATE($A62,BB$2),0),'Cadastro dos Padrões'!$A$2:$V$4400,BB$1,FALSE))</f>
        <v>-</v>
      </c>
      <c r="BC62" s="31" t="str">
        <f>IF(VLOOKUP(ROUND(CONCATENATE($A62,BC$2),0),'Cadastro dos Padrões'!$A$2:$V$4400,BC$1,FALSE)="","-",VLOOKUP(ROUND(CONCATENATE($A62,BC$2),0),'Cadastro dos Padrões'!$A$2:$V$4400,BC$1,FALSE))</f>
        <v>-</v>
      </c>
      <c r="BD62" s="31" t="str">
        <f>IF(VLOOKUP(ROUND(CONCATENATE($A62,BD$2),0),'Cadastro dos Padrões'!$A$2:$V$4400,BD$1,FALSE)="","-",VLOOKUP(ROUND(CONCATENATE($A62,BD$2),0),'Cadastro dos Padrões'!$A$2:$V$4400,BD$1,FALSE))</f>
        <v>-</v>
      </c>
      <c r="BE62" s="31" t="str">
        <f>IF(VLOOKUP(ROUND(CONCATENATE($A62,BE$2),0),'Cadastro dos Padrões'!$A$2:$V$4400,BE$1,FALSE)="","-",VLOOKUP(ROUND(CONCATENATE($A62,BE$2),0),'Cadastro dos Padrões'!$A$2:$V$4400,BE$1,FALSE))</f>
        <v>-</v>
      </c>
      <c r="BF62" s="31" t="str">
        <f>IF(VLOOKUP(ROUND(CONCATENATE($A62,BF$2),0),'Cadastro dos Padrões'!$A$2:$V$4400,BF$1,FALSE)="","-",VLOOKUP(ROUND(CONCATENATE($A62,BF$2),0),'Cadastro dos Padrões'!$A$2:$V$4400,BF$1,FALSE))</f>
        <v>-</v>
      </c>
      <c r="BG62" s="31" t="str">
        <f>IF(VLOOKUP(ROUND(CONCATENATE($A62,BG$2),0),'Cadastro dos Padrões'!$A$2:$V$4400,BG$1,FALSE)="","-",VLOOKUP(ROUND(CONCATENATE($A62,BG$2),0),'Cadastro dos Padrões'!$A$2:$V$4400,BG$1,FALSE))</f>
        <v>-</v>
      </c>
      <c r="BH62" s="31" t="str">
        <f>IF(VLOOKUP(ROUND(CONCATENATE($A62,BH$2),0),'Cadastro dos Padrões'!$A$2:$V$4400,BH$1,FALSE)="","-",VLOOKUP(ROUND(CONCATENATE($A62,BH$2),0),'Cadastro dos Padrões'!$A$2:$V$4400,BH$1,FALSE))</f>
        <v>-</v>
      </c>
      <c r="BI62" s="31" t="str">
        <f>IF(VLOOKUP(ROUND(CONCATENATE($A62,BI$2),0),'Cadastro dos Padrões'!$A$2:$V$4400,BI$1,FALSE)="","-",VLOOKUP(ROUND(CONCATENATE($A62,BI$2),0),'Cadastro dos Padrões'!$A$2:$V$4400,BI$1,FALSE))</f>
        <v>-</v>
      </c>
      <c r="BJ62" s="31" t="str">
        <f>IF(VLOOKUP(ROUND(CONCATENATE($A62,BJ$2),0),'Cadastro dos Padrões'!$A$2:$V$4400,BJ$1,FALSE)="","-",VLOOKUP(ROUND(CONCATENATE($A62,BJ$2),0),'Cadastro dos Padrões'!$A$2:$V$4400,BJ$1,FALSE))</f>
        <v>-</v>
      </c>
      <c r="BK62" s="31" t="str">
        <f>IF(VLOOKUP(ROUND(CONCATENATE($A62,BK$2),0),'Cadastro dos Padrões'!$A$2:$V$4400,BK$1,FALSE)="","-",VLOOKUP(ROUND(CONCATENATE($A62,BK$2),0),'Cadastro dos Padrões'!$A$2:$V$4400,BK$1,FALSE))</f>
        <v>-</v>
      </c>
      <c r="BL62" s="31" t="str">
        <f>IF(VLOOKUP(ROUND(CONCATENATE($A62,BL$2),0),'Cadastro dos Padrões'!$A$2:$V$4400,BL$1,FALSE)="","-",VLOOKUP(ROUND(CONCATENATE($A62,BL$2),0),'Cadastro dos Padrões'!$A$2:$V$4400,BL$1,FALSE))</f>
        <v>-</v>
      </c>
      <c r="BM62" s="31" t="str">
        <f>IF(VLOOKUP(ROUND(CONCATENATE($A62,BM$2),0),'Cadastro dos Padrões'!$A$2:$V$4400,BM$1,FALSE)="","-",VLOOKUP(ROUND(CONCATENATE($A62,BM$2),0),'Cadastro dos Padrões'!$A$2:$V$4400,BM$1,FALSE))</f>
        <v>-</v>
      </c>
      <c r="BN62" s="31" t="str">
        <f>IF(VLOOKUP(ROUND(CONCATENATE($A62,BN$2),0),'Cadastro dos Padrões'!$A$2:$V$4400,BN$1,FALSE)="","-",VLOOKUP(ROUND(CONCATENATE($A62,BN$2),0),'Cadastro dos Padrões'!$A$2:$V$4400,BN$1,FALSE))</f>
        <v>-</v>
      </c>
      <c r="BO62" s="31" t="str">
        <f>IF(VLOOKUP(ROUND(CONCATENATE($A62,BO$2),0),'Cadastro dos Padrões'!$A$2:$V$4400,BO$1,FALSE)="","-",VLOOKUP(ROUND(CONCATENATE($A62,BO$2),0),'Cadastro dos Padrões'!$A$2:$V$4400,BO$1,FALSE))</f>
        <v>-</v>
      </c>
    </row>
    <row r="63" spans="1:67" x14ac:dyDescent="0.3">
      <c r="A63" s="6">
        <f t="shared" si="52"/>
        <v>58</v>
      </c>
      <c r="B63" s="31" t="str">
        <f>IF(VLOOKUP(ROUND(CONCATENATE($A63,B$2),0),'Cadastro dos Padrões'!$A$2:$V$4400,B$1,FALSE)="","-",VLOOKUP(ROUND(CONCATENATE($A63,B$2),0),'Cadastro dos Padrões'!$A$2:$V$4400,B$1,FALSE))</f>
        <v>E.TH.LV-002</v>
      </c>
      <c r="C63" s="31" t="str">
        <f>IF($B63="-","-",VLOOKUP(ROUND(CONCATENATE($A63,C$2),0),'Cadastro dos Padrões'!$A$2:$V$4400,C$1,FALSE))</f>
        <v>Termohigrômetro Digital</v>
      </c>
      <c r="D63" s="31">
        <f>IF($B63="-","-",VLOOKUP(ROUND(CONCATENATE($A63,D$2),0),'Cadastro dos Padrões'!$A$2:$V$4400,D$1,FALSE))</f>
        <v>20</v>
      </c>
      <c r="E63" s="31" t="str">
        <f>IF($B63="-","-",VLOOKUP(ROUND(CONCATENATE($A63,E$2),0),'Cadastro dos Padrões'!$A$2:$V$4400,E$1,FALSE))</f>
        <v>Elus</v>
      </c>
      <c r="F63" s="31" t="str">
        <f>IF($B63="-","-",VLOOKUP(ROUND(CONCATENATE($A63,F$2),0),'Cadastro dos Padrões'!$A$2:$V$4400,F$1,FALSE))</f>
        <v>RBC - CAL 0439</v>
      </c>
      <c r="G63" s="31" t="str">
        <f>IF($B63="-","-",VLOOKUP(ROUND(CONCATENATE($A63,G$2),0),'Cadastro dos Padrões'!$A$2:$V$4400,G$1,FALSE))</f>
        <v>E0400A/25</v>
      </c>
      <c r="H63" s="32">
        <f>IF($B63="-","-",VLOOKUP(ROUND(CONCATENATE($A63,H$2),0),'Cadastro dos Padrões'!$A$2:$V$4400,H$1,FALSE))</f>
        <v>45838</v>
      </c>
      <c r="I63" s="33">
        <f>IF($B63="-","-",VLOOKUP(ROUND(CONCATENATE($A63,I$2),0),'Cadastro dos Padrões'!$A$2:$V$4400,I$1,FALSE))</f>
        <v>46203</v>
      </c>
      <c r="J63" s="31" t="str">
        <f>IF($B63="-","-",VLOOKUP(ROUND(CONCATENATE($A63,J$2),0),'Cadastro dos Padrões'!$A$2:$V$4400,J$1,FALSE))</f>
        <v>%ur</v>
      </c>
      <c r="K63" s="31">
        <f>IF($B63="-","-",VLOOKUP(ROUND(CONCATENATE($A63,K$2),0),'Cadastro dos Padrões'!$A$2:$V$4400,K$1,FALSE))</f>
        <v>20.03</v>
      </c>
      <c r="L63" s="31">
        <f>IF($B63="-","-",VLOOKUP(ROUND(CONCATENATE($A63,L$2),0),'Cadastro dos Padrões'!$A$2:$V$4400,L$1,FALSE))</f>
        <v>79.989999999999995</v>
      </c>
      <c r="M63" s="31">
        <f>IF($B63="-","-",VLOOKUP(ROUND(CONCATENATE($A63,M$2),0),'Cadastro dos Padrões'!$A$2:$V$4400,M$1,FALSE))</f>
        <v>0.01</v>
      </c>
      <c r="N63" s="31">
        <f>IF($B63="-","-",VLOOKUP(ROUND(CONCATENATE($A63,N$2),0),'Cadastro dos Padrões'!$A$2:$V$4400,N$1,FALSE))</f>
        <v>0.29999999999999716</v>
      </c>
      <c r="O63" s="31">
        <f>IF($B63="-","-",VLOOKUP(ROUND(CONCATENATE($A63,O$2),0),'Cadastro dos Padrões'!$A$2:$V$4400,O$1,FALSE))</f>
        <v>0.91</v>
      </c>
      <c r="P63" s="31">
        <f>IF($B63="-","-",VLOOKUP(ROUND(CONCATENATE($A63,P$2),0),'Cadastro dos Padrões'!$A$2:$V$4400,P$1,FALSE))</f>
        <v>7.0000000000000284E-2</v>
      </c>
      <c r="Q63" s="31">
        <f>IF($B63="-","-",VLOOKUP(ROUND(CONCATENATE($A63,Q$2),0),'Cadastro dos Padrões'!$A$2:$V$4400,Q$1,FALSE))</f>
        <v>0.21079970636743184</v>
      </c>
      <c r="R63" s="31">
        <f>IF($B63="-","-",VLOOKUP(ROUND(CONCATENATE($A63,R$2),0),'Cadastro dos Padrões'!$A$2:$V$4400,R$1,FALSE))</f>
        <v>1</v>
      </c>
      <c r="S63" s="31">
        <f>IF($B63="-","-",VLOOKUP(ROUND(CONCATENATE($A63,S$2),0),'Cadastro dos Padrões'!$A$2:$V$4400,S$1,FALSE))</f>
        <v>0</v>
      </c>
      <c r="T63" s="31">
        <f>IF($B63="-","-",VLOOKUP(ROUND(CONCATENATE($A63,T$2),0),'Cadastro dos Padrões'!$A$2:$V$4400,T$1,FALSE))</f>
        <v>0</v>
      </c>
      <c r="U63" s="31">
        <f>IF($B63="-","-",VLOOKUP(ROUND(CONCATENATE($A63,U$2),0),'Cadastro dos Padrões'!$A$2:$V$4400,U$1,FALSE))</f>
        <v>0</v>
      </c>
      <c r="V63" s="31">
        <f>IF($B63="-","-",VLOOKUP(ROUND(CONCATENATE($A63,V$2),0),'Cadastro dos Padrões'!$A$2:$V$4400,V$1,FALSE))</f>
        <v>0</v>
      </c>
      <c r="W63" s="31">
        <f>IF($B63="-","-",VLOOKUP(ROUND(CONCATENATE($A63,W$2),0),'Cadastro dos Padrões'!$A$2:$V$4400,W$1,FALSE))</f>
        <v>0</v>
      </c>
      <c r="X63" s="31">
        <f>IF($B63="-","-",VLOOKUP(ROUND(CONCATENATE($A63,X$2),0),'Cadastro dos Padrões'!$A$2:$V$4400,X$1,FALSE))</f>
        <v>0</v>
      </c>
      <c r="Y63" s="31">
        <f>IF($B63="-","-",VLOOKUP(ROUND(CONCATENATE($A63,Y$2),0),'Cadastro dos Padrões'!$A$2:$V$4400,Y$1,FALSE))</f>
        <v>0</v>
      </c>
      <c r="Z63" s="31">
        <f>IF($B63="-","-",VLOOKUP(ROUND(CONCATENATE($A63,Z$2),0),'Cadastro dos Padrões'!$A$2:$V$4400,Z$1,FALSE))</f>
        <v>0.99269164246171471</v>
      </c>
      <c r="AA63" s="31">
        <f>IF($B63="-","-",VLOOKUP(ROUND(CONCATENATE($A63,AA$2),0),'Cadastro dos Padrões'!$A$2:$V$4400,AA$1,FALSE))</f>
        <v>0.23972565791936518</v>
      </c>
      <c r="AB63" s="31">
        <f>IF(VLOOKUP(ROUND(CONCATENATE($A63,AB$2),0),'Cadastro dos Padrões'!$A$2:$V$4400,AB$1,FALSE)="","-",VLOOKUP(ROUND(CONCATENATE($A63,AB$2),0),'Cadastro dos Padrões'!$A$2:$V$4400,AB$1,FALSE))</f>
        <v>20.03</v>
      </c>
      <c r="AC63" s="31">
        <f>IF(VLOOKUP(ROUND(CONCATENATE($A63,AC$2),0),'Cadastro dos Padrões'!$A$2:$V$4400,AC$1,FALSE)="","-",VLOOKUP(ROUND(CONCATENATE($A63,AC$2),0),'Cadastro dos Padrões'!$A$2:$V$4400,AC$1,FALSE))</f>
        <v>0.38</v>
      </c>
      <c r="AD63" s="31">
        <f>IF(VLOOKUP(ROUND(CONCATENATE($A63,AD$2),0),'Cadastro dos Padrões'!$A$2:$V$4400,AD$1,FALSE)="","-",VLOOKUP(ROUND(CONCATENATE($A63,AD$2),0),'Cadastro dos Padrões'!$A$2:$V$4400,AD$1,FALSE))</f>
        <v>2.0099999999999998</v>
      </c>
      <c r="AE63" s="31">
        <f>IF(VLOOKUP(ROUND(CONCATENATE($A63,AE$2),0),'Cadastro dos Padrões'!$A$2:$V$4400,AE$1,FALSE)="","-",VLOOKUP(ROUND(CONCATENATE($A63,AE$2),0),'Cadastro dos Padrões'!$A$2:$V$4400,AE$1,FALSE))</f>
        <v>257</v>
      </c>
      <c r="AF63" s="31">
        <f>IF(VLOOKUP(ROUND(CONCATENATE($A63,AF$2),0),'Cadastro dos Padrões'!$A$2:$V$4400,AF$1,FALSE)="","-",VLOOKUP(ROUND(CONCATENATE($A63,AF$2),0),'Cadastro dos Padrões'!$A$2:$V$4400,AF$1,FALSE))</f>
        <v>50</v>
      </c>
      <c r="AG63" s="31">
        <f>IF(VLOOKUP(ROUND(CONCATENATE($A63,AG$2),0),'Cadastro dos Padrões'!$A$2:$V$4400,AG$1,FALSE)="","-",VLOOKUP(ROUND(CONCATENATE($A63,AG$2),0),'Cadastro dos Padrões'!$A$2:$V$4400,AG$1,FALSE))</f>
        <v>0.63</v>
      </c>
      <c r="AH63" s="31">
        <f>IF(VLOOKUP(ROUND(CONCATENATE($A63,AH$2),0),'Cadastro dos Padrões'!$A$2:$V$4400,AH$1,FALSE)="","-",VLOOKUP(ROUND(CONCATENATE($A63,AH$2),0),'Cadastro dos Padrões'!$A$2:$V$4400,AH$1,FALSE))</f>
        <v>2.02</v>
      </c>
      <c r="AI63" s="31">
        <f>IF(VLOOKUP(ROUND(CONCATENATE($A63,AI$2),0),'Cadastro dos Padrões'!$A$2:$V$4400,AI$1,FALSE)="","-",VLOOKUP(ROUND(CONCATENATE($A63,AI$2),0),'Cadastro dos Padrões'!$A$2:$V$4400,AI$1,FALSE))</f>
        <v>122</v>
      </c>
      <c r="AJ63" s="31">
        <f>IF(VLOOKUP(ROUND(CONCATENATE($A63,AJ$2),0),'Cadastro dos Padrões'!$A$2:$V$4400,AJ$1,FALSE)="","-",VLOOKUP(ROUND(CONCATENATE($A63,AJ$2),0),'Cadastro dos Padrões'!$A$2:$V$4400,AJ$1,FALSE))</f>
        <v>79.989999999999995</v>
      </c>
      <c r="AK63" s="31">
        <f>IF(VLOOKUP(ROUND(CONCATENATE($A63,AK$2),0),'Cadastro dos Padrões'!$A$2:$V$4400,AK$1,FALSE)="","-",VLOOKUP(ROUND(CONCATENATE($A63,AK$2),0),'Cadastro dos Padrões'!$A$2:$V$4400,AK$1,FALSE))</f>
        <v>0.91</v>
      </c>
      <c r="AL63" s="31">
        <f>IF(VLOOKUP(ROUND(CONCATENATE($A63,AL$2),0),'Cadastro dos Padrões'!$A$2:$V$4400,AL$1,FALSE)="","-",VLOOKUP(ROUND(CONCATENATE($A63,AL$2),0),'Cadastro dos Padrões'!$A$2:$V$4400,AL$1,FALSE))</f>
        <v>2.02</v>
      </c>
      <c r="AM63" s="31">
        <f>IF(VLOOKUP(ROUND(CONCATENATE($A63,AM$2),0),'Cadastro dos Padrões'!$A$2:$V$4400,AM$1,FALSE)="","-",VLOOKUP(ROUND(CONCATENATE($A63,AM$2),0),'Cadastro dos Padrões'!$A$2:$V$4400,AM$1,FALSE))</f>
        <v>103</v>
      </c>
      <c r="AN63" s="31" t="str">
        <f>IF(VLOOKUP(ROUND(CONCATENATE($A63,AN$2),0),'Cadastro dos Padrões'!$A$2:$V$4400,AN$1,FALSE)="","-",VLOOKUP(ROUND(CONCATENATE($A63,AN$2),0),'Cadastro dos Padrões'!$A$2:$V$4400,AN$1,FALSE))</f>
        <v>-</v>
      </c>
      <c r="AO63" s="31" t="str">
        <f>IF(VLOOKUP(ROUND(CONCATENATE($A63,AO$2),0),'Cadastro dos Padrões'!$A$2:$V$4400,AO$1,FALSE)="","-",VLOOKUP(ROUND(CONCATENATE($A63,AO$2),0),'Cadastro dos Padrões'!$A$2:$V$4400,AO$1,FALSE))</f>
        <v>-</v>
      </c>
      <c r="AP63" s="31" t="str">
        <f>IF(VLOOKUP(ROUND(CONCATENATE($A63,AP$2),0),'Cadastro dos Padrões'!$A$2:$V$4400,AP$1,FALSE)="","-",VLOOKUP(ROUND(CONCATENATE($A63,AP$2),0),'Cadastro dos Padrões'!$A$2:$V$4400,AP$1,FALSE))</f>
        <v>-</v>
      </c>
      <c r="AQ63" s="31" t="str">
        <f>IF(VLOOKUP(ROUND(CONCATENATE($A63,AQ$2),0),'Cadastro dos Padrões'!$A$2:$V$4400,AQ$1,FALSE)="","-",VLOOKUP(ROUND(CONCATENATE($A63,AQ$2),0),'Cadastro dos Padrões'!$A$2:$V$4400,AQ$1,FALSE))</f>
        <v>-</v>
      </c>
      <c r="AR63" s="31" t="str">
        <f>IF(VLOOKUP(ROUND(CONCATENATE($A63,AR$2),0),'Cadastro dos Padrões'!$A$2:$V$4400,AR$1,FALSE)="","-",VLOOKUP(ROUND(CONCATENATE($A63,AR$2),0),'Cadastro dos Padrões'!$A$2:$V$4400,AR$1,FALSE))</f>
        <v>-</v>
      </c>
      <c r="AS63" s="31" t="str">
        <f>IF(VLOOKUP(ROUND(CONCATENATE($A63,AS$2),0),'Cadastro dos Padrões'!$A$2:$V$4400,AS$1,FALSE)="","-",VLOOKUP(ROUND(CONCATENATE($A63,AS$2),0),'Cadastro dos Padrões'!$A$2:$V$4400,AS$1,FALSE))</f>
        <v>-</v>
      </c>
      <c r="AT63" s="31" t="str">
        <f>IF(VLOOKUP(ROUND(CONCATENATE($A63,AT$2),0),'Cadastro dos Padrões'!$A$2:$V$4400,AT$1,FALSE)="","-",VLOOKUP(ROUND(CONCATENATE($A63,AT$2),0),'Cadastro dos Padrões'!$A$2:$V$4400,AT$1,FALSE))</f>
        <v>-</v>
      </c>
      <c r="AU63" s="31" t="str">
        <f>IF(VLOOKUP(ROUND(CONCATENATE($A63,AU$2),0),'Cadastro dos Padrões'!$A$2:$V$4400,AU$1,FALSE)="","-",VLOOKUP(ROUND(CONCATENATE($A63,AU$2),0),'Cadastro dos Padrões'!$A$2:$V$4400,AU$1,FALSE))</f>
        <v>-</v>
      </c>
      <c r="AV63" s="31" t="str">
        <f>IF(VLOOKUP(ROUND(CONCATENATE($A63,AV$2),0),'Cadastro dos Padrões'!$A$2:$V$4400,AV$1,FALSE)="","-",VLOOKUP(ROUND(CONCATENATE($A63,AV$2),0),'Cadastro dos Padrões'!$A$2:$V$4400,AV$1,FALSE))</f>
        <v>-</v>
      </c>
      <c r="AW63" s="31" t="str">
        <f>IF(VLOOKUP(ROUND(CONCATENATE($A63,AW$2),0),'Cadastro dos Padrões'!$A$2:$V$4400,AW$1,FALSE)="","-",VLOOKUP(ROUND(CONCATENATE($A63,AW$2),0),'Cadastro dos Padrões'!$A$2:$V$4400,AW$1,FALSE))</f>
        <v>-</v>
      </c>
      <c r="AX63" s="31" t="str">
        <f>IF(VLOOKUP(ROUND(CONCATENATE($A63,AX$2),0),'Cadastro dos Padrões'!$A$2:$V$4400,AX$1,FALSE)="","-",VLOOKUP(ROUND(CONCATENATE($A63,AX$2),0),'Cadastro dos Padrões'!$A$2:$V$4400,AX$1,FALSE))</f>
        <v>-</v>
      </c>
      <c r="AY63" s="31" t="str">
        <f>IF(VLOOKUP(ROUND(CONCATENATE($A63,AY$2),0),'Cadastro dos Padrões'!$A$2:$V$4400,AY$1,FALSE)="","-",VLOOKUP(ROUND(CONCATENATE($A63,AY$2),0),'Cadastro dos Padrões'!$A$2:$V$4400,AY$1,FALSE))</f>
        <v>-</v>
      </c>
      <c r="AZ63" s="31" t="str">
        <f>IF(VLOOKUP(ROUND(CONCATENATE($A63,AZ$2),0),'Cadastro dos Padrões'!$A$2:$V$4400,AZ$1,FALSE)="","-",VLOOKUP(ROUND(CONCATENATE($A63,AZ$2),0),'Cadastro dos Padrões'!$A$2:$V$4400,AZ$1,FALSE))</f>
        <v>-</v>
      </c>
      <c r="BA63" s="31" t="str">
        <f>IF(VLOOKUP(ROUND(CONCATENATE($A63,BA$2),0),'Cadastro dos Padrões'!$A$2:$V$4400,BA$1,FALSE)="","-",VLOOKUP(ROUND(CONCATENATE($A63,BA$2),0),'Cadastro dos Padrões'!$A$2:$V$4400,BA$1,FALSE))</f>
        <v>-</v>
      </c>
      <c r="BB63" s="31" t="str">
        <f>IF(VLOOKUP(ROUND(CONCATENATE($A63,BB$2),0),'Cadastro dos Padrões'!$A$2:$V$4400,BB$1,FALSE)="","-",VLOOKUP(ROUND(CONCATENATE($A63,BB$2),0),'Cadastro dos Padrões'!$A$2:$V$4400,BB$1,FALSE))</f>
        <v>-</v>
      </c>
      <c r="BC63" s="31" t="str">
        <f>IF(VLOOKUP(ROUND(CONCATENATE($A63,BC$2),0),'Cadastro dos Padrões'!$A$2:$V$4400,BC$1,FALSE)="","-",VLOOKUP(ROUND(CONCATENATE($A63,BC$2),0),'Cadastro dos Padrões'!$A$2:$V$4400,BC$1,FALSE))</f>
        <v>-</v>
      </c>
      <c r="BD63" s="31" t="str">
        <f>IF(VLOOKUP(ROUND(CONCATENATE($A63,BD$2),0),'Cadastro dos Padrões'!$A$2:$V$4400,BD$1,FALSE)="","-",VLOOKUP(ROUND(CONCATENATE($A63,BD$2),0),'Cadastro dos Padrões'!$A$2:$V$4400,BD$1,FALSE))</f>
        <v>-</v>
      </c>
      <c r="BE63" s="31" t="str">
        <f>IF(VLOOKUP(ROUND(CONCATENATE($A63,BE$2),0),'Cadastro dos Padrões'!$A$2:$V$4400,BE$1,FALSE)="","-",VLOOKUP(ROUND(CONCATENATE($A63,BE$2),0),'Cadastro dos Padrões'!$A$2:$V$4400,BE$1,FALSE))</f>
        <v>-</v>
      </c>
      <c r="BF63" s="31" t="str">
        <f>IF(VLOOKUP(ROUND(CONCATENATE($A63,BF$2),0),'Cadastro dos Padrões'!$A$2:$V$4400,BF$1,FALSE)="","-",VLOOKUP(ROUND(CONCATENATE($A63,BF$2),0),'Cadastro dos Padrões'!$A$2:$V$4400,BF$1,FALSE))</f>
        <v>-</v>
      </c>
      <c r="BG63" s="31" t="str">
        <f>IF(VLOOKUP(ROUND(CONCATENATE($A63,BG$2),0),'Cadastro dos Padrões'!$A$2:$V$4400,BG$1,FALSE)="","-",VLOOKUP(ROUND(CONCATENATE($A63,BG$2),0),'Cadastro dos Padrões'!$A$2:$V$4400,BG$1,FALSE))</f>
        <v>-</v>
      </c>
      <c r="BH63" s="31" t="str">
        <f>IF(VLOOKUP(ROUND(CONCATENATE($A63,BH$2),0),'Cadastro dos Padrões'!$A$2:$V$4400,BH$1,FALSE)="","-",VLOOKUP(ROUND(CONCATENATE($A63,BH$2),0),'Cadastro dos Padrões'!$A$2:$V$4400,BH$1,FALSE))</f>
        <v>-</v>
      </c>
      <c r="BI63" s="31" t="str">
        <f>IF(VLOOKUP(ROUND(CONCATENATE($A63,BI$2),0),'Cadastro dos Padrões'!$A$2:$V$4400,BI$1,FALSE)="","-",VLOOKUP(ROUND(CONCATENATE($A63,BI$2),0),'Cadastro dos Padrões'!$A$2:$V$4400,BI$1,FALSE))</f>
        <v>-</v>
      </c>
      <c r="BJ63" s="31" t="str">
        <f>IF(VLOOKUP(ROUND(CONCATENATE($A63,BJ$2),0),'Cadastro dos Padrões'!$A$2:$V$4400,BJ$1,FALSE)="","-",VLOOKUP(ROUND(CONCATENATE($A63,BJ$2),0),'Cadastro dos Padrões'!$A$2:$V$4400,BJ$1,FALSE))</f>
        <v>-</v>
      </c>
      <c r="BK63" s="31" t="str">
        <f>IF(VLOOKUP(ROUND(CONCATENATE($A63,BK$2),0),'Cadastro dos Padrões'!$A$2:$V$4400,BK$1,FALSE)="","-",VLOOKUP(ROUND(CONCATENATE($A63,BK$2),0),'Cadastro dos Padrões'!$A$2:$V$4400,BK$1,FALSE))</f>
        <v>-</v>
      </c>
      <c r="BL63" s="31" t="str">
        <f>IF(VLOOKUP(ROUND(CONCATENATE($A63,BL$2),0),'Cadastro dos Padrões'!$A$2:$V$4400,BL$1,FALSE)="","-",VLOOKUP(ROUND(CONCATENATE($A63,BL$2),0),'Cadastro dos Padrões'!$A$2:$V$4400,BL$1,FALSE))</f>
        <v>-</v>
      </c>
      <c r="BM63" s="31" t="str">
        <f>IF(VLOOKUP(ROUND(CONCATENATE($A63,BM$2),0),'Cadastro dos Padrões'!$A$2:$V$4400,BM$1,FALSE)="","-",VLOOKUP(ROUND(CONCATENATE($A63,BM$2),0),'Cadastro dos Padrões'!$A$2:$V$4400,BM$1,FALSE))</f>
        <v>-</v>
      </c>
      <c r="BN63" s="31" t="str">
        <f>IF(VLOOKUP(ROUND(CONCATENATE($A63,BN$2),0),'Cadastro dos Padrões'!$A$2:$V$4400,BN$1,FALSE)="","-",VLOOKUP(ROUND(CONCATENATE($A63,BN$2),0),'Cadastro dos Padrões'!$A$2:$V$4400,BN$1,FALSE))</f>
        <v>-</v>
      </c>
      <c r="BO63" s="31" t="str">
        <f>IF(VLOOKUP(ROUND(CONCATENATE($A63,BO$2),0),'Cadastro dos Padrões'!$A$2:$V$4400,BO$1,FALSE)="","-",VLOOKUP(ROUND(CONCATENATE($A63,BO$2),0),'Cadastro dos Padrões'!$A$2:$V$4400,BO$1,FALSE))</f>
        <v>-</v>
      </c>
    </row>
    <row r="64" spans="1:67" x14ac:dyDescent="0.3">
      <c r="A64" s="6">
        <f t="shared" si="52"/>
        <v>59</v>
      </c>
      <c r="B64" s="31" t="str">
        <f>IF(VLOOKUP(ROUND(CONCATENATE($A64,B$2),0),'Cadastro dos Padrões'!$A$2:$V$4400,B$1,FALSE)="","-",VLOOKUP(ROUND(CONCATENATE($A64,B$2),0),'Cadastro dos Padrões'!$A$2:$V$4400,B$1,FALSE))</f>
        <v>E.TH.FS-055</v>
      </c>
      <c r="C64" s="31" t="str">
        <f>IF($B64="-","-",VLOOKUP(ROUND(CONCATENATE($A64,C$2),0),'Cadastro dos Padrões'!$A$2:$V$4400,C$1,FALSE))</f>
        <v>Termohigrômetro Digital</v>
      </c>
      <c r="D64" s="31">
        <f>IF($B64="-","-",VLOOKUP(ROUND(CONCATENATE($A64,D$2),0),'Cadastro dos Padrões'!$A$2:$V$4400,D$1,FALSE))</f>
        <v>20</v>
      </c>
      <c r="E64" s="31" t="str">
        <f>IF($B64="-","-",VLOOKUP(ROUND(CONCATENATE($A64,E$2),0),'Cadastro dos Padrões'!$A$2:$V$4400,E$1,FALSE))</f>
        <v>Elus</v>
      </c>
      <c r="F64" s="31" t="str">
        <f>IF($B64="-","-",VLOOKUP(ROUND(CONCATENATE($A64,F$2),0),'Cadastro dos Padrões'!$A$2:$V$4400,F$1,FALSE))</f>
        <v>RBC - CAL 0439</v>
      </c>
      <c r="G64" s="31" t="str">
        <f>IF($B64="-","-",VLOOKUP(ROUND(CONCATENATE($A64,G$2),0),'Cadastro dos Padrões'!$A$2:$V$4400,G$1,FALSE))</f>
        <v>E0133/25</v>
      </c>
      <c r="H64" s="32">
        <f>IF($B64="-","-",VLOOKUP(ROUND(CONCATENATE($A64,H$2),0),'Cadastro dos Padrões'!$A$2:$V$4400,H$1,FALSE))</f>
        <v>45733</v>
      </c>
      <c r="I64" s="33">
        <f>IF($B64="-","-",VLOOKUP(ROUND(CONCATENATE($A64,I$2),0),'Cadastro dos Padrões'!$A$2:$V$4400,I$1,FALSE))</f>
        <v>46112</v>
      </c>
      <c r="J64" s="31" t="str">
        <f>IF($B64="-","-",VLOOKUP(ROUND(CONCATENATE($A64,J$2),0),'Cadastro dos Padrões'!$A$2:$V$4400,J$1,FALSE))</f>
        <v>%ur</v>
      </c>
      <c r="K64" s="31">
        <f>IF($B64="-","-",VLOOKUP(ROUND(CONCATENATE($A64,K$2),0),'Cadastro dos Padrões'!$A$2:$V$4400,K$1,FALSE))</f>
        <v>30</v>
      </c>
      <c r="L64" s="31">
        <f>IF($B64="-","-",VLOOKUP(ROUND(CONCATENATE($A64,L$2),0),'Cadastro dos Padrões'!$A$2:$V$4400,L$1,FALSE))</f>
        <v>80</v>
      </c>
      <c r="M64" s="31">
        <f>IF($B64="-","-",VLOOKUP(ROUND(CONCATENATE($A64,M$2),0),'Cadastro dos Padrões'!$A$2:$V$4400,M$1,FALSE))</f>
        <v>1</v>
      </c>
      <c r="N64" s="31">
        <f>IF($B64="-","-",VLOOKUP(ROUND(CONCATENATE($A64,N$2),0),'Cadastro dos Padrões'!$A$2:$V$4400,N$1,FALSE))</f>
        <v>4</v>
      </c>
      <c r="O64" s="31">
        <f>IF($B64="-","-",VLOOKUP(ROUND(CONCATENATE($A64,O$2),0),'Cadastro dos Padrões'!$A$2:$V$4400,O$1,FALSE))</f>
        <v>2</v>
      </c>
      <c r="P64" s="31">
        <f>IF($B64="-","-",VLOOKUP(ROUND(CONCATENATE($A64,P$2),0),'Cadastro dos Padrões'!$A$2:$V$4400,P$1,FALSE))</f>
        <v>7</v>
      </c>
      <c r="Q64" s="31">
        <f>IF($B64="-","-",VLOOKUP(ROUND(CONCATENATE($A64,Q$2),0),'Cadastro dos Padrões'!$A$2:$V$4400,Q$1,FALSE))</f>
        <v>1.1270711351480074</v>
      </c>
      <c r="R64" s="31">
        <f>IF($B64="-","-",VLOOKUP(ROUND(CONCATENATE($A64,R$2),0),'Cadastro dos Padrões'!$A$2:$V$4400,R$1,FALSE))</f>
        <v>1</v>
      </c>
      <c r="S64" s="31">
        <f>IF($B64="-","-",VLOOKUP(ROUND(CONCATENATE($A64,S$2),0),'Cadastro dos Padrões'!$A$2:$V$4400,S$1,FALSE))</f>
        <v>0</v>
      </c>
      <c r="T64" s="31">
        <f>IF($B64="-","-",VLOOKUP(ROUND(CONCATENATE($A64,T$2),0),'Cadastro dos Padrões'!$A$2:$V$4400,T$1,FALSE))</f>
        <v>0</v>
      </c>
      <c r="U64" s="31">
        <f>IF($B64="-","-",VLOOKUP(ROUND(CONCATENATE($A64,U$2),0),'Cadastro dos Padrões'!$A$2:$V$4400,U$1,FALSE))</f>
        <v>0</v>
      </c>
      <c r="V64" s="31">
        <f>IF($B64="-","-",VLOOKUP(ROUND(CONCATENATE($A64,V$2),0),'Cadastro dos Padrões'!$A$2:$V$4400,V$1,FALSE))</f>
        <v>0</v>
      </c>
      <c r="W64" s="31">
        <f>IF($B64="-","-",VLOOKUP(ROUND(CONCATENATE($A64,W$2),0),'Cadastro dos Padrões'!$A$2:$V$4400,W$1,FALSE))</f>
        <v>0</v>
      </c>
      <c r="X64" s="31">
        <f>IF($B64="-","-",VLOOKUP(ROUND(CONCATENATE($A64,X$2),0),'Cadastro dos Padrões'!$A$2:$V$4400,X$1,FALSE))</f>
        <v>0</v>
      </c>
      <c r="Y64" s="31">
        <f>IF($B64="-","-",VLOOKUP(ROUND(CONCATENATE($A64,Y$2),0),'Cadastro dos Padrões'!$A$2:$V$4400,Y$1,FALSE))</f>
        <v>0</v>
      </c>
      <c r="Z64" s="31">
        <f>IF($B64="-","-",VLOOKUP(ROUND(CONCATENATE($A64,Z$2),0),'Cadastro dos Padrões'!$A$2:$V$4400,Z$1,FALSE))</f>
        <v>1.1573747353563866</v>
      </c>
      <c r="AA64" s="31">
        <f>IF($B64="-","-",VLOOKUP(ROUND(CONCATENATE($A64,AA$2),0),'Cadastro dos Padrões'!$A$2:$V$4400,AA$1,FALSE))</f>
        <v>-7.6217360621030181</v>
      </c>
      <c r="AB64" s="31">
        <f>IF(VLOOKUP(ROUND(CONCATENATE($A64,AB$2),0),'Cadastro dos Padrões'!$A$2:$V$4400,AB$1,FALSE)="","-",VLOOKUP(ROUND(CONCATENATE($A64,AB$2),0),'Cadastro dos Padrões'!$A$2:$V$4400,AB$1,FALSE))</f>
        <v>30</v>
      </c>
      <c r="AC64" s="31">
        <f>IF(VLOOKUP(ROUND(CONCATENATE($A64,AC$2),0),'Cadastro dos Padrões'!$A$2:$V$4400,AC$1,FALSE)="","-",VLOOKUP(ROUND(CONCATENATE($A64,AC$2),0),'Cadastro dos Padrões'!$A$2:$V$4400,AC$1,FALSE))</f>
        <v>2</v>
      </c>
      <c r="AD64" s="31">
        <f>IF(VLOOKUP(ROUND(CONCATENATE($A64,AD$2),0),'Cadastro dos Padrões'!$A$2:$V$4400,AD$1,FALSE)="","-",VLOOKUP(ROUND(CONCATENATE($A64,AD$2),0),'Cadastro dos Padrões'!$A$2:$V$4400,AD$1,FALSE))</f>
        <v>2</v>
      </c>
      <c r="AE64" s="31">
        <f>IF(VLOOKUP(ROUND(CONCATENATE($A64,AE$2),0),'Cadastro dos Padrões'!$A$2:$V$4400,AE$1,FALSE)="","-",VLOOKUP(ROUND(CONCATENATE($A64,AE$2),0),'Cadastro dos Padrões'!$A$2:$V$4400,AE$1,FALSE))</f>
        <v>1000000</v>
      </c>
      <c r="AF64" s="31">
        <f>IF(VLOOKUP(ROUND(CONCATENATE($A64,AF$2),0),'Cadastro dos Padrões'!$A$2:$V$4400,AF$1,FALSE)="","-",VLOOKUP(ROUND(CONCATENATE($A64,AF$2),0),'Cadastro dos Padrões'!$A$2:$V$4400,AF$1,FALSE))</f>
        <v>50</v>
      </c>
      <c r="AG64" s="31">
        <f>IF(VLOOKUP(ROUND(CONCATENATE($A64,AG$2),0),'Cadastro dos Padrões'!$A$2:$V$4400,AG$1,FALSE)="","-",VLOOKUP(ROUND(CONCATENATE($A64,AG$2),0),'Cadastro dos Padrões'!$A$2:$V$4400,AG$1,FALSE))</f>
        <v>2</v>
      </c>
      <c r="AH64" s="31">
        <f>IF(VLOOKUP(ROUND(CONCATENATE($A64,AH$2),0),'Cadastro dos Padrões'!$A$2:$V$4400,AH$1,FALSE)="","-",VLOOKUP(ROUND(CONCATENATE($A64,AH$2),0),'Cadastro dos Padrões'!$A$2:$V$4400,AH$1,FALSE))</f>
        <v>2</v>
      </c>
      <c r="AI64" s="31">
        <f>IF(VLOOKUP(ROUND(CONCATENATE($A64,AI$2),0),'Cadastro dos Padrões'!$A$2:$V$4400,AI$1,FALSE)="","-",VLOOKUP(ROUND(CONCATENATE($A64,AI$2),0),'Cadastro dos Padrões'!$A$2:$V$4400,AI$1,FALSE))</f>
        <v>1000000</v>
      </c>
      <c r="AJ64" s="31">
        <f>IF(VLOOKUP(ROUND(CONCATENATE($A64,AJ$2),0),'Cadastro dos Padrões'!$A$2:$V$4400,AJ$1,FALSE)="","-",VLOOKUP(ROUND(CONCATENATE($A64,AJ$2),0),'Cadastro dos Padrões'!$A$2:$V$4400,AJ$1,FALSE))</f>
        <v>80</v>
      </c>
      <c r="AK64" s="31">
        <f>IF(VLOOKUP(ROUND(CONCATENATE($A64,AK$2),0),'Cadastro dos Padrões'!$A$2:$V$4400,AK$1,FALSE)="","-",VLOOKUP(ROUND(CONCATENATE($A64,AK$2),0),'Cadastro dos Padrões'!$A$2:$V$4400,AK$1,FALSE))</f>
        <v>2</v>
      </c>
      <c r="AL64" s="31">
        <f>IF(VLOOKUP(ROUND(CONCATENATE($A64,AL$2),0),'Cadastro dos Padrões'!$A$2:$V$4400,AL$1,FALSE)="","-",VLOOKUP(ROUND(CONCATENATE($A64,AL$2),0),'Cadastro dos Padrões'!$A$2:$V$4400,AL$1,FALSE))</f>
        <v>2</v>
      </c>
      <c r="AM64" s="31">
        <f>IF(VLOOKUP(ROUND(CONCATENATE($A64,AM$2),0),'Cadastro dos Padrões'!$A$2:$V$4400,AM$1,FALSE)="","-",VLOOKUP(ROUND(CONCATENATE($A64,AM$2),0),'Cadastro dos Padrões'!$A$2:$V$4400,AM$1,FALSE))</f>
        <v>1000000</v>
      </c>
      <c r="AN64" s="31" t="str">
        <f>IF(VLOOKUP(ROUND(CONCATENATE($A64,AN$2),0),'Cadastro dos Padrões'!$A$2:$V$4400,AN$1,FALSE)="","-",VLOOKUP(ROUND(CONCATENATE($A64,AN$2),0),'Cadastro dos Padrões'!$A$2:$V$4400,AN$1,FALSE))</f>
        <v>-</v>
      </c>
      <c r="AO64" s="31" t="str">
        <f>IF(VLOOKUP(ROUND(CONCATENATE($A64,AO$2),0),'Cadastro dos Padrões'!$A$2:$V$4400,AO$1,FALSE)="","-",VLOOKUP(ROUND(CONCATENATE($A64,AO$2),0),'Cadastro dos Padrões'!$A$2:$V$4400,AO$1,FALSE))</f>
        <v>-</v>
      </c>
      <c r="AP64" s="31" t="str">
        <f>IF(VLOOKUP(ROUND(CONCATENATE($A64,AP$2),0),'Cadastro dos Padrões'!$A$2:$V$4400,AP$1,FALSE)="","-",VLOOKUP(ROUND(CONCATENATE($A64,AP$2),0),'Cadastro dos Padrões'!$A$2:$V$4400,AP$1,FALSE))</f>
        <v>-</v>
      </c>
      <c r="AQ64" s="31" t="str">
        <f>IF(VLOOKUP(ROUND(CONCATENATE($A64,AQ$2),0),'Cadastro dos Padrões'!$A$2:$V$4400,AQ$1,FALSE)="","-",VLOOKUP(ROUND(CONCATENATE($A64,AQ$2),0),'Cadastro dos Padrões'!$A$2:$V$4400,AQ$1,FALSE))</f>
        <v>-</v>
      </c>
      <c r="AR64" s="31" t="str">
        <f>IF(VLOOKUP(ROUND(CONCATENATE($A64,AR$2),0),'Cadastro dos Padrões'!$A$2:$V$4400,AR$1,FALSE)="","-",VLOOKUP(ROUND(CONCATENATE($A64,AR$2),0),'Cadastro dos Padrões'!$A$2:$V$4400,AR$1,FALSE))</f>
        <v>-</v>
      </c>
      <c r="AS64" s="31" t="str">
        <f>IF(VLOOKUP(ROUND(CONCATENATE($A64,AS$2),0),'Cadastro dos Padrões'!$A$2:$V$4400,AS$1,FALSE)="","-",VLOOKUP(ROUND(CONCATENATE($A64,AS$2),0),'Cadastro dos Padrões'!$A$2:$V$4400,AS$1,FALSE))</f>
        <v>-</v>
      </c>
      <c r="AT64" s="31" t="str">
        <f>IF(VLOOKUP(ROUND(CONCATENATE($A64,AT$2),0),'Cadastro dos Padrões'!$A$2:$V$4400,AT$1,FALSE)="","-",VLOOKUP(ROUND(CONCATENATE($A64,AT$2),0),'Cadastro dos Padrões'!$A$2:$V$4400,AT$1,FALSE))</f>
        <v>-</v>
      </c>
      <c r="AU64" s="31" t="str">
        <f>IF(VLOOKUP(ROUND(CONCATENATE($A64,AU$2),0),'Cadastro dos Padrões'!$A$2:$V$4400,AU$1,FALSE)="","-",VLOOKUP(ROUND(CONCATENATE($A64,AU$2),0),'Cadastro dos Padrões'!$A$2:$V$4400,AU$1,FALSE))</f>
        <v>-</v>
      </c>
      <c r="AV64" s="31" t="str">
        <f>IF(VLOOKUP(ROUND(CONCATENATE($A64,AV$2),0),'Cadastro dos Padrões'!$A$2:$V$4400,AV$1,FALSE)="","-",VLOOKUP(ROUND(CONCATENATE($A64,AV$2),0),'Cadastro dos Padrões'!$A$2:$V$4400,AV$1,FALSE))</f>
        <v>-</v>
      </c>
      <c r="AW64" s="31" t="str">
        <f>IF(VLOOKUP(ROUND(CONCATENATE($A64,AW$2),0),'Cadastro dos Padrões'!$A$2:$V$4400,AW$1,FALSE)="","-",VLOOKUP(ROUND(CONCATENATE($A64,AW$2),0),'Cadastro dos Padrões'!$A$2:$V$4400,AW$1,FALSE))</f>
        <v>-</v>
      </c>
      <c r="AX64" s="31" t="str">
        <f>IF(VLOOKUP(ROUND(CONCATENATE($A64,AX$2),0),'Cadastro dos Padrões'!$A$2:$V$4400,AX$1,FALSE)="","-",VLOOKUP(ROUND(CONCATENATE($A64,AX$2),0),'Cadastro dos Padrões'!$A$2:$V$4400,AX$1,FALSE))</f>
        <v>-</v>
      </c>
      <c r="AY64" s="31" t="str">
        <f>IF(VLOOKUP(ROUND(CONCATENATE($A64,AY$2),0),'Cadastro dos Padrões'!$A$2:$V$4400,AY$1,FALSE)="","-",VLOOKUP(ROUND(CONCATENATE($A64,AY$2),0),'Cadastro dos Padrões'!$A$2:$V$4400,AY$1,FALSE))</f>
        <v>-</v>
      </c>
      <c r="AZ64" s="31" t="str">
        <f>IF(VLOOKUP(ROUND(CONCATENATE($A64,AZ$2),0),'Cadastro dos Padrões'!$A$2:$V$4400,AZ$1,FALSE)="","-",VLOOKUP(ROUND(CONCATENATE($A64,AZ$2),0),'Cadastro dos Padrões'!$A$2:$V$4400,AZ$1,FALSE))</f>
        <v>-</v>
      </c>
      <c r="BA64" s="31" t="str">
        <f>IF(VLOOKUP(ROUND(CONCATENATE($A64,BA$2),0),'Cadastro dos Padrões'!$A$2:$V$4400,BA$1,FALSE)="","-",VLOOKUP(ROUND(CONCATENATE($A64,BA$2),0),'Cadastro dos Padrões'!$A$2:$V$4400,BA$1,FALSE))</f>
        <v>-</v>
      </c>
      <c r="BB64" s="31" t="str">
        <f>IF(VLOOKUP(ROUND(CONCATENATE($A64,BB$2),0),'Cadastro dos Padrões'!$A$2:$V$4400,BB$1,FALSE)="","-",VLOOKUP(ROUND(CONCATENATE($A64,BB$2),0),'Cadastro dos Padrões'!$A$2:$V$4400,BB$1,FALSE))</f>
        <v>-</v>
      </c>
      <c r="BC64" s="31" t="str">
        <f>IF(VLOOKUP(ROUND(CONCATENATE($A64,BC$2),0),'Cadastro dos Padrões'!$A$2:$V$4400,BC$1,FALSE)="","-",VLOOKUP(ROUND(CONCATENATE($A64,BC$2),0),'Cadastro dos Padrões'!$A$2:$V$4400,BC$1,FALSE))</f>
        <v>-</v>
      </c>
      <c r="BD64" s="31" t="str">
        <f>IF(VLOOKUP(ROUND(CONCATENATE($A64,BD$2),0),'Cadastro dos Padrões'!$A$2:$V$4400,BD$1,FALSE)="","-",VLOOKUP(ROUND(CONCATENATE($A64,BD$2),0),'Cadastro dos Padrões'!$A$2:$V$4400,BD$1,FALSE))</f>
        <v>-</v>
      </c>
      <c r="BE64" s="31" t="str">
        <f>IF(VLOOKUP(ROUND(CONCATENATE($A64,BE$2),0),'Cadastro dos Padrões'!$A$2:$V$4400,BE$1,FALSE)="","-",VLOOKUP(ROUND(CONCATENATE($A64,BE$2),0),'Cadastro dos Padrões'!$A$2:$V$4400,BE$1,FALSE))</f>
        <v>-</v>
      </c>
      <c r="BF64" s="31" t="str">
        <f>IF(VLOOKUP(ROUND(CONCATENATE($A64,BF$2),0),'Cadastro dos Padrões'!$A$2:$V$4400,BF$1,FALSE)="","-",VLOOKUP(ROUND(CONCATENATE($A64,BF$2),0),'Cadastro dos Padrões'!$A$2:$V$4400,BF$1,FALSE))</f>
        <v>-</v>
      </c>
      <c r="BG64" s="31" t="str">
        <f>IF(VLOOKUP(ROUND(CONCATENATE($A64,BG$2),0),'Cadastro dos Padrões'!$A$2:$V$4400,BG$1,FALSE)="","-",VLOOKUP(ROUND(CONCATENATE($A64,BG$2),0),'Cadastro dos Padrões'!$A$2:$V$4400,BG$1,FALSE))</f>
        <v>-</v>
      </c>
      <c r="BH64" s="31" t="str">
        <f>IF(VLOOKUP(ROUND(CONCATENATE($A64,BH$2),0),'Cadastro dos Padrões'!$A$2:$V$4400,BH$1,FALSE)="","-",VLOOKUP(ROUND(CONCATENATE($A64,BH$2),0),'Cadastro dos Padrões'!$A$2:$V$4400,BH$1,FALSE))</f>
        <v>-</v>
      </c>
      <c r="BI64" s="31" t="str">
        <f>IF(VLOOKUP(ROUND(CONCATENATE($A64,BI$2),0),'Cadastro dos Padrões'!$A$2:$V$4400,BI$1,FALSE)="","-",VLOOKUP(ROUND(CONCATENATE($A64,BI$2),0),'Cadastro dos Padrões'!$A$2:$V$4400,BI$1,FALSE))</f>
        <v>-</v>
      </c>
      <c r="BJ64" s="31" t="str">
        <f>IF(VLOOKUP(ROUND(CONCATENATE($A64,BJ$2),0),'Cadastro dos Padrões'!$A$2:$V$4400,BJ$1,FALSE)="","-",VLOOKUP(ROUND(CONCATENATE($A64,BJ$2),0),'Cadastro dos Padrões'!$A$2:$V$4400,BJ$1,FALSE))</f>
        <v>-</v>
      </c>
      <c r="BK64" s="31" t="str">
        <f>IF(VLOOKUP(ROUND(CONCATENATE($A64,BK$2),0),'Cadastro dos Padrões'!$A$2:$V$4400,BK$1,FALSE)="","-",VLOOKUP(ROUND(CONCATENATE($A64,BK$2),0),'Cadastro dos Padrões'!$A$2:$V$4400,BK$1,FALSE))</f>
        <v>-</v>
      </c>
      <c r="BL64" s="31" t="str">
        <f>IF(VLOOKUP(ROUND(CONCATENATE($A64,BL$2),0),'Cadastro dos Padrões'!$A$2:$V$4400,BL$1,FALSE)="","-",VLOOKUP(ROUND(CONCATENATE($A64,BL$2),0),'Cadastro dos Padrões'!$A$2:$V$4400,BL$1,FALSE))</f>
        <v>-</v>
      </c>
      <c r="BM64" s="31" t="str">
        <f>IF(VLOOKUP(ROUND(CONCATENATE($A64,BM$2),0),'Cadastro dos Padrões'!$A$2:$V$4400,BM$1,FALSE)="","-",VLOOKUP(ROUND(CONCATENATE($A64,BM$2),0),'Cadastro dos Padrões'!$A$2:$V$4400,BM$1,FALSE))</f>
        <v>-</v>
      </c>
      <c r="BN64" s="31" t="str">
        <f>IF(VLOOKUP(ROUND(CONCATENATE($A64,BN$2),0),'Cadastro dos Padrões'!$A$2:$V$4400,BN$1,FALSE)="","-",VLOOKUP(ROUND(CONCATENATE($A64,BN$2),0),'Cadastro dos Padrões'!$A$2:$V$4400,BN$1,FALSE))</f>
        <v>-</v>
      </c>
      <c r="BO64" s="31" t="str">
        <f>IF(VLOOKUP(ROUND(CONCATENATE($A64,BO$2),0),'Cadastro dos Padrões'!$A$2:$V$4400,BO$1,FALSE)="","-",VLOOKUP(ROUND(CONCATENATE($A64,BO$2),0),'Cadastro dos Padrões'!$A$2:$V$4400,BO$1,FALSE))</f>
        <v>-</v>
      </c>
    </row>
    <row r="65" spans="1:67" x14ac:dyDescent="0.3">
      <c r="A65" s="6">
        <f t="shared" si="52"/>
        <v>60</v>
      </c>
      <c r="B65" s="31" t="str">
        <f>IF(VLOOKUP(ROUND(CONCATENATE($A65,B$2),0),'Cadastro dos Padrões'!$A$2:$V$4400,B$1,FALSE)="","-",VLOOKUP(ROUND(CONCATENATE($A65,B$2),0),'Cadastro dos Padrões'!$A$2:$V$4400,B$1,FALSE))</f>
        <v>EL-1217</v>
      </c>
      <c r="C65" s="31" t="str">
        <f>IF($B65="-","-",VLOOKUP(ROUND(CONCATENATE($A65,C$2),0),'Cadastro dos Padrões'!$A$2:$V$4400,C$1,FALSE))</f>
        <v>Termohigrômetro Digital</v>
      </c>
      <c r="D65" s="31">
        <f>IF($B65="-","-",VLOOKUP(ROUND(CONCATENATE($A65,D$2),0),'Cadastro dos Padrões'!$A$2:$V$4400,D$1,FALSE))</f>
        <v>20</v>
      </c>
      <c r="E65" s="31" t="str">
        <f>IF($B65="-","-",VLOOKUP(ROUND(CONCATENATE($A65,E$2),0),'Cadastro dos Padrões'!$A$2:$V$4400,E$1,FALSE))</f>
        <v>Elus</v>
      </c>
      <c r="F65" s="31" t="str">
        <f>IF($B65="-","-",VLOOKUP(ROUND(CONCATENATE($A65,F$2),0),'Cadastro dos Padrões'!$A$2:$V$4400,F$1,FALSE))</f>
        <v>RBC - CAL 0439</v>
      </c>
      <c r="G65" s="31" t="str">
        <f>IF($B65="-","-",VLOOKUP(ROUND(CONCATENATE($A65,G$2),0),'Cadastro dos Padrões'!$A$2:$V$4400,G$1,FALSE))</f>
        <v>R0015/24</v>
      </c>
      <c r="H65" s="32">
        <f>IF($B65="-","-",VLOOKUP(ROUND(CONCATENATE($A65,H$2),0),'Cadastro dos Padrões'!$A$2:$V$4400,H$1,FALSE))</f>
        <v>45373</v>
      </c>
      <c r="I65" s="33">
        <f>IF($B65="-","-",VLOOKUP(ROUND(CONCATENATE($A65,I$2),0),'Cadastro dos Padrões'!$A$2:$V$4400,I$1,FALSE))</f>
        <v>45747</v>
      </c>
      <c r="J65" s="31" t="str">
        <f>IF($B65="-","-",VLOOKUP(ROUND(CONCATENATE($A65,J$2),0),'Cadastro dos Padrões'!$A$2:$V$4400,J$1,FALSE))</f>
        <v>%ur</v>
      </c>
      <c r="K65" s="31">
        <f>IF($B65="-","-",VLOOKUP(ROUND(CONCATENATE($A65,K$2),0),'Cadastro dos Padrões'!$A$2:$V$4400,K$1,FALSE))</f>
        <v>30</v>
      </c>
      <c r="L65" s="31">
        <f>IF($B65="-","-",VLOOKUP(ROUND(CONCATENATE($A65,L$2),0),'Cadastro dos Padrões'!$A$2:$V$4400,L$1,FALSE))</f>
        <v>80</v>
      </c>
      <c r="M65" s="31">
        <f>IF($B65="-","-",VLOOKUP(ROUND(CONCATENATE($A65,M$2),0),'Cadastro dos Padrões'!$A$2:$V$4400,M$1,FALSE))</f>
        <v>1</v>
      </c>
      <c r="N65" s="31">
        <f>IF($B65="-","-",VLOOKUP(ROUND(CONCATENATE($A65,N$2),0),'Cadastro dos Padrões'!$A$2:$V$4400,N$1,FALSE))</f>
        <v>5</v>
      </c>
      <c r="O65" s="31">
        <f>IF($B65="-","-",VLOOKUP(ROUND(CONCATENATE($A65,O$2),0),'Cadastro dos Padrões'!$A$2:$V$4400,O$1,FALSE))</f>
        <v>2</v>
      </c>
      <c r="P65" s="31">
        <f>IF($B65="-","-",VLOOKUP(ROUND(CONCATENATE($A65,P$2),0),'Cadastro dos Padrões'!$A$2:$V$4400,P$1,FALSE))</f>
        <v>3</v>
      </c>
      <c r="Q65" s="31">
        <f>IF($B65="-","-",VLOOKUP(ROUND(CONCATENATE($A65,Q$2),0),'Cadastro dos Padrões'!$A$2:$V$4400,Q$1,FALSE))</f>
        <v>0.67728546147860413</v>
      </c>
      <c r="R65" s="31">
        <f>IF($B65="-","-",VLOOKUP(ROUND(CONCATENATE($A65,R$2),0),'Cadastro dos Padrões'!$A$2:$V$4400,R$1,FALSE))</f>
        <v>1</v>
      </c>
      <c r="S65" s="31">
        <f>IF($B65="-","-",VLOOKUP(ROUND(CONCATENATE($A65,S$2),0),'Cadastro dos Padrões'!$A$2:$V$4400,S$1,FALSE))</f>
        <v>0</v>
      </c>
      <c r="T65" s="31">
        <f>IF($B65="-","-",VLOOKUP(ROUND(CONCATENATE($A65,T$2),0),'Cadastro dos Padrões'!$A$2:$V$4400,T$1,FALSE))</f>
        <v>0</v>
      </c>
      <c r="U65" s="31">
        <f>IF($B65="-","-",VLOOKUP(ROUND(CONCATENATE($A65,U$2),0),'Cadastro dos Padrões'!$A$2:$V$4400,U$1,FALSE))</f>
        <v>0</v>
      </c>
      <c r="V65" s="31">
        <f>IF($B65="-","-",VLOOKUP(ROUND(CONCATENATE($A65,V$2),0),'Cadastro dos Padrões'!$A$2:$V$4400,V$1,FALSE))</f>
        <v>0</v>
      </c>
      <c r="W65" s="31">
        <f>IF($B65="-","-",VLOOKUP(ROUND(CONCATENATE($A65,W$2),0),'Cadastro dos Padrões'!$A$2:$V$4400,W$1,FALSE))</f>
        <v>0</v>
      </c>
      <c r="X65" s="31">
        <f>IF($B65="-","-",VLOOKUP(ROUND(CONCATENATE($A65,X$2),0),'Cadastro dos Padrões'!$A$2:$V$4400,X$1,FALSE))</f>
        <v>0</v>
      </c>
      <c r="Y65" s="31">
        <f>IF($B65="-","-",VLOOKUP(ROUND(CONCATENATE($A65,Y$2),0),'Cadastro dos Padrões'!$A$2:$V$4400,Y$1,FALSE))</f>
        <v>0</v>
      </c>
      <c r="Z65" s="31">
        <f>IF($B65="-","-",VLOOKUP(ROUND(CONCATENATE($A65,Z$2),0),'Cadastro dos Padrões'!$A$2:$V$4400,Z$1,FALSE))</f>
        <v>1.0435779816513759</v>
      </c>
      <c r="AA65" s="31">
        <f>IF($B65="-","-",VLOOKUP(ROUND(CONCATENATE($A65,AA$2),0),'Cadastro dos Padrões'!$A$2:$V$4400,AA$1,FALSE))</f>
        <v>1.5022935779816677</v>
      </c>
      <c r="AB65" s="31">
        <f>IF(VLOOKUP(ROUND(CONCATENATE($A65,AB$2),0),'Cadastro dos Padrões'!$A$2:$V$4400,AB$1,FALSE)="","-",VLOOKUP(ROUND(CONCATENATE($A65,AB$2),0),'Cadastro dos Padrões'!$A$2:$V$4400,AB$1,FALSE))</f>
        <v>30</v>
      </c>
      <c r="AC65" s="31">
        <f>IF(VLOOKUP(ROUND(CONCATENATE($A65,AC$2),0),'Cadastro dos Padrões'!$A$2:$V$4400,AC$1,FALSE)="","-",VLOOKUP(ROUND(CONCATENATE($A65,AC$2),0),'Cadastro dos Padrões'!$A$2:$V$4400,AC$1,FALSE))</f>
        <v>2</v>
      </c>
      <c r="AD65" s="31">
        <f>IF(VLOOKUP(ROUND(CONCATENATE($A65,AD$2),0),'Cadastro dos Padrões'!$A$2:$V$4400,AD$1,FALSE)="","-",VLOOKUP(ROUND(CONCATENATE($A65,AD$2),0),'Cadastro dos Padrões'!$A$2:$V$4400,AD$1,FALSE))</f>
        <v>2</v>
      </c>
      <c r="AE65" s="31">
        <f>IF(VLOOKUP(ROUND(CONCATENATE($A65,AE$2),0),'Cadastro dos Padrões'!$A$2:$V$4400,AE$1,FALSE)="","-",VLOOKUP(ROUND(CONCATENATE($A65,AE$2),0),'Cadastro dos Padrões'!$A$2:$V$4400,AE$1,FALSE))</f>
        <v>1000000</v>
      </c>
      <c r="AF65" s="31">
        <f>IF(VLOOKUP(ROUND(CONCATENATE($A65,AF$2),0),'Cadastro dos Padrões'!$A$2:$V$4400,AF$1,FALSE)="","-",VLOOKUP(ROUND(CONCATENATE($A65,AF$2),0),'Cadastro dos Padrões'!$A$2:$V$4400,AF$1,FALSE))</f>
        <v>50</v>
      </c>
      <c r="AG65" s="31">
        <f>IF(VLOOKUP(ROUND(CONCATENATE($A65,AG$2),0),'Cadastro dos Padrões'!$A$2:$V$4400,AG$1,FALSE)="","-",VLOOKUP(ROUND(CONCATENATE($A65,AG$2),0),'Cadastro dos Padrões'!$A$2:$V$4400,AG$1,FALSE))</f>
        <v>2</v>
      </c>
      <c r="AH65" s="31">
        <f>IF(VLOOKUP(ROUND(CONCATENATE($A65,AH$2),0),'Cadastro dos Padrões'!$A$2:$V$4400,AH$1,FALSE)="","-",VLOOKUP(ROUND(CONCATENATE($A65,AH$2),0),'Cadastro dos Padrões'!$A$2:$V$4400,AH$1,FALSE))</f>
        <v>2</v>
      </c>
      <c r="AI65" s="31">
        <f>IF(VLOOKUP(ROUND(CONCATENATE($A65,AI$2),0),'Cadastro dos Padrões'!$A$2:$V$4400,AI$1,FALSE)="","-",VLOOKUP(ROUND(CONCATENATE($A65,AI$2),0),'Cadastro dos Padrões'!$A$2:$V$4400,AI$1,FALSE))</f>
        <v>1000000</v>
      </c>
      <c r="AJ65" s="31">
        <f>IF(VLOOKUP(ROUND(CONCATENATE($A65,AJ$2),0),'Cadastro dos Padrões'!$A$2:$V$4400,AJ$1,FALSE)="","-",VLOOKUP(ROUND(CONCATENATE($A65,AJ$2),0),'Cadastro dos Padrões'!$A$2:$V$4400,AJ$1,FALSE))</f>
        <v>80</v>
      </c>
      <c r="AK65" s="31">
        <f>IF(VLOOKUP(ROUND(CONCATENATE($A65,AK$2),0),'Cadastro dos Padrões'!$A$2:$V$4400,AK$1,FALSE)="","-",VLOOKUP(ROUND(CONCATENATE($A65,AK$2),0),'Cadastro dos Padrões'!$A$2:$V$4400,AK$1,FALSE))</f>
        <v>2</v>
      </c>
      <c r="AL65" s="31">
        <f>IF(VLOOKUP(ROUND(CONCATENATE($A65,AL$2),0),'Cadastro dos Padrões'!$A$2:$V$4400,AL$1,FALSE)="","-",VLOOKUP(ROUND(CONCATENATE($A65,AL$2),0),'Cadastro dos Padrões'!$A$2:$V$4400,AL$1,FALSE))</f>
        <v>2</v>
      </c>
      <c r="AM65" s="31">
        <f>IF(VLOOKUP(ROUND(CONCATENATE($A65,AM$2),0),'Cadastro dos Padrões'!$A$2:$V$4400,AM$1,FALSE)="","-",VLOOKUP(ROUND(CONCATENATE($A65,AM$2),0),'Cadastro dos Padrões'!$A$2:$V$4400,AM$1,FALSE))</f>
        <v>1000000</v>
      </c>
      <c r="AN65" s="31" t="str">
        <f>IF(VLOOKUP(ROUND(CONCATENATE($A65,AN$2),0),'Cadastro dos Padrões'!$A$2:$V$4400,AN$1,FALSE)="","-",VLOOKUP(ROUND(CONCATENATE($A65,AN$2),0),'Cadastro dos Padrões'!$A$2:$V$4400,AN$1,FALSE))</f>
        <v>-</v>
      </c>
      <c r="AO65" s="31" t="str">
        <f>IF(VLOOKUP(ROUND(CONCATENATE($A65,AO$2),0),'Cadastro dos Padrões'!$A$2:$V$4400,AO$1,FALSE)="","-",VLOOKUP(ROUND(CONCATENATE($A65,AO$2),0),'Cadastro dos Padrões'!$A$2:$V$4400,AO$1,FALSE))</f>
        <v>-</v>
      </c>
      <c r="AP65" s="31" t="str">
        <f>IF(VLOOKUP(ROUND(CONCATENATE($A65,AP$2),0),'Cadastro dos Padrões'!$A$2:$V$4400,AP$1,FALSE)="","-",VLOOKUP(ROUND(CONCATENATE($A65,AP$2),0),'Cadastro dos Padrões'!$A$2:$V$4400,AP$1,FALSE))</f>
        <v>-</v>
      </c>
      <c r="AQ65" s="31" t="str">
        <f>IF(VLOOKUP(ROUND(CONCATENATE($A65,AQ$2),0),'Cadastro dos Padrões'!$A$2:$V$4400,AQ$1,FALSE)="","-",VLOOKUP(ROUND(CONCATENATE($A65,AQ$2),0),'Cadastro dos Padrões'!$A$2:$V$4400,AQ$1,FALSE))</f>
        <v>-</v>
      </c>
      <c r="AR65" s="31" t="str">
        <f>IF(VLOOKUP(ROUND(CONCATENATE($A65,AR$2),0),'Cadastro dos Padrões'!$A$2:$V$4400,AR$1,FALSE)="","-",VLOOKUP(ROUND(CONCATENATE($A65,AR$2),0),'Cadastro dos Padrões'!$A$2:$V$4400,AR$1,FALSE))</f>
        <v>-</v>
      </c>
      <c r="AS65" s="31" t="str">
        <f>IF(VLOOKUP(ROUND(CONCATENATE($A65,AS$2),0),'Cadastro dos Padrões'!$A$2:$V$4400,AS$1,FALSE)="","-",VLOOKUP(ROUND(CONCATENATE($A65,AS$2),0),'Cadastro dos Padrões'!$A$2:$V$4400,AS$1,FALSE))</f>
        <v>-</v>
      </c>
      <c r="AT65" s="31" t="str">
        <f>IF(VLOOKUP(ROUND(CONCATENATE($A65,AT$2),0),'Cadastro dos Padrões'!$A$2:$V$4400,AT$1,FALSE)="","-",VLOOKUP(ROUND(CONCATENATE($A65,AT$2),0),'Cadastro dos Padrões'!$A$2:$V$4400,AT$1,FALSE))</f>
        <v>-</v>
      </c>
      <c r="AU65" s="31" t="str">
        <f>IF(VLOOKUP(ROUND(CONCATENATE($A65,AU$2),0),'Cadastro dos Padrões'!$A$2:$V$4400,AU$1,FALSE)="","-",VLOOKUP(ROUND(CONCATENATE($A65,AU$2),0),'Cadastro dos Padrões'!$A$2:$V$4400,AU$1,FALSE))</f>
        <v>-</v>
      </c>
      <c r="AV65" s="31" t="str">
        <f>IF(VLOOKUP(ROUND(CONCATENATE($A65,AV$2),0),'Cadastro dos Padrões'!$A$2:$V$4400,AV$1,FALSE)="","-",VLOOKUP(ROUND(CONCATENATE($A65,AV$2),0),'Cadastro dos Padrões'!$A$2:$V$4400,AV$1,FALSE))</f>
        <v>-</v>
      </c>
      <c r="AW65" s="31" t="str">
        <f>IF(VLOOKUP(ROUND(CONCATENATE($A65,AW$2),0),'Cadastro dos Padrões'!$A$2:$V$4400,AW$1,FALSE)="","-",VLOOKUP(ROUND(CONCATENATE($A65,AW$2),0),'Cadastro dos Padrões'!$A$2:$V$4400,AW$1,FALSE))</f>
        <v>-</v>
      </c>
      <c r="AX65" s="31" t="str">
        <f>IF(VLOOKUP(ROUND(CONCATENATE($A65,AX$2),0),'Cadastro dos Padrões'!$A$2:$V$4400,AX$1,FALSE)="","-",VLOOKUP(ROUND(CONCATENATE($A65,AX$2),0),'Cadastro dos Padrões'!$A$2:$V$4400,AX$1,FALSE))</f>
        <v>-</v>
      </c>
      <c r="AY65" s="31" t="str">
        <f>IF(VLOOKUP(ROUND(CONCATENATE($A65,AY$2),0),'Cadastro dos Padrões'!$A$2:$V$4400,AY$1,FALSE)="","-",VLOOKUP(ROUND(CONCATENATE($A65,AY$2),0),'Cadastro dos Padrões'!$A$2:$V$4400,AY$1,FALSE))</f>
        <v>-</v>
      </c>
      <c r="AZ65" s="31" t="str">
        <f>IF(VLOOKUP(ROUND(CONCATENATE($A65,AZ$2),0),'Cadastro dos Padrões'!$A$2:$V$4400,AZ$1,FALSE)="","-",VLOOKUP(ROUND(CONCATENATE($A65,AZ$2),0),'Cadastro dos Padrões'!$A$2:$V$4400,AZ$1,FALSE))</f>
        <v>-</v>
      </c>
      <c r="BA65" s="31" t="str">
        <f>IF(VLOOKUP(ROUND(CONCATENATE($A65,BA$2),0),'Cadastro dos Padrões'!$A$2:$V$4400,BA$1,FALSE)="","-",VLOOKUP(ROUND(CONCATENATE($A65,BA$2),0),'Cadastro dos Padrões'!$A$2:$V$4400,BA$1,FALSE))</f>
        <v>-</v>
      </c>
      <c r="BB65" s="31" t="str">
        <f>IF(VLOOKUP(ROUND(CONCATENATE($A65,BB$2),0),'Cadastro dos Padrões'!$A$2:$V$4400,BB$1,FALSE)="","-",VLOOKUP(ROUND(CONCATENATE($A65,BB$2),0),'Cadastro dos Padrões'!$A$2:$V$4400,BB$1,FALSE))</f>
        <v>-</v>
      </c>
      <c r="BC65" s="31" t="str">
        <f>IF(VLOOKUP(ROUND(CONCATENATE($A65,BC$2),0),'Cadastro dos Padrões'!$A$2:$V$4400,BC$1,FALSE)="","-",VLOOKUP(ROUND(CONCATENATE($A65,BC$2),0),'Cadastro dos Padrões'!$A$2:$V$4400,BC$1,FALSE))</f>
        <v>-</v>
      </c>
      <c r="BD65" s="31" t="str">
        <f>IF(VLOOKUP(ROUND(CONCATENATE($A65,BD$2),0),'Cadastro dos Padrões'!$A$2:$V$4400,BD$1,FALSE)="","-",VLOOKUP(ROUND(CONCATENATE($A65,BD$2),0),'Cadastro dos Padrões'!$A$2:$V$4400,BD$1,FALSE))</f>
        <v>-</v>
      </c>
      <c r="BE65" s="31" t="str">
        <f>IF(VLOOKUP(ROUND(CONCATENATE($A65,BE$2),0),'Cadastro dos Padrões'!$A$2:$V$4400,BE$1,FALSE)="","-",VLOOKUP(ROUND(CONCATENATE($A65,BE$2),0),'Cadastro dos Padrões'!$A$2:$V$4400,BE$1,FALSE))</f>
        <v>-</v>
      </c>
      <c r="BF65" s="31" t="str">
        <f>IF(VLOOKUP(ROUND(CONCATENATE($A65,BF$2),0),'Cadastro dos Padrões'!$A$2:$V$4400,BF$1,FALSE)="","-",VLOOKUP(ROUND(CONCATENATE($A65,BF$2),0),'Cadastro dos Padrões'!$A$2:$V$4400,BF$1,FALSE))</f>
        <v>-</v>
      </c>
      <c r="BG65" s="31" t="str">
        <f>IF(VLOOKUP(ROUND(CONCATENATE($A65,BG$2),0),'Cadastro dos Padrões'!$A$2:$V$4400,BG$1,FALSE)="","-",VLOOKUP(ROUND(CONCATENATE($A65,BG$2),0),'Cadastro dos Padrões'!$A$2:$V$4400,BG$1,FALSE))</f>
        <v>-</v>
      </c>
      <c r="BH65" s="31" t="str">
        <f>IF(VLOOKUP(ROUND(CONCATENATE($A65,BH$2),0),'Cadastro dos Padrões'!$A$2:$V$4400,BH$1,FALSE)="","-",VLOOKUP(ROUND(CONCATENATE($A65,BH$2),0),'Cadastro dos Padrões'!$A$2:$V$4400,BH$1,FALSE))</f>
        <v>-</v>
      </c>
      <c r="BI65" s="31" t="str">
        <f>IF(VLOOKUP(ROUND(CONCATENATE($A65,BI$2),0),'Cadastro dos Padrões'!$A$2:$V$4400,BI$1,FALSE)="","-",VLOOKUP(ROUND(CONCATENATE($A65,BI$2),0),'Cadastro dos Padrões'!$A$2:$V$4400,BI$1,FALSE))</f>
        <v>-</v>
      </c>
      <c r="BJ65" s="31" t="str">
        <f>IF(VLOOKUP(ROUND(CONCATENATE($A65,BJ$2),0),'Cadastro dos Padrões'!$A$2:$V$4400,BJ$1,FALSE)="","-",VLOOKUP(ROUND(CONCATENATE($A65,BJ$2),0),'Cadastro dos Padrões'!$A$2:$V$4400,BJ$1,FALSE))</f>
        <v>-</v>
      </c>
      <c r="BK65" s="31" t="str">
        <f>IF(VLOOKUP(ROUND(CONCATENATE($A65,BK$2),0),'Cadastro dos Padrões'!$A$2:$V$4400,BK$1,FALSE)="","-",VLOOKUP(ROUND(CONCATENATE($A65,BK$2),0),'Cadastro dos Padrões'!$A$2:$V$4400,BK$1,FALSE))</f>
        <v>-</v>
      </c>
      <c r="BL65" s="31" t="str">
        <f>IF(VLOOKUP(ROUND(CONCATENATE($A65,BL$2),0),'Cadastro dos Padrões'!$A$2:$V$4400,BL$1,FALSE)="","-",VLOOKUP(ROUND(CONCATENATE($A65,BL$2),0),'Cadastro dos Padrões'!$A$2:$V$4400,BL$1,FALSE))</f>
        <v>-</v>
      </c>
      <c r="BM65" s="31" t="str">
        <f>IF(VLOOKUP(ROUND(CONCATENATE($A65,BM$2),0),'Cadastro dos Padrões'!$A$2:$V$4400,BM$1,FALSE)="","-",VLOOKUP(ROUND(CONCATENATE($A65,BM$2),0),'Cadastro dos Padrões'!$A$2:$V$4400,BM$1,FALSE))</f>
        <v>-</v>
      </c>
      <c r="BN65" s="31" t="str">
        <f>IF(VLOOKUP(ROUND(CONCATENATE($A65,BN$2),0),'Cadastro dos Padrões'!$A$2:$V$4400,BN$1,FALSE)="","-",VLOOKUP(ROUND(CONCATENATE($A65,BN$2),0),'Cadastro dos Padrões'!$A$2:$V$4400,BN$1,FALSE))</f>
        <v>-</v>
      </c>
      <c r="BO65" s="31" t="str">
        <f>IF(VLOOKUP(ROUND(CONCATENATE($A65,BO$2),0),'Cadastro dos Padrões'!$A$2:$V$4400,BO$1,FALSE)="","-",VLOOKUP(ROUND(CONCATENATE($A65,BO$2),0),'Cadastro dos Padrões'!$A$2:$V$4400,BO$1,FALSE))</f>
        <v>-</v>
      </c>
    </row>
    <row r="66" spans="1:67" x14ac:dyDescent="0.3">
      <c r="A66" s="6">
        <f t="shared" si="52"/>
        <v>61</v>
      </c>
      <c r="B66" s="31" t="str">
        <f>IF(VLOOKUP(ROUND(CONCATENATE($A66,B$2),0),'Cadastro dos Padrões'!$A$2:$V$4400,B$1,FALSE)="","-",VLOOKUP(ROUND(CONCATENATE($A66,B$2),0),'Cadastro dos Padrões'!$A$2:$V$4400,B$1,FALSE))</f>
        <v>EL-1235</v>
      </c>
      <c r="C66" s="31" t="str">
        <f>IF($B66="-","-",VLOOKUP(ROUND(CONCATENATE($A66,C$2),0),'Cadastro dos Padrões'!$A$2:$V$4400,C$1,FALSE))</f>
        <v>Termohigrômetro Digital</v>
      </c>
      <c r="D66" s="31">
        <f>IF($B66="-","-",VLOOKUP(ROUND(CONCATENATE($A66,D$2),0),'Cadastro dos Padrões'!$A$2:$V$4400,D$1,FALSE))</f>
        <v>20</v>
      </c>
      <c r="E66" s="31" t="str">
        <f>IF($B66="-","-",VLOOKUP(ROUND(CONCATENATE($A66,E$2),0),'Cadastro dos Padrões'!$A$2:$V$4400,E$1,FALSE))</f>
        <v>Elus</v>
      </c>
      <c r="F66" s="31" t="str">
        <f>IF($B66="-","-",VLOOKUP(ROUND(CONCATENATE($A66,F$2),0),'Cadastro dos Padrões'!$A$2:$V$4400,F$1,FALSE))</f>
        <v>RBC - CAL 0439</v>
      </c>
      <c r="G66" s="31" t="str">
        <f>IF($B66="-","-",VLOOKUP(ROUND(CONCATENATE($A66,G$2),0),'Cadastro dos Padrões'!$A$2:$V$4400,G$1,FALSE))</f>
        <v>E22554/23</v>
      </c>
      <c r="H66" s="32">
        <f>IF($B66="-","-",VLOOKUP(ROUND(CONCATENATE($A66,H$2),0),'Cadastro dos Padrões'!$A$2:$V$4400,H$1,FALSE))</f>
        <v>45100</v>
      </c>
      <c r="I66" s="33">
        <f>IF($B66="-","-",VLOOKUP(ROUND(CONCATENATE($A66,I$2),0),'Cadastro dos Padrões'!$A$2:$V$4400,I$1,FALSE))</f>
        <v>45473</v>
      </c>
      <c r="J66" s="31" t="str">
        <f>IF($B66="-","-",VLOOKUP(ROUND(CONCATENATE($A66,J$2),0),'Cadastro dos Padrões'!$A$2:$V$4400,J$1,FALSE))</f>
        <v>%ur</v>
      </c>
      <c r="K66" s="31">
        <f>IF($B66="-","-",VLOOKUP(ROUND(CONCATENATE($A66,K$2),0),'Cadastro dos Padrões'!$A$2:$V$4400,K$1,FALSE))</f>
        <v>20</v>
      </c>
      <c r="L66" s="31">
        <f>IF($B66="-","-",VLOOKUP(ROUND(CONCATENATE($A66,L$2),0),'Cadastro dos Padrões'!$A$2:$V$4400,L$1,FALSE))</f>
        <v>80</v>
      </c>
      <c r="M66" s="31">
        <f>IF($B66="-","-",VLOOKUP(ROUND(CONCATENATE($A66,M$2),0),'Cadastro dos Padrões'!$A$2:$V$4400,M$1,FALSE))</f>
        <v>0.1</v>
      </c>
      <c r="N66" s="31">
        <f>IF($B66="-","-",VLOOKUP(ROUND(CONCATENATE($A66,N$2),0),'Cadastro dos Padrões'!$A$2:$V$4400,N$1,FALSE))</f>
        <v>4.1999999999999993</v>
      </c>
      <c r="O66" s="31">
        <f>IF($B66="-","-",VLOOKUP(ROUND(CONCATENATE($A66,O$2),0),'Cadastro dos Padrões'!$A$2:$V$4400,O$1,FALSE))</f>
        <v>1.2</v>
      </c>
      <c r="P66" s="31">
        <f>IF($B66="-","-",VLOOKUP(ROUND(CONCATENATE($A66,P$2),0),'Cadastro dos Padrões'!$A$2:$V$4400,P$1,FALSE))</f>
        <v>4.1999999999999993</v>
      </c>
      <c r="Q66" s="31">
        <f>IF($B66="-","-",VLOOKUP(ROUND(CONCATENATE($A66,Q$2),0),'Cadastro dos Padrões'!$A$2:$V$4400,Q$1,FALSE))</f>
        <v>2.1428002027069155</v>
      </c>
      <c r="R66" s="31">
        <f>IF($B66="-","-",VLOOKUP(ROUND(CONCATENATE($A66,R$2),0),'Cadastro dos Padrões'!$A$2:$V$4400,R$1,FALSE))</f>
        <v>1</v>
      </c>
      <c r="S66" s="31">
        <f>IF($B66="-","-",VLOOKUP(ROUND(CONCATENATE($A66,S$2),0),'Cadastro dos Padrões'!$A$2:$V$4400,S$1,FALSE))</f>
        <v>0</v>
      </c>
      <c r="T66" s="31">
        <f>IF($B66="-","-",VLOOKUP(ROUND(CONCATENATE($A66,T$2),0),'Cadastro dos Padrões'!$A$2:$V$4400,T$1,FALSE))</f>
        <v>0</v>
      </c>
      <c r="U66" s="31">
        <f>IF($B66="-","-",VLOOKUP(ROUND(CONCATENATE($A66,U$2),0),'Cadastro dos Padrões'!$A$2:$V$4400,U$1,FALSE))</f>
        <v>0</v>
      </c>
      <c r="V66" s="31">
        <f>IF($B66="-","-",VLOOKUP(ROUND(CONCATENATE($A66,V$2),0),'Cadastro dos Padrões'!$A$2:$V$4400,V$1,FALSE))</f>
        <v>0</v>
      </c>
      <c r="W66" s="31">
        <f>IF($B66="-","-",VLOOKUP(ROUND(CONCATENATE($A66,W$2),0),'Cadastro dos Padrões'!$A$2:$V$4400,W$1,FALSE))</f>
        <v>0</v>
      </c>
      <c r="X66" s="31">
        <f>IF($B66="-","-",VLOOKUP(ROUND(CONCATENATE($A66,X$2),0),'Cadastro dos Padrões'!$A$2:$V$4400,X$1,FALSE))</f>
        <v>0</v>
      </c>
      <c r="Y66" s="31">
        <f>IF($B66="-","-",VLOOKUP(ROUND(CONCATENATE($A66,Y$2),0),'Cadastro dos Padrões'!$A$2:$V$4400,Y$1,FALSE))</f>
        <v>0</v>
      </c>
      <c r="Z66" s="31">
        <f>IF($B66="-","-",VLOOKUP(ROUND(CONCATENATE($A66,Z$2),0),'Cadastro dos Padrões'!$A$2:$V$4400,Z$1,FALSE))</f>
        <v>1.0920975713450607</v>
      </c>
      <c r="AA66" s="31">
        <f>IF($B66="-","-",VLOOKUP(ROUND(CONCATENATE($A66,AA$2),0),'Cadastro dos Padrões'!$A$2:$V$4400,AA$1,FALSE))</f>
        <v>-7.2259127384811777</v>
      </c>
      <c r="AB66" s="31">
        <f>IF(VLOOKUP(ROUND(CONCATENATE($A66,AB$2),0),'Cadastro dos Padrões'!$A$2:$V$4400,AB$1,FALSE)="","-",VLOOKUP(ROUND(CONCATENATE($A66,AB$2),0),'Cadastro dos Padrões'!$A$2:$V$4400,AB$1,FALSE))</f>
        <v>20</v>
      </c>
      <c r="AC66" s="31">
        <f>IF(VLOOKUP(ROUND(CONCATENATE($A66,AC$2),0),'Cadastro dos Padrões'!$A$2:$V$4400,AC$1,FALSE)="","-",VLOOKUP(ROUND(CONCATENATE($A66,AC$2),0),'Cadastro dos Padrões'!$A$2:$V$4400,AC$1,FALSE))</f>
        <v>0.6</v>
      </c>
      <c r="AD66" s="31">
        <f>IF(VLOOKUP(ROUND(CONCATENATE($A66,AD$2),0),'Cadastro dos Padrões'!$A$2:$V$4400,AD$1,FALSE)="","-",VLOOKUP(ROUND(CONCATENATE($A66,AD$2),0),'Cadastro dos Padrões'!$A$2:$V$4400,AD$1,FALSE))</f>
        <v>2</v>
      </c>
      <c r="AE66" s="31">
        <f>IF(VLOOKUP(ROUND(CONCATENATE($A66,AE$2),0),'Cadastro dos Padrões'!$A$2:$V$4400,AE$1,FALSE)="","-",VLOOKUP(ROUND(CONCATENATE($A66,AE$2),0),'Cadastro dos Padrões'!$A$2:$V$4400,AE$1,FALSE))</f>
        <v>1000000</v>
      </c>
      <c r="AF66" s="31">
        <f>IF(VLOOKUP(ROUND(CONCATENATE($A66,AF$2),0),'Cadastro dos Padrões'!$A$2:$V$4400,AF$1,FALSE)="","-",VLOOKUP(ROUND(CONCATENATE($A66,AF$2),0),'Cadastro dos Padrões'!$A$2:$V$4400,AF$1,FALSE))</f>
        <v>50</v>
      </c>
      <c r="AG66" s="31">
        <f>IF(VLOOKUP(ROUND(CONCATENATE($A66,AG$2),0),'Cadastro dos Padrões'!$A$2:$V$4400,AG$1,FALSE)="","-",VLOOKUP(ROUND(CONCATENATE($A66,AG$2),0),'Cadastro dos Padrões'!$A$2:$V$4400,AG$1,FALSE))</f>
        <v>0.8</v>
      </c>
      <c r="AH66" s="31">
        <f>IF(VLOOKUP(ROUND(CONCATENATE($A66,AH$2),0),'Cadastro dos Padrões'!$A$2:$V$4400,AH$1,FALSE)="","-",VLOOKUP(ROUND(CONCATENATE($A66,AH$2),0),'Cadastro dos Padrões'!$A$2:$V$4400,AH$1,FALSE))</f>
        <v>2</v>
      </c>
      <c r="AI66" s="31">
        <f>IF(VLOOKUP(ROUND(CONCATENATE($A66,AI$2),0),'Cadastro dos Padrões'!$A$2:$V$4400,AI$1,FALSE)="","-",VLOOKUP(ROUND(CONCATENATE($A66,AI$2),0),'Cadastro dos Padrões'!$A$2:$V$4400,AI$1,FALSE))</f>
        <v>1000000</v>
      </c>
      <c r="AJ66" s="31">
        <f>IF(VLOOKUP(ROUND(CONCATENATE($A66,AJ$2),0),'Cadastro dos Padrões'!$A$2:$V$4400,AJ$1,FALSE)="","-",VLOOKUP(ROUND(CONCATENATE($A66,AJ$2),0),'Cadastro dos Padrões'!$A$2:$V$4400,AJ$1,FALSE))</f>
        <v>80</v>
      </c>
      <c r="AK66" s="31">
        <f>IF(VLOOKUP(ROUND(CONCATENATE($A66,AK$2),0),'Cadastro dos Padrões'!$A$2:$V$4400,AK$1,FALSE)="","-",VLOOKUP(ROUND(CONCATENATE($A66,AK$2),0),'Cadastro dos Padrões'!$A$2:$V$4400,AK$1,FALSE))</f>
        <v>1.2</v>
      </c>
      <c r="AL66" s="31">
        <f>IF(VLOOKUP(ROUND(CONCATENATE($A66,AL$2),0),'Cadastro dos Padrões'!$A$2:$V$4400,AL$1,FALSE)="","-",VLOOKUP(ROUND(CONCATENATE($A66,AL$2),0),'Cadastro dos Padrões'!$A$2:$V$4400,AL$1,FALSE))</f>
        <v>2</v>
      </c>
      <c r="AM66" s="31">
        <f>IF(VLOOKUP(ROUND(CONCATENATE($A66,AM$2),0),'Cadastro dos Padrões'!$A$2:$V$4400,AM$1,FALSE)="","-",VLOOKUP(ROUND(CONCATENATE($A66,AM$2),0),'Cadastro dos Padrões'!$A$2:$V$4400,AM$1,FALSE))</f>
        <v>1000000</v>
      </c>
      <c r="AN66" s="31" t="str">
        <f>IF(VLOOKUP(ROUND(CONCATENATE($A66,AN$2),0),'Cadastro dos Padrões'!$A$2:$V$4400,AN$1,FALSE)="","-",VLOOKUP(ROUND(CONCATENATE($A66,AN$2),0),'Cadastro dos Padrões'!$A$2:$V$4400,AN$1,FALSE))</f>
        <v>-</v>
      </c>
      <c r="AO66" s="31" t="str">
        <f>IF(VLOOKUP(ROUND(CONCATENATE($A66,AO$2),0),'Cadastro dos Padrões'!$A$2:$V$4400,AO$1,FALSE)="","-",VLOOKUP(ROUND(CONCATENATE($A66,AO$2),0),'Cadastro dos Padrões'!$A$2:$V$4400,AO$1,FALSE))</f>
        <v>-</v>
      </c>
      <c r="AP66" s="31" t="str">
        <f>IF(VLOOKUP(ROUND(CONCATENATE($A66,AP$2),0),'Cadastro dos Padrões'!$A$2:$V$4400,AP$1,FALSE)="","-",VLOOKUP(ROUND(CONCATENATE($A66,AP$2),0),'Cadastro dos Padrões'!$A$2:$V$4400,AP$1,FALSE))</f>
        <v>-</v>
      </c>
      <c r="AQ66" s="31" t="str">
        <f>IF(VLOOKUP(ROUND(CONCATENATE($A66,AQ$2),0),'Cadastro dos Padrões'!$A$2:$V$4400,AQ$1,FALSE)="","-",VLOOKUP(ROUND(CONCATENATE($A66,AQ$2),0),'Cadastro dos Padrões'!$A$2:$V$4400,AQ$1,FALSE))</f>
        <v>-</v>
      </c>
      <c r="AR66" s="31" t="str">
        <f>IF(VLOOKUP(ROUND(CONCATENATE($A66,AR$2),0),'Cadastro dos Padrões'!$A$2:$V$4400,AR$1,FALSE)="","-",VLOOKUP(ROUND(CONCATENATE($A66,AR$2),0),'Cadastro dos Padrões'!$A$2:$V$4400,AR$1,FALSE))</f>
        <v>-</v>
      </c>
      <c r="AS66" s="31" t="str">
        <f>IF(VLOOKUP(ROUND(CONCATENATE($A66,AS$2),0),'Cadastro dos Padrões'!$A$2:$V$4400,AS$1,FALSE)="","-",VLOOKUP(ROUND(CONCATENATE($A66,AS$2),0),'Cadastro dos Padrões'!$A$2:$V$4400,AS$1,FALSE))</f>
        <v>-</v>
      </c>
      <c r="AT66" s="31" t="str">
        <f>IF(VLOOKUP(ROUND(CONCATENATE($A66,AT$2),0),'Cadastro dos Padrões'!$A$2:$V$4400,AT$1,FALSE)="","-",VLOOKUP(ROUND(CONCATENATE($A66,AT$2),0),'Cadastro dos Padrões'!$A$2:$V$4400,AT$1,FALSE))</f>
        <v>-</v>
      </c>
      <c r="AU66" s="31" t="str">
        <f>IF(VLOOKUP(ROUND(CONCATENATE($A66,AU$2),0),'Cadastro dos Padrões'!$A$2:$V$4400,AU$1,FALSE)="","-",VLOOKUP(ROUND(CONCATENATE($A66,AU$2),0),'Cadastro dos Padrões'!$A$2:$V$4400,AU$1,FALSE))</f>
        <v>-</v>
      </c>
      <c r="AV66" s="31" t="str">
        <f>IF(VLOOKUP(ROUND(CONCATENATE($A66,AV$2),0),'Cadastro dos Padrões'!$A$2:$V$4400,AV$1,FALSE)="","-",VLOOKUP(ROUND(CONCATENATE($A66,AV$2),0),'Cadastro dos Padrões'!$A$2:$V$4400,AV$1,FALSE))</f>
        <v>-</v>
      </c>
      <c r="AW66" s="31" t="str">
        <f>IF(VLOOKUP(ROUND(CONCATENATE($A66,AW$2),0),'Cadastro dos Padrões'!$A$2:$V$4400,AW$1,FALSE)="","-",VLOOKUP(ROUND(CONCATENATE($A66,AW$2),0),'Cadastro dos Padrões'!$A$2:$V$4400,AW$1,FALSE))</f>
        <v>-</v>
      </c>
      <c r="AX66" s="31" t="str">
        <f>IF(VLOOKUP(ROUND(CONCATENATE($A66,AX$2),0),'Cadastro dos Padrões'!$A$2:$V$4400,AX$1,FALSE)="","-",VLOOKUP(ROUND(CONCATENATE($A66,AX$2),0),'Cadastro dos Padrões'!$A$2:$V$4400,AX$1,FALSE))</f>
        <v>-</v>
      </c>
      <c r="AY66" s="31" t="str">
        <f>IF(VLOOKUP(ROUND(CONCATENATE($A66,AY$2),0),'Cadastro dos Padrões'!$A$2:$V$4400,AY$1,FALSE)="","-",VLOOKUP(ROUND(CONCATENATE($A66,AY$2),0),'Cadastro dos Padrões'!$A$2:$V$4400,AY$1,FALSE))</f>
        <v>-</v>
      </c>
      <c r="AZ66" s="31" t="str">
        <f>IF(VLOOKUP(ROUND(CONCATENATE($A66,AZ$2),0),'Cadastro dos Padrões'!$A$2:$V$4400,AZ$1,FALSE)="","-",VLOOKUP(ROUND(CONCATENATE($A66,AZ$2),0),'Cadastro dos Padrões'!$A$2:$V$4400,AZ$1,FALSE))</f>
        <v>-</v>
      </c>
      <c r="BA66" s="31" t="str">
        <f>IF(VLOOKUP(ROUND(CONCATENATE($A66,BA$2),0),'Cadastro dos Padrões'!$A$2:$V$4400,BA$1,FALSE)="","-",VLOOKUP(ROUND(CONCATENATE($A66,BA$2),0),'Cadastro dos Padrões'!$A$2:$V$4400,BA$1,FALSE))</f>
        <v>-</v>
      </c>
      <c r="BB66" s="31" t="str">
        <f>IF(VLOOKUP(ROUND(CONCATENATE($A66,BB$2),0),'Cadastro dos Padrões'!$A$2:$V$4400,BB$1,FALSE)="","-",VLOOKUP(ROUND(CONCATENATE($A66,BB$2),0),'Cadastro dos Padrões'!$A$2:$V$4400,BB$1,FALSE))</f>
        <v>-</v>
      </c>
      <c r="BC66" s="31" t="str">
        <f>IF(VLOOKUP(ROUND(CONCATENATE($A66,BC$2),0),'Cadastro dos Padrões'!$A$2:$V$4400,BC$1,FALSE)="","-",VLOOKUP(ROUND(CONCATENATE($A66,BC$2),0),'Cadastro dos Padrões'!$A$2:$V$4400,BC$1,FALSE))</f>
        <v>-</v>
      </c>
      <c r="BD66" s="31" t="str">
        <f>IF(VLOOKUP(ROUND(CONCATENATE($A66,BD$2),0),'Cadastro dos Padrões'!$A$2:$V$4400,BD$1,FALSE)="","-",VLOOKUP(ROUND(CONCATENATE($A66,BD$2),0),'Cadastro dos Padrões'!$A$2:$V$4400,BD$1,FALSE))</f>
        <v>-</v>
      </c>
      <c r="BE66" s="31" t="str">
        <f>IF(VLOOKUP(ROUND(CONCATENATE($A66,BE$2),0),'Cadastro dos Padrões'!$A$2:$V$4400,BE$1,FALSE)="","-",VLOOKUP(ROUND(CONCATENATE($A66,BE$2),0),'Cadastro dos Padrões'!$A$2:$V$4400,BE$1,FALSE))</f>
        <v>-</v>
      </c>
      <c r="BF66" s="31" t="str">
        <f>IF(VLOOKUP(ROUND(CONCATENATE($A66,BF$2),0),'Cadastro dos Padrões'!$A$2:$V$4400,BF$1,FALSE)="","-",VLOOKUP(ROUND(CONCATENATE($A66,BF$2),0),'Cadastro dos Padrões'!$A$2:$V$4400,BF$1,FALSE))</f>
        <v>-</v>
      </c>
      <c r="BG66" s="31" t="str">
        <f>IF(VLOOKUP(ROUND(CONCATENATE($A66,BG$2),0),'Cadastro dos Padrões'!$A$2:$V$4400,BG$1,FALSE)="","-",VLOOKUP(ROUND(CONCATENATE($A66,BG$2),0),'Cadastro dos Padrões'!$A$2:$V$4400,BG$1,FALSE))</f>
        <v>-</v>
      </c>
      <c r="BH66" s="31" t="str">
        <f>IF(VLOOKUP(ROUND(CONCATENATE($A66,BH$2),0),'Cadastro dos Padrões'!$A$2:$V$4400,BH$1,FALSE)="","-",VLOOKUP(ROUND(CONCATENATE($A66,BH$2),0),'Cadastro dos Padrões'!$A$2:$V$4400,BH$1,FALSE))</f>
        <v>-</v>
      </c>
      <c r="BI66" s="31" t="str">
        <f>IF(VLOOKUP(ROUND(CONCATENATE($A66,BI$2),0),'Cadastro dos Padrões'!$A$2:$V$4400,BI$1,FALSE)="","-",VLOOKUP(ROUND(CONCATENATE($A66,BI$2),0),'Cadastro dos Padrões'!$A$2:$V$4400,BI$1,FALSE))</f>
        <v>-</v>
      </c>
      <c r="BJ66" s="31" t="str">
        <f>IF(VLOOKUP(ROUND(CONCATENATE($A66,BJ$2),0),'Cadastro dos Padrões'!$A$2:$V$4400,BJ$1,FALSE)="","-",VLOOKUP(ROUND(CONCATENATE($A66,BJ$2),0),'Cadastro dos Padrões'!$A$2:$V$4400,BJ$1,FALSE))</f>
        <v>-</v>
      </c>
      <c r="BK66" s="31" t="str">
        <f>IF(VLOOKUP(ROUND(CONCATENATE($A66,BK$2),0),'Cadastro dos Padrões'!$A$2:$V$4400,BK$1,FALSE)="","-",VLOOKUP(ROUND(CONCATENATE($A66,BK$2),0),'Cadastro dos Padrões'!$A$2:$V$4400,BK$1,FALSE))</f>
        <v>-</v>
      </c>
      <c r="BL66" s="31" t="str">
        <f>IF(VLOOKUP(ROUND(CONCATENATE($A66,BL$2),0),'Cadastro dos Padrões'!$A$2:$V$4400,BL$1,FALSE)="","-",VLOOKUP(ROUND(CONCATENATE($A66,BL$2),0),'Cadastro dos Padrões'!$A$2:$V$4400,BL$1,FALSE))</f>
        <v>-</v>
      </c>
      <c r="BM66" s="31" t="str">
        <f>IF(VLOOKUP(ROUND(CONCATENATE($A66,BM$2),0),'Cadastro dos Padrões'!$A$2:$V$4400,BM$1,FALSE)="","-",VLOOKUP(ROUND(CONCATENATE($A66,BM$2),0),'Cadastro dos Padrões'!$A$2:$V$4400,BM$1,FALSE))</f>
        <v>-</v>
      </c>
      <c r="BN66" s="31" t="str">
        <f>IF(VLOOKUP(ROUND(CONCATENATE($A66,BN$2),0),'Cadastro dos Padrões'!$A$2:$V$4400,BN$1,FALSE)="","-",VLOOKUP(ROUND(CONCATENATE($A66,BN$2),0),'Cadastro dos Padrões'!$A$2:$V$4400,BN$1,FALSE))</f>
        <v>-</v>
      </c>
      <c r="BO66" s="31" t="str">
        <f>IF(VLOOKUP(ROUND(CONCATENATE($A66,BO$2),0),'Cadastro dos Padrões'!$A$2:$V$4400,BO$1,FALSE)="","-",VLOOKUP(ROUND(CONCATENATE($A66,BO$2),0),'Cadastro dos Padrões'!$A$2:$V$4400,BO$1,FALSE))</f>
        <v>-</v>
      </c>
    </row>
    <row r="67" spans="1:67" x14ac:dyDescent="0.3">
      <c r="A67" s="6">
        <f t="shared" si="52"/>
        <v>62</v>
      </c>
      <c r="B67" s="31" t="str">
        <f>IF(VLOOKUP(ROUND(CONCATENATE($A67,B$2),0),'Cadastro dos Padrões'!$A$2:$V$4400,B$1,FALSE)="","-",VLOOKUP(ROUND(CONCATENATE($A67,B$2),0),'Cadastro dos Padrões'!$A$2:$V$4400,B$1,FALSE))</f>
        <v>M.MS.LM-013</v>
      </c>
      <c r="C67" s="31" t="str">
        <f>IF($B67="-","-",VLOOKUP(ROUND(CONCATENATE($A67,C$2),0),'Cadastro dos Padrões'!$A$2:$V$4400,C$1,FALSE))</f>
        <v>Termohigrômetro Digital</v>
      </c>
      <c r="D67" s="31">
        <f>IF($B67="-","-",VLOOKUP(ROUND(CONCATENATE($A67,D$2),0),'Cadastro dos Padrões'!$A$2:$V$4400,D$1,FALSE))</f>
        <v>20</v>
      </c>
      <c r="E67" s="31" t="str">
        <f>IF($B67="-","-",VLOOKUP(ROUND(CONCATENATE($A67,E$2),0),'Cadastro dos Padrões'!$A$2:$V$4400,E$1,FALSE))</f>
        <v>Elus</v>
      </c>
      <c r="F67" s="31" t="str">
        <f>IF($B67="-","-",VLOOKUP(ROUND(CONCATENATE($A67,F$2),0),'Cadastro dos Padrões'!$A$2:$V$4400,F$1,FALSE))</f>
        <v>RBC - CAL 0439</v>
      </c>
      <c r="G67" s="31" t="str">
        <f>IF($B67="-","-",VLOOKUP(ROUND(CONCATENATE($A67,G$2),0),'Cadastro dos Padrões'!$A$2:$V$4400,G$1,FALSE))</f>
        <v>E0040B/25</v>
      </c>
      <c r="H67" s="32">
        <f>IF($B67="-","-",VLOOKUP(ROUND(CONCATENATE($A67,H$2),0),'Cadastro dos Padrões'!$A$2:$V$4400,H$1,FALSE))</f>
        <v>45709</v>
      </c>
      <c r="I67" s="33">
        <f>IF($B67="-","-",VLOOKUP(ROUND(CONCATENATE($A67,I$2),0),'Cadastro dos Padrões'!$A$2:$V$4400,I$1,FALSE))</f>
        <v>46446</v>
      </c>
      <c r="J67" s="31" t="str">
        <f>IF($B67="-","-",VLOOKUP(ROUND(CONCATENATE($A67,J$2),0),'Cadastro dos Padrões'!$A$2:$V$4400,J$1,FALSE))</f>
        <v>%ur</v>
      </c>
      <c r="K67" s="31">
        <f>IF($B67="-","-",VLOOKUP(ROUND(CONCATENATE($A67,K$2),0),'Cadastro dos Padrões'!$A$2:$V$4400,K$1,FALSE))</f>
        <v>25</v>
      </c>
      <c r="L67" s="31">
        <f>IF($B67="-","-",VLOOKUP(ROUND(CONCATENATE($A67,L$2),0),'Cadastro dos Padrões'!$A$2:$V$4400,L$1,FALSE))</f>
        <v>80</v>
      </c>
      <c r="M67" s="31">
        <f>IF($B67="-","-",VLOOKUP(ROUND(CONCATENATE($A67,M$2),0),'Cadastro dos Padrões'!$A$2:$V$4400,M$1,FALSE))</f>
        <v>0.1</v>
      </c>
      <c r="N67" s="31">
        <f>IF($B67="-","-",VLOOKUP(ROUND(CONCATENATE($A67,N$2),0),'Cadastro dos Padrões'!$A$2:$V$4400,N$1,FALSE))</f>
        <v>7.7999999999999972</v>
      </c>
      <c r="O67" s="31">
        <f>IF($B67="-","-",VLOOKUP(ROUND(CONCATENATE($A67,O$2),0),'Cadastro dos Padrões'!$A$2:$V$4400,O$1,FALSE))</f>
        <v>1.1000000000000001</v>
      </c>
      <c r="P67" s="31">
        <f>IF($B67="-","-",VLOOKUP(ROUND(CONCATENATE($A67,P$2),0),'Cadastro dos Padrões'!$A$2:$V$4400,P$1,FALSE))</f>
        <v>2.4999999999999964</v>
      </c>
      <c r="Q67" s="31">
        <f>IF($B67="-","-",VLOOKUP(ROUND(CONCATENATE($A67,Q$2),0),'Cadastro dos Padrões'!$A$2:$V$4400,Q$1,FALSE))</f>
        <v>0.15790157368385271</v>
      </c>
      <c r="R67" s="31">
        <f>IF($B67="-","-",VLOOKUP(ROUND(CONCATENATE($A67,R$2),0),'Cadastro dos Padrões'!$A$2:$V$4400,R$1,FALSE))</f>
        <v>2</v>
      </c>
      <c r="S67" s="31">
        <f>IF($B67="-","-",VLOOKUP(ROUND(CONCATENATE($A67,S$2),0),'Cadastro dos Padrões'!$A$2:$V$4400,S$1,FALSE))</f>
        <v>0</v>
      </c>
      <c r="T67" s="31">
        <f>IF($B67="-","-",VLOOKUP(ROUND(CONCATENATE($A67,T$2),0),'Cadastro dos Padrões'!$A$2:$V$4400,T$1,FALSE))</f>
        <v>0</v>
      </c>
      <c r="U67" s="31">
        <f>IF($B67="-","-",VLOOKUP(ROUND(CONCATENATE($A67,U$2),0),'Cadastro dos Padrões'!$A$2:$V$4400,U$1,FALSE))</f>
        <v>0</v>
      </c>
      <c r="V67" s="31">
        <f>IF($B67="-","-",VLOOKUP(ROUND(CONCATENATE($A67,V$2),0),'Cadastro dos Padrões'!$A$2:$V$4400,V$1,FALSE))</f>
        <v>0</v>
      </c>
      <c r="W67" s="31">
        <f>IF($B67="-","-",VLOOKUP(ROUND(CONCATENATE($A67,W$2),0),'Cadastro dos Padrões'!$A$2:$V$4400,W$1,FALSE))</f>
        <v>0</v>
      </c>
      <c r="X67" s="31">
        <f>IF($B67="-","-",VLOOKUP(ROUND(CONCATENATE($A67,X$2),0),'Cadastro dos Padrões'!$A$2:$V$4400,X$1,FALSE))</f>
        <v>0</v>
      </c>
      <c r="Y67" s="31">
        <f>IF($B67="-","-",VLOOKUP(ROUND(CONCATENATE($A67,Y$2),0),'Cadastro dos Padrões'!$A$2:$V$4400,Y$1,FALSE))</f>
        <v>-1.488845453661436E-3</v>
      </c>
      <c r="Z67" s="31">
        <f>IF($B67="-","-",VLOOKUP(ROUND(CONCATENATE($A67,Z$2),0),'Cadastro dos Padrões'!$A$2:$V$4400,Z$1,FALSE))</f>
        <v>1.2082192075011531</v>
      </c>
      <c r="AA67" s="31">
        <f>IF($B67="-","-",VLOOKUP(ROUND(CONCATENATE($A67,AA$2),0),'Cadastro dos Padrões'!$A$2:$V$4400,AA$1,FALSE))</f>
        <v>-13.058990484605143</v>
      </c>
      <c r="AB67" s="31">
        <f>IF(VLOOKUP(ROUND(CONCATENATE($A67,AB$2),0),'Cadastro dos Padrões'!$A$2:$V$4400,AB$1,FALSE)="","-",VLOOKUP(ROUND(CONCATENATE($A67,AB$2),0),'Cadastro dos Padrões'!$A$2:$V$4400,AB$1,FALSE))</f>
        <v>25</v>
      </c>
      <c r="AC67" s="31">
        <f>IF(VLOOKUP(ROUND(CONCATENATE($A67,AC$2),0),'Cadastro dos Padrões'!$A$2:$V$4400,AC$1,FALSE)="","-",VLOOKUP(ROUND(CONCATENATE($A67,AC$2),0),'Cadastro dos Padrões'!$A$2:$V$4400,AC$1,FALSE))</f>
        <v>0.8</v>
      </c>
      <c r="AD67" s="31">
        <f>IF(VLOOKUP(ROUND(CONCATENATE($A67,AD$2),0),'Cadastro dos Padrões'!$A$2:$V$4400,AD$1,FALSE)="","-",VLOOKUP(ROUND(CONCATENATE($A67,AD$2),0),'Cadastro dos Padrões'!$A$2:$V$4400,AD$1,FALSE))</f>
        <v>2</v>
      </c>
      <c r="AE67" s="31">
        <f>IF(VLOOKUP(ROUND(CONCATENATE($A67,AE$2),0),'Cadastro dos Padrões'!$A$2:$V$4400,AE$1,FALSE)="","-",VLOOKUP(ROUND(CONCATENATE($A67,AE$2),0),'Cadastro dos Padrões'!$A$2:$V$4400,AE$1,FALSE))</f>
        <v>1000000</v>
      </c>
      <c r="AF67" s="31">
        <f>IF(VLOOKUP(ROUND(CONCATENATE($A67,AF$2),0),'Cadastro dos Padrões'!$A$2:$V$4400,AF$1,FALSE)="","-",VLOOKUP(ROUND(CONCATENATE($A67,AF$2),0),'Cadastro dos Padrões'!$A$2:$V$4400,AF$1,FALSE))</f>
        <v>45</v>
      </c>
      <c r="AG67" s="31">
        <f>IF(VLOOKUP(ROUND(CONCATENATE($A67,AG$2),0),'Cadastro dos Padrões'!$A$2:$V$4400,AG$1,FALSE)="","-",VLOOKUP(ROUND(CONCATENATE($A67,AG$2),0),'Cadastro dos Padrões'!$A$2:$V$4400,AG$1,FALSE))</f>
        <v>0.9</v>
      </c>
      <c r="AH67" s="31">
        <f>IF(VLOOKUP(ROUND(CONCATENATE($A67,AH$2),0),'Cadastro dos Padrões'!$A$2:$V$4400,AH$1,FALSE)="","-",VLOOKUP(ROUND(CONCATENATE($A67,AH$2),0),'Cadastro dos Padrões'!$A$2:$V$4400,AH$1,FALSE))</f>
        <v>2</v>
      </c>
      <c r="AI67" s="31">
        <f>IF(VLOOKUP(ROUND(CONCATENATE($A67,AI$2),0),'Cadastro dos Padrões'!$A$2:$V$4400,AI$1,FALSE)="","-",VLOOKUP(ROUND(CONCATENATE($A67,AI$2),0),'Cadastro dos Padrões'!$A$2:$V$4400,AI$1,FALSE))</f>
        <v>1000000</v>
      </c>
      <c r="AJ67" s="31">
        <f>IF(VLOOKUP(ROUND(CONCATENATE($A67,AJ$2),0),'Cadastro dos Padrões'!$A$2:$V$4400,AJ$1,FALSE)="","-",VLOOKUP(ROUND(CONCATENATE($A67,AJ$2),0),'Cadastro dos Padrões'!$A$2:$V$4400,AJ$1,FALSE))</f>
        <v>60</v>
      </c>
      <c r="AK67" s="31">
        <f>IF(VLOOKUP(ROUND(CONCATENATE($A67,AK$2),0),'Cadastro dos Padrões'!$A$2:$V$4400,AK$1,FALSE)="","-",VLOOKUP(ROUND(CONCATENATE($A67,AK$2),0),'Cadastro dos Padrões'!$A$2:$V$4400,AK$1,FALSE))</f>
        <v>1.1000000000000001</v>
      </c>
      <c r="AL67" s="31">
        <f>IF(VLOOKUP(ROUND(CONCATENATE($A67,AL$2),0),'Cadastro dos Padrões'!$A$2:$V$4400,AL$1,FALSE)="","-",VLOOKUP(ROUND(CONCATENATE($A67,AL$2),0),'Cadastro dos Padrões'!$A$2:$V$4400,AL$1,FALSE))</f>
        <v>2</v>
      </c>
      <c r="AM67" s="31">
        <f>IF(VLOOKUP(ROUND(CONCATENATE($A67,AM$2),0),'Cadastro dos Padrões'!$A$2:$V$4400,AM$1,FALSE)="","-",VLOOKUP(ROUND(CONCATENATE($A67,AM$2),0),'Cadastro dos Padrões'!$A$2:$V$4400,AM$1,FALSE))</f>
        <v>1000000</v>
      </c>
      <c r="AN67" s="31">
        <f>IF(VLOOKUP(ROUND(CONCATENATE($A67,AN$2),0),'Cadastro dos Padrões'!$A$2:$V$4400,AN$1,FALSE)="","-",VLOOKUP(ROUND(CONCATENATE($A67,AN$2),0),'Cadastro dos Padrões'!$A$2:$V$4400,AN$1,FALSE))</f>
        <v>80</v>
      </c>
      <c r="AO67" s="31">
        <f>IF(VLOOKUP(ROUND(CONCATENATE($A67,AO$2),0),'Cadastro dos Padrões'!$A$2:$V$4400,AO$1,FALSE)="","-",VLOOKUP(ROUND(CONCATENATE($A67,AO$2),0),'Cadastro dos Padrões'!$A$2:$V$4400,AO$1,FALSE))</f>
        <v>1.1000000000000001</v>
      </c>
      <c r="AP67" s="31">
        <f>IF(VLOOKUP(ROUND(CONCATENATE($A67,AP$2),0),'Cadastro dos Padrões'!$A$2:$V$4400,AP$1,FALSE)="","-",VLOOKUP(ROUND(CONCATENATE($A67,AP$2),0),'Cadastro dos Padrões'!$A$2:$V$4400,AP$1,FALSE))</f>
        <v>2</v>
      </c>
      <c r="AQ67" s="31">
        <f>IF(VLOOKUP(ROUND(CONCATENATE($A67,AQ$2),0),'Cadastro dos Padrões'!$A$2:$V$4400,AQ$1,FALSE)="","-",VLOOKUP(ROUND(CONCATENATE($A67,AQ$2),0),'Cadastro dos Padrões'!$A$2:$V$4400,AQ$1,FALSE))</f>
        <v>1000000</v>
      </c>
      <c r="AR67" s="31" t="str">
        <f>IF(VLOOKUP(ROUND(CONCATENATE($A67,AR$2),0),'Cadastro dos Padrões'!$A$2:$V$4400,AR$1,FALSE)="","-",VLOOKUP(ROUND(CONCATENATE($A67,AR$2),0),'Cadastro dos Padrões'!$A$2:$V$4400,AR$1,FALSE))</f>
        <v>-</v>
      </c>
      <c r="AS67" s="31" t="str">
        <f>IF(VLOOKUP(ROUND(CONCATENATE($A67,AS$2),0),'Cadastro dos Padrões'!$A$2:$V$4400,AS$1,FALSE)="","-",VLOOKUP(ROUND(CONCATENATE($A67,AS$2),0),'Cadastro dos Padrões'!$A$2:$V$4400,AS$1,FALSE))</f>
        <v>-</v>
      </c>
      <c r="AT67" s="31" t="str">
        <f>IF(VLOOKUP(ROUND(CONCATENATE($A67,AT$2),0),'Cadastro dos Padrões'!$A$2:$V$4400,AT$1,FALSE)="","-",VLOOKUP(ROUND(CONCATENATE($A67,AT$2),0),'Cadastro dos Padrões'!$A$2:$V$4400,AT$1,FALSE))</f>
        <v>-</v>
      </c>
      <c r="AU67" s="31" t="str">
        <f>IF(VLOOKUP(ROUND(CONCATENATE($A67,AU$2),0),'Cadastro dos Padrões'!$A$2:$V$4400,AU$1,FALSE)="","-",VLOOKUP(ROUND(CONCATENATE($A67,AU$2),0),'Cadastro dos Padrões'!$A$2:$V$4400,AU$1,FALSE))</f>
        <v>-</v>
      </c>
      <c r="AV67" s="31" t="str">
        <f>IF(VLOOKUP(ROUND(CONCATENATE($A67,AV$2),0),'Cadastro dos Padrões'!$A$2:$V$4400,AV$1,FALSE)="","-",VLOOKUP(ROUND(CONCATENATE($A67,AV$2),0),'Cadastro dos Padrões'!$A$2:$V$4400,AV$1,FALSE))</f>
        <v>-</v>
      </c>
      <c r="AW67" s="31" t="str">
        <f>IF(VLOOKUP(ROUND(CONCATENATE($A67,AW$2),0),'Cadastro dos Padrões'!$A$2:$V$4400,AW$1,FALSE)="","-",VLOOKUP(ROUND(CONCATENATE($A67,AW$2),0),'Cadastro dos Padrões'!$A$2:$V$4400,AW$1,FALSE))</f>
        <v>-</v>
      </c>
      <c r="AX67" s="31" t="str">
        <f>IF(VLOOKUP(ROUND(CONCATENATE($A67,AX$2),0),'Cadastro dos Padrões'!$A$2:$V$4400,AX$1,FALSE)="","-",VLOOKUP(ROUND(CONCATENATE($A67,AX$2),0),'Cadastro dos Padrões'!$A$2:$V$4400,AX$1,FALSE))</f>
        <v>-</v>
      </c>
      <c r="AY67" s="31" t="str">
        <f>IF(VLOOKUP(ROUND(CONCATENATE($A67,AY$2),0),'Cadastro dos Padrões'!$A$2:$V$4400,AY$1,FALSE)="","-",VLOOKUP(ROUND(CONCATENATE($A67,AY$2),0),'Cadastro dos Padrões'!$A$2:$V$4400,AY$1,FALSE))</f>
        <v>-</v>
      </c>
      <c r="AZ67" s="31" t="str">
        <f>IF(VLOOKUP(ROUND(CONCATENATE($A67,AZ$2),0),'Cadastro dos Padrões'!$A$2:$V$4400,AZ$1,FALSE)="","-",VLOOKUP(ROUND(CONCATENATE($A67,AZ$2),0),'Cadastro dos Padrões'!$A$2:$V$4400,AZ$1,FALSE))</f>
        <v>-</v>
      </c>
      <c r="BA67" s="31" t="str">
        <f>IF(VLOOKUP(ROUND(CONCATENATE($A67,BA$2),0),'Cadastro dos Padrões'!$A$2:$V$4400,BA$1,FALSE)="","-",VLOOKUP(ROUND(CONCATENATE($A67,BA$2),0),'Cadastro dos Padrões'!$A$2:$V$4400,BA$1,FALSE))</f>
        <v>-</v>
      </c>
      <c r="BB67" s="31" t="str">
        <f>IF(VLOOKUP(ROUND(CONCATENATE($A67,BB$2),0),'Cadastro dos Padrões'!$A$2:$V$4400,BB$1,FALSE)="","-",VLOOKUP(ROUND(CONCATENATE($A67,BB$2),0),'Cadastro dos Padrões'!$A$2:$V$4400,BB$1,FALSE))</f>
        <v>-</v>
      </c>
      <c r="BC67" s="31" t="str">
        <f>IF(VLOOKUP(ROUND(CONCATENATE($A67,BC$2),0),'Cadastro dos Padrões'!$A$2:$V$4400,BC$1,FALSE)="","-",VLOOKUP(ROUND(CONCATENATE($A67,BC$2),0),'Cadastro dos Padrões'!$A$2:$V$4400,BC$1,FALSE))</f>
        <v>-</v>
      </c>
      <c r="BD67" s="31" t="str">
        <f>IF(VLOOKUP(ROUND(CONCATENATE($A67,BD$2),0),'Cadastro dos Padrões'!$A$2:$V$4400,BD$1,FALSE)="","-",VLOOKUP(ROUND(CONCATENATE($A67,BD$2),0),'Cadastro dos Padrões'!$A$2:$V$4400,BD$1,FALSE))</f>
        <v>-</v>
      </c>
      <c r="BE67" s="31" t="str">
        <f>IF(VLOOKUP(ROUND(CONCATENATE($A67,BE$2),0),'Cadastro dos Padrões'!$A$2:$V$4400,BE$1,FALSE)="","-",VLOOKUP(ROUND(CONCATENATE($A67,BE$2),0),'Cadastro dos Padrões'!$A$2:$V$4400,BE$1,FALSE))</f>
        <v>-</v>
      </c>
      <c r="BF67" s="31" t="str">
        <f>IF(VLOOKUP(ROUND(CONCATENATE($A67,BF$2),0),'Cadastro dos Padrões'!$A$2:$V$4400,BF$1,FALSE)="","-",VLOOKUP(ROUND(CONCATENATE($A67,BF$2),0),'Cadastro dos Padrões'!$A$2:$V$4400,BF$1,FALSE))</f>
        <v>-</v>
      </c>
      <c r="BG67" s="31" t="str">
        <f>IF(VLOOKUP(ROUND(CONCATENATE($A67,BG$2),0),'Cadastro dos Padrões'!$A$2:$V$4400,BG$1,FALSE)="","-",VLOOKUP(ROUND(CONCATENATE($A67,BG$2),0),'Cadastro dos Padrões'!$A$2:$V$4400,BG$1,FALSE))</f>
        <v>-</v>
      </c>
      <c r="BH67" s="31" t="str">
        <f>IF(VLOOKUP(ROUND(CONCATENATE($A67,BH$2),0),'Cadastro dos Padrões'!$A$2:$V$4400,BH$1,FALSE)="","-",VLOOKUP(ROUND(CONCATENATE($A67,BH$2),0),'Cadastro dos Padrões'!$A$2:$V$4400,BH$1,FALSE))</f>
        <v>-</v>
      </c>
      <c r="BI67" s="31" t="str">
        <f>IF(VLOOKUP(ROUND(CONCATENATE($A67,BI$2),0),'Cadastro dos Padrões'!$A$2:$V$4400,BI$1,FALSE)="","-",VLOOKUP(ROUND(CONCATENATE($A67,BI$2),0),'Cadastro dos Padrões'!$A$2:$V$4400,BI$1,FALSE))</f>
        <v>-</v>
      </c>
      <c r="BJ67" s="31" t="str">
        <f>IF(VLOOKUP(ROUND(CONCATENATE($A67,BJ$2),0),'Cadastro dos Padrões'!$A$2:$V$4400,BJ$1,FALSE)="","-",VLOOKUP(ROUND(CONCATENATE($A67,BJ$2),0),'Cadastro dos Padrões'!$A$2:$V$4400,BJ$1,FALSE))</f>
        <v>-</v>
      </c>
      <c r="BK67" s="31" t="str">
        <f>IF(VLOOKUP(ROUND(CONCATENATE($A67,BK$2),0),'Cadastro dos Padrões'!$A$2:$V$4400,BK$1,FALSE)="","-",VLOOKUP(ROUND(CONCATENATE($A67,BK$2),0),'Cadastro dos Padrões'!$A$2:$V$4400,BK$1,FALSE))</f>
        <v>-</v>
      </c>
      <c r="BL67" s="31" t="str">
        <f>IF(VLOOKUP(ROUND(CONCATENATE($A67,BL$2),0),'Cadastro dos Padrões'!$A$2:$V$4400,BL$1,FALSE)="","-",VLOOKUP(ROUND(CONCATENATE($A67,BL$2),0),'Cadastro dos Padrões'!$A$2:$V$4400,BL$1,FALSE))</f>
        <v>-</v>
      </c>
      <c r="BM67" s="31" t="str">
        <f>IF(VLOOKUP(ROUND(CONCATENATE($A67,BM$2),0),'Cadastro dos Padrões'!$A$2:$V$4400,BM$1,FALSE)="","-",VLOOKUP(ROUND(CONCATENATE($A67,BM$2),0),'Cadastro dos Padrões'!$A$2:$V$4400,BM$1,FALSE))</f>
        <v>-</v>
      </c>
      <c r="BN67" s="31" t="str">
        <f>IF(VLOOKUP(ROUND(CONCATENATE($A67,BN$2),0),'Cadastro dos Padrões'!$A$2:$V$4400,BN$1,FALSE)="","-",VLOOKUP(ROUND(CONCATENATE($A67,BN$2),0),'Cadastro dos Padrões'!$A$2:$V$4400,BN$1,FALSE))</f>
        <v>-</v>
      </c>
      <c r="BO67" s="31" t="str">
        <f>IF(VLOOKUP(ROUND(CONCATENATE($A67,BO$2),0),'Cadastro dos Padrões'!$A$2:$V$4400,BO$1,FALSE)="","-",VLOOKUP(ROUND(CONCATENATE($A67,BO$2),0),'Cadastro dos Padrões'!$A$2:$V$4400,BO$1,FALSE))</f>
        <v>-</v>
      </c>
    </row>
    <row r="68" spans="1:67" x14ac:dyDescent="0.3">
      <c r="A68" s="6">
        <f t="shared" si="52"/>
        <v>63</v>
      </c>
      <c r="B68" s="31" t="str">
        <f>IF(VLOOKUP(ROUND(CONCATENATE($A68,B$2),0),'Cadastro dos Padrões'!$A$2:$V$4400,B$1,FALSE)="","-",VLOOKUP(ROUND(CONCATENATE($A68,B$2),0),'Cadastro dos Padrões'!$A$2:$V$4400,B$1,FALSE))</f>
        <v>M.MS.LM-012</v>
      </c>
      <c r="C68" s="31" t="str">
        <f>IF($B68="-","-",VLOOKUP(ROUND(CONCATENATE($A68,C$2),0),'Cadastro dos Padrões'!$A$2:$V$4400,C$1,FALSE))</f>
        <v>Termohigrômetro Digital</v>
      </c>
      <c r="D68" s="31">
        <f>IF($B68="-","-",VLOOKUP(ROUND(CONCATENATE($A68,D$2),0),'Cadastro dos Padrões'!$A$2:$V$4400,D$1,FALSE))</f>
        <v>20</v>
      </c>
      <c r="E68" s="31" t="str">
        <f>IF($B68="-","-",VLOOKUP(ROUND(CONCATENATE($A68,E$2),0),'Cadastro dos Padrões'!$A$2:$V$4400,E$1,FALSE))</f>
        <v>Elus</v>
      </c>
      <c r="F68" s="31" t="str">
        <f>IF($B68="-","-",VLOOKUP(ROUND(CONCATENATE($A68,F$2),0),'Cadastro dos Padrões'!$A$2:$V$4400,F$1,FALSE))</f>
        <v>RBC - CAL 0439</v>
      </c>
      <c r="G68" s="31" t="str">
        <f>IF($B68="-","-",VLOOKUP(ROUND(CONCATENATE($A68,G$2),0),'Cadastro dos Padrões'!$A$2:$V$4400,G$1,FALSE))</f>
        <v>E0526B/24</v>
      </c>
      <c r="H68" s="32">
        <f>IF($B68="-","-",VLOOKUP(ROUND(CONCATENATE($A68,H$2),0),'Cadastro dos Padrões'!$A$2:$V$4400,H$1,FALSE))</f>
        <v>45664</v>
      </c>
      <c r="I68" s="33">
        <f>IF($B68="-","-",VLOOKUP(ROUND(CONCATENATE($A68,I$2),0),'Cadastro dos Padrões'!$A$2:$V$4400,I$1,FALSE))</f>
        <v>46417</v>
      </c>
      <c r="J68" s="31" t="str">
        <f>IF($B68="-","-",VLOOKUP(ROUND(CONCATENATE($A68,J$2),0),'Cadastro dos Padrões'!$A$2:$V$4400,J$1,FALSE))</f>
        <v>%UR</v>
      </c>
      <c r="K68" s="31">
        <f>IF($B68="-","-",VLOOKUP(ROUND(CONCATENATE($A68,K$2),0),'Cadastro dos Padrões'!$A$2:$V$4400,K$1,FALSE))</f>
        <v>25</v>
      </c>
      <c r="L68" s="31">
        <f>IF($B68="-","-",VLOOKUP(ROUND(CONCATENATE($A68,L$2),0),'Cadastro dos Padrões'!$A$2:$V$4400,L$1,FALSE))</f>
        <v>80</v>
      </c>
      <c r="M68" s="31">
        <f>IF($B68="-","-",VLOOKUP(ROUND(CONCATENATE($A68,M$2),0),'Cadastro dos Padrões'!$A$2:$V$4400,M$1,FALSE))</f>
        <v>1</v>
      </c>
      <c r="N68" s="31">
        <f>IF($B68="-","-",VLOOKUP(ROUND(CONCATENATE($A68,N$2),0),'Cadastro dos Padrões'!$A$2:$V$4400,N$1,FALSE))</f>
        <v>6</v>
      </c>
      <c r="O68" s="31">
        <f>IF($B68="-","-",VLOOKUP(ROUND(CONCATENATE($A68,O$2),0),'Cadastro dos Padrões'!$A$2:$V$4400,O$1,FALSE))</f>
        <v>2</v>
      </c>
      <c r="P68" s="31">
        <f>IF($B68="-","-",VLOOKUP(ROUND(CONCATENATE($A68,P$2),0),'Cadastro dos Padrões'!$A$2:$V$4400,P$1,FALSE))</f>
        <v>5</v>
      </c>
      <c r="Q68" s="31">
        <f>IF($B68="-","-",VLOOKUP(ROUND(CONCATENATE($A68,Q$2),0),'Cadastro dos Padrões'!$A$2:$V$4400,Q$1,FALSE))</f>
        <v>0.24297353582319037</v>
      </c>
      <c r="R68" s="31">
        <f>IF($B68="-","-",VLOOKUP(ROUND(CONCATENATE($A68,R$2),0),'Cadastro dos Padrões'!$A$2:$V$4400,R$1,FALSE))</f>
        <v>2</v>
      </c>
      <c r="S68" s="31">
        <f>IF($B68="-","-",VLOOKUP(ROUND(CONCATENATE($A68,S$2),0),'Cadastro dos Padrões'!$A$2:$V$4400,S$1,FALSE))</f>
        <v>0</v>
      </c>
      <c r="T68" s="31">
        <f>IF($B68="-","-",VLOOKUP(ROUND(CONCATENATE($A68,T$2),0),'Cadastro dos Padrões'!$A$2:$V$4400,T$1,FALSE))</f>
        <v>0</v>
      </c>
      <c r="U68" s="31">
        <f>IF($B68="-","-",VLOOKUP(ROUND(CONCATENATE($A68,U$2),0),'Cadastro dos Padrões'!$A$2:$V$4400,U$1,FALSE))</f>
        <v>0</v>
      </c>
      <c r="V68" s="31">
        <f>IF($B68="-","-",VLOOKUP(ROUND(CONCATENATE($A68,V$2),0),'Cadastro dos Padrões'!$A$2:$V$4400,V$1,FALSE))</f>
        <v>0</v>
      </c>
      <c r="W68" s="31">
        <f>IF($B68="-","-",VLOOKUP(ROUND(CONCATENATE($A68,W$2),0),'Cadastro dos Padrões'!$A$2:$V$4400,W$1,FALSE))</f>
        <v>0</v>
      </c>
      <c r="X68" s="31">
        <f>IF($B68="-","-",VLOOKUP(ROUND(CONCATENATE($A68,X$2),0),'Cadastro dos Padrões'!$A$2:$V$4400,X$1,FALSE))</f>
        <v>0</v>
      </c>
      <c r="Y68" s="31">
        <f>IF($B68="-","-",VLOOKUP(ROUND(CONCATENATE($A68,Y$2),0),'Cadastro dos Padrões'!$A$2:$V$4400,Y$1,FALSE))</f>
        <v>-2.0323127381339035E-3</v>
      </c>
      <c r="Z68" s="31">
        <f>IF($B68="-","-",VLOOKUP(ROUND(CONCATENATE($A68,Z$2),0),'Cadastro dos Padrões'!$A$2:$V$4400,Z$1,FALSE))</f>
        <v>1.3498390757854259</v>
      </c>
      <c r="AA68" s="31">
        <f>IF($B68="-","-",VLOOKUP(ROUND(CONCATENATE($A68,AA$2),0),'Cadastro dos Padrões'!$A$2:$V$4400,AA$1,FALSE))</f>
        <v>-14.940014590033325</v>
      </c>
      <c r="AB68" s="31">
        <f>IF(VLOOKUP(ROUND(CONCATENATE($A68,AB$2),0),'Cadastro dos Padrões'!$A$2:$V$4400,AB$1,FALSE)="","-",VLOOKUP(ROUND(CONCATENATE($A68,AB$2),0),'Cadastro dos Padrões'!$A$2:$V$4400,AB$1,FALSE))</f>
        <v>25</v>
      </c>
      <c r="AC68" s="31">
        <f>IF(VLOOKUP(ROUND(CONCATENATE($A68,AC$2),0),'Cadastro dos Padrões'!$A$2:$V$4400,AC$1,FALSE)="","-",VLOOKUP(ROUND(CONCATENATE($A68,AC$2),0),'Cadastro dos Padrões'!$A$2:$V$4400,AC$1,FALSE))</f>
        <v>1</v>
      </c>
      <c r="AD68" s="31">
        <f>IF(VLOOKUP(ROUND(CONCATENATE($A68,AD$2),0),'Cadastro dos Padrões'!$A$2:$V$4400,AD$1,FALSE)="","-",VLOOKUP(ROUND(CONCATENATE($A68,AD$2),0),'Cadastro dos Padrões'!$A$2:$V$4400,AD$1,FALSE))</f>
        <v>2</v>
      </c>
      <c r="AE68" s="31">
        <f>IF(VLOOKUP(ROUND(CONCATENATE($A68,AE$2),0),'Cadastro dos Padrões'!$A$2:$V$4400,AE$1,FALSE)="","-",VLOOKUP(ROUND(CONCATENATE($A68,AE$2),0),'Cadastro dos Padrões'!$A$2:$V$4400,AE$1,FALSE))</f>
        <v>1000000</v>
      </c>
      <c r="AF68" s="31">
        <f>IF(VLOOKUP(ROUND(CONCATENATE($A68,AF$2),0),'Cadastro dos Padrões'!$A$2:$V$4400,AF$1,FALSE)="","-",VLOOKUP(ROUND(CONCATENATE($A68,AF$2),0),'Cadastro dos Padrões'!$A$2:$V$4400,AF$1,FALSE))</f>
        <v>45</v>
      </c>
      <c r="AG68" s="31">
        <f>IF(VLOOKUP(ROUND(CONCATENATE($A68,AG$2),0),'Cadastro dos Padrões'!$A$2:$V$4400,AG$1,FALSE)="","-",VLOOKUP(ROUND(CONCATENATE($A68,AG$2),0),'Cadastro dos Padrões'!$A$2:$V$4400,AG$1,FALSE))</f>
        <v>2</v>
      </c>
      <c r="AH68" s="31">
        <f>IF(VLOOKUP(ROUND(CONCATENATE($A68,AH$2),0),'Cadastro dos Padrões'!$A$2:$V$4400,AH$1,FALSE)="","-",VLOOKUP(ROUND(CONCATENATE($A68,AH$2),0),'Cadastro dos Padrões'!$A$2:$V$4400,AH$1,FALSE))</f>
        <v>2</v>
      </c>
      <c r="AI68" s="31">
        <f>IF(VLOOKUP(ROUND(CONCATENATE($A68,AI$2),0),'Cadastro dos Padrões'!$A$2:$V$4400,AI$1,FALSE)="","-",VLOOKUP(ROUND(CONCATENATE($A68,AI$2),0),'Cadastro dos Padrões'!$A$2:$V$4400,AI$1,FALSE))</f>
        <v>1000000</v>
      </c>
      <c r="AJ68" s="31">
        <f>IF(VLOOKUP(ROUND(CONCATENATE($A68,AJ$2),0),'Cadastro dos Padrões'!$A$2:$V$4400,AJ$1,FALSE)="","-",VLOOKUP(ROUND(CONCATENATE($A68,AJ$2),0),'Cadastro dos Padrões'!$A$2:$V$4400,AJ$1,FALSE))</f>
        <v>60</v>
      </c>
      <c r="AK68" s="31">
        <f>IF(VLOOKUP(ROUND(CONCATENATE($A68,AK$2),0),'Cadastro dos Padrões'!$A$2:$V$4400,AK$1,FALSE)="","-",VLOOKUP(ROUND(CONCATENATE($A68,AK$2),0),'Cadastro dos Padrões'!$A$2:$V$4400,AK$1,FALSE))</f>
        <v>2</v>
      </c>
      <c r="AL68" s="31">
        <f>IF(VLOOKUP(ROUND(CONCATENATE($A68,AL$2),0),'Cadastro dos Padrões'!$A$2:$V$4400,AL$1,FALSE)="","-",VLOOKUP(ROUND(CONCATENATE($A68,AL$2),0),'Cadastro dos Padrões'!$A$2:$V$4400,AL$1,FALSE))</f>
        <v>2</v>
      </c>
      <c r="AM68" s="31">
        <f>IF(VLOOKUP(ROUND(CONCATENATE($A68,AM$2),0),'Cadastro dos Padrões'!$A$2:$V$4400,AM$1,FALSE)="","-",VLOOKUP(ROUND(CONCATENATE($A68,AM$2),0),'Cadastro dos Padrões'!$A$2:$V$4400,AM$1,FALSE))</f>
        <v>1000000</v>
      </c>
      <c r="AN68" s="31">
        <f>IF(VLOOKUP(ROUND(CONCATENATE($A68,AN$2),0),'Cadastro dos Padrões'!$A$2:$V$4400,AN$1,FALSE)="","-",VLOOKUP(ROUND(CONCATENATE($A68,AN$2),0),'Cadastro dos Padrões'!$A$2:$V$4400,AN$1,FALSE))</f>
        <v>80</v>
      </c>
      <c r="AO68" s="31">
        <f>IF(VLOOKUP(ROUND(CONCATENATE($A68,AO$2),0),'Cadastro dos Padrões'!$A$2:$V$4400,AO$1,FALSE)="","-",VLOOKUP(ROUND(CONCATENATE($A68,AO$2),0),'Cadastro dos Padrões'!$A$2:$V$4400,AO$1,FALSE))</f>
        <v>2</v>
      </c>
      <c r="AP68" s="31">
        <f>IF(VLOOKUP(ROUND(CONCATENATE($A68,AP$2),0),'Cadastro dos Padrões'!$A$2:$V$4400,AP$1,FALSE)="","-",VLOOKUP(ROUND(CONCATENATE($A68,AP$2),0),'Cadastro dos Padrões'!$A$2:$V$4400,AP$1,FALSE))</f>
        <v>2</v>
      </c>
      <c r="AQ68" s="31">
        <f>IF(VLOOKUP(ROUND(CONCATENATE($A68,AQ$2),0),'Cadastro dos Padrões'!$A$2:$V$4400,AQ$1,FALSE)="","-",VLOOKUP(ROUND(CONCATENATE($A68,AQ$2),0),'Cadastro dos Padrões'!$A$2:$V$4400,AQ$1,FALSE))</f>
        <v>1000000</v>
      </c>
      <c r="AR68" s="31" t="str">
        <f>IF(VLOOKUP(ROUND(CONCATENATE($A68,AR$2),0),'Cadastro dos Padrões'!$A$2:$V$4400,AR$1,FALSE)="","-",VLOOKUP(ROUND(CONCATENATE($A68,AR$2),0),'Cadastro dos Padrões'!$A$2:$V$4400,AR$1,FALSE))</f>
        <v>-</v>
      </c>
      <c r="AS68" s="31" t="str">
        <f>IF(VLOOKUP(ROUND(CONCATENATE($A68,AS$2),0),'Cadastro dos Padrões'!$A$2:$V$4400,AS$1,FALSE)="","-",VLOOKUP(ROUND(CONCATENATE($A68,AS$2),0),'Cadastro dos Padrões'!$A$2:$V$4400,AS$1,FALSE))</f>
        <v>-</v>
      </c>
      <c r="AT68" s="31" t="str">
        <f>IF(VLOOKUP(ROUND(CONCATENATE($A68,AT$2),0),'Cadastro dos Padrões'!$A$2:$V$4400,AT$1,FALSE)="","-",VLOOKUP(ROUND(CONCATENATE($A68,AT$2),0),'Cadastro dos Padrões'!$A$2:$V$4400,AT$1,FALSE))</f>
        <v>-</v>
      </c>
      <c r="AU68" s="31" t="str">
        <f>IF(VLOOKUP(ROUND(CONCATENATE($A68,AU$2),0),'Cadastro dos Padrões'!$A$2:$V$4400,AU$1,FALSE)="","-",VLOOKUP(ROUND(CONCATENATE($A68,AU$2),0),'Cadastro dos Padrões'!$A$2:$V$4400,AU$1,FALSE))</f>
        <v>-</v>
      </c>
      <c r="AV68" s="31" t="str">
        <f>IF(VLOOKUP(ROUND(CONCATENATE($A68,AV$2),0),'Cadastro dos Padrões'!$A$2:$V$4400,AV$1,FALSE)="","-",VLOOKUP(ROUND(CONCATENATE($A68,AV$2),0),'Cadastro dos Padrões'!$A$2:$V$4400,AV$1,FALSE))</f>
        <v>-</v>
      </c>
      <c r="AW68" s="31" t="str">
        <f>IF(VLOOKUP(ROUND(CONCATENATE($A68,AW$2),0),'Cadastro dos Padrões'!$A$2:$V$4400,AW$1,FALSE)="","-",VLOOKUP(ROUND(CONCATENATE($A68,AW$2),0),'Cadastro dos Padrões'!$A$2:$V$4400,AW$1,FALSE))</f>
        <v>-</v>
      </c>
      <c r="AX68" s="31" t="str">
        <f>IF(VLOOKUP(ROUND(CONCATENATE($A68,AX$2),0),'Cadastro dos Padrões'!$A$2:$V$4400,AX$1,FALSE)="","-",VLOOKUP(ROUND(CONCATENATE($A68,AX$2),0),'Cadastro dos Padrões'!$A$2:$V$4400,AX$1,FALSE))</f>
        <v>-</v>
      </c>
      <c r="AY68" s="31" t="str">
        <f>IF(VLOOKUP(ROUND(CONCATENATE($A68,AY$2),0),'Cadastro dos Padrões'!$A$2:$V$4400,AY$1,FALSE)="","-",VLOOKUP(ROUND(CONCATENATE($A68,AY$2),0),'Cadastro dos Padrões'!$A$2:$V$4400,AY$1,FALSE))</f>
        <v>-</v>
      </c>
      <c r="AZ68" s="31" t="str">
        <f>IF(VLOOKUP(ROUND(CONCATENATE($A68,AZ$2),0),'Cadastro dos Padrões'!$A$2:$V$4400,AZ$1,FALSE)="","-",VLOOKUP(ROUND(CONCATENATE($A68,AZ$2),0),'Cadastro dos Padrões'!$A$2:$V$4400,AZ$1,FALSE))</f>
        <v>-</v>
      </c>
      <c r="BA68" s="31" t="str">
        <f>IF(VLOOKUP(ROUND(CONCATENATE($A68,BA$2),0),'Cadastro dos Padrões'!$A$2:$V$4400,BA$1,FALSE)="","-",VLOOKUP(ROUND(CONCATENATE($A68,BA$2),0),'Cadastro dos Padrões'!$A$2:$V$4400,BA$1,FALSE))</f>
        <v>-</v>
      </c>
      <c r="BB68" s="31" t="str">
        <f>IF(VLOOKUP(ROUND(CONCATENATE($A68,BB$2),0),'Cadastro dos Padrões'!$A$2:$V$4400,BB$1,FALSE)="","-",VLOOKUP(ROUND(CONCATENATE($A68,BB$2),0),'Cadastro dos Padrões'!$A$2:$V$4400,BB$1,FALSE))</f>
        <v>-</v>
      </c>
      <c r="BC68" s="31" t="str">
        <f>IF(VLOOKUP(ROUND(CONCATENATE($A68,BC$2),0),'Cadastro dos Padrões'!$A$2:$V$4400,BC$1,FALSE)="","-",VLOOKUP(ROUND(CONCATENATE($A68,BC$2),0),'Cadastro dos Padrões'!$A$2:$V$4400,BC$1,FALSE))</f>
        <v>-</v>
      </c>
      <c r="BD68" s="31" t="str">
        <f>IF(VLOOKUP(ROUND(CONCATENATE($A68,BD$2),0),'Cadastro dos Padrões'!$A$2:$V$4400,BD$1,FALSE)="","-",VLOOKUP(ROUND(CONCATENATE($A68,BD$2),0),'Cadastro dos Padrões'!$A$2:$V$4400,BD$1,FALSE))</f>
        <v>-</v>
      </c>
      <c r="BE68" s="31" t="str">
        <f>IF(VLOOKUP(ROUND(CONCATENATE($A68,BE$2),0),'Cadastro dos Padrões'!$A$2:$V$4400,BE$1,FALSE)="","-",VLOOKUP(ROUND(CONCATENATE($A68,BE$2),0),'Cadastro dos Padrões'!$A$2:$V$4400,BE$1,FALSE))</f>
        <v>-</v>
      </c>
      <c r="BF68" s="31" t="str">
        <f>IF(VLOOKUP(ROUND(CONCATENATE($A68,BF$2),0),'Cadastro dos Padrões'!$A$2:$V$4400,BF$1,FALSE)="","-",VLOOKUP(ROUND(CONCATENATE($A68,BF$2),0),'Cadastro dos Padrões'!$A$2:$V$4400,BF$1,FALSE))</f>
        <v>-</v>
      </c>
      <c r="BG68" s="31" t="str">
        <f>IF(VLOOKUP(ROUND(CONCATENATE($A68,BG$2),0),'Cadastro dos Padrões'!$A$2:$V$4400,BG$1,FALSE)="","-",VLOOKUP(ROUND(CONCATENATE($A68,BG$2),0),'Cadastro dos Padrões'!$A$2:$V$4400,BG$1,FALSE))</f>
        <v>-</v>
      </c>
      <c r="BH68" s="31" t="str">
        <f>IF(VLOOKUP(ROUND(CONCATENATE($A68,BH$2),0),'Cadastro dos Padrões'!$A$2:$V$4400,BH$1,FALSE)="","-",VLOOKUP(ROUND(CONCATENATE($A68,BH$2),0),'Cadastro dos Padrões'!$A$2:$V$4400,BH$1,FALSE))</f>
        <v>-</v>
      </c>
      <c r="BI68" s="31" t="str">
        <f>IF(VLOOKUP(ROUND(CONCATENATE($A68,BI$2),0),'Cadastro dos Padrões'!$A$2:$V$4400,BI$1,FALSE)="","-",VLOOKUP(ROUND(CONCATENATE($A68,BI$2),0),'Cadastro dos Padrões'!$A$2:$V$4400,BI$1,FALSE))</f>
        <v>-</v>
      </c>
      <c r="BJ68" s="31" t="str">
        <f>IF(VLOOKUP(ROUND(CONCATENATE($A68,BJ$2),0),'Cadastro dos Padrões'!$A$2:$V$4400,BJ$1,FALSE)="","-",VLOOKUP(ROUND(CONCATENATE($A68,BJ$2),0),'Cadastro dos Padrões'!$A$2:$V$4400,BJ$1,FALSE))</f>
        <v>-</v>
      </c>
      <c r="BK68" s="31" t="str">
        <f>IF(VLOOKUP(ROUND(CONCATENATE($A68,BK$2),0),'Cadastro dos Padrões'!$A$2:$V$4400,BK$1,FALSE)="","-",VLOOKUP(ROUND(CONCATENATE($A68,BK$2),0),'Cadastro dos Padrões'!$A$2:$V$4400,BK$1,FALSE))</f>
        <v>-</v>
      </c>
      <c r="BL68" s="31" t="str">
        <f>IF(VLOOKUP(ROUND(CONCATENATE($A68,BL$2),0),'Cadastro dos Padrões'!$A$2:$V$4400,BL$1,FALSE)="","-",VLOOKUP(ROUND(CONCATENATE($A68,BL$2),0),'Cadastro dos Padrões'!$A$2:$V$4400,BL$1,FALSE))</f>
        <v>-</v>
      </c>
      <c r="BM68" s="31" t="str">
        <f>IF(VLOOKUP(ROUND(CONCATENATE($A68,BM$2),0),'Cadastro dos Padrões'!$A$2:$V$4400,BM$1,FALSE)="","-",VLOOKUP(ROUND(CONCATENATE($A68,BM$2),0),'Cadastro dos Padrões'!$A$2:$V$4400,BM$1,FALSE))</f>
        <v>-</v>
      </c>
      <c r="BN68" s="31" t="str">
        <f>IF(VLOOKUP(ROUND(CONCATENATE($A68,BN$2),0),'Cadastro dos Padrões'!$A$2:$V$4400,BN$1,FALSE)="","-",VLOOKUP(ROUND(CONCATENATE($A68,BN$2),0),'Cadastro dos Padrões'!$A$2:$V$4400,BN$1,FALSE))</f>
        <v>-</v>
      </c>
      <c r="BO68" s="31" t="str">
        <f>IF(VLOOKUP(ROUND(CONCATENATE($A68,BO$2),0),'Cadastro dos Padrões'!$A$2:$V$4400,BO$1,FALSE)="","-",VLOOKUP(ROUND(CONCATENATE($A68,BO$2),0),'Cadastro dos Padrões'!$A$2:$V$4400,BO$1,FALSE))</f>
        <v>-</v>
      </c>
    </row>
    <row r="69" spans="1:67" x14ac:dyDescent="0.3">
      <c r="A69" s="6">
        <f t="shared" si="52"/>
        <v>64</v>
      </c>
      <c r="B69" s="31" t="str">
        <f>IF(VLOOKUP(ROUND(CONCATENATE($A69,B$2),0),'Cadastro dos Padrões'!$A$2:$V$4400,B$1,FALSE)="","-",VLOOKUP(ROUND(CONCATENATE($A69,B$2),0),'Cadastro dos Padrões'!$A$2:$V$4400,B$1,FALSE))</f>
        <v>E.TH.FS-041</v>
      </c>
      <c r="C69" s="31" t="str">
        <f>IF($B69="-","-",VLOOKUP(ROUND(CONCATENATE($A69,C$2),0),'Cadastro dos Padrões'!$A$2:$V$4400,C$1,FALSE))</f>
        <v>Termohigrômetro Digital</v>
      </c>
      <c r="D69" s="31">
        <f>IF($B69="-","-",VLOOKUP(ROUND(CONCATENATE($A69,D$2),0),'Cadastro dos Padrões'!$A$2:$V$4400,D$1,FALSE))</f>
        <v>20</v>
      </c>
      <c r="E69" s="31" t="str">
        <f>IF($B69="-","-",VLOOKUP(ROUND(CONCATENATE($A69,E$2),0),'Cadastro dos Padrões'!$A$2:$V$4400,E$1,FALSE))</f>
        <v>Elus</v>
      </c>
      <c r="F69" s="31" t="str">
        <f>IF($B69="-","-",VLOOKUP(ROUND(CONCATENATE($A69,F$2),0),'Cadastro dos Padrões'!$A$2:$V$4400,F$1,FALSE))</f>
        <v>RBC - CAL 0439</v>
      </c>
      <c r="G69" s="31" t="str">
        <f>IF($B69="-","-",VLOOKUP(ROUND(CONCATENATE($A69,G$2),0),'Cadastro dos Padrões'!$A$2:$V$4400,G$1,FALSE))</f>
        <v>R0030/25</v>
      </c>
      <c r="H69" s="32">
        <f>IF($B69="-","-",VLOOKUP(ROUND(CONCATENATE($A69,H$2),0),'Cadastro dos Padrões'!$A$2:$V$4400,H$1,FALSE))</f>
        <v>45692</v>
      </c>
      <c r="I69" s="33">
        <f>IF($B69="-","-",VLOOKUP(ROUND(CONCATENATE($A69,I$2),0),'Cadastro dos Padrões'!$A$2:$V$4400,I$1,FALSE))</f>
        <v>46081</v>
      </c>
      <c r="J69" s="31" t="str">
        <f>IF($B69="-","-",VLOOKUP(ROUND(CONCATENATE($A69,J$2),0),'Cadastro dos Padrões'!$A$2:$V$4400,J$1,FALSE))</f>
        <v>%ur</v>
      </c>
      <c r="K69" s="31">
        <f>IF($B69="-","-",VLOOKUP(ROUND(CONCATENATE($A69,K$2),0),'Cadastro dos Padrões'!$A$2:$V$4400,K$1,FALSE))</f>
        <v>30</v>
      </c>
      <c r="L69" s="31">
        <f>IF($B69="-","-",VLOOKUP(ROUND(CONCATENATE($A69,L$2),0),'Cadastro dos Padrões'!$A$2:$V$4400,L$1,FALSE))</f>
        <v>80</v>
      </c>
      <c r="M69" s="31">
        <f>IF($B69="-","-",VLOOKUP(ROUND(CONCATENATE($A69,M$2),0),'Cadastro dos Padrões'!$A$2:$V$4400,M$1,FALSE))</f>
        <v>1</v>
      </c>
      <c r="N69" s="31">
        <f>IF($B69="-","-",VLOOKUP(ROUND(CONCATENATE($A69,N$2),0),'Cadastro dos Padrões'!$A$2:$V$4400,N$1,FALSE))</f>
        <v>2</v>
      </c>
      <c r="O69" s="31">
        <f>IF($B69="-","-",VLOOKUP(ROUND(CONCATENATE($A69,O$2),0),'Cadastro dos Padrões'!$A$2:$V$4400,O$1,FALSE))</f>
        <v>2</v>
      </c>
      <c r="P69" s="31">
        <f>IF($B69="-","-",VLOOKUP(ROUND(CONCATENATE($A69,P$2),0),'Cadastro dos Padrões'!$A$2:$V$4400,P$1,FALSE))</f>
        <v>2</v>
      </c>
      <c r="Q69" s="31">
        <f>IF($B69="-","-",VLOOKUP(ROUND(CONCATENATE($A69,Q$2),0),'Cadastro dos Padrões'!$A$2:$V$4400,Q$1,FALSE))</f>
        <v>0.35223497683817584</v>
      </c>
      <c r="R69" s="31">
        <f>IF($B69="-","-",VLOOKUP(ROUND(CONCATENATE($A69,R$2),0),'Cadastro dos Padrões'!$A$2:$V$4400,R$1,FALSE))</f>
        <v>1</v>
      </c>
      <c r="S69" s="31">
        <f>IF($B69="-","-",VLOOKUP(ROUND(CONCATENATE($A69,S$2),0),'Cadastro dos Padrões'!$A$2:$V$4400,S$1,FALSE))</f>
        <v>0</v>
      </c>
      <c r="T69" s="31">
        <f>IF($B69="-","-",VLOOKUP(ROUND(CONCATENATE($A69,T$2),0),'Cadastro dos Padrões'!$A$2:$V$4400,T$1,FALSE))</f>
        <v>0</v>
      </c>
      <c r="U69" s="31">
        <f>IF($B69="-","-",VLOOKUP(ROUND(CONCATENATE($A69,U$2),0),'Cadastro dos Padrões'!$A$2:$V$4400,U$1,FALSE))</f>
        <v>0</v>
      </c>
      <c r="V69" s="31">
        <f>IF($B69="-","-",VLOOKUP(ROUND(CONCATENATE($A69,V$2),0),'Cadastro dos Padrões'!$A$2:$V$4400,V$1,FALSE))</f>
        <v>0</v>
      </c>
      <c r="W69" s="31">
        <f>IF($B69="-","-",VLOOKUP(ROUND(CONCATENATE($A69,W$2),0),'Cadastro dos Padrões'!$A$2:$V$4400,W$1,FALSE))</f>
        <v>0</v>
      </c>
      <c r="X69" s="31">
        <f>IF($B69="-","-",VLOOKUP(ROUND(CONCATENATE($A69,X$2),0),'Cadastro dos Padrões'!$A$2:$V$4400,X$1,FALSE))</f>
        <v>0</v>
      </c>
      <c r="Y69" s="31">
        <f>IF($B69="-","-",VLOOKUP(ROUND(CONCATENATE($A69,Y$2),0),'Cadastro dos Padrões'!$A$2:$V$4400,Y$1,FALSE))</f>
        <v>0</v>
      </c>
      <c r="Z69" s="31">
        <f>IF($B69="-","-",VLOOKUP(ROUND(CONCATENATE($A69,Z$2),0),'Cadastro dos Padrões'!$A$2:$V$4400,Z$1,FALSE))</f>
        <v>1.0856079404466503</v>
      </c>
      <c r="AA69" s="31">
        <f>IF($B69="-","-",VLOOKUP(ROUND(CONCATENATE($A69,AA$2),0),'Cadastro dos Padrões'!$A$2:$V$4400,AA$1,FALSE))</f>
        <v>-4.5657568238213528</v>
      </c>
      <c r="AB69" s="31">
        <f>IF(VLOOKUP(ROUND(CONCATENATE($A69,AB$2),0),'Cadastro dos Padrões'!$A$2:$V$4400,AB$1,FALSE)="","-",VLOOKUP(ROUND(CONCATENATE($A69,AB$2),0),'Cadastro dos Padrões'!$A$2:$V$4400,AB$1,FALSE))</f>
        <v>30</v>
      </c>
      <c r="AC69" s="31">
        <f>IF(VLOOKUP(ROUND(CONCATENATE($A69,AC$2),0),'Cadastro dos Padrões'!$A$2:$V$4400,AC$1,FALSE)="","-",VLOOKUP(ROUND(CONCATENATE($A69,AC$2),0),'Cadastro dos Padrões'!$A$2:$V$4400,AC$1,FALSE))</f>
        <v>1</v>
      </c>
      <c r="AD69" s="31">
        <f>IF(VLOOKUP(ROUND(CONCATENATE($A69,AD$2),0),'Cadastro dos Padrões'!$A$2:$V$4400,AD$1,FALSE)="","-",VLOOKUP(ROUND(CONCATENATE($A69,AD$2),0),'Cadastro dos Padrões'!$A$2:$V$4400,AD$1,FALSE))</f>
        <v>2</v>
      </c>
      <c r="AE69" s="31">
        <f>IF(VLOOKUP(ROUND(CONCATENATE($A69,AE$2),0),'Cadastro dos Padrões'!$A$2:$V$4400,AE$1,FALSE)="","-",VLOOKUP(ROUND(CONCATENATE($A69,AE$2),0),'Cadastro dos Padrões'!$A$2:$V$4400,AE$1,FALSE))</f>
        <v>1000000</v>
      </c>
      <c r="AF69" s="31">
        <f>IF(VLOOKUP(ROUND(CONCATENATE($A69,AF$2),0),'Cadastro dos Padrões'!$A$2:$V$4400,AF$1,FALSE)="","-",VLOOKUP(ROUND(CONCATENATE($A69,AF$2),0),'Cadastro dos Padrões'!$A$2:$V$4400,AF$1,FALSE))</f>
        <v>50</v>
      </c>
      <c r="AG69" s="31">
        <f>IF(VLOOKUP(ROUND(CONCATENATE($A69,AG$2),0),'Cadastro dos Padrões'!$A$2:$V$4400,AG$1,FALSE)="","-",VLOOKUP(ROUND(CONCATENATE($A69,AG$2),0),'Cadastro dos Padrões'!$A$2:$V$4400,AG$1,FALSE))</f>
        <v>2</v>
      </c>
      <c r="AH69" s="31">
        <f>IF(VLOOKUP(ROUND(CONCATENATE($A69,AH$2),0),'Cadastro dos Padrões'!$A$2:$V$4400,AH$1,FALSE)="","-",VLOOKUP(ROUND(CONCATENATE($A69,AH$2),0),'Cadastro dos Padrões'!$A$2:$V$4400,AH$1,FALSE))</f>
        <v>2</v>
      </c>
      <c r="AI69" s="31">
        <f>IF(VLOOKUP(ROUND(CONCATENATE($A69,AI$2),0),'Cadastro dos Padrões'!$A$2:$V$4400,AI$1,FALSE)="","-",VLOOKUP(ROUND(CONCATENATE($A69,AI$2),0),'Cadastro dos Padrões'!$A$2:$V$4400,AI$1,FALSE))</f>
        <v>1000000</v>
      </c>
      <c r="AJ69" s="31">
        <f>IF(VLOOKUP(ROUND(CONCATENATE($A69,AJ$2),0),'Cadastro dos Padrões'!$A$2:$V$4400,AJ$1,FALSE)="","-",VLOOKUP(ROUND(CONCATENATE($A69,AJ$2),0),'Cadastro dos Padrões'!$A$2:$V$4400,AJ$1,FALSE))</f>
        <v>80</v>
      </c>
      <c r="AK69" s="31">
        <f>IF(VLOOKUP(ROUND(CONCATENATE($A69,AK$2),0),'Cadastro dos Padrões'!$A$2:$V$4400,AK$1,FALSE)="","-",VLOOKUP(ROUND(CONCATENATE($A69,AK$2),0),'Cadastro dos Padrões'!$A$2:$V$4400,AK$1,FALSE))</f>
        <v>2</v>
      </c>
      <c r="AL69" s="31">
        <f>IF(VLOOKUP(ROUND(CONCATENATE($A69,AL$2),0),'Cadastro dos Padrões'!$A$2:$V$4400,AL$1,FALSE)="","-",VLOOKUP(ROUND(CONCATENATE($A69,AL$2),0),'Cadastro dos Padrões'!$A$2:$V$4400,AL$1,FALSE))</f>
        <v>2</v>
      </c>
      <c r="AM69" s="31">
        <f>IF(VLOOKUP(ROUND(CONCATENATE($A69,AM$2),0),'Cadastro dos Padrões'!$A$2:$V$4400,AM$1,FALSE)="","-",VLOOKUP(ROUND(CONCATENATE($A69,AM$2),0),'Cadastro dos Padrões'!$A$2:$V$4400,AM$1,FALSE))</f>
        <v>1000000</v>
      </c>
      <c r="AN69" s="31" t="str">
        <f>IF(VLOOKUP(ROUND(CONCATENATE($A69,AN$2),0),'Cadastro dos Padrões'!$A$2:$V$4400,AN$1,FALSE)="","-",VLOOKUP(ROUND(CONCATENATE($A69,AN$2),0),'Cadastro dos Padrões'!$A$2:$V$4400,AN$1,FALSE))</f>
        <v>-</v>
      </c>
      <c r="AO69" s="31" t="str">
        <f>IF(VLOOKUP(ROUND(CONCATENATE($A69,AO$2),0),'Cadastro dos Padrões'!$A$2:$V$4400,AO$1,FALSE)="","-",VLOOKUP(ROUND(CONCATENATE($A69,AO$2),0),'Cadastro dos Padrões'!$A$2:$V$4400,AO$1,FALSE))</f>
        <v>-</v>
      </c>
      <c r="AP69" s="31" t="str">
        <f>IF(VLOOKUP(ROUND(CONCATENATE($A69,AP$2),0),'Cadastro dos Padrões'!$A$2:$V$4400,AP$1,FALSE)="","-",VLOOKUP(ROUND(CONCATENATE($A69,AP$2),0),'Cadastro dos Padrões'!$A$2:$V$4400,AP$1,FALSE))</f>
        <v>-</v>
      </c>
      <c r="AQ69" s="31" t="str">
        <f>IF(VLOOKUP(ROUND(CONCATENATE($A69,AQ$2),0),'Cadastro dos Padrões'!$A$2:$V$4400,AQ$1,FALSE)="","-",VLOOKUP(ROUND(CONCATENATE($A69,AQ$2),0),'Cadastro dos Padrões'!$A$2:$V$4400,AQ$1,FALSE))</f>
        <v>-</v>
      </c>
      <c r="AR69" s="31" t="str">
        <f>IF(VLOOKUP(ROUND(CONCATENATE($A69,AR$2),0),'Cadastro dos Padrões'!$A$2:$V$4400,AR$1,FALSE)="","-",VLOOKUP(ROUND(CONCATENATE($A69,AR$2),0),'Cadastro dos Padrões'!$A$2:$V$4400,AR$1,FALSE))</f>
        <v>-</v>
      </c>
      <c r="AS69" s="31" t="str">
        <f>IF(VLOOKUP(ROUND(CONCATENATE($A69,AS$2),0),'Cadastro dos Padrões'!$A$2:$V$4400,AS$1,FALSE)="","-",VLOOKUP(ROUND(CONCATENATE($A69,AS$2),0),'Cadastro dos Padrões'!$A$2:$V$4400,AS$1,FALSE))</f>
        <v>-</v>
      </c>
      <c r="AT69" s="31" t="str">
        <f>IF(VLOOKUP(ROUND(CONCATENATE($A69,AT$2),0),'Cadastro dos Padrões'!$A$2:$V$4400,AT$1,FALSE)="","-",VLOOKUP(ROUND(CONCATENATE($A69,AT$2),0),'Cadastro dos Padrões'!$A$2:$V$4400,AT$1,FALSE))</f>
        <v>-</v>
      </c>
      <c r="AU69" s="31" t="str">
        <f>IF(VLOOKUP(ROUND(CONCATENATE($A69,AU$2),0),'Cadastro dos Padrões'!$A$2:$V$4400,AU$1,FALSE)="","-",VLOOKUP(ROUND(CONCATENATE($A69,AU$2),0),'Cadastro dos Padrões'!$A$2:$V$4400,AU$1,FALSE))</f>
        <v>-</v>
      </c>
      <c r="AV69" s="31" t="str">
        <f>IF(VLOOKUP(ROUND(CONCATENATE($A69,AV$2),0),'Cadastro dos Padrões'!$A$2:$V$4400,AV$1,FALSE)="","-",VLOOKUP(ROUND(CONCATENATE($A69,AV$2),0),'Cadastro dos Padrões'!$A$2:$V$4400,AV$1,FALSE))</f>
        <v>-</v>
      </c>
      <c r="AW69" s="31" t="str">
        <f>IF(VLOOKUP(ROUND(CONCATENATE($A69,AW$2),0),'Cadastro dos Padrões'!$A$2:$V$4400,AW$1,FALSE)="","-",VLOOKUP(ROUND(CONCATENATE($A69,AW$2),0),'Cadastro dos Padrões'!$A$2:$V$4400,AW$1,FALSE))</f>
        <v>-</v>
      </c>
      <c r="AX69" s="31" t="str">
        <f>IF(VLOOKUP(ROUND(CONCATENATE($A69,AX$2),0),'Cadastro dos Padrões'!$A$2:$V$4400,AX$1,FALSE)="","-",VLOOKUP(ROUND(CONCATENATE($A69,AX$2),0),'Cadastro dos Padrões'!$A$2:$V$4400,AX$1,FALSE))</f>
        <v>-</v>
      </c>
      <c r="AY69" s="31" t="str">
        <f>IF(VLOOKUP(ROUND(CONCATENATE($A69,AY$2),0),'Cadastro dos Padrões'!$A$2:$V$4400,AY$1,FALSE)="","-",VLOOKUP(ROUND(CONCATENATE($A69,AY$2),0),'Cadastro dos Padrões'!$A$2:$V$4400,AY$1,FALSE))</f>
        <v>-</v>
      </c>
      <c r="AZ69" s="31" t="str">
        <f>IF(VLOOKUP(ROUND(CONCATENATE($A69,AZ$2),0),'Cadastro dos Padrões'!$A$2:$V$4400,AZ$1,FALSE)="","-",VLOOKUP(ROUND(CONCATENATE($A69,AZ$2),0),'Cadastro dos Padrões'!$A$2:$V$4400,AZ$1,FALSE))</f>
        <v>-</v>
      </c>
      <c r="BA69" s="31" t="str">
        <f>IF(VLOOKUP(ROUND(CONCATENATE($A69,BA$2),0),'Cadastro dos Padrões'!$A$2:$V$4400,BA$1,FALSE)="","-",VLOOKUP(ROUND(CONCATENATE($A69,BA$2),0),'Cadastro dos Padrões'!$A$2:$V$4400,BA$1,FALSE))</f>
        <v>-</v>
      </c>
      <c r="BB69" s="31" t="str">
        <f>IF(VLOOKUP(ROUND(CONCATENATE($A69,BB$2),0),'Cadastro dos Padrões'!$A$2:$V$4400,BB$1,FALSE)="","-",VLOOKUP(ROUND(CONCATENATE($A69,BB$2),0),'Cadastro dos Padrões'!$A$2:$V$4400,BB$1,FALSE))</f>
        <v>-</v>
      </c>
      <c r="BC69" s="31" t="str">
        <f>IF(VLOOKUP(ROUND(CONCATENATE($A69,BC$2),0),'Cadastro dos Padrões'!$A$2:$V$4400,BC$1,FALSE)="","-",VLOOKUP(ROUND(CONCATENATE($A69,BC$2),0),'Cadastro dos Padrões'!$A$2:$V$4400,BC$1,FALSE))</f>
        <v>-</v>
      </c>
      <c r="BD69" s="31" t="str">
        <f>IF(VLOOKUP(ROUND(CONCATENATE($A69,BD$2),0),'Cadastro dos Padrões'!$A$2:$V$4400,BD$1,FALSE)="","-",VLOOKUP(ROUND(CONCATENATE($A69,BD$2),0),'Cadastro dos Padrões'!$A$2:$V$4400,BD$1,FALSE))</f>
        <v>-</v>
      </c>
      <c r="BE69" s="31" t="str">
        <f>IF(VLOOKUP(ROUND(CONCATENATE($A69,BE$2),0),'Cadastro dos Padrões'!$A$2:$V$4400,BE$1,FALSE)="","-",VLOOKUP(ROUND(CONCATENATE($A69,BE$2),0),'Cadastro dos Padrões'!$A$2:$V$4400,BE$1,FALSE))</f>
        <v>-</v>
      </c>
      <c r="BF69" s="31" t="str">
        <f>IF(VLOOKUP(ROUND(CONCATENATE($A69,BF$2),0),'Cadastro dos Padrões'!$A$2:$V$4400,BF$1,FALSE)="","-",VLOOKUP(ROUND(CONCATENATE($A69,BF$2),0),'Cadastro dos Padrões'!$A$2:$V$4400,BF$1,FALSE))</f>
        <v>-</v>
      </c>
      <c r="BG69" s="31" t="str">
        <f>IF(VLOOKUP(ROUND(CONCATENATE($A69,BG$2),0),'Cadastro dos Padrões'!$A$2:$V$4400,BG$1,FALSE)="","-",VLOOKUP(ROUND(CONCATENATE($A69,BG$2),0),'Cadastro dos Padrões'!$A$2:$V$4400,BG$1,FALSE))</f>
        <v>-</v>
      </c>
      <c r="BH69" s="31" t="str">
        <f>IF(VLOOKUP(ROUND(CONCATENATE($A69,BH$2),0),'Cadastro dos Padrões'!$A$2:$V$4400,BH$1,FALSE)="","-",VLOOKUP(ROUND(CONCATENATE($A69,BH$2),0),'Cadastro dos Padrões'!$A$2:$V$4400,BH$1,FALSE))</f>
        <v>-</v>
      </c>
      <c r="BI69" s="31" t="str">
        <f>IF(VLOOKUP(ROUND(CONCATENATE($A69,BI$2),0),'Cadastro dos Padrões'!$A$2:$V$4400,BI$1,FALSE)="","-",VLOOKUP(ROUND(CONCATENATE($A69,BI$2),0),'Cadastro dos Padrões'!$A$2:$V$4400,BI$1,FALSE))</f>
        <v>-</v>
      </c>
      <c r="BJ69" s="31" t="str">
        <f>IF(VLOOKUP(ROUND(CONCATENATE($A69,BJ$2),0),'Cadastro dos Padrões'!$A$2:$V$4400,BJ$1,FALSE)="","-",VLOOKUP(ROUND(CONCATENATE($A69,BJ$2),0),'Cadastro dos Padrões'!$A$2:$V$4400,BJ$1,FALSE))</f>
        <v>-</v>
      </c>
      <c r="BK69" s="31" t="str">
        <f>IF(VLOOKUP(ROUND(CONCATENATE($A69,BK$2),0),'Cadastro dos Padrões'!$A$2:$V$4400,BK$1,FALSE)="","-",VLOOKUP(ROUND(CONCATENATE($A69,BK$2),0),'Cadastro dos Padrões'!$A$2:$V$4400,BK$1,FALSE))</f>
        <v>-</v>
      </c>
      <c r="BL69" s="31" t="str">
        <f>IF(VLOOKUP(ROUND(CONCATENATE($A69,BL$2),0),'Cadastro dos Padrões'!$A$2:$V$4400,BL$1,FALSE)="","-",VLOOKUP(ROUND(CONCATENATE($A69,BL$2),0),'Cadastro dos Padrões'!$A$2:$V$4400,BL$1,FALSE))</f>
        <v>-</v>
      </c>
      <c r="BM69" s="31" t="str">
        <f>IF(VLOOKUP(ROUND(CONCATENATE($A69,BM$2),0),'Cadastro dos Padrões'!$A$2:$V$4400,BM$1,FALSE)="","-",VLOOKUP(ROUND(CONCATENATE($A69,BM$2),0),'Cadastro dos Padrões'!$A$2:$V$4400,BM$1,FALSE))</f>
        <v>-</v>
      </c>
      <c r="BN69" s="31" t="str">
        <f>IF(VLOOKUP(ROUND(CONCATENATE($A69,BN$2),0),'Cadastro dos Padrões'!$A$2:$V$4400,BN$1,FALSE)="","-",VLOOKUP(ROUND(CONCATENATE($A69,BN$2),0),'Cadastro dos Padrões'!$A$2:$V$4400,BN$1,FALSE))</f>
        <v>-</v>
      </c>
      <c r="BO69" s="31" t="str">
        <f>IF(VLOOKUP(ROUND(CONCATENATE($A69,BO$2),0),'Cadastro dos Padrões'!$A$2:$V$4400,BO$1,FALSE)="","-",VLOOKUP(ROUND(CONCATENATE($A69,BO$2),0),'Cadastro dos Padrões'!$A$2:$V$4400,BO$1,FALSE))</f>
        <v>-</v>
      </c>
    </row>
    <row r="70" spans="1:67" x14ac:dyDescent="0.3">
      <c r="A70" s="6">
        <f t="shared" si="52"/>
        <v>65</v>
      </c>
      <c r="B70" s="31" t="str">
        <f>IF(VLOOKUP(ROUND(CONCATENATE($A70,B$2),0),'Cadastro dos Padrões'!$A$2:$V$4400,B$1,FALSE)="","-",VLOOKUP(ROUND(CONCATENATE($A70,B$2),0),'Cadastro dos Padrões'!$A$2:$V$4400,B$1,FALSE))</f>
        <v>E.TH.FS-042</v>
      </c>
      <c r="C70" s="31" t="str">
        <f>IF($B70="-","-",VLOOKUP(ROUND(CONCATENATE($A70,C$2),0),'Cadastro dos Padrões'!$A$2:$V$4400,C$1,FALSE))</f>
        <v>Termohigrômetro Digital</v>
      </c>
      <c r="D70" s="31">
        <f>IF($B70="-","-",VLOOKUP(ROUND(CONCATENATE($A70,D$2),0),'Cadastro dos Padrões'!$A$2:$V$4400,D$1,FALSE))</f>
        <v>20</v>
      </c>
      <c r="E70" s="31" t="str">
        <f>IF($B70="-","-",VLOOKUP(ROUND(CONCATENATE($A70,E$2),0),'Cadastro dos Padrões'!$A$2:$V$4400,E$1,FALSE))</f>
        <v>Elus</v>
      </c>
      <c r="F70" s="31" t="str">
        <f>IF($B70="-","-",VLOOKUP(ROUND(CONCATENATE($A70,F$2),0),'Cadastro dos Padrões'!$A$2:$V$4400,F$1,FALSE))</f>
        <v>RBC - CAL 0439</v>
      </c>
      <c r="G70" s="31" t="str">
        <f>IF($B70="-","-",VLOOKUP(ROUND(CONCATENATE($A70,G$2),0),'Cadastro dos Padrões'!$A$2:$V$4400,G$1,FALSE))</f>
        <v>E0053/26</v>
      </c>
      <c r="H70" s="32">
        <f>IF($B70="-","-",VLOOKUP(ROUND(CONCATENATE($A70,H$2),0),'Cadastro dos Padrões'!$A$2:$V$4400,H$1,FALSE))</f>
        <v>46056</v>
      </c>
      <c r="I70" s="33">
        <f>IF($B70="-","-",VLOOKUP(ROUND(CONCATENATE($A70,I$2),0),'Cadastro dos Padrões'!$A$2:$V$4400,I$1,FALSE))</f>
        <v>46446</v>
      </c>
      <c r="J70" s="31" t="str">
        <f>IF($B70="-","-",VLOOKUP(ROUND(CONCATENATE($A70,J$2),0),'Cadastro dos Padrões'!$A$2:$V$4400,J$1,FALSE))</f>
        <v>%ur</v>
      </c>
      <c r="K70" s="31">
        <f>IF($B70="-","-",VLOOKUP(ROUND(CONCATENATE($A70,K$2),0),'Cadastro dos Padrões'!$A$2:$V$4400,K$1,FALSE))</f>
        <v>30</v>
      </c>
      <c r="L70" s="31">
        <f>IF($B70="-","-",VLOOKUP(ROUND(CONCATENATE($A70,L$2),0),'Cadastro dos Padrões'!$A$2:$V$4400,L$1,FALSE))</f>
        <v>80</v>
      </c>
      <c r="M70" s="31">
        <f>IF($B70="-","-",VLOOKUP(ROUND(CONCATENATE($A70,M$2),0),'Cadastro dos Padrões'!$A$2:$V$4400,M$1,FALSE))</f>
        <v>1</v>
      </c>
      <c r="N70" s="31">
        <f>IF($B70="-","-",VLOOKUP(ROUND(CONCATENATE($A70,N$2),0),'Cadastro dos Padrões'!$A$2:$V$4400,N$1,FALSE))</f>
        <v>2</v>
      </c>
      <c r="O70" s="31">
        <f>IF($B70="-","-",VLOOKUP(ROUND(CONCATENATE($A70,O$2),0),'Cadastro dos Padrões'!$A$2:$V$4400,O$1,FALSE))</f>
        <v>2</v>
      </c>
      <c r="P70" s="31">
        <f>IF($B70="-","-",VLOOKUP(ROUND(CONCATENATE($A70,P$2),0),'Cadastro dos Padrões'!$A$2:$V$4400,P$1,FALSE))</f>
        <v>4</v>
      </c>
      <c r="Q70" s="31">
        <f>IF($B70="-","-",VLOOKUP(ROUND(CONCATENATE($A70,Q$2),0),'Cadastro dos Padrões'!$A$2:$V$4400,Q$1,FALSE))</f>
        <v>0.80876931010327979</v>
      </c>
      <c r="R70" s="31">
        <f>IF($B70="-","-",VLOOKUP(ROUND(CONCATENATE($A70,R$2),0),'Cadastro dos Padrões'!$A$2:$V$4400,R$1,FALSE))</f>
        <v>1</v>
      </c>
      <c r="S70" s="31">
        <f>IF($B70="-","-",VLOOKUP(ROUND(CONCATENATE($A70,S$2),0),'Cadastro dos Padrões'!$A$2:$V$4400,S$1,FALSE))</f>
        <v>0</v>
      </c>
      <c r="T70" s="31">
        <f>IF($B70="-","-",VLOOKUP(ROUND(CONCATENATE($A70,T$2),0),'Cadastro dos Padrões'!$A$2:$V$4400,T$1,FALSE))</f>
        <v>0</v>
      </c>
      <c r="U70" s="31">
        <f>IF($B70="-","-",VLOOKUP(ROUND(CONCATENATE($A70,U$2),0),'Cadastro dos Padrões'!$A$2:$V$4400,U$1,FALSE))</f>
        <v>0</v>
      </c>
      <c r="V70" s="31">
        <f>IF($B70="-","-",VLOOKUP(ROUND(CONCATENATE($A70,V$2),0),'Cadastro dos Padrões'!$A$2:$V$4400,V$1,FALSE))</f>
        <v>0</v>
      </c>
      <c r="W70" s="31">
        <f>IF($B70="-","-",VLOOKUP(ROUND(CONCATENATE($A70,W$2),0),'Cadastro dos Padrões'!$A$2:$V$4400,W$1,FALSE))</f>
        <v>0</v>
      </c>
      <c r="X70" s="31">
        <f>IF($B70="-","-",VLOOKUP(ROUND(CONCATENATE($A70,X$2),0),'Cadastro dos Padrões'!$A$2:$V$4400,X$1,FALSE))</f>
        <v>0</v>
      </c>
      <c r="Y70" s="31">
        <f>IF($B70="-","-",VLOOKUP(ROUND(CONCATENATE($A70,Y$2),0),'Cadastro dos Padrões'!$A$2:$V$4400,Y$1,FALSE))</f>
        <v>0</v>
      </c>
      <c r="Z70" s="31">
        <f>IF($B70="-","-",VLOOKUP(ROUND(CONCATENATE($A70,Z$2),0),'Cadastro dos Padrões'!$A$2:$V$4400,Z$1,FALSE))</f>
        <v>0.99686028257456805</v>
      </c>
      <c r="AA70" s="31">
        <f>IF($B70="-","-",VLOOKUP(ROUND(CONCATENATE($A70,AA$2),0),'Cadastro dos Padrões'!$A$2:$V$4400,AA$1,FALSE))</f>
        <v>-1.4939822082679086</v>
      </c>
      <c r="AB70" s="31">
        <f>IF(VLOOKUP(ROUND(CONCATENATE($A70,AB$2),0),'Cadastro dos Padrões'!$A$2:$V$4400,AB$1,FALSE)="","-",VLOOKUP(ROUND(CONCATENATE($A70,AB$2),0),'Cadastro dos Padrões'!$A$2:$V$4400,AB$1,FALSE))</f>
        <v>30</v>
      </c>
      <c r="AC70" s="31">
        <f>IF(VLOOKUP(ROUND(CONCATENATE($A70,AC$2),0),'Cadastro dos Padrões'!$A$2:$V$4400,AC$1,FALSE)="","-",VLOOKUP(ROUND(CONCATENATE($A70,AC$2),0),'Cadastro dos Padrões'!$A$2:$V$4400,AC$1,FALSE))</f>
        <v>2</v>
      </c>
      <c r="AD70" s="31">
        <f>IF(VLOOKUP(ROUND(CONCATENATE($A70,AD$2),0),'Cadastro dos Padrões'!$A$2:$V$4400,AD$1,FALSE)="","-",VLOOKUP(ROUND(CONCATENATE($A70,AD$2),0),'Cadastro dos Padrões'!$A$2:$V$4400,AD$1,FALSE))</f>
        <v>2</v>
      </c>
      <c r="AE70" s="31">
        <f>IF(VLOOKUP(ROUND(CONCATENATE($A70,AE$2),0),'Cadastro dos Padrões'!$A$2:$V$4400,AE$1,FALSE)="","-",VLOOKUP(ROUND(CONCATENATE($A70,AE$2),0),'Cadastro dos Padrões'!$A$2:$V$4400,AE$1,FALSE))</f>
        <v>1000000</v>
      </c>
      <c r="AF70" s="31">
        <f>IF(VLOOKUP(ROUND(CONCATENATE($A70,AF$2),0),'Cadastro dos Padrões'!$A$2:$V$4400,AF$1,FALSE)="","-",VLOOKUP(ROUND(CONCATENATE($A70,AF$2),0),'Cadastro dos Padrões'!$A$2:$V$4400,AF$1,FALSE))</f>
        <v>50</v>
      </c>
      <c r="AG70" s="31">
        <f>IF(VLOOKUP(ROUND(CONCATENATE($A70,AG$2),0),'Cadastro dos Padrões'!$A$2:$V$4400,AG$1,FALSE)="","-",VLOOKUP(ROUND(CONCATENATE($A70,AG$2),0),'Cadastro dos Padrões'!$A$2:$V$4400,AG$1,FALSE))</f>
        <v>2</v>
      </c>
      <c r="AH70" s="31">
        <f>IF(VLOOKUP(ROUND(CONCATENATE($A70,AH$2),0),'Cadastro dos Padrões'!$A$2:$V$4400,AH$1,FALSE)="","-",VLOOKUP(ROUND(CONCATENATE($A70,AH$2),0),'Cadastro dos Padrões'!$A$2:$V$4400,AH$1,FALSE))</f>
        <v>2</v>
      </c>
      <c r="AI70" s="31">
        <f>IF(VLOOKUP(ROUND(CONCATENATE($A70,AI$2),0),'Cadastro dos Padrões'!$A$2:$V$4400,AI$1,FALSE)="","-",VLOOKUP(ROUND(CONCATENATE($A70,AI$2),0),'Cadastro dos Padrões'!$A$2:$V$4400,AI$1,FALSE))</f>
        <v>1000000</v>
      </c>
      <c r="AJ70" s="31">
        <f>IF(VLOOKUP(ROUND(CONCATENATE($A70,AJ$2),0),'Cadastro dos Padrões'!$A$2:$V$4400,AJ$1,FALSE)="","-",VLOOKUP(ROUND(CONCATENATE($A70,AJ$2),0),'Cadastro dos Padrões'!$A$2:$V$4400,AJ$1,FALSE))</f>
        <v>80</v>
      </c>
      <c r="AK70" s="31">
        <f>IF(VLOOKUP(ROUND(CONCATENATE($A70,AK$2),0),'Cadastro dos Padrões'!$A$2:$V$4400,AK$1,FALSE)="","-",VLOOKUP(ROUND(CONCATENATE($A70,AK$2),0),'Cadastro dos Padrões'!$A$2:$V$4400,AK$1,FALSE))</f>
        <v>2</v>
      </c>
      <c r="AL70" s="31">
        <f>IF(VLOOKUP(ROUND(CONCATENATE($A70,AL$2),0),'Cadastro dos Padrões'!$A$2:$V$4400,AL$1,FALSE)="","-",VLOOKUP(ROUND(CONCATENATE($A70,AL$2),0),'Cadastro dos Padrões'!$A$2:$V$4400,AL$1,FALSE))</f>
        <v>2</v>
      </c>
      <c r="AM70" s="31">
        <f>IF(VLOOKUP(ROUND(CONCATENATE($A70,AM$2),0),'Cadastro dos Padrões'!$A$2:$V$4400,AM$1,FALSE)="","-",VLOOKUP(ROUND(CONCATENATE($A70,AM$2),0),'Cadastro dos Padrões'!$A$2:$V$4400,AM$1,FALSE))</f>
        <v>1000000</v>
      </c>
      <c r="AN70" s="31" t="str">
        <f>IF(VLOOKUP(ROUND(CONCATENATE($A70,AN$2),0),'Cadastro dos Padrões'!$A$2:$V$4400,AN$1,FALSE)="","-",VLOOKUP(ROUND(CONCATENATE($A70,AN$2),0),'Cadastro dos Padrões'!$A$2:$V$4400,AN$1,FALSE))</f>
        <v>-</v>
      </c>
      <c r="AO70" s="31" t="str">
        <f>IF(VLOOKUP(ROUND(CONCATENATE($A70,AO$2),0),'Cadastro dos Padrões'!$A$2:$V$4400,AO$1,FALSE)="","-",VLOOKUP(ROUND(CONCATENATE($A70,AO$2),0),'Cadastro dos Padrões'!$A$2:$V$4400,AO$1,FALSE))</f>
        <v>-</v>
      </c>
      <c r="AP70" s="31" t="str">
        <f>IF(VLOOKUP(ROUND(CONCATENATE($A70,AP$2),0),'Cadastro dos Padrões'!$A$2:$V$4400,AP$1,FALSE)="","-",VLOOKUP(ROUND(CONCATENATE($A70,AP$2),0),'Cadastro dos Padrões'!$A$2:$V$4400,AP$1,FALSE))</f>
        <v>-</v>
      </c>
      <c r="AQ70" s="31" t="str">
        <f>IF(VLOOKUP(ROUND(CONCATENATE($A70,AQ$2),0),'Cadastro dos Padrões'!$A$2:$V$4400,AQ$1,FALSE)="","-",VLOOKUP(ROUND(CONCATENATE($A70,AQ$2),0),'Cadastro dos Padrões'!$A$2:$V$4400,AQ$1,FALSE))</f>
        <v>-</v>
      </c>
      <c r="AR70" s="31" t="str">
        <f>IF(VLOOKUP(ROUND(CONCATENATE($A70,AR$2),0),'Cadastro dos Padrões'!$A$2:$V$4400,AR$1,FALSE)="","-",VLOOKUP(ROUND(CONCATENATE($A70,AR$2),0),'Cadastro dos Padrões'!$A$2:$V$4400,AR$1,FALSE))</f>
        <v>-</v>
      </c>
      <c r="AS70" s="31" t="str">
        <f>IF(VLOOKUP(ROUND(CONCATENATE($A70,AS$2),0),'Cadastro dos Padrões'!$A$2:$V$4400,AS$1,FALSE)="","-",VLOOKUP(ROUND(CONCATENATE($A70,AS$2),0),'Cadastro dos Padrões'!$A$2:$V$4400,AS$1,FALSE))</f>
        <v>-</v>
      </c>
      <c r="AT70" s="31" t="str">
        <f>IF(VLOOKUP(ROUND(CONCATENATE($A70,AT$2),0),'Cadastro dos Padrões'!$A$2:$V$4400,AT$1,FALSE)="","-",VLOOKUP(ROUND(CONCATENATE($A70,AT$2),0),'Cadastro dos Padrões'!$A$2:$V$4400,AT$1,FALSE))</f>
        <v>-</v>
      </c>
      <c r="AU70" s="31" t="str">
        <f>IF(VLOOKUP(ROUND(CONCATENATE($A70,AU$2),0),'Cadastro dos Padrões'!$A$2:$V$4400,AU$1,FALSE)="","-",VLOOKUP(ROUND(CONCATENATE($A70,AU$2),0),'Cadastro dos Padrões'!$A$2:$V$4400,AU$1,FALSE))</f>
        <v>-</v>
      </c>
      <c r="AV70" s="31" t="str">
        <f>IF(VLOOKUP(ROUND(CONCATENATE($A70,AV$2),0),'Cadastro dos Padrões'!$A$2:$V$4400,AV$1,FALSE)="","-",VLOOKUP(ROUND(CONCATENATE($A70,AV$2),0),'Cadastro dos Padrões'!$A$2:$V$4400,AV$1,FALSE))</f>
        <v>-</v>
      </c>
      <c r="AW70" s="31" t="str">
        <f>IF(VLOOKUP(ROUND(CONCATENATE($A70,AW$2),0),'Cadastro dos Padrões'!$A$2:$V$4400,AW$1,FALSE)="","-",VLOOKUP(ROUND(CONCATENATE($A70,AW$2),0),'Cadastro dos Padrões'!$A$2:$V$4400,AW$1,FALSE))</f>
        <v>-</v>
      </c>
      <c r="AX70" s="31" t="str">
        <f>IF(VLOOKUP(ROUND(CONCATENATE($A70,AX$2),0),'Cadastro dos Padrões'!$A$2:$V$4400,AX$1,FALSE)="","-",VLOOKUP(ROUND(CONCATENATE($A70,AX$2),0),'Cadastro dos Padrões'!$A$2:$V$4400,AX$1,FALSE))</f>
        <v>-</v>
      </c>
      <c r="AY70" s="31" t="str">
        <f>IF(VLOOKUP(ROUND(CONCATENATE($A70,AY$2),0),'Cadastro dos Padrões'!$A$2:$V$4400,AY$1,FALSE)="","-",VLOOKUP(ROUND(CONCATENATE($A70,AY$2),0),'Cadastro dos Padrões'!$A$2:$V$4400,AY$1,FALSE))</f>
        <v>-</v>
      </c>
      <c r="AZ70" s="31" t="str">
        <f>IF(VLOOKUP(ROUND(CONCATENATE($A70,AZ$2),0),'Cadastro dos Padrões'!$A$2:$V$4400,AZ$1,FALSE)="","-",VLOOKUP(ROUND(CONCATENATE($A70,AZ$2),0),'Cadastro dos Padrões'!$A$2:$V$4400,AZ$1,FALSE))</f>
        <v>-</v>
      </c>
      <c r="BA70" s="31" t="str">
        <f>IF(VLOOKUP(ROUND(CONCATENATE($A70,BA$2),0),'Cadastro dos Padrões'!$A$2:$V$4400,BA$1,FALSE)="","-",VLOOKUP(ROUND(CONCATENATE($A70,BA$2),0),'Cadastro dos Padrões'!$A$2:$V$4400,BA$1,FALSE))</f>
        <v>-</v>
      </c>
      <c r="BB70" s="31" t="str">
        <f>IF(VLOOKUP(ROUND(CONCATENATE($A70,BB$2),0),'Cadastro dos Padrões'!$A$2:$V$4400,BB$1,FALSE)="","-",VLOOKUP(ROUND(CONCATENATE($A70,BB$2),0),'Cadastro dos Padrões'!$A$2:$V$4400,BB$1,FALSE))</f>
        <v>-</v>
      </c>
      <c r="BC70" s="31" t="str">
        <f>IF(VLOOKUP(ROUND(CONCATENATE($A70,BC$2),0),'Cadastro dos Padrões'!$A$2:$V$4400,BC$1,FALSE)="","-",VLOOKUP(ROUND(CONCATENATE($A70,BC$2),0),'Cadastro dos Padrões'!$A$2:$V$4400,BC$1,FALSE))</f>
        <v>-</v>
      </c>
      <c r="BD70" s="31" t="str">
        <f>IF(VLOOKUP(ROUND(CONCATENATE($A70,BD$2),0),'Cadastro dos Padrões'!$A$2:$V$4400,BD$1,FALSE)="","-",VLOOKUP(ROUND(CONCATENATE($A70,BD$2),0),'Cadastro dos Padrões'!$A$2:$V$4400,BD$1,FALSE))</f>
        <v>-</v>
      </c>
      <c r="BE70" s="31" t="str">
        <f>IF(VLOOKUP(ROUND(CONCATENATE($A70,BE$2),0),'Cadastro dos Padrões'!$A$2:$V$4400,BE$1,FALSE)="","-",VLOOKUP(ROUND(CONCATENATE($A70,BE$2),0),'Cadastro dos Padrões'!$A$2:$V$4400,BE$1,FALSE))</f>
        <v>-</v>
      </c>
      <c r="BF70" s="31" t="str">
        <f>IF(VLOOKUP(ROUND(CONCATENATE($A70,BF$2),0),'Cadastro dos Padrões'!$A$2:$V$4400,BF$1,FALSE)="","-",VLOOKUP(ROUND(CONCATENATE($A70,BF$2),0),'Cadastro dos Padrões'!$A$2:$V$4400,BF$1,FALSE))</f>
        <v>-</v>
      </c>
      <c r="BG70" s="31" t="str">
        <f>IF(VLOOKUP(ROUND(CONCATENATE($A70,BG$2),0),'Cadastro dos Padrões'!$A$2:$V$4400,BG$1,FALSE)="","-",VLOOKUP(ROUND(CONCATENATE($A70,BG$2),0),'Cadastro dos Padrões'!$A$2:$V$4400,BG$1,FALSE))</f>
        <v>-</v>
      </c>
      <c r="BH70" s="31" t="str">
        <f>IF(VLOOKUP(ROUND(CONCATENATE($A70,BH$2),0),'Cadastro dos Padrões'!$A$2:$V$4400,BH$1,FALSE)="","-",VLOOKUP(ROUND(CONCATENATE($A70,BH$2),0),'Cadastro dos Padrões'!$A$2:$V$4400,BH$1,FALSE))</f>
        <v>-</v>
      </c>
      <c r="BI70" s="31" t="str">
        <f>IF(VLOOKUP(ROUND(CONCATENATE($A70,BI$2),0),'Cadastro dos Padrões'!$A$2:$V$4400,BI$1,FALSE)="","-",VLOOKUP(ROUND(CONCATENATE($A70,BI$2),0),'Cadastro dos Padrões'!$A$2:$V$4400,BI$1,FALSE))</f>
        <v>-</v>
      </c>
      <c r="BJ70" s="31" t="str">
        <f>IF(VLOOKUP(ROUND(CONCATENATE($A70,BJ$2),0),'Cadastro dos Padrões'!$A$2:$V$4400,BJ$1,FALSE)="","-",VLOOKUP(ROUND(CONCATENATE($A70,BJ$2),0),'Cadastro dos Padrões'!$A$2:$V$4400,BJ$1,FALSE))</f>
        <v>-</v>
      </c>
      <c r="BK70" s="31" t="str">
        <f>IF(VLOOKUP(ROUND(CONCATENATE($A70,BK$2),0),'Cadastro dos Padrões'!$A$2:$V$4400,BK$1,FALSE)="","-",VLOOKUP(ROUND(CONCATENATE($A70,BK$2),0),'Cadastro dos Padrões'!$A$2:$V$4400,BK$1,FALSE))</f>
        <v>-</v>
      </c>
      <c r="BL70" s="31" t="str">
        <f>IF(VLOOKUP(ROUND(CONCATENATE($A70,BL$2),0),'Cadastro dos Padrões'!$A$2:$V$4400,BL$1,FALSE)="","-",VLOOKUP(ROUND(CONCATENATE($A70,BL$2),0),'Cadastro dos Padrões'!$A$2:$V$4400,BL$1,FALSE))</f>
        <v>-</v>
      </c>
      <c r="BM70" s="31" t="str">
        <f>IF(VLOOKUP(ROUND(CONCATENATE($A70,BM$2),0),'Cadastro dos Padrões'!$A$2:$V$4400,BM$1,FALSE)="","-",VLOOKUP(ROUND(CONCATENATE($A70,BM$2),0),'Cadastro dos Padrões'!$A$2:$V$4400,BM$1,FALSE))</f>
        <v>-</v>
      </c>
      <c r="BN70" s="31" t="str">
        <f>IF(VLOOKUP(ROUND(CONCATENATE($A70,BN$2),0),'Cadastro dos Padrões'!$A$2:$V$4400,BN$1,FALSE)="","-",VLOOKUP(ROUND(CONCATENATE($A70,BN$2),0),'Cadastro dos Padrões'!$A$2:$V$4400,BN$1,FALSE))</f>
        <v>-</v>
      </c>
      <c r="BO70" s="31" t="str">
        <f>IF(VLOOKUP(ROUND(CONCATENATE($A70,BO$2),0),'Cadastro dos Padrões'!$A$2:$V$4400,BO$1,FALSE)="","-",VLOOKUP(ROUND(CONCATENATE($A70,BO$2),0),'Cadastro dos Padrões'!$A$2:$V$4400,BO$1,FALSE))</f>
        <v>-</v>
      </c>
    </row>
    <row r="71" spans="1:67" x14ac:dyDescent="0.3">
      <c r="A71" s="6">
        <f t="shared" si="52"/>
        <v>66</v>
      </c>
      <c r="B71" s="31" t="str">
        <f>IF(VLOOKUP(ROUND(CONCATENATE($A71,B$2),0),'Cadastro dos Padrões'!$A$2:$V$4400,B$1,FALSE)="","-",VLOOKUP(ROUND(CONCATENATE($A71,B$2),0),'Cadastro dos Padrões'!$A$2:$V$4400,B$1,FALSE))</f>
        <v>E.TH.FS-043</v>
      </c>
      <c r="C71" s="31" t="str">
        <f>IF($B71="-","-",VLOOKUP(ROUND(CONCATENATE($A71,C$2),0),'Cadastro dos Padrões'!$A$2:$V$4400,C$1,FALSE))</f>
        <v>Termohigrômetro Digital</v>
      </c>
      <c r="D71" s="31">
        <f>IF($B71="-","-",VLOOKUP(ROUND(CONCATENATE($A71,D$2),0),'Cadastro dos Padrões'!$A$2:$V$4400,D$1,FALSE))</f>
        <v>20</v>
      </c>
      <c r="E71" s="31" t="str">
        <f>IF($B71="-","-",VLOOKUP(ROUND(CONCATENATE($A71,E$2),0),'Cadastro dos Padrões'!$A$2:$V$4400,E$1,FALSE))</f>
        <v>Elus</v>
      </c>
      <c r="F71" s="31" t="str">
        <f>IF($B71="-","-",VLOOKUP(ROUND(CONCATENATE($A71,F$2),0),'Cadastro dos Padrões'!$A$2:$V$4400,F$1,FALSE))</f>
        <v>RBC - CAL 0439</v>
      </c>
      <c r="G71" s="31" t="str">
        <f>IF($B71="-","-",VLOOKUP(ROUND(CONCATENATE($A71,G$2),0),'Cadastro dos Padrões'!$A$2:$V$4400,G$1,FALSE))</f>
        <v>E0090/26</v>
      </c>
      <c r="H71" s="32">
        <f>IF($B71="-","-",VLOOKUP(ROUND(CONCATENATE($A71,H$2),0),'Cadastro dos Padrões'!$A$2:$V$4400,H$1,FALSE))</f>
        <v>46071</v>
      </c>
      <c r="I71" s="33">
        <f>IF($B71="-","-",VLOOKUP(ROUND(CONCATENATE($A71,I$2),0),'Cadastro dos Padrões'!$A$2:$V$4400,I$1,FALSE))</f>
        <v>46446</v>
      </c>
      <c r="J71" s="31" t="str">
        <f>IF($B71="-","-",VLOOKUP(ROUND(CONCATENATE($A71,J$2),0),'Cadastro dos Padrões'!$A$2:$V$4400,J$1,FALSE))</f>
        <v>%ur</v>
      </c>
      <c r="K71" s="31">
        <f>IF($B71="-","-",VLOOKUP(ROUND(CONCATENATE($A71,K$2),0),'Cadastro dos Padrões'!$A$2:$V$4400,K$1,FALSE))</f>
        <v>30</v>
      </c>
      <c r="L71" s="31">
        <f>IF($B71="-","-",VLOOKUP(ROUND(CONCATENATE($A71,L$2),0),'Cadastro dos Padrões'!$A$2:$V$4400,L$1,FALSE))</f>
        <v>80</v>
      </c>
      <c r="M71" s="31">
        <f>IF($B71="-","-",VLOOKUP(ROUND(CONCATENATE($A71,M$2),0),'Cadastro dos Padrões'!$A$2:$V$4400,M$1,FALSE))</f>
        <v>1</v>
      </c>
      <c r="N71" s="31">
        <f>IF($B71="-","-",VLOOKUP(ROUND(CONCATENATE($A71,N$2),0),'Cadastro dos Padrões'!$A$2:$V$4400,N$1,FALSE))</f>
        <v>3</v>
      </c>
      <c r="O71" s="31">
        <f>IF($B71="-","-",VLOOKUP(ROUND(CONCATENATE($A71,O$2),0),'Cadastro dos Padrões'!$A$2:$V$4400,O$1,FALSE))</f>
        <v>2</v>
      </c>
      <c r="P71" s="31">
        <f>IF($B71="-","-",VLOOKUP(ROUND(CONCATENATE($A71,P$2),0),'Cadastro dos Padrões'!$A$2:$V$4400,P$1,FALSE))</f>
        <v>2</v>
      </c>
      <c r="Q71" s="31">
        <f>IF($B71="-","-",VLOOKUP(ROUND(CONCATENATE($A71,Q$2),0),'Cadastro dos Padrões'!$A$2:$V$4400,Q$1,FALSE))</f>
        <v>0.80876931010327979</v>
      </c>
      <c r="R71" s="31">
        <f>IF($B71="-","-",VLOOKUP(ROUND(CONCATENATE($A71,R$2),0),'Cadastro dos Padrões'!$A$2:$V$4400,R$1,FALSE))</f>
        <v>1</v>
      </c>
      <c r="S71" s="31">
        <f>IF($B71="-","-",VLOOKUP(ROUND(CONCATENATE($A71,S$2),0),'Cadastro dos Padrões'!$A$2:$V$4400,S$1,FALSE))</f>
        <v>0</v>
      </c>
      <c r="T71" s="31">
        <f>IF($B71="-","-",VLOOKUP(ROUND(CONCATENATE($A71,T$2),0),'Cadastro dos Padrões'!$A$2:$V$4400,T$1,FALSE))</f>
        <v>0</v>
      </c>
      <c r="U71" s="31">
        <f>IF($B71="-","-",VLOOKUP(ROUND(CONCATENATE($A71,U$2),0),'Cadastro dos Padrões'!$A$2:$V$4400,U$1,FALSE))</f>
        <v>0</v>
      </c>
      <c r="V71" s="31">
        <f>IF($B71="-","-",VLOOKUP(ROUND(CONCATENATE($A71,V$2),0),'Cadastro dos Padrões'!$A$2:$V$4400,V$1,FALSE))</f>
        <v>0</v>
      </c>
      <c r="W71" s="31">
        <f>IF($B71="-","-",VLOOKUP(ROUND(CONCATENATE($A71,W$2),0),'Cadastro dos Padrões'!$A$2:$V$4400,W$1,FALSE))</f>
        <v>0</v>
      </c>
      <c r="X71" s="31">
        <f>IF($B71="-","-",VLOOKUP(ROUND(CONCATENATE($A71,X$2),0),'Cadastro dos Padrões'!$A$2:$V$4400,X$1,FALSE))</f>
        <v>0</v>
      </c>
      <c r="Y71" s="31">
        <f>IF($B71="-","-",VLOOKUP(ROUND(CONCATENATE($A71,Y$2),0),'Cadastro dos Padrões'!$A$2:$V$4400,Y$1,FALSE))</f>
        <v>0</v>
      </c>
      <c r="Z71" s="31">
        <f>IF($B71="-","-",VLOOKUP(ROUND(CONCATENATE($A71,Z$2),0),'Cadastro dos Padrões'!$A$2:$V$4400,Z$1,FALSE))</f>
        <v>0.99686028257456805</v>
      </c>
      <c r="AA71" s="31">
        <f>IF($B71="-","-",VLOOKUP(ROUND(CONCATENATE($A71,AA$2),0),'Cadastro dos Padrões'!$A$2:$V$4400,AA$1,FALSE))</f>
        <v>-2.4908424908424749</v>
      </c>
      <c r="AB71" s="31">
        <f>IF(VLOOKUP(ROUND(CONCATENATE($A71,AB$2),0),'Cadastro dos Padrões'!$A$2:$V$4400,AB$1,FALSE)="","-",VLOOKUP(ROUND(CONCATENATE($A71,AB$2),0),'Cadastro dos Padrões'!$A$2:$V$4400,AB$1,FALSE))</f>
        <v>30</v>
      </c>
      <c r="AC71" s="31">
        <f>IF(VLOOKUP(ROUND(CONCATENATE($A71,AC$2),0),'Cadastro dos Padrões'!$A$2:$V$4400,AC$1,FALSE)="","-",VLOOKUP(ROUND(CONCATENATE($A71,AC$2),0),'Cadastro dos Padrões'!$A$2:$V$4400,AC$1,FALSE))</f>
        <v>1</v>
      </c>
      <c r="AD71" s="31">
        <f>IF(VLOOKUP(ROUND(CONCATENATE($A71,AD$2),0),'Cadastro dos Padrões'!$A$2:$V$4400,AD$1,FALSE)="","-",VLOOKUP(ROUND(CONCATENATE($A71,AD$2),0),'Cadastro dos Padrões'!$A$2:$V$4400,AD$1,FALSE))</f>
        <v>2</v>
      </c>
      <c r="AE71" s="31">
        <f>IF(VLOOKUP(ROUND(CONCATENATE($A71,AE$2),0),'Cadastro dos Padrões'!$A$2:$V$4400,AE$1,FALSE)="","-",VLOOKUP(ROUND(CONCATENATE($A71,AE$2),0),'Cadastro dos Padrões'!$A$2:$V$4400,AE$1,FALSE))</f>
        <v>1000000</v>
      </c>
      <c r="AF71" s="31">
        <f>IF(VLOOKUP(ROUND(CONCATENATE($A71,AF$2),0),'Cadastro dos Padrões'!$A$2:$V$4400,AF$1,FALSE)="","-",VLOOKUP(ROUND(CONCATENATE($A71,AF$2),0),'Cadastro dos Padrões'!$A$2:$V$4400,AF$1,FALSE))</f>
        <v>50</v>
      </c>
      <c r="AG71" s="31">
        <f>IF(VLOOKUP(ROUND(CONCATENATE($A71,AG$2),0),'Cadastro dos Padrões'!$A$2:$V$4400,AG$1,FALSE)="","-",VLOOKUP(ROUND(CONCATENATE($A71,AG$2),0),'Cadastro dos Padrões'!$A$2:$V$4400,AG$1,FALSE))</f>
        <v>1</v>
      </c>
      <c r="AH71" s="31">
        <f>IF(VLOOKUP(ROUND(CONCATENATE($A71,AH$2),0),'Cadastro dos Padrões'!$A$2:$V$4400,AH$1,FALSE)="","-",VLOOKUP(ROUND(CONCATENATE($A71,AH$2),0),'Cadastro dos Padrões'!$A$2:$V$4400,AH$1,FALSE))</f>
        <v>2</v>
      </c>
      <c r="AI71" s="31">
        <f>IF(VLOOKUP(ROUND(CONCATENATE($A71,AI$2),0),'Cadastro dos Padrões'!$A$2:$V$4400,AI$1,FALSE)="","-",VLOOKUP(ROUND(CONCATENATE($A71,AI$2),0),'Cadastro dos Padrões'!$A$2:$V$4400,AI$1,FALSE))</f>
        <v>1000000</v>
      </c>
      <c r="AJ71" s="31">
        <f>IF(VLOOKUP(ROUND(CONCATENATE($A71,AJ$2),0),'Cadastro dos Padrões'!$A$2:$V$4400,AJ$1,FALSE)="","-",VLOOKUP(ROUND(CONCATENATE($A71,AJ$2),0),'Cadastro dos Padrões'!$A$2:$V$4400,AJ$1,FALSE))</f>
        <v>80</v>
      </c>
      <c r="AK71" s="31">
        <f>IF(VLOOKUP(ROUND(CONCATENATE($A71,AK$2),0),'Cadastro dos Padrões'!$A$2:$V$4400,AK$1,FALSE)="","-",VLOOKUP(ROUND(CONCATENATE($A71,AK$2),0),'Cadastro dos Padrões'!$A$2:$V$4400,AK$1,FALSE))</f>
        <v>2</v>
      </c>
      <c r="AL71" s="31">
        <f>IF(VLOOKUP(ROUND(CONCATENATE($A71,AL$2),0),'Cadastro dos Padrões'!$A$2:$V$4400,AL$1,FALSE)="","-",VLOOKUP(ROUND(CONCATENATE($A71,AL$2),0),'Cadastro dos Padrões'!$A$2:$V$4400,AL$1,FALSE))</f>
        <v>2</v>
      </c>
      <c r="AM71" s="31">
        <f>IF(VLOOKUP(ROUND(CONCATENATE($A71,AM$2),0),'Cadastro dos Padrões'!$A$2:$V$4400,AM$1,FALSE)="","-",VLOOKUP(ROUND(CONCATENATE($A71,AM$2),0),'Cadastro dos Padrões'!$A$2:$V$4400,AM$1,FALSE))</f>
        <v>1000000</v>
      </c>
      <c r="AN71" s="31" t="str">
        <f>IF(VLOOKUP(ROUND(CONCATENATE($A71,AN$2),0),'Cadastro dos Padrões'!$A$2:$V$4400,AN$1,FALSE)="","-",VLOOKUP(ROUND(CONCATENATE($A71,AN$2),0),'Cadastro dos Padrões'!$A$2:$V$4400,AN$1,FALSE))</f>
        <v>-</v>
      </c>
      <c r="AO71" s="31" t="str">
        <f>IF(VLOOKUP(ROUND(CONCATENATE($A71,AO$2),0),'Cadastro dos Padrões'!$A$2:$V$4400,AO$1,FALSE)="","-",VLOOKUP(ROUND(CONCATENATE($A71,AO$2),0),'Cadastro dos Padrões'!$A$2:$V$4400,AO$1,FALSE))</f>
        <v>-</v>
      </c>
      <c r="AP71" s="31" t="str">
        <f>IF(VLOOKUP(ROUND(CONCATENATE($A71,AP$2),0),'Cadastro dos Padrões'!$A$2:$V$4400,AP$1,FALSE)="","-",VLOOKUP(ROUND(CONCATENATE($A71,AP$2),0),'Cadastro dos Padrões'!$A$2:$V$4400,AP$1,FALSE))</f>
        <v>-</v>
      </c>
      <c r="AQ71" s="31" t="str">
        <f>IF(VLOOKUP(ROUND(CONCATENATE($A71,AQ$2),0),'Cadastro dos Padrões'!$A$2:$V$4400,AQ$1,FALSE)="","-",VLOOKUP(ROUND(CONCATENATE($A71,AQ$2),0),'Cadastro dos Padrões'!$A$2:$V$4400,AQ$1,FALSE))</f>
        <v>-</v>
      </c>
      <c r="AR71" s="31" t="str">
        <f>IF(VLOOKUP(ROUND(CONCATENATE($A71,AR$2),0),'Cadastro dos Padrões'!$A$2:$V$4400,AR$1,FALSE)="","-",VLOOKUP(ROUND(CONCATENATE($A71,AR$2),0),'Cadastro dos Padrões'!$A$2:$V$4400,AR$1,FALSE))</f>
        <v>-</v>
      </c>
      <c r="AS71" s="31" t="str">
        <f>IF(VLOOKUP(ROUND(CONCATENATE($A71,AS$2),0),'Cadastro dos Padrões'!$A$2:$V$4400,AS$1,FALSE)="","-",VLOOKUP(ROUND(CONCATENATE($A71,AS$2),0),'Cadastro dos Padrões'!$A$2:$V$4400,AS$1,FALSE))</f>
        <v>-</v>
      </c>
      <c r="AT71" s="31" t="str">
        <f>IF(VLOOKUP(ROUND(CONCATENATE($A71,AT$2),0),'Cadastro dos Padrões'!$A$2:$V$4400,AT$1,FALSE)="","-",VLOOKUP(ROUND(CONCATENATE($A71,AT$2),0),'Cadastro dos Padrões'!$A$2:$V$4400,AT$1,FALSE))</f>
        <v>-</v>
      </c>
      <c r="AU71" s="31" t="str">
        <f>IF(VLOOKUP(ROUND(CONCATENATE($A71,AU$2),0),'Cadastro dos Padrões'!$A$2:$V$4400,AU$1,FALSE)="","-",VLOOKUP(ROUND(CONCATENATE($A71,AU$2),0),'Cadastro dos Padrões'!$A$2:$V$4400,AU$1,FALSE))</f>
        <v>-</v>
      </c>
      <c r="AV71" s="31" t="str">
        <f>IF(VLOOKUP(ROUND(CONCATENATE($A71,AV$2),0),'Cadastro dos Padrões'!$A$2:$V$4400,AV$1,FALSE)="","-",VLOOKUP(ROUND(CONCATENATE($A71,AV$2),0),'Cadastro dos Padrões'!$A$2:$V$4400,AV$1,FALSE))</f>
        <v>-</v>
      </c>
      <c r="AW71" s="31" t="str">
        <f>IF(VLOOKUP(ROUND(CONCATENATE($A71,AW$2),0),'Cadastro dos Padrões'!$A$2:$V$4400,AW$1,FALSE)="","-",VLOOKUP(ROUND(CONCATENATE($A71,AW$2),0),'Cadastro dos Padrões'!$A$2:$V$4400,AW$1,FALSE))</f>
        <v>-</v>
      </c>
      <c r="AX71" s="31" t="str">
        <f>IF(VLOOKUP(ROUND(CONCATENATE($A71,AX$2),0),'Cadastro dos Padrões'!$A$2:$V$4400,AX$1,FALSE)="","-",VLOOKUP(ROUND(CONCATENATE($A71,AX$2),0),'Cadastro dos Padrões'!$A$2:$V$4400,AX$1,FALSE))</f>
        <v>-</v>
      </c>
      <c r="AY71" s="31" t="str">
        <f>IF(VLOOKUP(ROUND(CONCATENATE($A71,AY$2),0),'Cadastro dos Padrões'!$A$2:$V$4400,AY$1,FALSE)="","-",VLOOKUP(ROUND(CONCATENATE($A71,AY$2),0),'Cadastro dos Padrões'!$A$2:$V$4400,AY$1,FALSE))</f>
        <v>-</v>
      </c>
      <c r="AZ71" s="31" t="str">
        <f>IF(VLOOKUP(ROUND(CONCATENATE($A71,AZ$2),0),'Cadastro dos Padrões'!$A$2:$V$4400,AZ$1,FALSE)="","-",VLOOKUP(ROUND(CONCATENATE($A71,AZ$2),0),'Cadastro dos Padrões'!$A$2:$V$4400,AZ$1,FALSE))</f>
        <v>-</v>
      </c>
      <c r="BA71" s="31" t="str">
        <f>IF(VLOOKUP(ROUND(CONCATENATE($A71,BA$2),0),'Cadastro dos Padrões'!$A$2:$V$4400,BA$1,FALSE)="","-",VLOOKUP(ROUND(CONCATENATE($A71,BA$2),0),'Cadastro dos Padrões'!$A$2:$V$4400,BA$1,FALSE))</f>
        <v>-</v>
      </c>
      <c r="BB71" s="31" t="str">
        <f>IF(VLOOKUP(ROUND(CONCATENATE($A71,BB$2),0),'Cadastro dos Padrões'!$A$2:$V$4400,BB$1,FALSE)="","-",VLOOKUP(ROUND(CONCATENATE($A71,BB$2),0),'Cadastro dos Padrões'!$A$2:$V$4400,BB$1,FALSE))</f>
        <v>-</v>
      </c>
      <c r="BC71" s="31" t="str">
        <f>IF(VLOOKUP(ROUND(CONCATENATE($A71,BC$2),0),'Cadastro dos Padrões'!$A$2:$V$4400,BC$1,FALSE)="","-",VLOOKUP(ROUND(CONCATENATE($A71,BC$2),0),'Cadastro dos Padrões'!$A$2:$V$4400,BC$1,FALSE))</f>
        <v>-</v>
      </c>
      <c r="BD71" s="31" t="str">
        <f>IF(VLOOKUP(ROUND(CONCATENATE($A71,BD$2),0),'Cadastro dos Padrões'!$A$2:$V$4400,BD$1,FALSE)="","-",VLOOKUP(ROUND(CONCATENATE($A71,BD$2),0),'Cadastro dos Padrões'!$A$2:$V$4400,BD$1,FALSE))</f>
        <v>-</v>
      </c>
      <c r="BE71" s="31" t="str">
        <f>IF(VLOOKUP(ROUND(CONCATENATE($A71,BE$2),0),'Cadastro dos Padrões'!$A$2:$V$4400,BE$1,FALSE)="","-",VLOOKUP(ROUND(CONCATENATE($A71,BE$2),0),'Cadastro dos Padrões'!$A$2:$V$4400,BE$1,FALSE))</f>
        <v>-</v>
      </c>
      <c r="BF71" s="31" t="str">
        <f>IF(VLOOKUP(ROUND(CONCATENATE($A71,BF$2),0),'Cadastro dos Padrões'!$A$2:$V$4400,BF$1,FALSE)="","-",VLOOKUP(ROUND(CONCATENATE($A71,BF$2),0),'Cadastro dos Padrões'!$A$2:$V$4400,BF$1,FALSE))</f>
        <v>-</v>
      </c>
      <c r="BG71" s="31" t="str">
        <f>IF(VLOOKUP(ROUND(CONCATENATE($A71,BG$2),0),'Cadastro dos Padrões'!$A$2:$V$4400,BG$1,FALSE)="","-",VLOOKUP(ROUND(CONCATENATE($A71,BG$2),0),'Cadastro dos Padrões'!$A$2:$V$4400,BG$1,FALSE))</f>
        <v>-</v>
      </c>
      <c r="BH71" s="31" t="str">
        <f>IF(VLOOKUP(ROUND(CONCATENATE($A71,BH$2),0),'Cadastro dos Padrões'!$A$2:$V$4400,BH$1,FALSE)="","-",VLOOKUP(ROUND(CONCATENATE($A71,BH$2),0),'Cadastro dos Padrões'!$A$2:$V$4400,BH$1,FALSE))</f>
        <v>-</v>
      </c>
      <c r="BI71" s="31" t="str">
        <f>IF(VLOOKUP(ROUND(CONCATENATE($A71,BI$2),0),'Cadastro dos Padrões'!$A$2:$V$4400,BI$1,FALSE)="","-",VLOOKUP(ROUND(CONCATENATE($A71,BI$2),0),'Cadastro dos Padrões'!$A$2:$V$4400,BI$1,FALSE))</f>
        <v>-</v>
      </c>
      <c r="BJ71" s="31" t="str">
        <f>IF(VLOOKUP(ROUND(CONCATENATE($A71,BJ$2),0),'Cadastro dos Padrões'!$A$2:$V$4400,BJ$1,FALSE)="","-",VLOOKUP(ROUND(CONCATENATE($A71,BJ$2),0),'Cadastro dos Padrões'!$A$2:$V$4400,BJ$1,FALSE))</f>
        <v>-</v>
      </c>
      <c r="BK71" s="31" t="str">
        <f>IF(VLOOKUP(ROUND(CONCATENATE($A71,BK$2),0),'Cadastro dos Padrões'!$A$2:$V$4400,BK$1,FALSE)="","-",VLOOKUP(ROUND(CONCATENATE($A71,BK$2),0),'Cadastro dos Padrões'!$A$2:$V$4400,BK$1,FALSE))</f>
        <v>-</v>
      </c>
      <c r="BL71" s="31" t="str">
        <f>IF(VLOOKUP(ROUND(CONCATENATE($A71,BL$2),0),'Cadastro dos Padrões'!$A$2:$V$4400,BL$1,FALSE)="","-",VLOOKUP(ROUND(CONCATENATE($A71,BL$2),0),'Cadastro dos Padrões'!$A$2:$V$4400,BL$1,FALSE))</f>
        <v>-</v>
      </c>
      <c r="BM71" s="31" t="str">
        <f>IF(VLOOKUP(ROUND(CONCATENATE($A71,BM$2),0),'Cadastro dos Padrões'!$A$2:$V$4400,BM$1,FALSE)="","-",VLOOKUP(ROUND(CONCATENATE($A71,BM$2),0),'Cadastro dos Padrões'!$A$2:$V$4400,BM$1,FALSE))</f>
        <v>-</v>
      </c>
      <c r="BN71" s="31" t="str">
        <f>IF(VLOOKUP(ROUND(CONCATENATE($A71,BN$2),0),'Cadastro dos Padrões'!$A$2:$V$4400,BN$1,FALSE)="","-",VLOOKUP(ROUND(CONCATENATE($A71,BN$2),0),'Cadastro dos Padrões'!$A$2:$V$4400,BN$1,FALSE))</f>
        <v>-</v>
      </c>
      <c r="BO71" s="31" t="str">
        <f>IF(VLOOKUP(ROUND(CONCATENATE($A71,BO$2),0),'Cadastro dos Padrões'!$A$2:$V$4400,BO$1,FALSE)="","-",VLOOKUP(ROUND(CONCATENATE($A71,BO$2),0),'Cadastro dos Padrões'!$A$2:$V$4400,BO$1,FALSE))</f>
        <v>-</v>
      </c>
    </row>
    <row r="72" spans="1:67" x14ac:dyDescent="0.3">
      <c r="A72" s="6">
        <f t="shared" si="52"/>
        <v>67</v>
      </c>
      <c r="B72" s="31" t="str">
        <f>IF(VLOOKUP(ROUND(CONCATENATE($A72,B$2),0),'Cadastro dos Padrões'!$A$2:$V$4400,B$1,FALSE)="","-",VLOOKUP(ROUND(CONCATENATE($A72,B$2),0),'Cadastro dos Padrões'!$A$2:$V$4400,B$1,FALSE))</f>
        <v>E.TH.FS-044</v>
      </c>
      <c r="C72" s="31" t="str">
        <f>IF($B72="-","-",VLOOKUP(ROUND(CONCATENATE($A72,C$2),0),'Cadastro dos Padrões'!$A$2:$V$4400,C$1,FALSE))</f>
        <v>Termohigrômetro Digital</v>
      </c>
      <c r="D72" s="31">
        <f>IF($B72="-","-",VLOOKUP(ROUND(CONCATENATE($A72,D$2),0),'Cadastro dos Padrões'!$A$2:$V$4400,D$1,FALSE))</f>
        <v>20</v>
      </c>
      <c r="E72" s="31" t="str">
        <f>IF($B72="-","-",VLOOKUP(ROUND(CONCATENATE($A72,E$2),0),'Cadastro dos Padrões'!$A$2:$V$4400,E$1,FALSE))</f>
        <v>Elus</v>
      </c>
      <c r="F72" s="31" t="str">
        <f>IF($B72="-","-",VLOOKUP(ROUND(CONCATENATE($A72,F$2),0),'Cadastro dos Padrões'!$A$2:$V$4400,F$1,FALSE))</f>
        <v>RBC - CAL 0439</v>
      </c>
      <c r="G72" s="31" t="str">
        <f>IF($B72="-","-",VLOOKUP(ROUND(CONCATENATE($A72,G$2),0),'Cadastro dos Padrões'!$A$2:$V$4400,G$1,FALSE))</f>
        <v>E0048/26</v>
      </c>
      <c r="H72" s="32">
        <f>IF($B72="-","-",VLOOKUP(ROUND(CONCATENATE($A72,H$2),0),'Cadastro dos Padrões'!$A$2:$V$4400,H$1,FALSE))</f>
        <v>46056</v>
      </c>
      <c r="I72" s="33">
        <f>IF($B72="-","-",VLOOKUP(ROUND(CONCATENATE($A72,I$2),0),'Cadastro dos Padrões'!$A$2:$V$4400,I$1,FALSE))</f>
        <v>46446</v>
      </c>
      <c r="J72" s="31" t="str">
        <f>IF($B72="-","-",VLOOKUP(ROUND(CONCATENATE($A72,J$2),0),'Cadastro dos Padrões'!$A$2:$V$4400,J$1,FALSE))</f>
        <v>%ur</v>
      </c>
      <c r="K72" s="31">
        <f>IF($B72="-","-",VLOOKUP(ROUND(CONCATENATE($A72,K$2),0),'Cadastro dos Padrões'!$A$2:$V$4400,K$1,FALSE))</f>
        <v>30</v>
      </c>
      <c r="L72" s="31">
        <f>IF($B72="-","-",VLOOKUP(ROUND(CONCATENATE($A72,L$2),0),'Cadastro dos Padrões'!$A$2:$V$4400,L$1,FALSE))</f>
        <v>80</v>
      </c>
      <c r="M72" s="31">
        <f>IF($B72="-","-",VLOOKUP(ROUND(CONCATENATE($A72,M$2),0),'Cadastro dos Padrões'!$A$2:$V$4400,M$1,FALSE))</f>
        <v>1</v>
      </c>
      <c r="N72" s="31">
        <f>IF($B72="-","-",VLOOKUP(ROUND(CONCATENATE($A72,N$2),0),'Cadastro dos Padrões'!$A$2:$V$4400,N$1,FALSE))</f>
        <v>3</v>
      </c>
      <c r="O72" s="31">
        <f>IF($B72="-","-",VLOOKUP(ROUND(CONCATENATE($A72,O$2),0),'Cadastro dos Padrões'!$A$2:$V$4400,O$1,FALSE))</f>
        <v>2</v>
      </c>
      <c r="P72" s="31">
        <f>IF($B72="-","-",VLOOKUP(ROUND(CONCATENATE($A72,P$2),0),'Cadastro dos Padrões'!$A$2:$V$4400,P$1,FALSE))</f>
        <v>8</v>
      </c>
      <c r="Q72" s="31">
        <f>IF($B72="-","-",VLOOKUP(ROUND(CONCATENATE($A72,Q$2),0),'Cadastro dos Padrões'!$A$2:$V$4400,Q$1,FALSE))</f>
        <v>0.80876931010327979</v>
      </c>
      <c r="R72" s="31">
        <f>IF($B72="-","-",VLOOKUP(ROUND(CONCATENATE($A72,R$2),0),'Cadastro dos Padrões'!$A$2:$V$4400,R$1,FALSE))</f>
        <v>1</v>
      </c>
      <c r="S72" s="31">
        <f>IF($B72="-","-",VLOOKUP(ROUND(CONCATENATE($A72,S$2),0),'Cadastro dos Padrões'!$A$2:$V$4400,S$1,FALSE))</f>
        <v>0</v>
      </c>
      <c r="T72" s="31">
        <f>IF($B72="-","-",VLOOKUP(ROUND(CONCATENATE($A72,T$2),0),'Cadastro dos Padrões'!$A$2:$V$4400,T$1,FALSE))</f>
        <v>0</v>
      </c>
      <c r="U72" s="31">
        <f>IF($B72="-","-",VLOOKUP(ROUND(CONCATENATE($A72,U$2),0),'Cadastro dos Padrões'!$A$2:$V$4400,U$1,FALSE))</f>
        <v>0</v>
      </c>
      <c r="V72" s="31">
        <f>IF($B72="-","-",VLOOKUP(ROUND(CONCATENATE($A72,V$2),0),'Cadastro dos Padrões'!$A$2:$V$4400,V$1,FALSE))</f>
        <v>0</v>
      </c>
      <c r="W72" s="31">
        <f>IF($B72="-","-",VLOOKUP(ROUND(CONCATENATE($A72,W$2),0),'Cadastro dos Padrões'!$A$2:$V$4400,W$1,FALSE))</f>
        <v>0</v>
      </c>
      <c r="X72" s="31">
        <f>IF($B72="-","-",VLOOKUP(ROUND(CONCATENATE($A72,X$2),0),'Cadastro dos Padrões'!$A$2:$V$4400,X$1,FALSE))</f>
        <v>0</v>
      </c>
      <c r="Y72" s="31">
        <f>IF($B72="-","-",VLOOKUP(ROUND(CONCATENATE($A72,Y$2),0),'Cadastro dos Padrões'!$A$2:$V$4400,Y$1,FALSE))</f>
        <v>0</v>
      </c>
      <c r="Z72" s="31">
        <f>IF($B72="-","-",VLOOKUP(ROUND(CONCATENATE($A72,Z$2),0),'Cadastro dos Padrões'!$A$2:$V$4400,Z$1,FALSE))</f>
        <v>0.99686028257456805</v>
      </c>
      <c r="AA72" s="31">
        <f>IF($B72="-","-",VLOOKUP(ROUND(CONCATENATE($A72,AA$2),0),'Cadastro dos Padrões'!$A$2:$V$4400,AA$1,FALSE))</f>
        <v>-2.4908424908424749</v>
      </c>
      <c r="AB72" s="31">
        <f>IF(VLOOKUP(ROUND(CONCATENATE($A72,AB$2),0),'Cadastro dos Padrões'!$A$2:$V$4400,AB$1,FALSE)="","-",VLOOKUP(ROUND(CONCATENATE($A72,AB$2),0),'Cadastro dos Padrões'!$A$2:$V$4400,AB$1,FALSE))</f>
        <v>30</v>
      </c>
      <c r="AC72" s="31">
        <f>IF(VLOOKUP(ROUND(CONCATENATE($A72,AC$2),0),'Cadastro dos Padrões'!$A$2:$V$4400,AC$1,FALSE)="","-",VLOOKUP(ROUND(CONCATENATE($A72,AC$2),0),'Cadastro dos Padrões'!$A$2:$V$4400,AC$1,FALSE))</f>
        <v>2</v>
      </c>
      <c r="AD72" s="31">
        <f>IF(VLOOKUP(ROUND(CONCATENATE($A72,AD$2),0),'Cadastro dos Padrões'!$A$2:$V$4400,AD$1,FALSE)="","-",VLOOKUP(ROUND(CONCATENATE($A72,AD$2),0),'Cadastro dos Padrões'!$A$2:$V$4400,AD$1,FALSE))</f>
        <v>2</v>
      </c>
      <c r="AE72" s="31">
        <f>IF(VLOOKUP(ROUND(CONCATENATE($A72,AE$2),0),'Cadastro dos Padrões'!$A$2:$V$4400,AE$1,FALSE)="","-",VLOOKUP(ROUND(CONCATENATE($A72,AE$2),0),'Cadastro dos Padrões'!$A$2:$V$4400,AE$1,FALSE))</f>
        <v>1000000</v>
      </c>
      <c r="AF72" s="31">
        <f>IF(VLOOKUP(ROUND(CONCATENATE($A72,AF$2),0),'Cadastro dos Padrões'!$A$2:$V$4400,AF$1,FALSE)="","-",VLOOKUP(ROUND(CONCATENATE($A72,AF$2),0),'Cadastro dos Padrões'!$A$2:$V$4400,AF$1,FALSE))</f>
        <v>50</v>
      </c>
      <c r="AG72" s="31">
        <f>IF(VLOOKUP(ROUND(CONCATENATE($A72,AG$2),0),'Cadastro dos Padrões'!$A$2:$V$4400,AG$1,FALSE)="","-",VLOOKUP(ROUND(CONCATENATE($A72,AG$2),0),'Cadastro dos Padrões'!$A$2:$V$4400,AG$1,FALSE))</f>
        <v>2</v>
      </c>
      <c r="AH72" s="31">
        <f>IF(VLOOKUP(ROUND(CONCATENATE($A72,AH$2),0),'Cadastro dos Padrões'!$A$2:$V$4400,AH$1,FALSE)="","-",VLOOKUP(ROUND(CONCATENATE($A72,AH$2),0),'Cadastro dos Padrões'!$A$2:$V$4400,AH$1,FALSE))</f>
        <v>2</v>
      </c>
      <c r="AI72" s="31">
        <f>IF(VLOOKUP(ROUND(CONCATENATE($A72,AI$2),0),'Cadastro dos Padrões'!$A$2:$V$4400,AI$1,FALSE)="","-",VLOOKUP(ROUND(CONCATENATE($A72,AI$2),0),'Cadastro dos Padrões'!$A$2:$V$4400,AI$1,FALSE))</f>
        <v>1000000</v>
      </c>
      <c r="AJ72" s="31">
        <f>IF(VLOOKUP(ROUND(CONCATENATE($A72,AJ$2),0),'Cadastro dos Padrões'!$A$2:$V$4400,AJ$1,FALSE)="","-",VLOOKUP(ROUND(CONCATENATE($A72,AJ$2),0),'Cadastro dos Padrões'!$A$2:$V$4400,AJ$1,FALSE))</f>
        <v>80</v>
      </c>
      <c r="AK72" s="31">
        <f>IF(VLOOKUP(ROUND(CONCATENATE($A72,AK$2),0),'Cadastro dos Padrões'!$A$2:$V$4400,AK$1,FALSE)="","-",VLOOKUP(ROUND(CONCATENATE($A72,AK$2),0),'Cadastro dos Padrões'!$A$2:$V$4400,AK$1,FALSE))</f>
        <v>2</v>
      </c>
      <c r="AL72" s="31">
        <f>IF(VLOOKUP(ROUND(CONCATENATE($A72,AL$2),0),'Cadastro dos Padrões'!$A$2:$V$4400,AL$1,FALSE)="","-",VLOOKUP(ROUND(CONCATENATE($A72,AL$2),0),'Cadastro dos Padrões'!$A$2:$V$4400,AL$1,FALSE))</f>
        <v>2</v>
      </c>
      <c r="AM72" s="31">
        <f>IF(VLOOKUP(ROUND(CONCATENATE($A72,AM$2),0),'Cadastro dos Padrões'!$A$2:$V$4400,AM$1,FALSE)="","-",VLOOKUP(ROUND(CONCATENATE($A72,AM$2),0),'Cadastro dos Padrões'!$A$2:$V$4400,AM$1,FALSE))</f>
        <v>1000000</v>
      </c>
      <c r="AN72" s="31" t="str">
        <f>IF(VLOOKUP(ROUND(CONCATENATE($A72,AN$2),0),'Cadastro dos Padrões'!$A$2:$V$4400,AN$1,FALSE)="","-",VLOOKUP(ROUND(CONCATENATE($A72,AN$2),0),'Cadastro dos Padrões'!$A$2:$V$4400,AN$1,FALSE))</f>
        <v>-</v>
      </c>
      <c r="AO72" s="31" t="str">
        <f>IF(VLOOKUP(ROUND(CONCATENATE($A72,AO$2),0),'Cadastro dos Padrões'!$A$2:$V$4400,AO$1,FALSE)="","-",VLOOKUP(ROUND(CONCATENATE($A72,AO$2),0),'Cadastro dos Padrões'!$A$2:$V$4400,AO$1,FALSE))</f>
        <v>-</v>
      </c>
      <c r="AP72" s="31" t="str">
        <f>IF(VLOOKUP(ROUND(CONCATENATE($A72,AP$2),0),'Cadastro dos Padrões'!$A$2:$V$4400,AP$1,FALSE)="","-",VLOOKUP(ROUND(CONCATENATE($A72,AP$2),0),'Cadastro dos Padrões'!$A$2:$V$4400,AP$1,FALSE))</f>
        <v>-</v>
      </c>
      <c r="AQ72" s="31" t="str">
        <f>IF(VLOOKUP(ROUND(CONCATENATE($A72,AQ$2),0),'Cadastro dos Padrões'!$A$2:$V$4400,AQ$1,FALSE)="","-",VLOOKUP(ROUND(CONCATENATE($A72,AQ$2),0),'Cadastro dos Padrões'!$A$2:$V$4400,AQ$1,FALSE))</f>
        <v>-</v>
      </c>
      <c r="AR72" s="31" t="str">
        <f>IF(VLOOKUP(ROUND(CONCATENATE($A72,AR$2),0),'Cadastro dos Padrões'!$A$2:$V$4400,AR$1,FALSE)="","-",VLOOKUP(ROUND(CONCATENATE($A72,AR$2),0),'Cadastro dos Padrões'!$A$2:$V$4400,AR$1,FALSE))</f>
        <v>-</v>
      </c>
      <c r="AS72" s="31" t="str">
        <f>IF(VLOOKUP(ROUND(CONCATENATE($A72,AS$2),0),'Cadastro dos Padrões'!$A$2:$V$4400,AS$1,FALSE)="","-",VLOOKUP(ROUND(CONCATENATE($A72,AS$2),0),'Cadastro dos Padrões'!$A$2:$V$4400,AS$1,FALSE))</f>
        <v>-</v>
      </c>
      <c r="AT72" s="31" t="str">
        <f>IF(VLOOKUP(ROUND(CONCATENATE($A72,AT$2),0),'Cadastro dos Padrões'!$A$2:$V$4400,AT$1,FALSE)="","-",VLOOKUP(ROUND(CONCATENATE($A72,AT$2),0),'Cadastro dos Padrões'!$A$2:$V$4400,AT$1,FALSE))</f>
        <v>-</v>
      </c>
      <c r="AU72" s="31" t="str">
        <f>IF(VLOOKUP(ROUND(CONCATENATE($A72,AU$2),0),'Cadastro dos Padrões'!$A$2:$V$4400,AU$1,FALSE)="","-",VLOOKUP(ROUND(CONCATENATE($A72,AU$2),0),'Cadastro dos Padrões'!$A$2:$V$4400,AU$1,FALSE))</f>
        <v>-</v>
      </c>
      <c r="AV72" s="31" t="str">
        <f>IF(VLOOKUP(ROUND(CONCATENATE($A72,AV$2),0),'Cadastro dos Padrões'!$A$2:$V$4400,AV$1,FALSE)="","-",VLOOKUP(ROUND(CONCATENATE($A72,AV$2),0),'Cadastro dos Padrões'!$A$2:$V$4400,AV$1,FALSE))</f>
        <v>-</v>
      </c>
      <c r="AW72" s="31" t="str">
        <f>IF(VLOOKUP(ROUND(CONCATENATE($A72,AW$2),0),'Cadastro dos Padrões'!$A$2:$V$4400,AW$1,FALSE)="","-",VLOOKUP(ROUND(CONCATENATE($A72,AW$2),0),'Cadastro dos Padrões'!$A$2:$V$4400,AW$1,FALSE))</f>
        <v>-</v>
      </c>
      <c r="AX72" s="31" t="str">
        <f>IF(VLOOKUP(ROUND(CONCATENATE($A72,AX$2),0),'Cadastro dos Padrões'!$A$2:$V$4400,AX$1,FALSE)="","-",VLOOKUP(ROUND(CONCATENATE($A72,AX$2),0),'Cadastro dos Padrões'!$A$2:$V$4400,AX$1,FALSE))</f>
        <v>-</v>
      </c>
      <c r="AY72" s="31" t="str">
        <f>IF(VLOOKUP(ROUND(CONCATENATE($A72,AY$2),0),'Cadastro dos Padrões'!$A$2:$V$4400,AY$1,FALSE)="","-",VLOOKUP(ROUND(CONCATENATE($A72,AY$2),0),'Cadastro dos Padrões'!$A$2:$V$4400,AY$1,FALSE))</f>
        <v>-</v>
      </c>
      <c r="AZ72" s="31" t="str">
        <f>IF(VLOOKUP(ROUND(CONCATENATE($A72,AZ$2),0),'Cadastro dos Padrões'!$A$2:$V$4400,AZ$1,FALSE)="","-",VLOOKUP(ROUND(CONCATENATE($A72,AZ$2),0),'Cadastro dos Padrões'!$A$2:$V$4400,AZ$1,FALSE))</f>
        <v>-</v>
      </c>
      <c r="BA72" s="31" t="str">
        <f>IF(VLOOKUP(ROUND(CONCATENATE($A72,BA$2),0),'Cadastro dos Padrões'!$A$2:$V$4400,BA$1,FALSE)="","-",VLOOKUP(ROUND(CONCATENATE($A72,BA$2),0),'Cadastro dos Padrões'!$A$2:$V$4400,BA$1,FALSE))</f>
        <v>-</v>
      </c>
      <c r="BB72" s="31" t="str">
        <f>IF(VLOOKUP(ROUND(CONCATENATE($A72,BB$2),0),'Cadastro dos Padrões'!$A$2:$V$4400,BB$1,FALSE)="","-",VLOOKUP(ROUND(CONCATENATE($A72,BB$2),0),'Cadastro dos Padrões'!$A$2:$V$4400,BB$1,FALSE))</f>
        <v>-</v>
      </c>
      <c r="BC72" s="31" t="str">
        <f>IF(VLOOKUP(ROUND(CONCATENATE($A72,BC$2),0),'Cadastro dos Padrões'!$A$2:$V$4400,BC$1,FALSE)="","-",VLOOKUP(ROUND(CONCATENATE($A72,BC$2),0),'Cadastro dos Padrões'!$A$2:$V$4400,BC$1,FALSE))</f>
        <v>-</v>
      </c>
      <c r="BD72" s="31" t="str">
        <f>IF(VLOOKUP(ROUND(CONCATENATE($A72,BD$2),0),'Cadastro dos Padrões'!$A$2:$V$4400,BD$1,FALSE)="","-",VLOOKUP(ROUND(CONCATENATE($A72,BD$2),0),'Cadastro dos Padrões'!$A$2:$V$4400,BD$1,FALSE))</f>
        <v>-</v>
      </c>
      <c r="BE72" s="31" t="str">
        <f>IF(VLOOKUP(ROUND(CONCATENATE($A72,BE$2),0),'Cadastro dos Padrões'!$A$2:$V$4400,BE$1,FALSE)="","-",VLOOKUP(ROUND(CONCATENATE($A72,BE$2),0),'Cadastro dos Padrões'!$A$2:$V$4400,BE$1,FALSE))</f>
        <v>-</v>
      </c>
      <c r="BF72" s="31" t="str">
        <f>IF(VLOOKUP(ROUND(CONCATENATE($A72,BF$2),0),'Cadastro dos Padrões'!$A$2:$V$4400,BF$1,FALSE)="","-",VLOOKUP(ROUND(CONCATENATE($A72,BF$2),0),'Cadastro dos Padrões'!$A$2:$V$4400,BF$1,FALSE))</f>
        <v>-</v>
      </c>
      <c r="BG72" s="31" t="str">
        <f>IF(VLOOKUP(ROUND(CONCATENATE($A72,BG$2),0),'Cadastro dos Padrões'!$A$2:$V$4400,BG$1,FALSE)="","-",VLOOKUP(ROUND(CONCATENATE($A72,BG$2),0),'Cadastro dos Padrões'!$A$2:$V$4400,BG$1,FALSE))</f>
        <v>-</v>
      </c>
      <c r="BH72" s="31" t="str">
        <f>IF(VLOOKUP(ROUND(CONCATENATE($A72,BH$2),0),'Cadastro dos Padrões'!$A$2:$V$4400,BH$1,FALSE)="","-",VLOOKUP(ROUND(CONCATENATE($A72,BH$2),0),'Cadastro dos Padrões'!$A$2:$V$4400,BH$1,FALSE))</f>
        <v>-</v>
      </c>
      <c r="BI72" s="31" t="str">
        <f>IF(VLOOKUP(ROUND(CONCATENATE($A72,BI$2),0),'Cadastro dos Padrões'!$A$2:$V$4400,BI$1,FALSE)="","-",VLOOKUP(ROUND(CONCATENATE($A72,BI$2),0),'Cadastro dos Padrões'!$A$2:$V$4400,BI$1,FALSE))</f>
        <v>-</v>
      </c>
      <c r="BJ72" s="31" t="str">
        <f>IF(VLOOKUP(ROUND(CONCATENATE($A72,BJ$2),0),'Cadastro dos Padrões'!$A$2:$V$4400,BJ$1,FALSE)="","-",VLOOKUP(ROUND(CONCATENATE($A72,BJ$2),0),'Cadastro dos Padrões'!$A$2:$V$4400,BJ$1,FALSE))</f>
        <v>-</v>
      </c>
      <c r="BK72" s="31" t="str">
        <f>IF(VLOOKUP(ROUND(CONCATENATE($A72,BK$2),0),'Cadastro dos Padrões'!$A$2:$V$4400,BK$1,FALSE)="","-",VLOOKUP(ROUND(CONCATENATE($A72,BK$2),0),'Cadastro dos Padrões'!$A$2:$V$4400,BK$1,FALSE))</f>
        <v>-</v>
      </c>
      <c r="BL72" s="31" t="str">
        <f>IF(VLOOKUP(ROUND(CONCATENATE($A72,BL$2),0),'Cadastro dos Padrões'!$A$2:$V$4400,BL$1,FALSE)="","-",VLOOKUP(ROUND(CONCATENATE($A72,BL$2),0),'Cadastro dos Padrões'!$A$2:$V$4400,BL$1,FALSE))</f>
        <v>-</v>
      </c>
      <c r="BM72" s="31" t="str">
        <f>IF(VLOOKUP(ROUND(CONCATENATE($A72,BM$2),0),'Cadastro dos Padrões'!$A$2:$V$4400,BM$1,FALSE)="","-",VLOOKUP(ROUND(CONCATENATE($A72,BM$2),0),'Cadastro dos Padrões'!$A$2:$V$4400,BM$1,FALSE))</f>
        <v>-</v>
      </c>
      <c r="BN72" s="31" t="str">
        <f>IF(VLOOKUP(ROUND(CONCATENATE($A72,BN$2),0),'Cadastro dos Padrões'!$A$2:$V$4400,BN$1,FALSE)="","-",VLOOKUP(ROUND(CONCATENATE($A72,BN$2),0),'Cadastro dos Padrões'!$A$2:$V$4400,BN$1,FALSE))</f>
        <v>-</v>
      </c>
      <c r="BO72" s="31" t="str">
        <f>IF(VLOOKUP(ROUND(CONCATENATE($A72,BO$2),0),'Cadastro dos Padrões'!$A$2:$V$4400,BO$1,FALSE)="","-",VLOOKUP(ROUND(CONCATENATE($A72,BO$2),0),'Cadastro dos Padrões'!$A$2:$V$4400,BO$1,FALSE))</f>
        <v>-</v>
      </c>
    </row>
    <row r="73" spans="1:67" x14ac:dyDescent="0.3">
      <c r="A73" s="6">
        <f t="shared" si="52"/>
        <v>68</v>
      </c>
      <c r="B73" s="31" t="str">
        <f>IF(VLOOKUP(ROUND(CONCATENATE($A73,B$2),0),'Cadastro dos Padrões'!$A$2:$V$4400,B$1,FALSE)="","-",VLOOKUP(ROUND(CONCATENATE($A73,B$2),0),'Cadastro dos Padrões'!$A$2:$V$4400,B$1,FALSE))</f>
        <v>E.TH.FS-054</v>
      </c>
      <c r="C73" s="31" t="str">
        <f>IF($B73="-","-",VLOOKUP(ROUND(CONCATENATE($A73,C$2),0),'Cadastro dos Padrões'!$A$2:$V$4400,C$1,FALSE))</f>
        <v>Termohigrômetro Digital</v>
      </c>
      <c r="D73" s="31">
        <f>IF($B73="-","-",VLOOKUP(ROUND(CONCATENATE($A73,D$2),0),'Cadastro dos Padrões'!$A$2:$V$4400,D$1,FALSE))</f>
        <v>20</v>
      </c>
      <c r="E73" s="31" t="str">
        <f>IF($B73="-","-",VLOOKUP(ROUND(CONCATENATE($A73,E$2),0),'Cadastro dos Padrões'!$A$2:$V$4400,E$1,FALSE))</f>
        <v>Elus</v>
      </c>
      <c r="F73" s="31" t="str">
        <f>IF($B73="-","-",VLOOKUP(ROUND(CONCATENATE($A73,F$2),0),'Cadastro dos Padrões'!$A$2:$V$4400,F$1,FALSE))</f>
        <v>RBC - CAL 0439</v>
      </c>
      <c r="G73" s="31" t="str">
        <f>IF($B73="-","-",VLOOKUP(ROUND(CONCATENATE($A73,G$2),0),'Cadastro dos Padrões'!$A$2:$V$4400,G$1,FALSE))</f>
        <v>E0136/25</v>
      </c>
      <c r="H73" s="32">
        <f>IF($B73="-","-",VLOOKUP(ROUND(CONCATENATE($A73,H$2),0),'Cadastro dos Padrões'!$A$2:$V$4400,H$1,FALSE))</f>
        <v>45733</v>
      </c>
      <c r="I73" s="33">
        <f>IF($B73="-","-",VLOOKUP(ROUND(CONCATENATE($A73,I$2),0),'Cadastro dos Padrões'!$A$2:$V$4400,I$1,FALSE))</f>
        <v>46111</v>
      </c>
      <c r="J73" s="31" t="str">
        <f>IF($B73="-","-",VLOOKUP(ROUND(CONCATENATE($A73,J$2),0),'Cadastro dos Padrões'!$A$2:$V$4400,J$1,FALSE))</f>
        <v>%ur</v>
      </c>
      <c r="K73" s="31">
        <f>IF($B73="-","-",VLOOKUP(ROUND(CONCATENATE($A73,K$2),0),'Cadastro dos Padrões'!$A$2:$V$4400,K$1,FALSE))</f>
        <v>30</v>
      </c>
      <c r="L73" s="31">
        <f>IF($B73="-","-",VLOOKUP(ROUND(CONCATENATE($A73,L$2),0),'Cadastro dos Padrões'!$A$2:$V$4400,L$1,FALSE))</f>
        <v>80</v>
      </c>
      <c r="M73" s="31">
        <f>IF($B73="-","-",VLOOKUP(ROUND(CONCATENATE($A73,M$2),0),'Cadastro dos Padrões'!$A$2:$V$4400,M$1,FALSE))</f>
        <v>1</v>
      </c>
      <c r="N73" s="31">
        <f>IF($B73="-","-",VLOOKUP(ROUND(CONCATENATE($A73,N$2),0),'Cadastro dos Padrões'!$A$2:$V$4400,N$1,FALSE))</f>
        <v>5</v>
      </c>
      <c r="O73" s="31">
        <f>IF($B73="-","-",VLOOKUP(ROUND(CONCATENATE($A73,O$2),0),'Cadastro dos Padrões'!$A$2:$V$4400,O$1,FALSE))</f>
        <v>2</v>
      </c>
      <c r="P73" s="31">
        <f>IF($B73="-","-",VLOOKUP(ROUND(CONCATENATE($A73,P$2),0),'Cadastro dos Padrões'!$A$2:$V$4400,P$1,FALSE))</f>
        <v>5</v>
      </c>
      <c r="Q73" s="31">
        <f>IF($B73="-","-",VLOOKUP(ROUND(CONCATENATE($A73,Q$2),0),'Cadastro dos Padrões'!$A$2:$V$4400,Q$1,FALSE))</f>
        <v>1.1270711351480074</v>
      </c>
      <c r="R73" s="31">
        <f>IF($B73="-","-",VLOOKUP(ROUND(CONCATENATE($A73,R$2),0),'Cadastro dos Padrões'!$A$2:$V$4400,R$1,FALSE))</f>
        <v>1</v>
      </c>
      <c r="S73" s="31">
        <f>IF($B73="-","-",VLOOKUP(ROUND(CONCATENATE($A73,S$2),0),'Cadastro dos Padrões'!$A$2:$V$4400,S$1,FALSE))</f>
        <v>0</v>
      </c>
      <c r="T73" s="31">
        <f>IF($B73="-","-",VLOOKUP(ROUND(CONCATENATE($A73,T$2),0),'Cadastro dos Padrões'!$A$2:$V$4400,T$1,FALSE))</f>
        <v>0</v>
      </c>
      <c r="U73" s="31">
        <f>IF($B73="-","-",VLOOKUP(ROUND(CONCATENATE($A73,U$2),0),'Cadastro dos Padrões'!$A$2:$V$4400,U$1,FALSE))</f>
        <v>0</v>
      </c>
      <c r="V73" s="31">
        <f>IF($B73="-","-",VLOOKUP(ROUND(CONCATENATE($A73,V$2),0),'Cadastro dos Padrões'!$A$2:$V$4400,V$1,FALSE))</f>
        <v>0</v>
      </c>
      <c r="W73" s="31">
        <f>IF($B73="-","-",VLOOKUP(ROUND(CONCATENATE($A73,W$2),0),'Cadastro dos Padrões'!$A$2:$V$4400,W$1,FALSE))</f>
        <v>0</v>
      </c>
      <c r="X73" s="31">
        <f>IF($B73="-","-",VLOOKUP(ROUND(CONCATENATE($A73,X$2),0),'Cadastro dos Padrões'!$A$2:$V$4400,X$1,FALSE))</f>
        <v>0</v>
      </c>
      <c r="Y73" s="31">
        <f>IF($B73="-","-",VLOOKUP(ROUND(CONCATENATE($A73,Y$2),0),'Cadastro dos Padrões'!$A$2:$V$4400,Y$1,FALSE))</f>
        <v>0</v>
      </c>
      <c r="Z73" s="31">
        <f>IF($B73="-","-",VLOOKUP(ROUND(CONCATENATE($A73,Z$2),0),'Cadastro dos Padrões'!$A$2:$V$4400,Z$1,FALSE))</f>
        <v>1.1573747353563866</v>
      </c>
      <c r="AA73" s="31">
        <f>IF($B73="-","-",VLOOKUP(ROUND(CONCATENATE($A73,AA$2),0),'Cadastro dos Padrões'!$A$2:$V$4400,AA$1,FALSE))</f>
        <v>-6.4643613267466336</v>
      </c>
      <c r="AB73" s="31">
        <f>IF(VLOOKUP(ROUND(CONCATENATE($A73,AB$2),0),'Cadastro dos Padrões'!$A$2:$V$4400,AB$1,FALSE)="","-",VLOOKUP(ROUND(CONCATENATE($A73,AB$2),0),'Cadastro dos Padrões'!$A$2:$V$4400,AB$1,FALSE))</f>
        <v>30</v>
      </c>
      <c r="AC73" s="31">
        <f>IF(VLOOKUP(ROUND(CONCATENATE($A73,AC$2),0),'Cadastro dos Padrões'!$A$2:$V$4400,AC$1,FALSE)="","-",VLOOKUP(ROUND(CONCATENATE($A73,AC$2),0),'Cadastro dos Padrões'!$A$2:$V$4400,AC$1,FALSE))</f>
        <v>2</v>
      </c>
      <c r="AD73" s="31">
        <f>IF(VLOOKUP(ROUND(CONCATENATE($A73,AD$2),0),'Cadastro dos Padrões'!$A$2:$V$4400,AD$1,FALSE)="","-",VLOOKUP(ROUND(CONCATENATE($A73,AD$2),0),'Cadastro dos Padrões'!$A$2:$V$4400,AD$1,FALSE))</f>
        <v>2</v>
      </c>
      <c r="AE73" s="31">
        <f>IF(VLOOKUP(ROUND(CONCATENATE($A73,AE$2),0),'Cadastro dos Padrões'!$A$2:$V$4400,AE$1,FALSE)="","-",VLOOKUP(ROUND(CONCATENATE($A73,AE$2),0),'Cadastro dos Padrões'!$A$2:$V$4400,AE$1,FALSE))</f>
        <v>1000000</v>
      </c>
      <c r="AF73" s="31">
        <f>IF(VLOOKUP(ROUND(CONCATENATE($A73,AF$2),0),'Cadastro dos Padrões'!$A$2:$V$4400,AF$1,FALSE)="","-",VLOOKUP(ROUND(CONCATENATE($A73,AF$2),0),'Cadastro dos Padrões'!$A$2:$V$4400,AF$1,FALSE))</f>
        <v>50</v>
      </c>
      <c r="AG73" s="31">
        <f>IF(VLOOKUP(ROUND(CONCATENATE($A73,AG$2),0),'Cadastro dos Padrões'!$A$2:$V$4400,AG$1,FALSE)="","-",VLOOKUP(ROUND(CONCATENATE($A73,AG$2),0),'Cadastro dos Padrões'!$A$2:$V$4400,AG$1,FALSE))</f>
        <v>2</v>
      </c>
      <c r="AH73" s="31">
        <f>IF(VLOOKUP(ROUND(CONCATENATE($A73,AH$2),0),'Cadastro dos Padrões'!$A$2:$V$4400,AH$1,FALSE)="","-",VLOOKUP(ROUND(CONCATENATE($A73,AH$2),0),'Cadastro dos Padrões'!$A$2:$V$4400,AH$1,FALSE))</f>
        <v>2</v>
      </c>
      <c r="AI73" s="31">
        <f>IF(VLOOKUP(ROUND(CONCATENATE($A73,AI$2),0),'Cadastro dos Padrões'!$A$2:$V$4400,AI$1,FALSE)="","-",VLOOKUP(ROUND(CONCATENATE($A73,AI$2),0),'Cadastro dos Padrões'!$A$2:$V$4400,AI$1,FALSE))</f>
        <v>1000000</v>
      </c>
      <c r="AJ73" s="31">
        <f>IF(VLOOKUP(ROUND(CONCATENATE($A73,AJ$2),0),'Cadastro dos Padrões'!$A$2:$V$4400,AJ$1,FALSE)="","-",VLOOKUP(ROUND(CONCATENATE($A73,AJ$2),0),'Cadastro dos Padrões'!$A$2:$V$4400,AJ$1,FALSE))</f>
        <v>80</v>
      </c>
      <c r="AK73" s="31">
        <f>IF(VLOOKUP(ROUND(CONCATENATE($A73,AK$2),0),'Cadastro dos Padrões'!$A$2:$V$4400,AK$1,FALSE)="","-",VLOOKUP(ROUND(CONCATENATE($A73,AK$2),0),'Cadastro dos Padrões'!$A$2:$V$4400,AK$1,FALSE))</f>
        <v>2</v>
      </c>
      <c r="AL73" s="31">
        <f>IF(VLOOKUP(ROUND(CONCATENATE($A73,AL$2),0),'Cadastro dos Padrões'!$A$2:$V$4400,AL$1,FALSE)="","-",VLOOKUP(ROUND(CONCATENATE($A73,AL$2),0),'Cadastro dos Padrões'!$A$2:$V$4400,AL$1,FALSE))</f>
        <v>2</v>
      </c>
      <c r="AM73" s="31">
        <f>IF(VLOOKUP(ROUND(CONCATENATE($A73,AM$2),0),'Cadastro dos Padrões'!$A$2:$V$4400,AM$1,FALSE)="","-",VLOOKUP(ROUND(CONCATENATE($A73,AM$2),0),'Cadastro dos Padrões'!$A$2:$V$4400,AM$1,FALSE))</f>
        <v>1000000</v>
      </c>
      <c r="AN73" s="31" t="str">
        <f>IF(VLOOKUP(ROUND(CONCATENATE($A73,AN$2),0),'Cadastro dos Padrões'!$A$2:$V$4400,AN$1,FALSE)="","-",VLOOKUP(ROUND(CONCATENATE($A73,AN$2),0),'Cadastro dos Padrões'!$A$2:$V$4400,AN$1,FALSE))</f>
        <v>-</v>
      </c>
      <c r="AO73" s="31" t="str">
        <f>IF(VLOOKUP(ROUND(CONCATENATE($A73,AO$2),0),'Cadastro dos Padrões'!$A$2:$V$4400,AO$1,FALSE)="","-",VLOOKUP(ROUND(CONCATENATE($A73,AO$2),0),'Cadastro dos Padrões'!$A$2:$V$4400,AO$1,FALSE))</f>
        <v>-</v>
      </c>
      <c r="AP73" s="31" t="str">
        <f>IF(VLOOKUP(ROUND(CONCATENATE($A73,AP$2),0),'Cadastro dos Padrões'!$A$2:$V$4400,AP$1,FALSE)="","-",VLOOKUP(ROUND(CONCATENATE($A73,AP$2),0),'Cadastro dos Padrões'!$A$2:$V$4400,AP$1,FALSE))</f>
        <v>-</v>
      </c>
      <c r="AQ73" s="31" t="str">
        <f>IF(VLOOKUP(ROUND(CONCATENATE($A73,AQ$2),0),'Cadastro dos Padrões'!$A$2:$V$4400,AQ$1,FALSE)="","-",VLOOKUP(ROUND(CONCATENATE($A73,AQ$2),0),'Cadastro dos Padrões'!$A$2:$V$4400,AQ$1,FALSE))</f>
        <v>-</v>
      </c>
      <c r="AR73" s="31" t="str">
        <f>IF(VLOOKUP(ROUND(CONCATENATE($A73,AR$2),0),'Cadastro dos Padrões'!$A$2:$V$4400,AR$1,FALSE)="","-",VLOOKUP(ROUND(CONCATENATE($A73,AR$2),0),'Cadastro dos Padrões'!$A$2:$V$4400,AR$1,FALSE))</f>
        <v>-</v>
      </c>
      <c r="AS73" s="31" t="str">
        <f>IF(VLOOKUP(ROUND(CONCATENATE($A73,AS$2),0),'Cadastro dos Padrões'!$A$2:$V$4400,AS$1,FALSE)="","-",VLOOKUP(ROUND(CONCATENATE($A73,AS$2),0),'Cadastro dos Padrões'!$A$2:$V$4400,AS$1,FALSE))</f>
        <v>-</v>
      </c>
      <c r="AT73" s="31" t="str">
        <f>IF(VLOOKUP(ROUND(CONCATENATE($A73,AT$2),0),'Cadastro dos Padrões'!$A$2:$V$4400,AT$1,FALSE)="","-",VLOOKUP(ROUND(CONCATENATE($A73,AT$2),0),'Cadastro dos Padrões'!$A$2:$V$4400,AT$1,FALSE))</f>
        <v>-</v>
      </c>
      <c r="AU73" s="31" t="str">
        <f>IF(VLOOKUP(ROUND(CONCATENATE($A73,AU$2),0),'Cadastro dos Padrões'!$A$2:$V$4400,AU$1,FALSE)="","-",VLOOKUP(ROUND(CONCATENATE($A73,AU$2),0),'Cadastro dos Padrões'!$A$2:$V$4400,AU$1,FALSE))</f>
        <v>-</v>
      </c>
      <c r="AV73" s="31" t="str">
        <f>IF(VLOOKUP(ROUND(CONCATENATE($A73,AV$2),0),'Cadastro dos Padrões'!$A$2:$V$4400,AV$1,FALSE)="","-",VLOOKUP(ROUND(CONCATENATE($A73,AV$2),0),'Cadastro dos Padrões'!$A$2:$V$4400,AV$1,FALSE))</f>
        <v>-</v>
      </c>
      <c r="AW73" s="31" t="str">
        <f>IF(VLOOKUP(ROUND(CONCATENATE($A73,AW$2),0),'Cadastro dos Padrões'!$A$2:$V$4400,AW$1,FALSE)="","-",VLOOKUP(ROUND(CONCATENATE($A73,AW$2),0),'Cadastro dos Padrões'!$A$2:$V$4400,AW$1,FALSE))</f>
        <v>-</v>
      </c>
      <c r="AX73" s="31" t="str">
        <f>IF(VLOOKUP(ROUND(CONCATENATE($A73,AX$2),0),'Cadastro dos Padrões'!$A$2:$V$4400,AX$1,FALSE)="","-",VLOOKUP(ROUND(CONCATENATE($A73,AX$2),0),'Cadastro dos Padrões'!$A$2:$V$4400,AX$1,FALSE))</f>
        <v>-</v>
      </c>
      <c r="AY73" s="31" t="str">
        <f>IF(VLOOKUP(ROUND(CONCATENATE($A73,AY$2),0),'Cadastro dos Padrões'!$A$2:$V$4400,AY$1,FALSE)="","-",VLOOKUP(ROUND(CONCATENATE($A73,AY$2),0),'Cadastro dos Padrões'!$A$2:$V$4400,AY$1,FALSE))</f>
        <v>-</v>
      </c>
      <c r="AZ73" s="31" t="str">
        <f>IF(VLOOKUP(ROUND(CONCATENATE($A73,AZ$2),0),'Cadastro dos Padrões'!$A$2:$V$4400,AZ$1,FALSE)="","-",VLOOKUP(ROUND(CONCATENATE($A73,AZ$2),0),'Cadastro dos Padrões'!$A$2:$V$4400,AZ$1,FALSE))</f>
        <v>-</v>
      </c>
      <c r="BA73" s="31" t="str">
        <f>IF(VLOOKUP(ROUND(CONCATENATE($A73,BA$2),0),'Cadastro dos Padrões'!$A$2:$V$4400,BA$1,FALSE)="","-",VLOOKUP(ROUND(CONCATENATE($A73,BA$2),0),'Cadastro dos Padrões'!$A$2:$V$4400,BA$1,FALSE))</f>
        <v>-</v>
      </c>
      <c r="BB73" s="31" t="str">
        <f>IF(VLOOKUP(ROUND(CONCATENATE($A73,BB$2),0),'Cadastro dos Padrões'!$A$2:$V$4400,BB$1,FALSE)="","-",VLOOKUP(ROUND(CONCATENATE($A73,BB$2),0),'Cadastro dos Padrões'!$A$2:$V$4400,BB$1,FALSE))</f>
        <v>-</v>
      </c>
      <c r="BC73" s="31" t="str">
        <f>IF(VLOOKUP(ROUND(CONCATENATE($A73,BC$2),0),'Cadastro dos Padrões'!$A$2:$V$4400,BC$1,FALSE)="","-",VLOOKUP(ROUND(CONCATENATE($A73,BC$2),0),'Cadastro dos Padrões'!$A$2:$V$4400,BC$1,FALSE))</f>
        <v>-</v>
      </c>
      <c r="BD73" s="31" t="str">
        <f>IF(VLOOKUP(ROUND(CONCATENATE($A73,BD$2),0),'Cadastro dos Padrões'!$A$2:$V$4400,BD$1,FALSE)="","-",VLOOKUP(ROUND(CONCATENATE($A73,BD$2),0),'Cadastro dos Padrões'!$A$2:$V$4400,BD$1,FALSE))</f>
        <v>-</v>
      </c>
      <c r="BE73" s="31" t="str">
        <f>IF(VLOOKUP(ROUND(CONCATENATE($A73,BE$2),0),'Cadastro dos Padrões'!$A$2:$V$4400,BE$1,FALSE)="","-",VLOOKUP(ROUND(CONCATENATE($A73,BE$2),0),'Cadastro dos Padrões'!$A$2:$V$4400,BE$1,FALSE))</f>
        <v>-</v>
      </c>
      <c r="BF73" s="31" t="str">
        <f>IF(VLOOKUP(ROUND(CONCATENATE($A73,BF$2),0),'Cadastro dos Padrões'!$A$2:$V$4400,BF$1,FALSE)="","-",VLOOKUP(ROUND(CONCATENATE($A73,BF$2),0),'Cadastro dos Padrões'!$A$2:$V$4400,BF$1,FALSE))</f>
        <v>-</v>
      </c>
      <c r="BG73" s="31" t="str">
        <f>IF(VLOOKUP(ROUND(CONCATENATE($A73,BG$2),0),'Cadastro dos Padrões'!$A$2:$V$4400,BG$1,FALSE)="","-",VLOOKUP(ROUND(CONCATENATE($A73,BG$2),0),'Cadastro dos Padrões'!$A$2:$V$4400,BG$1,FALSE))</f>
        <v>-</v>
      </c>
      <c r="BH73" s="31" t="str">
        <f>IF(VLOOKUP(ROUND(CONCATENATE($A73,BH$2),0),'Cadastro dos Padrões'!$A$2:$V$4400,BH$1,FALSE)="","-",VLOOKUP(ROUND(CONCATENATE($A73,BH$2),0),'Cadastro dos Padrões'!$A$2:$V$4400,BH$1,FALSE))</f>
        <v>-</v>
      </c>
      <c r="BI73" s="31" t="str">
        <f>IF(VLOOKUP(ROUND(CONCATENATE($A73,BI$2),0),'Cadastro dos Padrões'!$A$2:$V$4400,BI$1,FALSE)="","-",VLOOKUP(ROUND(CONCATENATE($A73,BI$2),0),'Cadastro dos Padrões'!$A$2:$V$4400,BI$1,FALSE))</f>
        <v>-</v>
      </c>
      <c r="BJ73" s="31" t="str">
        <f>IF(VLOOKUP(ROUND(CONCATENATE($A73,BJ$2),0),'Cadastro dos Padrões'!$A$2:$V$4400,BJ$1,FALSE)="","-",VLOOKUP(ROUND(CONCATENATE($A73,BJ$2),0),'Cadastro dos Padrões'!$A$2:$V$4400,BJ$1,FALSE))</f>
        <v>-</v>
      </c>
      <c r="BK73" s="31" t="str">
        <f>IF(VLOOKUP(ROUND(CONCATENATE($A73,BK$2),0),'Cadastro dos Padrões'!$A$2:$V$4400,BK$1,FALSE)="","-",VLOOKUP(ROUND(CONCATENATE($A73,BK$2),0),'Cadastro dos Padrões'!$A$2:$V$4400,BK$1,FALSE))</f>
        <v>-</v>
      </c>
      <c r="BL73" s="31" t="str">
        <f>IF(VLOOKUP(ROUND(CONCATENATE($A73,BL$2),0),'Cadastro dos Padrões'!$A$2:$V$4400,BL$1,FALSE)="","-",VLOOKUP(ROUND(CONCATENATE($A73,BL$2),0),'Cadastro dos Padrões'!$A$2:$V$4400,BL$1,FALSE))</f>
        <v>-</v>
      </c>
      <c r="BM73" s="31" t="str">
        <f>IF(VLOOKUP(ROUND(CONCATENATE($A73,BM$2),0),'Cadastro dos Padrões'!$A$2:$V$4400,BM$1,FALSE)="","-",VLOOKUP(ROUND(CONCATENATE($A73,BM$2),0),'Cadastro dos Padrões'!$A$2:$V$4400,BM$1,FALSE))</f>
        <v>-</v>
      </c>
      <c r="BN73" s="31" t="str">
        <f>IF(VLOOKUP(ROUND(CONCATENATE($A73,BN$2),0),'Cadastro dos Padrões'!$A$2:$V$4400,BN$1,FALSE)="","-",VLOOKUP(ROUND(CONCATENATE($A73,BN$2),0),'Cadastro dos Padrões'!$A$2:$V$4400,BN$1,FALSE))</f>
        <v>-</v>
      </c>
      <c r="BO73" s="31" t="str">
        <f>IF(VLOOKUP(ROUND(CONCATENATE($A73,BO$2),0),'Cadastro dos Padrões'!$A$2:$V$4400,BO$1,FALSE)="","-",VLOOKUP(ROUND(CONCATENATE($A73,BO$2),0),'Cadastro dos Padrões'!$A$2:$V$4400,BO$1,FALSE))</f>
        <v>-</v>
      </c>
    </row>
    <row r="74" spans="1:67" x14ac:dyDescent="0.3">
      <c r="A74" s="6">
        <f t="shared" si="52"/>
        <v>69</v>
      </c>
      <c r="B74" s="31" t="str">
        <f>IF(VLOOKUP(ROUND(CONCATENATE($A74,B$2),0),'Cadastro dos Padrões'!$A$2:$V$4400,B$1,FALSE)="","-",VLOOKUP(ROUND(CONCATENATE($A74,B$2),0),'Cadastro dos Padrões'!$A$2:$V$4400,B$1,FALSE))</f>
        <v>E.TH.FS-059</v>
      </c>
      <c r="C74" s="31" t="str">
        <f>IF($B74="-","-",VLOOKUP(ROUND(CONCATENATE($A74,C$2),0),'Cadastro dos Padrões'!$A$2:$V$4400,C$1,FALSE))</f>
        <v>Termohigrômetro Digital</v>
      </c>
      <c r="D74" s="31">
        <f>IF($B74="-","-",VLOOKUP(ROUND(CONCATENATE($A74,D$2),0),'Cadastro dos Padrões'!$A$2:$V$4400,D$1,FALSE))</f>
        <v>20</v>
      </c>
      <c r="E74" s="31" t="str">
        <f>IF($B74="-","-",VLOOKUP(ROUND(CONCATENATE($A74,E$2),0),'Cadastro dos Padrões'!$A$2:$V$4400,E$1,FALSE))</f>
        <v>Elus</v>
      </c>
      <c r="F74" s="31" t="str">
        <f>IF($B74="-","-",VLOOKUP(ROUND(CONCATENATE($A74,F$2),0),'Cadastro dos Padrões'!$A$2:$V$4400,F$1,FALSE))</f>
        <v>RBC - CAL 0439</v>
      </c>
      <c r="G74" s="31" t="str">
        <f>IF($B74="-","-",VLOOKUP(ROUND(CONCATENATE($A74,G$2),0),'Cadastro dos Padrões'!$A$2:$V$4400,G$1,FALSE))</f>
        <v>E0137/25</v>
      </c>
      <c r="H74" s="32">
        <f>IF($B74="-","-",VLOOKUP(ROUND(CONCATENATE($A74,H$2),0),'Cadastro dos Padrões'!$A$2:$V$4400,H$1,FALSE))</f>
        <v>45733</v>
      </c>
      <c r="I74" s="33">
        <f>IF($B74="-","-",VLOOKUP(ROUND(CONCATENATE($A74,I$2),0),'Cadastro dos Padrões'!$A$2:$V$4400,I$1,FALSE))</f>
        <v>46111</v>
      </c>
      <c r="J74" s="31" t="str">
        <f>IF($B74="-","-",VLOOKUP(ROUND(CONCATENATE($A74,J$2),0),'Cadastro dos Padrões'!$A$2:$V$4400,J$1,FALSE))</f>
        <v>%ur</v>
      </c>
      <c r="K74" s="31">
        <f>IF($B74="-","-",VLOOKUP(ROUND(CONCATENATE($A74,K$2),0),'Cadastro dos Padrões'!$A$2:$V$4400,K$1,FALSE))</f>
        <v>30</v>
      </c>
      <c r="L74" s="31">
        <f>IF($B74="-","-",VLOOKUP(ROUND(CONCATENATE($A74,L$2),0),'Cadastro dos Padrões'!$A$2:$V$4400,L$1,FALSE))</f>
        <v>80</v>
      </c>
      <c r="M74" s="31">
        <f>IF($B74="-","-",VLOOKUP(ROUND(CONCATENATE($A74,M$2),0),'Cadastro dos Padrões'!$A$2:$V$4400,M$1,FALSE))</f>
        <v>1</v>
      </c>
      <c r="N74" s="31">
        <f>IF($B74="-","-",VLOOKUP(ROUND(CONCATENATE($A74,N$2),0),'Cadastro dos Padrões'!$A$2:$V$4400,N$1,FALSE))</f>
        <v>3</v>
      </c>
      <c r="O74" s="31">
        <f>IF($B74="-","-",VLOOKUP(ROUND(CONCATENATE($A74,O$2),0),'Cadastro dos Padrões'!$A$2:$V$4400,O$1,FALSE))</f>
        <v>2</v>
      </c>
      <c r="P74" s="31">
        <f>IF($B74="-","-",VLOOKUP(ROUND(CONCATENATE($A74,P$2),0),'Cadastro dos Padrões'!$A$2:$V$4400,P$1,FALSE))</f>
        <v>3</v>
      </c>
      <c r="Q74" s="31">
        <f>IF($B74="-","-",VLOOKUP(ROUND(CONCATENATE($A74,Q$2),0),'Cadastro dos Padrões'!$A$2:$V$4400,Q$1,FALSE))</f>
        <v>1.2767763788340787</v>
      </c>
      <c r="R74" s="31">
        <f>IF($B74="-","-",VLOOKUP(ROUND(CONCATENATE($A74,R$2),0),'Cadastro dos Padrões'!$A$2:$V$4400,R$1,FALSE))</f>
        <v>1</v>
      </c>
      <c r="S74" s="31">
        <f>IF($B74="-","-",VLOOKUP(ROUND(CONCATENATE($A74,S$2),0),'Cadastro dos Padrões'!$A$2:$V$4400,S$1,FALSE))</f>
        <v>0</v>
      </c>
      <c r="T74" s="31">
        <f>IF($B74="-","-",VLOOKUP(ROUND(CONCATENATE($A74,T$2),0),'Cadastro dos Padrões'!$A$2:$V$4400,T$1,FALSE))</f>
        <v>0</v>
      </c>
      <c r="U74" s="31">
        <f>IF($B74="-","-",VLOOKUP(ROUND(CONCATENATE($A74,U$2),0),'Cadastro dos Padrões'!$A$2:$V$4400,U$1,FALSE))</f>
        <v>0</v>
      </c>
      <c r="V74" s="31">
        <f>IF($B74="-","-",VLOOKUP(ROUND(CONCATENATE($A74,V$2),0),'Cadastro dos Padrões'!$A$2:$V$4400,V$1,FALSE))</f>
        <v>0</v>
      </c>
      <c r="W74" s="31">
        <f>IF($B74="-","-",VLOOKUP(ROUND(CONCATENATE($A74,W$2),0),'Cadastro dos Padrões'!$A$2:$V$4400,W$1,FALSE))</f>
        <v>0</v>
      </c>
      <c r="X74" s="31">
        <f>IF($B74="-","-",VLOOKUP(ROUND(CONCATENATE($A74,X$2),0),'Cadastro dos Padrões'!$A$2:$V$4400,X$1,FALSE))</f>
        <v>0</v>
      </c>
      <c r="Y74" s="31">
        <f>IF($B74="-","-",VLOOKUP(ROUND(CONCATENATE($A74,Y$2),0),'Cadastro dos Padrões'!$A$2:$V$4400,Y$1,FALSE))</f>
        <v>0</v>
      </c>
      <c r="Z74" s="31">
        <f>IF($B74="-","-",VLOOKUP(ROUND(CONCATENATE($A74,Z$2),0),'Cadastro dos Padrões'!$A$2:$V$4400,Z$1,FALSE))</f>
        <v>0.98318899643402946</v>
      </c>
      <c r="AA74" s="31">
        <f>IF($B74="-","-",VLOOKUP(ROUND(CONCATENATE($A74,AA$2),0),'Cadastro dos Padrões'!$A$2:$V$4400,AA$1,FALSE))</f>
        <v>2.8629648497198232</v>
      </c>
      <c r="AB74" s="31">
        <f>IF(VLOOKUP(ROUND(CONCATENATE($A74,AB$2),0),'Cadastro dos Padrões'!$A$2:$V$4400,AB$1,FALSE)="","-",VLOOKUP(ROUND(CONCATENATE($A74,AB$2),0),'Cadastro dos Padrões'!$A$2:$V$4400,AB$1,FALSE))</f>
        <v>30</v>
      </c>
      <c r="AC74" s="31">
        <f>IF(VLOOKUP(ROUND(CONCATENATE($A74,AC$2),0),'Cadastro dos Padrões'!$A$2:$V$4400,AC$1,FALSE)="","-",VLOOKUP(ROUND(CONCATENATE($A74,AC$2),0),'Cadastro dos Padrões'!$A$2:$V$4400,AC$1,FALSE))</f>
        <v>2</v>
      </c>
      <c r="AD74" s="31">
        <f>IF(VLOOKUP(ROUND(CONCATENATE($A74,AD$2),0),'Cadastro dos Padrões'!$A$2:$V$4400,AD$1,FALSE)="","-",VLOOKUP(ROUND(CONCATENATE($A74,AD$2),0),'Cadastro dos Padrões'!$A$2:$V$4400,AD$1,FALSE))</f>
        <v>2</v>
      </c>
      <c r="AE74" s="31">
        <f>IF(VLOOKUP(ROUND(CONCATENATE($A74,AE$2),0),'Cadastro dos Padrões'!$A$2:$V$4400,AE$1,FALSE)="","-",VLOOKUP(ROUND(CONCATENATE($A74,AE$2),0),'Cadastro dos Padrões'!$A$2:$V$4400,AE$1,FALSE))</f>
        <v>1000000</v>
      </c>
      <c r="AF74" s="31">
        <f>IF(VLOOKUP(ROUND(CONCATENATE($A74,AF$2),0),'Cadastro dos Padrões'!$A$2:$V$4400,AF$1,FALSE)="","-",VLOOKUP(ROUND(CONCATENATE($A74,AF$2),0),'Cadastro dos Padrões'!$A$2:$V$4400,AF$1,FALSE))</f>
        <v>50</v>
      </c>
      <c r="AG74" s="31">
        <f>IF(VLOOKUP(ROUND(CONCATENATE($A74,AG$2),0),'Cadastro dos Padrões'!$A$2:$V$4400,AG$1,FALSE)="","-",VLOOKUP(ROUND(CONCATENATE($A74,AG$2),0),'Cadastro dos Padrões'!$A$2:$V$4400,AG$1,FALSE))</f>
        <v>2</v>
      </c>
      <c r="AH74" s="31">
        <f>IF(VLOOKUP(ROUND(CONCATENATE($A74,AH$2),0),'Cadastro dos Padrões'!$A$2:$V$4400,AH$1,FALSE)="","-",VLOOKUP(ROUND(CONCATENATE($A74,AH$2),0),'Cadastro dos Padrões'!$A$2:$V$4400,AH$1,FALSE))</f>
        <v>2</v>
      </c>
      <c r="AI74" s="31">
        <f>IF(VLOOKUP(ROUND(CONCATENATE($A74,AI$2),0),'Cadastro dos Padrões'!$A$2:$V$4400,AI$1,FALSE)="","-",VLOOKUP(ROUND(CONCATENATE($A74,AI$2),0),'Cadastro dos Padrões'!$A$2:$V$4400,AI$1,FALSE))</f>
        <v>1000000</v>
      </c>
      <c r="AJ74" s="31">
        <f>IF(VLOOKUP(ROUND(CONCATENATE($A74,AJ$2),0),'Cadastro dos Padrões'!$A$2:$V$4400,AJ$1,FALSE)="","-",VLOOKUP(ROUND(CONCATENATE($A74,AJ$2),0),'Cadastro dos Padrões'!$A$2:$V$4400,AJ$1,FALSE))</f>
        <v>80</v>
      </c>
      <c r="AK74" s="31">
        <f>IF(VLOOKUP(ROUND(CONCATENATE($A74,AK$2),0),'Cadastro dos Padrões'!$A$2:$V$4400,AK$1,FALSE)="","-",VLOOKUP(ROUND(CONCATENATE($A74,AK$2),0),'Cadastro dos Padrões'!$A$2:$V$4400,AK$1,FALSE))</f>
        <v>2</v>
      </c>
      <c r="AL74" s="31">
        <f>IF(VLOOKUP(ROUND(CONCATENATE($A74,AL$2),0),'Cadastro dos Padrões'!$A$2:$V$4400,AL$1,FALSE)="","-",VLOOKUP(ROUND(CONCATENATE($A74,AL$2),0),'Cadastro dos Padrões'!$A$2:$V$4400,AL$1,FALSE))</f>
        <v>2</v>
      </c>
      <c r="AM74" s="31">
        <f>IF(VLOOKUP(ROUND(CONCATENATE($A74,AM$2),0),'Cadastro dos Padrões'!$A$2:$V$4400,AM$1,FALSE)="","-",VLOOKUP(ROUND(CONCATENATE($A74,AM$2),0),'Cadastro dos Padrões'!$A$2:$V$4400,AM$1,FALSE))</f>
        <v>1000000</v>
      </c>
      <c r="AN74" s="31" t="str">
        <f>IF(VLOOKUP(ROUND(CONCATENATE($A74,AN$2),0),'Cadastro dos Padrões'!$A$2:$V$4400,AN$1,FALSE)="","-",VLOOKUP(ROUND(CONCATENATE($A74,AN$2),0),'Cadastro dos Padrões'!$A$2:$V$4400,AN$1,FALSE))</f>
        <v>-</v>
      </c>
      <c r="AO74" s="31" t="str">
        <f>IF(VLOOKUP(ROUND(CONCATENATE($A74,AO$2),0),'Cadastro dos Padrões'!$A$2:$V$4400,AO$1,FALSE)="","-",VLOOKUP(ROUND(CONCATENATE($A74,AO$2),0),'Cadastro dos Padrões'!$A$2:$V$4400,AO$1,FALSE))</f>
        <v>-</v>
      </c>
      <c r="AP74" s="31" t="str">
        <f>IF(VLOOKUP(ROUND(CONCATENATE($A74,AP$2),0),'Cadastro dos Padrões'!$A$2:$V$4400,AP$1,FALSE)="","-",VLOOKUP(ROUND(CONCATENATE($A74,AP$2),0),'Cadastro dos Padrões'!$A$2:$V$4400,AP$1,FALSE))</f>
        <v>-</v>
      </c>
      <c r="AQ74" s="31" t="str">
        <f>IF(VLOOKUP(ROUND(CONCATENATE($A74,AQ$2),0),'Cadastro dos Padrões'!$A$2:$V$4400,AQ$1,FALSE)="","-",VLOOKUP(ROUND(CONCATENATE($A74,AQ$2),0),'Cadastro dos Padrões'!$A$2:$V$4400,AQ$1,FALSE))</f>
        <v>-</v>
      </c>
      <c r="AR74" s="31" t="str">
        <f>IF(VLOOKUP(ROUND(CONCATENATE($A74,AR$2),0),'Cadastro dos Padrões'!$A$2:$V$4400,AR$1,FALSE)="","-",VLOOKUP(ROUND(CONCATENATE($A74,AR$2),0),'Cadastro dos Padrões'!$A$2:$V$4400,AR$1,FALSE))</f>
        <v>-</v>
      </c>
      <c r="AS74" s="31" t="str">
        <f>IF(VLOOKUP(ROUND(CONCATENATE($A74,AS$2),0),'Cadastro dos Padrões'!$A$2:$V$4400,AS$1,FALSE)="","-",VLOOKUP(ROUND(CONCATENATE($A74,AS$2),0),'Cadastro dos Padrões'!$A$2:$V$4400,AS$1,FALSE))</f>
        <v>-</v>
      </c>
      <c r="AT74" s="31" t="str">
        <f>IF(VLOOKUP(ROUND(CONCATENATE($A74,AT$2),0),'Cadastro dos Padrões'!$A$2:$V$4400,AT$1,FALSE)="","-",VLOOKUP(ROUND(CONCATENATE($A74,AT$2),0),'Cadastro dos Padrões'!$A$2:$V$4400,AT$1,FALSE))</f>
        <v>-</v>
      </c>
      <c r="AU74" s="31" t="str">
        <f>IF(VLOOKUP(ROUND(CONCATENATE($A74,AU$2),0),'Cadastro dos Padrões'!$A$2:$V$4400,AU$1,FALSE)="","-",VLOOKUP(ROUND(CONCATENATE($A74,AU$2),0),'Cadastro dos Padrões'!$A$2:$V$4400,AU$1,FALSE))</f>
        <v>-</v>
      </c>
      <c r="AV74" s="31" t="str">
        <f>IF(VLOOKUP(ROUND(CONCATENATE($A74,AV$2),0),'Cadastro dos Padrões'!$A$2:$V$4400,AV$1,FALSE)="","-",VLOOKUP(ROUND(CONCATENATE($A74,AV$2),0),'Cadastro dos Padrões'!$A$2:$V$4400,AV$1,FALSE))</f>
        <v>-</v>
      </c>
      <c r="AW74" s="31" t="str">
        <f>IF(VLOOKUP(ROUND(CONCATENATE($A74,AW$2),0),'Cadastro dos Padrões'!$A$2:$V$4400,AW$1,FALSE)="","-",VLOOKUP(ROUND(CONCATENATE($A74,AW$2),0),'Cadastro dos Padrões'!$A$2:$V$4400,AW$1,FALSE))</f>
        <v>-</v>
      </c>
      <c r="AX74" s="31" t="str">
        <f>IF(VLOOKUP(ROUND(CONCATENATE($A74,AX$2),0),'Cadastro dos Padrões'!$A$2:$V$4400,AX$1,FALSE)="","-",VLOOKUP(ROUND(CONCATENATE($A74,AX$2),0),'Cadastro dos Padrões'!$A$2:$V$4400,AX$1,FALSE))</f>
        <v>-</v>
      </c>
      <c r="AY74" s="31" t="str">
        <f>IF(VLOOKUP(ROUND(CONCATENATE($A74,AY$2),0),'Cadastro dos Padrões'!$A$2:$V$4400,AY$1,FALSE)="","-",VLOOKUP(ROUND(CONCATENATE($A74,AY$2),0),'Cadastro dos Padrões'!$A$2:$V$4400,AY$1,FALSE))</f>
        <v>-</v>
      </c>
      <c r="AZ74" s="31" t="str">
        <f>IF(VLOOKUP(ROUND(CONCATENATE($A74,AZ$2),0),'Cadastro dos Padrões'!$A$2:$V$4400,AZ$1,FALSE)="","-",VLOOKUP(ROUND(CONCATENATE($A74,AZ$2),0),'Cadastro dos Padrões'!$A$2:$V$4400,AZ$1,FALSE))</f>
        <v>-</v>
      </c>
      <c r="BA74" s="31" t="str">
        <f>IF(VLOOKUP(ROUND(CONCATENATE($A74,BA$2),0),'Cadastro dos Padrões'!$A$2:$V$4400,BA$1,FALSE)="","-",VLOOKUP(ROUND(CONCATENATE($A74,BA$2),0),'Cadastro dos Padrões'!$A$2:$V$4400,BA$1,FALSE))</f>
        <v>-</v>
      </c>
      <c r="BB74" s="31" t="str">
        <f>IF(VLOOKUP(ROUND(CONCATENATE($A74,BB$2),0),'Cadastro dos Padrões'!$A$2:$V$4400,BB$1,FALSE)="","-",VLOOKUP(ROUND(CONCATENATE($A74,BB$2),0),'Cadastro dos Padrões'!$A$2:$V$4400,BB$1,FALSE))</f>
        <v>-</v>
      </c>
      <c r="BC74" s="31" t="str">
        <f>IF(VLOOKUP(ROUND(CONCATENATE($A74,BC$2),0),'Cadastro dos Padrões'!$A$2:$V$4400,BC$1,FALSE)="","-",VLOOKUP(ROUND(CONCATENATE($A74,BC$2),0),'Cadastro dos Padrões'!$A$2:$V$4400,BC$1,FALSE))</f>
        <v>-</v>
      </c>
      <c r="BD74" s="31" t="str">
        <f>IF(VLOOKUP(ROUND(CONCATENATE($A74,BD$2),0),'Cadastro dos Padrões'!$A$2:$V$4400,BD$1,FALSE)="","-",VLOOKUP(ROUND(CONCATENATE($A74,BD$2),0),'Cadastro dos Padrões'!$A$2:$V$4400,BD$1,FALSE))</f>
        <v>-</v>
      </c>
      <c r="BE74" s="31" t="str">
        <f>IF(VLOOKUP(ROUND(CONCATENATE($A74,BE$2),0),'Cadastro dos Padrões'!$A$2:$V$4400,BE$1,FALSE)="","-",VLOOKUP(ROUND(CONCATENATE($A74,BE$2),0),'Cadastro dos Padrões'!$A$2:$V$4400,BE$1,FALSE))</f>
        <v>-</v>
      </c>
      <c r="BF74" s="31" t="str">
        <f>IF(VLOOKUP(ROUND(CONCATENATE($A74,BF$2),0),'Cadastro dos Padrões'!$A$2:$V$4400,BF$1,FALSE)="","-",VLOOKUP(ROUND(CONCATENATE($A74,BF$2),0),'Cadastro dos Padrões'!$A$2:$V$4400,BF$1,FALSE))</f>
        <v>-</v>
      </c>
      <c r="BG74" s="31" t="str">
        <f>IF(VLOOKUP(ROUND(CONCATENATE($A74,BG$2),0),'Cadastro dos Padrões'!$A$2:$V$4400,BG$1,FALSE)="","-",VLOOKUP(ROUND(CONCATENATE($A74,BG$2),0),'Cadastro dos Padrões'!$A$2:$V$4400,BG$1,FALSE))</f>
        <v>-</v>
      </c>
      <c r="BH74" s="31" t="str">
        <f>IF(VLOOKUP(ROUND(CONCATENATE($A74,BH$2),0),'Cadastro dos Padrões'!$A$2:$V$4400,BH$1,FALSE)="","-",VLOOKUP(ROUND(CONCATENATE($A74,BH$2),0),'Cadastro dos Padrões'!$A$2:$V$4400,BH$1,FALSE))</f>
        <v>-</v>
      </c>
      <c r="BI74" s="31" t="str">
        <f>IF(VLOOKUP(ROUND(CONCATENATE($A74,BI$2),0),'Cadastro dos Padrões'!$A$2:$V$4400,BI$1,FALSE)="","-",VLOOKUP(ROUND(CONCATENATE($A74,BI$2),0),'Cadastro dos Padrões'!$A$2:$V$4400,BI$1,FALSE))</f>
        <v>-</v>
      </c>
      <c r="BJ74" s="31" t="str">
        <f>IF(VLOOKUP(ROUND(CONCATENATE($A74,BJ$2),0),'Cadastro dos Padrões'!$A$2:$V$4400,BJ$1,FALSE)="","-",VLOOKUP(ROUND(CONCATENATE($A74,BJ$2),0),'Cadastro dos Padrões'!$A$2:$V$4400,BJ$1,FALSE))</f>
        <v>-</v>
      </c>
      <c r="BK74" s="31" t="str">
        <f>IF(VLOOKUP(ROUND(CONCATENATE($A74,BK$2),0),'Cadastro dos Padrões'!$A$2:$V$4400,BK$1,FALSE)="","-",VLOOKUP(ROUND(CONCATENATE($A74,BK$2),0),'Cadastro dos Padrões'!$A$2:$V$4400,BK$1,FALSE))</f>
        <v>-</v>
      </c>
      <c r="BL74" s="31" t="str">
        <f>IF(VLOOKUP(ROUND(CONCATENATE($A74,BL$2),0),'Cadastro dos Padrões'!$A$2:$V$4400,BL$1,FALSE)="","-",VLOOKUP(ROUND(CONCATENATE($A74,BL$2),0),'Cadastro dos Padrões'!$A$2:$V$4400,BL$1,FALSE))</f>
        <v>-</v>
      </c>
      <c r="BM74" s="31" t="str">
        <f>IF(VLOOKUP(ROUND(CONCATENATE($A74,BM$2),0),'Cadastro dos Padrões'!$A$2:$V$4400,BM$1,FALSE)="","-",VLOOKUP(ROUND(CONCATENATE($A74,BM$2),0),'Cadastro dos Padrões'!$A$2:$V$4400,BM$1,FALSE))</f>
        <v>-</v>
      </c>
      <c r="BN74" s="31" t="str">
        <f>IF(VLOOKUP(ROUND(CONCATENATE($A74,BN$2),0),'Cadastro dos Padrões'!$A$2:$V$4400,BN$1,FALSE)="","-",VLOOKUP(ROUND(CONCATENATE($A74,BN$2),0),'Cadastro dos Padrões'!$A$2:$V$4400,BN$1,FALSE))</f>
        <v>-</v>
      </c>
      <c r="BO74" s="31" t="str">
        <f>IF(VLOOKUP(ROUND(CONCATENATE($A74,BO$2),0),'Cadastro dos Padrões'!$A$2:$V$4400,BO$1,FALSE)="","-",VLOOKUP(ROUND(CONCATENATE($A74,BO$2),0),'Cadastro dos Padrões'!$A$2:$V$4400,BO$1,FALSE))</f>
        <v>-</v>
      </c>
    </row>
    <row r="75" spans="1:67" x14ac:dyDescent="0.3">
      <c r="A75" s="6">
        <f t="shared" si="52"/>
        <v>70</v>
      </c>
      <c r="B75" s="31" t="str">
        <f>IF(VLOOKUP(ROUND(CONCATENATE($A75,B$2),0),'Cadastro dos Padrões'!$A$2:$V$4400,B$1,FALSE)="","-",VLOOKUP(ROUND(CONCATENATE($A75,B$2),0),'Cadastro dos Padrões'!$A$2:$V$4400,B$1,FALSE))</f>
        <v>E.TH.FS-060</v>
      </c>
      <c r="C75" s="31" t="str">
        <f>IF($B75="-","-",VLOOKUP(ROUND(CONCATENATE($A75,C$2),0),'Cadastro dos Padrões'!$A$2:$V$4400,C$1,FALSE))</f>
        <v>Termohigrômetro Digital</v>
      </c>
      <c r="D75" s="31">
        <f>IF($B75="-","-",VLOOKUP(ROUND(CONCATENATE($A75,D$2),0),'Cadastro dos Padrões'!$A$2:$V$4400,D$1,FALSE))</f>
        <v>20</v>
      </c>
      <c r="E75" s="31" t="str">
        <f>IF($B75="-","-",VLOOKUP(ROUND(CONCATENATE($A75,E$2),0),'Cadastro dos Padrões'!$A$2:$V$4400,E$1,FALSE))</f>
        <v>Elus</v>
      </c>
      <c r="F75" s="31" t="str">
        <f>IF($B75="-","-",VLOOKUP(ROUND(CONCATENATE($A75,F$2),0),'Cadastro dos Padrões'!$A$2:$V$4400,F$1,FALSE))</f>
        <v>RBC - CAL 0439</v>
      </c>
      <c r="G75" s="31" t="str">
        <f>IF($B75="-","-",VLOOKUP(ROUND(CONCATENATE($A75,G$2),0),'Cadastro dos Padrões'!$A$2:$V$4400,G$1,FALSE))</f>
        <v>E0138/25</v>
      </c>
      <c r="H75" s="32">
        <f>IF($B75="-","-",VLOOKUP(ROUND(CONCATENATE($A75,H$2),0),'Cadastro dos Padrões'!$A$2:$V$4400,H$1,FALSE))</f>
        <v>45733</v>
      </c>
      <c r="I75" s="33">
        <f>IF($B75="-","-",VLOOKUP(ROUND(CONCATENATE($A75,I$2),0),'Cadastro dos Padrões'!$A$2:$V$4400,I$1,FALSE))</f>
        <v>46111</v>
      </c>
      <c r="J75" s="31" t="str">
        <f>IF($B75="-","-",VLOOKUP(ROUND(CONCATENATE($A75,J$2),0),'Cadastro dos Padrões'!$A$2:$V$4400,J$1,FALSE))</f>
        <v>%ur</v>
      </c>
      <c r="K75" s="31">
        <f>IF($B75="-","-",VLOOKUP(ROUND(CONCATENATE($A75,K$2),0),'Cadastro dos Padrões'!$A$2:$V$4400,K$1,FALSE))</f>
        <v>30</v>
      </c>
      <c r="L75" s="31">
        <f>IF($B75="-","-",VLOOKUP(ROUND(CONCATENATE($A75,L$2),0),'Cadastro dos Padrões'!$A$2:$V$4400,L$1,FALSE))</f>
        <v>80</v>
      </c>
      <c r="M75" s="31">
        <f>IF($B75="-","-",VLOOKUP(ROUND(CONCATENATE($A75,M$2),0),'Cadastro dos Padrões'!$A$2:$V$4400,M$1,FALSE))</f>
        <v>1</v>
      </c>
      <c r="N75" s="31">
        <f>IF($B75="-","-",VLOOKUP(ROUND(CONCATENATE($A75,N$2),0),'Cadastro dos Padrões'!$A$2:$V$4400,N$1,FALSE))</f>
        <v>5</v>
      </c>
      <c r="O75" s="31">
        <f>IF($B75="-","-",VLOOKUP(ROUND(CONCATENATE($A75,O$2),0),'Cadastro dos Padrões'!$A$2:$V$4400,O$1,FALSE))</f>
        <v>2</v>
      </c>
      <c r="P75" s="31">
        <f>IF($B75="-","-",VLOOKUP(ROUND(CONCATENATE($A75,P$2),0),'Cadastro dos Padrões'!$A$2:$V$4400,P$1,FALSE))</f>
        <v>5</v>
      </c>
      <c r="Q75" s="31">
        <f>IF($B75="-","-",VLOOKUP(ROUND(CONCATENATE($A75,Q$2),0),'Cadastro dos Padrões'!$A$2:$V$4400,Q$1,FALSE))</f>
        <v>2.5681047537964474</v>
      </c>
      <c r="R75" s="31">
        <f>IF($B75="-","-",VLOOKUP(ROUND(CONCATENATE($A75,R$2),0),'Cadastro dos Padrões'!$A$2:$V$4400,R$1,FALSE))</f>
        <v>1</v>
      </c>
      <c r="S75" s="31">
        <f>IF($B75="-","-",VLOOKUP(ROUND(CONCATENATE($A75,S$2),0),'Cadastro dos Padrões'!$A$2:$V$4400,S$1,FALSE))</f>
        <v>0</v>
      </c>
      <c r="T75" s="31">
        <f>IF($B75="-","-",VLOOKUP(ROUND(CONCATENATE($A75,T$2),0),'Cadastro dos Padrões'!$A$2:$V$4400,T$1,FALSE))</f>
        <v>0</v>
      </c>
      <c r="U75" s="31">
        <f>IF($B75="-","-",VLOOKUP(ROUND(CONCATENATE($A75,U$2),0),'Cadastro dos Padrões'!$A$2:$V$4400,U$1,FALSE))</f>
        <v>0</v>
      </c>
      <c r="V75" s="31">
        <f>IF($B75="-","-",VLOOKUP(ROUND(CONCATENATE($A75,V$2),0),'Cadastro dos Padrões'!$A$2:$V$4400,V$1,FALSE))</f>
        <v>0</v>
      </c>
      <c r="W75" s="31">
        <f>IF($B75="-","-",VLOOKUP(ROUND(CONCATENATE($A75,W$2),0),'Cadastro dos Padrões'!$A$2:$V$4400,W$1,FALSE))</f>
        <v>0</v>
      </c>
      <c r="X75" s="31">
        <f>IF($B75="-","-",VLOOKUP(ROUND(CONCATENATE($A75,X$2),0),'Cadastro dos Padrões'!$A$2:$V$4400,X$1,FALSE))</f>
        <v>0</v>
      </c>
      <c r="Y75" s="31">
        <f>IF($B75="-","-",VLOOKUP(ROUND(CONCATENATE($A75,Y$2),0),'Cadastro dos Padrões'!$A$2:$V$4400,Y$1,FALSE))</f>
        <v>0</v>
      </c>
      <c r="Z75" s="31">
        <f>IF($B75="-","-",VLOOKUP(ROUND(CONCATENATE($A75,Z$2),0),'Cadastro dos Padrões'!$A$2:$V$4400,Z$1,FALSE))</f>
        <v>0.92879963486992234</v>
      </c>
      <c r="AA75" s="31">
        <f>IF($B75="-","-",VLOOKUP(ROUND(CONCATENATE($A75,AA$2),0),'Cadastro dos Padrões'!$A$2:$V$4400,AA$1,FALSE))</f>
        <v>5.6549520766773185</v>
      </c>
      <c r="AB75" s="31">
        <f>IF(VLOOKUP(ROUND(CONCATENATE($A75,AB$2),0),'Cadastro dos Padrões'!$A$2:$V$4400,AB$1,FALSE)="","-",VLOOKUP(ROUND(CONCATENATE($A75,AB$2),0),'Cadastro dos Padrões'!$A$2:$V$4400,AB$1,FALSE))</f>
        <v>30</v>
      </c>
      <c r="AC75" s="31">
        <f>IF(VLOOKUP(ROUND(CONCATENATE($A75,AC$2),0),'Cadastro dos Padrões'!$A$2:$V$4400,AC$1,FALSE)="","-",VLOOKUP(ROUND(CONCATENATE($A75,AC$2),0),'Cadastro dos Padrões'!$A$2:$V$4400,AC$1,FALSE))</f>
        <v>2</v>
      </c>
      <c r="AD75" s="31">
        <f>IF(VLOOKUP(ROUND(CONCATENATE($A75,AD$2),0),'Cadastro dos Padrões'!$A$2:$V$4400,AD$1,FALSE)="","-",VLOOKUP(ROUND(CONCATENATE($A75,AD$2),0),'Cadastro dos Padrões'!$A$2:$V$4400,AD$1,FALSE))</f>
        <v>2</v>
      </c>
      <c r="AE75" s="31">
        <f>IF(VLOOKUP(ROUND(CONCATENATE($A75,AE$2),0),'Cadastro dos Padrões'!$A$2:$V$4400,AE$1,FALSE)="","-",VLOOKUP(ROUND(CONCATENATE($A75,AE$2),0),'Cadastro dos Padrões'!$A$2:$V$4400,AE$1,FALSE))</f>
        <v>1000000</v>
      </c>
      <c r="AF75" s="31">
        <f>IF(VLOOKUP(ROUND(CONCATENATE($A75,AF$2),0),'Cadastro dos Padrões'!$A$2:$V$4400,AF$1,FALSE)="","-",VLOOKUP(ROUND(CONCATENATE($A75,AF$2),0),'Cadastro dos Padrões'!$A$2:$V$4400,AF$1,FALSE))</f>
        <v>50</v>
      </c>
      <c r="AG75" s="31">
        <f>IF(VLOOKUP(ROUND(CONCATENATE($A75,AG$2),0),'Cadastro dos Padrões'!$A$2:$V$4400,AG$1,FALSE)="","-",VLOOKUP(ROUND(CONCATENATE($A75,AG$2),0),'Cadastro dos Padrões'!$A$2:$V$4400,AG$1,FALSE))</f>
        <v>2</v>
      </c>
      <c r="AH75" s="31">
        <f>IF(VLOOKUP(ROUND(CONCATENATE($A75,AH$2),0),'Cadastro dos Padrões'!$A$2:$V$4400,AH$1,FALSE)="","-",VLOOKUP(ROUND(CONCATENATE($A75,AH$2),0),'Cadastro dos Padrões'!$A$2:$V$4400,AH$1,FALSE))</f>
        <v>2</v>
      </c>
      <c r="AI75" s="31">
        <f>IF(VLOOKUP(ROUND(CONCATENATE($A75,AI$2),0),'Cadastro dos Padrões'!$A$2:$V$4400,AI$1,FALSE)="","-",VLOOKUP(ROUND(CONCATENATE($A75,AI$2),0),'Cadastro dos Padrões'!$A$2:$V$4400,AI$1,FALSE))</f>
        <v>1000000</v>
      </c>
      <c r="AJ75" s="31">
        <f>IF(VLOOKUP(ROUND(CONCATENATE($A75,AJ$2),0),'Cadastro dos Padrões'!$A$2:$V$4400,AJ$1,FALSE)="","-",VLOOKUP(ROUND(CONCATENATE($A75,AJ$2),0),'Cadastro dos Padrões'!$A$2:$V$4400,AJ$1,FALSE))</f>
        <v>80</v>
      </c>
      <c r="AK75" s="31">
        <f>IF(VLOOKUP(ROUND(CONCATENATE($A75,AK$2),0),'Cadastro dos Padrões'!$A$2:$V$4400,AK$1,FALSE)="","-",VLOOKUP(ROUND(CONCATENATE($A75,AK$2),0),'Cadastro dos Padrões'!$A$2:$V$4400,AK$1,FALSE))</f>
        <v>2</v>
      </c>
      <c r="AL75" s="31">
        <f>IF(VLOOKUP(ROUND(CONCATENATE($A75,AL$2),0),'Cadastro dos Padrões'!$A$2:$V$4400,AL$1,FALSE)="","-",VLOOKUP(ROUND(CONCATENATE($A75,AL$2),0),'Cadastro dos Padrões'!$A$2:$V$4400,AL$1,FALSE))</f>
        <v>2</v>
      </c>
      <c r="AM75" s="31">
        <f>IF(VLOOKUP(ROUND(CONCATENATE($A75,AM$2),0),'Cadastro dos Padrões'!$A$2:$V$4400,AM$1,FALSE)="","-",VLOOKUP(ROUND(CONCATENATE($A75,AM$2),0),'Cadastro dos Padrões'!$A$2:$V$4400,AM$1,FALSE))</f>
        <v>1000000</v>
      </c>
      <c r="AN75" s="31" t="str">
        <f>IF(VLOOKUP(ROUND(CONCATENATE($A75,AN$2),0),'Cadastro dos Padrões'!$A$2:$V$4400,AN$1,FALSE)="","-",VLOOKUP(ROUND(CONCATENATE($A75,AN$2),0),'Cadastro dos Padrões'!$A$2:$V$4400,AN$1,FALSE))</f>
        <v>-</v>
      </c>
      <c r="AO75" s="31" t="str">
        <f>IF(VLOOKUP(ROUND(CONCATENATE($A75,AO$2),0),'Cadastro dos Padrões'!$A$2:$V$4400,AO$1,FALSE)="","-",VLOOKUP(ROUND(CONCATENATE($A75,AO$2),0),'Cadastro dos Padrões'!$A$2:$V$4400,AO$1,FALSE))</f>
        <v>-</v>
      </c>
      <c r="AP75" s="31" t="str">
        <f>IF(VLOOKUP(ROUND(CONCATENATE($A75,AP$2),0),'Cadastro dos Padrões'!$A$2:$V$4400,AP$1,FALSE)="","-",VLOOKUP(ROUND(CONCATENATE($A75,AP$2),0),'Cadastro dos Padrões'!$A$2:$V$4400,AP$1,FALSE))</f>
        <v>-</v>
      </c>
      <c r="AQ75" s="31" t="str">
        <f>IF(VLOOKUP(ROUND(CONCATENATE($A75,AQ$2),0),'Cadastro dos Padrões'!$A$2:$V$4400,AQ$1,FALSE)="","-",VLOOKUP(ROUND(CONCATENATE($A75,AQ$2),0),'Cadastro dos Padrões'!$A$2:$V$4400,AQ$1,FALSE))</f>
        <v>-</v>
      </c>
      <c r="AR75" s="31" t="str">
        <f>IF(VLOOKUP(ROUND(CONCATENATE($A75,AR$2),0),'Cadastro dos Padrões'!$A$2:$V$4400,AR$1,FALSE)="","-",VLOOKUP(ROUND(CONCATENATE($A75,AR$2),0),'Cadastro dos Padrões'!$A$2:$V$4400,AR$1,FALSE))</f>
        <v>-</v>
      </c>
      <c r="AS75" s="31" t="str">
        <f>IF(VLOOKUP(ROUND(CONCATENATE($A75,AS$2),0),'Cadastro dos Padrões'!$A$2:$V$4400,AS$1,FALSE)="","-",VLOOKUP(ROUND(CONCATENATE($A75,AS$2),0),'Cadastro dos Padrões'!$A$2:$V$4400,AS$1,FALSE))</f>
        <v>-</v>
      </c>
      <c r="AT75" s="31" t="str">
        <f>IF(VLOOKUP(ROUND(CONCATENATE($A75,AT$2),0),'Cadastro dos Padrões'!$A$2:$V$4400,AT$1,FALSE)="","-",VLOOKUP(ROUND(CONCATENATE($A75,AT$2),0),'Cadastro dos Padrões'!$A$2:$V$4400,AT$1,FALSE))</f>
        <v>-</v>
      </c>
      <c r="AU75" s="31" t="str">
        <f>IF(VLOOKUP(ROUND(CONCATENATE($A75,AU$2),0),'Cadastro dos Padrões'!$A$2:$V$4400,AU$1,FALSE)="","-",VLOOKUP(ROUND(CONCATENATE($A75,AU$2),0),'Cadastro dos Padrões'!$A$2:$V$4400,AU$1,FALSE))</f>
        <v>-</v>
      </c>
      <c r="AV75" s="31" t="str">
        <f>IF(VLOOKUP(ROUND(CONCATENATE($A75,AV$2),0),'Cadastro dos Padrões'!$A$2:$V$4400,AV$1,FALSE)="","-",VLOOKUP(ROUND(CONCATENATE($A75,AV$2),0),'Cadastro dos Padrões'!$A$2:$V$4400,AV$1,FALSE))</f>
        <v>-</v>
      </c>
      <c r="AW75" s="31" t="str">
        <f>IF(VLOOKUP(ROUND(CONCATENATE($A75,AW$2),0),'Cadastro dos Padrões'!$A$2:$V$4400,AW$1,FALSE)="","-",VLOOKUP(ROUND(CONCATENATE($A75,AW$2),0),'Cadastro dos Padrões'!$A$2:$V$4400,AW$1,FALSE))</f>
        <v>-</v>
      </c>
      <c r="AX75" s="31" t="str">
        <f>IF(VLOOKUP(ROUND(CONCATENATE($A75,AX$2),0),'Cadastro dos Padrões'!$A$2:$V$4400,AX$1,FALSE)="","-",VLOOKUP(ROUND(CONCATENATE($A75,AX$2),0),'Cadastro dos Padrões'!$A$2:$V$4400,AX$1,FALSE))</f>
        <v>-</v>
      </c>
      <c r="AY75" s="31" t="str">
        <f>IF(VLOOKUP(ROUND(CONCATENATE($A75,AY$2),0),'Cadastro dos Padrões'!$A$2:$V$4400,AY$1,FALSE)="","-",VLOOKUP(ROUND(CONCATENATE($A75,AY$2),0),'Cadastro dos Padrões'!$A$2:$V$4400,AY$1,FALSE))</f>
        <v>-</v>
      </c>
      <c r="AZ75" s="31" t="str">
        <f>IF(VLOOKUP(ROUND(CONCATENATE($A75,AZ$2),0),'Cadastro dos Padrões'!$A$2:$V$4400,AZ$1,FALSE)="","-",VLOOKUP(ROUND(CONCATENATE($A75,AZ$2),0),'Cadastro dos Padrões'!$A$2:$V$4400,AZ$1,FALSE))</f>
        <v>-</v>
      </c>
      <c r="BA75" s="31" t="str">
        <f>IF(VLOOKUP(ROUND(CONCATENATE($A75,BA$2),0),'Cadastro dos Padrões'!$A$2:$V$4400,BA$1,FALSE)="","-",VLOOKUP(ROUND(CONCATENATE($A75,BA$2),0),'Cadastro dos Padrões'!$A$2:$V$4400,BA$1,FALSE))</f>
        <v>-</v>
      </c>
      <c r="BB75" s="31" t="str">
        <f>IF(VLOOKUP(ROUND(CONCATENATE($A75,BB$2),0),'Cadastro dos Padrões'!$A$2:$V$4400,BB$1,FALSE)="","-",VLOOKUP(ROUND(CONCATENATE($A75,BB$2),0),'Cadastro dos Padrões'!$A$2:$V$4400,BB$1,FALSE))</f>
        <v>-</v>
      </c>
      <c r="BC75" s="31" t="str">
        <f>IF(VLOOKUP(ROUND(CONCATENATE($A75,BC$2),0),'Cadastro dos Padrões'!$A$2:$V$4400,BC$1,FALSE)="","-",VLOOKUP(ROUND(CONCATENATE($A75,BC$2),0),'Cadastro dos Padrões'!$A$2:$V$4400,BC$1,FALSE))</f>
        <v>-</v>
      </c>
      <c r="BD75" s="31" t="str">
        <f>IF(VLOOKUP(ROUND(CONCATENATE($A75,BD$2),0),'Cadastro dos Padrões'!$A$2:$V$4400,BD$1,FALSE)="","-",VLOOKUP(ROUND(CONCATENATE($A75,BD$2),0),'Cadastro dos Padrões'!$A$2:$V$4400,BD$1,FALSE))</f>
        <v>-</v>
      </c>
      <c r="BE75" s="31" t="str">
        <f>IF(VLOOKUP(ROUND(CONCATENATE($A75,BE$2),0),'Cadastro dos Padrões'!$A$2:$V$4400,BE$1,FALSE)="","-",VLOOKUP(ROUND(CONCATENATE($A75,BE$2),0),'Cadastro dos Padrões'!$A$2:$V$4400,BE$1,FALSE))</f>
        <v>-</v>
      </c>
      <c r="BF75" s="31" t="str">
        <f>IF(VLOOKUP(ROUND(CONCATENATE($A75,BF$2),0),'Cadastro dos Padrões'!$A$2:$V$4400,BF$1,FALSE)="","-",VLOOKUP(ROUND(CONCATENATE($A75,BF$2),0),'Cadastro dos Padrões'!$A$2:$V$4400,BF$1,FALSE))</f>
        <v>-</v>
      </c>
      <c r="BG75" s="31" t="str">
        <f>IF(VLOOKUP(ROUND(CONCATENATE($A75,BG$2),0),'Cadastro dos Padrões'!$A$2:$V$4400,BG$1,FALSE)="","-",VLOOKUP(ROUND(CONCATENATE($A75,BG$2),0),'Cadastro dos Padrões'!$A$2:$V$4400,BG$1,FALSE))</f>
        <v>-</v>
      </c>
      <c r="BH75" s="31" t="str">
        <f>IF(VLOOKUP(ROUND(CONCATENATE($A75,BH$2),0),'Cadastro dos Padrões'!$A$2:$V$4400,BH$1,FALSE)="","-",VLOOKUP(ROUND(CONCATENATE($A75,BH$2),0),'Cadastro dos Padrões'!$A$2:$V$4400,BH$1,FALSE))</f>
        <v>-</v>
      </c>
      <c r="BI75" s="31" t="str">
        <f>IF(VLOOKUP(ROUND(CONCATENATE($A75,BI$2),0),'Cadastro dos Padrões'!$A$2:$V$4400,BI$1,FALSE)="","-",VLOOKUP(ROUND(CONCATENATE($A75,BI$2),0),'Cadastro dos Padrões'!$A$2:$V$4400,BI$1,FALSE))</f>
        <v>-</v>
      </c>
      <c r="BJ75" s="31" t="str">
        <f>IF(VLOOKUP(ROUND(CONCATENATE($A75,BJ$2),0),'Cadastro dos Padrões'!$A$2:$V$4400,BJ$1,FALSE)="","-",VLOOKUP(ROUND(CONCATENATE($A75,BJ$2),0),'Cadastro dos Padrões'!$A$2:$V$4400,BJ$1,FALSE))</f>
        <v>-</v>
      </c>
      <c r="BK75" s="31" t="str">
        <f>IF(VLOOKUP(ROUND(CONCATENATE($A75,BK$2),0),'Cadastro dos Padrões'!$A$2:$V$4400,BK$1,FALSE)="","-",VLOOKUP(ROUND(CONCATENATE($A75,BK$2),0),'Cadastro dos Padrões'!$A$2:$V$4400,BK$1,FALSE))</f>
        <v>-</v>
      </c>
      <c r="BL75" s="31" t="str">
        <f>IF(VLOOKUP(ROUND(CONCATENATE($A75,BL$2),0),'Cadastro dos Padrões'!$A$2:$V$4400,BL$1,FALSE)="","-",VLOOKUP(ROUND(CONCATENATE($A75,BL$2),0),'Cadastro dos Padrões'!$A$2:$V$4400,BL$1,FALSE))</f>
        <v>-</v>
      </c>
      <c r="BM75" s="31" t="str">
        <f>IF(VLOOKUP(ROUND(CONCATENATE($A75,BM$2),0),'Cadastro dos Padrões'!$A$2:$V$4400,BM$1,FALSE)="","-",VLOOKUP(ROUND(CONCATENATE($A75,BM$2),0),'Cadastro dos Padrões'!$A$2:$V$4400,BM$1,FALSE))</f>
        <v>-</v>
      </c>
      <c r="BN75" s="31" t="str">
        <f>IF(VLOOKUP(ROUND(CONCATENATE($A75,BN$2),0),'Cadastro dos Padrões'!$A$2:$V$4400,BN$1,FALSE)="","-",VLOOKUP(ROUND(CONCATENATE($A75,BN$2),0),'Cadastro dos Padrões'!$A$2:$V$4400,BN$1,FALSE))</f>
        <v>-</v>
      </c>
      <c r="BO75" s="31" t="str">
        <f>IF(VLOOKUP(ROUND(CONCATENATE($A75,BO$2),0),'Cadastro dos Padrões'!$A$2:$V$4400,BO$1,FALSE)="","-",VLOOKUP(ROUND(CONCATENATE($A75,BO$2),0),'Cadastro dos Padrões'!$A$2:$V$4400,BO$1,FALSE))</f>
        <v>-</v>
      </c>
    </row>
    <row r="76" spans="1:67" x14ac:dyDescent="0.3">
      <c r="A76" s="6">
        <f t="shared" si="52"/>
        <v>71</v>
      </c>
      <c r="B76" s="31" t="str">
        <f>IF(VLOOKUP(ROUND(CONCATENATE($A76,B$2),0),'Cadastro dos Padrões'!$A$2:$V$4400,B$1,FALSE)="","-",VLOOKUP(ROUND(CONCATENATE($A76,B$2),0),'Cadastro dos Padrões'!$A$2:$V$4400,B$1,FALSE))</f>
        <v>E.TH.FS-061</v>
      </c>
      <c r="C76" s="31" t="str">
        <f>IF($B76="-","-",VLOOKUP(ROUND(CONCATENATE($A76,C$2),0),'Cadastro dos Padrões'!$A$2:$V$4400,C$1,FALSE))</f>
        <v>Termohigrômetro Digital</v>
      </c>
      <c r="D76" s="31">
        <f>IF($B76="-","-",VLOOKUP(ROUND(CONCATENATE($A76,D$2),0),'Cadastro dos Padrões'!$A$2:$V$4400,D$1,FALSE))</f>
        <v>20</v>
      </c>
      <c r="E76" s="31" t="str">
        <f>IF($B76="-","-",VLOOKUP(ROUND(CONCATENATE($A76,E$2),0),'Cadastro dos Padrões'!$A$2:$V$4400,E$1,FALSE))</f>
        <v>Elus</v>
      </c>
      <c r="F76" s="31" t="str">
        <f>IF($B76="-","-",VLOOKUP(ROUND(CONCATENATE($A76,F$2),0),'Cadastro dos Padrões'!$A$2:$V$4400,F$1,FALSE))</f>
        <v>RBC - CAL 0439</v>
      </c>
      <c r="G76" s="31" t="str">
        <f>IF($B76="-","-",VLOOKUP(ROUND(CONCATENATE($A76,G$2),0),'Cadastro dos Padrões'!$A$2:$V$4400,G$1,FALSE))</f>
        <v>E0139/25</v>
      </c>
      <c r="H76" s="32">
        <f>IF($B76="-","-",VLOOKUP(ROUND(CONCATENATE($A76,H$2),0),'Cadastro dos Padrões'!$A$2:$V$4400,H$1,FALSE))</f>
        <v>45733</v>
      </c>
      <c r="I76" s="33">
        <f>IF($B76="-","-",VLOOKUP(ROUND(CONCATENATE($A76,I$2),0),'Cadastro dos Padrões'!$A$2:$V$4400,I$1,FALSE))</f>
        <v>46111</v>
      </c>
      <c r="J76" s="31" t="str">
        <f>IF($B76="-","-",VLOOKUP(ROUND(CONCATENATE($A76,J$2),0),'Cadastro dos Padrões'!$A$2:$V$4400,J$1,FALSE))</f>
        <v>%ur</v>
      </c>
      <c r="K76" s="31">
        <f>IF($B76="-","-",VLOOKUP(ROUND(CONCATENATE($A76,K$2),0),'Cadastro dos Padrões'!$A$2:$V$4400,K$1,FALSE))</f>
        <v>30</v>
      </c>
      <c r="L76" s="31">
        <f>IF($B76="-","-",VLOOKUP(ROUND(CONCATENATE($A76,L$2),0),'Cadastro dos Padrões'!$A$2:$V$4400,L$1,FALSE))</f>
        <v>80</v>
      </c>
      <c r="M76" s="31">
        <f>IF($B76="-","-",VLOOKUP(ROUND(CONCATENATE($A76,M$2),0),'Cadastro dos Padrões'!$A$2:$V$4400,M$1,FALSE))</f>
        <v>1</v>
      </c>
      <c r="N76" s="31">
        <f>IF($B76="-","-",VLOOKUP(ROUND(CONCATENATE($A76,N$2),0),'Cadastro dos Padrões'!$A$2:$V$4400,N$1,FALSE))</f>
        <v>0</v>
      </c>
      <c r="O76" s="31">
        <f>IF($B76="-","-",VLOOKUP(ROUND(CONCATENATE($A76,O$2),0),'Cadastro dos Padrões'!$A$2:$V$4400,O$1,FALSE))</f>
        <v>2</v>
      </c>
      <c r="P76" s="31">
        <f>IF($B76="-","-",VLOOKUP(ROUND(CONCATENATE($A76,P$2),0),'Cadastro dos Padrões'!$A$2:$V$4400,P$1,FALSE))</f>
        <v>0</v>
      </c>
      <c r="Q76" s="31">
        <f>IF($B76="-","-",VLOOKUP(ROUND(CONCATENATE($A76,Q$2),0),'Cadastro dos Padrões'!$A$2:$V$4400,Q$1,FALSE))</f>
        <v>7.1054273576010019E-15</v>
      </c>
      <c r="R76" s="31">
        <f>IF($B76="-","-",VLOOKUP(ROUND(CONCATENATE($A76,R$2),0),'Cadastro dos Padrões'!$A$2:$V$4400,R$1,FALSE))</f>
        <v>1</v>
      </c>
      <c r="S76" s="31">
        <f>IF($B76="-","-",VLOOKUP(ROUND(CONCATENATE($A76,S$2),0),'Cadastro dos Padrões'!$A$2:$V$4400,S$1,FALSE))</f>
        <v>0</v>
      </c>
      <c r="T76" s="31">
        <f>IF($B76="-","-",VLOOKUP(ROUND(CONCATENATE($A76,T$2),0),'Cadastro dos Padrões'!$A$2:$V$4400,T$1,FALSE))</f>
        <v>0</v>
      </c>
      <c r="U76" s="31">
        <f>IF($B76="-","-",VLOOKUP(ROUND(CONCATENATE($A76,U$2),0),'Cadastro dos Padrões'!$A$2:$V$4400,U$1,FALSE))</f>
        <v>0</v>
      </c>
      <c r="V76" s="31">
        <f>IF($B76="-","-",VLOOKUP(ROUND(CONCATENATE($A76,V$2),0),'Cadastro dos Padrões'!$A$2:$V$4400,V$1,FALSE))</f>
        <v>0</v>
      </c>
      <c r="W76" s="31">
        <f>IF($B76="-","-",VLOOKUP(ROUND(CONCATENATE($A76,W$2),0),'Cadastro dos Padrões'!$A$2:$V$4400,W$1,FALSE))</f>
        <v>0</v>
      </c>
      <c r="X76" s="31">
        <f>IF($B76="-","-",VLOOKUP(ROUND(CONCATENATE($A76,X$2),0),'Cadastro dos Padrões'!$A$2:$V$4400,X$1,FALSE))</f>
        <v>0</v>
      </c>
      <c r="Y76" s="31">
        <f>IF($B76="-","-",VLOOKUP(ROUND(CONCATENATE($A76,Y$2),0),'Cadastro dos Padrões'!$A$2:$V$4400,Y$1,FALSE))</f>
        <v>0</v>
      </c>
      <c r="Z76" s="31">
        <f>IF($B76="-","-",VLOOKUP(ROUND(CONCATENATE($A76,Z$2),0),'Cadastro dos Padrões'!$A$2:$V$4400,Z$1,FALSE))</f>
        <v>0.99999999999999978</v>
      </c>
      <c r="AA76" s="31">
        <f>IF($B76="-","-",VLOOKUP(ROUND(CONCATENATE($A76,AA$2),0),'Cadastro dos Padrões'!$A$2:$V$4400,AA$1,FALSE))</f>
        <v>1.4210854715202004E-14</v>
      </c>
      <c r="AB76" s="31">
        <f>IF(VLOOKUP(ROUND(CONCATENATE($A76,AB$2),0),'Cadastro dos Padrões'!$A$2:$V$4400,AB$1,FALSE)="","-",VLOOKUP(ROUND(CONCATENATE($A76,AB$2),0),'Cadastro dos Padrões'!$A$2:$V$4400,AB$1,FALSE))</f>
        <v>30</v>
      </c>
      <c r="AC76" s="31">
        <f>IF(VLOOKUP(ROUND(CONCATENATE($A76,AC$2),0),'Cadastro dos Padrões'!$A$2:$V$4400,AC$1,FALSE)="","-",VLOOKUP(ROUND(CONCATENATE($A76,AC$2),0),'Cadastro dos Padrões'!$A$2:$V$4400,AC$1,FALSE))</f>
        <v>2</v>
      </c>
      <c r="AD76" s="31">
        <f>IF(VLOOKUP(ROUND(CONCATENATE($A76,AD$2),0),'Cadastro dos Padrões'!$A$2:$V$4400,AD$1,FALSE)="","-",VLOOKUP(ROUND(CONCATENATE($A76,AD$2),0),'Cadastro dos Padrões'!$A$2:$V$4400,AD$1,FALSE))</f>
        <v>2</v>
      </c>
      <c r="AE76" s="31">
        <f>IF(VLOOKUP(ROUND(CONCATENATE($A76,AE$2),0),'Cadastro dos Padrões'!$A$2:$V$4400,AE$1,FALSE)="","-",VLOOKUP(ROUND(CONCATENATE($A76,AE$2),0),'Cadastro dos Padrões'!$A$2:$V$4400,AE$1,FALSE))</f>
        <v>1000000</v>
      </c>
      <c r="AF76" s="31">
        <f>IF(VLOOKUP(ROUND(CONCATENATE($A76,AF$2),0),'Cadastro dos Padrões'!$A$2:$V$4400,AF$1,FALSE)="","-",VLOOKUP(ROUND(CONCATENATE($A76,AF$2),0),'Cadastro dos Padrões'!$A$2:$V$4400,AF$1,FALSE))</f>
        <v>50</v>
      </c>
      <c r="AG76" s="31">
        <f>IF(VLOOKUP(ROUND(CONCATENATE($A76,AG$2),0),'Cadastro dos Padrões'!$A$2:$V$4400,AG$1,FALSE)="","-",VLOOKUP(ROUND(CONCATENATE($A76,AG$2),0),'Cadastro dos Padrões'!$A$2:$V$4400,AG$1,FALSE))</f>
        <v>2</v>
      </c>
      <c r="AH76" s="31">
        <f>IF(VLOOKUP(ROUND(CONCATENATE($A76,AH$2),0),'Cadastro dos Padrões'!$A$2:$V$4400,AH$1,FALSE)="","-",VLOOKUP(ROUND(CONCATENATE($A76,AH$2),0),'Cadastro dos Padrões'!$A$2:$V$4400,AH$1,FALSE))</f>
        <v>2</v>
      </c>
      <c r="AI76" s="31">
        <f>IF(VLOOKUP(ROUND(CONCATENATE($A76,AI$2),0),'Cadastro dos Padrões'!$A$2:$V$4400,AI$1,FALSE)="","-",VLOOKUP(ROUND(CONCATENATE($A76,AI$2),0),'Cadastro dos Padrões'!$A$2:$V$4400,AI$1,FALSE))</f>
        <v>1000000</v>
      </c>
      <c r="AJ76" s="31">
        <f>IF(VLOOKUP(ROUND(CONCATENATE($A76,AJ$2),0),'Cadastro dos Padrões'!$A$2:$V$4400,AJ$1,FALSE)="","-",VLOOKUP(ROUND(CONCATENATE($A76,AJ$2),0),'Cadastro dos Padrões'!$A$2:$V$4400,AJ$1,FALSE))</f>
        <v>80</v>
      </c>
      <c r="AK76" s="31">
        <f>IF(VLOOKUP(ROUND(CONCATENATE($A76,AK$2),0),'Cadastro dos Padrões'!$A$2:$V$4400,AK$1,FALSE)="","-",VLOOKUP(ROUND(CONCATENATE($A76,AK$2),0),'Cadastro dos Padrões'!$A$2:$V$4400,AK$1,FALSE))</f>
        <v>2</v>
      </c>
      <c r="AL76" s="31">
        <f>IF(VLOOKUP(ROUND(CONCATENATE($A76,AL$2),0),'Cadastro dos Padrões'!$A$2:$V$4400,AL$1,FALSE)="","-",VLOOKUP(ROUND(CONCATENATE($A76,AL$2),0),'Cadastro dos Padrões'!$A$2:$V$4400,AL$1,FALSE))</f>
        <v>2</v>
      </c>
      <c r="AM76" s="31">
        <f>IF(VLOOKUP(ROUND(CONCATENATE($A76,AM$2),0),'Cadastro dos Padrões'!$A$2:$V$4400,AM$1,FALSE)="","-",VLOOKUP(ROUND(CONCATENATE($A76,AM$2),0),'Cadastro dos Padrões'!$A$2:$V$4400,AM$1,FALSE))</f>
        <v>1000000</v>
      </c>
      <c r="AN76" s="31" t="str">
        <f>IF(VLOOKUP(ROUND(CONCATENATE($A76,AN$2),0),'Cadastro dos Padrões'!$A$2:$V$4400,AN$1,FALSE)="","-",VLOOKUP(ROUND(CONCATENATE($A76,AN$2),0),'Cadastro dos Padrões'!$A$2:$V$4400,AN$1,FALSE))</f>
        <v>-</v>
      </c>
      <c r="AO76" s="31" t="str">
        <f>IF(VLOOKUP(ROUND(CONCATENATE($A76,AO$2),0),'Cadastro dos Padrões'!$A$2:$V$4400,AO$1,FALSE)="","-",VLOOKUP(ROUND(CONCATENATE($A76,AO$2),0),'Cadastro dos Padrões'!$A$2:$V$4400,AO$1,FALSE))</f>
        <v>-</v>
      </c>
      <c r="AP76" s="31" t="str">
        <f>IF(VLOOKUP(ROUND(CONCATENATE($A76,AP$2),0),'Cadastro dos Padrões'!$A$2:$V$4400,AP$1,FALSE)="","-",VLOOKUP(ROUND(CONCATENATE($A76,AP$2),0),'Cadastro dos Padrões'!$A$2:$V$4400,AP$1,FALSE))</f>
        <v>-</v>
      </c>
      <c r="AQ76" s="31" t="str">
        <f>IF(VLOOKUP(ROUND(CONCATENATE($A76,AQ$2),0),'Cadastro dos Padrões'!$A$2:$V$4400,AQ$1,FALSE)="","-",VLOOKUP(ROUND(CONCATENATE($A76,AQ$2),0),'Cadastro dos Padrões'!$A$2:$V$4400,AQ$1,FALSE))</f>
        <v>-</v>
      </c>
      <c r="AR76" s="31" t="str">
        <f>IF(VLOOKUP(ROUND(CONCATENATE($A76,AR$2),0),'Cadastro dos Padrões'!$A$2:$V$4400,AR$1,FALSE)="","-",VLOOKUP(ROUND(CONCATENATE($A76,AR$2),0),'Cadastro dos Padrões'!$A$2:$V$4400,AR$1,FALSE))</f>
        <v>-</v>
      </c>
      <c r="AS76" s="31" t="str">
        <f>IF(VLOOKUP(ROUND(CONCATENATE($A76,AS$2),0),'Cadastro dos Padrões'!$A$2:$V$4400,AS$1,FALSE)="","-",VLOOKUP(ROUND(CONCATENATE($A76,AS$2),0),'Cadastro dos Padrões'!$A$2:$V$4400,AS$1,FALSE))</f>
        <v>-</v>
      </c>
      <c r="AT76" s="31" t="str">
        <f>IF(VLOOKUP(ROUND(CONCATENATE($A76,AT$2),0),'Cadastro dos Padrões'!$A$2:$V$4400,AT$1,FALSE)="","-",VLOOKUP(ROUND(CONCATENATE($A76,AT$2),0),'Cadastro dos Padrões'!$A$2:$V$4400,AT$1,FALSE))</f>
        <v>-</v>
      </c>
      <c r="AU76" s="31" t="str">
        <f>IF(VLOOKUP(ROUND(CONCATENATE($A76,AU$2),0),'Cadastro dos Padrões'!$A$2:$V$4400,AU$1,FALSE)="","-",VLOOKUP(ROUND(CONCATENATE($A76,AU$2),0),'Cadastro dos Padrões'!$A$2:$V$4400,AU$1,FALSE))</f>
        <v>-</v>
      </c>
      <c r="AV76" s="31" t="str">
        <f>IF(VLOOKUP(ROUND(CONCATENATE($A76,AV$2),0),'Cadastro dos Padrões'!$A$2:$V$4400,AV$1,FALSE)="","-",VLOOKUP(ROUND(CONCATENATE($A76,AV$2),0),'Cadastro dos Padrões'!$A$2:$V$4400,AV$1,FALSE))</f>
        <v>-</v>
      </c>
      <c r="AW76" s="31" t="str">
        <f>IF(VLOOKUP(ROUND(CONCATENATE($A76,AW$2),0),'Cadastro dos Padrões'!$A$2:$V$4400,AW$1,FALSE)="","-",VLOOKUP(ROUND(CONCATENATE($A76,AW$2),0),'Cadastro dos Padrões'!$A$2:$V$4400,AW$1,FALSE))</f>
        <v>-</v>
      </c>
      <c r="AX76" s="31" t="str">
        <f>IF(VLOOKUP(ROUND(CONCATENATE($A76,AX$2),0),'Cadastro dos Padrões'!$A$2:$V$4400,AX$1,FALSE)="","-",VLOOKUP(ROUND(CONCATENATE($A76,AX$2),0),'Cadastro dos Padrões'!$A$2:$V$4400,AX$1,FALSE))</f>
        <v>-</v>
      </c>
      <c r="AY76" s="31" t="str">
        <f>IF(VLOOKUP(ROUND(CONCATENATE($A76,AY$2),0),'Cadastro dos Padrões'!$A$2:$V$4400,AY$1,FALSE)="","-",VLOOKUP(ROUND(CONCATENATE($A76,AY$2),0),'Cadastro dos Padrões'!$A$2:$V$4400,AY$1,FALSE))</f>
        <v>-</v>
      </c>
      <c r="AZ76" s="31" t="str">
        <f>IF(VLOOKUP(ROUND(CONCATENATE($A76,AZ$2),0),'Cadastro dos Padrões'!$A$2:$V$4400,AZ$1,FALSE)="","-",VLOOKUP(ROUND(CONCATENATE($A76,AZ$2),0),'Cadastro dos Padrões'!$A$2:$V$4400,AZ$1,FALSE))</f>
        <v>-</v>
      </c>
      <c r="BA76" s="31" t="str">
        <f>IF(VLOOKUP(ROUND(CONCATENATE($A76,BA$2),0),'Cadastro dos Padrões'!$A$2:$V$4400,BA$1,FALSE)="","-",VLOOKUP(ROUND(CONCATENATE($A76,BA$2),0),'Cadastro dos Padrões'!$A$2:$V$4400,BA$1,FALSE))</f>
        <v>-</v>
      </c>
      <c r="BB76" s="31" t="str">
        <f>IF(VLOOKUP(ROUND(CONCATENATE($A76,BB$2),0),'Cadastro dos Padrões'!$A$2:$V$4400,BB$1,FALSE)="","-",VLOOKUP(ROUND(CONCATENATE($A76,BB$2),0),'Cadastro dos Padrões'!$A$2:$V$4400,BB$1,FALSE))</f>
        <v>-</v>
      </c>
      <c r="BC76" s="31" t="str">
        <f>IF(VLOOKUP(ROUND(CONCATENATE($A76,BC$2),0),'Cadastro dos Padrões'!$A$2:$V$4400,BC$1,FALSE)="","-",VLOOKUP(ROUND(CONCATENATE($A76,BC$2),0),'Cadastro dos Padrões'!$A$2:$V$4400,BC$1,FALSE))</f>
        <v>-</v>
      </c>
      <c r="BD76" s="31" t="str">
        <f>IF(VLOOKUP(ROUND(CONCATENATE($A76,BD$2),0),'Cadastro dos Padrões'!$A$2:$V$4400,BD$1,FALSE)="","-",VLOOKUP(ROUND(CONCATENATE($A76,BD$2),0),'Cadastro dos Padrões'!$A$2:$V$4400,BD$1,FALSE))</f>
        <v>-</v>
      </c>
      <c r="BE76" s="31" t="str">
        <f>IF(VLOOKUP(ROUND(CONCATENATE($A76,BE$2),0),'Cadastro dos Padrões'!$A$2:$V$4400,BE$1,FALSE)="","-",VLOOKUP(ROUND(CONCATENATE($A76,BE$2),0),'Cadastro dos Padrões'!$A$2:$V$4400,BE$1,FALSE))</f>
        <v>-</v>
      </c>
      <c r="BF76" s="31" t="str">
        <f>IF(VLOOKUP(ROUND(CONCATENATE($A76,BF$2),0),'Cadastro dos Padrões'!$A$2:$V$4400,BF$1,FALSE)="","-",VLOOKUP(ROUND(CONCATENATE($A76,BF$2),0),'Cadastro dos Padrões'!$A$2:$V$4400,BF$1,FALSE))</f>
        <v>-</v>
      </c>
      <c r="BG76" s="31" t="str">
        <f>IF(VLOOKUP(ROUND(CONCATENATE($A76,BG$2),0),'Cadastro dos Padrões'!$A$2:$V$4400,BG$1,FALSE)="","-",VLOOKUP(ROUND(CONCATENATE($A76,BG$2),0),'Cadastro dos Padrões'!$A$2:$V$4400,BG$1,FALSE))</f>
        <v>-</v>
      </c>
      <c r="BH76" s="31" t="str">
        <f>IF(VLOOKUP(ROUND(CONCATENATE($A76,BH$2),0),'Cadastro dos Padrões'!$A$2:$V$4400,BH$1,FALSE)="","-",VLOOKUP(ROUND(CONCATENATE($A76,BH$2),0),'Cadastro dos Padrões'!$A$2:$V$4400,BH$1,FALSE))</f>
        <v>-</v>
      </c>
      <c r="BI76" s="31" t="str">
        <f>IF(VLOOKUP(ROUND(CONCATENATE($A76,BI$2),0),'Cadastro dos Padrões'!$A$2:$V$4400,BI$1,FALSE)="","-",VLOOKUP(ROUND(CONCATENATE($A76,BI$2),0),'Cadastro dos Padrões'!$A$2:$V$4400,BI$1,FALSE))</f>
        <v>-</v>
      </c>
      <c r="BJ76" s="31" t="str">
        <f>IF(VLOOKUP(ROUND(CONCATENATE($A76,BJ$2),0),'Cadastro dos Padrões'!$A$2:$V$4400,BJ$1,FALSE)="","-",VLOOKUP(ROUND(CONCATENATE($A76,BJ$2),0),'Cadastro dos Padrões'!$A$2:$V$4400,BJ$1,FALSE))</f>
        <v>-</v>
      </c>
      <c r="BK76" s="31" t="str">
        <f>IF(VLOOKUP(ROUND(CONCATENATE($A76,BK$2),0),'Cadastro dos Padrões'!$A$2:$V$4400,BK$1,FALSE)="","-",VLOOKUP(ROUND(CONCATENATE($A76,BK$2),0),'Cadastro dos Padrões'!$A$2:$V$4400,BK$1,FALSE))</f>
        <v>-</v>
      </c>
      <c r="BL76" s="31" t="str">
        <f>IF(VLOOKUP(ROUND(CONCATENATE($A76,BL$2),0),'Cadastro dos Padrões'!$A$2:$V$4400,BL$1,FALSE)="","-",VLOOKUP(ROUND(CONCATENATE($A76,BL$2),0),'Cadastro dos Padrões'!$A$2:$V$4400,BL$1,FALSE))</f>
        <v>-</v>
      </c>
      <c r="BM76" s="31" t="str">
        <f>IF(VLOOKUP(ROUND(CONCATENATE($A76,BM$2),0),'Cadastro dos Padrões'!$A$2:$V$4400,BM$1,FALSE)="","-",VLOOKUP(ROUND(CONCATENATE($A76,BM$2),0),'Cadastro dos Padrões'!$A$2:$V$4400,BM$1,FALSE))</f>
        <v>-</v>
      </c>
      <c r="BN76" s="31" t="str">
        <f>IF(VLOOKUP(ROUND(CONCATENATE($A76,BN$2),0),'Cadastro dos Padrões'!$A$2:$V$4400,BN$1,FALSE)="","-",VLOOKUP(ROUND(CONCATENATE($A76,BN$2),0),'Cadastro dos Padrões'!$A$2:$V$4400,BN$1,FALSE))</f>
        <v>-</v>
      </c>
      <c r="BO76" s="31" t="str">
        <f>IF(VLOOKUP(ROUND(CONCATENATE($A76,BO$2),0),'Cadastro dos Padrões'!$A$2:$V$4400,BO$1,FALSE)="","-",VLOOKUP(ROUND(CONCATENATE($A76,BO$2),0),'Cadastro dos Padrões'!$A$2:$V$4400,BO$1,FALSE))</f>
        <v>-</v>
      </c>
    </row>
    <row r="77" spans="1:67" x14ac:dyDescent="0.3">
      <c r="A77" s="6">
        <f t="shared" si="52"/>
        <v>72</v>
      </c>
      <c r="B77" s="31" t="str">
        <f>IF(VLOOKUP(ROUND(CONCATENATE($A77,B$2),0),'Cadastro dos Padrões'!$A$2:$V$4400,B$1,FALSE)="","-",VLOOKUP(ROUND(CONCATENATE($A77,B$2),0),'Cadastro dos Padrões'!$A$2:$V$4400,B$1,FALSE))</f>
        <v>E.TH.FS-062</v>
      </c>
      <c r="C77" s="31" t="str">
        <f>IF($B77="-","-",VLOOKUP(ROUND(CONCATENATE($A77,C$2),0),'Cadastro dos Padrões'!$A$2:$V$4400,C$1,FALSE))</f>
        <v>Termohigrômetro Digital</v>
      </c>
      <c r="D77" s="31">
        <f>IF($B77="-","-",VLOOKUP(ROUND(CONCATENATE($A77,D$2),0),'Cadastro dos Padrões'!$A$2:$V$4400,D$1,FALSE))</f>
        <v>20</v>
      </c>
      <c r="E77" s="31" t="str">
        <f>IF($B77="-","-",VLOOKUP(ROUND(CONCATENATE($A77,E$2),0),'Cadastro dos Padrões'!$A$2:$V$4400,E$1,FALSE))</f>
        <v>Elus</v>
      </c>
      <c r="F77" s="31" t="str">
        <f>IF($B77="-","-",VLOOKUP(ROUND(CONCATENATE($A77,F$2),0),'Cadastro dos Padrões'!$A$2:$V$4400,F$1,FALSE))</f>
        <v>RBC - CAL 0439</v>
      </c>
      <c r="G77" s="31" t="str">
        <f>IF($B77="-","-",VLOOKUP(ROUND(CONCATENATE($A77,G$2),0),'Cadastro dos Padrões'!$A$2:$V$4400,G$1,FALSE))</f>
        <v>E0135/25</v>
      </c>
      <c r="H77" s="32">
        <f>IF($B77="-","-",VLOOKUP(ROUND(CONCATENATE($A77,H$2),0),'Cadastro dos Padrões'!$A$2:$V$4400,H$1,FALSE))</f>
        <v>45733</v>
      </c>
      <c r="I77" s="33">
        <f>IF($B77="-","-",VLOOKUP(ROUND(CONCATENATE($A77,I$2),0),'Cadastro dos Padrões'!$A$2:$V$4400,I$1,FALSE))</f>
        <v>46111</v>
      </c>
      <c r="J77" s="31" t="str">
        <f>IF($B77="-","-",VLOOKUP(ROUND(CONCATENATE($A77,J$2),0),'Cadastro dos Padrões'!$A$2:$V$4400,J$1,FALSE))</f>
        <v>%ur</v>
      </c>
      <c r="K77" s="31">
        <f>IF($B77="-","-",VLOOKUP(ROUND(CONCATENATE($A77,K$2),0),'Cadastro dos Padrões'!$A$2:$V$4400,K$1,FALSE))</f>
        <v>30</v>
      </c>
      <c r="L77" s="31">
        <f>IF($B77="-","-",VLOOKUP(ROUND(CONCATENATE($A77,L$2),0),'Cadastro dos Padrões'!$A$2:$V$4400,L$1,FALSE))</f>
        <v>80</v>
      </c>
      <c r="M77" s="31">
        <f>IF($B77="-","-",VLOOKUP(ROUND(CONCATENATE($A77,M$2),0),'Cadastro dos Padrões'!$A$2:$V$4400,M$1,FALSE))</f>
        <v>1</v>
      </c>
      <c r="N77" s="31">
        <f>IF($B77="-","-",VLOOKUP(ROUND(CONCATENATE($A77,N$2),0),'Cadastro dos Padrões'!$A$2:$V$4400,N$1,FALSE))</f>
        <v>3</v>
      </c>
      <c r="O77" s="31">
        <f>IF($B77="-","-",VLOOKUP(ROUND(CONCATENATE($A77,O$2),0),'Cadastro dos Padrões'!$A$2:$V$4400,O$1,FALSE))</f>
        <v>2</v>
      </c>
      <c r="P77" s="31">
        <f>IF($B77="-","-",VLOOKUP(ROUND(CONCATENATE($A77,P$2),0),'Cadastro dos Padrões'!$A$2:$V$4400,P$1,FALSE))</f>
        <v>3</v>
      </c>
      <c r="Q77" s="31">
        <f>IF($B77="-","-",VLOOKUP(ROUND(CONCATENATE($A77,Q$2),0),'Cadastro dos Padrões'!$A$2:$V$4400,Q$1,FALSE))</f>
        <v>0.73897902245685998</v>
      </c>
      <c r="R77" s="31">
        <f>IF($B77="-","-",VLOOKUP(ROUND(CONCATENATE($A77,R$2),0),'Cadastro dos Padrões'!$A$2:$V$4400,R$1,FALSE))</f>
        <v>1</v>
      </c>
      <c r="S77" s="31">
        <f>IF($B77="-","-",VLOOKUP(ROUND(CONCATENATE($A77,S$2),0),'Cadastro dos Padrões'!$A$2:$V$4400,S$1,FALSE))</f>
        <v>0</v>
      </c>
      <c r="T77" s="31">
        <f>IF($B77="-","-",VLOOKUP(ROUND(CONCATENATE($A77,T$2),0),'Cadastro dos Padrões'!$A$2:$V$4400,T$1,FALSE))</f>
        <v>0</v>
      </c>
      <c r="U77" s="31">
        <f>IF($B77="-","-",VLOOKUP(ROUND(CONCATENATE($A77,U$2),0),'Cadastro dos Padrões'!$A$2:$V$4400,U$1,FALSE))</f>
        <v>0</v>
      </c>
      <c r="V77" s="31">
        <f>IF($B77="-","-",VLOOKUP(ROUND(CONCATENATE($A77,V$2),0),'Cadastro dos Padrões'!$A$2:$V$4400,V$1,FALSE))</f>
        <v>0</v>
      </c>
      <c r="W77" s="31">
        <f>IF($B77="-","-",VLOOKUP(ROUND(CONCATENATE($A77,W$2),0),'Cadastro dos Padrões'!$A$2:$V$4400,W$1,FALSE))</f>
        <v>0</v>
      </c>
      <c r="X77" s="31">
        <f>IF($B77="-","-",VLOOKUP(ROUND(CONCATENATE($A77,X$2),0),'Cadastro dos Padrões'!$A$2:$V$4400,X$1,FALSE))</f>
        <v>0</v>
      </c>
      <c r="Y77" s="31">
        <f>IF($B77="-","-",VLOOKUP(ROUND(CONCATENATE($A77,Y$2),0),'Cadastro dos Padrões'!$A$2:$V$4400,Y$1,FALSE))</f>
        <v>0</v>
      </c>
      <c r="Z77" s="31">
        <f>IF($B77="-","-",VLOOKUP(ROUND(CONCATENATE($A77,Z$2),0),'Cadastro dos Padrões'!$A$2:$V$4400,Z$1,FALSE))</f>
        <v>0.91087811271297481</v>
      </c>
      <c r="AA77" s="31">
        <f>IF($B77="-","-",VLOOKUP(ROUND(CONCATENATE($A77,AA$2),0),'Cadastro dos Padrões'!$A$2:$V$4400,AA$1,FALSE))</f>
        <v>4.1459152468326934</v>
      </c>
      <c r="AB77" s="31">
        <f>IF(VLOOKUP(ROUND(CONCATENATE($A77,AB$2),0),'Cadastro dos Padrões'!$A$2:$V$4400,AB$1,FALSE)="","-",VLOOKUP(ROUND(CONCATENATE($A77,AB$2),0),'Cadastro dos Padrões'!$A$2:$V$4400,AB$1,FALSE))</f>
        <v>30</v>
      </c>
      <c r="AC77" s="31">
        <f>IF(VLOOKUP(ROUND(CONCATENATE($A77,AC$2),0),'Cadastro dos Padrões'!$A$2:$V$4400,AC$1,FALSE)="","-",VLOOKUP(ROUND(CONCATENATE($A77,AC$2),0),'Cadastro dos Padrões'!$A$2:$V$4400,AC$1,FALSE))</f>
        <v>2</v>
      </c>
      <c r="AD77" s="31">
        <f>IF(VLOOKUP(ROUND(CONCATENATE($A77,AD$2),0),'Cadastro dos Padrões'!$A$2:$V$4400,AD$1,FALSE)="","-",VLOOKUP(ROUND(CONCATENATE($A77,AD$2),0),'Cadastro dos Padrões'!$A$2:$V$4400,AD$1,FALSE))</f>
        <v>2</v>
      </c>
      <c r="AE77" s="31">
        <f>IF(VLOOKUP(ROUND(CONCATENATE($A77,AE$2),0),'Cadastro dos Padrões'!$A$2:$V$4400,AE$1,FALSE)="","-",VLOOKUP(ROUND(CONCATENATE($A77,AE$2),0),'Cadastro dos Padrões'!$A$2:$V$4400,AE$1,FALSE))</f>
        <v>1000000</v>
      </c>
      <c r="AF77" s="31">
        <f>IF(VLOOKUP(ROUND(CONCATENATE($A77,AF$2),0),'Cadastro dos Padrões'!$A$2:$V$4400,AF$1,FALSE)="","-",VLOOKUP(ROUND(CONCATENATE($A77,AF$2),0),'Cadastro dos Padrões'!$A$2:$V$4400,AF$1,FALSE))</f>
        <v>50</v>
      </c>
      <c r="AG77" s="31">
        <f>IF(VLOOKUP(ROUND(CONCATENATE($A77,AG$2),0),'Cadastro dos Padrões'!$A$2:$V$4400,AG$1,FALSE)="","-",VLOOKUP(ROUND(CONCATENATE($A77,AG$2),0),'Cadastro dos Padrões'!$A$2:$V$4400,AG$1,FALSE))</f>
        <v>2</v>
      </c>
      <c r="AH77" s="31">
        <f>IF(VLOOKUP(ROUND(CONCATENATE($A77,AH$2),0),'Cadastro dos Padrões'!$A$2:$V$4400,AH$1,FALSE)="","-",VLOOKUP(ROUND(CONCATENATE($A77,AH$2),0),'Cadastro dos Padrões'!$A$2:$V$4400,AH$1,FALSE))</f>
        <v>2</v>
      </c>
      <c r="AI77" s="31">
        <f>IF(VLOOKUP(ROUND(CONCATENATE($A77,AI$2),0),'Cadastro dos Padrões'!$A$2:$V$4400,AI$1,FALSE)="","-",VLOOKUP(ROUND(CONCATENATE($A77,AI$2),0),'Cadastro dos Padrões'!$A$2:$V$4400,AI$1,FALSE))</f>
        <v>1000000</v>
      </c>
      <c r="AJ77" s="31">
        <f>IF(VLOOKUP(ROUND(CONCATENATE($A77,AJ$2),0),'Cadastro dos Padrões'!$A$2:$V$4400,AJ$1,FALSE)="","-",VLOOKUP(ROUND(CONCATENATE($A77,AJ$2),0),'Cadastro dos Padrões'!$A$2:$V$4400,AJ$1,FALSE))</f>
        <v>80</v>
      </c>
      <c r="AK77" s="31">
        <f>IF(VLOOKUP(ROUND(CONCATENATE($A77,AK$2),0),'Cadastro dos Padrões'!$A$2:$V$4400,AK$1,FALSE)="","-",VLOOKUP(ROUND(CONCATENATE($A77,AK$2),0),'Cadastro dos Padrões'!$A$2:$V$4400,AK$1,FALSE))</f>
        <v>2</v>
      </c>
      <c r="AL77" s="31">
        <f>IF(VLOOKUP(ROUND(CONCATENATE($A77,AL$2),0),'Cadastro dos Padrões'!$A$2:$V$4400,AL$1,FALSE)="","-",VLOOKUP(ROUND(CONCATENATE($A77,AL$2),0),'Cadastro dos Padrões'!$A$2:$V$4400,AL$1,FALSE))</f>
        <v>2</v>
      </c>
      <c r="AM77" s="31">
        <f>IF(VLOOKUP(ROUND(CONCATENATE($A77,AM$2),0),'Cadastro dos Padrões'!$A$2:$V$4400,AM$1,FALSE)="","-",VLOOKUP(ROUND(CONCATENATE($A77,AM$2),0),'Cadastro dos Padrões'!$A$2:$V$4400,AM$1,FALSE))</f>
        <v>1000000</v>
      </c>
      <c r="AN77" s="31" t="str">
        <f>IF(VLOOKUP(ROUND(CONCATENATE($A77,AN$2),0),'Cadastro dos Padrões'!$A$2:$V$4400,AN$1,FALSE)="","-",VLOOKUP(ROUND(CONCATENATE($A77,AN$2),0),'Cadastro dos Padrões'!$A$2:$V$4400,AN$1,FALSE))</f>
        <v>-</v>
      </c>
      <c r="AO77" s="31" t="str">
        <f>IF(VLOOKUP(ROUND(CONCATENATE($A77,AO$2),0),'Cadastro dos Padrões'!$A$2:$V$4400,AO$1,FALSE)="","-",VLOOKUP(ROUND(CONCATENATE($A77,AO$2),0),'Cadastro dos Padrões'!$A$2:$V$4400,AO$1,FALSE))</f>
        <v>-</v>
      </c>
      <c r="AP77" s="31" t="str">
        <f>IF(VLOOKUP(ROUND(CONCATENATE($A77,AP$2),0),'Cadastro dos Padrões'!$A$2:$V$4400,AP$1,FALSE)="","-",VLOOKUP(ROUND(CONCATENATE($A77,AP$2),0),'Cadastro dos Padrões'!$A$2:$V$4400,AP$1,FALSE))</f>
        <v>-</v>
      </c>
      <c r="AQ77" s="31" t="str">
        <f>IF(VLOOKUP(ROUND(CONCATENATE($A77,AQ$2),0),'Cadastro dos Padrões'!$A$2:$V$4400,AQ$1,FALSE)="","-",VLOOKUP(ROUND(CONCATENATE($A77,AQ$2),0),'Cadastro dos Padrões'!$A$2:$V$4400,AQ$1,FALSE))</f>
        <v>-</v>
      </c>
      <c r="AR77" s="31" t="str">
        <f>IF(VLOOKUP(ROUND(CONCATENATE($A77,AR$2),0),'Cadastro dos Padrões'!$A$2:$V$4400,AR$1,FALSE)="","-",VLOOKUP(ROUND(CONCATENATE($A77,AR$2),0),'Cadastro dos Padrões'!$A$2:$V$4400,AR$1,FALSE))</f>
        <v>-</v>
      </c>
      <c r="AS77" s="31" t="str">
        <f>IF(VLOOKUP(ROUND(CONCATENATE($A77,AS$2),0),'Cadastro dos Padrões'!$A$2:$V$4400,AS$1,FALSE)="","-",VLOOKUP(ROUND(CONCATENATE($A77,AS$2),0),'Cadastro dos Padrões'!$A$2:$V$4400,AS$1,FALSE))</f>
        <v>-</v>
      </c>
      <c r="AT77" s="31" t="str">
        <f>IF(VLOOKUP(ROUND(CONCATENATE($A77,AT$2),0),'Cadastro dos Padrões'!$A$2:$V$4400,AT$1,FALSE)="","-",VLOOKUP(ROUND(CONCATENATE($A77,AT$2),0),'Cadastro dos Padrões'!$A$2:$V$4400,AT$1,FALSE))</f>
        <v>-</v>
      </c>
      <c r="AU77" s="31" t="str">
        <f>IF(VLOOKUP(ROUND(CONCATENATE($A77,AU$2),0),'Cadastro dos Padrões'!$A$2:$V$4400,AU$1,FALSE)="","-",VLOOKUP(ROUND(CONCATENATE($A77,AU$2),0),'Cadastro dos Padrões'!$A$2:$V$4400,AU$1,FALSE))</f>
        <v>-</v>
      </c>
      <c r="AV77" s="31" t="str">
        <f>IF(VLOOKUP(ROUND(CONCATENATE($A77,AV$2),0),'Cadastro dos Padrões'!$A$2:$V$4400,AV$1,FALSE)="","-",VLOOKUP(ROUND(CONCATENATE($A77,AV$2),0),'Cadastro dos Padrões'!$A$2:$V$4400,AV$1,FALSE))</f>
        <v>-</v>
      </c>
      <c r="AW77" s="31" t="str">
        <f>IF(VLOOKUP(ROUND(CONCATENATE($A77,AW$2),0),'Cadastro dos Padrões'!$A$2:$V$4400,AW$1,FALSE)="","-",VLOOKUP(ROUND(CONCATENATE($A77,AW$2),0),'Cadastro dos Padrões'!$A$2:$V$4400,AW$1,FALSE))</f>
        <v>-</v>
      </c>
      <c r="AX77" s="31" t="str">
        <f>IF(VLOOKUP(ROUND(CONCATENATE($A77,AX$2),0),'Cadastro dos Padrões'!$A$2:$V$4400,AX$1,FALSE)="","-",VLOOKUP(ROUND(CONCATENATE($A77,AX$2),0),'Cadastro dos Padrões'!$A$2:$V$4400,AX$1,FALSE))</f>
        <v>-</v>
      </c>
      <c r="AY77" s="31" t="str">
        <f>IF(VLOOKUP(ROUND(CONCATENATE($A77,AY$2),0),'Cadastro dos Padrões'!$A$2:$V$4400,AY$1,FALSE)="","-",VLOOKUP(ROUND(CONCATENATE($A77,AY$2),0),'Cadastro dos Padrões'!$A$2:$V$4400,AY$1,FALSE))</f>
        <v>-</v>
      </c>
      <c r="AZ77" s="31" t="str">
        <f>IF(VLOOKUP(ROUND(CONCATENATE($A77,AZ$2),0),'Cadastro dos Padrões'!$A$2:$V$4400,AZ$1,FALSE)="","-",VLOOKUP(ROUND(CONCATENATE($A77,AZ$2),0),'Cadastro dos Padrões'!$A$2:$V$4400,AZ$1,FALSE))</f>
        <v>-</v>
      </c>
      <c r="BA77" s="31" t="str">
        <f>IF(VLOOKUP(ROUND(CONCATENATE($A77,BA$2),0),'Cadastro dos Padrões'!$A$2:$V$4400,BA$1,FALSE)="","-",VLOOKUP(ROUND(CONCATENATE($A77,BA$2),0),'Cadastro dos Padrões'!$A$2:$V$4400,BA$1,FALSE))</f>
        <v>-</v>
      </c>
      <c r="BB77" s="31" t="str">
        <f>IF(VLOOKUP(ROUND(CONCATENATE($A77,BB$2),0),'Cadastro dos Padrões'!$A$2:$V$4400,BB$1,FALSE)="","-",VLOOKUP(ROUND(CONCATENATE($A77,BB$2),0),'Cadastro dos Padrões'!$A$2:$V$4400,BB$1,FALSE))</f>
        <v>-</v>
      </c>
      <c r="BC77" s="31" t="str">
        <f>IF(VLOOKUP(ROUND(CONCATENATE($A77,BC$2),0),'Cadastro dos Padrões'!$A$2:$V$4400,BC$1,FALSE)="","-",VLOOKUP(ROUND(CONCATENATE($A77,BC$2),0),'Cadastro dos Padrões'!$A$2:$V$4400,BC$1,FALSE))</f>
        <v>-</v>
      </c>
      <c r="BD77" s="31" t="str">
        <f>IF(VLOOKUP(ROUND(CONCATENATE($A77,BD$2),0),'Cadastro dos Padrões'!$A$2:$V$4400,BD$1,FALSE)="","-",VLOOKUP(ROUND(CONCATENATE($A77,BD$2),0),'Cadastro dos Padrões'!$A$2:$V$4400,BD$1,FALSE))</f>
        <v>-</v>
      </c>
      <c r="BE77" s="31" t="str">
        <f>IF(VLOOKUP(ROUND(CONCATENATE($A77,BE$2),0),'Cadastro dos Padrões'!$A$2:$V$4400,BE$1,FALSE)="","-",VLOOKUP(ROUND(CONCATENATE($A77,BE$2),0),'Cadastro dos Padrões'!$A$2:$V$4400,BE$1,FALSE))</f>
        <v>-</v>
      </c>
      <c r="BF77" s="31" t="str">
        <f>IF(VLOOKUP(ROUND(CONCATENATE($A77,BF$2),0),'Cadastro dos Padrões'!$A$2:$V$4400,BF$1,FALSE)="","-",VLOOKUP(ROUND(CONCATENATE($A77,BF$2),0),'Cadastro dos Padrões'!$A$2:$V$4400,BF$1,FALSE))</f>
        <v>-</v>
      </c>
      <c r="BG77" s="31" t="str">
        <f>IF(VLOOKUP(ROUND(CONCATENATE($A77,BG$2),0),'Cadastro dos Padrões'!$A$2:$V$4400,BG$1,FALSE)="","-",VLOOKUP(ROUND(CONCATENATE($A77,BG$2),0),'Cadastro dos Padrões'!$A$2:$V$4400,BG$1,FALSE))</f>
        <v>-</v>
      </c>
      <c r="BH77" s="31" t="str">
        <f>IF(VLOOKUP(ROUND(CONCATENATE($A77,BH$2),0),'Cadastro dos Padrões'!$A$2:$V$4400,BH$1,FALSE)="","-",VLOOKUP(ROUND(CONCATENATE($A77,BH$2),0),'Cadastro dos Padrões'!$A$2:$V$4400,BH$1,FALSE))</f>
        <v>-</v>
      </c>
      <c r="BI77" s="31" t="str">
        <f>IF(VLOOKUP(ROUND(CONCATENATE($A77,BI$2),0),'Cadastro dos Padrões'!$A$2:$V$4400,BI$1,FALSE)="","-",VLOOKUP(ROUND(CONCATENATE($A77,BI$2),0),'Cadastro dos Padrões'!$A$2:$V$4400,BI$1,FALSE))</f>
        <v>-</v>
      </c>
      <c r="BJ77" s="31" t="str">
        <f>IF(VLOOKUP(ROUND(CONCATENATE($A77,BJ$2),0),'Cadastro dos Padrões'!$A$2:$V$4400,BJ$1,FALSE)="","-",VLOOKUP(ROUND(CONCATENATE($A77,BJ$2),0),'Cadastro dos Padrões'!$A$2:$V$4400,BJ$1,FALSE))</f>
        <v>-</v>
      </c>
      <c r="BK77" s="31" t="str">
        <f>IF(VLOOKUP(ROUND(CONCATENATE($A77,BK$2),0),'Cadastro dos Padrões'!$A$2:$V$4400,BK$1,FALSE)="","-",VLOOKUP(ROUND(CONCATENATE($A77,BK$2),0),'Cadastro dos Padrões'!$A$2:$V$4400,BK$1,FALSE))</f>
        <v>-</v>
      </c>
      <c r="BL77" s="31" t="str">
        <f>IF(VLOOKUP(ROUND(CONCATENATE($A77,BL$2),0),'Cadastro dos Padrões'!$A$2:$V$4400,BL$1,FALSE)="","-",VLOOKUP(ROUND(CONCATENATE($A77,BL$2),0),'Cadastro dos Padrões'!$A$2:$V$4400,BL$1,FALSE))</f>
        <v>-</v>
      </c>
      <c r="BM77" s="31" t="str">
        <f>IF(VLOOKUP(ROUND(CONCATENATE($A77,BM$2),0),'Cadastro dos Padrões'!$A$2:$V$4400,BM$1,FALSE)="","-",VLOOKUP(ROUND(CONCATENATE($A77,BM$2),0),'Cadastro dos Padrões'!$A$2:$V$4400,BM$1,FALSE))</f>
        <v>-</v>
      </c>
      <c r="BN77" s="31" t="str">
        <f>IF(VLOOKUP(ROUND(CONCATENATE($A77,BN$2),0),'Cadastro dos Padrões'!$A$2:$V$4400,BN$1,FALSE)="","-",VLOOKUP(ROUND(CONCATENATE($A77,BN$2),0),'Cadastro dos Padrões'!$A$2:$V$4400,BN$1,FALSE))</f>
        <v>-</v>
      </c>
      <c r="BO77" s="31" t="str">
        <f>IF(VLOOKUP(ROUND(CONCATENATE($A77,BO$2),0),'Cadastro dos Padrões'!$A$2:$V$4400,BO$1,FALSE)="","-",VLOOKUP(ROUND(CONCATENATE($A77,BO$2),0),'Cadastro dos Padrões'!$A$2:$V$4400,BO$1,FALSE))</f>
        <v>-</v>
      </c>
    </row>
    <row r="78" spans="1:67" x14ac:dyDescent="0.3">
      <c r="A78" s="6">
        <f t="shared" si="52"/>
        <v>73</v>
      </c>
      <c r="B78" s="31" t="str">
        <f>IF(VLOOKUP(ROUND(CONCATENATE($A78,B$2),0),'Cadastro dos Padrões'!$A$2:$V$4400,B$1,FALSE)="","-",VLOOKUP(ROUND(CONCATENATE($A78,B$2),0),'Cadastro dos Padrões'!$A$2:$V$4400,B$1,FALSE))</f>
        <v>M.TH.FS-001</v>
      </c>
      <c r="C78" s="31" t="str">
        <f>IF($B78="-","-",VLOOKUP(ROUND(CONCATENATE($A78,C$2),0),'Cadastro dos Padrões'!$A$2:$V$4400,C$1,FALSE))</f>
        <v>Termohigrômetro Digital</v>
      </c>
      <c r="D78" s="31">
        <f>IF($B78="-","-",VLOOKUP(ROUND(CONCATENATE($A78,D$2),0),'Cadastro dos Padrões'!$A$2:$V$4400,D$1,FALSE))</f>
        <v>20</v>
      </c>
      <c r="E78" s="31" t="str">
        <f>IF($B78="-","-",VLOOKUP(ROUND(CONCATENATE($A78,E$2),0),'Cadastro dos Padrões'!$A$2:$V$4400,E$1,FALSE))</f>
        <v>Elus</v>
      </c>
      <c r="F78" s="31" t="str">
        <f>IF($B78="-","-",VLOOKUP(ROUND(CONCATENATE($A78,F$2),0),'Cadastro dos Padrões'!$A$2:$V$4400,F$1,FALSE))</f>
        <v>RBC - CAL 0439</v>
      </c>
      <c r="G78" s="31" t="str">
        <f>IF($B78="-","-",VLOOKUP(ROUND(CONCATENATE($A78,G$2),0),'Cadastro dos Padrões'!$A$2:$V$4400,G$1,FALSE))</f>
        <v>E0307/24</v>
      </c>
      <c r="H78" s="32">
        <f>IF($B78="-","-",VLOOKUP(ROUND(CONCATENATE($A78,H$2),0),'Cadastro dos Padrões'!$A$2:$V$4400,H$1,FALSE))</f>
        <v>45520</v>
      </c>
      <c r="I78" s="33">
        <f>IF($B78="-","-",VLOOKUP(ROUND(CONCATENATE($A78,I$2),0),'Cadastro dos Padrões'!$A$2:$V$4400,I$1,FALSE))</f>
        <v>45899</v>
      </c>
      <c r="J78" s="31" t="str">
        <f>IF($B78="-","-",VLOOKUP(ROUND(CONCATENATE($A78,J$2),0),'Cadastro dos Padrões'!$A$2:$V$4400,J$1,FALSE))</f>
        <v>%ur</v>
      </c>
      <c r="K78" s="31">
        <f>IF($B78="-","-",VLOOKUP(ROUND(CONCATENATE($A78,K$2),0),'Cadastro dos Padrões'!$A$2:$V$4400,K$1,FALSE))</f>
        <v>30</v>
      </c>
      <c r="L78" s="31">
        <f>IF($B78="-","-",VLOOKUP(ROUND(CONCATENATE($A78,L$2),0),'Cadastro dos Padrões'!$A$2:$V$4400,L$1,FALSE))</f>
        <v>90</v>
      </c>
      <c r="M78" s="31">
        <f>IF($B78="-","-",VLOOKUP(ROUND(CONCATENATE($A78,M$2),0),'Cadastro dos Padrões'!$A$2:$V$4400,M$1,FALSE))</f>
        <v>1</v>
      </c>
      <c r="N78" s="31">
        <f>IF($B78="-","-",VLOOKUP(ROUND(CONCATENATE($A78,N$2),0),'Cadastro dos Padrões'!$A$2:$V$4400,N$1,FALSE))</f>
        <v>3</v>
      </c>
      <c r="O78" s="31">
        <f>IF($B78="-","-",VLOOKUP(ROUND(CONCATENATE($A78,O$2),0),'Cadastro dos Padrões'!$A$2:$V$4400,O$1,FALSE))</f>
        <v>2</v>
      </c>
      <c r="P78" s="31">
        <f>IF($B78="-","-",VLOOKUP(ROUND(CONCATENATE($A78,P$2),0),'Cadastro dos Padrões'!$A$2:$V$4400,P$1,FALSE))</f>
        <v>3</v>
      </c>
      <c r="Q78" s="31">
        <f>IF($B78="-","-",VLOOKUP(ROUND(CONCATENATE($A78,Q$2),0),'Cadastro dos Padrões'!$A$2:$V$4400,Q$1,FALSE))</f>
        <v>0.65072867974367377</v>
      </c>
      <c r="R78" s="31">
        <f>IF($B78="-","-",VLOOKUP(ROUND(CONCATENATE($A78,R$2),0),'Cadastro dos Padrões'!$A$2:$V$4400,R$1,FALSE))</f>
        <v>2</v>
      </c>
      <c r="S78" s="31">
        <f>IF($B78="-","-",VLOOKUP(ROUND(CONCATENATE($A78,S$2),0),'Cadastro dos Padrões'!$A$2:$V$4400,S$1,FALSE))</f>
        <v>0</v>
      </c>
      <c r="T78" s="31">
        <f>IF($B78="-","-",VLOOKUP(ROUND(CONCATENATE($A78,T$2),0),'Cadastro dos Padrões'!$A$2:$V$4400,T$1,FALSE))</f>
        <v>0</v>
      </c>
      <c r="U78" s="31">
        <f>IF($B78="-","-",VLOOKUP(ROUND(CONCATENATE($A78,U$2),0),'Cadastro dos Padrões'!$A$2:$V$4400,U$1,FALSE))</f>
        <v>0</v>
      </c>
      <c r="V78" s="31">
        <f>IF($B78="-","-",VLOOKUP(ROUND(CONCATENATE($A78,V$2),0),'Cadastro dos Padrões'!$A$2:$V$4400,V$1,FALSE))</f>
        <v>0</v>
      </c>
      <c r="W78" s="31">
        <f>IF($B78="-","-",VLOOKUP(ROUND(CONCATENATE($A78,W$2),0),'Cadastro dos Padrões'!$A$2:$V$4400,W$1,FALSE))</f>
        <v>0</v>
      </c>
      <c r="X78" s="31">
        <f>IF($B78="-","-",VLOOKUP(ROUND(CONCATENATE($A78,X$2),0),'Cadastro dos Padrões'!$A$2:$V$4400,X$1,FALSE))</f>
        <v>0</v>
      </c>
      <c r="Y78" s="31">
        <f>IF($B78="-","-",VLOOKUP(ROUND(CONCATENATE($A78,Y$2),0),'Cadastro dos Padrões'!$A$2:$V$4400,Y$1,FALSE))</f>
        <v>-3.2040581707492807E-3</v>
      </c>
      <c r="Z78" s="31">
        <f>IF($B78="-","-",VLOOKUP(ROUND(CONCATENATE($A78,Z$2),0),'Cadastro dos Padrões'!$A$2:$V$4400,Z$1,FALSE))</f>
        <v>1.4730940103865267</v>
      </c>
      <c r="AA78" s="31">
        <f>IF($B78="-","-",VLOOKUP(ROUND(CONCATENATE($A78,AA$2),0),'Cadastro dos Padrões'!$A$2:$V$4400,AA$1,FALSE))</f>
        <v>-14.946605000062808</v>
      </c>
      <c r="AB78" s="31">
        <f>IF(VLOOKUP(ROUND(CONCATENATE($A78,AB$2),0),'Cadastro dos Padrões'!$A$2:$V$4400,AB$1,FALSE)="","-",VLOOKUP(ROUND(CONCATENATE($A78,AB$2),0),'Cadastro dos Padrões'!$A$2:$V$4400,AB$1,FALSE))</f>
        <v>30</v>
      </c>
      <c r="AC78" s="31">
        <f>IF(VLOOKUP(ROUND(CONCATENATE($A78,AC$2),0),'Cadastro dos Padrões'!$A$2:$V$4400,AC$1,FALSE)="","-",VLOOKUP(ROUND(CONCATENATE($A78,AC$2),0),'Cadastro dos Padrões'!$A$2:$V$4400,AC$1,FALSE))</f>
        <v>2</v>
      </c>
      <c r="AD78" s="31">
        <f>IF(VLOOKUP(ROUND(CONCATENATE($A78,AD$2),0),'Cadastro dos Padrões'!$A$2:$V$4400,AD$1,FALSE)="","-",VLOOKUP(ROUND(CONCATENATE($A78,AD$2),0),'Cadastro dos Padrões'!$A$2:$V$4400,AD$1,FALSE))</f>
        <v>2</v>
      </c>
      <c r="AE78" s="31">
        <f>IF(VLOOKUP(ROUND(CONCATENATE($A78,AE$2),0),'Cadastro dos Padrões'!$A$2:$V$4400,AE$1,FALSE)="","-",VLOOKUP(ROUND(CONCATENATE($A78,AE$2),0),'Cadastro dos Padrões'!$A$2:$V$4400,AE$1,FALSE))</f>
        <v>1000000</v>
      </c>
      <c r="AF78" s="31">
        <f>IF(VLOOKUP(ROUND(CONCATENATE($A78,AF$2),0),'Cadastro dos Padrões'!$A$2:$V$4400,AF$1,FALSE)="","-",VLOOKUP(ROUND(CONCATENATE($A78,AF$2),0),'Cadastro dos Padrões'!$A$2:$V$4400,AF$1,FALSE))</f>
        <v>50</v>
      </c>
      <c r="AG78" s="31">
        <f>IF(VLOOKUP(ROUND(CONCATENATE($A78,AG$2),0),'Cadastro dos Padrões'!$A$2:$V$4400,AG$1,FALSE)="","-",VLOOKUP(ROUND(CONCATENATE($A78,AG$2),0),'Cadastro dos Padrões'!$A$2:$V$4400,AG$1,FALSE))</f>
        <v>2</v>
      </c>
      <c r="AH78" s="31">
        <f>IF(VLOOKUP(ROUND(CONCATENATE($A78,AH$2),0),'Cadastro dos Padrões'!$A$2:$V$4400,AH$1,FALSE)="","-",VLOOKUP(ROUND(CONCATENATE($A78,AH$2),0),'Cadastro dos Padrões'!$A$2:$V$4400,AH$1,FALSE))</f>
        <v>2</v>
      </c>
      <c r="AI78" s="31">
        <f>IF(VLOOKUP(ROUND(CONCATENATE($A78,AI$2),0),'Cadastro dos Padrões'!$A$2:$V$4400,AI$1,FALSE)="","-",VLOOKUP(ROUND(CONCATENATE($A78,AI$2),0),'Cadastro dos Padrões'!$A$2:$V$4400,AI$1,FALSE))</f>
        <v>1000000</v>
      </c>
      <c r="AJ78" s="31">
        <f>IF(VLOOKUP(ROUND(CONCATENATE($A78,AJ$2),0),'Cadastro dos Padrões'!$A$2:$V$4400,AJ$1,FALSE)="","-",VLOOKUP(ROUND(CONCATENATE($A78,AJ$2),0),'Cadastro dos Padrões'!$A$2:$V$4400,AJ$1,FALSE))</f>
        <v>70</v>
      </c>
      <c r="AK78" s="31">
        <f>IF(VLOOKUP(ROUND(CONCATENATE($A78,AK$2),0),'Cadastro dos Padrões'!$A$2:$V$4400,AK$1,FALSE)="","-",VLOOKUP(ROUND(CONCATENATE($A78,AK$2),0),'Cadastro dos Padrões'!$A$2:$V$4400,AK$1,FALSE))</f>
        <v>2</v>
      </c>
      <c r="AL78" s="31">
        <f>IF(VLOOKUP(ROUND(CONCATENATE($A78,AL$2),0),'Cadastro dos Padrões'!$A$2:$V$4400,AL$1,FALSE)="","-",VLOOKUP(ROUND(CONCATENATE($A78,AL$2),0),'Cadastro dos Padrões'!$A$2:$V$4400,AL$1,FALSE))</f>
        <v>2</v>
      </c>
      <c r="AM78" s="31">
        <f>IF(VLOOKUP(ROUND(CONCATENATE($A78,AM$2),0),'Cadastro dos Padrões'!$A$2:$V$4400,AM$1,FALSE)="","-",VLOOKUP(ROUND(CONCATENATE($A78,AM$2),0),'Cadastro dos Padrões'!$A$2:$V$4400,AM$1,FALSE))</f>
        <v>1000000</v>
      </c>
      <c r="AN78" s="31">
        <f>IF(VLOOKUP(ROUND(CONCATENATE($A78,AN$2),0),'Cadastro dos Padrões'!$A$2:$V$4400,AN$1,FALSE)="","-",VLOOKUP(ROUND(CONCATENATE($A78,AN$2),0),'Cadastro dos Padrões'!$A$2:$V$4400,AN$1,FALSE))</f>
        <v>90</v>
      </c>
      <c r="AO78" s="31">
        <f>IF(VLOOKUP(ROUND(CONCATENATE($A78,AO$2),0),'Cadastro dos Padrões'!$A$2:$V$4400,AO$1,FALSE)="","-",VLOOKUP(ROUND(CONCATENATE($A78,AO$2),0),'Cadastro dos Padrões'!$A$2:$V$4400,AO$1,FALSE))</f>
        <v>2</v>
      </c>
      <c r="AP78" s="31">
        <f>IF(VLOOKUP(ROUND(CONCATENATE($A78,AP$2),0),'Cadastro dos Padrões'!$A$2:$V$4400,AP$1,FALSE)="","-",VLOOKUP(ROUND(CONCATENATE($A78,AP$2),0),'Cadastro dos Padrões'!$A$2:$V$4400,AP$1,FALSE))</f>
        <v>2</v>
      </c>
      <c r="AQ78" s="31">
        <f>IF(VLOOKUP(ROUND(CONCATENATE($A78,AQ$2),0),'Cadastro dos Padrões'!$A$2:$V$4400,AQ$1,FALSE)="","-",VLOOKUP(ROUND(CONCATENATE($A78,AQ$2),0),'Cadastro dos Padrões'!$A$2:$V$4400,AQ$1,FALSE))</f>
        <v>1000000</v>
      </c>
      <c r="AR78" s="31" t="str">
        <f>IF(VLOOKUP(ROUND(CONCATENATE($A78,AR$2),0),'Cadastro dos Padrões'!$A$2:$V$4400,AR$1,FALSE)="","-",VLOOKUP(ROUND(CONCATENATE($A78,AR$2),0),'Cadastro dos Padrões'!$A$2:$V$4400,AR$1,FALSE))</f>
        <v>-</v>
      </c>
      <c r="AS78" s="31" t="str">
        <f>IF(VLOOKUP(ROUND(CONCATENATE($A78,AS$2),0),'Cadastro dos Padrões'!$A$2:$V$4400,AS$1,FALSE)="","-",VLOOKUP(ROUND(CONCATENATE($A78,AS$2),0),'Cadastro dos Padrões'!$A$2:$V$4400,AS$1,FALSE))</f>
        <v>-</v>
      </c>
      <c r="AT78" s="31" t="str">
        <f>IF(VLOOKUP(ROUND(CONCATENATE($A78,AT$2),0),'Cadastro dos Padrões'!$A$2:$V$4400,AT$1,FALSE)="","-",VLOOKUP(ROUND(CONCATENATE($A78,AT$2),0),'Cadastro dos Padrões'!$A$2:$V$4400,AT$1,FALSE))</f>
        <v>-</v>
      </c>
      <c r="AU78" s="31" t="str">
        <f>IF(VLOOKUP(ROUND(CONCATENATE($A78,AU$2),0),'Cadastro dos Padrões'!$A$2:$V$4400,AU$1,FALSE)="","-",VLOOKUP(ROUND(CONCATENATE($A78,AU$2),0),'Cadastro dos Padrões'!$A$2:$V$4400,AU$1,FALSE))</f>
        <v>-</v>
      </c>
      <c r="AV78" s="31" t="str">
        <f>IF(VLOOKUP(ROUND(CONCATENATE($A78,AV$2),0),'Cadastro dos Padrões'!$A$2:$V$4400,AV$1,FALSE)="","-",VLOOKUP(ROUND(CONCATENATE($A78,AV$2),0),'Cadastro dos Padrões'!$A$2:$V$4400,AV$1,FALSE))</f>
        <v>-</v>
      </c>
      <c r="AW78" s="31" t="str">
        <f>IF(VLOOKUP(ROUND(CONCATENATE($A78,AW$2),0),'Cadastro dos Padrões'!$A$2:$V$4400,AW$1,FALSE)="","-",VLOOKUP(ROUND(CONCATENATE($A78,AW$2),0),'Cadastro dos Padrões'!$A$2:$V$4400,AW$1,FALSE))</f>
        <v>-</v>
      </c>
      <c r="AX78" s="31" t="str">
        <f>IF(VLOOKUP(ROUND(CONCATENATE($A78,AX$2),0),'Cadastro dos Padrões'!$A$2:$V$4400,AX$1,FALSE)="","-",VLOOKUP(ROUND(CONCATENATE($A78,AX$2),0),'Cadastro dos Padrões'!$A$2:$V$4400,AX$1,FALSE))</f>
        <v>-</v>
      </c>
      <c r="AY78" s="31" t="str">
        <f>IF(VLOOKUP(ROUND(CONCATENATE($A78,AY$2),0),'Cadastro dos Padrões'!$A$2:$V$4400,AY$1,FALSE)="","-",VLOOKUP(ROUND(CONCATENATE($A78,AY$2),0),'Cadastro dos Padrões'!$A$2:$V$4400,AY$1,FALSE))</f>
        <v>-</v>
      </c>
      <c r="AZ78" s="31" t="str">
        <f>IF(VLOOKUP(ROUND(CONCATENATE($A78,AZ$2),0),'Cadastro dos Padrões'!$A$2:$V$4400,AZ$1,FALSE)="","-",VLOOKUP(ROUND(CONCATENATE($A78,AZ$2),0),'Cadastro dos Padrões'!$A$2:$V$4400,AZ$1,FALSE))</f>
        <v>-</v>
      </c>
      <c r="BA78" s="31" t="str">
        <f>IF(VLOOKUP(ROUND(CONCATENATE($A78,BA$2),0),'Cadastro dos Padrões'!$A$2:$V$4400,BA$1,FALSE)="","-",VLOOKUP(ROUND(CONCATENATE($A78,BA$2),0),'Cadastro dos Padrões'!$A$2:$V$4400,BA$1,FALSE))</f>
        <v>-</v>
      </c>
      <c r="BB78" s="31" t="str">
        <f>IF(VLOOKUP(ROUND(CONCATENATE($A78,BB$2),0),'Cadastro dos Padrões'!$A$2:$V$4400,BB$1,FALSE)="","-",VLOOKUP(ROUND(CONCATENATE($A78,BB$2),0),'Cadastro dos Padrões'!$A$2:$V$4400,BB$1,FALSE))</f>
        <v>-</v>
      </c>
      <c r="BC78" s="31" t="str">
        <f>IF(VLOOKUP(ROUND(CONCATENATE($A78,BC$2),0),'Cadastro dos Padrões'!$A$2:$V$4400,BC$1,FALSE)="","-",VLOOKUP(ROUND(CONCATENATE($A78,BC$2),0),'Cadastro dos Padrões'!$A$2:$V$4400,BC$1,FALSE))</f>
        <v>-</v>
      </c>
      <c r="BD78" s="31" t="str">
        <f>IF(VLOOKUP(ROUND(CONCATENATE($A78,BD$2),0),'Cadastro dos Padrões'!$A$2:$V$4400,BD$1,FALSE)="","-",VLOOKUP(ROUND(CONCATENATE($A78,BD$2),0),'Cadastro dos Padrões'!$A$2:$V$4400,BD$1,FALSE))</f>
        <v>-</v>
      </c>
      <c r="BE78" s="31" t="str">
        <f>IF(VLOOKUP(ROUND(CONCATENATE($A78,BE$2),0),'Cadastro dos Padrões'!$A$2:$V$4400,BE$1,FALSE)="","-",VLOOKUP(ROUND(CONCATENATE($A78,BE$2),0),'Cadastro dos Padrões'!$A$2:$V$4400,BE$1,FALSE))</f>
        <v>-</v>
      </c>
      <c r="BF78" s="31" t="str">
        <f>IF(VLOOKUP(ROUND(CONCATENATE($A78,BF$2),0),'Cadastro dos Padrões'!$A$2:$V$4400,BF$1,FALSE)="","-",VLOOKUP(ROUND(CONCATENATE($A78,BF$2),0),'Cadastro dos Padrões'!$A$2:$V$4400,BF$1,FALSE))</f>
        <v>-</v>
      </c>
      <c r="BG78" s="31" t="str">
        <f>IF(VLOOKUP(ROUND(CONCATENATE($A78,BG$2),0),'Cadastro dos Padrões'!$A$2:$V$4400,BG$1,FALSE)="","-",VLOOKUP(ROUND(CONCATENATE($A78,BG$2),0),'Cadastro dos Padrões'!$A$2:$V$4400,BG$1,FALSE))</f>
        <v>-</v>
      </c>
      <c r="BH78" s="31" t="str">
        <f>IF(VLOOKUP(ROUND(CONCATENATE($A78,BH$2),0),'Cadastro dos Padrões'!$A$2:$V$4400,BH$1,FALSE)="","-",VLOOKUP(ROUND(CONCATENATE($A78,BH$2),0),'Cadastro dos Padrões'!$A$2:$V$4400,BH$1,FALSE))</f>
        <v>-</v>
      </c>
      <c r="BI78" s="31" t="str">
        <f>IF(VLOOKUP(ROUND(CONCATENATE($A78,BI$2),0),'Cadastro dos Padrões'!$A$2:$V$4400,BI$1,FALSE)="","-",VLOOKUP(ROUND(CONCATENATE($A78,BI$2),0),'Cadastro dos Padrões'!$A$2:$V$4400,BI$1,FALSE))</f>
        <v>-</v>
      </c>
      <c r="BJ78" s="31" t="str">
        <f>IF(VLOOKUP(ROUND(CONCATENATE($A78,BJ$2),0),'Cadastro dos Padrões'!$A$2:$V$4400,BJ$1,FALSE)="","-",VLOOKUP(ROUND(CONCATENATE($A78,BJ$2),0),'Cadastro dos Padrões'!$A$2:$V$4400,BJ$1,FALSE))</f>
        <v>-</v>
      </c>
      <c r="BK78" s="31" t="str">
        <f>IF(VLOOKUP(ROUND(CONCATENATE($A78,BK$2),0),'Cadastro dos Padrões'!$A$2:$V$4400,BK$1,FALSE)="","-",VLOOKUP(ROUND(CONCATENATE($A78,BK$2),0),'Cadastro dos Padrões'!$A$2:$V$4400,BK$1,FALSE))</f>
        <v>-</v>
      </c>
      <c r="BL78" s="31" t="str">
        <f>IF(VLOOKUP(ROUND(CONCATENATE($A78,BL$2),0),'Cadastro dos Padrões'!$A$2:$V$4400,BL$1,FALSE)="","-",VLOOKUP(ROUND(CONCATENATE($A78,BL$2),0),'Cadastro dos Padrões'!$A$2:$V$4400,BL$1,FALSE))</f>
        <v>-</v>
      </c>
      <c r="BM78" s="31" t="str">
        <f>IF(VLOOKUP(ROUND(CONCATENATE($A78,BM$2),0),'Cadastro dos Padrões'!$A$2:$V$4400,BM$1,FALSE)="","-",VLOOKUP(ROUND(CONCATENATE($A78,BM$2),0),'Cadastro dos Padrões'!$A$2:$V$4400,BM$1,FALSE))</f>
        <v>-</v>
      </c>
      <c r="BN78" s="31" t="str">
        <f>IF(VLOOKUP(ROUND(CONCATENATE($A78,BN$2),0),'Cadastro dos Padrões'!$A$2:$V$4400,BN$1,FALSE)="","-",VLOOKUP(ROUND(CONCATENATE($A78,BN$2),0),'Cadastro dos Padrões'!$A$2:$V$4400,BN$1,FALSE))</f>
        <v>-</v>
      </c>
      <c r="BO78" s="31" t="str">
        <f>IF(VLOOKUP(ROUND(CONCATENATE($A78,BO$2),0),'Cadastro dos Padrões'!$A$2:$V$4400,BO$1,FALSE)="","-",VLOOKUP(ROUND(CONCATENATE($A78,BO$2),0),'Cadastro dos Padrões'!$A$2:$V$4400,BO$1,FALSE))</f>
        <v>-</v>
      </c>
    </row>
    <row r="79" spans="1:67" x14ac:dyDescent="0.3">
      <c r="A79" s="6">
        <f t="shared" si="52"/>
        <v>74</v>
      </c>
      <c r="B79" s="31" t="str">
        <f>IF(VLOOKUP(ROUND(CONCATENATE($A79,B$2),0),'Cadastro dos Padrões'!$A$2:$V$4400,B$1,FALSE)="","-",VLOOKUP(ROUND(CONCATENATE($A79,B$2),0),'Cadastro dos Padrões'!$A$2:$V$4400,B$1,FALSE))</f>
        <v>M.TH.FS-002</v>
      </c>
      <c r="C79" s="31" t="str">
        <f>IF($B79="-","-",VLOOKUP(ROUND(CONCATENATE($A79,C$2),0),'Cadastro dos Padrões'!$A$2:$V$4400,C$1,FALSE))</f>
        <v>Termohigrômetro Digital</v>
      </c>
      <c r="D79" s="31">
        <f>IF($B79="-","-",VLOOKUP(ROUND(CONCATENATE($A79,D$2),0),'Cadastro dos Padrões'!$A$2:$V$4400,D$1,FALSE))</f>
        <v>20</v>
      </c>
      <c r="E79" s="31" t="str">
        <f>IF($B79="-","-",VLOOKUP(ROUND(CONCATENATE($A79,E$2),0),'Cadastro dos Padrões'!$A$2:$V$4400,E$1,FALSE))</f>
        <v>Elus</v>
      </c>
      <c r="F79" s="31" t="str">
        <f>IF($B79="-","-",VLOOKUP(ROUND(CONCATENATE($A79,F$2),0),'Cadastro dos Padrões'!$A$2:$V$4400,F$1,FALSE))</f>
        <v>RBC - CAL 0439</v>
      </c>
      <c r="G79" s="31" t="str">
        <f>IF($B79="-","-",VLOOKUP(ROUND(CONCATENATE($A79,G$2),0),'Cadastro dos Padrões'!$A$2:$V$4400,G$1,FALSE))</f>
        <v>E0308/24</v>
      </c>
      <c r="H79" s="32">
        <f>IF($B79="-","-",VLOOKUP(ROUND(CONCATENATE($A79,H$2),0),'Cadastro dos Padrões'!$A$2:$V$4400,H$1,FALSE))</f>
        <v>45520</v>
      </c>
      <c r="I79" s="33">
        <f>IF($B79="-","-",VLOOKUP(ROUND(CONCATENATE($A79,I$2),0),'Cadastro dos Padrões'!$A$2:$V$4400,I$1,FALSE))</f>
        <v>45899</v>
      </c>
      <c r="J79" s="31" t="str">
        <f>IF($B79="-","-",VLOOKUP(ROUND(CONCATENATE($A79,J$2),0),'Cadastro dos Padrões'!$A$2:$V$4400,J$1,FALSE))</f>
        <v>%ur</v>
      </c>
      <c r="K79" s="31">
        <f>IF($B79="-","-",VLOOKUP(ROUND(CONCATENATE($A79,K$2),0),'Cadastro dos Padrões'!$A$2:$V$4400,K$1,FALSE))</f>
        <v>30</v>
      </c>
      <c r="L79" s="31">
        <f>IF($B79="-","-",VLOOKUP(ROUND(CONCATENATE($A79,L$2),0),'Cadastro dos Padrões'!$A$2:$V$4400,L$1,FALSE))</f>
        <v>90</v>
      </c>
      <c r="M79" s="31">
        <f>IF($B79="-","-",VLOOKUP(ROUND(CONCATENATE($A79,M$2),0),'Cadastro dos Padrões'!$A$2:$V$4400,M$1,FALSE))</f>
        <v>1</v>
      </c>
      <c r="N79" s="31">
        <f>IF($B79="-","-",VLOOKUP(ROUND(CONCATENATE($A79,N$2),0),'Cadastro dos Padrões'!$A$2:$V$4400,N$1,FALSE))</f>
        <v>2</v>
      </c>
      <c r="O79" s="31">
        <f>IF($B79="-","-",VLOOKUP(ROUND(CONCATENATE($A79,O$2),0),'Cadastro dos Padrões'!$A$2:$V$4400,O$1,FALSE))</f>
        <v>2</v>
      </c>
      <c r="P79" s="31">
        <f>IF($B79="-","-",VLOOKUP(ROUND(CONCATENATE($A79,P$2),0),'Cadastro dos Padrões'!$A$2:$V$4400,P$1,FALSE))</f>
        <v>2</v>
      </c>
      <c r="Q79" s="31">
        <f>IF($B79="-","-",VLOOKUP(ROUND(CONCATENATE($A79,Q$2),0),'Cadastro dos Padrões'!$A$2:$V$4400,Q$1,FALSE))</f>
        <v>0.89768839625197216</v>
      </c>
      <c r="R79" s="31">
        <f>IF($B79="-","-",VLOOKUP(ROUND(CONCATENATE($A79,R$2),0),'Cadastro dos Padrões'!$A$2:$V$4400,R$1,FALSE))</f>
        <v>2</v>
      </c>
      <c r="S79" s="31">
        <f>IF($B79="-","-",VLOOKUP(ROUND(CONCATENATE($A79,S$2),0),'Cadastro dos Padrões'!$A$2:$V$4400,S$1,FALSE))</f>
        <v>0</v>
      </c>
      <c r="T79" s="31">
        <f>IF($B79="-","-",VLOOKUP(ROUND(CONCATENATE($A79,T$2),0),'Cadastro dos Padrões'!$A$2:$V$4400,T$1,FALSE))</f>
        <v>0</v>
      </c>
      <c r="U79" s="31">
        <f>IF($B79="-","-",VLOOKUP(ROUND(CONCATENATE($A79,U$2),0),'Cadastro dos Padrões'!$A$2:$V$4400,U$1,FALSE))</f>
        <v>0</v>
      </c>
      <c r="V79" s="31">
        <f>IF($B79="-","-",VLOOKUP(ROUND(CONCATENATE($A79,V$2),0),'Cadastro dos Padrões'!$A$2:$V$4400,V$1,FALSE))</f>
        <v>0</v>
      </c>
      <c r="W79" s="31">
        <f>IF($B79="-","-",VLOOKUP(ROUND(CONCATENATE($A79,W$2),0),'Cadastro dos Padrões'!$A$2:$V$4400,W$1,FALSE))</f>
        <v>0</v>
      </c>
      <c r="X79" s="31">
        <f>IF($B79="-","-",VLOOKUP(ROUND(CONCATENATE($A79,X$2),0),'Cadastro dos Padrões'!$A$2:$V$4400,X$1,FALSE))</f>
        <v>0</v>
      </c>
      <c r="Y79" s="31">
        <f>IF($B79="-","-",VLOOKUP(ROUND(CONCATENATE($A79,Y$2),0),'Cadastro dos Padrões'!$A$2:$V$4400,Y$1,FALSE))</f>
        <v>-1.4093750682057991E-3</v>
      </c>
      <c r="Z79" s="31">
        <f>IF($B79="-","-",VLOOKUP(ROUND(CONCATENATE($A79,Z$2),0),'Cadastro dos Padrões'!$A$2:$V$4400,Z$1,FALSE))</f>
        <v>1.2101077063715087</v>
      </c>
      <c r="AA79" s="31">
        <f>IF($B79="-","-",VLOOKUP(ROUND(CONCATENATE($A79,AA$2),0),'Cadastro dos Padrões'!$A$2:$V$4400,AA$1,FALSE))</f>
        <v>-6.3617941936792599</v>
      </c>
      <c r="AB79" s="31">
        <f>IF(VLOOKUP(ROUND(CONCATENATE($A79,AB$2),0),'Cadastro dos Padrões'!$A$2:$V$4400,AB$1,FALSE)="","-",VLOOKUP(ROUND(CONCATENATE($A79,AB$2),0),'Cadastro dos Padrões'!$A$2:$V$4400,AB$1,FALSE))</f>
        <v>30</v>
      </c>
      <c r="AC79" s="31">
        <f>IF(VLOOKUP(ROUND(CONCATENATE($A79,AC$2),0),'Cadastro dos Padrões'!$A$2:$V$4400,AC$1,FALSE)="","-",VLOOKUP(ROUND(CONCATENATE($A79,AC$2),0),'Cadastro dos Padrões'!$A$2:$V$4400,AC$1,FALSE))</f>
        <v>2</v>
      </c>
      <c r="AD79" s="31">
        <f>IF(VLOOKUP(ROUND(CONCATENATE($A79,AD$2),0),'Cadastro dos Padrões'!$A$2:$V$4400,AD$1,FALSE)="","-",VLOOKUP(ROUND(CONCATENATE($A79,AD$2),0),'Cadastro dos Padrões'!$A$2:$V$4400,AD$1,FALSE))</f>
        <v>2</v>
      </c>
      <c r="AE79" s="31">
        <f>IF(VLOOKUP(ROUND(CONCATENATE($A79,AE$2),0),'Cadastro dos Padrões'!$A$2:$V$4400,AE$1,FALSE)="","-",VLOOKUP(ROUND(CONCATENATE($A79,AE$2),0),'Cadastro dos Padrões'!$A$2:$V$4400,AE$1,FALSE))</f>
        <v>1000000</v>
      </c>
      <c r="AF79" s="31">
        <f>IF(VLOOKUP(ROUND(CONCATENATE($A79,AF$2),0),'Cadastro dos Padrões'!$A$2:$V$4400,AF$1,FALSE)="","-",VLOOKUP(ROUND(CONCATENATE($A79,AF$2),0),'Cadastro dos Padrões'!$A$2:$V$4400,AF$1,FALSE))</f>
        <v>50</v>
      </c>
      <c r="AG79" s="31">
        <f>IF(VLOOKUP(ROUND(CONCATENATE($A79,AG$2),0),'Cadastro dos Padrões'!$A$2:$V$4400,AG$1,FALSE)="","-",VLOOKUP(ROUND(CONCATENATE($A79,AG$2),0),'Cadastro dos Padrões'!$A$2:$V$4400,AG$1,FALSE))</f>
        <v>2</v>
      </c>
      <c r="AH79" s="31">
        <f>IF(VLOOKUP(ROUND(CONCATENATE($A79,AH$2),0),'Cadastro dos Padrões'!$A$2:$V$4400,AH$1,FALSE)="","-",VLOOKUP(ROUND(CONCATENATE($A79,AH$2),0),'Cadastro dos Padrões'!$A$2:$V$4400,AH$1,FALSE))</f>
        <v>2</v>
      </c>
      <c r="AI79" s="31">
        <f>IF(VLOOKUP(ROUND(CONCATENATE($A79,AI$2),0),'Cadastro dos Padrões'!$A$2:$V$4400,AI$1,FALSE)="","-",VLOOKUP(ROUND(CONCATENATE($A79,AI$2),0),'Cadastro dos Padrões'!$A$2:$V$4400,AI$1,FALSE))</f>
        <v>1000000</v>
      </c>
      <c r="AJ79" s="31">
        <f>IF(VLOOKUP(ROUND(CONCATENATE($A79,AJ$2),0),'Cadastro dos Padrões'!$A$2:$V$4400,AJ$1,FALSE)="","-",VLOOKUP(ROUND(CONCATENATE($A79,AJ$2),0),'Cadastro dos Padrões'!$A$2:$V$4400,AJ$1,FALSE))</f>
        <v>70</v>
      </c>
      <c r="AK79" s="31">
        <f>IF(VLOOKUP(ROUND(CONCATENATE($A79,AK$2),0),'Cadastro dos Padrões'!$A$2:$V$4400,AK$1,FALSE)="","-",VLOOKUP(ROUND(CONCATENATE($A79,AK$2),0),'Cadastro dos Padrões'!$A$2:$V$4400,AK$1,FALSE))</f>
        <v>2</v>
      </c>
      <c r="AL79" s="31">
        <f>IF(VLOOKUP(ROUND(CONCATENATE($A79,AL$2),0),'Cadastro dos Padrões'!$A$2:$V$4400,AL$1,FALSE)="","-",VLOOKUP(ROUND(CONCATENATE($A79,AL$2),0),'Cadastro dos Padrões'!$A$2:$V$4400,AL$1,FALSE))</f>
        <v>2</v>
      </c>
      <c r="AM79" s="31">
        <f>IF(VLOOKUP(ROUND(CONCATENATE($A79,AM$2),0),'Cadastro dos Padrões'!$A$2:$V$4400,AM$1,FALSE)="","-",VLOOKUP(ROUND(CONCATENATE($A79,AM$2),0),'Cadastro dos Padrões'!$A$2:$V$4400,AM$1,FALSE))</f>
        <v>1000000</v>
      </c>
      <c r="AN79" s="31">
        <f>IF(VLOOKUP(ROUND(CONCATENATE($A79,AN$2),0),'Cadastro dos Padrões'!$A$2:$V$4400,AN$1,FALSE)="","-",VLOOKUP(ROUND(CONCATENATE($A79,AN$2),0),'Cadastro dos Padrões'!$A$2:$V$4400,AN$1,FALSE))</f>
        <v>90</v>
      </c>
      <c r="AO79" s="31">
        <f>IF(VLOOKUP(ROUND(CONCATENATE($A79,AO$2),0),'Cadastro dos Padrões'!$A$2:$V$4400,AO$1,FALSE)="","-",VLOOKUP(ROUND(CONCATENATE($A79,AO$2),0),'Cadastro dos Padrões'!$A$2:$V$4400,AO$1,FALSE))</f>
        <v>2</v>
      </c>
      <c r="AP79" s="31">
        <f>IF(VLOOKUP(ROUND(CONCATENATE($A79,AP$2),0),'Cadastro dos Padrões'!$A$2:$V$4400,AP$1,FALSE)="","-",VLOOKUP(ROUND(CONCATENATE($A79,AP$2),0),'Cadastro dos Padrões'!$A$2:$V$4400,AP$1,FALSE))</f>
        <v>2</v>
      </c>
      <c r="AQ79" s="31">
        <f>IF(VLOOKUP(ROUND(CONCATENATE($A79,AQ$2),0),'Cadastro dos Padrões'!$A$2:$V$4400,AQ$1,FALSE)="","-",VLOOKUP(ROUND(CONCATENATE($A79,AQ$2),0),'Cadastro dos Padrões'!$A$2:$V$4400,AQ$1,FALSE))</f>
        <v>1000000</v>
      </c>
      <c r="AR79" s="31" t="str">
        <f>IF(VLOOKUP(ROUND(CONCATENATE($A79,AR$2),0),'Cadastro dos Padrões'!$A$2:$V$4400,AR$1,FALSE)="","-",VLOOKUP(ROUND(CONCATENATE($A79,AR$2),0),'Cadastro dos Padrões'!$A$2:$V$4400,AR$1,FALSE))</f>
        <v>-</v>
      </c>
      <c r="AS79" s="31" t="str">
        <f>IF(VLOOKUP(ROUND(CONCATENATE($A79,AS$2),0),'Cadastro dos Padrões'!$A$2:$V$4400,AS$1,FALSE)="","-",VLOOKUP(ROUND(CONCATENATE($A79,AS$2),0),'Cadastro dos Padrões'!$A$2:$V$4400,AS$1,FALSE))</f>
        <v>-</v>
      </c>
      <c r="AT79" s="31" t="str">
        <f>IF(VLOOKUP(ROUND(CONCATENATE($A79,AT$2),0),'Cadastro dos Padrões'!$A$2:$V$4400,AT$1,FALSE)="","-",VLOOKUP(ROUND(CONCATENATE($A79,AT$2),0),'Cadastro dos Padrões'!$A$2:$V$4400,AT$1,FALSE))</f>
        <v>-</v>
      </c>
      <c r="AU79" s="31" t="str">
        <f>IF(VLOOKUP(ROUND(CONCATENATE($A79,AU$2),0),'Cadastro dos Padrões'!$A$2:$V$4400,AU$1,FALSE)="","-",VLOOKUP(ROUND(CONCATENATE($A79,AU$2),0),'Cadastro dos Padrões'!$A$2:$V$4400,AU$1,FALSE))</f>
        <v>-</v>
      </c>
      <c r="AV79" s="31" t="str">
        <f>IF(VLOOKUP(ROUND(CONCATENATE($A79,AV$2),0),'Cadastro dos Padrões'!$A$2:$V$4400,AV$1,FALSE)="","-",VLOOKUP(ROUND(CONCATENATE($A79,AV$2),0),'Cadastro dos Padrões'!$A$2:$V$4400,AV$1,FALSE))</f>
        <v>-</v>
      </c>
      <c r="AW79" s="31" t="str">
        <f>IF(VLOOKUP(ROUND(CONCATENATE($A79,AW$2),0),'Cadastro dos Padrões'!$A$2:$V$4400,AW$1,FALSE)="","-",VLOOKUP(ROUND(CONCATENATE($A79,AW$2),0),'Cadastro dos Padrões'!$A$2:$V$4400,AW$1,FALSE))</f>
        <v>-</v>
      </c>
      <c r="AX79" s="31" t="str">
        <f>IF(VLOOKUP(ROUND(CONCATENATE($A79,AX$2),0),'Cadastro dos Padrões'!$A$2:$V$4400,AX$1,FALSE)="","-",VLOOKUP(ROUND(CONCATENATE($A79,AX$2),0),'Cadastro dos Padrões'!$A$2:$V$4400,AX$1,FALSE))</f>
        <v>-</v>
      </c>
      <c r="AY79" s="31" t="str">
        <f>IF(VLOOKUP(ROUND(CONCATENATE($A79,AY$2),0),'Cadastro dos Padrões'!$A$2:$V$4400,AY$1,FALSE)="","-",VLOOKUP(ROUND(CONCATENATE($A79,AY$2),0),'Cadastro dos Padrões'!$A$2:$V$4400,AY$1,FALSE))</f>
        <v>-</v>
      </c>
      <c r="AZ79" s="31" t="str">
        <f>IF(VLOOKUP(ROUND(CONCATENATE($A79,AZ$2),0),'Cadastro dos Padrões'!$A$2:$V$4400,AZ$1,FALSE)="","-",VLOOKUP(ROUND(CONCATENATE($A79,AZ$2),0),'Cadastro dos Padrões'!$A$2:$V$4400,AZ$1,FALSE))</f>
        <v>-</v>
      </c>
      <c r="BA79" s="31" t="str">
        <f>IF(VLOOKUP(ROUND(CONCATENATE($A79,BA$2),0),'Cadastro dos Padrões'!$A$2:$V$4400,BA$1,FALSE)="","-",VLOOKUP(ROUND(CONCATENATE($A79,BA$2),0),'Cadastro dos Padrões'!$A$2:$V$4400,BA$1,FALSE))</f>
        <v>-</v>
      </c>
      <c r="BB79" s="31" t="str">
        <f>IF(VLOOKUP(ROUND(CONCATENATE($A79,BB$2),0),'Cadastro dos Padrões'!$A$2:$V$4400,BB$1,FALSE)="","-",VLOOKUP(ROUND(CONCATENATE($A79,BB$2),0),'Cadastro dos Padrões'!$A$2:$V$4400,BB$1,FALSE))</f>
        <v>-</v>
      </c>
      <c r="BC79" s="31" t="str">
        <f>IF(VLOOKUP(ROUND(CONCATENATE($A79,BC$2),0),'Cadastro dos Padrões'!$A$2:$V$4400,BC$1,FALSE)="","-",VLOOKUP(ROUND(CONCATENATE($A79,BC$2),0),'Cadastro dos Padrões'!$A$2:$V$4400,BC$1,FALSE))</f>
        <v>-</v>
      </c>
      <c r="BD79" s="31" t="str">
        <f>IF(VLOOKUP(ROUND(CONCATENATE($A79,BD$2),0),'Cadastro dos Padrões'!$A$2:$V$4400,BD$1,FALSE)="","-",VLOOKUP(ROUND(CONCATENATE($A79,BD$2),0),'Cadastro dos Padrões'!$A$2:$V$4400,BD$1,FALSE))</f>
        <v>-</v>
      </c>
      <c r="BE79" s="31" t="str">
        <f>IF(VLOOKUP(ROUND(CONCATENATE($A79,BE$2),0),'Cadastro dos Padrões'!$A$2:$V$4400,BE$1,FALSE)="","-",VLOOKUP(ROUND(CONCATENATE($A79,BE$2),0),'Cadastro dos Padrões'!$A$2:$V$4400,BE$1,FALSE))</f>
        <v>-</v>
      </c>
      <c r="BF79" s="31" t="str">
        <f>IF(VLOOKUP(ROUND(CONCATENATE($A79,BF$2),0),'Cadastro dos Padrões'!$A$2:$V$4400,BF$1,FALSE)="","-",VLOOKUP(ROUND(CONCATENATE($A79,BF$2),0),'Cadastro dos Padrões'!$A$2:$V$4400,BF$1,FALSE))</f>
        <v>-</v>
      </c>
      <c r="BG79" s="31" t="str">
        <f>IF(VLOOKUP(ROUND(CONCATENATE($A79,BG$2),0),'Cadastro dos Padrões'!$A$2:$V$4400,BG$1,FALSE)="","-",VLOOKUP(ROUND(CONCATENATE($A79,BG$2),0),'Cadastro dos Padrões'!$A$2:$V$4400,BG$1,FALSE))</f>
        <v>-</v>
      </c>
      <c r="BH79" s="31" t="str">
        <f>IF(VLOOKUP(ROUND(CONCATENATE($A79,BH$2),0),'Cadastro dos Padrões'!$A$2:$V$4400,BH$1,FALSE)="","-",VLOOKUP(ROUND(CONCATENATE($A79,BH$2),0),'Cadastro dos Padrões'!$A$2:$V$4400,BH$1,FALSE))</f>
        <v>-</v>
      </c>
      <c r="BI79" s="31" t="str">
        <f>IF(VLOOKUP(ROUND(CONCATENATE($A79,BI$2),0),'Cadastro dos Padrões'!$A$2:$V$4400,BI$1,FALSE)="","-",VLOOKUP(ROUND(CONCATENATE($A79,BI$2),0),'Cadastro dos Padrões'!$A$2:$V$4400,BI$1,FALSE))</f>
        <v>-</v>
      </c>
      <c r="BJ79" s="31" t="str">
        <f>IF(VLOOKUP(ROUND(CONCATENATE($A79,BJ$2),0),'Cadastro dos Padrões'!$A$2:$V$4400,BJ$1,FALSE)="","-",VLOOKUP(ROUND(CONCATENATE($A79,BJ$2),0),'Cadastro dos Padrões'!$A$2:$V$4400,BJ$1,FALSE))</f>
        <v>-</v>
      </c>
      <c r="BK79" s="31" t="str">
        <f>IF(VLOOKUP(ROUND(CONCATENATE($A79,BK$2),0),'Cadastro dos Padrões'!$A$2:$V$4400,BK$1,FALSE)="","-",VLOOKUP(ROUND(CONCATENATE($A79,BK$2),0),'Cadastro dos Padrões'!$A$2:$V$4400,BK$1,FALSE))</f>
        <v>-</v>
      </c>
      <c r="BL79" s="31" t="str">
        <f>IF(VLOOKUP(ROUND(CONCATENATE($A79,BL$2),0),'Cadastro dos Padrões'!$A$2:$V$4400,BL$1,FALSE)="","-",VLOOKUP(ROUND(CONCATENATE($A79,BL$2),0),'Cadastro dos Padrões'!$A$2:$V$4400,BL$1,FALSE))</f>
        <v>-</v>
      </c>
      <c r="BM79" s="31" t="str">
        <f>IF(VLOOKUP(ROUND(CONCATENATE($A79,BM$2),0),'Cadastro dos Padrões'!$A$2:$V$4400,BM$1,FALSE)="","-",VLOOKUP(ROUND(CONCATENATE($A79,BM$2),0),'Cadastro dos Padrões'!$A$2:$V$4400,BM$1,FALSE))</f>
        <v>-</v>
      </c>
      <c r="BN79" s="31" t="str">
        <f>IF(VLOOKUP(ROUND(CONCATENATE($A79,BN$2),0),'Cadastro dos Padrões'!$A$2:$V$4400,BN$1,FALSE)="","-",VLOOKUP(ROUND(CONCATENATE($A79,BN$2),0),'Cadastro dos Padrões'!$A$2:$V$4400,BN$1,FALSE))</f>
        <v>-</v>
      </c>
      <c r="BO79" s="31" t="str">
        <f>IF(VLOOKUP(ROUND(CONCATENATE($A79,BO$2),0),'Cadastro dos Padrões'!$A$2:$V$4400,BO$1,FALSE)="","-",VLOOKUP(ROUND(CONCATENATE($A79,BO$2),0),'Cadastro dos Padrões'!$A$2:$V$4400,BO$1,FALSE))</f>
        <v>-</v>
      </c>
    </row>
    <row r="80" spans="1:67" x14ac:dyDescent="0.3">
      <c r="A80" s="6">
        <f t="shared" si="52"/>
        <v>75</v>
      </c>
      <c r="B80" s="31" t="str">
        <f>IF(VLOOKUP(ROUND(CONCATENATE($A80,B$2),0),'Cadastro dos Padrões'!$A$2:$V$4400,B$1,FALSE)="","-",VLOOKUP(ROUND(CONCATENATE($A80,B$2),0),'Cadastro dos Padrões'!$A$2:$V$4400,B$1,FALSE))</f>
        <v>M.TH.FS-003</v>
      </c>
      <c r="C80" s="31" t="str">
        <f>IF($B80="-","-",VLOOKUP(ROUND(CONCATENATE($A80,C$2),0),'Cadastro dos Padrões'!$A$2:$V$4400,C$1,FALSE))</f>
        <v>Termohigrômetro Digital</v>
      </c>
      <c r="D80" s="31">
        <f>IF($B80="-","-",VLOOKUP(ROUND(CONCATENATE($A80,D$2),0),'Cadastro dos Padrões'!$A$2:$V$4400,D$1,FALSE))</f>
        <v>20</v>
      </c>
      <c r="E80" s="31" t="str">
        <f>IF($B80="-","-",VLOOKUP(ROUND(CONCATENATE($A80,E$2),0),'Cadastro dos Padrões'!$A$2:$V$4400,E$1,FALSE))</f>
        <v>Elus</v>
      </c>
      <c r="F80" s="31" t="str">
        <f>IF($B80="-","-",VLOOKUP(ROUND(CONCATENATE($A80,F$2),0),'Cadastro dos Padrões'!$A$2:$V$4400,F$1,FALSE))</f>
        <v>RBC - CAL 0439</v>
      </c>
      <c r="G80" s="31" t="str">
        <f>IF($B80="-","-",VLOOKUP(ROUND(CONCATENATE($A80,G$2),0),'Cadastro dos Padrões'!$A$2:$V$4400,G$1,FALSE))</f>
        <v>E0309/24</v>
      </c>
      <c r="H80" s="32">
        <f>IF($B80="-","-",VLOOKUP(ROUND(CONCATENATE($A80,H$2),0),'Cadastro dos Padrões'!$A$2:$V$4400,H$1,FALSE))</f>
        <v>45520</v>
      </c>
      <c r="I80" s="33">
        <f>IF($B80="-","-",VLOOKUP(ROUND(CONCATENATE($A80,I$2),0),'Cadastro dos Padrões'!$A$2:$V$4400,I$1,FALSE))</f>
        <v>45899</v>
      </c>
      <c r="J80" s="31" t="str">
        <f>IF($B80="-","-",VLOOKUP(ROUND(CONCATENATE($A80,J$2),0),'Cadastro dos Padrões'!$A$2:$V$4400,J$1,FALSE))</f>
        <v>%ur</v>
      </c>
      <c r="K80" s="31">
        <f>IF($B80="-","-",VLOOKUP(ROUND(CONCATENATE($A80,K$2),0),'Cadastro dos Padrões'!$A$2:$V$4400,K$1,FALSE))</f>
        <v>30</v>
      </c>
      <c r="L80" s="31">
        <f>IF($B80="-","-",VLOOKUP(ROUND(CONCATENATE($A80,L$2),0),'Cadastro dos Padrões'!$A$2:$V$4400,L$1,FALSE))</f>
        <v>90</v>
      </c>
      <c r="M80" s="31">
        <f>IF($B80="-","-",VLOOKUP(ROUND(CONCATENATE($A80,M$2),0),'Cadastro dos Padrões'!$A$2:$V$4400,M$1,FALSE))</f>
        <v>1</v>
      </c>
      <c r="N80" s="31">
        <f>IF($B80="-","-",VLOOKUP(ROUND(CONCATENATE($A80,N$2),0),'Cadastro dos Padrões'!$A$2:$V$4400,N$1,FALSE))</f>
        <v>2</v>
      </c>
      <c r="O80" s="31">
        <f>IF($B80="-","-",VLOOKUP(ROUND(CONCATENATE($A80,O$2),0),'Cadastro dos Padrões'!$A$2:$V$4400,O$1,FALSE))</f>
        <v>2</v>
      </c>
      <c r="P80" s="31">
        <f>IF($B80="-","-",VLOOKUP(ROUND(CONCATENATE($A80,P$2),0),'Cadastro dos Padrões'!$A$2:$V$4400,P$1,FALSE))</f>
        <v>2</v>
      </c>
      <c r="Q80" s="31">
        <f>IF($B80="-","-",VLOOKUP(ROUND(CONCATENATE($A80,Q$2),0),'Cadastro dos Padrões'!$A$2:$V$4400,Q$1,FALSE))</f>
        <v>1.4370812861417965</v>
      </c>
      <c r="R80" s="31">
        <f>IF($B80="-","-",VLOOKUP(ROUND(CONCATENATE($A80,R$2),0),'Cadastro dos Padrões'!$A$2:$V$4400,R$1,FALSE))</f>
        <v>2</v>
      </c>
      <c r="S80" s="31">
        <f>IF($B80="-","-",VLOOKUP(ROUND(CONCATENATE($A80,S$2),0),'Cadastro dos Padrões'!$A$2:$V$4400,S$1,FALSE))</f>
        <v>0</v>
      </c>
      <c r="T80" s="31">
        <f>IF($B80="-","-",VLOOKUP(ROUND(CONCATENATE($A80,T$2),0),'Cadastro dos Padrões'!$A$2:$V$4400,T$1,FALSE))</f>
        <v>0</v>
      </c>
      <c r="U80" s="31">
        <f>IF($B80="-","-",VLOOKUP(ROUND(CONCATENATE($A80,U$2),0),'Cadastro dos Padrões'!$A$2:$V$4400,U$1,FALSE))</f>
        <v>0</v>
      </c>
      <c r="V80" s="31">
        <f>IF($B80="-","-",VLOOKUP(ROUND(CONCATENATE($A80,V$2),0),'Cadastro dos Padrões'!$A$2:$V$4400,V$1,FALSE))</f>
        <v>0</v>
      </c>
      <c r="W80" s="31">
        <f>IF($B80="-","-",VLOOKUP(ROUND(CONCATENATE($A80,W$2),0),'Cadastro dos Padrões'!$A$2:$V$4400,W$1,FALSE))</f>
        <v>0</v>
      </c>
      <c r="X80" s="31">
        <f>IF($B80="-","-",VLOOKUP(ROUND(CONCATENATE($A80,X$2),0),'Cadastro dos Padrões'!$A$2:$V$4400,X$1,FALSE))</f>
        <v>0</v>
      </c>
      <c r="Y80" s="31">
        <f>IF($B80="-","-",VLOOKUP(ROUND(CONCATENATE($A80,Y$2),0),'Cadastro dos Padrões'!$A$2:$V$4400,Y$1,FALSE))</f>
        <v>-1.4025954539598113E-3</v>
      </c>
      <c r="Z80" s="31">
        <f>IF($B80="-","-",VLOOKUP(ROUND(CONCATENATE($A80,Z$2),0),'Cadastro dos Padrões'!$A$2:$V$4400,Z$1,FALSE))</f>
        <v>1.2071930815661953</v>
      </c>
      <c r="AA80" s="31">
        <f>IF($B80="-","-",VLOOKUP(ROUND(CONCATENATE($A80,AA$2),0),'Cadastro dos Padrões'!$A$2:$V$4400,AA$1,FALSE))</f>
        <v>-5.694659235168972</v>
      </c>
      <c r="AB80" s="31">
        <f>IF(VLOOKUP(ROUND(CONCATENATE($A80,AB$2),0),'Cadastro dos Padrões'!$A$2:$V$4400,AB$1,FALSE)="","-",VLOOKUP(ROUND(CONCATENATE($A80,AB$2),0),'Cadastro dos Padrões'!$A$2:$V$4400,AB$1,FALSE))</f>
        <v>30</v>
      </c>
      <c r="AC80" s="31">
        <f>IF(VLOOKUP(ROUND(CONCATENATE($A80,AC$2),0),'Cadastro dos Padrões'!$A$2:$V$4400,AC$1,FALSE)="","-",VLOOKUP(ROUND(CONCATENATE($A80,AC$2),0),'Cadastro dos Padrões'!$A$2:$V$4400,AC$1,FALSE))</f>
        <v>2</v>
      </c>
      <c r="AD80" s="31">
        <f>IF(VLOOKUP(ROUND(CONCATENATE($A80,AD$2),0),'Cadastro dos Padrões'!$A$2:$V$4400,AD$1,FALSE)="","-",VLOOKUP(ROUND(CONCATENATE($A80,AD$2),0),'Cadastro dos Padrões'!$A$2:$V$4400,AD$1,FALSE))</f>
        <v>2</v>
      </c>
      <c r="AE80" s="31">
        <f>IF(VLOOKUP(ROUND(CONCATENATE($A80,AE$2),0),'Cadastro dos Padrões'!$A$2:$V$4400,AE$1,FALSE)="","-",VLOOKUP(ROUND(CONCATENATE($A80,AE$2),0),'Cadastro dos Padrões'!$A$2:$V$4400,AE$1,FALSE))</f>
        <v>1000000</v>
      </c>
      <c r="AF80" s="31">
        <f>IF(VLOOKUP(ROUND(CONCATENATE($A80,AF$2),0),'Cadastro dos Padrões'!$A$2:$V$4400,AF$1,FALSE)="","-",VLOOKUP(ROUND(CONCATENATE($A80,AF$2),0),'Cadastro dos Padrões'!$A$2:$V$4400,AF$1,FALSE))</f>
        <v>50</v>
      </c>
      <c r="AG80" s="31">
        <f>IF(VLOOKUP(ROUND(CONCATENATE($A80,AG$2),0),'Cadastro dos Padrões'!$A$2:$V$4400,AG$1,FALSE)="","-",VLOOKUP(ROUND(CONCATENATE($A80,AG$2),0),'Cadastro dos Padrões'!$A$2:$V$4400,AG$1,FALSE))</f>
        <v>2</v>
      </c>
      <c r="AH80" s="31">
        <f>IF(VLOOKUP(ROUND(CONCATENATE($A80,AH$2),0),'Cadastro dos Padrões'!$A$2:$V$4400,AH$1,FALSE)="","-",VLOOKUP(ROUND(CONCATENATE($A80,AH$2),0),'Cadastro dos Padrões'!$A$2:$V$4400,AH$1,FALSE))</f>
        <v>2</v>
      </c>
      <c r="AI80" s="31">
        <f>IF(VLOOKUP(ROUND(CONCATENATE($A80,AI$2),0),'Cadastro dos Padrões'!$A$2:$V$4400,AI$1,FALSE)="","-",VLOOKUP(ROUND(CONCATENATE($A80,AI$2),0),'Cadastro dos Padrões'!$A$2:$V$4400,AI$1,FALSE))</f>
        <v>1000000</v>
      </c>
      <c r="AJ80" s="31">
        <f>IF(VLOOKUP(ROUND(CONCATENATE($A80,AJ$2),0),'Cadastro dos Padrões'!$A$2:$V$4400,AJ$1,FALSE)="","-",VLOOKUP(ROUND(CONCATENATE($A80,AJ$2),0),'Cadastro dos Padrões'!$A$2:$V$4400,AJ$1,FALSE))</f>
        <v>70</v>
      </c>
      <c r="AK80" s="31">
        <f>IF(VLOOKUP(ROUND(CONCATENATE($A80,AK$2),0),'Cadastro dos Padrões'!$A$2:$V$4400,AK$1,FALSE)="","-",VLOOKUP(ROUND(CONCATENATE($A80,AK$2),0),'Cadastro dos Padrões'!$A$2:$V$4400,AK$1,FALSE))</f>
        <v>2</v>
      </c>
      <c r="AL80" s="31">
        <f>IF(VLOOKUP(ROUND(CONCATENATE($A80,AL$2),0),'Cadastro dos Padrões'!$A$2:$V$4400,AL$1,FALSE)="","-",VLOOKUP(ROUND(CONCATENATE($A80,AL$2),0),'Cadastro dos Padrões'!$A$2:$V$4400,AL$1,FALSE))</f>
        <v>2</v>
      </c>
      <c r="AM80" s="31">
        <f>IF(VLOOKUP(ROUND(CONCATENATE($A80,AM$2),0),'Cadastro dos Padrões'!$A$2:$V$4400,AM$1,FALSE)="","-",VLOOKUP(ROUND(CONCATENATE($A80,AM$2),0),'Cadastro dos Padrões'!$A$2:$V$4400,AM$1,FALSE))</f>
        <v>1000000</v>
      </c>
      <c r="AN80" s="31">
        <f>IF(VLOOKUP(ROUND(CONCATENATE($A80,AN$2),0),'Cadastro dos Padrões'!$A$2:$V$4400,AN$1,FALSE)="","-",VLOOKUP(ROUND(CONCATENATE($A80,AN$2),0),'Cadastro dos Padrões'!$A$2:$V$4400,AN$1,FALSE))</f>
        <v>90</v>
      </c>
      <c r="AO80" s="31">
        <f>IF(VLOOKUP(ROUND(CONCATENATE($A80,AO$2),0),'Cadastro dos Padrões'!$A$2:$V$4400,AO$1,FALSE)="","-",VLOOKUP(ROUND(CONCATENATE($A80,AO$2),0),'Cadastro dos Padrões'!$A$2:$V$4400,AO$1,FALSE))</f>
        <v>2</v>
      </c>
      <c r="AP80" s="31">
        <f>IF(VLOOKUP(ROUND(CONCATENATE($A80,AP$2),0),'Cadastro dos Padrões'!$A$2:$V$4400,AP$1,FALSE)="","-",VLOOKUP(ROUND(CONCATENATE($A80,AP$2),0),'Cadastro dos Padrões'!$A$2:$V$4400,AP$1,FALSE))</f>
        <v>2</v>
      </c>
      <c r="AQ80" s="31">
        <f>IF(VLOOKUP(ROUND(CONCATENATE($A80,AQ$2),0),'Cadastro dos Padrões'!$A$2:$V$4400,AQ$1,FALSE)="","-",VLOOKUP(ROUND(CONCATENATE($A80,AQ$2),0),'Cadastro dos Padrões'!$A$2:$V$4400,AQ$1,FALSE))</f>
        <v>1000000</v>
      </c>
      <c r="AR80" s="31" t="str">
        <f>IF(VLOOKUP(ROUND(CONCATENATE($A80,AR$2),0),'Cadastro dos Padrões'!$A$2:$V$4400,AR$1,FALSE)="","-",VLOOKUP(ROUND(CONCATENATE($A80,AR$2),0),'Cadastro dos Padrões'!$A$2:$V$4400,AR$1,FALSE))</f>
        <v>-</v>
      </c>
      <c r="AS80" s="31" t="str">
        <f>IF(VLOOKUP(ROUND(CONCATENATE($A80,AS$2),0),'Cadastro dos Padrões'!$A$2:$V$4400,AS$1,FALSE)="","-",VLOOKUP(ROUND(CONCATENATE($A80,AS$2),0),'Cadastro dos Padrões'!$A$2:$V$4400,AS$1,FALSE))</f>
        <v>-</v>
      </c>
      <c r="AT80" s="31" t="str">
        <f>IF(VLOOKUP(ROUND(CONCATENATE($A80,AT$2),0),'Cadastro dos Padrões'!$A$2:$V$4400,AT$1,FALSE)="","-",VLOOKUP(ROUND(CONCATENATE($A80,AT$2),0),'Cadastro dos Padrões'!$A$2:$V$4400,AT$1,FALSE))</f>
        <v>-</v>
      </c>
      <c r="AU80" s="31" t="str">
        <f>IF(VLOOKUP(ROUND(CONCATENATE($A80,AU$2),0),'Cadastro dos Padrões'!$A$2:$V$4400,AU$1,FALSE)="","-",VLOOKUP(ROUND(CONCATENATE($A80,AU$2),0),'Cadastro dos Padrões'!$A$2:$V$4400,AU$1,FALSE))</f>
        <v>-</v>
      </c>
      <c r="AV80" s="31" t="str">
        <f>IF(VLOOKUP(ROUND(CONCATENATE($A80,AV$2),0),'Cadastro dos Padrões'!$A$2:$V$4400,AV$1,FALSE)="","-",VLOOKUP(ROUND(CONCATENATE($A80,AV$2),0),'Cadastro dos Padrões'!$A$2:$V$4400,AV$1,FALSE))</f>
        <v>-</v>
      </c>
      <c r="AW80" s="31" t="str">
        <f>IF(VLOOKUP(ROUND(CONCATENATE($A80,AW$2),0),'Cadastro dos Padrões'!$A$2:$V$4400,AW$1,FALSE)="","-",VLOOKUP(ROUND(CONCATENATE($A80,AW$2),0),'Cadastro dos Padrões'!$A$2:$V$4400,AW$1,FALSE))</f>
        <v>-</v>
      </c>
      <c r="AX80" s="31" t="str">
        <f>IF(VLOOKUP(ROUND(CONCATENATE($A80,AX$2),0),'Cadastro dos Padrões'!$A$2:$V$4400,AX$1,FALSE)="","-",VLOOKUP(ROUND(CONCATENATE($A80,AX$2),0),'Cadastro dos Padrões'!$A$2:$V$4400,AX$1,FALSE))</f>
        <v>-</v>
      </c>
      <c r="AY80" s="31" t="str">
        <f>IF(VLOOKUP(ROUND(CONCATENATE($A80,AY$2),0),'Cadastro dos Padrões'!$A$2:$V$4400,AY$1,FALSE)="","-",VLOOKUP(ROUND(CONCATENATE($A80,AY$2),0),'Cadastro dos Padrões'!$A$2:$V$4400,AY$1,FALSE))</f>
        <v>-</v>
      </c>
      <c r="AZ80" s="31" t="str">
        <f>IF(VLOOKUP(ROUND(CONCATENATE($A80,AZ$2),0),'Cadastro dos Padrões'!$A$2:$V$4400,AZ$1,FALSE)="","-",VLOOKUP(ROUND(CONCATENATE($A80,AZ$2),0),'Cadastro dos Padrões'!$A$2:$V$4400,AZ$1,FALSE))</f>
        <v>-</v>
      </c>
      <c r="BA80" s="31" t="str">
        <f>IF(VLOOKUP(ROUND(CONCATENATE($A80,BA$2),0),'Cadastro dos Padrões'!$A$2:$V$4400,BA$1,FALSE)="","-",VLOOKUP(ROUND(CONCATENATE($A80,BA$2),0),'Cadastro dos Padrões'!$A$2:$V$4400,BA$1,FALSE))</f>
        <v>-</v>
      </c>
      <c r="BB80" s="31" t="str">
        <f>IF(VLOOKUP(ROUND(CONCATENATE($A80,BB$2),0),'Cadastro dos Padrões'!$A$2:$V$4400,BB$1,FALSE)="","-",VLOOKUP(ROUND(CONCATENATE($A80,BB$2),0),'Cadastro dos Padrões'!$A$2:$V$4400,BB$1,FALSE))</f>
        <v>-</v>
      </c>
      <c r="BC80" s="31" t="str">
        <f>IF(VLOOKUP(ROUND(CONCATENATE($A80,BC$2),0),'Cadastro dos Padrões'!$A$2:$V$4400,BC$1,FALSE)="","-",VLOOKUP(ROUND(CONCATENATE($A80,BC$2),0),'Cadastro dos Padrões'!$A$2:$V$4400,BC$1,FALSE))</f>
        <v>-</v>
      </c>
      <c r="BD80" s="31" t="str">
        <f>IF(VLOOKUP(ROUND(CONCATENATE($A80,BD$2),0),'Cadastro dos Padrões'!$A$2:$V$4400,BD$1,FALSE)="","-",VLOOKUP(ROUND(CONCATENATE($A80,BD$2),0),'Cadastro dos Padrões'!$A$2:$V$4400,BD$1,FALSE))</f>
        <v>-</v>
      </c>
      <c r="BE80" s="31" t="str">
        <f>IF(VLOOKUP(ROUND(CONCATENATE($A80,BE$2),0),'Cadastro dos Padrões'!$A$2:$V$4400,BE$1,FALSE)="","-",VLOOKUP(ROUND(CONCATENATE($A80,BE$2),0),'Cadastro dos Padrões'!$A$2:$V$4400,BE$1,FALSE))</f>
        <v>-</v>
      </c>
      <c r="BF80" s="31" t="str">
        <f>IF(VLOOKUP(ROUND(CONCATENATE($A80,BF$2),0),'Cadastro dos Padrões'!$A$2:$V$4400,BF$1,FALSE)="","-",VLOOKUP(ROUND(CONCATENATE($A80,BF$2),0),'Cadastro dos Padrões'!$A$2:$V$4400,BF$1,FALSE))</f>
        <v>-</v>
      </c>
      <c r="BG80" s="31" t="str">
        <f>IF(VLOOKUP(ROUND(CONCATENATE($A80,BG$2),0),'Cadastro dos Padrões'!$A$2:$V$4400,BG$1,FALSE)="","-",VLOOKUP(ROUND(CONCATENATE($A80,BG$2),0),'Cadastro dos Padrões'!$A$2:$V$4400,BG$1,FALSE))</f>
        <v>-</v>
      </c>
      <c r="BH80" s="31" t="str">
        <f>IF(VLOOKUP(ROUND(CONCATENATE($A80,BH$2),0),'Cadastro dos Padrões'!$A$2:$V$4400,BH$1,FALSE)="","-",VLOOKUP(ROUND(CONCATENATE($A80,BH$2),0),'Cadastro dos Padrões'!$A$2:$V$4400,BH$1,FALSE))</f>
        <v>-</v>
      </c>
      <c r="BI80" s="31" t="str">
        <f>IF(VLOOKUP(ROUND(CONCATENATE($A80,BI$2),0),'Cadastro dos Padrões'!$A$2:$V$4400,BI$1,FALSE)="","-",VLOOKUP(ROUND(CONCATENATE($A80,BI$2),0),'Cadastro dos Padrões'!$A$2:$V$4400,BI$1,FALSE))</f>
        <v>-</v>
      </c>
      <c r="BJ80" s="31" t="str">
        <f>IF(VLOOKUP(ROUND(CONCATENATE($A80,BJ$2),0),'Cadastro dos Padrões'!$A$2:$V$4400,BJ$1,FALSE)="","-",VLOOKUP(ROUND(CONCATENATE($A80,BJ$2),0),'Cadastro dos Padrões'!$A$2:$V$4400,BJ$1,FALSE))</f>
        <v>-</v>
      </c>
      <c r="BK80" s="31" t="str">
        <f>IF(VLOOKUP(ROUND(CONCATENATE($A80,BK$2),0),'Cadastro dos Padrões'!$A$2:$V$4400,BK$1,FALSE)="","-",VLOOKUP(ROUND(CONCATENATE($A80,BK$2),0),'Cadastro dos Padrões'!$A$2:$V$4400,BK$1,FALSE))</f>
        <v>-</v>
      </c>
      <c r="BL80" s="31" t="str">
        <f>IF(VLOOKUP(ROUND(CONCATENATE($A80,BL$2),0),'Cadastro dos Padrões'!$A$2:$V$4400,BL$1,FALSE)="","-",VLOOKUP(ROUND(CONCATENATE($A80,BL$2),0),'Cadastro dos Padrões'!$A$2:$V$4400,BL$1,FALSE))</f>
        <v>-</v>
      </c>
      <c r="BM80" s="31" t="str">
        <f>IF(VLOOKUP(ROUND(CONCATENATE($A80,BM$2),0),'Cadastro dos Padrões'!$A$2:$V$4400,BM$1,FALSE)="","-",VLOOKUP(ROUND(CONCATENATE($A80,BM$2),0),'Cadastro dos Padrões'!$A$2:$V$4400,BM$1,FALSE))</f>
        <v>-</v>
      </c>
      <c r="BN80" s="31" t="str">
        <f>IF(VLOOKUP(ROUND(CONCATENATE($A80,BN$2),0),'Cadastro dos Padrões'!$A$2:$V$4400,BN$1,FALSE)="","-",VLOOKUP(ROUND(CONCATENATE($A80,BN$2),0),'Cadastro dos Padrões'!$A$2:$V$4400,BN$1,FALSE))</f>
        <v>-</v>
      </c>
      <c r="BO80" s="31" t="str">
        <f>IF(VLOOKUP(ROUND(CONCATENATE($A80,BO$2),0),'Cadastro dos Padrões'!$A$2:$V$4400,BO$1,FALSE)="","-",VLOOKUP(ROUND(CONCATENATE($A80,BO$2),0),'Cadastro dos Padrões'!$A$2:$V$4400,BO$1,FALSE))</f>
        <v>-</v>
      </c>
    </row>
    <row r="81" spans="1:67" x14ac:dyDescent="0.3">
      <c r="A81" s="6">
        <f t="shared" si="52"/>
        <v>76</v>
      </c>
      <c r="B81" s="31" t="str">
        <f>IF(VLOOKUP(ROUND(CONCATENATE($A81,B$2),0),'Cadastro dos Padrões'!$A$2:$V$4400,B$1,FALSE)="","-",VLOOKUP(ROUND(CONCATENATE($A81,B$2),0),'Cadastro dos Padrões'!$A$2:$V$4400,B$1,FALSE))</f>
        <v>M.TH.FS-004</v>
      </c>
      <c r="C81" s="31" t="str">
        <f>IF($B81="-","-",VLOOKUP(ROUND(CONCATENATE($A81,C$2),0),'Cadastro dos Padrões'!$A$2:$V$4400,C$1,FALSE))</f>
        <v>Termohigrômetro Digital</v>
      </c>
      <c r="D81" s="31">
        <f>IF($B81="-","-",VLOOKUP(ROUND(CONCATENATE($A81,D$2),0),'Cadastro dos Padrões'!$A$2:$V$4400,D$1,FALSE))</f>
        <v>20</v>
      </c>
      <c r="E81" s="31" t="str">
        <f>IF($B81="-","-",VLOOKUP(ROUND(CONCATENATE($A81,E$2),0),'Cadastro dos Padrões'!$A$2:$V$4400,E$1,FALSE))</f>
        <v>Elus</v>
      </c>
      <c r="F81" s="31" t="str">
        <f>IF($B81="-","-",VLOOKUP(ROUND(CONCATENATE($A81,F$2),0),'Cadastro dos Padrões'!$A$2:$V$4400,F$1,FALSE))</f>
        <v>RBC - CAL 0439</v>
      </c>
      <c r="G81" s="31" t="str">
        <f>IF($B81="-","-",VLOOKUP(ROUND(CONCATENATE($A81,G$2),0),'Cadastro dos Padrões'!$A$2:$V$4400,G$1,FALSE))</f>
        <v>E0310/24</v>
      </c>
      <c r="H81" s="32">
        <f>IF($B81="-","-",VLOOKUP(ROUND(CONCATENATE($A81,H$2),0),'Cadastro dos Padrões'!$A$2:$V$4400,H$1,FALSE))</f>
        <v>45520</v>
      </c>
      <c r="I81" s="33">
        <f>IF($B81="-","-",VLOOKUP(ROUND(CONCATENATE($A81,I$2),0),'Cadastro dos Padrões'!$A$2:$V$4400,I$1,FALSE))</f>
        <v>45899</v>
      </c>
      <c r="J81" s="31" t="str">
        <f>IF($B81="-","-",VLOOKUP(ROUND(CONCATENATE($A81,J$2),0),'Cadastro dos Padrões'!$A$2:$V$4400,J$1,FALSE))</f>
        <v>%ur</v>
      </c>
      <c r="K81" s="31">
        <f>IF($B81="-","-",VLOOKUP(ROUND(CONCATENATE($A81,K$2),0),'Cadastro dos Padrões'!$A$2:$V$4400,K$1,FALSE))</f>
        <v>30</v>
      </c>
      <c r="L81" s="31">
        <f>IF($B81="-","-",VLOOKUP(ROUND(CONCATENATE($A81,L$2),0),'Cadastro dos Padrões'!$A$2:$V$4400,L$1,FALSE))</f>
        <v>90</v>
      </c>
      <c r="M81" s="31">
        <f>IF($B81="-","-",VLOOKUP(ROUND(CONCATENATE($A81,M$2),0),'Cadastro dos Padrões'!$A$2:$V$4400,M$1,FALSE))</f>
        <v>1</v>
      </c>
      <c r="N81" s="31">
        <f>IF($B81="-","-",VLOOKUP(ROUND(CONCATENATE($A81,N$2),0),'Cadastro dos Padrões'!$A$2:$V$4400,N$1,FALSE))</f>
        <v>1</v>
      </c>
      <c r="O81" s="31">
        <f>IF($B81="-","-",VLOOKUP(ROUND(CONCATENATE($A81,O$2),0),'Cadastro dos Padrões'!$A$2:$V$4400,O$1,FALSE))</f>
        <v>2</v>
      </c>
      <c r="P81" s="31">
        <f>IF($B81="-","-",VLOOKUP(ROUND(CONCATENATE($A81,P$2),0),'Cadastro dos Padrões'!$A$2:$V$4400,P$1,FALSE))</f>
        <v>1</v>
      </c>
      <c r="Q81" s="31">
        <f>IF($B81="-","-",VLOOKUP(ROUND(CONCATENATE($A81,Q$2),0),'Cadastro dos Padrões'!$A$2:$V$4400,Q$1,FALSE))</f>
        <v>0.66608271259680896</v>
      </c>
      <c r="R81" s="31">
        <f>IF($B81="-","-",VLOOKUP(ROUND(CONCATENATE($A81,R$2),0),'Cadastro dos Padrões'!$A$2:$V$4400,R$1,FALSE))</f>
        <v>2</v>
      </c>
      <c r="S81" s="31">
        <f>IF($B81="-","-",VLOOKUP(ROUND(CONCATENATE($A81,S$2),0),'Cadastro dos Padrões'!$A$2:$V$4400,S$1,FALSE))</f>
        <v>0</v>
      </c>
      <c r="T81" s="31">
        <f>IF($B81="-","-",VLOOKUP(ROUND(CONCATENATE($A81,T$2),0),'Cadastro dos Padrões'!$A$2:$V$4400,T$1,FALSE))</f>
        <v>0</v>
      </c>
      <c r="U81" s="31">
        <f>IF($B81="-","-",VLOOKUP(ROUND(CONCATENATE($A81,U$2),0),'Cadastro dos Padrões'!$A$2:$V$4400,U$1,FALSE))</f>
        <v>0</v>
      </c>
      <c r="V81" s="31">
        <f>IF($B81="-","-",VLOOKUP(ROUND(CONCATENATE($A81,V$2),0),'Cadastro dos Padrões'!$A$2:$V$4400,V$1,FALSE))</f>
        <v>0</v>
      </c>
      <c r="W81" s="31">
        <f>IF($B81="-","-",VLOOKUP(ROUND(CONCATENATE($A81,W$2),0),'Cadastro dos Padrões'!$A$2:$V$4400,W$1,FALSE))</f>
        <v>0</v>
      </c>
      <c r="X81" s="31">
        <f>IF($B81="-","-",VLOOKUP(ROUND(CONCATENATE($A81,X$2),0),'Cadastro dos Padrões'!$A$2:$V$4400,X$1,FALSE))</f>
        <v>0</v>
      </c>
      <c r="Y81" s="31">
        <f>IF($B81="-","-",VLOOKUP(ROUND(CONCATENATE($A81,Y$2),0),'Cadastro dos Padrões'!$A$2:$V$4400,Y$1,FALSE))</f>
        <v>-6.3361076334152839E-4</v>
      </c>
      <c r="Z81" s="31">
        <f>IF($B81="-","-",VLOOKUP(ROUND(CONCATENATE($A81,Z$2),0),'Cadastro dos Padrões'!$A$2:$V$4400,Z$1,FALSE))</f>
        <v>1.0807749738999506</v>
      </c>
      <c r="AA81" s="31">
        <f>IF($B81="-","-",VLOOKUP(ROUND(CONCATENATE($A81,AA$2),0),'Cadastro dos Padrões'!$A$2:$V$4400,AA$1,FALSE))</f>
        <v>-2.0005185348479024</v>
      </c>
      <c r="AB81" s="31">
        <f>IF(VLOOKUP(ROUND(CONCATENATE($A81,AB$2),0),'Cadastro dos Padrões'!$A$2:$V$4400,AB$1,FALSE)="","-",VLOOKUP(ROUND(CONCATENATE($A81,AB$2),0),'Cadastro dos Padrões'!$A$2:$V$4400,AB$1,FALSE))</f>
        <v>30</v>
      </c>
      <c r="AC81" s="31">
        <f>IF(VLOOKUP(ROUND(CONCATENATE($A81,AC$2),0),'Cadastro dos Padrões'!$A$2:$V$4400,AC$1,FALSE)="","-",VLOOKUP(ROUND(CONCATENATE($A81,AC$2),0),'Cadastro dos Padrões'!$A$2:$V$4400,AC$1,FALSE))</f>
        <v>2</v>
      </c>
      <c r="AD81" s="31">
        <f>IF(VLOOKUP(ROUND(CONCATENATE($A81,AD$2),0),'Cadastro dos Padrões'!$A$2:$V$4400,AD$1,FALSE)="","-",VLOOKUP(ROUND(CONCATENATE($A81,AD$2),0),'Cadastro dos Padrões'!$A$2:$V$4400,AD$1,FALSE))</f>
        <v>2</v>
      </c>
      <c r="AE81" s="31">
        <f>IF(VLOOKUP(ROUND(CONCATENATE($A81,AE$2),0),'Cadastro dos Padrões'!$A$2:$V$4400,AE$1,FALSE)="","-",VLOOKUP(ROUND(CONCATENATE($A81,AE$2),0),'Cadastro dos Padrões'!$A$2:$V$4400,AE$1,FALSE))</f>
        <v>1000000</v>
      </c>
      <c r="AF81" s="31">
        <f>IF(VLOOKUP(ROUND(CONCATENATE($A81,AF$2),0),'Cadastro dos Padrões'!$A$2:$V$4400,AF$1,FALSE)="","-",VLOOKUP(ROUND(CONCATENATE($A81,AF$2),0),'Cadastro dos Padrões'!$A$2:$V$4400,AF$1,FALSE))</f>
        <v>50</v>
      </c>
      <c r="AG81" s="31">
        <f>IF(VLOOKUP(ROUND(CONCATENATE($A81,AG$2),0),'Cadastro dos Padrões'!$A$2:$V$4400,AG$1,FALSE)="","-",VLOOKUP(ROUND(CONCATENATE($A81,AG$2),0),'Cadastro dos Padrões'!$A$2:$V$4400,AG$1,FALSE))</f>
        <v>2</v>
      </c>
      <c r="AH81" s="31">
        <f>IF(VLOOKUP(ROUND(CONCATENATE($A81,AH$2),0),'Cadastro dos Padrões'!$A$2:$V$4400,AH$1,FALSE)="","-",VLOOKUP(ROUND(CONCATENATE($A81,AH$2),0),'Cadastro dos Padrões'!$A$2:$V$4400,AH$1,FALSE))</f>
        <v>2</v>
      </c>
      <c r="AI81" s="31">
        <f>IF(VLOOKUP(ROUND(CONCATENATE($A81,AI$2),0),'Cadastro dos Padrões'!$A$2:$V$4400,AI$1,FALSE)="","-",VLOOKUP(ROUND(CONCATENATE($A81,AI$2),0),'Cadastro dos Padrões'!$A$2:$V$4400,AI$1,FALSE))</f>
        <v>1000000</v>
      </c>
      <c r="AJ81" s="31">
        <f>IF(VLOOKUP(ROUND(CONCATENATE($A81,AJ$2),0),'Cadastro dos Padrões'!$A$2:$V$4400,AJ$1,FALSE)="","-",VLOOKUP(ROUND(CONCATENATE($A81,AJ$2),0),'Cadastro dos Padrões'!$A$2:$V$4400,AJ$1,FALSE))</f>
        <v>70</v>
      </c>
      <c r="AK81" s="31">
        <f>IF(VLOOKUP(ROUND(CONCATENATE($A81,AK$2),0),'Cadastro dos Padrões'!$A$2:$V$4400,AK$1,FALSE)="","-",VLOOKUP(ROUND(CONCATENATE($A81,AK$2),0),'Cadastro dos Padrões'!$A$2:$V$4400,AK$1,FALSE))</f>
        <v>2</v>
      </c>
      <c r="AL81" s="31">
        <f>IF(VLOOKUP(ROUND(CONCATENATE($A81,AL$2),0),'Cadastro dos Padrões'!$A$2:$V$4400,AL$1,FALSE)="","-",VLOOKUP(ROUND(CONCATENATE($A81,AL$2),0),'Cadastro dos Padrões'!$A$2:$V$4400,AL$1,FALSE))</f>
        <v>2</v>
      </c>
      <c r="AM81" s="31">
        <f>IF(VLOOKUP(ROUND(CONCATENATE($A81,AM$2),0),'Cadastro dos Padrões'!$A$2:$V$4400,AM$1,FALSE)="","-",VLOOKUP(ROUND(CONCATENATE($A81,AM$2),0),'Cadastro dos Padrões'!$A$2:$V$4400,AM$1,FALSE))</f>
        <v>1000000</v>
      </c>
      <c r="AN81" s="31">
        <f>IF(VLOOKUP(ROUND(CONCATENATE($A81,AN$2),0),'Cadastro dos Padrões'!$A$2:$V$4400,AN$1,FALSE)="","-",VLOOKUP(ROUND(CONCATENATE($A81,AN$2),0),'Cadastro dos Padrões'!$A$2:$V$4400,AN$1,FALSE))</f>
        <v>90</v>
      </c>
      <c r="AO81" s="31">
        <f>IF(VLOOKUP(ROUND(CONCATENATE($A81,AO$2),0),'Cadastro dos Padrões'!$A$2:$V$4400,AO$1,FALSE)="","-",VLOOKUP(ROUND(CONCATENATE($A81,AO$2),0),'Cadastro dos Padrões'!$A$2:$V$4400,AO$1,FALSE))</f>
        <v>2</v>
      </c>
      <c r="AP81" s="31">
        <f>IF(VLOOKUP(ROUND(CONCATENATE($A81,AP$2),0),'Cadastro dos Padrões'!$A$2:$V$4400,AP$1,FALSE)="","-",VLOOKUP(ROUND(CONCATENATE($A81,AP$2),0),'Cadastro dos Padrões'!$A$2:$V$4400,AP$1,FALSE))</f>
        <v>2</v>
      </c>
      <c r="AQ81" s="31">
        <f>IF(VLOOKUP(ROUND(CONCATENATE($A81,AQ$2),0),'Cadastro dos Padrões'!$A$2:$V$4400,AQ$1,FALSE)="","-",VLOOKUP(ROUND(CONCATENATE($A81,AQ$2),0),'Cadastro dos Padrões'!$A$2:$V$4400,AQ$1,FALSE))</f>
        <v>1000000</v>
      </c>
      <c r="AR81" s="31" t="str">
        <f>IF(VLOOKUP(ROUND(CONCATENATE($A81,AR$2),0),'Cadastro dos Padrões'!$A$2:$V$4400,AR$1,FALSE)="","-",VLOOKUP(ROUND(CONCATENATE($A81,AR$2),0),'Cadastro dos Padrões'!$A$2:$V$4400,AR$1,FALSE))</f>
        <v>-</v>
      </c>
      <c r="AS81" s="31" t="str">
        <f>IF(VLOOKUP(ROUND(CONCATENATE($A81,AS$2),0),'Cadastro dos Padrões'!$A$2:$V$4400,AS$1,FALSE)="","-",VLOOKUP(ROUND(CONCATENATE($A81,AS$2),0),'Cadastro dos Padrões'!$A$2:$V$4400,AS$1,FALSE))</f>
        <v>-</v>
      </c>
      <c r="AT81" s="31" t="str">
        <f>IF(VLOOKUP(ROUND(CONCATENATE($A81,AT$2),0),'Cadastro dos Padrões'!$A$2:$V$4400,AT$1,FALSE)="","-",VLOOKUP(ROUND(CONCATENATE($A81,AT$2),0),'Cadastro dos Padrões'!$A$2:$V$4400,AT$1,FALSE))</f>
        <v>-</v>
      </c>
      <c r="AU81" s="31" t="str">
        <f>IF(VLOOKUP(ROUND(CONCATENATE($A81,AU$2),0),'Cadastro dos Padrões'!$A$2:$V$4400,AU$1,FALSE)="","-",VLOOKUP(ROUND(CONCATENATE($A81,AU$2),0),'Cadastro dos Padrões'!$A$2:$V$4400,AU$1,FALSE))</f>
        <v>-</v>
      </c>
      <c r="AV81" s="31" t="str">
        <f>IF(VLOOKUP(ROUND(CONCATENATE($A81,AV$2),0),'Cadastro dos Padrões'!$A$2:$V$4400,AV$1,FALSE)="","-",VLOOKUP(ROUND(CONCATENATE($A81,AV$2),0),'Cadastro dos Padrões'!$A$2:$V$4400,AV$1,FALSE))</f>
        <v>-</v>
      </c>
      <c r="AW81" s="31" t="str">
        <f>IF(VLOOKUP(ROUND(CONCATENATE($A81,AW$2),0),'Cadastro dos Padrões'!$A$2:$V$4400,AW$1,FALSE)="","-",VLOOKUP(ROUND(CONCATENATE($A81,AW$2),0),'Cadastro dos Padrões'!$A$2:$V$4400,AW$1,FALSE))</f>
        <v>-</v>
      </c>
      <c r="AX81" s="31" t="str">
        <f>IF(VLOOKUP(ROUND(CONCATENATE($A81,AX$2),0),'Cadastro dos Padrões'!$A$2:$V$4400,AX$1,FALSE)="","-",VLOOKUP(ROUND(CONCATENATE($A81,AX$2),0),'Cadastro dos Padrões'!$A$2:$V$4400,AX$1,FALSE))</f>
        <v>-</v>
      </c>
      <c r="AY81" s="31" t="str">
        <f>IF(VLOOKUP(ROUND(CONCATENATE($A81,AY$2),0),'Cadastro dos Padrões'!$A$2:$V$4400,AY$1,FALSE)="","-",VLOOKUP(ROUND(CONCATENATE($A81,AY$2),0),'Cadastro dos Padrões'!$A$2:$V$4400,AY$1,FALSE))</f>
        <v>-</v>
      </c>
      <c r="AZ81" s="31" t="str">
        <f>IF(VLOOKUP(ROUND(CONCATENATE($A81,AZ$2),0),'Cadastro dos Padrões'!$A$2:$V$4400,AZ$1,FALSE)="","-",VLOOKUP(ROUND(CONCATENATE($A81,AZ$2),0),'Cadastro dos Padrões'!$A$2:$V$4400,AZ$1,FALSE))</f>
        <v>-</v>
      </c>
      <c r="BA81" s="31" t="str">
        <f>IF(VLOOKUP(ROUND(CONCATENATE($A81,BA$2),0),'Cadastro dos Padrões'!$A$2:$V$4400,BA$1,FALSE)="","-",VLOOKUP(ROUND(CONCATENATE($A81,BA$2),0),'Cadastro dos Padrões'!$A$2:$V$4400,BA$1,FALSE))</f>
        <v>-</v>
      </c>
      <c r="BB81" s="31" t="str">
        <f>IF(VLOOKUP(ROUND(CONCATENATE($A81,BB$2),0),'Cadastro dos Padrões'!$A$2:$V$4400,BB$1,FALSE)="","-",VLOOKUP(ROUND(CONCATENATE($A81,BB$2),0),'Cadastro dos Padrões'!$A$2:$V$4400,BB$1,FALSE))</f>
        <v>-</v>
      </c>
      <c r="BC81" s="31" t="str">
        <f>IF(VLOOKUP(ROUND(CONCATENATE($A81,BC$2),0),'Cadastro dos Padrões'!$A$2:$V$4400,BC$1,FALSE)="","-",VLOOKUP(ROUND(CONCATENATE($A81,BC$2),0),'Cadastro dos Padrões'!$A$2:$V$4400,BC$1,FALSE))</f>
        <v>-</v>
      </c>
      <c r="BD81" s="31" t="str">
        <f>IF(VLOOKUP(ROUND(CONCATENATE($A81,BD$2),0),'Cadastro dos Padrões'!$A$2:$V$4400,BD$1,FALSE)="","-",VLOOKUP(ROUND(CONCATENATE($A81,BD$2),0),'Cadastro dos Padrões'!$A$2:$V$4400,BD$1,FALSE))</f>
        <v>-</v>
      </c>
      <c r="BE81" s="31" t="str">
        <f>IF(VLOOKUP(ROUND(CONCATENATE($A81,BE$2),0),'Cadastro dos Padrões'!$A$2:$V$4400,BE$1,FALSE)="","-",VLOOKUP(ROUND(CONCATENATE($A81,BE$2),0),'Cadastro dos Padrões'!$A$2:$V$4400,BE$1,FALSE))</f>
        <v>-</v>
      </c>
      <c r="BF81" s="31" t="str">
        <f>IF(VLOOKUP(ROUND(CONCATENATE($A81,BF$2),0),'Cadastro dos Padrões'!$A$2:$V$4400,BF$1,FALSE)="","-",VLOOKUP(ROUND(CONCATENATE($A81,BF$2),0),'Cadastro dos Padrões'!$A$2:$V$4400,BF$1,FALSE))</f>
        <v>-</v>
      </c>
      <c r="BG81" s="31" t="str">
        <f>IF(VLOOKUP(ROUND(CONCATENATE($A81,BG$2),0),'Cadastro dos Padrões'!$A$2:$V$4400,BG$1,FALSE)="","-",VLOOKUP(ROUND(CONCATENATE($A81,BG$2),0),'Cadastro dos Padrões'!$A$2:$V$4400,BG$1,FALSE))</f>
        <v>-</v>
      </c>
      <c r="BH81" s="31" t="str">
        <f>IF(VLOOKUP(ROUND(CONCATENATE($A81,BH$2),0),'Cadastro dos Padrões'!$A$2:$V$4400,BH$1,FALSE)="","-",VLOOKUP(ROUND(CONCATENATE($A81,BH$2),0),'Cadastro dos Padrões'!$A$2:$V$4400,BH$1,FALSE))</f>
        <v>-</v>
      </c>
      <c r="BI81" s="31" t="str">
        <f>IF(VLOOKUP(ROUND(CONCATENATE($A81,BI$2),0),'Cadastro dos Padrões'!$A$2:$V$4400,BI$1,FALSE)="","-",VLOOKUP(ROUND(CONCATENATE($A81,BI$2),0),'Cadastro dos Padrões'!$A$2:$V$4400,BI$1,FALSE))</f>
        <v>-</v>
      </c>
      <c r="BJ81" s="31" t="str">
        <f>IF(VLOOKUP(ROUND(CONCATENATE($A81,BJ$2),0),'Cadastro dos Padrões'!$A$2:$V$4400,BJ$1,FALSE)="","-",VLOOKUP(ROUND(CONCATENATE($A81,BJ$2),0),'Cadastro dos Padrões'!$A$2:$V$4400,BJ$1,FALSE))</f>
        <v>-</v>
      </c>
      <c r="BK81" s="31" t="str">
        <f>IF(VLOOKUP(ROUND(CONCATENATE($A81,BK$2),0),'Cadastro dos Padrões'!$A$2:$V$4400,BK$1,FALSE)="","-",VLOOKUP(ROUND(CONCATENATE($A81,BK$2),0),'Cadastro dos Padrões'!$A$2:$V$4400,BK$1,FALSE))</f>
        <v>-</v>
      </c>
      <c r="BL81" s="31" t="str">
        <f>IF(VLOOKUP(ROUND(CONCATENATE($A81,BL$2),0),'Cadastro dos Padrões'!$A$2:$V$4400,BL$1,FALSE)="","-",VLOOKUP(ROUND(CONCATENATE($A81,BL$2),0),'Cadastro dos Padrões'!$A$2:$V$4400,BL$1,FALSE))</f>
        <v>-</v>
      </c>
      <c r="BM81" s="31" t="str">
        <f>IF(VLOOKUP(ROUND(CONCATENATE($A81,BM$2),0),'Cadastro dos Padrões'!$A$2:$V$4400,BM$1,FALSE)="","-",VLOOKUP(ROUND(CONCATENATE($A81,BM$2),0),'Cadastro dos Padrões'!$A$2:$V$4400,BM$1,FALSE))</f>
        <v>-</v>
      </c>
      <c r="BN81" s="31" t="str">
        <f>IF(VLOOKUP(ROUND(CONCATENATE($A81,BN$2),0),'Cadastro dos Padrões'!$A$2:$V$4400,BN$1,FALSE)="","-",VLOOKUP(ROUND(CONCATENATE($A81,BN$2),0),'Cadastro dos Padrões'!$A$2:$V$4400,BN$1,FALSE))</f>
        <v>-</v>
      </c>
      <c r="BO81" s="31" t="str">
        <f>IF(VLOOKUP(ROUND(CONCATENATE($A81,BO$2),0),'Cadastro dos Padrões'!$A$2:$V$4400,BO$1,FALSE)="","-",VLOOKUP(ROUND(CONCATENATE($A81,BO$2),0),'Cadastro dos Padrões'!$A$2:$V$4400,BO$1,FALSE))</f>
        <v>-</v>
      </c>
    </row>
    <row r="82" spans="1:67" x14ac:dyDescent="0.3">
      <c r="A82" s="6">
        <f t="shared" si="52"/>
        <v>77</v>
      </c>
      <c r="B82" s="31" t="str">
        <f>IF(VLOOKUP(ROUND(CONCATENATE($A82,B$2),0),'Cadastro dos Padrões'!$A$2:$V$4400,B$1,FALSE)="","-",VLOOKUP(ROUND(CONCATENATE($A82,B$2),0),'Cadastro dos Padrões'!$A$2:$V$4400,B$1,FALSE))</f>
        <v>M.TH.FS-005</v>
      </c>
      <c r="C82" s="31" t="str">
        <f>IF($B82="-","-",VLOOKUP(ROUND(CONCATENATE($A82,C$2),0),'Cadastro dos Padrões'!$A$2:$V$4400,C$1,FALSE))</f>
        <v>Termohigrômetro Digital</v>
      </c>
      <c r="D82" s="31">
        <f>IF($B82="-","-",VLOOKUP(ROUND(CONCATENATE($A82,D$2),0),'Cadastro dos Padrões'!$A$2:$V$4400,D$1,FALSE))</f>
        <v>20</v>
      </c>
      <c r="E82" s="31" t="str">
        <f>IF($B82="-","-",VLOOKUP(ROUND(CONCATENATE($A82,E$2),0),'Cadastro dos Padrões'!$A$2:$V$4400,E$1,FALSE))</f>
        <v>Elus</v>
      </c>
      <c r="F82" s="31" t="str">
        <f>IF($B82="-","-",VLOOKUP(ROUND(CONCATENATE($A82,F$2),0),'Cadastro dos Padrões'!$A$2:$V$4400,F$1,FALSE))</f>
        <v>RBC - CAL 0439</v>
      </c>
      <c r="G82" s="31" t="str">
        <f>IF($B82="-","-",VLOOKUP(ROUND(CONCATENATE($A82,G$2),0),'Cadastro dos Padrões'!$A$2:$V$4400,G$1,FALSE))</f>
        <v>E0311/24</v>
      </c>
      <c r="H82" s="32">
        <f>IF($B82="-","-",VLOOKUP(ROUND(CONCATENATE($A82,H$2),0),'Cadastro dos Padrões'!$A$2:$V$4400,H$1,FALSE))</f>
        <v>45520</v>
      </c>
      <c r="I82" s="33">
        <f>IF($B82="-","-",VLOOKUP(ROUND(CONCATENATE($A82,I$2),0),'Cadastro dos Padrões'!$A$2:$V$4400,I$1,FALSE))</f>
        <v>45899</v>
      </c>
      <c r="J82" s="31" t="str">
        <f>IF($B82="-","-",VLOOKUP(ROUND(CONCATENATE($A82,J$2),0),'Cadastro dos Padrões'!$A$2:$V$4400,J$1,FALSE))</f>
        <v>%ur</v>
      </c>
      <c r="K82" s="31">
        <f>IF($B82="-","-",VLOOKUP(ROUND(CONCATENATE($A82,K$2),0),'Cadastro dos Padrões'!$A$2:$V$4400,K$1,FALSE))</f>
        <v>30</v>
      </c>
      <c r="L82" s="31">
        <f>IF($B82="-","-",VLOOKUP(ROUND(CONCATENATE($A82,L$2),0),'Cadastro dos Padrões'!$A$2:$V$4400,L$1,FALSE))</f>
        <v>90</v>
      </c>
      <c r="M82" s="31">
        <f>IF($B82="-","-",VLOOKUP(ROUND(CONCATENATE($A82,M$2),0),'Cadastro dos Padrões'!$A$2:$V$4400,M$1,FALSE))</f>
        <v>1</v>
      </c>
      <c r="N82" s="31">
        <f>IF($B82="-","-",VLOOKUP(ROUND(CONCATENATE($A82,N$2),0),'Cadastro dos Padrões'!$A$2:$V$4400,N$1,FALSE))</f>
        <v>2</v>
      </c>
      <c r="O82" s="31">
        <f>IF($B82="-","-",VLOOKUP(ROUND(CONCATENATE($A82,O$2),0),'Cadastro dos Padrões'!$A$2:$V$4400,O$1,FALSE))</f>
        <v>2</v>
      </c>
      <c r="P82" s="31">
        <f>IF($B82="-","-",VLOOKUP(ROUND(CONCATENATE($A82,P$2),0),'Cadastro dos Padrões'!$A$2:$V$4400,P$1,FALSE))</f>
        <v>2</v>
      </c>
      <c r="Q82" s="31">
        <f>IF($B82="-","-",VLOOKUP(ROUND(CONCATENATE($A82,Q$2),0),'Cadastro dos Padrões'!$A$2:$V$4400,Q$1,FALSE))</f>
        <v>1.0497007139463466</v>
      </c>
      <c r="R82" s="31">
        <f>IF($B82="-","-",VLOOKUP(ROUND(CONCATENATE($A82,R$2),0),'Cadastro dos Padrões'!$A$2:$V$4400,R$1,FALSE))</f>
        <v>2</v>
      </c>
      <c r="S82" s="31">
        <f>IF($B82="-","-",VLOOKUP(ROUND(CONCATENATE($A82,S$2),0),'Cadastro dos Padrões'!$A$2:$V$4400,S$1,FALSE))</f>
        <v>0</v>
      </c>
      <c r="T82" s="31">
        <f>IF($B82="-","-",VLOOKUP(ROUND(CONCATENATE($A82,T$2),0),'Cadastro dos Padrões'!$A$2:$V$4400,T$1,FALSE))</f>
        <v>0</v>
      </c>
      <c r="U82" s="31">
        <f>IF($B82="-","-",VLOOKUP(ROUND(CONCATENATE($A82,U$2),0),'Cadastro dos Padrões'!$A$2:$V$4400,U$1,FALSE))</f>
        <v>0</v>
      </c>
      <c r="V82" s="31">
        <f>IF($B82="-","-",VLOOKUP(ROUND(CONCATENATE($A82,V$2),0),'Cadastro dos Padrões'!$A$2:$V$4400,V$1,FALSE))</f>
        <v>0</v>
      </c>
      <c r="W82" s="31">
        <f>IF($B82="-","-",VLOOKUP(ROUND(CONCATENATE($A82,W$2),0),'Cadastro dos Padrões'!$A$2:$V$4400,W$1,FALSE))</f>
        <v>0</v>
      </c>
      <c r="X82" s="31">
        <f>IF($B82="-","-",VLOOKUP(ROUND(CONCATENATE($A82,X$2),0),'Cadastro dos Padrões'!$A$2:$V$4400,X$1,FALSE))</f>
        <v>0</v>
      </c>
      <c r="Y82" s="31">
        <f>IF($B82="-","-",VLOOKUP(ROUND(CONCATENATE($A82,Y$2),0),'Cadastro dos Padrões'!$A$2:$V$4400,Y$1,FALSE))</f>
        <v>-2.5655011483406145E-3</v>
      </c>
      <c r="Z82" s="31">
        <f>IF($B82="-","-",VLOOKUP(ROUND(CONCATENATE($A82,Z$2),0),'Cadastro dos Padrões'!$A$2:$V$4400,Z$1,FALSE))</f>
        <v>1.3240127561178827</v>
      </c>
      <c r="AA82" s="31">
        <f>IF($B82="-","-",VLOOKUP(ROUND(CONCATENATE($A82,AA$2),0),'Cadastro dos Padrões'!$A$2:$V$4400,AA$1,FALSE))</f>
        <v>-9.4520937277958428</v>
      </c>
      <c r="AB82" s="31">
        <f>IF(VLOOKUP(ROUND(CONCATENATE($A82,AB$2),0),'Cadastro dos Padrões'!$A$2:$V$4400,AB$1,FALSE)="","-",VLOOKUP(ROUND(CONCATENATE($A82,AB$2),0),'Cadastro dos Padrões'!$A$2:$V$4400,AB$1,FALSE))</f>
        <v>30</v>
      </c>
      <c r="AC82" s="31">
        <f>IF(VLOOKUP(ROUND(CONCATENATE($A82,AC$2),0),'Cadastro dos Padrões'!$A$2:$V$4400,AC$1,FALSE)="","-",VLOOKUP(ROUND(CONCATENATE($A82,AC$2),0),'Cadastro dos Padrões'!$A$2:$V$4400,AC$1,FALSE))</f>
        <v>2</v>
      </c>
      <c r="AD82" s="31">
        <f>IF(VLOOKUP(ROUND(CONCATENATE($A82,AD$2),0),'Cadastro dos Padrões'!$A$2:$V$4400,AD$1,FALSE)="","-",VLOOKUP(ROUND(CONCATENATE($A82,AD$2),0),'Cadastro dos Padrões'!$A$2:$V$4400,AD$1,FALSE))</f>
        <v>2</v>
      </c>
      <c r="AE82" s="31">
        <f>IF(VLOOKUP(ROUND(CONCATENATE($A82,AE$2),0),'Cadastro dos Padrões'!$A$2:$V$4400,AE$1,FALSE)="","-",VLOOKUP(ROUND(CONCATENATE($A82,AE$2),0),'Cadastro dos Padrões'!$A$2:$V$4400,AE$1,FALSE))</f>
        <v>1000000</v>
      </c>
      <c r="AF82" s="31">
        <f>IF(VLOOKUP(ROUND(CONCATENATE($A82,AF$2),0),'Cadastro dos Padrões'!$A$2:$V$4400,AF$1,FALSE)="","-",VLOOKUP(ROUND(CONCATENATE($A82,AF$2),0),'Cadastro dos Padrões'!$A$2:$V$4400,AF$1,FALSE))</f>
        <v>50</v>
      </c>
      <c r="AG82" s="31">
        <f>IF(VLOOKUP(ROUND(CONCATENATE($A82,AG$2),0),'Cadastro dos Padrões'!$A$2:$V$4400,AG$1,FALSE)="","-",VLOOKUP(ROUND(CONCATENATE($A82,AG$2),0),'Cadastro dos Padrões'!$A$2:$V$4400,AG$1,FALSE))</f>
        <v>2</v>
      </c>
      <c r="AH82" s="31">
        <f>IF(VLOOKUP(ROUND(CONCATENATE($A82,AH$2),0),'Cadastro dos Padrões'!$A$2:$V$4400,AH$1,FALSE)="","-",VLOOKUP(ROUND(CONCATENATE($A82,AH$2),0),'Cadastro dos Padrões'!$A$2:$V$4400,AH$1,FALSE))</f>
        <v>2</v>
      </c>
      <c r="AI82" s="31">
        <f>IF(VLOOKUP(ROUND(CONCATENATE($A82,AI$2),0),'Cadastro dos Padrões'!$A$2:$V$4400,AI$1,FALSE)="","-",VLOOKUP(ROUND(CONCATENATE($A82,AI$2),0),'Cadastro dos Padrões'!$A$2:$V$4400,AI$1,FALSE))</f>
        <v>1000000</v>
      </c>
      <c r="AJ82" s="31">
        <f>IF(VLOOKUP(ROUND(CONCATENATE($A82,AJ$2),0),'Cadastro dos Padrões'!$A$2:$V$4400,AJ$1,FALSE)="","-",VLOOKUP(ROUND(CONCATENATE($A82,AJ$2),0),'Cadastro dos Padrões'!$A$2:$V$4400,AJ$1,FALSE))</f>
        <v>70</v>
      </c>
      <c r="AK82" s="31">
        <f>IF(VLOOKUP(ROUND(CONCATENATE($A82,AK$2),0),'Cadastro dos Padrões'!$A$2:$V$4400,AK$1,FALSE)="","-",VLOOKUP(ROUND(CONCATENATE($A82,AK$2),0),'Cadastro dos Padrões'!$A$2:$V$4400,AK$1,FALSE))</f>
        <v>2</v>
      </c>
      <c r="AL82" s="31">
        <f>IF(VLOOKUP(ROUND(CONCATENATE($A82,AL$2),0),'Cadastro dos Padrões'!$A$2:$V$4400,AL$1,FALSE)="","-",VLOOKUP(ROUND(CONCATENATE($A82,AL$2),0),'Cadastro dos Padrões'!$A$2:$V$4400,AL$1,FALSE))</f>
        <v>2</v>
      </c>
      <c r="AM82" s="31">
        <f>IF(VLOOKUP(ROUND(CONCATENATE($A82,AM$2),0),'Cadastro dos Padrões'!$A$2:$V$4400,AM$1,FALSE)="","-",VLOOKUP(ROUND(CONCATENATE($A82,AM$2),0),'Cadastro dos Padrões'!$A$2:$V$4400,AM$1,FALSE))</f>
        <v>1000000</v>
      </c>
      <c r="AN82" s="31">
        <f>IF(VLOOKUP(ROUND(CONCATENATE($A82,AN$2),0),'Cadastro dos Padrões'!$A$2:$V$4400,AN$1,FALSE)="","-",VLOOKUP(ROUND(CONCATENATE($A82,AN$2),0),'Cadastro dos Padrões'!$A$2:$V$4400,AN$1,FALSE))</f>
        <v>90</v>
      </c>
      <c r="AO82" s="31">
        <f>IF(VLOOKUP(ROUND(CONCATENATE($A82,AO$2),0),'Cadastro dos Padrões'!$A$2:$V$4400,AO$1,FALSE)="","-",VLOOKUP(ROUND(CONCATENATE($A82,AO$2),0),'Cadastro dos Padrões'!$A$2:$V$4400,AO$1,FALSE))</f>
        <v>2</v>
      </c>
      <c r="AP82" s="31">
        <f>IF(VLOOKUP(ROUND(CONCATENATE($A82,AP$2),0),'Cadastro dos Padrões'!$A$2:$V$4400,AP$1,FALSE)="","-",VLOOKUP(ROUND(CONCATENATE($A82,AP$2),0),'Cadastro dos Padrões'!$A$2:$V$4400,AP$1,FALSE))</f>
        <v>2</v>
      </c>
      <c r="AQ82" s="31">
        <f>IF(VLOOKUP(ROUND(CONCATENATE($A82,AQ$2),0),'Cadastro dos Padrões'!$A$2:$V$4400,AQ$1,FALSE)="","-",VLOOKUP(ROUND(CONCATENATE($A82,AQ$2),0),'Cadastro dos Padrões'!$A$2:$V$4400,AQ$1,FALSE))</f>
        <v>1000000</v>
      </c>
      <c r="AR82" s="31" t="str">
        <f>IF(VLOOKUP(ROUND(CONCATENATE($A82,AR$2),0),'Cadastro dos Padrões'!$A$2:$V$4400,AR$1,FALSE)="","-",VLOOKUP(ROUND(CONCATENATE($A82,AR$2),0),'Cadastro dos Padrões'!$A$2:$V$4400,AR$1,FALSE))</f>
        <v>-</v>
      </c>
      <c r="AS82" s="31" t="str">
        <f>IF(VLOOKUP(ROUND(CONCATENATE($A82,AS$2),0),'Cadastro dos Padrões'!$A$2:$V$4400,AS$1,FALSE)="","-",VLOOKUP(ROUND(CONCATENATE($A82,AS$2),0),'Cadastro dos Padrões'!$A$2:$V$4400,AS$1,FALSE))</f>
        <v>-</v>
      </c>
      <c r="AT82" s="31" t="str">
        <f>IF(VLOOKUP(ROUND(CONCATENATE($A82,AT$2),0),'Cadastro dos Padrões'!$A$2:$V$4400,AT$1,FALSE)="","-",VLOOKUP(ROUND(CONCATENATE($A82,AT$2),0),'Cadastro dos Padrões'!$A$2:$V$4400,AT$1,FALSE))</f>
        <v>-</v>
      </c>
      <c r="AU82" s="31" t="str">
        <f>IF(VLOOKUP(ROUND(CONCATENATE($A82,AU$2),0),'Cadastro dos Padrões'!$A$2:$V$4400,AU$1,FALSE)="","-",VLOOKUP(ROUND(CONCATENATE($A82,AU$2),0),'Cadastro dos Padrões'!$A$2:$V$4400,AU$1,FALSE))</f>
        <v>-</v>
      </c>
      <c r="AV82" s="31" t="str">
        <f>IF(VLOOKUP(ROUND(CONCATENATE($A82,AV$2),0),'Cadastro dos Padrões'!$A$2:$V$4400,AV$1,FALSE)="","-",VLOOKUP(ROUND(CONCATENATE($A82,AV$2),0),'Cadastro dos Padrões'!$A$2:$V$4400,AV$1,FALSE))</f>
        <v>-</v>
      </c>
      <c r="AW82" s="31" t="str">
        <f>IF(VLOOKUP(ROUND(CONCATENATE($A82,AW$2),0),'Cadastro dos Padrões'!$A$2:$V$4400,AW$1,FALSE)="","-",VLOOKUP(ROUND(CONCATENATE($A82,AW$2),0),'Cadastro dos Padrões'!$A$2:$V$4400,AW$1,FALSE))</f>
        <v>-</v>
      </c>
      <c r="AX82" s="31" t="str">
        <f>IF(VLOOKUP(ROUND(CONCATENATE($A82,AX$2),0),'Cadastro dos Padrões'!$A$2:$V$4400,AX$1,FALSE)="","-",VLOOKUP(ROUND(CONCATENATE($A82,AX$2),0),'Cadastro dos Padrões'!$A$2:$V$4400,AX$1,FALSE))</f>
        <v>-</v>
      </c>
      <c r="AY82" s="31" t="str">
        <f>IF(VLOOKUP(ROUND(CONCATENATE($A82,AY$2),0),'Cadastro dos Padrões'!$A$2:$V$4400,AY$1,FALSE)="","-",VLOOKUP(ROUND(CONCATENATE($A82,AY$2),0),'Cadastro dos Padrões'!$A$2:$V$4400,AY$1,FALSE))</f>
        <v>-</v>
      </c>
      <c r="AZ82" s="31" t="str">
        <f>IF(VLOOKUP(ROUND(CONCATENATE($A82,AZ$2),0),'Cadastro dos Padrões'!$A$2:$V$4400,AZ$1,FALSE)="","-",VLOOKUP(ROUND(CONCATENATE($A82,AZ$2),0),'Cadastro dos Padrões'!$A$2:$V$4400,AZ$1,FALSE))</f>
        <v>-</v>
      </c>
      <c r="BA82" s="31" t="str">
        <f>IF(VLOOKUP(ROUND(CONCATENATE($A82,BA$2),0),'Cadastro dos Padrões'!$A$2:$V$4400,BA$1,FALSE)="","-",VLOOKUP(ROUND(CONCATENATE($A82,BA$2),0),'Cadastro dos Padrões'!$A$2:$V$4400,BA$1,FALSE))</f>
        <v>-</v>
      </c>
      <c r="BB82" s="31" t="str">
        <f>IF(VLOOKUP(ROUND(CONCATENATE($A82,BB$2),0),'Cadastro dos Padrões'!$A$2:$V$4400,BB$1,FALSE)="","-",VLOOKUP(ROUND(CONCATENATE($A82,BB$2),0),'Cadastro dos Padrões'!$A$2:$V$4400,BB$1,FALSE))</f>
        <v>-</v>
      </c>
      <c r="BC82" s="31" t="str">
        <f>IF(VLOOKUP(ROUND(CONCATENATE($A82,BC$2),0),'Cadastro dos Padrões'!$A$2:$V$4400,BC$1,FALSE)="","-",VLOOKUP(ROUND(CONCATENATE($A82,BC$2),0),'Cadastro dos Padrões'!$A$2:$V$4400,BC$1,FALSE))</f>
        <v>-</v>
      </c>
      <c r="BD82" s="31" t="str">
        <f>IF(VLOOKUP(ROUND(CONCATENATE($A82,BD$2),0),'Cadastro dos Padrões'!$A$2:$V$4400,BD$1,FALSE)="","-",VLOOKUP(ROUND(CONCATENATE($A82,BD$2),0),'Cadastro dos Padrões'!$A$2:$V$4400,BD$1,FALSE))</f>
        <v>-</v>
      </c>
      <c r="BE82" s="31" t="str">
        <f>IF(VLOOKUP(ROUND(CONCATENATE($A82,BE$2),0),'Cadastro dos Padrões'!$A$2:$V$4400,BE$1,FALSE)="","-",VLOOKUP(ROUND(CONCATENATE($A82,BE$2),0),'Cadastro dos Padrões'!$A$2:$V$4400,BE$1,FALSE))</f>
        <v>-</v>
      </c>
      <c r="BF82" s="31" t="str">
        <f>IF(VLOOKUP(ROUND(CONCATENATE($A82,BF$2),0),'Cadastro dos Padrões'!$A$2:$V$4400,BF$1,FALSE)="","-",VLOOKUP(ROUND(CONCATENATE($A82,BF$2),0),'Cadastro dos Padrões'!$A$2:$V$4400,BF$1,FALSE))</f>
        <v>-</v>
      </c>
      <c r="BG82" s="31" t="str">
        <f>IF(VLOOKUP(ROUND(CONCATENATE($A82,BG$2),0),'Cadastro dos Padrões'!$A$2:$V$4400,BG$1,FALSE)="","-",VLOOKUP(ROUND(CONCATENATE($A82,BG$2),0),'Cadastro dos Padrões'!$A$2:$V$4400,BG$1,FALSE))</f>
        <v>-</v>
      </c>
      <c r="BH82" s="31" t="str">
        <f>IF(VLOOKUP(ROUND(CONCATENATE($A82,BH$2),0),'Cadastro dos Padrões'!$A$2:$V$4400,BH$1,FALSE)="","-",VLOOKUP(ROUND(CONCATENATE($A82,BH$2),0),'Cadastro dos Padrões'!$A$2:$V$4400,BH$1,FALSE))</f>
        <v>-</v>
      </c>
      <c r="BI82" s="31" t="str">
        <f>IF(VLOOKUP(ROUND(CONCATENATE($A82,BI$2),0),'Cadastro dos Padrões'!$A$2:$V$4400,BI$1,FALSE)="","-",VLOOKUP(ROUND(CONCATENATE($A82,BI$2),0),'Cadastro dos Padrões'!$A$2:$V$4400,BI$1,FALSE))</f>
        <v>-</v>
      </c>
      <c r="BJ82" s="31" t="str">
        <f>IF(VLOOKUP(ROUND(CONCATENATE($A82,BJ$2),0),'Cadastro dos Padrões'!$A$2:$V$4400,BJ$1,FALSE)="","-",VLOOKUP(ROUND(CONCATENATE($A82,BJ$2),0),'Cadastro dos Padrões'!$A$2:$V$4400,BJ$1,FALSE))</f>
        <v>-</v>
      </c>
      <c r="BK82" s="31" t="str">
        <f>IF(VLOOKUP(ROUND(CONCATENATE($A82,BK$2),0),'Cadastro dos Padrões'!$A$2:$V$4400,BK$1,FALSE)="","-",VLOOKUP(ROUND(CONCATENATE($A82,BK$2),0),'Cadastro dos Padrões'!$A$2:$V$4400,BK$1,FALSE))</f>
        <v>-</v>
      </c>
      <c r="BL82" s="31" t="str">
        <f>IF(VLOOKUP(ROUND(CONCATENATE($A82,BL$2),0),'Cadastro dos Padrões'!$A$2:$V$4400,BL$1,FALSE)="","-",VLOOKUP(ROUND(CONCATENATE($A82,BL$2),0),'Cadastro dos Padrões'!$A$2:$V$4400,BL$1,FALSE))</f>
        <v>-</v>
      </c>
      <c r="BM82" s="31" t="str">
        <f>IF(VLOOKUP(ROUND(CONCATENATE($A82,BM$2),0),'Cadastro dos Padrões'!$A$2:$V$4400,BM$1,FALSE)="","-",VLOOKUP(ROUND(CONCATENATE($A82,BM$2),0),'Cadastro dos Padrões'!$A$2:$V$4400,BM$1,FALSE))</f>
        <v>-</v>
      </c>
      <c r="BN82" s="31" t="str">
        <f>IF(VLOOKUP(ROUND(CONCATENATE($A82,BN$2),0),'Cadastro dos Padrões'!$A$2:$V$4400,BN$1,FALSE)="","-",VLOOKUP(ROUND(CONCATENATE($A82,BN$2),0),'Cadastro dos Padrões'!$A$2:$V$4400,BN$1,FALSE))</f>
        <v>-</v>
      </c>
      <c r="BO82" s="31" t="str">
        <f>IF(VLOOKUP(ROUND(CONCATENATE($A82,BO$2),0),'Cadastro dos Padrões'!$A$2:$V$4400,BO$1,FALSE)="","-",VLOOKUP(ROUND(CONCATENATE($A82,BO$2),0),'Cadastro dos Padrões'!$A$2:$V$4400,BO$1,FALSE))</f>
        <v>-</v>
      </c>
    </row>
    <row r="83" spans="1:67" x14ac:dyDescent="0.3">
      <c r="A83" s="6">
        <f t="shared" si="52"/>
        <v>78</v>
      </c>
      <c r="B83" s="31" t="str">
        <f>IF(VLOOKUP(ROUND(CONCATENATE($A83,B$2),0),'Cadastro dos Padrões'!$A$2:$V$4400,B$1,FALSE)="","-",VLOOKUP(ROUND(CONCATENATE($A83,B$2),0),'Cadastro dos Padrões'!$A$2:$V$4400,B$1,FALSE))</f>
        <v>M.TH.FS-006</v>
      </c>
      <c r="C83" s="31" t="str">
        <f>IF($B83="-","-",VLOOKUP(ROUND(CONCATENATE($A83,C$2),0),'Cadastro dos Padrões'!$A$2:$V$4400,C$1,FALSE))</f>
        <v>Termohigrômetro Digital</v>
      </c>
      <c r="D83" s="31">
        <f>IF($B83="-","-",VLOOKUP(ROUND(CONCATENATE($A83,D$2),0),'Cadastro dos Padrões'!$A$2:$V$4400,D$1,FALSE))</f>
        <v>20</v>
      </c>
      <c r="E83" s="31" t="str">
        <f>IF($B83="-","-",VLOOKUP(ROUND(CONCATENATE($A83,E$2),0),'Cadastro dos Padrões'!$A$2:$V$4400,E$1,FALSE))</f>
        <v>Elus</v>
      </c>
      <c r="F83" s="31" t="str">
        <f>IF($B83="-","-",VLOOKUP(ROUND(CONCATENATE($A83,F$2),0),'Cadastro dos Padrões'!$A$2:$V$4400,F$1,FALSE))</f>
        <v>RBC - CAL 0439</v>
      </c>
      <c r="G83" s="31" t="str">
        <f>IF($B83="-","-",VLOOKUP(ROUND(CONCATENATE($A83,G$2),0),'Cadastro dos Padrões'!$A$2:$V$4400,G$1,FALSE))</f>
        <v>E0312/24</v>
      </c>
      <c r="H83" s="32">
        <f>IF($B83="-","-",VLOOKUP(ROUND(CONCATENATE($A83,H$2),0),'Cadastro dos Padrões'!$A$2:$V$4400,H$1,FALSE))</f>
        <v>45520</v>
      </c>
      <c r="I83" s="33">
        <f>IF($B83="-","-",VLOOKUP(ROUND(CONCATENATE($A83,I$2),0),'Cadastro dos Padrões'!$A$2:$V$4400,I$1,FALSE))</f>
        <v>45899</v>
      </c>
      <c r="J83" s="31" t="str">
        <f>IF($B83="-","-",VLOOKUP(ROUND(CONCATENATE($A83,J$2),0),'Cadastro dos Padrões'!$A$2:$V$4400,J$1,FALSE))</f>
        <v>%ur</v>
      </c>
      <c r="K83" s="31">
        <f>IF($B83="-","-",VLOOKUP(ROUND(CONCATENATE($A83,K$2),0),'Cadastro dos Padrões'!$A$2:$V$4400,K$1,FALSE))</f>
        <v>30</v>
      </c>
      <c r="L83" s="31">
        <f>IF($B83="-","-",VLOOKUP(ROUND(CONCATENATE($A83,L$2),0),'Cadastro dos Padrões'!$A$2:$V$4400,L$1,FALSE))</f>
        <v>90</v>
      </c>
      <c r="M83" s="31">
        <f>IF($B83="-","-",VLOOKUP(ROUND(CONCATENATE($A83,M$2),0),'Cadastro dos Padrões'!$A$2:$V$4400,M$1,FALSE))</f>
        <v>1</v>
      </c>
      <c r="N83" s="31">
        <f>IF($B83="-","-",VLOOKUP(ROUND(CONCATENATE($A83,N$2),0),'Cadastro dos Padrões'!$A$2:$V$4400,N$1,FALSE))</f>
        <v>3</v>
      </c>
      <c r="O83" s="31">
        <f>IF($B83="-","-",VLOOKUP(ROUND(CONCATENATE($A83,O$2),0),'Cadastro dos Padrões'!$A$2:$V$4400,O$1,FALSE))</f>
        <v>2</v>
      </c>
      <c r="P83" s="31">
        <f>IF($B83="-","-",VLOOKUP(ROUND(CONCATENATE($A83,P$2),0),'Cadastro dos Padrões'!$A$2:$V$4400,P$1,FALSE))</f>
        <v>3</v>
      </c>
      <c r="Q83" s="31">
        <f>IF($B83="-","-",VLOOKUP(ROUND(CONCATENATE($A83,Q$2),0),'Cadastro dos Padrões'!$A$2:$V$4400,Q$1,FALSE))</f>
        <v>0.60884457512586243</v>
      </c>
      <c r="R83" s="31">
        <f>IF($B83="-","-",VLOOKUP(ROUND(CONCATENATE($A83,R$2),0),'Cadastro dos Padrões'!$A$2:$V$4400,R$1,FALSE))</f>
        <v>2</v>
      </c>
      <c r="S83" s="31">
        <f>IF($B83="-","-",VLOOKUP(ROUND(CONCATENATE($A83,S$2),0),'Cadastro dos Padrões'!$A$2:$V$4400,S$1,FALSE))</f>
        <v>0</v>
      </c>
      <c r="T83" s="31">
        <f>IF($B83="-","-",VLOOKUP(ROUND(CONCATENATE($A83,T$2),0),'Cadastro dos Padrões'!$A$2:$V$4400,T$1,FALSE))</f>
        <v>0</v>
      </c>
      <c r="U83" s="31">
        <f>IF($B83="-","-",VLOOKUP(ROUND(CONCATENATE($A83,U$2),0),'Cadastro dos Padrões'!$A$2:$V$4400,U$1,FALSE))</f>
        <v>0</v>
      </c>
      <c r="V83" s="31">
        <f>IF($B83="-","-",VLOOKUP(ROUND(CONCATENATE($A83,V$2),0),'Cadastro dos Padrões'!$A$2:$V$4400,V$1,FALSE))</f>
        <v>0</v>
      </c>
      <c r="W83" s="31">
        <f>IF($B83="-","-",VLOOKUP(ROUND(CONCATENATE($A83,W$2),0),'Cadastro dos Padrões'!$A$2:$V$4400,W$1,FALSE))</f>
        <v>0</v>
      </c>
      <c r="X83" s="31">
        <f>IF($B83="-","-",VLOOKUP(ROUND(CONCATENATE($A83,X$2),0),'Cadastro dos Padrões'!$A$2:$V$4400,X$1,FALSE))</f>
        <v>0</v>
      </c>
      <c r="Y83" s="31">
        <f>IF($B83="-","-",VLOOKUP(ROUND(CONCATENATE($A83,Y$2),0),'Cadastro dos Padrões'!$A$2:$V$4400,Y$1,FALSE))</f>
        <v>-2.7343363143841285E-3</v>
      </c>
      <c r="Z83" s="31">
        <f>IF($B83="-","-",VLOOKUP(ROUND(CONCATENATE($A83,Z$2),0),'Cadastro dos Padrões'!$A$2:$V$4400,Z$1,FALSE))</f>
        <v>1.3686668984639578</v>
      </c>
      <c r="AA83" s="31">
        <f>IF($B83="-","-",VLOOKUP(ROUND(CONCATENATE($A83,AA$2),0),'Cadastro dos Padrões'!$A$2:$V$4400,AA$1,FALSE))</f>
        <v>-12.024975808245973</v>
      </c>
      <c r="AB83" s="31">
        <f>IF(VLOOKUP(ROUND(CONCATENATE($A83,AB$2),0),'Cadastro dos Padrões'!$A$2:$V$4400,AB$1,FALSE)="","-",VLOOKUP(ROUND(CONCATENATE($A83,AB$2),0),'Cadastro dos Padrões'!$A$2:$V$4400,AB$1,FALSE))</f>
        <v>30</v>
      </c>
      <c r="AC83" s="31">
        <f>IF(VLOOKUP(ROUND(CONCATENATE($A83,AC$2),0),'Cadastro dos Padrões'!$A$2:$V$4400,AC$1,FALSE)="","-",VLOOKUP(ROUND(CONCATENATE($A83,AC$2),0),'Cadastro dos Padrões'!$A$2:$V$4400,AC$1,FALSE))</f>
        <v>2</v>
      </c>
      <c r="AD83" s="31">
        <f>IF(VLOOKUP(ROUND(CONCATENATE($A83,AD$2),0),'Cadastro dos Padrões'!$A$2:$V$4400,AD$1,FALSE)="","-",VLOOKUP(ROUND(CONCATENATE($A83,AD$2),0),'Cadastro dos Padrões'!$A$2:$V$4400,AD$1,FALSE))</f>
        <v>2</v>
      </c>
      <c r="AE83" s="31">
        <f>IF(VLOOKUP(ROUND(CONCATENATE($A83,AE$2),0),'Cadastro dos Padrões'!$A$2:$V$4400,AE$1,FALSE)="","-",VLOOKUP(ROUND(CONCATENATE($A83,AE$2),0),'Cadastro dos Padrões'!$A$2:$V$4400,AE$1,FALSE))</f>
        <v>1000000</v>
      </c>
      <c r="AF83" s="31">
        <f>IF(VLOOKUP(ROUND(CONCATENATE($A83,AF$2),0),'Cadastro dos Padrões'!$A$2:$V$4400,AF$1,FALSE)="","-",VLOOKUP(ROUND(CONCATENATE($A83,AF$2),0),'Cadastro dos Padrões'!$A$2:$V$4400,AF$1,FALSE))</f>
        <v>50</v>
      </c>
      <c r="AG83" s="31">
        <f>IF(VLOOKUP(ROUND(CONCATENATE($A83,AG$2),0),'Cadastro dos Padrões'!$A$2:$V$4400,AG$1,FALSE)="","-",VLOOKUP(ROUND(CONCATENATE($A83,AG$2),0),'Cadastro dos Padrões'!$A$2:$V$4400,AG$1,FALSE))</f>
        <v>2</v>
      </c>
      <c r="AH83" s="31">
        <f>IF(VLOOKUP(ROUND(CONCATENATE($A83,AH$2),0),'Cadastro dos Padrões'!$A$2:$V$4400,AH$1,FALSE)="","-",VLOOKUP(ROUND(CONCATENATE($A83,AH$2),0),'Cadastro dos Padrões'!$A$2:$V$4400,AH$1,FALSE))</f>
        <v>2</v>
      </c>
      <c r="AI83" s="31">
        <f>IF(VLOOKUP(ROUND(CONCATENATE($A83,AI$2),0),'Cadastro dos Padrões'!$A$2:$V$4400,AI$1,FALSE)="","-",VLOOKUP(ROUND(CONCATENATE($A83,AI$2),0),'Cadastro dos Padrões'!$A$2:$V$4400,AI$1,FALSE))</f>
        <v>1000000</v>
      </c>
      <c r="AJ83" s="31">
        <f>IF(VLOOKUP(ROUND(CONCATENATE($A83,AJ$2),0),'Cadastro dos Padrões'!$A$2:$V$4400,AJ$1,FALSE)="","-",VLOOKUP(ROUND(CONCATENATE($A83,AJ$2),0),'Cadastro dos Padrões'!$A$2:$V$4400,AJ$1,FALSE))</f>
        <v>70</v>
      </c>
      <c r="AK83" s="31">
        <f>IF(VLOOKUP(ROUND(CONCATENATE($A83,AK$2),0),'Cadastro dos Padrões'!$A$2:$V$4400,AK$1,FALSE)="","-",VLOOKUP(ROUND(CONCATENATE($A83,AK$2),0),'Cadastro dos Padrões'!$A$2:$V$4400,AK$1,FALSE))</f>
        <v>2</v>
      </c>
      <c r="AL83" s="31">
        <f>IF(VLOOKUP(ROUND(CONCATENATE($A83,AL$2),0),'Cadastro dos Padrões'!$A$2:$V$4400,AL$1,FALSE)="","-",VLOOKUP(ROUND(CONCATENATE($A83,AL$2),0),'Cadastro dos Padrões'!$A$2:$V$4400,AL$1,FALSE))</f>
        <v>2</v>
      </c>
      <c r="AM83" s="31">
        <f>IF(VLOOKUP(ROUND(CONCATENATE($A83,AM$2),0),'Cadastro dos Padrões'!$A$2:$V$4400,AM$1,FALSE)="","-",VLOOKUP(ROUND(CONCATENATE($A83,AM$2),0),'Cadastro dos Padrões'!$A$2:$V$4400,AM$1,FALSE))</f>
        <v>1000000</v>
      </c>
      <c r="AN83" s="31">
        <f>IF(VLOOKUP(ROUND(CONCATENATE($A83,AN$2),0),'Cadastro dos Padrões'!$A$2:$V$4400,AN$1,FALSE)="","-",VLOOKUP(ROUND(CONCATENATE($A83,AN$2),0),'Cadastro dos Padrões'!$A$2:$V$4400,AN$1,FALSE))</f>
        <v>90</v>
      </c>
      <c r="AO83" s="31">
        <f>IF(VLOOKUP(ROUND(CONCATENATE($A83,AO$2),0),'Cadastro dos Padrões'!$A$2:$V$4400,AO$1,FALSE)="","-",VLOOKUP(ROUND(CONCATENATE($A83,AO$2),0),'Cadastro dos Padrões'!$A$2:$V$4400,AO$1,FALSE))</f>
        <v>2</v>
      </c>
      <c r="AP83" s="31">
        <f>IF(VLOOKUP(ROUND(CONCATENATE($A83,AP$2),0),'Cadastro dos Padrões'!$A$2:$V$4400,AP$1,FALSE)="","-",VLOOKUP(ROUND(CONCATENATE($A83,AP$2),0),'Cadastro dos Padrões'!$A$2:$V$4400,AP$1,FALSE))</f>
        <v>2</v>
      </c>
      <c r="AQ83" s="31">
        <f>IF(VLOOKUP(ROUND(CONCATENATE($A83,AQ$2),0),'Cadastro dos Padrões'!$A$2:$V$4400,AQ$1,FALSE)="","-",VLOOKUP(ROUND(CONCATENATE($A83,AQ$2),0),'Cadastro dos Padrões'!$A$2:$V$4400,AQ$1,FALSE))</f>
        <v>1000000</v>
      </c>
      <c r="AR83" s="31" t="str">
        <f>IF(VLOOKUP(ROUND(CONCATENATE($A83,AR$2),0),'Cadastro dos Padrões'!$A$2:$V$4400,AR$1,FALSE)="","-",VLOOKUP(ROUND(CONCATENATE($A83,AR$2),0),'Cadastro dos Padrões'!$A$2:$V$4400,AR$1,FALSE))</f>
        <v>-</v>
      </c>
      <c r="AS83" s="31" t="str">
        <f>IF(VLOOKUP(ROUND(CONCATENATE($A83,AS$2),0),'Cadastro dos Padrões'!$A$2:$V$4400,AS$1,FALSE)="","-",VLOOKUP(ROUND(CONCATENATE($A83,AS$2),0),'Cadastro dos Padrões'!$A$2:$V$4400,AS$1,FALSE))</f>
        <v>-</v>
      </c>
      <c r="AT83" s="31" t="str">
        <f>IF(VLOOKUP(ROUND(CONCATENATE($A83,AT$2),0),'Cadastro dos Padrões'!$A$2:$V$4400,AT$1,FALSE)="","-",VLOOKUP(ROUND(CONCATENATE($A83,AT$2),0),'Cadastro dos Padrões'!$A$2:$V$4400,AT$1,FALSE))</f>
        <v>-</v>
      </c>
      <c r="AU83" s="31" t="str">
        <f>IF(VLOOKUP(ROUND(CONCATENATE($A83,AU$2),0),'Cadastro dos Padrões'!$A$2:$V$4400,AU$1,FALSE)="","-",VLOOKUP(ROUND(CONCATENATE($A83,AU$2),0),'Cadastro dos Padrões'!$A$2:$V$4400,AU$1,FALSE))</f>
        <v>-</v>
      </c>
      <c r="AV83" s="31" t="str">
        <f>IF(VLOOKUP(ROUND(CONCATENATE($A83,AV$2),0),'Cadastro dos Padrões'!$A$2:$V$4400,AV$1,FALSE)="","-",VLOOKUP(ROUND(CONCATENATE($A83,AV$2),0),'Cadastro dos Padrões'!$A$2:$V$4400,AV$1,FALSE))</f>
        <v>-</v>
      </c>
      <c r="AW83" s="31" t="str">
        <f>IF(VLOOKUP(ROUND(CONCATENATE($A83,AW$2),0),'Cadastro dos Padrões'!$A$2:$V$4400,AW$1,FALSE)="","-",VLOOKUP(ROUND(CONCATENATE($A83,AW$2),0),'Cadastro dos Padrões'!$A$2:$V$4400,AW$1,FALSE))</f>
        <v>-</v>
      </c>
      <c r="AX83" s="31" t="str">
        <f>IF(VLOOKUP(ROUND(CONCATENATE($A83,AX$2),0),'Cadastro dos Padrões'!$A$2:$V$4400,AX$1,FALSE)="","-",VLOOKUP(ROUND(CONCATENATE($A83,AX$2),0),'Cadastro dos Padrões'!$A$2:$V$4400,AX$1,FALSE))</f>
        <v>-</v>
      </c>
      <c r="AY83" s="31" t="str">
        <f>IF(VLOOKUP(ROUND(CONCATENATE($A83,AY$2),0),'Cadastro dos Padrões'!$A$2:$V$4400,AY$1,FALSE)="","-",VLOOKUP(ROUND(CONCATENATE($A83,AY$2),0),'Cadastro dos Padrões'!$A$2:$V$4400,AY$1,FALSE))</f>
        <v>-</v>
      </c>
      <c r="AZ83" s="31" t="str">
        <f>IF(VLOOKUP(ROUND(CONCATENATE($A83,AZ$2),0),'Cadastro dos Padrões'!$A$2:$V$4400,AZ$1,FALSE)="","-",VLOOKUP(ROUND(CONCATENATE($A83,AZ$2),0),'Cadastro dos Padrões'!$A$2:$V$4400,AZ$1,FALSE))</f>
        <v>-</v>
      </c>
      <c r="BA83" s="31" t="str">
        <f>IF(VLOOKUP(ROUND(CONCATENATE($A83,BA$2),0),'Cadastro dos Padrões'!$A$2:$V$4400,BA$1,FALSE)="","-",VLOOKUP(ROUND(CONCATENATE($A83,BA$2),0),'Cadastro dos Padrões'!$A$2:$V$4400,BA$1,FALSE))</f>
        <v>-</v>
      </c>
      <c r="BB83" s="31" t="str">
        <f>IF(VLOOKUP(ROUND(CONCATENATE($A83,BB$2),0),'Cadastro dos Padrões'!$A$2:$V$4400,BB$1,FALSE)="","-",VLOOKUP(ROUND(CONCATENATE($A83,BB$2),0),'Cadastro dos Padrões'!$A$2:$V$4400,BB$1,FALSE))</f>
        <v>-</v>
      </c>
      <c r="BC83" s="31" t="str">
        <f>IF(VLOOKUP(ROUND(CONCATENATE($A83,BC$2),0),'Cadastro dos Padrões'!$A$2:$V$4400,BC$1,FALSE)="","-",VLOOKUP(ROUND(CONCATENATE($A83,BC$2),0),'Cadastro dos Padrões'!$A$2:$V$4400,BC$1,FALSE))</f>
        <v>-</v>
      </c>
      <c r="BD83" s="31" t="str">
        <f>IF(VLOOKUP(ROUND(CONCATENATE($A83,BD$2),0),'Cadastro dos Padrões'!$A$2:$V$4400,BD$1,FALSE)="","-",VLOOKUP(ROUND(CONCATENATE($A83,BD$2),0),'Cadastro dos Padrões'!$A$2:$V$4400,BD$1,FALSE))</f>
        <v>-</v>
      </c>
      <c r="BE83" s="31" t="str">
        <f>IF(VLOOKUP(ROUND(CONCATENATE($A83,BE$2),0),'Cadastro dos Padrões'!$A$2:$V$4400,BE$1,FALSE)="","-",VLOOKUP(ROUND(CONCATENATE($A83,BE$2),0),'Cadastro dos Padrões'!$A$2:$V$4400,BE$1,FALSE))</f>
        <v>-</v>
      </c>
      <c r="BF83" s="31" t="str">
        <f>IF(VLOOKUP(ROUND(CONCATENATE($A83,BF$2),0),'Cadastro dos Padrões'!$A$2:$V$4400,BF$1,FALSE)="","-",VLOOKUP(ROUND(CONCATENATE($A83,BF$2),0),'Cadastro dos Padrões'!$A$2:$V$4400,BF$1,FALSE))</f>
        <v>-</v>
      </c>
      <c r="BG83" s="31" t="str">
        <f>IF(VLOOKUP(ROUND(CONCATENATE($A83,BG$2),0),'Cadastro dos Padrões'!$A$2:$V$4400,BG$1,FALSE)="","-",VLOOKUP(ROUND(CONCATENATE($A83,BG$2),0),'Cadastro dos Padrões'!$A$2:$V$4400,BG$1,FALSE))</f>
        <v>-</v>
      </c>
      <c r="BH83" s="31" t="str">
        <f>IF(VLOOKUP(ROUND(CONCATENATE($A83,BH$2),0),'Cadastro dos Padrões'!$A$2:$V$4400,BH$1,FALSE)="","-",VLOOKUP(ROUND(CONCATENATE($A83,BH$2),0),'Cadastro dos Padrões'!$A$2:$V$4400,BH$1,FALSE))</f>
        <v>-</v>
      </c>
      <c r="BI83" s="31" t="str">
        <f>IF(VLOOKUP(ROUND(CONCATENATE($A83,BI$2),0),'Cadastro dos Padrões'!$A$2:$V$4400,BI$1,FALSE)="","-",VLOOKUP(ROUND(CONCATENATE($A83,BI$2),0),'Cadastro dos Padrões'!$A$2:$V$4400,BI$1,FALSE))</f>
        <v>-</v>
      </c>
      <c r="BJ83" s="31" t="str">
        <f>IF(VLOOKUP(ROUND(CONCATENATE($A83,BJ$2),0),'Cadastro dos Padrões'!$A$2:$V$4400,BJ$1,FALSE)="","-",VLOOKUP(ROUND(CONCATENATE($A83,BJ$2),0),'Cadastro dos Padrões'!$A$2:$V$4400,BJ$1,FALSE))</f>
        <v>-</v>
      </c>
      <c r="BK83" s="31" t="str">
        <f>IF(VLOOKUP(ROUND(CONCATENATE($A83,BK$2),0),'Cadastro dos Padrões'!$A$2:$V$4400,BK$1,FALSE)="","-",VLOOKUP(ROUND(CONCATENATE($A83,BK$2),0),'Cadastro dos Padrões'!$A$2:$V$4400,BK$1,FALSE))</f>
        <v>-</v>
      </c>
      <c r="BL83" s="31" t="str">
        <f>IF(VLOOKUP(ROUND(CONCATENATE($A83,BL$2),0),'Cadastro dos Padrões'!$A$2:$V$4400,BL$1,FALSE)="","-",VLOOKUP(ROUND(CONCATENATE($A83,BL$2),0),'Cadastro dos Padrões'!$A$2:$V$4400,BL$1,FALSE))</f>
        <v>-</v>
      </c>
      <c r="BM83" s="31" t="str">
        <f>IF(VLOOKUP(ROUND(CONCATENATE($A83,BM$2),0),'Cadastro dos Padrões'!$A$2:$V$4400,BM$1,FALSE)="","-",VLOOKUP(ROUND(CONCATENATE($A83,BM$2),0),'Cadastro dos Padrões'!$A$2:$V$4400,BM$1,FALSE))</f>
        <v>-</v>
      </c>
      <c r="BN83" s="31" t="str">
        <f>IF(VLOOKUP(ROUND(CONCATENATE($A83,BN$2),0),'Cadastro dos Padrões'!$A$2:$V$4400,BN$1,FALSE)="","-",VLOOKUP(ROUND(CONCATENATE($A83,BN$2),0),'Cadastro dos Padrões'!$A$2:$V$4400,BN$1,FALSE))</f>
        <v>-</v>
      </c>
      <c r="BO83" s="31" t="str">
        <f>IF(VLOOKUP(ROUND(CONCATENATE($A83,BO$2),0),'Cadastro dos Padrões'!$A$2:$V$4400,BO$1,FALSE)="","-",VLOOKUP(ROUND(CONCATENATE($A83,BO$2),0),'Cadastro dos Padrões'!$A$2:$V$4400,BO$1,FALSE))</f>
        <v>-</v>
      </c>
    </row>
    <row r="84" spans="1:67" x14ac:dyDescent="0.3">
      <c r="A84" s="6">
        <f t="shared" si="52"/>
        <v>79</v>
      </c>
      <c r="B84" s="31" t="str">
        <f>IF(VLOOKUP(ROUND(CONCATENATE($A84,B$2),0),'Cadastro dos Padrões'!$A$2:$V$4400,B$1,FALSE)="","-",VLOOKUP(ROUND(CONCATENATE($A84,B$2),0),'Cadastro dos Padrões'!$A$2:$V$4400,B$1,FALSE))</f>
        <v>M.TH.FS-007</v>
      </c>
      <c r="C84" s="31" t="str">
        <f>IF($B84="-","-",VLOOKUP(ROUND(CONCATENATE($A84,C$2),0),'Cadastro dos Padrões'!$A$2:$V$4400,C$1,FALSE))</f>
        <v>Termohigrômetro Digital</v>
      </c>
      <c r="D84" s="31">
        <f>IF($B84="-","-",VLOOKUP(ROUND(CONCATENATE($A84,D$2),0),'Cadastro dos Padrões'!$A$2:$V$4400,D$1,FALSE))</f>
        <v>20</v>
      </c>
      <c r="E84" s="31" t="str">
        <f>IF($B84="-","-",VLOOKUP(ROUND(CONCATENATE($A84,E$2),0),'Cadastro dos Padrões'!$A$2:$V$4400,E$1,FALSE))</f>
        <v>Elus</v>
      </c>
      <c r="F84" s="31" t="str">
        <f>IF($B84="-","-",VLOOKUP(ROUND(CONCATENATE($A84,F$2),0),'Cadastro dos Padrões'!$A$2:$V$4400,F$1,FALSE))</f>
        <v>RBC - CAL 0439</v>
      </c>
      <c r="G84" s="31" t="str">
        <f>IF($B84="-","-",VLOOKUP(ROUND(CONCATENATE($A84,G$2),0),'Cadastro dos Padrões'!$A$2:$V$4400,G$1,FALSE))</f>
        <v>E0313/24</v>
      </c>
      <c r="H84" s="32">
        <f>IF($B84="-","-",VLOOKUP(ROUND(CONCATENATE($A84,H$2),0),'Cadastro dos Padrões'!$A$2:$V$4400,H$1,FALSE))</f>
        <v>45520</v>
      </c>
      <c r="I84" s="33">
        <f>IF($B84="-","-",VLOOKUP(ROUND(CONCATENATE($A84,I$2),0),'Cadastro dos Padrões'!$A$2:$V$4400,I$1,FALSE))</f>
        <v>45899</v>
      </c>
      <c r="J84" s="31" t="str">
        <f>IF($B84="-","-",VLOOKUP(ROUND(CONCATENATE($A84,J$2),0),'Cadastro dos Padrões'!$A$2:$V$4400,J$1,FALSE))</f>
        <v>%ur</v>
      </c>
      <c r="K84" s="31">
        <f>IF($B84="-","-",VLOOKUP(ROUND(CONCATENATE($A84,K$2),0),'Cadastro dos Padrões'!$A$2:$V$4400,K$1,FALSE))</f>
        <v>30</v>
      </c>
      <c r="L84" s="31">
        <f>IF($B84="-","-",VLOOKUP(ROUND(CONCATENATE($A84,L$2),0),'Cadastro dos Padrões'!$A$2:$V$4400,L$1,FALSE))</f>
        <v>90</v>
      </c>
      <c r="M84" s="31">
        <f>IF($B84="-","-",VLOOKUP(ROUND(CONCATENATE($A84,M$2),0),'Cadastro dos Padrões'!$A$2:$V$4400,M$1,FALSE))</f>
        <v>1</v>
      </c>
      <c r="N84" s="31">
        <f>IF($B84="-","-",VLOOKUP(ROUND(CONCATENATE($A84,N$2),0),'Cadastro dos Padrões'!$A$2:$V$4400,N$1,FALSE))</f>
        <v>3</v>
      </c>
      <c r="O84" s="31">
        <f>IF($B84="-","-",VLOOKUP(ROUND(CONCATENATE($A84,O$2),0),'Cadastro dos Padrões'!$A$2:$V$4400,O$1,FALSE))</f>
        <v>2</v>
      </c>
      <c r="P84" s="31">
        <f>IF($B84="-","-",VLOOKUP(ROUND(CONCATENATE($A84,P$2),0),'Cadastro dos Padrões'!$A$2:$V$4400,P$1,FALSE))</f>
        <v>3</v>
      </c>
      <c r="Q84" s="31">
        <f>IF($B84="-","-",VLOOKUP(ROUND(CONCATENATE($A84,Q$2),0),'Cadastro dos Padrões'!$A$2:$V$4400,Q$1,FALSE))</f>
        <v>0.94499697032162855</v>
      </c>
      <c r="R84" s="31">
        <f>IF($B84="-","-",VLOOKUP(ROUND(CONCATENATE($A84,R$2),0),'Cadastro dos Padrões'!$A$2:$V$4400,R$1,FALSE))</f>
        <v>2</v>
      </c>
      <c r="S84" s="31">
        <f>IF($B84="-","-",VLOOKUP(ROUND(CONCATENATE($A84,S$2),0),'Cadastro dos Padrões'!$A$2:$V$4400,S$1,FALSE))</f>
        <v>0</v>
      </c>
      <c r="T84" s="31">
        <f>IF($B84="-","-",VLOOKUP(ROUND(CONCATENATE($A84,T$2),0),'Cadastro dos Padrões'!$A$2:$V$4400,T$1,FALSE))</f>
        <v>0</v>
      </c>
      <c r="U84" s="31">
        <f>IF($B84="-","-",VLOOKUP(ROUND(CONCATENATE($A84,U$2),0),'Cadastro dos Padrões'!$A$2:$V$4400,U$1,FALSE))</f>
        <v>0</v>
      </c>
      <c r="V84" s="31">
        <f>IF($B84="-","-",VLOOKUP(ROUND(CONCATENATE($A84,V$2),0),'Cadastro dos Padrões'!$A$2:$V$4400,V$1,FALSE))</f>
        <v>0</v>
      </c>
      <c r="W84" s="31">
        <f>IF($B84="-","-",VLOOKUP(ROUND(CONCATENATE($A84,W$2),0),'Cadastro dos Padrões'!$A$2:$V$4400,W$1,FALSE))</f>
        <v>0</v>
      </c>
      <c r="X84" s="31">
        <f>IF($B84="-","-",VLOOKUP(ROUND(CONCATENATE($A84,X$2),0),'Cadastro dos Padrões'!$A$2:$V$4400,X$1,FALSE))</f>
        <v>0</v>
      </c>
      <c r="Y84" s="31">
        <f>IF($B84="-","-",VLOOKUP(ROUND(CONCATENATE($A84,Y$2),0),'Cadastro dos Padrões'!$A$2:$V$4400,Y$1,FALSE))</f>
        <v>-3.5739557593718902E-3</v>
      </c>
      <c r="Z84" s="31">
        <f>IF($B84="-","-",VLOOKUP(ROUND(CONCATENATE($A84,Z$2),0),'Cadastro dos Padrões'!$A$2:$V$4400,Z$1,FALSE))</f>
        <v>1.484378246866989</v>
      </c>
      <c r="AA84" s="31">
        <f>IF($B84="-","-",VLOOKUP(ROUND(CONCATENATE($A84,AA$2),0),'Cadastro dos Padrões'!$A$2:$V$4400,AA$1,FALSE))</f>
        <v>-14.824351718363646</v>
      </c>
      <c r="AB84" s="31">
        <f>IF(VLOOKUP(ROUND(CONCATENATE($A84,AB$2),0),'Cadastro dos Padrões'!$A$2:$V$4400,AB$1,FALSE)="","-",VLOOKUP(ROUND(CONCATENATE($A84,AB$2),0),'Cadastro dos Padrões'!$A$2:$V$4400,AB$1,FALSE))</f>
        <v>30</v>
      </c>
      <c r="AC84" s="31">
        <f>IF(VLOOKUP(ROUND(CONCATENATE($A84,AC$2),0),'Cadastro dos Padrões'!$A$2:$V$4400,AC$1,FALSE)="","-",VLOOKUP(ROUND(CONCATENATE($A84,AC$2),0),'Cadastro dos Padrões'!$A$2:$V$4400,AC$1,FALSE))</f>
        <v>2</v>
      </c>
      <c r="AD84" s="31">
        <f>IF(VLOOKUP(ROUND(CONCATENATE($A84,AD$2),0),'Cadastro dos Padrões'!$A$2:$V$4400,AD$1,FALSE)="","-",VLOOKUP(ROUND(CONCATENATE($A84,AD$2),0),'Cadastro dos Padrões'!$A$2:$V$4400,AD$1,FALSE))</f>
        <v>2</v>
      </c>
      <c r="AE84" s="31">
        <f>IF(VLOOKUP(ROUND(CONCATENATE($A84,AE$2),0),'Cadastro dos Padrões'!$A$2:$V$4400,AE$1,FALSE)="","-",VLOOKUP(ROUND(CONCATENATE($A84,AE$2),0),'Cadastro dos Padrões'!$A$2:$V$4400,AE$1,FALSE))</f>
        <v>1000000</v>
      </c>
      <c r="AF84" s="31">
        <f>IF(VLOOKUP(ROUND(CONCATENATE($A84,AF$2),0),'Cadastro dos Padrões'!$A$2:$V$4400,AF$1,FALSE)="","-",VLOOKUP(ROUND(CONCATENATE($A84,AF$2),0),'Cadastro dos Padrões'!$A$2:$V$4400,AF$1,FALSE))</f>
        <v>50</v>
      </c>
      <c r="AG84" s="31">
        <f>IF(VLOOKUP(ROUND(CONCATENATE($A84,AG$2),0),'Cadastro dos Padrões'!$A$2:$V$4400,AG$1,FALSE)="","-",VLOOKUP(ROUND(CONCATENATE($A84,AG$2),0),'Cadastro dos Padrões'!$A$2:$V$4400,AG$1,FALSE))</f>
        <v>2</v>
      </c>
      <c r="AH84" s="31">
        <f>IF(VLOOKUP(ROUND(CONCATENATE($A84,AH$2),0),'Cadastro dos Padrões'!$A$2:$V$4400,AH$1,FALSE)="","-",VLOOKUP(ROUND(CONCATENATE($A84,AH$2),0),'Cadastro dos Padrões'!$A$2:$V$4400,AH$1,FALSE))</f>
        <v>2</v>
      </c>
      <c r="AI84" s="31">
        <f>IF(VLOOKUP(ROUND(CONCATENATE($A84,AI$2),0),'Cadastro dos Padrões'!$A$2:$V$4400,AI$1,FALSE)="","-",VLOOKUP(ROUND(CONCATENATE($A84,AI$2),0),'Cadastro dos Padrões'!$A$2:$V$4400,AI$1,FALSE))</f>
        <v>1000000</v>
      </c>
      <c r="AJ84" s="31">
        <f>IF(VLOOKUP(ROUND(CONCATENATE($A84,AJ$2),0),'Cadastro dos Padrões'!$A$2:$V$4400,AJ$1,FALSE)="","-",VLOOKUP(ROUND(CONCATENATE($A84,AJ$2),0),'Cadastro dos Padrões'!$A$2:$V$4400,AJ$1,FALSE))</f>
        <v>70</v>
      </c>
      <c r="AK84" s="31">
        <f>IF(VLOOKUP(ROUND(CONCATENATE($A84,AK$2),0),'Cadastro dos Padrões'!$A$2:$V$4400,AK$1,FALSE)="","-",VLOOKUP(ROUND(CONCATENATE($A84,AK$2),0),'Cadastro dos Padrões'!$A$2:$V$4400,AK$1,FALSE))</f>
        <v>2</v>
      </c>
      <c r="AL84" s="31">
        <f>IF(VLOOKUP(ROUND(CONCATENATE($A84,AL$2),0),'Cadastro dos Padrões'!$A$2:$V$4400,AL$1,FALSE)="","-",VLOOKUP(ROUND(CONCATENATE($A84,AL$2),0),'Cadastro dos Padrões'!$A$2:$V$4400,AL$1,FALSE))</f>
        <v>2</v>
      </c>
      <c r="AM84" s="31">
        <f>IF(VLOOKUP(ROUND(CONCATENATE($A84,AM$2),0),'Cadastro dos Padrões'!$A$2:$V$4400,AM$1,FALSE)="","-",VLOOKUP(ROUND(CONCATENATE($A84,AM$2),0),'Cadastro dos Padrões'!$A$2:$V$4400,AM$1,FALSE))</f>
        <v>1000000</v>
      </c>
      <c r="AN84" s="31">
        <f>IF(VLOOKUP(ROUND(CONCATENATE($A84,AN$2),0),'Cadastro dos Padrões'!$A$2:$V$4400,AN$1,FALSE)="","-",VLOOKUP(ROUND(CONCATENATE($A84,AN$2),0),'Cadastro dos Padrões'!$A$2:$V$4400,AN$1,FALSE))</f>
        <v>90</v>
      </c>
      <c r="AO84" s="31">
        <f>IF(VLOOKUP(ROUND(CONCATENATE($A84,AO$2),0),'Cadastro dos Padrões'!$A$2:$V$4400,AO$1,FALSE)="","-",VLOOKUP(ROUND(CONCATENATE($A84,AO$2),0),'Cadastro dos Padrões'!$A$2:$V$4400,AO$1,FALSE))</f>
        <v>2</v>
      </c>
      <c r="AP84" s="31">
        <f>IF(VLOOKUP(ROUND(CONCATENATE($A84,AP$2),0),'Cadastro dos Padrões'!$A$2:$V$4400,AP$1,FALSE)="","-",VLOOKUP(ROUND(CONCATENATE($A84,AP$2),0),'Cadastro dos Padrões'!$A$2:$V$4400,AP$1,FALSE))</f>
        <v>2</v>
      </c>
      <c r="AQ84" s="31">
        <f>IF(VLOOKUP(ROUND(CONCATENATE($A84,AQ$2),0),'Cadastro dos Padrões'!$A$2:$V$4400,AQ$1,FALSE)="","-",VLOOKUP(ROUND(CONCATENATE($A84,AQ$2),0),'Cadastro dos Padrões'!$A$2:$V$4400,AQ$1,FALSE))</f>
        <v>1000000</v>
      </c>
      <c r="AR84" s="31" t="str">
        <f>IF(VLOOKUP(ROUND(CONCATENATE($A84,AR$2),0),'Cadastro dos Padrões'!$A$2:$V$4400,AR$1,FALSE)="","-",VLOOKUP(ROUND(CONCATENATE($A84,AR$2),0),'Cadastro dos Padrões'!$A$2:$V$4400,AR$1,FALSE))</f>
        <v>-</v>
      </c>
      <c r="AS84" s="31" t="str">
        <f>IF(VLOOKUP(ROUND(CONCATENATE($A84,AS$2),0),'Cadastro dos Padrões'!$A$2:$V$4400,AS$1,FALSE)="","-",VLOOKUP(ROUND(CONCATENATE($A84,AS$2),0),'Cadastro dos Padrões'!$A$2:$V$4400,AS$1,FALSE))</f>
        <v>-</v>
      </c>
      <c r="AT84" s="31" t="str">
        <f>IF(VLOOKUP(ROUND(CONCATENATE($A84,AT$2),0),'Cadastro dos Padrões'!$A$2:$V$4400,AT$1,FALSE)="","-",VLOOKUP(ROUND(CONCATENATE($A84,AT$2),0),'Cadastro dos Padrões'!$A$2:$V$4400,AT$1,FALSE))</f>
        <v>-</v>
      </c>
      <c r="AU84" s="31" t="str">
        <f>IF(VLOOKUP(ROUND(CONCATENATE($A84,AU$2),0),'Cadastro dos Padrões'!$A$2:$V$4400,AU$1,FALSE)="","-",VLOOKUP(ROUND(CONCATENATE($A84,AU$2),0),'Cadastro dos Padrões'!$A$2:$V$4400,AU$1,FALSE))</f>
        <v>-</v>
      </c>
      <c r="AV84" s="31" t="str">
        <f>IF(VLOOKUP(ROUND(CONCATENATE($A84,AV$2),0),'Cadastro dos Padrões'!$A$2:$V$4400,AV$1,FALSE)="","-",VLOOKUP(ROUND(CONCATENATE($A84,AV$2),0),'Cadastro dos Padrões'!$A$2:$V$4400,AV$1,FALSE))</f>
        <v>-</v>
      </c>
      <c r="AW84" s="31" t="str">
        <f>IF(VLOOKUP(ROUND(CONCATENATE($A84,AW$2),0),'Cadastro dos Padrões'!$A$2:$V$4400,AW$1,FALSE)="","-",VLOOKUP(ROUND(CONCATENATE($A84,AW$2),0),'Cadastro dos Padrões'!$A$2:$V$4400,AW$1,FALSE))</f>
        <v>-</v>
      </c>
      <c r="AX84" s="31" t="str">
        <f>IF(VLOOKUP(ROUND(CONCATENATE($A84,AX$2),0),'Cadastro dos Padrões'!$A$2:$V$4400,AX$1,FALSE)="","-",VLOOKUP(ROUND(CONCATENATE($A84,AX$2),0),'Cadastro dos Padrões'!$A$2:$V$4400,AX$1,FALSE))</f>
        <v>-</v>
      </c>
      <c r="AY84" s="31" t="str">
        <f>IF(VLOOKUP(ROUND(CONCATENATE($A84,AY$2),0),'Cadastro dos Padrões'!$A$2:$V$4400,AY$1,FALSE)="","-",VLOOKUP(ROUND(CONCATENATE($A84,AY$2),0),'Cadastro dos Padrões'!$A$2:$V$4400,AY$1,FALSE))</f>
        <v>-</v>
      </c>
      <c r="AZ84" s="31" t="str">
        <f>IF(VLOOKUP(ROUND(CONCATENATE($A84,AZ$2),0),'Cadastro dos Padrões'!$A$2:$V$4400,AZ$1,FALSE)="","-",VLOOKUP(ROUND(CONCATENATE($A84,AZ$2),0),'Cadastro dos Padrões'!$A$2:$V$4400,AZ$1,FALSE))</f>
        <v>-</v>
      </c>
      <c r="BA84" s="31" t="str">
        <f>IF(VLOOKUP(ROUND(CONCATENATE($A84,BA$2),0),'Cadastro dos Padrões'!$A$2:$V$4400,BA$1,FALSE)="","-",VLOOKUP(ROUND(CONCATENATE($A84,BA$2),0),'Cadastro dos Padrões'!$A$2:$V$4400,BA$1,FALSE))</f>
        <v>-</v>
      </c>
      <c r="BB84" s="31" t="str">
        <f>IF(VLOOKUP(ROUND(CONCATENATE($A84,BB$2),0),'Cadastro dos Padrões'!$A$2:$V$4400,BB$1,FALSE)="","-",VLOOKUP(ROUND(CONCATENATE($A84,BB$2),0),'Cadastro dos Padrões'!$A$2:$V$4400,BB$1,FALSE))</f>
        <v>-</v>
      </c>
      <c r="BC84" s="31" t="str">
        <f>IF(VLOOKUP(ROUND(CONCATENATE($A84,BC$2),0),'Cadastro dos Padrões'!$A$2:$V$4400,BC$1,FALSE)="","-",VLOOKUP(ROUND(CONCATENATE($A84,BC$2),0),'Cadastro dos Padrões'!$A$2:$V$4400,BC$1,FALSE))</f>
        <v>-</v>
      </c>
      <c r="BD84" s="31" t="str">
        <f>IF(VLOOKUP(ROUND(CONCATENATE($A84,BD$2),0),'Cadastro dos Padrões'!$A$2:$V$4400,BD$1,FALSE)="","-",VLOOKUP(ROUND(CONCATENATE($A84,BD$2),0),'Cadastro dos Padrões'!$A$2:$V$4400,BD$1,FALSE))</f>
        <v>-</v>
      </c>
      <c r="BE84" s="31" t="str">
        <f>IF(VLOOKUP(ROUND(CONCATENATE($A84,BE$2),0),'Cadastro dos Padrões'!$A$2:$V$4400,BE$1,FALSE)="","-",VLOOKUP(ROUND(CONCATENATE($A84,BE$2),0),'Cadastro dos Padrões'!$A$2:$V$4400,BE$1,FALSE))</f>
        <v>-</v>
      </c>
      <c r="BF84" s="31" t="str">
        <f>IF(VLOOKUP(ROUND(CONCATENATE($A84,BF$2),0),'Cadastro dos Padrões'!$A$2:$V$4400,BF$1,FALSE)="","-",VLOOKUP(ROUND(CONCATENATE($A84,BF$2),0),'Cadastro dos Padrões'!$A$2:$V$4400,BF$1,FALSE))</f>
        <v>-</v>
      </c>
      <c r="BG84" s="31" t="str">
        <f>IF(VLOOKUP(ROUND(CONCATENATE($A84,BG$2),0),'Cadastro dos Padrões'!$A$2:$V$4400,BG$1,FALSE)="","-",VLOOKUP(ROUND(CONCATENATE($A84,BG$2),0),'Cadastro dos Padrões'!$A$2:$V$4400,BG$1,FALSE))</f>
        <v>-</v>
      </c>
      <c r="BH84" s="31" t="str">
        <f>IF(VLOOKUP(ROUND(CONCATENATE($A84,BH$2),0),'Cadastro dos Padrões'!$A$2:$V$4400,BH$1,FALSE)="","-",VLOOKUP(ROUND(CONCATENATE($A84,BH$2),0),'Cadastro dos Padrões'!$A$2:$V$4400,BH$1,FALSE))</f>
        <v>-</v>
      </c>
      <c r="BI84" s="31" t="str">
        <f>IF(VLOOKUP(ROUND(CONCATENATE($A84,BI$2),0),'Cadastro dos Padrões'!$A$2:$V$4400,BI$1,FALSE)="","-",VLOOKUP(ROUND(CONCATENATE($A84,BI$2),0),'Cadastro dos Padrões'!$A$2:$V$4400,BI$1,FALSE))</f>
        <v>-</v>
      </c>
      <c r="BJ84" s="31" t="str">
        <f>IF(VLOOKUP(ROUND(CONCATENATE($A84,BJ$2),0),'Cadastro dos Padrões'!$A$2:$V$4400,BJ$1,FALSE)="","-",VLOOKUP(ROUND(CONCATENATE($A84,BJ$2),0),'Cadastro dos Padrões'!$A$2:$V$4400,BJ$1,FALSE))</f>
        <v>-</v>
      </c>
      <c r="BK84" s="31" t="str">
        <f>IF(VLOOKUP(ROUND(CONCATENATE($A84,BK$2),0),'Cadastro dos Padrões'!$A$2:$V$4400,BK$1,FALSE)="","-",VLOOKUP(ROUND(CONCATENATE($A84,BK$2),0),'Cadastro dos Padrões'!$A$2:$V$4400,BK$1,FALSE))</f>
        <v>-</v>
      </c>
      <c r="BL84" s="31" t="str">
        <f>IF(VLOOKUP(ROUND(CONCATENATE($A84,BL$2),0),'Cadastro dos Padrões'!$A$2:$V$4400,BL$1,FALSE)="","-",VLOOKUP(ROUND(CONCATENATE($A84,BL$2),0),'Cadastro dos Padrões'!$A$2:$V$4400,BL$1,FALSE))</f>
        <v>-</v>
      </c>
      <c r="BM84" s="31" t="str">
        <f>IF(VLOOKUP(ROUND(CONCATENATE($A84,BM$2),0),'Cadastro dos Padrões'!$A$2:$V$4400,BM$1,FALSE)="","-",VLOOKUP(ROUND(CONCATENATE($A84,BM$2),0),'Cadastro dos Padrões'!$A$2:$V$4400,BM$1,FALSE))</f>
        <v>-</v>
      </c>
      <c r="BN84" s="31" t="str">
        <f>IF(VLOOKUP(ROUND(CONCATENATE($A84,BN$2),0),'Cadastro dos Padrões'!$A$2:$V$4400,BN$1,FALSE)="","-",VLOOKUP(ROUND(CONCATENATE($A84,BN$2),0),'Cadastro dos Padrões'!$A$2:$V$4400,BN$1,FALSE))</f>
        <v>-</v>
      </c>
      <c r="BO84" s="31" t="str">
        <f>IF(VLOOKUP(ROUND(CONCATENATE($A84,BO$2),0),'Cadastro dos Padrões'!$A$2:$V$4400,BO$1,FALSE)="","-",VLOOKUP(ROUND(CONCATENATE($A84,BO$2),0),'Cadastro dos Padrões'!$A$2:$V$4400,BO$1,FALSE))</f>
        <v>-</v>
      </c>
    </row>
    <row r="85" spans="1:67" x14ac:dyDescent="0.3">
      <c r="A85" s="6">
        <f t="shared" si="52"/>
        <v>80</v>
      </c>
      <c r="B85" s="31" t="str">
        <f>IF(VLOOKUP(ROUND(CONCATENATE($A85,B$2),0),'Cadastro dos Padrões'!$A$2:$V$4400,B$1,FALSE)="","-",VLOOKUP(ROUND(CONCATENATE($A85,B$2),0),'Cadastro dos Padrões'!$A$2:$V$4400,B$1,FALSE))</f>
        <v>-</v>
      </c>
      <c r="C85" s="31" t="str">
        <f>IF($B85="-","-",VLOOKUP(ROUND(CONCATENATE($A85,C$2),0),'Cadastro dos Padrões'!$A$2:$V$4400,C$1,FALSE))</f>
        <v>-</v>
      </c>
      <c r="D85" s="31" t="str">
        <f>IF($B85="-","-",VLOOKUP(ROUND(CONCATENATE($A85,D$2),0),'Cadastro dos Padrões'!$A$2:$V$4400,D$1,FALSE))</f>
        <v>-</v>
      </c>
      <c r="E85" s="31" t="str">
        <f>IF($B85="-","-",VLOOKUP(ROUND(CONCATENATE($A85,E$2),0),'Cadastro dos Padrões'!$A$2:$V$4400,E$1,FALSE))</f>
        <v>-</v>
      </c>
      <c r="F85" s="31" t="str">
        <f>IF($B85="-","-",VLOOKUP(ROUND(CONCATENATE($A85,F$2),0),'Cadastro dos Padrões'!$A$2:$V$4400,F$1,FALSE))</f>
        <v>-</v>
      </c>
      <c r="G85" s="31" t="str">
        <f>IF($B85="-","-",VLOOKUP(ROUND(CONCATENATE($A85,G$2),0),'Cadastro dos Padrões'!$A$2:$V$4400,G$1,FALSE))</f>
        <v>-</v>
      </c>
      <c r="H85" s="32" t="str">
        <f>IF($B85="-","-",VLOOKUP(ROUND(CONCATENATE($A85,H$2),0),'Cadastro dos Padrões'!$A$2:$V$4400,H$1,FALSE))</f>
        <v>-</v>
      </c>
      <c r="I85" s="33" t="str">
        <f>IF($B85="-","-",VLOOKUP(ROUND(CONCATENATE($A85,I$2),0),'Cadastro dos Padrões'!$A$2:$V$4400,I$1,FALSE))</f>
        <v>-</v>
      </c>
      <c r="J85" s="31" t="str">
        <f>IF($B85="-","-",VLOOKUP(ROUND(CONCATENATE($A85,J$2),0),'Cadastro dos Padrões'!$A$2:$V$4400,J$1,FALSE))</f>
        <v>-</v>
      </c>
      <c r="K85" s="31" t="str">
        <f>IF($B85="-","-",VLOOKUP(ROUND(CONCATENATE($A85,K$2),0),'Cadastro dos Padrões'!$A$2:$V$4400,K$1,FALSE))</f>
        <v>-</v>
      </c>
      <c r="L85" s="31" t="str">
        <f>IF($B85="-","-",VLOOKUP(ROUND(CONCATENATE($A85,L$2),0),'Cadastro dos Padrões'!$A$2:$V$4400,L$1,FALSE))</f>
        <v>-</v>
      </c>
      <c r="M85" s="31" t="str">
        <f>IF($B85="-","-",VLOOKUP(ROUND(CONCATENATE($A85,M$2),0),'Cadastro dos Padrões'!$A$2:$V$4400,M$1,FALSE))</f>
        <v>-</v>
      </c>
      <c r="N85" s="31" t="str">
        <f>IF($B85="-","-",VLOOKUP(ROUND(CONCATENATE($A85,N$2),0),'Cadastro dos Padrões'!$A$2:$V$4400,N$1,FALSE))</f>
        <v>-</v>
      </c>
      <c r="O85" s="31" t="str">
        <f>IF($B85="-","-",VLOOKUP(ROUND(CONCATENATE($A85,O$2),0),'Cadastro dos Padrões'!$A$2:$V$4400,O$1,FALSE))</f>
        <v>-</v>
      </c>
      <c r="P85" s="31" t="str">
        <f>IF($B85="-","-",VLOOKUP(ROUND(CONCATENATE($A85,P$2),0),'Cadastro dos Padrões'!$A$2:$V$4400,P$1,FALSE))</f>
        <v>-</v>
      </c>
      <c r="Q85" s="31" t="str">
        <f>IF($B85="-","-",VLOOKUP(ROUND(CONCATENATE($A85,Q$2),0),'Cadastro dos Padrões'!$A$2:$V$4400,Q$1,FALSE))</f>
        <v>-</v>
      </c>
      <c r="R85" s="31" t="str">
        <f>IF($B85="-","-",VLOOKUP(ROUND(CONCATENATE($A85,R$2),0),'Cadastro dos Padrões'!$A$2:$V$4400,R$1,FALSE))</f>
        <v>-</v>
      </c>
      <c r="S85" s="31" t="str">
        <f>IF($B85="-","-",VLOOKUP(ROUND(CONCATENATE($A85,S$2),0),'Cadastro dos Padrões'!$A$2:$V$4400,S$1,FALSE))</f>
        <v>-</v>
      </c>
      <c r="T85" s="31" t="str">
        <f>IF($B85="-","-",VLOOKUP(ROUND(CONCATENATE($A85,T$2),0),'Cadastro dos Padrões'!$A$2:$V$4400,T$1,FALSE))</f>
        <v>-</v>
      </c>
      <c r="U85" s="31" t="str">
        <f>IF($B85="-","-",VLOOKUP(ROUND(CONCATENATE($A85,U$2),0),'Cadastro dos Padrões'!$A$2:$V$4400,U$1,FALSE))</f>
        <v>-</v>
      </c>
      <c r="V85" s="31" t="str">
        <f>IF($B85="-","-",VLOOKUP(ROUND(CONCATENATE($A85,V$2),0),'Cadastro dos Padrões'!$A$2:$V$4400,V$1,FALSE))</f>
        <v>-</v>
      </c>
      <c r="W85" s="31" t="str">
        <f>IF($B85="-","-",VLOOKUP(ROUND(CONCATENATE($A85,W$2),0),'Cadastro dos Padrões'!$A$2:$V$4400,W$1,FALSE))</f>
        <v>-</v>
      </c>
      <c r="X85" s="31" t="str">
        <f>IF($B85="-","-",VLOOKUP(ROUND(CONCATENATE($A85,X$2),0),'Cadastro dos Padrões'!$A$2:$V$4400,X$1,FALSE))</f>
        <v>-</v>
      </c>
      <c r="Y85" s="31" t="str">
        <f>IF($B85="-","-",VLOOKUP(ROUND(CONCATENATE($A85,Y$2),0),'Cadastro dos Padrões'!$A$2:$V$4400,Y$1,FALSE))</f>
        <v>-</v>
      </c>
      <c r="Z85" s="31" t="str">
        <f>IF($B85="-","-",VLOOKUP(ROUND(CONCATENATE($A85,Z$2),0),'Cadastro dos Padrões'!$A$2:$V$4400,Z$1,FALSE))</f>
        <v>-</v>
      </c>
      <c r="AA85" s="31" t="str">
        <f>IF($B85="-","-",VLOOKUP(ROUND(CONCATENATE($A85,AA$2),0),'Cadastro dos Padrões'!$A$2:$V$4400,AA$1,FALSE))</f>
        <v>-</v>
      </c>
      <c r="AB85" s="31" t="str">
        <f>IF(VLOOKUP(ROUND(CONCATENATE($A85,AB$2),0),'Cadastro dos Padrões'!$A$2:$V$4400,AB$1,FALSE)="","-",VLOOKUP(ROUND(CONCATENATE($A85,AB$2),0),'Cadastro dos Padrões'!$A$2:$V$4400,AB$1,FALSE))</f>
        <v>-</v>
      </c>
      <c r="AC85" s="31" t="str">
        <f>IF(VLOOKUP(ROUND(CONCATENATE($A85,AC$2),0),'Cadastro dos Padrões'!$A$2:$V$4400,AC$1,FALSE)="","-",VLOOKUP(ROUND(CONCATENATE($A85,AC$2),0),'Cadastro dos Padrões'!$A$2:$V$4400,AC$1,FALSE))</f>
        <v>-</v>
      </c>
      <c r="AD85" s="31" t="str">
        <f>IF(VLOOKUP(ROUND(CONCATENATE($A85,AD$2),0),'Cadastro dos Padrões'!$A$2:$V$4400,AD$1,FALSE)="","-",VLOOKUP(ROUND(CONCATENATE($A85,AD$2),0),'Cadastro dos Padrões'!$A$2:$V$4400,AD$1,FALSE))</f>
        <v>-</v>
      </c>
      <c r="AE85" s="31" t="str">
        <f>IF(VLOOKUP(ROUND(CONCATENATE($A85,AE$2),0),'Cadastro dos Padrões'!$A$2:$V$4400,AE$1,FALSE)="","-",VLOOKUP(ROUND(CONCATENATE($A85,AE$2),0),'Cadastro dos Padrões'!$A$2:$V$4400,AE$1,FALSE))</f>
        <v>-</v>
      </c>
      <c r="AF85" s="31" t="str">
        <f>IF(VLOOKUP(ROUND(CONCATENATE($A85,AF$2),0),'Cadastro dos Padrões'!$A$2:$V$4400,AF$1,FALSE)="","-",VLOOKUP(ROUND(CONCATENATE($A85,AF$2),0),'Cadastro dos Padrões'!$A$2:$V$4400,AF$1,FALSE))</f>
        <v>-</v>
      </c>
      <c r="AG85" s="31" t="str">
        <f>IF(VLOOKUP(ROUND(CONCATENATE($A85,AG$2),0),'Cadastro dos Padrões'!$A$2:$V$4400,AG$1,FALSE)="","-",VLOOKUP(ROUND(CONCATENATE($A85,AG$2),0),'Cadastro dos Padrões'!$A$2:$V$4400,AG$1,FALSE))</f>
        <v>-</v>
      </c>
      <c r="AH85" s="31" t="str">
        <f>IF(VLOOKUP(ROUND(CONCATENATE($A85,AH$2),0),'Cadastro dos Padrões'!$A$2:$V$4400,AH$1,FALSE)="","-",VLOOKUP(ROUND(CONCATENATE($A85,AH$2),0),'Cadastro dos Padrões'!$A$2:$V$4400,AH$1,FALSE))</f>
        <v>-</v>
      </c>
      <c r="AI85" s="31" t="str">
        <f>IF(VLOOKUP(ROUND(CONCATENATE($A85,AI$2),0),'Cadastro dos Padrões'!$A$2:$V$4400,AI$1,FALSE)="","-",VLOOKUP(ROUND(CONCATENATE($A85,AI$2),0),'Cadastro dos Padrões'!$A$2:$V$4400,AI$1,FALSE))</f>
        <v>-</v>
      </c>
      <c r="AJ85" s="31" t="str">
        <f>IF(VLOOKUP(ROUND(CONCATENATE($A85,AJ$2),0),'Cadastro dos Padrões'!$A$2:$V$4400,AJ$1,FALSE)="","-",VLOOKUP(ROUND(CONCATENATE($A85,AJ$2),0),'Cadastro dos Padrões'!$A$2:$V$4400,AJ$1,FALSE))</f>
        <v>-</v>
      </c>
      <c r="AK85" s="31" t="str">
        <f>IF(VLOOKUP(ROUND(CONCATENATE($A85,AK$2),0),'Cadastro dos Padrões'!$A$2:$V$4400,AK$1,FALSE)="","-",VLOOKUP(ROUND(CONCATENATE($A85,AK$2),0),'Cadastro dos Padrões'!$A$2:$V$4400,AK$1,FALSE))</f>
        <v>-</v>
      </c>
      <c r="AL85" s="31" t="str">
        <f>IF(VLOOKUP(ROUND(CONCATENATE($A85,AL$2),0),'Cadastro dos Padrões'!$A$2:$V$4400,AL$1,FALSE)="","-",VLOOKUP(ROUND(CONCATENATE($A85,AL$2),0),'Cadastro dos Padrões'!$A$2:$V$4400,AL$1,FALSE))</f>
        <v>-</v>
      </c>
      <c r="AM85" s="31" t="str">
        <f>IF(VLOOKUP(ROUND(CONCATENATE($A85,AM$2),0),'Cadastro dos Padrões'!$A$2:$V$4400,AM$1,FALSE)="","-",VLOOKUP(ROUND(CONCATENATE($A85,AM$2),0),'Cadastro dos Padrões'!$A$2:$V$4400,AM$1,FALSE))</f>
        <v>-</v>
      </c>
      <c r="AN85" s="31" t="str">
        <f>IF(VLOOKUP(ROUND(CONCATENATE($A85,AN$2),0),'Cadastro dos Padrões'!$A$2:$V$4400,AN$1,FALSE)="","-",VLOOKUP(ROUND(CONCATENATE($A85,AN$2),0),'Cadastro dos Padrões'!$A$2:$V$4400,AN$1,FALSE))</f>
        <v>-</v>
      </c>
      <c r="AO85" s="31" t="str">
        <f>IF(VLOOKUP(ROUND(CONCATENATE($A85,AO$2),0),'Cadastro dos Padrões'!$A$2:$V$4400,AO$1,FALSE)="","-",VLOOKUP(ROUND(CONCATENATE($A85,AO$2),0),'Cadastro dos Padrões'!$A$2:$V$4400,AO$1,FALSE))</f>
        <v>-</v>
      </c>
      <c r="AP85" s="31" t="str">
        <f>IF(VLOOKUP(ROUND(CONCATENATE($A85,AP$2),0),'Cadastro dos Padrões'!$A$2:$V$4400,AP$1,FALSE)="","-",VLOOKUP(ROUND(CONCATENATE($A85,AP$2),0),'Cadastro dos Padrões'!$A$2:$V$4400,AP$1,FALSE))</f>
        <v>-</v>
      </c>
      <c r="AQ85" s="31" t="str">
        <f>IF(VLOOKUP(ROUND(CONCATENATE($A85,AQ$2),0),'Cadastro dos Padrões'!$A$2:$V$4400,AQ$1,FALSE)="","-",VLOOKUP(ROUND(CONCATENATE($A85,AQ$2),0),'Cadastro dos Padrões'!$A$2:$V$4400,AQ$1,FALSE))</f>
        <v>-</v>
      </c>
      <c r="AR85" s="31" t="str">
        <f>IF(VLOOKUP(ROUND(CONCATENATE($A85,AR$2),0),'Cadastro dos Padrões'!$A$2:$V$4400,AR$1,FALSE)="","-",VLOOKUP(ROUND(CONCATENATE($A85,AR$2),0),'Cadastro dos Padrões'!$A$2:$V$4400,AR$1,FALSE))</f>
        <v>-</v>
      </c>
      <c r="AS85" s="31" t="str">
        <f>IF(VLOOKUP(ROUND(CONCATENATE($A85,AS$2),0),'Cadastro dos Padrões'!$A$2:$V$4400,AS$1,FALSE)="","-",VLOOKUP(ROUND(CONCATENATE($A85,AS$2),0),'Cadastro dos Padrões'!$A$2:$V$4400,AS$1,FALSE))</f>
        <v>-</v>
      </c>
      <c r="AT85" s="31" t="str">
        <f>IF(VLOOKUP(ROUND(CONCATENATE($A85,AT$2),0),'Cadastro dos Padrões'!$A$2:$V$4400,AT$1,FALSE)="","-",VLOOKUP(ROUND(CONCATENATE($A85,AT$2),0),'Cadastro dos Padrões'!$A$2:$V$4400,AT$1,FALSE))</f>
        <v>-</v>
      </c>
      <c r="AU85" s="31" t="str">
        <f>IF(VLOOKUP(ROUND(CONCATENATE($A85,AU$2),0),'Cadastro dos Padrões'!$A$2:$V$4400,AU$1,FALSE)="","-",VLOOKUP(ROUND(CONCATENATE($A85,AU$2),0),'Cadastro dos Padrões'!$A$2:$V$4400,AU$1,FALSE))</f>
        <v>-</v>
      </c>
      <c r="AV85" s="31" t="str">
        <f>IF(VLOOKUP(ROUND(CONCATENATE($A85,AV$2),0),'Cadastro dos Padrões'!$A$2:$V$4400,AV$1,FALSE)="","-",VLOOKUP(ROUND(CONCATENATE($A85,AV$2),0),'Cadastro dos Padrões'!$A$2:$V$4400,AV$1,FALSE))</f>
        <v>-</v>
      </c>
      <c r="AW85" s="31" t="str">
        <f>IF(VLOOKUP(ROUND(CONCATENATE($A85,AW$2),0),'Cadastro dos Padrões'!$A$2:$V$4400,AW$1,FALSE)="","-",VLOOKUP(ROUND(CONCATENATE($A85,AW$2),0),'Cadastro dos Padrões'!$A$2:$V$4400,AW$1,FALSE))</f>
        <v>-</v>
      </c>
      <c r="AX85" s="31" t="str">
        <f>IF(VLOOKUP(ROUND(CONCATENATE($A85,AX$2),0),'Cadastro dos Padrões'!$A$2:$V$4400,AX$1,FALSE)="","-",VLOOKUP(ROUND(CONCATENATE($A85,AX$2),0),'Cadastro dos Padrões'!$A$2:$V$4400,AX$1,FALSE))</f>
        <v>-</v>
      </c>
      <c r="AY85" s="31" t="str">
        <f>IF(VLOOKUP(ROUND(CONCATENATE($A85,AY$2),0),'Cadastro dos Padrões'!$A$2:$V$4400,AY$1,FALSE)="","-",VLOOKUP(ROUND(CONCATENATE($A85,AY$2),0),'Cadastro dos Padrões'!$A$2:$V$4400,AY$1,FALSE))</f>
        <v>-</v>
      </c>
      <c r="AZ85" s="31" t="str">
        <f>IF(VLOOKUP(ROUND(CONCATENATE($A85,AZ$2),0),'Cadastro dos Padrões'!$A$2:$V$4400,AZ$1,FALSE)="","-",VLOOKUP(ROUND(CONCATENATE($A85,AZ$2),0),'Cadastro dos Padrões'!$A$2:$V$4400,AZ$1,FALSE))</f>
        <v>-</v>
      </c>
      <c r="BA85" s="31" t="str">
        <f>IF(VLOOKUP(ROUND(CONCATENATE($A85,BA$2),0),'Cadastro dos Padrões'!$A$2:$V$4400,BA$1,FALSE)="","-",VLOOKUP(ROUND(CONCATENATE($A85,BA$2),0),'Cadastro dos Padrões'!$A$2:$V$4400,BA$1,FALSE))</f>
        <v>-</v>
      </c>
      <c r="BB85" s="31" t="str">
        <f>IF(VLOOKUP(ROUND(CONCATENATE($A85,BB$2),0),'Cadastro dos Padrões'!$A$2:$V$4400,BB$1,FALSE)="","-",VLOOKUP(ROUND(CONCATENATE($A85,BB$2),0),'Cadastro dos Padrões'!$A$2:$V$4400,BB$1,FALSE))</f>
        <v>-</v>
      </c>
      <c r="BC85" s="31" t="str">
        <f>IF(VLOOKUP(ROUND(CONCATENATE($A85,BC$2),0),'Cadastro dos Padrões'!$A$2:$V$4400,BC$1,FALSE)="","-",VLOOKUP(ROUND(CONCATENATE($A85,BC$2),0),'Cadastro dos Padrões'!$A$2:$V$4400,BC$1,FALSE))</f>
        <v>-</v>
      </c>
      <c r="BD85" s="31" t="str">
        <f>IF(VLOOKUP(ROUND(CONCATENATE($A85,BD$2),0),'Cadastro dos Padrões'!$A$2:$V$4400,BD$1,FALSE)="","-",VLOOKUP(ROUND(CONCATENATE($A85,BD$2),0),'Cadastro dos Padrões'!$A$2:$V$4400,BD$1,FALSE))</f>
        <v>-</v>
      </c>
      <c r="BE85" s="31" t="str">
        <f>IF(VLOOKUP(ROUND(CONCATENATE($A85,BE$2),0),'Cadastro dos Padrões'!$A$2:$V$4400,BE$1,FALSE)="","-",VLOOKUP(ROUND(CONCATENATE($A85,BE$2),0),'Cadastro dos Padrões'!$A$2:$V$4400,BE$1,FALSE))</f>
        <v>-</v>
      </c>
      <c r="BF85" s="31" t="str">
        <f>IF(VLOOKUP(ROUND(CONCATENATE($A85,BF$2),0),'Cadastro dos Padrões'!$A$2:$V$4400,BF$1,FALSE)="","-",VLOOKUP(ROUND(CONCATENATE($A85,BF$2),0),'Cadastro dos Padrões'!$A$2:$V$4400,BF$1,FALSE))</f>
        <v>-</v>
      </c>
      <c r="BG85" s="31" t="str">
        <f>IF(VLOOKUP(ROUND(CONCATENATE($A85,BG$2),0),'Cadastro dos Padrões'!$A$2:$V$4400,BG$1,FALSE)="","-",VLOOKUP(ROUND(CONCATENATE($A85,BG$2),0),'Cadastro dos Padrões'!$A$2:$V$4400,BG$1,FALSE))</f>
        <v>-</v>
      </c>
      <c r="BH85" s="31" t="str">
        <f>IF(VLOOKUP(ROUND(CONCATENATE($A85,BH$2),0),'Cadastro dos Padrões'!$A$2:$V$4400,BH$1,FALSE)="","-",VLOOKUP(ROUND(CONCATENATE($A85,BH$2),0),'Cadastro dos Padrões'!$A$2:$V$4400,BH$1,FALSE))</f>
        <v>-</v>
      </c>
      <c r="BI85" s="31" t="str">
        <f>IF(VLOOKUP(ROUND(CONCATENATE($A85,BI$2),0),'Cadastro dos Padrões'!$A$2:$V$4400,BI$1,FALSE)="","-",VLOOKUP(ROUND(CONCATENATE($A85,BI$2),0),'Cadastro dos Padrões'!$A$2:$V$4400,BI$1,FALSE))</f>
        <v>-</v>
      </c>
      <c r="BJ85" s="31" t="str">
        <f>IF(VLOOKUP(ROUND(CONCATENATE($A85,BJ$2),0),'Cadastro dos Padrões'!$A$2:$V$4400,BJ$1,FALSE)="","-",VLOOKUP(ROUND(CONCATENATE($A85,BJ$2),0),'Cadastro dos Padrões'!$A$2:$V$4400,BJ$1,FALSE))</f>
        <v>-</v>
      </c>
      <c r="BK85" s="31" t="str">
        <f>IF(VLOOKUP(ROUND(CONCATENATE($A85,BK$2),0),'Cadastro dos Padrões'!$A$2:$V$4400,BK$1,FALSE)="","-",VLOOKUP(ROUND(CONCATENATE($A85,BK$2),0),'Cadastro dos Padrões'!$A$2:$V$4400,BK$1,FALSE))</f>
        <v>-</v>
      </c>
      <c r="BL85" s="31" t="str">
        <f>IF(VLOOKUP(ROUND(CONCATENATE($A85,BL$2),0),'Cadastro dos Padrões'!$A$2:$V$4400,BL$1,FALSE)="","-",VLOOKUP(ROUND(CONCATENATE($A85,BL$2),0),'Cadastro dos Padrões'!$A$2:$V$4400,BL$1,FALSE))</f>
        <v>-</v>
      </c>
      <c r="BM85" s="31" t="str">
        <f>IF(VLOOKUP(ROUND(CONCATENATE($A85,BM$2),0),'Cadastro dos Padrões'!$A$2:$V$4400,BM$1,FALSE)="","-",VLOOKUP(ROUND(CONCATENATE($A85,BM$2),0),'Cadastro dos Padrões'!$A$2:$V$4400,BM$1,FALSE))</f>
        <v>-</v>
      </c>
      <c r="BN85" s="31" t="str">
        <f>IF(VLOOKUP(ROUND(CONCATENATE($A85,BN$2),0),'Cadastro dos Padrões'!$A$2:$V$4400,BN$1,FALSE)="","-",VLOOKUP(ROUND(CONCATENATE($A85,BN$2),0),'Cadastro dos Padrões'!$A$2:$V$4400,BN$1,FALSE))</f>
        <v>-</v>
      </c>
      <c r="BO85" s="31" t="str">
        <f>IF(VLOOKUP(ROUND(CONCATENATE($A85,BO$2),0),'Cadastro dos Padrões'!$A$2:$V$4400,BO$1,FALSE)="","-",VLOOKUP(ROUND(CONCATENATE($A85,BO$2),0),'Cadastro dos Padrões'!$A$2:$V$4400,BO$1,FALSE))</f>
        <v>-</v>
      </c>
    </row>
    <row r="86" spans="1:67" x14ac:dyDescent="0.3">
      <c r="A86" s="6">
        <f t="shared" si="52"/>
        <v>81</v>
      </c>
      <c r="B86" s="31" t="str">
        <f>IF(VLOOKUP(ROUND(CONCATENATE($A86,B$2),0),'Cadastro dos Padrões'!$A$2:$V$4400,B$1,FALSE)="","-",VLOOKUP(ROUND(CONCATENATE($A86,B$2),0),'Cadastro dos Padrões'!$A$2:$V$4400,B$1,FALSE))</f>
        <v>-</v>
      </c>
      <c r="C86" s="31" t="str">
        <f>IF($B86="-","-",VLOOKUP(ROUND(CONCATENATE($A86,C$2),0),'Cadastro dos Padrões'!$A$2:$V$4400,C$1,FALSE))</f>
        <v>-</v>
      </c>
      <c r="D86" s="31" t="str">
        <f>IF($B86="-","-",VLOOKUP(ROUND(CONCATENATE($A86,D$2),0),'Cadastro dos Padrões'!$A$2:$V$4400,D$1,FALSE))</f>
        <v>-</v>
      </c>
      <c r="E86" s="31" t="str">
        <f>IF($B86="-","-",VLOOKUP(ROUND(CONCATENATE($A86,E$2),0),'Cadastro dos Padrões'!$A$2:$V$4400,E$1,FALSE))</f>
        <v>-</v>
      </c>
      <c r="F86" s="31" t="str">
        <f>IF($B86="-","-",VLOOKUP(ROUND(CONCATENATE($A86,F$2),0),'Cadastro dos Padrões'!$A$2:$V$4400,F$1,FALSE))</f>
        <v>-</v>
      </c>
      <c r="G86" s="31" t="str">
        <f>IF($B86="-","-",VLOOKUP(ROUND(CONCATENATE($A86,G$2),0),'Cadastro dos Padrões'!$A$2:$V$4400,G$1,FALSE))</f>
        <v>-</v>
      </c>
      <c r="H86" s="32" t="str">
        <f>IF($B86="-","-",VLOOKUP(ROUND(CONCATENATE($A86,H$2),0),'Cadastro dos Padrões'!$A$2:$V$4400,H$1,FALSE))</f>
        <v>-</v>
      </c>
      <c r="I86" s="33" t="str">
        <f>IF($B86="-","-",VLOOKUP(ROUND(CONCATENATE($A86,I$2),0),'Cadastro dos Padrões'!$A$2:$V$4400,I$1,FALSE))</f>
        <v>-</v>
      </c>
      <c r="J86" s="31" t="str">
        <f>IF($B86="-","-",VLOOKUP(ROUND(CONCATENATE($A86,J$2),0),'Cadastro dos Padrões'!$A$2:$V$4400,J$1,FALSE))</f>
        <v>-</v>
      </c>
      <c r="K86" s="31" t="str">
        <f>IF($B86="-","-",VLOOKUP(ROUND(CONCATENATE($A86,K$2),0),'Cadastro dos Padrões'!$A$2:$V$4400,K$1,FALSE))</f>
        <v>-</v>
      </c>
      <c r="L86" s="31" t="str">
        <f>IF($B86="-","-",VLOOKUP(ROUND(CONCATENATE($A86,L$2),0),'Cadastro dos Padrões'!$A$2:$V$4400,L$1,FALSE))</f>
        <v>-</v>
      </c>
      <c r="M86" s="31" t="str">
        <f>IF($B86="-","-",VLOOKUP(ROUND(CONCATENATE($A86,M$2),0),'Cadastro dos Padrões'!$A$2:$V$4400,M$1,FALSE))</f>
        <v>-</v>
      </c>
      <c r="N86" s="31" t="str">
        <f>IF($B86="-","-",VLOOKUP(ROUND(CONCATENATE($A86,N$2),0),'Cadastro dos Padrões'!$A$2:$V$4400,N$1,FALSE))</f>
        <v>-</v>
      </c>
      <c r="O86" s="31" t="str">
        <f>IF($B86="-","-",VLOOKUP(ROUND(CONCATENATE($A86,O$2),0),'Cadastro dos Padrões'!$A$2:$V$4400,O$1,FALSE))</f>
        <v>-</v>
      </c>
      <c r="P86" s="31" t="str">
        <f>IF($B86="-","-",VLOOKUP(ROUND(CONCATENATE($A86,P$2),0),'Cadastro dos Padrões'!$A$2:$V$4400,P$1,FALSE))</f>
        <v>-</v>
      </c>
      <c r="Q86" s="31" t="str">
        <f>IF($B86="-","-",VLOOKUP(ROUND(CONCATENATE($A86,Q$2),0),'Cadastro dos Padrões'!$A$2:$V$4400,Q$1,FALSE))</f>
        <v>-</v>
      </c>
      <c r="R86" s="31" t="str">
        <f>IF($B86="-","-",VLOOKUP(ROUND(CONCATENATE($A86,R$2),0),'Cadastro dos Padrões'!$A$2:$V$4400,R$1,FALSE))</f>
        <v>-</v>
      </c>
      <c r="S86" s="31" t="str">
        <f>IF($B86="-","-",VLOOKUP(ROUND(CONCATENATE($A86,S$2),0),'Cadastro dos Padrões'!$A$2:$V$4400,S$1,FALSE))</f>
        <v>-</v>
      </c>
      <c r="T86" s="31" t="str">
        <f>IF($B86="-","-",VLOOKUP(ROUND(CONCATENATE($A86,T$2),0),'Cadastro dos Padrões'!$A$2:$V$4400,T$1,FALSE))</f>
        <v>-</v>
      </c>
      <c r="U86" s="31" t="str">
        <f>IF($B86="-","-",VLOOKUP(ROUND(CONCATENATE($A86,U$2),0),'Cadastro dos Padrões'!$A$2:$V$4400,U$1,FALSE))</f>
        <v>-</v>
      </c>
      <c r="V86" s="31" t="str">
        <f>IF($B86="-","-",VLOOKUP(ROUND(CONCATENATE($A86,V$2),0),'Cadastro dos Padrões'!$A$2:$V$4400,V$1,FALSE))</f>
        <v>-</v>
      </c>
      <c r="W86" s="31" t="str">
        <f>IF($B86="-","-",VLOOKUP(ROUND(CONCATENATE($A86,W$2),0),'Cadastro dos Padrões'!$A$2:$V$4400,W$1,FALSE))</f>
        <v>-</v>
      </c>
      <c r="X86" s="31" t="str">
        <f>IF($B86="-","-",VLOOKUP(ROUND(CONCATENATE($A86,X$2),0),'Cadastro dos Padrões'!$A$2:$V$4400,X$1,FALSE))</f>
        <v>-</v>
      </c>
      <c r="Y86" s="31" t="str">
        <f>IF($B86="-","-",VLOOKUP(ROUND(CONCATENATE($A86,Y$2),0),'Cadastro dos Padrões'!$A$2:$V$4400,Y$1,FALSE))</f>
        <v>-</v>
      </c>
      <c r="Z86" s="31" t="str">
        <f>IF($B86="-","-",VLOOKUP(ROUND(CONCATENATE($A86,Z$2),0),'Cadastro dos Padrões'!$A$2:$V$4400,Z$1,FALSE))</f>
        <v>-</v>
      </c>
      <c r="AA86" s="31" t="str">
        <f>IF($B86="-","-",VLOOKUP(ROUND(CONCATENATE($A86,AA$2),0),'Cadastro dos Padrões'!$A$2:$V$4400,AA$1,FALSE))</f>
        <v>-</v>
      </c>
      <c r="AB86" s="31" t="str">
        <f>IF(VLOOKUP(ROUND(CONCATENATE($A86,AB$2),0),'Cadastro dos Padrões'!$A$2:$V$4400,AB$1,FALSE)="","-",VLOOKUP(ROUND(CONCATENATE($A86,AB$2),0),'Cadastro dos Padrões'!$A$2:$V$4400,AB$1,FALSE))</f>
        <v>-</v>
      </c>
      <c r="AC86" s="31" t="str">
        <f>IF(VLOOKUP(ROUND(CONCATENATE($A86,AC$2),0),'Cadastro dos Padrões'!$A$2:$V$4400,AC$1,FALSE)="","-",VLOOKUP(ROUND(CONCATENATE($A86,AC$2),0),'Cadastro dos Padrões'!$A$2:$V$4400,AC$1,FALSE))</f>
        <v>-</v>
      </c>
      <c r="AD86" s="31" t="str">
        <f>IF(VLOOKUP(ROUND(CONCATENATE($A86,AD$2),0),'Cadastro dos Padrões'!$A$2:$V$4400,AD$1,FALSE)="","-",VLOOKUP(ROUND(CONCATENATE($A86,AD$2),0),'Cadastro dos Padrões'!$A$2:$V$4400,AD$1,FALSE))</f>
        <v>-</v>
      </c>
      <c r="AE86" s="31" t="str">
        <f>IF(VLOOKUP(ROUND(CONCATENATE($A86,AE$2),0),'Cadastro dos Padrões'!$A$2:$V$4400,AE$1,FALSE)="","-",VLOOKUP(ROUND(CONCATENATE($A86,AE$2),0),'Cadastro dos Padrões'!$A$2:$V$4400,AE$1,FALSE))</f>
        <v>-</v>
      </c>
      <c r="AF86" s="31" t="str">
        <f>IF(VLOOKUP(ROUND(CONCATENATE($A86,AF$2),0),'Cadastro dos Padrões'!$A$2:$V$4400,AF$1,FALSE)="","-",VLOOKUP(ROUND(CONCATENATE($A86,AF$2),0),'Cadastro dos Padrões'!$A$2:$V$4400,AF$1,FALSE))</f>
        <v>-</v>
      </c>
      <c r="AG86" s="31" t="str">
        <f>IF(VLOOKUP(ROUND(CONCATENATE($A86,AG$2),0),'Cadastro dos Padrões'!$A$2:$V$4400,AG$1,FALSE)="","-",VLOOKUP(ROUND(CONCATENATE($A86,AG$2),0),'Cadastro dos Padrões'!$A$2:$V$4400,AG$1,FALSE))</f>
        <v>-</v>
      </c>
      <c r="AH86" s="31" t="str">
        <f>IF(VLOOKUP(ROUND(CONCATENATE($A86,AH$2),0),'Cadastro dos Padrões'!$A$2:$V$4400,AH$1,FALSE)="","-",VLOOKUP(ROUND(CONCATENATE($A86,AH$2),0),'Cadastro dos Padrões'!$A$2:$V$4400,AH$1,FALSE))</f>
        <v>-</v>
      </c>
      <c r="AI86" s="31" t="str">
        <f>IF(VLOOKUP(ROUND(CONCATENATE($A86,AI$2),0),'Cadastro dos Padrões'!$A$2:$V$4400,AI$1,FALSE)="","-",VLOOKUP(ROUND(CONCATENATE($A86,AI$2),0),'Cadastro dos Padrões'!$A$2:$V$4400,AI$1,FALSE))</f>
        <v>-</v>
      </c>
      <c r="AJ86" s="31" t="str">
        <f>IF(VLOOKUP(ROUND(CONCATENATE($A86,AJ$2),0),'Cadastro dos Padrões'!$A$2:$V$4400,AJ$1,FALSE)="","-",VLOOKUP(ROUND(CONCATENATE($A86,AJ$2),0),'Cadastro dos Padrões'!$A$2:$V$4400,AJ$1,FALSE))</f>
        <v>-</v>
      </c>
      <c r="AK86" s="31" t="str">
        <f>IF(VLOOKUP(ROUND(CONCATENATE($A86,AK$2),0),'Cadastro dos Padrões'!$A$2:$V$4400,AK$1,FALSE)="","-",VLOOKUP(ROUND(CONCATENATE($A86,AK$2),0),'Cadastro dos Padrões'!$A$2:$V$4400,AK$1,FALSE))</f>
        <v>-</v>
      </c>
      <c r="AL86" s="31" t="str">
        <f>IF(VLOOKUP(ROUND(CONCATENATE($A86,AL$2),0),'Cadastro dos Padrões'!$A$2:$V$4400,AL$1,FALSE)="","-",VLOOKUP(ROUND(CONCATENATE($A86,AL$2),0),'Cadastro dos Padrões'!$A$2:$V$4400,AL$1,FALSE))</f>
        <v>-</v>
      </c>
      <c r="AM86" s="31" t="str">
        <f>IF(VLOOKUP(ROUND(CONCATENATE($A86,AM$2),0),'Cadastro dos Padrões'!$A$2:$V$4400,AM$1,FALSE)="","-",VLOOKUP(ROUND(CONCATENATE($A86,AM$2),0),'Cadastro dos Padrões'!$A$2:$V$4400,AM$1,FALSE))</f>
        <v>-</v>
      </c>
      <c r="AN86" s="31" t="str">
        <f>IF(VLOOKUP(ROUND(CONCATENATE($A86,AN$2),0),'Cadastro dos Padrões'!$A$2:$V$4400,AN$1,FALSE)="","-",VLOOKUP(ROUND(CONCATENATE($A86,AN$2),0),'Cadastro dos Padrões'!$A$2:$V$4400,AN$1,FALSE))</f>
        <v>-</v>
      </c>
      <c r="AO86" s="31" t="str">
        <f>IF(VLOOKUP(ROUND(CONCATENATE($A86,AO$2),0),'Cadastro dos Padrões'!$A$2:$V$4400,AO$1,FALSE)="","-",VLOOKUP(ROUND(CONCATENATE($A86,AO$2),0),'Cadastro dos Padrões'!$A$2:$V$4400,AO$1,FALSE))</f>
        <v>-</v>
      </c>
      <c r="AP86" s="31" t="str">
        <f>IF(VLOOKUP(ROUND(CONCATENATE($A86,AP$2),0),'Cadastro dos Padrões'!$A$2:$V$4400,AP$1,FALSE)="","-",VLOOKUP(ROUND(CONCATENATE($A86,AP$2),0),'Cadastro dos Padrões'!$A$2:$V$4400,AP$1,FALSE))</f>
        <v>-</v>
      </c>
      <c r="AQ86" s="31" t="str">
        <f>IF(VLOOKUP(ROUND(CONCATENATE($A86,AQ$2),0),'Cadastro dos Padrões'!$A$2:$V$4400,AQ$1,FALSE)="","-",VLOOKUP(ROUND(CONCATENATE($A86,AQ$2),0),'Cadastro dos Padrões'!$A$2:$V$4400,AQ$1,FALSE))</f>
        <v>-</v>
      </c>
      <c r="AR86" s="31" t="str">
        <f>IF(VLOOKUP(ROUND(CONCATENATE($A86,AR$2),0),'Cadastro dos Padrões'!$A$2:$V$4400,AR$1,FALSE)="","-",VLOOKUP(ROUND(CONCATENATE($A86,AR$2),0),'Cadastro dos Padrões'!$A$2:$V$4400,AR$1,FALSE))</f>
        <v>-</v>
      </c>
      <c r="AS86" s="31" t="str">
        <f>IF(VLOOKUP(ROUND(CONCATENATE($A86,AS$2),0),'Cadastro dos Padrões'!$A$2:$V$4400,AS$1,FALSE)="","-",VLOOKUP(ROUND(CONCATENATE($A86,AS$2),0),'Cadastro dos Padrões'!$A$2:$V$4400,AS$1,FALSE))</f>
        <v>-</v>
      </c>
      <c r="AT86" s="31" t="str">
        <f>IF(VLOOKUP(ROUND(CONCATENATE($A86,AT$2),0),'Cadastro dos Padrões'!$A$2:$V$4400,AT$1,FALSE)="","-",VLOOKUP(ROUND(CONCATENATE($A86,AT$2),0),'Cadastro dos Padrões'!$A$2:$V$4400,AT$1,FALSE))</f>
        <v>-</v>
      </c>
      <c r="AU86" s="31" t="str">
        <f>IF(VLOOKUP(ROUND(CONCATENATE($A86,AU$2),0),'Cadastro dos Padrões'!$A$2:$V$4400,AU$1,FALSE)="","-",VLOOKUP(ROUND(CONCATENATE($A86,AU$2),0),'Cadastro dos Padrões'!$A$2:$V$4400,AU$1,FALSE))</f>
        <v>-</v>
      </c>
      <c r="AV86" s="31" t="str">
        <f>IF(VLOOKUP(ROUND(CONCATENATE($A86,AV$2),0),'Cadastro dos Padrões'!$A$2:$V$4400,AV$1,FALSE)="","-",VLOOKUP(ROUND(CONCATENATE($A86,AV$2),0),'Cadastro dos Padrões'!$A$2:$V$4400,AV$1,FALSE))</f>
        <v>-</v>
      </c>
      <c r="AW86" s="31" t="str">
        <f>IF(VLOOKUP(ROUND(CONCATENATE($A86,AW$2),0),'Cadastro dos Padrões'!$A$2:$V$4400,AW$1,FALSE)="","-",VLOOKUP(ROUND(CONCATENATE($A86,AW$2),0),'Cadastro dos Padrões'!$A$2:$V$4400,AW$1,FALSE))</f>
        <v>-</v>
      </c>
      <c r="AX86" s="31" t="str">
        <f>IF(VLOOKUP(ROUND(CONCATENATE($A86,AX$2),0),'Cadastro dos Padrões'!$A$2:$V$4400,AX$1,FALSE)="","-",VLOOKUP(ROUND(CONCATENATE($A86,AX$2),0),'Cadastro dos Padrões'!$A$2:$V$4400,AX$1,FALSE))</f>
        <v>-</v>
      </c>
      <c r="AY86" s="31" t="str">
        <f>IF(VLOOKUP(ROUND(CONCATENATE($A86,AY$2),0),'Cadastro dos Padrões'!$A$2:$V$4400,AY$1,FALSE)="","-",VLOOKUP(ROUND(CONCATENATE($A86,AY$2),0),'Cadastro dos Padrões'!$A$2:$V$4400,AY$1,FALSE))</f>
        <v>-</v>
      </c>
      <c r="AZ86" s="31" t="str">
        <f>IF(VLOOKUP(ROUND(CONCATENATE($A86,AZ$2),0),'Cadastro dos Padrões'!$A$2:$V$4400,AZ$1,FALSE)="","-",VLOOKUP(ROUND(CONCATENATE($A86,AZ$2),0),'Cadastro dos Padrões'!$A$2:$V$4400,AZ$1,FALSE))</f>
        <v>-</v>
      </c>
      <c r="BA86" s="31" t="str">
        <f>IF(VLOOKUP(ROUND(CONCATENATE($A86,BA$2),0),'Cadastro dos Padrões'!$A$2:$V$4400,BA$1,FALSE)="","-",VLOOKUP(ROUND(CONCATENATE($A86,BA$2),0),'Cadastro dos Padrões'!$A$2:$V$4400,BA$1,FALSE))</f>
        <v>-</v>
      </c>
      <c r="BB86" s="31" t="str">
        <f>IF(VLOOKUP(ROUND(CONCATENATE($A86,BB$2),0),'Cadastro dos Padrões'!$A$2:$V$4400,BB$1,FALSE)="","-",VLOOKUP(ROUND(CONCATENATE($A86,BB$2),0),'Cadastro dos Padrões'!$A$2:$V$4400,BB$1,FALSE))</f>
        <v>-</v>
      </c>
      <c r="BC86" s="31" t="str">
        <f>IF(VLOOKUP(ROUND(CONCATENATE($A86,BC$2),0),'Cadastro dos Padrões'!$A$2:$V$4400,BC$1,FALSE)="","-",VLOOKUP(ROUND(CONCATENATE($A86,BC$2),0),'Cadastro dos Padrões'!$A$2:$V$4400,BC$1,FALSE))</f>
        <v>-</v>
      </c>
      <c r="BD86" s="31" t="str">
        <f>IF(VLOOKUP(ROUND(CONCATENATE($A86,BD$2),0),'Cadastro dos Padrões'!$A$2:$V$4400,BD$1,FALSE)="","-",VLOOKUP(ROUND(CONCATENATE($A86,BD$2),0),'Cadastro dos Padrões'!$A$2:$V$4400,BD$1,FALSE))</f>
        <v>-</v>
      </c>
      <c r="BE86" s="31" t="str">
        <f>IF(VLOOKUP(ROUND(CONCATENATE($A86,BE$2),0),'Cadastro dos Padrões'!$A$2:$V$4400,BE$1,FALSE)="","-",VLOOKUP(ROUND(CONCATENATE($A86,BE$2),0),'Cadastro dos Padrões'!$A$2:$V$4400,BE$1,FALSE))</f>
        <v>-</v>
      </c>
      <c r="BF86" s="31" t="str">
        <f>IF(VLOOKUP(ROUND(CONCATENATE($A86,BF$2),0),'Cadastro dos Padrões'!$A$2:$V$4400,BF$1,FALSE)="","-",VLOOKUP(ROUND(CONCATENATE($A86,BF$2),0),'Cadastro dos Padrões'!$A$2:$V$4400,BF$1,FALSE))</f>
        <v>-</v>
      </c>
      <c r="BG86" s="31" t="str">
        <f>IF(VLOOKUP(ROUND(CONCATENATE($A86,BG$2),0),'Cadastro dos Padrões'!$A$2:$V$4400,BG$1,FALSE)="","-",VLOOKUP(ROUND(CONCATENATE($A86,BG$2),0),'Cadastro dos Padrões'!$A$2:$V$4400,BG$1,FALSE))</f>
        <v>-</v>
      </c>
      <c r="BH86" s="31" t="str">
        <f>IF(VLOOKUP(ROUND(CONCATENATE($A86,BH$2),0),'Cadastro dos Padrões'!$A$2:$V$4400,BH$1,FALSE)="","-",VLOOKUP(ROUND(CONCATENATE($A86,BH$2),0),'Cadastro dos Padrões'!$A$2:$V$4400,BH$1,FALSE))</f>
        <v>-</v>
      </c>
      <c r="BI86" s="31" t="str">
        <f>IF(VLOOKUP(ROUND(CONCATENATE($A86,BI$2),0),'Cadastro dos Padrões'!$A$2:$V$4400,BI$1,FALSE)="","-",VLOOKUP(ROUND(CONCATENATE($A86,BI$2),0),'Cadastro dos Padrões'!$A$2:$V$4400,BI$1,FALSE))</f>
        <v>-</v>
      </c>
      <c r="BJ86" s="31" t="str">
        <f>IF(VLOOKUP(ROUND(CONCATENATE($A86,BJ$2),0),'Cadastro dos Padrões'!$A$2:$V$4400,BJ$1,FALSE)="","-",VLOOKUP(ROUND(CONCATENATE($A86,BJ$2),0),'Cadastro dos Padrões'!$A$2:$V$4400,BJ$1,FALSE))</f>
        <v>-</v>
      </c>
      <c r="BK86" s="31" t="str">
        <f>IF(VLOOKUP(ROUND(CONCATENATE($A86,BK$2),0),'Cadastro dos Padrões'!$A$2:$V$4400,BK$1,FALSE)="","-",VLOOKUP(ROUND(CONCATENATE($A86,BK$2),0),'Cadastro dos Padrões'!$A$2:$V$4400,BK$1,FALSE))</f>
        <v>-</v>
      </c>
      <c r="BL86" s="31" t="str">
        <f>IF(VLOOKUP(ROUND(CONCATENATE($A86,BL$2),0),'Cadastro dos Padrões'!$A$2:$V$4400,BL$1,FALSE)="","-",VLOOKUP(ROUND(CONCATENATE($A86,BL$2),0),'Cadastro dos Padrões'!$A$2:$V$4400,BL$1,FALSE))</f>
        <v>-</v>
      </c>
      <c r="BM86" s="31" t="str">
        <f>IF(VLOOKUP(ROUND(CONCATENATE($A86,BM$2),0),'Cadastro dos Padrões'!$A$2:$V$4400,BM$1,FALSE)="","-",VLOOKUP(ROUND(CONCATENATE($A86,BM$2),0),'Cadastro dos Padrões'!$A$2:$V$4400,BM$1,FALSE))</f>
        <v>-</v>
      </c>
      <c r="BN86" s="31" t="str">
        <f>IF(VLOOKUP(ROUND(CONCATENATE($A86,BN$2),0),'Cadastro dos Padrões'!$A$2:$V$4400,BN$1,FALSE)="","-",VLOOKUP(ROUND(CONCATENATE($A86,BN$2),0),'Cadastro dos Padrões'!$A$2:$V$4400,BN$1,FALSE))</f>
        <v>-</v>
      </c>
      <c r="BO86" s="31" t="str">
        <f>IF(VLOOKUP(ROUND(CONCATENATE($A86,BO$2),0),'Cadastro dos Padrões'!$A$2:$V$4400,BO$1,FALSE)="","-",VLOOKUP(ROUND(CONCATENATE($A86,BO$2),0),'Cadastro dos Padrões'!$A$2:$V$4400,BO$1,FALSE))</f>
        <v>-</v>
      </c>
    </row>
    <row r="87" spans="1:67" x14ac:dyDescent="0.3">
      <c r="A87" s="6">
        <f t="shared" si="52"/>
        <v>82</v>
      </c>
      <c r="B87" s="31" t="str">
        <f>IF(VLOOKUP(ROUND(CONCATENATE($A87,B$2),0),'Cadastro dos Padrões'!$A$2:$V$4400,B$1,FALSE)="","-",VLOOKUP(ROUND(CONCATENATE($A87,B$2),0),'Cadastro dos Padrões'!$A$2:$V$4400,B$1,FALSE))</f>
        <v>-</v>
      </c>
      <c r="C87" s="31" t="str">
        <f>IF($B87="-","-",VLOOKUP(ROUND(CONCATENATE($A87,C$2),0),'Cadastro dos Padrões'!$A$2:$V$4400,C$1,FALSE))</f>
        <v>-</v>
      </c>
      <c r="D87" s="31" t="str">
        <f>IF($B87="-","-",VLOOKUP(ROUND(CONCATENATE($A87,D$2),0),'Cadastro dos Padrões'!$A$2:$V$4400,D$1,FALSE))</f>
        <v>-</v>
      </c>
      <c r="E87" s="31" t="str">
        <f>IF($B87="-","-",VLOOKUP(ROUND(CONCATENATE($A87,E$2),0),'Cadastro dos Padrões'!$A$2:$V$4400,E$1,FALSE))</f>
        <v>-</v>
      </c>
      <c r="F87" s="31" t="str">
        <f>IF($B87="-","-",VLOOKUP(ROUND(CONCATENATE($A87,F$2),0),'Cadastro dos Padrões'!$A$2:$V$4400,F$1,FALSE))</f>
        <v>-</v>
      </c>
      <c r="G87" s="31" t="str">
        <f>IF($B87="-","-",VLOOKUP(ROUND(CONCATENATE($A87,G$2),0),'Cadastro dos Padrões'!$A$2:$V$4400,G$1,FALSE))</f>
        <v>-</v>
      </c>
      <c r="H87" s="32" t="str">
        <f>IF($B87="-","-",VLOOKUP(ROUND(CONCATENATE($A87,H$2),0),'Cadastro dos Padrões'!$A$2:$V$4400,H$1,FALSE))</f>
        <v>-</v>
      </c>
      <c r="I87" s="33" t="str">
        <f>IF($B87="-","-",VLOOKUP(ROUND(CONCATENATE($A87,I$2),0),'Cadastro dos Padrões'!$A$2:$V$4400,I$1,FALSE))</f>
        <v>-</v>
      </c>
      <c r="J87" s="31" t="str">
        <f>IF($B87="-","-",VLOOKUP(ROUND(CONCATENATE($A87,J$2),0),'Cadastro dos Padrões'!$A$2:$V$4400,J$1,FALSE))</f>
        <v>-</v>
      </c>
      <c r="K87" s="31" t="str">
        <f>IF($B87="-","-",VLOOKUP(ROUND(CONCATENATE($A87,K$2),0),'Cadastro dos Padrões'!$A$2:$V$4400,K$1,FALSE))</f>
        <v>-</v>
      </c>
      <c r="L87" s="31" t="str">
        <f>IF($B87="-","-",VLOOKUP(ROUND(CONCATENATE($A87,L$2),0),'Cadastro dos Padrões'!$A$2:$V$4400,L$1,FALSE))</f>
        <v>-</v>
      </c>
      <c r="M87" s="31" t="str">
        <f>IF($B87="-","-",VLOOKUP(ROUND(CONCATENATE($A87,M$2),0),'Cadastro dos Padrões'!$A$2:$V$4400,M$1,FALSE))</f>
        <v>-</v>
      </c>
      <c r="N87" s="31" t="str">
        <f>IF($B87="-","-",VLOOKUP(ROUND(CONCATENATE($A87,N$2),0),'Cadastro dos Padrões'!$A$2:$V$4400,N$1,FALSE))</f>
        <v>-</v>
      </c>
      <c r="O87" s="31" t="str">
        <f>IF($B87="-","-",VLOOKUP(ROUND(CONCATENATE($A87,O$2),0),'Cadastro dos Padrões'!$A$2:$V$4400,O$1,FALSE))</f>
        <v>-</v>
      </c>
      <c r="P87" s="31" t="str">
        <f>IF($B87="-","-",VLOOKUP(ROUND(CONCATENATE($A87,P$2),0),'Cadastro dos Padrões'!$A$2:$V$4400,P$1,FALSE))</f>
        <v>-</v>
      </c>
      <c r="Q87" s="31" t="str">
        <f>IF($B87="-","-",VLOOKUP(ROUND(CONCATENATE($A87,Q$2),0),'Cadastro dos Padrões'!$A$2:$V$4400,Q$1,FALSE))</f>
        <v>-</v>
      </c>
      <c r="R87" s="31" t="str">
        <f>IF($B87="-","-",VLOOKUP(ROUND(CONCATENATE($A87,R$2),0),'Cadastro dos Padrões'!$A$2:$V$4400,R$1,FALSE))</f>
        <v>-</v>
      </c>
      <c r="S87" s="31" t="str">
        <f>IF($B87="-","-",VLOOKUP(ROUND(CONCATENATE($A87,S$2),0),'Cadastro dos Padrões'!$A$2:$V$4400,S$1,FALSE))</f>
        <v>-</v>
      </c>
      <c r="T87" s="31" t="str">
        <f>IF($B87="-","-",VLOOKUP(ROUND(CONCATENATE($A87,T$2),0),'Cadastro dos Padrões'!$A$2:$V$4400,T$1,FALSE))</f>
        <v>-</v>
      </c>
      <c r="U87" s="31" t="str">
        <f>IF($B87="-","-",VLOOKUP(ROUND(CONCATENATE($A87,U$2),0),'Cadastro dos Padrões'!$A$2:$V$4400,U$1,FALSE))</f>
        <v>-</v>
      </c>
      <c r="V87" s="31" t="str">
        <f>IF($B87="-","-",VLOOKUP(ROUND(CONCATENATE($A87,V$2),0),'Cadastro dos Padrões'!$A$2:$V$4400,V$1,FALSE))</f>
        <v>-</v>
      </c>
      <c r="W87" s="31" t="str">
        <f>IF($B87="-","-",VLOOKUP(ROUND(CONCATENATE($A87,W$2),0),'Cadastro dos Padrões'!$A$2:$V$4400,W$1,FALSE))</f>
        <v>-</v>
      </c>
      <c r="X87" s="31" t="str">
        <f>IF($B87="-","-",VLOOKUP(ROUND(CONCATENATE($A87,X$2),0),'Cadastro dos Padrões'!$A$2:$V$4400,X$1,FALSE))</f>
        <v>-</v>
      </c>
      <c r="Y87" s="31" t="str">
        <f>IF($B87="-","-",VLOOKUP(ROUND(CONCATENATE($A87,Y$2),0),'Cadastro dos Padrões'!$A$2:$V$4400,Y$1,FALSE))</f>
        <v>-</v>
      </c>
      <c r="Z87" s="31" t="str">
        <f>IF($B87="-","-",VLOOKUP(ROUND(CONCATENATE($A87,Z$2),0),'Cadastro dos Padrões'!$A$2:$V$4400,Z$1,FALSE))</f>
        <v>-</v>
      </c>
      <c r="AA87" s="31" t="str">
        <f>IF($B87="-","-",VLOOKUP(ROUND(CONCATENATE($A87,AA$2),0),'Cadastro dos Padrões'!$A$2:$V$4400,AA$1,FALSE))</f>
        <v>-</v>
      </c>
      <c r="AB87" s="31" t="str">
        <f>IF(VLOOKUP(ROUND(CONCATENATE($A87,AB$2),0),'Cadastro dos Padrões'!$A$2:$V$4400,AB$1,FALSE)="","-",VLOOKUP(ROUND(CONCATENATE($A87,AB$2),0),'Cadastro dos Padrões'!$A$2:$V$4400,AB$1,FALSE))</f>
        <v>-</v>
      </c>
      <c r="AC87" s="31" t="str">
        <f>IF(VLOOKUP(ROUND(CONCATENATE($A87,AC$2),0),'Cadastro dos Padrões'!$A$2:$V$4400,AC$1,FALSE)="","-",VLOOKUP(ROUND(CONCATENATE($A87,AC$2),0),'Cadastro dos Padrões'!$A$2:$V$4400,AC$1,FALSE))</f>
        <v>-</v>
      </c>
      <c r="AD87" s="31" t="str">
        <f>IF(VLOOKUP(ROUND(CONCATENATE($A87,AD$2),0),'Cadastro dos Padrões'!$A$2:$V$4400,AD$1,FALSE)="","-",VLOOKUP(ROUND(CONCATENATE($A87,AD$2),0),'Cadastro dos Padrões'!$A$2:$V$4400,AD$1,FALSE))</f>
        <v>-</v>
      </c>
      <c r="AE87" s="31" t="str">
        <f>IF(VLOOKUP(ROUND(CONCATENATE($A87,AE$2),0),'Cadastro dos Padrões'!$A$2:$V$4400,AE$1,FALSE)="","-",VLOOKUP(ROUND(CONCATENATE($A87,AE$2),0),'Cadastro dos Padrões'!$A$2:$V$4400,AE$1,FALSE))</f>
        <v>-</v>
      </c>
      <c r="AF87" s="31" t="str">
        <f>IF(VLOOKUP(ROUND(CONCATENATE($A87,AF$2),0),'Cadastro dos Padrões'!$A$2:$V$4400,AF$1,FALSE)="","-",VLOOKUP(ROUND(CONCATENATE($A87,AF$2),0),'Cadastro dos Padrões'!$A$2:$V$4400,AF$1,FALSE))</f>
        <v>-</v>
      </c>
      <c r="AG87" s="31" t="str">
        <f>IF(VLOOKUP(ROUND(CONCATENATE($A87,AG$2),0),'Cadastro dos Padrões'!$A$2:$V$4400,AG$1,FALSE)="","-",VLOOKUP(ROUND(CONCATENATE($A87,AG$2),0),'Cadastro dos Padrões'!$A$2:$V$4400,AG$1,FALSE))</f>
        <v>-</v>
      </c>
      <c r="AH87" s="31" t="str">
        <f>IF(VLOOKUP(ROUND(CONCATENATE($A87,AH$2),0),'Cadastro dos Padrões'!$A$2:$V$4400,AH$1,FALSE)="","-",VLOOKUP(ROUND(CONCATENATE($A87,AH$2),0),'Cadastro dos Padrões'!$A$2:$V$4400,AH$1,FALSE))</f>
        <v>-</v>
      </c>
      <c r="AI87" s="31" t="str">
        <f>IF(VLOOKUP(ROUND(CONCATENATE($A87,AI$2),0),'Cadastro dos Padrões'!$A$2:$V$4400,AI$1,FALSE)="","-",VLOOKUP(ROUND(CONCATENATE($A87,AI$2),0),'Cadastro dos Padrões'!$A$2:$V$4400,AI$1,FALSE))</f>
        <v>-</v>
      </c>
      <c r="AJ87" s="31" t="str">
        <f>IF(VLOOKUP(ROUND(CONCATENATE($A87,AJ$2),0),'Cadastro dos Padrões'!$A$2:$V$4400,AJ$1,FALSE)="","-",VLOOKUP(ROUND(CONCATENATE($A87,AJ$2),0),'Cadastro dos Padrões'!$A$2:$V$4400,AJ$1,FALSE))</f>
        <v>-</v>
      </c>
      <c r="AK87" s="31" t="str">
        <f>IF(VLOOKUP(ROUND(CONCATENATE($A87,AK$2),0),'Cadastro dos Padrões'!$A$2:$V$4400,AK$1,FALSE)="","-",VLOOKUP(ROUND(CONCATENATE($A87,AK$2),0),'Cadastro dos Padrões'!$A$2:$V$4400,AK$1,FALSE))</f>
        <v>-</v>
      </c>
      <c r="AL87" s="31" t="str">
        <f>IF(VLOOKUP(ROUND(CONCATENATE($A87,AL$2),0),'Cadastro dos Padrões'!$A$2:$V$4400,AL$1,FALSE)="","-",VLOOKUP(ROUND(CONCATENATE($A87,AL$2),0),'Cadastro dos Padrões'!$A$2:$V$4400,AL$1,FALSE))</f>
        <v>-</v>
      </c>
      <c r="AM87" s="31" t="str">
        <f>IF(VLOOKUP(ROUND(CONCATENATE($A87,AM$2),0),'Cadastro dos Padrões'!$A$2:$V$4400,AM$1,FALSE)="","-",VLOOKUP(ROUND(CONCATENATE($A87,AM$2),0),'Cadastro dos Padrões'!$A$2:$V$4400,AM$1,FALSE))</f>
        <v>-</v>
      </c>
      <c r="AN87" s="31" t="str">
        <f>IF(VLOOKUP(ROUND(CONCATENATE($A87,AN$2),0),'Cadastro dos Padrões'!$A$2:$V$4400,AN$1,FALSE)="","-",VLOOKUP(ROUND(CONCATENATE($A87,AN$2),0),'Cadastro dos Padrões'!$A$2:$V$4400,AN$1,FALSE))</f>
        <v>-</v>
      </c>
      <c r="AO87" s="31" t="str">
        <f>IF(VLOOKUP(ROUND(CONCATENATE($A87,AO$2),0),'Cadastro dos Padrões'!$A$2:$V$4400,AO$1,FALSE)="","-",VLOOKUP(ROUND(CONCATENATE($A87,AO$2),0),'Cadastro dos Padrões'!$A$2:$V$4400,AO$1,FALSE))</f>
        <v>-</v>
      </c>
      <c r="AP87" s="31" t="str">
        <f>IF(VLOOKUP(ROUND(CONCATENATE($A87,AP$2),0),'Cadastro dos Padrões'!$A$2:$V$4400,AP$1,FALSE)="","-",VLOOKUP(ROUND(CONCATENATE($A87,AP$2),0),'Cadastro dos Padrões'!$A$2:$V$4400,AP$1,FALSE))</f>
        <v>-</v>
      </c>
      <c r="AQ87" s="31" t="str">
        <f>IF(VLOOKUP(ROUND(CONCATENATE($A87,AQ$2),0),'Cadastro dos Padrões'!$A$2:$V$4400,AQ$1,FALSE)="","-",VLOOKUP(ROUND(CONCATENATE($A87,AQ$2),0),'Cadastro dos Padrões'!$A$2:$V$4400,AQ$1,FALSE))</f>
        <v>-</v>
      </c>
      <c r="AR87" s="31" t="str">
        <f>IF(VLOOKUP(ROUND(CONCATENATE($A87,AR$2),0),'Cadastro dos Padrões'!$A$2:$V$4400,AR$1,FALSE)="","-",VLOOKUP(ROUND(CONCATENATE($A87,AR$2),0),'Cadastro dos Padrões'!$A$2:$V$4400,AR$1,FALSE))</f>
        <v>-</v>
      </c>
      <c r="AS87" s="31" t="str">
        <f>IF(VLOOKUP(ROUND(CONCATENATE($A87,AS$2),0),'Cadastro dos Padrões'!$A$2:$V$4400,AS$1,FALSE)="","-",VLOOKUP(ROUND(CONCATENATE($A87,AS$2),0),'Cadastro dos Padrões'!$A$2:$V$4400,AS$1,FALSE))</f>
        <v>-</v>
      </c>
      <c r="AT87" s="31" t="str">
        <f>IF(VLOOKUP(ROUND(CONCATENATE($A87,AT$2),0),'Cadastro dos Padrões'!$A$2:$V$4400,AT$1,FALSE)="","-",VLOOKUP(ROUND(CONCATENATE($A87,AT$2),0),'Cadastro dos Padrões'!$A$2:$V$4400,AT$1,FALSE))</f>
        <v>-</v>
      </c>
      <c r="AU87" s="31" t="str">
        <f>IF(VLOOKUP(ROUND(CONCATENATE($A87,AU$2),0),'Cadastro dos Padrões'!$A$2:$V$4400,AU$1,FALSE)="","-",VLOOKUP(ROUND(CONCATENATE($A87,AU$2),0),'Cadastro dos Padrões'!$A$2:$V$4400,AU$1,FALSE))</f>
        <v>-</v>
      </c>
      <c r="AV87" s="31" t="str">
        <f>IF(VLOOKUP(ROUND(CONCATENATE($A87,AV$2),0),'Cadastro dos Padrões'!$A$2:$V$4400,AV$1,FALSE)="","-",VLOOKUP(ROUND(CONCATENATE($A87,AV$2),0),'Cadastro dos Padrões'!$A$2:$V$4400,AV$1,FALSE))</f>
        <v>-</v>
      </c>
      <c r="AW87" s="31" t="str">
        <f>IF(VLOOKUP(ROUND(CONCATENATE($A87,AW$2),0),'Cadastro dos Padrões'!$A$2:$V$4400,AW$1,FALSE)="","-",VLOOKUP(ROUND(CONCATENATE($A87,AW$2),0),'Cadastro dos Padrões'!$A$2:$V$4400,AW$1,FALSE))</f>
        <v>-</v>
      </c>
      <c r="AX87" s="31" t="str">
        <f>IF(VLOOKUP(ROUND(CONCATENATE($A87,AX$2),0),'Cadastro dos Padrões'!$A$2:$V$4400,AX$1,FALSE)="","-",VLOOKUP(ROUND(CONCATENATE($A87,AX$2),0),'Cadastro dos Padrões'!$A$2:$V$4400,AX$1,FALSE))</f>
        <v>-</v>
      </c>
      <c r="AY87" s="31" t="str">
        <f>IF(VLOOKUP(ROUND(CONCATENATE($A87,AY$2),0),'Cadastro dos Padrões'!$A$2:$V$4400,AY$1,FALSE)="","-",VLOOKUP(ROUND(CONCATENATE($A87,AY$2),0),'Cadastro dos Padrões'!$A$2:$V$4400,AY$1,FALSE))</f>
        <v>-</v>
      </c>
      <c r="AZ87" s="31" t="str">
        <f>IF(VLOOKUP(ROUND(CONCATENATE($A87,AZ$2),0),'Cadastro dos Padrões'!$A$2:$V$4400,AZ$1,FALSE)="","-",VLOOKUP(ROUND(CONCATENATE($A87,AZ$2),0),'Cadastro dos Padrões'!$A$2:$V$4400,AZ$1,FALSE))</f>
        <v>-</v>
      </c>
      <c r="BA87" s="31" t="str">
        <f>IF(VLOOKUP(ROUND(CONCATENATE($A87,BA$2),0),'Cadastro dos Padrões'!$A$2:$V$4400,BA$1,FALSE)="","-",VLOOKUP(ROUND(CONCATENATE($A87,BA$2),0),'Cadastro dos Padrões'!$A$2:$V$4400,BA$1,FALSE))</f>
        <v>-</v>
      </c>
      <c r="BB87" s="31" t="str">
        <f>IF(VLOOKUP(ROUND(CONCATENATE($A87,BB$2),0),'Cadastro dos Padrões'!$A$2:$V$4400,BB$1,FALSE)="","-",VLOOKUP(ROUND(CONCATENATE($A87,BB$2),0),'Cadastro dos Padrões'!$A$2:$V$4400,BB$1,FALSE))</f>
        <v>-</v>
      </c>
      <c r="BC87" s="31" t="str">
        <f>IF(VLOOKUP(ROUND(CONCATENATE($A87,BC$2),0),'Cadastro dos Padrões'!$A$2:$V$4400,BC$1,FALSE)="","-",VLOOKUP(ROUND(CONCATENATE($A87,BC$2),0),'Cadastro dos Padrões'!$A$2:$V$4400,BC$1,FALSE))</f>
        <v>-</v>
      </c>
      <c r="BD87" s="31" t="str">
        <f>IF(VLOOKUP(ROUND(CONCATENATE($A87,BD$2),0),'Cadastro dos Padrões'!$A$2:$V$4400,BD$1,FALSE)="","-",VLOOKUP(ROUND(CONCATENATE($A87,BD$2),0),'Cadastro dos Padrões'!$A$2:$V$4400,BD$1,FALSE))</f>
        <v>-</v>
      </c>
      <c r="BE87" s="31" t="str">
        <f>IF(VLOOKUP(ROUND(CONCATENATE($A87,BE$2),0),'Cadastro dos Padrões'!$A$2:$V$4400,BE$1,FALSE)="","-",VLOOKUP(ROUND(CONCATENATE($A87,BE$2),0),'Cadastro dos Padrões'!$A$2:$V$4400,BE$1,FALSE))</f>
        <v>-</v>
      </c>
      <c r="BF87" s="31" t="str">
        <f>IF(VLOOKUP(ROUND(CONCATENATE($A87,BF$2),0),'Cadastro dos Padrões'!$A$2:$V$4400,BF$1,FALSE)="","-",VLOOKUP(ROUND(CONCATENATE($A87,BF$2),0),'Cadastro dos Padrões'!$A$2:$V$4400,BF$1,FALSE))</f>
        <v>-</v>
      </c>
      <c r="BG87" s="31" t="str">
        <f>IF(VLOOKUP(ROUND(CONCATENATE($A87,BG$2),0),'Cadastro dos Padrões'!$A$2:$V$4400,BG$1,FALSE)="","-",VLOOKUP(ROUND(CONCATENATE($A87,BG$2),0),'Cadastro dos Padrões'!$A$2:$V$4400,BG$1,FALSE))</f>
        <v>-</v>
      </c>
      <c r="BH87" s="31" t="str">
        <f>IF(VLOOKUP(ROUND(CONCATENATE($A87,BH$2),0),'Cadastro dos Padrões'!$A$2:$V$4400,BH$1,FALSE)="","-",VLOOKUP(ROUND(CONCATENATE($A87,BH$2),0),'Cadastro dos Padrões'!$A$2:$V$4400,BH$1,FALSE))</f>
        <v>-</v>
      </c>
      <c r="BI87" s="31" t="str">
        <f>IF(VLOOKUP(ROUND(CONCATENATE($A87,BI$2),0),'Cadastro dos Padrões'!$A$2:$V$4400,BI$1,FALSE)="","-",VLOOKUP(ROUND(CONCATENATE($A87,BI$2),0),'Cadastro dos Padrões'!$A$2:$V$4400,BI$1,FALSE))</f>
        <v>-</v>
      </c>
      <c r="BJ87" s="31" t="str">
        <f>IF(VLOOKUP(ROUND(CONCATENATE($A87,BJ$2),0),'Cadastro dos Padrões'!$A$2:$V$4400,BJ$1,FALSE)="","-",VLOOKUP(ROUND(CONCATENATE($A87,BJ$2),0),'Cadastro dos Padrões'!$A$2:$V$4400,BJ$1,FALSE))</f>
        <v>-</v>
      </c>
      <c r="BK87" s="31" t="str">
        <f>IF(VLOOKUP(ROUND(CONCATENATE($A87,BK$2),0),'Cadastro dos Padrões'!$A$2:$V$4400,BK$1,FALSE)="","-",VLOOKUP(ROUND(CONCATENATE($A87,BK$2),0),'Cadastro dos Padrões'!$A$2:$V$4400,BK$1,FALSE))</f>
        <v>-</v>
      </c>
      <c r="BL87" s="31" t="str">
        <f>IF(VLOOKUP(ROUND(CONCATENATE($A87,BL$2),0),'Cadastro dos Padrões'!$A$2:$V$4400,BL$1,FALSE)="","-",VLOOKUP(ROUND(CONCATENATE($A87,BL$2),0),'Cadastro dos Padrões'!$A$2:$V$4400,BL$1,FALSE))</f>
        <v>-</v>
      </c>
      <c r="BM87" s="31" t="str">
        <f>IF(VLOOKUP(ROUND(CONCATENATE($A87,BM$2),0),'Cadastro dos Padrões'!$A$2:$V$4400,BM$1,FALSE)="","-",VLOOKUP(ROUND(CONCATENATE($A87,BM$2),0),'Cadastro dos Padrões'!$A$2:$V$4400,BM$1,FALSE))</f>
        <v>-</v>
      </c>
      <c r="BN87" s="31" t="str">
        <f>IF(VLOOKUP(ROUND(CONCATENATE($A87,BN$2),0),'Cadastro dos Padrões'!$A$2:$V$4400,BN$1,FALSE)="","-",VLOOKUP(ROUND(CONCATENATE($A87,BN$2),0),'Cadastro dos Padrões'!$A$2:$V$4400,BN$1,FALSE))</f>
        <v>-</v>
      </c>
      <c r="BO87" s="31" t="str">
        <f>IF(VLOOKUP(ROUND(CONCATENATE($A87,BO$2),0),'Cadastro dos Padrões'!$A$2:$V$4400,BO$1,FALSE)="","-",VLOOKUP(ROUND(CONCATENATE($A87,BO$2),0),'Cadastro dos Padrões'!$A$2:$V$4400,BO$1,FALSE))</f>
        <v>-</v>
      </c>
    </row>
    <row r="88" spans="1:67" x14ac:dyDescent="0.3">
      <c r="A88" s="6">
        <f t="shared" si="52"/>
        <v>83</v>
      </c>
      <c r="B88" s="31" t="str">
        <f>IF(VLOOKUP(ROUND(CONCATENATE($A88,B$2),0),'Cadastro dos Padrões'!$A$2:$V$4400,B$1,FALSE)="","-",VLOOKUP(ROUND(CONCATENATE($A88,B$2),0),'Cadastro dos Padrões'!$A$2:$V$4400,B$1,FALSE))</f>
        <v>-</v>
      </c>
      <c r="C88" s="31" t="str">
        <f>IF($B88="-","-",VLOOKUP(ROUND(CONCATENATE($A88,C$2),0),'Cadastro dos Padrões'!$A$2:$V$4400,C$1,FALSE))</f>
        <v>-</v>
      </c>
      <c r="D88" s="31" t="str">
        <f>IF($B88="-","-",VLOOKUP(ROUND(CONCATENATE($A88,D$2),0),'Cadastro dos Padrões'!$A$2:$V$4400,D$1,FALSE))</f>
        <v>-</v>
      </c>
      <c r="E88" s="31" t="str">
        <f>IF($B88="-","-",VLOOKUP(ROUND(CONCATENATE($A88,E$2),0),'Cadastro dos Padrões'!$A$2:$V$4400,E$1,FALSE))</f>
        <v>-</v>
      </c>
      <c r="F88" s="31" t="str">
        <f>IF($B88="-","-",VLOOKUP(ROUND(CONCATENATE($A88,F$2),0),'Cadastro dos Padrões'!$A$2:$V$4400,F$1,FALSE))</f>
        <v>-</v>
      </c>
      <c r="G88" s="31" t="str">
        <f>IF($B88="-","-",VLOOKUP(ROUND(CONCATENATE($A88,G$2),0),'Cadastro dos Padrões'!$A$2:$V$4400,G$1,FALSE))</f>
        <v>-</v>
      </c>
      <c r="H88" s="32" t="str">
        <f>IF($B88="-","-",VLOOKUP(ROUND(CONCATENATE($A88,H$2),0),'Cadastro dos Padrões'!$A$2:$V$4400,H$1,FALSE))</f>
        <v>-</v>
      </c>
      <c r="I88" s="33" t="str">
        <f>IF($B88="-","-",VLOOKUP(ROUND(CONCATENATE($A88,I$2),0),'Cadastro dos Padrões'!$A$2:$V$4400,I$1,FALSE))</f>
        <v>-</v>
      </c>
      <c r="J88" s="31" t="str">
        <f>IF($B88="-","-",VLOOKUP(ROUND(CONCATENATE($A88,J$2),0),'Cadastro dos Padrões'!$A$2:$V$4400,J$1,FALSE))</f>
        <v>-</v>
      </c>
      <c r="K88" s="31" t="str">
        <f>IF($B88="-","-",VLOOKUP(ROUND(CONCATENATE($A88,K$2),0),'Cadastro dos Padrões'!$A$2:$V$4400,K$1,FALSE))</f>
        <v>-</v>
      </c>
      <c r="L88" s="31" t="str">
        <f>IF($B88="-","-",VLOOKUP(ROUND(CONCATENATE($A88,L$2),0),'Cadastro dos Padrões'!$A$2:$V$4400,L$1,FALSE))</f>
        <v>-</v>
      </c>
      <c r="M88" s="31" t="str">
        <f>IF($B88="-","-",VLOOKUP(ROUND(CONCATENATE($A88,M$2),0),'Cadastro dos Padrões'!$A$2:$V$4400,M$1,FALSE))</f>
        <v>-</v>
      </c>
      <c r="N88" s="31" t="str">
        <f>IF($B88="-","-",VLOOKUP(ROUND(CONCATENATE($A88,N$2),0),'Cadastro dos Padrões'!$A$2:$V$4400,N$1,FALSE))</f>
        <v>-</v>
      </c>
      <c r="O88" s="31" t="str">
        <f>IF($B88="-","-",VLOOKUP(ROUND(CONCATENATE($A88,O$2),0),'Cadastro dos Padrões'!$A$2:$V$4400,O$1,FALSE))</f>
        <v>-</v>
      </c>
      <c r="P88" s="31" t="str">
        <f>IF($B88="-","-",VLOOKUP(ROUND(CONCATENATE($A88,P$2),0),'Cadastro dos Padrões'!$A$2:$V$4400,P$1,FALSE))</f>
        <v>-</v>
      </c>
      <c r="Q88" s="31" t="str">
        <f>IF($B88="-","-",VLOOKUP(ROUND(CONCATENATE($A88,Q$2),0),'Cadastro dos Padrões'!$A$2:$V$4400,Q$1,FALSE))</f>
        <v>-</v>
      </c>
      <c r="R88" s="31" t="str">
        <f>IF($B88="-","-",VLOOKUP(ROUND(CONCATENATE($A88,R$2),0),'Cadastro dos Padrões'!$A$2:$V$4400,R$1,FALSE))</f>
        <v>-</v>
      </c>
      <c r="S88" s="31" t="str">
        <f>IF($B88="-","-",VLOOKUP(ROUND(CONCATENATE($A88,S$2),0),'Cadastro dos Padrões'!$A$2:$V$4400,S$1,FALSE))</f>
        <v>-</v>
      </c>
      <c r="T88" s="31" t="str">
        <f>IF($B88="-","-",VLOOKUP(ROUND(CONCATENATE($A88,T$2),0),'Cadastro dos Padrões'!$A$2:$V$4400,T$1,FALSE))</f>
        <v>-</v>
      </c>
      <c r="U88" s="31" t="str">
        <f>IF($B88="-","-",VLOOKUP(ROUND(CONCATENATE($A88,U$2),0),'Cadastro dos Padrões'!$A$2:$V$4400,U$1,FALSE))</f>
        <v>-</v>
      </c>
      <c r="V88" s="31" t="str">
        <f>IF($B88="-","-",VLOOKUP(ROUND(CONCATENATE($A88,V$2),0),'Cadastro dos Padrões'!$A$2:$V$4400,V$1,FALSE))</f>
        <v>-</v>
      </c>
      <c r="W88" s="31" t="str">
        <f>IF($B88="-","-",VLOOKUP(ROUND(CONCATENATE($A88,W$2),0),'Cadastro dos Padrões'!$A$2:$V$4400,W$1,FALSE))</f>
        <v>-</v>
      </c>
      <c r="X88" s="31" t="str">
        <f>IF($B88="-","-",VLOOKUP(ROUND(CONCATENATE($A88,X$2),0),'Cadastro dos Padrões'!$A$2:$V$4400,X$1,FALSE))</f>
        <v>-</v>
      </c>
      <c r="Y88" s="31" t="str">
        <f>IF($B88="-","-",VLOOKUP(ROUND(CONCATENATE($A88,Y$2),0),'Cadastro dos Padrões'!$A$2:$V$4400,Y$1,FALSE))</f>
        <v>-</v>
      </c>
      <c r="Z88" s="31" t="str">
        <f>IF($B88="-","-",VLOOKUP(ROUND(CONCATENATE($A88,Z$2),0),'Cadastro dos Padrões'!$A$2:$V$4400,Z$1,FALSE))</f>
        <v>-</v>
      </c>
      <c r="AA88" s="31" t="str">
        <f>IF($B88="-","-",VLOOKUP(ROUND(CONCATENATE($A88,AA$2),0),'Cadastro dos Padrões'!$A$2:$V$4400,AA$1,FALSE))</f>
        <v>-</v>
      </c>
      <c r="AB88" s="31" t="str">
        <f>IF(VLOOKUP(ROUND(CONCATENATE($A88,AB$2),0),'Cadastro dos Padrões'!$A$2:$V$4400,AB$1,FALSE)="","-",VLOOKUP(ROUND(CONCATENATE($A88,AB$2),0),'Cadastro dos Padrões'!$A$2:$V$4400,AB$1,FALSE))</f>
        <v>-</v>
      </c>
      <c r="AC88" s="31" t="str">
        <f>IF(VLOOKUP(ROUND(CONCATENATE($A88,AC$2),0),'Cadastro dos Padrões'!$A$2:$V$4400,AC$1,FALSE)="","-",VLOOKUP(ROUND(CONCATENATE($A88,AC$2),0),'Cadastro dos Padrões'!$A$2:$V$4400,AC$1,FALSE))</f>
        <v>-</v>
      </c>
      <c r="AD88" s="31" t="str">
        <f>IF(VLOOKUP(ROUND(CONCATENATE($A88,AD$2),0),'Cadastro dos Padrões'!$A$2:$V$4400,AD$1,FALSE)="","-",VLOOKUP(ROUND(CONCATENATE($A88,AD$2),0),'Cadastro dos Padrões'!$A$2:$V$4400,AD$1,FALSE))</f>
        <v>-</v>
      </c>
      <c r="AE88" s="31" t="str">
        <f>IF(VLOOKUP(ROUND(CONCATENATE($A88,AE$2),0),'Cadastro dos Padrões'!$A$2:$V$4400,AE$1,FALSE)="","-",VLOOKUP(ROUND(CONCATENATE($A88,AE$2),0),'Cadastro dos Padrões'!$A$2:$V$4400,AE$1,FALSE))</f>
        <v>-</v>
      </c>
      <c r="AF88" s="31" t="str">
        <f>IF(VLOOKUP(ROUND(CONCATENATE($A88,AF$2),0),'Cadastro dos Padrões'!$A$2:$V$4400,AF$1,FALSE)="","-",VLOOKUP(ROUND(CONCATENATE($A88,AF$2),0),'Cadastro dos Padrões'!$A$2:$V$4400,AF$1,FALSE))</f>
        <v>-</v>
      </c>
      <c r="AG88" s="31" t="str">
        <f>IF(VLOOKUP(ROUND(CONCATENATE($A88,AG$2),0),'Cadastro dos Padrões'!$A$2:$V$4400,AG$1,FALSE)="","-",VLOOKUP(ROUND(CONCATENATE($A88,AG$2),0),'Cadastro dos Padrões'!$A$2:$V$4400,AG$1,FALSE))</f>
        <v>-</v>
      </c>
      <c r="AH88" s="31" t="str">
        <f>IF(VLOOKUP(ROUND(CONCATENATE($A88,AH$2),0),'Cadastro dos Padrões'!$A$2:$V$4400,AH$1,FALSE)="","-",VLOOKUP(ROUND(CONCATENATE($A88,AH$2),0),'Cadastro dos Padrões'!$A$2:$V$4400,AH$1,FALSE))</f>
        <v>-</v>
      </c>
      <c r="AI88" s="31" t="str">
        <f>IF(VLOOKUP(ROUND(CONCATENATE($A88,AI$2),0),'Cadastro dos Padrões'!$A$2:$V$4400,AI$1,FALSE)="","-",VLOOKUP(ROUND(CONCATENATE($A88,AI$2),0),'Cadastro dos Padrões'!$A$2:$V$4400,AI$1,FALSE))</f>
        <v>-</v>
      </c>
      <c r="AJ88" s="31" t="str">
        <f>IF(VLOOKUP(ROUND(CONCATENATE($A88,AJ$2),0),'Cadastro dos Padrões'!$A$2:$V$4400,AJ$1,FALSE)="","-",VLOOKUP(ROUND(CONCATENATE($A88,AJ$2),0),'Cadastro dos Padrões'!$A$2:$V$4400,AJ$1,FALSE))</f>
        <v>-</v>
      </c>
      <c r="AK88" s="31" t="str">
        <f>IF(VLOOKUP(ROUND(CONCATENATE($A88,AK$2),0),'Cadastro dos Padrões'!$A$2:$V$4400,AK$1,FALSE)="","-",VLOOKUP(ROUND(CONCATENATE($A88,AK$2),0),'Cadastro dos Padrões'!$A$2:$V$4400,AK$1,FALSE))</f>
        <v>-</v>
      </c>
      <c r="AL88" s="31" t="str">
        <f>IF(VLOOKUP(ROUND(CONCATENATE($A88,AL$2),0),'Cadastro dos Padrões'!$A$2:$V$4400,AL$1,FALSE)="","-",VLOOKUP(ROUND(CONCATENATE($A88,AL$2),0),'Cadastro dos Padrões'!$A$2:$V$4400,AL$1,FALSE))</f>
        <v>-</v>
      </c>
      <c r="AM88" s="31" t="str">
        <f>IF(VLOOKUP(ROUND(CONCATENATE($A88,AM$2),0),'Cadastro dos Padrões'!$A$2:$V$4400,AM$1,FALSE)="","-",VLOOKUP(ROUND(CONCATENATE($A88,AM$2),0),'Cadastro dos Padrões'!$A$2:$V$4400,AM$1,FALSE))</f>
        <v>-</v>
      </c>
      <c r="AN88" s="31" t="str">
        <f>IF(VLOOKUP(ROUND(CONCATENATE($A88,AN$2),0),'Cadastro dos Padrões'!$A$2:$V$4400,AN$1,FALSE)="","-",VLOOKUP(ROUND(CONCATENATE($A88,AN$2),0),'Cadastro dos Padrões'!$A$2:$V$4400,AN$1,FALSE))</f>
        <v>-</v>
      </c>
      <c r="AO88" s="31" t="str">
        <f>IF(VLOOKUP(ROUND(CONCATENATE($A88,AO$2),0),'Cadastro dos Padrões'!$A$2:$V$4400,AO$1,FALSE)="","-",VLOOKUP(ROUND(CONCATENATE($A88,AO$2),0),'Cadastro dos Padrões'!$A$2:$V$4400,AO$1,FALSE))</f>
        <v>-</v>
      </c>
      <c r="AP88" s="31" t="str">
        <f>IF(VLOOKUP(ROUND(CONCATENATE($A88,AP$2),0),'Cadastro dos Padrões'!$A$2:$V$4400,AP$1,FALSE)="","-",VLOOKUP(ROUND(CONCATENATE($A88,AP$2),0),'Cadastro dos Padrões'!$A$2:$V$4400,AP$1,FALSE))</f>
        <v>-</v>
      </c>
      <c r="AQ88" s="31" t="str">
        <f>IF(VLOOKUP(ROUND(CONCATENATE($A88,AQ$2),0),'Cadastro dos Padrões'!$A$2:$V$4400,AQ$1,FALSE)="","-",VLOOKUP(ROUND(CONCATENATE($A88,AQ$2),0),'Cadastro dos Padrões'!$A$2:$V$4400,AQ$1,FALSE))</f>
        <v>-</v>
      </c>
      <c r="AR88" s="31" t="str">
        <f>IF(VLOOKUP(ROUND(CONCATENATE($A88,AR$2),0),'Cadastro dos Padrões'!$A$2:$V$4400,AR$1,FALSE)="","-",VLOOKUP(ROUND(CONCATENATE($A88,AR$2),0),'Cadastro dos Padrões'!$A$2:$V$4400,AR$1,FALSE))</f>
        <v>-</v>
      </c>
      <c r="AS88" s="31" t="str">
        <f>IF(VLOOKUP(ROUND(CONCATENATE($A88,AS$2),0),'Cadastro dos Padrões'!$A$2:$V$4400,AS$1,FALSE)="","-",VLOOKUP(ROUND(CONCATENATE($A88,AS$2),0),'Cadastro dos Padrões'!$A$2:$V$4400,AS$1,FALSE))</f>
        <v>-</v>
      </c>
      <c r="AT88" s="31" t="str">
        <f>IF(VLOOKUP(ROUND(CONCATENATE($A88,AT$2),0),'Cadastro dos Padrões'!$A$2:$V$4400,AT$1,FALSE)="","-",VLOOKUP(ROUND(CONCATENATE($A88,AT$2),0),'Cadastro dos Padrões'!$A$2:$V$4400,AT$1,FALSE))</f>
        <v>-</v>
      </c>
      <c r="AU88" s="31" t="str">
        <f>IF(VLOOKUP(ROUND(CONCATENATE($A88,AU$2),0),'Cadastro dos Padrões'!$A$2:$V$4400,AU$1,FALSE)="","-",VLOOKUP(ROUND(CONCATENATE($A88,AU$2),0),'Cadastro dos Padrões'!$A$2:$V$4400,AU$1,FALSE))</f>
        <v>-</v>
      </c>
      <c r="AV88" s="31" t="str">
        <f>IF(VLOOKUP(ROUND(CONCATENATE($A88,AV$2),0),'Cadastro dos Padrões'!$A$2:$V$4400,AV$1,FALSE)="","-",VLOOKUP(ROUND(CONCATENATE($A88,AV$2),0),'Cadastro dos Padrões'!$A$2:$V$4400,AV$1,FALSE))</f>
        <v>-</v>
      </c>
      <c r="AW88" s="31" t="str">
        <f>IF(VLOOKUP(ROUND(CONCATENATE($A88,AW$2),0),'Cadastro dos Padrões'!$A$2:$V$4400,AW$1,FALSE)="","-",VLOOKUP(ROUND(CONCATENATE($A88,AW$2),0),'Cadastro dos Padrões'!$A$2:$V$4400,AW$1,FALSE))</f>
        <v>-</v>
      </c>
      <c r="AX88" s="31" t="str">
        <f>IF(VLOOKUP(ROUND(CONCATENATE($A88,AX$2),0),'Cadastro dos Padrões'!$A$2:$V$4400,AX$1,FALSE)="","-",VLOOKUP(ROUND(CONCATENATE($A88,AX$2),0),'Cadastro dos Padrões'!$A$2:$V$4400,AX$1,FALSE))</f>
        <v>-</v>
      </c>
      <c r="AY88" s="31" t="str">
        <f>IF(VLOOKUP(ROUND(CONCATENATE($A88,AY$2),0),'Cadastro dos Padrões'!$A$2:$V$4400,AY$1,FALSE)="","-",VLOOKUP(ROUND(CONCATENATE($A88,AY$2),0),'Cadastro dos Padrões'!$A$2:$V$4400,AY$1,FALSE))</f>
        <v>-</v>
      </c>
      <c r="AZ88" s="31" t="str">
        <f>IF(VLOOKUP(ROUND(CONCATENATE($A88,AZ$2),0),'Cadastro dos Padrões'!$A$2:$V$4400,AZ$1,FALSE)="","-",VLOOKUP(ROUND(CONCATENATE($A88,AZ$2),0),'Cadastro dos Padrões'!$A$2:$V$4400,AZ$1,FALSE))</f>
        <v>-</v>
      </c>
      <c r="BA88" s="31" t="str">
        <f>IF(VLOOKUP(ROUND(CONCATENATE($A88,BA$2),0),'Cadastro dos Padrões'!$A$2:$V$4400,BA$1,FALSE)="","-",VLOOKUP(ROUND(CONCATENATE($A88,BA$2),0),'Cadastro dos Padrões'!$A$2:$V$4400,BA$1,FALSE))</f>
        <v>-</v>
      </c>
      <c r="BB88" s="31" t="str">
        <f>IF(VLOOKUP(ROUND(CONCATENATE($A88,BB$2),0),'Cadastro dos Padrões'!$A$2:$V$4400,BB$1,FALSE)="","-",VLOOKUP(ROUND(CONCATENATE($A88,BB$2),0),'Cadastro dos Padrões'!$A$2:$V$4400,BB$1,FALSE))</f>
        <v>-</v>
      </c>
      <c r="BC88" s="31" t="str">
        <f>IF(VLOOKUP(ROUND(CONCATENATE($A88,BC$2),0),'Cadastro dos Padrões'!$A$2:$V$4400,BC$1,FALSE)="","-",VLOOKUP(ROUND(CONCATENATE($A88,BC$2),0),'Cadastro dos Padrões'!$A$2:$V$4400,BC$1,FALSE))</f>
        <v>-</v>
      </c>
      <c r="BD88" s="31" t="str">
        <f>IF(VLOOKUP(ROUND(CONCATENATE($A88,BD$2),0),'Cadastro dos Padrões'!$A$2:$V$4400,BD$1,FALSE)="","-",VLOOKUP(ROUND(CONCATENATE($A88,BD$2),0),'Cadastro dos Padrões'!$A$2:$V$4400,BD$1,FALSE))</f>
        <v>-</v>
      </c>
      <c r="BE88" s="31" t="str">
        <f>IF(VLOOKUP(ROUND(CONCATENATE($A88,BE$2),0),'Cadastro dos Padrões'!$A$2:$V$4400,BE$1,FALSE)="","-",VLOOKUP(ROUND(CONCATENATE($A88,BE$2),0),'Cadastro dos Padrões'!$A$2:$V$4400,BE$1,FALSE))</f>
        <v>-</v>
      </c>
      <c r="BF88" s="31" t="str">
        <f>IF(VLOOKUP(ROUND(CONCATENATE($A88,BF$2),0),'Cadastro dos Padrões'!$A$2:$V$4400,BF$1,FALSE)="","-",VLOOKUP(ROUND(CONCATENATE($A88,BF$2),0),'Cadastro dos Padrões'!$A$2:$V$4400,BF$1,FALSE))</f>
        <v>-</v>
      </c>
      <c r="BG88" s="31" t="str">
        <f>IF(VLOOKUP(ROUND(CONCATENATE($A88,BG$2),0),'Cadastro dos Padrões'!$A$2:$V$4400,BG$1,FALSE)="","-",VLOOKUP(ROUND(CONCATENATE($A88,BG$2),0),'Cadastro dos Padrões'!$A$2:$V$4400,BG$1,FALSE))</f>
        <v>-</v>
      </c>
      <c r="BH88" s="31" t="str">
        <f>IF(VLOOKUP(ROUND(CONCATENATE($A88,BH$2),0),'Cadastro dos Padrões'!$A$2:$V$4400,BH$1,FALSE)="","-",VLOOKUP(ROUND(CONCATENATE($A88,BH$2),0),'Cadastro dos Padrões'!$A$2:$V$4400,BH$1,FALSE))</f>
        <v>-</v>
      </c>
      <c r="BI88" s="31" t="str">
        <f>IF(VLOOKUP(ROUND(CONCATENATE($A88,BI$2),0),'Cadastro dos Padrões'!$A$2:$V$4400,BI$1,FALSE)="","-",VLOOKUP(ROUND(CONCATENATE($A88,BI$2),0),'Cadastro dos Padrões'!$A$2:$V$4400,BI$1,FALSE))</f>
        <v>-</v>
      </c>
      <c r="BJ88" s="31" t="str">
        <f>IF(VLOOKUP(ROUND(CONCATENATE($A88,BJ$2),0),'Cadastro dos Padrões'!$A$2:$V$4400,BJ$1,FALSE)="","-",VLOOKUP(ROUND(CONCATENATE($A88,BJ$2),0),'Cadastro dos Padrões'!$A$2:$V$4400,BJ$1,FALSE))</f>
        <v>-</v>
      </c>
      <c r="BK88" s="31" t="str">
        <f>IF(VLOOKUP(ROUND(CONCATENATE($A88,BK$2),0),'Cadastro dos Padrões'!$A$2:$V$4400,BK$1,FALSE)="","-",VLOOKUP(ROUND(CONCATENATE($A88,BK$2),0),'Cadastro dos Padrões'!$A$2:$V$4400,BK$1,FALSE))</f>
        <v>-</v>
      </c>
      <c r="BL88" s="31" t="str">
        <f>IF(VLOOKUP(ROUND(CONCATENATE($A88,BL$2),0),'Cadastro dos Padrões'!$A$2:$V$4400,BL$1,FALSE)="","-",VLOOKUP(ROUND(CONCATENATE($A88,BL$2),0),'Cadastro dos Padrões'!$A$2:$V$4400,BL$1,FALSE))</f>
        <v>-</v>
      </c>
      <c r="BM88" s="31" t="str">
        <f>IF(VLOOKUP(ROUND(CONCATENATE($A88,BM$2),0),'Cadastro dos Padrões'!$A$2:$V$4400,BM$1,FALSE)="","-",VLOOKUP(ROUND(CONCATENATE($A88,BM$2),0),'Cadastro dos Padrões'!$A$2:$V$4400,BM$1,FALSE))</f>
        <v>-</v>
      </c>
      <c r="BN88" s="31" t="str">
        <f>IF(VLOOKUP(ROUND(CONCATENATE($A88,BN$2),0),'Cadastro dos Padrões'!$A$2:$V$4400,BN$1,FALSE)="","-",VLOOKUP(ROUND(CONCATENATE($A88,BN$2),0),'Cadastro dos Padrões'!$A$2:$V$4400,BN$1,FALSE))</f>
        <v>-</v>
      </c>
      <c r="BO88" s="31" t="str">
        <f>IF(VLOOKUP(ROUND(CONCATENATE($A88,BO$2),0),'Cadastro dos Padrões'!$A$2:$V$4400,BO$1,FALSE)="","-",VLOOKUP(ROUND(CONCATENATE($A88,BO$2),0),'Cadastro dos Padrões'!$A$2:$V$4400,BO$1,FALSE))</f>
        <v>-</v>
      </c>
    </row>
    <row r="89" spans="1:67" x14ac:dyDescent="0.3">
      <c r="A89" s="6">
        <f t="shared" si="52"/>
        <v>84</v>
      </c>
      <c r="B89" s="31" t="str">
        <f>IF(VLOOKUP(ROUND(CONCATENATE($A89,B$2),0),'Cadastro dos Padrões'!$A$2:$V$4400,B$1,FALSE)="","-",VLOOKUP(ROUND(CONCATENATE($A89,B$2),0),'Cadastro dos Padrões'!$A$2:$V$4400,B$1,FALSE))</f>
        <v>-</v>
      </c>
      <c r="C89" s="31" t="str">
        <f>IF($B89="-","-",VLOOKUP(ROUND(CONCATENATE($A89,C$2),0),'Cadastro dos Padrões'!$A$2:$V$4400,C$1,FALSE))</f>
        <v>-</v>
      </c>
      <c r="D89" s="31" t="str">
        <f>IF($B89="-","-",VLOOKUP(ROUND(CONCATENATE($A89,D$2),0),'Cadastro dos Padrões'!$A$2:$V$4400,D$1,FALSE))</f>
        <v>-</v>
      </c>
      <c r="E89" s="31" t="str">
        <f>IF($B89="-","-",VLOOKUP(ROUND(CONCATENATE($A89,E$2),0),'Cadastro dos Padrões'!$A$2:$V$4400,E$1,FALSE))</f>
        <v>-</v>
      </c>
      <c r="F89" s="31" t="str">
        <f>IF($B89="-","-",VLOOKUP(ROUND(CONCATENATE($A89,F$2),0),'Cadastro dos Padrões'!$A$2:$V$4400,F$1,FALSE))</f>
        <v>-</v>
      </c>
      <c r="G89" s="31" t="str">
        <f>IF($B89="-","-",VLOOKUP(ROUND(CONCATENATE($A89,G$2),0),'Cadastro dos Padrões'!$A$2:$V$4400,G$1,FALSE))</f>
        <v>-</v>
      </c>
      <c r="H89" s="32" t="str">
        <f>IF($B89="-","-",VLOOKUP(ROUND(CONCATENATE($A89,H$2),0),'Cadastro dos Padrões'!$A$2:$V$4400,H$1,FALSE))</f>
        <v>-</v>
      </c>
      <c r="I89" s="33" t="str">
        <f>IF($B89="-","-",VLOOKUP(ROUND(CONCATENATE($A89,I$2),0),'Cadastro dos Padrões'!$A$2:$V$4400,I$1,FALSE))</f>
        <v>-</v>
      </c>
      <c r="J89" s="31" t="str">
        <f>IF($B89="-","-",VLOOKUP(ROUND(CONCATENATE($A89,J$2),0),'Cadastro dos Padrões'!$A$2:$V$4400,J$1,FALSE))</f>
        <v>-</v>
      </c>
      <c r="K89" s="31" t="str">
        <f>IF($B89="-","-",VLOOKUP(ROUND(CONCATENATE($A89,K$2),0),'Cadastro dos Padrões'!$A$2:$V$4400,K$1,FALSE))</f>
        <v>-</v>
      </c>
      <c r="L89" s="31" t="str">
        <f>IF($B89="-","-",VLOOKUP(ROUND(CONCATENATE($A89,L$2),0),'Cadastro dos Padrões'!$A$2:$V$4400,L$1,FALSE))</f>
        <v>-</v>
      </c>
      <c r="M89" s="31" t="str">
        <f>IF($B89="-","-",VLOOKUP(ROUND(CONCATENATE($A89,M$2),0),'Cadastro dos Padrões'!$A$2:$V$4400,M$1,FALSE))</f>
        <v>-</v>
      </c>
      <c r="N89" s="31" t="str">
        <f>IF($B89="-","-",VLOOKUP(ROUND(CONCATENATE($A89,N$2),0),'Cadastro dos Padrões'!$A$2:$V$4400,N$1,FALSE))</f>
        <v>-</v>
      </c>
      <c r="O89" s="31" t="str">
        <f>IF($B89="-","-",VLOOKUP(ROUND(CONCATENATE($A89,O$2),0),'Cadastro dos Padrões'!$A$2:$V$4400,O$1,FALSE))</f>
        <v>-</v>
      </c>
      <c r="P89" s="31" t="str">
        <f>IF($B89="-","-",VLOOKUP(ROUND(CONCATENATE($A89,P$2),0),'Cadastro dos Padrões'!$A$2:$V$4400,P$1,FALSE))</f>
        <v>-</v>
      </c>
      <c r="Q89" s="31" t="str">
        <f>IF($B89="-","-",VLOOKUP(ROUND(CONCATENATE($A89,Q$2),0),'Cadastro dos Padrões'!$A$2:$V$4400,Q$1,FALSE))</f>
        <v>-</v>
      </c>
      <c r="R89" s="31" t="str">
        <f>IF($B89="-","-",VLOOKUP(ROUND(CONCATENATE($A89,R$2),0),'Cadastro dos Padrões'!$A$2:$V$4400,R$1,FALSE))</f>
        <v>-</v>
      </c>
      <c r="S89" s="31" t="str">
        <f>IF($B89="-","-",VLOOKUP(ROUND(CONCATENATE($A89,S$2),0),'Cadastro dos Padrões'!$A$2:$V$4400,S$1,FALSE))</f>
        <v>-</v>
      </c>
      <c r="T89" s="31" t="str">
        <f>IF($B89="-","-",VLOOKUP(ROUND(CONCATENATE($A89,T$2),0),'Cadastro dos Padrões'!$A$2:$V$4400,T$1,FALSE))</f>
        <v>-</v>
      </c>
      <c r="U89" s="31" t="str">
        <f>IF($B89="-","-",VLOOKUP(ROUND(CONCATENATE($A89,U$2),0),'Cadastro dos Padrões'!$A$2:$V$4400,U$1,FALSE))</f>
        <v>-</v>
      </c>
      <c r="V89" s="31" t="str">
        <f>IF($B89="-","-",VLOOKUP(ROUND(CONCATENATE($A89,V$2),0),'Cadastro dos Padrões'!$A$2:$V$4400,V$1,FALSE))</f>
        <v>-</v>
      </c>
      <c r="W89" s="31" t="str">
        <f>IF($B89="-","-",VLOOKUP(ROUND(CONCATENATE($A89,W$2),0),'Cadastro dos Padrões'!$A$2:$V$4400,W$1,FALSE))</f>
        <v>-</v>
      </c>
      <c r="X89" s="31" t="str">
        <f>IF($B89="-","-",VLOOKUP(ROUND(CONCATENATE($A89,X$2),0),'Cadastro dos Padrões'!$A$2:$V$4400,X$1,FALSE))</f>
        <v>-</v>
      </c>
      <c r="Y89" s="31" t="str">
        <f>IF($B89="-","-",VLOOKUP(ROUND(CONCATENATE($A89,Y$2),0),'Cadastro dos Padrões'!$A$2:$V$4400,Y$1,FALSE))</f>
        <v>-</v>
      </c>
      <c r="Z89" s="31" t="str">
        <f>IF($B89="-","-",VLOOKUP(ROUND(CONCATENATE($A89,Z$2),0),'Cadastro dos Padrões'!$A$2:$V$4400,Z$1,FALSE))</f>
        <v>-</v>
      </c>
      <c r="AA89" s="31" t="str">
        <f>IF($B89="-","-",VLOOKUP(ROUND(CONCATENATE($A89,AA$2),0),'Cadastro dos Padrões'!$A$2:$V$4400,AA$1,FALSE))</f>
        <v>-</v>
      </c>
      <c r="AB89" s="31" t="str">
        <f>IF(VLOOKUP(ROUND(CONCATENATE($A89,AB$2),0),'Cadastro dos Padrões'!$A$2:$V$4400,AB$1,FALSE)="","-",VLOOKUP(ROUND(CONCATENATE($A89,AB$2),0),'Cadastro dos Padrões'!$A$2:$V$4400,AB$1,FALSE))</f>
        <v>-</v>
      </c>
      <c r="AC89" s="31" t="str">
        <f>IF(VLOOKUP(ROUND(CONCATENATE($A89,AC$2),0),'Cadastro dos Padrões'!$A$2:$V$4400,AC$1,FALSE)="","-",VLOOKUP(ROUND(CONCATENATE($A89,AC$2),0),'Cadastro dos Padrões'!$A$2:$V$4400,AC$1,FALSE))</f>
        <v>-</v>
      </c>
      <c r="AD89" s="31" t="str">
        <f>IF(VLOOKUP(ROUND(CONCATENATE($A89,AD$2),0),'Cadastro dos Padrões'!$A$2:$V$4400,AD$1,FALSE)="","-",VLOOKUP(ROUND(CONCATENATE($A89,AD$2),0),'Cadastro dos Padrões'!$A$2:$V$4400,AD$1,FALSE))</f>
        <v>-</v>
      </c>
      <c r="AE89" s="31" t="str">
        <f>IF(VLOOKUP(ROUND(CONCATENATE($A89,AE$2),0),'Cadastro dos Padrões'!$A$2:$V$4400,AE$1,FALSE)="","-",VLOOKUP(ROUND(CONCATENATE($A89,AE$2),0),'Cadastro dos Padrões'!$A$2:$V$4400,AE$1,FALSE))</f>
        <v>-</v>
      </c>
      <c r="AF89" s="31" t="str">
        <f>IF(VLOOKUP(ROUND(CONCATENATE($A89,AF$2),0),'Cadastro dos Padrões'!$A$2:$V$4400,AF$1,FALSE)="","-",VLOOKUP(ROUND(CONCATENATE($A89,AF$2),0),'Cadastro dos Padrões'!$A$2:$V$4400,AF$1,FALSE))</f>
        <v>-</v>
      </c>
      <c r="AG89" s="31" t="str">
        <f>IF(VLOOKUP(ROUND(CONCATENATE($A89,AG$2),0),'Cadastro dos Padrões'!$A$2:$V$4400,AG$1,FALSE)="","-",VLOOKUP(ROUND(CONCATENATE($A89,AG$2),0),'Cadastro dos Padrões'!$A$2:$V$4400,AG$1,FALSE))</f>
        <v>-</v>
      </c>
      <c r="AH89" s="31" t="str">
        <f>IF(VLOOKUP(ROUND(CONCATENATE($A89,AH$2),0),'Cadastro dos Padrões'!$A$2:$V$4400,AH$1,FALSE)="","-",VLOOKUP(ROUND(CONCATENATE($A89,AH$2),0),'Cadastro dos Padrões'!$A$2:$V$4400,AH$1,FALSE))</f>
        <v>-</v>
      </c>
      <c r="AI89" s="31" t="str">
        <f>IF(VLOOKUP(ROUND(CONCATENATE($A89,AI$2),0),'Cadastro dos Padrões'!$A$2:$V$4400,AI$1,FALSE)="","-",VLOOKUP(ROUND(CONCATENATE($A89,AI$2),0),'Cadastro dos Padrões'!$A$2:$V$4400,AI$1,FALSE))</f>
        <v>-</v>
      </c>
      <c r="AJ89" s="31" t="str">
        <f>IF(VLOOKUP(ROUND(CONCATENATE($A89,AJ$2),0),'Cadastro dos Padrões'!$A$2:$V$4400,AJ$1,FALSE)="","-",VLOOKUP(ROUND(CONCATENATE($A89,AJ$2),0),'Cadastro dos Padrões'!$A$2:$V$4400,AJ$1,FALSE))</f>
        <v>-</v>
      </c>
      <c r="AK89" s="31" t="str">
        <f>IF(VLOOKUP(ROUND(CONCATENATE($A89,AK$2),0),'Cadastro dos Padrões'!$A$2:$V$4400,AK$1,FALSE)="","-",VLOOKUP(ROUND(CONCATENATE($A89,AK$2),0),'Cadastro dos Padrões'!$A$2:$V$4400,AK$1,FALSE))</f>
        <v>-</v>
      </c>
      <c r="AL89" s="31" t="str">
        <f>IF(VLOOKUP(ROUND(CONCATENATE($A89,AL$2),0),'Cadastro dos Padrões'!$A$2:$V$4400,AL$1,FALSE)="","-",VLOOKUP(ROUND(CONCATENATE($A89,AL$2),0),'Cadastro dos Padrões'!$A$2:$V$4400,AL$1,FALSE))</f>
        <v>-</v>
      </c>
      <c r="AM89" s="31" t="str">
        <f>IF(VLOOKUP(ROUND(CONCATENATE($A89,AM$2),0),'Cadastro dos Padrões'!$A$2:$V$4400,AM$1,FALSE)="","-",VLOOKUP(ROUND(CONCATENATE($A89,AM$2),0),'Cadastro dos Padrões'!$A$2:$V$4400,AM$1,FALSE))</f>
        <v>-</v>
      </c>
      <c r="AN89" s="31" t="str">
        <f>IF(VLOOKUP(ROUND(CONCATENATE($A89,AN$2),0),'Cadastro dos Padrões'!$A$2:$V$4400,AN$1,FALSE)="","-",VLOOKUP(ROUND(CONCATENATE($A89,AN$2),0),'Cadastro dos Padrões'!$A$2:$V$4400,AN$1,FALSE))</f>
        <v>-</v>
      </c>
      <c r="AO89" s="31" t="str">
        <f>IF(VLOOKUP(ROUND(CONCATENATE($A89,AO$2),0),'Cadastro dos Padrões'!$A$2:$V$4400,AO$1,FALSE)="","-",VLOOKUP(ROUND(CONCATENATE($A89,AO$2),0),'Cadastro dos Padrões'!$A$2:$V$4400,AO$1,FALSE))</f>
        <v>-</v>
      </c>
      <c r="AP89" s="31" t="str">
        <f>IF(VLOOKUP(ROUND(CONCATENATE($A89,AP$2),0),'Cadastro dos Padrões'!$A$2:$V$4400,AP$1,FALSE)="","-",VLOOKUP(ROUND(CONCATENATE($A89,AP$2),0),'Cadastro dos Padrões'!$A$2:$V$4400,AP$1,FALSE))</f>
        <v>-</v>
      </c>
      <c r="AQ89" s="31" t="str">
        <f>IF(VLOOKUP(ROUND(CONCATENATE($A89,AQ$2),0),'Cadastro dos Padrões'!$A$2:$V$4400,AQ$1,FALSE)="","-",VLOOKUP(ROUND(CONCATENATE($A89,AQ$2),0),'Cadastro dos Padrões'!$A$2:$V$4400,AQ$1,FALSE))</f>
        <v>-</v>
      </c>
      <c r="AR89" s="31" t="str">
        <f>IF(VLOOKUP(ROUND(CONCATENATE($A89,AR$2),0),'Cadastro dos Padrões'!$A$2:$V$4400,AR$1,FALSE)="","-",VLOOKUP(ROUND(CONCATENATE($A89,AR$2),0),'Cadastro dos Padrões'!$A$2:$V$4400,AR$1,FALSE))</f>
        <v>-</v>
      </c>
      <c r="AS89" s="31" t="str">
        <f>IF(VLOOKUP(ROUND(CONCATENATE($A89,AS$2),0),'Cadastro dos Padrões'!$A$2:$V$4400,AS$1,FALSE)="","-",VLOOKUP(ROUND(CONCATENATE($A89,AS$2),0),'Cadastro dos Padrões'!$A$2:$V$4400,AS$1,FALSE))</f>
        <v>-</v>
      </c>
      <c r="AT89" s="31" t="str">
        <f>IF(VLOOKUP(ROUND(CONCATENATE($A89,AT$2),0),'Cadastro dos Padrões'!$A$2:$V$4400,AT$1,FALSE)="","-",VLOOKUP(ROUND(CONCATENATE($A89,AT$2),0),'Cadastro dos Padrões'!$A$2:$V$4400,AT$1,FALSE))</f>
        <v>-</v>
      </c>
      <c r="AU89" s="31" t="str">
        <f>IF(VLOOKUP(ROUND(CONCATENATE($A89,AU$2),0),'Cadastro dos Padrões'!$A$2:$V$4400,AU$1,FALSE)="","-",VLOOKUP(ROUND(CONCATENATE($A89,AU$2),0),'Cadastro dos Padrões'!$A$2:$V$4400,AU$1,FALSE))</f>
        <v>-</v>
      </c>
      <c r="AV89" s="31" t="str">
        <f>IF(VLOOKUP(ROUND(CONCATENATE($A89,AV$2),0),'Cadastro dos Padrões'!$A$2:$V$4400,AV$1,FALSE)="","-",VLOOKUP(ROUND(CONCATENATE($A89,AV$2),0),'Cadastro dos Padrões'!$A$2:$V$4400,AV$1,FALSE))</f>
        <v>-</v>
      </c>
      <c r="AW89" s="31" t="str">
        <f>IF(VLOOKUP(ROUND(CONCATENATE($A89,AW$2),0),'Cadastro dos Padrões'!$A$2:$V$4400,AW$1,FALSE)="","-",VLOOKUP(ROUND(CONCATENATE($A89,AW$2),0),'Cadastro dos Padrões'!$A$2:$V$4400,AW$1,FALSE))</f>
        <v>-</v>
      </c>
      <c r="AX89" s="31" t="str">
        <f>IF(VLOOKUP(ROUND(CONCATENATE($A89,AX$2),0),'Cadastro dos Padrões'!$A$2:$V$4400,AX$1,FALSE)="","-",VLOOKUP(ROUND(CONCATENATE($A89,AX$2),0),'Cadastro dos Padrões'!$A$2:$V$4400,AX$1,FALSE))</f>
        <v>-</v>
      </c>
      <c r="AY89" s="31" t="str">
        <f>IF(VLOOKUP(ROUND(CONCATENATE($A89,AY$2),0),'Cadastro dos Padrões'!$A$2:$V$4400,AY$1,FALSE)="","-",VLOOKUP(ROUND(CONCATENATE($A89,AY$2),0),'Cadastro dos Padrões'!$A$2:$V$4400,AY$1,FALSE))</f>
        <v>-</v>
      </c>
      <c r="AZ89" s="31" t="str">
        <f>IF(VLOOKUP(ROUND(CONCATENATE($A89,AZ$2),0),'Cadastro dos Padrões'!$A$2:$V$4400,AZ$1,FALSE)="","-",VLOOKUP(ROUND(CONCATENATE($A89,AZ$2),0),'Cadastro dos Padrões'!$A$2:$V$4400,AZ$1,FALSE))</f>
        <v>-</v>
      </c>
      <c r="BA89" s="31" t="str">
        <f>IF(VLOOKUP(ROUND(CONCATENATE($A89,BA$2),0),'Cadastro dos Padrões'!$A$2:$V$4400,BA$1,FALSE)="","-",VLOOKUP(ROUND(CONCATENATE($A89,BA$2),0),'Cadastro dos Padrões'!$A$2:$V$4400,BA$1,FALSE))</f>
        <v>-</v>
      </c>
      <c r="BB89" s="31" t="str">
        <f>IF(VLOOKUP(ROUND(CONCATENATE($A89,BB$2),0),'Cadastro dos Padrões'!$A$2:$V$4400,BB$1,FALSE)="","-",VLOOKUP(ROUND(CONCATENATE($A89,BB$2),0),'Cadastro dos Padrões'!$A$2:$V$4400,BB$1,FALSE))</f>
        <v>-</v>
      </c>
      <c r="BC89" s="31" t="str">
        <f>IF(VLOOKUP(ROUND(CONCATENATE($A89,BC$2),0),'Cadastro dos Padrões'!$A$2:$V$4400,BC$1,FALSE)="","-",VLOOKUP(ROUND(CONCATENATE($A89,BC$2),0),'Cadastro dos Padrões'!$A$2:$V$4400,BC$1,FALSE))</f>
        <v>-</v>
      </c>
      <c r="BD89" s="31" t="str">
        <f>IF(VLOOKUP(ROUND(CONCATENATE($A89,BD$2),0),'Cadastro dos Padrões'!$A$2:$V$4400,BD$1,FALSE)="","-",VLOOKUP(ROUND(CONCATENATE($A89,BD$2),0),'Cadastro dos Padrões'!$A$2:$V$4400,BD$1,FALSE))</f>
        <v>-</v>
      </c>
      <c r="BE89" s="31" t="str">
        <f>IF(VLOOKUP(ROUND(CONCATENATE($A89,BE$2),0),'Cadastro dos Padrões'!$A$2:$V$4400,BE$1,FALSE)="","-",VLOOKUP(ROUND(CONCATENATE($A89,BE$2),0),'Cadastro dos Padrões'!$A$2:$V$4400,BE$1,FALSE))</f>
        <v>-</v>
      </c>
      <c r="BF89" s="31" t="str">
        <f>IF(VLOOKUP(ROUND(CONCATENATE($A89,BF$2),0),'Cadastro dos Padrões'!$A$2:$V$4400,BF$1,FALSE)="","-",VLOOKUP(ROUND(CONCATENATE($A89,BF$2),0),'Cadastro dos Padrões'!$A$2:$V$4400,BF$1,FALSE))</f>
        <v>-</v>
      </c>
      <c r="BG89" s="31" t="str">
        <f>IF(VLOOKUP(ROUND(CONCATENATE($A89,BG$2),0),'Cadastro dos Padrões'!$A$2:$V$4400,BG$1,FALSE)="","-",VLOOKUP(ROUND(CONCATENATE($A89,BG$2),0),'Cadastro dos Padrões'!$A$2:$V$4400,BG$1,FALSE))</f>
        <v>-</v>
      </c>
      <c r="BH89" s="31" t="str">
        <f>IF(VLOOKUP(ROUND(CONCATENATE($A89,BH$2),0),'Cadastro dos Padrões'!$A$2:$V$4400,BH$1,FALSE)="","-",VLOOKUP(ROUND(CONCATENATE($A89,BH$2),0),'Cadastro dos Padrões'!$A$2:$V$4400,BH$1,FALSE))</f>
        <v>-</v>
      </c>
      <c r="BI89" s="31" t="str">
        <f>IF(VLOOKUP(ROUND(CONCATENATE($A89,BI$2),0),'Cadastro dos Padrões'!$A$2:$V$4400,BI$1,FALSE)="","-",VLOOKUP(ROUND(CONCATENATE($A89,BI$2),0),'Cadastro dos Padrões'!$A$2:$V$4400,BI$1,FALSE))</f>
        <v>-</v>
      </c>
      <c r="BJ89" s="31" t="str">
        <f>IF(VLOOKUP(ROUND(CONCATENATE($A89,BJ$2),0),'Cadastro dos Padrões'!$A$2:$V$4400,BJ$1,FALSE)="","-",VLOOKUP(ROUND(CONCATENATE($A89,BJ$2),0),'Cadastro dos Padrões'!$A$2:$V$4400,BJ$1,FALSE))</f>
        <v>-</v>
      </c>
      <c r="BK89" s="31" t="str">
        <f>IF(VLOOKUP(ROUND(CONCATENATE($A89,BK$2),0),'Cadastro dos Padrões'!$A$2:$V$4400,BK$1,FALSE)="","-",VLOOKUP(ROUND(CONCATENATE($A89,BK$2),0),'Cadastro dos Padrões'!$A$2:$V$4400,BK$1,FALSE))</f>
        <v>-</v>
      </c>
      <c r="BL89" s="31" t="str">
        <f>IF(VLOOKUP(ROUND(CONCATENATE($A89,BL$2),0),'Cadastro dos Padrões'!$A$2:$V$4400,BL$1,FALSE)="","-",VLOOKUP(ROUND(CONCATENATE($A89,BL$2),0),'Cadastro dos Padrões'!$A$2:$V$4400,BL$1,FALSE))</f>
        <v>-</v>
      </c>
      <c r="BM89" s="31" t="str">
        <f>IF(VLOOKUP(ROUND(CONCATENATE($A89,BM$2),0),'Cadastro dos Padrões'!$A$2:$V$4400,BM$1,FALSE)="","-",VLOOKUP(ROUND(CONCATENATE($A89,BM$2),0),'Cadastro dos Padrões'!$A$2:$V$4400,BM$1,FALSE))</f>
        <v>-</v>
      </c>
      <c r="BN89" s="31" t="str">
        <f>IF(VLOOKUP(ROUND(CONCATENATE($A89,BN$2),0),'Cadastro dos Padrões'!$A$2:$V$4400,BN$1,FALSE)="","-",VLOOKUP(ROUND(CONCATENATE($A89,BN$2),0),'Cadastro dos Padrões'!$A$2:$V$4400,BN$1,FALSE))</f>
        <v>-</v>
      </c>
      <c r="BO89" s="31" t="str">
        <f>IF(VLOOKUP(ROUND(CONCATENATE($A89,BO$2),0),'Cadastro dos Padrões'!$A$2:$V$4400,BO$1,FALSE)="","-",VLOOKUP(ROUND(CONCATENATE($A89,BO$2),0),'Cadastro dos Padrões'!$A$2:$V$4400,BO$1,FALSE))</f>
        <v>-</v>
      </c>
    </row>
    <row r="90" spans="1:67" x14ac:dyDescent="0.3">
      <c r="A90" s="6">
        <f t="shared" si="52"/>
        <v>85</v>
      </c>
      <c r="B90" s="31" t="str">
        <f>IF(VLOOKUP(ROUND(CONCATENATE($A90,B$2),0),'Cadastro dos Padrões'!$A$2:$V$4400,B$1,FALSE)="","-",VLOOKUP(ROUND(CONCATENATE($A90,B$2),0),'Cadastro dos Padrões'!$A$2:$V$4400,B$1,FALSE))</f>
        <v>-</v>
      </c>
      <c r="C90" s="31" t="str">
        <f>IF($B90="-","-",VLOOKUP(ROUND(CONCATENATE($A90,C$2),0),'Cadastro dos Padrões'!$A$2:$V$4400,C$1,FALSE))</f>
        <v>-</v>
      </c>
      <c r="D90" s="31" t="str">
        <f>IF($B90="-","-",VLOOKUP(ROUND(CONCATENATE($A90,D$2),0),'Cadastro dos Padrões'!$A$2:$V$4400,D$1,FALSE))</f>
        <v>-</v>
      </c>
      <c r="E90" s="31" t="str">
        <f>IF($B90="-","-",VLOOKUP(ROUND(CONCATENATE($A90,E$2),0),'Cadastro dos Padrões'!$A$2:$V$4400,E$1,FALSE))</f>
        <v>-</v>
      </c>
      <c r="F90" s="31" t="str">
        <f>IF($B90="-","-",VLOOKUP(ROUND(CONCATENATE($A90,F$2),0),'Cadastro dos Padrões'!$A$2:$V$4400,F$1,FALSE))</f>
        <v>-</v>
      </c>
      <c r="G90" s="31" t="str">
        <f>IF($B90="-","-",VLOOKUP(ROUND(CONCATENATE($A90,G$2),0),'Cadastro dos Padrões'!$A$2:$V$4400,G$1,FALSE))</f>
        <v>-</v>
      </c>
      <c r="H90" s="32" t="str">
        <f>IF($B90="-","-",VLOOKUP(ROUND(CONCATENATE($A90,H$2),0),'Cadastro dos Padrões'!$A$2:$V$4400,H$1,FALSE))</f>
        <v>-</v>
      </c>
      <c r="I90" s="33" t="str">
        <f>IF($B90="-","-",VLOOKUP(ROUND(CONCATENATE($A90,I$2),0),'Cadastro dos Padrões'!$A$2:$V$4400,I$1,FALSE))</f>
        <v>-</v>
      </c>
      <c r="J90" s="31" t="str">
        <f>IF($B90="-","-",VLOOKUP(ROUND(CONCATENATE($A90,J$2),0),'Cadastro dos Padrões'!$A$2:$V$4400,J$1,FALSE))</f>
        <v>-</v>
      </c>
      <c r="K90" s="31" t="str">
        <f>IF($B90="-","-",VLOOKUP(ROUND(CONCATENATE($A90,K$2),0),'Cadastro dos Padrões'!$A$2:$V$4400,K$1,FALSE))</f>
        <v>-</v>
      </c>
      <c r="L90" s="31" t="str">
        <f>IF($B90="-","-",VLOOKUP(ROUND(CONCATENATE($A90,L$2),0),'Cadastro dos Padrões'!$A$2:$V$4400,L$1,FALSE))</f>
        <v>-</v>
      </c>
      <c r="M90" s="31" t="str">
        <f>IF($B90="-","-",VLOOKUP(ROUND(CONCATENATE($A90,M$2),0),'Cadastro dos Padrões'!$A$2:$V$4400,M$1,FALSE))</f>
        <v>-</v>
      </c>
      <c r="N90" s="31" t="str">
        <f>IF($B90="-","-",VLOOKUP(ROUND(CONCATENATE($A90,N$2),0),'Cadastro dos Padrões'!$A$2:$V$4400,N$1,FALSE))</f>
        <v>-</v>
      </c>
      <c r="O90" s="31" t="str">
        <f>IF($B90="-","-",VLOOKUP(ROUND(CONCATENATE($A90,O$2),0),'Cadastro dos Padrões'!$A$2:$V$4400,O$1,FALSE))</f>
        <v>-</v>
      </c>
      <c r="P90" s="31" t="str">
        <f>IF($B90="-","-",VLOOKUP(ROUND(CONCATENATE($A90,P$2),0),'Cadastro dos Padrões'!$A$2:$V$4400,P$1,FALSE))</f>
        <v>-</v>
      </c>
      <c r="Q90" s="31" t="str">
        <f>IF($B90="-","-",VLOOKUP(ROUND(CONCATENATE($A90,Q$2),0),'Cadastro dos Padrões'!$A$2:$V$4400,Q$1,FALSE))</f>
        <v>-</v>
      </c>
      <c r="R90" s="31" t="str">
        <f>IF($B90="-","-",VLOOKUP(ROUND(CONCATENATE($A90,R$2),0),'Cadastro dos Padrões'!$A$2:$V$4400,R$1,FALSE))</f>
        <v>-</v>
      </c>
      <c r="S90" s="31" t="str">
        <f>IF($B90="-","-",VLOOKUP(ROUND(CONCATENATE($A90,S$2),0),'Cadastro dos Padrões'!$A$2:$V$4400,S$1,FALSE))</f>
        <v>-</v>
      </c>
      <c r="T90" s="31" t="str">
        <f>IF($B90="-","-",VLOOKUP(ROUND(CONCATENATE($A90,T$2),0),'Cadastro dos Padrões'!$A$2:$V$4400,T$1,FALSE))</f>
        <v>-</v>
      </c>
      <c r="U90" s="31" t="str">
        <f>IF($B90="-","-",VLOOKUP(ROUND(CONCATENATE($A90,U$2),0),'Cadastro dos Padrões'!$A$2:$V$4400,U$1,FALSE))</f>
        <v>-</v>
      </c>
      <c r="V90" s="31" t="str">
        <f>IF($B90="-","-",VLOOKUP(ROUND(CONCATENATE($A90,V$2),0),'Cadastro dos Padrões'!$A$2:$V$4400,V$1,FALSE))</f>
        <v>-</v>
      </c>
      <c r="W90" s="31" t="str">
        <f>IF($B90="-","-",VLOOKUP(ROUND(CONCATENATE($A90,W$2),0),'Cadastro dos Padrões'!$A$2:$V$4400,W$1,FALSE))</f>
        <v>-</v>
      </c>
      <c r="X90" s="31" t="str">
        <f>IF($B90="-","-",VLOOKUP(ROUND(CONCATENATE($A90,X$2),0),'Cadastro dos Padrões'!$A$2:$V$4400,X$1,FALSE))</f>
        <v>-</v>
      </c>
      <c r="Y90" s="31" t="str">
        <f>IF($B90="-","-",VLOOKUP(ROUND(CONCATENATE($A90,Y$2),0),'Cadastro dos Padrões'!$A$2:$V$4400,Y$1,FALSE))</f>
        <v>-</v>
      </c>
      <c r="Z90" s="31" t="str">
        <f>IF($B90="-","-",VLOOKUP(ROUND(CONCATENATE($A90,Z$2),0),'Cadastro dos Padrões'!$A$2:$V$4400,Z$1,FALSE))</f>
        <v>-</v>
      </c>
      <c r="AA90" s="31" t="str">
        <f>IF($B90="-","-",VLOOKUP(ROUND(CONCATENATE($A90,AA$2),0),'Cadastro dos Padrões'!$A$2:$V$4400,AA$1,FALSE))</f>
        <v>-</v>
      </c>
      <c r="AB90" s="31" t="str">
        <f>IF(VLOOKUP(ROUND(CONCATENATE($A90,AB$2),0),'Cadastro dos Padrões'!$A$2:$V$4400,AB$1,FALSE)="","-",VLOOKUP(ROUND(CONCATENATE($A90,AB$2),0),'Cadastro dos Padrões'!$A$2:$V$4400,AB$1,FALSE))</f>
        <v>-</v>
      </c>
      <c r="AC90" s="31" t="str">
        <f>IF(VLOOKUP(ROUND(CONCATENATE($A90,AC$2),0),'Cadastro dos Padrões'!$A$2:$V$4400,AC$1,FALSE)="","-",VLOOKUP(ROUND(CONCATENATE($A90,AC$2),0),'Cadastro dos Padrões'!$A$2:$V$4400,AC$1,FALSE))</f>
        <v>-</v>
      </c>
      <c r="AD90" s="31" t="str">
        <f>IF(VLOOKUP(ROUND(CONCATENATE($A90,AD$2),0),'Cadastro dos Padrões'!$A$2:$V$4400,AD$1,FALSE)="","-",VLOOKUP(ROUND(CONCATENATE($A90,AD$2),0),'Cadastro dos Padrões'!$A$2:$V$4400,AD$1,FALSE))</f>
        <v>-</v>
      </c>
      <c r="AE90" s="31" t="str">
        <f>IF(VLOOKUP(ROUND(CONCATENATE($A90,AE$2),0),'Cadastro dos Padrões'!$A$2:$V$4400,AE$1,FALSE)="","-",VLOOKUP(ROUND(CONCATENATE($A90,AE$2),0),'Cadastro dos Padrões'!$A$2:$V$4400,AE$1,FALSE))</f>
        <v>-</v>
      </c>
      <c r="AF90" s="31" t="str">
        <f>IF(VLOOKUP(ROUND(CONCATENATE($A90,AF$2),0),'Cadastro dos Padrões'!$A$2:$V$4400,AF$1,FALSE)="","-",VLOOKUP(ROUND(CONCATENATE($A90,AF$2),0),'Cadastro dos Padrões'!$A$2:$V$4400,AF$1,FALSE))</f>
        <v>-</v>
      </c>
      <c r="AG90" s="31" t="str">
        <f>IF(VLOOKUP(ROUND(CONCATENATE($A90,AG$2),0),'Cadastro dos Padrões'!$A$2:$V$4400,AG$1,FALSE)="","-",VLOOKUP(ROUND(CONCATENATE($A90,AG$2),0),'Cadastro dos Padrões'!$A$2:$V$4400,AG$1,FALSE))</f>
        <v>-</v>
      </c>
      <c r="AH90" s="31" t="str">
        <f>IF(VLOOKUP(ROUND(CONCATENATE($A90,AH$2),0),'Cadastro dos Padrões'!$A$2:$V$4400,AH$1,FALSE)="","-",VLOOKUP(ROUND(CONCATENATE($A90,AH$2),0),'Cadastro dos Padrões'!$A$2:$V$4400,AH$1,FALSE))</f>
        <v>-</v>
      </c>
      <c r="AI90" s="31" t="str">
        <f>IF(VLOOKUP(ROUND(CONCATENATE($A90,AI$2),0),'Cadastro dos Padrões'!$A$2:$V$4400,AI$1,FALSE)="","-",VLOOKUP(ROUND(CONCATENATE($A90,AI$2),0),'Cadastro dos Padrões'!$A$2:$V$4400,AI$1,FALSE))</f>
        <v>-</v>
      </c>
      <c r="AJ90" s="31" t="str">
        <f>IF(VLOOKUP(ROUND(CONCATENATE($A90,AJ$2),0),'Cadastro dos Padrões'!$A$2:$V$4400,AJ$1,FALSE)="","-",VLOOKUP(ROUND(CONCATENATE($A90,AJ$2),0),'Cadastro dos Padrões'!$A$2:$V$4400,AJ$1,FALSE))</f>
        <v>-</v>
      </c>
      <c r="AK90" s="31" t="str">
        <f>IF(VLOOKUP(ROUND(CONCATENATE($A90,AK$2),0),'Cadastro dos Padrões'!$A$2:$V$4400,AK$1,FALSE)="","-",VLOOKUP(ROUND(CONCATENATE($A90,AK$2),0),'Cadastro dos Padrões'!$A$2:$V$4400,AK$1,FALSE))</f>
        <v>-</v>
      </c>
      <c r="AL90" s="31" t="str">
        <f>IF(VLOOKUP(ROUND(CONCATENATE($A90,AL$2),0),'Cadastro dos Padrões'!$A$2:$V$4400,AL$1,FALSE)="","-",VLOOKUP(ROUND(CONCATENATE($A90,AL$2),0),'Cadastro dos Padrões'!$A$2:$V$4400,AL$1,FALSE))</f>
        <v>-</v>
      </c>
      <c r="AM90" s="31" t="str">
        <f>IF(VLOOKUP(ROUND(CONCATENATE($A90,AM$2),0),'Cadastro dos Padrões'!$A$2:$V$4400,AM$1,FALSE)="","-",VLOOKUP(ROUND(CONCATENATE($A90,AM$2),0),'Cadastro dos Padrões'!$A$2:$V$4400,AM$1,FALSE))</f>
        <v>-</v>
      </c>
      <c r="AN90" s="31" t="str">
        <f>IF(VLOOKUP(ROUND(CONCATENATE($A90,AN$2),0),'Cadastro dos Padrões'!$A$2:$V$4400,AN$1,FALSE)="","-",VLOOKUP(ROUND(CONCATENATE($A90,AN$2),0),'Cadastro dos Padrões'!$A$2:$V$4400,AN$1,FALSE))</f>
        <v>-</v>
      </c>
      <c r="AO90" s="31" t="str">
        <f>IF(VLOOKUP(ROUND(CONCATENATE($A90,AO$2),0),'Cadastro dos Padrões'!$A$2:$V$4400,AO$1,FALSE)="","-",VLOOKUP(ROUND(CONCATENATE($A90,AO$2),0),'Cadastro dos Padrões'!$A$2:$V$4400,AO$1,FALSE))</f>
        <v>-</v>
      </c>
      <c r="AP90" s="31" t="str">
        <f>IF(VLOOKUP(ROUND(CONCATENATE($A90,AP$2),0),'Cadastro dos Padrões'!$A$2:$V$4400,AP$1,FALSE)="","-",VLOOKUP(ROUND(CONCATENATE($A90,AP$2),0),'Cadastro dos Padrões'!$A$2:$V$4400,AP$1,FALSE))</f>
        <v>-</v>
      </c>
      <c r="AQ90" s="31" t="str">
        <f>IF(VLOOKUP(ROUND(CONCATENATE($A90,AQ$2),0),'Cadastro dos Padrões'!$A$2:$V$4400,AQ$1,FALSE)="","-",VLOOKUP(ROUND(CONCATENATE($A90,AQ$2),0),'Cadastro dos Padrões'!$A$2:$V$4400,AQ$1,FALSE))</f>
        <v>-</v>
      </c>
      <c r="AR90" s="31" t="str">
        <f>IF(VLOOKUP(ROUND(CONCATENATE($A90,AR$2),0),'Cadastro dos Padrões'!$A$2:$V$4400,AR$1,FALSE)="","-",VLOOKUP(ROUND(CONCATENATE($A90,AR$2),0),'Cadastro dos Padrões'!$A$2:$V$4400,AR$1,FALSE))</f>
        <v>-</v>
      </c>
      <c r="AS90" s="31" t="str">
        <f>IF(VLOOKUP(ROUND(CONCATENATE($A90,AS$2),0),'Cadastro dos Padrões'!$A$2:$V$4400,AS$1,FALSE)="","-",VLOOKUP(ROUND(CONCATENATE($A90,AS$2),0),'Cadastro dos Padrões'!$A$2:$V$4400,AS$1,FALSE))</f>
        <v>-</v>
      </c>
      <c r="AT90" s="31" t="str">
        <f>IF(VLOOKUP(ROUND(CONCATENATE($A90,AT$2),0),'Cadastro dos Padrões'!$A$2:$V$4400,AT$1,FALSE)="","-",VLOOKUP(ROUND(CONCATENATE($A90,AT$2),0),'Cadastro dos Padrões'!$A$2:$V$4400,AT$1,FALSE))</f>
        <v>-</v>
      </c>
      <c r="AU90" s="31" t="str">
        <f>IF(VLOOKUP(ROUND(CONCATENATE($A90,AU$2),0),'Cadastro dos Padrões'!$A$2:$V$4400,AU$1,FALSE)="","-",VLOOKUP(ROUND(CONCATENATE($A90,AU$2),0),'Cadastro dos Padrões'!$A$2:$V$4400,AU$1,FALSE))</f>
        <v>-</v>
      </c>
      <c r="AV90" s="31" t="str">
        <f>IF(VLOOKUP(ROUND(CONCATENATE($A90,AV$2),0),'Cadastro dos Padrões'!$A$2:$V$4400,AV$1,FALSE)="","-",VLOOKUP(ROUND(CONCATENATE($A90,AV$2),0),'Cadastro dos Padrões'!$A$2:$V$4400,AV$1,FALSE))</f>
        <v>-</v>
      </c>
      <c r="AW90" s="31" t="str">
        <f>IF(VLOOKUP(ROUND(CONCATENATE($A90,AW$2),0),'Cadastro dos Padrões'!$A$2:$V$4400,AW$1,FALSE)="","-",VLOOKUP(ROUND(CONCATENATE($A90,AW$2),0),'Cadastro dos Padrões'!$A$2:$V$4400,AW$1,FALSE))</f>
        <v>-</v>
      </c>
      <c r="AX90" s="31" t="str">
        <f>IF(VLOOKUP(ROUND(CONCATENATE($A90,AX$2),0),'Cadastro dos Padrões'!$A$2:$V$4400,AX$1,FALSE)="","-",VLOOKUP(ROUND(CONCATENATE($A90,AX$2),0),'Cadastro dos Padrões'!$A$2:$V$4400,AX$1,FALSE))</f>
        <v>-</v>
      </c>
      <c r="AY90" s="31" t="str">
        <f>IF(VLOOKUP(ROUND(CONCATENATE($A90,AY$2),0),'Cadastro dos Padrões'!$A$2:$V$4400,AY$1,FALSE)="","-",VLOOKUP(ROUND(CONCATENATE($A90,AY$2),0),'Cadastro dos Padrões'!$A$2:$V$4400,AY$1,FALSE))</f>
        <v>-</v>
      </c>
      <c r="AZ90" s="31" t="str">
        <f>IF(VLOOKUP(ROUND(CONCATENATE($A90,AZ$2),0),'Cadastro dos Padrões'!$A$2:$V$4400,AZ$1,FALSE)="","-",VLOOKUP(ROUND(CONCATENATE($A90,AZ$2),0),'Cadastro dos Padrões'!$A$2:$V$4400,AZ$1,FALSE))</f>
        <v>-</v>
      </c>
      <c r="BA90" s="31" t="str">
        <f>IF(VLOOKUP(ROUND(CONCATENATE($A90,BA$2),0),'Cadastro dos Padrões'!$A$2:$V$4400,BA$1,FALSE)="","-",VLOOKUP(ROUND(CONCATENATE($A90,BA$2),0),'Cadastro dos Padrões'!$A$2:$V$4400,BA$1,FALSE))</f>
        <v>-</v>
      </c>
      <c r="BB90" s="31" t="str">
        <f>IF(VLOOKUP(ROUND(CONCATENATE($A90,BB$2),0),'Cadastro dos Padrões'!$A$2:$V$4400,BB$1,FALSE)="","-",VLOOKUP(ROUND(CONCATENATE($A90,BB$2),0),'Cadastro dos Padrões'!$A$2:$V$4400,BB$1,FALSE))</f>
        <v>-</v>
      </c>
      <c r="BC90" s="31" t="str">
        <f>IF(VLOOKUP(ROUND(CONCATENATE($A90,BC$2),0),'Cadastro dos Padrões'!$A$2:$V$4400,BC$1,FALSE)="","-",VLOOKUP(ROUND(CONCATENATE($A90,BC$2),0),'Cadastro dos Padrões'!$A$2:$V$4400,BC$1,FALSE))</f>
        <v>-</v>
      </c>
      <c r="BD90" s="31" t="str">
        <f>IF(VLOOKUP(ROUND(CONCATENATE($A90,BD$2),0),'Cadastro dos Padrões'!$A$2:$V$4400,BD$1,FALSE)="","-",VLOOKUP(ROUND(CONCATENATE($A90,BD$2),0),'Cadastro dos Padrões'!$A$2:$V$4400,BD$1,FALSE))</f>
        <v>-</v>
      </c>
      <c r="BE90" s="31" t="str">
        <f>IF(VLOOKUP(ROUND(CONCATENATE($A90,BE$2),0),'Cadastro dos Padrões'!$A$2:$V$4400,BE$1,FALSE)="","-",VLOOKUP(ROUND(CONCATENATE($A90,BE$2),0),'Cadastro dos Padrões'!$A$2:$V$4400,BE$1,FALSE))</f>
        <v>-</v>
      </c>
      <c r="BF90" s="31" t="str">
        <f>IF(VLOOKUP(ROUND(CONCATENATE($A90,BF$2),0),'Cadastro dos Padrões'!$A$2:$V$4400,BF$1,FALSE)="","-",VLOOKUP(ROUND(CONCATENATE($A90,BF$2),0),'Cadastro dos Padrões'!$A$2:$V$4400,BF$1,FALSE))</f>
        <v>-</v>
      </c>
      <c r="BG90" s="31" t="str">
        <f>IF(VLOOKUP(ROUND(CONCATENATE($A90,BG$2),0),'Cadastro dos Padrões'!$A$2:$V$4400,BG$1,FALSE)="","-",VLOOKUP(ROUND(CONCATENATE($A90,BG$2),0),'Cadastro dos Padrões'!$A$2:$V$4400,BG$1,FALSE))</f>
        <v>-</v>
      </c>
      <c r="BH90" s="31" t="str">
        <f>IF(VLOOKUP(ROUND(CONCATENATE($A90,BH$2),0),'Cadastro dos Padrões'!$A$2:$V$4400,BH$1,FALSE)="","-",VLOOKUP(ROUND(CONCATENATE($A90,BH$2),0),'Cadastro dos Padrões'!$A$2:$V$4400,BH$1,FALSE))</f>
        <v>-</v>
      </c>
      <c r="BI90" s="31" t="str">
        <f>IF(VLOOKUP(ROUND(CONCATENATE($A90,BI$2),0),'Cadastro dos Padrões'!$A$2:$V$4400,BI$1,FALSE)="","-",VLOOKUP(ROUND(CONCATENATE($A90,BI$2),0),'Cadastro dos Padrões'!$A$2:$V$4400,BI$1,FALSE))</f>
        <v>-</v>
      </c>
      <c r="BJ90" s="31" t="str">
        <f>IF(VLOOKUP(ROUND(CONCATENATE($A90,BJ$2),0),'Cadastro dos Padrões'!$A$2:$V$4400,BJ$1,FALSE)="","-",VLOOKUP(ROUND(CONCATENATE($A90,BJ$2),0),'Cadastro dos Padrões'!$A$2:$V$4400,BJ$1,FALSE))</f>
        <v>-</v>
      </c>
      <c r="BK90" s="31" t="str">
        <f>IF(VLOOKUP(ROUND(CONCATENATE($A90,BK$2),0),'Cadastro dos Padrões'!$A$2:$V$4400,BK$1,FALSE)="","-",VLOOKUP(ROUND(CONCATENATE($A90,BK$2),0),'Cadastro dos Padrões'!$A$2:$V$4400,BK$1,FALSE))</f>
        <v>-</v>
      </c>
      <c r="BL90" s="31" t="str">
        <f>IF(VLOOKUP(ROUND(CONCATENATE($A90,BL$2),0),'Cadastro dos Padrões'!$A$2:$V$4400,BL$1,FALSE)="","-",VLOOKUP(ROUND(CONCATENATE($A90,BL$2),0),'Cadastro dos Padrões'!$A$2:$V$4400,BL$1,FALSE))</f>
        <v>-</v>
      </c>
      <c r="BM90" s="31" t="str">
        <f>IF(VLOOKUP(ROUND(CONCATENATE($A90,BM$2),0),'Cadastro dos Padrões'!$A$2:$V$4400,BM$1,FALSE)="","-",VLOOKUP(ROUND(CONCATENATE($A90,BM$2),0),'Cadastro dos Padrões'!$A$2:$V$4400,BM$1,FALSE))</f>
        <v>-</v>
      </c>
      <c r="BN90" s="31" t="str">
        <f>IF(VLOOKUP(ROUND(CONCATENATE($A90,BN$2),0),'Cadastro dos Padrões'!$A$2:$V$4400,BN$1,FALSE)="","-",VLOOKUP(ROUND(CONCATENATE($A90,BN$2),0),'Cadastro dos Padrões'!$A$2:$V$4400,BN$1,FALSE))</f>
        <v>-</v>
      </c>
      <c r="BO90" s="31" t="str">
        <f>IF(VLOOKUP(ROUND(CONCATENATE($A90,BO$2),0),'Cadastro dos Padrões'!$A$2:$V$4400,BO$1,FALSE)="","-",VLOOKUP(ROUND(CONCATENATE($A90,BO$2),0),'Cadastro dos Padrões'!$A$2:$V$4400,BO$1,FALSE))</f>
        <v>-</v>
      </c>
    </row>
    <row r="91" spans="1:67" x14ac:dyDescent="0.3">
      <c r="A91" s="6">
        <f t="shared" si="52"/>
        <v>86</v>
      </c>
      <c r="B91" s="31" t="str">
        <f>IF(VLOOKUP(ROUND(CONCATENATE($A91,B$2),0),'Cadastro dos Padrões'!$A$2:$V$4400,B$1,FALSE)="","-",VLOOKUP(ROUND(CONCATENATE($A91,B$2),0),'Cadastro dos Padrões'!$A$2:$V$4400,B$1,FALSE))</f>
        <v>-</v>
      </c>
      <c r="C91" s="31" t="str">
        <f>IF($B91="-","-",VLOOKUP(ROUND(CONCATENATE($A91,C$2),0),'Cadastro dos Padrões'!$A$2:$V$4400,C$1,FALSE))</f>
        <v>-</v>
      </c>
      <c r="D91" s="31" t="str">
        <f>IF($B91="-","-",VLOOKUP(ROUND(CONCATENATE($A91,D$2),0),'Cadastro dos Padrões'!$A$2:$V$4400,D$1,FALSE))</f>
        <v>-</v>
      </c>
      <c r="E91" s="31" t="str">
        <f>IF($B91="-","-",VLOOKUP(ROUND(CONCATENATE($A91,E$2),0),'Cadastro dos Padrões'!$A$2:$V$4400,E$1,FALSE))</f>
        <v>-</v>
      </c>
      <c r="F91" s="31" t="str">
        <f>IF($B91="-","-",VLOOKUP(ROUND(CONCATENATE($A91,F$2),0),'Cadastro dos Padrões'!$A$2:$V$4400,F$1,FALSE))</f>
        <v>-</v>
      </c>
      <c r="G91" s="31" t="str">
        <f>IF($B91="-","-",VLOOKUP(ROUND(CONCATENATE($A91,G$2),0),'Cadastro dos Padrões'!$A$2:$V$4400,G$1,FALSE))</f>
        <v>-</v>
      </c>
      <c r="H91" s="32" t="str">
        <f>IF($B91="-","-",VLOOKUP(ROUND(CONCATENATE($A91,H$2),0),'Cadastro dos Padrões'!$A$2:$V$4400,H$1,FALSE))</f>
        <v>-</v>
      </c>
      <c r="I91" s="33" t="str">
        <f>IF($B91="-","-",VLOOKUP(ROUND(CONCATENATE($A91,I$2),0),'Cadastro dos Padrões'!$A$2:$V$4400,I$1,FALSE))</f>
        <v>-</v>
      </c>
      <c r="J91" s="31" t="str">
        <f>IF($B91="-","-",VLOOKUP(ROUND(CONCATENATE($A91,J$2),0),'Cadastro dos Padrões'!$A$2:$V$4400,J$1,FALSE))</f>
        <v>-</v>
      </c>
      <c r="K91" s="31" t="str">
        <f>IF($B91="-","-",VLOOKUP(ROUND(CONCATENATE($A91,K$2),0),'Cadastro dos Padrões'!$A$2:$V$4400,K$1,FALSE))</f>
        <v>-</v>
      </c>
      <c r="L91" s="31" t="str">
        <f>IF($B91="-","-",VLOOKUP(ROUND(CONCATENATE($A91,L$2),0),'Cadastro dos Padrões'!$A$2:$V$4400,L$1,FALSE))</f>
        <v>-</v>
      </c>
      <c r="M91" s="31" t="str">
        <f>IF($B91="-","-",VLOOKUP(ROUND(CONCATENATE($A91,M$2),0),'Cadastro dos Padrões'!$A$2:$V$4400,M$1,FALSE))</f>
        <v>-</v>
      </c>
      <c r="N91" s="31" t="str">
        <f>IF($B91="-","-",VLOOKUP(ROUND(CONCATENATE($A91,N$2),0),'Cadastro dos Padrões'!$A$2:$V$4400,N$1,FALSE))</f>
        <v>-</v>
      </c>
      <c r="O91" s="31" t="str">
        <f>IF($B91="-","-",VLOOKUP(ROUND(CONCATENATE($A91,O$2),0),'Cadastro dos Padrões'!$A$2:$V$4400,O$1,FALSE))</f>
        <v>-</v>
      </c>
      <c r="P91" s="31" t="str">
        <f>IF($B91="-","-",VLOOKUP(ROUND(CONCATENATE($A91,P$2),0),'Cadastro dos Padrões'!$A$2:$V$4400,P$1,FALSE))</f>
        <v>-</v>
      </c>
      <c r="Q91" s="31" t="str">
        <f>IF($B91="-","-",VLOOKUP(ROUND(CONCATENATE($A91,Q$2),0),'Cadastro dos Padrões'!$A$2:$V$4400,Q$1,FALSE))</f>
        <v>-</v>
      </c>
      <c r="R91" s="31" t="str">
        <f>IF($B91="-","-",VLOOKUP(ROUND(CONCATENATE($A91,R$2),0),'Cadastro dos Padrões'!$A$2:$V$4400,R$1,FALSE))</f>
        <v>-</v>
      </c>
      <c r="S91" s="31" t="str">
        <f>IF($B91="-","-",VLOOKUP(ROUND(CONCATENATE($A91,S$2),0),'Cadastro dos Padrões'!$A$2:$V$4400,S$1,FALSE))</f>
        <v>-</v>
      </c>
      <c r="T91" s="31" t="str">
        <f>IF($B91="-","-",VLOOKUP(ROUND(CONCATENATE($A91,T$2),0),'Cadastro dos Padrões'!$A$2:$V$4400,T$1,FALSE))</f>
        <v>-</v>
      </c>
      <c r="U91" s="31" t="str">
        <f>IF($B91="-","-",VLOOKUP(ROUND(CONCATENATE($A91,U$2),0),'Cadastro dos Padrões'!$A$2:$V$4400,U$1,FALSE))</f>
        <v>-</v>
      </c>
      <c r="V91" s="31" t="str">
        <f>IF($B91="-","-",VLOOKUP(ROUND(CONCATENATE($A91,V$2),0),'Cadastro dos Padrões'!$A$2:$V$4400,V$1,FALSE))</f>
        <v>-</v>
      </c>
      <c r="W91" s="31" t="str">
        <f>IF($B91="-","-",VLOOKUP(ROUND(CONCATENATE($A91,W$2),0),'Cadastro dos Padrões'!$A$2:$V$4400,W$1,FALSE))</f>
        <v>-</v>
      </c>
      <c r="X91" s="31" t="str">
        <f>IF($B91="-","-",VLOOKUP(ROUND(CONCATENATE($A91,X$2),0),'Cadastro dos Padrões'!$A$2:$V$4400,X$1,FALSE))</f>
        <v>-</v>
      </c>
      <c r="Y91" s="31" t="str">
        <f>IF($B91="-","-",VLOOKUP(ROUND(CONCATENATE($A91,Y$2),0),'Cadastro dos Padrões'!$A$2:$V$4400,Y$1,FALSE))</f>
        <v>-</v>
      </c>
      <c r="Z91" s="31" t="str">
        <f>IF($B91="-","-",VLOOKUP(ROUND(CONCATENATE($A91,Z$2),0),'Cadastro dos Padrões'!$A$2:$V$4400,Z$1,FALSE))</f>
        <v>-</v>
      </c>
      <c r="AA91" s="31" t="str">
        <f>IF($B91="-","-",VLOOKUP(ROUND(CONCATENATE($A91,AA$2),0),'Cadastro dos Padrões'!$A$2:$V$4400,AA$1,FALSE))</f>
        <v>-</v>
      </c>
      <c r="AB91" s="31" t="str">
        <f>IF(VLOOKUP(ROUND(CONCATENATE($A91,AB$2),0),'Cadastro dos Padrões'!$A$2:$V$4400,AB$1,FALSE)="","-",VLOOKUP(ROUND(CONCATENATE($A91,AB$2),0),'Cadastro dos Padrões'!$A$2:$V$4400,AB$1,FALSE))</f>
        <v>-</v>
      </c>
      <c r="AC91" s="31" t="str">
        <f>IF(VLOOKUP(ROUND(CONCATENATE($A91,AC$2),0),'Cadastro dos Padrões'!$A$2:$V$4400,AC$1,FALSE)="","-",VLOOKUP(ROUND(CONCATENATE($A91,AC$2),0),'Cadastro dos Padrões'!$A$2:$V$4400,AC$1,FALSE))</f>
        <v>-</v>
      </c>
      <c r="AD91" s="31" t="str">
        <f>IF(VLOOKUP(ROUND(CONCATENATE($A91,AD$2),0),'Cadastro dos Padrões'!$A$2:$V$4400,AD$1,FALSE)="","-",VLOOKUP(ROUND(CONCATENATE($A91,AD$2),0),'Cadastro dos Padrões'!$A$2:$V$4400,AD$1,FALSE))</f>
        <v>-</v>
      </c>
      <c r="AE91" s="31" t="str">
        <f>IF(VLOOKUP(ROUND(CONCATENATE($A91,AE$2),0),'Cadastro dos Padrões'!$A$2:$V$4400,AE$1,FALSE)="","-",VLOOKUP(ROUND(CONCATENATE($A91,AE$2),0),'Cadastro dos Padrões'!$A$2:$V$4400,AE$1,FALSE))</f>
        <v>-</v>
      </c>
      <c r="AF91" s="31" t="str">
        <f>IF(VLOOKUP(ROUND(CONCATENATE($A91,AF$2),0),'Cadastro dos Padrões'!$A$2:$V$4400,AF$1,FALSE)="","-",VLOOKUP(ROUND(CONCATENATE($A91,AF$2),0),'Cadastro dos Padrões'!$A$2:$V$4400,AF$1,FALSE))</f>
        <v>-</v>
      </c>
      <c r="AG91" s="31" t="str">
        <f>IF(VLOOKUP(ROUND(CONCATENATE($A91,AG$2),0),'Cadastro dos Padrões'!$A$2:$V$4400,AG$1,FALSE)="","-",VLOOKUP(ROUND(CONCATENATE($A91,AG$2),0),'Cadastro dos Padrões'!$A$2:$V$4400,AG$1,FALSE))</f>
        <v>-</v>
      </c>
      <c r="AH91" s="31" t="str">
        <f>IF(VLOOKUP(ROUND(CONCATENATE($A91,AH$2),0),'Cadastro dos Padrões'!$A$2:$V$4400,AH$1,FALSE)="","-",VLOOKUP(ROUND(CONCATENATE($A91,AH$2),0),'Cadastro dos Padrões'!$A$2:$V$4400,AH$1,FALSE))</f>
        <v>-</v>
      </c>
      <c r="AI91" s="31" t="str">
        <f>IF(VLOOKUP(ROUND(CONCATENATE($A91,AI$2),0),'Cadastro dos Padrões'!$A$2:$V$4400,AI$1,FALSE)="","-",VLOOKUP(ROUND(CONCATENATE($A91,AI$2),0),'Cadastro dos Padrões'!$A$2:$V$4400,AI$1,FALSE))</f>
        <v>-</v>
      </c>
      <c r="AJ91" s="31" t="str">
        <f>IF(VLOOKUP(ROUND(CONCATENATE($A91,AJ$2),0),'Cadastro dos Padrões'!$A$2:$V$4400,AJ$1,FALSE)="","-",VLOOKUP(ROUND(CONCATENATE($A91,AJ$2),0),'Cadastro dos Padrões'!$A$2:$V$4400,AJ$1,FALSE))</f>
        <v>-</v>
      </c>
      <c r="AK91" s="31" t="str">
        <f>IF(VLOOKUP(ROUND(CONCATENATE($A91,AK$2),0),'Cadastro dos Padrões'!$A$2:$V$4400,AK$1,FALSE)="","-",VLOOKUP(ROUND(CONCATENATE($A91,AK$2),0),'Cadastro dos Padrões'!$A$2:$V$4400,AK$1,FALSE))</f>
        <v>-</v>
      </c>
      <c r="AL91" s="31" t="str">
        <f>IF(VLOOKUP(ROUND(CONCATENATE($A91,AL$2),0),'Cadastro dos Padrões'!$A$2:$V$4400,AL$1,FALSE)="","-",VLOOKUP(ROUND(CONCATENATE($A91,AL$2),0),'Cadastro dos Padrões'!$A$2:$V$4400,AL$1,FALSE))</f>
        <v>-</v>
      </c>
      <c r="AM91" s="31" t="str">
        <f>IF(VLOOKUP(ROUND(CONCATENATE($A91,AM$2),0),'Cadastro dos Padrões'!$A$2:$V$4400,AM$1,FALSE)="","-",VLOOKUP(ROUND(CONCATENATE($A91,AM$2),0),'Cadastro dos Padrões'!$A$2:$V$4400,AM$1,FALSE))</f>
        <v>-</v>
      </c>
      <c r="AN91" s="31" t="str">
        <f>IF(VLOOKUP(ROUND(CONCATENATE($A91,AN$2),0),'Cadastro dos Padrões'!$A$2:$V$4400,AN$1,FALSE)="","-",VLOOKUP(ROUND(CONCATENATE($A91,AN$2),0),'Cadastro dos Padrões'!$A$2:$V$4400,AN$1,FALSE))</f>
        <v>-</v>
      </c>
      <c r="AO91" s="31" t="str">
        <f>IF(VLOOKUP(ROUND(CONCATENATE($A91,AO$2),0),'Cadastro dos Padrões'!$A$2:$V$4400,AO$1,FALSE)="","-",VLOOKUP(ROUND(CONCATENATE($A91,AO$2),0),'Cadastro dos Padrões'!$A$2:$V$4400,AO$1,FALSE))</f>
        <v>-</v>
      </c>
      <c r="AP91" s="31" t="str">
        <f>IF(VLOOKUP(ROUND(CONCATENATE($A91,AP$2),0),'Cadastro dos Padrões'!$A$2:$V$4400,AP$1,FALSE)="","-",VLOOKUP(ROUND(CONCATENATE($A91,AP$2),0),'Cadastro dos Padrões'!$A$2:$V$4400,AP$1,FALSE))</f>
        <v>-</v>
      </c>
      <c r="AQ91" s="31" t="str">
        <f>IF(VLOOKUP(ROUND(CONCATENATE($A91,AQ$2),0),'Cadastro dos Padrões'!$A$2:$V$4400,AQ$1,FALSE)="","-",VLOOKUP(ROUND(CONCATENATE($A91,AQ$2),0),'Cadastro dos Padrões'!$A$2:$V$4400,AQ$1,FALSE))</f>
        <v>-</v>
      </c>
      <c r="AR91" s="31" t="str">
        <f>IF(VLOOKUP(ROUND(CONCATENATE($A91,AR$2),0),'Cadastro dos Padrões'!$A$2:$V$4400,AR$1,FALSE)="","-",VLOOKUP(ROUND(CONCATENATE($A91,AR$2),0),'Cadastro dos Padrões'!$A$2:$V$4400,AR$1,FALSE))</f>
        <v>-</v>
      </c>
      <c r="AS91" s="31" t="str">
        <f>IF(VLOOKUP(ROUND(CONCATENATE($A91,AS$2),0),'Cadastro dos Padrões'!$A$2:$V$4400,AS$1,FALSE)="","-",VLOOKUP(ROUND(CONCATENATE($A91,AS$2),0),'Cadastro dos Padrões'!$A$2:$V$4400,AS$1,FALSE))</f>
        <v>-</v>
      </c>
      <c r="AT91" s="31" t="str">
        <f>IF(VLOOKUP(ROUND(CONCATENATE($A91,AT$2),0),'Cadastro dos Padrões'!$A$2:$V$4400,AT$1,FALSE)="","-",VLOOKUP(ROUND(CONCATENATE($A91,AT$2),0),'Cadastro dos Padrões'!$A$2:$V$4400,AT$1,FALSE))</f>
        <v>-</v>
      </c>
      <c r="AU91" s="31" t="str">
        <f>IF(VLOOKUP(ROUND(CONCATENATE($A91,AU$2),0),'Cadastro dos Padrões'!$A$2:$V$4400,AU$1,FALSE)="","-",VLOOKUP(ROUND(CONCATENATE($A91,AU$2),0),'Cadastro dos Padrões'!$A$2:$V$4400,AU$1,FALSE))</f>
        <v>-</v>
      </c>
      <c r="AV91" s="31" t="str">
        <f>IF(VLOOKUP(ROUND(CONCATENATE($A91,AV$2),0),'Cadastro dos Padrões'!$A$2:$V$4400,AV$1,FALSE)="","-",VLOOKUP(ROUND(CONCATENATE($A91,AV$2),0),'Cadastro dos Padrões'!$A$2:$V$4400,AV$1,FALSE))</f>
        <v>-</v>
      </c>
      <c r="AW91" s="31" t="str">
        <f>IF(VLOOKUP(ROUND(CONCATENATE($A91,AW$2),0),'Cadastro dos Padrões'!$A$2:$V$4400,AW$1,FALSE)="","-",VLOOKUP(ROUND(CONCATENATE($A91,AW$2),0),'Cadastro dos Padrões'!$A$2:$V$4400,AW$1,FALSE))</f>
        <v>-</v>
      </c>
      <c r="AX91" s="31" t="str">
        <f>IF(VLOOKUP(ROUND(CONCATENATE($A91,AX$2),0),'Cadastro dos Padrões'!$A$2:$V$4400,AX$1,FALSE)="","-",VLOOKUP(ROUND(CONCATENATE($A91,AX$2),0),'Cadastro dos Padrões'!$A$2:$V$4400,AX$1,FALSE))</f>
        <v>-</v>
      </c>
      <c r="AY91" s="31" t="str">
        <f>IF(VLOOKUP(ROUND(CONCATENATE($A91,AY$2),0),'Cadastro dos Padrões'!$A$2:$V$4400,AY$1,FALSE)="","-",VLOOKUP(ROUND(CONCATENATE($A91,AY$2),0),'Cadastro dos Padrões'!$A$2:$V$4400,AY$1,FALSE))</f>
        <v>-</v>
      </c>
      <c r="AZ91" s="31" t="str">
        <f>IF(VLOOKUP(ROUND(CONCATENATE($A91,AZ$2),0),'Cadastro dos Padrões'!$A$2:$V$4400,AZ$1,FALSE)="","-",VLOOKUP(ROUND(CONCATENATE($A91,AZ$2),0),'Cadastro dos Padrões'!$A$2:$V$4400,AZ$1,FALSE))</f>
        <v>-</v>
      </c>
      <c r="BA91" s="31" t="str">
        <f>IF(VLOOKUP(ROUND(CONCATENATE($A91,BA$2),0),'Cadastro dos Padrões'!$A$2:$V$4400,BA$1,FALSE)="","-",VLOOKUP(ROUND(CONCATENATE($A91,BA$2),0),'Cadastro dos Padrões'!$A$2:$V$4400,BA$1,FALSE))</f>
        <v>-</v>
      </c>
      <c r="BB91" s="31" t="str">
        <f>IF(VLOOKUP(ROUND(CONCATENATE($A91,BB$2),0),'Cadastro dos Padrões'!$A$2:$V$4400,BB$1,FALSE)="","-",VLOOKUP(ROUND(CONCATENATE($A91,BB$2),0),'Cadastro dos Padrões'!$A$2:$V$4400,BB$1,FALSE))</f>
        <v>-</v>
      </c>
      <c r="BC91" s="31" t="str">
        <f>IF(VLOOKUP(ROUND(CONCATENATE($A91,BC$2),0),'Cadastro dos Padrões'!$A$2:$V$4400,BC$1,FALSE)="","-",VLOOKUP(ROUND(CONCATENATE($A91,BC$2),0),'Cadastro dos Padrões'!$A$2:$V$4400,BC$1,FALSE))</f>
        <v>-</v>
      </c>
      <c r="BD91" s="31" t="str">
        <f>IF(VLOOKUP(ROUND(CONCATENATE($A91,BD$2),0),'Cadastro dos Padrões'!$A$2:$V$4400,BD$1,FALSE)="","-",VLOOKUP(ROUND(CONCATENATE($A91,BD$2),0),'Cadastro dos Padrões'!$A$2:$V$4400,BD$1,FALSE))</f>
        <v>-</v>
      </c>
      <c r="BE91" s="31" t="str">
        <f>IF(VLOOKUP(ROUND(CONCATENATE($A91,BE$2),0),'Cadastro dos Padrões'!$A$2:$V$4400,BE$1,FALSE)="","-",VLOOKUP(ROUND(CONCATENATE($A91,BE$2),0),'Cadastro dos Padrões'!$A$2:$V$4400,BE$1,FALSE))</f>
        <v>-</v>
      </c>
      <c r="BF91" s="31" t="str">
        <f>IF(VLOOKUP(ROUND(CONCATENATE($A91,BF$2),0),'Cadastro dos Padrões'!$A$2:$V$4400,BF$1,FALSE)="","-",VLOOKUP(ROUND(CONCATENATE($A91,BF$2),0),'Cadastro dos Padrões'!$A$2:$V$4400,BF$1,FALSE))</f>
        <v>-</v>
      </c>
      <c r="BG91" s="31" t="str">
        <f>IF(VLOOKUP(ROUND(CONCATENATE($A91,BG$2),0),'Cadastro dos Padrões'!$A$2:$V$4400,BG$1,FALSE)="","-",VLOOKUP(ROUND(CONCATENATE($A91,BG$2),0),'Cadastro dos Padrões'!$A$2:$V$4400,BG$1,FALSE))</f>
        <v>-</v>
      </c>
      <c r="BH91" s="31" t="str">
        <f>IF(VLOOKUP(ROUND(CONCATENATE($A91,BH$2),0),'Cadastro dos Padrões'!$A$2:$V$4400,BH$1,FALSE)="","-",VLOOKUP(ROUND(CONCATENATE($A91,BH$2),0),'Cadastro dos Padrões'!$A$2:$V$4400,BH$1,FALSE))</f>
        <v>-</v>
      </c>
      <c r="BI91" s="31" t="str">
        <f>IF(VLOOKUP(ROUND(CONCATENATE($A91,BI$2),0),'Cadastro dos Padrões'!$A$2:$V$4400,BI$1,FALSE)="","-",VLOOKUP(ROUND(CONCATENATE($A91,BI$2),0),'Cadastro dos Padrões'!$A$2:$V$4400,BI$1,FALSE))</f>
        <v>-</v>
      </c>
      <c r="BJ91" s="31" t="str">
        <f>IF(VLOOKUP(ROUND(CONCATENATE($A91,BJ$2),0),'Cadastro dos Padrões'!$A$2:$V$4400,BJ$1,FALSE)="","-",VLOOKUP(ROUND(CONCATENATE($A91,BJ$2),0),'Cadastro dos Padrões'!$A$2:$V$4400,BJ$1,FALSE))</f>
        <v>-</v>
      </c>
      <c r="BK91" s="31" t="str">
        <f>IF(VLOOKUP(ROUND(CONCATENATE($A91,BK$2),0),'Cadastro dos Padrões'!$A$2:$V$4400,BK$1,FALSE)="","-",VLOOKUP(ROUND(CONCATENATE($A91,BK$2),0),'Cadastro dos Padrões'!$A$2:$V$4400,BK$1,FALSE))</f>
        <v>-</v>
      </c>
      <c r="BL91" s="31" t="str">
        <f>IF(VLOOKUP(ROUND(CONCATENATE($A91,BL$2),0),'Cadastro dos Padrões'!$A$2:$V$4400,BL$1,FALSE)="","-",VLOOKUP(ROUND(CONCATENATE($A91,BL$2),0),'Cadastro dos Padrões'!$A$2:$V$4400,BL$1,FALSE))</f>
        <v>-</v>
      </c>
      <c r="BM91" s="31" t="str">
        <f>IF(VLOOKUP(ROUND(CONCATENATE($A91,BM$2),0),'Cadastro dos Padrões'!$A$2:$V$4400,BM$1,FALSE)="","-",VLOOKUP(ROUND(CONCATENATE($A91,BM$2),0),'Cadastro dos Padrões'!$A$2:$V$4400,BM$1,FALSE))</f>
        <v>-</v>
      </c>
      <c r="BN91" s="31" t="str">
        <f>IF(VLOOKUP(ROUND(CONCATENATE($A91,BN$2),0),'Cadastro dos Padrões'!$A$2:$V$4400,BN$1,FALSE)="","-",VLOOKUP(ROUND(CONCATENATE($A91,BN$2),0),'Cadastro dos Padrões'!$A$2:$V$4400,BN$1,FALSE))</f>
        <v>-</v>
      </c>
      <c r="BO91" s="31" t="str">
        <f>IF(VLOOKUP(ROUND(CONCATENATE($A91,BO$2),0),'Cadastro dos Padrões'!$A$2:$V$4400,BO$1,FALSE)="","-",VLOOKUP(ROUND(CONCATENATE($A91,BO$2),0),'Cadastro dos Padrões'!$A$2:$V$4400,BO$1,FALSE))</f>
        <v>-</v>
      </c>
    </row>
    <row r="92" spans="1:67" x14ac:dyDescent="0.3">
      <c r="A92" s="6">
        <f t="shared" si="52"/>
        <v>87</v>
      </c>
      <c r="B92" s="31" t="str">
        <f>IF(VLOOKUP(ROUND(CONCATENATE($A92,B$2),0),'Cadastro dos Padrões'!$A$2:$V$4400,B$1,FALSE)="","-",VLOOKUP(ROUND(CONCATENATE($A92,B$2),0),'Cadastro dos Padrões'!$A$2:$V$4400,B$1,FALSE))</f>
        <v>-</v>
      </c>
      <c r="C92" s="31" t="str">
        <f>IF($B92="-","-",VLOOKUP(ROUND(CONCATENATE($A92,C$2),0),'Cadastro dos Padrões'!$A$2:$V$4400,C$1,FALSE))</f>
        <v>-</v>
      </c>
      <c r="D92" s="31" t="str">
        <f>IF($B92="-","-",VLOOKUP(ROUND(CONCATENATE($A92,D$2),0),'Cadastro dos Padrões'!$A$2:$V$4400,D$1,FALSE))</f>
        <v>-</v>
      </c>
      <c r="E92" s="31" t="str">
        <f>IF($B92="-","-",VLOOKUP(ROUND(CONCATENATE($A92,E$2),0),'Cadastro dos Padrões'!$A$2:$V$4400,E$1,FALSE))</f>
        <v>-</v>
      </c>
      <c r="F92" s="31" t="str">
        <f>IF($B92="-","-",VLOOKUP(ROUND(CONCATENATE($A92,F$2),0),'Cadastro dos Padrões'!$A$2:$V$4400,F$1,FALSE))</f>
        <v>-</v>
      </c>
      <c r="G92" s="31" t="str">
        <f>IF($B92="-","-",VLOOKUP(ROUND(CONCATENATE($A92,G$2),0),'Cadastro dos Padrões'!$A$2:$V$4400,G$1,FALSE))</f>
        <v>-</v>
      </c>
      <c r="H92" s="32" t="str">
        <f>IF($B92="-","-",VLOOKUP(ROUND(CONCATENATE($A92,H$2),0),'Cadastro dos Padrões'!$A$2:$V$4400,H$1,FALSE))</f>
        <v>-</v>
      </c>
      <c r="I92" s="33" t="str">
        <f>IF($B92="-","-",VLOOKUP(ROUND(CONCATENATE($A92,I$2),0),'Cadastro dos Padrões'!$A$2:$V$4400,I$1,FALSE))</f>
        <v>-</v>
      </c>
      <c r="J92" s="31" t="str">
        <f>IF($B92="-","-",VLOOKUP(ROUND(CONCATENATE($A92,J$2),0),'Cadastro dos Padrões'!$A$2:$V$4400,J$1,FALSE))</f>
        <v>-</v>
      </c>
      <c r="K92" s="31" t="str">
        <f>IF($B92="-","-",VLOOKUP(ROUND(CONCATENATE($A92,K$2),0),'Cadastro dos Padrões'!$A$2:$V$4400,K$1,FALSE))</f>
        <v>-</v>
      </c>
      <c r="L92" s="31" t="str">
        <f>IF($B92="-","-",VLOOKUP(ROUND(CONCATENATE($A92,L$2),0),'Cadastro dos Padrões'!$A$2:$V$4400,L$1,FALSE))</f>
        <v>-</v>
      </c>
      <c r="M92" s="31" t="str">
        <f>IF($B92="-","-",VLOOKUP(ROUND(CONCATENATE($A92,M$2),0),'Cadastro dos Padrões'!$A$2:$V$4400,M$1,FALSE))</f>
        <v>-</v>
      </c>
      <c r="N92" s="31" t="str">
        <f>IF($B92="-","-",VLOOKUP(ROUND(CONCATENATE($A92,N$2),0),'Cadastro dos Padrões'!$A$2:$V$4400,N$1,FALSE))</f>
        <v>-</v>
      </c>
      <c r="O92" s="31" t="str">
        <f>IF($B92="-","-",VLOOKUP(ROUND(CONCATENATE($A92,O$2),0),'Cadastro dos Padrões'!$A$2:$V$4400,O$1,FALSE))</f>
        <v>-</v>
      </c>
      <c r="P92" s="31" t="str">
        <f>IF($B92="-","-",VLOOKUP(ROUND(CONCATENATE($A92,P$2),0),'Cadastro dos Padrões'!$A$2:$V$4400,P$1,FALSE))</f>
        <v>-</v>
      </c>
      <c r="Q92" s="31" t="str">
        <f>IF($B92="-","-",VLOOKUP(ROUND(CONCATENATE($A92,Q$2),0),'Cadastro dos Padrões'!$A$2:$V$4400,Q$1,FALSE))</f>
        <v>-</v>
      </c>
      <c r="R92" s="31" t="str">
        <f>IF($B92="-","-",VLOOKUP(ROUND(CONCATENATE($A92,R$2),0),'Cadastro dos Padrões'!$A$2:$V$4400,R$1,FALSE))</f>
        <v>-</v>
      </c>
      <c r="S92" s="31" t="str">
        <f>IF($B92="-","-",VLOOKUP(ROUND(CONCATENATE($A92,S$2),0),'Cadastro dos Padrões'!$A$2:$V$4400,S$1,FALSE))</f>
        <v>-</v>
      </c>
      <c r="T92" s="31" t="str">
        <f>IF($B92="-","-",VLOOKUP(ROUND(CONCATENATE($A92,T$2),0),'Cadastro dos Padrões'!$A$2:$V$4400,T$1,FALSE))</f>
        <v>-</v>
      </c>
      <c r="U92" s="31" t="str">
        <f>IF($B92="-","-",VLOOKUP(ROUND(CONCATENATE($A92,U$2),0),'Cadastro dos Padrões'!$A$2:$V$4400,U$1,FALSE))</f>
        <v>-</v>
      </c>
      <c r="V92" s="31" t="str">
        <f>IF($B92="-","-",VLOOKUP(ROUND(CONCATENATE($A92,V$2),0),'Cadastro dos Padrões'!$A$2:$V$4400,V$1,FALSE))</f>
        <v>-</v>
      </c>
      <c r="W92" s="31" t="str">
        <f>IF($B92="-","-",VLOOKUP(ROUND(CONCATENATE($A92,W$2),0),'Cadastro dos Padrões'!$A$2:$V$4400,W$1,FALSE))</f>
        <v>-</v>
      </c>
      <c r="X92" s="31" t="str">
        <f>IF($B92="-","-",VLOOKUP(ROUND(CONCATENATE($A92,X$2),0),'Cadastro dos Padrões'!$A$2:$V$4400,X$1,FALSE))</f>
        <v>-</v>
      </c>
      <c r="Y92" s="31" t="str">
        <f>IF($B92="-","-",VLOOKUP(ROUND(CONCATENATE($A92,Y$2),0),'Cadastro dos Padrões'!$A$2:$V$4400,Y$1,FALSE))</f>
        <v>-</v>
      </c>
      <c r="Z92" s="31" t="str">
        <f>IF($B92="-","-",VLOOKUP(ROUND(CONCATENATE($A92,Z$2),0),'Cadastro dos Padrões'!$A$2:$V$4400,Z$1,FALSE))</f>
        <v>-</v>
      </c>
      <c r="AA92" s="31" t="str">
        <f>IF($B92="-","-",VLOOKUP(ROUND(CONCATENATE($A92,AA$2),0),'Cadastro dos Padrões'!$A$2:$V$4400,AA$1,FALSE))</f>
        <v>-</v>
      </c>
      <c r="AB92" s="31" t="str">
        <f>IF(VLOOKUP(ROUND(CONCATENATE($A92,AB$2),0),'Cadastro dos Padrões'!$A$2:$V$4400,AB$1,FALSE)="","-",VLOOKUP(ROUND(CONCATENATE($A92,AB$2),0),'Cadastro dos Padrões'!$A$2:$V$4400,AB$1,FALSE))</f>
        <v>-</v>
      </c>
      <c r="AC92" s="31" t="str">
        <f>IF(VLOOKUP(ROUND(CONCATENATE($A92,AC$2),0),'Cadastro dos Padrões'!$A$2:$V$4400,AC$1,FALSE)="","-",VLOOKUP(ROUND(CONCATENATE($A92,AC$2),0),'Cadastro dos Padrões'!$A$2:$V$4400,AC$1,FALSE))</f>
        <v>-</v>
      </c>
      <c r="AD92" s="31" t="str">
        <f>IF(VLOOKUP(ROUND(CONCATENATE($A92,AD$2),0),'Cadastro dos Padrões'!$A$2:$V$4400,AD$1,FALSE)="","-",VLOOKUP(ROUND(CONCATENATE($A92,AD$2),0),'Cadastro dos Padrões'!$A$2:$V$4400,AD$1,FALSE))</f>
        <v>-</v>
      </c>
      <c r="AE92" s="31" t="str">
        <f>IF(VLOOKUP(ROUND(CONCATENATE($A92,AE$2),0),'Cadastro dos Padrões'!$A$2:$V$4400,AE$1,FALSE)="","-",VLOOKUP(ROUND(CONCATENATE($A92,AE$2),0),'Cadastro dos Padrões'!$A$2:$V$4400,AE$1,FALSE))</f>
        <v>-</v>
      </c>
      <c r="AF92" s="31" t="str">
        <f>IF(VLOOKUP(ROUND(CONCATENATE($A92,AF$2),0),'Cadastro dos Padrões'!$A$2:$V$4400,AF$1,FALSE)="","-",VLOOKUP(ROUND(CONCATENATE($A92,AF$2),0),'Cadastro dos Padrões'!$A$2:$V$4400,AF$1,FALSE))</f>
        <v>-</v>
      </c>
      <c r="AG92" s="31" t="str">
        <f>IF(VLOOKUP(ROUND(CONCATENATE($A92,AG$2),0),'Cadastro dos Padrões'!$A$2:$V$4400,AG$1,FALSE)="","-",VLOOKUP(ROUND(CONCATENATE($A92,AG$2),0),'Cadastro dos Padrões'!$A$2:$V$4400,AG$1,FALSE))</f>
        <v>-</v>
      </c>
      <c r="AH92" s="31" t="str">
        <f>IF(VLOOKUP(ROUND(CONCATENATE($A92,AH$2),0),'Cadastro dos Padrões'!$A$2:$V$4400,AH$1,FALSE)="","-",VLOOKUP(ROUND(CONCATENATE($A92,AH$2),0),'Cadastro dos Padrões'!$A$2:$V$4400,AH$1,FALSE))</f>
        <v>-</v>
      </c>
      <c r="AI92" s="31" t="str">
        <f>IF(VLOOKUP(ROUND(CONCATENATE($A92,AI$2),0),'Cadastro dos Padrões'!$A$2:$V$4400,AI$1,FALSE)="","-",VLOOKUP(ROUND(CONCATENATE($A92,AI$2),0),'Cadastro dos Padrões'!$A$2:$V$4400,AI$1,FALSE))</f>
        <v>-</v>
      </c>
      <c r="AJ92" s="31" t="str">
        <f>IF(VLOOKUP(ROUND(CONCATENATE($A92,AJ$2),0),'Cadastro dos Padrões'!$A$2:$V$4400,AJ$1,FALSE)="","-",VLOOKUP(ROUND(CONCATENATE($A92,AJ$2),0),'Cadastro dos Padrões'!$A$2:$V$4400,AJ$1,FALSE))</f>
        <v>-</v>
      </c>
      <c r="AK92" s="31" t="str">
        <f>IF(VLOOKUP(ROUND(CONCATENATE($A92,AK$2),0),'Cadastro dos Padrões'!$A$2:$V$4400,AK$1,FALSE)="","-",VLOOKUP(ROUND(CONCATENATE($A92,AK$2),0),'Cadastro dos Padrões'!$A$2:$V$4400,AK$1,FALSE))</f>
        <v>-</v>
      </c>
      <c r="AL92" s="31" t="str">
        <f>IF(VLOOKUP(ROUND(CONCATENATE($A92,AL$2),0),'Cadastro dos Padrões'!$A$2:$V$4400,AL$1,FALSE)="","-",VLOOKUP(ROUND(CONCATENATE($A92,AL$2),0),'Cadastro dos Padrões'!$A$2:$V$4400,AL$1,FALSE))</f>
        <v>-</v>
      </c>
      <c r="AM92" s="31" t="str">
        <f>IF(VLOOKUP(ROUND(CONCATENATE($A92,AM$2),0),'Cadastro dos Padrões'!$A$2:$V$4400,AM$1,FALSE)="","-",VLOOKUP(ROUND(CONCATENATE($A92,AM$2),0),'Cadastro dos Padrões'!$A$2:$V$4400,AM$1,FALSE))</f>
        <v>-</v>
      </c>
      <c r="AN92" s="31" t="str">
        <f>IF(VLOOKUP(ROUND(CONCATENATE($A92,AN$2),0),'Cadastro dos Padrões'!$A$2:$V$4400,AN$1,FALSE)="","-",VLOOKUP(ROUND(CONCATENATE($A92,AN$2),0),'Cadastro dos Padrões'!$A$2:$V$4400,AN$1,FALSE))</f>
        <v>-</v>
      </c>
      <c r="AO92" s="31" t="str">
        <f>IF(VLOOKUP(ROUND(CONCATENATE($A92,AO$2),0),'Cadastro dos Padrões'!$A$2:$V$4400,AO$1,FALSE)="","-",VLOOKUP(ROUND(CONCATENATE($A92,AO$2),0),'Cadastro dos Padrões'!$A$2:$V$4400,AO$1,FALSE))</f>
        <v>-</v>
      </c>
      <c r="AP92" s="31" t="str">
        <f>IF(VLOOKUP(ROUND(CONCATENATE($A92,AP$2),0),'Cadastro dos Padrões'!$A$2:$V$4400,AP$1,FALSE)="","-",VLOOKUP(ROUND(CONCATENATE($A92,AP$2),0),'Cadastro dos Padrões'!$A$2:$V$4400,AP$1,FALSE))</f>
        <v>-</v>
      </c>
      <c r="AQ92" s="31" t="str">
        <f>IF(VLOOKUP(ROUND(CONCATENATE($A92,AQ$2),0),'Cadastro dos Padrões'!$A$2:$V$4400,AQ$1,FALSE)="","-",VLOOKUP(ROUND(CONCATENATE($A92,AQ$2),0),'Cadastro dos Padrões'!$A$2:$V$4400,AQ$1,FALSE))</f>
        <v>-</v>
      </c>
      <c r="AR92" s="31" t="str">
        <f>IF(VLOOKUP(ROUND(CONCATENATE($A92,AR$2),0),'Cadastro dos Padrões'!$A$2:$V$4400,AR$1,FALSE)="","-",VLOOKUP(ROUND(CONCATENATE($A92,AR$2),0),'Cadastro dos Padrões'!$A$2:$V$4400,AR$1,FALSE))</f>
        <v>-</v>
      </c>
      <c r="AS92" s="31" t="str">
        <f>IF(VLOOKUP(ROUND(CONCATENATE($A92,AS$2),0),'Cadastro dos Padrões'!$A$2:$V$4400,AS$1,FALSE)="","-",VLOOKUP(ROUND(CONCATENATE($A92,AS$2),0),'Cadastro dos Padrões'!$A$2:$V$4400,AS$1,FALSE))</f>
        <v>-</v>
      </c>
      <c r="AT92" s="31" t="str">
        <f>IF(VLOOKUP(ROUND(CONCATENATE($A92,AT$2),0),'Cadastro dos Padrões'!$A$2:$V$4400,AT$1,FALSE)="","-",VLOOKUP(ROUND(CONCATENATE($A92,AT$2),0),'Cadastro dos Padrões'!$A$2:$V$4400,AT$1,FALSE))</f>
        <v>-</v>
      </c>
      <c r="AU92" s="31" t="str">
        <f>IF(VLOOKUP(ROUND(CONCATENATE($A92,AU$2),0),'Cadastro dos Padrões'!$A$2:$V$4400,AU$1,FALSE)="","-",VLOOKUP(ROUND(CONCATENATE($A92,AU$2),0),'Cadastro dos Padrões'!$A$2:$V$4400,AU$1,FALSE))</f>
        <v>-</v>
      </c>
      <c r="AV92" s="31" t="str">
        <f>IF(VLOOKUP(ROUND(CONCATENATE($A92,AV$2),0),'Cadastro dos Padrões'!$A$2:$V$4400,AV$1,FALSE)="","-",VLOOKUP(ROUND(CONCATENATE($A92,AV$2),0),'Cadastro dos Padrões'!$A$2:$V$4400,AV$1,FALSE))</f>
        <v>-</v>
      </c>
      <c r="AW92" s="31" t="str">
        <f>IF(VLOOKUP(ROUND(CONCATENATE($A92,AW$2),0),'Cadastro dos Padrões'!$A$2:$V$4400,AW$1,FALSE)="","-",VLOOKUP(ROUND(CONCATENATE($A92,AW$2),0),'Cadastro dos Padrões'!$A$2:$V$4400,AW$1,FALSE))</f>
        <v>-</v>
      </c>
      <c r="AX92" s="31" t="str">
        <f>IF(VLOOKUP(ROUND(CONCATENATE($A92,AX$2),0),'Cadastro dos Padrões'!$A$2:$V$4400,AX$1,FALSE)="","-",VLOOKUP(ROUND(CONCATENATE($A92,AX$2),0),'Cadastro dos Padrões'!$A$2:$V$4400,AX$1,FALSE))</f>
        <v>-</v>
      </c>
      <c r="AY92" s="31" t="str">
        <f>IF(VLOOKUP(ROUND(CONCATENATE($A92,AY$2),0),'Cadastro dos Padrões'!$A$2:$V$4400,AY$1,FALSE)="","-",VLOOKUP(ROUND(CONCATENATE($A92,AY$2),0),'Cadastro dos Padrões'!$A$2:$V$4400,AY$1,FALSE))</f>
        <v>-</v>
      </c>
      <c r="AZ92" s="31" t="str">
        <f>IF(VLOOKUP(ROUND(CONCATENATE($A92,AZ$2),0),'Cadastro dos Padrões'!$A$2:$V$4400,AZ$1,FALSE)="","-",VLOOKUP(ROUND(CONCATENATE($A92,AZ$2),0),'Cadastro dos Padrões'!$A$2:$V$4400,AZ$1,FALSE))</f>
        <v>-</v>
      </c>
      <c r="BA92" s="31" t="str">
        <f>IF(VLOOKUP(ROUND(CONCATENATE($A92,BA$2),0),'Cadastro dos Padrões'!$A$2:$V$4400,BA$1,FALSE)="","-",VLOOKUP(ROUND(CONCATENATE($A92,BA$2),0),'Cadastro dos Padrões'!$A$2:$V$4400,BA$1,FALSE))</f>
        <v>-</v>
      </c>
      <c r="BB92" s="31" t="str">
        <f>IF(VLOOKUP(ROUND(CONCATENATE($A92,BB$2),0),'Cadastro dos Padrões'!$A$2:$V$4400,BB$1,FALSE)="","-",VLOOKUP(ROUND(CONCATENATE($A92,BB$2),0),'Cadastro dos Padrões'!$A$2:$V$4400,BB$1,FALSE))</f>
        <v>-</v>
      </c>
      <c r="BC92" s="31" t="str">
        <f>IF(VLOOKUP(ROUND(CONCATENATE($A92,BC$2),0),'Cadastro dos Padrões'!$A$2:$V$4400,BC$1,FALSE)="","-",VLOOKUP(ROUND(CONCATENATE($A92,BC$2),0),'Cadastro dos Padrões'!$A$2:$V$4400,BC$1,FALSE))</f>
        <v>-</v>
      </c>
      <c r="BD92" s="31" t="str">
        <f>IF(VLOOKUP(ROUND(CONCATENATE($A92,BD$2),0),'Cadastro dos Padrões'!$A$2:$V$4400,BD$1,FALSE)="","-",VLOOKUP(ROUND(CONCATENATE($A92,BD$2),0),'Cadastro dos Padrões'!$A$2:$V$4400,BD$1,FALSE))</f>
        <v>-</v>
      </c>
      <c r="BE92" s="31" t="str">
        <f>IF(VLOOKUP(ROUND(CONCATENATE($A92,BE$2),0),'Cadastro dos Padrões'!$A$2:$V$4400,BE$1,FALSE)="","-",VLOOKUP(ROUND(CONCATENATE($A92,BE$2),0),'Cadastro dos Padrões'!$A$2:$V$4400,BE$1,FALSE))</f>
        <v>-</v>
      </c>
      <c r="BF92" s="31" t="str">
        <f>IF(VLOOKUP(ROUND(CONCATENATE($A92,BF$2),0),'Cadastro dos Padrões'!$A$2:$V$4400,BF$1,FALSE)="","-",VLOOKUP(ROUND(CONCATENATE($A92,BF$2),0),'Cadastro dos Padrões'!$A$2:$V$4400,BF$1,FALSE))</f>
        <v>-</v>
      </c>
      <c r="BG92" s="31" t="str">
        <f>IF(VLOOKUP(ROUND(CONCATENATE($A92,BG$2),0),'Cadastro dos Padrões'!$A$2:$V$4400,BG$1,FALSE)="","-",VLOOKUP(ROUND(CONCATENATE($A92,BG$2),0),'Cadastro dos Padrões'!$A$2:$V$4400,BG$1,FALSE))</f>
        <v>-</v>
      </c>
      <c r="BH92" s="31" t="str">
        <f>IF(VLOOKUP(ROUND(CONCATENATE($A92,BH$2),0),'Cadastro dos Padrões'!$A$2:$V$4400,BH$1,FALSE)="","-",VLOOKUP(ROUND(CONCATENATE($A92,BH$2),0),'Cadastro dos Padrões'!$A$2:$V$4400,BH$1,FALSE))</f>
        <v>-</v>
      </c>
      <c r="BI92" s="31" t="str">
        <f>IF(VLOOKUP(ROUND(CONCATENATE($A92,BI$2),0),'Cadastro dos Padrões'!$A$2:$V$4400,BI$1,FALSE)="","-",VLOOKUP(ROUND(CONCATENATE($A92,BI$2),0),'Cadastro dos Padrões'!$A$2:$V$4400,BI$1,FALSE))</f>
        <v>-</v>
      </c>
      <c r="BJ92" s="31" t="str">
        <f>IF(VLOOKUP(ROUND(CONCATENATE($A92,BJ$2),0),'Cadastro dos Padrões'!$A$2:$V$4400,BJ$1,FALSE)="","-",VLOOKUP(ROUND(CONCATENATE($A92,BJ$2),0),'Cadastro dos Padrões'!$A$2:$V$4400,BJ$1,FALSE))</f>
        <v>-</v>
      </c>
      <c r="BK92" s="31" t="str">
        <f>IF(VLOOKUP(ROUND(CONCATENATE($A92,BK$2),0),'Cadastro dos Padrões'!$A$2:$V$4400,BK$1,FALSE)="","-",VLOOKUP(ROUND(CONCATENATE($A92,BK$2),0),'Cadastro dos Padrões'!$A$2:$V$4400,BK$1,FALSE))</f>
        <v>-</v>
      </c>
      <c r="BL92" s="31" t="str">
        <f>IF(VLOOKUP(ROUND(CONCATENATE($A92,BL$2),0),'Cadastro dos Padrões'!$A$2:$V$4400,BL$1,FALSE)="","-",VLOOKUP(ROUND(CONCATENATE($A92,BL$2),0),'Cadastro dos Padrões'!$A$2:$V$4400,BL$1,FALSE))</f>
        <v>-</v>
      </c>
      <c r="BM92" s="31" t="str">
        <f>IF(VLOOKUP(ROUND(CONCATENATE($A92,BM$2),0),'Cadastro dos Padrões'!$A$2:$V$4400,BM$1,FALSE)="","-",VLOOKUP(ROUND(CONCATENATE($A92,BM$2),0),'Cadastro dos Padrões'!$A$2:$V$4400,BM$1,FALSE))</f>
        <v>-</v>
      </c>
      <c r="BN92" s="31" t="str">
        <f>IF(VLOOKUP(ROUND(CONCATENATE($A92,BN$2),0),'Cadastro dos Padrões'!$A$2:$V$4400,BN$1,FALSE)="","-",VLOOKUP(ROUND(CONCATENATE($A92,BN$2),0),'Cadastro dos Padrões'!$A$2:$V$4400,BN$1,FALSE))</f>
        <v>-</v>
      </c>
      <c r="BO92" s="31" t="str">
        <f>IF(VLOOKUP(ROUND(CONCATENATE($A92,BO$2),0),'Cadastro dos Padrões'!$A$2:$V$4400,BO$1,FALSE)="","-",VLOOKUP(ROUND(CONCATENATE($A92,BO$2),0),'Cadastro dos Padrões'!$A$2:$V$4400,BO$1,FALSE))</f>
        <v>-</v>
      </c>
    </row>
    <row r="93" spans="1:67" x14ac:dyDescent="0.3">
      <c r="A93" s="6">
        <f t="shared" si="52"/>
        <v>88</v>
      </c>
      <c r="B93" s="31" t="str">
        <f>IF(VLOOKUP(ROUND(CONCATENATE($A93,B$2),0),'Cadastro dos Padrões'!$A$2:$V$4400,B$1,FALSE)="","-",VLOOKUP(ROUND(CONCATENATE($A93,B$2),0),'Cadastro dos Padrões'!$A$2:$V$4400,B$1,FALSE))</f>
        <v>-</v>
      </c>
      <c r="C93" s="31" t="str">
        <f>IF($B93="-","-",VLOOKUP(ROUND(CONCATENATE($A93,C$2),0),'Cadastro dos Padrões'!$A$2:$V$4400,C$1,FALSE))</f>
        <v>-</v>
      </c>
      <c r="D93" s="31" t="str">
        <f>IF($B93="-","-",VLOOKUP(ROUND(CONCATENATE($A93,D$2),0),'Cadastro dos Padrões'!$A$2:$V$4400,D$1,FALSE))</f>
        <v>-</v>
      </c>
      <c r="E93" s="31" t="str">
        <f>IF($B93="-","-",VLOOKUP(ROUND(CONCATENATE($A93,E$2),0),'Cadastro dos Padrões'!$A$2:$V$4400,E$1,FALSE))</f>
        <v>-</v>
      </c>
      <c r="F93" s="31" t="str">
        <f>IF($B93="-","-",VLOOKUP(ROUND(CONCATENATE($A93,F$2),0),'Cadastro dos Padrões'!$A$2:$V$4400,F$1,FALSE))</f>
        <v>-</v>
      </c>
      <c r="G93" s="31" t="str">
        <f>IF($B93="-","-",VLOOKUP(ROUND(CONCATENATE($A93,G$2),0),'Cadastro dos Padrões'!$A$2:$V$4400,G$1,FALSE))</f>
        <v>-</v>
      </c>
      <c r="H93" s="32" t="str">
        <f>IF($B93="-","-",VLOOKUP(ROUND(CONCATENATE($A93,H$2),0),'Cadastro dos Padrões'!$A$2:$V$4400,H$1,FALSE))</f>
        <v>-</v>
      </c>
      <c r="I93" s="33" t="str">
        <f>IF($B93="-","-",VLOOKUP(ROUND(CONCATENATE($A93,I$2),0),'Cadastro dos Padrões'!$A$2:$V$4400,I$1,FALSE))</f>
        <v>-</v>
      </c>
      <c r="J93" s="31" t="str">
        <f>IF($B93="-","-",VLOOKUP(ROUND(CONCATENATE($A93,J$2),0),'Cadastro dos Padrões'!$A$2:$V$4400,J$1,FALSE))</f>
        <v>-</v>
      </c>
      <c r="K93" s="31" t="str">
        <f>IF($B93="-","-",VLOOKUP(ROUND(CONCATENATE($A93,K$2),0),'Cadastro dos Padrões'!$A$2:$V$4400,K$1,FALSE))</f>
        <v>-</v>
      </c>
      <c r="L93" s="31" t="str">
        <f>IF($B93="-","-",VLOOKUP(ROUND(CONCATENATE($A93,L$2),0),'Cadastro dos Padrões'!$A$2:$V$4400,L$1,FALSE))</f>
        <v>-</v>
      </c>
      <c r="M93" s="31" t="str">
        <f>IF($B93="-","-",VLOOKUP(ROUND(CONCATENATE($A93,M$2),0),'Cadastro dos Padrões'!$A$2:$V$4400,M$1,FALSE))</f>
        <v>-</v>
      </c>
      <c r="N93" s="31" t="str">
        <f>IF($B93="-","-",VLOOKUP(ROUND(CONCATENATE($A93,N$2),0),'Cadastro dos Padrões'!$A$2:$V$4400,N$1,FALSE))</f>
        <v>-</v>
      </c>
      <c r="O93" s="31" t="str">
        <f>IF($B93="-","-",VLOOKUP(ROUND(CONCATENATE($A93,O$2),0),'Cadastro dos Padrões'!$A$2:$V$4400,O$1,FALSE))</f>
        <v>-</v>
      </c>
      <c r="P93" s="31" t="str">
        <f>IF($B93="-","-",VLOOKUP(ROUND(CONCATENATE($A93,P$2),0),'Cadastro dos Padrões'!$A$2:$V$4400,P$1,FALSE))</f>
        <v>-</v>
      </c>
      <c r="Q93" s="31" t="str">
        <f>IF($B93="-","-",VLOOKUP(ROUND(CONCATENATE($A93,Q$2),0),'Cadastro dos Padrões'!$A$2:$V$4400,Q$1,FALSE))</f>
        <v>-</v>
      </c>
      <c r="R93" s="31" t="str">
        <f>IF($B93="-","-",VLOOKUP(ROUND(CONCATENATE($A93,R$2),0),'Cadastro dos Padrões'!$A$2:$V$4400,R$1,FALSE))</f>
        <v>-</v>
      </c>
      <c r="S93" s="31" t="str">
        <f>IF($B93="-","-",VLOOKUP(ROUND(CONCATENATE($A93,S$2),0),'Cadastro dos Padrões'!$A$2:$V$4400,S$1,FALSE))</f>
        <v>-</v>
      </c>
      <c r="T93" s="31" t="str">
        <f>IF($B93="-","-",VLOOKUP(ROUND(CONCATENATE($A93,T$2),0),'Cadastro dos Padrões'!$A$2:$V$4400,T$1,FALSE))</f>
        <v>-</v>
      </c>
      <c r="U93" s="31" t="str">
        <f>IF($B93="-","-",VLOOKUP(ROUND(CONCATENATE($A93,U$2),0),'Cadastro dos Padrões'!$A$2:$V$4400,U$1,FALSE))</f>
        <v>-</v>
      </c>
      <c r="V93" s="31" t="str">
        <f>IF($B93="-","-",VLOOKUP(ROUND(CONCATENATE($A93,V$2),0),'Cadastro dos Padrões'!$A$2:$V$4400,V$1,FALSE))</f>
        <v>-</v>
      </c>
      <c r="W93" s="31" t="str">
        <f>IF($B93="-","-",VLOOKUP(ROUND(CONCATENATE($A93,W$2),0),'Cadastro dos Padrões'!$A$2:$V$4400,W$1,FALSE))</f>
        <v>-</v>
      </c>
      <c r="X93" s="31" t="str">
        <f>IF($B93="-","-",VLOOKUP(ROUND(CONCATENATE($A93,X$2),0),'Cadastro dos Padrões'!$A$2:$V$4400,X$1,FALSE))</f>
        <v>-</v>
      </c>
      <c r="Y93" s="31" t="str">
        <f>IF($B93="-","-",VLOOKUP(ROUND(CONCATENATE($A93,Y$2),0),'Cadastro dos Padrões'!$A$2:$V$4400,Y$1,FALSE))</f>
        <v>-</v>
      </c>
      <c r="Z93" s="31" t="str">
        <f>IF($B93="-","-",VLOOKUP(ROUND(CONCATENATE($A93,Z$2),0),'Cadastro dos Padrões'!$A$2:$V$4400,Z$1,FALSE))</f>
        <v>-</v>
      </c>
      <c r="AA93" s="31" t="str">
        <f>IF($B93="-","-",VLOOKUP(ROUND(CONCATENATE($A93,AA$2),0),'Cadastro dos Padrões'!$A$2:$V$4400,AA$1,FALSE))</f>
        <v>-</v>
      </c>
      <c r="AB93" s="31" t="str">
        <f>IF(VLOOKUP(ROUND(CONCATENATE($A93,AB$2),0),'Cadastro dos Padrões'!$A$2:$V$4400,AB$1,FALSE)="","-",VLOOKUP(ROUND(CONCATENATE($A93,AB$2),0),'Cadastro dos Padrões'!$A$2:$V$4400,AB$1,FALSE))</f>
        <v>-</v>
      </c>
      <c r="AC93" s="31" t="str">
        <f>IF(VLOOKUP(ROUND(CONCATENATE($A93,AC$2),0),'Cadastro dos Padrões'!$A$2:$V$4400,AC$1,FALSE)="","-",VLOOKUP(ROUND(CONCATENATE($A93,AC$2),0),'Cadastro dos Padrões'!$A$2:$V$4400,AC$1,FALSE))</f>
        <v>-</v>
      </c>
      <c r="AD93" s="31" t="str">
        <f>IF(VLOOKUP(ROUND(CONCATENATE($A93,AD$2),0),'Cadastro dos Padrões'!$A$2:$V$4400,AD$1,FALSE)="","-",VLOOKUP(ROUND(CONCATENATE($A93,AD$2),0),'Cadastro dos Padrões'!$A$2:$V$4400,AD$1,FALSE))</f>
        <v>-</v>
      </c>
      <c r="AE93" s="31" t="str">
        <f>IF(VLOOKUP(ROUND(CONCATENATE($A93,AE$2),0),'Cadastro dos Padrões'!$A$2:$V$4400,AE$1,FALSE)="","-",VLOOKUP(ROUND(CONCATENATE($A93,AE$2),0),'Cadastro dos Padrões'!$A$2:$V$4400,AE$1,FALSE))</f>
        <v>-</v>
      </c>
      <c r="AF93" s="31" t="str">
        <f>IF(VLOOKUP(ROUND(CONCATENATE($A93,AF$2),0),'Cadastro dos Padrões'!$A$2:$V$4400,AF$1,FALSE)="","-",VLOOKUP(ROUND(CONCATENATE($A93,AF$2),0),'Cadastro dos Padrões'!$A$2:$V$4400,AF$1,FALSE))</f>
        <v>-</v>
      </c>
      <c r="AG93" s="31" t="str">
        <f>IF(VLOOKUP(ROUND(CONCATENATE($A93,AG$2),0),'Cadastro dos Padrões'!$A$2:$V$4400,AG$1,FALSE)="","-",VLOOKUP(ROUND(CONCATENATE($A93,AG$2),0),'Cadastro dos Padrões'!$A$2:$V$4400,AG$1,FALSE))</f>
        <v>-</v>
      </c>
      <c r="AH93" s="31" t="str">
        <f>IF(VLOOKUP(ROUND(CONCATENATE($A93,AH$2),0),'Cadastro dos Padrões'!$A$2:$V$4400,AH$1,FALSE)="","-",VLOOKUP(ROUND(CONCATENATE($A93,AH$2),0),'Cadastro dos Padrões'!$A$2:$V$4400,AH$1,FALSE))</f>
        <v>-</v>
      </c>
      <c r="AI93" s="31" t="str">
        <f>IF(VLOOKUP(ROUND(CONCATENATE($A93,AI$2),0),'Cadastro dos Padrões'!$A$2:$V$4400,AI$1,FALSE)="","-",VLOOKUP(ROUND(CONCATENATE($A93,AI$2),0),'Cadastro dos Padrões'!$A$2:$V$4400,AI$1,FALSE))</f>
        <v>-</v>
      </c>
      <c r="AJ93" s="31" t="str">
        <f>IF(VLOOKUP(ROUND(CONCATENATE($A93,AJ$2),0),'Cadastro dos Padrões'!$A$2:$V$4400,AJ$1,FALSE)="","-",VLOOKUP(ROUND(CONCATENATE($A93,AJ$2),0),'Cadastro dos Padrões'!$A$2:$V$4400,AJ$1,FALSE))</f>
        <v>-</v>
      </c>
      <c r="AK93" s="31" t="str">
        <f>IF(VLOOKUP(ROUND(CONCATENATE($A93,AK$2),0),'Cadastro dos Padrões'!$A$2:$V$4400,AK$1,FALSE)="","-",VLOOKUP(ROUND(CONCATENATE($A93,AK$2),0),'Cadastro dos Padrões'!$A$2:$V$4400,AK$1,FALSE))</f>
        <v>-</v>
      </c>
      <c r="AL93" s="31" t="str">
        <f>IF(VLOOKUP(ROUND(CONCATENATE($A93,AL$2),0),'Cadastro dos Padrões'!$A$2:$V$4400,AL$1,FALSE)="","-",VLOOKUP(ROUND(CONCATENATE($A93,AL$2),0),'Cadastro dos Padrões'!$A$2:$V$4400,AL$1,FALSE))</f>
        <v>-</v>
      </c>
      <c r="AM93" s="31" t="str">
        <f>IF(VLOOKUP(ROUND(CONCATENATE($A93,AM$2),0),'Cadastro dos Padrões'!$A$2:$V$4400,AM$1,FALSE)="","-",VLOOKUP(ROUND(CONCATENATE($A93,AM$2),0),'Cadastro dos Padrões'!$A$2:$V$4400,AM$1,FALSE))</f>
        <v>-</v>
      </c>
      <c r="AN93" s="31" t="str">
        <f>IF(VLOOKUP(ROUND(CONCATENATE($A93,AN$2),0),'Cadastro dos Padrões'!$A$2:$V$4400,AN$1,FALSE)="","-",VLOOKUP(ROUND(CONCATENATE($A93,AN$2),0),'Cadastro dos Padrões'!$A$2:$V$4400,AN$1,FALSE))</f>
        <v>-</v>
      </c>
      <c r="AO93" s="31" t="str">
        <f>IF(VLOOKUP(ROUND(CONCATENATE($A93,AO$2),0),'Cadastro dos Padrões'!$A$2:$V$4400,AO$1,FALSE)="","-",VLOOKUP(ROUND(CONCATENATE($A93,AO$2),0),'Cadastro dos Padrões'!$A$2:$V$4400,AO$1,FALSE))</f>
        <v>-</v>
      </c>
      <c r="AP93" s="31" t="str">
        <f>IF(VLOOKUP(ROUND(CONCATENATE($A93,AP$2),0),'Cadastro dos Padrões'!$A$2:$V$4400,AP$1,FALSE)="","-",VLOOKUP(ROUND(CONCATENATE($A93,AP$2),0),'Cadastro dos Padrões'!$A$2:$V$4400,AP$1,FALSE))</f>
        <v>-</v>
      </c>
      <c r="AQ93" s="31" t="str">
        <f>IF(VLOOKUP(ROUND(CONCATENATE($A93,AQ$2),0),'Cadastro dos Padrões'!$A$2:$V$4400,AQ$1,FALSE)="","-",VLOOKUP(ROUND(CONCATENATE($A93,AQ$2),0),'Cadastro dos Padrões'!$A$2:$V$4400,AQ$1,FALSE))</f>
        <v>-</v>
      </c>
      <c r="AR93" s="31" t="str">
        <f>IF(VLOOKUP(ROUND(CONCATENATE($A93,AR$2),0),'Cadastro dos Padrões'!$A$2:$V$4400,AR$1,FALSE)="","-",VLOOKUP(ROUND(CONCATENATE($A93,AR$2),0),'Cadastro dos Padrões'!$A$2:$V$4400,AR$1,FALSE))</f>
        <v>-</v>
      </c>
      <c r="AS93" s="31" t="str">
        <f>IF(VLOOKUP(ROUND(CONCATENATE($A93,AS$2),0),'Cadastro dos Padrões'!$A$2:$V$4400,AS$1,FALSE)="","-",VLOOKUP(ROUND(CONCATENATE($A93,AS$2),0),'Cadastro dos Padrões'!$A$2:$V$4400,AS$1,FALSE))</f>
        <v>-</v>
      </c>
      <c r="AT93" s="31" t="str">
        <f>IF(VLOOKUP(ROUND(CONCATENATE($A93,AT$2),0),'Cadastro dos Padrões'!$A$2:$V$4400,AT$1,FALSE)="","-",VLOOKUP(ROUND(CONCATENATE($A93,AT$2),0),'Cadastro dos Padrões'!$A$2:$V$4400,AT$1,FALSE))</f>
        <v>-</v>
      </c>
      <c r="AU93" s="31" t="str">
        <f>IF(VLOOKUP(ROUND(CONCATENATE($A93,AU$2),0),'Cadastro dos Padrões'!$A$2:$V$4400,AU$1,FALSE)="","-",VLOOKUP(ROUND(CONCATENATE($A93,AU$2),0),'Cadastro dos Padrões'!$A$2:$V$4400,AU$1,FALSE))</f>
        <v>-</v>
      </c>
      <c r="AV93" s="31" t="str">
        <f>IF(VLOOKUP(ROUND(CONCATENATE($A93,AV$2),0),'Cadastro dos Padrões'!$A$2:$V$4400,AV$1,FALSE)="","-",VLOOKUP(ROUND(CONCATENATE($A93,AV$2),0),'Cadastro dos Padrões'!$A$2:$V$4400,AV$1,FALSE))</f>
        <v>-</v>
      </c>
      <c r="AW93" s="31" t="str">
        <f>IF(VLOOKUP(ROUND(CONCATENATE($A93,AW$2),0),'Cadastro dos Padrões'!$A$2:$V$4400,AW$1,FALSE)="","-",VLOOKUP(ROUND(CONCATENATE($A93,AW$2),0),'Cadastro dos Padrões'!$A$2:$V$4400,AW$1,FALSE))</f>
        <v>-</v>
      </c>
      <c r="AX93" s="31" t="str">
        <f>IF(VLOOKUP(ROUND(CONCATENATE($A93,AX$2),0),'Cadastro dos Padrões'!$A$2:$V$4400,AX$1,FALSE)="","-",VLOOKUP(ROUND(CONCATENATE($A93,AX$2),0),'Cadastro dos Padrões'!$A$2:$V$4400,AX$1,FALSE))</f>
        <v>-</v>
      </c>
      <c r="AY93" s="31" t="str">
        <f>IF(VLOOKUP(ROUND(CONCATENATE($A93,AY$2),0),'Cadastro dos Padrões'!$A$2:$V$4400,AY$1,FALSE)="","-",VLOOKUP(ROUND(CONCATENATE($A93,AY$2),0),'Cadastro dos Padrões'!$A$2:$V$4400,AY$1,FALSE))</f>
        <v>-</v>
      </c>
      <c r="AZ93" s="31" t="str">
        <f>IF(VLOOKUP(ROUND(CONCATENATE($A93,AZ$2),0),'Cadastro dos Padrões'!$A$2:$V$4400,AZ$1,FALSE)="","-",VLOOKUP(ROUND(CONCATENATE($A93,AZ$2),0),'Cadastro dos Padrões'!$A$2:$V$4400,AZ$1,FALSE))</f>
        <v>-</v>
      </c>
      <c r="BA93" s="31" t="str">
        <f>IF(VLOOKUP(ROUND(CONCATENATE($A93,BA$2),0),'Cadastro dos Padrões'!$A$2:$V$4400,BA$1,FALSE)="","-",VLOOKUP(ROUND(CONCATENATE($A93,BA$2),0),'Cadastro dos Padrões'!$A$2:$V$4400,BA$1,FALSE))</f>
        <v>-</v>
      </c>
      <c r="BB93" s="31" t="str">
        <f>IF(VLOOKUP(ROUND(CONCATENATE($A93,BB$2),0),'Cadastro dos Padrões'!$A$2:$V$4400,BB$1,FALSE)="","-",VLOOKUP(ROUND(CONCATENATE($A93,BB$2),0),'Cadastro dos Padrões'!$A$2:$V$4400,BB$1,FALSE))</f>
        <v>-</v>
      </c>
      <c r="BC93" s="31" t="str">
        <f>IF(VLOOKUP(ROUND(CONCATENATE($A93,BC$2),0),'Cadastro dos Padrões'!$A$2:$V$4400,BC$1,FALSE)="","-",VLOOKUP(ROUND(CONCATENATE($A93,BC$2),0),'Cadastro dos Padrões'!$A$2:$V$4400,BC$1,FALSE))</f>
        <v>-</v>
      </c>
      <c r="BD93" s="31" t="str">
        <f>IF(VLOOKUP(ROUND(CONCATENATE($A93,BD$2),0),'Cadastro dos Padrões'!$A$2:$V$4400,BD$1,FALSE)="","-",VLOOKUP(ROUND(CONCATENATE($A93,BD$2),0),'Cadastro dos Padrões'!$A$2:$V$4400,BD$1,FALSE))</f>
        <v>-</v>
      </c>
      <c r="BE93" s="31" t="str">
        <f>IF(VLOOKUP(ROUND(CONCATENATE($A93,BE$2),0),'Cadastro dos Padrões'!$A$2:$V$4400,BE$1,FALSE)="","-",VLOOKUP(ROUND(CONCATENATE($A93,BE$2),0),'Cadastro dos Padrões'!$A$2:$V$4400,BE$1,FALSE))</f>
        <v>-</v>
      </c>
      <c r="BF93" s="31" t="str">
        <f>IF(VLOOKUP(ROUND(CONCATENATE($A93,BF$2),0),'Cadastro dos Padrões'!$A$2:$V$4400,BF$1,FALSE)="","-",VLOOKUP(ROUND(CONCATENATE($A93,BF$2),0),'Cadastro dos Padrões'!$A$2:$V$4400,BF$1,FALSE))</f>
        <v>-</v>
      </c>
      <c r="BG93" s="31" t="str">
        <f>IF(VLOOKUP(ROUND(CONCATENATE($A93,BG$2),0),'Cadastro dos Padrões'!$A$2:$V$4400,BG$1,FALSE)="","-",VLOOKUP(ROUND(CONCATENATE($A93,BG$2),0),'Cadastro dos Padrões'!$A$2:$V$4400,BG$1,FALSE))</f>
        <v>-</v>
      </c>
      <c r="BH93" s="31" t="str">
        <f>IF(VLOOKUP(ROUND(CONCATENATE($A93,BH$2),0),'Cadastro dos Padrões'!$A$2:$V$4400,BH$1,FALSE)="","-",VLOOKUP(ROUND(CONCATENATE($A93,BH$2),0),'Cadastro dos Padrões'!$A$2:$V$4400,BH$1,FALSE))</f>
        <v>-</v>
      </c>
      <c r="BI93" s="31" t="str">
        <f>IF(VLOOKUP(ROUND(CONCATENATE($A93,BI$2),0),'Cadastro dos Padrões'!$A$2:$V$4400,BI$1,FALSE)="","-",VLOOKUP(ROUND(CONCATENATE($A93,BI$2),0),'Cadastro dos Padrões'!$A$2:$V$4400,BI$1,FALSE))</f>
        <v>-</v>
      </c>
      <c r="BJ93" s="31" t="str">
        <f>IF(VLOOKUP(ROUND(CONCATENATE($A93,BJ$2),0),'Cadastro dos Padrões'!$A$2:$V$4400,BJ$1,FALSE)="","-",VLOOKUP(ROUND(CONCATENATE($A93,BJ$2),0),'Cadastro dos Padrões'!$A$2:$V$4400,BJ$1,FALSE))</f>
        <v>-</v>
      </c>
      <c r="BK93" s="31" t="str">
        <f>IF(VLOOKUP(ROUND(CONCATENATE($A93,BK$2),0),'Cadastro dos Padrões'!$A$2:$V$4400,BK$1,FALSE)="","-",VLOOKUP(ROUND(CONCATENATE($A93,BK$2),0),'Cadastro dos Padrões'!$A$2:$V$4400,BK$1,FALSE))</f>
        <v>-</v>
      </c>
      <c r="BL93" s="31" t="str">
        <f>IF(VLOOKUP(ROUND(CONCATENATE($A93,BL$2),0),'Cadastro dos Padrões'!$A$2:$V$4400,BL$1,FALSE)="","-",VLOOKUP(ROUND(CONCATENATE($A93,BL$2),0),'Cadastro dos Padrões'!$A$2:$V$4400,BL$1,FALSE))</f>
        <v>-</v>
      </c>
      <c r="BM93" s="31" t="str">
        <f>IF(VLOOKUP(ROUND(CONCATENATE($A93,BM$2),0),'Cadastro dos Padrões'!$A$2:$V$4400,BM$1,FALSE)="","-",VLOOKUP(ROUND(CONCATENATE($A93,BM$2),0),'Cadastro dos Padrões'!$A$2:$V$4400,BM$1,FALSE))</f>
        <v>-</v>
      </c>
      <c r="BN93" s="31" t="str">
        <f>IF(VLOOKUP(ROUND(CONCATENATE($A93,BN$2),0),'Cadastro dos Padrões'!$A$2:$V$4400,BN$1,FALSE)="","-",VLOOKUP(ROUND(CONCATENATE($A93,BN$2),0),'Cadastro dos Padrões'!$A$2:$V$4400,BN$1,FALSE))</f>
        <v>-</v>
      </c>
      <c r="BO93" s="31" t="str">
        <f>IF(VLOOKUP(ROUND(CONCATENATE($A93,BO$2),0),'Cadastro dos Padrões'!$A$2:$V$4400,BO$1,FALSE)="","-",VLOOKUP(ROUND(CONCATENATE($A93,BO$2),0),'Cadastro dos Padrões'!$A$2:$V$4400,BO$1,FALSE))</f>
        <v>-</v>
      </c>
    </row>
    <row r="94" spans="1:67" x14ac:dyDescent="0.3">
      <c r="A94" s="6">
        <f t="shared" si="52"/>
        <v>89</v>
      </c>
      <c r="B94" s="31" t="str">
        <f>IF(VLOOKUP(ROUND(CONCATENATE($A94,B$2),0),'Cadastro dos Padrões'!$A$2:$V$4400,B$1,FALSE)="","-",VLOOKUP(ROUND(CONCATENATE($A94,B$2),0),'Cadastro dos Padrões'!$A$2:$V$4400,B$1,FALSE))</f>
        <v>-</v>
      </c>
      <c r="C94" s="31" t="str">
        <f>IF($B94="-","-",VLOOKUP(ROUND(CONCATENATE($A94,C$2),0),'Cadastro dos Padrões'!$A$2:$V$4400,C$1,FALSE))</f>
        <v>-</v>
      </c>
      <c r="D94" s="31" t="str">
        <f>IF($B94="-","-",VLOOKUP(ROUND(CONCATENATE($A94,D$2),0),'Cadastro dos Padrões'!$A$2:$V$4400,D$1,FALSE))</f>
        <v>-</v>
      </c>
      <c r="E94" s="31" t="str">
        <f>IF($B94="-","-",VLOOKUP(ROUND(CONCATENATE($A94,E$2),0),'Cadastro dos Padrões'!$A$2:$V$4400,E$1,FALSE))</f>
        <v>-</v>
      </c>
      <c r="F94" s="31" t="str">
        <f>IF($B94="-","-",VLOOKUP(ROUND(CONCATENATE($A94,F$2),0),'Cadastro dos Padrões'!$A$2:$V$4400,F$1,FALSE))</f>
        <v>-</v>
      </c>
      <c r="G94" s="31" t="str">
        <f>IF($B94="-","-",VLOOKUP(ROUND(CONCATENATE($A94,G$2),0),'Cadastro dos Padrões'!$A$2:$V$4400,G$1,FALSE))</f>
        <v>-</v>
      </c>
      <c r="H94" s="32" t="str">
        <f>IF($B94="-","-",VLOOKUP(ROUND(CONCATENATE($A94,H$2),0),'Cadastro dos Padrões'!$A$2:$V$4400,H$1,FALSE))</f>
        <v>-</v>
      </c>
      <c r="I94" s="33" t="str">
        <f>IF($B94="-","-",VLOOKUP(ROUND(CONCATENATE($A94,I$2),0),'Cadastro dos Padrões'!$A$2:$V$4400,I$1,FALSE))</f>
        <v>-</v>
      </c>
      <c r="J94" s="31" t="str">
        <f>IF($B94="-","-",VLOOKUP(ROUND(CONCATENATE($A94,J$2),0),'Cadastro dos Padrões'!$A$2:$V$4400,J$1,FALSE))</f>
        <v>-</v>
      </c>
      <c r="K94" s="31" t="str">
        <f>IF($B94="-","-",VLOOKUP(ROUND(CONCATENATE($A94,K$2),0),'Cadastro dos Padrões'!$A$2:$V$4400,K$1,FALSE))</f>
        <v>-</v>
      </c>
      <c r="L94" s="31" t="str">
        <f>IF($B94="-","-",VLOOKUP(ROUND(CONCATENATE($A94,L$2),0),'Cadastro dos Padrões'!$A$2:$V$4400,L$1,FALSE))</f>
        <v>-</v>
      </c>
      <c r="M94" s="31" t="str">
        <f>IF($B94="-","-",VLOOKUP(ROUND(CONCATENATE($A94,M$2),0),'Cadastro dos Padrões'!$A$2:$V$4400,M$1,FALSE))</f>
        <v>-</v>
      </c>
      <c r="N94" s="31" t="str">
        <f>IF($B94="-","-",VLOOKUP(ROUND(CONCATENATE($A94,N$2),0),'Cadastro dos Padrões'!$A$2:$V$4400,N$1,FALSE))</f>
        <v>-</v>
      </c>
      <c r="O94" s="31" t="str">
        <f>IF($B94="-","-",VLOOKUP(ROUND(CONCATENATE($A94,O$2),0),'Cadastro dos Padrões'!$A$2:$V$4400,O$1,FALSE))</f>
        <v>-</v>
      </c>
      <c r="P94" s="31" t="str">
        <f>IF($B94="-","-",VLOOKUP(ROUND(CONCATENATE($A94,P$2),0),'Cadastro dos Padrões'!$A$2:$V$4400,P$1,FALSE))</f>
        <v>-</v>
      </c>
      <c r="Q94" s="31" t="str">
        <f>IF($B94="-","-",VLOOKUP(ROUND(CONCATENATE($A94,Q$2),0),'Cadastro dos Padrões'!$A$2:$V$4400,Q$1,FALSE))</f>
        <v>-</v>
      </c>
      <c r="R94" s="31" t="str">
        <f>IF($B94="-","-",VLOOKUP(ROUND(CONCATENATE($A94,R$2),0),'Cadastro dos Padrões'!$A$2:$V$4400,R$1,FALSE))</f>
        <v>-</v>
      </c>
      <c r="S94" s="31" t="str">
        <f>IF($B94="-","-",VLOOKUP(ROUND(CONCATENATE($A94,S$2),0),'Cadastro dos Padrões'!$A$2:$V$4400,S$1,FALSE))</f>
        <v>-</v>
      </c>
      <c r="T94" s="31" t="str">
        <f>IF($B94="-","-",VLOOKUP(ROUND(CONCATENATE($A94,T$2),0),'Cadastro dos Padrões'!$A$2:$V$4400,T$1,FALSE))</f>
        <v>-</v>
      </c>
      <c r="U94" s="31" t="str">
        <f>IF($B94="-","-",VLOOKUP(ROUND(CONCATENATE($A94,U$2),0),'Cadastro dos Padrões'!$A$2:$V$4400,U$1,FALSE))</f>
        <v>-</v>
      </c>
      <c r="V94" s="31" t="str">
        <f>IF($B94="-","-",VLOOKUP(ROUND(CONCATENATE($A94,V$2),0),'Cadastro dos Padrões'!$A$2:$V$4400,V$1,FALSE))</f>
        <v>-</v>
      </c>
      <c r="W94" s="31" t="str">
        <f>IF($B94="-","-",VLOOKUP(ROUND(CONCATENATE($A94,W$2),0),'Cadastro dos Padrões'!$A$2:$V$4400,W$1,FALSE))</f>
        <v>-</v>
      </c>
      <c r="X94" s="31" t="str">
        <f>IF($B94="-","-",VLOOKUP(ROUND(CONCATENATE($A94,X$2),0),'Cadastro dos Padrões'!$A$2:$V$4400,X$1,FALSE))</f>
        <v>-</v>
      </c>
      <c r="Y94" s="31" t="str">
        <f>IF($B94="-","-",VLOOKUP(ROUND(CONCATENATE($A94,Y$2),0),'Cadastro dos Padrões'!$A$2:$V$4400,Y$1,FALSE))</f>
        <v>-</v>
      </c>
      <c r="Z94" s="31" t="str">
        <f>IF($B94="-","-",VLOOKUP(ROUND(CONCATENATE($A94,Z$2),0),'Cadastro dos Padrões'!$A$2:$V$4400,Z$1,FALSE))</f>
        <v>-</v>
      </c>
      <c r="AA94" s="31" t="str">
        <f>IF($B94="-","-",VLOOKUP(ROUND(CONCATENATE($A94,AA$2),0),'Cadastro dos Padrões'!$A$2:$V$4400,AA$1,FALSE))</f>
        <v>-</v>
      </c>
      <c r="AB94" s="31" t="str">
        <f>IF(VLOOKUP(ROUND(CONCATENATE($A94,AB$2),0),'Cadastro dos Padrões'!$A$2:$V$4400,AB$1,FALSE)="","-",VLOOKUP(ROUND(CONCATENATE($A94,AB$2),0),'Cadastro dos Padrões'!$A$2:$V$4400,AB$1,FALSE))</f>
        <v>-</v>
      </c>
      <c r="AC94" s="31" t="str">
        <f>IF(VLOOKUP(ROUND(CONCATENATE($A94,AC$2),0),'Cadastro dos Padrões'!$A$2:$V$4400,AC$1,FALSE)="","-",VLOOKUP(ROUND(CONCATENATE($A94,AC$2),0),'Cadastro dos Padrões'!$A$2:$V$4400,AC$1,FALSE))</f>
        <v>-</v>
      </c>
      <c r="AD94" s="31" t="str">
        <f>IF(VLOOKUP(ROUND(CONCATENATE($A94,AD$2),0),'Cadastro dos Padrões'!$A$2:$V$4400,AD$1,FALSE)="","-",VLOOKUP(ROUND(CONCATENATE($A94,AD$2),0),'Cadastro dos Padrões'!$A$2:$V$4400,AD$1,FALSE))</f>
        <v>-</v>
      </c>
      <c r="AE94" s="31" t="str">
        <f>IF(VLOOKUP(ROUND(CONCATENATE($A94,AE$2),0),'Cadastro dos Padrões'!$A$2:$V$4400,AE$1,FALSE)="","-",VLOOKUP(ROUND(CONCATENATE($A94,AE$2),0),'Cadastro dos Padrões'!$A$2:$V$4400,AE$1,FALSE))</f>
        <v>-</v>
      </c>
      <c r="AF94" s="31" t="str">
        <f>IF(VLOOKUP(ROUND(CONCATENATE($A94,AF$2),0),'Cadastro dos Padrões'!$A$2:$V$4400,AF$1,FALSE)="","-",VLOOKUP(ROUND(CONCATENATE($A94,AF$2),0),'Cadastro dos Padrões'!$A$2:$V$4400,AF$1,FALSE))</f>
        <v>-</v>
      </c>
      <c r="AG94" s="31" t="str">
        <f>IF(VLOOKUP(ROUND(CONCATENATE($A94,AG$2),0),'Cadastro dos Padrões'!$A$2:$V$4400,AG$1,FALSE)="","-",VLOOKUP(ROUND(CONCATENATE($A94,AG$2),0),'Cadastro dos Padrões'!$A$2:$V$4400,AG$1,FALSE))</f>
        <v>-</v>
      </c>
      <c r="AH94" s="31" t="str">
        <f>IF(VLOOKUP(ROUND(CONCATENATE($A94,AH$2),0),'Cadastro dos Padrões'!$A$2:$V$4400,AH$1,FALSE)="","-",VLOOKUP(ROUND(CONCATENATE($A94,AH$2),0),'Cadastro dos Padrões'!$A$2:$V$4400,AH$1,FALSE))</f>
        <v>-</v>
      </c>
      <c r="AI94" s="31" t="str">
        <f>IF(VLOOKUP(ROUND(CONCATENATE($A94,AI$2),0),'Cadastro dos Padrões'!$A$2:$V$4400,AI$1,FALSE)="","-",VLOOKUP(ROUND(CONCATENATE($A94,AI$2),0),'Cadastro dos Padrões'!$A$2:$V$4400,AI$1,FALSE))</f>
        <v>-</v>
      </c>
      <c r="AJ94" s="31" t="str">
        <f>IF(VLOOKUP(ROUND(CONCATENATE($A94,AJ$2),0),'Cadastro dos Padrões'!$A$2:$V$4400,AJ$1,FALSE)="","-",VLOOKUP(ROUND(CONCATENATE($A94,AJ$2),0),'Cadastro dos Padrões'!$A$2:$V$4400,AJ$1,FALSE))</f>
        <v>-</v>
      </c>
      <c r="AK94" s="31" t="str">
        <f>IF(VLOOKUP(ROUND(CONCATENATE($A94,AK$2),0),'Cadastro dos Padrões'!$A$2:$V$4400,AK$1,FALSE)="","-",VLOOKUP(ROUND(CONCATENATE($A94,AK$2),0),'Cadastro dos Padrões'!$A$2:$V$4400,AK$1,FALSE))</f>
        <v>-</v>
      </c>
      <c r="AL94" s="31" t="str">
        <f>IF(VLOOKUP(ROUND(CONCATENATE($A94,AL$2),0),'Cadastro dos Padrões'!$A$2:$V$4400,AL$1,FALSE)="","-",VLOOKUP(ROUND(CONCATENATE($A94,AL$2),0),'Cadastro dos Padrões'!$A$2:$V$4400,AL$1,FALSE))</f>
        <v>-</v>
      </c>
      <c r="AM94" s="31" t="str">
        <f>IF(VLOOKUP(ROUND(CONCATENATE($A94,AM$2),0),'Cadastro dos Padrões'!$A$2:$V$4400,AM$1,FALSE)="","-",VLOOKUP(ROUND(CONCATENATE($A94,AM$2),0),'Cadastro dos Padrões'!$A$2:$V$4400,AM$1,FALSE))</f>
        <v>-</v>
      </c>
      <c r="AN94" s="31" t="str">
        <f>IF(VLOOKUP(ROUND(CONCATENATE($A94,AN$2),0),'Cadastro dos Padrões'!$A$2:$V$4400,AN$1,FALSE)="","-",VLOOKUP(ROUND(CONCATENATE($A94,AN$2),0),'Cadastro dos Padrões'!$A$2:$V$4400,AN$1,FALSE))</f>
        <v>-</v>
      </c>
      <c r="AO94" s="31" t="str">
        <f>IF(VLOOKUP(ROUND(CONCATENATE($A94,AO$2),0),'Cadastro dos Padrões'!$A$2:$V$4400,AO$1,FALSE)="","-",VLOOKUP(ROUND(CONCATENATE($A94,AO$2),0),'Cadastro dos Padrões'!$A$2:$V$4400,AO$1,FALSE))</f>
        <v>-</v>
      </c>
      <c r="AP94" s="31" t="str">
        <f>IF(VLOOKUP(ROUND(CONCATENATE($A94,AP$2),0),'Cadastro dos Padrões'!$A$2:$V$4400,AP$1,FALSE)="","-",VLOOKUP(ROUND(CONCATENATE($A94,AP$2),0),'Cadastro dos Padrões'!$A$2:$V$4400,AP$1,FALSE))</f>
        <v>-</v>
      </c>
      <c r="AQ94" s="31" t="str">
        <f>IF(VLOOKUP(ROUND(CONCATENATE($A94,AQ$2),0),'Cadastro dos Padrões'!$A$2:$V$4400,AQ$1,FALSE)="","-",VLOOKUP(ROUND(CONCATENATE($A94,AQ$2),0),'Cadastro dos Padrões'!$A$2:$V$4400,AQ$1,FALSE))</f>
        <v>-</v>
      </c>
      <c r="AR94" s="31" t="str">
        <f>IF(VLOOKUP(ROUND(CONCATENATE($A94,AR$2),0),'Cadastro dos Padrões'!$A$2:$V$4400,AR$1,FALSE)="","-",VLOOKUP(ROUND(CONCATENATE($A94,AR$2),0),'Cadastro dos Padrões'!$A$2:$V$4400,AR$1,FALSE))</f>
        <v>-</v>
      </c>
      <c r="AS94" s="31" t="str">
        <f>IF(VLOOKUP(ROUND(CONCATENATE($A94,AS$2),0),'Cadastro dos Padrões'!$A$2:$V$4400,AS$1,FALSE)="","-",VLOOKUP(ROUND(CONCATENATE($A94,AS$2),0),'Cadastro dos Padrões'!$A$2:$V$4400,AS$1,FALSE))</f>
        <v>-</v>
      </c>
      <c r="AT94" s="31" t="str">
        <f>IF(VLOOKUP(ROUND(CONCATENATE($A94,AT$2),0),'Cadastro dos Padrões'!$A$2:$V$4400,AT$1,FALSE)="","-",VLOOKUP(ROUND(CONCATENATE($A94,AT$2),0),'Cadastro dos Padrões'!$A$2:$V$4400,AT$1,FALSE))</f>
        <v>-</v>
      </c>
      <c r="AU94" s="31" t="str">
        <f>IF(VLOOKUP(ROUND(CONCATENATE($A94,AU$2),0),'Cadastro dos Padrões'!$A$2:$V$4400,AU$1,FALSE)="","-",VLOOKUP(ROUND(CONCATENATE($A94,AU$2),0),'Cadastro dos Padrões'!$A$2:$V$4400,AU$1,FALSE))</f>
        <v>-</v>
      </c>
      <c r="AV94" s="31" t="str">
        <f>IF(VLOOKUP(ROUND(CONCATENATE($A94,AV$2),0),'Cadastro dos Padrões'!$A$2:$V$4400,AV$1,FALSE)="","-",VLOOKUP(ROUND(CONCATENATE($A94,AV$2),0),'Cadastro dos Padrões'!$A$2:$V$4400,AV$1,FALSE))</f>
        <v>-</v>
      </c>
      <c r="AW94" s="31" t="str">
        <f>IF(VLOOKUP(ROUND(CONCATENATE($A94,AW$2),0),'Cadastro dos Padrões'!$A$2:$V$4400,AW$1,FALSE)="","-",VLOOKUP(ROUND(CONCATENATE($A94,AW$2),0),'Cadastro dos Padrões'!$A$2:$V$4400,AW$1,FALSE))</f>
        <v>-</v>
      </c>
      <c r="AX94" s="31" t="str">
        <f>IF(VLOOKUP(ROUND(CONCATENATE($A94,AX$2),0),'Cadastro dos Padrões'!$A$2:$V$4400,AX$1,FALSE)="","-",VLOOKUP(ROUND(CONCATENATE($A94,AX$2),0),'Cadastro dos Padrões'!$A$2:$V$4400,AX$1,FALSE))</f>
        <v>-</v>
      </c>
      <c r="AY94" s="31" t="str">
        <f>IF(VLOOKUP(ROUND(CONCATENATE($A94,AY$2),0),'Cadastro dos Padrões'!$A$2:$V$4400,AY$1,FALSE)="","-",VLOOKUP(ROUND(CONCATENATE($A94,AY$2),0),'Cadastro dos Padrões'!$A$2:$V$4400,AY$1,FALSE))</f>
        <v>-</v>
      </c>
      <c r="AZ94" s="31" t="str">
        <f>IF(VLOOKUP(ROUND(CONCATENATE($A94,AZ$2),0),'Cadastro dos Padrões'!$A$2:$V$4400,AZ$1,FALSE)="","-",VLOOKUP(ROUND(CONCATENATE($A94,AZ$2),0),'Cadastro dos Padrões'!$A$2:$V$4400,AZ$1,FALSE))</f>
        <v>-</v>
      </c>
      <c r="BA94" s="31" t="str">
        <f>IF(VLOOKUP(ROUND(CONCATENATE($A94,BA$2),0),'Cadastro dos Padrões'!$A$2:$V$4400,BA$1,FALSE)="","-",VLOOKUP(ROUND(CONCATENATE($A94,BA$2),0),'Cadastro dos Padrões'!$A$2:$V$4400,BA$1,FALSE))</f>
        <v>-</v>
      </c>
      <c r="BB94" s="31" t="str">
        <f>IF(VLOOKUP(ROUND(CONCATENATE($A94,BB$2),0),'Cadastro dos Padrões'!$A$2:$V$4400,BB$1,FALSE)="","-",VLOOKUP(ROUND(CONCATENATE($A94,BB$2),0),'Cadastro dos Padrões'!$A$2:$V$4400,BB$1,FALSE))</f>
        <v>-</v>
      </c>
      <c r="BC94" s="31" t="str">
        <f>IF(VLOOKUP(ROUND(CONCATENATE($A94,BC$2),0),'Cadastro dos Padrões'!$A$2:$V$4400,BC$1,FALSE)="","-",VLOOKUP(ROUND(CONCATENATE($A94,BC$2),0),'Cadastro dos Padrões'!$A$2:$V$4400,BC$1,FALSE))</f>
        <v>-</v>
      </c>
      <c r="BD94" s="31" t="str">
        <f>IF(VLOOKUP(ROUND(CONCATENATE($A94,BD$2),0),'Cadastro dos Padrões'!$A$2:$V$4400,BD$1,FALSE)="","-",VLOOKUP(ROUND(CONCATENATE($A94,BD$2),0),'Cadastro dos Padrões'!$A$2:$V$4400,BD$1,FALSE))</f>
        <v>-</v>
      </c>
      <c r="BE94" s="31" t="str">
        <f>IF(VLOOKUP(ROUND(CONCATENATE($A94,BE$2),0),'Cadastro dos Padrões'!$A$2:$V$4400,BE$1,FALSE)="","-",VLOOKUP(ROUND(CONCATENATE($A94,BE$2),0),'Cadastro dos Padrões'!$A$2:$V$4400,BE$1,FALSE))</f>
        <v>-</v>
      </c>
      <c r="BF94" s="31" t="str">
        <f>IF(VLOOKUP(ROUND(CONCATENATE($A94,BF$2),0),'Cadastro dos Padrões'!$A$2:$V$4400,BF$1,FALSE)="","-",VLOOKUP(ROUND(CONCATENATE($A94,BF$2),0),'Cadastro dos Padrões'!$A$2:$V$4400,BF$1,FALSE))</f>
        <v>-</v>
      </c>
      <c r="BG94" s="31" t="str">
        <f>IF(VLOOKUP(ROUND(CONCATENATE($A94,BG$2),0),'Cadastro dos Padrões'!$A$2:$V$4400,BG$1,FALSE)="","-",VLOOKUP(ROUND(CONCATENATE($A94,BG$2),0),'Cadastro dos Padrões'!$A$2:$V$4400,BG$1,FALSE))</f>
        <v>-</v>
      </c>
      <c r="BH94" s="31" t="str">
        <f>IF(VLOOKUP(ROUND(CONCATENATE($A94,BH$2),0),'Cadastro dos Padrões'!$A$2:$V$4400,BH$1,FALSE)="","-",VLOOKUP(ROUND(CONCATENATE($A94,BH$2),0),'Cadastro dos Padrões'!$A$2:$V$4400,BH$1,FALSE))</f>
        <v>-</v>
      </c>
      <c r="BI94" s="31" t="str">
        <f>IF(VLOOKUP(ROUND(CONCATENATE($A94,BI$2),0),'Cadastro dos Padrões'!$A$2:$V$4400,BI$1,FALSE)="","-",VLOOKUP(ROUND(CONCATENATE($A94,BI$2),0),'Cadastro dos Padrões'!$A$2:$V$4400,BI$1,FALSE))</f>
        <v>-</v>
      </c>
      <c r="BJ94" s="31" t="str">
        <f>IF(VLOOKUP(ROUND(CONCATENATE($A94,BJ$2),0),'Cadastro dos Padrões'!$A$2:$V$4400,BJ$1,FALSE)="","-",VLOOKUP(ROUND(CONCATENATE($A94,BJ$2),0),'Cadastro dos Padrões'!$A$2:$V$4400,BJ$1,FALSE))</f>
        <v>-</v>
      </c>
      <c r="BK94" s="31" t="str">
        <f>IF(VLOOKUP(ROUND(CONCATENATE($A94,BK$2),0),'Cadastro dos Padrões'!$A$2:$V$4400,BK$1,FALSE)="","-",VLOOKUP(ROUND(CONCATENATE($A94,BK$2),0),'Cadastro dos Padrões'!$A$2:$V$4400,BK$1,FALSE))</f>
        <v>-</v>
      </c>
      <c r="BL94" s="31" t="str">
        <f>IF(VLOOKUP(ROUND(CONCATENATE($A94,BL$2),0),'Cadastro dos Padrões'!$A$2:$V$4400,BL$1,FALSE)="","-",VLOOKUP(ROUND(CONCATENATE($A94,BL$2),0),'Cadastro dos Padrões'!$A$2:$V$4400,BL$1,FALSE))</f>
        <v>-</v>
      </c>
      <c r="BM94" s="31" t="str">
        <f>IF(VLOOKUP(ROUND(CONCATENATE($A94,BM$2),0),'Cadastro dos Padrões'!$A$2:$V$4400,BM$1,FALSE)="","-",VLOOKUP(ROUND(CONCATENATE($A94,BM$2),0),'Cadastro dos Padrões'!$A$2:$V$4400,BM$1,FALSE))</f>
        <v>-</v>
      </c>
      <c r="BN94" s="31" t="str">
        <f>IF(VLOOKUP(ROUND(CONCATENATE($A94,BN$2),0),'Cadastro dos Padrões'!$A$2:$V$4400,BN$1,FALSE)="","-",VLOOKUP(ROUND(CONCATENATE($A94,BN$2),0),'Cadastro dos Padrões'!$A$2:$V$4400,BN$1,FALSE))</f>
        <v>-</v>
      </c>
      <c r="BO94" s="31" t="str">
        <f>IF(VLOOKUP(ROUND(CONCATENATE($A94,BO$2),0),'Cadastro dos Padrões'!$A$2:$V$4400,BO$1,FALSE)="","-",VLOOKUP(ROUND(CONCATENATE($A94,BO$2),0),'Cadastro dos Padrões'!$A$2:$V$4400,BO$1,FALSE))</f>
        <v>-</v>
      </c>
    </row>
    <row r="95" spans="1:67" x14ac:dyDescent="0.3">
      <c r="A95" s="6">
        <f t="shared" si="52"/>
        <v>90</v>
      </c>
      <c r="B95" s="31" t="str">
        <f>IF(VLOOKUP(ROUND(CONCATENATE($A95,B$2),0),'Cadastro dos Padrões'!$A$2:$V$4400,B$1,FALSE)="","-",VLOOKUP(ROUND(CONCATENATE($A95,B$2),0),'Cadastro dos Padrões'!$A$2:$V$4400,B$1,FALSE))</f>
        <v>-</v>
      </c>
      <c r="C95" s="31" t="str">
        <f>IF($B95="-","-",VLOOKUP(ROUND(CONCATENATE($A95,C$2),0),'Cadastro dos Padrões'!$A$2:$V$4400,C$1,FALSE))</f>
        <v>-</v>
      </c>
      <c r="D95" s="31" t="str">
        <f>IF($B95="-","-",VLOOKUP(ROUND(CONCATENATE($A95,D$2),0),'Cadastro dos Padrões'!$A$2:$V$4400,D$1,FALSE))</f>
        <v>-</v>
      </c>
      <c r="E95" s="31" t="str">
        <f>IF($B95="-","-",VLOOKUP(ROUND(CONCATENATE($A95,E$2),0),'Cadastro dos Padrões'!$A$2:$V$4400,E$1,FALSE))</f>
        <v>-</v>
      </c>
      <c r="F95" s="31" t="str">
        <f>IF($B95="-","-",VLOOKUP(ROUND(CONCATENATE($A95,F$2),0),'Cadastro dos Padrões'!$A$2:$V$4400,F$1,FALSE))</f>
        <v>-</v>
      </c>
      <c r="G95" s="31" t="str">
        <f>IF($B95="-","-",VLOOKUP(ROUND(CONCATENATE($A95,G$2),0),'Cadastro dos Padrões'!$A$2:$V$4400,G$1,FALSE))</f>
        <v>-</v>
      </c>
      <c r="H95" s="32" t="str">
        <f>IF($B95="-","-",VLOOKUP(ROUND(CONCATENATE($A95,H$2),0),'Cadastro dos Padrões'!$A$2:$V$4400,H$1,FALSE))</f>
        <v>-</v>
      </c>
      <c r="I95" s="33" t="str">
        <f>IF($B95="-","-",VLOOKUP(ROUND(CONCATENATE($A95,I$2),0),'Cadastro dos Padrões'!$A$2:$V$4400,I$1,FALSE))</f>
        <v>-</v>
      </c>
      <c r="J95" s="31" t="str">
        <f>IF($B95="-","-",VLOOKUP(ROUND(CONCATENATE($A95,J$2),0),'Cadastro dos Padrões'!$A$2:$V$4400,J$1,FALSE))</f>
        <v>-</v>
      </c>
      <c r="K95" s="31" t="str">
        <f>IF($B95="-","-",VLOOKUP(ROUND(CONCATENATE($A95,K$2),0),'Cadastro dos Padrões'!$A$2:$V$4400,K$1,FALSE))</f>
        <v>-</v>
      </c>
      <c r="L95" s="31" t="str">
        <f>IF($B95="-","-",VLOOKUP(ROUND(CONCATENATE($A95,L$2),0),'Cadastro dos Padrões'!$A$2:$V$4400,L$1,FALSE))</f>
        <v>-</v>
      </c>
      <c r="M95" s="31" t="str">
        <f>IF($B95="-","-",VLOOKUP(ROUND(CONCATENATE($A95,M$2),0),'Cadastro dos Padrões'!$A$2:$V$4400,M$1,FALSE))</f>
        <v>-</v>
      </c>
      <c r="N95" s="31" t="str">
        <f>IF($B95="-","-",VLOOKUP(ROUND(CONCATENATE($A95,N$2),0),'Cadastro dos Padrões'!$A$2:$V$4400,N$1,FALSE))</f>
        <v>-</v>
      </c>
      <c r="O95" s="31" t="str">
        <f>IF($B95="-","-",VLOOKUP(ROUND(CONCATENATE($A95,O$2),0),'Cadastro dos Padrões'!$A$2:$V$4400,O$1,FALSE))</f>
        <v>-</v>
      </c>
      <c r="P95" s="31" t="str">
        <f>IF($B95="-","-",VLOOKUP(ROUND(CONCATENATE($A95,P$2),0),'Cadastro dos Padrões'!$A$2:$V$4400,P$1,FALSE))</f>
        <v>-</v>
      </c>
      <c r="Q95" s="31" t="str">
        <f>IF($B95="-","-",VLOOKUP(ROUND(CONCATENATE($A95,Q$2),0),'Cadastro dos Padrões'!$A$2:$V$4400,Q$1,FALSE))</f>
        <v>-</v>
      </c>
      <c r="R95" s="31" t="str">
        <f>IF($B95="-","-",VLOOKUP(ROUND(CONCATENATE($A95,R$2),0),'Cadastro dos Padrões'!$A$2:$V$4400,R$1,FALSE))</f>
        <v>-</v>
      </c>
      <c r="S95" s="31" t="str">
        <f>IF($B95="-","-",VLOOKUP(ROUND(CONCATENATE($A95,S$2),0),'Cadastro dos Padrões'!$A$2:$V$4400,S$1,FALSE))</f>
        <v>-</v>
      </c>
      <c r="T95" s="31" t="str">
        <f>IF($B95="-","-",VLOOKUP(ROUND(CONCATENATE($A95,T$2),0),'Cadastro dos Padrões'!$A$2:$V$4400,T$1,FALSE))</f>
        <v>-</v>
      </c>
      <c r="U95" s="31" t="str">
        <f>IF($B95="-","-",VLOOKUP(ROUND(CONCATENATE($A95,U$2),0),'Cadastro dos Padrões'!$A$2:$V$4400,U$1,FALSE))</f>
        <v>-</v>
      </c>
      <c r="V95" s="31" t="str">
        <f>IF($B95="-","-",VLOOKUP(ROUND(CONCATENATE($A95,V$2),0),'Cadastro dos Padrões'!$A$2:$V$4400,V$1,FALSE))</f>
        <v>-</v>
      </c>
      <c r="W95" s="31" t="str">
        <f>IF($B95="-","-",VLOOKUP(ROUND(CONCATENATE($A95,W$2),0),'Cadastro dos Padrões'!$A$2:$V$4400,W$1,FALSE))</f>
        <v>-</v>
      </c>
      <c r="X95" s="31" t="str">
        <f>IF($B95="-","-",VLOOKUP(ROUND(CONCATENATE($A95,X$2),0),'Cadastro dos Padrões'!$A$2:$V$4400,X$1,FALSE))</f>
        <v>-</v>
      </c>
      <c r="Y95" s="31" t="str">
        <f>IF($B95="-","-",VLOOKUP(ROUND(CONCATENATE($A95,Y$2),0),'Cadastro dos Padrões'!$A$2:$V$4400,Y$1,FALSE))</f>
        <v>-</v>
      </c>
      <c r="Z95" s="31" t="str">
        <f>IF($B95="-","-",VLOOKUP(ROUND(CONCATENATE($A95,Z$2),0),'Cadastro dos Padrões'!$A$2:$V$4400,Z$1,FALSE))</f>
        <v>-</v>
      </c>
      <c r="AA95" s="31" t="str">
        <f>IF($B95="-","-",VLOOKUP(ROUND(CONCATENATE($A95,AA$2),0),'Cadastro dos Padrões'!$A$2:$V$4400,AA$1,FALSE))</f>
        <v>-</v>
      </c>
      <c r="AB95" s="31" t="str">
        <f>IF(VLOOKUP(ROUND(CONCATENATE($A95,AB$2),0),'Cadastro dos Padrões'!$A$2:$V$4400,AB$1,FALSE)="","-",VLOOKUP(ROUND(CONCATENATE($A95,AB$2),0),'Cadastro dos Padrões'!$A$2:$V$4400,AB$1,FALSE))</f>
        <v>-</v>
      </c>
      <c r="AC95" s="31" t="str">
        <f>IF(VLOOKUP(ROUND(CONCATENATE($A95,AC$2),0),'Cadastro dos Padrões'!$A$2:$V$4400,AC$1,FALSE)="","-",VLOOKUP(ROUND(CONCATENATE($A95,AC$2),0),'Cadastro dos Padrões'!$A$2:$V$4400,AC$1,FALSE))</f>
        <v>-</v>
      </c>
      <c r="AD95" s="31" t="str">
        <f>IF(VLOOKUP(ROUND(CONCATENATE($A95,AD$2),0),'Cadastro dos Padrões'!$A$2:$V$4400,AD$1,FALSE)="","-",VLOOKUP(ROUND(CONCATENATE($A95,AD$2),0),'Cadastro dos Padrões'!$A$2:$V$4400,AD$1,FALSE))</f>
        <v>-</v>
      </c>
      <c r="AE95" s="31" t="str">
        <f>IF(VLOOKUP(ROUND(CONCATENATE($A95,AE$2),0),'Cadastro dos Padrões'!$A$2:$V$4400,AE$1,FALSE)="","-",VLOOKUP(ROUND(CONCATENATE($A95,AE$2),0),'Cadastro dos Padrões'!$A$2:$V$4400,AE$1,FALSE))</f>
        <v>-</v>
      </c>
      <c r="AF95" s="31" t="str">
        <f>IF(VLOOKUP(ROUND(CONCATENATE($A95,AF$2),0),'Cadastro dos Padrões'!$A$2:$V$4400,AF$1,FALSE)="","-",VLOOKUP(ROUND(CONCATENATE($A95,AF$2),0),'Cadastro dos Padrões'!$A$2:$V$4400,AF$1,FALSE))</f>
        <v>-</v>
      </c>
      <c r="AG95" s="31" t="str">
        <f>IF(VLOOKUP(ROUND(CONCATENATE($A95,AG$2),0),'Cadastro dos Padrões'!$A$2:$V$4400,AG$1,FALSE)="","-",VLOOKUP(ROUND(CONCATENATE($A95,AG$2),0),'Cadastro dos Padrões'!$A$2:$V$4400,AG$1,FALSE))</f>
        <v>-</v>
      </c>
      <c r="AH95" s="31" t="str">
        <f>IF(VLOOKUP(ROUND(CONCATENATE($A95,AH$2),0),'Cadastro dos Padrões'!$A$2:$V$4400,AH$1,FALSE)="","-",VLOOKUP(ROUND(CONCATENATE($A95,AH$2),0),'Cadastro dos Padrões'!$A$2:$V$4400,AH$1,FALSE))</f>
        <v>-</v>
      </c>
      <c r="AI95" s="31" t="str">
        <f>IF(VLOOKUP(ROUND(CONCATENATE($A95,AI$2),0),'Cadastro dos Padrões'!$A$2:$V$4400,AI$1,FALSE)="","-",VLOOKUP(ROUND(CONCATENATE($A95,AI$2),0),'Cadastro dos Padrões'!$A$2:$V$4400,AI$1,FALSE))</f>
        <v>-</v>
      </c>
      <c r="AJ95" s="31" t="str">
        <f>IF(VLOOKUP(ROUND(CONCATENATE($A95,AJ$2),0),'Cadastro dos Padrões'!$A$2:$V$4400,AJ$1,FALSE)="","-",VLOOKUP(ROUND(CONCATENATE($A95,AJ$2),0),'Cadastro dos Padrões'!$A$2:$V$4400,AJ$1,FALSE))</f>
        <v>-</v>
      </c>
      <c r="AK95" s="31" t="str">
        <f>IF(VLOOKUP(ROUND(CONCATENATE($A95,AK$2),0),'Cadastro dos Padrões'!$A$2:$V$4400,AK$1,FALSE)="","-",VLOOKUP(ROUND(CONCATENATE($A95,AK$2),0),'Cadastro dos Padrões'!$A$2:$V$4400,AK$1,FALSE))</f>
        <v>-</v>
      </c>
      <c r="AL95" s="31" t="str">
        <f>IF(VLOOKUP(ROUND(CONCATENATE($A95,AL$2),0),'Cadastro dos Padrões'!$A$2:$V$4400,AL$1,FALSE)="","-",VLOOKUP(ROUND(CONCATENATE($A95,AL$2),0),'Cadastro dos Padrões'!$A$2:$V$4400,AL$1,FALSE))</f>
        <v>-</v>
      </c>
      <c r="AM95" s="31" t="str">
        <f>IF(VLOOKUP(ROUND(CONCATENATE($A95,AM$2),0),'Cadastro dos Padrões'!$A$2:$V$4400,AM$1,FALSE)="","-",VLOOKUP(ROUND(CONCATENATE($A95,AM$2),0),'Cadastro dos Padrões'!$A$2:$V$4400,AM$1,FALSE))</f>
        <v>-</v>
      </c>
      <c r="AN95" s="31" t="str">
        <f>IF(VLOOKUP(ROUND(CONCATENATE($A95,AN$2),0),'Cadastro dos Padrões'!$A$2:$V$4400,AN$1,FALSE)="","-",VLOOKUP(ROUND(CONCATENATE($A95,AN$2),0),'Cadastro dos Padrões'!$A$2:$V$4400,AN$1,FALSE))</f>
        <v>-</v>
      </c>
      <c r="AO95" s="31" t="str">
        <f>IF(VLOOKUP(ROUND(CONCATENATE($A95,AO$2),0),'Cadastro dos Padrões'!$A$2:$V$4400,AO$1,FALSE)="","-",VLOOKUP(ROUND(CONCATENATE($A95,AO$2),0),'Cadastro dos Padrões'!$A$2:$V$4400,AO$1,FALSE))</f>
        <v>-</v>
      </c>
      <c r="AP95" s="31" t="str">
        <f>IF(VLOOKUP(ROUND(CONCATENATE($A95,AP$2),0),'Cadastro dos Padrões'!$A$2:$V$4400,AP$1,FALSE)="","-",VLOOKUP(ROUND(CONCATENATE($A95,AP$2),0),'Cadastro dos Padrões'!$A$2:$V$4400,AP$1,FALSE))</f>
        <v>-</v>
      </c>
      <c r="AQ95" s="31" t="str">
        <f>IF(VLOOKUP(ROUND(CONCATENATE($A95,AQ$2),0),'Cadastro dos Padrões'!$A$2:$V$4400,AQ$1,FALSE)="","-",VLOOKUP(ROUND(CONCATENATE($A95,AQ$2),0),'Cadastro dos Padrões'!$A$2:$V$4400,AQ$1,FALSE))</f>
        <v>-</v>
      </c>
      <c r="AR95" s="31" t="str">
        <f>IF(VLOOKUP(ROUND(CONCATENATE($A95,AR$2),0),'Cadastro dos Padrões'!$A$2:$V$4400,AR$1,FALSE)="","-",VLOOKUP(ROUND(CONCATENATE($A95,AR$2),0),'Cadastro dos Padrões'!$A$2:$V$4400,AR$1,FALSE))</f>
        <v>-</v>
      </c>
      <c r="AS95" s="31" t="str">
        <f>IF(VLOOKUP(ROUND(CONCATENATE($A95,AS$2),0),'Cadastro dos Padrões'!$A$2:$V$4400,AS$1,FALSE)="","-",VLOOKUP(ROUND(CONCATENATE($A95,AS$2),0),'Cadastro dos Padrões'!$A$2:$V$4400,AS$1,FALSE))</f>
        <v>-</v>
      </c>
      <c r="AT95" s="31" t="str">
        <f>IF(VLOOKUP(ROUND(CONCATENATE($A95,AT$2),0),'Cadastro dos Padrões'!$A$2:$V$4400,AT$1,FALSE)="","-",VLOOKUP(ROUND(CONCATENATE($A95,AT$2),0),'Cadastro dos Padrões'!$A$2:$V$4400,AT$1,FALSE))</f>
        <v>-</v>
      </c>
      <c r="AU95" s="31" t="str">
        <f>IF(VLOOKUP(ROUND(CONCATENATE($A95,AU$2),0),'Cadastro dos Padrões'!$A$2:$V$4400,AU$1,FALSE)="","-",VLOOKUP(ROUND(CONCATENATE($A95,AU$2),0),'Cadastro dos Padrões'!$A$2:$V$4400,AU$1,FALSE))</f>
        <v>-</v>
      </c>
      <c r="AV95" s="31" t="str">
        <f>IF(VLOOKUP(ROUND(CONCATENATE($A95,AV$2),0),'Cadastro dos Padrões'!$A$2:$V$4400,AV$1,FALSE)="","-",VLOOKUP(ROUND(CONCATENATE($A95,AV$2),0),'Cadastro dos Padrões'!$A$2:$V$4400,AV$1,FALSE))</f>
        <v>-</v>
      </c>
      <c r="AW95" s="31" t="str">
        <f>IF(VLOOKUP(ROUND(CONCATENATE($A95,AW$2),0),'Cadastro dos Padrões'!$A$2:$V$4400,AW$1,FALSE)="","-",VLOOKUP(ROUND(CONCATENATE($A95,AW$2),0),'Cadastro dos Padrões'!$A$2:$V$4400,AW$1,FALSE))</f>
        <v>-</v>
      </c>
      <c r="AX95" s="31" t="str">
        <f>IF(VLOOKUP(ROUND(CONCATENATE($A95,AX$2),0),'Cadastro dos Padrões'!$A$2:$V$4400,AX$1,FALSE)="","-",VLOOKUP(ROUND(CONCATENATE($A95,AX$2),0),'Cadastro dos Padrões'!$A$2:$V$4400,AX$1,FALSE))</f>
        <v>-</v>
      </c>
      <c r="AY95" s="31" t="str">
        <f>IF(VLOOKUP(ROUND(CONCATENATE($A95,AY$2),0),'Cadastro dos Padrões'!$A$2:$V$4400,AY$1,FALSE)="","-",VLOOKUP(ROUND(CONCATENATE($A95,AY$2),0),'Cadastro dos Padrões'!$A$2:$V$4400,AY$1,FALSE))</f>
        <v>-</v>
      </c>
      <c r="AZ95" s="31" t="str">
        <f>IF(VLOOKUP(ROUND(CONCATENATE($A95,AZ$2),0),'Cadastro dos Padrões'!$A$2:$V$4400,AZ$1,FALSE)="","-",VLOOKUP(ROUND(CONCATENATE($A95,AZ$2),0),'Cadastro dos Padrões'!$A$2:$V$4400,AZ$1,FALSE))</f>
        <v>-</v>
      </c>
      <c r="BA95" s="31" t="str">
        <f>IF(VLOOKUP(ROUND(CONCATENATE($A95,BA$2),0),'Cadastro dos Padrões'!$A$2:$V$4400,BA$1,FALSE)="","-",VLOOKUP(ROUND(CONCATENATE($A95,BA$2),0),'Cadastro dos Padrões'!$A$2:$V$4400,BA$1,FALSE))</f>
        <v>-</v>
      </c>
      <c r="BB95" s="31" t="str">
        <f>IF(VLOOKUP(ROUND(CONCATENATE($A95,BB$2),0),'Cadastro dos Padrões'!$A$2:$V$4400,BB$1,FALSE)="","-",VLOOKUP(ROUND(CONCATENATE($A95,BB$2),0),'Cadastro dos Padrões'!$A$2:$V$4400,BB$1,FALSE))</f>
        <v>-</v>
      </c>
      <c r="BC95" s="31" t="str">
        <f>IF(VLOOKUP(ROUND(CONCATENATE($A95,BC$2),0),'Cadastro dos Padrões'!$A$2:$V$4400,BC$1,FALSE)="","-",VLOOKUP(ROUND(CONCATENATE($A95,BC$2),0),'Cadastro dos Padrões'!$A$2:$V$4400,BC$1,FALSE))</f>
        <v>-</v>
      </c>
      <c r="BD95" s="31" t="str">
        <f>IF(VLOOKUP(ROUND(CONCATENATE($A95,BD$2),0),'Cadastro dos Padrões'!$A$2:$V$4400,BD$1,FALSE)="","-",VLOOKUP(ROUND(CONCATENATE($A95,BD$2),0),'Cadastro dos Padrões'!$A$2:$V$4400,BD$1,FALSE))</f>
        <v>-</v>
      </c>
      <c r="BE95" s="31" t="str">
        <f>IF(VLOOKUP(ROUND(CONCATENATE($A95,BE$2),0),'Cadastro dos Padrões'!$A$2:$V$4400,BE$1,FALSE)="","-",VLOOKUP(ROUND(CONCATENATE($A95,BE$2),0),'Cadastro dos Padrões'!$A$2:$V$4400,BE$1,FALSE))</f>
        <v>-</v>
      </c>
      <c r="BF95" s="31" t="str">
        <f>IF(VLOOKUP(ROUND(CONCATENATE($A95,BF$2),0),'Cadastro dos Padrões'!$A$2:$V$4400,BF$1,FALSE)="","-",VLOOKUP(ROUND(CONCATENATE($A95,BF$2),0),'Cadastro dos Padrões'!$A$2:$V$4400,BF$1,FALSE))</f>
        <v>-</v>
      </c>
      <c r="BG95" s="31" t="str">
        <f>IF(VLOOKUP(ROUND(CONCATENATE($A95,BG$2),0),'Cadastro dos Padrões'!$A$2:$V$4400,BG$1,FALSE)="","-",VLOOKUP(ROUND(CONCATENATE($A95,BG$2),0),'Cadastro dos Padrões'!$A$2:$V$4400,BG$1,FALSE))</f>
        <v>-</v>
      </c>
      <c r="BH95" s="31" t="str">
        <f>IF(VLOOKUP(ROUND(CONCATENATE($A95,BH$2),0),'Cadastro dos Padrões'!$A$2:$V$4400,BH$1,FALSE)="","-",VLOOKUP(ROUND(CONCATENATE($A95,BH$2),0),'Cadastro dos Padrões'!$A$2:$V$4400,BH$1,FALSE))</f>
        <v>-</v>
      </c>
      <c r="BI95" s="31" t="str">
        <f>IF(VLOOKUP(ROUND(CONCATENATE($A95,BI$2),0),'Cadastro dos Padrões'!$A$2:$V$4400,BI$1,FALSE)="","-",VLOOKUP(ROUND(CONCATENATE($A95,BI$2),0),'Cadastro dos Padrões'!$A$2:$V$4400,BI$1,FALSE))</f>
        <v>-</v>
      </c>
      <c r="BJ95" s="31" t="str">
        <f>IF(VLOOKUP(ROUND(CONCATENATE($A95,BJ$2),0),'Cadastro dos Padrões'!$A$2:$V$4400,BJ$1,FALSE)="","-",VLOOKUP(ROUND(CONCATENATE($A95,BJ$2),0),'Cadastro dos Padrões'!$A$2:$V$4400,BJ$1,FALSE))</f>
        <v>-</v>
      </c>
      <c r="BK95" s="31" t="str">
        <f>IF(VLOOKUP(ROUND(CONCATENATE($A95,BK$2),0),'Cadastro dos Padrões'!$A$2:$V$4400,BK$1,FALSE)="","-",VLOOKUP(ROUND(CONCATENATE($A95,BK$2),0),'Cadastro dos Padrões'!$A$2:$V$4400,BK$1,FALSE))</f>
        <v>-</v>
      </c>
      <c r="BL95" s="31" t="str">
        <f>IF(VLOOKUP(ROUND(CONCATENATE($A95,BL$2),0),'Cadastro dos Padrões'!$A$2:$V$4400,BL$1,FALSE)="","-",VLOOKUP(ROUND(CONCATENATE($A95,BL$2),0),'Cadastro dos Padrões'!$A$2:$V$4400,BL$1,FALSE))</f>
        <v>-</v>
      </c>
      <c r="BM95" s="31" t="str">
        <f>IF(VLOOKUP(ROUND(CONCATENATE($A95,BM$2),0),'Cadastro dos Padrões'!$A$2:$V$4400,BM$1,FALSE)="","-",VLOOKUP(ROUND(CONCATENATE($A95,BM$2),0),'Cadastro dos Padrões'!$A$2:$V$4400,BM$1,FALSE))</f>
        <v>-</v>
      </c>
      <c r="BN95" s="31" t="str">
        <f>IF(VLOOKUP(ROUND(CONCATENATE($A95,BN$2),0),'Cadastro dos Padrões'!$A$2:$V$4400,BN$1,FALSE)="","-",VLOOKUP(ROUND(CONCATENATE($A95,BN$2),0),'Cadastro dos Padrões'!$A$2:$V$4400,BN$1,FALSE))</f>
        <v>-</v>
      </c>
      <c r="BO95" s="31" t="str">
        <f>IF(VLOOKUP(ROUND(CONCATENATE($A95,BO$2),0),'Cadastro dos Padrões'!$A$2:$V$4400,BO$1,FALSE)="","-",VLOOKUP(ROUND(CONCATENATE($A95,BO$2),0),'Cadastro dos Padrões'!$A$2:$V$4400,BO$1,FALSE))</f>
        <v>-</v>
      </c>
    </row>
    <row r="96" spans="1:67" x14ac:dyDescent="0.3">
      <c r="A96" s="6">
        <f t="shared" si="52"/>
        <v>91</v>
      </c>
      <c r="B96" s="31" t="str">
        <f>IF(VLOOKUP(ROUND(CONCATENATE($A96,B$2),0),'Cadastro dos Padrões'!$A$2:$V$4400,B$1,FALSE)="","-",VLOOKUP(ROUND(CONCATENATE($A96,B$2),0),'Cadastro dos Padrões'!$A$2:$V$4400,B$1,FALSE))</f>
        <v>-</v>
      </c>
      <c r="C96" s="31" t="str">
        <f>IF($B96="-","-",VLOOKUP(ROUND(CONCATENATE($A96,C$2),0),'Cadastro dos Padrões'!$A$2:$V$4400,C$1,FALSE))</f>
        <v>-</v>
      </c>
      <c r="D96" s="31" t="str">
        <f>IF($B96="-","-",VLOOKUP(ROUND(CONCATENATE($A96,D$2),0),'Cadastro dos Padrões'!$A$2:$V$4400,D$1,FALSE))</f>
        <v>-</v>
      </c>
      <c r="E96" s="31" t="str">
        <f>IF($B96="-","-",VLOOKUP(ROUND(CONCATENATE($A96,E$2),0),'Cadastro dos Padrões'!$A$2:$V$4400,E$1,FALSE))</f>
        <v>-</v>
      </c>
      <c r="F96" s="31" t="str">
        <f>IF($B96="-","-",VLOOKUP(ROUND(CONCATENATE($A96,F$2),0),'Cadastro dos Padrões'!$A$2:$V$4400,F$1,FALSE))</f>
        <v>-</v>
      </c>
      <c r="G96" s="31" t="str">
        <f>IF($B96="-","-",VLOOKUP(ROUND(CONCATENATE($A96,G$2),0),'Cadastro dos Padrões'!$A$2:$V$4400,G$1,FALSE))</f>
        <v>-</v>
      </c>
      <c r="H96" s="32" t="str">
        <f>IF($B96="-","-",VLOOKUP(ROUND(CONCATENATE($A96,H$2),0),'Cadastro dos Padrões'!$A$2:$V$4400,H$1,FALSE))</f>
        <v>-</v>
      </c>
      <c r="I96" s="33" t="str">
        <f>IF($B96="-","-",VLOOKUP(ROUND(CONCATENATE($A96,I$2),0),'Cadastro dos Padrões'!$A$2:$V$4400,I$1,FALSE))</f>
        <v>-</v>
      </c>
      <c r="J96" s="31" t="str">
        <f>IF($B96="-","-",VLOOKUP(ROUND(CONCATENATE($A96,J$2),0),'Cadastro dos Padrões'!$A$2:$V$4400,J$1,FALSE))</f>
        <v>-</v>
      </c>
      <c r="K96" s="31" t="str">
        <f>IF($B96="-","-",VLOOKUP(ROUND(CONCATENATE($A96,K$2),0),'Cadastro dos Padrões'!$A$2:$V$4400,K$1,FALSE))</f>
        <v>-</v>
      </c>
      <c r="L96" s="31" t="str">
        <f>IF($B96="-","-",VLOOKUP(ROUND(CONCATENATE($A96,L$2),0),'Cadastro dos Padrões'!$A$2:$V$4400,L$1,FALSE))</f>
        <v>-</v>
      </c>
      <c r="M96" s="31" t="str">
        <f>IF($B96="-","-",VLOOKUP(ROUND(CONCATENATE($A96,M$2),0),'Cadastro dos Padrões'!$A$2:$V$4400,M$1,FALSE))</f>
        <v>-</v>
      </c>
      <c r="N96" s="31" t="str">
        <f>IF($B96="-","-",VLOOKUP(ROUND(CONCATENATE($A96,N$2),0),'Cadastro dos Padrões'!$A$2:$V$4400,N$1,FALSE))</f>
        <v>-</v>
      </c>
      <c r="O96" s="31" t="str">
        <f>IF($B96="-","-",VLOOKUP(ROUND(CONCATENATE($A96,O$2),0),'Cadastro dos Padrões'!$A$2:$V$4400,O$1,FALSE))</f>
        <v>-</v>
      </c>
      <c r="P96" s="31" t="str">
        <f>IF($B96="-","-",VLOOKUP(ROUND(CONCATENATE($A96,P$2),0),'Cadastro dos Padrões'!$A$2:$V$4400,P$1,FALSE))</f>
        <v>-</v>
      </c>
      <c r="Q96" s="31" t="str">
        <f>IF($B96="-","-",VLOOKUP(ROUND(CONCATENATE($A96,Q$2),0),'Cadastro dos Padrões'!$A$2:$V$4400,Q$1,FALSE))</f>
        <v>-</v>
      </c>
      <c r="R96" s="31" t="str">
        <f>IF($B96="-","-",VLOOKUP(ROUND(CONCATENATE($A96,R$2),0),'Cadastro dos Padrões'!$A$2:$V$4400,R$1,FALSE))</f>
        <v>-</v>
      </c>
      <c r="S96" s="31" t="str">
        <f>IF($B96="-","-",VLOOKUP(ROUND(CONCATENATE($A96,S$2),0),'Cadastro dos Padrões'!$A$2:$V$4400,S$1,FALSE))</f>
        <v>-</v>
      </c>
      <c r="T96" s="31" t="str">
        <f>IF($B96="-","-",VLOOKUP(ROUND(CONCATENATE($A96,T$2),0),'Cadastro dos Padrões'!$A$2:$V$4400,T$1,FALSE))</f>
        <v>-</v>
      </c>
      <c r="U96" s="31" t="str">
        <f>IF($B96="-","-",VLOOKUP(ROUND(CONCATENATE($A96,U$2),0),'Cadastro dos Padrões'!$A$2:$V$4400,U$1,FALSE))</f>
        <v>-</v>
      </c>
      <c r="V96" s="31" t="str">
        <f>IF($B96="-","-",VLOOKUP(ROUND(CONCATENATE($A96,V$2),0),'Cadastro dos Padrões'!$A$2:$V$4400,V$1,FALSE))</f>
        <v>-</v>
      </c>
      <c r="W96" s="31" t="str">
        <f>IF($B96="-","-",VLOOKUP(ROUND(CONCATENATE($A96,W$2),0),'Cadastro dos Padrões'!$A$2:$V$4400,W$1,FALSE))</f>
        <v>-</v>
      </c>
      <c r="X96" s="31" t="str">
        <f>IF($B96="-","-",VLOOKUP(ROUND(CONCATENATE($A96,X$2),0),'Cadastro dos Padrões'!$A$2:$V$4400,X$1,FALSE))</f>
        <v>-</v>
      </c>
      <c r="Y96" s="31" t="str">
        <f>IF($B96="-","-",VLOOKUP(ROUND(CONCATENATE($A96,Y$2),0),'Cadastro dos Padrões'!$A$2:$V$4400,Y$1,FALSE))</f>
        <v>-</v>
      </c>
      <c r="Z96" s="31" t="str">
        <f>IF($B96="-","-",VLOOKUP(ROUND(CONCATENATE($A96,Z$2),0),'Cadastro dos Padrões'!$A$2:$V$4400,Z$1,FALSE))</f>
        <v>-</v>
      </c>
      <c r="AA96" s="31" t="str">
        <f>IF($B96="-","-",VLOOKUP(ROUND(CONCATENATE($A96,AA$2),0),'Cadastro dos Padrões'!$A$2:$V$4400,AA$1,FALSE))</f>
        <v>-</v>
      </c>
      <c r="AB96" s="31" t="str">
        <f>IF(VLOOKUP(ROUND(CONCATENATE($A96,AB$2),0),'Cadastro dos Padrões'!$A$2:$V$4400,AB$1,FALSE)="","-",VLOOKUP(ROUND(CONCATENATE($A96,AB$2),0),'Cadastro dos Padrões'!$A$2:$V$4400,AB$1,FALSE))</f>
        <v>-</v>
      </c>
      <c r="AC96" s="31" t="str">
        <f>IF(VLOOKUP(ROUND(CONCATENATE($A96,AC$2),0),'Cadastro dos Padrões'!$A$2:$V$4400,AC$1,FALSE)="","-",VLOOKUP(ROUND(CONCATENATE($A96,AC$2),0),'Cadastro dos Padrões'!$A$2:$V$4400,AC$1,FALSE))</f>
        <v>-</v>
      </c>
      <c r="AD96" s="31" t="str">
        <f>IF(VLOOKUP(ROUND(CONCATENATE($A96,AD$2),0),'Cadastro dos Padrões'!$A$2:$V$4400,AD$1,FALSE)="","-",VLOOKUP(ROUND(CONCATENATE($A96,AD$2),0),'Cadastro dos Padrões'!$A$2:$V$4400,AD$1,FALSE))</f>
        <v>-</v>
      </c>
      <c r="AE96" s="31" t="str">
        <f>IF(VLOOKUP(ROUND(CONCATENATE($A96,AE$2),0),'Cadastro dos Padrões'!$A$2:$V$4400,AE$1,FALSE)="","-",VLOOKUP(ROUND(CONCATENATE($A96,AE$2),0),'Cadastro dos Padrões'!$A$2:$V$4400,AE$1,FALSE))</f>
        <v>-</v>
      </c>
      <c r="AF96" s="31" t="str">
        <f>IF(VLOOKUP(ROUND(CONCATENATE($A96,AF$2),0),'Cadastro dos Padrões'!$A$2:$V$4400,AF$1,FALSE)="","-",VLOOKUP(ROUND(CONCATENATE($A96,AF$2),0),'Cadastro dos Padrões'!$A$2:$V$4400,AF$1,FALSE))</f>
        <v>-</v>
      </c>
      <c r="AG96" s="31" t="str">
        <f>IF(VLOOKUP(ROUND(CONCATENATE($A96,AG$2),0),'Cadastro dos Padrões'!$A$2:$V$4400,AG$1,FALSE)="","-",VLOOKUP(ROUND(CONCATENATE($A96,AG$2),0),'Cadastro dos Padrões'!$A$2:$V$4400,AG$1,FALSE))</f>
        <v>-</v>
      </c>
      <c r="AH96" s="31" t="str">
        <f>IF(VLOOKUP(ROUND(CONCATENATE($A96,AH$2),0),'Cadastro dos Padrões'!$A$2:$V$4400,AH$1,FALSE)="","-",VLOOKUP(ROUND(CONCATENATE($A96,AH$2),0),'Cadastro dos Padrões'!$A$2:$V$4400,AH$1,FALSE))</f>
        <v>-</v>
      </c>
      <c r="AI96" s="31" t="str">
        <f>IF(VLOOKUP(ROUND(CONCATENATE($A96,AI$2),0),'Cadastro dos Padrões'!$A$2:$V$4400,AI$1,FALSE)="","-",VLOOKUP(ROUND(CONCATENATE($A96,AI$2),0),'Cadastro dos Padrões'!$A$2:$V$4400,AI$1,FALSE))</f>
        <v>-</v>
      </c>
      <c r="AJ96" s="31" t="str">
        <f>IF(VLOOKUP(ROUND(CONCATENATE($A96,AJ$2),0),'Cadastro dos Padrões'!$A$2:$V$4400,AJ$1,FALSE)="","-",VLOOKUP(ROUND(CONCATENATE($A96,AJ$2),0),'Cadastro dos Padrões'!$A$2:$V$4400,AJ$1,FALSE))</f>
        <v>-</v>
      </c>
      <c r="AK96" s="31" t="str">
        <f>IF(VLOOKUP(ROUND(CONCATENATE($A96,AK$2),0),'Cadastro dos Padrões'!$A$2:$V$4400,AK$1,FALSE)="","-",VLOOKUP(ROUND(CONCATENATE($A96,AK$2),0),'Cadastro dos Padrões'!$A$2:$V$4400,AK$1,FALSE))</f>
        <v>-</v>
      </c>
      <c r="AL96" s="31" t="str">
        <f>IF(VLOOKUP(ROUND(CONCATENATE($A96,AL$2),0),'Cadastro dos Padrões'!$A$2:$V$4400,AL$1,FALSE)="","-",VLOOKUP(ROUND(CONCATENATE($A96,AL$2),0),'Cadastro dos Padrões'!$A$2:$V$4400,AL$1,FALSE))</f>
        <v>-</v>
      </c>
      <c r="AM96" s="31" t="str">
        <f>IF(VLOOKUP(ROUND(CONCATENATE($A96,AM$2),0),'Cadastro dos Padrões'!$A$2:$V$4400,AM$1,FALSE)="","-",VLOOKUP(ROUND(CONCATENATE($A96,AM$2),0),'Cadastro dos Padrões'!$A$2:$V$4400,AM$1,FALSE))</f>
        <v>-</v>
      </c>
      <c r="AN96" s="31" t="str">
        <f>IF(VLOOKUP(ROUND(CONCATENATE($A96,AN$2),0),'Cadastro dos Padrões'!$A$2:$V$4400,AN$1,FALSE)="","-",VLOOKUP(ROUND(CONCATENATE($A96,AN$2),0),'Cadastro dos Padrões'!$A$2:$V$4400,AN$1,FALSE))</f>
        <v>-</v>
      </c>
      <c r="AO96" s="31" t="str">
        <f>IF(VLOOKUP(ROUND(CONCATENATE($A96,AO$2),0),'Cadastro dos Padrões'!$A$2:$V$4400,AO$1,FALSE)="","-",VLOOKUP(ROUND(CONCATENATE($A96,AO$2),0),'Cadastro dos Padrões'!$A$2:$V$4400,AO$1,FALSE))</f>
        <v>-</v>
      </c>
      <c r="AP96" s="31" t="str">
        <f>IF(VLOOKUP(ROUND(CONCATENATE($A96,AP$2),0),'Cadastro dos Padrões'!$A$2:$V$4400,AP$1,FALSE)="","-",VLOOKUP(ROUND(CONCATENATE($A96,AP$2),0),'Cadastro dos Padrões'!$A$2:$V$4400,AP$1,FALSE))</f>
        <v>-</v>
      </c>
      <c r="AQ96" s="31" t="str">
        <f>IF(VLOOKUP(ROUND(CONCATENATE($A96,AQ$2),0),'Cadastro dos Padrões'!$A$2:$V$4400,AQ$1,FALSE)="","-",VLOOKUP(ROUND(CONCATENATE($A96,AQ$2),0),'Cadastro dos Padrões'!$A$2:$V$4400,AQ$1,FALSE))</f>
        <v>-</v>
      </c>
      <c r="AR96" s="31" t="str">
        <f>IF(VLOOKUP(ROUND(CONCATENATE($A96,AR$2),0),'Cadastro dos Padrões'!$A$2:$V$4400,AR$1,FALSE)="","-",VLOOKUP(ROUND(CONCATENATE($A96,AR$2),0),'Cadastro dos Padrões'!$A$2:$V$4400,AR$1,FALSE))</f>
        <v>-</v>
      </c>
      <c r="AS96" s="31" t="str">
        <f>IF(VLOOKUP(ROUND(CONCATENATE($A96,AS$2),0),'Cadastro dos Padrões'!$A$2:$V$4400,AS$1,FALSE)="","-",VLOOKUP(ROUND(CONCATENATE($A96,AS$2),0),'Cadastro dos Padrões'!$A$2:$V$4400,AS$1,FALSE))</f>
        <v>-</v>
      </c>
      <c r="AT96" s="31" t="str">
        <f>IF(VLOOKUP(ROUND(CONCATENATE($A96,AT$2),0),'Cadastro dos Padrões'!$A$2:$V$4400,AT$1,FALSE)="","-",VLOOKUP(ROUND(CONCATENATE($A96,AT$2),0),'Cadastro dos Padrões'!$A$2:$V$4400,AT$1,FALSE))</f>
        <v>-</v>
      </c>
      <c r="AU96" s="31" t="str">
        <f>IF(VLOOKUP(ROUND(CONCATENATE($A96,AU$2),0),'Cadastro dos Padrões'!$A$2:$V$4400,AU$1,FALSE)="","-",VLOOKUP(ROUND(CONCATENATE($A96,AU$2),0),'Cadastro dos Padrões'!$A$2:$V$4400,AU$1,FALSE))</f>
        <v>-</v>
      </c>
      <c r="AV96" s="31" t="str">
        <f>IF(VLOOKUP(ROUND(CONCATENATE($A96,AV$2),0),'Cadastro dos Padrões'!$A$2:$V$4400,AV$1,FALSE)="","-",VLOOKUP(ROUND(CONCATENATE($A96,AV$2),0),'Cadastro dos Padrões'!$A$2:$V$4400,AV$1,FALSE))</f>
        <v>-</v>
      </c>
      <c r="AW96" s="31" t="str">
        <f>IF(VLOOKUP(ROUND(CONCATENATE($A96,AW$2),0),'Cadastro dos Padrões'!$A$2:$V$4400,AW$1,FALSE)="","-",VLOOKUP(ROUND(CONCATENATE($A96,AW$2),0),'Cadastro dos Padrões'!$A$2:$V$4400,AW$1,FALSE))</f>
        <v>-</v>
      </c>
      <c r="AX96" s="31" t="str">
        <f>IF(VLOOKUP(ROUND(CONCATENATE($A96,AX$2),0),'Cadastro dos Padrões'!$A$2:$V$4400,AX$1,FALSE)="","-",VLOOKUP(ROUND(CONCATENATE($A96,AX$2),0),'Cadastro dos Padrões'!$A$2:$V$4400,AX$1,FALSE))</f>
        <v>-</v>
      </c>
      <c r="AY96" s="31" t="str">
        <f>IF(VLOOKUP(ROUND(CONCATENATE($A96,AY$2),0),'Cadastro dos Padrões'!$A$2:$V$4400,AY$1,FALSE)="","-",VLOOKUP(ROUND(CONCATENATE($A96,AY$2),0),'Cadastro dos Padrões'!$A$2:$V$4400,AY$1,FALSE))</f>
        <v>-</v>
      </c>
      <c r="AZ96" s="31" t="str">
        <f>IF(VLOOKUP(ROUND(CONCATENATE($A96,AZ$2),0),'Cadastro dos Padrões'!$A$2:$V$4400,AZ$1,FALSE)="","-",VLOOKUP(ROUND(CONCATENATE($A96,AZ$2),0),'Cadastro dos Padrões'!$A$2:$V$4400,AZ$1,FALSE))</f>
        <v>-</v>
      </c>
      <c r="BA96" s="31" t="str">
        <f>IF(VLOOKUP(ROUND(CONCATENATE($A96,BA$2),0),'Cadastro dos Padrões'!$A$2:$V$4400,BA$1,FALSE)="","-",VLOOKUP(ROUND(CONCATENATE($A96,BA$2),0),'Cadastro dos Padrões'!$A$2:$V$4400,BA$1,FALSE))</f>
        <v>-</v>
      </c>
      <c r="BB96" s="31" t="str">
        <f>IF(VLOOKUP(ROUND(CONCATENATE($A96,BB$2),0),'Cadastro dos Padrões'!$A$2:$V$4400,BB$1,FALSE)="","-",VLOOKUP(ROUND(CONCATENATE($A96,BB$2),0),'Cadastro dos Padrões'!$A$2:$V$4400,BB$1,FALSE))</f>
        <v>-</v>
      </c>
      <c r="BC96" s="31" t="str">
        <f>IF(VLOOKUP(ROUND(CONCATENATE($A96,BC$2),0),'Cadastro dos Padrões'!$A$2:$V$4400,BC$1,FALSE)="","-",VLOOKUP(ROUND(CONCATENATE($A96,BC$2),0),'Cadastro dos Padrões'!$A$2:$V$4400,BC$1,FALSE))</f>
        <v>-</v>
      </c>
      <c r="BD96" s="31" t="str">
        <f>IF(VLOOKUP(ROUND(CONCATENATE($A96,BD$2),0),'Cadastro dos Padrões'!$A$2:$V$4400,BD$1,FALSE)="","-",VLOOKUP(ROUND(CONCATENATE($A96,BD$2),0),'Cadastro dos Padrões'!$A$2:$V$4400,BD$1,FALSE))</f>
        <v>-</v>
      </c>
      <c r="BE96" s="31" t="str">
        <f>IF(VLOOKUP(ROUND(CONCATENATE($A96,BE$2),0),'Cadastro dos Padrões'!$A$2:$V$4400,BE$1,FALSE)="","-",VLOOKUP(ROUND(CONCATENATE($A96,BE$2),0),'Cadastro dos Padrões'!$A$2:$V$4400,BE$1,FALSE))</f>
        <v>-</v>
      </c>
      <c r="BF96" s="31" t="str">
        <f>IF(VLOOKUP(ROUND(CONCATENATE($A96,BF$2),0),'Cadastro dos Padrões'!$A$2:$V$4400,BF$1,FALSE)="","-",VLOOKUP(ROUND(CONCATENATE($A96,BF$2),0),'Cadastro dos Padrões'!$A$2:$V$4400,BF$1,FALSE))</f>
        <v>-</v>
      </c>
      <c r="BG96" s="31" t="str">
        <f>IF(VLOOKUP(ROUND(CONCATENATE($A96,BG$2),0),'Cadastro dos Padrões'!$A$2:$V$4400,BG$1,FALSE)="","-",VLOOKUP(ROUND(CONCATENATE($A96,BG$2),0),'Cadastro dos Padrões'!$A$2:$V$4400,BG$1,FALSE))</f>
        <v>-</v>
      </c>
      <c r="BH96" s="31" t="str">
        <f>IF(VLOOKUP(ROUND(CONCATENATE($A96,BH$2),0),'Cadastro dos Padrões'!$A$2:$V$4400,BH$1,FALSE)="","-",VLOOKUP(ROUND(CONCATENATE($A96,BH$2),0),'Cadastro dos Padrões'!$A$2:$V$4400,BH$1,FALSE))</f>
        <v>-</v>
      </c>
      <c r="BI96" s="31" t="str">
        <f>IF(VLOOKUP(ROUND(CONCATENATE($A96,BI$2),0),'Cadastro dos Padrões'!$A$2:$V$4400,BI$1,FALSE)="","-",VLOOKUP(ROUND(CONCATENATE($A96,BI$2),0),'Cadastro dos Padrões'!$A$2:$V$4400,BI$1,FALSE))</f>
        <v>-</v>
      </c>
      <c r="BJ96" s="31" t="str">
        <f>IF(VLOOKUP(ROUND(CONCATENATE($A96,BJ$2),0),'Cadastro dos Padrões'!$A$2:$V$4400,BJ$1,FALSE)="","-",VLOOKUP(ROUND(CONCATENATE($A96,BJ$2),0),'Cadastro dos Padrões'!$A$2:$V$4400,BJ$1,FALSE))</f>
        <v>-</v>
      </c>
      <c r="BK96" s="31" t="str">
        <f>IF(VLOOKUP(ROUND(CONCATENATE($A96,BK$2),0),'Cadastro dos Padrões'!$A$2:$V$4400,BK$1,FALSE)="","-",VLOOKUP(ROUND(CONCATENATE($A96,BK$2),0),'Cadastro dos Padrões'!$A$2:$V$4400,BK$1,FALSE))</f>
        <v>-</v>
      </c>
      <c r="BL96" s="31" t="str">
        <f>IF(VLOOKUP(ROUND(CONCATENATE($A96,BL$2),0),'Cadastro dos Padrões'!$A$2:$V$4400,BL$1,FALSE)="","-",VLOOKUP(ROUND(CONCATENATE($A96,BL$2),0),'Cadastro dos Padrões'!$A$2:$V$4400,BL$1,FALSE))</f>
        <v>-</v>
      </c>
      <c r="BM96" s="31" t="str">
        <f>IF(VLOOKUP(ROUND(CONCATENATE($A96,BM$2),0),'Cadastro dos Padrões'!$A$2:$V$4400,BM$1,FALSE)="","-",VLOOKUP(ROUND(CONCATENATE($A96,BM$2),0),'Cadastro dos Padrões'!$A$2:$V$4400,BM$1,FALSE))</f>
        <v>-</v>
      </c>
      <c r="BN96" s="31" t="str">
        <f>IF(VLOOKUP(ROUND(CONCATENATE($A96,BN$2),0),'Cadastro dos Padrões'!$A$2:$V$4400,BN$1,FALSE)="","-",VLOOKUP(ROUND(CONCATENATE($A96,BN$2),0),'Cadastro dos Padrões'!$A$2:$V$4400,BN$1,FALSE))</f>
        <v>-</v>
      </c>
      <c r="BO96" s="31" t="str">
        <f>IF(VLOOKUP(ROUND(CONCATENATE($A96,BO$2),0),'Cadastro dos Padrões'!$A$2:$V$4400,BO$1,FALSE)="","-",VLOOKUP(ROUND(CONCATENATE($A96,BO$2),0),'Cadastro dos Padrões'!$A$2:$V$4400,BO$1,FALSE))</f>
        <v>-</v>
      </c>
    </row>
    <row r="97" spans="1:67" x14ac:dyDescent="0.3">
      <c r="A97" s="6">
        <f t="shared" si="52"/>
        <v>92</v>
      </c>
      <c r="B97" s="31" t="str">
        <f>IF(VLOOKUP(ROUND(CONCATENATE($A97,B$2),0),'Cadastro dos Padrões'!$A$2:$V$4400,B$1,FALSE)="","-",VLOOKUP(ROUND(CONCATENATE($A97,B$2),0),'Cadastro dos Padrões'!$A$2:$V$4400,B$1,FALSE))</f>
        <v>-</v>
      </c>
      <c r="C97" s="31" t="str">
        <f>IF($B97="-","-",VLOOKUP(ROUND(CONCATENATE($A97,C$2),0),'Cadastro dos Padrões'!$A$2:$V$4400,C$1,FALSE))</f>
        <v>-</v>
      </c>
      <c r="D97" s="31" t="str">
        <f>IF($B97="-","-",VLOOKUP(ROUND(CONCATENATE($A97,D$2),0),'Cadastro dos Padrões'!$A$2:$V$4400,D$1,FALSE))</f>
        <v>-</v>
      </c>
      <c r="E97" s="31" t="str">
        <f>IF($B97="-","-",VLOOKUP(ROUND(CONCATENATE($A97,E$2),0),'Cadastro dos Padrões'!$A$2:$V$4400,E$1,FALSE))</f>
        <v>-</v>
      </c>
      <c r="F97" s="31" t="str">
        <f>IF($B97="-","-",VLOOKUP(ROUND(CONCATENATE($A97,F$2),0),'Cadastro dos Padrões'!$A$2:$V$4400,F$1,FALSE))</f>
        <v>-</v>
      </c>
      <c r="G97" s="31" t="str">
        <f>IF($B97="-","-",VLOOKUP(ROUND(CONCATENATE($A97,G$2),0),'Cadastro dos Padrões'!$A$2:$V$4400,G$1,FALSE))</f>
        <v>-</v>
      </c>
      <c r="H97" s="32" t="str">
        <f>IF($B97="-","-",VLOOKUP(ROUND(CONCATENATE($A97,H$2),0),'Cadastro dos Padrões'!$A$2:$V$4400,H$1,FALSE))</f>
        <v>-</v>
      </c>
      <c r="I97" s="33" t="str">
        <f>IF($B97="-","-",VLOOKUP(ROUND(CONCATENATE($A97,I$2),0),'Cadastro dos Padrões'!$A$2:$V$4400,I$1,FALSE))</f>
        <v>-</v>
      </c>
      <c r="J97" s="31" t="str">
        <f>IF($B97="-","-",VLOOKUP(ROUND(CONCATENATE($A97,J$2),0),'Cadastro dos Padrões'!$A$2:$V$4400,J$1,FALSE))</f>
        <v>-</v>
      </c>
      <c r="K97" s="31" t="str">
        <f>IF($B97="-","-",VLOOKUP(ROUND(CONCATENATE($A97,K$2),0),'Cadastro dos Padrões'!$A$2:$V$4400,K$1,FALSE))</f>
        <v>-</v>
      </c>
      <c r="L97" s="31" t="str">
        <f>IF($B97="-","-",VLOOKUP(ROUND(CONCATENATE($A97,L$2),0),'Cadastro dos Padrões'!$A$2:$V$4400,L$1,FALSE))</f>
        <v>-</v>
      </c>
      <c r="M97" s="31" t="str">
        <f>IF($B97="-","-",VLOOKUP(ROUND(CONCATENATE($A97,M$2),0),'Cadastro dos Padrões'!$A$2:$V$4400,M$1,FALSE))</f>
        <v>-</v>
      </c>
      <c r="N97" s="31" t="str">
        <f>IF($B97="-","-",VLOOKUP(ROUND(CONCATENATE($A97,N$2),0),'Cadastro dos Padrões'!$A$2:$V$4400,N$1,FALSE))</f>
        <v>-</v>
      </c>
      <c r="O97" s="31" t="str">
        <f>IF($B97="-","-",VLOOKUP(ROUND(CONCATENATE($A97,O$2),0),'Cadastro dos Padrões'!$A$2:$V$4400,O$1,FALSE))</f>
        <v>-</v>
      </c>
      <c r="P97" s="31" t="str">
        <f>IF($B97="-","-",VLOOKUP(ROUND(CONCATENATE($A97,P$2),0),'Cadastro dos Padrões'!$A$2:$V$4400,P$1,FALSE))</f>
        <v>-</v>
      </c>
      <c r="Q97" s="31" t="str">
        <f>IF($B97="-","-",VLOOKUP(ROUND(CONCATENATE($A97,Q$2),0),'Cadastro dos Padrões'!$A$2:$V$4400,Q$1,FALSE))</f>
        <v>-</v>
      </c>
      <c r="R97" s="31" t="str">
        <f>IF($B97="-","-",VLOOKUP(ROUND(CONCATENATE($A97,R$2),0),'Cadastro dos Padrões'!$A$2:$V$4400,R$1,FALSE))</f>
        <v>-</v>
      </c>
      <c r="S97" s="31" t="str">
        <f>IF($B97="-","-",VLOOKUP(ROUND(CONCATENATE($A97,S$2),0),'Cadastro dos Padrões'!$A$2:$V$4400,S$1,FALSE))</f>
        <v>-</v>
      </c>
      <c r="T97" s="31" t="str">
        <f>IF($B97="-","-",VLOOKUP(ROUND(CONCATENATE($A97,T$2),0),'Cadastro dos Padrões'!$A$2:$V$4400,T$1,FALSE))</f>
        <v>-</v>
      </c>
      <c r="U97" s="31" t="str">
        <f>IF($B97="-","-",VLOOKUP(ROUND(CONCATENATE($A97,U$2),0),'Cadastro dos Padrões'!$A$2:$V$4400,U$1,FALSE))</f>
        <v>-</v>
      </c>
      <c r="V97" s="31" t="str">
        <f>IF($B97="-","-",VLOOKUP(ROUND(CONCATENATE($A97,V$2),0),'Cadastro dos Padrões'!$A$2:$V$4400,V$1,FALSE))</f>
        <v>-</v>
      </c>
      <c r="W97" s="31" t="str">
        <f>IF($B97="-","-",VLOOKUP(ROUND(CONCATENATE($A97,W$2),0),'Cadastro dos Padrões'!$A$2:$V$4400,W$1,FALSE))</f>
        <v>-</v>
      </c>
      <c r="X97" s="31" t="str">
        <f>IF($B97="-","-",VLOOKUP(ROUND(CONCATENATE($A97,X$2),0),'Cadastro dos Padrões'!$A$2:$V$4400,X$1,FALSE))</f>
        <v>-</v>
      </c>
      <c r="Y97" s="31" t="str">
        <f>IF($B97="-","-",VLOOKUP(ROUND(CONCATENATE($A97,Y$2),0),'Cadastro dos Padrões'!$A$2:$V$4400,Y$1,FALSE))</f>
        <v>-</v>
      </c>
      <c r="Z97" s="31" t="str">
        <f>IF($B97="-","-",VLOOKUP(ROUND(CONCATENATE($A97,Z$2),0),'Cadastro dos Padrões'!$A$2:$V$4400,Z$1,FALSE))</f>
        <v>-</v>
      </c>
      <c r="AA97" s="31" t="str">
        <f>IF($B97="-","-",VLOOKUP(ROUND(CONCATENATE($A97,AA$2),0),'Cadastro dos Padrões'!$A$2:$V$4400,AA$1,FALSE))</f>
        <v>-</v>
      </c>
      <c r="AB97" s="31" t="str">
        <f>IF(VLOOKUP(ROUND(CONCATENATE($A97,AB$2),0),'Cadastro dos Padrões'!$A$2:$V$4400,AB$1,FALSE)="","-",VLOOKUP(ROUND(CONCATENATE($A97,AB$2),0),'Cadastro dos Padrões'!$A$2:$V$4400,AB$1,FALSE))</f>
        <v>-</v>
      </c>
      <c r="AC97" s="31" t="str">
        <f>IF(VLOOKUP(ROUND(CONCATENATE($A97,AC$2),0),'Cadastro dos Padrões'!$A$2:$V$4400,AC$1,FALSE)="","-",VLOOKUP(ROUND(CONCATENATE($A97,AC$2),0),'Cadastro dos Padrões'!$A$2:$V$4400,AC$1,FALSE))</f>
        <v>-</v>
      </c>
      <c r="AD97" s="31" t="str">
        <f>IF(VLOOKUP(ROUND(CONCATENATE($A97,AD$2),0),'Cadastro dos Padrões'!$A$2:$V$4400,AD$1,FALSE)="","-",VLOOKUP(ROUND(CONCATENATE($A97,AD$2),0),'Cadastro dos Padrões'!$A$2:$V$4400,AD$1,FALSE))</f>
        <v>-</v>
      </c>
      <c r="AE97" s="31" t="str">
        <f>IF(VLOOKUP(ROUND(CONCATENATE($A97,AE$2),0),'Cadastro dos Padrões'!$A$2:$V$4400,AE$1,FALSE)="","-",VLOOKUP(ROUND(CONCATENATE($A97,AE$2),0),'Cadastro dos Padrões'!$A$2:$V$4400,AE$1,FALSE))</f>
        <v>-</v>
      </c>
      <c r="AF97" s="31" t="str">
        <f>IF(VLOOKUP(ROUND(CONCATENATE($A97,AF$2),0),'Cadastro dos Padrões'!$A$2:$V$4400,AF$1,FALSE)="","-",VLOOKUP(ROUND(CONCATENATE($A97,AF$2),0),'Cadastro dos Padrões'!$A$2:$V$4400,AF$1,FALSE))</f>
        <v>-</v>
      </c>
      <c r="AG97" s="31" t="str">
        <f>IF(VLOOKUP(ROUND(CONCATENATE($A97,AG$2),0),'Cadastro dos Padrões'!$A$2:$V$4400,AG$1,FALSE)="","-",VLOOKUP(ROUND(CONCATENATE($A97,AG$2),0),'Cadastro dos Padrões'!$A$2:$V$4400,AG$1,FALSE))</f>
        <v>-</v>
      </c>
      <c r="AH97" s="31" t="str">
        <f>IF(VLOOKUP(ROUND(CONCATENATE($A97,AH$2),0),'Cadastro dos Padrões'!$A$2:$V$4400,AH$1,FALSE)="","-",VLOOKUP(ROUND(CONCATENATE($A97,AH$2),0),'Cadastro dos Padrões'!$A$2:$V$4400,AH$1,FALSE))</f>
        <v>-</v>
      </c>
      <c r="AI97" s="31" t="str">
        <f>IF(VLOOKUP(ROUND(CONCATENATE($A97,AI$2),0),'Cadastro dos Padrões'!$A$2:$V$4400,AI$1,FALSE)="","-",VLOOKUP(ROUND(CONCATENATE($A97,AI$2),0),'Cadastro dos Padrões'!$A$2:$V$4400,AI$1,FALSE))</f>
        <v>-</v>
      </c>
      <c r="AJ97" s="31" t="str">
        <f>IF(VLOOKUP(ROUND(CONCATENATE($A97,AJ$2),0),'Cadastro dos Padrões'!$A$2:$V$4400,AJ$1,FALSE)="","-",VLOOKUP(ROUND(CONCATENATE($A97,AJ$2),0),'Cadastro dos Padrões'!$A$2:$V$4400,AJ$1,FALSE))</f>
        <v>-</v>
      </c>
      <c r="AK97" s="31" t="str">
        <f>IF(VLOOKUP(ROUND(CONCATENATE($A97,AK$2),0),'Cadastro dos Padrões'!$A$2:$V$4400,AK$1,FALSE)="","-",VLOOKUP(ROUND(CONCATENATE($A97,AK$2),0),'Cadastro dos Padrões'!$A$2:$V$4400,AK$1,FALSE))</f>
        <v>-</v>
      </c>
      <c r="AL97" s="31" t="str">
        <f>IF(VLOOKUP(ROUND(CONCATENATE($A97,AL$2),0),'Cadastro dos Padrões'!$A$2:$V$4400,AL$1,FALSE)="","-",VLOOKUP(ROUND(CONCATENATE($A97,AL$2),0),'Cadastro dos Padrões'!$A$2:$V$4400,AL$1,FALSE))</f>
        <v>-</v>
      </c>
      <c r="AM97" s="31" t="str">
        <f>IF(VLOOKUP(ROUND(CONCATENATE($A97,AM$2),0),'Cadastro dos Padrões'!$A$2:$V$4400,AM$1,FALSE)="","-",VLOOKUP(ROUND(CONCATENATE($A97,AM$2),0),'Cadastro dos Padrões'!$A$2:$V$4400,AM$1,FALSE))</f>
        <v>-</v>
      </c>
      <c r="AN97" s="31" t="str">
        <f>IF(VLOOKUP(ROUND(CONCATENATE($A97,AN$2),0),'Cadastro dos Padrões'!$A$2:$V$4400,AN$1,FALSE)="","-",VLOOKUP(ROUND(CONCATENATE($A97,AN$2),0),'Cadastro dos Padrões'!$A$2:$V$4400,AN$1,FALSE))</f>
        <v>-</v>
      </c>
      <c r="AO97" s="31" t="str">
        <f>IF(VLOOKUP(ROUND(CONCATENATE($A97,AO$2),0),'Cadastro dos Padrões'!$A$2:$V$4400,AO$1,FALSE)="","-",VLOOKUP(ROUND(CONCATENATE($A97,AO$2),0),'Cadastro dos Padrões'!$A$2:$V$4400,AO$1,FALSE))</f>
        <v>-</v>
      </c>
      <c r="AP97" s="31" t="str">
        <f>IF(VLOOKUP(ROUND(CONCATENATE($A97,AP$2),0),'Cadastro dos Padrões'!$A$2:$V$4400,AP$1,FALSE)="","-",VLOOKUP(ROUND(CONCATENATE($A97,AP$2),0),'Cadastro dos Padrões'!$A$2:$V$4400,AP$1,FALSE))</f>
        <v>-</v>
      </c>
      <c r="AQ97" s="31" t="str">
        <f>IF(VLOOKUP(ROUND(CONCATENATE($A97,AQ$2),0),'Cadastro dos Padrões'!$A$2:$V$4400,AQ$1,FALSE)="","-",VLOOKUP(ROUND(CONCATENATE($A97,AQ$2),0),'Cadastro dos Padrões'!$A$2:$V$4400,AQ$1,FALSE))</f>
        <v>-</v>
      </c>
      <c r="AR97" s="31" t="str">
        <f>IF(VLOOKUP(ROUND(CONCATENATE($A97,AR$2),0),'Cadastro dos Padrões'!$A$2:$V$4400,AR$1,FALSE)="","-",VLOOKUP(ROUND(CONCATENATE($A97,AR$2),0),'Cadastro dos Padrões'!$A$2:$V$4400,AR$1,FALSE))</f>
        <v>-</v>
      </c>
      <c r="AS97" s="31" t="str">
        <f>IF(VLOOKUP(ROUND(CONCATENATE($A97,AS$2),0),'Cadastro dos Padrões'!$A$2:$V$4400,AS$1,FALSE)="","-",VLOOKUP(ROUND(CONCATENATE($A97,AS$2),0),'Cadastro dos Padrões'!$A$2:$V$4400,AS$1,FALSE))</f>
        <v>-</v>
      </c>
      <c r="AT97" s="31" t="str">
        <f>IF(VLOOKUP(ROUND(CONCATENATE($A97,AT$2),0),'Cadastro dos Padrões'!$A$2:$V$4400,AT$1,FALSE)="","-",VLOOKUP(ROUND(CONCATENATE($A97,AT$2),0),'Cadastro dos Padrões'!$A$2:$V$4400,AT$1,FALSE))</f>
        <v>-</v>
      </c>
      <c r="AU97" s="31" t="str">
        <f>IF(VLOOKUP(ROUND(CONCATENATE($A97,AU$2),0),'Cadastro dos Padrões'!$A$2:$V$4400,AU$1,FALSE)="","-",VLOOKUP(ROUND(CONCATENATE($A97,AU$2),0),'Cadastro dos Padrões'!$A$2:$V$4400,AU$1,FALSE))</f>
        <v>-</v>
      </c>
      <c r="AV97" s="31" t="str">
        <f>IF(VLOOKUP(ROUND(CONCATENATE($A97,AV$2),0),'Cadastro dos Padrões'!$A$2:$V$4400,AV$1,FALSE)="","-",VLOOKUP(ROUND(CONCATENATE($A97,AV$2),0),'Cadastro dos Padrões'!$A$2:$V$4400,AV$1,FALSE))</f>
        <v>-</v>
      </c>
      <c r="AW97" s="31" t="str">
        <f>IF(VLOOKUP(ROUND(CONCATENATE($A97,AW$2),0),'Cadastro dos Padrões'!$A$2:$V$4400,AW$1,FALSE)="","-",VLOOKUP(ROUND(CONCATENATE($A97,AW$2),0),'Cadastro dos Padrões'!$A$2:$V$4400,AW$1,FALSE))</f>
        <v>-</v>
      </c>
      <c r="AX97" s="31" t="str">
        <f>IF(VLOOKUP(ROUND(CONCATENATE($A97,AX$2),0),'Cadastro dos Padrões'!$A$2:$V$4400,AX$1,FALSE)="","-",VLOOKUP(ROUND(CONCATENATE($A97,AX$2),0),'Cadastro dos Padrões'!$A$2:$V$4400,AX$1,FALSE))</f>
        <v>-</v>
      </c>
      <c r="AY97" s="31" t="str">
        <f>IF(VLOOKUP(ROUND(CONCATENATE($A97,AY$2),0),'Cadastro dos Padrões'!$A$2:$V$4400,AY$1,FALSE)="","-",VLOOKUP(ROUND(CONCATENATE($A97,AY$2),0),'Cadastro dos Padrões'!$A$2:$V$4400,AY$1,FALSE))</f>
        <v>-</v>
      </c>
      <c r="AZ97" s="31" t="str">
        <f>IF(VLOOKUP(ROUND(CONCATENATE($A97,AZ$2),0),'Cadastro dos Padrões'!$A$2:$V$4400,AZ$1,FALSE)="","-",VLOOKUP(ROUND(CONCATENATE($A97,AZ$2),0),'Cadastro dos Padrões'!$A$2:$V$4400,AZ$1,FALSE))</f>
        <v>-</v>
      </c>
      <c r="BA97" s="31" t="str">
        <f>IF(VLOOKUP(ROUND(CONCATENATE($A97,BA$2),0),'Cadastro dos Padrões'!$A$2:$V$4400,BA$1,FALSE)="","-",VLOOKUP(ROUND(CONCATENATE($A97,BA$2),0),'Cadastro dos Padrões'!$A$2:$V$4400,BA$1,FALSE))</f>
        <v>-</v>
      </c>
      <c r="BB97" s="31" t="str">
        <f>IF(VLOOKUP(ROUND(CONCATENATE($A97,BB$2),0),'Cadastro dos Padrões'!$A$2:$V$4400,BB$1,FALSE)="","-",VLOOKUP(ROUND(CONCATENATE($A97,BB$2),0),'Cadastro dos Padrões'!$A$2:$V$4400,BB$1,FALSE))</f>
        <v>-</v>
      </c>
      <c r="BC97" s="31" t="str">
        <f>IF(VLOOKUP(ROUND(CONCATENATE($A97,BC$2),0),'Cadastro dos Padrões'!$A$2:$V$4400,BC$1,FALSE)="","-",VLOOKUP(ROUND(CONCATENATE($A97,BC$2),0),'Cadastro dos Padrões'!$A$2:$V$4400,BC$1,FALSE))</f>
        <v>-</v>
      </c>
      <c r="BD97" s="31" t="str">
        <f>IF(VLOOKUP(ROUND(CONCATENATE($A97,BD$2),0),'Cadastro dos Padrões'!$A$2:$V$4400,BD$1,FALSE)="","-",VLOOKUP(ROUND(CONCATENATE($A97,BD$2),0),'Cadastro dos Padrões'!$A$2:$V$4400,BD$1,FALSE))</f>
        <v>-</v>
      </c>
      <c r="BE97" s="31" t="str">
        <f>IF(VLOOKUP(ROUND(CONCATENATE($A97,BE$2),0),'Cadastro dos Padrões'!$A$2:$V$4400,BE$1,FALSE)="","-",VLOOKUP(ROUND(CONCATENATE($A97,BE$2),0),'Cadastro dos Padrões'!$A$2:$V$4400,BE$1,FALSE))</f>
        <v>-</v>
      </c>
      <c r="BF97" s="31" t="str">
        <f>IF(VLOOKUP(ROUND(CONCATENATE($A97,BF$2),0),'Cadastro dos Padrões'!$A$2:$V$4400,BF$1,FALSE)="","-",VLOOKUP(ROUND(CONCATENATE($A97,BF$2),0),'Cadastro dos Padrões'!$A$2:$V$4400,BF$1,FALSE))</f>
        <v>-</v>
      </c>
      <c r="BG97" s="31" t="str">
        <f>IF(VLOOKUP(ROUND(CONCATENATE($A97,BG$2),0),'Cadastro dos Padrões'!$A$2:$V$4400,BG$1,FALSE)="","-",VLOOKUP(ROUND(CONCATENATE($A97,BG$2),0),'Cadastro dos Padrões'!$A$2:$V$4400,BG$1,FALSE))</f>
        <v>-</v>
      </c>
      <c r="BH97" s="31" t="str">
        <f>IF(VLOOKUP(ROUND(CONCATENATE($A97,BH$2),0),'Cadastro dos Padrões'!$A$2:$V$4400,BH$1,FALSE)="","-",VLOOKUP(ROUND(CONCATENATE($A97,BH$2),0),'Cadastro dos Padrões'!$A$2:$V$4400,BH$1,FALSE))</f>
        <v>-</v>
      </c>
      <c r="BI97" s="31" t="str">
        <f>IF(VLOOKUP(ROUND(CONCATENATE($A97,BI$2),0),'Cadastro dos Padrões'!$A$2:$V$4400,BI$1,FALSE)="","-",VLOOKUP(ROUND(CONCATENATE($A97,BI$2),0),'Cadastro dos Padrões'!$A$2:$V$4400,BI$1,FALSE))</f>
        <v>-</v>
      </c>
      <c r="BJ97" s="31" t="str">
        <f>IF(VLOOKUP(ROUND(CONCATENATE($A97,BJ$2),0),'Cadastro dos Padrões'!$A$2:$V$4400,BJ$1,FALSE)="","-",VLOOKUP(ROUND(CONCATENATE($A97,BJ$2),0),'Cadastro dos Padrões'!$A$2:$V$4400,BJ$1,FALSE))</f>
        <v>-</v>
      </c>
      <c r="BK97" s="31" t="str">
        <f>IF(VLOOKUP(ROUND(CONCATENATE($A97,BK$2),0),'Cadastro dos Padrões'!$A$2:$V$4400,BK$1,FALSE)="","-",VLOOKUP(ROUND(CONCATENATE($A97,BK$2),0),'Cadastro dos Padrões'!$A$2:$V$4400,BK$1,FALSE))</f>
        <v>-</v>
      </c>
      <c r="BL97" s="31" t="str">
        <f>IF(VLOOKUP(ROUND(CONCATENATE($A97,BL$2),0),'Cadastro dos Padrões'!$A$2:$V$4400,BL$1,FALSE)="","-",VLOOKUP(ROUND(CONCATENATE($A97,BL$2),0),'Cadastro dos Padrões'!$A$2:$V$4400,BL$1,FALSE))</f>
        <v>-</v>
      </c>
      <c r="BM97" s="31" t="str">
        <f>IF(VLOOKUP(ROUND(CONCATENATE($A97,BM$2),0),'Cadastro dos Padrões'!$A$2:$V$4400,BM$1,FALSE)="","-",VLOOKUP(ROUND(CONCATENATE($A97,BM$2),0),'Cadastro dos Padrões'!$A$2:$V$4400,BM$1,FALSE))</f>
        <v>-</v>
      </c>
      <c r="BN97" s="31" t="str">
        <f>IF(VLOOKUP(ROUND(CONCATENATE($A97,BN$2),0),'Cadastro dos Padrões'!$A$2:$V$4400,BN$1,FALSE)="","-",VLOOKUP(ROUND(CONCATENATE($A97,BN$2),0),'Cadastro dos Padrões'!$A$2:$V$4400,BN$1,FALSE))</f>
        <v>-</v>
      </c>
      <c r="BO97" s="31" t="str">
        <f>IF(VLOOKUP(ROUND(CONCATENATE($A97,BO$2),0),'Cadastro dos Padrões'!$A$2:$V$4400,BO$1,FALSE)="","-",VLOOKUP(ROUND(CONCATENATE($A97,BO$2),0),'Cadastro dos Padrões'!$A$2:$V$4400,BO$1,FALSE))</f>
        <v>-</v>
      </c>
    </row>
    <row r="98" spans="1:67" x14ac:dyDescent="0.3">
      <c r="A98" s="6">
        <f t="shared" si="52"/>
        <v>93</v>
      </c>
      <c r="B98" s="31" t="str">
        <f>IF(VLOOKUP(ROUND(CONCATENATE($A98,B$2),0),'Cadastro dos Padrões'!$A$2:$V$4400,B$1,FALSE)="","-",VLOOKUP(ROUND(CONCATENATE($A98,B$2),0),'Cadastro dos Padrões'!$A$2:$V$4400,B$1,FALSE))</f>
        <v>-</v>
      </c>
      <c r="C98" s="31" t="str">
        <f>IF($B98="-","-",VLOOKUP(ROUND(CONCATENATE($A98,C$2),0),'Cadastro dos Padrões'!$A$2:$V$4400,C$1,FALSE))</f>
        <v>-</v>
      </c>
      <c r="D98" s="31" t="str">
        <f>IF($B98="-","-",VLOOKUP(ROUND(CONCATENATE($A98,D$2),0),'Cadastro dos Padrões'!$A$2:$V$4400,D$1,FALSE))</f>
        <v>-</v>
      </c>
      <c r="E98" s="31" t="str">
        <f>IF($B98="-","-",VLOOKUP(ROUND(CONCATENATE($A98,E$2),0),'Cadastro dos Padrões'!$A$2:$V$4400,E$1,FALSE))</f>
        <v>-</v>
      </c>
      <c r="F98" s="31" t="str">
        <f>IF($B98="-","-",VLOOKUP(ROUND(CONCATENATE($A98,F$2),0),'Cadastro dos Padrões'!$A$2:$V$4400,F$1,FALSE))</f>
        <v>-</v>
      </c>
      <c r="G98" s="31" t="str">
        <f>IF($B98="-","-",VLOOKUP(ROUND(CONCATENATE($A98,G$2),0),'Cadastro dos Padrões'!$A$2:$V$4400,G$1,FALSE))</f>
        <v>-</v>
      </c>
      <c r="H98" s="32" t="str">
        <f>IF($B98="-","-",VLOOKUP(ROUND(CONCATENATE($A98,H$2),0),'Cadastro dos Padrões'!$A$2:$V$4400,H$1,FALSE))</f>
        <v>-</v>
      </c>
      <c r="I98" s="33" t="str">
        <f>IF($B98="-","-",VLOOKUP(ROUND(CONCATENATE($A98,I$2),0),'Cadastro dos Padrões'!$A$2:$V$4400,I$1,FALSE))</f>
        <v>-</v>
      </c>
      <c r="J98" s="31" t="str">
        <f>IF($B98="-","-",VLOOKUP(ROUND(CONCATENATE($A98,J$2),0),'Cadastro dos Padrões'!$A$2:$V$4400,J$1,FALSE))</f>
        <v>-</v>
      </c>
      <c r="K98" s="31" t="str">
        <f>IF($B98="-","-",VLOOKUP(ROUND(CONCATENATE($A98,K$2),0),'Cadastro dos Padrões'!$A$2:$V$4400,K$1,FALSE))</f>
        <v>-</v>
      </c>
      <c r="L98" s="31" t="str">
        <f>IF($B98="-","-",VLOOKUP(ROUND(CONCATENATE($A98,L$2),0),'Cadastro dos Padrões'!$A$2:$V$4400,L$1,FALSE))</f>
        <v>-</v>
      </c>
      <c r="M98" s="31" t="str">
        <f>IF($B98="-","-",VLOOKUP(ROUND(CONCATENATE($A98,M$2),0),'Cadastro dos Padrões'!$A$2:$V$4400,M$1,FALSE))</f>
        <v>-</v>
      </c>
      <c r="N98" s="31" t="str">
        <f>IF($B98="-","-",VLOOKUP(ROUND(CONCATENATE($A98,N$2),0),'Cadastro dos Padrões'!$A$2:$V$4400,N$1,FALSE))</f>
        <v>-</v>
      </c>
      <c r="O98" s="31" t="str">
        <f>IF($B98="-","-",VLOOKUP(ROUND(CONCATENATE($A98,O$2),0),'Cadastro dos Padrões'!$A$2:$V$4400,O$1,FALSE))</f>
        <v>-</v>
      </c>
      <c r="P98" s="31" t="str">
        <f>IF($B98="-","-",VLOOKUP(ROUND(CONCATENATE($A98,P$2),0),'Cadastro dos Padrões'!$A$2:$V$4400,P$1,FALSE))</f>
        <v>-</v>
      </c>
      <c r="Q98" s="31" t="str">
        <f>IF($B98="-","-",VLOOKUP(ROUND(CONCATENATE($A98,Q$2),0),'Cadastro dos Padrões'!$A$2:$V$4400,Q$1,FALSE))</f>
        <v>-</v>
      </c>
      <c r="R98" s="31" t="str">
        <f>IF($B98="-","-",VLOOKUP(ROUND(CONCATENATE($A98,R$2),0),'Cadastro dos Padrões'!$A$2:$V$4400,R$1,FALSE))</f>
        <v>-</v>
      </c>
      <c r="S98" s="31" t="str">
        <f>IF($B98="-","-",VLOOKUP(ROUND(CONCATENATE($A98,S$2),0),'Cadastro dos Padrões'!$A$2:$V$4400,S$1,FALSE))</f>
        <v>-</v>
      </c>
      <c r="T98" s="31" t="str">
        <f>IF($B98="-","-",VLOOKUP(ROUND(CONCATENATE($A98,T$2),0),'Cadastro dos Padrões'!$A$2:$V$4400,T$1,FALSE))</f>
        <v>-</v>
      </c>
      <c r="U98" s="31" t="str">
        <f>IF($B98="-","-",VLOOKUP(ROUND(CONCATENATE($A98,U$2),0),'Cadastro dos Padrões'!$A$2:$V$4400,U$1,FALSE))</f>
        <v>-</v>
      </c>
      <c r="V98" s="31" t="str">
        <f>IF($B98="-","-",VLOOKUP(ROUND(CONCATENATE($A98,V$2),0),'Cadastro dos Padrões'!$A$2:$V$4400,V$1,FALSE))</f>
        <v>-</v>
      </c>
      <c r="W98" s="31" t="str">
        <f>IF($B98="-","-",VLOOKUP(ROUND(CONCATENATE($A98,W$2),0),'Cadastro dos Padrões'!$A$2:$V$4400,W$1,FALSE))</f>
        <v>-</v>
      </c>
      <c r="X98" s="31" t="str">
        <f>IF($B98="-","-",VLOOKUP(ROUND(CONCATENATE($A98,X$2),0),'Cadastro dos Padrões'!$A$2:$V$4400,X$1,FALSE))</f>
        <v>-</v>
      </c>
      <c r="Y98" s="31" t="str">
        <f>IF($B98="-","-",VLOOKUP(ROUND(CONCATENATE($A98,Y$2),0),'Cadastro dos Padrões'!$A$2:$V$4400,Y$1,FALSE))</f>
        <v>-</v>
      </c>
      <c r="Z98" s="31" t="str">
        <f>IF($B98="-","-",VLOOKUP(ROUND(CONCATENATE($A98,Z$2),0),'Cadastro dos Padrões'!$A$2:$V$4400,Z$1,FALSE))</f>
        <v>-</v>
      </c>
      <c r="AA98" s="31" t="str">
        <f>IF($B98="-","-",VLOOKUP(ROUND(CONCATENATE($A98,AA$2),0),'Cadastro dos Padrões'!$A$2:$V$4400,AA$1,FALSE))</f>
        <v>-</v>
      </c>
      <c r="AB98" s="31" t="str">
        <f>IF(VLOOKUP(ROUND(CONCATENATE($A98,AB$2),0),'Cadastro dos Padrões'!$A$2:$V$4400,AB$1,FALSE)="","-",VLOOKUP(ROUND(CONCATENATE($A98,AB$2),0),'Cadastro dos Padrões'!$A$2:$V$4400,AB$1,FALSE))</f>
        <v>-</v>
      </c>
      <c r="AC98" s="31" t="str">
        <f>IF(VLOOKUP(ROUND(CONCATENATE($A98,AC$2),0),'Cadastro dos Padrões'!$A$2:$V$4400,AC$1,FALSE)="","-",VLOOKUP(ROUND(CONCATENATE($A98,AC$2),0),'Cadastro dos Padrões'!$A$2:$V$4400,AC$1,FALSE))</f>
        <v>-</v>
      </c>
      <c r="AD98" s="31" t="str">
        <f>IF(VLOOKUP(ROUND(CONCATENATE($A98,AD$2),0),'Cadastro dos Padrões'!$A$2:$V$4400,AD$1,FALSE)="","-",VLOOKUP(ROUND(CONCATENATE($A98,AD$2),0),'Cadastro dos Padrões'!$A$2:$V$4400,AD$1,FALSE))</f>
        <v>-</v>
      </c>
      <c r="AE98" s="31" t="str">
        <f>IF(VLOOKUP(ROUND(CONCATENATE($A98,AE$2),0),'Cadastro dos Padrões'!$A$2:$V$4400,AE$1,FALSE)="","-",VLOOKUP(ROUND(CONCATENATE($A98,AE$2),0),'Cadastro dos Padrões'!$A$2:$V$4400,AE$1,FALSE))</f>
        <v>-</v>
      </c>
      <c r="AF98" s="31" t="str">
        <f>IF(VLOOKUP(ROUND(CONCATENATE($A98,AF$2),0),'Cadastro dos Padrões'!$A$2:$V$4400,AF$1,FALSE)="","-",VLOOKUP(ROUND(CONCATENATE($A98,AF$2),0),'Cadastro dos Padrões'!$A$2:$V$4400,AF$1,FALSE))</f>
        <v>-</v>
      </c>
      <c r="AG98" s="31" t="str">
        <f>IF(VLOOKUP(ROUND(CONCATENATE($A98,AG$2),0),'Cadastro dos Padrões'!$A$2:$V$4400,AG$1,FALSE)="","-",VLOOKUP(ROUND(CONCATENATE($A98,AG$2),0),'Cadastro dos Padrões'!$A$2:$V$4400,AG$1,FALSE))</f>
        <v>-</v>
      </c>
      <c r="AH98" s="31" t="str">
        <f>IF(VLOOKUP(ROUND(CONCATENATE($A98,AH$2),0),'Cadastro dos Padrões'!$A$2:$V$4400,AH$1,FALSE)="","-",VLOOKUP(ROUND(CONCATENATE($A98,AH$2),0),'Cadastro dos Padrões'!$A$2:$V$4400,AH$1,FALSE))</f>
        <v>-</v>
      </c>
      <c r="AI98" s="31" t="str">
        <f>IF(VLOOKUP(ROUND(CONCATENATE($A98,AI$2),0),'Cadastro dos Padrões'!$A$2:$V$4400,AI$1,FALSE)="","-",VLOOKUP(ROUND(CONCATENATE($A98,AI$2),0),'Cadastro dos Padrões'!$A$2:$V$4400,AI$1,FALSE))</f>
        <v>-</v>
      </c>
      <c r="AJ98" s="31" t="str">
        <f>IF(VLOOKUP(ROUND(CONCATENATE($A98,AJ$2),0),'Cadastro dos Padrões'!$A$2:$V$4400,AJ$1,FALSE)="","-",VLOOKUP(ROUND(CONCATENATE($A98,AJ$2),0),'Cadastro dos Padrões'!$A$2:$V$4400,AJ$1,FALSE))</f>
        <v>-</v>
      </c>
      <c r="AK98" s="31" t="str">
        <f>IF(VLOOKUP(ROUND(CONCATENATE($A98,AK$2),0),'Cadastro dos Padrões'!$A$2:$V$4400,AK$1,FALSE)="","-",VLOOKUP(ROUND(CONCATENATE($A98,AK$2),0),'Cadastro dos Padrões'!$A$2:$V$4400,AK$1,FALSE))</f>
        <v>-</v>
      </c>
      <c r="AL98" s="31" t="str">
        <f>IF(VLOOKUP(ROUND(CONCATENATE($A98,AL$2),0),'Cadastro dos Padrões'!$A$2:$V$4400,AL$1,FALSE)="","-",VLOOKUP(ROUND(CONCATENATE($A98,AL$2),0),'Cadastro dos Padrões'!$A$2:$V$4400,AL$1,FALSE))</f>
        <v>-</v>
      </c>
      <c r="AM98" s="31" t="str">
        <f>IF(VLOOKUP(ROUND(CONCATENATE($A98,AM$2),0),'Cadastro dos Padrões'!$A$2:$V$4400,AM$1,FALSE)="","-",VLOOKUP(ROUND(CONCATENATE($A98,AM$2),0),'Cadastro dos Padrões'!$A$2:$V$4400,AM$1,FALSE))</f>
        <v>-</v>
      </c>
      <c r="AN98" s="31" t="str">
        <f>IF(VLOOKUP(ROUND(CONCATENATE($A98,AN$2),0),'Cadastro dos Padrões'!$A$2:$V$4400,AN$1,FALSE)="","-",VLOOKUP(ROUND(CONCATENATE($A98,AN$2),0),'Cadastro dos Padrões'!$A$2:$V$4400,AN$1,FALSE))</f>
        <v>-</v>
      </c>
      <c r="AO98" s="31" t="str">
        <f>IF(VLOOKUP(ROUND(CONCATENATE($A98,AO$2),0),'Cadastro dos Padrões'!$A$2:$V$4400,AO$1,FALSE)="","-",VLOOKUP(ROUND(CONCATENATE($A98,AO$2),0),'Cadastro dos Padrões'!$A$2:$V$4400,AO$1,FALSE))</f>
        <v>-</v>
      </c>
      <c r="AP98" s="31" t="str">
        <f>IF(VLOOKUP(ROUND(CONCATENATE($A98,AP$2),0),'Cadastro dos Padrões'!$A$2:$V$4400,AP$1,FALSE)="","-",VLOOKUP(ROUND(CONCATENATE($A98,AP$2),0),'Cadastro dos Padrões'!$A$2:$V$4400,AP$1,FALSE))</f>
        <v>-</v>
      </c>
      <c r="AQ98" s="31" t="str">
        <f>IF(VLOOKUP(ROUND(CONCATENATE($A98,AQ$2),0),'Cadastro dos Padrões'!$A$2:$V$4400,AQ$1,FALSE)="","-",VLOOKUP(ROUND(CONCATENATE($A98,AQ$2),0),'Cadastro dos Padrões'!$A$2:$V$4400,AQ$1,FALSE))</f>
        <v>-</v>
      </c>
      <c r="AR98" s="31" t="str">
        <f>IF(VLOOKUP(ROUND(CONCATENATE($A98,AR$2),0),'Cadastro dos Padrões'!$A$2:$V$4400,AR$1,FALSE)="","-",VLOOKUP(ROUND(CONCATENATE($A98,AR$2),0),'Cadastro dos Padrões'!$A$2:$V$4400,AR$1,FALSE))</f>
        <v>-</v>
      </c>
      <c r="AS98" s="31" t="str">
        <f>IF(VLOOKUP(ROUND(CONCATENATE($A98,AS$2),0),'Cadastro dos Padrões'!$A$2:$V$4400,AS$1,FALSE)="","-",VLOOKUP(ROUND(CONCATENATE($A98,AS$2),0),'Cadastro dos Padrões'!$A$2:$V$4400,AS$1,FALSE))</f>
        <v>-</v>
      </c>
      <c r="AT98" s="31" t="str">
        <f>IF(VLOOKUP(ROUND(CONCATENATE($A98,AT$2),0),'Cadastro dos Padrões'!$A$2:$V$4400,AT$1,FALSE)="","-",VLOOKUP(ROUND(CONCATENATE($A98,AT$2),0),'Cadastro dos Padrões'!$A$2:$V$4400,AT$1,FALSE))</f>
        <v>-</v>
      </c>
      <c r="AU98" s="31" t="str">
        <f>IF(VLOOKUP(ROUND(CONCATENATE($A98,AU$2),0),'Cadastro dos Padrões'!$A$2:$V$4400,AU$1,FALSE)="","-",VLOOKUP(ROUND(CONCATENATE($A98,AU$2),0),'Cadastro dos Padrões'!$A$2:$V$4400,AU$1,FALSE))</f>
        <v>-</v>
      </c>
      <c r="AV98" s="31" t="str">
        <f>IF(VLOOKUP(ROUND(CONCATENATE($A98,AV$2),0),'Cadastro dos Padrões'!$A$2:$V$4400,AV$1,FALSE)="","-",VLOOKUP(ROUND(CONCATENATE($A98,AV$2),0),'Cadastro dos Padrões'!$A$2:$V$4400,AV$1,FALSE))</f>
        <v>-</v>
      </c>
      <c r="AW98" s="31" t="str">
        <f>IF(VLOOKUP(ROUND(CONCATENATE($A98,AW$2),0),'Cadastro dos Padrões'!$A$2:$V$4400,AW$1,FALSE)="","-",VLOOKUP(ROUND(CONCATENATE($A98,AW$2),0),'Cadastro dos Padrões'!$A$2:$V$4400,AW$1,FALSE))</f>
        <v>-</v>
      </c>
      <c r="AX98" s="31" t="str">
        <f>IF(VLOOKUP(ROUND(CONCATENATE($A98,AX$2),0),'Cadastro dos Padrões'!$A$2:$V$4400,AX$1,FALSE)="","-",VLOOKUP(ROUND(CONCATENATE($A98,AX$2),0),'Cadastro dos Padrões'!$A$2:$V$4400,AX$1,FALSE))</f>
        <v>-</v>
      </c>
      <c r="AY98" s="31" t="str">
        <f>IF(VLOOKUP(ROUND(CONCATENATE($A98,AY$2),0),'Cadastro dos Padrões'!$A$2:$V$4400,AY$1,FALSE)="","-",VLOOKUP(ROUND(CONCATENATE($A98,AY$2),0),'Cadastro dos Padrões'!$A$2:$V$4400,AY$1,FALSE))</f>
        <v>-</v>
      </c>
      <c r="AZ98" s="31" t="str">
        <f>IF(VLOOKUP(ROUND(CONCATENATE($A98,AZ$2),0),'Cadastro dos Padrões'!$A$2:$V$4400,AZ$1,FALSE)="","-",VLOOKUP(ROUND(CONCATENATE($A98,AZ$2),0),'Cadastro dos Padrões'!$A$2:$V$4400,AZ$1,FALSE))</f>
        <v>-</v>
      </c>
      <c r="BA98" s="31" t="str">
        <f>IF(VLOOKUP(ROUND(CONCATENATE($A98,BA$2),0),'Cadastro dos Padrões'!$A$2:$V$4400,BA$1,FALSE)="","-",VLOOKUP(ROUND(CONCATENATE($A98,BA$2),0),'Cadastro dos Padrões'!$A$2:$V$4400,BA$1,FALSE))</f>
        <v>-</v>
      </c>
      <c r="BB98" s="31" t="str">
        <f>IF(VLOOKUP(ROUND(CONCATENATE($A98,BB$2),0),'Cadastro dos Padrões'!$A$2:$V$4400,BB$1,FALSE)="","-",VLOOKUP(ROUND(CONCATENATE($A98,BB$2),0),'Cadastro dos Padrões'!$A$2:$V$4400,BB$1,FALSE))</f>
        <v>-</v>
      </c>
      <c r="BC98" s="31" t="str">
        <f>IF(VLOOKUP(ROUND(CONCATENATE($A98,BC$2),0),'Cadastro dos Padrões'!$A$2:$V$4400,BC$1,FALSE)="","-",VLOOKUP(ROUND(CONCATENATE($A98,BC$2),0),'Cadastro dos Padrões'!$A$2:$V$4400,BC$1,FALSE))</f>
        <v>-</v>
      </c>
      <c r="BD98" s="31" t="str">
        <f>IF(VLOOKUP(ROUND(CONCATENATE($A98,BD$2),0),'Cadastro dos Padrões'!$A$2:$V$4400,BD$1,FALSE)="","-",VLOOKUP(ROUND(CONCATENATE($A98,BD$2),0),'Cadastro dos Padrões'!$A$2:$V$4400,BD$1,FALSE))</f>
        <v>-</v>
      </c>
      <c r="BE98" s="31" t="str">
        <f>IF(VLOOKUP(ROUND(CONCATENATE($A98,BE$2),0),'Cadastro dos Padrões'!$A$2:$V$4400,BE$1,FALSE)="","-",VLOOKUP(ROUND(CONCATENATE($A98,BE$2),0),'Cadastro dos Padrões'!$A$2:$V$4400,BE$1,FALSE))</f>
        <v>-</v>
      </c>
      <c r="BF98" s="31" t="str">
        <f>IF(VLOOKUP(ROUND(CONCATENATE($A98,BF$2),0),'Cadastro dos Padrões'!$A$2:$V$4400,BF$1,FALSE)="","-",VLOOKUP(ROUND(CONCATENATE($A98,BF$2),0),'Cadastro dos Padrões'!$A$2:$V$4400,BF$1,FALSE))</f>
        <v>-</v>
      </c>
      <c r="BG98" s="31" t="str">
        <f>IF(VLOOKUP(ROUND(CONCATENATE($A98,BG$2),0),'Cadastro dos Padrões'!$A$2:$V$4400,BG$1,FALSE)="","-",VLOOKUP(ROUND(CONCATENATE($A98,BG$2),0),'Cadastro dos Padrões'!$A$2:$V$4400,BG$1,FALSE))</f>
        <v>-</v>
      </c>
      <c r="BH98" s="31" t="str">
        <f>IF(VLOOKUP(ROUND(CONCATENATE($A98,BH$2),0),'Cadastro dos Padrões'!$A$2:$V$4400,BH$1,FALSE)="","-",VLOOKUP(ROUND(CONCATENATE($A98,BH$2),0),'Cadastro dos Padrões'!$A$2:$V$4400,BH$1,FALSE))</f>
        <v>-</v>
      </c>
      <c r="BI98" s="31" t="str">
        <f>IF(VLOOKUP(ROUND(CONCATENATE($A98,BI$2),0),'Cadastro dos Padrões'!$A$2:$V$4400,BI$1,FALSE)="","-",VLOOKUP(ROUND(CONCATENATE($A98,BI$2),0),'Cadastro dos Padrões'!$A$2:$V$4400,BI$1,FALSE))</f>
        <v>-</v>
      </c>
      <c r="BJ98" s="31" t="str">
        <f>IF(VLOOKUP(ROUND(CONCATENATE($A98,BJ$2),0),'Cadastro dos Padrões'!$A$2:$V$4400,BJ$1,FALSE)="","-",VLOOKUP(ROUND(CONCATENATE($A98,BJ$2),0),'Cadastro dos Padrões'!$A$2:$V$4400,BJ$1,FALSE))</f>
        <v>-</v>
      </c>
      <c r="BK98" s="31" t="str">
        <f>IF(VLOOKUP(ROUND(CONCATENATE($A98,BK$2),0),'Cadastro dos Padrões'!$A$2:$V$4400,BK$1,FALSE)="","-",VLOOKUP(ROUND(CONCATENATE($A98,BK$2),0),'Cadastro dos Padrões'!$A$2:$V$4400,BK$1,FALSE))</f>
        <v>-</v>
      </c>
      <c r="BL98" s="31" t="str">
        <f>IF(VLOOKUP(ROUND(CONCATENATE($A98,BL$2),0),'Cadastro dos Padrões'!$A$2:$V$4400,BL$1,FALSE)="","-",VLOOKUP(ROUND(CONCATENATE($A98,BL$2),0),'Cadastro dos Padrões'!$A$2:$V$4400,BL$1,FALSE))</f>
        <v>-</v>
      </c>
      <c r="BM98" s="31" t="str">
        <f>IF(VLOOKUP(ROUND(CONCATENATE($A98,BM$2),0),'Cadastro dos Padrões'!$A$2:$V$4400,BM$1,FALSE)="","-",VLOOKUP(ROUND(CONCATENATE($A98,BM$2),0),'Cadastro dos Padrões'!$A$2:$V$4400,BM$1,FALSE))</f>
        <v>-</v>
      </c>
      <c r="BN98" s="31" t="str">
        <f>IF(VLOOKUP(ROUND(CONCATENATE($A98,BN$2),0),'Cadastro dos Padrões'!$A$2:$V$4400,BN$1,FALSE)="","-",VLOOKUP(ROUND(CONCATENATE($A98,BN$2),0),'Cadastro dos Padrões'!$A$2:$V$4400,BN$1,FALSE))</f>
        <v>-</v>
      </c>
      <c r="BO98" s="31" t="str">
        <f>IF(VLOOKUP(ROUND(CONCATENATE($A98,BO$2),0),'Cadastro dos Padrões'!$A$2:$V$4400,BO$1,FALSE)="","-",VLOOKUP(ROUND(CONCATENATE($A98,BO$2),0),'Cadastro dos Padrões'!$A$2:$V$4400,BO$1,FALSE))</f>
        <v>-</v>
      </c>
    </row>
    <row r="99" spans="1:67" x14ac:dyDescent="0.3">
      <c r="A99" s="6">
        <f t="shared" si="52"/>
        <v>94</v>
      </c>
      <c r="B99" s="31" t="str">
        <f>IF(VLOOKUP(ROUND(CONCATENATE($A99,B$2),0),'Cadastro dos Padrões'!$A$2:$V$4400,B$1,FALSE)="","-",VLOOKUP(ROUND(CONCATENATE($A99,B$2),0),'Cadastro dos Padrões'!$A$2:$V$4400,B$1,FALSE))</f>
        <v>-</v>
      </c>
      <c r="C99" s="31" t="str">
        <f>IF($B99="-","-",VLOOKUP(ROUND(CONCATENATE($A99,C$2),0),'Cadastro dos Padrões'!$A$2:$V$4400,C$1,FALSE))</f>
        <v>-</v>
      </c>
      <c r="D99" s="31" t="str">
        <f>IF($B99="-","-",VLOOKUP(ROUND(CONCATENATE($A99,D$2),0),'Cadastro dos Padrões'!$A$2:$V$4400,D$1,FALSE))</f>
        <v>-</v>
      </c>
      <c r="E99" s="31" t="str">
        <f>IF($B99="-","-",VLOOKUP(ROUND(CONCATENATE($A99,E$2),0),'Cadastro dos Padrões'!$A$2:$V$4400,E$1,FALSE))</f>
        <v>-</v>
      </c>
      <c r="F99" s="31" t="str">
        <f>IF($B99="-","-",VLOOKUP(ROUND(CONCATENATE($A99,F$2),0),'Cadastro dos Padrões'!$A$2:$V$4400,F$1,FALSE))</f>
        <v>-</v>
      </c>
      <c r="G99" s="31" t="str">
        <f>IF($B99="-","-",VLOOKUP(ROUND(CONCATENATE($A99,G$2),0),'Cadastro dos Padrões'!$A$2:$V$4400,G$1,FALSE))</f>
        <v>-</v>
      </c>
      <c r="H99" s="32" t="str">
        <f>IF($B99="-","-",VLOOKUP(ROUND(CONCATENATE($A99,H$2),0),'Cadastro dos Padrões'!$A$2:$V$4400,H$1,FALSE))</f>
        <v>-</v>
      </c>
      <c r="I99" s="33" t="str">
        <f>IF($B99="-","-",VLOOKUP(ROUND(CONCATENATE($A99,I$2),0),'Cadastro dos Padrões'!$A$2:$V$4400,I$1,FALSE))</f>
        <v>-</v>
      </c>
      <c r="J99" s="31" t="str">
        <f>IF($B99="-","-",VLOOKUP(ROUND(CONCATENATE($A99,J$2),0),'Cadastro dos Padrões'!$A$2:$V$4400,J$1,FALSE))</f>
        <v>-</v>
      </c>
      <c r="K99" s="31" t="str">
        <f>IF($B99="-","-",VLOOKUP(ROUND(CONCATENATE($A99,K$2),0),'Cadastro dos Padrões'!$A$2:$V$4400,K$1,FALSE))</f>
        <v>-</v>
      </c>
      <c r="L99" s="31" t="str">
        <f>IF($B99="-","-",VLOOKUP(ROUND(CONCATENATE($A99,L$2),0),'Cadastro dos Padrões'!$A$2:$V$4400,L$1,FALSE))</f>
        <v>-</v>
      </c>
      <c r="M99" s="31" t="str">
        <f>IF($B99="-","-",VLOOKUP(ROUND(CONCATENATE($A99,M$2),0),'Cadastro dos Padrões'!$A$2:$V$4400,M$1,FALSE))</f>
        <v>-</v>
      </c>
      <c r="N99" s="31" t="str">
        <f>IF($B99="-","-",VLOOKUP(ROUND(CONCATENATE($A99,N$2),0),'Cadastro dos Padrões'!$A$2:$V$4400,N$1,FALSE))</f>
        <v>-</v>
      </c>
      <c r="O99" s="31" t="str">
        <f>IF($B99="-","-",VLOOKUP(ROUND(CONCATENATE($A99,O$2),0),'Cadastro dos Padrões'!$A$2:$V$4400,O$1,FALSE))</f>
        <v>-</v>
      </c>
      <c r="P99" s="31" t="str">
        <f>IF($B99="-","-",VLOOKUP(ROUND(CONCATENATE($A99,P$2),0),'Cadastro dos Padrões'!$A$2:$V$4400,P$1,FALSE))</f>
        <v>-</v>
      </c>
      <c r="Q99" s="31" t="str">
        <f>IF($B99="-","-",VLOOKUP(ROUND(CONCATENATE($A99,Q$2),0),'Cadastro dos Padrões'!$A$2:$V$4400,Q$1,FALSE))</f>
        <v>-</v>
      </c>
      <c r="R99" s="31" t="str">
        <f>IF($B99="-","-",VLOOKUP(ROUND(CONCATENATE($A99,R$2),0),'Cadastro dos Padrões'!$A$2:$V$4400,R$1,FALSE))</f>
        <v>-</v>
      </c>
      <c r="S99" s="31" t="str">
        <f>IF($B99="-","-",VLOOKUP(ROUND(CONCATENATE($A99,S$2),0),'Cadastro dos Padrões'!$A$2:$V$4400,S$1,FALSE))</f>
        <v>-</v>
      </c>
      <c r="T99" s="31" t="str">
        <f>IF($B99="-","-",VLOOKUP(ROUND(CONCATENATE($A99,T$2),0),'Cadastro dos Padrões'!$A$2:$V$4400,T$1,FALSE))</f>
        <v>-</v>
      </c>
      <c r="U99" s="31" t="str">
        <f>IF($B99="-","-",VLOOKUP(ROUND(CONCATENATE($A99,U$2),0),'Cadastro dos Padrões'!$A$2:$V$4400,U$1,FALSE))</f>
        <v>-</v>
      </c>
      <c r="V99" s="31" t="str">
        <f>IF($B99="-","-",VLOOKUP(ROUND(CONCATENATE($A99,V$2),0),'Cadastro dos Padrões'!$A$2:$V$4400,V$1,FALSE))</f>
        <v>-</v>
      </c>
      <c r="W99" s="31" t="str">
        <f>IF($B99="-","-",VLOOKUP(ROUND(CONCATENATE($A99,W$2),0),'Cadastro dos Padrões'!$A$2:$V$4400,W$1,FALSE))</f>
        <v>-</v>
      </c>
      <c r="X99" s="31" t="str">
        <f>IF($B99="-","-",VLOOKUP(ROUND(CONCATENATE($A99,X$2),0),'Cadastro dos Padrões'!$A$2:$V$4400,X$1,FALSE))</f>
        <v>-</v>
      </c>
      <c r="Y99" s="31" t="str">
        <f>IF($B99="-","-",VLOOKUP(ROUND(CONCATENATE($A99,Y$2),0),'Cadastro dos Padrões'!$A$2:$V$4400,Y$1,FALSE))</f>
        <v>-</v>
      </c>
      <c r="Z99" s="31" t="str">
        <f>IF($B99="-","-",VLOOKUP(ROUND(CONCATENATE($A99,Z$2),0),'Cadastro dos Padrões'!$A$2:$V$4400,Z$1,FALSE))</f>
        <v>-</v>
      </c>
      <c r="AA99" s="31" t="str">
        <f>IF($B99="-","-",VLOOKUP(ROUND(CONCATENATE($A99,AA$2),0),'Cadastro dos Padrões'!$A$2:$V$4400,AA$1,FALSE))</f>
        <v>-</v>
      </c>
      <c r="AB99" s="31" t="str">
        <f>IF(VLOOKUP(ROUND(CONCATENATE($A99,AB$2),0),'Cadastro dos Padrões'!$A$2:$V$4400,AB$1,FALSE)="","-",VLOOKUP(ROUND(CONCATENATE($A99,AB$2),0),'Cadastro dos Padrões'!$A$2:$V$4400,AB$1,FALSE))</f>
        <v>-</v>
      </c>
      <c r="AC99" s="31" t="str">
        <f>IF(VLOOKUP(ROUND(CONCATENATE($A99,AC$2),0),'Cadastro dos Padrões'!$A$2:$V$4400,AC$1,FALSE)="","-",VLOOKUP(ROUND(CONCATENATE($A99,AC$2),0),'Cadastro dos Padrões'!$A$2:$V$4400,AC$1,FALSE))</f>
        <v>-</v>
      </c>
      <c r="AD99" s="31" t="str">
        <f>IF(VLOOKUP(ROUND(CONCATENATE($A99,AD$2),0),'Cadastro dos Padrões'!$A$2:$V$4400,AD$1,FALSE)="","-",VLOOKUP(ROUND(CONCATENATE($A99,AD$2),0),'Cadastro dos Padrões'!$A$2:$V$4400,AD$1,FALSE))</f>
        <v>-</v>
      </c>
      <c r="AE99" s="31" t="str">
        <f>IF(VLOOKUP(ROUND(CONCATENATE($A99,AE$2),0),'Cadastro dos Padrões'!$A$2:$V$4400,AE$1,FALSE)="","-",VLOOKUP(ROUND(CONCATENATE($A99,AE$2),0),'Cadastro dos Padrões'!$A$2:$V$4400,AE$1,FALSE))</f>
        <v>-</v>
      </c>
      <c r="AF99" s="31" t="str">
        <f>IF(VLOOKUP(ROUND(CONCATENATE($A99,AF$2),0),'Cadastro dos Padrões'!$A$2:$V$4400,AF$1,FALSE)="","-",VLOOKUP(ROUND(CONCATENATE($A99,AF$2),0),'Cadastro dos Padrões'!$A$2:$V$4400,AF$1,FALSE))</f>
        <v>-</v>
      </c>
      <c r="AG99" s="31" t="str">
        <f>IF(VLOOKUP(ROUND(CONCATENATE($A99,AG$2),0),'Cadastro dos Padrões'!$A$2:$V$4400,AG$1,FALSE)="","-",VLOOKUP(ROUND(CONCATENATE($A99,AG$2),0),'Cadastro dos Padrões'!$A$2:$V$4400,AG$1,FALSE))</f>
        <v>-</v>
      </c>
      <c r="AH99" s="31" t="str">
        <f>IF(VLOOKUP(ROUND(CONCATENATE($A99,AH$2),0),'Cadastro dos Padrões'!$A$2:$V$4400,AH$1,FALSE)="","-",VLOOKUP(ROUND(CONCATENATE($A99,AH$2),0),'Cadastro dos Padrões'!$A$2:$V$4400,AH$1,FALSE))</f>
        <v>-</v>
      </c>
      <c r="AI99" s="31" t="str">
        <f>IF(VLOOKUP(ROUND(CONCATENATE($A99,AI$2),0),'Cadastro dos Padrões'!$A$2:$V$4400,AI$1,FALSE)="","-",VLOOKUP(ROUND(CONCATENATE($A99,AI$2),0),'Cadastro dos Padrões'!$A$2:$V$4400,AI$1,FALSE))</f>
        <v>-</v>
      </c>
      <c r="AJ99" s="31" t="str">
        <f>IF(VLOOKUP(ROUND(CONCATENATE($A99,AJ$2),0),'Cadastro dos Padrões'!$A$2:$V$4400,AJ$1,FALSE)="","-",VLOOKUP(ROUND(CONCATENATE($A99,AJ$2),0),'Cadastro dos Padrões'!$A$2:$V$4400,AJ$1,FALSE))</f>
        <v>-</v>
      </c>
      <c r="AK99" s="31" t="str">
        <f>IF(VLOOKUP(ROUND(CONCATENATE($A99,AK$2),0),'Cadastro dos Padrões'!$A$2:$V$4400,AK$1,FALSE)="","-",VLOOKUP(ROUND(CONCATENATE($A99,AK$2),0),'Cadastro dos Padrões'!$A$2:$V$4400,AK$1,FALSE))</f>
        <v>-</v>
      </c>
      <c r="AL99" s="31" t="str">
        <f>IF(VLOOKUP(ROUND(CONCATENATE($A99,AL$2),0),'Cadastro dos Padrões'!$A$2:$V$4400,AL$1,FALSE)="","-",VLOOKUP(ROUND(CONCATENATE($A99,AL$2),0),'Cadastro dos Padrões'!$A$2:$V$4400,AL$1,FALSE))</f>
        <v>-</v>
      </c>
      <c r="AM99" s="31" t="str">
        <f>IF(VLOOKUP(ROUND(CONCATENATE($A99,AM$2),0),'Cadastro dos Padrões'!$A$2:$V$4400,AM$1,FALSE)="","-",VLOOKUP(ROUND(CONCATENATE($A99,AM$2),0),'Cadastro dos Padrões'!$A$2:$V$4400,AM$1,FALSE))</f>
        <v>-</v>
      </c>
      <c r="AN99" s="31" t="str">
        <f>IF(VLOOKUP(ROUND(CONCATENATE($A99,AN$2),0),'Cadastro dos Padrões'!$A$2:$V$4400,AN$1,FALSE)="","-",VLOOKUP(ROUND(CONCATENATE($A99,AN$2),0),'Cadastro dos Padrões'!$A$2:$V$4400,AN$1,FALSE))</f>
        <v>-</v>
      </c>
      <c r="AO99" s="31" t="str">
        <f>IF(VLOOKUP(ROUND(CONCATENATE($A99,AO$2),0),'Cadastro dos Padrões'!$A$2:$V$4400,AO$1,FALSE)="","-",VLOOKUP(ROUND(CONCATENATE($A99,AO$2),0),'Cadastro dos Padrões'!$A$2:$V$4400,AO$1,FALSE))</f>
        <v>-</v>
      </c>
      <c r="AP99" s="31" t="str">
        <f>IF(VLOOKUP(ROUND(CONCATENATE($A99,AP$2),0),'Cadastro dos Padrões'!$A$2:$V$4400,AP$1,FALSE)="","-",VLOOKUP(ROUND(CONCATENATE($A99,AP$2),0),'Cadastro dos Padrões'!$A$2:$V$4400,AP$1,FALSE))</f>
        <v>-</v>
      </c>
      <c r="AQ99" s="31" t="str">
        <f>IF(VLOOKUP(ROUND(CONCATENATE($A99,AQ$2),0),'Cadastro dos Padrões'!$A$2:$V$4400,AQ$1,FALSE)="","-",VLOOKUP(ROUND(CONCATENATE($A99,AQ$2),0),'Cadastro dos Padrões'!$A$2:$V$4400,AQ$1,FALSE))</f>
        <v>-</v>
      </c>
      <c r="AR99" s="31" t="str">
        <f>IF(VLOOKUP(ROUND(CONCATENATE($A99,AR$2),0),'Cadastro dos Padrões'!$A$2:$V$4400,AR$1,FALSE)="","-",VLOOKUP(ROUND(CONCATENATE($A99,AR$2),0),'Cadastro dos Padrões'!$A$2:$V$4400,AR$1,FALSE))</f>
        <v>-</v>
      </c>
      <c r="AS99" s="31" t="str">
        <f>IF(VLOOKUP(ROUND(CONCATENATE($A99,AS$2),0),'Cadastro dos Padrões'!$A$2:$V$4400,AS$1,FALSE)="","-",VLOOKUP(ROUND(CONCATENATE($A99,AS$2),0),'Cadastro dos Padrões'!$A$2:$V$4400,AS$1,FALSE))</f>
        <v>-</v>
      </c>
      <c r="AT99" s="31" t="str">
        <f>IF(VLOOKUP(ROUND(CONCATENATE($A99,AT$2),0),'Cadastro dos Padrões'!$A$2:$V$4400,AT$1,FALSE)="","-",VLOOKUP(ROUND(CONCATENATE($A99,AT$2),0),'Cadastro dos Padrões'!$A$2:$V$4400,AT$1,FALSE))</f>
        <v>-</v>
      </c>
      <c r="AU99" s="31" t="str">
        <f>IF(VLOOKUP(ROUND(CONCATENATE($A99,AU$2),0),'Cadastro dos Padrões'!$A$2:$V$4400,AU$1,FALSE)="","-",VLOOKUP(ROUND(CONCATENATE($A99,AU$2),0),'Cadastro dos Padrões'!$A$2:$V$4400,AU$1,FALSE))</f>
        <v>-</v>
      </c>
      <c r="AV99" s="31" t="str">
        <f>IF(VLOOKUP(ROUND(CONCATENATE($A99,AV$2),0),'Cadastro dos Padrões'!$A$2:$V$4400,AV$1,FALSE)="","-",VLOOKUP(ROUND(CONCATENATE($A99,AV$2),0),'Cadastro dos Padrões'!$A$2:$V$4400,AV$1,FALSE))</f>
        <v>-</v>
      </c>
      <c r="AW99" s="31" t="str">
        <f>IF(VLOOKUP(ROUND(CONCATENATE($A99,AW$2),0),'Cadastro dos Padrões'!$A$2:$V$4400,AW$1,FALSE)="","-",VLOOKUP(ROUND(CONCATENATE($A99,AW$2),0),'Cadastro dos Padrões'!$A$2:$V$4400,AW$1,FALSE))</f>
        <v>-</v>
      </c>
      <c r="AX99" s="31" t="str">
        <f>IF(VLOOKUP(ROUND(CONCATENATE($A99,AX$2),0),'Cadastro dos Padrões'!$A$2:$V$4400,AX$1,FALSE)="","-",VLOOKUP(ROUND(CONCATENATE($A99,AX$2),0),'Cadastro dos Padrões'!$A$2:$V$4400,AX$1,FALSE))</f>
        <v>-</v>
      </c>
      <c r="AY99" s="31" t="str">
        <f>IF(VLOOKUP(ROUND(CONCATENATE($A99,AY$2),0),'Cadastro dos Padrões'!$A$2:$V$4400,AY$1,FALSE)="","-",VLOOKUP(ROUND(CONCATENATE($A99,AY$2),0),'Cadastro dos Padrões'!$A$2:$V$4400,AY$1,FALSE))</f>
        <v>-</v>
      </c>
      <c r="AZ99" s="31" t="str">
        <f>IF(VLOOKUP(ROUND(CONCATENATE($A99,AZ$2),0),'Cadastro dos Padrões'!$A$2:$V$4400,AZ$1,FALSE)="","-",VLOOKUP(ROUND(CONCATENATE($A99,AZ$2),0),'Cadastro dos Padrões'!$A$2:$V$4400,AZ$1,FALSE))</f>
        <v>-</v>
      </c>
      <c r="BA99" s="31" t="str">
        <f>IF(VLOOKUP(ROUND(CONCATENATE($A99,BA$2),0),'Cadastro dos Padrões'!$A$2:$V$4400,BA$1,FALSE)="","-",VLOOKUP(ROUND(CONCATENATE($A99,BA$2),0),'Cadastro dos Padrões'!$A$2:$V$4400,BA$1,FALSE))</f>
        <v>-</v>
      </c>
      <c r="BB99" s="31" t="str">
        <f>IF(VLOOKUP(ROUND(CONCATENATE($A99,BB$2),0),'Cadastro dos Padrões'!$A$2:$V$4400,BB$1,FALSE)="","-",VLOOKUP(ROUND(CONCATENATE($A99,BB$2),0),'Cadastro dos Padrões'!$A$2:$V$4400,BB$1,FALSE))</f>
        <v>-</v>
      </c>
      <c r="BC99" s="31" t="str">
        <f>IF(VLOOKUP(ROUND(CONCATENATE($A99,BC$2),0),'Cadastro dos Padrões'!$A$2:$V$4400,BC$1,FALSE)="","-",VLOOKUP(ROUND(CONCATENATE($A99,BC$2),0),'Cadastro dos Padrões'!$A$2:$V$4400,BC$1,FALSE))</f>
        <v>-</v>
      </c>
      <c r="BD99" s="31" t="str">
        <f>IF(VLOOKUP(ROUND(CONCATENATE($A99,BD$2),0),'Cadastro dos Padrões'!$A$2:$V$4400,BD$1,FALSE)="","-",VLOOKUP(ROUND(CONCATENATE($A99,BD$2),0),'Cadastro dos Padrões'!$A$2:$V$4400,BD$1,FALSE))</f>
        <v>-</v>
      </c>
      <c r="BE99" s="31" t="str">
        <f>IF(VLOOKUP(ROUND(CONCATENATE($A99,BE$2),0),'Cadastro dos Padrões'!$A$2:$V$4400,BE$1,FALSE)="","-",VLOOKUP(ROUND(CONCATENATE($A99,BE$2),0),'Cadastro dos Padrões'!$A$2:$V$4400,BE$1,FALSE))</f>
        <v>-</v>
      </c>
      <c r="BF99" s="31" t="str">
        <f>IF(VLOOKUP(ROUND(CONCATENATE($A99,BF$2),0),'Cadastro dos Padrões'!$A$2:$V$4400,BF$1,FALSE)="","-",VLOOKUP(ROUND(CONCATENATE($A99,BF$2),0),'Cadastro dos Padrões'!$A$2:$V$4400,BF$1,FALSE))</f>
        <v>-</v>
      </c>
      <c r="BG99" s="31" t="str">
        <f>IF(VLOOKUP(ROUND(CONCATENATE($A99,BG$2),0),'Cadastro dos Padrões'!$A$2:$V$4400,BG$1,FALSE)="","-",VLOOKUP(ROUND(CONCATENATE($A99,BG$2),0),'Cadastro dos Padrões'!$A$2:$V$4400,BG$1,FALSE))</f>
        <v>-</v>
      </c>
      <c r="BH99" s="31" t="str">
        <f>IF(VLOOKUP(ROUND(CONCATENATE($A99,BH$2),0),'Cadastro dos Padrões'!$A$2:$V$4400,BH$1,FALSE)="","-",VLOOKUP(ROUND(CONCATENATE($A99,BH$2),0),'Cadastro dos Padrões'!$A$2:$V$4400,BH$1,FALSE))</f>
        <v>-</v>
      </c>
      <c r="BI99" s="31" t="str">
        <f>IF(VLOOKUP(ROUND(CONCATENATE($A99,BI$2),0),'Cadastro dos Padrões'!$A$2:$V$4400,BI$1,FALSE)="","-",VLOOKUP(ROUND(CONCATENATE($A99,BI$2),0),'Cadastro dos Padrões'!$A$2:$V$4400,BI$1,FALSE))</f>
        <v>-</v>
      </c>
      <c r="BJ99" s="31" t="str">
        <f>IF(VLOOKUP(ROUND(CONCATENATE($A99,BJ$2),0),'Cadastro dos Padrões'!$A$2:$V$4400,BJ$1,FALSE)="","-",VLOOKUP(ROUND(CONCATENATE($A99,BJ$2),0),'Cadastro dos Padrões'!$A$2:$V$4400,BJ$1,FALSE))</f>
        <v>-</v>
      </c>
      <c r="BK99" s="31" t="str">
        <f>IF(VLOOKUP(ROUND(CONCATENATE($A99,BK$2),0),'Cadastro dos Padrões'!$A$2:$V$4400,BK$1,FALSE)="","-",VLOOKUP(ROUND(CONCATENATE($A99,BK$2),0),'Cadastro dos Padrões'!$A$2:$V$4400,BK$1,FALSE))</f>
        <v>-</v>
      </c>
      <c r="BL99" s="31" t="str">
        <f>IF(VLOOKUP(ROUND(CONCATENATE($A99,BL$2),0),'Cadastro dos Padrões'!$A$2:$V$4400,BL$1,FALSE)="","-",VLOOKUP(ROUND(CONCATENATE($A99,BL$2),0),'Cadastro dos Padrões'!$A$2:$V$4400,BL$1,FALSE))</f>
        <v>-</v>
      </c>
      <c r="BM99" s="31" t="str">
        <f>IF(VLOOKUP(ROUND(CONCATENATE($A99,BM$2),0),'Cadastro dos Padrões'!$A$2:$V$4400,BM$1,FALSE)="","-",VLOOKUP(ROUND(CONCATENATE($A99,BM$2),0),'Cadastro dos Padrões'!$A$2:$V$4400,BM$1,FALSE))</f>
        <v>-</v>
      </c>
      <c r="BN99" s="31" t="str">
        <f>IF(VLOOKUP(ROUND(CONCATENATE($A99,BN$2),0),'Cadastro dos Padrões'!$A$2:$V$4400,BN$1,FALSE)="","-",VLOOKUP(ROUND(CONCATENATE($A99,BN$2),0),'Cadastro dos Padrões'!$A$2:$V$4400,BN$1,FALSE))</f>
        <v>-</v>
      </c>
      <c r="BO99" s="31" t="str">
        <f>IF(VLOOKUP(ROUND(CONCATENATE($A99,BO$2),0),'Cadastro dos Padrões'!$A$2:$V$4400,BO$1,FALSE)="","-",VLOOKUP(ROUND(CONCATENATE($A99,BO$2),0),'Cadastro dos Padrões'!$A$2:$V$4400,BO$1,FALSE))</f>
        <v>-</v>
      </c>
    </row>
    <row r="100" spans="1:67" x14ac:dyDescent="0.3">
      <c r="A100" s="6">
        <f t="shared" si="52"/>
        <v>95</v>
      </c>
      <c r="B100" s="31" t="str">
        <f>IF(VLOOKUP(ROUND(CONCATENATE($A100,B$2),0),'Cadastro dos Padrões'!$A$2:$V$4400,B$1,FALSE)="","-",VLOOKUP(ROUND(CONCATENATE($A100,B$2),0),'Cadastro dos Padrões'!$A$2:$V$4400,B$1,FALSE))</f>
        <v>-</v>
      </c>
      <c r="C100" s="31" t="str">
        <f>IF($B100="-","-",VLOOKUP(ROUND(CONCATENATE($A100,C$2),0),'Cadastro dos Padrões'!$A$2:$V$4400,C$1,FALSE))</f>
        <v>-</v>
      </c>
      <c r="D100" s="31" t="str">
        <f>IF($B100="-","-",VLOOKUP(ROUND(CONCATENATE($A100,D$2),0),'Cadastro dos Padrões'!$A$2:$V$4400,D$1,FALSE))</f>
        <v>-</v>
      </c>
      <c r="E100" s="31" t="str">
        <f>IF($B100="-","-",VLOOKUP(ROUND(CONCATENATE($A100,E$2),0),'Cadastro dos Padrões'!$A$2:$V$4400,E$1,FALSE))</f>
        <v>-</v>
      </c>
      <c r="F100" s="31" t="str">
        <f>IF($B100="-","-",VLOOKUP(ROUND(CONCATENATE($A100,F$2),0),'Cadastro dos Padrões'!$A$2:$V$4400,F$1,FALSE))</f>
        <v>-</v>
      </c>
      <c r="G100" s="31" t="str">
        <f>IF($B100="-","-",VLOOKUP(ROUND(CONCATENATE($A100,G$2),0),'Cadastro dos Padrões'!$A$2:$V$4400,G$1,FALSE))</f>
        <v>-</v>
      </c>
      <c r="H100" s="32" t="str">
        <f>IF($B100="-","-",VLOOKUP(ROUND(CONCATENATE($A100,H$2),0),'Cadastro dos Padrões'!$A$2:$V$4400,H$1,FALSE))</f>
        <v>-</v>
      </c>
      <c r="I100" s="33" t="str">
        <f>IF($B100="-","-",VLOOKUP(ROUND(CONCATENATE($A100,I$2),0),'Cadastro dos Padrões'!$A$2:$V$4400,I$1,FALSE))</f>
        <v>-</v>
      </c>
      <c r="J100" s="31" t="str">
        <f>IF($B100="-","-",VLOOKUP(ROUND(CONCATENATE($A100,J$2),0),'Cadastro dos Padrões'!$A$2:$V$4400,J$1,FALSE))</f>
        <v>-</v>
      </c>
      <c r="K100" s="31" t="str">
        <f>IF($B100="-","-",VLOOKUP(ROUND(CONCATENATE($A100,K$2),0),'Cadastro dos Padrões'!$A$2:$V$4400,K$1,FALSE))</f>
        <v>-</v>
      </c>
      <c r="L100" s="31" t="str">
        <f>IF($B100="-","-",VLOOKUP(ROUND(CONCATENATE($A100,L$2),0),'Cadastro dos Padrões'!$A$2:$V$4400,L$1,FALSE))</f>
        <v>-</v>
      </c>
      <c r="M100" s="31" t="str">
        <f>IF($B100="-","-",VLOOKUP(ROUND(CONCATENATE($A100,M$2),0),'Cadastro dos Padrões'!$A$2:$V$4400,M$1,FALSE))</f>
        <v>-</v>
      </c>
      <c r="N100" s="31" t="str">
        <f>IF($B100="-","-",VLOOKUP(ROUND(CONCATENATE($A100,N$2),0),'Cadastro dos Padrões'!$A$2:$V$4400,N$1,FALSE))</f>
        <v>-</v>
      </c>
      <c r="O100" s="31" t="str">
        <f>IF($B100="-","-",VLOOKUP(ROUND(CONCATENATE($A100,O$2),0),'Cadastro dos Padrões'!$A$2:$V$4400,O$1,FALSE))</f>
        <v>-</v>
      </c>
      <c r="P100" s="31" t="str">
        <f>IF($B100="-","-",VLOOKUP(ROUND(CONCATENATE($A100,P$2),0),'Cadastro dos Padrões'!$A$2:$V$4400,P$1,FALSE))</f>
        <v>-</v>
      </c>
      <c r="Q100" s="31" t="str">
        <f>IF($B100="-","-",VLOOKUP(ROUND(CONCATENATE($A100,Q$2),0),'Cadastro dos Padrões'!$A$2:$V$4400,Q$1,FALSE))</f>
        <v>-</v>
      </c>
      <c r="R100" s="31" t="str">
        <f>IF($B100="-","-",VLOOKUP(ROUND(CONCATENATE($A100,R$2),0),'Cadastro dos Padrões'!$A$2:$V$4400,R$1,FALSE))</f>
        <v>-</v>
      </c>
      <c r="S100" s="31" t="str">
        <f>IF($B100="-","-",VLOOKUP(ROUND(CONCATENATE($A100,S$2),0),'Cadastro dos Padrões'!$A$2:$V$4400,S$1,FALSE))</f>
        <v>-</v>
      </c>
      <c r="T100" s="31" t="str">
        <f>IF($B100="-","-",VLOOKUP(ROUND(CONCATENATE($A100,T$2),0),'Cadastro dos Padrões'!$A$2:$V$4400,T$1,FALSE))</f>
        <v>-</v>
      </c>
      <c r="U100" s="31" t="str">
        <f>IF($B100="-","-",VLOOKUP(ROUND(CONCATENATE($A100,U$2),0),'Cadastro dos Padrões'!$A$2:$V$4400,U$1,FALSE))</f>
        <v>-</v>
      </c>
      <c r="V100" s="31" t="str">
        <f>IF($B100="-","-",VLOOKUP(ROUND(CONCATENATE($A100,V$2),0),'Cadastro dos Padrões'!$A$2:$V$4400,V$1,FALSE))</f>
        <v>-</v>
      </c>
      <c r="W100" s="31" t="str">
        <f>IF($B100="-","-",VLOOKUP(ROUND(CONCATENATE($A100,W$2),0),'Cadastro dos Padrões'!$A$2:$V$4400,W$1,FALSE))</f>
        <v>-</v>
      </c>
      <c r="X100" s="31" t="str">
        <f>IF($B100="-","-",VLOOKUP(ROUND(CONCATENATE($A100,X$2),0),'Cadastro dos Padrões'!$A$2:$V$4400,X$1,FALSE))</f>
        <v>-</v>
      </c>
      <c r="Y100" s="31" t="str">
        <f>IF($B100="-","-",VLOOKUP(ROUND(CONCATENATE($A100,Y$2),0),'Cadastro dos Padrões'!$A$2:$V$4400,Y$1,FALSE))</f>
        <v>-</v>
      </c>
      <c r="Z100" s="31" t="str">
        <f>IF($B100="-","-",VLOOKUP(ROUND(CONCATENATE($A100,Z$2),0),'Cadastro dos Padrões'!$A$2:$V$4400,Z$1,FALSE))</f>
        <v>-</v>
      </c>
      <c r="AA100" s="31" t="str">
        <f>IF($B100="-","-",VLOOKUP(ROUND(CONCATENATE($A100,AA$2),0),'Cadastro dos Padrões'!$A$2:$V$4400,AA$1,FALSE))</f>
        <v>-</v>
      </c>
      <c r="AB100" s="31" t="str">
        <f>IF(VLOOKUP(ROUND(CONCATENATE($A100,AB$2),0),'Cadastro dos Padrões'!$A$2:$V$4400,AB$1,FALSE)="","-",VLOOKUP(ROUND(CONCATENATE($A100,AB$2),0),'Cadastro dos Padrões'!$A$2:$V$4400,AB$1,FALSE))</f>
        <v>-</v>
      </c>
      <c r="AC100" s="31" t="str">
        <f>IF(VLOOKUP(ROUND(CONCATENATE($A100,AC$2),0),'Cadastro dos Padrões'!$A$2:$V$4400,AC$1,FALSE)="","-",VLOOKUP(ROUND(CONCATENATE($A100,AC$2),0),'Cadastro dos Padrões'!$A$2:$V$4400,AC$1,FALSE))</f>
        <v>-</v>
      </c>
      <c r="AD100" s="31" t="str">
        <f>IF(VLOOKUP(ROUND(CONCATENATE($A100,AD$2),0),'Cadastro dos Padrões'!$A$2:$V$4400,AD$1,FALSE)="","-",VLOOKUP(ROUND(CONCATENATE($A100,AD$2),0),'Cadastro dos Padrões'!$A$2:$V$4400,AD$1,FALSE))</f>
        <v>-</v>
      </c>
      <c r="AE100" s="31" t="str">
        <f>IF(VLOOKUP(ROUND(CONCATENATE($A100,AE$2),0),'Cadastro dos Padrões'!$A$2:$V$4400,AE$1,FALSE)="","-",VLOOKUP(ROUND(CONCATENATE($A100,AE$2),0),'Cadastro dos Padrões'!$A$2:$V$4400,AE$1,FALSE))</f>
        <v>-</v>
      </c>
      <c r="AF100" s="31" t="str">
        <f>IF(VLOOKUP(ROUND(CONCATENATE($A100,AF$2),0),'Cadastro dos Padrões'!$A$2:$V$4400,AF$1,FALSE)="","-",VLOOKUP(ROUND(CONCATENATE($A100,AF$2),0),'Cadastro dos Padrões'!$A$2:$V$4400,AF$1,FALSE))</f>
        <v>-</v>
      </c>
      <c r="AG100" s="31" t="str">
        <f>IF(VLOOKUP(ROUND(CONCATENATE($A100,AG$2),0),'Cadastro dos Padrões'!$A$2:$V$4400,AG$1,FALSE)="","-",VLOOKUP(ROUND(CONCATENATE($A100,AG$2),0),'Cadastro dos Padrões'!$A$2:$V$4400,AG$1,FALSE))</f>
        <v>-</v>
      </c>
      <c r="AH100" s="31" t="str">
        <f>IF(VLOOKUP(ROUND(CONCATENATE($A100,AH$2),0),'Cadastro dos Padrões'!$A$2:$V$4400,AH$1,FALSE)="","-",VLOOKUP(ROUND(CONCATENATE($A100,AH$2),0),'Cadastro dos Padrões'!$A$2:$V$4400,AH$1,FALSE))</f>
        <v>-</v>
      </c>
      <c r="AI100" s="31" t="str">
        <f>IF(VLOOKUP(ROUND(CONCATENATE($A100,AI$2),0),'Cadastro dos Padrões'!$A$2:$V$4400,AI$1,FALSE)="","-",VLOOKUP(ROUND(CONCATENATE($A100,AI$2),0),'Cadastro dos Padrões'!$A$2:$V$4400,AI$1,FALSE))</f>
        <v>-</v>
      </c>
      <c r="AJ100" s="31" t="str">
        <f>IF(VLOOKUP(ROUND(CONCATENATE($A100,AJ$2),0),'Cadastro dos Padrões'!$A$2:$V$4400,AJ$1,FALSE)="","-",VLOOKUP(ROUND(CONCATENATE($A100,AJ$2),0),'Cadastro dos Padrões'!$A$2:$V$4400,AJ$1,FALSE))</f>
        <v>-</v>
      </c>
      <c r="AK100" s="31" t="str">
        <f>IF(VLOOKUP(ROUND(CONCATENATE($A100,AK$2),0),'Cadastro dos Padrões'!$A$2:$V$4400,AK$1,FALSE)="","-",VLOOKUP(ROUND(CONCATENATE($A100,AK$2),0),'Cadastro dos Padrões'!$A$2:$V$4400,AK$1,FALSE))</f>
        <v>-</v>
      </c>
      <c r="AL100" s="31" t="str">
        <f>IF(VLOOKUP(ROUND(CONCATENATE($A100,AL$2),0),'Cadastro dos Padrões'!$A$2:$V$4400,AL$1,FALSE)="","-",VLOOKUP(ROUND(CONCATENATE($A100,AL$2),0),'Cadastro dos Padrões'!$A$2:$V$4400,AL$1,FALSE))</f>
        <v>-</v>
      </c>
      <c r="AM100" s="31" t="str">
        <f>IF(VLOOKUP(ROUND(CONCATENATE($A100,AM$2),0),'Cadastro dos Padrões'!$A$2:$V$4400,AM$1,FALSE)="","-",VLOOKUP(ROUND(CONCATENATE($A100,AM$2),0),'Cadastro dos Padrões'!$A$2:$V$4400,AM$1,FALSE))</f>
        <v>-</v>
      </c>
      <c r="AN100" s="31" t="str">
        <f>IF(VLOOKUP(ROUND(CONCATENATE($A100,AN$2),0),'Cadastro dos Padrões'!$A$2:$V$4400,AN$1,FALSE)="","-",VLOOKUP(ROUND(CONCATENATE($A100,AN$2),0),'Cadastro dos Padrões'!$A$2:$V$4400,AN$1,FALSE))</f>
        <v>-</v>
      </c>
      <c r="AO100" s="31" t="str">
        <f>IF(VLOOKUP(ROUND(CONCATENATE($A100,AO$2),0),'Cadastro dos Padrões'!$A$2:$V$4400,AO$1,FALSE)="","-",VLOOKUP(ROUND(CONCATENATE($A100,AO$2),0),'Cadastro dos Padrões'!$A$2:$V$4400,AO$1,FALSE))</f>
        <v>-</v>
      </c>
      <c r="AP100" s="31" t="str">
        <f>IF(VLOOKUP(ROUND(CONCATENATE($A100,AP$2),0),'Cadastro dos Padrões'!$A$2:$V$4400,AP$1,FALSE)="","-",VLOOKUP(ROUND(CONCATENATE($A100,AP$2),0),'Cadastro dos Padrões'!$A$2:$V$4400,AP$1,FALSE))</f>
        <v>-</v>
      </c>
      <c r="AQ100" s="31" t="str">
        <f>IF(VLOOKUP(ROUND(CONCATENATE($A100,AQ$2),0),'Cadastro dos Padrões'!$A$2:$V$4400,AQ$1,FALSE)="","-",VLOOKUP(ROUND(CONCATENATE($A100,AQ$2),0),'Cadastro dos Padrões'!$A$2:$V$4400,AQ$1,FALSE))</f>
        <v>-</v>
      </c>
      <c r="AR100" s="31" t="str">
        <f>IF(VLOOKUP(ROUND(CONCATENATE($A100,AR$2),0),'Cadastro dos Padrões'!$A$2:$V$4400,AR$1,FALSE)="","-",VLOOKUP(ROUND(CONCATENATE($A100,AR$2),0),'Cadastro dos Padrões'!$A$2:$V$4400,AR$1,FALSE))</f>
        <v>-</v>
      </c>
      <c r="AS100" s="31" t="str">
        <f>IF(VLOOKUP(ROUND(CONCATENATE($A100,AS$2),0),'Cadastro dos Padrões'!$A$2:$V$4400,AS$1,FALSE)="","-",VLOOKUP(ROUND(CONCATENATE($A100,AS$2),0),'Cadastro dos Padrões'!$A$2:$V$4400,AS$1,FALSE))</f>
        <v>-</v>
      </c>
      <c r="AT100" s="31" t="str">
        <f>IF(VLOOKUP(ROUND(CONCATENATE($A100,AT$2),0),'Cadastro dos Padrões'!$A$2:$V$4400,AT$1,FALSE)="","-",VLOOKUP(ROUND(CONCATENATE($A100,AT$2),0),'Cadastro dos Padrões'!$A$2:$V$4400,AT$1,FALSE))</f>
        <v>-</v>
      </c>
      <c r="AU100" s="31" t="str">
        <f>IF(VLOOKUP(ROUND(CONCATENATE($A100,AU$2),0),'Cadastro dos Padrões'!$A$2:$V$4400,AU$1,FALSE)="","-",VLOOKUP(ROUND(CONCATENATE($A100,AU$2),0),'Cadastro dos Padrões'!$A$2:$V$4400,AU$1,FALSE))</f>
        <v>-</v>
      </c>
      <c r="AV100" s="31" t="str">
        <f>IF(VLOOKUP(ROUND(CONCATENATE($A100,AV$2),0),'Cadastro dos Padrões'!$A$2:$V$4400,AV$1,FALSE)="","-",VLOOKUP(ROUND(CONCATENATE($A100,AV$2),0),'Cadastro dos Padrões'!$A$2:$V$4400,AV$1,FALSE))</f>
        <v>-</v>
      </c>
      <c r="AW100" s="31" t="str">
        <f>IF(VLOOKUP(ROUND(CONCATENATE($A100,AW$2),0),'Cadastro dos Padrões'!$A$2:$V$4400,AW$1,FALSE)="","-",VLOOKUP(ROUND(CONCATENATE($A100,AW$2),0),'Cadastro dos Padrões'!$A$2:$V$4400,AW$1,FALSE))</f>
        <v>-</v>
      </c>
      <c r="AX100" s="31" t="str">
        <f>IF(VLOOKUP(ROUND(CONCATENATE($A100,AX$2),0),'Cadastro dos Padrões'!$A$2:$V$4400,AX$1,FALSE)="","-",VLOOKUP(ROUND(CONCATENATE($A100,AX$2),0),'Cadastro dos Padrões'!$A$2:$V$4400,AX$1,FALSE))</f>
        <v>-</v>
      </c>
      <c r="AY100" s="31" t="str">
        <f>IF(VLOOKUP(ROUND(CONCATENATE($A100,AY$2),0),'Cadastro dos Padrões'!$A$2:$V$4400,AY$1,FALSE)="","-",VLOOKUP(ROUND(CONCATENATE($A100,AY$2),0),'Cadastro dos Padrões'!$A$2:$V$4400,AY$1,FALSE))</f>
        <v>-</v>
      </c>
      <c r="AZ100" s="31" t="str">
        <f>IF(VLOOKUP(ROUND(CONCATENATE($A100,AZ$2),0),'Cadastro dos Padrões'!$A$2:$V$4400,AZ$1,FALSE)="","-",VLOOKUP(ROUND(CONCATENATE($A100,AZ$2),0),'Cadastro dos Padrões'!$A$2:$V$4400,AZ$1,FALSE))</f>
        <v>-</v>
      </c>
      <c r="BA100" s="31" t="str">
        <f>IF(VLOOKUP(ROUND(CONCATENATE($A100,BA$2),0),'Cadastro dos Padrões'!$A$2:$V$4400,BA$1,FALSE)="","-",VLOOKUP(ROUND(CONCATENATE($A100,BA$2),0),'Cadastro dos Padrões'!$A$2:$V$4400,BA$1,FALSE))</f>
        <v>-</v>
      </c>
      <c r="BB100" s="31" t="str">
        <f>IF(VLOOKUP(ROUND(CONCATENATE($A100,BB$2),0),'Cadastro dos Padrões'!$A$2:$V$4400,BB$1,FALSE)="","-",VLOOKUP(ROUND(CONCATENATE($A100,BB$2),0),'Cadastro dos Padrões'!$A$2:$V$4400,BB$1,FALSE))</f>
        <v>-</v>
      </c>
      <c r="BC100" s="31" t="str">
        <f>IF(VLOOKUP(ROUND(CONCATENATE($A100,BC$2),0),'Cadastro dos Padrões'!$A$2:$V$4400,BC$1,FALSE)="","-",VLOOKUP(ROUND(CONCATENATE($A100,BC$2),0),'Cadastro dos Padrões'!$A$2:$V$4400,BC$1,FALSE))</f>
        <v>-</v>
      </c>
      <c r="BD100" s="31" t="str">
        <f>IF(VLOOKUP(ROUND(CONCATENATE($A100,BD$2),0),'Cadastro dos Padrões'!$A$2:$V$4400,BD$1,FALSE)="","-",VLOOKUP(ROUND(CONCATENATE($A100,BD$2),0),'Cadastro dos Padrões'!$A$2:$V$4400,BD$1,FALSE))</f>
        <v>-</v>
      </c>
      <c r="BE100" s="31" t="str">
        <f>IF(VLOOKUP(ROUND(CONCATENATE($A100,BE$2),0),'Cadastro dos Padrões'!$A$2:$V$4400,BE$1,FALSE)="","-",VLOOKUP(ROUND(CONCATENATE($A100,BE$2),0),'Cadastro dos Padrões'!$A$2:$V$4400,BE$1,FALSE))</f>
        <v>-</v>
      </c>
      <c r="BF100" s="31" t="str">
        <f>IF(VLOOKUP(ROUND(CONCATENATE($A100,BF$2),0),'Cadastro dos Padrões'!$A$2:$V$4400,BF$1,FALSE)="","-",VLOOKUP(ROUND(CONCATENATE($A100,BF$2),0),'Cadastro dos Padrões'!$A$2:$V$4400,BF$1,FALSE))</f>
        <v>-</v>
      </c>
      <c r="BG100" s="31" t="str">
        <f>IF(VLOOKUP(ROUND(CONCATENATE($A100,BG$2),0),'Cadastro dos Padrões'!$A$2:$V$4400,BG$1,FALSE)="","-",VLOOKUP(ROUND(CONCATENATE($A100,BG$2),0),'Cadastro dos Padrões'!$A$2:$V$4400,BG$1,FALSE))</f>
        <v>-</v>
      </c>
      <c r="BH100" s="31" t="str">
        <f>IF(VLOOKUP(ROUND(CONCATENATE($A100,BH$2),0),'Cadastro dos Padrões'!$A$2:$V$4400,BH$1,FALSE)="","-",VLOOKUP(ROUND(CONCATENATE($A100,BH$2),0),'Cadastro dos Padrões'!$A$2:$V$4400,BH$1,FALSE))</f>
        <v>-</v>
      </c>
      <c r="BI100" s="31" t="str">
        <f>IF(VLOOKUP(ROUND(CONCATENATE($A100,BI$2),0),'Cadastro dos Padrões'!$A$2:$V$4400,BI$1,FALSE)="","-",VLOOKUP(ROUND(CONCATENATE($A100,BI$2),0),'Cadastro dos Padrões'!$A$2:$V$4400,BI$1,FALSE))</f>
        <v>-</v>
      </c>
      <c r="BJ100" s="31" t="str">
        <f>IF(VLOOKUP(ROUND(CONCATENATE($A100,BJ$2),0),'Cadastro dos Padrões'!$A$2:$V$4400,BJ$1,FALSE)="","-",VLOOKUP(ROUND(CONCATENATE($A100,BJ$2),0),'Cadastro dos Padrões'!$A$2:$V$4400,BJ$1,FALSE))</f>
        <v>-</v>
      </c>
      <c r="BK100" s="31" t="str">
        <f>IF(VLOOKUP(ROUND(CONCATENATE($A100,BK$2),0),'Cadastro dos Padrões'!$A$2:$V$4400,BK$1,FALSE)="","-",VLOOKUP(ROUND(CONCATENATE($A100,BK$2),0),'Cadastro dos Padrões'!$A$2:$V$4400,BK$1,FALSE))</f>
        <v>-</v>
      </c>
      <c r="BL100" s="31" t="str">
        <f>IF(VLOOKUP(ROUND(CONCATENATE($A100,BL$2),0),'Cadastro dos Padrões'!$A$2:$V$4400,BL$1,FALSE)="","-",VLOOKUP(ROUND(CONCATENATE($A100,BL$2),0),'Cadastro dos Padrões'!$A$2:$V$4400,BL$1,FALSE))</f>
        <v>-</v>
      </c>
      <c r="BM100" s="31" t="str">
        <f>IF(VLOOKUP(ROUND(CONCATENATE($A100,BM$2),0),'Cadastro dos Padrões'!$A$2:$V$4400,BM$1,FALSE)="","-",VLOOKUP(ROUND(CONCATENATE($A100,BM$2),0),'Cadastro dos Padrões'!$A$2:$V$4400,BM$1,FALSE))</f>
        <v>-</v>
      </c>
      <c r="BN100" s="31" t="str">
        <f>IF(VLOOKUP(ROUND(CONCATENATE($A100,BN$2),0),'Cadastro dos Padrões'!$A$2:$V$4400,BN$1,FALSE)="","-",VLOOKUP(ROUND(CONCATENATE($A100,BN$2),0),'Cadastro dos Padrões'!$A$2:$V$4400,BN$1,FALSE))</f>
        <v>-</v>
      </c>
      <c r="BO100" s="31" t="str">
        <f>IF(VLOOKUP(ROUND(CONCATENATE($A100,BO$2),0),'Cadastro dos Padrões'!$A$2:$V$4400,BO$1,FALSE)="","-",VLOOKUP(ROUND(CONCATENATE($A100,BO$2),0),'Cadastro dos Padrões'!$A$2:$V$4400,BO$1,FALSE))</f>
        <v>-</v>
      </c>
    </row>
    <row r="101" spans="1:67" x14ac:dyDescent="0.3">
      <c r="A101" s="6">
        <f t="shared" si="52"/>
        <v>96</v>
      </c>
      <c r="B101" s="31" t="str">
        <f>IF(VLOOKUP(ROUND(CONCATENATE($A101,B$2),0),'Cadastro dos Padrões'!$A$2:$V$4400,B$1,FALSE)="","-",VLOOKUP(ROUND(CONCATENATE($A101,B$2),0),'Cadastro dos Padrões'!$A$2:$V$4400,B$1,FALSE))</f>
        <v>-</v>
      </c>
      <c r="C101" s="31" t="str">
        <f>IF($B101="-","-",VLOOKUP(ROUND(CONCATENATE($A101,C$2),0),'Cadastro dos Padrões'!$A$2:$V$4400,C$1,FALSE))</f>
        <v>-</v>
      </c>
      <c r="D101" s="31" t="str">
        <f>IF($B101="-","-",VLOOKUP(ROUND(CONCATENATE($A101,D$2),0),'Cadastro dos Padrões'!$A$2:$V$4400,D$1,FALSE))</f>
        <v>-</v>
      </c>
      <c r="E101" s="31" t="str">
        <f>IF($B101="-","-",VLOOKUP(ROUND(CONCATENATE($A101,E$2),0),'Cadastro dos Padrões'!$A$2:$V$4400,E$1,FALSE))</f>
        <v>-</v>
      </c>
      <c r="F101" s="31" t="str">
        <f>IF($B101="-","-",VLOOKUP(ROUND(CONCATENATE($A101,F$2),0),'Cadastro dos Padrões'!$A$2:$V$4400,F$1,FALSE))</f>
        <v>-</v>
      </c>
      <c r="G101" s="31" t="str">
        <f>IF($B101="-","-",VLOOKUP(ROUND(CONCATENATE($A101,G$2),0),'Cadastro dos Padrões'!$A$2:$V$4400,G$1,FALSE))</f>
        <v>-</v>
      </c>
      <c r="H101" s="32" t="str">
        <f>IF($B101="-","-",VLOOKUP(ROUND(CONCATENATE($A101,H$2),0),'Cadastro dos Padrões'!$A$2:$V$4400,H$1,FALSE))</f>
        <v>-</v>
      </c>
      <c r="I101" s="33" t="str">
        <f>IF($B101="-","-",VLOOKUP(ROUND(CONCATENATE($A101,I$2),0),'Cadastro dos Padrões'!$A$2:$V$4400,I$1,FALSE))</f>
        <v>-</v>
      </c>
      <c r="J101" s="31" t="str">
        <f>IF($B101="-","-",VLOOKUP(ROUND(CONCATENATE($A101,J$2),0),'Cadastro dos Padrões'!$A$2:$V$4400,J$1,FALSE))</f>
        <v>-</v>
      </c>
      <c r="K101" s="31" t="str">
        <f>IF($B101="-","-",VLOOKUP(ROUND(CONCATENATE($A101,K$2),0),'Cadastro dos Padrões'!$A$2:$V$4400,K$1,FALSE))</f>
        <v>-</v>
      </c>
      <c r="L101" s="31" t="str">
        <f>IF($B101="-","-",VLOOKUP(ROUND(CONCATENATE($A101,L$2),0),'Cadastro dos Padrões'!$A$2:$V$4400,L$1,FALSE))</f>
        <v>-</v>
      </c>
      <c r="M101" s="31" t="str">
        <f>IF($B101="-","-",VLOOKUP(ROUND(CONCATENATE($A101,M$2),0),'Cadastro dos Padrões'!$A$2:$V$4400,M$1,FALSE))</f>
        <v>-</v>
      </c>
      <c r="N101" s="31" t="str">
        <f>IF($B101="-","-",VLOOKUP(ROUND(CONCATENATE($A101,N$2),0),'Cadastro dos Padrões'!$A$2:$V$4400,N$1,FALSE))</f>
        <v>-</v>
      </c>
      <c r="O101" s="31" t="str">
        <f>IF($B101="-","-",VLOOKUP(ROUND(CONCATENATE($A101,O$2),0),'Cadastro dos Padrões'!$A$2:$V$4400,O$1,FALSE))</f>
        <v>-</v>
      </c>
      <c r="P101" s="31" t="str">
        <f>IF($B101="-","-",VLOOKUP(ROUND(CONCATENATE($A101,P$2),0),'Cadastro dos Padrões'!$A$2:$V$4400,P$1,FALSE))</f>
        <v>-</v>
      </c>
      <c r="Q101" s="31" t="str">
        <f>IF($B101="-","-",VLOOKUP(ROUND(CONCATENATE($A101,Q$2),0),'Cadastro dos Padrões'!$A$2:$V$4400,Q$1,FALSE))</f>
        <v>-</v>
      </c>
      <c r="R101" s="31" t="str">
        <f>IF($B101="-","-",VLOOKUP(ROUND(CONCATENATE($A101,R$2),0),'Cadastro dos Padrões'!$A$2:$V$4400,R$1,FALSE))</f>
        <v>-</v>
      </c>
      <c r="S101" s="31" t="str">
        <f>IF($B101="-","-",VLOOKUP(ROUND(CONCATENATE($A101,S$2),0),'Cadastro dos Padrões'!$A$2:$V$4400,S$1,FALSE))</f>
        <v>-</v>
      </c>
      <c r="T101" s="31" t="str">
        <f>IF($B101="-","-",VLOOKUP(ROUND(CONCATENATE($A101,T$2),0),'Cadastro dos Padrões'!$A$2:$V$4400,T$1,FALSE))</f>
        <v>-</v>
      </c>
      <c r="U101" s="31" t="str">
        <f>IF($B101="-","-",VLOOKUP(ROUND(CONCATENATE($A101,U$2),0),'Cadastro dos Padrões'!$A$2:$V$4400,U$1,FALSE))</f>
        <v>-</v>
      </c>
      <c r="V101" s="31" t="str">
        <f>IF($B101="-","-",VLOOKUP(ROUND(CONCATENATE($A101,V$2),0),'Cadastro dos Padrões'!$A$2:$V$4400,V$1,FALSE))</f>
        <v>-</v>
      </c>
      <c r="W101" s="31" t="str">
        <f>IF($B101="-","-",VLOOKUP(ROUND(CONCATENATE($A101,W$2),0),'Cadastro dos Padrões'!$A$2:$V$4400,W$1,FALSE))</f>
        <v>-</v>
      </c>
      <c r="X101" s="31" t="str">
        <f>IF($B101="-","-",VLOOKUP(ROUND(CONCATENATE($A101,X$2),0),'Cadastro dos Padrões'!$A$2:$V$4400,X$1,FALSE))</f>
        <v>-</v>
      </c>
      <c r="Y101" s="31" t="str">
        <f>IF($B101="-","-",VLOOKUP(ROUND(CONCATENATE($A101,Y$2),0),'Cadastro dos Padrões'!$A$2:$V$4400,Y$1,FALSE))</f>
        <v>-</v>
      </c>
      <c r="Z101" s="31" t="str">
        <f>IF($B101="-","-",VLOOKUP(ROUND(CONCATENATE($A101,Z$2),0),'Cadastro dos Padrões'!$A$2:$V$4400,Z$1,FALSE))</f>
        <v>-</v>
      </c>
      <c r="AA101" s="31" t="str">
        <f>IF($B101="-","-",VLOOKUP(ROUND(CONCATENATE($A101,AA$2),0),'Cadastro dos Padrões'!$A$2:$V$4400,AA$1,FALSE))</f>
        <v>-</v>
      </c>
      <c r="AB101" s="31" t="str">
        <f>IF(VLOOKUP(ROUND(CONCATENATE($A101,AB$2),0),'Cadastro dos Padrões'!$A$2:$V$4400,AB$1,FALSE)="","-",VLOOKUP(ROUND(CONCATENATE($A101,AB$2),0),'Cadastro dos Padrões'!$A$2:$V$4400,AB$1,FALSE))</f>
        <v>-</v>
      </c>
      <c r="AC101" s="31" t="str">
        <f>IF(VLOOKUP(ROUND(CONCATENATE($A101,AC$2),0),'Cadastro dos Padrões'!$A$2:$V$4400,AC$1,FALSE)="","-",VLOOKUP(ROUND(CONCATENATE($A101,AC$2),0),'Cadastro dos Padrões'!$A$2:$V$4400,AC$1,FALSE))</f>
        <v>-</v>
      </c>
      <c r="AD101" s="31" t="str">
        <f>IF(VLOOKUP(ROUND(CONCATENATE($A101,AD$2),0),'Cadastro dos Padrões'!$A$2:$V$4400,AD$1,FALSE)="","-",VLOOKUP(ROUND(CONCATENATE($A101,AD$2),0),'Cadastro dos Padrões'!$A$2:$V$4400,AD$1,FALSE))</f>
        <v>-</v>
      </c>
      <c r="AE101" s="31" t="str">
        <f>IF(VLOOKUP(ROUND(CONCATENATE($A101,AE$2),0),'Cadastro dos Padrões'!$A$2:$V$4400,AE$1,FALSE)="","-",VLOOKUP(ROUND(CONCATENATE($A101,AE$2),0),'Cadastro dos Padrões'!$A$2:$V$4400,AE$1,FALSE))</f>
        <v>-</v>
      </c>
      <c r="AF101" s="31" t="str">
        <f>IF(VLOOKUP(ROUND(CONCATENATE($A101,AF$2),0),'Cadastro dos Padrões'!$A$2:$V$4400,AF$1,FALSE)="","-",VLOOKUP(ROUND(CONCATENATE($A101,AF$2),0),'Cadastro dos Padrões'!$A$2:$V$4400,AF$1,FALSE))</f>
        <v>-</v>
      </c>
      <c r="AG101" s="31" t="str">
        <f>IF(VLOOKUP(ROUND(CONCATENATE($A101,AG$2),0),'Cadastro dos Padrões'!$A$2:$V$4400,AG$1,FALSE)="","-",VLOOKUP(ROUND(CONCATENATE($A101,AG$2),0),'Cadastro dos Padrões'!$A$2:$V$4400,AG$1,FALSE))</f>
        <v>-</v>
      </c>
      <c r="AH101" s="31" t="str">
        <f>IF(VLOOKUP(ROUND(CONCATENATE($A101,AH$2),0),'Cadastro dos Padrões'!$A$2:$V$4400,AH$1,FALSE)="","-",VLOOKUP(ROUND(CONCATENATE($A101,AH$2),0),'Cadastro dos Padrões'!$A$2:$V$4400,AH$1,FALSE))</f>
        <v>-</v>
      </c>
      <c r="AI101" s="31" t="str">
        <f>IF(VLOOKUP(ROUND(CONCATENATE($A101,AI$2),0),'Cadastro dos Padrões'!$A$2:$V$4400,AI$1,FALSE)="","-",VLOOKUP(ROUND(CONCATENATE($A101,AI$2),0),'Cadastro dos Padrões'!$A$2:$V$4400,AI$1,FALSE))</f>
        <v>-</v>
      </c>
      <c r="AJ101" s="31" t="str">
        <f>IF(VLOOKUP(ROUND(CONCATENATE($A101,AJ$2),0),'Cadastro dos Padrões'!$A$2:$V$4400,AJ$1,FALSE)="","-",VLOOKUP(ROUND(CONCATENATE($A101,AJ$2),0),'Cadastro dos Padrões'!$A$2:$V$4400,AJ$1,FALSE))</f>
        <v>-</v>
      </c>
      <c r="AK101" s="31" t="str">
        <f>IF(VLOOKUP(ROUND(CONCATENATE($A101,AK$2),0),'Cadastro dos Padrões'!$A$2:$V$4400,AK$1,FALSE)="","-",VLOOKUP(ROUND(CONCATENATE($A101,AK$2),0),'Cadastro dos Padrões'!$A$2:$V$4400,AK$1,FALSE))</f>
        <v>-</v>
      </c>
      <c r="AL101" s="31" t="str">
        <f>IF(VLOOKUP(ROUND(CONCATENATE($A101,AL$2),0),'Cadastro dos Padrões'!$A$2:$V$4400,AL$1,FALSE)="","-",VLOOKUP(ROUND(CONCATENATE($A101,AL$2),0),'Cadastro dos Padrões'!$A$2:$V$4400,AL$1,FALSE))</f>
        <v>-</v>
      </c>
      <c r="AM101" s="31" t="str">
        <f>IF(VLOOKUP(ROUND(CONCATENATE($A101,AM$2),0),'Cadastro dos Padrões'!$A$2:$V$4400,AM$1,FALSE)="","-",VLOOKUP(ROUND(CONCATENATE($A101,AM$2),0),'Cadastro dos Padrões'!$A$2:$V$4400,AM$1,FALSE))</f>
        <v>-</v>
      </c>
      <c r="AN101" s="31" t="str">
        <f>IF(VLOOKUP(ROUND(CONCATENATE($A101,AN$2),0),'Cadastro dos Padrões'!$A$2:$V$4400,AN$1,FALSE)="","-",VLOOKUP(ROUND(CONCATENATE($A101,AN$2),0),'Cadastro dos Padrões'!$A$2:$V$4400,AN$1,FALSE))</f>
        <v>-</v>
      </c>
      <c r="AO101" s="31" t="str">
        <f>IF(VLOOKUP(ROUND(CONCATENATE($A101,AO$2),0),'Cadastro dos Padrões'!$A$2:$V$4400,AO$1,FALSE)="","-",VLOOKUP(ROUND(CONCATENATE($A101,AO$2),0),'Cadastro dos Padrões'!$A$2:$V$4400,AO$1,FALSE))</f>
        <v>-</v>
      </c>
      <c r="AP101" s="31" t="str">
        <f>IF(VLOOKUP(ROUND(CONCATENATE($A101,AP$2),0),'Cadastro dos Padrões'!$A$2:$V$4400,AP$1,FALSE)="","-",VLOOKUP(ROUND(CONCATENATE($A101,AP$2),0),'Cadastro dos Padrões'!$A$2:$V$4400,AP$1,FALSE))</f>
        <v>-</v>
      </c>
      <c r="AQ101" s="31" t="str">
        <f>IF(VLOOKUP(ROUND(CONCATENATE($A101,AQ$2),0),'Cadastro dos Padrões'!$A$2:$V$4400,AQ$1,FALSE)="","-",VLOOKUP(ROUND(CONCATENATE($A101,AQ$2),0),'Cadastro dos Padrões'!$A$2:$V$4400,AQ$1,FALSE))</f>
        <v>-</v>
      </c>
      <c r="AR101" s="31" t="str">
        <f>IF(VLOOKUP(ROUND(CONCATENATE($A101,AR$2),0),'Cadastro dos Padrões'!$A$2:$V$4400,AR$1,FALSE)="","-",VLOOKUP(ROUND(CONCATENATE($A101,AR$2),0),'Cadastro dos Padrões'!$A$2:$V$4400,AR$1,FALSE))</f>
        <v>-</v>
      </c>
      <c r="AS101" s="31" t="str">
        <f>IF(VLOOKUP(ROUND(CONCATENATE($A101,AS$2),0),'Cadastro dos Padrões'!$A$2:$V$4400,AS$1,FALSE)="","-",VLOOKUP(ROUND(CONCATENATE($A101,AS$2),0),'Cadastro dos Padrões'!$A$2:$V$4400,AS$1,FALSE))</f>
        <v>-</v>
      </c>
      <c r="AT101" s="31" t="str">
        <f>IF(VLOOKUP(ROUND(CONCATENATE($A101,AT$2),0),'Cadastro dos Padrões'!$A$2:$V$4400,AT$1,FALSE)="","-",VLOOKUP(ROUND(CONCATENATE($A101,AT$2),0),'Cadastro dos Padrões'!$A$2:$V$4400,AT$1,FALSE))</f>
        <v>-</v>
      </c>
      <c r="AU101" s="31" t="str">
        <f>IF(VLOOKUP(ROUND(CONCATENATE($A101,AU$2),0),'Cadastro dos Padrões'!$A$2:$V$4400,AU$1,FALSE)="","-",VLOOKUP(ROUND(CONCATENATE($A101,AU$2),0),'Cadastro dos Padrões'!$A$2:$V$4400,AU$1,FALSE))</f>
        <v>-</v>
      </c>
      <c r="AV101" s="31" t="str">
        <f>IF(VLOOKUP(ROUND(CONCATENATE($A101,AV$2),0),'Cadastro dos Padrões'!$A$2:$V$4400,AV$1,FALSE)="","-",VLOOKUP(ROUND(CONCATENATE($A101,AV$2),0),'Cadastro dos Padrões'!$A$2:$V$4400,AV$1,FALSE))</f>
        <v>-</v>
      </c>
      <c r="AW101" s="31" t="str">
        <f>IF(VLOOKUP(ROUND(CONCATENATE($A101,AW$2),0),'Cadastro dos Padrões'!$A$2:$V$4400,AW$1,FALSE)="","-",VLOOKUP(ROUND(CONCATENATE($A101,AW$2),0),'Cadastro dos Padrões'!$A$2:$V$4400,AW$1,FALSE))</f>
        <v>-</v>
      </c>
      <c r="AX101" s="31" t="str">
        <f>IF(VLOOKUP(ROUND(CONCATENATE($A101,AX$2),0),'Cadastro dos Padrões'!$A$2:$V$4400,AX$1,FALSE)="","-",VLOOKUP(ROUND(CONCATENATE($A101,AX$2),0),'Cadastro dos Padrões'!$A$2:$V$4400,AX$1,FALSE))</f>
        <v>-</v>
      </c>
      <c r="AY101" s="31" t="str">
        <f>IF(VLOOKUP(ROUND(CONCATENATE($A101,AY$2),0),'Cadastro dos Padrões'!$A$2:$V$4400,AY$1,FALSE)="","-",VLOOKUP(ROUND(CONCATENATE($A101,AY$2),0),'Cadastro dos Padrões'!$A$2:$V$4400,AY$1,FALSE))</f>
        <v>-</v>
      </c>
      <c r="AZ101" s="31" t="str">
        <f>IF(VLOOKUP(ROUND(CONCATENATE($A101,AZ$2),0),'Cadastro dos Padrões'!$A$2:$V$4400,AZ$1,FALSE)="","-",VLOOKUP(ROUND(CONCATENATE($A101,AZ$2),0),'Cadastro dos Padrões'!$A$2:$V$4400,AZ$1,FALSE))</f>
        <v>-</v>
      </c>
      <c r="BA101" s="31" t="str">
        <f>IF(VLOOKUP(ROUND(CONCATENATE($A101,BA$2),0),'Cadastro dos Padrões'!$A$2:$V$4400,BA$1,FALSE)="","-",VLOOKUP(ROUND(CONCATENATE($A101,BA$2),0),'Cadastro dos Padrões'!$A$2:$V$4400,BA$1,FALSE))</f>
        <v>-</v>
      </c>
      <c r="BB101" s="31" t="str">
        <f>IF(VLOOKUP(ROUND(CONCATENATE($A101,BB$2),0),'Cadastro dos Padrões'!$A$2:$V$4400,BB$1,FALSE)="","-",VLOOKUP(ROUND(CONCATENATE($A101,BB$2),0),'Cadastro dos Padrões'!$A$2:$V$4400,BB$1,FALSE))</f>
        <v>-</v>
      </c>
      <c r="BC101" s="31" t="str">
        <f>IF(VLOOKUP(ROUND(CONCATENATE($A101,BC$2),0),'Cadastro dos Padrões'!$A$2:$V$4400,BC$1,FALSE)="","-",VLOOKUP(ROUND(CONCATENATE($A101,BC$2),0),'Cadastro dos Padrões'!$A$2:$V$4400,BC$1,FALSE))</f>
        <v>-</v>
      </c>
      <c r="BD101" s="31" t="str">
        <f>IF(VLOOKUP(ROUND(CONCATENATE($A101,BD$2),0),'Cadastro dos Padrões'!$A$2:$V$4400,BD$1,FALSE)="","-",VLOOKUP(ROUND(CONCATENATE($A101,BD$2),0),'Cadastro dos Padrões'!$A$2:$V$4400,BD$1,FALSE))</f>
        <v>-</v>
      </c>
      <c r="BE101" s="31" t="str">
        <f>IF(VLOOKUP(ROUND(CONCATENATE($A101,BE$2),0),'Cadastro dos Padrões'!$A$2:$V$4400,BE$1,FALSE)="","-",VLOOKUP(ROUND(CONCATENATE($A101,BE$2),0),'Cadastro dos Padrões'!$A$2:$V$4400,BE$1,FALSE))</f>
        <v>-</v>
      </c>
      <c r="BF101" s="31" t="str">
        <f>IF(VLOOKUP(ROUND(CONCATENATE($A101,BF$2),0),'Cadastro dos Padrões'!$A$2:$V$4400,BF$1,FALSE)="","-",VLOOKUP(ROUND(CONCATENATE($A101,BF$2),0),'Cadastro dos Padrões'!$A$2:$V$4400,BF$1,FALSE))</f>
        <v>-</v>
      </c>
      <c r="BG101" s="31" t="str">
        <f>IF(VLOOKUP(ROUND(CONCATENATE($A101,BG$2),0),'Cadastro dos Padrões'!$A$2:$V$4400,BG$1,FALSE)="","-",VLOOKUP(ROUND(CONCATENATE($A101,BG$2),0),'Cadastro dos Padrões'!$A$2:$V$4400,BG$1,FALSE))</f>
        <v>-</v>
      </c>
      <c r="BH101" s="31" t="str">
        <f>IF(VLOOKUP(ROUND(CONCATENATE($A101,BH$2),0),'Cadastro dos Padrões'!$A$2:$V$4400,BH$1,FALSE)="","-",VLOOKUP(ROUND(CONCATENATE($A101,BH$2),0),'Cadastro dos Padrões'!$A$2:$V$4400,BH$1,FALSE))</f>
        <v>-</v>
      </c>
      <c r="BI101" s="31" t="str">
        <f>IF(VLOOKUP(ROUND(CONCATENATE($A101,BI$2),0),'Cadastro dos Padrões'!$A$2:$V$4400,BI$1,FALSE)="","-",VLOOKUP(ROUND(CONCATENATE($A101,BI$2),0),'Cadastro dos Padrões'!$A$2:$V$4400,BI$1,FALSE))</f>
        <v>-</v>
      </c>
      <c r="BJ101" s="31" t="str">
        <f>IF(VLOOKUP(ROUND(CONCATENATE($A101,BJ$2),0),'Cadastro dos Padrões'!$A$2:$V$4400,BJ$1,FALSE)="","-",VLOOKUP(ROUND(CONCATENATE($A101,BJ$2),0),'Cadastro dos Padrões'!$A$2:$V$4400,BJ$1,FALSE))</f>
        <v>-</v>
      </c>
      <c r="BK101" s="31" t="str">
        <f>IF(VLOOKUP(ROUND(CONCATENATE($A101,BK$2),0),'Cadastro dos Padrões'!$A$2:$V$4400,BK$1,FALSE)="","-",VLOOKUP(ROUND(CONCATENATE($A101,BK$2),0),'Cadastro dos Padrões'!$A$2:$V$4400,BK$1,FALSE))</f>
        <v>-</v>
      </c>
      <c r="BL101" s="31" t="str">
        <f>IF(VLOOKUP(ROUND(CONCATENATE($A101,BL$2),0),'Cadastro dos Padrões'!$A$2:$V$4400,BL$1,FALSE)="","-",VLOOKUP(ROUND(CONCATENATE($A101,BL$2),0),'Cadastro dos Padrões'!$A$2:$V$4400,BL$1,FALSE))</f>
        <v>-</v>
      </c>
      <c r="BM101" s="31" t="str">
        <f>IF(VLOOKUP(ROUND(CONCATENATE($A101,BM$2),0),'Cadastro dos Padrões'!$A$2:$V$4400,BM$1,FALSE)="","-",VLOOKUP(ROUND(CONCATENATE($A101,BM$2),0),'Cadastro dos Padrões'!$A$2:$V$4400,BM$1,FALSE))</f>
        <v>-</v>
      </c>
      <c r="BN101" s="31" t="str">
        <f>IF(VLOOKUP(ROUND(CONCATENATE($A101,BN$2),0),'Cadastro dos Padrões'!$A$2:$V$4400,BN$1,FALSE)="","-",VLOOKUP(ROUND(CONCATENATE($A101,BN$2),0),'Cadastro dos Padrões'!$A$2:$V$4400,BN$1,FALSE))</f>
        <v>-</v>
      </c>
      <c r="BO101" s="31" t="str">
        <f>IF(VLOOKUP(ROUND(CONCATENATE($A101,BO$2),0),'Cadastro dos Padrões'!$A$2:$V$4400,BO$1,FALSE)="","-",VLOOKUP(ROUND(CONCATENATE($A101,BO$2),0),'Cadastro dos Padrões'!$A$2:$V$4400,BO$1,FALSE))</f>
        <v>-</v>
      </c>
    </row>
    <row r="102" spans="1:67" x14ac:dyDescent="0.3">
      <c r="A102" s="6">
        <f t="shared" si="52"/>
        <v>97</v>
      </c>
      <c r="B102" s="31" t="str">
        <f>IF(VLOOKUP(ROUND(CONCATENATE($A102,B$2),0),'Cadastro dos Padrões'!$A$2:$V$4400,B$1,FALSE)="","-",VLOOKUP(ROUND(CONCATENATE($A102,B$2),0),'Cadastro dos Padrões'!$A$2:$V$4400,B$1,FALSE))</f>
        <v>-</v>
      </c>
      <c r="C102" s="31" t="str">
        <f>IF($B102="-","-",VLOOKUP(ROUND(CONCATENATE($A102,C$2),0),'Cadastro dos Padrões'!$A$2:$V$4400,C$1,FALSE))</f>
        <v>-</v>
      </c>
      <c r="D102" s="31" t="str">
        <f>IF($B102="-","-",VLOOKUP(ROUND(CONCATENATE($A102,D$2),0),'Cadastro dos Padrões'!$A$2:$V$4400,D$1,FALSE))</f>
        <v>-</v>
      </c>
      <c r="E102" s="31" t="str">
        <f>IF($B102="-","-",VLOOKUP(ROUND(CONCATENATE($A102,E$2),0),'Cadastro dos Padrões'!$A$2:$V$4400,E$1,FALSE))</f>
        <v>-</v>
      </c>
      <c r="F102" s="31" t="str">
        <f>IF($B102="-","-",VLOOKUP(ROUND(CONCATENATE($A102,F$2),0),'Cadastro dos Padrões'!$A$2:$V$4400,F$1,FALSE))</f>
        <v>-</v>
      </c>
      <c r="G102" s="31" t="str">
        <f>IF($B102="-","-",VLOOKUP(ROUND(CONCATENATE($A102,G$2),0),'Cadastro dos Padrões'!$A$2:$V$4400,G$1,FALSE))</f>
        <v>-</v>
      </c>
      <c r="H102" s="32" t="str">
        <f>IF($B102="-","-",VLOOKUP(ROUND(CONCATENATE($A102,H$2),0),'Cadastro dos Padrões'!$A$2:$V$4400,H$1,FALSE))</f>
        <v>-</v>
      </c>
      <c r="I102" s="33" t="str">
        <f>IF($B102="-","-",VLOOKUP(ROUND(CONCATENATE($A102,I$2),0),'Cadastro dos Padrões'!$A$2:$V$4400,I$1,FALSE))</f>
        <v>-</v>
      </c>
      <c r="J102" s="31" t="str">
        <f>IF($B102="-","-",VLOOKUP(ROUND(CONCATENATE($A102,J$2),0),'Cadastro dos Padrões'!$A$2:$V$4400,J$1,FALSE))</f>
        <v>-</v>
      </c>
      <c r="K102" s="31" t="str">
        <f>IF($B102="-","-",VLOOKUP(ROUND(CONCATENATE($A102,K$2),0),'Cadastro dos Padrões'!$A$2:$V$4400,K$1,FALSE))</f>
        <v>-</v>
      </c>
      <c r="L102" s="31" t="str">
        <f>IF($B102="-","-",VLOOKUP(ROUND(CONCATENATE($A102,L$2),0),'Cadastro dos Padrões'!$A$2:$V$4400,L$1,FALSE))</f>
        <v>-</v>
      </c>
      <c r="M102" s="31" t="str">
        <f>IF($B102="-","-",VLOOKUP(ROUND(CONCATENATE($A102,M$2),0),'Cadastro dos Padrões'!$A$2:$V$4400,M$1,FALSE))</f>
        <v>-</v>
      </c>
      <c r="N102" s="31" t="str">
        <f>IF($B102="-","-",VLOOKUP(ROUND(CONCATENATE($A102,N$2),0),'Cadastro dos Padrões'!$A$2:$V$4400,N$1,FALSE))</f>
        <v>-</v>
      </c>
      <c r="O102" s="31" t="str">
        <f>IF($B102="-","-",VLOOKUP(ROUND(CONCATENATE($A102,O$2),0),'Cadastro dos Padrões'!$A$2:$V$4400,O$1,FALSE))</f>
        <v>-</v>
      </c>
      <c r="P102" s="31" t="str">
        <f>IF($B102="-","-",VLOOKUP(ROUND(CONCATENATE($A102,P$2),0),'Cadastro dos Padrões'!$A$2:$V$4400,P$1,FALSE))</f>
        <v>-</v>
      </c>
      <c r="Q102" s="31" t="str">
        <f>IF($B102="-","-",VLOOKUP(ROUND(CONCATENATE($A102,Q$2),0),'Cadastro dos Padrões'!$A$2:$V$4400,Q$1,FALSE))</f>
        <v>-</v>
      </c>
      <c r="R102" s="31" t="str">
        <f>IF($B102="-","-",VLOOKUP(ROUND(CONCATENATE($A102,R$2),0),'Cadastro dos Padrões'!$A$2:$V$4400,R$1,FALSE))</f>
        <v>-</v>
      </c>
      <c r="S102" s="31" t="str">
        <f>IF($B102="-","-",VLOOKUP(ROUND(CONCATENATE($A102,S$2),0),'Cadastro dos Padrões'!$A$2:$V$4400,S$1,FALSE))</f>
        <v>-</v>
      </c>
      <c r="T102" s="31" t="str">
        <f>IF($B102="-","-",VLOOKUP(ROUND(CONCATENATE($A102,T$2),0),'Cadastro dos Padrões'!$A$2:$V$4400,T$1,FALSE))</f>
        <v>-</v>
      </c>
      <c r="U102" s="31" t="str">
        <f>IF($B102="-","-",VLOOKUP(ROUND(CONCATENATE($A102,U$2),0),'Cadastro dos Padrões'!$A$2:$V$4400,U$1,FALSE))</f>
        <v>-</v>
      </c>
      <c r="V102" s="31" t="str">
        <f>IF($B102="-","-",VLOOKUP(ROUND(CONCATENATE($A102,V$2),0),'Cadastro dos Padrões'!$A$2:$V$4400,V$1,FALSE))</f>
        <v>-</v>
      </c>
      <c r="W102" s="31" t="str">
        <f>IF($B102="-","-",VLOOKUP(ROUND(CONCATENATE($A102,W$2),0),'Cadastro dos Padrões'!$A$2:$V$4400,W$1,FALSE))</f>
        <v>-</v>
      </c>
      <c r="X102" s="31" t="str">
        <f>IF($B102="-","-",VLOOKUP(ROUND(CONCATENATE($A102,X$2),0),'Cadastro dos Padrões'!$A$2:$V$4400,X$1,FALSE))</f>
        <v>-</v>
      </c>
      <c r="Y102" s="31" t="str">
        <f>IF($B102="-","-",VLOOKUP(ROUND(CONCATENATE($A102,Y$2),0),'Cadastro dos Padrões'!$A$2:$V$4400,Y$1,FALSE))</f>
        <v>-</v>
      </c>
      <c r="Z102" s="31" t="str">
        <f>IF($B102="-","-",VLOOKUP(ROUND(CONCATENATE($A102,Z$2),0),'Cadastro dos Padrões'!$A$2:$V$4400,Z$1,FALSE))</f>
        <v>-</v>
      </c>
      <c r="AA102" s="31" t="str">
        <f>IF($B102="-","-",VLOOKUP(ROUND(CONCATENATE($A102,AA$2),0),'Cadastro dos Padrões'!$A$2:$V$4400,AA$1,FALSE))</f>
        <v>-</v>
      </c>
      <c r="AB102" s="31" t="str">
        <f>IF(VLOOKUP(ROUND(CONCATENATE($A102,AB$2),0),'Cadastro dos Padrões'!$A$2:$V$4400,AB$1,FALSE)="","-",VLOOKUP(ROUND(CONCATENATE($A102,AB$2),0),'Cadastro dos Padrões'!$A$2:$V$4400,AB$1,FALSE))</f>
        <v>-</v>
      </c>
      <c r="AC102" s="31" t="str">
        <f>IF(VLOOKUP(ROUND(CONCATENATE($A102,AC$2),0),'Cadastro dos Padrões'!$A$2:$V$4400,AC$1,FALSE)="","-",VLOOKUP(ROUND(CONCATENATE($A102,AC$2),0),'Cadastro dos Padrões'!$A$2:$V$4400,AC$1,FALSE))</f>
        <v>-</v>
      </c>
      <c r="AD102" s="31" t="str">
        <f>IF(VLOOKUP(ROUND(CONCATENATE($A102,AD$2),0),'Cadastro dos Padrões'!$A$2:$V$4400,AD$1,FALSE)="","-",VLOOKUP(ROUND(CONCATENATE($A102,AD$2),0),'Cadastro dos Padrões'!$A$2:$V$4400,AD$1,FALSE))</f>
        <v>-</v>
      </c>
      <c r="AE102" s="31" t="str">
        <f>IF(VLOOKUP(ROUND(CONCATENATE($A102,AE$2),0),'Cadastro dos Padrões'!$A$2:$V$4400,AE$1,FALSE)="","-",VLOOKUP(ROUND(CONCATENATE($A102,AE$2),0),'Cadastro dos Padrões'!$A$2:$V$4400,AE$1,FALSE))</f>
        <v>-</v>
      </c>
      <c r="AF102" s="31" t="str">
        <f>IF(VLOOKUP(ROUND(CONCATENATE($A102,AF$2),0),'Cadastro dos Padrões'!$A$2:$V$4400,AF$1,FALSE)="","-",VLOOKUP(ROUND(CONCATENATE($A102,AF$2),0),'Cadastro dos Padrões'!$A$2:$V$4400,AF$1,FALSE))</f>
        <v>-</v>
      </c>
      <c r="AG102" s="31" t="str">
        <f>IF(VLOOKUP(ROUND(CONCATENATE($A102,AG$2),0),'Cadastro dos Padrões'!$A$2:$V$4400,AG$1,FALSE)="","-",VLOOKUP(ROUND(CONCATENATE($A102,AG$2),0),'Cadastro dos Padrões'!$A$2:$V$4400,AG$1,FALSE))</f>
        <v>-</v>
      </c>
      <c r="AH102" s="31" t="str">
        <f>IF(VLOOKUP(ROUND(CONCATENATE($A102,AH$2),0),'Cadastro dos Padrões'!$A$2:$V$4400,AH$1,FALSE)="","-",VLOOKUP(ROUND(CONCATENATE($A102,AH$2),0),'Cadastro dos Padrões'!$A$2:$V$4400,AH$1,FALSE))</f>
        <v>-</v>
      </c>
      <c r="AI102" s="31" t="str">
        <f>IF(VLOOKUP(ROUND(CONCATENATE($A102,AI$2),0),'Cadastro dos Padrões'!$A$2:$V$4400,AI$1,FALSE)="","-",VLOOKUP(ROUND(CONCATENATE($A102,AI$2),0),'Cadastro dos Padrões'!$A$2:$V$4400,AI$1,FALSE))</f>
        <v>-</v>
      </c>
      <c r="AJ102" s="31" t="str">
        <f>IF(VLOOKUP(ROUND(CONCATENATE($A102,AJ$2),0),'Cadastro dos Padrões'!$A$2:$V$4400,AJ$1,FALSE)="","-",VLOOKUP(ROUND(CONCATENATE($A102,AJ$2),0),'Cadastro dos Padrões'!$A$2:$V$4400,AJ$1,FALSE))</f>
        <v>-</v>
      </c>
      <c r="AK102" s="31" t="str">
        <f>IF(VLOOKUP(ROUND(CONCATENATE($A102,AK$2),0),'Cadastro dos Padrões'!$A$2:$V$4400,AK$1,FALSE)="","-",VLOOKUP(ROUND(CONCATENATE($A102,AK$2),0),'Cadastro dos Padrões'!$A$2:$V$4400,AK$1,FALSE))</f>
        <v>-</v>
      </c>
      <c r="AL102" s="31" t="str">
        <f>IF(VLOOKUP(ROUND(CONCATENATE($A102,AL$2),0),'Cadastro dos Padrões'!$A$2:$V$4400,AL$1,FALSE)="","-",VLOOKUP(ROUND(CONCATENATE($A102,AL$2),0),'Cadastro dos Padrões'!$A$2:$V$4400,AL$1,FALSE))</f>
        <v>-</v>
      </c>
      <c r="AM102" s="31" t="str">
        <f>IF(VLOOKUP(ROUND(CONCATENATE($A102,AM$2),0),'Cadastro dos Padrões'!$A$2:$V$4400,AM$1,FALSE)="","-",VLOOKUP(ROUND(CONCATENATE($A102,AM$2),0),'Cadastro dos Padrões'!$A$2:$V$4400,AM$1,FALSE))</f>
        <v>-</v>
      </c>
      <c r="AN102" s="31" t="str">
        <f>IF(VLOOKUP(ROUND(CONCATENATE($A102,AN$2),0),'Cadastro dos Padrões'!$A$2:$V$4400,AN$1,FALSE)="","-",VLOOKUP(ROUND(CONCATENATE($A102,AN$2),0),'Cadastro dos Padrões'!$A$2:$V$4400,AN$1,FALSE))</f>
        <v>-</v>
      </c>
      <c r="AO102" s="31" t="str">
        <f>IF(VLOOKUP(ROUND(CONCATENATE($A102,AO$2),0),'Cadastro dos Padrões'!$A$2:$V$4400,AO$1,FALSE)="","-",VLOOKUP(ROUND(CONCATENATE($A102,AO$2),0),'Cadastro dos Padrões'!$A$2:$V$4400,AO$1,FALSE))</f>
        <v>-</v>
      </c>
      <c r="AP102" s="31" t="str">
        <f>IF(VLOOKUP(ROUND(CONCATENATE($A102,AP$2),0),'Cadastro dos Padrões'!$A$2:$V$4400,AP$1,FALSE)="","-",VLOOKUP(ROUND(CONCATENATE($A102,AP$2),0),'Cadastro dos Padrões'!$A$2:$V$4400,AP$1,FALSE))</f>
        <v>-</v>
      </c>
      <c r="AQ102" s="31" t="str">
        <f>IF(VLOOKUP(ROUND(CONCATENATE($A102,AQ$2),0),'Cadastro dos Padrões'!$A$2:$V$4400,AQ$1,FALSE)="","-",VLOOKUP(ROUND(CONCATENATE($A102,AQ$2),0),'Cadastro dos Padrões'!$A$2:$V$4400,AQ$1,FALSE))</f>
        <v>-</v>
      </c>
      <c r="AR102" s="31" t="str">
        <f>IF(VLOOKUP(ROUND(CONCATENATE($A102,AR$2),0),'Cadastro dos Padrões'!$A$2:$V$4400,AR$1,FALSE)="","-",VLOOKUP(ROUND(CONCATENATE($A102,AR$2),0),'Cadastro dos Padrões'!$A$2:$V$4400,AR$1,FALSE))</f>
        <v>-</v>
      </c>
      <c r="AS102" s="31" t="str">
        <f>IF(VLOOKUP(ROUND(CONCATENATE($A102,AS$2),0),'Cadastro dos Padrões'!$A$2:$V$4400,AS$1,FALSE)="","-",VLOOKUP(ROUND(CONCATENATE($A102,AS$2),0),'Cadastro dos Padrões'!$A$2:$V$4400,AS$1,FALSE))</f>
        <v>-</v>
      </c>
      <c r="AT102" s="31" t="str">
        <f>IF(VLOOKUP(ROUND(CONCATENATE($A102,AT$2),0),'Cadastro dos Padrões'!$A$2:$V$4400,AT$1,FALSE)="","-",VLOOKUP(ROUND(CONCATENATE($A102,AT$2),0),'Cadastro dos Padrões'!$A$2:$V$4400,AT$1,FALSE))</f>
        <v>-</v>
      </c>
      <c r="AU102" s="31" t="str">
        <f>IF(VLOOKUP(ROUND(CONCATENATE($A102,AU$2),0),'Cadastro dos Padrões'!$A$2:$V$4400,AU$1,FALSE)="","-",VLOOKUP(ROUND(CONCATENATE($A102,AU$2),0),'Cadastro dos Padrões'!$A$2:$V$4400,AU$1,FALSE))</f>
        <v>-</v>
      </c>
      <c r="AV102" s="31" t="str">
        <f>IF(VLOOKUP(ROUND(CONCATENATE($A102,AV$2),0),'Cadastro dos Padrões'!$A$2:$V$4400,AV$1,FALSE)="","-",VLOOKUP(ROUND(CONCATENATE($A102,AV$2),0),'Cadastro dos Padrões'!$A$2:$V$4400,AV$1,FALSE))</f>
        <v>-</v>
      </c>
      <c r="AW102" s="31" t="str">
        <f>IF(VLOOKUP(ROUND(CONCATENATE($A102,AW$2),0),'Cadastro dos Padrões'!$A$2:$V$4400,AW$1,FALSE)="","-",VLOOKUP(ROUND(CONCATENATE($A102,AW$2),0),'Cadastro dos Padrões'!$A$2:$V$4400,AW$1,FALSE))</f>
        <v>-</v>
      </c>
      <c r="AX102" s="31" t="str">
        <f>IF(VLOOKUP(ROUND(CONCATENATE($A102,AX$2),0),'Cadastro dos Padrões'!$A$2:$V$4400,AX$1,FALSE)="","-",VLOOKUP(ROUND(CONCATENATE($A102,AX$2),0),'Cadastro dos Padrões'!$A$2:$V$4400,AX$1,FALSE))</f>
        <v>-</v>
      </c>
      <c r="AY102" s="31" t="str">
        <f>IF(VLOOKUP(ROUND(CONCATENATE($A102,AY$2),0),'Cadastro dos Padrões'!$A$2:$V$4400,AY$1,FALSE)="","-",VLOOKUP(ROUND(CONCATENATE($A102,AY$2),0),'Cadastro dos Padrões'!$A$2:$V$4400,AY$1,FALSE))</f>
        <v>-</v>
      </c>
      <c r="AZ102" s="31" t="str">
        <f>IF(VLOOKUP(ROUND(CONCATENATE($A102,AZ$2),0),'Cadastro dos Padrões'!$A$2:$V$4400,AZ$1,FALSE)="","-",VLOOKUP(ROUND(CONCATENATE($A102,AZ$2),0),'Cadastro dos Padrões'!$A$2:$V$4400,AZ$1,FALSE))</f>
        <v>-</v>
      </c>
      <c r="BA102" s="31" t="str">
        <f>IF(VLOOKUP(ROUND(CONCATENATE($A102,BA$2),0),'Cadastro dos Padrões'!$A$2:$V$4400,BA$1,FALSE)="","-",VLOOKUP(ROUND(CONCATENATE($A102,BA$2),0),'Cadastro dos Padrões'!$A$2:$V$4400,BA$1,FALSE))</f>
        <v>-</v>
      </c>
      <c r="BB102" s="31" t="str">
        <f>IF(VLOOKUP(ROUND(CONCATENATE($A102,BB$2),0),'Cadastro dos Padrões'!$A$2:$V$4400,BB$1,FALSE)="","-",VLOOKUP(ROUND(CONCATENATE($A102,BB$2),0),'Cadastro dos Padrões'!$A$2:$V$4400,BB$1,FALSE))</f>
        <v>-</v>
      </c>
      <c r="BC102" s="31" t="str">
        <f>IF(VLOOKUP(ROUND(CONCATENATE($A102,BC$2),0),'Cadastro dos Padrões'!$A$2:$V$4400,BC$1,FALSE)="","-",VLOOKUP(ROUND(CONCATENATE($A102,BC$2),0),'Cadastro dos Padrões'!$A$2:$V$4400,BC$1,FALSE))</f>
        <v>-</v>
      </c>
      <c r="BD102" s="31" t="str">
        <f>IF(VLOOKUP(ROUND(CONCATENATE($A102,BD$2),0),'Cadastro dos Padrões'!$A$2:$V$4400,BD$1,FALSE)="","-",VLOOKUP(ROUND(CONCATENATE($A102,BD$2),0),'Cadastro dos Padrões'!$A$2:$V$4400,BD$1,FALSE))</f>
        <v>-</v>
      </c>
      <c r="BE102" s="31" t="str">
        <f>IF(VLOOKUP(ROUND(CONCATENATE($A102,BE$2),0),'Cadastro dos Padrões'!$A$2:$V$4400,BE$1,FALSE)="","-",VLOOKUP(ROUND(CONCATENATE($A102,BE$2),0),'Cadastro dos Padrões'!$A$2:$V$4400,BE$1,FALSE))</f>
        <v>-</v>
      </c>
      <c r="BF102" s="31" t="str">
        <f>IF(VLOOKUP(ROUND(CONCATENATE($A102,BF$2),0),'Cadastro dos Padrões'!$A$2:$V$4400,BF$1,FALSE)="","-",VLOOKUP(ROUND(CONCATENATE($A102,BF$2),0),'Cadastro dos Padrões'!$A$2:$V$4400,BF$1,FALSE))</f>
        <v>-</v>
      </c>
      <c r="BG102" s="31" t="str">
        <f>IF(VLOOKUP(ROUND(CONCATENATE($A102,BG$2),0),'Cadastro dos Padrões'!$A$2:$V$4400,BG$1,FALSE)="","-",VLOOKUP(ROUND(CONCATENATE($A102,BG$2),0),'Cadastro dos Padrões'!$A$2:$V$4400,BG$1,FALSE))</f>
        <v>-</v>
      </c>
      <c r="BH102" s="31" t="str">
        <f>IF(VLOOKUP(ROUND(CONCATENATE($A102,BH$2),0),'Cadastro dos Padrões'!$A$2:$V$4400,BH$1,FALSE)="","-",VLOOKUP(ROUND(CONCATENATE($A102,BH$2),0),'Cadastro dos Padrões'!$A$2:$V$4400,BH$1,FALSE))</f>
        <v>-</v>
      </c>
      <c r="BI102" s="31" t="str">
        <f>IF(VLOOKUP(ROUND(CONCATENATE($A102,BI$2),0),'Cadastro dos Padrões'!$A$2:$V$4400,BI$1,FALSE)="","-",VLOOKUP(ROUND(CONCATENATE($A102,BI$2),0),'Cadastro dos Padrões'!$A$2:$V$4400,BI$1,FALSE))</f>
        <v>-</v>
      </c>
      <c r="BJ102" s="31" t="str">
        <f>IF(VLOOKUP(ROUND(CONCATENATE($A102,BJ$2),0),'Cadastro dos Padrões'!$A$2:$V$4400,BJ$1,FALSE)="","-",VLOOKUP(ROUND(CONCATENATE($A102,BJ$2),0),'Cadastro dos Padrões'!$A$2:$V$4400,BJ$1,FALSE))</f>
        <v>-</v>
      </c>
      <c r="BK102" s="31" t="str">
        <f>IF(VLOOKUP(ROUND(CONCATENATE($A102,BK$2),0),'Cadastro dos Padrões'!$A$2:$V$4400,BK$1,FALSE)="","-",VLOOKUP(ROUND(CONCATENATE($A102,BK$2),0),'Cadastro dos Padrões'!$A$2:$V$4400,BK$1,FALSE))</f>
        <v>-</v>
      </c>
      <c r="BL102" s="31" t="str">
        <f>IF(VLOOKUP(ROUND(CONCATENATE($A102,BL$2),0),'Cadastro dos Padrões'!$A$2:$V$4400,BL$1,FALSE)="","-",VLOOKUP(ROUND(CONCATENATE($A102,BL$2),0),'Cadastro dos Padrões'!$A$2:$V$4400,BL$1,FALSE))</f>
        <v>-</v>
      </c>
      <c r="BM102" s="31" t="str">
        <f>IF(VLOOKUP(ROUND(CONCATENATE($A102,BM$2),0),'Cadastro dos Padrões'!$A$2:$V$4400,BM$1,FALSE)="","-",VLOOKUP(ROUND(CONCATENATE($A102,BM$2),0),'Cadastro dos Padrões'!$A$2:$V$4400,BM$1,FALSE))</f>
        <v>-</v>
      </c>
      <c r="BN102" s="31" t="str">
        <f>IF(VLOOKUP(ROUND(CONCATENATE($A102,BN$2),0),'Cadastro dos Padrões'!$A$2:$V$4400,BN$1,FALSE)="","-",VLOOKUP(ROUND(CONCATENATE($A102,BN$2),0),'Cadastro dos Padrões'!$A$2:$V$4400,BN$1,FALSE))</f>
        <v>-</v>
      </c>
      <c r="BO102" s="31" t="str">
        <f>IF(VLOOKUP(ROUND(CONCATENATE($A102,BO$2),0),'Cadastro dos Padrões'!$A$2:$V$4400,BO$1,FALSE)="","-",VLOOKUP(ROUND(CONCATENATE($A102,BO$2),0),'Cadastro dos Padrões'!$A$2:$V$4400,BO$1,FALSE))</f>
        <v>-</v>
      </c>
    </row>
    <row r="103" spans="1:67" x14ac:dyDescent="0.3">
      <c r="A103" s="6">
        <f t="shared" si="52"/>
        <v>98</v>
      </c>
      <c r="B103" s="31" t="str">
        <f>IF(VLOOKUP(ROUND(CONCATENATE($A103,B$2),0),'Cadastro dos Padrões'!$A$2:$V$4400,B$1,FALSE)="","-",VLOOKUP(ROUND(CONCATENATE($A103,B$2),0),'Cadastro dos Padrões'!$A$2:$V$4400,B$1,FALSE))</f>
        <v>-</v>
      </c>
      <c r="C103" s="31" t="str">
        <f>IF($B103="-","-",VLOOKUP(ROUND(CONCATENATE($A103,C$2),0),'Cadastro dos Padrões'!$A$2:$V$4400,C$1,FALSE))</f>
        <v>-</v>
      </c>
      <c r="D103" s="31" t="str">
        <f>IF($B103="-","-",VLOOKUP(ROUND(CONCATENATE($A103,D$2),0),'Cadastro dos Padrões'!$A$2:$V$4400,D$1,FALSE))</f>
        <v>-</v>
      </c>
      <c r="E103" s="31" t="str">
        <f>IF($B103="-","-",VLOOKUP(ROUND(CONCATENATE($A103,E$2),0),'Cadastro dos Padrões'!$A$2:$V$4400,E$1,FALSE))</f>
        <v>-</v>
      </c>
      <c r="F103" s="31" t="str">
        <f>IF($B103="-","-",VLOOKUP(ROUND(CONCATENATE($A103,F$2),0),'Cadastro dos Padrões'!$A$2:$V$4400,F$1,FALSE))</f>
        <v>-</v>
      </c>
      <c r="G103" s="31" t="str">
        <f>IF($B103="-","-",VLOOKUP(ROUND(CONCATENATE($A103,G$2),0),'Cadastro dos Padrões'!$A$2:$V$4400,G$1,FALSE))</f>
        <v>-</v>
      </c>
      <c r="H103" s="32" t="str">
        <f>IF($B103="-","-",VLOOKUP(ROUND(CONCATENATE($A103,H$2),0),'Cadastro dos Padrões'!$A$2:$V$4400,H$1,FALSE))</f>
        <v>-</v>
      </c>
      <c r="I103" s="33" t="str">
        <f>IF($B103="-","-",VLOOKUP(ROUND(CONCATENATE($A103,I$2),0),'Cadastro dos Padrões'!$A$2:$V$4400,I$1,FALSE))</f>
        <v>-</v>
      </c>
      <c r="J103" s="31" t="str">
        <f>IF($B103="-","-",VLOOKUP(ROUND(CONCATENATE($A103,J$2),0),'Cadastro dos Padrões'!$A$2:$V$4400,J$1,FALSE))</f>
        <v>-</v>
      </c>
      <c r="K103" s="31" t="str">
        <f>IF($B103="-","-",VLOOKUP(ROUND(CONCATENATE($A103,K$2),0),'Cadastro dos Padrões'!$A$2:$V$4400,K$1,FALSE))</f>
        <v>-</v>
      </c>
      <c r="L103" s="31" t="str">
        <f>IF($B103="-","-",VLOOKUP(ROUND(CONCATENATE($A103,L$2),0),'Cadastro dos Padrões'!$A$2:$V$4400,L$1,FALSE))</f>
        <v>-</v>
      </c>
      <c r="M103" s="31" t="str">
        <f>IF($B103="-","-",VLOOKUP(ROUND(CONCATENATE($A103,M$2),0),'Cadastro dos Padrões'!$A$2:$V$4400,M$1,FALSE))</f>
        <v>-</v>
      </c>
      <c r="N103" s="31" t="str">
        <f>IF($B103="-","-",VLOOKUP(ROUND(CONCATENATE($A103,N$2),0),'Cadastro dos Padrões'!$A$2:$V$4400,N$1,FALSE))</f>
        <v>-</v>
      </c>
      <c r="O103" s="31" t="str">
        <f>IF($B103="-","-",VLOOKUP(ROUND(CONCATENATE($A103,O$2),0),'Cadastro dos Padrões'!$A$2:$V$4400,O$1,FALSE))</f>
        <v>-</v>
      </c>
      <c r="P103" s="31" t="str">
        <f>IF($B103="-","-",VLOOKUP(ROUND(CONCATENATE($A103,P$2),0),'Cadastro dos Padrões'!$A$2:$V$4400,P$1,FALSE))</f>
        <v>-</v>
      </c>
      <c r="Q103" s="31" t="str">
        <f>IF($B103="-","-",VLOOKUP(ROUND(CONCATENATE($A103,Q$2),0),'Cadastro dos Padrões'!$A$2:$V$4400,Q$1,FALSE))</f>
        <v>-</v>
      </c>
      <c r="R103" s="31" t="str">
        <f>IF($B103="-","-",VLOOKUP(ROUND(CONCATENATE($A103,R$2),0),'Cadastro dos Padrões'!$A$2:$V$4400,R$1,FALSE))</f>
        <v>-</v>
      </c>
      <c r="S103" s="31" t="str">
        <f>IF($B103="-","-",VLOOKUP(ROUND(CONCATENATE($A103,S$2),0),'Cadastro dos Padrões'!$A$2:$V$4400,S$1,FALSE))</f>
        <v>-</v>
      </c>
      <c r="T103" s="31" t="str">
        <f>IF($B103="-","-",VLOOKUP(ROUND(CONCATENATE($A103,T$2),0),'Cadastro dos Padrões'!$A$2:$V$4400,T$1,FALSE))</f>
        <v>-</v>
      </c>
      <c r="U103" s="31" t="str">
        <f>IF($B103="-","-",VLOOKUP(ROUND(CONCATENATE($A103,U$2),0),'Cadastro dos Padrões'!$A$2:$V$4400,U$1,FALSE))</f>
        <v>-</v>
      </c>
      <c r="V103" s="31" t="str">
        <f>IF($B103="-","-",VLOOKUP(ROUND(CONCATENATE($A103,V$2),0),'Cadastro dos Padrões'!$A$2:$V$4400,V$1,FALSE))</f>
        <v>-</v>
      </c>
      <c r="W103" s="31" t="str">
        <f>IF($B103="-","-",VLOOKUP(ROUND(CONCATENATE($A103,W$2),0),'Cadastro dos Padrões'!$A$2:$V$4400,W$1,FALSE))</f>
        <v>-</v>
      </c>
      <c r="X103" s="31" t="str">
        <f>IF($B103="-","-",VLOOKUP(ROUND(CONCATENATE($A103,X$2),0),'Cadastro dos Padrões'!$A$2:$V$4400,X$1,FALSE))</f>
        <v>-</v>
      </c>
      <c r="Y103" s="31" t="str">
        <f>IF($B103="-","-",VLOOKUP(ROUND(CONCATENATE($A103,Y$2),0),'Cadastro dos Padrões'!$A$2:$V$4400,Y$1,FALSE))</f>
        <v>-</v>
      </c>
      <c r="Z103" s="31" t="str">
        <f>IF($B103="-","-",VLOOKUP(ROUND(CONCATENATE($A103,Z$2),0),'Cadastro dos Padrões'!$A$2:$V$4400,Z$1,FALSE))</f>
        <v>-</v>
      </c>
      <c r="AA103" s="31" t="str">
        <f>IF($B103="-","-",VLOOKUP(ROUND(CONCATENATE($A103,AA$2),0),'Cadastro dos Padrões'!$A$2:$V$4400,AA$1,FALSE))</f>
        <v>-</v>
      </c>
      <c r="AB103" s="31" t="str">
        <f>IF(VLOOKUP(ROUND(CONCATENATE($A103,AB$2),0),'Cadastro dos Padrões'!$A$2:$V$4400,AB$1,FALSE)="","-",VLOOKUP(ROUND(CONCATENATE($A103,AB$2),0),'Cadastro dos Padrões'!$A$2:$V$4400,AB$1,FALSE))</f>
        <v>-</v>
      </c>
      <c r="AC103" s="31" t="str">
        <f>IF(VLOOKUP(ROUND(CONCATENATE($A103,AC$2),0),'Cadastro dos Padrões'!$A$2:$V$4400,AC$1,FALSE)="","-",VLOOKUP(ROUND(CONCATENATE($A103,AC$2),0),'Cadastro dos Padrões'!$A$2:$V$4400,AC$1,FALSE))</f>
        <v>-</v>
      </c>
      <c r="AD103" s="31" t="str">
        <f>IF(VLOOKUP(ROUND(CONCATENATE($A103,AD$2),0),'Cadastro dos Padrões'!$A$2:$V$4400,AD$1,FALSE)="","-",VLOOKUP(ROUND(CONCATENATE($A103,AD$2),0),'Cadastro dos Padrões'!$A$2:$V$4400,AD$1,FALSE))</f>
        <v>-</v>
      </c>
      <c r="AE103" s="31" t="str">
        <f>IF(VLOOKUP(ROUND(CONCATENATE($A103,AE$2),0),'Cadastro dos Padrões'!$A$2:$V$4400,AE$1,FALSE)="","-",VLOOKUP(ROUND(CONCATENATE($A103,AE$2),0),'Cadastro dos Padrões'!$A$2:$V$4400,AE$1,FALSE))</f>
        <v>-</v>
      </c>
      <c r="AF103" s="31" t="str">
        <f>IF(VLOOKUP(ROUND(CONCATENATE($A103,AF$2),0),'Cadastro dos Padrões'!$A$2:$V$4400,AF$1,FALSE)="","-",VLOOKUP(ROUND(CONCATENATE($A103,AF$2),0),'Cadastro dos Padrões'!$A$2:$V$4400,AF$1,FALSE))</f>
        <v>-</v>
      </c>
      <c r="AG103" s="31" t="str">
        <f>IF(VLOOKUP(ROUND(CONCATENATE($A103,AG$2),0),'Cadastro dos Padrões'!$A$2:$V$4400,AG$1,FALSE)="","-",VLOOKUP(ROUND(CONCATENATE($A103,AG$2),0),'Cadastro dos Padrões'!$A$2:$V$4400,AG$1,FALSE))</f>
        <v>-</v>
      </c>
      <c r="AH103" s="31" t="str">
        <f>IF(VLOOKUP(ROUND(CONCATENATE($A103,AH$2),0),'Cadastro dos Padrões'!$A$2:$V$4400,AH$1,FALSE)="","-",VLOOKUP(ROUND(CONCATENATE($A103,AH$2),0),'Cadastro dos Padrões'!$A$2:$V$4400,AH$1,FALSE))</f>
        <v>-</v>
      </c>
      <c r="AI103" s="31" t="str">
        <f>IF(VLOOKUP(ROUND(CONCATENATE($A103,AI$2),0),'Cadastro dos Padrões'!$A$2:$V$4400,AI$1,FALSE)="","-",VLOOKUP(ROUND(CONCATENATE($A103,AI$2),0),'Cadastro dos Padrões'!$A$2:$V$4400,AI$1,FALSE))</f>
        <v>-</v>
      </c>
      <c r="AJ103" s="31" t="str">
        <f>IF(VLOOKUP(ROUND(CONCATENATE($A103,AJ$2),0),'Cadastro dos Padrões'!$A$2:$V$4400,AJ$1,FALSE)="","-",VLOOKUP(ROUND(CONCATENATE($A103,AJ$2),0),'Cadastro dos Padrões'!$A$2:$V$4400,AJ$1,FALSE))</f>
        <v>-</v>
      </c>
      <c r="AK103" s="31" t="str">
        <f>IF(VLOOKUP(ROUND(CONCATENATE($A103,AK$2),0),'Cadastro dos Padrões'!$A$2:$V$4400,AK$1,FALSE)="","-",VLOOKUP(ROUND(CONCATENATE($A103,AK$2),0),'Cadastro dos Padrões'!$A$2:$V$4400,AK$1,FALSE))</f>
        <v>-</v>
      </c>
      <c r="AL103" s="31" t="str">
        <f>IF(VLOOKUP(ROUND(CONCATENATE($A103,AL$2),0),'Cadastro dos Padrões'!$A$2:$V$4400,AL$1,FALSE)="","-",VLOOKUP(ROUND(CONCATENATE($A103,AL$2),0),'Cadastro dos Padrões'!$A$2:$V$4400,AL$1,FALSE))</f>
        <v>-</v>
      </c>
      <c r="AM103" s="31" t="str">
        <f>IF(VLOOKUP(ROUND(CONCATENATE($A103,AM$2),0),'Cadastro dos Padrões'!$A$2:$V$4400,AM$1,FALSE)="","-",VLOOKUP(ROUND(CONCATENATE($A103,AM$2),0),'Cadastro dos Padrões'!$A$2:$V$4400,AM$1,FALSE))</f>
        <v>-</v>
      </c>
      <c r="AN103" s="31" t="str">
        <f>IF(VLOOKUP(ROUND(CONCATENATE($A103,AN$2),0),'Cadastro dos Padrões'!$A$2:$V$4400,AN$1,FALSE)="","-",VLOOKUP(ROUND(CONCATENATE($A103,AN$2),0),'Cadastro dos Padrões'!$A$2:$V$4400,AN$1,FALSE))</f>
        <v>-</v>
      </c>
      <c r="AO103" s="31" t="str">
        <f>IF(VLOOKUP(ROUND(CONCATENATE($A103,AO$2),0),'Cadastro dos Padrões'!$A$2:$V$4400,AO$1,FALSE)="","-",VLOOKUP(ROUND(CONCATENATE($A103,AO$2),0),'Cadastro dos Padrões'!$A$2:$V$4400,AO$1,FALSE))</f>
        <v>-</v>
      </c>
      <c r="AP103" s="31" t="str">
        <f>IF(VLOOKUP(ROUND(CONCATENATE($A103,AP$2),0),'Cadastro dos Padrões'!$A$2:$V$4400,AP$1,FALSE)="","-",VLOOKUP(ROUND(CONCATENATE($A103,AP$2),0),'Cadastro dos Padrões'!$A$2:$V$4400,AP$1,FALSE))</f>
        <v>-</v>
      </c>
      <c r="AQ103" s="31" t="str">
        <f>IF(VLOOKUP(ROUND(CONCATENATE($A103,AQ$2),0),'Cadastro dos Padrões'!$A$2:$V$4400,AQ$1,FALSE)="","-",VLOOKUP(ROUND(CONCATENATE($A103,AQ$2),0),'Cadastro dos Padrões'!$A$2:$V$4400,AQ$1,FALSE))</f>
        <v>-</v>
      </c>
      <c r="AR103" s="31" t="str">
        <f>IF(VLOOKUP(ROUND(CONCATENATE($A103,AR$2),0),'Cadastro dos Padrões'!$A$2:$V$4400,AR$1,FALSE)="","-",VLOOKUP(ROUND(CONCATENATE($A103,AR$2),0),'Cadastro dos Padrões'!$A$2:$V$4400,AR$1,FALSE))</f>
        <v>-</v>
      </c>
      <c r="AS103" s="31" t="str">
        <f>IF(VLOOKUP(ROUND(CONCATENATE($A103,AS$2),0),'Cadastro dos Padrões'!$A$2:$V$4400,AS$1,FALSE)="","-",VLOOKUP(ROUND(CONCATENATE($A103,AS$2),0),'Cadastro dos Padrões'!$A$2:$V$4400,AS$1,FALSE))</f>
        <v>-</v>
      </c>
      <c r="AT103" s="31" t="str">
        <f>IF(VLOOKUP(ROUND(CONCATENATE($A103,AT$2),0),'Cadastro dos Padrões'!$A$2:$V$4400,AT$1,FALSE)="","-",VLOOKUP(ROUND(CONCATENATE($A103,AT$2),0),'Cadastro dos Padrões'!$A$2:$V$4400,AT$1,FALSE))</f>
        <v>-</v>
      </c>
      <c r="AU103" s="31" t="str">
        <f>IF(VLOOKUP(ROUND(CONCATENATE($A103,AU$2),0),'Cadastro dos Padrões'!$A$2:$V$4400,AU$1,FALSE)="","-",VLOOKUP(ROUND(CONCATENATE($A103,AU$2),0),'Cadastro dos Padrões'!$A$2:$V$4400,AU$1,FALSE))</f>
        <v>-</v>
      </c>
      <c r="AV103" s="31" t="str">
        <f>IF(VLOOKUP(ROUND(CONCATENATE($A103,AV$2),0),'Cadastro dos Padrões'!$A$2:$V$4400,AV$1,FALSE)="","-",VLOOKUP(ROUND(CONCATENATE($A103,AV$2),0),'Cadastro dos Padrões'!$A$2:$V$4400,AV$1,FALSE))</f>
        <v>-</v>
      </c>
      <c r="AW103" s="31" t="str">
        <f>IF(VLOOKUP(ROUND(CONCATENATE($A103,AW$2),0),'Cadastro dos Padrões'!$A$2:$V$4400,AW$1,FALSE)="","-",VLOOKUP(ROUND(CONCATENATE($A103,AW$2),0),'Cadastro dos Padrões'!$A$2:$V$4400,AW$1,FALSE))</f>
        <v>-</v>
      </c>
      <c r="AX103" s="31" t="str">
        <f>IF(VLOOKUP(ROUND(CONCATENATE($A103,AX$2),0),'Cadastro dos Padrões'!$A$2:$V$4400,AX$1,FALSE)="","-",VLOOKUP(ROUND(CONCATENATE($A103,AX$2),0),'Cadastro dos Padrões'!$A$2:$V$4400,AX$1,FALSE))</f>
        <v>-</v>
      </c>
      <c r="AY103" s="31" t="str">
        <f>IF(VLOOKUP(ROUND(CONCATENATE($A103,AY$2),0),'Cadastro dos Padrões'!$A$2:$V$4400,AY$1,FALSE)="","-",VLOOKUP(ROUND(CONCATENATE($A103,AY$2),0),'Cadastro dos Padrões'!$A$2:$V$4400,AY$1,FALSE))</f>
        <v>-</v>
      </c>
      <c r="AZ103" s="31" t="str">
        <f>IF(VLOOKUP(ROUND(CONCATENATE($A103,AZ$2),0),'Cadastro dos Padrões'!$A$2:$V$4400,AZ$1,FALSE)="","-",VLOOKUP(ROUND(CONCATENATE($A103,AZ$2),0),'Cadastro dos Padrões'!$A$2:$V$4400,AZ$1,FALSE))</f>
        <v>-</v>
      </c>
      <c r="BA103" s="31" t="str">
        <f>IF(VLOOKUP(ROUND(CONCATENATE($A103,BA$2),0),'Cadastro dos Padrões'!$A$2:$V$4400,BA$1,FALSE)="","-",VLOOKUP(ROUND(CONCATENATE($A103,BA$2),0),'Cadastro dos Padrões'!$A$2:$V$4400,BA$1,FALSE))</f>
        <v>-</v>
      </c>
      <c r="BB103" s="31" t="str">
        <f>IF(VLOOKUP(ROUND(CONCATENATE($A103,BB$2),0),'Cadastro dos Padrões'!$A$2:$V$4400,BB$1,FALSE)="","-",VLOOKUP(ROUND(CONCATENATE($A103,BB$2),0),'Cadastro dos Padrões'!$A$2:$V$4400,BB$1,FALSE))</f>
        <v>-</v>
      </c>
      <c r="BC103" s="31" t="str">
        <f>IF(VLOOKUP(ROUND(CONCATENATE($A103,BC$2),0),'Cadastro dos Padrões'!$A$2:$V$4400,BC$1,FALSE)="","-",VLOOKUP(ROUND(CONCATENATE($A103,BC$2),0),'Cadastro dos Padrões'!$A$2:$V$4400,BC$1,FALSE))</f>
        <v>-</v>
      </c>
      <c r="BD103" s="31" t="str">
        <f>IF(VLOOKUP(ROUND(CONCATENATE($A103,BD$2),0),'Cadastro dos Padrões'!$A$2:$V$4400,BD$1,FALSE)="","-",VLOOKUP(ROUND(CONCATENATE($A103,BD$2),0),'Cadastro dos Padrões'!$A$2:$V$4400,BD$1,FALSE))</f>
        <v>-</v>
      </c>
      <c r="BE103" s="31" t="str">
        <f>IF(VLOOKUP(ROUND(CONCATENATE($A103,BE$2),0),'Cadastro dos Padrões'!$A$2:$V$4400,BE$1,FALSE)="","-",VLOOKUP(ROUND(CONCATENATE($A103,BE$2),0),'Cadastro dos Padrões'!$A$2:$V$4400,BE$1,FALSE))</f>
        <v>-</v>
      </c>
      <c r="BF103" s="31" t="str">
        <f>IF(VLOOKUP(ROUND(CONCATENATE($A103,BF$2),0),'Cadastro dos Padrões'!$A$2:$V$4400,BF$1,FALSE)="","-",VLOOKUP(ROUND(CONCATENATE($A103,BF$2),0),'Cadastro dos Padrões'!$A$2:$V$4400,BF$1,FALSE))</f>
        <v>-</v>
      </c>
      <c r="BG103" s="31" t="str">
        <f>IF(VLOOKUP(ROUND(CONCATENATE($A103,BG$2),0),'Cadastro dos Padrões'!$A$2:$V$4400,BG$1,FALSE)="","-",VLOOKUP(ROUND(CONCATENATE($A103,BG$2),0),'Cadastro dos Padrões'!$A$2:$V$4400,BG$1,FALSE))</f>
        <v>-</v>
      </c>
      <c r="BH103" s="31" t="str">
        <f>IF(VLOOKUP(ROUND(CONCATENATE($A103,BH$2),0),'Cadastro dos Padrões'!$A$2:$V$4400,BH$1,FALSE)="","-",VLOOKUP(ROUND(CONCATENATE($A103,BH$2),0),'Cadastro dos Padrões'!$A$2:$V$4400,BH$1,FALSE))</f>
        <v>-</v>
      </c>
      <c r="BI103" s="31" t="str">
        <f>IF(VLOOKUP(ROUND(CONCATENATE($A103,BI$2),0),'Cadastro dos Padrões'!$A$2:$V$4400,BI$1,FALSE)="","-",VLOOKUP(ROUND(CONCATENATE($A103,BI$2),0),'Cadastro dos Padrões'!$A$2:$V$4400,BI$1,FALSE))</f>
        <v>-</v>
      </c>
      <c r="BJ103" s="31" t="str">
        <f>IF(VLOOKUP(ROUND(CONCATENATE($A103,BJ$2),0),'Cadastro dos Padrões'!$A$2:$V$4400,BJ$1,FALSE)="","-",VLOOKUP(ROUND(CONCATENATE($A103,BJ$2),0),'Cadastro dos Padrões'!$A$2:$V$4400,BJ$1,FALSE))</f>
        <v>-</v>
      </c>
      <c r="BK103" s="31" t="str">
        <f>IF(VLOOKUP(ROUND(CONCATENATE($A103,BK$2),0),'Cadastro dos Padrões'!$A$2:$V$4400,BK$1,FALSE)="","-",VLOOKUP(ROUND(CONCATENATE($A103,BK$2),0),'Cadastro dos Padrões'!$A$2:$V$4400,BK$1,FALSE))</f>
        <v>-</v>
      </c>
      <c r="BL103" s="31" t="str">
        <f>IF(VLOOKUP(ROUND(CONCATENATE($A103,BL$2),0),'Cadastro dos Padrões'!$A$2:$V$4400,BL$1,FALSE)="","-",VLOOKUP(ROUND(CONCATENATE($A103,BL$2),0),'Cadastro dos Padrões'!$A$2:$V$4400,BL$1,FALSE))</f>
        <v>-</v>
      </c>
      <c r="BM103" s="31" t="str">
        <f>IF(VLOOKUP(ROUND(CONCATENATE($A103,BM$2),0),'Cadastro dos Padrões'!$A$2:$V$4400,BM$1,FALSE)="","-",VLOOKUP(ROUND(CONCATENATE($A103,BM$2),0),'Cadastro dos Padrões'!$A$2:$V$4400,BM$1,FALSE))</f>
        <v>-</v>
      </c>
      <c r="BN103" s="31" t="str">
        <f>IF(VLOOKUP(ROUND(CONCATENATE($A103,BN$2),0),'Cadastro dos Padrões'!$A$2:$V$4400,BN$1,FALSE)="","-",VLOOKUP(ROUND(CONCATENATE($A103,BN$2),0),'Cadastro dos Padrões'!$A$2:$V$4400,BN$1,FALSE))</f>
        <v>-</v>
      </c>
      <c r="BO103" s="31" t="str">
        <f>IF(VLOOKUP(ROUND(CONCATENATE($A103,BO$2),0),'Cadastro dos Padrões'!$A$2:$V$4400,BO$1,FALSE)="","-",VLOOKUP(ROUND(CONCATENATE($A103,BO$2),0),'Cadastro dos Padrões'!$A$2:$V$4400,BO$1,FALSE))</f>
        <v>-</v>
      </c>
    </row>
    <row r="104" spans="1:67" x14ac:dyDescent="0.3">
      <c r="A104" s="6">
        <f t="shared" si="52"/>
        <v>99</v>
      </c>
      <c r="B104" s="31" t="str">
        <f>IF(VLOOKUP(ROUND(CONCATENATE($A104,B$2),0),'Cadastro dos Padrões'!$A$2:$V$4400,B$1,FALSE)="","-",VLOOKUP(ROUND(CONCATENATE($A104,B$2),0),'Cadastro dos Padrões'!$A$2:$V$4400,B$1,FALSE))</f>
        <v>-</v>
      </c>
      <c r="C104" s="31" t="str">
        <f>IF($B104="-","-",VLOOKUP(ROUND(CONCATENATE($A104,C$2),0),'Cadastro dos Padrões'!$A$2:$V$4400,C$1,FALSE))</f>
        <v>-</v>
      </c>
      <c r="D104" s="31" t="str">
        <f>IF($B104="-","-",VLOOKUP(ROUND(CONCATENATE($A104,D$2),0),'Cadastro dos Padrões'!$A$2:$V$4400,D$1,FALSE))</f>
        <v>-</v>
      </c>
      <c r="E104" s="31" t="str">
        <f>IF($B104="-","-",VLOOKUP(ROUND(CONCATENATE($A104,E$2),0),'Cadastro dos Padrões'!$A$2:$V$4400,E$1,FALSE))</f>
        <v>-</v>
      </c>
      <c r="F104" s="31" t="str">
        <f>IF($B104="-","-",VLOOKUP(ROUND(CONCATENATE($A104,F$2),0),'Cadastro dos Padrões'!$A$2:$V$4400,F$1,FALSE))</f>
        <v>-</v>
      </c>
      <c r="G104" s="31" t="str">
        <f>IF($B104="-","-",VLOOKUP(ROUND(CONCATENATE($A104,G$2),0),'Cadastro dos Padrões'!$A$2:$V$4400,G$1,FALSE))</f>
        <v>-</v>
      </c>
      <c r="H104" s="32" t="str">
        <f>IF($B104="-","-",VLOOKUP(ROUND(CONCATENATE($A104,H$2),0),'Cadastro dos Padrões'!$A$2:$V$4400,H$1,FALSE))</f>
        <v>-</v>
      </c>
      <c r="I104" s="33" t="str">
        <f>IF($B104="-","-",VLOOKUP(ROUND(CONCATENATE($A104,I$2),0),'Cadastro dos Padrões'!$A$2:$V$4400,I$1,FALSE))</f>
        <v>-</v>
      </c>
      <c r="J104" s="31" t="str">
        <f>IF($B104="-","-",VLOOKUP(ROUND(CONCATENATE($A104,J$2),0),'Cadastro dos Padrões'!$A$2:$V$4400,J$1,FALSE))</f>
        <v>-</v>
      </c>
      <c r="K104" s="31" t="str">
        <f>IF($B104="-","-",VLOOKUP(ROUND(CONCATENATE($A104,K$2),0),'Cadastro dos Padrões'!$A$2:$V$4400,K$1,FALSE))</f>
        <v>-</v>
      </c>
      <c r="L104" s="31" t="str">
        <f>IF($B104="-","-",VLOOKUP(ROUND(CONCATENATE($A104,L$2),0),'Cadastro dos Padrões'!$A$2:$V$4400,L$1,FALSE))</f>
        <v>-</v>
      </c>
      <c r="M104" s="31" t="str">
        <f>IF($B104="-","-",VLOOKUP(ROUND(CONCATENATE($A104,M$2),0),'Cadastro dos Padrões'!$A$2:$V$4400,M$1,FALSE))</f>
        <v>-</v>
      </c>
      <c r="N104" s="31" t="str">
        <f>IF($B104="-","-",VLOOKUP(ROUND(CONCATENATE($A104,N$2),0),'Cadastro dos Padrões'!$A$2:$V$4400,N$1,FALSE))</f>
        <v>-</v>
      </c>
      <c r="O104" s="31" t="str">
        <f>IF($B104="-","-",VLOOKUP(ROUND(CONCATENATE($A104,O$2),0),'Cadastro dos Padrões'!$A$2:$V$4400,O$1,FALSE))</f>
        <v>-</v>
      </c>
      <c r="P104" s="31" t="str">
        <f>IF($B104="-","-",VLOOKUP(ROUND(CONCATENATE($A104,P$2),0),'Cadastro dos Padrões'!$A$2:$V$4400,P$1,FALSE))</f>
        <v>-</v>
      </c>
      <c r="Q104" s="31" t="str">
        <f>IF($B104="-","-",VLOOKUP(ROUND(CONCATENATE($A104,Q$2),0),'Cadastro dos Padrões'!$A$2:$V$4400,Q$1,FALSE))</f>
        <v>-</v>
      </c>
      <c r="R104" s="31" t="str">
        <f>IF($B104="-","-",VLOOKUP(ROUND(CONCATENATE($A104,R$2),0),'Cadastro dos Padrões'!$A$2:$V$4400,R$1,FALSE))</f>
        <v>-</v>
      </c>
      <c r="S104" s="31" t="str">
        <f>IF($B104="-","-",VLOOKUP(ROUND(CONCATENATE($A104,S$2),0),'Cadastro dos Padrões'!$A$2:$V$4400,S$1,FALSE))</f>
        <v>-</v>
      </c>
      <c r="T104" s="31" t="str">
        <f>IF($B104="-","-",VLOOKUP(ROUND(CONCATENATE($A104,T$2),0),'Cadastro dos Padrões'!$A$2:$V$4400,T$1,FALSE))</f>
        <v>-</v>
      </c>
      <c r="U104" s="31" t="str">
        <f>IF($B104="-","-",VLOOKUP(ROUND(CONCATENATE($A104,U$2),0),'Cadastro dos Padrões'!$A$2:$V$4400,U$1,FALSE))</f>
        <v>-</v>
      </c>
      <c r="V104" s="31" t="str">
        <f>IF($B104="-","-",VLOOKUP(ROUND(CONCATENATE($A104,V$2),0),'Cadastro dos Padrões'!$A$2:$V$4400,V$1,FALSE))</f>
        <v>-</v>
      </c>
      <c r="W104" s="31" t="str">
        <f>IF($B104="-","-",VLOOKUP(ROUND(CONCATENATE($A104,W$2),0),'Cadastro dos Padrões'!$A$2:$V$4400,W$1,FALSE))</f>
        <v>-</v>
      </c>
      <c r="X104" s="31" t="str">
        <f>IF($B104="-","-",VLOOKUP(ROUND(CONCATENATE($A104,X$2),0),'Cadastro dos Padrões'!$A$2:$V$4400,X$1,FALSE))</f>
        <v>-</v>
      </c>
      <c r="Y104" s="31" t="str">
        <f>IF($B104="-","-",VLOOKUP(ROUND(CONCATENATE($A104,Y$2),0),'Cadastro dos Padrões'!$A$2:$V$4400,Y$1,FALSE))</f>
        <v>-</v>
      </c>
      <c r="Z104" s="31" t="str">
        <f>IF($B104="-","-",VLOOKUP(ROUND(CONCATENATE($A104,Z$2),0),'Cadastro dos Padrões'!$A$2:$V$4400,Z$1,FALSE))</f>
        <v>-</v>
      </c>
      <c r="AA104" s="31" t="str">
        <f>IF($B104="-","-",VLOOKUP(ROUND(CONCATENATE($A104,AA$2),0),'Cadastro dos Padrões'!$A$2:$V$4400,AA$1,FALSE))</f>
        <v>-</v>
      </c>
      <c r="AB104" s="31" t="str">
        <f>IF(VLOOKUP(ROUND(CONCATENATE($A104,AB$2),0),'Cadastro dos Padrões'!$A$2:$V$4400,AB$1,FALSE)="","-",VLOOKUP(ROUND(CONCATENATE($A104,AB$2),0),'Cadastro dos Padrões'!$A$2:$V$4400,AB$1,FALSE))</f>
        <v>-</v>
      </c>
      <c r="AC104" s="31" t="str">
        <f>IF(VLOOKUP(ROUND(CONCATENATE($A104,AC$2),0),'Cadastro dos Padrões'!$A$2:$V$4400,AC$1,FALSE)="","-",VLOOKUP(ROUND(CONCATENATE($A104,AC$2),0),'Cadastro dos Padrões'!$A$2:$V$4400,AC$1,FALSE))</f>
        <v>-</v>
      </c>
      <c r="AD104" s="31" t="str">
        <f>IF(VLOOKUP(ROUND(CONCATENATE($A104,AD$2),0),'Cadastro dos Padrões'!$A$2:$V$4400,AD$1,FALSE)="","-",VLOOKUP(ROUND(CONCATENATE($A104,AD$2),0),'Cadastro dos Padrões'!$A$2:$V$4400,AD$1,FALSE))</f>
        <v>-</v>
      </c>
      <c r="AE104" s="31" t="str">
        <f>IF(VLOOKUP(ROUND(CONCATENATE($A104,AE$2),0),'Cadastro dos Padrões'!$A$2:$V$4400,AE$1,FALSE)="","-",VLOOKUP(ROUND(CONCATENATE($A104,AE$2),0),'Cadastro dos Padrões'!$A$2:$V$4400,AE$1,FALSE))</f>
        <v>-</v>
      </c>
      <c r="AF104" s="31" t="str">
        <f>IF(VLOOKUP(ROUND(CONCATENATE($A104,AF$2),0),'Cadastro dos Padrões'!$A$2:$V$4400,AF$1,FALSE)="","-",VLOOKUP(ROUND(CONCATENATE($A104,AF$2),0),'Cadastro dos Padrões'!$A$2:$V$4400,AF$1,FALSE))</f>
        <v>-</v>
      </c>
      <c r="AG104" s="31" t="str">
        <f>IF(VLOOKUP(ROUND(CONCATENATE($A104,AG$2),0),'Cadastro dos Padrões'!$A$2:$V$4400,AG$1,FALSE)="","-",VLOOKUP(ROUND(CONCATENATE($A104,AG$2),0),'Cadastro dos Padrões'!$A$2:$V$4400,AG$1,FALSE))</f>
        <v>-</v>
      </c>
      <c r="AH104" s="31" t="str">
        <f>IF(VLOOKUP(ROUND(CONCATENATE($A104,AH$2),0),'Cadastro dos Padrões'!$A$2:$V$4400,AH$1,FALSE)="","-",VLOOKUP(ROUND(CONCATENATE($A104,AH$2),0),'Cadastro dos Padrões'!$A$2:$V$4400,AH$1,FALSE))</f>
        <v>-</v>
      </c>
      <c r="AI104" s="31" t="str">
        <f>IF(VLOOKUP(ROUND(CONCATENATE($A104,AI$2),0),'Cadastro dos Padrões'!$A$2:$V$4400,AI$1,FALSE)="","-",VLOOKUP(ROUND(CONCATENATE($A104,AI$2),0),'Cadastro dos Padrões'!$A$2:$V$4400,AI$1,FALSE))</f>
        <v>-</v>
      </c>
      <c r="AJ104" s="31" t="str">
        <f>IF(VLOOKUP(ROUND(CONCATENATE($A104,AJ$2),0),'Cadastro dos Padrões'!$A$2:$V$4400,AJ$1,FALSE)="","-",VLOOKUP(ROUND(CONCATENATE($A104,AJ$2),0),'Cadastro dos Padrões'!$A$2:$V$4400,AJ$1,FALSE))</f>
        <v>-</v>
      </c>
      <c r="AK104" s="31" t="str">
        <f>IF(VLOOKUP(ROUND(CONCATENATE($A104,AK$2),0),'Cadastro dos Padrões'!$A$2:$V$4400,AK$1,FALSE)="","-",VLOOKUP(ROUND(CONCATENATE($A104,AK$2),0),'Cadastro dos Padrões'!$A$2:$V$4400,AK$1,FALSE))</f>
        <v>-</v>
      </c>
      <c r="AL104" s="31" t="str">
        <f>IF(VLOOKUP(ROUND(CONCATENATE($A104,AL$2),0),'Cadastro dos Padrões'!$A$2:$V$4400,AL$1,FALSE)="","-",VLOOKUP(ROUND(CONCATENATE($A104,AL$2),0),'Cadastro dos Padrões'!$A$2:$V$4400,AL$1,FALSE))</f>
        <v>-</v>
      </c>
      <c r="AM104" s="31" t="str">
        <f>IF(VLOOKUP(ROUND(CONCATENATE($A104,AM$2),0),'Cadastro dos Padrões'!$A$2:$V$4400,AM$1,FALSE)="","-",VLOOKUP(ROUND(CONCATENATE($A104,AM$2),0),'Cadastro dos Padrões'!$A$2:$V$4400,AM$1,FALSE))</f>
        <v>-</v>
      </c>
      <c r="AN104" s="31" t="str">
        <f>IF(VLOOKUP(ROUND(CONCATENATE($A104,AN$2),0),'Cadastro dos Padrões'!$A$2:$V$4400,AN$1,FALSE)="","-",VLOOKUP(ROUND(CONCATENATE($A104,AN$2),0),'Cadastro dos Padrões'!$A$2:$V$4400,AN$1,FALSE))</f>
        <v>-</v>
      </c>
      <c r="AO104" s="31" t="str">
        <f>IF(VLOOKUP(ROUND(CONCATENATE($A104,AO$2),0),'Cadastro dos Padrões'!$A$2:$V$4400,AO$1,FALSE)="","-",VLOOKUP(ROUND(CONCATENATE($A104,AO$2),0),'Cadastro dos Padrões'!$A$2:$V$4400,AO$1,FALSE))</f>
        <v>-</v>
      </c>
      <c r="AP104" s="31" t="str">
        <f>IF(VLOOKUP(ROUND(CONCATENATE($A104,AP$2),0),'Cadastro dos Padrões'!$A$2:$V$4400,AP$1,FALSE)="","-",VLOOKUP(ROUND(CONCATENATE($A104,AP$2),0),'Cadastro dos Padrões'!$A$2:$V$4400,AP$1,FALSE))</f>
        <v>-</v>
      </c>
      <c r="AQ104" s="31" t="str">
        <f>IF(VLOOKUP(ROUND(CONCATENATE($A104,AQ$2),0),'Cadastro dos Padrões'!$A$2:$V$4400,AQ$1,FALSE)="","-",VLOOKUP(ROUND(CONCATENATE($A104,AQ$2),0),'Cadastro dos Padrões'!$A$2:$V$4400,AQ$1,FALSE))</f>
        <v>-</v>
      </c>
      <c r="AR104" s="31" t="str">
        <f>IF(VLOOKUP(ROUND(CONCATENATE($A104,AR$2),0),'Cadastro dos Padrões'!$A$2:$V$4400,AR$1,FALSE)="","-",VLOOKUP(ROUND(CONCATENATE($A104,AR$2),0),'Cadastro dos Padrões'!$A$2:$V$4400,AR$1,FALSE))</f>
        <v>-</v>
      </c>
      <c r="AS104" s="31" t="str">
        <f>IF(VLOOKUP(ROUND(CONCATENATE($A104,AS$2),0),'Cadastro dos Padrões'!$A$2:$V$4400,AS$1,FALSE)="","-",VLOOKUP(ROUND(CONCATENATE($A104,AS$2),0),'Cadastro dos Padrões'!$A$2:$V$4400,AS$1,FALSE))</f>
        <v>-</v>
      </c>
      <c r="AT104" s="31" t="str">
        <f>IF(VLOOKUP(ROUND(CONCATENATE($A104,AT$2),0),'Cadastro dos Padrões'!$A$2:$V$4400,AT$1,FALSE)="","-",VLOOKUP(ROUND(CONCATENATE($A104,AT$2),0),'Cadastro dos Padrões'!$A$2:$V$4400,AT$1,FALSE))</f>
        <v>-</v>
      </c>
      <c r="AU104" s="31" t="str">
        <f>IF(VLOOKUP(ROUND(CONCATENATE($A104,AU$2),0),'Cadastro dos Padrões'!$A$2:$V$4400,AU$1,FALSE)="","-",VLOOKUP(ROUND(CONCATENATE($A104,AU$2),0),'Cadastro dos Padrões'!$A$2:$V$4400,AU$1,FALSE))</f>
        <v>-</v>
      </c>
      <c r="AV104" s="31" t="str">
        <f>IF(VLOOKUP(ROUND(CONCATENATE($A104,AV$2),0),'Cadastro dos Padrões'!$A$2:$V$4400,AV$1,FALSE)="","-",VLOOKUP(ROUND(CONCATENATE($A104,AV$2),0),'Cadastro dos Padrões'!$A$2:$V$4400,AV$1,FALSE))</f>
        <v>-</v>
      </c>
      <c r="AW104" s="31" t="str">
        <f>IF(VLOOKUP(ROUND(CONCATENATE($A104,AW$2),0),'Cadastro dos Padrões'!$A$2:$V$4400,AW$1,FALSE)="","-",VLOOKUP(ROUND(CONCATENATE($A104,AW$2),0),'Cadastro dos Padrões'!$A$2:$V$4400,AW$1,FALSE))</f>
        <v>-</v>
      </c>
      <c r="AX104" s="31" t="str">
        <f>IF(VLOOKUP(ROUND(CONCATENATE($A104,AX$2),0),'Cadastro dos Padrões'!$A$2:$V$4400,AX$1,FALSE)="","-",VLOOKUP(ROUND(CONCATENATE($A104,AX$2),0),'Cadastro dos Padrões'!$A$2:$V$4400,AX$1,FALSE))</f>
        <v>-</v>
      </c>
      <c r="AY104" s="31" t="str">
        <f>IF(VLOOKUP(ROUND(CONCATENATE($A104,AY$2),0),'Cadastro dos Padrões'!$A$2:$V$4400,AY$1,FALSE)="","-",VLOOKUP(ROUND(CONCATENATE($A104,AY$2),0),'Cadastro dos Padrões'!$A$2:$V$4400,AY$1,FALSE))</f>
        <v>-</v>
      </c>
      <c r="AZ104" s="31" t="str">
        <f>IF(VLOOKUP(ROUND(CONCATENATE($A104,AZ$2),0),'Cadastro dos Padrões'!$A$2:$V$4400,AZ$1,FALSE)="","-",VLOOKUP(ROUND(CONCATENATE($A104,AZ$2),0),'Cadastro dos Padrões'!$A$2:$V$4400,AZ$1,FALSE))</f>
        <v>-</v>
      </c>
      <c r="BA104" s="31" t="str">
        <f>IF(VLOOKUP(ROUND(CONCATENATE($A104,BA$2),0),'Cadastro dos Padrões'!$A$2:$V$4400,BA$1,FALSE)="","-",VLOOKUP(ROUND(CONCATENATE($A104,BA$2),0),'Cadastro dos Padrões'!$A$2:$V$4400,BA$1,FALSE))</f>
        <v>-</v>
      </c>
      <c r="BB104" s="31" t="str">
        <f>IF(VLOOKUP(ROUND(CONCATENATE($A104,BB$2),0),'Cadastro dos Padrões'!$A$2:$V$4400,BB$1,FALSE)="","-",VLOOKUP(ROUND(CONCATENATE($A104,BB$2),0),'Cadastro dos Padrões'!$A$2:$V$4400,BB$1,FALSE))</f>
        <v>-</v>
      </c>
      <c r="BC104" s="31" t="str">
        <f>IF(VLOOKUP(ROUND(CONCATENATE($A104,BC$2),0),'Cadastro dos Padrões'!$A$2:$V$4400,BC$1,FALSE)="","-",VLOOKUP(ROUND(CONCATENATE($A104,BC$2),0),'Cadastro dos Padrões'!$A$2:$V$4400,BC$1,FALSE))</f>
        <v>-</v>
      </c>
      <c r="BD104" s="31" t="str">
        <f>IF(VLOOKUP(ROUND(CONCATENATE($A104,BD$2),0),'Cadastro dos Padrões'!$A$2:$V$4400,BD$1,FALSE)="","-",VLOOKUP(ROUND(CONCATENATE($A104,BD$2),0),'Cadastro dos Padrões'!$A$2:$V$4400,BD$1,FALSE))</f>
        <v>-</v>
      </c>
      <c r="BE104" s="31" t="str">
        <f>IF(VLOOKUP(ROUND(CONCATENATE($A104,BE$2),0),'Cadastro dos Padrões'!$A$2:$V$4400,BE$1,FALSE)="","-",VLOOKUP(ROUND(CONCATENATE($A104,BE$2),0),'Cadastro dos Padrões'!$A$2:$V$4400,BE$1,FALSE))</f>
        <v>-</v>
      </c>
      <c r="BF104" s="31" t="str">
        <f>IF(VLOOKUP(ROUND(CONCATENATE($A104,BF$2),0),'Cadastro dos Padrões'!$A$2:$V$4400,BF$1,FALSE)="","-",VLOOKUP(ROUND(CONCATENATE($A104,BF$2),0),'Cadastro dos Padrões'!$A$2:$V$4400,BF$1,FALSE))</f>
        <v>-</v>
      </c>
      <c r="BG104" s="31" t="str">
        <f>IF(VLOOKUP(ROUND(CONCATENATE($A104,BG$2),0),'Cadastro dos Padrões'!$A$2:$V$4400,BG$1,FALSE)="","-",VLOOKUP(ROUND(CONCATENATE($A104,BG$2),0),'Cadastro dos Padrões'!$A$2:$V$4400,BG$1,FALSE))</f>
        <v>-</v>
      </c>
      <c r="BH104" s="31" t="str">
        <f>IF(VLOOKUP(ROUND(CONCATENATE($A104,BH$2),0),'Cadastro dos Padrões'!$A$2:$V$4400,BH$1,FALSE)="","-",VLOOKUP(ROUND(CONCATENATE($A104,BH$2),0),'Cadastro dos Padrões'!$A$2:$V$4400,BH$1,FALSE))</f>
        <v>-</v>
      </c>
      <c r="BI104" s="31" t="str">
        <f>IF(VLOOKUP(ROUND(CONCATENATE($A104,BI$2),0),'Cadastro dos Padrões'!$A$2:$V$4400,BI$1,FALSE)="","-",VLOOKUP(ROUND(CONCATENATE($A104,BI$2),0),'Cadastro dos Padrões'!$A$2:$V$4400,BI$1,FALSE))</f>
        <v>-</v>
      </c>
      <c r="BJ104" s="31" t="str">
        <f>IF(VLOOKUP(ROUND(CONCATENATE($A104,BJ$2),0),'Cadastro dos Padrões'!$A$2:$V$4400,BJ$1,FALSE)="","-",VLOOKUP(ROUND(CONCATENATE($A104,BJ$2),0),'Cadastro dos Padrões'!$A$2:$V$4400,BJ$1,FALSE))</f>
        <v>-</v>
      </c>
      <c r="BK104" s="31" t="str">
        <f>IF(VLOOKUP(ROUND(CONCATENATE($A104,BK$2),0),'Cadastro dos Padrões'!$A$2:$V$4400,BK$1,FALSE)="","-",VLOOKUP(ROUND(CONCATENATE($A104,BK$2),0),'Cadastro dos Padrões'!$A$2:$V$4400,BK$1,FALSE))</f>
        <v>-</v>
      </c>
      <c r="BL104" s="31" t="str">
        <f>IF(VLOOKUP(ROUND(CONCATENATE($A104,BL$2),0),'Cadastro dos Padrões'!$A$2:$V$4400,BL$1,FALSE)="","-",VLOOKUP(ROUND(CONCATENATE($A104,BL$2),0),'Cadastro dos Padrões'!$A$2:$V$4400,BL$1,FALSE))</f>
        <v>-</v>
      </c>
      <c r="BM104" s="31" t="str">
        <f>IF(VLOOKUP(ROUND(CONCATENATE($A104,BM$2),0),'Cadastro dos Padrões'!$A$2:$V$4400,BM$1,FALSE)="","-",VLOOKUP(ROUND(CONCATENATE($A104,BM$2),0),'Cadastro dos Padrões'!$A$2:$V$4400,BM$1,FALSE))</f>
        <v>-</v>
      </c>
      <c r="BN104" s="31" t="str">
        <f>IF(VLOOKUP(ROUND(CONCATENATE($A104,BN$2),0),'Cadastro dos Padrões'!$A$2:$V$4400,BN$1,FALSE)="","-",VLOOKUP(ROUND(CONCATENATE($A104,BN$2),0),'Cadastro dos Padrões'!$A$2:$V$4400,BN$1,FALSE))</f>
        <v>-</v>
      </c>
      <c r="BO104" s="31" t="str">
        <f>IF(VLOOKUP(ROUND(CONCATENATE($A104,BO$2),0),'Cadastro dos Padrões'!$A$2:$V$4400,BO$1,FALSE)="","-",VLOOKUP(ROUND(CONCATENATE($A104,BO$2),0),'Cadastro dos Padrões'!$A$2:$V$4400,BO$1,FALSE))</f>
        <v>-</v>
      </c>
    </row>
    <row r="105" spans="1:67" x14ac:dyDescent="0.3">
      <c r="A105" s="6">
        <f t="shared" si="52"/>
        <v>100</v>
      </c>
      <c r="B105" s="31" t="str">
        <f>IF(VLOOKUP(ROUND(CONCATENATE($A105,B$2),0),'Cadastro dos Padrões'!$A$2:$V$4400,B$1,FALSE)="","-",VLOOKUP(ROUND(CONCATENATE($A105,B$2),0),'Cadastro dos Padrões'!$A$2:$V$4400,B$1,FALSE))</f>
        <v>-</v>
      </c>
      <c r="C105" s="31" t="str">
        <f>IF($B105="-","-",VLOOKUP(ROUND(CONCATENATE($A105,C$2),0),'Cadastro dos Padrões'!$A$2:$V$4400,C$1,FALSE))</f>
        <v>-</v>
      </c>
      <c r="D105" s="31" t="str">
        <f>IF($B105="-","-",VLOOKUP(ROUND(CONCATENATE($A105,D$2),0),'Cadastro dos Padrões'!$A$2:$V$4400,D$1,FALSE))</f>
        <v>-</v>
      </c>
      <c r="E105" s="31" t="str">
        <f>IF($B105="-","-",VLOOKUP(ROUND(CONCATENATE($A105,E$2),0),'Cadastro dos Padrões'!$A$2:$V$4400,E$1,FALSE))</f>
        <v>-</v>
      </c>
      <c r="F105" s="31" t="str">
        <f>IF($B105="-","-",VLOOKUP(ROUND(CONCATENATE($A105,F$2),0),'Cadastro dos Padrões'!$A$2:$V$4400,F$1,FALSE))</f>
        <v>-</v>
      </c>
      <c r="G105" s="31" t="str">
        <f>IF($B105="-","-",VLOOKUP(ROUND(CONCATENATE($A105,G$2),0),'Cadastro dos Padrões'!$A$2:$V$4400,G$1,FALSE))</f>
        <v>-</v>
      </c>
      <c r="H105" s="32" t="str">
        <f>IF($B105="-","-",VLOOKUP(ROUND(CONCATENATE($A105,H$2),0),'Cadastro dos Padrões'!$A$2:$V$4400,H$1,FALSE))</f>
        <v>-</v>
      </c>
      <c r="I105" s="33" t="str">
        <f>IF($B105="-","-",VLOOKUP(ROUND(CONCATENATE($A105,I$2),0),'Cadastro dos Padrões'!$A$2:$V$4400,I$1,FALSE))</f>
        <v>-</v>
      </c>
      <c r="J105" s="31" t="str">
        <f>IF($B105="-","-",VLOOKUP(ROUND(CONCATENATE($A105,J$2),0),'Cadastro dos Padrões'!$A$2:$V$4400,J$1,FALSE))</f>
        <v>-</v>
      </c>
      <c r="K105" s="31" t="str">
        <f>IF($B105="-","-",VLOOKUP(ROUND(CONCATENATE($A105,K$2),0),'Cadastro dos Padrões'!$A$2:$V$4400,K$1,FALSE))</f>
        <v>-</v>
      </c>
      <c r="L105" s="31" t="str">
        <f>IF($B105="-","-",VLOOKUP(ROUND(CONCATENATE($A105,L$2),0),'Cadastro dos Padrões'!$A$2:$V$4400,L$1,FALSE))</f>
        <v>-</v>
      </c>
      <c r="M105" s="31" t="str">
        <f>IF($B105="-","-",VLOOKUP(ROUND(CONCATENATE($A105,M$2),0),'Cadastro dos Padrões'!$A$2:$V$4400,M$1,FALSE))</f>
        <v>-</v>
      </c>
      <c r="N105" s="31" t="str">
        <f>IF($B105="-","-",VLOOKUP(ROUND(CONCATENATE($A105,N$2),0),'Cadastro dos Padrões'!$A$2:$V$4400,N$1,FALSE))</f>
        <v>-</v>
      </c>
      <c r="O105" s="31" t="str">
        <f>IF($B105="-","-",VLOOKUP(ROUND(CONCATENATE($A105,O$2),0),'Cadastro dos Padrões'!$A$2:$V$4400,O$1,FALSE))</f>
        <v>-</v>
      </c>
      <c r="P105" s="31" t="str">
        <f>IF($B105="-","-",VLOOKUP(ROUND(CONCATENATE($A105,P$2),0),'Cadastro dos Padrões'!$A$2:$V$4400,P$1,FALSE))</f>
        <v>-</v>
      </c>
      <c r="Q105" s="31" t="str">
        <f>IF($B105="-","-",VLOOKUP(ROUND(CONCATENATE($A105,Q$2),0),'Cadastro dos Padrões'!$A$2:$V$4400,Q$1,FALSE))</f>
        <v>-</v>
      </c>
      <c r="R105" s="31" t="str">
        <f>IF($B105="-","-",VLOOKUP(ROUND(CONCATENATE($A105,R$2),0),'Cadastro dos Padrões'!$A$2:$V$4400,R$1,FALSE))</f>
        <v>-</v>
      </c>
      <c r="S105" s="31" t="str">
        <f>IF($B105="-","-",VLOOKUP(ROUND(CONCATENATE($A105,S$2),0),'Cadastro dos Padrões'!$A$2:$V$4400,S$1,FALSE))</f>
        <v>-</v>
      </c>
      <c r="T105" s="31" t="str">
        <f>IF($B105="-","-",VLOOKUP(ROUND(CONCATENATE($A105,T$2),0),'Cadastro dos Padrões'!$A$2:$V$4400,T$1,FALSE))</f>
        <v>-</v>
      </c>
      <c r="U105" s="31" t="str">
        <f>IF($B105="-","-",VLOOKUP(ROUND(CONCATENATE($A105,U$2),0),'Cadastro dos Padrões'!$A$2:$V$4400,U$1,FALSE))</f>
        <v>-</v>
      </c>
      <c r="V105" s="31" t="str">
        <f>IF($B105="-","-",VLOOKUP(ROUND(CONCATENATE($A105,V$2),0),'Cadastro dos Padrões'!$A$2:$V$4400,V$1,FALSE))</f>
        <v>-</v>
      </c>
      <c r="W105" s="31" t="str">
        <f>IF($B105="-","-",VLOOKUP(ROUND(CONCATENATE($A105,W$2),0),'Cadastro dos Padrões'!$A$2:$V$4400,W$1,FALSE))</f>
        <v>-</v>
      </c>
      <c r="X105" s="31" t="str">
        <f>IF($B105="-","-",VLOOKUP(ROUND(CONCATENATE($A105,X$2),0),'Cadastro dos Padrões'!$A$2:$V$4400,X$1,FALSE))</f>
        <v>-</v>
      </c>
      <c r="Y105" s="31" t="str">
        <f>IF($B105="-","-",VLOOKUP(ROUND(CONCATENATE($A105,Y$2),0),'Cadastro dos Padrões'!$A$2:$V$4400,Y$1,FALSE))</f>
        <v>-</v>
      </c>
      <c r="Z105" s="31" t="str">
        <f>IF($B105="-","-",VLOOKUP(ROUND(CONCATENATE($A105,Z$2),0),'Cadastro dos Padrões'!$A$2:$V$4400,Z$1,FALSE))</f>
        <v>-</v>
      </c>
      <c r="AA105" s="31" t="str">
        <f>IF($B105="-","-",VLOOKUP(ROUND(CONCATENATE($A105,AA$2),0),'Cadastro dos Padrões'!$A$2:$V$4400,AA$1,FALSE))</f>
        <v>-</v>
      </c>
      <c r="AB105" s="31" t="str">
        <f>IF(VLOOKUP(ROUND(CONCATENATE($A105,AB$2),0),'Cadastro dos Padrões'!$A$2:$V$4400,AB$1,FALSE)="","-",VLOOKUP(ROUND(CONCATENATE($A105,AB$2),0),'Cadastro dos Padrões'!$A$2:$V$4400,AB$1,FALSE))</f>
        <v>-</v>
      </c>
      <c r="AC105" s="31" t="str">
        <f>IF(VLOOKUP(ROUND(CONCATENATE($A105,AC$2),0),'Cadastro dos Padrões'!$A$2:$V$4400,AC$1,FALSE)="","-",VLOOKUP(ROUND(CONCATENATE($A105,AC$2),0),'Cadastro dos Padrões'!$A$2:$V$4400,AC$1,FALSE))</f>
        <v>-</v>
      </c>
      <c r="AD105" s="31" t="str">
        <f>IF(VLOOKUP(ROUND(CONCATENATE($A105,AD$2),0),'Cadastro dos Padrões'!$A$2:$V$4400,AD$1,FALSE)="","-",VLOOKUP(ROUND(CONCATENATE($A105,AD$2),0),'Cadastro dos Padrões'!$A$2:$V$4400,AD$1,FALSE))</f>
        <v>-</v>
      </c>
      <c r="AE105" s="31" t="str">
        <f>IF(VLOOKUP(ROUND(CONCATENATE($A105,AE$2),0),'Cadastro dos Padrões'!$A$2:$V$4400,AE$1,FALSE)="","-",VLOOKUP(ROUND(CONCATENATE($A105,AE$2),0),'Cadastro dos Padrões'!$A$2:$V$4400,AE$1,FALSE))</f>
        <v>-</v>
      </c>
      <c r="AF105" s="31" t="str">
        <f>IF(VLOOKUP(ROUND(CONCATENATE($A105,AF$2),0),'Cadastro dos Padrões'!$A$2:$V$4400,AF$1,FALSE)="","-",VLOOKUP(ROUND(CONCATENATE($A105,AF$2),0),'Cadastro dos Padrões'!$A$2:$V$4400,AF$1,FALSE))</f>
        <v>-</v>
      </c>
      <c r="AG105" s="31" t="str">
        <f>IF(VLOOKUP(ROUND(CONCATENATE($A105,AG$2),0),'Cadastro dos Padrões'!$A$2:$V$4400,AG$1,FALSE)="","-",VLOOKUP(ROUND(CONCATENATE($A105,AG$2),0),'Cadastro dos Padrões'!$A$2:$V$4400,AG$1,FALSE))</f>
        <v>-</v>
      </c>
      <c r="AH105" s="31" t="str">
        <f>IF(VLOOKUP(ROUND(CONCATENATE($A105,AH$2),0),'Cadastro dos Padrões'!$A$2:$V$4400,AH$1,FALSE)="","-",VLOOKUP(ROUND(CONCATENATE($A105,AH$2),0),'Cadastro dos Padrões'!$A$2:$V$4400,AH$1,FALSE))</f>
        <v>-</v>
      </c>
      <c r="AI105" s="31" t="str">
        <f>IF(VLOOKUP(ROUND(CONCATENATE($A105,AI$2),0),'Cadastro dos Padrões'!$A$2:$V$4400,AI$1,FALSE)="","-",VLOOKUP(ROUND(CONCATENATE($A105,AI$2),0),'Cadastro dos Padrões'!$A$2:$V$4400,AI$1,FALSE))</f>
        <v>-</v>
      </c>
      <c r="AJ105" s="31" t="str">
        <f>IF(VLOOKUP(ROUND(CONCATENATE($A105,AJ$2),0),'Cadastro dos Padrões'!$A$2:$V$4400,AJ$1,FALSE)="","-",VLOOKUP(ROUND(CONCATENATE($A105,AJ$2),0),'Cadastro dos Padrões'!$A$2:$V$4400,AJ$1,FALSE))</f>
        <v>-</v>
      </c>
      <c r="AK105" s="31" t="str">
        <f>IF(VLOOKUP(ROUND(CONCATENATE($A105,AK$2),0),'Cadastro dos Padrões'!$A$2:$V$4400,AK$1,FALSE)="","-",VLOOKUP(ROUND(CONCATENATE($A105,AK$2),0),'Cadastro dos Padrões'!$A$2:$V$4400,AK$1,FALSE))</f>
        <v>-</v>
      </c>
      <c r="AL105" s="31" t="str">
        <f>IF(VLOOKUP(ROUND(CONCATENATE($A105,AL$2),0),'Cadastro dos Padrões'!$A$2:$V$4400,AL$1,FALSE)="","-",VLOOKUP(ROUND(CONCATENATE($A105,AL$2),0),'Cadastro dos Padrões'!$A$2:$V$4400,AL$1,FALSE))</f>
        <v>-</v>
      </c>
      <c r="AM105" s="31" t="str">
        <f>IF(VLOOKUP(ROUND(CONCATENATE($A105,AM$2),0),'Cadastro dos Padrões'!$A$2:$V$4400,AM$1,FALSE)="","-",VLOOKUP(ROUND(CONCATENATE($A105,AM$2),0),'Cadastro dos Padrões'!$A$2:$V$4400,AM$1,FALSE))</f>
        <v>-</v>
      </c>
      <c r="AN105" s="31" t="str">
        <f>IF(VLOOKUP(ROUND(CONCATENATE($A105,AN$2),0),'Cadastro dos Padrões'!$A$2:$V$4400,AN$1,FALSE)="","-",VLOOKUP(ROUND(CONCATENATE($A105,AN$2),0),'Cadastro dos Padrões'!$A$2:$V$4400,AN$1,FALSE))</f>
        <v>-</v>
      </c>
      <c r="AO105" s="31" t="str">
        <f>IF(VLOOKUP(ROUND(CONCATENATE($A105,AO$2),0),'Cadastro dos Padrões'!$A$2:$V$4400,AO$1,FALSE)="","-",VLOOKUP(ROUND(CONCATENATE($A105,AO$2),0),'Cadastro dos Padrões'!$A$2:$V$4400,AO$1,FALSE))</f>
        <v>-</v>
      </c>
      <c r="AP105" s="31" t="str">
        <f>IF(VLOOKUP(ROUND(CONCATENATE($A105,AP$2),0),'Cadastro dos Padrões'!$A$2:$V$4400,AP$1,FALSE)="","-",VLOOKUP(ROUND(CONCATENATE($A105,AP$2),0),'Cadastro dos Padrões'!$A$2:$V$4400,AP$1,FALSE))</f>
        <v>-</v>
      </c>
      <c r="AQ105" s="31" t="str">
        <f>IF(VLOOKUP(ROUND(CONCATENATE($A105,AQ$2),0),'Cadastro dos Padrões'!$A$2:$V$4400,AQ$1,FALSE)="","-",VLOOKUP(ROUND(CONCATENATE($A105,AQ$2),0),'Cadastro dos Padrões'!$A$2:$V$4400,AQ$1,FALSE))</f>
        <v>-</v>
      </c>
      <c r="AR105" s="31" t="str">
        <f>IF(VLOOKUP(ROUND(CONCATENATE($A105,AR$2),0),'Cadastro dos Padrões'!$A$2:$V$4400,AR$1,FALSE)="","-",VLOOKUP(ROUND(CONCATENATE($A105,AR$2),0),'Cadastro dos Padrões'!$A$2:$V$4400,AR$1,FALSE))</f>
        <v>-</v>
      </c>
      <c r="AS105" s="31" t="str">
        <f>IF(VLOOKUP(ROUND(CONCATENATE($A105,AS$2),0),'Cadastro dos Padrões'!$A$2:$V$4400,AS$1,FALSE)="","-",VLOOKUP(ROUND(CONCATENATE($A105,AS$2),0),'Cadastro dos Padrões'!$A$2:$V$4400,AS$1,FALSE))</f>
        <v>-</v>
      </c>
      <c r="AT105" s="31" t="str">
        <f>IF(VLOOKUP(ROUND(CONCATENATE($A105,AT$2),0),'Cadastro dos Padrões'!$A$2:$V$4400,AT$1,FALSE)="","-",VLOOKUP(ROUND(CONCATENATE($A105,AT$2),0),'Cadastro dos Padrões'!$A$2:$V$4400,AT$1,FALSE))</f>
        <v>-</v>
      </c>
      <c r="AU105" s="31" t="str">
        <f>IF(VLOOKUP(ROUND(CONCATENATE($A105,AU$2),0),'Cadastro dos Padrões'!$A$2:$V$4400,AU$1,FALSE)="","-",VLOOKUP(ROUND(CONCATENATE($A105,AU$2),0),'Cadastro dos Padrões'!$A$2:$V$4400,AU$1,FALSE))</f>
        <v>-</v>
      </c>
      <c r="AV105" s="31" t="str">
        <f>IF(VLOOKUP(ROUND(CONCATENATE($A105,AV$2),0),'Cadastro dos Padrões'!$A$2:$V$4400,AV$1,FALSE)="","-",VLOOKUP(ROUND(CONCATENATE($A105,AV$2),0),'Cadastro dos Padrões'!$A$2:$V$4400,AV$1,FALSE))</f>
        <v>-</v>
      </c>
      <c r="AW105" s="31" t="str">
        <f>IF(VLOOKUP(ROUND(CONCATENATE($A105,AW$2),0),'Cadastro dos Padrões'!$A$2:$V$4400,AW$1,FALSE)="","-",VLOOKUP(ROUND(CONCATENATE($A105,AW$2),0),'Cadastro dos Padrões'!$A$2:$V$4400,AW$1,FALSE))</f>
        <v>-</v>
      </c>
      <c r="AX105" s="31" t="str">
        <f>IF(VLOOKUP(ROUND(CONCATENATE($A105,AX$2),0),'Cadastro dos Padrões'!$A$2:$V$4400,AX$1,FALSE)="","-",VLOOKUP(ROUND(CONCATENATE($A105,AX$2),0),'Cadastro dos Padrões'!$A$2:$V$4400,AX$1,FALSE))</f>
        <v>-</v>
      </c>
      <c r="AY105" s="31" t="str">
        <f>IF(VLOOKUP(ROUND(CONCATENATE($A105,AY$2),0),'Cadastro dos Padrões'!$A$2:$V$4400,AY$1,FALSE)="","-",VLOOKUP(ROUND(CONCATENATE($A105,AY$2),0),'Cadastro dos Padrões'!$A$2:$V$4400,AY$1,FALSE))</f>
        <v>-</v>
      </c>
      <c r="AZ105" s="31" t="str">
        <f>IF(VLOOKUP(ROUND(CONCATENATE($A105,AZ$2),0),'Cadastro dos Padrões'!$A$2:$V$4400,AZ$1,FALSE)="","-",VLOOKUP(ROUND(CONCATENATE($A105,AZ$2),0),'Cadastro dos Padrões'!$A$2:$V$4400,AZ$1,FALSE))</f>
        <v>-</v>
      </c>
      <c r="BA105" s="31" t="str">
        <f>IF(VLOOKUP(ROUND(CONCATENATE($A105,BA$2),0),'Cadastro dos Padrões'!$A$2:$V$4400,BA$1,FALSE)="","-",VLOOKUP(ROUND(CONCATENATE($A105,BA$2),0),'Cadastro dos Padrões'!$A$2:$V$4400,BA$1,FALSE))</f>
        <v>-</v>
      </c>
      <c r="BB105" s="31" t="str">
        <f>IF(VLOOKUP(ROUND(CONCATENATE($A105,BB$2),0),'Cadastro dos Padrões'!$A$2:$V$4400,BB$1,FALSE)="","-",VLOOKUP(ROUND(CONCATENATE($A105,BB$2),0),'Cadastro dos Padrões'!$A$2:$V$4400,BB$1,FALSE))</f>
        <v>-</v>
      </c>
      <c r="BC105" s="31" t="str">
        <f>IF(VLOOKUP(ROUND(CONCATENATE($A105,BC$2),0),'Cadastro dos Padrões'!$A$2:$V$4400,BC$1,FALSE)="","-",VLOOKUP(ROUND(CONCATENATE($A105,BC$2),0),'Cadastro dos Padrões'!$A$2:$V$4400,BC$1,FALSE))</f>
        <v>-</v>
      </c>
      <c r="BD105" s="31" t="str">
        <f>IF(VLOOKUP(ROUND(CONCATENATE($A105,BD$2),0),'Cadastro dos Padrões'!$A$2:$V$4400,BD$1,FALSE)="","-",VLOOKUP(ROUND(CONCATENATE($A105,BD$2),0),'Cadastro dos Padrões'!$A$2:$V$4400,BD$1,FALSE))</f>
        <v>-</v>
      </c>
      <c r="BE105" s="31" t="str">
        <f>IF(VLOOKUP(ROUND(CONCATENATE($A105,BE$2),0),'Cadastro dos Padrões'!$A$2:$V$4400,BE$1,FALSE)="","-",VLOOKUP(ROUND(CONCATENATE($A105,BE$2),0),'Cadastro dos Padrões'!$A$2:$V$4400,BE$1,FALSE))</f>
        <v>-</v>
      </c>
      <c r="BF105" s="31" t="str">
        <f>IF(VLOOKUP(ROUND(CONCATENATE($A105,BF$2),0),'Cadastro dos Padrões'!$A$2:$V$4400,BF$1,FALSE)="","-",VLOOKUP(ROUND(CONCATENATE($A105,BF$2),0),'Cadastro dos Padrões'!$A$2:$V$4400,BF$1,FALSE))</f>
        <v>-</v>
      </c>
      <c r="BG105" s="31" t="str">
        <f>IF(VLOOKUP(ROUND(CONCATENATE($A105,BG$2),0),'Cadastro dos Padrões'!$A$2:$V$4400,BG$1,FALSE)="","-",VLOOKUP(ROUND(CONCATENATE($A105,BG$2),0),'Cadastro dos Padrões'!$A$2:$V$4400,BG$1,FALSE))</f>
        <v>-</v>
      </c>
      <c r="BH105" s="31" t="str">
        <f>IF(VLOOKUP(ROUND(CONCATENATE($A105,BH$2),0),'Cadastro dos Padrões'!$A$2:$V$4400,BH$1,FALSE)="","-",VLOOKUP(ROUND(CONCATENATE($A105,BH$2),0),'Cadastro dos Padrões'!$A$2:$V$4400,BH$1,FALSE))</f>
        <v>-</v>
      </c>
      <c r="BI105" s="31" t="str">
        <f>IF(VLOOKUP(ROUND(CONCATENATE($A105,BI$2),0),'Cadastro dos Padrões'!$A$2:$V$4400,BI$1,FALSE)="","-",VLOOKUP(ROUND(CONCATENATE($A105,BI$2),0),'Cadastro dos Padrões'!$A$2:$V$4400,BI$1,FALSE))</f>
        <v>-</v>
      </c>
      <c r="BJ105" s="31" t="str">
        <f>IF(VLOOKUP(ROUND(CONCATENATE($A105,BJ$2),0),'Cadastro dos Padrões'!$A$2:$V$4400,BJ$1,FALSE)="","-",VLOOKUP(ROUND(CONCATENATE($A105,BJ$2),0),'Cadastro dos Padrões'!$A$2:$V$4400,BJ$1,FALSE))</f>
        <v>-</v>
      </c>
      <c r="BK105" s="31" t="str">
        <f>IF(VLOOKUP(ROUND(CONCATENATE($A105,BK$2),0),'Cadastro dos Padrões'!$A$2:$V$4400,BK$1,FALSE)="","-",VLOOKUP(ROUND(CONCATENATE($A105,BK$2),0),'Cadastro dos Padrões'!$A$2:$V$4400,BK$1,FALSE))</f>
        <v>-</v>
      </c>
      <c r="BL105" s="31" t="str">
        <f>IF(VLOOKUP(ROUND(CONCATENATE($A105,BL$2),0),'Cadastro dos Padrões'!$A$2:$V$4400,BL$1,FALSE)="","-",VLOOKUP(ROUND(CONCATENATE($A105,BL$2),0),'Cadastro dos Padrões'!$A$2:$V$4400,BL$1,FALSE))</f>
        <v>-</v>
      </c>
      <c r="BM105" s="31" t="str">
        <f>IF(VLOOKUP(ROUND(CONCATENATE($A105,BM$2),0),'Cadastro dos Padrões'!$A$2:$V$4400,BM$1,FALSE)="","-",VLOOKUP(ROUND(CONCATENATE($A105,BM$2),0),'Cadastro dos Padrões'!$A$2:$V$4400,BM$1,FALSE))</f>
        <v>-</v>
      </c>
      <c r="BN105" s="31" t="str">
        <f>IF(VLOOKUP(ROUND(CONCATENATE($A105,BN$2),0),'Cadastro dos Padrões'!$A$2:$V$4400,BN$1,FALSE)="","-",VLOOKUP(ROUND(CONCATENATE($A105,BN$2),0),'Cadastro dos Padrões'!$A$2:$V$4400,BN$1,FALSE))</f>
        <v>-</v>
      </c>
      <c r="BO105" s="31" t="str">
        <f>IF(VLOOKUP(ROUND(CONCATENATE($A105,BO$2),0),'Cadastro dos Padrões'!$A$2:$V$4400,BO$1,FALSE)="","-",VLOOKUP(ROUND(CONCATENATE($A105,BO$2),0),'Cadastro dos Padrões'!$A$2:$V$4400,BO$1,FALSE))</f>
        <v>-</v>
      </c>
    </row>
    <row r="106" spans="1:67" x14ac:dyDescent="0.3">
      <c r="A106" s="1">
        <v>1</v>
      </c>
      <c r="B106" s="1">
        <f>A106+1</f>
        <v>2</v>
      </c>
      <c r="C106" s="1">
        <f t="shared" ref="C106:BK106" si="53">B106+1</f>
        <v>3</v>
      </c>
      <c r="D106" s="1">
        <f t="shared" si="53"/>
        <v>4</v>
      </c>
      <c r="E106" s="1">
        <f t="shared" si="53"/>
        <v>5</v>
      </c>
      <c r="F106" s="1">
        <f t="shared" si="53"/>
        <v>6</v>
      </c>
      <c r="G106" s="1">
        <f t="shared" si="53"/>
        <v>7</v>
      </c>
      <c r="H106" s="1">
        <f t="shared" si="53"/>
        <v>8</v>
      </c>
      <c r="I106" s="1">
        <f t="shared" si="53"/>
        <v>9</v>
      </c>
      <c r="J106" s="1">
        <f t="shared" si="53"/>
        <v>10</v>
      </c>
      <c r="K106" s="1">
        <f t="shared" si="53"/>
        <v>11</v>
      </c>
      <c r="L106" s="1">
        <f t="shared" si="53"/>
        <v>12</v>
      </c>
      <c r="M106" s="1">
        <f t="shared" si="53"/>
        <v>13</v>
      </c>
      <c r="N106" s="1">
        <f t="shared" si="53"/>
        <v>14</v>
      </c>
      <c r="O106" s="1">
        <f t="shared" si="53"/>
        <v>15</v>
      </c>
      <c r="P106" s="1">
        <f t="shared" si="53"/>
        <v>16</v>
      </c>
      <c r="Q106" s="1">
        <f t="shared" si="53"/>
        <v>17</v>
      </c>
      <c r="R106" s="1">
        <f t="shared" si="53"/>
        <v>18</v>
      </c>
      <c r="S106" s="1">
        <f t="shared" si="53"/>
        <v>19</v>
      </c>
      <c r="T106" s="1">
        <f t="shared" si="53"/>
        <v>20</v>
      </c>
      <c r="U106" s="1">
        <f t="shared" si="53"/>
        <v>21</v>
      </c>
      <c r="V106" s="1">
        <f t="shared" si="53"/>
        <v>22</v>
      </c>
      <c r="W106" s="1">
        <f t="shared" si="53"/>
        <v>23</v>
      </c>
      <c r="X106" s="1">
        <f t="shared" si="53"/>
        <v>24</v>
      </c>
      <c r="Y106" s="1">
        <f t="shared" si="53"/>
        <v>25</v>
      </c>
      <c r="Z106" s="1">
        <f t="shared" si="53"/>
        <v>26</v>
      </c>
      <c r="AA106" s="1">
        <f t="shared" si="53"/>
        <v>27</v>
      </c>
      <c r="AB106" s="1">
        <f t="shared" si="53"/>
        <v>28</v>
      </c>
      <c r="AC106" s="1">
        <f t="shared" si="53"/>
        <v>29</v>
      </c>
      <c r="AD106" s="1">
        <f t="shared" si="53"/>
        <v>30</v>
      </c>
      <c r="AE106" s="1">
        <f t="shared" si="53"/>
        <v>31</v>
      </c>
      <c r="AF106" s="1">
        <f t="shared" si="53"/>
        <v>32</v>
      </c>
      <c r="AG106" s="1">
        <f t="shared" si="53"/>
        <v>33</v>
      </c>
      <c r="AH106" s="1">
        <f t="shared" si="53"/>
        <v>34</v>
      </c>
      <c r="AI106" s="1">
        <f t="shared" si="53"/>
        <v>35</v>
      </c>
      <c r="AJ106" s="1">
        <f t="shared" si="53"/>
        <v>36</v>
      </c>
      <c r="AK106" s="1">
        <f t="shared" si="53"/>
        <v>37</v>
      </c>
      <c r="AL106" s="1">
        <f t="shared" si="53"/>
        <v>38</v>
      </c>
      <c r="AM106" s="1">
        <f t="shared" si="53"/>
        <v>39</v>
      </c>
      <c r="AN106" s="1">
        <f t="shared" si="53"/>
        <v>40</v>
      </c>
      <c r="AO106" s="1">
        <f t="shared" si="53"/>
        <v>41</v>
      </c>
      <c r="AP106" s="1">
        <f t="shared" si="53"/>
        <v>42</v>
      </c>
      <c r="AQ106" s="1">
        <f t="shared" si="53"/>
        <v>43</v>
      </c>
      <c r="AR106" s="1">
        <f t="shared" si="53"/>
        <v>44</v>
      </c>
      <c r="AS106" s="1">
        <f t="shared" si="53"/>
        <v>45</v>
      </c>
      <c r="AT106" s="1">
        <f t="shared" si="53"/>
        <v>46</v>
      </c>
      <c r="AU106" s="1">
        <f t="shared" si="53"/>
        <v>47</v>
      </c>
      <c r="AV106" s="1">
        <f t="shared" si="53"/>
        <v>48</v>
      </c>
      <c r="AW106" s="1">
        <f t="shared" si="53"/>
        <v>49</v>
      </c>
      <c r="AX106" s="1">
        <f t="shared" si="53"/>
        <v>50</v>
      </c>
      <c r="AY106" s="1">
        <f t="shared" si="53"/>
        <v>51</v>
      </c>
      <c r="AZ106" s="1">
        <f t="shared" si="53"/>
        <v>52</v>
      </c>
      <c r="BA106" s="1">
        <f t="shared" si="53"/>
        <v>53</v>
      </c>
      <c r="BB106" s="1">
        <f t="shared" si="53"/>
        <v>54</v>
      </c>
      <c r="BC106" s="1">
        <f t="shared" si="53"/>
        <v>55</v>
      </c>
      <c r="BD106" s="1">
        <f t="shared" si="53"/>
        <v>56</v>
      </c>
      <c r="BE106" s="1">
        <f t="shared" si="53"/>
        <v>57</v>
      </c>
      <c r="BF106" s="1">
        <f t="shared" si="53"/>
        <v>58</v>
      </c>
      <c r="BG106" s="1">
        <f t="shared" si="53"/>
        <v>59</v>
      </c>
      <c r="BH106" s="1">
        <f t="shared" si="53"/>
        <v>60</v>
      </c>
      <c r="BI106" s="1">
        <f t="shared" si="53"/>
        <v>61</v>
      </c>
      <c r="BJ106" s="1">
        <f t="shared" si="53"/>
        <v>62</v>
      </c>
      <c r="BK106" s="1">
        <f t="shared" si="53"/>
        <v>63</v>
      </c>
      <c r="BL106" s="1">
        <f t="shared" ref="BL106:BO106" si="54">BK106+1</f>
        <v>64</v>
      </c>
      <c r="BM106" s="1">
        <f t="shared" si="54"/>
        <v>65</v>
      </c>
      <c r="BN106" s="1">
        <f t="shared" si="54"/>
        <v>66</v>
      </c>
      <c r="BO106" s="1">
        <f t="shared" si="54"/>
        <v>67</v>
      </c>
    </row>
  </sheetData>
  <sheetProtection algorithmName="SHA-512" hashValue="vzR27CBA0zySX2NmeHWj+D36wW8fuHEFBrkLEAKsAFqGFv5BdOGBMNqP6yK+QIxQv/KcpgxIZmxH9dyb9onYGg==" saltValue="bY83abiN2tYotzJeH1oT5w==" spinCount="100000" sheet="1" autoFilter="0"/>
  <autoFilter ref="A5:BO106" xr:uid="{00000000-0001-0000-0000-000000000000}"/>
  <mergeCells count="11">
    <mergeCell ref="BL4:BO4"/>
    <mergeCell ref="Q4:AA4"/>
    <mergeCell ref="AB4:AE4"/>
    <mergeCell ref="AF4:AI4"/>
    <mergeCell ref="AJ4:AM4"/>
    <mergeCell ref="AN4:AQ4"/>
    <mergeCell ref="AR4:AU4"/>
    <mergeCell ref="AV4:AY4"/>
    <mergeCell ref="AZ4:BC4"/>
    <mergeCell ref="BD4:BG4"/>
    <mergeCell ref="BH4:BK4"/>
  </mergeCells>
  <conditionalFormatting sqref="I6:I105">
    <cfRule type="cellIs" dxfId="0" priority="1" operator="lessThan">
      <formula>$I$3</formula>
    </cfRule>
  </conditionalFormatting>
  <pageMargins left="0.511811024" right="0.511811024" top="0.78740157499999996" bottom="0.78740157499999996" header="0.31496062000000002" footer="0.31496062000000002"/>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lha2"/>
  <dimension ref="A1:X4401"/>
  <sheetViews>
    <sheetView zoomScaleNormal="100" workbookViewId="0"/>
  </sheetViews>
  <sheetFormatPr defaultColWidth="13" defaultRowHeight="14.4" x14ac:dyDescent="0.3"/>
  <cols>
    <col min="1" max="1" width="7" style="1" bestFit="1" customWidth="1"/>
    <col min="2" max="16384" width="13" style="1"/>
  </cols>
  <sheetData>
    <row r="1" spans="1:24" x14ac:dyDescent="0.3">
      <c r="A1" s="1">
        <v>1</v>
      </c>
      <c r="B1" s="1">
        <f>A1+1</f>
        <v>2</v>
      </c>
      <c r="C1" s="1">
        <f t="shared" ref="C1:V1" si="0">B1+1</f>
        <v>3</v>
      </c>
      <c r="D1" s="1">
        <f t="shared" si="0"/>
        <v>4</v>
      </c>
      <c r="E1" s="1">
        <f t="shared" si="0"/>
        <v>5</v>
      </c>
      <c r="F1" s="1">
        <f t="shared" si="0"/>
        <v>6</v>
      </c>
      <c r="G1" s="1">
        <f t="shared" si="0"/>
        <v>7</v>
      </c>
      <c r="H1" s="1">
        <f t="shared" si="0"/>
        <v>8</v>
      </c>
      <c r="I1" s="1">
        <f t="shared" si="0"/>
        <v>9</v>
      </c>
      <c r="J1" s="1">
        <f t="shared" si="0"/>
        <v>10</v>
      </c>
      <c r="K1" s="1">
        <f t="shared" si="0"/>
        <v>11</v>
      </c>
      <c r="L1" s="1">
        <f t="shared" si="0"/>
        <v>12</v>
      </c>
      <c r="M1" s="1">
        <f t="shared" si="0"/>
        <v>13</v>
      </c>
      <c r="N1" s="1">
        <f t="shared" si="0"/>
        <v>14</v>
      </c>
      <c r="O1" s="1">
        <f t="shared" si="0"/>
        <v>15</v>
      </c>
      <c r="P1" s="1">
        <f t="shared" si="0"/>
        <v>16</v>
      </c>
      <c r="Q1" s="1">
        <f t="shared" si="0"/>
        <v>17</v>
      </c>
      <c r="R1" s="1">
        <f t="shared" si="0"/>
        <v>18</v>
      </c>
      <c r="S1" s="1">
        <f t="shared" si="0"/>
        <v>19</v>
      </c>
      <c r="T1" s="1">
        <f t="shared" si="0"/>
        <v>20</v>
      </c>
      <c r="U1" s="1">
        <f t="shared" si="0"/>
        <v>21</v>
      </c>
      <c r="V1" s="1">
        <f t="shared" si="0"/>
        <v>22</v>
      </c>
    </row>
    <row r="2" spans="1:24" x14ac:dyDescent="0.3">
      <c r="A2" s="1">
        <f t="shared" ref="A2:A44" si="1">ROUND(CONCATENATE(U2,V2),0)</f>
        <v>1201</v>
      </c>
      <c r="B2" s="134" t="s">
        <v>0</v>
      </c>
      <c r="C2" s="134"/>
      <c r="D2" s="140" t="s">
        <v>46</v>
      </c>
      <c r="E2" s="140"/>
      <c r="F2" s="140"/>
      <c r="G2" s="140"/>
      <c r="H2" s="140"/>
      <c r="J2" s="9"/>
      <c r="K2" s="9"/>
      <c r="L2" s="9"/>
      <c r="M2" s="9"/>
      <c r="N2" s="9"/>
      <c r="O2" s="9"/>
      <c r="P2" s="9"/>
      <c r="Q2" s="9"/>
      <c r="R2" s="9"/>
      <c r="S2" s="9"/>
      <c r="T2" s="9"/>
      <c r="U2" s="1">
        <v>1</v>
      </c>
      <c r="V2" s="1">
        <v>201</v>
      </c>
    </row>
    <row r="3" spans="1:24" x14ac:dyDescent="0.3">
      <c r="A3" s="1">
        <f t="shared" si="1"/>
        <v>1202</v>
      </c>
      <c r="B3" s="134" t="s">
        <v>1</v>
      </c>
      <c r="C3" s="134"/>
      <c r="D3" s="15">
        <v>20</v>
      </c>
      <c r="E3" s="16" t="s">
        <v>2</v>
      </c>
      <c r="F3" s="131"/>
      <c r="G3" s="131"/>
      <c r="H3" s="131"/>
      <c r="J3" s="9"/>
      <c r="K3" s="9"/>
      <c r="L3" s="9"/>
      <c r="M3" s="9"/>
      <c r="N3" s="9"/>
      <c r="O3" s="9"/>
      <c r="P3" s="9"/>
      <c r="Q3" s="9"/>
      <c r="R3" s="9"/>
      <c r="S3" s="9"/>
      <c r="T3" s="9"/>
      <c r="U3" s="1">
        <f>U2</f>
        <v>1</v>
      </c>
      <c r="V3" s="1">
        <f>V2+1</f>
        <v>202</v>
      </c>
      <c r="X3" s="1" t="s">
        <v>72</v>
      </c>
    </row>
    <row r="4" spans="1:24" x14ac:dyDescent="0.3">
      <c r="A4" s="1">
        <f t="shared" si="1"/>
        <v>1203</v>
      </c>
      <c r="B4" s="134" t="s">
        <v>12</v>
      </c>
      <c r="C4" s="134"/>
      <c r="D4" s="141" t="s">
        <v>279</v>
      </c>
      <c r="E4" s="141"/>
      <c r="F4" s="141"/>
      <c r="G4" s="141"/>
      <c r="H4" s="141"/>
      <c r="K4" s="1" t="s">
        <v>3</v>
      </c>
      <c r="L4" s="1" t="s">
        <v>4</v>
      </c>
      <c r="M4" s="1" t="s">
        <v>5</v>
      </c>
      <c r="N4" s="1" t="s">
        <v>6</v>
      </c>
      <c r="O4" s="1" t="s">
        <v>7</v>
      </c>
      <c r="P4" s="1" t="s">
        <v>8</v>
      </c>
      <c r="Q4" s="1" t="s">
        <v>9</v>
      </c>
      <c r="R4" s="1" t="s">
        <v>10</v>
      </c>
      <c r="S4" s="1" t="s">
        <v>11</v>
      </c>
      <c r="T4" s="9"/>
      <c r="U4" s="1">
        <f t="shared" ref="U4:U44" si="2">U3</f>
        <v>1</v>
      </c>
      <c r="V4" s="1">
        <f t="shared" ref="V4:V43" si="3">V3+1</f>
        <v>203</v>
      </c>
      <c r="X4" s="1" t="s">
        <v>69</v>
      </c>
    </row>
    <row r="5" spans="1:24" x14ac:dyDescent="0.3">
      <c r="A5" s="1">
        <f t="shared" si="1"/>
        <v>1204</v>
      </c>
      <c r="B5" s="134" t="s">
        <v>13</v>
      </c>
      <c r="C5" s="134"/>
      <c r="D5" s="141" t="s">
        <v>65</v>
      </c>
      <c r="E5" s="141"/>
      <c r="F5" s="141"/>
      <c r="G5" s="141"/>
      <c r="H5" s="141"/>
      <c r="J5" s="1">
        <f>COUNTA(B18:B27)</f>
        <v>6</v>
      </c>
      <c r="K5" s="1">
        <f t="shared" ref="K5:Q5" si="4">IF(L5-1&lt;2,0,L5-1)</f>
        <v>0</v>
      </c>
      <c r="L5" s="1">
        <f t="shared" si="4"/>
        <v>0</v>
      </c>
      <c r="M5" s="1">
        <f t="shared" si="4"/>
        <v>0</v>
      </c>
      <c r="N5" s="1">
        <f t="shared" si="4"/>
        <v>0</v>
      </c>
      <c r="O5" s="1">
        <f t="shared" si="4"/>
        <v>2</v>
      </c>
      <c r="P5" s="1">
        <f t="shared" si="4"/>
        <v>3</v>
      </c>
      <c r="Q5" s="1">
        <f t="shared" si="4"/>
        <v>4</v>
      </c>
      <c r="R5" s="1">
        <f>IF(S5-1&lt;2,0,S5-1)</f>
        <v>5</v>
      </c>
      <c r="S5" s="1">
        <f>J5</f>
        <v>6</v>
      </c>
      <c r="T5" s="9"/>
      <c r="U5" s="1">
        <f t="shared" si="2"/>
        <v>1</v>
      </c>
      <c r="V5" s="1">
        <f t="shared" si="3"/>
        <v>204</v>
      </c>
      <c r="X5" s="1" t="s">
        <v>71</v>
      </c>
    </row>
    <row r="6" spans="1:24" x14ac:dyDescent="0.3">
      <c r="A6" s="1">
        <f t="shared" si="1"/>
        <v>1205</v>
      </c>
      <c r="B6" s="134" t="s">
        <v>14</v>
      </c>
      <c r="C6" s="134"/>
      <c r="D6" s="141" t="s">
        <v>66</v>
      </c>
      <c r="E6" s="141"/>
      <c r="F6" s="141"/>
      <c r="G6" s="141"/>
      <c r="H6" s="141"/>
      <c r="J6" s="24" t="str">
        <f>CONCATENATE(J5,1)</f>
        <v>61</v>
      </c>
      <c r="K6" s="25">
        <f>IF(K5=0,0,VLOOKUP(J6,J10:S40,K5,FALSE))</f>
        <v>0</v>
      </c>
      <c r="L6" s="25">
        <f>IF(L5=0,0,VLOOKUP(J6,J10:S40,L5,FALSE))</f>
        <v>0</v>
      </c>
      <c r="M6" s="25">
        <f>IF(M5=0,0,VLOOKUP(J6,J10:S40,M5,FALSE))</f>
        <v>0</v>
      </c>
      <c r="N6" s="25">
        <f>IF(N5=0,0,VLOOKUP(J6,J10:S40,N5,FALSE))</f>
        <v>0</v>
      </c>
      <c r="O6" s="25">
        <f>IF(O5=0,0,VLOOKUP(J6,J10:S40,O5,FALSE))</f>
        <v>-3.2655712156056859E-7</v>
      </c>
      <c r="P6" s="25">
        <f>IF(P5=0,0,VLOOKUP(J6,J10:S40,P5,FALSE))</f>
        <v>6.0579675871904894E-5</v>
      </c>
      <c r="Q6" s="25">
        <f>IF(Q5=0,0,VLOOKUP(J6,J10:S40,Q5,FALSE))</f>
        <v>-3.7173888714108648E-3</v>
      </c>
      <c r="R6" s="25">
        <f>IF(R5=0,0,VLOOKUP(J6,J10:S40,R5,FALSE))</f>
        <v>1.0702837287214311</v>
      </c>
      <c r="S6" s="25">
        <f>IF(S5=0,0,VLOOKUP(J6,J10:S40,S5,FALSE))</f>
        <v>-0.14499576804372349</v>
      </c>
      <c r="T6" s="9"/>
      <c r="U6" s="1">
        <f t="shared" si="2"/>
        <v>1</v>
      </c>
      <c r="V6" s="1">
        <f t="shared" si="3"/>
        <v>205</v>
      </c>
    </row>
    <row r="7" spans="1:24" x14ac:dyDescent="0.3">
      <c r="A7" s="1">
        <f t="shared" si="1"/>
        <v>1206</v>
      </c>
      <c r="B7" s="134" t="s">
        <v>15</v>
      </c>
      <c r="C7" s="134"/>
      <c r="D7" s="141" t="s">
        <v>333</v>
      </c>
      <c r="E7" s="141"/>
      <c r="F7" s="141"/>
      <c r="G7" s="141"/>
      <c r="H7" s="141"/>
      <c r="J7" s="24" t="str">
        <f>CONCATENATE(J5,2)</f>
        <v>62</v>
      </c>
      <c r="K7" s="6">
        <f>IF(K5=0,0,VLOOKUP(J7,J10:S40,K5,FALSE))</f>
        <v>0</v>
      </c>
      <c r="L7" s="6">
        <f>IF(L5=0,0,VLOOKUP(J7,J10:S40,L5,FALSE))</f>
        <v>0</v>
      </c>
      <c r="M7" s="6">
        <f>IF(M5=0,0,VLOOKUP(J7,J10:S40,M5,FALSE))</f>
        <v>0</v>
      </c>
      <c r="N7" s="6">
        <f>IF(N5=0,0,VLOOKUP(J7,J10:S40,N5,FALSE))</f>
        <v>0</v>
      </c>
      <c r="O7" s="6">
        <f>IF(O5=0,0,VLOOKUP(J7,J10:S40,O5,FALSE))</f>
        <v>1.4325495610567517E-8</v>
      </c>
      <c r="P7" s="6">
        <f>IF(P5=0,0,VLOOKUP(J7,J10:S40,P5,FALSE))</f>
        <v>2.9658369107444516E-6</v>
      </c>
      <c r="Q7" s="6">
        <f>IF(Q5=0,0,VLOOKUP(J7,J10:S40,Q5,FALSE))</f>
        <v>2.0607722111254232E-4</v>
      </c>
      <c r="R7" s="6">
        <f>IF(R5=0,0,VLOOKUP(J7,J10:S40,R5,FALSE))</f>
        <v>5.3744502990713938E-3</v>
      </c>
      <c r="S7" s="6">
        <f>IF(S5=0,0,VLOOKUP(J7,J10:S40,S5,FALSE))</f>
        <v>3.9585232499867354E-2</v>
      </c>
      <c r="T7" s="9"/>
      <c r="U7" s="1">
        <f t="shared" si="2"/>
        <v>1</v>
      </c>
      <c r="V7" s="1">
        <f t="shared" si="3"/>
        <v>206</v>
      </c>
    </row>
    <row r="8" spans="1:24" x14ac:dyDescent="0.3">
      <c r="A8" s="1">
        <f t="shared" si="1"/>
        <v>1207</v>
      </c>
      <c r="B8" s="134" t="s">
        <v>16</v>
      </c>
      <c r="C8" s="134"/>
      <c r="D8" s="121">
        <v>45910</v>
      </c>
      <c r="E8" s="121"/>
      <c r="F8" s="121"/>
      <c r="G8" s="121"/>
      <c r="H8" s="121"/>
      <c r="J8" s="24" t="str">
        <f>CONCATENATE(J5,3)</f>
        <v>63</v>
      </c>
      <c r="K8" s="6"/>
      <c r="L8" s="6"/>
      <c r="M8" s="6"/>
      <c r="N8" s="6" t="s">
        <v>43</v>
      </c>
      <c r="O8" s="25">
        <f>J5-2</f>
        <v>4</v>
      </c>
      <c r="P8" s="6" t="s">
        <v>44</v>
      </c>
      <c r="Q8" s="25">
        <f>VLOOKUP(J8,J10:S40,3,FALSE)</f>
        <v>8.987611964784703E-3</v>
      </c>
      <c r="R8" s="6" t="s">
        <v>45</v>
      </c>
      <c r="S8" s="6">
        <f>VLOOKUP(J8,J10:S40,2,FALSE)</f>
        <v>0.99999998299428028</v>
      </c>
      <c r="T8" s="9"/>
      <c r="U8" s="1">
        <f t="shared" si="2"/>
        <v>1</v>
      </c>
      <c r="V8" s="1">
        <f t="shared" si="3"/>
        <v>207</v>
      </c>
    </row>
    <row r="9" spans="1:24" x14ac:dyDescent="0.3">
      <c r="A9" s="1">
        <f t="shared" si="1"/>
        <v>1208</v>
      </c>
      <c r="B9" s="134" t="s">
        <v>17</v>
      </c>
      <c r="C9" s="134"/>
      <c r="D9" s="122">
        <v>46295</v>
      </c>
      <c r="E9" s="122"/>
      <c r="F9" s="122"/>
      <c r="G9" s="122"/>
      <c r="H9" s="122"/>
      <c r="K9" s="1">
        <v>3</v>
      </c>
      <c r="L9" s="1">
        <v>3</v>
      </c>
      <c r="Q9" s="26"/>
      <c r="R9" s="26"/>
      <c r="S9" s="26"/>
      <c r="T9" s="9"/>
      <c r="U9" s="1">
        <f t="shared" si="2"/>
        <v>1</v>
      </c>
      <c r="V9" s="1">
        <f t="shared" si="3"/>
        <v>208</v>
      </c>
    </row>
    <row r="10" spans="1:24" x14ac:dyDescent="0.3">
      <c r="A10" s="1">
        <f t="shared" si="1"/>
        <v>1209</v>
      </c>
      <c r="B10" s="138" t="s">
        <v>19</v>
      </c>
      <c r="C10" s="138"/>
      <c r="D10" s="17">
        <v>0.01</v>
      </c>
      <c r="E10" s="132" t="s">
        <v>40</v>
      </c>
      <c r="F10" s="132"/>
      <c r="G10" s="132"/>
      <c r="H10" s="18" t="s">
        <v>72</v>
      </c>
      <c r="J10" s="24" t="str">
        <f>CONCATENATE(K9,1)</f>
        <v>31</v>
      </c>
      <c r="K10" s="6">
        <f t="array" ref="K10:L12">LINEST(B18:B20,C18:C20^{1},TRUE,TRUE)</f>
        <v>0.98424807507733236</v>
      </c>
      <c r="L10" s="6">
        <v>0.41678369009231275</v>
      </c>
      <c r="Q10" s="9"/>
      <c r="R10" s="9"/>
      <c r="S10" s="9"/>
      <c r="T10" s="9"/>
      <c r="U10" s="1">
        <f t="shared" si="2"/>
        <v>1</v>
      </c>
      <c r="V10" s="1">
        <f t="shared" si="3"/>
        <v>209</v>
      </c>
    </row>
    <row r="11" spans="1:24" x14ac:dyDescent="0.3">
      <c r="A11" s="1">
        <f t="shared" si="1"/>
        <v>1210</v>
      </c>
      <c r="B11" s="138" t="s">
        <v>41</v>
      </c>
      <c r="C11" s="138"/>
      <c r="D11" s="23">
        <f>MIN(B18:B27)</f>
        <v>10</v>
      </c>
      <c r="E11" s="20" t="s">
        <v>18</v>
      </c>
      <c r="F11" s="19">
        <f>MAX(B18:B27)</f>
        <v>90</v>
      </c>
      <c r="G11" s="21" t="str">
        <f>IF(H10="","",H10)</f>
        <v>%ur</v>
      </c>
      <c r="H11" s="22"/>
      <c r="J11" s="24" t="str">
        <f>CONCATENATE(K9,2)</f>
        <v>32</v>
      </c>
      <c r="K11" s="6">
        <v>1.9575744279855677E-3</v>
      </c>
      <c r="L11" s="6">
        <v>6.7207055897101894E-2</v>
      </c>
      <c r="Q11" s="9"/>
      <c r="R11" s="9"/>
      <c r="S11" s="9"/>
      <c r="T11" s="9"/>
      <c r="U11" s="1">
        <f t="shared" si="2"/>
        <v>1</v>
      </c>
      <c r="V11" s="1">
        <f t="shared" si="3"/>
        <v>210</v>
      </c>
    </row>
    <row r="12" spans="1:24" x14ac:dyDescent="0.3">
      <c r="A12" s="1">
        <f t="shared" si="1"/>
        <v>1211</v>
      </c>
      <c r="J12" s="24" t="str">
        <f>CONCATENATE(K9,3)</f>
        <v>33</v>
      </c>
      <c r="K12" s="6">
        <v>0.9999960442785697</v>
      </c>
      <c r="L12" s="6">
        <v>5.6254574429793536E-2</v>
      </c>
      <c r="Q12" s="9"/>
      <c r="R12" s="9"/>
      <c r="S12" s="9"/>
      <c r="T12" s="9"/>
      <c r="U12" s="1">
        <f t="shared" si="2"/>
        <v>1</v>
      </c>
      <c r="V12" s="1">
        <f t="shared" si="3"/>
        <v>211</v>
      </c>
    </row>
    <row r="13" spans="1:24" x14ac:dyDescent="0.3">
      <c r="A13" s="1">
        <f t="shared" si="1"/>
        <v>1212</v>
      </c>
      <c r="B13" s="82" t="s">
        <v>20</v>
      </c>
      <c r="C13" s="83"/>
      <c r="D13" s="83"/>
      <c r="E13" s="83"/>
      <c r="F13" s="84"/>
      <c r="G13" s="85" t="s">
        <v>31</v>
      </c>
      <c r="H13" s="139"/>
      <c r="K13" s="1">
        <v>4</v>
      </c>
      <c r="L13" s="1">
        <v>4</v>
      </c>
      <c r="M13" s="1">
        <v>4</v>
      </c>
      <c r="Q13" s="9"/>
      <c r="R13" s="9"/>
      <c r="S13" s="9"/>
      <c r="T13" s="9"/>
      <c r="U13" s="1">
        <f t="shared" si="2"/>
        <v>1</v>
      </c>
      <c r="V13" s="1">
        <f t="shared" si="3"/>
        <v>212</v>
      </c>
    </row>
    <row r="14" spans="1:24" x14ac:dyDescent="0.3">
      <c r="A14" s="1">
        <f t="shared" si="1"/>
        <v>1213</v>
      </c>
      <c r="B14" s="133" t="s">
        <v>30</v>
      </c>
      <c r="C14" s="133"/>
      <c r="D14" s="133"/>
      <c r="E14" s="134" t="str">
        <f>D7</f>
        <v>E0643A/25</v>
      </c>
      <c r="F14" s="134"/>
      <c r="G14" s="6" t="s">
        <v>32</v>
      </c>
      <c r="H14" s="7" t="s">
        <v>280</v>
      </c>
      <c r="J14" s="24" t="str">
        <f t="shared" ref="J14" si="5">CONCATENATE(K13,1)</f>
        <v>41</v>
      </c>
      <c r="K14" s="6">
        <f t="array" ref="K14:M16">LINEST(B18:B21,C18:C21^{1,2},TRUE,TRUE)</f>
        <v>9.0170811651768174E-5</v>
      </c>
      <c r="L14" s="6">
        <v>0.97987517466754381</v>
      </c>
      <c r="M14" s="6">
        <v>0.44910965588237628</v>
      </c>
      <c r="Q14" s="9"/>
      <c r="R14" s="9"/>
      <c r="S14" s="9"/>
      <c r="T14" s="9"/>
      <c r="U14" s="1">
        <f t="shared" si="2"/>
        <v>1</v>
      </c>
      <c r="V14" s="1">
        <f t="shared" si="3"/>
        <v>213</v>
      </c>
    </row>
    <row r="15" spans="1:24" x14ac:dyDescent="0.3">
      <c r="A15" s="1">
        <f t="shared" si="1"/>
        <v>1214</v>
      </c>
      <c r="B15" s="2" t="s">
        <v>21</v>
      </c>
      <c r="C15" s="2" t="s">
        <v>22</v>
      </c>
      <c r="D15" s="2" t="s">
        <v>23</v>
      </c>
      <c r="E15" s="2"/>
      <c r="F15" s="2" t="s">
        <v>28</v>
      </c>
      <c r="G15" s="2" t="s">
        <v>21</v>
      </c>
      <c r="H15" s="2" t="s">
        <v>22</v>
      </c>
      <c r="J15" s="24" t="str">
        <f t="shared" ref="J15" si="6">CONCATENATE(K13,2)</f>
        <v>42</v>
      </c>
      <c r="K15" s="6">
        <v>1.1619960696178627E-4</v>
      </c>
      <c r="L15" s="6">
        <v>9.557809585753696E-3</v>
      </c>
      <c r="M15" s="6">
        <v>0.1600285002515818</v>
      </c>
      <c r="Q15" s="9"/>
      <c r="R15" s="9"/>
      <c r="S15" s="9"/>
      <c r="T15" s="9"/>
      <c r="U15" s="1">
        <f t="shared" si="2"/>
        <v>1</v>
      </c>
      <c r="V15" s="1">
        <f t="shared" si="3"/>
        <v>214</v>
      </c>
    </row>
    <row r="16" spans="1:24" x14ac:dyDescent="0.3">
      <c r="A16" s="1">
        <f t="shared" si="1"/>
        <v>1215</v>
      </c>
      <c r="B16" s="2" t="s">
        <v>24</v>
      </c>
      <c r="C16" s="2" t="s">
        <v>25</v>
      </c>
      <c r="D16" s="2" t="s">
        <v>26</v>
      </c>
      <c r="E16" s="2" t="s">
        <v>27</v>
      </c>
      <c r="F16" s="2" t="s">
        <v>29</v>
      </c>
      <c r="G16" s="2" t="s">
        <v>24</v>
      </c>
      <c r="H16" s="2" t="s">
        <v>25</v>
      </c>
      <c r="J16" s="24" t="str">
        <f t="shared" ref="J16" si="7">CONCATENATE(K13,3)</f>
        <v>43</v>
      </c>
      <c r="K16" s="6">
        <v>0.99999547825419177</v>
      </c>
      <c r="L16" s="6">
        <v>9.5097274495652862E-2</v>
      </c>
      <c r="M16" s="6" t="e">
        <v>#N/A</v>
      </c>
      <c r="Q16" s="9"/>
      <c r="R16" s="9"/>
      <c r="S16" s="9"/>
      <c r="T16" s="9"/>
      <c r="U16" s="1">
        <f t="shared" si="2"/>
        <v>1</v>
      </c>
      <c r="V16" s="1">
        <f t="shared" si="3"/>
        <v>215</v>
      </c>
    </row>
    <row r="17" spans="1:22" x14ac:dyDescent="0.3">
      <c r="A17" s="1">
        <f t="shared" si="1"/>
        <v>1216</v>
      </c>
      <c r="B17" s="3" t="str">
        <f>H10</f>
        <v>%ur</v>
      </c>
      <c r="C17" s="3" t="str">
        <f>B17</f>
        <v>%ur</v>
      </c>
      <c r="D17" s="3" t="str">
        <f>C17</f>
        <v>%ur</v>
      </c>
      <c r="E17" s="3"/>
      <c r="F17" s="3"/>
      <c r="G17" s="3" t="str">
        <f>D17</f>
        <v>%ur</v>
      </c>
      <c r="H17" s="3" t="str">
        <f>G17</f>
        <v>%ur</v>
      </c>
      <c r="K17" s="1">
        <v>5</v>
      </c>
      <c r="L17" s="1">
        <v>5</v>
      </c>
      <c r="M17" s="1">
        <v>5</v>
      </c>
      <c r="N17" s="1">
        <v>5</v>
      </c>
      <c r="Q17" s="9"/>
      <c r="R17" s="9"/>
      <c r="S17" s="9"/>
      <c r="T17" s="9"/>
      <c r="U17" s="1">
        <f t="shared" si="2"/>
        <v>1</v>
      </c>
      <c r="V17" s="1">
        <f t="shared" si="3"/>
        <v>216</v>
      </c>
    </row>
    <row r="18" spans="1:22" x14ac:dyDescent="0.3">
      <c r="A18" s="1">
        <f t="shared" si="1"/>
        <v>1217</v>
      </c>
      <c r="B18" s="4">
        <v>10</v>
      </c>
      <c r="C18" s="4">
        <v>9.76</v>
      </c>
      <c r="D18" s="4">
        <v>0.81</v>
      </c>
      <c r="E18" s="4">
        <v>2</v>
      </c>
      <c r="F18" s="14">
        <v>1000000</v>
      </c>
      <c r="G18" s="42">
        <v>10</v>
      </c>
      <c r="H18" s="42">
        <v>9.4499999999999993</v>
      </c>
      <c r="J18" s="24" t="str">
        <f t="shared" ref="J18" si="8">CONCATENATE(K17,1)</f>
        <v>51</v>
      </c>
      <c r="K18" s="6">
        <f t="array" ref="K18:N20">LINEST(B18:B22,C18:C22^{1,2,3},TRUE,TRUE)</f>
        <v>3.4931098741892315E-7</v>
      </c>
      <c r="L18" s="6">
        <v>-4.6379147483341492E-6</v>
      </c>
      <c r="M18" s="6">
        <v>0.98488732892031905</v>
      </c>
      <c r="N18" s="6">
        <v>0.39738653652115558</v>
      </c>
      <c r="Q18" s="9"/>
      <c r="R18" s="9"/>
      <c r="S18" s="9"/>
      <c r="T18" s="9"/>
      <c r="U18" s="1">
        <f t="shared" si="2"/>
        <v>1</v>
      </c>
      <c r="V18" s="1">
        <f t="shared" si="3"/>
        <v>217</v>
      </c>
    </row>
    <row r="19" spans="1:22" x14ac:dyDescent="0.3">
      <c r="A19" s="1">
        <f t="shared" si="1"/>
        <v>1218</v>
      </c>
      <c r="B19" s="4">
        <v>30</v>
      </c>
      <c r="C19" s="4">
        <v>30.01</v>
      </c>
      <c r="D19" s="4">
        <v>0.94</v>
      </c>
      <c r="E19" s="4">
        <v>2</v>
      </c>
      <c r="F19" s="14">
        <v>1000000</v>
      </c>
      <c r="G19" s="42">
        <v>30.01</v>
      </c>
      <c r="H19" s="42">
        <v>29.66</v>
      </c>
      <c r="J19" s="24" t="str">
        <f t="shared" ref="J19" si="9">CONCATENATE(K17,2)</f>
        <v>52</v>
      </c>
      <c r="K19" s="6">
        <v>5.5514213845289005E-6</v>
      </c>
      <c r="L19" s="6">
        <v>7.5214499756775383E-4</v>
      </c>
      <c r="M19" s="6">
        <v>2.8926046958881929E-2</v>
      </c>
      <c r="N19" s="6">
        <v>0.2879620473985654</v>
      </c>
      <c r="T19" s="9"/>
      <c r="U19" s="1">
        <f t="shared" si="2"/>
        <v>1</v>
      </c>
      <c r="V19" s="1">
        <f t="shared" si="3"/>
        <v>218</v>
      </c>
    </row>
    <row r="20" spans="1:22" x14ac:dyDescent="0.3">
      <c r="A20" s="1">
        <f t="shared" si="1"/>
        <v>1219</v>
      </c>
      <c r="B20" s="4">
        <v>50</v>
      </c>
      <c r="C20" s="4">
        <v>50.4</v>
      </c>
      <c r="D20" s="4">
        <v>1.1000000000000001</v>
      </c>
      <c r="E20" s="4">
        <v>2</v>
      </c>
      <c r="F20" s="14">
        <v>1000000</v>
      </c>
      <c r="G20" s="42">
        <v>50</v>
      </c>
      <c r="H20" s="42">
        <v>50.5</v>
      </c>
      <c r="J20" s="24" t="str">
        <f t="shared" ref="J20" si="10">CONCATENATE(K17,3)</f>
        <v>53</v>
      </c>
      <c r="K20" s="6">
        <v>0.99999628909657967</v>
      </c>
      <c r="L20" s="6">
        <v>0.11032571422176707</v>
      </c>
      <c r="M20" s="6" t="e">
        <v>#N/A</v>
      </c>
      <c r="N20" s="6" t="e">
        <v>#N/A</v>
      </c>
      <c r="T20" s="9"/>
      <c r="U20" s="1">
        <f t="shared" si="2"/>
        <v>1</v>
      </c>
      <c r="V20" s="1">
        <f t="shared" si="3"/>
        <v>219</v>
      </c>
    </row>
    <row r="21" spans="1:22" x14ac:dyDescent="0.3">
      <c r="A21" s="1">
        <f t="shared" si="1"/>
        <v>1220</v>
      </c>
      <c r="B21" s="4">
        <v>70</v>
      </c>
      <c r="C21" s="4">
        <v>70.5</v>
      </c>
      <c r="D21" s="4">
        <v>1.1000000000000001</v>
      </c>
      <c r="E21" s="4">
        <v>2</v>
      </c>
      <c r="F21" s="14">
        <v>1000000</v>
      </c>
      <c r="G21" s="42">
        <v>70</v>
      </c>
      <c r="H21" s="42">
        <v>71.400000000000006</v>
      </c>
      <c r="K21" s="1">
        <v>6</v>
      </c>
      <c r="L21" s="1">
        <v>6</v>
      </c>
      <c r="M21" s="1">
        <v>6</v>
      </c>
      <c r="N21" s="1">
        <v>6</v>
      </c>
      <c r="O21" s="1">
        <v>6</v>
      </c>
      <c r="T21" s="9"/>
      <c r="U21" s="1">
        <f t="shared" si="2"/>
        <v>1</v>
      </c>
      <c r="V21" s="1">
        <f t="shared" si="3"/>
        <v>220</v>
      </c>
    </row>
    <row r="22" spans="1:22" x14ac:dyDescent="0.3">
      <c r="A22" s="1">
        <f t="shared" si="1"/>
        <v>1221</v>
      </c>
      <c r="B22" s="4">
        <v>80</v>
      </c>
      <c r="C22" s="4">
        <v>80.7</v>
      </c>
      <c r="D22" s="4">
        <v>1.2</v>
      </c>
      <c r="E22" s="4">
        <v>2</v>
      </c>
      <c r="F22" s="14">
        <v>1000000</v>
      </c>
      <c r="G22" s="42">
        <v>80</v>
      </c>
      <c r="H22" s="42">
        <v>82.1</v>
      </c>
      <c r="J22" s="24" t="str">
        <f t="shared" ref="J22" si="11">CONCATENATE(K21,1)</f>
        <v>61</v>
      </c>
      <c r="K22" s="6">
        <f t="array" ref="K22:O24">LINEST(B18:B23,C18:C23^{1,2,3,4},TRUE,TRUE)</f>
        <v>-3.2655712156056859E-7</v>
      </c>
      <c r="L22" s="6">
        <v>6.0579675871904894E-5</v>
      </c>
      <c r="M22" s="6">
        <v>-3.7173888714108648E-3</v>
      </c>
      <c r="N22" s="6">
        <v>1.0702837287214311</v>
      </c>
      <c r="O22" s="6">
        <v>-0.14499576804372349</v>
      </c>
      <c r="T22" s="9"/>
      <c r="U22" s="1">
        <f t="shared" si="2"/>
        <v>1</v>
      </c>
      <c r="V22" s="1">
        <f t="shared" si="3"/>
        <v>221</v>
      </c>
    </row>
    <row r="23" spans="1:22" x14ac:dyDescent="0.3">
      <c r="A23" s="1">
        <f t="shared" si="1"/>
        <v>1222</v>
      </c>
      <c r="B23" s="4">
        <v>90</v>
      </c>
      <c r="C23" s="4">
        <v>91.3</v>
      </c>
      <c r="D23" s="4">
        <v>1.2</v>
      </c>
      <c r="E23" s="4">
        <v>2</v>
      </c>
      <c r="F23" s="14">
        <v>1000000</v>
      </c>
      <c r="G23" s="42">
        <v>90</v>
      </c>
      <c r="H23" s="42">
        <v>92.8</v>
      </c>
      <c r="J23" s="24" t="str">
        <f t="shared" ref="J23" si="12">CONCATENATE(K21,2)</f>
        <v>62</v>
      </c>
      <c r="K23" s="6">
        <v>1.4325495610567517E-8</v>
      </c>
      <c r="L23" s="6">
        <v>2.9658369107444516E-6</v>
      </c>
      <c r="M23" s="6">
        <v>2.0607722111254232E-4</v>
      </c>
      <c r="N23" s="6">
        <v>5.3744502990713938E-3</v>
      </c>
      <c r="O23" s="6">
        <v>3.9585232499867354E-2</v>
      </c>
      <c r="T23" s="9"/>
      <c r="U23" s="1">
        <f t="shared" si="2"/>
        <v>1</v>
      </c>
      <c r="V23" s="1">
        <f t="shared" si="3"/>
        <v>222</v>
      </c>
    </row>
    <row r="24" spans="1:22" x14ac:dyDescent="0.3">
      <c r="A24" s="1">
        <f t="shared" si="1"/>
        <v>1223</v>
      </c>
      <c r="B24" s="4"/>
      <c r="C24" s="4"/>
      <c r="D24" s="4"/>
      <c r="E24" s="4"/>
      <c r="F24" s="14"/>
      <c r="G24" s="8"/>
      <c r="H24" s="7"/>
      <c r="J24" s="24" t="str">
        <f t="shared" ref="J24" si="13">CONCATENATE(K21,3)</f>
        <v>63</v>
      </c>
      <c r="K24" s="6">
        <v>0.99999998299428028</v>
      </c>
      <c r="L24" s="6">
        <v>8.987611964784703E-3</v>
      </c>
      <c r="M24" s="6" t="e">
        <v>#N/A</v>
      </c>
      <c r="N24" s="6" t="e">
        <v>#N/A</v>
      </c>
      <c r="O24" s="6" t="e">
        <v>#N/A</v>
      </c>
      <c r="T24" s="9"/>
      <c r="U24" s="1">
        <f t="shared" si="2"/>
        <v>1</v>
      </c>
      <c r="V24" s="1">
        <f t="shared" si="3"/>
        <v>223</v>
      </c>
    </row>
    <row r="25" spans="1:22" x14ac:dyDescent="0.3">
      <c r="A25" s="1">
        <f t="shared" si="1"/>
        <v>1224</v>
      </c>
      <c r="B25" s="4"/>
      <c r="C25" s="4"/>
      <c r="D25" s="4"/>
      <c r="E25" s="4"/>
      <c r="F25" s="14"/>
      <c r="G25" s="8"/>
      <c r="H25" s="7"/>
      <c r="K25" s="1">
        <v>7</v>
      </c>
      <c r="L25" s="1">
        <v>7</v>
      </c>
      <c r="M25" s="1">
        <v>7</v>
      </c>
      <c r="N25" s="1">
        <v>7</v>
      </c>
      <c r="O25" s="1">
        <v>7</v>
      </c>
      <c r="P25" s="1">
        <v>7</v>
      </c>
      <c r="T25" s="9"/>
      <c r="U25" s="1">
        <f t="shared" si="2"/>
        <v>1</v>
      </c>
      <c r="V25" s="1">
        <f t="shared" si="3"/>
        <v>224</v>
      </c>
    </row>
    <row r="26" spans="1:22" x14ac:dyDescent="0.3">
      <c r="A26" s="1">
        <f t="shared" si="1"/>
        <v>1225</v>
      </c>
      <c r="B26" s="4"/>
      <c r="C26" s="4"/>
      <c r="D26" s="4"/>
      <c r="E26" s="4"/>
      <c r="F26" s="14"/>
      <c r="G26" s="8"/>
      <c r="H26" s="7"/>
      <c r="J26" s="24" t="str">
        <f t="shared" ref="J26" si="14">CONCATENATE(K25,1)</f>
        <v>71</v>
      </c>
      <c r="K26" s="6" t="e">
        <f t="array" ref="K26:P28">LINEST(B18:B24,C18:C24^{1,2,3,4,5},TRUE,TRUE)</f>
        <v>#VALUE!</v>
      </c>
      <c r="L26" s="6" t="e">
        <v>#VALUE!</v>
      </c>
      <c r="M26" s="6" t="e">
        <v>#VALUE!</v>
      </c>
      <c r="N26" s="6" t="e">
        <v>#VALUE!</v>
      </c>
      <c r="O26" s="6" t="e">
        <v>#VALUE!</v>
      </c>
      <c r="P26" s="6" t="e">
        <v>#VALUE!</v>
      </c>
      <c r="T26" s="9"/>
      <c r="U26" s="1">
        <f t="shared" si="2"/>
        <v>1</v>
      </c>
      <c r="V26" s="1">
        <f t="shared" si="3"/>
        <v>225</v>
      </c>
    </row>
    <row r="27" spans="1:22" x14ac:dyDescent="0.3">
      <c r="A27" s="1">
        <f t="shared" si="1"/>
        <v>1226</v>
      </c>
      <c r="B27" s="4"/>
      <c r="C27" s="4"/>
      <c r="D27" s="4"/>
      <c r="E27" s="4"/>
      <c r="F27" s="14"/>
      <c r="G27" s="8"/>
      <c r="H27" s="7"/>
      <c r="J27" s="24" t="str">
        <f t="shared" ref="J27" si="15">CONCATENATE(K25,2)</f>
        <v>72</v>
      </c>
      <c r="K27" s="6" t="e">
        <v>#VALUE!</v>
      </c>
      <c r="L27" s="6" t="e">
        <v>#VALUE!</v>
      </c>
      <c r="M27" s="6" t="e">
        <v>#VALUE!</v>
      </c>
      <c r="N27" s="6" t="e">
        <v>#VALUE!</v>
      </c>
      <c r="O27" s="6" t="e">
        <v>#VALUE!</v>
      </c>
      <c r="P27" s="6" t="e">
        <v>#VALUE!</v>
      </c>
      <c r="T27" s="9"/>
      <c r="U27" s="1">
        <f t="shared" si="2"/>
        <v>1</v>
      </c>
      <c r="V27" s="1">
        <f t="shared" si="3"/>
        <v>226</v>
      </c>
    </row>
    <row r="28" spans="1:22" x14ac:dyDescent="0.3">
      <c r="A28" s="1">
        <f t="shared" si="1"/>
        <v>1227</v>
      </c>
      <c r="B28" s="9"/>
      <c r="C28" s="9"/>
      <c r="D28" s="9"/>
      <c r="E28" s="9"/>
      <c r="F28" s="9"/>
      <c r="G28" s="9"/>
      <c r="H28" s="9"/>
      <c r="J28" s="24" t="str">
        <f t="shared" ref="J28" si="16">CONCATENATE(K25,3)</f>
        <v>73</v>
      </c>
      <c r="K28" s="6" t="e">
        <v>#VALUE!</v>
      </c>
      <c r="L28" s="6" t="e">
        <v>#VALUE!</v>
      </c>
      <c r="M28" s="6" t="e">
        <v>#VALUE!</v>
      </c>
      <c r="N28" s="6" t="e">
        <v>#VALUE!</v>
      </c>
      <c r="O28" s="6" t="e">
        <v>#VALUE!</v>
      </c>
      <c r="P28" s="6" t="e">
        <v>#VALUE!</v>
      </c>
      <c r="T28" s="9"/>
      <c r="U28" s="1">
        <f t="shared" si="2"/>
        <v>1</v>
      </c>
      <c r="V28" s="1">
        <f t="shared" si="3"/>
        <v>227</v>
      </c>
    </row>
    <row r="29" spans="1:22" x14ac:dyDescent="0.3">
      <c r="A29" s="1">
        <f t="shared" si="1"/>
        <v>1228</v>
      </c>
      <c r="B29" s="135" t="s">
        <v>33</v>
      </c>
      <c r="C29" s="135"/>
      <c r="D29" s="135"/>
      <c r="E29" s="135"/>
      <c r="F29" s="135"/>
      <c r="G29" s="135"/>
      <c r="H29" s="135"/>
      <c r="K29" s="1">
        <v>8</v>
      </c>
      <c r="L29" s="1">
        <v>8</v>
      </c>
      <c r="M29" s="1">
        <v>8</v>
      </c>
      <c r="N29" s="1">
        <v>8</v>
      </c>
      <c r="O29" s="1">
        <v>8</v>
      </c>
      <c r="P29" s="1">
        <v>8</v>
      </c>
      <c r="Q29" s="1">
        <v>8</v>
      </c>
      <c r="T29" s="9"/>
      <c r="U29" s="1">
        <f t="shared" si="2"/>
        <v>1</v>
      </c>
      <c r="V29" s="1">
        <f t="shared" si="3"/>
        <v>228</v>
      </c>
    </row>
    <row r="30" spans="1:22" x14ac:dyDescent="0.3">
      <c r="A30" s="1">
        <f t="shared" si="1"/>
        <v>1229</v>
      </c>
      <c r="B30" s="136"/>
      <c r="C30" s="136"/>
      <c r="D30" s="136"/>
      <c r="E30" s="136"/>
      <c r="F30" s="136"/>
      <c r="G30" s="136"/>
      <c r="H30" s="136"/>
      <c r="J30" s="24" t="str">
        <f t="shared" ref="J30" si="17">CONCATENATE(K29,1)</f>
        <v>81</v>
      </c>
      <c r="K30" s="6" t="e">
        <f t="array" ref="K30:Q32">LINEST(B18:B25,C18:C25^{1,2,3,4,5,6},TRUE,TRUE)</f>
        <v>#VALUE!</v>
      </c>
      <c r="L30" s="6" t="e">
        <v>#VALUE!</v>
      </c>
      <c r="M30" s="6" t="e">
        <v>#VALUE!</v>
      </c>
      <c r="N30" s="6" t="e">
        <v>#VALUE!</v>
      </c>
      <c r="O30" s="6" t="e">
        <v>#VALUE!</v>
      </c>
      <c r="P30" s="6" t="e">
        <v>#VALUE!</v>
      </c>
      <c r="Q30" s="6" t="e">
        <v>#VALUE!</v>
      </c>
      <c r="T30" s="9"/>
      <c r="U30" s="1">
        <f t="shared" si="2"/>
        <v>1</v>
      </c>
      <c r="V30" s="1">
        <f t="shared" si="3"/>
        <v>229</v>
      </c>
    </row>
    <row r="31" spans="1:22" x14ac:dyDescent="0.3">
      <c r="A31" s="1">
        <f t="shared" si="1"/>
        <v>1230</v>
      </c>
      <c r="B31" s="136"/>
      <c r="C31" s="136"/>
      <c r="D31" s="136"/>
      <c r="E31" s="136"/>
      <c r="F31" s="136"/>
      <c r="G31" s="136"/>
      <c r="H31" s="136"/>
      <c r="J31" s="24" t="str">
        <f t="shared" ref="J31" si="18">CONCATENATE(K29,2)</f>
        <v>82</v>
      </c>
      <c r="K31" s="6" t="e">
        <v>#VALUE!</v>
      </c>
      <c r="L31" s="6" t="e">
        <v>#VALUE!</v>
      </c>
      <c r="M31" s="6" t="e">
        <v>#VALUE!</v>
      </c>
      <c r="N31" s="6" t="e">
        <v>#VALUE!</v>
      </c>
      <c r="O31" s="6" t="e">
        <v>#VALUE!</v>
      </c>
      <c r="P31" s="6" t="e">
        <v>#VALUE!</v>
      </c>
      <c r="Q31" s="6" t="e">
        <v>#VALUE!</v>
      </c>
      <c r="T31" s="9"/>
      <c r="U31" s="1">
        <f t="shared" si="2"/>
        <v>1</v>
      </c>
      <c r="V31" s="1">
        <f t="shared" si="3"/>
        <v>230</v>
      </c>
    </row>
    <row r="32" spans="1:22" x14ac:dyDescent="0.3">
      <c r="A32" s="1">
        <f t="shared" si="1"/>
        <v>1231</v>
      </c>
      <c r="J32" s="24" t="str">
        <f t="shared" ref="J32" si="19">CONCATENATE(K29,3)</f>
        <v>83</v>
      </c>
      <c r="K32" s="6" t="e">
        <v>#VALUE!</v>
      </c>
      <c r="L32" s="6" t="e">
        <v>#VALUE!</v>
      </c>
      <c r="M32" s="6" t="e">
        <v>#VALUE!</v>
      </c>
      <c r="N32" s="6" t="e">
        <v>#VALUE!</v>
      </c>
      <c r="O32" s="6" t="e">
        <v>#VALUE!</v>
      </c>
      <c r="P32" s="6" t="e">
        <v>#VALUE!</v>
      </c>
      <c r="Q32" s="6" t="e">
        <v>#VALUE!</v>
      </c>
      <c r="T32" s="9"/>
      <c r="U32" s="1">
        <f t="shared" si="2"/>
        <v>1</v>
      </c>
      <c r="V32" s="1">
        <f t="shared" si="3"/>
        <v>231</v>
      </c>
    </row>
    <row r="33" spans="1:22" ht="15" customHeight="1" x14ac:dyDescent="0.3">
      <c r="A33" s="1">
        <f t="shared" si="1"/>
        <v>1232</v>
      </c>
      <c r="B33" s="10" t="s">
        <v>34</v>
      </c>
      <c r="C33" s="10" t="s">
        <v>35</v>
      </c>
      <c r="D33" s="10" t="s">
        <v>36</v>
      </c>
      <c r="E33" s="137" t="s">
        <v>37</v>
      </c>
      <c r="F33" s="135"/>
      <c r="G33" s="135"/>
      <c r="K33" s="1">
        <v>9</v>
      </c>
      <c r="L33" s="1">
        <v>9</v>
      </c>
      <c r="M33" s="1">
        <v>9</v>
      </c>
      <c r="N33" s="1">
        <v>9</v>
      </c>
      <c r="O33" s="1">
        <v>9</v>
      </c>
      <c r="P33" s="1">
        <v>9</v>
      </c>
      <c r="Q33" s="1">
        <v>9</v>
      </c>
      <c r="R33" s="1">
        <v>9</v>
      </c>
      <c r="T33" s="9"/>
      <c r="U33" s="1">
        <f t="shared" si="2"/>
        <v>1</v>
      </c>
      <c r="V33" s="1">
        <f t="shared" si="3"/>
        <v>232</v>
      </c>
    </row>
    <row r="34" spans="1:22" x14ac:dyDescent="0.3">
      <c r="A34" s="1">
        <f t="shared" si="1"/>
        <v>1233</v>
      </c>
      <c r="B34" s="12">
        <f t="shared" ref="B34:B43" si="20">C18-B18</f>
        <v>-0.24000000000000021</v>
      </c>
      <c r="C34" s="13">
        <f t="shared" ref="C34:C43" si="21">H18-G18</f>
        <v>-0.55000000000000071</v>
      </c>
      <c r="D34" s="10">
        <f>C34-B34</f>
        <v>-0.3100000000000005</v>
      </c>
      <c r="E34" s="11">
        <f>IF(D9="","",MAX(F34,G34))</f>
        <v>1.5</v>
      </c>
      <c r="F34" s="10">
        <f>ABS(MIN(D34:D43))</f>
        <v>0.36000000000000298</v>
      </c>
      <c r="G34" s="10">
        <f>ABS(MAX(D34:D43))</f>
        <v>1.5</v>
      </c>
      <c r="J34" s="24" t="str">
        <f t="shared" ref="J34" si="22">CONCATENATE(K33,1)</f>
        <v>91</v>
      </c>
      <c r="K34" s="6" t="e">
        <f t="array" ref="K34:R36">LINEST(B18:B26,C18:C26^{1,2,3,4,5,6,7},TRUE,TRUE)</f>
        <v>#VALUE!</v>
      </c>
      <c r="L34" s="6" t="e">
        <v>#VALUE!</v>
      </c>
      <c r="M34" s="6" t="e">
        <v>#VALUE!</v>
      </c>
      <c r="N34" s="6" t="e">
        <v>#VALUE!</v>
      </c>
      <c r="O34" s="6" t="e">
        <v>#VALUE!</v>
      </c>
      <c r="P34" s="6" t="e">
        <v>#VALUE!</v>
      </c>
      <c r="Q34" s="6" t="e">
        <v>#VALUE!</v>
      </c>
      <c r="R34" s="6" t="e">
        <v>#VALUE!</v>
      </c>
      <c r="T34" s="9"/>
      <c r="U34" s="1">
        <f t="shared" si="2"/>
        <v>1</v>
      </c>
      <c r="V34" s="1">
        <f t="shared" si="3"/>
        <v>233</v>
      </c>
    </row>
    <row r="35" spans="1:22" x14ac:dyDescent="0.3">
      <c r="A35" s="1">
        <f t="shared" si="1"/>
        <v>1234</v>
      </c>
      <c r="B35" s="12">
        <f t="shared" si="20"/>
        <v>1.0000000000001563E-2</v>
      </c>
      <c r="C35" s="13">
        <f t="shared" si="21"/>
        <v>-0.35000000000000142</v>
      </c>
      <c r="D35" s="10">
        <f t="shared" ref="D35:D43" si="23">C35-B35</f>
        <v>-0.36000000000000298</v>
      </c>
      <c r="E35" s="137" t="s">
        <v>38</v>
      </c>
      <c r="F35" s="135"/>
      <c r="G35" s="135"/>
      <c r="J35" s="24" t="str">
        <f t="shared" ref="J35" si="24">CONCATENATE(K33,2)</f>
        <v>92</v>
      </c>
      <c r="K35" s="6" t="e">
        <v>#VALUE!</v>
      </c>
      <c r="L35" s="6" t="e">
        <v>#VALUE!</v>
      </c>
      <c r="M35" s="6" t="e">
        <v>#VALUE!</v>
      </c>
      <c r="N35" s="6" t="e">
        <v>#VALUE!</v>
      </c>
      <c r="O35" s="6" t="e">
        <v>#VALUE!</v>
      </c>
      <c r="P35" s="6" t="e">
        <v>#VALUE!</v>
      </c>
      <c r="Q35" s="6" t="e">
        <v>#VALUE!</v>
      </c>
      <c r="R35" s="6" t="e">
        <v>#VALUE!</v>
      </c>
      <c r="T35" s="9"/>
      <c r="U35" s="1">
        <f t="shared" si="2"/>
        <v>1</v>
      </c>
      <c r="V35" s="1">
        <f t="shared" si="3"/>
        <v>234</v>
      </c>
    </row>
    <row r="36" spans="1:22" x14ac:dyDescent="0.3">
      <c r="A36" s="1">
        <f t="shared" si="1"/>
        <v>1235</v>
      </c>
      <c r="B36" s="12">
        <f t="shared" si="20"/>
        <v>0.39999999999999858</v>
      </c>
      <c r="C36" s="13">
        <f t="shared" si="21"/>
        <v>0.5</v>
      </c>
      <c r="D36" s="10">
        <f t="shared" si="23"/>
        <v>0.10000000000000142</v>
      </c>
      <c r="E36" s="11">
        <f>IF(D9="","",MAX(F36,G36))</f>
        <v>1.2999999999999972</v>
      </c>
      <c r="F36" s="10">
        <f>ABS(MIN(B34:B43))</f>
        <v>0.24000000000000021</v>
      </c>
      <c r="G36" s="10">
        <f>ABS(MAX(B34:B43))</f>
        <v>1.2999999999999972</v>
      </c>
      <c r="J36" s="24" t="str">
        <f t="shared" ref="J36" si="25">CONCATENATE(K33,3)</f>
        <v>93</v>
      </c>
      <c r="K36" s="6" t="e">
        <v>#VALUE!</v>
      </c>
      <c r="L36" s="6" t="e">
        <v>#VALUE!</v>
      </c>
      <c r="M36" s="6" t="e">
        <v>#VALUE!</v>
      </c>
      <c r="N36" s="6" t="e">
        <v>#VALUE!</v>
      </c>
      <c r="O36" s="6" t="e">
        <v>#VALUE!</v>
      </c>
      <c r="P36" s="6" t="e">
        <v>#VALUE!</v>
      </c>
      <c r="Q36" s="6" t="e">
        <v>#VALUE!</v>
      </c>
      <c r="R36" s="6" t="e">
        <v>#VALUE!</v>
      </c>
      <c r="T36" s="9"/>
      <c r="U36" s="1">
        <f t="shared" si="2"/>
        <v>1</v>
      </c>
      <c r="V36" s="1">
        <f t="shared" si="3"/>
        <v>235</v>
      </c>
    </row>
    <row r="37" spans="1:22" x14ac:dyDescent="0.3">
      <c r="A37" s="1">
        <f t="shared" si="1"/>
        <v>1236</v>
      </c>
      <c r="B37" s="12">
        <f t="shared" si="20"/>
        <v>0.5</v>
      </c>
      <c r="C37" s="13">
        <f t="shared" si="21"/>
        <v>1.4000000000000057</v>
      </c>
      <c r="D37" s="10">
        <f t="shared" si="23"/>
        <v>0.90000000000000568</v>
      </c>
      <c r="E37" s="137" t="s">
        <v>39</v>
      </c>
      <c r="F37" s="135"/>
      <c r="G37" s="135"/>
      <c r="K37" s="1">
        <v>10</v>
      </c>
      <c r="L37" s="1">
        <v>10</v>
      </c>
      <c r="M37" s="1">
        <v>10</v>
      </c>
      <c r="N37" s="1">
        <v>10</v>
      </c>
      <c r="O37" s="1">
        <v>10</v>
      </c>
      <c r="P37" s="1">
        <v>10</v>
      </c>
      <c r="Q37" s="1">
        <v>10</v>
      </c>
      <c r="R37" s="1">
        <v>10</v>
      </c>
      <c r="S37" s="1">
        <v>10</v>
      </c>
      <c r="T37" s="9"/>
      <c r="U37" s="1">
        <f t="shared" si="2"/>
        <v>1</v>
      </c>
      <c r="V37" s="1">
        <f t="shared" si="3"/>
        <v>236</v>
      </c>
    </row>
    <row r="38" spans="1:22" x14ac:dyDescent="0.3">
      <c r="A38" s="1">
        <f t="shared" si="1"/>
        <v>1237</v>
      </c>
      <c r="B38" s="12">
        <f t="shared" si="20"/>
        <v>0.70000000000000284</v>
      </c>
      <c r="C38" s="13">
        <f t="shared" si="21"/>
        <v>2.0999999999999943</v>
      </c>
      <c r="D38" s="10">
        <f t="shared" si="23"/>
        <v>1.3999999999999915</v>
      </c>
      <c r="E38" s="11">
        <f>IF(D9="","",MAX(F38,G38))</f>
        <v>1.2</v>
      </c>
      <c r="F38" s="10">
        <f>ABS(MIN(D18:D27))</f>
        <v>0.81</v>
      </c>
      <c r="G38" s="10">
        <f>ABS(MAX(D18:D27))</f>
        <v>1.2</v>
      </c>
      <c r="J38" s="24" t="str">
        <f t="shared" ref="J38" si="26">CONCATENATE(K37,1)</f>
        <v>101</v>
      </c>
      <c r="K38" s="6" t="e">
        <f t="array" ref="K38:S40">LINEST(B18:B27,C18:C27^{1,2,3,4,5,6,7,8},TRUE,TRUE)</f>
        <v>#VALUE!</v>
      </c>
      <c r="L38" s="6" t="e">
        <v>#VALUE!</v>
      </c>
      <c r="M38" s="6" t="e">
        <v>#VALUE!</v>
      </c>
      <c r="N38" s="6" t="e">
        <v>#VALUE!</v>
      </c>
      <c r="O38" s="6" t="e">
        <v>#VALUE!</v>
      </c>
      <c r="P38" s="6" t="e">
        <v>#VALUE!</v>
      </c>
      <c r="Q38" s="6" t="e">
        <v>#VALUE!</v>
      </c>
      <c r="R38" s="6" t="e">
        <v>#VALUE!</v>
      </c>
      <c r="S38" s="6" t="e">
        <v>#VALUE!</v>
      </c>
      <c r="T38" s="9"/>
      <c r="U38" s="1">
        <f t="shared" si="2"/>
        <v>1</v>
      </c>
      <c r="V38" s="1">
        <f t="shared" si="3"/>
        <v>237</v>
      </c>
    </row>
    <row r="39" spans="1:22" x14ac:dyDescent="0.3">
      <c r="A39" s="1">
        <f t="shared" si="1"/>
        <v>1238</v>
      </c>
      <c r="B39" s="12">
        <f t="shared" si="20"/>
        <v>1.2999999999999972</v>
      </c>
      <c r="C39" s="13">
        <f t="shared" si="21"/>
        <v>2.7999999999999972</v>
      </c>
      <c r="D39" s="10">
        <f t="shared" si="23"/>
        <v>1.5</v>
      </c>
      <c r="J39" s="24" t="str">
        <f t="shared" ref="J39" si="27">CONCATENATE(K37,2)</f>
        <v>102</v>
      </c>
      <c r="K39" s="6" t="e">
        <v>#VALUE!</v>
      </c>
      <c r="L39" s="6" t="e">
        <v>#VALUE!</v>
      </c>
      <c r="M39" s="6" t="e">
        <v>#VALUE!</v>
      </c>
      <c r="N39" s="6" t="e">
        <v>#VALUE!</v>
      </c>
      <c r="O39" s="6" t="e">
        <v>#VALUE!</v>
      </c>
      <c r="P39" s="6" t="e">
        <v>#VALUE!</v>
      </c>
      <c r="Q39" s="6" t="e">
        <v>#VALUE!</v>
      </c>
      <c r="R39" s="6" t="e">
        <v>#VALUE!</v>
      </c>
      <c r="S39" s="6" t="e">
        <v>#VALUE!</v>
      </c>
      <c r="T39" s="9"/>
      <c r="U39" s="1">
        <f t="shared" si="2"/>
        <v>1</v>
      </c>
      <c r="V39" s="1">
        <f t="shared" si="3"/>
        <v>238</v>
      </c>
    </row>
    <row r="40" spans="1:22" x14ac:dyDescent="0.3">
      <c r="A40" s="1">
        <f t="shared" si="1"/>
        <v>1239</v>
      </c>
      <c r="B40" s="12">
        <f t="shared" si="20"/>
        <v>0</v>
      </c>
      <c r="C40" s="13">
        <f t="shared" si="21"/>
        <v>0</v>
      </c>
      <c r="D40" s="10">
        <f t="shared" si="23"/>
        <v>0</v>
      </c>
      <c r="J40" s="24" t="str">
        <f t="shared" ref="J40" si="28">CONCATENATE(K37,3)</f>
        <v>103</v>
      </c>
      <c r="K40" s="6" t="e">
        <v>#VALUE!</v>
      </c>
      <c r="L40" s="6" t="e">
        <v>#VALUE!</v>
      </c>
      <c r="M40" s="6" t="e">
        <v>#VALUE!</v>
      </c>
      <c r="N40" s="6" t="e">
        <v>#VALUE!</v>
      </c>
      <c r="O40" s="6" t="e">
        <v>#VALUE!</v>
      </c>
      <c r="P40" s="6" t="e">
        <v>#VALUE!</v>
      </c>
      <c r="Q40" s="6" t="e">
        <v>#VALUE!</v>
      </c>
      <c r="R40" s="6" t="e">
        <v>#VALUE!</v>
      </c>
      <c r="S40" s="6" t="e">
        <v>#VALUE!</v>
      </c>
      <c r="T40" s="9"/>
      <c r="U40" s="1">
        <f t="shared" si="2"/>
        <v>1</v>
      </c>
      <c r="V40" s="1">
        <f t="shared" si="3"/>
        <v>239</v>
      </c>
    </row>
    <row r="41" spans="1:22" x14ac:dyDescent="0.3">
      <c r="A41" s="1">
        <f t="shared" si="1"/>
        <v>1240</v>
      </c>
      <c r="B41" s="12">
        <f t="shared" si="20"/>
        <v>0</v>
      </c>
      <c r="C41" s="13">
        <f t="shared" si="21"/>
        <v>0</v>
      </c>
      <c r="D41" s="10">
        <f t="shared" si="23"/>
        <v>0</v>
      </c>
      <c r="J41" s="9"/>
      <c r="K41" s="9"/>
      <c r="L41" s="9"/>
      <c r="M41" s="9"/>
      <c r="N41" s="9"/>
      <c r="O41" s="9"/>
      <c r="P41" s="9"/>
      <c r="Q41" s="9"/>
      <c r="R41" s="9"/>
      <c r="S41" s="9"/>
      <c r="T41" s="9"/>
      <c r="U41" s="1">
        <f t="shared" si="2"/>
        <v>1</v>
      </c>
      <c r="V41" s="1">
        <f t="shared" si="3"/>
        <v>240</v>
      </c>
    </row>
    <row r="42" spans="1:22" x14ac:dyDescent="0.3">
      <c r="A42" s="1">
        <f t="shared" si="1"/>
        <v>1241</v>
      </c>
      <c r="B42" s="12">
        <f t="shared" si="20"/>
        <v>0</v>
      </c>
      <c r="C42" s="13">
        <f t="shared" si="21"/>
        <v>0</v>
      </c>
      <c r="D42" s="10">
        <f t="shared" si="23"/>
        <v>0</v>
      </c>
      <c r="J42" s="9"/>
      <c r="K42" s="9"/>
      <c r="L42" s="9"/>
      <c r="M42" s="9"/>
      <c r="N42" s="9"/>
      <c r="O42" s="9"/>
      <c r="P42" s="9"/>
      <c r="Q42" s="9"/>
      <c r="R42" s="9"/>
      <c r="S42" s="9"/>
      <c r="T42" s="9"/>
      <c r="U42" s="1">
        <f t="shared" si="2"/>
        <v>1</v>
      </c>
      <c r="V42" s="1">
        <f t="shared" si="3"/>
        <v>241</v>
      </c>
    </row>
    <row r="43" spans="1:22" x14ac:dyDescent="0.3">
      <c r="A43" s="1">
        <f t="shared" si="1"/>
        <v>1242</v>
      </c>
      <c r="B43" s="12">
        <f t="shared" si="20"/>
        <v>0</v>
      </c>
      <c r="C43" s="13">
        <f t="shared" si="21"/>
        <v>0</v>
      </c>
      <c r="D43" s="10">
        <f t="shared" si="23"/>
        <v>0</v>
      </c>
      <c r="J43" s="9"/>
      <c r="K43" s="9"/>
      <c r="L43" s="9"/>
      <c r="M43" s="9"/>
      <c r="N43" s="9"/>
      <c r="O43" s="9"/>
      <c r="P43" s="9"/>
      <c r="Q43" s="9"/>
      <c r="R43" s="9"/>
      <c r="S43" s="9"/>
      <c r="T43" s="9"/>
      <c r="U43" s="1">
        <f t="shared" si="2"/>
        <v>1</v>
      </c>
      <c r="V43" s="1">
        <f t="shared" si="3"/>
        <v>242</v>
      </c>
    </row>
    <row r="44" spans="1:22" x14ac:dyDescent="0.3">
      <c r="A44" s="1">
        <f t="shared" si="1"/>
        <v>1243</v>
      </c>
      <c r="J44" s="9"/>
      <c r="K44" s="9"/>
      <c r="L44" s="9"/>
      <c r="M44" s="9"/>
      <c r="N44" s="9"/>
      <c r="O44" s="9"/>
      <c r="P44" s="9"/>
      <c r="Q44" s="9"/>
      <c r="R44" s="9"/>
      <c r="S44" s="9"/>
      <c r="T44" s="9"/>
      <c r="U44" s="1">
        <f t="shared" si="2"/>
        <v>1</v>
      </c>
      <c r="V44" s="1">
        <f t="shared" ref="V44" si="29">V43+1</f>
        <v>243</v>
      </c>
    </row>
    <row r="45" spans="1:22" s="5" customFormat="1" x14ac:dyDescent="0.3"/>
    <row r="46" spans="1:22" x14ac:dyDescent="0.3">
      <c r="A46" s="1">
        <f t="shared" ref="A46:A88" si="30">ROUND(CONCATENATE(U46,V46),0)</f>
        <v>2201</v>
      </c>
      <c r="B46" s="96" t="s">
        <v>0</v>
      </c>
      <c r="C46" s="97"/>
      <c r="D46" s="98" t="s">
        <v>46</v>
      </c>
      <c r="E46" s="99"/>
      <c r="F46" s="99"/>
      <c r="G46" s="99"/>
      <c r="H46" s="100"/>
      <c r="J46" s="9"/>
      <c r="K46" s="9"/>
      <c r="L46" s="9"/>
      <c r="M46" s="9"/>
      <c r="N46" s="9"/>
      <c r="O46" s="9"/>
      <c r="P46" s="9"/>
      <c r="Q46" s="9"/>
      <c r="R46" s="9"/>
      <c r="S46" s="9"/>
      <c r="T46" s="9"/>
      <c r="U46" s="1">
        <f>U44+1</f>
        <v>2</v>
      </c>
      <c r="V46" s="1">
        <v>201</v>
      </c>
    </row>
    <row r="47" spans="1:22" x14ac:dyDescent="0.3">
      <c r="A47" s="1">
        <f t="shared" si="30"/>
        <v>2202</v>
      </c>
      <c r="B47" s="96" t="s">
        <v>1</v>
      </c>
      <c r="C47" s="97"/>
      <c r="D47" s="15">
        <v>20</v>
      </c>
      <c r="E47" s="16" t="s">
        <v>2</v>
      </c>
      <c r="F47" s="107"/>
      <c r="G47" s="108"/>
      <c r="H47" s="109"/>
      <c r="J47" s="9"/>
      <c r="K47" s="9"/>
      <c r="L47" s="9"/>
      <c r="M47" s="9"/>
      <c r="N47" s="9"/>
      <c r="O47" s="9"/>
      <c r="P47" s="9"/>
      <c r="Q47" s="9"/>
      <c r="R47" s="9"/>
      <c r="S47" s="9"/>
      <c r="T47" s="9"/>
      <c r="U47" s="1">
        <f>U46</f>
        <v>2</v>
      </c>
      <c r="V47" s="1">
        <f>V46+1</f>
        <v>202</v>
      </c>
    </row>
    <row r="48" spans="1:22" x14ac:dyDescent="0.3">
      <c r="A48" s="1">
        <f t="shared" si="30"/>
        <v>2203</v>
      </c>
      <c r="B48" s="96" t="s">
        <v>12</v>
      </c>
      <c r="C48" s="97"/>
      <c r="D48" s="110" t="s">
        <v>75</v>
      </c>
      <c r="E48" s="111"/>
      <c r="F48" s="111"/>
      <c r="G48" s="111"/>
      <c r="H48" s="112"/>
      <c r="K48" s="1" t="s">
        <v>3</v>
      </c>
      <c r="L48" s="1" t="s">
        <v>4</v>
      </c>
      <c r="M48" s="1" t="s">
        <v>5</v>
      </c>
      <c r="N48" s="1" t="s">
        <v>6</v>
      </c>
      <c r="O48" s="1" t="s">
        <v>7</v>
      </c>
      <c r="P48" s="1" t="s">
        <v>8</v>
      </c>
      <c r="Q48" s="1" t="s">
        <v>9</v>
      </c>
      <c r="R48" s="1" t="s">
        <v>10</v>
      </c>
      <c r="S48" s="1" t="s">
        <v>11</v>
      </c>
      <c r="T48" s="9"/>
      <c r="U48" s="1">
        <f t="shared" ref="U48:U88" si="31">U47</f>
        <v>2</v>
      </c>
      <c r="V48" s="1">
        <f t="shared" ref="V48:V88" si="32">V47+1</f>
        <v>203</v>
      </c>
    </row>
    <row r="49" spans="1:22" x14ac:dyDescent="0.3">
      <c r="A49" s="1">
        <f t="shared" si="30"/>
        <v>2204</v>
      </c>
      <c r="B49" s="96" t="s">
        <v>13</v>
      </c>
      <c r="C49" s="97"/>
      <c r="D49" s="110" t="s">
        <v>65</v>
      </c>
      <c r="E49" s="111"/>
      <c r="F49" s="111"/>
      <c r="G49" s="111"/>
      <c r="H49" s="112"/>
      <c r="J49" s="1">
        <f>COUNTA(B62:B71)</f>
        <v>3</v>
      </c>
      <c r="K49" s="1">
        <f t="shared" ref="K49" si="33">IF(L49-1&lt;2,0,L49-1)</f>
        <v>0</v>
      </c>
      <c r="L49" s="1">
        <f t="shared" ref="L49" si="34">IF(M49-1&lt;2,0,M49-1)</f>
        <v>0</v>
      </c>
      <c r="M49" s="1">
        <f t="shared" ref="M49" si="35">IF(N49-1&lt;2,0,N49-1)</f>
        <v>0</v>
      </c>
      <c r="N49" s="1">
        <f t="shared" ref="N49" si="36">IF(O49-1&lt;2,0,O49-1)</f>
        <v>0</v>
      </c>
      <c r="O49" s="1">
        <f t="shared" ref="O49" si="37">IF(P49-1&lt;2,0,P49-1)</f>
        <v>0</v>
      </c>
      <c r="P49" s="1">
        <f t="shared" ref="P49" si="38">IF(Q49-1&lt;2,0,Q49-1)</f>
        <v>0</v>
      </c>
      <c r="Q49" s="1">
        <f t="shared" ref="Q49" si="39">IF(R49-1&lt;2,0,R49-1)</f>
        <v>0</v>
      </c>
      <c r="R49" s="1">
        <f>IF(S49-1&lt;2,0,S49-1)</f>
        <v>2</v>
      </c>
      <c r="S49" s="1">
        <f>J49</f>
        <v>3</v>
      </c>
      <c r="T49" s="9"/>
      <c r="U49" s="1">
        <f t="shared" si="31"/>
        <v>2</v>
      </c>
      <c r="V49" s="1">
        <f t="shared" si="32"/>
        <v>204</v>
      </c>
    </row>
    <row r="50" spans="1:22" x14ac:dyDescent="0.3">
      <c r="A50" s="1">
        <f t="shared" si="30"/>
        <v>2205</v>
      </c>
      <c r="B50" s="96" t="s">
        <v>14</v>
      </c>
      <c r="C50" s="97"/>
      <c r="D50" s="110" t="s">
        <v>66</v>
      </c>
      <c r="E50" s="111"/>
      <c r="F50" s="111"/>
      <c r="G50" s="111"/>
      <c r="H50" s="112"/>
      <c r="J50" s="24" t="str">
        <f>CONCATENATE(J49,1)</f>
        <v>31</v>
      </c>
      <c r="K50" s="25">
        <f>IF(K49=0,0,VLOOKUP(J50,J54:S84,K49,FALSE))</f>
        <v>0</v>
      </c>
      <c r="L50" s="25">
        <f>IF(L49=0,0,VLOOKUP(J50,J54:S84,L49,FALSE))</f>
        <v>0</v>
      </c>
      <c r="M50" s="25">
        <f>IF(M49=0,0,VLOOKUP(J50,J54:S84,M49,FALSE))</f>
        <v>0</v>
      </c>
      <c r="N50" s="25">
        <f>IF(N49=0,0,VLOOKUP(J50,J54:S84,N49,FALSE))</f>
        <v>0</v>
      </c>
      <c r="O50" s="25">
        <f>IF(O49=0,0,VLOOKUP(J50,J54:S84,O49,FALSE))</f>
        <v>0</v>
      </c>
      <c r="P50" s="25">
        <f>IF(P49=0,0,VLOOKUP(J50,J54:S84,P49,FALSE))</f>
        <v>0</v>
      </c>
      <c r="Q50" s="25">
        <f>IF(Q49=0,0,VLOOKUP(J50,J54:S84,Q49,FALSE))</f>
        <v>0</v>
      </c>
      <c r="R50" s="25">
        <f>IF(R49=0,0,VLOOKUP(J50,J54:S84,R49,FALSE))</f>
        <v>1.1651179413867045</v>
      </c>
      <c r="S50" s="25">
        <f>IF(S49=0,0,VLOOKUP(J50,J54:S84,S49,FALSE))</f>
        <v>-11.136526090064315</v>
      </c>
      <c r="T50" s="9"/>
      <c r="U50" s="1">
        <f t="shared" si="31"/>
        <v>2</v>
      </c>
      <c r="V50" s="1">
        <f t="shared" si="32"/>
        <v>205</v>
      </c>
    </row>
    <row r="51" spans="1:22" x14ac:dyDescent="0.3">
      <c r="A51" s="1">
        <f t="shared" si="30"/>
        <v>2206</v>
      </c>
      <c r="B51" s="96" t="s">
        <v>15</v>
      </c>
      <c r="C51" s="97"/>
      <c r="D51" s="110" t="s">
        <v>202</v>
      </c>
      <c r="E51" s="111"/>
      <c r="F51" s="111"/>
      <c r="G51" s="111"/>
      <c r="H51" s="112"/>
      <c r="J51" s="24" t="str">
        <f>CONCATENATE(J49,2)</f>
        <v>32</v>
      </c>
      <c r="K51" s="6">
        <f>IF(K49=0,0,VLOOKUP(J51,J54:S84,K49,FALSE))</f>
        <v>0</v>
      </c>
      <c r="L51" s="6">
        <f>IF(L49=0,0,VLOOKUP(J51,J54:S84,L49,FALSE))</f>
        <v>0</v>
      </c>
      <c r="M51" s="6">
        <f>IF(M49=0,0,VLOOKUP(J51,J54:S84,M49,FALSE))</f>
        <v>0</v>
      </c>
      <c r="N51" s="6">
        <f>IF(N49=0,0,VLOOKUP(J51,J54:S84,N49,FALSE))</f>
        <v>0</v>
      </c>
      <c r="O51" s="6">
        <f>IF(O49=0,0,VLOOKUP(J51,J54:S84,O49,FALSE))</f>
        <v>0</v>
      </c>
      <c r="P51" s="6">
        <f>IF(P49=0,0,VLOOKUP(J51,J54:S84,P49,FALSE))</f>
        <v>0</v>
      </c>
      <c r="Q51" s="6">
        <f>IF(Q49=0,0,VLOOKUP(J51,J54:S84,Q49,FALSE))</f>
        <v>0</v>
      </c>
      <c r="R51" s="6">
        <f>IF(R49=0,0,VLOOKUP(J51,J54:S84,R49,FALSE))</f>
        <v>2.4761269586402741E-2</v>
      </c>
      <c r="S51" s="6">
        <f>IF(S49=0,0,VLOOKUP(J51,J54:S84,S49,FALSE))</f>
        <v>1.4380024259304682</v>
      </c>
      <c r="T51" s="9"/>
      <c r="U51" s="1">
        <f t="shared" si="31"/>
        <v>2</v>
      </c>
      <c r="V51" s="1">
        <f t="shared" si="32"/>
        <v>206</v>
      </c>
    </row>
    <row r="52" spans="1:22" x14ac:dyDescent="0.3">
      <c r="A52" s="1">
        <f t="shared" si="30"/>
        <v>2207</v>
      </c>
      <c r="B52" s="96" t="s">
        <v>16</v>
      </c>
      <c r="C52" s="97"/>
      <c r="D52" s="113">
        <v>45064</v>
      </c>
      <c r="E52" s="114"/>
      <c r="F52" s="114"/>
      <c r="G52" s="114"/>
      <c r="H52" s="115"/>
      <c r="J52" s="24" t="str">
        <f>CONCATENATE(J49,3)</f>
        <v>33</v>
      </c>
      <c r="K52" s="6"/>
      <c r="L52" s="6"/>
      <c r="M52" s="6"/>
      <c r="N52" s="6" t="s">
        <v>43</v>
      </c>
      <c r="O52" s="25">
        <f>J49-2</f>
        <v>1</v>
      </c>
      <c r="P52" s="6" t="s">
        <v>44</v>
      </c>
      <c r="Q52" s="25">
        <f>VLOOKUP(J52,J54:S84,3,FALSE)</f>
        <v>0.75619906535743553</v>
      </c>
      <c r="R52" s="6" t="s">
        <v>45</v>
      </c>
      <c r="S52" s="6">
        <f>VLOOKUP(J52,J54:S84,2,FALSE)</f>
        <v>0.99954854971596263</v>
      </c>
      <c r="T52" s="9"/>
      <c r="U52" s="1">
        <f t="shared" si="31"/>
        <v>2</v>
      </c>
      <c r="V52" s="1">
        <f t="shared" si="32"/>
        <v>207</v>
      </c>
    </row>
    <row r="53" spans="1:22" x14ac:dyDescent="0.3">
      <c r="A53" s="1">
        <f t="shared" si="30"/>
        <v>2208</v>
      </c>
      <c r="B53" s="96" t="s">
        <v>17</v>
      </c>
      <c r="C53" s="97"/>
      <c r="D53" s="116">
        <v>45443</v>
      </c>
      <c r="E53" s="117"/>
      <c r="F53" s="117"/>
      <c r="G53" s="117"/>
      <c r="H53" s="118"/>
      <c r="K53" s="1">
        <v>3</v>
      </c>
      <c r="L53" s="1">
        <v>3</v>
      </c>
      <c r="Q53" s="26"/>
      <c r="R53" s="26"/>
      <c r="S53" s="26"/>
      <c r="T53" s="9"/>
      <c r="U53" s="1">
        <f t="shared" si="31"/>
        <v>2</v>
      </c>
      <c r="V53" s="1">
        <f t="shared" si="32"/>
        <v>208</v>
      </c>
    </row>
    <row r="54" spans="1:22" x14ac:dyDescent="0.3">
      <c r="A54" s="1">
        <f t="shared" si="30"/>
        <v>2209</v>
      </c>
      <c r="B54" s="77" t="s">
        <v>19</v>
      </c>
      <c r="C54" s="78"/>
      <c r="D54" s="17">
        <v>1</v>
      </c>
      <c r="E54" s="79" t="s">
        <v>40</v>
      </c>
      <c r="F54" s="80"/>
      <c r="G54" s="81"/>
      <c r="H54" s="18" t="s">
        <v>72</v>
      </c>
      <c r="J54" s="24" t="str">
        <f>CONCATENATE(K53,1)</f>
        <v>31</v>
      </c>
      <c r="K54" s="6">
        <f t="array" ref="K54:L56">LINEST(B62:B64,C62:C64^{1},TRUE,TRUE)</f>
        <v>1.1651179413867045</v>
      </c>
      <c r="L54" s="6">
        <v>-11.136526090064315</v>
      </c>
      <c r="Q54" s="9"/>
      <c r="R54" s="9"/>
      <c r="S54" s="9"/>
      <c r="T54" s="9"/>
      <c r="U54" s="1">
        <f t="shared" si="31"/>
        <v>2</v>
      </c>
      <c r="V54" s="1">
        <f t="shared" si="32"/>
        <v>209</v>
      </c>
    </row>
    <row r="55" spans="1:22" x14ac:dyDescent="0.3">
      <c r="A55" s="1">
        <f t="shared" si="30"/>
        <v>2210</v>
      </c>
      <c r="B55" s="77" t="s">
        <v>41</v>
      </c>
      <c r="C55" s="78"/>
      <c r="D55" s="23">
        <f>MIN(B62:B71)</f>
        <v>30</v>
      </c>
      <c r="E55" s="20" t="s">
        <v>18</v>
      </c>
      <c r="F55" s="19">
        <f>MAX(B62:B71)</f>
        <v>80</v>
      </c>
      <c r="G55" s="21" t="str">
        <f>IF(H54="","",H54)</f>
        <v>%ur</v>
      </c>
      <c r="H55" s="22"/>
      <c r="J55" s="24" t="str">
        <f>CONCATENATE(K53,2)</f>
        <v>32</v>
      </c>
      <c r="K55" s="6">
        <v>2.4761269586402741E-2</v>
      </c>
      <c r="L55" s="6">
        <v>1.4380024259304682</v>
      </c>
      <c r="Q55" s="9"/>
      <c r="R55" s="9"/>
      <c r="S55" s="9"/>
      <c r="T55" s="9"/>
      <c r="U55" s="1">
        <f t="shared" si="31"/>
        <v>2</v>
      </c>
      <c r="V55" s="1">
        <f t="shared" si="32"/>
        <v>210</v>
      </c>
    </row>
    <row r="56" spans="1:22" x14ac:dyDescent="0.3">
      <c r="A56" s="1">
        <f t="shared" si="30"/>
        <v>2211</v>
      </c>
      <c r="J56" s="24" t="str">
        <f>CONCATENATE(K53,3)</f>
        <v>33</v>
      </c>
      <c r="K56" s="6">
        <v>0.99954854971596263</v>
      </c>
      <c r="L56" s="6">
        <v>0.75619906535743553</v>
      </c>
      <c r="Q56" s="9"/>
      <c r="R56" s="9"/>
      <c r="S56" s="9"/>
      <c r="T56" s="9"/>
      <c r="U56" s="1">
        <f t="shared" si="31"/>
        <v>2</v>
      </c>
      <c r="V56" s="1">
        <f t="shared" si="32"/>
        <v>211</v>
      </c>
    </row>
    <row r="57" spans="1:22" x14ac:dyDescent="0.3">
      <c r="A57" s="1">
        <f t="shared" si="30"/>
        <v>2212</v>
      </c>
      <c r="B57" s="82" t="s">
        <v>20</v>
      </c>
      <c r="C57" s="83"/>
      <c r="D57" s="83"/>
      <c r="E57" s="83"/>
      <c r="F57" s="84"/>
      <c r="G57" s="85" t="s">
        <v>31</v>
      </c>
      <c r="H57" s="86"/>
      <c r="K57" s="1">
        <v>4</v>
      </c>
      <c r="L57" s="1">
        <v>4</v>
      </c>
      <c r="M57" s="1">
        <v>4</v>
      </c>
      <c r="Q57" s="9"/>
      <c r="R57" s="9"/>
      <c r="S57" s="9"/>
      <c r="T57" s="9"/>
      <c r="U57" s="1">
        <f t="shared" si="31"/>
        <v>2</v>
      </c>
      <c r="V57" s="1">
        <f t="shared" si="32"/>
        <v>212</v>
      </c>
    </row>
    <row r="58" spans="1:22" x14ac:dyDescent="0.3">
      <c r="A58" s="1">
        <f t="shared" si="30"/>
        <v>2213</v>
      </c>
      <c r="B58" s="82" t="s">
        <v>30</v>
      </c>
      <c r="C58" s="83"/>
      <c r="D58" s="84"/>
      <c r="E58" s="82" t="str">
        <f>D51</f>
        <v>R51822/23</v>
      </c>
      <c r="F58" s="84"/>
      <c r="G58" s="6" t="s">
        <v>32</v>
      </c>
      <c r="H58" s="7" t="s">
        <v>146</v>
      </c>
      <c r="J58" s="24" t="str">
        <f t="shared" ref="J58" si="40">CONCATENATE(K57,1)</f>
        <v>41</v>
      </c>
      <c r="K58" s="6" t="e">
        <f t="array" ref="K58:M60">LINEST(B62:B65,C62:C65^{1,2},TRUE,TRUE)</f>
        <v>#VALUE!</v>
      </c>
      <c r="L58" s="6" t="e">
        <v>#VALUE!</v>
      </c>
      <c r="M58" s="6" t="e">
        <v>#VALUE!</v>
      </c>
      <c r="Q58" s="9"/>
      <c r="R58" s="9"/>
      <c r="S58" s="9"/>
      <c r="T58" s="9"/>
      <c r="U58" s="1">
        <f t="shared" si="31"/>
        <v>2</v>
      </c>
      <c r="V58" s="1">
        <f t="shared" si="32"/>
        <v>213</v>
      </c>
    </row>
    <row r="59" spans="1:22" x14ac:dyDescent="0.3">
      <c r="A59" s="1">
        <f t="shared" si="30"/>
        <v>2214</v>
      </c>
      <c r="B59" s="2" t="s">
        <v>21</v>
      </c>
      <c r="C59" s="2" t="s">
        <v>22</v>
      </c>
      <c r="D59" s="2" t="s">
        <v>23</v>
      </c>
      <c r="E59" s="2"/>
      <c r="F59" s="2" t="s">
        <v>28</v>
      </c>
      <c r="G59" s="2" t="s">
        <v>21</v>
      </c>
      <c r="H59" s="2" t="s">
        <v>22</v>
      </c>
      <c r="J59" s="24" t="str">
        <f t="shared" ref="J59" si="41">CONCATENATE(K57,2)</f>
        <v>42</v>
      </c>
      <c r="K59" s="6" t="e">
        <v>#VALUE!</v>
      </c>
      <c r="L59" s="6" t="e">
        <v>#VALUE!</v>
      </c>
      <c r="M59" s="6" t="e">
        <v>#VALUE!</v>
      </c>
      <c r="Q59" s="9"/>
      <c r="R59" s="9"/>
      <c r="S59" s="9"/>
      <c r="T59" s="9"/>
      <c r="U59" s="1">
        <f t="shared" si="31"/>
        <v>2</v>
      </c>
      <c r="V59" s="1">
        <f t="shared" si="32"/>
        <v>214</v>
      </c>
    </row>
    <row r="60" spans="1:22" x14ac:dyDescent="0.3">
      <c r="A60" s="1">
        <f t="shared" si="30"/>
        <v>2215</v>
      </c>
      <c r="B60" s="2" t="s">
        <v>24</v>
      </c>
      <c r="C60" s="2" t="s">
        <v>25</v>
      </c>
      <c r="D60" s="2" t="s">
        <v>26</v>
      </c>
      <c r="E60" s="2" t="s">
        <v>27</v>
      </c>
      <c r="F60" s="2" t="s">
        <v>29</v>
      </c>
      <c r="G60" s="2" t="s">
        <v>24</v>
      </c>
      <c r="H60" s="2" t="s">
        <v>25</v>
      </c>
      <c r="J60" s="24" t="str">
        <f t="shared" ref="J60" si="42">CONCATENATE(K57,3)</f>
        <v>43</v>
      </c>
      <c r="K60" s="6" t="e">
        <v>#VALUE!</v>
      </c>
      <c r="L60" s="6" t="e">
        <v>#VALUE!</v>
      </c>
      <c r="M60" s="6" t="e">
        <v>#VALUE!</v>
      </c>
      <c r="Q60" s="9"/>
      <c r="R60" s="9"/>
      <c r="S60" s="9"/>
      <c r="T60" s="9"/>
      <c r="U60" s="1">
        <f t="shared" si="31"/>
        <v>2</v>
      </c>
      <c r="V60" s="1">
        <f t="shared" si="32"/>
        <v>215</v>
      </c>
    </row>
    <row r="61" spans="1:22" x14ac:dyDescent="0.3">
      <c r="A61" s="1">
        <f t="shared" si="30"/>
        <v>2216</v>
      </c>
      <c r="B61" s="3" t="str">
        <f>H54</f>
        <v>%ur</v>
      </c>
      <c r="C61" s="3" t="str">
        <f>B61</f>
        <v>%ur</v>
      </c>
      <c r="D61" s="3" t="str">
        <f>C61</f>
        <v>%ur</v>
      </c>
      <c r="E61" s="3"/>
      <c r="F61" s="3"/>
      <c r="G61" s="3" t="str">
        <f>D61</f>
        <v>%ur</v>
      </c>
      <c r="H61" s="3" t="str">
        <f>G61</f>
        <v>%ur</v>
      </c>
      <c r="K61" s="1">
        <v>5</v>
      </c>
      <c r="L61" s="1">
        <v>5</v>
      </c>
      <c r="M61" s="1">
        <v>5</v>
      </c>
      <c r="N61" s="1">
        <v>5</v>
      </c>
      <c r="Q61" s="9"/>
      <c r="R61" s="9"/>
      <c r="S61" s="9"/>
      <c r="T61" s="9"/>
      <c r="U61" s="1">
        <f t="shared" si="31"/>
        <v>2</v>
      </c>
      <c r="V61" s="1">
        <f t="shared" si="32"/>
        <v>216</v>
      </c>
    </row>
    <row r="62" spans="1:22" x14ac:dyDescent="0.3">
      <c r="A62" s="1">
        <f t="shared" si="30"/>
        <v>2217</v>
      </c>
      <c r="B62" s="14">
        <v>30</v>
      </c>
      <c r="C62" s="14">
        <v>35</v>
      </c>
      <c r="D62" s="14">
        <v>1</v>
      </c>
      <c r="E62" s="4">
        <v>2.0099999999999998</v>
      </c>
      <c r="F62" s="14">
        <v>362</v>
      </c>
      <c r="G62" s="35">
        <v>30</v>
      </c>
      <c r="H62" s="35">
        <v>35</v>
      </c>
      <c r="J62" s="24" t="str">
        <f t="shared" ref="J62" si="43">CONCATENATE(K61,1)</f>
        <v>51</v>
      </c>
      <c r="K62" s="6" t="e">
        <f t="array" ref="K62:N64">LINEST(B62:B66,C62:C66^{1,2,3},TRUE,TRUE)</f>
        <v>#VALUE!</v>
      </c>
      <c r="L62" s="6" t="e">
        <v>#VALUE!</v>
      </c>
      <c r="M62" s="6" t="e">
        <v>#VALUE!</v>
      </c>
      <c r="N62" s="6" t="e">
        <v>#VALUE!</v>
      </c>
      <c r="Q62" s="9"/>
      <c r="R62" s="9"/>
      <c r="S62" s="9"/>
      <c r="T62" s="9"/>
      <c r="U62" s="1">
        <f t="shared" si="31"/>
        <v>2</v>
      </c>
      <c r="V62" s="1">
        <f t="shared" si="32"/>
        <v>217</v>
      </c>
    </row>
    <row r="63" spans="1:22" x14ac:dyDescent="0.3">
      <c r="A63" s="1">
        <f t="shared" si="30"/>
        <v>2218</v>
      </c>
      <c r="B63" s="14">
        <v>50</v>
      </c>
      <c r="C63" s="14">
        <v>53</v>
      </c>
      <c r="D63" s="14">
        <v>1</v>
      </c>
      <c r="E63" s="4">
        <v>2</v>
      </c>
      <c r="F63" s="14">
        <v>1000000</v>
      </c>
      <c r="G63" s="35">
        <v>50</v>
      </c>
      <c r="H63" s="35">
        <v>52</v>
      </c>
      <c r="J63" s="24" t="str">
        <f t="shared" ref="J63" si="44">CONCATENATE(K61,2)</f>
        <v>52</v>
      </c>
      <c r="K63" s="6" t="e">
        <v>#VALUE!</v>
      </c>
      <c r="L63" s="6" t="e">
        <v>#VALUE!</v>
      </c>
      <c r="M63" s="6" t="e">
        <v>#VALUE!</v>
      </c>
      <c r="N63" s="6" t="e">
        <v>#VALUE!</v>
      </c>
      <c r="T63" s="9"/>
      <c r="U63" s="1">
        <f t="shared" si="31"/>
        <v>2</v>
      </c>
      <c r="V63" s="1">
        <f t="shared" si="32"/>
        <v>218</v>
      </c>
    </row>
    <row r="64" spans="1:22" x14ac:dyDescent="0.3">
      <c r="A64" s="1">
        <f t="shared" si="30"/>
        <v>2219</v>
      </c>
      <c r="B64" s="14">
        <v>80</v>
      </c>
      <c r="C64" s="14">
        <v>78</v>
      </c>
      <c r="D64" s="14">
        <v>2</v>
      </c>
      <c r="E64" s="4">
        <v>2</v>
      </c>
      <c r="F64" s="14">
        <v>1000000</v>
      </c>
      <c r="G64" s="35">
        <v>80</v>
      </c>
      <c r="H64" s="35">
        <v>78</v>
      </c>
      <c r="J64" s="24" t="str">
        <f t="shared" ref="J64" si="45">CONCATENATE(K61,3)</f>
        <v>53</v>
      </c>
      <c r="K64" s="6" t="e">
        <v>#VALUE!</v>
      </c>
      <c r="L64" s="6" t="e">
        <v>#VALUE!</v>
      </c>
      <c r="M64" s="6" t="e">
        <v>#VALUE!</v>
      </c>
      <c r="N64" s="6" t="e">
        <v>#VALUE!</v>
      </c>
      <c r="T64" s="9"/>
      <c r="U64" s="1">
        <f t="shared" si="31"/>
        <v>2</v>
      </c>
      <c r="V64" s="1">
        <f t="shared" si="32"/>
        <v>219</v>
      </c>
    </row>
    <row r="65" spans="1:22" x14ac:dyDescent="0.3">
      <c r="A65" s="1">
        <f t="shared" si="30"/>
        <v>2220</v>
      </c>
      <c r="B65" s="4"/>
      <c r="C65" s="4"/>
      <c r="D65" s="4"/>
      <c r="E65" s="4"/>
      <c r="F65" s="14"/>
      <c r="G65" s="8"/>
      <c r="H65" s="7"/>
      <c r="K65" s="1">
        <v>6</v>
      </c>
      <c r="L65" s="1">
        <v>6</v>
      </c>
      <c r="M65" s="1">
        <v>6</v>
      </c>
      <c r="N65" s="1">
        <v>6</v>
      </c>
      <c r="O65" s="1">
        <v>6</v>
      </c>
      <c r="T65" s="9"/>
      <c r="U65" s="1">
        <f t="shared" si="31"/>
        <v>2</v>
      </c>
      <c r="V65" s="1">
        <f t="shared" si="32"/>
        <v>220</v>
      </c>
    </row>
    <row r="66" spans="1:22" x14ac:dyDescent="0.3">
      <c r="A66" s="1">
        <f t="shared" si="30"/>
        <v>2221</v>
      </c>
      <c r="B66" s="4"/>
      <c r="C66" s="4"/>
      <c r="D66" s="4"/>
      <c r="E66" s="4"/>
      <c r="F66" s="14"/>
      <c r="G66" s="8"/>
      <c r="H66" s="7"/>
      <c r="J66" s="24" t="str">
        <f t="shared" ref="J66" si="46">CONCATENATE(K65,1)</f>
        <v>61</v>
      </c>
      <c r="K66" s="6" t="e">
        <f t="array" ref="K66:O68">LINEST(B62:B67,C62:C67^{1,2,3,4},TRUE,TRUE)</f>
        <v>#VALUE!</v>
      </c>
      <c r="L66" s="6" t="e">
        <v>#VALUE!</v>
      </c>
      <c r="M66" s="6" t="e">
        <v>#VALUE!</v>
      </c>
      <c r="N66" s="6" t="e">
        <v>#VALUE!</v>
      </c>
      <c r="O66" s="6" t="e">
        <v>#VALUE!</v>
      </c>
      <c r="T66" s="9"/>
      <c r="U66" s="1">
        <f t="shared" si="31"/>
        <v>2</v>
      </c>
      <c r="V66" s="1">
        <f t="shared" si="32"/>
        <v>221</v>
      </c>
    </row>
    <row r="67" spans="1:22" x14ac:dyDescent="0.3">
      <c r="A67" s="1">
        <f t="shared" si="30"/>
        <v>2222</v>
      </c>
      <c r="B67" s="4"/>
      <c r="C67" s="4"/>
      <c r="D67" s="4"/>
      <c r="E67" s="4"/>
      <c r="F67" s="14"/>
      <c r="G67" s="8"/>
      <c r="H67" s="7"/>
      <c r="J67" s="24" t="str">
        <f t="shared" ref="J67" si="47">CONCATENATE(K65,2)</f>
        <v>62</v>
      </c>
      <c r="K67" s="6" t="e">
        <v>#VALUE!</v>
      </c>
      <c r="L67" s="6" t="e">
        <v>#VALUE!</v>
      </c>
      <c r="M67" s="6" t="e">
        <v>#VALUE!</v>
      </c>
      <c r="N67" s="6" t="e">
        <v>#VALUE!</v>
      </c>
      <c r="O67" s="6" t="e">
        <v>#VALUE!</v>
      </c>
      <c r="T67" s="9"/>
      <c r="U67" s="1">
        <f t="shared" si="31"/>
        <v>2</v>
      </c>
      <c r="V67" s="1">
        <f t="shared" si="32"/>
        <v>222</v>
      </c>
    </row>
    <row r="68" spans="1:22" x14ac:dyDescent="0.3">
      <c r="A68" s="1">
        <f t="shared" si="30"/>
        <v>2223</v>
      </c>
      <c r="B68" s="4"/>
      <c r="C68" s="4"/>
      <c r="D68" s="4"/>
      <c r="E68" s="4"/>
      <c r="F68" s="14"/>
      <c r="G68" s="8"/>
      <c r="H68" s="7"/>
      <c r="J68" s="24" t="str">
        <f t="shared" ref="J68" si="48">CONCATENATE(K65,3)</f>
        <v>63</v>
      </c>
      <c r="K68" s="6" t="e">
        <v>#VALUE!</v>
      </c>
      <c r="L68" s="6" t="e">
        <v>#VALUE!</v>
      </c>
      <c r="M68" s="6" t="e">
        <v>#VALUE!</v>
      </c>
      <c r="N68" s="6" t="e">
        <v>#VALUE!</v>
      </c>
      <c r="O68" s="6" t="e">
        <v>#VALUE!</v>
      </c>
      <c r="T68" s="9"/>
      <c r="U68" s="1">
        <f t="shared" si="31"/>
        <v>2</v>
      </c>
      <c r="V68" s="1">
        <f t="shared" si="32"/>
        <v>223</v>
      </c>
    </row>
    <row r="69" spans="1:22" x14ac:dyDescent="0.3">
      <c r="A69" s="1">
        <f t="shared" si="30"/>
        <v>2224</v>
      </c>
      <c r="B69" s="4"/>
      <c r="C69" s="4"/>
      <c r="D69" s="4"/>
      <c r="E69" s="4"/>
      <c r="F69" s="14"/>
      <c r="G69" s="8"/>
      <c r="H69" s="7"/>
      <c r="K69" s="1">
        <v>7</v>
      </c>
      <c r="L69" s="1">
        <v>7</v>
      </c>
      <c r="M69" s="1">
        <v>7</v>
      </c>
      <c r="N69" s="1">
        <v>7</v>
      </c>
      <c r="O69" s="1">
        <v>7</v>
      </c>
      <c r="P69" s="1">
        <v>7</v>
      </c>
      <c r="T69" s="9"/>
      <c r="U69" s="1">
        <f t="shared" si="31"/>
        <v>2</v>
      </c>
      <c r="V69" s="1">
        <f t="shared" si="32"/>
        <v>224</v>
      </c>
    </row>
    <row r="70" spans="1:22" x14ac:dyDescent="0.3">
      <c r="A70" s="1">
        <f t="shared" si="30"/>
        <v>2225</v>
      </c>
      <c r="B70" s="4"/>
      <c r="C70" s="4"/>
      <c r="D70" s="4"/>
      <c r="E70" s="4"/>
      <c r="F70" s="14"/>
      <c r="G70" s="8"/>
      <c r="H70" s="7"/>
      <c r="J70" s="24" t="str">
        <f t="shared" ref="J70" si="49">CONCATENATE(K69,1)</f>
        <v>71</v>
      </c>
      <c r="K70" s="6" t="e">
        <f t="array" ref="K70:P72">LINEST(B62:B68,C62:C68^{1,2,3,4,5},TRUE,TRUE)</f>
        <v>#VALUE!</v>
      </c>
      <c r="L70" s="6" t="e">
        <v>#VALUE!</v>
      </c>
      <c r="M70" s="6" t="e">
        <v>#VALUE!</v>
      </c>
      <c r="N70" s="6" t="e">
        <v>#VALUE!</v>
      </c>
      <c r="O70" s="6" t="e">
        <v>#VALUE!</v>
      </c>
      <c r="P70" s="6" t="e">
        <v>#VALUE!</v>
      </c>
      <c r="T70" s="9"/>
      <c r="U70" s="1">
        <f t="shared" si="31"/>
        <v>2</v>
      </c>
      <c r="V70" s="1">
        <f t="shared" si="32"/>
        <v>225</v>
      </c>
    </row>
    <row r="71" spans="1:22" x14ac:dyDescent="0.3">
      <c r="A71" s="1">
        <f t="shared" si="30"/>
        <v>2226</v>
      </c>
      <c r="B71" s="4"/>
      <c r="C71" s="4"/>
      <c r="D71" s="4"/>
      <c r="E71" s="4"/>
      <c r="F71" s="14"/>
      <c r="G71" s="8"/>
      <c r="H71" s="7"/>
      <c r="J71" s="24" t="str">
        <f t="shared" ref="J71" si="50">CONCATENATE(K69,2)</f>
        <v>72</v>
      </c>
      <c r="K71" s="6" t="e">
        <v>#VALUE!</v>
      </c>
      <c r="L71" s="6" t="e">
        <v>#VALUE!</v>
      </c>
      <c r="M71" s="6" t="e">
        <v>#VALUE!</v>
      </c>
      <c r="N71" s="6" t="e">
        <v>#VALUE!</v>
      </c>
      <c r="O71" s="6" t="e">
        <v>#VALUE!</v>
      </c>
      <c r="P71" s="6" t="e">
        <v>#VALUE!</v>
      </c>
      <c r="T71" s="9"/>
      <c r="U71" s="1">
        <f t="shared" si="31"/>
        <v>2</v>
      </c>
      <c r="V71" s="1">
        <f t="shared" si="32"/>
        <v>226</v>
      </c>
    </row>
    <row r="72" spans="1:22" x14ac:dyDescent="0.3">
      <c r="A72" s="1">
        <f t="shared" si="30"/>
        <v>2227</v>
      </c>
      <c r="B72" s="9"/>
      <c r="C72" s="9"/>
      <c r="D72" s="9"/>
      <c r="E72" s="9"/>
      <c r="F72" s="9"/>
      <c r="G72" s="9"/>
      <c r="H72" s="9"/>
      <c r="J72" s="24" t="str">
        <f t="shared" ref="J72" si="51">CONCATENATE(K69,3)</f>
        <v>73</v>
      </c>
      <c r="K72" s="6" t="e">
        <v>#VALUE!</v>
      </c>
      <c r="L72" s="6" t="e">
        <v>#VALUE!</v>
      </c>
      <c r="M72" s="6" t="e">
        <v>#VALUE!</v>
      </c>
      <c r="N72" s="6" t="e">
        <v>#VALUE!</v>
      </c>
      <c r="O72" s="6" t="e">
        <v>#VALUE!</v>
      </c>
      <c r="P72" s="6" t="e">
        <v>#VALUE!</v>
      </c>
      <c r="T72" s="9"/>
      <c r="U72" s="1">
        <f t="shared" si="31"/>
        <v>2</v>
      </c>
      <c r="V72" s="1">
        <f t="shared" si="32"/>
        <v>227</v>
      </c>
    </row>
    <row r="73" spans="1:22" x14ac:dyDescent="0.3">
      <c r="A73" s="1">
        <f t="shared" si="30"/>
        <v>2228</v>
      </c>
      <c r="B73" s="87" t="s">
        <v>33</v>
      </c>
      <c r="C73" s="88"/>
      <c r="D73" s="88"/>
      <c r="E73" s="88"/>
      <c r="F73" s="88"/>
      <c r="G73" s="88"/>
      <c r="H73" s="89"/>
      <c r="K73" s="1">
        <v>8</v>
      </c>
      <c r="L73" s="1">
        <v>8</v>
      </c>
      <c r="M73" s="1">
        <v>8</v>
      </c>
      <c r="N73" s="1">
        <v>8</v>
      </c>
      <c r="O73" s="1">
        <v>8</v>
      </c>
      <c r="P73" s="1">
        <v>8</v>
      </c>
      <c r="Q73" s="1">
        <v>8</v>
      </c>
      <c r="T73" s="9"/>
      <c r="U73" s="1">
        <f t="shared" si="31"/>
        <v>2</v>
      </c>
      <c r="V73" s="1">
        <f t="shared" si="32"/>
        <v>228</v>
      </c>
    </row>
    <row r="74" spans="1:22" x14ac:dyDescent="0.3">
      <c r="A74" s="1">
        <f t="shared" si="30"/>
        <v>2229</v>
      </c>
      <c r="B74" s="90"/>
      <c r="C74" s="91"/>
      <c r="D74" s="91"/>
      <c r="E74" s="91"/>
      <c r="F74" s="91"/>
      <c r="G74" s="91"/>
      <c r="H74" s="92"/>
      <c r="J74" s="24" t="str">
        <f t="shared" ref="J74" si="52">CONCATENATE(K73,1)</f>
        <v>81</v>
      </c>
      <c r="K74" s="6" t="e">
        <f t="array" ref="K74:Q76">LINEST(B62:B69,C62:C69^{1,2,3,4,5,6},TRUE,TRUE)</f>
        <v>#VALUE!</v>
      </c>
      <c r="L74" s="6" t="e">
        <v>#VALUE!</v>
      </c>
      <c r="M74" s="6" t="e">
        <v>#VALUE!</v>
      </c>
      <c r="N74" s="6" t="e">
        <v>#VALUE!</v>
      </c>
      <c r="O74" s="6" t="e">
        <v>#VALUE!</v>
      </c>
      <c r="P74" s="6" t="e">
        <v>#VALUE!</v>
      </c>
      <c r="Q74" s="6" t="e">
        <v>#VALUE!</v>
      </c>
      <c r="T74" s="9"/>
      <c r="U74" s="1">
        <f t="shared" si="31"/>
        <v>2</v>
      </c>
      <c r="V74" s="1">
        <f t="shared" si="32"/>
        <v>229</v>
      </c>
    </row>
    <row r="75" spans="1:22" x14ac:dyDescent="0.3">
      <c r="A75" s="1">
        <f t="shared" si="30"/>
        <v>2230</v>
      </c>
      <c r="B75" s="93"/>
      <c r="C75" s="94"/>
      <c r="D75" s="94"/>
      <c r="E75" s="94"/>
      <c r="F75" s="94"/>
      <c r="G75" s="94"/>
      <c r="H75" s="95"/>
      <c r="J75" s="24" t="str">
        <f t="shared" ref="J75" si="53">CONCATENATE(K73,2)</f>
        <v>82</v>
      </c>
      <c r="K75" s="6" t="e">
        <v>#VALUE!</v>
      </c>
      <c r="L75" s="6" t="e">
        <v>#VALUE!</v>
      </c>
      <c r="M75" s="6" t="e">
        <v>#VALUE!</v>
      </c>
      <c r="N75" s="6" t="e">
        <v>#VALUE!</v>
      </c>
      <c r="O75" s="6" t="e">
        <v>#VALUE!</v>
      </c>
      <c r="P75" s="6" t="e">
        <v>#VALUE!</v>
      </c>
      <c r="Q75" s="6" t="e">
        <v>#VALUE!</v>
      </c>
      <c r="T75" s="9"/>
      <c r="U75" s="1">
        <f t="shared" si="31"/>
        <v>2</v>
      </c>
      <c r="V75" s="1">
        <f t="shared" si="32"/>
        <v>230</v>
      </c>
    </row>
    <row r="76" spans="1:22" x14ac:dyDescent="0.3">
      <c r="A76" s="1">
        <f t="shared" si="30"/>
        <v>2231</v>
      </c>
      <c r="J76" s="24" t="str">
        <f t="shared" ref="J76" si="54">CONCATENATE(K73,3)</f>
        <v>83</v>
      </c>
      <c r="K76" s="6" t="e">
        <v>#VALUE!</v>
      </c>
      <c r="L76" s="6" t="e">
        <v>#VALUE!</v>
      </c>
      <c r="M76" s="6" t="e">
        <v>#VALUE!</v>
      </c>
      <c r="N76" s="6" t="e">
        <v>#VALUE!</v>
      </c>
      <c r="O76" s="6" t="e">
        <v>#VALUE!</v>
      </c>
      <c r="P76" s="6" t="e">
        <v>#VALUE!</v>
      </c>
      <c r="Q76" s="6" t="e">
        <v>#VALUE!</v>
      </c>
      <c r="T76" s="9"/>
      <c r="U76" s="1">
        <f t="shared" si="31"/>
        <v>2</v>
      </c>
      <c r="V76" s="1">
        <f t="shared" si="32"/>
        <v>231</v>
      </c>
    </row>
    <row r="77" spans="1:22" ht="15" customHeight="1" x14ac:dyDescent="0.3">
      <c r="A77" s="1">
        <f t="shared" si="30"/>
        <v>2232</v>
      </c>
      <c r="B77" s="10" t="s">
        <v>34</v>
      </c>
      <c r="C77" s="10" t="s">
        <v>35</v>
      </c>
      <c r="D77" s="10" t="s">
        <v>36</v>
      </c>
      <c r="E77" s="74" t="s">
        <v>37</v>
      </c>
      <c r="F77" s="75"/>
      <c r="G77" s="76"/>
      <c r="K77" s="1">
        <v>9</v>
      </c>
      <c r="L77" s="1">
        <v>9</v>
      </c>
      <c r="M77" s="1">
        <v>9</v>
      </c>
      <c r="N77" s="1">
        <v>9</v>
      </c>
      <c r="O77" s="1">
        <v>9</v>
      </c>
      <c r="P77" s="1">
        <v>9</v>
      </c>
      <c r="Q77" s="1">
        <v>9</v>
      </c>
      <c r="R77" s="1">
        <v>9</v>
      </c>
      <c r="T77" s="9"/>
      <c r="U77" s="1">
        <f t="shared" si="31"/>
        <v>2</v>
      </c>
      <c r="V77" s="1">
        <f t="shared" si="32"/>
        <v>232</v>
      </c>
    </row>
    <row r="78" spans="1:22" x14ac:dyDescent="0.3">
      <c r="A78" s="1">
        <f t="shared" si="30"/>
        <v>2233</v>
      </c>
      <c r="B78" s="12">
        <f t="shared" ref="B78:B87" si="55">C62-B62</f>
        <v>5</v>
      </c>
      <c r="C78" s="13">
        <f t="shared" ref="C78:C87" si="56">H62-G62</f>
        <v>5</v>
      </c>
      <c r="D78" s="10">
        <f>C78-B78</f>
        <v>0</v>
      </c>
      <c r="E78" s="11">
        <f>IF(D53="","",MAX(F78,G78))</f>
        <v>1</v>
      </c>
      <c r="F78" s="10">
        <f>ABS(MIN(D78:D87))</f>
        <v>1</v>
      </c>
      <c r="G78" s="10">
        <f>ABS(MAX(D78:D87))</f>
        <v>0</v>
      </c>
      <c r="J78" s="24" t="str">
        <f t="shared" ref="J78" si="57">CONCATENATE(K77,1)</f>
        <v>91</v>
      </c>
      <c r="K78" s="6" t="e">
        <f t="array" ref="K78:R80">LINEST(B62:B70,C62:C70^{1,2,3,4,5,6,7},TRUE,TRUE)</f>
        <v>#VALUE!</v>
      </c>
      <c r="L78" s="6" t="e">
        <v>#VALUE!</v>
      </c>
      <c r="M78" s="6" t="e">
        <v>#VALUE!</v>
      </c>
      <c r="N78" s="6" t="e">
        <v>#VALUE!</v>
      </c>
      <c r="O78" s="6" t="e">
        <v>#VALUE!</v>
      </c>
      <c r="P78" s="6" t="e">
        <v>#VALUE!</v>
      </c>
      <c r="Q78" s="6" t="e">
        <v>#VALUE!</v>
      </c>
      <c r="R78" s="6" t="e">
        <v>#VALUE!</v>
      </c>
      <c r="T78" s="9"/>
      <c r="U78" s="1">
        <f t="shared" si="31"/>
        <v>2</v>
      </c>
      <c r="V78" s="1">
        <f t="shared" si="32"/>
        <v>233</v>
      </c>
    </row>
    <row r="79" spans="1:22" x14ac:dyDescent="0.3">
      <c r="A79" s="1">
        <f t="shared" si="30"/>
        <v>2234</v>
      </c>
      <c r="B79" s="12">
        <f t="shared" si="55"/>
        <v>3</v>
      </c>
      <c r="C79" s="13">
        <f t="shared" si="56"/>
        <v>2</v>
      </c>
      <c r="D79" s="10">
        <f t="shared" ref="D79:D87" si="58">C79-B79</f>
        <v>-1</v>
      </c>
      <c r="E79" s="74" t="s">
        <v>38</v>
      </c>
      <c r="F79" s="75"/>
      <c r="G79" s="76"/>
      <c r="J79" s="24" t="str">
        <f t="shared" ref="J79" si="59">CONCATENATE(K77,2)</f>
        <v>92</v>
      </c>
      <c r="K79" s="6" t="e">
        <v>#VALUE!</v>
      </c>
      <c r="L79" s="6" t="e">
        <v>#VALUE!</v>
      </c>
      <c r="M79" s="6" t="e">
        <v>#VALUE!</v>
      </c>
      <c r="N79" s="6" t="e">
        <v>#VALUE!</v>
      </c>
      <c r="O79" s="6" t="e">
        <v>#VALUE!</v>
      </c>
      <c r="P79" s="6" t="e">
        <v>#VALUE!</v>
      </c>
      <c r="Q79" s="6" t="e">
        <v>#VALUE!</v>
      </c>
      <c r="R79" s="6" t="e">
        <v>#VALUE!</v>
      </c>
      <c r="T79" s="9"/>
      <c r="U79" s="1">
        <f t="shared" si="31"/>
        <v>2</v>
      </c>
      <c r="V79" s="1">
        <f t="shared" si="32"/>
        <v>234</v>
      </c>
    </row>
    <row r="80" spans="1:22" x14ac:dyDescent="0.3">
      <c r="A80" s="1">
        <f t="shared" si="30"/>
        <v>2235</v>
      </c>
      <c r="B80" s="12">
        <f t="shared" si="55"/>
        <v>-2</v>
      </c>
      <c r="C80" s="13">
        <f t="shared" si="56"/>
        <v>-2</v>
      </c>
      <c r="D80" s="10">
        <f t="shared" si="58"/>
        <v>0</v>
      </c>
      <c r="E80" s="11">
        <f>IF(D53="","",MAX(F80,G80))</f>
        <v>5</v>
      </c>
      <c r="F80" s="10">
        <f>ABS(MIN(B78:B87))</f>
        <v>2</v>
      </c>
      <c r="G80" s="10">
        <f>ABS(MAX(B78:B87))</f>
        <v>5</v>
      </c>
      <c r="J80" s="24" t="str">
        <f t="shared" ref="J80" si="60">CONCATENATE(K77,3)</f>
        <v>93</v>
      </c>
      <c r="K80" s="6" t="e">
        <v>#VALUE!</v>
      </c>
      <c r="L80" s="6" t="e">
        <v>#VALUE!</v>
      </c>
      <c r="M80" s="6" t="e">
        <v>#VALUE!</v>
      </c>
      <c r="N80" s="6" t="e">
        <v>#VALUE!</v>
      </c>
      <c r="O80" s="6" t="e">
        <v>#VALUE!</v>
      </c>
      <c r="P80" s="6" t="e">
        <v>#VALUE!</v>
      </c>
      <c r="Q80" s="6" t="e">
        <v>#VALUE!</v>
      </c>
      <c r="R80" s="6" t="e">
        <v>#VALUE!</v>
      </c>
      <c r="T80" s="9"/>
      <c r="U80" s="1">
        <f t="shared" si="31"/>
        <v>2</v>
      </c>
      <c r="V80" s="1">
        <f t="shared" si="32"/>
        <v>235</v>
      </c>
    </row>
    <row r="81" spans="1:22" x14ac:dyDescent="0.3">
      <c r="A81" s="1">
        <f t="shared" si="30"/>
        <v>2236</v>
      </c>
      <c r="B81" s="12">
        <f t="shared" si="55"/>
        <v>0</v>
      </c>
      <c r="C81" s="13">
        <f t="shared" si="56"/>
        <v>0</v>
      </c>
      <c r="D81" s="10">
        <f t="shared" si="58"/>
        <v>0</v>
      </c>
      <c r="E81" s="74" t="s">
        <v>39</v>
      </c>
      <c r="F81" s="75"/>
      <c r="G81" s="76"/>
      <c r="K81" s="1">
        <v>10</v>
      </c>
      <c r="L81" s="1">
        <v>10</v>
      </c>
      <c r="M81" s="1">
        <v>10</v>
      </c>
      <c r="N81" s="1">
        <v>10</v>
      </c>
      <c r="O81" s="1">
        <v>10</v>
      </c>
      <c r="P81" s="1">
        <v>10</v>
      </c>
      <c r="Q81" s="1">
        <v>10</v>
      </c>
      <c r="R81" s="1">
        <v>10</v>
      </c>
      <c r="S81" s="1">
        <v>10</v>
      </c>
      <c r="T81" s="9"/>
      <c r="U81" s="1">
        <f t="shared" si="31"/>
        <v>2</v>
      </c>
      <c r="V81" s="1">
        <f t="shared" si="32"/>
        <v>236</v>
      </c>
    </row>
    <row r="82" spans="1:22" x14ac:dyDescent="0.3">
      <c r="A82" s="1">
        <f t="shared" si="30"/>
        <v>2237</v>
      </c>
      <c r="B82" s="12">
        <f t="shared" si="55"/>
        <v>0</v>
      </c>
      <c r="C82" s="13">
        <f t="shared" si="56"/>
        <v>0</v>
      </c>
      <c r="D82" s="10">
        <f t="shared" si="58"/>
        <v>0</v>
      </c>
      <c r="E82" s="11">
        <f>IF(D53="","",MAX(F82,G82))</f>
        <v>2</v>
      </c>
      <c r="F82" s="10">
        <f>ABS(MIN(D62:D71))</f>
        <v>1</v>
      </c>
      <c r="G82" s="10">
        <f>ABS(MAX(D62:D71))</f>
        <v>2</v>
      </c>
      <c r="J82" s="24" t="str">
        <f t="shared" ref="J82" si="61">CONCATENATE(K81,1)</f>
        <v>101</v>
      </c>
      <c r="K82" s="6" t="e">
        <f t="array" ref="K82:S84">LINEST(B62:B71,C62:C71^{1,2,3,4,5,6,7,8},TRUE,TRUE)</f>
        <v>#VALUE!</v>
      </c>
      <c r="L82" s="6" t="e">
        <v>#VALUE!</v>
      </c>
      <c r="M82" s="6" t="e">
        <v>#VALUE!</v>
      </c>
      <c r="N82" s="6" t="e">
        <v>#VALUE!</v>
      </c>
      <c r="O82" s="6" t="e">
        <v>#VALUE!</v>
      </c>
      <c r="P82" s="6" t="e">
        <v>#VALUE!</v>
      </c>
      <c r="Q82" s="6" t="e">
        <v>#VALUE!</v>
      </c>
      <c r="R82" s="6" t="e">
        <v>#VALUE!</v>
      </c>
      <c r="S82" s="6" t="e">
        <v>#VALUE!</v>
      </c>
      <c r="T82" s="9"/>
      <c r="U82" s="1">
        <f t="shared" si="31"/>
        <v>2</v>
      </c>
      <c r="V82" s="1">
        <f t="shared" si="32"/>
        <v>237</v>
      </c>
    </row>
    <row r="83" spans="1:22" x14ac:dyDescent="0.3">
      <c r="A83" s="1">
        <f t="shared" si="30"/>
        <v>2238</v>
      </c>
      <c r="B83" s="12">
        <f t="shared" si="55"/>
        <v>0</v>
      </c>
      <c r="C83" s="13">
        <f t="shared" si="56"/>
        <v>0</v>
      </c>
      <c r="D83" s="10">
        <f t="shared" si="58"/>
        <v>0</v>
      </c>
      <c r="J83" s="24" t="str">
        <f t="shared" ref="J83" si="62">CONCATENATE(K81,2)</f>
        <v>102</v>
      </c>
      <c r="K83" s="6" t="e">
        <v>#VALUE!</v>
      </c>
      <c r="L83" s="6" t="e">
        <v>#VALUE!</v>
      </c>
      <c r="M83" s="6" t="e">
        <v>#VALUE!</v>
      </c>
      <c r="N83" s="6" t="e">
        <v>#VALUE!</v>
      </c>
      <c r="O83" s="6" t="e">
        <v>#VALUE!</v>
      </c>
      <c r="P83" s="6" t="e">
        <v>#VALUE!</v>
      </c>
      <c r="Q83" s="6" t="e">
        <v>#VALUE!</v>
      </c>
      <c r="R83" s="6" t="e">
        <v>#VALUE!</v>
      </c>
      <c r="S83" s="6" t="e">
        <v>#VALUE!</v>
      </c>
      <c r="T83" s="9"/>
      <c r="U83" s="1">
        <f t="shared" si="31"/>
        <v>2</v>
      </c>
      <c r="V83" s="1">
        <f t="shared" si="32"/>
        <v>238</v>
      </c>
    </row>
    <row r="84" spans="1:22" x14ac:dyDescent="0.3">
      <c r="A84" s="1">
        <f t="shared" si="30"/>
        <v>2239</v>
      </c>
      <c r="B84" s="12">
        <f t="shared" si="55"/>
        <v>0</v>
      </c>
      <c r="C84" s="13">
        <f t="shared" si="56"/>
        <v>0</v>
      </c>
      <c r="D84" s="10">
        <f t="shared" si="58"/>
        <v>0</v>
      </c>
      <c r="J84" s="24" t="str">
        <f t="shared" ref="J84" si="63">CONCATENATE(K81,3)</f>
        <v>103</v>
      </c>
      <c r="K84" s="6" t="e">
        <v>#VALUE!</v>
      </c>
      <c r="L84" s="6" t="e">
        <v>#VALUE!</v>
      </c>
      <c r="M84" s="6" t="e">
        <v>#VALUE!</v>
      </c>
      <c r="N84" s="6" t="e">
        <v>#VALUE!</v>
      </c>
      <c r="O84" s="6" t="e">
        <v>#VALUE!</v>
      </c>
      <c r="P84" s="6" t="e">
        <v>#VALUE!</v>
      </c>
      <c r="Q84" s="6" t="e">
        <v>#VALUE!</v>
      </c>
      <c r="R84" s="6" t="e">
        <v>#VALUE!</v>
      </c>
      <c r="S84" s="6" t="e">
        <v>#VALUE!</v>
      </c>
      <c r="T84" s="9"/>
      <c r="U84" s="1">
        <f t="shared" si="31"/>
        <v>2</v>
      </c>
      <c r="V84" s="1">
        <f t="shared" si="32"/>
        <v>239</v>
      </c>
    </row>
    <row r="85" spans="1:22" x14ac:dyDescent="0.3">
      <c r="A85" s="1">
        <f t="shared" si="30"/>
        <v>2240</v>
      </c>
      <c r="B85" s="12">
        <f t="shared" si="55"/>
        <v>0</v>
      </c>
      <c r="C85" s="13">
        <f t="shared" si="56"/>
        <v>0</v>
      </c>
      <c r="D85" s="10">
        <f t="shared" si="58"/>
        <v>0</v>
      </c>
      <c r="J85" s="9"/>
      <c r="K85" s="9"/>
      <c r="L85" s="9"/>
      <c r="M85" s="9"/>
      <c r="N85" s="9"/>
      <c r="O85" s="9"/>
      <c r="P85" s="9"/>
      <c r="Q85" s="9"/>
      <c r="R85" s="9"/>
      <c r="S85" s="9"/>
      <c r="T85" s="9"/>
      <c r="U85" s="1">
        <f t="shared" si="31"/>
        <v>2</v>
      </c>
      <c r="V85" s="1">
        <f t="shared" si="32"/>
        <v>240</v>
      </c>
    </row>
    <row r="86" spans="1:22" x14ac:dyDescent="0.3">
      <c r="A86" s="1">
        <f t="shared" si="30"/>
        <v>2241</v>
      </c>
      <c r="B86" s="12">
        <f t="shared" si="55"/>
        <v>0</v>
      </c>
      <c r="C86" s="13">
        <f t="shared" si="56"/>
        <v>0</v>
      </c>
      <c r="D86" s="10">
        <f t="shared" si="58"/>
        <v>0</v>
      </c>
      <c r="J86" s="9"/>
      <c r="K86" s="9"/>
      <c r="L86" s="9"/>
      <c r="M86" s="9"/>
      <c r="N86" s="9"/>
      <c r="O86" s="9"/>
      <c r="P86" s="9"/>
      <c r="Q86" s="9"/>
      <c r="R86" s="9"/>
      <c r="S86" s="9"/>
      <c r="T86" s="9"/>
      <c r="U86" s="1">
        <f t="shared" si="31"/>
        <v>2</v>
      </c>
      <c r="V86" s="1">
        <f t="shared" si="32"/>
        <v>241</v>
      </c>
    </row>
    <row r="87" spans="1:22" x14ac:dyDescent="0.3">
      <c r="A87" s="1">
        <f t="shared" si="30"/>
        <v>2242</v>
      </c>
      <c r="B87" s="12">
        <f t="shared" si="55"/>
        <v>0</v>
      </c>
      <c r="C87" s="13">
        <f t="shared" si="56"/>
        <v>0</v>
      </c>
      <c r="D87" s="10">
        <f t="shared" si="58"/>
        <v>0</v>
      </c>
      <c r="J87" s="9"/>
      <c r="K87" s="9"/>
      <c r="L87" s="9"/>
      <c r="M87" s="9"/>
      <c r="N87" s="9"/>
      <c r="O87" s="9"/>
      <c r="P87" s="9"/>
      <c r="Q87" s="9"/>
      <c r="R87" s="9"/>
      <c r="S87" s="9"/>
      <c r="T87" s="9"/>
      <c r="U87" s="1">
        <f t="shared" si="31"/>
        <v>2</v>
      </c>
      <c r="V87" s="1">
        <f t="shared" si="32"/>
        <v>242</v>
      </c>
    </row>
    <row r="88" spans="1:22" x14ac:dyDescent="0.3">
      <c r="A88" s="1">
        <f t="shared" si="30"/>
        <v>2243</v>
      </c>
      <c r="J88" s="9"/>
      <c r="K88" s="9"/>
      <c r="L88" s="9"/>
      <c r="M88" s="9"/>
      <c r="N88" s="9"/>
      <c r="O88" s="9"/>
      <c r="P88" s="9"/>
      <c r="Q88" s="9"/>
      <c r="R88" s="9"/>
      <c r="S88" s="9"/>
      <c r="T88" s="9"/>
      <c r="U88" s="1">
        <f t="shared" si="31"/>
        <v>2</v>
      </c>
      <c r="V88" s="1">
        <f t="shared" si="32"/>
        <v>243</v>
      </c>
    </row>
    <row r="89" spans="1:22" s="5" customFormat="1" x14ac:dyDescent="0.3"/>
    <row r="90" spans="1:22" x14ac:dyDescent="0.3">
      <c r="A90" s="1">
        <f t="shared" ref="A90:A132" si="64">ROUND(CONCATENATE(U90,V90),0)</f>
        <v>3201</v>
      </c>
      <c r="B90" s="96" t="s">
        <v>0</v>
      </c>
      <c r="C90" s="97"/>
      <c r="D90" s="98" t="s">
        <v>46</v>
      </c>
      <c r="E90" s="99"/>
      <c r="F90" s="99"/>
      <c r="G90" s="99"/>
      <c r="H90" s="100"/>
      <c r="J90" s="9"/>
      <c r="K90" s="9"/>
      <c r="L90" s="9"/>
      <c r="M90" s="9"/>
      <c r="N90" s="9"/>
      <c r="O90" s="9"/>
      <c r="P90" s="9"/>
      <c r="Q90" s="9"/>
      <c r="R90" s="9"/>
      <c r="S90" s="9"/>
      <c r="T90" s="9"/>
      <c r="U90" s="1">
        <f t="shared" ref="U90" si="65">U88+1</f>
        <v>3</v>
      </c>
      <c r="V90" s="1">
        <v>201</v>
      </c>
    </row>
    <row r="91" spans="1:22" x14ac:dyDescent="0.3">
      <c r="A91" s="1">
        <f t="shared" si="64"/>
        <v>3202</v>
      </c>
      <c r="B91" s="96" t="s">
        <v>1</v>
      </c>
      <c r="C91" s="97"/>
      <c r="D91" s="15">
        <v>20</v>
      </c>
      <c r="E91" s="16" t="s">
        <v>2</v>
      </c>
      <c r="F91" s="107"/>
      <c r="G91" s="108"/>
      <c r="H91" s="109"/>
      <c r="J91" s="9"/>
      <c r="K91" s="9"/>
      <c r="L91" s="9"/>
      <c r="M91" s="9"/>
      <c r="N91" s="9"/>
      <c r="O91" s="9"/>
      <c r="P91" s="9"/>
      <c r="Q91" s="9"/>
      <c r="R91" s="9"/>
      <c r="S91" s="9"/>
      <c r="T91" s="9"/>
      <c r="U91" s="1">
        <f t="shared" ref="U91:U154" si="66">U90</f>
        <v>3</v>
      </c>
      <c r="V91" s="1">
        <f t="shared" ref="V91:V154" si="67">V90+1</f>
        <v>202</v>
      </c>
    </row>
    <row r="92" spans="1:22" x14ac:dyDescent="0.3">
      <c r="A92" s="1">
        <f t="shared" si="64"/>
        <v>3203</v>
      </c>
      <c r="B92" s="96" t="s">
        <v>12</v>
      </c>
      <c r="C92" s="97"/>
      <c r="D92" s="110" t="s">
        <v>76</v>
      </c>
      <c r="E92" s="111"/>
      <c r="F92" s="111"/>
      <c r="G92" s="111"/>
      <c r="H92" s="112"/>
      <c r="K92" s="1" t="s">
        <v>3</v>
      </c>
      <c r="L92" s="1" t="s">
        <v>4</v>
      </c>
      <c r="M92" s="1" t="s">
        <v>5</v>
      </c>
      <c r="N92" s="1" t="s">
        <v>6</v>
      </c>
      <c r="O92" s="1" t="s">
        <v>7</v>
      </c>
      <c r="P92" s="1" t="s">
        <v>8</v>
      </c>
      <c r="Q92" s="1" t="s">
        <v>9</v>
      </c>
      <c r="R92" s="1" t="s">
        <v>10</v>
      </c>
      <c r="S92" s="1" t="s">
        <v>11</v>
      </c>
      <c r="T92" s="9"/>
      <c r="U92" s="1">
        <f t="shared" si="66"/>
        <v>3</v>
      </c>
      <c r="V92" s="1">
        <f t="shared" si="67"/>
        <v>203</v>
      </c>
    </row>
    <row r="93" spans="1:22" x14ac:dyDescent="0.3">
      <c r="A93" s="1">
        <f t="shared" si="64"/>
        <v>3204</v>
      </c>
      <c r="B93" s="96" t="s">
        <v>13</v>
      </c>
      <c r="C93" s="97"/>
      <c r="D93" s="110" t="s">
        <v>65</v>
      </c>
      <c r="E93" s="111"/>
      <c r="F93" s="111"/>
      <c r="G93" s="111"/>
      <c r="H93" s="112"/>
      <c r="J93" s="1">
        <f>COUNTA(B106:B115)</f>
        <v>3</v>
      </c>
      <c r="K93" s="1">
        <f t="shared" ref="K93" si="68">IF(L93-1&lt;2,0,L93-1)</f>
        <v>0</v>
      </c>
      <c r="L93" s="1">
        <f t="shared" ref="L93" si="69">IF(M93-1&lt;2,0,M93-1)</f>
        <v>0</v>
      </c>
      <c r="M93" s="1">
        <f t="shared" ref="M93" si="70">IF(N93-1&lt;2,0,N93-1)</f>
        <v>0</v>
      </c>
      <c r="N93" s="1">
        <f t="shared" ref="N93" si="71">IF(O93-1&lt;2,0,O93-1)</f>
        <v>0</v>
      </c>
      <c r="O93" s="1">
        <f t="shared" ref="O93" si="72">IF(P93-1&lt;2,0,P93-1)</f>
        <v>0</v>
      </c>
      <c r="P93" s="1">
        <f t="shared" ref="P93" si="73">IF(Q93-1&lt;2,0,Q93-1)</f>
        <v>0</v>
      </c>
      <c r="Q93" s="1">
        <f t="shared" ref="Q93" si="74">IF(R93-1&lt;2,0,R93-1)</f>
        <v>0</v>
      </c>
      <c r="R93" s="1">
        <f>IF(S93-1&lt;2,0,S93-1)</f>
        <v>2</v>
      </c>
      <c r="S93" s="1">
        <f>J93</f>
        <v>3</v>
      </c>
      <c r="T93" s="9"/>
      <c r="U93" s="1">
        <f t="shared" si="66"/>
        <v>3</v>
      </c>
      <c r="V93" s="1">
        <f t="shared" si="67"/>
        <v>204</v>
      </c>
    </row>
    <row r="94" spans="1:22" x14ac:dyDescent="0.3">
      <c r="A94" s="1">
        <f t="shared" si="64"/>
        <v>3205</v>
      </c>
      <c r="B94" s="96" t="s">
        <v>14</v>
      </c>
      <c r="C94" s="97"/>
      <c r="D94" s="110" t="s">
        <v>66</v>
      </c>
      <c r="E94" s="111"/>
      <c r="F94" s="111"/>
      <c r="G94" s="111"/>
      <c r="H94" s="112"/>
      <c r="J94" s="24" t="str">
        <f>CONCATENATE(J93,1)</f>
        <v>31</v>
      </c>
      <c r="K94" s="25">
        <f>IF(K93=0,0,VLOOKUP(J94,J98:S128,K93,FALSE))</f>
        <v>0</v>
      </c>
      <c r="L94" s="25">
        <f>IF(L93=0,0,VLOOKUP(J94,J98:S128,L93,FALSE))</f>
        <v>0</v>
      </c>
      <c r="M94" s="25">
        <f>IF(M93=0,0,VLOOKUP(J94,J98:S128,M93,FALSE))</f>
        <v>0</v>
      </c>
      <c r="N94" s="25">
        <f>IF(N93=0,0,VLOOKUP(J94,J98:S128,N93,FALSE))</f>
        <v>0</v>
      </c>
      <c r="O94" s="25">
        <f>IF(O93=0,0,VLOOKUP(J94,J98:S128,O93,FALSE))</f>
        <v>0</v>
      </c>
      <c r="P94" s="25">
        <f>IF(P93=0,0,VLOOKUP(J94,J98:S128,P93,FALSE))</f>
        <v>0</v>
      </c>
      <c r="Q94" s="25">
        <f>IF(Q93=0,0,VLOOKUP(J94,J98:S128,Q93,FALSE))</f>
        <v>0</v>
      </c>
      <c r="R94" s="25">
        <f>IF(R93=0,0,VLOOKUP(J94,J98:S128,R93,FALSE))</f>
        <v>1.0435779816513759</v>
      </c>
      <c r="S94" s="25">
        <f>IF(S93=0,0,VLOOKUP(J94,J98:S128,S93,FALSE))</f>
        <v>-4.7591743119265857</v>
      </c>
      <c r="T94" s="9"/>
      <c r="U94" s="1">
        <f t="shared" si="66"/>
        <v>3</v>
      </c>
      <c r="V94" s="1">
        <f t="shared" si="67"/>
        <v>205</v>
      </c>
    </row>
    <row r="95" spans="1:22" x14ac:dyDescent="0.3">
      <c r="A95" s="1">
        <f t="shared" si="64"/>
        <v>3206</v>
      </c>
      <c r="B95" s="96" t="s">
        <v>15</v>
      </c>
      <c r="C95" s="97"/>
      <c r="D95" s="110" t="s">
        <v>236</v>
      </c>
      <c r="E95" s="111"/>
      <c r="F95" s="111"/>
      <c r="G95" s="111"/>
      <c r="H95" s="112"/>
      <c r="J95" s="24" t="str">
        <f>CONCATENATE(J93,2)</f>
        <v>32</v>
      </c>
      <c r="K95" s="6">
        <f>IF(K93=0,0,VLOOKUP(J95,J98:S128,K93,FALSE))</f>
        <v>0</v>
      </c>
      <c r="L95" s="6">
        <f>IF(L93=0,0,VLOOKUP(J95,J98:S128,L93,FALSE))</f>
        <v>0</v>
      </c>
      <c r="M95" s="6">
        <f>IF(M93=0,0,VLOOKUP(J95,J98:S128,M93,FALSE))</f>
        <v>0</v>
      </c>
      <c r="N95" s="6">
        <f>IF(N93=0,0,VLOOKUP(J95,J98:S128,N93,FALSE))</f>
        <v>0</v>
      </c>
      <c r="O95" s="6">
        <f>IF(O93=0,0,VLOOKUP(J95,J98:S128,O93,FALSE))</f>
        <v>0</v>
      </c>
      <c r="P95" s="6">
        <f>IF(P93=0,0,VLOOKUP(J95,J98:S128,P93,FALSE))</f>
        <v>0</v>
      </c>
      <c r="Q95" s="6">
        <f>IF(Q93=0,0,VLOOKUP(J95,J98:S128,Q93,FALSE))</f>
        <v>0</v>
      </c>
      <c r="R95" s="6">
        <f>IF(R93=0,0,VLOOKUP(J95,J98:S128,R93,FALSE))</f>
        <v>1.9862967976707536E-2</v>
      </c>
      <c r="S95" s="6">
        <f>IF(S93=0,0,VLOOKUP(J95,J98:S128,S93,FALSE))</f>
        <v>1.172812528282384</v>
      </c>
      <c r="T95" s="9"/>
      <c r="U95" s="1">
        <f t="shared" si="66"/>
        <v>3</v>
      </c>
      <c r="V95" s="1">
        <f t="shared" si="67"/>
        <v>206</v>
      </c>
    </row>
    <row r="96" spans="1:22" x14ac:dyDescent="0.3">
      <c r="A96" s="1">
        <f t="shared" si="64"/>
        <v>3207</v>
      </c>
      <c r="B96" s="96" t="s">
        <v>16</v>
      </c>
      <c r="C96" s="97"/>
      <c r="D96" s="113">
        <v>45412</v>
      </c>
      <c r="E96" s="114"/>
      <c r="F96" s="114"/>
      <c r="G96" s="114"/>
      <c r="H96" s="115"/>
      <c r="J96" s="24" t="str">
        <f>CONCATENATE(J93,3)</f>
        <v>33</v>
      </c>
      <c r="K96" s="6"/>
      <c r="L96" s="6"/>
      <c r="M96" s="6"/>
      <c r="N96" s="6" t="s">
        <v>43</v>
      </c>
      <c r="O96" s="25">
        <f>J93-2</f>
        <v>1</v>
      </c>
      <c r="P96" s="6" t="s">
        <v>44</v>
      </c>
      <c r="Q96" s="25">
        <f>VLOOKUP(J96,J98:S128,3,FALSE)</f>
        <v>0.67728546147860413</v>
      </c>
      <c r="R96" s="6" t="s">
        <v>45</v>
      </c>
      <c r="S96" s="6">
        <f>VLOOKUP(J96,J98:S128,2,FALSE)</f>
        <v>0.99963785610816036</v>
      </c>
      <c r="T96" s="9"/>
      <c r="U96" s="1">
        <f t="shared" si="66"/>
        <v>3</v>
      </c>
      <c r="V96" s="1">
        <f t="shared" si="67"/>
        <v>207</v>
      </c>
    </row>
    <row r="97" spans="1:22" x14ac:dyDescent="0.3">
      <c r="A97" s="1">
        <f t="shared" si="64"/>
        <v>3208</v>
      </c>
      <c r="B97" s="96" t="s">
        <v>17</v>
      </c>
      <c r="C97" s="97"/>
      <c r="D97" s="116">
        <v>45777</v>
      </c>
      <c r="E97" s="117"/>
      <c r="F97" s="117"/>
      <c r="G97" s="117"/>
      <c r="H97" s="118"/>
      <c r="K97" s="1">
        <v>3</v>
      </c>
      <c r="L97" s="1">
        <v>3</v>
      </c>
      <c r="Q97" s="26"/>
      <c r="R97" s="26"/>
      <c r="S97" s="26"/>
      <c r="T97" s="9"/>
      <c r="U97" s="1">
        <f t="shared" si="66"/>
        <v>3</v>
      </c>
      <c r="V97" s="1">
        <f t="shared" si="67"/>
        <v>208</v>
      </c>
    </row>
    <row r="98" spans="1:22" x14ac:dyDescent="0.3">
      <c r="A98" s="1">
        <f t="shared" si="64"/>
        <v>3209</v>
      </c>
      <c r="B98" s="77" t="s">
        <v>19</v>
      </c>
      <c r="C98" s="78"/>
      <c r="D98" s="17">
        <v>1</v>
      </c>
      <c r="E98" s="79" t="s">
        <v>40</v>
      </c>
      <c r="F98" s="80"/>
      <c r="G98" s="81"/>
      <c r="H98" s="18" t="s">
        <v>72</v>
      </c>
      <c r="J98" s="24" t="str">
        <f>CONCATENATE(K97,1)</f>
        <v>31</v>
      </c>
      <c r="K98" s="6">
        <f t="array" ref="K98:L100">LINEST(B106:B108,C106:C108^{1},TRUE,TRUE)</f>
        <v>1.0435779816513759</v>
      </c>
      <c r="L98" s="6">
        <v>-4.7591743119265857</v>
      </c>
      <c r="Q98" s="9"/>
      <c r="R98" s="9"/>
      <c r="S98" s="9"/>
      <c r="T98" s="9"/>
      <c r="U98" s="1">
        <f t="shared" si="66"/>
        <v>3</v>
      </c>
      <c r="V98" s="1">
        <f t="shared" si="67"/>
        <v>209</v>
      </c>
    </row>
    <row r="99" spans="1:22" x14ac:dyDescent="0.3">
      <c r="A99" s="1">
        <f t="shared" si="64"/>
        <v>3210</v>
      </c>
      <c r="B99" s="77" t="s">
        <v>41</v>
      </c>
      <c r="C99" s="78"/>
      <c r="D99" s="23">
        <f>MIN(B106:B115)</f>
        <v>30</v>
      </c>
      <c r="E99" s="20" t="s">
        <v>18</v>
      </c>
      <c r="F99" s="19">
        <f>MAX(B106:B115)</f>
        <v>80</v>
      </c>
      <c r="G99" s="21" t="str">
        <f>IF(H98="","",H98)</f>
        <v>%ur</v>
      </c>
      <c r="H99" s="22"/>
      <c r="J99" s="24" t="str">
        <f>CONCATENATE(K97,2)</f>
        <v>32</v>
      </c>
      <c r="K99" s="6">
        <v>1.9862967976707536E-2</v>
      </c>
      <c r="L99" s="6">
        <v>1.172812528282384</v>
      </c>
      <c r="Q99" s="9"/>
      <c r="R99" s="9"/>
      <c r="S99" s="9"/>
      <c r="T99" s="9"/>
      <c r="U99" s="1">
        <f t="shared" si="66"/>
        <v>3</v>
      </c>
      <c r="V99" s="1">
        <f t="shared" si="67"/>
        <v>210</v>
      </c>
    </row>
    <row r="100" spans="1:22" x14ac:dyDescent="0.3">
      <c r="A100" s="1">
        <f t="shared" si="64"/>
        <v>3211</v>
      </c>
      <c r="J100" s="24" t="str">
        <f>CONCATENATE(K97,3)</f>
        <v>33</v>
      </c>
      <c r="K100" s="6">
        <v>0.99963785610816036</v>
      </c>
      <c r="L100" s="6">
        <v>0.67728546147860413</v>
      </c>
      <c r="Q100" s="9"/>
      <c r="R100" s="9"/>
      <c r="S100" s="9"/>
      <c r="T100" s="9"/>
      <c r="U100" s="1">
        <f t="shared" si="66"/>
        <v>3</v>
      </c>
      <c r="V100" s="1">
        <f t="shared" si="67"/>
        <v>211</v>
      </c>
    </row>
    <row r="101" spans="1:22" x14ac:dyDescent="0.3">
      <c r="A101" s="1">
        <f t="shared" si="64"/>
        <v>3212</v>
      </c>
      <c r="B101" s="82" t="s">
        <v>20</v>
      </c>
      <c r="C101" s="83"/>
      <c r="D101" s="83"/>
      <c r="E101" s="83"/>
      <c r="F101" s="84"/>
      <c r="G101" s="85" t="s">
        <v>31</v>
      </c>
      <c r="H101" s="86"/>
      <c r="K101" s="1">
        <v>4</v>
      </c>
      <c r="L101" s="1">
        <v>4</v>
      </c>
      <c r="M101" s="1">
        <v>4</v>
      </c>
      <c r="Q101" s="9"/>
      <c r="R101" s="9"/>
      <c r="S101" s="9"/>
      <c r="T101" s="9"/>
      <c r="U101" s="1">
        <f t="shared" si="66"/>
        <v>3</v>
      </c>
      <c r="V101" s="1">
        <f t="shared" si="67"/>
        <v>212</v>
      </c>
    </row>
    <row r="102" spans="1:22" x14ac:dyDescent="0.3">
      <c r="A102" s="1">
        <f t="shared" si="64"/>
        <v>3213</v>
      </c>
      <c r="B102" s="82" t="s">
        <v>30</v>
      </c>
      <c r="C102" s="83"/>
      <c r="D102" s="84"/>
      <c r="E102" s="82" t="str">
        <f>D95</f>
        <v>R0038/14</v>
      </c>
      <c r="F102" s="84"/>
      <c r="G102" s="6" t="s">
        <v>32</v>
      </c>
      <c r="H102" s="7" t="s">
        <v>165</v>
      </c>
      <c r="J102" s="24" t="str">
        <f t="shared" ref="J102" si="75">CONCATENATE(K101,1)</f>
        <v>41</v>
      </c>
      <c r="K102" s="6" t="e">
        <f t="array" ref="K102:M104">LINEST(B106:B109,C106:C109^{1,2},TRUE,TRUE)</f>
        <v>#VALUE!</v>
      </c>
      <c r="L102" s="6" t="e">
        <v>#VALUE!</v>
      </c>
      <c r="M102" s="6" t="e">
        <v>#VALUE!</v>
      </c>
      <c r="Q102" s="9"/>
      <c r="R102" s="9"/>
      <c r="S102" s="9"/>
      <c r="T102" s="9"/>
      <c r="U102" s="1">
        <f t="shared" si="66"/>
        <v>3</v>
      </c>
      <c r="V102" s="1">
        <f t="shared" si="67"/>
        <v>213</v>
      </c>
    </row>
    <row r="103" spans="1:22" x14ac:dyDescent="0.3">
      <c r="A103" s="1">
        <f t="shared" si="64"/>
        <v>3214</v>
      </c>
      <c r="B103" s="2" t="s">
        <v>21</v>
      </c>
      <c r="C103" s="2" t="s">
        <v>22</v>
      </c>
      <c r="D103" s="2" t="s">
        <v>23</v>
      </c>
      <c r="E103" s="2"/>
      <c r="F103" s="2" t="s">
        <v>28</v>
      </c>
      <c r="G103" s="2" t="s">
        <v>21</v>
      </c>
      <c r="H103" s="2" t="s">
        <v>22</v>
      </c>
      <c r="J103" s="24" t="str">
        <f t="shared" ref="J103" si="76">CONCATENATE(K101,2)</f>
        <v>42</v>
      </c>
      <c r="K103" s="6" t="e">
        <v>#VALUE!</v>
      </c>
      <c r="L103" s="6" t="e">
        <v>#VALUE!</v>
      </c>
      <c r="M103" s="6" t="e">
        <v>#VALUE!</v>
      </c>
      <c r="Q103" s="9"/>
      <c r="R103" s="9"/>
      <c r="S103" s="9"/>
      <c r="T103" s="9"/>
      <c r="U103" s="1">
        <f t="shared" si="66"/>
        <v>3</v>
      </c>
      <c r="V103" s="1">
        <f t="shared" si="67"/>
        <v>214</v>
      </c>
    </row>
    <row r="104" spans="1:22" x14ac:dyDescent="0.3">
      <c r="A104" s="1">
        <f t="shared" si="64"/>
        <v>3215</v>
      </c>
      <c r="B104" s="2" t="s">
        <v>24</v>
      </c>
      <c r="C104" s="2" t="s">
        <v>25</v>
      </c>
      <c r="D104" s="2" t="s">
        <v>26</v>
      </c>
      <c r="E104" s="2" t="s">
        <v>27</v>
      </c>
      <c r="F104" s="2" t="s">
        <v>29</v>
      </c>
      <c r="G104" s="2" t="s">
        <v>24</v>
      </c>
      <c r="H104" s="2" t="s">
        <v>25</v>
      </c>
      <c r="J104" s="24" t="str">
        <f t="shared" ref="J104" si="77">CONCATENATE(K101,3)</f>
        <v>43</v>
      </c>
      <c r="K104" s="6" t="e">
        <v>#VALUE!</v>
      </c>
      <c r="L104" s="6" t="e">
        <v>#VALUE!</v>
      </c>
      <c r="M104" s="6" t="e">
        <v>#VALUE!</v>
      </c>
      <c r="Q104" s="9"/>
      <c r="R104" s="9"/>
      <c r="S104" s="9"/>
      <c r="T104" s="9"/>
      <c r="U104" s="1">
        <f t="shared" si="66"/>
        <v>3</v>
      </c>
      <c r="V104" s="1">
        <f t="shared" si="67"/>
        <v>215</v>
      </c>
    </row>
    <row r="105" spans="1:22" x14ac:dyDescent="0.3">
      <c r="A105" s="1">
        <f t="shared" si="64"/>
        <v>3216</v>
      </c>
      <c r="B105" s="3" t="str">
        <f>H98</f>
        <v>%ur</v>
      </c>
      <c r="C105" s="3" t="str">
        <f>B105</f>
        <v>%ur</v>
      </c>
      <c r="D105" s="3" t="str">
        <f>C105</f>
        <v>%ur</v>
      </c>
      <c r="E105" s="3"/>
      <c r="F105" s="3"/>
      <c r="G105" s="3" t="str">
        <f>D105</f>
        <v>%ur</v>
      </c>
      <c r="H105" s="3" t="str">
        <f>G105</f>
        <v>%ur</v>
      </c>
      <c r="K105" s="1">
        <v>5</v>
      </c>
      <c r="L105" s="1">
        <v>5</v>
      </c>
      <c r="M105" s="1">
        <v>5</v>
      </c>
      <c r="N105" s="1">
        <v>5</v>
      </c>
      <c r="Q105" s="9"/>
      <c r="R105" s="9"/>
      <c r="S105" s="9"/>
      <c r="T105" s="9"/>
      <c r="U105" s="1">
        <f t="shared" si="66"/>
        <v>3</v>
      </c>
      <c r="V105" s="1">
        <f t="shared" si="67"/>
        <v>216</v>
      </c>
    </row>
    <row r="106" spans="1:22" x14ac:dyDescent="0.3">
      <c r="A106" s="1">
        <f t="shared" si="64"/>
        <v>3217</v>
      </c>
      <c r="B106" s="14">
        <v>30</v>
      </c>
      <c r="C106" s="14">
        <v>33</v>
      </c>
      <c r="D106" s="14">
        <v>2</v>
      </c>
      <c r="E106" s="4">
        <v>2</v>
      </c>
      <c r="F106" s="14">
        <v>1000000</v>
      </c>
      <c r="G106" s="35">
        <v>30</v>
      </c>
      <c r="H106" s="35">
        <v>34</v>
      </c>
      <c r="J106" s="24" t="str">
        <f t="shared" ref="J106" si="78">CONCATENATE(K105,1)</f>
        <v>51</v>
      </c>
      <c r="K106" s="6" t="e">
        <f t="array" ref="K106:N108">LINEST(B106:B110,C106:C110^{1,2,3},TRUE,TRUE)</f>
        <v>#VALUE!</v>
      </c>
      <c r="L106" s="6" t="e">
        <v>#VALUE!</v>
      </c>
      <c r="M106" s="6" t="e">
        <v>#VALUE!</v>
      </c>
      <c r="N106" s="6" t="e">
        <v>#VALUE!</v>
      </c>
      <c r="Q106" s="9"/>
      <c r="R106" s="9"/>
      <c r="S106" s="9"/>
      <c r="T106" s="9"/>
      <c r="U106" s="1">
        <f t="shared" si="66"/>
        <v>3</v>
      </c>
      <c r="V106" s="1">
        <f t="shared" si="67"/>
        <v>217</v>
      </c>
    </row>
    <row r="107" spans="1:22" x14ac:dyDescent="0.3">
      <c r="A107" s="1">
        <f t="shared" si="64"/>
        <v>3218</v>
      </c>
      <c r="B107" s="14">
        <v>50</v>
      </c>
      <c r="C107" s="14">
        <v>53</v>
      </c>
      <c r="D107" s="14">
        <v>2</v>
      </c>
      <c r="E107" s="4">
        <v>2</v>
      </c>
      <c r="F107" s="14">
        <v>1000000</v>
      </c>
      <c r="G107" s="35">
        <v>50</v>
      </c>
      <c r="H107" s="35">
        <v>54</v>
      </c>
      <c r="J107" s="24" t="str">
        <f t="shared" ref="J107" si="79">CONCATENATE(K105,2)</f>
        <v>52</v>
      </c>
      <c r="K107" s="6" t="e">
        <v>#VALUE!</v>
      </c>
      <c r="L107" s="6" t="e">
        <v>#VALUE!</v>
      </c>
      <c r="M107" s="6" t="e">
        <v>#VALUE!</v>
      </c>
      <c r="N107" s="6" t="e">
        <v>#VALUE!</v>
      </c>
      <c r="T107" s="9"/>
      <c r="U107" s="1">
        <f t="shared" si="66"/>
        <v>3</v>
      </c>
      <c r="V107" s="1">
        <f t="shared" si="67"/>
        <v>218</v>
      </c>
    </row>
    <row r="108" spans="1:22" x14ac:dyDescent="0.3">
      <c r="A108" s="1">
        <f t="shared" si="64"/>
        <v>3219</v>
      </c>
      <c r="B108" s="14">
        <v>80</v>
      </c>
      <c r="C108" s="14">
        <v>81</v>
      </c>
      <c r="D108" s="14">
        <v>2</v>
      </c>
      <c r="E108" s="4">
        <v>2</v>
      </c>
      <c r="F108" s="14">
        <v>1000000</v>
      </c>
      <c r="G108" s="35">
        <v>80</v>
      </c>
      <c r="H108" s="35">
        <v>82</v>
      </c>
      <c r="J108" s="24" t="str">
        <f t="shared" ref="J108" si="80">CONCATENATE(K105,3)</f>
        <v>53</v>
      </c>
      <c r="K108" s="6" t="e">
        <v>#VALUE!</v>
      </c>
      <c r="L108" s="6" t="e">
        <v>#VALUE!</v>
      </c>
      <c r="M108" s="6" t="e">
        <v>#VALUE!</v>
      </c>
      <c r="N108" s="6" t="e">
        <v>#VALUE!</v>
      </c>
      <c r="T108" s="9"/>
      <c r="U108" s="1">
        <f t="shared" si="66"/>
        <v>3</v>
      </c>
      <c r="V108" s="1">
        <f t="shared" si="67"/>
        <v>219</v>
      </c>
    </row>
    <row r="109" spans="1:22" x14ac:dyDescent="0.3">
      <c r="A109" s="1">
        <f t="shared" si="64"/>
        <v>3220</v>
      </c>
      <c r="B109" s="4"/>
      <c r="C109" s="4"/>
      <c r="D109" s="4"/>
      <c r="E109" s="4"/>
      <c r="F109" s="14"/>
      <c r="G109" s="8"/>
      <c r="H109" s="7"/>
      <c r="K109" s="1">
        <v>6</v>
      </c>
      <c r="L109" s="1">
        <v>6</v>
      </c>
      <c r="M109" s="1">
        <v>6</v>
      </c>
      <c r="N109" s="1">
        <v>6</v>
      </c>
      <c r="O109" s="1">
        <v>6</v>
      </c>
      <c r="T109" s="9"/>
      <c r="U109" s="1">
        <f t="shared" si="66"/>
        <v>3</v>
      </c>
      <c r="V109" s="1">
        <f t="shared" si="67"/>
        <v>220</v>
      </c>
    </row>
    <row r="110" spans="1:22" x14ac:dyDescent="0.3">
      <c r="A110" s="1">
        <f t="shared" si="64"/>
        <v>3221</v>
      </c>
      <c r="B110" s="4"/>
      <c r="C110" s="4"/>
      <c r="D110" s="4"/>
      <c r="E110" s="4"/>
      <c r="F110" s="14"/>
      <c r="G110" s="8"/>
      <c r="H110" s="7"/>
      <c r="J110" s="24" t="str">
        <f t="shared" ref="J110" si="81">CONCATENATE(K109,1)</f>
        <v>61</v>
      </c>
      <c r="K110" s="6" t="e">
        <f t="array" ref="K110:O112">LINEST(B106:B111,C106:C111^{1,2,3,4},TRUE,TRUE)</f>
        <v>#VALUE!</v>
      </c>
      <c r="L110" s="6" t="e">
        <v>#VALUE!</v>
      </c>
      <c r="M110" s="6" t="e">
        <v>#VALUE!</v>
      </c>
      <c r="N110" s="6" t="e">
        <v>#VALUE!</v>
      </c>
      <c r="O110" s="6" t="e">
        <v>#VALUE!</v>
      </c>
      <c r="T110" s="9"/>
      <c r="U110" s="1">
        <f t="shared" si="66"/>
        <v>3</v>
      </c>
      <c r="V110" s="1">
        <f t="shared" si="67"/>
        <v>221</v>
      </c>
    </row>
    <row r="111" spans="1:22" x14ac:dyDescent="0.3">
      <c r="A111" s="1">
        <f t="shared" si="64"/>
        <v>3222</v>
      </c>
      <c r="B111" s="4"/>
      <c r="C111" s="4"/>
      <c r="D111" s="4"/>
      <c r="E111" s="4"/>
      <c r="F111" s="14"/>
      <c r="G111" s="8"/>
      <c r="H111" s="7"/>
      <c r="J111" s="24" t="str">
        <f t="shared" ref="J111" si="82">CONCATENATE(K109,2)</f>
        <v>62</v>
      </c>
      <c r="K111" s="6" t="e">
        <v>#VALUE!</v>
      </c>
      <c r="L111" s="6" t="e">
        <v>#VALUE!</v>
      </c>
      <c r="M111" s="6" t="e">
        <v>#VALUE!</v>
      </c>
      <c r="N111" s="6" t="e">
        <v>#VALUE!</v>
      </c>
      <c r="O111" s="6" t="e">
        <v>#VALUE!</v>
      </c>
      <c r="T111" s="9"/>
      <c r="U111" s="1">
        <f t="shared" si="66"/>
        <v>3</v>
      </c>
      <c r="V111" s="1">
        <f t="shared" si="67"/>
        <v>222</v>
      </c>
    </row>
    <row r="112" spans="1:22" x14ac:dyDescent="0.3">
      <c r="A112" s="1">
        <f t="shared" si="64"/>
        <v>3223</v>
      </c>
      <c r="B112" s="4"/>
      <c r="C112" s="4"/>
      <c r="D112" s="4"/>
      <c r="E112" s="4"/>
      <c r="F112" s="14"/>
      <c r="G112" s="8"/>
      <c r="H112" s="7"/>
      <c r="J112" s="24" t="str">
        <f t="shared" ref="J112" si="83">CONCATENATE(K109,3)</f>
        <v>63</v>
      </c>
      <c r="K112" s="6" t="e">
        <v>#VALUE!</v>
      </c>
      <c r="L112" s="6" t="e">
        <v>#VALUE!</v>
      </c>
      <c r="M112" s="6" t="e">
        <v>#VALUE!</v>
      </c>
      <c r="N112" s="6" t="e">
        <v>#VALUE!</v>
      </c>
      <c r="O112" s="6" t="e">
        <v>#VALUE!</v>
      </c>
      <c r="T112" s="9"/>
      <c r="U112" s="1">
        <f t="shared" si="66"/>
        <v>3</v>
      </c>
      <c r="V112" s="1">
        <f t="shared" si="67"/>
        <v>223</v>
      </c>
    </row>
    <row r="113" spans="1:22" x14ac:dyDescent="0.3">
      <c r="A113" s="1">
        <f t="shared" si="64"/>
        <v>3224</v>
      </c>
      <c r="B113" s="4"/>
      <c r="C113" s="4"/>
      <c r="D113" s="4"/>
      <c r="E113" s="4"/>
      <c r="F113" s="14"/>
      <c r="G113" s="8"/>
      <c r="H113" s="7"/>
      <c r="K113" s="1">
        <v>7</v>
      </c>
      <c r="L113" s="1">
        <v>7</v>
      </c>
      <c r="M113" s="1">
        <v>7</v>
      </c>
      <c r="N113" s="1">
        <v>7</v>
      </c>
      <c r="O113" s="1">
        <v>7</v>
      </c>
      <c r="P113" s="1">
        <v>7</v>
      </c>
      <c r="T113" s="9"/>
      <c r="U113" s="1">
        <f t="shared" si="66"/>
        <v>3</v>
      </c>
      <c r="V113" s="1">
        <f t="shared" si="67"/>
        <v>224</v>
      </c>
    </row>
    <row r="114" spans="1:22" x14ac:dyDescent="0.3">
      <c r="A114" s="1">
        <f t="shared" si="64"/>
        <v>3225</v>
      </c>
      <c r="B114" s="4"/>
      <c r="C114" s="4"/>
      <c r="D114" s="4"/>
      <c r="E114" s="4"/>
      <c r="F114" s="14"/>
      <c r="G114" s="8"/>
      <c r="H114" s="7"/>
      <c r="J114" s="24" t="str">
        <f t="shared" ref="J114" si="84">CONCATENATE(K113,1)</f>
        <v>71</v>
      </c>
      <c r="K114" s="6" t="e">
        <f t="array" ref="K114:P116">LINEST(B106:B112,C106:C112^{1,2,3,4,5},TRUE,TRUE)</f>
        <v>#VALUE!</v>
      </c>
      <c r="L114" s="6" t="e">
        <v>#VALUE!</v>
      </c>
      <c r="M114" s="6" t="e">
        <v>#VALUE!</v>
      </c>
      <c r="N114" s="6" t="e">
        <v>#VALUE!</v>
      </c>
      <c r="O114" s="6" t="e">
        <v>#VALUE!</v>
      </c>
      <c r="P114" s="6" t="e">
        <v>#VALUE!</v>
      </c>
      <c r="T114" s="9"/>
      <c r="U114" s="1">
        <f t="shared" si="66"/>
        <v>3</v>
      </c>
      <c r="V114" s="1">
        <f t="shared" si="67"/>
        <v>225</v>
      </c>
    </row>
    <row r="115" spans="1:22" x14ac:dyDescent="0.3">
      <c r="A115" s="1">
        <f t="shared" si="64"/>
        <v>3226</v>
      </c>
      <c r="B115" s="4"/>
      <c r="C115" s="4"/>
      <c r="D115" s="4"/>
      <c r="E115" s="4"/>
      <c r="F115" s="14"/>
      <c r="G115" s="8"/>
      <c r="H115" s="7"/>
      <c r="J115" s="24" t="str">
        <f t="shared" ref="J115" si="85">CONCATENATE(K113,2)</f>
        <v>72</v>
      </c>
      <c r="K115" s="6" t="e">
        <v>#VALUE!</v>
      </c>
      <c r="L115" s="6" t="e">
        <v>#VALUE!</v>
      </c>
      <c r="M115" s="6" t="e">
        <v>#VALUE!</v>
      </c>
      <c r="N115" s="6" t="e">
        <v>#VALUE!</v>
      </c>
      <c r="O115" s="6" t="e">
        <v>#VALUE!</v>
      </c>
      <c r="P115" s="6" t="e">
        <v>#VALUE!</v>
      </c>
      <c r="T115" s="9"/>
      <c r="U115" s="1">
        <f t="shared" si="66"/>
        <v>3</v>
      </c>
      <c r="V115" s="1">
        <f t="shared" si="67"/>
        <v>226</v>
      </c>
    </row>
    <row r="116" spans="1:22" x14ac:dyDescent="0.3">
      <c r="A116" s="1">
        <f t="shared" si="64"/>
        <v>3227</v>
      </c>
      <c r="B116" s="9"/>
      <c r="C116" s="9"/>
      <c r="D116" s="9"/>
      <c r="E116" s="9"/>
      <c r="F116" s="9"/>
      <c r="G116" s="9"/>
      <c r="H116" s="9"/>
      <c r="J116" s="24" t="str">
        <f t="shared" ref="J116" si="86">CONCATENATE(K113,3)</f>
        <v>73</v>
      </c>
      <c r="K116" s="6" t="e">
        <v>#VALUE!</v>
      </c>
      <c r="L116" s="6" t="e">
        <v>#VALUE!</v>
      </c>
      <c r="M116" s="6" t="e">
        <v>#VALUE!</v>
      </c>
      <c r="N116" s="6" t="e">
        <v>#VALUE!</v>
      </c>
      <c r="O116" s="6" t="e">
        <v>#VALUE!</v>
      </c>
      <c r="P116" s="6" t="e">
        <v>#VALUE!</v>
      </c>
      <c r="T116" s="9"/>
      <c r="U116" s="1">
        <f t="shared" si="66"/>
        <v>3</v>
      </c>
      <c r="V116" s="1">
        <f t="shared" si="67"/>
        <v>227</v>
      </c>
    </row>
    <row r="117" spans="1:22" x14ac:dyDescent="0.3">
      <c r="A117" s="1">
        <f t="shared" si="64"/>
        <v>3228</v>
      </c>
      <c r="B117" s="87" t="s">
        <v>33</v>
      </c>
      <c r="C117" s="88"/>
      <c r="D117" s="88"/>
      <c r="E117" s="88"/>
      <c r="F117" s="88"/>
      <c r="G117" s="88"/>
      <c r="H117" s="89"/>
      <c r="K117" s="1">
        <v>8</v>
      </c>
      <c r="L117" s="1">
        <v>8</v>
      </c>
      <c r="M117" s="1">
        <v>8</v>
      </c>
      <c r="N117" s="1">
        <v>8</v>
      </c>
      <c r="O117" s="1">
        <v>8</v>
      </c>
      <c r="P117" s="1">
        <v>8</v>
      </c>
      <c r="Q117" s="1">
        <v>8</v>
      </c>
      <c r="T117" s="9"/>
      <c r="U117" s="1">
        <f t="shared" si="66"/>
        <v>3</v>
      </c>
      <c r="V117" s="1">
        <f t="shared" si="67"/>
        <v>228</v>
      </c>
    </row>
    <row r="118" spans="1:22" x14ac:dyDescent="0.3">
      <c r="A118" s="1">
        <f t="shared" si="64"/>
        <v>3229</v>
      </c>
      <c r="B118" s="90"/>
      <c r="C118" s="91"/>
      <c r="D118" s="91"/>
      <c r="E118" s="91"/>
      <c r="F118" s="91"/>
      <c r="G118" s="91"/>
      <c r="H118" s="92"/>
      <c r="J118" s="24" t="str">
        <f t="shared" ref="J118" si="87">CONCATENATE(K117,1)</f>
        <v>81</v>
      </c>
      <c r="K118" s="6" t="e">
        <f t="array" ref="K118:Q120">LINEST(B106:B113,C106:C113^{1,2,3,4,5,6},TRUE,TRUE)</f>
        <v>#VALUE!</v>
      </c>
      <c r="L118" s="6" t="e">
        <v>#VALUE!</v>
      </c>
      <c r="M118" s="6" t="e">
        <v>#VALUE!</v>
      </c>
      <c r="N118" s="6" t="e">
        <v>#VALUE!</v>
      </c>
      <c r="O118" s="6" t="e">
        <v>#VALUE!</v>
      </c>
      <c r="P118" s="6" t="e">
        <v>#VALUE!</v>
      </c>
      <c r="Q118" s="6" t="e">
        <v>#VALUE!</v>
      </c>
      <c r="T118" s="9"/>
      <c r="U118" s="1">
        <f t="shared" si="66"/>
        <v>3</v>
      </c>
      <c r="V118" s="1">
        <f t="shared" si="67"/>
        <v>229</v>
      </c>
    </row>
    <row r="119" spans="1:22" x14ac:dyDescent="0.3">
      <c r="A119" s="1">
        <f t="shared" si="64"/>
        <v>3230</v>
      </c>
      <c r="B119" s="93"/>
      <c r="C119" s="94"/>
      <c r="D119" s="94"/>
      <c r="E119" s="94"/>
      <c r="F119" s="94"/>
      <c r="G119" s="94"/>
      <c r="H119" s="95"/>
      <c r="J119" s="24" t="str">
        <f t="shared" ref="J119" si="88">CONCATENATE(K117,2)</f>
        <v>82</v>
      </c>
      <c r="K119" s="6" t="e">
        <v>#VALUE!</v>
      </c>
      <c r="L119" s="6" t="e">
        <v>#VALUE!</v>
      </c>
      <c r="M119" s="6" t="e">
        <v>#VALUE!</v>
      </c>
      <c r="N119" s="6" t="e">
        <v>#VALUE!</v>
      </c>
      <c r="O119" s="6" t="e">
        <v>#VALUE!</v>
      </c>
      <c r="P119" s="6" t="e">
        <v>#VALUE!</v>
      </c>
      <c r="Q119" s="6" t="e">
        <v>#VALUE!</v>
      </c>
      <c r="T119" s="9"/>
      <c r="U119" s="1">
        <f t="shared" si="66"/>
        <v>3</v>
      </c>
      <c r="V119" s="1">
        <f t="shared" si="67"/>
        <v>230</v>
      </c>
    </row>
    <row r="120" spans="1:22" x14ac:dyDescent="0.3">
      <c r="A120" s="1">
        <f t="shared" si="64"/>
        <v>3231</v>
      </c>
      <c r="J120" s="24" t="str">
        <f t="shared" ref="J120" si="89">CONCATENATE(K117,3)</f>
        <v>83</v>
      </c>
      <c r="K120" s="6" t="e">
        <v>#VALUE!</v>
      </c>
      <c r="L120" s="6" t="e">
        <v>#VALUE!</v>
      </c>
      <c r="M120" s="6" t="e">
        <v>#VALUE!</v>
      </c>
      <c r="N120" s="6" t="e">
        <v>#VALUE!</v>
      </c>
      <c r="O120" s="6" t="e">
        <v>#VALUE!</v>
      </c>
      <c r="P120" s="6" t="e">
        <v>#VALUE!</v>
      </c>
      <c r="Q120" s="6" t="e">
        <v>#VALUE!</v>
      </c>
      <c r="T120" s="9"/>
      <c r="U120" s="1">
        <f t="shared" si="66"/>
        <v>3</v>
      </c>
      <c r="V120" s="1">
        <f t="shared" si="67"/>
        <v>231</v>
      </c>
    </row>
    <row r="121" spans="1:22" ht="15" customHeight="1" x14ac:dyDescent="0.3">
      <c r="A121" s="1">
        <f t="shared" si="64"/>
        <v>3232</v>
      </c>
      <c r="B121" s="10" t="s">
        <v>34</v>
      </c>
      <c r="C121" s="10" t="s">
        <v>35</v>
      </c>
      <c r="D121" s="10" t="s">
        <v>36</v>
      </c>
      <c r="E121" s="74" t="s">
        <v>37</v>
      </c>
      <c r="F121" s="75"/>
      <c r="G121" s="76"/>
      <c r="K121" s="1">
        <v>9</v>
      </c>
      <c r="L121" s="1">
        <v>9</v>
      </c>
      <c r="M121" s="1">
        <v>9</v>
      </c>
      <c r="N121" s="1">
        <v>9</v>
      </c>
      <c r="O121" s="1">
        <v>9</v>
      </c>
      <c r="P121" s="1">
        <v>9</v>
      </c>
      <c r="Q121" s="1">
        <v>9</v>
      </c>
      <c r="R121" s="1">
        <v>9</v>
      </c>
      <c r="T121" s="9"/>
      <c r="U121" s="1">
        <f t="shared" si="66"/>
        <v>3</v>
      </c>
      <c r="V121" s="1">
        <f t="shared" si="67"/>
        <v>232</v>
      </c>
    </row>
    <row r="122" spans="1:22" x14ac:dyDescent="0.3">
      <c r="A122" s="1">
        <f t="shared" si="64"/>
        <v>3233</v>
      </c>
      <c r="B122" s="12">
        <f t="shared" ref="B122:B131" si="90">C106-B106</f>
        <v>3</v>
      </c>
      <c r="C122" s="13">
        <f t="shared" ref="C122:C131" si="91">H106-G106</f>
        <v>4</v>
      </c>
      <c r="D122" s="10">
        <f>C122-B122</f>
        <v>1</v>
      </c>
      <c r="E122" s="11">
        <f>IF(D97="","",MAX(F122,G122))</f>
        <v>1</v>
      </c>
      <c r="F122" s="10">
        <f>ABS(MIN(D122:D131))</f>
        <v>0</v>
      </c>
      <c r="G122" s="10">
        <f>ABS(MAX(D122:D131))</f>
        <v>1</v>
      </c>
      <c r="J122" s="24" t="str">
        <f t="shared" ref="J122" si="92">CONCATENATE(K121,1)</f>
        <v>91</v>
      </c>
      <c r="K122" s="6" t="e">
        <f t="array" ref="K122:R124">LINEST(B106:B114,C106:C114^{1,2,3,4,5,6,7},TRUE,TRUE)</f>
        <v>#VALUE!</v>
      </c>
      <c r="L122" s="6" t="e">
        <v>#VALUE!</v>
      </c>
      <c r="M122" s="6" t="e">
        <v>#VALUE!</v>
      </c>
      <c r="N122" s="6" t="e">
        <v>#VALUE!</v>
      </c>
      <c r="O122" s="6" t="e">
        <v>#VALUE!</v>
      </c>
      <c r="P122" s="6" t="e">
        <v>#VALUE!</v>
      </c>
      <c r="Q122" s="6" t="e">
        <v>#VALUE!</v>
      </c>
      <c r="R122" s="6" t="e">
        <v>#VALUE!</v>
      </c>
      <c r="T122" s="9"/>
      <c r="U122" s="1">
        <f t="shared" si="66"/>
        <v>3</v>
      </c>
      <c r="V122" s="1">
        <f t="shared" si="67"/>
        <v>233</v>
      </c>
    </row>
    <row r="123" spans="1:22" x14ac:dyDescent="0.3">
      <c r="A123" s="1">
        <f t="shared" si="64"/>
        <v>3234</v>
      </c>
      <c r="B123" s="12">
        <f t="shared" si="90"/>
        <v>3</v>
      </c>
      <c r="C123" s="13">
        <f t="shared" si="91"/>
        <v>4</v>
      </c>
      <c r="D123" s="10">
        <f t="shared" ref="D123:D131" si="93">C123-B123</f>
        <v>1</v>
      </c>
      <c r="E123" s="74" t="s">
        <v>38</v>
      </c>
      <c r="F123" s="75"/>
      <c r="G123" s="76"/>
      <c r="J123" s="24" t="str">
        <f t="shared" ref="J123" si="94">CONCATENATE(K121,2)</f>
        <v>92</v>
      </c>
      <c r="K123" s="6" t="e">
        <v>#VALUE!</v>
      </c>
      <c r="L123" s="6" t="e">
        <v>#VALUE!</v>
      </c>
      <c r="M123" s="6" t="e">
        <v>#VALUE!</v>
      </c>
      <c r="N123" s="6" t="e">
        <v>#VALUE!</v>
      </c>
      <c r="O123" s="6" t="e">
        <v>#VALUE!</v>
      </c>
      <c r="P123" s="6" t="e">
        <v>#VALUE!</v>
      </c>
      <c r="Q123" s="6" t="e">
        <v>#VALUE!</v>
      </c>
      <c r="R123" s="6" t="e">
        <v>#VALUE!</v>
      </c>
      <c r="T123" s="9"/>
      <c r="U123" s="1">
        <f t="shared" si="66"/>
        <v>3</v>
      </c>
      <c r="V123" s="1">
        <f t="shared" si="67"/>
        <v>234</v>
      </c>
    </row>
    <row r="124" spans="1:22" x14ac:dyDescent="0.3">
      <c r="A124" s="1">
        <f t="shared" si="64"/>
        <v>3235</v>
      </c>
      <c r="B124" s="12">
        <f t="shared" si="90"/>
        <v>1</v>
      </c>
      <c r="C124" s="13">
        <f t="shared" si="91"/>
        <v>2</v>
      </c>
      <c r="D124" s="10">
        <f t="shared" si="93"/>
        <v>1</v>
      </c>
      <c r="E124" s="11">
        <f>IF(D97="","",MAX(F124,G124))</f>
        <v>3</v>
      </c>
      <c r="F124" s="10">
        <f>ABS(MIN(B122:B131))</f>
        <v>0</v>
      </c>
      <c r="G124" s="10">
        <f>ABS(MAX(B122:B131))</f>
        <v>3</v>
      </c>
      <c r="J124" s="24" t="str">
        <f t="shared" ref="J124" si="95">CONCATENATE(K121,3)</f>
        <v>93</v>
      </c>
      <c r="K124" s="6" t="e">
        <v>#VALUE!</v>
      </c>
      <c r="L124" s="6" t="e">
        <v>#VALUE!</v>
      </c>
      <c r="M124" s="6" t="e">
        <v>#VALUE!</v>
      </c>
      <c r="N124" s="6" t="e">
        <v>#VALUE!</v>
      </c>
      <c r="O124" s="6" t="e">
        <v>#VALUE!</v>
      </c>
      <c r="P124" s="6" t="e">
        <v>#VALUE!</v>
      </c>
      <c r="Q124" s="6" t="e">
        <v>#VALUE!</v>
      </c>
      <c r="R124" s="6" t="e">
        <v>#VALUE!</v>
      </c>
      <c r="T124" s="9"/>
      <c r="U124" s="1">
        <f t="shared" si="66"/>
        <v>3</v>
      </c>
      <c r="V124" s="1">
        <f t="shared" si="67"/>
        <v>235</v>
      </c>
    </row>
    <row r="125" spans="1:22" x14ac:dyDescent="0.3">
      <c r="A125" s="1">
        <f t="shared" si="64"/>
        <v>3236</v>
      </c>
      <c r="B125" s="12">
        <f t="shared" si="90"/>
        <v>0</v>
      </c>
      <c r="C125" s="13">
        <f t="shared" si="91"/>
        <v>0</v>
      </c>
      <c r="D125" s="10">
        <f t="shared" si="93"/>
        <v>0</v>
      </c>
      <c r="E125" s="74" t="s">
        <v>39</v>
      </c>
      <c r="F125" s="75"/>
      <c r="G125" s="76"/>
      <c r="K125" s="1">
        <v>10</v>
      </c>
      <c r="L125" s="1">
        <v>10</v>
      </c>
      <c r="M125" s="1">
        <v>10</v>
      </c>
      <c r="N125" s="1">
        <v>10</v>
      </c>
      <c r="O125" s="1">
        <v>10</v>
      </c>
      <c r="P125" s="1">
        <v>10</v>
      </c>
      <c r="Q125" s="1">
        <v>10</v>
      </c>
      <c r="R125" s="1">
        <v>10</v>
      </c>
      <c r="S125" s="1">
        <v>10</v>
      </c>
      <c r="T125" s="9"/>
      <c r="U125" s="1">
        <f t="shared" si="66"/>
        <v>3</v>
      </c>
      <c r="V125" s="1">
        <f t="shared" si="67"/>
        <v>236</v>
      </c>
    </row>
    <row r="126" spans="1:22" x14ac:dyDescent="0.3">
      <c r="A126" s="1">
        <f t="shared" si="64"/>
        <v>3237</v>
      </c>
      <c r="B126" s="12">
        <f t="shared" si="90"/>
        <v>0</v>
      </c>
      <c r="C126" s="13">
        <f t="shared" si="91"/>
        <v>0</v>
      </c>
      <c r="D126" s="10">
        <f t="shared" si="93"/>
        <v>0</v>
      </c>
      <c r="E126" s="11">
        <f>IF(D97="","",MAX(F126,G126))</f>
        <v>2</v>
      </c>
      <c r="F126" s="10">
        <f>ABS(MIN(D106:D115))</f>
        <v>2</v>
      </c>
      <c r="G126" s="10">
        <f>ABS(MAX(D106:D115))</f>
        <v>2</v>
      </c>
      <c r="J126" s="24" t="str">
        <f t="shared" ref="J126" si="96">CONCATENATE(K125,1)</f>
        <v>101</v>
      </c>
      <c r="K126" s="6" t="e">
        <f t="array" ref="K126:S128">LINEST(B106:B115,C106:C115^{1,2,3,4,5,6,7,8},TRUE,TRUE)</f>
        <v>#VALUE!</v>
      </c>
      <c r="L126" s="6" t="e">
        <v>#VALUE!</v>
      </c>
      <c r="M126" s="6" t="e">
        <v>#VALUE!</v>
      </c>
      <c r="N126" s="6" t="e">
        <v>#VALUE!</v>
      </c>
      <c r="O126" s="6" t="e">
        <v>#VALUE!</v>
      </c>
      <c r="P126" s="6" t="e">
        <v>#VALUE!</v>
      </c>
      <c r="Q126" s="6" t="e">
        <v>#VALUE!</v>
      </c>
      <c r="R126" s="6" t="e">
        <v>#VALUE!</v>
      </c>
      <c r="S126" s="6" t="e">
        <v>#VALUE!</v>
      </c>
      <c r="T126" s="9"/>
      <c r="U126" s="1">
        <f t="shared" si="66"/>
        <v>3</v>
      </c>
      <c r="V126" s="1">
        <f t="shared" si="67"/>
        <v>237</v>
      </c>
    </row>
    <row r="127" spans="1:22" x14ac:dyDescent="0.3">
      <c r="A127" s="1">
        <f t="shared" si="64"/>
        <v>3238</v>
      </c>
      <c r="B127" s="12">
        <f t="shared" si="90"/>
        <v>0</v>
      </c>
      <c r="C127" s="13">
        <f t="shared" si="91"/>
        <v>0</v>
      </c>
      <c r="D127" s="10">
        <f t="shared" si="93"/>
        <v>0</v>
      </c>
      <c r="J127" s="24" t="str">
        <f t="shared" ref="J127" si="97">CONCATENATE(K125,2)</f>
        <v>102</v>
      </c>
      <c r="K127" s="6" t="e">
        <v>#VALUE!</v>
      </c>
      <c r="L127" s="6" t="e">
        <v>#VALUE!</v>
      </c>
      <c r="M127" s="6" t="e">
        <v>#VALUE!</v>
      </c>
      <c r="N127" s="6" t="e">
        <v>#VALUE!</v>
      </c>
      <c r="O127" s="6" t="e">
        <v>#VALUE!</v>
      </c>
      <c r="P127" s="6" t="e">
        <v>#VALUE!</v>
      </c>
      <c r="Q127" s="6" t="e">
        <v>#VALUE!</v>
      </c>
      <c r="R127" s="6" t="e">
        <v>#VALUE!</v>
      </c>
      <c r="S127" s="6" t="e">
        <v>#VALUE!</v>
      </c>
      <c r="T127" s="9"/>
      <c r="U127" s="1">
        <f t="shared" si="66"/>
        <v>3</v>
      </c>
      <c r="V127" s="1">
        <f t="shared" si="67"/>
        <v>238</v>
      </c>
    </row>
    <row r="128" spans="1:22" x14ac:dyDescent="0.3">
      <c r="A128" s="1">
        <f t="shared" si="64"/>
        <v>3239</v>
      </c>
      <c r="B128" s="12">
        <f t="shared" si="90"/>
        <v>0</v>
      </c>
      <c r="C128" s="13">
        <f t="shared" si="91"/>
        <v>0</v>
      </c>
      <c r="D128" s="10">
        <f t="shared" si="93"/>
        <v>0</v>
      </c>
      <c r="J128" s="24" t="str">
        <f t="shared" ref="J128" si="98">CONCATENATE(K125,3)</f>
        <v>103</v>
      </c>
      <c r="K128" s="6" t="e">
        <v>#VALUE!</v>
      </c>
      <c r="L128" s="6" t="e">
        <v>#VALUE!</v>
      </c>
      <c r="M128" s="6" t="e">
        <v>#VALUE!</v>
      </c>
      <c r="N128" s="6" t="e">
        <v>#VALUE!</v>
      </c>
      <c r="O128" s="6" t="e">
        <v>#VALUE!</v>
      </c>
      <c r="P128" s="6" t="e">
        <v>#VALUE!</v>
      </c>
      <c r="Q128" s="6" t="e">
        <v>#VALUE!</v>
      </c>
      <c r="R128" s="6" t="e">
        <v>#VALUE!</v>
      </c>
      <c r="S128" s="6" t="e">
        <v>#VALUE!</v>
      </c>
      <c r="T128" s="9"/>
      <c r="U128" s="1">
        <f t="shared" si="66"/>
        <v>3</v>
      </c>
      <c r="V128" s="1">
        <f t="shared" si="67"/>
        <v>239</v>
      </c>
    </row>
    <row r="129" spans="1:22" x14ac:dyDescent="0.3">
      <c r="A129" s="1">
        <f t="shared" si="64"/>
        <v>3240</v>
      </c>
      <c r="B129" s="12">
        <f t="shared" si="90"/>
        <v>0</v>
      </c>
      <c r="C129" s="13">
        <f t="shared" si="91"/>
        <v>0</v>
      </c>
      <c r="D129" s="10">
        <f t="shared" si="93"/>
        <v>0</v>
      </c>
      <c r="J129" s="9"/>
      <c r="K129" s="9"/>
      <c r="L129" s="9"/>
      <c r="M129" s="9"/>
      <c r="N129" s="9"/>
      <c r="O129" s="9"/>
      <c r="P129" s="9"/>
      <c r="Q129" s="9"/>
      <c r="R129" s="9"/>
      <c r="S129" s="9"/>
      <c r="T129" s="9"/>
      <c r="U129" s="1">
        <f t="shared" si="66"/>
        <v>3</v>
      </c>
      <c r="V129" s="1">
        <f t="shared" si="67"/>
        <v>240</v>
      </c>
    </row>
    <row r="130" spans="1:22" x14ac:dyDescent="0.3">
      <c r="A130" s="1">
        <f t="shared" si="64"/>
        <v>3241</v>
      </c>
      <c r="B130" s="12">
        <f t="shared" si="90"/>
        <v>0</v>
      </c>
      <c r="C130" s="13">
        <f t="shared" si="91"/>
        <v>0</v>
      </c>
      <c r="D130" s="10">
        <f t="shared" si="93"/>
        <v>0</v>
      </c>
      <c r="J130" s="9"/>
      <c r="K130" s="9"/>
      <c r="L130" s="9"/>
      <c r="M130" s="9"/>
      <c r="N130" s="9"/>
      <c r="O130" s="9"/>
      <c r="P130" s="9"/>
      <c r="Q130" s="9"/>
      <c r="R130" s="9"/>
      <c r="S130" s="9"/>
      <c r="T130" s="9"/>
      <c r="U130" s="1">
        <f t="shared" si="66"/>
        <v>3</v>
      </c>
      <c r="V130" s="1">
        <f t="shared" si="67"/>
        <v>241</v>
      </c>
    </row>
    <row r="131" spans="1:22" x14ac:dyDescent="0.3">
      <c r="A131" s="1">
        <f t="shared" si="64"/>
        <v>3242</v>
      </c>
      <c r="B131" s="12">
        <f t="shared" si="90"/>
        <v>0</v>
      </c>
      <c r="C131" s="13">
        <f t="shared" si="91"/>
        <v>0</v>
      </c>
      <c r="D131" s="10">
        <f t="shared" si="93"/>
        <v>0</v>
      </c>
      <c r="J131" s="9"/>
      <c r="K131" s="9"/>
      <c r="L131" s="9"/>
      <c r="M131" s="9"/>
      <c r="N131" s="9"/>
      <c r="O131" s="9"/>
      <c r="P131" s="9"/>
      <c r="Q131" s="9"/>
      <c r="R131" s="9"/>
      <c r="S131" s="9"/>
      <c r="T131" s="9"/>
      <c r="U131" s="1">
        <f t="shared" si="66"/>
        <v>3</v>
      </c>
      <c r="V131" s="1">
        <f t="shared" si="67"/>
        <v>242</v>
      </c>
    </row>
    <row r="132" spans="1:22" x14ac:dyDescent="0.3">
      <c r="A132" s="1">
        <f t="shared" si="64"/>
        <v>3243</v>
      </c>
      <c r="J132" s="9"/>
      <c r="K132" s="9"/>
      <c r="L132" s="9"/>
      <c r="M132" s="9"/>
      <c r="N132" s="9"/>
      <c r="O132" s="9"/>
      <c r="P132" s="9"/>
      <c r="Q132" s="9"/>
      <c r="R132" s="9"/>
      <c r="S132" s="9"/>
      <c r="T132" s="9"/>
      <c r="U132" s="1">
        <f t="shared" si="66"/>
        <v>3</v>
      </c>
      <c r="V132" s="1">
        <f t="shared" si="67"/>
        <v>243</v>
      </c>
    </row>
    <row r="133" spans="1:22" s="5" customFormat="1" x14ac:dyDescent="0.3"/>
    <row r="134" spans="1:22" x14ac:dyDescent="0.3">
      <c r="A134" s="1">
        <f t="shared" ref="A134:A176" si="99">ROUND(CONCATENATE(U134,V134),0)</f>
        <v>4201</v>
      </c>
      <c r="B134" s="96" t="s">
        <v>0</v>
      </c>
      <c r="C134" s="97"/>
      <c r="D134" s="98" t="s">
        <v>46</v>
      </c>
      <c r="E134" s="99"/>
      <c r="F134" s="99"/>
      <c r="G134" s="99"/>
      <c r="H134" s="100"/>
      <c r="J134" s="9"/>
      <c r="K134" s="9"/>
      <c r="L134" s="9"/>
      <c r="M134" s="9"/>
      <c r="N134" s="9"/>
      <c r="O134" s="9"/>
      <c r="P134" s="9"/>
      <c r="Q134" s="9"/>
      <c r="R134" s="9"/>
      <c r="S134" s="9"/>
      <c r="T134" s="9"/>
      <c r="U134" s="1">
        <f t="shared" ref="U134" si="100">U132+1</f>
        <v>4</v>
      </c>
      <c r="V134" s="1">
        <v>201</v>
      </c>
    </row>
    <row r="135" spans="1:22" x14ac:dyDescent="0.3">
      <c r="A135" s="1">
        <f t="shared" si="99"/>
        <v>4202</v>
      </c>
      <c r="B135" s="96" t="s">
        <v>1</v>
      </c>
      <c r="C135" s="97"/>
      <c r="D135" s="15">
        <v>20</v>
      </c>
      <c r="E135" s="16" t="s">
        <v>2</v>
      </c>
      <c r="F135" s="107"/>
      <c r="G135" s="108"/>
      <c r="H135" s="109"/>
      <c r="J135" s="9"/>
      <c r="K135" s="9"/>
      <c r="L135" s="9"/>
      <c r="M135" s="9"/>
      <c r="N135" s="9"/>
      <c r="O135" s="9"/>
      <c r="P135" s="9"/>
      <c r="Q135" s="9"/>
      <c r="R135" s="9"/>
      <c r="S135" s="9"/>
      <c r="T135" s="9"/>
      <c r="U135" s="1">
        <f t="shared" ref="U135" si="101">U134</f>
        <v>4</v>
      </c>
      <c r="V135" s="1">
        <f t="shared" ref="V135" si="102">V134+1</f>
        <v>202</v>
      </c>
    </row>
    <row r="136" spans="1:22" x14ac:dyDescent="0.3">
      <c r="A136" s="1">
        <f t="shared" si="99"/>
        <v>4203</v>
      </c>
      <c r="B136" s="96" t="s">
        <v>12</v>
      </c>
      <c r="C136" s="97"/>
      <c r="D136" s="110" t="s">
        <v>67</v>
      </c>
      <c r="E136" s="111"/>
      <c r="F136" s="111"/>
      <c r="G136" s="111"/>
      <c r="H136" s="112"/>
      <c r="K136" s="1" t="s">
        <v>3</v>
      </c>
      <c r="L136" s="1" t="s">
        <v>4</v>
      </c>
      <c r="M136" s="1" t="s">
        <v>5</v>
      </c>
      <c r="N136" s="1" t="s">
        <v>6</v>
      </c>
      <c r="O136" s="1" t="s">
        <v>7</v>
      </c>
      <c r="P136" s="1" t="s">
        <v>8</v>
      </c>
      <c r="Q136" s="1" t="s">
        <v>9</v>
      </c>
      <c r="R136" s="1" t="s">
        <v>10</v>
      </c>
      <c r="S136" s="1" t="s">
        <v>11</v>
      </c>
      <c r="T136" s="9"/>
      <c r="U136" s="1">
        <f t="shared" si="66"/>
        <v>4</v>
      </c>
      <c r="V136" s="1">
        <f t="shared" si="67"/>
        <v>203</v>
      </c>
    </row>
    <row r="137" spans="1:22" x14ac:dyDescent="0.3">
      <c r="A137" s="1">
        <f t="shared" si="99"/>
        <v>4204</v>
      </c>
      <c r="B137" s="96" t="s">
        <v>13</v>
      </c>
      <c r="C137" s="97"/>
      <c r="D137" s="110" t="s">
        <v>65</v>
      </c>
      <c r="E137" s="111"/>
      <c r="F137" s="111"/>
      <c r="G137" s="111"/>
      <c r="H137" s="112"/>
      <c r="J137" s="1">
        <f>COUNTA(B150:B159)</f>
        <v>4</v>
      </c>
      <c r="K137" s="1">
        <f t="shared" ref="K137" si="103">IF(L137-1&lt;2,0,L137-1)</f>
        <v>0</v>
      </c>
      <c r="L137" s="1">
        <f t="shared" ref="L137" si="104">IF(M137-1&lt;2,0,M137-1)</f>
        <v>0</v>
      </c>
      <c r="M137" s="1">
        <f t="shared" ref="M137" si="105">IF(N137-1&lt;2,0,N137-1)</f>
        <v>0</v>
      </c>
      <c r="N137" s="1">
        <f t="shared" ref="N137" si="106">IF(O137-1&lt;2,0,O137-1)</f>
        <v>0</v>
      </c>
      <c r="O137" s="1">
        <f t="shared" ref="O137" si="107">IF(P137-1&lt;2,0,P137-1)</f>
        <v>0</v>
      </c>
      <c r="P137" s="1">
        <f t="shared" ref="P137" si="108">IF(Q137-1&lt;2,0,Q137-1)</f>
        <v>0</v>
      </c>
      <c r="Q137" s="1">
        <f t="shared" ref="Q137" si="109">IF(R137-1&lt;2,0,R137-1)</f>
        <v>2</v>
      </c>
      <c r="R137" s="1">
        <f>IF(S137-1&lt;2,0,S137-1)</f>
        <v>3</v>
      </c>
      <c r="S137" s="1">
        <f>J137</f>
        <v>4</v>
      </c>
      <c r="T137" s="9"/>
      <c r="U137" s="1">
        <f t="shared" si="66"/>
        <v>4</v>
      </c>
      <c r="V137" s="1">
        <f t="shared" si="67"/>
        <v>204</v>
      </c>
    </row>
    <row r="138" spans="1:22" x14ac:dyDescent="0.3">
      <c r="A138" s="1">
        <f t="shared" si="99"/>
        <v>4205</v>
      </c>
      <c r="B138" s="96" t="s">
        <v>14</v>
      </c>
      <c r="C138" s="97"/>
      <c r="D138" s="110" t="s">
        <v>66</v>
      </c>
      <c r="E138" s="111"/>
      <c r="F138" s="111"/>
      <c r="G138" s="111"/>
      <c r="H138" s="112"/>
      <c r="J138" s="24" t="str">
        <f>CONCATENATE(J137,1)</f>
        <v>41</v>
      </c>
      <c r="K138" s="25">
        <f>IF(K137=0,0,VLOOKUP(J138,J142:S172,K137,FALSE))</f>
        <v>0</v>
      </c>
      <c r="L138" s="25">
        <f>IF(L137=0,0,VLOOKUP(J138,J142:S172,L137,FALSE))</f>
        <v>0</v>
      </c>
      <c r="M138" s="25">
        <f>IF(M137=0,0,VLOOKUP(J138,J142:S172,M137,FALSE))</f>
        <v>0</v>
      </c>
      <c r="N138" s="25">
        <f>IF(N137=0,0,VLOOKUP(J138,J142:S172,N137,FALSE))</f>
        <v>0</v>
      </c>
      <c r="O138" s="25">
        <f>IF(O137=0,0,VLOOKUP(J138,J142:S172,O137,FALSE))</f>
        <v>0</v>
      </c>
      <c r="P138" s="25">
        <f>IF(P137=0,0,VLOOKUP(J138,J142:S172,P137,FALSE))</f>
        <v>0</v>
      </c>
      <c r="Q138" s="25">
        <f>IF(Q137=0,0,VLOOKUP(J138,J142:S172,Q137,FALSE))</f>
        <v>-1.1432515581001907E-3</v>
      </c>
      <c r="R138" s="25">
        <f>IF(R137=0,0,VLOOKUP(J138,J142:S172,R137,FALSE))</f>
        <v>1.0894708872975898</v>
      </c>
      <c r="S138" s="25">
        <f>IF(S137=0,0,VLOOKUP(J138,J142:S172,S137,FALSE))</f>
        <v>7.5312190136070356</v>
      </c>
      <c r="T138" s="9"/>
      <c r="U138" s="1">
        <f t="shared" si="66"/>
        <v>4</v>
      </c>
      <c r="V138" s="1">
        <f t="shared" si="67"/>
        <v>205</v>
      </c>
    </row>
    <row r="139" spans="1:22" x14ac:dyDescent="0.3">
      <c r="A139" s="1">
        <f t="shared" si="99"/>
        <v>4206</v>
      </c>
      <c r="B139" s="96" t="s">
        <v>15</v>
      </c>
      <c r="C139" s="97"/>
      <c r="D139" s="110" t="s">
        <v>130</v>
      </c>
      <c r="E139" s="111"/>
      <c r="F139" s="111"/>
      <c r="G139" s="111"/>
      <c r="H139" s="112"/>
      <c r="J139" s="24" t="str">
        <f>CONCATENATE(J137,2)</f>
        <v>42</v>
      </c>
      <c r="K139" s="6">
        <f>IF(K137=0,0,VLOOKUP(J139,J142:S172,K137,FALSE))</f>
        <v>0</v>
      </c>
      <c r="L139" s="6">
        <f>IF(L137=0,0,VLOOKUP(J139,J142:S172,L137,FALSE))</f>
        <v>0</v>
      </c>
      <c r="M139" s="6">
        <f>IF(M137=0,0,VLOOKUP(J139,J142:S172,M137,FALSE))</f>
        <v>0</v>
      </c>
      <c r="N139" s="6">
        <f>IF(N137=0,0,VLOOKUP(J139,J142:S172,N137,FALSE))</f>
        <v>0</v>
      </c>
      <c r="O139" s="6">
        <f>IF(O137=0,0,VLOOKUP(J139,J142:S172,O137,FALSE))</f>
        <v>0</v>
      </c>
      <c r="P139" s="6">
        <f>IF(P137=0,0,VLOOKUP(J139,J142:S172,P137,FALSE))</f>
        <v>0</v>
      </c>
      <c r="Q139" s="6">
        <f>IF(Q137=0,0,VLOOKUP(J139,J142:S172,Q137,FALSE))</f>
        <v>4.6906933555026462E-4</v>
      </c>
      <c r="R139" s="6">
        <f>IF(R137=0,0,VLOOKUP(J139,J142:S172,R137,FALSE))</f>
        <v>4.9663390295442908E-2</v>
      </c>
      <c r="S139" s="6">
        <f>IF(S137=0,0,VLOOKUP(J139,J142:S172,S137,FALSE))</f>
        <v>1.1374788081683636</v>
      </c>
      <c r="T139" s="9"/>
      <c r="U139" s="1">
        <f t="shared" si="66"/>
        <v>4</v>
      </c>
      <c r="V139" s="1">
        <f t="shared" si="67"/>
        <v>206</v>
      </c>
    </row>
    <row r="140" spans="1:22" x14ac:dyDescent="0.3">
      <c r="A140" s="1">
        <f t="shared" si="99"/>
        <v>4207</v>
      </c>
      <c r="B140" s="96" t="s">
        <v>16</v>
      </c>
      <c r="C140" s="97"/>
      <c r="D140" s="113">
        <v>44498</v>
      </c>
      <c r="E140" s="114"/>
      <c r="F140" s="114"/>
      <c r="G140" s="114"/>
      <c r="H140" s="115"/>
      <c r="J140" s="24" t="str">
        <f>CONCATENATE(J137,3)</f>
        <v>43</v>
      </c>
      <c r="K140" s="6"/>
      <c r="L140" s="6"/>
      <c r="M140" s="6"/>
      <c r="N140" s="6" t="s">
        <v>43</v>
      </c>
      <c r="O140" s="25">
        <f>J137-2</f>
        <v>2</v>
      </c>
      <c r="P140" s="6" t="s">
        <v>44</v>
      </c>
      <c r="Q140" s="25">
        <f>VLOOKUP(J140,J142:S172,3,FALSE)</f>
        <v>0.40359057361334871</v>
      </c>
      <c r="R140" s="6" t="s">
        <v>45</v>
      </c>
      <c r="S140" s="6">
        <f>VLOOKUP(J140,J142:S172,2,FALSE)</f>
        <v>0.99991855732444523</v>
      </c>
      <c r="T140" s="9"/>
      <c r="U140" s="1">
        <f t="shared" si="66"/>
        <v>4</v>
      </c>
      <c r="V140" s="1">
        <f t="shared" si="67"/>
        <v>207</v>
      </c>
    </row>
    <row r="141" spans="1:22" x14ac:dyDescent="0.3">
      <c r="A141" s="1">
        <f t="shared" si="99"/>
        <v>4208</v>
      </c>
      <c r="B141" s="96" t="s">
        <v>17</v>
      </c>
      <c r="C141" s="97"/>
      <c r="D141" s="116">
        <v>44865</v>
      </c>
      <c r="E141" s="117"/>
      <c r="F141" s="117"/>
      <c r="G141" s="117"/>
      <c r="H141" s="118"/>
      <c r="K141" s="1">
        <v>3</v>
      </c>
      <c r="L141" s="1">
        <v>3</v>
      </c>
      <c r="Q141" s="26"/>
      <c r="R141" s="26"/>
      <c r="S141" s="26"/>
      <c r="T141" s="9"/>
      <c r="U141" s="1">
        <f t="shared" si="66"/>
        <v>4</v>
      </c>
      <c r="V141" s="1">
        <f t="shared" si="67"/>
        <v>208</v>
      </c>
    </row>
    <row r="142" spans="1:22" x14ac:dyDescent="0.3">
      <c r="A142" s="1">
        <f t="shared" si="99"/>
        <v>4209</v>
      </c>
      <c r="B142" s="77" t="s">
        <v>19</v>
      </c>
      <c r="C142" s="78"/>
      <c r="D142" s="17">
        <v>1</v>
      </c>
      <c r="E142" s="79" t="s">
        <v>40</v>
      </c>
      <c r="F142" s="80"/>
      <c r="G142" s="81"/>
      <c r="H142" s="18" t="s">
        <v>72</v>
      </c>
      <c r="J142" s="24" t="str">
        <f>CONCATENATE(K141,1)</f>
        <v>31</v>
      </c>
      <c r="K142" s="6">
        <f t="array" ref="K142:L144">LINEST(B150:B152,C150:C152^{1},TRUE,TRUE)</f>
        <v>1.0000000000000002</v>
      </c>
      <c r="L142" s="6">
        <v>8.9999999999999929</v>
      </c>
      <c r="Q142" s="9"/>
      <c r="R142" s="9"/>
      <c r="S142" s="9"/>
      <c r="T142" s="9"/>
      <c r="U142" s="1">
        <f t="shared" si="66"/>
        <v>4</v>
      </c>
      <c r="V142" s="1">
        <f t="shared" si="67"/>
        <v>209</v>
      </c>
    </row>
    <row r="143" spans="1:22" x14ac:dyDescent="0.3">
      <c r="A143" s="1">
        <f t="shared" si="99"/>
        <v>4210</v>
      </c>
      <c r="B143" s="77" t="s">
        <v>41</v>
      </c>
      <c r="C143" s="78"/>
      <c r="D143" s="23">
        <f>MIN(B150:B159)</f>
        <v>30</v>
      </c>
      <c r="E143" s="20" t="s">
        <v>18</v>
      </c>
      <c r="F143" s="19">
        <f>MAX(B150:B159)</f>
        <v>90</v>
      </c>
      <c r="G143" s="21" t="str">
        <f>IF(H142="","",H142)</f>
        <v>%ur</v>
      </c>
      <c r="H143" s="22"/>
      <c r="J143" s="24" t="str">
        <f>CONCATENATE(K141,2)</f>
        <v>32</v>
      </c>
      <c r="K143" s="6">
        <v>0</v>
      </c>
      <c r="L143" s="6">
        <v>0</v>
      </c>
      <c r="Q143" s="9"/>
      <c r="R143" s="9"/>
      <c r="S143" s="9"/>
      <c r="T143" s="9"/>
      <c r="U143" s="1">
        <f t="shared" si="66"/>
        <v>4</v>
      </c>
      <c r="V143" s="1">
        <f t="shared" si="67"/>
        <v>210</v>
      </c>
    </row>
    <row r="144" spans="1:22" x14ac:dyDescent="0.3">
      <c r="A144" s="1">
        <f t="shared" si="99"/>
        <v>4211</v>
      </c>
      <c r="J144" s="24" t="str">
        <f>CONCATENATE(K141,3)</f>
        <v>33</v>
      </c>
      <c r="K144" s="6">
        <v>1</v>
      </c>
      <c r="L144" s="6">
        <v>0</v>
      </c>
      <c r="Q144" s="9"/>
      <c r="R144" s="9"/>
      <c r="S144" s="9"/>
      <c r="T144" s="9"/>
      <c r="U144" s="1">
        <f t="shared" si="66"/>
        <v>4</v>
      </c>
      <c r="V144" s="1">
        <f t="shared" si="67"/>
        <v>211</v>
      </c>
    </row>
    <row r="145" spans="1:22" x14ac:dyDescent="0.3">
      <c r="A145" s="1">
        <f t="shared" si="99"/>
        <v>4212</v>
      </c>
      <c r="B145" s="82" t="s">
        <v>20</v>
      </c>
      <c r="C145" s="83"/>
      <c r="D145" s="83"/>
      <c r="E145" s="83"/>
      <c r="F145" s="84"/>
      <c r="G145" s="85" t="s">
        <v>31</v>
      </c>
      <c r="H145" s="86"/>
      <c r="K145" s="1">
        <v>4</v>
      </c>
      <c r="L145" s="1">
        <v>4</v>
      </c>
      <c r="M145" s="1">
        <v>4</v>
      </c>
      <c r="Q145" s="9"/>
      <c r="R145" s="9"/>
      <c r="S145" s="9"/>
      <c r="T145" s="9"/>
      <c r="U145" s="1">
        <f t="shared" si="66"/>
        <v>4</v>
      </c>
      <c r="V145" s="1">
        <f t="shared" si="67"/>
        <v>212</v>
      </c>
    </row>
    <row r="146" spans="1:22" x14ac:dyDescent="0.3">
      <c r="A146" s="1">
        <f t="shared" si="99"/>
        <v>4213</v>
      </c>
      <c r="B146" s="82" t="s">
        <v>30</v>
      </c>
      <c r="C146" s="83"/>
      <c r="D146" s="84"/>
      <c r="E146" s="82" t="str">
        <f>D139</f>
        <v>R0371/21</v>
      </c>
      <c r="F146" s="84"/>
      <c r="G146" s="6" t="s">
        <v>32</v>
      </c>
      <c r="H146" s="7" t="s">
        <v>92</v>
      </c>
      <c r="J146" s="24" t="str">
        <f t="shared" ref="J146" si="110">CONCATENATE(K145,1)</f>
        <v>41</v>
      </c>
      <c r="K146" s="6">
        <f t="array" ref="K146:M148">LINEST(B150:B153,C150:C153^{1,2},TRUE,TRUE)</f>
        <v>-1.1432515581001907E-3</v>
      </c>
      <c r="L146" s="6">
        <v>1.0894708872975898</v>
      </c>
      <c r="M146" s="6">
        <v>7.5312190136070356</v>
      </c>
      <c r="Q146" s="9"/>
      <c r="R146" s="9"/>
      <c r="S146" s="9"/>
      <c r="T146" s="9"/>
      <c r="U146" s="1">
        <f t="shared" si="66"/>
        <v>4</v>
      </c>
      <c r="V146" s="1">
        <f t="shared" si="67"/>
        <v>213</v>
      </c>
    </row>
    <row r="147" spans="1:22" x14ac:dyDescent="0.3">
      <c r="A147" s="1">
        <f t="shared" si="99"/>
        <v>4214</v>
      </c>
      <c r="B147" s="2" t="s">
        <v>21</v>
      </c>
      <c r="C147" s="2" t="s">
        <v>22</v>
      </c>
      <c r="D147" s="2" t="s">
        <v>23</v>
      </c>
      <c r="E147" s="2"/>
      <c r="F147" s="2" t="s">
        <v>28</v>
      </c>
      <c r="G147" s="2" t="s">
        <v>21</v>
      </c>
      <c r="H147" s="2" t="s">
        <v>22</v>
      </c>
      <c r="J147" s="24" t="str">
        <f t="shared" ref="J147" si="111">CONCATENATE(K145,2)</f>
        <v>42</v>
      </c>
      <c r="K147" s="6">
        <v>4.6906933555026462E-4</v>
      </c>
      <c r="L147" s="6">
        <v>4.9663390295442908E-2</v>
      </c>
      <c r="M147" s="6">
        <v>1.1374788081683636</v>
      </c>
      <c r="Q147" s="9"/>
      <c r="R147" s="9"/>
      <c r="S147" s="9"/>
      <c r="T147" s="9"/>
      <c r="U147" s="1">
        <f t="shared" si="66"/>
        <v>4</v>
      </c>
      <c r="V147" s="1">
        <f t="shared" si="67"/>
        <v>214</v>
      </c>
    </row>
    <row r="148" spans="1:22" x14ac:dyDescent="0.3">
      <c r="A148" s="1">
        <f t="shared" si="99"/>
        <v>4215</v>
      </c>
      <c r="B148" s="2" t="s">
        <v>24</v>
      </c>
      <c r="C148" s="2" t="s">
        <v>25</v>
      </c>
      <c r="D148" s="2" t="s">
        <v>26</v>
      </c>
      <c r="E148" s="2" t="s">
        <v>27</v>
      </c>
      <c r="F148" s="2" t="s">
        <v>29</v>
      </c>
      <c r="G148" s="2" t="s">
        <v>24</v>
      </c>
      <c r="H148" s="2" t="s">
        <v>25</v>
      </c>
      <c r="J148" s="24" t="str">
        <f t="shared" ref="J148" si="112">CONCATENATE(K145,3)</f>
        <v>43</v>
      </c>
      <c r="K148" s="6">
        <v>0.99991855732444523</v>
      </c>
      <c r="L148" s="6">
        <v>0.40359057361334871</v>
      </c>
      <c r="M148" s="6" t="e">
        <v>#N/A</v>
      </c>
      <c r="Q148" s="9"/>
      <c r="R148" s="9"/>
      <c r="S148" s="9"/>
      <c r="T148" s="9"/>
      <c r="U148" s="1">
        <f t="shared" si="66"/>
        <v>4</v>
      </c>
      <c r="V148" s="1">
        <f t="shared" si="67"/>
        <v>215</v>
      </c>
    </row>
    <row r="149" spans="1:22" x14ac:dyDescent="0.3">
      <c r="A149" s="1">
        <f t="shared" si="99"/>
        <v>4216</v>
      </c>
      <c r="B149" s="3" t="str">
        <f>H142</f>
        <v>%ur</v>
      </c>
      <c r="C149" s="3" t="str">
        <f>B149</f>
        <v>%ur</v>
      </c>
      <c r="D149" s="3" t="str">
        <f>C149</f>
        <v>%ur</v>
      </c>
      <c r="E149" s="3"/>
      <c r="F149" s="3"/>
      <c r="G149" s="3" t="str">
        <f>D149</f>
        <v>%ur</v>
      </c>
      <c r="H149" s="3" t="str">
        <f>G149</f>
        <v>%ur</v>
      </c>
      <c r="K149" s="1">
        <v>5</v>
      </c>
      <c r="L149" s="1">
        <v>5</v>
      </c>
      <c r="M149" s="1">
        <v>5</v>
      </c>
      <c r="N149" s="1">
        <v>5</v>
      </c>
      <c r="Q149" s="9"/>
      <c r="R149" s="9"/>
      <c r="S149" s="9"/>
      <c r="T149" s="9"/>
      <c r="U149" s="1">
        <f t="shared" si="66"/>
        <v>4</v>
      </c>
      <c r="V149" s="1">
        <f t="shared" si="67"/>
        <v>216</v>
      </c>
    </row>
    <row r="150" spans="1:22" x14ac:dyDescent="0.3">
      <c r="A150" s="1">
        <f t="shared" si="99"/>
        <v>4217</v>
      </c>
      <c r="B150" s="4">
        <v>30</v>
      </c>
      <c r="C150" s="4">
        <v>21</v>
      </c>
      <c r="D150" s="4">
        <v>2</v>
      </c>
      <c r="E150" s="4">
        <v>2</v>
      </c>
      <c r="F150" s="14">
        <v>1000000</v>
      </c>
      <c r="G150" s="8">
        <v>30</v>
      </c>
      <c r="H150" s="7">
        <v>22</v>
      </c>
      <c r="J150" s="24" t="str">
        <f t="shared" ref="J150" si="113">CONCATENATE(K149,1)</f>
        <v>51</v>
      </c>
      <c r="K150" s="6" t="e">
        <f t="array" ref="K150:N152">LINEST(B150:B154,C150:C154^{1,2,3},TRUE,TRUE)</f>
        <v>#VALUE!</v>
      </c>
      <c r="L150" s="6" t="e">
        <v>#VALUE!</v>
      </c>
      <c r="M150" s="6" t="e">
        <v>#VALUE!</v>
      </c>
      <c r="N150" s="6" t="e">
        <v>#VALUE!</v>
      </c>
      <c r="Q150" s="9"/>
      <c r="R150" s="9"/>
      <c r="S150" s="9"/>
      <c r="T150" s="9"/>
      <c r="U150" s="1">
        <f t="shared" si="66"/>
        <v>4</v>
      </c>
      <c r="V150" s="1">
        <f t="shared" si="67"/>
        <v>217</v>
      </c>
    </row>
    <row r="151" spans="1:22" x14ac:dyDescent="0.3">
      <c r="A151" s="1">
        <f t="shared" si="99"/>
        <v>4218</v>
      </c>
      <c r="B151" s="4">
        <v>50</v>
      </c>
      <c r="C151" s="4">
        <v>41</v>
      </c>
      <c r="D151" s="4">
        <v>2</v>
      </c>
      <c r="E151" s="4">
        <v>2</v>
      </c>
      <c r="F151" s="14">
        <v>1000000</v>
      </c>
      <c r="G151" s="8">
        <v>50</v>
      </c>
      <c r="H151" s="7">
        <v>42</v>
      </c>
      <c r="J151" s="24" t="str">
        <f t="shared" ref="J151" si="114">CONCATENATE(K149,2)</f>
        <v>52</v>
      </c>
      <c r="K151" s="6" t="e">
        <v>#VALUE!</v>
      </c>
      <c r="L151" s="6" t="e">
        <v>#VALUE!</v>
      </c>
      <c r="M151" s="6" t="e">
        <v>#VALUE!</v>
      </c>
      <c r="N151" s="6" t="e">
        <v>#VALUE!</v>
      </c>
      <c r="T151" s="9"/>
      <c r="U151" s="1">
        <f t="shared" si="66"/>
        <v>4</v>
      </c>
      <c r="V151" s="1">
        <f t="shared" si="67"/>
        <v>218</v>
      </c>
    </row>
    <row r="152" spans="1:22" x14ac:dyDescent="0.3">
      <c r="A152" s="1">
        <f t="shared" si="99"/>
        <v>4219</v>
      </c>
      <c r="B152" s="4">
        <v>70</v>
      </c>
      <c r="C152" s="4">
        <v>61</v>
      </c>
      <c r="D152" s="4">
        <v>2</v>
      </c>
      <c r="E152" s="4">
        <v>2</v>
      </c>
      <c r="F152" s="14">
        <v>1000000</v>
      </c>
      <c r="G152" s="8">
        <v>70</v>
      </c>
      <c r="H152" s="7">
        <v>62</v>
      </c>
      <c r="J152" s="24" t="str">
        <f t="shared" ref="J152" si="115">CONCATENATE(K149,3)</f>
        <v>53</v>
      </c>
      <c r="K152" s="6" t="e">
        <v>#VALUE!</v>
      </c>
      <c r="L152" s="6" t="e">
        <v>#VALUE!</v>
      </c>
      <c r="M152" s="6" t="e">
        <v>#VALUE!</v>
      </c>
      <c r="N152" s="6" t="e">
        <v>#VALUE!</v>
      </c>
      <c r="T152" s="9"/>
      <c r="U152" s="1">
        <f t="shared" si="66"/>
        <v>4</v>
      </c>
      <c r="V152" s="1">
        <f t="shared" si="67"/>
        <v>219</v>
      </c>
    </row>
    <row r="153" spans="1:22" x14ac:dyDescent="0.3">
      <c r="A153" s="1">
        <f t="shared" si="99"/>
        <v>4220</v>
      </c>
      <c r="B153" s="4">
        <v>90</v>
      </c>
      <c r="C153" s="4">
        <v>83</v>
      </c>
      <c r="D153" s="4">
        <v>2</v>
      </c>
      <c r="E153" s="4">
        <v>2</v>
      </c>
      <c r="F153" s="14">
        <v>1000000</v>
      </c>
      <c r="G153" s="8">
        <v>90</v>
      </c>
      <c r="H153" s="7">
        <v>83</v>
      </c>
      <c r="K153" s="1">
        <v>6</v>
      </c>
      <c r="L153" s="1">
        <v>6</v>
      </c>
      <c r="M153" s="1">
        <v>6</v>
      </c>
      <c r="N153" s="1">
        <v>6</v>
      </c>
      <c r="O153" s="1">
        <v>6</v>
      </c>
      <c r="T153" s="9"/>
      <c r="U153" s="1">
        <f t="shared" si="66"/>
        <v>4</v>
      </c>
      <c r="V153" s="1">
        <f t="shared" si="67"/>
        <v>220</v>
      </c>
    </row>
    <row r="154" spans="1:22" x14ac:dyDescent="0.3">
      <c r="A154" s="1">
        <f t="shared" si="99"/>
        <v>4221</v>
      </c>
      <c r="B154" s="4"/>
      <c r="C154" s="4"/>
      <c r="D154" s="4"/>
      <c r="E154" s="4"/>
      <c r="F154" s="14"/>
      <c r="G154" s="8"/>
      <c r="H154" s="7"/>
      <c r="J154" s="24" t="str">
        <f t="shared" ref="J154" si="116">CONCATENATE(K153,1)</f>
        <v>61</v>
      </c>
      <c r="K154" s="6" t="e">
        <f t="array" ref="K154:O156">LINEST(B150:B155,C150:C155^{1,2,3,4},TRUE,TRUE)</f>
        <v>#VALUE!</v>
      </c>
      <c r="L154" s="6" t="e">
        <v>#VALUE!</v>
      </c>
      <c r="M154" s="6" t="e">
        <v>#VALUE!</v>
      </c>
      <c r="N154" s="6" t="e">
        <v>#VALUE!</v>
      </c>
      <c r="O154" s="6" t="e">
        <v>#VALUE!</v>
      </c>
      <c r="T154" s="9"/>
      <c r="U154" s="1">
        <f t="shared" si="66"/>
        <v>4</v>
      </c>
      <c r="V154" s="1">
        <f t="shared" si="67"/>
        <v>221</v>
      </c>
    </row>
    <row r="155" spans="1:22" x14ac:dyDescent="0.3">
      <c r="A155" s="1">
        <f t="shared" si="99"/>
        <v>4222</v>
      </c>
      <c r="B155" s="4"/>
      <c r="C155" s="4"/>
      <c r="D155" s="4"/>
      <c r="E155" s="4"/>
      <c r="F155" s="14"/>
      <c r="G155" s="8"/>
      <c r="H155" s="7"/>
      <c r="J155" s="24" t="str">
        <f t="shared" ref="J155" si="117">CONCATENATE(K153,2)</f>
        <v>62</v>
      </c>
      <c r="K155" s="6" t="e">
        <v>#VALUE!</v>
      </c>
      <c r="L155" s="6" t="e">
        <v>#VALUE!</v>
      </c>
      <c r="M155" s="6" t="e">
        <v>#VALUE!</v>
      </c>
      <c r="N155" s="6" t="e">
        <v>#VALUE!</v>
      </c>
      <c r="O155" s="6" t="e">
        <v>#VALUE!</v>
      </c>
      <c r="T155" s="9"/>
      <c r="U155" s="1">
        <f t="shared" ref="U155:U218" si="118">U154</f>
        <v>4</v>
      </c>
      <c r="V155" s="1">
        <f t="shared" ref="V155:V218" si="119">V154+1</f>
        <v>222</v>
      </c>
    </row>
    <row r="156" spans="1:22" x14ac:dyDescent="0.3">
      <c r="A156" s="1">
        <f t="shared" si="99"/>
        <v>4223</v>
      </c>
      <c r="B156" s="4"/>
      <c r="C156" s="4"/>
      <c r="D156" s="4"/>
      <c r="E156" s="4"/>
      <c r="F156" s="14"/>
      <c r="G156" s="8"/>
      <c r="H156" s="7"/>
      <c r="J156" s="24" t="str">
        <f t="shared" ref="J156" si="120">CONCATENATE(K153,3)</f>
        <v>63</v>
      </c>
      <c r="K156" s="6" t="e">
        <v>#VALUE!</v>
      </c>
      <c r="L156" s="6" t="e">
        <v>#VALUE!</v>
      </c>
      <c r="M156" s="6" t="e">
        <v>#VALUE!</v>
      </c>
      <c r="N156" s="6" t="e">
        <v>#VALUE!</v>
      </c>
      <c r="O156" s="6" t="e">
        <v>#VALUE!</v>
      </c>
      <c r="T156" s="9"/>
      <c r="U156" s="1">
        <f t="shared" si="118"/>
        <v>4</v>
      </c>
      <c r="V156" s="1">
        <f t="shared" si="119"/>
        <v>223</v>
      </c>
    </row>
    <row r="157" spans="1:22" x14ac:dyDescent="0.3">
      <c r="A157" s="1">
        <f t="shared" si="99"/>
        <v>4224</v>
      </c>
      <c r="B157" s="4"/>
      <c r="C157" s="4"/>
      <c r="D157" s="4"/>
      <c r="E157" s="4"/>
      <c r="F157" s="14"/>
      <c r="G157" s="8"/>
      <c r="H157" s="7"/>
      <c r="K157" s="1">
        <v>7</v>
      </c>
      <c r="L157" s="1">
        <v>7</v>
      </c>
      <c r="M157" s="1">
        <v>7</v>
      </c>
      <c r="N157" s="1">
        <v>7</v>
      </c>
      <c r="O157" s="1">
        <v>7</v>
      </c>
      <c r="P157" s="1">
        <v>7</v>
      </c>
      <c r="T157" s="9"/>
      <c r="U157" s="1">
        <f t="shared" si="118"/>
        <v>4</v>
      </c>
      <c r="V157" s="1">
        <f t="shared" si="119"/>
        <v>224</v>
      </c>
    </row>
    <row r="158" spans="1:22" x14ac:dyDescent="0.3">
      <c r="A158" s="1">
        <f t="shared" si="99"/>
        <v>4225</v>
      </c>
      <c r="B158" s="4"/>
      <c r="C158" s="4"/>
      <c r="D158" s="4"/>
      <c r="E158" s="4"/>
      <c r="F158" s="14"/>
      <c r="G158" s="8"/>
      <c r="H158" s="7"/>
      <c r="J158" s="24" t="str">
        <f t="shared" ref="J158" si="121">CONCATENATE(K157,1)</f>
        <v>71</v>
      </c>
      <c r="K158" s="6" t="e">
        <f t="array" ref="K158:P160">LINEST(B150:B156,C150:C156^{1,2,3,4,5},TRUE,TRUE)</f>
        <v>#VALUE!</v>
      </c>
      <c r="L158" s="6" t="e">
        <v>#VALUE!</v>
      </c>
      <c r="M158" s="6" t="e">
        <v>#VALUE!</v>
      </c>
      <c r="N158" s="6" t="e">
        <v>#VALUE!</v>
      </c>
      <c r="O158" s="6" t="e">
        <v>#VALUE!</v>
      </c>
      <c r="P158" s="6" t="e">
        <v>#VALUE!</v>
      </c>
      <c r="T158" s="9"/>
      <c r="U158" s="1">
        <f t="shared" si="118"/>
        <v>4</v>
      </c>
      <c r="V158" s="1">
        <f t="shared" si="119"/>
        <v>225</v>
      </c>
    </row>
    <row r="159" spans="1:22" x14ac:dyDescent="0.3">
      <c r="A159" s="1">
        <f t="shared" si="99"/>
        <v>4226</v>
      </c>
      <c r="B159" s="4"/>
      <c r="C159" s="4"/>
      <c r="D159" s="4"/>
      <c r="E159" s="4"/>
      <c r="F159" s="14"/>
      <c r="G159" s="8"/>
      <c r="H159" s="7"/>
      <c r="J159" s="24" t="str">
        <f t="shared" ref="J159" si="122">CONCATENATE(K157,2)</f>
        <v>72</v>
      </c>
      <c r="K159" s="6" t="e">
        <v>#VALUE!</v>
      </c>
      <c r="L159" s="6" t="e">
        <v>#VALUE!</v>
      </c>
      <c r="M159" s="6" t="e">
        <v>#VALUE!</v>
      </c>
      <c r="N159" s="6" t="e">
        <v>#VALUE!</v>
      </c>
      <c r="O159" s="6" t="e">
        <v>#VALUE!</v>
      </c>
      <c r="P159" s="6" t="e">
        <v>#VALUE!</v>
      </c>
      <c r="T159" s="9"/>
      <c r="U159" s="1">
        <f t="shared" si="118"/>
        <v>4</v>
      </c>
      <c r="V159" s="1">
        <f t="shared" si="119"/>
        <v>226</v>
      </c>
    </row>
    <row r="160" spans="1:22" x14ac:dyDescent="0.3">
      <c r="A160" s="1">
        <f t="shared" si="99"/>
        <v>4227</v>
      </c>
      <c r="B160" s="9"/>
      <c r="C160" s="9"/>
      <c r="D160" s="9"/>
      <c r="E160" s="9"/>
      <c r="F160" s="9"/>
      <c r="G160" s="9"/>
      <c r="H160" s="9"/>
      <c r="J160" s="24" t="str">
        <f t="shared" ref="J160" si="123">CONCATENATE(K157,3)</f>
        <v>73</v>
      </c>
      <c r="K160" s="6" t="e">
        <v>#VALUE!</v>
      </c>
      <c r="L160" s="6" t="e">
        <v>#VALUE!</v>
      </c>
      <c r="M160" s="6" t="e">
        <v>#VALUE!</v>
      </c>
      <c r="N160" s="6" t="e">
        <v>#VALUE!</v>
      </c>
      <c r="O160" s="6" t="e">
        <v>#VALUE!</v>
      </c>
      <c r="P160" s="6" t="e">
        <v>#VALUE!</v>
      </c>
      <c r="T160" s="9"/>
      <c r="U160" s="1">
        <f t="shared" si="118"/>
        <v>4</v>
      </c>
      <c r="V160" s="1">
        <f t="shared" si="119"/>
        <v>227</v>
      </c>
    </row>
    <row r="161" spans="1:22" x14ac:dyDescent="0.3">
      <c r="A161" s="1">
        <f t="shared" si="99"/>
        <v>4228</v>
      </c>
      <c r="B161" s="87" t="s">
        <v>33</v>
      </c>
      <c r="C161" s="88"/>
      <c r="D161" s="88"/>
      <c r="E161" s="88"/>
      <c r="F161" s="88"/>
      <c r="G161" s="88"/>
      <c r="H161" s="89"/>
      <c r="K161" s="1">
        <v>8</v>
      </c>
      <c r="L161" s="1">
        <v>8</v>
      </c>
      <c r="M161" s="1">
        <v>8</v>
      </c>
      <c r="N161" s="1">
        <v>8</v>
      </c>
      <c r="O161" s="1">
        <v>8</v>
      </c>
      <c r="P161" s="1">
        <v>8</v>
      </c>
      <c r="Q161" s="1">
        <v>8</v>
      </c>
      <c r="T161" s="9"/>
      <c r="U161" s="1">
        <f t="shared" si="118"/>
        <v>4</v>
      </c>
      <c r="V161" s="1">
        <f t="shared" si="119"/>
        <v>228</v>
      </c>
    </row>
    <row r="162" spans="1:22" x14ac:dyDescent="0.3">
      <c r="A162" s="1">
        <f t="shared" si="99"/>
        <v>4229</v>
      </c>
      <c r="B162" s="90"/>
      <c r="C162" s="91"/>
      <c r="D162" s="91"/>
      <c r="E162" s="91"/>
      <c r="F162" s="91"/>
      <c r="G162" s="91"/>
      <c r="H162" s="92"/>
      <c r="J162" s="24" t="str">
        <f t="shared" ref="J162" si="124">CONCATENATE(K161,1)</f>
        <v>81</v>
      </c>
      <c r="K162" s="6" t="e">
        <f t="array" ref="K162:Q164">LINEST(B150:B157,C150:C157^{1,2,3,4,5,6},TRUE,TRUE)</f>
        <v>#VALUE!</v>
      </c>
      <c r="L162" s="6" t="e">
        <v>#VALUE!</v>
      </c>
      <c r="M162" s="6" t="e">
        <v>#VALUE!</v>
      </c>
      <c r="N162" s="6" t="e">
        <v>#VALUE!</v>
      </c>
      <c r="O162" s="6" t="e">
        <v>#VALUE!</v>
      </c>
      <c r="P162" s="6" t="e">
        <v>#VALUE!</v>
      </c>
      <c r="Q162" s="6" t="e">
        <v>#VALUE!</v>
      </c>
      <c r="T162" s="9"/>
      <c r="U162" s="1">
        <f t="shared" si="118"/>
        <v>4</v>
      </c>
      <c r="V162" s="1">
        <f t="shared" si="119"/>
        <v>229</v>
      </c>
    </row>
    <row r="163" spans="1:22" x14ac:dyDescent="0.3">
      <c r="A163" s="1">
        <f t="shared" si="99"/>
        <v>4230</v>
      </c>
      <c r="B163" s="93"/>
      <c r="C163" s="94"/>
      <c r="D163" s="94"/>
      <c r="E163" s="94"/>
      <c r="F163" s="94"/>
      <c r="G163" s="94"/>
      <c r="H163" s="95"/>
      <c r="J163" s="24" t="str">
        <f t="shared" ref="J163" si="125">CONCATENATE(K161,2)</f>
        <v>82</v>
      </c>
      <c r="K163" s="6" t="e">
        <v>#VALUE!</v>
      </c>
      <c r="L163" s="6" t="e">
        <v>#VALUE!</v>
      </c>
      <c r="M163" s="6" t="e">
        <v>#VALUE!</v>
      </c>
      <c r="N163" s="6" t="e">
        <v>#VALUE!</v>
      </c>
      <c r="O163" s="6" t="e">
        <v>#VALUE!</v>
      </c>
      <c r="P163" s="6" t="e">
        <v>#VALUE!</v>
      </c>
      <c r="Q163" s="6" t="e">
        <v>#VALUE!</v>
      </c>
      <c r="T163" s="9"/>
      <c r="U163" s="1">
        <f t="shared" si="118"/>
        <v>4</v>
      </c>
      <c r="V163" s="1">
        <f t="shared" si="119"/>
        <v>230</v>
      </c>
    </row>
    <row r="164" spans="1:22" x14ac:dyDescent="0.3">
      <c r="A164" s="1">
        <f t="shared" si="99"/>
        <v>4231</v>
      </c>
      <c r="J164" s="24" t="str">
        <f t="shared" ref="J164" si="126">CONCATENATE(K161,3)</f>
        <v>83</v>
      </c>
      <c r="K164" s="6" t="e">
        <v>#VALUE!</v>
      </c>
      <c r="L164" s="6" t="e">
        <v>#VALUE!</v>
      </c>
      <c r="M164" s="6" t="e">
        <v>#VALUE!</v>
      </c>
      <c r="N164" s="6" t="e">
        <v>#VALUE!</v>
      </c>
      <c r="O164" s="6" t="e">
        <v>#VALUE!</v>
      </c>
      <c r="P164" s="6" t="e">
        <v>#VALUE!</v>
      </c>
      <c r="Q164" s="6" t="e">
        <v>#VALUE!</v>
      </c>
      <c r="T164" s="9"/>
      <c r="U164" s="1">
        <f t="shared" si="118"/>
        <v>4</v>
      </c>
      <c r="V164" s="1">
        <f t="shared" si="119"/>
        <v>231</v>
      </c>
    </row>
    <row r="165" spans="1:22" ht="15" customHeight="1" x14ac:dyDescent="0.3">
      <c r="A165" s="1">
        <f t="shared" si="99"/>
        <v>4232</v>
      </c>
      <c r="B165" s="10" t="s">
        <v>34</v>
      </c>
      <c r="C165" s="10" t="s">
        <v>35</v>
      </c>
      <c r="D165" s="10" t="s">
        <v>36</v>
      </c>
      <c r="E165" s="74" t="s">
        <v>37</v>
      </c>
      <c r="F165" s="75"/>
      <c r="G165" s="76"/>
      <c r="K165" s="1">
        <v>9</v>
      </c>
      <c r="L165" s="1">
        <v>9</v>
      </c>
      <c r="M165" s="1">
        <v>9</v>
      </c>
      <c r="N165" s="1">
        <v>9</v>
      </c>
      <c r="O165" s="1">
        <v>9</v>
      </c>
      <c r="P165" s="1">
        <v>9</v>
      </c>
      <c r="Q165" s="1">
        <v>9</v>
      </c>
      <c r="R165" s="1">
        <v>9</v>
      </c>
      <c r="T165" s="9"/>
      <c r="U165" s="1">
        <f t="shared" si="118"/>
        <v>4</v>
      </c>
      <c r="V165" s="1">
        <f t="shared" si="119"/>
        <v>232</v>
      </c>
    </row>
    <row r="166" spans="1:22" x14ac:dyDescent="0.3">
      <c r="A166" s="1">
        <f t="shared" si="99"/>
        <v>4233</v>
      </c>
      <c r="B166" s="12">
        <f t="shared" ref="B166:B175" si="127">C150-B150</f>
        <v>-9</v>
      </c>
      <c r="C166" s="13">
        <f t="shared" ref="C166:C175" si="128">H150-G150</f>
        <v>-8</v>
      </c>
      <c r="D166" s="10">
        <f>C166-B166</f>
        <v>1</v>
      </c>
      <c r="E166" s="11">
        <f>IF(D141="","",MAX(F166,G166))</f>
        <v>1</v>
      </c>
      <c r="F166" s="10">
        <f>ABS(MIN(D166:D175))</f>
        <v>0</v>
      </c>
      <c r="G166" s="10">
        <f>ABS(MAX(D166:D175))</f>
        <v>1</v>
      </c>
      <c r="J166" s="24" t="str">
        <f t="shared" ref="J166" si="129">CONCATENATE(K165,1)</f>
        <v>91</v>
      </c>
      <c r="K166" s="6" t="e">
        <f t="array" ref="K166:R168">LINEST(B150:B158,C150:C158^{1,2,3,4,5,6,7},TRUE,TRUE)</f>
        <v>#VALUE!</v>
      </c>
      <c r="L166" s="6" t="e">
        <v>#VALUE!</v>
      </c>
      <c r="M166" s="6" t="e">
        <v>#VALUE!</v>
      </c>
      <c r="N166" s="6" t="e">
        <v>#VALUE!</v>
      </c>
      <c r="O166" s="6" t="e">
        <v>#VALUE!</v>
      </c>
      <c r="P166" s="6" t="e">
        <v>#VALUE!</v>
      </c>
      <c r="Q166" s="6" t="e">
        <v>#VALUE!</v>
      </c>
      <c r="R166" s="6" t="e">
        <v>#VALUE!</v>
      </c>
      <c r="T166" s="9"/>
      <c r="U166" s="1">
        <f t="shared" si="118"/>
        <v>4</v>
      </c>
      <c r="V166" s="1">
        <f t="shared" si="119"/>
        <v>233</v>
      </c>
    </row>
    <row r="167" spans="1:22" x14ac:dyDescent="0.3">
      <c r="A167" s="1">
        <f t="shared" si="99"/>
        <v>4234</v>
      </c>
      <c r="B167" s="12">
        <f t="shared" si="127"/>
        <v>-9</v>
      </c>
      <c r="C167" s="13">
        <f t="shared" si="128"/>
        <v>-8</v>
      </c>
      <c r="D167" s="10">
        <f t="shared" ref="D167:D175" si="130">C167-B167</f>
        <v>1</v>
      </c>
      <c r="E167" s="74" t="s">
        <v>38</v>
      </c>
      <c r="F167" s="75"/>
      <c r="G167" s="76"/>
      <c r="J167" s="24" t="str">
        <f t="shared" ref="J167" si="131">CONCATENATE(K165,2)</f>
        <v>92</v>
      </c>
      <c r="K167" s="6" t="e">
        <v>#VALUE!</v>
      </c>
      <c r="L167" s="6" t="e">
        <v>#VALUE!</v>
      </c>
      <c r="M167" s="6" t="e">
        <v>#VALUE!</v>
      </c>
      <c r="N167" s="6" t="e">
        <v>#VALUE!</v>
      </c>
      <c r="O167" s="6" t="e">
        <v>#VALUE!</v>
      </c>
      <c r="P167" s="6" t="e">
        <v>#VALUE!</v>
      </c>
      <c r="Q167" s="6" t="e">
        <v>#VALUE!</v>
      </c>
      <c r="R167" s="6" t="e">
        <v>#VALUE!</v>
      </c>
      <c r="T167" s="9"/>
      <c r="U167" s="1">
        <f t="shared" si="118"/>
        <v>4</v>
      </c>
      <c r="V167" s="1">
        <f t="shared" si="119"/>
        <v>234</v>
      </c>
    </row>
    <row r="168" spans="1:22" x14ac:dyDescent="0.3">
      <c r="A168" s="1">
        <f t="shared" si="99"/>
        <v>4235</v>
      </c>
      <c r="B168" s="12">
        <f t="shared" si="127"/>
        <v>-9</v>
      </c>
      <c r="C168" s="13">
        <f t="shared" si="128"/>
        <v>-8</v>
      </c>
      <c r="D168" s="10">
        <f t="shared" si="130"/>
        <v>1</v>
      </c>
      <c r="E168" s="11">
        <f>IF(D141="","",MAX(F168,G168))</f>
        <v>9</v>
      </c>
      <c r="F168" s="10">
        <f>ABS(MIN(B166:B175))</f>
        <v>9</v>
      </c>
      <c r="G168" s="10">
        <f>ABS(MAX(B166:B175))</f>
        <v>0</v>
      </c>
      <c r="J168" s="24" t="str">
        <f t="shared" ref="J168" si="132">CONCATENATE(K165,3)</f>
        <v>93</v>
      </c>
      <c r="K168" s="6" t="e">
        <v>#VALUE!</v>
      </c>
      <c r="L168" s="6" t="e">
        <v>#VALUE!</v>
      </c>
      <c r="M168" s="6" t="e">
        <v>#VALUE!</v>
      </c>
      <c r="N168" s="6" t="e">
        <v>#VALUE!</v>
      </c>
      <c r="O168" s="6" t="e">
        <v>#VALUE!</v>
      </c>
      <c r="P168" s="6" t="e">
        <v>#VALUE!</v>
      </c>
      <c r="Q168" s="6" t="e">
        <v>#VALUE!</v>
      </c>
      <c r="R168" s="6" t="e">
        <v>#VALUE!</v>
      </c>
      <c r="T168" s="9"/>
      <c r="U168" s="1">
        <f t="shared" si="118"/>
        <v>4</v>
      </c>
      <c r="V168" s="1">
        <f t="shared" si="119"/>
        <v>235</v>
      </c>
    </row>
    <row r="169" spans="1:22" x14ac:dyDescent="0.3">
      <c r="A169" s="1">
        <f t="shared" si="99"/>
        <v>4236</v>
      </c>
      <c r="B169" s="12">
        <f t="shared" si="127"/>
        <v>-7</v>
      </c>
      <c r="C169" s="13">
        <f t="shared" si="128"/>
        <v>-7</v>
      </c>
      <c r="D169" s="10">
        <f t="shared" si="130"/>
        <v>0</v>
      </c>
      <c r="E169" s="74" t="s">
        <v>39</v>
      </c>
      <c r="F169" s="75"/>
      <c r="G169" s="76"/>
      <c r="K169" s="1">
        <v>10</v>
      </c>
      <c r="L169" s="1">
        <v>10</v>
      </c>
      <c r="M169" s="1">
        <v>10</v>
      </c>
      <c r="N169" s="1">
        <v>10</v>
      </c>
      <c r="O169" s="1">
        <v>10</v>
      </c>
      <c r="P169" s="1">
        <v>10</v>
      </c>
      <c r="Q169" s="1">
        <v>10</v>
      </c>
      <c r="R169" s="1">
        <v>10</v>
      </c>
      <c r="S169" s="1">
        <v>10</v>
      </c>
      <c r="T169" s="9"/>
      <c r="U169" s="1">
        <f t="shared" si="118"/>
        <v>4</v>
      </c>
      <c r="V169" s="1">
        <f t="shared" si="119"/>
        <v>236</v>
      </c>
    </row>
    <row r="170" spans="1:22" x14ac:dyDescent="0.3">
      <c r="A170" s="1">
        <f t="shared" si="99"/>
        <v>4237</v>
      </c>
      <c r="B170" s="12">
        <f t="shared" si="127"/>
        <v>0</v>
      </c>
      <c r="C170" s="13">
        <f t="shared" si="128"/>
        <v>0</v>
      </c>
      <c r="D170" s="10">
        <f t="shared" si="130"/>
        <v>0</v>
      </c>
      <c r="E170" s="11">
        <f>IF(D141="","",MAX(F170,G170))</f>
        <v>2</v>
      </c>
      <c r="F170" s="10">
        <f>ABS(MIN(D150:D159))</f>
        <v>2</v>
      </c>
      <c r="G170" s="10">
        <f>ABS(MAX(D150:D159))</f>
        <v>2</v>
      </c>
      <c r="J170" s="24" t="str">
        <f t="shared" ref="J170" si="133">CONCATENATE(K169,1)</f>
        <v>101</v>
      </c>
      <c r="K170" s="6" t="e">
        <f t="array" ref="K170:S172">LINEST(B150:B159,C150:C159^{1,2,3,4,5,6,7,8},TRUE,TRUE)</f>
        <v>#VALUE!</v>
      </c>
      <c r="L170" s="6" t="e">
        <v>#VALUE!</v>
      </c>
      <c r="M170" s="6" t="e">
        <v>#VALUE!</v>
      </c>
      <c r="N170" s="6" t="e">
        <v>#VALUE!</v>
      </c>
      <c r="O170" s="6" t="e">
        <v>#VALUE!</v>
      </c>
      <c r="P170" s="6" t="e">
        <v>#VALUE!</v>
      </c>
      <c r="Q170" s="6" t="e">
        <v>#VALUE!</v>
      </c>
      <c r="R170" s="6" t="e">
        <v>#VALUE!</v>
      </c>
      <c r="S170" s="6" t="e">
        <v>#VALUE!</v>
      </c>
      <c r="T170" s="9"/>
      <c r="U170" s="1">
        <f t="shared" si="118"/>
        <v>4</v>
      </c>
      <c r="V170" s="1">
        <f t="shared" si="119"/>
        <v>237</v>
      </c>
    </row>
    <row r="171" spans="1:22" x14ac:dyDescent="0.3">
      <c r="A171" s="1">
        <f t="shared" si="99"/>
        <v>4238</v>
      </c>
      <c r="B171" s="12">
        <f t="shared" si="127"/>
        <v>0</v>
      </c>
      <c r="C171" s="13">
        <f t="shared" si="128"/>
        <v>0</v>
      </c>
      <c r="D171" s="10">
        <f t="shared" si="130"/>
        <v>0</v>
      </c>
      <c r="J171" s="24" t="str">
        <f t="shared" ref="J171" si="134">CONCATENATE(K169,2)</f>
        <v>102</v>
      </c>
      <c r="K171" s="6" t="e">
        <v>#VALUE!</v>
      </c>
      <c r="L171" s="6" t="e">
        <v>#VALUE!</v>
      </c>
      <c r="M171" s="6" t="e">
        <v>#VALUE!</v>
      </c>
      <c r="N171" s="6" t="e">
        <v>#VALUE!</v>
      </c>
      <c r="O171" s="6" t="e">
        <v>#VALUE!</v>
      </c>
      <c r="P171" s="6" t="e">
        <v>#VALUE!</v>
      </c>
      <c r="Q171" s="6" t="e">
        <v>#VALUE!</v>
      </c>
      <c r="R171" s="6" t="e">
        <v>#VALUE!</v>
      </c>
      <c r="S171" s="6" t="e">
        <v>#VALUE!</v>
      </c>
      <c r="T171" s="9"/>
      <c r="U171" s="1">
        <f t="shared" si="118"/>
        <v>4</v>
      </c>
      <c r="V171" s="1">
        <f t="shared" si="119"/>
        <v>238</v>
      </c>
    </row>
    <row r="172" spans="1:22" x14ac:dyDescent="0.3">
      <c r="A172" s="1">
        <f t="shared" si="99"/>
        <v>4239</v>
      </c>
      <c r="B172" s="12">
        <f t="shared" si="127"/>
        <v>0</v>
      </c>
      <c r="C172" s="13">
        <f t="shared" si="128"/>
        <v>0</v>
      </c>
      <c r="D172" s="10">
        <f t="shared" si="130"/>
        <v>0</v>
      </c>
      <c r="J172" s="24" t="str">
        <f t="shared" ref="J172" si="135">CONCATENATE(K169,3)</f>
        <v>103</v>
      </c>
      <c r="K172" s="6" t="e">
        <v>#VALUE!</v>
      </c>
      <c r="L172" s="6" t="e">
        <v>#VALUE!</v>
      </c>
      <c r="M172" s="6" t="e">
        <v>#VALUE!</v>
      </c>
      <c r="N172" s="6" t="e">
        <v>#VALUE!</v>
      </c>
      <c r="O172" s="6" t="e">
        <v>#VALUE!</v>
      </c>
      <c r="P172" s="6" t="e">
        <v>#VALUE!</v>
      </c>
      <c r="Q172" s="6" t="e">
        <v>#VALUE!</v>
      </c>
      <c r="R172" s="6" t="e">
        <v>#VALUE!</v>
      </c>
      <c r="S172" s="6" t="e">
        <v>#VALUE!</v>
      </c>
      <c r="T172" s="9"/>
      <c r="U172" s="1">
        <f t="shared" si="118"/>
        <v>4</v>
      </c>
      <c r="V172" s="1">
        <f t="shared" si="119"/>
        <v>239</v>
      </c>
    </row>
    <row r="173" spans="1:22" x14ac:dyDescent="0.3">
      <c r="A173" s="1">
        <f t="shared" si="99"/>
        <v>4240</v>
      </c>
      <c r="B173" s="12">
        <f t="shared" si="127"/>
        <v>0</v>
      </c>
      <c r="C173" s="13">
        <f t="shared" si="128"/>
        <v>0</v>
      </c>
      <c r="D173" s="10">
        <f t="shared" si="130"/>
        <v>0</v>
      </c>
      <c r="J173" s="9"/>
      <c r="K173" s="9"/>
      <c r="L173" s="9"/>
      <c r="M173" s="9"/>
      <c r="N173" s="9"/>
      <c r="O173" s="9"/>
      <c r="P173" s="9"/>
      <c r="Q173" s="9"/>
      <c r="R173" s="9"/>
      <c r="S173" s="9"/>
      <c r="T173" s="9"/>
      <c r="U173" s="1">
        <f t="shared" si="118"/>
        <v>4</v>
      </c>
      <c r="V173" s="1">
        <f t="shared" si="119"/>
        <v>240</v>
      </c>
    </row>
    <row r="174" spans="1:22" x14ac:dyDescent="0.3">
      <c r="A174" s="1">
        <f t="shared" si="99"/>
        <v>4241</v>
      </c>
      <c r="B174" s="12">
        <f t="shared" si="127"/>
        <v>0</v>
      </c>
      <c r="C174" s="13">
        <f t="shared" si="128"/>
        <v>0</v>
      </c>
      <c r="D174" s="10">
        <f t="shared" si="130"/>
        <v>0</v>
      </c>
      <c r="J174" s="9"/>
      <c r="K174" s="9"/>
      <c r="L174" s="9"/>
      <c r="M174" s="9"/>
      <c r="N174" s="9"/>
      <c r="O174" s="9"/>
      <c r="P174" s="9"/>
      <c r="Q174" s="9"/>
      <c r="R174" s="9"/>
      <c r="S174" s="9"/>
      <c r="T174" s="9"/>
      <c r="U174" s="1">
        <f t="shared" si="118"/>
        <v>4</v>
      </c>
      <c r="V174" s="1">
        <f t="shared" si="119"/>
        <v>241</v>
      </c>
    </row>
    <row r="175" spans="1:22" x14ac:dyDescent="0.3">
      <c r="A175" s="1">
        <f t="shared" si="99"/>
        <v>4242</v>
      </c>
      <c r="B175" s="12">
        <f t="shared" si="127"/>
        <v>0</v>
      </c>
      <c r="C175" s="13">
        <f t="shared" si="128"/>
        <v>0</v>
      </c>
      <c r="D175" s="10">
        <f t="shared" si="130"/>
        <v>0</v>
      </c>
      <c r="J175" s="9"/>
      <c r="K175" s="9"/>
      <c r="L175" s="9"/>
      <c r="M175" s="9"/>
      <c r="N175" s="9"/>
      <c r="O175" s="9"/>
      <c r="P175" s="9"/>
      <c r="Q175" s="9"/>
      <c r="R175" s="9"/>
      <c r="S175" s="9"/>
      <c r="T175" s="9"/>
      <c r="U175" s="1">
        <f t="shared" si="118"/>
        <v>4</v>
      </c>
      <c r="V175" s="1">
        <f t="shared" si="119"/>
        <v>242</v>
      </c>
    </row>
    <row r="176" spans="1:22" x14ac:dyDescent="0.3">
      <c r="A176" s="1">
        <f t="shared" si="99"/>
        <v>4243</v>
      </c>
      <c r="J176" s="9"/>
      <c r="K176" s="9"/>
      <c r="L176" s="9"/>
      <c r="M176" s="9"/>
      <c r="N176" s="9"/>
      <c r="O176" s="9"/>
      <c r="P176" s="9"/>
      <c r="Q176" s="9"/>
      <c r="R176" s="9"/>
      <c r="S176" s="9"/>
      <c r="T176" s="9"/>
      <c r="U176" s="1">
        <f t="shared" si="118"/>
        <v>4</v>
      </c>
      <c r="V176" s="1">
        <f t="shared" si="119"/>
        <v>243</v>
      </c>
    </row>
    <row r="177" spans="1:22" s="5" customFormat="1" x14ac:dyDescent="0.3"/>
    <row r="178" spans="1:22" x14ac:dyDescent="0.3">
      <c r="A178" s="1">
        <f t="shared" ref="A178:A220" si="136">ROUND(CONCATENATE(U178,V178),0)</f>
        <v>5201</v>
      </c>
      <c r="B178" s="96" t="s">
        <v>0</v>
      </c>
      <c r="C178" s="97"/>
      <c r="D178" s="98" t="s">
        <v>46</v>
      </c>
      <c r="E178" s="99"/>
      <c r="F178" s="99"/>
      <c r="G178" s="99"/>
      <c r="H178" s="100"/>
      <c r="J178" s="9"/>
      <c r="K178" s="9"/>
      <c r="L178" s="9"/>
      <c r="M178" s="9"/>
      <c r="N178" s="9"/>
      <c r="O178" s="9"/>
      <c r="P178" s="9"/>
      <c r="Q178" s="9"/>
      <c r="R178" s="9"/>
      <c r="S178" s="9"/>
      <c r="T178" s="9"/>
      <c r="U178" s="1">
        <f t="shared" ref="U178" si="137">U176+1</f>
        <v>5</v>
      </c>
      <c r="V178" s="1">
        <v>201</v>
      </c>
    </row>
    <row r="179" spans="1:22" x14ac:dyDescent="0.3">
      <c r="A179" s="1">
        <f t="shared" si="136"/>
        <v>5202</v>
      </c>
      <c r="B179" s="96" t="s">
        <v>1</v>
      </c>
      <c r="C179" s="97"/>
      <c r="D179" s="15">
        <v>20</v>
      </c>
      <c r="E179" s="16" t="s">
        <v>2</v>
      </c>
      <c r="F179" s="107"/>
      <c r="G179" s="108"/>
      <c r="H179" s="109"/>
      <c r="J179" s="9"/>
      <c r="K179" s="9"/>
      <c r="L179" s="9"/>
      <c r="M179" s="9"/>
      <c r="N179" s="9"/>
      <c r="O179" s="9"/>
      <c r="P179" s="9"/>
      <c r="Q179" s="9"/>
      <c r="R179" s="9"/>
      <c r="S179" s="9"/>
      <c r="T179" s="9"/>
      <c r="U179" s="1">
        <f t="shared" ref="U179" si="138">U178</f>
        <v>5</v>
      </c>
      <c r="V179" s="1">
        <f t="shared" ref="V179" si="139">V178+1</f>
        <v>202</v>
      </c>
    </row>
    <row r="180" spans="1:22" x14ac:dyDescent="0.3">
      <c r="A180" s="1">
        <f t="shared" si="136"/>
        <v>5203</v>
      </c>
      <c r="B180" s="96" t="s">
        <v>12</v>
      </c>
      <c r="C180" s="97"/>
      <c r="D180" s="110" t="s">
        <v>262</v>
      </c>
      <c r="E180" s="111"/>
      <c r="F180" s="111"/>
      <c r="G180" s="111"/>
      <c r="H180" s="112"/>
      <c r="K180" s="1" t="s">
        <v>3</v>
      </c>
      <c r="L180" s="1" t="s">
        <v>4</v>
      </c>
      <c r="M180" s="1" t="s">
        <v>5</v>
      </c>
      <c r="N180" s="1" t="s">
        <v>6</v>
      </c>
      <c r="O180" s="1" t="s">
        <v>7</v>
      </c>
      <c r="P180" s="1" t="s">
        <v>8</v>
      </c>
      <c r="Q180" s="1" t="s">
        <v>9</v>
      </c>
      <c r="R180" s="1" t="s">
        <v>10</v>
      </c>
      <c r="S180" s="1" t="s">
        <v>11</v>
      </c>
      <c r="T180" s="9"/>
      <c r="U180" s="1">
        <f t="shared" si="118"/>
        <v>5</v>
      </c>
      <c r="V180" s="1">
        <f t="shared" si="119"/>
        <v>203</v>
      </c>
    </row>
    <row r="181" spans="1:22" x14ac:dyDescent="0.3">
      <c r="A181" s="1">
        <f t="shared" si="136"/>
        <v>5204</v>
      </c>
      <c r="B181" s="96" t="s">
        <v>13</v>
      </c>
      <c r="C181" s="97"/>
      <c r="D181" s="110" t="s">
        <v>65</v>
      </c>
      <c r="E181" s="111"/>
      <c r="F181" s="111"/>
      <c r="G181" s="111"/>
      <c r="H181" s="112"/>
      <c r="J181" s="1">
        <f>COUNTA(B194:B203)</f>
        <v>3</v>
      </c>
      <c r="K181" s="1">
        <f t="shared" ref="K181" si="140">IF(L181-1&lt;2,0,L181-1)</f>
        <v>0</v>
      </c>
      <c r="L181" s="1">
        <f t="shared" ref="L181" si="141">IF(M181-1&lt;2,0,M181-1)</f>
        <v>0</v>
      </c>
      <c r="M181" s="1">
        <f t="shared" ref="M181" si="142">IF(N181-1&lt;2,0,N181-1)</f>
        <v>0</v>
      </c>
      <c r="N181" s="1">
        <f t="shared" ref="N181" si="143">IF(O181-1&lt;2,0,O181-1)</f>
        <v>0</v>
      </c>
      <c r="O181" s="1">
        <f t="shared" ref="O181" si="144">IF(P181-1&lt;2,0,P181-1)</f>
        <v>0</v>
      </c>
      <c r="P181" s="1">
        <f t="shared" ref="P181" si="145">IF(Q181-1&lt;2,0,Q181-1)</f>
        <v>0</v>
      </c>
      <c r="Q181" s="1">
        <f t="shared" ref="Q181" si="146">IF(R181-1&lt;2,0,R181-1)</f>
        <v>0</v>
      </c>
      <c r="R181" s="1">
        <f>IF(S181-1&lt;2,0,S181-1)</f>
        <v>2</v>
      </c>
      <c r="S181" s="1">
        <f>J181</f>
        <v>3</v>
      </c>
      <c r="T181" s="9"/>
      <c r="U181" s="1">
        <f t="shared" si="118"/>
        <v>5</v>
      </c>
      <c r="V181" s="1">
        <f t="shared" si="119"/>
        <v>204</v>
      </c>
    </row>
    <row r="182" spans="1:22" x14ac:dyDescent="0.3">
      <c r="A182" s="1">
        <f t="shared" si="136"/>
        <v>5205</v>
      </c>
      <c r="B182" s="96" t="s">
        <v>14</v>
      </c>
      <c r="C182" s="97"/>
      <c r="D182" s="110" t="s">
        <v>66</v>
      </c>
      <c r="E182" s="111"/>
      <c r="F182" s="111"/>
      <c r="G182" s="111"/>
      <c r="H182" s="112"/>
      <c r="J182" s="24" t="str">
        <f>CONCATENATE(J181,1)</f>
        <v>31</v>
      </c>
      <c r="K182" s="25">
        <f>IF(K181=0,0,VLOOKUP(J182,J186:S216,K181,FALSE))</f>
        <v>0</v>
      </c>
      <c r="L182" s="25">
        <f>IF(L181=0,0,VLOOKUP(J182,J186:S216,L181,FALSE))</f>
        <v>0</v>
      </c>
      <c r="M182" s="25">
        <f>IF(M181=0,0,VLOOKUP(J182,J186:S216,M181,FALSE))</f>
        <v>0</v>
      </c>
      <c r="N182" s="25">
        <f>IF(N181=0,0,VLOOKUP(J182,J186:S216,N181,FALSE))</f>
        <v>0</v>
      </c>
      <c r="O182" s="25">
        <f>IF(O181=0,0,VLOOKUP(J182,J186:S216,O181,FALSE))</f>
        <v>0</v>
      </c>
      <c r="P182" s="25">
        <f>IF(P181=0,0,VLOOKUP(J182,J186:S216,P181,FALSE))</f>
        <v>0</v>
      </c>
      <c r="Q182" s="25">
        <f>IF(Q181=0,0,VLOOKUP(J182,J186:S216,Q181,FALSE))</f>
        <v>0</v>
      </c>
      <c r="R182" s="25">
        <f>IF(R181=0,0,VLOOKUP(J182,J186:S216,R181,FALSE))</f>
        <v>1.0146500271296797</v>
      </c>
      <c r="S182" s="25">
        <f>IF(S181=0,0,VLOOKUP(J182,J186:S216,S181,FALSE))</f>
        <v>-2.8106348345089387</v>
      </c>
      <c r="T182" s="9"/>
      <c r="U182" s="1">
        <f t="shared" si="118"/>
        <v>5</v>
      </c>
      <c r="V182" s="1">
        <f t="shared" si="119"/>
        <v>205</v>
      </c>
    </row>
    <row r="183" spans="1:22" x14ac:dyDescent="0.3">
      <c r="A183" s="1">
        <f t="shared" si="136"/>
        <v>5206</v>
      </c>
      <c r="B183" s="96" t="s">
        <v>15</v>
      </c>
      <c r="C183" s="97"/>
      <c r="D183" s="141" t="s">
        <v>347</v>
      </c>
      <c r="E183" s="141"/>
      <c r="F183" s="141"/>
      <c r="G183" s="141"/>
      <c r="H183" s="141"/>
      <c r="J183" s="24" t="str">
        <f>CONCATENATE(J181,2)</f>
        <v>32</v>
      </c>
      <c r="K183" s="6">
        <f>IF(K181=0,0,VLOOKUP(J183,J186:S216,K181,FALSE))</f>
        <v>0</v>
      </c>
      <c r="L183" s="6">
        <f>IF(L181=0,0,VLOOKUP(J183,J186:S216,L181,FALSE))</f>
        <v>0</v>
      </c>
      <c r="M183" s="6">
        <f>IF(M181=0,0,VLOOKUP(J183,J186:S216,M181,FALSE))</f>
        <v>0</v>
      </c>
      <c r="N183" s="6">
        <f>IF(N181=0,0,VLOOKUP(J183,J186:S216,N181,FALSE))</f>
        <v>0</v>
      </c>
      <c r="O183" s="6">
        <f>IF(O181=0,0,VLOOKUP(J183,J186:S216,O181,FALSE))</f>
        <v>0</v>
      </c>
      <c r="P183" s="6">
        <f>IF(P181=0,0,VLOOKUP(J183,J186:S216,P181,FALSE))</f>
        <v>0</v>
      </c>
      <c r="Q183" s="6">
        <f>IF(Q181=0,0,VLOOKUP(J183,J186:S216,Q181,FALSE))</f>
        <v>0</v>
      </c>
      <c r="R183" s="6">
        <f>IF(R181=0,0,VLOOKUP(J183,J186:S216,R181,FALSE))</f>
        <v>3.7591987142026405E-2</v>
      </c>
      <c r="S183" s="6">
        <f>IF(S181=0,0,VLOOKUP(J183,J186:S216,S181,FALSE))</f>
        <v>2.2148455308620885</v>
      </c>
      <c r="T183" s="9"/>
      <c r="U183" s="1">
        <f t="shared" si="118"/>
        <v>5</v>
      </c>
      <c r="V183" s="1">
        <f t="shared" si="119"/>
        <v>206</v>
      </c>
    </row>
    <row r="184" spans="1:22" x14ac:dyDescent="0.3">
      <c r="A184" s="1">
        <f t="shared" si="136"/>
        <v>5207</v>
      </c>
      <c r="B184" s="96" t="s">
        <v>16</v>
      </c>
      <c r="C184" s="97"/>
      <c r="D184" s="121">
        <v>46056</v>
      </c>
      <c r="E184" s="121"/>
      <c r="F184" s="121"/>
      <c r="G184" s="121"/>
      <c r="H184" s="121"/>
      <c r="J184" s="24" t="str">
        <f>CONCATENATE(J181,3)</f>
        <v>33</v>
      </c>
      <c r="K184" s="6"/>
      <c r="L184" s="6"/>
      <c r="M184" s="6"/>
      <c r="N184" s="6" t="s">
        <v>43</v>
      </c>
      <c r="O184" s="25">
        <f>J181-2</f>
        <v>1</v>
      </c>
      <c r="P184" s="6" t="s">
        <v>44</v>
      </c>
      <c r="Q184" s="25">
        <f>VLOOKUP(J184,J186:S216,3,FALSE)</f>
        <v>1.3176871827811567</v>
      </c>
      <c r="R184" s="6" t="s">
        <v>45</v>
      </c>
      <c r="S184" s="6">
        <f>VLOOKUP(J184,J186:S216,2,FALSE)</f>
        <v>0.9986292372276323</v>
      </c>
      <c r="T184" s="9"/>
      <c r="U184" s="1">
        <f t="shared" si="118"/>
        <v>5</v>
      </c>
      <c r="V184" s="1">
        <f t="shared" si="119"/>
        <v>207</v>
      </c>
    </row>
    <row r="185" spans="1:22" ht="15" customHeight="1" x14ac:dyDescent="0.3">
      <c r="A185" s="1">
        <f t="shared" si="136"/>
        <v>5208</v>
      </c>
      <c r="B185" s="96" t="s">
        <v>17</v>
      </c>
      <c r="C185" s="97"/>
      <c r="D185" s="122">
        <v>46446</v>
      </c>
      <c r="E185" s="122"/>
      <c r="F185" s="122"/>
      <c r="G185" s="122"/>
      <c r="H185" s="122"/>
      <c r="K185" s="1">
        <v>3</v>
      </c>
      <c r="L185" s="1">
        <v>3</v>
      </c>
      <c r="Q185" s="26"/>
      <c r="R185" s="26"/>
      <c r="S185" s="26"/>
      <c r="T185" s="9"/>
      <c r="U185" s="1">
        <f t="shared" si="118"/>
        <v>5</v>
      </c>
      <c r="V185" s="1">
        <f t="shared" si="119"/>
        <v>208</v>
      </c>
    </row>
    <row r="186" spans="1:22" x14ac:dyDescent="0.3">
      <c r="A186" s="1">
        <f t="shared" si="136"/>
        <v>5209</v>
      </c>
      <c r="B186" s="77" t="s">
        <v>19</v>
      </c>
      <c r="C186" s="78"/>
      <c r="D186" s="17">
        <v>1</v>
      </c>
      <c r="E186" s="79" t="s">
        <v>40</v>
      </c>
      <c r="F186" s="80"/>
      <c r="G186" s="81"/>
      <c r="H186" s="18" t="s">
        <v>72</v>
      </c>
      <c r="J186" s="24" t="str">
        <f>CONCATENATE(K185,1)</f>
        <v>31</v>
      </c>
      <c r="K186" s="6">
        <f t="array" ref="K186:L188">LINEST(B194:B196,C194:C196^{1},TRUE,TRUE)</f>
        <v>1.0146500271296797</v>
      </c>
      <c r="L186" s="6">
        <v>-2.8106348345089387</v>
      </c>
      <c r="Q186" s="9"/>
      <c r="R186" s="9"/>
      <c r="S186" s="9"/>
      <c r="T186" s="9"/>
      <c r="U186" s="1">
        <f t="shared" si="118"/>
        <v>5</v>
      </c>
      <c r="V186" s="1">
        <f t="shared" si="119"/>
        <v>209</v>
      </c>
    </row>
    <row r="187" spans="1:22" x14ac:dyDescent="0.3">
      <c r="A187" s="1">
        <f t="shared" si="136"/>
        <v>5210</v>
      </c>
      <c r="B187" s="77" t="s">
        <v>41</v>
      </c>
      <c r="C187" s="78"/>
      <c r="D187" s="23">
        <f>MIN(B194:B203)</f>
        <v>30</v>
      </c>
      <c r="E187" s="20" t="s">
        <v>18</v>
      </c>
      <c r="F187" s="19">
        <f>MAX(B194:B203)</f>
        <v>80</v>
      </c>
      <c r="G187" s="21" t="str">
        <f>IF(H186="","",H186)</f>
        <v>%ur</v>
      </c>
      <c r="H187" s="22"/>
      <c r="J187" s="24" t="str">
        <f>CONCATENATE(K185,2)</f>
        <v>32</v>
      </c>
      <c r="K187" s="6">
        <v>3.7591987142026405E-2</v>
      </c>
      <c r="L187" s="6">
        <v>2.2148455308620885</v>
      </c>
      <c r="Q187" s="9"/>
      <c r="R187" s="9"/>
      <c r="S187" s="9"/>
      <c r="T187" s="9"/>
      <c r="U187" s="1">
        <f t="shared" si="118"/>
        <v>5</v>
      </c>
      <c r="V187" s="1">
        <f t="shared" si="119"/>
        <v>210</v>
      </c>
    </row>
    <row r="188" spans="1:22" x14ac:dyDescent="0.3">
      <c r="A188" s="1">
        <f t="shared" si="136"/>
        <v>5211</v>
      </c>
      <c r="J188" s="24" t="str">
        <f>CONCATENATE(K185,3)</f>
        <v>33</v>
      </c>
      <c r="K188" s="6">
        <v>0.9986292372276323</v>
      </c>
      <c r="L188" s="6">
        <v>1.3176871827811567</v>
      </c>
      <c r="Q188" s="9"/>
      <c r="R188" s="9"/>
      <c r="S188" s="9"/>
      <c r="T188" s="9"/>
      <c r="U188" s="1">
        <f t="shared" si="118"/>
        <v>5</v>
      </c>
      <c r="V188" s="1">
        <f t="shared" si="119"/>
        <v>211</v>
      </c>
    </row>
    <row r="189" spans="1:22" x14ac:dyDescent="0.3">
      <c r="A189" s="1">
        <f t="shared" si="136"/>
        <v>5212</v>
      </c>
      <c r="B189" s="82" t="s">
        <v>20</v>
      </c>
      <c r="C189" s="83"/>
      <c r="D189" s="83"/>
      <c r="E189" s="83"/>
      <c r="F189" s="84"/>
      <c r="G189" s="85" t="s">
        <v>31</v>
      </c>
      <c r="H189" s="86"/>
      <c r="K189" s="1">
        <v>4</v>
      </c>
      <c r="L189" s="1">
        <v>4</v>
      </c>
      <c r="M189" s="1">
        <v>4</v>
      </c>
      <c r="Q189" s="9"/>
      <c r="R189" s="9"/>
      <c r="S189" s="9"/>
      <c r="T189" s="9"/>
      <c r="U189" s="1">
        <f t="shared" si="118"/>
        <v>5</v>
      </c>
      <c r="V189" s="1">
        <f t="shared" si="119"/>
        <v>212</v>
      </c>
    </row>
    <row r="190" spans="1:22" x14ac:dyDescent="0.3">
      <c r="A190" s="1">
        <f t="shared" si="136"/>
        <v>5213</v>
      </c>
      <c r="B190" s="82" t="s">
        <v>30</v>
      </c>
      <c r="C190" s="83"/>
      <c r="D190" s="84"/>
      <c r="E190" s="82" t="str">
        <f>D183</f>
        <v>E0051/26</v>
      </c>
      <c r="F190" s="84"/>
      <c r="G190" s="6" t="s">
        <v>32</v>
      </c>
      <c r="H190" s="36" t="s">
        <v>263</v>
      </c>
      <c r="J190" s="24" t="str">
        <f t="shared" ref="J190" si="147">CONCATENATE(K189,1)</f>
        <v>41</v>
      </c>
      <c r="K190" s="6" t="e">
        <f t="array" ref="K190:M192">LINEST(B194:B197,C194:C197^{1,2},TRUE,TRUE)</f>
        <v>#VALUE!</v>
      </c>
      <c r="L190" s="6" t="e">
        <v>#VALUE!</v>
      </c>
      <c r="M190" s="6" t="e">
        <v>#VALUE!</v>
      </c>
      <c r="Q190" s="9"/>
      <c r="R190" s="9"/>
      <c r="S190" s="9"/>
      <c r="T190" s="9"/>
      <c r="U190" s="1">
        <f t="shared" si="118"/>
        <v>5</v>
      </c>
      <c r="V190" s="1">
        <f t="shared" si="119"/>
        <v>213</v>
      </c>
    </row>
    <row r="191" spans="1:22" x14ac:dyDescent="0.3">
      <c r="A191" s="1">
        <f t="shared" si="136"/>
        <v>5214</v>
      </c>
      <c r="B191" s="2" t="s">
        <v>21</v>
      </c>
      <c r="C191" s="2" t="s">
        <v>22</v>
      </c>
      <c r="D191" s="2" t="s">
        <v>23</v>
      </c>
      <c r="E191" s="2"/>
      <c r="F191" s="2" t="s">
        <v>28</v>
      </c>
      <c r="G191" s="2" t="s">
        <v>21</v>
      </c>
      <c r="H191" s="2" t="s">
        <v>22</v>
      </c>
      <c r="J191" s="24" t="str">
        <f t="shared" ref="J191" si="148">CONCATENATE(K189,2)</f>
        <v>42</v>
      </c>
      <c r="K191" s="6" t="e">
        <v>#VALUE!</v>
      </c>
      <c r="L191" s="6" t="e">
        <v>#VALUE!</v>
      </c>
      <c r="M191" s="6" t="e">
        <v>#VALUE!</v>
      </c>
      <c r="Q191" s="9"/>
      <c r="R191" s="9"/>
      <c r="S191" s="9"/>
      <c r="T191" s="9"/>
      <c r="U191" s="1">
        <f t="shared" si="118"/>
        <v>5</v>
      </c>
      <c r="V191" s="1">
        <f t="shared" si="119"/>
        <v>214</v>
      </c>
    </row>
    <row r="192" spans="1:22" x14ac:dyDescent="0.3">
      <c r="A192" s="1">
        <f t="shared" si="136"/>
        <v>5215</v>
      </c>
      <c r="B192" s="2" t="s">
        <v>24</v>
      </c>
      <c r="C192" s="2" t="s">
        <v>25</v>
      </c>
      <c r="D192" s="2" t="s">
        <v>26</v>
      </c>
      <c r="E192" s="2" t="s">
        <v>27</v>
      </c>
      <c r="F192" s="2" t="s">
        <v>29</v>
      </c>
      <c r="G192" s="2" t="s">
        <v>24</v>
      </c>
      <c r="H192" s="2" t="s">
        <v>25</v>
      </c>
      <c r="J192" s="24" t="str">
        <f t="shared" ref="J192" si="149">CONCATENATE(K189,3)</f>
        <v>43</v>
      </c>
      <c r="K192" s="6" t="e">
        <v>#VALUE!</v>
      </c>
      <c r="L192" s="6" t="e">
        <v>#VALUE!</v>
      </c>
      <c r="M192" s="6" t="e">
        <v>#VALUE!</v>
      </c>
      <c r="Q192" s="9"/>
      <c r="R192" s="9"/>
      <c r="S192" s="9"/>
      <c r="T192" s="9"/>
      <c r="U192" s="1">
        <f t="shared" si="118"/>
        <v>5</v>
      </c>
      <c r="V192" s="1">
        <f t="shared" si="119"/>
        <v>215</v>
      </c>
    </row>
    <row r="193" spans="1:22" x14ac:dyDescent="0.3">
      <c r="A193" s="1">
        <f t="shared" si="136"/>
        <v>5216</v>
      </c>
      <c r="B193" s="3" t="str">
        <f>H186</f>
        <v>%ur</v>
      </c>
      <c r="C193" s="3" t="str">
        <f>B193</f>
        <v>%ur</v>
      </c>
      <c r="D193" s="3" t="str">
        <f>C193</f>
        <v>%ur</v>
      </c>
      <c r="E193" s="3"/>
      <c r="F193" s="3"/>
      <c r="G193" s="3" t="str">
        <f>D193</f>
        <v>%ur</v>
      </c>
      <c r="H193" s="3" t="str">
        <f>G193</f>
        <v>%ur</v>
      </c>
      <c r="K193" s="1">
        <v>5</v>
      </c>
      <c r="L193" s="1">
        <v>5</v>
      </c>
      <c r="M193" s="1">
        <v>5</v>
      </c>
      <c r="N193" s="1">
        <v>5</v>
      </c>
      <c r="Q193" s="9"/>
      <c r="R193" s="9"/>
      <c r="S193" s="9"/>
      <c r="T193" s="9"/>
      <c r="U193" s="1">
        <f t="shared" si="118"/>
        <v>5</v>
      </c>
      <c r="V193" s="1">
        <f t="shared" si="119"/>
        <v>216</v>
      </c>
    </row>
    <row r="194" spans="1:22" x14ac:dyDescent="0.3">
      <c r="A194" s="1">
        <f t="shared" si="136"/>
        <v>5217</v>
      </c>
      <c r="B194" s="4">
        <v>30</v>
      </c>
      <c r="C194" s="4">
        <v>33</v>
      </c>
      <c r="D194" s="4">
        <v>2</v>
      </c>
      <c r="E194" s="4">
        <v>2</v>
      </c>
      <c r="F194" s="14">
        <v>1000000</v>
      </c>
      <c r="G194" s="8">
        <v>30</v>
      </c>
      <c r="H194" s="7">
        <v>33</v>
      </c>
      <c r="J194" s="24" t="str">
        <f t="shared" ref="J194" si="150">CONCATENATE(K193,1)</f>
        <v>51</v>
      </c>
      <c r="K194" s="6" t="e">
        <f t="array" ref="K194:N196">LINEST(B194:B198,C194:C198^{1,2,3},TRUE,TRUE)</f>
        <v>#VALUE!</v>
      </c>
      <c r="L194" s="6" t="e">
        <v>#VALUE!</v>
      </c>
      <c r="M194" s="6" t="e">
        <v>#VALUE!</v>
      </c>
      <c r="N194" s="6" t="e">
        <v>#VALUE!</v>
      </c>
      <c r="Q194" s="9"/>
      <c r="R194" s="9"/>
      <c r="S194" s="9"/>
      <c r="T194" s="9"/>
      <c r="U194" s="1">
        <f t="shared" si="118"/>
        <v>5</v>
      </c>
      <c r="V194" s="1">
        <f t="shared" si="119"/>
        <v>217</v>
      </c>
    </row>
    <row r="195" spans="1:22" x14ac:dyDescent="0.3">
      <c r="A195" s="1">
        <f t="shared" si="136"/>
        <v>5218</v>
      </c>
      <c r="B195" s="4">
        <v>50</v>
      </c>
      <c r="C195" s="4">
        <v>51</v>
      </c>
      <c r="D195" s="4">
        <v>2</v>
      </c>
      <c r="E195" s="4">
        <v>2</v>
      </c>
      <c r="F195" s="14">
        <v>1000000</v>
      </c>
      <c r="G195" s="8">
        <v>50</v>
      </c>
      <c r="H195" s="7">
        <v>49</v>
      </c>
      <c r="J195" s="24" t="str">
        <f t="shared" ref="J195" si="151">CONCATENATE(K193,2)</f>
        <v>52</v>
      </c>
      <c r="K195" s="6" t="e">
        <v>#VALUE!</v>
      </c>
      <c r="L195" s="6" t="e">
        <v>#VALUE!</v>
      </c>
      <c r="M195" s="6" t="e">
        <v>#VALUE!</v>
      </c>
      <c r="N195" s="6" t="e">
        <v>#VALUE!</v>
      </c>
      <c r="T195" s="9"/>
      <c r="U195" s="1">
        <f t="shared" si="118"/>
        <v>5</v>
      </c>
      <c r="V195" s="1">
        <f t="shared" si="119"/>
        <v>218</v>
      </c>
    </row>
    <row r="196" spans="1:22" x14ac:dyDescent="0.3">
      <c r="A196" s="1">
        <f t="shared" si="136"/>
        <v>5219</v>
      </c>
      <c r="B196" s="4">
        <v>80</v>
      </c>
      <c r="C196" s="4">
        <v>82</v>
      </c>
      <c r="D196" s="4">
        <v>2</v>
      </c>
      <c r="E196" s="4">
        <v>2</v>
      </c>
      <c r="F196" s="14">
        <v>1000000</v>
      </c>
      <c r="G196" s="8">
        <v>80</v>
      </c>
      <c r="H196" s="7">
        <v>74</v>
      </c>
      <c r="J196" s="24" t="str">
        <f t="shared" ref="J196" si="152">CONCATENATE(K193,3)</f>
        <v>53</v>
      </c>
      <c r="K196" s="6" t="e">
        <v>#VALUE!</v>
      </c>
      <c r="L196" s="6" t="e">
        <v>#VALUE!</v>
      </c>
      <c r="M196" s="6" t="e">
        <v>#VALUE!</v>
      </c>
      <c r="N196" s="6" t="e">
        <v>#VALUE!</v>
      </c>
      <c r="T196" s="9"/>
      <c r="U196" s="1">
        <f t="shared" si="118"/>
        <v>5</v>
      </c>
      <c r="V196" s="1">
        <f t="shared" si="119"/>
        <v>219</v>
      </c>
    </row>
    <row r="197" spans="1:22" x14ac:dyDescent="0.3">
      <c r="A197" s="1">
        <f t="shared" si="136"/>
        <v>5220</v>
      </c>
      <c r="B197" s="4"/>
      <c r="C197" s="4"/>
      <c r="D197" s="4"/>
      <c r="E197" s="4"/>
      <c r="F197" s="14"/>
      <c r="G197" s="8"/>
      <c r="H197" s="7"/>
      <c r="K197" s="1">
        <v>6</v>
      </c>
      <c r="L197" s="1">
        <v>6</v>
      </c>
      <c r="M197" s="1">
        <v>6</v>
      </c>
      <c r="N197" s="1">
        <v>6</v>
      </c>
      <c r="O197" s="1">
        <v>6</v>
      </c>
      <c r="T197" s="9"/>
      <c r="U197" s="1">
        <f t="shared" si="118"/>
        <v>5</v>
      </c>
      <c r="V197" s="1">
        <f t="shared" si="119"/>
        <v>220</v>
      </c>
    </row>
    <row r="198" spans="1:22" x14ac:dyDescent="0.3">
      <c r="A198" s="1">
        <f t="shared" si="136"/>
        <v>5221</v>
      </c>
      <c r="B198" s="4"/>
      <c r="C198" s="4"/>
      <c r="D198" s="4"/>
      <c r="E198" s="4"/>
      <c r="F198" s="14"/>
      <c r="G198" s="8"/>
      <c r="H198" s="7"/>
      <c r="J198" s="24" t="str">
        <f t="shared" ref="J198" si="153">CONCATENATE(K197,1)</f>
        <v>61</v>
      </c>
      <c r="K198" s="6" t="e">
        <f t="array" ref="K198:O200">LINEST(B194:B199,C194:C199^{1,2,3,4},TRUE,TRUE)</f>
        <v>#VALUE!</v>
      </c>
      <c r="L198" s="6" t="e">
        <v>#VALUE!</v>
      </c>
      <c r="M198" s="6" t="e">
        <v>#VALUE!</v>
      </c>
      <c r="N198" s="6" t="e">
        <v>#VALUE!</v>
      </c>
      <c r="O198" s="6" t="e">
        <v>#VALUE!</v>
      </c>
      <c r="T198" s="9"/>
      <c r="U198" s="1">
        <f t="shared" si="118"/>
        <v>5</v>
      </c>
      <c r="V198" s="1">
        <f t="shared" si="119"/>
        <v>221</v>
      </c>
    </row>
    <row r="199" spans="1:22" x14ac:dyDescent="0.3">
      <c r="A199" s="1">
        <f t="shared" si="136"/>
        <v>5222</v>
      </c>
      <c r="B199" s="4"/>
      <c r="C199" s="4"/>
      <c r="D199" s="4"/>
      <c r="E199" s="4"/>
      <c r="F199" s="14"/>
      <c r="G199" s="8"/>
      <c r="H199" s="7"/>
      <c r="J199" s="24" t="str">
        <f t="shared" ref="J199" si="154">CONCATENATE(K197,2)</f>
        <v>62</v>
      </c>
      <c r="K199" s="6" t="e">
        <v>#VALUE!</v>
      </c>
      <c r="L199" s="6" t="e">
        <v>#VALUE!</v>
      </c>
      <c r="M199" s="6" t="e">
        <v>#VALUE!</v>
      </c>
      <c r="N199" s="6" t="e">
        <v>#VALUE!</v>
      </c>
      <c r="O199" s="6" t="e">
        <v>#VALUE!</v>
      </c>
      <c r="T199" s="9"/>
      <c r="U199" s="1">
        <f t="shared" si="118"/>
        <v>5</v>
      </c>
      <c r="V199" s="1">
        <f t="shared" si="119"/>
        <v>222</v>
      </c>
    </row>
    <row r="200" spans="1:22" x14ac:dyDescent="0.3">
      <c r="A200" s="1">
        <f t="shared" si="136"/>
        <v>5223</v>
      </c>
      <c r="B200" s="4"/>
      <c r="C200" s="4"/>
      <c r="D200" s="4"/>
      <c r="E200" s="4"/>
      <c r="F200" s="14"/>
      <c r="G200" s="8"/>
      <c r="H200" s="7"/>
      <c r="J200" s="24" t="str">
        <f t="shared" ref="J200" si="155">CONCATENATE(K197,3)</f>
        <v>63</v>
      </c>
      <c r="K200" s="6" t="e">
        <v>#VALUE!</v>
      </c>
      <c r="L200" s="6" t="e">
        <v>#VALUE!</v>
      </c>
      <c r="M200" s="6" t="e">
        <v>#VALUE!</v>
      </c>
      <c r="N200" s="6" t="e">
        <v>#VALUE!</v>
      </c>
      <c r="O200" s="6" t="e">
        <v>#VALUE!</v>
      </c>
      <c r="T200" s="9"/>
      <c r="U200" s="1">
        <f t="shared" si="118"/>
        <v>5</v>
      </c>
      <c r="V200" s="1">
        <f t="shared" si="119"/>
        <v>223</v>
      </c>
    </row>
    <row r="201" spans="1:22" x14ac:dyDescent="0.3">
      <c r="A201" s="1">
        <f t="shared" si="136"/>
        <v>5224</v>
      </c>
      <c r="B201" s="4"/>
      <c r="C201" s="4"/>
      <c r="D201" s="4"/>
      <c r="E201" s="4"/>
      <c r="F201" s="14"/>
      <c r="G201" s="8"/>
      <c r="H201" s="7"/>
      <c r="K201" s="1">
        <v>7</v>
      </c>
      <c r="L201" s="1">
        <v>7</v>
      </c>
      <c r="M201" s="1">
        <v>7</v>
      </c>
      <c r="N201" s="1">
        <v>7</v>
      </c>
      <c r="O201" s="1">
        <v>7</v>
      </c>
      <c r="P201" s="1">
        <v>7</v>
      </c>
      <c r="T201" s="9"/>
      <c r="U201" s="1">
        <f t="shared" si="118"/>
        <v>5</v>
      </c>
      <c r="V201" s="1">
        <f t="shared" si="119"/>
        <v>224</v>
      </c>
    </row>
    <row r="202" spans="1:22" x14ac:dyDescent="0.3">
      <c r="A202" s="1">
        <f t="shared" si="136"/>
        <v>5225</v>
      </c>
      <c r="B202" s="4"/>
      <c r="C202" s="4"/>
      <c r="D202" s="4"/>
      <c r="E202" s="4"/>
      <c r="F202" s="14"/>
      <c r="G202" s="8"/>
      <c r="H202" s="7"/>
      <c r="J202" s="24" t="str">
        <f t="shared" ref="J202" si="156">CONCATENATE(K201,1)</f>
        <v>71</v>
      </c>
      <c r="K202" s="6" t="e">
        <f t="array" ref="K202:P204">LINEST(B194:B200,C194:C200^{1,2,3,4,5},TRUE,TRUE)</f>
        <v>#VALUE!</v>
      </c>
      <c r="L202" s="6" t="e">
        <v>#VALUE!</v>
      </c>
      <c r="M202" s="6" t="e">
        <v>#VALUE!</v>
      </c>
      <c r="N202" s="6" t="e">
        <v>#VALUE!</v>
      </c>
      <c r="O202" s="6" t="e">
        <v>#VALUE!</v>
      </c>
      <c r="P202" s="6" t="e">
        <v>#VALUE!</v>
      </c>
      <c r="T202" s="9"/>
      <c r="U202" s="1">
        <f t="shared" si="118"/>
        <v>5</v>
      </c>
      <c r="V202" s="1">
        <f t="shared" si="119"/>
        <v>225</v>
      </c>
    </row>
    <row r="203" spans="1:22" x14ac:dyDescent="0.3">
      <c r="A203" s="1">
        <f t="shared" si="136"/>
        <v>5226</v>
      </c>
      <c r="B203" s="4"/>
      <c r="C203" s="4"/>
      <c r="D203" s="4"/>
      <c r="E203" s="4"/>
      <c r="F203" s="14"/>
      <c r="G203" s="8"/>
      <c r="H203" s="7"/>
      <c r="J203" s="24" t="str">
        <f t="shared" ref="J203" si="157">CONCATENATE(K201,2)</f>
        <v>72</v>
      </c>
      <c r="K203" s="6" t="e">
        <v>#VALUE!</v>
      </c>
      <c r="L203" s="6" t="e">
        <v>#VALUE!</v>
      </c>
      <c r="M203" s="6" t="e">
        <v>#VALUE!</v>
      </c>
      <c r="N203" s="6" t="e">
        <v>#VALUE!</v>
      </c>
      <c r="O203" s="6" t="e">
        <v>#VALUE!</v>
      </c>
      <c r="P203" s="6" t="e">
        <v>#VALUE!</v>
      </c>
      <c r="T203" s="9"/>
      <c r="U203" s="1">
        <f t="shared" si="118"/>
        <v>5</v>
      </c>
      <c r="V203" s="1">
        <f t="shared" si="119"/>
        <v>226</v>
      </c>
    </row>
    <row r="204" spans="1:22" x14ac:dyDescent="0.3">
      <c r="A204" s="1">
        <f t="shared" si="136"/>
        <v>5227</v>
      </c>
      <c r="B204" s="9"/>
      <c r="C204" s="9"/>
      <c r="D204" s="9"/>
      <c r="E204" s="9"/>
      <c r="F204" s="9"/>
      <c r="G204" s="9"/>
      <c r="H204" s="9"/>
      <c r="J204" s="24" t="str">
        <f t="shared" ref="J204" si="158">CONCATENATE(K201,3)</f>
        <v>73</v>
      </c>
      <c r="K204" s="6" t="e">
        <v>#VALUE!</v>
      </c>
      <c r="L204" s="6" t="e">
        <v>#VALUE!</v>
      </c>
      <c r="M204" s="6" t="e">
        <v>#VALUE!</v>
      </c>
      <c r="N204" s="6" t="e">
        <v>#VALUE!</v>
      </c>
      <c r="O204" s="6" t="e">
        <v>#VALUE!</v>
      </c>
      <c r="P204" s="6" t="e">
        <v>#VALUE!</v>
      </c>
      <c r="T204" s="9"/>
      <c r="U204" s="1">
        <f t="shared" si="118"/>
        <v>5</v>
      </c>
      <c r="V204" s="1">
        <f t="shared" si="119"/>
        <v>227</v>
      </c>
    </row>
    <row r="205" spans="1:22" x14ac:dyDescent="0.3">
      <c r="A205" s="1">
        <f t="shared" si="136"/>
        <v>5228</v>
      </c>
      <c r="B205" s="87" t="s">
        <v>33</v>
      </c>
      <c r="C205" s="88"/>
      <c r="D205" s="88"/>
      <c r="E205" s="88"/>
      <c r="F205" s="88"/>
      <c r="G205" s="88"/>
      <c r="H205" s="89"/>
      <c r="K205" s="1">
        <v>8</v>
      </c>
      <c r="L205" s="1">
        <v>8</v>
      </c>
      <c r="M205" s="1">
        <v>8</v>
      </c>
      <c r="N205" s="1">
        <v>8</v>
      </c>
      <c r="O205" s="1">
        <v>8</v>
      </c>
      <c r="P205" s="1">
        <v>8</v>
      </c>
      <c r="Q205" s="1">
        <v>8</v>
      </c>
      <c r="T205" s="9"/>
      <c r="U205" s="1">
        <f t="shared" si="118"/>
        <v>5</v>
      </c>
      <c r="V205" s="1">
        <f t="shared" si="119"/>
        <v>228</v>
      </c>
    </row>
    <row r="206" spans="1:22" x14ac:dyDescent="0.3">
      <c r="A206" s="1">
        <f t="shared" si="136"/>
        <v>5229</v>
      </c>
      <c r="B206" s="90"/>
      <c r="C206" s="91"/>
      <c r="D206" s="91"/>
      <c r="E206" s="91"/>
      <c r="F206" s="91"/>
      <c r="G206" s="91"/>
      <c r="H206" s="92"/>
      <c r="J206" s="24" t="str">
        <f t="shared" ref="J206" si="159">CONCATENATE(K205,1)</f>
        <v>81</v>
      </c>
      <c r="K206" s="6" t="e">
        <f t="array" ref="K206:Q208">LINEST(B194:B201,C194:C201^{1,2,3,4,5,6},TRUE,TRUE)</f>
        <v>#VALUE!</v>
      </c>
      <c r="L206" s="6" t="e">
        <v>#VALUE!</v>
      </c>
      <c r="M206" s="6" t="e">
        <v>#VALUE!</v>
      </c>
      <c r="N206" s="6" t="e">
        <v>#VALUE!</v>
      </c>
      <c r="O206" s="6" t="e">
        <v>#VALUE!</v>
      </c>
      <c r="P206" s="6" t="e">
        <v>#VALUE!</v>
      </c>
      <c r="Q206" s="6" t="e">
        <v>#VALUE!</v>
      </c>
      <c r="T206" s="9"/>
      <c r="U206" s="1">
        <f t="shared" si="118"/>
        <v>5</v>
      </c>
      <c r="V206" s="1">
        <f t="shared" si="119"/>
        <v>229</v>
      </c>
    </row>
    <row r="207" spans="1:22" x14ac:dyDescent="0.3">
      <c r="A207" s="1">
        <f t="shared" si="136"/>
        <v>5230</v>
      </c>
      <c r="B207" s="93"/>
      <c r="C207" s="94"/>
      <c r="D207" s="94"/>
      <c r="E207" s="94"/>
      <c r="F207" s="94"/>
      <c r="G207" s="94"/>
      <c r="H207" s="95"/>
      <c r="J207" s="24" t="str">
        <f t="shared" ref="J207" si="160">CONCATENATE(K205,2)</f>
        <v>82</v>
      </c>
      <c r="K207" s="6" t="e">
        <v>#VALUE!</v>
      </c>
      <c r="L207" s="6" t="e">
        <v>#VALUE!</v>
      </c>
      <c r="M207" s="6" t="e">
        <v>#VALUE!</v>
      </c>
      <c r="N207" s="6" t="e">
        <v>#VALUE!</v>
      </c>
      <c r="O207" s="6" t="e">
        <v>#VALUE!</v>
      </c>
      <c r="P207" s="6" t="e">
        <v>#VALUE!</v>
      </c>
      <c r="Q207" s="6" t="e">
        <v>#VALUE!</v>
      </c>
      <c r="T207" s="9"/>
      <c r="U207" s="1">
        <f t="shared" si="118"/>
        <v>5</v>
      </c>
      <c r="V207" s="1">
        <f t="shared" si="119"/>
        <v>230</v>
      </c>
    </row>
    <row r="208" spans="1:22" x14ac:dyDescent="0.3">
      <c r="A208" s="1">
        <f t="shared" si="136"/>
        <v>5231</v>
      </c>
      <c r="J208" s="24" t="str">
        <f t="shared" ref="J208" si="161">CONCATENATE(K205,3)</f>
        <v>83</v>
      </c>
      <c r="K208" s="6" t="e">
        <v>#VALUE!</v>
      </c>
      <c r="L208" s="6" t="e">
        <v>#VALUE!</v>
      </c>
      <c r="M208" s="6" t="e">
        <v>#VALUE!</v>
      </c>
      <c r="N208" s="6" t="e">
        <v>#VALUE!</v>
      </c>
      <c r="O208" s="6" t="e">
        <v>#VALUE!</v>
      </c>
      <c r="P208" s="6" t="e">
        <v>#VALUE!</v>
      </c>
      <c r="Q208" s="6" t="e">
        <v>#VALUE!</v>
      </c>
      <c r="T208" s="9"/>
      <c r="U208" s="1">
        <f t="shared" si="118"/>
        <v>5</v>
      </c>
      <c r="V208" s="1">
        <f t="shared" si="119"/>
        <v>231</v>
      </c>
    </row>
    <row r="209" spans="1:22" ht="15" customHeight="1" x14ac:dyDescent="0.3">
      <c r="A209" s="1">
        <f t="shared" si="136"/>
        <v>5232</v>
      </c>
      <c r="B209" s="10" t="s">
        <v>34</v>
      </c>
      <c r="C209" s="10" t="s">
        <v>35</v>
      </c>
      <c r="D209" s="10" t="s">
        <v>36</v>
      </c>
      <c r="E209" s="74" t="s">
        <v>37</v>
      </c>
      <c r="F209" s="75"/>
      <c r="G209" s="76"/>
      <c r="K209" s="1">
        <v>9</v>
      </c>
      <c r="L209" s="1">
        <v>9</v>
      </c>
      <c r="M209" s="1">
        <v>9</v>
      </c>
      <c r="N209" s="1">
        <v>9</v>
      </c>
      <c r="O209" s="1">
        <v>9</v>
      </c>
      <c r="P209" s="1">
        <v>9</v>
      </c>
      <c r="Q209" s="1">
        <v>9</v>
      </c>
      <c r="R209" s="1">
        <v>9</v>
      </c>
      <c r="T209" s="9"/>
      <c r="U209" s="1">
        <f t="shared" si="118"/>
        <v>5</v>
      </c>
      <c r="V209" s="1">
        <f t="shared" si="119"/>
        <v>232</v>
      </c>
    </row>
    <row r="210" spans="1:22" x14ac:dyDescent="0.3">
      <c r="A210" s="1">
        <f t="shared" si="136"/>
        <v>5233</v>
      </c>
      <c r="B210" s="12">
        <f t="shared" ref="B210:B219" si="162">C194-B194</f>
        <v>3</v>
      </c>
      <c r="C210" s="13">
        <f t="shared" ref="C210:C219" si="163">H194-G194</f>
        <v>3</v>
      </c>
      <c r="D210" s="10">
        <f>C210-B210</f>
        <v>0</v>
      </c>
      <c r="E210" s="11">
        <f>IF(D185="","",MAX(F210,G210))</f>
        <v>8</v>
      </c>
      <c r="F210" s="10">
        <f>ABS(MIN(D210:D219))</f>
        <v>8</v>
      </c>
      <c r="G210" s="10">
        <f>ABS(MAX(D210:D219))</f>
        <v>0</v>
      </c>
      <c r="J210" s="24" t="str">
        <f t="shared" ref="J210" si="164">CONCATENATE(K209,1)</f>
        <v>91</v>
      </c>
      <c r="K210" s="6" t="e">
        <f t="array" ref="K210:R212">LINEST(B194:B202,C194:C202^{1,2,3,4,5,6,7},TRUE,TRUE)</f>
        <v>#VALUE!</v>
      </c>
      <c r="L210" s="6" t="e">
        <v>#VALUE!</v>
      </c>
      <c r="M210" s="6" t="e">
        <v>#VALUE!</v>
      </c>
      <c r="N210" s="6" t="e">
        <v>#VALUE!</v>
      </c>
      <c r="O210" s="6" t="e">
        <v>#VALUE!</v>
      </c>
      <c r="P210" s="6" t="e">
        <v>#VALUE!</v>
      </c>
      <c r="Q210" s="6" t="e">
        <v>#VALUE!</v>
      </c>
      <c r="R210" s="6" t="e">
        <v>#VALUE!</v>
      </c>
      <c r="T210" s="9"/>
      <c r="U210" s="1">
        <f t="shared" si="118"/>
        <v>5</v>
      </c>
      <c r="V210" s="1">
        <f t="shared" si="119"/>
        <v>233</v>
      </c>
    </row>
    <row r="211" spans="1:22" x14ac:dyDescent="0.3">
      <c r="A211" s="1">
        <f t="shared" si="136"/>
        <v>5234</v>
      </c>
      <c r="B211" s="12">
        <f t="shared" si="162"/>
        <v>1</v>
      </c>
      <c r="C211" s="13">
        <f t="shared" si="163"/>
        <v>-1</v>
      </c>
      <c r="D211" s="10">
        <f t="shared" ref="D211:D219" si="165">C211-B211</f>
        <v>-2</v>
      </c>
      <c r="E211" s="74" t="s">
        <v>38</v>
      </c>
      <c r="F211" s="75"/>
      <c r="G211" s="76"/>
      <c r="J211" s="24" t="str">
        <f t="shared" ref="J211" si="166">CONCATENATE(K209,2)</f>
        <v>92</v>
      </c>
      <c r="K211" s="6" t="e">
        <v>#VALUE!</v>
      </c>
      <c r="L211" s="6" t="e">
        <v>#VALUE!</v>
      </c>
      <c r="M211" s="6" t="e">
        <v>#VALUE!</v>
      </c>
      <c r="N211" s="6" t="e">
        <v>#VALUE!</v>
      </c>
      <c r="O211" s="6" t="e">
        <v>#VALUE!</v>
      </c>
      <c r="P211" s="6" t="e">
        <v>#VALUE!</v>
      </c>
      <c r="Q211" s="6" t="e">
        <v>#VALUE!</v>
      </c>
      <c r="R211" s="6" t="e">
        <v>#VALUE!</v>
      </c>
      <c r="T211" s="9"/>
      <c r="U211" s="1">
        <f t="shared" si="118"/>
        <v>5</v>
      </c>
      <c r="V211" s="1">
        <f t="shared" si="119"/>
        <v>234</v>
      </c>
    </row>
    <row r="212" spans="1:22" x14ac:dyDescent="0.3">
      <c r="A212" s="1">
        <f t="shared" si="136"/>
        <v>5235</v>
      </c>
      <c r="B212" s="12">
        <f t="shared" si="162"/>
        <v>2</v>
      </c>
      <c r="C212" s="13">
        <f t="shared" si="163"/>
        <v>-6</v>
      </c>
      <c r="D212" s="10">
        <f t="shared" si="165"/>
        <v>-8</v>
      </c>
      <c r="E212" s="11">
        <f>IF(D185="","",MAX(F212,G212))</f>
        <v>3</v>
      </c>
      <c r="F212" s="10">
        <f>ABS(MIN(B210:B219))</f>
        <v>0</v>
      </c>
      <c r="G212" s="10">
        <f>ABS(MAX(B210:B219))</f>
        <v>3</v>
      </c>
      <c r="J212" s="24" t="str">
        <f t="shared" ref="J212" si="167">CONCATENATE(K209,3)</f>
        <v>93</v>
      </c>
      <c r="K212" s="6" t="e">
        <v>#VALUE!</v>
      </c>
      <c r="L212" s="6" t="e">
        <v>#VALUE!</v>
      </c>
      <c r="M212" s="6" t="e">
        <v>#VALUE!</v>
      </c>
      <c r="N212" s="6" t="e">
        <v>#VALUE!</v>
      </c>
      <c r="O212" s="6" t="e">
        <v>#VALUE!</v>
      </c>
      <c r="P212" s="6" t="e">
        <v>#VALUE!</v>
      </c>
      <c r="Q212" s="6" t="e">
        <v>#VALUE!</v>
      </c>
      <c r="R212" s="6" t="e">
        <v>#VALUE!</v>
      </c>
      <c r="T212" s="9"/>
      <c r="U212" s="1">
        <f t="shared" si="118"/>
        <v>5</v>
      </c>
      <c r="V212" s="1">
        <f t="shared" si="119"/>
        <v>235</v>
      </c>
    </row>
    <row r="213" spans="1:22" x14ac:dyDescent="0.3">
      <c r="A213" s="1">
        <f t="shared" si="136"/>
        <v>5236</v>
      </c>
      <c r="B213" s="12">
        <f t="shared" si="162"/>
        <v>0</v>
      </c>
      <c r="C213" s="13">
        <f t="shared" si="163"/>
        <v>0</v>
      </c>
      <c r="D213" s="10">
        <f t="shared" si="165"/>
        <v>0</v>
      </c>
      <c r="E213" s="74" t="s">
        <v>39</v>
      </c>
      <c r="F213" s="75"/>
      <c r="G213" s="76"/>
      <c r="K213" s="1">
        <v>10</v>
      </c>
      <c r="L213" s="1">
        <v>10</v>
      </c>
      <c r="M213" s="1">
        <v>10</v>
      </c>
      <c r="N213" s="1">
        <v>10</v>
      </c>
      <c r="O213" s="1">
        <v>10</v>
      </c>
      <c r="P213" s="1">
        <v>10</v>
      </c>
      <c r="Q213" s="1">
        <v>10</v>
      </c>
      <c r="R213" s="1">
        <v>10</v>
      </c>
      <c r="S213" s="1">
        <v>10</v>
      </c>
      <c r="T213" s="9"/>
      <c r="U213" s="1">
        <f t="shared" si="118"/>
        <v>5</v>
      </c>
      <c r="V213" s="1">
        <f t="shared" si="119"/>
        <v>236</v>
      </c>
    </row>
    <row r="214" spans="1:22" x14ac:dyDescent="0.3">
      <c r="A214" s="1">
        <f t="shared" si="136"/>
        <v>5237</v>
      </c>
      <c r="B214" s="12">
        <f t="shared" si="162"/>
        <v>0</v>
      </c>
      <c r="C214" s="13">
        <f t="shared" si="163"/>
        <v>0</v>
      </c>
      <c r="D214" s="10">
        <f t="shared" si="165"/>
        <v>0</v>
      </c>
      <c r="E214" s="11">
        <f>IF(D185="","",MAX(F214,G214))</f>
        <v>2</v>
      </c>
      <c r="F214" s="10">
        <f>ABS(MIN(D194:D203))</f>
        <v>2</v>
      </c>
      <c r="G214" s="10">
        <f>ABS(MAX(D194:D203))</f>
        <v>2</v>
      </c>
      <c r="J214" s="24" t="str">
        <f t="shared" ref="J214" si="168">CONCATENATE(K213,1)</f>
        <v>101</v>
      </c>
      <c r="K214" s="6" t="e">
        <f t="array" ref="K214:S216">LINEST(B194:B203,C194:C203^{1,2,3,4,5,6,7,8},TRUE,TRUE)</f>
        <v>#VALUE!</v>
      </c>
      <c r="L214" s="6" t="e">
        <v>#VALUE!</v>
      </c>
      <c r="M214" s="6" t="e">
        <v>#VALUE!</v>
      </c>
      <c r="N214" s="6" t="e">
        <v>#VALUE!</v>
      </c>
      <c r="O214" s="6" t="e">
        <v>#VALUE!</v>
      </c>
      <c r="P214" s="6" t="e">
        <v>#VALUE!</v>
      </c>
      <c r="Q214" s="6" t="e">
        <v>#VALUE!</v>
      </c>
      <c r="R214" s="6" t="e">
        <v>#VALUE!</v>
      </c>
      <c r="S214" s="6" t="e">
        <v>#VALUE!</v>
      </c>
      <c r="T214" s="9"/>
      <c r="U214" s="1">
        <f t="shared" si="118"/>
        <v>5</v>
      </c>
      <c r="V214" s="1">
        <f t="shared" si="119"/>
        <v>237</v>
      </c>
    </row>
    <row r="215" spans="1:22" x14ac:dyDescent="0.3">
      <c r="A215" s="1">
        <f t="shared" si="136"/>
        <v>5238</v>
      </c>
      <c r="B215" s="12">
        <f t="shared" si="162"/>
        <v>0</v>
      </c>
      <c r="C215" s="13">
        <f t="shared" si="163"/>
        <v>0</v>
      </c>
      <c r="D215" s="10">
        <f t="shared" si="165"/>
        <v>0</v>
      </c>
      <c r="J215" s="24" t="str">
        <f t="shared" ref="J215" si="169">CONCATENATE(K213,2)</f>
        <v>102</v>
      </c>
      <c r="K215" s="6" t="e">
        <v>#VALUE!</v>
      </c>
      <c r="L215" s="6" t="e">
        <v>#VALUE!</v>
      </c>
      <c r="M215" s="6" t="e">
        <v>#VALUE!</v>
      </c>
      <c r="N215" s="6" t="e">
        <v>#VALUE!</v>
      </c>
      <c r="O215" s="6" t="e">
        <v>#VALUE!</v>
      </c>
      <c r="P215" s="6" t="e">
        <v>#VALUE!</v>
      </c>
      <c r="Q215" s="6" t="e">
        <v>#VALUE!</v>
      </c>
      <c r="R215" s="6" t="e">
        <v>#VALUE!</v>
      </c>
      <c r="S215" s="6" t="e">
        <v>#VALUE!</v>
      </c>
      <c r="T215" s="9"/>
      <c r="U215" s="1">
        <f t="shared" si="118"/>
        <v>5</v>
      </c>
      <c r="V215" s="1">
        <f t="shared" si="119"/>
        <v>238</v>
      </c>
    </row>
    <row r="216" spans="1:22" x14ac:dyDescent="0.3">
      <c r="A216" s="1">
        <f t="shared" si="136"/>
        <v>5239</v>
      </c>
      <c r="B216" s="12">
        <f t="shared" si="162"/>
        <v>0</v>
      </c>
      <c r="C216" s="13">
        <f t="shared" si="163"/>
        <v>0</v>
      </c>
      <c r="D216" s="10">
        <f t="shared" si="165"/>
        <v>0</v>
      </c>
      <c r="J216" s="24" t="str">
        <f t="shared" ref="J216" si="170">CONCATENATE(K213,3)</f>
        <v>103</v>
      </c>
      <c r="K216" s="6" t="e">
        <v>#VALUE!</v>
      </c>
      <c r="L216" s="6" t="e">
        <v>#VALUE!</v>
      </c>
      <c r="M216" s="6" t="e">
        <v>#VALUE!</v>
      </c>
      <c r="N216" s="6" t="e">
        <v>#VALUE!</v>
      </c>
      <c r="O216" s="6" t="e">
        <v>#VALUE!</v>
      </c>
      <c r="P216" s="6" t="e">
        <v>#VALUE!</v>
      </c>
      <c r="Q216" s="6" t="e">
        <v>#VALUE!</v>
      </c>
      <c r="R216" s="6" t="e">
        <v>#VALUE!</v>
      </c>
      <c r="S216" s="6" t="e">
        <v>#VALUE!</v>
      </c>
      <c r="T216" s="9"/>
      <c r="U216" s="1">
        <f t="shared" si="118"/>
        <v>5</v>
      </c>
      <c r="V216" s="1">
        <f t="shared" si="119"/>
        <v>239</v>
      </c>
    </row>
    <row r="217" spans="1:22" x14ac:dyDescent="0.3">
      <c r="A217" s="1">
        <f t="shared" si="136"/>
        <v>5240</v>
      </c>
      <c r="B217" s="12">
        <f t="shared" si="162"/>
        <v>0</v>
      </c>
      <c r="C217" s="13">
        <f t="shared" si="163"/>
        <v>0</v>
      </c>
      <c r="D217" s="10">
        <f t="shared" si="165"/>
        <v>0</v>
      </c>
      <c r="J217" s="9"/>
      <c r="K217" s="9"/>
      <c r="L217" s="9"/>
      <c r="M217" s="9"/>
      <c r="N217" s="9"/>
      <c r="O217" s="9"/>
      <c r="P217" s="9"/>
      <c r="Q217" s="9"/>
      <c r="R217" s="9"/>
      <c r="S217" s="9"/>
      <c r="T217" s="9"/>
      <c r="U217" s="1">
        <f t="shared" si="118"/>
        <v>5</v>
      </c>
      <c r="V217" s="1">
        <f t="shared" si="119"/>
        <v>240</v>
      </c>
    </row>
    <row r="218" spans="1:22" x14ac:dyDescent="0.3">
      <c r="A218" s="1">
        <f t="shared" si="136"/>
        <v>5241</v>
      </c>
      <c r="B218" s="12">
        <f t="shared" si="162"/>
        <v>0</v>
      </c>
      <c r="C218" s="13">
        <f t="shared" si="163"/>
        <v>0</v>
      </c>
      <c r="D218" s="10">
        <f t="shared" si="165"/>
        <v>0</v>
      </c>
      <c r="J218" s="9"/>
      <c r="K218" s="9"/>
      <c r="L218" s="9"/>
      <c r="M218" s="9"/>
      <c r="N218" s="9"/>
      <c r="O218" s="9"/>
      <c r="P218" s="9"/>
      <c r="Q218" s="9"/>
      <c r="R218" s="9"/>
      <c r="S218" s="9"/>
      <c r="T218" s="9"/>
      <c r="U218" s="1">
        <f t="shared" si="118"/>
        <v>5</v>
      </c>
      <c r="V218" s="1">
        <f t="shared" si="119"/>
        <v>241</v>
      </c>
    </row>
    <row r="219" spans="1:22" x14ac:dyDescent="0.3">
      <c r="A219" s="1">
        <f t="shared" si="136"/>
        <v>5242</v>
      </c>
      <c r="B219" s="12">
        <f t="shared" si="162"/>
        <v>0</v>
      </c>
      <c r="C219" s="13">
        <f t="shared" si="163"/>
        <v>0</v>
      </c>
      <c r="D219" s="10">
        <f t="shared" si="165"/>
        <v>0</v>
      </c>
      <c r="J219" s="9"/>
      <c r="K219" s="9"/>
      <c r="L219" s="9"/>
      <c r="M219" s="9"/>
      <c r="N219" s="9"/>
      <c r="O219" s="9"/>
      <c r="P219" s="9"/>
      <c r="Q219" s="9"/>
      <c r="R219" s="9"/>
      <c r="S219" s="9"/>
      <c r="T219" s="9"/>
      <c r="U219" s="1">
        <f t="shared" ref="U219:U282" si="171">U218</f>
        <v>5</v>
      </c>
      <c r="V219" s="1">
        <f t="shared" ref="V219:V282" si="172">V218+1</f>
        <v>242</v>
      </c>
    </row>
    <row r="220" spans="1:22" x14ac:dyDescent="0.3">
      <c r="A220" s="1">
        <f t="shared" si="136"/>
        <v>5243</v>
      </c>
      <c r="J220" s="9"/>
      <c r="K220" s="9"/>
      <c r="L220" s="9"/>
      <c r="M220" s="9"/>
      <c r="N220" s="9"/>
      <c r="O220" s="9"/>
      <c r="P220" s="9"/>
      <c r="Q220" s="9"/>
      <c r="R220" s="9"/>
      <c r="S220" s="9"/>
      <c r="T220" s="9"/>
      <c r="U220" s="1">
        <f t="shared" si="171"/>
        <v>5</v>
      </c>
      <c r="V220" s="1">
        <f t="shared" si="172"/>
        <v>243</v>
      </c>
    </row>
    <row r="221" spans="1:22" s="5" customFormat="1" x14ac:dyDescent="0.3"/>
    <row r="222" spans="1:22" x14ac:dyDescent="0.3">
      <c r="A222" s="1">
        <f t="shared" ref="A222:A264" si="173">ROUND(CONCATENATE(U222,V222),0)</f>
        <v>6201</v>
      </c>
      <c r="B222" s="96" t="s">
        <v>0</v>
      </c>
      <c r="C222" s="97"/>
      <c r="D222" s="110" t="s">
        <v>46</v>
      </c>
      <c r="E222" s="111"/>
      <c r="F222" s="111"/>
      <c r="G222" s="111"/>
      <c r="H222" s="112"/>
      <c r="J222" s="9"/>
      <c r="K222" s="9"/>
      <c r="L222" s="9"/>
      <c r="M222" s="9"/>
      <c r="N222" s="9"/>
      <c r="O222" s="9"/>
      <c r="P222" s="9"/>
      <c r="Q222" s="9"/>
      <c r="R222" s="9"/>
      <c r="S222" s="9"/>
      <c r="T222" s="9"/>
      <c r="U222" s="1">
        <f t="shared" ref="U222" si="174">U220+1</f>
        <v>6</v>
      </c>
      <c r="V222" s="1">
        <v>201</v>
      </c>
    </row>
    <row r="223" spans="1:22" x14ac:dyDescent="0.3">
      <c r="A223" s="1">
        <f t="shared" si="173"/>
        <v>6202</v>
      </c>
      <c r="B223" s="96" t="s">
        <v>1</v>
      </c>
      <c r="C223" s="97"/>
      <c r="D223" s="15">
        <v>20</v>
      </c>
      <c r="E223" s="16" t="s">
        <v>2</v>
      </c>
      <c r="F223" s="107"/>
      <c r="G223" s="108"/>
      <c r="H223" s="109"/>
      <c r="J223" s="9"/>
      <c r="K223" s="9"/>
      <c r="L223" s="9"/>
      <c r="M223" s="9"/>
      <c r="N223" s="9"/>
      <c r="O223" s="9"/>
      <c r="P223" s="9"/>
      <c r="Q223" s="9"/>
      <c r="R223" s="9"/>
      <c r="S223" s="9"/>
      <c r="T223" s="9"/>
      <c r="U223" s="1">
        <f t="shared" ref="U223" si="175">U222</f>
        <v>6</v>
      </c>
      <c r="V223" s="1">
        <f t="shared" ref="V223" si="176">V222+1</f>
        <v>202</v>
      </c>
    </row>
    <row r="224" spans="1:22" x14ac:dyDescent="0.3">
      <c r="A224" s="1">
        <f t="shared" si="173"/>
        <v>6203</v>
      </c>
      <c r="B224" s="96" t="s">
        <v>12</v>
      </c>
      <c r="C224" s="97"/>
      <c r="D224" s="110" t="s">
        <v>311</v>
      </c>
      <c r="E224" s="111"/>
      <c r="F224" s="111"/>
      <c r="G224" s="111"/>
      <c r="H224" s="112"/>
      <c r="K224" s="1" t="s">
        <v>3</v>
      </c>
      <c r="L224" s="1" t="s">
        <v>4</v>
      </c>
      <c r="M224" s="1" t="s">
        <v>5</v>
      </c>
      <c r="N224" s="1" t="s">
        <v>6</v>
      </c>
      <c r="O224" s="1" t="s">
        <v>7</v>
      </c>
      <c r="P224" s="1" t="s">
        <v>8</v>
      </c>
      <c r="Q224" s="1" t="s">
        <v>9</v>
      </c>
      <c r="R224" s="1" t="s">
        <v>10</v>
      </c>
      <c r="S224" s="1" t="s">
        <v>11</v>
      </c>
      <c r="T224" s="9"/>
      <c r="U224" s="1">
        <f t="shared" si="171"/>
        <v>6</v>
      </c>
      <c r="V224" s="1">
        <f t="shared" si="172"/>
        <v>203</v>
      </c>
    </row>
    <row r="225" spans="1:22" x14ac:dyDescent="0.3">
      <c r="A225" s="1">
        <f t="shared" si="173"/>
        <v>6204</v>
      </c>
      <c r="B225" s="96" t="s">
        <v>13</v>
      </c>
      <c r="C225" s="97"/>
      <c r="D225" s="110" t="s">
        <v>65</v>
      </c>
      <c r="E225" s="111"/>
      <c r="F225" s="111"/>
      <c r="G225" s="111"/>
      <c r="H225" s="112"/>
      <c r="J225" s="1">
        <f>COUNTA(B238:B247)</f>
        <v>3</v>
      </c>
      <c r="K225" s="1">
        <f t="shared" ref="K225" si="177">IF(L225-1&lt;2,0,L225-1)</f>
        <v>0</v>
      </c>
      <c r="L225" s="1">
        <f t="shared" ref="L225" si="178">IF(M225-1&lt;2,0,M225-1)</f>
        <v>0</v>
      </c>
      <c r="M225" s="1">
        <f t="shared" ref="M225" si="179">IF(N225-1&lt;2,0,N225-1)</f>
        <v>0</v>
      </c>
      <c r="N225" s="1">
        <f t="shared" ref="N225" si="180">IF(O225-1&lt;2,0,O225-1)</f>
        <v>0</v>
      </c>
      <c r="O225" s="1">
        <f t="shared" ref="O225" si="181">IF(P225-1&lt;2,0,P225-1)</f>
        <v>0</v>
      </c>
      <c r="P225" s="1">
        <f t="shared" ref="P225" si="182">IF(Q225-1&lt;2,0,Q225-1)</f>
        <v>0</v>
      </c>
      <c r="Q225" s="1">
        <f t="shared" ref="Q225" si="183">IF(R225-1&lt;2,0,R225-1)</f>
        <v>0</v>
      </c>
      <c r="R225" s="1">
        <f>IF(S225-1&lt;2,0,S225-1)</f>
        <v>2</v>
      </c>
      <c r="S225" s="1">
        <f>J225</f>
        <v>3</v>
      </c>
      <c r="T225" s="9"/>
      <c r="U225" s="1">
        <f t="shared" si="171"/>
        <v>6</v>
      </c>
      <c r="V225" s="1">
        <f t="shared" si="172"/>
        <v>204</v>
      </c>
    </row>
    <row r="226" spans="1:22" x14ac:dyDescent="0.3">
      <c r="A226" s="1">
        <f t="shared" si="173"/>
        <v>6205</v>
      </c>
      <c r="B226" s="96" t="s">
        <v>14</v>
      </c>
      <c r="C226" s="97"/>
      <c r="D226" s="110" t="s">
        <v>66</v>
      </c>
      <c r="E226" s="111"/>
      <c r="F226" s="111"/>
      <c r="G226" s="111"/>
      <c r="H226" s="112"/>
      <c r="J226" s="24" t="str">
        <f>CONCATENATE(J225,1)</f>
        <v>31</v>
      </c>
      <c r="K226" s="25">
        <f>IF(K225=0,0,VLOOKUP(J226,J230:S260,K225,FALSE))</f>
        <v>0</v>
      </c>
      <c r="L226" s="25">
        <f>IF(L225=0,0,VLOOKUP(J226,J230:S260,L225,FALSE))</f>
        <v>0</v>
      </c>
      <c r="M226" s="25">
        <f>IF(M225=0,0,VLOOKUP(J226,J230:S260,M225,FALSE))</f>
        <v>0</v>
      </c>
      <c r="N226" s="25">
        <f>IF(N225=0,0,VLOOKUP(J226,J230:S260,N225,FALSE))</f>
        <v>0</v>
      </c>
      <c r="O226" s="25">
        <f>IF(O225=0,0,VLOOKUP(J226,J230:S260,O225,FALSE))</f>
        <v>0</v>
      </c>
      <c r="P226" s="25">
        <f>IF(P225=0,0,VLOOKUP(J226,J230:S260,P225,FALSE))</f>
        <v>0</v>
      </c>
      <c r="Q226" s="25">
        <f>IF(Q225=0,0,VLOOKUP(J226,J230:S260,Q225,FALSE))</f>
        <v>0</v>
      </c>
      <c r="R226" s="25">
        <f>IF(R225=0,0,VLOOKUP(J226,J230:S260,R225,FALSE))</f>
        <v>0.9787850079303404</v>
      </c>
      <c r="S226" s="25">
        <f>IF(S225=0,0,VLOOKUP(J226,J230:S260,S225,FALSE))</f>
        <v>0.47347859872477471</v>
      </c>
      <c r="T226" s="9"/>
      <c r="U226" s="1">
        <f t="shared" si="171"/>
        <v>6</v>
      </c>
      <c r="V226" s="1">
        <f t="shared" si="172"/>
        <v>205</v>
      </c>
    </row>
    <row r="227" spans="1:22" x14ac:dyDescent="0.3">
      <c r="A227" s="1">
        <f t="shared" si="173"/>
        <v>6206</v>
      </c>
      <c r="B227" s="96" t="s">
        <v>15</v>
      </c>
      <c r="C227" s="97"/>
      <c r="D227" s="128" t="s">
        <v>312</v>
      </c>
      <c r="E227" s="129"/>
      <c r="F227" s="129"/>
      <c r="G227" s="129"/>
      <c r="H227" s="130"/>
      <c r="J227" s="24" t="str">
        <f>CONCATENATE(J225,2)</f>
        <v>32</v>
      </c>
      <c r="K227" s="6">
        <f>IF(K225=0,0,VLOOKUP(J227,J230:S260,K225,FALSE))</f>
        <v>0</v>
      </c>
      <c r="L227" s="6">
        <f>IF(L225=0,0,VLOOKUP(J227,J230:S260,L225,FALSE))</f>
        <v>0</v>
      </c>
      <c r="M227" s="6">
        <f>IF(M225=0,0,VLOOKUP(J227,J230:S260,M225,FALSE))</f>
        <v>0</v>
      </c>
      <c r="N227" s="6">
        <f>IF(N225=0,0,VLOOKUP(J227,J230:S260,N225,FALSE))</f>
        <v>0</v>
      </c>
      <c r="O227" s="6">
        <f>IF(O225=0,0,VLOOKUP(J227,J230:S260,O225,FALSE))</f>
        <v>0</v>
      </c>
      <c r="P227" s="6">
        <f>IF(P225=0,0,VLOOKUP(J227,J230:S260,P225,FALSE))</f>
        <v>0</v>
      </c>
      <c r="Q227" s="6">
        <f>IF(Q225=0,0,VLOOKUP(J227,J230:S260,Q225,FALSE))</f>
        <v>0</v>
      </c>
      <c r="R227" s="6">
        <f>IF(R225=0,0,VLOOKUP(J227,J230:S260,R225,FALSE))</f>
        <v>2.765587868551161E-3</v>
      </c>
      <c r="S227" s="6">
        <f>IF(S225=0,0,VLOOKUP(J227,J230:S260,S225,FALSE))</f>
        <v>0.15611851707851099</v>
      </c>
      <c r="T227" s="9"/>
      <c r="U227" s="1">
        <f t="shared" si="171"/>
        <v>6</v>
      </c>
      <c r="V227" s="1">
        <f t="shared" si="172"/>
        <v>206</v>
      </c>
    </row>
    <row r="228" spans="1:22" x14ac:dyDescent="0.3">
      <c r="A228" s="1">
        <f t="shared" si="173"/>
        <v>6207</v>
      </c>
      <c r="B228" s="96" t="s">
        <v>16</v>
      </c>
      <c r="C228" s="97"/>
      <c r="D228" s="121">
        <v>45761</v>
      </c>
      <c r="E228" s="121"/>
      <c r="F228" s="121"/>
      <c r="G228" s="121"/>
      <c r="H228" s="121"/>
      <c r="J228" s="24" t="str">
        <f>CONCATENATE(J225,3)</f>
        <v>33</v>
      </c>
      <c r="K228" s="6"/>
      <c r="L228" s="6"/>
      <c r="M228" s="6"/>
      <c r="N228" s="6" t="s">
        <v>43</v>
      </c>
      <c r="O228" s="25">
        <f>J225-2</f>
        <v>1</v>
      </c>
      <c r="P228" s="6" t="s">
        <v>44</v>
      </c>
      <c r="Q228" s="25">
        <f>VLOOKUP(J228,J230:S260,3,FALSE)</f>
        <v>0.11987667038827254</v>
      </c>
      <c r="R228" s="6" t="s">
        <v>45</v>
      </c>
      <c r="S228" s="6">
        <f>VLOOKUP(J228,J230:S260,2,FALSE)</f>
        <v>0.99999201643549807</v>
      </c>
      <c r="T228" s="9"/>
      <c r="U228" s="1">
        <f t="shared" si="171"/>
        <v>6</v>
      </c>
      <c r="V228" s="1">
        <f t="shared" si="172"/>
        <v>207</v>
      </c>
    </row>
    <row r="229" spans="1:22" x14ac:dyDescent="0.3">
      <c r="A229" s="1">
        <f t="shared" si="173"/>
        <v>6208</v>
      </c>
      <c r="B229" s="96" t="s">
        <v>17</v>
      </c>
      <c r="C229" s="97"/>
      <c r="D229" s="122">
        <v>46142</v>
      </c>
      <c r="E229" s="122"/>
      <c r="F229" s="122"/>
      <c r="G229" s="122"/>
      <c r="H229" s="122"/>
      <c r="K229" s="1">
        <v>3</v>
      </c>
      <c r="L229" s="1">
        <v>3</v>
      </c>
      <c r="Q229" s="26"/>
      <c r="R229" s="26"/>
      <c r="S229" s="26"/>
      <c r="T229" s="9"/>
      <c r="U229" s="1">
        <f t="shared" si="171"/>
        <v>6</v>
      </c>
      <c r="V229" s="1">
        <f t="shared" si="172"/>
        <v>208</v>
      </c>
    </row>
    <row r="230" spans="1:22" x14ac:dyDescent="0.3">
      <c r="A230" s="1">
        <f t="shared" si="173"/>
        <v>6209</v>
      </c>
      <c r="B230" s="77" t="s">
        <v>19</v>
      </c>
      <c r="C230" s="78"/>
      <c r="D230" s="17">
        <v>0.1</v>
      </c>
      <c r="E230" s="79" t="s">
        <v>40</v>
      </c>
      <c r="F230" s="80"/>
      <c r="G230" s="81"/>
      <c r="H230" s="18" t="s">
        <v>72</v>
      </c>
      <c r="J230" s="24" t="str">
        <f>CONCATENATE(K229,1)</f>
        <v>31</v>
      </c>
      <c r="K230" s="6">
        <f t="array" ref="K230:L232">LINEST(B238:B240,C238:C240^{1},TRUE,TRUE)</f>
        <v>0.9787850079303404</v>
      </c>
      <c r="L230" s="6">
        <v>0.47347859872477471</v>
      </c>
      <c r="Q230" s="9"/>
      <c r="R230" s="9"/>
      <c r="S230" s="9"/>
      <c r="T230" s="9"/>
      <c r="U230" s="1">
        <f t="shared" si="171"/>
        <v>6</v>
      </c>
      <c r="V230" s="1">
        <f t="shared" si="172"/>
        <v>209</v>
      </c>
    </row>
    <row r="231" spans="1:22" x14ac:dyDescent="0.3">
      <c r="A231" s="1">
        <f t="shared" si="173"/>
        <v>6210</v>
      </c>
      <c r="B231" s="77" t="s">
        <v>41</v>
      </c>
      <c r="C231" s="78"/>
      <c r="D231" s="23">
        <f t="shared" ref="D231" si="184">MIN(B238:B247)</f>
        <v>20</v>
      </c>
      <c r="E231" s="20" t="s">
        <v>18</v>
      </c>
      <c r="F231" s="19">
        <f t="shared" ref="F231" si="185">MAX(B238:B247)</f>
        <v>80</v>
      </c>
      <c r="G231" s="21" t="str">
        <f t="shared" ref="G231" si="186">IF(H230="","",H230)</f>
        <v>%ur</v>
      </c>
      <c r="H231" s="22"/>
      <c r="J231" s="24" t="str">
        <f>CONCATENATE(K229,2)</f>
        <v>32</v>
      </c>
      <c r="K231" s="6">
        <v>2.765587868551161E-3</v>
      </c>
      <c r="L231" s="6">
        <v>0.15611851707851099</v>
      </c>
      <c r="Q231" s="9"/>
      <c r="R231" s="9"/>
      <c r="S231" s="9"/>
      <c r="T231" s="9"/>
      <c r="U231" s="1">
        <f t="shared" si="171"/>
        <v>6</v>
      </c>
      <c r="V231" s="1">
        <f t="shared" si="172"/>
        <v>210</v>
      </c>
    </row>
    <row r="232" spans="1:22" x14ac:dyDescent="0.3">
      <c r="A232" s="1">
        <f t="shared" si="173"/>
        <v>6211</v>
      </c>
      <c r="J232" s="24" t="str">
        <f>CONCATENATE(K229,3)</f>
        <v>33</v>
      </c>
      <c r="K232" s="6">
        <v>0.99999201643549807</v>
      </c>
      <c r="L232" s="6">
        <v>0.11987667038827254</v>
      </c>
      <c r="Q232" s="9"/>
      <c r="R232" s="9"/>
      <c r="S232" s="9"/>
      <c r="T232" s="9"/>
      <c r="U232" s="1">
        <f t="shared" si="171"/>
        <v>6</v>
      </c>
      <c r="V232" s="1">
        <f t="shared" si="172"/>
        <v>211</v>
      </c>
    </row>
    <row r="233" spans="1:22" x14ac:dyDescent="0.3">
      <c r="A233" s="1">
        <f t="shared" si="173"/>
        <v>6212</v>
      </c>
      <c r="B233" s="82" t="s">
        <v>20</v>
      </c>
      <c r="C233" s="83"/>
      <c r="D233" s="83"/>
      <c r="E233" s="83"/>
      <c r="F233" s="84"/>
      <c r="G233" s="85" t="s">
        <v>31</v>
      </c>
      <c r="H233" s="86"/>
      <c r="K233" s="1">
        <v>4</v>
      </c>
      <c r="L233" s="1">
        <v>4</v>
      </c>
      <c r="M233" s="1">
        <v>4</v>
      </c>
      <c r="Q233" s="9"/>
      <c r="R233" s="9"/>
      <c r="S233" s="9"/>
      <c r="T233" s="9"/>
      <c r="U233" s="1">
        <f t="shared" si="171"/>
        <v>6</v>
      </c>
      <c r="V233" s="1">
        <f t="shared" si="172"/>
        <v>212</v>
      </c>
    </row>
    <row r="234" spans="1:22" x14ac:dyDescent="0.3">
      <c r="A234" s="1">
        <f t="shared" si="173"/>
        <v>6213</v>
      </c>
      <c r="B234" s="82" t="s">
        <v>30</v>
      </c>
      <c r="C234" s="83"/>
      <c r="D234" s="84"/>
      <c r="E234" s="82" t="str">
        <f t="shared" ref="E234" si="187">D227</f>
        <v>E0208/25</v>
      </c>
      <c r="F234" s="84"/>
      <c r="G234" s="6" t="s">
        <v>32</v>
      </c>
      <c r="H234" s="7"/>
      <c r="J234" s="24" t="str">
        <f t="shared" ref="J234" si="188">CONCATENATE(K233,1)</f>
        <v>41</v>
      </c>
      <c r="K234" s="6" t="e">
        <f t="array" ref="K234:M236">LINEST(B238:B241,C238:C241^{1,2},TRUE,TRUE)</f>
        <v>#VALUE!</v>
      </c>
      <c r="L234" s="6" t="e">
        <v>#VALUE!</v>
      </c>
      <c r="M234" s="6" t="e">
        <v>#VALUE!</v>
      </c>
      <c r="Q234" s="9"/>
      <c r="R234" s="9"/>
      <c r="S234" s="9"/>
      <c r="T234" s="9"/>
      <c r="U234" s="1">
        <f t="shared" si="171"/>
        <v>6</v>
      </c>
      <c r="V234" s="1">
        <f t="shared" si="172"/>
        <v>213</v>
      </c>
    </row>
    <row r="235" spans="1:22" x14ac:dyDescent="0.3">
      <c r="A235" s="1">
        <f t="shared" si="173"/>
        <v>6214</v>
      </c>
      <c r="B235" s="2" t="s">
        <v>21</v>
      </c>
      <c r="C235" s="2" t="s">
        <v>22</v>
      </c>
      <c r="D235" s="2" t="s">
        <v>23</v>
      </c>
      <c r="E235" s="2"/>
      <c r="F235" s="2" t="s">
        <v>28</v>
      </c>
      <c r="G235" s="2" t="s">
        <v>21</v>
      </c>
      <c r="H235" s="2" t="s">
        <v>22</v>
      </c>
      <c r="J235" s="24" t="str">
        <f t="shared" ref="J235" si="189">CONCATENATE(K233,2)</f>
        <v>42</v>
      </c>
      <c r="K235" s="6" t="e">
        <v>#VALUE!</v>
      </c>
      <c r="L235" s="6" t="e">
        <v>#VALUE!</v>
      </c>
      <c r="M235" s="6" t="e">
        <v>#VALUE!</v>
      </c>
      <c r="Q235" s="9"/>
      <c r="R235" s="9"/>
      <c r="S235" s="9"/>
      <c r="T235" s="9"/>
      <c r="U235" s="1">
        <f t="shared" si="171"/>
        <v>6</v>
      </c>
      <c r="V235" s="1">
        <f t="shared" si="172"/>
        <v>214</v>
      </c>
    </row>
    <row r="236" spans="1:22" x14ac:dyDescent="0.3">
      <c r="A236" s="1">
        <f t="shared" si="173"/>
        <v>6215</v>
      </c>
      <c r="B236" s="2" t="s">
        <v>24</v>
      </c>
      <c r="C236" s="2" t="s">
        <v>25</v>
      </c>
      <c r="D236" s="2" t="s">
        <v>26</v>
      </c>
      <c r="E236" s="2" t="s">
        <v>27</v>
      </c>
      <c r="F236" s="2" t="s">
        <v>29</v>
      </c>
      <c r="G236" s="2" t="s">
        <v>24</v>
      </c>
      <c r="H236" s="2" t="s">
        <v>25</v>
      </c>
      <c r="J236" s="24" t="str">
        <f t="shared" ref="J236" si="190">CONCATENATE(K233,3)</f>
        <v>43</v>
      </c>
      <c r="K236" s="6" t="e">
        <v>#VALUE!</v>
      </c>
      <c r="L236" s="6" t="e">
        <v>#VALUE!</v>
      </c>
      <c r="M236" s="6" t="e">
        <v>#VALUE!</v>
      </c>
      <c r="Q236" s="9"/>
      <c r="R236" s="9"/>
      <c r="S236" s="9"/>
      <c r="T236" s="9"/>
      <c r="U236" s="1">
        <f t="shared" si="171"/>
        <v>6</v>
      </c>
      <c r="V236" s="1">
        <f t="shared" si="172"/>
        <v>215</v>
      </c>
    </row>
    <row r="237" spans="1:22" x14ac:dyDescent="0.3">
      <c r="A237" s="1">
        <f t="shared" si="173"/>
        <v>6216</v>
      </c>
      <c r="B237" s="3" t="str">
        <f t="shared" ref="B237" si="191">H230</f>
        <v>%ur</v>
      </c>
      <c r="C237" s="3" t="str">
        <f t="shared" ref="C237" si="192">B237</f>
        <v>%ur</v>
      </c>
      <c r="D237" s="3" t="str">
        <f t="shared" ref="D237" si="193">C237</f>
        <v>%ur</v>
      </c>
      <c r="E237" s="3"/>
      <c r="F237" s="3"/>
      <c r="G237" s="3" t="str">
        <f t="shared" ref="G237" si="194">D237</f>
        <v>%ur</v>
      </c>
      <c r="H237" s="3" t="str">
        <f t="shared" ref="H237" si="195">G237</f>
        <v>%ur</v>
      </c>
      <c r="K237" s="1">
        <v>5</v>
      </c>
      <c r="L237" s="1">
        <v>5</v>
      </c>
      <c r="M237" s="1">
        <v>5</v>
      </c>
      <c r="N237" s="1">
        <v>5</v>
      </c>
      <c r="Q237" s="9"/>
      <c r="R237" s="9"/>
      <c r="S237" s="9"/>
      <c r="T237" s="9"/>
      <c r="U237" s="1">
        <f t="shared" si="171"/>
        <v>6</v>
      </c>
      <c r="V237" s="1">
        <f t="shared" si="172"/>
        <v>216</v>
      </c>
    </row>
    <row r="238" spans="1:22" x14ac:dyDescent="0.3">
      <c r="A238" s="1">
        <f t="shared" si="173"/>
        <v>6217</v>
      </c>
      <c r="B238" s="65">
        <v>20</v>
      </c>
      <c r="C238" s="65">
        <v>20</v>
      </c>
      <c r="D238" s="65">
        <v>0.7</v>
      </c>
      <c r="E238" s="4">
        <v>2</v>
      </c>
      <c r="F238" s="14">
        <v>1000000</v>
      </c>
      <c r="G238" s="66"/>
      <c r="H238" s="66"/>
      <c r="J238" s="24" t="str">
        <f t="shared" ref="J238" si="196">CONCATENATE(K237,1)</f>
        <v>51</v>
      </c>
      <c r="K238" s="6" t="e">
        <f t="array" ref="K238:N240">LINEST(B238:B242,C238:C242^{1,2,3},TRUE,TRUE)</f>
        <v>#VALUE!</v>
      </c>
      <c r="L238" s="6" t="e">
        <v>#VALUE!</v>
      </c>
      <c r="M238" s="6" t="e">
        <v>#VALUE!</v>
      </c>
      <c r="N238" s="6" t="e">
        <v>#VALUE!</v>
      </c>
      <c r="Q238" s="9"/>
      <c r="R238" s="9"/>
      <c r="S238" s="9"/>
      <c r="T238" s="9"/>
      <c r="U238" s="1">
        <f t="shared" si="171"/>
        <v>6</v>
      </c>
      <c r="V238" s="1">
        <f t="shared" si="172"/>
        <v>217</v>
      </c>
    </row>
    <row r="239" spans="1:22" x14ac:dyDescent="0.3">
      <c r="A239" s="1">
        <f t="shared" si="173"/>
        <v>6218</v>
      </c>
      <c r="B239" s="65">
        <v>50</v>
      </c>
      <c r="C239" s="65">
        <v>50.5</v>
      </c>
      <c r="D239" s="65">
        <v>1.1000000000000001</v>
      </c>
      <c r="E239" s="4">
        <v>2</v>
      </c>
      <c r="F239" s="14">
        <v>1000000</v>
      </c>
      <c r="G239" s="66"/>
      <c r="H239" s="66"/>
      <c r="J239" s="24" t="str">
        <f t="shared" ref="J239" si="197">CONCATENATE(K237,2)</f>
        <v>52</v>
      </c>
      <c r="K239" s="6" t="e">
        <v>#VALUE!</v>
      </c>
      <c r="L239" s="6" t="e">
        <v>#VALUE!</v>
      </c>
      <c r="M239" s="6" t="e">
        <v>#VALUE!</v>
      </c>
      <c r="N239" s="6" t="e">
        <v>#VALUE!</v>
      </c>
      <c r="T239" s="9"/>
      <c r="U239" s="1">
        <f t="shared" si="171"/>
        <v>6</v>
      </c>
      <c r="V239" s="1">
        <f t="shared" si="172"/>
        <v>218</v>
      </c>
    </row>
    <row r="240" spans="1:22" x14ac:dyDescent="0.3">
      <c r="A240" s="1">
        <f t="shared" si="173"/>
        <v>6219</v>
      </c>
      <c r="B240" s="65">
        <v>80</v>
      </c>
      <c r="C240" s="65">
        <v>81.3</v>
      </c>
      <c r="D240" s="65">
        <v>1.1000000000000001</v>
      </c>
      <c r="E240" s="4">
        <v>2</v>
      </c>
      <c r="F240" s="14">
        <v>1000000</v>
      </c>
      <c r="G240" s="66"/>
      <c r="H240" s="66"/>
      <c r="J240" s="24" t="str">
        <f t="shared" ref="J240" si="198">CONCATENATE(K237,3)</f>
        <v>53</v>
      </c>
      <c r="K240" s="6" t="e">
        <v>#VALUE!</v>
      </c>
      <c r="L240" s="6" t="e">
        <v>#VALUE!</v>
      </c>
      <c r="M240" s="6" t="e">
        <v>#VALUE!</v>
      </c>
      <c r="N240" s="6" t="e">
        <v>#VALUE!</v>
      </c>
      <c r="T240" s="9"/>
      <c r="U240" s="1">
        <f t="shared" si="171"/>
        <v>6</v>
      </c>
      <c r="V240" s="1">
        <f t="shared" si="172"/>
        <v>219</v>
      </c>
    </row>
    <row r="241" spans="1:22" x14ac:dyDescent="0.3">
      <c r="A241" s="1">
        <f t="shared" si="173"/>
        <v>6220</v>
      </c>
      <c r="B241" s="4"/>
      <c r="C241" s="4"/>
      <c r="D241" s="4"/>
      <c r="E241" s="4"/>
      <c r="F241" s="14"/>
      <c r="G241" s="8"/>
      <c r="H241" s="7"/>
      <c r="K241" s="1">
        <v>6</v>
      </c>
      <c r="L241" s="1">
        <v>6</v>
      </c>
      <c r="M241" s="1">
        <v>6</v>
      </c>
      <c r="N241" s="1">
        <v>6</v>
      </c>
      <c r="O241" s="1">
        <v>6</v>
      </c>
      <c r="T241" s="9"/>
      <c r="U241" s="1">
        <f t="shared" si="171"/>
        <v>6</v>
      </c>
      <c r="V241" s="1">
        <f t="shared" si="172"/>
        <v>220</v>
      </c>
    </row>
    <row r="242" spans="1:22" x14ac:dyDescent="0.3">
      <c r="A242" s="1">
        <f t="shared" si="173"/>
        <v>6221</v>
      </c>
      <c r="B242" s="4"/>
      <c r="C242" s="4"/>
      <c r="D242" s="4"/>
      <c r="E242" s="4"/>
      <c r="F242" s="14"/>
      <c r="G242" s="8"/>
      <c r="H242" s="7"/>
      <c r="J242" s="24" t="str">
        <f t="shared" ref="J242" si="199">CONCATENATE(K241,1)</f>
        <v>61</v>
      </c>
      <c r="K242" s="6" t="e">
        <f t="array" ref="K242:O244">LINEST(B238:B243,C238:C243^{1,2,3,4},TRUE,TRUE)</f>
        <v>#VALUE!</v>
      </c>
      <c r="L242" s="6" t="e">
        <v>#VALUE!</v>
      </c>
      <c r="M242" s="6" t="e">
        <v>#VALUE!</v>
      </c>
      <c r="N242" s="6" t="e">
        <v>#VALUE!</v>
      </c>
      <c r="O242" s="6" t="e">
        <v>#VALUE!</v>
      </c>
      <c r="T242" s="9"/>
      <c r="U242" s="1">
        <f t="shared" si="171"/>
        <v>6</v>
      </c>
      <c r="V242" s="1">
        <f t="shared" si="172"/>
        <v>221</v>
      </c>
    </row>
    <row r="243" spans="1:22" x14ac:dyDescent="0.3">
      <c r="A243" s="1">
        <f t="shared" si="173"/>
        <v>6222</v>
      </c>
      <c r="B243" s="4"/>
      <c r="C243" s="4"/>
      <c r="D243" s="4"/>
      <c r="E243" s="4"/>
      <c r="F243" s="14"/>
      <c r="G243" s="8"/>
      <c r="H243" s="7"/>
      <c r="J243" s="24" t="str">
        <f t="shared" ref="J243" si="200">CONCATENATE(K241,2)</f>
        <v>62</v>
      </c>
      <c r="K243" s="6" t="e">
        <v>#VALUE!</v>
      </c>
      <c r="L243" s="6" t="e">
        <v>#VALUE!</v>
      </c>
      <c r="M243" s="6" t="e">
        <v>#VALUE!</v>
      </c>
      <c r="N243" s="6" t="e">
        <v>#VALUE!</v>
      </c>
      <c r="O243" s="6" t="e">
        <v>#VALUE!</v>
      </c>
      <c r="T243" s="9"/>
      <c r="U243" s="1">
        <f t="shared" si="171"/>
        <v>6</v>
      </c>
      <c r="V243" s="1">
        <f t="shared" si="172"/>
        <v>222</v>
      </c>
    </row>
    <row r="244" spans="1:22" x14ac:dyDescent="0.3">
      <c r="A244" s="1">
        <f t="shared" si="173"/>
        <v>6223</v>
      </c>
      <c r="B244" s="4"/>
      <c r="C244" s="4"/>
      <c r="D244" s="4"/>
      <c r="E244" s="4"/>
      <c r="F244" s="14"/>
      <c r="G244" s="8"/>
      <c r="H244" s="7"/>
      <c r="J244" s="24" t="str">
        <f t="shared" ref="J244" si="201">CONCATENATE(K241,3)</f>
        <v>63</v>
      </c>
      <c r="K244" s="6" t="e">
        <v>#VALUE!</v>
      </c>
      <c r="L244" s="6" t="e">
        <v>#VALUE!</v>
      </c>
      <c r="M244" s="6" t="e">
        <v>#VALUE!</v>
      </c>
      <c r="N244" s="6" t="e">
        <v>#VALUE!</v>
      </c>
      <c r="O244" s="6" t="e">
        <v>#VALUE!</v>
      </c>
      <c r="T244" s="9"/>
      <c r="U244" s="1">
        <f t="shared" si="171"/>
        <v>6</v>
      </c>
      <c r="V244" s="1">
        <f t="shared" si="172"/>
        <v>223</v>
      </c>
    </row>
    <row r="245" spans="1:22" x14ac:dyDescent="0.3">
      <c r="A245" s="1">
        <f t="shared" si="173"/>
        <v>6224</v>
      </c>
      <c r="B245" s="4"/>
      <c r="C245" s="4"/>
      <c r="D245" s="4"/>
      <c r="E245" s="4"/>
      <c r="F245" s="14"/>
      <c r="G245" s="8"/>
      <c r="H245" s="7"/>
      <c r="K245" s="1">
        <v>7</v>
      </c>
      <c r="L245" s="1">
        <v>7</v>
      </c>
      <c r="M245" s="1">
        <v>7</v>
      </c>
      <c r="N245" s="1">
        <v>7</v>
      </c>
      <c r="O245" s="1">
        <v>7</v>
      </c>
      <c r="P245" s="1">
        <v>7</v>
      </c>
      <c r="T245" s="9"/>
      <c r="U245" s="1">
        <f t="shared" si="171"/>
        <v>6</v>
      </c>
      <c r="V245" s="1">
        <f t="shared" si="172"/>
        <v>224</v>
      </c>
    </row>
    <row r="246" spans="1:22" x14ac:dyDescent="0.3">
      <c r="A246" s="1">
        <f t="shared" si="173"/>
        <v>6225</v>
      </c>
      <c r="B246" s="4"/>
      <c r="C246" s="4"/>
      <c r="D246" s="4"/>
      <c r="E246" s="4"/>
      <c r="F246" s="14"/>
      <c r="G246" s="8"/>
      <c r="H246" s="7"/>
      <c r="J246" s="24" t="str">
        <f t="shared" ref="J246" si="202">CONCATENATE(K245,1)</f>
        <v>71</v>
      </c>
      <c r="K246" s="6" t="e">
        <f t="array" ref="K246:P248">LINEST(B238:B244,C238:C244^{1,2,3,4,5},TRUE,TRUE)</f>
        <v>#VALUE!</v>
      </c>
      <c r="L246" s="6" t="e">
        <v>#VALUE!</v>
      </c>
      <c r="M246" s="6" t="e">
        <v>#VALUE!</v>
      </c>
      <c r="N246" s="6" t="e">
        <v>#VALUE!</v>
      </c>
      <c r="O246" s="6" t="e">
        <v>#VALUE!</v>
      </c>
      <c r="P246" s="6" t="e">
        <v>#VALUE!</v>
      </c>
      <c r="T246" s="9"/>
      <c r="U246" s="1">
        <f t="shared" si="171"/>
        <v>6</v>
      </c>
      <c r="V246" s="1">
        <f t="shared" si="172"/>
        <v>225</v>
      </c>
    </row>
    <row r="247" spans="1:22" x14ac:dyDescent="0.3">
      <c r="A247" s="1">
        <f t="shared" si="173"/>
        <v>6226</v>
      </c>
      <c r="B247" s="4"/>
      <c r="C247" s="4"/>
      <c r="D247" s="4"/>
      <c r="E247" s="4"/>
      <c r="F247" s="14"/>
      <c r="G247" s="8"/>
      <c r="H247" s="7"/>
      <c r="J247" s="24" t="str">
        <f t="shared" ref="J247" si="203">CONCATENATE(K245,2)</f>
        <v>72</v>
      </c>
      <c r="K247" s="6" t="e">
        <v>#VALUE!</v>
      </c>
      <c r="L247" s="6" t="e">
        <v>#VALUE!</v>
      </c>
      <c r="M247" s="6" t="e">
        <v>#VALUE!</v>
      </c>
      <c r="N247" s="6" t="e">
        <v>#VALUE!</v>
      </c>
      <c r="O247" s="6" t="e">
        <v>#VALUE!</v>
      </c>
      <c r="P247" s="6" t="e">
        <v>#VALUE!</v>
      </c>
      <c r="T247" s="9"/>
      <c r="U247" s="1">
        <f t="shared" si="171"/>
        <v>6</v>
      </c>
      <c r="V247" s="1">
        <f t="shared" si="172"/>
        <v>226</v>
      </c>
    </row>
    <row r="248" spans="1:22" x14ac:dyDescent="0.3">
      <c r="A248" s="1">
        <f t="shared" si="173"/>
        <v>6227</v>
      </c>
      <c r="B248" s="9"/>
      <c r="C248" s="9"/>
      <c r="D248" s="9"/>
      <c r="E248" s="9"/>
      <c r="F248" s="9"/>
      <c r="G248" s="9"/>
      <c r="H248" s="9"/>
      <c r="J248" s="24" t="str">
        <f t="shared" ref="J248" si="204">CONCATENATE(K245,3)</f>
        <v>73</v>
      </c>
      <c r="K248" s="6" t="e">
        <v>#VALUE!</v>
      </c>
      <c r="L248" s="6" t="e">
        <v>#VALUE!</v>
      </c>
      <c r="M248" s="6" t="e">
        <v>#VALUE!</v>
      </c>
      <c r="N248" s="6" t="e">
        <v>#VALUE!</v>
      </c>
      <c r="O248" s="6" t="e">
        <v>#VALUE!</v>
      </c>
      <c r="P248" s="6" t="e">
        <v>#VALUE!</v>
      </c>
      <c r="T248" s="9"/>
      <c r="U248" s="1">
        <f t="shared" si="171"/>
        <v>6</v>
      </c>
      <c r="V248" s="1">
        <f t="shared" si="172"/>
        <v>227</v>
      </c>
    </row>
    <row r="249" spans="1:22" x14ac:dyDescent="0.3">
      <c r="A249" s="1">
        <f t="shared" si="173"/>
        <v>6228</v>
      </c>
      <c r="B249" s="87" t="s">
        <v>33</v>
      </c>
      <c r="C249" s="88"/>
      <c r="D249" s="88"/>
      <c r="E249" s="88"/>
      <c r="F249" s="88"/>
      <c r="G249" s="88"/>
      <c r="H249" s="89"/>
      <c r="K249" s="1">
        <v>8</v>
      </c>
      <c r="L249" s="1">
        <v>8</v>
      </c>
      <c r="M249" s="1">
        <v>8</v>
      </c>
      <c r="N249" s="1">
        <v>8</v>
      </c>
      <c r="O249" s="1">
        <v>8</v>
      </c>
      <c r="P249" s="1">
        <v>8</v>
      </c>
      <c r="Q249" s="1">
        <v>8</v>
      </c>
      <c r="T249" s="9"/>
      <c r="U249" s="1">
        <f t="shared" si="171"/>
        <v>6</v>
      </c>
      <c r="V249" s="1">
        <f t="shared" si="172"/>
        <v>228</v>
      </c>
    </row>
    <row r="250" spans="1:22" x14ac:dyDescent="0.3">
      <c r="A250" s="1">
        <f t="shared" si="173"/>
        <v>6229</v>
      </c>
      <c r="B250" s="90"/>
      <c r="C250" s="91"/>
      <c r="D250" s="91"/>
      <c r="E250" s="91"/>
      <c r="F250" s="91"/>
      <c r="G250" s="91"/>
      <c r="H250" s="92"/>
      <c r="J250" s="24" t="str">
        <f t="shared" ref="J250" si="205">CONCATENATE(K249,1)</f>
        <v>81</v>
      </c>
      <c r="K250" s="6" t="e">
        <f t="array" ref="K250:Q252">LINEST(B238:B245,C238:C245^{1,2,3,4,5,6},TRUE,TRUE)</f>
        <v>#VALUE!</v>
      </c>
      <c r="L250" s="6" t="e">
        <v>#VALUE!</v>
      </c>
      <c r="M250" s="6" t="e">
        <v>#VALUE!</v>
      </c>
      <c r="N250" s="6" t="e">
        <v>#VALUE!</v>
      </c>
      <c r="O250" s="6" t="e">
        <v>#VALUE!</v>
      </c>
      <c r="P250" s="6" t="e">
        <v>#VALUE!</v>
      </c>
      <c r="Q250" s="6" t="e">
        <v>#VALUE!</v>
      </c>
      <c r="T250" s="9"/>
      <c r="U250" s="1">
        <f t="shared" si="171"/>
        <v>6</v>
      </c>
      <c r="V250" s="1">
        <f t="shared" si="172"/>
        <v>229</v>
      </c>
    </row>
    <row r="251" spans="1:22" x14ac:dyDescent="0.3">
      <c r="A251" s="1">
        <f t="shared" si="173"/>
        <v>6230</v>
      </c>
      <c r="B251" s="93"/>
      <c r="C251" s="94"/>
      <c r="D251" s="94"/>
      <c r="E251" s="94"/>
      <c r="F251" s="94"/>
      <c r="G251" s="94"/>
      <c r="H251" s="95"/>
      <c r="J251" s="24" t="str">
        <f t="shared" ref="J251" si="206">CONCATENATE(K249,2)</f>
        <v>82</v>
      </c>
      <c r="K251" s="6" t="e">
        <v>#VALUE!</v>
      </c>
      <c r="L251" s="6" t="e">
        <v>#VALUE!</v>
      </c>
      <c r="M251" s="6" t="e">
        <v>#VALUE!</v>
      </c>
      <c r="N251" s="6" t="e">
        <v>#VALUE!</v>
      </c>
      <c r="O251" s="6" t="e">
        <v>#VALUE!</v>
      </c>
      <c r="P251" s="6" t="e">
        <v>#VALUE!</v>
      </c>
      <c r="Q251" s="6" t="e">
        <v>#VALUE!</v>
      </c>
      <c r="T251" s="9"/>
      <c r="U251" s="1">
        <f t="shared" si="171"/>
        <v>6</v>
      </c>
      <c r="V251" s="1">
        <f t="shared" si="172"/>
        <v>230</v>
      </c>
    </row>
    <row r="252" spans="1:22" x14ac:dyDescent="0.3">
      <c r="A252" s="1">
        <f t="shared" si="173"/>
        <v>6231</v>
      </c>
      <c r="J252" s="24" t="str">
        <f t="shared" ref="J252" si="207">CONCATENATE(K249,3)</f>
        <v>83</v>
      </c>
      <c r="K252" s="6" t="e">
        <v>#VALUE!</v>
      </c>
      <c r="L252" s="6" t="e">
        <v>#VALUE!</v>
      </c>
      <c r="M252" s="6" t="e">
        <v>#VALUE!</v>
      </c>
      <c r="N252" s="6" t="e">
        <v>#VALUE!</v>
      </c>
      <c r="O252" s="6" t="e">
        <v>#VALUE!</v>
      </c>
      <c r="P252" s="6" t="e">
        <v>#VALUE!</v>
      </c>
      <c r="Q252" s="6" t="e">
        <v>#VALUE!</v>
      </c>
      <c r="T252" s="9"/>
      <c r="U252" s="1">
        <f t="shared" si="171"/>
        <v>6</v>
      </c>
      <c r="V252" s="1">
        <f t="shared" si="172"/>
        <v>231</v>
      </c>
    </row>
    <row r="253" spans="1:22" ht="15" customHeight="1" x14ac:dyDescent="0.3">
      <c r="A253" s="1">
        <f t="shared" si="173"/>
        <v>6232</v>
      </c>
      <c r="B253" s="10" t="s">
        <v>34</v>
      </c>
      <c r="C253" s="10" t="s">
        <v>35</v>
      </c>
      <c r="D253" s="10" t="s">
        <v>36</v>
      </c>
      <c r="E253" s="74" t="s">
        <v>37</v>
      </c>
      <c r="F253" s="75"/>
      <c r="G253" s="76"/>
      <c r="K253" s="1">
        <v>9</v>
      </c>
      <c r="L253" s="1">
        <v>9</v>
      </c>
      <c r="M253" s="1">
        <v>9</v>
      </c>
      <c r="N253" s="1">
        <v>9</v>
      </c>
      <c r="O253" s="1">
        <v>9</v>
      </c>
      <c r="P253" s="1">
        <v>9</v>
      </c>
      <c r="Q253" s="1">
        <v>9</v>
      </c>
      <c r="R253" s="1">
        <v>9</v>
      </c>
      <c r="T253" s="9"/>
      <c r="U253" s="1">
        <f t="shared" si="171"/>
        <v>6</v>
      </c>
      <c r="V253" s="1">
        <f t="shared" si="172"/>
        <v>232</v>
      </c>
    </row>
    <row r="254" spans="1:22" x14ac:dyDescent="0.3">
      <c r="A254" s="1">
        <f t="shared" si="173"/>
        <v>6233</v>
      </c>
      <c r="B254" s="12">
        <f t="shared" ref="B254:B263" si="208">C238-B238</f>
        <v>0</v>
      </c>
      <c r="C254" s="13">
        <f t="shared" ref="C254:C263" si="209">H238-G238</f>
        <v>0</v>
      </c>
      <c r="D254" s="10">
        <f>C254-B254</f>
        <v>0</v>
      </c>
      <c r="E254" s="11">
        <f>IF(D229="","",MAX(F254,G254))</f>
        <v>1.2999999999999972</v>
      </c>
      <c r="F254" s="10">
        <f>ABS(MIN(D254:D263))</f>
        <v>1.2999999999999972</v>
      </c>
      <c r="G254" s="10">
        <f>ABS(MAX(D254:D263))</f>
        <v>0</v>
      </c>
      <c r="J254" s="24" t="str">
        <f t="shared" ref="J254" si="210">CONCATENATE(K253,1)</f>
        <v>91</v>
      </c>
      <c r="K254" s="6" t="e">
        <f t="array" ref="K254:R256">LINEST(B238:B246,C238:C246^{1,2,3,4,5,6,7},TRUE,TRUE)</f>
        <v>#VALUE!</v>
      </c>
      <c r="L254" s="6" t="e">
        <v>#VALUE!</v>
      </c>
      <c r="M254" s="6" t="e">
        <v>#VALUE!</v>
      </c>
      <c r="N254" s="6" t="e">
        <v>#VALUE!</v>
      </c>
      <c r="O254" s="6" t="e">
        <v>#VALUE!</v>
      </c>
      <c r="P254" s="6" t="e">
        <v>#VALUE!</v>
      </c>
      <c r="Q254" s="6" t="e">
        <v>#VALUE!</v>
      </c>
      <c r="R254" s="6" t="e">
        <v>#VALUE!</v>
      </c>
      <c r="T254" s="9"/>
      <c r="U254" s="1">
        <f t="shared" si="171"/>
        <v>6</v>
      </c>
      <c r="V254" s="1">
        <f t="shared" si="172"/>
        <v>233</v>
      </c>
    </row>
    <row r="255" spans="1:22" x14ac:dyDescent="0.3">
      <c r="A255" s="1">
        <f t="shared" si="173"/>
        <v>6234</v>
      </c>
      <c r="B255" s="12">
        <f t="shared" si="208"/>
        <v>0.5</v>
      </c>
      <c r="C255" s="13">
        <f t="shared" si="209"/>
        <v>0</v>
      </c>
      <c r="D255" s="10">
        <f t="shared" ref="D255:D263" si="211">C255-B255</f>
        <v>-0.5</v>
      </c>
      <c r="E255" s="74" t="s">
        <v>38</v>
      </c>
      <c r="F255" s="75"/>
      <c r="G255" s="76"/>
      <c r="J255" s="24" t="str">
        <f t="shared" ref="J255" si="212">CONCATENATE(K253,2)</f>
        <v>92</v>
      </c>
      <c r="K255" s="6" t="e">
        <v>#VALUE!</v>
      </c>
      <c r="L255" s="6" t="e">
        <v>#VALUE!</v>
      </c>
      <c r="M255" s="6" t="e">
        <v>#VALUE!</v>
      </c>
      <c r="N255" s="6" t="e">
        <v>#VALUE!</v>
      </c>
      <c r="O255" s="6" t="e">
        <v>#VALUE!</v>
      </c>
      <c r="P255" s="6" t="e">
        <v>#VALUE!</v>
      </c>
      <c r="Q255" s="6" t="e">
        <v>#VALUE!</v>
      </c>
      <c r="R255" s="6" t="e">
        <v>#VALUE!</v>
      </c>
      <c r="T255" s="9"/>
      <c r="U255" s="1">
        <f t="shared" si="171"/>
        <v>6</v>
      </c>
      <c r="V255" s="1">
        <f t="shared" si="172"/>
        <v>234</v>
      </c>
    </row>
    <row r="256" spans="1:22" x14ac:dyDescent="0.3">
      <c r="A256" s="1">
        <f t="shared" si="173"/>
        <v>6235</v>
      </c>
      <c r="B256" s="12">
        <f t="shared" si="208"/>
        <v>1.2999999999999972</v>
      </c>
      <c r="C256" s="13">
        <f t="shared" si="209"/>
        <v>0</v>
      </c>
      <c r="D256" s="10">
        <f t="shared" si="211"/>
        <v>-1.2999999999999972</v>
      </c>
      <c r="E256" s="11">
        <f>IF(D229="","",MAX(F256,G256))</f>
        <v>1.2999999999999972</v>
      </c>
      <c r="F256" s="10">
        <f>ABS(MIN(B254:B263))</f>
        <v>0</v>
      </c>
      <c r="G256" s="10">
        <f>ABS(MAX(B254:B263))</f>
        <v>1.2999999999999972</v>
      </c>
      <c r="J256" s="24" t="str">
        <f t="shared" ref="J256" si="213">CONCATENATE(K253,3)</f>
        <v>93</v>
      </c>
      <c r="K256" s="6" t="e">
        <v>#VALUE!</v>
      </c>
      <c r="L256" s="6" t="e">
        <v>#VALUE!</v>
      </c>
      <c r="M256" s="6" t="e">
        <v>#VALUE!</v>
      </c>
      <c r="N256" s="6" t="e">
        <v>#VALUE!</v>
      </c>
      <c r="O256" s="6" t="e">
        <v>#VALUE!</v>
      </c>
      <c r="P256" s="6" t="e">
        <v>#VALUE!</v>
      </c>
      <c r="Q256" s="6" t="e">
        <v>#VALUE!</v>
      </c>
      <c r="R256" s="6" t="e">
        <v>#VALUE!</v>
      </c>
      <c r="T256" s="9"/>
      <c r="U256" s="1">
        <f t="shared" si="171"/>
        <v>6</v>
      </c>
      <c r="V256" s="1">
        <f t="shared" si="172"/>
        <v>235</v>
      </c>
    </row>
    <row r="257" spans="1:22" x14ac:dyDescent="0.3">
      <c r="A257" s="1">
        <f t="shared" si="173"/>
        <v>6236</v>
      </c>
      <c r="B257" s="12">
        <f t="shared" si="208"/>
        <v>0</v>
      </c>
      <c r="C257" s="13">
        <f t="shared" si="209"/>
        <v>0</v>
      </c>
      <c r="D257" s="10">
        <f t="shared" si="211"/>
        <v>0</v>
      </c>
      <c r="E257" s="74" t="s">
        <v>39</v>
      </c>
      <c r="F257" s="75"/>
      <c r="G257" s="76"/>
      <c r="K257" s="1">
        <v>10</v>
      </c>
      <c r="L257" s="1">
        <v>10</v>
      </c>
      <c r="M257" s="1">
        <v>10</v>
      </c>
      <c r="N257" s="1">
        <v>10</v>
      </c>
      <c r="O257" s="1">
        <v>10</v>
      </c>
      <c r="P257" s="1">
        <v>10</v>
      </c>
      <c r="Q257" s="1">
        <v>10</v>
      </c>
      <c r="R257" s="1">
        <v>10</v>
      </c>
      <c r="S257" s="1">
        <v>10</v>
      </c>
      <c r="T257" s="9"/>
      <c r="U257" s="1">
        <f t="shared" si="171"/>
        <v>6</v>
      </c>
      <c r="V257" s="1">
        <f t="shared" si="172"/>
        <v>236</v>
      </c>
    </row>
    <row r="258" spans="1:22" x14ac:dyDescent="0.3">
      <c r="A258" s="1">
        <f t="shared" si="173"/>
        <v>6237</v>
      </c>
      <c r="B258" s="12">
        <f t="shared" si="208"/>
        <v>0</v>
      </c>
      <c r="C258" s="13">
        <f t="shared" si="209"/>
        <v>0</v>
      </c>
      <c r="D258" s="10">
        <f t="shared" si="211"/>
        <v>0</v>
      </c>
      <c r="E258" s="11">
        <f>IF(D229="","",MAX(F258,G258))</f>
        <v>1.1000000000000001</v>
      </c>
      <c r="F258" s="10">
        <f>ABS(MIN(D238:D247))</f>
        <v>0.7</v>
      </c>
      <c r="G258" s="10">
        <f>ABS(MAX(D238:D247))</f>
        <v>1.1000000000000001</v>
      </c>
      <c r="J258" s="24" t="str">
        <f t="shared" ref="J258" si="214">CONCATENATE(K257,1)</f>
        <v>101</v>
      </c>
      <c r="K258" s="6" t="e">
        <f t="array" ref="K258:S260">LINEST(B238:B247,C238:C247^{1,2,3,4,5,6,7,8},TRUE,TRUE)</f>
        <v>#VALUE!</v>
      </c>
      <c r="L258" s="6" t="e">
        <v>#VALUE!</v>
      </c>
      <c r="M258" s="6" t="e">
        <v>#VALUE!</v>
      </c>
      <c r="N258" s="6" t="e">
        <v>#VALUE!</v>
      </c>
      <c r="O258" s="6" t="e">
        <v>#VALUE!</v>
      </c>
      <c r="P258" s="6" t="e">
        <v>#VALUE!</v>
      </c>
      <c r="Q258" s="6" t="e">
        <v>#VALUE!</v>
      </c>
      <c r="R258" s="6" t="e">
        <v>#VALUE!</v>
      </c>
      <c r="S258" s="6" t="e">
        <v>#VALUE!</v>
      </c>
      <c r="T258" s="9"/>
      <c r="U258" s="1">
        <f t="shared" si="171"/>
        <v>6</v>
      </c>
      <c r="V258" s="1">
        <f t="shared" si="172"/>
        <v>237</v>
      </c>
    </row>
    <row r="259" spans="1:22" x14ac:dyDescent="0.3">
      <c r="A259" s="1">
        <f t="shared" si="173"/>
        <v>6238</v>
      </c>
      <c r="B259" s="12">
        <f t="shared" si="208"/>
        <v>0</v>
      </c>
      <c r="C259" s="13">
        <f t="shared" si="209"/>
        <v>0</v>
      </c>
      <c r="D259" s="10">
        <f t="shared" si="211"/>
        <v>0</v>
      </c>
      <c r="J259" s="24" t="str">
        <f t="shared" ref="J259" si="215">CONCATENATE(K257,2)</f>
        <v>102</v>
      </c>
      <c r="K259" s="6" t="e">
        <v>#VALUE!</v>
      </c>
      <c r="L259" s="6" t="e">
        <v>#VALUE!</v>
      </c>
      <c r="M259" s="6" t="e">
        <v>#VALUE!</v>
      </c>
      <c r="N259" s="6" t="e">
        <v>#VALUE!</v>
      </c>
      <c r="O259" s="6" t="e">
        <v>#VALUE!</v>
      </c>
      <c r="P259" s="6" t="e">
        <v>#VALUE!</v>
      </c>
      <c r="Q259" s="6" t="e">
        <v>#VALUE!</v>
      </c>
      <c r="R259" s="6" t="e">
        <v>#VALUE!</v>
      </c>
      <c r="S259" s="6" t="e">
        <v>#VALUE!</v>
      </c>
      <c r="T259" s="9"/>
      <c r="U259" s="1">
        <f t="shared" si="171"/>
        <v>6</v>
      </c>
      <c r="V259" s="1">
        <f t="shared" si="172"/>
        <v>238</v>
      </c>
    </row>
    <row r="260" spans="1:22" x14ac:dyDescent="0.3">
      <c r="A260" s="1">
        <f t="shared" si="173"/>
        <v>6239</v>
      </c>
      <c r="B260" s="12">
        <f t="shared" si="208"/>
        <v>0</v>
      </c>
      <c r="C260" s="13">
        <f t="shared" si="209"/>
        <v>0</v>
      </c>
      <c r="D260" s="10">
        <f t="shared" si="211"/>
        <v>0</v>
      </c>
      <c r="J260" s="24" t="str">
        <f t="shared" ref="J260" si="216">CONCATENATE(K257,3)</f>
        <v>103</v>
      </c>
      <c r="K260" s="6" t="e">
        <v>#VALUE!</v>
      </c>
      <c r="L260" s="6" t="e">
        <v>#VALUE!</v>
      </c>
      <c r="M260" s="6" t="e">
        <v>#VALUE!</v>
      </c>
      <c r="N260" s="6" t="e">
        <v>#VALUE!</v>
      </c>
      <c r="O260" s="6" t="e">
        <v>#VALUE!</v>
      </c>
      <c r="P260" s="6" t="e">
        <v>#VALUE!</v>
      </c>
      <c r="Q260" s="6" t="e">
        <v>#VALUE!</v>
      </c>
      <c r="R260" s="6" t="e">
        <v>#VALUE!</v>
      </c>
      <c r="S260" s="6" t="e">
        <v>#VALUE!</v>
      </c>
      <c r="T260" s="9"/>
      <c r="U260" s="1">
        <f t="shared" si="171"/>
        <v>6</v>
      </c>
      <c r="V260" s="1">
        <f t="shared" si="172"/>
        <v>239</v>
      </c>
    </row>
    <row r="261" spans="1:22" x14ac:dyDescent="0.3">
      <c r="A261" s="1">
        <f t="shared" si="173"/>
        <v>6240</v>
      </c>
      <c r="B261" s="12">
        <f t="shared" si="208"/>
        <v>0</v>
      </c>
      <c r="C261" s="13">
        <f t="shared" si="209"/>
        <v>0</v>
      </c>
      <c r="D261" s="10">
        <f t="shared" si="211"/>
        <v>0</v>
      </c>
      <c r="J261" s="9"/>
      <c r="K261" s="9"/>
      <c r="L261" s="9"/>
      <c r="M261" s="9"/>
      <c r="N261" s="9"/>
      <c r="O261" s="9"/>
      <c r="P261" s="9"/>
      <c r="Q261" s="9"/>
      <c r="R261" s="9"/>
      <c r="S261" s="9"/>
      <c r="T261" s="9"/>
      <c r="U261" s="1">
        <f t="shared" si="171"/>
        <v>6</v>
      </c>
      <c r="V261" s="1">
        <f t="shared" si="172"/>
        <v>240</v>
      </c>
    </row>
    <row r="262" spans="1:22" x14ac:dyDescent="0.3">
      <c r="A262" s="1">
        <f t="shared" si="173"/>
        <v>6241</v>
      </c>
      <c r="B262" s="12">
        <f t="shared" si="208"/>
        <v>0</v>
      </c>
      <c r="C262" s="13">
        <f t="shared" si="209"/>
        <v>0</v>
      </c>
      <c r="D262" s="10">
        <f t="shared" si="211"/>
        <v>0</v>
      </c>
      <c r="J262" s="9"/>
      <c r="K262" s="9"/>
      <c r="L262" s="9"/>
      <c r="M262" s="9"/>
      <c r="N262" s="9"/>
      <c r="O262" s="9"/>
      <c r="P262" s="9"/>
      <c r="Q262" s="9"/>
      <c r="R262" s="9"/>
      <c r="S262" s="9"/>
      <c r="T262" s="9"/>
      <c r="U262" s="1">
        <f t="shared" si="171"/>
        <v>6</v>
      </c>
      <c r="V262" s="1">
        <f t="shared" si="172"/>
        <v>241</v>
      </c>
    </row>
    <row r="263" spans="1:22" x14ac:dyDescent="0.3">
      <c r="A263" s="1">
        <f t="shared" si="173"/>
        <v>6242</v>
      </c>
      <c r="B263" s="12">
        <f t="shared" si="208"/>
        <v>0</v>
      </c>
      <c r="C263" s="13">
        <f t="shared" si="209"/>
        <v>0</v>
      </c>
      <c r="D263" s="10">
        <f t="shared" si="211"/>
        <v>0</v>
      </c>
      <c r="J263" s="9"/>
      <c r="K263" s="9"/>
      <c r="L263" s="9"/>
      <c r="M263" s="9"/>
      <c r="N263" s="9"/>
      <c r="O263" s="9"/>
      <c r="P263" s="9"/>
      <c r="Q263" s="9"/>
      <c r="R263" s="9"/>
      <c r="S263" s="9"/>
      <c r="T263" s="9"/>
      <c r="U263" s="1">
        <f t="shared" si="171"/>
        <v>6</v>
      </c>
      <c r="V263" s="1">
        <f t="shared" si="172"/>
        <v>242</v>
      </c>
    </row>
    <row r="264" spans="1:22" x14ac:dyDescent="0.3">
      <c r="A264" s="1">
        <f t="shared" si="173"/>
        <v>6243</v>
      </c>
      <c r="J264" s="9"/>
      <c r="K264" s="9"/>
      <c r="L264" s="9"/>
      <c r="M264" s="9"/>
      <c r="N264" s="9"/>
      <c r="O264" s="9"/>
      <c r="P264" s="9"/>
      <c r="Q264" s="9"/>
      <c r="R264" s="9"/>
      <c r="S264" s="9"/>
      <c r="T264" s="9"/>
      <c r="U264" s="1">
        <f t="shared" si="171"/>
        <v>6</v>
      </c>
      <c r="V264" s="1">
        <f t="shared" si="172"/>
        <v>243</v>
      </c>
    </row>
    <row r="265" spans="1:22" s="5" customFormat="1" x14ac:dyDescent="0.3"/>
    <row r="266" spans="1:22" x14ac:dyDescent="0.3">
      <c r="A266" s="1">
        <f t="shared" ref="A266:A308" si="217">ROUND(CONCATENATE(U266,V266),0)</f>
        <v>7201</v>
      </c>
      <c r="B266" s="96" t="s">
        <v>0</v>
      </c>
      <c r="C266" s="97"/>
      <c r="D266" s="110" t="s">
        <v>46</v>
      </c>
      <c r="E266" s="111"/>
      <c r="F266" s="111"/>
      <c r="G266" s="111"/>
      <c r="H266" s="112"/>
      <c r="J266" s="9"/>
      <c r="K266" s="9"/>
      <c r="L266" s="9"/>
      <c r="M266" s="9"/>
      <c r="N266" s="9"/>
      <c r="O266" s="9"/>
      <c r="P266" s="9"/>
      <c r="Q266" s="9"/>
      <c r="R266" s="9"/>
      <c r="S266" s="9"/>
      <c r="T266" s="9"/>
      <c r="U266" s="1">
        <f t="shared" ref="U266" si="218">U264+1</f>
        <v>7</v>
      </c>
      <c r="V266" s="1">
        <v>201</v>
      </c>
    </row>
    <row r="267" spans="1:22" x14ac:dyDescent="0.3">
      <c r="A267" s="1">
        <f t="shared" si="217"/>
        <v>7202</v>
      </c>
      <c r="B267" s="96" t="s">
        <v>1</v>
      </c>
      <c r="C267" s="97"/>
      <c r="D267" s="15">
        <v>20</v>
      </c>
      <c r="E267" s="16" t="s">
        <v>2</v>
      </c>
      <c r="F267" s="107"/>
      <c r="G267" s="108"/>
      <c r="H267" s="109"/>
      <c r="J267" s="9"/>
      <c r="K267" s="9"/>
      <c r="L267" s="9"/>
      <c r="M267" s="9"/>
      <c r="N267" s="9"/>
      <c r="O267" s="9"/>
      <c r="P267" s="9"/>
      <c r="Q267" s="9"/>
      <c r="R267" s="9"/>
      <c r="S267" s="9"/>
      <c r="T267" s="9"/>
      <c r="U267" s="1">
        <f t="shared" ref="U267" si="219">U266</f>
        <v>7</v>
      </c>
      <c r="V267" s="1">
        <f t="shared" ref="V267" si="220">V266+1</f>
        <v>202</v>
      </c>
    </row>
    <row r="268" spans="1:22" x14ac:dyDescent="0.3">
      <c r="A268" s="1">
        <f t="shared" si="217"/>
        <v>7203</v>
      </c>
      <c r="B268" s="96" t="s">
        <v>12</v>
      </c>
      <c r="C268" s="97"/>
      <c r="D268" s="110" t="s">
        <v>313</v>
      </c>
      <c r="E268" s="111"/>
      <c r="F268" s="111"/>
      <c r="G268" s="111"/>
      <c r="H268" s="112"/>
      <c r="K268" s="1" t="s">
        <v>3</v>
      </c>
      <c r="L268" s="1" t="s">
        <v>4</v>
      </c>
      <c r="M268" s="1" t="s">
        <v>5</v>
      </c>
      <c r="N268" s="1" t="s">
        <v>6</v>
      </c>
      <c r="O268" s="1" t="s">
        <v>7</v>
      </c>
      <c r="P268" s="1" t="s">
        <v>8</v>
      </c>
      <c r="Q268" s="1" t="s">
        <v>9</v>
      </c>
      <c r="R268" s="1" t="s">
        <v>10</v>
      </c>
      <c r="S268" s="1" t="s">
        <v>11</v>
      </c>
      <c r="T268" s="9"/>
      <c r="U268" s="1">
        <f t="shared" si="171"/>
        <v>7</v>
      </c>
      <c r="V268" s="1">
        <f t="shared" si="172"/>
        <v>203</v>
      </c>
    </row>
    <row r="269" spans="1:22" x14ac:dyDescent="0.3">
      <c r="A269" s="1">
        <f t="shared" si="217"/>
        <v>7204</v>
      </c>
      <c r="B269" s="96" t="s">
        <v>13</v>
      </c>
      <c r="C269" s="97"/>
      <c r="D269" s="110" t="s">
        <v>65</v>
      </c>
      <c r="E269" s="111"/>
      <c r="F269" s="111"/>
      <c r="G269" s="111"/>
      <c r="H269" s="112"/>
      <c r="J269" s="1">
        <f>COUNTA(B282:B291)</f>
        <v>3</v>
      </c>
      <c r="K269" s="1">
        <f t="shared" ref="K269" si="221">IF(L269-1&lt;2,0,L269-1)</f>
        <v>0</v>
      </c>
      <c r="L269" s="1">
        <f t="shared" ref="L269" si="222">IF(M269-1&lt;2,0,M269-1)</f>
        <v>0</v>
      </c>
      <c r="M269" s="1">
        <f t="shared" ref="M269" si="223">IF(N269-1&lt;2,0,N269-1)</f>
        <v>0</v>
      </c>
      <c r="N269" s="1">
        <f t="shared" ref="N269" si="224">IF(O269-1&lt;2,0,O269-1)</f>
        <v>0</v>
      </c>
      <c r="O269" s="1">
        <f t="shared" ref="O269" si="225">IF(P269-1&lt;2,0,P269-1)</f>
        <v>0</v>
      </c>
      <c r="P269" s="1">
        <f t="shared" ref="P269" si="226">IF(Q269-1&lt;2,0,Q269-1)</f>
        <v>0</v>
      </c>
      <c r="Q269" s="1">
        <f t="shared" ref="Q269" si="227">IF(R269-1&lt;2,0,R269-1)</f>
        <v>0</v>
      </c>
      <c r="R269" s="1">
        <f>IF(S269-1&lt;2,0,S269-1)</f>
        <v>2</v>
      </c>
      <c r="S269" s="1">
        <f>J269</f>
        <v>3</v>
      </c>
      <c r="T269" s="9"/>
      <c r="U269" s="1">
        <f t="shared" si="171"/>
        <v>7</v>
      </c>
      <c r="V269" s="1">
        <f t="shared" si="172"/>
        <v>204</v>
      </c>
    </row>
    <row r="270" spans="1:22" x14ac:dyDescent="0.3">
      <c r="A270" s="1">
        <f t="shared" si="217"/>
        <v>7205</v>
      </c>
      <c r="B270" s="96" t="s">
        <v>14</v>
      </c>
      <c r="C270" s="97"/>
      <c r="D270" s="110" t="s">
        <v>66</v>
      </c>
      <c r="E270" s="111"/>
      <c r="F270" s="111"/>
      <c r="G270" s="111"/>
      <c r="H270" s="112"/>
      <c r="J270" s="24" t="str">
        <f>CONCATENATE(J269,1)</f>
        <v>31</v>
      </c>
      <c r="K270" s="25">
        <f>IF(K269=0,0,VLOOKUP(J270,J274:S304,K269,FALSE))</f>
        <v>0</v>
      </c>
      <c r="L270" s="25">
        <f>IF(L269=0,0,VLOOKUP(J270,J274:S304,L269,FALSE))</f>
        <v>0</v>
      </c>
      <c r="M270" s="25">
        <f>IF(M269=0,0,VLOOKUP(J270,J274:S304,M269,FALSE))</f>
        <v>0</v>
      </c>
      <c r="N270" s="25">
        <f>IF(N269=0,0,VLOOKUP(J270,J274:S304,N269,FALSE))</f>
        <v>0</v>
      </c>
      <c r="O270" s="25">
        <f>IF(O269=0,0,VLOOKUP(J270,J274:S304,O269,FALSE))</f>
        <v>0</v>
      </c>
      <c r="P270" s="25">
        <f>IF(P269=0,0,VLOOKUP(J270,J274:S304,P269,FALSE))</f>
        <v>0</v>
      </c>
      <c r="Q270" s="25">
        <f>IF(Q269=0,0,VLOOKUP(J270,J274:S304,Q269,FALSE))</f>
        <v>0</v>
      </c>
      <c r="R270" s="25">
        <f>IF(R269=0,0,VLOOKUP(J270,J274:S304,R269,FALSE))</f>
        <v>1.0083948162292247</v>
      </c>
      <c r="S270" s="25">
        <f>IF(S269=0,0,VLOOKUP(J270,J274:S304,S269,FALSE))</f>
        <v>0.2861355598992219</v>
      </c>
      <c r="T270" s="9"/>
      <c r="U270" s="1">
        <f t="shared" si="171"/>
        <v>7</v>
      </c>
      <c r="V270" s="1">
        <f t="shared" si="172"/>
        <v>205</v>
      </c>
    </row>
    <row r="271" spans="1:22" x14ac:dyDescent="0.3">
      <c r="A271" s="1">
        <f t="shared" si="217"/>
        <v>7206</v>
      </c>
      <c r="B271" s="96" t="s">
        <v>15</v>
      </c>
      <c r="C271" s="97"/>
      <c r="D271" s="128" t="s">
        <v>314</v>
      </c>
      <c r="E271" s="129"/>
      <c r="F271" s="129"/>
      <c r="G271" s="129"/>
      <c r="H271" s="130"/>
      <c r="J271" s="24" t="str">
        <f>CONCATENATE(J269,2)</f>
        <v>32</v>
      </c>
      <c r="K271" s="6">
        <f>IF(K269=0,0,VLOOKUP(J271,J274:S304,K269,FALSE))</f>
        <v>0</v>
      </c>
      <c r="L271" s="6">
        <f>IF(L269=0,0,VLOOKUP(J271,J274:S304,L269,FALSE))</f>
        <v>0</v>
      </c>
      <c r="M271" s="6">
        <f>IF(M269=0,0,VLOOKUP(J271,J274:S304,M269,FALSE))</f>
        <v>0</v>
      </c>
      <c r="N271" s="6">
        <f>IF(N269=0,0,VLOOKUP(J271,J274:S304,N269,FALSE))</f>
        <v>0</v>
      </c>
      <c r="O271" s="6">
        <f>IF(O269=0,0,VLOOKUP(J271,J274:S304,O269,FALSE))</f>
        <v>0</v>
      </c>
      <c r="P271" s="6">
        <f>IF(P269=0,0,VLOOKUP(J271,J274:S304,P269,FALSE))</f>
        <v>0</v>
      </c>
      <c r="Q271" s="6">
        <f>IF(Q269=0,0,VLOOKUP(J271,J274:S304,Q269,FALSE))</f>
        <v>0</v>
      </c>
      <c r="R271" s="6">
        <f>IF(R269=0,0,VLOOKUP(J271,J274:S304,R269,FALSE))</f>
        <v>2.9354471526016005E-3</v>
      </c>
      <c r="S271" s="6">
        <f>IF(S269=0,0,VLOOKUP(J271,J274:S304,S269,FALSE))</f>
        <v>0.16133044143317735</v>
      </c>
      <c r="T271" s="9"/>
      <c r="U271" s="1">
        <f t="shared" si="171"/>
        <v>7</v>
      </c>
      <c r="V271" s="1">
        <f t="shared" si="172"/>
        <v>206</v>
      </c>
    </row>
    <row r="272" spans="1:22" x14ac:dyDescent="0.3">
      <c r="A272" s="1">
        <f t="shared" si="217"/>
        <v>7207</v>
      </c>
      <c r="B272" s="96" t="s">
        <v>16</v>
      </c>
      <c r="C272" s="97"/>
      <c r="D272" s="121">
        <v>45761</v>
      </c>
      <c r="E272" s="121"/>
      <c r="F272" s="121"/>
      <c r="G272" s="121"/>
      <c r="H272" s="121"/>
      <c r="J272" s="24" t="str">
        <f>CONCATENATE(J269,3)</f>
        <v>33</v>
      </c>
      <c r="K272" s="6"/>
      <c r="L272" s="6"/>
      <c r="M272" s="6"/>
      <c r="N272" s="6" t="s">
        <v>43</v>
      </c>
      <c r="O272" s="25">
        <f>J269-2</f>
        <v>1</v>
      </c>
      <c r="P272" s="6" t="s">
        <v>44</v>
      </c>
      <c r="Q272" s="25">
        <f>VLOOKUP(J272,J274:S304,3,FALSE)</f>
        <v>0.12350316122964955</v>
      </c>
      <c r="R272" s="6" t="s">
        <v>45</v>
      </c>
      <c r="S272" s="6">
        <f>VLOOKUP(J272,J274:S304,2,FALSE)</f>
        <v>0.99999152609398123</v>
      </c>
      <c r="T272" s="9"/>
      <c r="U272" s="1">
        <f t="shared" si="171"/>
        <v>7</v>
      </c>
      <c r="V272" s="1">
        <f t="shared" si="172"/>
        <v>207</v>
      </c>
    </row>
    <row r="273" spans="1:22" x14ac:dyDescent="0.3">
      <c r="A273" s="1">
        <f t="shared" si="217"/>
        <v>7208</v>
      </c>
      <c r="B273" s="96" t="s">
        <v>17</v>
      </c>
      <c r="C273" s="97"/>
      <c r="D273" s="122">
        <v>46142</v>
      </c>
      <c r="E273" s="122"/>
      <c r="F273" s="122"/>
      <c r="G273" s="122"/>
      <c r="H273" s="122"/>
      <c r="K273" s="1">
        <v>3</v>
      </c>
      <c r="L273" s="1">
        <v>3</v>
      </c>
      <c r="Q273" s="26"/>
      <c r="R273" s="26"/>
      <c r="S273" s="26"/>
      <c r="T273" s="9"/>
      <c r="U273" s="1">
        <f t="shared" si="171"/>
        <v>7</v>
      </c>
      <c r="V273" s="1">
        <f t="shared" si="172"/>
        <v>208</v>
      </c>
    </row>
    <row r="274" spans="1:22" x14ac:dyDescent="0.3">
      <c r="A274" s="1">
        <f t="shared" si="217"/>
        <v>7209</v>
      </c>
      <c r="B274" s="77" t="s">
        <v>19</v>
      </c>
      <c r="C274" s="78"/>
      <c r="D274" s="17">
        <v>0.1</v>
      </c>
      <c r="E274" s="79" t="s">
        <v>40</v>
      </c>
      <c r="F274" s="80"/>
      <c r="G274" s="81"/>
      <c r="H274" s="18" t="s">
        <v>72</v>
      </c>
      <c r="J274" s="24" t="str">
        <f>CONCATENATE(K273,1)</f>
        <v>31</v>
      </c>
      <c r="K274" s="6">
        <f t="array" ref="K274:L276">LINEST(B282:B284,C282:C284^{1},TRUE,TRUE)</f>
        <v>1.0083948162292247</v>
      </c>
      <c r="L274" s="6">
        <v>0.2861355598992219</v>
      </c>
      <c r="Q274" s="9"/>
      <c r="R274" s="9"/>
      <c r="S274" s="9"/>
      <c r="T274" s="9"/>
      <c r="U274" s="1">
        <f t="shared" si="171"/>
        <v>7</v>
      </c>
      <c r="V274" s="1">
        <f t="shared" si="172"/>
        <v>209</v>
      </c>
    </row>
    <row r="275" spans="1:22" x14ac:dyDescent="0.3">
      <c r="A275" s="1">
        <f t="shared" si="217"/>
        <v>7210</v>
      </c>
      <c r="B275" s="77" t="s">
        <v>41</v>
      </c>
      <c r="C275" s="78"/>
      <c r="D275" s="23">
        <f t="shared" ref="D275" si="228">MIN(B282:B291)</f>
        <v>20</v>
      </c>
      <c r="E275" s="20" t="s">
        <v>18</v>
      </c>
      <c r="F275" s="19">
        <f t="shared" ref="F275" si="229">MAX(B282:B291)</f>
        <v>80</v>
      </c>
      <c r="G275" s="21" t="str">
        <f t="shared" ref="G275" si="230">IF(H274="","",H274)</f>
        <v>%ur</v>
      </c>
      <c r="H275" s="22"/>
      <c r="J275" s="24" t="str">
        <f>CONCATENATE(K273,2)</f>
        <v>32</v>
      </c>
      <c r="K275" s="6">
        <v>2.9354471526016005E-3</v>
      </c>
      <c r="L275" s="6">
        <v>0.16133044143317735</v>
      </c>
      <c r="Q275" s="9"/>
      <c r="R275" s="9"/>
      <c r="S275" s="9"/>
      <c r="T275" s="9"/>
      <c r="U275" s="1">
        <f t="shared" si="171"/>
        <v>7</v>
      </c>
      <c r="V275" s="1">
        <f t="shared" si="172"/>
        <v>210</v>
      </c>
    </row>
    <row r="276" spans="1:22" x14ac:dyDescent="0.3">
      <c r="A276" s="1">
        <f t="shared" si="217"/>
        <v>7211</v>
      </c>
      <c r="J276" s="24" t="str">
        <f>CONCATENATE(K273,3)</f>
        <v>33</v>
      </c>
      <c r="K276" s="6">
        <v>0.99999152609398123</v>
      </c>
      <c r="L276" s="6">
        <v>0.12350316122964955</v>
      </c>
      <c r="Q276" s="9"/>
      <c r="R276" s="9"/>
      <c r="S276" s="9"/>
      <c r="T276" s="9"/>
      <c r="U276" s="1">
        <f t="shared" si="171"/>
        <v>7</v>
      </c>
      <c r="V276" s="1">
        <f t="shared" si="172"/>
        <v>211</v>
      </c>
    </row>
    <row r="277" spans="1:22" x14ac:dyDescent="0.3">
      <c r="A277" s="1">
        <f t="shared" si="217"/>
        <v>7212</v>
      </c>
      <c r="B277" s="82" t="s">
        <v>20</v>
      </c>
      <c r="C277" s="83"/>
      <c r="D277" s="83"/>
      <c r="E277" s="83"/>
      <c r="F277" s="84"/>
      <c r="G277" s="85" t="s">
        <v>31</v>
      </c>
      <c r="H277" s="86"/>
      <c r="K277" s="1">
        <v>4</v>
      </c>
      <c r="L277" s="1">
        <v>4</v>
      </c>
      <c r="M277" s="1">
        <v>4</v>
      </c>
      <c r="Q277" s="9"/>
      <c r="R277" s="9"/>
      <c r="S277" s="9"/>
      <c r="T277" s="9"/>
      <c r="U277" s="1">
        <f t="shared" si="171"/>
        <v>7</v>
      </c>
      <c r="V277" s="1">
        <f t="shared" si="172"/>
        <v>212</v>
      </c>
    </row>
    <row r="278" spans="1:22" x14ac:dyDescent="0.3">
      <c r="A278" s="1">
        <f t="shared" si="217"/>
        <v>7213</v>
      </c>
      <c r="B278" s="82" t="s">
        <v>30</v>
      </c>
      <c r="C278" s="83"/>
      <c r="D278" s="84"/>
      <c r="E278" s="82" t="str">
        <f t="shared" ref="E278" si="231">D271</f>
        <v>E0209/25</v>
      </c>
      <c r="F278" s="84"/>
      <c r="G278" s="6" t="s">
        <v>32</v>
      </c>
      <c r="H278" s="7"/>
      <c r="J278" s="24" t="str">
        <f t="shared" ref="J278" si="232">CONCATENATE(K277,1)</f>
        <v>41</v>
      </c>
      <c r="K278" s="6" t="e">
        <f t="array" ref="K278:M280">LINEST(B282:B285,C282:C285^{1,2},TRUE,TRUE)</f>
        <v>#VALUE!</v>
      </c>
      <c r="L278" s="6" t="e">
        <v>#VALUE!</v>
      </c>
      <c r="M278" s="6" t="e">
        <v>#VALUE!</v>
      </c>
      <c r="Q278" s="9"/>
      <c r="R278" s="9"/>
      <c r="S278" s="9"/>
      <c r="T278" s="9"/>
      <c r="U278" s="1">
        <f t="shared" si="171"/>
        <v>7</v>
      </c>
      <c r="V278" s="1">
        <f t="shared" si="172"/>
        <v>213</v>
      </c>
    </row>
    <row r="279" spans="1:22" x14ac:dyDescent="0.3">
      <c r="A279" s="1">
        <f t="shared" si="217"/>
        <v>7214</v>
      </c>
      <c r="B279" s="2" t="s">
        <v>21</v>
      </c>
      <c r="C279" s="2" t="s">
        <v>22</v>
      </c>
      <c r="D279" s="2" t="s">
        <v>23</v>
      </c>
      <c r="E279" s="2"/>
      <c r="F279" s="2" t="s">
        <v>28</v>
      </c>
      <c r="G279" s="2" t="s">
        <v>21</v>
      </c>
      <c r="H279" s="2" t="s">
        <v>22</v>
      </c>
      <c r="J279" s="24" t="str">
        <f t="shared" ref="J279" si="233">CONCATENATE(K277,2)</f>
        <v>42</v>
      </c>
      <c r="K279" s="6" t="e">
        <v>#VALUE!</v>
      </c>
      <c r="L279" s="6" t="e">
        <v>#VALUE!</v>
      </c>
      <c r="M279" s="6" t="e">
        <v>#VALUE!</v>
      </c>
      <c r="Q279" s="9"/>
      <c r="R279" s="9"/>
      <c r="S279" s="9"/>
      <c r="T279" s="9"/>
      <c r="U279" s="1">
        <f t="shared" si="171"/>
        <v>7</v>
      </c>
      <c r="V279" s="1">
        <f t="shared" si="172"/>
        <v>214</v>
      </c>
    </row>
    <row r="280" spans="1:22" x14ac:dyDescent="0.3">
      <c r="A280" s="1">
        <f t="shared" si="217"/>
        <v>7215</v>
      </c>
      <c r="B280" s="2" t="s">
        <v>24</v>
      </c>
      <c r="C280" s="2" t="s">
        <v>25</v>
      </c>
      <c r="D280" s="2" t="s">
        <v>26</v>
      </c>
      <c r="E280" s="2" t="s">
        <v>27</v>
      </c>
      <c r="F280" s="2" t="s">
        <v>29</v>
      </c>
      <c r="G280" s="2" t="s">
        <v>24</v>
      </c>
      <c r="H280" s="2" t="s">
        <v>25</v>
      </c>
      <c r="J280" s="24" t="str">
        <f t="shared" ref="J280" si="234">CONCATENATE(K277,3)</f>
        <v>43</v>
      </c>
      <c r="K280" s="6" t="e">
        <v>#VALUE!</v>
      </c>
      <c r="L280" s="6" t="e">
        <v>#VALUE!</v>
      </c>
      <c r="M280" s="6" t="e">
        <v>#VALUE!</v>
      </c>
      <c r="Q280" s="9"/>
      <c r="R280" s="9"/>
      <c r="S280" s="9"/>
      <c r="T280" s="9"/>
      <c r="U280" s="1">
        <f t="shared" si="171"/>
        <v>7</v>
      </c>
      <c r="V280" s="1">
        <f t="shared" si="172"/>
        <v>215</v>
      </c>
    </row>
    <row r="281" spans="1:22" x14ac:dyDescent="0.3">
      <c r="A281" s="1">
        <f t="shared" si="217"/>
        <v>7216</v>
      </c>
      <c r="B281" s="3" t="str">
        <f t="shared" ref="B281" si="235">H274</f>
        <v>%ur</v>
      </c>
      <c r="C281" s="3" t="str">
        <f t="shared" ref="C281" si="236">B281</f>
        <v>%ur</v>
      </c>
      <c r="D281" s="3" t="str">
        <f t="shared" ref="D281" si="237">C281</f>
        <v>%ur</v>
      </c>
      <c r="E281" s="3"/>
      <c r="F281" s="3"/>
      <c r="G281" s="3" t="str">
        <f t="shared" ref="G281" si="238">D281</f>
        <v>%ur</v>
      </c>
      <c r="H281" s="3" t="str">
        <f t="shared" ref="H281" si="239">G281</f>
        <v>%ur</v>
      </c>
      <c r="K281" s="1">
        <v>5</v>
      </c>
      <c r="L281" s="1">
        <v>5</v>
      </c>
      <c r="M281" s="1">
        <v>5</v>
      </c>
      <c r="N281" s="1">
        <v>5</v>
      </c>
      <c r="Q281" s="9"/>
      <c r="R281" s="9"/>
      <c r="S281" s="9"/>
      <c r="T281" s="9"/>
      <c r="U281" s="1">
        <f t="shared" si="171"/>
        <v>7</v>
      </c>
      <c r="V281" s="1">
        <f t="shared" si="172"/>
        <v>216</v>
      </c>
    </row>
    <row r="282" spans="1:22" x14ac:dyDescent="0.3">
      <c r="A282" s="1">
        <f t="shared" si="217"/>
        <v>7217</v>
      </c>
      <c r="B282" s="65">
        <v>20</v>
      </c>
      <c r="C282" s="65">
        <v>19.600000000000001</v>
      </c>
      <c r="D282" s="65">
        <v>0.7</v>
      </c>
      <c r="E282" s="4">
        <v>2</v>
      </c>
      <c r="F282" s="14">
        <v>1000000</v>
      </c>
      <c r="G282" s="66"/>
      <c r="H282" s="66"/>
      <c r="J282" s="24" t="str">
        <f t="shared" ref="J282" si="240">CONCATENATE(K281,1)</f>
        <v>51</v>
      </c>
      <c r="K282" s="6" t="e">
        <f t="array" ref="K282:N284">LINEST(B282:B286,C282:C286^{1,2,3},TRUE,TRUE)</f>
        <v>#VALUE!</v>
      </c>
      <c r="L282" s="6" t="e">
        <v>#VALUE!</v>
      </c>
      <c r="M282" s="6" t="e">
        <v>#VALUE!</v>
      </c>
      <c r="N282" s="6" t="e">
        <v>#VALUE!</v>
      </c>
      <c r="Q282" s="9"/>
      <c r="R282" s="9"/>
      <c r="S282" s="9"/>
      <c r="T282" s="9"/>
      <c r="U282" s="1">
        <f t="shared" si="171"/>
        <v>7</v>
      </c>
      <c r="V282" s="1">
        <f t="shared" si="172"/>
        <v>217</v>
      </c>
    </row>
    <row r="283" spans="1:22" x14ac:dyDescent="0.3">
      <c r="A283" s="1">
        <f t="shared" si="217"/>
        <v>7218</v>
      </c>
      <c r="B283" s="65">
        <v>50</v>
      </c>
      <c r="C283" s="65">
        <v>49.2</v>
      </c>
      <c r="D283" s="65">
        <v>1.1000000000000001</v>
      </c>
      <c r="E283" s="4">
        <v>2</v>
      </c>
      <c r="F283" s="14">
        <v>1000000</v>
      </c>
      <c r="G283" s="66"/>
      <c r="H283" s="66"/>
      <c r="J283" s="24" t="str">
        <f t="shared" ref="J283" si="241">CONCATENATE(K281,2)</f>
        <v>52</v>
      </c>
      <c r="K283" s="6" t="e">
        <v>#VALUE!</v>
      </c>
      <c r="L283" s="6" t="e">
        <v>#VALUE!</v>
      </c>
      <c r="M283" s="6" t="e">
        <v>#VALUE!</v>
      </c>
      <c r="N283" s="6" t="e">
        <v>#VALUE!</v>
      </c>
      <c r="T283" s="9"/>
      <c r="U283" s="1">
        <f t="shared" ref="U283:U346" si="242">U282</f>
        <v>7</v>
      </c>
      <c r="V283" s="1">
        <f t="shared" ref="V283:V346" si="243">V282+1</f>
        <v>218</v>
      </c>
    </row>
    <row r="284" spans="1:22" x14ac:dyDescent="0.3">
      <c r="A284" s="1">
        <f t="shared" si="217"/>
        <v>7219</v>
      </c>
      <c r="B284" s="65">
        <v>80</v>
      </c>
      <c r="C284" s="65">
        <v>79.099999999999994</v>
      </c>
      <c r="D284" s="65">
        <v>1.1000000000000001</v>
      </c>
      <c r="E284" s="4">
        <v>2</v>
      </c>
      <c r="F284" s="14">
        <v>1000000</v>
      </c>
      <c r="G284" s="66"/>
      <c r="H284" s="66"/>
      <c r="J284" s="24" t="str">
        <f t="shared" ref="J284" si="244">CONCATENATE(K281,3)</f>
        <v>53</v>
      </c>
      <c r="K284" s="6" t="e">
        <v>#VALUE!</v>
      </c>
      <c r="L284" s="6" t="e">
        <v>#VALUE!</v>
      </c>
      <c r="M284" s="6" t="e">
        <v>#VALUE!</v>
      </c>
      <c r="N284" s="6" t="e">
        <v>#VALUE!</v>
      </c>
      <c r="T284" s="9"/>
      <c r="U284" s="1">
        <f t="shared" si="242"/>
        <v>7</v>
      </c>
      <c r="V284" s="1">
        <f t="shared" si="243"/>
        <v>219</v>
      </c>
    </row>
    <row r="285" spans="1:22" x14ac:dyDescent="0.3">
      <c r="A285" s="1">
        <f t="shared" si="217"/>
        <v>7220</v>
      </c>
      <c r="B285" s="4"/>
      <c r="C285" s="4"/>
      <c r="D285" s="4"/>
      <c r="E285" s="4"/>
      <c r="F285" s="14"/>
      <c r="G285" s="8"/>
      <c r="H285" s="7"/>
      <c r="K285" s="1">
        <v>6</v>
      </c>
      <c r="L285" s="1">
        <v>6</v>
      </c>
      <c r="M285" s="1">
        <v>6</v>
      </c>
      <c r="N285" s="1">
        <v>6</v>
      </c>
      <c r="O285" s="1">
        <v>6</v>
      </c>
      <c r="T285" s="9"/>
      <c r="U285" s="1">
        <f t="shared" si="242"/>
        <v>7</v>
      </c>
      <c r="V285" s="1">
        <f t="shared" si="243"/>
        <v>220</v>
      </c>
    </row>
    <row r="286" spans="1:22" x14ac:dyDescent="0.3">
      <c r="A286" s="1">
        <f t="shared" si="217"/>
        <v>7221</v>
      </c>
      <c r="B286" s="4"/>
      <c r="C286" s="4"/>
      <c r="D286" s="4"/>
      <c r="E286" s="4"/>
      <c r="F286" s="14"/>
      <c r="G286" s="8"/>
      <c r="H286" s="7"/>
      <c r="J286" s="24" t="str">
        <f t="shared" ref="J286" si="245">CONCATENATE(K285,1)</f>
        <v>61</v>
      </c>
      <c r="K286" s="6" t="e">
        <f t="array" ref="K286:O288">LINEST(B282:B287,C282:C287^{1,2,3,4},TRUE,TRUE)</f>
        <v>#VALUE!</v>
      </c>
      <c r="L286" s="6" t="e">
        <v>#VALUE!</v>
      </c>
      <c r="M286" s="6" t="e">
        <v>#VALUE!</v>
      </c>
      <c r="N286" s="6" t="e">
        <v>#VALUE!</v>
      </c>
      <c r="O286" s="6" t="e">
        <v>#VALUE!</v>
      </c>
      <c r="T286" s="9"/>
      <c r="U286" s="1">
        <f t="shared" si="242"/>
        <v>7</v>
      </c>
      <c r="V286" s="1">
        <f t="shared" si="243"/>
        <v>221</v>
      </c>
    </row>
    <row r="287" spans="1:22" x14ac:dyDescent="0.3">
      <c r="A287" s="1">
        <f t="shared" si="217"/>
        <v>7222</v>
      </c>
      <c r="B287" s="4"/>
      <c r="C287" s="4"/>
      <c r="D287" s="4"/>
      <c r="E287" s="4"/>
      <c r="F287" s="14"/>
      <c r="G287" s="8"/>
      <c r="H287" s="7"/>
      <c r="J287" s="24" t="str">
        <f t="shared" ref="J287" si="246">CONCATENATE(K285,2)</f>
        <v>62</v>
      </c>
      <c r="K287" s="6" t="e">
        <v>#VALUE!</v>
      </c>
      <c r="L287" s="6" t="e">
        <v>#VALUE!</v>
      </c>
      <c r="M287" s="6" t="e">
        <v>#VALUE!</v>
      </c>
      <c r="N287" s="6" t="e">
        <v>#VALUE!</v>
      </c>
      <c r="O287" s="6" t="e">
        <v>#VALUE!</v>
      </c>
      <c r="T287" s="9"/>
      <c r="U287" s="1">
        <f t="shared" si="242"/>
        <v>7</v>
      </c>
      <c r="V287" s="1">
        <f t="shared" si="243"/>
        <v>222</v>
      </c>
    </row>
    <row r="288" spans="1:22" x14ac:dyDescent="0.3">
      <c r="A288" s="1">
        <f t="shared" si="217"/>
        <v>7223</v>
      </c>
      <c r="B288" s="4"/>
      <c r="C288" s="4"/>
      <c r="D288" s="4"/>
      <c r="E288" s="4"/>
      <c r="F288" s="14"/>
      <c r="G288" s="8"/>
      <c r="H288" s="7"/>
      <c r="J288" s="24" t="str">
        <f t="shared" ref="J288" si="247">CONCATENATE(K285,3)</f>
        <v>63</v>
      </c>
      <c r="K288" s="6" t="e">
        <v>#VALUE!</v>
      </c>
      <c r="L288" s="6" t="e">
        <v>#VALUE!</v>
      </c>
      <c r="M288" s="6" t="e">
        <v>#VALUE!</v>
      </c>
      <c r="N288" s="6" t="e">
        <v>#VALUE!</v>
      </c>
      <c r="O288" s="6" t="e">
        <v>#VALUE!</v>
      </c>
      <c r="T288" s="9"/>
      <c r="U288" s="1">
        <f t="shared" si="242"/>
        <v>7</v>
      </c>
      <c r="V288" s="1">
        <f t="shared" si="243"/>
        <v>223</v>
      </c>
    </row>
    <row r="289" spans="1:22" x14ac:dyDescent="0.3">
      <c r="A289" s="1">
        <f t="shared" si="217"/>
        <v>7224</v>
      </c>
      <c r="B289" s="4"/>
      <c r="C289" s="4"/>
      <c r="D289" s="4"/>
      <c r="E289" s="4"/>
      <c r="F289" s="14"/>
      <c r="G289" s="8"/>
      <c r="H289" s="7"/>
      <c r="K289" s="1">
        <v>7</v>
      </c>
      <c r="L289" s="1">
        <v>7</v>
      </c>
      <c r="M289" s="1">
        <v>7</v>
      </c>
      <c r="N289" s="1">
        <v>7</v>
      </c>
      <c r="O289" s="1">
        <v>7</v>
      </c>
      <c r="P289" s="1">
        <v>7</v>
      </c>
      <c r="T289" s="9"/>
      <c r="U289" s="1">
        <f t="shared" si="242"/>
        <v>7</v>
      </c>
      <c r="V289" s="1">
        <f t="shared" si="243"/>
        <v>224</v>
      </c>
    </row>
    <row r="290" spans="1:22" x14ac:dyDescent="0.3">
      <c r="A290" s="1">
        <f t="shared" si="217"/>
        <v>7225</v>
      </c>
      <c r="B290" s="4"/>
      <c r="C290" s="4"/>
      <c r="D290" s="4"/>
      <c r="E290" s="4"/>
      <c r="F290" s="14"/>
      <c r="G290" s="8"/>
      <c r="H290" s="7"/>
      <c r="J290" s="24" t="str">
        <f t="shared" ref="J290" si="248">CONCATENATE(K289,1)</f>
        <v>71</v>
      </c>
      <c r="K290" s="6" t="e">
        <f t="array" ref="K290:P292">LINEST(B282:B288,C282:C288^{1,2,3,4,5},TRUE,TRUE)</f>
        <v>#VALUE!</v>
      </c>
      <c r="L290" s="6" t="e">
        <v>#VALUE!</v>
      </c>
      <c r="M290" s="6" t="e">
        <v>#VALUE!</v>
      </c>
      <c r="N290" s="6" t="e">
        <v>#VALUE!</v>
      </c>
      <c r="O290" s="6" t="e">
        <v>#VALUE!</v>
      </c>
      <c r="P290" s="6" t="e">
        <v>#VALUE!</v>
      </c>
      <c r="T290" s="9"/>
      <c r="U290" s="1">
        <f t="shared" si="242"/>
        <v>7</v>
      </c>
      <c r="V290" s="1">
        <f t="shared" si="243"/>
        <v>225</v>
      </c>
    </row>
    <row r="291" spans="1:22" x14ac:dyDescent="0.3">
      <c r="A291" s="1">
        <f t="shared" si="217"/>
        <v>7226</v>
      </c>
      <c r="B291" s="4"/>
      <c r="C291" s="4"/>
      <c r="D291" s="4"/>
      <c r="E291" s="4"/>
      <c r="F291" s="14"/>
      <c r="G291" s="8"/>
      <c r="H291" s="7"/>
      <c r="J291" s="24" t="str">
        <f t="shared" ref="J291" si="249">CONCATENATE(K289,2)</f>
        <v>72</v>
      </c>
      <c r="K291" s="6" t="e">
        <v>#VALUE!</v>
      </c>
      <c r="L291" s="6" t="e">
        <v>#VALUE!</v>
      </c>
      <c r="M291" s="6" t="e">
        <v>#VALUE!</v>
      </c>
      <c r="N291" s="6" t="e">
        <v>#VALUE!</v>
      </c>
      <c r="O291" s="6" t="e">
        <v>#VALUE!</v>
      </c>
      <c r="P291" s="6" t="e">
        <v>#VALUE!</v>
      </c>
      <c r="T291" s="9"/>
      <c r="U291" s="1">
        <f t="shared" si="242"/>
        <v>7</v>
      </c>
      <c r="V291" s="1">
        <f t="shared" si="243"/>
        <v>226</v>
      </c>
    </row>
    <row r="292" spans="1:22" x14ac:dyDescent="0.3">
      <c r="A292" s="1">
        <f t="shared" si="217"/>
        <v>7227</v>
      </c>
      <c r="B292" s="9"/>
      <c r="C292" s="9"/>
      <c r="D292" s="9"/>
      <c r="E292" s="9"/>
      <c r="F292" s="9"/>
      <c r="G292" s="9"/>
      <c r="H292" s="9"/>
      <c r="J292" s="24" t="str">
        <f t="shared" ref="J292" si="250">CONCATENATE(K289,3)</f>
        <v>73</v>
      </c>
      <c r="K292" s="6" t="e">
        <v>#VALUE!</v>
      </c>
      <c r="L292" s="6" t="e">
        <v>#VALUE!</v>
      </c>
      <c r="M292" s="6" t="e">
        <v>#VALUE!</v>
      </c>
      <c r="N292" s="6" t="e">
        <v>#VALUE!</v>
      </c>
      <c r="O292" s="6" t="e">
        <v>#VALUE!</v>
      </c>
      <c r="P292" s="6" t="e">
        <v>#VALUE!</v>
      </c>
      <c r="T292" s="9"/>
      <c r="U292" s="1">
        <f t="shared" si="242"/>
        <v>7</v>
      </c>
      <c r="V292" s="1">
        <f t="shared" si="243"/>
        <v>227</v>
      </c>
    </row>
    <row r="293" spans="1:22" x14ac:dyDescent="0.3">
      <c r="A293" s="1">
        <f t="shared" si="217"/>
        <v>7228</v>
      </c>
      <c r="B293" s="87" t="s">
        <v>33</v>
      </c>
      <c r="C293" s="88"/>
      <c r="D293" s="88"/>
      <c r="E293" s="88"/>
      <c r="F293" s="88"/>
      <c r="G293" s="88"/>
      <c r="H293" s="89"/>
      <c r="K293" s="1">
        <v>8</v>
      </c>
      <c r="L293" s="1">
        <v>8</v>
      </c>
      <c r="M293" s="1">
        <v>8</v>
      </c>
      <c r="N293" s="1">
        <v>8</v>
      </c>
      <c r="O293" s="1">
        <v>8</v>
      </c>
      <c r="P293" s="1">
        <v>8</v>
      </c>
      <c r="Q293" s="1">
        <v>8</v>
      </c>
      <c r="T293" s="9"/>
      <c r="U293" s="1">
        <f t="shared" si="242"/>
        <v>7</v>
      </c>
      <c r="V293" s="1">
        <f t="shared" si="243"/>
        <v>228</v>
      </c>
    </row>
    <row r="294" spans="1:22" x14ac:dyDescent="0.3">
      <c r="A294" s="1">
        <f t="shared" si="217"/>
        <v>7229</v>
      </c>
      <c r="B294" s="90"/>
      <c r="C294" s="91"/>
      <c r="D294" s="91"/>
      <c r="E294" s="91"/>
      <c r="F294" s="91"/>
      <c r="G294" s="91"/>
      <c r="H294" s="92"/>
      <c r="J294" s="24" t="str">
        <f t="shared" ref="J294" si="251">CONCATENATE(K293,1)</f>
        <v>81</v>
      </c>
      <c r="K294" s="6" t="e">
        <f t="array" ref="K294:Q296">LINEST(B282:B289,C282:C289^{1,2,3,4,5,6},TRUE,TRUE)</f>
        <v>#VALUE!</v>
      </c>
      <c r="L294" s="6" t="e">
        <v>#VALUE!</v>
      </c>
      <c r="M294" s="6" t="e">
        <v>#VALUE!</v>
      </c>
      <c r="N294" s="6" t="e">
        <v>#VALUE!</v>
      </c>
      <c r="O294" s="6" t="e">
        <v>#VALUE!</v>
      </c>
      <c r="P294" s="6" t="e">
        <v>#VALUE!</v>
      </c>
      <c r="Q294" s="6" t="e">
        <v>#VALUE!</v>
      </c>
      <c r="T294" s="9"/>
      <c r="U294" s="1">
        <f t="shared" si="242"/>
        <v>7</v>
      </c>
      <c r="V294" s="1">
        <f t="shared" si="243"/>
        <v>229</v>
      </c>
    </row>
    <row r="295" spans="1:22" x14ac:dyDescent="0.3">
      <c r="A295" s="1">
        <f t="shared" si="217"/>
        <v>7230</v>
      </c>
      <c r="B295" s="93"/>
      <c r="C295" s="94"/>
      <c r="D295" s="94"/>
      <c r="E295" s="94"/>
      <c r="F295" s="94"/>
      <c r="G295" s="94"/>
      <c r="H295" s="95"/>
      <c r="J295" s="24" t="str">
        <f t="shared" ref="J295" si="252">CONCATENATE(K293,2)</f>
        <v>82</v>
      </c>
      <c r="K295" s="6" t="e">
        <v>#VALUE!</v>
      </c>
      <c r="L295" s="6" t="e">
        <v>#VALUE!</v>
      </c>
      <c r="M295" s="6" t="e">
        <v>#VALUE!</v>
      </c>
      <c r="N295" s="6" t="e">
        <v>#VALUE!</v>
      </c>
      <c r="O295" s="6" t="e">
        <v>#VALUE!</v>
      </c>
      <c r="P295" s="6" t="e">
        <v>#VALUE!</v>
      </c>
      <c r="Q295" s="6" t="e">
        <v>#VALUE!</v>
      </c>
      <c r="T295" s="9"/>
      <c r="U295" s="1">
        <f t="shared" si="242"/>
        <v>7</v>
      </c>
      <c r="V295" s="1">
        <f t="shared" si="243"/>
        <v>230</v>
      </c>
    </row>
    <row r="296" spans="1:22" x14ac:dyDescent="0.3">
      <c r="A296" s="1">
        <f t="shared" si="217"/>
        <v>7231</v>
      </c>
      <c r="J296" s="24" t="str">
        <f t="shared" ref="J296" si="253">CONCATENATE(K293,3)</f>
        <v>83</v>
      </c>
      <c r="K296" s="6" t="e">
        <v>#VALUE!</v>
      </c>
      <c r="L296" s="6" t="e">
        <v>#VALUE!</v>
      </c>
      <c r="M296" s="6" t="e">
        <v>#VALUE!</v>
      </c>
      <c r="N296" s="6" t="e">
        <v>#VALUE!</v>
      </c>
      <c r="O296" s="6" t="e">
        <v>#VALUE!</v>
      </c>
      <c r="P296" s="6" t="e">
        <v>#VALUE!</v>
      </c>
      <c r="Q296" s="6" t="e">
        <v>#VALUE!</v>
      </c>
      <c r="T296" s="9"/>
      <c r="U296" s="1">
        <f t="shared" si="242"/>
        <v>7</v>
      </c>
      <c r="V296" s="1">
        <f t="shared" si="243"/>
        <v>231</v>
      </c>
    </row>
    <row r="297" spans="1:22" ht="15" customHeight="1" x14ac:dyDescent="0.3">
      <c r="A297" s="1">
        <f t="shared" si="217"/>
        <v>7232</v>
      </c>
      <c r="B297" s="10" t="s">
        <v>34</v>
      </c>
      <c r="C297" s="10" t="s">
        <v>35</v>
      </c>
      <c r="D297" s="10" t="s">
        <v>36</v>
      </c>
      <c r="E297" s="74" t="s">
        <v>37</v>
      </c>
      <c r="F297" s="75"/>
      <c r="G297" s="76"/>
      <c r="K297" s="1">
        <v>9</v>
      </c>
      <c r="L297" s="1">
        <v>9</v>
      </c>
      <c r="M297" s="1">
        <v>9</v>
      </c>
      <c r="N297" s="1">
        <v>9</v>
      </c>
      <c r="O297" s="1">
        <v>9</v>
      </c>
      <c r="P297" s="1">
        <v>9</v>
      </c>
      <c r="Q297" s="1">
        <v>9</v>
      </c>
      <c r="R297" s="1">
        <v>9</v>
      </c>
      <c r="T297" s="9"/>
      <c r="U297" s="1">
        <f t="shared" si="242"/>
        <v>7</v>
      </c>
      <c r="V297" s="1">
        <f t="shared" si="243"/>
        <v>232</v>
      </c>
    </row>
    <row r="298" spans="1:22" x14ac:dyDescent="0.3">
      <c r="A298" s="1">
        <f t="shared" si="217"/>
        <v>7233</v>
      </c>
      <c r="B298" s="12">
        <f t="shared" ref="B298:B307" si="254">C282-B282</f>
        <v>-0.39999999999999858</v>
      </c>
      <c r="C298" s="13">
        <f t="shared" ref="C298:C307" si="255">H282-G282</f>
        <v>0</v>
      </c>
      <c r="D298" s="10">
        <f>C298-B298</f>
        <v>0.39999999999999858</v>
      </c>
      <c r="E298" s="11">
        <f>IF(D273="","",MAX(F298,G298))</f>
        <v>0.90000000000000568</v>
      </c>
      <c r="F298" s="10">
        <f>ABS(MIN(D298:D307))</f>
        <v>0</v>
      </c>
      <c r="G298" s="10">
        <f>ABS(MAX(D298:D307))</f>
        <v>0.90000000000000568</v>
      </c>
      <c r="J298" s="24" t="str">
        <f t="shared" ref="J298" si="256">CONCATENATE(K297,1)</f>
        <v>91</v>
      </c>
      <c r="K298" s="6" t="e">
        <f t="array" ref="K298:R300">LINEST(B282:B290,C282:C290^{1,2,3,4,5,6,7},TRUE,TRUE)</f>
        <v>#VALUE!</v>
      </c>
      <c r="L298" s="6" t="e">
        <v>#VALUE!</v>
      </c>
      <c r="M298" s="6" t="e">
        <v>#VALUE!</v>
      </c>
      <c r="N298" s="6" t="e">
        <v>#VALUE!</v>
      </c>
      <c r="O298" s="6" t="e">
        <v>#VALUE!</v>
      </c>
      <c r="P298" s="6" t="e">
        <v>#VALUE!</v>
      </c>
      <c r="Q298" s="6" t="e">
        <v>#VALUE!</v>
      </c>
      <c r="R298" s="6" t="e">
        <v>#VALUE!</v>
      </c>
      <c r="T298" s="9"/>
      <c r="U298" s="1">
        <f t="shared" si="242"/>
        <v>7</v>
      </c>
      <c r="V298" s="1">
        <f t="shared" si="243"/>
        <v>233</v>
      </c>
    </row>
    <row r="299" spans="1:22" x14ac:dyDescent="0.3">
      <c r="A299" s="1">
        <f t="shared" si="217"/>
        <v>7234</v>
      </c>
      <c r="B299" s="12">
        <f t="shared" si="254"/>
        <v>-0.79999999999999716</v>
      </c>
      <c r="C299" s="13">
        <f t="shared" si="255"/>
        <v>0</v>
      </c>
      <c r="D299" s="10">
        <f t="shared" ref="D299:D307" si="257">C299-B299</f>
        <v>0.79999999999999716</v>
      </c>
      <c r="E299" s="74" t="s">
        <v>38</v>
      </c>
      <c r="F299" s="75"/>
      <c r="G299" s="76"/>
      <c r="J299" s="24" t="str">
        <f t="shared" ref="J299" si="258">CONCATENATE(K297,2)</f>
        <v>92</v>
      </c>
      <c r="K299" s="6" t="e">
        <v>#VALUE!</v>
      </c>
      <c r="L299" s="6" t="e">
        <v>#VALUE!</v>
      </c>
      <c r="M299" s="6" t="e">
        <v>#VALUE!</v>
      </c>
      <c r="N299" s="6" t="e">
        <v>#VALUE!</v>
      </c>
      <c r="O299" s="6" t="e">
        <v>#VALUE!</v>
      </c>
      <c r="P299" s="6" t="e">
        <v>#VALUE!</v>
      </c>
      <c r="Q299" s="6" t="e">
        <v>#VALUE!</v>
      </c>
      <c r="R299" s="6" t="e">
        <v>#VALUE!</v>
      </c>
      <c r="T299" s="9"/>
      <c r="U299" s="1">
        <f t="shared" si="242"/>
        <v>7</v>
      </c>
      <c r="V299" s="1">
        <f t="shared" si="243"/>
        <v>234</v>
      </c>
    </row>
    <row r="300" spans="1:22" x14ac:dyDescent="0.3">
      <c r="A300" s="1">
        <f t="shared" si="217"/>
        <v>7235</v>
      </c>
      <c r="B300" s="12">
        <f t="shared" si="254"/>
        <v>-0.90000000000000568</v>
      </c>
      <c r="C300" s="13">
        <f t="shared" si="255"/>
        <v>0</v>
      </c>
      <c r="D300" s="10">
        <f t="shared" si="257"/>
        <v>0.90000000000000568</v>
      </c>
      <c r="E300" s="11">
        <f>IF(D273="","",MAX(F300,G300))</f>
        <v>0.90000000000000568</v>
      </c>
      <c r="F300" s="10">
        <f>ABS(MIN(B298:B307))</f>
        <v>0.90000000000000568</v>
      </c>
      <c r="G300" s="10">
        <f>ABS(MAX(B298:B307))</f>
        <v>0</v>
      </c>
      <c r="J300" s="24" t="str">
        <f t="shared" ref="J300" si="259">CONCATENATE(K297,3)</f>
        <v>93</v>
      </c>
      <c r="K300" s="6" t="e">
        <v>#VALUE!</v>
      </c>
      <c r="L300" s="6" t="e">
        <v>#VALUE!</v>
      </c>
      <c r="M300" s="6" t="e">
        <v>#VALUE!</v>
      </c>
      <c r="N300" s="6" t="e">
        <v>#VALUE!</v>
      </c>
      <c r="O300" s="6" t="e">
        <v>#VALUE!</v>
      </c>
      <c r="P300" s="6" t="e">
        <v>#VALUE!</v>
      </c>
      <c r="Q300" s="6" t="e">
        <v>#VALUE!</v>
      </c>
      <c r="R300" s="6" t="e">
        <v>#VALUE!</v>
      </c>
      <c r="T300" s="9"/>
      <c r="U300" s="1">
        <f t="shared" si="242"/>
        <v>7</v>
      </c>
      <c r="V300" s="1">
        <f t="shared" si="243"/>
        <v>235</v>
      </c>
    </row>
    <row r="301" spans="1:22" x14ac:dyDescent="0.3">
      <c r="A301" s="1">
        <f t="shared" si="217"/>
        <v>7236</v>
      </c>
      <c r="B301" s="12">
        <f t="shared" si="254"/>
        <v>0</v>
      </c>
      <c r="C301" s="13">
        <f t="shared" si="255"/>
        <v>0</v>
      </c>
      <c r="D301" s="10">
        <f t="shared" si="257"/>
        <v>0</v>
      </c>
      <c r="E301" s="74" t="s">
        <v>39</v>
      </c>
      <c r="F301" s="75"/>
      <c r="G301" s="76"/>
      <c r="K301" s="1">
        <v>10</v>
      </c>
      <c r="L301" s="1">
        <v>10</v>
      </c>
      <c r="M301" s="1">
        <v>10</v>
      </c>
      <c r="N301" s="1">
        <v>10</v>
      </c>
      <c r="O301" s="1">
        <v>10</v>
      </c>
      <c r="P301" s="1">
        <v>10</v>
      </c>
      <c r="Q301" s="1">
        <v>10</v>
      </c>
      <c r="R301" s="1">
        <v>10</v>
      </c>
      <c r="S301" s="1">
        <v>10</v>
      </c>
      <c r="T301" s="9"/>
      <c r="U301" s="1">
        <f t="shared" si="242"/>
        <v>7</v>
      </c>
      <c r="V301" s="1">
        <f t="shared" si="243"/>
        <v>236</v>
      </c>
    </row>
    <row r="302" spans="1:22" x14ac:dyDescent="0.3">
      <c r="A302" s="1">
        <f t="shared" si="217"/>
        <v>7237</v>
      </c>
      <c r="B302" s="12">
        <f t="shared" si="254"/>
        <v>0</v>
      </c>
      <c r="C302" s="13">
        <f t="shared" si="255"/>
        <v>0</v>
      </c>
      <c r="D302" s="10">
        <f t="shared" si="257"/>
        <v>0</v>
      </c>
      <c r="E302" s="11">
        <f>IF(D273="","",MAX(F302,G302))</f>
        <v>1.1000000000000001</v>
      </c>
      <c r="F302" s="10">
        <f>ABS(MIN(D282:D291))</f>
        <v>0.7</v>
      </c>
      <c r="G302" s="10">
        <f>ABS(MAX(D282:D291))</f>
        <v>1.1000000000000001</v>
      </c>
      <c r="J302" s="24" t="str">
        <f t="shared" ref="J302" si="260">CONCATENATE(K301,1)</f>
        <v>101</v>
      </c>
      <c r="K302" s="6" t="e">
        <f t="array" ref="K302:S304">LINEST(B282:B291,C282:C291^{1,2,3,4,5,6,7,8},TRUE,TRUE)</f>
        <v>#VALUE!</v>
      </c>
      <c r="L302" s="6" t="e">
        <v>#VALUE!</v>
      </c>
      <c r="M302" s="6" t="e">
        <v>#VALUE!</v>
      </c>
      <c r="N302" s="6" t="e">
        <v>#VALUE!</v>
      </c>
      <c r="O302" s="6" t="e">
        <v>#VALUE!</v>
      </c>
      <c r="P302" s="6" t="e">
        <v>#VALUE!</v>
      </c>
      <c r="Q302" s="6" t="e">
        <v>#VALUE!</v>
      </c>
      <c r="R302" s="6" t="e">
        <v>#VALUE!</v>
      </c>
      <c r="S302" s="6" t="e">
        <v>#VALUE!</v>
      </c>
      <c r="T302" s="9"/>
      <c r="U302" s="1">
        <f t="shared" si="242"/>
        <v>7</v>
      </c>
      <c r="V302" s="1">
        <f t="shared" si="243"/>
        <v>237</v>
      </c>
    </row>
    <row r="303" spans="1:22" x14ac:dyDescent="0.3">
      <c r="A303" s="1">
        <f t="shared" si="217"/>
        <v>7238</v>
      </c>
      <c r="B303" s="12">
        <f t="shared" si="254"/>
        <v>0</v>
      </c>
      <c r="C303" s="13">
        <f t="shared" si="255"/>
        <v>0</v>
      </c>
      <c r="D303" s="10">
        <f t="shared" si="257"/>
        <v>0</v>
      </c>
      <c r="J303" s="24" t="str">
        <f t="shared" ref="J303" si="261">CONCATENATE(K301,2)</f>
        <v>102</v>
      </c>
      <c r="K303" s="6" t="e">
        <v>#VALUE!</v>
      </c>
      <c r="L303" s="6" t="e">
        <v>#VALUE!</v>
      </c>
      <c r="M303" s="6" t="e">
        <v>#VALUE!</v>
      </c>
      <c r="N303" s="6" t="e">
        <v>#VALUE!</v>
      </c>
      <c r="O303" s="6" t="e">
        <v>#VALUE!</v>
      </c>
      <c r="P303" s="6" t="e">
        <v>#VALUE!</v>
      </c>
      <c r="Q303" s="6" t="e">
        <v>#VALUE!</v>
      </c>
      <c r="R303" s="6" t="e">
        <v>#VALUE!</v>
      </c>
      <c r="S303" s="6" t="e">
        <v>#VALUE!</v>
      </c>
      <c r="T303" s="9"/>
      <c r="U303" s="1">
        <f t="shared" si="242"/>
        <v>7</v>
      </c>
      <c r="V303" s="1">
        <f t="shared" si="243"/>
        <v>238</v>
      </c>
    </row>
    <row r="304" spans="1:22" x14ac:dyDescent="0.3">
      <c r="A304" s="1">
        <f t="shared" si="217"/>
        <v>7239</v>
      </c>
      <c r="B304" s="12">
        <f t="shared" si="254"/>
        <v>0</v>
      </c>
      <c r="C304" s="13">
        <f t="shared" si="255"/>
        <v>0</v>
      </c>
      <c r="D304" s="10">
        <f t="shared" si="257"/>
        <v>0</v>
      </c>
      <c r="J304" s="24" t="str">
        <f t="shared" ref="J304" si="262">CONCATENATE(K301,3)</f>
        <v>103</v>
      </c>
      <c r="K304" s="6" t="e">
        <v>#VALUE!</v>
      </c>
      <c r="L304" s="6" t="e">
        <v>#VALUE!</v>
      </c>
      <c r="M304" s="6" t="e">
        <v>#VALUE!</v>
      </c>
      <c r="N304" s="6" t="e">
        <v>#VALUE!</v>
      </c>
      <c r="O304" s="6" t="e">
        <v>#VALUE!</v>
      </c>
      <c r="P304" s="6" t="e">
        <v>#VALUE!</v>
      </c>
      <c r="Q304" s="6" t="e">
        <v>#VALUE!</v>
      </c>
      <c r="R304" s="6" t="e">
        <v>#VALUE!</v>
      </c>
      <c r="S304" s="6" t="e">
        <v>#VALUE!</v>
      </c>
      <c r="T304" s="9"/>
      <c r="U304" s="1">
        <f t="shared" si="242"/>
        <v>7</v>
      </c>
      <c r="V304" s="1">
        <f t="shared" si="243"/>
        <v>239</v>
      </c>
    </row>
    <row r="305" spans="1:22" x14ac:dyDescent="0.3">
      <c r="A305" s="1">
        <f t="shared" si="217"/>
        <v>7240</v>
      </c>
      <c r="B305" s="12">
        <f t="shared" si="254"/>
        <v>0</v>
      </c>
      <c r="C305" s="13">
        <f t="shared" si="255"/>
        <v>0</v>
      </c>
      <c r="D305" s="10">
        <f t="shared" si="257"/>
        <v>0</v>
      </c>
      <c r="J305" s="9"/>
      <c r="K305" s="9"/>
      <c r="L305" s="9"/>
      <c r="M305" s="9"/>
      <c r="N305" s="9"/>
      <c r="O305" s="9"/>
      <c r="P305" s="9"/>
      <c r="Q305" s="9"/>
      <c r="R305" s="9"/>
      <c r="S305" s="9"/>
      <c r="T305" s="9"/>
      <c r="U305" s="1">
        <f t="shared" si="242"/>
        <v>7</v>
      </c>
      <c r="V305" s="1">
        <f t="shared" si="243"/>
        <v>240</v>
      </c>
    </row>
    <row r="306" spans="1:22" x14ac:dyDescent="0.3">
      <c r="A306" s="1">
        <f t="shared" si="217"/>
        <v>7241</v>
      </c>
      <c r="B306" s="12">
        <f t="shared" si="254"/>
        <v>0</v>
      </c>
      <c r="C306" s="13">
        <f t="shared" si="255"/>
        <v>0</v>
      </c>
      <c r="D306" s="10">
        <f t="shared" si="257"/>
        <v>0</v>
      </c>
      <c r="J306" s="9"/>
      <c r="K306" s="9"/>
      <c r="L306" s="9"/>
      <c r="M306" s="9"/>
      <c r="N306" s="9"/>
      <c r="O306" s="9"/>
      <c r="P306" s="9"/>
      <c r="Q306" s="9"/>
      <c r="R306" s="9"/>
      <c r="S306" s="9"/>
      <c r="T306" s="9"/>
      <c r="U306" s="1">
        <f t="shared" si="242"/>
        <v>7</v>
      </c>
      <c r="V306" s="1">
        <f t="shared" si="243"/>
        <v>241</v>
      </c>
    </row>
    <row r="307" spans="1:22" x14ac:dyDescent="0.3">
      <c r="A307" s="1">
        <f t="shared" si="217"/>
        <v>7242</v>
      </c>
      <c r="B307" s="12">
        <f t="shared" si="254"/>
        <v>0</v>
      </c>
      <c r="C307" s="13">
        <f t="shared" si="255"/>
        <v>0</v>
      </c>
      <c r="D307" s="10">
        <f t="shared" si="257"/>
        <v>0</v>
      </c>
      <c r="J307" s="9"/>
      <c r="K307" s="9"/>
      <c r="L307" s="9"/>
      <c r="M307" s="9"/>
      <c r="N307" s="9"/>
      <c r="O307" s="9"/>
      <c r="P307" s="9"/>
      <c r="Q307" s="9"/>
      <c r="R307" s="9"/>
      <c r="S307" s="9"/>
      <c r="T307" s="9"/>
      <c r="U307" s="1">
        <f t="shared" si="242"/>
        <v>7</v>
      </c>
      <c r="V307" s="1">
        <f t="shared" si="243"/>
        <v>242</v>
      </c>
    </row>
    <row r="308" spans="1:22" x14ac:dyDescent="0.3">
      <c r="A308" s="1">
        <f t="shared" si="217"/>
        <v>7243</v>
      </c>
      <c r="J308" s="9"/>
      <c r="K308" s="9"/>
      <c r="L308" s="9"/>
      <c r="M308" s="9"/>
      <c r="N308" s="9"/>
      <c r="O308" s="9"/>
      <c r="P308" s="9"/>
      <c r="Q308" s="9"/>
      <c r="R308" s="9"/>
      <c r="S308" s="9"/>
      <c r="T308" s="9"/>
      <c r="U308" s="1">
        <f t="shared" si="242"/>
        <v>7</v>
      </c>
      <c r="V308" s="1">
        <f t="shared" si="243"/>
        <v>243</v>
      </c>
    </row>
    <row r="309" spans="1:22" s="5" customFormat="1" x14ac:dyDescent="0.3"/>
    <row r="310" spans="1:22" x14ac:dyDescent="0.3">
      <c r="A310" s="1">
        <f t="shared" ref="A310:A352" si="263">ROUND(CONCATENATE(U310,V310),0)</f>
        <v>8201</v>
      </c>
      <c r="B310" s="96" t="s">
        <v>0</v>
      </c>
      <c r="C310" s="97"/>
      <c r="D310" s="110" t="s">
        <v>46</v>
      </c>
      <c r="E310" s="111"/>
      <c r="F310" s="111"/>
      <c r="G310" s="111"/>
      <c r="H310" s="112"/>
      <c r="J310" s="9"/>
      <c r="K310" s="9"/>
      <c r="L310" s="9"/>
      <c r="M310" s="9"/>
      <c r="N310" s="9"/>
      <c r="O310" s="9"/>
      <c r="P310" s="9"/>
      <c r="Q310" s="9"/>
      <c r="R310" s="9"/>
      <c r="S310" s="9"/>
      <c r="T310" s="9"/>
      <c r="U310" s="1">
        <f t="shared" ref="U310" si="264">U308+1</f>
        <v>8</v>
      </c>
      <c r="V310" s="1">
        <v>201</v>
      </c>
    </row>
    <row r="311" spans="1:22" x14ac:dyDescent="0.3">
      <c r="A311" s="1">
        <f t="shared" si="263"/>
        <v>8202</v>
      </c>
      <c r="B311" s="96" t="s">
        <v>1</v>
      </c>
      <c r="C311" s="97"/>
      <c r="D311" s="15">
        <v>20</v>
      </c>
      <c r="E311" s="16" t="s">
        <v>2</v>
      </c>
      <c r="F311" s="107"/>
      <c r="G311" s="108"/>
      <c r="H311" s="109"/>
      <c r="J311" s="9"/>
      <c r="K311" s="9"/>
      <c r="L311" s="9"/>
      <c r="M311" s="9"/>
      <c r="N311" s="9"/>
      <c r="O311" s="9"/>
      <c r="P311" s="9"/>
      <c r="Q311" s="9"/>
      <c r="R311" s="9"/>
      <c r="S311" s="9"/>
      <c r="T311" s="9"/>
      <c r="U311" s="1">
        <f t="shared" ref="U311" si="265">U310</f>
        <v>8</v>
      </c>
      <c r="V311" s="1">
        <f t="shared" ref="V311" si="266">V310+1</f>
        <v>202</v>
      </c>
    </row>
    <row r="312" spans="1:22" x14ac:dyDescent="0.3">
      <c r="A312" s="1">
        <f t="shared" si="263"/>
        <v>8203</v>
      </c>
      <c r="B312" s="96" t="s">
        <v>12</v>
      </c>
      <c r="C312" s="97"/>
      <c r="D312" s="110" t="s">
        <v>315</v>
      </c>
      <c r="E312" s="111"/>
      <c r="F312" s="111"/>
      <c r="G312" s="111"/>
      <c r="H312" s="112"/>
      <c r="K312" s="1" t="s">
        <v>3</v>
      </c>
      <c r="L312" s="1" t="s">
        <v>4</v>
      </c>
      <c r="M312" s="1" t="s">
        <v>5</v>
      </c>
      <c r="N312" s="1" t="s">
        <v>6</v>
      </c>
      <c r="O312" s="1" t="s">
        <v>7</v>
      </c>
      <c r="P312" s="1" t="s">
        <v>8</v>
      </c>
      <c r="Q312" s="1" t="s">
        <v>9</v>
      </c>
      <c r="R312" s="1" t="s">
        <v>10</v>
      </c>
      <c r="S312" s="1" t="s">
        <v>11</v>
      </c>
      <c r="T312" s="9"/>
      <c r="U312" s="1">
        <f t="shared" si="242"/>
        <v>8</v>
      </c>
      <c r="V312" s="1">
        <f t="shared" si="243"/>
        <v>203</v>
      </c>
    </row>
    <row r="313" spans="1:22" x14ac:dyDescent="0.3">
      <c r="A313" s="1">
        <f t="shared" si="263"/>
        <v>8204</v>
      </c>
      <c r="B313" s="96" t="s">
        <v>13</v>
      </c>
      <c r="C313" s="97"/>
      <c r="D313" s="110" t="s">
        <v>65</v>
      </c>
      <c r="E313" s="111"/>
      <c r="F313" s="111"/>
      <c r="G313" s="111"/>
      <c r="H313" s="112"/>
      <c r="J313" s="1">
        <f>COUNTA(B326:B335)</f>
        <v>3</v>
      </c>
      <c r="K313" s="1">
        <f t="shared" ref="K313" si="267">IF(L313-1&lt;2,0,L313-1)</f>
        <v>0</v>
      </c>
      <c r="L313" s="1">
        <f t="shared" ref="L313" si="268">IF(M313-1&lt;2,0,M313-1)</f>
        <v>0</v>
      </c>
      <c r="M313" s="1">
        <f t="shared" ref="M313" si="269">IF(N313-1&lt;2,0,N313-1)</f>
        <v>0</v>
      </c>
      <c r="N313" s="1">
        <f t="shared" ref="N313" si="270">IF(O313-1&lt;2,0,O313-1)</f>
        <v>0</v>
      </c>
      <c r="O313" s="1">
        <f t="shared" ref="O313" si="271">IF(P313-1&lt;2,0,P313-1)</f>
        <v>0</v>
      </c>
      <c r="P313" s="1">
        <f t="shared" ref="P313" si="272">IF(Q313-1&lt;2,0,Q313-1)</f>
        <v>0</v>
      </c>
      <c r="Q313" s="1">
        <f t="shared" ref="Q313" si="273">IF(R313-1&lt;2,0,R313-1)</f>
        <v>0</v>
      </c>
      <c r="R313" s="1">
        <f>IF(S313-1&lt;2,0,S313-1)</f>
        <v>2</v>
      </c>
      <c r="S313" s="1">
        <f>J313</f>
        <v>3</v>
      </c>
      <c r="T313" s="9"/>
      <c r="U313" s="1">
        <f t="shared" si="242"/>
        <v>8</v>
      </c>
      <c r="V313" s="1">
        <f t="shared" si="243"/>
        <v>204</v>
      </c>
    </row>
    <row r="314" spans="1:22" x14ac:dyDescent="0.3">
      <c r="A314" s="1">
        <f t="shared" si="263"/>
        <v>8205</v>
      </c>
      <c r="B314" s="96" t="s">
        <v>14</v>
      </c>
      <c r="C314" s="97"/>
      <c r="D314" s="110" t="s">
        <v>66</v>
      </c>
      <c r="E314" s="111"/>
      <c r="F314" s="111"/>
      <c r="G314" s="111"/>
      <c r="H314" s="112"/>
      <c r="J314" s="24" t="str">
        <f>CONCATENATE(J313,1)</f>
        <v>31</v>
      </c>
      <c r="K314" s="25">
        <f>IF(K313=0,0,VLOOKUP(J314,J318:S348,K313,FALSE))</f>
        <v>0</v>
      </c>
      <c r="L314" s="25">
        <f>IF(L313=0,0,VLOOKUP(J314,J318:S348,L313,FALSE))</f>
        <v>0</v>
      </c>
      <c r="M314" s="25">
        <f>IF(M313=0,0,VLOOKUP(J314,J318:S348,M313,FALSE))</f>
        <v>0</v>
      </c>
      <c r="N314" s="25">
        <f>IF(N313=0,0,VLOOKUP(J314,J318:S348,N313,FALSE))</f>
        <v>0</v>
      </c>
      <c r="O314" s="25">
        <f>IF(O313=0,0,VLOOKUP(J314,J318:S348,O313,FALSE))</f>
        <v>0</v>
      </c>
      <c r="P314" s="25">
        <f>IF(P313=0,0,VLOOKUP(J314,J318:S348,P313,FALSE))</f>
        <v>0</v>
      </c>
      <c r="Q314" s="25">
        <f>IF(Q313=0,0,VLOOKUP(J314,J318:S348,Q313,FALSE))</f>
        <v>0</v>
      </c>
      <c r="R314" s="25">
        <f>IF(R313=0,0,VLOOKUP(J314,J318:S348,R313,FALSE))</f>
        <v>1.0050166661055184</v>
      </c>
      <c r="S314" s="25">
        <f>IF(S313=0,0,VLOOKUP(J314,J318:S348,S313,FALSE))</f>
        <v>0.55318002760849794</v>
      </c>
      <c r="T314" s="9"/>
      <c r="U314" s="1">
        <f t="shared" si="242"/>
        <v>8</v>
      </c>
      <c r="V314" s="1">
        <f t="shared" si="243"/>
        <v>205</v>
      </c>
    </row>
    <row r="315" spans="1:22" x14ac:dyDescent="0.3">
      <c r="A315" s="1">
        <f t="shared" si="263"/>
        <v>8206</v>
      </c>
      <c r="B315" s="96" t="s">
        <v>15</v>
      </c>
      <c r="C315" s="97"/>
      <c r="D315" s="128" t="s">
        <v>316</v>
      </c>
      <c r="E315" s="129"/>
      <c r="F315" s="129"/>
      <c r="G315" s="129"/>
      <c r="H315" s="130"/>
      <c r="J315" s="24" t="str">
        <f>CONCATENATE(J313,2)</f>
        <v>32</v>
      </c>
      <c r="K315" s="6">
        <f>IF(K313=0,0,VLOOKUP(J315,J318:S348,K313,FALSE))</f>
        <v>0</v>
      </c>
      <c r="L315" s="6">
        <f>IF(L313=0,0,VLOOKUP(J315,J318:S348,L313,FALSE))</f>
        <v>0</v>
      </c>
      <c r="M315" s="6">
        <f>IF(M313=0,0,VLOOKUP(J315,J318:S348,M313,FALSE))</f>
        <v>0</v>
      </c>
      <c r="N315" s="6">
        <f>IF(N313=0,0,VLOOKUP(J315,J318:S348,N313,FALSE))</f>
        <v>0</v>
      </c>
      <c r="O315" s="6">
        <f>IF(O313=0,0,VLOOKUP(J315,J318:S348,O313,FALSE))</f>
        <v>0</v>
      </c>
      <c r="P315" s="6">
        <f>IF(P313=0,0,VLOOKUP(J315,J318:S348,P313,FALSE))</f>
        <v>0</v>
      </c>
      <c r="Q315" s="6">
        <f>IF(Q313=0,0,VLOOKUP(J315,J318:S348,Q313,FALSE))</f>
        <v>0</v>
      </c>
      <c r="R315" s="6">
        <f>IF(R313=0,0,VLOOKUP(J315,J318:S348,R313,FALSE))</f>
        <v>2.9158122749550408E-3</v>
      </c>
      <c r="S315" s="6">
        <f>IF(S313=0,0,VLOOKUP(J315,J318:S348,S313,FALSE))</f>
        <v>0.16009535414827442</v>
      </c>
      <c r="T315" s="9"/>
      <c r="U315" s="1">
        <f t="shared" si="242"/>
        <v>8</v>
      </c>
      <c r="V315" s="1">
        <f t="shared" si="243"/>
        <v>206</v>
      </c>
    </row>
    <row r="316" spans="1:22" x14ac:dyDescent="0.3">
      <c r="A316" s="1">
        <f t="shared" si="263"/>
        <v>8207</v>
      </c>
      <c r="B316" s="96" t="s">
        <v>16</v>
      </c>
      <c r="C316" s="97"/>
      <c r="D316" s="121">
        <v>45761</v>
      </c>
      <c r="E316" s="121"/>
      <c r="F316" s="121"/>
      <c r="G316" s="121"/>
      <c r="H316" s="121"/>
      <c r="J316" s="24" t="str">
        <f>CONCATENATE(J313,3)</f>
        <v>33</v>
      </c>
      <c r="K316" s="6"/>
      <c r="L316" s="6"/>
      <c r="M316" s="6"/>
      <c r="N316" s="6" t="s">
        <v>43</v>
      </c>
      <c r="O316" s="25">
        <f>J313-2</f>
        <v>1</v>
      </c>
      <c r="P316" s="6" t="s">
        <v>44</v>
      </c>
      <c r="Q316" s="25">
        <f>VLOOKUP(J316,J318:S348,3,FALSE)</f>
        <v>0.12308941878433188</v>
      </c>
      <c r="R316" s="6" t="s">
        <v>45</v>
      </c>
      <c r="S316" s="6">
        <f>VLOOKUP(J316,J318:S348,2,FALSE)</f>
        <v>0.99999158277499078</v>
      </c>
      <c r="T316" s="9"/>
      <c r="U316" s="1">
        <f t="shared" si="242"/>
        <v>8</v>
      </c>
      <c r="V316" s="1">
        <f t="shared" si="243"/>
        <v>207</v>
      </c>
    </row>
    <row r="317" spans="1:22" x14ac:dyDescent="0.3">
      <c r="A317" s="1">
        <f t="shared" si="263"/>
        <v>8208</v>
      </c>
      <c r="B317" s="96" t="s">
        <v>17</v>
      </c>
      <c r="C317" s="97"/>
      <c r="D317" s="122">
        <v>46142</v>
      </c>
      <c r="E317" s="122"/>
      <c r="F317" s="122"/>
      <c r="G317" s="122"/>
      <c r="H317" s="122"/>
      <c r="K317" s="1">
        <v>3</v>
      </c>
      <c r="L317" s="1">
        <v>3</v>
      </c>
      <c r="Q317" s="26"/>
      <c r="R317" s="26"/>
      <c r="S317" s="26"/>
      <c r="T317" s="9"/>
      <c r="U317" s="1">
        <f t="shared" si="242"/>
        <v>8</v>
      </c>
      <c r="V317" s="1">
        <f t="shared" si="243"/>
        <v>208</v>
      </c>
    </row>
    <row r="318" spans="1:22" x14ac:dyDescent="0.3">
      <c r="A318" s="1">
        <f t="shared" si="263"/>
        <v>8209</v>
      </c>
      <c r="B318" s="77" t="s">
        <v>19</v>
      </c>
      <c r="C318" s="78"/>
      <c r="D318" s="17">
        <v>0.1</v>
      </c>
      <c r="E318" s="79" t="s">
        <v>40</v>
      </c>
      <c r="F318" s="80"/>
      <c r="G318" s="81"/>
      <c r="H318" s="18" t="s">
        <v>72</v>
      </c>
      <c r="J318" s="24" t="str">
        <f>CONCATENATE(K317,1)</f>
        <v>31</v>
      </c>
      <c r="K318" s="6">
        <f t="array" ref="K318:L320">LINEST(B326:B328,C326:C328^{1},TRUE,TRUE)</f>
        <v>1.0050166661055184</v>
      </c>
      <c r="L318" s="6">
        <v>0.55318002760849794</v>
      </c>
      <c r="Q318" s="9"/>
      <c r="R318" s="9"/>
      <c r="S318" s="9"/>
      <c r="T318" s="9"/>
      <c r="U318" s="1">
        <f t="shared" si="242"/>
        <v>8</v>
      </c>
      <c r="V318" s="1">
        <f t="shared" si="243"/>
        <v>209</v>
      </c>
    </row>
    <row r="319" spans="1:22" x14ac:dyDescent="0.3">
      <c r="A319" s="1">
        <f t="shared" si="263"/>
        <v>8210</v>
      </c>
      <c r="B319" s="77" t="s">
        <v>41</v>
      </c>
      <c r="C319" s="78"/>
      <c r="D319" s="23">
        <f t="shared" ref="D319" si="274">MIN(B326:B335)</f>
        <v>20</v>
      </c>
      <c r="E319" s="20" t="s">
        <v>18</v>
      </c>
      <c r="F319" s="19">
        <f t="shared" ref="F319" si="275">MAX(B326:B335)</f>
        <v>80</v>
      </c>
      <c r="G319" s="21" t="str">
        <f t="shared" ref="G319" si="276">IF(H318="","",H318)</f>
        <v>%ur</v>
      </c>
      <c r="H319" s="22"/>
      <c r="J319" s="24" t="str">
        <f>CONCATENATE(K317,2)</f>
        <v>32</v>
      </c>
      <c r="K319" s="6">
        <v>2.9158122749550408E-3</v>
      </c>
      <c r="L319" s="6">
        <v>0.16009535414827442</v>
      </c>
      <c r="Q319" s="9"/>
      <c r="R319" s="9"/>
      <c r="S319" s="9"/>
      <c r="T319" s="9"/>
      <c r="U319" s="1">
        <f t="shared" si="242"/>
        <v>8</v>
      </c>
      <c r="V319" s="1">
        <f t="shared" si="243"/>
        <v>210</v>
      </c>
    </row>
    <row r="320" spans="1:22" x14ac:dyDescent="0.3">
      <c r="A320" s="1">
        <f t="shared" si="263"/>
        <v>8211</v>
      </c>
      <c r="J320" s="24" t="str">
        <f>CONCATENATE(K317,3)</f>
        <v>33</v>
      </c>
      <c r="K320" s="6">
        <v>0.99999158277499078</v>
      </c>
      <c r="L320" s="6">
        <v>0.12308941878433188</v>
      </c>
      <c r="Q320" s="9"/>
      <c r="R320" s="9"/>
      <c r="S320" s="9"/>
      <c r="T320" s="9"/>
      <c r="U320" s="1">
        <f t="shared" si="242"/>
        <v>8</v>
      </c>
      <c r="V320" s="1">
        <f t="shared" si="243"/>
        <v>211</v>
      </c>
    </row>
    <row r="321" spans="1:22" x14ac:dyDescent="0.3">
      <c r="A321" s="1">
        <f t="shared" si="263"/>
        <v>8212</v>
      </c>
      <c r="B321" s="82" t="s">
        <v>20</v>
      </c>
      <c r="C321" s="83"/>
      <c r="D321" s="83"/>
      <c r="E321" s="83"/>
      <c r="F321" s="84"/>
      <c r="G321" s="85" t="s">
        <v>31</v>
      </c>
      <c r="H321" s="86"/>
      <c r="K321" s="1">
        <v>4</v>
      </c>
      <c r="L321" s="1">
        <v>4</v>
      </c>
      <c r="M321" s="1">
        <v>4</v>
      </c>
      <c r="Q321" s="9"/>
      <c r="R321" s="9"/>
      <c r="S321" s="9"/>
      <c r="T321" s="9"/>
      <c r="U321" s="1">
        <f t="shared" si="242"/>
        <v>8</v>
      </c>
      <c r="V321" s="1">
        <f t="shared" si="243"/>
        <v>212</v>
      </c>
    </row>
    <row r="322" spans="1:22" x14ac:dyDescent="0.3">
      <c r="A322" s="1">
        <f t="shared" si="263"/>
        <v>8213</v>
      </c>
      <c r="B322" s="82" t="s">
        <v>30</v>
      </c>
      <c r="C322" s="83"/>
      <c r="D322" s="84"/>
      <c r="E322" s="82" t="str">
        <f t="shared" ref="E322" si="277">D315</f>
        <v>E0210/25</v>
      </c>
      <c r="F322" s="84"/>
      <c r="G322" s="6" t="s">
        <v>32</v>
      </c>
      <c r="H322" s="7"/>
      <c r="J322" s="24" t="str">
        <f t="shared" ref="J322" si="278">CONCATENATE(K321,1)</f>
        <v>41</v>
      </c>
      <c r="K322" s="6" t="e">
        <f t="array" ref="K322:M324">LINEST(B326:B329,C326:C329^{1,2},TRUE,TRUE)</f>
        <v>#VALUE!</v>
      </c>
      <c r="L322" s="6" t="e">
        <v>#VALUE!</v>
      </c>
      <c r="M322" s="6" t="e">
        <v>#VALUE!</v>
      </c>
      <c r="Q322" s="9"/>
      <c r="R322" s="9"/>
      <c r="S322" s="9"/>
      <c r="T322" s="9"/>
      <c r="U322" s="1">
        <f t="shared" si="242"/>
        <v>8</v>
      </c>
      <c r="V322" s="1">
        <f t="shared" si="243"/>
        <v>213</v>
      </c>
    </row>
    <row r="323" spans="1:22" x14ac:dyDescent="0.3">
      <c r="A323" s="1">
        <f t="shared" si="263"/>
        <v>8214</v>
      </c>
      <c r="B323" s="2" t="s">
        <v>21</v>
      </c>
      <c r="C323" s="2" t="s">
        <v>22</v>
      </c>
      <c r="D323" s="2" t="s">
        <v>23</v>
      </c>
      <c r="E323" s="2"/>
      <c r="F323" s="2" t="s">
        <v>28</v>
      </c>
      <c r="G323" s="2" t="s">
        <v>21</v>
      </c>
      <c r="H323" s="2" t="s">
        <v>22</v>
      </c>
      <c r="J323" s="24" t="str">
        <f t="shared" ref="J323" si="279">CONCATENATE(K321,2)</f>
        <v>42</v>
      </c>
      <c r="K323" s="6" t="e">
        <v>#VALUE!</v>
      </c>
      <c r="L323" s="6" t="e">
        <v>#VALUE!</v>
      </c>
      <c r="M323" s="6" t="e">
        <v>#VALUE!</v>
      </c>
      <c r="Q323" s="9"/>
      <c r="R323" s="9"/>
      <c r="S323" s="9"/>
      <c r="T323" s="9"/>
      <c r="U323" s="1">
        <f t="shared" si="242"/>
        <v>8</v>
      </c>
      <c r="V323" s="1">
        <f t="shared" si="243"/>
        <v>214</v>
      </c>
    </row>
    <row r="324" spans="1:22" x14ac:dyDescent="0.3">
      <c r="A324" s="1">
        <f t="shared" si="263"/>
        <v>8215</v>
      </c>
      <c r="B324" s="2" t="s">
        <v>24</v>
      </c>
      <c r="C324" s="2" t="s">
        <v>25</v>
      </c>
      <c r="D324" s="2" t="s">
        <v>26</v>
      </c>
      <c r="E324" s="2" t="s">
        <v>27</v>
      </c>
      <c r="F324" s="2" t="s">
        <v>29</v>
      </c>
      <c r="G324" s="2" t="s">
        <v>24</v>
      </c>
      <c r="H324" s="2" t="s">
        <v>25</v>
      </c>
      <c r="J324" s="24" t="str">
        <f t="shared" ref="J324" si="280">CONCATENATE(K321,3)</f>
        <v>43</v>
      </c>
      <c r="K324" s="6" t="e">
        <v>#VALUE!</v>
      </c>
      <c r="L324" s="6" t="e">
        <v>#VALUE!</v>
      </c>
      <c r="M324" s="6" t="e">
        <v>#VALUE!</v>
      </c>
      <c r="Q324" s="9"/>
      <c r="R324" s="9"/>
      <c r="S324" s="9"/>
      <c r="T324" s="9"/>
      <c r="U324" s="1">
        <f t="shared" si="242"/>
        <v>8</v>
      </c>
      <c r="V324" s="1">
        <f t="shared" si="243"/>
        <v>215</v>
      </c>
    </row>
    <row r="325" spans="1:22" x14ac:dyDescent="0.3">
      <c r="A325" s="1">
        <f t="shared" si="263"/>
        <v>8216</v>
      </c>
      <c r="B325" s="3" t="str">
        <f t="shared" ref="B325" si="281">H318</f>
        <v>%ur</v>
      </c>
      <c r="C325" s="3" t="str">
        <f t="shared" ref="C325" si="282">B325</f>
        <v>%ur</v>
      </c>
      <c r="D325" s="3" t="str">
        <f t="shared" ref="D325" si="283">C325</f>
        <v>%ur</v>
      </c>
      <c r="E325" s="3"/>
      <c r="F325" s="3"/>
      <c r="G325" s="3" t="str">
        <f t="shared" ref="G325" si="284">D325</f>
        <v>%ur</v>
      </c>
      <c r="H325" s="3" t="str">
        <f t="shared" ref="H325" si="285">G325</f>
        <v>%ur</v>
      </c>
      <c r="K325" s="1">
        <v>5</v>
      </c>
      <c r="L325" s="1">
        <v>5</v>
      </c>
      <c r="M325" s="1">
        <v>5</v>
      </c>
      <c r="N325" s="1">
        <v>5</v>
      </c>
      <c r="Q325" s="9"/>
      <c r="R325" s="9"/>
      <c r="S325" s="9"/>
      <c r="T325" s="9"/>
      <c r="U325" s="1">
        <f t="shared" si="242"/>
        <v>8</v>
      </c>
      <c r="V325" s="1">
        <f t="shared" si="243"/>
        <v>216</v>
      </c>
    </row>
    <row r="326" spans="1:22" x14ac:dyDescent="0.3">
      <c r="A326" s="1">
        <f t="shared" si="263"/>
        <v>8217</v>
      </c>
      <c r="B326" s="65">
        <v>20</v>
      </c>
      <c r="C326" s="65">
        <v>19.3</v>
      </c>
      <c r="D326" s="65">
        <v>0.7</v>
      </c>
      <c r="E326" s="4">
        <v>2</v>
      </c>
      <c r="F326" s="14">
        <v>1000000</v>
      </c>
      <c r="G326" s="66"/>
      <c r="H326" s="66"/>
      <c r="J326" s="24" t="str">
        <f t="shared" ref="J326" si="286">CONCATENATE(K325,1)</f>
        <v>51</v>
      </c>
      <c r="K326" s="6" t="e">
        <f t="array" ref="K326:N328">LINEST(B326:B330,C326:C330^{1,2,3},TRUE,TRUE)</f>
        <v>#VALUE!</v>
      </c>
      <c r="L326" s="6" t="e">
        <v>#VALUE!</v>
      </c>
      <c r="M326" s="6" t="e">
        <v>#VALUE!</v>
      </c>
      <c r="N326" s="6" t="e">
        <v>#VALUE!</v>
      </c>
      <c r="Q326" s="9"/>
      <c r="R326" s="9"/>
      <c r="S326" s="9"/>
      <c r="T326" s="9"/>
      <c r="U326" s="1">
        <f t="shared" si="242"/>
        <v>8</v>
      </c>
      <c r="V326" s="1">
        <f t="shared" si="243"/>
        <v>217</v>
      </c>
    </row>
    <row r="327" spans="1:22" x14ac:dyDescent="0.3">
      <c r="A327" s="1">
        <f t="shared" si="263"/>
        <v>8218</v>
      </c>
      <c r="B327" s="65">
        <v>50</v>
      </c>
      <c r="C327" s="65">
        <v>49.3</v>
      </c>
      <c r="D327" s="65">
        <v>1.1000000000000001</v>
      </c>
      <c r="E327" s="4">
        <v>2</v>
      </c>
      <c r="F327" s="14">
        <v>1000000</v>
      </c>
      <c r="G327" s="66"/>
      <c r="H327" s="66"/>
      <c r="J327" s="24" t="str">
        <f t="shared" ref="J327" si="287">CONCATENATE(K325,2)</f>
        <v>52</v>
      </c>
      <c r="K327" s="6" t="e">
        <v>#VALUE!</v>
      </c>
      <c r="L327" s="6" t="e">
        <v>#VALUE!</v>
      </c>
      <c r="M327" s="6" t="e">
        <v>#VALUE!</v>
      </c>
      <c r="N327" s="6" t="e">
        <v>#VALUE!</v>
      </c>
      <c r="T327" s="9"/>
      <c r="U327" s="1">
        <f t="shared" si="242"/>
        <v>8</v>
      </c>
      <c r="V327" s="1">
        <f t="shared" si="243"/>
        <v>218</v>
      </c>
    </row>
    <row r="328" spans="1:22" x14ac:dyDescent="0.3">
      <c r="A328" s="1">
        <f t="shared" si="263"/>
        <v>8219</v>
      </c>
      <c r="B328" s="65">
        <v>80</v>
      </c>
      <c r="C328" s="65">
        <v>79</v>
      </c>
      <c r="D328" s="65">
        <v>1.1000000000000001</v>
      </c>
      <c r="E328" s="4">
        <v>2</v>
      </c>
      <c r="F328" s="14">
        <v>1000000</v>
      </c>
      <c r="G328" s="66"/>
      <c r="H328" s="66"/>
      <c r="J328" s="24" t="str">
        <f t="shared" ref="J328" si="288">CONCATENATE(K325,3)</f>
        <v>53</v>
      </c>
      <c r="K328" s="6" t="e">
        <v>#VALUE!</v>
      </c>
      <c r="L328" s="6" t="e">
        <v>#VALUE!</v>
      </c>
      <c r="M328" s="6" t="e">
        <v>#VALUE!</v>
      </c>
      <c r="N328" s="6" t="e">
        <v>#VALUE!</v>
      </c>
      <c r="T328" s="9"/>
      <c r="U328" s="1">
        <f t="shared" si="242"/>
        <v>8</v>
      </c>
      <c r="V328" s="1">
        <f t="shared" si="243"/>
        <v>219</v>
      </c>
    </row>
    <row r="329" spans="1:22" x14ac:dyDescent="0.3">
      <c r="A329" s="1">
        <f t="shared" si="263"/>
        <v>8220</v>
      </c>
      <c r="B329" s="4"/>
      <c r="C329" s="4"/>
      <c r="D329" s="4"/>
      <c r="E329" s="4"/>
      <c r="F329" s="14"/>
      <c r="G329" s="8"/>
      <c r="H329" s="7"/>
      <c r="K329" s="1">
        <v>6</v>
      </c>
      <c r="L329" s="1">
        <v>6</v>
      </c>
      <c r="M329" s="1">
        <v>6</v>
      </c>
      <c r="N329" s="1">
        <v>6</v>
      </c>
      <c r="O329" s="1">
        <v>6</v>
      </c>
      <c r="T329" s="9"/>
      <c r="U329" s="1">
        <f t="shared" si="242"/>
        <v>8</v>
      </c>
      <c r="V329" s="1">
        <f t="shared" si="243"/>
        <v>220</v>
      </c>
    </row>
    <row r="330" spans="1:22" x14ac:dyDescent="0.3">
      <c r="A330" s="1">
        <f t="shared" si="263"/>
        <v>8221</v>
      </c>
      <c r="B330" s="4"/>
      <c r="C330" s="4"/>
      <c r="D330" s="4"/>
      <c r="E330" s="4"/>
      <c r="F330" s="14"/>
      <c r="G330" s="8"/>
      <c r="H330" s="7"/>
      <c r="J330" s="24" t="str">
        <f t="shared" ref="J330" si="289">CONCATENATE(K329,1)</f>
        <v>61</v>
      </c>
      <c r="K330" s="6" t="e">
        <f t="array" ref="K330:O332">LINEST(B326:B331,C326:C331^{1,2,3,4},TRUE,TRUE)</f>
        <v>#VALUE!</v>
      </c>
      <c r="L330" s="6" t="e">
        <v>#VALUE!</v>
      </c>
      <c r="M330" s="6" t="e">
        <v>#VALUE!</v>
      </c>
      <c r="N330" s="6" t="e">
        <v>#VALUE!</v>
      </c>
      <c r="O330" s="6" t="e">
        <v>#VALUE!</v>
      </c>
      <c r="T330" s="9"/>
      <c r="U330" s="1">
        <f t="shared" si="242"/>
        <v>8</v>
      </c>
      <c r="V330" s="1">
        <f t="shared" si="243"/>
        <v>221</v>
      </c>
    </row>
    <row r="331" spans="1:22" x14ac:dyDescent="0.3">
      <c r="A331" s="1">
        <f t="shared" si="263"/>
        <v>8222</v>
      </c>
      <c r="B331" s="4"/>
      <c r="C331" s="4"/>
      <c r="D331" s="4"/>
      <c r="E331" s="4"/>
      <c r="F331" s="14"/>
      <c r="G331" s="8"/>
      <c r="H331" s="7"/>
      <c r="J331" s="24" t="str">
        <f t="shared" ref="J331" si="290">CONCATENATE(K329,2)</f>
        <v>62</v>
      </c>
      <c r="K331" s="6" t="e">
        <v>#VALUE!</v>
      </c>
      <c r="L331" s="6" t="e">
        <v>#VALUE!</v>
      </c>
      <c r="M331" s="6" t="e">
        <v>#VALUE!</v>
      </c>
      <c r="N331" s="6" t="e">
        <v>#VALUE!</v>
      </c>
      <c r="O331" s="6" t="e">
        <v>#VALUE!</v>
      </c>
      <c r="T331" s="9"/>
      <c r="U331" s="1">
        <f t="shared" si="242"/>
        <v>8</v>
      </c>
      <c r="V331" s="1">
        <f t="shared" si="243"/>
        <v>222</v>
      </c>
    </row>
    <row r="332" spans="1:22" x14ac:dyDescent="0.3">
      <c r="A332" s="1">
        <f t="shared" si="263"/>
        <v>8223</v>
      </c>
      <c r="B332" s="4"/>
      <c r="C332" s="4"/>
      <c r="D332" s="4"/>
      <c r="E332" s="4"/>
      <c r="F332" s="14"/>
      <c r="G332" s="8"/>
      <c r="H332" s="7"/>
      <c r="J332" s="24" t="str">
        <f t="shared" ref="J332" si="291">CONCATENATE(K329,3)</f>
        <v>63</v>
      </c>
      <c r="K332" s="6" t="e">
        <v>#VALUE!</v>
      </c>
      <c r="L332" s="6" t="e">
        <v>#VALUE!</v>
      </c>
      <c r="M332" s="6" t="e">
        <v>#VALUE!</v>
      </c>
      <c r="N332" s="6" t="e">
        <v>#VALUE!</v>
      </c>
      <c r="O332" s="6" t="e">
        <v>#VALUE!</v>
      </c>
      <c r="T332" s="9"/>
      <c r="U332" s="1">
        <f t="shared" si="242"/>
        <v>8</v>
      </c>
      <c r="V332" s="1">
        <f t="shared" si="243"/>
        <v>223</v>
      </c>
    </row>
    <row r="333" spans="1:22" x14ac:dyDescent="0.3">
      <c r="A333" s="1">
        <f t="shared" si="263"/>
        <v>8224</v>
      </c>
      <c r="B333" s="4"/>
      <c r="C333" s="4"/>
      <c r="D333" s="4"/>
      <c r="E333" s="4"/>
      <c r="F333" s="14"/>
      <c r="G333" s="8"/>
      <c r="H333" s="7"/>
      <c r="K333" s="1">
        <v>7</v>
      </c>
      <c r="L333" s="1">
        <v>7</v>
      </c>
      <c r="M333" s="1">
        <v>7</v>
      </c>
      <c r="N333" s="1">
        <v>7</v>
      </c>
      <c r="O333" s="1">
        <v>7</v>
      </c>
      <c r="P333" s="1">
        <v>7</v>
      </c>
      <c r="T333" s="9"/>
      <c r="U333" s="1">
        <f t="shared" si="242"/>
        <v>8</v>
      </c>
      <c r="V333" s="1">
        <f t="shared" si="243"/>
        <v>224</v>
      </c>
    </row>
    <row r="334" spans="1:22" x14ac:dyDescent="0.3">
      <c r="A334" s="1">
        <f t="shared" si="263"/>
        <v>8225</v>
      </c>
      <c r="B334" s="4"/>
      <c r="C334" s="4"/>
      <c r="D334" s="4"/>
      <c r="E334" s="4"/>
      <c r="F334" s="14"/>
      <c r="G334" s="8"/>
      <c r="H334" s="7"/>
      <c r="J334" s="24" t="str">
        <f t="shared" ref="J334" si="292">CONCATENATE(K333,1)</f>
        <v>71</v>
      </c>
      <c r="K334" s="6" t="e">
        <f t="array" ref="K334:P336">LINEST(B326:B332,C326:C332^{1,2,3,4,5},TRUE,TRUE)</f>
        <v>#VALUE!</v>
      </c>
      <c r="L334" s="6" t="e">
        <v>#VALUE!</v>
      </c>
      <c r="M334" s="6" t="e">
        <v>#VALUE!</v>
      </c>
      <c r="N334" s="6" t="e">
        <v>#VALUE!</v>
      </c>
      <c r="O334" s="6" t="e">
        <v>#VALUE!</v>
      </c>
      <c r="P334" s="6" t="e">
        <v>#VALUE!</v>
      </c>
      <c r="T334" s="9"/>
      <c r="U334" s="1">
        <f t="shared" si="242"/>
        <v>8</v>
      </c>
      <c r="V334" s="1">
        <f t="shared" si="243"/>
        <v>225</v>
      </c>
    </row>
    <row r="335" spans="1:22" x14ac:dyDescent="0.3">
      <c r="A335" s="1">
        <f t="shared" si="263"/>
        <v>8226</v>
      </c>
      <c r="B335" s="4"/>
      <c r="C335" s="4"/>
      <c r="D335" s="4"/>
      <c r="E335" s="4"/>
      <c r="F335" s="14"/>
      <c r="G335" s="8"/>
      <c r="H335" s="7"/>
      <c r="J335" s="24" t="str">
        <f t="shared" ref="J335" si="293">CONCATENATE(K333,2)</f>
        <v>72</v>
      </c>
      <c r="K335" s="6" t="e">
        <v>#VALUE!</v>
      </c>
      <c r="L335" s="6" t="e">
        <v>#VALUE!</v>
      </c>
      <c r="M335" s="6" t="e">
        <v>#VALUE!</v>
      </c>
      <c r="N335" s="6" t="e">
        <v>#VALUE!</v>
      </c>
      <c r="O335" s="6" t="e">
        <v>#VALUE!</v>
      </c>
      <c r="P335" s="6" t="e">
        <v>#VALUE!</v>
      </c>
      <c r="T335" s="9"/>
      <c r="U335" s="1">
        <f t="shared" si="242"/>
        <v>8</v>
      </c>
      <c r="V335" s="1">
        <f t="shared" si="243"/>
        <v>226</v>
      </c>
    </row>
    <row r="336" spans="1:22" x14ac:dyDescent="0.3">
      <c r="A336" s="1">
        <f t="shared" si="263"/>
        <v>8227</v>
      </c>
      <c r="B336" s="9"/>
      <c r="C336" s="9"/>
      <c r="D336" s="9"/>
      <c r="E336" s="9"/>
      <c r="F336" s="9"/>
      <c r="G336" s="9"/>
      <c r="H336" s="9"/>
      <c r="J336" s="24" t="str">
        <f t="shared" ref="J336" si="294">CONCATENATE(K333,3)</f>
        <v>73</v>
      </c>
      <c r="K336" s="6" t="e">
        <v>#VALUE!</v>
      </c>
      <c r="L336" s="6" t="e">
        <v>#VALUE!</v>
      </c>
      <c r="M336" s="6" t="e">
        <v>#VALUE!</v>
      </c>
      <c r="N336" s="6" t="e">
        <v>#VALUE!</v>
      </c>
      <c r="O336" s="6" t="e">
        <v>#VALUE!</v>
      </c>
      <c r="P336" s="6" t="e">
        <v>#VALUE!</v>
      </c>
      <c r="T336" s="9"/>
      <c r="U336" s="1">
        <f t="shared" si="242"/>
        <v>8</v>
      </c>
      <c r="V336" s="1">
        <f t="shared" si="243"/>
        <v>227</v>
      </c>
    </row>
    <row r="337" spans="1:22" x14ac:dyDescent="0.3">
      <c r="A337" s="1">
        <f t="shared" si="263"/>
        <v>8228</v>
      </c>
      <c r="B337" s="87" t="s">
        <v>33</v>
      </c>
      <c r="C337" s="88"/>
      <c r="D337" s="88"/>
      <c r="E337" s="88"/>
      <c r="F337" s="88"/>
      <c r="G337" s="88"/>
      <c r="H337" s="89"/>
      <c r="K337" s="1">
        <v>8</v>
      </c>
      <c r="L337" s="1">
        <v>8</v>
      </c>
      <c r="M337" s="1">
        <v>8</v>
      </c>
      <c r="N337" s="1">
        <v>8</v>
      </c>
      <c r="O337" s="1">
        <v>8</v>
      </c>
      <c r="P337" s="1">
        <v>8</v>
      </c>
      <c r="Q337" s="1">
        <v>8</v>
      </c>
      <c r="T337" s="9"/>
      <c r="U337" s="1">
        <f t="shared" si="242"/>
        <v>8</v>
      </c>
      <c r="V337" s="1">
        <f t="shared" si="243"/>
        <v>228</v>
      </c>
    </row>
    <row r="338" spans="1:22" x14ac:dyDescent="0.3">
      <c r="A338" s="1">
        <f t="shared" si="263"/>
        <v>8229</v>
      </c>
      <c r="B338" s="90"/>
      <c r="C338" s="91"/>
      <c r="D338" s="91"/>
      <c r="E338" s="91"/>
      <c r="F338" s="91"/>
      <c r="G338" s="91"/>
      <c r="H338" s="92"/>
      <c r="J338" s="24" t="str">
        <f t="shared" ref="J338" si="295">CONCATENATE(K337,1)</f>
        <v>81</v>
      </c>
      <c r="K338" s="6" t="e">
        <f t="array" ref="K338:Q340">LINEST(B326:B333,C326:C333^{1,2,3,4,5,6},TRUE,TRUE)</f>
        <v>#VALUE!</v>
      </c>
      <c r="L338" s="6" t="e">
        <v>#VALUE!</v>
      </c>
      <c r="M338" s="6" t="e">
        <v>#VALUE!</v>
      </c>
      <c r="N338" s="6" t="e">
        <v>#VALUE!</v>
      </c>
      <c r="O338" s="6" t="e">
        <v>#VALUE!</v>
      </c>
      <c r="P338" s="6" t="e">
        <v>#VALUE!</v>
      </c>
      <c r="Q338" s="6" t="e">
        <v>#VALUE!</v>
      </c>
      <c r="T338" s="9"/>
      <c r="U338" s="1">
        <f t="shared" si="242"/>
        <v>8</v>
      </c>
      <c r="V338" s="1">
        <f t="shared" si="243"/>
        <v>229</v>
      </c>
    </row>
    <row r="339" spans="1:22" x14ac:dyDescent="0.3">
      <c r="A339" s="1">
        <f t="shared" si="263"/>
        <v>8230</v>
      </c>
      <c r="B339" s="93"/>
      <c r="C339" s="94"/>
      <c r="D339" s="94"/>
      <c r="E339" s="94"/>
      <c r="F339" s="94"/>
      <c r="G339" s="94"/>
      <c r="H339" s="95"/>
      <c r="J339" s="24" t="str">
        <f t="shared" ref="J339" si="296">CONCATENATE(K337,2)</f>
        <v>82</v>
      </c>
      <c r="K339" s="6" t="e">
        <v>#VALUE!</v>
      </c>
      <c r="L339" s="6" t="e">
        <v>#VALUE!</v>
      </c>
      <c r="M339" s="6" t="e">
        <v>#VALUE!</v>
      </c>
      <c r="N339" s="6" t="e">
        <v>#VALUE!</v>
      </c>
      <c r="O339" s="6" t="e">
        <v>#VALUE!</v>
      </c>
      <c r="P339" s="6" t="e">
        <v>#VALUE!</v>
      </c>
      <c r="Q339" s="6" t="e">
        <v>#VALUE!</v>
      </c>
      <c r="T339" s="9"/>
      <c r="U339" s="1">
        <f t="shared" si="242"/>
        <v>8</v>
      </c>
      <c r="V339" s="1">
        <f t="shared" si="243"/>
        <v>230</v>
      </c>
    </row>
    <row r="340" spans="1:22" x14ac:dyDescent="0.3">
      <c r="A340" s="1">
        <f t="shared" si="263"/>
        <v>8231</v>
      </c>
      <c r="J340" s="24" t="str">
        <f t="shared" ref="J340" si="297">CONCATENATE(K337,3)</f>
        <v>83</v>
      </c>
      <c r="K340" s="6" t="e">
        <v>#VALUE!</v>
      </c>
      <c r="L340" s="6" t="e">
        <v>#VALUE!</v>
      </c>
      <c r="M340" s="6" t="e">
        <v>#VALUE!</v>
      </c>
      <c r="N340" s="6" t="e">
        <v>#VALUE!</v>
      </c>
      <c r="O340" s="6" t="e">
        <v>#VALUE!</v>
      </c>
      <c r="P340" s="6" t="e">
        <v>#VALUE!</v>
      </c>
      <c r="Q340" s="6" t="e">
        <v>#VALUE!</v>
      </c>
      <c r="T340" s="9"/>
      <c r="U340" s="1">
        <f t="shared" si="242"/>
        <v>8</v>
      </c>
      <c r="V340" s="1">
        <f t="shared" si="243"/>
        <v>231</v>
      </c>
    </row>
    <row r="341" spans="1:22" ht="15" customHeight="1" x14ac:dyDescent="0.3">
      <c r="A341" s="1">
        <f t="shared" si="263"/>
        <v>8232</v>
      </c>
      <c r="B341" s="10" t="s">
        <v>34</v>
      </c>
      <c r="C341" s="10" t="s">
        <v>35</v>
      </c>
      <c r="D341" s="10" t="s">
        <v>36</v>
      </c>
      <c r="E341" s="74" t="s">
        <v>37</v>
      </c>
      <c r="F341" s="75"/>
      <c r="G341" s="76"/>
      <c r="K341" s="1">
        <v>9</v>
      </c>
      <c r="L341" s="1">
        <v>9</v>
      </c>
      <c r="M341" s="1">
        <v>9</v>
      </c>
      <c r="N341" s="1">
        <v>9</v>
      </c>
      <c r="O341" s="1">
        <v>9</v>
      </c>
      <c r="P341" s="1">
        <v>9</v>
      </c>
      <c r="Q341" s="1">
        <v>9</v>
      </c>
      <c r="R341" s="1">
        <v>9</v>
      </c>
      <c r="T341" s="9"/>
      <c r="U341" s="1">
        <f t="shared" si="242"/>
        <v>8</v>
      </c>
      <c r="V341" s="1">
        <f t="shared" si="243"/>
        <v>232</v>
      </c>
    </row>
    <row r="342" spans="1:22" x14ac:dyDescent="0.3">
      <c r="A342" s="1">
        <f t="shared" si="263"/>
        <v>8233</v>
      </c>
      <c r="B342" s="12">
        <f t="shared" ref="B342:B351" si="298">C326-B326</f>
        <v>-0.69999999999999929</v>
      </c>
      <c r="C342" s="13">
        <f t="shared" ref="C342:C351" si="299">H326-G326</f>
        <v>0</v>
      </c>
      <c r="D342" s="10">
        <f>C342-B342</f>
        <v>0.69999999999999929</v>
      </c>
      <c r="E342" s="11">
        <f>IF(D317="","",MAX(F342,G342))</f>
        <v>1</v>
      </c>
      <c r="F342" s="10">
        <f>ABS(MIN(D342:D351))</f>
        <v>0</v>
      </c>
      <c r="G342" s="10">
        <f>ABS(MAX(D342:D351))</f>
        <v>1</v>
      </c>
      <c r="J342" s="24" t="str">
        <f t="shared" ref="J342" si="300">CONCATENATE(K341,1)</f>
        <v>91</v>
      </c>
      <c r="K342" s="6" t="e">
        <f t="array" ref="K342:R344">LINEST(B326:B334,C326:C334^{1,2,3,4,5,6,7},TRUE,TRUE)</f>
        <v>#VALUE!</v>
      </c>
      <c r="L342" s="6" t="e">
        <v>#VALUE!</v>
      </c>
      <c r="M342" s="6" t="e">
        <v>#VALUE!</v>
      </c>
      <c r="N342" s="6" t="e">
        <v>#VALUE!</v>
      </c>
      <c r="O342" s="6" t="e">
        <v>#VALUE!</v>
      </c>
      <c r="P342" s="6" t="e">
        <v>#VALUE!</v>
      </c>
      <c r="Q342" s="6" t="e">
        <v>#VALUE!</v>
      </c>
      <c r="R342" s="6" t="e">
        <v>#VALUE!</v>
      </c>
      <c r="T342" s="9"/>
      <c r="U342" s="1">
        <f t="shared" si="242"/>
        <v>8</v>
      </c>
      <c r="V342" s="1">
        <f t="shared" si="243"/>
        <v>233</v>
      </c>
    </row>
    <row r="343" spans="1:22" x14ac:dyDescent="0.3">
      <c r="A343" s="1">
        <f t="shared" si="263"/>
        <v>8234</v>
      </c>
      <c r="B343" s="12">
        <f t="shared" si="298"/>
        <v>-0.70000000000000284</v>
      </c>
      <c r="C343" s="13">
        <f t="shared" si="299"/>
        <v>0</v>
      </c>
      <c r="D343" s="10">
        <f t="shared" ref="D343:D351" si="301">C343-B343</f>
        <v>0.70000000000000284</v>
      </c>
      <c r="E343" s="74" t="s">
        <v>38</v>
      </c>
      <c r="F343" s="75"/>
      <c r="G343" s="76"/>
      <c r="J343" s="24" t="str">
        <f t="shared" ref="J343" si="302">CONCATENATE(K341,2)</f>
        <v>92</v>
      </c>
      <c r="K343" s="6" t="e">
        <v>#VALUE!</v>
      </c>
      <c r="L343" s="6" t="e">
        <v>#VALUE!</v>
      </c>
      <c r="M343" s="6" t="e">
        <v>#VALUE!</v>
      </c>
      <c r="N343" s="6" t="e">
        <v>#VALUE!</v>
      </c>
      <c r="O343" s="6" t="e">
        <v>#VALUE!</v>
      </c>
      <c r="P343" s="6" t="e">
        <v>#VALUE!</v>
      </c>
      <c r="Q343" s="6" t="e">
        <v>#VALUE!</v>
      </c>
      <c r="R343" s="6" t="e">
        <v>#VALUE!</v>
      </c>
      <c r="T343" s="9"/>
      <c r="U343" s="1">
        <f t="shared" si="242"/>
        <v>8</v>
      </c>
      <c r="V343" s="1">
        <f t="shared" si="243"/>
        <v>234</v>
      </c>
    </row>
    <row r="344" spans="1:22" x14ac:dyDescent="0.3">
      <c r="A344" s="1">
        <f t="shared" si="263"/>
        <v>8235</v>
      </c>
      <c r="B344" s="12">
        <f t="shared" si="298"/>
        <v>-1</v>
      </c>
      <c r="C344" s="13">
        <f t="shared" si="299"/>
        <v>0</v>
      </c>
      <c r="D344" s="10">
        <f t="shared" si="301"/>
        <v>1</v>
      </c>
      <c r="E344" s="11">
        <f>IF(D317="","",MAX(F344,G344))</f>
        <v>1</v>
      </c>
      <c r="F344" s="10">
        <f>ABS(MIN(B342:B351))</f>
        <v>1</v>
      </c>
      <c r="G344" s="10">
        <f>ABS(MAX(B342:B351))</f>
        <v>0</v>
      </c>
      <c r="J344" s="24" t="str">
        <f t="shared" ref="J344" si="303">CONCATENATE(K341,3)</f>
        <v>93</v>
      </c>
      <c r="K344" s="6" t="e">
        <v>#VALUE!</v>
      </c>
      <c r="L344" s="6" t="e">
        <v>#VALUE!</v>
      </c>
      <c r="M344" s="6" t="e">
        <v>#VALUE!</v>
      </c>
      <c r="N344" s="6" t="e">
        <v>#VALUE!</v>
      </c>
      <c r="O344" s="6" t="e">
        <v>#VALUE!</v>
      </c>
      <c r="P344" s="6" t="e">
        <v>#VALUE!</v>
      </c>
      <c r="Q344" s="6" t="e">
        <v>#VALUE!</v>
      </c>
      <c r="R344" s="6" t="e">
        <v>#VALUE!</v>
      </c>
      <c r="T344" s="9"/>
      <c r="U344" s="1">
        <f t="shared" si="242"/>
        <v>8</v>
      </c>
      <c r="V344" s="1">
        <f t="shared" si="243"/>
        <v>235</v>
      </c>
    </row>
    <row r="345" spans="1:22" x14ac:dyDescent="0.3">
      <c r="A345" s="1">
        <f t="shared" si="263"/>
        <v>8236</v>
      </c>
      <c r="B345" s="12">
        <f t="shared" si="298"/>
        <v>0</v>
      </c>
      <c r="C345" s="13">
        <f t="shared" si="299"/>
        <v>0</v>
      </c>
      <c r="D345" s="10">
        <f t="shared" si="301"/>
        <v>0</v>
      </c>
      <c r="E345" s="74" t="s">
        <v>39</v>
      </c>
      <c r="F345" s="75"/>
      <c r="G345" s="76"/>
      <c r="K345" s="1">
        <v>10</v>
      </c>
      <c r="L345" s="1">
        <v>10</v>
      </c>
      <c r="M345" s="1">
        <v>10</v>
      </c>
      <c r="N345" s="1">
        <v>10</v>
      </c>
      <c r="O345" s="1">
        <v>10</v>
      </c>
      <c r="P345" s="1">
        <v>10</v>
      </c>
      <c r="Q345" s="1">
        <v>10</v>
      </c>
      <c r="R345" s="1">
        <v>10</v>
      </c>
      <c r="S345" s="1">
        <v>10</v>
      </c>
      <c r="T345" s="9"/>
      <c r="U345" s="1">
        <f t="shared" si="242"/>
        <v>8</v>
      </c>
      <c r="V345" s="1">
        <f t="shared" si="243"/>
        <v>236</v>
      </c>
    </row>
    <row r="346" spans="1:22" x14ac:dyDescent="0.3">
      <c r="A346" s="1">
        <f t="shared" si="263"/>
        <v>8237</v>
      </c>
      <c r="B346" s="12">
        <f t="shared" si="298"/>
        <v>0</v>
      </c>
      <c r="C346" s="13">
        <f t="shared" si="299"/>
        <v>0</v>
      </c>
      <c r="D346" s="10">
        <f t="shared" si="301"/>
        <v>0</v>
      </c>
      <c r="E346" s="11">
        <f>IF(D317="","",MAX(F346,G346))</f>
        <v>1.1000000000000001</v>
      </c>
      <c r="F346" s="10">
        <f>ABS(MIN(D326:D335))</f>
        <v>0.7</v>
      </c>
      <c r="G346" s="10">
        <f>ABS(MAX(D326:D335))</f>
        <v>1.1000000000000001</v>
      </c>
      <c r="J346" s="24" t="str">
        <f t="shared" ref="J346" si="304">CONCATENATE(K345,1)</f>
        <v>101</v>
      </c>
      <c r="K346" s="6" t="e">
        <f t="array" ref="K346:S348">LINEST(B326:B335,C326:C335^{1,2,3,4,5,6,7,8},TRUE,TRUE)</f>
        <v>#VALUE!</v>
      </c>
      <c r="L346" s="6" t="e">
        <v>#VALUE!</v>
      </c>
      <c r="M346" s="6" t="e">
        <v>#VALUE!</v>
      </c>
      <c r="N346" s="6" t="e">
        <v>#VALUE!</v>
      </c>
      <c r="O346" s="6" t="e">
        <v>#VALUE!</v>
      </c>
      <c r="P346" s="6" t="e">
        <v>#VALUE!</v>
      </c>
      <c r="Q346" s="6" t="e">
        <v>#VALUE!</v>
      </c>
      <c r="R346" s="6" t="e">
        <v>#VALUE!</v>
      </c>
      <c r="S346" s="6" t="e">
        <v>#VALUE!</v>
      </c>
      <c r="T346" s="9"/>
      <c r="U346" s="1">
        <f t="shared" si="242"/>
        <v>8</v>
      </c>
      <c r="V346" s="1">
        <f t="shared" si="243"/>
        <v>237</v>
      </c>
    </row>
    <row r="347" spans="1:22" x14ac:dyDescent="0.3">
      <c r="A347" s="1">
        <f t="shared" si="263"/>
        <v>8238</v>
      </c>
      <c r="B347" s="12">
        <f t="shared" si="298"/>
        <v>0</v>
      </c>
      <c r="C347" s="13">
        <f t="shared" si="299"/>
        <v>0</v>
      </c>
      <c r="D347" s="10">
        <f t="shared" si="301"/>
        <v>0</v>
      </c>
      <c r="J347" s="24" t="str">
        <f t="shared" ref="J347" si="305">CONCATENATE(K345,2)</f>
        <v>102</v>
      </c>
      <c r="K347" s="6" t="e">
        <v>#VALUE!</v>
      </c>
      <c r="L347" s="6" t="e">
        <v>#VALUE!</v>
      </c>
      <c r="M347" s="6" t="e">
        <v>#VALUE!</v>
      </c>
      <c r="N347" s="6" t="e">
        <v>#VALUE!</v>
      </c>
      <c r="O347" s="6" t="e">
        <v>#VALUE!</v>
      </c>
      <c r="P347" s="6" t="e">
        <v>#VALUE!</v>
      </c>
      <c r="Q347" s="6" t="e">
        <v>#VALUE!</v>
      </c>
      <c r="R347" s="6" t="e">
        <v>#VALUE!</v>
      </c>
      <c r="S347" s="6" t="e">
        <v>#VALUE!</v>
      </c>
      <c r="T347" s="9"/>
      <c r="U347" s="1">
        <f t="shared" ref="U347:U410" si="306">U346</f>
        <v>8</v>
      </c>
      <c r="V347" s="1">
        <f t="shared" ref="V347:V410" si="307">V346+1</f>
        <v>238</v>
      </c>
    </row>
    <row r="348" spans="1:22" x14ac:dyDescent="0.3">
      <c r="A348" s="1">
        <f t="shared" si="263"/>
        <v>8239</v>
      </c>
      <c r="B348" s="12">
        <f t="shared" si="298"/>
        <v>0</v>
      </c>
      <c r="C348" s="13">
        <f t="shared" si="299"/>
        <v>0</v>
      </c>
      <c r="D348" s="10">
        <f t="shared" si="301"/>
        <v>0</v>
      </c>
      <c r="J348" s="24" t="str">
        <f t="shared" ref="J348" si="308">CONCATENATE(K345,3)</f>
        <v>103</v>
      </c>
      <c r="K348" s="6" t="e">
        <v>#VALUE!</v>
      </c>
      <c r="L348" s="6" t="e">
        <v>#VALUE!</v>
      </c>
      <c r="M348" s="6" t="e">
        <v>#VALUE!</v>
      </c>
      <c r="N348" s="6" t="e">
        <v>#VALUE!</v>
      </c>
      <c r="O348" s="6" t="e">
        <v>#VALUE!</v>
      </c>
      <c r="P348" s="6" t="e">
        <v>#VALUE!</v>
      </c>
      <c r="Q348" s="6" t="e">
        <v>#VALUE!</v>
      </c>
      <c r="R348" s="6" t="e">
        <v>#VALUE!</v>
      </c>
      <c r="S348" s="6" t="e">
        <v>#VALUE!</v>
      </c>
      <c r="T348" s="9"/>
      <c r="U348" s="1">
        <f t="shared" si="306"/>
        <v>8</v>
      </c>
      <c r="V348" s="1">
        <f t="shared" si="307"/>
        <v>239</v>
      </c>
    </row>
    <row r="349" spans="1:22" x14ac:dyDescent="0.3">
      <c r="A349" s="1">
        <f t="shared" si="263"/>
        <v>8240</v>
      </c>
      <c r="B349" s="12">
        <f t="shared" si="298"/>
        <v>0</v>
      </c>
      <c r="C349" s="13">
        <f t="shared" si="299"/>
        <v>0</v>
      </c>
      <c r="D349" s="10">
        <f t="shared" si="301"/>
        <v>0</v>
      </c>
      <c r="J349" s="9"/>
      <c r="K349" s="9"/>
      <c r="L349" s="9"/>
      <c r="M349" s="9"/>
      <c r="N349" s="9"/>
      <c r="O349" s="9"/>
      <c r="P349" s="9"/>
      <c r="Q349" s="9"/>
      <c r="R349" s="9"/>
      <c r="S349" s="9"/>
      <c r="T349" s="9"/>
      <c r="U349" s="1">
        <f t="shared" si="306"/>
        <v>8</v>
      </c>
      <c r="V349" s="1">
        <f t="shared" si="307"/>
        <v>240</v>
      </c>
    </row>
    <row r="350" spans="1:22" x14ac:dyDescent="0.3">
      <c r="A350" s="1">
        <f t="shared" si="263"/>
        <v>8241</v>
      </c>
      <c r="B350" s="12">
        <f t="shared" si="298"/>
        <v>0</v>
      </c>
      <c r="C350" s="13">
        <f t="shared" si="299"/>
        <v>0</v>
      </c>
      <c r="D350" s="10">
        <f t="shared" si="301"/>
        <v>0</v>
      </c>
      <c r="J350" s="9"/>
      <c r="K350" s="9"/>
      <c r="L350" s="9"/>
      <c r="M350" s="9"/>
      <c r="N350" s="9"/>
      <c r="O350" s="9"/>
      <c r="P350" s="9"/>
      <c r="Q350" s="9"/>
      <c r="R350" s="9"/>
      <c r="S350" s="9"/>
      <c r="T350" s="9"/>
      <c r="U350" s="1">
        <f t="shared" si="306"/>
        <v>8</v>
      </c>
      <c r="V350" s="1">
        <f t="shared" si="307"/>
        <v>241</v>
      </c>
    </row>
    <row r="351" spans="1:22" x14ac:dyDescent="0.3">
      <c r="A351" s="1">
        <f t="shared" si="263"/>
        <v>8242</v>
      </c>
      <c r="B351" s="12">
        <f t="shared" si="298"/>
        <v>0</v>
      </c>
      <c r="C351" s="13">
        <f t="shared" si="299"/>
        <v>0</v>
      </c>
      <c r="D351" s="10">
        <f t="shared" si="301"/>
        <v>0</v>
      </c>
      <c r="J351" s="9"/>
      <c r="K351" s="9"/>
      <c r="L351" s="9"/>
      <c r="M351" s="9"/>
      <c r="N351" s="9"/>
      <c r="O351" s="9"/>
      <c r="P351" s="9"/>
      <c r="Q351" s="9"/>
      <c r="R351" s="9"/>
      <c r="S351" s="9"/>
      <c r="T351" s="9"/>
      <c r="U351" s="1">
        <f t="shared" si="306"/>
        <v>8</v>
      </c>
      <c r="V351" s="1">
        <f t="shared" si="307"/>
        <v>242</v>
      </c>
    </row>
    <row r="352" spans="1:22" x14ac:dyDescent="0.3">
      <c r="A352" s="1">
        <f t="shared" si="263"/>
        <v>8243</v>
      </c>
      <c r="J352" s="9"/>
      <c r="K352" s="9"/>
      <c r="L352" s="9"/>
      <c r="M352" s="9"/>
      <c r="N352" s="9"/>
      <c r="O352" s="9"/>
      <c r="P352" s="9"/>
      <c r="Q352" s="9"/>
      <c r="R352" s="9"/>
      <c r="S352" s="9"/>
      <c r="T352" s="9"/>
      <c r="U352" s="1">
        <f t="shared" si="306"/>
        <v>8</v>
      </c>
      <c r="V352" s="1">
        <f t="shared" si="307"/>
        <v>243</v>
      </c>
    </row>
    <row r="353" spans="1:22" s="5" customFormat="1" x14ac:dyDescent="0.3"/>
    <row r="354" spans="1:22" x14ac:dyDescent="0.3">
      <c r="A354" s="1">
        <f t="shared" ref="A354:A396" si="309">ROUND(CONCATENATE(U354,V354),0)</f>
        <v>9201</v>
      </c>
      <c r="B354" s="96" t="s">
        <v>0</v>
      </c>
      <c r="C354" s="97"/>
      <c r="D354" s="98" t="s">
        <v>46</v>
      </c>
      <c r="E354" s="99"/>
      <c r="F354" s="99"/>
      <c r="G354" s="99"/>
      <c r="H354" s="100"/>
      <c r="J354" s="9"/>
      <c r="K354" s="9"/>
      <c r="L354" s="9"/>
      <c r="M354" s="9"/>
      <c r="N354" s="9"/>
      <c r="O354" s="9"/>
      <c r="P354" s="9"/>
      <c r="Q354" s="9"/>
      <c r="R354" s="9"/>
      <c r="S354" s="9"/>
      <c r="T354" s="9"/>
      <c r="U354" s="1">
        <f t="shared" ref="U354" si="310">U352+1</f>
        <v>9</v>
      </c>
      <c r="V354" s="1">
        <v>201</v>
      </c>
    </row>
    <row r="355" spans="1:22" x14ac:dyDescent="0.3">
      <c r="A355" s="1">
        <f t="shared" si="309"/>
        <v>9202</v>
      </c>
      <c r="B355" s="96" t="s">
        <v>1</v>
      </c>
      <c r="C355" s="97"/>
      <c r="D355" s="15">
        <v>20</v>
      </c>
      <c r="E355" s="16" t="s">
        <v>2</v>
      </c>
      <c r="F355" s="107"/>
      <c r="G355" s="108"/>
      <c r="H355" s="109"/>
      <c r="J355" s="9"/>
      <c r="K355" s="9"/>
      <c r="L355" s="9"/>
      <c r="M355" s="9"/>
      <c r="N355" s="9"/>
      <c r="O355" s="9"/>
      <c r="P355" s="9"/>
      <c r="Q355" s="9"/>
      <c r="R355" s="9"/>
      <c r="S355" s="9"/>
      <c r="T355" s="9"/>
      <c r="U355" s="1">
        <f t="shared" ref="U355" si="311">U354</f>
        <v>9</v>
      </c>
      <c r="V355" s="1">
        <f t="shared" ref="V355" si="312">V354+1</f>
        <v>202</v>
      </c>
    </row>
    <row r="356" spans="1:22" x14ac:dyDescent="0.3">
      <c r="A356" s="1">
        <f t="shared" si="309"/>
        <v>9203</v>
      </c>
      <c r="B356" s="96" t="s">
        <v>12</v>
      </c>
      <c r="C356" s="97"/>
      <c r="D356" s="98" t="s">
        <v>223</v>
      </c>
      <c r="E356" s="99"/>
      <c r="F356" s="99"/>
      <c r="G356" s="99"/>
      <c r="H356" s="100"/>
      <c r="K356" s="1" t="s">
        <v>3</v>
      </c>
      <c r="L356" s="1" t="s">
        <v>4</v>
      </c>
      <c r="M356" s="1" t="s">
        <v>5</v>
      </c>
      <c r="N356" s="1" t="s">
        <v>6</v>
      </c>
      <c r="O356" s="1" t="s">
        <v>7</v>
      </c>
      <c r="P356" s="1" t="s">
        <v>8</v>
      </c>
      <c r="Q356" s="1" t="s">
        <v>9</v>
      </c>
      <c r="R356" s="1" t="s">
        <v>10</v>
      </c>
      <c r="S356" s="1" t="s">
        <v>11</v>
      </c>
      <c r="T356" s="9"/>
      <c r="U356" s="1">
        <f t="shared" si="306"/>
        <v>9</v>
      </c>
      <c r="V356" s="1">
        <f t="shared" si="307"/>
        <v>203</v>
      </c>
    </row>
    <row r="357" spans="1:22" x14ac:dyDescent="0.3">
      <c r="A357" s="1">
        <f t="shared" si="309"/>
        <v>9204</v>
      </c>
      <c r="B357" s="96" t="s">
        <v>13</v>
      </c>
      <c r="C357" s="97"/>
      <c r="D357" s="110" t="s">
        <v>65</v>
      </c>
      <c r="E357" s="111"/>
      <c r="F357" s="111"/>
      <c r="G357" s="111"/>
      <c r="H357" s="112"/>
      <c r="J357" s="1">
        <f>COUNTA(B370:B379)</f>
        <v>6</v>
      </c>
      <c r="K357" s="1">
        <f t="shared" ref="K357" si="313">IF(L357-1&lt;2,0,L357-1)</f>
        <v>0</v>
      </c>
      <c r="L357" s="1">
        <f t="shared" ref="L357" si="314">IF(M357-1&lt;2,0,M357-1)</f>
        <v>0</v>
      </c>
      <c r="M357" s="1">
        <f t="shared" ref="M357" si="315">IF(N357-1&lt;2,0,N357-1)</f>
        <v>0</v>
      </c>
      <c r="N357" s="1">
        <f t="shared" ref="N357" si="316">IF(O357-1&lt;2,0,O357-1)</f>
        <v>0</v>
      </c>
      <c r="O357" s="1">
        <f t="shared" ref="O357" si="317">IF(P357-1&lt;2,0,P357-1)</f>
        <v>2</v>
      </c>
      <c r="P357" s="1">
        <f t="shared" ref="P357" si="318">IF(Q357-1&lt;2,0,Q357-1)</f>
        <v>3</v>
      </c>
      <c r="Q357" s="1">
        <f t="shared" ref="Q357" si="319">IF(R357-1&lt;2,0,R357-1)</f>
        <v>4</v>
      </c>
      <c r="R357" s="1">
        <f>IF(S357-1&lt;2,0,S357-1)</f>
        <v>5</v>
      </c>
      <c r="S357" s="1">
        <f>J357</f>
        <v>6</v>
      </c>
      <c r="T357" s="9"/>
      <c r="U357" s="1">
        <f t="shared" si="306"/>
        <v>9</v>
      </c>
      <c r="V357" s="1">
        <f t="shared" si="307"/>
        <v>204</v>
      </c>
    </row>
    <row r="358" spans="1:22" x14ac:dyDescent="0.3">
      <c r="A358" s="1">
        <f t="shared" si="309"/>
        <v>9205</v>
      </c>
      <c r="B358" s="96" t="s">
        <v>14</v>
      </c>
      <c r="C358" s="97"/>
      <c r="D358" s="110" t="s">
        <v>66</v>
      </c>
      <c r="E358" s="111"/>
      <c r="F358" s="111"/>
      <c r="G358" s="111"/>
      <c r="H358" s="112"/>
      <c r="J358" s="24" t="str">
        <f>CONCATENATE(J357,1)</f>
        <v>61</v>
      </c>
      <c r="K358" s="25">
        <f>IF(K357=0,0,VLOOKUP(J358,J362:S392,K357,FALSE))</f>
        <v>0</v>
      </c>
      <c r="L358" s="25">
        <f>IF(L357=0,0,VLOOKUP(J358,J362:S392,L357,FALSE))</f>
        <v>0</v>
      </c>
      <c r="M358" s="25">
        <f>IF(M357=0,0,VLOOKUP(J358,J362:S392,M357,FALSE))</f>
        <v>0</v>
      </c>
      <c r="N358" s="25">
        <f>IF(N357=0,0,VLOOKUP(J358,J362:S392,N357,FALSE))</f>
        <v>0</v>
      </c>
      <c r="O358" s="25">
        <f>IF(O357=0,0,VLOOKUP(J358,J362:S392,O357,FALSE))</f>
        <v>-3.2294994809459297E-7</v>
      </c>
      <c r="P358" s="25">
        <f>IF(P357=0,0,VLOOKUP(J358,J362:S392,P357,FALSE))</f>
        <v>6.388775761934544E-5</v>
      </c>
      <c r="Q358" s="25">
        <f>IF(Q357=0,0,VLOOKUP(J358,J362:S392,Q357,FALSE))</f>
        <v>-3.9161576302145637E-3</v>
      </c>
      <c r="R358" s="25">
        <f>IF(R357=0,0,VLOOKUP(J358,J362:S392,R357,FALSE))</f>
        <v>1.0710134479490356</v>
      </c>
      <c r="S358" s="25">
        <f>IF(S357=0,0,VLOOKUP(J358,J362:S392,S357,FALSE))</f>
        <v>0.23473038532220514</v>
      </c>
      <c r="T358" s="9"/>
      <c r="U358" s="1">
        <f t="shared" si="306"/>
        <v>9</v>
      </c>
      <c r="V358" s="1">
        <f t="shared" si="307"/>
        <v>205</v>
      </c>
    </row>
    <row r="359" spans="1:22" x14ac:dyDescent="0.3">
      <c r="A359" s="1">
        <f t="shared" si="309"/>
        <v>9206</v>
      </c>
      <c r="B359" s="96" t="s">
        <v>15</v>
      </c>
      <c r="C359" s="97"/>
      <c r="D359" s="126" t="s">
        <v>336</v>
      </c>
      <c r="E359" s="127"/>
      <c r="F359" s="127"/>
      <c r="G359" s="127"/>
      <c r="H359" s="127"/>
      <c r="J359" s="24" t="str">
        <f>CONCATENATE(J357,2)</f>
        <v>62</v>
      </c>
      <c r="K359" s="6">
        <f>IF(K357=0,0,VLOOKUP(J359,J362:S392,K357,FALSE))</f>
        <v>0</v>
      </c>
      <c r="L359" s="6">
        <f>IF(L357=0,0,VLOOKUP(J359,J362:S392,L357,FALSE))</f>
        <v>0</v>
      </c>
      <c r="M359" s="6">
        <f>IF(M357=0,0,VLOOKUP(J359,J362:S392,M357,FALSE))</f>
        <v>0</v>
      </c>
      <c r="N359" s="6">
        <f>IF(N357=0,0,VLOOKUP(J359,J362:S392,N357,FALSE))</f>
        <v>0</v>
      </c>
      <c r="O359" s="6">
        <f>IF(O357=0,0,VLOOKUP(J359,J362:S392,O357,FALSE))</f>
        <v>1.7058732713724161E-7</v>
      </c>
      <c r="P359" s="6">
        <f>IF(P357=0,0,VLOOKUP(J359,J362:S392,P357,FALSE))</f>
        <v>3.5048439342603856E-5</v>
      </c>
      <c r="Q359" s="6">
        <f>IF(Q357=0,0,VLOOKUP(J359,J362:S392,Q357,FALSE))</f>
        <v>2.3330696842577456E-3</v>
      </c>
      <c r="R359" s="6">
        <f>IF(R357=0,0,VLOOKUP(J359,J362:S392,R357,FALSE))</f>
        <v>5.5097206901260305E-2</v>
      </c>
      <c r="S359" s="6">
        <f>IF(S357=0,0,VLOOKUP(J359,J362:S392,S357,FALSE))</f>
        <v>0.36148587672727994</v>
      </c>
      <c r="T359" s="9"/>
      <c r="U359" s="1">
        <f t="shared" si="306"/>
        <v>9</v>
      </c>
      <c r="V359" s="1">
        <f t="shared" si="307"/>
        <v>206</v>
      </c>
    </row>
    <row r="360" spans="1:22" x14ac:dyDescent="0.3">
      <c r="A360" s="1">
        <f t="shared" si="309"/>
        <v>9207</v>
      </c>
      <c r="B360" s="96" t="s">
        <v>16</v>
      </c>
      <c r="C360" s="97"/>
      <c r="D360" s="101">
        <v>45989</v>
      </c>
      <c r="E360" s="102"/>
      <c r="F360" s="102"/>
      <c r="G360" s="102"/>
      <c r="H360" s="103"/>
      <c r="J360" s="24" t="str">
        <f>CONCATENATE(J357,3)</f>
        <v>63</v>
      </c>
      <c r="K360" s="6"/>
      <c r="L360" s="6"/>
      <c r="M360" s="6"/>
      <c r="N360" s="6" t="s">
        <v>43</v>
      </c>
      <c r="O360" s="25">
        <f>J357-2</f>
        <v>4</v>
      </c>
      <c r="P360" s="6" t="s">
        <v>44</v>
      </c>
      <c r="Q360" s="25">
        <f>VLOOKUP(J360,J362:S392,3,FALSE)</f>
        <v>0.20467235703562636</v>
      </c>
      <c r="R360" s="6" t="s">
        <v>45</v>
      </c>
      <c r="S360" s="6">
        <f>VLOOKUP(J360,J362:S392,2,FALSE)</f>
        <v>0.99999353181966943</v>
      </c>
      <c r="T360" s="9"/>
      <c r="U360" s="1">
        <f t="shared" si="306"/>
        <v>9</v>
      </c>
      <c r="V360" s="1">
        <f t="shared" si="307"/>
        <v>207</v>
      </c>
    </row>
    <row r="361" spans="1:22" x14ac:dyDescent="0.3">
      <c r="A361" s="1">
        <f t="shared" si="309"/>
        <v>9208</v>
      </c>
      <c r="B361" s="96" t="s">
        <v>17</v>
      </c>
      <c r="C361" s="97"/>
      <c r="D361" s="104">
        <v>46170</v>
      </c>
      <c r="E361" s="105"/>
      <c r="F361" s="105"/>
      <c r="G361" s="105"/>
      <c r="H361" s="106"/>
      <c r="K361" s="1">
        <v>3</v>
      </c>
      <c r="L361" s="1">
        <v>3</v>
      </c>
      <c r="Q361" s="26"/>
      <c r="R361" s="26"/>
      <c r="S361" s="26"/>
      <c r="T361" s="9"/>
      <c r="U361" s="1">
        <f t="shared" si="306"/>
        <v>9</v>
      </c>
      <c r="V361" s="1">
        <f t="shared" si="307"/>
        <v>208</v>
      </c>
    </row>
    <row r="362" spans="1:22" x14ac:dyDescent="0.3">
      <c r="A362" s="1">
        <f t="shared" si="309"/>
        <v>9209</v>
      </c>
      <c r="B362" s="77" t="s">
        <v>19</v>
      </c>
      <c r="C362" s="78"/>
      <c r="D362" s="17">
        <v>0.01</v>
      </c>
      <c r="E362" s="79" t="s">
        <v>40</v>
      </c>
      <c r="F362" s="80"/>
      <c r="G362" s="81"/>
      <c r="H362" s="18" t="s">
        <v>72</v>
      </c>
      <c r="J362" s="24" t="str">
        <f>CONCATENATE(K361,1)</f>
        <v>31</v>
      </c>
      <c r="K362" s="6">
        <f t="array" ref="K362:L364">LINEST(B370:B372,C370:C372^{1},TRUE,TRUE)</f>
        <v>0.9898815512006488</v>
      </c>
      <c r="L362" s="6">
        <v>0.61448729500438759</v>
      </c>
      <c r="Q362" s="9"/>
      <c r="R362" s="9"/>
      <c r="S362" s="9"/>
      <c r="T362" s="9"/>
      <c r="U362" s="1">
        <f t="shared" si="306"/>
        <v>9</v>
      </c>
      <c r="V362" s="1">
        <f t="shared" si="307"/>
        <v>209</v>
      </c>
    </row>
    <row r="363" spans="1:22" x14ac:dyDescent="0.3">
      <c r="A363" s="1">
        <f t="shared" si="309"/>
        <v>9210</v>
      </c>
      <c r="B363" s="77" t="s">
        <v>41</v>
      </c>
      <c r="C363" s="78"/>
      <c r="D363" s="23">
        <f t="shared" ref="D363" si="320">MIN(B370:B379)</f>
        <v>5.01</v>
      </c>
      <c r="E363" s="20" t="s">
        <v>18</v>
      </c>
      <c r="F363" s="19">
        <f t="shared" ref="F363" si="321">MAX(B370:B379)</f>
        <v>97.96</v>
      </c>
      <c r="G363" s="21" t="str">
        <f t="shared" ref="G363" si="322">IF(H362="","",H362)</f>
        <v>%ur</v>
      </c>
      <c r="H363" s="22"/>
      <c r="J363" s="24" t="str">
        <f>CONCATENATE(K361,2)</f>
        <v>32</v>
      </c>
      <c r="K363" s="6">
        <v>1.788933879396129E-2</v>
      </c>
      <c r="L363" s="6">
        <v>0.37012350248670828</v>
      </c>
      <c r="Q363" s="9"/>
      <c r="R363" s="9"/>
      <c r="S363" s="9"/>
      <c r="T363" s="9"/>
      <c r="U363" s="1">
        <f t="shared" si="306"/>
        <v>9</v>
      </c>
      <c r="V363" s="1">
        <f t="shared" si="307"/>
        <v>210</v>
      </c>
    </row>
    <row r="364" spans="1:22" x14ac:dyDescent="0.3">
      <c r="A364" s="1">
        <f t="shared" si="309"/>
        <v>9211</v>
      </c>
      <c r="J364" s="24" t="str">
        <f>CONCATENATE(K361,3)</f>
        <v>33</v>
      </c>
      <c r="K364" s="6">
        <v>0.9996735021708002</v>
      </c>
      <c r="L364" s="6">
        <v>0.32130779738294635</v>
      </c>
      <c r="Q364" s="9"/>
      <c r="R364" s="9"/>
      <c r="S364" s="9"/>
      <c r="T364" s="9"/>
      <c r="U364" s="1">
        <f t="shared" si="306"/>
        <v>9</v>
      </c>
      <c r="V364" s="1">
        <f t="shared" si="307"/>
        <v>211</v>
      </c>
    </row>
    <row r="365" spans="1:22" x14ac:dyDescent="0.3">
      <c r="A365" s="1">
        <f t="shared" si="309"/>
        <v>9212</v>
      </c>
      <c r="B365" s="82" t="s">
        <v>20</v>
      </c>
      <c r="C365" s="83"/>
      <c r="D365" s="83"/>
      <c r="E365" s="83"/>
      <c r="F365" s="84"/>
      <c r="G365" s="85" t="s">
        <v>31</v>
      </c>
      <c r="H365" s="86"/>
      <c r="K365" s="1">
        <v>4</v>
      </c>
      <c r="L365" s="1">
        <v>4</v>
      </c>
      <c r="M365" s="1">
        <v>4</v>
      </c>
      <c r="Q365" s="9"/>
      <c r="R365" s="9"/>
      <c r="S365" s="9"/>
      <c r="T365" s="9"/>
      <c r="U365" s="1">
        <f t="shared" si="306"/>
        <v>9</v>
      </c>
      <c r="V365" s="1">
        <f t="shared" si="307"/>
        <v>212</v>
      </c>
    </row>
    <row r="366" spans="1:22" x14ac:dyDescent="0.3">
      <c r="A366" s="1">
        <f t="shared" si="309"/>
        <v>9213</v>
      </c>
      <c r="B366" s="82" t="s">
        <v>30</v>
      </c>
      <c r="C366" s="83"/>
      <c r="D366" s="84"/>
      <c r="E366" s="82" t="str">
        <f t="shared" ref="E366" si="323">D359</f>
        <v>E0843/25</v>
      </c>
      <c r="F366" s="84"/>
      <c r="G366" s="6" t="s">
        <v>32</v>
      </c>
      <c r="H366" s="7" t="s">
        <v>317</v>
      </c>
      <c r="J366" s="24" t="str">
        <f t="shared" ref="J366" si="324">CONCATENATE(K365,1)</f>
        <v>41</v>
      </c>
      <c r="K366" s="6">
        <f t="array" ref="K366:M368">LINEST(B370:B373,C370:C373^{1,2},TRUE,TRUE)</f>
        <v>-2.4865686289535525E-4</v>
      </c>
      <c r="L366" s="6">
        <v>1.0019354498721036</v>
      </c>
      <c r="M366" s="6">
        <v>0.51744459763173811</v>
      </c>
      <c r="Q366" s="9"/>
      <c r="R366" s="9"/>
      <c r="S366" s="9"/>
      <c r="T366" s="9"/>
      <c r="U366" s="1">
        <f t="shared" si="306"/>
        <v>9</v>
      </c>
      <c r="V366" s="1">
        <f t="shared" si="307"/>
        <v>213</v>
      </c>
    </row>
    <row r="367" spans="1:22" x14ac:dyDescent="0.3">
      <c r="A367" s="1">
        <f t="shared" si="309"/>
        <v>9214</v>
      </c>
      <c r="B367" s="2" t="s">
        <v>21</v>
      </c>
      <c r="C367" s="2" t="s">
        <v>22</v>
      </c>
      <c r="D367" s="2" t="s">
        <v>23</v>
      </c>
      <c r="E367" s="2"/>
      <c r="F367" s="2" t="s">
        <v>28</v>
      </c>
      <c r="G367" s="2" t="s">
        <v>21</v>
      </c>
      <c r="H367" s="2" t="s">
        <v>22</v>
      </c>
      <c r="J367" s="24" t="str">
        <f t="shared" ref="J367" si="325">CONCATENATE(K365,2)</f>
        <v>42</v>
      </c>
      <c r="K367" s="6">
        <v>6.2339284151105925E-4</v>
      </c>
      <c r="L367" s="6">
        <v>3.5734292257180243E-2</v>
      </c>
      <c r="M367" s="6">
        <v>0.41461235096286286</v>
      </c>
      <c r="Q367" s="9"/>
      <c r="R367" s="9"/>
      <c r="S367" s="9"/>
      <c r="T367" s="9"/>
      <c r="U367" s="1">
        <f t="shared" si="306"/>
        <v>9</v>
      </c>
      <c r="V367" s="1">
        <f t="shared" si="307"/>
        <v>214</v>
      </c>
    </row>
    <row r="368" spans="1:22" x14ac:dyDescent="0.3">
      <c r="A368" s="1">
        <f t="shared" si="309"/>
        <v>9215</v>
      </c>
      <c r="B368" s="2" t="s">
        <v>24</v>
      </c>
      <c r="C368" s="2" t="s">
        <v>25</v>
      </c>
      <c r="D368" s="2" t="s">
        <v>26</v>
      </c>
      <c r="E368" s="2" t="s">
        <v>27</v>
      </c>
      <c r="F368" s="2" t="s">
        <v>29</v>
      </c>
      <c r="G368" s="2" t="s">
        <v>24</v>
      </c>
      <c r="H368" s="2" t="s">
        <v>25</v>
      </c>
      <c r="J368" s="24" t="str">
        <f t="shared" ref="J368" si="326">CONCATENATE(K365,3)</f>
        <v>43</v>
      </c>
      <c r="K368" s="6">
        <v>0.99991554255172599</v>
      </c>
      <c r="L368" s="6">
        <v>0.30041846574870057</v>
      </c>
      <c r="M368" s="6" t="e">
        <v>#N/A</v>
      </c>
      <c r="Q368" s="9"/>
      <c r="R368" s="9"/>
      <c r="S368" s="9"/>
      <c r="T368" s="9"/>
      <c r="U368" s="1">
        <f t="shared" si="306"/>
        <v>9</v>
      </c>
      <c r="V368" s="1">
        <f t="shared" si="307"/>
        <v>215</v>
      </c>
    </row>
    <row r="369" spans="1:22" x14ac:dyDescent="0.3">
      <c r="A369" s="1">
        <f t="shared" si="309"/>
        <v>9216</v>
      </c>
      <c r="B369" s="3" t="str">
        <f t="shared" ref="B369" si="327">H362</f>
        <v>%ur</v>
      </c>
      <c r="C369" s="3" t="str">
        <f t="shared" ref="C369" si="328">B369</f>
        <v>%ur</v>
      </c>
      <c r="D369" s="3" t="str">
        <f t="shared" ref="D369" si="329">C369</f>
        <v>%ur</v>
      </c>
      <c r="E369" s="3"/>
      <c r="F369" s="3"/>
      <c r="G369" s="3" t="str">
        <f t="shared" ref="G369" si="330">D369</f>
        <v>%ur</v>
      </c>
      <c r="H369" s="3" t="str">
        <f t="shared" ref="H369" si="331">G369</f>
        <v>%ur</v>
      </c>
      <c r="K369" s="1">
        <v>5</v>
      </c>
      <c r="L369" s="1">
        <v>5</v>
      </c>
      <c r="M369" s="1">
        <v>5</v>
      </c>
      <c r="N369" s="1">
        <v>5</v>
      </c>
      <c r="Q369" s="9"/>
      <c r="R369" s="9"/>
      <c r="S369" s="9"/>
      <c r="T369" s="9"/>
      <c r="U369" s="1">
        <f t="shared" si="306"/>
        <v>9</v>
      </c>
      <c r="V369" s="1">
        <f t="shared" si="307"/>
        <v>216</v>
      </c>
    </row>
    <row r="370" spans="1:22" x14ac:dyDescent="0.3">
      <c r="A370" s="1">
        <f t="shared" si="309"/>
        <v>9217</v>
      </c>
      <c r="B370" s="4">
        <v>5.01</v>
      </c>
      <c r="C370" s="4">
        <v>4.55</v>
      </c>
      <c r="D370" s="4">
        <v>0.25</v>
      </c>
      <c r="E370" s="4">
        <v>2.0299999999999998</v>
      </c>
      <c r="F370" s="14">
        <v>87</v>
      </c>
      <c r="G370" s="4">
        <v>5</v>
      </c>
      <c r="H370" s="4">
        <v>4.99</v>
      </c>
      <c r="J370" s="24" t="str">
        <f t="shared" ref="J370" si="332">CONCATENATE(K369,1)</f>
        <v>51</v>
      </c>
      <c r="K370" s="6">
        <f t="array" ref="K370:N372">LINEST(B370:B374,C370:C374^{1,2,3},TRUE,TRUE)</f>
        <v>1.1744536798835843E-5</v>
      </c>
      <c r="L370" s="6">
        <v>-1.2665782244245646E-3</v>
      </c>
      <c r="M370" s="6">
        <v>1.0251907052753859</v>
      </c>
      <c r="N370" s="6">
        <v>0.40926686701936554</v>
      </c>
      <c r="Q370" s="9"/>
      <c r="R370" s="9"/>
      <c r="S370" s="9"/>
      <c r="T370" s="9"/>
      <c r="U370" s="1">
        <f t="shared" si="306"/>
        <v>9</v>
      </c>
      <c r="V370" s="1">
        <f t="shared" si="307"/>
        <v>217</v>
      </c>
    </row>
    <row r="371" spans="1:22" x14ac:dyDescent="0.3">
      <c r="A371" s="1">
        <f t="shared" si="309"/>
        <v>9218</v>
      </c>
      <c r="B371" s="4">
        <v>20.010000000000002</v>
      </c>
      <c r="C371" s="4">
        <v>19.329999999999998</v>
      </c>
      <c r="D371" s="4">
        <v>0.27</v>
      </c>
      <c r="E371" s="4">
        <v>2.04</v>
      </c>
      <c r="F371" s="14">
        <v>65</v>
      </c>
      <c r="G371" s="4">
        <v>20</v>
      </c>
      <c r="H371" s="4">
        <v>19.670000000000002</v>
      </c>
      <c r="J371" s="24" t="str">
        <f t="shared" ref="J371" si="333">CONCATENATE(K369,2)</f>
        <v>52</v>
      </c>
      <c r="K371" s="6">
        <v>1.1514947335973265E-5</v>
      </c>
      <c r="L371" s="6">
        <v>1.4386132273835476E-3</v>
      </c>
      <c r="M371" s="6">
        <v>4.7852029297091654E-2</v>
      </c>
      <c r="N371" s="6">
        <v>0.40837516361913284</v>
      </c>
      <c r="T371" s="9"/>
      <c r="U371" s="1">
        <f t="shared" si="306"/>
        <v>9</v>
      </c>
      <c r="V371" s="1">
        <f t="shared" si="307"/>
        <v>218</v>
      </c>
    </row>
    <row r="372" spans="1:22" x14ac:dyDescent="0.3">
      <c r="A372" s="1">
        <f t="shared" si="309"/>
        <v>9219</v>
      </c>
      <c r="B372" s="4">
        <v>29.99</v>
      </c>
      <c r="C372" s="4">
        <v>29.83</v>
      </c>
      <c r="D372" s="4">
        <v>0.35</v>
      </c>
      <c r="E372" s="4">
        <v>2.04</v>
      </c>
      <c r="F372" s="14">
        <v>67</v>
      </c>
      <c r="G372" s="4">
        <v>29.98</v>
      </c>
      <c r="H372" s="4">
        <v>29.81</v>
      </c>
      <c r="J372" s="24" t="str">
        <f t="shared" ref="J372" si="334">CONCATENATE(K369,3)</f>
        <v>53</v>
      </c>
      <c r="K372" s="6">
        <v>0.99997955398443961</v>
      </c>
      <c r="L372" s="6">
        <v>0.26289401670910539</v>
      </c>
      <c r="M372" s="6" t="e">
        <v>#N/A</v>
      </c>
      <c r="N372" s="6" t="e">
        <v>#N/A</v>
      </c>
      <c r="T372" s="9"/>
      <c r="U372" s="1">
        <f t="shared" si="306"/>
        <v>9</v>
      </c>
      <c r="V372" s="1">
        <f t="shared" si="307"/>
        <v>219</v>
      </c>
    </row>
    <row r="373" spans="1:22" x14ac:dyDescent="0.3">
      <c r="A373" s="1">
        <f t="shared" si="309"/>
        <v>9220</v>
      </c>
      <c r="B373" s="4">
        <v>50.01</v>
      </c>
      <c r="C373" s="4">
        <v>49.98</v>
      </c>
      <c r="D373" s="4">
        <v>0.55000000000000004</v>
      </c>
      <c r="E373" s="4">
        <v>2.04</v>
      </c>
      <c r="F373" s="14">
        <v>67</v>
      </c>
      <c r="G373" s="4">
        <v>50</v>
      </c>
      <c r="H373" s="4">
        <v>49.81</v>
      </c>
      <c r="K373" s="1">
        <v>6</v>
      </c>
      <c r="L373" s="1">
        <v>6</v>
      </c>
      <c r="M373" s="1">
        <v>6</v>
      </c>
      <c r="N373" s="1">
        <v>6</v>
      </c>
      <c r="O373" s="1">
        <v>6</v>
      </c>
      <c r="T373" s="9"/>
      <c r="U373" s="1">
        <f t="shared" si="306"/>
        <v>9</v>
      </c>
      <c r="V373" s="1">
        <f t="shared" si="307"/>
        <v>220</v>
      </c>
    </row>
    <row r="374" spans="1:22" x14ac:dyDescent="0.3">
      <c r="A374" s="1">
        <f t="shared" si="309"/>
        <v>9221</v>
      </c>
      <c r="B374" s="4">
        <v>80.010000000000005</v>
      </c>
      <c r="C374" s="4">
        <v>79.7</v>
      </c>
      <c r="D374" s="4">
        <v>0.83</v>
      </c>
      <c r="E374" s="4">
        <v>2.04</v>
      </c>
      <c r="F374" s="14">
        <v>68</v>
      </c>
      <c r="G374" s="4">
        <v>79.989999999999995</v>
      </c>
      <c r="H374" s="4">
        <v>79.8</v>
      </c>
      <c r="J374" s="24" t="str">
        <f t="shared" ref="J374" si="335">CONCATENATE(K373,1)</f>
        <v>61</v>
      </c>
      <c r="K374" s="6">
        <f t="array" ref="K374:O376">LINEST(B370:B375,C370:C375^{1,2,3,4},TRUE,TRUE)</f>
        <v>-3.2294994809459297E-7</v>
      </c>
      <c r="L374" s="6">
        <v>6.388775761934544E-5</v>
      </c>
      <c r="M374" s="6">
        <v>-3.9161576302145637E-3</v>
      </c>
      <c r="N374" s="6">
        <v>1.0710134479490356</v>
      </c>
      <c r="O374" s="6">
        <v>0.23473038532220514</v>
      </c>
      <c r="T374" s="9"/>
      <c r="U374" s="1">
        <f t="shared" si="306"/>
        <v>9</v>
      </c>
      <c r="V374" s="1">
        <f t="shared" si="307"/>
        <v>221</v>
      </c>
    </row>
    <row r="375" spans="1:22" x14ac:dyDescent="0.3">
      <c r="A375" s="1">
        <f t="shared" si="309"/>
        <v>9222</v>
      </c>
      <c r="B375" s="4">
        <v>97.96</v>
      </c>
      <c r="C375" s="4">
        <v>98.03</v>
      </c>
      <c r="D375" s="4">
        <v>0.99</v>
      </c>
      <c r="E375" s="4">
        <v>2.04</v>
      </c>
      <c r="F375" s="14">
        <v>68</v>
      </c>
      <c r="G375" s="4">
        <v>98</v>
      </c>
      <c r="H375" s="4">
        <v>98</v>
      </c>
      <c r="J375" s="24" t="str">
        <f t="shared" ref="J375" si="336">CONCATENATE(K373,2)</f>
        <v>62</v>
      </c>
      <c r="K375" s="6">
        <v>1.7058732713724161E-7</v>
      </c>
      <c r="L375" s="6">
        <v>3.5048439342603856E-5</v>
      </c>
      <c r="M375" s="6">
        <v>2.3330696842577456E-3</v>
      </c>
      <c r="N375" s="6">
        <v>5.5097206901260305E-2</v>
      </c>
      <c r="O375" s="6">
        <v>0.36148587672727994</v>
      </c>
      <c r="T375" s="9"/>
      <c r="U375" s="1">
        <f t="shared" si="306"/>
        <v>9</v>
      </c>
      <c r="V375" s="1">
        <f t="shared" si="307"/>
        <v>222</v>
      </c>
    </row>
    <row r="376" spans="1:22" x14ac:dyDescent="0.3">
      <c r="A376" s="1">
        <f t="shared" si="309"/>
        <v>9223</v>
      </c>
      <c r="B376" s="4"/>
      <c r="C376" s="4"/>
      <c r="D376" s="4"/>
      <c r="E376" s="4"/>
      <c r="F376" s="14"/>
      <c r="G376" s="8"/>
      <c r="H376" s="7"/>
      <c r="J376" s="24" t="str">
        <f t="shared" ref="J376" si="337">CONCATENATE(K373,3)</f>
        <v>63</v>
      </c>
      <c r="K376" s="6">
        <v>0.99999353181966943</v>
      </c>
      <c r="L376" s="6">
        <v>0.20467235703562636</v>
      </c>
      <c r="M376" s="6" t="e">
        <v>#N/A</v>
      </c>
      <c r="N376" s="6" t="e">
        <v>#N/A</v>
      </c>
      <c r="O376" s="6" t="e">
        <v>#N/A</v>
      </c>
      <c r="T376" s="9"/>
      <c r="U376" s="1">
        <f t="shared" si="306"/>
        <v>9</v>
      </c>
      <c r="V376" s="1">
        <f t="shared" si="307"/>
        <v>223</v>
      </c>
    </row>
    <row r="377" spans="1:22" x14ac:dyDescent="0.3">
      <c r="A377" s="1">
        <f t="shared" si="309"/>
        <v>9224</v>
      </c>
      <c r="B377" s="4"/>
      <c r="C377" s="4"/>
      <c r="D377" s="4"/>
      <c r="E377" s="4"/>
      <c r="F377" s="14"/>
      <c r="G377" s="8"/>
      <c r="H377" s="7"/>
      <c r="K377" s="1">
        <v>7</v>
      </c>
      <c r="L377" s="1">
        <v>7</v>
      </c>
      <c r="M377" s="1">
        <v>7</v>
      </c>
      <c r="N377" s="1">
        <v>7</v>
      </c>
      <c r="O377" s="1">
        <v>7</v>
      </c>
      <c r="P377" s="1">
        <v>7</v>
      </c>
      <c r="T377" s="9"/>
      <c r="U377" s="1">
        <f t="shared" si="306"/>
        <v>9</v>
      </c>
      <c r="V377" s="1">
        <f t="shared" si="307"/>
        <v>224</v>
      </c>
    </row>
    <row r="378" spans="1:22" x14ac:dyDescent="0.3">
      <c r="A378" s="1">
        <f t="shared" si="309"/>
        <v>9225</v>
      </c>
      <c r="B378" s="4"/>
      <c r="C378" s="4"/>
      <c r="D378" s="4"/>
      <c r="E378" s="4"/>
      <c r="F378" s="14"/>
      <c r="G378" s="8"/>
      <c r="H378" s="7"/>
      <c r="J378" s="24" t="str">
        <f t="shared" ref="J378" si="338">CONCATENATE(K377,1)</f>
        <v>71</v>
      </c>
      <c r="K378" s="6" t="e">
        <f t="array" ref="K378:P380">LINEST(B370:B376,C370:C376^{1,2,3,4,5},TRUE,TRUE)</f>
        <v>#VALUE!</v>
      </c>
      <c r="L378" s="6" t="e">
        <v>#VALUE!</v>
      </c>
      <c r="M378" s="6" t="e">
        <v>#VALUE!</v>
      </c>
      <c r="N378" s="6" t="e">
        <v>#VALUE!</v>
      </c>
      <c r="O378" s="6" t="e">
        <v>#VALUE!</v>
      </c>
      <c r="P378" s="6" t="e">
        <v>#VALUE!</v>
      </c>
      <c r="T378" s="9"/>
      <c r="U378" s="1">
        <f t="shared" si="306"/>
        <v>9</v>
      </c>
      <c r="V378" s="1">
        <f t="shared" si="307"/>
        <v>225</v>
      </c>
    </row>
    <row r="379" spans="1:22" x14ac:dyDescent="0.3">
      <c r="A379" s="1">
        <f t="shared" si="309"/>
        <v>9226</v>
      </c>
      <c r="B379" s="4"/>
      <c r="C379" s="4"/>
      <c r="D379" s="4"/>
      <c r="E379" s="4"/>
      <c r="F379" s="14"/>
      <c r="G379" s="8"/>
      <c r="H379" s="7"/>
      <c r="J379" s="24" t="str">
        <f t="shared" ref="J379" si="339">CONCATENATE(K377,2)</f>
        <v>72</v>
      </c>
      <c r="K379" s="6" t="e">
        <v>#VALUE!</v>
      </c>
      <c r="L379" s="6" t="e">
        <v>#VALUE!</v>
      </c>
      <c r="M379" s="6" t="e">
        <v>#VALUE!</v>
      </c>
      <c r="N379" s="6" t="e">
        <v>#VALUE!</v>
      </c>
      <c r="O379" s="6" t="e">
        <v>#VALUE!</v>
      </c>
      <c r="P379" s="6" t="e">
        <v>#VALUE!</v>
      </c>
      <c r="T379" s="9"/>
      <c r="U379" s="1">
        <f t="shared" si="306"/>
        <v>9</v>
      </c>
      <c r="V379" s="1">
        <f t="shared" si="307"/>
        <v>226</v>
      </c>
    </row>
    <row r="380" spans="1:22" x14ac:dyDescent="0.3">
      <c r="A380" s="1">
        <f t="shared" si="309"/>
        <v>9227</v>
      </c>
      <c r="B380" s="9"/>
      <c r="C380" s="9"/>
      <c r="D380" s="9"/>
      <c r="E380" s="9"/>
      <c r="F380" s="9"/>
      <c r="G380" s="9"/>
      <c r="H380" s="9"/>
      <c r="J380" s="24" t="str">
        <f t="shared" ref="J380" si="340">CONCATENATE(K377,3)</f>
        <v>73</v>
      </c>
      <c r="K380" s="6" t="e">
        <v>#VALUE!</v>
      </c>
      <c r="L380" s="6" t="e">
        <v>#VALUE!</v>
      </c>
      <c r="M380" s="6" t="e">
        <v>#VALUE!</v>
      </c>
      <c r="N380" s="6" t="e">
        <v>#VALUE!</v>
      </c>
      <c r="O380" s="6" t="e">
        <v>#VALUE!</v>
      </c>
      <c r="P380" s="6" t="e">
        <v>#VALUE!</v>
      </c>
      <c r="T380" s="9"/>
      <c r="U380" s="1">
        <f t="shared" si="306"/>
        <v>9</v>
      </c>
      <c r="V380" s="1">
        <f t="shared" si="307"/>
        <v>227</v>
      </c>
    </row>
    <row r="381" spans="1:22" x14ac:dyDescent="0.3">
      <c r="A381" s="1">
        <f t="shared" si="309"/>
        <v>9228</v>
      </c>
      <c r="B381" s="87" t="s">
        <v>33</v>
      </c>
      <c r="C381" s="88"/>
      <c r="D381" s="88"/>
      <c r="E381" s="88"/>
      <c r="F381" s="88"/>
      <c r="G381" s="88"/>
      <c r="H381" s="89"/>
      <c r="K381" s="1">
        <v>8</v>
      </c>
      <c r="L381" s="1">
        <v>8</v>
      </c>
      <c r="M381" s="1">
        <v>8</v>
      </c>
      <c r="N381" s="1">
        <v>8</v>
      </c>
      <c r="O381" s="1">
        <v>8</v>
      </c>
      <c r="P381" s="1">
        <v>8</v>
      </c>
      <c r="Q381" s="1">
        <v>8</v>
      </c>
      <c r="T381" s="9"/>
      <c r="U381" s="1">
        <f t="shared" si="306"/>
        <v>9</v>
      </c>
      <c r="V381" s="1">
        <f t="shared" si="307"/>
        <v>228</v>
      </c>
    </row>
    <row r="382" spans="1:22" x14ac:dyDescent="0.3">
      <c r="A382" s="1">
        <f t="shared" si="309"/>
        <v>9229</v>
      </c>
      <c r="B382" s="90"/>
      <c r="C382" s="91"/>
      <c r="D382" s="91"/>
      <c r="E382" s="91"/>
      <c r="F382" s="91"/>
      <c r="G382" s="91"/>
      <c r="H382" s="92"/>
      <c r="J382" s="24" t="str">
        <f t="shared" ref="J382" si="341">CONCATENATE(K381,1)</f>
        <v>81</v>
      </c>
      <c r="K382" s="6" t="e">
        <f t="array" ref="K382:Q384">LINEST(B370:B377,C370:C377^{1,2,3,4,5,6},TRUE,TRUE)</f>
        <v>#VALUE!</v>
      </c>
      <c r="L382" s="6" t="e">
        <v>#VALUE!</v>
      </c>
      <c r="M382" s="6" t="e">
        <v>#VALUE!</v>
      </c>
      <c r="N382" s="6" t="e">
        <v>#VALUE!</v>
      </c>
      <c r="O382" s="6" t="e">
        <v>#VALUE!</v>
      </c>
      <c r="P382" s="6" t="e">
        <v>#VALUE!</v>
      </c>
      <c r="Q382" s="6" t="e">
        <v>#VALUE!</v>
      </c>
      <c r="T382" s="9"/>
      <c r="U382" s="1">
        <f t="shared" si="306"/>
        <v>9</v>
      </c>
      <c r="V382" s="1">
        <f t="shared" si="307"/>
        <v>229</v>
      </c>
    </row>
    <row r="383" spans="1:22" x14ac:dyDescent="0.3">
      <c r="A383" s="1">
        <f t="shared" si="309"/>
        <v>9230</v>
      </c>
      <c r="B383" s="93"/>
      <c r="C383" s="94"/>
      <c r="D383" s="94"/>
      <c r="E383" s="94"/>
      <c r="F383" s="94"/>
      <c r="G383" s="94"/>
      <c r="H383" s="95"/>
      <c r="J383" s="24" t="str">
        <f t="shared" ref="J383" si="342">CONCATENATE(K381,2)</f>
        <v>82</v>
      </c>
      <c r="K383" s="6" t="e">
        <v>#VALUE!</v>
      </c>
      <c r="L383" s="6" t="e">
        <v>#VALUE!</v>
      </c>
      <c r="M383" s="6" t="e">
        <v>#VALUE!</v>
      </c>
      <c r="N383" s="6" t="e">
        <v>#VALUE!</v>
      </c>
      <c r="O383" s="6" t="e">
        <v>#VALUE!</v>
      </c>
      <c r="P383" s="6" t="e">
        <v>#VALUE!</v>
      </c>
      <c r="Q383" s="6" t="e">
        <v>#VALUE!</v>
      </c>
      <c r="T383" s="9"/>
      <c r="U383" s="1">
        <f t="shared" si="306"/>
        <v>9</v>
      </c>
      <c r="V383" s="1">
        <f t="shared" si="307"/>
        <v>230</v>
      </c>
    </row>
    <row r="384" spans="1:22" x14ac:dyDescent="0.3">
      <c r="A384" s="1">
        <f t="shared" si="309"/>
        <v>9231</v>
      </c>
      <c r="J384" s="24" t="str">
        <f t="shared" ref="J384" si="343">CONCATENATE(K381,3)</f>
        <v>83</v>
      </c>
      <c r="K384" s="6" t="e">
        <v>#VALUE!</v>
      </c>
      <c r="L384" s="6" t="e">
        <v>#VALUE!</v>
      </c>
      <c r="M384" s="6" t="e">
        <v>#VALUE!</v>
      </c>
      <c r="N384" s="6" t="e">
        <v>#VALUE!</v>
      </c>
      <c r="O384" s="6" t="e">
        <v>#VALUE!</v>
      </c>
      <c r="P384" s="6" t="e">
        <v>#VALUE!</v>
      </c>
      <c r="Q384" s="6" t="e">
        <v>#VALUE!</v>
      </c>
      <c r="T384" s="9"/>
      <c r="U384" s="1">
        <f t="shared" si="306"/>
        <v>9</v>
      </c>
      <c r="V384" s="1">
        <f t="shared" si="307"/>
        <v>231</v>
      </c>
    </row>
    <row r="385" spans="1:22" ht="15" customHeight="1" x14ac:dyDescent="0.3">
      <c r="A385" s="1">
        <f t="shared" si="309"/>
        <v>9232</v>
      </c>
      <c r="B385" s="10" t="s">
        <v>34</v>
      </c>
      <c r="C385" s="10" t="s">
        <v>35</v>
      </c>
      <c r="D385" s="10" t="s">
        <v>36</v>
      </c>
      <c r="E385" s="74" t="s">
        <v>37</v>
      </c>
      <c r="F385" s="75"/>
      <c r="G385" s="76"/>
      <c r="K385" s="1">
        <v>9</v>
      </c>
      <c r="L385" s="1">
        <v>9</v>
      </c>
      <c r="M385" s="1">
        <v>9</v>
      </c>
      <c r="N385" s="1">
        <v>9</v>
      </c>
      <c r="O385" s="1">
        <v>9</v>
      </c>
      <c r="P385" s="1">
        <v>9</v>
      </c>
      <c r="Q385" s="1">
        <v>9</v>
      </c>
      <c r="R385" s="1">
        <v>9</v>
      </c>
      <c r="T385" s="9"/>
      <c r="U385" s="1">
        <f t="shared" si="306"/>
        <v>9</v>
      </c>
      <c r="V385" s="1">
        <f t="shared" si="307"/>
        <v>232</v>
      </c>
    </row>
    <row r="386" spans="1:22" x14ac:dyDescent="0.3">
      <c r="A386" s="1">
        <f t="shared" si="309"/>
        <v>9233</v>
      </c>
      <c r="B386" s="12">
        <f t="shared" ref="B386:B395" si="344">C370-B370</f>
        <v>-0.45999999999999996</v>
      </c>
      <c r="C386" s="13">
        <f t="shared" ref="C386:C395" si="345">H370-G370</f>
        <v>-9.9999999999997868E-3</v>
      </c>
      <c r="D386" s="10">
        <f>C386-B386</f>
        <v>0.45000000000000018</v>
      </c>
      <c r="E386" s="11">
        <f>IF(D361="","",MAX(F386,G386))</f>
        <v>0.45000000000000018</v>
      </c>
      <c r="F386" s="10">
        <f>ABS(MIN(D386:D395))</f>
        <v>0.15999999999999659</v>
      </c>
      <c r="G386" s="10">
        <f>ABS(MAX(D386:D395))</f>
        <v>0.45000000000000018</v>
      </c>
      <c r="J386" s="24" t="str">
        <f t="shared" ref="J386" si="346">CONCATENATE(K385,1)</f>
        <v>91</v>
      </c>
      <c r="K386" s="6" t="e">
        <f t="array" ref="K386:R388">LINEST(B370:B378,C370:C378^{1,2,3,4,5,6,7},TRUE,TRUE)</f>
        <v>#VALUE!</v>
      </c>
      <c r="L386" s="6" t="e">
        <v>#VALUE!</v>
      </c>
      <c r="M386" s="6" t="e">
        <v>#VALUE!</v>
      </c>
      <c r="N386" s="6" t="e">
        <v>#VALUE!</v>
      </c>
      <c r="O386" s="6" t="e">
        <v>#VALUE!</v>
      </c>
      <c r="P386" s="6" t="e">
        <v>#VALUE!</v>
      </c>
      <c r="Q386" s="6" t="e">
        <v>#VALUE!</v>
      </c>
      <c r="R386" s="6" t="e">
        <v>#VALUE!</v>
      </c>
      <c r="T386" s="9"/>
      <c r="U386" s="1">
        <f t="shared" si="306"/>
        <v>9</v>
      </c>
      <c r="V386" s="1">
        <f t="shared" si="307"/>
        <v>233</v>
      </c>
    </row>
    <row r="387" spans="1:22" x14ac:dyDescent="0.3">
      <c r="A387" s="1">
        <f t="shared" si="309"/>
        <v>9234</v>
      </c>
      <c r="B387" s="12">
        <f t="shared" si="344"/>
        <v>-0.68000000000000327</v>
      </c>
      <c r="C387" s="13">
        <f t="shared" si="345"/>
        <v>-0.32999999999999829</v>
      </c>
      <c r="D387" s="10">
        <f t="shared" ref="D387:D395" si="347">C387-B387</f>
        <v>0.35000000000000497</v>
      </c>
      <c r="E387" s="74" t="s">
        <v>38</v>
      </c>
      <c r="F387" s="75"/>
      <c r="G387" s="76"/>
      <c r="J387" s="24" t="str">
        <f t="shared" ref="J387" si="348">CONCATENATE(K385,2)</f>
        <v>92</v>
      </c>
      <c r="K387" s="6" t="e">
        <v>#VALUE!</v>
      </c>
      <c r="L387" s="6" t="e">
        <v>#VALUE!</v>
      </c>
      <c r="M387" s="6" t="e">
        <v>#VALUE!</v>
      </c>
      <c r="N387" s="6" t="e">
        <v>#VALUE!</v>
      </c>
      <c r="O387" s="6" t="e">
        <v>#VALUE!</v>
      </c>
      <c r="P387" s="6" t="e">
        <v>#VALUE!</v>
      </c>
      <c r="Q387" s="6" t="e">
        <v>#VALUE!</v>
      </c>
      <c r="R387" s="6" t="e">
        <v>#VALUE!</v>
      </c>
      <c r="T387" s="9"/>
      <c r="U387" s="1">
        <f t="shared" si="306"/>
        <v>9</v>
      </c>
      <c r="V387" s="1">
        <f t="shared" si="307"/>
        <v>234</v>
      </c>
    </row>
    <row r="388" spans="1:22" x14ac:dyDescent="0.3">
      <c r="A388" s="1">
        <f t="shared" si="309"/>
        <v>9235</v>
      </c>
      <c r="B388" s="12">
        <f t="shared" si="344"/>
        <v>-0.16000000000000014</v>
      </c>
      <c r="C388" s="13">
        <f t="shared" si="345"/>
        <v>-0.17000000000000171</v>
      </c>
      <c r="D388" s="10">
        <f t="shared" si="347"/>
        <v>-1.0000000000001563E-2</v>
      </c>
      <c r="E388" s="11">
        <f>IF(D361="","",MAX(F388,G388))</f>
        <v>0.68000000000000327</v>
      </c>
      <c r="F388" s="10">
        <f>ABS(MIN(B386:B395))</f>
        <v>0.68000000000000327</v>
      </c>
      <c r="G388" s="10">
        <f>ABS(MAX(B386:B395))</f>
        <v>7.000000000000739E-2</v>
      </c>
      <c r="J388" s="24" t="str">
        <f t="shared" ref="J388" si="349">CONCATENATE(K385,3)</f>
        <v>93</v>
      </c>
      <c r="K388" s="6" t="e">
        <v>#VALUE!</v>
      </c>
      <c r="L388" s="6" t="e">
        <v>#VALUE!</v>
      </c>
      <c r="M388" s="6" t="e">
        <v>#VALUE!</v>
      </c>
      <c r="N388" s="6" t="e">
        <v>#VALUE!</v>
      </c>
      <c r="O388" s="6" t="e">
        <v>#VALUE!</v>
      </c>
      <c r="P388" s="6" t="e">
        <v>#VALUE!</v>
      </c>
      <c r="Q388" s="6" t="e">
        <v>#VALUE!</v>
      </c>
      <c r="R388" s="6" t="e">
        <v>#VALUE!</v>
      </c>
      <c r="T388" s="9"/>
      <c r="U388" s="1">
        <f t="shared" si="306"/>
        <v>9</v>
      </c>
      <c r="V388" s="1">
        <f t="shared" si="307"/>
        <v>235</v>
      </c>
    </row>
    <row r="389" spans="1:22" x14ac:dyDescent="0.3">
      <c r="A389" s="1">
        <f t="shared" si="309"/>
        <v>9236</v>
      </c>
      <c r="B389" s="12">
        <f t="shared" si="344"/>
        <v>-3.0000000000001137E-2</v>
      </c>
      <c r="C389" s="13">
        <f t="shared" si="345"/>
        <v>-0.18999999999999773</v>
      </c>
      <c r="D389" s="10">
        <f t="shared" si="347"/>
        <v>-0.15999999999999659</v>
      </c>
      <c r="E389" s="74" t="s">
        <v>39</v>
      </c>
      <c r="F389" s="75"/>
      <c r="G389" s="76"/>
      <c r="K389" s="1">
        <v>10</v>
      </c>
      <c r="L389" s="1">
        <v>10</v>
      </c>
      <c r="M389" s="1">
        <v>10</v>
      </c>
      <c r="N389" s="1">
        <v>10</v>
      </c>
      <c r="O389" s="1">
        <v>10</v>
      </c>
      <c r="P389" s="1">
        <v>10</v>
      </c>
      <c r="Q389" s="1">
        <v>10</v>
      </c>
      <c r="R389" s="1">
        <v>10</v>
      </c>
      <c r="S389" s="1">
        <v>10</v>
      </c>
      <c r="T389" s="9"/>
      <c r="U389" s="1">
        <f t="shared" si="306"/>
        <v>9</v>
      </c>
      <c r="V389" s="1">
        <f t="shared" si="307"/>
        <v>236</v>
      </c>
    </row>
    <row r="390" spans="1:22" x14ac:dyDescent="0.3">
      <c r="A390" s="1">
        <f t="shared" si="309"/>
        <v>9237</v>
      </c>
      <c r="B390" s="12">
        <f t="shared" si="344"/>
        <v>-0.31000000000000227</v>
      </c>
      <c r="C390" s="13">
        <f t="shared" si="345"/>
        <v>-0.18999999999999773</v>
      </c>
      <c r="D390" s="10">
        <f t="shared" si="347"/>
        <v>0.12000000000000455</v>
      </c>
      <c r="E390" s="11">
        <f>IF(D361="","",MAX(F390,G390))</f>
        <v>0.99</v>
      </c>
      <c r="F390" s="10">
        <f>ABS(MIN(D370:D379))</f>
        <v>0.25</v>
      </c>
      <c r="G390" s="10">
        <f>ABS(MAX(D370:D379))</f>
        <v>0.99</v>
      </c>
      <c r="J390" s="24" t="str">
        <f t="shared" ref="J390" si="350">CONCATENATE(K389,1)</f>
        <v>101</v>
      </c>
      <c r="K390" s="6" t="e">
        <f t="array" ref="K390:S392">LINEST(B370:B379,C370:C379^{1,2,3,4,5,6,7,8},TRUE,TRUE)</f>
        <v>#VALUE!</v>
      </c>
      <c r="L390" s="6" t="e">
        <v>#VALUE!</v>
      </c>
      <c r="M390" s="6" t="e">
        <v>#VALUE!</v>
      </c>
      <c r="N390" s="6" t="e">
        <v>#VALUE!</v>
      </c>
      <c r="O390" s="6" t="e">
        <v>#VALUE!</v>
      </c>
      <c r="P390" s="6" t="e">
        <v>#VALUE!</v>
      </c>
      <c r="Q390" s="6" t="e">
        <v>#VALUE!</v>
      </c>
      <c r="R390" s="6" t="e">
        <v>#VALUE!</v>
      </c>
      <c r="S390" s="6" t="e">
        <v>#VALUE!</v>
      </c>
      <c r="T390" s="9"/>
      <c r="U390" s="1">
        <f t="shared" si="306"/>
        <v>9</v>
      </c>
      <c r="V390" s="1">
        <f t="shared" si="307"/>
        <v>237</v>
      </c>
    </row>
    <row r="391" spans="1:22" x14ac:dyDescent="0.3">
      <c r="A391" s="1">
        <f t="shared" si="309"/>
        <v>9238</v>
      </c>
      <c r="B391" s="12">
        <f t="shared" si="344"/>
        <v>7.000000000000739E-2</v>
      </c>
      <c r="C391" s="13">
        <f t="shared" si="345"/>
        <v>0</v>
      </c>
      <c r="D391" s="10">
        <f t="shared" si="347"/>
        <v>-7.000000000000739E-2</v>
      </c>
      <c r="J391" s="24" t="str">
        <f t="shared" ref="J391" si="351">CONCATENATE(K389,2)</f>
        <v>102</v>
      </c>
      <c r="K391" s="6" t="e">
        <v>#VALUE!</v>
      </c>
      <c r="L391" s="6" t="e">
        <v>#VALUE!</v>
      </c>
      <c r="M391" s="6" t="e">
        <v>#VALUE!</v>
      </c>
      <c r="N391" s="6" t="e">
        <v>#VALUE!</v>
      </c>
      <c r="O391" s="6" t="e">
        <v>#VALUE!</v>
      </c>
      <c r="P391" s="6" t="e">
        <v>#VALUE!</v>
      </c>
      <c r="Q391" s="6" t="e">
        <v>#VALUE!</v>
      </c>
      <c r="R391" s="6" t="e">
        <v>#VALUE!</v>
      </c>
      <c r="S391" s="6" t="e">
        <v>#VALUE!</v>
      </c>
      <c r="T391" s="9"/>
      <c r="U391" s="1">
        <f t="shared" si="306"/>
        <v>9</v>
      </c>
      <c r="V391" s="1">
        <f t="shared" si="307"/>
        <v>238</v>
      </c>
    </row>
    <row r="392" spans="1:22" x14ac:dyDescent="0.3">
      <c r="A392" s="1">
        <f t="shared" si="309"/>
        <v>9239</v>
      </c>
      <c r="B392" s="12">
        <f t="shared" si="344"/>
        <v>0</v>
      </c>
      <c r="C392" s="13">
        <f t="shared" si="345"/>
        <v>0</v>
      </c>
      <c r="D392" s="10">
        <f t="shared" si="347"/>
        <v>0</v>
      </c>
      <c r="J392" s="24" t="str">
        <f t="shared" ref="J392" si="352">CONCATENATE(K389,3)</f>
        <v>103</v>
      </c>
      <c r="K392" s="6" t="e">
        <v>#VALUE!</v>
      </c>
      <c r="L392" s="6" t="e">
        <v>#VALUE!</v>
      </c>
      <c r="M392" s="6" t="e">
        <v>#VALUE!</v>
      </c>
      <c r="N392" s="6" t="e">
        <v>#VALUE!</v>
      </c>
      <c r="O392" s="6" t="e">
        <v>#VALUE!</v>
      </c>
      <c r="P392" s="6" t="e">
        <v>#VALUE!</v>
      </c>
      <c r="Q392" s="6" t="e">
        <v>#VALUE!</v>
      </c>
      <c r="R392" s="6" t="e">
        <v>#VALUE!</v>
      </c>
      <c r="S392" s="6" t="e">
        <v>#VALUE!</v>
      </c>
      <c r="T392" s="9"/>
      <c r="U392" s="1">
        <f t="shared" si="306"/>
        <v>9</v>
      </c>
      <c r="V392" s="1">
        <f t="shared" si="307"/>
        <v>239</v>
      </c>
    </row>
    <row r="393" spans="1:22" x14ac:dyDescent="0.3">
      <c r="A393" s="1">
        <f t="shared" si="309"/>
        <v>9240</v>
      </c>
      <c r="B393" s="12">
        <f t="shared" si="344"/>
        <v>0</v>
      </c>
      <c r="C393" s="13">
        <f t="shared" si="345"/>
        <v>0</v>
      </c>
      <c r="D393" s="10">
        <f t="shared" si="347"/>
        <v>0</v>
      </c>
      <c r="J393" s="9"/>
      <c r="K393" s="9"/>
      <c r="L393" s="9"/>
      <c r="M393" s="9"/>
      <c r="N393" s="9"/>
      <c r="O393" s="9"/>
      <c r="P393" s="9"/>
      <c r="Q393" s="9"/>
      <c r="R393" s="9"/>
      <c r="S393" s="9"/>
      <c r="T393" s="9"/>
      <c r="U393" s="1">
        <f t="shared" si="306"/>
        <v>9</v>
      </c>
      <c r="V393" s="1">
        <f t="shared" si="307"/>
        <v>240</v>
      </c>
    </row>
    <row r="394" spans="1:22" x14ac:dyDescent="0.3">
      <c r="A394" s="1">
        <f t="shared" si="309"/>
        <v>9241</v>
      </c>
      <c r="B394" s="12">
        <f t="shared" si="344"/>
        <v>0</v>
      </c>
      <c r="C394" s="13">
        <f t="shared" si="345"/>
        <v>0</v>
      </c>
      <c r="D394" s="10">
        <f t="shared" si="347"/>
        <v>0</v>
      </c>
      <c r="J394" s="9"/>
      <c r="K394" s="9"/>
      <c r="L394" s="9"/>
      <c r="M394" s="9"/>
      <c r="N394" s="9"/>
      <c r="O394" s="9"/>
      <c r="P394" s="9"/>
      <c r="Q394" s="9"/>
      <c r="R394" s="9"/>
      <c r="S394" s="9"/>
      <c r="T394" s="9"/>
      <c r="U394" s="1">
        <f t="shared" si="306"/>
        <v>9</v>
      </c>
      <c r="V394" s="1">
        <f t="shared" si="307"/>
        <v>241</v>
      </c>
    </row>
    <row r="395" spans="1:22" x14ac:dyDescent="0.3">
      <c r="A395" s="1">
        <f t="shared" si="309"/>
        <v>9242</v>
      </c>
      <c r="B395" s="12">
        <f t="shared" si="344"/>
        <v>0</v>
      </c>
      <c r="C395" s="13">
        <f t="shared" si="345"/>
        <v>0</v>
      </c>
      <c r="D395" s="10">
        <f t="shared" si="347"/>
        <v>0</v>
      </c>
      <c r="J395" s="9"/>
      <c r="K395" s="9"/>
      <c r="L395" s="9"/>
      <c r="M395" s="9"/>
      <c r="N395" s="9"/>
      <c r="O395" s="9"/>
      <c r="P395" s="9"/>
      <c r="Q395" s="9"/>
      <c r="R395" s="9"/>
      <c r="S395" s="9"/>
      <c r="T395" s="9"/>
      <c r="U395" s="1">
        <f t="shared" si="306"/>
        <v>9</v>
      </c>
      <c r="V395" s="1">
        <f t="shared" si="307"/>
        <v>242</v>
      </c>
    </row>
    <row r="396" spans="1:22" x14ac:dyDescent="0.3">
      <c r="A396" s="1">
        <f t="shared" si="309"/>
        <v>9243</v>
      </c>
      <c r="J396" s="9"/>
      <c r="K396" s="9"/>
      <c r="L396" s="9"/>
      <c r="M396" s="9"/>
      <c r="N396" s="9"/>
      <c r="O396" s="9"/>
      <c r="P396" s="9"/>
      <c r="Q396" s="9"/>
      <c r="R396" s="9"/>
      <c r="S396" s="9"/>
      <c r="T396" s="9"/>
      <c r="U396" s="1">
        <f t="shared" si="306"/>
        <v>9</v>
      </c>
      <c r="V396" s="1">
        <f t="shared" si="307"/>
        <v>243</v>
      </c>
    </row>
    <row r="397" spans="1:22" s="5" customFormat="1" x14ac:dyDescent="0.3"/>
    <row r="398" spans="1:22" x14ac:dyDescent="0.3">
      <c r="A398" s="1">
        <f t="shared" ref="A398:A440" si="353">ROUND(CONCATENATE(U398,V398),0)</f>
        <v>10201</v>
      </c>
      <c r="B398" s="96" t="s">
        <v>0</v>
      </c>
      <c r="C398" s="97"/>
      <c r="D398" s="98" t="s">
        <v>46</v>
      </c>
      <c r="E398" s="99"/>
      <c r="F398" s="99"/>
      <c r="G398" s="99"/>
      <c r="H398" s="100"/>
      <c r="J398" s="9"/>
      <c r="K398" s="9"/>
      <c r="L398" s="9"/>
      <c r="M398" s="9"/>
      <c r="N398" s="9"/>
      <c r="O398" s="9"/>
      <c r="P398" s="9"/>
      <c r="Q398" s="9"/>
      <c r="R398" s="9"/>
      <c r="S398" s="9"/>
      <c r="T398" s="9"/>
      <c r="U398" s="1">
        <f t="shared" ref="U398" si="354">U396+1</f>
        <v>10</v>
      </c>
      <c r="V398" s="1">
        <v>201</v>
      </c>
    </row>
    <row r="399" spans="1:22" x14ac:dyDescent="0.3">
      <c r="A399" s="1">
        <f t="shared" si="353"/>
        <v>10202</v>
      </c>
      <c r="B399" s="96" t="s">
        <v>1</v>
      </c>
      <c r="C399" s="97"/>
      <c r="D399" s="15">
        <v>25</v>
      </c>
      <c r="E399" s="16" t="s">
        <v>2</v>
      </c>
      <c r="F399" s="107"/>
      <c r="G399" s="108"/>
      <c r="H399" s="109"/>
      <c r="J399" s="9"/>
      <c r="K399" s="9"/>
      <c r="L399" s="9"/>
      <c r="M399" s="9"/>
      <c r="N399" s="9"/>
      <c r="O399" s="9"/>
      <c r="P399" s="9"/>
      <c r="Q399" s="9"/>
      <c r="R399" s="9"/>
      <c r="S399" s="9"/>
      <c r="T399" s="9"/>
      <c r="U399" s="1">
        <f t="shared" ref="U399" si="355">U398</f>
        <v>10</v>
      </c>
      <c r="V399" s="1">
        <f t="shared" ref="V399" si="356">V398+1</f>
        <v>202</v>
      </c>
    </row>
    <row r="400" spans="1:22" x14ac:dyDescent="0.3">
      <c r="A400" s="1">
        <f t="shared" si="353"/>
        <v>10203</v>
      </c>
      <c r="B400" s="96" t="s">
        <v>12</v>
      </c>
      <c r="C400" s="97"/>
      <c r="D400" s="98" t="s">
        <v>223</v>
      </c>
      <c r="E400" s="99"/>
      <c r="F400" s="99"/>
      <c r="G400" s="99"/>
      <c r="H400" s="100"/>
      <c r="K400" s="1" t="s">
        <v>3</v>
      </c>
      <c r="L400" s="1" t="s">
        <v>4</v>
      </c>
      <c r="M400" s="1" t="s">
        <v>5</v>
      </c>
      <c r="N400" s="1" t="s">
        <v>6</v>
      </c>
      <c r="O400" s="1" t="s">
        <v>7</v>
      </c>
      <c r="P400" s="1" t="s">
        <v>8</v>
      </c>
      <c r="Q400" s="1" t="s">
        <v>9</v>
      </c>
      <c r="R400" s="1" t="s">
        <v>10</v>
      </c>
      <c r="S400" s="1" t="s">
        <v>11</v>
      </c>
      <c r="T400" s="9"/>
      <c r="U400" s="1">
        <f t="shared" si="306"/>
        <v>10</v>
      </c>
      <c r="V400" s="1">
        <f t="shared" si="307"/>
        <v>203</v>
      </c>
    </row>
    <row r="401" spans="1:22" x14ac:dyDescent="0.3">
      <c r="A401" s="1">
        <f t="shared" si="353"/>
        <v>10204</v>
      </c>
      <c r="B401" s="96" t="s">
        <v>13</v>
      </c>
      <c r="C401" s="97"/>
      <c r="D401" s="110" t="s">
        <v>65</v>
      </c>
      <c r="E401" s="111"/>
      <c r="F401" s="111"/>
      <c r="G401" s="111"/>
      <c r="H401" s="112"/>
      <c r="J401" s="1">
        <f>COUNTA(B414:B423)</f>
        <v>6</v>
      </c>
      <c r="K401" s="1">
        <f t="shared" ref="K401" si="357">IF(L401-1&lt;2,0,L401-1)</f>
        <v>0</v>
      </c>
      <c r="L401" s="1">
        <f t="shared" ref="L401" si="358">IF(M401-1&lt;2,0,M401-1)</f>
        <v>0</v>
      </c>
      <c r="M401" s="1">
        <f t="shared" ref="M401" si="359">IF(N401-1&lt;2,0,N401-1)</f>
        <v>0</v>
      </c>
      <c r="N401" s="1">
        <f t="shared" ref="N401" si="360">IF(O401-1&lt;2,0,O401-1)</f>
        <v>0</v>
      </c>
      <c r="O401" s="1">
        <f t="shared" ref="O401" si="361">IF(P401-1&lt;2,0,P401-1)</f>
        <v>2</v>
      </c>
      <c r="P401" s="1">
        <f t="shared" ref="P401" si="362">IF(Q401-1&lt;2,0,Q401-1)</f>
        <v>3</v>
      </c>
      <c r="Q401" s="1">
        <f t="shared" ref="Q401" si="363">IF(R401-1&lt;2,0,R401-1)</f>
        <v>4</v>
      </c>
      <c r="R401" s="1">
        <f>IF(S401-1&lt;2,0,S401-1)</f>
        <v>5</v>
      </c>
      <c r="S401" s="1">
        <f>J401</f>
        <v>6</v>
      </c>
      <c r="T401" s="9"/>
      <c r="U401" s="1">
        <f t="shared" si="306"/>
        <v>10</v>
      </c>
      <c r="V401" s="1">
        <f t="shared" si="307"/>
        <v>204</v>
      </c>
    </row>
    <row r="402" spans="1:22" x14ac:dyDescent="0.3">
      <c r="A402" s="1">
        <f t="shared" si="353"/>
        <v>10205</v>
      </c>
      <c r="B402" s="96" t="s">
        <v>14</v>
      </c>
      <c r="C402" s="97"/>
      <c r="D402" s="110" t="s">
        <v>66</v>
      </c>
      <c r="E402" s="111"/>
      <c r="F402" s="111"/>
      <c r="G402" s="111"/>
      <c r="H402" s="112"/>
      <c r="J402" s="24" t="str">
        <f>CONCATENATE(J401,1)</f>
        <v>61</v>
      </c>
      <c r="K402" s="25">
        <f>IF(K401=0,0,VLOOKUP(J402,J406:S436,K401,FALSE))</f>
        <v>0</v>
      </c>
      <c r="L402" s="25">
        <f>IF(L401=0,0,VLOOKUP(J402,J406:S436,L401,FALSE))</f>
        <v>0</v>
      </c>
      <c r="M402" s="25">
        <f>IF(M401=0,0,VLOOKUP(J402,J406:S436,M401,FALSE))</f>
        <v>0</v>
      </c>
      <c r="N402" s="25">
        <f>IF(N401=0,0,VLOOKUP(J402,J406:S436,N401,FALSE))</f>
        <v>0</v>
      </c>
      <c r="O402" s="25">
        <f>IF(O401=0,0,VLOOKUP(J402,J406:S436,O401,FALSE))</f>
        <v>-9.4175686986420247E-8</v>
      </c>
      <c r="P402" s="25">
        <f>IF(P401=0,0,VLOOKUP(J402,J406:S436,P401,FALSE))</f>
        <v>1.5559031970882384E-5</v>
      </c>
      <c r="Q402" s="25">
        <f>IF(Q401=0,0,VLOOKUP(J402,J406:S436,Q401,FALSE))</f>
        <v>-5.2680065819076427E-4</v>
      </c>
      <c r="R402" s="25">
        <f>IF(R401=0,0,VLOOKUP(J402,J406:S436,R401,FALSE))</f>
        <v>0.98371024885885616</v>
      </c>
      <c r="S402" s="25">
        <f>IF(S401=0,0,VLOOKUP(J402,J406:S436,S401,FALSE))</f>
        <v>0.84446984104603784</v>
      </c>
      <c r="T402" s="9"/>
      <c r="U402" s="1">
        <f t="shared" si="306"/>
        <v>10</v>
      </c>
      <c r="V402" s="1">
        <f t="shared" si="307"/>
        <v>205</v>
      </c>
    </row>
    <row r="403" spans="1:22" x14ac:dyDescent="0.3">
      <c r="A403" s="1">
        <f t="shared" si="353"/>
        <v>10206</v>
      </c>
      <c r="B403" s="96" t="s">
        <v>15</v>
      </c>
      <c r="C403" s="97"/>
      <c r="D403" s="126" t="s">
        <v>336</v>
      </c>
      <c r="E403" s="127"/>
      <c r="F403" s="127"/>
      <c r="G403" s="127"/>
      <c r="H403" s="127"/>
      <c r="J403" s="24" t="str">
        <f>CONCATENATE(J401,2)</f>
        <v>62</v>
      </c>
      <c r="K403" s="6">
        <f>IF(K401=0,0,VLOOKUP(J403,J406:S436,K401,FALSE))</f>
        <v>0</v>
      </c>
      <c r="L403" s="6">
        <f>IF(L401=0,0,VLOOKUP(J403,J406:S436,L401,FALSE))</f>
        <v>0</v>
      </c>
      <c r="M403" s="6">
        <f>IF(M401=0,0,VLOOKUP(J403,J406:S436,M401,FALSE))</f>
        <v>0</v>
      </c>
      <c r="N403" s="6">
        <f>IF(N401=0,0,VLOOKUP(J403,J406:S436,N401,FALSE))</f>
        <v>0</v>
      </c>
      <c r="O403" s="6">
        <f>IF(O401=0,0,VLOOKUP(J403,J406:S436,O401,FALSE))</f>
        <v>2.3552235620802723E-8</v>
      </c>
      <c r="P403" s="6">
        <f>IF(P401=0,0,VLOOKUP(J403,J406:S436,P401,FALSE))</f>
        <v>4.8156119274774918E-6</v>
      </c>
      <c r="Q403" s="6">
        <f>IF(Q401=0,0,VLOOKUP(J403,J406:S436,Q401,FALSE))</f>
        <v>3.1832205805281164E-4</v>
      </c>
      <c r="R403" s="6">
        <f>IF(R401=0,0,VLOOKUP(J403,J406:S436,R401,FALSE))</f>
        <v>7.4236500176498342E-3</v>
      </c>
      <c r="S403" s="6">
        <f>IF(S401=0,0,VLOOKUP(J403,J406:S436,S401,FALSE))</f>
        <v>4.785897004026371E-2</v>
      </c>
      <c r="T403" s="9"/>
      <c r="U403" s="1">
        <f t="shared" si="306"/>
        <v>10</v>
      </c>
      <c r="V403" s="1">
        <f t="shared" si="307"/>
        <v>206</v>
      </c>
    </row>
    <row r="404" spans="1:22" x14ac:dyDescent="0.3">
      <c r="A404" s="1">
        <f t="shared" si="353"/>
        <v>10207</v>
      </c>
      <c r="B404" s="96" t="s">
        <v>16</v>
      </c>
      <c r="C404" s="97"/>
      <c r="D404" s="101">
        <v>45989</v>
      </c>
      <c r="E404" s="102"/>
      <c r="F404" s="102"/>
      <c r="G404" s="102"/>
      <c r="H404" s="103"/>
      <c r="J404" s="24" t="str">
        <f>CONCATENATE(J401,3)</f>
        <v>63</v>
      </c>
      <c r="K404" s="6"/>
      <c r="L404" s="6"/>
      <c r="M404" s="6"/>
      <c r="N404" s="6" t="s">
        <v>43</v>
      </c>
      <c r="O404" s="25">
        <f>J401-2</f>
        <v>4</v>
      </c>
      <c r="P404" s="6" t="s">
        <v>44</v>
      </c>
      <c r="Q404" s="25">
        <f>VLOOKUP(J404,J406:S436,3,FALSE)</f>
        <v>2.8328902343051077E-2</v>
      </c>
      <c r="R404" s="6" t="s">
        <v>45</v>
      </c>
      <c r="S404" s="6">
        <f>VLOOKUP(J404,J406:S436,2,FALSE)</f>
        <v>0.99999987608606022</v>
      </c>
      <c r="T404" s="9"/>
      <c r="U404" s="1">
        <f t="shared" si="306"/>
        <v>10</v>
      </c>
      <c r="V404" s="1">
        <f t="shared" si="307"/>
        <v>207</v>
      </c>
    </row>
    <row r="405" spans="1:22" x14ac:dyDescent="0.3">
      <c r="A405" s="1">
        <f t="shared" si="353"/>
        <v>10208</v>
      </c>
      <c r="B405" s="96" t="s">
        <v>17</v>
      </c>
      <c r="C405" s="97"/>
      <c r="D405" s="104">
        <v>46170</v>
      </c>
      <c r="E405" s="105"/>
      <c r="F405" s="105"/>
      <c r="G405" s="105"/>
      <c r="H405" s="106"/>
      <c r="K405" s="1">
        <v>3</v>
      </c>
      <c r="L405" s="1">
        <v>3</v>
      </c>
      <c r="Q405" s="26"/>
      <c r="R405" s="26"/>
      <c r="S405" s="26"/>
      <c r="T405" s="9"/>
      <c r="U405" s="1">
        <f t="shared" si="306"/>
        <v>10</v>
      </c>
      <c r="V405" s="1">
        <f t="shared" si="307"/>
        <v>208</v>
      </c>
    </row>
    <row r="406" spans="1:22" x14ac:dyDescent="0.3">
      <c r="A406" s="1">
        <f t="shared" si="353"/>
        <v>10209</v>
      </c>
      <c r="B406" s="77" t="s">
        <v>19</v>
      </c>
      <c r="C406" s="78"/>
      <c r="D406" s="17">
        <v>0.01</v>
      </c>
      <c r="E406" s="79" t="s">
        <v>40</v>
      </c>
      <c r="F406" s="80"/>
      <c r="G406" s="81"/>
      <c r="H406" s="18" t="s">
        <v>72</v>
      </c>
      <c r="J406" s="24" t="str">
        <f>CONCATENATE(K405,1)</f>
        <v>31</v>
      </c>
      <c r="K406" s="6">
        <f t="array" ref="K406:L408">LINEST(B414:B416,C414:C416^{1},TRUE,TRUE)</f>
        <v>0.97937667084352287</v>
      </c>
      <c r="L406" s="6">
        <v>0.84499932540135347</v>
      </c>
      <c r="Q406" s="9"/>
      <c r="R406" s="9"/>
      <c r="S406" s="9"/>
      <c r="T406" s="9"/>
      <c r="U406" s="1">
        <f t="shared" si="306"/>
        <v>10</v>
      </c>
      <c r="V406" s="1">
        <f t="shared" si="307"/>
        <v>209</v>
      </c>
    </row>
    <row r="407" spans="1:22" x14ac:dyDescent="0.3">
      <c r="A407" s="1">
        <f t="shared" si="353"/>
        <v>10210</v>
      </c>
      <c r="B407" s="77" t="s">
        <v>41</v>
      </c>
      <c r="C407" s="78"/>
      <c r="D407" s="23">
        <f t="shared" ref="D407" si="364">MIN(B414:B423)</f>
        <v>5.01</v>
      </c>
      <c r="E407" s="20" t="s">
        <v>18</v>
      </c>
      <c r="F407" s="19">
        <f t="shared" ref="F407" si="365">MAX(B414:B423)</f>
        <v>97.97</v>
      </c>
      <c r="G407" s="21" t="str">
        <f t="shared" ref="G407" si="366">IF(H406="","",H406)</f>
        <v>%ur</v>
      </c>
      <c r="H407" s="22"/>
      <c r="J407" s="24" t="str">
        <f>CONCATENATE(K405,2)</f>
        <v>32</v>
      </c>
      <c r="K407" s="6">
        <v>2.117183741971835E-3</v>
      </c>
      <c r="L407" s="6">
        <v>4.3851974573951555E-2</v>
      </c>
      <c r="Q407" s="9"/>
      <c r="R407" s="9"/>
      <c r="S407" s="9"/>
      <c r="T407" s="9"/>
      <c r="U407" s="1">
        <f t="shared" si="306"/>
        <v>10</v>
      </c>
      <c r="V407" s="1">
        <f t="shared" si="307"/>
        <v>210</v>
      </c>
    </row>
    <row r="408" spans="1:22" x14ac:dyDescent="0.3">
      <c r="A408" s="1">
        <f t="shared" si="353"/>
        <v>10211</v>
      </c>
      <c r="J408" s="24" t="str">
        <f>CONCATENATE(K405,3)</f>
        <v>33</v>
      </c>
      <c r="K408" s="6">
        <v>0.99999532678715575</v>
      </c>
      <c r="L408" s="6">
        <v>3.8464794717981476E-2</v>
      </c>
      <c r="Q408" s="9"/>
      <c r="R408" s="9"/>
      <c r="S408" s="9"/>
      <c r="T408" s="9"/>
      <c r="U408" s="1">
        <f t="shared" si="306"/>
        <v>10</v>
      </c>
      <c r="V408" s="1">
        <f t="shared" si="307"/>
        <v>211</v>
      </c>
    </row>
    <row r="409" spans="1:22" x14ac:dyDescent="0.3">
      <c r="A409" s="1">
        <f t="shared" si="353"/>
        <v>10212</v>
      </c>
      <c r="B409" s="82" t="s">
        <v>20</v>
      </c>
      <c r="C409" s="83"/>
      <c r="D409" s="83"/>
      <c r="E409" s="83"/>
      <c r="F409" s="84"/>
      <c r="G409" s="85" t="s">
        <v>31</v>
      </c>
      <c r="H409" s="86"/>
      <c r="K409" s="1">
        <v>4</v>
      </c>
      <c r="L409" s="1">
        <v>4</v>
      </c>
      <c r="M409" s="1">
        <v>4</v>
      </c>
      <c r="Q409" s="9"/>
      <c r="R409" s="9"/>
      <c r="S409" s="9"/>
      <c r="T409" s="9"/>
      <c r="U409" s="1">
        <f t="shared" si="306"/>
        <v>10</v>
      </c>
      <c r="V409" s="1">
        <f t="shared" si="307"/>
        <v>212</v>
      </c>
    </row>
    <row r="410" spans="1:22" x14ac:dyDescent="0.3">
      <c r="A410" s="1">
        <f t="shared" si="353"/>
        <v>10213</v>
      </c>
      <c r="B410" s="82" t="s">
        <v>30</v>
      </c>
      <c r="C410" s="83"/>
      <c r="D410" s="84"/>
      <c r="E410" s="82" t="str">
        <f t="shared" ref="E410" si="367">D403</f>
        <v>E0843/25</v>
      </c>
      <c r="F410" s="84"/>
      <c r="G410" s="6" t="s">
        <v>32</v>
      </c>
      <c r="H410" s="7" t="s">
        <v>317</v>
      </c>
      <c r="J410" s="24" t="str">
        <f t="shared" ref="J410" si="368">CONCATENATE(K409,1)</f>
        <v>41</v>
      </c>
      <c r="K410" s="6">
        <f t="array" ref="K410:M412">LINEST(B414:B417,C414:C417^{1,2},TRUE,TRUE)</f>
        <v>2.4875656279500303E-4</v>
      </c>
      <c r="L410" s="6">
        <v>0.97103572570320684</v>
      </c>
      <c r="M410" s="6">
        <v>0.88695733254409448</v>
      </c>
      <c r="Q410" s="9"/>
      <c r="R410" s="9"/>
      <c r="S410" s="9"/>
      <c r="T410" s="9"/>
      <c r="U410" s="1">
        <f t="shared" si="306"/>
        <v>10</v>
      </c>
      <c r="V410" s="1">
        <f t="shared" si="307"/>
        <v>213</v>
      </c>
    </row>
    <row r="411" spans="1:22" x14ac:dyDescent="0.3">
      <c r="A411" s="1">
        <f t="shared" si="353"/>
        <v>10214</v>
      </c>
      <c r="B411" s="2" t="s">
        <v>21</v>
      </c>
      <c r="C411" s="2" t="s">
        <v>22</v>
      </c>
      <c r="D411" s="2" t="s">
        <v>23</v>
      </c>
      <c r="E411" s="2"/>
      <c r="F411" s="2" t="s">
        <v>28</v>
      </c>
      <c r="G411" s="2" t="s">
        <v>21</v>
      </c>
      <c r="H411" s="2" t="s">
        <v>22</v>
      </c>
      <c r="J411" s="24" t="str">
        <f t="shared" ref="J411" si="369">CONCATENATE(K409,2)</f>
        <v>42</v>
      </c>
      <c r="K411" s="6">
        <v>1.4680593635217457E-5</v>
      </c>
      <c r="L411" s="6">
        <v>8.3651269490608133E-4</v>
      </c>
      <c r="M411" s="6">
        <v>9.6933553266887774E-3</v>
      </c>
      <c r="Q411" s="9"/>
      <c r="R411" s="9"/>
      <c r="S411" s="9"/>
      <c r="T411" s="9"/>
      <c r="U411" s="1">
        <f t="shared" ref="U411:U474" si="370">U410</f>
        <v>10</v>
      </c>
      <c r="V411" s="1">
        <f t="shared" ref="V411:V474" si="371">V410+1</f>
        <v>214</v>
      </c>
    </row>
    <row r="412" spans="1:22" x14ac:dyDescent="0.3">
      <c r="A412" s="1">
        <f t="shared" si="353"/>
        <v>10215</v>
      </c>
      <c r="B412" s="2" t="s">
        <v>24</v>
      </c>
      <c r="C412" s="2" t="s">
        <v>25</v>
      </c>
      <c r="D412" s="2" t="s">
        <v>26</v>
      </c>
      <c r="E412" s="2" t="s">
        <v>27</v>
      </c>
      <c r="F412" s="2" t="s">
        <v>29</v>
      </c>
      <c r="G412" s="2" t="s">
        <v>24</v>
      </c>
      <c r="H412" s="2" t="s">
        <v>25</v>
      </c>
      <c r="J412" s="24" t="str">
        <f t="shared" ref="J412" si="372">CONCATENATE(K409,3)</f>
        <v>43</v>
      </c>
      <c r="K412" s="6">
        <v>0.99999995141692044</v>
      </c>
      <c r="L412" s="6">
        <v>7.2050154964191648E-3</v>
      </c>
      <c r="M412" s="6" t="e">
        <v>#N/A</v>
      </c>
      <c r="Q412" s="9"/>
      <c r="R412" s="9"/>
      <c r="S412" s="9"/>
      <c r="T412" s="9"/>
      <c r="U412" s="1">
        <f t="shared" si="370"/>
        <v>10</v>
      </c>
      <c r="V412" s="1">
        <f t="shared" si="371"/>
        <v>215</v>
      </c>
    </row>
    <row r="413" spans="1:22" x14ac:dyDescent="0.3">
      <c r="A413" s="1">
        <f t="shared" si="353"/>
        <v>10216</v>
      </c>
      <c r="B413" s="3" t="str">
        <f t="shared" ref="B413" si="373">H406</f>
        <v>%ur</v>
      </c>
      <c r="C413" s="3" t="str">
        <f t="shared" ref="C413" si="374">B413</f>
        <v>%ur</v>
      </c>
      <c r="D413" s="3" t="str">
        <f t="shared" ref="D413" si="375">C413</f>
        <v>%ur</v>
      </c>
      <c r="E413" s="3"/>
      <c r="F413" s="3"/>
      <c r="G413" s="3" t="str">
        <f t="shared" ref="G413" si="376">D413</f>
        <v>%ur</v>
      </c>
      <c r="H413" s="3" t="str">
        <f t="shared" ref="H413" si="377">G413</f>
        <v>%ur</v>
      </c>
      <c r="K413" s="1">
        <v>5</v>
      </c>
      <c r="L413" s="1">
        <v>5</v>
      </c>
      <c r="M413" s="1">
        <v>5</v>
      </c>
      <c r="N413" s="1">
        <v>5</v>
      </c>
      <c r="Q413" s="9"/>
      <c r="R413" s="9"/>
      <c r="S413" s="9"/>
      <c r="T413" s="9"/>
      <c r="U413" s="1">
        <f t="shared" si="370"/>
        <v>10</v>
      </c>
      <c r="V413" s="1">
        <f t="shared" si="371"/>
        <v>216</v>
      </c>
    </row>
    <row r="414" spans="1:22" x14ac:dyDescent="0.3">
      <c r="A414" s="1">
        <f t="shared" si="353"/>
        <v>10217</v>
      </c>
      <c r="B414" s="4">
        <v>5.01</v>
      </c>
      <c r="C414" s="4">
        <v>4.24</v>
      </c>
      <c r="D414" s="4">
        <v>0.25</v>
      </c>
      <c r="E414" s="4">
        <v>2.0299999999999998</v>
      </c>
      <c r="F414" s="14">
        <v>87</v>
      </c>
      <c r="G414" s="4">
        <v>5</v>
      </c>
      <c r="H414" s="4">
        <v>4.78</v>
      </c>
      <c r="J414" s="24" t="str">
        <f t="shared" ref="J414" si="378">CONCATENATE(K413,1)</f>
        <v>51</v>
      </c>
      <c r="K414" s="6">
        <f t="array" ref="K414:N416">LINEST(B414:B418,C414:C418^{1,2,3},TRUE,TRUE)</f>
        <v>9.1954400833899563E-7</v>
      </c>
      <c r="L414" s="6">
        <v>1.783958282735016E-4</v>
      </c>
      <c r="M414" s="6">
        <v>0.97237651001302738</v>
      </c>
      <c r="N414" s="6">
        <v>0.88240400130457397</v>
      </c>
      <c r="Q414" s="9"/>
      <c r="R414" s="9"/>
      <c r="S414" s="9"/>
      <c r="T414" s="9"/>
      <c r="U414" s="1">
        <f t="shared" si="370"/>
        <v>10</v>
      </c>
      <c r="V414" s="1">
        <f t="shared" si="371"/>
        <v>217</v>
      </c>
    </row>
    <row r="415" spans="1:22" x14ac:dyDescent="0.3">
      <c r="A415" s="1">
        <f t="shared" si="353"/>
        <v>10218</v>
      </c>
      <c r="B415" s="4">
        <v>19.989999999999998</v>
      </c>
      <c r="C415" s="4">
        <v>19.579999999999998</v>
      </c>
      <c r="D415" s="4">
        <v>0.25</v>
      </c>
      <c r="E415" s="4">
        <v>2.04</v>
      </c>
      <c r="F415" s="14">
        <v>66</v>
      </c>
      <c r="G415" s="4">
        <v>20</v>
      </c>
      <c r="H415" s="4">
        <v>19.850000000000001</v>
      </c>
      <c r="J415" s="24" t="str">
        <f t="shared" ref="J415" si="379">CONCATENATE(K413,2)</f>
        <v>52</v>
      </c>
      <c r="K415" s="6">
        <v>4.5165762173102486E-7</v>
      </c>
      <c r="L415" s="6">
        <v>5.6169183140143842E-5</v>
      </c>
      <c r="M415" s="6">
        <v>1.8520410777250061E-3</v>
      </c>
      <c r="N415" s="6">
        <v>1.5692599346594518E-2</v>
      </c>
      <c r="T415" s="9"/>
      <c r="U415" s="1">
        <f t="shared" si="370"/>
        <v>10</v>
      </c>
      <c r="V415" s="1">
        <f t="shared" si="371"/>
        <v>218</v>
      </c>
    </row>
    <row r="416" spans="1:22" x14ac:dyDescent="0.3">
      <c r="A416" s="1">
        <f t="shared" si="353"/>
        <v>10219</v>
      </c>
      <c r="B416" s="4">
        <v>30.01</v>
      </c>
      <c r="C416" s="4">
        <v>29.76</v>
      </c>
      <c r="D416" s="4">
        <v>0.33</v>
      </c>
      <c r="E416" s="4">
        <v>2.04</v>
      </c>
      <c r="F416" s="14">
        <v>67</v>
      </c>
      <c r="G416" s="4">
        <v>30</v>
      </c>
      <c r="H416" s="4">
        <v>29.86</v>
      </c>
      <c r="J416" s="24" t="str">
        <f t="shared" ref="J416" si="380">CONCATENATE(K413,3)</f>
        <v>53</v>
      </c>
      <c r="K416" s="6">
        <v>0.9999999675622433</v>
      </c>
      <c r="L416" s="6">
        <v>1.0468880633163202E-2</v>
      </c>
      <c r="M416" s="6" t="e">
        <v>#N/A</v>
      </c>
      <c r="N416" s="6" t="e">
        <v>#N/A</v>
      </c>
      <c r="T416" s="9"/>
      <c r="U416" s="1">
        <f t="shared" si="370"/>
        <v>10</v>
      </c>
      <c r="V416" s="1">
        <f t="shared" si="371"/>
        <v>219</v>
      </c>
    </row>
    <row r="417" spans="1:22" x14ac:dyDescent="0.3">
      <c r="A417" s="1">
        <f t="shared" si="353"/>
        <v>10220</v>
      </c>
      <c r="B417" s="4">
        <v>50</v>
      </c>
      <c r="C417" s="4">
        <v>49.94</v>
      </c>
      <c r="D417" s="4">
        <v>0.53</v>
      </c>
      <c r="E417" s="4">
        <v>2.04</v>
      </c>
      <c r="F417" s="14">
        <v>67</v>
      </c>
      <c r="G417" s="4">
        <v>49.99</v>
      </c>
      <c r="H417" s="4">
        <v>49.88</v>
      </c>
      <c r="K417" s="1">
        <v>6</v>
      </c>
      <c r="L417" s="1">
        <v>6</v>
      </c>
      <c r="M417" s="1">
        <v>6</v>
      </c>
      <c r="N417" s="1">
        <v>6</v>
      </c>
      <c r="O417" s="1">
        <v>6</v>
      </c>
      <c r="T417" s="9"/>
      <c r="U417" s="1">
        <f t="shared" si="370"/>
        <v>10</v>
      </c>
      <c r="V417" s="1">
        <f t="shared" si="371"/>
        <v>220</v>
      </c>
    </row>
    <row r="418" spans="1:22" x14ac:dyDescent="0.3">
      <c r="A418" s="1">
        <f t="shared" si="353"/>
        <v>10221</v>
      </c>
      <c r="B418" s="4">
        <v>79.989999999999995</v>
      </c>
      <c r="C418" s="4">
        <v>79.709999999999994</v>
      </c>
      <c r="D418" s="4">
        <v>0.8</v>
      </c>
      <c r="E418" s="4">
        <v>2.04</v>
      </c>
      <c r="F418" s="14">
        <v>68</v>
      </c>
      <c r="G418" s="4">
        <v>80.03</v>
      </c>
      <c r="H418" s="4">
        <v>79.91</v>
      </c>
      <c r="J418" s="24" t="str">
        <f t="shared" ref="J418" si="381">CONCATENATE(K417,1)</f>
        <v>61</v>
      </c>
      <c r="K418" s="6">
        <f t="array" ref="K418:O420">LINEST(B414:B419,C414:C419^{1,2,3,4},TRUE,TRUE)</f>
        <v>-9.4175686986420247E-8</v>
      </c>
      <c r="L418" s="6">
        <v>1.5559031970882384E-5</v>
      </c>
      <c r="M418" s="6">
        <v>-5.2680065819076427E-4</v>
      </c>
      <c r="N418" s="6">
        <v>0.98371024885885616</v>
      </c>
      <c r="O418" s="6">
        <v>0.84446984104603784</v>
      </c>
      <c r="T418" s="9"/>
      <c r="U418" s="1">
        <f t="shared" si="370"/>
        <v>10</v>
      </c>
      <c r="V418" s="1">
        <f t="shared" si="371"/>
        <v>221</v>
      </c>
    </row>
    <row r="419" spans="1:22" x14ac:dyDescent="0.3">
      <c r="A419" s="1">
        <f t="shared" si="353"/>
        <v>10222</v>
      </c>
      <c r="B419" s="4">
        <v>97.97</v>
      </c>
      <c r="C419" s="4">
        <v>97.82</v>
      </c>
      <c r="D419" s="4">
        <v>0.93</v>
      </c>
      <c r="E419" s="4">
        <v>2.04</v>
      </c>
      <c r="F419" s="14">
        <v>62</v>
      </c>
      <c r="G419" s="4">
        <v>97.95</v>
      </c>
      <c r="H419" s="4">
        <v>98.65</v>
      </c>
      <c r="J419" s="24" t="str">
        <f t="shared" ref="J419" si="382">CONCATENATE(K417,2)</f>
        <v>62</v>
      </c>
      <c r="K419" s="6">
        <v>2.3552235620802723E-8</v>
      </c>
      <c r="L419" s="6">
        <v>4.8156119274774918E-6</v>
      </c>
      <c r="M419" s="6">
        <v>3.1832205805281164E-4</v>
      </c>
      <c r="N419" s="6">
        <v>7.4236500176498342E-3</v>
      </c>
      <c r="O419" s="6">
        <v>4.785897004026371E-2</v>
      </c>
      <c r="T419" s="9"/>
      <c r="U419" s="1">
        <f t="shared" si="370"/>
        <v>10</v>
      </c>
      <c r="V419" s="1">
        <f t="shared" si="371"/>
        <v>222</v>
      </c>
    </row>
    <row r="420" spans="1:22" x14ac:dyDescent="0.3">
      <c r="A420" s="1">
        <f t="shared" si="353"/>
        <v>10223</v>
      </c>
      <c r="B420" s="4"/>
      <c r="C420" s="4"/>
      <c r="D420" s="4"/>
      <c r="E420" s="4"/>
      <c r="F420" s="14"/>
      <c r="G420" s="8"/>
      <c r="H420" s="7"/>
      <c r="J420" s="24" t="str">
        <f t="shared" ref="J420" si="383">CONCATENATE(K417,3)</f>
        <v>63</v>
      </c>
      <c r="K420" s="6">
        <v>0.99999987608606022</v>
      </c>
      <c r="L420" s="6">
        <v>2.8328902343051077E-2</v>
      </c>
      <c r="M420" s="6" t="e">
        <v>#N/A</v>
      </c>
      <c r="N420" s="6" t="e">
        <v>#N/A</v>
      </c>
      <c r="O420" s="6" t="e">
        <v>#N/A</v>
      </c>
      <c r="T420" s="9"/>
      <c r="U420" s="1">
        <f t="shared" si="370"/>
        <v>10</v>
      </c>
      <c r="V420" s="1">
        <f t="shared" si="371"/>
        <v>223</v>
      </c>
    </row>
    <row r="421" spans="1:22" x14ac:dyDescent="0.3">
      <c r="A421" s="1">
        <f t="shared" si="353"/>
        <v>10224</v>
      </c>
      <c r="B421" s="4"/>
      <c r="C421" s="4"/>
      <c r="D421" s="4"/>
      <c r="E421" s="4"/>
      <c r="F421" s="14"/>
      <c r="G421" s="8"/>
      <c r="H421" s="7"/>
      <c r="K421" s="1">
        <v>7</v>
      </c>
      <c r="L421" s="1">
        <v>7</v>
      </c>
      <c r="M421" s="1">
        <v>7</v>
      </c>
      <c r="N421" s="1">
        <v>7</v>
      </c>
      <c r="O421" s="1">
        <v>7</v>
      </c>
      <c r="P421" s="1">
        <v>7</v>
      </c>
      <c r="T421" s="9"/>
      <c r="U421" s="1">
        <f t="shared" si="370"/>
        <v>10</v>
      </c>
      <c r="V421" s="1">
        <f t="shared" si="371"/>
        <v>224</v>
      </c>
    </row>
    <row r="422" spans="1:22" x14ac:dyDescent="0.3">
      <c r="A422" s="1">
        <f t="shared" si="353"/>
        <v>10225</v>
      </c>
      <c r="B422" s="4"/>
      <c r="C422" s="4"/>
      <c r="D422" s="4"/>
      <c r="E422" s="4"/>
      <c r="F422" s="14"/>
      <c r="G422" s="8"/>
      <c r="H422" s="7"/>
      <c r="J422" s="24" t="str">
        <f t="shared" ref="J422" si="384">CONCATENATE(K421,1)</f>
        <v>71</v>
      </c>
      <c r="K422" s="6" t="e">
        <f t="array" ref="K422:P424">LINEST(B414:B420,C414:C420^{1,2,3,4,5},TRUE,TRUE)</f>
        <v>#VALUE!</v>
      </c>
      <c r="L422" s="6" t="e">
        <v>#VALUE!</v>
      </c>
      <c r="M422" s="6" t="e">
        <v>#VALUE!</v>
      </c>
      <c r="N422" s="6" t="e">
        <v>#VALUE!</v>
      </c>
      <c r="O422" s="6" t="e">
        <v>#VALUE!</v>
      </c>
      <c r="P422" s="6" t="e">
        <v>#VALUE!</v>
      </c>
      <c r="T422" s="9"/>
      <c r="U422" s="1">
        <f t="shared" si="370"/>
        <v>10</v>
      </c>
      <c r="V422" s="1">
        <f t="shared" si="371"/>
        <v>225</v>
      </c>
    </row>
    <row r="423" spans="1:22" x14ac:dyDescent="0.3">
      <c r="A423" s="1">
        <f t="shared" si="353"/>
        <v>10226</v>
      </c>
      <c r="B423" s="4"/>
      <c r="C423" s="4"/>
      <c r="D423" s="4"/>
      <c r="E423" s="4"/>
      <c r="F423" s="14"/>
      <c r="G423" s="8"/>
      <c r="H423" s="7"/>
      <c r="J423" s="24" t="str">
        <f t="shared" ref="J423" si="385">CONCATENATE(K421,2)</f>
        <v>72</v>
      </c>
      <c r="K423" s="6" t="e">
        <v>#VALUE!</v>
      </c>
      <c r="L423" s="6" t="e">
        <v>#VALUE!</v>
      </c>
      <c r="M423" s="6" t="e">
        <v>#VALUE!</v>
      </c>
      <c r="N423" s="6" t="e">
        <v>#VALUE!</v>
      </c>
      <c r="O423" s="6" t="e">
        <v>#VALUE!</v>
      </c>
      <c r="P423" s="6" t="e">
        <v>#VALUE!</v>
      </c>
      <c r="T423" s="9"/>
      <c r="U423" s="1">
        <f t="shared" si="370"/>
        <v>10</v>
      </c>
      <c r="V423" s="1">
        <f t="shared" si="371"/>
        <v>226</v>
      </c>
    </row>
    <row r="424" spans="1:22" x14ac:dyDescent="0.3">
      <c r="A424" s="1">
        <f t="shared" si="353"/>
        <v>10227</v>
      </c>
      <c r="B424" s="9"/>
      <c r="C424" s="9"/>
      <c r="D424" s="9"/>
      <c r="E424" s="9"/>
      <c r="F424" s="9"/>
      <c r="G424" s="9"/>
      <c r="H424" s="9"/>
      <c r="J424" s="24" t="str">
        <f t="shared" ref="J424" si="386">CONCATENATE(K421,3)</f>
        <v>73</v>
      </c>
      <c r="K424" s="6" t="e">
        <v>#VALUE!</v>
      </c>
      <c r="L424" s="6" t="e">
        <v>#VALUE!</v>
      </c>
      <c r="M424" s="6" t="e">
        <v>#VALUE!</v>
      </c>
      <c r="N424" s="6" t="e">
        <v>#VALUE!</v>
      </c>
      <c r="O424" s="6" t="e">
        <v>#VALUE!</v>
      </c>
      <c r="P424" s="6" t="e">
        <v>#VALUE!</v>
      </c>
      <c r="T424" s="9"/>
      <c r="U424" s="1">
        <f t="shared" si="370"/>
        <v>10</v>
      </c>
      <c r="V424" s="1">
        <f t="shared" si="371"/>
        <v>227</v>
      </c>
    </row>
    <row r="425" spans="1:22" x14ac:dyDescent="0.3">
      <c r="A425" s="1">
        <f t="shared" si="353"/>
        <v>10228</v>
      </c>
      <c r="B425" s="87" t="s">
        <v>33</v>
      </c>
      <c r="C425" s="88"/>
      <c r="D425" s="88"/>
      <c r="E425" s="88"/>
      <c r="F425" s="88"/>
      <c r="G425" s="88"/>
      <c r="H425" s="89"/>
      <c r="K425" s="1">
        <v>8</v>
      </c>
      <c r="L425" s="1">
        <v>8</v>
      </c>
      <c r="M425" s="1">
        <v>8</v>
      </c>
      <c r="N425" s="1">
        <v>8</v>
      </c>
      <c r="O425" s="1">
        <v>8</v>
      </c>
      <c r="P425" s="1">
        <v>8</v>
      </c>
      <c r="Q425" s="1">
        <v>8</v>
      </c>
      <c r="T425" s="9"/>
      <c r="U425" s="1">
        <f t="shared" si="370"/>
        <v>10</v>
      </c>
      <c r="V425" s="1">
        <f t="shared" si="371"/>
        <v>228</v>
      </c>
    </row>
    <row r="426" spans="1:22" x14ac:dyDescent="0.3">
      <c r="A426" s="1">
        <f t="shared" si="353"/>
        <v>10229</v>
      </c>
      <c r="B426" s="90"/>
      <c r="C426" s="91"/>
      <c r="D426" s="91"/>
      <c r="E426" s="91"/>
      <c r="F426" s="91"/>
      <c r="G426" s="91"/>
      <c r="H426" s="92"/>
      <c r="J426" s="24" t="str">
        <f t="shared" ref="J426" si="387">CONCATENATE(K425,1)</f>
        <v>81</v>
      </c>
      <c r="K426" s="6" t="e">
        <f t="array" ref="K426:Q428">LINEST(B414:B421,C414:C421^{1,2,3,4,5,6},TRUE,TRUE)</f>
        <v>#VALUE!</v>
      </c>
      <c r="L426" s="6" t="e">
        <v>#VALUE!</v>
      </c>
      <c r="M426" s="6" t="e">
        <v>#VALUE!</v>
      </c>
      <c r="N426" s="6" t="e">
        <v>#VALUE!</v>
      </c>
      <c r="O426" s="6" t="e">
        <v>#VALUE!</v>
      </c>
      <c r="P426" s="6" t="e">
        <v>#VALUE!</v>
      </c>
      <c r="Q426" s="6" t="e">
        <v>#VALUE!</v>
      </c>
      <c r="T426" s="9"/>
      <c r="U426" s="1">
        <f t="shared" si="370"/>
        <v>10</v>
      </c>
      <c r="V426" s="1">
        <f t="shared" si="371"/>
        <v>229</v>
      </c>
    </row>
    <row r="427" spans="1:22" x14ac:dyDescent="0.3">
      <c r="A427" s="1">
        <f t="shared" si="353"/>
        <v>10230</v>
      </c>
      <c r="B427" s="93"/>
      <c r="C427" s="94"/>
      <c r="D427" s="94"/>
      <c r="E427" s="94"/>
      <c r="F427" s="94"/>
      <c r="G427" s="94"/>
      <c r="H427" s="95"/>
      <c r="J427" s="24" t="str">
        <f t="shared" ref="J427" si="388">CONCATENATE(K425,2)</f>
        <v>82</v>
      </c>
      <c r="K427" s="6" t="e">
        <v>#VALUE!</v>
      </c>
      <c r="L427" s="6" t="e">
        <v>#VALUE!</v>
      </c>
      <c r="M427" s="6" t="e">
        <v>#VALUE!</v>
      </c>
      <c r="N427" s="6" t="e">
        <v>#VALUE!</v>
      </c>
      <c r="O427" s="6" t="e">
        <v>#VALUE!</v>
      </c>
      <c r="P427" s="6" t="e">
        <v>#VALUE!</v>
      </c>
      <c r="Q427" s="6" t="e">
        <v>#VALUE!</v>
      </c>
      <c r="T427" s="9"/>
      <c r="U427" s="1">
        <f t="shared" si="370"/>
        <v>10</v>
      </c>
      <c r="V427" s="1">
        <f t="shared" si="371"/>
        <v>230</v>
      </c>
    </row>
    <row r="428" spans="1:22" x14ac:dyDescent="0.3">
      <c r="A428" s="1">
        <f t="shared" si="353"/>
        <v>10231</v>
      </c>
      <c r="J428" s="24" t="str">
        <f t="shared" ref="J428" si="389">CONCATENATE(K425,3)</f>
        <v>83</v>
      </c>
      <c r="K428" s="6" t="e">
        <v>#VALUE!</v>
      </c>
      <c r="L428" s="6" t="e">
        <v>#VALUE!</v>
      </c>
      <c r="M428" s="6" t="e">
        <v>#VALUE!</v>
      </c>
      <c r="N428" s="6" t="e">
        <v>#VALUE!</v>
      </c>
      <c r="O428" s="6" t="e">
        <v>#VALUE!</v>
      </c>
      <c r="P428" s="6" t="e">
        <v>#VALUE!</v>
      </c>
      <c r="Q428" s="6" t="e">
        <v>#VALUE!</v>
      </c>
      <c r="T428" s="9"/>
      <c r="U428" s="1">
        <f t="shared" si="370"/>
        <v>10</v>
      </c>
      <c r="V428" s="1">
        <f t="shared" si="371"/>
        <v>231</v>
      </c>
    </row>
    <row r="429" spans="1:22" ht="15" customHeight="1" x14ac:dyDescent="0.3">
      <c r="A429" s="1">
        <f t="shared" si="353"/>
        <v>10232</v>
      </c>
      <c r="B429" s="10" t="s">
        <v>34</v>
      </c>
      <c r="C429" s="10" t="s">
        <v>35</v>
      </c>
      <c r="D429" s="10" t="s">
        <v>36</v>
      </c>
      <c r="E429" s="74" t="s">
        <v>37</v>
      </c>
      <c r="F429" s="75"/>
      <c r="G429" s="76"/>
      <c r="K429" s="1">
        <v>9</v>
      </c>
      <c r="L429" s="1">
        <v>9</v>
      </c>
      <c r="M429" s="1">
        <v>9</v>
      </c>
      <c r="N429" s="1">
        <v>9</v>
      </c>
      <c r="O429" s="1">
        <v>9</v>
      </c>
      <c r="P429" s="1">
        <v>9</v>
      </c>
      <c r="Q429" s="1">
        <v>9</v>
      </c>
      <c r="R429" s="1">
        <v>9</v>
      </c>
      <c r="T429" s="9"/>
      <c r="U429" s="1">
        <f t="shared" si="370"/>
        <v>10</v>
      </c>
      <c r="V429" s="1">
        <f t="shared" si="371"/>
        <v>232</v>
      </c>
    </row>
    <row r="430" spans="1:22" x14ac:dyDescent="0.3">
      <c r="A430" s="1">
        <f t="shared" si="353"/>
        <v>10233</v>
      </c>
      <c r="B430" s="12">
        <f t="shared" ref="B430:B439" si="390">C414-B414</f>
        <v>-0.76999999999999957</v>
      </c>
      <c r="C430" s="13">
        <f t="shared" ref="C430:C439" si="391">H414-G414</f>
        <v>-0.21999999999999975</v>
      </c>
      <c r="D430" s="10">
        <f>C430-B430</f>
        <v>0.54999999999999982</v>
      </c>
      <c r="E430" s="11">
        <f>IF(D405="","",MAX(F430,G430))</f>
        <v>0.85000000000000853</v>
      </c>
      <c r="F430" s="10">
        <f>ABS(MIN(D430:D439))</f>
        <v>4.9999999999997158E-2</v>
      </c>
      <c r="G430" s="10">
        <f>ABS(MAX(D430:D439))</f>
        <v>0.85000000000000853</v>
      </c>
      <c r="J430" s="24" t="str">
        <f t="shared" ref="J430" si="392">CONCATENATE(K429,1)</f>
        <v>91</v>
      </c>
      <c r="K430" s="6" t="e">
        <f t="array" ref="K430:R432">LINEST(B414:B422,C414:C422^{1,2,3,4,5,6,7},TRUE,TRUE)</f>
        <v>#VALUE!</v>
      </c>
      <c r="L430" s="6" t="e">
        <v>#VALUE!</v>
      </c>
      <c r="M430" s="6" t="e">
        <v>#VALUE!</v>
      </c>
      <c r="N430" s="6" t="e">
        <v>#VALUE!</v>
      </c>
      <c r="O430" s="6" t="e">
        <v>#VALUE!</v>
      </c>
      <c r="P430" s="6" t="e">
        <v>#VALUE!</v>
      </c>
      <c r="Q430" s="6" t="e">
        <v>#VALUE!</v>
      </c>
      <c r="R430" s="6" t="e">
        <v>#VALUE!</v>
      </c>
      <c r="T430" s="9"/>
      <c r="U430" s="1">
        <f t="shared" si="370"/>
        <v>10</v>
      </c>
      <c r="V430" s="1">
        <f t="shared" si="371"/>
        <v>233</v>
      </c>
    </row>
    <row r="431" spans="1:22" x14ac:dyDescent="0.3">
      <c r="A431" s="1">
        <f t="shared" si="353"/>
        <v>10234</v>
      </c>
      <c r="B431" s="12">
        <f t="shared" si="390"/>
        <v>-0.41000000000000014</v>
      </c>
      <c r="C431" s="13">
        <f t="shared" si="391"/>
        <v>-0.14999999999999858</v>
      </c>
      <c r="D431" s="10">
        <f t="shared" ref="D431:D439" si="393">C431-B431</f>
        <v>0.26000000000000156</v>
      </c>
      <c r="E431" s="74" t="s">
        <v>38</v>
      </c>
      <c r="F431" s="75"/>
      <c r="G431" s="76"/>
      <c r="J431" s="24" t="str">
        <f t="shared" ref="J431" si="394">CONCATENATE(K429,2)</f>
        <v>92</v>
      </c>
      <c r="K431" s="6" t="e">
        <v>#VALUE!</v>
      </c>
      <c r="L431" s="6" t="e">
        <v>#VALUE!</v>
      </c>
      <c r="M431" s="6" t="e">
        <v>#VALUE!</v>
      </c>
      <c r="N431" s="6" t="e">
        <v>#VALUE!</v>
      </c>
      <c r="O431" s="6" t="e">
        <v>#VALUE!</v>
      </c>
      <c r="P431" s="6" t="e">
        <v>#VALUE!</v>
      </c>
      <c r="Q431" s="6" t="e">
        <v>#VALUE!</v>
      </c>
      <c r="R431" s="6" t="e">
        <v>#VALUE!</v>
      </c>
      <c r="T431" s="9"/>
      <c r="U431" s="1">
        <f t="shared" si="370"/>
        <v>10</v>
      </c>
      <c r="V431" s="1">
        <f t="shared" si="371"/>
        <v>234</v>
      </c>
    </row>
    <row r="432" spans="1:22" x14ac:dyDescent="0.3">
      <c r="A432" s="1">
        <f t="shared" si="353"/>
        <v>10235</v>
      </c>
      <c r="B432" s="12">
        <f t="shared" si="390"/>
        <v>-0.25</v>
      </c>
      <c r="C432" s="13">
        <f t="shared" si="391"/>
        <v>-0.14000000000000057</v>
      </c>
      <c r="D432" s="10">
        <f t="shared" si="393"/>
        <v>0.10999999999999943</v>
      </c>
      <c r="E432" s="11">
        <f>IF(D405="","",MAX(F432,G432))</f>
        <v>0.76999999999999957</v>
      </c>
      <c r="F432" s="10">
        <f>ABS(MIN(B430:B439))</f>
        <v>0.76999999999999957</v>
      </c>
      <c r="G432" s="10">
        <f>ABS(MAX(B430:B439))</f>
        <v>0</v>
      </c>
      <c r="J432" s="24" t="str">
        <f t="shared" ref="J432" si="395">CONCATENATE(K429,3)</f>
        <v>93</v>
      </c>
      <c r="K432" s="6" t="e">
        <v>#VALUE!</v>
      </c>
      <c r="L432" s="6" t="e">
        <v>#VALUE!</v>
      </c>
      <c r="M432" s="6" t="e">
        <v>#VALUE!</v>
      </c>
      <c r="N432" s="6" t="e">
        <v>#VALUE!</v>
      </c>
      <c r="O432" s="6" t="e">
        <v>#VALUE!</v>
      </c>
      <c r="P432" s="6" t="e">
        <v>#VALUE!</v>
      </c>
      <c r="Q432" s="6" t="e">
        <v>#VALUE!</v>
      </c>
      <c r="R432" s="6" t="e">
        <v>#VALUE!</v>
      </c>
      <c r="T432" s="9"/>
      <c r="U432" s="1">
        <f t="shared" si="370"/>
        <v>10</v>
      </c>
      <c r="V432" s="1">
        <f t="shared" si="371"/>
        <v>235</v>
      </c>
    </row>
    <row r="433" spans="1:22" x14ac:dyDescent="0.3">
      <c r="A433" s="1">
        <f t="shared" si="353"/>
        <v>10236</v>
      </c>
      <c r="B433" s="12">
        <f t="shared" si="390"/>
        <v>-6.0000000000002274E-2</v>
      </c>
      <c r="C433" s="13">
        <f t="shared" si="391"/>
        <v>-0.10999999999999943</v>
      </c>
      <c r="D433" s="10">
        <f t="shared" si="393"/>
        <v>-4.9999999999997158E-2</v>
      </c>
      <c r="E433" s="74" t="s">
        <v>39</v>
      </c>
      <c r="F433" s="75"/>
      <c r="G433" s="76"/>
      <c r="K433" s="1">
        <v>10</v>
      </c>
      <c r="L433" s="1">
        <v>10</v>
      </c>
      <c r="M433" s="1">
        <v>10</v>
      </c>
      <c r="N433" s="1">
        <v>10</v>
      </c>
      <c r="O433" s="1">
        <v>10</v>
      </c>
      <c r="P433" s="1">
        <v>10</v>
      </c>
      <c r="Q433" s="1">
        <v>10</v>
      </c>
      <c r="R433" s="1">
        <v>10</v>
      </c>
      <c r="S433" s="1">
        <v>10</v>
      </c>
      <c r="T433" s="9"/>
      <c r="U433" s="1">
        <f t="shared" si="370"/>
        <v>10</v>
      </c>
      <c r="V433" s="1">
        <f t="shared" si="371"/>
        <v>236</v>
      </c>
    </row>
    <row r="434" spans="1:22" x14ac:dyDescent="0.3">
      <c r="A434" s="1">
        <f t="shared" si="353"/>
        <v>10237</v>
      </c>
      <c r="B434" s="12">
        <f t="shared" si="390"/>
        <v>-0.28000000000000114</v>
      </c>
      <c r="C434" s="13">
        <f t="shared" si="391"/>
        <v>-0.12000000000000455</v>
      </c>
      <c r="D434" s="10">
        <f t="shared" si="393"/>
        <v>0.15999999999999659</v>
      </c>
      <c r="E434" s="11">
        <f>IF(D405="","",MAX(F434,G434))</f>
        <v>0.93</v>
      </c>
      <c r="F434" s="10">
        <f>ABS(MIN(D414:D423))</f>
        <v>0.25</v>
      </c>
      <c r="G434" s="10">
        <f>ABS(MAX(D414:D423))</f>
        <v>0.93</v>
      </c>
      <c r="J434" s="24" t="str">
        <f t="shared" ref="J434" si="396">CONCATENATE(K433,1)</f>
        <v>101</v>
      </c>
      <c r="K434" s="6" t="e">
        <f t="array" ref="K434:S436">LINEST(B414:B423,C414:C423^{1,2,3,4,5,6,7,8},TRUE,TRUE)</f>
        <v>#VALUE!</v>
      </c>
      <c r="L434" s="6" t="e">
        <v>#VALUE!</v>
      </c>
      <c r="M434" s="6" t="e">
        <v>#VALUE!</v>
      </c>
      <c r="N434" s="6" t="e">
        <v>#VALUE!</v>
      </c>
      <c r="O434" s="6" t="e">
        <v>#VALUE!</v>
      </c>
      <c r="P434" s="6" t="e">
        <v>#VALUE!</v>
      </c>
      <c r="Q434" s="6" t="e">
        <v>#VALUE!</v>
      </c>
      <c r="R434" s="6" t="e">
        <v>#VALUE!</v>
      </c>
      <c r="S434" s="6" t="e">
        <v>#VALUE!</v>
      </c>
      <c r="T434" s="9"/>
      <c r="U434" s="1">
        <f t="shared" si="370"/>
        <v>10</v>
      </c>
      <c r="V434" s="1">
        <f t="shared" si="371"/>
        <v>237</v>
      </c>
    </row>
    <row r="435" spans="1:22" x14ac:dyDescent="0.3">
      <c r="A435" s="1">
        <f t="shared" si="353"/>
        <v>10238</v>
      </c>
      <c r="B435" s="12">
        <f t="shared" si="390"/>
        <v>-0.15000000000000568</v>
      </c>
      <c r="C435" s="13">
        <f t="shared" si="391"/>
        <v>0.70000000000000284</v>
      </c>
      <c r="D435" s="10">
        <f t="shared" si="393"/>
        <v>0.85000000000000853</v>
      </c>
      <c r="J435" s="24" t="str">
        <f t="shared" ref="J435" si="397">CONCATENATE(K433,2)</f>
        <v>102</v>
      </c>
      <c r="K435" s="6" t="e">
        <v>#VALUE!</v>
      </c>
      <c r="L435" s="6" t="e">
        <v>#VALUE!</v>
      </c>
      <c r="M435" s="6" t="e">
        <v>#VALUE!</v>
      </c>
      <c r="N435" s="6" t="e">
        <v>#VALUE!</v>
      </c>
      <c r="O435" s="6" t="e">
        <v>#VALUE!</v>
      </c>
      <c r="P435" s="6" t="e">
        <v>#VALUE!</v>
      </c>
      <c r="Q435" s="6" t="e">
        <v>#VALUE!</v>
      </c>
      <c r="R435" s="6" t="e">
        <v>#VALUE!</v>
      </c>
      <c r="S435" s="6" t="e">
        <v>#VALUE!</v>
      </c>
      <c r="T435" s="9"/>
      <c r="U435" s="1">
        <f t="shared" si="370"/>
        <v>10</v>
      </c>
      <c r="V435" s="1">
        <f t="shared" si="371"/>
        <v>238</v>
      </c>
    </row>
    <row r="436" spans="1:22" x14ac:dyDescent="0.3">
      <c r="A436" s="1">
        <f t="shared" si="353"/>
        <v>10239</v>
      </c>
      <c r="B436" s="12">
        <f t="shared" si="390"/>
        <v>0</v>
      </c>
      <c r="C436" s="13">
        <f t="shared" si="391"/>
        <v>0</v>
      </c>
      <c r="D436" s="10">
        <f t="shared" si="393"/>
        <v>0</v>
      </c>
      <c r="J436" s="24" t="str">
        <f t="shared" ref="J436" si="398">CONCATENATE(K433,3)</f>
        <v>103</v>
      </c>
      <c r="K436" s="6" t="e">
        <v>#VALUE!</v>
      </c>
      <c r="L436" s="6" t="e">
        <v>#VALUE!</v>
      </c>
      <c r="M436" s="6" t="e">
        <v>#VALUE!</v>
      </c>
      <c r="N436" s="6" t="e">
        <v>#VALUE!</v>
      </c>
      <c r="O436" s="6" t="e">
        <v>#VALUE!</v>
      </c>
      <c r="P436" s="6" t="e">
        <v>#VALUE!</v>
      </c>
      <c r="Q436" s="6" t="e">
        <v>#VALUE!</v>
      </c>
      <c r="R436" s="6" t="e">
        <v>#VALUE!</v>
      </c>
      <c r="S436" s="6" t="e">
        <v>#VALUE!</v>
      </c>
      <c r="T436" s="9"/>
      <c r="U436" s="1">
        <f t="shared" si="370"/>
        <v>10</v>
      </c>
      <c r="V436" s="1">
        <f t="shared" si="371"/>
        <v>239</v>
      </c>
    </row>
    <row r="437" spans="1:22" x14ac:dyDescent="0.3">
      <c r="A437" s="1">
        <f t="shared" si="353"/>
        <v>10240</v>
      </c>
      <c r="B437" s="12">
        <f t="shared" si="390"/>
        <v>0</v>
      </c>
      <c r="C437" s="13">
        <f t="shared" si="391"/>
        <v>0</v>
      </c>
      <c r="D437" s="10">
        <f t="shared" si="393"/>
        <v>0</v>
      </c>
      <c r="J437" s="9"/>
      <c r="K437" s="9"/>
      <c r="L437" s="9"/>
      <c r="M437" s="9"/>
      <c r="N437" s="9"/>
      <c r="O437" s="9"/>
      <c r="P437" s="9"/>
      <c r="Q437" s="9"/>
      <c r="R437" s="9"/>
      <c r="S437" s="9"/>
      <c r="T437" s="9"/>
      <c r="U437" s="1">
        <f t="shared" si="370"/>
        <v>10</v>
      </c>
      <c r="V437" s="1">
        <f t="shared" si="371"/>
        <v>240</v>
      </c>
    </row>
    <row r="438" spans="1:22" x14ac:dyDescent="0.3">
      <c r="A438" s="1">
        <f t="shared" si="353"/>
        <v>10241</v>
      </c>
      <c r="B438" s="12">
        <f t="shared" si="390"/>
        <v>0</v>
      </c>
      <c r="C438" s="13">
        <f t="shared" si="391"/>
        <v>0</v>
      </c>
      <c r="D438" s="10">
        <f t="shared" si="393"/>
        <v>0</v>
      </c>
      <c r="J438" s="9"/>
      <c r="K438" s="9"/>
      <c r="L438" s="9"/>
      <c r="M438" s="9"/>
      <c r="N438" s="9"/>
      <c r="O438" s="9"/>
      <c r="P438" s="9"/>
      <c r="Q438" s="9"/>
      <c r="R438" s="9"/>
      <c r="S438" s="9"/>
      <c r="T438" s="9"/>
      <c r="U438" s="1">
        <f t="shared" si="370"/>
        <v>10</v>
      </c>
      <c r="V438" s="1">
        <f t="shared" si="371"/>
        <v>241</v>
      </c>
    </row>
    <row r="439" spans="1:22" x14ac:dyDescent="0.3">
      <c r="A439" s="1">
        <f t="shared" si="353"/>
        <v>10242</v>
      </c>
      <c r="B439" s="12">
        <f t="shared" si="390"/>
        <v>0</v>
      </c>
      <c r="C439" s="13">
        <f t="shared" si="391"/>
        <v>0</v>
      </c>
      <c r="D439" s="10">
        <f t="shared" si="393"/>
        <v>0</v>
      </c>
      <c r="J439" s="9"/>
      <c r="K439" s="9"/>
      <c r="L439" s="9"/>
      <c r="M439" s="9"/>
      <c r="N439" s="9"/>
      <c r="O439" s="9"/>
      <c r="P439" s="9"/>
      <c r="Q439" s="9"/>
      <c r="R439" s="9"/>
      <c r="S439" s="9"/>
      <c r="T439" s="9"/>
      <c r="U439" s="1">
        <f t="shared" si="370"/>
        <v>10</v>
      </c>
      <c r="V439" s="1">
        <f t="shared" si="371"/>
        <v>242</v>
      </c>
    </row>
    <row r="440" spans="1:22" x14ac:dyDescent="0.3">
      <c r="A440" s="1">
        <f t="shared" si="353"/>
        <v>10243</v>
      </c>
      <c r="J440" s="9"/>
      <c r="K440" s="9"/>
      <c r="L440" s="9"/>
      <c r="M440" s="9"/>
      <c r="N440" s="9"/>
      <c r="O440" s="9"/>
      <c r="P440" s="9"/>
      <c r="Q440" s="9"/>
      <c r="R440" s="9"/>
      <c r="S440" s="9"/>
      <c r="T440" s="9"/>
      <c r="U440" s="1">
        <f t="shared" si="370"/>
        <v>10</v>
      </c>
      <c r="V440" s="1">
        <f t="shared" si="371"/>
        <v>243</v>
      </c>
    </row>
    <row r="441" spans="1:22" s="5" customFormat="1" x14ac:dyDescent="0.3"/>
    <row r="442" spans="1:22" x14ac:dyDescent="0.3">
      <c r="A442" s="1">
        <f t="shared" ref="A442:A484" si="399">ROUND(CONCATENATE(U442,V442),0)</f>
        <v>11201</v>
      </c>
      <c r="B442" s="96" t="s">
        <v>0</v>
      </c>
      <c r="C442" s="97"/>
      <c r="D442" s="98"/>
      <c r="E442" s="99"/>
      <c r="F442" s="99"/>
      <c r="G442" s="99"/>
      <c r="H442" s="100"/>
      <c r="J442" s="9"/>
      <c r="K442" s="9"/>
      <c r="L442" s="9"/>
      <c r="M442" s="9"/>
      <c r="N442" s="9"/>
      <c r="O442" s="9"/>
      <c r="P442" s="9"/>
      <c r="Q442" s="9"/>
      <c r="R442" s="9"/>
      <c r="S442" s="9"/>
      <c r="T442" s="9"/>
      <c r="U442" s="1">
        <f t="shared" ref="U442" si="400">U440+1</f>
        <v>11</v>
      </c>
      <c r="V442" s="1">
        <v>201</v>
      </c>
    </row>
    <row r="443" spans="1:22" x14ac:dyDescent="0.3">
      <c r="A443" s="1">
        <f t="shared" si="399"/>
        <v>11202</v>
      </c>
      <c r="B443" s="96" t="s">
        <v>1</v>
      </c>
      <c r="C443" s="97"/>
      <c r="D443" s="15"/>
      <c r="E443" s="16" t="s">
        <v>2</v>
      </c>
      <c r="F443" s="107"/>
      <c r="G443" s="108"/>
      <c r="H443" s="109"/>
      <c r="J443" s="9"/>
      <c r="K443" s="9"/>
      <c r="L443" s="9"/>
      <c r="M443" s="9"/>
      <c r="N443" s="9"/>
      <c r="O443" s="9"/>
      <c r="P443" s="9"/>
      <c r="Q443" s="9"/>
      <c r="R443" s="9"/>
      <c r="S443" s="9"/>
      <c r="T443" s="9"/>
      <c r="U443" s="1">
        <f t="shared" ref="U443" si="401">U442</f>
        <v>11</v>
      </c>
      <c r="V443" s="1">
        <f t="shared" ref="V443" si="402">V442+1</f>
        <v>202</v>
      </c>
    </row>
    <row r="444" spans="1:22" x14ac:dyDescent="0.3">
      <c r="A444" s="1">
        <f t="shared" si="399"/>
        <v>11203</v>
      </c>
      <c r="B444" s="96" t="s">
        <v>12</v>
      </c>
      <c r="C444" s="97"/>
      <c r="D444" s="98"/>
      <c r="E444" s="99"/>
      <c r="F444" s="99"/>
      <c r="G444" s="99"/>
      <c r="H444" s="100"/>
      <c r="K444" s="1" t="s">
        <v>3</v>
      </c>
      <c r="L444" s="1" t="s">
        <v>4</v>
      </c>
      <c r="M444" s="1" t="s">
        <v>5</v>
      </c>
      <c r="N444" s="1" t="s">
        <v>6</v>
      </c>
      <c r="O444" s="1" t="s">
        <v>7</v>
      </c>
      <c r="P444" s="1" t="s">
        <v>8</v>
      </c>
      <c r="Q444" s="1" t="s">
        <v>9</v>
      </c>
      <c r="R444" s="1" t="s">
        <v>10</v>
      </c>
      <c r="S444" s="1" t="s">
        <v>11</v>
      </c>
      <c r="T444" s="9"/>
      <c r="U444" s="1">
        <f t="shared" si="370"/>
        <v>11</v>
      </c>
      <c r="V444" s="1">
        <f t="shared" si="371"/>
        <v>203</v>
      </c>
    </row>
    <row r="445" spans="1:22" x14ac:dyDescent="0.3">
      <c r="A445" s="1">
        <f t="shared" si="399"/>
        <v>11204</v>
      </c>
      <c r="B445" s="96" t="s">
        <v>13</v>
      </c>
      <c r="C445" s="97"/>
      <c r="D445" s="110"/>
      <c r="E445" s="111"/>
      <c r="F445" s="111"/>
      <c r="G445" s="111"/>
      <c r="H445" s="112"/>
      <c r="J445" s="1">
        <f>COUNTA(B458:B467)</f>
        <v>0</v>
      </c>
      <c r="K445" s="1">
        <f t="shared" ref="K445" si="403">IF(L445-1&lt;2,0,L445-1)</f>
        <v>0</v>
      </c>
      <c r="L445" s="1">
        <f t="shared" ref="L445" si="404">IF(M445-1&lt;2,0,M445-1)</f>
        <v>0</v>
      </c>
      <c r="M445" s="1">
        <f t="shared" ref="M445" si="405">IF(N445-1&lt;2,0,N445-1)</f>
        <v>0</v>
      </c>
      <c r="N445" s="1">
        <f t="shared" ref="N445" si="406">IF(O445-1&lt;2,0,O445-1)</f>
        <v>0</v>
      </c>
      <c r="O445" s="1">
        <f t="shared" ref="O445" si="407">IF(P445-1&lt;2,0,P445-1)</f>
        <v>0</v>
      </c>
      <c r="P445" s="1">
        <f t="shared" ref="P445" si="408">IF(Q445-1&lt;2,0,Q445-1)</f>
        <v>0</v>
      </c>
      <c r="Q445" s="1">
        <f t="shared" ref="Q445" si="409">IF(R445-1&lt;2,0,R445-1)</f>
        <v>0</v>
      </c>
      <c r="R445" s="1">
        <f>IF(S445-1&lt;2,0,S445-1)</f>
        <v>0</v>
      </c>
      <c r="S445" s="1">
        <f>J445</f>
        <v>0</v>
      </c>
      <c r="T445" s="9"/>
      <c r="U445" s="1">
        <f t="shared" si="370"/>
        <v>11</v>
      </c>
      <c r="V445" s="1">
        <f t="shared" si="371"/>
        <v>204</v>
      </c>
    </row>
    <row r="446" spans="1:22" x14ac:dyDescent="0.3">
      <c r="A446" s="1">
        <f t="shared" si="399"/>
        <v>11205</v>
      </c>
      <c r="B446" s="96" t="s">
        <v>14</v>
      </c>
      <c r="C446" s="97"/>
      <c r="D446" s="110"/>
      <c r="E446" s="111"/>
      <c r="F446" s="111"/>
      <c r="G446" s="111"/>
      <c r="H446" s="112"/>
      <c r="J446" s="24" t="str">
        <f>CONCATENATE(J445,1)</f>
        <v>01</v>
      </c>
      <c r="K446" s="25">
        <f>IF(K445=0,0,VLOOKUP(J446,J450:S480,K445,FALSE))</f>
        <v>0</v>
      </c>
      <c r="L446" s="25">
        <f>IF(L445=0,0,VLOOKUP(J446,J450:S480,L445,FALSE))</f>
        <v>0</v>
      </c>
      <c r="M446" s="25">
        <f>IF(M445=0,0,VLOOKUP(J446,J450:S480,M445,FALSE))</f>
        <v>0</v>
      </c>
      <c r="N446" s="25">
        <f>IF(N445=0,0,VLOOKUP(J446,J450:S480,N445,FALSE))</f>
        <v>0</v>
      </c>
      <c r="O446" s="25">
        <f>IF(O445=0,0,VLOOKUP(J446,J450:S480,O445,FALSE))</f>
        <v>0</v>
      </c>
      <c r="P446" s="25">
        <f>IF(P445=0,0,VLOOKUP(J446,J450:S480,P445,FALSE))</f>
        <v>0</v>
      </c>
      <c r="Q446" s="25">
        <f>IF(Q445=0,0,VLOOKUP(J446,J450:S480,Q445,FALSE))</f>
        <v>0</v>
      </c>
      <c r="R446" s="25">
        <f>IF(R445=0,0,VLOOKUP(J446,J450:S480,R445,FALSE))</f>
        <v>0</v>
      </c>
      <c r="S446" s="25">
        <f>IF(S445=0,0,VLOOKUP(J446,J450:S480,S445,FALSE))</f>
        <v>0</v>
      </c>
      <c r="T446" s="9"/>
      <c r="U446" s="1">
        <f t="shared" si="370"/>
        <v>11</v>
      </c>
      <c r="V446" s="1">
        <f t="shared" si="371"/>
        <v>205</v>
      </c>
    </row>
    <row r="447" spans="1:22" x14ac:dyDescent="0.3">
      <c r="A447" s="1">
        <f t="shared" si="399"/>
        <v>11206</v>
      </c>
      <c r="B447" s="96" t="s">
        <v>15</v>
      </c>
      <c r="C447" s="97"/>
      <c r="D447" s="126"/>
      <c r="E447" s="127"/>
      <c r="F447" s="127"/>
      <c r="G447" s="127"/>
      <c r="H447" s="127"/>
      <c r="J447" s="24" t="str">
        <f>CONCATENATE(J445,2)</f>
        <v>02</v>
      </c>
      <c r="K447" s="6">
        <f>IF(K445=0,0,VLOOKUP(J447,J450:S480,K445,FALSE))</f>
        <v>0</v>
      </c>
      <c r="L447" s="6">
        <f>IF(L445=0,0,VLOOKUP(J447,J450:S480,L445,FALSE))</f>
        <v>0</v>
      </c>
      <c r="M447" s="6">
        <f>IF(M445=0,0,VLOOKUP(J447,J450:S480,M445,FALSE))</f>
        <v>0</v>
      </c>
      <c r="N447" s="6">
        <f>IF(N445=0,0,VLOOKUP(J447,J450:S480,N445,FALSE))</f>
        <v>0</v>
      </c>
      <c r="O447" s="6">
        <f>IF(O445=0,0,VLOOKUP(J447,J450:S480,O445,FALSE))</f>
        <v>0</v>
      </c>
      <c r="P447" s="6">
        <f>IF(P445=0,0,VLOOKUP(J447,J450:S480,P445,FALSE))</f>
        <v>0</v>
      </c>
      <c r="Q447" s="6">
        <f>IF(Q445=0,0,VLOOKUP(J447,J450:S480,Q445,FALSE))</f>
        <v>0</v>
      </c>
      <c r="R447" s="6">
        <f>IF(R445=0,0,VLOOKUP(J447,J450:S480,R445,FALSE))</f>
        <v>0</v>
      </c>
      <c r="S447" s="6">
        <f>IF(S445=0,0,VLOOKUP(J447,J450:S480,S445,FALSE))</f>
        <v>0</v>
      </c>
      <c r="T447" s="9"/>
      <c r="U447" s="1">
        <f t="shared" si="370"/>
        <v>11</v>
      </c>
      <c r="V447" s="1">
        <f t="shared" si="371"/>
        <v>206</v>
      </c>
    </row>
    <row r="448" spans="1:22" x14ac:dyDescent="0.3">
      <c r="A448" s="1">
        <f t="shared" si="399"/>
        <v>11207</v>
      </c>
      <c r="B448" s="96" t="s">
        <v>16</v>
      </c>
      <c r="C448" s="97"/>
      <c r="D448" s="101"/>
      <c r="E448" s="102"/>
      <c r="F448" s="102"/>
      <c r="G448" s="102"/>
      <c r="H448" s="103"/>
      <c r="J448" s="24" t="str">
        <f>CONCATENATE(J445,3)</f>
        <v>03</v>
      </c>
      <c r="K448" s="6"/>
      <c r="L448" s="6"/>
      <c r="M448" s="6"/>
      <c r="N448" s="6" t="s">
        <v>43</v>
      </c>
      <c r="O448" s="25">
        <f>J445-2</f>
        <v>-2</v>
      </c>
      <c r="P448" s="6" t="s">
        <v>44</v>
      </c>
      <c r="Q448" s="25" t="e">
        <f>VLOOKUP(J448,J450:S480,3,FALSE)</f>
        <v>#N/A</v>
      </c>
      <c r="R448" s="6" t="s">
        <v>45</v>
      </c>
      <c r="S448" s="6" t="e">
        <f>VLOOKUP(J448,J450:S480,2,FALSE)</f>
        <v>#N/A</v>
      </c>
      <c r="T448" s="9"/>
      <c r="U448" s="1">
        <f t="shared" si="370"/>
        <v>11</v>
      </c>
      <c r="V448" s="1">
        <f t="shared" si="371"/>
        <v>207</v>
      </c>
    </row>
    <row r="449" spans="1:22" x14ac:dyDescent="0.3">
      <c r="A449" s="1">
        <f t="shared" si="399"/>
        <v>11208</v>
      </c>
      <c r="B449" s="96" t="s">
        <v>17</v>
      </c>
      <c r="C449" s="97"/>
      <c r="D449" s="104"/>
      <c r="E449" s="105"/>
      <c r="F449" s="105"/>
      <c r="G449" s="105"/>
      <c r="H449" s="106"/>
      <c r="K449" s="1">
        <v>3</v>
      </c>
      <c r="L449" s="1">
        <v>3</v>
      </c>
      <c r="Q449" s="26"/>
      <c r="R449" s="26"/>
      <c r="S449" s="26"/>
      <c r="T449" s="9"/>
      <c r="U449" s="1">
        <f t="shared" si="370"/>
        <v>11</v>
      </c>
      <c r="V449" s="1">
        <f t="shared" si="371"/>
        <v>208</v>
      </c>
    </row>
    <row r="450" spans="1:22" x14ac:dyDescent="0.3">
      <c r="A450" s="1">
        <f t="shared" si="399"/>
        <v>11209</v>
      </c>
      <c r="B450" s="77" t="s">
        <v>19</v>
      </c>
      <c r="C450" s="78"/>
      <c r="D450" s="17"/>
      <c r="E450" s="79" t="s">
        <v>40</v>
      </c>
      <c r="F450" s="80"/>
      <c r="G450" s="81"/>
      <c r="H450" s="18" t="s">
        <v>72</v>
      </c>
      <c r="J450" s="24" t="str">
        <f>CONCATENATE(K449,1)</f>
        <v>31</v>
      </c>
      <c r="K450" s="6" t="e">
        <f t="array" ref="K450:L452">LINEST(B458:B460,C458:C460^{1},TRUE,TRUE)</f>
        <v>#VALUE!</v>
      </c>
      <c r="L450" s="6" t="e">
        <v>#VALUE!</v>
      </c>
      <c r="Q450" s="9"/>
      <c r="R450" s="9"/>
      <c r="S450" s="9"/>
      <c r="T450" s="9"/>
      <c r="U450" s="1">
        <f t="shared" si="370"/>
        <v>11</v>
      </c>
      <c r="V450" s="1">
        <f t="shared" si="371"/>
        <v>209</v>
      </c>
    </row>
    <row r="451" spans="1:22" x14ac:dyDescent="0.3">
      <c r="A451" s="1">
        <f t="shared" si="399"/>
        <v>11210</v>
      </c>
      <c r="B451" s="77" t="s">
        <v>41</v>
      </c>
      <c r="C451" s="78"/>
      <c r="D451" s="23">
        <f>MIN(B458:B467)</f>
        <v>0</v>
      </c>
      <c r="E451" s="20" t="s">
        <v>18</v>
      </c>
      <c r="F451" s="19">
        <f>MAX(B458:B467)</f>
        <v>0</v>
      </c>
      <c r="G451" s="21" t="str">
        <f>IF(H450="","",H450)</f>
        <v>%ur</v>
      </c>
      <c r="H451" s="22"/>
      <c r="J451" s="24" t="str">
        <f>CONCATENATE(K449,2)</f>
        <v>32</v>
      </c>
      <c r="K451" s="6" t="e">
        <v>#VALUE!</v>
      </c>
      <c r="L451" s="6" t="e">
        <v>#VALUE!</v>
      </c>
      <c r="Q451" s="9"/>
      <c r="R451" s="9"/>
      <c r="S451" s="9"/>
      <c r="T451" s="9"/>
      <c r="U451" s="1">
        <f t="shared" si="370"/>
        <v>11</v>
      </c>
      <c r="V451" s="1">
        <f t="shared" si="371"/>
        <v>210</v>
      </c>
    </row>
    <row r="452" spans="1:22" x14ac:dyDescent="0.3">
      <c r="A452" s="1">
        <f t="shared" si="399"/>
        <v>11211</v>
      </c>
      <c r="J452" s="24" t="str">
        <f>CONCATENATE(K449,3)</f>
        <v>33</v>
      </c>
      <c r="K452" s="6" t="e">
        <v>#VALUE!</v>
      </c>
      <c r="L452" s="6" t="e">
        <v>#VALUE!</v>
      </c>
      <c r="Q452" s="9"/>
      <c r="R452" s="9"/>
      <c r="S452" s="9"/>
      <c r="T452" s="9"/>
      <c r="U452" s="1">
        <f t="shared" si="370"/>
        <v>11</v>
      </c>
      <c r="V452" s="1">
        <f t="shared" si="371"/>
        <v>211</v>
      </c>
    </row>
    <row r="453" spans="1:22" x14ac:dyDescent="0.3">
      <c r="A453" s="1">
        <f t="shared" si="399"/>
        <v>11212</v>
      </c>
      <c r="B453" s="82" t="s">
        <v>20</v>
      </c>
      <c r="C453" s="83"/>
      <c r="D453" s="83"/>
      <c r="E453" s="83"/>
      <c r="F453" s="84"/>
      <c r="G453" s="85" t="s">
        <v>31</v>
      </c>
      <c r="H453" s="86"/>
      <c r="K453" s="1">
        <v>4</v>
      </c>
      <c r="L453" s="1">
        <v>4</v>
      </c>
      <c r="M453" s="1">
        <v>4</v>
      </c>
      <c r="Q453" s="9"/>
      <c r="R453" s="9"/>
      <c r="S453" s="9"/>
      <c r="T453" s="9"/>
      <c r="U453" s="1">
        <f t="shared" si="370"/>
        <v>11</v>
      </c>
      <c r="V453" s="1">
        <f t="shared" si="371"/>
        <v>212</v>
      </c>
    </row>
    <row r="454" spans="1:22" x14ac:dyDescent="0.3">
      <c r="A454" s="1">
        <f t="shared" si="399"/>
        <v>11213</v>
      </c>
      <c r="B454" s="82" t="s">
        <v>30</v>
      </c>
      <c r="C454" s="83"/>
      <c r="D454" s="84"/>
      <c r="E454" s="82">
        <f>D447</f>
        <v>0</v>
      </c>
      <c r="F454" s="84"/>
      <c r="G454" s="6" t="s">
        <v>32</v>
      </c>
      <c r="H454" s="7"/>
      <c r="J454" s="24" t="str">
        <f t="shared" ref="J454" si="410">CONCATENATE(K453,1)</f>
        <v>41</v>
      </c>
      <c r="K454" s="6" t="e">
        <f t="array" ref="K454:M456">LINEST(B458:B461,C458:C461^{1,2},TRUE,TRUE)</f>
        <v>#VALUE!</v>
      </c>
      <c r="L454" s="6" t="e">
        <v>#VALUE!</v>
      </c>
      <c r="M454" s="6" t="e">
        <v>#VALUE!</v>
      </c>
      <c r="Q454" s="9"/>
      <c r="R454" s="9"/>
      <c r="S454" s="9"/>
      <c r="T454" s="9"/>
      <c r="U454" s="1">
        <f t="shared" si="370"/>
        <v>11</v>
      </c>
      <c r="V454" s="1">
        <f t="shared" si="371"/>
        <v>213</v>
      </c>
    </row>
    <row r="455" spans="1:22" x14ac:dyDescent="0.3">
      <c r="A455" s="1">
        <f t="shared" si="399"/>
        <v>11214</v>
      </c>
      <c r="B455" s="2" t="s">
        <v>21</v>
      </c>
      <c r="C455" s="2" t="s">
        <v>22</v>
      </c>
      <c r="D455" s="2" t="s">
        <v>23</v>
      </c>
      <c r="E455" s="2"/>
      <c r="F455" s="2" t="s">
        <v>28</v>
      </c>
      <c r="G455" s="2" t="s">
        <v>21</v>
      </c>
      <c r="H455" s="2" t="s">
        <v>22</v>
      </c>
      <c r="J455" s="24" t="str">
        <f t="shared" ref="J455" si="411">CONCATENATE(K453,2)</f>
        <v>42</v>
      </c>
      <c r="K455" s="6" t="e">
        <v>#VALUE!</v>
      </c>
      <c r="L455" s="6" t="e">
        <v>#VALUE!</v>
      </c>
      <c r="M455" s="6" t="e">
        <v>#VALUE!</v>
      </c>
      <c r="Q455" s="9"/>
      <c r="R455" s="9"/>
      <c r="S455" s="9"/>
      <c r="T455" s="9"/>
      <c r="U455" s="1">
        <f t="shared" si="370"/>
        <v>11</v>
      </c>
      <c r="V455" s="1">
        <f t="shared" si="371"/>
        <v>214</v>
      </c>
    </row>
    <row r="456" spans="1:22" x14ac:dyDescent="0.3">
      <c r="A456" s="1">
        <f t="shared" si="399"/>
        <v>11215</v>
      </c>
      <c r="B456" s="2" t="s">
        <v>24</v>
      </c>
      <c r="C456" s="2" t="s">
        <v>25</v>
      </c>
      <c r="D456" s="2" t="s">
        <v>26</v>
      </c>
      <c r="E456" s="2" t="s">
        <v>27</v>
      </c>
      <c r="F456" s="2" t="s">
        <v>29</v>
      </c>
      <c r="G456" s="2" t="s">
        <v>24</v>
      </c>
      <c r="H456" s="2" t="s">
        <v>25</v>
      </c>
      <c r="J456" s="24" t="str">
        <f t="shared" ref="J456" si="412">CONCATENATE(K453,3)</f>
        <v>43</v>
      </c>
      <c r="K456" s="6" t="e">
        <v>#VALUE!</v>
      </c>
      <c r="L456" s="6" t="e">
        <v>#VALUE!</v>
      </c>
      <c r="M456" s="6" t="e">
        <v>#VALUE!</v>
      </c>
      <c r="Q456" s="9"/>
      <c r="R456" s="9"/>
      <c r="S456" s="9"/>
      <c r="T456" s="9"/>
      <c r="U456" s="1">
        <f t="shared" si="370"/>
        <v>11</v>
      </c>
      <c r="V456" s="1">
        <f t="shared" si="371"/>
        <v>215</v>
      </c>
    </row>
    <row r="457" spans="1:22" x14ac:dyDescent="0.3">
      <c r="A457" s="1">
        <f t="shared" si="399"/>
        <v>11216</v>
      </c>
      <c r="B457" s="3" t="str">
        <f>H450</f>
        <v>%ur</v>
      </c>
      <c r="C457" s="3" t="str">
        <f>B457</f>
        <v>%ur</v>
      </c>
      <c r="D457" s="3" t="str">
        <f>C457</f>
        <v>%ur</v>
      </c>
      <c r="E457" s="3"/>
      <c r="F457" s="3"/>
      <c r="G457" s="3" t="str">
        <f>D457</f>
        <v>%ur</v>
      </c>
      <c r="H457" s="3" t="str">
        <f>G457</f>
        <v>%ur</v>
      </c>
      <c r="K457" s="1">
        <v>5</v>
      </c>
      <c r="L457" s="1">
        <v>5</v>
      </c>
      <c r="M457" s="1">
        <v>5</v>
      </c>
      <c r="N457" s="1">
        <v>5</v>
      </c>
      <c r="Q457" s="9"/>
      <c r="R457" s="9"/>
      <c r="S457" s="9"/>
      <c r="T457" s="9"/>
      <c r="U457" s="1">
        <f t="shared" si="370"/>
        <v>11</v>
      </c>
      <c r="V457" s="1">
        <f t="shared" si="371"/>
        <v>216</v>
      </c>
    </row>
    <row r="458" spans="1:22" x14ac:dyDescent="0.3">
      <c r="A458" s="1">
        <f t="shared" si="399"/>
        <v>11217</v>
      </c>
      <c r="B458" s="4"/>
      <c r="C458" s="4"/>
      <c r="D458" s="4"/>
      <c r="E458" s="4"/>
      <c r="F458" s="14"/>
      <c r="G458" s="8"/>
      <c r="H458" s="7"/>
      <c r="J458" s="24" t="str">
        <f t="shared" ref="J458" si="413">CONCATENATE(K457,1)</f>
        <v>51</v>
      </c>
      <c r="K458" s="6" t="e">
        <f t="array" ref="K458:N460">LINEST(B458:B462,C458:C462^{1,2,3},TRUE,TRUE)</f>
        <v>#VALUE!</v>
      </c>
      <c r="L458" s="6" t="e">
        <v>#VALUE!</v>
      </c>
      <c r="M458" s="6" t="e">
        <v>#VALUE!</v>
      </c>
      <c r="N458" s="6" t="e">
        <v>#VALUE!</v>
      </c>
      <c r="Q458" s="9"/>
      <c r="R458" s="9"/>
      <c r="S458" s="9"/>
      <c r="T458" s="9"/>
      <c r="U458" s="1">
        <f t="shared" si="370"/>
        <v>11</v>
      </c>
      <c r="V458" s="1">
        <f t="shared" si="371"/>
        <v>217</v>
      </c>
    </row>
    <row r="459" spans="1:22" x14ac:dyDescent="0.3">
      <c r="A459" s="1">
        <f t="shared" si="399"/>
        <v>11218</v>
      </c>
      <c r="B459" s="4"/>
      <c r="C459" s="4"/>
      <c r="D459" s="4"/>
      <c r="E459" s="4"/>
      <c r="F459" s="14"/>
      <c r="G459" s="8"/>
      <c r="H459" s="7"/>
      <c r="J459" s="24" t="str">
        <f t="shared" ref="J459" si="414">CONCATENATE(K457,2)</f>
        <v>52</v>
      </c>
      <c r="K459" s="6" t="e">
        <v>#VALUE!</v>
      </c>
      <c r="L459" s="6" t="e">
        <v>#VALUE!</v>
      </c>
      <c r="M459" s="6" t="e">
        <v>#VALUE!</v>
      </c>
      <c r="N459" s="6" t="e">
        <v>#VALUE!</v>
      </c>
      <c r="T459" s="9"/>
      <c r="U459" s="1">
        <f t="shared" si="370"/>
        <v>11</v>
      </c>
      <c r="V459" s="1">
        <f t="shared" si="371"/>
        <v>218</v>
      </c>
    </row>
    <row r="460" spans="1:22" x14ac:dyDescent="0.3">
      <c r="A460" s="1">
        <f t="shared" si="399"/>
        <v>11219</v>
      </c>
      <c r="B460" s="4"/>
      <c r="C460" s="4"/>
      <c r="D460" s="4"/>
      <c r="E460" s="4"/>
      <c r="F460" s="14"/>
      <c r="G460" s="8"/>
      <c r="H460" s="7"/>
      <c r="J460" s="24" t="str">
        <f t="shared" ref="J460" si="415">CONCATENATE(K457,3)</f>
        <v>53</v>
      </c>
      <c r="K460" s="6" t="e">
        <v>#VALUE!</v>
      </c>
      <c r="L460" s="6" t="e">
        <v>#VALUE!</v>
      </c>
      <c r="M460" s="6" t="e">
        <v>#VALUE!</v>
      </c>
      <c r="N460" s="6" t="e">
        <v>#VALUE!</v>
      </c>
      <c r="T460" s="9"/>
      <c r="U460" s="1">
        <f t="shared" si="370"/>
        <v>11</v>
      </c>
      <c r="V460" s="1">
        <f t="shared" si="371"/>
        <v>219</v>
      </c>
    </row>
    <row r="461" spans="1:22" x14ac:dyDescent="0.3">
      <c r="A461" s="1">
        <f t="shared" si="399"/>
        <v>11220</v>
      </c>
      <c r="B461" s="4"/>
      <c r="C461" s="4"/>
      <c r="D461" s="4"/>
      <c r="E461" s="4"/>
      <c r="F461" s="14"/>
      <c r="G461" s="8"/>
      <c r="H461" s="7"/>
      <c r="K461" s="1">
        <v>6</v>
      </c>
      <c r="L461" s="1">
        <v>6</v>
      </c>
      <c r="M461" s="1">
        <v>6</v>
      </c>
      <c r="N461" s="1">
        <v>6</v>
      </c>
      <c r="O461" s="1">
        <v>6</v>
      </c>
      <c r="T461" s="9"/>
      <c r="U461" s="1">
        <f t="shared" si="370"/>
        <v>11</v>
      </c>
      <c r="V461" s="1">
        <f t="shared" si="371"/>
        <v>220</v>
      </c>
    </row>
    <row r="462" spans="1:22" x14ac:dyDescent="0.3">
      <c r="A462" s="1">
        <f t="shared" si="399"/>
        <v>11221</v>
      </c>
      <c r="B462" s="4"/>
      <c r="C462" s="4"/>
      <c r="D462" s="4"/>
      <c r="E462" s="4"/>
      <c r="F462" s="14"/>
      <c r="G462" s="8"/>
      <c r="H462" s="7"/>
      <c r="J462" s="24" t="str">
        <f t="shared" ref="J462" si="416">CONCATENATE(K461,1)</f>
        <v>61</v>
      </c>
      <c r="K462" s="6" t="e">
        <f t="array" ref="K462:O464">LINEST(B458:B463,C458:C463^{1,2,3,4},TRUE,TRUE)</f>
        <v>#VALUE!</v>
      </c>
      <c r="L462" s="6" t="e">
        <v>#VALUE!</v>
      </c>
      <c r="M462" s="6" t="e">
        <v>#VALUE!</v>
      </c>
      <c r="N462" s="6" t="e">
        <v>#VALUE!</v>
      </c>
      <c r="O462" s="6" t="e">
        <v>#VALUE!</v>
      </c>
      <c r="T462" s="9"/>
      <c r="U462" s="1">
        <f t="shared" si="370"/>
        <v>11</v>
      </c>
      <c r="V462" s="1">
        <f t="shared" si="371"/>
        <v>221</v>
      </c>
    </row>
    <row r="463" spans="1:22" x14ac:dyDescent="0.3">
      <c r="A463" s="1">
        <f t="shared" si="399"/>
        <v>11222</v>
      </c>
      <c r="B463" s="4"/>
      <c r="C463" s="4"/>
      <c r="D463" s="4"/>
      <c r="E463" s="4"/>
      <c r="F463" s="14"/>
      <c r="G463" s="8"/>
      <c r="H463" s="7"/>
      <c r="J463" s="24" t="str">
        <f t="shared" ref="J463" si="417">CONCATENATE(K461,2)</f>
        <v>62</v>
      </c>
      <c r="K463" s="6" t="e">
        <v>#VALUE!</v>
      </c>
      <c r="L463" s="6" t="e">
        <v>#VALUE!</v>
      </c>
      <c r="M463" s="6" t="e">
        <v>#VALUE!</v>
      </c>
      <c r="N463" s="6" t="e">
        <v>#VALUE!</v>
      </c>
      <c r="O463" s="6" t="e">
        <v>#VALUE!</v>
      </c>
      <c r="T463" s="9"/>
      <c r="U463" s="1">
        <f t="shared" si="370"/>
        <v>11</v>
      </c>
      <c r="V463" s="1">
        <f t="shared" si="371"/>
        <v>222</v>
      </c>
    </row>
    <row r="464" spans="1:22" x14ac:dyDescent="0.3">
      <c r="A464" s="1">
        <f t="shared" si="399"/>
        <v>11223</v>
      </c>
      <c r="B464" s="4"/>
      <c r="C464" s="4"/>
      <c r="D464" s="4"/>
      <c r="E464" s="4"/>
      <c r="F464" s="14"/>
      <c r="G464" s="8"/>
      <c r="H464" s="7"/>
      <c r="J464" s="24" t="str">
        <f t="shared" ref="J464" si="418">CONCATENATE(K461,3)</f>
        <v>63</v>
      </c>
      <c r="K464" s="6" t="e">
        <v>#VALUE!</v>
      </c>
      <c r="L464" s="6" t="e">
        <v>#VALUE!</v>
      </c>
      <c r="M464" s="6" t="e">
        <v>#VALUE!</v>
      </c>
      <c r="N464" s="6" t="e">
        <v>#VALUE!</v>
      </c>
      <c r="O464" s="6" t="e">
        <v>#VALUE!</v>
      </c>
      <c r="T464" s="9"/>
      <c r="U464" s="1">
        <f t="shared" si="370"/>
        <v>11</v>
      </c>
      <c r="V464" s="1">
        <f t="shared" si="371"/>
        <v>223</v>
      </c>
    </row>
    <row r="465" spans="1:22" x14ac:dyDescent="0.3">
      <c r="A465" s="1">
        <f t="shared" si="399"/>
        <v>11224</v>
      </c>
      <c r="B465" s="4"/>
      <c r="C465" s="4"/>
      <c r="D465" s="4"/>
      <c r="E465" s="4"/>
      <c r="F465" s="14"/>
      <c r="G465" s="8"/>
      <c r="H465" s="7"/>
      <c r="K465" s="1">
        <v>7</v>
      </c>
      <c r="L465" s="1">
        <v>7</v>
      </c>
      <c r="M465" s="1">
        <v>7</v>
      </c>
      <c r="N465" s="1">
        <v>7</v>
      </c>
      <c r="O465" s="1">
        <v>7</v>
      </c>
      <c r="P465" s="1">
        <v>7</v>
      </c>
      <c r="T465" s="9"/>
      <c r="U465" s="1">
        <f t="shared" si="370"/>
        <v>11</v>
      </c>
      <c r="V465" s="1">
        <f t="shared" si="371"/>
        <v>224</v>
      </c>
    </row>
    <row r="466" spans="1:22" x14ac:dyDescent="0.3">
      <c r="A466" s="1">
        <f t="shared" si="399"/>
        <v>11225</v>
      </c>
      <c r="B466" s="4"/>
      <c r="C466" s="4"/>
      <c r="D466" s="4"/>
      <c r="E466" s="4"/>
      <c r="F466" s="14"/>
      <c r="G466" s="8"/>
      <c r="H466" s="7"/>
      <c r="J466" s="24" t="str">
        <f t="shared" ref="J466" si="419">CONCATENATE(K465,1)</f>
        <v>71</v>
      </c>
      <c r="K466" s="6" t="e">
        <f t="array" ref="K466:P468">LINEST(B458:B464,C458:C464^{1,2,3,4,5},TRUE,TRUE)</f>
        <v>#VALUE!</v>
      </c>
      <c r="L466" s="6" t="e">
        <v>#VALUE!</v>
      </c>
      <c r="M466" s="6" t="e">
        <v>#VALUE!</v>
      </c>
      <c r="N466" s="6" t="e">
        <v>#VALUE!</v>
      </c>
      <c r="O466" s="6" t="e">
        <v>#VALUE!</v>
      </c>
      <c r="P466" s="6" t="e">
        <v>#VALUE!</v>
      </c>
      <c r="T466" s="9"/>
      <c r="U466" s="1">
        <f t="shared" si="370"/>
        <v>11</v>
      </c>
      <c r="V466" s="1">
        <f t="shared" si="371"/>
        <v>225</v>
      </c>
    </row>
    <row r="467" spans="1:22" x14ac:dyDescent="0.3">
      <c r="A467" s="1">
        <f t="shared" si="399"/>
        <v>11226</v>
      </c>
      <c r="B467" s="4"/>
      <c r="C467" s="4"/>
      <c r="D467" s="4"/>
      <c r="E467" s="4"/>
      <c r="F467" s="14"/>
      <c r="G467" s="8"/>
      <c r="H467" s="7"/>
      <c r="J467" s="24" t="str">
        <f t="shared" ref="J467" si="420">CONCATENATE(K465,2)</f>
        <v>72</v>
      </c>
      <c r="K467" s="6" t="e">
        <v>#VALUE!</v>
      </c>
      <c r="L467" s="6" t="e">
        <v>#VALUE!</v>
      </c>
      <c r="M467" s="6" t="e">
        <v>#VALUE!</v>
      </c>
      <c r="N467" s="6" t="e">
        <v>#VALUE!</v>
      </c>
      <c r="O467" s="6" t="e">
        <v>#VALUE!</v>
      </c>
      <c r="P467" s="6" t="e">
        <v>#VALUE!</v>
      </c>
      <c r="T467" s="9"/>
      <c r="U467" s="1">
        <f t="shared" si="370"/>
        <v>11</v>
      </c>
      <c r="V467" s="1">
        <f t="shared" si="371"/>
        <v>226</v>
      </c>
    </row>
    <row r="468" spans="1:22" x14ac:dyDescent="0.3">
      <c r="A468" s="1">
        <f t="shared" si="399"/>
        <v>11227</v>
      </c>
      <c r="B468" s="9"/>
      <c r="C468" s="9"/>
      <c r="D468" s="9"/>
      <c r="E468" s="9"/>
      <c r="F468" s="9"/>
      <c r="G468" s="9"/>
      <c r="H468" s="9"/>
      <c r="J468" s="24" t="str">
        <f t="shared" ref="J468" si="421">CONCATENATE(K465,3)</f>
        <v>73</v>
      </c>
      <c r="K468" s="6" t="e">
        <v>#VALUE!</v>
      </c>
      <c r="L468" s="6" t="e">
        <v>#VALUE!</v>
      </c>
      <c r="M468" s="6" t="e">
        <v>#VALUE!</v>
      </c>
      <c r="N468" s="6" t="e">
        <v>#VALUE!</v>
      </c>
      <c r="O468" s="6" t="e">
        <v>#VALUE!</v>
      </c>
      <c r="P468" s="6" t="e">
        <v>#VALUE!</v>
      </c>
      <c r="T468" s="9"/>
      <c r="U468" s="1">
        <f t="shared" si="370"/>
        <v>11</v>
      </c>
      <c r="V468" s="1">
        <f t="shared" si="371"/>
        <v>227</v>
      </c>
    </row>
    <row r="469" spans="1:22" x14ac:dyDescent="0.3">
      <c r="A469" s="1">
        <f t="shared" si="399"/>
        <v>11228</v>
      </c>
      <c r="B469" s="87" t="s">
        <v>33</v>
      </c>
      <c r="C469" s="88"/>
      <c r="D469" s="88"/>
      <c r="E469" s="88"/>
      <c r="F469" s="88"/>
      <c r="G469" s="88"/>
      <c r="H469" s="89"/>
      <c r="K469" s="1">
        <v>8</v>
      </c>
      <c r="L469" s="1">
        <v>8</v>
      </c>
      <c r="M469" s="1">
        <v>8</v>
      </c>
      <c r="N469" s="1">
        <v>8</v>
      </c>
      <c r="O469" s="1">
        <v>8</v>
      </c>
      <c r="P469" s="1">
        <v>8</v>
      </c>
      <c r="Q469" s="1">
        <v>8</v>
      </c>
      <c r="T469" s="9"/>
      <c r="U469" s="1">
        <f t="shared" si="370"/>
        <v>11</v>
      </c>
      <c r="V469" s="1">
        <f t="shared" si="371"/>
        <v>228</v>
      </c>
    </row>
    <row r="470" spans="1:22" x14ac:dyDescent="0.3">
      <c r="A470" s="1">
        <f t="shared" si="399"/>
        <v>11229</v>
      </c>
      <c r="B470" s="90"/>
      <c r="C470" s="91"/>
      <c r="D470" s="91"/>
      <c r="E470" s="91"/>
      <c r="F470" s="91"/>
      <c r="G470" s="91"/>
      <c r="H470" s="92"/>
      <c r="J470" s="24" t="str">
        <f t="shared" ref="J470" si="422">CONCATENATE(K469,1)</f>
        <v>81</v>
      </c>
      <c r="K470" s="6" t="e">
        <f t="array" ref="K470:Q472">LINEST(B458:B465,C458:C465^{1,2,3,4,5,6},TRUE,TRUE)</f>
        <v>#VALUE!</v>
      </c>
      <c r="L470" s="6" t="e">
        <v>#VALUE!</v>
      </c>
      <c r="M470" s="6" t="e">
        <v>#VALUE!</v>
      </c>
      <c r="N470" s="6" t="e">
        <v>#VALUE!</v>
      </c>
      <c r="O470" s="6" t="e">
        <v>#VALUE!</v>
      </c>
      <c r="P470" s="6" t="e">
        <v>#VALUE!</v>
      </c>
      <c r="Q470" s="6" t="e">
        <v>#VALUE!</v>
      </c>
      <c r="T470" s="9"/>
      <c r="U470" s="1">
        <f t="shared" si="370"/>
        <v>11</v>
      </c>
      <c r="V470" s="1">
        <f t="shared" si="371"/>
        <v>229</v>
      </c>
    </row>
    <row r="471" spans="1:22" x14ac:dyDescent="0.3">
      <c r="A471" s="1">
        <f t="shared" si="399"/>
        <v>11230</v>
      </c>
      <c r="B471" s="93"/>
      <c r="C471" s="94"/>
      <c r="D471" s="94"/>
      <c r="E471" s="94"/>
      <c r="F471" s="94"/>
      <c r="G471" s="94"/>
      <c r="H471" s="95"/>
      <c r="J471" s="24" t="str">
        <f t="shared" ref="J471" si="423">CONCATENATE(K469,2)</f>
        <v>82</v>
      </c>
      <c r="K471" s="6" t="e">
        <v>#VALUE!</v>
      </c>
      <c r="L471" s="6" t="e">
        <v>#VALUE!</v>
      </c>
      <c r="M471" s="6" t="e">
        <v>#VALUE!</v>
      </c>
      <c r="N471" s="6" t="e">
        <v>#VALUE!</v>
      </c>
      <c r="O471" s="6" t="e">
        <v>#VALUE!</v>
      </c>
      <c r="P471" s="6" t="e">
        <v>#VALUE!</v>
      </c>
      <c r="Q471" s="6" t="e">
        <v>#VALUE!</v>
      </c>
      <c r="T471" s="9"/>
      <c r="U471" s="1">
        <f t="shared" si="370"/>
        <v>11</v>
      </c>
      <c r="V471" s="1">
        <f t="shared" si="371"/>
        <v>230</v>
      </c>
    </row>
    <row r="472" spans="1:22" x14ac:dyDescent="0.3">
      <c r="A472" s="1">
        <f t="shared" si="399"/>
        <v>11231</v>
      </c>
      <c r="J472" s="24" t="str">
        <f t="shared" ref="J472" si="424">CONCATENATE(K469,3)</f>
        <v>83</v>
      </c>
      <c r="K472" s="6" t="e">
        <v>#VALUE!</v>
      </c>
      <c r="L472" s="6" t="e">
        <v>#VALUE!</v>
      </c>
      <c r="M472" s="6" t="e">
        <v>#VALUE!</v>
      </c>
      <c r="N472" s="6" t="e">
        <v>#VALUE!</v>
      </c>
      <c r="O472" s="6" t="e">
        <v>#VALUE!</v>
      </c>
      <c r="P472" s="6" t="e">
        <v>#VALUE!</v>
      </c>
      <c r="Q472" s="6" t="e">
        <v>#VALUE!</v>
      </c>
      <c r="T472" s="9"/>
      <c r="U472" s="1">
        <f t="shared" si="370"/>
        <v>11</v>
      </c>
      <c r="V472" s="1">
        <f t="shared" si="371"/>
        <v>231</v>
      </c>
    </row>
    <row r="473" spans="1:22" ht="15" customHeight="1" x14ac:dyDescent="0.3">
      <c r="A473" s="1">
        <f t="shared" si="399"/>
        <v>11232</v>
      </c>
      <c r="B473" s="10" t="s">
        <v>34</v>
      </c>
      <c r="C473" s="10" t="s">
        <v>35</v>
      </c>
      <c r="D473" s="10" t="s">
        <v>36</v>
      </c>
      <c r="E473" s="74" t="s">
        <v>127</v>
      </c>
      <c r="F473" s="75"/>
      <c r="G473" s="76"/>
      <c r="H473" s="6" t="s">
        <v>128</v>
      </c>
      <c r="K473" s="1">
        <v>9</v>
      </c>
      <c r="L473" s="1">
        <v>9</v>
      </c>
      <c r="M473" s="1">
        <v>9</v>
      </c>
      <c r="N473" s="1">
        <v>9</v>
      </c>
      <c r="O473" s="1">
        <v>9</v>
      </c>
      <c r="P473" s="1">
        <v>9</v>
      </c>
      <c r="Q473" s="1">
        <v>9</v>
      </c>
      <c r="R473" s="1">
        <v>9</v>
      </c>
      <c r="T473" s="9"/>
      <c r="U473" s="1">
        <f t="shared" si="370"/>
        <v>11</v>
      </c>
      <c r="V473" s="1">
        <f t="shared" si="371"/>
        <v>232</v>
      </c>
    </row>
    <row r="474" spans="1:22" x14ac:dyDescent="0.3">
      <c r="A474" s="1">
        <f t="shared" si="399"/>
        <v>11233</v>
      </c>
      <c r="B474" s="12">
        <f t="shared" ref="B474:B483" si="425">C458-B458</f>
        <v>0</v>
      </c>
      <c r="C474" s="13">
        <f t="shared" ref="C474:C483" si="426">H458-G458</f>
        <v>0</v>
      </c>
      <c r="D474" s="10">
        <f>C474-B474</f>
        <v>0</v>
      </c>
      <c r="E474" s="44" t="str">
        <f>IF(D449="","",SQRT(SUMSQ((H474/SQRT(3)),(H476/SQRT(3))))*2)</f>
        <v/>
      </c>
      <c r="F474" s="10">
        <f>ABS(MIN(D474:D483))</f>
        <v>0</v>
      </c>
      <c r="G474" s="10">
        <f>ABS(MAX(D474:D483))</f>
        <v>0</v>
      </c>
      <c r="H474" s="6" t="str">
        <f>IF(D449="","",MAX(F474,G474))</f>
        <v/>
      </c>
      <c r="J474" s="24" t="str">
        <f t="shared" ref="J474" si="427">CONCATENATE(K473,1)</f>
        <v>91</v>
      </c>
      <c r="K474" s="6" t="e">
        <f t="array" ref="K474:R476">LINEST(B458:B466,C458:C466^{1,2,3,4,5,6,7},TRUE,TRUE)</f>
        <v>#VALUE!</v>
      </c>
      <c r="L474" s="6" t="e">
        <v>#VALUE!</v>
      </c>
      <c r="M474" s="6" t="e">
        <v>#VALUE!</v>
      </c>
      <c r="N474" s="6" t="e">
        <v>#VALUE!</v>
      </c>
      <c r="O474" s="6" t="e">
        <v>#VALUE!</v>
      </c>
      <c r="P474" s="6" t="e">
        <v>#VALUE!</v>
      </c>
      <c r="Q474" s="6" t="e">
        <v>#VALUE!</v>
      </c>
      <c r="R474" s="6" t="e">
        <v>#VALUE!</v>
      </c>
      <c r="T474" s="9"/>
      <c r="U474" s="1">
        <f t="shared" si="370"/>
        <v>11</v>
      </c>
      <c r="V474" s="1">
        <f t="shared" si="371"/>
        <v>233</v>
      </c>
    </row>
    <row r="475" spans="1:22" x14ac:dyDescent="0.3">
      <c r="A475" s="1">
        <f t="shared" si="399"/>
        <v>11234</v>
      </c>
      <c r="B475" s="12">
        <f t="shared" si="425"/>
        <v>0</v>
      </c>
      <c r="C475" s="13">
        <f t="shared" si="426"/>
        <v>0</v>
      </c>
      <c r="D475" s="10">
        <f t="shared" ref="D475:D483" si="428">C475-B475</f>
        <v>0</v>
      </c>
      <c r="E475" s="74" t="s">
        <v>38</v>
      </c>
      <c r="F475" s="75"/>
      <c r="G475" s="76"/>
      <c r="H475" s="6" t="s">
        <v>129</v>
      </c>
      <c r="J475" s="24" t="str">
        <f t="shared" ref="J475" si="429">CONCATENATE(K473,2)</f>
        <v>92</v>
      </c>
      <c r="K475" s="6" t="e">
        <v>#VALUE!</v>
      </c>
      <c r="L475" s="6" t="e">
        <v>#VALUE!</v>
      </c>
      <c r="M475" s="6" t="e">
        <v>#VALUE!</v>
      </c>
      <c r="N475" s="6" t="e">
        <v>#VALUE!</v>
      </c>
      <c r="O475" s="6" t="e">
        <v>#VALUE!</v>
      </c>
      <c r="P475" s="6" t="e">
        <v>#VALUE!</v>
      </c>
      <c r="Q475" s="6" t="e">
        <v>#VALUE!</v>
      </c>
      <c r="R475" s="6" t="e">
        <v>#VALUE!</v>
      </c>
      <c r="T475" s="9"/>
      <c r="U475" s="1">
        <f t="shared" ref="U475:U538" si="430">U474</f>
        <v>11</v>
      </c>
      <c r="V475" s="1">
        <f t="shared" ref="V475:V538" si="431">V474+1</f>
        <v>234</v>
      </c>
    </row>
    <row r="476" spans="1:22" x14ac:dyDescent="0.3">
      <c r="A476" s="1">
        <f t="shared" si="399"/>
        <v>11235</v>
      </c>
      <c r="B476" s="12">
        <f t="shared" si="425"/>
        <v>0</v>
      </c>
      <c r="C476" s="13">
        <f t="shared" si="426"/>
        <v>0</v>
      </c>
      <c r="D476" s="10">
        <f t="shared" si="428"/>
        <v>0</v>
      </c>
      <c r="E476" s="11" t="str">
        <f>IF(D449="","",MAX(F476,G476))</f>
        <v/>
      </c>
      <c r="F476" s="10">
        <f>ABS(MIN(B474:B483))</f>
        <v>0</v>
      </c>
      <c r="G476" s="10">
        <f>ABS(MAX(B474:B483))</f>
        <v>0</v>
      </c>
      <c r="H476" s="6">
        <f>Planilha1!L31</f>
        <v>0.5</v>
      </c>
      <c r="J476" s="24" t="str">
        <f t="shared" ref="J476" si="432">CONCATENATE(K473,3)</f>
        <v>93</v>
      </c>
      <c r="K476" s="6" t="e">
        <v>#VALUE!</v>
      </c>
      <c r="L476" s="6" t="e">
        <v>#VALUE!</v>
      </c>
      <c r="M476" s="6" t="e">
        <v>#VALUE!</v>
      </c>
      <c r="N476" s="6" t="e">
        <v>#VALUE!</v>
      </c>
      <c r="O476" s="6" t="e">
        <v>#VALUE!</v>
      </c>
      <c r="P476" s="6" t="e">
        <v>#VALUE!</v>
      </c>
      <c r="Q476" s="6" t="e">
        <v>#VALUE!</v>
      </c>
      <c r="R476" s="6" t="e">
        <v>#VALUE!</v>
      </c>
      <c r="T476" s="9"/>
      <c r="U476" s="1">
        <f t="shared" si="430"/>
        <v>11</v>
      </c>
      <c r="V476" s="1">
        <f t="shared" si="431"/>
        <v>235</v>
      </c>
    </row>
    <row r="477" spans="1:22" x14ac:dyDescent="0.3">
      <c r="A477" s="1">
        <f t="shared" si="399"/>
        <v>11236</v>
      </c>
      <c r="B477" s="12">
        <f t="shared" si="425"/>
        <v>0</v>
      </c>
      <c r="C477" s="13">
        <f t="shared" si="426"/>
        <v>0</v>
      </c>
      <c r="D477" s="10">
        <f t="shared" si="428"/>
        <v>0</v>
      </c>
      <c r="E477" s="74" t="s">
        <v>39</v>
      </c>
      <c r="F477" s="75"/>
      <c r="G477" s="76"/>
      <c r="K477" s="1">
        <v>10</v>
      </c>
      <c r="L477" s="1">
        <v>10</v>
      </c>
      <c r="M477" s="1">
        <v>10</v>
      </c>
      <c r="N477" s="1">
        <v>10</v>
      </c>
      <c r="O477" s="1">
        <v>10</v>
      </c>
      <c r="P477" s="1">
        <v>10</v>
      </c>
      <c r="Q477" s="1">
        <v>10</v>
      </c>
      <c r="R477" s="1">
        <v>10</v>
      </c>
      <c r="S477" s="1">
        <v>10</v>
      </c>
      <c r="T477" s="9"/>
      <c r="U477" s="1">
        <f t="shared" si="430"/>
        <v>11</v>
      </c>
      <c r="V477" s="1">
        <f t="shared" si="431"/>
        <v>236</v>
      </c>
    </row>
    <row r="478" spans="1:22" x14ac:dyDescent="0.3">
      <c r="A478" s="1">
        <f t="shared" si="399"/>
        <v>11237</v>
      </c>
      <c r="B478" s="12">
        <f t="shared" si="425"/>
        <v>0</v>
      </c>
      <c r="C478" s="13">
        <f t="shared" si="426"/>
        <v>0</v>
      </c>
      <c r="D478" s="10">
        <f t="shared" si="428"/>
        <v>0</v>
      </c>
      <c r="E478" s="11" t="str">
        <f>IF(D449="","",MAX(F478,G478))</f>
        <v/>
      </c>
      <c r="F478" s="10">
        <f>ABS(MIN(D458:D467))</f>
        <v>0</v>
      </c>
      <c r="G478" s="10">
        <f>ABS(MAX(D458:D467))</f>
        <v>0</v>
      </c>
      <c r="J478" s="24" t="str">
        <f t="shared" ref="J478" si="433">CONCATENATE(K477,1)</f>
        <v>101</v>
      </c>
      <c r="K478" s="6" t="e">
        <f t="array" ref="K478:S480">LINEST(B458:B467,C458:C467^{1,2,3,4,5,6,7,8},TRUE,TRUE)</f>
        <v>#VALUE!</v>
      </c>
      <c r="L478" s="6" t="e">
        <v>#VALUE!</v>
      </c>
      <c r="M478" s="6" t="e">
        <v>#VALUE!</v>
      </c>
      <c r="N478" s="6" t="e">
        <v>#VALUE!</v>
      </c>
      <c r="O478" s="6" t="e">
        <v>#VALUE!</v>
      </c>
      <c r="P478" s="6" t="e">
        <v>#VALUE!</v>
      </c>
      <c r="Q478" s="6" t="e">
        <v>#VALUE!</v>
      </c>
      <c r="R478" s="6" t="e">
        <v>#VALUE!</v>
      </c>
      <c r="S478" s="6" t="e">
        <v>#VALUE!</v>
      </c>
      <c r="T478" s="9"/>
      <c r="U478" s="1">
        <f t="shared" si="430"/>
        <v>11</v>
      </c>
      <c r="V478" s="1">
        <f t="shared" si="431"/>
        <v>237</v>
      </c>
    </row>
    <row r="479" spans="1:22" x14ac:dyDescent="0.3">
      <c r="A479" s="1">
        <f t="shared" si="399"/>
        <v>11238</v>
      </c>
      <c r="B479" s="12">
        <f t="shared" si="425"/>
        <v>0</v>
      </c>
      <c r="C479" s="13">
        <f t="shared" si="426"/>
        <v>0</v>
      </c>
      <c r="D479" s="10">
        <f t="shared" si="428"/>
        <v>0</v>
      </c>
      <c r="J479" s="24" t="str">
        <f t="shared" ref="J479" si="434">CONCATENATE(K477,2)</f>
        <v>102</v>
      </c>
      <c r="K479" s="6" t="e">
        <v>#VALUE!</v>
      </c>
      <c r="L479" s="6" t="e">
        <v>#VALUE!</v>
      </c>
      <c r="M479" s="6" t="e">
        <v>#VALUE!</v>
      </c>
      <c r="N479" s="6" t="e">
        <v>#VALUE!</v>
      </c>
      <c r="O479" s="6" t="e">
        <v>#VALUE!</v>
      </c>
      <c r="P479" s="6" t="e">
        <v>#VALUE!</v>
      </c>
      <c r="Q479" s="6" t="e">
        <v>#VALUE!</v>
      </c>
      <c r="R479" s="6" t="e">
        <v>#VALUE!</v>
      </c>
      <c r="S479" s="6" t="e">
        <v>#VALUE!</v>
      </c>
      <c r="T479" s="9"/>
      <c r="U479" s="1">
        <f t="shared" si="430"/>
        <v>11</v>
      </c>
      <c r="V479" s="1">
        <f t="shared" si="431"/>
        <v>238</v>
      </c>
    </row>
    <row r="480" spans="1:22" x14ac:dyDescent="0.3">
      <c r="A480" s="1">
        <f t="shared" si="399"/>
        <v>11239</v>
      </c>
      <c r="B480" s="12">
        <f t="shared" si="425"/>
        <v>0</v>
      </c>
      <c r="C480" s="13">
        <f t="shared" si="426"/>
        <v>0</v>
      </c>
      <c r="D480" s="10">
        <f t="shared" si="428"/>
        <v>0</v>
      </c>
      <c r="J480" s="24" t="str">
        <f t="shared" ref="J480" si="435">CONCATENATE(K477,3)</f>
        <v>103</v>
      </c>
      <c r="K480" s="6" t="e">
        <v>#VALUE!</v>
      </c>
      <c r="L480" s="6" t="e">
        <v>#VALUE!</v>
      </c>
      <c r="M480" s="6" t="e">
        <v>#VALUE!</v>
      </c>
      <c r="N480" s="6" t="e">
        <v>#VALUE!</v>
      </c>
      <c r="O480" s="6" t="e">
        <v>#VALUE!</v>
      </c>
      <c r="P480" s="6" t="e">
        <v>#VALUE!</v>
      </c>
      <c r="Q480" s="6" t="e">
        <v>#VALUE!</v>
      </c>
      <c r="R480" s="6" t="e">
        <v>#VALUE!</v>
      </c>
      <c r="S480" s="6" t="e">
        <v>#VALUE!</v>
      </c>
      <c r="T480" s="9"/>
      <c r="U480" s="1">
        <f t="shared" si="430"/>
        <v>11</v>
      </c>
      <c r="V480" s="1">
        <f t="shared" si="431"/>
        <v>239</v>
      </c>
    </row>
    <row r="481" spans="1:22" x14ac:dyDescent="0.3">
      <c r="A481" s="1">
        <f t="shared" si="399"/>
        <v>11240</v>
      </c>
      <c r="B481" s="12">
        <f t="shared" si="425"/>
        <v>0</v>
      </c>
      <c r="C481" s="13">
        <f t="shared" si="426"/>
        <v>0</v>
      </c>
      <c r="D481" s="10">
        <f t="shared" si="428"/>
        <v>0</v>
      </c>
      <c r="J481" s="9"/>
      <c r="K481" s="9"/>
      <c r="L481" s="9"/>
      <c r="M481" s="9"/>
      <c r="N481" s="9"/>
      <c r="O481" s="9"/>
      <c r="P481" s="9"/>
      <c r="Q481" s="9"/>
      <c r="R481" s="9"/>
      <c r="S481" s="9"/>
      <c r="T481" s="9"/>
      <c r="U481" s="1">
        <f t="shared" si="430"/>
        <v>11</v>
      </c>
      <c r="V481" s="1">
        <f t="shared" si="431"/>
        <v>240</v>
      </c>
    </row>
    <row r="482" spans="1:22" x14ac:dyDescent="0.3">
      <c r="A482" s="1">
        <f t="shared" si="399"/>
        <v>11241</v>
      </c>
      <c r="B482" s="12">
        <f t="shared" si="425"/>
        <v>0</v>
      </c>
      <c r="C482" s="13">
        <f t="shared" si="426"/>
        <v>0</v>
      </c>
      <c r="D482" s="10">
        <f t="shared" si="428"/>
        <v>0</v>
      </c>
      <c r="J482" s="9"/>
      <c r="K482" s="9"/>
      <c r="L482" s="9"/>
      <c r="M482" s="9"/>
      <c r="N482" s="9"/>
      <c r="O482" s="9"/>
      <c r="P482" s="9"/>
      <c r="Q482" s="9"/>
      <c r="R482" s="9"/>
      <c r="S482" s="9"/>
      <c r="T482" s="9"/>
      <c r="U482" s="1">
        <f t="shared" si="430"/>
        <v>11</v>
      </c>
      <c r="V482" s="1">
        <f t="shared" si="431"/>
        <v>241</v>
      </c>
    </row>
    <row r="483" spans="1:22" x14ac:dyDescent="0.3">
      <c r="A483" s="1">
        <f t="shared" si="399"/>
        <v>11242</v>
      </c>
      <c r="B483" s="12">
        <f t="shared" si="425"/>
        <v>0</v>
      </c>
      <c r="C483" s="13">
        <f t="shared" si="426"/>
        <v>0</v>
      </c>
      <c r="D483" s="10">
        <f t="shared" si="428"/>
        <v>0</v>
      </c>
      <c r="J483" s="9"/>
      <c r="K483" s="9"/>
      <c r="L483" s="9"/>
      <c r="M483" s="9"/>
      <c r="N483" s="9"/>
      <c r="O483" s="9"/>
      <c r="P483" s="9"/>
      <c r="Q483" s="9"/>
      <c r="R483" s="9"/>
      <c r="S483" s="9"/>
      <c r="T483" s="9"/>
      <c r="U483" s="1">
        <f t="shared" si="430"/>
        <v>11</v>
      </c>
      <c r="V483" s="1">
        <f t="shared" si="431"/>
        <v>242</v>
      </c>
    </row>
    <row r="484" spans="1:22" x14ac:dyDescent="0.3">
      <c r="A484" s="1">
        <f t="shared" si="399"/>
        <v>11243</v>
      </c>
      <c r="J484" s="9"/>
      <c r="K484" s="9"/>
      <c r="L484" s="9"/>
      <c r="M484" s="9"/>
      <c r="N484" s="9"/>
      <c r="O484" s="9"/>
      <c r="P484" s="9"/>
      <c r="Q484" s="9"/>
      <c r="R484" s="9"/>
      <c r="S484" s="9"/>
      <c r="T484" s="9"/>
      <c r="U484" s="1">
        <f t="shared" si="430"/>
        <v>11</v>
      </c>
      <c r="V484" s="1">
        <f t="shared" si="431"/>
        <v>243</v>
      </c>
    </row>
    <row r="485" spans="1:22" s="5" customFormat="1" x14ac:dyDescent="0.3"/>
    <row r="486" spans="1:22" x14ac:dyDescent="0.3">
      <c r="A486" s="1">
        <f t="shared" ref="A486:A528" si="436">ROUND(CONCATENATE(U486,V486),0)</f>
        <v>12201</v>
      </c>
      <c r="B486" s="96" t="s">
        <v>0</v>
      </c>
      <c r="C486" s="97"/>
      <c r="D486" s="98" t="s">
        <v>68</v>
      </c>
      <c r="E486" s="99"/>
      <c r="F486" s="99"/>
      <c r="G486" s="99"/>
      <c r="H486" s="100"/>
      <c r="J486" s="9"/>
      <c r="K486" s="9"/>
      <c r="L486" s="9"/>
      <c r="M486" s="9"/>
      <c r="N486" s="9"/>
      <c r="O486" s="9"/>
      <c r="P486" s="9"/>
      <c r="Q486" s="9"/>
      <c r="R486" s="9"/>
      <c r="S486" s="9"/>
      <c r="T486" s="9"/>
      <c r="U486" s="1">
        <f t="shared" ref="U486" si="437">U484+1</f>
        <v>12</v>
      </c>
      <c r="V486" s="1">
        <v>201</v>
      </c>
    </row>
    <row r="487" spans="1:22" x14ac:dyDescent="0.3">
      <c r="A487" s="1">
        <f t="shared" si="436"/>
        <v>12202</v>
      </c>
      <c r="B487" s="96" t="s">
        <v>1</v>
      </c>
      <c r="C487" s="97"/>
      <c r="D487" s="37" t="s">
        <v>70</v>
      </c>
      <c r="E487" s="16" t="s">
        <v>2</v>
      </c>
      <c r="F487" s="107"/>
      <c r="G487" s="108"/>
      <c r="H487" s="109"/>
      <c r="J487" s="9"/>
      <c r="K487" s="9"/>
      <c r="L487" s="9"/>
      <c r="M487" s="9"/>
      <c r="N487" s="9"/>
      <c r="O487" s="9"/>
      <c r="P487" s="9"/>
      <c r="Q487" s="9"/>
      <c r="R487" s="9"/>
      <c r="S487" s="9"/>
      <c r="T487" s="9"/>
      <c r="U487" s="1">
        <f t="shared" ref="U487" si="438">U486</f>
        <v>12</v>
      </c>
      <c r="V487" s="1">
        <f t="shared" ref="V487" si="439">V486+1</f>
        <v>202</v>
      </c>
    </row>
    <row r="488" spans="1:22" x14ac:dyDescent="0.3">
      <c r="A488" s="1">
        <f t="shared" si="436"/>
        <v>12203</v>
      </c>
      <c r="B488" s="96" t="s">
        <v>12</v>
      </c>
      <c r="C488" s="97"/>
      <c r="D488" s="98" t="s">
        <v>330</v>
      </c>
      <c r="E488" s="99"/>
      <c r="F488" s="99"/>
      <c r="G488" s="99"/>
      <c r="H488" s="100"/>
      <c r="K488" s="1" t="s">
        <v>3</v>
      </c>
      <c r="L488" s="1" t="s">
        <v>4</v>
      </c>
      <c r="M488" s="1" t="s">
        <v>5</v>
      </c>
      <c r="N488" s="1" t="s">
        <v>6</v>
      </c>
      <c r="O488" s="1" t="s">
        <v>7</v>
      </c>
      <c r="P488" s="1" t="s">
        <v>8</v>
      </c>
      <c r="Q488" s="1" t="s">
        <v>9</v>
      </c>
      <c r="R488" s="1" t="s">
        <v>10</v>
      </c>
      <c r="S488" s="1" t="s">
        <v>11</v>
      </c>
      <c r="T488" s="9"/>
      <c r="U488" s="1">
        <f t="shared" si="430"/>
        <v>12</v>
      </c>
      <c r="V488" s="1">
        <f t="shared" si="431"/>
        <v>203</v>
      </c>
    </row>
    <row r="489" spans="1:22" x14ac:dyDescent="0.3">
      <c r="A489" s="1">
        <f t="shared" si="436"/>
        <v>12204</v>
      </c>
      <c r="B489" s="96" t="s">
        <v>13</v>
      </c>
      <c r="C489" s="97"/>
      <c r="D489" s="110" t="s">
        <v>65</v>
      </c>
      <c r="E489" s="111"/>
      <c r="F489" s="111"/>
      <c r="G489" s="111"/>
      <c r="H489" s="112"/>
      <c r="J489" s="1">
        <f>COUNTA(B502:B511)</f>
        <v>7</v>
      </c>
      <c r="K489" s="1">
        <f t="shared" ref="K489" si="440">IF(L489-1&lt;2,0,L489-1)</f>
        <v>0</v>
      </c>
      <c r="L489" s="1">
        <f t="shared" ref="L489" si="441">IF(M489-1&lt;2,0,M489-1)</f>
        <v>0</v>
      </c>
      <c r="M489" s="1">
        <f t="shared" ref="M489" si="442">IF(N489-1&lt;2,0,N489-1)</f>
        <v>0</v>
      </c>
      <c r="N489" s="1">
        <f t="shared" ref="N489" si="443">IF(O489-1&lt;2,0,O489-1)</f>
        <v>2</v>
      </c>
      <c r="O489" s="1">
        <f t="shared" ref="O489" si="444">IF(P489-1&lt;2,0,P489-1)</f>
        <v>3</v>
      </c>
      <c r="P489" s="1">
        <f t="shared" ref="P489" si="445">IF(Q489-1&lt;2,0,Q489-1)</f>
        <v>4</v>
      </c>
      <c r="Q489" s="1">
        <f t="shared" ref="Q489" si="446">IF(R489-1&lt;2,0,R489-1)</f>
        <v>5</v>
      </c>
      <c r="R489" s="1">
        <f>IF(S489-1&lt;2,0,S489-1)</f>
        <v>6</v>
      </c>
      <c r="S489" s="1">
        <f>J489</f>
        <v>7</v>
      </c>
      <c r="T489" s="9"/>
      <c r="U489" s="1">
        <f t="shared" si="430"/>
        <v>12</v>
      </c>
      <c r="V489" s="1">
        <f t="shared" si="431"/>
        <v>204</v>
      </c>
    </row>
    <row r="490" spans="1:22" x14ac:dyDescent="0.3">
      <c r="A490" s="1">
        <f t="shared" si="436"/>
        <v>12205</v>
      </c>
      <c r="B490" s="96" t="s">
        <v>14</v>
      </c>
      <c r="C490" s="97"/>
      <c r="D490" s="110" t="s">
        <v>66</v>
      </c>
      <c r="E490" s="111"/>
      <c r="F490" s="111"/>
      <c r="G490" s="111"/>
      <c r="H490" s="112"/>
      <c r="J490" s="24" t="str">
        <f>CONCATENATE(J489,1)</f>
        <v>71</v>
      </c>
      <c r="K490" s="25">
        <f>IF(K489=0,0,VLOOKUP(J490,J494:S524,K489,FALSE))</f>
        <v>0</v>
      </c>
      <c r="L490" s="25">
        <f>IF(L489=0,0,VLOOKUP(J490,J494:S524,L489,FALSE))</f>
        <v>0</v>
      </c>
      <c r="M490" s="25">
        <f>IF(M489=0,0,VLOOKUP(J490,J494:S524,M489,FALSE))</f>
        <v>0</v>
      </c>
      <c r="N490" s="25">
        <f>IF(N489=0,0,VLOOKUP(J490,J494:S524,N489,FALSE))</f>
        <v>-9.4674692167357336E-9</v>
      </c>
      <c r="O490" s="25">
        <f>IF(O489=0,0,VLOOKUP(J490,J494:S524,O489,FALSE))</f>
        <v>-1.9958038609525072E-6</v>
      </c>
      <c r="P490" s="25">
        <f>IF(P489=0,0,VLOOKUP(J490,J494:S524,P489,FALSE))</f>
        <v>-1.4769373489171385E-4</v>
      </c>
      <c r="Q490" s="25">
        <f>IF(Q489=0,0,VLOOKUP(J490,J494:S524,Q489,FALSE))</f>
        <v>-4.8624460398508538E-3</v>
      </c>
      <c r="R490" s="25">
        <f>IF(R489=0,0,VLOOKUP(J490,J494:S524,R489,FALSE))</f>
        <v>0.92755887727692632</v>
      </c>
      <c r="S490" s="25">
        <f>IF(S489=0,0,VLOOKUP(J490,J494:S524,S489,FALSE))</f>
        <v>-1.5552394150979905</v>
      </c>
      <c r="T490" s="9"/>
      <c r="U490" s="1">
        <f t="shared" si="430"/>
        <v>12</v>
      </c>
      <c r="V490" s="1">
        <f t="shared" si="431"/>
        <v>205</v>
      </c>
    </row>
    <row r="491" spans="1:22" x14ac:dyDescent="0.3">
      <c r="A491" s="1">
        <f t="shared" si="436"/>
        <v>12206</v>
      </c>
      <c r="B491" s="96" t="s">
        <v>15</v>
      </c>
      <c r="C491" s="97"/>
      <c r="D491" s="110" t="s">
        <v>331</v>
      </c>
      <c r="E491" s="111"/>
      <c r="F491" s="111"/>
      <c r="G491" s="111"/>
      <c r="H491" s="112"/>
      <c r="J491" s="24" t="str">
        <f>CONCATENATE(J489,2)</f>
        <v>72</v>
      </c>
      <c r="K491" s="6">
        <f>IF(K489=0,0,VLOOKUP(J491,J494:S524,K489,FALSE))</f>
        <v>0</v>
      </c>
      <c r="L491" s="6">
        <f>IF(L489=0,0,VLOOKUP(J491,J494:S524,L489,FALSE))</f>
        <v>0</v>
      </c>
      <c r="M491" s="6">
        <f>IF(M489=0,0,VLOOKUP(J491,J494:S524,M489,FALSE))</f>
        <v>0</v>
      </c>
      <c r="N491" s="6">
        <f>IF(N489=0,0,VLOOKUP(J491,J494:S524,N489,FALSE))</f>
        <v>2.8654808389266884E-8</v>
      </c>
      <c r="O491" s="6">
        <f>IF(O489=0,0,VLOOKUP(J491,J494:S524,O489,FALSE))</f>
        <v>4.1131907730842935E-6</v>
      </c>
      <c r="P491" s="6">
        <f>IF(P489=0,0,VLOOKUP(J491,J494:S524,P489,FALSE))</f>
        <v>2.0464329955040267E-4</v>
      </c>
      <c r="Q491" s="6">
        <f>IF(Q489=0,0,VLOOKUP(J491,J494:S524,Q489,FALSE))</f>
        <v>4.064595715666126E-3</v>
      </c>
      <c r="R491" s="6">
        <f>IF(R489=0,0,VLOOKUP(J491,J494:S524,R489,FALSE))</f>
        <v>2.5935104977579698E-2</v>
      </c>
      <c r="S491" s="6">
        <f>IF(S489=0,0,VLOOKUP(J491,J494:S524,S489,FALSE))</f>
        <v>7.3709329408463281E-2</v>
      </c>
      <c r="T491" s="9"/>
      <c r="U491" s="1">
        <f t="shared" si="430"/>
        <v>12</v>
      </c>
      <c r="V491" s="1">
        <f t="shared" si="431"/>
        <v>206</v>
      </c>
    </row>
    <row r="492" spans="1:22" x14ac:dyDescent="0.3">
      <c r="A492" s="1">
        <f t="shared" si="436"/>
        <v>12207</v>
      </c>
      <c r="B492" s="96" t="s">
        <v>16</v>
      </c>
      <c r="C492" s="97"/>
      <c r="D492" s="113">
        <v>45748</v>
      </c>
      <c r="E492" s="114"/>
      <c r="F492" s="114"/>
      <c r="G492" s="114"/>
      <c r="H492" s="115"/>
      <c r="J492" s="24" t="str">
        <f>CONCATENATE(J489,3)</f>
        <v>73</v>
      </c>
      <c r="K492" s="6"/>
      <c r="L492" s="6"/>
      <c r="M492" s="6"/>
      <c r="N492" s="6" t="s">
        <v>43</v>
      </c>
      <c r="O492" s="25">
        <f>J489-2</f>
        <v>5</v>
      </c>
      <c r="P492" s="6" t="s">
        <v>44</v>
      </c>
      <c r="Q492" s="25">
        <f>VLOOKUP(J492,J494:S524,3,FALSE)</f>
        <v>7.6745049498854967E-2</v>
      </c>
      <c r="R492" s="6" t="s">
        <v>45</v>
      </c>
      <c r="S492" s="6">
        <f>VLOOKUP(J492,J494:S524,2,FALSE)</f>
        <v>0.99999789649906334</v>
      </c>
      <c r="T492" s="9"/>
      <c r="U492" s="1">
        <f t="shared" si="430"/>
        <v>12</v>
      </c>
      <c r="V492" s="1">
        <f t="shared" si="431"/>
        <v>207</v>
      </c>
    </row>
    <row r="493" spans="1:22" x14ac:dyDescent="0.3">
      <c r="A493" s="1">
        <f t="shared" si="436"/>
        <v>12208</v>
      </c>
      <c r="B493" s="96" t="s">
        <v>17</v>
      </c>
      <c r="C493" s="97"/>
      <c r="D493" s="116">
        <v>46142</v>
      </c>
      <c r="E493" s="117"/>
      <c r="F493" s="117"/>
      <c r="G493" s="117"/>
      <c r="H493" s="118"/>
      <c r="K493" s="1">
        <v>3</v>
      </c>
      <c r="L493" s="1">
        <v>3</v>
      </c>
      <c r="Q493" s="26"/>
      <c r="R493" s="26"/>
      <c r="S493" s="26"/>
      <c r="T493" s="9"/>
      <c r="U493" s="1">
        <f t="shared" si="430"/>
        <v>12</v>
      </c>
      <c r="V493" s="1">
        <f t="shared" si="431"/>
        <v>208</v>
      </c>
    </row>
    <row r="494" spans="1:22" x14ac:dyDescent="0.3">
      <c r="A494" s="1">
        <f t="shared" si="436"/>
        <v>12209</v>
      </c>
      <c r="B494" s="77" t="s">
        <v>19</v>
      </c>
      <c r="C494" s="78"/>
      <c r="D494" s="17">
        <v>0.01</v>
      </c>
      <c r="E494" s="79" t="s">
        <v>40</v>
      </c>
      <c r="F494" s="80"/>
      <c r="G494" s="81"/>
      <c r="H494" s="18" t="s">
        <v>71</v>
      </c>
      <c r="J494" s="24" t="str">
        <f>CONCATENATE(K493,1)</f>
        <v>31</v>
      </c>
      <c r="K494" s="6">
        <f t="array" ref="K494:L496">LINEST(B502:B504,C502:C504^{1},TRUE,TRUE)</f>
        <v>1.0095869136606979</v>
      </c>
      <c r="L494" s="6">
        <v>-0.70523629566033463</v>
      </c>
      <c r="Q494" s="9"/>
      <c r="R494" s="9"/>
      <c r="S494" s="9"/>
      <c r="T494" s="9"/>
      <c r="U494" s="1">
        <f t="shared" si="430"/>
        <v>12</v>
      </c>
      <c r="V494" s="1">
        <f t="shared" si="431"/>
        <v>209</v>
      </c>
    </row>
    <row r="495" spans="1:22" x14ac:dyDescent="0.3">
      <c r="A495" s="1">
        <f t="shared" si="436"/>
        <v>12210</v>
      </c>
      <c r="B495" s="77" t="s">
        <v>41</v>
      </c>
      <c r="C495" s="78"/>
      <c r="D495" s="23">
        <f>MIN(B502:B511)</f>
        <v>-60</v>
      </c>
      <c r="E495" s="20" t="s">
        <v>18</v>
      </c>
      <c r="F495" s="19">
        <f>MAX(B502:B511)</f>
        <v>0</v>
      </c>
      <c r="G495" s="21" t="str">
        <f>IF(H494="","",H494)</f>
        <v>°CTd/f</v>
      </c>
      <c r="H495" s="22"/>
      <c r="J495" s="24" t="str">
        <f>CONCATENATE(K493,2)</f>
        <v>32</v>
      </c>
      <c r="K495" s="6">
        <v>2.059665287534864E-3</v>
      </c>
      <c r="L495" s="6">
        <v>0.10193677967828643</v>
      </c>
      <c r="Q495" s="9"/>
      <c r="R495" s="9"/>
      <c r="S495" s="9"/>
      <c r="T495" s="9"/>
      <c r="U495" s="1">
        <f t="shared" si="430"/>
        <v>12</v>
      </c>
      <c r="V495" s="1">
        <f t="shared" si="431"/>
        <v>210</v>
      </c>
    </row>
    <row r="496" spans="1:22" x14ac:dyDescent="0.3">
      <c r="A496" s="1">
        <f t="shared" si="436"/>
        <v>12211</v>
      </c>
      <c r="J496" s="24" t="str">
        <f>CONCATENATE(K493,3)</f>
        <v>33</v>
      </c>
      <c r="K496" s="6">
        <v>0.99999583798092129</v>
      </c>
      <c r="L496" s="6">
        <v>2.8851409250489013E-2</v>
      </c>
      <c r="Q496" s="9"/>
      <c r="R496" s="9"/>
      <c r="S496" s="9"/>
      <c r="T496" s="9"/>
      <c r="U496" s="1">
        <f t="shared" si="430"/>
        <v>12</v>
      </c>
      <c r="V496" s="1">
        <f t="shared" si="431"/>
        <v>211</v>
      </c>
    </row>
    <row r="497" spans="1:22" x14ac:dyDescent="0.3">
      <c r="A497" s="1">
        <f t="shared" si="436"/>
        <v>12212</v>
      </c>
      <c r="B497" s="82" t="s">
        <v>20</v>
      </c>
      <c r="C497" s="83"/>
      <c r="D497" s="83"/>
      <c r="E497" s="83"/>
      <c r="F497" s="84"/>
      <c r="G497" s="85" t="s">
        <v>31</v>
      </c>
      <c r="H497" s="86"/>
      <c r="K497" s="1">
        <v>4</v>
      </c>
      <c r="L497" s="1">
        <v>4</v>
      </c>
      <c r="M497" s="1">
        <v>4</v>
      </c>
      <c r="Q497" s="9"/>
      <c r="R497" s="9"/>
      <c r="S497" s="9"/>
      <c r="T497" s="9"/>
      <c r="U497" s="1">
        <f t="shared" si="430"/>
        <v>12</v>
      </c>
      <c r="V497" s="1">
        <f t="shared" si="431"/>
        <v>212</v>
      </c>
    </row>
    <row r="498" spans="1:22" x14ac:dyDescent="0.3">
      <c r="A498" s="1">
        <f t="shared" si="436"/>
        <v>12213</v>
      </c>
      <c r="B498" s="82" t="s">
        <v>30</v>
      </c>
      <c r="C498" s="83"/>
      <c r="D498" s="84"/>
      <c r="E498" s="82" t="str">
        <f>D491</f>
        <v>E0177/25</v>
      </c>
      <c r="F498" s="84"/>
      <c r="G498" s="6" t="s">
        <v>32</v>
      </c>
      <c r="H498" s="7" t="s">
        <v>207</v>
      </c>
      <c r="J498" s="24" t="str">
        <f t="shared" ref="J498" si="447">CONCATENATE(K497,1)</f>
        <v>41</v>
      </c>
      <c r="K498" s="6">
        <f t="array" ref="K498:M500">LINEST(B502:B505,C502:C505^{1,2},TRUE,TRUE)</f>
        <v>-6.3008073677506141E-4</v>
      </c>
      <c r="L498" s="6">
        <v>0.9475521263579616</v>
      </c>
      <c r="M498" s="6">
        <v>-2.1925585896063531</v>
      </c>
      <c r="Q498" s="9"/>
      <c r="R498" s="9"/>
      <c r="S498" s="9"/>
      <c r="T498" s="9"/>
      <c r="U498" s="1">
        <f t="shared" si="430"/>
        <v>12</v>
      </c>
      <c r="V498" s="1">
        <f t="shared" si="431"/>
        <v>213</v>
      </c>
    </row>
    <row r="499" spans="1:22" x14ac:dyDescent="0.3">
      <c r="A499" s="1">
        <f t="shared" si="436"/>
        <v>12214</v>
      </c>
      <c r="B499" s="2" t="s">
        <v>21</v>
      </c>
      <c r="C499" s="2" t="s">
        <v>22</v>
      </c>
      <c r="D499" s="2" t="s">
        <v>23</v>
      </c>
      <c r="E499" s="2"/>
      <c r="F499" s="2" t="s">
        <v>28</v>
      </c>
      <c r="G499" s="2" t="s">
        <v>21</v>
      </c>
      <c r="H499" s="2" t="s">
        <v>22</v>
      </c>
      <c r="J499" s="24" t="str">
        <f t="shared" ref="J499" si="448">CONCATENATE(K497,2)</f>
        <v>42</v>
      </c>
      <c r="K499" s="6">
        <v>1.1851652252834118E-4</v>
      </c>
      <c r="L499" s="6">
        <v>1.0422317002855222E-2</v>
      </c>
      <c r="M499" s="6">
        <v>0.21737096542955178</v>
      </c>
      <c r="Q499" s="9"/>
      <c r="R499" s="9"/>
      <c r="S499" s="9"/>
      <c r="T499" s="9"/>
      <c r="U499" s="1">
        <f t="shared" si="430"/>
        <v>12</v>
      </c>
      <c r="V499" s="1">
        <f t="shared" si="431"/>
        <v>214</v>
      </c>
    </row>
    <row r="500" spans="1:22" x14ac:dyDescent="0.3">
      <c r="A500" s="1">
        <f t="shared" si="436"/>
        <v>12215</v>
      </c>
      <c r="B500" s="2" t="s">
        <v>24</v>
      </c>
      <c r="C500" s="2" t="s">
        <v>25</v>
      </c>
      <c r="D500" s="2" t="s">
        <v>26</v>
      </c>
      <c r="E500" s="2" t="s">
        <v>27</v>
      </c>
      <c r="F500" s="2" t="s">
        <v>29</v>
      </c>
      <c r="G500" s="2" t="s">
        <v>24</v>
      </c>
      <c r="H500" s="2" t="s">
        <v>25</v>
      </c>
      <c r="J500" s="24" t="str">
        <f t="shared" ref="J500" si="449">CONCATENATE(K497,3)</f>
        <v>43</v>
      </c>
      <c r="K500" s="6">
        <v>0.9999988848120468</v>
      </c>
      <c r="L500" s="6">
        <v>2.3613427888354188E-2</v>
      </c>
      <c r="M500" s="6" t="e">
        <v>#N/A</v>
      </c>
      <c r="Q500" s="9"/>
      <c r="R500" s="9"/>
      <c r="S500" s="9"/>
      <c r="T500" s="9"/>
      <c r="U500" s="1">
        <f t="shared" si="430"/>
        <v>12</v>
      </c>
      <c r="V500" s="1">
        <f t="shared" si="431"/>
        <v>215</v>
      </c>
    </row>
    <row r="501" spans="1:22" x14ac:dyDescent="0.3">
      <c r="A501" s="1">
        <f t="shared" si="436"/>
        <v>12216</v>
      </c>
      <c r="B501" s="3" t="str">
        <f>H494</f>
        <v>°CTd/f</v>
      </c>
      <c r="C501" s="3" t="str">
        <f>B501</f>
        <v>°CTd/f</v>
      </c>
      <c r="D501" s="3" t="str">
        <f>C501</f>
        <v>°CTd/f</v>
      </c>
      <c r="E501" s="3"/>
      <c r="F501" s="3"/>
      <c r="G501" s="3" t="str">
        <f>D501</f>
        <v>°CTd/f</v>
      </c>
      <c r="H501" s="3" t="str">
        <f>G501</f>
        <v>°CTd/f</v>
      </c>
      <c r="K501" s="1">
        <v>5</v>
      </c>
      <c r="L501" s="1">
        <v>5</v>
      </c>
      <c r="M501" s="1">
        <v>5</v>
      </c>
      <c r="N501" s="1">
        <v>5</v>
      </c>
      <c r="Q501" s="9"/>
      <c r="R501" s="9"/>
      <c r="S501" s="9"/>
      <c r="T501" s="9"/>
      <c r="U501" s="1">
        <f t="shared" si="430"/>
        <v>12</v>
      </c>
      <c r="V501" s="1">
        <f t="shared" si="431"/>
        <v>216</v>
      </c>
    </row>
    <row r="502" spans="1:22" x14ac:dyDescent="0.3">
      <c r="A502" s="1">
        <f t="shared" si="436"/>
        <v>12217</v>
      </c>
      <c r="B502" s="4">
        <v>-60</v>
      </c>
      <c r="C502" s="4">
        <v>-58.72</v>
      </c>
      <c r="D502" s="4">
        <v>0.26</v>
      </c>
      <c r="E502" s="4">
        <v>2</v>
      </c>
      <c r="F502" s="14">
        <v>1000000</v>
      </c>
      <c r="G502" s="8">
        <v>-59.98</v>
      </c>
      <c r="H502" s="7">
        <v>-58.71</v>
      </c>
      <c r="J502" s="24" t="str">
        <f t="shared" ref="J502" si="450">CONCATENATE(K501,1)</f>
        <v>51</v>
      </c>
      <c r="K502" s="6">
        <f t="array" ref="K502:N504">LINEST(B502:B506,C502:C506^{1,2,3},TRUE,TRUE)</f>
        <v>2.3789895409841442E-5</v>
      </c>
      <c r="L502" s="6">
        <v>2.5817891867723763E-3</v>
      </c>
      <c r="M502" s="6">
        <v>1.0874830984370012</v>
      </c>
      <c r="N502" s="6">
        <v>-0.23561927452382458</v>
      </c>
      <c r="Q502" s="9"/>
      <c r="R502" s="9"/>
      <c r="S502" s="9"/>
      <c r="T502" s="9"/>
      <c r="U502" s="1">
        <f t="shared" si="430"/>
        <v>12</v>
      </c>
      <c r="V502" s="1">
        <f t="shared" si="431"/>
        <v>217</v>
      </c>
    </row>
    <row r="503" spans="1:22" x14ac:dyDescent="0.3">
      <c r="A503" s="1">
        <f t="shared" si="436"/>
        <v>12218</v>
      </c>
      <c r="B503" s="4">
        <v>-50</v>
      </c>
      <c r="C503" s="4">
        <v>-48.85</v>
      </c>
      <c r="D503" s="4">
        <v>0.26</v>
      </c>
      <c r="E503" s="4">
        <v>2</v>
      </c>
      <c r="F503" s="14">
        <v>1000000</v>
      </c>
      <c r="G503" s="8">
        <v>-50</v>
      </c>
      <c r="H503" s="7">
        <v>-48.9</v>
      </c>
      <c r="J503" s="24" t="str">
        <f t="shared" ref="J503" si="451">CONCATENATE(K501,2)</f>
        <v>52</v>
      </c>
      <c r="K503" s="6">
        <v>1.573576756595007E-5</v>
      </c>
      <c r="L503" s="6">
        <v>1.8392086676341463E-3</v>
      </c>
      <c r="M503" s="6">
        <v>6.6994523547451515E-2</v>
      </c>
      <c r="N503" s="6">
        <v>0.7479010427170335</v>
      </c>
      <c r="T503" s="9"/>
      <c r="U503" s="1">
        <f t="shared" si="430"/>
        <v>12</v>
      </c>
      <c r="V503" s="1">
        <f t="shared" si="431"/>
        <v>218</v>
      </c>
    </row>
    <row r="504" spans="1:22" x14ac:dyDescent="0.3">
      <c r="A504" s="1">
        <f t="shared" si="436"/>
        <v>12219</v>
      </c>
      <c r="B504" s="4">
        <v>-40</v>
      </c>
      <c r="C504" s="4">
        <v>-38.909999999999997</v>
      </c>
      <c r="D504" s="4">
        <v>0.27</v>
      </c>
      <c r="E504" s="4">
        <v>2</v>
      </c>
      <c r="F504" s="14">
        <v>1000000</v>
      </c>
      <c r="G504" s="8">
        <v>-40.01</v>
      </c>
      <c r="H504" s="7">
        <v>-38.950000000000003</v>
      </c>
      <c r="J504" s="24" t="str">
        <f t="shared" ref="J504" si="452">CONCATENATE(K501,3)</f>
        <v>53</v>
      </c>
      <c r="K504" s="6">
        <v>0.99999651274952861</v>
      </c>
      <c r="L504" s="6">
        <v>5.9052946339184065E-2</v>
      </c>
      <c r="M504" s="6" t="e">
        <v>#N/A</v>
      </c>
      <c r="N504" s="6" t="e">
        <v>#N/A</v>
      </c>
      <c r="T504" s="9"/>
      <c r="U504" s="1">
        <f t="shared" si="430"/>
        <v>12</v>
      </c>
      <c r="V504" s="1">
        <f t="shared" si="431"/>
        <v>219</v>
      </c>
    </row>
    <row r="505" spans="1:22" x14ac:dyDescent="0.3">
      <c r="A505" s="1">
        <f t="shared" si="436"/>
        <v>12220</v>
      </c>
      <c r="B505" s="4">
        <v>-30</v>
      </c>
      <c r="C505" s="4">
        <v>-28.79</v>
      </c>
      <c r="D505" s="4">
        <v>0.27</v>
      </c>
      <c r="E505" s="4">
        <v>2</v>
      </c>
      <c r="F505" s="14">
        <v>1000000</v>
      </c>
      <c r="G505" s="8">
        <v>-30</v>
      </c>
      <c r="H505" s="7">
        <v>-28.76</v>
      </c>
      <c r="K505" s="1">
        <v>6</v>
      </c>
      <c r="L505" s="1">
        <v>6</v>
      </c>
      <c r="M505" s="1">
        <v>6</v>
      </c>
      <c r="N505" s="1">
        <v>6</v>
      </c>
      <c r="O505" s="1">
        <v>6</v>
      </c>
      <c r="T505" s="9"/>
      <c r="U505" s="1">
        <f t="shared" si="430"/>
        <v>12</v>
      </c>
      <c r="V505" s="1">
        <f t="shared" si="431"/>
        <v>220</v>
      </c>
    </row>
    <row r="506" spans="1:22" x14ac:dyDescent="0.3">
      <c r="A506" s="1">
        <f t="shared" si="436"/>
        <v>12221</v>
      </c>
      <c r="B506" s="4">
        <v>-20</v>
      </c>
      <c r="C506" s="4">
        <v>-18.88</v>
      </c>
      <c r="D506" s="4">
        <v>0.28000000000000003</v>
      </c>
      <c r="E506" s="4">
        <v>2</v>
      </c>
      <c r="F506" s="14">
        <v>1000000</v>
      </c>
      <c r="G506" s="8">
        <v>-20</v>
      </c>
      <c r="H506" s="7">
        <v>-18.899999999999999</v>
      </c>
      <c r="J506" s="24" t="str">
        <f t="shared" ref="J506" si="453">CONCATENATE(K505,1)</f>
        <v>61</v>
      </c>
      <c r="K506" s="6">
        <f t="array" ref="K506:O508">LINEST(B502:B507,C502:C507^{1,2,3,4},TRUE,TRUE)</f>
        <v>-6.149805321164459E-7</v>
      </c>
      <c r="L506" s="6">
        <v>-7.7681795013897058E-5</v>
      </c>
      <c r="M506" s="6">
        <v>-3.430201319974581E-3</v>
      </c>
      <c r="N506" s="6">
        <v>0.93742407746109468</v>
      </c>
      <c r="O506" s="6">
        <v>-1.548896719609786</v>
      </c>
      <c r="T506" s="9"/>
      <c r="U506" s="1">
        <f t="shared" si="430"/>
        <v>12</v>
      </c>
      <c r="V506" s="1">
        <f t="shared" si="431"/>
        <v>221</v>
      </c>
    </row>
    <row r="507" spans="1:22" x14ac:dyDescent="0.3">
      <c r="A507" s="1">
        <f t="shared" si="436"/>
        <v>12222</v>
      </c>
      <c r="B507" s="4">
        <v>-10</v>
      </c>
      <c r="C507" s="4">
        <v>-8.7799999999999994</v>
      </c>
      <c r="D507" s="4">
        <v>0.28000000000000003</v>
      </c>
      <c r="E507" s="4">
        <v>2</v>
      </c>
      <c r="F507" s="14">
        <v>1000000</v>
      </c>
      <c r="G507" s="8">
        <v>-10.01</v>
      </c>
      <c r="H507" s="7">
        <v>-8.77</v>
      </c>
      <c r="J507" s="24" t="str">
        <f t="shared" ref="J507" si="454">CONCATENATE(K505,2)</f>
        <v>62</v>
      </c>
      <c r="K507" s="6">
        <v>8.9780524239355423E-7</v>
      </c>
      <c r="L507" s="6">
        <v>1.2168554221122968E-4</v>
      </c>
      <c r="M507" s="6">
        <v>5.6285305089759617E-3</v>
      </c>
      <c r="N507" s="6">
        <v>0.10189066493088438</v>
      </c>
      <c r="O507" s="6">
        <v>0.57699895944242252</v>
      </c>
      <c r="T507" s="9"/>
      <c r="U507" s="1">
        <f t="shared" si="430"/>
        <v>12</v>
      </c>
      <c r="V507" s="1">
        <f t="shared" si="431"/>
        <v>222</v>
      </c>
    </row>
    <row r="508" spans="1:22" x14ac:dyDescent="0.3">
      <c r="A508" s="1">
        <f t="shared" si="436"/>
        <v>12223</v>
      </c>
      <c r="B508" s="4">
        <v>0</v>
      </c>
      <c r="C508" s="4">
        <v>1.69</v>
      </c>
      <c r="D508" s="4">
        <v>0.28000000000000003</v>
      </c>
      <c r="E508" s="4">
        <v>2</v>
      </c>
      <c r="F508" s="14">
        <v>1000000</v>
      </c>
      <c r="G508" s="8">
        <v>-0.02</v>
      </c>
      <c r="H508" s="7">
        <v>1.63</v>
      </c>
      <c r="J508" s="24" t="str">
        <f t="shared" ref="J508" si="455">CONCATENATE(K505,3)</f>
        <v>63</v>
      </c>
      <c r="K508" s="6">
        <v>0.99999627101516264</v>
      </c>
      <c r="L508" s="6">
        <v>8.0781950121096457E-2</v>
      </c>
      <c r="M508" s="6" t="e">
        <v>#N/A</v>
      </c>
      <c r="N508" s="6" t="e">
        <v>#N/A</v>
      </c>
      <c r="O508" s="6" t="e">
        <v>#N/A</v>
      </c>
      <c r="T508" s="9"/>
      <c r="U508" s="1">
        <f t="shared" si="430"/>
        <v>12</v>
      </c>
      <c r="V508" s="1">
        <f t="shared" si="431"/>
        <v>223</v>
      </c>
    </row>
    <row r="509" spans="1:22" x14ac:dyDescent="0.3">
      <c r="A509" s="1">
        <f t="shared" si="436"/>
        <v>12224</v>
      </c>
      <c r="B509" s="4"/>
      <c r="C509" s="4"/>
      <c r="D509" s="4"/>
      <c r="E509" s="4"/>
      <c r="F509" s="14"/>
      <c r="G509" s="8"/>
      <c r="H509" s="7"/>
      <c r="K509" s="1">
        <v>7</v>
      </c>
      <c r="L509" s="1">
        <v>7</v>
      </c>
      <c r="M509" s="1">
        <v>7</v>
      </c>
      <c r="N509" s="1">
        <v>7</v>
      </c>
      <c r="O509" s="1">
        <v>7</v>
      </c>
      <c r="P509" s="1">
        <v>7</v>
      </c>
      <c r="T509" s="9"/>
      <c r="U509" s="1">
        <f t="shared" si="430"/>
        <v>12</v>
      </c>
      <c r="V509" s="1">
        <f t="shared" si="431"/>
        <v>224</v>
      </c>
    </row>
    <row r="510" spans="1:22" x14ac:dyDescent="0.3">
      <c r="A510" s="1">
        <f t="shared" si="436"/>
        <v>12225</v>
      </c>
      <c r="B510" s="4"/>
      <c r="C510" s="4"/>
      <c r="D510" s="4"/>
      <c r="E510" s="4"/>
      <c r="F510" s="14"/>
      <c r="G510" s="8"/>
      <c r="H510" s="7"/>
      <c r="J510" s="24" t="str">
        <f t="shared" ref="J510" si="456">CONCATENATE(K509,1)</f>
        <v>71</v>
      </c>
      <c r="K510" s="6">
        <f t="array" ref="K510:P512">LINEST(B502:B508,C502:C508^{1,2,3,4,5},TRUE,TRUE)</f>
        <v>-9.4674692167357336E-9</v>
      </c>
      <c r="L510" s="6">
        <v>-1.9958038609525072E-6</v>
      </c>
      <c r="M510" s="6">
        <v>-1.4769373489171385E-4</v>
      </c>
      <c r="N510" s="6">
        <v>-4.8624460398508538E-3</v>
      </c>
      <c r="O510" s="6">
        <v>0.92755887727692632</v>
      </c>
      <c r="P510" s="6">
        <v>-1.5552394150979905</v>
      </c>
      <c r="T510" s="9"/>
      <c r="U510" s="1">
        <f t="shared" si="430"/>
        <v>12</v>
      </c>
      <c r="V510" s="1">
        <f t="shared" si="431"/>
        <v>225</v>
      </c>
    </row>
    <row r="511" spans="1:22" x14ac:dyDescent="0.3">
      <c r="A511" s="1">
        <f t="shared" si="436"/>
        <v>12226</v>
      </c>
      <c r="B511" s="4"/>
      <c r="C511" s="4"/>
      <c r="D511" s="4"/>
      <c r="E511" s="4"/>
      <c r="F511" s="14"/>
      <c r="G511" s="8"/>
      <c r="H511" s="7"/>
      <c r="J511" s="24" t="str">
        <f t="shared" ref="J511" si="457">CONCATENATE(K509,2)</f>
        <v>72</v>
      </c>
      <c r="K511" s="6">
        <v>2.8654808389266884E-8</v>
      </c>
      <c r="L511" s="6">
        <v>4.1131907730842935E-6</v>
      </c>
      <c r="M511" s="6">
        <v>2.0464329955040267E-4</v>
      </c>
      <c r="N511" s="6">
        <v>4.064595715666126E-3</v>
      </c>
      <c r="O511" s="6">
        <v>2.5935104977579698E-2</v>
      </c>
      <c r="P511" s="6">
        <v>7.3709329408463281E-2</v>
      </c>
      <c r="T511" s="9"/>
      <c r="U511" s="1">
        <f t="shared" si="430"/>
        <v>12</v>
      </c>
      <c r="V511" s="1">
        <f t="shared" si="431"/>
        <v>226</v>
      </c>
    </row>
    <row r="512" spans="1:22" x14ac:dyDescent="0.3">
      <c r="A512" s="1">
        <f t="shared" si="436"/>
        <v>12227</v>
      </c>
      <c r="B512" s="9"/>
      <c r="C512" s="9"/>
      <c r="D512" s="9"/>
      <c r="E512" s="9"/>
      <c r="F512" s="9"/>
      <c r="G512" s="9"/>
      <c r="H512" s="9"/>
      <c r="J512" s="24" t="str">
        <f t="shared" ref="J512" si="458">CONCATENATE(K509,3)</f>
        <v>73</v>
      </c>
      <c r="K512" s="6">
        <v>0.99999789649906334</v>
      </c>
      <c r="L512" s="6">
        <v>7.6745049498854967E-2</v>
      </c>
      <c r="M512" s="6" t="e">
        <v>#N/A</v>
      </c>
      <c r="N512" s="6" t="e">
        <v>#N/A</v>
      </c>
      <c r="O512" s="6" t="e">
        <v>#N/A</v>
      </c>
      <c r="P512" s="6" t="e">
        <v>#N/A</v>
      </c>
      <c r="T512" s="9"/>
      <c r="U512" s="1">
        <f t="shared" si="430"/>
        <v>12</v>
      </c>
      <c r="V512" s="1">
        <f t="shared" si="431"/>
        <v>227</v>
      </c>
    </row>
    <row r="513" spans="1:22" x14ac:dyDescent="0.3">
      <c r="A513" s="1">
        <f t="shared" si="436"/>
        <v>12228</v>
      </c>
      <c r="B513" s="87" t="s">
        <v>33</v>
      </c>
      <c r="C513" s="88"/>
      <c r="D513" s="88"/>
      <c r="E513" s="88"/>
      <c r="F513" s="88"/>
      <c r="G513" s="88"/>
      <c r="H513" s="89"/>
      <c r="K513" s="1">
        <v>8</v>
      </c>
      <c r="L513" s="1">
        <v>8</v>
      </c>
      <c r="M513" s="1">
        <v>8</v>
      </c>
      <c r="N513" s="1">
        <v>8</v>
      </c>
      <c r="O513" s="1">
        <v>8</v>
      </c>
      <c r="P513" s="1">
        <v>8</v>
      </c>
      <c r="Q513" s="1">
        <v>8</v>
      </c>
      <c r="T513" s="9"/>
      <c r="U513" s="1">
        <f t="shared" si="430"/>
        <v>12</v>
      </c>
      <c r="V513" s="1">
        <f t="shared" si="431"/>
        <v>228</v>
      </c>
    </row>
    <row r="514" spans="1:22" x14ac:dyDescent="0.3">
      <c r="A514" s="1">
        <f t="shared" si="436"/>
        <v>12229</v>
      </c>
      <c r="B514" s="90"/>
      <c r="C514" s="91"/>
      <c r="D514" s="91"/>
      <c r="E514" s="91"/>
      <c r="F514" s="91"/>
      <c r="G514" s="91"/>
      <c r="H514" s="92"/>
      <c r="J514" s="24" t="str">
        <f t="shared" ref="J514" si="459">CONCATENATE(K513,1)</f>
        <v>81</v>
      </c>
      <c r="K514" s="6" t="e">
        <f t="array" ref="K514:Q516">LINEST(B502:B509,C502:C509^{1,2,3,4,5,6},TRUE,TRUE)</f>
        <v>#VALUE!</v>
      </c>
      <c r="L514" s="6" t="e">
        <v>#VALUE!</v>
      </c>
      <c r="M514" s="6" t="e">
        <v>#VALUE!</v>
      </c>
      <c r="N514" s="6" t="e">
        <v>#VALUE!</v>
      </c>
      <c r="O514" s="6" t="e">
        <v>#VALUE!</v>
      </c>
      <c r="P514" s="6" t="e">
        <v>#VALUE!</v>
      </c>
      <c r="Q514" s="6" t="e">
        <v>#VALUE!</v>
      </c>
      <c r="T514" s="9"/>
      <c r="U514" s="1">
        <f t="shared" si="430"/>
        <v>12</v>
      </c>
      <c r="V514" s="1">
        <f t="shared" si="431"/>
        <v>229</v>
      </c>
    </row>
    <row r="515" spans="1:22" x14ac:dyDescent="0.3">
      <c r="A515" s="1">
        <f t="shared" si="436"/>
        <v>12230</v>
      </c>
      <c r="B515" s="93"/>
      <c r="C515" s="94"/>
      <c r="D515" s="94"/>
      <c r="E515" s="94"/>
      <c r="F515" s="94"/>
      <c r="G515" s="94"/>
      <c r="H515" s="95"/>
      <c r="J515" s="24" t="str">
        <f t="shared" ref="J515" si="460">CONCATENATE(K513,2)</f>
        <v>82</v>
      </c>
      <c r="K515" s="6" t="e">
        <v>#VALUE!</v>
      </c>
      <c r="L515" s="6" t="e">
        <v>#VALUE!</v>
      </c>
      <c r="M515" s="6" t="e">
        <v>#VALUE!</v>
      </c>
      <c r="N515" s="6" t="e">
        <v>#VALUE!</v>
      </c>
      <c r="O515" s="6" t="e">
        <v>#VALUE!</v>
      </c>
      <c r="P515" s="6" t="e">
        <v>#VALUE!</v>
      </c>
      <c r="Q515" s="6" t="e">
        <v>#VALUE!</v>
      </c>
      <c r="T515" s="9"/>
      <c r="U515" s="1">
        <f t="shared" si="430"/>
        <v>12</v>
      </c>
      <c r="V515" s="1">
        <f t="shared" si="431"/>
        <v>230</v>
      </c>
    </row>
    <row r="516" spans="1:22" x14ac:dyDescent="0.3">
      <c r="A516" s="1">
        <f t="shared" si="436"/>
        <v>12231</v>
      </c>
      <c r="J516" s="24" t="str">
        <f t="shared" ref="J516" si="461">CONCATENATE(K513,3)</f>
        <v>83</v>
      </c>
      <c r="K516" s="6" t="e">
        <v>#VALUE!</v>
      </c>
      <c r="L516" s="6" t="e">
        <v>#VALUE!</v>
      </c>
      <c r="M516" s="6" t="e">
        <v>#VALUE!</v>
      </c>
      <c r="N516" s="6" t="e">
        <v>#VALUE!</v>
      </c>
      <c r="O516" s="6" t="e">
        <v>#VALUE!</v>
      </c>
      <c r="P516" s="6" t="e">
        <v>#VALUE!</v>
      </c>
      <c r="Q516" s="6" t="e">
        <v>#VALUE!</v>
      </c>
      <c r="T516" s="9"/>
      <c r="U516" s="1">
        <f t="shared" si="430"/>
        <v>12</v>
      </c>
      <c r="V516" s="1">
        <f t="shared" si="431"/>
        <v>231</v>
      </c>
    </row>
    <row r="517" spans="1:22" ht="15" customHeight="1" x14ac:dyDescent="0.3">
      <c r="A517" s="1">
        <f t="shared" si="436"/>
        <v>12232</v>
      </c>
      <c r="B517" s="10" t="s">
        <v>34</v>
      </c>
      <c r="C517" s="10" t="s">
        <v>35</v>
      </c>
      <c r="D517" s="10" t="s">
        <v>36</v>
      </c>
      <c r="E517" s="74" t="s">
        <v>37</v>
      </c>
      <c r="F517" s="75"/>
      <c r="G517" s="76"/>
      <c r="K517" s="1">
        <v>9</v>
      </c>
      <c r="L517" s="1">
        <v>9</v>
      </c>
      <c r="M517" s="1">
        <v>9</v>
      </c>
      <c r="N517" s="1">
        <v>9</v>
      </c>
      <c r="O517" s="1">
        <v>9</v>
      </c>
      <c r="P517" s="1">
        <v>9</v>
      </c>
      <c r="Q517" s="1">
        <v>9</v>
      </c>
      <c r="R517" s="1">
        <v>9</v>
      </c>
      <c r="T517" s="9"/>
      <c r="U517" s="1">
        <f t="shared" si="430"/>
        <v>12</v>
      </c>
      <c r="V517" s="1">
        <f t="shared" si="431"/>
        <v>232</v>
      </c>
    </row>
    <row r="518" spans="1:22" x14ac:dyDescent="0.3">
      <c r="A518" s="1">
        <f t="shared" si="436"/>
        <v>12233</v>
      </c>
      <c r="B518" s="12">
        <f t="shared" ref="B518:B527" si="462">C502-B502</f>
        <v>1.2800000000000011</v>
      </c>
      <c r="C518" s="13">
        <f t="shared" ref="C518:C527" si="463">H502-G502</f>
        <v>1.269999999999996</v>
      </c>
      <c r="D518" s="10">
        <f>C518-B518</f>
        <v>-1.0000000000005116E-2</v>
      </c>
      <c r="E518" s="11">
        <f>IF(D493="","",MAX(F518,G518))</f>
        <v>4.9999999999997158E-2</v>
      </c>
      <c r="F518" s="10">
        <f>ABS(MIN(D518:D527))</f>
        <v>4.9999999999997158E-2</v>
      </c>
      <c r="G518" s="10">
        <f>ABS(MAX(D518:D527))</f>
        <v>2.9999999999997584E-2</v>
      </c>
      <c r="J518" s="24" t="str">
        <f t="shared" ref="J518" si="464">CONCATENATE(K517,1)</f>
        <v>91</v>
      </c>
      <c r="K518" s="6" t="e">
        <f t="array" ref="K518:R520">LINEST(B502:B510,C502:C510^{1,2,3,4,5,6,7},TRUE,TRUE)</f>
        <v>#VALUE!</v>
      </c>
      <c r="L518" s="6" t="e">
        <v>#VALUE!</v>
      </c>
      <c r="M518" s="6" t="e">
        <v>#VALUE!</v>
      </c>
      <c r="N518" s="6" t="e">
        <v>#VALUE!</v>
      </c>
      <c r="O518" s="6" t="e">
        <v>#VALUE!</v>
      </c>
      <c r="P518" s="6" t="e">
        <v>#VALUE!</v>
      </c>
      <c r="Q518" s="6" t="e">
        <v>#VALUE!</v>
      </c>
      <c r="R518" s="6" t="e">
        <v>#VALUE!</v>
      </c>
      <c r="T518" s="9"/>
      <c r="U518" s="1">
        <f t="shared" si="430"/>
        <v>12</v>
      </c>
      <c r="V518" s="1">
        <f t="shared" si="431"/>
        <v>233</v>
      </c>
    </row>
    <row r="519" spans="1:22" x14ac:dyDescent="0.3">
      <c r="A519" s="1">
        <f t="shared" si="436"/>
        <v>12234</v>
      </c>
      <c r="B519" s="12">
        <f t="shared" si="462"/>
        <v>1.1499999999999986</v>
      </c>
      <c r="C519" s="13">
        <f t="shared" si="463"/>
        <v>1.1000000000000014</v>
      </c>
      <c r="D519" s="10">
        <f t="shared" ref="D519:D527" si="465">C519-B519</f>
        <v>-4.9999999999997158E-2</v>
      </c>
      <c r="E519" s="74" t="s">
        <v>38</v>
      </c>
      <c r="F519" s="75"/>
      <c r="G519" s="76"/>
      <c r="J519" s="24" t="str">
        <f t="shared" ref="J519" si="466">CONCATENATE(K517,2)</f>
        <v>92</v>
      </c>
      <c r="K519" s="6" t="e">
        <v>#VALUE!</v>
      </c>
      <c r="L519" s="6" t="e">
        <v>#VALUE!</v>
      </c>
      <c r="M519" s="6" t="e">
        <v>#VALUE!</v>
      </c>
      <c r="N519" s="6" t="e">
        <v>#VALUE!</v>
      </c>
      <c r="O519" s="6" t="e">
        <v>#VALUE!</v>
      </c>
      <c r="P519" s="6" t="e">
        <v>#VALUE!</v>
      </c>
      <c r="Q519" s="6" t="e">
        <v>#VALUE!</v>
      </c>
      <c r="R519" s="6" t="e">
        <v>#VALUE!</v>
      </c>
      <c r="T519" s="9"/>
      <c r="U519" s="1">
        <f t="shared" si="430"/>
        <v>12</v>
      </c>
      <c r="V519" s="1">
        <f t="shared" si="431"/>
        <v>234</v>
      </c>
    </row>
    <row r="520" spans="1:22" x14ac:dyDescent="0.3">
      <c r="A520" s="1">
        <f t="shared" si="436"/>
        <v>12235</v>
      </c>
      <c r="B520" s="12">
        <f t="shared" si="462"/>
        <v>1.0900000000000034</v>
      </c>
      <c r="C520" s="13">
        <f t="shared" si="463"/>
        <v>1.0599999999999952</v>
      </c>
      <c r="D520" s="10">
        <f t="shared" si="465"/>
        <v>-3.0000000000008242E-2</v>
      </c>
      <c r="E520" s="11">
        <f>IF(D493="","",MAX(F520,G520))</f>
        <v>1.69</v>
      </c>
      <c r="F520" s="10">
        <f>ABS(MIN(B518:B527))</f>
        <v>0</v>
      </c>
      <c r="G520" s="10">
        <f>ABS(MAX(B518:B527))</f>
        <v>1.69</v>
      </c>
      <c r="J520" s="24" t="str">
        <f t="shared" ref="J520" si="467">CONCATENATE(K517,3)</f>
        <v>93</v>
      </c>
      <c r="K520" s="6" t="e">
        <v>#VALUE!</v>
      </c>
      <c r="L520" s="6" t="e">
        <v>#VALUE!</v>
      </c>
      <c r="M520" s="6" t="e">
        <v>#VALUE!</v>
      </c>
      <c r="N520" s="6" t="e">
        <v>#VALUE!</v>
      </c>
      <c r="O520" s="6" t="e">
        <v>#VALUE!</v>
      </c>
      <c r="P520" s="6" t="e">
        <v>#VALUE!</v>
      </c>
      <c r="Q520" s="6" t="e">
        <v>#VALUE!</v>
      </c>
      <c r="R520" s="6" t="e">
        <v>#VALUE!</v>
      </c>
      <c r="T520" s="9"/>
      <c r="U520" s="1">
        <f t="shared" si="430"/>
        <v>12</v>
      </c>
      <c r="V520" s="1">
        <f t="shared" si="431"/>
        <v>235</v>
      </c>
    </row>
    <row r="521" spans="1:22" x14ac:dyDescent="0.3">
      <c r="A521" s="1">
        <f t="shared" si="436"/>
        <v>12236</v>
      </c>
      <c r="B521" s="12">
        <f>C505-B505</f>
        <v>1.2100000000000009</v>
      </c>
      <c r="C521" s="13">
        <f t="shared" si="463"/>
        <v>1.2399999999999984</v>
      </c>
      <c r="D521" s="10">
        <f t="shared" si="465"/>
        <v>2.9999999999997584E-2</v>
      </c>
      <c r="E521" s="74" t="s">
        <v>39</v>
      </c>
      <c r="F521" s="75"/>
      <c r="G521" s="76"/>
      <c r="K521" s="1">
        <v>10</v>
      </c>
      <c r="L521" s="1">
        <v>10</v>
      </c>
      <c r="M521" s="1">
        <v>10</v>
      </c>
      <c r="N521" s="1">
        <v>10</v>
      </c>
      <c r="O521" s="1">
        <v>10</v>
      </c>
      <c r="P521" s="1">
        <v>10</v>
      </c>
      <c r="Q521" s="1">
        <v>10</v>
      </c>
      <c r="R521" s="1">
        <v>10</v>
      </c>
      <c r="S521" s="1">
        <v>10</v>
      </c>
      <c r="T521" s="9"/>
      <c r="U521" s="1">
        <f t="shared" si="430"/>
        <v>12</v>
      </c>
      <c r="V521" s="1">
        <f t="shared" si="431"/>
        <v>236</v>
      </c>
    </row>
    <row r="522" spans="1:22" x14ac:dyDescent="0.3">
      <c r="A522" s="1">
        <f t="shared" si="436"/>
        <v>12237</v>
      </c>
      <c r="B522" s="12">
        <f>C506-B506</f>
        <v>1.120000000000001</v>
      </c>
      <c r="C522" s="13">
        <f>H506-G506</f>
        <v>1.1000000000000014</v>
      </c>
      <c r="D522" s="10">
        <f t="shared" si="465"/>
        <v>-1.9999999999999574E-2</v>
      </c>
      <c r="E522" s="11">
        <f>IF(D493="","",MAX(F522,G522))</f>
        <v>0.28000000000000003</v>
      </c>
      <c r="F522" s="10">
        <f>ABS(MIN(D502:D511))</f>
        <v>0.26</v>
      </c>
      <c r="G522" s="10">
        <f>ABS(MAX(D502:D511))</f>
        <v>0.28000000000000003</v>
      </c>
      <c r="J522" s="24" t="str">
        <f t="shared" ref="J522" si="468">CONCATENATE(K521,1)</f>
        <v>101</v>
      </c>
      <c r="K522" s="6" t="e">
        <f t="array" ref="K522:S524">LINEST(B502:B511,C502:C511^{1,2,3,4,5,6,7,8},TRUE,TRUE)</f>
        <v>#VALUE!</v>
      </c>
      <c r="L522" s="6" t="e">
        <v>#VALUE!</v>
      </c>
      <c r="M522" s="6" t="e">
        <v>#VALUE!</v>
      </c>
      <c r="N522" s="6" t="e">
        <v>#VALUE!</v>
      </c>
      <c r="O522" s="6" t="e">
        <v>#VALUE!</v>
      </c>
      <c r="P522" s="6" t="e">
        <v>#VALUE!</v>
      </c>
      <c r="Q522" s="6" t="e">
        <v>#VALUE!</v>
      </c>
      <c r="R522" s="6" t="e">
        <v>#VALUE!</v>
      </c>
      <c r="S522" s="6" t="e">
        <v>#VALUE!</v>
      </c>
      <c r="T522" s="9"/>
      <c r="U522" s="1">
        <f t="shared" si="430"/>
        <v>12</v>
      </c>
      <c r="V522" s="1">
        <f t="shared" si="431"/>
        <v>237</v>
      </c>
    </row>
    <row r="523" spans="1:22" x14ac:dyDescent="0.3">
      <c r="A523" s="1">
        <f t="shared" si="436"/>
        <v>12238</v>
      </c>
      <c r="B523" s="12">
        <f>C507-B507</f>
        <v>1.2200000000000006</v>
      </c>
      <c r="C523" s="13">
        <f>H507-G507</f>
        <v>1.2400000000000002</v>
      </c>
      <c r="D523" s="10">
        <f>D521</f>
        <v>2.9999999999997584E-2</v>
      </c>
      <c r="J523" s="24" t="str">
        <f t="shared" ref="J523" si="469">CONCATENATE(K521,2)</f>
        <v>102</v>
      </c>
      <c r="K523" s="6" t="e">
        <v>#VALUE!</v>
      </c>
      <c r="L523" s="6" t="e">
        <v>#VALUE!</v>
      </c>
      <c r="M523" s="6" t="e">
        <v>#VALUE!</v>
      </c>
      <c r="N523" s="6" t="e">
        <v>#VALUE!</v>
      </c>
      <c r="O523" s="6" t="e">
        <v>#VALUE!</v>
      </c>
      <c r="P523" s="6" t="e">
        <v>#VALUE!</v>
      </c>
      <c r="Q523" s="6" t="e">
        <v>#VALUE!</v>
      </c>
      <c r="R523" s="6" t="e">
        <v>#VALUE!</v>
      </c>
      <c r="S523" s="6" t="e">
        <v>#VALUE!</v>
      </c>
      <c r="T523" s="9"/>
      <c r="U523" s="1">
        <f t="shared" si="430"/>
        <v>12</v>
      </c>
      <c r="V523" s="1">
        <f t="shared" si="431"/>
        <v>238</v>
      </c>
    </row>
    <row r="524" spans="1:22" x14ac:dyDescent="0.3">
      <c r="A524" s="1">
        <f t="shared" si="436"/>
        <v>12239</v>
      </c>
      <c r="B524" s="12">
        <f>C508-B508</f>
        <v>1.69</v>
      </c>
      <c r="C524" s="13">
        <f t="shared" si="463"/>
        <v>1.65</v>
      </c>
      <c r="D524" s="10">
        <f>D523</f>
        <v>2.9999999999997584E-2</v>
      </c>
      <c r="J524" s="24" t="str">
        <f t="shared" ref="J524" si="470">CONCATENATE(K521,3)</f>
        <v>103</v>
      </c>
      <c r="K524" s="6" t="e">
        <v>#VALUE!</v>
      </c>
      <c r="L524" s="6" t="e">
        <v>#VALUE!</v>
      </c>
      <c r="M524" s="6" t="e">
        <v>#VALUE!</v>
      </c>
      <c r="N524" s="6" t="e">
        <v>#VALUE!</v>
      </c>
      <c r="O524" s="6" t="e">
        <v>#VALUE!</v>
      </c>
      <c r="P524" s="6" t="e">
        <v>#VALUE!</v>
      </c>
      <c r="Q524" s="6" t="e">
        <v>#VALUE!</v>
      </c>
      <c r="R524" s="6" t="e">
        <v>#VALUE!</v>
      </c>
      <c r="S524" s="6" t="e">
        <v>#VALUE!</v>
      </c>
      <c r="T524" s="9"/>
      <c r="U524" s="1">
        <f t="shared" si="430"/>
        <v>12</v>
      </c>
      <c r="V524" s="1">
        <f t="shared" si="431"/>
        <v>239</v>
      </c>
    </row>
    <row r="525" spans="1:22" x14ac:dyDescent="0.3">
      <c r="A525" s="1">
        <f t="shared" si="436"/>
        <v>12240</v>
      </c>
      <c r="B525" s="12">
        <f t="shared" si="462"/>
        <v>0</v>
      </c>
      <c r="C525" s="13">
        <f t="shared" si="463"/>
        <v>0</v>
      </c>
      <c r="D525" s="10">
        <f t="shared" si="465"/>
        <v>0</v>
      </c>
      <c r="J525" s="9"/>
      <c r="K525" s="9"/>
      <c r="L525" s="9"/>
      <c r="M525" s="9"/>
      <c r="N525" s="9"/>
      <c r="O525" s="9"/>
      <c r="P525" s="9"/>
      <c r="Q525" s="9"/>
      <c r="R525" s="9"/>
      <c r="S525" s="9"/>
      <c r="T525" s="9"/>
      <c r="U525" s="1">
        <f t="shared" si="430"/>
        <v>12</v>
      </c>
      <c r="V525" s="1">
        <f t="shared" si="431"/>
        <v>240</v>
      </c>
    </row>
    <row r="526" spans="1:22" x14ac:dyDescent="0.3">
      <c r="A526" s="1">
        <f t="shared" si="436"/>
        <v>12241</v>
      </c>
      <c r="B526" s="12">
        <f t="shared" si="462"/>
        <v>0</v>
      </c>
      <c r="C526" s="13">
        <f t="shared" si="463"/>
        <v>0</v>
      </c>
      <c r="D526" s="10">
        <f t="shared" si="465"/>
        <v>0</v>
      </c>
      <c r="J526" s="9"/>
      <c r="K526" s="9"/>
      <c r="L526" s="9"/>
      <c r="M526" s="9"/>
      <c r="N526" s="9"/>
      <c r="O526" s="9"/>
      <c r="P526" s="9"/>
      <c r="Q526" s="9"/>
      <c r="R526" s="9"/>
      <c r="S526" s="9"/>
      <c r="T526" s="9"/>
      <c r="U526" s="1">
        <f t="shared" si="430"/>
        <v>12</v>
      </c>
      <c r="V526" s="1">
        <f t="shared" si="431"/>
        <v>241</v>
      </c>
    </row>
    <row r="527" spans="1:22" x14ac:dyDescent="0.3">
      <c r="A527" s="1">
        <f t="shared" si="436"/>
        <v>12242</v>
      </c>
      <c r="B527" s="12">
        <f t="shared" si="462"/>
        <v>0</v>
      </c>
      <c r="C527" s="13">
        <f t="shared" si="463"/>
        <v>0</v>
      </c>
      <c r="D527" s="10">
        <f t="shared" si="465"/>
        <v>0</v>
      </c>
      <c r="J527" s="9"/>
      <c r="K527" s="9"/>
      <c r="L527" s="9"/>
      <c r="M527" s="9"/>
      <c r="N527" s="9"/>
      <c r="O527" s="9"/>
      <c r="P527" s="9"/>
      <c r="Q527" s="9"/>
      <c r="R527" s="9"/>
      <c r="S527" s="9"/>
      <c r="T527" s="9"/>
      <c r="U527" s="1">
        <f t="shared" si="430"/>
        <v>12</v>
      </c>
      <c r="V527" s="1">
        <f t="shared" si="431"/>
        <v>242</v>
      </c>
    </row>
    <row r="528" spans="1:22" x14ac:dyDescent="0.3">
      <c r="A528" s="1">
        <f t="shared" si="436"/>
        <v>12243</v>
      </c>
      <c r="J528" s="9"/>
      <c r="K528" s="9"/>
      <c r="L528" s="9"/>
      <c r="M528" s="9"/>
      <c r="N528" s="9"/>
      <c r="O528" s="9"/>
      <c r="P528" s="9"/>
      <c r="Q528" s="9"/>
      <c r="R528" s="9"/>
      <c r="S528" s="9"/>
      <c r="T528" s="9"/>
      <c r="U528" s="1">
        <f t="shared" si="430"/>
        <v>12</v>
      </c>
      <c r="V528" s="1">
        <f t="shared" si="431"/>
        <v>243</v>
      </c>
    </row>
    <row r="529" spans="1:22" s="5" customFormat="1" x14ac:dyDescent="0.3"/>
    <row r="530" spans="1:22" x14ac:dyDescent="0.3">
      <c r="A530" s="1">
        <f t="shared" ref="A530:A572" si="471">ROUND(CONCATENATE(U530,V530),0)</f>
        <v>13201</v>
      </c>
      <c r="B530" s="96" t="s">
        <v>0</v>
      </c>
      <c r="C530" s="97"/>
      <c r="D530" s="98" t="s">
        <v>68</v>
      </c>
      <c r="E530" s="99"/>
      <c r="F530" s="99"/>
      <c r="G530" s="99"/>
      <c r="H530" s="100"/>
      <c r="J530" s="9"/>
      <c r="K530" s="9"/>
      <c r="L530" s="9"/>
      <c r="M530" s="9"/>
      <c r="N530" s="9"/>
      <c r="O530" s="9"/>
      <c r="P530" s="9"/>
      <c r="Q530" s="9"/>
      <c r="R530" s="9"/>
      <c r="S530" s="9"/>
      <c r="T530" s="9"/>
      <c r="U530" s="1">
        <f t="shared" ref="U530" si="472">U528+1</f>
        <v>13</v>
      </c>
      <c r="V530" s="1">
        <v>201</v>
      </c>
    </row>
    <row r="531" spans="1:22" x14ac:dyDescent="0.3">
      <c r="A531" s="1">
        <f t="shared" si="471"/>
        <v>13202</v>
      </c>
      <c r="B531" s="96" t="s">
        <v>1</v>
      </c>
      <c r="C531" s="97"/>
      <c r="D531" s="37" t="s">
        <v>70</v>
      </c>
      <c r="E531" s="16" t="s">
        <v>2</v>
      </c>
      <c r="F531" s="107"/>
      <c r="G531" s="108"/>
      <c r="H531" s="109"/>
      <c r="J531" s="9"/>
      <c r="K531" s="9"/>
      <c r="L531" s="9"/>
      <c r="M531" s="9"/>
      <c r="N531" s="9"/>
      <c r="O531" s="9"/>
      <c r="P531" s="9"/>
      <c r="Q531" s="9"/>
      <c r="R531" s="9"/>
      <c r="S531" s="9"/>
      <c r="T531" s="9"/>
      <c r="U531" s="1">
        <f t="shared" ref="U531" si="473">U530</f>
        <v>13</v>
      </c>
      <c r="V531" s="1">
        <f t="shared" ref="V531" si="474">V530+1</f>
        <v>202</v>
      </c>
    </row>
    <row r="532" spans="1:22" x14ac:dyDescent="0.3">
      <c r="A532" s="1">
        <f t="shared" si="471"/>
        <v>13203</v>
      </c>
      <c r="B532" s="96" t="s">
        <v>12</v>
      </c>
      <c r="C532" s="97"/>
      <c r="D532" s="98" t="s">
        <v>73</v>
      </c>
      <c r="E532" s="99"/>
      <c r="F532" s="99"/>
      <c r="G532" s="99"/>
      <c r="H532" s="100"/>
      <c r="K532" s="1" t="s">
        <v>3</v>
      </c>
      <c r="L532" s="1" t="s">
        <v>4</v>
      </c>
      <c r="M532" s="1" t="s">
        <v>5</v>
      </c>
      <c r="N532" s="1" t="s">
        <v>6</v>
      </c>
      <c r="O532" s="1" t="s">
        <v>7</v>
      </c>
      <c r="P532" s="1" t="s">
        <v>8</v>
      </c>
      <c r="Q532" s="1" t="s">
        <v>9</v>
      </c>
      <c r="R532" s="1" t="s">
        <v>10</v>
      </c>
      <c r="S532" s="1" t="s">
        <v>11</v>
      </c>
      <c r="T532" s="9"/>
      <c r="U532" s="1">
        <f t="shared" si="430"/>
        <v>13</v>
      </c>
      <c r="V532" s="1">
        <f t="shared" si="431"/>
        <v>203</v>
      </c>
    </row>
    <row r="533" spans="1:22" x14ac:dyDescent="0.3">
      <c r="A533" s="1">
        <f t="shared" si="471"/>
        <v>13204</v>
      </c>
      <c r="B533" s="96" t="s">
        <v>13</v>
      </c>
      <c r="C533" s="97"/>
      <c r="D533" s="110" t="s">
        <v>65</v>
      </c>
      <c r="E533" s="111"/>
      <c r="F533" s="111"/>
      <c r="G533" s="111"/>
      <c r="H533" s="112"/>
      <c r="J533" s="1">
        <f>COUNTA(B546:B555)</f>
        <v>7</v>
      </c>
      <c r="K533" s="1">
        <f t="shared" ref="K533" si="475">IF(L533-1&lt;2,0,L533-1)</f>
        <v>0</v>
      </c>
      <c r="L533" s="1">
        <f t="shared" ref="L533" si="476">IF(M533-1&lt;2,0,M533-1)</f>
        <v>0</v>
      </c>
      <c r="M533" s="1">
        <f t="shared" ref="M533" si="477">IF(N533-1&lt;2,0,N533-1)</f>
        <v>0</v>
      </c>
      <c r="N533" s="1">
        <f t="shared" ref="N533" si="478">IF(O533-1&lt;2,0,O533-1)</f>
        <v>2</v>
      </c>
      <c r="O533" s="1">
        <f t="shared" ref="O533" si="479">IF(P533-1&lt;2,0,P533-1)</f>
        <v>3</v>
      </c>
      <c r="P533" s="1">
        <f t="shared" ref="P533" si="480">IF(Q533-1&lt;2,0,Q533-1)</f>
        <v>4</v>
      </c>
      <c r="Q533" s="1">
        <f t="shared" ref="Q533" si="481">IF(R533-1&lt;2,0,R533-1)</f>
        <v>5</v>
      </c>
      <c r="R533" s="1">
        <f>IF(S533-1&lt;2,0,S533-1)</f>
        <v>6</v>
      </c>
      <c r="S533" s="1">
        <f>J533</f>
        <v>7</v>
      </c>
      <c r="T533" s="9"/>
      <c r="U533" s="1">
        <f t="shared" si="430"/>
        <v>13</v>
      </c>
      <c r="V533" s="1">
        <f t="shared" si="431"/>
        <v>204</v>
      </c>
    </row>
    <row r="534" spans="1:22" x14ac:dyDescent="0.3">
      <c r="A534" s="1">
        <f t="shared" si="471"/>
        <v>13205</v>
      </c>
      <c r="B534" s="96" t="s">
        <v>14</v>
      </c>
      <c r="C534" s="97"/>
      <c r="D534" s="110" t="s">
        <v>66</v>
      </c>
      <c r="E534" s="111"/>
      <c r="F534" s="111"/>
      <c r="G534" s="111"/>
      <c r="H534" s="112"/>
      <c r="J534" s="24" t="str">
        <f>CONCATENATE(J533,1)</f>
        <v>71</v>
      </c>
      <c r="K534" s="25">
        <f>IF(K533=0,0,VLOOKUP(J534,J538:S568,K533,FALSE))</f>
        <v>0</v>
      </c>
      <c r="L534" s="25">
        <f>IF(L533=0,0,VLOOKUP(J534,J538:S568,L533,FALSE))</f>
        <v>0</v>
      </c>
      <c r="M534" s="25">
        <f>IF(M533=0,0,VLOOKUP(J534,J538:S568,M533,FALSE))</f>
        <v>0</v>
      </c>
      <c r="N534" s="25">
        <f>IF(N533=0,0,VLOOKUP(J534,J538:S568,N533,FALSE))</f>
        <v>4.2761370987454003E-8</v>
      </c>
      <c r="O534" s="25">
        <f>IF(O533=0,0,VLOOKUP(J534,J538:S568,O533,FALSE))</f>
        <v>6.1182783721849177E-6</v>
      </c>
      <c r="P534" s="25">
        <f>IF(P533=0,0,VLOOKUP(J534,J538:S568,P533,FALSE))</f>
        <v>2.7051697492641835E-4</v>
      </c>
      <c r="Q534" s="25">
        <f>IF(Q533=0,0,VLOOKUP(J534,J538:S568,Q533,FALSE))</f>
        <v>3.4929307343563839E-3</v>
      </c>
      <c r="R534" s="25">
        <f>IF(R533=0,0,VLOOKUP(J534,J538:S568,R533,FALSE))</f>
        <v>0.98551427756820997</v>
      </c>
      <c r="S534" s="25">
        <f>IF(S533=0,0,VLOOKUP(J534,J538:S568,S533,FALSE))</f>
        <v>-1.5951148735383649</v>
      </c>
      <c r="T534" s="9"/>
      <c r="U534" s="1">
        <f t="shared" si="430"/>
        <v>13</v>
      </c>
      <c r="V534" s="1">
        <f t="shared" si="431"/>
        <v>205</v>
      </c>
    </row>
    <row r="535" spans="1:22" x14ac:dyDescent="0.3">
      <c r="A535" s="1">
        <f t="shared" si="471"/>
        <v>13206</v>
      </c>
      <c r="B535" s="96" t="s">
        <v>15</v>
      </c>
      <c r="C535" s="97"/>
      <c r="D535" s="98" t="s">
        <v>147</v>
      </c>
      <c r="E535" s="99"/>
      <c r="F535" s="99"/>
      <c r="G535" s="99"/>
      <c r="H535" s="100"/>
      <c r="J535" s="24" t="str">
        <f>CONCATENATE(J533,2)</f>
        <v>72</v>
      </c>
      <c r="K535" s="6">
        <f>IF(K533=0,0,VLOOKUP(J535,J538:S568,K533,FALSE))</f>
        <v>0</v>
      </c>
      <c r="L535" s="6">
        <f>IF(L533=0,0,VLOOKUP(J535,J538:S568,L533,FALSE))</f>
        <v>0</v>
      </c>
      <c r="M535" s="6">
        <f>IF(M533=0,0,VLOOKUP(J535,J538:S568,M533,FALSE))</f>
        <v>0</v>
      </c>
      <c r="N535" s="6">
        <f>IF(N533=0,0,VLOOKUP(J535,J538:S568,N533,FALSE))</f>
        <v>2.0456240455344936E-8</v>
      </c>
      <c r="O535" s="6">
        <f>IF(O533=0,0,VLOOKUP(J535,J538:S568,O533,FALSE))</f>
        <v>2.9641570655161013E-6</v>
      </c>
      <c r="P535" s="6">
        <f>IF(P533=0,0,VLOOKUP(J535,J538:S568,P533,FALSE))</f>
        <v>1.4882859514523766E-4</v>
      </c>
      <c r="Q535" s="6">
        <f>IF(Q533=0,0,VLOOKUP(J535,J538:S568,Q533,FALSE))</f>
        <v>2.9862319126860121E-3</v>
      </c>
      <c r="R535" s="6">
        <f>IF(R533=0,0,VLOOKUP(J535,J538:S568,R533,FALSE))</f>
        <v>1.9414740120066734E-2</v>
      </c>
      <c r="S535" s="6">
        <f>IF(S533=0,0,VLOOKUP(J535,J538:S568,S533,FALSE))</f>
        <v>5.3719447383236113E-2</v>
      </c>
      <c r="T535" s="9"/>
      <c r="U535" s="1">
        <f t="shared" si="430"/>
        <v>13</v>
      </c>
      <c r="V535" s="1">
        <f t="shared" si="431"/>
        <v>206</v>
      </c>
    </row>
    <row r="536" spans="1:22" x14ac:dyDescent="0.3">
      <c r="A536" s="1">
        <f t="shared" si="471"/>
        <v>13207</v>
      </c>
      <c r="B536" s="96" t="s">
        <v>16</v>
      </c>
      <c r="C536" s="97"/>
      <c r="D536" s="101">
        <v>44607</v>
      </c>
      <c r="E536" s="102"/>
      <c r="F536" s="102"/>
      <c r="G536" s="102"/>
      <c r="H536" s="103"/>
      <c r="J536" s="24" t="str">
        <f>CONCATENATE(J533,3)</f>
        <v>73</v>
      </c>
      <c r="K536" s="6"/>
      <c r="L536" s="6"/>
      <c r="M536" s="6"/>
      <c r="N536" s="6" t="s">
        <v>43</v>
      </c>
      <c r="O536" s="25">
        <f>J533-2</f>
        <v>5</v>
      </c>
      <c r="P536" s="6" t="s">
        <v>44</v>
      </c>
      <c r="Q536" s="25">
        <f>VLOOKUP(J536,J538:S568,3,FALSE)</f>
        <v>5.7078710338287708E-2</v>
      </c>
      <c r="R536" s="6" t="s">
        <v>45</v>
      </c>
      <c r="S536" s="6">
        <f>VLOOKUP(J536,J538:S568,2,FALSE)</f>
        <v>0.9999988364360094</v>
      </c>
      <c r="T536" s="9"/>
      <c r="U536" s="1">
        <f t="shared" si="430"/>
        <v>13</v>
      </c>
      <c r="V536" s="1">
        <f t="shared" si="431"/>
        <v>207</v>
      </c>
    </row>
    <row r="537" spans="1:22" x14ac:dyDescent="0.3">
      <c r="A537" s="1">
        <f t="shared" si="471"/>
        <v>13208</v>
      </c>
      <c r="B537" s="96" t="s">
        <v>17</v>
      </c>
      <c r="C537" s="97"/>
      <c r="D537" s="104">
        <v>44985</v>
      </c>
      <c r="E537" s="105"/>
      <c r="F537" s="105"/>
      <c r="G537" s="105"/>
      <c r="H537" s="106"/>
      <c r="K537" s="1">
        <v>3</v>
      </c>
      <c r="L537" s="1">
        <v>3</v>
      </c>
      <c r="Q537" s="26"/>
      <c r="R537" s="26"/>
      <c r="S537" s="26"/>
      <c r="T537" s="9"/>
      <c r="U537" s="1">
        <f t="shared" si="430"/>
        <v>13</v>
      </c>
      <c r="V537" s="1">
        <f t="shared" si="431"/>
        <v>208</v>
      </c>
    </row>
    <row r="538" spans="1:22" x14ac:dyDescent="0.3">
      <c r="A538" s="1">
        <f t="shared" si="471"/>
        <v>13209</v>
      </c>
      <c r="B538" s="77" t="s">
        <v>19</v>
      </c>
      <c r="C538" s="78"/>
      <c r="D538" s="17">
        <v>0.01</v>
      </c>
      <c r="E538" s="79" t="s">
        <v>40</v>
      </c>
      <c r="F538" s="80"/>
      <c r="G538" s="81"/>
      <c r="H538" s="18" t="s">
        <v>71</v>
      </c>
      <c r="J538" s="24" t="str">
        <f>CONCATENATE(K537,1)</f>
        <v>31</v>
      </c>
      <c r="K538" s="6">
        <f t="array" ref="K538:L540">LINEST(B546:B548,C546:C548^{1},TRUE,TRUE)</f>
        <v>0.95508079569997761</v>
      </c>
      <c r="L538" s="6">
        <v>-3.261529461095428</v>
      </c>
      <c r="Q538" s="9"/>
      <c r="R538" s="9"/>
      <c r="S538" s="9"/>
      <c r="T538" s="9"/>
      <c r="U538" s="1">
        <f t="shared" si="430"/>
        <v>13</v>
      </c>
      <c r="V538" s="1">
        <f t="shared" si="431"/>
        <v>209</v>
      </c>
    </row>
    <row r="539" spans="1:22" x14ac:dyDescent="0.3">
      <c r="A539" s="1">
        <f t="shared" si="471"/>
        <v>13210</v>
      </c>
      <c r="B539" s="77" t="s">
        <v>41</v>
      </c>
      <c r="C539" s="78"/>
      <c r="D539" s="23">
        <f>MIN(B546:B555)</f>
        <v>-60</v>
      </c>
      <c r="E539" s="20" t="s">
        <v>18</v>
      </c>
      <c r="F539" s="19">
        <f>MAX(B546:B555)</f>
        <v>0</v>
      </c>
      <c r="G539" s="21" t="str">
        <f>IF(H538="","",H538)</f>
        <v>°CTd/f</v>
      </c>
      <c r="H539" s="22"/>
      <c r="J539" s="24" t="str">
        <f>CONCATENATE(K537,2)</f>
        <v>32</v>
      </c>
      <c r="K539" s="6">
        <v>5.2666299378721975E-3</v>
      </c>
      <c r="L539" s="6">
        <v>0.26163439545162959</v>
      </c>
      <c r="Q539" s="9"/>
      <c r="R539" s="9"/>
      <c r="S539" s="9"/>
      <c r="T539" s="9"/>
      <c r="U539" s="1">
        <f t="shared" ref="U539:U602" si="482">U538</f>
        <v>13</v>
      </c>
      <c r="V539" s="1">
        <f t="shared" ref="V539:V602" si="483">V538+1</f>
        <v>210</v>
      </c>
    </row>
    <row r="540" spans="1:22" x14ac:dyDescent="0.3">
      <c r="A540" s="1">
        <f t="shared" si="471"/>
        <v>13211</v>
      </c>
      <c r="J540" s="24" t="str">
        <f>CONCATENATE(K537,3)</f>
        <v>33</v>
      </c>
      <c r="K540" s="6">
        <v>0.99996959309787636</v>
      </c>
      <c r="L540" s="6">
        <v>7.7983206042745223E-2</v>
      </c>
      <c r="Q540" s="9"/>
      <c r="R540" s="9"/>
      <c r="S540" s="9"/>
      <c r="T540" s="9"/>
      <c r="U540" s="1">
        <f t="shared" si="482"/>
        <v>13</v>
      </c>
      <c r="V540" s="1">
        <f t="shared" si="483"/>
        <v>211</v>
      </c>
    </row>
    <row r="541" spans="1:22" x14ac:dyDescent="0.3">
      <c r="A541" s="1">
        <f t="shared" si="471"/>
        <v>13212</v>
      </c>
      <c r="B541" s="82" t="s">
        <v>20</v>
      </c>
      <c r="C541" s="83"/>
      <c r="D541" s="83"/>
      <c r="E541" s="83"/>
      <c r="F541" s="84"/>
      <c r="G541" s="85" t="s">
        <v>31</v>
      </c>
      <c r="H541" s="86"/>
      <c r="K541" s="1">
        <v>4</v>
      </c>
      <c r="L541" s="1">
        <v>4</v>
      </c>
      <c r="M541" s="1">
        <v>4</v>
      </c>
      <c r="Q541" s="9"/>
      <c r="R541" s="9"/>
      <c r="S541" s="9"/>
      <c r="T541" s="9"/>
      <c r="U541" s="1">
        <f t="shared" si="482"/>
        <v>13</v>
      </c>
      <c r="V541" s="1">
        <f t="shared" si="483"/>
        <v>212</v>
      </c>
    </row>
    <row r="542" spans="1:22" x14ac:dyDescent="0.3">
      <c r="A542" s="1">
        <f t="shared" si="471"/>
        <v>13213</v>
      </c>
      <c r="B542" s="82" t="s">
        <v>30</v>
      </c>
      <c r="C542" s="83"/>
      <c r="D542" s="84"/>
      <c r="E542" s="82" t="str">
        <f>D535</f>
        <v>R0124/22</v>
      </c>
      <c r="F542" s="84"/>
      <c r="G542" s="6" t="s">
        <v>32</v>
      </c>
      <c r="H542" s="7" t="s">
        <v>119</v>
      </c>
      <c r="J542" s="24" t="str">
        <f t="shared" ref="J542" si="484">CONCATENATE(K541,1)</f>
        <v>41</v>
      </c>
      <c r="K542" s="6">
        <f t="array" ref="K542:M544">LINEST(B546:B549,C546:C549^{1,2},TRUE,TRUE)</f>
        <v>1.684071380708943E-3</v>
      </c>
      <c r="L542" s="6">
        <v>1.1218450089875849</v>
      </c>
      <c r="M542" s="6">
        <v>0.74964895643590479</v>
      </c>
      <c r="Q542" s="9"/>
      <c r="R542" s="9"/>
      <c r="S542" s="9"/>
      <c r="T542" s="9"/>
      <c r="U542" s="1">
        <f t="shared" si="482"/>
        <v>13</v>
      </c>
      <c r="V542" s="1">
        <f t="shared" si="483"/>
        <v>213</v>
      </c>
    </row>
    <row r="543" spans="1:22" x14ac:dyDescent="0.3">
      <c r="A543" s="1">
        <f t="shared" si="471"/>
        <v>13214</v>
      </c>
      <c r="B543" s="2" t="s">
        <v>21</v>
      </c>
      <c r="C543" s="2" t="s">
        <v>22</v>
      </c>
      <c r="D543" s="2" t="s">
        <v>23</v>
      </c>
      <c r="E543" s="2"/>
      <c r="F543" s="2" t="s">
        <v>28</v>
      </c>
      <c r="G543" s="2" t="s">
        <v>21</v>
      </c>
      <c r="H543" s="2" t="s">
        <v>22</v>
      </c>
      <c r="J543" s="24" t="str">
        <f t="shared" ref="J543" si="485">CONCATENATE(K541,2)</f>
        <v>42</v>
      </c>
      <c r="K543" s="6">
        <v>3.8308961572968781E-4</v>
      </c>
      <c r="L543" s="6">
        <v>3.3958225947486986E-2</v>
      </c>
      <c r="M543" s="6">
        <v>0.71191795730032881</v>
      </c>
      <c r="Q543" s="9"/>
      <c r="R543" s="9"/>
      <c r="S543" s="9"/>
      <c r="T543" s="9"/>
      <c r="U543" s="1">
        <f t="shared" si="482"/>
        <v>13</v>
      </c>
      <c r="V543" s="1">
        <f t="shared" si="483"/>
        <v>214</v>
      </c>
    </row>
    <row r="544" spans="1:22" x14ac:dyDescent="0.3">
      <c r="A544" s="1">
        <f t="shared" si="471"/>
        <v>13215</v>
      </c>
      <c r="B544" s="2" t="s">
        <v>24</v>
      </c>
      <c r="C544" s="2" t="s">
        <v>25</v>
      </c>
      <c r="D544" s="2" t="s">
        <v>26</v>
      </c>
      <c r="E544" s="2" t="s">
        <v>27</v>
      </c>
      <c r="F544" s="2" t="s">
        <v>29</v>
      </c>
      <c r="G544" s="2" t="s">
        <v>24</v>
      </c>
      <c r="H544" s="2" t="s">
        <v>25</v>
      </c>
      <c r="J544" s="24" t="str">
        <f t="shared" ref="J544" si="486">CONCATENATE(K541,3)</f>
        <v>43</v>
      </c>
      <c r="K544" s="6">
        <v>0.99998706871612542</v>
      </c>
      <c r="L544" s="6">
        <v>8.040921549979263E-2</v>
      </c>
      <c r="M544" s="6" t="e">
        <v>#N/A</v>
      </c>
      <c r="Q544" s="9"/>
      <c r="R544" s="9"/>
      <c r="S544" s="9"/>
      <c r="T544" s="9"/>
      <c r="U544" s="1">
        <f t="shared" si="482"/>
        <v>13</v>
      </c>
      <c r="V544" s="1">
        <f t="shared" si="483"/>
        <v>215</v>
      </c>
    </row>
    <row r="545" spans="1:22" x14ac:dyDescent="0.3">
      <c r="A545" s="1">
        <f t="shared" si="471"/>
        <v>13216</v>
      </c>
      <c r="B545" s="3" t="str">
        <f>H538</f>
        <v>°CTd/f</v>
      </c>
      <c r="C545" s="3" t="str">
        <f>B545</f>
        <v>°CTd/f</v>
      </c>
      <c r="D545" s="3" t="str">
        <f>C545</f>
        <v>°CTd/f</v>
      </c>
      <c r="E545" s="3"/>
      <c r="F545" s="3"/>
      <c r="G545" s="3" t="str">
        <f>D545</f>
        <v>°CTd/f</v>
      </c>
      <c r="H545" s="3" t="str">
        <f>G545</f>
        <v>°CTd/f</v>
      </c>
      <c r="K545" s="1">
        <v>5</v>
      </c>
      <c r="L545" s="1">
        <v>5</v>
      </c>
      <c r="M545" s="1">
        <v>5</v>
      </c>
      <c r="N545" s="1">
        <v>5</v>
      </c>
      <c r="Q545" s="9"/>
      <c r="R545" s="9"/>
      <c r="S545" s="9"/>
      <c r="T545" s="9"/>
      <c r="U545" s="1">
        <f t="shared" si="482"/>
        <v>13</v>
      </c>
      <c r="V545" s="1">
        <f t="shared" si="483"/>
        <v>216</v>
      </c>
    </row>
    <row r="546" spans="1:22" x14ac:dyDescent="0.3">
      <c r="A546" s="1">
        <f t="shared" si="471"/>
        <v>13217</v>
      </c>
      <c r="B546" s="4">
        <v>-60</v>
      </c>
      <c r="C546" s="4">
        <v>-59.44</v>
      </c>
      <c r="D546" s="4">
        <v>0.28000000000000003</v>
      </c>
      <c r="E546" s="4">
        <v>2</v>
      </c>
      <c r="F546" s="14">
        <v>1000000</v>
      </c>
      <c r="G546" s="8">
        <v>-60</v>
      </c>
      <c r="H546" s="7">
        <v>-60.44</v>
      </c>
      <c r="J546" s="24" t="str">
        <f t="shared" ref="J546" si="487">CONCATENATE(K545,1)</f>
        <v>51</v>
      </c>
      <c r="K546" s="6">
        <f t="array" ref="K546:N548">LINEST(B546:B550,C546:C550^{1,2,3},TRUE,TRUE)</f>
        <v>-1.7440031178856493E-5</v>
      </c>
      <c r="L546" s="6">
        <v>-7.8572689834891429E-4</v>
      </c>
      <c r="M546" s="6">
        <v>1.0088398622168646</v>
      </c>
      <c r="N546" s="6">
        <v>-0.90861749899674815</v>
      </c>
      <c r="Q546" s="9"/>
      <c r="R546" s="9"/>
      <c r="S546" s="9"/>
      <c r="T546" s="9"/>
      <c r="U546" s="1">
        <f t="shared" si="482"/>
        <v>13</v>
      </c>
      <c r="V546" s="1">
        <f t="shared" si="483"/>
        <v>217</v>
      </c>
    </row>
    <row r="547" spans="1:22" x14ac:dyDescent="0.3">
      <c r="A547" s="1">
        <f t="shared" si="471"/>
        <v>13218</v>
      </c>
      <c r="B547" s="4">
        <v>-50</v>
      </c>
      <c r="C547" s="4">
        <v>-48.87</v>
      </c>
      <c r="D547" s="4">
        <v>0.28000000000000003</v>
      </c>
      <c r="E547" s="4">
        <v>2</v>
      </c>
      <c r="F547" s="14">
        <v>1000000</v>
      </c>
      <c r="G547" s="8">
        <v>-50</v>
      </c>
      <c r="H547" s="7">
        <v>-48.55</v>
      </c>
      <c r="J547" s="24" t="str">
        <f t="shared" ref="J547" si="488">CONCATENATE(K545,2)</f>
        <v>52</v>
      </c>
      <c r="K547" s="6">
        <v>2.8483881367126131E-5</v>
      </c>
      <c r="L547" s="6">
        <v>3.3511802289645704E-3</v>
      </c>
      <c r="M547" s="6">
        <v>0.12260243014090774</v>
      </c>
      <c r="N547" s="6">
        <v>1.3721988614665299</v>
      </c>
      <c r="T547" s="9"/>
      <c r="U547" s="1">
        <f t="shared" si="482"/>
        <v>13</v>
      </c>
      <c r="V547" s="1">
        <f t="shared" si="483"/>
        <v>218</v>
      </c>
    </row>
    <row r="548" spans="1:22" x14ac:dyDescent="0.3">
      <c r="A548" s="1">
        <f t="shared" si="471"/>
        <v>13219</v>
      </c>
      <c r="B548" s="4">
        <v>-40</v>
      </c>
      <c r="C548" s="4">
        <v>-38.5</v>
      </c>
      <c r="D548" s="4">
        <v>0.28000000000000003</v>
      </c>
      <c r="E548" s="4">
        <v>2</v>
      </c>
      <c r="F548" s="14">
        <v>1000000</v>
      </c>
      <c r="G548" s="8">
        <v>-40</v>
      </c>
      <c r="H548" s="7">
        <v>-38.36</v>
      </c>
      <c r="J548" s="24" t="str">
        <f t="shared" ref="J548" si="489">CONCATENATE(K545,3)</f>
        <v>53</v>
      </c>
      <c r="K548" s="6">
        <v>0.99998707971658651</v>
      </c>
      <c r="L548" s="6">
        <v>0.1136674245924581</v>
      </c>
      <c r="M548" s="6" t="e">
        <v>#N/A</v>
      </c>
      <c r="N548" s="6" t="e">
        <v>#N/A</v>
      </c>
      <c r="T548" s="9"/>
      <c r="U548" s="1">
        <f t="shared" si="482"/>
        <v>13</v>
      </c>
      <c r="V548" s="1">
        <f t="shared" si="483"/>
        <v>219</v>
      </c>
    </row>
    <row r="549" spans="1:22" x14ac:dyDescent="0.3">
      <c r="A549" s="1">
        <f t="shared" si="471"/>
        <v>13220</v>
      </c>
      <c r="B549" s="4">
        <v>-30</v>
      </c>
      <c r="C549" s="4">
        <v>-28.66</v>
      </c>
      <c r="D549" s="4">
        <v>0.28000000000000003</v>
      </c>
      <c r="E549" s="4">
        <v>2</v>
      </c>
      <c r="F549" s="14">
        <v>1000000</v>
      </c>
      <c r="G549" s="8">
        <v>-30</v>
      </c>
      <c r="H549" s="7">
        <v>-28.4</v>
      </c>
      <c r="K549" s="1">
        <v>6</v>
      </c>
      <c r="L549" s="1">
        <v>6</v>
      </c>
      <c r="M549" s="1">
        <v>6</v>
      </c>
      <c r="N549" s="1">
        <v>6</v>
      </c>
      <c r="O549" s="1">
        <v>6</v>
      </c>
      <c r="T549" s="9"/>
      <c r="U549" s="1">
        <f t="shared" si="482"/>
        <v>13</v>
      </c>
      <c r="V549" s="1">
        <f t="shared" si="483"/>
        <v>220</v>
      </c>
    </row>
    <row r="550" spans="1:22" x14ac:dyDescent="0.3">
      <c r="A550" s="1">
        <f t="shared" si="471"/>
        <v>13221</v>
      </c>
      <c r="B550" s="4">
        <v>-20</v>
      </c>
      <c r="C550" s="4">
        <v>-18.75</v>
      </c>
      <c r="D550" s="4">
        <v>0.24</v>
      </c>
      <c r="E550" s="4">
        <v>2</v>
      </c>
      <c r="F550" s="14">
        <v>1000000</v>
      </c>
      <c r="G550" s="8">
        <v>-20</v>
      </c>
      <c r="H550" s="7">
        <v>-18.53</v>
      </c>
      <c r="J550" s="24" t="str">
        <f t="shared" ref="J550" si="490">CONCATENATE(K549,1)</f>
        <v>61</v>
      </c>
      <c r="K550" s="6">
        <f t="array" ref="K550:O552">LINEST(B546:B551,C546:C551^{1,2,3,4},TRUE,TRUE)</f>
        <v>-9.8756582915883975E-7</v>
      </c>
      <c r="L550" s="6">
        <v>-1.6543884317047038E-4</v>
      </c>
      <c r="M550" s="6">
        <v>-8.6084318041575441E-3</v>
      </c>
      <c r="N550" s="6">
        <v>0.83762216951174273</v>
      </c>
      <c r="O550" s="6">
        <v>-2.2081098013289147</v>
      </c>
      <c r="T550" s="9"/>
      <c r="U550" s="1">
        <f t="shared" si="482"/>
        <v>13</v>
      </c>
      <c r="V550" s="1">
        <f t="shared" si="483"/>
        <v>221</v>
      </c>
    </row>
    <row r="551" spans="1:22" x14ac:dyDescent="0.3">
      <c r="A551" s="1">
        <f t="shared" si="471"/>
        <v>13222</v>
      </c>
      <c r="B551" s="4">
        <v>-10</v>
      </c>
      <c r="C551" s="4">
        <v>-8.66</v>
      </c>
      <c r="D551" s="4">
        <v>0.24</v>
      </c>
      <c r="E551" s="4">
        <v>2</v>
      </c>
      <c r="F551" s="14">
        <v>1000000</v>
      </c>
      <c r="G551" s="8">
        <v>-10</v>
      </c>
      <c r="H551" s="7">
        <v>-9.14</v>
      </c>
      <c r="J551" s="24" t="str">
        <f t="shared" ref="J551" si="491">CONCATENATE(K549,2)</f>
        <v>62</v>
      </c>
      <c r="K551" s="6">
        <v>9.2122398169097922E-7</v>
      </c>
      <c r="L551" s="6">
        <v>1.2576566541678717E-4</v>
      </c>
      <c r="M551" s="6">
        <v>5.8500958310487511E-3</v>
      </c>
      <c r="N551" s="6">
        <v>0.10629167792119758</v>
      </c>
      <c r="O551" s="6">
        <v>0.60199840007007932</v>
      </c>
      <c r="T551" s="9"/>
      <c r="U551" s="1">
        <f t="shared" si="482"/>
        <v>13</v>
      </c>
      <c r="V551" s="1">
        <f t="shared" si="483"/>
        <v>222</v>
      </c>
    </row>
    <row r="552" spans="1:22" x14ac:dyDescent="0.3">
      <c r="A552" s="1">
        <f t="shared" si="471"/>
        <v>13223</v>
      </c>
      <c r="B552" s="4">
        <v>0</v>
      </c>
      <c r="C552" s="4">
        <v>1.61</v>
      </c>
      <c r="D552" s="4">
        <v>0.24</v>
      </c>
      <c r="E552" s="4">
        <v>2</v>
      </c>
      <c r="F552" s="14">
        <v>1000000</v>
      </c>
      <c r="G552" s="8">
        <v>0</v>
      </c>
      <c r="H552" s="7">
        <v>0.23</v>
      </c>
      <c r="J552" s="24" t="str">
        <f t="shared" ref="J552" si="492">CONCATENATE(K549,3)</f>
        <v>63</v>
      </c>
      <c r="K552" s="6">
        <v>0.99999554813265579</v>
      </c>
      <c r="L552" s="6">
        <v>8.8265326444148196E-2</v>
      </c>
      <c r="M552" s="6" t="e">
        <v>#N/A</v>
      </c>
      <c r="N552" s="6" t="e">
        <v>#N/A</v>
      </c>
      <c r="O552" s="6" t="e">
        <v>#N/A</v>
      </c>
      <c r="T552" s="9"/>
      <c r="U552" s="1">
        <f t="shared" si="482"/>
        <v>13</v>
      </c>
      <c r="V552" s="1">
        <f t="shared" si="483"/>
        <v>223</v>
      </c>
    </row>
    <row r="553" spans="1:22" x14ac:dyDescent="0.3">
      <c r="A553" s="1">
        <f t="shared" si="471"/>
        <v>13224</v>
      </c>
      <c r="B553" s="4"/>
      <c r="C553" s="4"/>
      <c r="D553" s="4"/>
      <c r="E553" s="4"/>
      <c r="F553" s="14"/>
      <c r="G553" s="8"/>
      <c r="H553" s="7"/>
      <c r="K553" s="1">
        <v>7</v>
      </c>
      <c r="L553" s="1">
        <v>7</v>
      </c>
      <c r="M553" s="1">
        <v>7</v>
      </c>
      <c r="N553" s="1">
        <v>7</v>
      </c>
      <c r="O553" s="1">
        <v>7</v>
      </c>
      <c r="P553" s="1">
        <v>7</v>
      </c>
      <c r="T553" s="9"/>
      <c r="U553" s="1">
        <f t="shared" si="482"/>
        <v>13</v>
      </c>
      <c r="V553" s="1">
        <f t="shared" si="483"/>
        <v>224</v>
      </c>
    </row>
    <row r="554" spans="1:22" x14ac:dyDescent="0.3">
      <c r="A554" s="1">
        <f t="shared" si="471"/>
        <v>13225</v>
      </c>
      <c r="B554" s="4"/>
      <c r="C554" s="4"/>
      <c r="D554" s="4"/>
      <c r="E554" s="4"/>
      <c r="F554" s="14"/>
      <c r="G554" s="8"/>
      <c r="H554" s="7"/>
      <c r="J554" s="24" t="str">
        <f t="shared" ref="J554" si="493">CONCATENATE(K553,1)</f>
        <v>71</v>
      </c>
      <c r="K554" s="6">
        <f t="array" ref="K554:P556">LINEST(B546:B552,C546:C552^{1,2,3,4,5},TRUE,TRUE)</f>
        <v>4.2761370987454003E-8</v>
      </c>
      <c r="L554" s="6">
        <v>6.1182783721849177E-6</v>
      </c>
      <c r="M554" s="6">
        <v>2.7051697492641835E-4</v>
      </c>
      <c r="N554" s="6">
        <v>3.4929307343563839E-3</v>
      </c>
      <c r="O554" s="6">
        <v>0.98551427756820997</v>
      </c>
      <c r="P554" s="6">
        <v>-1.5951148735383649</v>
      </c>
      <c r="T554" s="9"/>
      <c r="U554" s="1">
        <f t="shared" si="482"/>
        <v>13</v>
      </c>
      <c r="V554" s="1">
        <f t="shared" si="483"/>
        <v>225</v>
      </c>
    </row>
    <row r="555" spans="1:22" x14ac:dyDescent="0.3">
      <c r="A555" s="1">
        <f t="shared" si="471"/>
        <v>13226</v>
      </c>
      <c r="B555" s="4"/>
      <c r="C555" s="4"/>
      <c r="D555" s="4"/>
      <c r="E555" s="4"/>
      <c r="F555" s="14"/>
      <c r="G555" s="8"/>
      <c r="H555" s="7"/>
      <c r="J555" s="24" t="str">
        <f t="shared" ref="J555" si="494">CONCATENATE(K553,2)</f>
        <v>72</v>
      </c>
      <c r="K555" s="6">
        <v>2.0456240455344936E-8</v>
      </c>
      <c r="L555" s="6">
        <v>2.9641570655161013E-6</v>
      </c>
      <c r="M555" s="6">
        <v>1.4882859514523766E-4</v>
      </c>
      <c r="N555" s="6">
        <v>2.9862319126860121E-3</v>
      </c>
      <c r="O555" s="6">
        <v>1.9414740120066734E-2</v>
      </c>
      <c r="P555" s="6">
        <v>5.3719447383236113E-2</v>
      </c>
      <c r="T555" s="9"/>
      <c r="U555" s="1">
        <f t="shared" si="482"/>
        <v>13</v>
      </c>
      <c r="V555" s="1">
        <f t="shared" si="483"/>
        <v>226</v>
      </c>
    </row>
    <row r="556" spans="1:22" x14ac:dyDescent="0.3">
      <c r="A556" s="1">
        <f t="shared" si="471"/>
        <v>13227</v>
      </c>
      <c r="B556" s="9"/>
      <c r="C556" s="9"/>
      <c r="D556" s="9"/>
      <c r="E556" s="9"/>
      <c r="F556" s="9"/>
      <c r="G556" s="9"/>
      <c r="H556" s="9"/>
      <c r="J556" s="24" t="str">
        <f t="shared" ref="J556" si="495">CONCATENATE(K553,3)</f>
        <v>73</v>
      </c>
      <c r="K556" s="6">
        <v>0.9999988364360094</v>
      </c>
      <c r="L556" s="6">
        <v>5.7078710338287708E-2</v>
      </c>
      <c r="M556" s="6" t="e">
        <v>#N/A</v>
      </c>
      <c r="N556" s="6" t="e">
        <v>#N/A</v>
      </c>
      <c r="O556" s="6" t="e">
        <v>#N/A</v>
      </c>
      <c r="P556" s="6" t="e">
        <v>#N/A</v>
      </c>
      <c r="T556" s="9"/>
      <c r="U556" s="1">
        <f t="shared" si="482"/>
        <v>13</v>
      </c>
      <c r="V556" s="1">
        <f t="shared" si="483"/>
        <v>227</v>
      </c>
    </row>
    <row r="557" spans="1:22" x14ac:dyDescent="0.3">
      <c r="A557" s="1">
        <f t="shared" si="471"/>
        <v>13228</v>
      </c>
      <c r="B557" s="87" t="s">
        <v>33</v>
      </c>
      <c r="C557" s="88"/>
      <c r="D557" s="88"/>
      <c r="E557" s="88"/>
      <c r="F557" s="88"/>
      <c r="G557" s="88"/>
      <c r="H557" s="89"/>
      <c r="K557" s="1">
        <v>8</v>
      </c>
      <c r="L557" s="1">
        <v>8</v>
      </c>
      <c r="M557" s="1">
        <v>8</v>
      </c>
      <c r="N557" s="1">
        <v>8</v>
      </c>
      <c r="O557" s="1">
        <v>8</v>
      </c>
      <c r="P557" s="1">
        <v>8</v>
      </c>
      <c r="Q557" s="1">
        <v>8</v>
      </c>
      <c r="T557" s="9"/>
      <c r="U557" s="1">
        <f t="shared" si="482"/>
        <v>13</v>
      </c>
      <c r="V557" s="1">
        <f t="shared" si="483"/>
        <v>228</v>
      </c>
    </row>
    <row r="558" spans="1:22" x14ac:dyDescent="0.3">
      <c r="A558" s="1">
        <f t="shared" si="471"/>
        <v>13229</v>
      </c>
      <c r="B558" s="90"/>
      <c r="C558" s="91"/>
      <c r="D558" s="91"/>
      <c r="E558" s="91"/>
      <c r="F558" s="91"/>
      <c r="G558" s="91"/>
      <c r="H558" s="92"/>
      <c r="J558" s="24" t="str">
        <f t="shared" ref="J558" si="496">CONCATENATE(K557,1)</f>
        <v>81</v>
      </c>
      <c r="K558" s="6" t="e">
        <f t="array" ref="K558:Q560">LINEST(B546:B553,C546:C553^{1,2,3,4,5,6},TRUE,TRUE)</f>
        <v>#VALUE!</v>
      </c>
      <c r="L558" s="6" t="e">
        <v>#VALUE!</v>
      </c>
      <c r="M558" s="6" t="e">
        <v>#VALUE!</v>
      </c>
      <c r="N558" s="6" t="e">
        <v>#VALUE!</v>
      </c>
      <c r="O558" s="6" t="e">
        <v>#VALUE!</v>
      </c>
      <c r="P558" s="6" t="e">
        <v>#VALUE!</v>
      </c>
      <c r="Q558" s="6" t="e">
        <v>#VALUE!</v>
      </c>
      <c r="T558" s="9"/>
      <c r="U558" s="1">
        <f t="shared" si="482"/>
        <v>13</v>
      </c>
      <c r="V558" s="1">
        <f t="shared" si="483"/>
        <v>229</v>
      </c>
    </row>
    <row r="559" spans="1:22" x14ac:dyDescent="0.3">
      <c r="A559" s="1">
        <f t="shared" si="471"/>
        <v>13230</v>
      </c>
      <c r="B559" s="93"/>
      <c r="C559" s="94"/>
      <c r="D559" s="94"/>
      <c r="E559" s="94"/>
      <c r="F559" s="94"/>
      <c r="G559" s="94"/>
      <c r="H559" s="95"/>
      <c r="J559" s="24" t="str">
        <f t="shared" ref="J559" si="497">CONCATENATE(K557,2)</f>
        <v>82</v>
      </c>
      <c r="K559" s="6" t="e">
        <v>#VALUE!</v>
      </c>
      <c r="L559" s="6" t="e">
        <v>#VALUE!</v>
      </c>
      <c r="M559" s="6" t="e">
        <v>#VALUE!</v>
      </c>
      <c r="N559" s="6" t="e">
        <v>#VALUE!</v>
      </c>
      <c r="O559" s="6" t="e">
        <v>#VALUE!</v>
      </c>
      <c r="P559" s="6" t="e">
        <v>#VALUE!</v>
      </c>
      <c r="Q559" s="6" t="e">
        <v>#VALUE!</v>
      </c>
      <c r="T559" s="9"/>
      <c r="U559" s="1">
        <f t="shared" si="482"/>
        <v>13</v>
      </c>
      <c r="V559" s="1">
        <f t="shared" si="483"/>
        <v>230</v>
      </c>
    </row>
    <row r="560" spans="1:22" x14ac:dyDescent="0.3">
      <c r="A560" s="1">
        <f t="shared" si="471"/>
        <v>13231</v>
      </c>
      <c r="J560" s="24" t="str">
        <f t="shared" ref="J560" si="498">CONCATENATE(K557,3)</f>
        <v>83</v>
      </c>
      <c r="K560" s="6" t="e">
        <v>#VALUE!</v>
      </c>
      <c r="L560" s="6" t="e">
        <v>#VALUE!</v>
      </c>
      <c r="M560" s="6" t="e">
        <v>#VALUE!</v>
      </c>
      <c r="N560" s="6" t="e">
        <v>#VALUE!</v>
      </c>
      <c r="O560" s="6" t="e">
        <v>#VALUE!</v>
      </c>
      <c r="P560" s="6" t="e">
        <v>#VALUE!</v>
      </c>
      <c r="Q560" s="6" t="e">
        <v>#VALUE!</v>
      </c>
      <c r="T560" s="9"/>
      <c r="U560" s="1">
        <f t="shared" si="482"/>
        <v>13</v>
      </c>
      <c r="V560" s="1">
        <f t="shared" si="483"/>
        <v>231</v>
      </c>
    </row>
    <row r="561" spans="1:22" ht="15" customHeight="1" x14ac:dyDescent="0.3">
      <c r="A561" s="1">
        <f t="shared" si="471"/>
        <v>13232</v>
      </c>
      <c r="B561" s="10" t="s">
        <v>34</v>
      </c>
      <c r="C561" s="10" t="s">
        <v>35</v>
      </c>
      <c r="D561" s="10" t="s">
        <v>36</v>
      </c>
      <c r="E561" s="74" t="s">
        <v>37</v>
      </c>
      <c r="F561" s="75"/>
      <c r="G561" s="76"/>
      <c r="K561" s="1">
        <v>9</v>
      </c>
      <c r="L561" s="1">
        <v>9</v>
      </c>
      <c r="M561" s="1">
        <v>9</v>
      </c>
      <c r="N561" s="1">
        <v>9</v>
      </c>
      <c r="O561" s="1">
        <v>9</v>
      </c>
      <c r="P561" s="1">
        <v>9</v>
      </c>
      <c r="Q561" s="1">
        <v>9</v>
      </c>
      <c r="R561" s="1">
        <v>9</v>
      </c>
      <c r="T561" s="9"/>
      <c r="U561" s="1">
        <f t="shared" si="482"/>
        <v>13</v>
      </c>
      <c r="V561" s="1">
        <f t="shared" si="483"/>
        <v>232</v>
      </c>
    </row>
    <row r="562" spans="1:22" x14ac:dyDescent="0.3">
      <c r="A562" s="1">
        <f t="shared" si="471"/>
        <v>13233</v>
      </c>
      <c r="B562" s="12">
        <f t="shared" ref="B562:B571" si="499">C546-B546</f>
        <v>0.56000000000000227</v>
      </c>
      <c r="C562" s="13">
        <f t="shared" ref="C562:C571" si="500">H546-G546</f>
        <v>-0.43999999999999773</v>
      </c>
      <c r="D562" s="10">
        <f>C562-B562</f>
        <v>-1</v>
      </c>
      <c r="E562" s="11">
        <f>IF(D537="","",MAX(F562,G562))</f>
        <v>1.3800000000000001</v>
      </c>
      <c r="F562" s="10">
        <f>ABS(MIN(D562:D571))</f>
        <v>1.3800000000000001</v>
      </c>
      <c r="G562" s="10">
        <f>ABS(MAX(D562:D571))</f>
        <v>0.32000000000000028</v>
      </c>
      <c r="J562" s="24" t="str">
        <f t="shared" ref="J562" si="501">CONCATENATE(K561,1)</f>
        <v>91</v>
      </c>
      <c r="K562" s="6" t="e">
        <f t="array" ref="K562:R564">LINEST(B546:B554,C546:C554^{1,2,3,4,5,6,7},TRUE,TRUE)</f>
        <v>#VALUE!</v>
      </c>
      <c r="L562" s="6" t="e">
        <v>#VALUE!</v>
      </c>
      <c r="M562" s="6" t="e">
        <v>#VALUE!</v>
      </c>
      <c r="N562" s="6" t="e">
        <v>#VALUE!</v>
      </c>
      <c r="O562" s="6" t="e">
        <v>#VALUE!</v>
      </c>
      <c r="P562" s="6" t="e">
        <v>#VALUE!</v>
      </c>
      <c r="Q562" s="6" t="e">
        <v>#VALUE!</v>
      </c>
      <c r="R562" s="6" t="e">
        <v>#VALUE!</v>
      </c>
      <c r="T562" s="9"/>
      <c r="U562" s="1">
        <f t="shared" si="482"/>
        <v>13</v>
      </c>
      <c r="V562" s="1">
        <f t="shared" si="483"/>
        <v>233</v>
      </c>
    </row>
    <row r="563" spans="1:22" x14ac:dyDescent="0.3">
      <c r="A563" s="1">
        <f t="shared" si="471"/>
        <v>13234</v>
      </c>
      <c r="B563" s="12">
        <f t="shared" si="499"/>
        <v>1.1300000000000026</v>
      </c>
      <c r="C563" s="13">
        <f t="shared" si="500"/>
        <v>1.4500000000000028</v>
      </c>
      <c r="D563" s="10">
        <f t="shared" ref="D563:D571" si="502">C563-B563</f>
        <v>0.32000000000000028</v>
      </c>
      <c r="E563" s="74" t="s">
        <v>38</v>
      </c>
      <c r="F563" s="75"/>
      <c r="G563" s="76"/>
      <c r="J563" s="24" t="str">
        <f t="shared" ref="J563" si="503">CONCATENATE(K561,2)</f>
        <v>92</v>
      </c>
      <c r="K563" s="6" t="e">
        <v>#VALUE!</v>
      </c>
      <c r="L563" s="6" t="e">
        <v>#VALUE!</v>
      </c>
      <c r="M563" s="6" t="e">
        <v>#VALUE!</v>
      </c>
      <c r="N563" s="6" t="e">
        <v>#VALUE!</v>
      </c>
      <c r="O563" s="6" t="e">
        <v>#VALUE!</v>
      </c>
      <c r="P563" s="6" t="e">
        <v>#VALUE!</v>
      </c>
      <c r="Q563" s="6" t="e">
        <v>#VALUE!</v>
      </c>
      <c r="R563" s="6" t="e">
        <v>#VALUE!</v>
      </c>
      <c r="T563" s="9"/>
      <c r="U563" s="1">
        <f t="shared" si="482"/>
        <v>13</v>
      </c>
      <c r="V563" s="1">
        <f t="shared" si="483"/>
        <v>234</v>
      </c>
    </row>
    <row r="564" spans="1:22" x14ac:dyDescent="0.3">
      <c r="A564" s="1">
        <f t="shared" si="471"/>
        <v>13235</v>
      </c>
      <c r="B564" s="12">
        <f t="shared" si="499"/>
        <v>1.5</v>
      </c>
      <c r="C564" s="13">
        <f t="shared" si="500"/>
        <v>1.6400000000000006</v>
      </c>
      <c r="D564" s="10">
        <f t="shared" si="502"/>
        <v>0.14000000000000057</v>
      </c>
      <c r="E564" s="11">
        <f>IF(D537="","",MAX(F564,G564))</f>
        <v>1.61</v>
      </c>
      <c r="F564" s="10">
        <f>ABS(MIN(B562:B571))</f>
        <v>0</v>
      </c>
      <c r="G564" s="10">
        <f>ABS(MAX(B562:B571))</f>
        <v>1.61</v>
      </c>
      <c r="J564" s="24" t="str">
        <f t="shared" ref="J564" si="504">CONCATENATE(K561,3)</f>
        <v>93</v>
      </c>
      <c r="K564" s="6" t="e">
        <v>#VALUE!</v>
      </c>
      <c r="L564" s="6" t="e">
        <v>#VALUE!</v>
      </c>
      <c r="M564" s="6" t="e">
        <v>#VALUE!</v>
      </c>
      <c r="N564" s="6" t="e">
        <v>#VALUE!</v>
      </c>
      <c r="O564" s="6" t="e">
        <v>#VALUE!</v>
      </c>
      <c r="P564" s="6" t="e">
        <v>#VALUE!</v>
      </c>
      <c r="Q564" s="6" t="e">
        <v>#VALUE!</v>
      </c>
      <c r="R564" s="6" t="e">
        <v>#VALUE!</v>
      </c>
      <c r="T564" s="9"/>
      <c r="U564" s="1">
        <f t="shared" si="482"/>
        <v>13</v>
      </c>
      <c r="V564" s="1">
        <f t="shared" si="483"/>
        <v>235</v>
      </c>
    </row>
    <row r="565" spans="1:22" x14ac:dyDescent="0.3">
      <c r="A565" s="1">
        <f t="shared" si="471"/>
        <v>13236</v>
      </c>
      <c r="B565" s="12">
        <f t="shared" si="499"/>
        <v>1.3399999999999999</v>
      </c>
      <c r="C565" s="13">
        <f t="shared" si="500"/>
        <v>1.6000000000000014</v>
      </c>
      <c r="D565" s="10">
        <f t="shared" si="502"/>
        <v>0.26000000000000156</v>
      </c>
      <c r="E565" s="74" t="s">
        <v>39</v>
      </c>
      <c r="F565" s="75"/>
      <c r="G565" s="76"/>
      <c r="K565" s="1">
        <v>10</v>
      </c>
      <c r="L565" s="1">
        <v>10</v>
      </c>
      <c r="M565" s="1">
        <v>10</v>
      </c>
      <c r="N565" s="1">
        <v>10</v>
      </c>
      <c r="O565" s="1">
        <v>10</v>
      </c>
      <c r="P565" s="1">
        <v>10</v>
      </c>
      <c r="Q565" s="1">
        <v>10</v>
      </c>
      <c r="R565" s="1">
        <v>10</v>
      </c>
      <c r="S565" s="1">
        <v>10</v>
      </c>
      <c r="T565" s="9"/>
      <c r="U565" s="1">
        <f t="shared" si="482"/>
        <v>13</v>
      </c>
      <c r="V565" s="1">
        <f t="shared" si="483"/>
        <v>236</v>
      </c>
    </row>
    <row r="566" spans="1:22" x14ac:dyDescent="0.3">
      <c r="A566" s="1">
        <f t="shared" si="471"/>
        <v>13237</v>
      </c>
      <c r="B566" s="12">
        <f t="shared" si="499"/>
        <v>1.25</v>
      </c>
      <c r="C566" s="13">
        <f t="shared" si="500"/>
        <v>1.4699999999999989</v>
      </c>
      <c r="D566" s="10">
        <f t="shared" si="502"/>
        <v>0.21999999999999886</v>
      </c>
      <c r="E566" s="11">
        <f>IF(D537="","",MAX(F566,G566))</f>
        <v>0.28000000000000003</v>
      </c>
      <c r="F566" s="10">
        <f>ABS(MIN(D546:D555))</f>
        <v>0.24</v>
      </c>
      <c r="G566" s="10">
        <f>ABS(MAX(D546:D555))</f>
        <v>0.28000000000000003</v>
      </c>
      <c r="J566" s="24" t="str">
        <f t="shared" ref="J566" si="505">CONCATENATE(K565,1)</f>
        <v>101</v>
      </c>
      <c r="K566" s="6" t="e">
        <f t="array" ref="K566:S568">LINEST(B546:B555,C546:C555^{1,2,3,4,5,6,7,8},TRUE,TRUE)</f>
        <v>#VALUE!</v>
      </c>
      <c r="L566" s="6" t="e">
        <v>#VALUE!</v>
      </c>
      <c r="M566" s="6" t="e">
        <v>#VALUE!</v>
      </c>
      <c r="N566" s="6" t="e">
        <v>#VALUE!</v>
      </c>
      <c r="O566" s="6" t="e">
        <v>#VALUE!</v>
      </c>
      <c r="P566" s="6" t="e">
        <v>#VALUE!</v>
      </c>
      <c r="Q566" s="6" t="e">
        <v>#VALUE!</v>
      </c>
      <c r="R566" s="6" t="e">
        <v>#VALUE!</v>
      </c>
      <c r="S566" s="6" t="e">
        <v>#VALUE!</v>
      </c>
      <c r="T566" s="9"/>
      <c r="U566" s="1">
        <f t="shared" si="482"/>
        <v>13</v>
      </c>
      <c r="V566" s="1">
        <f t="shared" si="483"/>
        <v>237</v>
      </c>
    </row>
    <row r="567" spans="1:22" x14ac:dyDescent="0.3">
      <c r="A567" s="1">
        <f t="shared" si="471"/>
        <v>13238</v>
      </c>
      <c r="B567" s="12">
        <f t="shared" si="499"/>
        <v>1.3399999999999999</v>
      </c>
      <c r="C567" s="13">
        <f t="shared" si="500"/>
        <v>0.85999999999999943</v>
      </c>
      <c r="D567" s="10">
        <f t="shared" si="502"/>
        <v>-0.48000000000000043</v>
      </c>
      <c r="J567" s="24" t="str">
        <f t="shared" ref="J567" si="506">CONCATENATE(K565,2)</f>
        <v>102</v>
      </c>
      <c r="K567" s="6" t="e">
        <v>#VALUE!</v>
      </c>
      <c r="L567" s="6" t="e">
        <v>#VALUE!</v>
      </c>
      <c r="M567" s="6" t="e">
        <v>#VALUE!</v>
      </c>
      <c r="N567" s="6" t="e">
        <v>#VALUE!</v>
      </c>
      <c r="O567" s="6" t="e">
        <v>#VALUE!</v>
      </c>
      <c r="P567" s="6" t="e">
        <v>#VALUE!</v>
      </c>
      <c r="Q567" s="6" t="e">
        <v>#VALUE!</v>
      </c>
      <c r="R567" s="6" t="e">
        <v>#VALUE!</v>
      </c>
      <c r="S567" s="6" t="e">
        <v>#VALUE!</v>
      </c>
      <c r="T567" s="9"/>
      <c r="U567" s="1">
        <f t="shared" si="482"/>
        <v>13</v>
      </c>
      <c r="V567" s="1">
        <f t="shared" si="483"/>
        <v>238</v>
      </c>
    </row>
    <row r="568" spans="1:22" x14ac:dyDescent="0.3">
      <c r="A568" s="1">
        <f t="shared" si="471"/>
        <v>13239</v>
      </c>
      <c r="B568" s="12">
        <f t="shared" si="499"/>
        <v>1.61</v>
      </c>
      <c r="C568" s="13">
        <f t="shared" si="500"/>
        <v>0.23</v>
      </c>
      <c r="D568" s="10">
        <f t="shared" si="502"/>
        <v>-1.3800000000000001</v>
      </c>
      <c r="J568" s="24" t="str">
        <f t="shared" ref="J568" si="507">CONCATENATE(K565,3)</f>
        <v>103</v>
      </c>
      <c r="K568" s="6" t="e">
        <v>#VALUE!</v>
      </c>
      <c r="L568" s="6" t="e">
        <v>#VALUE!</v>
      </c>
      <c r="M568" s="6" t="e">
        <v>#VALUE!</v>
      </c>
      <c r="N568" s="6" t="e">
        <v>#VALUE!</v>
      </c>
      <c r="O568" s="6" t="e">
        <v>#VALUE!</v>
      </c>
      <c r="P568" s="6" t="e">
        <v>#VALUE!</v>
      </c>
      <c r="Q568" s="6" t="e">
        <v>#VALUE!</v>
      </c>
      <c r="R568" s="6" t="e">
        <v>#VALUE!</v>
      </c>
      <c r="S568" s="6" t="e">
        <v>#VALUE!</v>
      </c>
      <c r="T568" s="9"/>
      <c r="U568" s="1">
        <f t="shared" si="482"/>
        <v>13</v>
      </c>
      <c r="V568" s="1">
        <f t="shared" si="483"/>
        <v>239</v>
      </c>
    </row>
    <row r="569" spans="1:22" x14ac:dyDescent="0.3">
      <c r="A569" s="1">
        <f t="shared" si="471"/>
        <v>13240</v>
      </c>
      <c r="B569" s="12">
        <f t="shared" si="499"/>
        <v>0</v>
      </c>
      <c r="C569" s="13">
        <f t="shared" si="500"/>
        <v>0</v>
      </c>
      <c r="D569" s="10">
        <f t="shared" si="502"/>
        <v>0</v>
      </c>
      <c r="J569" s="9"/>
      <c r="K569" s="9"/>
      <c r="L569" s="9"/>
      <c r="M569" s="9"/>
      <c r="N569" s="9"/>
      <c r="O569" s="9"/>
      <c r="P569" s="9"/>
      <c r="Q569" s="9"/>
      <c r="R569" s="9"/>
      <c r="S569" s="9"/>
      <c r="T569" s="9"/>
      <c r="U569" s="1">
        <f t="shared" si="482"/>
        <v>13</v>
      </c>
      <c r="V569" s="1">
        <f t="shared" si="483"/>
        <v>240</v>
      </c>
    </row>
    <row r="570" spans="1:22" x14ac:dyDescent="0.3">
      <c r="A570" s="1">
        <f t="shared" si="471"/>
        <v>13241</v>
      </c>
      <c r="B570" s="12">
        <f t="shared" si="499"/>
        <v>0</v>
      </c>
      <c r="C570" s="13">
        <f t="shared" si="500"/>
        <v>0</v>
      </c>
      <c r="D570" s="10">
        <f t="shared" si="502"/>
        <v>0</v>
      </c>
      <c r="J570" s="9"/>
      <c r="K570" s="9"/>
      <c r="L570" s="9"/>
      <c r="M570" s="9"/>
      <c r="N570" s="9"/>
      <c r="O570" s="9"/>
      <c r="P570" s="9"/>
      <c r="Q570" s="9"/>
      <c r="R570" s="9"/>
      <c r="S570" s="9"/>
      <c r="T570" s="9"/>
      <c r="U570" s="1">
        <f t="shared" si="482"/>
        <v>13</v>
      </c>
      <c r="V570" s="1">
        <f t="shared" si="483"/>
        <v>241</v>
      </c>
    </row>
    <row r="571" spans="1:22" x14ac:dyDescent="0.3">
      <c r="A571" s="1">
        <f t="shared" si="471"/>
        <v>13242</v>
      </c>
      <c r="B571" s="12">
        <f t="shared" si="499"/>
        <v>0</v>
      </c>
      <c r="C571" s="13">
        <f t="shared" si="500"/>
        <v>0</v>
      </c>
      <c r="D571" s="10">
        <f t="shared" si="502"/>
        <v>0</v>
      </c>
      <c r="J571" s="9"/>
      <c r="K571" s="9"/>
      <c r="L571" s="9"/>
      <c r="M571" s="9"/>
      <c r="N571" s="9"/>
      <c r="O571" s="9"/>
      <c r="P571" s="9"/>
      <c r="Q571" s="9"/>
      <c r="R571" s="9"/>
      <c r="S571" s="9"/>
      <c r="T571" s="9"/>
      <c r="U571" s="1">
        <f t="shared" si="482"/>
        <v>13</v>
      </c>
      <c r="V571" s="1">
        <f t="shared" si="483"/>
        <v>242</v>
      </c>
    </row>
    <row r="572" spans="1:22" x14ac:dyDescent="0.3">
      <c r="A572" s="1">
        <f t="shared" si="471"/>
        <v>13243</v>
      </c>
      <c r="J572" s="9"/>
      <c r="K572" s="9"/>
      <c r="L572" s="9"/>
      <c r="M572" s="9"/>
      <c r="N572" s="9"/>
      <c r="O572" s="9"/>
      <c r="P572" s="9"/>
      <c r="Q572" s="9"/>
      <c r="R572" s="9"/>
      <c r="S572" s="9"/>
      <c r="T572" s="9"/>
      <c r="U572" s="1">
        <f t="shared" si="482"/>
        <v>13</v>
      </c>
      <c r="V572" s="1">
        <f t="shared" si="483"/>
        <v>243</v>
      </c>
    </row>
    <row r="573" spans="1:22" s="5" customFormat="1" x14ac:dyDescent="0.3"/>
    <row r="574" spans="1:22" x14ac:dyDescent="0.3">
      <c r="A574" s="1">
        <f t="shared" ref="A574:A616" si="508">ROUND(CONCATENATE(U574,V574),0)</f>
        <v>14201</v>
      </c>
      <c r="B574" s="96" t="s">
        <v>0</v>
      </c>
      <c r="C574" s="97"/>
      <c r="D574" s="110"/>
      <c r="E574" s="111"/>
      <c r="F574" s="111"/>
      <c r="G574" s="111"/>
      <c r="H574" s="112"/>
      <c r="J574" s="9"/>
      <c r="K574" s="9"/>
      <c r="L574" s="9"/>
      <c r="M574" s="9"/>
      <c r="N574" s="9"/>
      <c r="O574" s="9"/>
      <c r="P574" s="9"/>
      <c r="Q574" s="9"/>
      <c r="R574" s="9"/>
      <c r="S574" s="9"/>
      <c r="T574" s="9"/>
      <c r="U574" s="1">
        <f t="shared" ref="U574" si="509">U572+1</f>
        <v>14</v>
      </c>
      <c r="V574" s="1">
        <v>201</v>
      </c>
    </row>
    <row r="575" spans="1:22" x14ac:dyDescent="0.3">
      <c r="A575" s="1">
        <f t="shared" si="508"/>
        <v>14202</v>
      </c>
      <c r="B575" s="96" t="s">
        <v>1</v>
      </c>
      <c r="C575" s="97"/>
      <c r="D575" s="15"/>
      <c r="E575" s="16" t="s">
        <v>2</v>
      </c>
      <c r="F575" s="107"/>
      <c r="G575" s="108"/>
      <c r="H575" s="109"/>
      <c r="J575" s="9"/>
      <c r="K575" s="9"/>
      <c r="L575" s="9"/>
      <c r="M575" s="9"/>
      <c r="N575" s="9"/>
      <c r="O575" s="9"/>
      <c r="P575" s="9"/>
      <c r="Q575" s="9"/>
      <c r="R575" s="9"/>
      <c r="S575" s="9"/>
      <c r="T575" s="9"/>
      <c r="U575" s="1">
        <f t="shared" ref="U575" si="510">U574</f>
        <v>14</v>
      </c>
      <c r="V575" s="1">
        <f t="shared" ref="V575" si="511">V574+1</f>
        <v>202</v>
      </c>
    </row>
    <row r="576" spans="1:22" x14ac:dyDescent="0.3">
      <c r="A576" s="1">
        <f t="shared" si="508"/>
        <v>14203</v>
      </c>
      <c r="B576" s="96" t="s">
        <v>12</v>
      </c>
      <c r="C576" s="97"/>
      <c r="D576" s="110"/>
      <c r="E576" s="111"/>
      <c r="F576" s="111"/>
      <c r="G576" s="111"/>
      <c r="H576" s="112"/>
      <c r="K576" s="1" t="s">
        <v>3</v>
      </c>
      <c r="L576" s="1" t="s">
        <v>4</v>
      </c>
      <c r="M576" s="1" t="s">
        <v>5</v>
      </c>
      <c r="N576" s="1" t="s">
        <v>6</v>
      </c>
      <c r="O576" s="1" t="s">
        <v>7</v>
      </c>
      <c r="P576" s="1" t="s">
        <v>8</v>
      </c>
      <c r="Q576" s="1" t="s">
        <v>9</v>
      </c>
      <c r="R576" s="1" t="s">
        <v>10</v>
      </c>
      <c r="S576" s="1" t="s">
        <v>11</v>
      </c>
      <c r="T576" s="9"/>
      <c r="U576" s="1">
        <f t="shared" si="482"/>
        <v>14</v>
      </c>
      <c r="V576" s="1">
        <f t="shared" si="483"/>
        <v>203</v>
      </c>
    </row>
    <row r="577" spans="1:22" x14ac:dyDescent="0.3">
      <c r="A577" s="1">
        <f t="shared" si="508"/>
        <v>14204</v>
      </c>
      <c r="B577" s="96" t="s">
        <v>13</v>
      </c>
      <c r="C577" s="97"/>
      <c r="D577" s="110"/>
      <c r="E577" s="111"/>
      <c r="F577" s="111"/>
      <c r="G577" s="111"/>
      <c r="H577" s="112"/>
      <c r="J577" s="1">
        <f t="shared" ref="J577" si="512">COUNTA(B590:B599)</f>
        <v>0</v>
      </c>
      <c r="K577" s="1">
        <f t="shared" ref="K577" si="513">IF(L577-1&lt;2,0,L577-1)</f>
        <v>0</v>
      </c>
      <c r="L577" s="1">
        <f t="shared" ref="L577" si="514">IF(M577-1&lt;2,0,M577-1)</f>
        <v>0</v>
      </c>
      <c r="M577" s="1">
        <f t="shared" ref="M577" si="515">IF(N577-1&lt;2,0,N577-1)</f>
        <v>0</v>
      </c>
      <c r="N577" s="1">
        <f t="shared" ref="N577" si="516">IF(O577-1&lt;2,0,O577-1)</f>
        <v>0</v>
      </c>
      <c r="O577" s="1">
        <f t="shared" ref="O577" si="517">IF(P577-1&lt;2,0,P577-1)</f>
        <v>0</v>
      </c>
      <c r="P577" s="1">
        <f t="shared" ref="P577" si="518">IF(Q577-1&lt;2,0,Q577-1)</f>
        <v>0</v>
      </c>
      <c r="Q577" s="1">
        <f t="shared" ref="Q577" si="519">IF(R577-1&lt;2,0,R577-1)</f>
        <v>0</v>
      </c>
      <c r="R577" s="1">
        <f t="shared" ref="R577" si="520">IF(S577-1&lt;2,0,S577-1)</f>
        <v>0</v>
      </c>
      <c r="S577" s="1">
        <f t="shared" ref="S577" si="521">J577</f>
        <v>0</v>
      </c>
      <c r="T577" s="9"/>
      <c r="U577" s="1">
        <f t="shared" si="482"/>
        <v>14</v>
      </c>
      <c r="V577" s="1">
        <f t="shared" si="483"/>
        <v>204</v>
      </c>
    </row>
    <row r="578" spans="1:22" x14ac:dyDescent="0.3">
      <c r="A578" s="1">
        <f t="shared" si="508"/>
        <v>14205</v>
      </c>
      <c r="B578" s="96" t="s">
        <v>14</v>
      </c>
      <c r="C578" s="97"/>
      <c r="D578" s="110"/>
      <c r="E578" s="111"/>
      <c r="F578" s="111"/>
      <c r="G578" s="111"/>
      <c r="H578" s="112"/>
      <c r="J578" s="24" t="str">
        <f t="shared" ref="J578" si="522">CONCATENATE(J577,1)</f>
        <v>01</v>
      </c>
      <c r="K578" s="25">
        <f t="shared" ref="K578" si="523">IF(K577=0,0,VLOOKUP(J578,J582:S612,K577,FALSE))</f>
        <v>0</v>
      </c>
      <c r="L578" s="25">
        <f t="shared" ref="L578" si="524">IF(L577=0,0,VLOOKUP(J578,J582:S612,L577,FALSE))</f>
        <v>0</v>
      </c>
      <c r="M578" s="25">
        <f t="shared" ref="M578" si="525">IF(M577=0,0,VLOOKUP(J578,J582:S612,M577,FALSE))</f>
        <v>0</v>
      </c>
      <c r="N578" s="25">
        <f t="shared" ref="N578" si="526">IF(N577=0,0,VLOOKUP(J578,J582:S612,N577,FALSE))</f>
        <v>0</v>
      </c>
      <c r="O578" s="25">
        <f t="shared" ref="O578" si="527">IF(O577=0,0,VLOOKUP(J578,J582:S612,O577,FALSE))</f>
        <v>0</v>
      </c>
      <c r="P578" s="25">
        <f t="shared" ref="P578" si="528">IF(P577=0,0,VLOOKUP(J578,J582:S612,P577,FALSE))</f>
        <v>0</v>
      </c>
      <c r="Q578" s="25">
        <f t="shared" ref="Q578" si="529">IF(Q577=0,0,VLOOKUP(J578,J582:S612,Q577,FALSE))</f>
        <v>0</v>
      </c>
      <c r="R578" s="25">
        <f t="shared" ref="R578" si="530">IF(R577=0,0,VLOOKUP(J578,J582:S612,R577,FALSE))</f>
        <v>0</v>
      </c>
      <c r="S578" s="25">
        <f t="shared" ref="S578" si="531">IF(S577=0,0,VLOOKUP(J578,J582:S612,S577,FALSE))</f>
        <v>0</v>
      </c>
      <c r="T578" s="9"/>
      <c r="U578" s="1">
        <f t="shared" si="482"/>
        <v>14</v>
      </c>
      <c r="V578" s="1">
        <f t="shared" si="483"/>
        <v>205</v>
      </c>
    </row>
    <row r="579" spans="1:22" x14ac:dyDescent="0.3">
      <c r="A579" s="1">
        <f t="shared" si="508"/>
        <v>14206</v>
      </c>
      <c r="B579" s="96" t="s">
        <v>15</v>
      </c>
      <c r="C579" s="97"/>
      <c r="D579" s="110"/>
      <c r="E579" s="111"/>
      <c r="F579" s="111"/>
      <c r="G579" s="111"/>
      <c r="H579" s="112"/>
      <c r="J579" s="24" t="str">
        <f t="shared" ref="J579" si="532">CONCATENATE(J577,2)</f>
        <v>02</v>
      </c>
      <c r="K579" s="6">
        <f t="shared" ref="K579" si="533">IF(K577=0,0,VLOOKUP(J579,J582:S612,K577,FALSE))</f>
        <v>0</v>
      </c>
      <c r="L579" s="6">
        <f t="shared" ref="L579" si="534">IF(L577=0,0,VLOOKUP(J579,J582:S612,L577,FALSE))</f>
        <v>0</v>
      </c>
      <c r="M579" s="6">
        <f t="shared" ref="M579" si="535">IF(M577=0,0,VLOOKUP(J579,J582:S612,M577,FALSE))</f>
        <v>0</v>
      </c>
      <c r="N579" s="6">
        <f t="shared" ref="N579" si="536">IF(N577=0,0,VLOOKUP(J579,J582:S612,N577,FALSE))</f>
        <v>0</v>
      </c>
      <c r="O579" s="6">
        <f t="shared" ref="O579" si="537">IF(O577=0,0,VLOOKUP(J579,J582:S612,O577,FALSE))</f>
        <v>0</v>
      </c>
      <c r="P579" s="6">
        <f t="shared" ref="P579" si="538">IF(P577=0,0,VLOOKUP(J579,J582:S612,P577,FALSE))</f>
        <v>0</v>
      </c>
      <c r="Q579" s="6">
        <f t="shared" ref="Q579" si="539">IF(Q577=0,0,VLOOKUP(J579,J582:S612,Q577,FALSE))</f>
        <v>0</v>
      </c>
      <c r="R579" s="6">
        <f t="shared" ref="R579" si="540">IF(R577=0,0,VLOOKUP(J579,J582:S612,R577,FALSE))</f>
        <v>0</v>
      </c>
      <c r="S579" s="6">
        <f t="shared" ref="S579" si="541">IF(S577=0,0,VLOOKUP(J579,J582:S612,S577,FALSE))</f>
        <v>0</v>
      </c>
      <c r="T579" s="9"/>
      <c r="U579" s="1">
        <f t="shared" si="482"/>
        <v>14</v>
      </c>
      <c r="V579" s="1">
        <f t="shared" si="483"/>
        <v>206</v>
      </c>
    </row>
    <row r="580" spans="1:22" x14ac:dyDescent="0.3">
      <c r="A580" s="1">
        <f t="shared" si="508"/>
        <v>14207</v>
      </c>
      <c r="B580" s="96" t="s">
        <v>16</v>
      </c>
      <c r="C580" s="97"/>
      <c r="D580" s="113"/>
      <c r="E580" s="114"/>
      <c r="F580" s="114"/>
      <c r="G580" s="114"/>
      <c r="H580" s="115"/>
      <c r="J580" s="24" t="str">
        <f t="shared" ref="J580" si="542">CONCATENATE(J577,3)</f>
        <v>03</v>
      </c>
      <c r="K580" s="6"/>
      <c r="L580" s="6"/>
      <c r="M580" s="6"/>
      <c r="N580" s="6" t="s">
        <v>43</v>
      </c>
      <c r="O580" s="25">
        <f t="shared" ref="O580" si="543">J577-2</f>
        <v>-2</v>
      </c>
      <c r="P580" s="6" t="s">
        <v>44</v>
      </c>
      <c r="Q580" s="25" t="e">
        <f t="shared" ref="Q580" si="544">VLOOKUP(J580,J582:S612,3,FALSE)</f>
        <v>#N/A</v>
      </c>
      <c r="R580" s="6" t="s">
        <v>45</v>
      </c>
      <c r="S580" s="6" t="e">
        <f t="shared" ref="S580" si="545">VLOOKUP(J580,J582:S612,2,FALSE)</f>
        <v>#N/A</v>
      </c>
      <c r="T580" s="9"/>
      <c r="U580" s="1">
        <f t="shared" si="482"/>
        <v>14</v>
      </c>
      <c r="V580" s="1">
        <f t="shared" si="483"/>
        <v>207</v>
      </c>
    </row>
    <row r="581" spans="1:22" x14ac:dyDescent="0.3">
      <c r="A581" s="1">
        <f t="shared" si="508"/>
        <v>14208</v>
      </c>
      <c r="B581" s="96" t="s">
        <v>17</v>
      </c>
      <c r="C581" s="97"/>
      <c r="D581" s="116"/>
      <c r="E581" s="117"/>
      <c r="F581" s="117"/>
      <c r="G581" s="117"/>
      <c r="H581" s="118"/>
      <c r="K581" s="1">
        <v>3</v>
      </c>
      <c r="L581" s="1">
        <v>3</v>
      </c>
      <c r="Q581" s="26"/>
      <c r="R581" s="26"/>
      <c r="S581" s="26"/>
      <c r="T581" s="9"/>
      <c r="U581" s="1">
        <f t="shared" si="482"/>
        <v>14</v>
      </c>
      <c r="V581" s="1">
        <f t="shared" si="483"/>
        <v>208</v>
      </c>
    </row>
    <row r="582" spans="1:22" x14ac:dyDescent="0.3">
      <c r="A582" s="1">
        <f t="shared" si="508"/>
        <v>14209</v>
      </c>
      <c r="B582" s="77" t="s">
        <v>19</v>
      </c>
      <c r="C582" s="78"/>
      <c r="D582" s="17"/>
      <c r="E582" s="79" t="s">
        <v>40</v>
      </c>
      <c r="F582" s="80"/>
      <c r="G582" s="81"/>
      <c r="H582" s="18" t="s">
        <v>72</v>
      </c>
      <c r="J582" s="24" t="str">
        <f t="shared" ref="J582" si="546">CONCATENATE(K581,1)</f>
        <v>31</v>
      </c>
      <c r="K582" s="6" t="e">
        <f t="array" ref="K582:L584">LINEST(B590:B592,C590:C592^{1},TRUE,TRUE)</f>
        <v>#VALUE!</v>
      </c>
      <c r="L582" s="6" t="e">
        <v>#VALUE!</v>
      </c>
      <c r="Q582" s="9"/>
      <c r="R582" s="9"/>
      <c r="S582" s="9"/>
      <c r="T582" s="9"/>
      <c r="U582" s="1">
        <f t="shared" si="482"/>
        <v>14</v>
      </c>
      <c r="V582" s="1">
        <f t="shared" si="483"/>
        <v>209</v>
      </c>
    </row>
    <row r="583" spans="1:22" x14ac:dyDescent="0.3">
      <c r="A583" s="1">
        <f t="shared" si="508"/>
        <v>14210</v>
      </c>
      <c r="B583" s="77" t="s">
        <v>41</v>
      </c>
      <c r="C583" s="78"/>
      <c r="D583" s="23">
        <f t="shared" ref="D583" si="547">MIN(B590:B599)</f>
        <v>0</v>
      </c>
      <c r="E583" s="20" t="s">
        <v>18</v>
      </c>
      <c r="F583" s="19">
        <f t="shared" ref="F583" si="548">MAX(B590:B599)</f>
        <v>0</v>
      </c>
      <c r="G583" s="21" t="str">
        <f t="shared" ref="G583" si="549">IF(H582="","",H582)</f>
        <v>%ur</v>
      </c>
      <c r="H583" s="22"/>
      <c r="J583" s="24" t="str">
        <f t="shared" ref="J583" si="550">CONCATENATE(K581,2)</f>
        <v>32</v>
      </c>
      <c r="K583" s="6" t="e">
        <v>#VALUE!</v>
      </c>
      <c r="L583" s="6" t="e">
        <v>#VALUE!</v>
      </c>
      <c r="Q583" s="9"/>
      <c r="R583" s="9"/>
      <c r="S583" s="9"/>
      <c r="T583" s="9"/>
      <c r="U583" s="1">
        <f t="shared" si="482"/>
        <v>14</v>
      </c>
      <c r="V583" s="1">
        <f t="shared" si="483"/>
        <v>210</v>
      </c>
    </row>
    <row r="584" spans="1:22" x14ac:dyDescent="0.3">
      <c r="A584" s="1">
        <f t="shared" si="508"/>
        <v>14211</v>
      </c>
      <c r="J584" s="24" t="str">
        <f t="shared" ref="J584" si="551">CONCATENATE(K581,3)</f>
        <v>33</v>
      </c>
      <c r="K584" s="6" t="e">
        <v>#VALUE!</v>
      </c>
      <c r="L584" s="6" t="e">
        <v>#VALUE!</v>
      </c>
      <c r="Q584" s="9"/>
      <c r="R584" s="9"/>
      <c r="S584" s="9"/>
      <c r="T584" s="9"/>
      <c r="U584" s="1">
        <f t="shared" si="482"/>
        <v>14</v>
      </c>
      <c r="V584" s="1">
        <f t="shared" si="483"/>
        <v>211</v>
      </c>
    </row>
    <row r="585" spans="1:22" x14ac:dyDescent="0.3">
      <c r="A585" s="1">
        <f t="shared" si="508"/>
        <v>14212</v>
      </c>
      <c r="B585" s="82" t="s">
        <v>20</v>
      </c>
      <c r="C585" s="83"/>
      <c r="D585" s="83"/>
      <c r="E585" s="83"/>
      <c r="F585" s="84"/>
      <c r="G585" s="85" t="s">
        <v>31</v>
      </c>
      <c r="H585" s="86"/>
      <c r="K585" s="1">
        <v>4</v>
      </c>
      <c r="L585" s="1">
        <v>4</v>
      </c>
      <c r="M585" s="1">
        <v>4</v>
      </c>
      <c r="Q585" s="9"/>
      <c r="R585" s="9"/>
      <c r="S585" s="9"/>
      <c r="T585" s="9"/>
      <c r="U585" s="1">
        <f t="shared" si="482"/>
        <v>14</v>
      </c>
      <c r="V585" s="1">
        <f t="shared" si="483"/>
        <v>212</v>
      </c>
    </row>
    <row r="586" spans="1:22" x14ac:dyDescent="0.3">
      <c r="A586" s="1">
        <f t="shared" si="508"/>
        <v>14213</v>
      </c>
      <c r="B586" s="82" t="s">
        <v>30</v>
      </c>
      <c r="C586" s="83"/>
      <c r="D586" s="84"/>
      <c r="E586" s="82">
        <f t="shared" ref="E586" si="552">D579</f>
        <v>0</v>
      </c>
      <c r="F586" s="84"/>
      <c r="G586" s="6" t="s">
        <v>32</v>
      </c>
      <c r="H586" s="7"/>
      <c r="J586" s="24" t="str">
        <f t="shared" ref="J586" si="553">CONCATENATE(K585,1)</f>
        <v>41</v>
      </c>
      <c r="K586" s="6" t="e">
        <f t="array" ref="K586:M588">LINEST(B590:B593,C590:C593^{1,2},TRUE,TRUE)</f>
        <v>#VALUE!</v>
      </c>
      <c r="L586" s="6" t="e">
        <v>#VALUE!</v>
      </c>
      <c r="M586" s="6" t="e">
        <v>#VALUE!</v>
      </c>
      <c r="Q586" s="9"/>
      <c r="R586" s="9"/>
      <c r="S586" s="9"/>
      <c r="T586" s="9"/>
      <c r="U586" s="1">
        <f t="shared" si="482"/>
        <v>14</v>
      </c>
      <c r="V586" s="1">
        <f t="shared" si="483"/>
        <v>213</v>
      </c>
    </row>
    <row r="587" spans="1:22" x14ac:dyDescent="0.3">
      <c r="A587" s="1">
        <f t="shared" si="508"/>
        <v>14214</v>
      </c>
      <c r="B587" s="2" t="s">
        <v>21</v>
      </c>
      <c r="C587" s="2" t="s">
        <v>22</v>
      </c>
      <c r="D587" s="2" t="s">
        <v>23</v>
      </c>
      <c r="E587" s="2"/>
      <c r="F587" s="2" t="s">
        <v>28</v>
      </c>
      <c r="G587" s="2" t="s">
        <v>21</v>
      </c>
      <c r="H587" s="2" t="s">
        <v>22</v>
      </c>
      <c r="J587" s="24" t="str">
        <f t="shared" ref="J587" si="554">CONCATENATE(K585,2)</f>
        <v>42</v>
      </c>
      <c r="K587" s="6" t="e">
        <v>#VALUE!</v>
      </c>
      <c r="L587" s="6" t="e">
        <v>#VALUE!</v>
      </c>
      <c r="M587" s="6" t="e">
        <v>#VALUE!</v>
      </c>
      <c r="Q587" s="9"/>
      <c r="R587" s="9"/>
      <c r="S587" s="9"/>
      <c r="T587" s="9"/>
      <c r="U587" s="1">
        <f t="shared" si="482"/>
        <v>14</v>
      </c>
      <c r="V587" s="1">
        <f t="shared" si="483"/>
        <v>214</v>
      </c>
    </row>
    <row r="588" spans="1:22" x14ac:dyDescent="0.3">
      <c r="A588" s="1">
        <f t="shared" si="508"/>
        <v>14215</v>
      </c>
      <c r="B588" s="2" t="s">
        <v>24</v>
      </c>
      <c r="C588" s="2" t="s">
        <v>25</v>
      </c>
      <c r="D588" s="2" t="s">
        <v>26</v>
      </c>
      <c r="E588" s="2" t="s">
        <v>27</v>
      </c>
      <c r="F588" s="2" t="s">
        <v>29</v>
      </c>
      <c r="G588" s="2" t="s">
        <v>24</v>
      </c>
      <c r="H588" s="2" t="s">
        <v>25</v>
      </c>
      <c r="J588" s="24" t="str">
        <f t="shared" ref="J588" si="555">CONCATENATE(K585,3)</f>
        <v>43</v>
      </c>
      <c r="K588" s="6" t="e">
        <v>#VALUE!</v>
      </c>
      <c r="L588" s="6" t="e">
        <v>#VALUE!</v>
      </c>
      <c r="M588" s="6" t="e">
        <v>#VALUE!</v>
      </c>
      <c r="Q588" s="9"/>
      <c r="R588" s="9"/>
      <c r="S588" s="9"/>
      <c r="T588" s="9"/>
      <c r="U588" s="1">
        <f t="shared" si="482"/>
        <v>14</v>
      </c>
      <c r="V588" s="1">
        <f t="shared" si="483"/>
        <v>215</v>
      </c>
    </row>
    <row r="589" spans="1:22" x14ac:dyDescent="0.3">
      <c r="A589" s="1">
        <f t="shared" si="508"/>
        <v>14216</v>
      </c>
      <c r="B589" s="3" t="str">
        <f t="shared" ref="B589" si="556">H582</f>
        <v>%ur</v>
      </c>
      <c r="C589" s="3" t="str">
        <f t="shared" ref="C589:D589" si="557">B589</f>
        <v>%ur</v>
      </c>
      <c r="D589" s="3" t="str">
        <f t="shared" si="557"/>
        <v>%ur</v>
      </c>
      <c r="E589" s="3"/>
      <c r="F589" s="3"/>
      <c r="G589" s="3" t="str">
        <f t="shared" ref="G589" si="558">D589</f>
        <v>%ur</v>
      </c>
      <c r="H589" s="3" t="str">
        <f t="shared" ref="H589" si="559">G589</f>
        <v>%ur</v>
      </c>
      <c r="K589" s="1">
        <v>5</v>
      </c>
      <c r="L589" s="1">
        <v>5</v>
      </c>
      <c r="M589" s="1">
        <v>5</v>
      </c>
      <c r="N589" s="1">
        <v>5</v>
      </c>
      <c r="Q589" s="9"/>
      <c r="R589" s="9"/>
      <c r="S589" s="9"/>
      <c r="T589" s="9"/>
      <c r="U589" s="1">
        <f t="shared" si="482"/>
        <v>14</v>
      </c>
      <c r="V589" s="1">
        <f t="shared" si="483"/>
        <v>216</v>
      </c>
    </row>
    <row r="590" spans="1:22" x14ac:dyDescent="0.3">
      <c r="A590" s="1">
        <f t="shared" si="508"/>
        <v>14217</v>
      </c>
      <c r="B590" s="4"/>
      <c r="C590" s="41"/>
      <c r="D590" s="4"/>
      <c r="E590" s="4"/>
      <c r="F590" s="14"/>
      <c r="G590" s="42"/>
      <c r="H590" s="42"/>
      <c r="J590" s="24" t="str">
        <f t="shared" ref="J590" si="560">CONCATENATE(K589,1)</f>
        <v>51</v>
      </c>
      <c r="K590" s="6" t="e">
        <f t="array" ref="K590:N592">LINEST(B590:B594,C590:C594^{1,2,3},TRUE,TRUE)</f>
        <v>#VALUE!</v>
      </c>
      <c r="L590" s="6" t="e">
        <v>#VALUE!</v>
      </c>
      <c r="M590" s="6" t="e">
        <v>#VALUE!</v>
      </c>
      <c r="N590" s="6" t="e">
        <v>#VALUE!</v>
      </c>
      <c r="Q590" s="9"/>
      <c r="R590" s="9"/>
      <c r="S590" s="9"/>
      <c r="T590" s="9"/>
      <c r="U590" s="1">
        <f t="shared" si="482"/>
        <v>14</v>
      </c>
      <c r="V590" s="1">
        <f t="shared" si="483"/>
        <v>217</v>
      </c>
    </row>
    <row r="591" spans="1:22" x14ac:dyDescent="0.3">
      <c r="A591" s="1">
        <f t="shared" si="508"/>
        <v>14218</v>
      </c>
      <c r="B591" s="4"/>
      <c r="C591" s="41"/>
      <c r="D591" s="4"/>
      <c r="E591" s="4"/>
      <c r="F591" s="14"/>
      <c r="G591" s="42"/>
      <c r="H591" s="42"/>
      <c r="J591" s="24" t="str">
        <f t="shared" ref="J591" si="561">CONCATENATE(K589,2)</f>
        <v>52</v>
      </c>
      <c r="K591" s="6" t="e">
        <v>#VALUE!</v>
      </c>
      <c r="L591" s="6" t="e">
        <v>#VALUE!</v>
      </c>
      <c r="M591" s="6" t="e">
        <v>#VALUE!</v>
      </c>
      <c r="N591" s="6" t="e">
        <v>#VALUE!</v>
      </c>
      <c r="T591" s="9"/>
      <c r="U591" s="1">
        <f t="shared" si="482"/>
        <v>14</v>
      </c>
      <c r="V591" s="1">
        <f t="shared" si="483"/>
        <v>218</v>
      </c>
    </row>
    <row r="592" spans="1:22" x14ac:dyDescent="0.3">
      <c r="A592" s="1">
        <f t="shared" si="508"/>
        <v>14219</v>
      </c>
      <c r="B592" s="4"/>
      <c r="C592" s="41"/>
      <c r="D592" s="4"/>
      <c r="E592" s="4"/>
      <c r="F592" s="14"/>
      <c r="G592" s="42"/>
      <c r="H592" s="42"/>
      <c r="J592" s="24" t="str">
        <f t="shared" ref="J592" si="562">CONCATENATE(K589,3)</f>
        <v>53</v>
      </c>
      <c r="K592" s="6" t="e">
        <v>#VALUE!</v>
      </c>
      <c r="L592" s="6" t="e">
        <v>#VALUE!</v>
      </c>
      <c r="M592" s="6" t="e">
        <v>#VALUE!</v>
      </c>
      <c r="N592" s="6" t="e">
        <v>#VALUE!</v>
      </c>
      <c r="T592" s="9"/>
      <c r="U592" s="1">
        <f t="shared" si="482"/>
        <v>14</v>
      </c>
      <c r="V592" s="1">
        <f t="shared" si="483"/>
        <v>219</v>
      </c>
    </row>
    <row r="593" spans="1:22" x14ac:dyDescent="0.3">
      <c r="A593" s="1">
        <f t="shared" si="508"/>
        <v>14220</v>
      </c>
      <c r="B593" s="4"/>
      <c r="C593" s="41"/>
      <c r="D593" s="4"/>
      <c r="E593" s="4"/>
      <c r="F593" s="14"/>
      <c r="G593" s="42"/>
      <c r="H593" s="42"/>
      <c r="K593" s="1">
        <v>6</v>
      </c>
      <c r="L593" s="1">
        <v>6</v>
      </c>
      <c r="M593" s="1">
        <v>6</v>
      </c>
      <c r="N593" s="1">
        <v>6</v>
      </c>
      <c r="O593" s="1">
        <v>6</v>
      </c>
      <c r="T593" s="9"/>
      <c r="U593" s="1">
        <f t="shared" si="482"/>
        <v>14</v>
      </c>
      <c r="V593" s="1">
        <f t="shared" si="483"/>
        <v>220</v>
      </c>
    </row>
    <row r="594" spans="1:22" x14ac:dyDescent="0.3">
      <c r="A594" s="1">
        <f t="shared" si="508"/>
        <v>14221</v>
      </c>
      <c r="B594" s="4"/>
      <c r="C594" s="41"/>
      <c r="D594" s="4"/>
      <c r="E594" s="4"/>
      <c r="F594" s="14"/>
      <c r="G594" s="42"/>
      <c r="H594" s="42"/>
      <c r="J594" s="24" t="str">
        <f t="shared" ref="J594" si="563">CONCATENATE(K593,1)</f>
        <v>61</v>
      </c>
      <c r="K594" s="6" t="e">
        <f t="array" ref="K594:O596">LINEST(B590:B595,C590:C595^{1,2,3,4},TRUE,TRUE)</f>
        <v>#VALUE!</v>
      </c>
      <c r="L594" s="6" t="e">
        <v>#VALUE!</v>
      </c>
      <c r="M594" s="6" t="e">
        <v>#VALUE!</v>
      </c>
      <c r="N594" s="6" t="e">
        <v>#VALUE!</v>
      </c>
      <c r="O594" s="6" t="e">
        <v>#VALUE!</v>
      </c>
      <c r="T594" s="9"/>
      <c r="U594" s="1">
        <f t="shared" si="482"/>
        <v>14</v>
      </c>
      <c r="V594" s="1">
        <f t="shared" si="483"/>
        <v>221</v>
      </c>
    </row>
    <row r="595" spans="1:22" x14ac:dyDescent="0.3">
      <c r="A595" s="1">
        <f t="shared" si="508"/>
        <v>14222</v>
      </c>
      <c r="B595" s="4"/>
      <c r="C595" s="41"/>
      <c r="D595" s="4"/>
      <c r="E595" s="4"/>
      <c r="F595" s="14"/>
      <c r="G595" s="8"/>
      <c r="H595" s="7"/>
      <c r="J595" s="24" t="str">
        <f t="shared" ref="J595" si="564">CONCATENATE(K593,2)</f>
        <v>62</v>
      </c>
      <c r="K595" s="6" t="e">
        <v>#VALUE!</v>
      </c>
      <c r="L595" s="6" t="e">
        <v>#VALUE!</v>
      </c>
      <c r="M595" s="6" t="e">
        <v>#VALUE!</v>
      </c>
      <c r="N595" s="6" t="e">
        <v>#VALUE!</v>
      </c>
      <c r="O595" s="6" t="e">
        <v>#VALUE!</v>
      </c>
      <c r="T595" s="9"/>
      <c r="U595" s="1">
        <f t="shared" si="482"/>
        <v>14</v>
      </c>
      <c r="V595" s="1">
        <f t="shared" si="483"/>
        <v>222</v>
      </c>
    </row>
    <row r="596" spans="1:22" x14ac:dyDescent="0.3">
      <c r="A596" s="1">
        <f t="shared" si="508"/>
        <v>14223</v>
      </c>
      <c r="B596" s="4"/>
      <c r="C596" s="4"/>
      <c r="D596" s="4"/>
      <c r="E596" s="4"/>
      <c r="F596" s="14"/>
      <c r="G596" s="8"/>
      <c r="H596" s="7"/>
      <c r="J596" s="24" t="str">
        <f t="shared" ref="J596" si="565">CONCATENATE(K593,3)</f>
        <v>63</v>
      </c>
      <c r="K596" s="6" t="e">
        <v>#VALUE!</v>
      </c>
      <c r="L596" s="6" t="e">
        <v>#VALUE!</v>
      </c>
      <c r="M596" s="6" t="e">
        <v>#VALUE!</v>
      </c>
      <c r="N596" s="6" t="e">
        <v>#VALUE!</v>
      </c>
      <c r="O596" s="6" t="e">
        <v>#VALUE!</v>
      </c>
      <c r="T596" s="9"/>
      <c r="U596" s="1">
        <f t="shared" si="482"/>
        <v>14</v>
      </c>
      <c r="V596" s="1">
        <f t="shared" si="483"/>
        <v>223</v>
      </c>
    </row>
    <row r="597" spans="1:22" x14ac:dyDescent="0.3">
      <c r="A597" s="1">
        <f t="shared" si="508"/>
        <v>14224</v>
      </c>
      <c r="B597" s="4"/>
      <c r="C597" s="4"/>
      <c r="D597" s="4"/>
      <c r="E597" s="4"/>
      <c r="F597" s="14"/>
      <c r="G597" s="8"/>
      <c r="H597" s="7"/>
      <c r="K597" s="1">
        <v>7</v>
      </c>
      <c r="L597" s="1">
        <v>7</v>
      </c>
      <c r="M597" s="1">
        <v>7</v>
      </c>
      <c r="N597" s="1">
        <v>7</v>
      </c>
      <c r="O597" s="1">
        <v>7</v>
      </c>
      <c r="P597" s="1">
        <v>7</v>
      </c>
      <c r="T597" s="9"/>
      <c r="U597" s="1">
        <f t="shared" si="482"/>
        <v>14</v>
      </c>
      <c r="V597" s="1">
        <f t="shared" si="483"/>
        <v>224</v>
      </c>
    </row>
    <row r="598" spans="1:22" x14ac:dyDescent="0.3">
      <c r="A598" s="1">
        <f t="shared" si="508"/>
        <v>14225</v>
      </c>
      <c r="B598" s="4"/>
      <c r="C598" s="4"/>
      <c r="D598" s="4"/>
      <c r="E598" s="4"/>
      <c r="F598" s="14"/>
      <c r="G598" s="8"/>
      <c r="H598" s="7"/>
      <c r="J598" s="24" t="str">
        <f t="shared" ref="J598" si="566">CONCATENATE(K597,1)</f>
        <v>71</v>
      </c>
      <c r="K598" s="6" t="e">
        <f t="array" ref="K598:P600">LINEST(B590:B596,C590:C596^{1,2,3,4,5},TRUE,TRUE)</f>
        <v>#VALUE!</v>
      </c>
      <c r="L598" s="6" t="e">
        <v>#VALUE!</v>
      </c>
      <c r="M598" s="6" t="e">
        <v>#VALUE!</v>
      </c>
      <c r="N598" s="6" t="e">
        <v>#VALUE!</v>
      </c>
      <c r="O598" s="6" t="e">
        <v>#VALUE!</v>
      </c>
      <c r="P598" s="6" t="e">
        <v>#VALUE!</v>
      </c>
      <c r="T598" s="9"/>
      <c r="U598" s="1">
        <f t="shared" si="482"/>
        <v>14</v>
      </c>
      <c r="V598" s="1">
        <f t="shared" si="483"/>
        <v>225</v>
      </c>
    </row>
    <row r="599" spans="1:22" x14ac:dyDescent="0.3">
      <c r="A599" s="1">
        <f t="shared" si="508"/>
        <v>14226</v>
      </c>
      <c r="B599" s="4"/>
      <c r="C599" s="4"/>
      <c r="D599" s="4"/>
      <c r="E599" s="4"/>
      <c r="F599" s="14"/>
      <c r="G599" s="8"/>
      <c r="H599" s="7"/>
      <c r="J599" s="24" t="str">
        <f t="shared" ref="J599" si="567">CONCATENATE(K597,2)</f>
        <v>72</v>
      </c>
      <c r="K599" s="6" t="e">
        <v>#VALUE!</v>
      </c>
      <c r="L599" s="6" t="e">
        <v>#VALUE!</v>
      </c>
      <c r="M599" s="6" t="e">
        <v>#VALUE!</v>
      </c>
      <c r="N599" s="6" t="e">
        <v>#VALUE!</v>
      </c>
      <c r="O599" s="6" t="e">
        <v>#VALUE!</v>
      </c>
      <c r="P599" s="6" t="e">
        <v>#VALUE!</v>
      </c>
      <c r="T599" s="9"/>
      <c r="U599" s="1">
        <f t="shared" si="482"/>
        <v>14</v>
      </c>
      <c r="V599" s="1">
        <f t="shared" si="483"/>
        <v>226</v>
      </c>
    </row>
    <row r="600" spans="1:22" x14ac:dyDescent="0.3">
      <c r="A600" s="1">
        <f t="shared" si="508"/>
        <v>14227</v>
      </c>
      <c r="B600" s="9"/>
      <c r="C600" s="9"/>
      <c r="D600" s="9"/>
      <c r="E600" s="9"/>
      <c r="F600" s="9"/>
      <c r="G600" s="9"/>
      <c r="H600" s="9"/>
      <c r="J600" s="24" t="str">
        <f t="shared" ref="J600" si="568">CONCATENATE(K597,3)</f>
        <v>73</v>
      </c>
      <c r="K600" s="6" t="e">
        <v>#VALUE!</v>
      </c>
      <c r="L600" s="6" t="e">
        <v>#VALUE!</v>
      </c>
      <c r="M600" s="6" t="e">
        <v>#VALUE!</v>
      </c>
      <c r="N600" s="6" t="e">
        <v>#VALUE!</v>
      </c>
      <c r="O600" s="6" t="e">
        <v>#VALUE!</v>
      </c>
      <c r="P600" s="6" t="e">
        <v>#VALUE!</v>
      </c>
      <c r="T600" s="9"/>
      <c r="U600" s="1">
        <f t="shared" si="482"/>
        <v>14</v>
      </c>
      <c r="V600" s="1">
        <f t="shared" si="483"/>
        <v>227</v>
      </c>
    </row>
    <row r="601" spans="1:22" x14ac:dyDescent="0.3">
      <c r="A601" s="1">
        <f t="shared" si="508"/>
        <v>14228</v>
      </c>
      <c r="B601" s="87" t="s">
        <v>33</v>
      </c>
      <c r="C601" s="88"/>
      <c r="D601" s="88"/>
      <c r="E601" s="88"/>
      <c r="F601" s="88"/>
      <c r="G601" s="88"/>
      <c r="H601" s="89"/>
      <c r="K601" s="1">
        <v>8</v>
      </c>
      <c r="L601" s="1">
        <v>8</v>
      </c>
      <c r="M601" s="1">
        <v>8</v>
      </c>
      <c r="N601" s="1">
        <v>8</v>
      </c>
      <c r="O601" s="1">
        <v>8</v>
      </c>
      <c r="P601" s="1">
        <v>8</v>
      </c>
      <c r="Q601" s="1">
        <v>8</v>
      </c>
      <c r="T601" s="9"/>
      <c r="U601" s="1">
        <f t="shared" si="482"/>
        <v>14</v>
      </c>
      <c r="V601" s="1">
        <f t="shared" si="483"/>
        <v>228</v>
      </c>
    </row>
    <row r="602" spans="1:22" x14ac:dyDescent="0.3">
      <c r="A602" s="1">
        <f t="shared" si="508"/>
        <v>14229</v>
      </c>
      <c r="B602" s="90"/>
      <c r="C602" s="91"/>
      <c r="D602" s="91"/>
      <c r="E602" s="91"/>
      <c r="F602" s="91"/>
      <c r="G602" s="91"/>
      <c r="H602" s="92"/>
      <c r="J602" s="24" t="str">
        <f t="shared" ref="J602" si="569">CONCATENATE(K601,1)</f>
        <v>81</v>
      </c>
      <c r="K602" s="6" t="e">
        <f t="array" ref="K602:Q604">LINEST(B590:B597,C590:C597^{1,2,3,4,5,6},TRUE,TRUE)</f>
        <v>#VALUE!</v>
      </c>
      <c r="L602" s="6" t="e">
        <v>#VALUE!</v>
      </c>
      <c r="M602" s="6" t="e">
        <v>#VALUE!</v>
      </c>
      <c r="N602" s="6" t="e">
        <v>#VALUE!</v>
      </c>
      <c r="O602" s="6" t="e">
        <v>#VALUE!</v>
      </c>
      <c r="P602" s="6" t="e">
        <v>#VALUE!</v>
      </c>
      <c r="Q602" s="6" t="e">
        <v>#VALUE!</v>
      </c>
      <c r="T602" s="9"/>
      <c r="U602" s="1">
        <f t="shared" si="482"/>
        <v>14</v>
      </c>
      <c r="V602" s="1">
        <f t="shared" si="483"/>
        <v>229</v>
      </c>
    </row>
    <row r="603" spans="1:22" x14ac:dyDescent="0.3">
      <c r="A603" s="1">
        <f t="shared" si="508"/>
        <v>14230</v>
      </c>
      <c r="B603" s="93"/>
      <c r="C603" s="94"/>
      <c r="D603" s="94"/>
      <c r="E603" s="94"/>
      <c r="F603" s="94"/>
      <c r="G603" s="94"/>
      <c r="H603" s="95"/>
      <c r="J603" s="24" t="str">
        <f t="shared" ref="J603" si="570">CONCATENATE(K601,2)</f>
        <v>82</v>
      </c>
      <c r="K603" s="6" t="e">
        <v>#VALUE!</v>
      </c>
      <c r="L603" s="6" t="e">
        <v>#VALUE!</v>
      </c>
      <c r="M603" s="6" t="e">
        <v>#VALUE!</v>
      </c>
      <c r="N603" s="6" t="e">
        <v>#VALUE!</v>
      </c>
      <c r="O603" s="6" t="e">
        <v>#VALUE!</v>
      </c>
      <c r="P603" s="6" t="e">
        <v>#VALUE!</v>
      </c>
      <c r="Q603" s="6" t="e">
        <v>#VALUE!</v>
      </c>
      <c r="T603" s="9"/>
      <c r="U603" s="1">
        <f t="shared" ref="U603:U666" si="571">U602</f>
        <v>14</v>
      </c>
      <c r="V603" s="1">
        <f t="shared" ref="V603:V666" si="572">V602+1</f>
        <v>230</v>
      </c>
    </row>
    <row r="604" spans="1:22" x14ac:dyDescent="0.3">
      <c r="A604" s="1">
        <f t="shared" si="508"/>
        <v>14231</v>
      </c>
      <c r="J604" s="24" t="str">
        <f t="shared" ref="J604" si="573">CONCATENATE(K601,3)</f>
        <v>83</v>
      </c>
      <c r="K604" s="6" t="e">
        <v>#VALUE!</v>
      </c>
      <c r="L604" s="6" t="e">
        <v>#VALUE!</v>
      </c>
      <c r="M604" s="6" t="e">
        <v>#VALUE!</v>
      </c>
      <c r="N604" s="6" t="e">
        <v>#VALUE!</v>
      </c>
      <c r="O604" s="6" t="e">
        <v>#VALUE!</v>
      </c>
      <c r="P604" s="6" t="e">
        <v>#VALUE!</v>
      </c>
      <c r="Q604" s="6" t="e">
        <v>#VALUE!</v>
      </c>
      <c r="T604" s="9"/>
      <c r="U604" s="1">
        <f t="shared" si="571"/>
        <v>14</v>
      </c>
      <c r="V604" s="1">
        <f t="shared" si="572"/>
        <v>231</v>
      </c>
    </row>
    <row r="605" spans="1:22" ht="15" customHeight="1" x14ac:dyDescent="0.3">
      <c r="A605" s="1">
        <f t="shared" si="508"/>
        <v>14232</v>
      </c>
      <c r="B605" s="10" t="s">
        <v>34</v>
      </c>
      <c r="C605" s="10" t="s">
        <v>35</v>
      </c>
      <c r="D605" s="10" t="s">
        <v>36</v>
      </c>
      <c r="E605" s="74" t="s">
        <v>37</v>
      </c>
      <c r="F605" s="75"/>
      <c r="G605" s="76"/>
      <c r="K605" s="1">
        <v>9</v>
      </c>
      <c r="L605" s="1">
        <v>9</v>
      </c>
      <c r="M605" s="1">
        <v>9</v>
      </c>
      <c r="N605" s="1">
        <v>9</v>
      </c>
      <c r="O605" s="1">
        <v>9</v>
      </c>
      <c r="P605" s="1">
        <v>9</v>
      </c>
      <c r="Q605" s="1">
        <v>9</v>
      </c>
      <c r="R605" s="1">
        <v>9</v>
      </c>
      <c r="T605" s="9"/>
      <c r="U605" s="1">
        <f t="shared" si="571"/>
        <v>14</v>
      </c>
      <c r="V605" s="1">
        <f t="shared" si="572"/>
        <v>232</v>
      </c>
    </row>
    <row r="606" spans="1:22" x14ac:dyDescent="0.3">
      <c r="A606" s="1">
        <f t="shared" si="508"/>
        <v>14233</v>
      </c>
      <c r="B606" s="12">
        <f t="shared" ref="B606:B615" si="574">C590-B590</f>
        <v>0</v>
      </c>
      <c r="C606" s="13">
        <f t="shared" ref="C606:C615" si="575">H590-G590</f>
        <v>0</v>
      </c>
      <c r="D606" s="10">
        <f t="shared" ref="D606:D615" si="576">C606-B606</f>
        <v>0</v>
      </c>
      <c r="E606" s="11"/>
      <c r="F606" s="10">
        <f t="shared" ref="F606" si="577">ABS(MIN(D606:D615))</f>
        <v>0</v>
      </c>
      <c r="G606" s="10">
        <f t="shared" ref="G606" si="578">ABS(MAX(D606:D615))</f>
        <v>0</v>
      </c>
      <c r="J606" s="24" t="str">
        <f t="shared" ref="J606" si="579">CONCATENATE(K605,1)</f>
        <v>91</v>
      </c>
      <c r="K606" s="6" t="e">
        <f t="array" ref="K606:R608">LINEST(B590:B598,C590:C598^{1,2,3,4,5,6,7},TRUE,TRUE)</f>
        <v>#VALUE!</v>
      </c>
      <c r="L606" s="6" t="e">
        <v>#VALUE!</v>
      </c>
      <c r="M606" s="6" t="e">
        <v>#VALUE!</v>
      </c>
      <c r="N606" s="6" t="e">
        <v>#VALUE!</v>
      </c>
      <c r="O606" s="6" t="e">
        <v>#VALUE!</v>
      </c>
      <c r="P606" s="6" t="e">
        <v>#VALUE!</v>
      </c>
      <c r="Q606" s="6" t="e">
        <v>#VALUE!</v>
      </c>
      <c r="R606" s="6" t="e">
        <v>#VALUE!</v>
      </c>
      <c r="T606" s="9"/>
      <c r="U606" s="1">
        <f t="shared" si="571"/>
        <v>14</v>
      </c>
      <c r="V606" s="1">
        <f t="shared" si="572"/>
        <v>233</v>
      </c>
    </row>
    <row r="607" spans="1:22" x14ac:dyDescent="0.3">
      <c r="A607" s="1">
        <f t="shared" si="508"/>
        <v>14234</v>
      </c>
      <c r="B607" s="12">
        <f t="shared" si="574"/>
        <v>0</v>
      </c>
      <c r="C607" s="13">
        <f t="shared" si="575"/>
        <v>0</v>
      </c>
      <c r="D607" s="10">
        <f t="shared" si="576"/>
        <v>0</v>
      </c>
      <c r="E607" s="74" t="s">
        <v>38</v>
      </c>
      <c r="F607" s="75"/>
      <c r="G607" s="76"/>
      <c r="J607" s="24" t="str">
        <f t="shared" ref="J607" si="580">CONCATENATE(K605,2)</f>
        <v>92</v>
      </c>
      <c r="K607" s="6" t="e">
        <v>#VALUE!</v>
      </c>
      <c r="L607" s="6" t="e">
        <v>#VALUE!</v>
      </c>
      <c r="M607" s="6" t="e">
        <v>#VALUE!</v>
      </c>
      <c r="N607" s="6" t="e">
        <v>#VALUE!</v>
      </c>
      <c r="O607" s="6" t="e">
        <v>#VALUE!</v>
      </c>
      <c r="P607" s="6" t="e">
        <v>#VALUE!</v>
      </c>
      <c r="Q607" s="6" t="e">
        <v>#VALUE!</v>
      </c>
      <c r="R607" s="6" t="e">
        <v>#VALUE!</v>
      </c>
      <c r="T607" s="9"/>
      <c r="U607" s="1">
        <f t="shared" si="571"/>
        <v>14</v>
      </c>
      <c r="V607" s="1">
        <f t="shared" si="572"/>
        <v>234</v>
      </c>
    </row>
    <row r="608" spans="1:22" x14ac:dyDescent="0.3">
      <c r="A608" s="1">
        <f t="shared" si="508"/>
        <v>14235</v>
      </c>
      <c r="B608" s="12">
        <f t="shared" si="574"/>
        <v>0</v>
      </c>
      <c r="C608" s="13">
        <f t="shared" si="575"/>
        <v>0</v>
      </c>
      <c r="D608" s="10">
        <f t="shared" si="576"/>
        <v>0</v>
      </c>
      <c r="E608" s="11" t="str">
        <f t="shared" ref="E608" si="581">IF(D581="","",MAX(F608,G608))</f>
        <v/>
      </c>
      <c r="F608" s="10">
        <f t="shared" ref="F608" si="582">ABS(MIN(B606:B615))</f>
        <v>0</v>
      </c>
      <c r="G608" s="10">
        <f t="shared" ref="G608" si="583">ABS(MAX(B606:B615))</f>
        <v>0</v>
      </c>
      <c r="J608" s="24" t="str">
        <f t="shared" ref="J608" si="584">CONCATENATE(K605,3)</f>
        <v>93</v>
      </c>
      <c r="K608" s="6" t="e">
        <v>#VALUE!</v>
      </c>
      <c r="L608" s="6" t="e">
        <v>#VALUE!</v>
      </c>
      <c r="M608" s="6" t="e">
        <v>#VALUE!</v>
      </c>
      <c r="N608" s="6" t="e">
        <v>#VALUE!</v>
      </c>
      <c r="O608" s="6" t="e">
        <v>#VALUE!</v>
      </c>
      <c r="P608" s="6" t="e">
        <v>#VALUE!</v>
      </c>
      <c r="Q608" s="6" t="e">
        <v>#VALUE!</v>
      </c>
      <c r="R608" s="6" t="e">
        <v>#VALUE!</v>
      </c>
      <c r="T608" s="9"/>
      <c r="U608" s="1">
        <f t="shared" si="571"/>
        <v>14</v>
      </c>
      <c r="V608" s="1">
        <f t="shared" si="572"/>
        <v>235</v>
      </c>
    </row>
    <row r="609" spans="1:22" x14ac:dyDescent="0.3">
      <c r="A609" s="1">
        <f t="shared" si="508"/>
        <v>14236</v>
      </c>
      <c r="B609" s="12">
        <f t="shared" si="574"/>
        <v>0</v>
      </c>
      <c r="C609" s="13">
        <f t="shared" si="575"/>
        <v>0</v>
      </c>
      <c r="D609" s="10">
        <f t="shared" si="576"/>
        <v>0</v>
      </c>
      <c r="E609" s="74" t="s">
        <v>39</v>
      </c>
      <c r="F609" s="75"/>
      <c r="G609" s="76"/>
      <c r="K609" s="1">
        <v>10</v>
      </c>
      <c r="L609" s="1">
        <v>10</v>
      </c>
      <c r="M609" s="1">
        <v>10</v>
      </c>
      <c r="N609" s="1">
        <v>10</v>
      </c>
      <c r="O609" s="1">
        <v>10</v>
      </c>
      <c r="P609" s="1">
        <v>10</v>
      </c>
      <c r="Q609" s="1">
        <v>10</v>
      </c>
      <c r="R609" s="1">
        <v>10</v>
      </c>
      <c r="S609" s="1">
        <v>10</v>
      </c>
      <c r="T609" s="9"/>
      <c r="U609" s="1">
        <f t="shared" si="571"/>
        <v>14</v>
      </c>
      <c r="V609" s="1">
        <f t="shared" si="572"/>
        <v>236</v>
      </c>
    </row>
    <row r="610" spans="1:22" x14ac:dyDescent="0.3">
      <c r="A610" s="1">
        <f t="shared" si="508"/>
        <v>14237</v>
      </c>
      <c r="B610" s="12">
        <f t="shared" si="574"/>
        <v>0</v>
      </c>
      <c r="C610" s="13">
        <f t="shared" si="575"/>
        <v>0</v>
      </c>
      <c r="D610" s="10">
        <f t="shared" si="576"/>
        <v>0</v>
      </c>
      <c r="E610" s="11" t="str">
        <f t="shared" ref="E610" si="585">IF(D581="","",MAX(F610,G610))</f>
        <v/>
      </c>
      <c r="F610" s="10">
        <f t="shared" ref="F610" si="586">ABS(MIN(D590:D599))</f>
        <v>0</v>
      </c>
      <c r="G610" s="10">
        <f t="shared" ref="G610" si="587">ABS(MAX(D590:D599))</f>
        <v>0</v>
      </c>
      <c r="J610" s="24" t="str">
        <f t="shared" ref="J610" si="588">CONCATENATE(K609,1)</f>
        <v>101</v>
      </c>
      <c r="K610" s="6" t="e">
        <f t="array" ref="K610:S612">LINEST(B590:B599,C590:C599^{1,2,3,4,5,6,7,8},TRUE,TRUE)</f>
        <v>#VALUE!</v>
      </c>
      <c r="L610" s="6" t="e">
        <v>#VALUE!</v>
      </c>
      <c r="M610" s="6" t="e">
        <v>#VALUE!</v>
      </c>
      <c r="N610" s="6" t="e">
        <v>#VALUE!</v>
      </c>
      <c r="O610" s="6" t="e">
        <v>#VALUE!</v>
      </c>
      <c r="P610" s="6" t="e">
        <v>#VALUE!</v>
      </c>
      <c r="Q610" s="6" t="e">
        <v>#VALUE!</v>
      </c>
      <c r="R610" s="6" t="e">
        <v>#VALUE!</v>
      </c>
      <c r="S610" s="6" t="e">
        <v>#VALUE!</v>
      </c>
      <c r="T610" s="9"/>
      <c r="U610" s="1">
        <f t="shared" si="571"/>
        <v>14</v>
      </c>
      <c r="V610" s="1">
        <f t="shared" si="572"/>
        <v>237</v>
      </c>
    </row>
    <row r="611" spans="1:22" x14ac:dyDescent="0.3">
      <c r="A611" s="1">
        <f t="shared" si="508"/>
        <v>14238</v>
      </c>
      <c r="B611" s="12">
        <f t="shared" si="574"/>
        <v>0</v>
      </c>
      <c r="C611" s="13">
        <f t="shared" si="575"/>
        <v>0</v>
      </c>
      <c r="D611" s="10">
        <f t="shared" si="576"/>
        <v>0</v>
      </c>
      <c r="J611" s="24" t="str">
        <f t="shared" ref="J611" si="589">CONCATENATE(K609,2)</f>
        <v>102</v>
      </c>
      <c r="K611" s="6" t="e">
        <v>#VALUE!</v>
      </c>
      <c r="L611" s="6" t="e">
        <v>#VALUE!</v>
      </c>
      <c r="M611" s="6" t="e">
        <v>#VALUE!</v>
      </c>
      <c r="N611" s="6" t="e">
        <v>#VALUE!</v>
      </c>
      <c r="O611" s="6" t="e">
        <v>#VALUE!</v>
      </c>
      <c r="P611" s="6" t="e">
        <v>#VALUE!</v>
      </c>
      <c r="Q611" s="6" t="e">
        <v>#VALUE!</v>
      </c>
      <c r="R611" s="6" t="e">
        <v>#VALUE!</v>
      </c>
      <c r="S611" s="6" t="e">
        <v>#VALUE!</v>
      </c>
      <c r="T611" s="9"/>
      <c r="U611" s="1">
        <f t="shared" si="571"/>
        <v>14</v>
      </c>
      <c r="V611" s="1">
        <f t="shared" si="572"/>
        <v>238</v>
      </c>
    </row>
    <row r="612" spans="1:22" x14ac:dyDescent="0.3">
      <c r="A612" s="1">
        <f t="shared" si="508"/>
        <v>14239</v>
      </c>
      <c r="B612" s="12">
        <f t="shared" si="574"/>
        <v>0</v>
      </c>
      <c r="C612" s="13">
        <f t="shared" si="575"/>
        <v>0</v>
      </c>
      <c r="D612" s="10">
        <f t="shared" si="576"/>
        <v>0</v>
      </c>
      <c r="J612" s="24" t="str">
        <f t="shared" ref="J612" si="590">CONCATENATE(K609,3)</f>
        <v>103</v>
      </c>
      <c r="K612" s="6" t="e">
        <v>#VALUE!</v>
      </c>
      <c r="L612" s="6" t="e">
        <v>#VALUE!</v>
      </c>
      <c r="M612" s="6" t="e">
        <v>#VALUE!</v>
      </c>
      <c r="N612" s="6" t="e">
        <v>#VALUE!</v>
      </c>
      <c r="O612" s="6" t="e">
        <v>#VALUE!</v>
      </c>
      <c r="P612" s="6" t="e">
        <v>#VALUE!</v>
      </c>
      <c r="Q612" s="6" t="e">
        <v>#VALUE!</v>
      </c>
      <c r="R612" s="6" t="e">
        <v>#VALUE!</v>
      </c>
      <c r="S612" s="6" t="e">
        <v>#VALUE!</v>
      </c>
      <c r="T612" s="9"/>
      <c r="U612" s="1">
        <f t="shared" si="571"/>
        <v>14</v>
      </c>
      <c r="V612" s="1">
        <f t="shared" si="572"/>
        <v>239</v>
      </c>
    </row>
    <row r="613" spans="1:22" x14ac:dyDescent="0.3">
      <c r="A613" s="1">
        <f t="shared" si="508"/>
        <v>14240</v>
      </c>
      <c r="B613" s="12">
        <f t="shared" si="574"/>
        <v>0</v>
      </c>
      <c r="C613" s="13">
        <f t="shared" si="575"/>
        <v>0</v>
      </c>
      <c r="D613" s="10">
        <f t="shared" si="576"/>
        <v>0</v>
      </c>
      <c r="J613" s="9"/>
      <c r="K613" s="9"/>
      <c r="L613" s="9"/>
      <c r="M613" s="9"/>
      <c r="N613" s="9"/>
      <c r="O613" s="9"/>
      <c r="P613" s="9"/>
      <c r="Q613" s="9"/>
      <c r="R613" s="9"/>
      <c r="S613" s="9"/>
      <c r="T613" s="9"/>
      <c r="U613" s="1">
        <f t="shared" si="571"/>
        <v>14</v>
      </c>
      <c r="V613" s="1">
        <f t="shared" si="572"/>
        <v>240</v>
      </c>
    </row>
    <row r="614" spans="1:22" x14ac:dyDescent="0.3">
      <c r="A614" s="1">
        <f t="shared" si="508"/>
        <v>14241</v>
      </c>
      <c r="B614" s="12">
        <f t="shared" si="574"/>
        <v>0</v>
      </c>
      <c r="C614" s="13">
        <f t="shared" si="575"/>
        <v>0</v>
      </c>
      <c r="D614" s="10">
        <f t="shared" si="576"/>
        <v>0</v>
      </c>
      <c r="J614" s="9"/>
      <c r="K614" s="9"/>
      <c r="L614" s="9"/>
      <c r="M614" s="9"/>
      <c r="N614" s="9"/>
      <c r="O614" s="9"/>
      <c r="P614" s="9"/>
      <c r="Q614" s="9"/>
      <c r="R614" s="9"/>
      <c r="S614" s="9"/>
      <c r="T614" s="9"/>
      <c r="U614" s="1">
        <f t="shared" si="571"/>
        <v>14</v>
      </c>
      <c r="V614" s="1">
        <f t="shared" si="572"/>
        <v>241</v>
      </c>
    </row>
    <row r="615" spans="1:22" x14ac:dyDescent="0.3">
      <c r="A615" s="1">
        <f t="shared" si="508"/>
        <v>14242</v>
      </c>
      <c r="B615" s="12">
        <f t="shared" si="574"/>
        <v>0</v>
      </c>
      <c r="C615" s="13">
        <f t="shared" si="575"/>
        <v>0</v>
      </c>
      <c r="D615" s="10">
        <f t="shared" si="576"/>
        <v>0</v>
      </c>
      <c r="J615" s="9"/>
      <c r="K615" s="9"/>
      <c r="L615" s="9"/>
      <c r="M615" s="9"/>
      <c r="N615" s="9"/>
      <c r="O615" s="9"/>
      <c r="P615" s="9"/>
      <c r="Q615" s="9"/>
      <c r="R615" s="9"/>
      <c r="S615" s="9"/>
      <c r="T615" s="9"/>
      <c r="U615" s="1">
        <f t="shared" si="571"/>
        <v>14</v>
      </c>
      <c r="V615" s="1">
        <f t="shared" si="572"/>
        <v>242</v>
      </c>
    </row>
    <row r="616" spans="1:22" x14ac:dyDescent="0.3">
      <c r="A616" s="1">
        <f t="shared" si="508"/>
        <v>14243</v>
      </c>
      <c r="J616" s="9"/>
      <c r="K616" s="9"/>
      <c r="L616" s="9"/>
      <c r="M616" s="9"/>
      <c r="N616" s="9"/>
      <c r="O616" s="9"/>
      <c r="P616" s="9"/>
      <c r="Q616" s="9"/>
      <c r="R616" s="9"/>
      <c r="S616" s="9"/>
      <c r="T616" s="9"/>
      <c r="U616" s="1">
        <f t="shared" si="571"/>
        <v>14</v>
      </c>
      <c r="V616" s="1">
        <f t="shared" si="572"/>
        <v>243</v>
      </c>
    </row>
    <row r="617" spans="1:22" s="5" customFormat="1" x14ac:dyDescent="0.3"/>
    <row r="618" spans="1:22" x14ac:dyDescent="0.3">
      <c r="A618" s="1">
        <f t="shared" ref="A618:A660" si="591">ROUND(CONCATENATE(U618,V618),0)</f>
        <v>15201</v>
      </c>
      <c r="B618" s="96" t="s">
        <v>0</v>
      </c>
      <c r="C618" s="97"/>
      <c r="D618" s="110" t="s">
        <v>46</v>
      </c>
      <c r="E618" s="111"/>
      <c r="F618" s="111"/>
      <c r="G618" s="111"/>
      <c r="H618" s="112"/>
      <c r="J618" s="9"/>
      <c r="K618" s="9"/>
      <c r="L618" s="9"/>
      <c r="M618" s="9"/>
      <c r="N618" s="9"/>
      <c r="O618" s="9"/>
      <c r="P618" s="9"/>
      <c r="Q618" s="9"/>
      <c r="R618" s="9"/>
      <c r="S618" s="9"/>
      <c r="T618" s="9"/>
      <c r="U618" s="1">
        <f t="shared" ref="U618" si="592">U616+1</f>
        <v>15</v>
      </c>
      <c r="V618" s="1">
        <v>201</v>
      </c>
    </row>
    <row r="619" spans="1:22" x14ac:dyDescent="0.3">
      <c r="A619" s="1">
        <f t="shared" si="591"/>
        <v>15202</v>
      </c>
      <c r="B619" s="96" t="s">
        <v>1</v>
      </c>
      <c r="C619" s="97"/>
      <c r="D619" s="15">
        <v>20</v>
      </c>
      <c r="E619" s="16" t="s">
        <v>2</v>
      </c>
      <c r="F619" s="107"/>
      <c r="G619" s="108"/>
      <c r="H619" s="109"/>
      <c r="J619" s="9"/>
      <c r="K619" s="9"/>
      <c r="L619" s="9"/>
      <c r="M619" s="9"/>
      <c r="N619" s="9"/>
      <c r="O619" s="9"/>
      <c r="P619" s="9"/>
      <c r="Q619" s="9"/>
      <c r="R619" s="9"/>
      <c r="S619" s="9"/>
      <c r="T619" s="9"/>
      <c r="U619" s="1">
        <f t="shared" ref="U619" si="593">U618</f>
        <v>15</v>
      </c>
      <c r="V619" s="1">
        <f t="shared" ref="V619" si="594">V618+1</f>
        <v>202</v>
      </c>
    </row>
    <row r="620" spans="1:22" x14ac:dyDescent="0.3">
      <c r="A620" s="1">
        <f t="shared" si="591"/>
        <v>15203</v>
      </c>
      <c r="B620" s="96" t="s">
        <v>12</v>
      </c>
      <c r="C620" s="97"/>
      <c r="D620" s="110" t="s">
        <v>209</v>
      </c>
      <c r="E620" s="111"/>
      <c r="F620" s="111"/>
      <c r="G620" s="111"/>
      <c r="H620" s="112"/>
      <c r="K620" s="1" t="s">
        <v>3</v>
      </c>
      <c r="L620" s="1" t="s">
        <v>4</v>
      </c>
      <c r="M620" s="1" t="s">
        <v>5</v>
      </c>
      <c r="N620" s="1" t="s">
        <v>6</v>
      </c>
      <c r="O620" s="1" t="s">
        <v>7</v>
      </c>
      <c r="P620" s="1" t="s">
        <v>8</v>
      </c>
      <c r="Q620" s="1" t="s">
        <v>9</v>
      </c>
      <c r="R620" s="1" t="s">
        <v>10</v>
      </c>
      <c r="S620" s="1" t="s">
        <v>11</v>
      </c>
      <c r="T620" s="9"/>
      <c r="U620" s="1">
        <f t="shared" si="571"/>
        <v>15</v>
      </c>
      <c r="V620" s="1">
        <f t="shared" si="572"/>
        <v>203</v>
      </c>
    </row>
    <row r="621" spans="1:22" x14ac:dyDescent="0.3">
      <c r="A621" s="1">
        <f t="shared" si="591"/>
        <v>15204</v>
      </c>
      <c r="B621" s="96" t="s">
        <v>13</v>
      </c>
      <c r="C621" s="97"/>
      <c r="D621" s="110" t="s">
        <v>65</v>
      </c>
      <c r="E621" s="111"/>
      <c r="F621" s="111"/>
      <c r="G621" s="111"/>
      <c r="H621" s="112"/>
      <c r="J621" s="1">
        <f t="shared" ref="J621" si="595">COUNTA(B634:B643)</f>
        <v>6</v>
      </c>
      <c r="K621" s="1">
        <f t="shared" ref="K621" si="596">IF(L621-1&lt;2,0,L621-1)</f>
        <v>0</v>
      </c>
      <c r="L621" s="1">
        <f t="shared" ref="L621" si="597">IF(M621-1&lt;2,0,M621-1)</f>
        <v>0</v>
      </c>
      <c r="M621" s="1">
        <f t="shared" ref="M621" si="598">IF(N621-1&lt;2,0,N621-1)</f>
        <v>0</v>
      </c>
      <c r="N621" s="1">
        <f t="shared" ref="N621" si="599">IF(O621-1&lt;2,0,O621-1)</f>
        <v>0</v>
      </c>
      <c r="O621" s="1">
        <f t="shared" ref="O621" si="600">IF(P621-1&lt;2,0,P621-1)</f>
        <v>2</v>
      </c>
      <c r="P621" s="1">
        <f t="shared" ref="P621" si="601">IF(Q621-1&lt;2,0,Q621-1)</f>
        <v>3</v>
      </c>
      <c r="Q621" s="1">
        <f t="shared" ref="Q621" si="602">IF(R621-1&lt;2,0,R621-1)</f>
        <v>4</v>
      </c>
      <c r="R621" s="1">
        <f t="shared" ref="R621" si="603">IF(S621-1&lt;2,0,S621-1)</f>
        <v>5</v>
      </c>
      <c r="S621" s="1">
        <f t="shared" ref="S621" si="604">J621</f>
        <v>6</v>
      </c>
      <c r="T621" s="9"/>
      <c r="U621" s="1">
        <f t="shared" si="571"/>
        <v>15</v>
      </c>
      <c r="V621" s="1">
        <f t="shared" si="572"/>
        <v>204</v>
      </c>
    </row>
    <row r="622" spans="1:22" x14ac:dyDescent="0.3">
      <c r="A622" s="1">
        <f t="shared" si="591"/>
        <v>15205</v>
      </c>
      <c r="B622" s="96" t="s">
        <v>14</v>
      </c>
      <c r="C622" s="97"/>
      <c r="D622" s="110" t="s">
        <v>66</v>
      </c>
      <c r="E622" s="111"/>
      <c r="F622" s="111"/>
      <c r="G622" s="111"/>
      <c r="H622" s="112"/>
      <c r="J622" s="24" t="str">
        <f t="shared" ref="J622" si="605">CONCATENATE(J621,1)</f>
        <v>61</v>
      </c>
      <c r="K622" s="25">
        <f t="shared" ref="K622" si="606">IF(K621=0,0,VLOOKUP(J622,J626:S656,K621,FALSE))</f>
        <v>0</v>
      </c>
      <c r="L622" s="25">
        <f t="shared" ref="L622" si="607">IF(L621=0,0,VLOOKUP(J622,J626:S656,L621,FALSE))</f>
        <v>0</v>
      </c>
      <c r="M622" s="25">
        <f t="shared" ref="M622" si="608">IF(M621=0,0,VLOOKUP(J622,J626:S656,M621,FALSE))</f>
        <v>0</v>
      </c>
      <c r="N622" s="25">
        <f t="shared" ref="N622" si="609">IF(N621=0,0,VLOOKUP(J622,J626:S656,N621,FALSE))</f>
        <v>0</v>
      </c>
      <c r="O622" s="25">
        <f t="shared" ref="O622" si="610">IF(O621=0,0,VLOOKUP(J622,J626:S656,O621,FALSE))</f>
        <v>-1.8536148923327379E-7</v>
      </c>
      <c r="P622" s="25">
        <f t="shared" ref="P622" si="611">IF(P621=0,0,VLOOKUP(J622,J626:S656,P621,FALSE))</f>
        <v>3.9755305544744543E-5</v>
      </c>
      <c r="Q622" s="25">
        <f t="shared" ref="Q622" si="612">IF(Q621=0,0,VLOOKUP(J622,J626:S656,Q621,FALSE))</f>
        <v>-2.6740613243078073E-3</v>
      </c>
      <c r="R622" s="25">
        <f t="shared" ref="R622" si="613">IF(R621=0,0,VLOOKUP(J622,J626:S656,R621,FALSE))</f>
        <v>1.0580605849540461</v>
      </c>
      <c r="S622" s="25">
        <f t="shared" ref="S622" si="614">IF(S621=0,0,VLOOKUP(J622,J626:S656,S621,FALSE))</f>
        <v>5.3549522681626271E-2</v>
      </c>
      <c r="T622" s="9"/>
      <c r="U622" s="1">
        <f t="shared" si="571"/>
        <v>15</v>
      </c>
      <c r="V622" s="1">
        <f t="shared" si="572"/>
        <v>205</v>
      </c>
    </row>
    <row r="623" spans="1:22" x14ac:dyDescent="0.3">
      <c r="A623" s="1">
        <f t="shared" si="591"/>
        <v>15206</v>
      </c>
      <c r="B623" s="96" t="s">
        <v>15</v>
      </c>
      <c r="C623" s="97"/>
      <c r="D623" s="110" t="s">
        <v>210</v>
      </c>
      <c r="E623" s="111"/>
      <c r="F623" s="111"/>
      <c r="G623" s="111"/>
      <c r="H623" s="112"/>
      <c r="J623" s="24" t="str">
        <f t="shared" ref="J623" si="615">CONCATENATE(J621,2)</f>
        <v>62</v>
      </c>
      <c r="K623" s="6">
        <f t="shared" ref="K623" si="616">IF(K621=0,0,VLOOKUP(J623,J626:S656,K621,FALSE))</f>
        <v>0</v>
      </c>
      <c r="L623" s="6">
        <f t="shared" ref="L623" si="617">IF(L621=0,0,VLOOKUP(J623,J626:S656,L621,FALSE))</f>
        <v>0</v>
      </c>
      <c r="M623" s="6">
        <f t="shared" ref="M623" si="618">IF(M621=0,0,VLOOKUP(J623,J626:S656,M621,FALSE))</f>
        <v>0</v>
      </c>
      <c r="N623" s="6">
        <f t="shared" ref="N623" si="619">IF(N621=0,0,VLOOKUP(J623,J626:S656,N621,FALSE))</f>
        <v>0</v>
      </c>
      <c r="O623" s="6">
        <f t="shared" ref="O623" si="620">IF(O621=0,0,VLOOKUP(J623,J626:S656,O621,FALSE))</f>
        <v>1.9324819900482153E-8</v>
      </c>
      <c r="P623" s="6">
        <f t="shared" ref="P623" si="621">IF(P621=0,0,VLOOKUP(J623,J626:S656,P621,FALSE))</f>
        <v>3.9606041769659053E-6</v>
      </c>
      <c r="Q623" s="6">
        <f t="shared" ref="Q623" si="622">IF(Q621=0,0,VLOOKUP(J623,J626:S656,Q621,FALSE))</f>
        <v>2.6335507005706969E-4</v>
      </c>
      <c r="R623" s="6">
        <f t="shared" ref="R623" si="623">IF(R621=0,0,VLOOKUP(J623,J626:S656,R621,FALSE))</f>
        <v>6.2284440964942497E-3</v>
      </c>
      <c r="S623" s="6">
        <f t="shared" ref="S623" si="624">IF(S621=0,0,VLOOKUP(J623,J626:S656,S621,FALSE))</f>
        <v>4.1107167153477064E-2</v>
      </c>
      <c r="T623" s="9"/>
      <c r="U623" s="1">
        <f t="shared" si="571"/>
        <v>15</v>
      </c>
      <c r="V623" s="1">
        <f t="shared" si="572"/>
        <v>206</v>
      </c>
    </row>
    <row r="624" spans="1:22" x14ac:dyDescent="0.3">
      <c r="A624" s="1">
        <f t="shared" si="591"/>
        <v>15207</v>
      </c>
      <c r="B624" s="96" t="s">
        <v>16</v>
      </c>
      <c r="C624" s="97"/>
      <c r="D624" s="113">
        <v>45260</v>
      </c>
      <c r="E624" s="114"/>
      <c r="F624" s="114"/>
      <c r="G624" s="114"/>
      <c r="H624" s="115"/>
      <c r="J624" s="24" t="str">
        <f t="shared" ref="J624" si="625">CONCATENATE(J621,3)</f>
        <v>63</v>
      </c>
      <c r="K624" s="6"/>
      <c r="L624" s="6"/>
      <c r="M624" s="6"/>
      <c r="N624" s="6" t="s">
        <v>43</v>
      </c>
      <c r="O624" s="25">
        <f t="shared" ref="O624" si="626">J621-2</f>
        <v>4</v>
      </c>
      <c r="P624" s="6" t="s">
        <v>44</v>
      </c>
      <c r="Q624" s="25">
        <f t="shared" ref="Q624" si="627">VLOOKUP(J624,J626:S656,3,FALSE)</f>
        <v>2.2692871885138466E-2</v>
      </c>
      <c r="R624" s="6" t="s">
        <v>45</v>
      </c>
      <c r="S624" s="6">
        <f t="shared" ref="S624" si="628">VLOOKUP(J624,J626:S656,2,FALSE)</f>
        <v>0.99999992054529796</v>
      </c>
      <c r="T624" s="9"/>
      <c r="U624" s="1">
        <f t="shared" si="571"/>
        <v>15</v>
      </c>
      <c r="V624" s="1">
        <f t="shared" si="572"/>
        <v>207</v>
      </c>
    </row>
    <row r="625" spans="1:22" x14ac:dyDescent="0.3">
      <c r="A625" s="1">
        <f t="shared" si="591"/>
        <v>15208</v>
      </c>
      <c r="B625" s="96" t="s">
        <v>17</v>
      </c>
      <c r="C625" s="97"/>
      <c r="D625" s="116">
        <v>45442</v>
      </c>
      <c r="E625" s="117"/>
      <c r="F625" s="117"/>
      <c r="G625" s="117"/>
      <c r="H625" s="118"/>
      <c r="K625" s="1">
        <v>3</v>
      </c>
      <c r="L625" s="1">
        <v>3</v>
      </c>
      <c r="Q625" s="26"/>
      <c r="R625" s="26"/>
      <c r="S625" s="26"/>
      <c r="T625" s="9"/>
      <c r="U625" s="1">
        <f t="shared" si="571"/>
        <v>15</v>
      </c>
      <c r="V625" s="1">
        <f t="shared" si="572"/>
        <v>208</v>
      </c>
    </row>
    <row r="626" spans="1:22" x14ac:dyDescent="0.3">
      <c r="A626" s="1">
        <f t="shared" si="591"/>
        <v>15209</v>
      </c>
      <c r="B626" s="77" t="s">
        <v>19</v>
      </c>
      <c r="C626" s="78"/>
      <c r="D626" s="17">
        <v>0.01</v>
      </c>
      <c r="E626" s="79" t="s">
        <v>40</v>
      </c>
      <c r="F626" s="80"/>
      <c r="G626" s="81"/>
      <c r="H626" s="18" t="s">
        <v>72</v>
      </c>
      <c r="J626" s="24" t="str">
        <f t="shared" ref="J626" si="629">CONCATENATE(K625,1)</f>
        <v>31</v>
      </c>
      <c r="K626" s="6">
        <f t="array" ref="K626:L628">LINEST(B634:B636,C634:C636^{1},TRUE,TRUE)</f>
        <v>1.0019987049482773</v>
      </c>
      <c r="L626" s="6">
        <v>0.3040432979804919</v>
      </c>
      <c r="Q626" s="9"/>
      <c r="R626" s="9"/>
      <c r="S626" s="9"/>
      <c r="T626" s="9"/>
      <c r="U626" s="1">
        <f t="shared" si="571"/>
        <v>15</v>
      </c>
      <c r="V626" s="1">
        <f t="shared" si="572"/>
        <v>209</v>
      </c>
    </row>
    <row r="627" spans="1:22" x14ac:dyDescent="0.3">
      <c r="A627" s="1">
        <f t="shared" si="591"/>
        <v>15210</v>
      </c>
      <c r="B627" s="77" t="s">
        <v>41</v>
      </c>
      <c r="C627" s="78"/>
      <c r="D627" s="23">
        <f t="shared" ref="D627" si="630">MIN(B634:B643)</f>
        <v>5</v>
      </c>
      <c r="E627" s="20" t="s">
        <v>18</v>
      </c>
      <c r="F627" s="19">
        <f t="shared" ref="F627" si="631">MAX(B634:B643)</f>
        <v>97.98</v>
      </c>
      <c r="G627" s="21" t="str">
        <f t="shared" ref="G627" si="632">IF(H626="","",H626)</f>
        <v>%ur</v>
      </c>
      <c r="H627" s="22"/>
      <c r="J627" s="24" t="str">
        <f t="shared" ref="J627" si="633">CONCATENATE(K625,2)</f>
        <v>32</v>
      </c>
      <c r="K627" s="6">
        <v>7.4152866690811317E-3</v>
      </c>
      <c r="L627" s="6">
        <v>0.1535444587282247</v>
      </c>
      <c r="Q627" s="9"/>
      <c r="R627" s="9"/>
      <c r="S627" s="9"/>
      <c r="T627" s="9"/>
      <c r="U627" s="1">
        <f t="shared" si="571"/>
        <v>15</v>
      </c>
      <c r="V627" s="1">
        <f t="shared" si="572"/>
        <v>210</v>
      </c>
    </row>
    <row r="628" spans="1:22" x14ac:dyDescent="0.3">
      <c r="A628" s="1">
        <f t="shared" si="591"/>
        <v>15211</v>
      </c>
      <c r="J628" s="24" t="str">
        <f t="shared" ref="J628" si="634">CONCATENATE(K625,3)</f>
        <v>33</v>
      </c>
      <c r="K628" s="6">
        <v>0.9999452356691646</v>
      </c>
      <c r="L628" s="6">
        <v>0.13168225495905261</v>
      </c>
      <c r="Q628" s="9"/>
      <c r="R628" s="9"/>
      <c r="S628" s="9"/>
      <c r="T628" s="9"/>
      <c r="U628" s="1">
        <f t="shared" si="571"/>
        <v>15</v>
      </c>
      <c r="V628" s="1">
        <f t="shared" si="572"/>
        <v>211</v>
      </c>
    </row>
    <row r="629" spans="1:22" x14ac:dyDescent="0.3">
      <c r="A629" s="1">
        <f t="shared" si="591"/>
        <v>15212</v>
      </c>
      <c r="B629" s="82" t="s">
        <v>20</v>
      </c>
      <c r="C629" s="83"/>
      <c r="D629" s="83"/>
      <c r="E629" s="83"/>
      <c r="F629" s="84"/>
      <c r="G629" s="85" t="s">
        <v>31</v>
      </c>
      <c r="H629" s="86"/>
      <c r="K629" s="1">
        <v>4</v>
      </c>
      <c r="L629" s="1">
        <v>4</v>
      </c>
      <c r="M629" s="1">
        <v>4</v>
      </c>
      <c r="Q629" s="9"/>
      <c r="R629" s="9"/>
      <c r="S629" s="9"/>
      <c r="T629" s="9"/>
      <c r="U629" s="1">
        <f t="shared" si="571"/>
        <v>15</v>
      </c>
      <c r="V629" s="1">
        <f t="shared" si="572"/>
        <v>212</v>
      </c>
    </row>
    <row r="630" spans="1:22" x14ac:dyDescent="0.3">
      <c r="A630" s="1">
        <f t="shared" si="591"/>
        <v>15213</v>
      </c>
      <c r="B630" s="82" t="s">
        <v>30</v>
      </c>
      <c r="C630" s="83"/>
      <c r="D630" s="84"/>
      <c r="E630" s="82" t="str">
        <f t="shared" ref="E630" si="635">D623</f>
        <v>E15366/23</v>
      </c>
      <c r="F630" s="84"/>
      <c r="G630" s="6" t="s">
        <v>32</v>
      </c>
      <c r="H630" s="7" t="s">
        <v>211</v>
      </c>
      <c r="J630" s="24" t="str">
        <f t="shared" ref="J630" si="636">CONCATENATE(K629,1)</f>
        <v>41</v>
      </c>
      <c r="K630" s="6">
        <f t="array" ref="K630:M632">LINEST(B634:B637,C634:C637^{1,2},TRUE,TRUE)</f>
        <v>-3.6787815692213401E-4</v>
      </c>
      <c r="L630" s="6">
        <v>1.0154798949409791</v>
      </c>
      <c r="M630" s="6">
        <v>0.22282897358852705</v>
      </c>
      <c r="Q630" s="9"/>
      <c r="R630" s="9"/>
      <c r="S630" s="9"/>
      <c r="T630" s="9"/>
      <c r="U630" s="1">
        <f t="shared" si="571"/>
        <v>15</v>
      </c>
      <c r="V630" s="1">
        <f t="shared" si="572"/>
        <v>213</v>
      </c>
    </row>
    <row r="631" spans="1:22" x14ac:dyDescent="0.3">
      <c r="A631" s="1">
        <f t="shared" si="591"/>
        <v>15214</v>
      </c>
      <c r="B631" s="2" t="s">
        <v>21</v>
      </c>
      <c r="C631" s="2" t="s">
        <v>22</v>
      </c>
      <c r="D631" s="2" t="s">
        <v>23</v>
      </c>
      <c r="E631" s="2"/>
      <c r="F631" s="2" t="s">
        <v>28</v>
      </c>
      <c r="G631" s="2" t="s">
        <v>21</v>
      </c>
      <c r="H631" s="2" t="s">
        <v>22</v>
      </c>
      <c r="J631" s="24" t="str">
        <f t="shared" ref="J631" si="637">CONCATENATE(K629,2)</f>
        <v>42</v>
      </c>
      <c r="K631" s="6">
        <v>1.8787547171991714E-4</v>
      </c>
      <c r="L631" s="6">
        <v>1.0790501023141013E-2</v>
      </c>
      <c r="M631" s="6">
        <v>0.12579889220365664</v>
      </c>
      <c r="Q631" s="9"/>
      <c r="R631" s="9"/>
      <c r="S631" s="9"/>
      <c r="T631" s="9"/>
      <c r="U631" s="1">
        <f t="shared" si="571"/>
        <v>15</v>
      </c>
      <c r="V631" s="1">
        <f t="shared" si="572"/>
        <v>214</v>
      </c>
    </row>
    <row r="632" spans="1:22" x14ac:dyDescent="0.3">
      <c r="A632" s="1">
        <f t="shared" si="591"/>
        <v>15215</v>
      </c>
      <c r="B632" s="2" t="s">
        <v>24</v>
      </c>
      <c r="C632" s="2" t="s">
        <v>25</v>
      </c>
      <c r="D632" s="2" t="s">
        <v>26</v>
      </c>
      <c r="E632" s="2" t="s">
        <v>27</v>
      </c>
      <c r="F632" s="2" t="s">
        <v>29</v>
      </c>
      <c r="G632" s="2" t="s">
        <v>24</v>
      </c>
      <c r="H632" s="2" t="s">
        <v>25</v>
      </c>
      <c r="J632" s="24" t="str">
        <f t="shared" ref="J632" si="638">CONCATENATE(K629,3)</f>
        <v>43</v>
      </c>
      <c r="K632" s="6">
        <v>0.99999246415453402</v>
      </c>
      <c r="L632" s="6">
        <v>8.9729025678990659E-2</v>
      </c>
      <c r="M632" s="6" t="e">
        <v>#N/A</v>
      </c>
      <c r="Q632" s="9"/>
      <c r="R632" s="9"/>
      <c r="S632" s="9"/>
      <c r="T632" s="9"/>
      <c r="U632" s="1">
        <f t="shared" si="571"/>
        <v>15</v>
      </c>
      <c r="V632" s="1">
        <f t="shared" si="572"/>
        <v>215</v>
      </c>
    </row>
    <row r="633" spans="1:22" x14ac:dyDescent="0.3">
      <c r="A633" s="1">
        <f t="shared" si="591"/>
        <v>15216</v>
      </c>
      <c r="B633" s="3" t="str">
        <f t="shared" ref="B633" si="639">H626</f>
        <v>%ur</v>
      </c>
      <c r="C633" s="3" t="str">
        <f t="shared" ref="C633:D633" si="640">B633</f>
        <v>%ur</v>
      </c>
      <c r="D633" s="3" t="str">
        <f t="shared" si="640"/>
        <v>%ur</v>
      </c>
      <c r="E633" s="3"/>
      <c r="F633" s="3"/>
      <c r="G633" s="3" t="str">
        <f t="shared" ref="G633" si="641">D633</f>
        <v>%ur</v>
      </c>
      <c r="H633" s="3" t="str">
        <f t="shared" ref="H633" si="642">G633</f>
        <v>%ur</v>
      </c>
      <c r="K633" s="1">
        <v>5</v>
      </c>
      <c r="L633" s="1">
        <v>5</v>
      </c>
      <c r="M633" s="1">
        <v>5</v>
      </c>
      <c r="N633" s="1">
        <v>5</v>
      </c>
      <c r="Q633" s="9"/>
      <c r="R633" s="9"/>
      <c r="S633" s="9"/>
      <c r="T633" s="9"/>
      <c r="U633" s="1">
        <f t="shared" si="571"/>
        <v>15</v>
      </c>
      <c r="V633" s="1">
        <f t="shared" si="572"/>
        <v>216</v>
      </c>
    </row>
    <row r="634" spans="1:22" x14ac:dyDescent="0.3">
      <c r="A634" s="1">
        <f t="shared" si="591"/>
        <v>15217</v>
      </c>
      <c r="B634" s="4">
        <v>5</v>
      </c>
      <c r="C634" s="41">
        <v>4.7300000000000004</v>
      </c>
      <c r="D634" s="4">
        <v>0.25</v>
      </c>
      <c r="E634" s="4">
        <v>2</v>
      </c>
      <c r="F634" s="14">
        <v>1000000</v>
      </c>
      <c r="G634" s="42">
        <v>5</v>
      </c>
      <c r="H634" s="42">
        <v>5.07</v>
      </c>
      <c r="J634" s="24" t="str">
        <f t="shared" ref="J634" si="643">CONCATENATE(K633,1)</f>
        <v>51</v>
      </c>
      <c r="K634" s="6">
        <f t="array" ref="K634:N636">LINEST(B634:B638,C634:C638^{1,2,3},TRUE,TRUE)</f>
        <v>1.0372554816870806E-5</v>
      </c>
      <c r="L634" s="6">
        <v>-1.2159650832901595E-3</v>
      </c>
      <c r="M634" s="6">
        <v>1.0334852927092404</v>
      </c>
      <c r="N634" s="6">
        <v>0.14579443555441518</v>
      </c>
      <c r="Q634" s="9"/>
      <c r="R634" s="9"/>
      <c r="S634" s="9"/>
      <c r="T634" s="9"/>
      <c r="U634" s="1">
        <f t="shared" si="571"/>
        <v>15</v>
      </c>
      <c r="V634" s="1">
        <f t="shared" si="572"/>
        <v>217</v>
      </c>
    </row>
    <row r="635" spans="1:22" x14ac:dyDescent="0.3">
      <c r="A635" s="1">
        <f t="shared" si="591"/>
        <v>15218</v>
      </c>
      <c r="B635" s="4">
        <v>19.989999999999998</v>
      </c>
      <c r="C635" s="41">
        <v>19.54</v>
      </c>
      <c r="D635" s="4">
        <v>0.26</v>
      </c>
      <c r="E635" s="4">
        <v>2</v>
      </c>
      <c r="F635" s="14">
        <v>1000000</v>
      </c>
      <c r="G635" s="42">
        <v>19.989999999999998</v>
      </c>
      <c r="H635" s="42">
        <v>20.02</v>
      </c>
      <c r="J635" s="24" t="str">
        <f t="shared" ref="J635" si="644">CONCATENATE(K633,2)</f>
        <v>52</v>
      </c>
      <c r="K635" s="6">
        <v>2.4703833158865977E-6</v>
      </c>
      <c r="L635" s="6">
        <v>3.0902171474916809E-4</v>
      </c>
      <c r="M635" s="6">
        <v>1.0309480919312455E-2</v>
      </c>
      <c r="N635" s="6">
        <v>8.8564380184468466E-2</v>
      </c>
      <c r="T635" s="9"/>
      <c r="U635" s="1">
        <f t="shared" si="571"/>
        <v>15</v>
      </c>
      <c r="V635" s="1">
        <f t="shared" si="572"/>
        <v>218</v>
      </c>
    </row>
    <row r="636" spans="1:22" x14ac:dyDescent="0.3">
      <c r="A636" s="1">
        <f t="shared" si="591"/>
        <v>15219</v>
      </c>
      <c r="B636" s="4">
        <v>30</v>
      </c>
      <c r="C636" s="41">
        <v>29.7</v>
      </c>
      <c r="D636" s="4">
        <v>0.33</v>
      </c>
      <c r="E636" s="4">
        <v>2</v>
      </c>
      <c r="F636" s="14">
        <v>1000000</v>
      </c>
      <c r="G636" s="42">
        <v>30</v>
      </c>
      <c r="H636" s="42">
        <v>29.97</v>
      </c>
      <c r="J636" s="24" t="str">
        <f t="shared" ref="J636" si="645">CONCATENATE(K633,3)</f>
        <v>53</v>
      </c>
      <c r="K636" s="6">
        <v>0.99999907537409116</v>
      </c>
      <c r="L636" s="6">
        <v>5.5925808669093691E-2</v>
      </c>
      <c r="M636" s="6" t="e">
        <v>#N/A</v>
      </c>
      <c r="N636" s="6" t="e">
        <v>#N/A</v>
      </c>
      <c r="T636" s="9"/>
      <c r="U636" s="1">
        <f t="shared" si="571"/>
        <v>15</v>
      </c>
      <c r="V636" s="1">
        <f t="shared" si="572"/>
        <v>219</v>
      </c>
    </row>
    <row r="637" spans="1:22" x14ac:dyDescent="0.3">
      <c r="A637" s="1">
        <f t="shared" si="591"/>
        <v>15220</v>
      </c>
      <c r="B637" s="4">
        <v>49.99</v>
      </c>
      <c r="C637" s="41">
        <v>49.9</v>
      </c>
      <c r="D637" s="4">
        <v>0.51</v>
      </c>
      <c r="E637" s="4">
        <v>2</v>
      </c>
      <c r="F637" s="14">
        <v>1000000</v>
      </c>
      <c r="G637" s="42">
        <v>49.98</v>
      </c>
      <c r="H637" s="42">
        <v>49.87</v>
      </c>
      <c r="K637" s="1">
        <v>6</v>
      </c>
      <c r="L637" s="1">
        <v>6</v>
      </c>
      <c r="M637" s="1">
        <v>6</v>
      </c>
      <c r="N637" s="1">
        <v>6</v>
      </c>
      <c r="O637" s="1">
        <v>6</v>
      </c>
      <c r="T637" s="9"/>
      <c r="U637" s="1">
        <f t="shared" si="571"/>
        <v>15</v>
      </c>
      <c r="V637" s="1">
        <f t="shared" si="572"/>
        <v>220</v>
      </c>
    </row>
    <row r="638" spans="1:22" x14ac:dyDescent="0.3">
      <c r="A638" s="1">
        <f t="shared" si="591"/>
        <v>15221</v>
      </c>
      <c r="B638" s="4">
        <v>80.03</v>
      </c>
      <c r="C638" s="41">
        <v>79.69</v>
      </c>
      <c r="D638" s="4">
        <v>0.78</v>
      </c>
      <c r="E638" s="4">
        <v>2</v>
      </c>
      <c r="F638" s="14">
        <v>1000000</v>
      </c>
      <c r="G638" s="42">
        <v>80</v>
      </c>
      <c r="H638" s="42">
        <v>80.03</v>
      </c>
      <c r="J638" s="24" t="str">
        <f t="shared" ref="J638" si="646">CONCATENATE(K637,1)</f>
        <v>61</v>
      </c>
      <c r="K638" s="6">
        <f t="array" ref="K638:O640">LINEST(B634:B639,C634:C639^{1,2,3,4},TRUE,TRUE)</f>
        <v>-1.8536148923327379E-7</v>
      </c>
      <c r="L638" s="6">
        <v>3.9755305544744543E-5</v>
      </c>
      <c r="M638" s="6">
        <v>-2.6740613243078073E-3</v>
      </c>
      <c r="N638" s="6">
        <v>1.0580605849540461</v>
      </c>
      <c r="O638" s="6">
        <v>5.3549522681626271E-2</v>
      </c>
      <c r="T638" s="9"/>
      <c r="U638" s="1">
        <f t="shared" si="571"/>
        <v>15</v>
      </c>
      <c r="V638" s="1">
        <f t="shared" si="572"/>
        <v>221</v>
      </c>
    </row>
    <row r="639" spans="1:22" x14ac:dyDescent="0.3">
      <c r="A639" s="1">
        <f t="shared" si="591"/>
        <v>15222</v>
      </c>
      <c r="B639" s="4">
        <v>97.98</v>
      </c>
      <c r="C639" s="41">
        <v>97.59</v>
      </c>
      <c r="D639" s="4">
        <v>0.93</v>
      </c>
      <c r="E639" s="4">
        <v>2</v>
      </c>
      <c r="F639" s="14">
        <v>1000000</v>
      </c>
      <c r="G639" s="42">
        <v>95</v>
      </c>
      <c r="H639" s="42">
        <v>95.04</v>
      </c>
      <c r="J639" s="24" t="str">
        <f t="shared" ref="J639" si="647">CONCATENATE(K637,2)</f>
        <v>62</v>
      </c>
      <c r="K639" s="6">
        <v>1.9324819900482153E-8</v>
      </c>
      <c r="L639" s="6">
        <v>3.9606041769659053E-6</v>
      </c>
      <c r="M639" s="6">
        <v>2.6335507005706969E-4</v>
      </c>
      <c r="N639" s="6">
        <v>6.2284440964942497E-3</v>
      </c>
      <c r="O639" s="6">
        <v>4.1107167153477064E-2</v>
      </c>
      <c r="T639" s="9"/>
      <c r="U639" s="1">
        <f t="shared" si="571"/>
        <v>15</v>
      </c>
      <c r="V639" s="1">
        <f t="shared" si="572"/>
        <v>222</v>
      </c>
    </row>
    <row r="640" spans="1:22" x14ac:dyDescent="0.3">
      <c r="A640" s="1">
        <f t="shared" si="591"/>
        <v>15223</v>
      </c>
      <c r="B640" s="4"/>
      <c r="C640" s="4"/>
      <c r="D640" s="4"/>
      <c r="E640" s="4"/>
      <c r="F640" s="14"/>
      <c r="G640" s="8"/>
      <c r="H640" s="7"/>
      <c r="J640" s="24" t="str">
        <f t="shared" ref="J640" si="648">CONCATENATE(K637,3)</f>
        <v>63</v>
      </c>
      <c r="K640" s="6">
        <v>0.99999992054529796</v>
      </c>
      <c r="L640" s="6">
        <v>2.2692871885138466E-2</v>
      </c>
      <c r="M640" s="6" t="e">
        <v>#N/A</v>
      </c>
      <c r="N640" s="6" t="e">
        <v>#N/A</v>
      </c>
      <c r="O640" s="6" t="e">
        <v>#N/A</v>
      </c>
      <c r="T640" s="9"/>
      <c r="U640" s="1">
        <f t="shared" si="571"/>
        <v>15</v>
      </c>
      <c r="V640" s="1">
        <f t="shared" si="572"/>
        <v>223</v>
      </c>
    </row>
    <row r="641" spans="1:22" x14ac:dyDescent="0.3">
      <c r="A641" s="1">
        <f t="shared" si="591"/>
        <v>15224</v>
      </c>
      <c r="B641" s="4"/>
      <c r="C641" s="4"/>
      <c r="D641" s="4"/>
      <c r="E641" s="4"/>
      <c r="F641" s="14"/>
      <c r="G641" s="8"/>
      <c r="H641" s="7"/>
      <c r="K641" s="1">
        <v>7</v>
      </c>
      <c r="L641" s="1">
        <v>7</v>
      </c>
      <c r="M641" s="1">
        <v>7</v>
      </c>
      <c r="N641" s="1">
        <v>7</v>
      </c>
      <c r="O641" s="1">
        <v>7</v>
      </c>
      <c r="P641" s="1">
        <v>7</v>
      </c>
      <c r="T641" s="9"/>
      <c r="U641" s="1">
        <f t="shared" si="571"/>
        <v>15</v>
      </c>
      <c r="V641" s="1">
        <f t="shared" si="572"/>
        <v>224</v>
      </c>
    </row>
    <row r="642" spans="1:22" x14ac:dyDescent="0.3">
      <c r="A642" s="1">
        <f t="shared" si="591"/>
        <v>15225</v>
      </c>
      <c r="B642" s="4"/>
      <c r="C642" s="4"/>
      <c r="D642" s="4"/>
      <c r="E642" s="4"/>
      <c r="F642" s="14"/>
      <c r="G642" s="8"/>
      <c r="H642" s="7"/>
      <c r="J642" s="24" t="str">
        <f t="shared" ref="J642" si="649">CONCATENATE(K641,1)</f>
        <v>71</v>
      </c>
      <c r="K642" s="6" t="e">
        <f t="array" ref="K642:P644">LINEST(B634:B640,C634:C640^{1,2,3,4,5},TRUE,TRUE)</f>
        <v>#VALUE!</v>
      </c>
      <c r="L642" s="6" t="e">
        <v>#VALUE!</v>
      </c>
      <c r="M642" s="6" t="e">
        <v>#VALUE!</v>
      </c>
      <c r="N642" s="6" t="e">
        <v>#VALUE!</v>
      </c>
      <c r="O642" s="6" t="e">
        <v>#VALUE!</v>
      </c>
      <c r="P642" s="6" t="e">
        <v>#VALUE!</v>
      </c>
      <c r="T642" s="9"/>
      <c r="U642" s="1">
        <f t="shared" si="571"/>
        <v>15</v>
      </c>
      <c r="V642" s="1">
        <f t="shared" si="572"/>
        <v>225</v>
      </c>
    </row>
    <row r="643" spans="1:22" x14ac:dyDescent="0.3">
      <c r="A643" s="1">
        <f t="shared" si="591"/>
        <v>15226</v>
      </c>
      <c r="B643" s="4"/>
      <c r="C643" s="4"/>
      <c r="D643" s="4"/>
      <c r="E643" s="4"/>
      <c r="F643" s="14"/>
      <c r="G643" s="8"/>
      <c r="H643" s="7"/>
      <c r="J643" s="24" t="str">
        <f t="shared" ref="J643" si="650">CONCATENATE(K641,2)</f>
        <v>72</v>
      </c>
      <c r="K643" s="6" t="e">
        <v>#VALUE!</v>
      </c>
      <c r="L643" s="6" t="e">
        <v>#VALUE!</v>
      </c>
      <c r="M643" s="6" t="e">
        <v>#VALUE!</v>
      </c>
      <c r="N643" s="6" t="e">
        <v>#VALUE!</v>
      </c>
      <c r="O643" s="6" t="e">
        <v>#VALUE!</v>
      </c>
      <c r="P643" s="6" t="e">
        <v>#VALUE!</v>
      </c>
      <c r="T643" s="9"/>
      <c r="U643" s="1">
        <f t="shared" si="571"/>
        <v>15</v>
      </c>
      <c r="V643" s="1">
        <f t="shared" si="572"/>
        <v>226</v>
      </c>
    </row>
    <row r="644" spans="1:22" x14ac:dyDescent="0.3">
      <c r="A644" s="1">
        <f t="shared" si="591"/>
        <v>15227</v>
      </c>
      <c r="B644" s="9"/>
      <c r="C644" s="9"/>
      <c r="D644" s="9"/>
      <c r="E644" s="9"/>
      <c r="F644" s="9"/>
      <c r="G644" s="9"/>
      <c r="H644" s="9"/>
      <c r="J644" s="24" t="str">
        <f t="shared" ref="J644" si="651">CONCATENATE(K641,3)</f>
        <v>73</v>
      </c>
      <c r="K644" s="6" t="e">
        <v>#VALUE!</v>
      </c>
      <c r="L644" s="6" t="e">
        <v>#VALUE!</v>
      </c>
      <c r="M644" s="6" t="e">
        <v>#VALUE!</v>
      </c>
      <c r="N644" s="6" t="e">
        <v>#VALUE!</v>
      </c>
      <c r="O644" s="6" t="e">
        <v>#VALUE!</v>
      </c>
      <c r="P644" s="6" t="e">
        <v>#VALUE!</v>
      </c>
      <c r="T644" s="9"/>
      <c r="U644" s="1">
        <f t="shared" si="571"/>
        <v>15</v>
      </c>
      <c r="V644" s="1">
        <f t="shared" si="572"/>
        <v>227</v>
      </c>
    </row>
    <row r="645" spans="1:22" x14ac:dyDescent="0.3">
      <c r="A645" s="1">
        <f t="shared" si="591"/>
        <v>15228</v>
      </c>
      <c r="B645" s="87" t="s">
        <v>33</v>
      </c>
      <c r="C645" s="88"/>
      <c r="D645" s="88"/>
      <c r="E645" s="88"/>
      <c r="F645" s="88"/>
      <c r="G645" s="88"/>
      <c r="H645" s="89"/>
      <c r="K645" s="1">
        <v>8</v>
      </c>
      <c r="L645" s="1">
        <v>8</v>
      </c>
      <c r="M645" s="1">
        <v>8</v>
      </c>
      <c r="N645" s="1">
        <v>8</v>
      </c>
      <c r="O645" s="1">
        <v>8</v>
      </c>
      <c r="P645" s="1">
        <v>8</v>
      </c>
      <c r="Q645" s="1">
        <v>8</v>
      </c>
      <c r="T645" s="9"/>
      <c r="U645" s="1">
        <f t="shared" si="571"/>
        <v>15</v>
      </c>
      <c r="V645" s="1">
        <f t="shared" si="572"/>
        <v>228</v>
      </c>
    </row>
    <row r="646" spans="1:22" x14ac:dyDescent="0.3">
      <c r="A646" s="1">
        <f t="shared" si="591"/>
        <v>15229</v>
      </c>
      <c r="B646" s="90"/>
      <c r="C646" s="91"/>
      <c r="D646" s="91"/>
      <c r="E646" s="91"/>
      <c r="F646" s="91"/>
      <c r="G646" s="91"/>
      <c r="H646" s="92"/>
      <c r="J646" s="24" t="str">
        <f t="shared" ref="J646" si="652">CONCATENATE(K645,1)</f>
        <v>81</v>
      </c>
      <c r="K646" s="6" t="e">
        <f t="array" ref="K646:Q648">LINEST(B634:B641,C634:C641^{1,2,3,4,5,6},TRUE,TRUE)</f>
        <v>#VALUE!</v>
      </c>
      <c r="L646" s="6" t="e">
        <v>#VALUE!</v>
      </c>
      <c r="M646" s="6" t="e">
        <v>#VALUE!</v>
      </c>
      <c r="N646" s="6" t="e">
        <v>#VALUE!</v>
      </c>
      <c r="O646" s="6" t="e">
        <v>#VALUE!</v>
      </c>
      <c r="P646" s="6" t="e">
        <v>#VALUE!</v>
      </c>
      <c r="Q646" s="6" t="e">
        <v>#VALUE!</v>
      </c>
      <c r="T646" s="9"/>
      <c r="U646" s="1">
        <f t="shared" si="571"/>
        <v>15</v>
      </c>
      <c r="V646" s="1">
        <f t="shared" si="572"/>
        <v>229</v>
      </c>
    </row>
    <row r="647" spans="1:22" x14ac:dyDescent="0.3">
      <c r="A647" s="1">
        <f t="shared" si="591"/>
        <v>15230</v>
      </c>
      <c r="B647" s="93"/>
      <c r="C647" s="94"/>
      <c r="D647" s="94"/>
      <c r="E647" s="94"/>
      <c r="F647" s="94"/>
      <c r="G647" s="94"/>
      <c r="H647" s="95"/>
      <c r="J647" s="24" t="str">
        <f t="shared" ref="J647" si="653">CONCATENATE(K645,2)</f>
        <v>82</v>
      </c>
      <c r="K647" s="6" t="e">
        <v>#VALUE!</v>
      </c>
      <c r="L647" s="6" t="e">
        <v>#VALUE!</v>
      </c>
      <c r="M647" s="6" t="e">
        <v>#VALUE!</v>
      </c>
      <c r="N647" s="6" t="e">
        <v>#VALUE!</v>
      </c>
      <c r="O647" s="6" t="e">
        <v>#VALUE!</v>
      </c>
      <c r="P647" s="6" t="e">
        <v>#VALUE!</v>
      </c>
      <c r="Q647" s="6" t="e">
        <v>#VALUE!</v>
      </c>
      <c r="T647" s="9"/>
      <c r="U647" s="1">
        <f t="shared" si="571"/>
        <v>15</v>
      </c>
      <c r="V647" s="1">
        <f t="shared" si="572"/>
        <v>230</v>
      </c>
    </row>
    <row r="648" spans="1:22" x14ac:dyDescent="0.3">
      <c r="A648" s="1">
        <f t="shared" si="591"/>
        <v>15231</v>
      </c>
      <c r="J648" s="24" t="str">
        <f t="shared" ref="J648" si="654">CONCATENATE(K645,3)</f>
        <v>83</v>
      </c>
      <c r="K648" s="6" t="e">
        <v>#VALUE!</v>
      </c>
      <c r="L648" s="6" t="e">
        <v>#VALUE!</v>
      </c>
      <c r="M648" s="6" t="e">
        <v>#VALUE!</v>
      </c>
      <c r="N648" s="6" t="e">
        <v>#VALUE!</v>
      </c>
      <c r="O648" s="6" t="e">
        <v>#VALUE!</v>
      </c>
      <c r="P648" s="6" t="e">
        <v>#VALUE!</v>
      </c>
      <c r="Q648" s="6" t="e">
        <v>#VALUE!</v>
      </c>
      <c r="T648" s="9"/>
      <c r="U648" s="1">
        <f t="shared" si="571"/>
        <v>15</v>
      </c>
      <c r="V648" s="1">
        <f t="shared" si="572"/>
        <v>231</v>
      </c>
    </row>
    <row r="649" spans="1:22" ht="15" customHeight="1" x14ac:dyDescent="0.3">
      <c r="A649" s="1">
        <f t="shared" si="591"/>
        <v>15232</v>
      </c>
      <c r="B649" s="10" t="s">
        <v>34</v>
      </c>
      <c r="C649" s="10" t="s">
        <v>35</v>
      </c>
      <c r="D649" s="10" t="s">
        <v>36</v>
      </c>
      <c r="E649" s="74" t="s">
        <v>37</v>
      </c>
      <c r="F649" s="75"/>
      <c r="G649" s="76"/>
      <c r="K649" s="1">
        <v>9</v>
      </c>
      <c r="L649" s="1">
        <v>9</v>
      </c>
      <c r="M649" s="1">
        <v>9</v>
      </c>
      <c r="N649" s="1">
        <v>9</v>
      </c>
      <c r="O649" s="1">
        <v>9</v>
      </c>
      <c r="P649" s="1">
        <v>9</v>
      </c>
      <c r="Q649" s="1">
        <v>9</v>
      </c>
      <c r="R649" s="1">
        <v>9</v>
      </c>
      <c r="T649" s="9"/>
      <c r="U649" s="1">
        <f t="shared" si="571"/>
        <v>15</v>
      </c>
      <c r="V649" s="1">
        <f t="shared" si="572"/>
        <v>232</v>
      </c>
    </row>
    <row r="650" spans="1:22" x14ac:dyDescent="0.3">
      <c r="A650" s="1">
        <f t="shared" si="591"/>
        <v>15233</v>
      </c>
      <c r="B650" s="12">
        <f t="shared" ref="B650:B659" si="655">C634-B634</f>
        <v>-0.26999999999999957</v>
      </c>
      <c r="C650" s="13">
        <f t="shared" ref="C650:C659" si="656">H634-G634</f>
        <v>7.0000000000000284E-2</v>
      </c>
      <c r="D650" s="10">
        <f t="shared" ref="D650:D659" si="657">C650-B650</f>
        <v>0.33999999999999986</v>
      </c>
      <c r="E650" s="11">
        <v>0.35</v>
      </c>
      <c r="F650" s="10">
        <f t="shared" ref="F650" si="658">ABS(MIN(D650:D659))</f>
        <v>1.9999999999996021E-2</v>
      </c>
      <c r="G650" s="10">
        <f t="shared" ref="G650" si="659">ABS(MAX(D650:D659))</f>
        <v>0.48000000000000043</v>
      </c>
      <c r="J650" s="24" t="str">
        <f t="shared" ref="J650" si="660">CONCATENATE(K649,1)</f>
        <v>91</v>
      </c>
      <c r="K650" s="6" t="e">
        <f t="array" ref="K650:R652">LINEST(B634:B642,C634:C642^{1,2,3,4,5,6,7},TRUE,TRUE)</f>
        <v>#VALUE!</v>
      </c>
      <c r="L650" s="6" t="e">
        <v>#VALUE!</v>
      </c>
      <c r="M650" s="6" t="e">
        <v>#VALUE!</v>
      </c>
      <c r="N650" s="6" t="e">
        <v>#VALUE!</v>
      </c>
      <c r="O650" s="6" t="e">
        <v>#VALUE!</v>
      </c>
      <c r="P650" s="6" t="e">
        <v>#VALUE!</v>
      </c>
      <c r="Q650" s="6" t="e">
        <v>#VALUE!</v>
      </c>
      <c r="R650" s="6" t="e">
        <v>#VALUE!</v>
      </c>
      <c r="T650" s="9"/>
      <c r="U650" s="1">
        <f t="shared" si="571"/>
        <v>15</v>
      </c>
      <c r="V650" s="1">
        <f t="shared" si="572"/>
        <v>233</v>
      </c>
    </row>
    <row r="651" spans="1:22" x14ac:dyDescent="0.3">
      <c r="A651" s="1">
        <f t="shared" si="591"/>
        <v>15234</v>
      </c>
      <c r="B651" s="12">
        <f t="shared" si="655"/>
        <v>-0.44999999999999929</v>
      </c>
      <c r="C651" s="13">
        <f t="shared" si="656"/>
        <v>3.0000000000001137E-2</v>
      </c>
      <c r="D651" s="10">
        <f t="shared" si="657"/>
        <v>0.48000000000000043</v>
      </c>
      <c r="E651" s="74" t="s">
        <v>38</v>
      </c>
      <c r="F651" s="75"/>
      <c r="G651" s="76"/>
      <c r="J651" s="24" t="str">
        <f t="shared" ref="J651" si="661">CONCATENATE(K649,2)</f>
        <v>92</v>
      </c>
      <c r="K651" s="6" t="e">
        <v>#VALUE!</v>
      </c>
      <c r="L651" s="6" t="e">
        <v>#VALUE!</v>
      </c>
      <c r="M651" s="6" t="e">
        <v>#VALUE!</v>
      </c>
      <c r="N651" s="6" t="e">
        <v>#VALUE!</v>
      </c>
      <c r="O651" s="6" t="e">
        <v>#VALUE!</v>
      </c>
      <c r="P651" s="6" t="e">
        <v>#VALUE!</v>
      </c>
      <c r="Q651" s="6" t="e">
        <v>#VALUE!</v>
      </c>
      <c r="R651" s="6" t="e">
        <v>#VALUE!</v>
      </c>
      <c r="T651" s="9"/>
      <c r="U651" s="1">
        <f t="shared" si="571"/>
        <v>15</v>
      </c>
      <c r="V651" s="1">
        <f t="shared" si="572"/>
        <v>234</v>
      </c>
    </row>
    <row r="652" spans="1:22" x14ac:dyDescent="0.3">
      <c r="A652" s="1">
        <f t="shared" si="591"/>
        <v>15235</v>
      </c>
      <c r="B652" s="12">
        <f t="shared" si="655"/>
        <v>-0.30000000000000071</v>
      </c>
      <c r="C652" s="13">
        <f t="shared" si="656"/>
        <v>-3.0000000000001137E-2</v>
      </c>
      <c r="D652" s="10">
        <f t="shared" si="657"/>
        <v>0.26999999999999957</v>
      </c>
      <c r="E652" s="11">
        <f t="shared" ref="E652" si="662">IF(D625="","",MAX(F652,G652))</f>
        <v>0.44999999999999929</v>
      </c>
      <c r="F652" s="10">
        <f t="shared" ref="F652" si="663">ABS(MIN(B650:B659))</f>
        <v>0.44999999999999929</v>
      </c>
      <c r="G652" s="10">
        <f t="shared" ref="G652" si="664">ABS(MAX(B650:B659))</f>
        <v>0</v>
      </c>
      <c r="J652" s="24" t="str">
        <f t="shared" ref="J652" si="665">CONCATENATE(K649,3)</f>
        <v>93</v>
      </c>
      <c r="K652" s="6" t="e">
        <v>#VALUE!</v>
      </c>
      <c r="L652" s="6" t="e">
        <v>#VALUE!</v>
      </c>
      <c r="M652" s="6" t="e">
        <v>#VALUE!</v>
      </c>
      <c r="N652" s="6" t="e">
        <v>#VALUE!</v>
      </c>
      <c r="O652" s="6" t="e">
        <v>#VALUE!</v>
      </c>
      <c r="P652" s="6" t="e">
        <v>#VALUE!</v>
      </c>
      <c r="Q652" s="6" t="e">
        <v>#VALUE!</v>
      </c>
      <c r="R652" s="6" t="e">
        <v>#VALUE!</v>
      </c>
      <c r="T652" s="9"/>
      <c r="U652" s="1">
        <f t="shared" si="571"/>
        <v>15</v>
      </c>
      <c r="V652" s="1">
        <f t="shared" si="572"/>
        <v>235</v>
      </c>
    </row>
    <row r="653" spans="1:22" x14ac:dyDescent="0.3">
      <c r="A653" s="1">
        <f t="shared" si="591"/>
        <v>15236</v>
      </c>
      <c r="B653" s="12">
        <f t="shared" si="655"/>
        <v>-9.0000000000003411E-2</v>
      </c>
      <c r="C653" s="13">
        <f t="shared" si="656"/>
        <v>-0.10999999999999943</v>
      </c>
      <c r="D653" s="10">
        <f t="shared" si="657"/>
        <v>-1.9999999999996021E-2</v>
      </c>
      <c r="E653" s="74" t="s">
        <v>39</v>
      </c>
      <c r="F653" s="75"/>
      <c r="G653" s="76"/>
      <c r="K653" s="1">
        <v>10</v>
      </c>
      <c r="L653" s="1">
        <v>10</v>
      </c>
      <c r="M653" s="1">
        <v>10</v>
      </c>
      <c r="N653" s="1">
        <v>10</v>
      </c>
      <c r="O653" s="1">
        <v>10</v>
      </c>
      <c r="P653" s="1">
        <v>10</v>
      </c>
      <c r="Q653" s="1">
        <v>10</v>
      </c>
      <c r="R653" s="1">
        <v>10</v>
      </c>
      <c r="S653" s="1">
        <v>10</v>
      </c>
      <c r="T653" s="9"/>
      <c r="U653" s="1">
        <f t="shared" si="571"/>
        <v>15</v>
      </c>
      <c r="V653" s="1">
        <f t="shared" si="572"/>
        <v>236</v>
      </c>
    </row>
    <row r="654" spans="1:22" x14ac:dyDescent="0.3">
      <c r="A654" s="1">
        <f t="shared" si="591"/>
        <v>15237</v>
      </c>
      <c r="B654" s="12">
        <f t="shared" si="655"/>
        <v>-0.34000000000000341</v>
      </c>
      <c r="C654" s="13">
        <f t="shared" si="656"/>
        <v>3.0000000000001137E-2</v>
      </c>
      <c r="D654" s="10">
        <f t="shared" si="657"/>
        <v>0.37000000000000455</v>
      </c>
      <c r="E654" s="11">
        <f t="shared" ref="E654" si="666">IF(D625="","",MAX(F654,G654))</f>
        <v>0.93</v>
      </c>
      <c r="F654" s="10">
        <f t="shared" ref="F654" si="667">ABS(MIN(D634:D643))</f>
        <v>0.25</v>
      </c>
      <c r="G654" s="10">
        <f t="shared" ref="G654" si="668">ABS(MAX(D634:D643))</f>
        <v>0.93</v>
      </c>
      <c r="J654" s="24" t="str">
        <f t="shared" ref="J654" si="669">CONCATENATE(K653,1)</f>
        <v>101</v>
      </c>
      <c r="K654" s="6" t="e">
        <f t="array" ref="K654:S656">LINEST(B634:B643,C634:C643^{1,2,3,4,5,6,7,8},TRUE,TRUE)</f>
        <v>#VALUE!</v>
      </c>
      <c r="L654" s="6" t="e">
        <v>#VALUE!</v>
      </c>
      <c r="M654" s="6" t="e">
        <v>#VALUE!</v>
      </c>
      <c r="N654" s="6" t="e">
        <v>#VALUE!</v>
      </c>
      <c r="O654" s="6" t="e">
        <v>#VALUE!</v>
      </c>
      <c r="P654" s="6" t="e">
        <v>#VALUE!</v>
      </c>
      <c r="Q654" s="6" t="e">
        <v>#VALUE!</v>
      </c>
      <c r="R654" s="6" t="e">
        <v>#VALUE!</v>
      </c>
      <c r="S654" s="6" t="e">
        <v>#VALUE!</v>
      </c>
      <c r="T654" s="9"/>
      <c r="U654" s="1">
        <f t="shared" si="571"/>
        <v>15</v>
      </c>
      <c r="V654" s="1">
        <f t="shared" si="572"/>
        <v>237</v>
      </c>
    </row>
    <row r="655" spans="1:22" x14ac:dyDescent="0.3">
      <c r="A655" s="1">
        <f t="shared" si="591"/>
        <v>15238</v>
      </c>
      <c r="B655" s="12">
        <f t="shared" si="655"/>
        <v>-0.39000000000000057</v>
      </c>
      <c r="C655" s="13">
        <f t="shared" si="656"/>
        <v>4.0000000000006253E-2</v>
      </c>
      <c r="D655" s="10">
        <f t="shared" si="657"/>
        <v>0.43000000000000682</v>
      </c>
      <c r="J655" s="24" t="str">
        <f t="shared" ref="J655" si="670">CONCATENATE(K653,2)</f>
        <v>102</v>
      </c>
      <c r="K655" s="6" t="e">
        <v>#VALUE!</v>
      </c>
      <c r="L655" s="6" t="e">
        <v>#VALUE!</v>
      </c>
      <c r="M655" s="6" t="e">
        <v>#VALUE!</v>
      </c>
      <c r="N655" s="6" t="e">
        <v>#VALUE!</v>
      </c>
      <c r="O655" s="6" t="e">
        <v>#VALUE!</v>
      </c>
      <c r="P655" s="6" t="e">
        <v>#VALUE!</v>
      </c>
      <c r="Q655" s="6" t="e">
        <v>#VALUE!</v>
      </c>
      <c r="R655" s="6" t="e">
        <v>#VALUE!</v>
      </c>
      <c r="S655" s="6" t="e">
        <v>#VALUE!</v>
      </c>
      <c r="T655" s="9"/>
      <c r="U655" s="1">
        <f t="shared" si="571"/>
        <v>15</v>
      </c>
      <c r="V655" s="1">
        <f t="shared" si="572"/>
        <v>238</v>
      </c>
    </row>
    <row r="656" spans="1:22" x14ac:dyDescent="0.3">
      <c r="A656" s="1">
        <f t="shared" si="591"/>
        <v>15239</v>
      </c>
      <c r="B656" s="12">
        <f t="shared" si="655"/>
        <v>0</v>
      </c>
      <c r="C656" s="13">
        <f t="shared" si="656"/>
        <v>0</v>
      </c>
      <c r="D656" s="10">
        <f t="shared" si="657"/>
        <v>0</v>
      </c>
      <c r="J656" s="24" t="str">
        <f t="shared" ref="J656" si="671">CONCATENATE(K653,3)</f>
        <v>103</v>
      </c>
      <c r="K656" s="6" t="e">
        <v>#VALUE!</v>
      </c>
      <c r="L656" s="6" t="e">
        <v>#VALUE!</v>
      </c>
      <c r="M656" s="6" t="e">
        <v>#VALUE!</v>
      </c>
      <c r="N656" s="6" t="e">
        <v>#VALUE!</v>
      </c>
      <c r="O656" s="6" t="e">
        <v>#VALUE!</v>
      </c>
      <c r="P656" s="6" t="e">
        <v>#VALUE!</v>
      </c>
      <c r="Q656" s="6" t="e">
        <v>#VALUE!</v>
      </c>
      <c r="R656" s="6" t="e">
        <v>#VALUE!</v>
      </c>
      <c r="S656" s="6" t="e">
        <v>#VALUE!</v>
      </c>
      <c r="T656" s="9"/>
      <c r="U656" s="1">
        <f t="shared" si="571"/>
        <v>15</v>
      </c>
      <c r="V656" s="1">
        <f t="shared" si="572"/>
        <v>239</v>
      </c>
    </row>
    <row r="657" spans="1:22" x14ac:dyDescent="0.3">
      <c r="A657" s="1">
        <f t="shared" si="591"/>
        <v>15240</v>
      </c>
      <c r="B657" s="12">
        <f t="shared" si="655"/>
        <v>0</v>
      </c>
      <c r="C657" s="13">
        <f t="shared" si="656"/>
        <v>0</v>
      </c>
      <c r="D657" s="10">
        <f t="shared" si="657"/>
        <v>0</v>
      </c>
      <c r="J657" s="9"/>
      <c r="K657" s="9"/>
      <c r="L657" s="9"/>
      <c r="M657" s="9"/>
      <c r="N657" s="9"/>
      <c r="O657" s="9"/>
      <c r="P657" s="9"/>
      <c r="Q657" s="9"/>
      <c r="R657" s="9"/>
      <c r="S657" s="9"/>
      <c r="T657" s="9"/>
      <c r="U657" s="1">
        <f t="shared" si="571"/>
        <v>15</v>
      </c>
      <c r="V657" s="1">
        <f t="shared" si="572"/>
        <v>240</v>
      </c>
    </row>
    <row r="658" spans="1:22" x14ac:dyDescent="0.3">
      <c r="A658" s="1">
        <f t="shared" si="591"/>
        <v>15241</v>
      </c>
      <c r="B658" s="12">
        <f t="shared" si="655"/>
        <v>0</v>
      </c>
      <c r="C658" s="13">
        <f t="shared" si="656"/>
        <v>0</v>
      </c>
      <c r="D658" s="10">
        <f t="shared" si="657"/>
        <v>0</v>
      </c>
      <c r="J658" s="9"/>
      <c r="K658" s="9"/>
      <c r="L658" s="9"/>
      <c r="M658" s="9"/>
      <c r="N658" s="9"/>
      <c r="O658" s="9"/>
      <c r="P658" s="9"/>
      <c r="Q658" s="9"/>
      <c r="R658" s="9"/>
      <c r="S658" s="9"/>
      <c r="T658" s="9"/>
      <c r="U658" s="1">
        <f t="shared" si="571"/>
        <v>15</v>
      </c>
      <c r="V658" s="1">
        <f t="shared" si="572"/>
        <v>241</v>
      </c>
    </row>
    <row r="659" spans="1:22" x14ac:dyDescent="0.3">
      <c r="A659" s="1">
        <f t="shared" si="591"/>
        <v>15242</v>
      </c>
      <c r="B659" s="12">
        <f t="shared" si="655"/>
        <v>0</v>
      </c>
      <c r="C659" s="13">
        <f t="shared" si="656"/>
        <v>0</v>
      </c>
      <c r="D659" s="10">
        <f t="shared" si="657"/>
        <v>0</v>
      </c>
      <c r="J659" s="9"/>
      <c r="K659" s="9"/>
      <c r="L659" s="9"/>
      <c r="M659" s="9"/>
      <c r="N659" s="9"/>
      <c r="O659" s="9"/>
      <c r="P659" s="9"/>
      <c r="Q659" s="9"/>
      <c r="R659" s="9"/>
      <c r="S659" s="9"/>
      <c r="T659" s="9"/>
      <c r="U659" s="1">
        <f t="shared" si="571"/>
        <v>15</v>
      </c>
      <c r="V659" s="1">
        <f t="shared" si="572"/>
        <v>242</v>
      </c>
    </row>
    <row r="660" spans="1:22" x14ac:dyDescent="0.3">
      <c r="A660" s="1">
        <f t="shared" si="591"/>
        <v>15243</v>
      </c>
      <c r="J660" s="9"/>
      <c r="K660" s="9"/>
      <c r="L660" s="9"/>
      <c r="M660" s="9"/>
      <c r="N660" s="9"/>
      <c r="O660" s="9"/>
      <c r="P660" s="9"/>
      <c r="Q660" s="9"/>
      <c r="R660" s="9"/>
      <c r="S660" s="9"/>
      <c r="T660" s="9"/>
      <c r="U660" s="1">
        <f t="shared" si="571"/>
        <v>15</v>
      </c>
      <c r="V660" s="1">
        <f t="shared" si="572"/>
        <v>243</v>
      </c>
    </row>
    <row r="661" spans="1:22" s="5" customFormat="1" x14ac:dyDescent="0.3"/>
    <row r="662" spans="1:22" x14ac:dyDescent="0.3">
      <c r="A662" s="1">
        <f t="shared" ref="A662:A704" si="672">ROUND(CONCATENATE(U662,V662),0)</f>
        <v>16201</v>
      </c>
      <c r="B662" s="96" t="s">
        <v>0</v>
      </c>
      <c r="C662" s="97"/>
      <c r="D662" s="110" t="s">
        <v>46</v>
      </c>
      <c r="E662" s="111"/>
      <c r="F662" s="111"/>
      <c r="G662" s="111"/>
      <c r="H662" s="112"/>
      <c r="J662" s="9"/>
      <c r="K662" s="9"/>
      <c r="L662" s="9"/>
      <c r="M662" s="9"/>
      <c r="N662" s="9"/>
      <c r="O662" s="9"/>
      <c r="P662" s="9"/>
      <c r="Q662" s="9"/>
      <c r="R662" s="9"/>
      <c r="S662" s="9"/>
      <c r="T662" s="9"/>
      <c r="U662" s="1">
        <f t="shared" ref="U662" si="673">U660+1</f>
        <v>16</v>
      </c>
      <c r="V662" s="1">
        <v>201</v>
      </c>
    </row>
    <row r="663" spans="1:22" x14ac:dyDescent="0.3">
      <c r="A663" s="1">
        <f t="shared" si="672"/>
        <v>16202</v>
      </c>
      <c r="B663" s="96" t="s">
        <v>1</v>
      </c>
      <c r="C663" s="97"/>
      <c r="D663" s="15">
        <v>25</v>
      </c>
      <c r="E663" s="16" t="s">
        <v>2</v>
      </c>
      <c r="F663" s="107"/>
      <c r="G663" s="108"/>
      <c r="H663" s="109"/>
      <c r="J663" s="9"/>
      <c r="K663" s="9"/>
      <c r="L663" s="9"/>
      <c r="M663" s="9"/>
      <c r="N663" s="9"/>
      <c r="O663" s="9"/>
      <c r="P663" s="9"/>
      <c r="Q663" s="9"/>
      <c r="R663" s="9"/>
      <c r="S663" s="9"/>
      <c r="T663" s="9"/>
      <c r="U663" s="1">
        <f t="shared" ref="U663" si="674">U662</f>
        <v>16</v>
      </c>
      <c r="V663" s="1">
        <f t="shared" ref="V663" si="675">V662+1</f>
        <v>202</v>
      </c>
    </row>
    <row r="664" spans="1:22" x14ac:dyDescent="0.3">
      <c r="A664" s="1">
        <f t="shared" si="672"/>
        <v>16203</v>
      </c>
      <c r="B664" s="96" t="s">
        <v>12</v>
      </c>
      <c r="C664" s="97"/>
      <c r="D664" s="98" t="s">
        <v>209</v>
      </c>
      <c r="E664" s="99"/>
      <c r="F664" s="99"/>
      <c r="G664" s="99"/>
      <c r="H664" s="100"/>
      <c r="K664" s="1" t="s">
        <v>3</v>
      </c>
      <c r="L664" s="1" t="s">
        <v>4</v>
      </c>
      <c r="M664" s="1" t="s">
        <v>5</v>
      </c>
      <c r="N664" s="1" t="s">
        <v>6</v>
      </c>
      <c r="O664" s="1" t="s">
        <v>7</v>
      </c>
      <c r="P664" s="1" t="s">
        <v>8</v>
      </c>
      <c r="Q664" s="1" t="s">
        <v>9</v>
      </c>
      <c r="R664" s="1" t="s">
        <v>10</v>
      </c>
      <c r="S664" s="1" t="s">
        <v>11</v>
      </c>
      <c r="T664" s="9"/>
      <c r="U664" s="1">
        <f t="shared" si="571"/>
        <v>16</v>
      </c>
      <c r="V664" s="1">
        <f t="shared" si="572"/>
        <v>203</v>
      </c>
    </row>
    <row r="665" spans="1:22" x14ac:dyDescent="0.3">
      <c r="A665" s="1">
        <f t="shared" si="672"/>
        <v>16204</v>
      </c>
      <c r="B665" s="96" t="s">
        <v>13</v>
      </c>
      <c r="C665" s="97"/>
      <c r="D665" s="98" t="s">
        <v>65</v>
      </c>
      <c r="E665" s="99"/>
      <c r="F665" s="99"/>
      <c r="G665" s="99"/>
      <c r="H665" s="100"/>
      <c r="J665" s="1">
        <f t="shared" ref="J665" si="676">COUNTA(B678:B687)</f>
        <v>6</v>
      </c>
      <c r="K665" s="1">
        <f t="shared" ref="K665" si="677">IF(L665-1&lt;2,0,L665-1)</f>
        <v>0</v>
      </c>
      <c r="L665" s="1">
        <f t="shared" ref="L665" si="678">IF(M665-1&lt;2,0,M665-1)</f>
        <v>0</v>
      </c>
      <c r="M665" s="1">
        <f t="shared" ref="M665" si="679">IF(N665-1&lt;2,0,N665-1)</f>
        <v>0</v>
      </c>
      <c r="N665" s="1">
        <f t="shared" ref="N665" si="680">IF(O665-1&lt;2,0,O665-1)</f>
        <v>0</v>
      </c>
      <c r="O665" s="1">
        <f t="shared" ref="O665" si="681">IF(P665-1&lt;2,0,P665-1)</f>
        <v>2</v>
      </c>
      <c r="P665" s="1">
        <f t="shared" ref="P665" si="682">IF(Q665-1&lt;2,0,Q665-1)</f>
        <v>3</v>
      </c>
      <c r="Q665" s="1">
        <f t="shared" ref="Q665" si="683">IF(R665-1&lt;2,0,R665-1)</f>
        <v>4</v>
      </c>
      <c r="R665" s="1">
        <f t="shared" ref="R665" si="684">IF(S665-1&lt;2,0,S665-1)</f>
        <v>5</v>
      </c>
      <c r="S665" s="1">
        <f t="shared" ref="S665" si="685">J665</f>
        <v>6</v>
      </c>
      <c r="T665" s="9"/>
      <c r="U665" s="1">
        <f t="shared" si="571"/>
        <v>16</v>
      </c>
      <c r="V665" s="1">
        <f t="shared" si="572"/>
        <v>204</v>
      </c>
    </row>
    <row r="666" spans="1:22" x14ac:dyDescent="0.3">
      <c r="A666" s="1">
        <f t="shared" si="672"/>
        <v>16205</v>
      </c>
      <c r="B666" s="96" t="s">
        <v>14</v>
      </c>
      <c r="C666" s="97"/>
      <c r="D666" s="110" t="s">
        <v>66</v>
      </c>
      <c r="E666" s="111"/>
      <c r="F666" s="111"/>
      <c r="G666" s="111"/>
      <c r="H666" s="112"/>
      <c r="J666" s="24" t="str">
        <f t="shared" ref="J666" si="686">CONCATENATE(J665,1)</f>
        <v>61</v>
      </c>
      <c r="K666" s="25">
        <f t="shared" ref="K666" si="687">IF(K665=0,0,VLOOKUP(J666,J670:S700,K665,FALSE))</f>
        <v>0</v>
      </c>
      <c r="L666" s="25">
        <f t="shared" ref="L666" si="688">IF(L665=0,0,VLOOKUP(J666,J670:S700,L665,FALSE))</f>
        <v>0</v>
      </c>
      <c r="M666" s="25">
        <f t="shared" ref="M666" si="689">IF(M665=0,0,VLOOKUP(J666,J670:S700,M665,FALSE))</f>
        <v>0</v>
      </c>
      <c r="N666" s="25">
        <f t="shared" ref="N666" si="690">IF(N665=0,0,VLOOKUP(J666,J670:S700,N665,FALSE))</f>
        <v>0</v>
      </c>
      <c r="O666" s="25">
        <f t="shared" ref="O666" si="691">IF(O665=0,0,VLOOKUP(J666,J670:S700,O665,FALSE))</f>
        <v>-5.618841914387737E-9</v>
      </c>
      <c r="P666" s="25">
        <f t="shared" ref="P666" si="692">IF(P665=0,0,VLOOKUP(J666,J670:S700,P665,FALSE))</f>
        <v>3.3224469686809301E-6</v>
      </c>
      <c r="Q666" s="25">
        <f t="shared" ref="Q666" si="693">IF(Q665=0,0,VLOOKUP(J666,J670:S700,Q665,FALSE))</f>
        <v>-4.0961354675490152E-4</v>
      </c>
      <c r="R666" s="25">
        <f t="shared" ref="R666" si="694">IF(R665=0,0,VLOOKUP(J666,J670:S700,R665,FALSE))</f>
        <v>1.0186688120158724</v>
      </c>
      <c r="S666" s="25">
        <f t="shared" ref="S666" si="695">IF(S665=0,0,VLOOKUP(J666,J670:S700,S665,FALSE))</f>
        <v>0.17775750073295152</v>
      </c>
      <c r="T666" s="9"/>
      <c r="U666" s="1">
        <f t="shared" si="571"/>
        <v>16</v>
      </c>
      <c r="V666" s="1">
        <f t="shared" si="572"/>
        <v>205</v>
      </c>
    </row>
    <row r="667" spans="1:22" x14ac:dyDescent="0.3">
      <c r="A667" s="1">
        <f t="shared" si="672"/>
        <v>16206</v>
      </c>
      <c r="B667" s="96" t="s">
        <v>15</v>
      </c>
      <c r="C667" s="97"/>
      <c r="D667" s="126" t="s">
        <v>210</v>
      </c>
      <c r="E667" s="127"/>
      <c r="F667" s="127"/>
      <c r="G667" s="127"/>
      <c r="H667" s="127"/>
      <c r="J667" s="24" t="str">
        <f t="shared" ref="J667" si="696">CONCATENATE(J665,2)</f>
        <v>62</v>
      </c>
      <c r="K667" s="6">
        <f t="shared" ref="K667" si="697">IF(K665=0,0,VLOOKUP(J667,J670:S700,K665,FALSE))</f>
        <v>0</v>
      </c>
      <c r="L667" s="6">
        <f t="shared" ref="L667" si="698">IF(L665=0,0,VLOOKUP(J667,J670:S700,L665,FALSE))</f>
        <v>0</v>
      </c>
      <c r="M667" s="6">
        <f t="shared" ref="M667" si="699">IF(M665=0,0,VLOOKUP(J667,J670:S700,M665,FALSE))</f>
        <v>0</v>
      </c>
      <c r="N667" s="6">
        <f t="shared" ref="N667" si="700">IF(N665=0,0,VLOOKUP(J667,J670:S700,N665,FALSE))</f>
        <v>0</v>
      </c>
      <c r="O667" s="6">
        <f t="shared" ref="O667" si="701">IF(O665=0,0,VLOOKUP(J667,J670:S700,O665,FALSE))</f>
        <v>1.0320309846000861E-7</v>
      </c>
      <c r="P667" s="6">
        <f t="shared" ref="P667" si="702">IF(P665=0,0,VLOOKUP(J667,J670:S700,P665,FALSE))</f>
        <v>2.1098077621742882E-5</v>
      </c>
      <c r="Q667" s="6">
        <f t="shared" ref="Q667" si="703">IF(Q665=0,0,VLOOKUP(J667,J670:S700,Q665,FALSE))</f>
        <v>1.3990832342584806E-3</v>
      </c>
      <c r="R667" s="6">
        <f t="shared" ref="R667" si="704">IF(R665=0,0,VLOOKUP(J667,J670:S700,R665,FALSE))</f>
        <v>3.2981449373436153E-2</v>
      </c>
      <c r="S667" s="6">
        <f t="shared" ref="S667" si="705">IF(S665=0,0,VLOOKUP(J667,J670:S700,S665,FALSE))</f>
        <v>0.21718319267570663</v>
      </c>
      <c r="T667" s="9"/>
      <c r="U667" s="1">
        <f t="shared" ref="U667:U730" si="706">U666</f>
        <v>16</v>
      </c>
      <c r="V667" s="1">
        <f t="shared" ref="V667:V730" si="707">V666+1</f>
        <v>206</v>
      </c>
    </row>
    <row r="668" spans="1:22" x14ac:dyDescent="0.3">
      <c r="A668" s="1">
        <f t="shared" si="672"/>
        <v>16207</v>
      </c>
      <c r="B668" s="96" t="s">
        <v>16</v>
      </c>
      <c r="C668" s="97"/>
      <c r="D668" s="101">
        <v>45260</v>
      </c>
      <c r="E668" s="102"/>
      <c r="F668" s="102"/>
      <c r="G668" s="102"/>
      <c r="H668" s="103"/>
      <c r="J668" s="24" t="str">
        <f t="shared" ref="J668" si="708">CONCATENATE(J665,3)</f>
        <v>63</v>
      </c>
      <c r="K668" s="6"/>
      <c r="L668" s="6"/>
      <c r="M668" s="6"/>
      <c r="N668" s="6" t="s">
        <v>43</v>
      </c>
      <c r="O668" s="25">
        <f t="shared" ref="O668" si="709">J665-2</f>
        <v>4</v>
      </c>
      <c r="P668" s="6" t="s">
        <v>44</v>
      </c>
      <c r="Q668" s="25">
        <f t="shared" ref="Q668" si="710">VLOOKUP(J668,J670:S700,3,FALSE)</f>
        <v>0.11959927046829599</v>
      </c>
      <c r="R668" s="6" t="s">
        <v>45</v>
      </c>
      <c r="S668" s="6">
        <f t="shared" ref="S668" si="711">VLOOKUP(J668,J670:S700,2,FALSE)</f>
        <v>0.99999779255640486</v>
      </c>
      <c r="T668" s="9"/>
      <c r="U668" s="1">
        <f t="shared" si="706"/>
        <v>16</v>
      </c>
      <c r="V668" s="1">
        <f t="shared" si="707"/>
        <v>207</v>
      </c>
    </row>
    <row r="669" spans="1:22" x14ac:dyDescent="0.3">
      <c r="A669" s="1">
        <f t="shared" si="672"/>
        <v>16208</v>
      </c>
      <c r="B669" s="96" t="s">
        <v>17</v>
      </c>
      <c r="C669" s="97"/>
      <c r="D669" s="104">
        <v>45442</v>
      </c>
      <c r="E669" s="105"/>
      <c r="F669" s="105"/>
      <c r="G669" s="105"/>
      <c r="H669" s="106"/>
      <c r="K669" s="1">
        <v>3</v>
      </c>
      <c r="L669" s="1">
        <v>3</v>
      </c>
      <c r="Q669" s="26"/>
      <c r="R669" s="26"/>
      <c r="S669" s="26"/>
      <c r="T669" s="9"/>
      <c r="U669" s="1">
        <f t="shared" si="706"/>
        <v>16</v>
      </c>
      <c r="V669" s="1">
        <f t="shared" si="707"/>
        <v>208</v>
      </c>
    </row>
    <row r="670" spans="1:22" x14ac:dyDescent="0.3">
      <c r="A670" s="1">
        <f t="shared" si="672"/>
        <v>16209</v>
      </c>
      <c r="B670" s="77" t="s">
        <v>19</v>
      </c>
      <c r="C670" s="78"/>
      <c r="D670" s="17">
        <v>0.01</v>
      </c>
      <c r="E670" s="79" t="s">
        <v>40</v>
      </c>
      <c r="F670" s="80"/>
      <c r="G670" s="81"/>
      <c r="H670" s="18" t="s">
        <v>72</v>
      </c>
      <c r="J670" s="24" t="str">
        <f t="shared" ref="J670" si="712">CONCATENATE(K669,1)</f>
        <v>31</v>
      </c>
      <c r="K670" s="6">
        <f t="array" ref="K670:L672">LINEST(B678:B680,C678:C680^{1},TRUE,TRUE)</f>
        <v>1.010410255296764</v>
      </c>
      <c r="L670" s="6">
        <v>0.19643454990543319</v>
      </c>
      <c r="Q670" s="9"/>
      <c r="R670" s="9"/>
      <c r="S670" s="9"/>
      <c r="T670" s="9"/>
      <c r="U670" s="1">
        <f t="shared" si="706"/>
        <v>16</v>
      </c>
      <c r="V670" s="1">
        <f t="shared" si="707"/>
        <v>209</v>
      </c>
    </row>
    <row r="671" spans="1:22" x14ac:dyDescent="0.3">
      <c r="A671" s="1">
        <f t="shared" si="672"/>
        <v>16210</v>
      </c>
      <c r="B671" s="77" t="s">
        <v>41</v>
      </c>
      <c r="C671" s="78"/>
      <c r="D671" s="23">
        <f t="shared" ref="D671" si="713">MIN(B678:B687)</f>
        <v>5.01</v>
      </c>
      <c r="E671" s="20" t="s">
        <v>18</v>
      </c>
      <c r="F671" s="19">
        <f t="shared" ref="F671" si="714">MAX(B678:B687)</f>
        <v>97.99</v>
      </c>
      <c r="G671" s="21" t="str">
        <f t="shared" ref="G671" si="715">IF(H670="","",H670)</f>
        <v>%ur</v>
      </c>
      <c r="H671" s="22"/>
      <c r="J671" s="24" t="str">
        <f t="shared" ref="J671" si="716">CONCATENATE(K669,2)</f>
        <v>32</v>
      </c>
      <c r="K671" s="6">
        <v>4.2720698025497262E-3</v>
      </c>
      <c r="L671" s="6">
        <v>8.8142473604333638E-2</v>
      </c>
      <c r="Q671" s="9"/>
      <c r="R671" s="9"/>
      <c r="S671" s="9"/>
      <c r="T671" s="9"/>
      <c r="U671" s="1">
        <f t="shared" si="706"/>
        <v>16</v>
      </c>
      <c r="V671" s="1">
        <f t="shared" si="707"/>
        <v>210</v>
      </c>
    </row>
    <row r="672" spans="1:22" x14ac:dyDescent="0.3">
      <c r="A672" s="1">
        <f t="shared" si="672"/>
        <v>16211</v>
      </c>
      <c r="J672" s="24" t="str">
        <f t="shared" ref="J672" si="717">CONCATENATE(K669,3)</f>
        <v>33</v>
      </c>
      <c r="K672" s="6">
        <v>0.99998212387323537</v>
      </c>
      <c r="L672" s="6">
        <v>7.523022331905338E-2</v>
      </c>
      <c r="Q672" s="9"/>
      <c r="R672" s="9"/>
      <c r="S672" s="9"/>
      <c r="T672" s="9"/>
      <c r="U672" s="1">
        <f t="shared" si="706"/>
        <v>16</v>
      </c>
      <c r="V672" s="1">
        <f t="shared" si="707"/>
        <v>211</v>
      </c>
    </row>
    <row r="673" spans="1:22" x14ac:dyDescent="0.3">
      <c r="A673" s="1">
        <f t="shared" si="672"/>
        <v>16212</v>
      </c>
      <c r="B673" s="82" t="s">
        <v>20</v>
      </c>
      <c r="C673" s="83"/>
      <c r="D673" s="83"/>
      <c r="E673" s="83"/>
      <c r="F673" s="84"/>
      <c r="G673" s="85" t="s">
        <v>31</v>
      </c>
      <c r="H673" s="86"/>
      <c r="K673" s="1">
        <v>4</v>
      </c>
      <c r="L673" s="1">
        <v>4</v>
      </c>
      <c r="M673" s="1">
        <v>4</v>
      </c>
      <c r="Q673" s="9"/>
      <c r="R673" s="9"/>
      <c r="S673" s="9"/>
      <c r="T673" s="9"/>
      <c r="U673" s="1">
        <f t="shared" si="706"/>
        <v>16</v>
      </c>
      <c r="V673" s="1">
        <f t="shared" si="707"/>
        <v>212</v>
      </c>
    </row>
    <row r="674" spans="1:22" x14ac:dyDescent="0.3">
      <c r="A674" s="1">
        <f t="shared" si="672"/>
        <v>16213</v>
      </c>
      <c r="B674" s="82" t="s">
        <v>30</v>
      </c>
      <c r="C674" s="83"/>
      <c r="D674" s="84"/>
      <c r="E674" s="82" t="str">
        <f t="shared" ref="E674" si="718">D667</f>
        <v>E15366/23</v>
      </c>
      <c r="F674" s="84"/>
      <c r="G674" s="6" t="s">
        <v>32</v>
      </c>
      <c r="H674" s="7" t="s">
        <v>211</v>
      </c>
      <c r="J674" s="24" t="str">
        <f t="shared" ref="J674" si="719">CONCATENATE(K673,1)</f>
        <v>41</v>
      </c>
      <c r="K674" s="6">
        <f t="array" ref="K674:M676">LINEST(B678:B681,C678:C681^{1,2},TRUE,TRUE)</f>
        <v>-2.3121073070615162E-4</v>
      </c>
      <c r="L674" s="6">
        <v>1.0168608775281867</v>
      </c>
      <c r="M674" s="6">
        <v>0.17488502730166</v>
      </c>
      <c r="Q674" s="9"/>
      <c r="R674" s="9"/>
      <c r="S674" s="9"/>
      <c r="T674" s="9"/>
      <c r="U674" s="1">
        <f t="shared" si="706"/>
        <v>16</v>
      </c>
      <c r="V674" s="1">
        <f t="shared" si="707"/>
        <v>213</v>
      </c>
    </row>
    <row r="675" spans="1:22" x14ac:dyDescent="0.3">
      <c r="A675" s="1">
        <f t="shared" si="672"/>
        <v>16214</v>
      </c>
      <c r="B675" s="2" t="s">
        <v>21</v>
      </c>
      <c r="C675" s="2" t="s">
        <v>22</v>
      </c>
      <c r="D675" s="2" t="s">
        <v>23</v>
      </c>
      <c r="E675" s="2"/>
      <c r="F675" s="2" t="s">
        <v>28</v>
      </c>
      <c r="G675" s="2" t="s">
        <v>21</v>
      </c>
      <c r="H675" s="2" t="s">
        <v>22</v>
      </c>
      <c r="J675" s="24" t="str">
        <f t="shared" ref="J675" si="720">CONCATENATE(K673,2)</f>
        <v>42</v>
      </c>
      <c r="K675" s="6">
        <v>2.2465249968029453E-4</v>
      </c>
      <c r="L675" s="6">
        <v>1.2830422842077043E-2</v>
      </c>
      <c r="M675" s="6">
        <v>0.14920782977362734</v>
      </c>
      <c r="Q675" s="9"/>
      <c r="R675" s="9"/>
      <c r="S675" s="9"/>
      <c r="T675" s="9"/>
      <c r="U675" s="1">
        <f t="shared" si="706"/>
        <v>16</v>
      </c>
      <c r="V675" s="1">
        <f t="shared" si="707"/>
        <v>214</v>
      </c>
    </row>
    <row r="676" spans="1:22" x14ac:dyDescent="0.3">
      <c r="A676" s="1">
        <f t="shared" si="672"/>
        <v>16215</v>
      </c>
      <c r="B676" s="2" t="s">
        <v>24</v>
      </c>
      <c r="C676" s="2" t="s">
        <v>25</v>
      </c>
      <c r="D676" s="2" t="s">
        <v>26</v>
      </c>
      <c r="E676" s="2" t="s">
        <v>27</v>
      </c>
      <c r="F676" s="2" t="s">
        <v>29</v>
      </c>
      <c r="G676" s="2" t="s">
        <v>24</v>
      </c>
      <c r="H676" s="2" t="s">
        <v>25</v>
      </c>
      <c r="J676" s="24" t="str">
        <f t="shared" ref="J676" si="721">CONCATENATE(K673,3)</f>
        <v>43</v>
      </c>
      <c r="K676" s="6">
        <v>0.99998947239768576</v>
      </c>
      <c r="L676" s="6">
        <v>0.10608491896683603</v>
      </c>
      <c r="M676" s="6" t="e">
        <v>#N/A</v>
      </c>
      <c r="Q676" s="9"/>
      <c r="R676" s="9"/>
      <c r="S676" s="9"/>
      <c r="T676" s="9"/>
      <c r="U676" s="1">
        <f t="shared" si="706"/>
        <v>16</v>
      </c>
      <c r="V676" s="1">
        <f t="shared" si="707"/>
        <v>215</v>
      </c>
    </row>
    <row r="677" spans="1:22" x14ac:dyDescent="0.3">
      <c r="A677" s="1">
        <f t="shared" si="672"/>
        <v>16216</v>
      </c>
      <c r="B677" s="3" t="str">
        <f t="shared" ref="B677" si="722">H670</f>
        <v>%ur</v>
      </c>
      <c r="C677" s="3" t="str">
        <f t="shared" ref="C677:D677" si="723">B677</f>
        <v>%ur</v>
      </c>
      <c r="D677" s="3" t="str">
        <f t="shared" si="723"/>
        <v>%ur</v>
      </c>
      <c r="E677" s="3"/>
      <c r="F677" s="3"/>
      <c r="G677" s="3" t="str">
        <f t="shared" ref="G677" si="724">D677</f>
        <v>%ur</v>
      </c>
      <c r="H677" s="3" t="str">
        <f t="shared" ref="H677" si="725">G677</f>
        <v>%ur</v>
      </c>
      <c r="K677" s="1">
        <v>5</v>
      </c>
      <c r="L677" s="1">
        <v>5</v>
      </c>
      <c r="M677" s="1">
        <v>5</v>
      </c>
      <c r="N677" s="1">
        <v>5</v>
      </c>
      <c r="Q677" s="9"/>
      <c r="R677" s="9"/>
      <c r="S677" s="9"/>
      <c r="T677" s="9"/>
      <c r="U677" s="1">
        <f t="shared" si="706"/>
        <v>16</v>
      </c>
      <c r="V677" s="1">
        <f t="shared" si="707"/>
        <v>216</v>
      </c>
    </row>
    <row r="678" spans="1:22" x14ac:dyDescent="0.3">
      <c r="A678" s="1">
        <f t="shared" si="672"/>
        <v>16217</v>
      </c>
      <c r="B678" s="4">
        <v>5.01</v>
      </c>
      <c r="C678" s="4">
        <v>4.74</v>
      </c>
      <c r="D678" s="4">
        <v>0.25</v>
      </c>
      <c r="E678" s="4">
        <v>2</v>
      </c>
      <c r="F678" s="14">
        <v>1000000</v>
      </c>
      <c r="G678" s="8">
        <v>5</v>
      </c>
      <c r="H678" s="7">
        <v>5.13</v>
      </c>
      <c r="J678" s="24" t="str">
        <f t="shared" ref="J678" si="726">CONCATENATE(K677,1)</f>
        <v>51</v>
      </c>
      <c r="K678" s="6">
        <f t="array" ref="K678:N680">LINEST(B678:B682,C678:C682^{1,2,3},TRUE,TRUE)</f>
        <v>3.1527551873717207E-6</v>
      </c>
      <c r="L678" s="6">
        <v>-4.4980393287282963E-4</v>
      </c>
      <c r="M678" s="6">
        <v>1.0203652531906318</v>
      </c>
      <c r="N678" s="6">
        <v>0.16684542829731963</v>
      </c>
      <c r="Q678" s="9"/>
      <c r="R678" s="9"/>
      <c r="S678" s="9"/>
      <c r="T678" s="9"/>
      <c r="U678" s="1">
        <f t="shared" si="706"/>
        <v>16</v>
      </c>
      <c r="V678" s="1">
        <f t="shared" si="707"/>
        <v>217</v>
      </c>
    </row>
    <row r="679" spans="1:22" x14ac:dyDescent="0.3">
      <c r="A679" s="1">
        <f t="shared" si="672"/>
        <v>16218</v>
      </c>
      <c r="B679" s="4">
        <v>19.989999999999998</v>
      </c>
      <c r="C679" s="4">
        <v>19.649999999999999</v>
      </c>
      <c r="D679" s="4">
        <v>0.25</v>
      </c>
      <c r="E679" s="4">
        <v>2</v>
      </c>
      <c r="F679" s="14">
        <v>1000000</v>
      </c>
      <c r="G679" s="8">
        <v>19.989999999999998</v>
      </c>
      <c r="H679" s="7">
        <v>19.989999999999998</v>
      </c>
      <c r="J679" s="24" t="str">
        <f t="shared" ref="J679" si="727">CONCATENATE(K677,2)</f>
        <v>52</v>
      </c>
      <c r="K679" s="6">
        <v>5.2439466562100122E-6</v>
      </c>
      <c r="L679" s="6">
        <v>6.537146112761457E-4</v>
      </c>
      <c r="M679" s="6">
        <v>2.171884174913713E-2</v>
      </c>
      <c r="N679" s="6">
        <v>0.18620450231160679</v>
      </c>
      <c r="T679" s="9"/>
      <c r="U679" s="1">
        <f t="shared" si="706"/>
        <v>16</v>
      </c>
      <c r="V679" s="1">
        <f t="shared" si="707"/>
        <v>218</v>
      </c>
    </row>
    <row r="680" spans="1:22" x14ac:dyDescent="0.3">
      <c r="A680" s="1">
        <f t="shared" si="672"/>
        <v>16219</v>
      </c>
      <c r="B680" s="4">
        <v>30.01</v>
      </c>
      <c r="C680" s="4">
        <v>29.47</v>
      </c>
      <c r="D680" s="4">
        <v>0.32</v>
      </c>
      <c r="E680" s="4">
        <v>2</v>
      </c>
      <c r="F680" s="14">
        <v>1000000</v>
      </c>
      <c r="G680" s="8">
        <v>29.99</v>
      </c>
      <c r="H680" s="7">
        <v>29.91</v>
      </c>
      <c r="J680" s="24" t="str">
        <f t="shared" ref="J680" si="728">CONCATENATE(K677,3)</f>
        <v>53</v>
      </c>
      <c r="K680" s="6">
        <v>0.99999593049770918</v>
      </c>
      <c r="L680" s="6">
        <v>0.11729316393775768</v>
      </c>
      <c r="M680" s="6" t="e">
        <v>#N/A</v>
      </c>
      <c r="N680" s="6" t="e">
        <v>#N/A</v>
      </c>
      <c r="T680" s="9"/>
      <c r="U680" s="1">
        <f t="shared" si="706"/>
        <v>16</v>
      </c>
      <c r="V680" s="1">
        <f t="shared" si="707"/>
        <v>219</v>
      </c>
    </row>
    <row r="681" spans="1:22" x14ac:dyDescent="0.3">
      <c r="A681" s="1">
        <f t="shared" si="672"/>
        <v>16220</v>
      </c>
      <c r="B681" s="4">
        <v>50.01</v>
      </c>
      <c r="C681" s="4">
        <v>49.58</v>
      </c>
      <c r="D681" s="4">
        <v>0.5</v>
      </c>
      <c r="E681" s="4">
        <v>2</v>
      </c>
      <c r="F681" s="14">
        <v>1000000</v>
      </c>
      <c r="G681" s="8">
        <v>49.97</v>
      </c>
      <c r="H681" s="7">
        <v>49.77</v>
      </c>
      <c r="K681" s="1">
        <v>6</v>
      </c>
      <c r="L681" s="1">
        <v>6</v>
      </c>
      <c r="M681" s="1">
        <v>6</v>
      </c>
      <c r="N681" s="1">
        <v>6</v>
      </c>
      <c r="O681" s="1">
        <v>6</v>
      </c>
      <c r="T681" s="9"/>
      <c r="U681" s="1">
        <f t="shared" si="706"/>
        <v>16</v>
      </c>
      <c r="V681" s="1">
        <f t="shared" si="707"/>
        <v>220</v>
      </c>
    </row>
    <row r="682" spans="1:22" x14ac:dyDescent="0.3">
      <c r="A682" s="1">
        <f t="shared" si="672"/>
        <v>16221</v>
      </c>
      <c r="B682" s="4">
        <v>80.010000000000005</v>
      </c>
      <c r="C682" s="4">
        <v>79.48</v>
      </c>
      <c r="D682" s="4">
        <v>0.75</v>
      </c>
      <c r="E682" s="4">
        <v>2</v>
      </c>
      <c r="F682" s="14">
        <v>1000000</v>
      </c>
      <c r="G682" s="8">
        <v>80</v>
      </c>
      <c r="H682" s="7">
        <v>79.81</v>
      </c>
      <c r="J682" s="24" t="str">
        <f t="shared" ref="J682" si="729">CONCATENATE(K681,1)</f>
        <v>61</v>
      </c>
      <c r="K682" s="6">
        <f t="array" ref="K682:O684">LINEST(B678:B683,C678:C683^{1,2,3,4},TRUE,TRUE)</f>
        <v>-5.618841914387737E-9</v>
      </c>
      <c r="L682" s="6">
        <v>3.3224469686809301E-6</v>
      </c>
      <c r="M682" s="6">
        <v>-4.0961354675490152E-4</v>
      </c>
      <c r="N682" s="6">
        <v>1.0186688120158724</v>
      </c>
      <c r="O682" s="6">
        <v>0.17775750073295152</v>
      </c>
      <c r="T682" s="9"/>
      <c r="U682" s="1">
        <f t="shared" si="706"/>
        <v>16</v>
      </c>
      <c r="V682" s="1">
        <f t="shared" si="707"/>
        <v>221</v>
      </c>
    </row>
    <row r="683" spans="1:22" x14ac:dyDescent="0.3">
      <c r="A683" s="1">
        <f t="shared" si="672"/>
        <v>16222</v>
      </c>
      <c r="B683" s="4">
        <v>97.99</v>
      </c>
      <c r="C683" s="4">
        <v>97.32</v>
      </c>
      <c r="D683" s="4">
        <v>0.84</v>
      </c>
      <c r="E683" s="4">
        <v>2</v>
      </c>
      <c r="F683" s="14">
        <v>1000000</v>
      </c>
      <c r="G683" s="8">
        <v>95</v>
      </c>
      <c r="H683" s="7">
        <v>94.78</v>
      </c>
      <c r="J683" s="24" t="str">
        <f t="shared" ref="J683" si="730">CONCATENATE(K681,2)</f>
        <v>62</v>
      </c>
      <c r="K683" s="6">
        <v>1.0320309846000861E-7</v>
      </c>
      <c r="L683" s="6">
        <v>2.1098077621742882E-5</v>
      </c>
      <c r="M683" s="6">
        <v>1.3990832342584806E-3</v>
      </c>
      <c r="N683" s="6">
        <v>3.2981449373436153E-2</v>
      </c>
      <c r="O683" s="6">
        <v>0.21718319267570663</v>
      </c>
      <c r="T683" s="9"/>
      <c r="U683" s="1">
        <f t="shared" si="706"/>
        <v>16</v>
      </c>
      <c r="V683" s="1">
        <f t="shared" si="707"/>
        <v>222</v>
      </c>
    </row>
    <row r="684" spans="1:22" x14ac:dyDescent="0.3">
      <c r="A684" s="1">
        <f t="shared" si="672"/>
        <v>16223</v>
      </c>
      <c r="B684" s="4"/>
      <c r="C684" s="4"/>
      <c r="D684" s="4"/>
      <c r="E684" s="4"/>
      <c r="F684" s="14"/>
      <c r="G684" s="8"/>
      <c r="H684" s="7"/>
      <c r="J684" s="24" t="str">
        <f t="shared" ref="J684" si="731">CONCATENATE(K681,3)</f>
        <v>63</v>
      </c>
      <c r="K684" s="6">
        <v>0.99999779255640486</v>
      </c>
      <c r="L684" s="6">
        <v>0.11959927046829599</v>
      </c>
      <c r="M684" s="6" t="e">
        <v>#N/A</v>
      </c>
      <c r="N684" s="6" t="e">
        <v>#N/A</v>
      </c>
      <c r="O684" s="6" t="e">
        <v>#N/A</v>
      </c>
      <c r="T684" s="9"/>
      <c r="U684" s="1">
        <f t="shared" si="706"/>
        <v>16</v>
      </c>
      <c r="V684" s="1">
        <f t="shared" si="707"/>
        <v>223</v>
      </c>
    </row>
    <row r="685" spans="1:22" x14ac:dyDescent="0.3">
      <c r="A685" s="1">
        <f t="shared" si="672"/>
        <v>16224</v>
      </c>
      <c r="B685" s="4"/>
      <c r="C685" s="4"/>
      <c r="D685" s="4"/>
      <c r="E685" s="4"/>
      <c r="F685" s="14"/>
      <c r="G685" s="8"/>
      <c r="H685" s="7"/>
      <c r="K685" s="1">
        <v>7</v>
      </c>
      <c r="L685" s="1">
        <v>7</v>
      </c>
      <c r="M685" s="1">
        <v>7</v>
      </c>
      <c r="N685" s="1">
        <v>7</v>
      </c>
      <c r="O685" s="1">
        <v>7</v>
      </c>
      <c r="P685" s="1">
        <v>7</v>
      </c>
      <c r="T685" s="9"/>
      <c r="U685" s="1">
        <f t="shared" si="706"/>
        <v>16</v>
      </c>
      <c r="V685" s="1">
        <f t="shared" si="707"/>
        <v>224</v>
      </c>
    </row>
    <row r="686" spans="1:22" x14ac:dyDescent="0.3">
      <c r="A686" s="1">
        <f t="shared" si="672"/>
        <v>16225</v>
      </c>
      <c r="B686" s="4"/>
      <c r="C686" s="4"/>
      <c r="D686" s="4"/>
      <c r="E686" s="4"/>
      <c r="F686" s="14"/>
      <c r="G686" s="8"/>
      <c r="H686" s="7"/>
      <c r="J686" s="24" t="str">
        <f t="shared" ref="J686" si="732">CONCATENATE(K685,1)</f>
        <v>71</v>
      </c>
      <c r="K686" s="6" t="e">
        <f t="array" ref="K686:P688">LINEST(B678:B684,C678:C684^{1,2,3,4,5},TRUE,TRUE)</f>
        <v>#VALUE!</v>
      </c>
      <c r="L686" s="6" t="e">
        <v>#VALUE!</v>
      </c>
      <c r="M686" s="6" t="e">
        <v>#VALUE!</v>
      </c>
      <c r="N686" s="6" t="e">
        <v>#VALUE!</v>
      </c>
      <c r="O686" s="6" t="e">
        <v>#VALUE!</v>
      </c>
      <c r="P686" s="6" t="e">
        <v>#VALUE!</v>
      </c>
      <c r="T686" s="9"/>
      <c r="U686" s="1">
        <f t="shared" si="706"/>
        <v>16</v>
      </c>
      <c r="V686" s="1">
        <f t="shared" si="707"/>
        <v>225</v>
      </c>
    </row>
    <row r="687" spans="1:22" x14ac:dyDescent="0.3">
      <c r="A687" s="1">
        <f t="shared" si="672"/>
        <v>16226</v>
      </c>
      <c r="B687" s="4"/>
      <c r="C687" s="4"/>
      <c r="D687" s="4"/>
      <c r="E687" s="4"/>
      <c r="F687" s="14"/>
      <c r="G687" s="8"/>
      <c r="H687" s="7"/>
      <c r="J687" s="24" t="str">
        <f t="shared" ref="J687" si="733">CONCATENATE(K685,2)</f>
        <v>72</v>
      </c>
      <c r="K687" s="6" t="e">
        <v>#VALUE!</v>
      </c>
      <c r="L687" s="6" t="e">
        <v>#VALUE!</v>
      </c>
      <c r="M687" s="6" t="e">
        <v>#VALUE!</v>
      </c>
      <c r="N687" s="6" t="e">
        <v>#VALUE!</v>
      </c>
      <c r="O687" s="6" t="e">
        <v>#VALUE!</v>
      </c>
      <c r="P687" s="6" t="e">
        <v>#VALUE!</v>
      </c>
      <c r="T687" s="9"/>
      <c r="U687" s="1">
        <f t="shared" si="706"/>
        <v>16</v>
      </c>
      <c r="V687" s="1">
        <f t="shared" si="707"/>
        <v>226</v>
      </c>
    </row>
    <row r="688" spans="1:22" x14ac:dyDescent="0.3">
      <c r="A688" s="1">
        <f t="shared" si="672"/>
        <v>16227</v>
      </c>
      <c r="B688" s="9"/>
      <c r="C688" s="9"/>
      <c r="D688" s="9"/>
      <c r="E688" s="9"/>
      <c r="F688" s="9"/>
      <c r="G688" s="9"/>
      <c r="H688" s="9"/>
      <c r="J688" s="24" t="str">
        <f t="shared" ref="J688" si="734">CONCATENATE(K685,3)</f>
        <v>73</v>
      </c>
      <c r="K688" s="6" t="e">
        <v>#VALUE!</v>
      </c>
      <c r="L688" s="6" t="e">
        <v>#VALUE!</v>
      </c>
      <c r="M688" s="6" t="e">
        <v>#VALUE!</v>
      </c>
      <c r="N688" s="6" t="e">
        <v>#VALUE!</v>
      </c>
      <c r="O688" s="6" t="e">
        <v>#VALUE!</v>
      </c>
      <c r="P688" s="6" t="e">
        <v>#VALUE!</v>
      </c>
      <c r="T688" s="9"/>
      <c r="U688" s="1">
        <f t="shared" si="706"/>
        <v>16</v>
      </c>
      <c r="V688" s="1">
        <f t="shared" si="707"/>
        <v>227</v>
      </c>
    </row>
    <row r="689" spans="1:22" x14ac:dyDescent="0.3">
      <c r="A689" s="1">
        <f t="shared" si="672"/>
        <v>16228</v>
      </c>
      <c r="B689" s="87" t="s">
        <v>33</v>
      </c>
      <c r="C689" s="88"/>
      <c r="D689" s="88"/>
      <c r="E689" s="88"/>
      <c r="F689" s="88"/>
      <c r="G689" s="88"/>
      <c r="H689" s="89"/>
      <c r="K689" s="1">
        <v>8</v>
      </c>
      <c r="L689" s="1">
        <v>8</v>
      </c>
      <c r="M689" s="1">
        <v>8</v>
      </c>
      <c r="N689" s="1">
        <v>8</v>
      </c>
      <c r="O689" s="1">
        <v>8</v>
      </c>
      <c r="P689" s="1">
        <v>8</v>
      </c>
      <c r="Q689" s="1">
        <v>8</v>
      </c>
      <c r="T689" s="9"/>
      <c r="U689" s="1">
        <f t="shared" si="706"/>
        <v>16</v>
      </c>
      <c r="V689" s="1">
        <f t="shared" si="707"/>
        <v>228</v>
      </c>
    </row>
    <row r="690" spans="1:22" x14ac:dyDescent="0.3">
      <c r="A690" s="1">
        <f t="shared" si="672"/>
        <v>16229</v>
      </c>
      <c r="B690" s="90"/>
      <c r="C690" s="91"/>
      <c r="D690" s="91"/>
      <c r="E690" s="91"/>
      <c r="F690" s="91"/>
      <c r="G690" s="91"/>
      <c r="H690" s="92"/>
      <c r="J690" s="24" t="str">
        <f t="shared" ref="J690" si="735">CONCATENATE(K689,1)</f>
        <v>81</v>
      </c>
      <c r="K690" s="6" t="e">
        <f t="array" ref="K690:Q692">LINEST(B678:B685,C678:C685^{1,2,3,4,5,6},TRUE,TRUE)</f>
        <v>#VALUE!</v>
      </c>
      <c r="L690" s="6" t="e">
        <v>#VALUE!</v>
      </c>
      <c r="M690" s="6" t="e">
        <v>#VALUE!</v>
      </c>
      <c r="N690" s="6" t="e">
        <v>#VALUE!</v>
      </c>
      <c r="O690" s="6" t="e">
        <v>#VALUE!</v>
      </c>
      <c r="P690" s="6" t="e">
        <v>#VALUE!</v>
      </c>
      <c r="Q690" s="6" t="e">
        <v>#VALUE!</v>
      </c>
      <c r="T690" s="9"/>
      <c r="U690" s="1">
        <f t="shared" si="706"/>
        <v>16</v>
      </c>
      <c r="V690" s="1">
        <f t="shared" si="707"/>
        <v>229</v>
      </c>
    </row>
    <row r="691" spans="1:22" x14ac:dyDescent="0.3">
      <c r="A691" s="1">
        <f t="shared" si="672"/>
        <v>16230</v>
      </c>
      <c r="B691" s="93"/>
      <c r="C691" s="94"/>
      <c r="D691" s="94"/>
      <c r="E691" s="94"/>
      <c r="F691" s="94"/>
      <c r="G691" s="94"/>
      <c r="H691" s="95"/>
      <c r="J691" s="24" t="str">
        <f t="shared" ref="J691" si="736">CONCATENATE(K689,2)</f>
        <v>82</v>
      </c>
      <c r="K691" s="6" t="e">
        <v>#VALUE!</v>
      </c>
      <c r="L691" s="6" t="e">
        <v>#VALUE!</v>
      </c>
      <c r="M691" s="6" t="e">
        <v>#VALUE!</v>
      </c>
      <c r="N691" s="6" t="e">
        <v>#VALUE!</v>
      </c>
      <c r="O691" s="6" t="e">
        <v>#VALUE!</v>
      </c>
      <c r="P691" s="6" t="e">
        <v>#VALUE!</v>
      </c>
      <c r="Q691" s="6" t="e">
        <v>#VALUE!</v>
      </c>
      <c r="T691" s="9"/>
      <c r="U691" s="1">
        <f t="shared" si="706"/>
        <v>16</v>
      </c>
      <c r="V691" s="1">
        <f t="shared" si="707"/>
        <v>230</v>
      </c>
    </row>
    <row r="692" spans="1:22" x14ac:dyDescent="0.3">
      <c r="A692" s="1">
        <f t="shared" si="672"/>
        <v>16231</v>
      </c>
      <c r="J692" s="24" t="str">
        <f t="shared" ref="J692" si="737">CONCATENATE(K689,3)</f>
        <v>83</v>
      </c>
      <c r="K692" s="6" t="e">
        <v>#VALUE!</v>
      </c>
      <c r="L692" s="6" t="e">
        <v>#VALUE!</v>
      </c>
      <c r="M692" s="6" t="e">
        <v>#VALUE!</v>
      </c>
      <c r="N692" s="6" t="e">
        <v>#VALUE!</v>
      </c>
      <c r="O692" s="6" t="e">
        <v>#VALUE!</v>
      </c>
      <c r="P692" s="6" t="e">
        <v>#VALUE!</v>
      </c>
      <c r="Q692" s="6" t="e">
        <v>#VALUE!</v>
      </c>
      <c r="T692" s="9"/>
      <c r="U692" s="1">
        <f t="shared" si="706"/>
        <v>16</v>
      </c>
      <c r="V692" s="1">
        <f t="shared" si="707"/>
        <v>231</v>
      </c>
    </row>
    <row r="693" spans="1:22" ht="15" customHeight="1" x14ac:dyDescent="0.3">
      <c r="A693" s="1">
        <f t="shared" si="672"/>
        <v>16232</v>
      </c>
      <c r="B693" s="10" t="s">
        <v>34</v>
      </c>
      <c r="C693" s="10" t="s">
        <v>35</v>
      </c>
      <c r="D693" s="10" t="s">
        <v>36</v>
      </c>
      <c r="E693" s="74" t="s">
        <v>37</v>
      </c>
      <c r="F693" s="75"/>
      <c r="G693" s="76"/>
      <c r="K693" s="1">
        <v>9</v>
      </c>
      <c r="L693" s="1">
        <v>9</v>
      </c>
      <c r="M693" s="1">
        <v>9</v>
      </c>
      <c r="N693" s="1">
        <v>9</v>
      </c>
      <c r="O693" s="1">
        <v>9</v>
      </c>
      <c r="P693" s="1">
        <v>9</v>
      </c>
      <c r="Q693" s="1">
        <v>9</v>
      </c>
      <c r="R693" s="1">
        <v>9</v>
      </c>
      <c r="T693" s="9"/>
      <c r="U693" s="1">
        <f t="shared" si="706"/>
        <v>16</v>
      </c>
      <c r="V693" s="1">
        <f t="shared" si="707"/>
        <v>232</v>
      </c>
    </row>
    <row r="694" spans="1:22" x14ac:dyDescent="0.3">
      <c r="A694" s="1">
        <f t="shared" si="672"/>
        <v>16233</v>
      </c>
      <c r="B694" s="12">
        <f t="shared" ref="B694:B703" si="738">C678-B678</f>
        <v>-0.26999999999999957</v>
      </c>
      <c r="C694" s="13">
        <f t="shared" ref="C694:C703" si="739">H678-G678</f>
        <v>0.12999999999999989</v>
      </c>
      <c r="D694" s="10">
        <f t="shared" ref="D694:D703" si="740">C694-B694</f>
        <v>0.39999999999999947</v>
      </c>
      <c r="E694" s="11">
        <f t="shared" ref="E694" si="741">IF(D669="","",MAX(F694,G694))</f>
        <v>0.46000000000000441</v>
      </c>
      <c r="F694" s="10">
        <f t="shared" ref="F694" si="742">ABS(MIN(D694:D703))</f>
        <v>0</v>
      </c>
      <c r="G694" s="10">
        <f t="shared" ref="G694" si="743">ABS(MAX(D694:D703))</f>
        <v>0.46000000000000441</v>
      </c>
      <c r="J694" s="24" t="str">
        <f t="shared" ref="J694" si="744">CONCATENATE(K693,1)</f>
        <v>91</v>
      </c>
      <c r="K694" s="6" t="e">
        <f t="array" ref="K694:R696">LINEST(B678:B686,C678:C686^{1,2,3,4,5,6,7},TRUE,TRUE)</f>
        <v>#VALUE!</v>
      </c>
      <c r="L694" s="6" t="e">
        <v>#VALUE!</v>
      </c>
      <c r="M694" s="6" t="e">
        <v>#VALUE!</v>
      </c>
      <c r="N694" s="6" t="e">
        <v>#VALUE!</v>
      </c>
      <c r="O694" s="6" t="e">
        <v>#VALUE!</v>
      </c>
      <c r="P694" s="6" t="e">
        <v>#VALUE!</v>
      </c>
      <c r="Q694" s="6" t="e">
        <v>#VALUE!</v>
      </c>
      <c r="R694" s="6" t="e">
        <v>#VALUE!</v>
      </c>
      <c r="T694" s="9"/>
      <c r="U694" s="1">
        <f t="shared" si="706"/>
        <v>16</v>
      </c>
      <c r="V694" s="1">
        <f t="shared" si="707"/>
        <v>233</v>
      </c>
    </row>
    <row r="695" spans="1:22" x14ac:dyDescent="0.3">
      <c r="A695" s="1">
        <f t="shared" si="672"/>
        <v>16234</v>
      </c>
      <c r="B695" s="12">
        <f t="shared" si="738"/>
        <v>-0.33999999999999986</v>
      </c>
      <c r="C695" s="13">
        <f t="shared" si="739"/>
        <v>0</v>
      </c>
      <c r="D695" s="10">
        <f t="shared" si="740"/>
        <v>0.33999999999999986</v>
      </c>
      <c r="E695" s="74" t="s">
        <v>38</v>
      </c>
      <c r="F695" s="75"/>
      <c r="G695" s="76"/>
      <c r="J695" s="24" t="str">
        <f t="shared" ref="J695" si="745">CONCATENATE(K693,2)</f>
        <v>92</v>
      </c>
      <c r="K695" s="6" t="e">
        <v>#VALUE!</v>
      </c>
      <c r="L695" s="6" t="e">
        <v>#VALUE!</v>
      </c>
      <c r="M695" s="6" t="e">
        <v>#VALUE!</v>
      </c>
      <c r="N695" s="6" t="e">
        <v>#VALUE!</v>
      </c>
      <c r="O695" s="6" t="e">
        <v>#VALUE!</v>
      </c>
      <c r="P695" s="6" t="e">
        <v>#VALUE!</v>
      </c>
      <c r="Q695" s="6" t="e">
        <v>#VALUE!</v>
      </c>
      <c r="R695" s="6" t="e">
        <v>#VALUE!</v>
      </c>
      <c r="T695" s="9"/>
      <c r="U695" s="1">
        <f t="shared" si="706"/>
        <v>16</v>
      </c>
      <c r="V695" s="1">
        <f t="shared" si="707"/>
        <v>234</v>
      </c>
    </row>
    <row r="696" spans="1:22" x14ac:dyDescent="0.3">
      <c r="A696" s="1">
        <f t="shared" si="672"/>
        <v>16235</v>
      </c>
      <c r="B696" s="12">
        <f t="shared" si="738"/>
        <v>-0.5400000000000027</v>
      </c>
      <c r="C696" s="13">
        <f t="shared" si="739"/>
        <v>-7.9999999999998295E-2</v>
      </c>
      <c r="D696" s="10">
        <f t="shared" si="740"/>
        <v>0.46000000000000441</v>
      </c>
      <c r="E696" s="11">
        <f t="shared" ref="E696" si="746">IF(D669="","",MAX(F696,G696))</f>
        <v>0.67000000000000171</v>
      </c>
      <c r="F696" s="10">
        <f t="shared" ref="F696" si="747">ABS(MIN(B694:B703))</f>
        <v>0.67000000000000171</v>
      </c>
      <c r="G696" s="10">
        <f t="shared" ref="G696" si="748">ABS(MAX(B694:B703))</f>
        <v>0</v>
      </c>
      <c r="J696" s="24" t="str">
        <f t="shared" ref="J696" si="749">CONCATENATE(K693,3)</f>
        <v>93</v>
      </c>
      <c r="K696" s="6" t="e">
        <v>#VALUE!</v>
      </c>
      <c r="L696" s="6" t="e">
        <v>#VALUE!</v>
      </c>
      <c r="M696" s="6" t="e">
        <v>#VALUE!</v>
      </c>
      <c r="N696" s="6" t="e">
        <v>#VALUE!</v>
      </c>
      <c r="O696" s="6" t="e">
        <v>#VALUE!</v>
      </c>
      <c r="P696" s="6" t="e">
        <v>#VALUE!</v>
      </c>
      <c r="Q696" s="6" t="e">
        <v>#VALUE!</v>
      </c>
      <c r="R696" s="6" t="e">
        <v>#VALUE!</v>
      </c>
      <c r="T696" s="9"/>
      <c r="U696" s="1">
        <f t="shared" si="706"/>
        <v>16</v>
      </c>
      <c r="V696" s="1">
        <f t="shared" si="707"/>
        <v>235</v>
      </c>
    </row>
    <row r="697" spans="1:22" x14ac:dyDescent="0.3">
      <c r="A697" s="1">
        <f t="shared" si="672"/>
        <v>16236</v>
      </c>
      <c r="B697" s="12">
        <f t="shared" si="738"/>
        <v>-0.42999999999999972</v>
      </c>
      <c r="C697" s="13">
        <f t="shared" si="739"/>
        <v>-0.19999999999999574</v>
      </c>
      <c r="D697" s="10">
        <f t="shared" si="740"/>
        <v>0.23000000000000398</v>
      </c>
      <c r="E697" s="74" t="s">
        <v>39</v>
      </c>
      <c r="F697" s="75"/>
      <c r="G697" s="76"/>
      <c r="K697" s="1">
        <v>10</v>
      </c>
      <c r="L697" s="1">
        <v>10</v>
      </c>
      <c r="M697" s="1">
        <v>10</v>
      </c>
      <c r="N697" s="1">
        <v>10</v>
      </c>
      <c r="O697" s="1">
        <v>10</v>
      </c>
      <c r="P697" s="1">
        <v>10</v>
      </c>
      <c r="Q697" s="1">
        <v>10</v>
      </c>
      <c r="R697" s="1">
        <v>10</v>
      </c>
      <c r="S697" s="1">
        <v>10</v>
      </c>
      <c r="T697" s="9"/>
      <c r="U697" s="1">
        <f t="shared" si="706"/>
        <v>16</v>
      </c>
      <c r="V697" s="1">
        <f t="shared" si="707"/>
        <v>236</v>
      </c>
    </row>
    <row r="698" spans="1:22" x14ac:dyDescent="0.3">
      <c r="A698" s="1">
        <f t="shared" si="672"/>
        <v>16237</v>
      </c>
      <c r="B698" s="12">
        <f t="shared" si="738"/>
        <v>-0.53000000000000114</v>
      </c>
      <c r="C698" s="13">
        <f t="shared" si="739"/>
        <v>-0.18999999999999773</v>
      </c>
      <c r="D698" s="10">
        <f t="shared" si="740"/>
        <v>0.34000000000000341</v>
      </c>
      <c r="E698" s="11">
        <f t="shared" ref="E698" si="750">IF(D669="","",MAX(F698,G698))</f>
        <v>0.84</v>
      </c>
      <c r="F698" s="10">
        <f t="shared" ref="F698" si="751">ABS(MIN(D678:D687))</f>
        <v>0.25</v>
      </c>
      <c r="G698" s="10">
        <f t="shared" ref="G698" si="752">ABS(MAX(D678:D687))</f>
        <v>0.84</v>
      </c>
      <c r="J698" s="24" t="str">
        <f t="shared" ref="J698" si="753">CONCATENATE(K697,1)</f>
        <v>101</v>
      </c>
      <c r="K698" s="6" t="e">
        <f t="array" ref="K698:S700">LINEST(B678:B687,C678:C687^{1,2,3,4,5,6,7,8},TRUE,TRUE)</f>
        <v>#VALUE!</v>
      </c>
      <c r="L698" s="6" t="e">
        <v>#VALUE!</v>
      </c>
      <c r="M698" s="6" t="e">
        <v>#VALUE!</v>
      </c>
      <c r="N698" s="6" t="e">
        <v>#VALUE!</v>
      </c>
      <c r="O698" s="6" t="e">
        <v>#VALUE!</v>
      </c>
      <c r="P698" s="6" t="e">
        <v>#VALUE!</v>
      </c>
      <c r="Q698" s="6" t="e">
        <v>#VALUE!</v>
      </c>
      <c r="R698" s="6" t="e">
        <v>#VALUE!</v>
      </c>
      <c r="S698" s="6" t="e">
        <v>#VALUE!</v>
      </c>
      <c r="T698" s="9"/>
      <c r="U698" s="1">
        <f t="shared" si="706"/>
        <v>16</v>
      </c>
      <c r="V698" s="1">
        <f t="shared" si="707"/>
        <v>237</v>
      </c>
    </row>
    <row r="699" spans="1:22" x14ac:dyDescent="0.3">
      <c r="A699" s="1">
        <f t="shared" si="672"/>
        <v>16238</v>
      </c>
      <c r="B699" s="12">
        <f t="shared" si="738"/>
        <v>-0.67000000000000171</v>
      </c>
      <c r="C699" s="13">
        <f t="shared" si="739"/>
        <v>-0.21999999999999886</v>
      </c>
      <c r="D699" s="10">
        <f t="shared" si="740"/>
        <v>0.45000000000000284</v>
      </c>
      <c r="J699" s="24" t="str">
        <f t="shared" ref="J699" si="754">CONCATENATE(K697,2)</f>
        <v>102</v>
      </c>
      <c r="K699" s="6" t="e">
        <v>#VALUE!</v>
      </c>
      <c r="L699" s="6" t="e">
        <v>#VALUE!</v>
      </c>
      <c r="M699" s="6" t="e">
        <v>#VALUE!</v>
      </c>
      <c r="N699" s="6" t="e">
        <v>#VALUE!</v>
      </c>
      <c r="O699" s="6" t="e">
        <v>#VALUE!</v>
      </c>
      <c r="P699" s="6" t="e">
        <v>#VALUE!</v>
      </c>
      <c r="Q699" s="6" t="e">
        <v>#VALUE!</v>
      </c>
      <c r="R699" s="6" t="e">
        <v>#VALUE!</v>
      </c>
      <c r="S699" s="6" t="e">
        <v>#VALUE!</v>
      </c>
      <c r="T699" s="9"/>
      <c r="U699" s="1">
        <f t="shared" si="706"/>
        <v>16</v>
      </c>
      <c r="V699" s="1">
        <f t="shared" si="707"/>
        <v>238</v>
      </c>
    </row>
    <row r="700" spans="1:22" x14ac:dyDescent="0.3">
      <c r="A700" s="1">
        <f t="shared" si="672"/>
        <v>16239</v>
      </c>
      <c r="B700" s="12">
        <f t="shared" si="738"/>
        <v>0</v>
      </c>
      <c r="C700" s="13">
        <f t="shared" si="739"/>
        <v>0</v>
      </c>
      <c r="D700" s="10">
        <f t="shared" si="740"/>
        <v>0</v>
      </c>
      <c r="J700" s="24" t="str">
        <f t="shared" ref="J700" si="755">CONCATENATE(K697,3)</f>
        <v>103</v>
      </c>
      <c r="K700" s="6" t="e">
        <v>#VALUE!</v>
      </c>
      <c r="L700" s="6" t="e">
        <v>#VALUE!</v>
      </c>
      <c r="M700" s="6" t="e">
        <v>#VALUE!</v>
      </c>
      <c r="N700" s="6" t="e">
        <v>#VALUE!</v>
      </c>
      <c r="O700" s="6" t="e">
        <v>#VALUE!</v>
      </c>
      <c r="P700" s="6" t="e">
        <v>#VALUE!</v>
      </c>
      <c r="Q700" s="6" t="e">
        <v>#VALUE!</v>
      </c>
      <c r="R700" s="6" t="e">
        <v>#VALUE!</v>
      </c>
      <c r="S700" s="6" t="e">
        <v>#VALUE!</v>
      </c>
      <c r="T700" s="9"/>
      <c r="U700" s="1">
        <f t="shared" si="706"/>
        <v>16</v>
      </c>
      <c r="V700" s="1">
        <f t="shared" si="707"/>
        <v>239</v>
      </c>
    </row>
    <row r="701" spans="1:22" x14ac:dyDescent="0.3">
      <c r="A701" s="1">
        <f t="shared" si="672"/>
        <v>16240</v>
      </c>
      <c r="B701" s="12">
        <f t="shared" si="738"/>
        <v>0</v>
      </c>
      <c r="C701" s="13">
        <f t="shared" si="739"/>
        <v>0</v>
      </c>
      <c r="D701" s="10">
        <f t="shared" si="740"/>
        <v>0</v>
      </c>
      <c r="J701" s="9"/>
      <c r="K701" s="9"/>
      <c r="L701" s="9"/>
      <c r="M701" s="9"/>
      <c r="N701" s="9"/>
      <c r="O701" s="9"/>
      <c r="P701" s="9"/>
      <c r="Q701" s="9"/>
      <c r="R701" s="9"/>
      <c r="S701" s="9"/>
      <c r="T701" s="9"/>
      <c r="U701" s="1">
        <f t="shared" si="706"/>
        <v>16</v>
      </c>
      <c r="V701" s="1">
        <f t="shared" si="707"/>
        <v>240</v>
      </c>
    </row>
    <row r="702" spans="1:22" x14ac:dyDescent="0.3">
      <c r="A702" s="1">
        <f t="shared" si="672"/>
        <v>16241</v>
      </c>
      <c r="B702" s="12">
        <f t="shared" si="738"/>
        <v>0</v>
      </c>
      <c r="C702" s="13">
        <f t="shared" si="739"/>
        <v>0</v>
      </c>
      <c r="D702" s="10">
        <f t="shared" si="740"/>
        <v>0</v>
      </c>
      <c r="J702" s="9"/>
      <c r="K702" s="9"/>
      <c r="L702" s="9"/>
      <c r="M702" s="9"/>
      <c r="N702" s="9"/>
      <c r="O702" s="9"/>
      <c r="P702" s="9"/>
      <c r="Q702" s="9"/>
      <c r="R702" s="9"/>
      <c r="S702" s="9"/>
      <c r="T702" s="9"/>
      <c r="U702" s="1">
        <f t="shared" si="706"/>
        <v>16</v>
      </c>
      <c r="V702" s="1">
        <f t="shared" si="707"/>
        <v>241</v>
      </c>
    </row>
    <row r="703" spans="1:22" x14ac:dyDescent="0.3">
      <c r="A703" s="1">
        <f t="shared" si="672"/>
        <v>16242</v>
      </c>
      <c r="B703" s="12">
        <f t="shared" si="738"/>
        <v>0</v>
      </c>
      <c r="C703" s="13">
        <f t="shared" si="739"/>
        <v>0</v>
      </c>
      <c r="D703" s="10">
        <f t="shared" si="740"/>
        <v>0</v>
      </c>
      <c r="J703" s="9"/>
      <c r="K703" s="9"/>
      <c r="L703" s="9"/>
      <c r="M703" s="9"/>
      <c r="N703" s="9"/>
      <c r="O703" s="9"/>
      <c r="P703" s="9"/>
      <c r="Q703" s="9"/>
      <c r="R703" s="9"/>
      <c r="S703" s="9"/>
      <c r="T703" s="9"/>
      <c r="U703" s="1">
        <f t="shared" si="706"/>
        <v>16</v>
      </c>
      <c r="V703" s="1">
        <f t="shared" si="707"/>
        <v>242</v>
      </c>
    </row>
    <row r="704" spans="1:22" x14ac:dyDescent="0.3">
      <c r="A704" s="1">
        <f t="shared" si="672"/>
        <v>16243</v>
      </c>
      <c r="J704" s="9"/>
      <c r="K704" s="9"/>
      <c r="L704" s="9"/>
      <c r="M704" s="9"/>
      <c r="N704" s="9"/>
      <c r="O704" s="9"/>
      <c r="P704" s="9"/>
      <c r="Q704" s="9"/>
      <c r="R704" s="9"/>
      <c r="S704" s="9"/>
      <c r="T704" s="9"/>
      <c r="U704" s="1">
        <f t="shared" si="706"/>
        <v>16</v>
      </c>
      <c r="V704" s="1">
        <f t="shared" si="707"/>
        <v>243</v>
      </c>
    </row>
    <row r="705" spans="1:22" s="5" customFormat="1" x14ac:dyDescent="0.3"/>
    <row r="706" spans="1:22" x14ac:dyDescent="0.3">
      <c r="A706" s="1">
        <f t="shared" ref="A706:A748" si="756">ROUND(CONCATENATE(U706,V706),0)</f>
        <v>17201</v>
      </c>
      <c r="B706" s="96" t="s">
        <v>0</v>
      </c>
      <c r="C706" s="97"/>
      <c r="D706" s="110"/>
      <c r="E706" s="111"/>
      <c r="F706" s="111"/>
      <c r="G706" s="111"/>
      <c r="H706" s="112"/>
      <c r="J706" s="9"/>
      <c r="K706" s="9"/>
      <c r="L706" s="9"/>
      <c r="M706" s="9"/>
      <c r="N706" s="9"/>
      <c r="O706" s="9"/>
      <c r="P706" s="9"/>
      <c r="Q706" s="9"/>
      <c r="R706" s="9"/>
      <c r="S706" s="9"/>
      <c r="T706" s="9"/>
      <c r="U706" s="1">
        <f t="shared" ref="U706" si="757">U704+1</f>
        <v>17</v>
      </c>
      <c r="V706" s="1">
        <v>201</v>
      </c>
    </row>
    <row r="707" spans="1:22" x14ac:dyDescent="0.3">
      <c r="A707" s="1">
        <f t="shared" si="756"/>
        <v>17202</v>
      </c>
      <c r="B707" s="96" t="s">
        <v>1</v>
      </c>
      <c r="C707" s="97"/>
      <c r="D707" s="15"/>
      <c r="E707" s="16" t="s">
        <v>2</v>
      </c>
      <c r="F707" s="107"/>
      <c r="G707" s="108"/>
      <c r="H707" s="109"/>
      <c r="J707" s="9"/>
      <c r="K707" s="9"/>
      <c r="L707" s="9"/>
      <c r="M707" s="9"/>
      <c r="N707" s="9"/>
      <c r="O707" s="9"/>
      <c r="P707" s="9"/>
      <c r="Q707" s="9"/>
      <c r="R707" s="9"/>
      <c r="S707" s="9"/>
      <c r="T707" s="9"/>
      <c r="U707" s="1">
        <f t="shared" ref="U707" si="758">U706</f>
        <v>17</v>
      </c>
      <c r="V707" s="1">
        <f t="shared" ref="V707" si="759">V706+1</f>
        <v>202</v>
      </c>
    </row>
    <row r="708" spans="1:22" x14ac:dyDescent="0.3">
      <c r="A708" s="1">
        <f t="shared" si="756"/>
        <v>17203</v>
      </c>
      <c r="B708" s="96" t="s">
        <v>12</v>
      </c>
      <c r="C708" s="97"/>
      <c r="D708" s="110"/>
      <c r="E708" s="111"/>
      <c r="F708" s="111"/>
      <c r="G708" s="111"/>
      <c r="H708" s="112"/>
      <c r="K708" s="1" t="s">
        <v>3</v>
      </c>
      <c r="L708" s="1" t="s">
        <v>4</v>
      </c>
      <c r="M708" s="1" t="s">
        <v>5</v>
      </c>
      <c r="N708" s="1" t="s">
        <v>6</v>
      </c>
      <c r="O708" s="1" t="s">
        <v>7</v>
      </c>
      <c r="P708" s="1" t="s">
        <v>8</v>
      </c>
      <c r="Q708" s="1" t="s">
        <v>9</v>
      </c>
      <c r="R708" s="1" t="s">
        <v>10</v>
      </c>
      <c r="S708" s="1" t="s">
        <v>11</v>
      </c>
      <c r="T708" s="9"/>
      <c r="U708" s="1">
        <f t="shared" si="706"/>
        <v>17</v>
      </c>
      <c r="V708" s="1">
        <f t="shared" si="707"/>
        <v>203</v>
      </c>
    </row>
    <row r="709" spans="1:22" x14ac:dyDescent="0.3">
      <c r="A709" s="1">
        <f t="shared" si="756"/>
        <v>17204</v>
      </c>
      <c r="B709" s="96" t="s">
        <v>13</v>
      </c>
      <c r="C709" s="97"/>
      <c r="D709" s="110"/>
      <c r="E709" s="111"/>
      <c r="F709" s="111"/>
      <c r="G709" s="111"/>
      <c r="H709" s="112"/>
      <c r="J709" s="1">
        <f t="shared" ref="J709" si="760">COUNTA(B722:B731)</f>
        <v>0</v>
      </c>
      <c r="K709" s="1">
        <f t="shared" ref="K709" si="761">IF(L709-1&lt;2,0,L709-1)</f>
        <v>0</v>
      </c>
      <c r="L709" s="1">
        <f t="shared" ref="L709" si="762">IF(M709-1&lt;2,0,M709-1)</f>
        <v>0</v>
      </c>
      <c r="M709" s="1">
        <f t="shared" ref="M709" si="763">IF(N709-1&lt;2,0,N709-1)</f>
        <v>0</v>
      </c>
      <c r="N709" s="1">
        <f t="shared" ref="N709" si="764">IF(O709-1&lt;2,0,O709-1)</f>
        <v>0</v>
      </c>
      <c r="O709" s="1">
        <f t="shared" ref="O709" si="765">IF(P709-1&lt;2,0,P709-1)</f>
        <v>0</v>
      </c>
      <c r="P709" s="1">
        <f t="shared" ref="P709" si="766">IF(Q709-1&lt;2,0,Q709-1)</f>
        <v>0</v>
      </c>
      <c r="Q709" s="1">
        <f t="shared" ref="Q709" si="767">IF(R709-1&lt;2,0,R709-1)</f>
        <v>0</v>
      </c>
      <c r="R709" s="1">
        <f t="shared" ref="R709" si="768">IF(S709-1&lt;2,0,S709-1)</f>
        <v>0</v>
      </c>
      <c r="S709" s="1">
        <f t="shared" ref="S709" si="769">J709</f>
        <v>0</v>
      </c>
      <c r="T709" s="9"/>
      <c r="U709" s="1">
        <f t="shared" si="706"/>
        <v>17</v>
      </c>
      <c r="V709" s="1">
        <f t="shared" si="707"/>
        <v>204</v>
      </c>
    </row>
    <row r="710" spans="1:22" x14ac:dyDescent="0.3">
      <c r="A710" s="1">
        <f t="shared" si="756"/>
        <v>17205</v>
      </c>
      <c r="B710" s="96" t="s">
        <v>14</v>
      </c>
      <c r="C710" s="97"/>
      <c r="D710" s="110"/>
      <c r="E710" s="111"/>
      <c r="F710" s="111"/>
      <c r="G710" s="111"/>
      <c r="H710" s="112"/>
      <c r="J710" s="24" t="str">
        <f t="shared" ref="J710" si="770">CONCATENATE(J709,1)</f>
        <v>01</v>
      </c>
      <c r="K710" s="25">
        <f t="shared" ref="K710" si="771">IF(K709=0,0,VLOOKUP(J710,J714:S744,K709,FALSE))</f>
        <v>0</v>
      </c>
      <c r="L710" s="25">
        <f t="shared" ref="L710" si="772">IF(L709=0,0,VLOOKUP(J710,J714:S744,L709,FALSE))</f>
        <v>0</v>
      </c>
      <c r="M710" s="25">
        <f t="shared" ref="M710" si="773">IF(M709=0,0,VLOOKUP(J710,J714:S744,M709,FALSE))</f>
        <v>0</v>
      </c>
      <c r="N710" s="25">
        <f t="shared" ref="N710" si="774">IF(N709=0,0,VLOOKUP(J710,J714:S744,N709,FALSE))</f>
        <v>0</v>
      </c>
      <c r="O710" s="25">
        <f t="shared" ref="O710" si="775">IF(O709=0,0,VLOOKUP(J710,J714:S744,O709,FALSE))</f>
        <v>0</v>
      </c>
      <c r="P710" s="25">
        <f t="shared" ref="P710" si="776">IF(P709=0,0,VLOOKUP(J710,J714:S744,P709,FALSE))</f>
        <v>0</v>
      </c>
      <c r="Q710" s="25">
        <f t="shared" ref="Q710" si="777">IF(Q709=0,0,VLOOKUP(J710,J714:S744,Q709,FALSE))</f>
        <v>0</v>
      </c>
      <c r="R710" s="25">
        <f t="shared" ref="R710" si="778">IF(R709=0,0,VLOOKUP(J710,J714:S744,R709,FALSE))</f>
        <v>0</v>
      </c>
      <c r="S710" s="25">
        <f t="shared" ref="S710" si="779">IF(S709=0,0,VLOOKUP(J710,J714:S744,S709,FALSE))</f>
        <v>0</v>
      </c>
      <c r="T710" s="9"/>
      <c r="U710" s="1">
        <f t="shared" si="706"/>
        <v>17</v>
      </c>
      <c r="V710" s="1">
        <f t="shared" si="707"/>
        <v>205</v>
      </c>
    </row>
    <row r="711" spans="1:22" x14ac:dyDescent="0.3">
      <c r="A711" s="1">
        <f t="shared" si="756"/>
        <v>17206</v>
      </c>
      <c r="B711" s="96" t="s">
        <v>15</v>
      </c>
      <c r="C711" s="97"/>
      <c r="D711" s="110"/>
      <c r="E711" s="111"/>
      <c r="F711" s="111"/>
      <c r="G711" s="111"/>
      <c r="H711" s="112"/>
      <c r="J711" s="24" t="str">
        <f t="shared" ref="J711" si="780">CONCATENATE(J709,2)</f>
        <v>02</v>
      </c>
      <c r="K711" s="6">
        <f t="shared" ref="K711" si="781">IF(K709=0,0,VLOOKUP(J711,J714:S744,K709,FALSE))</f>
        <v>0</v>
      </c>
      <c r="L711" s="6">
        <f t="shared" ref="L711" si="782">IF(L709=0,0,VLOOKUP(J711,J714:S744,L709,FALSE))</f>
        <v>0</v>
      </c>
      <c r="M711" s="6">
        <f t="shared" ref="M711" si="783">IF(M709=0,0,VLOOKUP(J711,J714:S744,M709,FALSE))</f>
        <v>0</v>
      </c>
      <c r="N711" s="6">
        <f t="shared" ref="N711" si="784">IF(N709=0,0,VLOOKUP(J711,J714:S744,N709,FALSE))</f>
        <v>0</v>
      </c>
      <c r="O711" s="6">
        <f t="shared" ref="O711" si="785">IF(O709=0,0,VLOOKUP(J711,J714:S744,O709,FALSE))</f>
        <v>0</v>
      </c>
      <c r="P711" s="6">
        <f t="shared" ref="P711" si="786">IF(P709=0,0,VLOOKUP(J711,J714:S744,P709,FALSE))</f>
        <v>0</v>
      </c>
      <c r="Q711" s="6">
        <f t="shared" ref="Q711" si="787">IF(Q709=0,0,VLOOKUP(J711,J714:S744,Q709,FALSE))</f>
        <v>0</v>
      </c>
      <c r="R711" s="6">
        <f t="shared" ref="R711" si="788">IF(R709=0,0,VLOOKUP(J711,J714:S744,R709,FALSE))</f>
        <v>0</v>
      </c>
      <c r="S711" s="6">
        <f t="shared" ref="S711" si="789">IF(S709=0,0,VLOOKUP(J711,J714:S744,S709,FALSE))</f>
        <v>0</v>
      </c>
      <c r="T711" s="9"/>
      <c r="U711" s="1">
        <f t="shared" si="706"/>
        <v>17</v>
      </c>
      <c r="V711" s="1">
        <f t="shared" si="707"/>
        <v>206</v>
      </c>
    </row>
    <row r="712" spans="1:22" x14ac:dyDescent="0.3">
      <c r="A712" s="1">
        <f t="shared" si="756"/>
        <v>17207</v>
      </c>
      <c r="B712" s="96" t="s">
        <v>16</v>
      </c>
      <c r="C712" s="97"/>
      <c r="D712" s="113"/>
      <c r="E712" s="114"/>
      <c r="F712" s="114"/>
      <c r="G712" s="114"/>
      <c r="H712" s="115"/>
      <c r="J712" s="24" t="str">
        <f t="shared" ref="J712" si="790">CONCATENATE(J709,3)</f>
        <v>03</v>
      </c>
      <c r="K712" s="6"/>
      <c r="L712" s="6"/>
      <c r="M712" s="6"/>
      <c r="N712" s="6" t="s">
        <v>43</v>
      </c>
      <c r="O712" s="25">
        <f t="shared" ref="O712" si="791">J709-2</f>
        <v>-2</v>
      </c>
      <c r="P712" s="6" t="s">
        <v>44</v>
      </c>
      <c r="Q712" s="25" t="e">
        <f t="shared" ref="Q712" si="792">VLOOKUP(J712,J714:S744,3,FALSE)</f>
        <v>#N/A</v>
      </c>
      <c r="R712" s="6" t="s">
        <v>45</v>
      </c>
      <c r="S712" s="6" t="e">
        <f t="shared" ref="S712" si="793">VLOOKUP(J712,J714:S744,2,FALSE)</f>
        <v>#N/A</v>
      </c>
      <c r="T712" s="9"/>
      <c r="U712" s="1">
        <f t="shared" si="706"/>
        <v>17</v>
      </c>
      <c r="V712" s="1">
        <f t="shared" si="707"/>
        <v>207</v>
      </c>
    </row>
    <row r="713" spans="1:22" x14ac:dyDescent="0.3">
      <c r="A713" s="1">
        <f t="shared" si="756"/>
        <v>17208</v>
      </c>
      <c r="B713" s="96" t="s">
        <v>17</v>
      </c>
      <c r="C713" s="97"/>
      <c r="D713" s="116"/>
      <c r="E713" s="117"/>
      <c r="F713" s="117"/>
      <c r="G713" s="117"/>
      <c r="H713" s="118"/>
      <c r="K713" s="1">
        <v>3</v>
      </c>
      <c r="L713" s="1">
        <v>3</v>
      </c>
      <c r="Q713" s="26"/>
      <c r="R713" s="26"/>
      <c r="S713" s="26"/>
      <c r="T713" s="9"/>
      <c r="U713" s="1">
        <f t="shared" si="706"/>
        <v>17</v>
      </c>
      <c r="V713" s="1">
        <f t="shared" si="707"/>
        <v>208</v>
      </c>
    </row>
    <row r="714" spans="1:22" x14ac:dyDescent="0.3">
      <c r="A714" s="1">
        <f t="shared" si="756"/>
        <v>17209</v>
      </c>
      <c r="B714" s="77" t="s">
        <v>19</v>
      </c>
      <c r="C714" s="78"/>
      <c r="D714" s="17"/>
      <c r="E714" s="79" t="s">
        <v>40</v>
      </c>
      <c r="F714" s="80"/>
      <c r="G714" s="81"/>
      <c r="H714" s="18" t="s">
        <v>69</v>
      </c>
      <c r="J714" s="24" t="str">
        <f t="shared" ref="J714" si="794">CONCATENATE(K713,1)</f>
        <v>31</v>
      </c>
      <c r="K714" s="6" t="e">
        <f t="array" ref="K714:L716">LINEST(B722:B724,C722:C724^{1},TRUE,TRUE)</f>
        <v>#VALUE!</v>
      </c>
      <c r="L714" s="6" t="e">
        <v>#VALUE!</v>
      </c>
      <c r="Q714" s="9"/>
      <c r="R714" s="9"/>
      <c r="S714" s="9"/>
      <c r="T714" s="9"/>
      <c r="U714" s="1">
        <f t="shared" si="706"/>
        <v>17</v>
      </c>
      <c r="V714" s="1">
        <f t="shared" si="707"/>
        <v>209</v>
      </c>
    </row>
    <row r="715" spans="1:22" x14ac:dyDescent="0.3">
      <c r="A715" s="1">
        <f t="shared" si="756"/>
        <v>17210</v>
      </c>
      <c r="B715" s="77" t="s">
        <v>41</v>
      </c>
      <c r="C715" s="78"/>
      <c r="D715" s="23">
        <f t="shared" ref="D715" si="795">MIN(B722:B731)</f>
        <v>0</v>
      </c>
      <c r="E715" s="20" t="s">
        <v>18</v>
      </c>
      <c r="F715" s="19">
        <f t="shared" ref="F715" si="796">MAX(B722:B731)</f>
        <v>0</v>
      </c>
      <c r="G715" s="21" t="str">
        <f t="shared" ref="G715" si="797">IF(H714="","",H714)</f>
        <v>°CTd</v>
      </c>
      <c r="H715" s="22"/>
      <c r="J715" s="24" t="str">
        <f t="shared" ref="J715" si="798">CONCATENATE(K713,2)</f>
        <v>32</v>
      </c>
      <c r="K715" s="6" t="e">
        <v>#VALUE!</v>
      </c>
      <c r="L715" s="6" t="e">
        <v>#VALUE!</v>
      </c>
      <c r="Q715" s="9"/>
      <c r="R715" s="9"/>
      <c r="S715" s="9"/>
      <c r="T715" s="9"/>
      <c r="U715" s="1">
        <f t="shared" si="706"/>
        <v>17</v>
      </c>
      <c r="V715" s="1">
        <f t="shared" si="707"/>
        <v>210</v>
      </c>
    </row>
    <row r="716" spans="1:22" x14ac:dyDescent="0.3">
      <c r="A716" s="1">
        <f t="shared" si="756"/>
        <v>17211</v>
      </c>
      <c r="J716" s="24" t="str">
        <f t="shared" ref="J716" si="799">CONCATENATE(K713,3)</f>
        <v>33</v>
      </c>
      <c r="K716" s="6" t="e">
        <v>#VALUE!</v>
      </c>
      <c r="L716" s="6" t="e">
        <v>#VALUE!</v>
      </c>
      <c r="Q716" s="9"/>
      <c r="R716" s="9"/>
      <c r="S716" s="9"/>
      <c r="T716" s="9"/>
      <c r="U716" s="1">
        <f t="shared" si="706"/>
        <v>17</v>
      </c>
      <c r="V716" s="1">
        <f t="shared" si="707"/>
        <v>211</v>
      </c>
    </row>
    <row r="717" spans="1:22" x14ac:dyDescent="0.3">
      <c r="A717" s="1">
        <f t="shared" si="756"/>
        <v>17212</v>
      </c>
      <c r="B717" s="82" t="s">
        <v>20</v>
      </c>
      <c r="C717" s="83"/>
      <c r="D717" s="83"/>
      <c r="E717" s="83"/>
      <c r="F717" s="84"/>
      <c r="G717" s="85" t="s">
        <v>31</v>
      </c>
      <c r="H717" s="86"/>
      <c r="K717" s="1">
        <v>4</v>
      </c>
      <c r="L717" s="1">
        <v>4</v>
      </c>
      <c r="M717" s="1">
        <v>4</v>
      </c>
      <c r="Q717" s="9"/>
      <c r="R717" s="9"/>
      <c r="S717" s="9"/>
      <c r="T717" s="9"/>
      <c r="U717" s="1">
        <f t="shared" si="706"/>
        <v>17</v>
      </c>
      <c r="V717" s="1">
        <f t="shared" si="707"/>
        <v>212</v>
      </c>
    </row>
    <row r="718" spans="1:22" x14ac:dyDescent="0.3">
      <c r="A718" s="1">
        <f t="shared" si="756"/>
        <v>17213</v>
      </c>
      <c r="B718" s="82" t="s">
        <v>30</v>
      </c>
      <c r="C718" s="83"/>
      <c r="D718" s="84"/>
      <c r="E718" s="82">
        <f t="shared" ref="E718" si="800">D711</f>
        <v>0</v>
      </c>
      <c r="F718" s="84"/>
      <c r="G718" s="6" t="s">
        <v>32</v>
      </c>
      <c r="H718" s="7"/>
      <c r="J718" s="24" t="str">
        <f t="shared" ref="J718" si="801">CONCATENATE(K717,1)</f>
        <v>41</v>
      </c>
      <c r="K718" s="6" t="e">
        <f t="array" ref="K718:M720">LINEST(B722:B725,C722:C725^{1,2},TRUE,TRUE)</f>
        <v>#VALUE!</v>
      </c>
      <c r="L718" s="6" t="e">
        <v>#VALUE!</v>
      </c>
      <c r="M718" s="6" t="e">
        <v>#VALUE!</v>
      </c>
      <c r="Q718" s="9"/>
      <c r="R718" s="9"/>
      <c r="S718" s="9"/>
      <c r="T718" s="9"/>
      <c r="U718" s="1">
        <f t="shared" si="706"/>
        <v>17</v>
      </c>
      <c r="V718" s="1">
        <f t="shared" si="707"/>
        <v>213</v>
      </c>
    </row>
    <row r="719" spans="1:22" x14ac:dyDescent="0.3">
      <c r="A719" s="1">
        <f t="shared" si="756"/>
        <v>17214</v>
      </c>
      <c r="B719" s="2" t="s">
        <v>21</v>
      </c>
      <c r="C719" s="2" t="s">
        <v>22</v>
      </c>
      <c r="D719" s="2" t="s">
        <v>23</v>
      </c>
      <c r="E719" s="2"/>
      <c r="F719" s="2" t="s">
        <v>28</v>
      </c>
      <c r="G719" s="2" t="s">
        <v>21</v>
      </c>
      <c r="H719" s="2" t="s">
        <v>22</v>
      </c>
      <c r="J719" s="24" t="str">
        <f t="shared" ref="J719" si="802">CONCATENATE(K717,2)</f>
        <v>42</v>
      </c>
      <c r="K719" s="6" t="e">
        <v>#VALUE!</v>
      </c>
      <c r="L719" s="6" t="e">
        <v>#VALUE!</v>
      </c>
      <c r="M719" s="6" t="e">
        <v>#VALUE!</v>
      </c>
      <c r="Q719" s="9"/>
      <c r="R719" s="9"/>
      <c r="S719" s="9"/>
      <c r="T719" s="9"/>
      <c r="U719" s="1">
        <f t="shared" si="706"/>
        <v>17</v>
      </c>
      <c r="V719" s="1">
        <f t="shared" si="707"/>
        <v>214</v>
      </c>
    </row>
    <row r="720" spans="1:22" x14ac:dyDescent="0.3">
      <c r="A720" s="1">
        <f t="shared" si="756"/>
        <v>17215</v>
      </c>
      <c r="B720" s="2" t="s">
        <v>24</v>
      </c>
      <c r="C720" s="2" t="s">
        <v>25</v>
      </c>
      <c r="D720" s="2" t="s">
        <v>26</v>
      </c>
      <c r="E720" s="2" t="s">
        <v>27</v>
      </c>
      <c r="F720" s="2" t="s">
        <v>29</v>
      </c>
      <c r="G720" s="2" t="s">
        <v>24</v>
      </c>
      <c r="H720" s="2" t="s">
        <v>25</v>
      </c>
      <c r="J720" s="24" t="str">
        <f t="shared" ref="J720" si="803">CONCATENATE(K717,3)</f>
        <v>43</v>
      </c>
      <c r="K720" s="6" t="e">
        <v>#VALUE!</v>
      </c>
      <c r="L720" s="6" t="e">
        <v>#VALUE!</v>
      </c>
      <c r="M720" s="6" t="e">
        <v>#VALUE!</v>
      </c>
      <c r="Q720" s="9"/>
      <c r="R720" s="9"/>
      <c r="S720" s="9"/>
      <c r="T720" s="9"/>
      <c r="U720" s="1">
        <f t="shared" si="706"/>
        <v>17</v>
      </c>
      <c r="V720" s="1">
        <f t="shared" si="707"/>
        <v>215</v>
      </c>
    </row>
    <row r="721" spans="1:22" x14ac:dyDescent="0.3">
      <c r="A721" s="1">
        <f t="shared" si="756"/>
        <v>17216</v>
      </c>
      <c r="B721" s="3" t="str">
        <f t="shared" ref="B721" si="804">H714</f>
        <v>°CTd</v>
      </c>
      <c r="C721" s="3" t="str">
        <f t="shared" ref="C721:D721" si="805">B721</f>
        <v>°CTd</v>
      </c>
      <c r="D721" s="3" t="str">
        <f t="shared" si="805"/>
        <v>°CTd</v>
      </c>
      <c r="E721" s="3"/>
      <c r="F721" s="3"/>
      <c r="G721" s="3" t="str">
        <f t="shared" ref="G721" si="806">D721</f>
        <v>°CTd</v>
      </c>
      <c r="H721" s="3" t="str">
        <f t="shared" ref="H721" si="807">G721</f>
        <v>°CTd</v>
      </c>
      <c r="K721" s="1">
        <v>5</v>
      </c>
      <c r="L721" s="1">
        <v>5</v>
      </c>
      <c r="M721" s="1">
        <v>5</v>
      </c>
      <c r="N721" s="1">
        <v>5</v>
      </c>
      <c r="Q721" s="9"/>
      <c r="R721" s="9"/>
      <c r="S721" s="9"/>
      <c r="T721" s="9"/>
      <c r="U721" s="1">
        <f t="shared" si="706"/>
        <v>17</v>
      </c>
      <c r="V721" s="1">
        <f t="shared" si="707"/>
        <v>216</v>
      </c>
    </row>
    <row r="722" spans="1:22" x14ac:dyDescent="0.3">
      <c r="A722" s="1">
        <f t="shared" si="756"/>
        <v>17217</v>
      </c>
      <c r="B722" s="4"/>
      <c r="C722" s="41"/>
      <c r="D722" s="4"/>
      <c r="E722" s="4"/>
      <c r="F722" s="14"/>
      <c r="G722" s="42"/>
      <c r="H722" s="42"/>
      <c r="J722" s="24" t="str">
        <f t="shared" ref="J722" si="808">CONCATENATE(K721,1)</f>
        <v>51</v>
      </c>
      <c r="K722" s="6" t="e">
        <f t="array" ref="K722:N724">LINEST(B722:B726,C722:C726^{1,2,3},TRUE,TRUE)</f>
        <v>#VALUE!</v>
      </c>
      <c r="L722" s="6" t="e">
        <v>#VALUE!</v>
      </c>
      <c r="M722" s="6" t="e">
        <v>#VALUE!</v>
      </c>
      <c r="N722" s="6" t="e">
        <v>#VALUE!</v>
      </c>
      <c r="Q722" s="9"/>
      <c r="R722" s="9"/>
      <c r="S722" s="9"/>
      <c r="T722" s="9"/>
      <c r="U722" s="1">
        <f t="shared" si="706"/>
        <v>17</v>
      </c>
      <c r="V722" s="1">
        <f t="shared" si="707"/>
        <v>217</v>
      </c>
    </row>
    <row r="723" spans="1:22" x14ac:dyDescent="0.3">
      <c r="A723" s="1">
        <f t="shared" si="756"/>
        <v>17218</v>
      </c>
      <c r="B723" s="4"/>
      <c r="C723" s="41"/>
      <c r="D723" s="4"/>
      <c r="E723" s="4"/>
      <c r="F723" s="14"/>
      <c r="G723" s="42"/>
      <c r="H723" s="42"/>
      <c r="J723" s="24" t="str">
        <f t="shared" ref="J723" si="809">CONCATENATE(K721,2)</f>
        <v>52</v>
      </c>
      <c r="K723" s="6" t="e">
        <v>#VALUE!</v>
      </c>
      <c r="L723" s="6" t="e">
        <v>#VALUE!</v>
      </c>
      <c r="M723" s="6" t="e">
        <v>#VALUE!</v>
      </c>
      <c r="N723" s="6" t="e">
        <v>#VALUE!</v>
      </c>
      <c r="T723" s="9"/>
      <c r="U723" s="1">
        <f t="shared" si="706"/>
        <v>17</v>
      </c>
      <c r="V723" s="1">
        <f t="shared" si="707"/>
        <v>218</v>
      </c>
    </row>
    <row r="724" spans="1:22" x14ac:dyDescent="0.3">
      <c r="A724" s="1">
        <f t="shared" si="756"/>
        <v>17219</v>
      </c>
      <c r="B724" s="4"/>
      <c r="C724" s="41"/>
      <c r="D724" s="4"/>
      <c r="E724" s="4"/>
      <c r="F724" s="14"/>
      <c r="G724" s="42"/>
      <c r="H724" s="42"/>
      <c r="J724" s="24" t="str">
        <f t="shared" ref="J724" si="810">CONCATENATE(K721,3)</f>
        <v>53</v>
      </c>
      <c r="K724" s="6" t="e">
        <v>#VALUE!</v>
      </c>
      <c r="L724" s="6" t="e">
        <v>#VALUE!</v>
      </c>
      <c r="M724" s="6" t="e">
        <v>#VALUE!</v>
      </c>
      <c r="N724" s="6" t="e">
        <v>#VALUE!</v>
      </c>
      <c r="T724" s="9"/>
      <c r="U724" s="1">
        <f t="shared" si="706"/>
        <v>17</v>
      </c>
      <c r="V724" s="1">
        <f t="shared" si="707"/>
        <v>219</v>
      </c>
    </row>
    <row r="725" spans="1:22" x14ac:dyDescent="0.3">
      <c r="A725" s="1">
        <f t="shared" si="756"/>
        <v>17220</v>
      </c>
      <c r="B725" s="4"/>
      <c r="C725" s="41"/>
      <c r="D725" s="4"/>
      <c r="E725" s="4"/>
      <c r="F725" s="14"/>
      <c r="G725" s="42"/>
      <c r="H725" s="42"/>
      <c r="K725" s="1">
        <v>6</v>
      </c>
      <c r="L725" s="1">
        <v>6</v>
      </c>
      <c r="M725" s="1">
        <v>6</v>
      </c>
      <c r="N725" s="1">
        <v>6</v>
      </c>
      <c r="O725" s="1">
        <v>6</v>
      </c>
      <c r="T725" s="9"/>
      <c r="U725" s="1">
        <f t="shared" si="706"/>
        <v>17</v>
      </c>
      <c r="V725" s="1">
        <f t="shared" si="707"/>
        <v>220</v>
      </c>
    </row>
    <row r="726" spans="1:22" x14ac:dyDescent="0.3">
      <c r="A726" s="1">
        <f t="shared" si="756"/>
        <v>17221</v>
      </c>
      <c r="B726" s="4"/>
      <c r="C726" s="41"/>
      <c r="D726" s="4"/>
      <c r="E726" s="4"/>
      <c r="F726" s="14"/>
      <c r="G726" s="42"/>
      <c r="H726" s="42"/>
      <c r="J726" s="24" t="str">
        <f t="shared" ref="J726" si="811">CONCATENATE(K725,1)</f>
        <v>61</v>
      </c>
      <c r="K726" s="6" t="e">
        <f t="array" ref="K726:O728">LINEST(B722:B727,C722:C727^{1,2,3,4},TRUE,TRUE)</f>
        <v>#VALUE!</v>
      </c>
      <c r="L726" s="6" t="e">
        <v>#VALUE!</v>
      </c>
      <c r="M726" s="6" t="e">
        <v>#VALUE!</v>
      </c>
      <c r="N726" s="6" t="e">
        <v>#VALUE!</v>
      </c>
      <c r="O726" s="6" t="e">
        <v>#VALUE!</v>
      </c>
      <c r="T726" s="9"/>
      <c r="U726" s="1">
        <f t="shared" si="706"/>
        <v>17</v>
      </c>
      <c r="V726" s="1">
        <f t="shared" si="707"/>
        <v>221</v>
      </c>
    </row>
    <row r="727" spans="1:22" x14ac:dyDescent="0.3">
      <c r="A727" s="1">
        <f t="shared" si="756"/>
        <v>17222</v>
      </c>
      <c r="B727" s="4"/>
      <c r="C727" s="4"/>
      <c r="D727" s="4"/>
      <c r="E727" s="4"/>
      <c r="F727" s="14"/>
      <c r="G727" s="8"/>
      <c r="H727" s="7"/>
      <c r="J727" s="24" t="str">
        <f t="shared" ref="J727" si="812">CONCATENATE(K725,2)</f>
        <v>62</v>
      </c>
      <c r="K727" s="6" t="e">
        <v>#VALUE!</v>
      </c>
      <c r="L727" s="6" t="e">
        <v>#VALUE!</v>
      </c>
      <c r="M727" s="6" t="e">
        <v>#VALUE!</v>
      </c>
      <c r="N727" s="6" t="e">
        <v>#VALUE!</v>
      </c>
      <c r="O727" s="6" t="e">
        <v>#VALUE!</v>
      </c>
      <c r="T727" s="9"/>
      <c r="U727" s="1">
        <f t="shared" si="706"/>
        <v>17</v>
      </c>
      <c r="V727" s="1">
        <f t="shared" si="707"/>
        <v>222</v>
      </c>
    </row>
    <row r="728" spans="1:22" x14ac:dyDescent="0.3">
      <c r="A728" s="1">
        <f t="shared" si="756"/>
        <v>17223</v>
      </c>
      <c r="B728" s="4"/>
      <c r="C728" s="4"/>
      <c r="D728" s="4"/>
      <c r="E728" s="4"/>
      <c r="F728" s="14"/>
      <c r="G728" s="8"/>
      <c r="H728" s="7"/>
      <c r="J728" s="24" t="str">
        <f t="shared" ref="J728" si="813">CONCATENATE(K725,3)</f>
        <v>63</v>
      </c>
      <c r="K728" s="6" t="e">
        <v>#VALUE!</v>
      </c>
      <c r="L728" s="6" t="e">
        <v>#VALUE!</v>
      </c>
      <c r="M728" s="6" t="e">
        <v>#VALUE!</v>
      </c>
      <c r="N728" s="6" t="e">
        <v>#VALUE!</v>
      </c>
      <c r="O728" s="6" t="e">
        <v>#VALUE!</v>
      </c>
      <c r="T728" s="9"/>
      <c r="U728" s="1">
        <f t="shared" si="706"/>
        <v>17</v>
      </c>
      <c r="V728" s="1">
        <f t="shared" si="707"/>
        <v>223</v>
      </c>
    </row>
    <row r="729" spans="1:22" x14ac:dyDescent="0.3">
      <c r="A729" s="1">
        <f t="shared" si="756"/>
        <v>17224</v>
      </c>
      <c r="B729" s="4"/>
      <c r="C729" s="4"/>
      <c r="D729" s="4"/>
      <c r="E729" s="4"/>
      <c r="F729" s="14"/>
      <c r="G729" s="8"/>
      <c r="H729" s="7"/>
      <c r="K729" s="1">
        <v>7</v>
      </c>
      <c r="L729" s="1">
        <v>7</v>
      </c>
      <c r="M729" s="1">
        <v>7</v>
      </c>
      <c r="N729" s="1">
        <v>7</v>
      </c>
      <c r="O729" s="1">
        <v>7</v>
      </c>
      <c r="P729" s="1">
        <v>7</v>
      </c>
      <c r="T729" s="9"/>
      <c r="U729" s="1">
        <f t="shared" si="706"/>
        <v>17</v>
      </c>
      <c r="V729" s="1">
        <f t="shared" si="707"/>
        <v>224</v>
      </c>
    </row>
    <row r="730" spans="1:22" x14ac:dyDescent="0.3">
      <c r="A730" s="1">
        <f t="shared" si="756"/>
        <v>17225</v>
      </c>
      <c r="B730" s="4"/>
      <c r="C730" s="4"/>
      <c r="D730" s="4"/>
      <c r="E730" s="4"/>
      <c r="F730" s="14"/>
      <c r="G730" s="8"/>
      <c r="H730" s="7"/>
      <c r="J730" s="24" t="str">
        <f t="shared" ref="J730" si="814">CONCATENATE(K729,1)</f>
        <v>71</v>
      </c>
      <c r="K730" s="6" t="e">
        <f t="array" ref="K730:P732">LINEST(B722:B728,C722:C728^{1,2,3,4,5},TRUE,TRUE)</f>
        <v>#VALUE!</v>
      </c>
      <c r="L730" s="6" t="e">
        <v>#VALUE!</v>
      </c>
      <c r="M730" s="6" t="e">
        <v>#VALUE!</v>
      </c>
      <c r="N730" s="6" t="e">
        <v>#VALUE!</v>
      </c>
      <c r="O730" s="6" t="e">
        <v>#VALUE!</v>
      </c>
      <c r="P730" s="6" t="e">
        <v>#VALUE!</v>
      </c>
      <c r="T730" s="9"/>
      <c r="U730" s="1">
        <f t="shared" si="706"/>
        <v>17</v>
      </c>
      <c r="V730" s="1">
        <f t="shared" si="707"/>
        <v>225</v>
      </c>
    </row>
    <row r="731" spans="1:22" x14ac:dyDescent="0.3">
      <c r="A731" s="1">
        <f t="shared" si="756"/>
        <v>17226</v>
      </c>
      <c r="B731" s="4"/>
      <c r="C731" s="4"/>
      <c r="D731" s="4"/>
      <c r="E731" s="4"/>
      <c r="F731" s="14"/>
      <c r="G731" s="8"/>
      <c r="H731" s="7"/>
      <c r="J731" s="24" t="str">
        <f t="shared" ref="J731" si="815">CONCATENATE(K729,2)</f>
        <v>72</v>
      </c>
      <c r="K731" s="6" t="e">
        <v>#VALUE!</v>
      </c>
      <c r="L731" s="6" t="e">
        <v>#VALUE!</v>
      </c>
      <c r="M731" s="6" t="e">
        <v>#VALUE!</v>
      </c>
      <c r="N731" s="6" t="e">
        <v>#VALUE!</v>
      </c>
      <c r="O731" s="6" t="e">
        <v>#VALUE!</v>
      </c>
      <c r="P731" s="6" t="e">
        <v>#VALUE!</v>
      </c>
      <c r="T731" s="9"/>
      <c r="U731" s="1">
        <f t="shared" ref="U731:U792" si="816">U730</f>
        <v>17</v>
      </c>
      <c r="V731" s="1">
        <f t="shared" ref="V731:V792" si="817">V730+1</f>
        <v>226</v>
      </c>
    </row>
    <row r="732" spans="1:22" x14ac:dyDescent="0.3">
      <c r="A732" s="1">
        <f t="shared" si="756"/>
        <v>17227</v>
      </c>
      <c r="B732" s="9"/>
      <c r="C732" s="9"/>
      <c r="D732" s="9"/>
      <c r="E732" s="9"/>
      <c r="F732" s="9"/>
      <c r="G732" s="9"/>
      <c r="H732" s="9"/>
      <c r="J732" s="24" t="str">
        <f t="shared" ref="J732" si="818">CONCATENATE(K729,3)</f>
        <v>73</v>
      </c>
      <c r="K732" s="6" t="e">
        <v>#VALUE!</v>
      </c>
      <c r="L732" s="6" t="e">
        <v>#VALUE!</v>
      </c>
      <c r="M732" s="6" t="e">
        <v>#VALUE!</v>
      </c>
      <c r="N732" s="6" t="e">
        <v>#VALUE!</v>
      </c>
      <c r="O732" s="6" t="e">
        <v>#VALUE!</v>
      </c>
      <c r="P732" s="6" t="e">
        <v>#VALUE!</v>
      </c>
      <c r="T732" s="9"/>
      <c r="U732" s="1">
        <f t="shared" si="816"/>
        <v>17</v>
      </c>
      <c r="V732" s="1">
        <f t="shared" si="817"/>
        <v>227</v>
      </c>
    </row>
    <row r="733" spans="1:22" x14ac:dyDescent="0.3">
      <c r="A733" s="1">
        <f t="shared" si="756"/>
        <v>17228</v>
      </c>
      <c r="B733" s="87" t="s">
        <v>33</v>
      </c>
      <c r="C733" s="88"/>
      <c r="D733" s="88"/>
      <c r="E733" s="88"/>
      <c r="F733" s="88"/>
      <c r="G733" s="88"/>
      <c r="H733" s="89"/>
      <c r="K733" s="1">
        <v>8</v>
      </c>
      <c r="L733" s="1">
        <v>8</v>
      </c>
      <c r="M733" s="1">
        <v>8</v>
      </c>
      <c r="N733" s="1">
        <v>8</v>
      </c>
      <c r="O733" s="1">
        <v>8</v>
      </c>
      <c r="P733" s="1">
        <v>8</v>
      </c>
      <c r="Q733" s="1">
        <v>8</v>
      </c>
      <c r="T733" s="9"/>
      <c r="U733" s="1">
        <f t="shared" si="816"/>
        <v>17</v>
      </c>
      <c r="V733" s="1">
        <f t="shared" si="817"/>
        <v>228</v>
      </c>
    </row>
    <row r="734" spans="1:22" x14ac:dyDescent="0.3">
      <c r="A734" s="1">
        <f t="shared" si="756"/>
        <v>17229</v>
      </c>
      <c r="B734" s="90"/>
      <c r="C734" s="91"/>
      <c r="D734" s="91"/>
      <c r="E734" s="91"/>
      <c r="F734" s="91"/>
      <c r="G734" s="91"/>
      <c r="H734" s="92"/>
      <c r="J734" s="24" t="str">
        <f t="shared" ref="J734" si="819">CONCATENATE(K733,1)</f>
        <v>81</v>
      </c>
      <c r="K734" s="6" t="e">
        <f t="array" ref="K734:Q736">LINEST(B722:B729,C722:C729^{1,2,3,4,5,6},TRUE,TRUE)</f>
        <v>#VALUE!</v>
      </c>
      <c r="L734" s="6" t="e">
        <v>#VALUE!</v>
      </c>
      <c r="M734" s="6" t="e">
        <v>#VALUE!</v>
      </c>
      <c r="N734" s="6" t="e">
        <v>#VALUE!</v>
      </c>
      <c r="O734" s="6" t="e">
        <v>#VALUE!</v>
      </c>
      <c r="P734" s="6" t="e">
        <v>#VALUE!</v>
      </c>
      <c r="Q734" s="6" t="e">
        <v>#VALUE!</v>
      </c>
      <c r="T734" s="9"/>
      <c r="U734" s="1">
        <f t="shared" si="816"/>
        <v>17</v>
      </c>
      <c r="V734" s="1">
        <f t="shared" si="817"/>
        <v>229</v>
      </c>
    </row>
    <row r="735" spans="1:22" x14ac:dyDescent="0.3">
      <c r="A735" s="1">
        <f t="shared" si="756"/>
        <v>17230</v>
      </c>
      <c r="B735" s="93"/>
      <c r="C735" s="94"/>
      <c r="D735" s="94"/>
      <c r="E735" s="94"/>
      <c r="F735" s="94"/>
      <c r="G735" s="94"/>
      <c r="H735" s="95"/>
      <c r="J735" s="24" t="str">
        <f t="shared" ref="J735" si="820">CONCATENATE(K733,2)</f>
        <v>82</v>
      </c>
      <c r="K735" s="6" t="e">
        <v>#VALUE!</v>
      </c>
      <c r="L735" s="6" t="e">
        <v>#VALUE!</v>
      </c>
      <c r="M735" s="6" t="e">
        <v>#VALUE!</v>
      </c>
      <c r="N735" s="6" t="e">
        <v>#VALUE!</v>
      </c>
      <c r="O735" s="6" t="e">
        <v>#VALUE!</v>
      </c>
      <c r="P735" s="6" t="e">
        <v>#VALUE!</v>
      </c>
      <c r="Q735" s="6" t="e">
        <v>#VALUE!</v>
      </c>
      <c r="T735" s="9"/>
      <c r="U735" s="1">
        <f t="shared" si="816"/>
        <v>17</v>
      </c>
      <c r="V735" s="1">
        <f t="shared" si="817"/>
        <v>230</v>
      </c>
    </row>
    <row r="736" spans="1:22" x14ac:dyDescent="0.3">
      <c r="A736" s="1">
        <f t="shared" si="756"/>
        <v>17231</v>
      </c>
      <c r="J736" s="24" t="str">
        <f t="shared" ref="J736" si="821">CONCATENATE(K733,3)</f>
        <v>83</v>
      </c>
      <c r="K736" s="6" t="e">
        <v>#VALUE!</v>
      </c>
      <c r="L736" s="6" t="e">
        <v>#VALUE!</v>
      </c>
      <c r="M736" s="6" t="e">
        <v>#VALUE!</v>
      </c>
      <c r="N736" s="6" t="e">
        <v>#VALUE!</v>
      </c>
      <c r="O736" s="6" t="e">
        <v>#VALUE!</v>
      </c>
      <c r="P736" s="6" t="e">
        <v>#VALUE!</v>
      </c>
      <c r="Q736" s="6" t="e">
        <v>#VALUE!</v>
      </c>
      <c r="T736" s="9"/>
      <c r="U736" s="1">
        <f t="shared" si="816"/>
        <v>17</v>
      </c>
      <c r="V736" s="1">
        <f t="shared" si="817"/>
        <v>231</v>
      </c>
    </row>
    <row r="737" spans="1:22" ht="15" customHeight="1" x14ac:dyDescent="0.3">
      <c r="A737" s="1">
        <f t="shared" si="756"/>
        <v>17232</v>
      </c>
      <c r="B737" s="10" t="s">
        <v>34</v>
      </c>
      <c r="C737" s="10" t="s">
        <v>35</v>
      </c>
      <c r="D737" s="10" t="s">
        <v>36</v>
      </c>
      <c r="E737" s="74" t="s">
        <v>37</v>
      </c>
      <c r="F737" s="75"/>
      <c r="G737" s="76"/>
      <c r="K737" s="1">
        <v>9</v>
      </c>
      <c r="L737" s="1">
        <v>9</v>
      </c>
      <c r="M737" s="1">
        <v>9</v>
      </c>
      <c r="N737" s="1">
        <v>9</v>
      </c>
      <c r="O737" s="1">
        <v>9</v>
      </c>
      <c r="P737" s="1">
        <v>9</v>
      </c>
      <c r="Q737" s="1">
        <v>9</v>
      </c>
      <c r="R737" s="1">
        <v>9</v>
      </c>
      <c r="T737" s="9"/>
      <c r="U737" s="1">
        <f t="shared" si="816"/>
        <v>17</v>
      </c>
      <c r="V737" s="1">
        <f t="shared" si="817"/>
        <v>232</v>
      </c>
    </row>
    <row r="738" spans="1:22" x14ac:dyDescent="0.3">
      <c r="A738" s="1">
        <f t="shared" si="756"/>
        <v>17233</v>
      </c>
      <c r="B738" s="12">
        <f t="shared" ref="B738:B747" si="822">C722-B722</f>
        <v>0</v>
      </c>
      <c r="C738" s="13">
        <f t="shared" ref="C738:C747" si="823">H722-G722</f>
        <v>0</v>
      </c>
      <c r="D738" s="10">
        <f t="shared" ref="D738:D747" si="824">C738-B738</f>
        <v>0</v>
      </c>
      <c r="E738" s="11" t="str">
        <f t="shared" ref="E738" si="825">IF(D711="","",MAX(F738,G738))</f>
        <v/>
      </c>
      <c r="F738" s="10">
        <f t="shared" ref="F738" si="826">ABS(MIN(D738:D747))</f>
        <v>0</v>
      </c>
      <c r="G738" s="10">
        <f t="shared" ref="G738" si="827">ABS(MAX(D738:D747))</f>
        <v>0</v>
      </c>
      <c r="H738" s="1" t="s">
        <v>78</v>
      </c>
      <c r="J738" s="24" t="str">
        <f t="shared" ref="J738" si="828">CONCATENATE(K737,1)</f>
        <v>91</v>
      </c>
      <c r="K738" s="6" t="e">
        <f t="array" ref="K738:R740">LINEST(B722:B730,C722:C730^{1,2,3,4,5,6,7},TRUE,TRUE)</f>
        <v>#VALUE!</v>
      </c>
      <c r="L738" s="6" t="e">
        <v>#VALUE!</v>
      </c>
      <c r="M738" s="6" t="e">
        <v>#VALUE!</v>
      </c>
      <c r="N738" s="6" t="e">
        <v>#VALUE!</v>
      </c>
      <c r="O738" s="6" t="e">
        <v>#VALUE!</v>
      </c>
      <c r="P738" s="6" t="e">
        <v>#VALUE!</v>
      </c>
      <c r="Q738" s="6" t="e">
        <v>#VALUE!</v>
      </c>
      <c r="R738" s="6" t="e">
        <v>#VALUE!</v>
      </c>
      <c r="T738" s="9"/>
      <c r="U738" s="1">
        <f t="shared" si="816"/>
        <v>17</v>
      </c>
      <c r="V738" s="1">
        <f t="shared" si="817"/>
        <v>233</v>
      </c>
    </row>
    <row r="739" spans="1:22" x14ac:dyDescent="0.3">
      <c r="A739" s="1">
        <f t="shared" si="756"/>
        <v>17234</v>
      </c>
      <c r="B739" s="12">
        <f t="shared" si="822"/>
        <v>0</v>
      </c>
      <c r="C739" s="13">
        <f t="shared" si="823"/>
        <v>0</v>
      </c>
      <c r="D739" s="10">
        <f t="shared" si="824"/>
        <v>0</v>
      </c>
      <c r="E739" s="74" t="s">
        <v>38</v>
      </c>
      <c r="F739" s="75"/>
      <c r="G739" s="76"/>
      <c r="J739" s="24" t="str">
        <f t="shared" ref="J739" si="829">CONCATENATE(K737,2)</f>
        <v>92</v>
      </c>
      <c r="K739" s="6" t="e">
        <v>#VALUE!</v>
      </c>
      <c r="L739" s="6" t="e">
        <v>#VALUE!</v>
      </c>
      <c r="M739" s="6" t="e">
        <v>#VALUE!</v>
      </c>
      <c r="N739" s="6" t="e">
        <v>#VALUE!</v>
      </c>
      <c r="O739" s="6" t="e">
        <v>#VALUE!</v>
      </c>
      <c r="P739" s="6" t="e">
        <v>#VALUE!</v>
      </c>
      <c r="Q739" s="6" t="e">
        <v>#VALUE!</v>
      </c>
      <c r="R739" s="6" t="e">
        <v>#VALUE!</v>
      </c>
      <c r="T739" s="9"/>
      <c r="U739" s="1">
        <f t="shared" si="816"/>
        <v>17</v>
      </c>
      <c r="V739" s="1">
        <f t="shared" si="817"/>
        <v>234</v>
      </c>
    </row>
    <row r="740" spans="1:22" x14ac:dyDescent="0.3">
      <c r="A740" s="1">
        <f t="shared" si="756"/>
        <v>17235</v>
      </c>
      <c r="B740" s="12">
        <f t="shared" si="822"/>
        <v>0</v>
      </c>
      <c r="C740" s="13">
        <f t="shared" si="823"/>
        <v>0</v>
      </c>
      <c r="D740" s="10">
        <f t="shared" si="824"/>
        <v>0</v>
      </c>
      <c r="E740" s="11" t="str">
        <f t="shared" ref="E740" si="830">IF(D713="","",MAX(F740,G740))</f>
        <v/>
      </c>
      <c r="F740" s="10">
        <f t="shared" ref="F740" si="831">ABS(MIN(B738:B747))</f>
        <v>0</v>
      </c>
      <c r="G740" s="10">
        <f t="shared" ref="G740" si="832">ABS(MAX(B738:B747))</f>
        <v>0</v>
      </c>
      <c r="J740" s="24" t="str">
        <f t="shared" ref="J740" si="833">CONCATENATE(K737,3)</f>
        <v>93</v>
      </c>
      <c r="K740" s="6" t="e">
        <v>#VALUE!</v>
      </c>
      <c r="L740" s="6" t="e">
        <v>#VALUE!</v>
      </c>
      <c r="M740" s="6" t="e">
        <v>#VALUE!</v>
      </c>
      <c r="N740" s="6" t="e">
        <v>#VALUE!</v>
      </c>
      <c r="O740" s="6" t="e">
        <v>#VALUE!</v>
      </c>
      <c r="P740" s="6" t="e">
        <v>#VALUE!</v>
      </c>
      <c r="Q740" s="6" t="e">
        <v>#VALUE!</v>
      </c>
      <c r="R740" s="6" t="e">
        <v>#VALUE!</v>
      </c>
      <c r="T740" s="9"/>
      <c r="U740" s="1">
        <f t="shared" si="816"/>
        <v>17</v>
      </c>
      <c r="V740" s="1">
        <f t="shared" si="817"/>
        <v>235</v>
      </c>
    </row>
    <row r="741" spans="1:22" x14ac:dyDescent="0.3">
      <c r="A741" s="1">
        <f t="shared" si="756"/>
        <v>17236</v>
      </c>
      <c r="B741" s="12">
        <f t="shared" si="822"/>
        <v>0</v>
      </c>
      <c r="C741" s="13">
        <f t="shared" si="823"/>
        <v>0</v>
      </c>
      <c r="D741" s="10">
        <f t="shared" si="824"/>
        <v>0</v>
      </c>
      <c r="E741" s="74" t="s">
        <v>39</v>
      </c>
      <c r="F741" s="75"/>
      <c r="G741" s="76"/>
      <c r="K741" s="1">
        <v>10</v>
      </c>
      <c r="L741" s="1">
        <v>10</v>
      </c>
      <c r="M741" s="1">
        <v>10</v>
      </c>
      <c r="N741" s="1">
        <v>10</v>
      </c>
      <c r="O741" s="1">
        <v>10</v>
      </c>
      <c r="P741" s="1">
        <v>10</v>
      </c>
      <c r="Q741" s="1">
        <v>10</v>
      </c>
      <c r="R741" s="1">
        <v>10</v>
      </c>
      <c r="S741" s="1">
        <v>10</v>
      </c>
      <c r="T741" s="9"/>
      <c r="U741" s="1">
        <f t="shared" si="816"/>
        <v>17</v>
      </c>
      <c r="V741" s="1">
        <f t="shared" si="817"/>
        <v>236</v>
      </c>
    </row>
    <row r="742" spans="1:22" x14ac:dyDescent="0.3">
      <c r="A742" s="1">
        <f t="shared" si="756"/>
        <v>17237</v>
      </c>
      <c r="B742" s="12">
        <f t="shared" si="822"/>
        <v>0</v>
      </c>
      <c r="C742" s="13">
        <f t="shared" si="823"/>
        <v>0</v>
      </c>
      <c r="D742" s="10">
        <f t="shared" si="824"/>
        <v>0</v>
      </c>
      <c r="E742" s="11" t="str">
        <f t="shared" ref="E742" si="834">IF(D713="","",MAX(F742,G742))</f>
        <v/>
      </c>
      <c r="F742" s="10">
        <f t="shared" ref="F742" si="835">ABS(MIN(D722:D731))</f>
        <v>0</v>
      </c>
      <c r="G742" s="10">
        <f t="shared" ref="G742" si="836">ABS(MAX(D722:D731))</f>
        <v>0</v>
      </c>
      <c r="J742" s="24" t="str">
        <f t="shared" ref="J742" si="837">CONCATENATE(K741,1)</f>
        <v>101</v>
      </c>
      <c r="K742" s="6" t="e">
        <f t="array" ref="K742:S744">LINEST(B722:B731,C722:C731^{1,2,3,4,5,6,7,8},TRUE,TRUE)</f>
        <v>#VALUE!</v>
      </c>
      <c r="L742" s="6" t="e">
        <v>#VALUE!</v>
      </c>
      <c r="M742" s="6" t="e">
        <v>#VALUE!</v>
      </c>
      <c r="N742" s="6" t="e">
        <v>#VALUE!</v>
      </c>
      <c r="O742" s="6" t="e">
        <v>#VALUE!</v>
      </c>
      <c r="P742" s="6" t="e">
        <v>#VALUE!</v>
      </c>
      <c r="Q742" s="6" t="e">
        <v>#VALUE!</v>
      </c>
      <c r="R742" s="6" t="e">
        <v>#VALUE!</v>
      </c>
      <c r="S742" s="6" t="e">
        <v>#VALUE!</v>
      </c>
      <c r="T742" s="9"/>
      <c r="U742" s="1">
        <f t="shared" si="816"/>
        <v>17</v>
      </c>
      <c r="V742" s="1">
        <f t="shared" si="817"/>
        <v>237</v>
      </c>
    </row>
    <row r="743" spans="1:22" x14ac:dyDescent="0.3">
      <c r="A743" s="1">
        <f t="shared" si="756"/>
        <v>17238</v>
      </c>
      <c r="B743" s="12">
        <f t="shared" si="822"/>
        <v>0</v>
      </c>
      <c r="C743" s="13">
        <f t="shared" si="823"/>
        <v>0</v>
      </c>
      <c r="D743" s="10">
        <f t="shared" si="824"/>
        <v>0</v>
      </c>
      <c r="J743" s="24" t="str">
        <f t="shared" ref="J743" si="838">CONCATENATE(K741,2)</f>
        <v>102</v>
      </c>
      <c r="K743" s="6" t="e">
        <v>#VALUE!</v>
      </c>
      <c r="L743" s="6" t="e">
        <v>#VALUE!</v>
      </c>
      <c r="M743" s="6" t="e">
        <v>#VALUE!</v>
      </c>
      <c r="N743" s="6" t="e">
        <v>#VALUE!</v>
      </c>
      <c r="O743" s="6" t="e">
        <v>#VALUE!</v>
      </c>
      <c r="P743" s="6" t="e">
        <v>#VALUE!</v>
      </c>
      <c r="Q743" s="6" t="e">
        <v>#VALUE!</v>
      </c>
      <c r="R743" s="6" t="e">
        <v>#VALUE!</v>
      </c>
      <c r="S743" s="6" t="e">
        <v>#VALUE!</v>
      </c>
      <c r="T743" s="9"/>
      <c r="U743" s="1">
        <f t="shared" si="816"/>
        <v>17</v>
      </c>
      <c r="V743" s="1">
        <f t="shared" si="817"/>
        <v>238</v>
      </c>
    </row>
    <row r="744" spans="1:22" x14ac:dyDescent="0.3">
      <c r="A744" s="1">
        <f t="shared" si="756"/>
        <v>17239</v>
      </c>
      <c r="B744" s="12">
        <f t="shared" si="822"/>
        <v>0</v>
      </c>
      <c r="C744" s="13">
        <f t="shared" si="823"/>
        <v>0</v>
      </c>
      <c r="D744" s="10">
        <f t="shared" si="824"/>
        <v>0</v>
      </c>
      <c r="J744" s="24" t="str">
        <f t="shared" ref="J744" si="839">CONCATENATE(K741,3)</f>
        <v>103</v>
      </c>
      <c r="K744" s="6" t="e">
        <v>#VALUE!</v>
      </c>
      <c r="L744" s="6" t="e">
        <v>#VALUE!</v>
      </c>
      <c r="M744" s="6" t="e">
        <v>#VALUE!</v>
      </c>
      <c r="N744" s="6" t="e">
        <v>#VALUE!</v>
      </c>
      <c r="O744" s="6" t="e">
        <v>#VALUE!</v>
      </c>
      <c r="P744" s="6" t="e">
        <v>#VALUE!</v>
      </c>
      <c r="Q744" s="6" t="e">
        <v>#VALUE!</v>
      </c>
      <c r="R744" s="6" t="e">
        <v>#VALUE!</v>
      </c>
      <c r="S744" s="6" t="e">
        <v>#VALUE!</v>
      </c>
      <c r="T744" s="9"/>
      <c r="U744" s="1">
        <f t="shared" si="816"/>
        <v>17</v>
      </c>
      <c r="V744" s="1">
        <f t="shared" si="817"/>
        <v>239</v>
      </c>
    </row>
    <row r="745" spans="1:22" x14ac:dyDescent="0.3">
      <c r="A745" s="1">
        <f t="shared" si="756"/>
        <v>17240</v>
      </c>
      <c r="B745" s="12">
        <f t="shared" si="822"/>
        <v>0</v>
      </c>
      <c r="C745" s="13">
        <f t="shared" si="823"/>
        <v>0</v>
      </c>
      <c r="D745" s="10">
        <f t="shared" si="824"/>
        <v>0</v>
      </c>
      <c r="J745" s="9"/>
      <c r="K745" s="9"/>
      <c r="L745" s="9"/>
      <c r="M745" s="9"/>
      <c r="N745" s="9"/>
      <c r="O745" s="9"/>
      <c r="P745" s="9"/>
      <c r="Q745" s="9"/>
      <c r="R745" s="9"/>
      <c r="S745" s="9"/>
      <c r="T745" s="9"/>
      <c r="U745" s="1">
        <f t="shared" si="816"/>
        <v>17</v>
      </c>
      <c r="V745" s="1">
        <f t="shared" si="817"/>
        <v>240</v>
      </c>
    </row>
    <row r="746" spans="1:22" x14ac:dyDescent="0.3">
      <c r="A746" s="1">
        <f t="shared" si="756"/>
        <v>17241</v>
      </c>
      <c r="B746" s="12">
        <f t="shared" si="822"/>
        <v>0</v>
      </c>
      <c r="C746" s="13">
        <f t="shared" si="823"/>
        <v>0</v>
      </c>
      <c r="D746" s="10">
        <f t="shared" si="824"/>
        <v>0</v>
      </c>
      <c r="J746" s="9"/>
      <c r="K746" s="9"/>
      <c r="L746" s="9"/>
      <c r="M746" s="9"/>
      <c r="N746" s="9"/>
      <c r="O746" s="9"/>
      <c r="P746" s="9"/>
      <c r="Q746" s="9"/>
      <c r="R746" s="9"/>
      <c r="S746" s="9"/>
      <c r="T746" s="9"/>
      <c r="U746" s="1">
        <f t="shared" si="816"/>
        <v>17</v>
      </c>
      <c r="V746" s="1">
        <f t="shared" si="817"/>
        <v>241</v>
      </c>
    </row>
    <row r="747" spans="1:22" x14ac:dyDescent="0.3">
      <c r="A747" s="1">
        <f t="shared" si="756"/>
        <v>17242</v>
      </c>
      <c r="B747" s="12">
        <f t="shared" si="822"/>
        <v>0</v>
      </c>
      <c r="C747" s="13">
        <f t="shared" si="823"/>
        <v>0</v>
      </c>
      <c r="D747" s="10">
        <f t="shared" si="824"/>
        <v>0</v>
      </c>
      <c r="J747" s="9"/>
      <c r="K747" s="9"/>
      <c r="L747" s="9"/>
      <c r="M747" s="9"/>
      <c r="N747" s="9"/>
      <c r="O747" s="9"/>
      <c r="P747" s="9"/>
      <c r="Q747" s="9"/>
      <c r="R747" s="9"/>
      <c r="S747" s="9"/>
      <c r="T747" s="9"/>
      <c r="U747" s="1">
        <f t="shared" si="816"/>
        <v>17</v>
      </c>
      <c r="V747" s="1">
        <f t="shared" si="817"/>
        <v>242</v>
      </c>
    </row>
    <row r="748" spans="1:22" x14ac:dyDescent="0.3">
      <c r="A748" s="1">
        <f t="shared" si="756"/>
        <v>17243</v>
      </c>
      <c r="J748" s="9"/>
      <c r="K748" s="9"/>
      <c r="L748" s="9"/>
      <c r="M748" s="9"/>
      <c r="N748" s="9"/>
      <c r="O748" s="9"/>
      <c r="P748" s="9"/>
      <c r="Q748" s="9"/>
      <c r="R748" s="9"/>
      <c r="S748" s="9"/>
      <c r="T748" s="9"/>
      <c r="U748" s="1">
        <f t="shared" si="816"/>
        <v>17</v>
      </c>
      <c r="V748" s="1">
        <f t="shared" si="817"/>
        <v>243</v>
      </c>
    </row>
    <row r="749" spans="1:22" s="5" customFormat="1" x14ac:dyDescent="0.3"/>
    <row r="750" spans="1:22" x14ac:dyDescent="0.3">
      <c r="A750" s="1">
        <f t="shared" ref="A750:A792" si="840">ROUND(CONCATENATE(U750,V750),0)</f>
        <v>18201</v>
      </c>
      <c r="B750" s="96" t="s">
        <v>0</v>
      </c>
      <c r="C750" s="97"/>
      <c r="D750" s="110" t="s">
        <v>46</v>
      </c>
      <c r="E750" s="111"/>
      <c r="F750" s="111"/>
      <c r="G750" s="111"/>
      <c r="H750" s="112"/>
      <c r="J750" s="9"/>
      <c r="K750" s="9"/>
      <c r="L750" s="9"/>
      <c r="M750" s="9"/>
      <c r="N750" s="9"/>
      <c r="O750" s="9"/>
      <c r="P750" s="9"/>
      <c r="Q750" s="9"/>
      <c r="R750" s="9"/>
      <c r="S750" s="9"/>
      <c r="T750" s="9"/>
      <c r="U750" s="1">
        <f t="shared" ref="U750" si="841">U748+1</f>
        <v>18</v>
      </c>
      <c r="V750" s="1">
        <v>201</v>
      </c>
    </row>
    <row r="751" spans="1:22" x14ac:dyDescent="0.3">
      <c r="A751" s="1">
        <f t="shared" si="840"/>
        <v>18202</v>
      </c>
      <c r="B751" s="96" t="s">
        <v>1</v>
      </c>
      <c r="C751" s="97"/>
      <c r="D751" s="15">
        <v>20</v>
      </c>
      <c r="E751" s="16" t="s">
        <v>2</v>
      </c>
      <c r="F751" s="107"/>
      <c r="G751" s="108"/>
      <c r="H751" s="109"/>
      <c r="J751" s="9"/>
      <c r="K751" s="9"/>
      <c r="L751" s="9"/>
      <c r="M751" s="9"/>
      <c r="N751" s="9"/>
      <c r="O751" s="9"/>
      <c r="P751" s="9"/>
      <c r="Q751" s="9"/>
      <c r="R751" s="9"/>
      <c r="S751" s="9"/>
      <c r="T751" s="9"/>
      <c r="U751" s="1">
        <f t="shared" ref="U751" si="842">U750</f>
        <v>18</v>
      </c>
      <c r="V751" s="1">
        <f t="shared" ref="V751" si="843">V750+1</f>
        <v>202</v>
      </c>
    </row>
    <row r="752" spans="1:22" x14ac:dyDescent="0.3">
      <c r="A752" s="1">
        <f t="shared" si="840"/>
        <v>18203</v>
      </c>
      <c r="B752" s="96" t="s">
        <v>12</v>
      </c>
      <c r="C752" s="97"/>
      <c r="D752" s="110" t="s">
        <v>250</v>
      </c>
      <c r="E752" s="111"/>
      <c r="F752" s="111"/>
      <c r="G752" s="111"/>
      <c r="H752" s="112"/>
      <c r="K752" s="1" t="s">
        <v>3</v>
      </c>
      <c r="L752" s="1" t="s">
        <v>4</v>
      </c>
      <c r="M752" s="1" t="s">
        <v>5</v>
      </c>
      <c r="N752" s="1" t="s">
        <v>6</v>
      </c>
      <c r="O752" s="1" t="s">
        <v>7</v>
      </c>
      <c r="P752" s="1" t="s">
        <v>8</v>
      </c>
      <c r="Q752" s="1" t="s">
        <v>9</v>
      </c>
      <c r="R752" s="1" t="s">
        <v>10</v>
      </c>
      <c r="S752" s="1" t="s">
        <v>11</v>
      </c>
      <c r="T752" s="9"/>
      <c r="U752" s="1">
        <f t="shared" si="816"/>
        <v>18</v>
      </c>
      <c r="V752" s="1">
        <f t="shared" si="817"/>
        <v>203</v>
      </c>
    </row>
    <row r="753" spans="1:22" x14ac:dyDescent="0.3">
      <c r="A753" s="1">
        <f t="shared" si="840"/>
        <v>18204</v>
      </c>
      <c r="B753" s="96" t="s">
        <v>13</v>
      </c>
      <c r="C753" s="97"/>
      <c r="D753" s="98" t="s">
        <v>65</v>
      </c>
      <c r="E753" s="99"/>
      <c r="F753" s="99"/>
      <c r="G753" s="99"/>
      <c r="H753" s="100"/>
      <c r="J753" s="1">
        <f t="shared" ref="J753" si="844">COUNTA(B766:B775)</f>
        <v>6</v>
      </c>
      <c r="K753" s="1">
        <f t="shared" ref="K753" si="845">IF(L753-1&lt;2,0,L753-1)</f>
        <v>0</v>
      </c>
      <c r="L753" s="1">
        <f t="shared" ref="L753" si="846">IF(M753-1&lt;2,0,M753-1)</f>
        <v>0</v>
      </c>
      <c r="M753" s="1">
        <f t="shared" ref="M753" si="847">IF(N753-1&lt;2,0,N753-1)</f>
        <v>0</v>
      </c>
      <c r="N753" s="1">
        <f t="shared" ref="N753" si="848">IF(O753-1&lt;2,0,O753-1)</f>
        <v>0</v>
      </c>
      <c r="O753" s="1">
        <f t="shared" ref="O753" si="849">IF(P753-1&lt;2,0,P753-1)</f>
        <v>2</v>
      </c>
      <c r="P753" s="1">
        <f t="shared" ref="P753" si="850">IF(Q753-1&lt;2,0,Q753-1)</f>
        <v>3</v>
      </c>
      <c r="Q753" s="1">
        <f t="shared" ref="Q753" si="851">IF(R753-1&lt;2,0,R753-1)</f>
        <v>4</v>
      </c>
      <c r="R753" s="1">
        <f t="shared" ref="R753" si="852">IF(S753-1&lt;2,0,S753-1)</f>
        <v>5</v>
      </c>
      <c r="S753" s="1">
        <f t="shared" ref="S753" si="853">J753</f>
        <v>6</v>
      </c>
      <c r="T753" s="9"/>
      <c r="U753" s="1">
        <f t="shared" si="816"/>
        <v>18</v>
      </c>
      <c r="V753" s="1">
        <f t="shared" si="817"/>
        <v>204</v>
      </c>
    </row>
    <row r="754" spans="1:22" x14ac:dyDescent="0.3">
      <c r="A754" s="1">
        <f t="shared" si="840"/>
        <v>18205</v>
      </c>
      <c r="B754" s="96" t="s">
        <v>14</v>
      </c>
      <c r="C754" s="97"/>
      <c r="D754" s="110" t="s">
        <v>66</v>
      </c>
      <c r="E754" s="111"/>
      <c r="F754" s="111"/>
      <c r="G754" s="111"/>
      <c r="H754" s="112"/>
      <c r="J754" s="24" t="str">
        <f t="shared" ref="J754" si="854">CONCATENATE(J753,1)</f>
        <v>61</v>
      </c>
      <c r="K754" s="25">
        <f t="shared" ref="K754" si="855">IF(K753=0,0,VLOOKUP(J754,J758:S788,K753,FALSE))</f>
        <v>0</v>
      </c>
      <c r="L754" s="25">
        <f t="shared" ref="L754" si="856">IF(L753=0,0,VLOOKUP(J754,J758:S788,L753,FALSE))</f>
        <v>0</v>
      </c>
      <c r="M754" s="25">
        <f t="shared" ref="M754" si="857">IF(M753=0,0,VLOOKUP(J754,J758:S788,M753,FALSE))</f>
        <v>0</v>
      </c>
      <c r="N754" s="25">
        <f t="shared" ref="N754" si="858">IF(N753=0,0,VLOOKUP(J754,J758:S788,N753,FALSE))</f>
        <v>0</v>
      </c>
      <c r="O754" s="25">
        <f t="shared" ref="O754" si="859">IF(O753=0,0,VLOOKUP(J754,J758:S788,O753,FALSE))</f>
        <v>-2.8337796885863479E-7</v>
      </c>
      <c r="P754" s="25">
        <f t="shared" ref="P754" si="860">IF(P753=0,0,VLOOKUP(J754,J758:S788,P753,FALSE))</f>
        <v>4.5898195795382721E-5</v>
      </c>
      <c r="Q754" s="25">
        <f t="shared" ref="Q754" si="861">IF(Q753=0,0,VLOOKUP(J754,J758:S788,Q753,FALSE))</f>
        <v>-1.3065328712094019E-3</v>
      </c>
      <c r="R754" s="25">
        <f t="shared" ref="R754" si="862">IF(R753=0,0,VLOOKUP(J754,J758:S788,R753,FALSE))</f>
        <v>0.97479228674402874</v>
      </c>
      <c r="S754" s="25">
        <f t="shared" ref="S754" si="863">IF(S753=0,0,VLOOKUP(J754,J758:S788,S753,FALSE))</f>
        <v>0.63869411428818434</v>
      </c>
      <c r="T754" s="9"/>
      <c r="U754" s="1">
        <f t="shared" si="816"/>
        <v>18</v>
      </c>
      <c r="V754" s="1">
        <f t="shared" si="817"/>
        <v>205</v>
      </c>
    </row>
    <row r="755" spans="1:22" x14ac:dyDescent="0.3">
      <c r="A755" s="1">
        <f t="shared" si="840"/>
        <v>18206</v>
      </c>
      <c r="B755" s="96" t="s">
        <v>15</v>
      </c>
      <c r="C755" s="97"/>
      <c r="D755" s="110" t="s">
        <v>337</v>
      </c>
      <c r="E755" s="111"/>
      <c r="F755" s="111"/>
      <c r="G755" s="111"/>
      <c r="H755" s="112"/>
      <c r="J755" s="24" t="str">
        <f t="shared" ref="J755" si="864">CONCATENATE(J753,2)</f>
        <v>62</v>
      </c>
      <c r="K755" s="6">
        <f t="shared" ref="K755" si="865">IF(K753=0,0,VLOOKUP(J755,J758:S788,K753,FALSE))</f>
        <v>0</v>
      </c>
      <c r="L755" s="6">
        <f t="shared" ref="L755" si="866">IF(L753=0,0,VLOOKUP(J755,J758:S788,L753,FALSE))</f>
        <v>0</v>
      </c>
      <c r="M755" s="6">
        <f t="shared" ref="M755" si="867">IF(M753=0,0,VLOOKUP(J755,J758:S788,M753,FALSE))</f>
        <v>0</v>
      </c>
      <c r="N755" s="6">
        <f t="shared" ref="N755" si="868">IF(N753=0,0,VLOOKUP(J755,J758:S788,N753,FALSE))</f>
        <v>0</v>
      </c>
      <c r="O755" s="6">
        <f t="shared" ref="O755" si="869">IF(O753=0,0,VLOOKUP(J755,J758:S788,O753,FALSE))</f>
        <v>2.0961838867519757E-7</v>
      </c>
      <c r="P755" s="6">
        <f t="shared" ref="P755" si="870">IF(P753=0,0,VLOOKUP(J755,J758:S788,P753,FALSE))</f>
        <v>4.1925289108227812E-5</v>
      </c>
      <c r="Q755" s="6">
        <f t="shared" ref="Q755" si="871">IF(Q753=0,0,VLOOKUP(J755,J758:S788,Q753,FALSE))</f>
        <v>2.719699961756764E-3</v>
      </c>
      <c r="R755" s="6">
        <f t="shared" ref="R755" si="872">IF(R753=0,0,VLOOKUP(J755,J758:S788,R753,FALSE))</f>
        <v>6.2576121310293525E-2</v>
      </c>
      <c r="S755" s="6">
        <f t="shared" ref="S755" si="873">IF(S753=0,0,VLOOKUP(J755,J758:S788,S753,FALSE))</f>
        <v>0.3964378007507971</v>
      </c>
      <c r="T755" s="9"/>
      <c r="U755" s="1">
        <f t="shared" si="816"/>
        <v>18</v>
      </c>
      <c r="V755" s="1">
        <f t="shared" si="817"/>
        <v>206</v>
      </c>
    </row>
    <row r="756" spans="1:22" x14ac:dyDescent="0.3">
      <c r="A756" s="1">
        <f t="shared" si="840"/>
        <v>18207</v>
      </c>
      <c r="B756" s="96" t="s">
        <v>16</v>
      </c>
      <c r="C756" s="97"/>
      <c r="D756" s="113">
        <v>45989</v>
      </c>
      <c r="E756" s="114"/>
      <c r="F756" s="114"/>
      <c r="G756" s="114"/>
      <c r="H756" s="115"/>
      <c r="J756" s="24" t="str">
        <f t="shared" ref="J756" si="874">CONCATENATE(J753,3)</f>
        <v>63</v>
      </c>
      <c r="K756" s="6"/>
      <c r="L756" s="6"/>
      <c r="M756" s="6"/>
      <c r="N756" s="6" t="s">
        <v>43</v>
      </c>
      <c r="O756" s="25">
        <f t="shared" ref="O756" si="875">J753-2</f>
        <v>4</v>
      </c>
      <c r="P756" s="6" t="s">
        <v>44</v>
      </c>
      <c r="Q756" s="25">
        <f t="shared" ref="Q756" si="876">VLOOKUP(J756,J758:S788,3,FALSE)</f>
        <v>0.22177973826064212</v>
      </c>
      <c r="R756" s="6" t="s">
        <v>45</v>
      </c>
      <c r="S756" s="6">
        <f t="shared" ref="S756" si="877">VLOOKUP(J756,J758:S788,2,FALSE)</f>
        <v>0.9999924053551339</v>
      </c>
      <c r="T756" s="9"/>
      <c r="U756" s="1">
        <f t="shared" si="816"/>
        <v>18</v>
      </c>
      <c r="V756" s="1">
        <f t="shared" si="817"/>
        <v>207</v>
      </c>
    </row>
    <row r="757" spans="1:22" x14ac:dyDescent="0.3">
      <c r="A757" s="1">
        <f t="shared" si="840"/>
        <v>18208</v>
      </c>
      <c r="B757" s="96" t="s">
        <v>17</v>
      </c>
      <c r="C757" s="97"/>
      <c r="D757" s="116">
        <v>46170</v>
      </c>
      <c r="E757" s="117"/>
      <c r="F757" s="117"/>
      <c r="G757" s="117"/>
      <c r="H757" s="118"/>
      <c r="K757" s="1">
        <v>3</v>
      </c>
      <c r="L757" s="1">
        <v>3</v>
      </c>
      <c r="Q757" s="26"/>
      <c r="R757" s="26"/>
      <c r="S757" s="26"/>
      <c r="T757" s="9"/>
      <c r="U757" s="1">
        <f t="shared" si="816"/>
        <v>18</v>
      </c>
      <c r="V757" s="1">
        <f t="shared" si="817"/>
        <v>208</v>
      </c>
    </row>
    <row r="758" spans="1:22" x14ac:dyDescent="0.3">
      <c r="A758" s="1">
        <f t="shared" si="840"/>
        <v>18209</v>
      </c>
      <c r="B758" s="77" t="s">
        <v>19</v>
      </c>
      <c r="C758" s="78"/>
      <c r="D758" s="17">
        <v>0.01</v>
      </c>
      <c r="E758" s="79" t="s">
        <v>40</v>
      </c>
      <c r="F758" s="80"/>
      <c r="G758" s="81"/>
      <c r="H758" s="18" t="s">
        <v>72</v>
      </c>
      <c r="J758" s="24" t="str">
        <f t="shared" ref="J758" si="878">CONCATENATE(K757,1)</f>
        <v>31</v>
      </c>
      <c r="K758" s="6">
        <f t="array" ref="K758:L760">LINEST(B766:B768,C766:C768^{1},TRUE,TRUE)</f>
        <v>0.96475220493735603</v>
      </c>
      <c r="L758" s="6">
        <v>0.67526963494680459</v>
      </c>
      <c r="Q758" s="9"/>
      <c r="R758" s="9"/>
      <c r="S758" s="9"/>
      <c r="T758" s="9"/>
      <c r="U758" s="1">
        <f t="shared" si="816"/>
        <v>18</v>
      </c>
      <c r="V758" s="1">
        <f t="shared" si="817"/>
        <v>209</v>
      </c>
    </row>
    <row r="759" spans="1:22" x14ac:dyDescent="0.3">
      <c r="A759" s="1">
        <f t="shared" si="840"/>
        <v>18210</v>
      </c>
      <c r="B759" s="77" t="s">
        <v>41</v>
      </c>
      <c r="C759" s="78"/>
      <c r="D759" s="23">
        <f t="shared" ref="D759" si="879">MIN(B766:B775)</f>
        <v>5.01</v>
      </c>
      <c r="E759" s="20" t="s">
        <v>18</v>
      </c>
      <c r="F759" s="19">
        <f t="shared" ref="F759" si="880">MAX(B766:B775)</f>
        <v>97.96</v>
      </c>
      <c r="G759" s="21" t="str">
        <f t="shared" ref="G759" si="881">IF(H758="","",H758)</f>
        <v>%ur</v>
      </c>
      <c r="H759" s="22"/>
      <c r="J759" s="24" t="str">
        <f t="shared" ref="J759" si="882">CONCATENATE(K757,2)</f>
        <v>32</v>
      </c>
      <c r="K759" s="6">
        <v>5.8776002079550093E-3</v>
      </c>
      <c r="L759" s="6">
        <v>0.12445703362831075</v>
      </c>
      <c r="Q759" s="9"/>
      <c r="R759" s="9"/>
      <c r="S759" s="9"/>
      <c r="T759" s="9"/>
      <c r="U759" s="1">
        <f t="shared" si="816"/>
        <v>18</v>
      </c>
      <c r="V759" s="1">
        <f t="shared" si="817"/>
        <v>210</v>
      </c>
    </row>
    <row r="760" spans="1:22" x14ac:dyDescent="0.3">
      <c r="A760" s="1">
        <f t="shared" si="840"/>
        <v>18211</v>
      </c>
      <c r="J760" s="24" t="str">
        <f t="shared" ref="J760" si="883">CONCATENATE(K757,3)</f>
        <v>33</v>
      </c>
      <c r="K760" s="6">
        <v>0.99996288474869222</v>
      </c>
      <c r="L760" s="6">
        <v>0.10833213909496919</v>
      </c>
      <c r="Q760" s="9"/>
      <c r="R760" s="9"/>
      <c r="S760" s="9"/>
      <c r="T760" s="9"/>
      <c r="U760" s="1">
        <f t="shared" si="816"/>
        <v>18</v>
      </c>
      <c r="V760" s="1">
        <f t="shared" si="817"/>
        <v>211</v>
      </c>
    </row>
    <row r="761" spans="1:22" x14ac:dyDescent="0.3">
      <c r="A761" s="1">
        <f t="shared" si="840"/>
        <v>18212</v>
      </c>
      <c r="B761" s="82" t="s">
        <v>20</v>
      </c>
      <c r="C761" s="83"/>
      <c r="D761" s="83"/>
      <c r="E761" s="83"/>
      <c r="F761" s="84"/>
      <c r="G761" s="85" t="s">
        <v>31</v>
      </c>
      <c r="H761" s="86"/>
      <c r="K761" s="1">
        <v>4</v>
      </c>
      <c r="L761" s="1">
        <v>4</v>
      </c>
      <c r="M761" s="1">
        <v>4</v>
      </c>
      <c r="Q761" s="9"/>
      <c r="R761" s="9"/>
      <c r="S761" s="9"/>
      <c r="T761" s="9"/>
      <c r="U761" s="1">
        <f t="shared" si="816"/>
        <v>18</v>
      </c>
      <c r="V761" s="1">
        <f t="shared" si="817"/>
        <v>212</v>
      </c>
    </row>
    <row r="762" spans="1:22" x14ac:dyDescent="0.3">
      <c r="A762" s="1">
        <f t="shared" si="840"/>
        <v>18213</v>
      </c>
      <c r="B762" s="82" t="s">
        <v>30</v>
      </c>
      <c r="C762" s="83"/>
      <c r="D762" s="84"/>
      <c r="E762" s="82" t="str">
        <f t="shared" ref="E762" si="884">D755</f>
        <v>E0844/25</v>
      </c>
      <c r="F762" s="84"/>
      <c r="G762" s="6" t="s">
        <v>32</v>
      </c>
      <c r="H762" s="7" t="s">
        <v>318</v>
      </c>
      <c r="J762" s="24" t="str">
        <f t="shared" ref="J762" si="885">CONCATENATE(K761,1)</f>
        <v>41</v>
      </c>
      <c r="K762" s="6">
        <f t="array" ref="K762:M764">LINEST(B766:B769,C766:C769^{1,2},TRUE,TRUE)</f>
        <v>1.1288048452022142E-3</v>
      </c>
      <c r="L762" s="6">
        <v>0.92942320243496646</v>
      </c>
      <c r="M762" s="6">
        <v>0.82760782303817026</v>
      </c>
      <c r="Q762" s="9"/>
      <c r="R762" s="9"/>
      <c r="S762" s="9"/>
      <c r="T762" s="9"/>
      <c r="U762" s="1">
        <f t="shared" si="816"/>
        <v>18</v>
      </c>
      <c r="V762" s="1">
        <f t="shared" si="817"/>
        <v>213</v>
      </c>
    </row>
    <row r="763" spans="1:22" x14ac:dyDescent="0.3">
      <c r="A763" s="1">
        <f t="shared" si="840"/>
        <v>18214</v>
      </c>
      <c r="B763" s="2" t="s">
        <v>21</v>
      </c>
      <c r="C763" s="2" t="s">
        <v>22</v>
      </c>
      <c r="D763" s="2" t="s">
        <v>23</v>
      </c>
      <c r="E763" s="2"/>
      <c r="F763" s="2" t="s">
        <v>28</v>
      </c>
      <c r="G763" s="2" t="s">
        <v>21</v>
      </c>
      <c r="H763" s="2" t="s">
        <v>22</v>
      </c>
      <c r="J763" s="24" t="str">
        <f t="shared" ref="J763" si="886">CONCATENATE(K761,2)</f>
        <v>42</v>
      </c>
      <c r="K763" s="6">
        <v>5.5240949053832829E-4</v>
      </c>
      <c r="L763" s="6">
        <v>3.148065498085155E-2</v>
      </c>
      <c r="M763" s="6">
        <v>0.36661052373967035</v>
      </c>
      <c r="Q763" s="9"/>
      <c r="R763" s="9"/>
      <c r="S763" s="9"/>
      <c r="T763" s="9"/>
      <c r="U763" s="1">
        <f t="shared" si="816"/>
        <v>18</v>
      </c>
      <c r="V763" s="1">
        <f t="shared" si="817"/>
        <v>214</v>
      </c>
    </row>
    <row r="764" spans="1:22" x14ac:dyDescent="0.3">
      <c r="A764" s="1">
        <f t="shared" si="840"/>
        <v>18215</v>
      </c>
      <c r="B764" s="2" t="s">
        <v>24</v>
      </c>
      <c r="C764" s="2" t="s">
        <v>25</v>
      </c>
      <c r="D764" s="2" t="s">
        <v>26</v>
      </c>
      <c r="E764" s="2" t="s">
        <v>27</v>
      </c>
      <c r="F764" s="2" t="s">
        <v>29</v>
      </c>
      <c r="G764" s="2" t="s">
        <v>24</v>
      </c>
      <c r="H764" s="2" t="s">
        <v>25</v>
      </c>
      <c r="J764" s="24" t="str">
        <f t="shared" ref="J764" si="887">CONCATENATE(K761,3)</f>
        <v>43</v>
      </c>
      <c r="K764" s="6">
        <v>0.99993349739772908</v>
      </c>
      <c r="L764" s="6">
        <v>0.26657963301302878</v>
      </c>
      <c r="M764" s="6" t="e">
        <v>#N/A</v>
      </c>
      <c r="Q764" s="9"/>
      <c r="R764" s="9"/>
      <c r="S764" s="9"/>
      <c r="T764" s="9"/>
      <c r="U764" s="1">
        <f t="shared" si="816"/>
        <v>18</v>
      </c>
      <c r="V764" s="1">
        <f t="shared" si="817"/>
        <v>215</v>
      </c>
    </row>
    <row r="765" spans="1:22" x14ac:dyDescent="0.3">
      <c r="A765" s="1">
        <f t="shared" si="840"/>
        <v>18216</v>
      </c>
      <c r="B765" s="3" t="str">
        <f t="shared" ref="B765" si="888">H758</f>
        <v>%ur</v>
      </c>
      <c r="C765" s="3" t="str">
        <f t="shared" ref="C765:D765" si="889">B765</f>
        <v>%ur</v>
      </c>
      <c r="D765" s="3" t="str">
        <f t="shared" si="889"/>
        <v>%ur</v>
      </c>
      <c r="E765" s="3"/>
      <c r="F765" s="3"/>
      <c r="G765" s="3" t="str">
        <f t="shared" ref="G765" si="890">D765</f>
        <v>%ur</v>
      </c>
      <c r="H765" s="3" t="str">
        <f t="shared" ref="H765" si="891">G765</f>
        <v>%ur</v>
      </c>
      <c r="K765" s="1">
        <v>5</v>
      </c>
      <c r="L765" s="1">
        <v>5</v>
      </c>
      <c r="M765" s="1">
        <v>5</v>
      </c>
      <c r="N765" s="1">
        <v>5</v>
      </c>
      <c r="Q765" s="9"/>
      <c r="R765" s="9"/>
      <c r="S765" s="9"/>
      <c r="T765" s="9"/>
      <c r="U765" s="1">
        <f t="shared" si="816"/>
        <v>18</v>
      </c>
      <c r="V765" s="1">
        <f t="shared" si="817"/>
        <v>216</v>
      </c>
    </row>
    <row r="766" spans="1:22" x14ac:dyDescent="0.3">
      <c r="A766" s="1">
        <f t="shared" si="840"/>
        <v>18217</v>
      </c>
      <c r="B766" s="4">
        <v>5.01</v>
      </c>
      <c r="C766" s="41">
        <v>4.53</v>
      </c>
      <c r="D766" s="4">
        <v>0.25</v>
      </c>
      <c r="E766" s="4">
        <v>2.0299999999999998</v>
      </c>
      <c r="F766" s="14">
        <v>87</v>
      </c>
      <c r="G766" s="4">
        <v>5</v>
      </c>
      <c r="H766" s="41">
        <v>5.7</v>
      </c>
      <c r="J766" s="24" t="str">
        <f t="shared" ref="J766" si="892">CONCATENATE(K765,1)</f>
        <v>51</v>
      </c>
      <c r="K766" s="6">
        <f t="array" ref="K766:N768">LINEST(B766:B770,C766:C770^{1,2,3},TRUE,TRUE)</f>
        <v>1.6070080699447922E-7</v>
      </c>
      <c r="L766" s="6">
        <v>1.0331104825435969E-3</v>
      </c>
      <c r="M766" s="6">
        <v>0.93384538976510023</v>
      </c>
      <c r="N766" s="6">
        <v>0.7948689993460758</v>
      </c>
      <c r="Q766" s="9"/>
      <c r="R766" s="9"/>
      <c r="S766" s="9"/>
      <c r="T766" s="9"/>
      <c r="U766" s="1">
        <f t="shared" si="816"/>
        <v>18</v>
      </c>
      <c r="V766" s="1">
        <f t="shared" si="817"/>
        <v>217</v>
      </c>
    </row>
    <row r="767" spans="1:22" x14ac:dyDescent="0.3">
      <c r="A767" s="1">
        <f t="shared" si="840"/>
        <v>18218</v>
      </c>
      <c r="B767" s="4">
        <v>20.010000000000002</v>
      </c>
      <c r="C767" s="41">
        <v>19.95</v>
      </c>
      <c r="D767" s="4">
        <v>0.27</v>
      </c>
      <c r="E767" s="4">
        <v>2.04</v>
      </c>
      <c r="F767" s="14">
        <v>65</v>
      </c>
      <c r="G767" s="4">
        <v>20</v>
      </c>
      <c r="H767" s="41">
        <v>20.56</v>
      </c>
      <c r="J767" s="24" t="str">
        <f t="shared" ref="J767" si="893">CONCATENATE(K765,2)</f>
        <v>52</v>
      </c>
      <c r="K767" s="6">
        <v>1.2443582641793318E-5</v>
      </c>
      <c r="L767" s="6">
        <v>1.5247202399185768E-3</v>
      </c>
      <c r="M767" s="6">
        <v>4.9828794345713766E-2</v>
      </c>
      <c r="N767" s="6">
        <v>0.41885370607551092</v>
      </c>
      <c r="T767" s="9"/>
      <c r="U767" s="1">
        <f t="shared" si="816"/>
        <v>18</v>
      </c>
      <c r="V767" s="1">
        <f t="shared" si="817"/>
        <v>218</v>
      </c>
    </row>
    <row r="768" spans="1:22" x14ac:dyDescent="0.3">
      <c r="A768" s="1">
        <f t="shared" si="840"/>
        <v>18219</v>
      </c>
      <c r="B768" s="4">
        <v>29.99</v>
      </c>
      <c r="C768" s="41">
        <v>30.44</v>
      </c>
      <c r="D768" s="4">
        <v>0.35</v>
      </c>
      <c r="E768" s="4">
        <v>2.04</v>
      </c>
      <c r="F768" s="14">
        <v>67</v>
      </c>
      <c r="G768" s="4">
        <v>29.98</v>
      </c>
      <c r="H768" s="41">
        <v>30.67</v>
      </c>
      <c r="J768" s="24" t="str">
        <f t="shared" ref="J768" si="894">CONCATENATE(K765,3)</f>
        <v>53</v>
      </c>
      <c r="K768" s="6">
        <v>0.99997851332216658</v>
      </c>
      <c r="L768" s="6">
        <v>0.26950138074349184</v>
      </c>
      <c r="M768" s="6" t="e">
        <v>#N/A</v>
      </c>
      <c r="N768" s="6" t="e">
        <v>#N/A</v>
      </c>
      <c r="T768" s="9"/>
      <c r="U768" s="1">
        <f t="shared" si="816"/>
        <v>18</v>
      </c>
      <c r="V768" s="1">
        <f t="shared" si="817"/>
        <v>219</v>
      </c>
    </row>
    <row r="769" spans="1:22" x14ac:dyDescent="0.3">
      <c r="A769" s="1">
        <f t="shared" si="840"/>
        <v>18220</v>
      </c>
      <c r="B769" s="4">
        <v>50.01</v>
      </c>
      <c r="C769" s="41">
        <v>49.86</v>
      </c>
      <c r="D769" s="4">
        <v>0.55000000000000004</v>
      </c>
      <c r="E769" s="4">
        <v>2.04</v>
      </c>
      <c r="F769" s="14">
        <v>67</v>
      </c>
      <c r="G769" s="4">
        <v>50</v>
      </c>
      <c r="H769" s="41">
        <v>50.47</v>
      </c>
      <c r="K769" s="1">
        <v>6</v>
      </c>
      <c r="L769" s="1">
        <v>6</v>
      </c>
      <c r="M769" s="1">
        <v>6</v>
      </c>
      <c r="N769" s="1">
        <v>6</v>
      </c>
      <c r="O769" s="1">
        <v>6</v>
      </c>
      <c r="T769" s="9"/>
      <c r="U769" s="1">
        <f t="shared" si="816"/>
        <v>18</v>
      </c>
      <c r="V769" s="1">
        <f t="shared" si="817"/>
        <v>220</v>
      </c>
    </row>
    <row r="770" spans="1:22" x14ac:dyDescent="0.3">
      <c r="A770" s="1">
        <f t="shared" si="840"/>
        <v>18221</v>
      </c>
      <c r="B770" s="4">
        <v>80.010000000000005</v>
      </c>
      <c r="C770" s="41">
        <v>78.02</v>
      </c>
      <c r="D770" s="4">
        <v>0.83</v>
      </c>
      <c r="E770" s="4">
        <v>2.04</v>
      </c>
      <c r="F770" s="14">
        <v>68</v>
      </c>
      <c r="G770" s="4">
        <v>79.989999999999995</v>
      </c>
      <c r="H770" s="41">
        <v>80</v>
      </c>
      <c r="J770" s="24" t="str">
        <f t="shared" ref="J770" si="895">CONCATENATE(K769,1)</f>
        <v>61</v>
      </c>
      <c r="K770" s="6">
        <f t="array" ref="K770:O772">LINEST(B766:B771,C766:C771^{1,2,3,4},TRUE,TRUE)</f>
        <v>-2.8337796885863479E-7</v>
      </c>
      <c r="L770" s="6">
        <v>4.5898195795382721E-5</v>
      </c>
      <c r="M770" s="6">
        <v>-1.3065328712094019E-3</v>
      </c>
      <c r="N770" s="6">
        <v>0.97479228674402874</v>
      </c>
      <c r="O770" s="6">
        <v>0.63869411428818434</v>
      </c>
      <c r="T770" s="9"/>
      <c r="U770" s="1">
        <f t="shared" si="816"/>
        <v>18</v>
      </c>
      <c r="V770" s="1">
        <f t="shared" si="817"/>
        <v>221</v>
      </c>
    </row>
    <row r="771" spans="1:22" x14ac:dyDescent="0.3">
      <c r="A771" s="1">
        <f t="shared" si="840"/>
        <v>18222</v>
      </c>
      <c r="B771" s="4">
        <v>97.96</v>
      </c>
      <c r="C771" s="41">
        <v>95.23</v>
      </c>
      <c r="D771" s="4">
        <v>0.99</v>
      </c>
      <c r="E771" s="4">
        <v>2.04</v>
      </c>
      <c r="F771" s="14">
        <v>68</v>
      </c>
      <c r="G771" s="4">
        <v>98</v>
      </c>
      <c r="H771" s="41">
        <v>97.8</v>
      </c>
      <c r="J771" s="24" t="str">
        <f t="shared" ref="J771" si="896">CONCATENATE(K769,2)</f>
        <v>62</v>
      </c>
      <c r="K771" s="6">
        <v>2.0961838867519757E-7</v>
      </c>
      <c r="L771" s="6">
        <v>4.1925289108227812E-5</v>
      </c>
      <c r="M771" s="6">
        <v>2.719699961756764E-3</v>
      </c>
      <c r="N771" s="6">
        <v>6.2576121310293525E-2</v>
      </c>
      <c r="O771" s="6">
        <v>0.3964378007507971</v>
      </c>
      <c r="T771" s="9"/>
      <c r="U771" s="1">
        <f t="shared" si="816"/>
        <v>18</v>
      </c>
      <c r="V771" s="1">
        <f t="shared" si="817"/>
        <v>222</v>
      </c>
    </row>
    <row r="772" spans="1:22" x14ac:dyDescent="0.3">
      <c r="A772" s="1">
        <f t="shared" si="840"/>
        <v>18223</v>
      </c>
      <c r="B772" s="4"/>
      <c r="C772" s="4"/>
      <c r="D772" s="4"/>
      <c r="E772" s="4"/>
      <c r="F772" s="14"/>
      <c r="G772" s="8"/>
      <c r="H772" s="7"/>
      <c r="J772" s="24" t="str">
        <f t="shared" ref="J772" si="897">CONCATENATE(K769,3)</f>
        <v>63</v>
      </c>
      <c r="K772" s="6">
        <v>0.9999924053551339</v>
      </c>
      <c r="L772" s="6">
        <v>0.22177973826064212</v>
      </c>
      <c r="M772" s="6" t="e">
        <v>#N/A</v>
      </c>
      <c r="N772" s="6" t="e">
        <v>#N/A</v>
      </c>
      <c r="O772" s="6" t="e">
        <v>#N/A</v>
      </c>
      <c r="T772" s="9"/>
      <c r="U772" s="1">
        <f t="shared" si="816"/>
        <v>18</v>
      </c>
      <c r="V772" s="1">
        <f t="shared" si="817"/>
        <v>223</v>
      </c>
    </row>
    <row r="773" spans="1:22" x14ac:dyDescent="0.3">
      <c r="A773" s="1">
        <f t="shared" si="840"/>
        <v>18224</v>
      </c>
      <c r="B773" s="4"/>
      <c r="C773" s="4"/>
      <c r="D773" s="4"/>
      <c r="E773" s="4"/>
      <c r="F773" s="14"/>
      <c r="G773" s="8"/>
      <c r="H773" s="7"/>
      <c r="K773" s="1">
        <v>7</v>
      </c>
      <c r="L773" s="1">
        <v>7</v>
      </c>
      <c r="M773" s="1">
        <v>7</v>
      </c>
      <c r="N773" s="1">
        <v>7</v>
      </c>
      <c r="O773" s="1">
        <v>7</v>
      </c>
      <c r="P773" s="1">
        <v>7</v>
      </c>
      <c r="T773" s="9"/>
      <c r="U773" s="1">
        <f t="shared" si="816"/>
        <v>18</v>
      </c>
      <c r="V773" s="1">
        <f t="shared" si="817"/>
        <v>224</v>
      </c>
    </row>
    <row r="774" spans="1:22" x14ac:dyDescent="0.3">
      <c r="A774" s="1">
        <f t="shared" si="840"/>
        <v>18225</v>
      </c>
      <c r="B774" s="4"/>
      <c r="C774" s="4"/>
      <c r="D774" s="4"/>
      <c r="E774" s="4"/>
      <c r="F774" s="14"/>
      <c r="G774" s="8"/>
      <c r="H774" s="7"/>
      <c r="J774" s="24" t="str">
        <f t="shared" ref="J774" si="898">CONCATENATE(K773,1)</f>
        <v>71</v>
      </c>
      <c r="K774" s="6" t="e">
        <f t="array" ref="K774:P776">LINEST(B766:B772,C766:C772^{1,2,3,4,5},TRUE,TRUE)</f>
        <v>#VALUE!</v>
      </c>
      <c r="L774" s="6" t="e">
        <v>#VALUE!</v>
      </c>
      <c r="M774" s="6" t="e">
        <v>#VALUE!</v>
      </c>
      <c r="N774" s="6" t="e">
        <v>#VALUE!</v>
      </c>
      <c r="O774" s="6" t="e">
        <v>#VALUE!</v>
      </c>
      <c r="P774" s="6" t="e">
        <v>#VALUE!</v>
      </c>
      <c r="T774" s="9"/>
      <c r="U774" s="1">
        <f t="shared" si="816"/>
        <v>18</v>
      </c>
      <c r="V774" s="1">
        <f t="shared" si="817"/>
        <v>225</v>
      </c>
    </row>
    <row r="775" spans="1:22" x14ac:dyDescent="0.3">
      <c r="A775" s="1">
        <f t="shared" si="840"/>
        <v>18226</v>
      </c>
      <c r="B775" s="4"/>
      <c r="C775" s="4"/>
      <c r="D775" s="4"/>
      <c r="E775" s="4"/>
      <c r="F775" s="14"/>
      <c r="G775" s="8"/>
      <c r="H775" s="7"/>
      <c r="J775" s="24" t="str">
        <f t="shared" ref="J775" si="899">CONCATENATE(K773,2)</f>
        <v>72</v>
      </c>
      <c r="K775" s="6" t="e">
        <v>#VALUE!</v>
      </c>
      <c r="L775" s="6" t="e">
        <v>#VALUE!</v>
      </c>
      <c r="M775" s="6" t="e">
        <v>#VALUE!</v>
      </c>
      <c r="N775" s="6" t="e">
        <v>#VALUE!</v>
      </c>
      <c r="O775" s="6" t="e">
        <v>#VALUE!</v>
      </c>
      <c r="P775" s="6" t="e">
        <v>#VALUE!</v>
      </c>
      <c r="T775" s="9"/>
      <c r="U775" s="1">
        <f t="shared" si="816"/>
        <v>18</v>
      </c>
      <c r="V775" s="1">
        <f t="shared" si="817"/>
        <v>226</v>
      </c>
    </row>
    <row r="776" spans="1:22" x14ac:dyDescent="0.3">
      <c r="A776" s="1">
        <f t="shared" si="840"/>
        <v>18227</v>
      </c>
      <c r="B776" s="9"/>
      <c r="C776" s="9"/>
      <c r="D776" s="9"/>
      <c r="E776" s="9"/>
      <c r="F776" s="9"/>
      <c r="G776" s="9"/>
      <c r="H776" s="9"/>
      <c r="J776" s="24" t="str">
        <f t="shared" ref="J776" si="900">CONCATENATE(K773,3)</f>
        <v>73</v>
      </c>
      <c r="K776" s="6" t="e">
        <v>#VALUE!</v>
      </c>
      <c r="L776" s="6" t="e">
        <v>#VALUE!</v>
      </c>
      <c r="M776" s="6" t="e">
        <v>#VALUE!</v>
      </c>
      <c r="N776" s="6" t="e">
        <v>#VALUE!</v>
      </c>
      <c r="O776" s="6" t="e">
        <v>#VALUE!</v>
      </c>
      <c r="P776" s="6" t="e">
        <v>#VALUE!</v>
      </c>
      <c r="T776" s="9"/>
      <c r="U776" s="1">
        <f t="shared" si="816"/>
        <v>18</v>
      </c>
      <c r="V776" s="1">
        <f t="shared" si="817"/>
        <v>227</v>
      </c>
    </row>
    <row r="777" spans="1:22" x14ac:dyDescent="0.3">
      <c r="A777" s="1">
        <f t="shared" si="840"/>
        <v>18228</v>
      </c>
      <c r="B777" s="87" t="s">
        <v>33</v>
      </c>
      <c r="C777" s="88"/>
      <c r="D777" s="88"/>
      <c r="E777" s="88"/>
      <c r="F777" s="88"/>
      <c r="G777" s="88"/>
      <c r="H777" s="89"/>
      <c r="K777" s="1">
        <v>8</v>
      </c>
      <c r="L777" s="1">
        <v>8</v>
      </c>
      <c r="M777" s="1">
        <v>8</v>
      </c>
      <c r="N777" s="1">
        <v>8</v>
      </c>
      <c r="O777" s="1">
        <v>8</v>
      </c>
      <c r="P777" s="1">
        <v>8</v>
      </c>
      <c r="Q777" s="1">
        <v>8</v>
      </c>
      <c r="T777" s="9"/>
      <c r="U777" s="1">
        <f t="shared" si="816"/>
        <v>18</v>
      </c>
      <c r="V777" s="1">
        <f t="shared" si="817"/>
        <v>228</v>
      </c>
    </row>
    <row r="778" spans="1:22" x14ac:dyDescent="0.3">
      <c r="A778" s="1">
        <f t="shared" si="840"/>
        <v>18229</v>
      </c>
      <c r="B778" s="90"/>
      <c r="C778" s="91"/>
      <c r="D778" s="91"/>
      <c r="E778" s="91"/>
      <c r="F778" s="91"/>
      <c r="G778" s="91"/>
      <c r="H778" s="92"/>
      <c r="J778" s="24" t="str">
        <f t="shared" ref="J778" si="901">CONCATENATE(K777,1)</f>
        <v>81</v>
      </c>
      <c r="K778" s="6" t="e">
        <f t="array" ref="K778:Q780">LINEST(B766:B773,C766:C773^{1,2,3,4,5,6},TRUE,TRUE)</f>
        <v>#VALUE!</v>
      </c>
      <c r="L778" s="6" t="e">
        <v>#VALUE!</v>
      </c>
      <c r="M778" s="6" t="e">
        <v>#VALUE!</v>
      </c>
      <c r="N778" s="6" t="e">
        <v>#VALUE!</v>
      </c>
      <c r="O778" s="6" t="e">
        <v>#VALUE!</v>
      </c>
      <c r="P778" s="6" t="e">
        <v>#VALUE!</v>
      </c>
      <c r="Q778" s="6" t="e">
        <v>#VALUE!</v>
      </c>
      <c r="T778" s="9"/>
      <c r="U778" s="1">
        <f t="shared" si="816"/>
        <v>18</v>
      </c>
      <c r="V778" s="1">
        <f t="shared" si="817"/>
        <v>229</v>
      </c>
    </row>
    <row r="779" spans="1:22" x14ac:dyDescent="0.3">
      <c r="A779" s="1">
        <f t="shared" si="840"/>
        <v>18230</v>
      </c>
      <c r="B779" s="93"/>
      <c r="C779" s="94"/>
      <c r="D779" s="94"/>
      <c r="E779" s="94"/>
      <c r="F779" s="94"/>
      <c r="G779" s="94"/>
      <c r="H779" s="95"/>
      <c r="J779" s="24" t="str">
        <f t="shared" ref="J779" si="902">CONCATENATE(K777,2)</f>
        <v>82</v>
      </c>
      <c r="K779" s="6" t="e">
        <v>#VALUE!</v>
      </c>
      <c r="L779" s="6" t="e">
        <v>#VALUE!</v>
      </c>
      <c r="M779" s="6" t="e">
        <v>#VALUE!</v>
      </c>
      <c r="N779" s="6" t="e">
        <v>#VALUE!</v>
      </c>
      <c r="O779" s="6" t="e">
        <v>#VALUE!</v>
      </c>
      <c r="P779" s="6" t="e">
        <v>#VALUE!</v>
      </c>
      <c r="Q779" s="6" t="e">
        <v>#VALUE!</v>
      </c>
      <c r="T779" s="9"/>
      <c r="U779" s="1">
        <f t="shared" si="816"/>
        <v>18</v>
      </c>
      <c r="V779" s="1">
        <f t="shared" si="817"/>
        <v>230</v>
      </c>
    </row>
    <row r="780" spans="1:22" x14ac:dyDescent="0.3">
      <c r="A780" s="1">
        <f t="shared" si="840"/>
        <v>18231</v>
      </c>
      <c r="J780" s="24" t="str">
        <f t="shared" ref="J780" si="903">CONCATENATE(K777,3)</f>
        <v>83</v>
      </c>
      <c r="K780" s="6" t="e">
        <v>#VALUE!</v>
      </c>
      <c r="L780" s="6" t="e">
        <v>#VALUE!</v>
      </c>
      <c r="M780" s="6" t="e">
        <v>#VALUE!</v>
      </c>
      <c r="N780" s="6" t="e">
        <v>#VALUE!</v>
      </c>
      <c r="O780" s="6" t="e">
        <v>#VALUE!</v>
      </c>
      <c r="P780" s="6" t="e">
        <v>#VALUE!</v>
      </c>
      <c r="Q780" s="6" t="e">
        <v>#VALUE!</v>
      </c>
      <c r="T780" s="9"/>
      <c r="U780" s="1">
        <f t="shared" si="816"/>
        <v>18</v>
      </c>
      <c r="V780" s="1">
        <f t="shared" si="817"/>
        <v>231</v>
      </c>
    </row>
    <row r="781" spans="1:22" ht="15" customHeight="1" x14ac:dyDescent="0.3">
      <c r="A781" s="1">
        <f t="shared" si="840"/>
        <v>18232</v>
      </c>
      <c r="B781" s="10" t="s">
        <v>34</v>
      </c>
      <c r="C781" s="10" t="s">
        <v>35</v>
      </c>
      <c r="D781" s="10" t="s">
        <v>36</v>
      </c>
      <c r="E781" s="74" t="s">
        <v>37</v>
      </c>
      <c r="F781" s="75"/>
      <c r="G781" s="76"/>
      <c r="K781" s="1">
        <v>9</v>
      </c>
      <c r="L781" s="1">
        <v>9</v>
      </c>
      <c r="M781" s="1">
        <v>9</v>
      </c>
      <c r="N781" s="1">
        <v>9</v>
      </c>
      <c r="O781" s="1">
        <v>9</v>
      </c>
      <c r="P781" s="1">
        <v>9</v>
      </c>
      <c r="Q781" s="1">
        <v>9</v>
      </c>
      <c r="R781" s="1">
        <v>9</v>
      </c>
      <c r="T781" s="9"/>
      <c r="U781" s="1">
        <f t="shared" si="816"/>
        <v>18</v>
      </c>
      <c r="V781" s="1">
        <f t="shared" si="817"/>
        <v>232</v>
      </c>
    </row>
    <row r="782" spans="1:22" x14ac:dyDescent="0.3">
      <c r="A782" s="1">
        <f t="shared" si="840"/>
        <v>18233</v>
      </c>
      <c r="B782" s="12">
        <f t="shared" ref="B782:B791" si="904">C766-B766</f>
        <v>-0.47999999999999954</v>
      </c>
      <c r="C782" s="13">
        <f t="shared" ref="C782:C791" si="905">H766-G766</f>
        <v>0.70000000000000018</v>
      </c>
      <c r="D782" s="10">
        <f t="shared" ref="D782:D791" si="906">C782-B782</f>
        <v>1.1799999999999997</v>
      </c>
      <c r="E782" s="11">
        <f t="shared" ref="E782" si="907">IF(D755="","",MAX(F782,G782))</f>
        <v>2.5299999999999869</v>
      </c>
      <c r="F782" s="10">
        <f t="shared" ref="F782" si="908">ABS(MIN(D782:D791))</f>
        <v>0</v>
      </c>
      <c r="G782" s="10">
        <f t="shared" ref="G782" si="909">ABS(MAX(D782:D791))</f>
        <v>2.5299999999999869</v>
      </c>
      <c r="J782" s="24" t="str">
        <f t="shared" ref="J782" si="910">CONCATENATE(K781,1)</f>
        <v>91</v>
      </c>
      <c r="K782" s="6" t="e">
        <f t="array" ref="K782:R784">LINEST(B766:B774,C766:C774^{1,2,3,4,5,6,7},TRUE,TRUE)</f>
        <v>#VALUE!</v>
      </c>
      <c r="L782" s="6" t="e">
        <v>#VALUE!</v>
      </c>
      <c r="M782" s="6" t="e">
        <v>#VALUE!</v>
      </c>
      <c r="N782" s="6" t="e">
        <v>#VALUE!</v>
      </c>
      <c r="O782" s="6" t="e">
        <v>#VALUE!</v>
      </c>
      <c r="P782" s="6" t="e">
        <v>#VALUE!</v>
      </c>
      <c r="Q782" s="6" t="e">
        <v>#VALUE!</v>
      </c>
      <c r="R782" s="6" t="e">
        <v>#VALUE!</v>
      </c>
      <c r="T782" s="9"/>
      <c r="U782" s="1">
        <f t="shared" si="816"/>
        <v>18</v>
      </c>
      <c r="V782" s="1">
        <f t="shared" si="817"/>
        <v>233</v>
      </c>
    </row>
    <row r="783" spans="1:22" x14ac:dyDescent="0.3">
      <c r="A783" s="1">
        <f t="shared" si="840"/>
        <v>18234</v>
      </c>
      <c r="B783" s="12">
        <f t="shared" si="904"/>
        <v>-6.0000000000002274E-2</v>
      </c>
      <c r="C783" s="13">
        <f t="shared" si="905"/>
        <v>0.55999999999999872</v>
      </c>
      <c r="D783" s="10">
        <f t="shared" si="906"/>
        <v>0.62000000000000099</v>
      </c>
      <c r="E783" s="74" t="s">
        <v>38</v>
      </c>
      <c r="F783" s="75"/>
      <c r="G783" s="76"/>
      <c r="J783" s="24" t="str">
        <f t="shared" ref="J783" si="911">CONCATENATE(K781,2)</f>
        <v>92</v>
      </c>
      <c r="K783" s="6" t="e">
        <v>#VALUE!</v>
      </c>
      <c r="L783" s="6" t="e">
        <v>#VALUE!</v>
      </c>
      <c r="M783" s="6" t="e">
        <v>#VALUE!</v>
      </c>
      <c r="N783" s="6" t="e">
        <v>#VALUE!</v>
      </c>
      <c r="O783" s="6" t="e">
        <v>#VALUE!</v>
      </c>
      <c r="P783" s="6" t="e">
        <v>#VALUE!</v>
      </c>
      <c r="Q783" s="6" t="e">
        <v>#VALUE!</v>
      </c>
      <c r="R783" s="6" t="e">
        <v>#VALUE!</v>
      </c>
      <c r="T783" s="9"/>
      <c r="U783" s="1">
        <f t="shared" si="816"/>
        <v>18</v>
      </c>
      <c r="V783" s="1">
        <f t="shared" si="817"/>
        <v>234</v>
      </c>
    </row>
    <row r="784" spans="1:22" x14ac:dyDescent="0.3">
      <c r="A784" s="1">
        <f t="shared" si="840"/>
        <v>18235</v>
      </c>
      <c r="B784" s="12">
        <f t="shared" si="904"/>
        <v>0.45000000000000284</v>
      </c>
      <c r="C784" s="13">
        <f t="shared" si="905"/>
        <v>0.69000000000000128</v>
      </c>
      <c r="D784" s="10">
        <f t="shared" si="906"/>
        <v>0.23999999999999844</v>
      </c>
      <c r="E784" s="11">
        <f t="shared" ref="E784" si="912">IF(D757="","",MAX(F784,G784))</f>
        <v>2.7299999999999898</v>
      </c>
      <c r="F784" s="10">
        <f t="shared" ref="F784" si="913">ABS(MIN(B782:B791))</f>
        <v>2.7299999999999898</v>
      </c>
      <c r="G784" s="10">
        <f t="shared" ref="G784" si="914">ABS(MAX(B782:B791))</f>
        <v>0.45000000000000284</v>
      </c>
      <c r="J784" s="24" t="str">
        <f t="shared" ref="J784" si="915">CONCATENATE(K781,3)</f>
        <v>93</v>
      </c>
      <c r="K784" s="6" t="e">
        <v>#VALUE!</v>
      </c>
      <c r="L784" s="6" t="e">
        <v>#VALUE!</v>
      </c>
      <c r="M784" s="6" t="e">
        <v>#VALUE!</v>
      </c>
      <c r="N784" s="6" t="e">
        <v>#VALUE!</v>
      </c>
      <c r="O784" s="6" t="e">
        <v>#VALUE!</v>
      </c>
      <c r="P784" s="6" t="e">
        <v>#VALUE!</v>
      </c>
      <c r="Q784" s="6" t="e">
        <v>#VALUE!</v>
      </c>
      <c r="R784" s="6" t="e">
        <v>#VALUE!</v>
      </c>
      <c r="T784" s="9"/>
      <c r="U784" s="1">
        <f t="shared" si="816"/>
        <v>18</v>
      </c>
      <c r="V784" s="1">
        <f t="shared" si="817"/>
        <v>235</v>
      </c>
    </row>
    <row r="785" spans="1:22" x14ac:dyDescent="0.3">
      <c r="A785" s="1">
        <f t="shared" si="840"/>
        <v>18236</v>
      </c>
      <c r="B785" s="12">
        <f t="shared" si="904"/>
        <v>-0.14999999999999858</v>
      </c>
      <c r="C785" s="13">
        <f t="shared" si="905"/>
        <v>0.46999999999999886</v>
      </c>
      <c r="D785" s="10">
        <f t="shared" si="906"/>
        <v>0.61999999999999744</v>
      </c>
      <c r="E785" s="74" t="s">
        <v>39</v>
      </c>
      <c r="F785" s="75"/>
      <c r="G785" s="76"/>
      <c r="K785" s="1">
        <v>10</v>
      </c>
      <c r="L785" s="1">
        <v>10</v>
      </c>
      <c r="M785" s="1">
        <v>10</v>
      </c>
      <c r="N785" s="1">
        <v>10</v>
      </c>
      <c r="O785" s="1">
        <v>10</v>
      </c>
      <c r="P785" s="1">
        <v>10</v>
      </c>
      <c r="Q785" s="1">
        <v>10</v>
      </c>
      <c r="R785" s="1">
        <v>10</v>
      </c>
      <c r="S785" s="1">
        <v>10</v>
      </c>
      <c r="T785" s="9"/>
      <c r="U785" s="1">
        <f t="shared" si="816"/>
        <v>18</v>
      </c>
      <c r="V785" s="1">
        <f t="shared" si="817"/>
        <v>236</v>
      </c>
    </row>
    <row r="786" spans="1:22" x14ac:dyDescent="0.3">
      <c r="A786" s="1">
        <f t="shared" si="840"/>
        <v>18237</v>
      </c>
      <c r="B786" s="12">
        <f t="shared" si="904"/>
        <v>-1.9900000000000091</v>
      </c>
      <c r="C786" s="13">
        <f t="shared" si="905"/>
        <v>1.0000000000005116E-2</v>
      </c>
      <c r="D786" s="10">
        <f t="shared" si="906"/>
        <v>2.0000000000000142</v>
      </c>
      <c r="E786" s="11">
        <f t="shared" ref="E786" si="916">IF(D757="","",MAX(F786,G786))</f>
        <v>0.99</v>
      </c>
      <c r="F786" s="10">
        <f t="shared" ref="F786" si="917">ABS(MIN(D766:D775))</f>
        <v>0.25</v>
      </c>
      <c r="G786" s="10">
        <f t="shared" ref="G786" si="918">ABS(MAX(D766:D775))</f>
        <v>0.99</v>
      </c>
      <c r="J786" s="24" t="str">
        <f t="shared" ref="J786" si="919">CONCATENATE(K785,1)</f>
        <v>101</v>
      </c>
      <c r="K786" s="6" t="e">
        <f t="array" ref="K786:S788">LINEST(B766:B775,C766:C775^{1,2,3,4,5,6,7,8},TRUE,TRUE)</f>
        <v>#VALUE!</v>
      </c>
      <c r="L786" s="6" t="e">
        <v>#VALUE!</v>
      </c>
      <c r="M786" s="6" t="e">
        <v>#VALUE!</v>
      </c>
      <c r="N786" s="6" t="e">
        <v>#VALUE!</v>
      </c>
      <c r="O786" s="6" t="e">
        <v>#VALUE!</v>
      </c>
      <c r="P786" s="6" t="e">
        <v>#VALUE!</v>
      </c>
      <c r="Q786" s="6" t="e">
        <v>#VALUE!</v>
      </c>
      <c r="R786" s="6" t="e">
        <v>#VALUE!</v>
      </c>
      <c r="S786" s="6" t="e">
        <v>#VALUE!</v>
      </c>
      <c r="T786" s="9"/>
      <c r="U786" s="1">
        <f t="shared" si="816"/>
        <v>18</v>
      </c>
      <c r="V786" s="1">
        <f t="shared" si="817"/>
        <v>237</v>
      </c>
    </row>
    <row r="787" spans="1:22" x14ac:dyDescent="0.3">
      <c r="A787" s="1">
        <f t="shared" si="840"/>
        <v>18238</v>
      </c>
      <c r="B787" s="12">
        <f t="shared" si="904"/>
        <v>-2.7299999999999898</v>
      </c>
      <c r="C787" s="13">
        <f t="shared" si="905"/>
        <v>-0.20000000000000284</v>
      </c>
      <c r="D787" s="10">
        <f t="shared" si="906"/>
        <v>2.5299999999999869</v>
      </c>
      <c r="J787" s="24" t="str">
        <f t="shared" ref="J787" si="920">CONCATENATE(K785,2)</f>
        <v>102</v>
      </c>
      <c r="K787" s="6" t="e">
        <v>#VALUE!</v>
      </c>
      <c r="L787" s="6" t="e">
        <v>#VALUE!</v>
      </c>
      <c r="M787" s="6" t="e">
        <v>#VALUE!</v>
      </c>
      <c r="N787" s="6" t="e">
        <v>#VALUE!</v>
      </c>
      <c r="O787" s="6" t="e">
        <v>#VALUE!</v>
      </c>
      <c r="P787" s="6" t="e">
        <v>#VALUE!</v>
      </c>
      <c r="Q787" s="6" t="e">
        <v>#VALUE!</v>
      </c>
      <c r="R787" s="6" t="e">
        <v>#VALUE!</v>
      </c>
      <c r="S787" s="6" t="e">
        <v>#VALUE!</v>
      </c>
      <c r="T787" s="9"/>
      <c r="U787" s="1">
        <f t="shared" si="816"/>
        <v>18</v>
      </c>
      <c r="V787" s="1">
        <f t="shared" si="817"/>
        <v>238</v>
      </c>
    </row>
    <row r="788" spans="1:22" x14ac:dyDescent="0.3">
      <c r="A788" s="1">
        <f t="shared" si="840"/>
        <v>18239</v>
      </c>
      <c r="B788" s="12">
        <f t="shared" si="904"/>
        <v>0</v>
      </c>
      <c r="C788" s="13">
        <f t="shared" si="905"/>
        <v>0</v>
      </c>
      <c r="D788" s="10">
        <f t="shared" si="906"/>
        <v>0</v>
      </c>
      <c r="J788" s="24" t="str">
        <f t="shared" ref="J788" si="921">CONCATENATE(K785,3)</f>
        <v>103</v>
      </c>
      <c r="K788" s="6" t="e">
        <v>#VALUE!</v>
      </c>
      <c r="L788" s="6" t="e">
        <v>#VALUE!</v>
      </c>
      <c r="M788" s="6" t="e">
        <v>#VALUE!</v>
      </c>
      <c r="N788" s="6" t="e">
        <v>#VALUE!</v>
      </c>
      <c r="O788" s="6" t="e">
        <v>#VALUE!</v>
      </c>
      <c r="P788" s="6" t="e">
        <v>#VALUE!</v>
      </c>
      <c r="Q788" s="6" t="e">
        <v>#VALUE!</v>
      </c>
      <c r="R788" s="6" t="e">
        <v>#VALUE!</v>
      </c>
      <c r="S788" s="6" t="e">
        <v>#VALUE!</v>
      </c>
      <c r="T788" s="9"/>
      <c r="U788" s="1">
        <f t="shared" si="816"/>
        <v>18</v>
      </c>
      <c r="V788" s="1">
        <f t="shared" si="817"/>
        <v>239</v>
      </c>
    </row>
    <row r="789" spans="1:22" x14ac:dyDescent="0.3">
      <c r="A789" s="1">
        <f t="shared" si="840"/>
        <v>18240</v>
      </c>
      <c r="B789" s="12">
        <f t="shared" si="904"/>
        <v>0</v>
      </c>
      <c r="C789" s="13">
        <f t="shared" si="905"/>
        <v>0</v>
      </c>
      <c r="D789" s="10">
        <f t="shared" si="906"/>
        <v>0</v>
      </c>
      <c r="J789" s="9"/>
      <c r="K789" s="9"/>
      <c r="L789" s="9"/>
      <c r="M789" s="9"/>
      <c r="N789" s="9"/>
      <c r="O789" s="9"/>
      <c r="P789" s="9"/>
      <c r="Q789" s="9"/>
      <c r="R789" s="9"/>
      <c r="S789" s="9"/>
      <c r="T789" s="9"/>
      <c r="U789" s="1">
        <f t="shared" si="816"/>
        <v>18</v>
      </c>
      <c r="V789" s="1">
        <f t="shared" si="817"/>
        <v>240</v>
      </c>
    </row>
    <row r="790" spans="1:22" x14ac:dyDescent="0.3">
      <c r="A790" s="1">
        <f t="shared" si="840"/>
        <v>18241</v>
      </c>
      <c r="B790" s="12">
        <f t="shared" si="904"/>
        <v>0</v>
      </c>
      <c r="C790" s="13">
        <f t="shared" si="905"/>
        <v>0</v>
      </c>
      <c r="D790" s="10">
        <f t="shared" si="906"/>
        <v>0</v>
      </c>
      <c r="J790" s="9"/>
      <c r="K790" s="9"/>
      <c r="L790" s="9"/>
      <c r="M790" s="9"/>
      <c r="N790" s="9"/>
      <c r="O790" s="9"/>
      <c r="P790" s="9"/>
      <c r="Q790" s="9"/>
      <c r="R790" s="9"/>
      <c r="S790" s="9"/>
      <c r="T790" s="9"/>
      <c r="U790" s="1">
        <f t="shared" si="816"/>
        <v>18</v>
      </c>
      <c r="V790" s="1">
        <f t="shared" si="817"/>
        <v>241</v>
      </c>
    </row>
    <row r="791" spans="1:22" x14ac:dyDescent="0.3">
      <c r="A791" s="1">
        <f t="shared" si="840"/>
        <v>18242</v>
      </c>
      <c r="B791" s="12">
        <f t="shared" si="904"/>
        <v>0</v>
      </c>
      <c r="C791" s="13">
        <f t="shared" si="905"/>
        <v>0</v>
      </c>
      <c r="D791" s="10">
        <f t="shared" si="906"/>
        <v>0</v>
      </c>
      <c r="J791" s="9"/>
      <c r="K791" s="9"/>
      <c r="L791" s="9"/>
      <c r="M791" s="9"/>
      <c r="N791" s="9"/>
      <c r="O791" s="9"/>
      <c r="P791" s="9"/>
      <c r="Q791" s="9"/>
      <c r="R791" s="9"/>
      <c r="S791" s="9"/>
      <c r="T791" s="9"/>
      <c r="U791" s="1">
        <f t="shared" si="816"/>
        <v>18</v>
      </c>
      <c r="V791" s="1">
        <f t="shared" si="817"/>
        <v>242</v>
      </c>
    </row>
    <row r="792" spans="1:22" x14ac:dyDescent="0.3">
      <c r="A792" s="1">
        <f t="shared" si="840"/>
        <v>18243</v>
      </c>
      <c r="J792" s="9"/>
      <c r="K792" s="9"/>
      <c r="L792" s="9"/>
      <c r="M792" s="9"/>
      <c r="N792" s="9"/>
      <c r="O792" s="9"/>
      <c r="P792" s="9"/>
      <c r="Q792" s="9"/>
      <c r="R792" s="9"/>
      <c r="S792" s="9"/>
      <c r="T792" s="9"/>
      <c r="U792" s="1">
        <f t="shared" si="816"/>
        <v>18</v>
      </c>
      <c r="V792" s="1">
        <f t="shared" si="817"/>
        <v>243</v>
      </c>
    </row>
    <row r="793" spans="1:22" s="5" customFormat="1" x14ac:dyDescent="0.3"/>
    <row r="794" spans="1:22" x14ac:dyDescent="0.3">
      <c r="A794" s="1">
        <f t="shared" ref="A794:A836" si="922">ROUND(CONCATENATE(U794,V794),0)</f>
        <v>19201</v>
      </c>
      <c r="B794" s="96" t="s">
        <v>0</v>
      </c>
      <c r="C794" s="97"/>
      <c r="D794" s="110" t="s">
        <v>46</v>
      </c>
      <c r="E794" s="111"/>
      <c r="F794" s="111"/>
      <c r="G794" s="111"/>
      <c r="H794" s="112"/>
      <c r="J794" s="9"/>
      <c r="K794" s="9"/>
      <c r="L794" s="9"/>
      <c r="M794" s="9"/>
      <c r="N794" s="9"/>
      <c r="O794" s="9"/>
      <c r="P794" s="9"/>
      <c r="Q794" s="9"/>
      <c r="R794" s="9"/>
      <c r="S794" s="9"/>
      <c r="T794" s="9"/>
      <c r="U794" s="1">
        <f t="shared" ref="U794" si="923">U792+1</f>
        <v>19</v>
      </c>
      <c r="V794" s="1">
        <v>201</v>
      </c>
    </row>
    <row r="795" spans="1:22" x14ac:dyDescent="0.3">
      <c r="A795" s="1">
        <f t="shared" si="922"/>
        <v>19202</v>
      </c>
      <c r="B795" s="96" t="s">
        <v>1</v>
      </c>
      <c r="C795" s="97"/>
      <c r="D795" s="15">
        <v>25</v>
      </c>
      <c r="E795" s="16" t="s">
        <v>2</v>
      </c>
      <c r="F795" s="107"/>
      <c r="G795" s="108"/>
      <c r="H795" s="109"/>
      <c r="J795" s="9"/>
      <c r="K795" s="9"/>
      <c r="L795" s="9"/>
      <c r="M795" s="9"/>
      <c r="N795" s="9"/>
      <c r="O795" s="9"/>
      <c r="P795" s="9"/>
      <c r="Q795" s="9"/>
      <c r="R795" s="9"/>
      <c r="S795" s="9"/>
      <c r="T795" s="9"/>
      <c r="U795" s="1">
        <f t="shared" ref="U795:U858" si="924">U794</f>
        <v>19</v>
      </c>
      <c r="V795" s="1">
        <f t="shared" ref="V795:V858" si="925">V794+1</f>
        <v>202</v>
      </c>
    </row>
    <row r="796" spans="1:22" x14ac:dyDescent="0.3">
      <c r="A796" s="1">
        <f t="shared" si="922"/>
        <v>19203</v>
      </c>
      <c r="B796" s="96" t="s">
        <v>12</v>
      </c>
      <c r="C796" s="97"/>
      <c r="D796" s="110" t="s">
        <v>250</v>
      </c>
      <c r="E796" s="111"/>
      <c r="F796" s="111"/>
      <c r="G796" s="111"/>
      <c r="H796" s="112"/>
      <c r="K796" s="1" t="s">
        <v>3</v>
      </c>
      <c r="L796" s="1" t="s">
        <v>4</v>
      </c>
      <c r="M796" s="1" t="s">
        <v>5</v>
      </c>
      <c r="N796" s="1" t="s">
        <v>6</v>
      </c>
      <c r="O796" s="1" t="s">
        <v>7</v>
      </c>
      <c r="P796" s="1" t="s">
        <v>8</v>
      </c>
      <c r="Q796" s="1" t="s">
        <v>9</v>
      </c>
      <c r="R796" s="1" t="s">
        <v>10</v>
      </c>
      <c r="S796" s="1" t="s">
        <v>11</v>
      </c>
      <c r="T796" s="9"/>
      <c r="U796" s="1">
        <f t="shared" si="924"/>
        <v>19</v>
      </c>
      <c r="V796" s="1">
        <f t="shared" si="925"/>
        <v>203</v>
      </c>
    </row>
    <row r="797" spans="1:22" x14ac:dyDescent="0.3">
      <c r="A797" s="1">
        <f t="shared" si="922"/>
        <v>19204</v>
      </c>
      <c r="B797" s="96" t="s">
        <v>13</v>
      </c>
      <c r="C797" s="97"/>
      <c r="D797" s="98" t="s">
        <v>65</v>
      </c>
      <c r="E797" s="99"/>
      <c r="F797" s="99"/>
      <c r="G797" s="99"/>
      <c r="H797" s="100"/>
      <c r="J797" s="1">
        <f t="shared" ref="J797" si="926">COUNTA(B810:B819)</f>
        <v>6</v>
      </c>
      <c r="K797" s="1">
        <f t="shared" ref="K797" si="927">IF(L797-1&lt;2,0,L797-1)</f>
        <v>0</v>
      </c>
      <c r="L797" s="1">
        <f t="shared" ref="L797" si="928">IF(M797-1&lt;2,0,M797-1)</f>
        <v>0</v>
      </c>
      <c r="M797" s="1">
        <f t="shared" ref="M797" si="929">IF(N797-1&lt;2,0,N797-1)</f>
        <v>0</v>
      </c>
      <c r="N797" s="1">
        <f t="shared" ref="N797" si="930">IF(O797-1&lt;2,0,O797-1)</f>
        <v>0</v>
      </c>
      <c r="O797" s="1">
        <f t="shared" ref="O797" si="931">IF(P797-1&lt;2,0,P797-1)</f>
        <v>2</v>
      </c>
      <c r="P797" s="1">
        <f t="shared" ref="P797" si="932">IF(Q797-1&lt;2,0,Q797-1)</f>
        <v>3</v>
      </c>
      <c r="Q797" s="1">
        <f t="shared" ref="Q797" si="933">IF(R797-1&lt;2,0,R797-1)</f>
        <v>4</v>
      </c>
      <c r="R797" s="1">
        <f t="shared" ref="R797" si="934">IF(S797-1&lt;2,0,S797-1)</f>
        <v>5</v>
      </c>
      <c r="S797" s="1">
        <f t="shared" ref="S797" si="935">J797</f>
        <v>6</v>
      </c>
      <c r="T797" s="9"/>
      <c r="U797" s="1">
        <f t="shared" si="924"/>
        <v>19</v>
      </c>
      <c r="V797" s="1">
        <f t="shared" si="925"/>
        <v>204</v>
      </c>
    </row>
    <row r="798" spans="1:22" x14ac:dyDescent="0.3">
      <c r="A798" s="1">
        <f t="shared" si="922"/>
        <v>19205</v>
      </c>
      <c r="B798" s="96" t="s">
        <v>14</v>
      </c>
      <c r="C798" s="97"/>
      <c r="D798" s="110" t="s">
        <v>66</v>
      </c>
      <c r="E798" s="111"/>
      <c r="F798" s="111"/>
      <c r="G798" s="111"/>
      <c r="H798" s="112"/>
      <c r="J798" s="24" t="str">
        <f t="shared" ref="J798" si="936">CONCATENATE(J797,1)</f>
        <v>61</v>
      </c>
      <c r="K798" s="25">
        <f t="shared" ref="K798" si="937">IF(K797=0,0,VLOOKUP(J798,J802:S832,K797,FALSE))</f>
        <v>0</v>
      </c>
      <c r="L798" s="25">
        <f t="shared" ref="L798" si="938">IF(L797=0,0,VLOOKUP(J798,J802:S832,L797,FALSE))</f>
        <v>0</v>
      </c>
      <c r="M798" s="25">
        <f t="shared" ref="M798" si="939">IF(M797=0,0,VLOOKUP(J798,J802:S832,M797,FALSE))</f>
        <v>0</v>
      </c>
      <c r="N798" s="25">
        <f t="shared" ref="N798" si="940">IF(N797=0,0,VLOOKUP(J798,J802:S832,N797,FALSE))</f>
        <v>0</v>
      </c>
      <c r="O798" s="25">
        <f t="shared" ref="O798" si="941">IF(O797=0,0,VLOOKUP(J798,J802:S832,O797,FALSE))</f>
        <v>-1.2783919580699958E-7</v>
      </c>
      <c r="P798" s="25">
        <f t="shared" ref="P798" si="942">IF(P797=0,0,VLOOKUP(J798,J802:S832,P797,FALSE))</f>
        <v>2.2545503696244692E-5</v>
      </c>
      <c r="Q798" s="25">
        <f t="shared" ref="Q798" si="943">IF(Q797=0,0,VLOOKUP(J798,J802:S832,Q797,FALSE))</f>
        <v>-4.4488065481288169E-4</v>
      </c>
      <c r="R798" s="25">
        <f t="shared" ref="R798" si="944">IF(R797=0,0,VLOOKUP(J798,J802:S832,R797,FALSE))</f>
        <v>0.96950637927180283</v>
      </c>
      <c r="S798" s="25">
        <f t="shared" ref="S798" si="945">IF(S797=0,0,VLOOKUP(J798,J802:S832,S797,FALSE))</f>
        <v>0.38627791339066864</v>
      </c>
      <c r="T798" s="9"/>
      <c r="U798" s="1">
        <f t="shared" si="924"/>
        <v>19</v>
      </c>
      <c r="V798" s="1">
        <f t="shared" si="925"/>
        <v>205</v>
      </c>
    </row>
    <row r="799" spans="1:22" x14ac:dyDescent="0.3">
      <c r="A799" s="1">
        <f t="shared" si="922"/>
        <v>19206</v>
      </c>
      <c r="B799" s="96" t="s">
        <v>15</v>
      </c>
      <c r="C799" s="97"/>
      <c r="D799" s="110" t="s">
        <v>337</v>
      </c>
      <c r="E799" s="111"/>
      <c r="F799" s="111"/>
      <c r="G799" s="111"/>
      <c r="H799" s="112"/>
      <c r="J799" s="24" t="str">
        <f t="shared" ref="J799" si="946">CONCATENATE(J797,2)</f>
        <v>62</v>
      </c>
      <c r="K799" s="6">
        <f t="shared" ref="K799" si="947">IF(K797=0,0,VLOOKUP(J799,J802:S832,K797,FALSE))</f>
        <v>0</v>
      </c>
      <c r="L799" s="6">
        <f t="shared" ref="L799" si="948">IF(L797=0,0,VLOOKUP(J799,J802:S832,L797,FALSE))</f>
        <v>0</v>
      </c>
      <c r="M799" s="6">
        <f t="shared" ref="M799" si="949">IF(M797=0,0,VLOOKUP(J799,J802:S832,M797,FALSE))</f>
        <v>0</v>
      </c>
      <c r="N799" s="6">
        <f t="shared" ref="N799" si="950">IF(N797=0,0,VLOOKUP(J799,J802:S832,N797,FALSE))</f>
        <v>0</v>
      </c>
      <c r="O799" s="6">
        <f t="shared" ref="O799" si="951">IF(O797=0,0,VLOOKUP(J799,J802:S832,O797,FALSE))</f>
        <v>2.0578533160477993E-7</v>
      </c>
      <c r="P799" s="6">
        <f t="shared" ref="P799" si="952">IF(P797=0,0,VLOOKUP(J799,J802:S832,P797,FALSE))</f>
        <v>4.140878392078646E-5</v>
      </c>
      <c r="Q799" s="6">
        <f t="shared" ref="Q799" si="953">IF(Q797=0,0,VLOOKUP(J799,J802:S832,Q797,FALSE))</f>
        <v>2.7085345300987794E-3</v>
      </c>
      <c r="R799" s="6">
        <f t="shared" ref="R799" si="954">IF(R797=0,0,VLOOKUP(J799,J802:S832,R797,FALSE))</f>
        <v>6.3108056612017155E-2</v>
      </c>
      <c r="S799" s="6">
        <f t="shared" ref="S799" si="955">IF(S797=0,0,VLOOKUP(J799,J802:S832,S797,FALSE))</f>
        <v>0.40716177780841489</v>
      </c>
      <c r="T799" s="9"/>
      <c r="U799" s="1">
        <f t="shared" si="924"/>
        <v>19</v>
      </c>
      <c r="V799" s="1">
        <f t="shared" si="925"/>
        <v>206</v>
      </c>
    </row>
    <row r="800" spans="1:22" x14ac:dyDescent="0.3">
      <c r="A800" s="1">
        <f t="shared" si="922"/>
        <v>19207</v>
      </c>
      <c r="B800" s="96" t="s">
        <v>16</v>
      </c>
      <c r="C800" s="97"/>
      <c r="D800" s="113">
        <v>45989</v>
      </c>
      <c r="E800" s="114"/>
      <c r="F800" s="114"/>
      <c r="G800" s="114"/>
      <c r="H800" s="115"/>
      <c r="J800" s="24" t="str">
        <f t="shared" ref="J800" si="956">CONCATENATE(J797,3)</f>
        <v>63</v>
      </c>
      <c r="K800" s="6"/>
      <c r="L800" s="6"/>
      <c r="M800" s="6"/>
      <c r="N800" s="6" t="s">
        <v>43</v>
      </c>
      <c r="O800" s="25">
        <f t="shared" ref="O800" si="957">J797-2</f>
        <v>4</v>
      </c>
      <c r="P800" s="6" t="s">
        <v>44</v>
      </c>
      <c r="Q800" s="25">
        <f t="shared" ref="Q800" si="958">VLOOKUP(J800,J802:S832,3,FALSE)</f>
        <v>0.21999928713900863</v>
      </c>
      <c r="R800" s="6" t="s">
        <v>45</v>
      </c>
      <c r="S800" s="6">
        <f t="shared" ref="S800" si="959">VLOOKUP(J800,J802:S832,2,FALSE)</f>
        <v>0.99999252685828777</v>
      </c>
      <c r="T800" s="9"/>
      <c r="U800" s="1">
        <f t="shared" si="924"/>
        <v>19</v>
      </c>
      <c r="V800" s="1">
        <f t="shared" si="925"/>
        <v>207</v>
      </c>
    </row>
    <row r="801" spans="1:22" x14ac:dyDescent="0.3">
      <c r="A801" s="1">
        <f t="shared" si="922"/>
        <v>19208</v>
      </c>
      <c r="B801" s="96" t="s">
        <v>17</v>
      </c>
      <c r="C801" s="97"/>
      <c r="D801" s="116">
        <v>46170</v>
      </c>
      <c r="E801" s="117"/>
      <c r="F801" s="117"/>
      <c r="G801" s="117"/>
      <c r="H801" s="118"/>
      <c r="K801" s="1">
        <v>3</v>
      </c>
      <c r="L801" s="1">
        <v>3</v>
      </c>
      <c r="Q801" s="26"/>
      <c r="R801" s="26"/>
      <c r="S801" s="26"/>
      <c r="T801" s="9"/>
      <c r="U801" s="1">
        <f t="shared" si="924"/>
        <v>19</v>
      </c>
      <c r="V801" s="1">
        <f t="shared" si="925"/>
        <v>208</v>
      </c>
    </row>
    <row r="802" spans="1:22" x14ac:dyDescent="0.3">
      <c r="A802" s="1">
        <f t="shared" si="922"/>
        <v>19209</v>
      </c>
      <c r="B802" s="77" t="s">
        <v>19</v>
      </c>
      <c r="C802" s="78"/>
      <c r="D802" s="17">
        <v>0.01</v>
      </c>
      <c r="E802" s="79" t="s">
        <v>40</v>
      </c>
      <c r="F802" s="80"/>
      <c r="G802" s="81"/>
      <c r="H802" s="18" t="s">
        <v>72</v>
      </c>
      <c r="J802" s="24" t="str">
        <f t="shared" ref="J802" si="960">CONCATENATE(K801,1)</f>
        <v>31</v>
      </c>
      <c r="K802" s="6">
        <f t="array" ref="K802:L804">LINEST(B810:B812,C810:C812^{1},TRUE,TRUE)</f>
        <v>0.96968288135093195</v>
      </c>
      <c r="L802" s="6">
        <v>0.39430108540326003</v>
      </c>
      <c r="Q802" s="9"/>
      <c r="R802" s="9"/>
      <c r="S802" s="9"/>
      <c r="T802" s="9"/>
      <c r="U802" s="1">
        <f t="shared" si="924"/>
        <v>19</v>
      </c>
      <c r="V802" s="1">
        <f t="shared" si="925"/>
        <v>209</v>
      </c>
    </row>
    <row r="803" spans="1:22" x14ac:dyDescent="0.3">
      <c r="A803" s="1">
        <f t="shared" si="922"/>
        <v>19210</v>
      </c>
      <c r="B803" s="77" t="s">
        <v>41</v>
      </c>
      <c r="C803" s="78"/>
      <c r="D803" s="23">
        <f t="shared" ref="D803" si="961">MIN(B810:B819)</f>
        <v>5.01</v>
      </c>
      <c r="E803" s="20" t="s">
        <v>18</v>
      </c>
      <c r="F803" s="19">
        <f t="shared" ref="F803" si="962">MAX(B810:B819)</f>
        <v>97.97</v>
      </c>
      <c r="G803" s="21" t="str">
        <f t="shared" ref="G803" si="963">IF(H802="","",H802)</f>
        <v>%ur</v>
      </c>
      <c r="H803" s="22"/>
      <c r="J803" s="24" t="str">
        <f t="shared" ref="J803" si="964">CONCATENATE(K801,2)</f>
        <v>32</v>
      </c>
      <c r="K803" s="6">
        <v>6.4029602078163406E-3</v>
      </c>
      <c r="L803" s="6">
        <v>0.13652036637745793</v>
      </c>
      <c r="Q803" s="9"/>
      <c r="R803" s="9"/>
      <c r="S803" s="9"/>
      <c r="T803" s="9"/>
      <c r="U803" s="1">
        <f t="shared" si="924"/>
        <v>19</v>
      </c>
      <c r="V803" s="1">
        <f t="shared" si="925"/>
        <v>210</v>
      </c>
    </row>
    <row r="804" spans="1:22" x14ac:dyDescent="0.3">
      <c r="A804" s="1">
        <f t="shared" si="922"/>
        <v>19211</v>
      </c>
      <c r="J804" s="24" t="str">
        <f t="shared" ref="J804" si="965">CONCATENATE(K801,3)</f>
        <v>33</v>
      </c>
      <c r="K804" s="6">
        <v>0.99995640032893529</v>
      </c>
      <c r="L804" s="6">
        <v>0.11748901006341583</v>
      </c>
      <c r="Q804" s="9"/>
      <c r="R804" s="9"/>
      <c r="S804" s="9"/>
      <c r="T804" s="9"/>
      <c r="U804" s="1">
        <f t="shared" si="924"/>
        <v>19</v>
      </c>
      <c r="V804" s="1">
        <f t="shared" si="925"/>
        <v>211</v>
      </c>
    </row>
    <row r="805" spans="1:22" x14ac:dyDescent="0.3">
      <c r="A805" s="1">
        <f t="shared" si="922"/>
        <v>19212</v>
      </c>
      <c r="B805" s="82" t="s">
        <v>20</v>
      </c>
      <c r="C805" s="83"/>
      <c r="D805" s="83"/>
      <c r="E805" s="83"/>
      <c r="F805" s="84"/>
      <c r="G805" s="85" t="s">
        <v>31</v>
      </c>
      <c r="H805" s="86"/>
      <c r="K805" s="1">
        <v>4</v>
      </c>
      <c r="L805" s="1">
        <v>4</v>
      </c>
      <c r="M805" s="1">
        <v>4</v>
      </c>
      <c r="Q805" s="9"/>
      <c r="R805" s="9"/>
      <c r="S805" s="9"/>
      <c r="T805" s="9"/>
      <c r="U805" s="1">
        <f t="shared" si="924"/>
        <v>19</v>
      </c>
      <c r="V805" s="1">
        <f t="shared" si="925"/>
        <v>212</v>
      </c>
    </row>
    <row r="806" spans="1:22" x14ac:dyDescent="0.3">
      <c r="A806" s="1">
        <f t="shared" si="922"/>
        <v>19213</v>
      </c>
      <c r="B806" s="82" t="s">
        <v>30</v>
      </c>
      <c r="C806" s="83"/>
      <c r="D806" s="84"/>
      <c r="E806" s="82" t="str">
        <f t="shared" ref="E806" si="966">D799</f>
        <v>E0844/25</v>
      </c>
      <c r="F806" s="84"/>
      <c r="G806" s="6" t="s">
        <v>32</v>
      </c>
      <c r="H806" s="7" t="s">
        <v>318</v>
      </c>
      <c r="J806" s="24" t="str">
        <f t="shared" ref="J806" si="967">CONCATENATE(K805,1)</f>
        <v>41</v>
      </c>
      <c r="K806" s="6">
        <f t="array" ref="K806:M808">LINEST(B810:B813,C810:C813^{1,2},TRUE,TRUE)</f>
        <v>8.7250934504042748E-4</v>
      </c>
      <c r="L806" s="6">
        <v>0.94240309889196816</v>
      </c>
      <c r="M806" s="6">
        <v>0.51284228367712525</v>
      </c>
      <c r="Q806" s="9"/>
      <c r="R806" s="9"/>
      <c r="S806" s="9"/>
      <c r="T806" s="9"/>
      <c r="U806" s="1">
        <f t="shared" si="924"/>
        <v>19</v>
      </c>
      <c r="V806" s="1">
        <f t="shared" si="925"/>
        <v>213</v>
      </c>
    </row>
    <row r="807" spans="1:22" x14ac:dyDescent="0.3">
      <c r="A807" s="1">
        <f t="shared" si="922"/>
        <v>19214</v>
      </c>
      <c r="B807" s="2" t="s">
        <v>21</v>
      </c>
      <c r="C807" s="2" t="s">
        <v>22</v>
      </c>
      <c r="D807" s="2" t="s">
        <v>23</v>
      </c>
      <c r="E807" s="2"/>
      <c r="F807" s="2" t="s">
        <v>28</v>
      </c>
      <c r="G807" s="2" t="s">
        <v>21</v>
      </c>
      <c r="H807" s="2" t="s">
        <v>22</v>
      </c>
      <c r="J807" s="24" t="str">
        <f t="shared" ref="J807" si="968">CONCATENATE(K805,2)</f>
        <v>42</v>
      </c>
      <c r="K807" s="6">
        <v>4.9768147954358944E-4</v>
      </c>
      <c r="L807" s="6">
        <v>2.8649387779704251E-2</v>
      </c>
      <c r="M807" s="6">
        <v>0.33701233963438743</v>
      </c>
      <c r="Q807" s="9"/>
      <c r="R807" s="9"/>
      <c r="S807" s="9"/>
      <c r="T807" s="9"/>
      <c r="U807" s="1">
        <f t="shared" si="924"/>
        <v>19</v>
      </c>
      <c r="V807" s="1">
        <f t="shared" si="925"/>
        <v>214</v>
      </c>
    </row>
    <row r="808" spans="1:22" x14ac:dyDescent="0.3">
      <c r="A808" s="1">
        <f t="shared" si="922"/>
        <v>19215</v>
      </c>
      <c r="B808" s="2" t="s">
        <v>24</v>
      </c>
      <c r="C808" s="2" t="s">
        <v>25</v>
      </c>
      <c r="D808" s="2" t="s">
        <v>26</v>
      </c>
      <c r="E808" s="2" t="s">
        <v>27</v>
      </c>
      <c r="F808" s="2" t="s">
        <v>29</v>
      </c>
      <c r="G808" s="2" t="s">
        <v>24</v>
      </c>
      <c r="H808" s="2" t="s">
        <v>25</v>
      </c>
      <c r="J808" s="24" t="str">
        <f t="shared" ref="J808" si="969">CONCATENATE(K805,3)</f>
        <v>43</v>
      </c>
      <c r="K808" s="6">
        <v>0.99994601624584534</v>
      </c>
      <c r="L808" s="6">
        <v>0.24017286639783109</v>
      </c>
      <c r="M808" s="6" t="e">
        <v>#N/A</v>
      </c>
      <c r="Q808" s="9"/>
      <c r="R808" s="9"/>
      <c r="S808" s="9"/>
      <c r="T808" s="9"/>
      <c r="U808" s="1">
        <f t="shared" si="924"/>
        <v>19</v>
      </c>
      <c r="V808" s="1">
        <f t="shared" si="925"/>
        <v>215</v>
      </c>
    </row>
    <row r="809" spans="1:22" x14ac:dyDescent="0.3">
      <c r="A809" s="1">
        <f t="shared" si="922"/>
        <v>19216</v>
      </c>
      <c r="B809" s="3" t="str">
        <f t="shared" ref="B809" si="970">H802</f>
        <v>%ur</v>
      </c>
      <c r="C809" s="3" t="str">
        <f t="shared" ref="C809:D809" si="971">B809</f>
        <v>%ur</v>
      </c>
      <c r="D809" s="3" t="str">
        <f t="shared" si="971"/>
        <v>%ur</v>
      </c>
      <c r="E809" s="3"/>
      <c r="F809" s="3"/>
      <c r="G809" s="3" t="str">
        <f t="shared" ref="G809" si="972">D809</f>
        <v>%ur</v>
      </c>
      <c r="H809" s="3" t="str">
        <f t="shared" ref="H809" si="973">G809</f>
        <v>%ur</v>
      </c>
      <c r="K809" s="1">
        <v>5</v>
      </c>
      <c r="L809" s="1">
        <v>5</v>
      </c>
      <c r="M809" s="1">
        <v>5</v>
      </c>
      <c r="N809" s="1">
        <v>5</v>
      </c>
      <c r="Q809" s="9"/>
      <c r="R809" s="9"/>
      <c r="S809" s="9"/>
      <c r="T809" s="9"/>
      <c r="U809" s="1">
        <f t="shared" si="924"/>
        <v>19</v>
      </c>
      <c r="V809" s="1">
        <f t="shared" si="925"/>
        <v>216</v>
      </c>
    </row>
    <row r="810" spans="1:22" x14ac:dyDescent="0.3">
      <c r="A810" s="1">
        <f t="shared" si="922"/>
        <v>19217</v>
      </c>
      <c r="B810" s="4">
        <v>5.01</v>
      </c>
      <c r="C810" s="41">
        <v>4.8</v>
      </c>
      <c r="D810" s="4">
        <v>0.25</v>
      </c>
      <c r="E810" s="4">
        <v>2.0299999999999998</v>
      </c>
      <c r="F810" s="14">
        <v>87</v>
      </c>
      <c r="G810" s="4">
        <v>5</v>
      </c>
      <c r="H810" s="41">
        <v>5.32</v>
      </c>
      <c r="J810" s="24" t="str">
        <f t="shared" ref="J810" si="974">CONCATENATE(K809,1)</f>
        <v>51</v>
      </c>
      <c r="K810" s="6">
        <f t="array" ref="K810:N812">LINEST(B810:B814,C810:C814^{1,2,3},TRUE,TRUE)</f>
        <v>9.1160251069138396E-7</v>
      </c>
      <c r="L810" s="6">
        <v>7.2571074484493287E-4</v>
      </c>
      <c r="M810" s="6">
        <v>0.94765934678128627</v>
      </c>
      <c r="N810" s="6">
        <v>0.47736309875885502</v>
      </c>
      <c r="Q810" s="9"/>
      <c r="R810" s="9"/>
      <c r="S810" s="9"/>
      <c r="T810" s="9"/>
      <c r="U810" s="1">
        <f t="shared" si="924"/>
        <v>19</v>
      </c>
      <c r="V810" s="1">
        <f t="shared" si="925"/>
        <v>217</v>
      </c>
    </row>
    <row r="811" spans="1:22" x14ac:dyDescent="0.3">
      <c r="A811" s="1">
        <f t="shared" si="922"/>
        <v>19218</v>
      </c>
      <c r="B811" s="4">
        <v>19.989999999999998</v>
      </c>
      <c r="C811" s="41">
        <v>20.11</v>
      </c>
      <c r="D811" s="4">
        <v>0.25</v>
      </c>
      <c r="E811" s="4">
        <v>2.04</v>
      </c>
      <c r="F811" s="14">
        <v>66</v>
      </c>
      <c r="G811" s="4">
        <v>20</v>
      </c>
      <c r="H811" s="41">
        <v>20.55</v>
      </c>
      <c r="J811" s="24" t="str">
        <f t="shared" ref="J811" si="975">CONCATENATE(K809,2)</f>
        <v>52</v>
      </c>
      <c r="K811" s="6">
        <v>1.094141932718865E-5</v>
      </c>
      <c r="L811" s="6">
        <v>1.355636183016404E-3</v>
      </c>
      <c r="M811" s="6">
        <v>4.4897460959532974E-2</v>
      </c>
      <c r="N811" s="6">
        <v>0.3830579617661285</v>
      </c>
      <c r="T811" s="9"/>
      <c r="U811" s="1">
        <f t="shared" si="924"/>
        <v>19</v>
      </c>
      <c r="V811" s="1">
        <f t="shared" si="925"/>
        <v>218</v>
      </c>
    </row>
    <row r="812" spans="1:22" x14ac:dyDescent="0.3">
      <c r="A812" s="1">
        <f t="shared" si="922"/>
        <v>19219</v>
      </c>
      <c r="B812" s="4">
        <v>30.01</v>
      </c>
      <c r="C812" s="41">
        <v>30.6</v>
      </c>
      <c r="D812" s="4">
        <v>0.33</v>
      </c>
      <c r="E812" s="4">
        <v>2.04</v>
      </c>
      <c r="F812" s="14">
        <v>67</v>
      </c>
      <c r="G812" s="4">
        <v>30</v>
      </c>
      <c r="H812" s="41">
        <v>31.13</v>
      </c>
      <c r="J812" s="24" t="str">
        <f t="shared" ref="J812" si="976">CONCATENATE(K809,3)</f>
        <v>53</v>
      </c>
      <c r="K812" s="6">
        <v>0.99998294797068721</v>
      </c>
      <c r="L812" s="6">
        <v>0.24002853634503474</v>
      </c>
      <c r="M812" s="6" t="e">
        <v>#N/A</v>
      </c>
      <c r="N812" s="6" t="e">
        <v>#N/A</v>
      </c>
      <c r="T812" s="9"/>
      <c r="U812" s="1">
        <f t="shared" si="924"/>
        <v>19</v>
      </c>
      <c r="V812" s="1">
        <f t="shared" si="925"/>
        <v>219</v>
      </c>
    </row>
    <row r="813" spans="1:22" x14ac:dyDescent="0.3">
      <c r="A813" s="1">
        <f t="shared" si="922"/>
        <v>19220</v>
      </c>
      <c r="B813" s="4">
        <v>50</v>
      </c>
      <c r="C813" s="41">
        <v>50.15</v>
      </c>
      <c r="D813" s="4">
        <v>0.53</v>
      </c>
      <c r="E813" s="4">
        <v>2.04</v>
      </c>
      <c r="F813" s="14">
        <v>67</v>
      </c>
      <c r="G813" s="4">
        <v>49.99</v>
      </c>
      <c r="H813" s="41">
        <v>50.8</v>
      </c>
      <c r="K813" s="1">
        <v>6</v>
      </c>
      <c r="L813" s="1">
        <v>6</v>
      </c>
      <c r="M813" s="1">
        <v>6</v>
      </c>
      <c r="N813" s="1">
        <v>6</v>
      </c>
      <c r="O813" s="1">
        <v>6</v>
      </c>
      <c r="T813" s="9"/>
      <c r="U813" s="1">
        <f t="shared" si="924"/>
        <v>19</v>
      </c>
      <c r="V813" s="1">
        <f t="shared" si="925"/>
        <v>220</v>
      </c>
    </row>
    <row r="814" spans="1:22" x14ac:dyDescent="0.3">
      <c r="A814" s="1">
        <f t="shared" si="922"/>
        <v>19221</v>
      </c>
      <c r="B814" s="4">
        <v>79.989999999999995</v>
      </c>
      <c r="C814" s="41">
        <v>78.7</v>
      </c>
      <c r="D814" s="4">
        <v>0.8</v>
      </c>
      <c r="E814" s="4">
        <v>2.04</v>
      </c>
      <c r="F814" s="14">
        <v>68</v>
      </c>
      <c r="G814" s="4">
        <v>80.03</v>
      </c>
      <c r="H814" s="41">
        <v>80.2</v>
      </c>
      <c r="J814" s="24" t="str">
        <f t="shared" ref="J814" si="977">CONCATENATE(K813,1)</f>
        <v>61</v>
      </c>
      <c r="K814" s="6">
        <f t="array" ref="K814:O816">LINEST(B810:B815,C810:C815^{1,2,3,4},TRUE,TRUE)</f>
        <v>-1.2783919580699958E-7</v>
      </c>
      <c r="L814" s="6">
        <v>2.2545503696244692E-5</v>
      </c>
      <c r="M814" s="6">
        <v>-4.4488065481288169E-4</v>
      </c>
      <c r="N814" s="6">
        <v>0.96950637927180283</v>
      </c>
      <c r="O814" s="6">
        <v>0.38627791339066864</v>
      </c>
      <c r="T814" s="9"/>
      <c r="U814" s="1">
        <f t="shared" si="924"/>
        <v>19</v>
      </c>
      <c r="V814" s="1">
        <f t="shared" si="925"/>
        <v>221</v>
      </c>
    </row>
    <row r="815" spans="1:22" x14ac:dyDescent="0.3">
      <c r="A815" s="1">
        <f t="shared" si="922"/>
        <v>19222</v>
      </c>
      <c r="B815" s="4">
        <v>97.97</v>
      </c>
      <c r="C815" s="41">
        <v>95.54</v>
      </c>
      <c r="D815" s="4">
        <v>0.93</v>
      </c>
      <c r="E815" s="4">
        <v>2.04</v>
      </c>
      <c r="F815" s="14">
        <v>62</v>
      </c>
      <c r="G815" s="4">
        <v>97.95</v>
      </c>
      <c r="H815" s="41">
        <v>98.05</v>
      </c>
      <c r="J815" s="24" t="str">
        <f t="shared" ref="J815" si="978">CONCATENATE(K813,2)</f>
        <v>62</v>
      </c>
      <c r="K815" s="6">
        <v>2.0578533160477993E-7</v>
      </c>
      <c r="L815" s="6">
        <v>4.140878392078646E-5</v>
      </c>
      <c r="M815" s="6">
        <v>2.7085345300987794E-3</v>
      </c>
      <c r="N815" s="6">
        <v>6.3108056612017155E-2</v>
      </c>
      <c r="O815" s="6">
        <v>0.40716177780841489</v>
      </c>
      <c r="T815" s="9"/>
      <c r="U815" s="1">
        <f t="shared" si="924"/>
        <v>19</v>
      </c>
      <c r="V815" s="1">
        <f t="shared" si="925"/>
        <v>222</v>
      </c>
    </row>
    <row r="816" spans="1:22" x14ac:dyDescent="0.3">
      <c r="A816" s="1">
        <f t="shared" si="922"/>
        <v>19223</v>
      </c>
      <c r="B816" s="4"/>
      <c r="C816" s="4"/>
      <c r="D816" s="4"/>
      <c r="E816" s="4"/>
      <c r="F816" s="14"/>
      <c r="G816" s="8"/>
      <c r="H816" s="7"/>
      <c r="J816" s="24" t="str">
        <f t="shared" ref="J816" si="979">CONCATENATE(K813,3)</f>
        <v>63</v>
      </c>
      <c r="K816" s="6">
        <v>0.99999252685828777</v>
      </c>
      <c r="L816" s="6">
        <v>0.21999928713900863</v>
      </c>
      <c r="M816" s="6" t="e">
        <v>#N/A</v>
      </c>
      <c r="N816" s="6" t="e">
        <v>#N/A</v>
      </c>
      <c r="O816" s="6" t="e">
        <v>#N/A</v>
      </c>
      <c r="T816" s="9"/>
      <c r="U816" s="1">
        <f t="shared" si="924"/>
        <v>19</v>
      </c>
      <c r="V816" s="1">
        <f t="shared" si="925"/>
        <v>223</v>
      </c>
    </row>
    <row r="817" spans="1:22" x14ac:dyDescent="0.3">
      <c r="A817" s="1">
        <f t="shared" si="922"/>
        <v>19224</v>
      </c>
      <c r="B817" s="4"/>
      <c r="C817" s="4"/>
      <c r="D817" s="4"/>
      <c r="E817" s="4"/>
      <c r="F817" s="14"/>
      <c r="G817" s="8"/>
      <c r="H817" s="7"/>
      <c r="K817" s="1">
        <v>7</v>
      </c>
      <c r="L817" s="1">
        <v>7</v>
      </c>
      <c r="M817" s="1">
        <v>7</v>
      </c>
      <c r="N817" s="1">
        <v>7</v>
      </c>
      <c r="O817" s="1">
        <v>7</v>
      </c>
      <c r="P817" s="1">
        <v>7</v>
      </c>
      <c r="T817" s="9"/>
      <c r="U817" s="1">
        <f t="shared" si="924"/>
        <v>19</v>
      </c>
      <c r="V817" s="1">
        <f t="shared" si="925"/>
        <v>224</v>
      </c>
    </row>
    <row r="818" spans="1:22" x14ac:dyDescent="0.3">
      <c r="A818" s="1">
        <f t="shared" si="922"/>
        <v>19225</v>
      </c>
      <c r="B818" s="4"/>
      <c r="C818" s="4"/>
      <c r="D818" s="4"/>
      <c r="E818" s="4"/>
      <c r="F818" s="14"/>
      <c r="G818" s="8"/>
      <c r="H818" s="7"/>
      <c r="J818" s="24" t="str">
        <f t="shared" ref="J818" si="980">CONCATENATE(K817,1)</f>
        <v>71</v>
      </c>
      <c r="K818" s="6" t="e">
        <f t="array" ref="K818:P820">LINEST(B810:B816,C810:C816^{1,2,3,4,5},TRUE,TRUE)</f>
        <v>#VALUE!</v>
      </c>
      <c r="L818" s="6" t="e">
        <v>#VALUE!</v>
      </c>
      <c r="M818" s="6" t="e">
        <v>#VALUE!</v>
      </c>
      <c r="N818" s="6" t="e">
        <v>#VALUE!</v>
      </c>
      <c r="O818" s="6" t="e">
        <v>#VALUE!</v>
      </c>
      <c r="P818" s="6" t="e">
        <v>#VALUE!</v>
      </c>
      <c r="T818" s="9"/>
      <c r="U818" s="1">
        <f t="shared" si="924"/>
        <v>19</v>
      </c>
      <c r="V818" s="1">
        <f t="shared" si="925"/>
        <v>225</v>
      </c>
    </row>
    <row r="819" spans="1:22" x14ac:dyDescent="0.3">
      <c r="A819" s="1">
        <f t="shared" si="922"/>
        <v>19226</v>
      </c>
      <c r="B819" s="4"/>
      <c r="C819" s="4"/>
      <c r="D819" s="4"/>
      <c r="E819" s="4"/>
      <c r="F819" s="14"/>
      <c r="G819" s="8"/>
      <c r="H819" s="7"/>
      <c r="J819" s="24" t="str">
        <f t="shared" ref="J819" si="981">CONCATENATE(K817,2)</f>
        <v>72</v>
      </c>
      <c r="K819" s="6" t="e">
        <v>#VALUE!</v>
      </c>
      <c r="L819" s="6" t="e">
        <v>#VALUE!</v>
      </c>
      <c r="M819" s="6" t="e">
        <v>#VALUE!</v>
      </c>
      <c r="N819" s="6" t="e">
        <v>#VALUE!</v>
      </c>
      <c r="O819" s="6" t="e">
        <v>#VALUE!</v>
      </c>
      <c r="P819" s="6" t="e">
        <v>#VALUE!</v>
      </c>
      <c r="T819" s="9"/>
      <c r="U819" s="1">
        <f t="shared" si="924"/>
        <v>19</v>
      </c>
      <c r="V819" s="1">
        <f t="shared" si="925"/>
        <v>226</v>
      </c>
    </row>
    <row r="820" spans="1:22" x14ac:dyDescent="0.3">
      <c r="A820" s="1">
        <f t="shared" si="922"/>
        <v>19227</v>
      </c>
      <c r="B820" s="9"/>
      <c r="C820" s="9"/>
      <c r="D820" s="9"/>
      <c r="E820" s="9"/>
      <c r="F820" s="9"/>
      <c r="G820" s="9"/>
      <c r="H820" s="9"/>
      <c r="J820" s="24" t="str">
        <f t="shared" ref="J820" si="982">CONCATENATE(K817,3)</f>
        <v>73</v>
      </c>
      <c r="K820" s="6" t="e">
        <v>#VALUE!</v>
      </c>
      <c r="L820" s="6" t="e">
        <v>#VALUE!</v>
      </c>
      <c r="M820" s="6" t="e">
        <v>#VALUE!</v>
      </c>
      <c r="N820" s="6" t="e">
        <v>#VALUE!</v>
      </c>
      <c r="O820" s="6" t="e">
        <v>#VALUE!</v>
      </c>
      <c r="P820" s="6" t="e">
        <v>#VALUE!</v>
      </c>
      <c r="T820" s="9"/>
      <c r="U820" s="1">
        <f t="shared" si="924"/>
        <v>19</v>
      </c>
      <c r="V820" s="1">
        <f t="shared" si="925"/>
        <v>227</v>
      </c>
    </row>
    <row r="821" spans="1:22" x14ac:dyDescent="0.3">
      <c r="A821" s="1">
        <f t="shared" si="922"/>
        <v>19228</v>
      </c>
      <c r="B821" s="87" t="s">
        <v>33</v>
      </c>
      <c r="C821" s="88"/>
      <c r="D821" s="88"/>
      <c r="E821" s="88"/>
      <c r="F821" s="88"/>
      <c r="G821" s="88"/>
      <c r="H821" s="89"/>
      <c r="K821" s="1">
        <v>8</v>
      </c>
      <c r="L821" s="1">
        <v>8</v>
      </c>
      <c r="M821" s="1">
        <v>8</v>
      </c>
      <c r="N821" s="1">
        <v>8</v>
      </c>
      <c r="O821" s="1">
        <v>8</v>
      </c>
      <c r="P821" s="1">
        <v>8</v>
      </c>
      <c r="Q821" s="1">
        <v>8</v>
      </c>
      <c r="T821" s="9"/>
      <c r="U821" s="1">
        <f t="shared" si="924"/>
        <v>19</v>
      </c>
      <c r="V821" s="1">
        <f t="shared" si="925"/>
        <v>228</v>
      </c>
    </row>
    <row r="822" spans="1:22" x14ac:dyDescent="0.3">
      <c r="A822" s="1">
        <f t="shared" si="922"/>
        <v>19229</v>
      </c>
      <c r="B822" s="90"/>
      <c r="C822" s="91"/>
      <c r="D822" s="91"/>
      <c r="E822" s="91"/>
      <c r="F822" s="91"/>
      <c r="G822" s="91"/>
      <c r="H822" s="92"/>
      <c r="J822" s="24" t="str">
        <f t="shared" ref="J822" si="983">CONCATENATE(K821,1)</f>
        <v>81</v>
      </c>
      <c r="K822" s="6" t="e">
        <f t="array" ref="K822:Q824">LINEST(B810:B817,C810:C817^{1,2,3,4,5,6},TRUE,TRUE)</f>
        <v>#VALUE!</v>
      </c>
      <c r="L822" s="6" t="e">
        <v>#VALUE!</v>
      </c>
      <c r="M822" s="6" t="e">
        <v>#VALUE!</v>
      </c>
      <c r="N822" s="6" t="e">
        <v>#VALUE!</v>
      </c>
      <c r="O822" s="6" t="e">
        <v>#VALUE!</v>
      </c>
      <c r="P822" s="6" t="e">
        <v>#VALUE!</v>
      </c>
      <c r="Q822" s="6" t="e">
        <v>#VALUE!</v>
      </c>
      <c r="T822" s="9"/>
      <c r="U822" s="1">
        <f t="shared" si="924"/>
        <v>19</v>
      </c>
      <c r="V822" s="1">
        <f t="shared" si="925"/>
        <v>229</v>
      </c>
    </row>
    <row r="823" spans="1:22" x14ac:dyDescent="0.3">
      <c r="A823" s="1">
        <f t="shared" si="922"/>
        <v>19230</v>
      </c>
      <c r="B823" s="93"/>
      <c r="C823" s="94"/>
      <c r="D823" s="94"/>
      <c r="E823" s="94"/>
      <c r="F823" s="94"/>
      <c r="G823" s="94"/>
      <c r="H823" s="95"/>
      <c r="J823" s="24" t="str">
        <f t="shared" ref="J823" si="984">CONCATENATE(K821,2)</f>
        <v>82</v>
      </c>
      <c r="K823" s="6" t="e">
        <v>#VALUE!</v>
      </c>
      <c r="L823" s="6" t="e">
        <v>#VALUE!</v>
      </c>
      <c r="M823" s="6" t="e">
        <v>#VALUE!</v>
      </c>
      <c r="N823" s="6" t="e">
        <v>#VALUE!</v>
      </c>
      <c r="O823" s="6" t="e">
        <v>#VALUE!</v>
      </c>
      <c r="P823" s="6" t="e">
        <v>#VALUE!</v>
      </c>
      <c r="Q823" s="6" t="e">
        <v>#VALUE!</v>
      </c>
      <c r="T823" s="9"/>
      <c r="U823" s="1">
        <f t="shared" si="924"/>
        <v>19</v>
      </c>
      <c r="V823" s="1">
        <f t="shared" si="925"/>
        <v>230</v>
      </c>
    </row>
    <row r="824" spans="1:22" x14ac:dyDescent="0.3">
      <c r="A824" s="1">
        <f t="shared" si="922"/>
        <v>19231</v>
      </c>
      <c r="J824" s="24" t="str">
        <f t="shared" ref="J824" si="985">CONCATENATE(K821,3)</f>
        <v>83</v>
      </c>
      <c r="K824" s="6" t="e">
        <v>#VALUE!</v>
      </c>
      <c r="L824" s="6" t="e">
        <v>#VALUE!</v>
      </c>
      <c r="M824" s="6" t="e">
        <v>#VALUE!</v>
      </c>
      <c r="N824" s="6" t="e">
        <v>#VALUE!</v>
      </c>
      <c r="O824" s="6" t="e">
        <v>#VALUE!</v>
      </c>
      <c r="P824" s="6" t="e">
        <v>#VALUE!</v>
      </c>
      <c r="Q824" s="6" t="e">
        <v>#VALUE!</v>
      </c>
      <c r="T824" s="9"/>
      <c r="U824" s="1">
        <f t="shared" si="924"/>
        <v>19</v>
      </c>
      <c r="V824" s="1">
        <f t="shared" si="925"/>
        <v>231</v>
      </c>
    </row>
    <row r="825" spans="1:22" ht="15" customHeight="1" x14ac:dyDescent="0.3">
      <c r="A825" s="1">
        <f t="shared" si="922"/>
        <v>19232</v>
      </c>
      <c r="B825" s="10" t="s">
        <v>34</v>
      </c>
      <c r="C825" s="10" t="s">
        <v>35</v>
      </c>
      <c r="D825" s="10" t="s">
        <v>36</v>
      </c>
      <c r="E825" s="74" t="s">
        <v>37</v>
      </c>
      <c r="F825" s="75"/>
      <c r="G825" s="76"/>
      <c r="K825" s="1">
        <v>9</v>
      </c>
      <c r="L825" s="1">
        <v>9</v>
      </c>
      <c r="M825" s="1">
        <v>9</v>
      </c>
      <c r="N825" s="1">
        <v>9</v>
      </c>
      <c r="O825" s="1">
        <v>9</v>
      </c>
      <c r="P825" s="1">
        <v>9</v>
      </c>
      <c r="Q825" s="1">
        <v>9</v>
      </c>
      <c r="R825" s="1">
        <v>9</v>
      </c>
      <c r="T825" s="9"/>
      <c r="U825" s="1">
        <f t="shared" si="924"/>
        <v>19</v>
      </c>
      <c r="V825" s="1">
        <f t="shared" si="925"/>
        <v>232</v>
      </c>
    </row>
    <row r="826" spans="1:22" x14ac:dyDescent="0.3">
      <c r="A826" s="1">
        <f t="shared" si="922"/>
        <v>19233</v>
      </c>
      <c r="B826" s="12">
        <f t="shared" ref="B826:B835" si="986">C810-B810</f>
        <v>-0.20999999999999996</v>
      </c>
      <c r="C826" s="13">
        <f t="shared" ref="C826:C835" si="987">H810-G810</f>
        <v>0.32000000000000028</v>
      </c>
      <c r="D826" s="10">
        <f t="shared" ref="D826:D835" si="988">C826-B826</f>
        <v>0.53000000000000025</v>
      </c>
      <c r="E826" s="11">
        <f t="shared" ref="E826:E828" si="989">IF(D799="","",MAX(F826,G826))</f>
        <v>2.5299999999999869</v>
      </c>
      <c r="F826" s="10">
        <f t="shared" ref="F826" si="990">ABS(MIN(D826:D835))</f>
        <v>0</v>
      </c>
      <c r="G826" s="10">
        <f t="shared" ref="G826" si="991">ABS(MAX(D826:D835))</f>
        <v>2.5299999999999869</v>
      </c>
      <c r="J826" s="24" t="str">
        <f t="shared" ref="J826" si="992">CONCATENATE(K825,1)</f>
        <v>91</v>
      </c>
      <c r="K826" s="6" t="e">
        <f t="array" ref="K826:R828">LINEST(B810:B818,C810:C818^{1,2,3,4,5,6,7},TRUE,TRUE)</f>
        <v>#VALUE!</v>
      </c>
      <c r="L826" s="6" t="e">
        <v>#VALUE!</v>
      </c>
      <c r="M826" s="6" t="e">
        <v>#VALUE!</v>
      </c>
      <c r="N826" s="6" t="e">
        <v>#VALUE!</v>
      </c>
      <c r="O826" s="6" t="e">
        <v>#VALUE!</v>
      </c>
      <c r="P826" s="6" t="e">
        <v>#VALUE!</v>
      </c>
      <c r="Q826" s="6" t="e">
        <v>#VALUE!</v>
      </c>
      <c r="R826" s="6" t="e">
        <v>#VALUE!</v>
      </c>
      <c r="T826" s="9"/>
      <c r="U826" s="1">
        <f t="shared" si="924"/>
        <v>19</v>
      </c>
      <c r="V826" s="1">
        <f t="shared" si="925"/>
        <v>233</v>
      </c>
    </row>
    <row r="827" spans="1:22" x14ac:dyDescent="0.3">
      <c r="A827" s="1">
        <f t="shared" si="922"/>
        <v>19234</v>
      </c>
      <c r="B827" s="12">
        <f t="shared" si="986"/>
        <v>0.12000000000000099</v>
      </c>
      <c r="C827" s="13">
        <f t="shared" si="987"/>
        <v>0.55000000000000071</v>
      </c>
      <c r="D827" s="10">
        <f t="shared" si="988"/>
        <v>0.42999999999999972</v>
      </c>
      <c r="E827" s="74" t="s">
        <v>38</v>
      </c>
      <c r="F827" s="75"/>
      <c r="G827" s="76"/>
      <c r="J827" s="24" t="str">
        <f t="shared" ref="J827" si="993">CONCATENATE(K825,2)</f>
        <v>92</v>
      </c>
      <c r="K827" s="6" t="e">
        <v>#VALUE!</v>
      </c>
      <c r="L827" s="6" t="e">
        <v>#VALUE!</v>
      </c>
      <c r="M827" s="6" t="e">
        <v>#VALUE!</v>
      </c>
      <c r="N827" s="6" t="e">
        <v>#VALUE!</v>
      </c>
      <c r="O827" s="6" t="e">
        <v>#VALUE!</v>
      </c>
      <c r="P827" s="6" t="e">
        <v>#VALUE!</v>
      </c>
      <c r="Q827" s="6" t="e">
        <v>#VALUE!</v>
      </c>
      <c r="R827" s="6" t="e">
        <v>#VALUE!</v>
      </c>
      <c r="T827" s="9"/>
      <c r="U827" s="1">
        <f t="shared" si="924"/>
        <v>19</v>
      </c>
      <c r="V827" s="1">
        <f t="shared" si="925"/>
        <v>234</v>
      </c>
    </row>
    <row r="828" spans="1:22" x14ac:dyDescent="0.3">
      <c r="A828" s="1">
        <f t="shared" si="922"/>
        <v>19235</v>
      </c>
      <c r="B828" s="12">
        <f t="shared" si="986"/>
        <v>0.58999999999999986</v>
      </c>
      <c r="C828" s="13">
        <f t="shared" si="987"/>
        <v>1.129999999999999</v>
      </c>
      <c r="D828" s="10">
        <f t="shared" si="988"/>
        <v>0.53999999999999915</v>
      </c>
      <c r="E828" s="11">
        <f t="shared" si="989"/>
        <v>2.4299999999999926</v>
      </c>
      <c r="F828" s="10">
        <f t="shared" ref="F828" si="994">ABS(MIN(B826:B835))</f>
        <v>2.4299999999999926</v>
      </c>
      <c r="G828" s="10">
        <f t="shared" ref="G828" si="995">ABS(MAX(B826:B835))</f>
        <v>0.58999999999999986</v>
      </c>
      <c r="J828" s="24" t="str">
        <f t="shared" ref="J828" si="996">CONCATENATE(K825,3)</f>
        <v>93</v>
      </c>
      <c r="K828" s="6" t="e">
        <v>#VALUE!</v>
      </c>
      <c r="L828" s="6" t="e">
        <v>#VALUE!</v>
      </c>
      <c r="M828" s="6" t="e">
        <v>#VALUE!</v>
      </c>
      <c r="N828" s="6" t="e">
        <v>#VALUE!</v>
      </c>
      <c r="O828" s="6" t="e">
        <v>#VALUE!</v>
      </c>
      <c r="P828" s="6" t="e">
        <v>#VALUE!</v>
      </c>
      <c r="Q828" s="6" t="e">
        <v>#VALUE!</v>
      </c>
      <c r="R828" s="6" t="e">
        <v>#VALUE!</v>
      </c>
      <c r="T828" s="9"/>
      <c r="U828" s="1">
        <f t="shared" si="924"/>
        <v>19</v>
      </c>
      <c r="V828" s="1">
        <f t="shared" si="925"/>
        <v>235</v>
      </c>
    </row>
    <row r="829" spans="1:22" x14ac:dyDescent="0.3">
      <c r="A829" s="1">
        <f t="shared" si="922"/>
        <v>19236</v>
      </c>
      <c r="B829" s="12">
        <f t="shared" si="986"/>
        <v>0.14999999999999858</v>
      </c>
      <c r="C829" s="13">
        <f t="shared" si="987"/>
        <v>0.80999999999999517</v>
      </c>
      <c r="D829" s="10">
        <f t="shared" si="988"/>
        <v>0.65999999999999659</v>
      </c>
      <c r="E829" s="74" t="s">
        <v>39</v>
      </c>
      <c r="F829" s="75"/>
      <c r="G829" s="76"/>
      <c r="K829" s="1">
        <v>10</v>
      </c>
      <c r="L829" s="1">
        <v>10</v>
      </c>
      <c r="M829" s="1">
        <v>10</v>
      </c>
      <c r="N829" s="1">
        <v>10</v>
      </c>
      <c r="O829" s="1">
        <v>10</v>
      </c>
      <c r="P829" s="1">
        <v>10</v>
      </c>
      <c r="Q829" s="1">
        <v>10</v>
      </c>
      <c r="R829" s="1">
        <v>10</v>
      </c>
      <c r="S829" s="1">
        <v>10</v>
      </c>
      <c r="T829" s="9"/>
      <c r="U829" s="1">
        <f t="shared" si="924"/>
        <v>19</v>
      </c>
      <c r="V829" s="1">
        <f t="shared" si="925"/>
        <v>236</v>
      </c>
    </row>
    <row r="830" spans="1:22" x14ac:dyDescent="0.3">
      <c r="A830" s="1">
        <f t="shared" si="922"/>
        <v>19237</v>
      </c>
      <c r="B830" s="12">
        <f t="shared" si="986"/>
        <v>-1.289999999999992</v>
      </c>
      <c r="C830" s="13">
        <f t="shared" si="987"/>
        <v>0.17000000000000171</v>
      </c>
      <c r="D830" s="10">
        <f t="shared" si="988"/>
        <v>1.4599999999999937</v>
      </c>
      <c r="E830" s="11">
        <f t="shared" ref="E830" si="997">IF(D801="","",MAX(F830,G830))</f>
        <v>0.93</v>
      </c>
      <c r="F830" s="10">
        <f t="shared" ref="F830" si="998">ABS(MIN(D810:D819))</f>
        <v>0.25</v>
      </c>
      <c r="G830" s="10">
        <f t="shared" ref="G830" si="999">ABS(MAX(D810:D819))</f>
        <v>0.93</v>
      </c>
      <c r="J830" s="24" t="str">
        <f t="shared" ref="J830" si="1000">CONCATENATE(K829,1)</f>
        <v>101</v>
      </c>
      <c r="K830" s="6" t="e">
        <f t="array" ref="K830:S832">LINEST(B810:B819,C810:C819^{1,2,3,4,5,6,7,8},TRUE,TRUE)</f>
        <v>#VALUE!</v>
      </c>
      <c r="L830" s="6" t="e">
        <v>#VALUE!</v>
      </c>
      <c r="M830" s="6" t="e">
        <v>#VALUE!</v>
      </c>
      <c r="N830" s="6" t="e">
        <v>#VALUE!</v>
      </c>
      <c r="O830" s="6" t="e">
        <v>#VALUE!</v>
      </c>
      <c r="P830" s="6" t="e">
        <v>#VALUE!</v>
      </c>
      <c r="Q830" s="6" t="e">
        <v>#VALUE!</v>
      </c>
      <c r="R830" s="6" t="e">
        <v>#VALUE!</v>
      </c>
      <c r="S830" s="6" t="e">
        <v>#VALUE!</v>
      </c>
      <c r="T830" s="9"/>
      <c r="U830" s="1">
        <f t="shared" si="924"/>
        <v>19</v>
      </c>
      <c r="V830" s="1">
        <f t="shared" si="925"/>
        <v>237</v>
      </c>
    </row>
    <row r="831" spans="1:22" x14ac:dyDescent="0.3">
      <c r="A831" s="1">
        <f t="shared" si="922"/>
        <v>19238</v>
      </c>
      <c r="B831" s="12">
        <f t="shared" si="986"/>
        <v>-2.4299999999999926</v>
      </c>
      <c r="C831" s="13">
        <f t="shared" si="987"/>
        <v>9.9999999999994316E-2</v>
      </c>
      <c r="D831" s="10">
        <f t="shared" si="988"/>
        <v>2.5299999999999869</v>
      </c>
      <c r="J831" s="24" t="str">
        <f t="shared" ref="J831" si="1001">CONCATENATE(K829,2)</f>
        <v>102</v>
      </c>
      <c r="K831" s="6" t="e">
        <v>#VALUE!</v>
      </c>
      <c r="L831" s="6" t="e">
        <v>#VALUE!</v>
      </c>
      <c r="M831" s="6" t="e">
        <v>#VALUE!</v>
      </c>
      <c r="N831" s="6" t="e">
        <v>#VALUE!</v>
      </c>
      <c r="O831" s="6" t="e">
        <v>#VALUE!</v>
      </c>
      <c r="P831" s="6" t="e">
        <v>#VALUE!</v>
      </c>
      <c r="Q831" s="6" t="e">
        <v>#VALUE!</v>
      </c>
      <c r="R831" s="6" t="e">
        <v>#VALUE!</v>
      </c>
      <c r="S831" s="6" t="e">
        <v>#VALUE!</v>
      </c>
      <c r="T831" s="9"/>
      <c r="U831" s="1">
        <f t="shared" si="924"/>
        <v>19</v>
      </c>
      <c r="V831" s="1">
        <f t="shared" si="925"/>
        <v>238</v>
      </c>
    </row>
    <row r="832" spans="1:22" x14ac:dyDescent="0.3">
      <c r="A832" s="1">
        <f t="shared" si="922"/>
        <v>19239</v>
      </c>
      <c r="B832" s="12">
        <f t="shared" si="986"/>
        <v>0</v>
      </c>
      <c r="C832" s="13">
        <f t="shared" si="987"/>
        <v>0</v>
      </c>
      <c r="D832" s="10">
        <f t="shared" si="988"/>
        <v>0</v>
      </c>
      <c r="J832" s="24" t="str">
        <f t="shared" ref="J832" si="1002">CONCATENATE(K829,3)</f>
        <v>103</v>
      </c>
      <c r="K832" s="6" t="e">
        <v>#VALUE!</v>
      </c>
      <c r="L832" s="6" t="e">
        <v>#VALUE!</v>
      </c>
      <c r="M832" s="6" t="e">
        <v>#VALUE!</v>
      </c>
      <c r="N832" s="6" t="e">
        <v>#VALUE!</v>
      </c>
      <c r="O832" s="6" t="e">
        <v>#VALUE!</v>
      </c>
      <c r="P832" s="6" t="e">
        <v>#VALUE!</v>
      </c>
      <c r="Q832" s="6" t="e">
        <v>#VALUE!</v>
      </c>
      <c r="R832" s="6" t="e">
        <v>#VALUE!</v>
      </c>
      <c r="S832" s="6" t="e">
        <v>#VALUE!</v>
      </c>
      <c r="T832" s="9"/>
      <c r="U832" s="1">
        <f t="shared" si="924"/>
        <v>19</v>
      </c>
      <c r="V832" s="1">
        <f t="shared" si="925"/>
        <v>239</v>
      </c>
    </row>
    <row r="833" spans="1:22" x14ac:dyDescent="0.3">
      <c r="A833" s="1">
        <f t="shared" si="922"/>
        <v>19240</v>
      </c>
      <c r="B833" s="12">
        <f t="shared" si="986"/>
        <v>0</v>
      </c>
      <c r="C833" s="13">
        <f t="shared" si="987"/>
        <v>0</v>
      </c>
      <c r="D833" s="10">
        <f t="shared" si="988"/>
        <v>0</v>
      </c>
      <c r="J833" s="9"/>
      <c r="K833" s="9"/>
      <c r="L833" s="9"/>
      <c r="M833" s="9"/>
      <c r="N833" s="9"/>
      <c r="O833" s="9"/>
      <c r="P833" s="9"/>
      <c r="Q833" s="9"/>
      <c r="R833" s="9"/>
      <c r="S833" s="9"/>
      <c r="T833" s="9"/>
      <c r="U833" s="1">
        <f t="shared" si="924"/>
        <v>19</v>
      </c>
      <c r="V833" s="1">
        <f t="shared" si="925"/>
        <v>240</v>
      </c>
    </row>
    <row r="834" spans="1:22" x14ac:dyDescent="0.3">
      <c r="A834" s="1">
        <f t="shared" si="922"/>
        <v>19241</v>
      </c>
      <c r="B834" s="12">
        <f t="shared" si="986"/>
        <v>0</v>
      </c>
      <c r="C834" s="13">
        <f t="shared" si="987"/>
        <v>0</v>
      </c>
      <c r="D834" s="10">
        <f t="shared" si="988"/>
        <v>0</v>
      </c>
      <c r="J834" s="9"/>
      <c r="K834" s="9"/>
      <c r="L834" s="9"/>
      <c r="M834" s="9"/>
      <c r="N834" s="9"/>
      <c r="O834" s="9"/>
      <c r="P834" s="9"/>
      <c r="Q834" s="9"/>
      <c r="R834" s="9"/>
      <c r="S834" s="9"/>
      <c r="T834" s="9"/>
      <c r="U834" s="1">
        <f t="shared" si="924"/>
        <v>19</v>
      </c>
      <c r="V834" s="1">
        <f t="shared" si="925"/>
        <v>241</v>
      </c>
    </row>
    <row r="835" spans="1:22" x14ac:dyDescent="0.3">
      <c r="A835" s="1">
        <f t="shared" si="922"/>
        <v>19242</v>
      </c>
      <c r="B835" s="12">
        <f t="shared" si="986"/>
        <v>0</v>
      </c>
      <c r="C835" s="13">
        <f t="shared" si="987"/>
        <v>0</v>
      </c>
      <c r="D835" s="10">
        <f t="shared" si="988"/>
        <v>0</v>
      </c>
      <c r="J835" s="9"/>
      <c r="K835" s="9"/>
      <c r="L835" s="9"/>
      <c r="M835" s="9"/>
      <c r="N835" s="9"/>
      <c r="O835" s="9"/>
      <c r="P835" s="9"/>
      <c r="Q835" s="9"/>
      <c r="R835" s="9"/>
      <c r="S835" s="9"/>
      <c r="T835" s="9"/>
      <c r="U835" s="1">
        <f t="shared" si="924"/>
        <v>19</v>
      </c>
      <c r="V835" s="1">
        <f t="shared" si="925"/>
        <v>242</v>
      </c>
    </row>
    <row r="836" spans="1:22" x14ac:dyDescent="0.3">
      <c r="A836" s="1">
        <f t="shared" si="922"/>
        <v>19243</v>
      </c>
      <c r="J836" s="9"/>
      <c r="K836" s="9"/>
      <c r="L836" s="9"/>
      <c r="M836" s="9"/>
      <c r="N836" s="9"/>
      <c r="O836" s="9"/>
      <c r="P836" s="9"/>
      <c r="Q836" s="9"/>
      <c r="R836" s="9"/>
      <c r="S836" s="9"/>
      <c r="T836" s="9"/>
      <c r="U836" s="1">
        <f t="shared" si="924"/>
        <v>19</v>
      </c>
      <c r="V836" s="1">
        <f t="shared" si="925"/>
        <v>243</v>
      </c>
    </row>
    <row r="837" spans="1:22" s="5" customFormat="1" x14ac:dyDescent="0.3"/>
    <row r="838" spans="1:22" x14ac:dyDescent="0.3">
      <c r="A838" s="1">
        <f t="shared" ref="A838:A880" si="1003">ROUND(CONCATENATE(U838,V838),0)</f>
        <v>20201</v>
      </c>
      <c r="B838" s="96" t="s">
        <v>0</v>
      </c>
      <c r="C838" s="97"/>
      <c r="D838" s="110" t="s">
        <v>46</v>
      </c>
      <c r="E838" s="111"/>
      <c r="F838" s="111"/>
      <c r="G838" s="111"/>
      <c r="H838" s="112"/>
      <c r="J838" s="9"/>
      <c r="K838" s="9"/>
      <c r="L838" s="9"/>
      <c r="M838" s="9"/>
      <c r="N838" s="9"/>
      <c r="O838" s="9"/>
      <c r="P838" s="9"/>
      <c r="Q838" s="9"/>
      <c r="R838" s="9"/>
      <c r="S838" s="9"/>
      <c r="T838" s="9"/>
      <c r="U838" s="1">
        <f t="shared" ref="U838" si="1004">U836+1</f>
        <v>20</v>
      </c>
      <c r="V838" s="1">
        <v>201</v>
      </c>
    </row>
    <row r="839" spans="1:22" x14ac:dyDescent="0.3">
      <c r="A839" s="1">
        <f t="shared" si="1003"/>
        <v>20202</v>
      </c>
      <c r="B839" s="96" t="s">
        <v>1</v>
      </c>
      <c r="C839" s="97"/>
      <c r="D839" s="15">
        <v>20</v>
      </c>
      <c r="E839" s="16" t="s">
        <v>2</v>
      </c>
      <c r="F839" s="107"/>
      <c r="G839" s="108"/>
      <c r="H839" s="109"/>
      <c r="J839" s="9"/>
      <c r="K839" s="9"/>
      <c r="L839" s="9"/>
      <c r="M839" s="9"/>
      <c r="N839" s="9"/>
      <c r="O839" s="9"/>
      <c r="P839" s="9"/>
      <c r="Q839" s="9"/>
      <c r="R839" s="9"/>
      <c r="S839" s="9"/>
      <c r="T839" s="9"/>
      <c r="U839" s="1">
        <f t="shared" ref="U839" si="1005">U838</f>
        <v>20</v>
      </c>
      <c r="V839" s="1">
        <f t="shared" ref="V839" si="1006">V838+1</f>
        <v>202</v>
      </c>
    </row>
    <row r="840" spans="1:22" x14ac:dyDescent="0.3">
      <c r="A840" s="1">
        <f t="shared" si="1003"/>
        <v>20203</v>
      </c>
      <c r="B840" s="96" t="s">
        <v>12</v>
      </c>
      <c r="C840" s="97"/>
      <c r="D840" s="110" t="s">
        <v>221</v>
      </c>
      <c r="E840" s="111"/>
      <c r="F840" s="111"/>
      <c r="G840" s="111"/>
      <c r="H840" s="112"/>
      <c r="K840" s="1" t="s">
        <v>3</v>
      </c>
      <c r="L840" s="1" t="s">
        <v>4</v>
      </c>
      <c r="M840" s="1" t="s">
        <v>5</v>
      </c>
      <c r="N840" s="1" t="s">
        <v>6</v>
      </c>
      <c r="O840" s="1" t="s">
        <v>7</v>
      </c>
      <c r="P840" s="1" t="s">
        <v>8</v>
      </c>
      <c r="Q840" s="1" t="s">
        <v>9</v>
      </c>
      <c r="R840" s="1" t="s">
        <v>10</v>
      </c>
      <c r="S840" s="1" t="s">
        <v>11</v>
      </c>
      <c r="T840" s="9"/>
      <c r="U840" s="1">
        <f t="shared" si="924"/>
        <v>20</v>
      </c>
      <c r="V840" s="1">
        <f t="shared" si="925"/>
        <v>203</v>
      </c>
    </row>
    <row r="841" spans="1:22" x14ac:dyDescent="0.3">
      <c r="A841" s="1">
        <f t="shared" si="1003"/>
        <v>20204</v>
      </c>
      <c r="B841" s="96" t="s">
        <v>13</v>
      </c>
      <c r="C841" s="97"/>
      <c r="D841" s="110" t="s">
        <v>65</v>
      </c>
      <c r="E841" s="111"/>
      <c r="F841" s="111"/>
      <c r="G841" s="111"/>
      <c r="H841" s="112"/>
      <c r="J841" s="1">
        <f t="shared" ref="J841" si="1007">COUNTA(B854:B863)</f>
        <v>6</v>
      </c>
      <c r="K841" s="1">
        <f t="shared" ref="K841" si="1008">IF(L841-1&lt;2,0,L841-1)</f>
        <v>0</v>
      </c>
      <c r="L841" s="1">
        <f t="shared" ref="L841" si="1009">IF(M841-1&lt;2,0,M841-1)</f>
        <v>0</v>
      </c>
      <c r="M841" s="1">
        <f t="shared" ref="M841" si="1010">IF(N841-1&lt;2,0,N841-1)</f>
        <v>0</v>
      </c>
      <c r="N841" s="1">
        <f t="shared" ref="N841" si="1011">IF(O841-1&lt;2,0,O841-1)</f>
        <v>0</v>
      </c>
      <c r="O841" s="1">
        <f t="shared" ref="O841" si="1012">IF(P841-1&lt;2,0,P841-1)</f>
        <v>2</v>
      </c>
      <c r="P841" s="1">
        <f t="shared" ref="P841" si="1013">IF(Q841-1&lt;2,0,Q841-1)</f>
        <v>3</v>
      </c>
      <c r="Q841" s="1">
        <f t="shared" ref="Q841" si="1014">IF(R841-1&lt;2,0,R841-1)</f>
        <v>4</v>
      </c>
      <c r="R841" s="1">
        <f t="shared" ref="R841" si="1015">IF(S841-1&lt;2,0,S841-1)</f>
        <v>5</v>
      </c>
      <c r="S841" s="1">
        <f t="shared" ref="S841" si="1016">J841</f>
        <v>6</v>
      </c>
      <c r="T841" s="9"/>
      <c r="U841" s="1">
        <f t="shared" si="924"/>
        <v>20</v>
      </c>
      <c r="V841" s="1">
        <f t="shared" si="925"/>
        <v>204</v>
      </c>
    </row>
    <row r="842" spans="1:22" x14ac:dyDescent="0.3">
      <c r="A842" s="1">
        <f t="shared" si="1003"/>
        <v>20205</v>
      </c>
      <c r="B842" s="96" t="s">
        <v>14</v>
      </c>
      <c r="C842" s="97"/>
      <c r="D842" s="110" t="s">
        <v>66</v>
      </c>
      <c r="E842" s="111"/>
      <c r="F842" s="111"/>
      <c r="G842" s="111"/>
      <c r="H842" s="112"/>
      <c r="J842" s="24" t="str">
        <f t="shared" ref="J842" si="1017">CONCATENATE(J841,1)</f>
        <v>61</v>
      </c>
      <c r="K842" s="25">
        <f t="shared" ref="K842" si="1018">IF(K841=0,0,VLOOKUP(J842,J846:S876,K841,FALSE))</f>
        <v>0</v>
      </c>
      <c r="L842" s="25">
        <f t="shared" ref="L842" si="1019">IF(L841=0,0,VLOOKUP(J842,J846:S876,L841,FALSE))</f>
        <v>0</v>
      </c>
      <c r="M842" s="25">
        <f t="shared" ref="M842" si="1020">IF(M841=0,0,VLOOKUP(J842,J846:S876,M841,FALSE))</f>
        <v>0</v>
      </c>
      <c r="N842" s="25">
        <f t="shared" ref="N842" si="1021">IF(N841=0,0,VLOOKUP(J842,J846:S876,N841,FALSE))</f>
        <v>0</v>
      </c>
      <c r="O842" s="25">
        <f t="shared" ref="O842" si="1022">IF(O841=0,0,VLOOKUP(J842,J846:S876,O841,FALSE))</f>
        <v>-6.1657638006849323E-7</v>
      </c>
      <c r="P842" s="25">
        <f t="shared" ref="P842" si="1023">IF(P841=0,0,VLOOKUP(J842,J846:S876,P841,FALSE))</f>
        <v>1.0721522138606558E-4</v>
      </c>
      <c r="Q842" s="25">
        <f t="shared" ref="Q842" si="1024">IF(Q841=0,0,VLOOKUP(J842,J846:S876,Q841,FALSE))</f>
        <v>-4.6163873813914874E-3</v>
      </c>
      <c r="R842" s="25">
        <f t="shared" ref="R842" si="1025">IF(R841=0,0,VLOOKUP(J842,J846:S876,R841,FALSE))</f>
        <v>0.98034711700844934</v>
      </c>
      <c r="S842" s="25">
        <f t="shared" ref="S842" si="1026">IF(S841=0,0,VLOOKUP(J842,J846:S876,S841,FALSE))</f>
        <v>1.8191509687854897</v>
      </c>
      <c r="T842" s="9"/>
      <c r="U842" s="1">
        <f t="shared" si="924"/>
        <v>20</v>
      </c>
      <c r="V842" s="1">
        <f t="shared" si="925"/>
        <v>205</v>
      </c>
    </row>
    <row r="843" spans="1:22" x14ac:dyDescent="0.3">
      <c r="A843" s="1">
        <f t="shared" si="1003"/>
        <v>20206</v>
      </c>
      <c r="B843" s="96" t="s">
        <v>15</v>
      </c>
      <c r="C843" s="97"/>
      <c r="D843" s="110" t="s">
        <v>338</v>
      </c>
      <c r="E843" s="111"/>
      <c r="F843" s="111"/>
      <c r="G843" s="111"/>
      <c r="H843" s="112"/>
      <c r="J843" s="24" t="str">
        <f t="shared" ref="J843" si="1027">CONCATENATE(J841,2)</f>
        <v>62</v>
      </c>
      <c r="K843" s="6">
        <f t="shared" ref="K843" si="1028">IF(K841=0,0,VLOOKUP(J843,J846:S876,K841,FALSE))</f>
        <v>0</v>
      </c>
      <c r="L843" s="6">
        <f t="shared" ref="L843" si="1029">IF(L841=0,0,VLOOKUP(J843,J846:S876,L841,FALSE))</f>
        <v>0</v>
      </c>
      <c r="M843" s="6">
        <f t="shared" ref="M843" si="1030">IF(M841=0,0,VLOOKUP(J843,J846:S876,M841,FALSE))</f>
        <v>0</v>
      </c>
      <c r="N843" s="6">
        <f t="shared" ref="N843" si="1031">IF(N841=0,0,VLOOKUP(J843,J846:S876,N841,FALSE))</f>
        <v>0</v>
      </c>
      <c r="O843" s="6">
        <f t="shared" ref="O843" si="1032">IF(O841=0,0,VLOOKUP(J843,J846:S876,O841,FALSE))</f>
        <v>5.9927243537880386E-8</v>
      </c>
      <c r="P843" s="6">
        <f t="shared" ref="P843" si="1033">IF(P841=0,0,VLOOKUP(J843,J846:S876,P841,FALSE))</f>
        <v>1.2207270166503176E-5</v>
      </c>
      <c r="Q843" s="6">
        <f t="shared" ref="Q843" si="1034">IF(Q841=0,0,VLOOKUP(J843,J846:S876,Q841,FALSE))</f>
        <v>7.9856429228666252E-4</v>
      </c>
      <c r="R843" s="6">
        <f t="shared" ref="R843" si="1035">IF(R841=0,0,VLOOKUP(J843,J846:S876,R841,FALSE))</f>
        <v>1.8163257533528727E-2</v>
      </c>
      <c r="S843" s="6">
        <f t="shared" ref="S843" si="1036">IF(S841=0,0,VLOOKUP(J843,J846:S876,S841,FALSE))</f>
        <v>0.11202161186411166</v>
      </c>
      <c r="T843" s="9"/>
      <c r="U843" s="1">
        <f t="shared" si="924"/>
        <v>20</v>
      </c>
      <c r="V843" s="1">
        <f t="shared" si="925"/>
        <v>206</v>
      </c>
    </row>
    <row r="844" spans="1:22" x14ac:dyDescent="0.3">
      <c r="A844" s="1">
        <f t="shared" si="1003"/>
        <v>20207</v>
      </c>
      <c r="B844" s="96" t="s">
        <v>16</v>
      </c>
      <c r="C844" s="97"/>
      <c r="D844" s="128">
        <v>45989</v>
      </c>
      <c r="E844" s="114"/>
      <c r="F844" s="114"/>
      <c r="G844" s="114"/>
      <c r="H844" s="115"/>
      <c r="J844" s="24" t="str">
        <f t="shared" ref="J844" si="1037">CONCATENATE(J841,3)</f>
        <v>63</v>
      </c>
      <c r="K844" s="6"/>
      <c r="L844" s="6"/>
      <c r="M844" s="6"/>
      <c r="N844" s="6" t="s">
        <v>43</v>
      </c>
      <c r="O844" s="25">
        <f t="shared" ref="O844" si="1038">J841-2</f>
        <v>4</v>
      </c>
      <c r="P844" s="6" t="s">
        <v>44</v>
      </c>
      <c r="Q844" s="25">
        <f t="shared" ref="Q844" si="1039">VLOOKUP(J844,J846:S876,3,FALSE)</f>
        <v>7.5553382360745935E-2</v>
      </c>
      <c r="R844" s="6" t="s">
        <v>45</v>
      </c>
      <c r="S844" s="6">
        <f t="shared" ref="S844" si="1040">VLOOKUP(J844,J846:S876,2,FALSE)</f>
        <v>0.99999911860301527</v>
      </c>
      <c r="T844" s="9"/>
      <c r="U844" s="1">
        <f t="shared" si="924"/>
        <v>20</v>
      </c>
      <c r="V844" s="1">
        <f t="shared" si="925"/>
        <v>207</v>
      </c>
    </row>
    <row r="845" spans="1:22" x14ac:dyDescent="0.3">
      <c r="A845" s="1">
        <f t="shared" si="1003"/>
        <v>20208</v>
      </c>
      <c r="B845" s="96" t="s">
        <v>17</v>
      </c>
      <c r="C845" s="97"/>
      <c r="D845" s="116">
        <v>46170</v>
      </c>
      <c r="E845" s="117"/>
      <c r="F845" s="117"/>
      <c r="G845" s="117"/>
      <c r="H845" s="118"/>
      <c r="K845" s="1">
        <v>3</v>
      </c>
      <c r="L845" s="1">
        <v>3</v>
      </c>
      <c r="Q845" s="26"/>
      <c r="R845" s="26"/>
      <c r="S845" s="26"/>
      <c r="T845" s="9"/>
      <c r="U845" s="1">
        <f t="shared" si="924"/>
        <v>20</v>
      </c>
      <c r="V845" s="1">
        <f t="shared" si="925"/>
        <v>208</v>
      </c>
    </row>
    <row r="846" spans="1:22" x14ac:dyDescent="0.3">
      <c r="A846" s="1">
        <f t="shared" si="1003"/>
        <v>20209</v>
      </c>
      <c r="B846" s="77" t="s">
        <v>19</v>
      </c>
      <c r="C846" s="78"/>
      <c r="D846" s="17">
        <v>0.01</v>
      </c>
      <c r="E846" s="79" t="s">
        <v>40</v>
      </c>
      <c r="F846" s="80"/>
      <c r="G846" s="81"/>
      <c r="H846" s="18" t="s">
        <v>72</v>
      </c>
      <c r="J846" s="24" t="str">
        <f t="shared" ref="J846" si="1041">CONCATENATE(K845,1)</f>
        <v>31</v>
      </c>
      <c r="K846" s="6">
        <f t="array" ref="K846:L848">LINEST(B854:B856,C854:C856^{1},TRUE,TRUE)</f>
        <v>0.91518834643049551</v>
      </c>
      <c r="L846" s="6">
        <v>2.0097065663466296</v>
      </c>
      <c r="Q846" s="9"/>
      <c r="R846" s="9"/>
      <c r="S846" s="9"/>
      <c r="T846" s="9"/>
      <c r="U846" s="1">
        <f t="shared" si="924"/>
        <v>20</v>
      </c>
      <c r="V846" s="1">
        <f t="shared" si="925"/>
        <v>209</v>
      </c>
    </row>
    <row r="847" spans="1:22" x14ac:dyDescent="0.3">
      <c r="A847" s="1">
        <f t="shared" si="1003"/>
        <v>20210</v>
      </c>
      <c r="B847" s="77" t="s">
        <v>41</v>
      </c>
      <c r="C847" s="78"/>
      <c r="D847" s="23">
        <f t="shared" ref="D847" si="1042">MIN(B854:B863)</f>
        <v>5.01</v>
      </c>
      <c r="E847" s="20" t="s">
        <v>18</v>
      </c>
      <c r="F847" s="19">
        <f t="shared" ref="F847" si="1043">MAX(B854:B863)</f>
        <v>97.96</v>
      </c>
      <c r="G847" s="21" t="str">
        <f t="shared" ref="G847" si="1044">IF(H846="","",H846)</f>
        <v>%ur</v>
      </c>
      <c r="H847" s="22"/>
      <c r="J847" s="24" t="str">
        <f t="shared" ref="J847" si="1045">CONCATENATE(K845,2)</f>
        <v>32</v>
      </c>
      <c r="K847" s="6">
        <v>4.5507543366873834E-3</v>
      </c>
      <c r="L847" s="6">
        <v>9.5901451386034828E-2</v>
      </c>
      <c r="Q847" s="9"/>
      <c r="R847" s="9"/>
      <c r="S847" s="9"/>
      <c r="T847" s="9"/>
      <c r="U847" s="1">
        <f t="shared" si="924"/>
        <v>20</v>
      </c>
      <c r="V847" s="1">
        <f t="shared" si="925"/>
        <v>210</v>
      </c>
    </row>
    <row r="848" spans="1:22" x14ac:dyDescent="0.3">
      <c r="A848" s="1">
        <f t="shared" si="1003"/>
        <v>20211</v>
      </c>
      <c r="J848" s="24" t="str">
        <f t="shared" ref="J848" si="1046">CONCATENATE(K845,3)</f>
        <v>33</v>
      </c>
      <c r="K848" s="6">
        <v>0.99997527506933237</v>
      </c>
      <c r="L848" s="6">
        <v>8.8419622654811292E-2</v>
      </c>
      <c r="Q848" s="9"/>
      <c r="R848" s="9"/>
      <c r="S848" s="9"/>
      <c r="T848" s="9"/>
      <c r="U848" s="1">
        <f t="shared" si="924"/>
        <v>20</v>
      </c>
      <c r="V848" s="1">
        <f t="shared" si="925"/>
        <v>211</v>
      </c>
    </row>
    <row r="849" spans="1:22" x14ac:dyDescent="0.3">
      <c r="A849" s="1">
        <f t="shared" si="1003"/>
        <v>20212</v>
      </c>
      <c r="B849" s="82" t="s">
        <v>20</v>
      </c>
      <c r="C849" s="83"/>
      <c r="D849" s="83"/>
      <c r="E849" s="83"/>
      <c r="F849" s="84"/>
      <c r="G849" s="85" t="s">
        <v>31</v>
      </c>
      <c r="H849" s="86"/>
      <c r="K849" s="1">
        <v>4</v>
      </c>
      <c r="L849" s="1">
        <v>4</v>
      </c>
      <c r="M849" s="1">
        <v>4</v>
      </c>
      <c r="Q849" s="9"/>
      <c r="R849" s="9"/>
      <c r="S849" s="9"/>
      <c r="T849" s="9"/>
      <c r="U849" s="1">
        <f t="shared" si="924"/>
        <v>20</v>
      </c>
      <c r="V849" s="1">
        <f t="shared" si="925"/>
        <v>212</v>
      </c>
    </row>
    <row r="850" spans="1:22" x14ac:dyDescent="0.3">
      <c r="A850" s="1">
        <f t="shared" si="1003"/>
        <v>20213</v>
      </c>
      <c r="B850" s="82" t="s">
        <v>30</v>
      </c>
      <c r="C850" s="83"/>
      <c r="D850" s="84"/>
      <c r="E850" s="82" t="str">
        <f t="shared" ref="E850" si="1047">D843</f>
        <v>E0841/25</v>
      </c>
      <c r="F850" s="84"/>
      <c r="G850" s="6" t="s">
        <v>32</v>
      </c>
      <c r="H850" s="7" t="s">
        <v>319</v>
      </c>
      <c r="J850" s="24" t="str">
        <f t="shared" ref="J850" si="1048">CONCATENATE(K849,1)</f>
        <v>41</v>
      </c>
      <c r="K850" s="6">
        <f t="array" ref="K850:M852">LINEST(B854:B857,C854:C857^{1,2},TRUE,TRUE)</f>
        <v>1.0102678975843166E-3</v>
      </c>
      <c r="L850" s="6">
        <v>0.88458615185461431</v>
      </c>
      <c r="M850" s="6">
        <v>2.117707358284179</v>
      </c>
      <c r="Q850" s="9"/>
      <c r="R850" s="9"/>
      <c r="S850" s="9"/>
      <c r="T850" s="9"/>
      <c r="U850" s="1">
        <f t="shared" si="924"/>
        <v>20</v>
      </c>
      <c r="V850" s="1">
        <f t="shared" si="925"/>
        <v>213</v>
      </c>
    </row>
    <row r="851" spans="1:22" x14ac:dyDescent="0.3">
      <c r="A851" s="1">
        <f t="shared" si="1003"/>
        <v>20214</v>
      </c>
      <c r="B851" s="2" t="s">
        <v>21</v>
      </c>
      <c r="C851" s="2" t="s">
        <v>22</v>
      </c>
      <c r="D851" s="2" t="s">
        <v>23</v>
      </c>
      <c r="E851" s="2"/>
      <c r="F851" s="2" t="s">
        <v>28</v>
      </c>
      <c r="G851" s="2" t="s">
        <v>21</v>
      </c>
      <c r="H851" s="2" t="s">
        <v>22</v>
      </c>
      <c r="J851" s="24" t="str">
        <f t="shared" ref="J851" si="1049">CONCATENATE(K849,2)</f>
        <v>42</v>
      </c>
      <c r="K851" s="6">
        <v>4.5591199376049022E-4</v>
      </c>
      <c r="L851" s="6">
        <v>2.6113504526317131E-2</v>
      </c>
      <c r="M851" s="6">
        <v>0.3037149155863535</v>
      </c>
      <c r="Q851" s="9"/>
      <c r="R851" s="9"/>
      <c r="S851" s="9"/>
      <c r="T851" s="9"/>
      <c r="U851" s="1">
        <f t="shared" si="924"/>
        <v>20</v>
      </c>
      <c r="V851" s="1">
        <f t="shared" si="925"/>
        <v>214</v>
      </c>
    </row>
    <row r="852" spans="1:22" x14ac:dyDescent="0.3">
      <c r="A852" s="1">
        <f t="shared" si="1003"/>
        <v>20215</v>
      </c>
      <c r="B852" s="2" t="s">
        <v>24</v>
      </c>
      <c r="C852" s="2" t="s">
        <v>25</v>
      </c>
      <c r="D852" s="2" t="s">
        <v>26</v>
      </c>
      <c r="E852" s="2" t="s">
        <v>27</v>
      </c>
      <c r="F852" s="2" t="s">
        <v>29</v>
      </c>
      <c r="G852" s="2" t="s">
        <v>24</v>
      </c>
      <c r="H852" s="2" t="s">
        <v>25</v>
      </c>
      <c r="J852" s="24" t="str">
        <f t="shared" ref="J852" si="1050">CONCATENATE(K849,3)</f>
        <v>43</v>
      </c>
      <c r="K852" s="6">
        <v>0.99994390876098893</v>
      </c>
      <c r="L852" s="6">
        <v>0.24482466141016346</v>
      </c>
      <c r="M852" s="6" t="e">
        <v>#N/A</v>
      </c>
      <c r="Q852" s="9"/>
      <c r="R852" s="9"/>
      <c r="S852" s="9"/>
      <c r="T852" s="9"/>
      <c r="U852" s="1">
        <f t="shared" si="924"/>
        <v>20</v>
      </c>
      <c r="V852" s="1">
        <f t="shared" si="925"/>
        <v>215</v>
      </c>
    </row>
    <row r="853" spans="1:22" x14ac:dyDescent="0.3">
      <c r="A853" s="1">
        <f t="shared" si="1003"/>
        <v>20216</v>
      </c>
      <c r="B853" s="3" t="str">
        <f t="shared" ref="B853" si="1051">H846</f>
        <v>%ur</v>
      </c>
      <c r="C853" s="3" t="str">
        <f t="shared" ref="C853:D853" si="1052">B853</f>
        <v>%ur</v>
      </c>
      <c r="D853" s="3" t="str">
        <f t="shared" si="1052"/>
        <v>%ur</v>
      </c>
      <c r="E853" s="3"/>
      <c r="F853" s="3"/>
      <c r="G853" s="3" t="str">
        <f t="shared" ref="G853" si="1053">D853</f>
        <v>%ur</v>
      </c>
      <c r="H853" s="3" t="str">
        <f t="shared" ref="H853" si="1054">G853</f>
        <v>%ur</v>
      </c>
      <c r="K853" s="1">
        <v>5</v>
      </c>
      <c r="L853" s="1">
        <v>5</v>
      </c>
      <c r="M853" s="1">
        <v>5</v>
      </c>
      <c r="N853" s="1">
        <v>5</v>
      </c>
      <c r="Q853" s="9"/>
      <c r="R853" s="9"/>
      <c r="S853" s="9"/>
      <c r="T853" s="9"/>
      <c r="U853" s="1">
        <f t="shared" si="924"/>
        <v>20</v>
      </c>
      <c r="V853" s="1">
        <f t="shared" si="925"/>
        <v>216</v>
      </c>
    </row>
    <row r="854" spans="1:22" x14ac:dyDescent="0.3">
      <c r="A854" s="1">
        <f t="shared" si="1003"/>
        <v>20217</v>
      </c>
      <c r="B854" s="4">
        <v>5.01</v>
      </c>
      <c r="C854" s="41">
        <v>3.31</v>
      </c>
      <c r="D854" s="4">
        <v>0.25</v>
      </c>
      <c r="E854" s="4">
        <v>2.0299999999999998</v>
      </c>
      <c r="F854" s="14">
        <v>87</v>
      </c>
      <c r="G854" s="42">
        <v>5</v>
      </c>
      <c r="H854" s="7">
        <v>4.51</v>
      </c>
      <c r="J854" s="24" t="str">
        <f t="shared" ref="J854" si="1055">CONCATENATE(K853,1)</f>
        <v>51</v>
      </c>
      <c r="K854" s="6">
        <f t="array" ref="K854:N856">LINEST(B854:B858,C854:C858^{1,2,3},TRUE,TRUE)</f>
        <v>9.6985422168100466E-6</v>
      </c>
      <c r="L854" s="6">
        <v>1.723868261782328E-4</v>
      </c>
      <c r="M854" s="6">
        <v>0.90309662738256213</v>
      </c>
      <c r="N854" s="6">
        <v>2.0463638073260189</v>
      </c>
      <c r="Q854" s="9"/>
      <c r="R854" s="9"/>
      <c r="S854" s="9"/>
      <c r="T854" s="9"/>
      <c r="U854" s="1">
        <f t="shared" si="924"/>
        <v>20</v>
      </c>
      <c r="V854" s="1">
        <f t="shared" si="925"/>
        <v>217</v>
      </c>
    </row>
    <row r="855" spans="1:22" x14ac:dyDescent="0.3">
      <c r="A855" s="1">
        <f t="shared" si="1003"/>
        <v>20218</v>
      </c>
      <c r="B855" s="4">
        <v>20.010000000000002</v>
      </c>
      <c r="C855" s="41">
        <v>19.59</v>
      </c>
      <c r="D855" s="4">
        <v>0.27</v>
      </c>
      <c r="E855" s="4">
        <v>2.04</v>
      </c>
      <c r="F855" s="14">
        <v>65</v>
      </c>
      <c r="G855" s="42">
        <v>20</v>
      </c>
      <c r="H855" s="7">
        <v>20.38</v>
      </c>
      <c r="J855" s="24" t="str">
        <f t="shared" ref="J855" si="1056">CONCATENATE(K853,2)</f>
        <v>52</v>
      </c>
      <c r="K855" s="6">
        <v>8.4432673555218023E-6</v>
      </c>
      <c r="L855" s="6">
        <v>1.0415957755780072E-3</v>
      </c>
      <c r="M855" s="6">
        <v>3.3844207190468108E-2</v>
      </c>
      <c r="N855" s="6">
        <v>0.28137619638378786</v>
      </c>
      <c r="T855" s="9"/>
      <c r="U855" s="1">
        <f t="shared" si="924"/>
        <v>20</v>
      </c>
      <c r="V855" s="1">
        <f t="shared" si="925"/>
        <v>218</v>
      </c>
    </row>
    <row r="856" spans="1:22" x14ac:dyDescent="0.3">
      <c r="A856" s="1">
        <f t="shared" si="1003"/>
        <v>20219</v>
      </c>
      <c r="B856" s="4">
        <v>29.99</v>
      </c>
      <c r="C856" s="41">
        <v>30.62</v>
      </c>
      <c r="D856" s="4">
        <v>0.35</v>
      </c>
      <c r="E856" s="4">
        <v>2.04</v>
      </c>
      <c r="F856" s="14">
        <v>67</v>
      </c>
      <c r="G856" s="42">
        <v>29.98</v>
      </c>
      <c r="H856" s="7">
        <v>31.35</v>
      </c>
      <c r="J856" s="24" t="str">
        <f t="shared" ref="J856" si="1057">CONCATENATE(K853,3)</f>
        <v>53</v>
      </c>
      <c r="K856" s="6">
        <v>0.9999871650466553</v>
      </c>
      <c r="L856" s="6">
        <v>0.20829243913037576</v>
      </c>
      <c r="M856" s="6" t="e">
        <v>#N/A</v>
      </c>
      <c r="N856" s="6" t="e">
        <v>#N/A</v>
      </c>
      <c r="T856" s="9"/>
      <c r="U856" s="1">
        <f t="shared" si="924"/>
        <v>20</v>
      </c>
      <c r="V856" s="1">
        <f t="shared" si="925"/>
        <v>219</v>
      </c>
    </row>
    <row r="857" spans="1:22" x14ac:dyDescent="0.3">
      <c r="A857" s="1">
        <f t="shared" si="1003"/>
        <v>20220</v>
      </c>
      <c r="B857" s="4">
        <v>50.01</v>
      </c>
      <c r="C857" s="41">
        <v>51.12</v>
      </c>
      <c r="D857" s="4">
        <v>0.55000000000000004</v>
      </c>
      <c r="E857" s="4">
        <v>2.04</v>
      </c>
      <c r="F857" s="14">
        <v>67</v>
      </c>
      <c r="G857" s="42">
        <v>50</v>
      </c>
      <c r="H857" s="7">
        <v>51.85</v>
      </c>
      <c r="K857" s="1">
        <v>6</v>
      </c>
      <c r="L857" s="1">
        <v>6</v>
      </c>
      <c r="M857" s="1">
        <v>6</v>
      </c>
      <c r="N857" s="1">
        <v>6</v>
      </c>
      <c r="O857" s="1">
        <v>6</v>
      </c>
      <c r="T857" s="9"/>
      <c r="U857" s="1">
        <f t="shared" si="924"/>
        <v>20</v>
      </c>
      <c r="V857" s="1">
        <f t="shared" si="925"/>
        <v>220</v>
      </c>
    </row>
    <row r="858" spans="1:22" x14ac:dyDescent="0.3">
      <c r="A858" s="1">
        <f t="shared" si="1003"/>
        <v>20221</v>
      </c>
      <c r="B858" s="4">
        <v>80.010000000000005</v>
      </c>
      <c r="C858" s="41">
        <v>79.69</v>
      </c>
      <c r="D858" s="4">
        <v>0.83</v>
      </c>
      <c r="E858" s="4">
        <v>2.04</v>
      </c>
      <c r="F858" s="14">
        <v>68</v>
      </c>
      <c r="G858" s="42">
        <v>79.989999999999995</v>
      </c>
      <c r="H858" s="7">
        <v>82.3</v>
      </c>
      <c r="J858" s="24" t="str">
        <f t="shared" ref="J858" si="1058">CONCATENATE(K857,1)</f>
        <v>61</v>
      </c>
      <c r="K858" s="6">
        <f t="array" ref="K858:O860">LINEST(B854:B859,C854:C859^{1,2,3,4},TRUE,TRUE)</f>
        <v>-6.1657638006849323E-7</v>
      </c>
      <c r="L858" s="6">
        <v>1.0721522138606558E-4</v>
      </c>
      <c r="M858" s="6">
        <v>-4.6163873813914874E-3</v>
      </c>
      <c r="N858" s="6">
        <v>0.98034711700844934</v>
      </c>
      <c r="O858" s="6">
        <v>1.8191509687854897</v>
      </c>
      <c r="T858" s="9"/>
      <c r="U858" s="1">
        <f t="shared" si="924"/>
        <v>20</v>
      </c>
      <c r="V858" s="1">
        <f t="shared" si="925"/>
        <v>221</v>
      </c>
    </row>
    <row r="859" spans="1:22" x14ac:dyDescent="0.3">
      <c r="A859" s="1">
        <f t="shared" si="1003"/>
        <v>20222</v>
      </c>
      <c r="B859" s="4">
        <v>97.96</v>
      </c>
      <c r="C859" s="4">
        <v>98.43</v>
      </c>
      <c r="D859" s="4">
        <v>0.99</v>
      </c>
      <c r="E859" s="4">
        <v>2.04</v>
      </c>
      <c r="F859" s="14">
        <v>68</v>
      </c>
      <c r="G859" s="42">
        <v>98</v>
      </c>
      <c r="H859" s="42">
        <v>98.9</v>
      </c>
      <c r="J859" s="24" t="str">
        <f t="shared" ref="J859" si="1059">CONCATENATE(K857,2)</f>
        <v>62</v>
      </c>
      <c r="K859" s="6">
        <v>5.9927243537880386E-8</v>
      </c>
      <c r="L859" s="6">
        <v>1.2207270166503176E-5</v>
      </c>
      <c r="M859" s="6">
        <v>7.9856429228666252E-4</v>
      </c>
      <c r="N859" s="6">
        <v>1.8163257533528727E-2</v>
      </c>
      <c r="O859" s="6">
        <v>0.11202161186411166</v>
      </c>
      <c r="T859" s="9"/>
      <c r="U859" s="1">
        <f t="shared" ref="U859:U922" si="1060">U858</f>
        <v>20</v>
      </c>
      <c r="V859" s="1">
        <f t="shared" ref="V859:V922" si="1061">V858+1</f>
        <v>222</v>
      </c>
    </row>
    <row r="860" spans="1:22" x14ac:dyDescent="0.3">
      <c r="A860" s="1">
        <f t="shared" si="1003"/>
        <v>20223</v>
      </c>
      <c r="B860" s="4"/>
      <c r="C860" s="4"/>
      <c r="D860" s="4"/>
      <c r="E860" s="4"/>
      <c r="F860" s="14"/>
      <c r="G860" s="8"/>
      <c r="H860" s="7"/>
      <c r="J860" s="24" t="str">
        <f t="shared" ref="J860" si="1062">CONCATENATE(K857,3)</f>
        <v>63</v>
      </c>
      <c r="K860" s="6">
        <v>0.99999911860301527</v>
      </c>
      <c r="L860" s="6">
        <v>7.5553382360745935E-2</v>
      </c>
      <c r="M860" s="6" t="e">
        <v>#N/A</v>
      </c>
      <c r="N860" s="6" t="e">
        <v>#N/A</v>
      </c>
      <c r="O860" s="6" t="e">
        <v>#N/A</v>
      </c>
      <c r="T860" s="9"/>
      <c r="U860" s="1">
        <f t="shared" si="1060"/>
        <v>20</v>
      </c>
      <c r="V860" s="1">
        <f t="shared" si="1061"/>
        <v>223</v>
      </c>
    </row>
    <row r="861" spans="1:22" x14ac:dyDescent="0.3">
      <c r="A861" s="1">
        <f t="shared" si="1003"/>
        <v>20224</v>
      </c>
      <c r="B861" s="4"/>
      <c r="C861" s="4"/>
      <c r="D861" s="4"/>
      <c r="E861" s="4"/>
      <c r="F861" s="14"/>
      <c r="G861" s="8"/>
      <c r="H861" s="7"/>
      <c r="K861" s="1">
        <v>7</v>
      </c>
      <c r="L861" s="1">
        <v>7</v>
      </c>
      <c r="M861" s="1">
        <v>7</v>
      </c>
      <c r="N861" s="1">
        <v>7</v>
      </c>
      <c r="O861" s="1">
        <v>7</v>
      </c>
      <c r="P861" s="1">
        <v>7</v>
      </c>
      <c r="T861" s="9"/>
      <c r="U861" s="1">
        <f t="shared" si="1060"/>
        <v>20</v>
      </c>
      <c r="V861" s="1">
        <f t="shared" si="1061"/>
        <v>224</v>
      </c>
    </row>
    <row r="862" spans="1:22" x14ac:dyDescent="0.3">
      <c r="A862" s="1">
        <f t="shared" si="1003"/>
        <v>20225</v>
      </c>
      <c r="B862" s="4"/>
      <c r="C862" s="4"/>
      <c r="D862" s="4"/>
      <c r="E862" s="4"/>
      <c r="F862" s="14"/>
      <c r="G862" s="8"/>
      <c r="H862" s="7"/>
      <c r="J862" s="24" t="str">
        <f t="shared" ref="J862" si="1063">CONCATENATE(K861,1)</f>
        <v>71</v>
      </c>
      <c r="K862" s="6" t="e">
        <f t="array" ref="K862:P864">LINEST(B854:B860,C854:C860^{1,2,3,4,5},TRUE,TRUE)</f>
        <v>#VALUE!</v>
      </c>
      <c r="L862" s="6" t="e">
        <v>#VALUE!</v>
      </c>
      <c r="M862" s="6" t="e">
        <v>#VALUE!</v>
      </c>
      <c r="N862" s="6" t="e">
        <v>#VALUE!</v>
      </c>
      <c r="O862" s="6" t="e">
        <v>#VALUE!</v>
      </c>
      <c r="P862" s="6" t="e">
        <v>#VALUE!</v>
      </c>
      <c r="T862" s="9"/>
      <c r="U862" s="1">
        <f t="shared" si="1060"/>
        <v>20</v>
      </c>
      <c r="V862" s="1">
        <f t="shared" si="1061"/>
        <v>225</v>
      </c>
    </row>
    <row r="863" spans="1:22" x14ac:dyDescent="0.3">
      <c r="A863" s="1">
        <f t="shared" si="1003"/>
        <v>20226</v>
      </c>
      <c r="B863" s="4"/>
      <c r="C863" s="4"/>
      <c r="D863" s="4"/>
      <c r="E863" s="4"/>
      <c r="F863" s="14"/>
      <c r="G863" s="8"/>
      <c r="H863" s="7"/>
      <c r="J863" s="24" t="str">
        <f t="shared" ref="J863" si="1064">CONCATENATE(K861,2)</f>
        <v>72</v>
      </c>
      <c r="K863" s="6" t="e">
        <v>#VALUE!</v>
      </c>
      <c r="L863" s="6" t="e">
        <v>#VALUE!</v>
      </c>
      <c r="M863" s="6" t="e">
        <v>#VALUE!</v>
      </c>
      <c r="N863" s="6" t="e">
        <v>#VALUE!</v>
      </c>
      <c r="O863" s="6" t="e">
        <v>#VALUE!</v>
      </c>
      <c r="P863" s="6" t="e">
        <v>#VALUE!</v>
      </c>
      <c r="T863" s="9"/>
      <c r="U863" s="1">
        <f t="shared" si="1060"/>
        <v>20</v>
      </c>
      <c r="V863" s="1">
        <f t="shared" si="1061"/>
        <v>226</v>
      </c>
    </row>
    <row r="864" spans="1:22" x14ac:dyDescent="0.3">
      <c r="A864" s="1">
        <f t="shared" si="1003"/>
        <v>20227</v>
      </c>
      <c r="B864" s="9"/>
      <c r="C864" s="9"/>
      <c r="D864" s="9"/>
      <c r="E864" s="9"/>
      <c r="F864" s="9"/>
      <c r="G864" s="9"/>
      <c r="H864" s="9"/>
      <c r="J864" s="24" t="str">
        <f t="shared" ref="J864" si="1065">CONCATENATE(K861,3)</f>
        <v>73</v>
      </c>
      <c r="K864" s="6" t="e">
        <v>#VALUE!</v>
      </c>
      <c r="L864" s="6" t="e">
        <v>#VALUE!</v>
      </c>
      <c r="M864" s="6" t="e">
        <v>#VALUE!</v>
      </c>
      <c r="N864" s="6" t="e">
        <v>#VALUE!</v>
      </c>
      <c r="O864" s="6" t="e">
        <v>#VALUE!</v>
      </c>
      <c r="P864" s="6" t="e">
        <v>#VALUE!</v>
      </c>
      <c r="T864" s="9"/>
      <c r="U864" s="1">
        <f t="shared" si="1060"/>
        <v>20</v>
      </c>
      <c r="V864" s="1">
        <f t="shared" si="1061"/>
        <v>227</v>
      </c>
    </row>
    <row r="865" spans="1:22" x14ac:dyDescent="0.3">
      <c r="A865" s="1">
        <f t="shared" si="1003"/>
        <v>20228</v>
      </c>
      <c r="B865" s="87" t="s">
        <v>33</v>
      </c>
      <c r="C865" s="88"/>
      <c r="D865" s="88"/>
      <c r="E865" s="88"/>
      <c r="F865" s="88"/>
      <c r="G865" s="88"/>
      <c r="H865" s="89"/>
      <c r="K865" s="1">
        <v>8</v>
      </c>
      <c r="L865" s="1">
        <v>8</v>
      </c>
      <c r="M865" s="1">
        <v>8</v>
      </c>
      <c r="N865" s="1">
        <v>8</v>
      </c>
      <c r="O865" s="1">
        <v>8</v>
      </c>
      <c r="P865" s="1">
        <v>8</v>
      </c>
      <c r="Q865" s="1">
        <v>8</v>
      </c>
      <c r="T865" s="9"/>
      <c r="U865" s="1">
        <f t="shared" si="1060"/>
        <v>20</v>
      </c>
      <c r="V865" s="1">
        <f t="shared" si="1061"/>
        <v>228</v>
      </c>
    </row>
    <row r="866" spans="1:22" x14ac:dyDescent="0.3">
      <c r="A866" s="1">
        <f t="shared" si="1003"/>
        <v>20229</v>
      </c>
      <c r="B866" s="90"/>
      <c r="C866" s="91"/>
      <c r="D866" s="91"/>
      <c r="E866" s="91"/>
      <c r="F866" s="91"/>
      <c r="G866" s="91"/>
      <c r="H866" s="92"/>
      <c r="J866" s="24" t="str">
        <f t="shared" ref="J866" si="1066">CONCATENATE(K865,1)</f>
        <v>81</v>
      </c>
      <c r="K866" s="6" t="e">
        <f t="array" ref="K866:Q868">LINEST(B854:B861,C854:C861^{1,2,3,4,5,6},TRUE,TRUE)</f>
        <v>#VALUE!</v>
      </c>
      <c r="L866" s="6" t="e">
        <v>#VALUE!</v>
      </c>
      <c r="M866" s="6" t="e">
        <v>#VALUE!</v>
      </c>
      <c r="N866" s="6" t="e">
        <v>#VALUE!</v>
      </c>
      <c r="O866" s="6" t="e">
        <v>#VALUE!</v>
      </c>
      <c r="P866" s="6" t="e">
        <v>#VALUE!</v>
      </c>
      <c r="Q866" s="6" t="e">
        <v>#VALUE!</v>
      </c>
      <c r="T866" s="9"/>
      <c r="U866" s="1">
        <f t="shared" si="1060"/>
        <v>20</v>
      </c>
      <c r="V866" s="1">
        <f t="shared" si="1061"/>
        <v>229</v>
      </c>
    </row>
    <row r="867" spans="1:22" x14ac:dyDescent="0.3">
      <c r="A867" s="1">
        <f t="shared" si="1003"/>
        <v>20230</v>
      </c>
      <c r="B867" s="93"/>
      <c r="C867" s="94"/>
      <c r="D867" s="94"/>
      <c r="E867" s="94"/>
      <c r="F867" s="94"/>
      <c r="G867" s="94"/>
      <c r="H867" s="95"/>
      <c r="J867" s="24" t="str">
        <f t="shared" ref="J867" si="1067">CONCATENATE(K865,2)</f>
        <v>82</v>
      </c>
      <c r="K867" s="6" t="e">
        <v>#VALUE!</v>
      </c>
      <c r="L867" s="6" t="e">
        <v>#VALUE!</v>
      </c>
      <c r="M867" s="6" t="e">
        <v>#VALUE!</v>
      </c>
      <c r="N867" s="6" t="e">
        <v>#VALUE!</v>
      </c>
      <c r="O867" s="6" t="e">
        <v>#VALUE!</v>
      </c>
      <c r="P867" s="6" t="e">
        <v>#VALUE!</v>
      </c>
      <c r="Q867" s="6" t="e">
        <v>#VALUE!</v>
      </c>
      <c r="T867" s="9"/>
      <c r="U867" s="1">
        <f t="shared" si="1060"/>
        <v>20</v>
      </c>
      <c r="V867" s="1">
        <f t="shared" si="1061"/>
        <v>230</v>
      </c>
    </row>
    <row r="868" spans="1:22" x14ac:dyDescent="0.3">
      <c r="A868" s="1">
        <f t="shared" si="1003"/>
        <v>20231</v>
      </c>
      <c r="J868" s="24" t="str">
        <f t="shared" ref="J868" si="1068">CONCATENATE(K865,3)</f>
        <v>83</v>
      </c>
      <c r="K868" s="6" t="e">
        <v>#VALUE!</v>
      </c>
      <c r="L868" s="6" t="e">
        <v>#VALUE!</v>
      </c>
      <c r="M868" s="6" t="e">
        <v>#VALUE!</v>
      </c>
      <c r="N868" s="6" t="e">
        <v>#VALUE!</v>
      </c>
      <c r="O868" s="6" t="e">
        <v>#VALUE!</v>
      </c>
      <c r="P868" s="6" t="e">
        <v>#VALUE!</v>
      </c>
      <c r="Q868" s="6" t="e">
        <v>#VALUE!</v>
      </c>
      <c r="T868" s="9"/>
      <c r="U868" s="1">
        <f t="shared" si="1060"/>
        <v>20</v>
      </c>
      <c r="V868" s="1">
        <f t="shared" si="1061"/>
        <v>231</v>
      </c>
    </row>
    <row r="869" spans="1:22" ht="15" customHeight="1" x14ac:dyDescent="0.3">
      <c r="A869" s="1">
        <f t="shared" si="1003"/>
        <v>20232</v>
      </c>
      <c r="B869" s="10" t="s">
        <v>34</v>
      </c>
      <c r="C869" s="10" t="s">
        <v>35</v>
      </c>
      <c r="D869" s="10" t="s">
        <v>36</v>
      </c>
      <c r="E869" s="74" t="s">
        <v>37</v>
      </c>
      <c r="F869" s="75"/>
      <c r="G869" s="76"/>
      <c r="K869" s="1">
        <v>9</v>
      </c>
      <c r="L869" s="1">
        <v>9</v>
      </c>
      <c r="M869" s="1">
        <v>9</v>
      </c>
      <c r="N869" s="1">
        <v>9</v>
      </c>
      <c r="O869" s="1">
        <v>9</v>
      </c>
      <c r="P869" s="1">
        <v>9</v>
      </c>
      <c r="Q869" s="1">
        <v>9</v>
      </c>
      <c r="R869" s="1">
        <v>9</v>
      </c>
      <c r="T869" s="9"/>
      <c r="U869" s="1">
        <f t="shared" si="1060"/>
        <v>20</v>
      </c>
      <c r="V869" s="1">
        <f t="shared" si="1061"/>
        <v>232</v>
      </c>
    </row>
    <row r="870" spans="1:22" x14ac:dyDescent="0.3">
      <c r="A870" s="1">
        <f t="shared" si="1003"/>
        <v>20233</v>
      </c>
      <c r="B870" s="12">
        <f t="shared" ref="B870:B879" si="1069">C854-B854</f>
        <v>-1.6999999999999997</v>
      </c>
      <c r="C870" s="13">
        <f t="shared" ref="C870:C879" si="1070">H854-G854</f>
        <v>-0.49000000000000021</v>
      </c>
      <c r="D870" s="10">
        <f t="shared" ref="D870:D879" si="1071">C870-B870</f>
        <v>1.2099999999999995</v>
      </c>
      <c r="E870" s="11">
        <f t="shared" ref="E870" si="1072">IF(D843="","",MAX(F870,G870))</f>
        <v>2.6300000000000097</v>
      </c>
      <c r="F870" s="10">
        <f t="shared" ref="F870" si="1073">ABS(MIN(D870:D879))</f>
        <v>0</v>
      </c>
      <c r="G870" s="10">
        <f t="shared" ref="G870" si="1074">ABS(MAX(D870:D879))</f>
        <v>2.6300000000000097</v>
      </c>
      <c r="J870" s="24" t="str">
        <f t="shared" ref="J870" si="1075">CONCATENATE(K869,1)</f>
        <v>91</v>
      </c>
      <c r="K870" s="6" t="e">
        <f t="array" ref="K870:R872">LINEST(B854:B862,C854:C862^{1,2,3,4,5,6,7},TRUE,TRUE)</f>
        <v>#VALUE!</v>
      </c>
      <c r="L870" s="6" t="e">
        <v>#VALUE!</v>
      </c>
      <c r="M870" s="6" t="e">
        <v>#VALUE!</v>
      </c>
      <c r="N870" s="6" t="e">
        <v>#VALUE!</v>
      </c>
      <c r="O870" s="6" t="e">
        <v>#VALUE!</v>
      </c>
      <c r="P870" s="6" t="e">
        <v>#VALUE!</v>
      </c>
      <c r="Q870" s="6" t="e">
        <v>#VALUE!</v>
      </c>
      <c r="R870" s="6" t="e">
        <v>#VALUE!</v>
      </c>
      <c r="T870" s="9"/>
      <c r="U870" s="1">
        <f t="shared" si="1060"/>
        <v>20</v>
      </c>
      <c r="V870" s="1">
        <f t="shared" si="1061"/>
        <v>233</v>
      </c>
    </row>
    <row r="871" spans="1:22" x14ac:dyDescent="0.3">
      <c r="A871" s="1">
        <f t="shared" si="1003"/>
        <v>20234</v>
      </c>
      <c r="B871" s="12">
        <f t="shared" si="1069"/>
        <v>-0.42000000000000171</v>
      </c>
      <c r="C871" s="13">
        <f t="shared" si="1070"/>
        <v>0.37999999999999901</v>
      </c>
      <c r="D871" s="10">
        <f t="shared" si="1071"/>
        <v>0.80000000000000071</v>
      </c>
      <c r="E871" s="74" t="s">
        <v>38</v>
      </c>
      <c r="F871" s="75"/>
      <c r="G871" s="76"/>
      <c r="J871" s="24" t="str">
        <f t="shared" ref="J871" si="1076">CONCATENATE(K869,2)</f>
        <v>92</v>
      </c>
      <c r="K871" s="6" t="e">
        <v>#VALUE!</v>
      </c>
      <c r="L871" s="6" t="e">
        <v>#VALUE!</v>
      </c>
      <c r="M871" s="6" t="e">
        <v>#VALUE!</v>
      </c>
      <c r="N871" s="6" t="e">
        <v>#VALUE!</v>
      </c>
      <c r="O871" s="6" t="e">
        <v>#VALUE!</v>
      </c>
      <c r="P871" s="6" t="e">
        <v>#VALUE!</v>
      </c>
      <c r="Q871" s="6" t="e">
        <v>#VALUE!</v>
      </c>
      <c r="R871" s="6" t="e">
        <v>#VALUE!</v>
      </c>
      <c r="T871" s="9"/>
      <c r="U871" s="1">
        <f t="shared" si="1060"/>
        <v>20</v>
      </c>
      <c r="V871" s="1">
        <f t="shared" si="1061"/>
        <v>234</v>
      </c>
    </row>
    <row r="872" spans="1:22" x14ac:dyDescent="0.3">
      <c r="A872" s="1">
        <f t="shared" si="1003"/>
        <v>20235</v>
      </c>
      <c r="B872" s="12">
        <f t="shared" si="1069"/>
        <v>0.63000000000000256</v>
      </c>
      <c r="C872" s="13">
        <f t="shared" si="1070"/>
        <v>1.370000000000001</v>
      </c>
      <c r="D872" s="10">
        <f t="shared" si="1071"/>
        <v>0.73999999999999844</v>
      </c>
      <c r="E872" s="11">
        <f t="shared" ref="E872" si="1077">IF(D845="","",MAX(F872,G872))</f>
        <v>1.6999999999999997</v>
      </c>
      <c r="F872" s="10">
        <f>ABS(MIN(B870:B879))</f>
        <v>1.6999999999999997</v>
      </c>
      <c r="G872" s="10">
        <f t="shared" ref="G872" si="1078">ABS(MAX(B870:B879))</f>
        <v>1.1099999999999994</v>
      </c>
      <c r="J872" s="24" t="str">
        <f t="shared" ref="J872" si="1079">CONCATENATE(K869,3)</f>
        <v>93</v>
      </c>
      <c r="K872" s="6" t="e">
        <v>#VALUE!</v>
      </c>
      <c r="L872" s="6" t="e">
        <v>#VALUE!</v>
      </c>
      <c r="M872" s="6" t="e">
        <v>#VALUE!</v>
      </c>
      <c r="N872" s="6" t="e">
        <v>#VALUE!</v>
      </c>
      <c r="O872" s="6" t="e">
        <v>#VALUE!</v>
      </c>
      <c r="P872" s="6" t="e">
        <v>#VALUE!</v>
      </c>
      <c r="Q872" s="6" t="e">
        <v>#VALUE!</v>
      </c>
      <c r="R872" s="6" t="e">
        <v>#VALUE!</v>
      </c>
      <c r="T872" s="9"/>
      <c r="U872" s="1">
        <f t="shared" si="1060"/>
        <v>20</v>
      </c>
      <c r="V872" s="1">
        <f t="shared" si="1061"/>
        <v>235</v>
      </c>
    </row>
    <row r="873" spans="1:22" x14ac:dyDescent="0.3">
      <c r="A873" s="1">
        <f t="shared" si="1003"/>
        <v>20236</v>
      </c>
      <c r="B873" s="12">
        <f t="shared" si="1069"/>
        <v>1.1099999999999994</v>
      </c>
      <c r="C873" s="13">
        <f t="shared" si="1070"/>
        <v>1.8500000000000014</v>
      </c>
      <c r="D873" s="10">
        <f t="shared" si="1071"/>
        <v>0.74000000000000199</v>
      </c>
      <c r="E873" s="74" t="s">
        <v>39</v>
      </c>
      <c r="F873" s="75"/>
      <c r="G873" s="76"/>
      <c r="K873" s="1">
        <v>10</v>
      </c>
      <c r="L873" s="1">
        <v>10</v>
      </c>
      <c r="M873" s="1">
        <v>10</v>
      </c>
      <c r="N873" s="1">
        <v>10</v>
      </c>
      <c r="O873" s="1">
        <v>10</v>
      </c>
      <c r="P873" s="1">
        <v>10</v>
      </c>
      <c r="Q873" s="1">
        <v>10</v>
      </c>
      <c r="R873" s="1">
        <v>10</v>
      </c>
      <c r="S873" s="1">
        <v>10</v>
      </c>
      <c r="T873" s="9"/>
      <c r="U873" s="1">
        <f t="shared" si="1060"/>
        <v>20</v>
      </c>
      <c r="V873" s="1">
        <f t="shared" si="1061"/>
        <v>236</v>
      </c>
    </row>
    <row r="874" spans="1:22" x14ac:dyDescent="0.3">
      <c r="A874" s="1">
        <f t="shared" si="1003"/>
        <v>20237</v>
      </c>
      <c r="B874" s="12">
        <f t="shared" si="1069"/>
        <v>-0.32000000000000739</v>
      </c>
      <c r="C874" s="13">
        <f t="shared" si="1070"/>
        <v>2.3100000000000023</v>
      </c>
      <c r="D874" s="10">
        <f t="shared" si="1071"/>
        <v>2.6300000000000097</v>
      </c>
      <c r="E874" s="11">
        <f t="shared" ref="E874" si="1080">IF(D845="","",MAX(F874,G874))</f>
        <v>0.99</v>
      </c>
      <c r="F874" s="10">
        <f t="shared" ref="F874" si="1081">ABS(MIN(D854:D863))</f>
        <v>0.25</v>
      </c>
      <c r="G874" s="10">
        <f t="shared" ref="G874" si="1082">ABS(MAX(D854:D863))</f>
        <v>0.99</v>
      </c>
      <c r="J874" s="24" t="str">
        <f t="shared" ref="J874" si="1083">CONCATENATE(K873,1)</f>
        <v>101</v>
      </c>
      <c r="K874" s="6" t="e">
        <f t="array" ref="K874:S876">LINEST(B854:B863,C854:C863^{1,2,3,4,5,6,7,8},TRUE,TRUE)</f>
        <v>#VALUE!</v>
      </c>
      <c r="L874" s="6" t="e">
        <v>#VALUE!</v>
      </c>
      <c r="M874" s="6" t="e">
        <v>#VALUE!</v>
      </c>
      <c r="N874" s="6" t="e">
        <v>#VALUE!</v>
      </c>
      <c r="O874" s="6" t="e">
        <v>#VALUE!</v>
      </c>
      <c r="P874" s="6" t="e">
        <v>#VALUE!</v>
      </c>
      <c r="Q874" s="6" t="e">
        <v>#VALUE!</v>
      </c>
      <c r="R874" s="6" t="e">
        <v>#VALUE!</v>
      </c>
      <c r="S874" s="6" t="e">
        <v>#VALUE!</v>
      </c>
      <c r="T874" s="9"/>
      <c r="U874" s="1">
        <f t="shared" si="1060"/>
        <v>20</v>
      </c>
      <c r="V874" s="1">
        <f t="shared" si="1061"/>
        <v>237</v>
      </c>
    </row>
    <row r="875" spans="1:22" x14ac:dyDescent="0.3">
      <c r="A875" s="1">
        <f t="shared" si="1003"/>
        <v>20238</v>
      </c>
      <c r="B875" s="12">
        <f t="shared" si="1069"/>
        <v>0.47000000000001307</v>
      </c>
      <c r="C875" s="13">
        <f t="shared" si="1070"/>
        <v>0.90000000000000568</v>
      </c>
      <c r="D875" s="10">
        <f t="shared" si="1071"/>
        <v>0.42999999999999261</v>
      </c>
      <c r="J875" s="24" t="str">
        <f t="shared" ref="J875" si="1084">CONCATENATE(K873,2)</f>
        <v>102</v>
      </c>
      <c r="K875" s="6" t="e">
        <v>#VALUE!</v>
      </c>
      <c r="L875" s="6" t="e">
        <v>#VALUE!</v>
      </c>
      <c r="M875" s="6" t="e">
        <v>#VALUE!</v>
      </c>
      <c r="N875" s="6" t="e">
        <v>#VALUE!</v>
      </c>
      <c r="O875" s="6" t="e">
        <v>#VALUE!</v>
      </c>
      <c r="P875" s="6" t="e">
        <v>#VALUE!</v>
      </c>
      <c r="Q875" s="6" t="e">
        <v>#VALUE!</v>
      </c>
      <c r="R875" s="6" t="e">
        <v>#VALUE!</v>
      </c>
      <c r="S875" s="6" t="e">
        <v>#VALUE!</v>
      </c>
      <c r="T875" s="9"/>
      <c r="U875" s="1">
        <f t="shared" si="1060"/>
        <v>20</v>
      </c>
      <c r="V875" s="1">
        <f t="shared" si="1061"/>
        <v>238</v>
      </c>
    </row>
    <row r="876" spans="1:22" x14ac:dyDescent="0.3">
      <c r="A876" s="1">
        <f t="shared" si="1003"/>
        <v>20239</v>
      </c>
      <c r="B876" s="12">
        <f t="shared" si="1069"/>
        <v>0</v>
      </c>
      <c r="C876" s="13">
        <f t="shared" si="1070"/>
        <v>0</v>
      </c>
      <c r="D876" s="10">
        <f t="shared" si="1071"/>
        <v>0</v>
      </c>
      <c r="J876" s="24" t="str">
        <f t="shared" ref="J876" si="1085">CONCATENATE(K873,3)</f>
        <v>103</v>
      </c>
      <c r="K876" s="6" t="e">
        <v>#VALUE!</v>
      </c>
      <c r="L876" s="6" t="e">
        <v>#VALUE!</v>
      </c>
      <c r="M876" s="6" t="e">
        <v>#VALUE!</v>
      </c>
      <c r="N876" s="6" t="e">
        <v>#VALUE!</v>
      </c>
      <c r="O876" s="6" t="e">
        <v>#VALUE!</v>
      </c>
      <c r="P876" s="6" t="e">
        <v>#VALUE!</v>
      </c>
      <c r="Q876" s="6" t="e">
        <v>#VALUE!</v>
      </c>
      <c r="R876" s="6" t="e">
        <v>#VALUE!</v>
      </c>
      <c r="S876" s="6" t="e">
        <v>#VALUE!</v>
      </c>
      <c r="T876" s="9"/>
      <c r="U876" s="1">
        <f t="shared" si="1060"/>
        <v>20</v>
      </c>
      <c r="V876" s="1">
        <f t="shared" si="1061"/>
        <v>239</v>
      </c>
    </row>
    <row r="877" spans="1:22" x14ac:dyDescent="0.3">
      <c r="A877" s="1">
        <f t="shared" si="1003"/>
        <v>20240</v>
      </c>
      <c r="B877" s="12">
        <f t="shared" si="1069"/>
        <v>0</v>
      </c>
      <c r="C877" s="13">
        <f t="shared" si="1070"/>
        <v>0</v>
      </c>
      <c r="D877" s="10">
        <f t="shared" si="1071"/>
        <v>0</v>
      </c>
      <c r="J877" s="9"/>
      <c r="K877" s="9"/>
      <c r="L877" s="9"/>
      <c r="M877" s="9"/>
      <c r="N877" s="9"/>
      <c r="O877" s="9"/>
      <c r="P877" s="9"/>
      <c r="Q877" s="9"/>
      <c r="R877" s="9"/>
      <c r="S877" s="9"/>
      <c r="T877" s="9"/>
      <c r="U877" s="1">
        <f t="shared" si="1060"/>
        <v>20</v>
      </c>
      <c r="V877" s="1">
        <f t="shared" si="1061"/>
        <v>240</v>
      </c>
    </row>
    <row r="878" spans="1:22" x14ac:dyDescent="0.3">
      <c r="A878" s="1">
        <f t="shared" si="1003"/>
        <v>20241</v>
      </c>
      <c r="B878" s="12">
        <f t="shared" si="1069"/>
        <v>0</v>
      </c>
      <c r="C878" s="13">
        <f t="shared" si="1070"/>
        <v>0</v>
      </c>
      <c r="D878" s="10">
        <f t="shared" si="1071"/>
        <v>0</v>
      </c>
      <c r="J878" s="9"/>
      <c r="K878" s="9"/>
      <c r="L878" s="9"/>
      <c r="M878" s="9"/>
      <c r="N878" s="9"/>
      <c r="O878" s="9"/>
      <c r="P878" s="9"/>
      <c r="Q878" s="9"/>
      <c r="R878" s="9"/>
      <c r="S878" s="9"/>
      <c r="T878" s="9"/>
      <c r="U878" s="1">
        <f t="shared" si="1060"/>
        <v>20</v>
      </c>
      <c r="V878" s="1">
        <f t="shared" si="1061"/>
        <v>241</v>
      </c>
    </row>
    <row r="879" spans="1:22" x14ac:dyDescent="0.3">
      <c r="A879" s="1">
        <f t="shared" si="1003"/>
        <v>20242</v>
      </c>
      <c r="B879" s="12">
        <f t="shared" si="1069"/>
        <v>0</v>
      </c>
      <c r="C879" s="13">
        <f t="shared" si="1070"/>
        <v>0</v>
      </c>
      <c r="D879" s="10">
        <f t="shared" si="1071"/>
        <v>0</v>
      </c>
      <c r="J879" s="9"/>
      <c r="K879" s="9"/>
      <c r="L879" s="9"/>
      <c r="M879" s="9"/>
      <c r="N879" s="9"/>
      <c r="O879" s="9"/>
      <c r="P879" s="9"/>
      <c r="Q879" s="9"/>
      <c r="R879" s="9"/>
      <c r="S879" s="9"/>
      <c r="T879" s="9"/>
      <c r="U879" s="1">
        <f t="shared" si="1060"/>
        <v>20</v>
      </c>
      <c r="V879" s="1">
        <f t="shared" si="1061"/>
        <v>242</v>
      </c>
    </row>
    <row r="880" spans="1:22" x14ac:dyDescent="0.3">
      <c r="A880" s="1">
        <f t="shared" si="1003"/>
        <v>20243</v>
      </c>
      <c r="J880" s="9"/>
      <c r="K880" s="9"/>
      <c r="L880" s="9"/>
      <c r="M880" s="9"/>
      <c r="N880" s="9"/>
      <c r="O880" s="9"/>
      <c r="P880" s="9"/>
      <c r="Q880" s="9"/>
      <c r="R880" s="9"/>
      <c r="S880" s="9"/>
      <c r="T880" s="9"/>
      <c r="U880" s="1">
        <f t="shared" si="1060"/>
        <v>20</v>
      </c>
      <c r="V880" s="1">
        <f t="shared" si="1061"/>
        <v>243</v>
      </c>
    </row>
    <row r="881" spans="1:22" s="5" customFormat="1" x14ac:dyDescent="0.3"/>
    <row r="882" spans="1:22" x14ac:dyDescent="0.3">
      <c r="A882" s="1">
        <f t="shared" ref="A882:A924" si="1086">ROUND(CONCATENATE(U882,V882),0)</f>
        <v>21201</v>
      </c>
      <c r="B882" s="96" t="s">
        <v>0</v>
      </c>
      <c r="C882" s="97"/>
      <c r="D882" s="110" t="s">
        <v>46</v>
      </c>
      <c r="E882" s="111"/>
      <c r="F882" s="111"/>
      <c r="G882" s="111"/>
      <c r="H882" s="112"/>
      <c r="J882" s="9"/>
      <c r="K882" s="9"/>
      <c r="L882" s="9"/>
      <c r="M882" s="9"/>
      <c r="N882" s="9"/>
      <c r="O882" s="9"/>
      <c r="P882" s="9"/>
      <c r="Q882" s="9"/>
      <c r="R882" s="9"/>
      <c r="S882" s="9"/>
      <c r="T882" s="9"/>
      <c r="U882" s="1">
        <f t="shared" ref="U882" si="1087">U880+1</f>
        <v>21</v>
      </c>
      <c r="V882" s="1">
        <v>201</v>
      </c>
    </row>
    <row r="883" spans="1:22" x14ac:dyDescent="0.3">
      <c r="A883" s="1">
        <f t="shared" si="1086"/>
        <v>21202</v>
      </c>
      <c r="B883" s="96" t="s">
        <v>1</v>
      </c>
      <c r="C883" s="97"/>
      <c r="D883" s="15">
        <v>25</v>
      </c>
      <c r="E883" s="16" t="s">
        <v>2</v>
      </c>
      <c r="F883" s="107"/>
      <c r="G883" s="108"/>
      <c r="H883" s="109"/>
      <c r="J883" s="9"/>
      <c r="K883" s="9"/>
      <c r="L883" s="9"/>
      <c r="M883" s="9"/>
      <c r="N883" s="9"/>
      <c r="O883" s="9"/>
      <c r="P883" s="9"/>
      <c r="Q883" s="9"/>
      <c r="R883" s="9"/>
      <c r="S883" s="9"/>
      <c r="T883" s="9"/>
      <c r="U883" s="1">
        <f t="shared" ref="U883" si="1088">U882</f>
        <v>21</v>
      </c>
      <c r="V883" s="1">
        <f t="shared" ref="V883" si="1089">V882+1</f>
        <v>202</v>
      </c>
    </row>
    <row r="884" spans="1:22" x14ac:dyDescent="0.3">
      <c r="A884" s="1">
        <f t="shared" si="1086"/>
        <v>21203</v>
      </c>
      <c r="B884" s="96" t="s">
        <v>12</v>
      </c>
      <c r="C884" s="97"/>
      <c r="D884" s="110" t="s">
        <v>221</v>
      </c>
      <c r="E884" s="111"/>
      <c r="F884" s="111"/>
      <c r="G884" s="111"/>
      <c r="H884" s="112"/>
      <c r="K884" s="1" t="s">
        <v>3</v>
      </c>
      <c r="L884" s="1" t="s">
        <v>4</v>
      </c>
      <c r="M884" s="1" t="s">
        <v>5</v>
      </c>
      <c r="N884" s="1" t="s">
        <v>6</v>
      </c>
      <c r="O884" s="1" t="s">
        <v>7</v>
      </c>
      <c r="P884" s="1" t="s">
        <v>8</v>
      </c>
      <c r="Q884" s="1" t="s">
        <v>9</v>
      </c>
      <c r="R884" s="1" t="s">
        <v>10</v>
      </c>
      <c r="S884" s="1" t="s">
        <v>11</v>
      </c>
      <c r="T884" s="9"/>
      <c r="U884" s="1">
        <f t="shared" si="1060"/>
        <v>21</v>
      </c>
      <c r="V884" s="1">
        <f t="shared" si="1061"/>
        <v>203</v>
      </c>
    </row>
    <row r="885" spans="1:22" x14ac:dyDescent="0.3">
      <c r="A885" s="1">
        <f t="shared" si="1086"/>
        <v>21204</v>
      </c>
      <c r="B885" s="96" t="s">
        <v>13</v>
      </c>
      <c r="C885" s="97"/>
      <c r="D885" s="110" t="s">
        <v>65</v>
      </c>
      <c r="E885" s="111"/>
      <c r="F885" s="111"/>
      <c r="G885" s="111"/>
      <c r="H885" s="112"/>
      <c r="J885" s="1">
        <f t="shared" ref="J885" si="1090">COUNTA(B898:B907)</f>
        <v>6</v>
      </c>
      <c r="K885" s="1">
        <f t="shared" ref="K885" si="1091">IF(L885-1&lt;2,0,L885-1)</f>
        <v>0</v>
      </c>
      <c r="L885" s="1">
        <f t="shared" ref="L885" si="1092">IF(M885-1&lt;2,0,M885-1)</f>
        <v>0</v>
      </c>
      <c r="M885" s="1">
        <f t="shared" ref="M885" si="1093">IF(N885-1&lt;2,0,N885-1)</f>
        <v>0</v>
      </c>
      <c r="N885" s="1">
        <f t="shared" ref="N885" si="1094">IF(O885-1&lt;2,0,O885-1)</f>
        <v>0</v>
      </c>
      <c r="O885" s="1">
        <f t="shared" ref="O885" si="1095">IF(P885-1&lt;2,0,P885-1)</f>
        <v>2</v>
      </c>
      <c r="P885" s="1">
        <f t="shared" ref="P885" si="1096">IF(Q885-1&lt;2,0,Q885-1)</f>
        <v>3</v>
      </c>
      <c r="Q885" s="1">
        <f t="shared" ref="Q885" si="1097">IF(R885-1&lt;2,0,R885-1)</f>
        <v>4</v>
      </c>
      <c r="R885" s="1">
        <f t="shared" ref="R885" si="1098">IF(S885-1&lt;2,0,S885-1)</f>
        <v>5</v>
      </c>
      <c r="S885" s="1">
        <f t="shared" ref="S885" si="1099">J885</f>
        <v>6</v>
      </c>
      <c r="T885" s="9"/>
      <c r="U885" s="1">
        <f t="shared" si="1060"/>
        <v>21</v>
      </c>
      <c r="V885" s="1">
        <f t="shared" si="1061"/>
        <v>204</v>
      </c>
    </row>
    <row r="886" spans="1:22" x14ac:dyDescent="0.3">
      <c r="A886" s="1">
        <f t="shared" si="1086"/>
        <v>21205</v>
      </c>
      <c r="B886" s="96" t="s">
        <v>14</v>
      </c>
      <c r="C886" s="97"/>
      <c r="D886" s="110" t="s">
        <v>66</v>
      </c>
      <c r="E886" s="111"/>
      <c r="F886" s="111"/>
      <c r="G886" s="111"/>
      <c r="H886" s="112"/>
      <c r="J886" s="24" t="str">
        <f t="shared" ref="J886" si="1100">CONCATENATE(J885,1)</f>
        <v>61</v>
      </c>
      <c r="K886" s="25">
        <f t="shared" ref="K886" si="1101">IF(K885=0,0,VLOOKUP(J886,J890:S920,K885,FALSE))</f>
        <v>0</v>
      </c>
      <c r="L886" s="25">
        <f t="shared" ref="L886" si="1102">IF(L885=0,0,VLOOKUP(J886,J890:S920,L885,FALSE))</f>
        <v>0</v>
      </c>
      <c r="M886" s="25">
        <f t="shared" ref="M886" si="1103">IF(M885=0,0,VLOOKUP(J886,J890:S920,M885,FALSE))</f>
        <v>0</v>
      </c>
      <c r="N886" s="25">
        <f t="shared" ref="N886" si="1104">IF(N885=0,0,VLOOKUP(J886,J890:S920,N885,FALSE))</f>
        <v>0</v>
      </c>
      <c r="O886" s="25">
        <f t="shared" ref="O886" si="1105">IF(O885=0,0,VLOOKUP(J886,J890:S920,O885,FALSE))</f>
        <v>-4.4729325471197262E-7</v>
      </c>
      <c r="P886" s="25">
        <f t="shared" ref="P886" si="1106">IF(P885=0,0,VLOOKUP(J886,J890:S920,P885,FALSE))</f>
        <v>7.9795887463132229E-5</v>
      </c>
      <c r="Q886" s="25">
        <f t="shared" ref="Q886" si="1107">IF(Q885=0,0,VLOOKUP(J886,J890:S920,Q885,FALSE))</f>
        <v>-3.4503456772005006E-3</v>
      </c>
      <c r="R886" s="25">
        <f t="shared" ref="R886" si="1108">IF(R885=0,0,VLOOKUP(J886,J890:S920,R885,FALSE))</f>
        <v>0.96083562112748744</v>
      </c>
      <c r="S886" s="25">
        <f t="shared" ref="S886" si="1109">IF(S885=0,0,VLOOKUP(J886,J890:S920,S885,FALSE))</f>
        <v>1.5432394476313807</v>
      </c>
      <c r="T886" s="9"/>
      <c r="U886" s="1">
        <f t="shared" si="1060"/>
        <v>21</v>
      </c>
      <c r="V886" s="1">
        <f t="shared" si="1061"/>
        <v>205</v>
      </c>
    </row>
    <row r="887" spans="1:22" x14ac:dyDescent="0.3">
      <c r="A887" s="1">
        <f t="shared" si="1086"/>
        <v>21206</v>
      </c>
      <c r="B887" s="96" t="s">
        <v>15</v>
      </c>
      <c r="C887" s="97"/>
      <c r="D887" s="110" t="s">
        <v>338</v>
      </c>
      <c r="E887" s="111"/>
      <c r="F887" s="111"/>
      <c r="G887" s="111"/>
      <c r="H887" s="112"/>
      <c r="J887" s="24" t="str">
        <f t="shared" ref="J887" si="1110">CONCATENATE(J885,2)</f>
        <v>62</v>
      </c>
      <c r="K887" s="6">
        <f t="shared" ref="K887" si="1111">IF(K885=0,0,VLOOKUP(J887,J890:S920,K885,FALSE))</f>
        <v>0</v>
      </c>
      <c r="L887" s="6">
        <f t="shared" ref="L887" si="1112">IF(L885=0,0,VLOOKUP(J887,J890:S920,L885,FALSE))</f>
        <v>0</v>
      </c>
      <c r="M887" s="6">
        <f t="shared" ref="M887" si="1113">IF(M885=0,0,VLOOKUP(J887,J890:S920,M885,FALSE))</f>
        <v>0</v>
      </c>
      <c r="N887" s="6">
        <f t="shared" ref="N887" si="1114">IF(N885=0,0,VLOOKUP(J887,J890:S920,N885,FALSE))</f>
        <v>0</v>
      </c>
      <c r="O887" s="6">
        <f t="shared" ref="O887" si="1115">IF(O885=0,0,VLOOKUP(J887,J890:S920,O885,FALSE))</f>
        <v>1.4565735209829517E-8</v>
      </c>
      <c r="P887" s="6">
        <f t="shared" ref="P887" si="1116">IF(P885=0,0,VLOOKUP(J887,J890:S920,P885,FALSE))</f>
        <v>3.0159338302766074E-6</v>
      </c>
      <c r="Q887" s="6">
        <f t="shared" ref="Q887" si="1117">IF(Q885=0,0,VLOOKUP(J887,J890:S920,Q885,FALSE))</f>
        <v>2.0097934318420672E-4</v>
      </c>
      <c r="R887" s="6">
        <f t="shared" ref="R887" si="1118">IF(R885=0,0,VLOOKUP(J887,J890:S920,R885,FALSE))</f>
        <v>4.6777999093698206E-3</v>
      </c>
      <c r="S887" s="6">
        <f t="shared" ref="S887" si="1119">IF(S885=0,0,VLOOKUP(J887,J890:S920,S885,FALSE))</f>
        <v>2.9664635514751174E-2</v>
      </c>
      <c r="T887" s="9"/>
      <c r="U887" s="1">
        <f t="shared" si="1060"/>
        <v>21</v>
      </c>
      <c r="V887" s="1">
        <f t="shared" si="1061"/>
        <v>206</v>
      </c>
    </row>
    <row r="888" spans="1:22" x14ac:dyDescent="0.3">
      <c r="A888" s="1">
        <f t="shared" si="1086"/>
        <v>21207</v>
      </c>
      <c r="B888" s="96" t="s">
        <v>16</v>
      </c>
      <c r="C888" s="97"/>
      <c r="D888" s="128">
        <v>45989</v>
      </c>
      <c r="E888" s="114"/>
      <c r="F888" s="114"/>
      <c r="G888" s="114"/>
      <c r="H888" s="115"/>
      <c r="J888" s="24" t="str">
        <f t="shared" ref="J888" si="1120">CONCATENATE(J885,3)</f>
        <v>63</v>
      </c>
      <c r="K888" s="6"/>
      <c r="L888" s="6"/>
      <c r="M888" s="6"/>
      <c r="N888" s="6" t="s">
        <v>43</v>
      </c>
      <c r="O888" s="25">
        <f t="shared" ref="O888" si="1121">J885-2</f>
        <v>4</v>
      </c>
      <c r="P888" s="6" t="s">
        <v>44</v>
      </c>
      <c r="Q888" s="25">
        <f t="shared" ref="Q888" si="1122">VLOOKUP(J888,J890:S920,3,FALSE)</f>
        <v>1.925309815391385E-2</v>
      </c>
      <c r="R888" s="6" t="s">
        <v>45</v>
      </c>
      <c r="S888" s="6">
        <f t="shared" ref="S888" si="1123">VLOOKUP(J888,J890:S920,2,FALSE)</f>
        <v>0.99999994276496917</v>
      </c>
      <c r="T888" s="9"/>
      <c r="U888" s="1">
        <f t="shared" si="1060"/>
        <v>21</v>
      </c>
      <c r="V888" s="1">
        <f t="shared" si="1061"/>
        <v>207</v>
      </c>
    </row>
    <row r="889" spans="1:22" x14ac:dyDescent="0.3">
      <c r="A889" s="1">
        <f t="shared" si="1086"/>
        <v>21208</v>
      </c>
      <c r="B889" s="96" t="s">
        <v>17</v>
      </c>
      <c r="C889" s="97"/>
      <c r="D889" s="116">
        <v>46170</v>
      </c>
      <c r="E889" s="117"/>
      <c r="F889" s="117"/>
      <c r="G889" s="117"/>
      <c r="H889" s="118"/>
      <c r="K889" s="1">
        <v>3</v>
      </c>
      <c r="L889" s="1">
        <v>3</v>
      </c>
      <c r="Q889" s="26"/>
      <c r="R889" s="26"/>
      <c r="S889" s="26"/>
      <c r="T889" s="9"/>
      <c r="U889" s="1">
        <f t="shared" si="1060"/>
        <v>21</v>
      </c>
      <c r="V889" s="1">
        <f t="shared" si="1061"/>
        <v>208</v>
      </c>
    </row>
    <row r="890" spans="1:22" x14ac:dyDescent="0.3">
      <c r="A890" s="1">
        <f t="shared" si="1086"/>
        <v>21209</v>
      </c>
      <c r="B890" s="77" t="s">
        <v>19</v>
      </c>
      <c r="C890" s="78"/>
      <c r="D890" s="17">
        <v>0.01</v>
      </c>
      <c r="E890" s="79" t="s">
        <v>40</v>
      </c>
      <c r="F890" s="80"/>
      <c r="G890" s="81"/>
      <c r="H890" s="18" t="s">
        <v>72</v>
      </c>
      <c r="J890" s="24" t="str">
        <f t="shared" ref="J890" si="1124">CONCATENATE(K889,1)</f>
        <v>31</v>
      </c>
      <c r="K890" s="6">
        <f t="array" ref="K890:L892">LINEST(B898:B900,C898:C900^{1},TRUE,TRUE)</f>
        <v>0.9133655726620703</v>
      </c>
      <c r="L890" s="6">
        <v>1.6738340694016358</v>
      </c>
      <c r="Q890" s="9"/>
      <c r="R890" s="9"/>
      <c r="S890" s="9"/>
      <c r="T890" s="9"/>
      <c r="U890" s="1">
        <f t="shared" si="1060"/>
        <v>21</v>
      </c>
      <c r="V890" s="1">
        <f t="shared" si="1061"/>
        <v>209</v>
      </c>
    </row>
    <row r="891" spans="1:22" x14ac:dyDescent="0.3">
      <c r="A891" s="1">
        <f t="shared" si="1086"/>
        <v>21210</v>
      </c>
      <c r="B891" s="77" t="s">
        <v>41</v>
      </c>
      <c r="C891" s="78"/>
      <c r="D891" s="23">
        <f t="shared" ref="D891" si="1125">MIN(B898:B907)</f>
        <v>5.01</v>
      </c>
      <c r="E891" s="20" t="s">
        <v>18</v>
      </c>
      <c r="F891" s="19">
        <f t="shared" ref="F891" si="1126">MAX(B898:B907)</f>
        <v>97.97</v>
      </c>
      <c r="G891" s="21" t="str">
        <f t="shared" ref="G891" si="1127">IF(H890="","",H890)</f>
        <v>%ur</v>
      </c>
      <c r="H891" s="22"/>
      <c r="J891" s="24" t="str">
        <f t="shared" ref="J891" si="1128">CONCATENATE(K889,2)</f>
        <v>32</v>
      </c>
      <c r="K891" s="6">
        <v>3.7637185621549029E-4</v>
      </c>
      <c r="L891" s="6">
        <v>8.0663273615645143E-3</v>
      </c>
      <c r="Q891" s="9"/>
      <c r="R891" s="9"/>
      <c r="S891" s="9"/>
      <c r="T891" s="9"/>
      <c r="U891" s="1">
        <f t="shared" si="1060"/>
        <v>21</v>
      </c>
      <c r="V891" s="1">
        <f t="shared" si="1061"/>
        <v>210</v>
      </c>
    </row>
    <row r="892" spans="1:22" x14ac:dyDescent="0.3">
      <c r="A892" s="1">
        <f t="shared" si="1086"/>
        <v>21211</v>
      </c>
      <c r="J892" s="24" t="str">
        <f t="shared" ref="J892" si="1129">CONCATENATE(K889,3)</f>
        <v>33</v>
      </c>
      <c r="K892" s="6">
        <v>0.99999983019716676</v>
      </c>
      <c r="L892" s="6">
        <v>7.3320953556859081E-3</v>
      </c>
      <c r="Q892" s="9"/>
      <c r="R892" s="9"/>
      <c r="S892" s="9"/>
      <c r="T892" s="9"/>
      <c r="U892" s="1">
        <f t="shared" si="1060"/>
        <v>21</v>
      </c>
      <c r="V892" s="1">
        <f t="shared" si="1061"/>
        <v>211</v>
      </c>
    </row>
    <row r="893" spans="1:22" x14ac:dyDescent="0.3">
      <c r="A893" s="1">
        <f t="shared" si="1086"/>
        <v>21212</v>
      </c>
      <c r="B893" s="82" t="s">
        <v>20</v>
      </c>
      <c r="C893" s="83"/>
      <c r="D893" s="83"/>
      <c r="E893" s="83"/>
      <c r="F893" s="84"/>
      <c r="G893" s="85" t="s">
        <v>31</v>
      </c>
      <c r="H893" s="86"/>
      <c r="K893" s="1">
        <v>4</v>
      </c>
      <c r="L893" s="1">
        <v>4</v>
      </c>
      <c r="M893" s="1">
        <v>4</v>
      </c>
      <c r="Q893" s="9"/>
      <c r="R893" s="9"/>
      <c r="S893" s="9"/>
      <c r="T893" s="9"/>
      <c r="U893" s="1">
        <f t="shared" si="1060"/>
        <v>21</v>
      </c>
      <c r="V893" s="1">
        <f t="shared" si="1061"/>
        <v>212</v>
      </c>
    </row>
    <row r="894" spans="1:22" x14ac:dyDescent="0.3">
      <c r="A894" s="1">
        <f t="shared" si="1086"/>
        <v>21213</v>
      </c>
      <c r="B894" s="82" t="s">
        <v>30</v>
      </c>
      <c r="C894" s="83"/>
      <c r="D894" s="84"/>
      <c r="E894" s="82" t="str">
        <f t="shared" ref="E894" si="1130">D887</f>
        <v>E0841/25</v>
      </c>
      <c r="F894" s="84"/>
      <c r="G894" s="6" t="s">
        <v>32</v>
      </c>
      <c r="H894" s="7" t="s">
        <v>319</v>
      </c>
      <c r="J894" s="24" t="str">
        <f t="shared" ref="J894" si="1131">CONCATENATE(K893,1)</f>
        <v>41</v>
      </c>
      <c r="K894" s="6">
        <f t="array" ref="K894:M896">LINEST(B898:B901,C898:C901^{1,2},TRUE,TRUE)</f>
        <v>8.0160564141697221E-4</v>
      </c>
      <c r="L894" s="6">
        <v>0.88755843483219321</v>
      </c>
      <c r="M894" s="6">
        <v>1.7813150958371091</v>
      </c>
      <c r="Q894" s="9"/>
      <c r="R894" s="9"/>
      <c r="S894" s="9"/>
      <c r="T894" s="9"/>
      <c r="U894" s="1">
        <f t="shared" si="1060"/>
        <v>21</v>
      </c>
      <c r="V894" s="1">
        <f t="shared" si="1061"/>
        <v>213</v>
      </c>
    </row>
    <row r="895" spans="1:22" x14ac:dyDescent="0.3">
      <c r="A895" s="1">
        <f t="shared" si="1086"/>
        <v>21214</v>
      </c>
      <c r="B895" s="2" t="s">
        <v>21</v>
      </c>
      <c r="C895" s="2" t="s">
        <v>22</v>
      </c>
      <c r="D895" s="2" t="s">
        <v>23</v>
      </c>
      <c r="E895" s="2"/>
      <c r="F895" s="2" t="s">
        <v>28</v>
      </c>
      <c r="G895" s="2" t="s">
        <v>21</v>
      </c>
      <c r="H895" s="2" t="s">
        <v>22</v>
      </c>
      <c r="J895" s="24" t="str">
        <f t="shared" ref="J895" si="1132">CONCATENATE(K893,2)</f>
        <v>42</v>
      </c>
      <c r="K895" s="6">
        <v>2.0793384362234957E-4</v>
      </c>
      <c r="L895" s="6">
        <v>1.214873873650418E-2</v>
      </c>
      <c r="M895" s="6">
        <v>0.14426423843161265</v>
      </c>
      <c r="Q895" s="9"/>
      <c r="R895" s="9"/>
      <c r="S895" s="9"/>
      <c r="T895" s="9"/>
      <c r="U895" s="1">
        <f t="shared" si="1060"/>
        <v>21</v>
      </c>
      <c r="V895" s="1">
        <f t="shared" si="1061"/>
        <v>214</v>
      </c>
    </row>
    <row r="896" spans="1:22" x14ac:dyDescent="0.3">
      <c r="A896" s="1">
        <f t="shared" si="1086"/>
        <v>21215</v>
      </c>
      <c r="B896" s="2" t="s">
        <v>24</v>
      </c>
      <c r="C896" s="2" t="s">
        <v>25</v>
      </c>
      <c r="D896" s="2" t="s">
        <v>26</v>
      </c>
      <c r="E896" s="2" t="s">
        <v>27</v>
      </c>
      <c r="F896" s="2" t="s">
        <v>29</v>
      </c>
      <c r="G896" s="2" t="s">
        <v>24</v>
      </c>
      <c r="H896" s="2" t="s">
        <v>25</v>
      </c>
      <c r="J896" s="24" t="str">
        <f t="shared" ref="J896" si="1133">CONCATENATE(K893,3)</f>
        <v>43</v>
      </c>
      <c r="K896" s="6">
        <v>0.99998789424842527</v>
      </c>
      <c r="L896" s="6">
        <v>0.11373346706374488</v>
      </c>
      <c r="M896" s="6" t="e">
        <v>#N/A</v>
      </c>
      <c r="Q896" s="9"/>
      <c r="R896" s="9"/>
      <c r="S896" s="9"/>
      <c r="T896" s="9"/>
      <c r="U896" s="1">
        <f t="shared" si="1060"/>
        <v>21</v>
      </c>
      <c r="V896" s="1">
        <f t="shared" si="1061"/>
        <v>215</v>
      </c>
    </row>
    <row r="897" spans="1:22" x14ac:dyDescent="0.3">
      <c r="A897" s="1">
        <f t="shared" si="1086"/>
        <v>21216</v>
      </c>
      <c r="B897" s="3" t="str">
        <f t="shared" ref="B897" si="1134">H890</f>
        <v>%ur</v>
      </c>
      <c r="C897" s="3" t="str">
        <f t="shared" ref="C897:D897" si="1135">B897</f>
        <v>%ur</v>
      </c>
      <c r="D897" s="3" t="str">
        <f t="shared" si="1135"/>
        <v>%ur</v>
      </c>
      <c r="E897" s="3"/>
      <c r="F897" s="3"/>
      <c r="G897" s="3" t="str">
        <f t="shared" ref="G897" si="1136">D897</f>
        <v>%ur</v>
      </c>
      <c r="H897" s="3" t="str">
        <f t="shared" ref="H897" si="1137">G897</f>
        <v>%ur</v>
      </c>
      <c r="K897" s="1">
        <v>5</v>
      </c>
      <c r="L897" s="1">
        <v>5</v>
      </c>
      <c r="M897" s="1">
        <v>5</v>
      </c>
      <c r="N897" s="1">
        <v>5</v>
      </c>
      <c r="Q897" s="9"/>
      <c r="R897" s="9"/>
      <c r="S897" s="9"/>
      <c r="T897" s="9"/>
      <c r="U897" s="1">
        <f t="shared" si="1060"/>
        <v>21</v>
      </c>
      <c r="V897" s="1">
        <f t="shared" si="1061"/>
        <v>216</v>
      </c>
    </row>
    <row r="898" spans="1:22" x14ac:dyDescent="0.3">
      <c r="A898" s="1">
        <f t="shared" si="1086"/>
        <v>21217</v>
      </c>
      <c r="B898" s="41">
        <v>5.01</v>
      </c>
      <c r="C898" s="41">
        <v>3.65</v>
      </c>
      <c r="D898" s="4">
        <v>0.25</v>
      </c>
      <c r="E898" s="4">
        <v>2.0299999999999998</v>
      </c>
      <c r="F898" s="14">
        <v>87</v>
      </c>
      <c r="G898" s="41">
        <v>5</v>
      </c>
      <c r="H898" s="41">
        <v>3.89</v>
      </c>
      <c r="J898" s="24" t="str">
        <f t="shared" ref="J898" si="1138">CONCATENATE(K897,1)</f>
        <v>51</v>
      </c>
      <c r="K898" s="6">
        <f t="array" ref="K898:N900">LINEST(B898:B902,C898:C902^{1,2,3},TRUE,TRUE)</f>
        <v>8.144818708195314E-6</v>
      </c>
      <c r="L898" s="6">
        <v>1.1268924725486898E-4</v>
      </c>
      <c r="M898" s="6">
        <v>0.90236210769130765</v>
      </c>
      <c r="N898" s="6">
        <v>1.7253451198267238</v>
      </c>
      <c r="Q898" s="9"/>
      <c r="R898" s="9"/>
      <c r="S898" s="9"/>
      <c r="T898" s="9"/>
      <c r="U898" s="1">
        <f t="shared" si="1060"/>
        <v>21</v>
      </c>
      <c r="V898" s="1">
        <f t="shared" si="1061"/>
        <v>217</v>
      </c>
    </row>
    <row r="899" spans="1:22" x14ac:dyDescent="0.3">
      <c r="A899" s="1">
        <f t="shared" si="1086"/>
        <v>21218</v>
      </c>
      <c r="B899" s="41">
        <v>19.989999999999998</v>
      </c>
      <c r="C899" s="41">
        <v>20.059999999999999</v>
      </c>
      <c r="D899" s="4">
        <v>0.25</v>
      </c>
      <c r="E899" s="4">
        <v>2.04</v>
      </c>
      <c r="F899" s="14">
        <v>66</v>
      </c>
      <c r="G899" s="41">
        <v>20.010000000000002</v>
      </c>
      <c r="H899" s="41">
        <v>20.84</v>
      </c>
      <c r="J899" s="24" t="str">
        <f t="shared" ref="J899" si="1139">CONCATENATE(K897,2)</f>
        <v>52</v>
      </c>
      <c r="K899" s="6">
        <v>3.1698795925745535E-6</v>
      </c>
      <c r="L899" s="6">
        <v>3.9902591986626092E-4</v>
      </c>
      <c r="M899" s="6">
        <v>1.3266381316843687E-2</v>
      </c>
      <c r="N899" s="6">
        <v>0.11307242584631813</v>
      </c>
      <c r="T899" s="9"/>
      <c r="U899" s="1">
        <f t="shared" si="1060"/>
        <v>21</v>
      </c>
      <c r="V899" s="1">
        <f t="shared" si="1061"/>
        <v>218</v>
      </c>
    </row>
    <row r="900" spans="1:22" x14ac:dyDescent="0.3">
      <c r="A900" s="1">
        <f t="shared" si="1086"/>
        <v>21219</v>
      </c>
      <c r="B900" s="41">
        <v>30.01</v>
      </c>
      <c r="C900" s="41">
        <v>31.02</v>
      </c>
      <c r="D900" s="4">
        <v>0.33</v>
      </c>
      <c r="E900" s="4">
        <v>2.04</v>
      </c>
      <c r="F900" s="14">
        <v>67</v>
      </c>
      <c r="G900" s="41">
        <v>30.01</v>
      </c>
      <c r="H900" s="41">
        <v>31.57</v>
      </c>
      <c r="J900" s="24" t="str">
        <f t="shared" ref="J900" si="1140">CONCATENATE(K897,3)</f>
        <v>53</v>
      </c>
      <c r="K900" s="6">
        <v>0.99999804356109878</v>
      </c>
      <c r="L900" s="6">
        <v>8.1303264989882607E-2</v>
      </c>
      <c r="M900" s="6" t="e">
        <v>#N/A</v>
      </c>
      <c r="N900" s="6" t="e">
        <v>#N/A</v>
      </c>
      <c r="T900" s="9"/>
      <c r="U900" s="1">
        <f t="shared" si="1060"/>
        <v>21</v>
      </c>
      <c r="V900" s="1">
        <f t="shared" si="1061"/>
        <v>219</v>
      </c>
    </row>
    <row r="901" spans="1:22" x14ac:dyDescent="0.3">
      <c r="A901" s="1">
        <f t="shared" si="1086"/>
        <v>21220</v>
      </c>
      <c r="B901" s="41">
        <v>50</v>
      </c>
      <c r="C901" s="41">
        <v>51.88</v>
      </c>
      <c r="D901" s="4">
        <v>0.53</v>
      </c>
      <c r="E901" s="4">
        <v>2.04</v>
      </c>
      <c r="F901" s="14">
        <v>67</v>
      </c>
      <c r="G901" s="41">
        <v>50.01</v>
      </c>
      <c r="H901" s="41">
        <v>52.73</v>
      </c>
      <c r="K901" s="1">
        <v>6</v>
      </c>
      <c r="L901" s="1">
        <v>6</v>
      </c>
      <c r="M901" s="1">
        <v>6</v>
      </c>
      <c r="N901" s="1">
        <v>6</v>
      </c>
      <c r="O901" s="1">
        <v>6</v>
      </c>
      <c r="T901" s="9"/>
      <c r="U901" s="1">
        <f t="shared" si="1060"/>
        <v>21</v>
      </c>
      <c r="V901" s="1">
        <f t="shared" si="1061"/>
        <v>220</v>
      </c>
    </row>
    <row r="902" spans="1:22" x14ac:dyDescent="0.3">
      <c r="A902" s="1">
        <f t="shared" si="1086"/>
        <v>21221</v>
      </c>
      <c r="B902" s="41">
        <v>79.989999999999995</v>
      </c>
      <c r="C902" s="41">
        <v>81.099999999999994</v>
      </c>
      <c r="D902" s="4">
        <v>0.8</v>
      </c>
      <c r="E902" s="4">
        <v>2.04</v>
      </c>
      <c r="F902" s="14">
        <v>68</v>
      </c>
      <c r="G902" s="41">
        <v>80.010000000000005</v>
      </c>
      <c r="H902" s="41">
        <v>82.2</v>
      </c>
      <c r="J902" s="24" t="str">
        <f t="shared" ref="J902" si="1141">CONCATENATE(K901,1)</f>
        <v>61</v>
      </c>
      <c r="K902" s="6">
        <f t="array" ref="K902:O904">LINEST(B898:B903,C898:C903^{1,2,3,4},TRUE,TRUE)</f>
        <v>-4.4729325471197262E-7</v>
      </c>
      <c r="L902" s="6">
        <v>7.9795887463132229E-5</v>
      </c>
      <c r="M902" s="6">
        <v>-3.4503456772005006E-3</v>
      </c>
      <c r="N902" s="6">
        <v>0.96083562112748744</v>
      </c>
      <c r="O902" s="6">
        <v>1.5432394476313807</v>
      </c>
      <c r="T902" s="9"/>
      <c r="U902" s="1">
        <f t="shared" si="1060"/>
        <v>21</v>
      </c>
      <c r="V902" s="1">
        <f t="shared" si="1061"/>
        <v>221</v>
      </c>
    </row>
    <row r="903" spans="1:22" x14ac:dyDescent="0.3">
      <c r="A903" s="1">
        <f t="shared" si="1086"/>
        <v>21222</v>
      </c>
      <c r="B903" s="41">
        <v>97.97</v>
      </c>
      <c r="C903" s="41">
        <v>99.75</v>
      </c>
      <c r="D903" s="4">
        <v>0.93</v>
      </c>
      <c r="E903" s="4">
        <v>2.04</v>
      </c>
      <c r="F903" s="14">
        <v>62</v>
      </c>
      <c r="G903" s="41">
        <v>95.04</v>
      </c>
      <c r="H903" s="41">
        <v>98.95</v>
      </c>
      <c r="J903" s="24" t="str">
        <f t="shared" ref="J903" si="1142">CONCATENATE(K901,2)</f>
        <v>62</v>
      </c>
      <c r="K903" s="6">
        <v>1.4565735209829517E-8</v>
      </c>
      <c r="L903" s="6">
        <v>3.0159338302766074E-6</v>
      </c>
      <c r="M903" s="6">
        <v>2.0097934318420672E-4</v>
      </c>
      <c r="N903" s="6">
        <v>4.6777999093698206E-3</v>
      </c>
      <c r="O903" s="6">
        <v>2.9664635514751174E-2</v>
      </c>
      <c r="T903" s="9"/>
      <c r="U903" s="1">
        <f t="shared" si="1060"/>
        <v>21</v>
      </c>
      <c r="V903" s="1">
        <f t="shared" si="1061"/>
        <v>222</v>
      </c>
    </row>
    <row r="904" spans="1:22" x14ac:dyDescent="0.3">
      <c r="A904" s="1">
        <f t="shared" si="1086"/>
        <v>21223</v>
      </c>
      <c r="B904" s="4"/>
      <c r="C904" s="4"/>
      <c r="D904" s="4"/>
      <c r="E904" s="4"/>
      <c r="F904" s="14"/>
      <c r="G904" s="8"/>
      <c r="H904" s="7"/>
      <c r="J904" s="24" t="str">
        <f t="shared" ref="J904" si="1143">CONCATENATE(K901,3)</f>
        <v>63</v>
      </c>
      <c r="K904" s="6">
        <v>0.99999994276496917</v>
      </c>
      <c r="L904" s="6">
        <v>1.925309815391385E-2</v>
      </c>
      <c r="M904" s="6" t="e">
        <v>#N/A</v>
      </c>
      <c r="N904" s="6" t="e">
        <v>#N/A</v>
      </c>
      <c r="O904" s="6" t="e">
        <v>#N/A</v>
      </c>
      <c r="T904" s="9"/>
      <c r="U904" s="1">
        <f t="shared" si="1060"/>
        <v>21</v>
      </c>
      <c r="V904" s="1">
        <f t="shared" si="1061"/>
        <v>223</v>
      </c>
    </row>
    <row r="905" spans="1:22" x14ac:dyDescent="0.3">
      <c r="A905" s="1">
        <f t="shared" si="1086"/>
        <v>21224</v>
      </c>
      <c r="B905" s="4"/>
      <c r="C905" s="4"/>
      <c r="D905" s="4"/>
      <c r="E905" s="4"/>
      <c r="F905" s="14"/>
      <c r="G905" s="8"/>
      <c r="H905" s="7"/>
      <c r="K905" s="1">
        <v>7</v>
      </c>
      <c r="L905" s="1">
        <v>7</v>
      </c>
      <c r="M905" s="1">
        <v>7</v>
      </c>
      <c r="N905" s="1">
        <v>7</v>
      </c>
      <c r="O905" s="1">
        <v>7</v>
      </c>
      <c r="P905" s="1">
        <v>7</v>
      </c>
      <c r="T905" s="9"/>
      <c r="U905" s="1">
        <f t="shared" si="1060"/>
        <v>21</v>
      </c>
      <c r="V905" s="1">
        <f t="shared" si="1061"/>
        <v>224</v>
      </c>
    </row>
    <row r="906" spans="1:22" x14ac:dyDescent="0.3">
      <c r="A906" s="1">
        <f t="shared" si="1086"/>
        <v>21225</v>
      </c>
      <c r="B906" s="4"/>
      <c r="C906" s="4"/>
      <c r="D906" s="4"/>
      <c r="E906" s="4"/>
      <c r="F906" s="14"/>
      <c r="G906" s="8"/>
      <c r="H906" s="7"/>
      <c r="J906" s="24" t="str">
        <f t="shared" ref="J906" si="1144">CONCATENATE(K905,1)</f>
        <v>71</v>
      </c>
      <c r="K906" s="6" t="e">
        <f t="array" ref="K906:P908">LINEST(B898:B904,C898:C904^{1,2,3,4,5},TRUE,TRUE)</f>
        <v>#VALUE!</v>
      </c>
      <c r="L906" s="6" t="e">
        <v>#VALUE!</v>
      </c>
      <c r="M906" s="6" t="e">
        <v>#VALUE!</v>
      </c>
      <c r="N906" s="6" t="e">
        <v>#VALUE!</v>
      </c>
      <c r="O906" s="6" t="e">
        <v>#VALUE!</v>
      </c>
      <c r="P906" s="6" t="e">
        <v>#VALUE!</v>
      </c>
      <c r="T906" s="9"/>
      <c r="U906" s="1">
        <f t="shared" si="1060"/>
        <v>21</v>
      </c>
      <c r="V906" s="1">
        <f t="shared" si="1061"/>
        <v>225</v>
      </c>
    </row>
    <row r="907" spans="1:22" x14ac:dyDescent="0.3">
      <c r="A907" s="1">
        <f t="shared" si="1086"/>
        <v>21226</v>
      </c>
      <c r="B907" s="4"/>
      <c r="C907" s="4"/>
      <c r="D907" s="4"/>
      <c r="E907" s="4"/>
      <c r="F907" s="14"/>
      <c r="G907" s="8"/>
      <c r="H907" s="7"/>
      <c r="J907" s="24" t="str">
        <f t="shared" ref="J907" si="1145">CONCATENATE(K905,2)</f>
        <v>72</v>
      </c>
      <c r="K907" s="6" t="e">
        <v>#VALUE!</v>
      </c>
      <c r="L907" s="6" t="e">
        <v>#VALUE!</v>
      </c>
      <c r="M907" s="6" t="e">
        <v>#VALUE!</v>
      </c>
      <c r="N907" s="6" t="e">
        <v>#VALUE!</v>
      </c>
      <c r="O907" s="6" t="e">
        <v>#VALUE!</v>
      </c>
      <c r="P907" s="6" t="e">
        <v>#VALUE!</v>
      </c>
      <c r="T907" s="9"/>
      <c r="U907" s="1">
        <f t="shared" si="1060"/>
        <v>21</v>
      </c>
      <c r="V907" s="1">
        <f t="shared" si="1061"/>
        <v>226</v>
      </c>
    </row>
    <row r="908" spans="1:22" x14ac:dyDescent="0.3">
      <c r="A908" s="1">
        <f t="shared" si="1086"/>
        <v>21227</v>
      </c>
      <c r="B908" s="9"/>
      <c r="C908" s="9"/>
      <c r="D908" s="9"/>
      <c r="E908" s="9"/>
      <c r="F908" s="9"/>
      <c r="G908" s="9"/>
      <c r="H908" s="9"/>
      <c r="J908" s="24" t="str">
        <f t="shared" ref="J908" si="1146">CONCATENATE(K905,3)</f>
        <v>73</v>
      </c>
      <c r="K908" s="6" t="e">
        <v>#VALUE!</v>
      </c>
      <c r="L908" s="6" t="e">
        <v>#VALUE!</v>
      </c>
      <c r="M908" s="6" t="e">
        <v>#VALUE!</v>
      </c>
      <c r="N908" s="6" t="e">
        <v>#VALUE!</v>
      </c>
      <c r="O908" s="6" t="e">
        <v>#VALUE!</v>
      </c>
      <c r="P908" s="6" t="e">
        <v>#VALUE!</v>
      </c>
      <c r="T908" s="9"/>
      <c r="U908" s="1">
        <f t="shared" si="1060"/>
        <v>21</v>
      </c>
      <c r="V908" s="1">
        <f t="shared" si="1061"/>
        <v>227</v>
      </c>
    </row>
    <row r="909" spans="1:22" x14ac:dyDescent="0.3">
      <c r="A909" s="1">
        <f t="shared" si="1086"/>
        <v>21228</v>
      </c>
      <c r="B909" s="87" t="s">
        <v>33</v>
      </c>
      <c r="C909" s="88"/>
      <c r="D909" s="88"/>
      <c r="E909" s="88"/>
      <c r="F909" s="88"/>
      <c r="G909" s="88"/>
      <c r="H909" s="89"/>
      <c r="K909" s="1">
        <v>8</v>
      </c>
      <c r="L909" s="1">
        <v>8</v>
      </c>
      <c r="M909" s="1">
        <v>8</v>
      </c>
      <c r="N909" s="1">
        <v>8</v>
      </c>
      <c r="O909" s="1">
        <v>8</v>
      </c>
      <c r="P909" s="1">
        <v>8</v>
      </c>
      <c r="Q909" s="1">
        <v>8</v>
      </c>
      <c r="T909" s="9"/>
      <c r="U909" s="1">
        <f t="shared" si="1060"/>
        <v>21</v>
      </c>
      <c r="V909" s="1">
        <f t="shared" si="1061"/>
        <v>228</v>
      </c>
    </row>
    <row r="910" spans="1:22" x14ac:dyDescent="0.3">
      <c r="A910" s="1">
        <f t="shared" si="1086"/>
        <v>21229</v>
      </c>
      <c r="B910" s="90"/>
      <c r="C910" s="91"/>
      <c r="D910" s="91"/>
      <c r="E910" s="91"/>
      <c r="F910" s="91"/>
      <c r="G910" s="91"/>
      <c r="H910" s="92"/>
      <c r="J910" s="24" t="str">
        <f t="shared" ref="J910" si="1147">CONCATENATE(K909,1)</f>
        <v>81</v>
      </c>
      <c r="K910" s="6" t="e">
        <f t="array" ref="K910:Q912">LINEST(B898:B905,C898:C905^{1,2,3,4,5,6},TRUE,TRUE)</f>
        <v>#VALUE!</v>
      </c>
      <c r="L910" s="6" t="e">
        <v>#VALUE!</v>
      </c>
      <c r="M910" s="6" t="e">
        <v>#VALUE!</v>
      </c>
      <c r="N910" s="6" t="e">
        <v>#VALUE!</v>
      </c>
      <c r="O910" s="6" t="e">
        <v>#VALUE!</v>
      </c>
      <c r="P910" s="6" t="e">
        <v>#VALUE!</v>
      </c>
      <c r="Q910" s="6" t="e">
        <v>#VALUE!</v>
      </c>
      <c r="T910" s="9"/>
      <c r="U910" s="1">
        <f t="shared" si="1060"/>
        <v>21</v>
      </c>
      <c r="V910" s="1">
        <f t="shared" si="1061"/>
        <v>229</v>
      </c>
    </row>
    <row r="911" spans="1:22" x14ac:dyDescent="0.3">
      <c r="A911" s="1">
        <f t="shared" si="1086"/>
        <v>21230</v>
      </c>
      <c r="B911" s="93"/>
      <c r="C911" s="94"/>
      <c r="D911" s="94"/>
      <c r="E911" s="94"/>
      <c r="F911" s="94"/>
      <c r="G911" s="94"/>
      <c r="H911" s="95"/>
      <c r="J911" s="24" t="str">
        <f t="shared" ref="J911" si="1148">CONCATENATE(K909,2)</f>
        <v>82</v>
      </c>
      <c r="K911" s="6" t="e">
        <v>#VALUE!</v>
      </c>
      <c r="L911" s="6" t="e">
        <v>#VALUE!</v>
      </c>
      <c r="M911" s="6" t="e">
        <v>#VALUE!</v>
      </c>
      <c r="N911" s="6" t="e">
        <v>#VALUE!</v>
      </c>
      <c r="O911" s="6" t="e">
        <v>#VALUE!</v>
      </c>
      <c r="P911" s="6" t="e">
        <v>#VALUE!</v>
      </c>
      <c r="Q911" s="6" t="e">
        <v>#VALUE!</v>
      </c>
      <c r="T911" s="9"/>
      <c r="U911" s="1">
        <f t="shared" si="1060"/>
        <v>21</v>
      </c>
      <c r="V911" s="1">
        <f t="shared" si="1061"/>
        <v>230</v>
      </c>
    </row>
    <row r="912" spans="1:22" x14ac:dyDescent="0.3">
      <c r="A912" s="1">
        <f t="shared" si="1086"/>
        <v>21231</v>
      </c>
      <c r="J912" s="24" t="str">
        <f t="shared" ref="J912" si="1149">CONCATENATE(K909,3)</f>
        <v>83</v>
      </c>
      <c r="K912" s="6" t="e">
        <v>#VALUE!</v>
      </c>
      <c r="L912" s="6" t="e">
        <v>#VALUE!</v>
      </c>
      <c r="M912" s="6" t="e">
        <v>#VALUE!</v>
      </c>
      <c r="N912" s="6" t="e">
        <v>#VALUE!</v>
      </c>
      <c r="O912" s="6" t="e">
        <v>#VALUE!</v>
      </c>
      <c r="P912" s="6" t="e">
        <v>#VALUE!</v>
      </c>
      <c r="Q912" s="6" t="e">
        <v>#VALUE!</v>
      </c>
      <c r="T912" s="9"/>
      <c r="U912" s="1">
        <f t="shared" si="1060"/>
        <v>21</v>
      </c>
      <c r="V912" s="1">
        <f t="shared" si="1061"/>
        <v>231</v>
      </c>
    </row>
    <row r="913" spans="1:22" ht="15" customHeight="1" x14ac:dyDescent="0.3">
      <c r="A913" s="1">
        <f t="shared" si="1086"/>
        <v>21232</v>
      </c>
      <c r="B913" s="10" t="s">
        <v>34</v>
      </c>
      <c r="C913" s="10" t="s">
        <v>35</v>
      </c>
      <c r="D913" s="10" t="s">
        <v>36</v>
      </c>
      <c r="E913" s="74" t="s">
        <v>37</v>
      </c>
      <c r="F913" s="75"/>
      <c r="G913" s="76"/>
      <c r="K913" s="1">
        <v>9</v>
      </c>
      <c r="L913" s="1">
        <v>9</v>
      </c>
      <c r="M913" s="1">
        <v>9</v>
      </c>
      <c r="N913" s="1">
        <v>9</v>
      </c>
      <c r="O913" s="1">
        <v>9</v>
      </c>
      <c r="P913" s="1">
        <v>9</v>
      </c>
      <c r="Q913" s="1">
        <v>9</v>
      </c>
      <c r="R913" s="1">
        <v>9</v>
      </c>
      <c r="T913" s="9"/>
      <c r="U913" s="1">
        <f t="shared" si="1060"/>
        <v>21</v>
      </c>
      <c r="V913" s="1">
        <f t="shared" si="1061"/>
        <v>232</v>
      </c>
    </row>
    <row r="914" spans="1:22" x14ac:dyDescent="0.3">
      <c r="A914" s="1">
        <f t="shared" si="1086"/>
        <v>21233</v>
      </c>
      <c r="B914" s="12">
        <f t="shared" ref="B914:B923" si="1150">C898-B898</f>
        <v>-1.3599999999999999</v>
      </c>
      <c r="C914" s="13">
        <f t="shared" ref="C914:C923" si="1151">H898-G898</f>
        <v>-1.1099999999999999</v>
      </c>
      <c r="D914" s="10">
        <f t="shared" ref="D914:D923" si="1152">C914-B914</f>
        <v>0.25</v>
      </c>
      <c r="E914" s="11">
        <f t="shared" ref="E914" si="1153">IF(D887="","",MAX(F914,G914))</f>
        <v>2.1299999999999955</v>
      </c>
      <c r="F914" s="10">
        <f t="shared" ref="F914" si="1154">ABS(MIN(D914:D923))</f>
        <v>0</v>
      </c>
      <c r="G914" s="10">
        <f t="shared" ref="G914" si="1155">ABS(MAX(D914:D923))</f>
        <v>2.1299999999999955</v>
      </c>
      <c r="J914" s="24" t="str">
        <f t="shared" ref="J914" si="1156">CONCATENATE(K913,1)</f>
        <v>91</v>
      </c>
      <c r="K914" s="6" t="e">
        <f t="array" ref="K914:R916">LINEST(B898:B906,C898:C906^{1,2,3,4,5,6,7},TRUE,TRUE)</f>
        <v>#VALUE!</v>
      </c>
      <c r="L914" s="6" t="e">
        <v>#VALUE!</v>
      </c>
      <c r="M914" s="6" t="e">
        <v>#VALUE!</v>
      </c>
      <c r="N914" s="6" t="e">
        <v>#VALUE!</v>
      </c>
      <c r="O914" s="6" t="e">
        <v>#VALUE!</v>
      </c>
      <c r="P914" s="6" t="e">
        <v>#VALUE!</v>
      </c>
      <c r="Q914" s="6" t="e">
        <v>#VALUE!</v>
      </c>
      <c r="R914" s="6" t="e">
        <v>#VALUE!</v>
      </c>
      <c r="T914" s="9"/>
      <c r="U914" s="1">
        <f t="shared" si="1060"/>
        <v>21</v>
      </c>
      <c r="V914" s="1">
        <f t="shared" si="1061"/>
        <v>233</v>
      </c>
    </row>
    <row r="915" spans="1:22" x14ac:dyDescent="0.3">
      <c r="A915" s="1">
        <f t="shared" si="1086"/>
        <v>21234</v>
      </c>
      <c r="B915" s="12">
        <f t="shared" si="1150"/>
        <v>7.0000000000000284E-2</v>
      </c>
      <c r="C915" s="13">
        <f t="shared" si="1151"/>
        <v>0.82999999999999829</v>
      </c>
      <c r="D915" s="10">
        <f t="shared" si="1152"/>
        <v>0.75999999999999801</v>
      </c>
      <c r="E915" s="74" t="s">
        <v>38</v>
      </c>
      <c r="F915" s="75"/>
      <c r="G915" s="76"/>
      <c r="J915" s="24" t="str">
        <f t="shared" ref="J915" si="1157">CONCATENATE(K913,2)</f>
        <v>92</v>
      </c>
      <c r="K915" s="6" t="e">
        <v>#VALUE!</v>
      </c>
      <c r="L915" s="6" t="e">
        <v>#VALUE!</v>
      </c>
      <c r="M915" s="6" t="e">
        <v>#VALUE!</v>
      </c>
      <c r="N915" s="6" t="e">
        <v>#VALUE!</v>
      </c>
      <c r="O915" s="6" t="e">
        <v>#VALUE!</v>
      </c>
      <c r="P915" s="6" t="e">
        <v>#VALUE!</v>
      </c>
      <c r="Q915" s="6" t="e">
        <v>#VALUE!</v>
      </c>
      <c r="R915" s="6" t="e">
        <v>#VALUE!</v>
      </c>
      <c r="T915" s="9"/>
      <c r="U915" s="1">
        <f t="shared" si="1060"/>
        <v>21</v>
      </c>
      <c r="V915" s="1">
        <f t="shared" si="1061"/>
        <v>234</v>
      </c>
    </row>
    <row r="916" spans="1:22" x14ac:dyDescent="0.3">
      <c r="A916" s="1">
        <f t="shared" si="1086"/>
        <v>21235</v>
      </c>
      <c r="B916" s="12">
        <f t="shared" si="1150"/>
        <v>1.009999999999998</v>
      </c>
      <c r="C916" s="13">
        <f t="shared" si="1151"/>
        <v>1.5599999999999987</v>
      </c>
      <c r="D916" s="10">
        <f t="shared" si="1152"/>
        <v>0.55000000000000071</v>
      </c>
      <c r="E916" s="11">
        <f t="shared" ref="E916" si="1158">IF(D889="","",MAX(F916,G916))</f>
        <v>1.8800000000000026</v>
      </c>
      <c r="F916" s="10">
        <f t="shared" ref="F916" si="1159">ABS(MIN(B914:B923))</f>
        <v>1.3599999999999999</v>
      </c>
      <c r="G916" s="10">
        <f t="shared" ref="G916" si="1160">ABS(MAX(B914:B923))</f>
        <v>1.8800000000000026</v>
      </c>
      <c r="J916" s="24" t="str">
        <f t="shared" ref="J916" si="1161">CONCATENATE(K913,3)</f>
        <v>93</v>
      </c>
      <c r="K916" s="6" t="e">
        <v>#VALUE!</v>
      </c>
      <c r="L916" s="6" t="e">
        <v>#VALUE!</v>
      </c>
      <c r="M916" s="6" t="e">
        <v>#VALUE!</v>
      </c>
      <c r="N916" s="6" t="e">
        <v>#VALUE!</v>
      </c>
      <c r="O916" s="6" t="e">
        <v>#VALUE!</v>
      </c>
      <c r="P916" s="6" t="e">
        <v>#VALUE!</v>
      </c>
      <c r="Q916" s="6" t="e">
        <v>#VALUE!</v>
      </c>
      <c r="R916" s="6" t="e">
        <v>#VALUE!</v>
      </c>
      <c r="T916" s="9"/>
      <c r="U916" s="1">
        <f t="shared" si="1060"/>
        <v>21</v>
      </c>
      <c r="V916" s="1">
        <f t="shared" si="1061"/>
        <v>235</v>
      </c>
    </row>
    <row r="917" spans="1:22" x14ac:dyDescent="0.3">
      <c r="A917" s="1">
        <f t="shared" si="1086"/>
        <v>21236</v>
      </c>
      <c r="B917" s="12">
        <f t="shared" si="1150"/>
        <v>1.8800000000000026</v>
      </c>
      <c r="C917" s="13">
        <f t="shared" si="1151"/>
        <v>2.7199999999999989</v>
      </c>
      <c r="D917" s="10">
        <f t="shared" si="1152"/>
        <v>0.83999999999999631</v>
      </c>
      <c r="E917" s="74" t="s">
        <v>39</v>
      </c>
      <c r="F917" s="75"/>
      <c r="G917" s="76"/>
      <c r="K917" s="1">
        <v>10</v>
      </c>
      <c r="L917" s="1">
        <v>10</v>
      </c>
      <c r="M917" s="1">
        <v>10</v>
      </c>
      <c r="N917" s="1">
        <v>10</v>
      </c>
      <c r="O917" s="1">
        <v>10</v>
      </c>
      <c r="P917" s="1">
        <v>10</v>
      </c>
      <c r="Q917" s="1">
        <v>10</v>
      </c>
      <c r="R917" s="1">
        <v>10</v>
      </c>
      <c r="S917" s="1">
        <v>10</v>
      </c>
      <c r="T917" s="9"/>
      <c r="U917" s="1">
        <f t="shared" si="1060"/>
        <v>21</v>
      </c>
      <c r="V917" s="1">
        <f t="shared" si="1061"/>
        <v>236</v>
      </c>
    </row>
    <row r="918" spans="1:22" x14ac:dyDescent="0.3">
      <c r="A918" s="1">
        <f t="shared" si="1086"/>
        <v>21237</v>
      </c>
      <c r="B918" s="12">
        <f t="shared" si="1150"/>
        <v>1.1099999999999994</v>
      </c>
      <c r="C918" s="13">
        <f t="shared" si="1151"/>
        <v>2.1899999999999977</v>
      </c>
      <c r="D918" s="10">
        <f t="shared" si="1152"/>
        <v>1.0799999999999983</v>
      </c>
      <c r="E918" s="11">
        <f t="shared" ref="E918" si="1162">IF(D889="","",MAX(F918,G918))</f>
        <v>0.93</v>
      </c>
      <c r="F918" s="10">
        <f t="shared" ref="F918" si="1163">ABS(MIN(D898:D907))</f>
        <v>0.25</v>
      </c>
      <c r="G918" s="10">
        <f t="shared" ref="G918" si="1164">ABS(MAX(D898:D907))</f>
        <v>0.93</v>
      </c>
      <c r="J918" s="24" t="str">
        <f t="shared" ref="J918" si="1165">CONCATENATE(K917,1)</f>
        <v>101</v>
      </c>
      <c r="K918" s="6" t="e">
        <f t="array" ref="K918:S920">LINEST(B898:B907,C898:C907^{1,2,3,4,5,6,7,8},TRUE,TRUE)</f>
        <v>#VALUE!</v>
      </c>
      <c r="L918" s="6" t="e">
        <v>#VALUE!</v>
      </c>
      <c r="M918" s="6" t="e">
        <v>#VALUE!</v>
      </c>
      <c r="N918" s="6" t="e">
        <v>#VALUE!</v>
      </c>
      <c r="O918" s="6" t="e">
        <v>#VALUE!</v>
      </c>
      <c r="P918" s="6" t="e">
        <v>#VALUE!</v>
      </c>
      <c r="Q918" s="6" t="e">
        <v>#VALUE!</v>
      </c>
      <c r="R918" s="6" t="e">
        <v>#VALUE!</v>
      </c>
      <c r="S918" s="6" t="e">
        <v>#VALUE!</v>
      </c>
      <c r="T918" s="9"/>
      <c r="U918" s="1">
        <f t="shared" si="1060"/>
        <v>21</v>
      </c>
      <c r="V918" s="1">
        <f t="shared" si="1061"/>
        <v>237</v>
      </c>
    </row>
    <row r="919" spans="1:22" x14ac:dyDescent="0.3">
      <c r="A919" s="1">
        <f t="shared" si="1086"/>
        <v>21238</v>
      </c>
      <c r="B919" s="12">
        <f t="shared" si="1150"/>
        <v>1.7800000000000011</v>
      </c>
      <c r="C919" s="13">
        <f t="shared" si="1151"/>
        <v>3.9099999999999966</v>
      </c>
      <c r="D919" s="10">
        <f t="shared" si="1152"/>
        <v>2.1299999999999955</v>
      </c>
      <c r="J919" s="24" t="str">
        <f t="shared" ref="J919" si="1166">CONCATENATE(K917,2)</f>
        <v>102</v>
      </c>
      <c r="K919" s="6" t="e">
        <v>#VALUE!</v>
      </c>
      <c r="L919" s="6" t="e">
        <v>#VALUE!</v>
      </c>
      <c r="M919" s="6" t="e">
        <v>#VALUE!</v>
      </c>
      <c r="N919" s="6" t="e">
        <v>#VALUE!</v>
      </c>
      <c r="O919" s="6" t="e">
        <v>#VALUE!</v>
      </c>
      <c r="P919" s="6" t="e">
        <v>#VALUE!</v>
      </c>
      <c r="Q919" s="6" t="e">
        <v>#VALUE!</v>
      </c>
      <c r="R919" s="6" t="e">
        <v>#VALUE!</v>
      </c>
      <c r="S919" s="6" t="e">
        <v>#VALUE!</v>
      </c>
      <c r="T919" s="9"/>
      <c r="U919" s="1">
        <f t="shared" si="1060"/>
        <v>21</v>
      </c>
      <c r="V919" s="1">
        <f t="shared" si="1061"/>
        <v>238</v>
      </c>
    </row>
    <row r="920" spans="1:22" x14ac:dyDescent="0.3">
      <c r="A920" s="1">
        <f t="shared" si="1086"/>
        <v>21239</v>
      </c>
      <c r="B920" s="12">
        <f t="shared" si="1150"/>
        <v>0</v>
      </c>
      <c r="C920" s="13">
        <f t="shared" si="1151"/>
        <v>0</v>
      </c>
      <c r="D920" s="10">
        <f t="shared" si="1152"/>
        <v>0</v>
      </c>
      <c r="J920" s="24" t="str">
        <f t="shared" ref="J920" si="1167">CONCATENATE(K917,3)</f>
        <v>103</v>
      </c>
      <c r="K920" s="6" t="e">
        <v>#VALUE!</v>
      </c>
      <c r="L920" s="6" t="e">
        <v>#VALUE!</v>
      </c>
      <c r="M920" s="6" t="e">
        <v>#VALUE!</v>
      </c>
      <c r="N920" s="6" t="e">
        <v>#VALUE!</v>
      </c>
      <c r="O920" s="6" t="e">
        <v>#VALUE!</v>
      </c>
      <c r="P920" s="6" t="e">
        <v>#VALUE!</v>
      </c>
      <c r="Q920" s="6" t="e">
        <v>#VALUE!</v>
      </c>
      <c r="R920" s="6" t="e">
        <v>#VALUE!</v>
      </c>
      <c r="S920" s="6" t="e">
        <v>#VALUE!</v>
      </c>
      <c r="T920" s="9"/>
      <c r="U920" s="1">
        <f t="shared" si="1060"/>
        <v>21</v>
      </c>
      <c r="V920" s="1">
        <f t="shared" si="1061"/>
        <v>239</v>
      </c>
    </row>
    <row r="921" spans="1:22" x14ac:dyDescent="0.3">
      <c r="A921" s="1">
        <f t="shared" si="1086"/>
        <v>21240</v>
      </c>
      <c r="B921" s="12">
        <f t="shared" si="1150"/>
        <v>0</v>
      </c>
      <c r="C921" s="13">
        <f t="shared" si="1151"/>
        <v>0</v>
      </c>
      <c r="D921" s="10">
        <f t="shared" si="1152"/>
        <v>0</v>
      </c>
      <c r="J921" s="9"/>
      <c r="K921" s="9"/>
      <c r="L921" s="9"/>
      <c r="M921" s="9"/>
      <c r="N921" s="9"/>
      <c r="O921" s="9"/>
      <c r="P921" s="9"/>
      <c r="Q921" s="9"/>
      <c r="R921" s="9"/>
      <c r="S921" s="9"/>
      <c r="T921" s="9"/>
      <c r="U921" s="1">
        <f t="shared" si="1060"/>
        <v>21</v>
      </c>
      <c r="V921" s="1">
        <f t="shared" si="1061"/>
        <v>240</v>
      </c>
    </row>
    <row r="922" spans="1:22" x14ac:dyDescent="0.3">
      <c r="A922" s="1">
        <f t="shared" si="1086"/>
        <v>21241</v>
      </c>
      <c r="B922" s="12">
        <f t="shared" si="1150"/>
        <v>0</v>
      </c>
      <c r="C922" s="13">
        <f t="shared" si="1151"/>
        <v>0</v>
      </c>
      <c r="D922" s="10">
        <f t="shared" si="1152"/>
        <v>0</v>
      </c>
      <c r="J922" s="9"/>
      <c r="K922" s="9"/>
      <c r="L922" s="9"/>
      <c r="M922" s="9"/>
      <c r="N922" s="9"/>
      <c r="O922" s="9"/>
      <c r="P922" s="9"/>
      <c r="Q922" s="9"/>
      <c r="R922" s="9"/>
      <c r="S922" s="9"/>
      <c r="T922" s="9"/>
      <c r="U922" s="1">
        <f t="shared" si="1060"/>
        <v>21</v>
      </c>
      <c r="V922" s="1">
        <f t="shared" si="1061"/>
        <v>241</v>
      </c>
    </row>
    <row r="923" spans="1:22" x14ac:dyDescent="0.3">
      <c r="A923" s="1">
        <f t="shared" si="1086"/>
        <v>21242</v>
      </c>
      <c r="B923" s="12">
        <f t="shared" si="1150"/>
        <v>0</v>
      </c>
      <c r="C923" s="13">
        <f t="shared" si="1151"/>
        <v>0</v>
      </c>
      <c r="D923" s="10">
        <f t="shared" si="1152"/>
        <v>0</v>
      </c>
      <c r="J923" s="9"/>
      <c r="K923" s="9"/>
      <c r="L923" s="9"/>
      <c r="M923" s="9"/>
      <c r="N923" s="9"/>
      <c r="O923" s="9"/>
      <c r="P923" s="9"/>
      <c r="Q923" s="9"/>
      <c r="R923" s="9"/>
      <c r="S923" s="9"/>
      <c r="T923" s="9"/>
      <c r="U923" s="1">
        <f t="shared" ref="U923:U986" si="1168">U922</f>
        <v>21</v>
      </c>
      <c r="V923" s="1">
        <f t="shared" ref="V923:V986" si="1169">V922+1</f>
        <v>242</v>
      </c>
    </row>
    <row r="924" spans="1:22" x14ac:dyDescent="0.3">
      <c r="A924" s="1">
        <f t="shared" si="1086"/>
        <v>21243</v>
      </c>
      <c r="J924" s="9"/>
      <c r="K924" s="9"/>
      <c r="L924" s="9"/>
      <c r="M924" s="9"/>
      <c r="N924" s="9"/>
      <c r="O924" s="9"/>
      <c r="P924" s="9"/>
      <c r="Q924" s="9"/>
      <c r="R924" s="9"/>
      <c r="S924" s="9"/>
      <c r="T924" s="9"/>
      <c r="U924" s="1">
        <f t="shared" si="1168"/>
        <v>21</v>
      </c>
      <c r="V924" s="1">
        <f t="shared" si="1169"/>
        <v>243</v>
      </c>
    </row>
    <row r="925" spans="1:22" s="5" customFormat="1" x14ac:dyDescent="0.3"/>
    <row r="926" spans="1:22" x14ac:dyDescent="0.3">
      <c r="A926" s="1">
        <f t="shared" ref="A926:A968" si="1170">ROUND(CONCATENATE(U926,V926),0)</f>
        <v>22201</v>
      </c>
      <c r="B926" s="96" t="s">
        <v>0</v>
      </c>
      <c r="C926" s="97"/>
      <c r="D926" s="110" t="s">
        <v>46</v>
      </c>
      <c r="E926" s="111"/>
      <c r="F926" s="111"/>
      <c r="G926" s="111"/>
      <c r="H926" s="112"/>
      <c r="J926" s="9"/>
      <c r="K926" s="9"/>
      <c r="L926" s="9"/>
      <c r="M926" s="9"/>
      <c r="N926" s="9"/>
      <c r="O926" s="9"/>
      <c r="P926" s="9"/>
      <c r="Q926" s="9"/>
      <c r="R926" s="9"/>
      <c r="S926" s="9"/>
      <c r="T926" s="9"/>
      <c r="U926" s="1">
        <f t="shared" ref="U926" si="1171">U924+1</f>
        <v>22</v>
      </c>
      <c r="V926" s="1">
        <v>201</v>
      </c>
    </row>
    <row r="927" spans="1:22" x14ac:dyDescent="0.3">
      <c r="A927" s="1">
        <f t="shared" si="1170"/>
        <v>22202</v>
      </c>
      <c r="B927" s="96" t="s">
        <v>1</v>
      </c>
      <c r="C927" s="97"/>
      <c r="D927" s="15">
        <v>20</v>
      </c>
      <c r="E927" s="16" t="s">
        <v>2</v>
      </c>
      <c r="F927" s="107"/>
      <c r="G927" s="108"/>
      <c r="H927" s="109"/>
      <c r="J927" s="9"/>
      <c r="K927" s="9"/>
      <c r="L927" s="9"/>
      <c r="M927" s="9"/>
      <c r="N927" s="9"/>
      <c r="O927" s="9"/>
      <c r="P927" s="9"/>
      <c r="Q927" s="9"/>
      <c r="R927" s="9"/>
      <c r="S927" s="9"/>
      <c r="T927" s="9"/>
      <c r="U927" s="1">
        <f t="shared" ref="U927" si="1172">U926</f>
        <v>22</v>
      </c>
      <c r="V927" s="1">
        <f t="shared" ref="V927" si="1173">V926+1</f>
        <v>202</v>
      </c>
    </row>
    <row r="928" spans="1:22" x14ac:dyDescent="0.3">
      <c r="A928" s="1">
        <f t="shared" si="1170"/>
        <v>22203</v>
      </c>
      <c r="B928" s="96" t="s">
        <v>12</v>
      </c>
      <c r="C928" s="97"/>
      <c r="D928" s="110" t="s">
        <v>222</v>
      </c>
      <c r="E928" s="111"/>
      <c r="F928" s="111"/>
      <c r="G928" s="111"/>
      <c r="H928" s="112"/>
      <c r="K928" s="1" t="s">
        <v>3</v>
      </c>
      <c r="L928" s="1" t="s">
        <v>4</v>
      </c>
      <c r="M928" s="1" t="s">
        <v>5</v>
      </c>
      <c r="N928" s="1" t="s">
        <v>6</v>
      </c>
      <c r="O928" s="1" t="s">
        <v>7</v>
      </c>
      <c r="P928" s="1" t="s">
        <v>8</v>
      </c>
      <c r="Q928" s="1" t="s">
        <v>9</v>
      </c>
      <c r="R928" s="1" t="s">
        <v>10</v>
      </c>
      <c r="S928" s="1" t="s">
        <v>11</v>
      </c>
      <c r="T928" s="9"/>
      <c r="U928" s="1">
        <f t="shared" si="1168"/>
        <v>22</v>
      </c>
      <c r="V928" s="1">
        <f t="shared" si="1169"/>
        <v>203</v>
      </c>
    </row>
    <row r="929" spans="1:22" x14ac:dyDescent="0.3">
      <c r="A929" s="1">
        <f t="shared" si="1170"/>
        <v>22204</v>
      </c>
      <c r="B929" s="96" t="s">
        <v>13</v>
      </c>
      <c r="C929" s="97"/>
      <c r="D929" s="110" t="s">
        <v>65</v>
      </c>
      <c r="E929" s="111"/>
      <c r="F929" s="111"/>
      <c r="G929" s="111"/>
      <c r="H929" s="112"/>
      <c r="J929" s="1">
        <f t="shared" ref="J929" si="1174">COUNTA(B942:B951)</f>
        <v>6</v>
      </c>
      <c r="K929" s="1">
        <f t="shared" ref="K929" si="1175">IF(L929-1&lt;2,0,L929-1)</f>
        <v>0</v>
      </c>
      <c r="L929" s="1">
        <f t="shared" ref="L929" si="1176">IF(M929-1&lt;2,0,M929-1)</f>
        <v>0</v>
      </c>
      <c r="M929" s="1">
        <f t="shared" ref="M929" si="1177">IF(N929-1&lt;2,0,N929-1)</f>
        <v>0</v>
      </c>
      <c r="N929" s="1">
        <f t="shared" ref="N929" si="1178">IF(O929-1&lt;2,0,O929-1)</f>
        <v>0</v>
      </c>
      <c r="O929" s="1">
        <f t="shared" ref="O929" si="1179">IF(P929-1&lt;2,0,P929-1)</f>
        <v>2</v>
      </c>
      <c r="P929" s="1">
        <f t="shared" ref="P929" si="1180">IF(Q929-1&lt;2,0,Q929-1)</f>
        <v>3</v>
      </c>
      <c r="Q929" s="1">
        <f t="shared" ref="Q929" si="1181">IF(R929-1&lt;2,0,R929-1)</f>
        <v>4</v>
      </c>
      <c r="R929" s="1">
        <f t="shared" ref="R929" si="1182">IF(S929-1&lt;2,0,S929-1)</f>
        <v>5</v>
      </c>
      <c r="S929" s="1">
        <f t="shared" ref="S929" si="1183">J929</f>
        <v>6</v>
      </c>
      <c r="T929" s="9"/>
      <c r="U929" s="1">
        <f t="shared" si="1168"/>
        <v>22</v>
      </c>
      <c r="V929" s="1">
        <f t="shared" si="1169"/>
        <v>204</v>
      </c>
    </row>
    <row r="930" spans="1:22" x14ac:dyDescent="0.3">
      <c r="A930" s="1">
        <f t="shared" si="1170"/>
        <v>22205</v>
      </c>
      <c r="B930" s="96" t="s">
        <v>14</v>
      </c>
      <c r="C930" s="97"/>
      <c r="D930" s="110" t="s">
        <v>66</v>
      </c>
      <c r="E930" s="111"/>
      <c r="F930" s="111"/>
      <c r="G930" s="111"/>
      <c r="H930" s="112"/>
      <c r="J930" s="24" t="str">
        <f t="shared" ref="J930" si="1184">CONCATENATE(J929,1)</f>
        <v>61</v>
      </c>
      <c r="K930" s="25">
        <f t="shared" ref="K930" si="1185">IF(K929=0,0,VLOOKUP(J930,J934:S964,K929,FALSE))</f>
        <v>0</v>
      </c>
      <c r="L930" s="25">
        <f t="shared" ref="L930" si="1186">IF(L929=0,0,VLOOKUP(J930,J934:S964,L929,FALSE))</f>
        <v>0</v>
      </c>
      <c r="M930" s="25">
        <f t="shared" ref="M930" si="1187">IF(M929=0,0,VLOOKUP(J930,J934:S964,M929,FALSE))</f>
        <v>0</v>
      </c>
      <c r="N930" s="25">
        <f t="shared" ref="N930" si="1188">IF(N929=0,0,VLOOKUP(J930,J934:S964,N929,FALSE))</f>
        <v>0</v>
      </c>
      <c r="O930" s="25">
        <f t="shared" ref="O930" si="1189">IF(O929=0,0,VLOOKUP(J930,J934:S964,O929,FALSE))</f>
        <v>-1.4963099310116342E-7</v>
      </c>
      <c r="P930" s="25">
        <f t="shared" ref="P930" si="1190">IF(P929=0,0,VLOOKUP(J930,J934:S964,P929,FALSE))</f>
        <v>2.6768492542525556E-5</v>
      </c>
      <c r="Q930" s="25">
        <f t="shared" ref="Q930" si="1191">IF(Q929=0,0,VLOOKUP(J930,J934:S964,Q929,FALSE))</f>
        <v>-1.3173342497126853E-3</v>
      </c>
      <c r="R930" s="25">
        <f t="shared" ref="R930" si="1192">IF(R929=0,0,VLOOKUP(J930,J934:S964,R929,FALSE))</f>
        <v>1.0104904504086749</v>
      </c>
      <c r="S930" s="25">
        <f t="shared" ref="S930" si="1193">IF(S929=0,0,VLOOKUP(J930,J934:S964,S929,FALSE))</f>
        <v>0.30188949023926348</v>
      </c>
      <c r="T930" s="9"/>
      <c r="U930" s="1">
        <f t="shared" si="1168"/>
        <v>22</v>
      </c>
      <c r="V930" s="1">
        <f t="shared" si="1169"/>
        <v>205</v>
      </c>
    </row>
    <row r="931" spans="1:22" x14ac:dyDescent="0.3">
      <c r="A931" s="1">
        <f t="shared" si="1170"/>
        <v>22206</v>
      </c>
      <c r="B931" s="96" t="s">
        <v>15</v>
      </c>
      <c r="C931" s="97"/>
      <c r="D931" s="110" t="s">
        <v>339</v>
      </c>
      <c r="E931" s="111"/>
      <c r="F931" s="111"/>
      <c r="G931" s="111"/>
      <c r="H931" s="112"/>
      <c r="J931" s="24" t="str">
        <f t="shared" ref="J931" si="1194">CONCATENATE(J929,2)</f>
        <v>62</v>
      </c>
      <c r="K931" s="6">
        <f t="shared" ref="K931" si="1195">IF(K929=0,0,VLOOKUP(J931,J934:S964,K929,FALSE))</f>
        <v>0</v>
      </c>
      <c r="L931" s="6">
        <f t="shared" ref="L931" si="1196">IF(L929=0,0,VLOOKUP(J931,J934:S964,L929,FALSE))</f>
        <v>0</v>
      </c>
      <c r="M931" s="6">
        <f t="shared" ref="M931" si="1197">IF(M929=0,0,VLOOKUP(J931,J934:S964,M929,FALSE))</f>
        <v>0</v>
      </c>
      <c r="N931" s="6">
        <f t="shared" ref="N931" si="1198">IF(N929=0,0,VLOOKUP(J931,J934:S964,N929,FALSE))</f>
        <v>0</v>
      </c>
      <c r="O931" s="6">
        <f t="shared" ref="O931" si="1199">IF(O929=0,0,VLOOKUP(J931,J934:S964,O929,FALSE))</f>
        <v>1.1819429952504995E-7</v>
      </c>
      <c r="P931" s="6">
        <f t="shared" ref="P931" si="1200">IF(P929=0,0,VLOOKUP(J931,J934:S964,P929,FALSE))</f>
        <v>2.4293014701785331E-5</v>
      </c>
      <c r="Q931" s="6">
        <f t="shared" ref="Q931" si="1201">IF(Q929=0,0,VLOOKUP(J931,J934:S964,Q929,FALSE))</f>
        <v>1.6190696683316308E-3</v>
      </c>
      <c r="R931" s="6">
        <f t="shared" ref="R931" si="1202">IF(R929=0,0,VLOOKUP(J931,J934:S964,R929,FALSE))</f>
        <v>3.8320990354444188E-2</v>
      </c>
      <c r="S931" s="6">
        <f t="shared" ref="S931" si="1203">IF(S929=0,0,VLOOKUP(J931,J934:S964,S929,FALSE))</f>
        <v>0.25206486792290494</v>
      </c>
      <c r="T931" s="9"/>
      <c r="U931" s="1">
        <f t="shared" si="1168"/>
        <v>22</v>
      </c>
      <c r="V931" s="1">
        <f t="shared" si="1169"/>
        <v>206</v>
      </c>
    </row>
    <row r="932" spans="1:22" x14ac:dyDescent="0.3">
      <c r="A932" s="1">
        <f t="shared" si="1170"/>
        <v>22207</v>
      </c>
      <c r="B932" s="96" t="s">
        <v>16</v>
      </c>
      <c r="C932" s="97"/>
      <c r="D932" s="113">
        <v>45989</v>
      </c>
      <c r="E932" s="114"/>
      <c r="F932" s="114"/>
      <c r="G932" s="114"/>
      <c r="H932" s="115"/>
      <c r="J932" s="24" t="str">
        <f t="shared" ref="J932" si="1204">CONCATENATE(J929,3)</f>
        <v>63</v>
      </c>
      <c r="K932" s="6"/>
      <c r="L932" s="6"/>
      <c r="M932" s="6"/>
      <c r="N932" s="6" t="s">
        <v>43</v>
      </c>
      <c r="O932" s="25">
        <f t="shared" ref="O932" si="1205">J929-2</f>
        <v>4</v>
      </c>
      <c r="P932" s="6" t="s">
        <v>44</v>
      </c>
      <c r="Q932" s="25">
        <f t="shared" ref="Q932" si="1206">VLOOKUP(J932,J934:S964,3,FALSE)</f>
        <v>0.13980681469748757</v>
      </c>
      <c r="R932" s="6" t="s">
        <v>45</v>
      </c>
      <c r="S932" s="6">
        <f t="shared" ref="S932" si="1207">VLOOKUP(J932,J934:S964,2,FALSE)</f>
        <v>0.99999698199177189</v>
      </c>
      <c r="T932" s="9"/>
      <c r="U932" s="1">
        <f t="shared" si="1168"/>
        <v>22</v>
      </c>
      <c r="V932" s="1">
        <f t="shared" si="1169"/>
        <v>207</v>
      </c>
    </row>
    <row r="933" spans="1:22" x14ac:dyDescent="0.3">
      <c r="A933" s="1">
        <f t="shared" si="1170"/>
        <v>22208</v>
      </c>
      <c r="B933" s="96" t="s">
        <v>17</v>
      </c>
      <c r="C933" s="97"/>
      <c r="D933" s="116">
        <v>46170</v>
      </c>
      <c r="E933" s="117"/>
      <c r="F933" s="117"/>
      <c r="G933" s="117"/>
      <c r="H933" s="118"/>
      <c r="K933" s="1">
        <v>3</v>
      </c>
      <c r="L933" s="1">
        <v>3</v>
      </c>
      <c r="Q933" s="26"/>
      <c r="R933" s="26"/>
      <c r="S933" s="26"/>
      <c r="T933" s="9"/>
      <c r="U933" s="1">
        <f t="shared" si="1168"/>
        <v>22</v>
      </c>
      <c r="V933" s="1">
        <f t="shared" si="1169"/>
        <v>208</v>
      </c>
    </row>
    <row r="934" spans="1:22" x14ac:dyDescent="0.3">
      <c r="A934" s="1">
        <f t="shared" si="1170"/>
        <v>22209</v>
      </c>
      <c r="B934" s="77" t="s">
        <v>19</v>
      </c>
      <c r="C934" s="78"/>
      <c r="D934" s="17">
        <v>0.01</v>
      </c>
      <c r="E934" s="79" t="s">
        <v>40</v>
      </c>
      <c r="F934" s="80"/>
      <c r="G934" s="81"/>
      <c r="H934" s="18" t="s">
        <v>72</v>
      </c>
      <c r="J934" s="24" t="str">
        <f t="shared" ref="J934" si="1208">CONCATENATE(K933,1)</f>
        <v>31</v>
      </c>
      <c r="K934" s="6">
        <f t="array" ref="K934:L936">LINEST(B942:B944,C942:C944^{1},TRUE,TRUE)</f>
        <v>0.98586822268277496</v>
      </c>
      <c r="L934" s="6">
        <v>0.423441060520652</v>
      </c>
      <c r="Q934" s="9"/>
      <c r="R934" s="9"/>
      <c r="S934" s="9"/>
      <c r="T934" s="9"/>
      <c r="U934" s="1">
        <f t="shared" si="1168"/>
        <v>22</v>
      </c>
      <c r="V934" s="1">
        <f t="shared" si="1169"/>
        <v>209</v>
      </c>
    </row>
    <row r="935" spans="1:22" x14ac:dyDescent="0.3">
      <c r="A935" s="1">
        <f t="shared" si="1170"/>
        <v>22210</v>
      </c>
      <c r="B935" s="77" t="s">
        <v>41</v>
      </c>
      <c r="C935" s="78"/>
      <c r="D935" s="23">
        <f t="shared" ref="D935" si="1209">MIN(B942:B951)</f>
        <v>5.01</v>
      </c>
      <c r="E935" s="20" t="s">
        <v>18</v>
      </c>
      <c r="F935" s="19">
        <f t="shared" ref="F935" si="1210">MAX(B942:B951)</f>
        <v>97.96</v>
      </c>
      <c r="G935" s="21" t="str">
        <f t="shared" ref="G935" si="1211">IF(H934="","",H934)</f>
        <v>%ur</v>
      </c>
      <c r="H935" s="22"/>
      <c r="J935" s="24" t="str">
        <f t="shared" ref="J935" si="1212">CONCATENATE(K933,2)</f>
        <v>32</v>
      </c>
      <c r="K935" s="6">
        <v>7.8995136573460408E-3</v>
      </c>
      <c r="L935" s="6">
        <v>0.16543501036243732</v>
      </c>
      <c r="Q935" s="9"/>
      <c r="R935" s="9"/>
      <c r="S935" s="9"/>
      <c r="T935" s="9"/>
      <c r="U935" s="1">
        <f t="shared" si="1168"/>
        <v>22</v>
      </c>
      <c r="V935" s="1">
        <f t="shared" si="1169"/>
        <v>210</v>
      </c>
    </row>
    <row r="936" spans="1:22" x14ac:dyDescent="0.3">
      <c r="A936" s="1">
        <f t="shared" si="1170"/>
        <v>22211</v>
      </c>
      <c r="J936" s="24" t="str">
        <f t="shared" ref="J936" si="1213">CONCATENATE(K933,3)</f>
        <v>33</v>
      </c>
      <c r="K936" s="6">
        <v>0.99993579999094273</v>
      </c>
      <c r="L936" s="6">
        <v>0.14247827898989129</v>
      </c>
      <c r="Q936" s="9"/>
      <c r="R936" s="9"/>
      <c r="S936" s="9"/>
      <c r="T936" s="9"/>
      <c r="U936" s="1">
        <f t="shared" si="1168"/>
        <v>22</v>
      </c>
      <c r="V936" s="1">
        <f t="shared" si="1169"/>
        <v>211</v>
      </c>
    </row>
    <row r="937" spans="1:22" x14ac:dyDescent="0.3">
      <c r="A937" s="1">
        <f t="shared" si="1170"/>
        <v>22212</v>
      </c>
      <c r="B937" s="82" t="s">
        <v>20</v>
      </c>
      <c r="C937" s="83"/>
      <c r="D937" s="83"/>
      <c r="E937" s="83"/>
      <c r="F937" s="84"/>
      <c r="G937" s="85" t="s">
        <v>31</v>
      </c>
      <c r="H937" s="86"/>
      <c r="K937" s="1">
        <v>4</v>
      </c>
      <c r="L937" s="1">
        <v>4</v>
      </c>
      <c r="M937" s="1">
        <v>4</v>
      </c>
      <c r="Q937" s="9"/>
      <c r="R937" s="9"/>
      <c r="S937" s="9"/>
      <c r="T937" s="9"/>
      <c r="U937" s="1">
        <f t="shared" si="1168"/>
        <v>22</v>
      </c>
      <c r="V937" s="1">
        <f t="shared" si="1169"/>
        <v>212</v>
      </c>
    </row>
    <row r="938" spans="1:22" x14ac:dyDescent="0.3">
      <c r="A938" s="1">
        <f t="shared" si="1170"/>
        <v>22213</v>
      </c>
      <c r="B938" s="82" t="s">
        <v>30</v>
      </c>
      <c r="C938" s="83"/>
      <c r="D938" s="84"/>
      <c r="E938" s="82" t="str">
        <f t="shared" ref="E938" si="1214">D931</f>
        <v>E0842/25</v>
      </c>
      <c r="F938" s="84"/>
      <c r="G938" s="6" t="s">
        <v>32</v>
      </c>
      <c r="H938" s="7" t="s">
        <v>325</v>
      </c>
      <c r="J938" s="24" t="str">
        <f t="shared" ref="J938" si="1215">CONCATENATE(K937,1)</f>
        <v>41</v>
      </c>
      <c r="K938" s="6">
        <f t="array" ref="K938:M940">LINEST(B942:B945,C942:C945^{1,2},TRUE,TRUE)</f>
        <v>1.8238350250383958E-4</v>
      </c>
      <c r="L938" s="6">
        <v>0.98174741632214846</v>
      </c>
      <c r="M938" s="6">
        <v>0.42541169241725796</v>
      </c>
      <c r="Q938" s="9"/>
      <c r="R938" s="9"/>
      <c r="S938" s="9"/>
      <c r="T938" s="9"/>
      <c r="U938" s="1">
        <f t="shared" si="1168"/>
        <v>22</v>
      </c>
      <c r="V938" s="1">
        <f t="shared" si="1169"/>
        <v>213</v>
      </c>
    </row>
    <row r="939" spans="1:22" x14ac:dyDescent="0.3">
      <c r="A939" s="1">
        <f t="shared" si="1170"/>
        <v>22214</v>
      </c>
      <c r="B939" s="2" t="s">
        <v>21</v>
      </c>
      <c r="C939" s="2" t="s">
        <v>22</v>
      </c>
      <c r="D939" s="2" t="s">
        <v>23</v>
      </c>
      <c r="E939" s="2"/>
      <c r="F939" s="2" t="s">
        <v>28</v>
      </c>
      <c r="G939" s="2" t="s">
        <v>21</v>
      </c>
      <c r="H939" s="2" t="s">
        <v>22</v>
      </c>
      <c r="J939" s="24" t="str">
        <f t="shared" ref="J939" si="1216">CONCATENATE(K937,2)</f>
        <v>42</v>
      </c>
      <c r="K939" s="6">
        <v>3.5609632285775418E-4</v>
      </c>
      <c r="L939" s="6">
        <v>2.0459341678840913E-2</v>
      </c>
      <c r="M939" s="6">
        <v>0.23922352852586523</v>
      </c>
      <c r="Q939" s="9"/>
      <c r="R939" s="9"/>
      <c r="S939" s="9"/>
      <c r="T939" s="9"/>
      <c r="U939" s="1">
        <f t="shared" si="1168"/>
        <v>22</v>
      </c>
      <c r="V939" s="1">
        <f t="shared" si="1169"/>
        <v>214</v>
      </c>
    </row>
    <row r="940" spans="1:22" x14ac:dyDescent="0.3">
      <c r="A940" s="1">
        <f t="shared" si="1170"/>
        <v>22215</v>
      </c>
      <c r="B940" s="2" t="s">
        <v>24</v>
      </c>
      <c r="C940" s="2" t="s">
        <v>25</v>
      </c>
      <c r="D940" s="2" t="s">
        <v>26</v>
      </c>
      <c r="E940" s="2" t="s">
        <v>27</v>
      </c>
      <c r="F940" s="2" t="s">
        <v>29</v>
      </c>
      <c r="G940" s="2" t="s">
        <v>24</v>
      </c>
      <c r="H940" s="2" t="s">
        <v>25</v>
      </c>
      <c r="J940" s="24" t="str">
        <f t="shared" ref="J940" si="1217">CONCATENATE(K937,3)</f>
        <v>43</v>
      </c>
      <c r="K940" s="6">
        <v>0.99997250039912977</v>
      </c>
      <c r="L940" s="6">
        <v>0.17142369071963071</v>
      </c>
      <c r="M940" s="6" t="e">
        <v>#N/A</v>
      </c>
      <c r="Q940" s="9"/>
      <c r="R940" s="9"/>
      <c r="S940" s="9"/>
      <c r="T940" s="9"/>
      <c r="U940" s="1">
        <f t="shared" si="1168"/>
        <v>22</v>
      </c>
      <c r="V940" s="1">
        <f t="shared" si="1169"/>
        <v>215</v>
      </c>
    </row>
    <row r="941" spans="1:22" x14ac:dyDescent="0.3">
      <c r="A941" s="1">
        <f t="shared" si="1170"/>
        <v>22216</v>
      </c>
      <c r="B941" s="3" t="str">
        <f t="shared" ref="B941" si="1218">H934</f>
        <v>%ur</v>
      </c>
      <c r="C941" s="3" t="str">
        <f t="shared" ref="C941:D941" si="1219">B941</f>
        <v>%ur</v>
      </c>
      <c r="D941" s="3" t="str">
        <f t="shared" si="1219"/>
        <v>%ur</v>
      </c>
      <c r="E941" s="3"/>
      <c r="F941" s="3"/>
      <c r="G941" s="3" t="str">
        <f t="shared" ref="G941" si="1220">D941</f>
        <v>%ur</v>
      </c>
      <c r="H941" s="3" t="str">
        <f t="shared" ref="H941" si="1221">G941</f>
        <v>%ur</v>
      </c>
      <c r="K941" s="1">
        <v>5</v>
      </c>
      <c r="L941" s="1">
        <v>5</v>
      </c>
      <c r="M941" s="1">
        <v>5</v>
      </c>
      <c r="N941" s="1">
        <v>5</v>
      </c>
      <c r="Q941" s="9"/>
      <c r="R941" s="9"/>
      <c r="S941" s="9"/>
      <c r="T941" s="9"/>
      <c r="U941" s="1">
        <f t="shared" si="1168"/>
        <v>22</v>
      </c>
      <c r="V941" s="1">
        <f t="shared" si="1169"/>
        <v>216</v>
      </c>
    </row>
    <row r="942" spans="1:22" x14ac:dyDescent="0.3">
      <c r="A942" s="1">
        <f t="shared" si="1170"/>
        <v>22217</v>
      </c>
      <c r="B942" s="41">
        <v>5.01</v>
      </c>
      <c r="C942" s="41">
        <v>4.7</v>
      </c>
      <c r="D942" s="4">
        <v>0.25</v>
      </c>
      <c r="E942" s="4">
        <v>2.0299999999999998</v>
      </c>
      <c r="F942" s="14">
        <v>87</v>
      </c>
      <c r="G942" s="41">
        <v>5</v>
      </c>
      <c r="H942" s="41">
        <v>5.72</v>
      </c>
      <c r="J942" s="24" t="str">
        <f t="shared" ref="J942" si="1222">CONCATENATE(K941,1)</f>
        <v>51</v>
      </c>
      <c r="K942" s="6">
        <f t="array" ref="K942:N944">LINEST(B942:B946,C942:C946^{1,2,3},TRUE,TRUE)</f>
        <v>2.2605493049068114E-6</v>
      </c>
      <c r="L942" s="6">
        <v>-4.7586725801270113E-5</v>
      </c>
      <c r="M942" s="6">
        <v>0.98796290477324589</v>
      </c>
      <c r="N942" s="6">
        <v>0.39084329665739487</v>
      </c>
      <c r="Q942" s="9"/>
      <c r="R942" s="9"/>
      <c r="S942" s="9"/>
      <c r="T942" s="9"/>
      <c r="U942" s="1">
        <f t="shared" si="1168"/>
        <v>22</v>
      </c>
      <c r="V942" s="1">
        <f t="shared" si="1169"/>
        <v>217</v>
      </c>
    </row>
    <row r="943" spans="1:22" x14ac:dyDescent="0.3">
      <c r="A943" s="1">
        <f t="shared" si="1170"/>
        <v>22218</v>
      </c>
      <c r="B943" s="41">
        <v>20.010000000000002</v>
      </c>
      <c r="C943" s="41">
        <v>19.75</v>
      </c>
      <c r="D943" s="4">
        <v>0.27</v>
      </c>
      <c r="E943" s="4">
        <v>2.04</v>
      </c>
      <c r="F943" s="14">
        <v>65</v>
      </c>
      <c r="G943" s="41">
        <v>20.010000000000002</v>
      </c>
      <c r="H943" s="41">
        <v>20.190000000000001</v>
      </c>
      <c r="J943" s="24" t="str">
        <f t="shared" ref="J943" si="1223">CONCATENATE(K941,2)</f>
        <v>52</v>
      </c>
      <c r="K943" s="6">
        <v>7.2976075385421742E-6</v>
      </c>
      <c r="L943" s="6">
        <v>9.1304871884493829E-4</v>
      </c>
      <c r="M943" s="6">
        <v>3.0436493016877914E-2</v>
      </c>
      <c r="N943" s="6">
        <v>0.26105920616089323</v>
      </c>
      <c r="T943" s="9"/>
      <c r="U943" s="1">
        <f t="shared" si="1168"/>
        <v>22</v>
      </c>
      <c r="V943" s="1">
        <f t="shared" si="1169"/>
        <v>218</v>
      </c>
    </row>
    <row r="944" spans="1:22" x14ac:dyDescent="0.3">
      <c r="A944" s="1">
        <f t="shared" si="1170"/>
        <v>22219</v>
      </c>
      <c r="B944" s="41">
        <v>29.99</v>
      </c>
      <c r="C944" s="41">
        <v>30.06</v>
      </c>
      <c r="D944" s="4">
        <v>0.35</v>
      </c>
      <c r="E944" s="4">
        <v>2.04</v>
      </c>
      <c r="F944" s="14">
        <v>67</v>
      </c>
      <c r="G944" s="41">
        <v>30</v>
      </c>
      <c r="H944" s="41">
        <v>30.11</v>
      </c>
      <c r="J944" s="24" t="str">
        <f t="shared" ref="J944" si="1224">CONCATENATE(K941,3)</f>
        <v>53</v>
      </c>
      <c r="K944" s="6">
        <v>0.99999188608201317</v>
      </c>
      <c r="L944" s="6">
        <v>0.16561194790485789</v>
      </c>
      <c r="M944" s="6" t="e">
        <v>#N/A</v>
      </c>
      <c r="N944" s="6" t="e">
        <v>#N/A</v>
      </c>
      <c r="T944" s="9"/>
      <c r="U944" s="1">
        <f t="shared" si="1168"/>
        <v>22</v>
      </c>
      <c r="V944" s="1">
        <f t="shared" si="1169"/>
        <v>219</v>
      </c>
    </row>
    <row r="945" spans="1:22" x14ac:dyDescent="0.3">
      <c r="A945" s="1">
        <f t="shared" si="1170"/>
        <v>22220</v>
      </c>
      <c r="B945" s="41">
        <v>50.01</v>
      </c>
      <c r="C945" s="41">
        <v>50.02</v>
      </c>
      <c r="D945" s="4">
        <v>0.55000000000000004</v>
      </c>
      <c r="E945" s="4">
        <v>2.04</v>
      </c>
      <c r="F945" s="14">
        <v>67</v>
      </c>
      <c r="G945" s="41">
        <v>50.02</v>
      </c>
      <c r="H945" s="41">
        <v>50.03</v>
      </c>
      <c r="K945" s="1">
        <v>6</v>
      </c>
      <c r="L945" s="1">
        <v>6</v>
      </c>
      <c r="M945" s="1">
        <v>6</v>
      </c>
      <c r="N945" s="1">
        <v>6</v>
      </c>
      <c r="O945" s="1">
        <v>6</v>
      </c>
      <c r="T945" s="9"/>
      <c r="U945" s="1">
        <f t="shared" si="1168"/>
        <v>22</v>
      </c>
      <c r="V945" s="1">
        <f t="shared" si="1169"/>
        <v>220</v>
      </c>
    </row>
    <row r="946" spans="1:22" x14ac:dyDescent="0.3">
      <c r="A946" s="1">
        <f t="shared" si="1170"/>
        <v>22221</v>
      </c>
      <c r="B946" s="41">
        <v>80.010000000000005</v>
      </c>
      <c r="C946" s="41">
        <v>79.739999999999995</v>
      </c>
      <c r="D946" s="4">
        <v>0.83</v>
      </c>
      <c r="E946" s="4">
        <v>2.04</v>
      </c>
      <c r="F946" s="14">
        <v>68</v>
      </c>
      <c r="G946" s="41">
        <v>80.02</v>
      </c>
      <c r="H946" s="41">
        <v>80.290000000000006</v>
      </c>
      <c r="J946" s="24" t="str">
        <f t="shared" ref="J946" si="1225">CONCATENATE(K945,1)</f>
        <v>61</v>
      </c>
      <c r="K946" s="6">
        <f t="array" ref="K946:O948">LINEST(B942:B947,C942:C947^{1,2,3,4},TRUE,TRUE)</f>
        <v>-1.4963099310116342E-7</v>
      </c>
      <c r="L946" s="6">
        <v>2.6768492542525556E-5</v>
      </c>
      <c r="M946" s="6">
        <v>-1.3173342497126853E-3</v>
      </c>
      <c r="N946" s="6">
        <v>1.0104904504086749</v>
      </c>
      <c r="O946" s="6">
        <v>0.30188949023926348</v>
      </c>
      <c r="T946" s="9"/>
      <c r="U946" s="1">
        <f t="shared" si="1168"/>
        <v>22</v>
      </c>
      <c r="V946" s="1">
        <f t="shared" si="1169"/>
        <v>221</v>
      </c>
    </row>
    <row r="947" spans="1:22" x14ac:dyDescent="0.3">
      <c r="A947" s="1">
        <f t="shared" si="1170"/>
        <v>22222</v>
      </c>
      <c r="B947" s="41">
        <v>97.96</v>
      </c>
      <c r="C947" s="41">
        <v>97.88</v>
      </c>
      <c r="D947" s="4">
        <v>0.99</v>
      </c>
      <c r="E947" s="4">
        <v>2.04</v>
      </c>
      <c r="F947" s="14">
        <v>68</v>
      </c>
      <c r="G947" s="41">
        <v>98</v>
      </c>
      <c r="H947" s="41">
        <v>98.4</v>
      </c>
      <c r="J947" s="24" t="str">
        <f t="shared" ref="J947" si="1226">CONCATENATE(K945,2)</f>
        <v>62</v>
      </c>
      <c r="K947" s="6">
        <v>1.1819429952504995E-7</v>
      </c>
      <c r="L947" s="6">
        <v>2.4293014701785331E-5</v>
      </c>
      <c r="M947" s="6">
        <v>1.6190696683316308E-3</v>
      </c>
      <c r="N947" s="6">
        <v>3.8320990354444188E-2</v>
      </c>
      <c r="O947" s="6">
        <v>0.25206486792290494</v>
      </c>
      <c r="T947" s="9"/>
      <c r="U947" s="1">
        <f t="shared" si="1168"/>
        <v>22</v>
      </c>
      <c r="V947" s="1">
        <f t="shared" si="1169"/>
        <v>222</v>
      </c>
    </row>
    <row r="948" spans="1:22" x14ac:dyDescent="0.3">
      <c r="A948" s="1">
        <f t="shared" si="1170"/>
        <v>22223</v>
      </c>
      <c r="B948" s="4"/>
      <c r="C948" s="4"/>
      <c r="D948" s="4"/>
      <c r="E948" s="4"/>
      <c r="F948" s="14"/>
      <c r="G948" s="8"/>
      <c r="H948" s="7"/>
      <c r="J948" s="24" t="str">
        <f t="shared" ref="J948" si="1227">CONCATENATE(K945,3)</f>
        <v>63</v>
      </c>
      <c r="K948" s="6">
        <v>0.99999698199177189</v>
      </c>
      <c r="L948" s="6">
        <v>0.13980681469748757</v>
      </c>
      <c r="M948" s="6" t="e">
        <v>#N/A</v>
      </c>
      <c r="N948" s="6" t="e">
        <v>#N/A</v>
      </c>
      <c r="O948" s="6" t="e">
        <v>#N/A</v>
      </c>
      <c r="T948" s="9"/>
      <c r="U948" s="1">
        <f t="shared" si="1168"/>
        <v>22</v>
      </c>
      <c r="V948" s="1">
        <f t="shared" si="1169"/>
        <v>223</v>
      </c>
    </row>
    <row r="949" spans="1:22" x14ac:dyDescent="0.3">
      <c r="A949" s="1">
        <f t="shared" si="1170"/>
        <v>22224</v>
      </c>
      <c r="B949" s="4"/>
      <c r="C949" s="4"/>
      <c r="D949" s="4"/>
      <c r="E949" s="4"/>
      <c r="F949" s="14"/>
      <c r="G949" s="8"/>
      <c r="H949" s="7"/>
      <c r="K949" s="1">
        <v>7</v>
      </c>
      <c r="L949" s="1">
        <v>7</v>
      </c>
      <c r="M949" s="1">
        <v>7</v>
      </c>
      <c r="N949" s="1">
        <v>7</v>
      </c>
      <c r="O949" s="1">
        <v>7</v>
      </c>
      <c r="P949" s="1">
        <v>7</v>
      </c>
      <c r="T949" s="9"/>
      <c r="U949" s="1">
        <f t="shared" si="1168"/>
        <v>22</v>
      </c>
      <c r="V949" s="1">
        <f t="shared" si="1169"/>
        <v>224</v>
      </c>
    </row>
    <row r="950" spans="1:22" x14ac:dyDescent="0.3">
      <c r="A950" s="1">
        <f t="shared" si="1170"/>
        <v>22225</v>
      </c>
      <c r="B950" s="4"/>
      <c r="C950" s="4"/>
      <c r="D950" s="4"/>
      <c r="E950" s="4"/>
      <c r="F950" s="14"/>
      <c r="G950" s="8"/>
      <c r="H950" s="7"/>
      <c r="J950" s="24" t="str">
        <f t="shared" ref="J950" si="1228">CONCATENATE(K949,1)</f>
        <v>71</v>
      </c>
      <c r="K950" s="6" t="e">
        <f t="array" ref="K950:P952">LINEST(B942:B948,C942:C948^{1,2,3,4,5},TRUE,TRUE)</f>
        <v>#VALUE!</v>
      </c>
      <c r="L950" s="6" t="e">
        <v>#VALUE!</v>
      </c>
      <c r="M950" s="6" t="e">
        <v>#VALUE!</v>
      </c>
      <c r="N950" s="6" t="e">
        <v>#VALUE!</v>
      </c>
      <c r="O950" s="6" t="e">
        <v>#VALUE!</v>
      </c>
      <c r="P950" s="6" t="e">
        <v>#VALUE!</v>
      </c>
      <c r="T950" s="9"/>
      <c r="U950" s="1">
        <f t="shared" si="1168"/>
        <v>22</v>
      </c>
      <c r="V950" s="1">
        <f t="shared" si="1169"/>
        <v>225</v>
      </c>
    </row>
    <row r="951" spans="1:22" x14ac:dyDescent="0.3">
      <c r="A951" s="1">
        <f t="shared" si="1170"/>
        <v>22226</v>
      </c>
      <c r="B951" s="4"/>
      <c r="C951" s="4"/>
      <c r="D951" s="4"/>
      <c r="E951" s="4"/>
      <c r="F951" s="14"/>
      <c r="G951" s="8"/>
      <c r="H951" s="7"/>
      <c r="J951" s="24" t="str">
        <f t="shared" ref="J951" si="1229">CONCATENATE(K949,2)</f>
        <v>72</v>
      </c>
      <c r="K951" s="6" t="e">
        <v>#VALUE!</v>
      </c>
      <c r="L951" s="6" t="e">
        <v>#VALUE!</v>
      </c>
      <c r="M951" s="6" t="e">
        <v>#VALUE!</v>
      </c>
      <c r="N951" s="6" t="e">
        <v>#VALUE!</v>
      </c>
      <c r="O951" s="6" t="e">
        <v>#VALUE!</v>
      </c>
      <c r="P951" s="6" t="e">
        <v>#VALUE!</v>
      </c>
      <c r="T951" s="9"/>
      <c r="U951" s="1">
        <f t="shared" si="1168"/>
        <v>22</v>
      </c>
      <c r="V951" s="1">
        <f t="shared" si="1169"/>
        <v>226</v>
      </c>
    </row>
    <row r="952" spans="1:22" x14ac:dyDescent="0.3">
      <c r="A952" s="1">
        <f t="shared" si="1170"/>
        <v>22227</v>
      </c>
      <c r="B952" s="9"/>
      <c r="C952" s="9"/>
      <c r="D952" s="9"/>
      <c r="E952" s="9"/>
      <c r="F952" s="9"/>
      <c r="G952" s="9"/>
      <c r="H952" s="9"/>
      <c r="J952" s="24" t="str">
        <f t="shared" ref="J952" si="1230">CONCATENATE(K949,3)</f>
        <v>73</v>
      </c>
      <c r="K952" s="6" t="e">
        <v>#VALUE!</v>
      </c>
      <c r="L952" s="6" t="e">
        <v>#VALUE!</v>
      </c>
      <c r="M952" s="6" t="e">
        <v>#VALUE!</v>
      </c>
      <c r="N952" s="6" t="e">
        <v>#VALUE!</v>
      </c>
      <c r="O952" s="6" t="e">
        <v>#VALUE!</v>
      </c>
      <c r="P952" s="6" t="e">
        <v>#VALUE!</v>
      </c>
      <c r="T952" s="9"/>
      <c r="U952" s="1">
        <f t="shared" si="1168"/>
        <v>22</v>
      </c>
      <c r="V952" s="1">
        <f t="shared" si="1169"/>
        <v>227</v>
      </c>
    </row>
    <row r="953" spans="1:22" x14ac:dyDescent="0.3">
      <c r="A953" s="1">
        <f t="shared" si="1170"/>
        <v>22228</v>
      </c>
      <c r="B953" s="87" t="s">
        <v>33</v>
      </c>
      <c r="C953" s="88"/>
      <c r="D953" s="88"/>
      <c r="E953" s="88"/>
      <c r="F953" s="88"/>
      <c r="G953" s="88"/>
      <c r="H953" s="89"/>
      <c r="K953" s="1">
        <v>8</v>
      </c>
      <c r="L953" s="1">
        <v>8</v>
      </c>
      <c r="M953" s="1">
        <v>8</v>
      </c>
      <c r="N953" s="1">
        <v>8</v>
      </c>
      <c r="O953" s="1">
        <v>8</v>
      </c>
      <c r="P953" s="1">
        <v>8</v>
      </c>
      <c r="Q953" s="1">
        <v>8</v>
      </c>
      <c r="T953" s="9"/>
      <c r="U953" s="1">
        <f t="shared" si="1168"/>
        <v>22</v>
      </c>
      <c r="V953" s="1">
        <f t="shared" si="1169"/>
        <v>228</v>
      </c>
    </row>
    <row r="954" spans="1:22" x14ac:dyDescent="0.3">
      <c r="A954" s="1">
        <f t="shared" si="1170"/>
        <v>22229</v>
      </c>
      <c r="B954" s="90"/>
      <c r="C954" s="91"/>
      <c r="D954" s="91"/>
      <c r="E954" s="91"/>
      <c r="F954" s="91"/>
      <c r="G954" s="91"/>
      <c r="H954" s="92"/>
      <c r="J954" s="24" t="str">
        <f t="shared" ref="J954" si="1231">CONCATENATE(K953,1)</f>
        <v>81</v>
      </c>
      <c r="K954" s="6" t="e">
        <f t="array" ref="K954:Q956">LINEST(B942:B949,C942:C949^{1,2,3,4,5,6},TRUE,TRUE)</f>
        <v>#VALUE!</v>
      </c>
      <c r="L954" s="6" t="e">
        <v>#VALUE!</v>
      </c>
      <c r="M954" s="6" t="e">
        <v>#VALUE!</v>
      </c>
      <c r="N954" s="6" t="e">
        <v>#VALUE!</v>
      </c>
      <c r="O954" s="6" t="e">
        <v>#VALUE!</v>
      </c>
      <c r="P954" s="6" t="e">
        <v>#VALUE!</v>
      </c>
      <c r="Q954" s="6" t="e">
        <v>#VALUE!</v>
      </c>
      <c r="T954" s="9"/>
      <c r="U954" s="1">
        <f t="shared" si="1168"/>
        <v>22</v>
      </c>
      <c r="V954" s="1">
        <f t="shared" si="1169"/>
        <v>229</v>
      </c>
    </row>
    <row r="955" spans="1:22" x14ac:dyDescent="0.3">
      <c r="A955" s="1">
        <f t="shared" si="1170"/>
        <v>22230</v>
      </c>
      <c r="B955" s="93"/>
      <c r="C955" s="94"/>
      <c r="D955" s="94"/>
      <c r="E955" s="94"/>
      <c r="F955" s="94"/>
      <c r="G955" s="94"/>
      <c r="H955" s="95"/>
      <c r="J955" s="24" t="str">
        <f t="shared" ref="J955" si="1232">CONCATENATE(K953,2)</f>
        <v>82</v>
      </c>
      <c r="K955" s="6" t="e">
        <v>#VALUE!</v>
      </c>
      <c r="L955" s="6" t="e">
        <v>#VALUE!</v>
      </c>
      <c r="M955" s="6" t="e">
        <v>#VALUE!</v>
      </c>
      <c r="N955" s="6" t="e">
        <v>#VALUE!</v>
      </c>
      <c r="O955" s="6" t="e">
        <v>#VALUE!</v>
      </c>
      <c r="P955" s="6" t="e">
        <v>#VALUE!</v>
      </c>
      <c r="Q955" s="6" t="e">
        <v>#VALUE!</v>
      </c>
      <c r="T955" s="9"/>
      <c r="U955" s="1">
        <f t="shared" si="1168"/>
        <v>22</v>
      </c>
      <c r="V955" s="1">
        <f t="shared" si="1169"/>
        <v>230</v>
      </c>
    </row>
    <row r="956" spans="1:22" x14ac:dyDescent="0.3">
      <c r="A956" s="1">
        <f t="shared" si="1170"/>
        <v>22231</v>
      </c>
      <c r="J956" s="24" t="str">
        <f t="shared" ref="J956" si="1233">CONCATENATE(K953,3)</f>
        <v>83</v>
      </c>
      <c r="K956" s="6" t="e">
        <v>#VALUE!</v>
      </c>
      <c r="L956" s="6" t="e">
        <v>#VALUE!</v>
      </c>
      <c r="M956" s="6" t="e">
        <v>#VALUE!</v>
      </c>
      <c r="N956" s="6" t="e">
        <v>#VALUE!</v>
      </c>
      <c r="O956" s="6" t="e">
        <v>#VALUE!</v>
      </c>
      <c r="P956" s="6" t="e">
        <v>#VALUE!</v>
      </c>
      <c r="Q956" s="6" t="e">
        <v>#VALUE!</v>
      </c>
      <c r="T956" s="9"/>
      <c r="U956" s="1">
        <f t="shared" si="1168"/>
        <v>22</v>
      </c>
      <c r="V956" s="1">
        <f t="shared" si="1169"/>
        <v>231</v>
      </c>
    </row>
    <row r="957" spans="1:22" ht="15" customHeight="1" x14ac:dyDescent="0.3">
      <c r="A957" s="1">
        <f t="shared" si="1170"/>
        <v>22232</v>
      </c>
      <c r="B957" s="10" t="s">
        <v>34</v>
      </c>
      <c r="C957" s="10" t="s">
        <v>35</v>
      </c>
      <c r="D957" s="10" t="s">
        <v>36</v>
      </c>
      <c r="E957" s="74" t="s">
        <v>37</v>
      </c>
      <c r="F957" s="75"/>
      <c r="G957" s="76"/>
      <c r="K957" s="1">
        <v>9</v>
      </c>
      <c r="L957" s="1">
        <v>9</v>
      </c>
      <c r="M957" s="1">
        <v>9</v>
      </c>
      <c r="N957" s="1">
        <v>9</v>
      </c>
      <c r="O957" s="1">
        <v>9</v>
      </c>
      <c r="P957" s="1">
        <v>9</v>
      </c>
      <c r="Q957" s="1">
        <v>9</v>
      </c>
      <c r="R957" s="1">
        <v>9</v>
      </c>
      <c r="T957" s="9"/>
      <c r="U957" s="1">
        <f t="shared" si="1168"/>
        <v>22</v>
      </c>
      <c r="V957" s="1">
        <f t="shared" si="1169"/>
        <v>232</v>
      </c>
    </row>
    <row r="958" spans="1:22" x14ac:dyDescent="0.3">
      <c r="A958" s="1">
        <f t="shared" si="1170"/>
        <v>22233</v>
      </c>
      <c r="B958" s="12">
        <f t="shared" ref="B958:B967" si="1234">C942-B942</f>
        <v>-0.30999999999999961</v>
      </c>
      <c r="C958" s="13">
        <f t="shared" ref="C958:C967" si="1235">H942-G942</f>
        <v>0.71999999999999975</v>
      </c>
      <c r="D958" s="10">
        <f t="shared" ref="D958:D967" si="1236">C958-B958</f>
        <v>1.0299999999999994</v>
      </c>
      <c r="E958" s="11">
        <f t="shared" ref="E958" si="1237">IF(D933="","",MAX(F958,G958))</f>
        <v>1.0299999999999994</v>
      </c>
      <c r="F958" s="10">
        <f t="shared" ref="F958" si="1238">ABS(MIN(D958:D967))</f>
        <v>7.1054273576010019E-15</v>
      </c>
      <c r="G958" s="10">
        <f t="shared" ref="G958" si="1239">ABS(MAX(D958:D967))</f>
        <v>1.0299999999999994</v>
      </c>
      <c r="J958" s="24" t="str">
        <f t="shared" ref="J958" si="1240">CONCATENATE(K957,1)</f>
        <v>91</v>
      </c>
      <c r="K958" s="6" t="e">
        <f t="array" ref="K958:R960">LINEST(B942:B950,C942:C950^{1,2,3,4,5,6,7},TRUE,TRUE)</f>
        <v>#VALUE!</v>
      </c>
      <c r="L958" s="6" t="e">
        <v>#VALUE!</v>
      </c>
      <c r="M958" s="6" t="e">
        <v>#VALUE!</v>
      </c>
      <c r="N958" s="6" t="e">
        <v>#VALUE!</v>
      </c>
      <c r="O958" s="6" t="e">
        <v>#VALUE!</v>
      </c>
      <c r="P958" s="6" t="e">
        <v>#VALUE!</v>
      </c>
      <c r="Q958" s="6" t="e">
        <v>#VALUE!</v>
      </c>
      <c r="R958" s="6" t="e">
        <v>#VALUE!</v>
      </c>
      <c r="T958" s="9"/>
      <c r="U958" s="1">
        <f t="shared" si="1168"/>
        <v>22</v>
      </c>
      <c r="V958" s="1">
        <f t="shared" si="1169"/>
        <v>233</v>
      </c>
    </row>
    <row r="959" spans="1:22" x14ac:dyDescent="0.3">
      <c r="A959" s="1">
        <f t="shared" si="1170"/>
        <v>22234</v>
      </c>
      <c r="B959" s="12">
        <f t="shared" si="1234"/>
        <v>-0.26000000000000156</v>
      </c>
      <c r="C959" s="13">
        <f t="shared" si="1235"/>
        <v>0.17999999999999972</v>
      </c>
      <c r="D959" s="10">
        <f t="shared" si="1236"/>
        <v>0.44000000000000128</v>
      </c>
      <c r="E959" s="74" t="s">
        <v>38</v>
      </c>
      <c r="F959" s="75"/>
      <c r="G959" s="76"/>
      <c r="J959" s="24" t="str">
        <f t="shared" ref="J959" si="1241">CONCATENATE(K957,2)</f>
        <v>92</v>
      </c>
      <c r="K959" s="6" t="e">
        <v>#VALUE!</v>
      </c>
      <c r="L959" s="6" t="e">
        <v>#VALUE!</v>
      </c>
      <c r="M959" s="6" t="e">
        <v>#VALUE!</v>
      </c>
      <c r="N959" s="6" t="e">
        <v>#VALUE!</v>
      </c>
      <c r="O959" s="6" t="e">
        <v>#VALUE!</v>
      </c>
      <c r="P959" s="6" t="e">
        <v>#VALUE!</v>
      </c>
      <c r="Q959" s="6" t="e">
        <v>#VALUE!</v>
      </c>
      <c r="R959" s="6" t="e">
        <v>#VALUE!</v>
      </c>
      <c r="T959" s="9"/>
      <c r="U959" s="1">
        <f t="shared" si="1168"/>
        <v>22</v>
      </c>
      <c r="V959" s="1">
        <f t="shared" si="1169"/>
        <v>234</v>
      </c>
    </row>
    <row r="960" spans="1:22" x14ac:dyDescent="0.3">
      <c r="A960" s="1">
        <f t="shared" si="1170"/>
        <v>22235</v>
      </c>
      <c r="B960" s="12">
        <f t="shared" si="1234"/>
        <v>7.0000000000000284E-2</v>
      </c>
      <c r="C960" s="13">
        <f t="shared" si="1235"/>
        <v>0.10999999999999943</v>
      </c>
      <c r="D960" s="10">
        <f t="shared" si="1236"/>
        <v>3.9999999999999147E-2</v>
      </c>
      <c r="E960" s="11">
        <f t="shared" ref="E960" si="1242">IF(D933="","",MAX(F960,G960))</f>
        <v>0.30999999999999961</v>
      </c>
      <c r="F960" s="10">
        <f t="shared" ref="F960" si="1243">ABS(MIN(B958:B967))</f>
        <v>0.30999999999999961</v>
      </c>
      <c r="G960" s="10">
        <f t="shared" ref="G960" si="1244">ABS(MAX(B958:B967))</f>
        <v>7.0000000000000284E-2</v>
      </c>
      <c r="J960" s="24" t="str">
        <f t="shared" ref="J960" si="1245">CONCATENATE(K957,3)</f>
        <v>93</v>
      </c>
      <c r="K960" s="6" t="e">
        <v>#VALUE!</v>
      </c>
      <c r="L960" s="6" t="e">
        <v>#VALUE!</v>
      </c>
      <c r="M960" s="6" t="e">
        <v>#VALUE!</v>
      </c>
      <c r="N960" s="6" t="e">
        <v>#VALUE!</v>
      </c>
      <c r="O960" s="6" t="e">
        <v>#VALUE!</v>
      </c>
      <c r="P960" s="6" t="e">
        <v>#VALUE!</v>
      </c>
      <c r="Q960" s="6" t="e">
        <v>#VALUE!</v>
      </c>
      <c r="R960" s="6" t="e">
        <v>#VALUE!</v>
      </c>
      <c r="T960" s="9"/>
      <c r="U960" s="1">
        <f t="shared" si="1168"/>
        <v>22</v>
      </c>
      <c r="V960" s="1">
        <f t="shared" si="1169"/>
        <v>235</v>
      </c>
    </row>
    <row r="961" spans="1:22" x14ac:dyDescent="0.3">
      <c r="A961" s="1">
        <f t="shared" si="1170"/>
        <v>22236</v>
      </c>
      <c r="B961" s="12">
        <f t="shared" si="1234"/>
        <v>1.0000000000005116E-2</v>
      </c>
      <c r="C961" s="13">
        <f t="shared" si="1235"/>
        <v>9.9999999999980105E-3</v>
      </c>
      <c r="D961" s="10">
        <f t="shared" si="1236"/>
        <v>-7.1054273576010019E-15</v>
      </c>
      <c r="E961" s="74" t="s">
        <v>39</v>
      </c>
      <c r="F961" s="75"/>
      <c r="G961" s="76"/>
      <c r="K961" s="1">
        <v>10</v>
      </c>
      <c r="L961" s="1">
        <v>10</v>
      </c>
      <c r="M961" s="1">
        <v>10</v>
      </c>
      <c r="N961" s="1">
        <v>10</v>
      </c>
      <c r="O961" s="1">
        <v>10</v>
      </c>
      <c r="P961" s="1">
        <v>10</v>
      </c>
      <c r="Q961" s="1">
        <v>10</v>
      </c>
      <c r="R961" s="1">
        <v>10</v>
      </c>
      <c r="S961" s="1">
        <v>10</v>
      </c>
      <c r="T961" s="9"/>
      <c r="U961" s="1">
        <f t="shared" si="1168"/>
        <v>22</v>
      </c>
      <c r="V961" s="1">
        <f t="shared" si="1169"/>
        <v>236</v>
      </c>
    </row>
    <row r="962" spans="1:22" x14ac:dyDescent="0.3">
      <c r="A962" s="1">
        <f t="shared" si="1170"/>
        <v>22237</v>
      </c>
      <c r="B962" s="12">
        <f t="shared" si="1234"/>
        <v>-0.27000000000001023</v>
      </c>
      <c r="C962" s="13">
        <f t="shared" si="1235"/>
        <v>0.27000000000001023</v>
      </c>
      <c r="D962" s="10">
        <f t="shared" si="1236"/>
        <v>0.54000000000002046</v>
      </c>
      <c r="E962" s="11">
        <f t="shared" ref="E962" si="1246">IF(D933="","",MAX(F962,G962))</f>
        <v>0.99</v>
      </c>
      <c r="F962" s="10">
        <f t="shared" ref="F962" si="1247">ABS(MIN(D942:D951))</f>
        <v>0.25</v>
      </c>
      <c r="G962" s="10">
        <f t="shared" ref="G962" si="1248">ABS(MAX(D942:D951))</f>
        <v>0.99</v>
      </c>
      <c r="J962" s="24" t="str">
        <f t="shared" ref="J962" si="1249">CONCATENATE(K961,1)</f>
        <v>101</v>
      </c>
      <c r="K962" s="6" t="e">
        <f t="array" ref="K962:S964">LINEST(B942:B951,C942:C951^{1,2,3,4,5,6,7,8},TRUE,TRUE)</f>
        <v>#VALUE!</v>
      </c>
      <c r="L962" s="6" t="e">
        <v>#VALUE!</v>
      </c>
      <c r="M962" s="6" t="e">
        <v>#VALUE!</v>
      </c>
      <c r="N962" s="6" t="e">
        <v>#VALUE!</v>
      </c>
      <c r="O962" s="6" t="e">
        <v>#VALUE!</v>
      </c>
      <c r="P962" s="6" t="e">
        <v>#VALUE!</v>
      </c>
      <c r="Q962" s="6" t="e">
        <v>#VALUE!</v>
      </c>
      <c r="R962" s="6" t="e">
        <v>#VALUE!</v>
      </c>
      <c r="S962" s="6" t="e">
        <v>#VALUE!</v>
      </c>
      <c r="T962" s="9"/>
      <c r="U962" s="1">
        <f t="shared" si="1168"/>
        <v>22</v>
      </c>
      <c r="V962" s="1">
        <f t="shared" si="1169"/>
        <v>237</v>
      </c>
    </row>
    <row r="963" spans="1:22" x14ac:dyDescent="0.3">
      <c r="A963" s="1">
        <f t="shared" si="1170"/>
        <v>22238</v>
      </c>
      <c r="B963" s="12">
        <f t="shared" si="1234"/>
        <v>-7.9999999999998295E-2</v>
      </c>
      <c r="C963" s="13">
        <f t="shared" si="1235"/>
        <v>0.40000000000000568</v>
      </c>
      <c r="D963" s="10">
        <f t="shared" si="1236"/>
        <v>0.48000000000000398</v>
      </c>
      <c r="J963" s="24" t="str">
        <f t="shared" ref="J963" si="1250">CONCATENATE(K961,2)</f>
        <v>102</v>
      </c>
      <c r="K963" s="6" t="e">
        <v>#VALUE!</v>
      </c>
      <c r="L963" s="6" t="e">
        <v>#VALUE!</v>
      </c>
      <c r="M963" s="6" t="e">
        <v>#VALUE!</v>
      </c>
      <c r="N963" s="6" t="e">
        <v>#VALUE!</v>
      </c>
      <c r="O963" s="6" t="e">
        <v>#VALUE!</v>
      </c>
      <c r="P963" s="6" t="e">
        <v>#VALUE!</v>
      </c>
      <c r="Q963" s="6" t="e">
        <v>#VALUE!</v>
      </c>
      <c r="R963" s="6" t="e">
        <v>#VALUE!</v>
      </c>
      <c r="S963" s="6" t="e">
        <v>#VALUE!</v>
      </c>
      <c r="T963" s="9"/>
      <c r="U963" s="1">
        <f t="shared" si="1168"/>
        <v>22</v>
      </c>
      <c r="V963" s="1">
        <f t="shared" si="1169"/>
        <v>238</v>
      </c>
    </row>
    <row r="964" spans="1:22" x14ac:dyDescent="0.3">
      <c r="A964" s="1">
        <f t="shared" si="1170"/>
        <v>22239</v>
      </c>
      <c r="B964" s="12">
        <f t="shared" si="1234"/>
        <v>0</v>
      </c>
      <c r="C964" s="13">
        <f t="shared" si="1235"/>
        <v>0</v>
      </c>
      <c r="D964" s="10">
        <f t="shared" si="1236"/>
        <v>0</v>
      </c>
      <c r="J964" s="24" t="str">
        <f t="shared" ref="J964" si="1251">CONCATENATE(K961,3)</f>
        <v>103</v>
      </c>
      <c r="K964" s="6" t="e">
        <v>#VALUE!</v>
      </c>
      <c r="L964" s="6" t="e">
        <v>#VALUE!</v>
      </c>
      <c r="M964" s="6" t="e">
        <v>#VALUE!</v>
      </c>
      <c r="N964" s="6" t="e">
        <v>#VALUE!</v>
      </c>
      <c r="O964" s="6" t="e">
        <v>#VALUE!</v>
      </c>
      <c r="P964" s="6" t="e">
        <v>#VALUE!</v>
      </c>
      <c r="Q964" s="6" t="e">
        <v>#VALUE!</v>
      </c>
      <c r="R964" s="6" t="e">
        <v>#VALUE!</v>
      </c>
      <c r="S964" s="6" t="e">
        <v>#VALUE!</v>
      </c>
      <c r="T964" s="9"/>
      <c r="U964" s="1">
        <f t="shared" si="1168"/>
        <v>22</v>
      </c>
      <c r="V964" s="1">
        <f t="shared" si="1169"/>
        <v>239</v>
      </c>
    </row>
    <row r="965" spans="1:22" x14ac:dyDescent="0.3">
      <c r="A965" s="1">
        <f t="shared" si="1170"/>
        <v>22240</v>
      </c>
      <c r="B965" s="12">
        <f t="shared" si="1234"/>
        <v>0</v>
      </c>
      <c r="C965" s="13">
        <f t="shared" si="1235"/>
        <v>0</v>
      </c>
      <c r="D965" s="10">
        <f t="shared" si="1236"/>
        <v>0</v>
      </c>
      <c r="J965" s="9"/>
      <c r="K965" s="9"/>
      <c r="L965" s="9"/>
      <c r="M965" s="9"/>
      <c r="N965" s="9"/>
      <c r="O965" s="9"/>
      <c r="P965" s="9"/>
      <c r="Q965" s="9"/>
      <c r="R965" s="9"/>
      <c r="S965" s="9"/>
      <c r="T965" s="9"/>
      <c r="U965" s="1">
        <f t="shared" si="1168"/>
        <v>22</v>
      </c>
      <c r="V965" s="1">
        <f t="shared" si="1169"/>
        <v>240</v>
      </c>
    </row>
    <row r="966" spans="1:22" x14ac:dyDescent="0.3">
      <c r="A966" s="1">
        <f t="shared" si="1170"/>
        <v>22241</v>
      </c>
      <c r="B966" s="12">
        <f t="shared" si="1234"/>
        <v>0</v>
      </c>
      <c r="C966" s="13">
        <f t="shared" si="1235"/>
        <v>0</v>
      </c>
      <c r="D966" s="10">
        <f t="shared" si="1236"/>
        <v>0</v>
      </c>
      <c r="J966" s="9"/>
      <c r="K966" s="9"/>
      <c r="L966" s="9"/>
      <c r="M966" s="9"/>
      <c r="N966" s="9"/>
      <c r="O966" s="9"/>
      <c r="P966" s="9"/>
      <c r="Q966" s="9"/>
      <c r="R966" s="9"/>
      <c r="S966" s="9"/>
      <c r="T966" s="9"/>
      <c r="U966" s="1">
        <f t="shared" si="1168"/>
        <v>22</v>
      </c>
      <c r="V966" s="1">
        <f t="shared" si="1169"/>
        <v>241</v>
      </c>
    </row>
    <row r="967" spans="1:22" x14ac:dyDescent="0.3">
      <c r="A967" s="1">
        <f t="shared" si="1170"/>
        <v>22242</v>
      </c>
      <c r="B967" s="12">
        <f t="shared" si="1234"/>
        <v>0</v>
      </c>
      <c r="C967" s="13">
        <f t="shared" si="1235"/>
        <v>0</v>
      </c>
      <c r="D967" s="10">
        <f t="shared" si="1236"/>
        <v>0</v>
      </c>
      <c r="J967" s="9"/>
      <c r="K967" s="9"/>
      <c r="L967" s="9"/>
      <c r="M967" s="9"/>
      <c r="N967" s="9"/>
      <c r="O967" s="9"/>
      <c r="P967" s="9"/>
      <c r="Q967" s="9"/>
      <c r="R967" s="9"/>
      <c r="S967" s="9"/>
      <c r="T967" s="9"/>
      <c r="U967" s="1">
        <f t="shared" si="1168"/>
        <v>22</v>
      </c>
      <c r="V967" s="1">
        <f t="shared" si="1169"/>
        <v>242</v>
      </c>
    </row>
    <row r="968" spans="1:22" x14ac:dyDescent="0.3">
      <c r="A968" s="1">
        <f t="shared" si="1170"/>
        <v>22243</v>
      </c>
      <c r="J968" s="9"/>
      <c r="K968" s="9"/>
      <c r="L968" s="9"/>
      <c r="M968" s="9"/>
      <c r="N968" s="9"/>
      <c r="O968" s="9"/>
      <c r="P968" s="9"/>
      <c r="Q968" s="9"/>
      <c r="R968" s="9"/>
      <c r="S968" s="9"/>
      <c r="T968" s="9"/>
      <c r="U968" s="1">
        <f t="shared" si="1168"/>
        <v>22</v>
      </c>
      <c r="V968" s="1">
        <f t="shared" si="1169"/>
        <v>243</v>
      </c>
    </row>
    <row r="969" spans="1:22" s="5" customFormat="1" x14ac:dyDescent="0.3"/>
    <row r="970" spans="1:22" x14ac:dyDescent="0.3">
      <c r="A970" s="1">
        <f t="shared" ref="A970:A1012" si="1252">ROUND(CONCATENATE(U970,V970),0)</f>
        <v>23201</v>
      </c>
      <c r="B970" s="96" t="s">
        <v>0</v>
      </c>
      <c r="C970" s="97"/>
      <c r="D970" s="110" t="s">
        <v>46</v>
      </c>
      <c r="E970" s="111"/>
      <c r="F970" s="111"/>
      <c r="G970" s="111"/>
      <c r="H970" s="112"/>
      <c r="J970" s="9"/>
      <c r="K970" s="9"/>
      <c r="L970" s="9"/>
      <c r="M970" s="9"/>
      <c r="N970" s="9"/>
      <c r="O970" s="9"/>
      <c r="P970" s="9"/>
      <c r="Q970" s="9"/>
      <c r="R970" s="9"/>
      <c r="S970" s="9"/>
      <c r="T970" s="9"/>
      <c r="U970" s="1">
        <f t="shared" ref="U970" si="1253">U968+1</f>
        <v>23</v>
      </c>
      <c r="V970" s="1">
        <v>201</v>
      </c>
    </row>
    <row r="971" spans="1:22" x14ac:dyDescent="0.3">
      <c r="A971" s="1">
        <f t="shared" si="1252"/>
        <v>23202</v>
      </c>
      <c r="B971" s="96" t="s">
        <v>1</v>
      </c>
      <c r="C971" s="97"/>
      <c r="D971" s="15">
        <v>25</v>
      </c>
      <c r="E971" s="16" t="s">
        <v>2</v>
      </c>
      <c r="F971" s="107"/>
      <c r="G971" s="108"/>
      <c r="H971" s="109"/>
      <c r="J971" s="9"/>
      <c r="K971" s="9"/>
      <c r="L971" s="9"/>
      <c r="M971" s="9"/>
      <c r="N971" s="9"/>
      <c r="O971" s="9"/>
      <c r="P971" s="9"/>
      <c r="Q971" s="9"/>
      <c r="R971" s="9"/>
      <c r="S971" s="9"/>
      <c r="T971" s="9"/>
      <c r="U971" s="1">
        <f t="shared" ref="U971" si="1254">U970</f>
        <v>23</v>
      </c>
      <c r="V971" s="1">
        <f t="shared" ref="V971" si="1255">V970+1</f>
        <v>202</v>
      </c>
    </row>
    <row r="972" spans="1:22" x14ac:dyDescent="0.3">
      <c r="A972" s="1">
        <f t="shared" si="1252"/>
        <v>23203</v>
      </c>
      <c r="B972" s="96" t="s">
        <v>12</v>
      </c>
      <c r="C972" s="97"/>
      <c r="D972" s="110" t="s">
        <v>222</v>
      </c>
      <c r="E972" s="111"/>
      <c r="F972" s="111"/>
      <c r="G972" s="111"/>
      <c r="H972" s="112"/>
      <c r="K972" s="1" t="s">
        <v>3</v>
      </c>
      <c r="L972" s="1" t="s">
        <v>4</v>
      </c>
      <c r="M972" s="1" t="s">
        <v>5</v>
      </c>
      <c r="N972" s="1" t="s">
        <v>6</v>
      </c>
      <c r="O972" s="1" t="s">
        <v>7</v>
      </c>
      <c r="P972" s="1" t="s">
        <v>8</v>
      </c>
      <c r="Q972" s="1" t="s">
        <v>9</v>
      </c>
      <c r="R972" s="1" t="s">
        <v>10</v>
      </c>
      <c r="S972" s="1" t="s">
        <v>11</v>
      </c>
      <c r="T972" s="9"/>
      <c r="U972" s="1">
        <f t="shared" si="1168"/>
        <v>23</v>
      </c>
      <c r="V972" s="1">
        <f t="shared" si="1169"/>
        <v>203</v>
      </c>
    </row>
    <row r="973" spans="1:22" x14ac:dyDescent="0.3">
      <c r="A973" s="1">
        <f t="shared" si="1252"/>
        <v>23204</v>
      </c>
      <c r="B973" s="96" t="s">
        <v>13</v>
      </c>
      <c r="C973" s="97"/>
      <c r="D973" s="110" t="s">
        <v>65</v>
      </c>
      <c r="E973" s="111"/>
      <c r="F973" s="111"/>
      <c r="G973" s="111"/>
      <c r="H973" s="112"/>
      <c r="J973" s="1">
        <f t="shared" ref="J973" si="1256">COUNTA(B986:B995)</f>
        <v>6</v>
      </c>
      <c r="K973" s="1">
        <f t="shared" ref="K973" si="1257">IF(L973-1&lt;2,0,L973-1)</f>
        <v>0</v>
      </c>
      <c r="L973" s="1">
        <f t="shared" ref="L973" si="1258">IF(M973-1&lt;2,0,M973-1)</f>
        <v>0</v>
      </c>
      <c r="M973" s="1">
        <f t="shared" ref="M973" si="1259">IF(N973-1&lt;2,0,N973-1)</f>
        <v>0</v>
      </c>
      <c r="N973" s="1">
        <f t="shared" ref="N973" si="1260">IF(O973-1&lt;2,0,O973-1)</f>
        <v>0</v>
      </c>
      <c r="O973" s="1">
        <f t="shared" ref="O973" si="1261">IF(P973-1&lt;2,0,P973-1)</f>
        <v>2</v>
      </c>
      <c r="P973" s="1">
        <f t="shared" ref="P973" si="1262">IF(Q973-1&lt;2,0,Q973-1)</f>
        <v>3</v>
      </c>
      <c r="Q973" s="1">
        <f t="shared" ref="Q973" si="1263">IF(R973-1&lt;2,0,R973-1)</f>
        <v>4</v>
      </c>
      <c r="R973" s="1">
        <f t="shared" ref="R973" si="1264">IF(S973-1&lt;2,0,S973-1)</f>
        <v>5</v>
      </c>
      <c r="S973" s="1">
        <f t="shared" ref="S973" si="1265">J973</f>
        <v>6</v>
      </c>
      <c r="T973" s="9"/>
      <c r="U973" s="1">
        <f t="shared" si="1168"/>
        <v>23</v>
      </c>
      <c r="V973" s="1">
        <f t="shared" si="1169"/>
        <v>204</v>
      </c>
    </row>
    <row r="974" spans="1:22" x14ac:dyDescent="0.3">
      <c r="A974" s="1">
        <f t="shared" si="1252"/>
        <v>23205</v>
      </c>
      <c r="B974" s="96" t="s">
        <v>14</v>
      </c>
      <c r="C974" s="97"/>
      <c r="D974" s="110" t="s">
        <v>66</v>
      </c>
      <c r="E974" s="111"/>
      <c r="F974" s="111"/>
      <c r="G974" s="111"/>
      <c r="H974" s="112"/>
      <c r="J974" s="24" t="str">
        <f t="shared" ref="J974" si="1266">CONCATENATE(J973,1)</f>
        <v>61</v>
      </c>
      <c r="K974" s="25">
        <f t="shared" ref="K974" si="1267">IF(K973=0,0,VLOOKUP(J974,J978:S1008,K973,FALSE))</f>
        <v>0</v>
      </c>
      <c r="L974" s="25">
        <f t="shared" ref="L974" si="1268">IF(L973=0,0,VLOOKUP(J974,J978:S1008,L973,FALSE))</f>
        <v>0</v>
      </c>
      <c r="M974" s="25">
        <f t="shared" ref="M974" si="1269">IF(M973=0,0,VLOOKUP(J974,J978:S1008,M973,FALSE))</f>
        <v>0</v>
      </c>
      <c r="N974" s="25">
        <f t="shared" ref="N974" si="1270">IF(N973=0,0,VLOOKUP(J974,J978:S1008,N973,FALSE))</f>
        <v>0</v>
      </c>
      <c r="O974" s="25">
        <f t="shared" ref="O974" si="1271">IF(O973=0,0,VLOOKUP(J974,J978:S1008,O973,FALSE))</f>
        <v>-4.5222785762450773E-8</v>
      </c>
      <c r="P974" s="25">
        <f t="shared" ref="P974" si="1272">IF(P973=0,0,VLOOKUP(J974,J978:S1008,P973,FALSE))</f>
        <v>7.2491089531375687E-6</v>
      </c>
      <c r="Q974" s="25">
        <f t="shared" ref="Q974" si="1273">IF(Q973=0,0,VLOOKUP(J974,J978:S1008,Q973,FALSE))</f>
        <v>-2.7489094108629447E-4</v>
      </c>
      <c r="R974" s="25">
        <f t="shared" ref="R974" si="1274">IF(R973=0,0,VLOOKUP(J974,J978:S1008,R973,FALSE))</f>
        <v>0.99155894599953109</v>
      </c>
      <c r="S974" s="25">
        <f t="shared" ref="S974" si="1275">IF(S973=0,0,VLOOKUP(J974,J978:S1008,S973,FALSE))</f>
        <v>-3.8661068307817015E-3</v>
      </c>
      <c r="T974" s="9"/>
      <c r="U974" s="1">
        <f t="shared" si="1168"/>
        <v>23</v>
      </c>
      <c r="V974" s="1">
        <f t="shared" si="1169"/>
        <v>205</v>
      </c>
    </row>
    <row r="975" spans="1:22" x14ac:dyDescent="0.3">
      <c r="A975" s="1">
        <f t="shared" si="1252"/>
        <v>23206</v>
      </c>
      <c r="B975" s="96" t="s">
        <v>15</v>
      </c>
      <c r="C975" s="97"/>
      <c r="D975" s="110" t="s">
        <v>339</v>
      </c>
      <c r="E975" s="111"/>
      <c r="F975" s="111"/>
      <c r="G975" s="111"/>
      <c r="H975" s="112"/>
      <c r="J975" s="24" t="str">
        <f t="shared" ref="J975" si="1276">CONCATENATE(J973,2)</f>
        <v>62</v>
      </c>
      <c r="K975" s="6">
        <f t="shared" ref="K975" si="1277">IF(K973=0,0,VLOOKUP(J975,J978:S1008,K973,FALSE))</f>
        <v>0</v>
      </c>
      <c r="L975" s="6">
        <f t="shared" ref="L975" si="1278">IF(L973=0,0,VLOOKUP(J975,J978:S1008,L973,FALSE))</f>
        <v>0</v>
      </c>
      <c r="M975" s="6">
        <f t="shared" ref="M975" si="1279">IF(M973=0,0,VLOOKUP(J975,J978:S1008,M973,FALSE))</f>
        <v>0</v>
      </c>
      <c r="N975" s="6">
        <f t="shared" ref="N975" si="1280">IF(N973=0,0,VLOOKUP(J975,J978:S1008,N973,FALSE))</f>
        <v>0</v>
      </c>
      <c r="O975" s="6">
        <f t="shared" ref="O975" si="1281">IF(O973=0,0,VLOOKUP(J975,J978:S1008,O973,FALSE))</f>
        <v>2.1360811146975848E-8</v>
      </c>
      <c r="P975" s="6">
        <f t="shared" ref="P975" si="1282">IF(P973=0,0,VLOOKUP(J975,J978:S1008,P973,FALSE))</f>
        <v>4.4446083150482974E-6</v>
      </c>
      <c r="Q975" s="6">
        <f t="shared" ref="Q975" si="1283">IF(Q973=0,0,VLOOKUP(J975,J978:S1008,Q973,FALSE))</f>
        <v>3.0037939098602039E-4</v>
      </c>
      <c r="R975" s="6">
        <f t="shared" ref="R975" si="1284">IF(R973=0,0,VLOOKUP(J975,J978:S1008,R973,FALSE))</f>
        <v>7.2361144435173445E-3</v>
      </c>
      <c r="S975" s="6">
        <f t="shared" ref="S975" si="1285">IF(S973=0,0,VLOOKUP(J975,J978:S1008,S973,FALSE))</f>
        <v>4.8724430213057349E-2</v>
      </c>
      <c r="T975" s="9"/>
      <c r="U975" s="1">
        <f t="shared" si="1168"/>
        <v>23</v>
      </c>
      <c r="V975" s="1">
        <f t="shared" si="1169"/>
        <v>206</v>
      </c>
    </row>
    <row r="976" spans="1:22" x14ac:dyDescent="0.3">
      <c r="A976" s="1">
        <f t="shared" si="1252"/>
        <v>23207</v>
      </c>
      <c r="B976" s="96" t="s">
        <v>16</v>
      </c>
      <c r="C976" s="97"/>
      <c r="D976" s="113">
        <v>45989</v>
      </c>
      <c r="E976" s="114"/>
      <c r="F976" s="114"/>
      <c r="G976" s="114"/>
      <c r="H976" s="115"/>
      <c r="J976" s="24" t="str">
        <f t="shared" ref="J976" si="1286">CONCATENATE(J973,3)</f>
        <v>63</v>
      </c>
      <c r="K976" s="6"/>
      <c r="L976" s="6"/>
      <c r="M976" s="6"/>
      <c r="N976" s="6" t="s">
        <v>43</v>
      </c>
      <c r="O976" s="25">
        <f t="shared" ref="O976" si="1287">J973-2</f>
        <v>4</v>
      </c>
      <c r="P976" s="6" t="s">
        <v>44</v>
      </c>
      <c r="Q976" s="25">
        <f t="shared" ref="Q976" si="1288">VLOOKUP(J976,J978:S1008,3,FALSE)</f>
        <v>2.5899429639532956E-2</v>
      </c>
      <c r="R976" s="6" t="s">
        <v>45</v>
      </c>
      <c r="S976" s="6">
        <f t="shared" ref="S976" si="1289">VLOOKUP(J976,J978:S1008,2,FALSE)</f>
        <v>0.999999896428308</v>
      </c>
      <c r="T976" s="9"/>
      <c r="U976" s="1">
        <f t="shared" si="1168"/>
        <v>23</v>
      </c>
      <c r="V976" s="1">
        <f t="shared" si="1169"/>
        <v>207</v>
      </c>
    </row>
    <row r="977" spans="1:22" x14ac:dyDescent="0.3">
      <c r="A977" s="1">
        <f t="shared" si="1252"/>
        <v>23208</v>
      </c>
      <c r="B977" s="96" t="s">
        <v>17</v>
      </c>
      <c r="C977" s="97"/>
      <c r="D977" s="116">
        <v>46170</v>
      </c>
      <c r="E977" s="117"/>
      <c r="F977" s="117"/>
      <c r="G977" s="117"/>
      <c r="H977" s="118"/>
      <c r="K977" s="1">
        <v>3</v>
      </c>
      <c r="L977" s="1">
        <v>3</v>
      </c>
      <c r="Q977" s="26"/>
      <c r="R977" s="26"/>
      <c r="S977" s="26"/>
      <c r="T977" s="9"/>
      <c r="U977" s="1">
        <f t="shared" si="1168"/>
        <v>23</v>
      </c>
      <c r="V977" s="1">
        <f t="shared" si="1169"/>
        <v>208</v>
      </c>
    </row>
    <row r="978" spans="1:22" x14ac:dyDescent="0.3">
      <c r="A978" s="1">
        <f t="shared" si="1252"/>
        <v>23209</v>
      </c>
      <c r="B978" s="77" t="s">
        <v>19</v>
      </c>
      <c r="C978" s="78"/>
      <c r="D978" s="17">
        <v>0.01</v>
      </c>
      <c r="E978" s="79" t="s">
        <v>40</v>
      </c>
      <c r="F978" s="80"/>
      <c r="G978" s="81"/>
      <c r="H978" s="18" t="s">
        <v>72</v>
      </c>
      <c r="J978" s="24" t="str">
        <f t="shared" ref="J978" si="1290">CONCATENATE(K977,1)</f>
        <v>31</v>
      </c>
      <c r="K978" s="6">
        <f t="array" ref="K978:L980">LINEST(B986:B988,C986:C988^{1},TRUE,TRUE)</f>
        <v>0.98875742032491754</v>
      </c>
      <c r="L978" s="6">
        <v>-1.4876222927995286E-3</v>
      </c>
      <c r="Q978" s="9"/>
      <c r="R978" s="9"/>
      <c r="S978" s="9"/>
      <c r="T978" s="9"/>
      <c r="U978" s="1">
        <f t="shared" si="1168"/>
        <v>23</v>
      </c>
      <c r="V978" s="1">
        <f t="shared" si="1169"/>
        <v>209</v>
      </c>
    </row>
    <row r="979" spans="1:22" x14ac:dyDescent="0.3">
      <c r="A979" s="1">
        <f t="shared" si="1252"/>
        <v>23210</v>
      </c>
      <c r="B979" s="77" t="s">
        <v>41</v>
      </c>
      <c r="C979" s="78"/>
      <c r="D979" s="23">
        <f t="shared" ref="D979" si="1291">MIN(B986:B995)</f>
        <v>5.01</v>
      </c>
      <c r="E979" s="20" t="s">
        <v>18</v>
      </c>
      <c r="F979" s="19">
        <f t="shared" ref="F979" si="1292">MAX(B986:B995)</f>
        <v>97.97</v>
      </c>
      <c r="G979" s="21" t="str">
        <f t="shared" ref="G979" si="1293">IF(H978="","",H978)</f>
        <v>%ur</v>
      </c>
      <c r="H979" s="22"/>
      <c r="J979" s="24" t="str">
        <f t="shared" ref="J979" si="1294">CONCATENATE(K977,2)</f>
        <v>32</v>
      </c>
      <c r="K979" s="6">
        <v>1.4362431875648294E-3</v>
      </c>
      <c r="L979" s="6">
        <v>3.0532435855974274E-2</v>
      </c>
      <c r="Q979" s="9"/>
      <c r="R979" s="9"/>
      <c r="S979" s="9"/>
      <c r="T979" s="9"/>
      <c r="U979" s="1">
        <f t="shared" si="1168"/>
        <v>23</v>
      </c>
      <c r="V979" s="1">
        <f t="shared" si="1169"/>
        <v>210</v>
      </c>
    </row>
    <row r="980" spans="1:22" x14ac:dyDescent="0.3">
      <c r="A980" s="1">
        <f t="shared" si="1252"/>
        <v>23211</v>
      </c>
      <c r="J980" s="24" t="str">
        <f t="shared" ref="J980" si="1295">CONCATENATE(K977,3)</f>
        <v>33</v>
      </c>
      <c r="K980" s="6">
        <v>0.99999789003361872</v>
      </c>
      <c r="L980" s="6">
        <v>2.5846003926318417E-2</v>
      </c>
      <c r="Q980" s="9"/>
      <c r="R980" s="9"/>
      <c r="S980" s="9"/>
      <c r="T980" s="9"/>
      <c r="U980" s="1">
        <f t="shared" si="1168"/>
        <v>23</v>
      </c>
      <c r="V980" s="1">
        <f t="shared" si="1169"/>
        <v>211</v>
      </c>
    </row>
    <row r="981" spans="1:22" x14ac:dyDescent="0.3">
      <c r="A981" s="1">
        <f t="shared" si="1252"/>
        <v>23212</v>
      </c>
      <c r="B981" s="82" t="s">
        <v>20</v>
      </c>
      <c r="C981" s="83"/>
      <c r="D981" s="83"/>
      <c r="E981" s="83"/>
      <c r="F981" s="84"/>
      <c r="G981" s="85" t="s">
        <v>31</v>
      </c>
      <c r="H981" s="86"/>
      <c r="K981" s="1">
        <v>4</v>
      </c>
      <c r="L981" s="1">
        <v>4</v>
      </c>
      <c r="M981" s="1">
        <v>4</v>
      </c>
      <c r="Q981" s="9"/>
      <c r="R981" s="9"/>
      <c r="S981" s="9"/>
      <c r="T981" s="9"/>
      <c r="U981" s="1">
        <f t="shared" si="1168"/>
        <v>23</v>
      </c>
      <c r="V981" s="1">
        <f t="shared" si="1169"/>
        <v>212</v>
      </c>
    </row>
    <row r="982" spans="1:22" x14ac:dyDescent="0.3">
      <c r="A982" s="1">
        <f t="shared" si="1252"/>
        <v>23213</v>
      </c>
      <c r="B982" s="82" t="s">
        <v>30</v>
      </c>
      <c r="C982" s="83"/>
      <c r="D982" s="84"/>
      <c r="E982" s="82" t="str">
        <f t="shared" ref="E982" si="1296">D975</f>
        <v>E0842/25</v>
      </c>
      <c r="F982" s="84"/>
      <c r="G982" s="6" t="s">
        <v>32</v>
      </c>
      <c r="H982" s="7" t="s">
        <v>325</v>
      </c>
      <c r="J982" s="24" t="str">
        <f t="shared" ref="J982" si="1297">CONCATENATE(K981,1)</f>
        <v>41</v>
      </c>
      <c r="K982" s="6">
        <f t="array" ref="K982:M984">LINEST(B986:B989,C986:C989^{1,2},TRUE,TRUE)</f>
        <v>7.8821465921974487E-5</v>
      </c>
      <c r="L982" s="6">
        <v>0.98583204118404799</v>
      </c>
      <c r="M982" s="6">
        <v>1.647709760465943E-2</v>
      </c>
      <c r="Q982" s="9"/>
      <c r="R982" s="9"/>
      <c r="S982" s="9"/>
      <c r="T982" s="9"/>
      <c r="U982" s="1">
        <f t="shared" si="1168"/>
        <v>23</v>
      </c>
      <c r="V982" s="1">
        <f t="shared" si="1169"/>
        <v>213</v>
      </c>
    </row>
    <row r="983" spans="1:22" x14ac:dyDescent="0.3">
      <c r="A983" s="1">
        <f t="shared" si="1252"/>
        <v>23214</v>
      </c>
      <c r="B983" s="2" t="s">
        <v>21</v>
      </c>
      <c r="C983" s="2" t="s">
        <v>22</v>
      </c>
      <c r="D983" s="2" t="s">
        <v>23</v>
      </c>
      <c r="E983" s="2"/>
      <c r="F983" s="2" t="s">
        <v>28</v>
      </c>
      <c r="G983" s="2" t="s">
        <v>21</v>
      </c>
      <c r="H983" s="2" t="s">
        <v>22</v>
      </c>
      <c r="J983" s="24" t="str">
        <f t="shared" ref="J983" si="1298">CONCATENATE(K981,2)</f>
        <v>42</v>
      </c>
      <c r="K983" s="6">
        <v>3.4230074011409065E-5</v>
      </c>
      <c r="L983" s="6">
        <v>1.9961253180575851E-3</v>
      </c>
      <c r="M983" s="6">
        <v>2.3768849757650364E-2</v>
      </c>
      <c r="Q983" s="9"/>
      <c r="R983" s="9"/>
      <c r="S983" s="9"/>
      <c r="T983" s="9"/>
      <c r="U983" s="1">
        <f t="shared" si="1168"/>
        <v>23</v>
      </c>
      <c r="V983" s="1">
        <f t="shared" si="1169"/>
        <v>214</v>
      </c>
    </row>
    <row r="984" spans="1:22" x14ac:dyDescent="0.3">
      <c r="A984" s="1">
        <f t="shared" si="1252"/>
        <v>23215</v>
      </c>
      <c r="B984" s="2" t="s">
        <v>24</v>
      </c>
      <c r="C984" s="2" t="s">
        <v>25</v>
      </c>
      <c r="D984" s="2" t="s">
        <v>26</v>
      </c>
      <c r="E984" s="2" t="s">
        <v>27</v>
      </c>
      <c r="F984" s="2" t="s">
        <v>29</v>
      </c>
      <c r="G984" s="2" t="s">
        <v>24</v>
      </c>
      <c r="H984" s="2" t="s">
        <v>25</v>
      </c>
      <c r="J984" s="24" t="str">
        <f t="shared" ref="J984" si="1299">CONCATENATE(K981,3)</f>
        <v>43</v>
      </c>
      <c r="K984" s="6">
        <v>0.99999974212434939</v>
      </c>
      <c r="L984" s="6">
        <v>1.6599597900628815E-2</v>
      </c>
      <c r="M984" s="6" t="e">
        <v>#N/A</v>
      </c>
      <c r="Q984" s="9"/>
      <c r="R984" s="9"/>
      <c r="S984" s="9"/>
      <c r="T984" s="9"/>
      <c r="U984" s="1">
        <f t="shared" si="1168"/>
        <v>23</v>
      </c>
      <c r="V984" s="1">
        <f t="shared" si="1169"/>
        <v>215</v>
      </c>
    </row>
    <row r="985" spans="1:22" x14ac:dyDescent="0.3">
      <c r="A985" s="1">
        <f t="shared" si="1252"/>
        <v>23216</v>
      </c>
      <c r="B985" s="3" t="str">
        <f t="shared" ref="B985" si="1300">H978</f>
        <v>%ur</v>
      </c>
      <c r="C985" s="3" t="str">
        <f t="shared" ref="C985:D985" si="1301">B985</f>
        <v>%ur</v>
      </c>
      <c r="D985" s="3" t="str">
        <f t="shared" si="1301"/>
        <v>%ur</v>
      </c>
      <c r="E985" s="3"/>
      <c r="F985" s="3"/>
      <c r="G985" s="3" t="str">
        <f t="shared" ref="G985" si="1302">D985</f>
        <v>%ur</v>
      </c>
      <c r="H985" s="3" t="str">
        <f t="shared" ref="H985" si="1303">G985</f>
        <v>%ur</v>
      </c>
      <c r="K985" s="1">
        <v>5</v>
      </c>
      <c r="L985" s="1">
        <v>5</v>
      </c>
      <c r="M985" s="1">
        <v>5</v>
      </c>
      <c r="N985" s="1">
        <v>5</v>
      </c>
      <c r="Q985" s="9"/>
      <c r="R985" s="9"/>
      <c r="S985" s="9"/>
      <c r="T985" s="9"/>
      <c r="U985" s="1">
        <f t="shared" si="1168"/>
        <v>23</v>
      </c>
      <c r="V985" s="1">
        <f t="shared" si="1169"/>
        <v>216</v>
      </c>
    </row>
    <row r="986" spans="1:22" x14ac:dyDescent="0.3">
      <c r="A986" s="1">
        <f t="shared" si="1252"/>
        <v>23217</v>
      </c>
      <c r="B986" s="4">
        <v>5.01</v>
      </c>
      <c r="C986" s="41">
        <v>5.0599999999999996</v>
      </c>
      <c r="D986" s="4">
        <v>0.25</v>
      </c>
      <c r="E986" s="4">
        <v>2.0299999999999998</v>
      </c>
      <c r="F986" s="14">
        <v>87</v>
      </c>
      <c r="G986" s="4">
        <v>5</v>
      </c>
      <c r="H986" s="41">
        <v>5.29</v>
      </c>
      <c r="J986" s="24" t="str">
        <f t="shared" ref="J986" si="1304">CONCATENATE(K985,1)</f>
        <v>51</v>
      </c>
      <c r="K986" s="6">
        <f t="array" ref="K986:N988">LINEST(B986:B990,C986:C990^{1,2,3},TRUE,TRUE)</f>
        <v>1.5749625762694539E-7</v>
      </c>
      <c r="L986" s="6">
        <v>7.078544419163193E-5</v>
      </c>
      <c r="M986" s="6">
        <v>0.98585488232229945</v>
      </c>
      <c r="N986" s="6">
        <v>1.7331419786020676E-2</v>
      </c>
      <c r="Q986" s="9"/>
      <c r="R986" s="9"/>
      <c r="S986" s="9"/>
      <c r="T986" s="9"/>
      <c r="U986" s="1">
        <f t="shared" si="1168"/>
        <v>23</v>
      </c>
      <c r="V986" s="1">
        <f t="shared" si="1169"/>
        <v>217</v>
      </c>
    </row>
    <row r="987" spans="1:22" x14ac:dyDescent="0.3">
      <c r="A987" s="1">
        <f t="shared" si="1252"/>
        <v>23218</v>
      </c>
      <c r="B987" s="4">
        <v>19.989999999999998</v>
      </c>
      <c r="C987" s="41">
        <v>20.239999999999998</v>
      </c>
      <c r="D987" s="4">
        <v>0.25</v>
      </c>
      <c r="E987" s="4">
        <v>2.04</v>
      </c>
      <c r="F987" s="14">
        <v>66</v>
      </c>
      <c r="G987" s="4">
        <v>20</v>
      </c>
      <c r="H987" s="41">
        <v>20.21</v>
      </c>
      <c r="J987" s="24" t="str">
        <f t="shared" ref="J987" si="1305">CONCATENATE(K985,2)</f>
        <v>52</v>
      </c>
      <c r="K987" s="6">
        <v>7.4996734858309997E-7</v>
      </c>
      <c r="L987" s="6">
        <v>9.5087228464584442E-5</v>
      </c>
      <c r="M987" s="6">
        <v>3.221924488853225E-3</v>
      </c>
      <c r="N987" s="6">
        <v>2.8209316482909291E-2</v>
      </c>
      <c r="T987" s="9"/>
      <c r="U987" s="1">
        <f t="shared" ref="U987:U1050" si="1306">U986</f>
        <v>23</v>
      </c>
      <c r="V987" s="1">
        <f t="shared" ref="V987:V1050" si="1307">V986+1</f>
        <v>218</v>
      </c>
    </row>
    <row r="988" spans="1:22" x14ac:dyDescent="0.3">
      <c r="A988" s="1">
        <f t="shared" si="1252"/>
        <v>23219</v>
      </c>
      <c r="B988" s="4">
        <v>30.01</v>
      </c>
      <c r="C988" s="41">
        <v>30.34</v>
      </c>
      <c r="D988" s="4">
        <v>0.33</v>
      </c>
      <c r="E988" s="4">
        <v>2.04</v>
      </c>
      <c r="F988" s="14">
        <v>67</v>
      </c>
      <c r="G988" s="4">
        <v>30.01</v>
      </c>
      <c r="H988" s="41">
        <v>30.16</v>
      </c>
      <c r="J988" s="24" t="str">
        <f t="shared" ref="J988" si="1308">CONCATENATE(K985,3)</f>
        <v>53</v>
      </c>
      <c r="K988" s="6">
        <v>0.99999991129491583</v>
      </c>
      <c r="L988" s="6">
        <v>1.7312073913818615E-2</v>
      </c>
      <c r="M988" s="6" t="e">
        <v>#N/A</v>
      </c>
      <c r="N988" s="6" t="e">
        <v>#N/A</v>
      </c>
      <c r="T988" s="9"/>
      <c r="U988" s="1">
        <f t="shared" si="1306"/>
        <v>23</v>
      </c>
      <c r="V988" s="1">
        <f t="shared" si="1307"/>
        <v>219</v>
      </c>
    </row>
    <row r="989" spans="1:22" x14ac:dyDescent="0.3">
      <c r="A989" s="1">
        <f t="shared" si="1252"/>
        <v>23220</v>
      </c>
      <c r="B989" s="4">
        <v>50</v>
      </c>
      <c r="C989" s="41">
        <v>50.5</v>
      </c>
      <c r="D989" s="4">
        <v>0.53</v>
      </c>
      <c r="E989" s="4">
        <v>2.04</v>
      </c>
      <c r="F989" s="14">
        <v>67</v>
      </c>
      <c r="G989" s="4">
        <v>50</v>
      </c>
      <c r="H989" s="41">
        <v>50.5</v>
      </c>
      <c r="K989" s="1">
        <v>6</v>
      </c>
      <c r="L989" s="1">
        <v>6</v>
      </c>
      <c r="M989" s="1">
        <v>6</v>
      </c>
      <c r="N989" s="1">
        <v>6</v>
      </c>
      <c r="O989" s="1">
        <v>6</v>
      </c>
      <c r="T989" s="9"/>
      <c r="U989" s="1">
        <f t="shared" si="1306"/>
        <v>23</v>
      </c>
      <c r="V989" s="1">
        <f t="shared" si="1307"/>
        <v>220</v>
      </c>
    </row>
    <row r="990" spans="1:22" x14ac:dyDescent="0.3">
      <c r="A990" s="1">
        <f t="shared" si="1252"/>
        <v>23221</v>
      </c>
      <c r="B990" s="4">
        <v>79.989999999999995</v>
      </c>
      <c r="C990" s="41">
        <v>80.569999999999993</v>
      </c>
      <c r="D990" s="4">
        <v>0.8</v>
      </c>
      <c r="E990" s="4">
        <v>2.04</v>
      </c>
      <c r="F990" s="14">
        <v>68</v>
      </c>
      <c r="G990" s="4">
        <v>79.989999999999995</v>
      </c>
      <c r="H990" s="41">
        <v>80.349999999999994</v>
      </c>
      <c r="J990" s="24" t="str">
        <f t="shared" ref="J990" si="1309">CONCATENATE(K989,1)</f>
        <v>61</v>
      </c>
      <c r="K990" s="6">
        <f t="array" ref="K990:O992">LINEST(B986:B991,C986:C991^{1,2,3,4},TRUE,TRUE)</f>
        <v>-4.5222785762450773E-8</v>
      </c>
      <c r="L990" s="6">
        <v>7.2491089531375687E-6</v>
      </c>
      <c r="M990" s="6">
        <v>-2.7489094108629447E-4</v>
      </c>
      <c r="N990" s="6">
        <v>0.99155894599953109</v>
      </c>
      <c r="O990" s="6">
        <v>-3.8661068307817015E-3</v>
      </c>
      <c r="T990" s="9"/>
      <c r="U990" s="1">
        <f t="shared" si="1306"/>
        <v>23</v>
      </c>
      <c r="V990" s="1">
        <f t="shared" si="1307"/>
        <v>221</v>
      </c>
    </row>
    <row r="991" spans="1:22" x14ac:dyDescent="0.3">
      <c r="A991" s="1">
        <f t="shared" si="1252"/>
        <v>23222</v>
      </c>
      <c r="B991" s="4">
        <v>97.97</v>
      </c>
      <c r="C991" s="4">
        <v>98.81</v>
      </c>
      <c r="D991" s="4">
        <v>0.93</v>
      </c>
      <c r="E991" s="4">
        <v>2.04</v>
      </c>
      <c r="F991" s="14">
        <v>62</v>
      </c>
      <c r="G991" s="4">
        <v>97.97</v>
      </c>
      <c r="H991" s="4">
        <v>99.44</v>
      </c>
      <c r="J991" s="24" t="str">
        <f t="shared" ref="J991" si="1310">CONCATENATE(K989,2)</f>
        <v>62</v>
      </c>
      <c r="K991" s="6">
        <v>2.1360811146975848E-8</v>
      </c>
      <c r="L991" s="6">
        <v>4.4446083150482974E-6</v>
      </c>
      <c r="M991" s="6">
        <v>3.0037939098602039E-4</v>
      </c>
      <c r="N991" s="6">
        <v>7.2361144435173445E-3</v>
      </c>
      <c r="O991" s="6">
        <v>4.8724430213057349E-2</v>
      </c>
      <c r="T991" s="9"/>
      <c r="U991" s="1">
        <f t="shared" si="1306"/>
        <v>23</v>
      </c>
      <c r="V991" s="1">
        <f t="shared" si="1307"/>
        <v>222</v>
      </c>
    </row>
    <row r="992" spans="1:22" x14ac:dyDescent="0.3">
      <c r="A992" s="1">
        <f t="shared" si="1252"/>
        <v>23223</v>
      </c>
      <c r="B992" s="4"/>
      <c r="C992" s="4"/>
      <c r="D992" s="4"/>
      <c r="E992" s="4"/>
      <c r="F992" s="14"/>
      <c r="G992" s="8"/>
      <c r="H992" s="7"/>
      <c r="J992" s="24" t="str">
        <f t="shared" ref="J992" si="1311">CONCATENATE(K989,3)</f>
        <v>63</v>
      </c>
      <c r="K992" s="6">
        <v>0.999999896428308</v>
      </c>
      <c r="L992" s="6">
        <v>2.5899429639532956E-2</v>
      </c>
      <c r="M992" s="6" t="e">
        <v>#N/A</v>
      </c>
      <c r="N992" s="6" t="e">
        <v>#N/A</v>
      </c>
      <c r="O992" s="6" t="e">
        <v>#N/A</v>
      </c>
      <c r="T992" s="9"/>
      <c r="U992" s="1">
        <f t="shared" si="1306"/>
        <v>23</v>
      </c>
      <c r="V992" s="1">
        <f t="shared" si="1307"/>
        <v>223</v>
      </c>
    </row>
    <row r="993" spans="1:22" x14ac:dyDescent="0.3">
      <c r="A993" s="1">
        <f t="shared" si="1252"/>
        <v>23224</v>
      </c>
      <c r="B993" s="4"/>
      <c r="C993" s="4"/>
      <c r="D993" s="4"/>
      <c r="E993" s="4"/>
      <c r="F993" s="14"/>
      <c r="G993" s="8"/>
      <c r="H993" s="7"/>
      <c r="K993" s="1">
        <v>7</v>
      </c>
      <c r="L993" s="1">
        <v>7</v>
      </c>
      <c r="M993" s="1">
        <v>7</v>
      </c>
      <c r="N993" s="1">
        <v>7</v>
      </c>
      <c r="O993" s="1">
        <v>7</v>
      </c>
      <c r="P993" s="1">
        <v>7</v>
      </c>
      <c r="T993" s="9"/>
      <c r="U993" s="1">
        <f t="shared" si="1306"/>
        <v>23</v>
      </c>
      <c r="V993" s="1">
        <f t="shared" si="1307"/>
        <v>224</v>
      </c>
    </row>
    <row r="994" spans="1:22" x14ac:dyDescent="0.3">
      <c r="A994" s="1">
        <f t="shared" si="1252"/>
        <v>23225</v>
      </c>
      <c r="B994" s="4"/>
      <c r="C994" s="4"/>
      <c r="D994" s="4"/>
      <c r="E994" s="4"/>
      <c r="F994" s="14"/>
      <c r="G994" s="8"/>
      <c r="H994" s="7"/>
      <c r="J994" s="24" t="str">
        <f t="shared" ref="J994" si="1312">CONCATENATE(K993,1)</f>
        <v>71</v>
      </c>
      <c r="K994" s="6" t="e">
        <f t="array" ref="K994:P996">LINEST(B986:B992,C986:C992^{1,2,3,4,5},TRUE,TRUE)</f>
        <v>#VALUE!</v>
      </c>
      <c r="L994" s="6" t="e">
        <v>#VALUE!</v>
      </c>
      <c r="M994" s="6" t="e">
        <v>#VALUE!</v>
      </c>
      <c r="N994" s="6" t="e">
        <v>#VALUE!</v>
      </c>
      <c r="O994" s="6" t="e">
        <v>#VALUE!</v>
      </c>
      <c r="P994" s="6" t="e">
        <v>#VALUE!</v>
      </c>
      <c r="T994" s="9"/>
      <c r="U994" s="1">
        <f t="shared" si="1306"/>
        <v>23</v>
      </c>
      <c r="V994" s="1">
        <f t="shared" si="1307"/>
        <v>225</v>
      </c>
    </row>
    <row r="995" spans="1:22" x14ac:dyDescent="0.3">
      <c r="A995" s="1">
        <f t="shared" si="1252"/>
        <v>23226</v>
      </c>
      <c r="B995" s="4"/>
      <c r="C995" s="4"/>
      <c r="D995" s="4"/>
      <c r="E995" s="4"/>
      <c r="F995" s="14"/>
      <c r="G995" s="8"/>
      <c r="H995" s="7"/>
      <c r="J995" s="24" t="str">
        <f t="shared" ref="J995" si="1313">CONCATENATE(K993,2)</f>
        <v>72</v>
      </c>
      <c r="K995" s="6" t="e">
        <v>#VALUE!</v>
      </c>
      <c r="L995" s="6" t="e">
        <v>#VALUE!</v>
      </c>
      <c r="M995" s="6" t="e">
        <v>#VALUE!</v>
      </c>
      <c r="N995" s="6" t="e">
        <v>#VALUE!</v>
      </c>
      <c r="O995" s="6" t="e">
        <v>#VALUE!</v>
      </c>
      <c r="P995" s="6" t="e">
        <v>#VALUE!</v>
      </c>
      <c r="T995" s="9"/>
      <c r="U995" s="1">
        <f t="shared" si="1306"/>
        <v>23</v>
      </c>
      <c r="V995" s="1">
        <f t="shared" si="1307"/>
        <v>226</v>
      </c>
    </row>
    <row r="996" spans="1:22" x14ac:dyDescent="0.3">
      <c r="A996" s="1">
        <f t="shared" si="1252"/>
        <v>23227</v>
      </c>
      <c r="B996" s="9"/>
      <c r="C996" s="9"/>
      <c r="D996" s="9"/>
      <c r="E996" s="9"/>
      <c r="F996" s="9"/>
      <c r="G996" s="9"/>
      <c r="H996" s="9"/>
      <c r="J996" s="24" t="str">
        <f t="shared" ref="J996" si="1314">CONCATENATE(K993,3)</f>
        <v>73</v>
      </c>
      <c r="K996" s="6" t="e">
        <v>#VALUE!</v>
      </c>
      <c r="L996" s="6" t="e">
        <v>#VALUE!</v>
      </c>
      <c r="M996" s="6" t="e">
        <v>#VALUE!</v>
      </c>
      <c r="N996" s="6" t="e">
        <v>#VALUE!</v>
      </c>
      <c r="O996" s="6" t="e">
        <v>#VALUE!</v>
      </c>
      <c r="P996" s="6" t="e">
        <v>#VALUE!</v>
      </c>
      <c r="T996" s="9"/>
      <c r="U996" s="1">
        <f t="shared" si="1306"/>
        <v>23</v>
      </c>
      <c r="V996" s="1">
        <f t="shared" si="1307"/>
        <v>227</v>
      </c>
    </row>
    <row r="997" spans="1:22" x14ac:dyDescent="0.3">
      <c r="A997" s="1">
        <f t="shared" si="1252"/>
        <v>23228</v>
      </c>
      <c r="B997" s="87" t="s">
        <v>33</v>
      </c>
      <c r="C997" s="88"/>
      <c r="D997" s="88"/>
      <c r="E997" s="88"/>
      <c r="F997" s="88"/>
      <c r="G997" s="88"/>
      <c r="H997" s="89"/>
      <c r="K997" s="1">
        <v>8</v>
      </c>
      <c r="L997" s="1">
        <v>8</v>
      </c>
      <c r="M997" s="1">
        <v>8</v>
      </c>
      <c r="N997" s="1">
        <v>8</v>
      </c>
      <c r="O997" s="1">
        <v>8</v>
      </c>
      <c r="P997" s="1">
        <v>8</v>
      </c>
      <c r="Q997" s="1">
        <v>8</v>
      </c>
      <c r="T997" s="9"/>
      <c r="U997" s="1">
        <f t="shared" si="1306"/>
        <v>23</v>
      </c>
      <c r="V997" s="1">
        <f t="shared" si="1307"/>
        <v>228</v>
      </c>
    </row>
    <row r="998" spans="1:22" x14ac:dyDescent="0.3">
      <c r="A998" s="1">
        <f t="shared" si="1252"/>
        <v>23229</v>
      </c>
      <c r="B998" s="90"/>
      <c r="C998" s="91"/>
      <c r="D998" s="91"/>
      <c r="E998" s="91"/>
      <c r="F998" s="91"/>
      <c r="G998" s="91"/>
      <c r="H998" s="92"/>
      <c r="J998" s="24" t="str">
        <f t="shared" ref="J998" si="1315">CONCATENATE(K997,1)</f>
        <v>81</v>
      </c>
      <c r="K998" s="6" t="e">
        <f t="array" ref="K998:Q1000">LINEST(B986:B993,C986:C993^{1,2,3,4,5,6},TRUE,TRUE)</f>
        <v>#VALUE!</v>
      </c>
      <c r="L998" s="6" t="e">
        <v>#VALUE!</v>
      </c>
      <c r="M998" s="6" t="e">
        <v>#VALUE!</v>
      </c>
      <c r="N998" s="6" t="e">
        <v>#VALUE!</v>
      </c>
      <c r="O998" s="6" t="e">
        <v>#VALUE!</v>
      </c>
      <c r="P998" s="6" t="e">
        <v>#VALUE!</v>
      </c>
      <c r="Q998" s="6" t="e">
        <v>#VALUE!</v>
      </c>
      <c r="T998" s="9"/>
      <c r="U998" s="1">
        <f t="shared" si="1306"/>
        <v>23</v>
      </c>
      <c r="V998" s="1">
        <f t="shared" si="1307"/>
        <v>229</v>
      </c>
    </row>
    <row r="999" spans="1:22" x14ac:dyDescent="0.3">
      <c r="A999" s="1">
        <f t="shared" si="1252"/>
        <v>23230</v>
      </c>
      <c r="B999" s="93"/>
      <c r="C999" s="94"/>
      <c r="D999" s="94"/>
      <c r="E999" s="94"/>
      <c r="F999" s="94"/>
      <c r="G999" s="94"/>
      <c r="H999" s="95"/>
      <c r="J999" s="24" t="str">
        <f t="shared" ref="J999" si="1316">CONCATENATE(K997,2)</f>
        <v>82</v>
      </c>
      <c r="K999" s="6" t="e">
        <v>#VALUE!</v>
      </c>
      <c r="L999" s="6" t="e">
        <v>#VALUE!</v>
      </c>
      <c r="M999" s="6" t="e">
        <v>#VALUE!</v>
      </c>
      <c r="N999" s="6" t="e">
        <v>#VALUE!</v>
      </c>
      <c r="O999" s="6" t="e">
        <v>#VALUE!</v>
      </c>
      <c r="P999" s="6" t="e">
        <v>#VALUE!</v>
      </c>
      <c r="Q999" s="6" t="e">
        <v>#VALUE!</v>
      </c>
      <c r="T999" s="9"/>
      <c r="U999" s="1">
        <f t="shared" si="1306"/>
        <v>23</v>
      </c>
      <c r="V999" s="1">
        <f t="shared" si="1307"/>
        <v>230</v>
      </c>
    </row>
    <row r="1000" spans="1:22" x14ac:dyDescent="0.3">
      <c r="A1000" s="1">
        <f t="shared" si="1252"/>
        <v>23231</v>
      </c>
      <c r="J1000" s="24" t="str">
        <f t="shared" ref="J1000" si="1317">CONCATENATE(K997,3)</f>
        <v>83</v>
      </c>
      <c r="K1000" s="6" t="e">
        <v>#VALUE!</v>
      </c>
      <c r="L1000" s="6" t="e">
        <v>#VALUE!</v>
      </c>
      <c r="M1000" s="6" t="e">
        <v>#VALUE!</v>
      </c>
      <c r="N1000" s="6" t="e">
        <v>#VALUE!</v>
      </c>
      <c r="O1000" s="6" t="e">
        <v>#VALUE!</v>
      </c>
      <c r="P1000" s="6" t="e">
        <v>#VALUE!</v>
      </c>
      <c r="Q1000" s="6" t="e">
        <v>#VALUE!</v>
      </c>
      <c r="T1000" s="9"/>
      <c r="U1000" s="1">
        <f t="shared" si="1306"/>
        <v>23</v>
      </c>
      <c r="V1000" s="1">
        <f t="shared" si="1307"/>
        <v>231</v>
      </c>
    </row>
    <row r="1001" spans="1:22" ht="15" customHeight="1" x14ac:dyDescent="0.3">
      <c r="A1001" s="1">
        <f t="shared" si="1252"/>
        <v>23232</v>
      </c>
      <c r="B1001" s="10" t="s">
        <v>34</v>
      </c>
      <c r="C1001" s="10" t="s">
        <v>35</v>
      </c>
      <c r="D1001" s="10" t="s">
        <v>36</v>
      </c>
      <c r="E1001" s="74" t="s">
        <v>37</v>
      </c>
      <c r="F1001" s="75"/>
      <c r="G1001" s="76"/>
      <c r="K1001" s="1">
        <v>9</v>
      </c>
      <c r="L1001" s="1">
        <v>9</v>
      </c>
      <c r="M1001" s="1">
        <v>9</v>
      </c>
      <c r="N1001" s="1">
        <v>9</v>
      </c>
      <c r="O1001" s="1">
        <v>9</v>
      </c>
      <c r="P1001" s="1">
        <v>9</v>
      </c>
      <c r="Q1001" s="1">
        <v>9</v>
      </c>
      <c r="R1001" s="1">
        <v>9</v>
      </c>
      <c r="T1001" s="9"/>
      <c r="U1001" s="1">
        <f t="shared" si="1306"/>
        <v>23</v>
      </c>
      <c r="V1001" s="1">
        <f t="shared" si="1307"/>
        <v>232</v>
      </c>
    </row>
    <row r="1002" spans="1:22" x14ac:dyDescent="0.3">
      <c r="A1002" s="1">
        <f t="shared" si="1252"/>
        <v>23233</v>
      </c>
      <c r="B1002" s="12">
        <f t="shared" ref="B1002:B1011" si="1318">C986-B986</f>
        <v>4.9999999999999822E-2</v>
      </c>
      <c r="C1002" s="13">
        <f t="shared" ref="C1002:C1011" si="1319">H986-G986</f>
        <v>0.29000000000000004</v>
      </c>
      <c r="D1002" s="10">
        <f t="shared" ref="D1002:D1011" si="1320">C1002-B1002</f>
        <v>0.24000000000000021</v>
      </c>
      <c r="E1002" s="11">
        <f t="shared" ref="E1002" si="1321">IF(D977="","",MAX(F1002,G1002))</f>
        <v>0.62999999999999545</v>
      </c>
      <c r="F1002" s="10">
        <f t="shared" ref="F1002" si="1322">ABS(MIN(D1002:D1011))</f>
        <v>0.21999999999999886</v>
      </c>
      <c r="G1002" s="10">
        <f t="shared" ref="G1002" si="1323">ABS(MAX(D1002:D1011))</f>
        <v>0.62999999999999545</v>
      </c>
      <c r="J1002" s="24" t="str">
        <f t="shared" ref="J1002" si="1324">CONCATENATE(K1001,1)</f>
        <v>91</v>
      </c>
      <c r="K1002" s="6" t="e">
        <f t="array" ref="K1002:R1004">LINEST(B986:B994,C986:C994^{1,2,3,4,5,6,7},TRUE,TRUE)</f>
        <v>#VALUE!</v>
      </c>
      <c r="L1002" s="6" t="e">
        <v>#VALUE!</v>
      </c>
      <c r="M1002" s="6" t="e">
        <v>#VALUE!</v>
      </c>
      <c r="N1002" s="6" t="e">
        <v>#VALUE!</v>
      </c>
      <c r="O1002" s="6" t="e">
        <v>#VALUE!</v>
      </c>
      <c r="P1002" s="6" t="e">
        <v>#VALUE!</v>
      </c>
      <c r="Q1002" s="6" t="e">
        <v>#VALUE!</v>
      </c>
      <c r="R1002" s="6" t="e">
        <v>#VALUE!</v>
      </c>
      <c r="T1002" s="9"/>
      <c r="U1002" s="1">
        <f t="shared" si="1306"/>
        <v>23</v>
      </c>
      <c r="V1002" s="1">
        <f t="shared" si="1307"/>
        <v>233</v>
      </c>
    </row>
    <row r="1003" spans="1:22" x14ac:dyDescent="0.3">
      <c r="A1003" s="1">
        <f t="shared" si="1252"/>
        <v>23234</v>
      </c>
      <c r="B1003" s="12">
        <f t="shared" si="1318"/>
        <v>0.25</v>
      </c>
      <c r="C1003" s="13">
        <f t="shared" si="1319"/>
        <v>0.21000000000000085</v>
      </c>
      <c r="D1003" s="10">
        <f t="shared" si="1320"/>
        <v>-3.9999999999999147E-2</v>
      </c>
      <c r="E1003" s="74" t="s">
        <v>38</v>
      </c>
      <c r="F1003" s="75"/>
      <c r="G1003" s="76"/>
      <c r="J1003" s="24" t="str">
        <f t="shared" ref="J1003" si="1325">CONCATENATE(K1001,2)</f>
        <v>92</v>
      </c>
      <c r="K1003" s="6" t="e">
        <v>#VALUE!</v>
      </c>
      <c r="L1003" s="6" t="e">
        <v>#VALUE!</v>
      </c>
      <c r="M1003" s="6" t="e">
        <v>#VALUE!</v>
      </c>
      <c r="N1003" s="6" t="e">
        <v>#VALUE!</v>
      </c>
      <c r="O1003" s="6" t="e">
        <v>#VALUE!</v>
      </c>
      <c r="P1003" s="6" t="e">
        <v>#VALUE!</v>
      </c>
      <c r="Q1003" s="6" t="e">
        <v>#VALUE!</v>
      </c>
      <c r="R1003" s="6" t="e">
        <v>#VALUE!</v>
      </c>
      <c r="T1003" s="9"/>
      <c r="U1003" s="1">
        <f t="shared" si="1306"/>
        <v>23</v>
      </c>
      <c r="V1003" s="1">
        <f t="shared" si="1307"/>
        <v>234</v>
      </c>
    </row>
    <row r="1004" spans="1:22" x14ac:dyDescent="0.3">
      <c r="A1004" s="1">
        <f t="shared" si="1252"/>
        <v>23235</v>
      </c>
      <c r="B1004" s="12">
        <f t="shared" si="1318"/>
        <v>0.32999999999999829</v>
      </c>
      <c r="C1004" s="13">
        <f t="shared" si="1319"/>
        <v>0.14999999999999858</v>
      </c>
      <c r="D1004" s="10">
        <f t="shared" si="1320"/>
        <v>-0.17999999999999972</v>
      </c>
      <c r="E1004" s="11">
        <f t="shared" ref="E1004" si="1326">IF(D977="","",MAX(F1004,G1004))</f>
        <v>0.84000000000000341</v>
      </c>
      <c r="F1004" s="10">
        <f t="shared" ref="F1004" si="1327">ABS(MIN(B1002:B1011))</f>
        <v>0</v>
      </c>
      <c r="G1004" s="10">
        <f t="shared" ref="G1004" si="1328">ABS(MAX(B1002:B1011))</f>
        <v>0.84000000000000341</v>
      </c>
      <c r="J1004" s="24" t="str">
        <f t="shared" ref="J1004" si="1329">CONCATENATE(K1001,3)</f>
        <v>93</v>
      </c>
      <c r="K1004" s="6" t="e">
        <v>#VALUE!</v>
      </c>
      <c r="L1004" s="6" t="e">
        <v>#VALUE!</v>
      </c>
      <c r="M1004" s="6" t="e">
        <v>#VALUE!</v>
      </c>
      <c r="N1004" s="6" t="e">
        <v>#VALUE!</v>
      </c>
      <c r="O1004" s="6" t="e">
        <v>#VALUE!</v>
      </c>
      <c r="P1004" s="6" t="e">
        <v>#VALUE!</v>
      </c>
      <c r="Q1004" s="6" t="e">
        <v>#VALUE!</v>
      </c>
      <c r="R1004" s="6" t="e">
        <v>#VALUE!</v>
      </c>
      <c r="T1004" s="9"/>
      <c r="U1004" s="1">
        <f t="shared" si="1306"/>
        <v>23</v>
      </c>
      <c r="V1004" s="1">
        <f t="shared" si="1307"/>
        <v>235</v>
      </c>
    </row>
    <row r="1005" spans="1:22" x14ac:dyDescent="0.3">
      <c r="A1005" s="1">
        <f t="shared" si="1252"/>
        <v>23236</v>
      </c>
      <c r="B1005" s="12">
        <f t="shared" si="1318"/>
        <v>0.5</v>
      </c>
      <c r="C1005" s="13">
        <f t="shared" si="1319"/>
        <v>0.5</v>
      </c>
      <c r="D1005" s="10">
        <f t="shared" si="1320"/>
        <v>0</v>
      </c>
      <c r="E1005" s="74" t="s">
        <v>39</v>
      </c>
      <c r="F1005" s="75"/>
      <c r="G1005" s="76"/>
      <c r="K1005" s="1">
        <v>10</v>
      </c>
      <c r="L1005" s="1">
        <v>10</v>
      </c>
      <c r="M1005" s="1">
        <v>10</v>
      </c>
      <c r="N1005" s="1">
        <v>10</v>
      </c>
      <c r="O1005" s="1">
        <v>10</v>
      </c>
      <c r="P1005" s="1">
        <v>10</v>
      </c>
      <c r="Q1005" s="1">
        <v>10</v>
      </c>
      <c r="R1005" s="1">
        <v>10</v>
      </c>
      <c r="S1005" s="1">
        <v>10</v>
      </c>
      <c r="T1005" s="9"/>
      <c r="U1005" s="1">
        <f t="shared" si="1306"/>
        <v>23</v>
      </c>
      <c r="V1005" s="1">
        <f t="shared" si="1307"/>
        <v>236</v>
      </c>
    </row>
    <row r="1006" spans="1:22" x14ac:dyDescent="0.3">
      <c r="A1006" s="1">
        <f t="shared" si="1252"/>
        <v>23237</v>
      </c>
      <c r="B1006" s="12">
        <f t="shared" si="1318"/>
        <v>0.57999999999999829</v>
      </c>
      <c r="C1006" s="13">
        <f t="shared" si="1319"/>
        <v>0.35999999999999943</v>
      </c>
      <c r="D1006" s="10">
        <f t="shared" si="1320"/>
        <v>-0.21999999999999886</v>
      </c>
      <c r="E1006" s="11">
        <f t="shared" ref="E1006" si="1330">IF(D977="","",MAX(F1006,G1006))</f>
        <v>0.93</v>
      </c>
      <c r="F1006" s="10">
        <f t="shared" ref="F1006" si="1331">ABS(MIN(D986:D995))</f>
        <v>0.25</v>
      </c>
      <c r="G1006" s="10">
        <f t="shared" ref="G1006" si="1332">ABS(MAX(D986:D995))</f>
        <v>0.93</v>
      </c>
      <c r="J1006" s="24" t="str">
        <f t="shared" ref="J1006" si="1333">CONCATENATE(K1005,1)</f>
        <v>101</v>
      </c>
      <c r="K1006" s="6" t="e">
        <f t="array" ref="K1006:S1008">LINEST(B986:B995,C986:C995^{1,2,3,4,5,6,7,8},TRUE,TRUE)</f>
        <v>#VALUE!</v>
      </c>
      <c r="L1006" s="6" t="e">
        <v>#VALUE!</v>
      </c>
      <c r="M1006" s="6" t="e">
        <v>#VALUE!</v>
      </c>
      <c r="N1006" s="6" t="e">
        <v>#VALUE!</v>
      </c>
      <c r="O1006" s="6" t="e">
        <v>#VALUE!</v>
      </c>
      <c r="P1006" s="6" t="e">
        <v>#VALUE!</v>
      </c>
      <c r="Q1006" s="6" t="e">
        <v>#VALUE!</v>
      </c>
      <c r="R1006" s="6" t="e">
        <v>#VALUE!</v>
      </c>
      <c r="S1006" s="6" t="e">
        <v>#VALUE!</v>
      </c>
      <c r="T1006" s="9"/>
      <c r="U1006" s="1">
        <f t="shared" si="1306"/>
        <v>23</v>
      </c>
      <c r="V1006" s="1">
        <f t="shared" si="1307"/>
        <v>237</v>
      </c>
    </row>
    <row r="1007" spans="1:22" x14ac:dyDescent="0.3">
      <c r="A1007" s="1">
        <f t="shared" si="1252"/>
        <v>23238</v>
      </c>
      <c r="B1007" s="12">
        <f t="shared" si="1318"/>
        <v>0.84000000000000341</v>
      </c>
      <c r="C1007" s="13">
        <f t="shared" si="1319"/>
        <v>1.4699999999999989</v>
      </c>
      <c r="D1007" s="10">
        <f t="shared" si="1320"/>
        <v>0.62999999999999545</v>
      </c>
      <c r="J1007" s="24" t="str">
        <f t="shared" ref="J1007" si="1334">CONCATENATE(K1005,2)</f>
        <v>102</v>
      </c>
      <c r="K1007" s="6" t="e">
        <v>#VALUE!</v>
      </c>
      <c r="L1007" s="6" t="e">
        <v>#VALUE!</v>
      </c>
      <c r="M1007" s="6" t="e">
        <v>#VALUE!</v>
      </c>
      <c r="N1007" s="6" t="e">
        <v>#VALUE!</v>
      </c>
      <c r="O1007" s="6" t="e">
        <v>#VALUE!</v>
      </c>
      <c r="P1007" s="6" t="e">
        <v>#VALUE!</v>
      </c>
      <c r="Q1007" s="6" t="e">
        <v>#VALUE!</v>
      </c>
      <c r="R1007" s="6" t="e">
        <v>#VALUE!</v>
      </c>
      <c r="S1007" s="6" t="e">
        <v>#VALUE!</v>
      </c>
      <c r="T1007" s="9"/>
      <c r="U1007" s="1">
        <f t="shared" si="1306"/>
        <v>23</v>
      </c>
      <c r="V1007" s="1">
        <f t="shared" si="1307"/>
        <v>238</v>
      </c>
    </row>
    <row r="1008" spans="1:22" x14ac:dyDescent="0.3">
      <c r="A1008" s="1">
        <f t="shared" si="1252"/>
        <v>23239</v>
      </c>
      <c r="B1008" s="12">
        <f t="shared" si="1318"/>
        <v>0</v>
      </c>
      <c r="C1008" s="13">
        <f t="shared" si="1319"/>
        <v>0</v>
      </c>
      <c r="D1008" s="10">
        <f t="shared" si="1320"/>
        <v>0</v>
      </c>
      <c r="J1008" s="24" t="str">
        <f t="shared" ref="J1008" si="1335">CONCATENATE(K1005,3)</f>
        <v>103</v>
      </c>
      <c r="K1008" s="6" t="e">
        <v>#VALUE!</v>
      </c>
      <c r="L1008" s="6" t="e">
        <v>#VALUE!</v>
      </c>
      <c r="M1008" s="6" t="e">
        <v>#VALUE!</v>
      </c>
      <c r="N1008" s="6" t="e">
        <v>#VALUE!</v>
      </c>
      <c r="O1008" s="6" t="e">
        <v>#VALUE!</v>
      </c>
      <c r="P1008" s="6" t="e">
        <v>#VALUE!</v>
      </c>
      <c r="Q1008" s="6" t="e">
        <v>#VALUE!</v>
      </c>
      <c r="R1008" s="6" t="e">
        <v>#VALUE!</v>
      </c>
      <c r="S1008" s="6" t="e">
        <v>#VALUE!</v>
      </c>
      <c r="T1008" s="9"/>
      <c r="U1008" s="1">
        <f t="shared" si="1306"/>
        <v>23</v>
      </c>
      <c r="V1008" s="1">
        <f t="shared" si="1307"/>
        <v>239</v>
      </c>
    </row>
    <row r="1009" spans="1:22" x14ac:dyDescent="0.3">
      <c r="A1009" s="1">
        <f t="shared" si="1252"/>
        <v>23240</v>
      </c>
      <c r="B1009" s="12">
        <f t="shared" si="1318"/>
        <v>0</v>
      </c>
      <c r="C1009" s="13">
        <f t="shared" si="1319"/>
        <v>0</v>
      </c>
      <c r="D1009" s="10">
        <f t="shared" si="1320"/>
        <v>0</v>
      </c>
      <c r="J1009" s="9"/>
      <c r="K1009" s="9"/>
      <c r="L1009" s="9"/>
      <c r="M1009" s="9"/>
      <c r="N1009" s="9"/>
      <c r="O1009" s="9"/>
      <c r="P1009" s="9"/>
      <c r="Q1009" s="9"/>
      <c r="R1009" s="9"/>
      <c r="S1009" s="9"/>
      <c r="T1009" s="9"/>
      <c r="U1009" s="1">
        <f t="shared" si="1306"/>
        <v>23</v>
      </c>
      <c r="V1009" s="1">
        <f t="shared" si="1307"/>
        <v>240</v>
      </c>
    </row>
    <row r="1010" spans="1:22" x14ac:dyDescent="0.3">
      <c r="A1010" s="1">
        <f t="shared" si="1252"/>
        <v>23241</v>
      </c>
      <c r="B1010" s="12">
        <f t="shared" si="1318"/>
        <v>0</v>
      </c>
      <c r="C1010" s="13">
        <f t="shared" si="1319"/>
        <v>0</v>
      </c>
      <c r="D1010" s="10">
        <f t="shared" si="1320"/>
        <v>0</v>
      </c>
      <c r="J1010" s="9"/>
      <c r="K1010" s="9"/>
      <c r="L1010" s="9"/>
      <c r="M1010" s="9"/>
      <c r="N1010" s="9"/>
      <c r="O1010" s="9"/>
      <c r="P1010" s="9"/>
      <c r="Q1010" s="9"/>
      <c r="R1010" s="9"/>
      <c r="S1010" s="9"/>
      <c r="T1010" s="9"/>
      <c r="U1010" s="1">
        <f t="shared" si="1306"/>
        <v>23</v>
      </c>
      <c r="V1010" s="1">
        <f t="shared" si="1307"/>
        <v>241</v>
      </c>
    </row>
    <row r="1011" spans="1:22" x14ac:dyDescent="0.3">
      <c r="A1011" s="1">
        <f t="shared" si="1252"/>
        <v>23242</v>
      </c>
      <c r="B1011" s="12">
        <f t="shared" si="1318"/>
        <v>0</v>
      </c>
      <c r="C1011" s="13">
        <f t="shared" si="1319"/>
        <v>0</v>
      </c>
      <c r="D1011" s="10">
        <f t="shared" si="1320"/>
        <v>0</v>
      </c>
      <c r="J1011" s="9"/>
      <c r="K1011" s="9"/>
      <c r="L1011" s="9"/>
      <c r="M1011" s="9"/>
      <c r="N1011" s="9"/>
      <c r="O1011" s="9"/>
      <c r="P1011" s="9"/>
      <c r="Q1011" s="9"/>
      <c r="R1011" s="9"/>
      <c r="S1011" s="9"/>
      <c r="T1011" s="9"/>
      <c r="U1011" s="1">
        <f t="shared" si="1306"/>
        <v>23</v>
      </c>
      <c r="V1011" s="1">
        <f t="shared" si="1307"/>
        <v>242</v>
      </c>
    </row>
    <row r="1012" spans="1:22" x14ac:dyDescent="0.3">
      <c r="A1012" s="1">
        <f t="shared" si="1252"/>
        <v>23243</v>
      </c>
      <c r="J1012" s="9"/>
      <c r="K1012" s="9"/>
      <c r="L1012" s="9"/>
      <c r="M1012" s="9"/>
      <c r="N1012" s="9"/>
      <c r="O1012" s="9"/>
      <c r="P1012" s="9"/>
      <c r="Q1012" s="9"/>
      <c r="R1012" s="9"/>
      <c r="S1012" s="9"/>
      <c r="T1012" s="9"/>
      <c r="U1012" s="1">
        <f t="shared" si="1306"/>
        <v>23</v>
      </c>
      <c r="V1012" s="1">
        <f t="shared" si="1307"/>
        <v>243</v>
      </c>
    </row>
    <row r="1013" spans="1:22" s="5" customFormat="1" x14ac:dyDescent="0.3"/>
    <row r="1014" spans="1:22" x14ac:dyDescent="0.3">
      <c r="A1014" s="1">
        <f t="shared" ref="A1014:A1056" si="1336">ROUND(CONCATENATE(U1014,V1014),0)</f>
        <v>24201</v>
      </c>
      <c r="B1014" s="96" t="s">
        <v>0</v>
      </c>
      <c r="C1014" s="97"/>
      <c r="D1014" s="110" t="s">
        <v>46</v>
      </c>
      <c r="E1014" s="111"/>
      <c r="F1014" s="111"/>
      <c r="G1014" s="111"/>
      <c r="H1014" s="112"/>
      <c r="J1014" s="9"/>
      <c r="K1014" s="9"/>
      <c r="L1014" s="9"/>
      <c r="M1014" s="9"/>
      <c r="N1014" s="9"/>
      <c r="O1014" s="9"/>
      <c r="P1014" s="9"/>
      <c r="Q1014" s="9"/>
      <c r="R1014" s="9"/>
      <c r="S1014" s="9"/>
      <c r="T1014" s="9"/>
      <c r="U1014" s="1">
        <f t="shared" ref="U1014" si="1337">U1012+1</f>
        <v>24</v>
      </c>
      <c r="V1014" s="1">
        <v>201</v>
      </c>
    </row>
    <row r="1015" spans="1:22" x14ac:dyDescent="0.3">
      <c r="A1015" s="1">
        <f t="shared" si="1336"/>
        <v>24202</v>
      </c>
      <c r="B1015" s="96" t="s">
        <v>1</v>
      </c>
      <c r="C1015" s="97"/>
      <c r="D1015" s="15">
        <v>20</v>
      </c>
      <c r="E1015" s="16" t="s">
        <v>2</v>
      </c>
      <c r="F1015" s="107"/>
      <c r="G1015" s="108"/>
      <c r="H1015" s="109"/>
      <c r="J1015" s="9"/>
      <c r="K1015" s="9"/>
      <c r="L1015" s="9"/>
      <c r="M1015" s="9"/>
      <c r="N1015" s="9"/>
      <c r="O1015" s="9"/>
      <c r="P1015" s="9"/>
      <c r="Q1015" s="9"/>
      <c r="R1015" s="9"/>
      <c r="S1015" s="9"/>
      <c r="T1015" s="9"/>
      <c r="U1015" s="1">
        <f t="shared" ref="U1015" si="1338">U1014</f>
        <v>24</v>
      </c>
      <c r="V1015" s="1">
        <f t="shared" ref="V1015" si="1339">V1014+1</f>
        <v>202</v>
      </c>
    </row>
    <row r="1016" spans="1:22" x14ac:dyDescent="0.3">
      <c r="A1016" s="1">
        <f t="shared" si="1336"/>
        <v>24203</v>
      </c>
      <c r="B1016" s="96" t="s">
        <v>12</v>
      </c>
      <c r="C1016" s="97"/>
      <c r="D1016" s="110" t="s">
        <v>219</v>
      </c>
      <c r="E1016" s="111"/>
      <c r="F1016" s="111"/>
      <c r="G1016" s="111"/>
      <c r="H1016" s="112"/>
      <c r="K1016" s="1" t="s">
        <v>3</v>
      </c>
      <c r="L1016" s="1" t="s">
        <v>4</v>
      </c>
      <c r="M1016" s="1" t="s">
        <v>5</v>
      </c>
      <c r="N1016" s="1" t="s">
        <v>6</v>
      </c>
      <c r="O1016" s="1" t="s">
        <v>7</v>
      </c>
      <c r="P1016" s="1" t="s">
        <v>8</v>
      </c>
      <c r="Q1016" s="1" t="s">
        <v>9</v>
      </c>
      <c r="R1016" s="1" t="s">
        <v>10</v>
      </c>
      <c r="S1016" s="1" t="s">
        <v>11</v>
      </c>
      <c r="T1016" s="9"/>
      <c r="U1016" s="1">
        <f t="shared" si="1306"/>
        <v>24</v>
      </c>
      <c r="V1016" s="1">
        <f t="shared" si="1307"/>
        <v>203</v>
      </c>
    </row>
    <row r="1017" spans="1:22" x14ac:dyDescent="0.3">
      <c r="A1017" s="1">
        <f t="shared" si="1336"/>
        <v>24204</v>
      </c>
      <c r="B1017" s="96" t="s">
        <v>13</v>
      </c>
      <c r="C1017" s="97"/>
      <c r="D1017" s="110" t="s">
        <v>65</v>
      </c>
      <c r="E1017" s="111"/>
      <c r="F1017" s="111"/>
      <c r="G1017" s="111"/>
      <c r="H1017" s="112"/>
      <c r="J1017" s="1">
        <f t="shared" ref="J1017" si="1340">COUNTA(B1030:B1039)</f>
        <v>6</v>
      </c>
      <c r="K1017" s="1">
        <f t="shared" ref="K1017" si="1341">IF(L1017-1&lt;2,0,L1017-1)</f>
        <v>0</v>
      </c>
      <c r="L1017" s="1">
        <f t="shared" ref="L1017" si="1342">IF(M1017-1&lt;2,0,M1017-1)</f>
        <v>0</v>
      </c>
      <c r="M1017" s="1">
        <f t="shared" ref="M1017" si="1343">IF(N1017-1&lt;2,0,N1017-1)</f>
        <v>0</v>
      </c>
      <c r="N1017" s="1">
        <f t="shared" ref="N1017" si="1344">IF(O1017-1&lt;2,0,O1017-1)</f>
        <v>0</v>
      </c>
      <c r="O1017" s="1">
        <f t="shared" ref="O1017" si="1345">IF(P1017-1&lt;2,0,P1017-1)</f>
        <v>2</v>
      </c>
      <c r="P1017" s="1">
        <f t="shared" ref="P1017" si="1346">IF(Q1017-1&lt;2,0,Q1017-1)</f>
        <v>3</v>
      </c>
      <c r="Q1017" s="1">
        <f t="shared" ref="Q1017" si="1347">IF(R1017-1&lt;2,0,R1017-1)</f>
        <v>4</v>
      </c>
      <c r="R1017" s="1">
        <f t="shared" ref="R1017" si="1348">IF(S1017-1&lt;2,0,S1017-1)</f>
        <v>5</v>
      </c>
      <c r="S1017" s="1">
        <f t="shared" ref="S1017" si="1349">J1017</f>
        <v>6</v>
      </c>
      <c r="T1017" s="9"/>
      <c r="U1017" s="1">
        <f t="shared" si="1306"/>
        <v>24</v>
      </c>
      <c r="V1017" s="1">
        <f t="shared" si="1307"/>
        <v>204</v>
      </c>
    </row>
    <row r="1018" spans="1:22" x14ac:dyDescent="0.3">
      <c r="A1018" s="1">
        <f t="shared" si="1336"/>
        <v>24205</v>
      </c>
      <c r="B1018" s="96" t="s">
        <v>14</v>
      </c>
      <c r="C1018" s="97"/>
      <c r="D1018" s="110" t="s">
        <v>66</v>
      </c>
      <c r="E1018" s="111"/>
      <c r="F1018" s="111"/>
      <c r="G1018" s="111"/>
      <c r="H1018" s="112"/>
      <c r="J1018" s="24" t="str">
        <f t="shared" ref="J1018" si="1350">CONCATENATE(J1017,1)</f>
        <v>61</v>
      </c>
      <c r="K1018" s="25">
        <f t="shared" ref="K1018" si="1351">IF(K1017=0,0,VLOOKUP(J1018,J1022:S1052,K1017,FALSE))</f>
        <v>0</v>
      </c>
      <c r="L1018" s="25">
        <f t="shared" ref="L1018" si="1352">IF(L1017=0,0,VLOOKUP(J1018,J1022:S1052,L1017,FALSE))</f>
        <v>0</v>
      </c>
      <c r="M1018" s="25">
        <f t="shared" ref="M1018" si="1353">IF(M1017=0,0,VLOOKUP(J1018,J1022:S1052,M1017,FALSE))</f>
        <v>0</v>
      </c>
      <c r="N1018" s="25">
        <f t="shared" ref="N1018" si="1354">IF(N1017=0,0,VLOOKUP(J1018,J1022:S1052,N1017,FALSE))</f>
        <v>0</v>
      </c>
      <c r="O1018" s="25">
        <f t="shared" ref="O1018" si="1355">IF(O1017=0,0,VLOOKUP(J1018,J1022:S1052,O1017,FALSE))</f>
        <v>-2.7897444063811873E-8</v>
      </c>
      <c r="P1018" s="25">
        <f t="shared" ref="P1018" si="1356">IF(P1017=0,0,VLOOKUP(J1018,J1022:S1052,P1017,FALSE))</f>
        <v>5.44214386578084E-6</v>
      </c>
      <c r="Q1018" s="25">
        <f t="shared" ref="Q1018" si="1357">IF(Q1017=0,0,VLOOKUP(J1018,J1022:S1052,Q1017,FALSE))</f>
        <v>-3.1646347748226511E-4</v>
      </c>
      <c r="R1018" s="25">
        <f t="shared" ref="R1018" si="1358">IF(R1017=0,0,VLOOKUP(J1018,J1022:S1052,R1017,FALSE))</f>
        <v>0.99743817754209185</v>
      </c>
      <c r="S1018" s="25">
        <f t="shared" ref="S1018" si="1359">IF(S1017=0,0,VLOOKUP(J1018,J1022:S1052,S1017,FALSE))</f>
        <v>-0.1970735968230678</v>
      </c>
      <c r="T1018" s="9"/>
      <c r="U1018" s="1">
        <f t="shared" si="1306"/>
        <v>24</v>
      </c>
      <c r="V1018" s="1">
        <f t="shared" si="1307"/>
        <v>205</v>
      </c>
    </row>
    <row r="1019" spans="1:22" x14ac:dyDescent="0.3">
      <c r="A1019" s="1">
        <f t="shared" si="1336"/>
        <v>24206</v>
      </c>
      <c r="B1019" s="96" t="s">
        <v>15</v>
      </c>
      <c r="C1019" s="97"/>
      <c r="D1019" s="110" t="s">
        <v>340</v>
      </c>
      <c r="E1019" s="111"/>
      <c r="F1019" s="111"/>
      <c r="G1019" s="111"/>
      <c r="H1019" s="112"/>
      <c r="J1019" s="24" t="str">
        <f t="shared" ref="J1019" si="1360">CONCATENATE(J1017,2)</f>
        <v>62</v>
      </c>
      <c r="K1019" s="6">
        <f t="shared" ref="K1019" si="1361">IF(K1017=0,0,VLOOKUP(J1019,J1022:S1052,K1017,FALSE))</f>
        <v>0</v>
      </c>
      <c r="L1019" s="6">
        <f t="shared" ref="L1019" si="1362">IF(L1017=0,0,VLOOKUP(J1019,J1022:S1052,L1017,FALSE))</f>
        <v>0</v>
      </c>
      <c r="M1019" s="6">
        <f t="shared" ref="M1019" si="1363">IF(M1017=0,0,VLOOKUP(J1019,J1022:S1052,M1017,FALSE))</f>
        <v>0</v>
      </c>
      <c r="N1019" s="6">
        <f t="shared" ref="N1019" si="1364">IF(N1017=0,0,VLOOKUP(J1019,J1022:S1052,N1017,FALSE))</f>
        <v>0</v>
      </c>
      <c r="O1019" s="6">
        <f t="shared" ref="O1019" si="1365">IF(O1017=0,0,VLOOKUP(J1019,J1022:S1052,O1017,FALSE))</f>
        <v>1.2751387398774091E-8</v>
      </c>
      <c r="P1019" s="6">
        <f t="shared" ref="P1019" si="1366">IF(P1017=0,0,VLOOKUP(J1019,J1022:S1052,P1017,FALSE))</f>
        <v>2.6604968698193326E-6</v>
      </c>
      <c r="Q1019" s="6">
        <f t="shared" ref="Q1019" si="1367">IF(Q1017=0,0,VLOOKUP(J1019,J1022:S1052,Q1017,FALSE))</f>
        <v>1.8051484979557058E-4</v>
      </c>
      <c r="R1019" s="6">
        <f t="shared" ref="R1019" si="1368">IF(R1017=0,0,VLOOKUP(J1019,J1022:S1052,R1017,FALSE))</f>
        <v>4.3762555284110605E-3</v>
      </c>
      <c r="S1019" s="6">
        <f t="shared" ref="S1019" si="1369">IF(S1017=0,0,VLOOKUP(J1019,J1022:S1052,S1017,FALSE))</f>
        <v>2.9739821440115662E-2</v>
      </c>
      <c r="T1019" s="9"/>
      <c r="U1019" s="1">
        <f t="shared" si="1306"/>
        <v>24</v>
      </c>
      <c r="V1019" s="1">
        <f t="shared" si="1307"/>
        <v>206</v>
      </c>
    </row>
    <row r="1020" spans="1:22" x14ac:dyDescent="0.3">
      <c r="A1020" s="1">
        <f t="shared" si="1336"/>
        <v>24207</v>
      </c>
      <c r="B1020" s="96" t="s">
        <v>16</v>
      </c>
      <c r="C1020" s="97"/>
      <c r="D1020" s="113">
        <v>45989</v>
      </c>
      <c r="E1020" s="114"/>
      <c r="F1020" s="114"/>
      <c r="G1020" s="114"/>
      <c r="H1020" s="115"/>
      <c r="J1020" s="24" t="str">
        <f t="shared" ref="J1020" si="1370">CONCATENATE(J1017,3)</f>
        <v>63</v>
      </c>
      <c r="K1020" s="6"/>
      <c r="L1020" s="6"/>
      <c r="M1020" s="6"/>
      <c r="N1020" s="6" t="s">
        <v>43</v>
      </c>
      <c r="O1020" s="25">
        <f t="shared" ref="O1020" si="1371">J1017-2</f>
        <v>4</v>
      </c>
      <c r="P1020" s="6" t="s">
        <v>44</v>
      </c>
      <c r="Q1020" s="25">
        <f t="shared" ref="Q1020" si="1372">VLOOKUP(J1020,J1022:S1052,3,FALSE)</f>
        <v>1.5460496848378469E-2</v>
      </c>
      <c r="R1020" s="6" t="s">
        <v>45</v>
      </c>
      <c r="S1020" s="6">
        <f t="shared" ref="S1020" si="1373">VLOOKUP(J1020,J1022:S1052,2,FALSE)</f>
        <v>0.99999996309283978</v>
      </c>
      <c r="T1020" s="9"/>
      <c r="U1020" s="1">
        <f t="shared" si="1306"/>
        <v>24</v>
      </c>
      <c r="V1020" s="1">
        <f t="shared" si="1307"/>
        <v>207</v>
      </c>
    </row>
    <row r="1021" spans="1:22" x14ac:dyDescent="0.3">
      <c r="A1021" s="1">
        <f t="shared" si="1336"/>
        <v>24208</v>
      </c>
      <c r="B1021" s="96" t="s">
        <v>17</v>
      </c>
      <c r="C1021" s="97"/>
      <c r="D1021" s="116">
        <v>46170</v>
      </c>
      <c r="E1021" s="117"/>
      <c r="F1021" s="117"/>
      <c r="G1021" s="117"/>
      <c r="H1021" s="118"/>
      <c r="K1021" s="1">
        <v>3</v>
      </c>
      <c r="L1021" s="1">
        <v>3</v>
      </c>
      <c r="Q1021" s="26"/>
      <c r="R1021" s="26"/>
      <c r="S1021" s="26"/>
      <c r="T1021" s="9"/>
      <c r="U1021" s="1">
        <f t="shared" si="1306"/>
        <v>24</v>
      </c>
      <c r="V1021" s="1">
        <f t="shared" si="1307"/>
        <v>208</v>
      </c>
    </row>
    <row r="1022" spans="1:22" x14ac:dyDescent="0.3">
      <c r="A1022" s="1">
        <f t="shared" si="1336"/>
        <v>24209</v>
      </c>
      <c r="B1022" s="77" t="s">
        <v>19</v>
      </c>
      <c r="C1022" s="78"/>
      <c r="D1022" s="17">
        <v>0.01</v>
      </c>
      <c r="E1022" s="79" t="s">
        <v>40</v>
      </c>
      <c r="F1022" s="80"/>
      <c r="G1022" s="81"/>
      <c r="H1022" s="18" t="s">
        <v>72</v>
      </c>
      <c r="J1022" s="24" t="str">
        <f t="shared" ref="J1022" si="1374">CONCATENATE(K1021,1)</f>
        <v>31</v>
      </c>
      <c r="K1022" s="6">
        <f t="array" ref="K1022:L1024">LINEST(B1030:B1032,C1030:C1032^{1},TRUE,TRUE)</f>
        <v>0.99102111658944048</v>
      </c>
      <c r="L1022" s="6">
        <v>-0.16569758005818613</v>
      </c>
      <c r="Q1022" s="9"/>
      <c r="R1022" s="9"/>
      <c r="S1022" s="9"/>
      <c r="T1022" s="9"/>
      <c r="U1022" s="1">
        <f t="shared" si="1306"/>
        <v>24</v>
      </c>
      <c r="V1022" s="1">
        <f t="shared" si="1307"/>
        <v>209</v>
      </c>
    </row>
    <row r="1023" spans="1:22" x14ac:dyDescent="0.3">
      <c r="A1023" s="1">
        <f t="shared" si="1336"/>
        <v>24210</v>
      </c>
      <c r="B1023" s="77" t="s">
        <v>41</v>
      </c>
      <c r="C1023" s="78"/>
      <c r="D1023" s="23">
        <f t="shared" ref="D1023" si="1375">MIN(B1030:B1039)</f>
        <v>5.01</v>
      </c>
      <c r="E1023" s="20" t="s">
        <v>18</v>
      </c>
      <c r="F1023" s="19">
        <f t="shared" ref="F1023" si="1376">MAX(B1030:B1039)</f>
        <v>97.96</v>
      </c>
      <c r="G1023" s="21" t="str">
        <f t="shared" ref="G1023" si="1377">IF(H1022="","",H1022)</f>
        <v>%ur</v>
      </c>
      <c r="H1023" s="22"/>
      <c r="J1023" s="24" t="str">
        <f t="shared" ref="J1023" si="1378">CONCATENATE(K1021,2)</f>
        <v>32</v>
      </c>
      <c r="K1023" s="6">
        <v>1.2592283248706014E-3</v>
      </c>
      <c r="L1023" s="6">
        <v>2.688643759402571E-2</v>
      </c>
      <c r="Q1023" s="9"/>
      <c r="R1023" s="9"/>
      <c r="S1023" s="9"/>
      <c r="T1023" s="9"/>
      <c r="U1023" s="1">
        <f t="shared" si="1306"/>
        <v>24</v>
      </c>
      <c r="V1023" s="1">
        <f t="shared" si="1307"/>
        <v>210</v>
      </c>
    </row>
    <row r="1024" spans="1:22" x14ac:dyDescent="0.3">
      <c r="A1024" s="1">
        <f t="shared" si="1336"/>
        <v>24211</v>
      </c>
      <c r="J1024" s="24" t="str">
        <f t="shared" ref="J1024" si="1379">CONCATENATE(K1021,3)</f>
        <v>33</v>
      </c>
      <c r="K1024" s="6">
        <v>0.9999983854836404</v>
      </c>
      <c r="L1024" s="6">
        <v>2.2594479489953301E-2</v>
      </c>
      <c r="Q1024" s="9"/>
      <c r="R1024" s="9"/>
      <c r="S1024" s="9"/>
      <c r="T1024" s="9"/>
      <c r="U1024" s="1">
        <f t="shared" si="1306"/>
        <v>24</v>
      </c>
      <c r="V1024" s="1">
        <f t="shared" si="1307"/>
        <v>211</v>
      </c>
    </row>
    <row r="1025" spans="1:22" x14ac:dyDescent="0.3">
      <c r="A1025" s="1">
        <f t="shared" si="1336"/>
        <v>24212</v>
      </c>
      <c r="B1025" s="82" t="s">
        <v>20</v>
      </c>
      <c r="C1025" s="83"/>
      <c r="D1025" s="83"/>
      <c r="E1025" s="83"/>
      <c r="F1025" s="84"/>
      <c r="G1025" s="85" t="s">
        <v>31</v>
      </c>
      <c r="H1025" s="86"/>
      <c r="K1025" s="1">
        <v>4</v>
      </c>
      <c r="L1025" s="1">
        <v>4</v>
      </c>
      <c r="M1025" s="1">
        <v>4</v>
      </c>
      <c r="Q1025" s="9"/>
      <c r="R1025" s="9"/>
      <c r="S1025" s="9"/>
      <c r="T1025" s="9"/>
      <c r="U1025" s="1">
        <f t="shared" si="1306"/>
        <v>24</v>
      </c>
      <c r="V1025" s="1">
        <f t="shared" si="1307"/>
        <v>212</v>
      </c>
    </row>
    <row r="1026" spans="1:22" x14ac:dyDescent="0.3">
      <c r="A1026" s="1">
        <f t="shared" si="1336"/>
        <v>24213</v>
      </c>
      <c r="B1026" s="82" t="s">
        <v>30</v>
      </c>
      <c r="C1026" s="83"/>
      <c r="D1026" s="84"/>
      <c r="E1026" s="82" t="str">
        <f t="shared" ref="E1026" si="1380">D1019</f>
        <v>E0839/25</v>
      </c>
      <c r="F1026" s="84"/>
      <c r="G1026" s="6" t="s">
        <v>32</v>
      </c>
      <c r="H1026" s="7" t="s">
        <v>320</v>
      </c>
      <c r="J1026" s="24" t="str">
        <f t="shared" ref="J1026" si="1381">CONCATENATE(K1025,1)</f>
        <v>41</v>
      </c>
      <c r="K1026" s="6">
        <f t="array" ref="K1026:M1028">LINEST(B1030:B1033,C1030:C1033^{1,2},TRUE,TRUE)</f>
        <v>-2.3444715959995211E-6</v>
      </c>
      <c r="L1026" s="6">
        <v>0.99137906873847326</v>
      </c>
      <c r="M1026" s="6">
        <v>-0.17038405429829387</v>
      </c>
      <c r="Q1026" s="9"/>
      <c r="R1026" s="9"/>
      <c r="S1026" s="9"/>
      <c r="T1026" s="9"/>
      <c r="U1026" s="1">
        <f t="shared" si="1306"/>
        <v>24</v>
      </c>
      <c r="V1026" s="1">
        <f t="shared" si="1307"/>
        <v>213</v>
      </c>
    </row>
    <row r="1027" spans="1:22" x14ac:dyDescent="0.3">
      <c r="A1027" s="1">
        <f t="shared" si="1336"/>
        <v>24214</v>
      </c>
      <c r="B1027" s="2" t="s">
        <v>21</v>
      </c>
      <c r="C1027" s="2" t="s">
        <v>22</v>
      </c>
      <c r="D1027" s="2" t="s">
        <v>23</v>
      </c>
      <c r="E1027" s="2"/>
      <c r="F1027" s="2" t="s">
        <v>28</v>
      </c>
      <c r="G1027" s="2" t="s">
        <v>21</v>
      </c>
      <c r="H1027" s="2" t="s">
        <v>22</v>
      </c>
      <c r="J1027" s="24" t="str">
        <f t="shared" ref="J1027" si="1382">CONCATENATE(K1025,2)</f>
        <v>42</v>
      </c>
      <c r="K1027" s="6">
        <v>4.7710680623763366E-5</v>
      </c>
      <c r="L1027" s="6">
        <v>2.795978290681522E-3</v>
      </c>
      <c r="M1027" s="6">
        <v>3.3471451255672774E-2</v>
      </c>
      <c r="Q1027" s="9"/>
      <c r="R1027" s="9"/>
      <c r="S1027" s="9"/>
      <c r="T1027" s="9"/>
      <c r="U1027" s="1">
        <f t="shared" si="1306"/>
        <v>24</v>
      </c>
      <c r="V1027" s="1">
        <f t="shared" si="1307"/>
        <v>214</v>
      </c>
    </row>
    <row r="1028" spans="1:22" x14ac:dyDescent="0.3">
      <c r="A1028" s="1">
        <f t="shared" si="1336"/>
        <v>24215</v>
      </c>
      <c r="B1028" s="2" t="s">
        <v>24</v>
      </c>
      <c r="C1028" s="2" t="s">
        <v>25</v>
      </c>
      <c r="D1028" s="2" t="s">
        <v>26</v>
      </c>
      <c r="E1028" s="2" t="s">
        <v>27</v>
      </c>
      <c r="F1028" s="2" t="s">
        <v>29</v>
      </c>
      <c r="G1028" s="2" t="s">
        <v>24</v>
      </c>
      <c r="H1028" s="2" t="s">
        <v>25</v>
      </c>
      <c r="J1028" s="24" t="str">
        <f t="shared" ref="J1028" si="1383">CONCATENATE(K1025,3)</f>
        <v>43</v>
      </c>
      <c r="K1028" s="6">
        <v>0.99999950181195996</v>
      </c>
      <c r="L1028" s="6">
        <v>2.3073012136063831E-2</v>
      </c>
      <c r="M1028" s="6" t="e">
        <v>#N/A</v>
      </c>
      <c r="Q1028" s="9"/>
      <c r="R1028" s="9"/>
      <c r="S1028" s="9"/>
      <c r="T1028" s="9"/>
      <c r="U1028" s="1">
        <f t="shared" si="1306"/>
        <v>24</v>
      </c>
      <c r="V1028" s="1">
        <f t="shared" si="1307"/>
        <v>215</v>
      </c>
    </row>
    <row r="1029" spans="1:22" x14ac:dyDescent="0.3">
      <c r="A1029" s="1">
        <f t="shared" si="1336"/>
        <v>24216</v>
      </c>
      <c r="B1029" s="3" t="str">
        <f t="shared" ref="B1029" si="1384">H1022</f>
        <v>%ur</v>
      </c>
      <c r="C1029" s="3" t="str">
        <f t="shared" ref="C1029:D1029" si="1385">B1029</f>
        <v>%ur</v>
      </c>
      <c r="D1029" s="3" t="str">
        <f t="shared" si="1385"/>
        <v>%ur</v>
      </c>
      <c r="E1029" s="3"/>
      <c r="F1029" s="3"/>
      <c r="G1029" s="3" t="str">
        <f t="shared" ref="G1029" si="1386">D1029</f>
        <v>%ur</v>
      </c>
      <c r="H1029" s="3" t="str">
        <f t="shared" ref="H1029" si="1387">G1029</f>
        <v>%ur</v>
      </c>
      <c r="K1029" s="1">
        <v>5</v>
      </c>
      <c r="L1029" s="1">
        <v>5</v>
      </c>
      <c r="M1029" s="1">
        <v>5</v>
      </c>
      <c r="N1029" s="1">
        <v>5</v>
      </c>
      <c r="Q1029" s="9"/>
      <c r="R1029" s="9"/>
      <c r="S1029" s="9"/>
      <c r="T1029" s="9"/>
      <c r="U1029" s="1">
        <f t="shared" si="1306"/>
        <v>24</v>
      </c>
      <c r="V1029" s="1">
        <f t="shared" si="1307"/>
        <v>216</v>
      </c>
    </row>
    <row r="1030" spans="1:22" x14ac:dyDescent="0.3">
      <c r="A1030" s="1">
        <f t="shared" si="1336"/>
        <v>24217</v>
      </c>
      <c r="B1030" s="41">
        <v>5.01</v>
      </c>
      <c r="C1030" s="41">
        <v>5.23</v>
      </c>
      <c r="D1030" s="4">
        <v>0.25</v>
      </c>
      <c r="E1030" s="4">
        <v>2.0299999999999998</v>
      </c>
      <c r="F1030" s="14">
        <v>87</v>
      </c>
      <c r="G1030" s="7">
        <v>5</v>
      </c>
      <c r="H1030" s="7">
        <v>5.53</v>
      </c>
      <c r="J1030" s="24" t="str">
        <f t="shared" ref="J1030" si="1388">CONCATENATE(K1029,1)</f>
        <v>51</v>
      </c>
      <c r="K1030" s="6">
        <f t="array" ref="K1030:N1032">LINEST(B1030:B1034,C1030:C1034^{1,2,3},TRUE,TRUE)</f>
        <v>8.6474953303005788E-7</v>
      </c>
      <c r="L1030" s="6">
        <v>-7.906326826825971E-5</v>
      </c>
      <c r="M1030" s="6">
        <v>0.99319368759785276</v>
      </c>
      <c r="N1030" s="6">
        <v>-0.17950372213843591</v>
      </c>
      <c r="Q1030" s="9"/>
      <c r="R1030" s="9"/>
      <c r="S1030" s="9"/>
      <c r="T1030" s="9"/>
      <c r="U1030" s="1">
        <f t="shared" si="1306"/>
        <v>24</v>
      </c>
      <c r="V1030" s="1">
        <f t="shared" si="1307"/>
        <v>217</v>
      </c>
    </row>
    <row r="1031" spans="1:22" x14ac:dyDescent="0.3">
      <c r="A1031" s="1">
        <f t="shared" si="1336"/>
        <v>24218</v>
      </c>
      <c r="B1031" s="41">
        <v>20.010000000000002</v>
      </c>
      <c r="C1031" s="41">
        <v>20.34</v>
      </c>
      <c r="D1031" s="4">
        <v>0.27</v>
      </c>
      <c r="E1031" s="4">
        <v>2.04</v>
      </c>
      <c r="F1031" s="14">
        <v>65</v>
      </c>
      <c r="G1031" s="7">
        <v>20</v>
      </c>
      <c r="H1031" s="7">
        <v>20.34</v>
      </c>
      <c r="J1031" s="24" t="str">
        <f t="shared" ref="J1031" si="1389">CONCATENATE(K1029,2)</f>
        <v>52</v>
      </c>
      <c r="K1031" s="6">
        <v>8.8292263257551102E-7</v>
      </c>
      <c r="L1031" s="6">
        <v>1.1245803235908808E-4</v>
      </c>
      <c r="M1031" s="6">
        <v>3.8339742517263771E-3</v>
      </c>
      <c r="N1031" s="6">
        <v>3.3811644231392886E-2</v>
      </c>
      <c r="T1031" s="9"/>
      <c r="U1031" s="1">
        <f t="shared" si="1306"/>
        <v>24</v>
      </c>
      <c r="V1031" s="1">
        <f t="shared" si="1307"/>
        <v>218</v>
      </c>
    </row>
    <row r="1032" spans="1:22" x14ac:dyDescent="0.3">
      <c r="A1032" s="1">
        <f t="shared" si="1336"/>
        <v>24219</v>
      </c>
      <c r="B1032" s="41">
        <v>29.99</v>
      </c>
      <c r="C1032" s="41">
        <v>30.44</v>
      </c>
      <c r="D1032" s="4">
        <v>0.35</v>
      </c>
      <c r="E1032" s="4">
        <v>2.04</v>
      </c>
      <c r="F1032" s="14">
        <v>67</v>
      </c>
      <c r="G1032" s="7">
        <v>29.98</v>
      </c>
      <c r="H1032" s="7">
        <v>30.33</v>
      </c>
      <c r="J1032" s="24" t="str">
        <f t="shared" ref="J1032" si="1390">CONCATENATE(K1029,3)</f>
        <v>53</v>
      </c>
      <c r="K1032" s="6">
        <v>0.99999987694529469</v>
      </c>
      <c r="L1032" s="6">
        <v>2.03950827114463E-2</v>
      </c>
      <c r="M1032" s="6" t="e">
        <v>#N/A</v>
      </c>
      <c r="N1032" s="6" t="e">
        <v>#N/A</v>
      </c>
      <c r="T1032" s="9"/>
      <c r="U1032" s="1">
        <f t="shared" si="1306"/>
        <v>24</v>
      </c>
      <c r="V1032" s="1">
        <f t="shared" si="1307"/>
        <v>219</v>
      </c>
    </row>
    <row r="1033" spans="1:22" x14ac:dyDescent="0.3">
      <c r="A1033" s="1">
        <f t="shared" si="1336"/>
        <v>24220</v>
      </c>
      <c r="B1033" s="41">
        <v>50.01</v>
      </c>
      <c r="C1033" s="41">
        <v>50.62</v>
      </c>
      <c r="D1033" s="4">
        <v>0.55000000000000004</v>
      </c>
      <c r="E1033" s="4">
        <v>2.04</v>
      </c>
      <c r="F1033" s="14">
        <v>67</v>
      </c>
      <c r="G1033" s="7">
        <v>50</v>
      </c>
      <c r="H1033" s="7">
        <v>50.67</v>
      </c>
      <c r="K1033" s="1">
        <v>6</v>
      </c>
      <c r="L1033" s="1">
        <v>6</v>
      </c>
      <c r="M1033" s="1">
        <v>6</v>
      </c>
      <c r="N1033" s="1">
        <v>6</v>
      </c>
      <c r="O1033" s="1">
        <v>6</v>
      </c>
      <c r="T1033" s="9"/>
      <c r="U1033" s="1">
        <f t="shared" si="1306"/>
        <v>24</v>
      </c>
      <c r="V1033" s="1">
        <f t="shared" si="1307"/>
        <v>220</v>
      </c>
    </row>
    <row r="1034" spans="1:22" x14ac:dyDescent="0.3">
      <c r="A1034" s="1">
        <f t="shared" si="1336"/>
        <v>24221</v>
      </c>
      <c r="B1034" s="41">
        <v>80.010000000000005</v>
      </c>
      <c r="C1034" s="41">
        <v>80.8</v>
      </c>
      <c r="D1034" s="4">
        <v>0.83</v>
      </c>
      <c r="E1034" s="4">
        <v>2.04</v>
      </c>
      <c r="F1034" s="14">
        <v>68</v>
      </c>
      <c r="G1034" s="7">
        <v>79.989999999999995</v>
      </c>
      <c r="H1034" s="7">
        <v>80.790000000000006</v>
      </c>
      <c r="J1034" s="24" t="str">
        <f t="shared" ref="J1034" si="1391">CONCATENATE(K1033,1)</f>
        <v>61</v>
      </c>
      <c r="K1034" s="6">
        <f t="array" ref="K1034:O1036">LINEST(B1030:B1035,C1030:C1035^{1,2,3,4},TRUE,TRUE)</f>
        <v>-2.7897444063811873E-8</v>
      </c>
      <c r="L1034" s="6">
        <v>5.44214386578084E-6</v>
      </c>
      <c r="M1034" s="6">
        <v>-3.1646347748226511E-4</v>
      </c>
      <c r="N1034" s="6">
        <v>0.99743817754209185</v>
      </c>
      <c r="O1034" s="6">
        <v>-0.1970735968230678</v>
      </c>
      <c r="T1034" s="9"/>
      <c r="U1034" s="1">
        <f t="shared" si="1306"/>
        <v>24</v>
      </c>
      <c r="V1034" s="1">
        <f t="shared" si="1307"/>
        <v>221</v>
      </c>
    </row>
    <row r="1035" spans="1:22" x14ac:dyDescent="0.3">
      <c r="A1035" s="1">
        <f t="shared" si="1336"/>
        <v>24222</v>
      </c>
      <c r="B1035" s="41">
        <v>97.96</v>
      </c>
      <c r="C1035" s="41">
        <v>98.91</v>
      </c>
      <c r="D1035" s="4">
        <v>0.99</v>
      </c>
      <c r="E1035" s="4">
        <v>2.04</v>
      </c>
      <c r="F1035" s="14">
        <v>68</v>
      </c>
      <c r="G1035" s="7">
        <v>98</v>
      </c>
      <c r="H1035" s="7">
        <v>99</v>
      </c>
      <c r="J1035" s="24" t="str">
        <f t="shared" ref="J1035" si="1392">CONCATENATE(K1033,2)</f>
        <v>62</v>
      </c>
      <c r="K1035" s="6">
        <v>1.2751387398774091E-8</v>
      </c>
      <c r="L1035" s="6">
        <v>2.6604968698193326E-6</v>
      </c>
      <c r="M1035" s="6">
        <v>1.8051484979557058E-4</v>
      </c>
      <c r="N1035" s="6">
        <v>4.3762555284110605E-3</v>
      </c>
      <c r="O1035" s="6">
        <v>2.9739821440115662E-2</v>
      </c>
      <c r="T1035" s="9"/>
      <c r="U1035" s="1">
        <f t="shared" si="1306"/>
        <v>24</v>
      </c>
      <c r="V1035" s="1">
        <f t="shared" si="1307"/>
        <v>222</v>
      </c>
    </row>
    <row r="1036" spans="1:22" x14ac:dyDescent="0.3">
      <c r="A1036" s="1">
        <f t="shared" si="1336"/>
        <v>24223</v>
      </c>
      <c r="B1036" s="4"/>
      <c r="C1036" s="4"/>
      <c r="D1036" s="4"/>
      <c r="E1036" s="4"/>
      <c r="F1036" s="14"/>
      <c r="G1036" s="8"/>
      <c r="H1036" s="7"/>
      <c r="J1036" s="24" t="str">
        <f t="shared" ref="J1036" si="1393">CONCATENATE(K1033,3)</f>
        <v>63</v>
      </c>
      <c r="K1036" s="6">
        <v>0.99999996309283978</v>
      </c>
      <c r="L1036" s="6">
        <v>1.5460496848378469E-2</v>
      </c>
      <c r="M1036" s="6" t="e">
        <v>#N/A</v>
      </c>
      <c r="N1036" s="6" t="e">
        <v>#N/A</v>
      </c>
      <c r="O1036" s="6" t="e">
        <v>#N/A</v>
      </c>
      <c r="T1036" s="9"/>
      <c r="U1036" s="1">
        <f t="shared" si="1306"/>
        <v>24</v>
      </c>
      <c r="V1036" s="1">
        <f t="shared" si="1307"/>
        <v>223</v>
      </c>
    </row>
    <row r="1037" spans="1:22" x14ac:dyDescent="0.3">
      <c r="A1037" s="1">
        <f t="shared" si="1336"/>
        <v>24224</v>
      </c>
      <c r="B1037" s="4"/>
      <c r="C1037" s="4"/>
      <c r="D1037" s="4"/>
      <c r="E1037" s="4"/>
      <c r="F1037" s="14"/>
      <c r="G1037" s="8"/>
      <c r="H1037" s="7"/>
      <c r="K1037" s="1">
        <v>7</v>
      </c>
      <c r="L1037" s="1">
        <v>7</v>
      </c>
      <c r="M1037" s="1">
        <v>7</v>
      </c>
      <c r="N1037" s="1">
        <v>7</v>
      </c>
      <c r="O1037" s="1">
        <v>7</v>
      </c>
      <c r="P1037" s="1">
        <v>7</v>
      </c>
      <c r="T1037" s="9"/>
      <c r="U1037" s="1">
        <f t="shared" si="1306"/>
        <v>24</v>
      </c>
      <c r="V1037" s="1">
        <f t="shared" si="1307"/>
        <v>224</v>
      </c>
    </row>
    <row r="1038" spans="1:22" x14ac:dyDescent="0.3">
      <c r="A1038" s="1">
        <f t="shared" si="1336"/>
        <v>24225</v>
      </c>
      <c r="B1038" s="4"/>
      <c r="C1038" s="4"/>
      <c r="D1038" s="4"/>
      <c r="E1038" s="4"/>
      <c r="F1038" s="14"/>
      <c r="G1038" s="8"/>
      <c r="H1038" s="7"/>
      <c r="J1038" s="24" t="str">
        <f t="shared" ref="J1038" si="1394">CONCATENATE(K1037,1)</f>
        <v>71</v>
      </c>
      <c r="K1038" s="6" t="e">
        <f t="array" ref="K1038:P1040">LINEST(B1030:B1036,C1030:C1036^{1,2,3,4,5},TRUE,TRUE)</f>
        <v>#VALUE!</v>
      </c>
      <c r="L1038" s="6" t="e">
        <v>#VALUE!</v>
      </c>
      <c r="M1038" s="6" t="e">
        <v>#VALUE!</v>
      </c>
      <c r="N1038" s="6" t="e">
        <v>#VALUE!</v>
      </c>
      <c r="O1038" s="6" t="e">
        <v>#VALUE!</v>
      </c>
      <c r="P1038" s="6" t="e">
        <v>#VALUE!</v>
      </c>
      <c r="T1038" s="9"/>
      <c r="U1038" s="1">
        <f t="shared" si="1306"/>
        <v>24</v>
      </c>
      <c r="V1038" s="1">
        <f t="shared" si="1307"/>
        <v>225</v>
      </c>
    </row>
    <row r="1039" spans="1:22" x14ac:dyDescent="0.3">
      <c r="A1039" s="1">
        <f t="shared" si="1336"/>
        <v>24226</v>
      </c>
      <c r="B1039" s="4"/>
      <c r="C1039" s="4"/>
      <c r="D1039" s="4"/>
      <c r="E1039" s="4"/>
      <c r="F1039" s="14"/>
      <c r="G1039" s="8"/>
      <c r="H1039" s="7"/>
      <c r="J1039" s="24" t="str">
        <f t="shared" ref="J1039" si="1395">CONCATENATE(K1037,2)</f>
        <v>72</v>
      </c>
      <c r="K1039" s="6" t="e">
        <v>#VALUE!</v>
      </c>
      <c r="L1039" s="6" t="e">
        <v>#VALUE!</v>
      </c>
      <c r="M1039" s="6" t="e">
        <v>#VALUE!</v>
      </c>
      <c r="N1039" s="6" t="e">
        <v>#VALUE!</v>
      </c>
      <c r="O1039" s="6" t="e">
        <v>#VALUE!</v>
      </c>
      <c r="P1039" s="6" t="e">
        <v>#VALUE!</v>
      </c>
      <c r="T1039" s="9"/>
      <c r="U1039" s="1">
        <f t="shared" si="1306"/>
        <v>24</v>
      </c>
      <c r="V1039" s="1">
        <f t="shared" si="1307"/>
        <v>226</v>
      </c>
    </row>
    <row r="1040" spans="1:22" x14ac:dyDescent="0.3">
      <c r="A1040" s="1">
        <f t="shared" si="1336"/>
        <v>24227</v>
      </c>
      <c r="B1040" s="9"/>
      <c r="C1040" s="9"/>
      <c r="D1040" s="9"/>
      <c r="E1040" s="9"/>
      <c r="F1040" s="9"/>
      <c r="G1040" s="9"/>
      <c r="H1040" s="9"/>
      <c r="J1040" s="24" t="str">
        <f t="shared" ref="J1040" si="1396">CONCATENATE(K1037,3)</f>
        <v>73</v>
      </c>
      <c r="K1040" s="6" t="e">
        <v>#VALUE!</v>
      </c>
      <c r="L1040" s="6" t="e">
        <v>#VALUE!</v>
      </c>
      <c r="M1040" s="6" t="e">
        <v>#VALUE!</v>
      </c>
      <c r="N1040" s="6" t="e">
        <v>#VALUE!</v>
      </c>
      <c r="O1040" s="6" t="e">
        <v>#VALUE!</v>
      </c>
      <c r="P1040" s="6" t="e">
        <v>#VALUE!</v>
      </c>
      <c r="T1040" s="9"/>
      <c r="U1040" s="1">
        <f t="shared" si="1306"/>
        <v>24</v>
      </c>
      <c r="V1040" s="1">
        <f t="shared" si="1307"/>
        <v>227</v>
      </c>
    </row>
    <row r="1041" spans="1:22" x14ac:dyDescent="0.3">
      <c r="A1041" s="1">
        <f t="shared" si="1336"/>
        <v>24228</v>
      </c>
      <c r="B1041" s="87" t="s">
        <v>33</v>
      </c>
      <c r="C1041" s="88"/>
      <c r="D1041" s="88"/>
      <c r="E1041" s="88"/>
      <c r="F1041" s="88"/>
      <c r="G1041" s="88"/>
      <c r="H1041" s="89"/>
      <c r="K1041" s="1">
        <v>8</v>
      </c>
      <c r="L1041" s="1">
        <v>8</v>
      </c>
      <c r="M1041" s="1">
        <v>8</v>
      </c>
      <c r="N1041" s="1">
        <v>8</v>
      </c>
      <c r="O1041" s="1">
        <v>8</v>
      </c>
      <c r="P1041" s="1">
        <v>8</v>
      </c>
      <c r="Q1041" s="1">
        <v>8</v>
      </c>
      <c r="T1041" s="9"/>
      <c r="U1041" s="1">
        <f t="shared" si="1306"/>
        <v>24</v>
      </c>
      <c r="V1041" s="1">
        <f t="shared" si="1307"/>
        <v>228</v>
      </c>
    </row>
    <row r="1042" spans="1:22" x14ac:dyDescent="0.3">
      <c r="A1042" s="1">
        <f t="shared" si="1336"/>
        <v>24229</v>
      </c>
      <c r="B1042" s="90"/>
      <c r="C1042" s="91"/>
      <c r="D1042" s="91"/>
      <c r="E1042" s="91"/>
      <c r="F1042" s="91"/>
      <c r="G1042" s="91"/>
      <c r="H1042" s="92"/>
      <c r="J1042" s="24" t="str">
        <f t="shared" ref="J1042" si="1397">CONCATENATE(K1041,1)</f>
        <v>81</v>
      </c>
      <c r="K1042" s="6" t="e">
        <f t="array" ref="K1042:Q1044">LINEST(B1030:B1037,C1030:C1037^{1,2,3,4,5,6},TRUE,TRUE)</f>
        <v>#VALUE!</v>
      </c>
      <c r="L1042" s="6" t="e">
        <v>#VALUE!</v>
      </c>
      <c r="M1042" s="6" t="e">
        <v>#VALUE!</v>
      </c>
      <c r="N1042" s="6" t="e">
        <v>#VALUE!</v>
      </c>
      <c r="O1042" s="6" t="e">
        <v>#VALUE!</v>
      </c>
      <c r="P1042" s="6" t="e">
        <v>#VALUE!</v>
      </c>
      <c r="Q1042" s="6" t="e">
        <v>#VALUE!</v>
      </c>
      <c r="T1042" s="9"/>
      <c r="U1042" s="1">
        <f t="shared" si="1306"/>
        <v>24</v>
      </c>
      <c r="V1042" s="1">
        <f t="shared" si="1307"/>
        <v>229</v>
      </c>
    </row>
    <row r="1043" spans="1:22" x14ac:dyDescent="0.3">
      <c r="A1043" s="1">
        <f t="shared" si="1336"/>
        <v>24230</v>
      </c>
      <c r="B1043" s="93"/>
      <c r="C1043" s="94"/>
      <c r="D1043" s="94"/>
      <c r="E1043" s="94"/>
      <c r="F1043" s="94"/>
      <c r="G1043" s="94"/>
      <c r="H1043" s="95"/>
      <c r="J1043" s="24" t="str">
        <f t="shared" ref="J1043" si="1398">CONCATENATE(K1041,2)</f>
        <v>82</v>
      </c>
      <c r="K1043" s="6" t="e">
        <v>#VALUE!</v>
      </c>
      <c r="L1043" s="6" t="e">
        <v>#VALUE!</v>
      </c>
      <c r="M1043" s="6" t="e">
        <v>#VALUE!</v>
      </c>
      <c r="N1043" s="6" t="e">
        <v>#VALUE!</v>
      </c>
      <c r="O1043" s="6" t="e">
        <v>#VALUE!</v>
      </c>
      <c r="P1043" s="6" t="e">
        <v>#VALUE!</v>
      </c>
      <c r="Q1043" s="6" t="e">
        <v>#VALUE!</v>
      </c>
      <c r="T1043" s="9"/>
      <c r="U1043" s="1">
        <f t="shared" si="1306"/>
        <v>24</v>
      </c>
      <c r="V1043" s="1">
        <f t="shared" si="1307"/>
        <v>230</v>
      </c>
    </row>
    <row r="1044" spans="1:22" x14ac:dyDescent="0.3">
      <c r="A1044" s="1">
        <f t="shared" si="1336"/>
        <v>24231</v>
      </c>
      <c r="J1044" s="24" t="str">
        <f t="shared" ref="J1044" si="1399">CONCATENATE(K1041,3)</f>
        <v>83</v>
      </c>
      <c r="K1044" s="6" t="e">
        <v>#VALUE!</v>
      </c>
      <c r="L1044" s="6" t="e">
        <v>#VALUE!</v>
      </c>
      <c r="M1044" s="6" t="e">
        <v>#VALUE!</v>
      </c>
      <c r="N1044" s="6" t="e">
        <v>#VALUE!</v>
      </c>
      <c r="O1044" s="6" t="e">
        <v>#VALUE!</v>
      </c>
      <c r="P1044" s="6" t="e">
        <v>#VALUE!</v>
      </c>
      <c r="Q1044" s="6" t="e">
        <v>#VALUE!</v>
      </c>
      <c r="T1044" s="9"/>
      <c r="U1044" s="1">
        <f t="shared" si="1306"/>
        <v>24</v>
      </c>
      <c r="V1044" s="1">
        <f t="shared" si="1307"/>
        <v>231</v>
      </c>
    </row>
    <row r="1045" spans="1:22" ht="15" customHeight="1" x14ac:dyDescent="0.3">
      <c r="A1045" s="1">
        <f t="shared" si="1336"/>
        <v>24232</v>
      </c>
      <c r="B1045" s="10" t="s">
        <v>34</v>
      </c>
      <c r="C1045" s="10" t="s">
        <v>35</v>
      </c>
      <c r="D1045" s="10" t="s">
        <v>36</v>
      </c>
      <c r="E1045" s="74" t="s">
        <v>37</v>
      </c>
      <c r="F1045" s="75"/>
      <c r="G1045" s="76"/>
      <c r="K1045" s="1">
        <v>9</v>
      </c>
      <c r="L1045" s="1">
        <v>9</v>
      </c>
      <c r="M1045" s="1">
        <v>9</v>
      </c>
      <c r="N1045" s="1">
        <v>9</v>
      </c>
      <c r="O1045" s="1">
        <v>9</v>
      </c>
      <c r="P1045" s="1">
        <v>9</v>
      </c>
      <c r="Q1045" s="1">
        <v>9</v>
      </c>
      <c r="R1045" s="1">
        <v>9</v>
      </c>
      <c r="T1045" s="9"/>
      <c r="U1045" s="1">
        <f t="shared" si="1306"/>
        <v>24</v>
      </c>
      <c r="V1045" s="1">
        <f t="shared" si="1307"/>
        <v>232</v>
      </c>
    </row>
    <row r="1046" spans="1:22" x14ac:dyDescent="0.3">
      <c r="A1046" s="1">
        <f t="shared" si="1336"/>
        <v>24233</v>
      </c>
      <c r="B1046" s="12">
        <f t="shared" ref="B1046:B1055" si="1400">C1030-B1030</f>
        <v>0.22000000000000064</v>
      </c>
      <c r="C1046" s="13">
        <f t="shared" ref="C1046:C1055" si="1401">H1030-G1030</f>
        <v>0.53000000000000025</v>
      </c>
      <c r="D1046" s="10">
        <f t="shared" ref="D1046:D1055" si="1402">C1046-B1046</f>
        <v>0.30999999999999961</v>
      </c>
      <c r="E1046" s="11">
        <f t="shared" ref="E1046:E1048" si="1403">IF(D1019="","",MAX(F1046,G1046))</f>
        <v>0.30999999999999961</v>
      </c>
      <c r="F1046" s="10">
        <f t="shared" ref="F1046" si="1404">ABS(MIN(D1046:D1055))</f>
        <v>0.10000000000000497</v>
      </c>
      <c r="G1046" s="10">
        <f t="shared" ref="G1046" si="1405">ABS(MAX(D1046:D1055))</f>
        <v>0.30999999999999961</v>
      </c>
      <c r="J1046" s="24" t="str">
        <f t="shared" ref="J1046" si="1406">CONCATENATE(K1045,1)</f>
        <v>91</v>
      </c>
      <c r="K1046" s="6" t="e">
        <f t="array" ref="K1046:R1048">LINEST(B1030:B1038,C1030:C1038^{1,2,3,4,5,6,7},TRUE,TRUE)</f>
        <v>#VALUE!</v>
      </c>
      <c r="L1046" s="6" t="e">
        <v>#VALUE!</v>
      </c>
      <c r="M1046" s="6" t="e">
        <v>#VALUE!</v>
      </c>
      <c r="N1046" s="6" t="e">
        <v>#VALUE!</v>
      </c>
      <c r="O1046" s="6" t="e">
        <v>#VALUE!</v>
      </c>
      <c r="P1046" s="6" t="e">
        <v>#VALUE!</v>
      </c>
      <c r="Q1046" s="6" t="e">
        <v>#VALUE!</v>
      </c>
      <c r="R1046" s="6" t="e">
        <v>#VALUE!</v>
      </c>
      <c r="T1046" s="9"/>
      <c r="U1046" s="1">
        <f t="shared" si="1306"/>
        <v>24</v>
      </c>
      <c r="V1046" s="1">
        <f t="shared" si="1307"/>
        <v>233</v>
      </c>
    </row>
    <row r="1047" spans="1:22" x14ac:dyDescent="0.3">
      <c r="A1047" s="1">
        <f t="shared" si="1336"/>
        <v>24234</v>
      </c>
      <c r="B1047" s="12">
        <f t="shared" si="1400"/>
        <v>0.32999999999999829</v>
      </c>
      <c r="C1047" s="13">
        <f t="shared" si="1401"/>
        <v>0.33999999999999986</v>
      </c>
      <c r="D1047" s="10">
        <f t="shared" si="1402"/>
        <v>1.0000000000001563E-2</v>
      </c>
      <c r="E1047" s="74" t="s">
        <v>38</v>
      </c>
      <c r="F1047" s="75"/>
      <c r="G1047" s="76"/>
      <c r="J1047" s="24" t="str">
        <f t="shared" ref="J1047" si="1407">CONCATENATE(K1045,2)</f>
        <v>92</v>
      </c>
      <c r="K1047" s="6" t="e">
        <v>#VALUE!</v>
      </c>
      <c r="L1047" s="6" t="e">
        <v>#VALUE!</v>
      </c>
      <c r="M1047" s="6" t="e">
        <v>#VALUE!</v>
      </c>
      <c r="N1047" s="6" t="e">
        <v>#VALUE!</v>
      </c>
      <c r="O1047" s="6" t="e">
        <v>#VALUE!</v>
      </c>
      <c r="P1047" s="6" t="e">
        <v>#VALUE!</v>
      </c>
      <c r="Q1047" s="6" t="e">
        <v>#VALUE!</v>
      </c>
      <c r="R1047" s="6" t="e">
        <v>#VALUE!</v>
      </c>
      <c r="T1047" s="9"/>
      <c r="U1047" s="1">
        <f t="shared" si="1306"/>
        <v>24</v>
      </c>
      <c r="V1047" s="1">
        <f t="shared" si="1307"/>
        <v>234</v>
      </c>
    </row>
    <row r="1048" spans="1:22" x14ac:dyDescent="0.3">
      <c r="A1048" s="1">
        <f t="shared" si="1336"/>
        <v>24235</v>
      </c>
      <c r="B1048" s="12">
        <f t="shared" si="1400"/>
        <v>0.45000000000000284</v>
      </c>
      <c r="C1048" s="13">
        <f t="shared" si="1401"/>
        <v>0.34999999999999787</v>
      </c>
      <c r="D1048" s="10">
        <f t="shared" si="1402"/>
        <v>-0.10000000000000497</v>
      </c>
      <c r="E1048" s="11">
        <f t="shared" si="1403"/>
        <v>0.95000000000000284</v>
      </c>
      <c r="F1048" s="10">
        <f t="shared" ref="F1048" si="1408">ABS(MIN(B1046:B1055))</f>
        <v>0</v>
      </c>
      <c r="G1048" s="10">
        <f t="shared" ref="G1048" si="1409">ABS(MAX(B1046:B1055))</f>
        <v>0.95000000000000284</v>
      </c>
      <c r="J1048" s="24" t="str">
        <f t="shared" ref="J1048" si="1410">CONCATENATE(K1045,3)</f>
        <v>93</v>
      </c>
      <c r="K1048" s="6" t="e">
        <v>#VALUE!</v>
      </c>
      <c r="L1048" s="6" t="e">
        <v>#VALUE!</v>
      </c>
      <c r="M1048" s="6" t="e">
        <v>#VALUE!</v>
      </c>
      <c r="N1048" s="6" t="e">
        <v>#VALUE!</v>
      </c>
      <c r="O1048" s="6" t="e">
        <v>#VALUE!</v>
      </c>
      <c r="P1048" s="6" t="e">
        <v>#VALUE!</v>
      </c>
      <c r="Q1048" s="6" t="e">
        <v>#VALUE!</v>
      </c>
      <c r="R1048" s="6" t="e">
        <v>#VALUE!</v>
      </c>
      <c r="T1048" s="9"/>
      <c r="U1048" s="1">
        <f t="shared" si="1306"/>
        <v>24</v>
      </c>
      <c r="V1048" s="1">
        <f t="shared" si="1307"/>
        <v>235</v>
      </c>
    </row>
    <row r="1049" spans="1:22" x14ac:dyDescent="0.3">
      <c r="A1049" s="1">
        <f t="shared" si="1336"/>
        <v>24236</v>
      </c>
      <c r="B1049" s="12">
        <f t="shared" si="1400"/>
        <v>0.60999999999999943</v>
      </c>
      <c r="C1049" s="13">
        <f t="shared" si="1401"/>
        <v>0.67000000000000171</v>
      </c>
      <c r="D1049" s="10">
        <f t="shared" si="1402"/>
        <v>6.0000000000002274E-2</v>
      </c>
      <c r="E1049" s="74" t="s">
        <v>39</v>
      </c>
      <c r="F1049" s="75"/>
      <c r="G1049" s="76"/>
      <c r="K1049" s="1">
        <v>10</v>
      </c>
      <c r="L1049" s="1">
        <v>10</v>
      </c>
      <c r="M1049" s="1">
        <v>10</v>
      </c>
      <c r="N1049" s="1">
        <v>10</v>
      </c>
      <c r="O1049" s="1">
        <v>10</v>
      </c>
      <c r="P1049" s="1">
        <v>10</v>
      </c>
      <c r="Q1049" s="1">
        <v>10</v>
      </c>
      <c r="R1049" s="1">
        <v>10</v>
      </c>
      <c r="S1049" s="1">
        <v>10</v>
      </c>
      <c r="T1049" s="9"/>
      <c r="U1049" s="1">
        <f t="shared" si="1306"/>
        <v>24</v>
      </c>
      <c r="V1049" s="1">
        <f t="shared" si="1307"/>
        <v>236</v>
      </c>
    </row>
    <row r="1050" spans="1:22" x14ac:dyDescent="0.3">
      <c r="A1050" s="1">
        <f t="shared" si="1336"/>
        <v>24237</v>
      </c>
      <c r="B1050" s="12">
        <f t="shared" si="1400"/>
        <v>0.78999999999999204</v>
      </c>
      <c r="C1050" s="13">
        <f t="shared" si="1401"/>
        <v>0.80000000000001137</v>
      </c>
      <c r="D1050" s="10">
        <f t="shared" si="1402"/>
        <v>1.0000000000019327E-2</v>
      </c>
      <c r="E1050" s="11">
        <f t="shared" ref="E1050" si="1411">IF(D1021="","",MAX(F1050,G1050))</f>
        <v>0.99</v>
      </c>
      <c r="F1050" s="10">
        <f t="shared" ref="F1050" si="1412">ABS(MIN(D1030:D1039))</f>
        <v>0.25</v>
      </c>
      <c r="G1050" s="10">
        <f t="shared" ref="G1050" si="1413">ABS(MAX(D1030:D1039))</f>
        <v>0.99</v>
      </c>
      <c r="J1050" s="24" t="str">
        <f t="shared" ref="J1050" si="1414">CONCATENATE(K1049,1)</f>
        <v>101</v>
      </c>
      <c r="K1050" s="6" t="e">
        <f t="array" ref="K1050:S1052">LINEST(B1030:B1039,C1030:C1039^{1,2,3,4,5,6,7,8},TRUE,TRUE)</f>
        <v>#VALUE!</v>
      </c>
      <c r="L1050" s="6" t="e">
        <v>#VALUE!</v>
      </c>
      <c r="M1050" s="6" t="e">
        <v>#VALUE!</v>
      </c>
      <c r="N1050" s="6" t="e">
        <v>#VALUE!</v>
      </c>
      <c r="O1050" s="6" t="e">
        <v>#VALUE!</v>
      </c>
      <c r="P1050" s="6" t="e">
        <v>#VALUE!</v>
      </c>
      <c r="Q1050" s="6" t="e">
        <v>#VALUE!</v>
      </c>
      <c r="R1050" s="6" t="e">
        <v>#VALUE!</v>
      </c>
      <c r="S1050" s="6" t="e">
        <v>#VALUE!</v>
      </c>
      <c r="T1050" s="9"/>
      <c r="U1050" s="1">
        <f t="shared" si="1306"/>
        <v>24</v>
      </c>
      <c r="V1050" s="1">
        <f t="shared" si="1307"/>
        <v>237</v>
      </c>
    </row>
    <row r="1051" spans="1:22" x14ac:dyDescent="0.3">
      <c r="A1051" s="1">
        <f t="shared" si="1336"/>
        <v>24238</v>
      </c>
      <c r="B1051" s="12">
        <f t="shared" si="1400"/>
        <v>0.95000000000000284</v>
      </c>
      <c r="C1051" s="13">
        <f t="shared" si="1401"/>
        <v>1</v>
      </c>
      <c r="D1051" s="10">
        <f t="shared" si="1402"/>
        <v>4.9999999999997158E-2</v>
      </c>
      <c r="J1051" s="24" t="str">
        <f t="shared" ref="J1051" si="1415">CONCATENATE(K1049,2)</f>
        <v>102</v>
      </c>
      <c r="K1051" s="6" t="e">
        <v>#VALUE!</v>
      </c>
      <c r="L1051" s="6" t="e">
        <v>#VALUE!</v>
      </c>
      <c r="M1051" s="6" t="e">
        <v>#VALUE!</v>
      </c>
      <c r="N1051" s="6" t="e">
        <v>#VALUE!</v>
      </c>
      <c r="O1051" s="6" t="e">
        <v>#VALUE!</v>
      </c>
      <c r="P1051" s="6" t="e">
        <v>#VALUE!</v>
      </c>
      <c r="Q1051" s="6" t="e">
        <v>#VALUE!</v>
      </c>
      <c r="R1051" s="6" t="e">
        <v>#VALUE!</v>
      </c>
      <c r="S1051" s="6" t="e">
        <v>#VALUE!</v>
      </c>
      <c r="T1051" s="9"/>
      <c r="U1051" s="1">
        <f t="shared" ref="U1051:U1114" si="1416">U1050</f>
        <v>24</v>
      </c>
      <c r="V1051" s="1">
        <f t="shared" ref="V1051:V1114" si="1417">V1050+1</f>
        <v>238</v>
      </c>
    </row>
    <row r="1052" spans="1:22" x14ac:dyDescent="0.3">
      <c r="A1052" s="1">
        <f t="shared" si="1336"/>
        <v>24239</v>
      </c>
      <c r="B1052" s="12">
        <f t="shared" si="1400"/>
        <v>0</v>
      </c>
      <c r="C1052" s="13">
        <f t="shared" si="1401"/>
        <v>0</v>
      </c>
      <c r="D1052" s="10">
        <f t="shared" si="1402"/>
        <v>0</v>
      </c>
      <c r="J1052" s="24" t="str">
        <f t="shared" ref="J1052" si="1418">CONCATENATE(K1049,3)</f>
        <v>103</v>
      </c>
      <c r="K1052" s="6" t="e">
        <v>#VALUE!</v>
      </c>
      <c r="L1052" s="6" t="e">
        <v>#VALUE!</v>
      </c>
      <c r="M1052" s="6" t="e">
        <v>#VALUE!</v>
      </c>
      <c r="N1052" s="6" t="e">
        <v>#VALUE!</v>
      </c>
      <c r="O1052" s="6" t="e">
        <v>#VALUE!</v>
      </c>
      <c r="P1052" s="6" t="e">
        <v>#VALUE!</v>
      </c>
      <c r="Q1052" s="6" t="e">
        <v>#VALUE!</v>
      </c>
      <c r="R1052" s="6" t="e">
        <v>#VALUE!</v>
      </c>
      <c r="S1052" s="6" t="e">
        <v>#VALUE!</v>
      </c>
      <c r="T1052" s="9"/>
      <c r="U1052" s="1">
        <f t="shared" si="1416"/>
        <v>24</v>
      </c>
      <c r="V1052" s="1">
        <f t="shared" si="1417"/>
        <v>239</v>
      </c>
    </row>
    <row r="1053" spans="1:22" x14ac:dyDescent="0.3">
      <c r="A1053" s="1">
        <f t="shared" si="1336"/>
        <v>24240</v>
      </c>
      <c r="B1053" s="12">
        <f t="shared" si="1400"/>
        <v>0</v>
      </c>
      <c r="C1053" s="13">
        <f t="shared" si="1401"/>
        <v>0</v>
      </c>
      <c r="D1053" s="10">
        <f t="shared" si="1402"/>
        <v>0</v>
      </c>
      <c r="J1053" s="9"/>
      <c r="K1053" s="9"/>
      <c r="L1053" s="9"/>
      <c r="M1053" s="9"/>
      <c r="N1053" s="9"/>
      <c r="O1053" s="9"/>
      <c r="P1053" s="9"/>
      <c r="Q1053" s="9"/>
      <c r="R1053" s="9"/>
      <c r="S1053" s="9"/>
      <c r="T1053" s="9"/>
      <c r="U1053" s="1">
        <f t="shared" si="1416"/>
        <v>24</v>
      </c>
      <c r="V1053" s="1">
        <f t="shared" si="1417"/>
        <v>240</v>
      </c>
    </row>
    <row r="1054" spans="1:22" x14ac:dyDescent="0.3">
      <c r="A1054" s="1">
        <f t="shared" si="1336"/>
        <v>24241</v>
      </c>
      <c r="B1054" s="12">
        <f t="shared" si="1400"/>
        <v>0</v>
      </c>
      <c r="C1054" s="13">
        <f t="shared" si="1401"/>
        <v>0</v>
      </c>
      <c r="D1054" s="10">
        <f t="shared" si="1402"/>
        <v>0</v>
      </c>
      <c r="J1054" s="9"/>
      <c r="K1054" s="9"/>
      <c r="L1054" s="9"/>
      <c r="M1054" s="9"/>
      <c r="N1054" s="9"/>
      <c r="O1054" s="9"/>
      <c r="P1054" s="9"/>
      <c r="Q1054" s="9"/>
      <c r="R1054" s="9"/>
      <c r="S1054" s="9"/>
      <c r="T1054" s="9"/>
      <c r="U1054" s="1">
        <f t="shared" si="1416"/>
        <v>24</v>
      </c>
      <c r="V1054" s="1">
        <f t="shared" si="1417"/>
        <v>241</v>
      </c>
    </row>
    <row r="1055" spans="1:22" x14ac:dyDescent="0.3">
      <c r="A1055" s="1">
        <f t="shared" si="1336"/>
        <v>24242</v>
      </c>
      <c r="B1055" s="12">
        <f t="shared" si="1400"/>
        <v>0</v>
      </c>
      <c r="C1055" s="13">
        <f t="shared" si="1401"/>
        <v>0</v>
      </c>
      <c r="D1055" s="10">
        <f t="shared" si="1402"/>
        <v>0</v>
      </c>
      <c r="J1055" s="9"/>
      <c r="K1055" s="9"/>
      <c r="L1055" s="9"/>
      <c r="M1055" s="9"/>
      <c r="N1055" s="9"/>
      <c r="O1055" s="9"/>
      <c r="P1055" s="9"/>
      <c r="Q1055" s="9"/>
      <c r="R1055" s="9"/>
      <c r="S1055" s="9"/>
      <c r="T1055" s="9"/>
      <c r="U1055" s="1">
        <f t="shared" si="1416"/>
        <v>24</v>
      </c>
      <c r="V1055" s="1">
        <f t="shared" si="1417"/>
        <v>242</v>
      </c>
    </row>
    <row r="1056" spans="1:22" x14ac:dyDescent="0.3">
      <c r="A1056" s="1">
        <f t="shared" si="1336"/>
        <v>24243</v>
      </c>
      <c r="J1056" s="9"/>
      <c r="K1056" s="9"/>
      <c r="L1056" s="9"/>
      <c r="M1056" s="9"/>
      <c r="N1056" s="9"/>
      <c r="O1056" s="9"/>
      <c r="P1056" s="9"/>
      <c r="Q1056" s="9"/>
      <c r="R1056" s="9"/>
      <c r="S1056" s="9"/>
      <c r="T1056" s="9"/>
      <c r="U1056" s="1">
        <f t="shared" si="1416"/>
        <v>24</v>
      </c>
      <c r="V1056" s="1">
        <f t="shared" si="1417"/>
        <v>243</v>
      </c>
    </row>
    <row r="1057" spans="1:22" s="5" customFormat="1" x14ac:dyDescent="0.3"/>
    <row r="1058" spans="1:22" x14ac:dyDescent="0.3">
      <c r="A1058" s="1">
        <f t="shared" ref="A1058:A1100" si="1419">ROUND(CONCATENATE(U1058,V1058),0)</f>
        <v>25201</v>
      </c>
      <c r="B1058" s="96" t="s">
        <v>0</v>
      </c>
      <c r="C1058" s="97"/>
      <c r="D1058" s="110" t="s">
        <v>46</v>
      </c>
      <c r="E1058" s="111"/>
      <c r="F1058" s="111"/>
      <c r="G1058" s="111"/>
      <c r="H1058" s="112"/>
      <c r="J1058" s="9"/>
      <c r="K1058" s="9"/>
      <c r="L1058" s="9"/>
      <c r="M1058" s="9"/>
      <c r="N1058" s="9"/>
      <c r="O1058" s="9"/>
      <c r="P1058" s="9"/>
      <c r="Q1058" s="9"/>
      <c r="R1058" s="9"/>
      <c r="S1058" s="9"/>
      <c r="T1058" s="9"/>
      <c r="U1058" s="1">
        <f t="shared" ref="U1058" si="1420">U1056+1</f>
        <v>25</v>
      </c>
      <c r="V1058" s="1">
        <v>201</v>
      </c>
    </row>
    <row r="1059" spans="1:22" x14ac:dyDescent="0.3">
      <c r="A1059" s="1">
        <f t="shared" si="1419"/>
        <v>25202</v>
      </c>
      <c r="B1059" s="96" t="s">
        <v>1</v>
      </c>
      <c r="C1059" s="97"/>
      <c r="D1059" s="15">
        <v>25</v>
      </c>
      <c r="E1059" s="16" t="s">
        <v>2</v>
      </c>
      <c r="F1059" s="107"/>
      <c r="G1059" s="108"/>
      <c r="H1059" s="109"/>
      <c r="J1059" s="9"/>
      <c r="K1059" s="9"/>
      <c r="L1059" s="9"/>
      <c r="M1059" s="9"/>
      <c r="N1059" s="9"/>
      <c r="O1059" s="9"/>
      <c r="P1059" s="9"/>
      <c r="Q1059" s="9"/>
      <c r="R1059" s="9"/>
      <c r="S1059" s="9"/>
      <c r="T1059" s="9"/>
      <c r="U1059" s="1">
        <f t="shared" ref="U1059" si="1421">U1058</f>
        <v>25</v>
      </c>
      <c r="V1059" s="1">
        <f t="shared" ref="V1059" si="1422">V1058+1</f>
        <v>202</v>
      </c>
    </row>
    <row r="1060" spans="1:22" x14ac:dyDescent="0.3">
      <c r="A1060" s="1">
        <f t="shared" si="1419"/>
        <v>25203</v>
      </c>
      <c r="B1060" s="96" t="s">
        <v>12</v>
      </c>
      <c r="C1060" s="97"/>
      <c r="D1060" s="110" t="s">
        <v>219</v>
      </c>
      <c r="E1060" s="111"/>
      <c r="F1060" s="111"/>
      <c r="G1060" s="111"/>
      <c r="H1060" s="112"/>
      <c r="K1060" s="1" t="s">
        <v>3</v>
      </c>
      <c r="L1060" s="1" t="s">
        <v>4</v>
      </c>
      <c r="M1060" s="1" t="s">
        <v>5</v>
      </c>
      <c r="N1060" s="1" t="s">
        <v>6</v>
      </c>
      <c r="O1060" s="1" t="s">
        <v>7</v>
      </c>
      <c r="P1060" s="1" t="s">
        <v>8</v>
      </c>
      <c r="Q1060" s="1" t="s">
        <v>9</v>
      </c>
      <c r="R1060" s="1" t="s">
        <v>10</v>
      </c>
      <c r="S1060" s="1" t="s">
        <v>11</v>
      </c>
      <c r="T1060" s="9"/>
      <c r="U1060" s="1">
        <f t="shared" si="1416"/>
        <v>25</v>
      </c>
      <c r="V1060" s="1">
        <f t="shared" si="1417"/>
        <v>203</v>
      </c>
    </row>
    <row r="1061" spans="1:22" x14ac:dyDescent="0.3">
      <c r="A1061" s="1">
        <f t="shared" si="1419"/>
        <v>25204</v>
      </c>
      <c r="B1061" s="96" t="s">
        <v>13</v>
      </c>
      <c r="C1061" s="97"/>
      <c r="D1061" s="110" t="s">
        <v>65</v>
      </c>
      <c r="E1061" s="111"/>
      <c r="F1061" s="111"/>
      <c r="G1061" s="111"/>
      <c r="H1061" s="112"/>
      <c r="J1061" s="1">
        <f t="shared" ref="J1061" si="1423">COUNTA(B1074:B1083)</f>
        <v>6</v>
      </c>
      <c r="K1061" s="1">
        <f t="shared" ref="K1061" si="1424">IF(L1061-1&lt;2,0,L1061-1)</f>
        <v>0</v>
      </c>
      <c r="L1061" s="1">
        <f t="shared" ref="L1061" si="1425">IF(M1061-1&lt;2,0,M1061-1)</f>
        <v>0</v>
      </c>
      <c r="M1061" s="1">
        <f t="shared" ref="M1061" si="1426">IF(N1061-1&lt;2,0,N1061-1)</f>
        <v>0</v>
      </c>
      <c r="N1061" s="1">
        <f t="shared" ref="N1061" si="1427">IF(O1061-1&lt;2,0,O1061-1)</f>
        <v>0</v>
      </c>
      <c r="O1061" s="1">
        <f t="shared" ref="O1061" si="1428">IF(P1061-1&lt;2,0,P1061-1)</f>
        <v>2</v>
      </c>
      <c r="P1061" s="1">
        <f t="shared" ref="P1061" si="1429">IF(Q1061-1&lt;2,0,Q1061-1)</f>
        <v>3</v>
      </c>
      <c r="Q1061" s="1">
        <f t="shared" ref="Q1061" si="1430">IF(R1061-1&lt;2,0,R1061-1)</f>
        <v>4</v>
      </c>
      <c r="R1061" s="1">
        <f t="shared" ref="R1061" si="1431">IF(S1061-1&lt;2,0,S1061-1)</f>
        <v>5</v>
      </c>
      <c r="S1061" s="1">
        <f t="shared" ref="S1061" si="1432">J1061</f>
        <v>6</v>
      </c>
      <c r="T1061" s="9"/>
      <c r="U1061" s="1">
        <f t="shared" si="1416"/>
        <v>25</v>
      </c>
      <c r="V1061" s="1">
        <f t="shared" si="1417"/>
        <v>204</v>
      </c>
    </row>
    <row r="1062" spans="1:22" x14ac:dyDescent="0.3">
      <c r="A1062" s="1">
        <f t="shared" si="1419"/>
        <v>25205</v>
      </c>
      <c r="B1062" s="96" t="s">
        <v>14</v>
      </c>
      <c r="C1062" s="97"/>
      <c r="D1062" s="110" t="s">
        <v>66</v>
      </c>
      <c r="E1062" s="111"/>
      <c r="F1062" s="111"/>
      <c r="G1062" s="111"/>
      <c r="H1062" s="112"/>
      <c r="J1062" s="24" t="str">
        <f t="shared" ref="J1062" si="1433">CONCATENATE(J1061,1)</f>
        <v>61</v>
      </c>
      <c r="K1062" s="25">
        <f t="shared" ref="K1062" si="1434">IF(K1061=0,0,VLOOKUP(J1062,J1066:S1096,K1061,FALSE))</f>
        <v>0</v>
      </c>
      <c r="L1062" s="25">
        <f t="shared" ref="L1062" si="1435">IF(L1061=0,0,VLOOKUP(J1062,J1066:S1096,L1061,FALSE))</f>
        <v>0</v>
      </c>
      <c r="M1062" s="25">
        <f t="shared" ref="M1062" si="1436">IF(M1061=0,0,VLOOKUP(J1062,J1066:S1096,M1061,FALSE))</f>
        <v>0</v>
      </c>
      <c r="N1062" s="25">
        <f t="shared" ref="N1062" si="1437">IF(N1061=0,0,VLOOKUP(J1062,J1066:S1096,N1061,FALSE))</f>
        <v>0</v>
      </c>
      <c r="O1062" s="25">
        <f t="shared" ref="O1062" si="1438">IF(O1061=0,0,VLOOKUP(J1062,J1066:S1096,O1061,FALSE))</f>
        <v>3.0697267863420146E-8</v>
      </c>
      <c r="P1062" s="25">
        <f t="shared" ref="P1062" si="1439">IF(P1061=0,0,VLOOKUP(J1062,J1066:S1096,P1061,FALSE))</f>
        <v>-8.1006462156860057E-6</v>
      </c>
      <c r="Q1062" s="25">
        <f t="shared" ref="Q1062" si="1440">IF(Q1061=0,0,VLOOKUP(J1062,J1066:S1096,Q1061,FALSE))</f>
        <v>5.5398579651856519E-4</v>
      </c>
      <c r="R1062" s="25">
        <f t="shared" ref="R1062" si="1441">IF(R1061=0,0,VLOOKUP(J1062,J1066:S1096,R1061,FALSE))</f>
        <v>0.98661407364266807</v>
      </c>
      <c r="S1062" s="25">
        <f t="shared" ref="S1062" si="1442">IF(S1061=0,0,VLOOKUP(J1062,J1066:S1096,S1061,FALSE))</f>
        <v>-0.19379883549246091</v>
      </c>
      <c r="T1062" s="9"/>
      <c r="U1062" s="1">
        <f t="shared" si="1416"/>
        <v>25</v>
      </c>
      <c r="V1062" s="1">
        <f t="shared" si="1417"/>
        <v>205</v>
      </c>
    </row>
    <row r="1063" spans="1:22" x14ac:dyDescent="0.3">
      <c r="A1063" s="1">
        <f t="shared" si="1419"/>
        <v>25206</v>
      </c>
      <c r="B1063" s="96" t="s">
        <v>15</v>
      </c>
      <c r="C1063" s="97"/>
      <c r="D1063" s="110" t="s">
        <v>340</v>
      </c>
      <c r="E1063" s="111"/>
      <c r="F1063" s="111"/>
      <c r="G1063" s="111"/>
      <c r="H1063" s="112"/>
      <c r="J1063" s="24" t="str">
        <f t="shared" ref="J1063" si="1443">CONCATENATE(J1061,2)</f>
        <v>62</v>
      </c>
      <c r="K1063" s="6">
        <f t="shared" ref="K1063" si="1444">IF(K1061=0,0,VLOOKUP(J1063,J1066:S1096,K1061,FALSE))</f>
        <v>0</v>
      </c>
      <c r="L1063" s="6">
        <f t="shared" ref="L1063" si="1445">IF(L1061=0,0,VLOOKUP(J1063,J1066:S1096,L1061,FALSE))</f>
        <v>0</v>
      </c>
      <c r="M1063" s="6">
        <f t="shared" ref="M1063" si="1446">IF(M1061=0,0,VLOOKUP(J1063,J1066:S1096,M1061,FALSE))</f>
        <v>0</v>
      </c>
      <c r="N1063" s="6">
        <f t="shared" ref="N1063" si="1447">IF(N1061=0,0,VLOOKUP(J1063,J1066:S1096,N1061,FALSE))</f>
        <v>0</v>
      </c>
      <c r="O1063" s="6">
        <f t="shared" ref="O1063" si="1448">IF(O1061=0,0,VLOOKUP(J1063,J1066:S1096,O1061,FALSE))</f>
        <v>2.8819925347567243E-10</v>
      </c>
      <c r="P1063" s="6">
        <f t="shared" ref="P1063" si="1449">IF(P1061=0,0,VLOOKUP(J1063,J1066:S1096,P1061,FALSE))</f>
        <v>6.01840460459691E-8</v>
      </c>
      <c r="Q1063" s="6">
        <f t="shared" ref="Q1063" si="1450">IF(Q1061=0,0,VLOOKUP(J1063,J1066:S1096,Q1061,FALSE))</f>
        <v>4.0862544240704333E-6</v>
      </c>
      <c r="R1063" s="6">
        <f t="shared" ref="R1063" si="1451">IF(R1061=0,0,VLOOKUP(J1063,J1066:S1096,R1061,FALSE))</f>
        <v>9.9111678843625091E-5</v>
      </c>
      <c r="S1063" s="6">
        <f t="shared" ref="S1063" si="1452">IF(S1061=0,0,VLOOKUP(J1063,J1066:S1096,S1061,FALSE))</f>
        <v>6.741257444759128E-4</v>
      </c>
      <c r="T1063" s="9"/>
      <c r="U1063" s="1">
        <f t="shared" si="1416"/>
        <v>25</v>
      </c>
      <c r="V1063" s="1">
        <f t="shared" si="1417"/>
        <v>206</v>
      </c>
    </row>
    <row r="1064" spans="1:22" x14ac:dyDescent="0.3">
      <c r="A1064" s="1">
        <f t="shared" si="1419"/>
        <v>25207</v>
      </c>
      <c r="B1064" s="96" t="s">
        <v>16</v>
      </c>
      <c r="C1064" s="97"/>
      <c r="D1064" s="113">
        <v>45989</v>
      </c>
      <c r="E1064" s="114"/>
      <c r="F1064" s="114"/>
      <c r="G1064" s="114"/>
      <c r="H1064" s="115"/>
      <c r="J1064" s="24" t="str">
        <f t="shared" ref="J1064" si="1453">CONCATENATE(J1061,3)</f>
        <v>63</v>
      </c>
      <c r="K1064" s="6"/>
      <c r="L1064" s="6"/>
      <c r="M1064" s="6"/>
      <c r="N1064" s="6" t="s">
        <v>43</v>
      </c>
      <c r="O1064" s="25">
        <f t="shared" ref="O1064" si="1454">J1061-2</f>
        <v>4</v>
      </c>
      <c r="P1064" s="6" t="s">
        <v>44</v>
      </c>
      <c r="Q1064" s="25">
        <f t="shared" ref="Q1064" si="1455">VLOOKUP(J1064,J1066:S1096,3,FALSE)</f>
        <v>3.485131070124492E-4</v>
      </c>
      <c r="R1064" s="6" t="s">
        <v>45</v>
      </c>
      <c r="S1064" s="6">
        <f t="shared" ref="S1064" si="1456">VLOOKUP(J1064,J1066:S1096,2,FALSE)</f>
        <v>0.99999999998124578</v>
      </c>
      <c r="T1064" s="9"/>
      <c r="U1064" s="1">
        <f t="shared" si="1416"/>
        <v>25</v>
      </c>
      <c r="V1064" s="1">
        <f t="shared" si="1417"/>
        <v>207</v>
      </c>
    </row>
    <row r="1065" spans="1:22" x14ac:dyDescent="0.3">
      <c r="A1065" s="1">
        <f t="shared" si="1419"/>
        <v>25208</v>
      </c>
      <c r="B1065" s="96" t="s">
        <v>17</v>
      </c>
      <c r="C1065" s="97"/>
      <c r="D1065" s="116">
        <v>46170</v>
      </c>
      <c r="E1065" s="117"/>
      <c r="F1065" s="117"/>
      <c r="G1065" s="117"/>
      <c r="H1065" s="118"/>
      <c r="K1065" s="1">
        <v>3</v>
      </c>
      <c r="L1065" s="1">
        <v>3</v>
      </c>
      <c r="Q1065" s="26"/>
      <c r="R1065" s="26"/>
      <c r="S1065" s="26"/>
      <c r="T1065" s="9"/>
      <c r="U1065" s="1">
        <f t="shared" si="1416"/>
        <v>25</v>
      </c>
      <c r="V1065" s="1">
        <f t="shared" si="1417"/>
        <v>208</v>
      </c>
    </row>
    <row r="1066" spans="1:22" x14ac:dyDescent="0.3">
      <c r="A1066" s="1">
        <f t="shared" si="1419"/>
        <v>25209</v>
      </c>
      <c r="B1066" s="77" t="s">
        <v>19</v>
      </c>
      <c r="C1066" s="78"/>
      <c r="D1066" s="17">
        <v>0.01</v>
      </c>
      <c r="E1066" s="79" t="s">
        <v>40</v>
      </c>
      <c r="F1066" s="80"/>
      <c r="G1066" s="81"/>
      <c r="H1066" s="18" t="s">
        <v>72</v>
      </c>
      <c r="J1066" s="24" t="str">
        <f t="shared" ref="J1066" si="1457">CONCATENATE(K1065,1)</f>
        <v>31</v>
      </c>
      <c r="K1066" s="6">
        <f t="array" ref="K1066:L1068">LINEST(B1074:B1076,C1074:C1076^{1},TRUE,TRUE)</f>
        <v>0.99826566415829721</v>
      </c>
      <c r="L1066" s="6">
        <v>-0.24771244774695944</v>
      </c>
      <c r="Q1066" s="9"/>
      <c r="R1066" s="9"/>
      <c r="S1066" s="9"/>
      <c r="T1066" s="9"/>
      <c r="U1066" s="1">
        <f t="shared" si="1416"/>
        <v>25</v>
      </c>
      <c r="V1066" s="1">
        <f t="shared" si="1417"/>
        <v>209</v>
      </c>
    </row>
    <row r="1067" spans="1:22" x14ac:dyDescent="0.3">
      <c r="A1067" s="1">
        <f t="shared" si="1419"/>
        <v>25210</v>
      </c>
      <c r="B1067" s="77" t="s">
        <v>41</v>
      </c>
      <c r="C1067" s="78"/>
      <c r="D1067" s="23">
        <f t="shared" ref="D1067" si="1458">MIN(B1074:B1083)</f>
        <v>5.01</v>
      </c>
      <c r="E1067" s="20" t="s">
        <v>18</v>
      </c>
      <c r="F1067" s="19">
        <f t="shared" ref="F1067" si="1459">MAX(B1074:B1083)</f>
        <v>97.97</v>
      </c>
      <c r="G1067" s="21" t="str">
        <f t="shared" ref="G1067" si="1460">IF(H1066="","",H1066)</f>
        <v>%ur</v>
      </c>
      <c r="H1067" s="22"/>
      <c r="J1067" s="24" t="str">
        <f t="shared" ref="J1067" si="1461">CONCATENATE(K1065,2)</f>
        <v>32</v>
      </c>
      <c r="K1067" s="6">
        <v>1.1826834441181738E-3</v>
      </c>
      <c r="L1067" s="6">
        <v>2.5157558033031671E-2</v>
      </c>
      <c r="Q1067" s="9"/>
      <c r="R1067" s="9"/>
      <c r="S1067" s="9"/>
      <c r="T1067" s="9"/>
      <c r="U1067" s="1">
        <f t="shared" si="1416"/>
        <v>25</v>
      </c>
      <c r="V1067" s="1">
        <f t="shared" si="1417"/>
        <v>210</v>
      </c>
    </row>
    <row r="1068" spans="1:22" x14ac:dyDescent="0.3">
      <c r="A1068" s="1">
        <f t="shared" si="1419"/>
        <v>25211</v>
      </c>
      <c r="J1068" s="24" t="str">
        <f t="shared" ref="J1068" si="1462">CONCATENATE(K1065,3)</f>
        <v>33</v>
      </c>
      <c r="K1068" s="6">
        <v>0.99999859639741973</v>
      </c>
      <c r="L1068" s="6">
        <v>2.1080345140010337E-2</v>
      </c>
      <c r="Q1068" s="9"/>
      <c r="R1068" s="9"/>
      <c r="S1068" s="9"/>
      <c r="T1068" s="9"/>
      <c r="U1068" s="1">
        <f t="shared" si="1416"/>
        <v>25</v>
      </c>
      <c r="V1068" s="1">
        <f t="shared" si="1417"/>
        <v>211</v>
      </c>
    </row>
    <row r="1069" spans="1:22" x14ac:dyDescent="0.3">
      <c r="A1069" s="1">
        <f t="shared" si="1419"/>
        <v>25212</v>
      </c>
      <c r="B1069" s="82" t="s">
        <v>20</v>
      </c>
      <c r="C1069" s="83"/>
      <c r="D1069" s="83"/>
      <c r="E1069" s="83"/>
      <c r="F1069" s="84"/>
      <c r="G1069" s="85" t="s">
        <v>31</v>
      </c>
      <c r="H1069" s="86"/>
      <c r="K1069" s="1">
        <v>4</v>
      </c>
      <c r="L1069" s="1">
        <v>4</v>
      </c>
      <c r="M1069" s="1">
        <v>4</v>
      </c>
      <c r="Q1069" s="9"/>
      <c r="R1069" s="9"/>
      <c r="S1069" s="9"/>
      <c r="T1069" s="9"/>
      <c r="U1069" s="1">
        <f t="shared" si="1416"/>
        <v>25</v>
      </c>
      <c r="V1069" s="1">
        <f t="shared" si="1417"/>
        <v>212</v>
      </c>
    </row>
    <row r="1070" spans="1:22" x14ac:dyDescent="0.3">
      <c r="A1070" s="1">
        <f t="shared" si="1419"/>
        <v>25213</v>
      </c>
      <c r="B1070" s="82" t="s">
        <v>30</v>
      </c>
      <c r="C1070" s="83"/>
      <c r="D1070" s="84"/>
      <c r="E1070" s="82" t="str">
        <f t="shared" ref="E1070" si="1463">D1063</f>
        <v>E0839/25</v>
      </c>
      <c r="F1070" s="84"/>
      <c r="G1070" s="6" t="s">
        <v>32</v>
      </c>
      <c r="H1070" s="7" t="s">
        <v>320</v>
      </c>
      <c r="J1070" s="24" t="str">
        <f t="shared" ref="J1070" si="1464">CONCATENATE(K1069,1)</f>
        <v>41</v>
      </c>
      <c r="K1070" s="6">
        <f t="array" ref="K1070:M1072">LINEST(B1074:B1077,C1074:C1077^{1,2},TRUE,TRUE)</f>
        <v>4.4792948339524003E-5</v>
      </c>
      <c r="L1070" s="6">
        <v>0.99651364266244224</v>
      </c>
      <c r="M1070" s="6">
        <v>-0.23601429380614908</v>
      </c>
      <c r="Q1070" s="9"/>
      <c r="R1070" s="9"/>
      <c r="S1070" s="9"/>
      <c r="T1070" s="9"/>
      <c r="U1070" s="1">
        <f t="shared" si="1416"/>
        <v>25</v>
      </c>
      <c r="V1070" s="1">
        <f t="shared" si="1417"/>
        <v>213</v>
      </c>
    </row>
    <row r="1071" spans="1:22" x14ac:dyDescent="0.3">
      <c r="A1071" s="1">
        <f t="shared" si="1419"/>
        <v>25214</v>
      </c>
      <c r="B1071" s="2" t="s">
        <v>21</v>
      </c>
      <c r="C1071" s="2" t="s">
        <v>22</v>
      </c>
      <c r="D1071" s="2" t="s">
        <v>23</v>
      </c>
      <c r="E1071" s="2"/>
      <c r="F1071" s="2" t="s">
        <v>28</v>
      </c>
      <c r="G1071" s="2" t="s">
        <v>21</v>
      </c>
      <c r="H1071" s="2" t="s">
        <v>22</v>
      </c>
      <c r="J1071" s="24" t="str">
        <f t="shared" ref="J1071" si="1465">CONCATENATE(K1069,2)</f>
        <v>42</v>
      </c>
      <c r="K1071" s="6">
        <v>3.3909275364825489E-5</v>
      </c>
      <c r="L1071" s="6">
        <v>1.9762309678500135E-3</v>
      </c>
      <c r="M1071" s="6">
        <v>2.3550534607161076E-2</v>
      </c>
      <c r="Q1071" s="9"/>
      <c r="R1071" s="9"/>
      <c r="S1071" s="9"/>
      <c r="T1071" s="9"/>
      <c r="U1071" s="1">
        <f t="shared" si="1416"/>
        <v>25</v>
      </c>
      <c r="V1071" s="1">
        <f t="shared" si="1417"/>
        <v>214</v>
      </c>
    </row>
    <row r="1072" spans="1:22" x14ac:dyDescent="0.3">
      <c r="A1072" s="1">
        <f t="shared" si="1419"/>
        <v>25215</v>
      </c>
      <c r="B1072" s="2" t="s">
        <v>24</v>
      </c>
      <c r="C1072" s="2" t="s">
        <v>25</v>
      </c>
      <c r="D1072" s="2" t="s">
        <v>26</v>
      </c>
      <c r="E1072" s="2" t="s">
        <v>27</v>
      </c>
      <c r="F1072" s="2" t="s">
        <v>29</v>
      </c>
      <c r="G1072" s="2" t="s">
        <v>24</v>
      </c>
      <c r="H1072" s="2" t="s">
        <v>25</v>
      </c>
      <c r="J1072" s="24" t="str">
        <f t="shared" ref="J1072" si="1466">CONCATENATE(K1069,3)</f>
        <v>43</v>
      </c>
      <c r="K1072" s="6">
        <v>0.99999975580303124</v>
      </c>
      <c r="L1072" s="6">
        <v>1.6153347428392806E-2</v>
      </c>
      <c r="M1072" s="6" t="e">
        <v>#N/A</v>
      </c>
      <c r="Q1072" s="9"/>
      <c r="R1072" s="9"/>
      <c r="S1072" s="9"/>
      <c r="T1072" s="9"/>
      <c r="U1072" s="1">
        <f t="shared" si="1416"/>
        <v>25</v>
      </c>
      <c r="V1072" s="1">
        <f t="shared" si="1417"/>
        <v>215</v>
      </c>
    </row>
    <row r="1073" spans="1:22" x14ac:dyDescent="0.3">
      <c r="A1073" s="1">
        <f t="shared" si="1419"/>
        <v>25216</v>
      </c>
      <c r="B1073" s="3" t="str">
        <f t="shared" ref="B1073" si="1467">H1066</f>
        <v>%ur</v>
      </c>
      <c r="C1073" s="3" t="str">
        <f t="shared" ref="C1073:D1073" si="1468">B1073</f>
        <v>%ur</v>
      </c>
      <c r="D1073" s="3" t="str">
        <f t="shared" si="1468"/>
        <v>%ur</v>
      </c>
      <c r="E1073" s="3"/>
      <c r="F1073" s="3"/>
      <c r="G1073" s="3" t="str">
        <f t="shared" ref="G1073" si="1469">D1073</f>
        <v>%ur</v>
      </c>
      <c r="H1073" s="3" t="str">
        <f t="shared" ref="H1073" si="1470">G1073</f>
        <v>%ur</v>
      </c>
      <c r="K1073" s="1">
        <v>5</v>
      </c>
      <c r="L1073" s="1">
        <v>5</v>
      </c>
      <c r="M1073" s="1">
        <v>5</v>
      </c>
      <c r="N1073" s="1">
        <v>5</v>
      </c>
      <c r="Q1073" s="9"/>
      <c r="R1073" s="9"/>
      <c r="S1073" s="9"/>
      <c r="T1073" s="9"/>
      <c r="U1073" s="1">
        <f t="shared" si="1416"/>
        <v>25</v>
      </c>
      <c r="V1073" s="1">
        <f t="shared" si="1417"/>
        <v>216</v>
      </c>
    </row>
    <row r="1074" spans="1:22" x14ac:dyDescent="0.3">
      <c r="A1074" s="1">
        <f t="shared" si="1419"/>
        <v>25217</v>
      </c>
      <c r="B1074" s="41">
        <v>5.01</v>
      </c>
      <c r="C1074" s="41">
        <v>5.26</v>
      </c>
      <c r="D1074" s="4">
        <v>0.25</v>
      </c>
      <c r="E1074" s="4">
        <v>2.0299999999999998</v>
      </c>
      <c r="F1074" s="14">
        <v>87</v>
      </c>
      <c r="G1074" s="7">
        <v>5</v>
      </c>
      <c r="H1074" s="7">
        <v>5.24</v>
      </c>
      <c r="J1074" s="24" t="str">
        <f t="shared" ref="J1074" si="1471">CONCATENATE(K1073,1)</f>
        <v>51</v>
      </c>
      <c r="K1074" s="6">
        <f t="array" ref="K1074:N1076">LINEST(B1074:B1078,C1074:C1078^{1,2,3},TRUE,TRUE)</f>
        <v>-3.1786498562651835E-6</v>
      </c>
      <c r="L1074" s="6">
        <v>3.0621875125270623E-4</v>
      </c>
      <c r="M1074" s="6">
        <v>0.99089390374159037</v>
      </c>
      <c r="N1074" s="6">
        <v>-0.21092708985408209</v>
      </c>
      <c r="Q1074" s="9"/>
      <c r="R1074" s="9"/>
      <c r="S1074" s="9"/>
      <c r="T1074" s="9"/>
      <c r="U1074" s="1">
        <f t="shared" si="1416"/>
        <v>25</v>
      </c>
      <c r="V1074" s="1">
        <f t="shared" si="1417"/>
        <v>217</v>
      </c>
    </row>
    <row r="1075" spans="1:22" x14ac:dyDescent="0.3">
      <c r="A1075" s="1">
        <f t="shared" si="1419"/>
        <v>25218</v>
      </c>
      <c r="B1075" s="41">
        <v>19.989999999999998</v>
      </c>
      <c r="C1075" s="41">
        <v>20.29</v>
      </c>
      <c r="D1075" s="4">
        <v>0.25</v>
      </c>
      <c r="E1075" s="4">
        <v>2.04</v>
      </c>
      <c r="F1075" s="14">
        <v>66</v>
      </c>
      <c r="G1075" s="7">
        <v>20</v>
      </c>
      <c r="H1075" s="7">
        <v>20.3</v>
      </c>
      <c r="J1075" s="24" t="str">
        <f t="shared" ref="J1075" si="1472">CONCATENATE(K1073,2)</f>
        <v>52</v>
      </c>
      <c r="K1075" s="6">
        <v>2.5596520196068173E-7</v>
      </c>
      <c r="L1075" s="6">
        <v>3.2522056980163275E-5</v>
      </c>
      <c r="M1075" s="6">
        <v>1.1054647955345527E-3</v>
      </c>
      <c r="N1075" s="6">
        <v>9.721180315401954E-3</v>
      </c>
      <c r="T1075" s="9"/>
      <c r="U1075" s="1">
        <f t="shared" si="1416"/>
        <v>25</v>
      </c>
      <c r="V1075" s="1">
        <f t="shared" si="1417"/>
        <v>218</v>
      </c>
    </row>
    <row r="1076" spans="1:22" x14ac:dyDescent="0.3">
      <c r="A1076" s="1">
        <f t="shared" si="1419"/>
        <v>25219</v>
      </c>
      <c r="B1076" s="41">
        <v>30.01</v>
      </c>
      <c r="C1076" s="41">
        <v>30.3</v>
      </c>
      <c r="D1076" s="4">
        <v>0.33</v>
      </c>
      <c r="E1076" s="4">
        <v>2.04</v>
      </c>
      <c r="F1076" s="14">
        <v>67</v>
      </c>
      <c r="G1076" s="7">
        <v>30</v>
      </c>
      <c r="H1076" s="7">
        <v>30.35</v>
      </c>
      <c r="J1076" s="24" t="str">
        <f t="shared" ref="J1076" si="1473">CONCATENATE(K1073,3)</f>
        <v>53</v>
      </c>
      <c r="K1076" s="6">
        <v>0.9999999899428943</v>
      </c>
      <c r="L1076" s="6">
        <v>5.829232119706873E-3</v>
      </c>
      <c r="M1076" s="6" t="e">
        <v>#N/A</v>
      </c>
      <c r="N1076" s="6" t="e">
        <v>#N/A</v>
      </c>
      <c r="T1076" s="9"/>
      <c r="U1076" s="1">
        <f t="shared" si="1416"/>
        <v>25</v>
      </c>
      <c r="V1076" s="1">
        <f t="shared" si="1417"/>
        <v>219</v>
      </c>
    </row>
    <row r="1077" spans="1:22" x14ac:dyDescent="0.3">
      <c r="A1077" s="1">
        <f t="shared" si="1419"/>
        <v>25220</v>
      </c>
      <c r="B1077" s="41">
        <v>50</v>
      </c>
      <c r="C1077" s="41">
        <v>50.3</v>
      </c>
      <c r="D1077" s="4">
        <v>0.53</v>
      </c>
      <c r="E1077" s="4">
        <v>2.04</v>
      </c>
      <c r="F1077" s="14">
        <v>67</v>
      </c>
      <c r="G1077" s="7">
        <v>49.99</v>
      </c>
      <c r="H1077" s="7">
        <v>50.73</v>
      </c>
      <c r="K1077" s="1">
        <v>6</v>
      </c>
      <c r="L1077" s="1">
        <v>6</v>
      </c>
      <c r="M1077" s="1">
        <v>6</v>
      </c>
      <c r="N1077" s="1">
        <v>6</v>
      </c>
      <c r="O1077" s="1">
        <v>6</v>
      </c>
      <c r="T1077" s="9"/>
      <c r="U1077" s="1">
        <f t="shared" si="1416"/>
        <v>25</v>
      </c>
      <c r="V1077" s="1">
        <f t="shared" si="1417"/>
        <v>220</v>
      </c>
    </row>
    <row r="1078" spans="1:22" x14ac:dyDescent="0.3">
      <c r="A1078" s="1">
        <f t="shared" si="1419"/>
        <v>25221</v>
      </c>
      <c r="B1078" s="41">
        <v>79.989999999999995</v>
      </c>
      <c r="C1078" s="41">
        <v>80.61</v>
      </c>
      <c r="D1078" s="4">
        <v>0.8</v>
      </c>
      <c r="E1078" s="4">
        <v>2.04</v>
      </c>
      <c r="F1078" s="14">
        <v>68</v>
      </c>
      <c r="G1078" s="7">
        <v>80.03</v>
      </c>
      <c r="H1078" s="7">
        <v>80.56</v>
      </c>
      <c r="J1078" s="24" t="str">
        <f t="shared" ref="J1078" si="1474">CONCATENATE(K1077,1)</f>
        <v>61</v>
      </c>
      <c r="K1078" s="6">
        <f t="array" ref="K1078:O1080">LINEST(B1074:B1079,C1074:C1079^{1,2,3,4},TRUE,TRUE)</f>
        <v>3.0697267863420146E-8</v>
      </c>
      <c r="L1078" s="6">
        <v>-8.1006462156860057E-6</v>
      </c>
      <c r="M1078" s="6">
        <v>5.5398579651856519E-4</v>
      </c>
      <c r="N1078" s="6">
        <v>0.98661407364266807</v>
      </c>
      <c r="O1078" s="6">
        <v>-0.19379883549246091</v>
      </c>
      <c r="T1078" s="9"/>
      <c r="U1078" s="1">
        <f t="shared" si="1416"/>
        <v>25</v>
      </c>
      <c r="V1078" s="1">
        <f t="shared" si="1417"/>
        <v>221</v>
      </c>
    </row>
    <row r="1079" spans="1:22" x14ac:dyDescent="0.3">
      <c r="A1079" s="1">
        <f t="shared" si="1419"/>
        <v>25222</v>
      </c>
      <c r="B1079" s="41">
        <v>97.97</v>
      </c>
      <c r="C1079" s="41">
        <v>98.97</v>
      </c>
      <c r="D1079" s="4">
        <v>0.93</v>
      </c>
      <c r="E1079" s="4">
        <v>2.04</v>
      </c>
      <c r="F1079" s="14">
        <v>62</v>
      </c>
      <c r="G1079" s="7">
        <v>97.95</v>
      </c>
      <c r="H1079" s="7">
        <v>99.35</v>
      </c>
      <c r="J1079" s="24" t="str">
        <f t="shared" ref="J1079" si="1475">CONCATENATE(K1077,2)</f>
        <v>62</v>
      </c>
      <c r="K1079" s="6">
        <v>2.8819925347567243E-10</v>
      </c>
      <c r="L1079" s="6">
        <v>6.01840460459691E-8</v>
      </c>
      <c r="M1079" s="6">
        <v>4.0862544240704333E-6</v>
      </c>
      <c r="N1079" s="6">
        <v>9.9111678843625091E-5</v>
      </c>
      <c r="O1079" s="6">
        <v>6.741257444759128E-4</v>
      </c>
      <c r="T1079" s="9"/>
      <c r="U1079" s="1">
        <f t="shared" si="1416"/>
        <v>25</v>
      </c>
      <c r="V1079" s="1">
        <f t="shared" si="1417"/>
        <v>222</v>
      </c>
    </row>
    <row r="1080" spans="1:22" x14ac:dyDescent="0.3">
      <c r="A1080" s="1">
        <f t="shared" si="1419"/>
        <v>25223</v>
      </c>
      <c r="B1080" s="4"/>
      <c r="C1080" s="4"/>
      <c r="D1080" s="4"/>
      <c r="E1080" s="4"/>
      <c r="F1080" s="14"/>
      <c r="G1080" s="8"/>
      <c r="H1080" s="7"/>
      <c r="J1080" s="24" t="str">
        <f t="shared" ref="J1080" si="1476">CONCATENATE(K1077,3)</f>
        <v>63</v>
      </c>
      <c r="K1080" s="6">
        <v>0.99999999998124578</v>
      </c>
      <c r="L1080" s="6">
        <v>3.485131070124492E-4</v>
      </c>
      <c r="M1080" s="6" t="e">
        <v>#N/A</v>
      </c>
      <c r="N1080" s="6" t="e">
        <v>#N/A</v>
      </c>
      <c r="O1080" s="6" t="e">
        <v>#N/A</v>
      </c>
      <c r="T1080" s="9"/>
      <c r="U1080" s="1">
        <f t="shared" si="1416"/>
        <v>25</v>
      </c>
      <c r="V1080" s="1">
        <f t="shared" si="1417"/>
        <v>223</v>
      </c>
    </row>
    <row r="1081" spans="1:22" x14ac:dyDescent="0.3">
      <c r="A1081" s="1">
        <f t="shared" si="1419"/>
        <v>25224</v>
      </c>
      <c r="B1081" s="4"/>
      <c r="C1081" s="4"/>
      <c r="D1081" s="4"/>
      <c r="E1081" s="4"/>
      <c r="F1081" s="14"/>
      <c r="G1081" s="8"/>
      <c r="H1081" s="7"/>
      <c r="K1081" s="1">
        <v>7</v>
      </c>
      <c r="L1081" s="1">
        <v>7</v>
      </c>
      <c r="M1081" s="1">
        <v>7</v>
      </c>
      <c r="N1081" s="1">
        <v>7</v>
      </c>
      <c r="O1081" s="1">
        <v>7</v>
      </c>
      <c r="P1081" s="1">
        <v>7</v>
      </c>
      <c r="T1081" s="9"/>
      <c r="U1081" s="1">
        <f t="shared" si="1416"/>
        <v>25</v>
      </c>
      <c r="V1081" s="1">
        <f t="shared" si="1417"/>
        <v>224</v>
      </c>
    </row>
    <row r="1082" spans="1:22" x14ac:dyDescent="0.3">
      <c r="A1082" s="1">
        <f t="shared" si="1419"/>
        <v>25225</v>
      </c>
      <c r="B1082" s="4"/>
      <c r="C1082" s="4"/>
      <c r="D1082" s="4"/>
      <c r="E1082" s="4"/>
      <c r="F1082" s="14"/>
      <c r="G1082" s="8"/>
      <c r="H1082" s="7"/>
      <c r="J1082" s="24" t="str">
        <f t="shared" ref="J1082" si="1477">CONCATENATE(K1081,1)</f>
        <v>71</v>
      </c>
      <c r="K1082" s="6" t="e">
        <f t="array" ref="K1082:P1084">LINEST(B1074:B1080,C1074:C1080^{1,2,3,4,5},TRUE,TRUE)</f>
        <v>#VALUE!</v>
      </c>
      <c r="L1082" s="6" t="e">
        <v>#VALUE!</v>
      </c>
      <c r="M1082" s="6" t="e">
        <v>#VALUE!</v>
      </c>
      <c r="N1082" s="6" t="e">
        <v>#VALUE!</v>
      </c>
      <c r="O1082" s="6" t="e">
        <v>#VALUE!</v>
      </c>
      <c r="P1082" s="6" t="e">
        <v>#VALUE!</v>
      </c>
      <c r="T1082" s="9"/>
      <c r="U1082" s="1">
        <f t="shared" si="1416"/>
        <v>25</v>
      </c>
      <c r="V1082" s="1">
        <f t="shared" si="1417"/>
        <v>225</v>
      </c>
    </row>
    <row r="1083" spans="1:22" x14ac:dyDescent="0.3">
      <c r="A1083" s="1">
        <f t="shared" si="1419"/>
        <v>25226</v>
      </c>
      <c r="B1083" s="4"/>
      <c r="C1083" s="4"/>
      <c r="D1083" s="4"/>
      <c r="E1083" s="4"/>
      <c r="F1083" s="14"/>
      <c r="G1083" s="8"/>
      <c r="H1083" s="7"/>
      <c r="J1083" s="24" t="str">
        <f t="shared" ref="J1083" si="1478">CONCATENATE(K1081,2)</f>
        <v>72</v>
      </c>
      <c r="K1083" s="6" t="e">
        <v>#VALUE!</v>
      </c>
      <c r="L1083" s="6" t="e">
        <v>#VALUE!</v>
      </c>
      <c r="M1083" s="6" t="e">
        <v>#VALUE!</v>
      </c>
      <c r="N1083" s="6" t="e">
        <v>#VALUE!</v>
      </c>
      <c r="O1083" s="6" t="e">
        <v>#VALUE!</v>
      </c>
      <c r="P1083" s="6" t="e">
        <v>#VALUE!</v>
      </c>
      <c r="T1083" s="9"/>
      <c r="U1083" s="1">
        <f t="shared" si="1416"/>
        <v>25</v>
      </c>
      <c r="V1083" s="1">
        <f t="shared" si="1417"/>
        <v>226</v>
      </c>
    </row>
    <row r="1084" spans="1:22" x14ac:dyDescent="0.3">
      <c r="A1084" s="1">
        <f t="shared" si="1419"/>
        <v>25227</v>
      </c>
      <c r="B1084" s="9"/>
      <c r="C1084" s="9"/>
      <c r="D1084" s="9"/>
      <c r="E1084" s="9"/>
      <c r="F1084" s="9"/>
      <c r="G1084" s="9"/>
      <c r="H1084" s="9"/>
      <c r="J1084" s="24" t="str">
        <f t="shared" ref="J1084" si="1479">CONCATENATE(K1081,3)</f>
        <v>73</v>
      </c>
      <c r="K1084" s="6" t="e">
        <v>#VALUE!</v>
      </c>
      <c r="L1084" s="6" t="e">
        <v>#VALUE!</v>
      </c>
      <c r="M1084" s="6" t="e">
        <v>#VALUE!</v>
      </c>
      <c r="N1084" s="6" t="e">
        <v>#VALUE!</v>
      </c>
      <c r="O1084" s="6" t="e">
        <v>#VALUE!</v>
      </c>
      <c r="P1084" s="6" t="e">
        <v>#VALUE!</v>
      </c>
      <c r="T1084" s="9"/>
      <c r="U1084" s="1">
        <f t="shared" si="1416"/>
        <v>25</v>
      </c>
      <c r="V1084" s="1">
        <f t="shared" si="1417"/>
        <v>227</v>
      </c>
    </row>
    <row r="1085" spans="1:22" x14ac:dyDescent="0.3">
      <c r="A1085" s="1">
        <f t="shared" si="1419"/>
        <v>25228</v>
      </c>
      <c r="B1085" s="87" t="s">
        <v>33</v>
      </c>
      <c r="C1085" s="88"/>
      <c r="D1085" s="88"/>
      <c r="E1085" s="88"/>
      <c r="F1085" s="88"/>
      <c r="G1085" s="88"/>
      <c r="H1085" s="89"/>
      <c r="K1085" s="1">
        <v>8</v>
      </c>
      <c r="L1085" s="1">
        <v>8</v>
      </c>
      <c r="M1085" s="1">
        <v>8</v>
      </c>
      <c r="N1085" s="1">
        <v>8</v>
      </c>
      <c r="O1085" s="1">
        <v>8</v>
      </c>
      <c r="P1085" s="1">
        <v>8</v>
      </c>
      <c r="Q1085" s="1">
        <v>8</v>
      </c>
      <c r="T1085" s="9"/>
      <c r="U1085" s="1">
        <f t="shared" si="1416"/>
        <v>25</v>
      </c>
      <c r="V1085" s="1">
        <f t="shared" si="1417"/>
        <v>228</v>
      </c>
    </row>
    <row r="1086" spans="1:22" x14ac:dyDescent="0.3">
      <c r="A1086" s="1">
        <f t="shared" si="1419"/>
        <v>25229</v>
      </c>
      <c r="B1086" s="90"/>
      <c r="C1086" s="91"/>
      <c r="D1086" s="91"/>
      <c r="E1086" s="91"/>
      <c r="F1086" s="91"/>
      <c r="G1086" s="91"/>
      <c r="H1086" s="92"/>
      <c r="J1086" s="24" t="str">
        <f t="shared" ref="J1086" si="1480">CONCATENATE(K1085,1)</f>
        <v>81</v>
      </c>
      <c r="K1086" s="6" t="e">
        <f t="array" ref="K1086:Q1088">LINEST(B1074:B1081,C1074:C1081^{1,2,3,4,5,6},TRUE,TRUE)</f>
        <v>#VALUE!</v>
      </c>
      <c r="L1086" s="6" t="e">
        <v>#VALUE!</v>
      </c>
      <c r="M1086" s="6" t="e">
        <v>#VALUE!</v>
      </c>
      <c r="N1086" s="6" t="e">
        <v>#VALUE!</v>
      </c>
      <c r="O1086" s="6" t="e">
        <v>#VALUE!</v>
      </c>
      <c r="P1086" s="6" t="e">
        <v>#VALUE!</v>
      </c>
      <c r="Q1086" s="6" t="e">
        <v>#VALUE!</v>
      </c>
      <c r="T1086" s="9"/>
      <c r="U1086" s="1">
        <f t="shared" si="1416"/>
        <v>25</v>
      </c>
      <c r="V1086" s="1">
        <f t="shared" si="1417"/>
        <v>229</v>
      </c>
    </row>
    <row r="1087" spans="1:22" x14ac:dyDescent="0.3">
      <c r="A1087" s="1">
        <f t="shared" si="1419"/>
        <v>25230</v>
      </c>
      <c r="B1087" s="93"/>
      <c r="C1087" s="94"/>
      <c r="D1087" s="94"/>
      <c r="E1087" s="94"/>
      <c r="F1087" s="94"/>
      <c r="G1087" s="94"/>
      <c r="H1087" s="95"/>
      <c r="J1087" s="24" t="str">
        <f t="shared" ref="J1087" si="1481">CONCATENATE(K1085,2)</f>
        <v>82</v>
      </c>
      <c r="K1087" s="6" t="e">
        <v>#VALUE!</v>
      </c>
      <c r="L1087" s="6" t="e">
        <v>#VALUE!</v>
      </c>
      <c r="M1087" s="6" t="e">
        <v>#VALUE!</v>
      </c>
      <c r="N1087" s="6" t="e">
        <v>#VALUE!</v>
      </c>
      <c r="O1087" s="6" t="e">
        <v>#VALUE!</v>
      </c>
      <c r="P1087" s="6" t="e">
        <v>#VALUE!</v>
      </c>
      <c r="Q1087" s="6" t="e">
        <v>#VALUE!</v>
      </c>
      <c r="T1087" s="9"/>
      <c r="U1087" s="1">
        <f t="shared" si="1416"/>
        <v>25</v>
      </c>
      <c r="V1087" s="1">
        <f t="shared" si="1417"/>
        <v>230</v>
      </c>
    </row>
    <row r="1088" spans="1:22" x14ac:dyDescent="0.3">
      <c r="A1088" s="1">
        <f t="shared" si="1419"/>
        <v>25231</v>
      </c>
      <c r="J1088" s="24" t="str">
        <f t="shared" ref="J1088" si="1482">CONCATENATE(K1085,3)</f>
        <v>83</v>
      </c>
      <c r="K1088" s="6" t="e">
        <v>#VALUE!</v>
      </c>
      <c r="L1088" s="6" t="e">
        <v>#VALUE!</v>
      </c>
      <c r="M1088" s="6" t="e">
        <v>#VALUE!</v>
      </c>
      <c r="N1088" s="6" t="e">
        <v>#VALUE!</v>
      </c>
      <c r="O1088" s="6" t="e">
        <v>#VALUE!</v>
      </c>
      <c r="P1088" s="6" t="e">
        <v>#VALUE!</v>
      </c>
      <c r="Q1088" s="6" t="e">
        <v>#VALUE!</v>
      </c>
      <c r="T1088" s="9"/>
      <c r="U1088" s="1">
        <f t="shared" si="1416"/>
        <v>25</v>
      </c>
      <c r="V1088" s="1">
        <f t="shared" si="1417"/>
        <v>231</v>
      </c>
    </row>
    <row r="1089" spans="1:22" ht="15" customHeight="1" x14ac:dyDescent="0.3">
      <c r="A1089" s="1">
        <f t="shared" si="1419"/>
        <v>25232</v>
      </c>
      <c r="B1089" s="10" t="s">
        <v>34</v>
      </c>
      <c r="C1089" s="10" t="s">
        <v>35</v>
      </c>
      <c r="D1089" s="10" t="s">
        <v>36</v>
      </c>
      <c r="E1089" s="74" t="s">
        <v>37</v>
      </c>
      <c r="F1089" s="75"/>
      <c r="G1089" s="76"/>
      <c r="K1089" s="1">
        <v>9</v>
      </c>
      <c r="L1089" s="1">
        <v>9</v>
      </c>
      <c r="M1089" s="1">
        <v>9</v>
      </c>
      <c r="N1089" s="1">
        <v>9</v>
      </c>
      <c r="O1089" s="1">
        <v>9</v>
      </c>
      <c r="P1089" s="1">
        <v>9</v>
      </c>
      <c r="Q1089" s="1">
        <v>9</v>
      </c>
      <c r="R1089" s="1">
        <v>9</v>
      </c>
      <c r="T1089" s="9"/>
      <c r="U1089" s="1">
        <f t="shared" si="1416"/>
        <v>25</v>
      </c>
      <c r="V1089" s="1">
        <f t="shared" si="1417"/>
        <v>232</v>
      </c>
    </row>
    <row r="1090" spans="1:22" x14ac:dyDescent="0.3">
      <c r="A1090" s="1">
        <f t="shared" si="1419"/>
        <v>25233</v>
      </c>
      <c r="B1090" s="12">
        <f t="shared" ref="B1090:B1099" si="1483">C1074-B1074</f>
        <v>0.25</v>
      </c>
      <c r="C1090" s="13">
        <f t="shared" ref="C1090:C1099" si="1484">H1074-G1074</f>
        <v>0.24000000000000021</v>
      </c>
      <c r="D1090" s="10">
        <f t="shared" ref="D1090:D1099" si="1485">C1090-B1090</f>
        <v>-9.9999999999997868E-3</v>
      </c>
      <c r="E1090" s="11">
        <f t="shared" ref="E1090:E1092" si="1486">IF(D1063="","",MAX(F1090,G1090))</f>
        <v>0.43999999999999773</v>
      </c>
      <c r="F1090" s="10">
        <f t="shared" ref="F1090" si="1487">ABS(MIN(D1090:D1099))</f>
        <v>9.0000000000003411E-2</v>
      </c>
      <c r="G1090" s="10">
        <f t="shared" ref="G1090" si="1488">ABS(MAX(D1090:D1099))</f>
        <v>0.43999999999999773</v>
      </c>
      <c r="J1090" s="24" t="str">
        <f t="shared" ref="J1090" si="1489">CONCATENATE(K1089,1)</f>
        <v>91</v>
      </c>
      <c r="K1090" s="6" t="e">
        <f t="array" ref="K1090:R1092">LINEST(B1074:B1082,C1074:C1082^{1,2,3,4,5,6,7},TRUE,TRUE)</f>
        <v>#VALUE!</v>
      </c>
      <c r="L1090" s="6" t="e">
        <v>#VALUE!</v>
      </c>
      <c r="M1090" s="6" t="e">
        <v>#VALUE!</v>
      </c>
      <c r="N1090" s="6" t="e">
        <v>#VALUE!</v>
      </c>
      <c r="O1090" s="6" t="e">
        <v>#VALUE!</v>
      </c>
      <c r="P1090" s="6" t="e">
        <v>#VALUE!</v>
      </c>
      <c r="Q1090" s="6" t="e">
        <v>#VALUE!</v>
      </c>
      <c r="R1090" s="6" t="e">
        <v>#VALUE!</v>
      </c>
      <c r="T1090" s="9"/>
      <c r="U1090" s="1">
        <f t="shared" si="1416"/>
        <v>25</v>
      </c>
      <c r="V1090" s="1">
        <f t="shared" si="1417"/>
        <v>233</v>
      </c>
    </row>
    <row r="1091" spans="1:22" x14ac:dyDescent="0.3">
      <c r="A1091" s="1">
        <f t="shared" si="1419"/>
        <v>25234</v>
      </c>
      <c r="B1091" s="12">
        <f t="shared" si="1483"/>
        <v>0.30000000000000071</v>
      </c>
      <c r="C1091" s="13">
        <f t="shared" si="1484"/>
        <v>0.30000000000000071</v>
      </c>
      <c r="D1091" s="10">
        <f t="shared" si="1485"/>
        <v>0</v>
      </c>
      <c r="E1091" s="74" t="s">
        <v>38</v>
      </c>
      <c r="F1091" s="75"/>
      <c r="G1091" s="76"/>
      <c r="J1091" s="24" t="str">
        <f t="shared" ref="J1091" si="1490">CONCATENATE(K1089,2)</f>
        <v>92</v>
      </c>
      <c r="K1091" s="6" t="e">
        <v>#VALUE!</v>
      </c>
      <c r="L1091" s="6" t="e">
        <v>#VALUE!</v>
      </c>
      <c r="M1091" s="6" t="e">
        <v>#VALUE!</v>
      </c>
      <c r="N1091" s="6" t="e">
        <v>#VALUE!</v>
      </c>
      <c r="O1091" s="6" t="e">
        <v>#VALUE!</v>
      </c>
      <c r="P1091" s="6" t="e">
        <v>#VALUE!</v>
      </c>
      <c r="Q1091" s="6" t="e">
        <v>#VALUE!</v>
      </c>
      <c r="R1091" s="6" t="e">
        <v>#VALUE!</v>
      </c>
      <c r="T1091" s="9"/>
      <c r="U1091" s="1">
        <f t="shared" si="1416"/>
        <v>25</v>
      </c>
      <c r="V1091" s="1">
        <f t="shared" si="1417"/>
        <v>234</v>
      </c>
    </row>
    <row r="1092" spans="1:22" x14ac:dyDescent="0.3">
      <c r="A1092" s="1">
        <f t="shared" si="1419"/>
        <v>25235</v>
      </c>
      <c r="B1092" s="12">
        <f t="shared" si="1483"/>
        <v>0.28999999999999915</v>
      </c>
      <c r="C1092" s="13">
        <f t="shared" si="1484"/>
        <v>0.35000000000000142</v>
      </c>
      <c r="D1092" s="10">
        <f t="shared" si="1485"/>
        <v>6.0000000000002274E-2</v>
      </c>
      <c r="E1092" s="11">
        <f t="shared" si="1486"/>
        <v>1</v>
      </c>
      <c r="F1092" s="10">
        <f t="shared" ref="F1092" si="1491">ABS(MIN(B1090:B1099))</f>
        <v>0</v>
      </c>
      <c r="G1092" s="10">
        <f t="shared" ref="G1092" si="1492">ABS(MAX(B1090:B1099))</f>
        <v>1</v>
      </c>
      <c r="J1092" s="24" t="str">
        <f t="shared" ref="J1092" si="1493">CONCATENATE(K1089,3)</f>
        <v>93</v>
      </c>
      <c r="K1092" s="6" t="e">
        <v>#VALUE!</v>
      </c>
      <c r="L1092" s="6" t="e">
        <v>#VALUE!</v>
      </c>
      <c r="M1092" s="6" t="e">
        <v>#VALUE!</v>
      </c>
      <c r="N1092" s="6" t="e">
        <v>#VALUE!</v>
      </c>
      <c r="O1092" s="6" t="e">
        <v>#VALUE!</v>
      </c>
      <c r="P1092" s="6" t="e">
        <v>#VALUE!</v>
      </c>
      <c r="Q1092" s="6" t="e">
        <v>#VALUE!</v>
      </c>
      <c r="R1092" s="6" t="e">
        <v>#VALUE!</v>
      </c>
      <c r="T1092" s="9"/>
      <c r="U1092" s="1">
        <f t="shared" si="1416"/>
        <v>25</v>
      </c>
      <c r="V1092" s="1">
        <f t="shared" si="1417"/>
        <v>235</v>
      </c>
    </row>
    <row r="1093" spans="1:22" x14ac:dyDescent="0.3">
      <c r="A1093" s="1">
        <f t="shared" si="1419"/>
        <v>25236</v>
      </c>
      <c r="B1093" s="12">
        <f t="shared" si="1483"/>
        <v>0.29999999999999716</v>
      </c>
      <c r="C1093" s="13">
        <f t="shared" si="1484"/>
        <v>0.73999999999999488</v>
      </c>
      <c r="D1093" s="10">
        <f t="shared" si="1485"/>
        <v>0.43999999999999773</v>
      </c>
      <c r="E1093" s="74" t="s">
        <v>39</v>
      </c>
      <c r="F1093" s="75"/>
      <c r="G1093" s="76"/>
      <c r="K1093" s="1">
        <v>10</v>
      </c>
      <c r="L1093" s="1">
        <v>10</v>
      </c>
      <c r="M1093" s="1">
        <v>10</v>
      </c>
      <c r="N1093" s="1">
        <v>10</v>
      </c>
      <c r="O1093" s="1">
        <v>10</v>
      </c>
      <c r="P1093" s="1">
        <v>10</v>
      </c>
      <c r="Q1093" s="1">
        <v>10</v>
      </c>
      <c r="R1093" s="1">
        <v>10</v>
      </c>
      <c r="S1093" s="1">
        <v>10</v>
      </c>
      <c r="T1093" s="9"/>
      <c r="U1093" s="1">
        <f t="shared" si="1416"/>
        <v>25</v>
      </c>
      <c r="V1093" s="1">
        <f t="shared" si="1417"/>
        <v>236</v>
      </c>
    </row>
    <row r="1094" spans="1:22" x14ac:dyDescent="0.3">
      <c r="A1094" s="1">
        <f t="shared" si="1419"/>
        <v>25237</v>
      </c>
      <c r="B1094" s="12">
        <f t="shared" si="1483"/>
        <v>0.62000000000000455</v>
      </c>
      <c r="C1094" s="13">
        <f t="shared" si="1484"/>
        <v>0.53000000000000114</v>
      </c>
      <c r="D1094" s="10">
        <f t="shared" si="1485"/>
        <v>-9.0000000000003411E-2</v>
      </c>
      <c r="E1094" s="11">
        <f t="shared" ref="E1094" si="1494">IF(D1065="","",MAX(F1094,G1094))</f>
        <v>0.93</v>
      </c>
      <c r="F1094" s="10">
        <f t="shared" ref="F1094" si="1495">ABS(MIN(D1074:D1083))</f>
        <v>0.25</v>
      </c>
      <c r="G1094" s="10">
        <f t="shared" ref="G1094" si="1496">ABS(MAX(D1074:D1083))</f>
        <v>0.93</v>
      </c>
      <c r="J1094" s="24" t="str">
        <f t="shared" ref="J1094" si="1497">CONCATENATE(K1093,1)</f>
        <v>101</v>
      </c>
      <c r="K1094" s="6" t="e">
        <f t="array" ref="K1094:S1096">LINEST(B1074:B1083,C1074:C1083^{1,2,3,4,5,6,7,8},TRUE,TRUE)</f>
        <v>#VALUE!</v>
      </c>
      <c r="L1094" s="6" t="e">
        <v>#VALUE!</v>
      </c>
      <c r="M1094" s="6" t="e">
        <v>#VALUE!</v>
      </c>
      <c r="N1094" s="6" t="e">
        <v>#VALUE!</v>
      </c>
      <c r="O1094" s="6" t="e">
        <v>#VALUE!</v>
      </c>
      <c r="P1094" s="6" t="e">
        <v>#VALUE!</v>
      </c>
      <c r="Q1094" s="6" t="e">
        <v>#VALUE!</v>
      </c>
      <c r="R1094" s="6" t="e">
        <v>#VALUE!</v>
      </c>
      <c r="S1094" s="6" t="e">
        <v>#VALUE!</v>
      </c>
      <c r="T1094" s="9"/>
      <c r="U1094" s="1">
        <f t="shared" si="1416"/>
        <v>25</v>
      </c>
      <c r="V1094" s="1">
        <f t="shared" si="1417"/>
        <v>237</v>
      </c>
    </row>
    <row r="1095" spans="1:22" x14ac:dyDescent="0.3">
      <c r="A1095" s="1">
        <f t="shared" si="1419"/>
        <v>25238</v>
      </c>
      <c r="B1095" s="12">
        <f t="shared" si="1483"/>
        <v>1</v>
      </c>
      <c r="C1095" s="13">
        <f t="shared" si="1484"/>
        <v>1.3999999999999915</v>
      </c>
      <c r="D1095" s="10">
        <f t="shared" si="1485"/>
        <v>0.39999999999999147</v>
      </c>
      <c r="J1095" s="24" t="str">
        <f t="shared" ref="J1095" si="1498">CONCATENATE(K1093,2)</f>
        <v>102</v>
      </c>
      <c r="K1095" s="6" t="e">
        <v>#VALUE!</v>
      </c>
      <c r="L1095" s="6" t="e">
        <v>#VALUE!</v>
      </c>
      <c r="M1095" s="6" t="e">
        <v>#VALUE!</v>
      </c>
      <c r="N1095" s="6" t="e">
        <v>#VALUE!</v>
      </c>
      <c r="O1095" s="6" t="e">
        <v>#VALUE!</v>
      </c>
      <c r="P1095" s="6" t="e">
        <v>#VALUE!</v>
      </c>
      <c r="Q1095" s="6" t="e">
        <v>#VALUE!</v>
      </c>
      <c r="R1095" s="6" t="e">
        <v>#VALUE!</v>
      </c>
      <c r="S1095" s="6" t="e">
        <v>#VALUE!</v>
      </c>
      <c r="T1095" s="9"/>
      <c r="U1095" s="1">
        <f t="shared" si="1416"/>
        <v>25</v>
      </c>
      <c r="V1095" s="1">
        <f t="shared" si="1417"/>
        <v>238</v>
      </c>
    </row>
    <row r="1096" spans="1:22" x14ac:dyDescent="0.3">
      <c r="A1096" s="1">
        <f t="shared" si="1419"/>
        <v>25239</v>
      </c>
      <c r="B1096" s="12">
        <f t="shared" si="1483"/>
        <v>0</v>
      </c>
      <c r="C1096" s="13">
        <f t="shared" si="1484"/>
        <v>0</v>
      </c>
      <c r="D1096" s="10">
        <f t="shared" si="1485"/>
        <v>0</v>
      </c>
      <c r="J1096" s="24" t="str">
        <f t="shared" ref="J1096" si="1499">CONCATENATE(K1093,3)</f>
        <v>103</v>
      </c>
      <c r="K1096" s="6" t="e">
        <v>#VALUE!</v>
      </c>
      <c r="L1096" s="6" t="e">
        <v>#VALUE!</v>
      </c>
      <c r="M1096" s="6" t="e">
        <v>#VALUE!</v>
      </c>
      <c r="N1096" s="6" t="e">
        <v>#VALUE!</v>
      </c>
      <c r="O1096" s="6" t="e">
        <v>#VALUE!</v>
      </c>
      <c r="P1096" s="6" t="e">
        <v>#VALUE!</v>
      </c>
      <c r="Q1096" s="6" t="e">
        <v>#VALUE!</v>
      </c>
      <c r="R1096" s="6" t="e">
        <v>#VALUE!</v>
      </c>
      <c r="S1096" s="6" t="e">
        <v>#VALUE!</v>
      </c>
      <c r="T1096" s="9"/>
      <c r="U1096" s="1">
        <f t="shared" si="1416"/>
        <v>25</v>
      </c>
      <c r="V1096" s="1">
        <f t="shared" si="1417"/>
        <v>239</v>
      </c>
    </row>
    <row r="1097" spans="1:22" x14ac:dyDescent="0.3">
      <c r="A1097" s="1">
        <f t="shared" si="1419"/>
        <v>25240</v>
      </c>
      <c r="B1097" s="12">
        <f t="shared" si="1483"/>
        <v>0</v>
      </c>
      <c r="C1097" s="13">
        <f t="shared" si="1484"/>
        <v>0</v>
      </c>
      <c r="D1097" s="10">
        <f t="shared" si="1485"/>
        <v>0</v>
      </c>
      <c r="J1097" s="9"/>
      <c r="K1097" s="9"/>
      <c r="L1097" s="9"/>
      <c r="M1097" s="9"/>
      <c r="N1097" s="9"/>
      <c r="O1097" s="9"/>
      <c r="P1097" s="9"/>
      <c r="Q1097" s="9"/>
      <c r="R1097" s="9"/>
      <c r="S1097" s="9"/>
      <c r="T1097" s="9"/>
      <c r="U1097" s="1">
        <f t="shared" si="1416"/>
        <v>25</v>
      </c>
      <c r="V1097" s="1">
        <f t="shared" si="1417"/>
        <v>240</v>
      </c>
    </row>
    <row r="1098" spans="1:22" x14ac:dyDescent="0.3">
      <c r="A1098" s="1">
        <f t="shared" si="1419"/>
        <v>25241</v>
      </c>
      <c r="B1098" s="12">
        <f t="shared" si="1483"/>
        <v>0</v>
      </c>
      <c r="C1098" s="13">
        <f t="shared" si="1484"/>
        <v>0</v>
      </c>
      <c r="D1098" s="10">
        <f t="shared" si="1485"/>
        <v>0</v>
      </c>
      <c r="J1098" s="9"/>
      <c r="K1098" s="9"/>
      <c r="L1098" s="9"/>
      <c r="M1098" s="9"/>
      <c r="N1098" s="9"/>
      <c r="O1098" s="9"/>
      <c r="P1098" s="9"/>
      <c r="Q1098" s="9"/>
      <c r="R1098" s="9"/>
      <c r="S1098" s="9"/>
      <c r="T1098" s="9"/>
      <c r="U1098" s="1">
        <f t="shared" si="1416"/>
        <v>25</v>
      </c>
      <c r="V1098" s="1">
        <f t="shared" si="1417"/>
        <v>241</v>
      </c>
    </row>
    <row r="1099" spans="1:22" x14ac:dyDescent="0.3">
      <c r="A1099" s="1">
        <f t="shared" si="1419"/>
        <v>25242</v>
      </c>
      <c r="B1099" s="12">
        <f t="shared" si="1483"/>
        <v>0</v>
      </c>
      <c r="C1099" s="13">
        <f t="shared" si="1484"/>
        <v>0</v>
      </c>
      <c r="D1099" s="10">
        <f t="shared" si="1485"/>
        <v>0</v>
      </c>
      <c r="J1099" s="9"/>
      <c r="K1099" s="9"/>
      <c r="L1099" s="9"/>
      <c r="M1099" s="9"/>
      <c r="N1099" s="9"/>
      <c r="O1099" s="9"/>
      <c r="P1099" s="9"/>
      <c r="Q1099" s="9"/>
      <c r="R1099" s="9"/>
      <c r="S1099" s="9"/>
      <c r="T1099" s="9"/>
      <c r="U1099" s="1">
        <f t="shared" si="1416"/>
        <v>25</v>
      </c>
      <c r="V1099" s="1">
        <f t="shared" si="1417"/>
        <v>242</v>
      </c>
    </row>
    <row r="1100" spans="1:22" x14ac:dyDescent="0.3">
      <c r="A1100" s="1">
        <f t="shared" si="1419"/>
        <v>25243</v>
      </c>
      <c r="J1100" s="9"/>
      <c r="K1100" s="9"/>
      <c r="L1100" s="9"/>
      <c r="M1100" s="9"/>
      <c r="N1100" s="9"/>
      <c r="O1100" s="9"/>
      <c r="P1100" s="9"/>
      <c r="Q1100" s="9"/>
      <c r="R1100" s="9"/>
      <c r="S1100" s="9"/>
      <c r="T1100" s="9"/>
      <c r="U1100" s="1">
        <f t="shared" si="1416"/>
        <v>25</v>
      </c>
      <c r="V1100" s="1">
        <f t="shared" si="1417"/>
        <v>243</v>
      </c>
    </row>
    <row r="1101" spans="1:22" s="5" customFormat="1" x14ac:dyDescent="0.3"/>
    <row r="1102" spans="1:22" x14ac:dyDescent="0.3">
      <c r="A1102" s="1">
        <f t="shared" ref="A1102:A1144" si="1500">ROUND(CONCATENATE(U1102,V1102),0)</f>
        <v>26201</v>
      </c>
      <c r="B1102" s="96" t="s">
        <v>0</v>
      </c>
      <c r="C1102" s="97"/>
      <c r="D1102" s="110" t="s">
        <v>46</v>
      </c>
      <c r="E1102" s="111"/>
      <c r="F1102" s="111"/>
      <c r="G1102" s="111"/>
      <c r="H1102" s="112"/>
      <c r="J1102" s="9"/>
      <c r="K1102" s="9"/>
      <c r="L1102" s="9"/>
      <c r="M1102" s="9"/>
      <c r="N1102" s="9"/>
      <c r="O1102" s="9"/>
      <c r="P1102" s="9"/>
      <c r="Q1102" s="9"/>
      <c r="R1102" s="9"/>
      <c r="S1102" s="9"/>
      <c r="T1102" s="9"/>
      <c r="U1102" s="1">
        <f t="shared" ref="U1102" si="1501">U1100+1</f>
        <v>26</v>
      </c>
      <c r="V1102" s="1">
        <v>201</v>
      </c>
    </row>
    <row r="1103" spans="1:22" x14ac:dyDescent="0.3">
      <c r="A1103" s="1">
        <f t="shared" si="1500"/>
        <v>26202</v>
      </c>
      <c r="B1103" s="96" t="s">
        <v>1</v>
      </c>
      <c r="C1103" s="97"/>
      <c r="D1103" s="15">
        <v>20</v>
      </c>
      <c r="E1103" s="16" t="s">
        <v>2</v>
      </c>
      <c r="F1103" s="107"/>
      <c r="G1103" s="108"/>
      <c r="H1103" s="109"/>
      <c r="J1103" s="9"/>
      <c r="K1103" s="9"/>
      <c r="L1103" s="9"/>
      <c r="M1103" s="9"/>
      <c r="N1103" s="9"/>
      <c r="O1103" s="9"/>
      <c r="P1103" s="9"/>
      <c r="Q1103" s="9"/>
      <c r="R1103" s="9"/>
      <c r="S1103" s="9"/>
      <c r="T1103" s="9"/>
      <c r="U1103" s="1">
        <f t="shared" ref="U1103" si="1502">U1102</f>
        <v>26</v>
      </c>
      <c r="V1103" s="1">
        <f t="shared" ref="V1103" si="1503">V1102+1</f>
        <v>202</v>
      </c>
    </row>
    <row r="1104" spans="1:22" x14ac:dyDescent="0.3">
      <c r="A1104" s="1">
        <f t="shared" si="1500"/>
        <v>26203</v>
      </c>
      <c r="B1104" s="96" t="s">
        <v>12</v>
      </c>
      <c r="C1104" s="97"/>
      <c r="D1104" s="110" t="s">
        <v>220</v>
      </c>
      <c r="E1104" s="111"/>
      <c r="F1104" s="111"/>
      <c r="G1104" s="111"/>
      <c r="H1104" s="112"/>
      <c r="K1104" s="1" t="s">
        <v>3</v>
      </c>
      <c r="L1104" s="1" t="s">
        <v>4</v>
      </c>
      <c r="M1104" s="1" t="s">
        <v>5</v>
      </c>
      <c r="N1104" s="1" t="s">
        <v>6</v>
      </c>
      <c r="O1104" s="1" t="s">
        <v>7</v>
      </c>
      <c r="P1104" s="1" t="s">
        <v>8</v>
      </c>
      <c r="Q1104" s="1" t="s">
        <v>9</v>
      </c>
      <c r="R1104" s="1" t="s">
        <v>10</v>
      </c>
      <c r="S1104" s="1" t="s">
        <v>11</v>
      </c>
      <c r="T1104" s="9"/>
      <c r="U1104" s="1">
        <f t="shared" si="1416"/>
        <v>26</v>
      </c>
      <c r="V1104" s="1">
        <f t="shared" si="1417"/>
        <v>203</v>
      </c>
    </row>
    <row r="1105" spans="1:22" x14ac:dyDescent="0.3">
      <c r="A1105" s="1">
        <f t="shared" si="1500"/>
        <v>26204</v>
      </c>
      <c r="B1105" s="96" t="s">
        <v>13</v>
      </c>
      <c r="C1105" s="97"/>
      <c r="D1105" s="110" t="s">
        <v>65</v>
      </c>
      <c r="E1105" s="111"/>
      <c r="F1105" s="111"/>
      <c r="G1105" s="111"/>
      <c r="H1105" s="112"/>
      <c r="J1105" s="1">
        <f t="shared" ref="J1105" si="1504">COUNTA(B1118:B1127)</f>
        <v>6</v>
      </c>
      <c r="K1105" s="1">
        <f t="shared" ref="K1105" si="1505">IF(L1105-1&lt;2,0,L1105-1)</f>
        <v>0</v>
      </c>
      <c r="L1105" s="1">
        <f t="shared" ref="L1105" si="1506">IF(M1105-1&lt;2,0,M1105-1)</f>
        <v>0</v>
      </c>
      <c r="M1105" s="1">
        <f t="shared" ref="M1105" si="1507">IF(N1105-1&lt;2,0,N1105-1)</f>
        <v>0</v>
      </c>
      <c r="N1105" s="1">
        <f t="shared" ref="N1105" si="1508">IF(O1105-1&lt;2,0,O1105-1)</f>
        <v>0</v>
      </c>
      <c r="O1105" s="1">
        <f t="shared" ref="O1105" si="1509">IF(P1105-1&lt;2,0,P1105-1)</f>
        <v>2</v>
      </c>
      <c r="P1105" s="1">
        <f t="shared" ref="P1105" si="1510">IF(Q1105-1&lt;2,0,Q1105-1)</f>
        <v>3</v>
      </c>
      <c r="Q1105" s="1">
        <f t="shared" ref="Q1105" si="1511">IF(R1105-1&lt;2,0,R1105-1)</f>
        <v>4</v>
      </c>
      <c r="R1105" s="1">
        <f t="shared" ref="R1105" si="1512">IF(S1105-1&lt;2,0,S1105-1)</f>
        <v>5</v>
      </c>
      <c r="S1105" s="1">
        <f t="shared" ref="S1105" si="1513">J1105</f>
        <v>6</v>
      </c>
      <c r="T1105" s="9"/>
      <c r="U1105" s="1">
        <f t="shared" si="1416"/>
        <v>26</v>
      </c>
      <c r="V1105" s="1">
        <f t="shared" si="1417"/>
        <v>204</v>
      </c>
    </row>
    <row r="1106" spans="1:22" x14ac:dyDescent="0.3">
      <c r="A1106" s="1">
        <f t="shared" si="1500"/>
        <v>26205</v>
      </c>
      <c r="B1106" s="96" t="s">
        <v>14</v>
      </c>
      <c r="C1106" s="97"/>
      <c r="D1106" s="110" t="s">
        <v>66</v>
      </c>
      <c r="E1106" s="111"/>
      <c r="F1106" s="111"/>
      <c r="G1106" s="111"/>
      <c r="H1106" s="112"/>
      <c r="J1106" s="24" t="str">
        <f t="shared" ref="J1106" si="1514">CONCATENATE(J1105,1)</f>
        <v>61</v>
      </c>
      <c r="K1106" s="25">
        <f t="shared" ref="K1106" si="1515">IF(K1105=0,0,VLOOKUP(J1106,J1110:S1140,K1105,FALSE))</f>
        <v>0</v>
      </c>
      <c r="L1106" s="25">
        <f t="shared" ref="L1106" si="1516">IF(L1105=0,0,VLOOKUP(J1106,J1110:S1140,L1105,FALSE))</f>
        <v>0</v>
      </c>
      <c r="M1106" s="25">
        <f t="shared" ref="M1106" si="1517">IF(M1105=0,0,VLOOKUP(J1106,J1110:S1140,M1105,FALSE))</f>
        <v>0</v>
      </c>
      <c r="N1106" s="25">
        <f t="shared" ref="N1106" si="1518">IF(N1105=0,0,VLOOKUP(J1106,J1110:S1140,N1105,FALSE))</f>
        <v>0</v>
      </c>
      <c r="O1106" s="25">
        <f t="shared" ref="O1106" si="1519">IF(O1105=0,0,VLOOKUP(J1106,J1110:S1140,O1105,FALSE))</f>
        <v>-3.0270776959875996E-7</v>
      </c>
      <c r="P1106" s="25">
        <f t="shared" ref="P1106" si="1520">IF(P1105=0,0,VLOOKUP(J1106,J1110:S1140,P1105,FALSE))</f>
        <v>6.9167912028383517E-5</v>
      </c>
      <c r="Q1106" s="25">
        <f t="shared" ref="Q1106" si="1521">IF(Q1105=0,0,VLOOKUP(J1106,J1110:S1140,Q1105,FALSE))</f>
        <v>-5.0551921638026416E-3</v>
      </c>
      <c r="R1106" s="25">
        <f t="shared" ref="R1106" si="1522">IF(R1105=0,0,VLOOKUP(J1106,J1110:S1140,R1105,FALSE))</f>
        <v>1.1077867663523504</v>
      </c>
      <c r="S1106" s="25">
        <f t="shared" ref="S1106" si="1523">IF(S1105=0,0,VLOOKUP(J1106,J1110:S1140,S1105,FALSE))</f>
        <v>-6.1886035163623454E-2</v>
      </c>
      <c r="T1106" s="9"/>
      <c r="U1106" s="1">
        <f t="shared" si="1416"/>
        <v>26</v>
      </c>
      <c r="V1106" s="1">
        <f t="shared" si="1417"/>
        <v>205</v>
      </c>
    </row>
    <row r="1107" spans="1:22" x14ac:dyDescent="0.3">
      <c r="A1107" s="1">
        <f t="shared" si="1500"/>
        <v>26206</v>
      </c>
      <c r="B1107" s="96" t="s">
        <v>15</v>
      </c>
      <c r="C1107" s="97"/>
      <c r="D1107" s="110" t="s">
        <v>341</v>
      </c>
      <c r="E1107" s="111"/>
      <c r="F1107" s="111"/>
      <c r="G1107" s="111"/>
      <c r="H1107" s="112"/>
      <c r="J1107" s="24" t="str">
        <f t="shared" ref="J1107" si="1524">CONCATENATE(J1105,2)</f>
        <v>62</v>
      </c>
      <c r="K1107" s="6">
        <f t="shared" ref="K1107" si="1525">IF(K1105=0,0,VLOOKUP(J1107,J1110:S1140,K1105,FALSE))</f>
        <v>0</v>
      </c>
      <c r="L1107" s="6">
        <f t="shared" ref="L1107" si="1526">IF(L1105=0,0,VLOOKUP(J1107,J1110:S1140,L1105,FALSE))</f>
        <v>0</v>
      </c>
      <c r="M1107" s="6">
        <f t="shared" ref="M1107" si="1527">IF(M1105=0,0,VLOOKUP(J1107,J1110:S1140,M1105,FALSE))</f>
        <v>0</v>
      </c>
      <c r="N1107" s="6">
        <f t="shared" ref="N1107" si="1528">IF(N1105=0,0,VLOOKUP(J1107,J1110:S1140,N1105,FALSE))</f>
        <v>0</v>
      </c>
      <c r="O1107" s="6">
        <f t="shared" ref="O1107" si="1529">IF(O1105=0,0,VLOOKUP(J1107,J1110:S1140,O1105,FALSE))</f>
        <v>8.9882546801264454E-8</v>
      </c>
      <c r="P1107" s="6">
        <f t="shared" ref="P1107" si="1530">IF(P1105=0,0,VLOOKUP(J1107,J1110:S1140,P1105,FALSE))</f>
        <v>1.8620604348060085E-5</v>
      </c>
      <c r="Q1107" s="6">
        <f t="shared" ref="Q1107" si="1531">IF(Q1105=0,0,VLOOKUP(J1107,J1110:S1140,Q1105,FALSE))</f>
        <v>1.2506150079099475E-3</v>
      </c>
      <c r="R1107" s="6">
        <f t="shared" ref="R1107" si="1532">IF(R1105=0,0,VLOOKUP(J1107,J1110:S1140,R1105,FALSE))</f>
        <v>2.9859304681732497E-2</v>
      </c>
      <c r="S1107" s="6">
        <f t="shared" ref="S1107" si="1533">IF(S1105=0,0,VLOOKUP(J1107,J1110:S1140,S1105,FALSE))</f>
        <v>0.19949146367462869</v>
      </c>
      <c r="T1107" s="9"/>
      <c r="U1107" s="1">
        <f t="shared" si="1416"/>
        <v>26</v>
      </c>
      <c r="V1107" s="1">
        <f t="shared" si="1417"/>
        <v>206</v>
      </c>
    </row>
    <row r="1108" spans="1:22" x14ac:dyDescent="0.3">
      <c r="A1108" s="1">
        <f t="shared" si="1500"/>
        <v>26207</v>
      </c>
      <c r="B1108" s="96" t="s">
        <v>16</v>
      </c>
      <c r="C1108" s="97"/>
      <c r="D1108" s="113">
        <v>45989</v>
      </c>
      <c r="E1108" s="114"/>
      <c r="F1108" s="114"/>
      <c r="G1108" s="114"/>
      <c r="H1108" s="115"/>
      <c r="J1108" s="24" t="str">
        <f t="shared" ref="J1108" si="1534">CONCATENATE(J1105,3)</f>
        <v>63</v>
      </c>
      <c r="K1108" s="6"/>
      <c r="L1108" s="6"/>
      <c r="M1108" s="6"/>
      <c r="N1108" s="6" t="s">
        <v>43</v>
      </c>
      <c r="O1108" s="25">
        <f t="shared" ref="O1108" si="1535">J1105-2</f>
        <v>4</v>
      </c>
      <c r="P1108" s="6" t="s">
        <v>44</v>
      </c>
      <c r="Q1108" s="25">
        <f t="shared" ref="Q1108" si="1536">VLOOKUP(J1108,J1110:S1140,3,FALSE)</f>
        <v>0.11230470683599547</v>
      </c>
      <c r="R1108" s="6" t="s">
        <v>45</v>
      </c>
      <c r="S1108" s="6">
        <f t="shared" ref="S1108" si="1537">VLOOKUP(J1108,J1110:S1140,2,FALSE)</f>
        <v>0.99999805257987229</v>
      </c>
      <c r="T1108" s="9"/>
      <c r="U1108" s="1">
        <f t="shared" si="1416"/>
        <v>26</v>
      </c>
      <c r="V1108" s="1">
        <f t="shared" si="1417"/>
        <v>207</v>
      </c>
    </row>
    <row r="1109" spans="1:22" x14ac:dyDescent="0.3">
      <c r="A1109" s="1">
        <f t="shared" si="1500"/>
        <v>26208</v>
      </c>
      <c r="B1109" s="96" t="s">
        <v>17</v>
      </c>
      <c r="C1109" s="97"/>
      <c r="D1109" s="116">
        <v>46170</v>
      </c>
      <c r="E1109" s="117"/>
      <c r="F1109" s="117"/>
      <c r="G1109" s="117"/>
      <c r="H1109" s="118"/>
      <c r="K1109" s="1">
        <v>3</v>
      </c>
      <c r="L1109" s="1">
        <v>3</v>
      </c>
      <c r="Q1109" s="26"/>
      <c r="R1109" s="26"/>
      <c r="S1109" s="26"/>
      <c r="T1109" s="9"/>
      <c r="U1109" s="1">
        <f t="shared" si="1416"/>
        <v>26</v>
      </c>
      <c r="V1109" s="1">
        <f t="shared" si="1417"/>
        <v>208</v>
      </c>
    </row>
    <row r="1110" spans="1:22" x14ac:dyDescent="0.3">
      <c r="A1110" s="1">
        <f t="shared" si="1500"/>
        <v>26209</v>
      </c>
      <c r="B1110" s="77" t="s">
        <v>19</v>
      </c>
      <c r="C1110" s="78"/>
      <c r="D1110" s="17">
        <v>0.01</v>
      </c>
      <c r="E1110" s="79" t="s">
        <v>40</v>
      </c>
      <c r="F1110" s="80"/>
      <c r="G1110" s="81"/>
      <c r="H1110" s="18" t="s">
        <v>72</v>
      </c>
      <c r="J1110" s="24" t="str">
        <f t="shared" ref="J1110" si="1538">CONCATENATE(K1109,1)</f>
        <v>31</v>
      </c>
      <c r="K1110" s="6">
        <f t="array" ref="K1110:L1112">LINEST(B1118:B1120,C1118:C1120^{1},TRUE,TRUE)</f>
        <v>1.0004668367567677</v>
      </c>
      <c r="L1110" s="6">
        <v>0.39496139416196741</v>
      </c>
      <c r="Q1110" s="9"/>
      <c r="R1110" s="9"/>
      <c r="S1110" s="9"/>
      <c r="T1110" s="9"/>
      <c r="U1110" s="1">
        <f t="shared" si="1416"/>
        <v>26</v>
      </c>
      <c r="V1110" s="1">
        <f t="shared" si="1417"/>
        <v>209</v>
      </c>
    </row>
    <row r="1111" spans="1:22" x14ac:dyDescent="0.3">
      <c r="A1111" s="1">
        <f t="shared" si="1500"/>
        <v>26210</v>
      </c>
      <c r="B1111" s="77" t="s">
        <v>41</v>
      </c>
      <c r="C1111" s="78"/>
      <c r="D1111" s="23">
        <f t="shared" ref="D1111" si="1539">MIN(B1118:B1127)</f>
        <v>5.01</v>
      </c>
      <c r="E1111" s="20" t="s">
        <v>18</v>
      </c>
      <c r="F1111" s="19">
        <f t="shared" ref="F1111" si="1540">MAX(B1118:B1127)</f>
        <v>97.96</v>
      </c>
      <c r="G1111" s="21" t="str">
        <f t="shared" ref="G1111" si="1541">IF(H1110="","",H1110)</f>
        <v>%ur</v>
      </c>
      <c r="H1111" s="22"/>
      <c r="J1111" s="24" t="str">
        <f t="shared" ref="J1111" si="1542">CONCATENATE(K1109,2)</f>
        <v>32</v>
      </c>
      <c r="K1111" s="6">
        <v>8.0357701852104418E-3</v>
      </c>
      <c r="L1111" s="6">
        <v>0.16603141916539574</v>
      </c>
      <c r="Q1111" s="9"/>
      <c r="R1111" s="9"/>
      <c r="S1111" s="9"/>
      <c r="T1111" s="9"/>
      <c r="U1111" s="1">
        <f t="shared" si="1416"/>
        <v>26</v>
      </c>
      <c r="V1111" s="1">
        <f t="shared" si="1417"/>
        <v>210</v>
      </c>
    </row>
    <row r="1112" spans="1:22" x14ac:dyDescent="0.3">
      <c r="A1112" s="1">
        <f t="shared" si="1500"/>
        <v>26211</v>
      </c>
      <c r="J1112" s="24" t="str">
        <f t="shared" ref="J1112" si="1543">CONCATENATE(K1109,3)</f>
        <v>33</v>
      </c>
      <c r="K1112" s="6">
        <v>0.99993549080770461</v>
      </c>
      <c r="L1112" s="6">
        <v>0.1428209501658273</v>
      </c>
      <c r="Q1112" s="9"/>
      <c r="R1112" s="9"/>
      <c r="S1112" s="9"/>
      <c r="T1112" s="9"/>
      <c r="U1112" s="1">
        <f t="shared" si="1416"/>
        <v>26</v>
      </c>
      <c r="V1112" s="1">
        <f t="shared" si="1417"/>
        <v>211</v>
      </c>
    </row>
    <row r="1113" spans="1:22" x14ac:dyDescent="0.3">
      <c r="A1113" s="1">
        <f t="shared" si="1500"/>
        <v>26212</v>
      </c>
      <c r="B1113" s="82" t="s">
        <v>20</v>
      </c>
      <c r="C1113" s="83"/>
      <c r="D1113" s="83"/>
      <c r="E1113" s="83"/>
      <c r="F1113" s="84"/>
      <c r="G1113" s="85" t="s">
        <v>31</v>
      </c>
      <c r="H1113" s="86"/>
      <c r="K1113" s="1">
        <v>4</v>
      </c>
      <c r="L1113" s="1">
        <v>4</v>
      </c>
      <c r="M1113" s="1">
        <v>4</v>
      </c>
      <c r="Q1113" s="9"/>
      <c r="R1113" s="9"/>
      <c r="S1113" s="9"/>
      <c r="T1113" s="9"/>
      <c r="U1113" s="1">
        <f t="shared" si="1416"/>
        <v>26</v>
      </c>
      <c r="V1113" s="1">
        <f t="shared" si="1417"/>
        <v>212</v>
      </c>
    </row>
    <row r="1114" spans="1:22" x14ac:dyDescent="0.3">
      <c r="A1114" s="1">
        <f t="shared" si="1500"/>
        <v>26213</v>
      </c>
      <c r="B1114" s="82" t="s">
        <v>30</v>
      </c>
      <c r="C1114" s="83"/>
      <c r="D1114" s="84"/>
      <c r="E1114" s="82" t="str">
        <f t="shared" ref="E1114" si="1544">D1107</f>
        <v>E0840/25</v>
      </c>
      <c r="F1114" s="84"/>
      <c r="G1114" s="6" t="s">
        <v>32</v>
      </c>
      <c r="H1114" s="7" t="s">
        <v>321</v>
      </c>
      <c r="J1114" s="24" t="str">
        <f t="shared" ref="J1114" si="1545">CONCATENATE(K1113,1)</f>
        <v>41</v>
      </c>
      <c r="K1114" s="6">
        <f t="array" ref="K1114:M1116">LINEST(B1118:B1121,C1118:C1121^{1,2},TRUE,TRUE)</f>
        <v>-1.0015450784666084E-3</v>
      </c>
      <c r="L1114" s="6">
        <v>1.0343338694512825</v>
      </c>
      <c r="M1114" s="6">
        <v>0.21596945401694079</v>
      </c>
      <c r="Q1114" s="9"/>
      <c r="R1114" s="9"/>
      <c r="S1114" s="9"/>
      <c r="T1114" s="9"/>
      <c r="U1114" s="1">
        <f t="shared" si="1416"/>
        <v>26</v>
      </c>
      <c r="V1114" s="1">
        <f t="shared" si="1417"/>
        <v>213</v>
      </c>
    </row>
    <row r="1115" spans="1:22" x14ac:dyDescent="0.3">
      <c r="A1115" s="1">
        <f t="shared" si="1500"/>
        <v>26214</v>
      </c>
      <c r="B1115" s="2" t="s">
        <v>21</v>
      </c>
      <c r="C1115" s="2" t="s">
        <v>22</v>
      </c>
      <c r="D1115" s="2" t="s">
        <v>23</v>
      </c>
      <c r="E1115" s="2"/>
      <c r="F1115" s="2" t="s">
        <v>28</v>
      </c>
      <c r="G1115" s="2" t="s">
        <v>21</v>
      </c>
      <c r="H1115" s="2" t="s">
        <v>22</v>
      </c>
      <c r="J1115" s="24" t="str">
        <f t="shared" ref="J1115" si="1546">CONCATENATE(K1113,2)</f>
        <v>42</v>
      </c>
      <c r="K1115" s="6">
        <v>4.2495040496677449E-5</v>
      </c>
      <c r="L1115" s="6">
        <v>2.4754634870589949E-3</v>
      </c>
      <c r="M1115" s="6">
        <v>2.9127881252881349E-2</v>
      </c>
      <c r="Q1115" s="9"/>
      <c r="R1115" s="9"/>
      <c r="S1115" s="9"/>
      <c r="T1115" s="9"/>
      <c r="U1115" s="1">
        <f t="shared" ref="U1115:U1178" si="1547">U1114</f>
        <v>26</v>
      </c>
      <c r="V1115" s="1">
        <f t="shared" ref="V1115:V1178" si="1548">V1114+1</f>
        <v>214</v>
      </c>
    </row>
    <row r="1116" spans="1:22" x14ac:dyDescent="0.3">
      <c r="A1116" s="1">
        <f t="shared" si="1500"/>
        <v>26215</v>
      </c>
      <c r="B1116" s="2" t="s">
        <v>24</v>
      </c>
      <c r="C1116" s="2" t="s">
        <v>25</v>
      </c>
      <c r="D1116" s="2" t="s">
        <v>26</v>
      </c>
      <c r="E1116" s="2" t="s">
        <v>27</v>
      </c>
      <c r="F1116" s="2" t="s">
        <v>29</v>
      </c>
      <c r="G1116" s="2" t="s">
        <v>24</v>
      </c>
      <c r="H1116" s="2" t="s">
        <v>25</v>
      </c>
      <c r="J1116" s="24" t="str">
        <f t="shared" ref="J1116" si="1549">CONCATENATE(K1113,3)</f>
        <v>43</v>
      </c>
      <c r="K1116" s="6">
        <v>0.99999958839873015</v>
      </c>
      <c r="L1116" s="6">
        <v>2.0972296978325922E-2</v>
      </c>
      <c r="M1116" s="6" t="e">
        <v>#N/A</v>
      </c>
      <c r="Q1116" s="9"/>
      <c r="R1116" s="9"/>
      <c r="S1116" s="9"/>
      <c r="T1116" s="9"/>
      <c r="U1116" s="1">
        <f t="shared" si="1547"/>
        <v>26</v>
      </c>
      <c r="V1116" s="1">
        <f t="shared" si="1548"/>
        <v>215</v>
      </c>
    </row>
    <row r="1117" spans="1:22" x14ac:dyDescent="0.3">
      <c r="A1117" s="1">
        <f t="shared" si="1500"/>
        <v>26216</v>
      </c>
      <c r="B1117" s="3" t="str">
        <f t="shared" ref="B1117" si="1550">H1110</f>
        <v>%ur</v>
      </c>
      <c r="C1117" s="3" t="str">
        <f t="shared" ref="C1117:D1117" si="1551">B1117</f>
        <v>%ur</v>
      </c>
      <c r="D1117" s="3" t="str">
        <f t="shared" si="1551"/>
        <v>%ur</v>
      </c>
      <c r="E1117" s="3"/>
      <c r="F1117" s="3"/>
      <c r="G1117" s="3" t="str">
        <f t="shared" ref="G1117" si="1552">D1117</f>
        <v>%ur</v>
      </c>
      <c r="H1117" s="3" t="str">
        <f t="shared" ref="H1117" si="1553">G1117</f>
        <v>%ur</v>
      </c>
      <c r="K1117" s="1">
        <v>5</v>
      </c>
      <c r="L1117" s="1">
        <v>5</v>
      </c>
      <c r="M1117" s="1">
        <v>5</v>
      </c>
      <c r="N1117" s="1">
        <v>5</v>
      </c>
      <c r="Q1117" s="9"/>
      <c r="R1117" s="9"/>
      <c r="S1117" s="9"/>
      <c r="T1117" s="9"/>
      <c r="U1117" s="1">
        <f t="shared" si="1547"/>
        <v>26</v>
      </c>
      <c r="V1117" s="1">
        <f t="shared" si="1548"/>
        <v>216</v>
      </c>
    </row>
    <row r="1118" spans="1:22" x14ac:dyDescent="0.3">
      <c r="A1118" s="1">
        <f t="shared" si="1500"/>
        <v>26217</v>
      </c>
      <c r="B1118" s="4">
        <v>5.01</v>
      </c>
      <c r="C1118" s="41">
        <v>4.66</v>
      </c>
      <c r="D1118" s="4">
        <v>0.25</v>
      </c>
      <c r="E1118" s="4">
        <v>2.0299999999999998</v>
      </c>
      <c r="F1118" s="14">
        <v>87</v>
      </c>
      <c r="G1118" s="42">
        <v>5</v>
      </c>
      <c r="H1118" s="7">
        <v>4.5999999999999996</v>
      </c>
      <c r="J1118" s="24" t="str">
        <f t="shared" ref="J1118" si="1554">CONCATENATE(K1117,1)</f>
        <v>51</v>
      </c>
      <c r="K1118" s="6">
        <f t="array" ref="K1118:N1120">LINEST(B1118:B1122,C1118:C1122^{1,2,3},TRUE,TRUE)</f>
        <v>2.1499993946645928E-5</v>
      </c>
      <c r="L1118" s="6">
        <v>-2.7269577420749968E-3</v>
      </c>
      <c r="M1118" s="6">
        <v>1.0696434755274125</v>
      </c>
      <c r="N1118" s="6">
        <v>7.4669275764344789E-2</v>
      </c>
      <c r="Q1118" s="9"/>
      <c r="R1118" s="9"/>
      <c r="S1118" s="9"/>
      <c r="T1118" s="9"/>
      <c r="U1118" s="1">
        <f t="shared" si="1547"/>
        <v>26</v>
      </c>
      <c r="V1118" s="1">
        <f t="shared" si="1548"/>
        <v>217</v>
      </c>
    </row>
    <row r="1119" spans="1:22" x14ac:dyDescent="0.3">
      <c r="A1119" s="1">
        <f t="shared" si="1500"/>
        <v>26218</v>
      </c>
      <c r="B1119" s="4">
        <v>20.010000000000002</v>
      </c>
      <c r="C1119" s="41">
        <v>19.489999999999998</v>
      </c>
      <c r="D1119" s="4">
        <v>0.27</v>
      </c>
      <c r="E1119" s="4">
        <v>2.04</v>
      </c>
      <c r="F1119" s="14">
        <v>65</v>
      </c>
      <c r="G1119" s="42">
        <v>20</v>
      </c>
      <c r="H1119" s="7">
        <v>19.510000000000002</v>
      </c>
      <c r="J1119" s="24" t="str">
        <f t="shared" ref="J1119" si="1555">CONCATENATE(K1117,2)</f>
        <v>52</v>
      </c>
      <c r="K1119" s="6">
        <v>2.2306304466341553E-6</v>
      </c>
      <c r="L1119" s="6">
        <v>2.8253733347752378E-4</v>
      </c>
      <c r="M1119" s="6">
        <v>9.5470410409910552E-3</v>
      </c>
      <c r="N1119" s="6">
        <v>8.3060180716569967E-2</v>
      </c>
      <c r="T1119" s="9"/>
      <c r="U1119" s="1">
        <f t="shared" si="1547"/>
        <v>26</v>
      </c>
      <c r="V1119" s="1">
        <f t="shared" si="1548"/>
        <v>218</v>
      </c>
    </row>
    <row r="1120" spans="1:22" x14ac:dyDescent="0.3">
      <c r="A1120" s="1">
        <f t="shared" si="1500"/>
        <v>26219</v>
      </c>
      <c r="B1120" s="4">
        <v>29.99</v>
      </c>
      <c r="C1120" s="41">
        <v>29.65</v>
      </c>
      <c r="D1120" s="4">
        <v>0.35</v>
      </c>
      <c r="E1120" s="4">
        <v>2.04</v>
      </c>
      <c r="F1120" s="14">
        <v>67</v>
      </c>
      <c r="G1120" s="42">
        <v>29.98</v>
      </c>
      <c r="H1120" s="7">
        <v>29.73</v>
      </c>
      <c r="J1120" s="24" t="str">
        <f t="shared" ref="J1120" si="1556">CONCATENATE(K1117,3)</f>
        <v>53</v>
      </c>
      <c r="K1120" s="6">
        <v>0.99999916276464595</v>
      </c>
      <c r="L1120" s="6">
        <v>5.3198591994407352E-2</v>
      </c>
      <c r="M1120" s="6" t="e">
        <v>#N/A</v>
      </c>
      <c r="N1120" s="6" t="e">
        <v>#N/A</v>
      </c>
      <c r="T1120" s="9"/>
      <c r="U1120" s="1">
        <f t="shared" si="1547"/>
        <v>26</v>
      </c>
      <c r="V1120" s="1">
        <f t="shared" si="1548"/>
        <v>219</v>
      </c>
    </row>
    <row r="1121" spans="1:22" x14ac:dyDescent="0.3">
      <c r="A1121" s="1">
        <f t="shared" si="1500"/>
        <v>26220</v>
      </c>
      <c r="B1121" s="4">
        <v>50.01</v>
      </c>
      <c r="C1121" s="41">
        <v>50.62</v>
      </c>
      <c r="D1121" s="4">
        <v>0.55000000000000004</v>
      </c>
      <c r="E1121" s="4">
        <v>2.04</v>
      </c>
      <c r="F1121" s="14">
        <v>67</v>
      </c>
      <c r="G1121" s="42">
        <v>50</v>
      </c>
      <c r="H1121" s="7">
        <v>50.55</v>
      </c>
      <c r="K1121" s="1">
        <v>6</v>
      </c>
      <c r="L1121" s="1">
        <v>6</v>
      </c>
      <c r="M1121" s="1">
        <v>6</v>
      </c>
      <c r="N1121" s="1">
        <v>6</v>
      </c>
      <c r="O1121" s="1">
        <v>6</v>
      </c>
      <c r="T1121" s="9"/>
      <c r="U1121" s="1">
        <f t="shared" si="1547"/>
        <v>26</v>
      </c>
      <c r="V1121" s="1">
        <f t="shared" si="1548"/>
        <v>220</v>
      </c>
    </row>
    <row r="1122" spans="1:22" x14ac:dyDescent="0.3">
      <c r="A1122" s="1">
        <f t="shared" si="1500"/>
        <v>26221</v>
      </c>
      <c r="B1122" s="4">
        <v>80.010000000000005</v>
      </c>
      <c r="C1122" s="41">
        <v>80.77</v>
      </c>
      <c r="D1122" s="4">
        <v>0.83</v>
      </c>
      <c r="E1122" s="4">
        <v>2.04</v>
      </c>
      <c r="F1122" s="14">
        <v>68</v>
      </c>
      <c r="G1122" s="42">
        <v>79.989999999999995</v>
      </c>
      <c r="H1122" s="7">
        <v>81.040000000000006</v>
      </c>
      <c r="J1122" s="24" t="str">
        <f t="shared" ref="J1122" si="1557">CONCATENATE(K1121,1)</f>
        <v>61</v>
      </c>
      <c r="K1122" s="6">
        <f t="array" ref="K1122:O1124">LINEST(B1118:B1123,C1118:C1123^{1,2,3,4},TRUE,TRUE)</f>
        <v>-3.0270776959875996E-7</v>
      </c>
      <c r="L1122" s="6">
        <v>6.9167912028383517E-5</v>
      </c>
      <c r="M1122" s="6">
        <v>-5.0551921638026416E-3</v>
      </c>
      <c r="N1122" s="6">
        <v>1.1077867663523504</v>
      </c>
      <c r="O1122" s="6">
        <v>-6.1886035163623454E-2</v>
      </c>
      <c r="T1122" s="9"/>
      <c r="U1122" s="1">
        <f t="shared" si="1547"/>
        <v>26</v>
      </c>
      <c r="V1122" s="1">
        <f t="shared" si="1548"/>
        <v>221</v>
      </c>
    </row>
    <row r="1123" spans="1:22" x14ac:dyDescent="0.3">
      <c r="A1123" s="1">
        <f t="shared" si="1500"/>
        <v>26222</v>
      </c>
      <c r="B1123" s="4">
        <v>97.96</v>
      </c>
      <c r="C1123" s="4">
        <v>98.86</v>
      </c>
      <c r="D1123" s="4">
        <v>0.99</v>
      </c>
      <c r="E1123" s="4">
        <v>2.04</v>
      </c>
      <c r="F1123" s="14">
        <v>68</v>
      </c>
      <c r="G1123" s="42">
        <v>98</v>
      </c>
      <c r="H1123" s="42">
        <v>98.9</v>
      </c>
      <c r="J1123" s="24" t="str">
        <f t="shared" ref="J1123" si="1558">CONCATENATE(K1121,2)</f>
        <v>62</v>
      </c>
      <c r="K1123" s="6">
        <v>8.9882546801264454E-8</v>
      </c>
      <c r="L1123" s="6">
        <v>1.8620604348060085E-5</v>
      </c>
      <c r="M1123" s="6">
        <v>1.2506150079099475E-3</v>
      </c>
      <c r="N1123" s="6">
        <v>2.9859304681732497E-2</v>
      </c>
      <c r="O1123" s="6">
        <v>0.19949146367462869</v>
      </c>
      <c r="T1123" s="9"/>
      <c r="U1123" s="1">
        <f t="shared" si="1547"/>
        <v>26</v>
      </c>
      <c r="V1123" s="1">
        <f t="shared" si="1548"/>
        <v>222</v>
      </c>
    </row>
    <row r="1124" spans="1:22" x14ac:dyDescent="0.3">
      <c r="A1124" s="1">
        <f t="shared" si="1500"/>
        <v>26223</v>
      </c>
      <c r="B1124" s="4"/>
      <c r="C1124" s="4"/>
      <c r="D1124" s="4"/>
      <c r="E1124" s="4"/>
      <c r="F1124" s="14"/>
      <c r="G1124" s="8"/>
      <c r="H1124" s="7"/>
      <c r="J1124" s="24" t="str">
        <f t="shared" ref="J1124" si="1559">CONCATENATE(K1121,3)</f>
        <v>63</v>
      </c>
      <c r="K1124" s="6">
        <v>0.99999805257987229</v>
      </c>
      <c r="L1124" s="6">
        <v>0.11230470683599547</v>
      </c>
      <c r="M1124" s="6" t="e">
        <v>#N/A</v>
      </c>
      <c r="N1124" s="6" t="e">
        <v>#N/A</v>
      </c>
      <c r="O1124" s="6" t="e">
        <v>#N/A</v>
      </c>
      <c r="T1124" s="9"/>
      <c r="U1124" s="1">
        <f t="shared" si="1547"/>
        <v>26</v>
      </c>
      <c r="V1124" s="1">
        <f t="shared" si="1548"/>
        <v>223</v>
      </c>
    </row>
    <row r="1125" spans="1:22" x14ac:dyDescent="0.3">
      <c r="A1125" s="1">
        <f t="shared" si="1500"/>
        <v>26224</v>
      </c>
      <c r="B1125" s="4"/>
      <c r="C1125" s="4"/>
      <c r="D1125" s="4"/>
      <c r="E1125" s="4"/>
      <c r="F1125" s="14"/>
      <c r="G1125" s="8"/>
      <c r="H1125" s="7"/>
      <c r="K1125" s="1">
        <v>7</v>
      </c>
      <c r="L1125" s="1">
        <v>7</v>
      </c>
      <c r="M1125" s="1">
        <v>7</v>
      </c>
      <c r="N1125" s="1">
        <v>7</v>
      </c>
      <c r="O1125" s="1">
        <v>7</v>
      </c>
      <c r="P1125" s="1">
        <v>7</v>
      </c>
      <c r="T1125" s="9"/>
      <c r="U1125" s="1">
        <f t="shared" si="1547"/>
        <v>26</v>
      </c>
      <c r="V1125" s="1">
        <f t="shared" si="1548"/>
        <v>224</v>
      </c>
    </row>
    <row r="1126" spans="1:22" x14ac:dyDescent="0.3">
      <c r="A1126" s="1">
        <f t="shared" si="1500"/>
        <v>26225</v>
      </c>
      <c r="B1126" s="4"/>
      <c r="C1126" s="4"/>
      <c r="D1126" s="4"/>
      <c r="E1126" s="4"/>
      <c r="F1126" s="14"/>
      <c r="G1126" s="8"/>
      <c r="H1126" s="7"/>
      <c r="J1126" s="24" t="str">
        <f t="shared" ref="J1126" si="1560">CONCATENATE(K1125,1)</f>
        <v>71</v>
      </c>
      <c r="K1126" s="6" t="e">
        <f t="array" ref="K1126:P1128">LINEST(B1118:B1124,C1118:C1124^{1,2,3,4,5},TRUE,TRUE)</f>
        <v>#VALUE!</v>
      </c>
      <c r="L1126" s="6" t="e">
        <v>#VALUE!</v>
      </c>
      <c r="M1126" s="6" t="e">
        <v>#VALUE!</v>
      </c>
      <c r="N1126" s="6" t="e">
        <v>#VALUE!</v>
      </c>
      <c r="O1126" s="6" t="e">
        <v>#VALUE!</v>
      </c>
      <c r="P1126" s="6" t="e">
        <v>#VALUE!</v>
      </c>
      <c r="T1126" s="9"/>
      <c r="U1126" s="1">
        <f t="shared" si="1547"/>
        <v>26</v>
      </c>
      <c r="V1126" s="1">
        <f t="shared" si="1548"/>
        <v>225</v>
      </c>
    </row>
    <row r="1127" spans="1:22" x14ac:dyDescent="0.3">
      <c r="A1127" s="1">
        <f t="shared" si="1500"/>
        <v>26226</v>
      </c>
      <c r="B1127" s="4"/>
      <c r="C1127" s="4"/>
      <c r="D1127" s="4"/>
      <c r="E1127" s="4"/>
      <c r="F1127" s="14"/>
      <c r="G1127" s="8"/>
      <c r="H1127" s="7"/>
      <c r="J1127" s="24" t="str">
        <f t="shared" ref="J1127" si="1561">CONCATENATE(K1125,2)</f>
        <v>72</v>
      </c>
      <c r="K1127" s="6" t="e">
        <v>#VALUE!</v>
      </c>
      <c r="L1127" s="6" t="e">
        <v>#VALUE!</v>
      </c>
      <c r="M1127" s="6" t="e">
        <v>#VALUE!</v>
      </c>
      <c r="N1127" s="6" t="e">
        <v>#VALUE!</v>
      </c>
      <c r="O1127" s="6" t="e">
        <v>#VALUE!</v>
      </c>
      <c r="P1127" s="6" t="e">
        <v>#VALUE!</v>
      </c>
      <c r="T1127" s="9"/>
      <c r="U1127" s="1">
        <f t="shared" si="1547"/>
        <v>26</v>
      </c>
      <c r="V1127" s="1">
        <f t="shared" si="1548"/>
        <v>226</v>
      </c>
    </row>
    <row r="1128" spans="1:22" x14ac:dyDescent="0.3">
      <c r="A1128" s="1">
        <f t="shared" si="1500"/>
        <v>26227</v>
      </c>
      <c r="B1128" s="9"/>
      <c r="C1128" s="9"/>
      <c r="D1128" s="9"/>
      <c r="E1128" s="9"/>
      <c r="F1128" s="9"/>
      <c r="G1128" s="9"/>
      <c r="H1128" s="9"/>
      <c r="J1128" s="24" t="str">
        <f t="shared" ref="J1128" si="1562">CONCATENATE(K1125,3)</f>
        <v>73</v>
      </c>
      <c r="K1128" s="6" t="e">
        <v>#VALUE!</v>
      </c>
      <c r="L1128" s="6" t="e">
        <v>#VALUE!</v>
      </c>
      <c r="M1128" s="6" t="e">
        <v>#VALUE!</v>
      </c>
      <c r="N1128" s="6" t="e">
        <v>#VALUE!</v>
      </c>
      <c r="O1128" s="6" t="e">
        <v>#VALUE!</v>
      </c>
      <c r="P1128" s="6" t="e">
        <v>#VALUE!</v>
      </c>
      <c r="T1128" s="9"/>
      <c r="U1128" s="1">
        <f t="shared" si="1547"/>
        <v>26</v>
      </c>
      <c r="V1128" s="1">
        <f t="shared" si="1548"/>
        <v>227</v>
      </c>
    </row>
    <row r="1129" spans="1:22" x14ac:dyDescent="0.3">
      <c r="A1129" s="1">
        <f t="shared" si="1500"/>
        <v>26228</v>
      </c>
      <c r="B1129" s="87" t="s">
        <v>33</v>
      </c>
      <c r="C1129" s="88"/>
      <c r="D1129" s="88"/>
      <c r="E1129" s="88"/>
      <c r="F1129" s="88"/>
      <c r="G1129" s="88"/>
      <c r="H1129" s="89"/>
      <c r="K1129" s="1">
        <v>8</v>
      </c>
      <c r="L1129" s="1">
        <v>8</v>
      </c>
      <c r="M1129" s="1">
        <v>8</v>
      </c>
      <c r="N1129" s="1">
        <v>8</v>
      </c>
      <c r="O1129" s="1">
        <v>8</v>
      </c>
      <c r="P1129" s="1">
        <v>8</v>
      </c>
      <c r="Q1129" s="1">
        <v>8</v>
      </c>
      <c r="T1129" s="9"/>
      <c r="U1129" s="1">
        <f t="shared" si="1547"/>
        <v>26</v>
      </c>
      <c r="V1129" s="1">
        <f t="shared" si="1548"/>
        <v>228</v>
      </c>
    </row>
    <row r="1130" spans="1:22" x14ac:dyDescent="0.3">
      <c r="A1130" s="1">
        <f t="shared" si="1500"/>
        <v>26229</v>
      </c>
      <c r="B1130" s="119"/>
      <c r="C1130" s="91"/>
      <c r="D1130" s="91"/>
      <c r="E1130" s="91"/>
      <c r="F1130" s="91"/>
      <c r="G1130" s="91"/>
      <c r="H1130" s="92"/>
      <c r="J1130" s="24" t="str">
        <f t="shared" ref="J1130" si="1563">CONCATENATE(K1129,1)</f>
        <v>81</v>
      </c>
      <c r="K1130" s="6" t="e">
        <f t="array" ref="K1130:Q1132">LINEST(B1118:B1125,C1118:C1125^{1,2,3,4,5,6},TRUE,TRUE)</f>
        <v>#VALUE!</v>
      </c>
      <c r="L1130" s="6" t="e">
        <v>#VALUE!</v>
      </c>
      <c r="M1130" s="6" t="e">
        <v>#VALUE!</v>
      </c>
      <c r="N1130" s="6" t="e">
        <v>#VALUE!</v>
      </c>
      <c r="O1130" s="6" t="e">
        <v>#VALUE!</v>
      </c>
      <c r="P1130" s="6" t="e">
        <v>#VALUE!</v>
      </c>
      <c r="Q1130" s="6" t="e">
        <v>#VALUE!</v>
      </c>
      <c r="T1130" s="9"/>
      <c r="U1130" s="1">
        <f t="shared" si="1547"/>
        <v>26</v>
      </c>
      <c r="V1130" s="1">
        <f t="shared" si="1548"/>
        <v>229</v>
      </c>
    </row>
    <row r="1131" spans="1:22" x14ac:dyDescent="0.3">
      <c r="A1131" s="1">
        <f t="shared" si="1500"/>
        <v>26230</v>
      </c>
      <c r="B1131" s="93"/>
      <c r="C1131" s="94"/>
      <c r="D1131" s="94"/>
      <c r="E1131" s="94"/>
      <c r="F1131" s="94"/>
      <c r="G1131" s="94"/>
      <c r="H1131" s="95"/>
      <c r="J1131" s="24" t="str">
        <f t="shared" ref="J1131" si="1564">CONCATENATE(K1129,2)</f>
        <v>82</v>
      </c>
      <c r="K1131" s="6" t="e">
        <v>#VALUE!</v>
      </c>
      <c r="L1131" s="6" t="e">
        <v>#VALUE!</v>
      </c>
      <c r="M1131" s="6" t="e">
        <v>#VALUE!</v>
      </c>
      <c r="N1131" s="6" t="e">
        <v>#VALUE!</v>
      </c>
      <c r="O1131" s="6" t="e">
        <v>#VALUE!</v>
      </c>
      <c r="P1131" s="6" t="e">
        <v>#VALUE!</v>
      </c>
      <c r="Q1131" s="6" t="e">
        <v>#VALUE!</v>
      </c>
      <c r="T1131" s="9"/>
      <c r="U1131" s="1">
        <f t="shared" si="1547"/>
        <v>26</v>
      </c>
      <c r="V1131" s="1">
        <f t="shared" si="1548"/>
        <v>230</v>
      </c>
    </row>
    <row r="1132" spans="1:22" x14ac:dyDescent="0.3">
      <c r="A1132" s="1">
        <f t="shared" si="1500"/>
        <v>26231</v>
      </c>
      <c r="J1132" s="24" t="str">
        <f t="shared" ref="J1132" si="1565">CONCATENATE(K1129,3)</f>
        <v>83</v>
      </c>
      <c r="K1132" s="6" t="e">
        <v>#VALUE!</v>
      </c>
      <c r="L1132" s="6" t="e">
        <v>#VALUE!</v>
      </c>
      <c r="M1132" s="6" t="e">
        <v>#VALUE!</v>
      </c>
      <c r="N1132" s="6" t="e">
        <v>#VALUE!</v>
      </c>
      <c r="O1132" s="6" t="e">
        <v>#VALUE!</v>
      </c>
      <c r="P1132" s="6" t="e">
        <v>#VALUE!</v>
      </c>
      <c r="Q1132" s="6" t="e">
        <v>#VALUE!</v>
      </c>
      <c r="T1132" s="9"/>
      <c r="U1132" s="1">
        <f t="shared" si="1547"/>
        <v>26</v>
      </c>
      <c r="V1132" s="1">
        <f t="shared" si="1548"/>
        <v>231</v>
      </c>
    </row>
    <row r="1133" spans="1:22" ht="15" customHeight="1" x14ac:dyDescent="0.3">
      <c r="A1133" s="1">
        <f t="shared" si="1500"/>
        <v>26232</v>
      </c>
      <c r="B1133" s="10" t="s">
        <v>34</v>
      </c>
      <c r="C1133" s="10" t="s">
        <v>35</v>
      </c>
      <c r="D1133" s="10" t="s">
        <v>36</v>
      </c>
      <c r="E1133" s="74" t="s">
        <v>37</v>
      </c>
      <c r="F1133" s="75"/>
      <c r="G1133" s="76"/>
      <c r="K1133" s="1">
        <v>9</v>
      </c>
      <c r="L1133" s="1">
        <v>9</v>
      </c>
      <c r="M1133" s="1">
        <v>9</v>
      </c>
      <c r="N1133" s="1">
        <v>9</v>
      </c>
      <c r="O1133" s="1">
        <v>9</v>
      </c>
      <c r="P1133" s="1">
        <v>9</v>
      </c>
      <c r="Q1133" s="1">
        <v>9</v>
      </c>
      <c r="R1133" s="1">
        <v>9</v>
      </c>
      <c r="T1133" s="9"/>
      <c r="U1133" s="1">
        <f t="shared" si="1547"/>
        <v>26</v>
      </c>
      <c r="V1133" s="1">
        <f t="shared" si="1548"/>
        <v>232</v>
      </c>
    </row>
    <row r="1134" spans="1:22" x14ac:dyDescent="0.3">
      <c r="A1134" s="1">
        <f t="shared" si="1500"/>
        <v>26233</v>
      </c>
      <c r="B1134" s="12">
        <f t="shared" ref="B1134:B1143" si="1566">C1118-B1118</f>
        <v>-0.34999999999999964</v>
      </c>
      <c r="C1134" s="13">
        <f t="shared" ref="C1134:C1143" si="1567">H1118-G1118</f>
        <v>-0.40000000000000036</v>
      </c>
      <c r="D1134" s="10">
        <f t="shared" ref="D1134:D1143" si="1568">C1134-B1134</f>
        <v>-5.0000000000000711E-2</v>
      </c>
      <c r="E1134" s="11">
        <f t="shared" ref="E1134:E1136" si="1569">IF(D1107="","",MAX(F1134,G1134))</f>
        <v>0.29000000000002046</v>
      </c>
      <c r="F1134" s="10">
        <f t="shared" ref="F1134" si="1570">ABS(MIN(D1134:D1143))</f>
        <v>6.0000000000002274E-2</v>
      </c>
      <c r="G1134" s="10">
        <f t="shared" ref="G1134" si="1571">ABS(MAX(D1134:D1143))</f>
        <v>0.29000000000002046</v>
      </c>
      <c r="J1134" s="24" t="str">
        <f t="shared" ref="J1134" si="1572">CONCATENATE(K1133,1)</f>
        <v>91</v>
      </c>
      <c r="K1134" s="6" t="e">
        <f t="array" ref="K1134:R1136">LINEST(B1118:B1126,C1118:C1126^{1,2,3,4,5,6,7},TRUE,TRUE)</f>
        <v>#VALUE!</v>
      </c>
      <c r="L1134" s="6" t="e">
        <v>#VALUE!</v>
      </c>
      <c r="M1134" s="6" t="e">
        <v>#VALUE!</v>
      </c>
      <c r="N1134" s="6" t="e">
        <v>#VALUE!</v>
      </c>
      <c r="O1134" s="6" t="e">
        <v>#VALUE!</v>
      </c>
      <c r="P1134" s="6" t="e">
        <v>#VALUE!</v>
      </c>
      <c r="Q1134" s="6" t="e">
        <v>#VALUE!</v>
      </c>
      <c r="R1134" s="6" t="e">
        <v>#VALUE!</v>
      </c>
      <c r="T1134" s="9"/>
      <c r="U1134" s="1">
        <f t="shared" si="1547"/>
        <v>26</v>
      </c>
      <c r="V1134" s="1">
        <f t="shared" si="1548"/>
        <v>233</v>
      </c>
    </row>
    <row r="1135" spans="1:22" x14ac:dyDescent="0.3">
      <c r="A1135" s="1">
        <f t="shared" si="1500"/>
        <v>26234</v>
      </c>
      <c r="B1135" s="12">
        <f t="shared" si="1566"/>
        <v>-0.52000000000000313</v>
      </c>
      <c r="C1135" s="13">
        <f t="shared" si="1567"/>
        <v>-0.48999999999999844</v>
      </c>
      <c r="D1135" s="10">
        <f t="shared" si="1568"/>
        <v>3.000000000000469E-2</v>
      </c>
      <c r="E1135" s="74" t="s">
        <v>38</v>
      </c>
      <c r="F1135" s="75"/>
      <c r="G1135" s="76"/>
      <c r="J1135" s="24" t="str">
        <f t="shared" ref="J1135" si="1573">CONCATENATE(K1133,2)</f>
        <v>92</v>
      </c>
      <c r="K1135" s="6" t="e">
        <v>#VALUE!</v>
      </c>
      <c r="L1135" s="6" t="e">
        <v>#VALUE!</v>
      </c>
      <c r="M1135" s="6" t="e">
        <v>#VALUE!</v>
      </c>
      <c r="N1135" s="6" t="e">
        <v>#VALUE!</v>
      </c>
      <c r="O1135" s="6" t="e">
        <v>#VALUE!</v>
      </c>
      <c r="P1135" s="6" t="e">
        <v>#VALUE!</v>
      </c>
      <c r="Q1135" s="6" t="e">
        <v>#VALUE!</v>
      </c>
      <c r="R1135" s="6" t="e">
        <v>#VALUE!</v>
      </c>
      <c r="T1135" s="9"/>
      <c r="U1135" s="1">
        <f t="shared" si="1547"/>
        <v>26</v>
      </c>
      <c r="V1135" s="1">
        <f t="shared" si="1548"/>
        <v>234</v>
      </c>
    </row>
    <row r="1136" spans="1:22" x14ac:dyDescent="0.3">
      <c r="A1136" s="1">
        <f t="shared" si="1500"/>
        <v>26235</v>
      </c>
      <c r="B1136" s="12">
        <f t="shared" si="1566"/>
        <v>-0.33999999999999986</v>
      </c>
      <c r="C1136" s="13">
        <f t="shared" si="1567"/>
        <v>-0.25</v>
      </c>
      <c r="D1136" s="10">
        <f t="shared" si="1568"/>
        <v>8.9999999999999858E-2</v>
      </c>
      <c r="E1136" s="11">
        <f t="shared" si="1569"/>
        <v>0.90000000000000568</v>
      </c>
      <c r="F1136" s="10">
        <f t="shared" ref="F1136" si="1574">ABS(MIN(B1134:B1143))</f>
        <v>0.52000000000000313</v>
      </c>
      <c r="G1136" s="10">
        <f t="shared" ref="G1136" si="1575">ABS(MAX(B1134:B1143))</f>
        <v>0.90000000000000568</v>
      </c>
      <c r="J1136" s="24" t="str">
        <f t="shared" ref="J1136" si="1576">CONCATENATE(K1133,3)</f>
        <v>93</v>
      </c>
      <c r="K1136" s="6" t="e">
        <v>#VALUE!</v>
      </c>
      <c r="L1136" s="6" t="e">
        <v>#VALUE!</v>
      </c>
      <c r="M1136" s="6" t="e">
        <v>#VALUE!</v>
      </c>
      <c r="N1136" s="6" t="e">
        <v>#VALUE!</v>
      </c>
      <c r="O1136" s="6" t="e">
        <v>#VALUE!</v>
      </c>
      <c r="P1136" s="6" t="e">
        <v>#VALUE!</v>
      </c>
      <c r="Q1136" s="6" t="e">
        <v>#VALUE!</v>
      </c>
      <c r="R1136" s="6" t="e">
        <v>#VALUE!</v>
      </c>
      <c r="T1136" s="9"/>
      <c r="U1136" s="1">
        <f t="shared" si="1547"/>
        <v>26</v>
      </c>
      <c r="V1136" s="1">
        <f t="shared" si="1548"/>
        <v>235</v>
      </c>
    </row>
    <row r="1137" spans="1:22" x14ac:dyDescent="0.3">
      <c r="A1137" s="1">
        <f t="shared" si="1500"/>
        <v>26236</v>
      </c>
      <c r="B1137" s="12">
        <f t="shared" si="1566"/>
        <v>0.60999999999999943</v>
      </c>
      <c r="C1137" s="13">
        <f t="shared" si="1567"/>
        <v>0.54999999999999716</v>
      </c>
      <c r="D1137" s="10">
        <f t="shared" si="1568"/>
        <v>-6.0000000000002274E-2</v>
      </c>
      <c r="E1137" s="74" t="s">
        <v>39</v>
      </c>
      <c r="F1137" s="75"/>
      <c r="G1137" s="76"/>
      <c r="K1137" s="1">
        <v>10</v>
      </c>
      <c r="L1137" s="1">
        <v>10</v>
      </c>
      <c r="M1137" s="1">
        <v>10</v>
      </c>
      <c r="N1137" s="1">
        <v>10</v>
      </c>
      <c r="O1137" s="1">
        <v>10</v>
      </c>
      <c r="P1137" s="1">
        <v>10</v>
      </c>
      <c r="Q1137" s="1">
        <v>10</v>
      </c>
      <c r="R1137" s="1">
        <v>10</v>
      </c>
      <c r="S1137" s="1">
        <v>10</v>
      </c>
      <c r="T1137" s="9"/>
      <c r="U1137" s="1">
        <f t="shared" si="1547"/>
        <v>26</v>
      </c>
      <c r="V1137" s="1">
        <f t="shared" si="1548"/>
        <v>236</v>
      </c>
    </row>
    <row r="1138" spans="1:22" x14ac:dyDescent="0.3">
      <c r="A1138" s="1">
        <f t="shared" si="1500"/>
        <v>26237</v>
      </c>
      <c r="B1138" s="12">
        <f t="shared" si="1566"/>
        <v>0.75999999999999091</v>
      </c>
      <c r="C1138" s="13">
        <f t="shared" si="1567"/>
        <v>1.0500000000000114</v>
      </c>
      <c r="D1138" s="10">
        <f t="shared" si="1568"/>
        <v>0.29000000000002046</v>
      </c>
      <c r="E1138" s="11">
        <f t="shared" ref="E1138" si="1577">IF(D1109="","",MAX(F1138,G1138))</f>
        <v>0.99</v>
      </c>
      <c r="F1138" s="10">
        <f t="shared" ref="F1138" si="1578">ABS(MIN(D1118:D1127))</f>
        <v>0.25</v>
      </c>
      <c r="G1138" s="10">
        <f t="shared" ref="G1138" si="1579">ABS(MAX(D1118:D1127))</f>
        <v>0.99</v>
      </c>
      <c r="J1138" s="24" t="str">
        <f t="shared" ref="J1138" si="1580">CONCATENATE(K1137,1)</f>
        <v>101</v>
      </c>
      <c r="K1138" s="6" t="e">
        <f t="array" ref="K1138:S1140">LINEST(B1118:B1127,C1118:C1127^{1,2,3,4,5,6,7,8},TRUE,TRUE)</f>
        <v>#VALUE!</v>
      </c>
      <c r="L1138" s="6" t="e">
        <v>#VALUE!</v>
      </c>
      <c r="M1138" s="6" t="e">
        <v>#VALUE!</v>
      </c>
      <c r="N1138" s="6" t="e">
        <v>#VALUE!</v>
      </c>
      <c r="O1138" s="6" t="e">
        <v>#VALUE!</v>
      </c>
      <c r="P1138" s="6" t="e">
        <v>#VALUE!</v>
      </c>
      <c r="Q1138" s="6" t="e">
        <v>#VALUE!</v>
      </c>
      <c r="R1138" s="6" t="e">
        <v>#VALUE!</v>
      </c>
      <c r="S1138" s="6" t="e">
        <v>#VALUE!</v>
      </c>
      <c r="T1138" s="9"/>
      <c r="U1138" s="1">
        <f t="shared" si="1547"/>
        <v>26</v>
      </c>
      <c r="V1138" s="1">
        <f t="shared" si="1548"/>
        <v>237</v>
      </c>
    </row>
    <row r="1139" spans="1:22" x14ac:dyDescent="0.3">
      <c r="A1139" s="1">
        <f t="shared" si="1500"/>
        <v>26238</v>
      </c>
      <c r="B1139" s="12">
        <f t="shared" si="1566"/>
        <v>0.90000000000000568</v>
      </c>
      <c r="C1139" s="13">
        <f t="shared" si="1567"/>
        <v>0.90000000000000568</v>
      </c>
      <c r="D1139" s="10">
        <f t="shared" si="1568"/>
        <v>0</v>
      </c>
      <c r="J1139" s="24" t="str">
        <f t="shared" ref="J1139" si="1581">CONCATENATE(K1137,2)</f>
        <v>102</v>
      </c>
      <c r="K1139" s="6" t="e">
        <v>#VALUE!</v>
      </c>
      <c r="L1139" s="6" t="e">
        <v>#VALUE!</v>
      </c>
      <c r="M1139" s="6" t="e">
        <v>#VALUE!</v>
      </c>
      <c r="N1139" s="6" t="e">
        <v>#VALUE!</v>
      </c>
      <c r="O1139" s="6" t="e">
        <v>#VALUE!</v>
      </c>
      <c r="P1139" s="6" t="e">
        <v>#VALUE!</v>
      </c>
      <c r="Q1139" s="6" t="e">
        <v>#VALUE!</v>
      </c>
      <c r="R1139" s="6" t="e">
        <v>#VALUE!</v>
      </c>
      <c r="S1139" s="6" t="e">
        <v>#VALUE!</v>
      </c>
      <c r="T1139" s="9"/>
      <c r="U1139" s="1">
        <f t="shared" si="1547"/>
        <v>26</v>
      </c>
      <c r="V1139" s="1">
        <f t="shared" si="1548"/>
        <v>238</v>
      </c>
    </row>
    <row r="1140" spans="1:22" x14ac:dyDescent="0.3">
      <c r="A1140" s="1">
        <f t="shared" si="1500"/>
        <v>26239</v>
      </c>
      <c r="B1140" s="12">
        <f t="shared" si="1566"/>
        <v>0</v>
      </c>
      <c r="C1140" s="13">
        <f t="shared" si="1567"/>
        <v>0</v>
      </c>
      <c r="D1140" s="10">
        <f t="shared" si="1568"/>
        <v>0</v>
      </c>
      <c r="J1140" s="24" t="str">
        <f t="shared" ref="J1140" si="1582">CONCATENATE(K1137,3)</f>
        <v>103</v>
      </c>
      <c r="K1140" s="6" t="e">
        <v>#VALUE!</v>
      </c>
      <c r="L1140" s="6" t="e">
        <v>#VALUE!</v>
      </c>
      <c r="M1140" s="6" t="e">
        <v>#VALUE!</v>
      </c>
      <c r="N1140" s="6" t="e">
        <v>#VALUE!</v>
      </c>
      <c r="O1140" s="6" t="e">
        <v>#VALUE!</v>
      </c>
      <c r="P1140" s="6" t="e">
        <v>#VALUE!</v>
      </c>
      <c r="Q1140" s="6" t="e">
        <v>#VALUE!</v>
      </c>
      <c r="R1140" s="6" t="e">
        <v>#VALUE!</v>
      </c>
      <c r="S1140" s="6" t="e">
        <v>#VALUE!</v>
      </c>
      <c r="T1140" s="9"/>
      <c r="U1140" s="1">
        <f t="shared" si="1547"/>
        <v>26</v>
      </c>
      <c r="V1140" s="1">
        <f t="shared" si="1548"/>
        <v>239</v>
      </c>
    </row>
    <row r="1141" spans="1:22" x14ac:dyDescent="0.3">
      <c r="A1141" s="1">
        <f t="shared" si="1500"/>
        <v>26240</v>
      </c>
      <c r="B1141" s="12">
        <f t="shared" si="1566"/>
        <v>0</v>
      </c>
      <c r="C1141" s="13">
        <f t="shared" si="1567"/>
        <v>0</v>
      </c>
      <c r="D1141" s="10">
        <f t="shared" si="1568"/>
        <v>0</v>
      </c>
      <c r="J1141" s="9"/>
      <c r="K1141" s="9"/>
      <c r="L1141" s="9"/>
      <c r="M1141" s="9"/>
      <c r="N1141" s="9"/>
      <c r="O1141" s="9"/>
      <c r="P1141" s="9"/>
      <c r="Q1141" s="9"/>
      <c r="R1141" s="9"/>
      <c r="S1141" s="9"/>
      <c r="T1141" s="9"/>
      <c r="U1141" s="1">
        <f t="shared" si="1547"/>
        <v>26</v>
      </c>
      <c r="V1141" s="1">
        <f t="shared" si="1548"/>
        <v>240</v>
      </c>
    </row>
    <row r="1142" spans="1:22" x14ac:dyDescent="0.3">
      <c r="A1142" s="1">
        <f t="shared" si="1500"/>
        <v>26241</v>
      </c>
      <c r="B1142" s="12">
        <f t="shared" si="1566"/>
        <v>0</v>
      </c>
      <c r="C1142" s="13">
        <f t="shared" si="1567"/>
        <v>0</v>
      </c>
      <c r="D1142" s="10">
        <f t="shared" si="1568"/>
        <v>0</v>
      </c>
      <c r="J1142" s="9"/>
      <c r="K1142" s="9"/>
      <c r="L1142" s="9"/>
      <c r="M1142" s="9"/>
      <c r="N1142" s="9"/>
      <c r="O1142" s="9"/>
      <c r="P1142" s="9"/>
      <c r="Q1142" s="9"/>
      <c r="R1142" s="9"/>
      <c r="S1142" s="9"/>
      <c r="T1142" s="9"/>
      <c r="U1142" s="1">
        <f t="shared" si="1547"/>
        <v>26</v>
      </c>
      <c r="V1142" s="1">
        <f t="shared" si="1548"/>
        <v>241</v>
      </c>
    </row>
    <row r="1143" spans="1:22" x14ac:dyDescent="0.3">
      <c r="A1143" s="1">
        <f t="shared" si="1500"/>
        <v>26242</v>
      </c>
      <c r="B1143" s="12">
        <f t="shared" si="1566"/>
        <v>0</v>
      </c>
      <c r="C1143" s="13">
        <f t="shared" si="1567"/>
        <v>0</v>
      </c>
      <c r="D1143" s="10">
        <f t="shared" si="1568"/>
        <v>0</v>
      </c>
      <c r="J1143" s="9"/>
      <c r="K1143" s="9"/>
      <c r="L1143" s="9"/>
      <c r="M1143" s="9"/>
      <c r="N1143" s="9"/>
      <c r="O1143" s="9"/>
      <c r="P1143" s="9"/>
      <c r="Q1143" s="9"/>
      <c r="R1143" s="9"/>
      <c r="S1143" s="9"/>
      <c r="T1143" s="9"/>
      <c r="U1143" s="1">
        <f t="shared" si="1547"/>
        <v>26</v>
      </c>
      <c r="V1143" s="1">
        <f t="shared" si="1548"/>
        <v>242</v>
      </c>
    </row>
    <row r="1144" spans="1:22" x14ac:dyDescent="0.3">
      <c r="A1144" s="1">
        <f t="shared" si="1500"/>
        <v>26243</v>
      </c>
      <c r="J1144" s="9"/>
      <c r="K1144" s="9"/>
      <c r="L1144" s="9"/>
      <c r="M1144" s="9"/>
      <c r="N1144" s="9"/>
      <c r="O1144" s="9"/>
      <c r="P1144" s="9"/>
      <c r="Q1144" s="9"/>
      <c r="R1144" s="9"/>
      <c r="S1144" s="9"/>
      <c r="T1144" s="9"/>
      <c r="U1144" s="1">
        <f t="shared" si="1547"/>
        <v>26</v>
      </c>
      <c r="V1144" s="1">
        <f t="shared" si="1548"/>
        <v>243</v>
      </c>
    </row>
    <row r="1145" spans="1:22" s="5" customFormat="1" x14ac:dyDescent="0.3"/>
    <row r="1146" spans="1:22" x14ac:dyDescent="0.3">
      <c r="A1146" s="1">
        <f t="shared" ref="A1146:A1188" si="1583">ROUND(CONCATENATE(U1146,V1146),0)</f>
        <v>27201</v>
      </c>
      <c r="B1146" s="96" t="s">
        <v>0</v>
      </c>
      <c r="C1146" s="97"/>
      <c r="D1146" s="110" t="s">
        <v>46</v>
      </c>
      <c r="E1146" s="111"/>
      <c r="F1146" s="111"/>
      <c r="G1146" s="111"/>
      <c r="H1146" s="112"/>
      <c r="J1146" s="9"/>
      <c r="K1146" s="9"/>
      <c r="L1146" s="9"/>
      <c r="M1146" s="9"/>
      <c r="N1146" s="9"/>
      <c r="O1146" s="9"/>
      <c r="P1146" s="9"/>
      <c r="Q1146" s="9"/>
      <c r="R1146" s="9"/>
      <c r="S1146" s="9"/>
      <c r="T1146" s="9"/>
      <c r="U1146" s="1">
        <f t="shared" ref="U1146" si="1584">U1144+1</f>
        <v>27</v>
      </c>
      <c r="V1146" s="1">
        <v>201</v>
      </c>
    </row>
    <row r="1147" spans="1:22" x14ac:dyDescent="0.3">
      <c r="A1147" s="1">
        <f t="shared" si="1583"/>
        <v>27202</v>
      </c>
      <c r="B1147" s="96" t="s">
        <v>1</v>
      </c>
      <c r="C1147" s="97"/>
      <c r="D1147" s="15">
        <v>25</v>
      </c>
      <c r="E1147" s="16" t="s">
        <v>2</v>
      </c>
      <c r="F1147" s="107"/>
      <c r="G1147" s="108"/>
      <c r="H1147" s="109"/>
      <c r="J1147" s="9"/>
      <c r="K1147" s="9"/>
      <c r="L1147" s="9"/>
      <c r="M1147" s="9"/>
      <c r="N1147" s="9"/>
      <c r="O1147" s="9"/>
      <c r="P1147" s="9"/>
      <c r="Q1147" s="9"/>
      <c r="R1147" s="9"/>
      <c r="S1147" s="9"/>
      <c r="T1147" s="9"/>
      <c r="U1147" s="1">
        <f t="shared" ref="U1147" si="1585">U1146</f>
        <v>27</v>
      </c>
      <c r="V1147" s="1">
        <f t="shared" ref="V1147" si="1586">V1146+1</f>
        <v>202</v>
      </c>
    </row>
    <row r="1148" spans="1:22" x14ac:dyDescent="0.3">
      <c r="A1148" s="1">
        <f t="shared" si="1583"/>
        <v>27203</v>
      </c>
      <c r="B1148" s="96" t="s">
        <v>12</v>
      </c>
      <c r="C1148" s="97"/>
      <c r="D1148" s="110" t="s">
        <v>220</v>
      </c>
      <c r="E1148" s="111"/>
      <c r="F1148" s="111"/>
      <c r="G1148" s="111"/>
      <c r="H1148" s="112"/>
      <c r="K1148" s="1" t="s">
        <v>3</v>
      </c>
      <c r="L1148" s="1" t="s">
        <v>4</v>
      </c>
      <c r="M1148" s="1" t="s">
        <v>5</v>
      </c>
      <c r="N1148" s="1" t="s">
        <v>6</v>
      </c>
      <c r="O1148" s="1" t="s">
        <v>7</v>
      </c>
      <c r="P1148" s="1" t="s">
        <v>8</v>
      </c>
      <c r="Q1148" s="1" t="s">
        <v>9</v>
      </c>
      <c r="R1148" s="1" t="s">
        <v>10</v>
      </c>
      <c r="S1148" s="1" t="s">
        <v>11</v>
      </c>
      <c r="T1148" s="9"/>
      <c r="U1148" s="1">
        <f t="shared" si="1547"/>
        <v>27</v>
      </c>
      <c r="V1148" s="1">
        <f t="shared" si="1548"/>
        <v>203</v>
      </c>
    </row>
    <row r="1149" spans="1:22" x14ac:dyDescent="0.3">
      <c r="A1149" s="1">
        <f t="shared" si="1583"/>
        <v>27204</v>
      </c>
      <c r="B1149" s="96" t="s">
        <v>13</v>
      </c>
      <c r="C1149" s="97"/>
      <c r="D1149" s="110" t="s">
        <v>65</v>
      </c>
      <c r="E1149" s="111"/>
      <c r="F1149" s="111"/>
      <c r="G1149" s="111"/>
      <c r="H1149" s="112"/>
      <c r="J1149" s="1">
        <f t="shared" ref="J1149" si="1587">COUNTA(B1162:B1171)</f>
        <v>6</v>
      </c>
      <c r="K1149" s="1">
        <f t="shared" ref="K1149" si="1588">IF(L1149-1&lt;2,0,L1149-1)</f>
        <v>0</v>
      </c>
      <c r="L1149" s="1">
        <f t="shared" ref="L1149" si="1589">IF(M1149-1&lt;2,0,M1149-1)</f>
        <v>0</v>
      </c>
      <c r="M1149" s="1">
        <f t="shared" ref="M1149" si="1590">IF(N1149-1&lt;2,0,N1149-1)</f>
        <v>0</v>
      </c>
      <c r="N1149" s="1">
        <f t="shared" ref="N1149" si="1591">IF(O1149-1&lt;2,0,O1149-1)</f>
        <v>0</v>
      </c>
      <c r="O1149" s="1">
        <f t="shared" ref="O1149" si="1592">IF(P1149-1&lt;2,0,P1149-1)</f>
        <v>2</v>
      </c>
      <c r="P1149" s="1">
        <f t="shared" ref="P1149" si="1593">IF(Q1149-1&lt;2,0,Q1149-1)</f>
        <v>3</v>
      </c>
      <c r="Q1149" s="1">
        <f t="shared" ref="Q1149" si="1594">IF(R1149-1&lt;2,0,R1149-1)</f>
        <v>4</v>
      </c>
      <c r="R1149" s="1">
        <f t="shared" ref="R1149" si="1595">IF(S1149-1&lt;2,0,S1149-1)</f>
        <v>5</v>
      </c>
      <c r="S1149" s="1">
        <f t="shared" ref="S1149" si="1596">J1149</f>
        <v>6</v>
      </c>
      <c r="T1149" s="9"/>
      <c r="U1149" s="1">
        <f t="shared" si="1547"/>
        <v>27</v>
      </c>
      <c r="V1149" s="1">
        <f t="shared" si="1548"/>
        <v>204</v>
      </c>
    </row>
    <row r="1150" spans="1:22" x14ac:dyDescent="0.3">
      <c r="A1150" s="1">
        <f t="shared" si="1583"/>
        <v>27205</v>
      </c>
      <c r="B1150" s="96" t="s">
        <v>14</v>
      </c>
      <c r="C1150" s="97"/>
      <c r="D1150" s="110" t="s">
        <v>66</v>
      </c>
      <c r="E1150" s="111"/>
      <c r="F1150" s="111"/>
      <c r="G1150" s="111"/>
      <c r="H1150" s="112"/>
      <c r="J1150" s="24" t="str">
        <f t="shared" ref="J1150" si="1597">CONCATENATE(J1149,1)</f>
        <v>61</v>
      </c>
      <c r="K1150" s="25">
        <f t="shared" ref="K1150" si="1598">IF(K1149=0,0,VLOOKUP(J1150,J1154:S1184,K1149,FALSE))</f>
        <v>0</v>
      </c>
      <c r="L1150" s="25">
        <f t="shared" ref="L1150" si="1599">IF(L1149=0,0,VLOOKUP(J1150,J1154:S1184,L1149,FALSE))</f>
        <v>0</v>
      </c>
      <c r="M1150" s="25">
        <f t="shared" ref="M1150" si="1600">IF(M1149=0,0,VLOOKUP(J1150,J1154:S1184,M1149,FALSE))</f>
        <v>0</v>
      </c>
      <c r="N1150" s="25">
        <f t="shared" ref="N1150" si="1601">IF(N1149=0,0,VLOOKUP(J1150,J1154:S1184,N1149,FALSE))</f>
        <v>0</v>
      </c>
      <c r="O1150" s="25">
        <f t="shared" ref="O1150" si="1602">IF(O1149=0,0,VLOOKUP(J1150,J1154:S1184,O1149,FALSE))</f>
        <v>2.8405978568686222E-10</v>
      </c>
      <c r="P1150" s="25">
        <f t="shared" ref="P1150" si="1603">IF(P1149=0,0,VLOOKUP(J1150,J1154:S1184,P1149,FALSE))</f>
        <v>4.8399722706151583E-6</v>
      </c>
      <c r="Q1150" s="25">
        <f t="shared" ref="Q1150" si="1604">IF(Q1149=0,0,VLOOKUP(J1150,J1154:S1184,Q1149,FALSE))</f>
        <v>-7.6477282143779944E-4</v>
      </c>
      <c r="R1150" s="25">
        <f t="shared" ref="R1150" si="1605">IF(R1149=0,0,VLOOKUP(J1150,J1154:S1184,R1149,FALSE))</f>
        <v>1.0151307118403785</v>
      </c>
      <c r="S1150" s="25">
        <f t="shared" ref="S1150" si="1606">IF(S1149=0,0,VLOOKUP(J1150,J1154:S1184,S1149,FALSE))</f>
        <v>0.30046364994957497</v>
      </c>
      <c r="T1150" s="9"/>
      <c r="U1150" s="1">
        <f t="shared" si="1547"/>
        <v>27</v>
      </c>
      <c r="V1150" s="1">
        <f t="shared" si="1548"/>
        <v>205</v>
      </c>
    </row>
    <row r="1151" spans="1:22" x14ac:dyDescent="0.3">
      <c r="A1151" s="1">
        <f t="shared" si="1583"/>
        <v>27206</v>
      </c>
      <c r="B1151" s="96" t="s">
        <v>15</v>
      </c>
      <c r="C1151" s="97"/>
      <c r="D1151" s="110" t="s">
        <v>341</v>
      </c>
      <c r="E1151" s="111"/>
      <c r="F1151" s="111"/>
      <c r="G1151" s="111"/>
      <c r="H1151" s="112"/>
      <c r="J1151" s="24" t="str">
        <f t="shared" ref="J1151" si="1607">CONCATENATE(J1149,2)</f>
        <v>62</v>
      </c>
      <c r="K1151" s="6">
        <f t="shared" ref="K1151" si="1608">IF(K1149=0,0,VLOOKUP(J1151,J1154:S1184,K1149,FALSE))</f>
        <v>0</v>
      </c>
      <c r="L1151" s="6">
        <f t="shared" ref="L1151" si="1609">IF(L1149=0,0,VLOOKUP(J1151,J1154:S1184,L1149,FALSE))</f>
        <v>0</v>
      </c>
      <c r="M1151" s="6">
        <f t="shared" ref="M1151" si="1610">IF(M1149=0,0,VLOOKUP(J1151,J1154:S1184,M1149,FALSE))</f>
        <v>0</v>
      </c>
      <c r="N1151" s="6">
        <f t="shared" ref="N1151" si="1611">IF(N1149=0,0,VLOOKUP(J1151,J1154:S1184,N1149,FALSE))</f>
        <v>0</v>
      </c>
      <c r="O1151" s="6">
        <f t="shared" ref="O1151" si="1612">IF(O1149=0,0,VLOOKUP(J1151,J1154:S1184,O1149,FALSE))</f>
        <v>1.0846930862453085E-7</v>
      </c>
      <c r="P1151" s="6">
        <f t="shared" ref="P1151" si="1613">IF(P1149=0,0,VLOOKUP(J1151,J1154:S1184,P1149,FALSE))</f>
        <v>2.2530771812401804E-5</v>
      </c>
      <c r="Q1151" s="6">
        <f t="shared" ref="Q1151" si="1614">IF(Q1149=0,0,VLOOKUP(J1151,J1154:S1184,Q1149,FALSE))</f>
        <v>1.5178131635459194E-3</v>
      </c>
      <c r="R1151" s="6">
        <f t="shared" ref="R1151" si="1615">IF(R1149=0,0,VLOOKUP(J1151,J1154:S1184,R1149,FALSE))</f>
        <v>3.6311667040520051E-2</v>
      </c>
      <c r="S1151" s="6">
        <f t="shared" ref="S1151" si="1616">IF(S1149=0,0,VLOOKUP(J1151,J1154:S1184,S1149,FALSE))</f>
        <v>0.24199331376619451</v>
      </c>
      <c r="T1151" s="9"/>
      <c r="U1151" s="1">
        <f t="shared" si="1547"/>
        <v>27</v>
      </c>
      <c r="V1151" s="1">
        <f t="shared" si="1548"/>
        <v>206</v>
      </c>
    </row>
    <row r="1152" spans="1:22" x14ac:dyDescent="0.3">
      <c r="A1152" s="1">
        <f t="shared" si="1583"/>
        <v>27207</v>
      </c>
      <c r="B1152" s="96" t="s">
        <v>16</v>
      </c>
      <c r="C1152" s="97"/>
      <c r="D1152" s="113">
        <v>45989</v>
      </c>
      <c r="E1152" s="114"/>
      <c r="F1152" s="114"/>
      <c r="G1152" s="114"/>
      <c r="H1152" s="115"/>
      <c r="J1152" s="24" t="str">
        <f t="shared" ref="J1152" si="1617">CONCATENATE(J1149,3)</f>
        <v>63</v>
      </c>
      <c r="K1152" s="6"/>
      <c r="L1152" s="6"/>
      <c r="M1152" s="6"/>
      <c r="N1152" s="6" t="s">
        <v>43</v>
      </c>
      <c r="O1152" s="25">
        <f t="shared" ref="O1152" si="1618">J1149-2</f>
        <v>4</v>
      </c>
      <c r="P1152" s="6" t="s">
        <v>44</v>
      </c>
      <c r="Q1152" s="25">
        <f t="shared" ref="Q1152" si="1619">VLOOKUP(J1152,J1154:S1184,3,FALSE)</f>
        <v>0.13578185460961922</v>
      </c>
      <c r="R1152" s="6" t="s">
        <v>45</v>
      </c>
      <c r="S1152" s="6">
        <f t="shared" ref="S1152" si="1620">VLOOKUP(J1152,J1154:S1184,2,FALSE)</f>
        <v>0.99999715328399408</v>
      </c>
      <c r="T1152" s="9"/>
      <c r="U1152" s="1">
        <f t="shared" si="1547"/>
        <v>27</v>
      </c>
      <c r="V1152" s="1">
        <f t="shared" si="1548"/>
        <v>207</v>
      </c>
    </row>
    <row r="1153" spans="1:22" x14ac:dyDescent="0.3">
      <c r="A1153" s="1">
        <f t="shared" si="1583"/>
        <v>27208</v>
      </c>
      <c r="B1153" s="96" t="s">
        <v>17</v>
      </c>
      <c r="C1153" s="97"/>
      <c r="D1153" s="116">
        <v>46170</v>
      </c>
      <c r="E1153" s="117"/>
      <c r="F1153" s="117"/>
      <c r="G1153" s="117"/>
      <c r="H1153" s="118"/>
      <c r="K1153" s="1">
        <v>3</v>
      </c>
      <c r="L1153" s="1">
        <v>3</v>
      </c>
      <c r="Q1153" s="26"/>
      <c r="R1153" s="26"/>
      <c r="S1153" s="26"/>
      <c r="T1153" s="9"/>
      <c r="U1153" s="1">
        <f t="shared" si="1547"/>
        <v>27</v>
      </c>
      <c r="V1153" s="1">
        <f t="shared" si="1548"/>
        <v>208</v>
      </c>
    </row>
    <row r="1154" spans="1:22" x14ac:dyDescent="0.3">
      <c r="A1154" s="1">
        <f t="shared" si="1583"/>
        <v>27209</v>
      </c>
      <c r="B1154" s="77" t="s">
        <v>19</v>
      </c>
      <c r="C1154" s="78"/>
      <c r="D1154" s="17">
        <v>0.01</v>
      </c>
      <c r="E1154" s="79" t="s">
        <v>40</v>
      </c>
      <c r="F1154" s="80"/>
      <c r="G1154" s="81"/>
      <c r="H1154" s="18" t="s">
        <v>72</v>
      </c>
      <c r="J1154" s="24" t="str">
        <f t="shared" ref="J1154" si="1621">CONCATENATE(K1153,1)</f>
        <v>31</v>
      </c>
      <c r="K1154" s="6">
        <f t="array" ref="K1154:L1156">LINEST(B1162:B1164,C1162:C1164^{1},TRUE,TRUE)</f>
        <v>0.9915377410290368</v>
      </c>
      <c r="L1154" s="6">
        <v>0.439410441092555</v>
      </c>
      <c r="Q1154" s="9"/>
      <c r="R1154" s="9"/>
      <c r="S1154" s="9"/>
      <c r="T1154" s="9"/>
      <c r="U1154" s="1">
        <f t="shared" si="1547"/>
        <v>27</v>
      </c>
      <c r="V1154" s="1">
        <f t="shared" si="1548"/>
        <v>209</v>
      </c>
    </row>
    <row r="1155" spans="1:22" x14ac:dyDescent="0.3">
      <c r="A1155" s="1">
        <f t="shared" si="1583"/>
        <v>27210</v>
      </c>
      <c r="B1155" s="77" t="s">
        <v>41</v>
      </c>
      <c r="C1155" s="78"/>
      <c r="D1155" s="23">
        <f t="shared" ref="D1155" si="1622">MIN(B1162:B1171)</f>
        <v>5.01</v>
      </c>
      <c r="E1155" s="20" t="s">
        <v>18</v>
      </c>
      <c r="F1155" s="19">
        <f t="shared" ref="F1155" si="1623">MAX(B1162:B1171)</f>
        <v>97.97</v>
      </c>
      <c r="G1155" s="21" t="str">
        <f t="shared" ref="G1155" si="1624">IF(H1154="","",H1154)</f>
        <v>%ur</v>
      </c>
      <c r="H1155" s="22"/>
      <c r="J1155" s="24" t="str">
        <f t="shared" ref="J1155" si="1625">CONCATENATE(K1153,2)</f>
        <v>32</v>
      </c>
      <c r="K1155" s="6">
        <v>1.0032442260392842E-2</v>
      </c>
      <c r="L1155" s="6">
        <v>0.20879389224522502</v>
      </c>
      <c r="Q1155" s="9"/>
      <c r="R1155" s="9"/>
      <c r="S1155" s="9"/>
      <c r="T1155" s="9"/>
      <c r="U1155" s="1">
        <f t="shared" si="1547"/>
        <v>27</v>
      </c>
      <c r="V1155" s="1">
        <f t="shared" si="1548"/>
        <v>210</v>
      </c>
    </row>
    <row r="1156" spans="1:22" x14ac:dyDescent="0.3">
      <c r="A1156" s="1">
        <f t="shared" si="1583"/>
        <v>27211</v>
      </c>
      <c r="J1156" s="24" t="str">
        <f t="shared" ref="J1156" si="1626">CONCATENATE(K1153,3)</f>
        <v>33</v>
      </c>
      <c r="K1156" s="6">
        <v>0.99989763526176467</v>
      </c>
      <c r="L1156" s="6">
        <v>0.18002417455049269</v>
      </c>
      <c r="Q1156" s="9"/>
      <c r="R1156" s="9"/>
      <c r="S1156" s="9"/>
      <c r="T1156" s="9"/>
      <c r="U1156" s="1">
        <f t="shared" si="1547"/>
        <v>27</v>
      </c>
      <c r="V1156" s="1">
        <f t="shared" si="1548"/>
        <v>211</v>
      </c>
    </row>
    <row r="1157" spans="1:22" x14ac:dyDescent="0.3">
      <c r="A1157" s="1">
        <f t="shared" si="1583"/>
        <v>27212</v>
      </c>
      <c r="B1157" s="82" t="s">
        <v>20</v>
      </c>
      <c r="C1157" s="83"/>
      <c r="D1157" s="83"/>
      <c r="E1157" s="83"/>
      <c r="F1157" s="84"/>
      <c r="G1157" s="85" t="s">
        <v>31</v>
      </c>
      <c r="H1157" s="86"/>
      <c r="K1157" s="1">
        <v>4</v>
      </c>
      <c r="L1157" s="1">
        <v>4</v>
      </c>
      <c r="M1157" s="1">
        <v>4</v>
      </c>
      <c r="Q1157" s="9"/>
      <c r="R1157" s="9"/>
      <c r="S1157" s="9"/>
      <c r="T1157" s="9"/>
      <c r="U1157" s="1">
        <f t="shared" si="1547"/>
        <v>27</v>
      </c>
      <c r="V1157" s="1">
        <f t="shared" si="1548"/>
        <v>212</v>
      </c>
    </row>
    <row r="1158" spans="1:22" x14ac:dyDescent="0.3">
      <c r="A1158" s="1">
        <f t="shared" si="1583"/>
        <v>27213</v>
      </c>
      <c r="B1158" s="82" t="s">
        <v>30</v>
      </c>
      <c r="C1158" s="83"/>
      <c r="D1158" s="84"/>
      <c r="E1158" s="82" t="str">
        <f t="shared" ref="E1158" si="1627">D1151</f>
        <v>E0840/25</v>
      </c>
      <c r="F1158" s="84"/>
      <c r="G1158" s="6" t="s">
        <v>32</v>
      </c>
      <c r="H1158" s="7" t="s">
        <v>321</v>
      </c>
      <c r="J1158" s="24" t="str">
        <f t="shared" ref="J1158" si="1628">CONCATENATE(K1157,1)</f>
        <v>41</v>
      </c>
      <c r="K1158" s="6">
        <f t="array" ref="K1158:M1160">LINEST(B1162:B1165,C1162:C1165^{1,2},TRUE,TRUE)</f>
        <v>-3.0547121043072978E-4</v>
      </c>
      <c r="L1158" s="6">
        <v>1.0036522069040388</v>
      </c>
      <c r="M1158" s="6">
        <v>0.35897298787493692</v>
      </c>
      <c r="Q1158" s="9"/>
      <c r="R1158" s="9"/>
      <c r="S1158" s="9"/>
      <c r="T1158" s="9"/>
      <c r="U1158" s="1">
        <f t="shared" si="1547"/>
        <v>27</v>
      </c>
      <c r="V1158" s="1">
        <f t="shared" si="1548"/>
        <v>213</v>
      </c>
    </row>
    <row r="1159" spans="1:22" x14ac:dyDescent="0.3">
      <c r="A1159" s="1">
        <f t="shared" si="1583"/>
        <v>27214</v>
      </c>
      <c r="B1159" s="2" t="s">
        <v>21</v>
      </c>
      <c r="C1159" s="2" t="s">
        <v>22</v>
      </c>
      <c r="D1159" s="2" t="s">
        <v>23</v>
      </c>
      <c r="E1159" s="2"/>
      <c r="F1159" s="2" t="s">
        <v>28</v>
      </c>
      <c r="G1159" s="2" t="s">
        <v>21</v>
      </c>
      <c r="H1159" s="2" t="s">
        <v>22</v>
      </c>
      <c r="J1159" s="24" t="str">
        <f t="shared" ref="J1159" si="1629">CONCATENATE(K1157,2)</f>
        <v>42</v>
      </c>
      <c r="K1159" s="6">
        <v>3.0256723360378124E-4</v>
      </c>
      <c r="L1159" s="6">
        <v>1.745728818947908E-2</v>
      </c>
      <c r="M1159" s="6">
        <v>0.2042451589782853</v>
      </c>
      <c r="Q1159" s="9"/>
      <c r="R1159" s="9"/>
      <c r="S1159" s="9"/>
      <c r="T1159" s="9"/>
      <c r="U1159" s="1">
        <f t="shared" si="1547"/>
        <v>27</v>
      </c>
      <c r="V1159" s="1">
        <f t="shared" si="1548"/>
        <v>214</v>
      </c>
    </row>
    <row r="1160" spans="1:22" x14ac:dyDescent="0.3">
      <c r="A1160" s="1">
        <f t="shared" si="1583"/>
        <v>27215</v>
      </c>
      <c r="B1160" s="2" t="s">
        <v>24</v>
      </c>
      <c r="C1160" s="2" t="s">
        <v>25</v>
      </c>
      <c r="D1160" s="2" t="s">
        <v>26</v>
      </c>
      <c r="E1160" s="2" t="s">
        <v>27</v>
      </c>
      <c r="F1160" s="2" t="s">
        <v>29</v>
      </c>
      <c r="G1160" s="2" t="s">
        <v>24</v>
      </c>
      <c r="H1160" s="2" t="s">
        <v>25</v>
      </c>
      <c r="J1160" s="24" t="str">
        <f t="shared" ref="J1160" si="1630">CONCATENATE(K1157,3)</f>
        <v>43</v>
      </c>
      <c r="K1160" s="6">
        <v>0.99997983976905769</v>
      </c>
      <c r="L1160" s="6">
        <v>0.14677096549306512</v>
      </c>
      <c r="M1160" s="6" t="e">
        <v>#N/A</v>
      </c>
      <c r="Q1160" s="9"/>
      <c r="R1160" s="9"/>
      <c r="S1160" s="9"/>
      <c r="T1160" s="9"/>
      <c r="U1160" s="1">
        <f t="shared" si="1547"/>
        <v>27</v>
      </c>
      <c r="V1160" s="1">
        <f t="shared" si="1548"/>
        <v>215</v>
      </c>
    </row>
    <row r="1161" spans="1:22" x14ac:dyDescent="0.3">
      <c r="A1161" s="1">
        <f t="shared" si="1583"/>
        <v>27216</v>
      </c>
      <c r="B1161" s="3" t="str">
        <f t="shared" ref="B1161" si="1631">H1154</f>
        <v>%ur</v>
      </c>
      <c r="C1161" s="3" t="str">
        <f t="shared" ref="C1161:D1161" si="1632">B1161</f>
        <v>%ur</v>
      </c>
      <c r="D1161" s="3" t="str">
        <f t="shared" si="1632"/>
        <v>%ur</v>
      </c>
      <c r="E1161" s="3"/>
      <c r="F1161" s="3"/>
      <c r="G1161" s="3" t="str">
        <f t="shared" ref="G1161" si="1633">D1161</f>
        <v>%ur</v>
      </c>
      <c r="H1161" s="3" t="str">
        <f t="shared" ref="H1161" si="1634">G1161</f>
        <v>%ur</v>
      </c>
      <c r="K1161" s="1">
        <v>5</v>
      </c>
      <c r="L1161" s="1">
        <v>5</v>
      </c>
      <c r="M1161" s="1">
        <v>5</v>
      </c>
      <c r="N1161" s="1">
        <v>5</v>
      </c>
      <c r="Q1161" s="9"/>
      <c r="R1161" s="9"/>
      <c r="S1161" s="9"/>
      <c r="T1161" s="9"/>
      <c r="U1161" s="1">
        <f t="shared" si="1547"/>
        <v>27</v>
      </c>
      <c r="V1161" s="1">
        <f t="shared" si="1548"/>
        <v>216</v>
      </c>
    </row>
    <row r="1162" spans="1:22" x14ac:dyDescent="0.3">
      <c r="A1162" s="1">
        <f t="shared" si="1583"/>
        <v>27217</v>
      </c>
      <c r="B1162" s="41">
        <v>5.01</v>
      </c>
      <c r="C1162" s="41">
        <v>4.67</v>
      </c>
      <c r="D1162" s="4">
        <v>0.25</v>
      </c>
      <c r="E1162" s="4">
        <v>2.0299999999999998</v>
      </c>
      <c r="F1162" s="14">
        <v>87</v>
      </c>
      <c r="G1162" s="7">
        <v>5</v>
      </c>
      <c r="H1162" s="7">
        <v>4.4400000000000004</v>
      </c>
      <c r="J1162" s="24" t="str">
        <f t="shared" ref="J1162" si="1635">CONCATENATE(K1161,1)</f>
        <v>51</v>
      </c>
      <c r="K1162" s="6">
        <f t="array" ref="K1162:N1164">LINEST(B1162:B1166,C1162:C1166^{1,2,3},TRUE,TRUE)</f>
        <v>4.1002435389510083E-6</v>
      </c>
      <c r="L1162" s="6">
        <v>-6.7355615570307713E-4</v>
      </c>
      <c r="M1162" s="6">
        <v>1.0124245877853764</v>
      </c>
      <c r="N1162" s="6">
        <v>0.31582173534548674</v>
      </c>
      <c r="Q1162" s="9"/>
      <c r="R1162" s="9"/>
      <c r="S1162" s="9"/>
      <c r="T1162" s="9"/>
      <c r="U1162" s="1">
        <f t="shared" si="1547"/>
        <v>27</v>
      </c>
      <c r="V1162" s="1">
        <f t="shared" si="1548"/>
        <v>217</v>
      </c>
    </row>
    <row r="1163" spans="1:22" x14ac:dyDescent="0.3">
      <c r="A1163" s="1">
        <f t="shared" si="1583"/>
        <v>27218</v>
      </c>
      <c r="B1163" s="41">
        <v>19.989999999999998</v>
      </c>
      <c r="C1163" s="41">
        <v>19.57</v>
      </c>
      <c r="D1163" s="4">
        <v>0.25</v>
      </c>
      <c r="E1163" s="4">
        <v>2.04</v>
      </c>
      <c r="F1163" s="14">
        <v>66</v>
      </c>
      <c r="G1163" s="7">
        <v>20</v>
      </c>
      <c r="H1163" s="7">
        <v>19.75</v>
      </c>
      <c r="J1163" s="24" t="str">
        <f t="shared" ref="J1163" si="1636">CONCATENATE(K1161,2)</f>
        <v>52</v>
      </c>
      <c r="K1163" s="6">
        <v>5.6920770682178005E-6</v>
      </c>
      <c r="L1163" s="6">
        <v>7.2119050755748424E-4</v>
      </c>
      <c r="M1163" s="6">
        <v>2.4290730755148197E-2</v>
      </c>
      <c r="N1163" s="6">
        <v>0.2101013287088129</v>
      </c>
      <c r="T1163" s="9"/>
      <c r="U1163" s="1">
        <f t="shared" si="1547"/>
        <v>27</v>
      </c>
      <c r="V1163" s="1">
        <f t="shared" si="1548"/>
        <v>218</v>
      </c>
    </row>
    <row r="1164" spans="1:22" x14ac:dyDescent="0.3">
      <c r="A1164" s="1">
        <f t="shared" si="1583"/>
        <v>27219</v>
      </c>
      <c r="B1164" s="41">
        <v>30.01</v>
      </c>
      <c r="C1164" s="41">
        <v>29.91</v>
      </c>
      <c r="D1164" s="4">
        <v>0.33</v>
      </c>
      <c r="E1164" s="4">
        <v>2.04</v>
      </c>
      <c r="F1164" s="14">
        <v>67</v>
      </c>
      <c r="G1164" s="7">
        <v>30</v>
      </c>
      <c r="H1164" s="7">
        <v>29.95</v>
      </c>
      <c r="J1164" s="24" t="str">
        <f t="shared" ref="J1164" si="1637">CONCATENATE(K1161,3)</f>
        <v>53</v>
      </c>
      <c r="K1164" s="6">
        <v>0.99999467394079011</v>
      </c>
      <c r="L1164" s="6">
        <v>0.13414603379446088</v>
      </c>
      <c r="M1164" s="6" t="e">
        <v>#N/A</v>
      </c>
      <c r="N1164" s="6" t="e">
        <v>#N/A</v>
      </c>
      <c r="T1164" s="9"/>
      <c r="U1164" s="1">
        <f t="shared" si="1547"/>
        <v>27</v>
      </c>
      <c r="V1164" s="1">
        <f t="shared" si="1548"/>
        <v>219</v>
      </c>
    </row>
    <row r="1165" spans="1:22" x14ac:dyDescent="0.3">
      <c r="A1165" s="1">
        <f t="shared" si="1583"/>
        <v>27220</v>
      </c>
      <c r="B1165" s="41">
        <v>50</v>
      </c>
      <c r="C1165" s="41">
        <v>50.21</v>
      </c>
      <c r="D1165" s="4">
        <v>0.53</v>
      </c>
      <c r="E1165" s="4">
        <v>2.04</v>
      </c>
      <c r="F1165" s="14">
        <v>67</v>
      </c>
      <c r="G1165" s="7">
        <v>49.99</v>
      </c>
      <c r="H1165" s="7">
        <v>50.76</v>
      </c>
      <c r="K1165" s="1">
        <v>6</v>
      </c>
      <c r="L1165" s="1">
        <v>6</v>
      </c>
      <c r="M1165" s="1">
        <v>6</v>
      </c>
      <c r="N1165" s="1">
        <v>6</v>
      </c>
      <c r="O1165" s="1">
        <v>6</v>
      </c>
      <c r="T1165" s="9"/>
      <c r="U1165" s="1">
        <f t="shared" si="1547"/>
        <v>27</v>
      </c>
      <c r="V1165" s="1">
        <f t="shared" si="1548"/>
        <v>220</v>
      </c>
    </row>
    <row r="1166" spans="1:22" x14ac:dyDescent="0.3">
      <c r="A1166" s="1">
        <f t="shared" si="1583"/>
        <v>27221</v>
      </c>
      <c r="B1166" s="41">
        <v>79.989999999999995</v>
      </c>
      <c r="C1166" s="41">
        <v>80.91</v>
      </c>
      <c r="D1166" s="4">
        <v>0.8</v>
      </c>
      <c r="E1166" s="4">
        <v>2.04</v>
      </c>
      <c r="F1166" s="14">
        <v>68</v>
      </c>
      <c r="G1166" s="7">
        <v>80.03</v>
      </c>
      <c r="H1166" s="7">
        <v>81.010000000000005</v>
      </c>
      <c r="J1166" s="24" t="str">
        <f t="shared" ref="J1166" si="1638">CONCATENATE(K1165,1)</f>
        <v>61</v>
      </c>
      <c r="K1166" s="6">
        <f t="array" ref="K1166:O1168">LINEST(B1162:B1167,C1162:C1167^{1,2,3,4},TRUE,TRUE)</f>
        <v>2.8405978568686222E-10</v>
      </c>
      <c r="L1166" s="6">
        <v>4.8399722706151583E-6</v>
      </c>
      <c r="M1166" s="6">
        <v>-7.6477282143779944E-4</v>
      </c>
      <c r="N1166" s="6">
        <v>1.0151307118403785</v>
      </c>
      <c r="O1166" s="6">
        <v>0.30046364994957497</v>
      </c>
      <c r="T1166" s="9"/>
      <c r="U1166" s="1">
        <f t="shared" si="1547"/>
        <v>27</v>
      </c>
      <c r="V1166" s="1">
        <f t="shared" si="1548"/>
        <v>221</v>
      </c>
    </row>
    <row r="1167" spans="1:22" x14ac:dyDescent="0.3">
      <c r="A1167" s="1">
        <f t="shared" si="1583"/>
        <v>27222</v>
      </c>
      <c r="B1167" s="41">
        <v>97.97</v>
      </c>
      <c r="C1167" s="41">
        <v>98.94</v>
      </c>
      <c r="D1167" s="4">
        <v>0.93</v>
      </c>
      <c r="E1167" s="4">
        <v>2.04</v>
      </c>
      <c r="F1167" s="14">
        <v>62</v>
      </c>
      <c r="G1167" s="7">
        <v>97.95</v>
      </c>
      <c r="H1167" s="7">
        <v>99.21</v>
      </c>
      <c r="J1167" s="24" t="str">
        <f t="shared" ref="J1167" si="1639">CONCATENATE(K1165,2)</f>
        <v>62</v>
      </c>
      <c r="K1167" s="6">
        <v>1.0846930862453085E-7</v>
      </c>
      <c r="L1167" s="6">
        <v>2.2530771812401804E-5</v>
      </c>
      <c r="M1167" s="6">
        <v>1.5178131635459194E-3</v>
      </c>
      <c r="N1167" s="6">
        <v>3.6311667040520051E-2</v>
      </c>
      <c r="O1167" s="6">
        <v>0.24199331376619451</v>
      </c>
      <c r="T1167" s="9"/>
      <c r="U1167" s="1">
        <f t="shared" si="1547"/>
        <v>27</v>
      </c>
      <c r="V1167" s="1">
        <f t="shared" si="1548"/>
        <v>222</v>
      </c>
    </row>
    <row r="1168" spans="1:22" x14ac:dyDescent="0.3">
      <c r="A1168" s="1">
        <f t="shared" si="1583"/>
        <v>27223</v>
      </c>
      <c r="B1168" s="4"/>
      <c r="C1168" s="4"/>
      <c r="D1168" s="4"/>
      <c r="E1168" s="4"/>
      <c r="F1168" s="14"/>
      <c r="G1168" s="8"/>
      <c r="H1168" s="7"/>
      <c r="J1168" s="24" t="str">
        <f t="shared" ref="J1168" si="1640">CONCATENATE(K1165,3)</f>
        <v>63</v>
      </c>
      <c r="K1168" s="6">
        <v>0.99999715328399408</v>
      </c>
      <c r="L1168" s="6">
        <v>0.13578185460961922</v>
      </c>
      <c r="M1168" s="6" t="e">
        <v>#N/A</v>
      </c>
      <c r="N1168" s="6" t="e">
        <v>#N/A</v>
      </c>
      <c r="O1168" s="6" t="e">
        <v>#N/A</v>
      </c>
      <c r="T1168" s="9"/>
      <c r="U1168" s="1">
        <f t="shared" si="1547"/>
        <v>27</v>
      </c>
      <c r="V1168" s="1">
        <f t="shared" si="1548"/>
        <v>223</v>
      </c>
    </row>
    <row r="1169" spans="1:22" x14ac:dyDescent="0.3">
      <c r="A1169" s="1">
        <f t="shared" si="1583"/>
        <v>27224</v>
      </c>
      <c r="B1169" s="4"/>
      <c r="C1169" s="4"/>
      <c r="D1169" s="4"/>
      <c r="E1169" s="4"/>
      <c r="F1169" s="14"/>
      <c r="G1169" s="8"/>
      <c r="H1169" s="7"/>
      <c r="K1169" s="1">
        <v>7</v>
      </c>
      <c r="L1169" s="1">
        <v>7</v>
      </c>
      <c r="M1169" s="1">
        <v>7</v>
      </c>
      <c r="N1169" s="1">
        <v>7</v>
      </c>
      <c r="O1169" s="1">
        <v>7</v>
      </c>
      <c r="P1169" s="1">
        <v>7</v>
      </c>
      <c r="T1169" s="9"/>
      <c r="U1169" s="1">
        <f t="shared" si="1547"/>
        <v>27</v>
      </c>
      <c r="V1169" s="1">
        <f t="shared" si="1548"/>
        <v>224</v>
      </c>
    </row>
    <row r="1170" spans="1:22" x14ac:dyDescent="0.3">
      <c r="A1170" s="1">
        <f t="shared" si="1583"/>
        <v>27225</v>
      </c>
      <c r="B1170" s="4"/>
      <c r="C1170" s="4"/>
      <c r="D1170" s="4"/>
      <c r="E1170" s="4"/>
      <c r="F1170" s="14"/>
      <c r="G1170" s="8"/>
      <c r="H1170" s="7"/>
      <c r="J1170" s="24" t="str">
        <f t="shared" ref="J1170" si="1641">CONCATENATE(K1169,1)</f>
        <v>71</v>
      </c>
      <c r="K1170" s="6" t="e">
        <f t="array" ref="K1170:P1172">LINEST(B1162:B1168,C1162:C1168^{1,2,3,4,5},TRUE,TRUE)</f>
        <v>#VALUE!</v>
      </c>
      <c r="L1170" s="6" t="e">
        <v>#VALUE!</v>
      </c>
      <c r="M1170" s="6" t="e">
        <v>#VALUE!</v>
      </c>
      <c r="N1170" s="6" t="e">
        <v>#VALUE!</v>
      </c>
      <c r="O1170" s="6" t="e">
        <v>#VALUE!</v>
      </c>
      <c r="P1170" s="6" t="e">
        <v>#VALUE!</v>
      </c>
      <c r="T1170" s="9"/>
      <c r="U1170" s="1">
        <f t="shared" si="1547"/>
        <v>27</v>
      </c>
      <c r="V1170" s="1">
        <f t="shared" si="1548"/>
        <v>225</v>
      </c>
    </row>
    <row r="1171" spans="1:22" x14ac:dyDescent="0.3">
      <c r="A1171" s="1">
        <f t="shared" si="1583"/>
        <v>27226</v>
      </c>
      <c r="B1171" s="4"/>
      <c r="C1171" s="4"/>
      <c r="D1171" s="4"/>
      <c r="E1171" s="4"/>
      <c r="F1171" s="14"/>
      <c r="G1171" s="8"/>
      <c r="H1171" s="7"/>
      <c r="J1171" s="24" t="str">
        <f t="shared" ref="J1171" si="1642">CONCATENATE(K1169,2)</f>
        <v>72</v>
      </c>
      <c r="K1171" s="6" t="e">
        <v>#VALUE!</v>
      </c>
      <c r="L1171" s="6" t="e">
        <v>#VALUE!</v>
      </c>
      <c r="M1171" s="6" t="e">
        <v>#VALUE!</v>
      </c>
      <c r="N1171" s="6" t="e">
        <v>#VALUE!</v>
      </c>
      <c r="O1171" s="6" t="e">
        <v>#VALUE!</v>
      </c>
      <c r="P1171" s="6" t="e">
        <v>#VALUE!</v>
      </c>
      <c r="T1171" s="9"/>
      <c r="U1171" s="1">
        <f t="shared" si="1547"/>
        <v>27</v>
      </c>
      <c r="V1171" s="1">
        <f t="shared" si="1548"/>
        <v>226</v>
      </c>
    </row>
    <row r="1172" spans="1:22" x14ac:dyDescent="0.3">
      <c r="A1172" s="1">
        <f t="shared" si="1583"/>
        <v>27227</v>
      </c>
      <c r="B1172" s="9"/>
      <c r="C1172" s="9"/>
      <c r="D1172" s="9"/>
      <c r="E1172" s="9"/>
      <c r="F1172" s="9"/>
      <c r="G1172" s="9"/>
      <c r="H1172" s="9"/>
      <c r="J1172" s="24" t="str">
        <f t="shared" ref="J1172" si="1643">CONCATENATE(K1169,3)</f>
        <v>73</v>
      </c>
      <c r="K1172" s="6" t="e">
        <v>#VALUE!</v>
      </c>
      <c r="L1172" s="6" t="e">
        <v>#VALUE!</v>
      </c>
      <c r="M1172" s="6" t="e">
        <v>#VALUE!</v>
      </c>
      <c r="N1172" s="6" t="e">
        <v>#VALUE!</v>
      </c>
      <c r="O1172" s="6" t="e">
        <v>#VALUE!</v>
      </c>
      <c r="P1172" s="6" t="e">
        <v>#VALUE!</v>
      </c>
      <c r="T1172" s="9"/>
      <c r="U1172" s="1">
        <f t="shared" si="1547"/>
        <v>27</v>
      </c>
      <c r="V1172" s="1">
        <f t="shared" si="1548"/>
        <v>227</v>
      </c>
    </row>
    <row r="1173" spans="1:22" x14ac:dyDescent="0.3">
      <c r="A1173" s="1">
        <f t="shared" si="1583"/>
        <v>27228</v>
      </c>
      <c r="B1173" s="87" t="s">
        <v>33</v>
      </c>
      <c r="C1173" s="88"/>
      <c r="D1173" s="88"/>
      <c r="E1173" s="88"/>
      <c r="F1173" s="88"/>
      <c r="G1173" s="88"/>
      <c r="H1173" s="89"/>
      <c r="K1173" s="1">
        <v>8</v>
      </c>
      <c r="L1173" s="1">
        <v>8</v>
      </c>
      <c r="M1173" s="1">
        <v>8</v>
      </c>
      <c r="N1173" s="1">
        <v>8</v>
      </c>
      <c r="O1173" s="1">
        <v>8</v>
      </c>
      <c r="P1173" s="1">
        <v>8</v>
      </c>
      <c r="Q1173" s="1">
        <v>8</v>
      </c>
      <c r="T1173" s="9"/>
      <c r="U1173" s="1">
        <f t="shared" si="1547"/>
        <v>27</v>
      </c>
      <c r="V1173" s="1">
        <f t="shared" si="1548"/>
        <v>228</v>
      </c>
    </row>
    <row r="1174" spans="1:22" x14ac:dyDescent="0.3">
      <c r="A1174" s="1">
        <f t="shared" si="1583"/>
        <v>27229</v>
      </c>
      <c r="B1174" s="119"/>
      <c r="C1174" s="91"/>
      <c r="D1174" s="91"/>
      <c r="E1174" s="91"/>
      <c r="F1174" s="91"/>
      <c r="G1174" s="91"/>
      <c r="H1174" s="92"/>
      <c r="J1174" s="24" t="str">
        <f t="shared" ref="J1174" si="1644">CONCATENATE(K1173,1)</f>
        <v>81</v>
      </c>
      <c r="K1174" s="6" t="e">
        <f t="array" ref="K1174:Q1176">LINEST(B1162:B1169,C1162:C1169^{1,2,3,4,5,6},TRUE,TRUE)</f>
        <v>#VALUE!</v>
      </c>
      <c r="L1174" s="6" t="e">
        <v>#VALUE!</v>
      </c>
      <c r="M1174" s="6" t="e">
        <v>#VALUE!</v>
      </c>
      <c r="N1174" s="6" t="e">
        <v>#VALUE!</v>
      </c>
      <c r="O1174" s="6" t="e">
        <v>#VALUE!</v>
      </c>
      <c r="P1174" s="6" t="e">
        <v>#VALUE!</v>
      </c>
      <c r="Q1174" s="6" t="e">
        <v>#VALUE!</v>
      </c>
      <c r="T1174" s="9"/>
      <c r="U1174" s="1">
        <f t="shared" si="1547"/>
        <v>27</v>
      </c>
      <c r="V1174" s="1">
        <f t="shared" si="1548"/>
        <v>229</v>
      </c>
    </row>
    <row r="1175" spans="1:22" x14ac:dyDescent="0.3">
      <c r="A1175" s="1">
        <f t="shared" si="1583"/>
        <v>27230</v>
      </c>
      <c r="B1175" s="93"/>
      <c r="C1175" s="94"/>
      <c r="D1175" s="94"/>
      <c r="E1175" s="94"/>
      <c r="F1175" s="94"/>
      <c r="G1175" s="94"/>
      <c r="H1175" s="95"/>
      <c r="J1175" s="24" t="str">
        <f t="shared" ref="J1175" si="1645">CONCATENATE(K1173,2)</f>
        <v>82</v>
      </c>
      <c r="K1175" s="6" t="e">
        <v>#VALUE!</v>
      </c>
      <c r="L1175" s="6" t="e">
        <v>#VALUE!</v>
      </c>
      <c r="M1175" s="6" t="e">
        <v>#VALUE!</v>
      </c>
      <c r="N1175" s="6" t="e">
        <v>#VALUE!</v>
      </c>
      <c r="O1175" s="6" t="e">
        <v>#VALUE!</v>
      </c>
      <c r="P1175" s="6" t="e">
        <v>#VALUE!</v>
      </c>
      <c r="Q1175" s="6" t="e">
        <v>#VALUE!</v>
      </c>
      <c r="T1175" s="9"/>
      <c r="U1175" s="1">
        <f t="shared" si="1547"/>
        <v>27</v>
      </c>
      <c r="V1175" s="1">
        <f t="shared" si="1548"/>
        <v>230</v>
      </c>
    </row>
    <row r="1176" spans="1:22" x14ac:dyDescent="0.3">
      <c r="A1176" s="1">
        <f t="shared" si="1583"/>
        <v>27231</v>
      </c>
      <c r="J1176" s="24" t="str">
        <f t="shared" ref="J1176" si="1646">CONCATENATE(K1173,3)</f>
        <v>83</v>
      </c>
      <c r="K1176" s="6" t="e">
        <v>#VALUE!</v>
      </c>
      <c r="L1176" s="6" t="e">
        <v>#VALUE!</v>
      </c>
      <c r="M1176" s="6" t="e">
        <v>#VALUE!</v>
      </c>
      <c r="N1176" s="6" t="e">
        <v>#VALUE!</v>
      </c>
      <c r="O1176" s="6" t="e">
        <v>#VALUE!</v>
      </c>
      <c r="P1176" s="6" t="e">
        <v>#VALUE!</v>
      </c>
      <c r="Q1176" s="6" t="e">
        <v>#VALUE!</v>
      </c>
      <c r="T1176" s="9"/>
      <c r="U1176" s="1">
        <f t="shared" si="1547"/>
        <v>27</v>
      </c>
      <c r="V1176" s="1">
        <f t="shared" si="1548"/>
        <v>231</v>
      </c>
    </row>
    <row r="1177" spans="1:22" ht="15" customHeight="1" x14ac:dyDescent="0.3">
      <c r="A1177" s="1">
        <f t="shared" si="1583"/>
        <v>27232</v>
      </c>
      <c r="B1177" s="10" t="s">
        <v>34</v>
      </c>
      <c r="C1177" s="10" t="s">
        <v>35</v>
      </c>
      <c r="D1177" s="10" t="s">
        <v>36</v>
      </c>
      <c r="E1177" s="74" t="s">
        <v>37</v>
      </c>
      <c r="F1177" s="75"/>
      <c r="G1177" s="76"/>
      <c r="K1177" s="1">
        <v>9</v>
      </c>
      <c r="L1177" s="1">
        <v>9</v>
      </c>
      <c r="M1177" s="1">
        <v>9</v>
      </c>
      <c r="N1177" s="1">
        <v>9</v>
      </c>
      <c r="O1177" s="1">
        <v>9</v>
      </c>
      <c r="P1177" s="1">
        <v>9</v>
      </c>
      <c r="Q1177" s="1">
        <v>9</v>
      </c>
      <c r="R1177" s="1">
        <v>9</v>
      </c>
      <c r="T1177" s="9"/>
      <c r="U1177" s="1">
        <f t="shared" si="1547"/>
        <v>27</v>
      </c>
      <c r="V1177" s="1">
        <f t="shared" si="1548"/>
        <v>232</v>
      </c>
    </row>
    <row r="1178" spans="1:22" x14ac:dyDescent="0.3">
      <c r="A1178" s="1">
        <f t="shared" si="1583"/>
        <v>27233</v>
      </c>
      <c r="B1178" s="12">
        <f t="shared" ref="B1178:B1187" si="1647">C1162-B1162</f>
        <v>-0.33999999999999986</v>
      </c>
      <c r="C1178" s="13">
        <f t="shared" ref="C1178:C1187" si="1648">H1162-G1162</f>
        <v>-0.55999999999999961</v>
      </c>
      <c r="D1178" s="10">
        <f t="shared" ref="D1178:D1187" si="1649">C1178-B1178</f>
        <v>-0.21999999999999975</v>
      </c>
      <c r="E1178" s="11">
        <f t="shared" ref="E1178" si="1650">IF(D1153="","",MAX(F1178,G1178))</f>
        <v>0.55999999999999517</v>
      </c>
      <c r="F1178" s="10">
        <f t="shared" ref="F1178" si="1651">ABS(MIN(D1178:D1187))</f>
        <v>0.21999999999999975</v>
      </c>
      <c r="G1178" s="10">
        <f t="shared" ref="G1178" si="1652">ABS(MAX(D1178:D1187))</f>
        <v>0.55999999999999517</v>
      </c>
      <c r="J1178" s="24" t="str">
        <f t="shared" ref="J1178" si="1653">CONCATENATE(K1177,1)</f>
        <v>91</v>
      </c>
      <c r="K1178" s="6" t="e">
        <f t="array" ref="K1178:R1180">LINEST(B1162:B1170,C1162:C1170^{1,2,3,4,5,6,7},TRUE,TRUE)</f>
        <v>#VALUE!</v>
      </c>
      <c r="L1178" s="6" t="e">
        <v>#VALUE!</v>
      </c>
      <c r="M1178" s="6" t="e">
        <v>#VALUE!</v>
      </c>
      <c r="N1178" s="6" t="e">
        <v>#VALUE!</v>
      </c>
      <c r="O1178" s="6" t="e">
        <v>#VALUE!</v>
      </c>
      <c r="P1178" s="6" t="e">
        <v>#VALUE!</v>
      </c>
      <c r="Q1178" s="6" t="e">
        <v>#VALUE!</v>
      </c>
      <c r="R1178" s="6" t="e">
        <v>#VALUE!</v>
      </c>
      <c r="T1178" s="9"/>
      <c r="U1178" s="1">
        <f t="shared" si="1547"/>
        <v>27</v>
      </c>
      <c r="V1178" s="1">
        <f t="shared" si="1548"/>
        <v>233</v>
      </c>
    </row>
    <row r="1179" spans="1:22" x14ac:dyDescent="0.3">
      <c r="A1179" s="1">
        <f t="shared" si="1583"/>
        <v>27234</v>
      </c>
      <c r="B1179" s="12">
        <f t="shared" si="1647"/>
        <v>-0.41999999999999815</v>
      </c>
      <c r="C1179" s="13">
        <f t="shared" si="1648"/>
        <v>-0.25</v>
      </c>
      <c r="D1179" s="10">
        <f t="shared" si="1649"/>
        <v>0.16999999999999815</v>
      </c>
      <c r="E1179" s="74" t="s">
        <v>38</v>
      </c>
      <c r="F1179" s="75"/>
      <c r="G1179" s="76"/>
      <c r="J1179" s="24" t="str">
        <f t="shared" ref="J1179" si="1654">CONCATENATE(K1177,2)</f>
        <v>92</v>
      </c>
      <c r="K1179" s="6" t="e">
        <v>#VALUE!</v>
      </c>
      <c r="L1179" s="6" t="e">
        <v>#VALUE!</v>
      </c>
      <c r="M1179" s="6" t="e">
        <v>#VALUE!</v>
      </c>
      <c r="N1179" s="6" t="e">
        <v>#VALUE!</v>
      </c>
      <c r="O1179" s="6" t="e">
        <v>#VALUE!</v>
      </c>
      <c r="P1179" s="6" t="e">
        <v>#VALUE!</v>
      </c>
      <c r="Q1179" s="6" t="e">
        <v>#VALUE!</v>
      </c>
      <c r="R1179" s="6" t="e">
        <v>#VALUE!</v>
      </c>
      <c r="T1179" s="9"/>
      <c r="U1179" s="1">
        <f t="shared" ref="U1179:U1242" si="1655">U1178</f>
        <v>27</v>
      </c>
      <c r="V1179" s="1">
        <f t="shared" ref="V1179:V1242" si="1656">V1178+1</f>
        <v>234</v>
      </c>
    </row>
    <row r="1180" spans="1:22" x14ac:dyDescent="0.3">
      <c r="A1180" s="1">
        <f t="shared" si="1583"/>
        <v>27235</v>
      </c>
      <c r="B1180" s="12">
        <f t="shared" si="1647"/>
        <v>-0.10000000000000142</v>
      </c>
      <c r="C1180" s="13">
        <f t="shared" si="1648"/>
        <v>-5.0000000000000711E-2</v>
      </c>
      <c r="D1180" s="10">
        <f t="shared" si="1649"/>
        <v>5.0000000000000711E-2</v>
      </c>
      <c r="E1180" s="11">
        <f t="shared" ref="E1180" si="1657">IF(D1153="","",MAX(F1180,G1180))</f>
        <v>0.96999999999999886</v>
      </c>
      <c r="F1180" s="10">
        <f t="shared" ref="F1180" si="1658">ABS(MIN(B1178:B1187))</f>
        <v>0.41999999999999815</v>
      </c>
      <c r="G1180" s="10">
        <f t="shared" ref="G1180" si="1659">ABS(MAX(B1178:B1187))</f>
        <v>0.96999999999999886</v>
      </c>
      <c r="J1180" s="24" t="str">
        <f t="shared" ref="J1180" si="1660">CONCATENATE(K1177,3)</f>
        <v>93</v>
      </c>
      <c r="K1180" s="6" t="e">
        <v>#VALUE!</v>
      </c>
      <c r="L1180" s="6" t="e">
        <v>#VALUE!</v>
      </c>
      <c r="M1180" s="6" t="e">
        <v>#VALUE!</v>
      </c>
      <c r="N1180" s="6" t="e">
        <v>#VALUE!</v>
      </c>
      <c r="O1180" s="6" t="e">
        <v>#VALUE!</v>
      </c>
      <c r="P1180" s="6" t="e">
        <v>#VALUE!</v>
      </c>
      <c r="Q1180" s="6" t="e">
        <v>#VALUE!</v>
      </c>
      <c r="R1180" s="6" t="e">
        <v>#VALUE!</v>
      </c>
      <c r="T1180" s="9"/>
      <c r="U1180" s="1">
        <f t="shared" si="1655"/>
        <v>27</v>
      </c>
      <c r="V1180" s="1">
        <f t="shared" si="1656"/>
        <v>235</v>
      </c>
    </row>
    <row r="1181" spans="1:22" x14ac:dyDescent="0.3">
      <c r="A1181" s="1">
        <f t="shared" si="1583"/>
        <v>27236</v>
      </c>
      <c r="B1181" s="12">
        <f t="shared" si="1647"/>
        <v>0.21000000000000085</v>
      </c>
      <c r="C1181" s="13">
        <f t="shared" si="1648"/>
        <v>0.76999999999999602</v>
      </c>
      <c r="D1181" s="10">
        <f t="shared" si="1649"/>
        <v>0.55999999999999517</v>
      </c>
      <c r="E1181" s="74" t="s">
        <v>39</v>
      </c>
      <c r="F1181" s="75"/>
      <c r="G1181" s="76"/>
      <c r="K1181" s="1">
        <v>10</v>
      </c>
      <c r="L1181" s="1">
        <v>10</v>
      </c>
      <c r="M1181" s="1">
        <v>10</v>
      </c>
      <c r="N1181" s="1">
        <v>10</v>
      </c>
      <c r="O1181" s="1">
        <v>10</v>
      </c>
      <c r="P1181" s="1">
        <v>10</v>
      </c>
      <c r="Q1181" s="1">
        <v>10</v>
      </c>
      <c r="R1181" s="1">
        <v>10</v>
      </c>
      <c r="S1181" s="1">
        <v>10</v>
      </c>
      <c r="T1181" s="9"/>
      <c r="U1181" s="1">
        <f t="shared" si="1655"/>
        <v>27</v>
      </c>
      <c r="V1181" s="1">
        <f t="shared" si="1656"/>
        <v>236</v>
      </c>
    </row>
    <row r="1182" spans="1:22" x14ac:dyDescent="0.3">
      <c r="A1182" s="1">
        <f t="shared" si="1583"/>
        <v>27237</v>
      </c>
      <c r="B1182" s="12">
        <f t="shared" si="1647"/>
        <v>0.92000000000000171</v>
      </c>
      <c r="C1182" s="13">
        <f t="shared" si="1648"/>
        <v>0.98000000000000398</v>
      </c>
      <c r="D1182" s="10">
        <f t="shared" si="1649"/>
        <v>6.0000000000002274E-2</v>
      </c>
      <c r="E1182" s="11">
        <f t="shared" ref="E1182" si="1661">IF(D1153="","",MAX(F1182,G1182))</f>
        <v>0.93</v>
      </c>
      <c r="F1182" s="10">
        <f t="shared" ref="F1182" si="1662">ABS(MIN(D1162:D1171))</f>
        <v>0.25</v>
      </c>
      <c r="G1182" s="10">
        <f t="shared" ref="G1182" si="1663">ABS(MAX(D1162:D1171))</f>
        <v>0.93</v>
      </c>
      <c r="J1182" s="24" t="str">
        <f t="shared" ref="J1182" si="1664">CONCATENATE(K1181,1)</f>
        <v>101</v>
      </c>
      <c r="K1182" s="6" t="e">
        <f t="array" ref="K1182:S1184">LINEST(B1162:B1171,C1162:C1171^{1,2,3,4,5,6,7,8},TRUE,TRUE)</f>
        <v>#VALUE!</v>
      </c>
      <c r="L1182" s="6" t="e">
        <v>#VALUE!</v>
      </c>
      <c r="M1182" s="6" t="e">
        <v>#VALUE!</v>
      </c>
      <c r="N1182" s="6" t="e">
        <v>#VALUE!</v>
      </c>
      <c r="O1182" s="6" t="e">
        <v>#VALUE!</v>
      </c>
      <c r="P1182" s="6" t="e">
        <v>#VALUE!</v>
      </c>
      <c r="Q1182" s="6" t="e">
        <v>#VALUE!</v>
      </c>
      <c r="R1182" s="6" t="e">
        <v>#VALUE!</v>
      </c>
      <c r="S1182" s="6" t="e">
        <v>#VALUE!</v>
      </c>
      <c r="T1182" s="9"/>
      <c r="U1182" s="1">
        <f t="shared" si="1655"/>
        <v>27</v>
      </c>
      <c r="V1182" s="1">
        <f t="shared" si="1656"/>
        <v>237</v>
      </c>
    </row>
    <row r="1183" spans="1:22" x14ac:dyDescent="0.3">
      <c r="A1183" s="1">
        <f t="shared" si="1583"/>
        <v>27238</v>
      </c>
      <c r="B1183" s="12">
        <f t="shared" si="1647"/>
        <v>0.96999999999999886</v>
      </c>
      <c r="C1183" s="13">
        <f t="shared" si="1648"/>
        <v>1.2599999999999909</v>
      </c>
      <c r="D1183" s="10">
        <f t="shared" si="1649"/>
        <v>0.28999999999999204</v>
      </c>
      <c r="J1183" s="24" t="str">
        <f t="shared" ref="J1183" si="1665">CONCATENATE(K1181,2)</f>
        <v>102</v>
      </c>
      <c r="K1183" s="6" t="e">
        <v>#VALUE!</v>
      </c>
      <c r="L1183" s="6" t="e">
        <v>#VALUE!</v>
      </c>
      <c r="M1183" s="6" t="e">
        <v>#VALUE!</v>
      </c>
      <c r="N1183" s="6" t="e">
        <v>#VALUE!</v>
      </c>
      <c r="O1183" s="6" t="e">
        <v>#VALUE!</v>
      </c>
      <c r="P1183" s="6" t="e">
        <v>#VALUE!</v>
      </c>
      <c r="Q1183" s="6" t="e">
        <v>#VALUE!</v>
      </c>
      <c r="R1183" s="6" t="e">
        <v>#VALUE!</v>
      </c>
      <c r="S1183" s="6" t="e">
        <v>#VALUE!</v>
      </c>
      <c r="T1183" s="9"/>
      <c r="U1183" s="1">
        <f t="shared" si="1655"/>
        <v>27</v>
      </c>
      <c r="V1183" s="1">
        <f t="shared" si="1656"/>
        <v>238</v>
      </c>
    </row>
    <row r="1184" spans="1:22" x14ac:dyDescent="0.3">
      <c r="A1184" s="1">
        <f t="shared" si="1583"/>
        <v>27239</v>
      </c>
      <c r="B1184" s="12">
        <f t="shared" si="1647"/>
        <v>0</v>
      </c>
      <c r="C1184" s="13">
        <f t="shared" si="1648"/>
        <v>0</v>
      </c>
      <c r="D1184" s="10">
        <f t="shared" si="1649"/>
        <v>0</v>
      </c>
      <c r="J1184" s="24" t="str">
        <f t="shared" ref="J1184" si="1666">CONCATENATE(K1181,3)</f>
        <v>103</v>
      </c>
      <c r="K1184" s="6" t="e">
        <v>#VALUE!</v>
      </c>
      <c r="L1184" s="6" t="e">
        <v>#VALUE!</v>
      </c>
      <c r="M1184" s="6" t="e">
        <v>#VALUE!</v>
      </c>
      <c r="N1184" s="6" t="e">
        <v>#VALUE!</v>
      </c>
      <c r="O1184" s="6" t="e">
        <v>#VALUE!</v>
      </c>
      <c r="P1184" s="6" t="e">
        <v>#VALUE!</v>
      </c>
      <c r="Q1184" s="6" t="e">
        <v>#VALUE!</v>
      </c>
      <c r="R1184" s="6" t="e">
        <v>#VALUE!</v>
      </c>
      <c r="S1184" s="6" t="e">
        <v>#VALUE!</v>
      </c>
      <c r="T1184" s="9"/>
      <c r="U1184" s="1">
        <f t="shared" si="1655"/>
        <v>27</v>
      </c>
      <c r="V1184" s="1">
        <f t="shared" si="1656"/>
        <v>239</v>
      </c>
    </row>
    <row r="1185" spans="1:22" x14ac:dyDescent="0.3">
      <c r="A1185" s="1">
        <f t="shared" si="1583"/>
        <v>27240</v>
      </c>
      <c r="B1185" s="12">
        <f t="shared" si="1647"/>
        <v>0</v>
      </c>
      <c r="C1185" s="13">
        <f t="shared" si="1648"/>
        <v>0</v>
      </c>
      <c r="D1185" s="10">
        <f t="shared" si="1649"/>
        <v>0</v>
      </c>
      <c r="J1185" s="9"/>
      <c r="K1185" s="9"/>
      <c r="L1185" s="9"/>
      <c r="M1185" s="9"/>
      <c r="N1185" s="9"/>
      <c r="O1185" s="9"/>
      <c r="P1185" s="9"/>
      <c r="Q1185" s="9"/>
      <c r="R1185" s="9"/>
      <c r="S1185" s="9"/>
      <c r="T1185" s="9"/>
      <c r="U1185" s="1">
        <f t="shared" si="1655"/>
        <v>27</v>
      </c>
      <c r="V1185" s="1">
        <f t="shared" si="1656"/>
        <v>240</v>
      </c>
    </row>
    <row r="1186" spans="1:22" x14ac:dyDescent="0.3">
      <c r="A1186" s="1">
        <f t="shared" si="1583"/>
        <v>27241</v>
      </c>
      <c r="B1186" s="12">
        <f t="shared" si="1647"/>
        <v>0</v>
      </c>
      <c r="C1186" s="13">
        <f t="shared" si="1648"/>
        <v>0</v>
      </c>
      <c r="D1186" s="10">
        <f t="shared" si="1649"/>
        <v>0</v>
      </c>
      <c r="J1186" s="9"/>
      <c r="K1186" s="9"/>
      <c r="L1186" s="9"/>
      <c r="M1186" s="9"/>
      <c r="N1186" s="9"/>
      <c r="O1186" s="9"/>
      <c r="P1186" s="9"/>
      <c r="Q1186" s="9"/>
      <c r="R1186" s="9"/>
      <c r="S1186" s="9"/>
      <c r="T1186" s="9"/>
      <c r="U1186" s="1">
        <f t="shared" si="1655"/>
        <v>27</v>
      </c>
      <c r="V1186" s="1">
        <f t="shared" si="1656"/>
        <v>241</v>
      </c>
    </row>
    <row r="1187" spans="1:22" x14ac:dyDescent="0.3">
      <c r="A1187" s="1">
        <f t="shared" si="1583"/>
        <v>27242</v>
      </c>
      <c r="B1187" s="12">
        <f t="shared" si="1647"/>
        <v>0</v>
      </c>
      <c r="C1187" s="13">
        <f t="shared" si="1648"/>
        <v>0</v>
      </c>
      <c r="D1187" s="10">
        <f t="shared" si="1649"/>
        <v>0</v>
      </c>
      <c r="J1187" s="9"/>
      <c r="K1187" s="9"/>
      <c r="L1187" s="9"/>
      <c r="M1187" s="9"/>
      <c r="N1187" s="9"/>
      <c r="O1187" s="9"/>
      <c r="P1187" s="9"/>
      <c r="Q1187" s="9"/>
      <c r="R1187" s="9"/>
      <c r="S1187" s="9"/>
      <c r="T1187" s="9"/>
      <c r="U1187" s="1">
        <f t="shared" si="1655"/>
        <v>27</v>
      </c>
      <c r="V1187" s="1">
        <f t="shared" si="1656"/>
        <v>242</v>
      </c>
    </row>
    <row r="1188" spans="1:22" x14ac:dyDescent="0.3">
      <c r="A1188" s="1">
        <f t="shared" si="1583"/>
        <v>27243</v>
      </c>
      <c r="J1188" s="9"/>
      <c r="K1188" s="9"/>
      <c r="L1188" s="9"/>
      <c r="M1188" s="9"/>
      <c r="N1188" s="9"/>
      <c r="O1188" s="9"/>
      <c r="P1188" s="9"/>
      <c r="Q1188" s="9"/>
      <c r="R1188" s="9"/>
      <c r="S1188" s="9"/>
      <c r="T1188" s="9"/>
      <c r="U1188" s="1">
        <f t="shared" si="1655"/>
        <v>27</v>
      </c>
      <c r="V1188" s="1">
        <f t="shared" si="1656"/>
        <v>243</v>
      </c>
    </row>
    <row r="1189" spans="1:22" s="5" customFormat="1" x14ac:dyDescent="0.3"/>
    <row r="1190" spans="1:22" x14ac:dyDescent="0.3">
      <c r="A1190" s="1">
        <f t="shared" ref="A1190:A1232" si="1667">ROUND(CONCATENATE(U1190,V1190),0)</f>
        <v>28201</v>
      </c>
      <c r="B1190" s="96" t="s">
        <v>0</v>
      </c>
      <c r="C1190" s="97"/>
      <c r="D1190" s="110" t="s">
        <v>46</v>
      </c>
      <c r="E1190" s="111"/>
      <c r="F1190" s="111"/>
      <c r="G1190" s="111"/>
      <c r="H1190" s="112"/>
      <c r="J1190" s="9"/>
      <c r="K1190" s="9"/>
      <c r="L1190" s="9"/>
      <c r="M1190" s="9"/>
      <c r="N1190" s="9"/>
      <c r="O1190" s="9"/>
      <c r="P1190" s="9"/>
      <c r="Q1190" s="9"/>
      <c r="R1190" s="9"/>
      <c r="S1190" s="9"/>
      <c r="T1190" s="9"/>
      <c r="U1190" s="1">
        <f t="shared" ref="U1190" si="1668">U1188+1</f>
        <v>28</v>
      </c>
      <c r="V1190" s="1">
        <v>201</v>
      </c>
    </row>
    <row r="1191" spans="1:22" x14ac:dyDescent="0.3">
      <c r="A1191" s="1">
        <f t="shared" si="1667"/>
        <v>28202</v>
      </c>
      <c r="B1191" s="96" t="s">
        <v>1</v>
      </c>
      <c r="C1191" s="97"/>
      <c r="D1191" s="15">
        <v>20</v>
      </c>
      <c r="E1191" s="16" t="s">
        <v>2</v>
      </c>
      <c r="F1191" s="107"/>
      <c r="G1191" s="108"/>
      <c r="H1191" s="109"/>
      <c r="J1191" s="9"/>
      <c r="K1191" s="9"/>
      <c r="L1191" s="9"/>
      <c r="M1191" s="9"/>
      <c r="N1191" s="9"/>
      <c r="O1191" s="9"/>
      <c r="P1191" s="9"/>
      <c r="Q1191" s="9"/>
      <c r="R1191" s="9"/>
      <c r="S1191" s="9"/>
      <c r="T1191" s="9"/>
      <c r="U1191" s="1">
        <f t="shared" ref="U1191" si="1669">U1190</f>
        <v>28</v>
      </c>
      <c r="V1191" s="1">
        <f t="shared" ref="V1191" si="1670">V1190+1</f>
        <v>202</v>
      </c>
    </row>
    <row r="1192" spans="1:22" x14ac:dyDescent="0.3">
      <c r="A1192" s="1">
        <f t="shared" si="1667"/>
        <v>28203</v>
      </c>
      <c r="B1192" s="96" t="s">
        <v>12</v>
      </c>
      <c r="C1192" s="97"/>
      <c r="D1192" s="110" t="s">
        <v>322</v>
      </c>
      <c r="E1192" s="111"/>
      <c r="F1192" s="111"/>
      <c r="G1192" s="111"/>
      <c r="H1192" s="112"/>
      <c r="K1192" s="1" t="s">
        <v>3</v>
      </c>
      <c r="L1192" s="1" t="s">
        <v>4</v>
      </c>
      <c r="M1192" s="1" t="s">
        <v>5</v>
      </c>
      <c r="N1192" s="1" t="s">
        <v>6</v>
      </c>
      <c r="O1192" s="1" t="s">
        <v>7</v>
      </c>
      <c r="P1192" s="1" t="s">
        <v>8</v>
      </c>
      <c r="Q1192" s="1" t="s">
        <v>9</v>
      </c>
      <c r="R1192" s="1" t="s">
        <v>10</v>
      </c>
      <c r="S1192" s="1" t="s">
        <v>11</v>
      </c>
      <c r="T1192" s="9"/>
      <c r="U1192" s="1">
        <f t="shared" si="1655"/>
        <v>28</v>
      </c>
      <c r="V1192" s="1">
        <f t="shared" si="1656"/>
        <v>203</v>
      </c>
    </row>
    <row r="1193" spans="1:22" x14ac:dyDescent="0.3">
      <c r="A1193" s="1">
        <f t="shared" si="1667"/>
        <v>28204</v>
      </c>
      <c r="B1193" s="96" t="s">
        <v>13</v>
      </c>
      <c r="C1193" s="97"/>
      <c r="D1193" s="110" t="s">
        <v>65</v>
      </c>
      <c r="E1193" s="111"/>
      <c r="F1193" s="111"/>
      <c r="G1193" s="111"/>
      <c r="H1193" s="112"/>
      <c r="J1193" s="1">
        <f t="shared" ref="J1193" si="1671">COUNTA(B1206:B1215)</f>
        <v>6</v>
      </c>
      <c r="K1193" s="1">
        <f t="shared" ref="K1193" si="1672">IF(L1193-1&lt;2,0,L1193-1)</f>
        <v>0</v>
      </c>
      <c r="L1193" s="1">
        <f t="shared" ref="L1193" si="1673">IF(M1193-1&lt;2,0,M1193-1)</f>
        <v>0</v>
      </c>
      <c r="M1193" s="1">
        <f t="shared" ref="M1193" si="1674">IF(N1193-1&lt;2,0,N1193-1)</f>
        <v>0</v>
      </c>
      <c r="N1193" s="1">
        <f t="shared" ref="N1193" si="1675">IF(O1193-1&lt;2,0,O1193-1)</f>
        <v>0</v>
      </c>
      <c r="O1193" s="1">
        <f t="shared" ref="O1193" si="1676">IF(P1193-1&lt;2,0,P1193-1)</f>
        <v>2</v>
      </c>
      <c r="P1193" s="1">
        <f t="shared" ref="P1193" si="1677">IF(Q1193-1&lt;2,0,Q1193-1)</f>
        <v>3</v>
      </c>
      <c r="Q1193" s="1">
        <f t="shared" ref="Q1193" si="1678">IF(R1193-1&lt;2,0,R1193-1)</f>
        <v>4</v>
      </c>
      <c r="R1193" s="1">
        <f t="shared" ref="R1193" si="1679">IF(S1193-1&lt;2,0,S1193-1)</f>
        <v>5</v>
      </c>
      <c r="S1193" s="1">
        <f t="shared" ref="S1193" si="1680">J1193</f>
        <v>6</v>
      </c>
      <c r="T1193" s="9"/>
      <c r="U1193" s="1">
        <f t="shared" si="1655"/>
        <v>28</v>
      </c>
      <c r="V1193" s="1">
        <f t="shared" si="1656"/>
        <v>204</v>
      </c>
    </row>
    <row r="1194" spans="1:22" x14ac:dyDescent="0.3">
      <c r="A1194" s="1">
        <f t="shared" si="1667"/>
        <v>28205</v>
      </c>
      <c r="B1194" s="96" t="s">
        <v>14</v>
      </c>
      <c r="C1194" s="97"/>
      <c r="D1194" s="110" t="s">
        <v>66</v>
      </c>
      <c r="E1194" s="111"/>
      <c r="F1194" s="111"/>
      <c r="G1194" s="111"/>
      <c r="H1194" s="112"/>
      <c r="J1194" s="24" t="str">
        <f t="shared" ref="J1194" si="1681">CONCATENATE(J1193,1)</f>
        <v>61</v>
      </c>
      <c r="K1194" s="25">
        <f t="shared" ref="K1194" si="1682">IF(K1193=0,0,VLOOKUP(J1194,J1198:S1228,K1193,FALSE))</f>
        <v>0</v>
      </c>
      <c r="L1194" s="25">
        <f t="shared" ref="L1194" si="1683">IF(L1193=0,0,VLOOKUP(J1194,J1198:S1228,L1193,FALSE))</f>
        <v>0</v>
      </c>
      <c r="M1194" s="25">
        <f t="shared" ref="M1194" si="1684">IF(M1193=0,0,VLOOKUP(J1194,J1198:S1228,M1193,FALSE))</f>
        <v>0</v>
      </c>
      <c r="N1194" s="25">
        <f t="shared" ref="N1194" si="1685">IF(N1193=0,0,VLOOKUP(J1194,J1198:S1228,N1193,FALSE))</f>
        <v>0</v>
      </c>
      <c r="O1194" s="25">
        <f t="shared" ref="O1194" si="1686">IF(O1193=0,0,VLOOKUP(J1194,J1198:S1228,O1193,FALSE))</f>
        <v>-1.0863305621617384E-7</v>
      </c>
      <c r="P1194" s="25">
        <f t="shared" ref="P1194" si="1687">IF(P1193=0,0,VLOOKUP(J1194,J1198:S1228,P1193,FALSE))</f>
        <v>1.6304673757770385E-5</v>
      </c>
      <c r="Q1194" s="25">
        <f t="shared" ref="Q1194" si="1688">IF(Q1193=0,0,VLOOKUP(J1194,J1198:S1228,Q1193,FALSE))</f>
        <v>-3.7878043491504132E-4</v>
      </c>
      <c r="R1194" s="25">
        <f t="shared" ref="R1194" si="1689">IF(R1193=0,0,VLOOKUP(J1194,J1198:S1228,R1193,FALSE))</f>
        <v>0.98207721071576493</v>
      </c>
      <c r="S1194" s="25">
        <f t="shared" ref="S1194" si="1690">IF(S1193=0,0,VLOOKUP(J1194,J1198:S1228,S1193,FALSE))</f>
        <v>0.87745907256762434</v>
      </c>
      <c r="T1194" s="9"/>
      <c r="U1194" s="1">
        <f t="shared" si="1655"/>
        <v>28</v>
      </c>
      <c r="V1194" s="1">
        <f t="shared" si="1656"/>
        <v>205</v>
      </c>
    </row>
    <row r="1195" spans="1:22" x14ac:dyDescent="0.3">
      <c r="A1195" s="1">
        <f t="shared" si="1667"/>
        <v>28206</v>
      </c>
      <c r="B1195" s="96" t="s">
        <v>15</v>
      </c>
      <c r="C1195" s="97"/>
      <c r="D1195" s="110" t="s">
        <v>342</v>
      </c>
      <c r="E1195" s="111"/>
      <c r="F1195" s="111"/>
      <c r="G1195" s="111"/>
      <c r="H1195" s="112"/>
      <c r="J1195" s="24" t="str">
        <f t="shared" ref="J1195" si="1691">CONCATENATE(J1193,2)</f>
        <v>62</v>
      </c>
      <c r="K1195" s="6">
        <f t="shared" ref="K1195" si="1692">IF(K1193=0,0,VLOOKUP(J1195,J1198:S1228,K1193,FALSE))</f>
        <v>0</v>
      </c>
      <c r="L1195" s="6">
        <f t="shared" ref="L1195" si="1693">IF(L1193=0,0,VLOOKUP(J1195,J1198:S1228,L1193,FALSE))</f>
        <v>0</v>
      </c>
      <c r="M1195" s="6">
        <f t="shared" ref="M1195" si="1694">IF(M1193=0,0,VLOOKUP(J1195,J1198:S1228,M1193,FALSE))</f>
        <v>0</v>
      </c>
      <c r="N1195" s="6">
        <f t="shared" ref="N1195" si="1695">IF(N1193=0,0,VLOOKUP(J1195,J1198:S1228,N1193,FALSE))</f>
        <v>0</v>
      </c>
      <c r="O1195" s="6">
        <f t="shared" ref="O1195" si="1696">IF(O1193=0,0,VLOOKUP(J1195,J1198:S1228,O1193,FALSE))</f>
        <v>1.3301729635304613E-7</v>
      </c>
      <c r="P1195" s="6">
        <f t="shared" ref="P1195" si="1697">IF(P1193=0,0,VLOOKUP(J1195,J1198:S1228,P1193,FALSE))</f>
        <v>2.702104365117676E-5</v>
      </c>
      <c r="Q1195" s="6">
        <f t="shared" ref="Q1195" si="1698">IF(Q1193=0,0,VLOOKUP(J1195,J1198:S1228,Q1193,FALSE))</f>
        <v>1.7751709659665675E-3</v>
      </c>
      <c r="R1195" s="6">
        <f t="shared" ref="R1195" si="1699">IF(R1193=0,0,VLOOKUP(J1195,J1198:S1228,R1193,FALSE))</f>
        <v>4.1156797978728753E-2</v>
      </c>
      <c r="S1195" s="6">
        <f t="shared" ref="S1195" si="1700">IF(S1193=0,0,VLOOKUP(J1195,J1198:S1228,S1193,FALSE))</f>
        <v>0.26325467430692073</v>
      </c>
      <c r="T1195" s="9"/>
      <c r="U1195" s="1">
        <f t="shared" si="1655"/>
        <v>28</v>
      </c>
      <c r="V1195" s="1">
        <f t="shared" si="1656"/>
        <v>206</v>
      </c>
    </row>
    <row r="1196" spans="1:22" x14ac:dyDescent="0.3">
      <c r="A1196" s="1">
        <f t="shared" si="1667"/>
        <v>28207</v>
      </c>
      <c r="B1196" s="96" t="s">
        <v>16</v>
      </c>
      <c r="C1196" s="97"/>
      <c r="D1196" s="113">
        <v>45989</v>
      </c>
      <c r="E1196" s="114"/>
      <c r="F1196" s="114"/>
      <c r="G1196" s="114"/>
      <c r="H1196" s="115"/>
      <c r="J1196" s="24" t="str">
        <f t="shared" ref="J1196" si="1701">CONCATENATE(J1193,3)</f>
        <v>63</v>
      </c>
      <c r="K1196" s="6"/>
      <c r="L1196" s="6"/>
      <c r="M1196" s="6"/>
      <c r="N1196" s="6" t="s">
        <v>43</v>
      </c>
      <c r="O1196" s="25">
        <f t="shared" ref="O1196" si="1702">J1193-2</f>
        <v>4</v>
      </c>
      <c r="P1196" s="6" t="s">
        <v>44</v>
      </c>
      <c r="Q1196" s="25">
        <f t="shared" ref="Q1196" si="1703">VLOOKUP(J1196,J1198:S1228,3,FALSE)</f>
        <v>0.15520648576805929</v>
      </c>
      <c r="R1196" s="6" t="s">
        <v>45</v>
      </c>
      <c r="S1196" s="6">
        <f t="shared" ref="S1196" si="1704">VLOOKUP(J1196,J1198:S1228,2,FALSE)</f>
        <v>0.99999628050937339</v>
      </c>
      <c r="T1196" s="9"/>
      <c r="U1196" s="1">
        <f t="shared" si="1655"/>
        <v>28</v>
      </c>
      <c r="V1196" s="1">
        <f t="shared" si="1656"/>
        <v>207</v>
      </c>
    </row>
    <row r="1197" spans="1:22" x14ac:dyDescent="0.3">
      <c r="A1197" s="1">
        <f t="shared" si="1667"/>
        <v>28208</v>
      </c>
      <c r="B1197" s="96" t="s">
        <v>17</v>
      </c>
      <c r="C1197" s="97"/>
      <c r="D1197" s="116">
        <v>46170</v>
      </c>
      <c r="E1197" s="117"/>
      <c r="F1197" s="117"/>
      <c r="G1197" s="117"/>
      <c r="H1197" s="118"/>
      <c r="K1197" s="1">
        <v>3</v>
      </c>
      <c r="L1197" s="1">
        <v>3</v>
      </c>
      <c r="Q1197" s="26"/>
      <c r="R1197" s="26"/>
      <c r="S1197" s="26"/>
      <c r="T1197" s="9"/>
      <c r="U1197" s="1">
        <f t="shared" si="1655"/>
        <v>28</v>
      </c>
      <c r="V1197" s="1">
        <f t="shared" si="1656"/>
        <v>208</v>
      </c>
    </row>
    <row r="1198" spans="1:22" x14ac:dyDescent="0.3">
      <c r="A1198" s="1">
        <f t="shared" si="1667"/>
        <v>28209</v>
      </c>
      <c r="B1198" s="77" t="s">
        <v>19</v>
      </c>
      <c r="C1198" s="78"/>
      <c r="D1198" s="17">
        <v>0.01</v>
      </c>
      <c r="E1198" s="79" t="s">
        <v>40</v>
      </c>
      <c r="F1198" s="80"/>
      <c r="G1198" s="81"/>
      <c r="H1198" s="18" t="s">
        <v>72</v>
      </c>
      <c r="J1198" s="24" t="str">
        <f t="shared" ref="J1198" si="1705">CONCATENATE(K1197,1)</f>
        <v>31</v>
      </c>
      <c r="K1198" s="6">
        <f t="array" ref="K1198:L1200">LINEST(B1206:B1208,C1206:C1208^{1},TRUE,TRUE)</f>
        <v>0.97944039559358453</v>
      </c>
      <c r="L1198" s="6">
        <v>0.89936282378222288</v>
      </c>
      <c r="Q1198" s="9"/>
      <c r="R1198" s="9"/>
      <c r="S1198" s="9"/>
      <c r="T1198" s="9"/>
      <c r="U1198" s="1">
        <f t="shared" si="1655"/>
        <v>28</v>
      </c>
      <c r="V1198" s="1">
        <f t="shared" si="1656"/>
        <v>209</v>
      </c>
    </row>
    <row r="1199" spans="1:22" x14ac:dyDescent="0.3">
      <c r="A1199" s="1">
        <f t="shared" si="1667"/>
        <v>28210</v>
      </c>
      <c r="B1199" s="77" t="s">
        <v>41</v>
      </c>
      <c r="C1199" s="78"/>
      <c r="D1199" s="23">
        <f t="shared" ref="D1199" si="1706">MIN(B1206:B1215)</f>
        <v>5.01</v>
      </c>
      <c r="E1199" s="20" t="s">
        <v>18</v>
      </c>
      <c r="F1199" s="19">
        <f t="shared" ref="F1199" si="1707">MAX(B1206:B1215)</f>
        <v>97.96</v>
      </c>
      <c r="G1199" s="21" t="str">
        <f t="shared" ref="G1199" si="1708">IF(H1198="","",H1198)</f>
        <v>%ur</v>
      </c>
      <c r="H1199" s="22"/>
      <c r="J1199" s="24" t="str">
        <f t="shared" ref="J1199" si="1709">CONCATENATE(K1197,2)</f>
        <v>32</v>
      </c>
      <c r="K1199" s="6">
        <v>5.437111763413713E-3</v>
      </c>
      <c r="L1199" s="6">
        <v>0.11232956668776471</v>
      </c>
      <c r="Q1199" s="9"/>
      <c r="R1199" s="9"/>
      <c r="S1199" s="9"/>
      <c r="T1199" s="9"/>
      <c r="U1199" s="1">
        <f t="shared" si="1655"/>
        <v>28</v>
      </c>
      <c r="V1199" s="1">
        <f t="shared" si="1656"/>
        <v>210</v>
      </c>
    </row>
    <row r="1200" spans="1:22" x14ac:dyDescent="0.3">
      <c r="A1200" s="1">
        <f t="shared" si="1667"/>
        <v>28211</v>
      </c>
      <c r="J1200" s="24" t="str">
        <f t="shared" ref="J1200" si="1710">CONCATENATE(K1197,3)</f>
        <v>33</v>
      </c>
      <c r="K1200" s="6">
        <v>0.99996918464937068</v>
      </c>
      <c r="L1200" s="6">
        <v>9.8710800252284514E-2</v>
      </c>
      <c r="Q1200" s="9"/>
      <c r="R1200" s="9"/>
      <c r="S1200" s="9"/>
      <c r="T1200" s="9"/>
      <c r="U1200" s="1">
        <f t="shared" si="1655"/>
        <v>28</v>
      </c>
      <c r="V1200" s="1">
        <f t="shared" si="1656"/>
        <v>211</v>
      </c>
    </row>
    <row r="1201" spans="1:22" x14ac:dyDescent="0.3">
      <c r="A1201" s="1">
        <f t="shared" si="1667"/>
        <v>28212</v>
      </c>
      <c r="B1201" s="82" t="s">
        <v>20</v>
      </c>
      <c r="C1201" s="83"/>
      <c r="D1201" s="83"/>
      <c r="E1201" s="83"/>
      <c r="F1201" s="84"/>
      <c r="G1201" s="85" t="s">
        <v>31</v>
      </c>
      <c r="H1201" s="86"/>
      <c r="K1201" s="1">
        <v>4</v>
      </c>
      <c r="L1201" s="1">
        <v>4</v>
      </c>
      <c r="M1201" s="1">
        <v>4</v>
      </c>
      <c r="Q1201" s="9"/>
      <c r="R1201" s="9"/>
      <c r="S1201" s="9"/>
      <c r="T1201" s="9"/>
      <c r="U1201" s="1">
        <f t="shared" si="1655"/>
        <v>28</v>
      </c>
      <c r="V1201" s="1">
        <f t="shared" si="1656"/>
        <v>212</v>
      </c>
    </row>
    <row r="1202" spans="1:22" x14ac:dyDescent="0.3">
      <c r="A1202" s="1">
        <f t="shared" si="1667"/>
        <v>28213</v>
      </c>
      <c r="B1202" s="82" t="s">
        <v>30</v>
      </c>
      <c r="C1202" s="83"/>
      <c r="D1202" s="84"/>
      <c r="E1202" s="82" t="str">
        <f t="shared" ref="E1202" si="1711">D1195</f>
        <v>E0845/25</v>
      </c>
      <c r="F1202" s="84"/>
      <c r="G1202" s="6" t="s">
        <v>32</v>
      </c>
      <c r="H1202" s="7" t="s">
        <v>323</v>
      </c>
      <c r="J1202" s="24" t="str">
        <f t="shared" ref="J1202" si="1712">CONCATENATE(K1201,1)</f>
        <v>41</v>
      </c>
      <c r="K1202" s="6">
        <f t="array" ref="K1202:M1204">LINEST(B1206:B1209,C1206:C1209^{1,2},TRUE,TRUE)</f>
        <v>4.7987187231114334E-4</v>
      </c>
      <c r="L1202" s="6">
        <v>0.96551572339420122</v>
      </c>
      <c r="M1202" s="6">
        <v>0.94939760181724342</v>
      </c>
      <c r="Q1202" s="9"/>
      <c r="R1202" s="9"/>
      <c r="S1202" s="9"/>
      <c r="T1202" s="9"/>
      <c r="U1202" s="1">
        <f t="shared" si="1655"/>
        <v>28</v>
      </c>
      <c r="V1202" s="1">
        <f t="shared" si="1656"/>
        <v>213</v>
      </c>
    </row>
    <row r="1203" spans="1:22" x14ac:dyDescent="0.3">
      <c r="A1203" s="1">
        <f t="shared" si="1667"/>
        <v>28214</v>
      </c>
      <c r="B1203" s="2" t="s">
        <v>21</v>
      </c>
      <c r="C1203" s="2" t="s">
        <v>22</v>
      </c>
      <c r="D1203" s="2" t="s">
        <v>23</v>
      </c>
      <c r="E1203" s="2"/>
      <c r="F1203" s="2" t="s">
        <v>28</v>
      </c>
      <c r="G1203" s="2" t="s">
        <v>21</v>
      </c>
      <c r="H1203" s="2" t="s">
        <v>22</v>
      </c>
      <c r="J1203" s="24" t="str">
        <f t="shared" ref="J1203" si="1713">CONCATENATE(K1201,2)</f>
        <v>42</v>
      </c>
      <c r="K1203" s="6">
        <v>3.4341620134154633E-4</v>
      </c>
      <c r="L1203" s="6">
        <v>1.9411961253218087E-2</v>
      </c>
      <c r="M1203" s="6">
        <v>0.22314521711320287</v>
      </c>
      <c r="Q1203" s="9"/>
      <c r="R1203" s="9"/>
      <c r="S1203" s="9"/>
      <c r="T1203" s="9"/>
      <c r="U1203" s="1">
        <f t="shared" si="1655"/>
        <v>28</v>
      </c>
      <c r="V1203" s="1">
        <f t="shared" si="1656"/>
        <v>214</v>
      </c>
    </row>
    <row r="1204" spans="1:22" x14ac:dyDescent="0.3">
      <c r="A1204" s="1">
        <f t="shared" si="1667"/>
        <v>28215</v>
      </c>
      <c r="B1204" s="2" t="s">
        <v>24</v>
      </c>
      <c r="C1204" s="2" t="s">
        <v>25</v>
      </c>
      <c r="D1204" s="2" t="s">
        <v>26</v>
      </c>
      <c r="E1204" s="2" t="s">
        <v>27</v>
      </c>
      <c r="F1204" s="2" t="s">
        <v>29</v>
      </c>
      <c r="G1204" s="2" t="s">
        <v>24</v>
      </c>
      <c r="H1204" s="2" t="s">
        <v>25</v>
      </c>
      <c r="J1204" s="24" t="str">
        <f t="shared" ref="J1204" si="1714">CONCATENATE(K1201,3)</f>
        <v>43</v>
      </c>
      <c r="K1204" s="6">
        <v>0.99997431432666406</v>
      </c>
      <c r="L1204" s="6">
        <v>0.16567352906401123</v>
      </c>
      <c r="M1204" s="6" t="e">
        <v>#N/A</v>
      </c>
      <c r="Q1204" s="9"/>
      <c r="R1204" s="9"/>
      <c r="S1204" s="9"/>
      <c r="T1204" s="9"/>
      <c r="U1204" s="1">
        <f t="shared" si="1655"/>
        <v>28</v>
      </c>
      <c r="V1204" s="1">
        <f t="shared" si="1656"/>
        <v>215</v>
      </c>
    </row>
    <row r="1205" spans="1:22" x14ac:dyDescent="0.3">
      <c r="A1205" s="1">
        <f t="shared" si="1667"/>
        <v>28216</v>
      </c>
      <c r="B1205" s="3" t="str">
        <f t="shared" ref="B1205" si="1715">H1198</f>
        <v>%ur</v>
      </c>
      <c r="C1205" s="3" t="str">
        <f t="shared" ref="C1205:D1205" si="1716">B1205</f>
        <v>%ur</v>
      </c>
      <c r="D1205" s="3" t="str">
        <f t="shared" si="1716"/>
        <v>%ur</v>
      </c>
      <c r="E1205" s="3"/>
      <c r="F1205" s="3"/>
      <c r="G1205" s="3" t="str">
        <f t="shared" ref="G1205" si="1717">D1205</f>
        <v>%ur</v>
      </c>
      <c r="H1205" s="3" t="str">
        <f t="shared" ref="H1205" si="1718">G1205</f>
        <v>%ur</v>
      </c>
      <c r="K1205" s="1">
        <v>5</v>
      </c>
      <c r="L1205" s="1">
        <v>5</v>
      </c>
      <c r="M1205" s="1">
        <v>5</v>
      </c>
      <c r="N1205" s="1">
        <v>5</v>
      </c>
      <c r="Q1205" s="9"/>
      <c r="R1205" s="9"/>
      <c r="S1205" s="9"/>
      <c r="T1205" s="9"/>
      <c r="U1205" s="1">
        <f t="shared" si="1655"/>
        <v>28</v>
      </c>
      <c r="V1205" s="1">
        <f t="shared" si="1656"/>
        <v>216</v>
      </c>
    </row>
    <row r="1206" spans="1:22" x14ac:dyDescent="0.3">
      <c r="A1206" s="1">
        <f t="shared" si="1667"/>
        <v>28217</v>
      </c>
      <c r="B1206" s="41">
        <v>5.01</v>
      </c>
      <c r="C1206" s="41">
        <v>4.2300000000000004</v>
      </c>
      <c r="D1206" s="4">
        <v>0.25</v>
      </c>
      <c r="E1206" s="4">
        <v>2.0299999999999998</v>
      </c>
      <c r="F1206" s="14">
        <v>87</v>
      </c>
      <c r="G1206" s="7">
        <v>5</v>
      </c>
      <c r="H1206" s="7">
        <v>5.32</v>
      </c>
      <c r="J1206" s="24" t="str">
        <f t="shared" ref="J1206" si="1719">CONCATENATE(K1205,1)</f>
        <v>51</v>
      </c>
      <c r="K1206" s="6">
        <f t="array" ref="K1206:N1208">LINEST(B1206:B1210,C1206:C1210^{1,2,3},TRUE,TRUE)</f>
        <v>-1.6221645098537768E-6</v>
      </c>
      <c r="L1206" s="6">
        <v>5.5798879360219604E-4</v>
      </c>
      <c r="M1206" s="6">
        <v>0.96543030969741472</v>
      </c>
      <c r="N1206" s="6">
        <v>0.94046572903725023</v>
      </c>
      <c r="Q1206" s="9"/>
      <c r="R1206" s="9"/>
      <c r="S1206" s="9"/>
      <c r="T1206" s="9"/>
      <c r="U1206" s="1">
        <f t="shared" si="1655"/>
        <v>28</v>
      </c>
      <c r="V1206" s="1">
        <f t="shared" si="1656"/>
        <v>217</v>
      </c>
    </row>
    <row r="1207" spans="1:22" x14ac:dyDescent="0.3">
      <c r="A1207" s="1">
        <f t="shared" si="1667"/>
        <v>28218</v>
      </c>
      <c r="B1207" s="41">
        <v>20.010000000000002</v>
      </c>
      <c r="C1207" s="41">
        <v>19.43</v>
      </c>
      <c r="D1207" s="4">
        <v>0.27</v>
      </c>
      <c r="E1207" s="4">
        <v>2.04</v>
      </c>
      <c r="F1207" s="14">
        <v>65</v>
      </c>
      <c r="G1207" s="7">
        <v>20</v>
      </c>
      <c r="H1207" s="7">
        <v>20.12</v>
      </c>
      <c r="J1207" s="24" t="str">
        <f t="shared" ref="J1207" si="1720">CONCATENATE(K1205,2)</f>
        <v>52</v>
      </c>
      <c r="K1207" s="6">
        <v>7.6683978615231478E-6</v>
      </c>
      <c r="L1207" s="6">
        <v>9.4704065461231662E-4</v>
      </c>
      <c r="M1207" s="6">
        <v>3.1001295988692997E-2</v>
      </c>
      <c r="N1207" s="6">
        <v>0.26032945897512866</v>
      </c>
      <c r="T1207" s="9"/>
      <c r="U1207" s="1">
        <f t="shared" si="1655"/>
        <v>28</v>
      </c>
      <c r="V1207" s="1">
        <f t="shared" si="1656"/>
        <v>218</v>
      </c>
    </row>
    <row r="1208" spans="1:22" x14ac:dyDescent="0.3">
      <c r="A1208" s="1">
        <f t="shared" si="1667"/>
        <v>28219</v>
      </c>
      <c r="B1208" s="41">
        <v>29.99</v>
      </c>
      <c r="C1208" s="41">
        <v>29.75</v>
      </c>
      <c r="D1208" s="4">
        <v>0.35</v>
      </c>
      <c r="E1208" s="4">
        <v>2.04</v>
      </c>
      <c r="F1208" s="14">
        <v>67</v>
      </c>
      <c r="G1208" s="7">
        <v>29.98</v>
      </c>
      <c r="H1208" s="7">
        <v>30.16</v>
      </c>
      <c r="J1208" s="24" t="str">
        <f t="shared" ref="J1208" si="1721">CONCATENATE(K1205,3)</f>
        <v>53</v>
      </c>
      <c r="K1208" s="6">
        <v>0.9999911266797924</v>
      </c>
      <c r="L1208" s="6">
        <v>0.17318865341170131</v>
      </c>
      <c r="M1208" s="6" t="e">
        <v>#N/A</v>
      </c>
      <c r="N1208" s="6" t="e">
        <v>#N/A</v>
      </c>
      <c r="T1208" s="9"/>
      <c r="U1208" s="1">
        <f t="shared" si="1655"/>
        <v>28</v>
      </c>
      <c r="V1208" s="1">
        <f t="shared" si="1656"/>
        <v>219</v>
      </c>
    </row>
    <row r="1209" spans="1:22" x14ac:dyDescent="0.3">
      <c r="A1209" s="1">
        <f t="shared" si="1667"/>
        <v>28220</v>
      </c>
      <c r="B1209" s="41">
        <v>50.01</v>
      </c>
      <c r="C1209" s="41">
        <v>49.57</v>
      </c>
      <c r="D1209" s="4">
        <v>0.55000000000000004</v>
      </c>
      <c r="E1209" s="4">
        <v>2.04</v>
      </c>
      <c r="F1209" s="14">
        <v>67</v>
      </c>
      <c r="G1209" s="7">
        <v>50</v>
      </c>
      <c r="H1209" s="7">
        <v>49.9</v>
      </c>
      <c r="K1209" s="1">
        <v>6</v>
      </c>
      <c r="L1209" s="1">
        <v>6</v>
      </c>
      <c r="M1209" s="1">
        <v>6</v>
      </c>
      <c r="N1209" s="1">
        <v>6</v>
      </c>
      <c r="O1209" s="1">
        <v>6</v>
      </c>
      <c r="T1209" s="9"/>
      <c r="U1209" s="1">
        <f t="shared" si="1655"/>
        <v>28</v>
      </c>
      <c r="V1209" s="1">
        <f t="shared" si="1656"/>
        <v>220</v>
      </c>
    </row>
    <row r="1210" spans="1:22" x14ac:dyDescent="0.3">
      <c r="A1210" s="1">
        <f t="shared" si="1667"/>
        <v>28221</v>
      </c>
      <c r="B1210" s="41">
        <v>80.010000000000005</v>
      </c>
      <c r="C1210" s="41">
        <v>79.12</v>
      </c>
      <c r="D1210" s="4">
        <v>0.83</v>
      </c>
      <c r="E1210" s="4">
        <v>2.04</v>
      </c>
      <c r="F1210" s="14">
        <v>68</v>
      </c>
      <c r="G1210" s="7">
        <v>79.989999999999995</v>
      </c>
      <c r="H1210" s="7">
        <v>79.64</v>
      </c>
      <c r="J1210" s="24" t="str">
        <f t="shared" ref="J1210" si="1722">CONCATENATE(K1209,1)</f>
        <v>61</v>
      </c>
      <c r="K1210" s="6">
        <f t="array" ref="K1210:O1212">LINEST(B1206:B1211,C1206:C1211^{1,2,3,4},TRUE,TRUE)</f>
        <v>-1.0863305621617384E-7</v>
      </c>
      <c r="L1210" s="6">
        <v>1.6304673757770385E-5</v>
      </c>
      <c r="M1210" s="6">
        <v>-3.7878043491504132E-4</v>
      </c>
      <c r="N1210" s="6">
        <v>0.98207721071576493</v>
      </c>
      <c r="O1210" s="6">
        <v>0.87745907256762434</v>
      </c>
      <c r="T1210" s="9"/>
      <c r="U1210" s="1">
        <f t="shared" si="1655"/>
        <v>28</v>
      </c>
      <c r="V1210" s="1">
        <f t="shared" si="1656"/>
        <v>221</v>
      </c>
    </row>
    <row r="1211" spans="1:22" x14ac:dyDescent="0.3">
      <c r="A1211" s="1">
        <f t="shared" si="1667"/>
        <v>28222</v>
      </c>
      <c r="B1211" s="41">
        <v>97.96</v>
      </c>
      <c r="C1211" s="41">
        <v>97.12</v>
      </c>
      <c r="D1211" s="4">
        <v>0.99</v>
      </c>
      <c r="E1211" s="4">
        <v>2.04</v>
      </c>
      <c r="F1211" s="14">
        <v>68</v>
      </c>
      <c r="G1211" s="7">
        <v>98</v>
      </c>
      <c r="H1211" s="7">
        <v>97.9</v>
      </c>
      <c r="J1211" s="24" t="str">
        <f t="shared" ref="J1211" si="1723">CONCATENATE(K1209,2)</f>
        <v>62</v>
      </c>
      <c r="K1211" s="6">
        <v>1.3301729635304613E-7</v>
      </c>
      <c r="L1211" s="6">
        <v>2.702104365117676E-5</v>
      </c>
      <c r="M1211" s="6">
        <v>1.7751709659665675E-3</v>
      </c>
      <c r="N1211" s="6">
        <v>4.1156797978728753E-2</v>
      </c>
      <c r="O1211" s="6">
        <v>0.26325467430692073</v>
      </c>
      <c r="T1211" s="9"/>
      <c r="U1211" s="1">
        <f t="shared" si="1655"/>
        <v>28</v>
      </c>
      <c r="V1211" s="1">
        <f t="shared" si="1656"/>
        <v>222</v>
      </c>
    </row>
    <row r="1212" spans="1:22" x14ac:dyDescent="0.3">
      <c r="A1212" s="1">
        <f t="shared" si="1667"/>
        <v>28223</v>
      </c>
      <c r="B1212" s="4"/>
      <c r="C1212" s="4"/>
      <c r="D1212" s="4"/>
      <c r="E1212" s="4"/>
      <c r="F1212" s="14"/>
      <c r="G1212" s="8"/>
      <c r="H1212" s="7"/>
      <c r="J1212" s="24" t="str">
        <f t="shared" ref="J1212" si="1724">CONCATENATE(K1209,3)</f>
        <v>63</v>
      </c>
      <c r="K1212" s="6">
        <v>0.99999628050937339</v>
      </c>
      <c r="L1212" s="6">
        <v>0.15520648576805929</v>
      </c>
      <c r="M1212" s="6" t="e">
        <v>#N/A</v>
      </c>
      <c r="N1212" s="6" t="e">
        <v>#N/A</v>
      </c>
      <c r="O1212" s="6" t="e">
        <v>#N/A</v>
      </c>
      <c r="T1212" s="9"/>
      <c r="U1212" s="1">
        <f t="shared" si="1655"/>
        <v>28</v>
      </c>
      <c r="V1212" s="1">
        <f t="shared" si="1656"/>
        <v>223</v>
      </c>
    </row>
    <row r="1213" spans="1:22" x14ac:dyDescent="0.3">
      <c r="A1213" s="1">
        <f t="shared" si="1667"/>
        <v>28224</v>
      </c>
      <c r="B1213" s="4"/>
      <c r="C1213" s="4"/>
      <c r="D1213" s="4"/>
      <c r="E1213" s="4"/>
      <c r="F1213" s="14"/>
      <c r="G1213" s="8"/>
      <c r="H1213" s="7"/>
      <c r="K1213" s="1">
        <v>7</v>
      </c>
      <c r="L1213" s="1">
        <v>7</v>
      </c>
      <c r="M1213" s="1">
        <v>7</v>
      </c>
      <c r="N1213" s="1">
        <v>7</v>
      </c>
      <c r="O1213" s="1">
        <v>7</v>
      </c>
      <c r="P1213" s="1">
        <v>7</v>
      </c>
      <c r="T1213" s="9"/>
      <c r="U1213" s="1">
        <f t="shared" si="1655"/>
        <v>28</v>
      </c>
      <c r="V1213" s="1">
        <f t="shared" si="1656"/>
        <v>224</v>
      </c>
    </row>
    <row r="1214" spans="1:22" x14ac:dyDescent="0.3">
      <c r="A1214" s="1">
        <f t="shared" si="1667"/>
        <v>28225</v>
      </c>
      <c r="B1214" s="4"/>
      <c r="C1214" s="4"/>
      <c r="D1214" s="4"/>
      <c r="E1214" s="4"/>
      <c r="F1214" s="14"/>
      <c r="G1214" s="8"/>
      <c r="H1214" s="7"/>
      <c r="J1214" s="24" t="str">
        <f t="shared" ref="J1214" si="1725">CONCATENATE(K1213,1)</f>
        <v>71</v>
      </c>
      <c r="K1214" s="6" t="e">
        <f t="array" ref="K1214:P1216">LINEST(B1206:B1212,C1206:C1212^{1,2,3,4,5},TRUE,TRUE)</f>
        <v>#VALUE!</v>
      </c>
      <c r="L1214" s="6" t="e">
        <v>#VALUE!</v>
      </c>
      <c r="M1214" s="6" t="e">
        <v>#VALUE!</v>
      </c>
      <c r="N1214" s="6" t="e">
        <v>#VALUE!</v>
      </c>
      <c r="O1214" s="6" t="e">
        <v>#VALUE!</v>
      </c>
      <c r="P1214" s="6" t="e">
        <v>#VALUE!</v>
      </c>
      <c r="T1214" s="9"/>
      <c r="U1214" s="1">
        <f t="shared" si="1655"/>
        <v>28</v>
      </c>
      <c r="V1214" s="1">
        <f t="shared" si="1656"/>
        <v>225</v>
      </c>
    </row>
    <row r="1215" spans="1:22" x14ac:dyDescent="0.3">
      <c r="A1215" s="1">
        <f t="shared" si="1667"/>
        <v>28226</v>
      </c>
      <c r="B1215" s="4"/>
      <c r="C1215" s="4"/>
      <c r="D1215" s="4"/>
      <c r="E1215" s="4"/>
      <c r="F1215" s="14"/>
      <c r="G1215" s="8"/>
      <c r="H1215" s="7"/>
      <c r="J1215" s="24" t="str">
        <f t="shared" ref="J1215" si="1726">CONCATENATE(K1213,2)</f>
        <v>72</v>
      </c>
      <c r="K1215" s="6" t="e">
        <v>#VALUE!</v>
      </c>
      <c r="L1215" s="6" t="e">
        <v>#VALUE!</v>
      </c>
      <c r="M1215" s="6" t="e">
        <v>#VALUE!</v>
      </c>
      <c r="N1215" s="6" t="e">
        <v>#VALUE!</v>
      </c>
      <c r="O1215" s="6" t="e">
        <v>#VALUE!</v>
      </c>
      <c r="P1215" s="6" t="e">
        <v>#VALUE!</v>
      </c>
      <c r="T1215" s="9"/>
      <c r="U1215" s="1">
        <f t="shared" si="1655"/>
        <v>28</v>
      </c>
      <c r="V1215" s="1">
        <f t="shared" si="1656"/>
        <v>226</v>
      </c>
    </row>
    <row r="1216" spans="1:22" x14ac:dyDescent="0.3">
      <c r="A1216" s="1">
        <f t="shared" si="1667"/>
        <v>28227</v>
      </c>
      <c r="B1216" s="9"/>
      <c r="C1216" s="9"/>
      <c r="D1216" s="9"/>
      <c r="E1216" s="9"/>
      <c r="F1216" s="9"/>
      <c r="G1216" s="9"/>
      <c r="H1216" s="9"/>
      <c r="J1216" s="24" t="str">
        <f t="shared" ref="J1216" si="1727">CONCATENATE(K1213,3)</f>
        <v>73</v>
      </c>
      <c r="K1216" s="6" t="e">
        <v>#VALUE!</v>
      </c>
      <c r="L1216" s="6" t="e">
        <v>#VALUE!</v>
      </c>
      <c r="M1216" s="6" t="e">
        <v>#VALUE!</v>
      </c>
      <c r="N1216" s="6" t="e">
        <v>#VALUE!</v>
      </c>
      <c r="O1216" s="6" t="e">
        <v>#VALUE!</v>
      </c>
      <c r="P1216" s="6" t="e">
        <v>#VALUE!</v>
      </c>
      <c r="T1216" s="9"/>
      <c r="U1216" s="1">
        <f t="shared" si="1655"/>
        <v>28</v>
      </c>
      <c r="V1216" s="1">
        <f t="shared" si="1656"/>
        <v>227</v>
      </c>
    </row>
    <row r="1217" spans="1:22" x14ac:dyDescent="0.3">
      <c r="A1217" s="1">
        <f t="shared" si="1667"/>
        <v>28228</v>
      </c>
      <c r="B1217" s="87" t="s">
        <v>33</v>
      </c>
      <c r="C1217" s="88"/>
      <c r="D1217" s="88"/>
      <c r="E1217" s="88"/>
      <c r="F1217" s="88"/>
      <c r="G1217" s="88"/>
      <c r="H1217" s="89"/>
      <c r="K1217" s="1">
        <v>8</v>
      </c>
      <c r="L1217" s="1">
        <v>8</v>
      </c>
      <c r="M1217" s="1">
        <v>8</v>
      </c>
      <c r="N1217" s="1">
        <v>8</v>
      </c>
      <c r="O1217" s="1">
        <v>8</v>
      </c>
      <c r="P1217" s="1">
        <v>8</v>
      </c>
      <c r="Q1217" s="1">
        <v>8</v>
      </c>
      <c r="T1217" s="9"/>
      <c r="U1217" s="1">
        <f t="shared" si="1655"/>
        <v>28</v>
      </c>
      <c r="V1217" s="1">
        <f t="shared" si="1656"/>
        <v>228</v>
      </c>
    </row>
    <row r="1218" spans="1:22" x14ac:dyDescent="0.3">
      <c r="A1218" s="1">
        <f t="shared" si="1667"/>
        <v>28229</v>
      </c>
      <c r="B1218" s="119"/>
      <c r="C1218" s="91"/>
      <c r="D1218" s="91"/>
      <c r="E1218" s="91"/>
      <c r="F1218" s="91"/>
      <c r="G1218" s="91"/>
      <c r="H1218" s="92"/>
      <c r="J1218" s="24" t="str">
        <f t="shared" ref="J1218" si="1728">CONCATENATE(K1217,1)</f>
        <v>81</v>
      </c>
      <c r="K1218" s="6" t="e">
        <f t="array" ref="K1218:Q1220">LINEST(B1206:B1213,C1206:C1213^{1,2,3,4,5,6},TRUE,TRUE)</f>
        <v>#VALUE!</v>
      </c>
      <c r="L1218" s="6" t="e">
        <v>#VALUE!</v>
      </c>
      <c r="M1218" s="6" t="e">
        <v>#VALUE!</v>
      </c>
      <c r="N1218" s="6" t="e">
        <v>#VALUE!</v>
      </c>
      <c r="O1218" s="6" t="e">
        <v>#VALUE!</v>
      </c>
      <c r="P1218" s="6" t="e">
        <v>#VALUE!</v>
      </c>
      <c r="Q1218" s="6" t="e">
        <v>#VALUE!</v>
      </c>
      <c r="T1218" s="9"/>
      <c r="U1218" s="1">
        <f t="shared" si="1655"/>
        <v>28</v>
      </c>
      <c r="V1218" s="1">
        <f t="shared" si="1656"/>
        <v>229</v>
      </c>
    </row>
    <row r="1219" spans="1:22" x14ac:dyDescent="0.3">
      <c r="A1219" s="1">
        <f t="shared" si="1667"/>
        <v>28230</v>
      </c>
      <c r="B1219" s="93"/>
      <c r="C1219" s="94"/>
      <c r="D1219" s="94"/>
      <c r="E1219" s="94"/>
      <c r="F1219" s="94"/>
      <c r="G1219" s="94"/>
      <c r="H1219" s="95"/>
      <c r="J1219" s="24" t="str">
        <f t="shared" ref="J1219" si="1729">CONCATENATE(K1217,2)</f>
        <v>82</v>
      </c>
      <c r="K1219" s="6" t="e">
        <v>#VALUE!</v>
      </c>
      <c r="L1219" s="6" t="e">
        <v>#VALUE!</v>
      </c>
      <c r="M1219" s="6" t="e">
        <v>#VALUE!</v>
      </c>
      <c r="N1219" s="6" t="e">
        <v>#VALUE!</v>
      </c>
      <c r="O1219" s="6" t="e">
        <v>#VALUE!</v>
      </c>
      <c r="P1219" s="6" t="e">
        <v>#VALUE!</v>
      </c>
      <c r="Q1219" s="6" t="e">
        <v>#VALUE!</v>
      </c>
      <c r="T1219" s="9"/>
      <c r="U1219" s="1">
        <f t="shared" si="1655"/>
        <v>28</v>
      </c>
      <c r="V1219" s="1">
        <f t="shared" si="1656"/>
        <v>230</v>
      </c>
    </row>
    <row r="1220" spans="1:22" x14ac:dyDescent="0.3">
      <c r="A1220" s="1">
        <f t="shared" si="1667"/>
        <v>28231</v>
      </c>
      <c r="J1220" s="24" t="str">
        <f t="shared" ref="J1220" si="1730">CONCATENATE(K1217,3)</f>
        <v>83</v>
      </c>
      <c r="K1220" s="6" t="e">
        <v>#VALUE!</v>
      </c>
      <c r="L1220" s="6" t="e">
        <v>#VALUE!</v>
      </c>
      <c r="M1220" s="6" t="e">
        <v>#VALUE!</v>
      </c>
      <c r="N1220" s="6" t="e">
        <v>#VALUE!</v>
      </c>
      <c r="O1220" s="6" t="e">
        <v>#VALUE!</v>
      </c>
      <c r="P1220" s="6" t="e">
        <v>#VALUE!</v>
      </c>
      <c r="Q1220" s="6" t="e">
        <v>#VALUE!</v>
      </c>
      <c r="T1220" s="9"/>
      <c r="U1220" s="1">
        <f t="shared" si="1655"/>
        <v>28</v>
      </c>
      <c r="V1220" s="1">
        <f t="shared" si="1656"/>
        <v>231</v>
      </c>
    </row>
    <row r="1221" spans="1:22" ht="15" customHeight="1" x14ac:dyDescent="0.3">
      <c r="A1221" s="1">
        <f t="shared" si="1667"/>
        <v>28232</v>
      </c>
      <c r="B1221" s="10" t="s">
        <v>34</v>
      </c>
      <c r="C1221" s="10" t="s">
        <v>35</v>
      </c>
      <c r="D1221" s="10" t="s">
        <v>36</v>
      </c>
      <c r="E1221" s="74" t="s">
        <v>37</v>
      </c>
      <c r="F1221" s="75"/>
      <c r="G1221" s="76"/>
      <c r="K1221" s="1">
        <v>9</v>
      </c>
      <c r="L1221" s="1">
        <v>9</v>
      </c>
      <c r="M1221" s="1">
        <v>9</v>
      </c>
      <c r="N1221" s="1">
        <v>9</v>
      </c>
      <c r="O1221" s="1">
        <v>9</v>
      </c>
      <c r="P1221" s="1">
        <v>9</v>
      </c>
      <c r="Q1221" s="1">
        <v>9</v>
      </c>
      <c r="R1221" s="1">
        <v>9</v>
      </c>
      <c r="T1221" s="9"/>
      <c r="U1221" s="1">
        <f t="shared" si="1655"/>
        <v>28</v>
      </c>
      <c r="V1221" s="1">
        <f t="shared" si="1656"/>
        <v>232</v>
      </c>
    </row>
    <row r="1222" spans="1:22" x14ac:dyDescent="0.3">
      <c r="A1222" s="1">
        <f t="shared" si="1667"/>
        <v>28233</v>
      </c>
      <c r="B1222" s="12">
        <f t="shared" ref="B1222:B1231" si="1731">C1206-B1206</f>
        <v>-0.77999999999999936</v>
      </c>
      <c r="C1222" s="13">
        <f t="shared" ref="C1222:C1231" si="1732">H1206-G1206</f>
        <v>0.32000000000000028</v>
      </c>
      <c r="D1222" s="10">
        <f t="shared" ref="D1222:D1231" si="1733">C1222-B1222</f>
        <v>1.0999999999999996</v>
      </c>
      <c r="E1222" s="11">
        <f t="shared" ref="E1222" si="1734">IF(D1197="","",MAX(F1222,G1222))</f>
        <v>1.0999999999999996</v>
      </c>
      <c r="F1222" s="10">
        <f t="shared" ref="F1222" si="1735">ABS(MIN(D1222:D1231))</f>
        <v>0</v>
      </c>
      <c r="G1222" s="10">
        <f t="shared" ref="G1222" si="1736">ABS(MAX(D1222:D1231))</f>
        <v>1.0999999999999996</v>
      </c>
      <c r="J1222" s="24" t="str">
        <f t="shared" ref="J1222" si="1737">CONCATENATE(K1221,1)</f>
        <v>91</v>
      </c>
      <c r="K1222" s="6" t="e">
        <f t="array" ref="K1222:R1224">LINEST(B1206:B1214,C1206:C1214^{1,2,3,4,5,6,7},TRUE,TRUE)</f>
        <v>#VALUE!</v>
      </c>
      <c r="L1222" s="6" t="e">
        <v>#VALUE!</v>
      </c>
      <c r="M1222" s="6" t="e">
        <v>#VALUE!</v>
      </c>
      <c r="N1222" s="6" t="e">
        <v>#VALUE!</v>
      </c>
      <c r="O1222" s="6" t="e">
        <v>#VALUE!</v>
      </c>
      <c r="P1222" s="6" t="e">
        <v>#VALUE!</v>
      </c>
      <c r="Q1222" s="6" t="e">
        <v>#VALUE!</v>
      </c>
      <c r="R1222" s="6" t="e">
        <v>#VALUE!</v>
      </c>
      <c r="T1222" s="9"/>
      <c r="U1222" s="1">
        <f t="shared" si="1655"/>
        <v>28</v>
      </c>
      <c r="V1222" s="1">
        <f t="shared" si="1656"/>
        <v>233</v>
      </c>
    </row>
    <row r="1223" spans="1:22" x14ac:dyDescent="0.3">
      <c r="A1223" s="1">
        <f t="shared" si="1667"/>
        <v>28234</v>
      </c>
      <c r="B1223" s="12">
        <f t="shared" si="1731"/>
        <v>-0.58000000000000185</v>
      </c>
      <c r="C1223" s="13">
        <f t="shared" si="1732"/>
        <v>0.12000000000000099</v>
      </c>
      <c r="D1223" s="10">
        <f t="shared" si="1733"/>
        <v>0.70000000000000284</v>
      </c>
      <c r="E1223" s="74" t="s">
        <v>38</v>
      </c>
      <c r="F1223" s="75"/>
      <c r="G1223" s="76"/>
      <c r="J1223" s="24" t="str">
        <f t="shared" ref="J1223" si="1738">CONCATENATE(K1221,2)</f>
        <v>92</v>
      </c>
      <c r="K1223" s="6" t="e">
        <v>#VALUE!</v>
      </c>
      <c r="L1223" s="6" t="e">
        <v>#VALUE!</v>
      </c>
      <c r="M1223" s="6" t="e">
        <v>#VALUE!</v>
      </c>
      <c r="N1223" s="6" t="e">
        <v>#VALUE!</v>
      </c>
      <c r="O1223" s="6" t="e">
        <v>#VALUE!</v>
      </c>
      <c r="P1223" s="6" t="e">
        <v>#VALUE!</v>
      </c>
      <c r="Q1223" s="6" t="e">
        <v>#VALUE!</v>
      </c>
      <c r="R1223" s="6" t="e">
        <v>#VALUE!</v>
      </c>
      <c r="T1223" s="9"/>
      <c r="U1223" s="1">
        <f t="shared" si="1655"/>
        <v>28</v>
      </c>
      <c r="V1223" s="1">
        <f t="shared" si="1656"/>
        <v>234</v>
      </c>
    </row>
    <row r="1224" spans="1:22" x14ac:dyDescent="0.3">
      <c r="A1224" s="1">
        <f t="shared" si="1667"/>
        <v>28235</v>
      </c>
      <c r="B1224" s="12">
        <f t="shared" si="1731"/>
        <v>-0.23999999999999844</v>
      </c>
      <c r="C1224" s="13">
        <f t="shared" si="1732"/>
        <v>0.17999999999999972</v>
      </c>
      <c r="D1224" s="10">
        <f t="shared" si="1733"/>
        <v>0.41999999999999815</v>
      </c>
      <c r="E1224" s="11">
        <f t="shared" ref="E1224" si="1739">IF(D1197="","",MAX(F1224,G1224))</f>
        <v>0.89000000000000057</v>
      </c>
      <c r="F1224" s="10">
        <f t="shared" ref="F1224" si="1740">ABS(MIN(B1222:B1231))</f>
        <v>0.89000000000000057</v>
      </c>
      <c r="G1224" s="10">
        <f t="shared" ref="G1224" si="1741">ABS(MAX(B1222:B1231))</f>
        <v>0</v>
      </c>
      <c r="J1224" s="24" t="str">
        <f t="shared" ref="J1224" si="1742">CONCATENATE(K1221,3)</f>
        <v>93</v>
      </c>
      <c r="K1224" s="6" t="e">
        <v>#VALUE!</v>
      </c>
      <c r="L1224" s="6" t="e">
        <v>#VALUE!</v>
      </c>
      <c r="M1224" s="6" t="e">
        <v>#VALUE!</v>
      </c>
      <c r="N1224" s="6" t="e">
        <v>#VALUE!</v>
      </c>
      <c r="O1224" s="6" t="e">
        <v>#VALUE!</v>
      </c>
      <c r="P1224" s="6" t="e">
        <v>#VALUE!</v>
      </c>
      <c r="Q1224" s="6" t="e">
        <v>#VALUE!</v>
      </c>
      <c r="R1224" s="6" t="e">
        <v>#VALUE!</v>
      </c>
      <c r="T1224" s="9"/>
      <c r="U1224" s="1">
        <f t="shared" si="1655"/>
        <v>28</v>
      </c>
      <c r="V1224" s="1">
        <f t="shared" si="1656"/>
        <v>235</v>
      </c>
    </row>
    <row r="1225" spans="1:22" x14ac:dyDescent="0.3">
      <c r="A1225" s="1">
        <f t="shared" si="1667"/>
        <v>28236</v>
      </c>
      <c r="B1225" s="12">
        <f t="shared" si="1731"/>
        <v>-0.43999999999999773</v>
      </c>
      <c r="C1225" s="13">
        <f t="shared" si="1732"/>
        <v>-0.10000000000000142</v>
      </c>
      <c r="D1225" s="10">
        <f t="shared" si="1733"/>
        <v>0.33999999999999631</v>
      </c>
      <c r="E1225" s="74" t="s">
        <v>39</v>
      </c>
      <c r="F1225" s="75"/>
      <c r="G1225" s="76"/>
      <c r="K1225" s="1">
        <v>10</v>
      </c>
      <c r="L1225" s="1">
        <v>10</v>
      </c>
      <c r="M1225" s="1">
        <v>10</v>
      </c>
      <c r="N1225" s="1">
        <v>10</v>
      </c>
      <c r="O1225" s="1">
        <v>10</v>
      </c>
      <c r="P1225" s="1">
        <v>10</v>
      </c>
      <c r="Q1225" s="1">
        <v>10</v>
      </c>
      <c r="R1225" s="1">
        <v>10</v>
      </c>
      <c r="S1225" s="1">
        <v>10</v>
      </c>
      <c r="T1225" s="9"/>
      <c r="U1225" s="1">
        <f t="shared" si="1655"/>
        <v>28</v>
      </c>
      <c r="V1225" s="1">
        <f t="shared" si="1656"/>
        <v>236</v>
      </c>
    </row>
    <row r="1226" spans="1:22" x14ac:dyDescent="0.3">
      <c r="A1226" s="1">
        <f t="shared" si="1667"/>
        <v>28237</v>
      </c>
      <c r="B1226" s="12">
        <f t="shared" si="1731"/>
        <v>-0.89000000000000057</v>
      </c>
      <c r="C1226" s="13">
        <f t="shared" si="1732"/>
        <v>-0.34999999999999432</v>
      </c>
      <c r="D1226" s="10">
        <f t="shared" si="1733"/>
        <v>0.54000000000000625</v>
      </c>
      <c r="E1226" s="11">
        <f t="shared" ref="E1226" si="1743">IF(D1197="","",MAX(F1226,G1226))</f>
        <v>0.99</v>
      </c>
      <c r="F1226" s="10">
        <f t="shared" ref="F1226" si="1744">ABS(MIN(D1206:D1215))</f>
        <v>0.25</v>
      </c>
      <c r="G1226" s="10">
        <f t="shared" ref="G1226" si="1745">ABS(MAX(D1206:D1215))</f>
        <v>0.99</v>
      </c>
      <c r="J1226" s="24" t="str">
        <f t="shared" ref="J1226" si="1746">CONCATENATE(K1225,1)</f>
        <v>101</v>
      </c>
      <c r="K1226" s="6" t="e">
        <f t="array" ref="K1226:S1228">LINEST(B1206:B1215,C1206:C1215^{1,2,3,4,5,6,7,8},TRUE,TRUE)</f>
        <v>#VALUE!</v>
      </c>
      <c r="L1226" s="6" t="e">
        <v>#VALUE!</v>
      </c>
      <c r="M1226" s="6" t="e">
        <v>#VALUE!</v>
      </c>
      <c r="N1226" s="6" t="e">
        <v>#VALUE!</v>
      </c>
      <c r="O1226" s="6" t="e">
        <v>#VALUE!</v>
      </c>
      <c r="P1226" s="6" t="e">
        <v>#VALUE!</v>
      </c>
      <c r="Q1226" s="6" t="e">
        <v>#VALUE!</v>
      </c>
      <c r="R1226" s="6" t="e">
        <v>#VALUE!</v>
      </c>
      <c r="S1226" s="6" t="e">
        <v>#VALUE!</v>
      </c>
      <c r="T1226" s="9"/>
      <c r="U1226" s="1">
        <f t="shared" si="1655"/>
        <v>28</v>
      </c>
      <c r="V1226" s="1">
        <f t="shared" si="1656"/>
        <v>237</v>
      </c>
    </row>
    <row r="1227" spans="1:22" x14ac:dyDescent="0.3">
      <c r="A1227" s="1">
        <f t="shared" si="1667"/>
        <v>28238</v>
      </c>
      <c r="B1227" s="12">
        <f t="shared" si="1731"/>
        <v>-0.8399999999999892</v>
      </c>
      <c r="C1227" s="13">
        <f t="shared" si="1732"/>
        <v>-9.9999999999994316E-2</v>
      </c>
      <c r="D1227" s="10">
        <f t="shared" si="1733"/>
        <v>0.73999999999999488</v>
      </c>
      <c r="J1227" s="24" t="str">
        <f t="shared" ref="J1227" si="1747">CONCATENATE(K1225,2)</f>
        <v>102</v>
      </c>
      <c r="K1227" s="6" t="e">
        <v>#VALUE!</v>
      </c>
      <c r="L1227" s="6" t="e">
        <v>#VALUE!</v>
      </c>
      <c r="M1227" s="6" t="e">
        <v>#VALUE!</v>
      </c>
      <c r="N1227" s="6" t="e">
        <v>#VALUE!</v>
      </c>
      <c r="O1227" s="6" t="e">
        <v>#VALUE!</v>
      </c>
      <c r="P1227" s="6" t="e">
        <v>#VALUE!</v>
      </c>
      <c r="Q1227" s="6" t="e">
        <v>#VALUE!</v>
      </c>
      <c r="R1227" s="6" t="e">
        <v>#VALUE!</v>
      </c>
      <c r="S1227" s="6" t="e">
        <v>#VALUE!</v>
      </c>
      <c r="T1227" s="9"/>
      <c r="U1227" s="1">
        <f t="shared" si="1655"/>
        <v>28</v>
      </c>
      <c r="V1227" s="1">
        <f t="shared" si="1656"/>
        <v>238</v>
      </c>
    </row>
    <row r="1228" spans="1:22" x14ac:dyDescent="0.3">
      <c r="A1228" s="1">
        <f t="shared" si="1667"/>
        <v>28239</v>
      </c>
      <c r="B1228" s="12">
        <f t="shared" si="1731"/>
        <v>0</v>
      </c>
      <c r="C1228" s="13">
        <f t="shared" si="1732"/>
        <v>0</v>
      </c>
      <c r="D1228" s="10">
        <f t="shared" si="1733"/>
        <v>0</v>
      </c>
      <c r="J1228" s="24" t="str">
        <f t="shared" ref="J1228" si="1748">CONCATENATE(K1225,3)</f>
        <v>103</v>
      </c>
      <c r="K1228" s="6" t="e">
        <v>#VALUE!</v>
      </c>
      <c r="L1228" s="6" t="e">
        <v>#VALUE!</v>
      </c>
      <c r="M1228" s="6" t="e">
        <v>#VALUE!</v>
      </c>
      <c r="N1228" s="6" t="e">
        <v>#VALUE!</v>
      </c>
      <c r="O1228" s="6" t="e">
        <v>#VALUE!</v>
      </c>
      <c r="P1228" s="6" t="e">
        <v>#VALUE!</v>
      </c>
      <c r="Q1228" s="6" t="e">
        <v>#VALUE!</v>
      </c>
      <c r="R1228" s="6" t="e">
        <v>#VALUE!</v>
      </c>
      <c r="S1228" s="6" t="e">
        <v>#VALUE!</v>
      </c>
      <c r="T1228" s="9"/>
      <c r="U1228" s="1">
        <f t="shared" si="1655"/>
        <v>28</v>
      </c>
      <c r="V1228" s="1">
        <f t="shared" si="1656"/>
        <v>239</v>
      </c>
    </row>
    <row r="1229" spans="1:22" x14ac:dyDescent="0.3">
      <c r="A1229" s="1">
        <f t="shared" si="1667"/>
        <v>28240</v>
      </c>
      <c r="B1229" s="12">
        <f t="shared" si="1731"/>
        <v>0</v>
      </c>
      <c r="C1229" s="13">
        <f t="shared" si="1732"/>
        <v>0</v>
      </c>
      <c r="D1229" s="10">
        <f t="shared" si="1733"/>
        <v>0</v>
      </c>
      <c r="J1229" s="9"/>
      <c r="K1229" s="9"/>
      <c r="L1229" s="9"/>
      <c r="M1229" s="9"/>
      <c r="N1229" s="9"/>
      <c r="O1229" s="9"/>
      <c r="P1229" s="9"/>
      <c r="Q1229" s="9"/>
      <c r="R1229" s="9"/>
      <c r="S1229" s="9"/>
      <c r="T1229" s="9"/>
      <c r="U1229" s="1">
        <f t="shared" si="1655"/>
        <v>28</v>
      </c>
      <c r="V1229" s="1">
        <f t="shared" si="1656"/>
        <v>240</v>
      </c>
    </row>
    <row r="1230" spans="1:22" x14ac:dyDescent="0.3">
      <c r="A1230" s="1">
        <f t="shared" si="1667"/>
        <v>28241</v>
      </c>
      <c r="B1230" s="12">
        <f t="shared" si="1731"/>
        <v>0</v>
      </c>
      <c r="C1230" s="13">
        <f t="shared" si="1732"/>
        <v>0</v>
      </c>
      <c r="D1230" s="10">
        <f t="shared" si="1733"/>
        <v>0</v>
      </c>
      <c r="J1230" s="9"/>
      <c r="K1230" s="9"/>
      <c r="L1230" s="9"/>
      <c r="M1230" s="9"/>
      <c r="N1230" s="9"/>
      <c r="O1230" s="9"/>
      <c r="P1230" s="9"/>
      <c r="Q1230" s="9"/>
      <c r="R1230" s="9"/>
      <c r="S1230" s="9"/>
      <c r="T1230" s="9"/>
      <c r="U1230" s="1">
        <f t="shared" si="1655"/>
        <v>28</v>
      </c>
      <c r="V1230" s="1">
        <f t="shared" si="1656"/>
        <v>241</v>
      </c>
    </row>
    <row r="1231" spans="1:22" x14ac:dyDescent="0.3">
      <c r="A1231" s="1">
        <f t="shared" si="1667"/>
        <v>28242</v>
      </c>
      <c r="B1231" s="12">
        <f t="shared" si="1731"/>
        <v>0</v>
      </c>
      <c r="C1231" s="13">
        <f t="shared" si="1732"/>
        <v>0</v>
      </c>
      <c r="D1231" s="10">
        <f t="shared" si="1733"/>
        <v>0</v>
      </c>
      <c r="J1231" s="9"/>
      <c r="K1231" s="9"/>
      <c r="L1231" s="9"/>
      <c r="M1231" s="9"/>
      <c r="N1231" s="9"/>
      <c r="O1231" s="9"/>
      <c r="P1231" s="9"/>
      <c r="Q1231" s="9"/>
      <c r="R1231" s="9"/>
      <c r="S1231" s="9"/>
      <c r="T1231" s="9"/>
      <c r="U1231" s="1">
        <f t="shared" si="1655"/>
        <v>28</v>
      </c>
      <c r="V1231" s="1">
        <f t="shared" si="1656"/>
        <v>242</v>
      </c>
    </row>
    <row r="1232" spans="1:22" x14ac:dyDescent="0.3">
      <c r="A1232" s="1">
        <f t="shared" si="1667"/>
        <v>28243</v>
      </c>
      <c r="J1232" s="9"/>
      <c r="K1232" s="9"/>
      <c r="L1232" s="9"/>
      <c r="M1232" s="9"/>
      <c r="N1232" s="9"/>
      <c r="O1232" s="9"/>
      <c r="P1232" s="9"/>
      <c r="Q1232" s="9"/>
      <c r="R1232" s="9"/>
      <c r="S1232" s="9"/>
      <c r="T1232" s="9"/>
      <c r="U1232" s="1">
        <f t="shared" si="1655"/>
        <v>28</v>
      </c>
      <c r="V1232" s="1">
        <f t="shared" si="1656"/>
        <v>243</v>
      </c>
    </row>
    <row r="1233" spans="1:22" s="5" customFormat="1" x14ac:dyDescent="0.3"/>
    <row r="1234" spans="1:22" x14ac:dyDescent="0.3">
      <c r="A1234" s="1">
        <f t="shared" ref="A1234:A1276" si="1749">ROUND(CONCATENATE(U1234,V1234),0)</f>
        <v>29201</v>
      </c>
      <c r="B1234" s="96" t="s">
        <v>0</v>
      </c>
      <c r="C1234" s="97"/>
      <c r="D1234" s="110" t="s">
        <v>46</v>
      </c>
      <c r="E1234" s="111"/>
      <c r="F1234" s="111"/>
      <c r="G1234" s="111"/>
      <c r="H1234" s="112"/>
      <c r="J1234" s="9"/>
      <c r="K1234" s="9"/>
      <c r="L1234" s="9"/>
      <c r="M1234" s="9"/>
      <c r="N1234" s="9"/>
      <c r="O1234" s="9"/>
      <c r="P1234" s="9"/>
      <c r="Q1234" s="9"/>
      <c r="R1234" s="9"/>
      <c r="S1234" s="9"/>
      <c r="T1234" s="9"/>
      <c r="U1234" s="1">
        <f t="shared" ref="U1234" si="1750">U1232+1</f>
        <v>29</v>
      </c>
      <c r="V1234" s="1">
        <v>201</v>
      </c>
    </row>
    <row r="1235" spans="1:22" x14ac:dyDescent="0.3">
      <c r="A1235" s="1">
        <f t="shared" si="1749"/>
        <v>29202</v>
      </c>
      <c r="B1235" s="96" t="s">
        <v>1</v>
      </c>
      <c r="C1235" s="97"/>
      <c r="D1235" s="15">
        <v>25</v>
      </c>
      <c r="E1235" s="16" t="s">
        <v>2</v>
      </c>
      <c r="F1235" s="107"/>
      <c r="G1235" s="108"/>
      <c r="H1235" s="109"/>
      <c r="J1235" s="9"/>
      <c r="K1235" s="9"/>
      <c r="L1235" s="9"/>
      <c r="M1235" s="9"/>
      <c r="N1235" s="9"/>
      <c r="O1235" s="9"/>
      <c r="P1235" s="9"/>
      <c r="Q1235" s="9"/>
      <c r="R1235" s="9"/>
      <c r="S1235" s="9"/>
      <c r="T1235" s="9"/>
      <c r="U1235" s="1">
        <f t="shared" ref="U1235" si="1751">U1234</f>
        <v>29</v>
      </c>
      <c r="V1235" s="1">
        <f t="shared" ref="V1235" si="1752">V1234+1</f>
        <v>202</v>
      </c>
    </row>
    <row r="1236" spans="1:22" x14ac:dyDescent="0.3">
      <c r="A1236" s="1">
        <f t="shared" si="1749"/>
        <v>29203</v>
      </c>
      <c r="B1236" s="96" t="s">
        <v>12</v>
      </c>
      <c r="C1236" s="97"/>
      <c r="D1236" s="110" t="s">
        <v>322</v>
      </c>
      <c r="E1236" s="111"/>
      <c r="F1236" s="111"/>
      <c r="G1236" s="111"/>
      <c r="H1236" s="112"/>
      <c r="K1236" s="1" t="s">
        <v>3</v>
      </c>
      <c r="L1236" s="1" t="s">
        <v>4</v>
      </c>
      <c r="M1236" s="1" t="s">
        <v>5</v>
      </c>
      <c r="N1236" s="1" t="s">
        <v>6</v>
      </c>
      <c r="O1236" s="1" t="s">
        <v>7</v>
      </c>
      <c r="P1236" s="1" t="s">
        <v>8</v>
      </c>
      <c r="Q1236" s="1" t="s">
        <v>9</v>
      </c>
      <c r="R1236" s="1" t="s">
        <v>10</v>
      </c>
      <c r="S1236" s="1" t="s">
        <v>11</v>
      </c>
      <c r="T1236" s="9"/>
      <c r="U1236" s="1">
        <f t="shared" si="1655"/>
        <v>29</v>
      </c>
      <c r="V1236" s="1">
        <f t="shared" si="1656"/>
        <v>203</v>
      </c>
    </row>
    <row r="1237" spans="1:22" x14ac:dyDescent="0.3">
      <c r="A1237" s="1">
        <f t="shared" si="1749"/>
        <v>29204</v>
      </c>
      <c r="B1237" s="96" t="s">
        <v>13</v>
      </c>
      <c r="C1237" s="97"/>
      <c r="D1237" s="110" t="s">
        <v>65</v>
      </c>
      <c r="E1237" s="111"/>
      <c r="F1237" s="111"/>
      <c r="G1237" s="111"/>
      <c r="H1237" s="112"/>
      <c r="J1237" s="1">
        <f t="shared" ref="J1237" si="1753">COUNTA(B1250:B1259)</f>
        <v>6</v>
      </c>
      <c r="K1237" s="1">
        <f t="shared" ref="K1237" si="1754">IF(L1237-1&lt;2,0,L1237-1)</f>
        <v>0</v>
      </c>
      <c r="L1237" s="1">
        <f t="shared" ref="L1237" si="1755">IF(M1237-1&lt;2,0,M1237-1)</f>
        <v>0</v>
      </c>
      <c r="M1237" s="1">
        <f t="shared" ref="M1237" si="1756">IF(N1237-1&lt;2,0,N1237-1)</f>
        <v>0</v>
      </c>
      <c r="N1237" s="1">
        <f t="shared" ref="N1237" si="1757">IF(O1237-1&lt;2,0,O1237-1)</f>
        <v>0</v>
      </c>
      <c r="O1237" s="1">
        <f t="shared" ref="O1237" si="1758">IF(P1237-1&lt;2,0,P1237-1)</f>
        <v>2</v>
      </c>
      <c r="P1237" s="1">
        <f t="shared" ref="P1237" si="1759">IF(Q1237-1&lt;2,0,Q1237-1)</f>
        <v>3</v>
      </c>
      <c r="Q1237" s="1">
        <f t="shared" ref="Q1237" si="1760">IF(R1237-1&lt;2,0,R1237-1)</f>
        <v>4</v>
      </c>
      <c r="R1237" s="1">
        <f t="shared" ref="R1237" si="1761">IF(S1237-1&lt;2,0,S1237-1)</f>
        <v>5</v>
      </c>
      <c r="S1237" s="1">
        <f t="shared" ref="S1237" si="1762">J1237</f>
        <v>6</v>
      </c>
      <c r="T1237" s="9"/>
      <c r="U1237" s="1">
        <f t="shared" si="1655"/>
        <v>29</v>
      </c>
      <c r="V1237" s="1">
        <f t="shared" si="1656"/>
        <v>204</v>
      </c>
    </row>
    <row r="1238" spans="1:22" x14ac:dyDescent="0.3">
      <c r="A1238" s="1">
        <f t="shared" si="1749"/>
        <v>29205</v>
      </c>
      <c r="B1238" s="96" t="s">
        <v>14</v>
      </c>
      <c r="C1238" s="97"/>
      <c r="D1238" s="110" t="s">
        <v>66</v>
      </c>
      <c r="E1238" s="111"/>
      <c r="F1238" s="111"/>
      <c r="G1238" s="111"/>
      <c r="H1238" s="112"/>
      <c r="J1238" s="24" t="str">
        <f t="shared" ref="J1238" si="1763">CONCATENATE(J1237,1)</f>
        <v>61</v>
      </c>
      <c r="K1238" s="25">
        <f t="shared" ref="K1238" si="1764">IF(K1237=0,0,VLOOKUP(J1238,J1242:S1272,K1237,FALSE))</f>
        <v>0</v>
      </c>
      <c r="L1238" s="25">
        <f t="shared" ref="L1238" si="1765">IF(L1237=0,0,VLOOKUP(J1238,J1242:S1272,L1237,FALSE))</f>
        <v>0</v>
      </c>
      <c r="M1238" s="25">
        <f t="shared" ref="M1238" si="1766">IF(M1237=0,0,VLOOKUP(J1238,J1242:S1272,M1237,FALSE))</f>
        <v>0</v>
      </c>
      <c r="N1238" s="25">
        <f t="shared" ref="N1238" si="1767">IF(N1237=0,0,VLOOKUP(J1238,J1242:S1272,N1237,FALSE))</f>
        <v>0</v>
      </c>
      <c r="O1238" s="25">
        <f t="shared" ref="O1238" si="1768">IF(O1237=0,0,VLOOKUP(J1238,J1242:S1272,O1237,FALSE))</f>
        <v>2.0978538039685684E-8</v>
      </c>
      <c r="P1238" s="25">
        <f t="shared" ref="P1238" si="1769">IF(P1237=0,0,VLOOKUP(J1238,J1242:S1272,P1237,FALSE))</f>
        <v>-7.956036523882949E-6</v>
      </c>
      <c r="Q1238" s="25">
        <f t="shared" ref="Q1238" si="1770">IF(Q1237=0,0,VLOOKUP(J1238,J1242:S1272,Q1237,FALSE))</f>
        <v>9.7282138091953887E-4</v>
      </c>
      <c r="R1238" s="25">
        <f t="shared" ref="R1238" si="1771">IF(R1237=0,0,VLOOKUP(J1238,J1242:S1272,R1237,FALSE))</f>
        <v>0.95596949358817485</v>
      </c>
      <c r="S1238" s="25">
        <f t="shared" ref="S1238" si="1772">IF(S1237=0,0,VLOOKUP(J1238,J1242:S1272,S1237,FALSE))</f>
        <v>0.6438003024512402</v>
      </c>
      <c r="T1238" s="9"/>
      <c r="U1238" s="1">
        <f t="shared" si="1655"/>
        <v>29</v>
      </c>
      <c r="V1238" s="1">
        <f t="shared" si="1656"/>
        <v>205</v>
      </c>
    </row>
    <row r="1239" spans="1:22" x14ac:dyDescent="0.3">
      <c r="A1239" s="1">
        <f t="shared" si="1749"/>
        <v>29206</v>
      </c>
      <c r="B1239" s="96" t="s">
        <v>15</v>
      </c>
      <c r="C1239" s="97"/>
      <c r="D1239" s="110" t="s">
        <v>342</v>
      </c>
      <c r="E1239" s="111"/>
      <c r="F1239" s="111"/>
      <c r="G1239" s="111"/>
      <c r="H1239" s="112"/>
      <c r="J1239" s="24" t="str">
        <f t="shared" ref="J1239" si="1773">CONCATENATE(J1237,2)</f>
        <v>62</v>
      </c>
      <c r="K1239" s="6">
        <f t="shared" ref="K1239" si="1774">IF(K1237=0,0,VLOOKUP(J1239,J1242:S1272,K1237,FALSE))</f>
        <v>0</v>
      </c>
      <c r="L1239" s="6">
        <f t="shared" ref="L1239" si="1775">IF(L1237=0,0,VLOOKUP(J1239,J1242:S1272,L1237,FALSE))</f>
        <v>0</v>
      </c>
      <c r="M1239" s="6">
        <f t="shared" ref="M1239" si="1776">IF(M1237=0,0,VLOOKUP(J1239,J1242:S1272,M1237,FALSE))</f>
        <v>0</v>
      </c>
      <c r="N1239" s="6">
        <f t="shared" ref="N1239" si="1777">IF(N1237=0,0,VLOOKUP(J1239,J1242:S1272,N1237,FALSE))</f>
        <v>0</v>
      </c>
      <c r="O1239" s="6">
        <f t="shared" ref="O1239" si="1778">IF(O1237=0,0,VLOOKUP(J1239,J1242:S1272,O1237,FALSE))</f>
        <v>2.3562280778166084E-8</v>
      </c>
      <c r="P1239" s="6">
        <f t="shared" ref="P1239" si="1779">IF(P1237=0,0,VLOOKUP(J1239,J1242:S1272,P1237,FALSE))</f>
        <v>4.8360382351042747E-6</v>
      </c>
      <c r="Q1239" s="6">
        <f t="shared" ref="Q1239" si="1780">IF(Q1237=0,0,VLOOKUP(J1239,J1242:S1272,Q1237,FALSE))</f>
        <v>3.2154688975625384E-4</v>
      </c>
      <c r="R1239" s="6">
        <f t="shared" ref="R1239" si="1781">IF(R1237=0,0,VLOOKUP(J1239,J1242:S1272,R1237,FALSE))</f>
        <v>7.5718367986524213E-3</v>
      </c>
      <c r="S1239" s="6">
        <f t="shared" ref="S1239" si="1782">IF(S1237=0,0,VLOOKUP(J1239,J1242:S1272,S1237,FALSE))</f>
        <v>4.9413752989846807E-2</v>
      </c>
      <c r="T1239" s="9"/>
      <c r="U1239" s="1">
        <f t="shared" si="1655"/>
        <v>29</v>
      </c>
      <c r="V1239" s="1">
        <f t="shared" si="1656"/>
        <v>206</v>
      </c>
    </row>
    <row r="1240" spans="1:22" x14ac:dyDescent="0.3">
      <c r="A1240" s="1">
        <f t="shared" si="1749"/>
        <v>29207</v>
      </c>
      <c r="B1240" s="96" t="s">
        <v>16</v>
      </c>
      <c r="C1240" s="97"/>
      <c r="D1240" s="113">
        <v>45989</v>
      </c>
      <c r="E1240" s="114"/>
      <c r="F1240" s="114"/>
      <c r="G1240" s="114"/>
      <c r="H1240" s="115"/>
      <c r="J1240" s="24" t="str">
        <f t="shared" ref="J1240" si="1783">CONCATENATE(J1237,3)</f>
        <v>63</v>
      </c>
      <c r="K1240" s="6"/>
      <c r="L1240" s="6"/>
      <c r="M1240" s="6"/>
      <c r="N1240" s="6" t="s">
        <v>43</v>
      </c>
      <c r="O1240" s="25">
        <f t="shared" ref="O1240" si="1784">J1237-2</f>
        <v>4</v>
      </c>
      <c r="P1240" s="6" t="s">
        <v>44</v>
      </c>
      <c r="Q1240" s="25">
        <f t="shared" ref="Q1240" si="1785">VLOOKUP(J1240,J1242:S1272,3,FALSE)</f>
        <v>2.8016279150355317E-2</v>
      </c>
      <c r="R1240" s="6" t="s">
        <v>45</v>
      </c>
      <c r="S1240" s="6">
        <f t="shared" ref="S1240" si="1786">VLOOKUP(J1240,J1242:S1272,2,FALSE)</f>
        <v>0.99999987880587082</v>
      </c>
      <c r="T1240" s="9"/>
      <c r="U1240" s="1">
        <f t="shared" si="1655"/>
        <v>29</v>
      </c>
      <c r="V1240" s="1">
        <f t="shared" si="1656"/>
        <v>207</v>
      </c>
    </row>
    <row r="1241" spans="1:22" x14ac:dyDescent="0.3">
      <c r="A1241" s="1">
        <f t="shared" si="1749"/>
        <v>29208</v>
      </c>
      <c r="B1241" s="96" t="s">
        <v>17</v>
      </c>
      <c r="C1241" s="97"/>
      <c r="D1241" s="116">
        <v>46170</v>
      </c>
      <c r="E1241" s="117"/>
      <c r="F1241" s="117"/>
      <c r="G1241" s="117"/>
      <c r="H1241" s="118"/>
      <c r="K1241" s="1">
        <v>3</v>
      </c>
      <c r="L1241" s="1">
        <v>3</v>
      </c>
      <c r="Q1241" s="26"/>
      <c r="R1241" s="26"/>
      <c r="S1241" s="26"/>
      <c r="T1241" s="9"/>
      <c r="U1241" s="1">
        <f t="shared" si="1655"/>
        <v>29</v>
      </c>
      <c r="V1241" s="1">
        <f t="shared" si="1656"/>
        <v>208</v>
      </c>
    </row>
    <row r="1242" spans="1:22" x14ac:dyDescent="0.3">
      <c r="A1242" s="1">
        <f t="shared" si="1749"/>
        <v>29209</v>
      </c>
      <c r="B1242" s="77" t="s">
        <v>19</v>
      </c>
      <c r="C1242" s="78"/>
      <c r="D1242" s="17">
        <v>0.01</v>
      </c>
      <c r="E1242" s="79" t="s">
        <v>40</v>
      </c>
      <c r="F1242" s="80"/>
      <c r="G1242" s="81"/>
      <c r="H1242" s="18" t="s">
        <v>72</v>
      </c>
      <c r="J1242" s="24" t="str">
        <f t="shared" ref="J1242" si="1787">CONCATENATE(K1241,1)</f>
        <v>31</v>
      </c>
      <c r="K1242" s="6">
        <f t="array" ref="K1242:L1244">LINEST(B1250:B1252,C1250:C1252^{1},TRUE,TRUE)</f>
        <v>0.98084054300490509</v>
      </c>
      <c r="L1242" s="6">
        <v>0.53114134265096169</v>
      </c>
      <c r="Q1242" s="9"/>
      <c r="R1242" s="9"/>
      <c r="S1242" s="9"/>
      <c r="T1242" s="9"/>
      <c r="U1242" s="1">
        <f t="shared" si="1655"/>
        <v>29</v>
      </c>
      <c r="V1242" s="1">
        <f t="shared" si="1656"/>
        <v>209</v>
      </c>
    </row>
    <row r="1243" spans="1:22" x14ac:dyDescent="0.3">
      <c r="A1243" s="1">
        <f t="shared" si="1749"/>
        <v>29210</v>
      </c>
      <c r="B1243" s="77" t="s">
        <v>41</v>
      </c>
      <c r="C1243" s="78"/>
      <c r="D1243" s="23">
        <f t="shared" ref="D1243" si="1788">MIN(B1250:B1259)</f>
        <v>5.01</v>
      </c>
      <c r="E1243" s="20" t="s">
        <v>18</v>
      </c>
      <c r="F1243" s="19">
        <f t="shared" ref="F1243" si="1789">MAX(B1250:B1259)</f>
        <v>97.97</v>
      </c>
      <c r="G1243" s="21" t="str">
        <f t="shared" ref="G1243" si="1790">IF(H1242="","",H1242)</f>
        <v>%ur</v>
      </c>
      <c r="H1243" s="22"/>
      <c r="J1243" s="24" t="str">
        <f t="shared" ref="J1243" si="1791">CONCATENATE(K1241,2)</f>
        <v>32</v>
      </c>
      <c r="K1243" s="6">
        <v>2.7361601952839865E-3</v>
      </c>
      <c r="L1243" s="6">
        <v>5.7344543462589152E-2</v>
      </c>
      <c r="Q1243" s="9"/>
      <c r="R1243" s="9"/>
      <c r="S1243" s="9"/>
      <c r="T1243" s="9"/>
      <c r="U1243" s="1">
        <f t="shared" ref="U1243:U1306" si="1792">U1242</f>
        <v>29</v>
      </c>
      <c r="V1243" s="1">
        <f t="shared" ref="V1243:V1306" si="1793">V1242+1</f>
        <v>210</v>
      </c>
    </row>
    <row r="1244" spans="1:22" x14ac:dyDescent="0.3">
      <c r="A1244" s="1">
        <f t="shared" si="1749"/>
        <v>29211</v>
      </c>
      <c r="J1244" s="24" t="str">
        <f t="shared" ref="J1244" si="1794">CONCATENATE(K1241,3)</f>
        <v>33</v>
      </c>
      <c r="K1244" s="6">
        <v>0.99999221815021111</v>
      </c>
      <c r="L1244" s="6">
        <v>4.9636032459567048E-2</v>
      </c>
      <c r="Q1244" s="9"/>
      <c r="R1244" s="9"/>
      <c r="S1244" s="9"/>
      <c r="T1244" s="9"/>
      <c r="U1244" s="1">
        <f t="shared" si="1792"/>
        <v>29</v>
      </c>
      <c r="V1244" s="1">
        <f t="shared" si="1793"/>
        <v>211</v>
      </c>
    </row>
    <row r="1245" spans="1:22" x14ac:dyDescent="0.3">
      <c r="A1245" s="1">
        <f t="shared" si="1749"/>
        <v>29212</v>
      </c>
      <c r="B1245" s="82" t="s">
        <v>20</v>
      </c>
      <c r="C1245" s="83"/>
      <c r="D1245" s="83"/>
      <c r="E1245" s="83"/>
      <c r="F1245" s="84"/>
      <c r="G1245" s="85" t="s">
        <v>31</v>
      </c>
      <c r="H1245" s="86"/>
      <c r="K1245" s="1">
        <v>4</v>
      </c>
      <c r="L1245" s="1">
        <v>4</v>
      </c>
      <c r="M1245" s="1">
        <v>4</v>
      </c>
      <c r="Q1245" s="9"/>
      <c r="R1245" s="9"/>
      <c r="S1245" s="9"/>
      <c r="T1245" s="9"/>
      <c r="U1245" s="1">
        <f t="shared" si="1792"/>
        <v>29</v>
      </c>
      <c r="V1245" s="1">
        <f t="shared" si="1793"/>
        <v>212</v>
      </c>
    </row>
    <row r="1246" spans="1:22" x14ac:dyDescent="0.3">
      <c r="A1246" s="1">
        <f t="shared" si="1749"/>
        <v>29213</v>
      </c>
      <c r="B1246" s="82" t="s">
        <v>30</v>
      </c>
      <c r="C1246" s="83"/>
      <c r="D1246" s="84"/>
      <c r="E1246" s="82" t="str">
        <f t="shared" ref="E1246" si="1795">D1239</f>
        <v>E0845/25</v>
      </c>
      <c r="F1246" s="84"/>
      <c r="G1246" s="6" t="s">
        <v>32</v>
      </c>
      <c r="H1246" t="s">
        <v>323</v>
      </c>
      <c r="J1246" s="24" t="str">
        <f t="shared" ref="J1246" si="1796">CONCATENATE(K1245,1)</f>
        <v>41</v>
      </c>
      <c r="K1246" s="6">
        <f t="array" ref="K1246:M1248">LINEST(B1250:B1253,C1250:C1253^{1,2},TRUE,TRUE)</f>
        <v>4.4955183330927035E-4</v>
      </c>
      <c r="L1246" s="6">
        <v>0.9657499499776846</v>
      </c>
      <c r="M1246" s="6">
        <v>0.60792802803227153</v>
      </c>
      <c r="Q1246" s="9"/>
      <c r="R1246" s="9"/>
      <c r="S1246" s="9"/>
      <c r="T1246" s="9"/>
      <c r="U1246" s="1">
        <f t="shared" si="1792"/>
        <v>29</v>
      </c>
      <c r="V1246" s="1">
        <f t="shared" si="1793"/>
        <v>213</v>
      </c>
    </row>
    <row r="1247" spans="1:22" x14ac:dyDescent="0.3">
      <c r="A1247" s="1">
        <f t="shared" si="1749"/>
        <v>29214</v>
      </c>
      <c r="B1247" s="2" t="s">
        <v>21</v>
      </c>
      <c r="C1247" s="2" t="s">
        <v>22</v>
      </c>
      <c r="D1247" s="2" t="s">
        <v>23</v>
      </c>
      <c r="E1247" s="2"/>
      <c r="F1247" s="2" t="s">
        <v>28</v>
      </c>
      <c r="G1247" s="2" t="s">
        <v>21</v>
      </c>
      <c r="H1247" s="2" t="s">
        <v>22</v>
      </c>
      <c r="J1247" s="24" t="str">
        <f t="shared" ref="J1247" si="1797">CONCATENATE(K1245,2)</f>
        <v>42</v>
      </c>
      <c r="K1247" s="6">
        <v>1.5127555778610184E-5</v>
      </c>
      <c r="L1247" s="6">
        <v>8.6621890474918571E-4</v>
      </c>
      <c r="M1247" s="6">
        <v>1.0118594800632298E-2</v>
      </c>
      <c r="Q1247" s="9"/>
      <c r="R1247" s="9"/>
      <c r="S1247" s="9"/>
      <c r="T1247" s="9"/>
      <c r="U1247" s="1">
        <f t="shared" si="1792"/>
        <v>29</v>
      </c>
      <c r="V1247" s="1">
        <f t="shared" si="1793"/>
        <v>214</v>
      </c>
    </row>
    <row r="1248" spans="1:22" x14ac:dyDescent="0.3">
      <c r="A1248" s="1">
        <f t="shared" si="1749"/>
        <v>29215</v>
      </c>
      <c r="B1248" s="2" t="s">
        <v>24</v>
      </c>
      <c r="C1248" s="2" t="s">
        <v>25</v>
      </c>
      <c r="D1248" s="2" t="s">
        <v>26</v>
      </c>
      <c r="E1248" s="2" t="s">
        <v>27</v>
      </c>
      <c r="F1248" s="2" t="s">
        <v>29</v>
      </c>
      <c r="G1248" s="2" t="s">
        <v>24</v>
      </c>
      <c r="H1248" s="2" t="s">
        <v>25</v>
      </c>
      <c r="J1248" s="24" t="str">
        <f t="shared" ref="J1248" si="1798">CONCATENATE(K1245,3)</f>
        <v>43</v>
      </c>
      <c r="K1248" s="6">
        <v>0.99999994956515559</v>
      </c>
      <c r="L1248" s="6">
        <v>7.3410425599300666E-3</v>
      </c>
      <c r="M1248" s="6" t="e">
        <v>#N/A</v>
      </c>
      <c r="Q1248" s="9"/>
      <c r="R1248" s="9"/>
      <c r="S1248" s="9"/>
      <c r="T1248" s="9"/>
      <c r="U1248" s="1">
        <f t="shared" si="1792"/>
        <v>29</v>
      </c>
      <c r="V1248" s="1">
        <f t="shared" si="1793"/>
        <v>215</v>
      </c>
    </row>
    <row r="1249" spans="1:22" x14ac:dyDescent="0.3">
      <c r="A1249" s="1">
        <f t="shared" si="1749"/>
        <v>29216</v>
      </c>
      <c r="B1249" s="3" t="str">
        <f t="shared" ref="B1249" si="1799">H1242</f>
        <v>%ur</v>
      </c>
      <c r="C1249" s="3" t="str">
        <f t="shared" ref="C1249" si="1800">B1249</f>
        <v>%ur</v>
      </c>
      <c r="D1249" s="3" t="str">
        <f t="shared" ref="D1249" si="1801">C1249</f>
        <v>%ur</v>
      </c>
      <c r="E1249" s="3"/>
      <c r="F1249" s="3"/>
      <c r="G1249" s="3" t="str">
        <f t="shared" ref="G1249" si="1802">D1249</f>
        <v>%ur</v>
      </c>
      <c r="H1249" s="3" t="str">
        <f t="shared" ref="H1249" si="1803">G1249</f>
        <v>%ur</v>
      </c>
      <c r="K1249" s="1">
        <v>5</v>
      </c>
      <c r="L1249" s="1">
        <v>5</v>
      </c>
      <c r="M1249" s="1">
        <v>5</v>
      </c>
      <c r="N1249" s="1">
        <v>5</v>
      </c>
      <c r="Q1249" s="9"/>
      <c r="R1249" s="9"/>
      <c r="S1249" s="9"/>
      <c r="T1249" s="9"/>
      <c r="U1249" s="1">
        <f t="shared" si="1792"/>
        <v>29</v>
      </c>
      <c r="V1249" s="1">
        <f t="shared" si="1793"/>
        <v>216</v>
      </c>
    </row>
    <row r="1250" spans="1:22" x14ac:dyDescent="0.3">
      <c r="A1250" s="1">
        <f t="shared" si="1749"/>
        <v>29217</v>
      </c>
      <c r="B1250" s="4">
        <v>5.01</v>
      </c>
      <c r="C1250" s="4">
        <v>4.55</v>
      </c>
      <c r="D1250" s="4">
        <v>0.25</v>
      </c>
      <c r="E1250" s="4">
        <v>2.0299999999999998</v>
      </c>
      <c r="F1250" s="14">
        <v>87</v>
      </c>
      <c r="G1250" s="42">
        <v>5</v>
      </c>
      <c r="H1250" s="42">
        <v>5.08</v>
      </c>
      <c r="J1250" s="24" t="str">
        <f t="shared" ref="J1250" si="1804">CONCATENATE(K1249,1)</f>
        <v>51</v>
      </c>
      <c r="K1250" s="6">
        <f t="array" ref="K1250:N1252">LINEST(B1250:B1254,C1250:C1254^{1,2,3},TRUE,TRUE)</f>
        <v>-4.8097424636813256E-6</v>
      </c>
      <c r="L1250" s="6">
        <v>8.2905334950627771E-4</v>
      </c>
      <c r="M1250" s="6">
        <v>0.95812495579199319</v>
      </c>
      <c r="N1250" s="6">
        <v>0.6370848344420238</v>
      </c>
      <c r="Q1250" s="9"/>
      <c r="R1250" s="9"/>
      <c r="S1250" s="9"/>
      <c r="T1250" s="9"/>
      <c r="U1250" s="1">
        <f t="shared" si="1792"/>
        <v>29</v>
      </c>
      <c r="V1250" s="1">
        <f t="shared" si="1793"/>
        <v>217</v>
      </c>
    </row>
    <row r="1251" spans="1:22" x14ac:dyDescent="0.3">
      <c r="A1251" s="1">
        <f t="shared" si="1749"/>
        <v>29218</v>
      </c>
      <c r="B1251" s="4">
        <v>19.989999999999998</v>
      </c>
      <c r="C1251" s="4">
        <v>19.88</v>
      </c>
      <c r="D1251" s="4">
        <v>0.25</v>
      </c>
      <c r="E1251" s="4">
        <v>2.04</v>
      </c>
      <c r="F1251" s="14">
        <v>66</v>
      </c>
      <c r="G1251" s="42">
        <v>20</v>
      </c>
      <c r="H1251" s="42">
        <v>20.100000000000001</v>
      </c>
      <c r="J1251" s="24" t="str">
        <f t="shared" ref="J1251" si="1805">CONCATENATE(K1249,2)</f>
        <v>52</v>
      </c>
      <c r="K1251" s="6">
        <v>1.0407587961946635E-6</v>
      </c>
      <c r="L1251" s="6">
        <v>1.3007425371016826E-4</v>
      </c>
      <c r="M1251" s="6">
        <v>4.3203762900432697E-3</v>
      </c>
      <c r="N1251" s="6">
        <v>3.6935116419759002E-2</v>
      </c>
      <c r="T1251" s="9"/>
      <c r="U1251" s="1">
        <f t="shared" si="1792"/>
        <v>29</v>
      </c>
      <c r="V1251" s="1">
        <f t="shared" si="1793"/>
        <v>218</v>
      </c>
    </row>
    <row r="1252" spans="1:22" x14ac:dyDescent="0.3">
      <c r="A1252" s="1">
        <f t="shared" si="1749"/>
        <v>29219</v>
      </c>
      <c r="B1252" s="4">
        <v>30.01</v>
      </c>
      <c r="C1252" s="4">
        <v>30.03</v>
      </c>
      <c r="D1252" s="4">
        <v>0.33</v>
      </c>
      <c r="E1252" s="4">
        <v>2.04</v>
      </c>
      <c r="F1252" s="14">
        <v>67</v>
      </c>
      <c r="G1252" s="42">
        <v>30</v>
      </c>
      <c r="H1252" s="42">
        <v>30.2</v>
      </c>
      <c r="J1252" s="24" t="str">
        <f t="shared" ref="J1252" si="1806">CONCATENATE(K1249,3)</f>
        <v>53</v>
      </c>
      <c r="K1252" s="6">
        <v>0.99999983170900497</v>
      </c>
      <c r="L1252" s="6">
        <v>2.3845436715710377E-2</v>
      </c>
      <c r="M1252" s="6" t="e">
        <v>#N/A</v>
      </c>
      <c r="N1252" s="6" t="e">
        <v>#N/A</v>
      </c>
      <c r="T1252" s="9"/>
      <c r="U1252" s="1">
        <f t="shared" si="1792"/>
        <v>29</v>
      </c>
      <c r="V1252" s="1">
        <f t="shared" si="1793"/>
        <v>219</v>
      </c>
    </row>
    <row r="1253" spans="1:22" x14ac:dyDescent="0.3">
      <c r="A1253" s="1">
        <f t="shared" si="1749"/>
        <v>29220</v>
      </c>
      <c r="B1253" s="4">
        <v>50</v>
      </c>
      <c r="C1253" s="4">
        <v>49.98</v>
      </c>
      <c r="D1253" s="4">
        <v>0.53</v>
      </c>
      <c r="E1253" s="4">
        <v>2.04</v>
      </c>
      <c r="F1253" s="14">
        <v>67</v>
      </c>
      <c r="G1253" s="42">
        <v>49.99</v>
      </c>
      <c r="H1253" s="42">
        <v>50.27</v>
      </c>
      <c r="K1253" s="1">
        <v>6</v>
      </c>
      <c r="L1253" s="1">
        <v>6</v>
      </c>
      <c r="M1253" s="1">
        <v>6</v>
      </c>
      <c r="N1253" s="1">
        <v>6</v>
      </c>
      <c r="O1253" s="1">
        <v>6</v>
      </c>
      <c r="T1253" s="9"/>
      <c r="U1253" s="1">
        <f t="shared" si="1792"/>
        <v>29</v>
      </c>
      <c r="V1253" s="1">
        <f t="shared" si="1793"/>
        <v>220</v>
      </c>
    </row>
    <row r="1254" spans="1:22" x14ac:dyDescent="0.3">
      <c r="A1254" s="1">
        <f t="shared" si="1749"/>
        <v>29221</v>
      </c>
      <c r="B1254" s="4">
        <v>79.989999999999995</v>
      </c>
      <c r="C1254" s="4">
        <v>79.86</v>
      </c>
      <c r="D1254" s="4">
        <v>0.8</v>
      </c>
      <c r="E1254" s="4">
        <v>2.04</v>
      </c>
      <c r="F1254" s="14">
        <v>68</v>
      </c>
      <c r="G1254" s="42">
        <v>80.03</v>
      </c>
      <c r="H1254" s="42">
        <v>80.2</v>
      </c>
      <c r="J1254" s="24" t="str">
        <f t="shared" ref="J1254" si="1807">CONCATENATE(K1253,1)</f>
        <v>61</v>
      </c>
      <c r="K1254" s="6">
        <f t="array" ref="K1254:O1256">LINEST(B1250:B1255,C1250:C1255^{1,2,3,4},TRUE,TRUE)</f>
        <v>2.0978538039685684E-8</v>
      </c>
      <c r="L1254" s="6">
        <v>-7.956036523882949E-6</v>
      </c>
      <c r="M1254" s="6">
        <v>9.7282138091953887E-4</v>
      </c>
      <c r="N1254" s="6">
        <v>0.95596949358817485</v>
      </c>
      <c r="O1254" s="6">
        <v>0.6438003024512402</v>
      </c>
      <c r="T1254" s="9"/>
      <c r="U1254" s="1">
        <f t="shared" si="1792"/>
        <v>29</v>
      </c>
      <c r="V1254" s="1">
        <f t="shared" si="1793"/>
        <v>221</v>
      </c>
    </row>
    <row r="1255" spans="1:22" x14ac:dyDescent="0.3">
      <c r="A1255" s="1">
        <f t="shared" si="1749"/>
        <v>29222</v>
      </c>
      <c r="B1255" s="4">
        <v>97.97</v>
      </c>
      <c r="C1255" s="4">
        <v>97.85</v>
      </c>
      <c r="D1255" s="4">
        <v>0.93</v>
      </c>
      <c r="E1255" s="4">
        <v>2.04</v>
      </c>
      <c r="F1255" s="14">
        <v>62</v>
      </c>
      <c r="G1255" s="42">
        <v>97.95</v>
      </c>
      <c r="H1255" s="42">
        <v>98.65</v>
      </c>
      <c r="J1255" s="24" t="str">
        <f t="shared" ref="J1255" si="1808">CONCATENATE(K1253,2)</f>
        <v>62</v>
      </c>
      <c r="K1255" s="6">
        <v>2.3562280778166084E-8</v>
      </c>
      <c r="L1255" s="6">
        <v>4.8360382351042747E-6</v>
      </c>
      <c r="M1255" s="6">
        <v>3.2154688975625384E-4</v>
      </c>
      <c r="N1255" s="6">
        <v>7.5718367986524213E-3</v>
      </c>
      <c r="O1255" s="6">
        <v>4.9413752989846807E-2</v>
      </c>
      <c r="T1255" s="9"/>
      <c r="U1255" s="1">
        <f t="shared" si="1792"/>
        <v>29</v>
      </c>
      <c r="V1255" s="1">
        <f t="shared" si="1793"/>
        <v>222</v>
      </c>
    </row>
    <row r="1256" spans="1:22" x14ac:dyDescent="0.3">
      <c r="A1256" s="1">
        <f t="shared" si="1749"/>
        <v>29223</v>
      </c>
      <c r="B1256" s="4"/>
      <c r="C1256" s="4"/>
      <c r="D1256" s="4"/>
      <c r="E1256" s="4"/>
      <c r="F1256" s="14"/>
      <c r="G1256" s="8"/>
      <c r="H1256" s="7"/>
      <c r="J1256" s="24" t="str">
        <f t="shared" ref="J1256" si="1809">CONCATENATE(K1253,3)</f>
        <v>63</v>
      </c>
      <c r="K1256" s="6">
        <v>0.99999987880587082</v>
      </c>
      <c r="L1256" s="6">
        <v>2.8016279150355317E-2</v>
      </c>
      <c r="M1256" s="6" t="e">
        <v>#N/A</v>
      </c>
      <c r="N1256" s="6" t="e">
        <v>#N/A</v>
      </c>
      <c r="O1256" s="6" t="e">
        <v>#N/A</v>
      </c>
      <c r="T1256" s="9"/>
      <c r="U1256" s="1">
        <f t="shared" si="1792"/>
        <v>29</v>
      </c>
      <c r="V1256" s="1">
        <f t="shared" si="1793"/>
        <v>223</v>
      </c>
    </row>
    <row r="1257" spans="1:22" x14ac:dyDescent="0.3">
      <c r="A1257" s="1">
        <f t="shared" si="1749"/>
        <v>29224</v>
      </c>
      <c r="B1257" s="4"/>
      <c r="C1257" s="4"/>
      <c r="D1257" s="4"/>
      <c r="E1257" s="4"/>
      <c r="F1257" s="14"/>
      <c r="G1257" s="8"/>
      <c r="H1257" s="7"/>
      <c r="K1257" s="1">
        <v>7</v>
      </c>
      <c r="L1257" s="1">
        <v>7</v>
      </c>
      <c r="M1257" s="1">
        <v>7</v>
      </c>
      <c r="N1257" s="1">
        <v>7</v>
      </c>
      <c r="O1257" s="1">
        <v>7</v>
      </c>
      <c r="P1257" s="1">
        <v>7</v>
      </c>
      <c r="T1257" s="9"/>
      <c r="U1257" s="1">
        <f t="shared" si="1792"/>
        <v>29</v>
      </c>
      <c r="V1257" s="1">
        <f t="shared" si="1793"/>
        <v>224</v>
      </c>
    </row>
    <row r="1258" spans="1:22" x14ac:dyDescent="0.3">
      <c r="A1258" s="1">
        <f t="shared" si="1749"/>
        <v>29225</v>
      </c>
      <c r="B1258" s="4"/>
      <c r="C1258" s="4"/>
      <c r="D1258" s="4"/>
      <c r="E1258" s="4"/>
      <c r="F1258" s="14"/>
      <c r="G1258" s="8"/>
      <c r="H1258" s="7"/>
      <c r="J1258" s="24" t="str">
        <f t="shared" ref="J1258" si="1810">CONCATENATE(K1257,1)</f>
        <v>71</v>
      </c>
      <c r="K1258" s="6" t="e">
        <f t="array" ref="K1258:P1260">LINEST(B1250:B1256,C1250:C1256^{1,2,3,4,5},TRUE,TRUE)</f>
        <v>#VALUE!</v>
      </c>
      <c r="L1258" s="6" t="e">
        <v>#VALUE!</v>
      </c>
      <c r="M1258" s="6" t="e">
        <v>#VALUE!</v>
      </c>
      <c r="N1258" s="6" t="e">
        <v>#VALUE!</v>
      </c>
      <c r="O1258" s="6" t="e">
        <v>#VALUE!</v>
      </c>
      <c r="P1258" s="6" t="e">
        <v>#VALUE!</v>
      </c>
      <c r="T1258" s="9"/>
      <c r="U1258" s="1">
        <f t="shared" si="1792"/>
        <v>29</v>
      </c>
      <c r="V1258" s="1">
        <f t="shared" si="1793"/>
        <v>225</v>
      </c>
    </row>
    <row r="1259" spans="1:22" x14ac:dyDescent="0.3">
      <c r="A1259" s="1">
        <f t="shared" si="1749"/>
        <v>29226</v>
      </c>
      <c r="B1259" s="4"/>
      <c r="C1259" s="4"/>
      <c r="D1259" s="4"/>
      <c r="E1259" s="4"/>
      <c r="F1259" s="14"/>
      <c r="G1259" s="8"/>
      <c r="H1259" s="7"/>
      <c r="J1259" s="24" t="str">
        <f t="shared" ref="J1259" si="1811">CONCATENATE(K1257,2)</f>
        <v>72</v>
      </c>
      <c r="K1259" s="6" t="e">
        <v>#VALUE!</v>
      </c>
      <c r="L1259" s="6" t="e">
        <v>#VALUE!</v>
      </c>
      <c r="M1259" s="6" t="e">
        <v>#VALUE!</v>
      </c>
      <c r="N1259" s="6" t="e">
        <v>#VALUE!</v>
      </c>
      <c r="O1259" s="6" t="e">
        <v>#VALUE!</v>
      </c>
      <c r="P1259" s="6" t="e">
        <v>#VALUE!</v>
      </c>
      <c r="T1259" s="9"/>
      <c r="U1259" s="1">
        <f t="shared" si="1792"/>
        <v>29</v>
      </c>
      <c r="V1259" s="1">
        <f t="shared" si="1793"/>
        <v>226</v>
      </c>
    </row>
    <row r="1260" spans="1:22" x14ac:dyDescent="0.3">
      <c r="A1260" s="1">
        <f t="shared" si="1749"/>
        <v>29227</v>
      </c>
      <c r="B1260" s="9"/>
      <c r="C1260" s="9"/>
      <c r="D1260" s="9"/>
      <c r="E1260" s="9"/>
      <c r="F1260" s="9"/>
      <c r="G1260" s="9"/>
      <c r="H1260" s="9"/>
      <c r="J1260" s="24" t="str">
        <f t="shared" ref="J1260" si="1812">CONCATENATE(K1257,3)</f>
        <v>73</v>
      </c>
      <c r="K1260" s="6" t="e">
        <v>#VALUE!</v>
      </c>
      <c r="L1260" s="6" t="e">
        <v>#VALUE!</v>
      </c>
      <c r="M1260" s="6" t="e">
        <v>#VALUE!</v>
      </c>
      <c r="N1260" s="6" t="e">
        <v>#VALUE!</v>
      </c>
      <c r="O1260" s="6" t="e">
        <v>#VALUE!</v>
      </c>
      <c r="P1260" s="6" t="e">
        <v>#VALUE!</v>
      </c>
      <c r="T1260" s="9"/>
      <c r="U1260" s="1">
        <f t="shared" si="1792"/>
        <v>29</v>
      </c>
      <c r="V1260" s="1">
        <f t="shared" si="1793"/>
        <v>227</v>
      </c>
    </row>
    <row r="1261" spans="1:22" x14ac:dyDescent="0.3">
      <c r="A1261" s="1">
        <f t="shared" si="1749"/>
        <v>29228</v>
      </c>
      <c r="B1261" s="87" t="s">
        <v>33</v>
      </c>
      <c r="C1261" s="88"/>
      <c r="D1261" s="88"/>
      <c r="E1261" s="88"/>
      <c r="F1261" s="88"/>
      <c r="G1261" s="88"/>
      <c r="H1261" s="89"/>
      <c r="K1261" s="1">
        <v>8</v>
      </c>
      <c r="L1261" s="1">
        <v>8</v>
      </c>
      <c r="M1261" s="1">
        <v>8</v>
      </c>
      <c r="N1261" s="1">
        <v>8</v>
      </c>
      <c r="O1261" s="1">
        <v>8</v>
      </c>
      <c r="P1261" s="1">
        <v>8</v>
      </c>
      <c r="Q1261" s="1">
        <v>8</v>
      </c>
      <c r="T1261" s="9"/>
      <c r="U1261" s="1">
        <f t="shared" si="1792"/>
        <v>29</v>
      </c>
      <c r="V1261" s="1">
        <f t="shared" si="1793"/>
        <v>228</v>
      </c>
    </row>
    <row r="1262" spans="1:22" x14ac:dyDescent="0.3">
      <c r="A1262" s="1">
        <f t="shared" si="1749"/>
        <v>29229</v>
      </c>
      <c r="B1262" s="90"/>
      <c r="C1262" s="91"/>
      <c r="D1262" s="91"/>
      <c r="E1262" s="91"/>
      <c r="F1262" s="91"/>
      <c r="G1262" s="91"/>
      <c r="H1262" s="92"/>
      <c r="J1262" s="24" t="str">
        <f t="shared" ref="J1262" si="1813">CONCATENATE(K1261,1)</f>
        <v>81</v>
      </c>
      <c r="K1262" s="6" t="e">
        <f t="array" ref="K1262:Q1264">LINEST(B1250:B1257,C1250:C1257^{1,2,3,4,5,6},TRUE,TRUE)</f>
        <v>#VALUE!</v>
      </c>
      <c r="L1262" s="6" t="e">
        <v>#VALUE!</v>
      </c>
      <c r="M1262" s="6" t="e">
        <v>#VALUE!</v>
      </c>
      <c r="N1262" s="6" t="e">
        <v>#VALUE!</v>
      </c>
      <c r="O1262" s="6" t="e">
        <v>#VALUE!</v>
      </c>
      <c r="P1262" s="6" t="e">
        <v>#VALUE!</v>
      </c>
      <c r="Q1262" s="6" t="e">
        <v>#VALUE!</v>
      </c>
      <c r="T1262" s="9"/>
      <c r="U1262" s="1">
        <f t="shared" si="1792"/>
        <v>29</v>
      </c>
      <c r="V1262" s="1">
        <f t="shared" si="1793"/>
        <v>229</v>
      </c>
    </row>
    <row r="1263" spans="1:22" x14ac:dyDescent="0.3">
      <c r="A1263" s="1">
        <f t="shared" si="1749"/>
        <v>29230</v>
      </c>
      <c r="B1263" s="93"/>
      <c r="C1263" s="94"/>
      <c r="D1263" s="94"/>
      <c r="E1263" s="94"/>
      <c r="F1263" s="94"/>
      <c r="G1263" s="94"/>
      <c r="H1263" s="95"/>
      <c r="J1263" s="24" t="str">
        <f t="shared" ref="J1263" si="1814">CONCATENATE(K1261,2)</f>
        <v>82</v>
      </c>
      <c r="K1263" s="6" t="e">
        <v>#VALUE!</v>
      </c>
      <c r="L1263" s="6" t="e">
        <v>#VALUE!</v>
      </c>
      <c r="M1263" s="6" t="e">
        <v>#VALUE!</v>
      </c>
      <c r="N1263" s="6" t="e">
        <v>#VALUE!</v>
      </c>
      <c r="O1263" s="6" t="e">
        <v>#VALUE!</v>
      </c>
      <c r="P1263" s="6" t="e">
        <v>#VALUE!</v>
      </c>
      <c r="Q1263" s="6" t="e">
        <v>#VALUE!</v>
      </c>
      <c r="T1263" s="9"/>
      <c r="U1263" s="1">
        <f t="shared" si="1792"/>
        <v>29</v>
      </c>
      <c r="V1263" s="1">
        <f t="shared" si="1793"/>
        <v>230</v>
      </c>
    </row>
    <row r="1264" spans="1:22" x14ac:dyDescent="0.3">
      <c r="A1264" s="1">
        <f t="shared" si="1749"/>
        <v>29231</v>
      </c>
      <c r="J1264" s="24" t="str">
        <f t="shared" ref="J1264" si="1815">CONCATENATE(K1261,3)</f>
        <v>83</v>
      </c>
      <c r="K1264" s="6" t="e">
        <v>#VALUE!</v>
      </c>
      <c r="L1264" s="6" t="e">
        <v>#VALUE!</v>
      </c>
      <c r="M1264" s="6" t="e">
        <v>#VALUE!</v>
      </c>
      <c r="N1264" s="6" t="e">
        <v>#VALUE!</v>
      </c>
      <c r="O1264" s="6" t="e">
        <v>#VALUE!</v>
      </c>
      <c r="P1264" s="6" t="e">
        <v>#VALUE!</v>
      </c>
      <c r="Q1264" s="6" t="e">
        <v>#VALUE!</v>
      </c>
      <c r="T1264" s="9"/>
      <c r="U1264" s="1">
        <f t="shared" si="1792"/>
        <v>29</v>
      </c>
      <c r="V1264" s="1">
        <f t="shared" si="1793"/>
        <v>231</v>
      </c>
    </row>
    <row r="1265" spans="1:22" ht="15" customHeight="1" x14ac:dyDescent="0.3">
      <c r="A1265" s="1">
        <f t="shared" si="1749"/>
        <v>29232</v>
      </c>
      <c r="B1265" s="10" t="s">
        <v>34</v>
      </c>
      <c r="C1265" s="10" t="s">
        <v>35</v>
      </c>
      <c r="D1265" s="10" t="s">
        <v>36</v>
      </c>
      <c r="E1265" s="74" t="s">
        <v>37</v>
      </c>
      <c r="F1265" s="75"/>
      <c r="G1265" s="76"/>
      <c r="K1265" s="1">
        <v>9</v>
      </c>
      <c r="L1265" s="1">
        <v>9</v>
      </c>
      <c r="M1265" s="1">
        <v>9</v>
      </c>
      <c r="N1265" s="1">
        <v>9</v>
      </c>
      <c r="O1265" s="1">
        <v>9</v>
      </c>
      <c r="P1265" s="1">
        <v>9</v>
      </c>
      <c r="Q1265" s="1">
        <v>9</v>
      </c>
      <c r="R1265" s="1">
        <v>9</v>
      </c>
      <c r="T1265" s="9"/>
      <c r="U1265" s="1">
        <f t="shared" si="1792"/>
        <v>29</v>
      </c>
      <c r="V1265" s="1">
        <f t="shared" si="1793"/>
        <v>232</v>
      </c>
    </row>
    <row r="1266" spans="1:22" x14ac:dyDescent="0.3">
      <c r="A1266" s="1">
        <f t="shared" si="1749"/>
        <v>29233</v>
      </c>
      <c r="B1266" s="12">
        <f t="shared" ref="B1266:B1275" si="1816">C1250-B1250</f>
        <v>-0.45999999999999996</v>
      </c>
      <c r="C1266" s="13">
        <f t="shared" ref="C1266:C1275" si="1817">H1250-G1250</f>
        <v>8.0000000000000071E-2</v>
      </c>
      <c r="D1266" s="10">
        <f t="shared" ref="D1266:D1275" si="1818">C1266-B1266</f>
        <v>0.54</v>
      </c>
      <c r="E1266" s="11">
        <f t="shared" ref="E1266" si="1819">IF(D1241="","",MAX(F1266,G1266))</f>
        <v>0.82000000000000739</v>
      </c>
      <c r="F1266" s="10">
        <f t="shared" ref="F1266" si="1820">ABS(MIN(D1266:D1275))</f>
        <v>0</v>
      </c>
      <c r="G1266" s="10">
        <f t="shared" ref="G1266" si="1821">ABS(MAX(D1266:D1275))</f>
        <v>0.82000000000000739</v>
      </c>
      <c r="J1266" s="24" t="str">
        <f t="shared" ref="J1266" si="1822">CONCATENATE(K1265,1)</f>
        <v>91</v>
      </c>
      <c r="K1266" s="6" t="e">
        <f t="array" ref="K1266:R1268">LINEST(B1250:B1258,C1250:C1258^{1,2,3,4,5,6,7},TRUE,TRUE)</f>
        <v>#VALUE!</v>
      </c>
      <c r="L1266" s="6" t="e">
        <v>#VALUE!</v>
      </c>
      <c r="M1266" s="6" t="e">
        <v>#VALUE!</v>
      </c>
      <c r="N1266" s="6" t="e">
        <v>#VALUE!</v>
      </c>
      <c r="O1266" s="6" t="e">
        <v>#VALUE!</v>
      </c>
      <c r="P1266" s="6" t="e">
        <v>#VALUE!</v>
      </c>
      <c r="Q1266" s="6" t="e">
        <v>#VALUE!</v>
      </c>
      <c r="R1266" s="6" t="e">
        <v>#VALUE!</v>
      </c>
      <c r="T1266" s="9"/>
      <c r="U1266" s="1">
        <f t="shared" si="1792"/>
        <v>29</v>
      </c>
      <c r="V1266" s="1">
        <f t="shared" si="1793"/>
        <v>233</v>
      </c>
    </row>
    <row r="1267" spans="1:22" x14ac:dyDescent="0.3">
      <c r="A1267" s="1">
        <f t="shared" si="1749"/>
        <v>29234</v>
      </c>
      <c r="B1267" s="12">
        <f t="shared" si="1816"/>
        <v>-0.10999999999999943</v>
      </c>
      <c r="C1267" s="13">
        <f t="shared" si="1817"/>
        <v>0.10000000000000142</v>
      </c>
      <c r="D1267" s="10">
        <f t="shared" si="1818"/>
        <v>0.21000000000000085</v>
      </c>
      <c r="E1267" s="74" t="s">
        <v>38</v>
      </c>
      <c r="F1267" s="75"/>
      <c r="G1267" s="76"/>
      <c r="J1267" s="24" t="str">
        <f t="shared" ref="J1267" si="1823">CONCATENATE(K1265,2)</f>
        <v>92</v>
      </c>
      <c r="K1267" s="6" t="e">
        <v>#VALUE!</v>
      </c>
      <c r="L1267" s="6" t="e">
        <v>#VALUE!</v>
      </c>
      <c r="M1267" s="6" t="e">
        <v>#VALUE!</v>
      </c>
      <c r="N1267" s="6" t="e">
        <v>#VALUE!</v>
      </c>
      <c r="O1267" s="6" t="e">
        <v>#VALUE!</v>
      </c>
      <c r="P1267" s="6" t="e">
        <v>#VALUE!</v>
      </c>
      <c r="Q1267" s="6" t="e">
        <v>#VALUE!</v>
      </c>
      <c r="R1267" s="6" t="e">
        <v>#VALUE!</v>
      </c>
      <c r="T1267" s="9"/>
      <c r="U1267" s="1">
        <f t="shared" si="1792"/>
        <v>29</v>
      </c>
      <c r="V1267" s="1">
        <f t="shared" si="1793"/>
        <v>234</v>
      </c>
    </row>
    <row r="1268" spans="1:22" x14ac:dyDescent="0.3">
      <c r="A1268" s="1">
        <f t="shared" si="1749"/>
        <v>29235</v>
      </c>
      <c r="B1268" s="12">
        <f t="shared" si="1816"/>
        <v>1.9999999999999574E-2</v>
      </c>
      <c r="C1268" s="13">
        <f t="shared" si="1817"/>
        <v>0.19999999999999929</v>
      </c>
      <c r="D1268" s="10">
        <f t="shared" si="1818"/>
        <v>0.17999999999999972</v>
      </c>
      <c r="E1268" s="11">
        <f t="shared" ref="E1268" si="1824">IF(D1241="","",MAX(F1268,G1268))</f>
        <v>0.45999999999999996</v>
      </c>
      <c r="F1268" s="10">
        <f t="shared" ref="F1268" si="1825">ABS(MIN(B1266:B1275))</f>
        <v>0.45999999999999996</v>
      </c>
      <c r="G1268" s="10">
        <f t="shared" ref="G1268" si="1826">ABS(MAX(B1266:B1275))</f>
        <v>1.9999999999999574E-2</v>
      </c>
      <c r="J1268" s="24" t="str">
        <f t="shared" ref="J1268" si="1827">CONCATENATE(K1265,3)</f>
        <v>93</v>
      </c>
      <c r="K1268" s="6" t="e">
        <v>#VALUE!</v>
      </c>
      <c r="L1268" s="6" t="e">
        <v>#VALUE!</v>
      </c>
      <c r="M1268" s="6" t="e">
        <v>#VALUE!</v>
      </c>
      <c r="N1268" s="6" t="e">
        <v>#VALUE!</v>
      </c>
      <c r="O1268" s="6" t="e">
        <v>#VALUE!</v>
      </c>
      <c r="P1268" s="6" t="e">
        <v>#VALUE!</v>
      </c>
      <c r="Q1268" s="6" t="e">
        <v>#VALUE!</v>
      </c>
      <c r="R1268" s="6" t="e">
        <v>#VALUE!</v>
      </c>
      <c r="T1268" s="9"/>
      <c r="U1268" s="1">
        <f t="shared" si="1792"/>
        <v>29</v>
      </c>
      <c r="V1268" s="1">
        <f t="shared" si="1793"/>
        <v>235</v>
      </c>
    </row>
    <row r="1269" spans="1:22" x14ac:dyDescent="0.3">
      <c r="A1269" s="1">
        <f t="shared" si="1749"/>
        <v>29236</v>
      </c>
      <c r="B1269" s="12">
        <f t="shared" si="1816"/>
        <v>-2.0000000000003126E-2</v>
      </c>
      <c r="C1269" s="13">
        <f>H1253-G1253</f>
        <v>0.28000000000000114</v>
      </c>
      <c r="D1269" s="10">
        <f t="shared" si="1818"/>
        <v>0.30000000000000426</v>
      </c>
      <c r="E1269" s="74" t="s">
        <v>39</v>
      </c>
      <c r="F1269" s="75"/>
      <c r="G1269" s="76"/>
      <c r="K1269" s="1">
        <v>10</v>
      </c>
      <c r="L1269" s="1">
        <v>10</v>
      </c>
      <c r="M1269" s="1">
        <v>10</v>
      </c>
      <c r="N1269" s="1">
        <v>10</v>
      </c>
      <c r="O1269" s="1">
        <v>10</v>
      </c>
      <c r="P1269" s="1">
        <v>10</v>
      </c>
      <c r="Q1269" s="1">
        <v>10</v>
      </c>
      <c r="R1269" s="1">
        <v>10</v>
      </c>
      <c r="S1269" s="1">
        <v>10</v>
      </c>
      <c r="T1269" s="9"/>
      <c r="U1269" s="1">
        <f t="shared" si="1792"/>
        <v>29</v>
      </c>
      <c r="V1269" s="1">
        <f t="shared" si="1793"/>
        <v>236</v>
      </c>
    </row>
    <row r="1270" spans="1:22" x14ac:dyDescent="0.3">
      <c r="A1270" s="1">
        <f t="shared" si="1749"/>
        <v>29237</v>
      </c>
      <c r="B1270" s="12">
        <f t="shared" si="1816"/>
        <v>-0.12999999999999545</v>
      </c>
      <c r="C1270" s="13">
        <f t="shared" si="1817"/>
        <v>0.17000000000000171</v>
      </c>
      <c r="D1270" s="10">
        <f t="shared" si="1818"/>
        <v>0.29999999999999716</v>
      </c>
      <c r="E1270" s="11">
        <f t="shared" ref="E1270" si="1828">IF(D1241="","",MAX(F1270,G1270))</f>
        <v>0.93</v>
      </c>
      <c r="F1270" s="10">
        <f t="shared" ref="F1270" si="1829">ABS(MIN(D1250:D1259))</f>
        <v>0.25</v>
      </c>
      <c r="G1270" s="10">
        <f t="shared" ref="G1270" si="1830">ABS(MAX(D1250:D1259))</f>
        <v>0.93</v>
      </c>
      <c r="J1270" s="24" t="str">
        <f t="shared" ref="J1270" si="1831">CONCATENATE(K1269,1)</f>
        <v>101</v>
      </c>
      <c r="K1270" s="6" t="e">
        <f t="array" ref="K1270:S1272">LINEST(B1250:B1259,C1250:C1259^{1,2,3,4,5,6,7,8},TRUE,TRUE)</f>
        <v>#VALUE!</v>
      </c>
      <c r="L1270" s="6" t="e">
        <v>#VALUE!</v>
      </c>
      <c r="M1270" s="6" t="e">
        <v>#VALUE!</v>
      </c>
      <c r="N1270" s="6" t="e">
        <v>#VALUE!</v>
      </c>
      <c r="O1270" s="6" t="e">
        <v>#VALUE!</v>
      </c>
      <c r="P1270" s="6" t="e">
        <v>#VALUE!</v>
      </c>
      <c r="Q1270" s="6" t="e">
        <v>#VALUE!</v>
      </c>
      <c r="R1270" s="6" t="e">
        <v>#VALUE!</v>
      </c>
      <c r="S1270" s="6" t="e">
        <v>#VALUE!</v>
      </c>
      <c r="T1270" s="9"/>
      <c r="U1270" s="1">
        <f t="shared" si="1792"/>
        <v>29</v>
      </c>
      <c r="V1270" s="1">
        <f t="shared" si="1793"/>
        <v>237</v>
      </c>
    </row>
    <row r="1271" spans="1:22" x14ac:dyDescent="0.3">
      <c r="A1271" s="1">
        <f t="shared" si="1749"/>
        <v>29238</v>
      </c>
      <c r="B1271" s="12">
        <f t="shared" si="1816"/>
        <v>-0.12000000000000455</v>
      </c>
      <c r="C1271" s="13">
        <f t="shared" si="1817"/>
        <v>0.70000000000000284</v>
      </c>
      <c r="D1271" s="10">
        <f t="shared" si="1818"/>
        <v>0.82000000000000739</v>
      </c>
      <c r="J1271" s="24" t="str">
        <f t="shared" ref="J1271" si="1832">CONCATENATE(K1269,2)</f>
        <v>102</v>
      </c>
      <c r="K1271" s="6" t="e">
        <v>#VALUE!</v>
      </c>
      <c r="L1271" s="6" t="e">
        <v>#VALUE!</v>
      </c>
      <c r="M1271" s="6" t="e">
        <v>#VALUE!</v>
      </c>
      <c r="N1271" s="6" t="e">
        <v>#VALUE!</v>
      </c>
      <c r="O1271" s="6" t="e">
        <v>#VALUE!</v>
      </c>
      <c r="P1271" s="6" t="e">
        <v>#VALUE!</v>
      </c>
      <c r="Q1271" s="6" t="e">
        <v>#VALUE!</v>
      </c>
      <c r="R1271" s="6" t="e">
        <v>#VALUE!</v>
      </c>
      <c r="S1271" s="6" t="e">
        <v>#VALUE!</v>
      </c>
      <c r="T1271" s="9"/>
      <c r="U1271" s="1">
        <f t="shared" si="1792"/>
        <v>29</v>
      </c>
      <c r="V1271" s="1">
        <f t="shared" si="1793"/>
        <v>238</v>
      </c>
    </row>
    <row r="1272" spans="1:22" x14ac:dyDescent="0.3">
      <c r="A1272" s="1">
        <f t="shared" si="1749"/>
        <v>29239</v>
      </c>
      <c r="B1272" s="12">
        <f t="shared" si="1816"/>
        <v>0</v>
      </c>
      <c r="C1272" s="13">
        <f t="shared" si="1817"/>
        <v>0</v>
      </c>
      <c r="D1272" s="10">
        <f t="shared" si="1818"/>
        <v>0</v>
      </c>
      <c r="J1272" s="24" t="str">
        <f t="shared" ref="J1272" si="1833">CONCATENATE(K1269,3)</f>
        <v>103</v>
      </c>
      <c r="K1272" s="6" t="e">
        <v>#VALUE!</v>
      </c>
      <c r="L1272" s="6" t="e">
        <v>#VALUE!</v>
      </c>
      <c r="M1272" s="6" t="e">
        <v>#VALUE!</v>
      </c>
      <c r="N1272" s="6" t="e">
        <v>#VALUE!</v>
      </c>
      <c r="O1272" s="6" t="e">
        <v>#VALUE!</v>
      </c>
      <c r="P1272" s="6" t="e">
        <v>#VALUE!</v>
      </c>
      <c r="Q1272" s="6" t="e">
        <v>#VALUE!</v>
      </c>
      <c r="R1272" s="6" t="e">
        <v>#VALUE!</v>
      </c>
      <c r="S1272" s="6" t="e">
        <v>#VALUE!</v>
      </c>
      <c r="T1272" s="9"/>
      <c r="U1272" s="1">
        <f t="shared" si="1792"/>
        <v>29</v>
      </c>
      <c r="V1272" s="1">
        <f t="shared" si="1793"/>
        <v>239</v>
      </c>
    </row>
    <row r="1273" spans="1:22" x14ac:dyDescent="0.3">
      <c r="A1273" s="1">
        <f t="shared" si="1749"/>
        <v>29240</v>
      </c>
      <c r="B1273" s="12">
        <f t="shared" si="1816"/>
        <v>0</v>
      </c>
      <c r="C1273" s="13">
        <f t="shared" si="1817"/>
        <v>0</v>
      </c>
      <c r="D1273" s="10">
        <f t="shared" si="1818"/>
        <v>0</v>
      </c>
      <c r="J1273" s="9"/>
      <c r="K1273" s="9"/>
      <c r="L1273" s="9"/>
      <c r="M1273" s="9"/>
      <c r="N1273" s="9"/>
      <c r="O1273" s="9"/>
      <c r="P1273" s="9"/>
      <c r="Q1273" s="9"/>
      <c r="R1273" s="9"/>
      <c r="S1273" s="9"/>
      <c r="T1273" s="9"/>
      <c r="U1273" s="1">
        <f t="shared" si="1792"/>
        <v>29</v>
      </c>
      <c r="V1273" s="1">
        <f t="shared" si="1793"/>
        <v>240</v>
      </c>
    </row>
    <row r="1274" spans="1:22" x14ac:dyDescent="0.3">
      <c r="A1274" s="1">
        <f t="shared" si="1749"/>
        <v>29241</v>
      </c>
      <c r="B1274" s="12">
        <f t="shared" si="1816"/>
        <v>0</v>
      </c>
      <c r="C1274" s="13">
        <f t="shared" si="1817"/>
        <v>0</v>
      </c>
      <c r="D1274" s="10">
        <f t="shared" si="1818"/>
        <v>0</v>
      </c>
      <c r="J1274" s="9"/>
      <c r="K1274" s="9"/>
      <c r="L1274" s="9"/>
      <c r="M1274" s="9"/>
      <c r="N1274" s="9"/>
      <c r="O1274" s="9"/>
      <c r="P1274" s="9"/>
      <c r="Q1274" s="9"/>
      <c r="R1274" s="9"/>
      <c r="S1274" s="9"/>
      <c r="T1274" s="9"/>
      <c r="U1274" s="1">
        <f t="shared" si="1792"/>
        <v>29</v>
      </c>
      <c r="V1274" s="1">
        <f t="shared" si="1793"/>
        <v>241</v>
      </c>
    </row>
    <row r="1275" spans="1:22" x14ac:dyDescent="0.3">
      <c r="A1275" s="1">
        <f t="shared" si="1749"/>
        <v>29242</v>
      </c>
      <c r="B1275" s="12">
        <f t="shared" si="1816"/>
        <v>0</v>
      </c>
      <c r="C1275" s="13">
        <f t="shared" si="1817"/>
        <v>0</v>
      </c>
      <c r="D1275" s="10">
        <f t="shared" si="1818"/>
        <v>0</v>
      </c>
      <c r="J1275" s="9"/>
      <c r="K1275" s="9"/>
      <c r="L1275" s="9"/>
      <c r="M1275" s="9"/>
      <c r="N1275" s="9"/>
      <c r="O1275" s="9"/>
      <c r="P1275" s="9"/>
      <c r="Q1275" s="9"/>
      <c r="R1275" s="9"/>
      <c r="S1275" s="9"/>
      <c r="T1275" s="9"/>
      <c r="U1275" s="1">
        <f t="shared" si="1792"/>
        <v>29</v>
      </c>
      <c r="V1275" s="1">
        <f t="shared" si="1793"/>
        <v>242</v>
      </c>
    </row>
    <row r="1276" spans="1:22" x14ac:dyDescent="0.3">
      <c r="A1276" s="1">
        <f t="shared" si="1749"/>
        <v>29243</v>
      </c>
      <c r="J1276" s="9"/>
      <c r="K1276" s="9"/>
      <c r="L1276" s="9"/>
      <c r="M1276" s="9"/>
      <c r="N1276" s="9"/>
      <c r="O1276" s="9"/>
      <c r="P1276" s="9"/>
      <c r="Q1276" s="9"/>
      <c r="R1276" s="9"/>
      <c r="S1276" s="9"/>
      <c r="T1276" s="9"/>
      <c r="U1276" s="1">
        <f t="shared" si="1792"/>
        <v>29</v>
      </c>
      <c r="V1276" s="1">
        <f t="shared" si="1793"/>
        <v>243</v>
      </c>
    </row>
    <row r="1277" spans="1:22" s="5" customFormat="1" x14ac:dyDescent="0.3"/>
    <row r="1278" spans="1:22" x14ac:dyDescent="0.3">
      <c r="A1278" s="1">
        <f t="shared" ref="A1278:A1320" si="1834">ROUND(CONCATENATE(U1278,V1278),0)</f>
        <v>30201</v>
      </c>
      <c r="B1278" s="96" t="s">
        <v>0</v>
      </c>
      <c r="C1278" s="97"/>
      <c r="D1278" s="110" t="s">
        <v>46</v>
      </c>
      <c r="E1278" s="111"/>
      <c r="F1278" s="111"/>
      <c r="G1278" s="111"/>
      <c r="H1278" s="112"/>
      <c r="J1278" s="9"/>
      <c r="K1278" s="9"/>
      <c r="L1278" s="9"/>
      <c r="M1278" s="9"/>
      <c r="N1278" s="9"/>
      <c r="O1278" s="9"/>
      <c r="P1278" s="9"/>
      <c r="Q1278" s="9"/>
      <c r="R1278" s="9"/>
      <c r="S1278" s="9"/>
      <c r="T1278" s="9"/>
      <c r="U1278" s="1">
        <f t="shared" ref="U1278" si="1835">U1276+1</f>
        <v>30</v>
      </c>
      <c r="V1278" s="1">
        <v>201</v>
      </c>
    </row>
    <row r="1279" spans="1:22" x14ac:dyDescent="0.3">
      <c r="A1279" s="1">
        <f t="shared" si="1834"/>
        <v>30202</v>
      </c>
      <c r="B1279" s="96" t="s">
        <v>1</v>
      </c>
      <c r="C1279" s="97"/>
      <c r="D1279" s="15">
        <v>20</v>
      </c>
      <c r="E1279" s="16" t="s">
        <v>2</v>
      </c>
      <c r="F1279" s="107"/>
      <c r="G1279" s="108"/>
      <c r="H1279" s="109"/>
      <c r="J1279" s="9"/>
      <c r="K1279" s="9"/>
      <c r="L1279" s="9"/>
      <c r="M1279" s="9"/>
      <c r="N1279" s="9"/>
      <c r="O1279" s="9"/>
      <c r="P1279" s="9"/>
      <c r="Q1279" s="9"/>
      <c r="R1279" s="9"/>
      <c r="S1279" s="9"/>
      <c r="T1279" s="9"/>
      <c r="U1279" s="1">
        <f t="shared" ref="U1279" si="1836">U1278</f>
        <v>30</v>
      </c>
      <c r="V1279" s="1">
        <f t="shared" ref="V1279" si="1837">V1278+1</f>
        <v>202</v>
      </c>
    </row>
    <row r="1280" spans="1:22" x14ac:dyDescent="0.3">
      <c r="A1280" s="1">
        <f t="shared" si="1834"/>
        <v>30203</v>
      </c>
      <c r="B1280" s="96" t="s">
        <v>12</v>
      </c>
      <c r="C1280" s="97"/>
      <c r="D1280" s="110" t="s">
        <v>227</v>
      </c>
      <c r="E1280" s="111"/>
      <c r="F1280" s="111"/>
      <c r="G1280" s="111"/>
      <c r="H1280" s="112"/>
      <c r="K1280" s="1" t="s">
        <v>3</v>
      </c>
      <c r="L1280" s="1" t="s">
        <v>4</v>
      </c>
      <c r="M1280" s="1" t="s">
        <v>5</v>
      </c>
      <c r="N1280" s="1" t="s">
        <v>6</v>
      </c>
      <c r="O1280" s="1" t="s">
        <v>7</v>
      </c>
      <c r="P1280" s="1" t="s">
        <v>8</v>
      </c>
      <c r="Q1280" s="1" t="s">
        <v>9</v>
      </c>
      <c r="R1280" s="1" t="s">
        <v>10</v>
      </c>
      <c r="S1280" s="1" t="s">
        <v>11</v>
      </c>
      <c r="T1280" s="9"/>
      <c r="U1280" s="1">
        <f t="shared" si="1792"/>
        <v>30</v>
      </c>
      <c r="V1280" s="1">
        <f t="shared" si="1793"/>
        <v>203</v>
      </c>
    </row>
    <row r="1281" spans="1:22" x14ac:dyDescent="0.3">
      <c r="A1281" s="1">
        <f t="shared" si="1834"/>
        <v>30204</v>
      </c>
      <c r="B1281" s="96" t="s">
        <v>13</v>
      </c>
      <c r="C1281" s="97"/>
      <c r="D1281" s="110" t="s">
        <v>65</v>
      </c>
      <c r="E1281" s="111"/>
      <c r="F1281" s="111"/>
      <c r="G1281" s="111"/>
      <c r="H1281" s="112"/>
      <c r="J1281" s="1">
        <f t="shared" ref="J1281" si="1838">COUNTA(B1294:B1303)</f>
        <v>5</v>
      </c>
      <c r="K1281" s="1">
        <f t="shared" ref="K1281" si="1839">IF(L1281-1&lt;2,0,L1281-1)</f>
        <v>0</v>
      </c>
      <c r="L1281" s="1">
        <f t="shared" ref="L1281" si="1840">IF(M1281-1&lt;2,0,M1281-1)</f>
        <v>0</v>
      </c>
      <c r="M1281" s="1">
        <f t="shared" ref="M1281" si="1841">IF(N1281-1&lt;2,0,N1281-1)</f>
        <v>0</v>
      </c>
      <c r="N1281" s="1">
        <f t="shared" ref="N1281" si="1842">IF(O1281-1&lt;2,0,O1281-1)</f>
        <v>0</v>
      </c>
      <c r="O1281" s="1">
        <f t="shared" ref="O1281" si="1843">IF(P1281-1&lt;2,0,P1281-1)</f>
        <v>0</v>
      </c>
      <c r="P1281" s="1">
        <f t="shared" ref="P1281" si="1844">IF(Q1281-1&lt;2,0,Q1281-1)</f>
        <v>2</v>
      </c>
      <c r="Q1281" s="1">
        <f t="shared" ref="Q1281" si="1845">IF(R1281-1&lt;2,0,R1281-1)</f>
        <v>3</v>
      </c>
      <c r="R1281" s="1">
        <f t="shared" ref="R1281" si="1846">IF(S1281-1&lt;2,0,S1281-1)</f>
        <v>4</v>
      </c>
      <c r="S1281" s="1">
        <f t="shared" ref="S1281" si="1847">J1281</f>
        <v>5</v>
      </c>
      <c r="T1281" s="9"/>
      <c r="U1281" s="1">
        <f t="shared" si="1792"/>
        <v>30</v>
      </c>
      <c r="V1281" s="1">
        <f t="shared" si="1793"/>
        <v>204</v>
      </c>
    </row>
    <row r="1282" spans="1:22" x14ac:dyDescent="0.3">
      <c r="A1282" s="1">
        <f t="shared" si="1834"/>
        <v>30205</v>
      </c>
      <c r="B1282" s="96" t="s">
        <v>14</v>
      </c>
      <c r="C1282" s="97"/>
      <c r="D1282" s="110" t="s">
        <v>66</v>
      </c>
      <c r="E1282" s="111"/>
      <c r="F1282" s="111"/>
      <c r="G1282" s="111"/>
      <c r="H1282" s="112"/>
      <c r="J1282" s="24" t="str">
        <f t="shared" ref="J1282" si="1848">CONCATENATE(J1281,1)</f>
        <v>51</v>
      </c>
      <c r="K1282" s="25">
        <f t="shared" ref="K1282" si="1849">IF(K1281=0,0,VLOOKUP(J1282,J1286:S1316,K1281,FALSE))</f>
        <v>0</v>
      </c>
      <c r="L1282" s="25">
        <f t="shared" ref="L1282" si="1850">IF(L1281=0,0,VLOOKUP(J1282,J1286:S1316,L1281,FALSE))</f>
        <v>0</v>
      </c>
      <c r="M1282" s="25">
        <f t="shared" ref="M1282" si="1851">IF(M1281=0,0,VLOOKUP(J1282,J1286:S1316,M1281,FALSE))</f>
        <v>0</v>
      </c>
      <c r="N1282" s="25">
        <f t="shared" ref="N1282" si="1852">IF(N1281=0,0,VLOOKUP(J1282,J1286:S1316,N1281,FALSE))</f>
        <v>0</v>
      </c>
      <c r="O1282" s="25">
        <f t="shared" ref="O1282" si="1853">IF(O1281=0,0,VLOOKUP(J1282,J1286:S1316,O1281,FALSE))</f>
        <v>0</v>
      </c>
      <c r="P1282" s="25">
        <f t="shared" ref="P1282" si="1854">IF(P1281=0,0,VLOOKUP(J1282,J1286:S1316,P1281,FALSE))</f>
        <v>-2.4816483835985969E-5</v>
      </c>
      <c r="Q1282" s="25">
        <f t="shared" ref="Q1282" si="1855">IF(Q1281=0,0,VLOOKUP(J1282,J1286:S1316,Q1281,FALSE))</f>
        <v>3.8284713277157252E-3</v>
      </c>
      <c r="R1282" s="25">
        <f t="shared" ref="R1282" si="1856">IF(R1281=0,0,VLOOKUP(J1282,J1286:S1316,R1281,FALSE))</f>
        <v>0.77349380161529024</v>
      </c>
      <c r="S1282" s="25">
        <f t="shared" ref="S1282" si="1857">IF(S1281=0,0,VLOOKUP(J1282,J1286:S1316,S1281,FALSE))</f>
        <v>3.6894362180375353</v>
      </c>
      <c r="T1282" s="9"/>
      <c r="U1282" s="1">
        <f t="shared" si="1792"/>
        <v>30</v>
      </c>
      <c r="V1282" s="1">
        <f t="shared" si="1793"/>
        <v>205</v>
      </c>
    </row>
    <row r="1283" spans="1:22" x14ac:dyDescent="0.3">
      <c r="A1283" s="1">
        <f t="shared" si="1834"/>
        <v>30206</v>
      </c>
      <c r="B1283" s="96" t="s">
        <v>15</v>
      </c>
      <c r="C1283" s="97"/>
      <c r="D1283" s="110" t="s">
        <v>228</v>
      </c>
      <c r="E1283" s="111"/>
      <c r="F1283" s="111"/>
      <c r="G1283" s="111"/>
      <c r="H1283" s="112"/>
      <c r="J1283" s="24" t="str">
        <f t="shared" ref="J1283" si="1858">CONCATENATE(J1281,2)</f>
        <v>52</v>
      </c>
      <c r="K1283" s="6">
        <f t="shared" ref="K1283" si="1859">IF(K1281=0,0,VLOOKUP(J1283,J1286:S1316,K1281,FALSE))</f>
        <v>0</v>
      </c>
      <c r="L1283" s="6">
        <f t="shared" ref="L1283" si="1860">IF(L1281=0,0,VLOOKUP(J1283,J1286:S1316,L1281,FALSE))</f>
        <v>0</v>
      </c>
      <c r="M1283" s="6">
        <f t="shared" ref="M1283" si="1861">IF(M1281=0,0,VLOOKUP(J1283,J1286:S1316,M1281,FALSE))</f>
        <v>0</v>
      </c>
      <c r="N1283" s="6">
        <f t="shared" ref="N1283" si="1862">IF(N1281=0,0,VLOOKUP(J1283,J1286:S1316,N1281,FALSE))</f>
        <v>0</v>
      </c>
      <c r="O1283" s="6">
        <f t="shared" ref="O1283" si="1863">IF(O1281=0,0,VLOOKUP(J1283,J1286:S1316,O1281,FALSE))</f>
        <v>0</v>
      </c>
      <c r="P1283" s="6">
        <f t="shared" ref="P1283" si="1864">IF(P1281=0,0,VLOOKUP(J1283,J1286:S1316,P1281,FALSE))</f>
        <v>1.4314463623793921E-5</v>
      </c>
      <c r="Q1283" s="6">
        <f t="shared" ref="Q1283" si="1865">IF(Q1281=0,0,VLOOKUP(J1283,J1286:S1316,Q1281,FALSE))</f>
        <v>2.1351213842029917E-3</v>
      </c>
      <c r="R1283" s="6">
        <f t="shared" ref="R1283" si="1866">IF(R1281=0,0,VLOOKUP(J1283,J1286:S1316,R1281,FALSE))</f>
        <v>8.6764849969718505E-2</v>
      </c>
      <c r="S1283" s="6">
        <f t="shared" ref="S1283" si="1867">IF(S1281=0,0,VLOOKUP(J1283,J1286:S1316,S1281,FALSE))</f>
        <v>0.89726770165482206</v>
      </c>
      <c r="T1283" s="9"/>
      <c r="U1283" s="1">
        <f t="shared" si="1792"/>
        <v>30</v>
      </c>
      <c r="V1283" s="1">
        <f t="shared" si="1793"/>
        <v>206</v>
      </c>
    </row>
    <row r="1284" spans="1:22" x14ac:dyDescent="0.3">
      <c r="A1284" s="1">
        <f t="shared" si="1834"/>
        <v>30207</v>
      </c>
      <c r="B1284" s="96" t="s">
        <v>16</v>
      </c>
      <c r="C1284" s="97"/>
      <c r="D1284" s="113">
        <v>45460</v>
      </c>
      <c r="E1284" s="114"/>
      <c r="F1284" s="114"/>
      <c r="G1284" s="114"/>
      <c r="H1284" s="115"/>
      <c r="J1284" s="24" t="str">
        <f t="shared" ref="J1284" si="1868">CONCATENATE(J1281,3)</f>
        <v>53</v>
      </c>
      <c r="K1284" s="6"/>
      <c r="L1284" s="6"/>
      <c r="M1284" s="6"/>
      <c r="N1284" s="6" t="s">
        <v>43</v>
      </c>
      <c r="O1284" s="25">
        <f t="shared" ref="O1284" si="1869">J1281-2</f>
        <v>3</v>
      </c>
      <c r="P1284" s="6" t="s">
        <v>44</v>
      </c>
      <c r="Q1284" s="25">
        <f t="shared" ref="Q1284" si="1870">VLOOKUP(J1284,J1286:S1316,3,FALSE)</f>
        <v>0.47502247686151833</v>
      </c>
      <c r="R1284" s="6" t="s">
        <v>45</v>
      </c>
      <c r="S1284" s="6">
        <f t="shared" ref="S1284" si="1871">VLOOKUP(J1284,J1286:S1316,2,FALSE)</f>
        <v>0.99994963251037405</v>
      </c>
      <c r="T1284" s="9"/>
      <c r="U1284" s="1">
        <f t="shared" si="1792"/>
        <v>30</v>
      </c>
      <c r="V1284" s="1">
        <f t="shared" si="1793"/>
        <v>207</v>
      </c>
    </row>
    <row r="1285" spans="1:22" x14ac:dyDescent="0.3">
      <c r="A1285" s="1">
        <f t="shared" si="1834"/>
        <v>30208</v>
      </c>
      <c r="B1285" s="96" t="s">
        <v>17</v>
      </c>
      <c r="C1285" s="97"/>
      <c r="D1285" s="116">
        <v>45838</v>
      </c>
      <c r="E1285" s="117"/>
      <c r="F1285" s="117"/>
      <c r="G1285" s="117"/>
      <c r="H1285" s="118"/>
      <c r="K1285" s="1">
        <v>3</v>
      </c>
      <c r="L1285" s="1">
        <v>3</v>
      </c>
      <c r="Q1285" s="26"/>
      <c r="R1285" s="26"/>
      <c r="S1285" s="26"/>
      <c r="T1285" s="9"/>
      <c r="U1285" s="1">
        <f t="shared" si="1792"/>
        <v>30</v>
      </c>
      <c r="V1285" s="1">
        <f t="shared" si="1793"/>
        <v>208</v>
      </c>
    </row>
    <row r="1286" spans="1:22" x14ac:dyDescent="0.3">
      <c r="A1286" s="1">
        <f t="shared" si="1834"/>
        <v>30209</v>
      </c>
      <c r="B1286" s="77" t="s">
        <v>19</v>
      </c>
      <c r="C1286" s="78"/>
      <c r="D1286" s="17">
        <v>0.1</v>
      </c>
      <c r="E1286" s="79" t="s">
        <v>40</v>
      </c>
      <c r="F1286" s="80"/>
      <c r="G1286" s="81"/>
      <c r="H1286" s="18"/>
      <c r="J1286" s="24" t="str">
        <f t="shared" ref="J1286" si="1872">CONCATENATE(K1285,1)</f>
        <v>31</v>
      </c>
      <c r="K1286" s="6">
        <f t="array" ref="K1286:L1288">LINEST(B1294:B1296,C1294:C1296^{1},TRUE,TRUE)</f>
        <v>0.9270345648386471</v>
      </c>
      <c r="L1286" s="6">
        <v>2.4052711199696049</v>
      </c>
      <c r="Q1286" s="9"/>
      <c r="R1286" s="9"/>
      <c r="S1286" s="9"/>
      <c r="T1286" s="9"/>
      <c r="U1286" s="1">
        <f t="shared" si="1792"/>
        <v>30</v>
      </c>
      <c r="V1286" s="1">
        <f t="shared" si="1793"/>
        <v>209</v>
      </c>
    </row>
    <row r="1287" spans="1:22" x14ac:dyDescent="0.3">
      <c r="A1287" s="1">
        <f t="shared" si="1834"/>
        <v>30210</v>
      </c>
      <c r="B1287" s="77" t="s">
        <v>41</v>
      </c>
      <c r="C1287" s="78"/>
      <c r="D1287" s="23">
        <f t="shared" ref="D1287" si="1873">MIN(B1294:B1303)</f>
        <v>10</v>
      </c>
      <c r="E1287" s="20" t="s">
        <v>18</v>
      </c>
      <c r="F1287" s="19">
        <f t="shared" ref="F1287" si="1874">MAX(B1294:B1303)</f>
        <v>90</v>
      </c>
      <c r="G1287" s="21" t="str">
        <f t="shared" ref="G1287" si="1875">IF(H1286="","",H1286)</f>
        <v/>
      </c>
      <c r="H1287" s="22"/>
      <c r="J1287" s="24" t="str">
        <f t="shared" ref="J1287" si="1876">CONCATENATE(K1285,2)</f>
        <v>32</v>
      </c>
      <c r="K1287" s="6">
        <v>3.1045455658798311E-2</v>
      </c>
      <c r="L1287" s="6">
        <v>1.0736537206851358</v>
      </c>
      <c r="Q1287" s="9"/>
      <c r="R1287" s="9"/>
      <c r="S1287" s="9"/>
      <c r="T1287" s="9"/>
      <c r="U1287" s="1">
        <f t="shared" si="1792"/>
        <v>30</v>
      </c>
      <c r="V1287" s="1">
        <f t="shared" si="1793"/>
        <v>210</v>
      </c>
    </row>
    <row r="1288" spans="1:22" x14ac:dyDescent="0.3">
      <c r="A1288" s="1">
        <f t="shared" si="1834"/>
        <v>30211</v>
      </c>
      <c r="J1288" s="24" t="str">
        <f t="shared" ref="J1288" si="1877">CONCATENATE(K1285,3)</f>
        <v>33</v>
      </c>
      <c r="K1288" s="6">
        <v>0.9988797436136424</v>
      </c>
      <c r="L1288" s="6">
        <v>0.9466811021067727</v>
      </c>
      <c r="Q1288" s="9"/>
      <c r="R1288" s="9"/>
      <c r="S1288" s="9"/>
      <c r="T1288" s="9"/>
      <c r="U1288" s="1">
        <f t="shared" si="1792"/>
        <v>30</v>
      </c>
      <c r="V1288" s="1">
        <f t="shared" si="1793"/>
        <v>211</v>
      </c>
    </row>
    <row r="1289" spans="1:22" x14ac:dyDescent="0.3">
      <c r="A1289" s="1">
        <f t="shared" si="1834"/>
        <v>30212</v>
      </c>
      <c r="B1289" s="82" t="s">
        <v>20</v>
      </c>
      <c r="C1289" s="83"/>
      <c r="D1289" s="83"/>
      <c r="E1289" s="83"/>
      <c r="F1289" s="84"/>
      <c r="G1289" s="85" t="s">
        <v>31</v>
      </c>
      <c r="H1289" s="86"/>
      <c r="K1289" s="1">
        <v>4</v>
      </c>
      <c r="L1289" s="1">
        <v>4</v>
      </c>
      <c r="M1289" s="1">
        <v>4</v>
      </c>
      <c r="Q1289" s="9"/>
      <c r="R1289" s="9"/>
      <c r="S1289" s="9"/>
      <c r="T1289" s="9"/>
      <c r="U1289" s="1">
        <f t="shared" si="1792"/>
        <v>30</v>
      </c>
      <c r="V1289" s="1">
        <f t="shared" si="1793"/>
        <v>212</v>
      </c>
    </row>
    <row r="1290" spans="1:22" x14ac:dyDescent="0.3">
      <c r="A1290" s="1">
        <f t="shared" si="1834"/>
        <v>30213</v>
      </c>
      <c r="B1290" s="82" t="s">
        <v>30</v>
      </c>
      <c r="C1290" s="83"/>
      <c r="D1290" s="84"/>
      <c r="E1290" s="82" t="str">
        <f t="shared" ref="E1290" si="1878">D1283</f>
        <v>E0208/24</v>
      </c>
      <c r="F1290" s="84"/>
      <c r="G1290" s="6" t="s">
        <v>32</v>
      </c>
      <c r="H1290"/>
      <c r="J1290" s="24" t="str">
        <f t="shared" ref="J1290" si="1879">CONCATENATE(K1289,1)</f>
        <v>41</v>
      </c>
      <c r="K1290" s="6">
        <f t="array" ref="K1290:M1292">LINEST(B1294:B1297,C1294:C1297^{1,2},TRUE,TRUE)</f>
        <v>3.7453820677964245E-4</v>
      </c>
      <c r="L1290" s="6">
        <v>0.89851329058987106</v>
      </c>
      <c r="M1290" s="6">
        <v>2.7674917963603729</v>
      </c>
      <c r="Q1290" s="9"/>
      <c r="R1290" s="9"/>
      <c r="S1290" s="9"/>
      <c r="T1290" s="9"/>
      <c r="U1290" s="1">
        <f t="shared" si="1792"/>
        <v>30</v>
      </c>
      <c r="V1290" s="1">
        <f t="shared" si="1793"/>
        <v>213</v>
      </c>
    </row>
    <row r="1291" spans="1:22" x14ac:dyDescent="0.3">
      <c r="A1291" s="1">
        <f t="shared" si="1834"/>
        <v>30214</v>
      </c>
      <c r="B1291" s="2" t="s">
        <v>21</v>
      </c>
      <c r="C1291" s="2" t="s">
        <v>22</v>
      </c>
      <c r="D1291" s="2" t="s">
        <v>23</v>
      </c>
      <c r="E1291" s="2"/>
      <c r="F1291" s="2" t="s">
        <v>28</v>
      </c>
      <c r="G1291" s="2" t="s">
        <v>21</v>
      </c>
      <c r="H1291" s="2" t="s">
        <v>22</v>
      </c>
      <c r="J1291" s="24" t="str">
        <f t="shared" ref="J1291" si="1880">CONCATENATE(K1289,2)</f>
        <v>42</v>
      </c>
      <c r="K1291" s="6">
        <v>6.4696482872188342E-4</v>
      </c>
      <c r="L1291" s="6">
        <v>6.1656891613778624E-2</v>
      </c>
      <c r="M1291" s="6">
        <v>1.1726674966742068</v>
      </c>
      <c r="Q1291" s="9"/>
      <c r="R1291" s="9"/>
      <c r="S1291" s="9"/>
      <c r="T1291" s="9"/>
      <c r="U1291" s="1">
        <f t="shared" si="1792"/>
        <v>30</v>
      </c>
      <c r="V1291" s="1">
        <f t="shared" si="1793"/>
        <v>214</v>
      </c>
    </row>
    <row r="1292" spans="1:22" x14ac:dyDescent="0.3">
      <c r="A1292" s="1">
        <f t="shared" si="1834"/>
        <v>30215</v>
      </c>
      <c r="B1292" s="2" t="s">
        <v>24</v>
      </c>
      <c r="C1292" s="2" t="s">
        <v>25</v>
      </c>
      <c r="D1292" s="2" t="s">
        <v>26</v>
      </c>
      <c r="E1292" s="2" t="s">
        <v>27</v>
      </c>
      <c r="F1292" s="2" t="s">
        <v>29</v>
      </c>
      <c r="G1292" s="2" t="s">
        <v>24</v>
      </c>
      <c r="H1292" s="2" t="s">
        <v>25</v>
      </c>
      <c r="J1292" s="24" t="str">
        <f t="shared" ref="J1292" si="1881">CONCATENATE(K1289,3)</f>
        <v>43</v>
      </c>
      <c r="K1292" s="6">
        <v>0.99973529402818395</v>
      </c>
      <c r="L1292" s="6">
        <v>0.84147993119728337</v>
      </c>
      <c r="M1292" s="6" t="e">
        <v>#N/A</v>
      </c>
      <c r="Q1292" s="9"/>
      <c r="R1292" s="9"/>
      <c r="S1292" s="9"/>
      <c r="T1292" s="9"/>
      <c r="U1292" s="1">
        <f t="shared" si="1792"/>
        <v>30</v>
      </c>
      <c r="V1292" s="1">
        <f t="shared" si="1793"/>
        <v>215</v>
      </c>
    </row>
    <row r="1293" spans="1:22" x14ac:dyDescent="0.3">
      <c r="A1293" s="1">
        <f t="shared" si="1834"/>
        <v>30216</v>
      </c>
      <c r="B1293" s="3">
        <f t="shared" ref="B1293" si="1882">H1286</f>
        <v>0</v>
      </c>
      <c r="C1293" s="3">
        <f t="shared" ref="C1293" si="1883">B1293</f>
        <v>0</v>
      </c>
      <c r="D1293" s="3">
        <f t="shared" ref="D1293" si="1884">C1293</f>
        <v>0</v>
      </c>
      <c r="E1293" s="3"/>
      <c r="F1293" s="3"/>
      <c r="G1293" s="3">
        <f t="shared" ref="G1293" si="1885">D1293</f>
        <v>0</v>
      </c>
      <c r="H1293" s="3">
        <f t="shared" ref="H1293" si="1886">G1293</f>
        <v>0</v>
      </c>
      <c r="K1293" s="1">
        <v>5</v>
      </c>
      <c r="L1293" s="1">
        <v>5</v>
      </c>
      <c r="M1293" s="1">
        <v>5</v>
      </c>
      <c r="N1293" s="1">
        <v>5</v>
      </c>
      <c r="Q1293" s="9"/>
      <c r="R1293" s="9"/>
      <c r="S1293" s="9"/>
      <c r="T1293" s="9"/>
      <c r="U1293" s="1">
        <f t="shared" si="1792"/>
        <v>30</v>
      </c>
      <c r="V1293" s="1">
        <f t="shared" si="1793"/>
        <v>216</v>
      </c>
    </row>
    <row r="1294" spans="1:22" x14ac:dyDescent="0.3">
      <c r="A1294" s="1">
        <f t="shared" si="1834"/>
        <v>30217</v>
      </c>
      <c r="B1294" s="4">
        <v>10</v>
      </c>
      <c r="C1294" s="4">
        <v>7.8</v>
      </c>
      <c r="D1294" s="4">
        <v>0.6</v>
      </c>
      <c r="E1294" s="4">
        <v>2</v>
      </c>
      <c r="F1294" s="14">
        <v>1000000</v>
      </c>
      <c r="G1294" s="8">
        <v>10</v>
      </c>
      <c r="H1294" s="7">
        <v>8.8000000000000007</v>
      </c>
      <c r="J1294" s="24" t="str">
        <f t="shared" ref="J1294" si="1887">CONCATENATE(K1293,1)</f>
        <v>51</v>
      </c>
      <c r="K1294" s="6">
        <f t="array" ref="K1294:N1296">LINEST(B1294:B1298,C1294:C1298^{1,2,3},TRUE,TRUE)</f>
        <v>-2.4816483835985969E-5</v>
      </c>
      <c r="L1294" s="6">
        <v>3.8284713277157252E-3</v>
      </c>
      <c r="M1294" s="6">
        <v>0.77349380161529024</v>
      </c>
      <c r="N1294" s="6">
        <v>3.6894362180375353</v>
      </c>
      <c r="Q1294" s="9"/>
      <c r="R1294" s="9"/>
      <c r="S1294" s="9"/>
      <c r="T1294" s="9"/>
      <c r="U1294" s="1">
        <f t="shared" si="1792"/>
        <v>30</v>
      </c>
      <c r="V1294" s="1">
        <f t="shared" si="1793"/>
        <v>217</v>
      </c>
    </row>
    <row r="1295" spans="1:22" x14ac:dyDescent="0.3">
      <c r="A1295" s="1">
        <f t="shared" si="1834"/>
        <v>30218</v>
      </c>
      <c r="B1295" s="4">
        <v>30</v>
      </c>
      <c r="C1295" s="4">
        <v>30.6</v>
      </c>
      <c r="D1295" s="4">
        <v>0.8</v>
      </c>
      <c r="E1295" s="4">
        <v>2</v>
      </c>
      <c r="F1295" s="14">
        <v>1000000</v>
      </c>
      <c r="G1295" s="8">
        <v>30</v>
      </c>
      <c r="H1295" s="7">
        <v>30.6</v>
      </c>
      <c r="J1295" s="24" t="str">
        <f t="shared" ref="J1295" si="1888">CONCATENATE(K1293,2)</f>
        <v>52</v>
      </c>
      <c r="K1295" s="6">
        <v>1.4314463623793921E-5</v>
      </c>
      <c r="L1295" s="6">
        <v>2.1351213842029917E-3</v>
      </c>
      <c r="M1295" s="6">
        <v>8.6764849969718505E-2</v>
      </c>
      <c r="N1295" s="6">
        <v>0.89726770165482206</v>
      </c>
      <c r="T1295" s="9"/>
      <c r="U1295" s="1">
        <f t="shared" si="1792"/>
        <v>30</v>
      </c>
      <c r="V1295" s="1">
        <f t="shared" si="1793"/>
        <v>218</v>
      </c>
    </row>
    <row r="1296" spans="1:22" x14ac:dyDescent="0.3">
      <c r="A1296" s="1">
        <f t="shared" si="1834"/>
        <v>30219</v>
      </c>
      <c r="B1296" s="4">
        <v>50</v>
      </c>
      <c r="C1296" s="4">
        <v>50.9</v>
      </c>
      <c r="D1296" s="4">
        <v>0.8</v>
      </c>
      <c r="E1296" s="4">
        <v>2</v>
      </c>
      <c r="F1296" s="14">
        <v>1000000</v>
      </c>
      <c r="G1296" s="8">
        <v>50</v>
      </c>
      <c r="H1296" s="7">
        <v>50.9</v>
      </c>
      <c r="J1296" s="24" t="str">
        <f t="shared" ref="J1296" si="1889">CONCATENATE(K1293,3)</f>
        <v>53</v>
      </c>
      <c r="K1296" s="6">
        <v>0.99994963251037405</v>
      </c>
      <c r="L1296" s="6">
        <v>0.47502247686151833</v>
      </c>
      <c r="M1296" s="6" t="e">
        <v>#N/A</v>
      </c>
      <c r="N1296" s="6" t="e">
        <v>#N/A</v>
      </c>
      <c r="T1296" s="9"/>
      <c r="U1296" s="1">
        <f t="shared" si="1792"/>
        <v>30</v>
      </c>
      <c r="V1296" s="1">
        <f t="shared" si="1793"/>
        <v>219</v>
      </c>
    </row>
    <row r="1297" spans="1:22" x14ac:dyDescent="0.3">
      <c r="A1297" s="1">
        <f t="shared" si="1834"/>
        <v>30220</v>
      </c>
      <c r="B1297" s="4">
        <v>80</v>
      </c>
      <c r="C1297" s="4">
        <v>83.2</v>
      </c>
      <c r="D1297" s="4">
        <v>1</v>
      </c>
      <c r="E1297" s="4">
        <v>2</v>
      </c>
      <c r="F1297" s="14">
        <v>1000000</v>
      </c>
      <c r="G1297" s="8">
        <v>80</v>
      </c>
      <c r="H1297" s="7">
        <v>83.2</v>
      </c>
      <c r="K1297" s="1">
        <v>6</v>
      </c>
      <c r="L1297" s="1">
        <v>6</v>
      </c>
      <c r="M1297" s="1">
        <v>6</v>
      </c>
      <c r="N1297" s="1">
        <v>6</v>
      </c>
      <c r="O1297" s="1">
        <v>6</v>
      </c>
      <c r="T1297" s="9"/>
      <c r="U1297" s="1">
        <f t="shared" si="1792"/>
        <v>30</v>
      </c>
      <c r="V1297" s="1">
        <f t="shared" si="1793"/>
        <v>220</v>
      </c>
    </row>
    <row r="1298" spans="1:22" x14ac:dyDescent="0.3">
      <c r="A1298" s="1">
        <f t="shared" si="1834"/>
        <v>30221</v>
      </c>
      <c r="B1298" s="4">
        <v>90</v>
      </c>
      <c r="C1298" s="4">
        <v>94.3</v>
      </c>
      <c r="D1298" s="4">
        <v>1.1000000000000001</v>
      </c>
      <c r="E1298" s="4">
        <v>2</v>
      </c>
      <c r="F1298" s="14">
        <v>1000000</v>
      </c>
      <c r="G1298" s="8">
        <v>90</v>
      </c>
      <c r="H1298" s="7">
        <v>94.3</v>
      </c>
      <c r="J1298" s="24" t="str">
        <f t="shared" ref="J1298" si="1890">CONCATENATE(K1297,1)</f>
        <v>61</v>
      </c>
      <c r="K1298" s="6" t="e">
        <f t="array" ref="K1298:O1300">LINEST(B1294:B1299,C1294:C1299^{1,2,3,4},TRUE,TRUE)</f>
        <v>#VALUE!</v>
      </c>
      <c r="L1298" s="6" t="e">
        <v>#VALUE!</v>
      </c>
      <c r="M1298" s="6" t="e">
        <v>#VALUE!</v>
      </c>
      <c r="N1298" s="6" t="e">
        <v>#VALUE!</v>
      </c>
      <c r="O1298" s="6" t="e">
        <v>#VALUE!</v>
      </c>
      <c r="T1298" s="9"/>
      <c r="U1298" s="1">
        <f t="shared" si="1792"/>
        <v>30</v>
      </c>
      <c r="V1298" s="1">
        <f t="shared" si="1793"/>
        <v>221</v>
      </c>
    </row>
    <row r="1299" spans="1:22" x14ac:dyDescent="0.3">
      <c r="A1299" s="1">
        <f t="shared" si="1834"/>
        <v>30222</v>
      </c>
      <c r="B1299" s="4"/>
      <c r="C1299" s="4"/>
      <c r="D1299" s="4"/>
      <c r="E1299" s="4"/>
      <c r="F1299" s="14"/>
      <c r="G1299" s="8"/>
      <c r="H1299" s="7"/>
      <c r="J1299" s="24" t="str">
        <f t="shared" ref="J1299" si="1891">CONCATENATE(K1297,2)</f>
        <v>62</v>
      </c>
      <c r="K1299" s="6" t="e">
        <v>#VALUE!</v>
      </c>
      <c r="L1299" s="6" t="e">
        <v>#VALUE!</v>
      </c>
      <c r="M1299" s="6" t="e">
        <v>#VALUE!</v>
      </c>
      <c r="N1299" s="6" t="e">
        <v>#VALUE!</v>
      </c>
      <c r="O1299" s="6" t="e">
        <v>#VALUE!</v>
      </c>
      <c r="T1299" s="9"/>
      <c r="U1299" s="1">
        <f t="shared" si="1792"/>
        <v>30</v>
      </c>
      <c r="V1299" s="1">
        <f t="shared" si="1793"/>
        <v>222</v>
      </c>
    </row>
    <row r="1300" spans="1:22" x14ac:dyDescent="0.3">
      <c r="A1300" s="1">
        <f t="shared" si="1834"/>
        <v>30223</v>
      </c>
      <c r="B1300" s="4"/>
      <c r="C1300" s="4"/>
      <c r="D1300" s="4"/>
      <c r="E1300" s="4"/>
      <c r="F1300" s="14"/>
      <c r="G1300" s="8"/>
      <c r="H1300" s="7"/>
      <c r="J1300" s="24" t="str">
        <f t="shared" ref="J1300" si="1892">CONCATENATE(K1297,3)</f>
        <v>63</v>
      </c>
      <c r="K1300" s="6" t="e">
        <v>#VALUE!</v>
      </c>
      <c r="L1300" s="6" t="e">
        <v>#VALUE!</v>
      </c>
      <c r="M1300" s="6" t="e">
        <v>#VALUE!</v>
      </c>
      <c r="N1300" s="6" t="e">
        <v>#VALUE!</v>
      </c>
      <c r="O1300" s="6" t="e">
        <v>#VALUE!</v>
      </c>
      <c r="T1300" s="9"/>
      <c r="U1300" s="1">
        <f t="shared" si="1792"/>
        <v>30</v>
      </c>
      <c r="V1300" s="1">
        <f t="shared" si="1793"/>
        <v>223</v>
      </c>
    </row>
    <row r="1301" spans="1:22" x14ac:dyDescent="0.3">
      <c r="A1301" s="1">
        <f t="shared" si="1834"/>
        <v>30224</v>
      </c>
      <c r="B1301" s="4"/>
      <c r="C1301" s="4"/>
      <c r="D1301" s="4"/>
      <c r="E1301" s="4"/>
      <c r="F1301" s="14"/>
      <c r="G1301" s="8"/>
      <c r="H1301" s="7"/>
      <c r="K1301" s="1">
        <v>7</v>
      </c>
      <c r="L1301" s="1">
        <v>7</v>
      </c>
      <c r="M1301" s="1">
        <v>7</v>
      </c>
      <c r="N1301" s="1">
        <v>7</v>
      </c>
      <c r="O1301" s="1">
        <v>7</v>
      </c>
      <c r="P1301" s="1">
        <v>7</v>
      </c>
      <c r="T1301" s="9"/>
      <c r="U1301" s="1">
        <f t="shared" si="1792"/>
        <v>30</v>
      </c>
      <c r="V1301" s="1">
        <f t="shared" si="1793"/>
        <v>224</v>
      </c>
    </row>
    <row r="1302" spans="1:22" x14ac:dyDescent="0.3">
      <c r="A1302" s="1">
        <f t="shared" si="1834"/>
        <v>30225</v>
      </c>
      <c r="B1302" s="4"/>
      <c r="C1302" s="4"/>
      <c r="D1302" s="4"/>
      <c r="E1302" s="4"/>
      <c r="F1302" s="14"/>
      <c r="G1302" s="8"/>
      <c r="H1302" s="7"/>
      <c r="J1302" s="24" t="str">
        <f t="shared" ref="J1302" si="1893">CONCATENATE(K1301,1)</f>
        <v>71</v>
      </c>
      <c r="K1302" s="6" t="e">
        <f t="array" ref="K1302:P1304">LINEST(B1294:B1300,C1294:C1300^{1,2,3,4,5},TRUE,TRUE)</f>
        <v>#VALUE!</v>
      </c>
      <c r="L1302" s="6" t="e">
        <v>#VALUE!</v>
      </c>
      <c r="M1302" s="6" t="e">
        <v>#VALUE!</v>
      </c>
      <c r="N1302" s="6" t="e">
        <v>#VALUE!</v>
      </c>
      <c r="O1302" s="6" t="e">
        <v>#VALUE!</v>
      </c>
      <c r="P1302" s="6" t="e">
        <v>#VALUE!</v>
      </c>
      <c r="T1302" s="9"/>
      <c r="U1302" s="1">
        <f t="shared" si="1792"/>
        <v>30</v>
      </c>
      <c r="V1302" s="1">
        <f t="shared" si="1793"/>
        <v>225</v>
      </c>
    </row>
    <row r="1303" spans="1:22" x14ac:dyDescent="0.3">
      <c r="A1303" s="1">
        <f t="shared" si="1834"/>
        <v>30226</v>
      </c>
      <c r="B1303" s="4"/>
      <c r="C1303" s="4"/>
      <c r="D1303" s="4"/>
      <c r="E1303" s="4"/>
      <c r="F1303" s="14"/>
      <c r="G1303" s="8"/>
      <c r="H1303" s="7"/>
      <c r="J1303" s="24" t="str">
        <f t="shared" ref="J1303" si="1894">CONCATENATE(K1301,2)</f>
        <v>72</v>
      </c>
      <c r="K1303" s="6" t="e">
        <v>#VALUE!</v>
      </c>
      <c r="L1303" s="6" t="e">
        <v>#VALUE!</v>
      </c>
      <c r="M1303" s="6" t="e">
        <v>#VALUE!</v>
      </c>
      <c r="N1303" s="6" t="e">
        <v>#VALUE!</v>
      </c>
      <c r="O1303" s="6" t="e">
        <v>#VALUE!</v>
      </c>
      <c r="P1303" s="6" t="e">
        <v>#VALUE!</v>
      </c>
      <c r="T1303" s="9"/>
      <c r="U1303" s="1">
        <f t="shared" si="1792"/>
        <v>30</v>
      </c>
      <c r="V1303" s="1">
        <f t="shared" si="1793"/>
        <v>226</v>
      </c>
    </row>
    <row r="1304" spans="1:22" x14ac:dyDescent="0.3">
      <c r="A1304" s="1">
        <f t="shared" si="1834"/>
        <v>30227</v>
      </c>
      <c r="B1304" s="9"/>
      <c r="C1304" s="9"/>
      <c r="D1304" s="9"/>
      <c r="E1304" s="9"/>
      <c r="F1304" s="9"/>
      <c r="G1304" s="9"/>
      <c r="H1304" s="9"/>
      <c r="J1304" s="24" t="str">
        <f t="shared" ref="J1304" si="1895">CONCATENATE(K1301,3)</f>
        <v>73</v>
      </c>
      <c r="K1304" s="6" t="e">
        <v>#VALUE!</v>
      </c>
      <c r="L1304" s="6" t="e">
        <v>#VALUE!</v>
      </c>
      <c r="M1304" s="6" t="e">
        <v>#VALUE!</v>
      </c>
      <c r="N1304" s="6" t="e">
        <v>#VALUE!</v>
      </c>
      <c r="O1304" s="6" t="e">
        <v>#VALUE!</v>
      </c>
      <c r="P1304" s="6" t="e">
        <v>#VALUE!</v>
      </c>
      <c r="T1304" s="9"/>
      <c r="U1304" s="1">
        <f t="shared" si="1792"/>
        <v>30</v>
      </c>
      <c r="V1304" s="1">
        <f t="shared" si="1793"/>
        <v>227</v>
      </c>
    </row>
    <row r="1305" spans="1:22" x14ac:dyDescent="0.3">
      <c r="A1305" s="1">
        <f t="shared" si="1834"/>
        <v>30228</v>
      </c>
      <c r="B1305" s="87" t="s">
        <v>33</v>
      </c>
      <c r="C1305" s="88"/>
      <c r="D1305" s="88"/>
      <c r="E1305" s="88"/>
      <c r="F1305" s="88"/>
      <c r="G1305" s="88"/>
      <c r="H1305" s="89"/>
      <c r="K1305" s="1">
        <v>8</v>
      </c>
      <c r="L1305" s="1">
        <v>8</v>
      </c>
      <c r="M1305" s="1">
        <v>8</v>
      </c>
      <c r="N1305" s="1">
        <v>8</v>
      </c>
      <c r="O1305" s="1">
        <v>8</v>
      </c>
      <c r="P1305" s="1">
        <v>8</v>
      </c>
      <c r="Q1305" s="1">
        <v>8</v>
      </c>
      <c r="T1305" s="9"/>
      <c r="U1305" s="1">
        <f t="shared" si="1792"/>
        <v>30</v>
      </c>
      <c r="V1305" s="1">
        <f t="shared" si="1793"/>
        <v>228</v>
      </c>
    </row>
    <row r="1306" spans="1:22" x14ac:dyDescent="0.3">
      <c r="A1306" s="1">
        <f t="shared" si="1834"/>
        <v>30229</v>
      </c>
      <c r="B1306" s="90"/>
      <c r="C1306" s="91"/>
      <c r="D1306" s="91"/>
      <c r="E1306" s="91"/>
      <c r="F1306" s="91"/>
      <c r="G1306" s="91"/>
      <c r="H1306" s="92"/>
      <c r="J1306" s="24" t="str">
        <f t="shared" ref="J1306" si="1896">CONCATENATE(K1305,1)</f>
        <v>81</v>
      </c>
      <c r="K1306" s="6" t="e">
        <f t="array" ref="K1306:Q1308">LINEST(B1294:B1301,C1294:C1301^{1,2,3,4,5,6},TRUE,TRUE)</f>
        <v>#VALUE!</v>
      </c>
      <c r="L1306" s="6" t="e">
        <v>#VALUE!</v>
      </c>
      <c r="M1306" s="6" t="e">
        <v>#VALUE!</v>
      </c>
      <c r="N1306" s="6" t="e">
        <v>#VALUE!</v>
      </c>
      <c r="O1306" s="6" t="e">
        <v>#VALUE!</v>
      </c>
      <c r="P1306" s="6" t="e">
        <v>#VALUE!</v>
      </c>
      <c r="Q1306" s="6" t="e">
        <v>#VALUE!</v>
      </c>
      <c r="T1306" s="9"/>
      <c r="U1306" s="1">
        <f t="shared" si="1792"/>
        <v>30</v>
      </c>
      <c r="V1306" s="1">
        <f t="shared" si="1793"/>
        <v>229</v>
      </c>
    </row>
    <row r="1307" spans="1:22" x14ac:dyDescent="0.3">
      <c r="A1307" s="1">
        <f t="shared" si="1834"/>
        <v>30230</v>
      </c>
      <c r="B1307" s="93"/>
      <c r="C1307" s="94"/>
      <c r="D1307" s="94"/>
      <c r="E1307" s="94"/>
      <c r="F1307" s="94"/>
      <c r="G1307" s="94"/>
      <c r="H1307" s="95"/>
      <c r="J1307" s="24" t="str">
        <f t="shared" ref="J1307" si="1897">CONCATENATE(K1305,2)</f>
        <v>82</v>
      </c>
      <c r="K1307" s="6" t="e">
        <v>#VALUE!</v>
      </c>
      <c r="L1307" s="6" t="e">
        <v>#VALUE!</v>
      </c>
      <c r="M1307" s="6" t="e">
        <v>#VALUE!</v>
      </c>
      <c r="N1307" s="6" t="e">
        <v>#VALUE!</v>
      </c>
      <c r="O1307" s="6" t="e">
        <v>#VALUE!</v>
      </c>
      <c r="P1307" s="6" t="e">
        <v>#VALUE!</v>
      </c>
      <c r="Q1307" s="6" t="e">
        <v>#VALUE!</v>
      </c>
      <c r="T1307" s="9"/>
      <c r="U1307" s="1">
        <f t="shared" ref="U1307:U1370" si="1898">U1306</f>
        <v>30</v>
      </c>
      <c r="V1307" s="1">
        <f t="shared" ref="V1307:V1370" si="1899">V1306+1</f>
        <v>230</v>
      </c>
    </row>
    <row r="1308" spans="1:22" x14ac:dyDescent="0.3">
      <c r="A1308" s="1">
        <f t="shared" si="1834"/>
        <v>30231</v>
      </c>
      <c r="J1308" s="24" t="str">
        <f t="shared" ref="J1308" si="1900">CONCATENATE(K1305,3)</f>
        <v>83</v>
      </c>
      <c r="K1308" s="6" t="e">
        <v>#VALUE!</v>
      </c>
      <c r="L1308" s="6" t="e">
        <v>#VALUE!</v>
      </c>
      <c r="M1308" s="6" t="e">
        <v>#VALUE!</v>
      </c>
      <c r="N1308" s="6" t="e">
        <v>#VALUE!</v>
      </c>
      <c r="O1308" s="6" t="e">
        <v>#VALUE!</v>
      </c>
      <c r="P1308" s="6" t="e">
        <v>#VALUE!</v>
      </c>
      <c r="Q1308" s="6" t="e">
        <v>#VALUE!</v>
      </c>
      <c r="T1308" s="9"/>
      <c r="U1308" s="1">
        <f t="shared" si="1898"/>
        <v>30</v>
      </c>
      <c r="V1308" s="1">
        <f t="shared" si="1899"/>
        <v>231</v>
      </c>
    </row>
    <row r="1309" spans="1:22" ht="15" customHeight="1" x14ac:dyDescent="0.3">
      <c r="A1309" s="1">
        <f t="shared" si="1834"/>
        <v>30232</v>
      </c>
      <c r="B1309" s="10" t="s">
        <v>34</v>
      </c>
      <c r="C1309" s="10" t="s">
        <v>35</v>
      </c>
      <c r="D1309" s="10" t="s">
        <v>36</v>
      </c>
      <c r="E1309" s="74" t="s">
        <v>37</v>
      </c>
      <c r="F1309" s="75"/>
      <c r="G1309" s="76"/>
      <c r="K1309" s="1">
        <v>9</v>
      </c>
      <c r="L1309" s="1">
        <v>9</v>
      </c>
      <c r="M1309" s="1">
        <v>9</v>
      </c>
      <c r="N1309" s="1">
        <v>9</v>
      </c>
      <c r="O1309" s="1">
        <v>9</v>
      </c>
      <c r="P1309" s="1">
        <v>9</v>
      </c>
      <c r="Q1309" s="1">
        <v>9</v>
      </c>
      <c r="R1309" s="1">
        <v>9</v>
      </c>
      <c r="T1309" s="9"/>
      <c r="U1309" s="1">
        <f t="shared" si="1898"/>
        <v>30</v>
      </c>
      <c r="V1309" s="1">
        <f t="shared" si="1899"/>
        <v>232</v>
      </c>
    </row>
    <row r="1310" spans="1:22" x14ac:dyDescent="0.3">
      <c r="A1310" s="1">
        <f t="shared" si="1834"/>
        <v>30233</v>
      </c>
      <c r="B1310" s="12">
        <f t="shared" ref="B1310:B1319" si="1901">C1294-B1294</f>
        <v>-2.2000000000000002</v>
      </c>
      <c r="C1310" s="13">
        <f t="shared" ref="C1310:C1319" si="1902">H1294-G1294</f>
        <v>-1.1999999999999993</v>
      </c>
      <c r="D1310" s="10">
        <f t="shared" ref="D1310:D1319" si="1903">C1310-B1310</f>
        <v>1.0000000000000009</v>
      </c>
      <c r="E1310" s="11">
        <f t="shared" ref="E1310" si="1904">IF(D1285="","",MAX(F1310,G1310))</f>
        <v>1.0000000000000009</v>
      </c>
      <c r="F1310" s="10">
        <f t="shared" ref="F1310" si="1905">ABS(MIN(D1310:D1319))</f>
        <v>0</v>
      </c>
      <c r="G1310" s="10">
        <f t="shared" ref="G1310" si="1906">ABS(MAX(D1310:D1319))</f>
        <v>1.0000000000000009</v>
      </c>
      <c r="J1310" s="24" t="str">
        <f t="shared" ref="J1310" si="1907">CONCATENATE(K1309,1)</f>
        <v>91</v>
      </c>
      <c r="K1310" s="6" t="e">
        <f t="array" ref="K1310:R1312">LINEST(B1294:B1302,C1294:C1302^{1,2,3,4,5,6,7},TRUE,TRUE)</f>
        <v>#VALUE!</v>
      </c>
      <c r="L1310" s="6" t="e">
        <v>#VALUE!</v>
      </c>
      <c r="M1310" s="6" t="e">
        <v>#VALUE!</v>
      </c>
      <c r="N1310" s="6" t="e">
        <v>#VALUE!</v>
      </c>
      <c r="O1310" s="6" t="e">
        <v>#VALUE!</v>
      </c>
      <c r="P1310" s="6" t="e">
        <v>#VALUE!</v>
      </c>
      <c r="Q1310" s="6" t="e">
        <v>#VALUE!</v>
      </c>
      <c r="R1310" s="6" t="e">
        <v>#VALUE!</v>
      </c>
      <c r="T1310" s="9"/>
      <c r="U1310" s="1">
        <f t="shared" si="1898"/>
        <v>30</v>
      </c>
      <c r="V1310" s="1">
        <f t="shared" si="1899"/>
        <v>233</v>
      </c>
    </row>
    <row r="1311" spans="1:22" x14ac:dyDescent="0.3">
      <c r="A1311" s="1">
        <f t="shared" si="1834"/>
        <v>30234</v>
      </c>
      <c r="B1311" s="12">
        <f t="shared" si="1901"/>
        <v>0.60000000000000142</v>
      </c>
      <c r="C1311" s="13">
        <f t="shared" si="1902"/>
        <v>0.60000000000000142</v>
      </c>
      <c r="D1311" s="10">
        <f t="shared" si="1903"/>
        <v>0</v>
      </c>
      <c r="E1311" s="74" t="s">
        <v>38</v>
      </c>
      <c r="F1311" s="75"/>
      <c r="G1311" s="76"/>
      <c r="J1311" s="24" t="str">
        <f t="shared" ref="J1311" si="1908">CONCATENATE(K1309,2)</f>
        <v>92</v>
      </c>
      <c r="K1311" s="6" t="e">
        <v>#VALUE!</v>
      </c>
      <c r="L1311" s="6" t="e">
        <v>#VALUE!</v>
      </c>
      <c r="M1311" s="6" t="e">
        <v>#VALUE!</v>
      </c>
      <c r="N1311" s="6" t="e">
        <v>#VALUE!</v>
      </c>
      <c r="O1311" s="6" t="e">
        <v>#VALUE!</v>
      </c>
      <c r="P1311" s="6" t="e">
        <v>#VALUE!</v>
      </c>
      <c r="Q1311" s="6" t="e">
        <v>#VALUE!</v>
      </c>
      <c r="R1311" s="6" t="e">
        <v>#VALUE!</v>
      </c>
      <c r="T1311" s="9"/>
      <c r="U1311" s="1">
        <f t="shared" si="1898"/>
        <v>30</v>
      </c>
      <c r="V1311" s="1">
        <f t="shared" si="1899"/>
        <v>234</v>
      </c>
    </row>
    <row r="1312" spans="1:22" x14ac:dyDescent="0.3">
      <c r="A1312" s="1">
        <f t="shared" si="1834"/>
        <v>30235</v>
      </c>
      <c r="B1312" s="12">
        <f t="shared" si="1901"/>
        <v>0.89999999999999858</v>
      </c>
      <c r="C1312" s="13">
        <f t="shared" si="1902"/>
        <v>0.89999999999999858</v>
      </c>
      <c r="D1312" s="10">
        <f t="shared" si="1903"/>
        <v>0</v>
      </c>
      <c r="E1312" s="11">
        <f t="shared" ref="E1312" si="1909">IF(D1285="","",MAX(F1312,G1312))</f>
        <v>4.2999999999999972</v>
      </c>
      <c r="F1312" s="10">
        <f t="shared" ref="F1312" si="1910">ABS(MIN(B1310:B1319))</f>
        <v>2.2000000000000002</v>
      </c>
      <c r="G1312" s="10">
        <f t="shared" ref="G1312" si="1911">ABS(MAX(B1310:B1319))</f>
        <v>4.2999999999999972</v>
      </c>
      <c r="J1312" s="24" t="str">
        <f t="shared" ref="J1312" si="1912">CONCATENATE(K1309,3)</f>
        <v>93</v>
      </c>
      <c r="K1312" s="6" t="e">
        <v>#VALUE!</v>
      </c>
      <c r="L1312" s="6" t="e">
        <v>#VALUE!</v>
      </c>
      <c r="M1312" s="6" t="e">
        <v>#VALUE!</v>
      </c>
      <c r="N1312" s="6" t="e">
        <v>#VALUE!</v>
      </c>
      <c r="O1312" s="6" t="e">
        <v>#VALUE!</v>
      </c>
      <c r="P1312" s="6" t="e">
        <v>#VALUE!</v>
      </c>
      <c r="Q1312" s="6" t="e">
        <v>#VALUE!</v>
      </c>
      <c r="R1312" s="6" t="e">
        <v>#VALUE!</v>
      </c>
      <c r="T1312" s="9"/>
      <c r="U1312" s="1">
        <f t="shared" si="1898"/>
        <v>30</v>
      </c>
      <c r="V1312" s="1">
        <f t="shared" si="1899"/>
        <v>235</v>
      </c>
    </row>
    <row r="1313" spans="1:22" x14ac:dyDescent="0.3">
      <c r="A1313" s="1">
        <f t="shared" si="1834"/>
        <v>30236</v>
      </c>
      <c r="B1313" s="12">
        <f t="shared" si="1901"/>
        <v>3.2000000000000028</v>
      </c>
      <c r="C1313" s="13">
        <f t="shared" si="1902"/>
        <v>3.2000000000000028</v>
      </c>
      <c r="D1313" s="10">
        <f t="shared" si="1903"/>
        <v>0</v>
      </c>
      <c r="E1313" s="74" t="s">
        <v>39</v>
      </c>
      <c r="F1313" s="75"/>
      <c r="G1313" s="76"/>
      <c r="K1313" s="1">
        <v>10</v>
      </c>
      <c r="L1313" s="1">
        <v>10</v>
      </c>
      <c r="M1313" s="1">
        <v>10</v>
      </c>
      <c r="N1313" s="1">
        <v>10</v>
      </c>
      <c r="O1313" s="1">
        <v>10</v>
      </c>
      <c r="P1313" s="1">
        <v>10</v>
      </c>
      <c r="Q1313" s="1">
        <v>10</v>
      </c>
      <c r="R1313" s="1">
        <v>10</v>
      </c>
      <c r="S1313" s="1">
        <v>10</v>
      </c>
      <c r="T1313" s="9"/>
      <c r="U1313" s="1">
        <f t="shared" si="1898"/>
        <v>30</v>
      </c>
      <c r="V1313" s="1">
        <f t="shared" si="1899"/>
        <v>236</v>
      </c>
    </row>
    <row r="1314" spans="1:22" x14ac:dyDescent="0.3">
      <c r="A1314" s="1">
        <f t="shared" si="1834"/>
        <v>30237</v>
      </c>
      <c r="B1314" s="12">
        <f t="shared" si="1901"/>
        <v>4.2999999999999972</v>
      </c>
      <c r="C1314" s="13">
        <f t="shared" si="1902"/>
        <v>4.2999999999999972</v>
      </c>
      <c r="D1314" s="10">
        <f t="shared" si="1903"/>
        <v>0</v>
      </c>
      <c r="E1314" s="11">
        <f t="shared" ref="E1314" si="1913">IF(D1285="","",MAX(F1314,G1314))</f>
        <v>1.1000000000000001</v>
      </c>
      <c r="F1314" s="10">
        <f t="shared" ref="F1314" si="1914">ABS(MIN(D1294:D1303))</f>
        <v>0.6</v>
      </c>
      <c r="G1314" s="10">
        <f t="shared" ref="G1314" si="1915">ABS(MAX(D1294:D1303))</f>
        <v>1.1000000000000001</v>
      </c>
      <c r="J1314" s="24" t="str">
        <f t="shared" ref="J1314" si="1916">CONCATENATE(K1313,1)</f>
        <v>101</v>
      </c>
      <c r="K1314" s="6" t="e">
        <f t="array" ref="K1314:S1316">LINEST(B1294:B1303,C1294:C1303^{1,2,3,4,5,6,7,8},TRUE,TRUE)</f>
        <v>#VALUE!</v>
      </c>
      <c r="L1314" s="6" t="e">
        <v>#VALUE!</v>
      </c>
      <c r="M1314" s="6" t="e">
        <v>#VALUE!</v>
      </c>
      <c r="N1314" s="6" t="e">
        <v>#VALUE!</v>
      </c>
      <c r="O1314" s="6" t="e">
        <v>#VALUE!</v>
      </c>
      <c r="P1314" s="6" t="e">
        <v>#VALUE!</v>
      </c>
      <c r="Q1314" s="6" t="e">
        <v>#VALUE!</v>
      </c>
      <c r="R1314" s="6" t="e">
        <v>#VALUE!</v>
      </c>
      <c r="S1314" s="6" t="e">
        <v>#VALUE!</v>
      </c>
      <c r="T1314" s="9"/>
      <c r="U1314" s="1">
        <f t="shared" si="1898"/>
        <v>30</v>
      </c>
      <c r="V1314" s="1">
        <f t="shared" si="1899"/>
        <v>237</v>
      </c>
    </row>
    <row r="1315" spans="1:22" x14ac:dyDescent="0.3">
      <c r="A1315" s="1">
        <f t="shared" si="1834"/>
        <v>30238</v>
      </c>
      <c r="B1315" s="12">
        <f t="shared" si="1901"/>
        <v>0</v>
      </c>
      <c r="C1315" s="13">
        <f t="shared" si="1902"/>
        <v>0</v>
      </c>
      <c r="D1315" s="10">
        <f t="shared" si="1903"/>
        <v>0</v>
      </c>
      <c r="J1315" s="24" t="str">
        <f t="shared" ref="J1315" si="1917">CONCATENATE(K1313,2)</f>
        <v>102</v>
      </c>
      <c r="K1315" s="6" t="e">
        <v>#VALUE!</v>
      </c>
      <c r="L1315" s="6" t="e">
        <v>#VALUE!</v>
      </c>
      <c r="M1315" s="6" t="e">
        <v>#VALUE!</v>
      </c>
      <c r="N1315" s="6" t="e">
        <v>#VALUE!</v>
      </c>
      <c r="O1315" s="6" t="e">
        <v>#VALUE!</v>
      </c>
      <c r="P1315" s="6" t="e">
        <v>#VALUE!</v>
      </c>
      <c r="Q1315" s="6" t="e">
        <v>#VALUE!</v>
      </c>
      <c r="R1315" s="6" t="e">
        <v>#VALUE!</v>
      </c>
      <c r="S1315" s="6" t="e">
        <v>#VALUE!</v>
      </c>
      <c r="T1315" s="9"/>
      <c r="U1315" s="1">
        <f t="shared" si="1898"/>
        <v>30</v>
      </c>
      <c r="V1315" s="1">
        <f t="shared" si="1899"/>
        <v>238</v>
      </c>
    </row>
    <row r="1316" spans="1:22" x14ac:dyDescent="0.3">
      <c r="A1316" s="1">
        <f t="shared" si="1834"/>
        <v>30239</v>
      </c>
      <c r="B1316" s="12">
        <f t="shared" si="1901"/>
        <v>0</v>
      </c>
      <c r="C1316" s="13">
        <f t="shared" si="1902"/>
        <v>0</v>
      </c>
      <c r="D1316" s="10">
        <f t="shared" si="1903"/>
        <v>0</v>
      </c>
      <c r="J1316" s="24" t="str">
        <f t="shared" ref="J1316" si="1918">CONCATENATE(K1313,3)</f>
        <v>103</v>
      </c>
      <c r="K1316" s="6" t="e">
        <v>#VALUE!</v>
      </c>
      <c r="L1316" s="6" t="e">
        <v>#VALUE!</v>
      </c>
      <c r="M1316" s="6" t="e">
        <v>#VALUE!</v>
      </c>
      <c r="N1316" s="6" t="e">
        <v>#VALUE!</v>
      </c>
      <c r="O1316" s="6" t="e">
        <v>#VALUE!</v>
      </c>
      <c r="P1316" s="6" t="e">
        <v>#VALUE!</v>
      </c>
      <c r="Q1316" s="6" t="e">
        <v>#VALUE!</v>
      </c>
      <c r="R1316" s="6" t="e">
        <v>#VALUE!</v>
      </c>
      <c r="S1316" s="6" t="e">
        <v>#VALUE!</v>
      </c>
      <c r="T1316" s="9"/>
      <c r="U1316" s="1">
        <f t="shared" si="1898"/>
        <v>30</v>
      </c>
      <c r="V1316" s="1">
        <f t="shared" si="1899"/>
        <v>239</v>
      </c>
    </row>
    <row r="1317" spans="1:22" x14ac:dyDescent="0.3">
      <c r="A1317" s="1">
        <f t="shared" si="1834"/>
        <v>30240</v>
      </c>
      <c r="B1317" s="12">
        <f t="shared" si="1901"/>
        <v>0</v>
      </c>
      <c r="C1317" s="13">
        <f t="shared" si="1902"/>
        <v>0</v>
      </c>
      <c r="D1317" s="10">
        <f t="shared" si="1903"/>
        <v>0</v>
      </c>
      <c r="J1317" s="9"/>
      <c r="K1317" s="9"/>
      <c r="L1317" s="9"/>
      <c r="M1317" s="9"/>
      <c r="N1317" s="9"/>
      <c r="O1317" s="9"/>
      <c r="P1317" s="9"/>
      <c r="Q1317" s="9"/>
      <c r="R1317" s="9"/>
      <c r="S1317" s="9"/>
      <c r="T1317" s="9"/>
      <c r="U1317" s="1">
        <f t="shared" si="1898"/>
        <v>30</v>
      </c>
      <c r="V1317" s="1">
        <f t="shared" si="1899"/>
        <v>240</v>
      </c>
    </row>
    <row r="1318" spans="1:22" x14ac:dyDescent="0.3">
      <c r="A1318" s="1">
        <f t="shared" si="1834"/>
        <v>30241</v>
      </c>
      <c r="B1318" s="12">
        <f t="shared" si="1901"/>
        <v>0</v>
      </c>
      <c r="C1318" s="13">
        <f t="shared" si="1902"/>
        <v>0</v>
      </c>
      <c r="D1318" s="10">
        <f t="shared" si="1903"/>
        <v>0</v>
      </c>
      <c r="J1318" s="9"/>
      <c r="K1318" s="9"/>
      <c r="L1318" s="9"/>
      <c r="M1318" s="9"/>
      <c r="N1318" s="9"/>
      <c r="O1318" s="9"/>
      <c r="P1318" s="9"/>
      <c r="Q1318" s="9"/>
      <c r="R1318" s="9"/>
      <c r="S1318" s="9"/>
      <c r="T1318" s="9"/>
      <c r="U1318" s="1">
        <f t="shared" si="1898"/>
        <v>30</v>
      </c>
      <c r="V1318" s="1">
        <f t="shared" si="1899"/>
        <v>241</v>
      </c>
    </row>
    <row r="1319" spans="1:22" x14ac:dyDescent="0.3">
      <c r="A1319" s="1">
        <f t="shared" si="1834"/>
        <v>30242</v>
      </c>
      <c r="B1319" s="12">
        <f t="shared" si="1901"/>
        <v>0</v>
      </c>
      <c r="C1319" s="13">
        <f t="shared" si="1902"/>
        <v>0</v>
      </c>
      <c r="D1319" s="10">
        <f t="shared" si="1903"/>
        <v>0</v>
      </c>
      <c r="J1319" s="9"/>
      <c r="K1319" s="9"/>
      <c r="L1319" s="9"/>
      <c r="M1319" s="9"/>
      <c r="N1319" s="9"/>
      <c r="O1319" s="9"/>
      <c r="P1319" s="9"/>
      <c r="Q1319" s="9"/>
      <c r="R1319" s="9"/>
      <c r="S1319" s="9"/>
      <c r="T1319" s="9"/>
      <c r="U1319" s="1">
        <f t="shared" si="1898"/>
        <v>30</v>
      </c>
      <c r="V1319" s="1">
        <f t="shared" si="1899"/>
        <v>242</v>
      </c>
    </row>
    <row r="1320" spans="1:22" x14ac:dyDescent="0.3">
      <c r="A1320" s="1">
        <f t="shared" si="1834"/>
        <v>30243</v>
      </c>
      <c r="J1320" s="9"/>
      <c r="K1320" s="9"/>
      <c r="L1320" s="9"/>
      <c r="M1320" s="9"/>
      <c r="N1320" s="9"/>
      <c r="O1320" s="9"/>
      <c r="P1320" s="9"/>
      <c r="Q1320" s="9"/>
      <c r="R1320" s="9"/>
      <c r="S1320" s="9"/>
      <c r="T1320" s="9"/>
      <c r="U1320" s="1">
        <f t="shared" si="1898"/>
        <v>30</v>
      </c>
      <c r="V1320" s="1">
        <f t="shared" si="1899"/>
        <v>243</v>
      </c>
    </row>
    <row r="1321" spans="1:22" s="5" customFormat="1" x14ac:dyDescent="0.3"/>
    <row r="1322" spans="1:22" x14ac:dyDescent="0.3">
      <c r="A1322" s="1">
        <f t="shared" ref="A1322:A1364" si="1919">ROUND(CONCATENATE(U1322,V1322),0)</f>
        <v>31201</v>
      </c>
      <c r="B1322" s="96" t="s">
        <v>0</v>
      </c>
      <c r="C1322" s="97"/>
      <c r="D1322" s="98"/>
      <c r="E1322" s="99"/>
      <c r="F1322" s="99"/>
      <c r="G1322" s="99"/>
      <c r="H1322" s="100"/>
      <c r="J1322" s="9"/>
      <c r="K1322" s="9"/>
      <c r="L1322" s="9"/>
      <c r="M1322" s="9"/>
      <c r="N1322" s="9"/>
      <c r="O1322" s="9"/>
      <c r="P1322" s="9"/>
      <c r="Q1322" s="9"/>
      <c r="R1322" s="9"/>
      <c r="S1322" s="9"/>
      <c r="T1322" s="9"/>
      <c r="U1322" s="1">
        <f t="shared" ref="U1322" si="1920">U1320+1</f>
        <v>31</v>
      </c>
      <c r="V1322" s="1">
        <v>201</v>
      </c>
    </row>
    <row r="1323" spans="1:22" x14ac:dyDescent="0.3">
      <c r="A1323" s="1">
        <f t="shared" si="1919"/>
        <v>31202</v>
      </c>
      <c r="B1323" s="96" t="s">
        <v>1</v>
      </c>
      <c r="C1323" s="97"/>
      <c r="D1323" s="15"/>
      <c r="E1323" s="16" t="s">
        <v>2</v>
      </c>
      <c r="F1323" s="107"/>
      <c r="G1323" s="108"/>
      <c r="H1323" s="109"/>
      <c r="J1323" s="9"/>
      <c r="K1323" s="9"/>
      <c r="L1323" s="9"/>
      <c r="M1323" s="9"/>
      <c r="N1323" s="9"/>
      <c r="O1323" s="9"/>
      <c r="P1323" s="9"/>
      <c r="Q1323" s="9"/>
      <c r="R1323" s="9"/>
      <c r="S1323" s="9"/>
      <c r="T1323" s="9"/>
      <c r="U1323" s="1">
        <f t="shared" ref="U1323" si="1921">U1322</f>
        <v>31</v>
      </c>
      <c r="V1323" s="1">
        <f t="shared" ref="V1323" si="1922">V1322+1</f>
        <v>202</v>
      </c>
    </row>
    <row r="1324" spans="1:22" x14ac:dyDescent="0.3">
      <c r="A1324" s="1">
        <f t="shared" si="1919"/>
        <v>31203</v>
      </c>
      <c r="B1324" s="96" t="s">
        <v>12</v>
      </c>
      <c r="C1324" s="97"/>
      <c r="D1324" s="98"/>
      <c r="E1324" s="99"/>
      <c r="F1324" s="99"/>
      <c r="G1324" s="99"/>
      <c r="H1324" s="100"/>
      <c r="K1324" s="1" t="s">
        <v>3</v>
      </c>
      <c r="L1324" s="1" t="s">
        <v>4</v>
      </c>
      <c r="M1324" s="1" t="s">
        <v>5</v>
      </c>
      <c r="N1324" s="1" t="s">
        <v>6</v>
      </c>
      <c r="O1324" s="1" t="s">
        <v>7</v>
      </c>
      <c r="P1324" s="1" t="s">
        <v>8</v>
      </c>
      <c r="Q1324" s="1" t="s">
        <v>9</v>
      </c>
      <c r="R1324" s="1" t="s">
        <v>10</v>
      </c>
      <c r="S1324" s="1" t="s">
        <v>11</v>
      </c>
      <c r="T1324" s="9"/>
      <c r="U1324" s="1">
        <f t="shared" si="1898"/>
        <v>31</v>
      </c>
      <c r="V1324" s="1">
        <f t="shared" si="1899"/>
        <v>203</v>
      </c>
    </row>
    <row r="1325" spans="1:22" x14ac:dyDescent="0.3">
      <c r="A1325" s="1">
        <f t="shared" si="1919"/>
        <v>31204</v>
      </c>
      <c r="B1325" s="96" t="s">
        <v>13</v>
      </c>
      <c r="C1325" s="97"/>
      <c r="D1325" s="98"/>
      <c r="E1325" s="99"/>
      <c r="F1325" s="99"/>
      <c r="G1325" s="99"/>
      <c r="H1325" s="100"/>
      <c r="J1325" s="1">
        <f t="shared" ref="J1325" si="1923">COUNTA(B1338:B1347)</f>
        <v>0</v>
      </c>
      <c r="K1325" s="1">
        <f t="shared" ref="K1325" si="1924">IF(L1325-1&lt;2,0,L1325-1)</f>
        <v>0</v>
      </c>
      <c r="L1325" s="1">
        <f t="shared" ref="L1325" si="1925">IF(M1325-1&lt;2,0,M1325-1)</f>
        <v>0</v>
      </c>
      <c r="M1325" s="1">
        <f t="shared" ref="M1325" si="1926">IF(N1325-1&lt;2,0,N1325-1)</f>
        <v>0</v>
      </c>
      <c r="N1325" s="1">
        <f t="shared" ref="N1325" si="1927">IF(O1325-1&lt;2,0,O1325-1)</f>
        <v>0</v>
      </c>
      <c r="O1325" s="1">
        <f t="shared" ref="O1325" si="1928">IF(P1325-1&lt;2,0,P1325-1)</f>
        <v>0</v>
      </c>
      <c r="P1325" s="1">
        <f t="shared" ref="P1325" si="1929">IF(Q1325-1&lt;2,0,Q1325-1)</f>
        <v>0</v>
      </c>
      <c r="Q1325" s="1">
        <f t="shared" ref="Q1325" si="1930">IF(R1325-1&lt;2,0,R1325-1)</f>
        <v>0</v>
      </c>
      <c r="R1325" s="1">
        <f t="shared" ref="R1325" si="1931">IF(S1325-1&lt;2,0,S1325-1)</f>
        <v>0</v>
      </c>
      <c r="S1325" s="1">
        <f t="shared" ref="S1325" si="1932">J1325</f>
        <v>0</v>
      </c>
      <c r="T1325" s="9"/>
      <c r="U1325" s="1">
        <f t="shared" si="1898"/>
        <v>31</v>
      </c>
      <c r="V1325" s="1">
        <f t="shared" si="1899"/>
        <v>204</v>
      </c>
    </row>
    <row r="1326" spans="1:22" x14ac:dyDescent="0.3">
      <c r="A1326" s="1">
        <f t="shared" si="1919"/>
        <v>31205</v>
      </c>
      <c r="B1326" s="96" t="s">
        <v>14</v>
      </c>
      <c r="C1326" s="97"/>
      <c r="D1326" s="98"/>
      <c r="E1326" s="99"/>
      <c r="F1326" s="99"/>
      <c r="G1326" s="99"/>
      <c r="H1326" s="100"/>
      <c r="J1326" s="24" t="str">
        <f t="shared" ref="J1326" si="1933">CONCATENATE(J1325,1)</f>
        <v>01</v>
      </c>
      <c r="K1326" s="25">
        <f t="shared" ref="K1326" si="1934">IF(K1325=0,0,VLOOKUP(J1326,J1330:S1360,K1325,FALSE))</f>
        <v>0</v>
      </c>
      <c r="L1326" s="25">
        <f t="shared" ref="L1326" si="1935">IF(L1325=0,0,VLOOKUP(J1326,J1330:S1360,L1325,FALSE))</f>
        <v>0</v>
      </c>
      <c r="M1326" s="25">
        <f t="shared" ref="M1326" si="1936">IF(M1325=0,0,VLOOKUP(J1326,J1330:S1360,M1325,FALSE))</f>
        <v>0</v>
      </c>
      <c r="N1326" s="25">
        <f t="shared" ref="N1326" si="1937">IF(N1325=0,0,VLOOKUP(J1326,J1330:S1360,N1325,FALSE))</f>
        <v>0</v>
      </c>
      <c r="O1326" s="25">
        <f t="shared" ref="O1326" si="1938">IF(O1325=0,0,VLOOKUP(J1326,J1330:S1360,O1325,FALSE))</f>
        <v>0</v>
      </c>
      <c r="P1326" s="25">
        <f t="shared" ref="P1326" si="1939">IF(P1325=0,0,VLOOKUP(J1326,J1330:S1360,P1325,FALSE))</f>
        <v>0</v>
      </c>
      <c r="Q1326" s="25">
        <f t="shared" ref="Q1326" si="1940">IF(Q1325=0,0,VLOOKUP(J1326,J1330:S1360,Q1325,FALSE))</f>
        <v>0</v>
      </c>
      <c r="R1326" s="25">
        <f t="shared" ref="R1326" si="1941">IF(R1325=0,0,VLOOKUP(J1326,J1330:S1360,R1325,FALSE))</f>
        <v>0</v>
      </c>
      <c r="S1326" s="25">
        <f t="shared" ref="S1326" si="1942">IF(S1325=0,0,VLOOKUP(J1326,J1330:S1360,S1325,FALSE))</f>
        <v>0</v>
      </c>
      <c r="T1326" s="9"/>
      <c r="U1326" s="1">
        <f t="shared" si="1898"/>
        <v>31</v>
      </c>
      <c r="V1326" s="1">
        <f t="shared" si="1899"/>
        <v>205</v>
      </c>
    </row>
    <row r="1327" spans="1:22" x14ac:dyDescent="0.3">
      <c r="A1327" s="1">
        <f t="shared" si="1919"/>
        <v>31206</v>
      </c>
      <c r="B1327" s="96" t="s">
        <v>15</v>
      </c>
      <c r="C1327" s="97"/>
      <c r="D1327" s="126"/>
      <c r="E1327" s="127"/>
      <c r="F1327" s="127"/>
      <c r="G1327" s="127"/>
      <c r="H1327" s="127"/>
      <c r="J1327" s="24" t="str">
        <f t="shared" ref="J1327" si="1943">CONCATENATE(J1325,2)</f>
        <v>02</v>
      </c>
      <c r="K1327" s="6">
        <f t="shared" ref="K1327" si="1944">IF(K1325=0,0,VLOOKUP(J1327,J1330:S1360,K1325,FALSE))</f>
        <v>0</v>
      </c>
      <c r="L1327" s="6">
        <f t="shared" ref="L1327" si="1945">IF(L1325=0,0,VLOOKUP(J1327,J1330:S1360,L1325,FALSE))</f>
        <v>0</v>
      </c>
      <c r="M1327" s="6">
        <f t="shared" ref="M1327" si="1946">IF(M1325=0,0,VLOOKUP(J1327,J1330:S1360,M1325,FALSE))</f>
        <v>0</v>
      </c>
      <c r="N1327" s="6">
        <f t="shared" ref="N1327" si="1947">IF(N1325=0,0,VLOOKUP(J1327,J1330:S1360,N1325,FALSE))</f>
        <v>0</v>
      </c>
      <c r="O1327" s="6">
        <f t="shared" ref="O1327" si="1948">IF(O1325=0,0,VLOOKUP(J1327,J1330:S1360,O1325,FALSE))</f>
        <v>0</v>
      </c>
      <c r="P1327" s="6">
        <f t="shared" ref="P1327" si="1949">IF(P1325=0,0,VLOOKUP(J1327,J1330:S1360,P1325,FALSE))</f>
        <v>0</v>
      </c>
      <c r="Q1327" s="6">
        <f t="shared" ref="Q1327" si="1950">IF(Q1325=0,0,VLOOKUP(J1327,J1330:S1360,Q1325,FALSE))</f>
        <v>0</v>
      </c>
      <c r="R1327" s="6">
        <f t="shared" ref="R1327" si="1951">IF(R1325=0,0,VLOOKUP(J1327,J1330:S1360,R1325,FALSE))</f>
        <v>0</v>
      </c>
      <c r="S1327" s="6">
        <f t="shared" ref="S1327" si="1952">IF(S1325=0,0,VLOOKUP(J1327,J1330:S1360,S1325,FALSE))</f>
        <v>0</v>
      </c>
      <c r="T1327" s="9"/>
      <c r="U1327" s="1">
        <f t="shared" si="1898"/>
        <v>31</v>
      </c>
      <c r="V1327" s="1">
        <f t="shared" si="1899"/>
        <v>206</v>
      </c>
    </row>
    <row r="1328" spans="1:22" x14ac:dyDescent="0.3">
      <c r="A1328" s="1">
        <f t="shared" si="1919"/>
        <v>31207</v>
      </c>
      <c r="B1328" s="96" t="s">
        <v>16</v>
      </c>
      <c r="C1328" s="97"/>
      <c r="D1328" s="101"/>
      <c r="E1328" s="102"/>
      <c r="F1328" s="102"/>
      <c r="G1328" s="102"/>
      <c r="H1328" s="103"/>
      <c r="J1328" s="24" t="str">
        <f t="shared" ref="J1328" si="1953">CONCATENATE(J1325,3)</f>
        <v>03</v>
      </c>
      <c r="K1328" s="6"/>
      <c r="L1328" s="6"/>
      <c r="M1328" s="6"/>
      <c r="N1328" s="6" t="s">
        <v>43</v>
      </c>
      <c r="O1328" s="25">
        <f t="shared" ref="O1328" si="1954">J1325-2</f>
        <v>-2</v>
      </c>
      <c r="P1328" s="6" t="s">
        <v>44</v>
      </c>
      <c r="Q1328" s="25" t="e">
        <f t="shared" ref="Q1328" si="1955">VLOOKUP(J1328,J1330:S1360,3,FALSE)</f>
        <v>#N/A</v>
      </c>
      <c r="R1328" s="6" t="s">
        <v>45</v>
      </c>
      <c r="S1328" s="6" t="e">
        <f t="shared" ref="S1328" si="1956">VLOOKUP(J1328,J1330:S1360,2,FALSE)</f>
        <v>#N/A</v>
      </c>
      <c r="T1328" s="9"/>
      <c r="U1328" s="1">
        <f t="shared" si="1898"/>
        <v>31</v>
      </c>
      <c r="V1328" s="1">
        <f t="shared" si="1899"/>
        <v>207</v>
      </c>
    </row>
    <row r="1329" spans="1:22" x14ac:dyDescent="0.3">
      <c r="A1329" s="1">
        <f t="shared" si="1919"/>
        <v>31208</v>
      </c>
      <c r="B1329" s="96" t="s">
        <v>17</v>
      </c>
      <c r="C1329" s="97"/>
      <c r="D1329" s="104"/>
      <c r="E1329" s="105"/>
      <c r="F1329" s="105"/>
      <c r="G1329" s="105"/>
      <c r="H1329" s="106"/>
      <c r="K1329" s="1">
        <v>3</v>
      </c>
      <c r="L1329" s="1">
        <v>3</v>
      </c>
      <c r="Q1329" s="26"/>
      <c r="R1329" s="26"/>
      <c r="S1329" s="26"/>
      <c r="T1329" s="9"/>
      <c r="U1329" s="1">
        <f t="shared" si="1898"/>
        <v>31</v>
      </c>
      <c r="V1329" s="1">
        <f t="shared" si="1899"/>
        <v>208</v>
      </c>
    </row>
    <row r="1330" spans="1:22" x14ac:dyDescent="0.3">
      <c r="A1330" s="1">
        <f t="shared" si="1919"/>
        <v>31209</v>
      </c>
      <c r="B1330" s="77" t="s">
        <v>19</v>
      </c>
      <c r="C1330" s="78"/>
      <c r="D1330" s="17"/>
      <c r="E1330" s="79" t="s">
        <v>40</v>
      </c>
      <c r="F1330" s="80"/>
      <c r="G1330" s="81"/>
      <c r="H1330" s="18" t="s">
        <v>72</v>
      </c>
      <c r="J1330" s="24" t="str">
        <f t="shared" ref="J1330" si="1957">CONCATENATE(K1329,1)</f>
        <v>31</v>
      </c>
      <c r="K1330" s="6" t="e">
        <f t="array" ref="K1330:L1332">LINEST(B1338:B1340,C1338:C1340^{1},TRUE,TRUE)</f>
        <v>#VALUE!</v>
      </c>
      <c r="L1330" s="6" t="e">
        <v>#VALUE!</v>
      </c>
      <c r="Q1330" s="9"/>
      <c r="R1330" s="9"/>
      <c r="S1330" s="9"/>
      <c r="T1330" s="9"/>
      <c r="U1330" s="1">
        <f t="shared" si="1898"/>
        <v>31</v>
      </c>
      <c r="V1330" s="1">
        <f t="shared" si="1899"/>
        <v>209</v>
      </c>
    </row>
    <row r="1331" spans="1:22" x14ac:dyDescent="0.3">
      <c r="A1331" s="1">
        <f t="shared" si="1919"/>
        <v>31210</v>
      </c>
      <c r="B1331" s="77" t="s">
        <v>41</v>
      </c>
      <c r="C1331" s="78"/>
      <c r="D1331" s="23">
        <f t="shared" ref="D1331" si="1958">MIN(B1338:B1347)</f>
        <v>0</v>
      </c>
      <c r="E1331" s="20" t="s">
        <v>18</v>
      </c>
      <c r="F1331" s="19">
        <f t="shared" ref="F1331" si="1959">MAX(B1338:B1347)</f>
        <v>0</v>
      </c>
      <c r="G1331" s="21" t="str">
        <f t="shared" ref="G1331" si="1960">IF(H1330="","",H1330)</f>
        <v>%ur</v>
      </c>
      <c r="H1331" s="22"/>
      <c r="J1331" s="24" t="str">
        <f t="shared" ref="J1331" si="1961">CONCATENATE(K1329,2)</f>
        <v>32</v>
      </c>
      <c r="K1331" s="6" t="e">
        <v>#VALUE!</v>
      </c>
      <c r="L1331" s="6" t="e">
        <v>#VALUE!</v>
      </c>
      <c r="Q1331" s="9"/>
      <c r="R1331" s="9"/>
      <c r="S1331" s="9"/>
      <c r="T1331" s="9"/>
      <c r="U1331" s="1">
        <f t="shared" si="1898"/>
        <v>31</v>
      </c>
      <c r="V1331" s="1">
        <f t="shared" si="1899"/>
        <v>210</v>
      </c>
    </row>
    <row r="1332" spans="1:22" x14ac:dyDescent="0.3">
      <c r="A1332" s="1">
        <f t="shared" si="1919"/>
        <v>31211</v>
      </c>
      <c r="J1332" s="24" t="str">
        <f t="shared" ref="J1332" si="1962">CONCATENATE(K1329,3)</f>
        <v>33</v>
      </c>
      <c r="K1332" s="6" t="e">
        <v>#VALUE!</v>
      </c>
      <c r="L1332" s="6" t="e">
        <v>#VALUE!</v>
      </c>
      <c r="Q1332" s="9"/>
      <c r="R1332" s="9"/>
      <c r="S1332" s="9"/>
      <c r="T1332" s="9"/>
      <c r="U1332" s="1">
        <f t="shared" si="1898"/>
        <v>31</v>
      </c>
      <c r="V1332" s="1">
        <f t="shared" si="1899"/>
        <v>211</v>
      </c>
    </row>
    <row r="1333" spans="1:22" x14ac:dyDescent="0.3">
      <c r="A1333" s="1">
        <f t="shared" si="1919"/>
        <v>31212</v>
      </c>
      <c r="B1333" s="82" t="s">
        <v>20</v>
      </c>
      <c r="C1333" s="83"/>
      <c r="D1333" s="83"/>
      <c r="E1333" s="83"/>
      <c r="F1333" s="84"/>
      <c r="G1333" s="85" t="s">
        <v>31</v>
      </c>
      <c r="H1333" s="86"/>
      <c r="K1333" s="1">
        <v>4</v>
      </c>
      <c r="L1333" s="1">
        <v>4</v>
      </c>
      <c r="M1333" s="1">
        <v>4</v>
      </c>
      <c r="Q1333" s="9"/>
      <c r="R1333" s="9"/>
      <c r="S1333" s="9"/>
      <c r="T1333" s="9"/>
      <c r="U1333" s="1">
        <f t="shared" si="1898"/>
        <v>31</v>
      </c>
      <c r="V1333" s="1">
        <f t="shared" si="1899"/>
        <v>212</v>
      </c>
    </row>
    <row r="1334" spans="1:22" x14ac:dyDescent="0.3">
      <c r="A1334" s="1">
        <f t="shared" si="1919"/>
        <v>31213</v>
      </c>
      <c r="B1334" s="82" t="s">
        <v>30</v>
      </c>
      <c r="C1334" s="83"/>
      <c r="D1334" s="84"/>
      <c r="E1334" s="82">
        <f t="shared" ref="E1334" si="1963">D1327</f>
        <v>0</v>
      </c>
      <c r="F1334" s="84"/>
      <c r="G1334" s="6" t="s">
        <v>32</v>
      </c>
      <c r="H1334"/>
      <c r="J1334" s="24" t="str">
        <f t="shared" ref="J1334" si="1964">CONCATENATE(K1333,1)</f>
        <v>41</v>
      </c>
      <c r="K1334" s="6" t="e">
        <f t="array" ref="K1334:M1336">LINEST(B1338:B1341,C1338:C1341^{1,2},TRUE,TRUE)</f>
        <v>#VALUE!</v>
      </c>
      <c r="L1334" s="6" t="e">
        <v>#VALUE!</v>
      </c>
      <c r="M1334" s="6" t="e">
        <v>#VALUE!</v>
      </c>
      <c r="Q1334" s="9"/>
      <c r="R1334" s="9"/>
      <c r="S1334" s="9"/>
      <c r="T1334" s="9"/>
      <c r="U1334" s="1">
        <f t="shared" si="1898"/>
        <v>31</v>
      </c>
      <c r="V1334" s="1">
        <f t="shared" si="1899"/>
        <v>213</v>
      </c>
    </row>
    <row r="1335" spans="1:22" x14ac:dyDescent="0.3">
      <c r="A1335" s="1">
        <f t="shared" si="1919"/>
        <v>31214</v>
      </c>
      <c r="B1335" s="2" t="s">
        <v>21</v>
      </c>
      <c r="C1335" s="2" t="s">
        <v>22</v>
      </c>
      <c r="D1335" s="2" t="s">
        <v>23</v>
      </c>
      <c r="E1335" s="2"/>
      <c r="F1335" s="2" t="s">
        <v>28</v>
      </c>
      <c r="G1335" s="2" t="s">
        <v>21</v>
      </c>
      <c r="H1335" s="2" t="s">
        <v>22</v>
      </c>
      <c r="J1335" s="24" t="str">
        <f t="shared" ref="J1335" si="1965">CONCATENATE(K1333,2)</f>
        <v>42</v>
      </c>
      <c r="K1335" s="6" t="e">
        <v>#VALUE!</v>
      </c>
      <c r="L1335" s="6" t="e">
        <v>#VALUE!</v>
      </c>
      <c r="M1335" s="6" t="e">
        <v>#VALUE!</v>
      </c>
      <c r="Q1335" s="9"/>
      <c r="R1335" s="9"/>
      <c r="S1335" s="9"/>
      <c r="T1335" s="9"/>
      <c r="U1335" s="1">
        <f t="shared" si="1898"/>
        <v>31</v>
      </c>
      <c r="V1335" s="1">
        <f t="shared" si="1899"/>
        <v>214</v>
      </c>
    </row>
    <row r="1336" spans="1:22" x14ac:dyDescent="0.3">
      <c r="A1336" s="1">
        <f t="shared" si="1919"/>
        <v>31215</v>
      </c>
      <c r="B1336" s="2" t="s">
        <v>24</v>
      </c>
      <c r="C1336" s="2" t="s">
        <v>25</v>
      </c>
      <c r="D1336" s="2" t="s">
        <v>26</v>
      </c>
      <c r="E1336" s="2" t="s">
        <v>27</v>
      </c>
      <c r="F1336" s="2" t="s">
        <v>29</v>
      </c>
      <c r="G1336" s="2" t="s">
        <v>24</v>
      </c>
      <c r="H1336" s="2" t="s">
        <v>25</v>
      </c>
      <c r="J1336" s="24" t="str">
        <f t="shared" ref="J1336" si="1966">CONCATENATE(K1333,3)</f>
        <v>43</v>
      </c>
      <c r="K1336" s="6" t="e">
        <v>#VALUE!</v>
      </c>
      <c r="L1336" s="6" t="e">
        <v>#VALUE!</v>
      </c>
      <c r="M1336" s="6" t="e">
        <v>#VALUE!</v>
      </c>
      <c r="Q1336" s="9"/>
      <c r="R1336" s="9"/>
      <c r="S1336" s="9"/>
      <c r="T1336" s="9"/>
      <c r="U1336" s="1">
        <f t="shared" si="1898"/>
        <v>31</v>
      </c>
      <c r="V1336" s="1">
        <f t="shared" si="1899"/>
        <v>215</v>
      </c>
    </row>
    <row r="1337" spans="1:22" x14ac:dyDescent="0.3">
      <c r="A1337" s="1">
        <f t="shared" si="1919"/>
        <v>31216</v>
      </c>
      <c r="B1337" s="3" t="str">
        <f t="shared" ref="B1337" si="1967">H1330</f>
        <v>%ur</v>
      </c>
      <c r="C1337" s="3" t="str">
        <f t="shared" ref="C1337" si="1968">B1337</f>
        <v>%ur</v>
      </c>
      <c r="D1337" s="3" t="str">
        <f t="shared" ref="D1337" si="1969">C1337</f>
        <v>%ur</v>
      </c>
      <c r="E1337" s="3"/>
      <c r="F1337" s="3"/>
      <c r="G1337" s="3" t="str">
        <f t="shared" ref="G1337" si="1970">D1337</f>
        <v>%ur</v>
      </c>
      <c r="H1337" s="3" t="str">
        <f t="shared" ref="H1337" si="1971">G1337</f>
        <v>%ur</v>
      </c>
      <c r="K1337" s="1">
        <v>5</v>
      </c>
      <c r="L1337" s="1">
        <v>5</v>
      </c>
      <c r="M1337" s="1">
        <v>5</v>
      </c>
      <c r="N1337" s="1">
        <v>5</v>
      </c>
      <c r="Q1337" s="9"/>
      <c r="R1337" s="9"/>
      <c r="S1337" s="9"/>
      <c r="T1337" s="9"/>
      <c r="U1337" s="1">
        <f t="shared" si="1898"/>
        <v>31</v>
      </c>
      <c r="V1337" s="1">
        <f t="shared" si="1899"/>
        <v>216</v>
      </c>
    </row>
    <row r="1338" spans="1:22" x14ac:dyDescent="0.3">
      <c r="A1338" s="1">
        <f t="shared" si="1919"/>
        <v>31217</v>
      </c>
      <c r="B1338" s="4"/>
      <c r="C1338" s="4"/>
      <c r="D1338" s="4"/>
      <c r="E1338" s="4"/>
      <c r="F1338" s="14"/>
      <c r="G1338" s="8"/>
      <c r="H1338" s="7"/>
      <c r="J1338" s="24" t="str">
        <f t="shared" ref="J1338" si="1972">CONCATENATE(K1337,1)</f>
        <v>51</v>
      </c>
      <c r="K1338" s="6" t="e">
        <f t="array" ref="K1338:N1340">LINEST(B1338:B1342,C1338:C1342^{1,2,3},TRUE,TRUE)</f>
        <v>#VALUE!</v>
      </c>
      <c r="L1338" s="6" t="e">
        <v>#VALUE!</v>
      </c>
      <c r="M1338" s="6" t="e">
        <v>#VALUE!</v>
      </c>
      <c r="N1338" s="6" t="e">
        <v>#VALUE!</v>
      </c>
      <c r="Q1338" s="9"/>
      <c r="R1338" s="9"/>
      <c r="S1338" s="9"/>
      <c r="T1338" s="9"/>
      <c r="U1338" s="1">
        <f t="shared" si="1898"/>
        <v>31</v>
      </c>
      <c r="V1338" s="1">
        <f t="shared" si="1899"/>
        <v>217</v>
      </c>
    </row>
    <row r="1339" spans="1:22" x14ac:dyDescent="0.3">
      <c r="A1339" s="1">
        <f t="shared" si="1919"/>
        <v>31218</v>
      </c>
      <c r="B1339" s="4"/>
      <c r="C1339" s="4"/>
      <c r="D1339" s="4"/>
      <c r="E1339" s="4"/>
      <c r="F1339" s="14"/>
      <c r="G1339" s="8"/>
      <c r="H1339" s="7"/>
      <c r="J1339" s="24" t="str">
        <f t="shared" ref="J1339" si="1973">CONCATENATE(K1337,2)</f>
        <v>52</v>
      </c>
      <c r="K1339" s="6" t="e">
        <v>#VALUE!</v>
      </c>
      <c r="L1339" s="6" t="e">
        <v>#VALUE!</v>
      </c>
      <c r="M1339" s="6" t="e">
        <v>#VALUE!</v>
      </c>
      <c r="N1339" s="6" t="e">
        <v>#VALUE!</v>
      </c>
      <c r="T1339" s="9"/>
      <c r="U1339" s="1">
        <f t="shared" si="1898"/>
        <v>31</v>
      </c>
      <c r="V1339" s="1">
        <f t="shared" si="1899"/>
        <v>218</v>
      </c>
    </row>
    <row r="1340" spans="1:22" x14ac:dyDescent="0.3">
      <c r="A1340" s="1">
        <f t="shared" si="1919"/>
        <v>31219</v>
      </c>
      <c r="B1340" s="4"/>
      <c r="C1340" s="4"/>
      <c r="D1340" s="4"/>
      <c r="E1340" s="4"/>
      <c r="F1340" s="14"/>
      <c r="G1340" s="8"/>
      <c r="H1340" s="7"/>
      <c r="J1340" s="24" t="str">
        <f t="shared" ref="J1340" si="1974">CONCATENATE(K1337,3)</f>
        <v>53</v>
      </c>
      <c r="K1340" s="6" t="e">
        <v>#VALUE!</v>
      </c>
      <c r="L1340" s="6" t="e">
        <v>#VALUE!</v>
      </c>
      <c r="M1340" s="6" t="e">
        <v>#VALUE!</v>
      </c>
      <c r="N1340" s="6" t="e">
        <v>#VALUE!</v>
      </c>
      <c r="T1340" s="9"/>
      <c r="U1340" s="1">
        <f t="shared" si="1898"/>
        <v>31</v>
      </c>
      <c r="V1340" s="1">
        <f t="shared" si="1899"/>
        <v>219</v>
      </c>
    </row>
    <row r="1341" spans="1:22" x14ac:dyDescent="0.3">
      <c r="A1341" s="1">
        <f t="shared" si="1919"/>
        <v>31220</v>
      </c>
      <c r="B1341" s="4"/>
      <c r="C1341" s="4"/>
      <c r="D1341" s="4"/>
      <c r="E1341" s="4"/>
      <c r="F1341" s="14"/>
      <c r="G1341" s="8"/>
      <c r="H1341" s="7"/>
      <c r="K1341" s="1">
        <v>6</v>
      </c>
      <c r="L1341" s="1">
        <v>6</v>
      </c>
      <c r="M1341" s="1">
        <v>6</v>
      </c>
      <c r="N1341" s="1">
        <v>6</v>
      </c>
      <c r="O1341" s="1">
        <v>6</v>
      </c>
      <c r="T1341" s="9"/>
      <c r="U1341" s="1">
        <f t="shared" si="1898"/>
        <v>31</v>
      </c>
      <c r="V1341" s="1">
        <f t="shared" si="1899"/>
        <v>220</v>
      </c>
    </row>
    <row r="1342" spans="1:22" x14ac:dyDescent="0.3">
      <c r="A1342" s="1">
        <f t="shared" si="1919"/>
        <v>31221</v>
      </c>
      <c r="B1342" s="4"/>
      <c r="C1342" s="4"/>
      <c r="D1342" s="4"/>
      <c r="E1342" s="4"/>
      <c r="F1342" s="14"/>
      <c r="G1342" s="8"/>
      <c r="H1342" s="7"/>
      <c r="J1342" s="24" t="str">
        <f t="shared" ref="J1342" si="1975">CONCATENATE(K1341,1)</f>
        <v>61</v>
      </c>
      <c r="K1342" s="6" t="e">
        <f t="array" ref="K1342:O1344">LINEST(B1338:B1343,C1338:C1343^{1,2,3,4},TRUE,TRUE)</f>
        <v>#VALUE!</v>
      </c>
      <c r="L1342" s="6" t="e">
        <v>#VALUE!</v>
      </c>
      <c r="M1342" s="6" t="e">
        <v>#VALUE!</v>
      </c>
      <c r="N1342" s="6" t="e">
        <v>#VALUE!</v>
      </c>
      <c r="O1342" s="6" t="e">
        <v>#VALUE!</v>
      </c>
      <c r="T1342" s="9"/>
      <c r="U1342" s="1">
        <f t="shared" si="1898"/>
        <v>31</v>
      </c>
      <c r="V1342" s="1">
        <f t="shared" si="1899"/>
        <v>221</v>
      </c>
    </row>
    <row r="1343" spans="1:22" x14ac:dyDescent="0.3">
      <c r="A1343" s="1">
        <f t="shared" si="1919"/>
        <v>31222</v>
      </c>
      <c r="B1343" s="4"/>
      <c r="C1343" s="4"/>
      <c r="D1343" s="4"/>
      <c r="E1343" s="4"/>
      <c r="F1343" s="14"/>
      <c r="G1343" s="8"/>
      <c r="H1343" s="7"/>
      <c r="J1343" s="24" t="str">
        <f t="shared" ref="J1343" si="1976">CONCATENATE(K1341,2)</f>
        <v>62</v>
      </c>
      <c r="K1343" s="6" t="e">
        <v>#VALUE!</v>
      </c>
      <c r="L1343" s="6" t="e">
        <v>#VALUE!</v>
      </c>
      <c r="M1343" s="6" t="e">
        <v>#VALUE!</v>
      </c>
      <c r="N1343" s="6" t="e">
        <v>#VALUE!</v>
      </c>
      <c r="O1343" s="6" t="e">
        <v>#VALUE!</v>
      </c>
      <c r="T1343" s="9"/>
      <c r="U1343" s="1">
        <f t="shared" si="1898"/>
        <v>31</v>
      </c>
      <c r="V1343" s="1">
        <f t="shared" si="1899"/>
        <v>222</v>
      </c>
    </row>
    <row r="1344" spans="1:22" x14ac:dyDescent="0.3">
      <c r="A1344" s="1">
        <f t="shared" si="1919"/>
        <v>31223</v>
      </c>
      <c r="B1344" s="4"/>
      <c r="C1344" s="4"/>
      <c r="D1344" s="4"/>
      <c r="E1344" s="4"/>
      <c r="F1344" s="14"/>
      <c r="G1344" s="8"/>
      <c r="H1344" s="7"/>
      <c r="J1344" s="24" t="str">
        <f t="shared" ref="J1344" si="1977">CONCATENATE(K1341,3)</f>
        <v>63</v>
      </c>
      <c r="K1344" s="6" t="e">
        <v>#VALUE!</v>
      </c>
      <c r="L1344" s="6" t="e">
        <v>#VALUE!</v>
      </c>
      <c r="M1344" s="6" t="e">
        <v>#VALUE!</v>
      </c>
      <c r="N1344" s="6" t="e">
        <v>#VALUE!</v>
      </c>
      <c r="O1344" s="6" t="e">
        <v>#VALUE!</v>
      </c>
      <c r="T1344" s="9"/>
      <c r="U1344" s="1">
        <f t="shared" si="1898"/>
        <v>31</v>
      </c>
      <c r="V1344" s="1">
        <f t="shared" si="1899"/>
        <v>223</v>
      </c>
    </row>
    <row r="1345" spans="1:22" x14ac:dyDescent="0.3">
      <c r="A1345" s="1">
        <f t="shared" si="1919"/>
        <v>31224</v>
      </c>
      <c r="B1345" s="4"/>
      <c r="C1345" s="4"/>
      <c r="D1345" s="4"/>
      <c r="E1345" s="4"/>
      <c r="F1345" s="14"/>
      <c r="G1345" s="8"/>
      <c r="H1345" s="7"/>
      <c r="K1345" s="1">
        <v>7</v>
      </c>
      <c r="L1345" s="1">
        <v>7</v>
      </c>
      <c r="M1345" s="1">
        <v>7</v>
      </c>
      <c r="N1345" s="1">
        <v>7</v>
      </c>
      <c r="O1345" s="1">
        <v>7</v>
      </c>
      <c r="P1345" s="1">
        <v>7</v>
      </c>
      <c r="T1345" s="9"/>
      <c r="U1345" s="1">
        <f t="shared" si="1898"/>
        <v>31</v>
      </c>
      <c r="V1345" s="1">
        <f t="shared" si="1899"/>
        <v>224</v>
      </c>
    </row>
    <row r="1346" spans="1:22" x14ac:dyDescent="0.3">
      <c r="A1346" s="1">
        <f t="shared" si="1919"/>
        <v>31225</v>
      </c>
      <c r="B1346" s="4"/>
      <c r="C1346" s="4"/>
      <c r="D1346" s="4"/>
      <c r="E1346" s="4"/>
      <c r="F1346" s="14"/>
      <c r="G1346" s="8"/>
      <c r="H1346" s="7"/>
      <c r="J1346" s="24" t="str">
        <f t="shared" ref="J1346" si="1978">CONCATENATE(K1345,1)</f>
        <v>71</v>
      </c>
      <c r="K1346" s="6" t="e">
        <f t="array" ref="K1346:P1348">LINEST(B1338:B1344,C1338:C1344^{1,2,3,4,5},TRUE,TRUE)</f>
        <v>#VALUE!</v>
      </c>
      <c r="L1346" s="6" t="e">
        <v>#VALUE!</v>
      </c>
      <c r="M1346" s="6" t="e">
        <v>#VALUE!</v>
      </c>
      <c r="N1346" s="6" t="e">
        <v>#VALUE!</v>
      </c>
      <c r="O1346" s="6" t="e">
        <v>#VALUE!</v>
      </c>
      <c r="P1346" s="6" t="e">
        <v>#VALUE!</v>
      </c>
      <c r="T1346" s="9"/>
      <c r="U1346" s="1">
        <f t="shared" si="1898"/>
        <v>31</v>
      </c>
      <c r="V1346" s="1">
        <f t="shared" si="1899"/>
        <v>225</v>
      </c>
    </row>
    <row r="1347" spans="1:22" x14ac:dyDescent="0.3">
      <c r="A1347" s="1">
        <f t="shared" si="1919"/>
        <v>31226</v>
      </c>
      <c r="B1347" s="4"/>
      <c r="C1347" s="4"/>
      <c r="D1347" s="4"/>
      <c r="E1347" s="4"/>
      <c r="F1347" s="14"/>
      <c r="G1347" s="8"/>
      <c r="H1347" s="7"/>
      <c r="J1347" s="24" t="str">
        <f t="shared" ref="J1347" si="1979">CONCATENATE(K1345,2)</f>
        <v>72</v>
      </c>
      <c r="K1347" s="6" t="e">
        <v>#VALUE!</v>
      </c>
      <c r="L1347" s="6" t="e">
        <v>#VALUE!</v>
      </c>
      <c r="M1347" s="6" t="e">
        <v>#VALUE!</v>
      </c>
      <c r="N1347" s="6" t="e">
        <v>#VALUE!</v>
      </c>
      <c r="O1347" s="6" t="e">
        <v>#VALUE!</v>
      </c>
      <c r="P1347" s="6" t="e">
        <v>#VALUE!</v>
      </c>
      <c r="T1347" s="9"/>
      <c r="U1347" s="1">
        <f t="shared" si="1898"/>
        <v>31</v>
      </c>
      <c r="V1347" s="1">
        <f t="shared" si="1899"/>
        <v>226</v>
      </c>
    </row>
    <row r="1348" spans="1:22" x14ac:dyDescent="0.3">
      <c r="A1348" s="1">
        <f t="shared" si="1919"/>
        <v>31227</v>
      </c>
      <c r="B1348" s="9"/>
      <c r="C1348" s="9"/>
      <c r="D1348" s="9"/>
      <c r="E1348" s="9"/>
      <c r="F1348" s="9"/>
      <c r="G1348" s="9"/>
      <c r="H1348" s="9"/>
      <c r="J1348" s="24" t="str">
        <f t="shared" ref="J1348" si="1980">CONCATENATE(K1345,3)</f>
        <v>73</v>
      </c>
      <c r="K1348" s="6" t="e">
        <v>#VALUE!</v>
      </c>
      <c r="L1348" s="6" t="e">
        <v>#VALUE!</v>
      </c>
      <c r="M1348" s="6" t="e">
        <v>#VALUE!</v>
      </c>
      <c r="N1348" s="6" t="e">
        <v>#VALUE!</v>
      </c>
      <c r="O1348" s="6" t="e">
        <v>#VALUE!</v>
      </c>
      <c r="P1348" s="6" t="e">
        <v>#VALUE!</v>
      </c>
      <c r="T1348" s="9"/>
      <c r="U1348" s="1">
        <f t="shared" si="1898"/>
        <v>31</v>
      </c>
      <c r="V1348" s="1">
        <f t="shared" si="1899"/>
        <v>227</v>
      </c>
    </row>
    <row r="1349" spans="1:22" x14ac:dyDescent="0.3">
      <c r="A1349" s="1">
        <f t="shared" si="1919"/>
        <v>31228</v>
      </c>
      <c r="B1349" s="87" t="s">
        <v>33</v>
      </c>
      <c r="C1349" s="88"/>
      <c r="D1349" s="88"/>
      <c r="E1349" s="88"/>
      <c r="F1349" s="88"/>
      <c r="G1349" s="88"/>
      <c r="H1349" s="89"/>
      <c r="K1349" s="1">
        <v>8</v>
      </c>
      <c r="L1349" s="1">
        <v>8</v>
      </c>
      <c r="M1349" s="1">
        <v>8</v>
      </c>
      <c r="N1349" s="1">
        <v>8</v>
      </c>
      <c r="O1349" s="1">
        <v>8</v>
      </c>
      <c r="P1349" s="1">
        <v>8</v>
      </c>
      <c r="Q1349" s="1">
        <v>8</v>
      </c>
      <c r="T1349" s="9"/>
      <c r="U1349" s="1">
        <f t="shared" si="1898"/>
        <v>31</v>
      </c>
      <c r="V1349" s="1">
        <f t="shared" si="1899"/>
        <v>228</v>
      </c>
    </row>
    <row r="1350" spans="1:22" x14ac:dyDescent="0.3">
      <c r="A1350" s="1">
        <f t="shared" si="1919"/>
        <v>31229</v>
      </c>
      <c r="B1350" s="90"/>
      <c r="C1350" s="91"/>
      <c r="D1350" s="91"/>
      <c r="E1350" s="91"/>
      <c r="F1350" s="91"/>
      <c r="G1350" s="91"/>
      <c r="H1350" s="92"/>
      <c r="J1350" s="24" t="str">
        <f t="shared" ref="J1350" si="1981">CONCATENATE(K1349,1)</f>
        <v>81</v>
      </c>
      <c r="K1350" s="6" t="e">
        <f t="array" ref="K1350:Q1352">LINEST(B1338:B1345,C1338:C1345^{1,2,3,4,5,6},TRUE,TRUE)</f>
        <v>#VALUE!</v>
      </c>
      <c r="L1350" s="6" t="e">
        <v>#VALUE!</v>
      </c>
      <c r="M1350" s="6" t="e">
        <v>#VALUE!</v>
      </c>
      <c r="N1350" s="6" t="e">
        <v>#VALUE!</v>
      </c>
      <c r="O1350" s="6" t="e">
        <v>#VALUE!</v>
      </c>
      <c r="P1350" s="6" t="e">
        <v>#VALUE!</v>
      </c>
      <c r="Q1350" s="6" t="e">
        <v>#VALUE!</v>
      </c>
      <c r="T1350" s="9"/>
      <c r="U1350" s="1">
        <f t="shared" si="1898"/>
        <v>31</v>
      </c>
      <c r="V1350" s="1">
        <f t="shared" si="1899"/>
        <v>229</v>
      </c>
    </row>
    <row r="1351" spans="1:22" x14ac:dyDescent="0.3">
      <c r="A1351" s="1">
        <f t="shared" si="1919"/>
        <v>31230</v>
      </c>
      <c r="B1351" s="93"/>
      <c r="C1351" s="94"/>
      <c r="D1351" s="94"/>
      <c r="E1351" s="94"/>
      <c r="F1351" s="94"/>
      <c r="G1351" s="94"/>
      <c r="H1351" s="95"/>
      <c r="J1351" s="24" t="str">
        <f t="shared" ref="J1351" si="1982">CONCATENATE(K1349,2)</f>
        <v>82</v>
      </c>
      <c r="K1351" s="6" t="e">
        <v>#VALUE!</v>
      </c>
      <c r="L1351" s="6" t="e">
        <v>#VALUE!</v>
      </c>
      <c r="M1351" s="6" t="e">
        <v>#VALUE!</v>
      </c>
      <c r="N1351" s="6" t="e">
        <v>#VALUE!</v>
      </c>
      <c r="O1351" s="6" t="e">
        <v>#VALUE!</v>
      </c>
      <c r="P1351" s="6" t="e">
        <v>#VALUE!</v>
      </c>
      <c r="Q1351" s="6" t="e">
        <v>#VALUE!</v>
      </c>
      <c r="T1351" s="9"/>
      <c r="U1351" s="1">
        <f t="shared" si="1898"/>
        <v>31</v>
      </c>
      <c r="V1351" s="1">
        <f t="shared" si="1899"/>
        <v>230</v>
      </c>
    </row>
    <row r="1352" spans="1:22" x14ac:dyDescent="0.3">
      <c r="A1352" s="1">
        <f t="shared" si="1919"/>
        <v>31231</v>
      </c>
      <c r="J1352" s="24" t="str">
        <f t="shared" ref="J1352" si="1983">CONCATENATE(K1349,3)</f>
        <v>83</v>
      </c>
      <c r="K1352" s="6" t="e">
        <v>#VALUE!</v>
      </c>
      <c r="L1352" s="6" t="e">
        <v>#VALUE!</v>
      </c>
      <c r="M1352" s="6" t="e">
        <v>#VALUE!</v>
      </c>
      <c r="N1352" s="6" t="e">
        <v>#VALUE!</v>
      </c>
      <c r="O1352" s="6" t="e">
        <v>#VALUE!</v>
      </c>
      <c r="P1352" s="6" t="e">
        <v>#VALUE!</v>
      </c>
      <c r="Q1352" s="6" t="e">
        <v>#VALUE!</v>
      </c>
      <c r="T1352" s="9"/>
      <c r="U1352" s="1">
        <f t="shared" si="1898"/>
        <v>31</v>
      </c>
      <c r="V1352" s="1">
        <f t="shared" si="1899"/>
        <v>231</v>
      </c>
    </row>
    <row r="1353" spans="1:22" ht="15" customHeight="1" x14ac:dyDescent="0.3">
      <c r="A1353" s="1">
        <f t="shared" si="1919"/>
        <v>31232</v>
      </c>
      <c r="B1353" s="10" t="s">
        <v>34</v>
      </c>
      <c r="C1353" s="10" t="s">
        <v>35</v>
      </c>
      <c r="D1353" s="10" t="s">
        <v>36</v>
      </c>
      <c r="E1353" s="74" t="s">
        <v>37</v>
      </c>
      <c r="F1353" s="75"/>
      <c r="G1353" s="76"/>
      <c r="K1353" s="1">
        <v>9</v>
      </c>
      <c r="L1353" s="1">
        <v>9</v>
      </c>
      <c r="M1353" s="1">
        <v>9</v>
      </c>
      <c r="N1353" s="1">
        <v>9</v>
      </c>
      <c r="O1353" s="1">
        <v>9</v>
      </c>
      <c r="P1353" s="1">
        <v>9</v>
      </c>
      <c r="Q1353" s="1">
        <v>9</v>
      </c>
      <c r="R1353" s="1">
        <v>9</v>
      </c>
      <c r="T1353" s="9"/>
      <c r="U1353" s="1">
        <f t="shared" si="1898"/>
        <v>31</v>
      </c>
      <c r="V1353" s="1">
        <f t="shared" si="1899"/>
        <v>232</v>
      </c>
    </row>
    <row r="1354" spans="1:22" x14ac:dyDescent="0.3">
      <c r="A1354" s="1">
        <f t="shared" si="1919"/>
        <v>31233</v>
      </c>
      <c r="B1354" s="12">
        <f t="shared" ref="B1354:B1363" si="1984">C1338-B1338</f>
        <v>0</v>
      </c>
      <c r="C1354" s="13">
        <f t="shared" ref="C1354:C1363" si="1985">H1338-G1338</f>
        <v>0</v>
      </c>
      <c r="D1354" s="10">
        <f t="shared" ref="D1354:D1363" si="1986">C1354-B1354</f>
        <v>0</v>
      </c>
      <c r="E1354" s="11" t="str">
        <f t="shared" ref="E1354" si="1987">IF(D1329="","",MAX(F1354,G1354))</f>
        <v/>
      </c>
      <c r="F1354" s="10">
        <f t="shared" ref="F1354" si="1988">ABS(MIN(D1354:D1363))</f>
        <v>0</v>
      </c>
      <c r="G1354" s="10">
        <f t="shared" ref="G1354" si="1989">ABS(MAX(D1354:D1363))</f>
        <v>0</v>
      </c>
      <c r="J1354" s="24" t="str">
        <f t="shared" ref="J1354" si="1990">CONCATENATE(K1353,1)</f>
        <v>91</v>
      </c>
      <c r="K1354" s="6" t="e">
        <f t="array" ref="K1354:R1356">LINEST(B1338:B1346,C1338:C1346^{1,2,3,4,5,6,7},TRUE,TRUE)</f>
        <v>#VALUE!</v>
      </c>
      <c r="L1354" s="6" t="e">
        <v>#VALUE!</v>
      </c>
      <c r="M1354" s="6" t="e">
        <v>#VALUE!</v>
      </c>
      <c r="N1354" s="6" t="e">
        <v>#VALUE!</v>
      </c>
      <c r="O1354" s="6" t="e">
        <v>#VALUE!</v>
      </c>
      <c r="P1354" s="6" t="e">
        <v>#VALUE!</v>
      </c>
      <c r="Q1354" s="6" t="e">
        <v>#VALUE!</v>
      </c>
      <c r="R1354" s="6" t="e">
        <v>#VALUE!</v>
      </c>
      <c r="T1354" s="9"/>
      <c r="U1354" s="1">
        <f t="shared" si="1898"/>
        <v>31</v>
      </c>
      <c r="V1354" s="1">
        <f t="shared" si="1899"/>
        <v>233</v>
      </c>
    </row>
    <row r="1355" spans="1:22" x14ac:dyDescent="0.3">
      <c r="A1355" s="1">
        <f t="shared" si="1919"/>
        <v>31234</v>
      </c>
      <c r="B1355" s="12">
        <f t="shared" si="1984"/>
        <v>0</v>
      </c>
      <c r="C1355" s="13">
        <f t="shared" si="1985"/>
        <v>0</v>
      </c>
      <c r="D1355" s="10">
        <f t="shared" si="1986"/>
        <v>0</v>
      </c>
      <c r="E1355" s="74" t="s">
        <v>38</v>
      </c>
      <c r="F1355" s="75"/>
      <c r="G1355" s="76"/>
      <c r="J1355" s="24" t="str">
        <f t="shared" ref="J1355" si="1991">CONCATENATE(K1353,2)</f>
        <v>92</v>
      </c>
      <c r="K1355" s="6" t="e">
        <v>#VALUE!</v>
      </c>
      <c r="L1355" s="6" t="e">
        <v>#VALUE!</v>
      </c>
      <c r="M1355" s="6" t="e">
        <v>#VALUE!</v>
      </c>
      <c r="N1355" s="6" t="e">
        <v>#VALUE!</v>
      </c>
      <c r="O1355" s="6" t="e">
        <v>#VALUE!</v>
      </c>
      <c r="P1355" s="6" t="e">
        <v>#VALUE!</v>
      </c>
      <c r="Q1355" s="6" t="e">
        <v>#VALUE!</v>
      </c>
      <c r="R1355" s="6" t="e">
        <v>#VALUE!</v>
      </c>
      <c r="T1355" s="9"/>
      <c r="U1355" s="1">
        <f t="shared" si="1898"/>
        <v>31</v>
      </c>
      <c r="V1355" s="1">
        <f t="shared" si="1899"/>
        <v>234</v>
      </c>
    </row>
    <row r="1356" spans="1:22" x14ac:dyDescent="0.3">
      <c r="A1356" s="1">
        <f t="shared" si="1919"/>
        <v>31235</v>
      </c>
      <c r="B1356" s="12">
        <f t="shared" si="1984"/>
        <v>0</v>
      </c>
      <c r="C1356" s="13">
        <f t="shared" si="1985"/>
        <v>0</v>
      </c>
      <c r="D1356" s="10">
        <f t="shared" si="1986"/>
        <v>0</v>
      </c>
      <c r="E1356" s="11" t="str">
        <f t="shared" ref="E1356" si="1992">IF(D1329="","",MAX(F1356,G1356))</f>
        <v/>
      </c>
      <c r="F1356" s="10">
        <f t="shared" ref="F1356" si="1993">ABS(MIN(B1354:B1363))</f>
        <v>0</v>
      </c>
      <c r="G1356" s="10">
        <f t="shared" ref="G1356" si="1994">ABS(MAX(B1354:B1363))</f>
        <v>0</v>
      </c>
      <c r="J1356" s="24" t="str">
        <f t="shared" ref="J1356" si="1995">CONCATENATE(K1353,3)</f>
        <v>93</v>
      </c>
      <c r="K1356" s="6" t="e">
        <v>#VALUE!</v>
      </c>
      <c r="L1356" s="6" t="e">
        <v>#VALUE!</v>
      </c>
      <c r="M1356" s="6" t="e">
        <v>#VALUE!</v>
      </c>
      <c r="N1356" s="6" t="e">
        <v>#VALUE!</v>
      </c>
      <c r="O1356" s="6" t="e">
        <v>#VALUE!</v>
      </c>
      <c r="P1356" s="6" t="e">
        <v>#VALUE!</v>
      </c>
      <c r="Q1356" s="6" t="e">
        <v>#VALUE!</v>
      </c>
      <c r="R1356" s="6" t="e">
        <v>#VALUE!</v>
      </c>
      <c r="T1356" s="9"/>
      <c r="U1356" s="1">
        <f t="shared" si="1898"/>
        <v>31</v>
      </c>
      <c r="V1356" s="1">
        <f t="shared" si="1899"/>
        <v>235</v>
      </c>
    </row>
    <row r="1357" spans="1:22" x14ac:dyDescent="0.3">
      <c r="A1357" s="1">
        <f t="shared" si="1919"/>
        <v>31236</v>
      </c>
      <c r="B1357" s="12">
        <f t="shared" si="1984"/>
        <v>0</v>
      </c>
      <c r="C1357" s="13">
        <f t="shared" si="1985"/>
        <v>0</v>
      </c>
      <c r="D1357" s="10">
        <f t="shared" si="1986"/>
        <v>0</v>
      </c>
      <c r="E1357" s="74" t="s">
        <v>39</v>
      </c>
      <c r="F1357" s="75"/>
      <c r="G1357" s="76"/>
      <c r="K1357" s="1">
        <v>10</v>
      </c>
      <c r="L1357" s="1">
        <v>10</v>
      </c>
      <c r="M1357" s="1">
        <v>10</v>
      </c>
      <c r="N1357" s="1">
        <v>10</v>
      </c>
      <c r="O1357" s="1">
        <v>10</v>
      </c>
      <c r="P1357" s="1">
        <v>10</v>
      </c>
      <c r="Q1357" s="1">
        <v>10</v>
      </c>
      <c r="R1357" s="1">
        <v>10</v>
      </c>
      <c r="S1357" s="1">
        <v>10</v>
      </c>
      <c r="T1357" s="9"/>
      <c r="U1357" s="1">
        <f t="shared" si="1898"/>
        <v>31</v>
      </c>
      <c r="V1357" s="1">
        <f t="shared" si="1899"/>
        <v>236</v>
      </c>
    </row>
    <row r="1358" spans="1:22" x14ac:dyDescent="0.3">
      <c r="A1358" s="1">
        <f t="shared" si="1919"/>
        <v>31237</v>
      </c>
      <c r="B1358" s="12">
        <f t="shared" si="1984"/>
        <v>0</v>
      </c>
      <c r="C1358" s="13">
        <f t="shared" si="1985"/>
        <v>0</v>
      </c>
      <c r="D1358" s="10">
        <f t="shared" si="1986"/>
        <v>0</v>
      </c>
      <c r="E1358" s="11" t="str">
        <f t="shared" ref="E1358" si="1996">IF(D1329="","",MAX(F1358,G1358))</f>
        <v/>
      </c>
      <c r="F1358" s="10">
        <f t="shared" ref="F1358" si="1997">ABS(MIN(D1338:D1347))</f>
        <v>0</v>
      </c>
      <c r="G1358" s="10">
        <f t="shared" ref="G1358" si="1998">ABS(MAX(D1338:D1347))</f>
        <v>0</v>
      </c>
      <c r="J1358" s="24" t="str">
        <f t="shared" ref="J1358" si="1999">CONCATENATE(K1357,1)</f>
        <v>101</v>
      </c>
      <c r="K1358" s="6" t="e">
        <f t="array" ref="K1358:S1360">LINEST(B1338:B1347,C1338:C1347^{1,2,3,4,5,6,7,8},TRUE,TRUE)</f>
        <v>#VALUE!</v>
      </c>
      <c r="L1358" s="6" t="e">
        <v>#VALUE!</v>
      </c>
      <c r="M1358" s="6" t="e">
        <v>#VALUE!</v>
      </c>
      <c r="N1358" s="6" t="e">
        <v>#VALUE!</v>
      </c>
      <c r="O1358" s="6" t="e">
        <v>#VALUE!</v>
      </c>
      <c r="P1358" s="6" t="e">
        <v>#VALUE!</v>
      </c>
      <c r="Q1358" s="6" t="e">
        <v>#VALUE!</v>
      </c>
      <c r="R1358" s="6" t="e">
        <v>#VALUE!</v>
      </c>
      <c r="S1358" s="6" t="e">
        <v>#VALUE!</v>
      </c>
      <c r="T1358" s="9"/>
      <c r="U1358" s="1">
        <f t="shared" si="1898"/>
        <v>31</v>
      </c>
      <c r="V1358" s="1">
        <f t="shared" si="1899"/>
        <v>237</v>
      </c>
    </row>
    <row r="1359" spans="1:22" x14ac:dyDescent="0.3">
      <c r="A1359" s="1">
        <f t="shared" si="1919"/>
        <v>31238</v>
      </c>
      <c r="B1359" s="12">
        <f t="shared" si="1984"/>
        <v>0</v>
      </c>
      <c r="C1359" s="13">
        <f t="shared" si="1985"/>
        <v>0</v>
      </c>
      <c r="D1359" s="10">
        <f t="shared" si="1986"/>
        <v>0</v>
      </c>
      <c r="J1359" s="24" t="str">
        <f t="shared" ref="J1359" si="2000">CONCATENATE(K1357,2)</f>
        <v>102</v>
      </c>
      <c r="K1359" s="6" t="e">
        <v>#VALUE!</v>
      </c>
      <c r="L1359" s="6" t="e">
        <v>#VALUE!</v>
      </c>
      <c r="M1359" s="6" t="e">
        <v>#VALUE!</v>
      </c>
      <c r="N1359" s="6" t="e">
        <v>#VALUE!</v>
      </c>
      <c r="O1359" s="6" t="e">
        <v>#VALUE!</v>
      </c>
      <c r="P1359" s="6" t="e">
        <v>#VALUE!</v>
      </c>
      <c r="Q1359" s="6" t="e">
        <v>#VALUE!</v>
      </c>
      <c r="R1359" s="6" t="e">
        <v>#VALUE!</v>
      </c>
      <c r="S1359" s="6" t="e">
        <v>#VALUE!</v>
      </c>
      <c r="T1359" s="9"/>
      <c r="U1359" s="1">
        <f t="shared" si="1898"/>
        <v>31</v>
      </c>
      <c r="V1359" s="1">
        <f t="shared" si="1899"/>
        <v>238</v>
      </c>
    </row>
    <row r="1360" spans="1:22" x14ac:dyDescent="0.3">
      <c r="A1360" s="1">
        <f t="shared" si="1919"/>
        <v>31239</v>
      </c>
      <c r="B1360" s="12">
        <f t="shared" si="1984"/>
        <v>0</v>
      </c>
      <c r="C1360" s="13">
        <f t="shared" si="1985"/>
        <v>0</v>
      </c>
      <c r="D1360" s="10">
        <f t="shared" si="1986"/>
        <v>0</v>
      </c>
      <c r="J1360" s="24" t="str">
        <f t="shared" ref="J1360" si="2001">CONCATENATE(K1357,3)</f>
        <v>103</v>
      </c>
      <c r="K1360" s="6" t="e">
        <v>#VALUE!</v>
      </c>
      <c r="L1360" s="6" t="e">
        <v>#VALUE!</v>
      </c>
      <c r="M1360" s="6" t="e">
        <v>#VALUE!</v>
      </c>
      <c r="N1360" s="6" t="e">
        <v>#VALUE!</v>
      </c>
      <c r="O1360" s="6" t="e">
        <v>#VALUE!</v>
      </c>
      <c r="P1360" s="6" t="e">
        <v>#VALUE!</v>
      </c>
      <c r="Q1360" s="6" t="e">
        <v>#VALUE!</v>
      </c>
      <c r="R1360" s="6" t="e">
        <v>#VALUE!</v>
      </c>
      <c r="S1360" s="6" t="e">
        <v>#VALUE!</v>
      </c>
      <c r="T1360" s="9"/>
      <c r="U1360" s="1">
        <f t="shared" si="1898"/>
        <v>31</v>
      </c>
      <c r="V1360" s="1">
        <f t="shared" si="1899"/>
        <v>239</v>
      </c>
    </row>
    <row r="1361" spans="1:22" x14ac:dyDescent="0.3">
      <c r="A1361" s="1">
        <f t="shared" si="1919"/>
        <v>31240</v>
      </c>
      <c r="B1361" s="12">
        <f t="shared" si="1984"/>
        <v>0</v>
      </c>
      <c r="C1361" s="13">
        <f t="shared" si="1985"/>
        <v>0</v>
      </c>
      <c r="D1361" s="10">
        <f t="shared" si="1986"/>
        <v>0</v>
      </c>
      <c r="J1361" s="9"/>
      <c r="K1361" s="9"/>
      <c r="L1361" s="9"/>
      <c r="M1361" s="9"/>
      <c r="N1361" s="9"/>
      <c r="O1361" s="9"/>
      <c r="P1361" s="9"/>
      <c r="Q1361" s="9"/>
      <c r="R1361" s="9"/>
      <c r="S1361" s="9"/>
      <c r="T1361" s="9"/>
      <c r="U1361" s="1">
        <f t="shared" si="1898"/>
        <v>31</v>
      </c>
      <c r="V1361" s="1">
        <f t="shared" si="1899"/>
        <v>240</v>
      </c>
    </row>
    <row r="1362" spans="1:22" x14ac:dyDescent="0.3">
      <c r="A1362" s="1">
        <f t="shared" si="1919"/>
        <v>31241</v>
      </c>
      <c r="B1362" s="12">
        <f t="shared" si="1984"/>
        <v>0</v>
      </c>
      <c r="C1362" s="13">
        <f t="shared" si="1985"/>
        <v>0</v>
      </c>
      <c r="D1362" s="10">
        <f t="shared" si="1986"/>
        <v>0</v>
      </c>
      <c r="J1362" s="9"/>
      <c r="K1362" s="9"/>
      <c r="L1362" s="9"/>
      <c r="M1362" s="9"/>
      <c r="N1362" s="9"/>
      <c r="O1362" s="9"/>
      <c r="P1362" s="9"/>
      <c r="Q1362" s="9"/>
      <c r="R1362" s="9"/>
      <c r="S1362" s="9"/>
      <c r="T1362" s="9"/>
      <c r="U1362" s="1">
        <f t="shared" si="1898"/>
        <v>31</v>
      </c>
      <c r="V1362" s="1">
        <f t="shared" si="1899"/>
        <v>241</v>
      </c>
    </row>
    <row r="1363" spans="1:22" x14ac:dyDescent="0.3">
      <c r="A1363" s="1">
        <f t="shared" si="1919"/>
        <v>31242</v>
      </c>
      <c r="B1363" s="12">
        <f t="shared" si="1984"/>
        <v>0</v>
      </c>
      <c r="C1363" s="13">
        <f t="shared" si="1985"/>
        <v>0</v>
      </c>
      <c r="D1363" s="10">
        <f t="shared" si="1986"/>
        <v>0</v>
      </c>
      <c r="J1363" s="9"/>
      <c r="K1363" s="9"/>
      <c r="L1363" s="9"/>
      <c r="M1363" s="9"/>
      <c r="N1363" s="9"/>
      <c r="O1363" s="9"/>
      <c r="P1363" s="9"/>
      <c r="Q1363" s="9"/>
      <c r="R1363" s="9"/>
      <c r="S1363" s="9"/>
      <c r="T1363" s="9"/>
      <c r="U1363" s="1">
        <f t="shared" si="1898"/>
        <v>31</v>
      </c>
      <c r="V1363" s="1">
        <f t="shared" si="1899"/>
        <v>242</v>
      </c>
    </row>
    <row r="1364" spans="1:22" x14ac:dyDescent="0.3">
      <c r="A1364" s="1">
        <f t="shared" si="1919"/>
        <v>31243</v>
      </c>
      <c r="J1364" s="9"/>
      <c r="K1364" s="9"/>
      <c r="L1364" s="9"/>
      <c r="M1364" s="9"/>
      <c r="N1364" s="9"/>
      <c r="O1364" s="9"/>
      <c r="P1364" s="9"/>
      <c r="Q1364" s="9"/>
      <c r="R1364" s="9"/>
      <c r="S1364" s="9"/>
      <c r="T1364" s="9"/>
      <c r="U1364" s="1">
        <f t="shared" si="1898"/>
        <v>31</v>
      </c>
      <c r="V1364" s="1">
        <f t="shared" si="1899"/>
        <v>243</v>
      </c>
    </row>
    <row r="1365" spans="1:22" s="5" customFormat="1" x14ac:dyDescent="0.3"/>
    <row r="1366" spans="1:22" x14ac:dyDescent="0.3">
      <c r="A1366" s="1">
        <f t="shared" ref="A1366:A1408" si="2002">ROUND(CONCATENATE(U1366,V1366),0)</f>
        <v>32201</v>
      </c>
      <c r="B1366" s="96" t="s">
        <v>0</v>
      </c>
      <c r="C1366" s="97"/>
      <c r="D1366" s="98" t="s">
        <v>68</v>
      </c>
      <c r="E1366" s="99"/>
      <c r="F1366" s="99"/>
      <c r="G1366" s="99"/>
      <c r="H1366" s="100"/>
      <c r="J1366" s="9"/>
      <c r="K1366" s="9"/>
      <c r="L1366" s="9"/>
      <c r="M1366" s="9"/>
      <c r="N1366" s="9"/>
      <c r="O1366" s="9"/>
      <c r="P1366" s="9"/>
      <c r="Q1366" s="9"/>
      <c r="R1366" s="9"/>
      <c r="S1366" s="9"/>
      <c r="T1366" s="9"/>
      <c r="U1366" s="1">
        <f t="shared" ref="U1366" si="2003">U1364+1</f>
        <v>32</v>
      </c>
      <c r="V1366" s="1">
        <v>201</v>
      </c>
    </row>
    <row r="1367" spans="1:22" x14ac:dyDescent="0.3">
      <c r="A1367" s="1">
        <f t="shared" si="2002"/>
        <v>32202</v>
      </c>
      <c r="B1367" s="96" t="s">
        <v>1</v>
      </c>
      <c r="C1367" s="97"/>
      <c r="D1367" s="15" t="s">
        <v>70</v>
      </c>
      <c r="E1367" s="16" t="s">
        <v>2</v>
      </c>
      <c r="F1367" s="107"/>
      <c r="G1367" s="108"/>
      <c r="H1367" s="109"/>
      <c r="J1367" s="9"/>
      <c r="K1367" s="9"/>
      <c r="L1367" s="9"/>
      <c r="M1367" s="9"/>
      <c r="N1367" s="9"/>
      <c r="O1367" s="9"/>
      <c r="P1367" s="9"/>
      <c r="Q1367" s="9"/>
      <c r="R1367" s="9"/>
      <c r="S1367" s="9"/>
      <c r="T1367" s="9"/>
      <c r="U1367" s="1">
        <f t="shared" ref="U1367" si="2004">U1366</f>
        <v>32</v>
      </c>
      <c r="V1367" s="1">
        <f t="shared" ref="V1367" si="2005">V1366+1</f>
        <v>202</v>
      </c>
    </row>
    <row r="1368" spans="1:22" x14ac:dyDescent="0.3">
      <c r="A1368" s="1">
        <f t="shared" si="2002"/>
        <v>32203</v>
      </c>
      <c r="B1368" s="96" t="s">
        <v>12</v>
      </c>
      <c r="C1368" s="97"/>
      <c r="D1368" s="98" t="s">
        <v>224</v>
      </c>
      <c r="E1368" s="99"/>
      <c r="F1368" s="99"/>
      <c r="G1368" s="99"/>
      <c r="H1368" s="100"/>
      <c r="K1368" s="1" t="s">
        <v>3</v>
      </c>
      <c r="L1368" s="1" t="s">
        <v>4</v>
      </c>
      <c r="M1368" s="1" t="s">
        <v>5</v>
      </c>
      <c r="N1368" s="1" t="s">
        <v>6</v>
      </c>
      <c r="O1368" s="1" t="s">
        <v>7</v>
      </c>
      <c r="P1368" s="1" t="s">
        <v>8</v>
      </c>
      <c r="Q1368" s="1" t="s">
        <v>9</v>
      </c>
      <c r="R1368" s="1" t="s">
        <v>10</v>
      </c>
      <c r="S1368" s="1" t="s">
        <v>11</v>
      </c>
      <c r="T1368" s="9"/>
      <c r="U1368" s="1">
        <f t="shared" si="1898"/>
        <v>32</v>
      </c>
      <c r="V1368" s="1">
        <f t="shared" si="1899"/>
        <v>203</v>
      </c>
    </row>
    <row r="1369" spans="1:22" x14ac:dyDescent="0.3">
      <c r="A1369" s="1">
        <f t="shared" si="2002"/>
        <v>32204</v>
      </c>
      <c r="B1369" s="96" t="s">
        <v>13</v>
      </c>
      <c r="C1369" s="97"/>
      <c r="D1369" s="110" t="s">
        <v>65</v>
      </c>
      <c r="E1369" s="111"/>
      <c r="F1369" s="111"/>
      <c r="G1369" s="111"/>
      <c r="H1369" s="112"/>
      <c r="J1369" s="1">
        <f t="shared" ref="J1369" si="2006">COUNTA(B1382:B1391)</f>
        <v>5</v>
      </c>
      <c r="K1369" s="1">
        <f t="shared" ref="K1369" si="2007">IF(L1369-1&lt;2,0,L1369-1)</f>
        <v>0</v>
      </c>
      <c r="L1369" s="1">
        <f t="shared" ref="L1369" si="2008">IF(M1369-1&lt;2,0,M1369-1)</f>
        <v>0</v>
      </c>
      <c r="M1369" s="1">
        <f t="shared" ref="M1369" si="2009">IF(N1369-1&lt;2,0,N1369-1)</f>
        <v>0</v>
      </c>
      <c r="N1369" s="1">
        <f t="shared" ref="N1369" si="2010">IF(O1369-1&lt;2,0,O1369-1)</f>
        <v>0</v>
      </c>
      <c r="O1369" s="1">
        <f t="shared" ref="O1369" si="2011">IF(P1369-1&lt;2,0,P1369-1)</f>
        <v>0</v>
      </c>
      <c r="P1369" s="1">
        <f t="shared" ref="P1369" si="2012">IF(Q1369-1&lt;2,0,Q1369-1)</f>
        <v>2</v>
      </c>
      <c r="Q1369" s="1">
        <f t="shared" ref="Q1369" si="2013">IF(R1369-1&lt;2,0,R1369-1)</f>
        <v>3</v>
      </c>
      <c r="R1369" s="1">
        <f t="shared" ref="R1369" si="2014">IF(S1369-1&lt;2,0,S1369-1)</f>
        <v>4</v>
      </c>
      <c r="S1369" s="1">
        <f t="shared" ref="S1369" si="2015">J1369</f>
        <v>5</v>
      </c>
      <c r="T1369" s="9"/>
      <c r="U1369" s="1">
        <f t="shared" si="1898"/>
        <v>32</v>
      </c>
      <c r="V1369" s="1">
        <f t="shared" si="1899"/>
        <v>204</v>
      </c>
    </row>
    <row r="1370" spans="1:22" x14ac:dyDescent="0.3">
      <c r="A1370" s="1">
        <f t="shared" si="2002"/>
        <v>32205</v>
      </c>
      <c r="B1370" s="96" t="s">
        <v>14</v>
      </c>
      <c r="C1370" s="97"/>
      <c r="D1370" s="110" t="s">
        <v>66</v>
      </c>
      <c r="E1370" s="111"/>
      <c r="F1370" s="111"/>
      <c r="G1370" s="111"/>
      <c r="H1370" s="112"/>
      <c r="J1370" s="24" t="str">
        <f t="shared" ref="J1370" si="2016">CONCATENATE(J1369,1)</f>
        <v>51</v>
      </c>
      <c r="K1370" s="25">
        <f t="shared" ref="K1370" si="2017">IF(K1369=0,0,VLOOKUP(J1370,J1374:S1404,K1369,FALSE))</f>
        <v>0</v>
      </c>
      <c r="L1370" s="25">
        <f t="shared" ref="L1370" si="2018">IF(L1369=0,0,VLOOKUP(J1370,J1374:S1404,L1369,FALSE))</f>
        <v>0</v>
      </c>
      <c r="M1370" s="25">
        <f t="shared" ref="M1370" si="2019">IF(M1369=0,0,VLOOKUP(J1370,J1374:S1404,M1369,FALSE))</f>
        <v>0</v>
      </c>
      <c r="N1370" s="25">
        <f t="shared" ref="N1370" si="2020">IF(N1369=0,0,VLOOKUP(J1370,J1374:S1404,N1369,FALSE))</f>
        <v>0</v>
      </c>
      <c r="O1370" s="25">
        <f t="shared" ref="O1370" si="2021">IF(O1369=0,0,VLOOKUP(J1370,J1374:S1404,O1369,FALSE))</f>
        <v>0</v>
      </c>
      <c r="P1370" s="25">
        <f t="shared" ref="P1370" si="2022">IF(P1369=0,0,VLOOKUP(J1370,J1374:S1404,P1369,FALSE))</f>
        <v>6.7453915752834889E-7</v>
      </c>
      <c r="Q1370" s="25">
        <f t="shared" ref="Q1370" si="2023">IF(Q1369=0,0,VLOOKUP(J1370,J1374:S1404,Q1369,FALSE))</f>
        <v>2.2113046707654254E-5</v>
      </c>
      <c r="R1370" s="25">
        <f t="shared" ref="R1370" si="2024">IF(R1369=0,0,VLOOKUP(J1370,J1374:S1404,R1369,FALSE))</f>
        <v>0.99969636569369602</v>
      </c>
      <c r="S1370" s="25">
        <f t="shared" ref="S1370" si="2025">IF(S1369=0,0,VLOOKUP(J1370,J1374:S1404,S1369,FALSE))</f>
        <v>-5.4428582063317278E-3</v>
      </c>
      <c r="T1370" s="9"/>
      <c r="U1370" s="1">
        <f t="shared" si="1898"/>
        <v>32</v>
      </c>
      <c r="V1370" s="1">
        <f t="shared" si="1899"/>
        <v>205</v>
      </c>
    </row>
    <row r="1371" spans="1:22" x14ac:dyDescent="0.3">
      <c r="A1371" s="1">
        <f t="shared" si="2002"/>
        <v>32206</v>
      </c>
      <c r="B1371" s="96" t="s">
        <v>15</v>
      </c>
      <c r="C1371" s="97"/>
      <c r="D1371" s="123" t="s">
        <v>324</v>
      </c>
      <c r="E1371" s="124"/>
      <c r="F1371" s="124"/>
      <c r="G1371" s="124"/>
      <c r="H1371" s="125"/>
      <c r="J1371" s="24" t="str">
        <f t="shared" ref="J1371" si="2026">CONCATENATE(J1369,2)</f>
        <v>52</v>
      </c>
      <c r="K1371" s="6">
        <f t="shared" ref="K1371" si="2027">IF(K1369=0,0,VLOOKUP(J1371,J1374:S1404,K1369,FALSE))</f>
        <v>0</v>
      </c>
      <c r="L1371" s="6">
        <f t="shared" ref="L1371" si="2028">IF(L1369=0,0,VLOOKUP(J1371,J1374:S1404,L1369,FALSE))</f>
        <v>0</v>
      </c>
      <c r="M1371" s="6">
        <f t="shared" ref="M1371" si="2029">IF(M1369=0,0,VLOOKUP(J1371,J1374:S1404,M1369,FALSE))</f>
        <v>0</v>
      </c>
      <c r="N1371" s="6">
        <f t="shared" ref="N1371" si="2030">IF(N1369=0,0,VLOOKUP(J1371,J1374:S1404,N1369,FALSE))</f>
        <v>0</v>
      </c>
      <c r="O1371" s="6">
        <f t="shared" ref="O1371" si="2031">IF(O1369=0,0,VLOOKUP(J1371,J1374:S1404,O1369,FALSE))</f>
        <v>0</v>
      </c>
      <c r="P1371" s="6">
        <f t="shared" ref="P1371" si="2032">IF(P1369=0,0,VLOOKUP(J1371,J1374:S1404,P1369,FALSE))</f>
        <v>1.482752237253197E-7</v>
      </c>
      <c r="Q1371" s="6">
        <f t="shared" ref="Q1371" si="2033">IF(Q1369=0,0,VLOOKUP(J1371,J1374:S1404,Q1369,FALSE))</f>
        <v>5.1147699533683529E-6</v>
      </c>
      <c r="R1371" s="6">
        <f t="shared" ref="R1371" si="2034">IF(R1369=0,0,VLOOKUP(J1371,J1374:S1404,R1369,FALSE))</f>
        <v>3.1400900439187924E-4</v>
      </c>
      <c r="S1371" s="6">
        <f t="shared" ref="S1371" si="2035">IF(S1369=0,0,VLOOKUP(J1371,J1374:S1404,S1369,FALSE))</f>
        <v>5.0323337752320113E-3</v>
      </c>
      <c r="T1371" s="9"/>
      <c r="U1371" s="1">
        <f t="shared" ref="U1371:U1434" si="2036">U1370</f>
        <v>32</v>
      </c>
      <c r="V1371" s="1">
        <f t="shared" ref="V1371:V1434" si="2037">V1370+1</f>
        <v>206</v>
      </c>
    </row>
    <row r="1372" spans="1:22" x14ac:dyDescent="0.3">
      <c r="A1372" s="1">
        <f t="shared" si="2002"/>
        <v>32207</v>
      </c>
      <c r="B1372" s="96" t="s">
        <v>16</v>
      </c>
      <c r="C1372" s="97"/>
      <c r="D1372" s="101">
        <v>45807</v>
      </c>
      <c r="E1372" s="102"/>
      <c r="F1372" s="102"/>
      <c r="G1372" s="102"/>
      <c r="H1372" s="103"/>
      <c r="J1372" s="24" t="str">
        <f t="shared" ref="J1372" si="2038">CONCATENATE(J1369,3)</f>
        <v>53</v>
      </c>
      <c r="K1372" s="6"/>
      <c r="L1372" s="6"/>
      <c r="M1372" s="6"/>
      <c r="N1372" s="6" t="s">
        <v>43</v>
      </c>
      <c r="O1372" s="25">
        <f t="shared" ref="O1372" si="2039">J1369-2</f>
        <v>3</v>
      </c>
      <c r="P1372" s="6" t="s">
        <v>44</v>
      </c>
      <c r="Q1372" s="25">
        <f t="shared" ref="Q1372" si="2040">VLOOKUP(J1372,J1374:S1404,3,FALSE)</f>
        <v>7.4127652518853893E-3</v>
      </c>
      <c r="R1372" s="6" t="s">
        <v>45</v>
      </c>
      <c r="S1372" s="6">
        <f t="shared" ref="S1372" si="2041">VLOOKUP(J1372,J1374:S1404,2,FALSE)</f>
        <v>0.99999999071805934</v>
      </c>
      <c r="T1372" s="9"/>
      <c r="U1372" s="1">
        <f t="shared" si="2036"/>
        <v>32</v>
      </c>
      <c r="V1372" s="1">
        <f t="shared" si="2037"/>
        <v>207</v>
      </c>
    </row>
    <row r="1373" spans="1:22" x14ac:dyDescent="0.3">
      <c r="A1373" s="1">
        <f t="shared" si="2002"/>
        <v>32208</v>
      </c>
      <c r="B1373" s="96" t="s">
        <v>17</v>
      </c>
      <c r="C1373" s="97"/>
      <c r="D1373" s="104">
        <v>46172</v>
      </c>
      <c r="E1373" s="105"/>
      <c r="F1373" s="105"/>
      <c r="G1373" s="105"/>
      <c r="H1373" s="106"/>
      <c r="K1373" s="1">
        <v>3</v>
      </c>
      <c r="L1373" s="1">
        <v>3</v>
      </c>
      <c r="Q1373" s="26"/>
      <c r="R1373" s="26"/>
      <c r="S1373" s="26"/>
      <c r="T1373" s="9"/>
      <c r="U1373" s="1">
        <f t="shared" si="2036"/>
        <v>32</v>
      </c>
      <c r="V1373" s="1">
        <f t="shared" si="2037"/>
        <v>208</v>
      </c>
    </row>
    <row r="1374" spans="1:22" x14ac:dyDescent="0.3">
      <c r="A1374" s="1">
        <f t="shared" si="2002"/>
        <v>32209</v>
      </c>
      <c r="B1374" s="77" t="s">
        <v>19</v>
      </c>
      <c r="C1374" s="78"/>
      <c r="D1374" s="38">
        <v>0.1</v>
      </c>
      <c r="E1374" s="79" t="s">
        <v>40</v>
      </c>
      <c r="F1374" s="80"/>
      <c r="G1374" s="81"/>
      <c r="H1374" s="18" t="s">
        <v>69</v>
      </c>
      <c r="J1374" s="24" t="str">
        <f t="shared" ref="J1374" si="2042">CONCATENATE(K1373,1)</f>
        <v>31</v>
      </c>
      <c r="K1374" s="6">
        <f t="array" ref="K1374:L1376">LINEST(B1382:B1384,C1382:C1384^{1},TRUE,TRUE)</f>
        <v>1.0000000000000002</v>
      </c>
      <c r="L1374" s="6">
        <v>3.5527136788005009E-15</v>
      </c>
      <c r="Q1374" s="9"/>
      <c r="R1374" s="9"/>
      <c r="S1374" s="9"/>
      <c r="T1374" s="9"/>
      <c r="U1374" s="1">
        <f t="shared" si="2036"/>
        <v>32</v>
      </c>
      <c r="V1374" s="1">
        <f t="shared" si="2037"/>
        <v>209</v>
      </c>
    </row>
    <row r="1375" spans="1:22" x14ac:dyDescent="0.3">
      <c r="A1375" s="1">
        <f t="shared" si="2002"/>
        <v>32210</v>
      </c>
      <c r="B1375" s="77" t="s">
        <v>41</v>
      </c>
      <c r="C1375" s="78"/>
      <c r="D1375" s="23">
        <f t="shared" ref="D1375" si="2043">MIN(B1382:B1391)</f>
        <v>-40</v>
      </c>
      <c r="E1375" s="20" t="s">
        <v>18</v>
      </c>
      <c r="F1375" s="19">
        <f t="shared" ref="F1375" si="2044">MAX(B1382:B1391)</f>
        <v>60</v>
      </c>
      <c r="G1375" s="21" t="str">
        <f t="shared" ref="G1375" si="2045">IF(H1374="","",H1374)</f>
        <v>°CTd</v>
      </c>
      <c r="H1375" s="22"/>
      <c r="J1375" s="24" t="str">
        <f t="shared" ref="J1375" si="2046">CONCATENATE(K1373,2)</f>
        <v>32</v>
      </c>
      <c r="K1375" s="6">
        <v>0</v>
      </c>
      <c r="L1375" s="6">
        <v>0</v>
      </c>
      <c r="Q1375" s="9"/>
      <c r="R1375" s="9"/>
      <c r="S1375" s="9"/>
      <c r="T1375" s="9"/>
      <c r="U1375" s="1">
        <f t="shared" si="2036"/>
        <v>32</v>
      </c>
      <c r="V1375" s="1">
        <f t="shared" si="2037"/>
        <v>210</v>
      </c>
    </row>
    <row r="1376" spans="1:22" x14ac:dyDescent="0.3">
      <c r="A1376" s="1">
        <f t="shared" si="2002"/>
        <v>32211</v>
      </c>
      <c r="J1376" s="24" t="str">
        <f t="shared" ref="J1376" si="2047">CONCATENATE(K1373,3)</f>
        <v>33</v>
      </c>
      <c r="K1376" s="6">
        <v>1</v>
      </c>
      <c r="L1376" s="6">
        <v>0</v>
      </c>
      <c r="Q1376" s="9"/>
      <c r="R1376" s="9"/>
      <c r="S1376" s="9"/>
      <c r="T1376" s="9"/>
      <c r="U1376" s="1">
        <f t="shared" si="2036"/>
        <v>32</v>
      </c>
      <c r="V1376" s="1">
        <f t="shared" si="2037"/>
        <v>211</v>
      </c>
    </row>
    <row r="1377" spans="1:22" x14ac:dyDescent="0.3">
      <c r="A1377" s="1">
        <f t="shared" si="2002"/>
        <v>32212</v>
      </c>
      <c r="B1377" s="82" t="s">
        <v>20</v>
      </c>
      <c r="C1377" s="83"/>
      <c r="D1377" s="83"/>
      <c r="E1377" s="83"/>
      <c r="F1377" s="84"/>
      <c r="G1377" s="85" t="s">
        <v>31</v>
      </c>
      <c r="H1377" s="86"/>
      <c r="K1377" s="1">
        <v>4</v>
      </c>
      <c r="L1377" s="1">
        <v>4</v>
      </c>
      <c r="M1377" s="1">
        <v>4</v>
      </c>
      <c r="Q1377" s="9"/>
      <c r="R1377" s="9"/>
      <c r="S1377" s="9"/>
      <c r="T1377" s="9"/>
      <c r="U1377" s="1">
        <f t="shared" si="2036"/>
        <v>32</v>
      </c>
      <c r="V1377" s="1">
        <f t="shared" si="2037"/>
        <v>212</v>
      </c>
    </row>
    <row r="1378" spans="1:22" x14ac:dyDescent="0.3">
      <c r="A1378" s="1">
        <f t="shared" si="2002"/>
        <v>32213</v>
      </c>
      <c r="B1378" s="82" t="s">
        <v>30</v>
      </c>
      <c r="C1378" s="83"/>
      <c r="D1378" s="84"/>
      <c r="E1378" s="82" t="str">
        <f t="shared" ref="E1378" si="2048">D1371</f>
        <v>E0342/25</v>
      </c>
      <c r="F1378" s="84"/>
      <c r="G1378" s="6" t="s">
        <v>32</v>
      </c>
      <c r="H1378" s="40" t="s">
        <v>225</v>
      </c>
      <c r="J1378" s="24" t="str">
        <f t="shared" ref="J1378" si="2049">CONCATENATE(K1377,1)</f>
        <v>41</v>
      </c>
      <c r="K1378" s="6">
        <f t="array" ref="K1378:M1380">LINEST(B1382:B1385,C1382:C1385^{1,2},TRUE,TRUE)</f>
        <v>5.9211894646675019E-18</v>
      </c>
      <c r="L1378" s="6">
        <v>1.0000000000000002</v>
      </c>
      <c r="M1378" s="6">
        <v>-1.7763568394002505E-15</v>
      </c>
      <c r="Q1378" s="9"/>
      <c r="R1378" s="9"/>
      <c r="S1378" s="9"/>
      <c r="T1378" s="9"/>
      <c r="U1378" s="1">
        <f t="shared" si="2036"/>
        <v>32</v>
      </c>
      <c r="V1378" s="1">
        <f t="shared" si="2037"/>
        <v>213</v>
      </c>
    </row>
    <row r="1379" spans="1:22" x14ac:dyDescent="0.3">
      <c r="A1379" s="1">
        <f t="shared" si="2002"/>
        <v>32214</v>
      </c>
      <c r="B1379" s="2" t="s">
        <v>21</v>
      </c>
      <c r="C1379" s="2" t="s">
        <v>22</v>
      </c>
      <c r="D1379" s="2" t="s">
        <v>23</v>
      </c>
      <c r="E1379" s="2"/>
      <c r="F1379" s="2" t="s">
        <v>28</v>
      </c>
      <c r="G1379" s="2" t="s">
        <v>21</v>
      </c>
      <c r="H1379" s="2" t="s">
        <v>22</v>
      </c>
      <c r="J1379" s="24" t="str">
        <f t="shared" ref="J1379" si="2050">CONCATENATE(K1377,2)</f>
        <v>42</v>
      </c>
      <c r="K1379" s="6">
        <v>8.8817841970012525E-18</v>
      </c>
      <c r="L1379" s="6">
        <v>2.3832327871173822E-16</v>
      </c>
      <c r="M1379" s="6">
        <v>5.2695259619608686E-15</v>
      </c>
      <c r="Q1379" s="9"/>
      <c r="R1379" s="9"/>
      <c r="S1379" s="9"/>
      <c r="T1379" s="9"/>
      <c r="U1379" s="1">
        <f t="shared" si="2036"/>
        <v>32</v>
      </c>
      <c r="V1379" s="1">
        <f t="shared" si="2037"/>
        <v>214</v>
      </c>
    </row>
    <row r="1380" spans="1:22" x14ac:dyDescent="0.3">
      <c r="A1380" s="1">
        <f t="shared" si="2002"/>
        <v>32215</v>
      </c>
      <c r="B1380" s="2" t="s">
        <v>24</v>
      </c>
      <c r="C1380" s="2" t="s">
        <v>25</v>
      </c>
      <c r="D1380" s="2" t="s">
        <v>26</v>
      </c>
      <c r="E1380" s="2" t="s">
        <v>27</v>
      </c>
      <c r="F1380" s="2" t="s">
        <v>29</v>
      </c>
      <c r="G1380" s="2" t="s">
        <v>24</v>
      </c>
      <c r="H1380" s="2" t="s">
        <v>25</v>
      </c>
      <c r="J1380" s="24" t="str">
        <f t="shared" ref="J1380" si="2051">CONCATENATE(K1377,3)</f>
        <v>43</v>
      </c>
      <c r="K1380" s="6">
        <v>1</v>
      </c>
      <c r="L1380" s="6">
        <v>7.1054273576010019E-15</v>
      </c>
      <c r="M1380" s="6" t="e">
        <v>#N/A</v>
      </c>
      <c r="Q1380" s="9"/>
      <c r="R1380" s="9"/>
      <c r="S1380" s="9"/>
      <c r="T1380" s="9"/>
      <c r="U1380" s="1">
        <f t="shared" si="2036"/>
        <v>32</v>
      </c>
      <c r="V1380" s="1">
        <f t="shared" si="2037"/>
        <v>215</v>
      </c>
    </row>
    <row r="1381" spans="1:22" x14ac:dyDescent="0.3">
      <c r="A1381" s="1">
        <f t="shared" si="2002"/>
        <v>32216</v>
      </c>
      <c r="B1381" s="3" t="str">
        <f t="shared" ref="B1381" si="2052">H1374</f>
        <v>°CTd</v>
      </c>
      <c r="C1381" s="3" t="str">
        <f t="shared" ref="C1381" si="2053">B1381</f>
        <v>°CTd</v>
      </c>
      <c r="D1381" s="3" t="str">
        <f t="shared" ref="D1381" si="2054">C1381</f>
        <v>°CTd</v>
      </c>
      <c r="E1381" s="3"/>
      <c r="F1381" s="3"/>
      <c r="G1381" s="3" t="str">
        <f t="shared" ref="G1381" si="2055">D1381</f>
        <v>°CTd</v>
      </c>
      <c r="H1381" s="3" t="str">
        <f t="shared" ref="H1381" si="2056">G1381</f>
        <v>°CTd</v>
      </c>
      <c r="K1381" s="1">
        <v>5</v>
      </c>
      <c r="L1381" s="1">
        <v>5</v>
      </c>
      <c r="M1381" s="1">
        <v>5</v>
      </c>
      <c r="N1381" s="1">
        <v>5</v>
      </c>
      <c r="Q1381" s="9"/>
      <c r="R1381" s="9"/>
      <c r="S1381" s="9"/>
      <c r="T1381" s="9"/>
      <c r="U1381" s="1">
        <f t="shared" si="2036"/>
        <v>32</v>
      </c>
      <c r="V1381" s="1">
        <f t="shared" si="2037"/>
        <v>216</v>
      </c>
    </row>
    <row r="1382" spans="1:22" x14ac:dyDescent="0.3">
      <c r="A1382" s="1">
        <f t="shared" si="2002"/>
        <v>32217</v>
      </c>
      <c r="B1382" s="65">
        <v>-40</v>
      </c>
      <c r="C1382" s="65">
        <v>-40</v>
      </c>
      <c r="D1382" s="65">
        <v>0.2</v>
      </c>
      <c r="E1382" s="4">
        <v>2</v>
      </c>
      <c r="F1382" s="14">
        <v>1000000</v>
      </c>
      <c r="G1382" s="66">
        <v>-40</v>
      </c>
      <c r="H1382" s="66">
        <v>-40</v>
      </c>
      <c r="J1382" s="24" t="str">
        <f t="shared" ref="J1382" si="2057">CONCATENATE(K1381,1)</f>
        <v>51</v>
      </c>
      <c r="K1382" s="6">
        <f t="array" ref="K1382:N1384">LINEST(B1382:B1386,C1382:C1386^{1,2,3},TRUE,TRUE)</f>
        <v>6.7453915752834889E-7</v>
      </c>
      <c r="L1382" s="6">
        <v>2.2113046707654254E-5</v>
      </c>
      <c r="M1382" s="6">
        <v>0.99969636569369602</v>
      </c>
      <c r="N1382" s="6">
        <v>-5.4428582063317278E-3</v>
      </c>
      <c r="Q1382" s="9"/>
      <c r="R1382" s="9"/>
      <c r="S1382" s="9"/>
      <c r="T1382" s="9"/>
      <c r="U1382" s="1">
        <f t="shared" si="2036"/>
        <v>32</v>
      </c>
      <c r="V1382" s="1">
        <f t="shared" si="2037"/>
        <v>217</v>
      </c>
    </row>
    <row r="1383" spans="1:22" x14ac:dyDescent="0.3">
      <c r="A1383" s="1">
        <f t="shared" si="2002"/>
        <v>32218</v>
      </c>
      <c r="B1383" s="65">
        <v>-20</v>
      </c>
      <c r="C1383" s="65">
        <v>-20</v>
      </c>
      <c r="D1383" s="65">
        <v>0.2</v>
      </c>
      <c r="E1383" s="4">
        <v>2</v>
      </c>
      <c r="F1383" s="14">
        <v>1000000</v>
      </c>
      <c r="G1383" s="66">
        <v>-20</v>
      </c>
      <c r="H1383" s="66">
        <v>-20</v>
      </c>
      <c r="J1383" s="24" t="str">
        <f t="shared" ref="J1383" si="2058">CONCATENATE(K1381,2)</f>
        <v>52</v>
      </c>
      <c r="K1383" s="6">
        <v>1.482752237253197E-7</v>
      </c>
      <c r="L1383" s="6">
        <v>5.1147699533683529E-6</v>
      </c>
      <c r="M1383" s="6">
        <v>3.1400900439187924E-4</v>
      </c>
      <c r="N1383" s="6">
        <v>5.0323337752320113E-3</v>
      </c>
      <c r="T1383" s="9"/>
      <c r="U1383" s="1">
        <f t="shared" si="2036"/>
        <v>32</v>
      </c>
      <c r="V1383" s="1">
        <f t="shared" si="2037"/>
        <v>218</v>
      </c>
    </row>
    <row r="1384" spans="1:22" x14ac:dyDescent="0.3">
      <c r="A1384" s="1">
        <f t="shared" si="2002"/>
        <v>32219</v>
      </c>
      <c r="B1384" s="65">
        <v>0</v>
      </c>
      <c r="C1384" s="65">
        <v>0</v>
      </c>
      <c r="D1384" s="65">
        <v>0.2</v>
      </c>
      <c r="E1384" s="4">
        <v>2</v>
      </c>
      <c r="F1384" s="14">
        <v>1000000</v>
      </c>
      <c r="G1384" s="66">
        <v>0</v>
      </c>
      <c r="H1384" s="66">
        <v>0</v>
      </c>
      <c r="J1384" s="24" t="str">
        <f t="shared" ref="J1384" si="2059">CONCATENATE(K1381,3)</f>
        <v>53</v>
      </c>
      <c r="K1384" s="6">
        <v>0.99999999071805934</v>
      </c>
      <c r="L1384" s="6">
        <v>7.4127652518853893E-3</v>
      </c>
      <c r="M1384" s="6" t="e">
        <v>#N/A</v>
      </c>
      <c r="N1384" s="6" t="e">
        <v>#N/A</v>
      </c>
      <c r="T1384" s="9"/>
      <c r="U1384" s="1">
        <f t="shared" si="2036"/>
        <v>32</v>
      </c>
      <c r="V1384" s="1">
        <f t="shared" si="2037"/>
        <v>219</v>
      </c>
    </row>
    <row r="1385" spans="1:22" x14ac:dyDescent="0.3">
      <c r="A1385" s="1">
        <f t="shared" si="2002"/>
        <v>32220</v>
      </c>
      <c r="B1385" s="65">
        <v>20</v>
      </c>
      <c r="C1385" s="65">
        <v>20</v>
      </c>
      <c r="D1385" s="65">
        <v>0.2</v>
      </c>
      <c r="E1385" s="4">
        <v>2</v>
      </c>
      <c r="F1385" s="14">
        <v>1000000</v>
      </c>
      <c r="G1385" s="66">
        <v>20</v>
      </c>
      <c r="H1385" s="66">
        <v>20</v>
      </c>
      <c r="K1385" s="1">
        <v>6</v>
      </c>
      <c r="L1385" s="1">
        <v>6</v>
      </c>
      <c r="M1385" s="1">
        <v>6</v>
      </c>
      <c r="N1385" s="1">
        <v>6</v>
      </c>
      <c r="O1385" s="1">
        <v>6</v>
      </c>
      <c r="T1385" s="9"/>
      <c r="U1385" s="1">
        <f t="shared" si="2036"/>
        <v>32</v>
      </c>
      <c r="V1385" s="1">
        <f t="shared" si="2037"/>
        <v>220</v>
      </c>
    </row>
    <row r="1386" spans="1:22" x14ac:dyDescent="0.3">
      <c r="A1386" s="1">
        <f t="shared" si="2002"/>
        <v>32221</v>
      </c>
      <c r="B1386" s="65">
        <v>60</v>
      </c>
      <c r="C1386" s="65">
        <v>59.8</v>
      </c>
      <c r="D1386" s="65">
        <v>0.2</v>
      </c>
      <c r="E1386" s="4">
        <v>2</v>
      </c>
      <c r="F1386" s="14">
        <v>1000000</v>
      </c>
      <c r="G1386" s="66">
        <v>60</v>
      </c>
      <c r="H1386" s="66">
        <v>59.9</v>
      </c>
      <c r="J1386" s="24" t="str">
        <f t="shared" ref="J1386" si="2060">CONCATENATE(K1385,1)</f>
        <v>61</v>
      </c>
      <c r="K1386" s="6" t="e">
        <f t="array" ref="K1386:O1388">LINEST(B1382:B1387,C1382:C1387^{1,2,3,4},TRUE,TRUE)</f>
        <v>#VALUE!</v>
      </c>
      <c r="L1386" s="6" t="e">
        <v>#VALUE!</v>
      </c>
      <c r="M1386" s="6" t="e">
        <v>#VALUE!</v>
      </c>
      <c r="N1386" s="6" t="e">
        <v>#VALUE!</v>
      </c>
      <c r="O1386" s="6" t="e">
        <v>#VALUE!</v>
      </c>
      <c r="T1386" s="9"/>
      <c r="U1386" s="1">
        <f t="shared" si="2036"/>
        <v>32</v>
      </c>
      <c r="V1386" s="1">
        <f t="shared" si="2037"/>
        <v>221</v>
      </c>
    </row>
    <row r="1387" spans="1:22" x14ac:dyDescent="0.3">
      <c r="A1387" s="1">
        <f t="shared" si="2002"/>
        <v>32222</v>
      </c>
      <c r="B1387" s="65"/>
      <c r="C1387" s="65"/>
      <c r="D1387" s="65"/>
      <c r="E1387" s="4"/>
      <c r="F1387" s="14"/>
      <c r="G1387" s="66"/>
      <c r="H1387" s="66"/>
      <c r="J1387" s="24" t="str">
        <f t="shared" ref="J1387" si="2061">CONCATENATE(K1385,2)</f>
        <v>62</v>
      </c>
      <c r="K1387" s="6" t="e">
        <v>#VALUE!</v>
      </c>
      <c r="L1387" s="6" t="e">
        <v>#VALUE!</v>
      </c>
      <c r="M1387" s="6" t="e">
        <v>#VALUE!</v>
      </c>
      <c r="N1387" s="6" t="e">
        <v>#VALUE!</v>
      </c>
      <c r="O1387" s="6" t="e">
        <v>#VALUE!</v>
      </c>
      <c r="T1387" s="9"/>
      <c r="U1387" s="1">
        <f t="shared" si="2036"/>
        <v>32</v>
      </c>
      <c r="V1387" s="1">
        <f t="shared" si="2037"/>
        <v>222</v>
      </c>
    </row>
    <row r="1388" spans="1:22" x14ac:dyDescent="0.3">
      <c r="A1388" s="1">
        <f t="shared" si="2002"/>
        <v>32223</v>
      </c>
      <c r="B1388" s="4"/>
      <c r="C1388" s="4"/>
      <c r="D1388" s="4"/>
      <c r="E1388" s="4"/>
      <c r="F1388" s="14"/>
      <c r="G1388" s="8"/>
      <c r="H1388" s="7"/>
      <c r="J1388" s="24" t="str">
        <f t="shared" ref="J1388" si="2062">CONCATENATE(K1385,3)</f>
        <v>63</v>
      </c>
      <c r="K1388" s="6" t="e">
        <v>#VALUE!</v>
      </c>
      <c r="L1388" s="6" t="e">
        <v>#VALUE!</v>
      </c>
      <c r="M1388" s="6" t="e">
        <v>#VALUE!</v>
      </c>
      <c r="N1388" s="6" t="e">
        <v>#VALUE!</v>
      </c>
      <c r="O1388" s="6" t="e">
        <v>#VALUE!</v>
      </c>
      <c r="T1388" s="9"/>
      <c r="U1388" s="1">
        <f t="shared" si="2036"/>
        <v>32</v>
      </c>
      <c r="V1388" s="1">
        <f t="shared" si="2037"/>
        <v>223</v>
      </c>
    </row>
    <row r="1389" spans="1:22" x14ac:dyDescent="0.3">
      <c r="A1389" s="1">
        <f t="shared" si="2002"/>
        <v>32224</v>
      </c>
      <c r="B1389" s="4"/>
      <c r="C1389" s="4"/>
      <c r="D1389" s="4"/>
      <c r="E1389" s="4"/>
      <c r="F1389" s="14"/>
      <c r="G1389" s="8"/>
      <c r="H1389" s="7"/>
      <c r="K1389" s="1">
        <v>7</v>
      </c>
      <c r="L1389" s="1">
        <v>7</v>
      </c>
      <c r="M1389" s="1">
        <v>7</v>
      </c>
      <c r="N1389" s="1">
        <v>7</v>
      </c>
      <c r="O1389" s="1">
        <v>7</v>
      </c>
      <c r="P1389" s="1">
        <v>7</v>
      </c>
      <c r="T1389" s="9"/>
      <c r="U1389" s="1">
        <f t="shared" si="2036"/>
        <v>32</v>
      </c>
      <c r="V1389" s="1">
        <f t="shared" si="2037"/>
        <v>224</v>
      </c>
    </row>
    <row r="1390" spans="1:22" x14ac:dyDescent="0.3">
      <c r="A1390" s="1">
        <f t="shared" si="2002"/>
        <v>32225</v>
      </c>
      <c r="B1390" s="4"/>
      <c r="C1390" s="4"/>
      <c r="D1390" s="4"/>
      <c r="E1390" s="4"/>
      <c r="F1390" s="14"/>
      <c r="G1390" s="8"/>
      <c r="H1390" s="7"/>
      <c r="J1390" s="24" t="str">
        <f t="shared" ref="J1390" si="2063">CONCATENATE(K1389,1)</f>
        <v>71</v>
      </c>
      <c r="K1390" s="6" t="e">
        <f t="array" ref="K1390:P1392">LINEST(B1382:B1388,C1382:C1388^{1,2,3,4,5},TRUE,TRUE)</f>
        <v>#VALUE!</v>
      </c>
      <c r="L1390" s="6" t="e">
        <v>#VALUE!</v>
      </c>
      <c r="M1390" s="6" t="e">
        <v>#VALUE!</v>
      </c>
      <c r="N1390" s="6" t="e">
        <v>#VALUE!</v>
      </c>
      <c r="O1390" s="6" t="e">
        <v>#VALUE!</v>
      </c>
      <c r="P1390" s="6" t="e">
        <v>#VALUE!</v>
      </c>
      <c r="T1390" s="9"/>
      <c r="U1390" s="1">
        <f t="shared" si="2036"/>
        <v>32</v>
      </c>
      <c r="V1390" s="1">
        <f t="shared" si="2037"/>
        <v>225</v>
      </c>
    </row>
    <row r="1391" spans="1:22" x14ac:dyDescent="0.3">
      <c r="A1391" s="1">
        <f t="shared" si="2002"/>
        <v>32226</v>
      </c>
      <c r="B1391" s="4"/>
      <c r="C1391" s="4"/>
      <c r="D1391" s="4"/>
      <c r="E1391" s="4"/>
      <c r="F1391" s="14"/>
      <c r="G1391" s="8"/>
      <c r="H1391" s="7"/>
      <c r="J1391" s="24" t="str">
        <f t="shared" ref="J1391" si="2064">CONCATENATE(K1389,2)</f>
        <v>72</v>
      </c>
      <c r="K1391" s="6" t="e">
        <v>#VALUE!</v>
      </c>
      <c r="L1391" s="6" t="e">
        <v>#VALUE!</v>
      </c>
      <c r="M1391" s="6" t="e">
        <v>#VALUE!</v>
      </c>
      <c r="N1391" s="6" t="e">
        <v>#VALUE!</v>
      </c>
      <c r="O1391" s="6" t="e">
        <v>#VALUE!</v>
      </c>
      <c r="P1391" s="6" t="e">
        <v>#VALUE!</v>
      </c>
      <c r="T1391" s="9"/>
      <c r="U1391" s="1">
        <f t="shared" si="2036"/>
        <v>32</v>
      </c>
      <c r="V1391" s="1">
        <f t="shared" si="2037"/>
        <v>226</v>
      </c>
    </row>
    <row r="1392" spans="1:22" x14ac:dyDescent="0.3">
      <c r="A1392" s="1">
        <f t="shared" si="2002"/>
        <v>32227</v>
      </c>
      <c r="B1392" s="9"/>
      <c r="C1392" s="9"/>
      <c r="D1392" s="9"/>
      <c r="E1392" s="9"/>
      <c r="F1392" s="9"/>
      <c r="G1392" s="9"/>
      <c r="H1392" s="9"/>
      <c r="J1392" s="24" t="str">
        <f t="shared" ref="J1392" si="2065">CONCATENATE(K1389,3)</f>
        <v>73</v>
      </c>
      <c r="K1392" s="6" t="e">
        <v>#VALUE!</v>
      </c>
      <c r="L1392" s="6" t="e">
        <v>#VALUE!</v>
      </c>
      <c r="M1392" s="6" t="e">
        <v>#VALUE!</v>
      </c>
      <c r="N1392" s="6" t="e">
        <v>#VALUE!</v>
      </c>
      <c r="O1392" s="6" t="e">
        <v>#VALUE!</v>
      </c>
      <c r="P1392" s="6" t="e">
        <v>#VALUE!</v>
      </c>
      <c r="T1392" s="9"/>
      <c r="U1392" s="1">
        <f t="shared" si="2036"/>
        <v>32</v>
      </c>
      <c r="V1392" s="1">
        <f t="shared" si="2037"/>
        <v>227</v>
      </c>
    </row>
    <row r="1393" spans="1:22" x14ac:dyDescent="0.3">
      <c r="A1393" s="1">
        <f t="shared" si="2002"/>
        <v>32228</v>
      </c>
      <c r="B1393" s="87" t="s">
        <v>33</v>
      </c>
      <c r="C1393" s="88"/>
      <c r="D1393" s="88"/>
      <c r="E1393" s="88"/>
      <c r="F1393" s="88"/>
      <c r="G1393" s="88"/>
      <c r="H1393" s="89"/>
      <c r="K1393" s="1">
        <v>8</v>
      </c>
      <c r="L1393" s="1">
        <v>8</v>
      </c>
      <c r="M1393" s="1">
        <v>8</v>
      </c>
      <c r="N1393" s="1">
        <v>8</v>
      </c>
      <c r="O1393" s="1">
        <v>8</v>
      </c>
      <c r="P1393" s="1">
        <v>8</v>
      </c>
      <c r="Q1393" s="1">
        <v>8</v>
      </c>
      <c r="T1393" s="9"/>
      <c r="U1393" s="1">
        <f t="shared" si="2036"/>
        <v>32</v>
      </c>
      <c r="V1393" s="1">
        <f t="shared" si="2037"/>
        <v>228</v>
      </c>
    </row>
    <row r="1394" spans="1:22" x14ac:dyDescent="0.3">
      <c r="A1394" s="1">
        <f t="shared" si="2002"/>
        <v>32229</v>
      </c>
      <c r="B1394" s="90"/>
      <c r="C1394" s="91"/>
      <c r="D1394" s="91"/>
      <c r="E1394" s="91"/>
      <c r="F1394" s="91"/>
      <c r="G1394" s="91"/>
      <c r="H1394" s="92"/>
      <c r="J1394" s="24" t="str">
        <f t="shared" ref="J1394" si="2066">CONCATENATE(K1393,1)</f>
        <v>81</v>
      </c>
      <c r="K1394" s="6" t="e">
        <f t="array" ref="K1394:Q1396">LINEST(B1382:B1389,C1382:C1389^{1,2,3,4,5,6},TRUE,TRUE)</f>
        <v>#VALUE!</v>
      </c>
      <c r="L1394" s="6" t="e">
        <v>#VALUE!</v>
      </c>
      <c r="M1394" s="6" t="e">
        <v>#VALUE!</v>
      </c>
      <c r="N1394" s="6" t="e">
        <v>#VALUE!</v>
      </c>
      <c r="O1394" s="6" t="e">
        <v>#VALUE!</v>
      </c>
      <c r="P1394" s="6" t="e">
        <v>#VALUE!</v>
      </c>
      <c r="Q1394" s="6" t="e">
        <v>#VALUE!</v>
      </c>
      <c r="T1394" s="9"/>
      <c r="U1394" s="1">
        <f t="shared" si="2036"/>
        <v>32</v>
      </c>
      <c r="V1394" s="1">
        <f t="shared" si="2037"/>
        <v>229</v>
      </c>
    </row>
    <row r="1395" spans="1:22" x14ac:dyDescent="0.3">
      <c r="A1395" s="1">
        <f t="shared" si="2002"/>
        <v>32230</v>
      </c>
      <c r="B1395" s="93"/>
      <c r="C1395" s="94"/>
      <c r="D1395" s="94"/>
      <c r="E1395" s="94"/>
      <c r="F1395" s="94"/>
      <c r="G1395" s="94"/>
      <c r="H1395" s="95"/>
      <c r="J1395" s="24" t="str">
        <f t="shared" ref="J1395" si="2067">CONCATENATE(K1393,2)</f>
        <v>82</v>
      </c>
      <c r="K1395" s="6" t="e">
        <v>#VALUE!</v>
      </c>
      <c r="L1395" s="6" t="e">
        <v>#VALUE!</v>
      </c>
      <c r="M1395" s="6" t="e">
        <v>#VALUE!</v>
      </c>
      <c r="N1395" s="6" t="e">
        <v>#VALUE!</v>
      </c>
      <c r="O1395" s="6" t="e">
        <v>#VALUE!</v>
      </c>
      <c r="P1395" s="6" t="e">
        <v>#VALUE!</v>
      </c>
      <c r="Q1395" s="6" t="e">
        <v>#VALUE!</v>
      </c>
      <c r="T1395" s="9"/>
      <c r="U1395" s="1">
        <f t="shared" si="2036"/>
        <v>32</v>
      </c>
      <c r="V1395" s="1">
        <f t="shared" si="2037"/>
        <v>230</v>
      </c>
    </row>
    <row r="1396" spans="1:22" x14ac:dyDescent="0.3">
      <c r="A1396" s="1">
        <f t="shared" si="2002"/>
        <v>32231</v>
      </c>
      <c r="J1396" s="24" t="str">
        <f t="shared" ref="J1396" si="2068">CONCATENATE(K1393,3)</f>
        <v>83</v>
      </c>
      <c r="K1396" s="6" t="e">
        <v>#VALUE!</v>
      </c>
      <c r="L1396" s="6" t="e">
        <v>#VALUE!</v>
      </c>
      <c r="M1396" s="6" t="e">
        <v>#VALUE!</v>
      </c>
      <c r="N1396" s="6" t="e">
        <v>#VALUE!</v>
      </c>
      <c r="O1396" s="6" t="e">
        <v>#VALUE!</v>
      </c>
      <c r="P1396" s="6" t="e">
        <v>#VALUE!</v>
      </c>
      <c r="Q1396" s="6" t="e">
        <v>#VALUE!</v>
      </c>
      <c r="T1396" s="9"/>
      <c r="U1396" s="1">
        <f t="shared" si="2036"/>
        <v>32</v>
      </c>
      <c r="V1396" s="1">
        <f t="shared" si="2037"/>
        <v>231</v>
      </c>
    </row>
    <row r="1397" spans="1:22" ht="15" customHeight="1" x14ac:dyDescent="0.3">
      <c r="A1397" s="1">
        <f t="shared" si="2002"/>
        <v>32232</v>
      </c>
      <c r="B1397" s="10" t="s">
        <v>34</v>
      </c>
      <c r="C1397" s="10" t="s">
        <v>35</v>
      </c>
      <c r="D1397" s="10" t="s">
        <v>36</v>
      </c>
      <c r="E1397" s="74" t="s">
        <v>37</v>
      </c>
      <c r="F1397" s="75"/>
      <c r="G1397" s="76"/>
      <c r="K1397" s="1">
        <v>9</v>
      </c>
      <c r="L1397" s="1">
        <v>9</v>
      </c>
      <c r="M1397" s="1">
        <v>9</v>
      </c>
      <c r="N1397" s="1">
        <v>9</v>
      </c>
      <c r="O1397" s="1">
        <v>9</v>
      </c>
      <c r="P1397" s="1">
        <v>9</v>
      </c>
      <c r="Q1397" s="1">
        <v>9</v>
      </c>
      <c r="R1397" s="1">
        <v>9</v>
      </c>
      <c r="T1397" s="9"/>
      <c r="U1397" s="1">
        <f t="shared" si="2036"/>
        <v>32</v>
      </c>
      <c r="V1397" s="1">
        <f t="shared" si="2037"/>
        <v>232</v>
      </c>
    </row>
    <row r="1398" spans="1:22" x14ac:dyDescent="0.3">
      <c r="A1398" s="1">
        <f t="shared" si="2002"/>
        <v>32233</v>
      </c>
      <c r="B1398" s="12">
        <f t="shared" ref="B1398:B1407" si="2069">C1382-B1382</f>
        <v>0</v>
      </c>
      <c r="C1398" s="13">
        <f t="shared" ref="C1398:C1407" si="2070">H1382-G1382</f>
        <v>0</v>
      </c>
      <c r="D1398" s="10">
        <f t="shared" ref="D1398:D1407" si="2071">C1398-B1398</f>
        <v>0</v>
      </c>
      <c r="E1398" s="11">
        <f t="shared" ref="E1398" si="2072">IF(D1373="","",MAX(F1398,G1398))</f>
        <v>0.10000000000000142</v>
      </c>
      <c r="F1398" s="10">
        <f t="shared" ref="F1398" si="2073">ABS(MIN(D1398:D1407))</f>
        <v>0</v>
      </c>
      <c r="G1398" s="10">
        <f t="shared" ref="G1398" si="2074">ABS(MAX(D1398:D1407))</f>
        <v>0.10000000000000142</v>
      </c>
      <c r="J1398" s="24" t="str">
        <f t="shared" ref="J1398" si="2075">CONCATENATE(K1397,1)</f>
        <v>91</v>
      </c>
      <c r="K1398" s="6" t="e">
        <f t="array" ref="K1398:R1400">LINEST(B1382:B1390,C1382:C1390^{1,2,3,4,5,6,7},TRUE,TRUE)</f>
        <v>#VALUE!</v>
      </c>
      <c r="L1398" s="6" t="e">
        <v>#VALUE!</v>
      </c>
      <c r="M1398" s="6" t="e">
        <v>#VALUE!</v>
      </c>
      <c r="N1398" s="6" t="e">
        <v>#VALUE!</v>
      </c>
      <c r="O1398" s="6" t="e">
        <v>#VALUE!</v>
      </c>
      <c r="P1398" s="6" t="e">
        <v>#VALUE!</v>
      </c>
      <c r="Q1398" s="6" t="e">
        <v>#VALUE!</v>
      </c>
      <c r="R1398" s="6" t="e">
        <v>#VALUE!</v>
      </c>
      <c r="T1398" s="9"/>
      <c r="U1398" s="1">
        <f t="shared" si="2036"/>
        <v>32</v>
      </c>
      <c r="V1398" s="1">
        <f t="shared" si="2037"/>
        <v>233</v>
      </c>
    </row>
    <row r="1399" spans="1:22" x14ac:dyDescent="0.3">
      <c r="A1399" s="1">
        <f t="shared" si="2002"/>
        <v>32234</v>
      </c>
      <c r="B1399" s="12">
        <f t="shared" si="2069"/>
        <v>0</v>
      </c>
      <c r="C1399" s="13">
        <f t="shared" si="2070"/>
        <v>0</v>
      </c>
      <c r="D1399" s="10">
        <f t="shared" si="2071"/>
        <v>0</v>
      </c>
      <c r="E1399" s="74" t="s">
        <v>38</v>
      </c>
      <c r="F1399" s="75"/>
      <c r="G1399" s="76"/>
      <c r="J1399" s="24" t="str">
        <f t="shared" ref="J1399" si="2076">CONCATENATE(K1397,2)</f>
        <v>92</v>
      </c>
      <c r="K1399" s="6" t="e">
        <v>#VALUE!</v>
      </c>
      <c r="L1399" s="6" t="e">
        <v>#VALUE!</v>
      </c>
      <c r="M1399" s="6" t="e">
        <v>#VALUE!</v>
      </c>
      <c r="N1399" s="6" t="e">
        <v>#VALUE!</v>
      </c>
      <c r="O1399" s="6" t="e">
        <v>#VALUE!</v>
      </c>
      <c r="P1399" s="6" t="e">
        <v>#VALUE!</v>
      </c>
      <c r="Q1399" s="6" t="e">
        <v>#VALUE!</v>
      </c>
      <c r="R1399" s="6" t="e">
        <v>#VALUE!</v>
      </c>
      <c r="T1399" s="9"/>
      <c r="U1399" s="1">
        <f t="shared" si="2036"/>
        <v>32</v>
      </c>
      <c r="V1399" s="1">
        <f t="shared" si="2037"/>
        <v>234</v>
      </c>
    </row>
    <row r="1400" spans="1:22" x14ac:dyDescent="0.3">
      <c r="A1400" s="1">
        <f t="shared" si="2002"/>
        <v>32235</v>
      </c>
      <c r="B1400" s="12">
        <f t="shared" si="2069"/>
        <v>0</v>
      </c>
      <c r="C1400" s="13">
        <f t="shared" si="2070"/>
        <v>0</v>
      </c>
      <c r="D1400" s="10">
        <f t="shared" si="2071"/>
        <v>0</v>
      </c>
      <c r="E1400" s="11">
        <f t="shared" ref="E1400" si="2077">IF(D1373="","",MAX(F1400,G1400))</f>
        <v>0.20000000000000284</v>
      </c>
      <c r="F1400" s="10">
        <f t="shared" ref="F1400" si="2078">ABS(MIN(B1398:B1407))</f>
        <v>0.20000000000000284</v>
      </c>
      <c r="G1400" s="10">
        <f t="shared" ref="G1400" si="2079">ABS(MAX(B1398:B1407))</f>
        <v>0</v>
      </c>
      <c r="J1400" s="24" t="str">
        <f t="shared" ref="J1400" si="2080">CONCATENATE(K1397,3)</f>
        <v>93</v>
      </c>
      <c r="K1400" s="6" t="e">
        <v>#VALUE!</v>
      </c>
      <c r="L1400" s="6" t="e">
        <v>#VALUE!</v>
      </c>
      <c r="M1400" s="6" t="e">
        <v>#VALUE!</v>
      </c>
      <c r="N1400" s="6" t="e">
        <v>#VALUE!</v>
      </c>
      <c r="O1400" s="6" t="e">
        <v>#VALUE!</v>
      </c>
      <c r="P1400" s="6" t="e">
        <v>#VALUE!</v>
      </c>
      <c r="Q1400" s="6" t="e">
        <v>#VALUE!</v>
      </c>
      <c r="R1400" s="6" t="e">
        <v>#VALUE!</v>
      </c>
      <c r="T1400" s="9"/>
      <c r="U1400" s="1">
        <f t="shared" si="2036"/>
        <v>32</v>
      </c>
      <c r="V1400" s="1">
        <f t="shared" si="2037"/>
        <v>235</v>
      </c>
    </row>
    <row r="1401" spans="1:22" x14ac:dyDescent="0.3">
      <c r="A1401" s="1">
        <f t="shared" si="2002"/>
        <v>32236</v>
      </c>
      <c r="B1401" s="12">
        <f t="shared" si="2069"/>
        <v>0</v>
      </c>
      <c r="C1401" s="13">
        <f t="shared" si="2070"/>
        <v>0</v>
      </c>
      <c r="D1401" s="10">
        <f t="shared" si="2071"/>
        <v>0</v>
      </c>
      <c r="E1401" s="74" t="s">
        <v>39</v>
      </c>
      <c r="F1401" s="75"/>
      <c r="G1401" s="76"/>
      <c r="K1401" s="1">
        <v>10</v>
      </c>
      <c r="L1401" s="1">
        <v>10</v>
      </c>
      <c r="M1401" s="1">
        <v>10</v>
      </c>
      <c r="N1401" s="1">
        <v>10</v>
      </c>
      <c r="O1401" s="1">
        <v>10</v>
      </c>
      <c r="P1401" s="1">
        <v>10</v>
      </c>
      <c r="Q1401" s="1">
        <v>10</v>
      </c>
      <c r="R1401" s="1">
        <v>10</v>
      </c>
      <c r="S1401" s="1">
        <v>10</v>
      </c>
      <c r="T1401" s="9"/>
      <c r="U1401" s="1">
        <f t="shared" si="2036"/>
        <v>32</v>
      </c>
      <c r="V1401" s="1">
        <f t="shared" si="2037"/>
        <v>236</v>
      </c>
    </row>
    <row r="1402" spans="1:22" x14ac:dyDescent="0.3">
      <c r="A1402" s="1">
        <f t="shared" si="2002"/>
        <v>32237</v>
      </c>
      <c r="B1402" s="12">
        <f t="shared" si="2069"/>
        <v>-0.20000000000000284</v>
      </c>
      <c r="C1402" s="13">
        <f t="shared" si="2070"/>
        <v>-0.10000000000000142</v>
      </c>
      <c r="D1402" s="10">
        <f t="shared" si="2071"/>
        <v>0.10000000000000142</v>
      </c>
      <c r="E1402" s="11">
        <f t="shared" ref="E1402" si="2081">IF(D1373="","",MAX(F1402,G1402))</f>
        <v>0.2</v>
      </c>
      <c r="F1402" s="10">
        <f t="shared" ref="F1402" si="2082">ABS(MIN(D1382:D1391))</f>
        <v>0.2</v>
      </c>
      <c r="G1402" s="10">
        <f t="shared" ref="G1402" si="2083">ABS(MAX(D1382:D1391))</f>
        <v>0.2</v>
      </c>
      <c r="J1402" s="24" t="str">
        <f t="shared" ref="J1402" si="2084">CONCATENATE(K1401,1)</f>
        <v>101</v>
      </c>
      <c r="K1402" s="6" t="e">
        <f t="array" ref="K1402:S1404">LINEST(B1382:B1391,C1382:C1391^{1,2,3,4,5,6,7,8},TRUE,TRUE)</f>
        <v>#VALUE!</v>
      </c>
      <c r="L1402" s="6" t="e">
        <v>#VALUE!</v>
      </c>
      <c r="M1402" s="6" t="e">
        <v>#VALUE!</v>
      </c>
      <c r="N1402" s="6" t="e">
        <v>#VALUE!</v>
      </c>
      <c r="O1402" s="6" t="e">
        <v>#VALUE!</v>
      </c>
      <c r="P1402" s="6" t="e">
        <v>#VALUE!</v>
      </c>
      <c r="Q1402" s="6" t="e">
        <v>#VALUE!</v>
      </c>
      <c r="R1402" s="6" t="e">
        <v>#VALUE!</v>
      </c>
      <c r="S1402" s="6" t="e">
        <v>#VALUE!</v>
      </c>
      <c r="T1402" s="9"/>
      <c r="U1402" s="1">
        <f t="shared" si="2036"/>
        <v>32</v>
      </c>
      <c r="V1402" s="1">
        <f t="shared" si="2037"/>
        <v>237</v>
      </c>
    </row>
    <row r="1403" spans="1:22" x14ac:dyDescent="0.3">
      <c r="A1403" s="1">
        <f t="shared" si="2002"/>
        <v>32238</v>
      </c>
      <c r="B1403" s="12">
        <f t="shared" si="2069"/>
        <v>0</v>
      </c>
      <c r="C1403" s="13">
        <f t="shared" si="2070"/>
        <v>0</v>
      </c>
      <c r="D1403" s="10">
        <f t="shared" si="2071"/>
        <v>0</v>
      </c>
      <c r="J1403" s="24" t="str">
        <f t="shared" ref="J1403" si="2085">CONCATENATE(K1401,2)</f>
        <v>102</v>
      </c>
      <c r="K1403" s="6" t="e">
        <v>#VALUE!</v>
      </c>
      <c r="L1403" s="6" t="e">
        <v>#VALUE!</v>
      </c>
      <c r="M1403" s="6" t="e">
        <v>#VALUE!</v>
      </c>
      <c r="N1403" s="6" t="e">
        <v>#VALUE!</v>
      </c>
      <c r="O1403" s="6" t="e">
        <v>#VALUE!</v>
      </c>
      <c r="P1403" s="6" t="e">
        <v>#VALUE!</v>
      </c>
      <c r="Q1403" s="6" t="e">
        <v>#VALUE!</v>
      </c>
      <c r="R1403" s="6" t="e">
        <v>#VALUE!</v>
      </c>
      <c r="S1403" s="6" t="e">
        <v>#VALUE!</v>
      </c>
      <c r="T1403" s="9"/>
      <c r="U1403" s="1">
        <f t="shared" si="2036"/>
        <v>32</v>
      </c>
      <c r="V1403" s="1">
        <f t="shared" si="2037"/>
        <v>238</v>
      </c>
    </row>
    <row r="1404" spans="1:22" x14ac:dyDescent="0.3">
      <c r="A1404" s="1">
        <f t="shared" si="2002"/>
        <v>32239</v>
      </c>
      <c r="B1404" s="12">
        <f t="shared" si="2069"/>
        <v>0</v>
      </c>
      <c r="C1404" s="13">
        <f t="shared" si="2070"/>
        <v>0</v>
      </c>
      <c r="D1404" s="10">
        <f t="shared" si="2071"/>
        <v>0</v>
      </c>
      <c r="J1404" s="24" t="str">
        <f t="shared" ref="J1404" si="2086">CONCATENATE(K1401,3)</f>
        <v>103</v>
      </c>
      <c r="K1404" s="6" t="e">
        <v>#VALUE!</v>
      </c>
      <c r="L1404" s="6" t="e">
        <v>#VALUE!</v>
      </c>
      <c r="M1404" s="6" t="e">
        <v>#VALUE!</v>
      </c>
      <c r="N1404" s="6" t="e">
        <v>#VALUE!</v>
      </c>
      <c r="O1404" s="6" t="e">
        <v>#VALUE!</v>
      </c>
      <c r="P1404" s="6" t="e">
        <v>#VALUE!</v>
      </c>
      <c r="Q1404" s="6" t="e">
        <v>#VALUE!</v>
      </c>
      <c r="R1404" s="6" t="e">
        <v>#VALUE!</v>
      </c>
      <c r="S1404" s="6" t="e">
        <v>#VALUE!</v>
      </c>
      <c r="T1404" s="9"/>
      <c r="U1404" s="1">
        <f t="shared" si="2036"/>
        <v>32</v>
      </c>
      <c r="V1404" s="1">
        <f t="shared" si="2037"/>
        <v>239</v>
      </c>
    </row>
    <row r="1405" spans="1:22" x14ac:dyDescent="0.3">
      <c r="A1405" s="1">
        <f t="shared" si="2002"/>
        <v>32240</v>
      </c>
      <c r="B1405" s="12">
        <f t="shared" si="2069"/>
        <v>0</v>
      </c>
      <c r="C1405" s="13">
        <f t="shared" si="2070"/>
        <v>0</v>
      </c>
      <c r="D1405" s="10">
        <f t="shared" si="2071"/>
        <v>0</v>
      </c>
      <c r="J1405" s="9"/>
      <c r="K1405" s="9"/>
      <c r="L1405" s="9"/>
      <c r="M1405" s="9"/>
      <c r="N1405" s="9"/>
      <c r="O1405" s="9"/>
      <c r="P1405" s="9"/>
      <c r="Q1405" s="9"/>
      <c r="R1405" s="9"/>
      <c r="S1405" s="9"/>
      <c r="T1405" s="9"/>
      <c r="U1405" s="1">
        <f t="shared" si="2036"/>
        <v>32</v>
      </c>
      <c r="V1405" s="1">
        <f t="shared" si="2037"/>
        <v>240</v>
      </c>
    </row>
    <row r="1406" spans="1:22" x14ac:dyDescent="0.3">
      <c r="A1406" s="1">
        <f t="shared" si="2002"/>
        <v>32241</v>
      </c>
      <c r="B1406" s="12">
        <f t="shared" si="2069"/>
        <v>0</v>
      </c>
      <c r="C1406" s="13">
        <f t="shared" si="2070"/>
        <v>0</v>
      </c>
      <c r="D1406" s="10">
        <f t="shared" si="2071"/>
        <v>0</v>
      </c>
      <c r="J1406" s="9"/>
      <c r="K1406" s="9"/>
      <c r="L1406" s="9"/>
      <c r="M1406" s="9"/>
      <c r="N1406" s="9"/>
      <c r="O1406" s="9"/>
      <c r="P1406" s="9"/>
      <c r="Q1406" s="9"/>
      <c r="R1406" s="9"/>
      <c r="S1406" s="9"/>
      <c r="T1406" s="9"/>
      <c r="U1406" s="1">
        <f t="shared" si="2036"/>
        <v>32</v>
      </c>
      <c r="V1406" s="1">
        <f t="shared" si="2037"/>
        <v>241</v>
      </c>
    </row>
    <row r="1407" spans="1:22" x14ac:dyDescent="0.3">
      <c r="A1407" s="1">
        <f t="shared" si="2002"/>
        <v>32242</v>
      </c>
      <c r="B1407" s="12">
        <f t="shared" si="2069"/>
        <v>0</v>
      </c>
      <c r="C1407" s="13">
        <f t="shared" si="2070"/>
        <v>0</v>
      </c>
      <c r="D1407" s="10">
        <f t="shared" si="2071"/>
        <v>0</v>
      </c>
      <c r="J1407" s="9"/>
      <c r="K1407" s="9"/>
      <c r="L1407" s="9"/>
      <c r="M1407" s="9"/>
      <c r="N1407" s="9"/>
      <c r="O1407" s="9"/>
      <c r="P1407" s="9"/>
      <c r="Q1407" s="9"/>
      <c r="R1407" s="9"/>
      <c r="S1407" s="9"/>
      <c r="T1407" s="9"/>
      <c r="U1407" s="1">
        <f t="shared" si="2036"/>
        <v>32</v>
      </c>
      <c r="V1407" s="1">
        <f t="shared" si="2037"/>
        <v>242</v>
      </c>
    </row>
    <row r="1408" spans="1:22" x14ac:dyDescent="0.3">
      <c r="A1408" s="1">
        <f t="shared" si="2002"/>
        <v>32243</v>
      </c>
      <c r="J1408" s="9"/>
      <c r="K1408" s="9"/>
      <c r="L1408" s="9"/>
      <c r="M1408" s="9"/>
      <c r="N1408" s="9"/>
      <c r="O1408" s="9"/>
      <c r="P1408" s="9"/>
      <c r="Q1408" s="9"/>
      <c r="R1408" s="9"/>
      <c r="S1408" s="9"/>
      <c r="T1408" s="9"/>
      <c r="U1408" s="1">
        <f t="shared" si="2036"/>
        <v>32</v>
      </c>
      <c r="V1408" s="1">
        <f t="shared" si="2037"/>
        <v>243</v>
      </c>
    </row>
    <row r="1409" spans="1:22" s="5" customFormat="1" x14ac:dyDescent="0.3"/>
    <row r="1410" spans="1:22" x14ac:dyDescent="0.3">
      <c r="A1410" s="1">
        <f t="shared" ref="A1410:A1452" si="2087">ROUND(CONCATENATE(U1410,V1410),0)</f>
        <v>33201</v>
      </c>
      <c r="B1410" s="96" t="s">
        <v>0</v>
      </c>
      <c r="C1410" s="97"/>
      <c r="D1410" s="98" t="s">
        <v>68</v>
      </c>
      <c r="E1410" s="99"/>
      <c r="F1410" s="99"/>
      <c r="G1410" s="99"/>
      <c r="H1410" s="100"/>
      <c r="J1410" s="9"/>
      <c r="K1410" s="9"/>
      <c r="L1410" s="9"/>
      <c r="M1410" s="9"/>
      <c r="N1410" s="9"/>
      <c r="O1410" s="9"/>
      <c r="P1410" s="9"/>
      <c r="Q1410" s="9"/>
      <c r="R1410" s="9"/>
      <c r="S1410" s="9"/>
      <c r="T1410" s="9"/>
      <c r="U1410" s="1">
        <f t="shared" ref="U1410" si="2088">U1408+1</f>
        <v>33</v>
      </c>
      <c r="V1410" s="1">
        <v>201</v>
      </c>
    </row>
    <row r="1411" spans="1:22" x14ac:dyDescent="0.3">
      <c r="A1411" s="1">
        <f t="shared" si="2087"/>
        <v>33202</v>
      </c>
      <c r="B1411" s="96" t="s">
        <v>1</v>
      </c>
      <c r="C1411" s="97"/>
      <c r="D1411" s="15" t="s">
        <v>70</v>
      </c>
      <c r="E1411" s="16" t="s">
        <v>2</v>
      </c>
      <c r="F1411" s="107"/>
      <c r="G1411" s="108"/>
      <c r="H1411" s="109"/>
      <c r="J1411" s="9"/>
      <c r="K1411" s="9"/>
      <c r="L1411" s="9"/>
      <c r="M1411" s="9"/>
      <c r="N1411" s="9"/>
      <c r="O1411" s="9"/>
      <c r="P1411" s="9"/>
      <c r="Q1411" s="9"/>
      <c r="R1411" s="9"/>
      <c r="S1411" s="9"/>
      <c r="T1411" s="9"/>
      <c r="U1411" s="1">
        <f t="shared" ref="U1411" si="2089">U1410</f>
        <v>33</v>
      </c>
      <c r="V1411" s="1">
        <f t="shared" ref="V1411" si="2090">V1410+1</f>
        <v>202</v>
      </c>
    </row>
    <row r="1412" spans="1:22" x14ac:dyDescent="0.3">
      <c r="A1412" s="1">
        <f t="shared" si="2087"/>
        <v>33203</v>
      </c>
      <c r="B1412" s="96" t="s">
        <v>12</v>
      </c>
      <c r="C1412" s="97"/>
      <c r="D1412" s="98" t="s">
        <v>74</v>
      </c>
      <c r="E1412" s="99"/>
      <c r="F1412" s="99"/>
      <c r="G1412" s="99"/>
      <c r="H1412" s="100"/>
      <c r="K1412" s="1" t="s">
        <v>3</v>
      </c>
      <c r="L1412" s="1" t="s">
        <v>4</v>
      </c>
      <c r="M1412" s="1" t="s">
        <v>5</v>
      </c>
      <c r="N1412" s="1" t="s">
        <v>6</v>
      </c>
      <c r="O1412" s="1" t="s">
        <v>7</v>
      </c>
      <c r="P1412" s="1" t="s">
        <v>8</v>
      </c>
      <c r="Q1412" s="1" t="s">
        <v>9</v>
      </c>
      <c r="R1412" s="1" t="s">
        <v>10</v>
      </c>
      <c r="S1412" s="1" t="s">
        <v>11</v>
      </c>
      <c r="T1412" s="9"/>
      <c r="U1412" s="1">
        <f t="shared" si="2036"/>
        <v>33</v>
      </c>
      <c r="V1412" s="1">
        <f t="shared" si="2037"/>
        <v>203</v>
      </c>
    </row>
    <row r="1413" spans="1:22" x14ac:dyDescent="0.3">
      <c r="A1413" s="1">
        <f t="shared" si="2087"/>
        <v>33204</v>
      </c>
      <c r="B1413" s="96" t="s">
        <v>13</v>
      </c>
      <c r="C1413" s="97"/>
      <c r="D1413" s="98" t="s">
        <v>143</v>
      </c>
      <c r="E1413" s="99"/>
      <c r="F1413" s="99"/>
      <c r="G1413" s="99"/>
      <c r="H1413" s="100"/>
      <c r="J1413" s="1">
        <f t="shared" ref="J1413" si="2091">COUNTA(B1426:B1435)</f>
        <v>5</v>
      </c>
      <c r="K1413" s="1">
        <f t="shared" ref="K1413" si="2092">IF(L1413-1&lt;2,0,L1413-1)</f>
        <v>0</v>
      </c>
      <c r="L1413" s="1">
        <f t="shared" ref="L1413" si="2093">IF(M1413-1&lt;2,0,M1413-1)</f>
        <v>0</v>
      </c>
      <c r="M1413" s="1">
        <f t="shared" ref="M1413" si="2094">IF(N1413-1&lt;2,0,N1413-1)</f>
        <v>0</v>
      </c>
      <c r="N1413" s="1">
        <f t="shared" ref="N1413" si="2095">IF(O1413-1&lt;2,0,O1413-1)</f>
        <v>0</v>
      </c>
      <c r="O1413" s="1">
        <f t="shared" ref="O1413" si="2096">IF(P1413-1&lt;2,0,P1413-1)</f>
        <v>0</v>
      </c>
      <c r="P1413" s="1">
        <f t="shared" ref="P1413" si="2097">IF(Q1413-1&lt;2,0,Q1413-1)</f>
        <v>2</v>
      </c>
      <c r="Q1413" s="1">
        <f t="shared" ref="Q1413" si="2098">IF(R1413-1&lt;2,0,R1413-1)</f>
        <v>3</v>
      </c>
      <c r="R1413" s="1">
        <f t="shared" ref="R1413" si="2099">IF(S1413-1&lt;2,0,S1413-1)</f>
        <v>4</v>
      </c>
      <c r="S1413" s="1">
        <f t="shared" ref="S1413" si="2100">J1413</f>
        <v>5</v>
      </c>
      <c r="T1413" s="9"/>
      <c r="U1413" s="1">
        <f t="shared" si="2036"/>
        <v>33</v>
      </c>
      <c r="V1413" s="1">
        <f t="shared" si="2037"/>
        <v>204</v>
      </c>
    </row>
    <row r="1414" spans="1:22" x14ac:dyDescent="0.3">
      <c r="A1414" s="1">
        <f t="shared" si="2087"/>
        <v>33205</v>
      </c>
      <c r="B1414" s="96" t="s">
        <v>14</v>
      </c>
      <c r="C1414" s="97"/>
      <c r="D1414" s="98" t="s">
        <v>144</v>
      </c>
      <c r="E1414" s="99"/>
      <c r="F1414" s="99"/>
      <c r="G1414" s="99"/>
      <c r="H1414" s="100"/>
      <c r="J1414" s="24" t="str">
        <f t="shared" ref="J1414" si="2101">CONCATENATE(J1413,1)</f>
        <v>51</v>
      </c>
      <c r="K1414" s="25">
        <f t="shared" ref="K1414" si="2102">IF(K1413=0,0,VLOOKUP(J1414,J1418:S1448,K1413,FALSE))</f>
        <v>0</v>
      </c>
      <c r="L1414" s="25">
        <f t="shared" ref="L1414" si="2103">IF(L1413=0,0,VLOOKUP(J1414,J1418:S1448,L1413,FALSE))</f>
        <v>0</v>
      </c>
      <c r="M1414" s="25">
        <f t="shared" ref="M1414" si="2104">IF(M1413=0,0,VLOOKUP(J1414,J1418:S1448,M1413,FALSE))</f>
        <v>0</v>
      </c>
      <c r="N1414" s="25">
        <f t="shared" ref="N1414" si="2105">IF(N1413=0,0,VLOOKUP(J1414,J1418:S1448,N1413,FALSE))</f>
        <v>0</v>
      </c>
      <c r="O1414" s="25">
        <f t="shared" ref="O1414" si="2106">IF(O1413=0,0,VLOOKUP(J1414,J1418:S1448,O1413,FALSE))</f>
        <v>0</v>
      </c>
      <c r="P1414" s="25">
        <f t="shared" ref="P1414" si="2107">IF(P1413=0,0,VLOOKUP(J1414,J1418:S1448,P1413,FALSE))</f>
        <v>3.1535707161766998E-6</v>
      </c>
      <c r="Q1414" s="25">
        <f t="shared" ref="Q1414" si="2108">IF(Q1413=0,0,VLOOKUP(J1414,J1418:S1448,Q1413,FALSE))</f>
        <v>2.2139756301785802E-4</v>
      </c>
      <c r="R1414" s="25">
        <f t="shared" ref="R1414" si="2109">IF(R1413=0,0,VLOOKUP(J1414,J1418:S1448,R1413,FALSE))</f>
        <v>1.0004207578206086</v>
      </c>
      <c r="S1414" s="25">
        <f t="shared" ref="S1414" si="2110">IF(S1413=0,0,VLOOKUP(J1414,J1418:S1448,S1413,FALSE))</f>
        <v>-0.12417231514128241</v>
      </c>
      <c r="T1414" s="9"/>
      <c r="U1414" s="1">
        <f t="shared" si="2036"/>
        <v>33</v>
      </c>
      <c r="V1414" s="1">
        <f t="shared" si="2037"/>
        <v>205</v>
      </c>
    </row>
    <row r="1415" spans="1:22" x14ac:dyDescent="0.3">
      <c r="A1415" s="1">
        <f t="shared" si="2087"/>
        <v>33206</v>
      </c>
      <c r="B1415" s="96" t="s">
        <v>15</v>
      </c>
      <c r="C1415" s="97"/>
      <c r="D1415" s="123" t="s">
        <v>145</v>
      </c>
      <c r="E1415" s="124"/>
      <c r="F1415" s="124"/>
      <c r="G1415" s="124"/>
      <c r="H1415" s="125"/>
      <c r="J1415" s="24" t="str">
        <f t="shared" ref="J1415" si="2111">CONCATENATE(J1413,2)</f>
        <v>52</v>
      </c>
      <c r="K1415" s="6">
        <f t="shared" ref="K1415" si="2112">IF(K1413=0,0,VLOOKUP(J1415,J1418:S1448,K1413,FALSE))</f>
        <v>0</v>
      </c>
      <c r="L1415" s="6">
        <f t="shared" ref="L1415" si="2113">IF(L1413=0,0,VLOOKUP(J1415,J1418:S1448,L1413,FALSE))</f>
        <v>0</v>
      </c>
      <c r="M1415" s="6">
        <f t="shared" ref="M1415" si="2114">IF(M1413=0,0,VLOOKUP(J1415,J1418:S1448,M1413,FALSE))</f>
        <v>0</v>
      </c>
      <c r="N1415" s="6">
        <f t="shared" ref="N1415" si="2115">IF(N1413=0,0,VLOOKUP(J1415,J1418:S1448,N1413,FALSE))</f>
        <v>0</v>
      </c>
      <c r="O1415" s="6">
        <f t="shared" ref="O1415" si="2116">IF(O1413=0,0,VLOOKUP(J1415,J1418:S1448,O1413,FALSE))</f>
        <v>0</v>
      </c>
      <c r="P1415" s="6">
        <f t="shared" ref="P1415" si="2117">IF(P1413=0,0,VLOOKUP(J1415,J1418:S1448,P1413,FALSE))</f>
        <v>3.8746486281672983E-6</v>
      </c>
      <c r="Q1415" s="6">
        <f t="shared" ref="Q1415" si="2118">IF(Q1413=0,0,VLOOKUP(J1415,J1418:S1448,Q1413,FALSE))</f>
        <v>2.7731926476786908E-4</v>
      </c>
      <c r="R1415" s="6">
        <f t="shared" ref="R1415" si="2119">IF(R1413=0,0,VLOOKUP(J1415,J1418:S1448,R1413,FALSE))</f>
        <v>4.264393321330379E-3</v>
      </c>
      <c r="S1415" s="6">
        <f t="shared" ref="S1415" si="2120">IF(S1413=0,0,VLOOKUP(J1415,J1418:S1448,S1413,FALSE))</f>
        <v>0.12130005131484363</v>
      </c>
      <c r="T1415" s="9"/>
      <c r="U1415" s="1">
        <f t="shared" si="2036"/>
        <v>33</v>
      </c>
      <c r="V1415" s="1">
        <f t="shared" si="2037"/>
        <v>206</v>
      </c>
    </row>
    <row r="1416" spans="1:22" x14ac:dyDescent="0.3">
      <c r="A1416" s="1">
        <f t="shared" si="2087"/>
        <v>33207</v>
      </c>
      <c r="B1416" s="96" t="s">
        <v>16</v>
      </c>
      <c r="C1416" s="97"/>
      <c r="D1416" s="101">
        <v>44768</v>
      </c>
      <c r="E1416" s="102"/>
      <c r="F1416" s="102"/>
      <c r="G1416" s="102"/>
      <c r="H1416" s="103"/>
      <c r="J1416" s="24" t="str">
        <f t="shared" ref="J1416" si="2121">CONCATENATE(J1413,3)</f>
        <v>53</v>
      </c>
      <c r="K1416" s="6"/>
      <c r="L1416" s="6"/>
      <c r="M1416" s="6"/>
      <c r="N1416" s="6" t="s">
        <v>43</v>
      </c>
      <c r="O1416" s="25">
        <f t="shared" ref="O1416" si="2122">J1413-2</f>
        <v>3</v>
      </c>
      <c r="P1416" s="6" t="s">
        <v>44</v>
      </c>
      <c r="Q1416" s="25">
        <f t="shared" ref="Q1416" si="2123">VLOOKUP(J1416,J1418:S1448,3,FALSE)</f>
        <v>0.14099380650473137</v>
      </c>
      <c r="R1416" s="6" t="s">
        <v>45</v>
      </c>
      <c r="S1416" s="6">
        <f t="shared" ref="S1416" si="2124">VLOOKUP(J1416,J1418:S1448,2,FALSE)</f>
        <v>0.99999557760988378</v>
      </c>
      <c r="T1416" s="9"/>
      <c r="U1416" s="1">
        <f t="shared" si="2036"/>
        <v>33</v>
      </c>
      <c r="V1416" s="1">
        <f t="shared" si="2037"/>
        <v>207</v>
      </c>
    </row>
    <row r="1417" spans="1:22" x14ac:dyDescent="0.3">
      <c r="A1417" s="1">
        <f t="shared" si="2087"/>
        <v>33208</v>
      </c>
      <c r="B1417" s="96" t="s">
        <v>17</v>
      </c>
      <c r="C1417" s="97"/>
      <c r="D1417" s="104">
        <v>45839</v>
      </c>
      <c r="E1417" s="105"/>
      <c r="F1417" s="105"/>
      <c r="G1417" s="105"/>
      <c r="H1417" s="106"/>
      <c r="K1417" s="1">
        <v>3</v>
      </c>
      <c r="L1417" s="1">
        <v>3</v>
      </c>
      <c r="Q1417" s="26"/>
      <c r="R1417" s="26"/>
      <c r="S1417" s="26"/>
      <c r="T1417" s="9"/>
      <c r="U1417" s="1">
        <f t="shared" si="2036"/>
        <v>33</v>
      </c>
      <c r="V1417" s="1">
        <f t="shared" si="2037"/>
        <v>208</v>
      </c>
    </row>
    <row r="1418" spans="1:22" x14ac:dyDescent="0.3">
      <c r="A1418" s="1">
        <f t="shared" si="2087"/>
        <v>33209</v>
      </c>
      <c r="B1418" s="77" t="s">
        <v>19</v>
      </c>
      <c r="C1418" s="78"/>
      <c r="D1418" s="17">
        <v>1E-3</v>
      </c>
      <c r="E1418" s="79" t="s">
        <v>40</v>
      </c>
      <c r="F1418" s="80"/>
      <c r="G1418" s="81"/>
      <c r="H1418" s="18" t="s">
        <v>69</v>
      </c>
      <c r="J1418" s="24" t="str">
        <f t="shared" ref="J1418" si="2125">CONCATENATE(K1417,1)</f>
        <v>31</v>
      </c>
      <c r="K1418" s="6">
        <f t="array" ref="K1418:L1420">LINEST(B1426:B1428,C1426:C1428^{1},TRUE,TRUE)</f>
        <v>1.0023612707358038</v>
      </c>
      <c r="L1418" s="6">
        <v>6.8060029908437514E-2</v>
      </c>
      <c r="Q1418" s="9"/>
      <c r="R1418" s="9"/>
      <c r="S1418" s="9"/>
      <c r="T1418" s="9"/>
      <c r="U1418" s="1">
        <f t="shared" si="2036"/>
        <v>33</v>
      </c>
      <c r="V1418" s="1">
        <f t="shared" si="2037"/>
        <v>209</v>
      </c>
    </row>
    <row r="1419" spans="1:22" x14ac:dyDescent="0.3">
      <c r="A1419" s="1">
        <f t="shared" si="2087"/>
        <v>33210</v>
      </c>
      <c r="B1419" s="77" t="s">
        <v>41</v>
      </c>
      <c r="C1419" s="78"/>
      <c r="D1419" s="23">
        <f t="shared" ref="D1419" si="2126">MIN(B1426:B1435)</f>
        <v>-65.641000000000005</v>
      </c>
      <c r="E1419" s="20" t="s">
        <v>18</v>
      </c>
      <c r="F1419" s="19">
        <f t="shared" ref="F1419" si="2127">MAX(B1426:B1435)</f>
        <v>20.03</v>
      </c>
      <c r="G1419" s="21" t="str">
        <f t="shared" ref="G1419" si="2128">IF(H1418="","",H1418)</f>
        <v>°CTd</v>
      </c>
      <c r="H1419" s="22"/>
      <c r="J1419" s="24" t="str">
        <f t="shared" ref="J1419" si="2129">CONCATENATE(K1417,2)</f>
        <v>32</v>
      </c>
      <c r="K1419" s="6">
        <v>8.3054693858027073E-4</v>
      </c>
      <c r="L1419" s="6">
        <v>3.813015339218364E-2</v>
      </c>
      <c r="Q1419" s="9"/>
      <c r="R1419" s="9"/>
      <c r="S1419" s="9"/>
      <c r="T1419" s="9"/>
      <c r="U1419" s="1">
        <f t="shared" si="2036"/>
        <v>33</v>
      </c>
      <c r="V1419" s="1">
        <f t="shared" si="2037"/>
        <v>210</v>
      </c>
    </row>
    <row r="1420" spans="1:22" x14ac:dyDescent="0.3">
      <c r="A1420" s="1">
        <f t="shared" si="2087"/>
        <v>33211</v>
      </c>
      <c r="J1420" s="24" t="str">
        <f t="shared" ref="J1420" si="2130">CONCATENATE(K1417,3)</f>
        <v>33</v>
      </c>
      <c r="K1420" s="6">
        <v>0.99999931343839998</v>
      </c>
      <c r="L1420" s="6">
        <v>2.6825358525687903E-2</v>
      </c>
      <c r="Q1420" s="9"/>
      <c r="R1420" s="9"/>
      <c r="S1420" s="9"/>
      <c r="T1420" s="9"/>
      <c r="U1420" s="1">
        <f t="shared" si="2036"/>
        <v>33</v>
      </c>
      <c r="V1420" s="1">
        <f t="shared" si="2037"/>
        <v>211</v>
      </c>
    </row>
    <row r="1421" spans="1:22" x14ac:dyDescent="0.3">
      <c r="A1421" s="1">
        <f t="shared" si="2087"/>
        <v>33212</v>
      </c>
      <c r="B1421" s="82" t="s">
        <v>20</v>
      </c>
      <c r="C1421" s="83"/>
      <c r="D1421" s="83"/>
      <c r="E1421" s="83"/>
      <c r="F1421" s="84"/>
      <c r="G1421" s="85" t="s">
        <v>31</v>
      </c>
      <c r="H1421" s="86"/>
      <c r="K1421" s="1">
        <v>4</v>
      </c>
      <c r="L1421" s="1">
        <v>4</v>
      </c>
      <c r="M1421" s="1">
        <v>4</v>
      </c>
      <c r="Q1421" s="9"/>
      <c r="R1421" s="9"/>
      <c r="S1421" s="9"/>
      <c r="T1421" s="9"/>
      <c r="U1421" s="1">
        <f t="shared" si="2036"/>
        <v>33</v>
      </c>
      <c r="V1421" s="1">
        <f t="shared" si="2037"/>
        <v>212</v>
      </c>
    </row>
    <row r="1422" spans="1:22" x14ac:dyDescent="0.3">
      <c r="A1422" s="1">
        <f t="shared" si="2087"/>
        <v>33213</v>
      </c>
      <c r="B1422" s="82" t="s">
        <v>30</v>
      </c>
      <c r="C1422" s="83"/>
      <c r="D1422" s="84"/>
      <c r="E1422" s="82" t="str">
        <f t="shared" ref="E1422" si="2131">D1415</f>
        <v>ICH.0058.22</v>
      </c>
      <c r="F1422" s="84"/>
      <c r="G1422" s="6" t="s">
        <v>32</v>
      </c>
      <c r="H1422" s="40" t="s">
        <v>77</v>
      </c>
      <c r="J1422" s="24" t="str">
        <f t="shared" ref="J1422" si="2132">CONCATENATE(K1421,1)</f>
        <v>41</v>
      </c>
      <c r="K1422" s="6">
        <f t="array" ref="K1422:M1424">LINEST(B1426:B1429,C1426:C1429^{1,2},TRUE,TRUE)</f>
        <v>-1.2878662168613664E-4</v>
      </c>
      <c r="L1422" s="6">
        <v>0.99035133769036643</v>
      </c>
      <c r="M1422" s="6">
        <v>-0.1716720901838405</v>
      </c>
      <c r="Q1422" s="9"/>
      <c r="R1422" s="9"/>
      <c r="S1422" s="9"/>
      <c r="T1422" s="9"/>
      <c r="U1422" s="1">
        <f t="shared" si="2036"/>
        <v>33</v>
      </c>
      <c r="V1422" s="1">
        <f t="shared" si="2037"/>
        <v>213</v>
      </c>
    </row>
    <row r="1423" spans="1:22" x14ac:dyDescent="0.3">
      <c r="A1423" s="1">
        <f t="shared" si="2087"/>
        <v>33214</v>
      </c>
      <c r="B1423" s="2" t="s">
        <v>21</v>
      </c>
      <c r="C1423" s="2" t="s">
        <v>22</v>
      </c>
      <c r="D1423" s="2" t="s">
        <v>23</v>
      </c>
      <c r="E1423" s="2"/>
      <c r="F1423" s="2" t="s">
        <v>28</v>
      </c>
      <c r="G1423" s="2" t="s">
        <v>21</v>
      </c>
      <c r="H1423" s="2" t="s">
        <v>22</v>
      </c>
      <c r="J1423" s="24" t="str">
        <f t="shared" ref="J1423" si="2133">CONCATENATE(K1421,2)</f>
        <v>42</v>
      </c>
      <c r="K1423" s="6">
        <v>9.1668175093665075E-5</v>
      </c>
      <c r="L1423" s="6">
        <v>6.3141716632447919E-3</v>
      </c>
      <c r="M1423" s="6">
        <v>8.5562050214510035E-2</v>
      </c>
      <c r="Q1423" s="9"/>
      <c r="R1423" s="9"/>
      <c r="S1423" s="9"/>
      <c r="T1423" s="9"/>
      <c r="U1423" s="1">
        <f t="shared" si="2036"/>
        <v>33</v>
      </c>
      <c r="V1423" s="1">
        <f t="shared" si="2037"/>
        <v>214</v>
      </c>
    </row>
    <row r="1424" spans="1:22" x14ac:dyDescent="0.3">
      <c r="A1424" s="1">
        <f t="shared" si="2087"/>
        <v>33215</v>
      </c>
      <c r="B1424" s="2" t="s">
        <v>24</v>
      </c>
      <c r="C1424" s="2" t="s">
        <v>25</v>
      </c>
      <c r="D1424" s="2" t="s">
        <v>26</v>
      </c>
      <c r="E1424" s="2" t="s">
        <v>27</v>
      </c>
      <c r="F1424" s="2" t="s">
        <v>29</v>
      </c>
      <c r="G1424" s="2" t="s">
        <v>24</v>
      </c>
      <c r="H1424" s="2" t="s">
        <v>25</v>
      </c>
      <c r="J1424" s="24" t="str">
        <f t="shared" ref="J1424" si="2134">CONCATENATE(K1421,3)</f>
        <v>43</v>
      </c>
      <c r="K1424" s="6">
        <v>0.99999663330956723</v>
      </c>
      <c r="L1424" s="6">
        <v>8.9378745187287834E-2</v>
      </c>
      <c r="M1424" s="6" t="e">
        <v>#N/A</v>
      </c>
      <c r="Q1424" s="9"/>
      <c r="R1424" s="9"/>
      <c r="S1424" s="9"/>
      <c r="T1424" s="9"/>
      <c r="U1424" s="1">
        <f t="shared" si="2036"/>
        <v>33</v>
      </c>
      <c r="V1424" s="1">
        <f t="shared" si="2037"/>
        <v>215</v>
      </c>
    </row>
    <row r="1425" spans="1:22" x14ac:dyDescent="0.3">
      <c r="A1425" s="1">
        <f t="shared" si="2087"/>
        <v>33216</v>
      </c>
      <c r="B1425" s="3" t="str">
        <f t="shared" ref="B1425" si="2135">H1418</f>
        <v>°CTd</v>
      </c>
      <c r="C1425" s="3" t="str">
        <f t="shared" ref="C1425" si="2136">B1425</f>
        <v>°CTd</v>
      </c>
      <c r="D1425" s="3" t="str">
        <f t="shared" ref="D1425" si="2137">C1425</f>
        <v>°CTd</v>
      </c>
      <c r="E1425" s="3"/>
      <c r="F1425" s="3"/>
      <c r="G1425" s="3" t="str">
        <f t="shared" ref="G1425" si="2138">D1425</f>
        <v>°CTd</v>
      </c>
      <c r="H1425" s="3" t="str">
        <f t="shared" ref="H1425" si="2139">G1425</f>
        <v>°CTd</v>
      </c>
      <c r="K1425" s="1">
        <v>5</v>
      </c>
      <c r="L1425" s="1">
        <v>5</v>
      </c>
      <c r="M1425" s="1">
        <v>5</v>
      </c>
      <c r="N1425" s="1">
        <v>5</v>
      </c>
      <c r="Q1425" s="9"/>
      <c r="R1425" s="9"/>
      <c r="S1425" s="9"/>
      <c r="T1425" s="9"/>
      <c r="U1425" s="1">
        <f t="shared" si="2036"/>
        <v>33</v>
      </c>
      <c r="V1425" s="1">
        <f t="shared" si="2037"/>
        <v>216</v>
      </c>
    </row>
    <row r="1426" spans="1:22" x14ac:dyDescent="0.3">
      <c r="A1426" s="1">
        <f t="shared" si="2087"/>
        <v>33217</v>
      </c>
      <c r="B1426" s="4">
        <v>-65.641000000000005</v>
      </c>
      <c r="C1426" s="4">
        <v>-65.563999999999993</v>
      </c>
      <c r="D1426" s="4">
        <v>4.1000000000000002E-2</v>
      </c>
      <c r="E1426" s="4">
        <v>2</v>
      </c>
      <c r="F1426" s="14">
        <v>1000000</v>
      </c>
      <c r="G1426" s="4">
        <v>-60.35</v>
      </c>
      <c r="H1426" s="4">
        <v>-60.42</v>
      </c>
      <c r="J1426" s="24" t="str">
        <f t="shared" ref="J1426" si="2140">CONCATENATE(K1425,1)</f>
        <v>51</v>
      </c>
      <c r="K1426" s="6">
        <f t="array" ref="K1426:N1428">LINEST(B1426:B1430,C1426:C1430^{1,2,3},TRUE,TRUE)</f>
        <v>3.1535707161766998E-6</v>
      </c>
      <c r="L1426" s="6">
        <v>2.2139756301785802E-4</v>
      </c>
      <c r="M1426" s="6">
        <v>1.0004207578206086</v>
      </c>
      <c r="N1426" s="6">
        <v>-0.12417231514128241</v>
      </c>
      <c r="Q1426" s="9"/>
      <c r="R1426" s="9"/>
      <c r="S1426" s="9"/>
      <c r="T1426" s="9"/>
      <c r="U1426" s="1">
        <f t="shared" si="2036"/>
        <v>33</v>
      </c>
      <c r="V1426" s="1">
        <f t="shared" si="2037"/>
        <v>217</v>
      </c>
    </row>
    <row r="1427" spans="1:22" x14ac:dyDescent="0.3">
      <c r="A1427" s="1">
        <f t="shared" si="2087"/>
        <v>33218</v>
      </c>
      <c r="B1427" s="4">
        <v>-40.366</v>
      </c>
      <c r="C1427" s="4">
        <v>-40.317</v>
      </c>
      <c r="D1427" s="4">
        <v>4.7E-2</v>
      </c>
      <c r="E1427" s="4">
        <v>2</v>
      </c>
      <c r="F1427" s="14">
        <v>1000000</v>
      </c>
      <c r="G1427" s="4">
        <v>-40.04</v>
      </c>
      <c r="H1427" s="4">
        <v>-40.090000000000003</v>
      </c>
      <c r="J1427" s="24" t="str">
        <f t="shared" ref="J1427" si="2141">CONCATENATE(K1425,2)</f>
        <v>52</v>
      </c>
      <c r="K1427" s="6">
        <v>3.8746486281672983E-6</v>
      </c>
      <c r="L1427" s="6">
        <v>2.7731926476786908E-4</v>
      </c>
      <c r="M1427" s="6">
        <v>4.264393321330379E-3</v>
      </c>
      <c r="N1427" s="6">
        <v>0.12130005131484363</v>
      </c>
      <c r="T1427" s="9"/>
      <c r="U1427" s="1">
        <f t="shared" si="2036"/>
        <v>33</v>
      </c>
      <c r="V1427" s="1">
        <f t="shared" si="2037"/>
        <v>218</v>
      </c>
    </row>
    <row r="1428" spans="1:22" x14ac:dyDescent="0.3">
      <c r="A1428" s="1">
        <f t="shared" si="2087"/>
        <v>33219</v>
      </c>
      <c r="B1428" s="4">
        <v>-19.942</v>
      </c>
      <c r="C1428" s="4">
        <v>-19.975000000000001</v>
      </c>
      <c r="D1428" s="4">
        <v>6.6000000000000003E-2</v>
      </c>
      <c r="E1428" s="4">
        <v>2</v>
      </c>
      <c r="F1428" s="14">
        <v>1000000</v>
      </c>
      <c r="G1428" s="4">
        <v>-19.89</v>
      </c>
      <c r="H1428" s="4">
        <v>-19.91</v>
      </c>
      <c r="J1428" s="24" t="str">
        <f t="shared" ref="J1428" si="2142">CONCATENATE(K1425,3)</f>
        <v>53</v>
      </c>
      <c r="K1428" s="6">
        <v>0.99999557760988378</v>
      </c>
      <c r="L1428" s="6">
        <v>0.14099380650473137</v>
      </c>
      <c r="M1428" s="6" t="e">
        <v>#N/A</v>
      </c>
      <c r="N1428" s="6" t="e">
        <v>#N/A</v>
      </c>
      <c r="T1428" s="9"/>
      <c r="U1428" s="1">
        <f t="shared" si="2036"/>
        <v>33</v>
      </c>
      <c r="V1428" s="1">
        <f t="shared" si="2037"/>
        <v>219</v>
      </c>
    </row>
    <row r="1429" spans="1:22" x14ac:dyDescent="0.3">
      <c r="A1429" s="1">
        <f t="shared" si="2087"/>
        <v>33220</v>
      </c>
      <c r="B1429" s="4">
        <v>4.3999999999999997E-2</v>
      </c>
      <c r="C1429" s="4">
        <v>0.24</v>
      </c>
      <c r="D1429" s="4">
        <v>0.12</v>
      </c>
      <c r="E1429" s="4">
        <v>2</v>
      </c>
      <c r="F1429" s="14">
        <v>1000000</v>
      </c>
      <c r="G1429" s="4">
        <v>0.41</v>
      </c>
      <c r="H1429" s="4">
        <v>0.39</v>
      </c>
      <c r="K1429" s="1">
        <v>6</v>
      </c>
      <c r="L1429" s="1">
        <v>6</v>
      </c>
      <c r="M1429" s="1">
        <v>6</v>
      </c>
      <c r="N1429" s="1">
        <v>6</v>
      </c>
      <c r="O1429" s="1">
        <v>6</v>
      </c>
      <c r="T1429" s="9"/>
      <c r="U1429" s="1">
        <f t="shared" si="2036"/>
        <v>33</v>
      </c>
      <c r="V1429" s="1">
        <f t="shared" si="2037"/>
        <v>220</v>
      </c>
    </row>
    <row r="1430" spans="1:22" x14ac:dyDescent="0.3">
      <c r="A1430" s="1">
        <f t="shared" si="2087"/>
        <v>33221</v>
      </c>
      <c r="B1430" s="4">
        <v>20.03</v>
      </c>
      <c r="C1430" s="4">
        <v>20.013000000000002</v>
      </c>
      <c r="D1430" s="4">
        <v>9.1999999999999998E-2</v>
      </c>
      <c r="E1430" s="4">
        <v>2</v>
      </c>
      <c r="F1430" s="14">
        <v>1000000</v>
      </c>
      <c r="G1430" s="4">
        <v>19.52</v>
      </c>
      <c r="H1430" s="4">
        <v>19.559999999999999</v>
      </c>
      <c r="J1430" s="24" t="str">
        <f t="shared" ref="J1430" si="2143">CONCATENATE(K1429,1)</f>
        <v>61</v>
      </c>
      <c r="K1430" s="6" t="e">
        <f t="array" ref="K1430:O1432">LINEST(B1426:B1431,C1426:C1431^{1,2,3,4},TRUE,TRUE)</f>
        <v>#VALUE!</v>
      </c>
      <c r="L1430" s="6" t="e">
        <v>#VALUE!</v>
      </c>
      <c r="M1430" s="6" t="e">
        <v>#VALUE!</v>
      </c>
      <c r="N1430" s="6" t="e">
        <v>#VALUE!</v>
      </c>
      <c r="O1430" s="6" t="e">
        <v>#VALUE!</v>
      </c>
      <c r="T1430" s="9"/>
      <c r="U1430" s="1">
        <f t="shared" si="2036"/>
        <v>33</v>
      </c>
      <c r="V1430" s="1">
        <f t="shared" si="2037"/>
        <v>221</v>
      </c>
    </row>
    <row r="1431" spans="1:22" x14ac:dyDescent="0.3">
      <c r="A1431" s="1">
        <f t="shared" si="2087"/>
        <v>33222</v>
      </c>
      <c r="B1431" s="4"/>
      <c r="C1431" s="4"/>
      <c r="D1431" s="4"/>
      <c r="E1431" s="4"/>
      <c r="F1431" s="14"/>
      <c r="G1431" s="8"/>
      <c r="H1431" s="7"/>
      <c r="J1431" s="24" t="str">
        <f t="shared" ref="J1431" si="2144">CONCATENATE(K1429,2)</f>
        <v>62</v>
      </c>
      <c r="K1431" s="6" t="e">
        <v>#VALUE!</v>
      </c>
      <c r="L1431" s="6" t="e">
        <v>#VALUE!</v>
      </c>
      <c r="M1431" s="6" t="e">
        <v>#VALUE!</v>
      </c>
      <c r="N1431" s="6" t="e">
        <v>#VALUE!</v>
      </c>
      <c r="O1431" s="6" t="e">
        <v>#VALUE!</v>
      </c>
      <c r="T1431" s="9"/>
      <c r="U1431" s="1">
        <f t="shared" si="2036"/>
        <v>33</v>
      </c>
      <c r="V1431" s="1">
        <f t="shared" si="2037"/>
        <v>222</v>
      </c>
    </row>
    <row r="1432" spans="1:22" x14ac:dyDescent="0.3">
      <c r="A1432" s="1">
        <f t="shared" si="2087"/>
        <v>33223</v>
      </c>
      <c r="B1432" s="4"/>
      <c r="C1432" s="4"/>
      <c r="D1432" s="4"/>
      <c r="E1432" s="4"/>
      <c r="F1432" s="14"/>
      <c r="G1432" s="8"/>
      <c r="H1432" s="7"/>
      <c r="J1432" s="24" t="str">
        <f t="shared" ref="J1432" si="2145">CONCATENATE(K1429,3)</f>
        <v>63</v>
      </c>
      <c r="K1432" s="6" t="e">
        <v>#VALUE!</v>
      </c>
      <c r="L1432" s="6" t="e">
        <v>#VALUE!</v>
      </c>
      <c r="M1432" s="6" t="e">
        <v>#VALUE!</v>
      </c>
      <c r="N1432" s="6" t="e">
        <v>#VALUE!</v>
      </c>
      <c r="O1432" s="6" t="e">
        <v>#VALUE!</v>
      </c>
      <c r="T1432" s="9"/>
      <c r="U1432" s="1">
        <f t="shared" si="2036"/>
        <v>33</v>
      </c>
      <c r="V1432" s="1">
        <f t="shared" si="2037"/>
        <v>223</v>
      </c>
    </row>
    <row r="1433" spans="1:22" x14ac:dyDescent="0.3">
      <c r="A1433" s="1">
        <f t="shared" si="2087"/>
        <v>33224</v>
      </c>
      <c r="B1433" s="4"/>
      <c r="C1433" s="4"/>
      <c r="D1433" s="4"/>
      <c r="E1433" s="4"/>
      <c r="F1433" s="14"/>
      <c r="G1433" s="8"/>
      <c r="H1433" s="7"/>
      <c r="K1433" s="1">
        <v>7</v>
      </c>
      <c r="L1433" s="1">
        <v>7</v>
      </c>
      <c r="M1433" s="1">
        <v>7</v>
      </c>
      <c r="N1433" s="1">
        <v>7</v>
      </c>
      <c r="O1433" s="1">
        <v>7</v>
      </c>
      <c r="P1433" s="1">
        <v>7</v>
      </c>
      <c r="T1433" s="9"/>
      <c r="U1433" s="1">
        <f t="shared" si="2036"/>
        <v>33</v>
      </c>
      <c r="V1433" s="1">
        <f t="shared" si="2037"/>
        <v>224</v>
      </c>
    </row>
    <row r="1434" spans="1:22" x14ac:dyDescent="0.3">
      <c r="A1434" s="1">
        <f t="shared" si="2087"/>
        <v>33225</v>
      </c>
      <c r="B1434" s="4"/>
      <c r="C1434" s="4"/>
      <c r="D1434" s="4"/>
      <c r="E1434" s="4"/>
      <c r="F1434" s="14"/>
      <c r="G1434" s="8"/>
      <c r="H1434" s="7"/>
      <c r="J1434" s="24" t="str">
        <f t="shared" ref="J1434" si="2146">CONCATENATE(K1433,1)</f>
        <v>71</v>
      </c>
      <c r="K1434" s="6" t="e">
        <f t="array" ref="K1434:P1436">LINEST(B1426:B1432,C1426:C1432^{1,2,3,4,5},TRUE,TRUE)</f>
        <v>#VALUE!</v>
      </c>
      <c r="L1434" s="6" t="e">
        <v>#VALUE!</v>
      </c>
      <c r="M1434" s="6" t="e">
        <v>#VALUE!</v>
      </c>
      <c r="N1434" s="6" t="e">
        <v>#VALUE!</v>
      </c>
      <c r="O1434" s="6" t="e">
        <v>#VALUE!</v>
      </c>
      <c r="P1434" s="6" t="e">
        <v>#VALUE!</v>
      </c>
      <c r="T1434" s="9"/>
      <c r="U1434" s="1">
        <f t="shared" si="2036"/>
        <v>33</v>
      </c>
      <c r="V1434" s="1">
        <f t="shared" si="2037"/>
        <v>225</v>
      </c>
    </row>
    <row r="1435" spans="1:22" x14ac:dyDescent="0.3">
      <c r="A1435" s="1">
        <f t="shared" si="2087"/>
        <v>33226</v>
      </c>
      <c r="B1435" s="4"/>
      <c r="C1435" s="4"/>
      <c r="D1435" s="4"/>
      <c r="E1435" s="4"/>
      <c r="F1435" s="14"/>
      <c r="G1435" s="8"/>
      <c r="H1435" s="7"/>
      <c r="J1435" s="24" t="str">
        <f t="shared" ref="J1435" si="2147">CONCATENATE(K1433,2)</f>
        <v>72</v>
      </c>
      <c r="K1435" s="6" t="e">
        <v>#VALUE!</v>
      </c>
      <c r="L1435" s="6" t="e">
        <v>#VALUE!</v>
      </c>
      <c r="M1435" s="6" t="e">
        <v>#VALUE!</v>
      </c>
      <c r="N1435" s="6" t="e">
        <v>#VALUE!</v>
      </c>
      <c r="O1435" s="6" t="e">
        <v>#VALUE!</v>
      </c>
      <c r="P1435" s="6" t="e">
        <v>#VALUE!</v>
      </c>
      <c r="T1435" s="9"/>
      <c r="U1435" s="1">
        <f t="shared" ref="U1435:U1496" si="2148">U1434</f>
        <v>33</v>
      </c>
      <c r="V1435" s="1">
        <f t="shared" ref="V1435:V1496" si="2149">V1434+1</f>
        <v>226</v>
      </c>
    </row>
    <row r="1436" spans="1:22" x14ac:dyDescent="0.3">
      <c r="A1436" s="1">
        <f t="shared" si="2087"/>
        <v>33227</v>
      </c>
      <c r="B1436" s="9"/>
      <c r="C1436" s="9"/>
      <c r="D1436" s="9"/>
      <c r="E1436" s="9"/>
      <c r="F1436" s="9"/>
      <c r="G1436" s="9"/>
      <c r="H1436" s="9"/>
      <c r="J1436" s="24" t="str">
        <f t="shared" ref="J1436" si="2150">CONCATENATE(K1433,3)</f>
        <v>73</v>
      </c>
      <c r="K1436" s="6" t="e">
        <v>#VALUE!</v>
      </c>
      <c r="L1436" s="6" t="e">
        <v>#VALUE!</v>
      </c>
      <c r="M1436" s="6" t="e">
        <v>#VALUE!</v>
      </c>
      <c r="N1436" s="6" t="e">
        <v>#VALUE!</v>
      </c>
      <c r="O1436" s="6" t="e">
        <v>#VALUE!</v>
      </c>
      <c r="P1436" s="6" t="e">
        <v>#VALUE!</v>
      </c>
      <c r="T1436" s="9"/>
      <c r="U1436" s="1">
        <f t="shared" si="2148"/>
        <v>33</v>
      </c>
      <c r="V1436" s="1">
        <f t="shared" si="2149"/>
        <v>227</v>
      </c>
    </row>
    <row r="1437" spans="1:22" x14ac:dyDescent="0.3">
      <c r="A1437" s="1">
        <f t="shared" si="2087"/>
        <v>33228</v>
      </c>
      <c r="B1437" s="87" t="s">
        <v>33</v>
      </c>
      <c r="C1437" s="88"/>
      <c r="D1437" s="88"/>
      <c r="E1437" s="88"/>
      <c r="F1437" s="88"/>
      <c r="G1437" s="88"/>
      <c r="H1437" s="89"/>
      <c r="K1437" s="1">
        <v>8</v>
      </c>
      <c r="L1437" s="1">
        <v>8</v>
      </c>
      <c r="M1437" s="1">
        <v>8</v>
      </c>
      <c r="N1437" s="1">
        <v>8</v>
      </c>
      <c r="O1437" s="1">
        <v>8</v>
      </c>
      <c r="P1437" s="1">
        <v>8</v>
      </c>
      <c r="Q1437" s="1">
        <v>8</v>
      </c>
      <c r="T1437" s="9"/>
      <c r="U1437" s="1">
        <f t="shared" si="2148"/>
        <v>33</v>
      </c>
      <c r="V1437" s="1">
        <f t="shared" si="2149"/>
        <v>228</v>
      </c>
    </row>
    <row r="1438" spans="1:22" x14ac:dyDescent="0.3">
      <c r="A1438" s="1">
        <f t="shared" si="2087"/>
        <v>33229</v>
      </c>
      <c r="B1438" s="90"/>
      <c r="C1438" s="91"/>
      <c r="D1438" s="91"/>
      <c r="E1438" s="91"/>
      <c r="F1438" s="91"/>
      <c r="G1438" s="91"/>
      <c r="H1438" s="92"/>
      <c r="J1438" s="24" t="str">
        <f t="shared" ref="J1438" si="2151">CONCATENATE(K1437,1)</f>
        <v>81</v>
      </c>
      <c r="K1438" s="6" t="e">
        <f t="array" ref="K1438:Q1440">LINEST(B1426:B1433,C1426:C1433^{1,2,3,4,5,6},TRUE,TRUE)</f>
        <v>#VALUE!</v>
      </c>
      <c r="L1438" s="6" t="e">
        <v>#VALUE!</v>
      </c>
      <c r="M1438" s="6" t="e">
        <v>#VALUE!</v>
      </c>
      <c r="N1438" s="6" t="e">
        <v>#VALUE!</v>
      </c>
      <c r="O1438" s="6" t="e">
        <v>#VALUE!</v>
      </c>
      <c r="P1438" s="6" t="e">
        <v>#VALUE!</v>
      </c>
      <c r="Q1438" s="6" t="e">
        <v>#VALUE!</v>
      </c>
      <c r="T1438" s="9"/>
      <c r="U1438" s="1">
        <f t="shared" si="2148"/>
        <v>33</v>
      </c>
      <c r="V1438" s="1">
        <f t="shared" si="2149"/>
        <v>229</v>
      </c>
    </row>
    <row r="1439" spans="1:22" x14ac:dyDescent="0.3">
      <c r="A1439" s="1">
        <f t="shared" si="2087"/>
        <v>33230</v>
      </c>
      <c r="B1439" s="93"/>
      <c r="C1439" s="94"/>
      <c r="D1439" s="94"/>
      <c r="E1439" s="94"/>
      <c r="F1439" s="94"/>
      <c r="G1439" s="94"/>
      <c r="H1439" s="95"/>
      <c r="J1439" s="24" t="str">
        <f t="shared" ref="J1439" si="2152">CONCATENATE(K1437,2)</f>
        <v>82</v>
      </c>
      <c r="K1439" s="6" t="e">
        <v>#VALUE!</v>
      </c>
      <c r="L1439" s="6" t="e">
        <v>#VALUE!</v>
      </c>
      <c r="M1439" s="6" t="e">
        <v>#VALUE!</v>
      </c>
      <c r="N1439" s="6" t="e">
        <v>#VALUE!</v>
      </c>
      <c r="O1439" s="6" t="e">
        <v>#VALUE!</v>
      </c>
      <c r="P1439" s="6" t="e">
        <v>#VALUE!</v>
      </c>
      <c r="Q1439" s="6" t="e">
        <v>#VALUE!</v>
      </c>
      <c r="T1439" s="9"/>
      <c r="U1439" s="1">
        <f t="shared" si="2148"/>
        <v>33</v>
      </c>
      <c r="V1439" s="1">
        <f t="shared" si="2149"/>
        <v>230</v>
      </c>
    </row>
    <row r="1440" spans="1:22" x14ac:dyDescent="0.3">
      <c r="A1440" s="1">
        <f t="shared" si="2087"/>
        <v>33231</v>
      </c>
      <c r="J1440" s="24" t="str">
        <f t="shared" ref="J1440" si="2153">CONCATENATE(K1437,3)</f>
        <v>83</v>
      </c>
      <c r="K1440" s="6" t="e">
        <v>#VALUE!</v>
      </c>
      <c r="L1440" s="6" t="e">
        <v>#VALUE!</v>
      </c>
      <c r="M1440" s="6" t="e">
        <v>#VALUE!</v>
      </c>
      <c r="N1440" s="6" t="e">
        <v>#VALUE!</v>
      </c>
      <c r="O1440" s="6" t="e">
        <v>#VALUE!</v>
      </c>
      <c r="P1440" s="6" t="e">
        <v>#VALUE!</v>
      </c>
      <c r="Q1440" s="6" t="e">
        <v>#VALUE!</v>
      </c>
      <c r="T1440" s="9"/>
      <c r="U1440" s="1">
        <f t="shared" si="2148"/>
        <v>33</v>
      </c>
      <c r="V1440" s="1">
        <f t="shared" si="2149"/>
        <v>231</v>
      </c>
    </row>
    <row r="1441" spans="1:22" ht="15" customHeight="1" x14ac:dyDescent="0.3">
      <c r="A1441" s="1">
        <f t="shared" si="2087"/>
        <v>33232</v>
      </c>
      <c r="B1441" s="10" t="s">
        <v>34</v>
      </c>
      <c r="C1441" s="10" t="s">
        <v>35</v>
      </c>
      <c r="D1441" s="10" t="s">
        <v>36</v>
      </c>
      <c r="E1441" s="74" t="s">
        <v>37</v>
      </c>
      <c r="F1441" s="75"/>
      <c r="G1441" s="76"/>
      <c r="K1441" s="1">
        <v>9</v>
      </c>
      <c r="L1441" s="1">
        <v>9</v>
      </c>
      <c r="M1441" s="1">
        <v>9</v>
      </c>
      <c r="N1441" s="1">
        <v>9</v>
      </c>
      <c r="O1441" s="1">
        <v>9</v>
      </c>
      <c r="P1441" s="1">
        <v>9</v>
      </c>
      <c r="Q1441" s="1">
        <v>9</v>
      </c>
      <c r="R1441" s="1">
        <v>9</v>
      </c>
      <c r="T1441" s="9"/>
      <c r="U1441" s="1">
        <f t="shared" si="2148"/>
        <v>33</v>
      </c>
      <c r="V1441" s="1">
        <f t="shared" si="2149"/>
        <v>232</v>
      </c>
    </row>
    <row r="1442" spans="1:22" x14ac:dyDescent="0.3">
      <c r="A1442" s="1">
        <f t="shared" si="2087"/>
        <v>33233</v>
      </c>
      <c r="B1442" s="12">
        <f t="shared" ref="B1442:B1451" si="2154">C1426-B1426</f>
        <v>7.7000000000012392E-2</v>
      </c>
      <c r="C1442" s="13">
        <f t="shared" ref="C1442:C1451" si="2155">H1426-G1426</f>
        <v>-7.0000000000000284E-2</v>
      </c>
      <c r="D1442" s="10">
        <f t="shared" ref="D1442:D1451" si="2156">C1442-B1442</f>
        <v>-0.14700000000001268</v>
      </c>
      <c r="E1442" s="11">
        <f t="shared" ref="E1442" si="2157">IF(D1417="","",MAX(F1442,G1442))</f>
        <v>0.21599999999999997</v>
      </c>
      <c r="F1442" s="10">
        <f t="shared" ref="F1442" si="2158">ABS(MIN(D1442:D1451))</f>
        <v>0.21599999999999997</v>
      </c>
      <c r="G1442" s="10">
        <f t="shared" ref="G1442" si="2159">ABS(MAX(D1442:D1451))</f>
        <v>5.6999999999998607E-2</v>
      </c>
      <c r="J1442" s="24" t="str">
        <f t="shared" ref="J1442" si="2160">CONCATENATE(K1441,1)</f>
        <v>91</v>
      </c>
      <c r="K1442" s="6" t="e">
        <f t="array" ref="K1442:R1444">LINEST(B1426:B1434,C1426:C1434^{1,2,3,4,5,6,7},TRUE,TRUE)</f>
        <v>#VALUE!</v>
      </c>
      <c r="L1442" s="6" t="e">
        <v>#VALUE!</v>
      </c>
      <c r="M1442" s="6" t="e">
        <v>#VALUE!</v>
      </c>
      <c r="N1442" s="6" t="e">
        <v>#VALUE!</v>
      </c>
      <c r="O1442" s="6" t="e">
        <v>#VALUE!</v>
      </c>
      <c r="P1442" s="6" t="e">
        <v>#VALUE!</v>
      </c>
      <c r="Q1442" s="6" t="e">
        <v>#VALUE!</v>
      </c>
      <c r="R1442" s="6" t="e">
        <v>#VALUE!</v>
      </c>
      <c r="T1442" s="9"/>
      <c r="U1442" s="1">
        <f t="shared" si="2148"/>
        <v>33</v>
      </c>
      <c r="V1442" s="1">
        <f t="shared" si="2149"/>
        <v>233</v>
      </c>
    </row>
    <row r="1443" spans="1:22" x14ac:dyDescent="0.3">
      <c r="A1443" s="1">
        <f t="shared" si="2087"/>
        <v>33234</v>
      </c>
      <c r="B1443" s="12">
        <f t="shared" si="2154"/>
        <v>4.8999999999999488E-2</v>
      </c>
      <c r="C1443" s="13">
        <f t="shared" si="2155"/>
        <v>-5.0000000000004263E-2</v>
      </c>
      <c r="D1443" s="10">
        <f t="shared" si="2156"/>
        <v>-9.9000000000003752E-2</v>
      </c>
      <c r="E1443" s="74" t="s">
        <v>38</v>
      </c>
      <c r="F1443" s="75"/>
      <c r="G1443" s="76"/>
      <c r="J1443" s="24" t="str">
        <f t="shared" ref="J1443" si="2161">CONCATENATE(K1441,2)</f>
        <v>92</v>
      </c>
      <c r="K1443" s="6" t="e">
        <v>#VALUE!</v>
      </c>
      <c r="L1443" s="6" t="e">
        <v>#VALUE!</v>
      </c>
      <c r="M1443" s="6" t="e">
        <v>#VALUE!</v>
      </c>
      <c r="N1443" s="6" t="e">
        <v>#VALUE!</v>
      </c>
      <c r="O1443" s="6" t="e">
        <v>#VALUE!</v>
      </c>
      <c r="P1443" s="6" t="e">
        <v>#VALUE!</v>
      </c>
      <c r="Q1443" s="6" t="e">
        <v>#VALUE!</v>
      </c>
      <c r="R1443" s="6" t="e">
        <v>#VALUE!</v>
      </c>
      <c r="T1443" s="9"/>
      <c r="U1443" s="1">
        <f t="shared" si="2148"/>
        <v>33</v>
      </c>
      <c r="V1443" s="1">
        <f t="shared" si="2149"/>
        <v>234</v>
      </c>
    </row>
    <row r="1444" spans="1:22" x14ac:dyDescent="0.3">
      <c r="A1444" s="1">
        <f t="shared" si="2087"/>
        <v>33235</v>
      </c>
      <c r="B1444" s="12">
        <f t="shared" si="2154"/>
        <v>-3.3000000000001251E-2</v>
      </c>
      <c r="C1444" s="13">
        <f t="shared" si="2155"/>
        <v>-1.9999999999999574E-2</v>
      </c>
      <c r="D1444" s="10">
        <f t="shared" si="2156"/>
        <v>1.3000000000001677E-2</v>
      </c>
      <c r="E1444" s="11">
        <f t="shared" ref="E1444" si="2162">IF(D1417="","",MAX(F1444,G1444))</f>
        <v>0.19600000000000001</v>
      </c>
      <c r="F1444" s="10">
        <f t="shared" ref="F1444" si="2163">ABS(MIN(B1442:B1451))</f>
        <v>3.3000000000001251E-2</v>
      </c>
      <c r="G1444" s="10">
        <f t="shared" ref="G1444" si="2164">ABS(MAX(B1442:B1451))</f>
        <v>0.19600000000000001</v>
      </c>
      <c r="J1444" s="24" t="str">
        <f t="shared" ref="J1444" si="2165">CONCATENATE(K1441,3)</f>
        <v>93</v>
      </c>
      <c r="K1444" s="6" t="e">
        <v>#VALUE!</v>
      </c>
      <c r="L1444" s="6" t="e">
        <v>#VALUE!</v>
      </c>
      <c r="M1444" s="6" t="e">
        <v>#VALUE!</v>
      </c>
      <c r="N1444" s="6" t="e">
        <v>#VALUE!</v>
      </c>
      <c r="O1444" s="6" t="e">
        <v>#VALUE!</v>
      </c>
      <c r="P1444" s="6" t="e">
        <v>#VALUE!</v>
      </c>
      <c r="Q1444" s="6" t="e">
        <v>#VALUE!</v>
      </c>
      <c r="R1444" s="6" t="e">
        <v>#VALUE!</v>
      </c>
      <c r="T1444" s="9"/>
      <c r="U1444" s="1">
        <f t="shared" si="2148"/>
        <v>33</v>
      </c>
      <c r="V1444" s="1">
        <f t="shared" si="2149"/>
        <v>235</v>
      </c>
    </row>
    <row r="1445" spans="1:22" x14ac:dyDescent="0.3">
      <c r="A1445" s="1">
        <f t="shared" si="2087"/>
        <v>33236</v>
      </c>
      <c r="B1445" s="12">
        <f t="shared" si="2154"/>
        <v>0.19600000000000001</v>
      </c>
      <c r="C1445" s="13">
        <f t="shared" si="2155"/>
        <v>-1.9999999999999962E-2</v>
      </c>
      <c r="D1445" s="10">
        <f t="shared" si="2156"/>
        <v>-0.21599999999999997</v>
      </c>
      <c r="E1445" s="74" t="s">
        <v>39</v>
      </c>
      <c r="F1445" s="75"/>
      <c r="G1445" s="76"/>
      <c r="K1445" s="1">
        <v>10</v>
      </c>
      <c r="L1445" s="1">
        <v>10</v>
      </c>
      <c r="M1445" s="1">
        <v>10</v>
      </c>
      <c r="N1445" s="1">
        <v>10</v>
      </c>
      <c r="O1445" s="1">
        <v>10</v>
      </c>
      <c r="P1445" s="1">
        <v>10</v>
      </c>
      <c r="Q1445" s="1">
        <v>10</v>
      </c>
      <c r="R1445" s="1">
        <v>10</v>
      </c>
      <c r="S1445" s="1">
        <v>10</v>
      </c>
      <c r="T1445" s="9"/>
      <c r="U1445" s="1">
        <f t="shared" si="2148"/>
        <v>33</v>
      </c>
      <c r="V1445" s="1">
        <f t="shared" si="2149"/>
        <v>236</v>
      </c>
    </row>
    <row r="1446" spans="1:22" x14ac:dyDescent="0.3">
      <c r="A1446" s="1">
        <f t="shared" si="2087"/>
        <v>33237</v>
      </c>
      <c r="B1446" s="12">
        <f t="shared" si="2154"/>
        <v>-1.699999999999946E-2</v>
      </c>
      <c r="C1446" s="13">
        <f t="shared" si="2155"/>
        <v>3.9999999999999147E-2</v>
      </c>
      <c r="D1446" s="10">
        <f t="shared" si="2156"/>
        <v>5.6999999999998607E-2</v>
      </c>
      <c r="E1446" s="11">
        <f t="shared" ref="E1446" si="2166">IF(D1417="","",MAX(F1446,G1446))</f>
        <v>0.12</v>
      </c>
      <c r="F1446" s="10">
        <f t="shared" ref="F1446" si="2167">ABS(MIN(D1426:D1435))</f>
        <v>4.1000000000000002E-2</v>
      </c>
      <c r="G1446" s="10">
        <f t="shared" ref="G1446" si="2168">ABS(MAX(D1426:D1435))</f>
        <v>0.12</v>
      </c>
      <c r="J1446" s="24" t="str">
        <f t="shared" ref="J1446" si="2169">CONCATENATE(K1445,1)</f>
        <v>101</v>
      </c>
      <c r="K1446" s="6" t="e">
        <f t="array" ref="K1446:S1448">LINEST(B1426:B1435,C1426:C1435^{1,2,3,4,5,6,7,8},TRUE,TRUE)</f>
        <v>#VALUE!</v>
      </c>
      <c r="L1446" s="6" t="e">
        <v>#VALUE!</v>
      </c>
      <c r="M1446" s="6" t="e">
        <v>#VALUE!</v>
      </c>
      <c r="N1446" s="6" t="e">
        <v>#VALUE!</v>
      </c>
      <c r="O1446" s="6" t="e">
        <v>#VALUE!</v>
      </c>
      <c r="P1446" s="6" t="e">
        <v>#VALUE!</v>
      </c>
      <c r="Q1446" s="6" t="e">
        <v>#VALUE!</v>
      </c>
      <c r="R1446" s="6" t="e">
        <v>#VALUE!</v>
      </c>
      <c r="S1446" s="6" t="e">
        <v>#VALUE!</v>
      </c>
      <c r="T1446" s="9"/>
      <c r="U1446" s="1">
        <f t="shared" si="2148"/>
        <v>33</v>
      </c>
      <c r="V1446" s="1">
        <f t="shared" si="2149"/>
        <v>237</v>
      </c>
    </row>
    <row r="1447" spans="1:22" x14ac:dyDescent="0.3">
      <c r="A1447" s="1">
        <f t="shared" si="2087"/>
        <v>33238</v>
      </c>
      <c r="B1447" s="12">
        <f t="shared" si="2154"/>
        <v>0</v>
      </c>
      <c r="C1447" s="13">
        <f t="shared" si="2155"/>
        <v>0</v>
      </c>
      <c r="D1447" s="10">
        <f t="shared" si="2156"/>
        <v>0</v>
      </c>
      <c r="J1447" s="24" t="str">
        <f t="shared" ref="J1447" si="2170">CONCATENATE(K1445,2)</f>
        <v>102</v>
      </c>
      <c r="K1447" s="6" t="e">
        <v>#VALUE!</v>
      </c>
      <c r="L1447" s="6" t="e">
        <v>#VALUE!</v>
      </c>
      <c r="M1447" s="6" t="e">
        <v>#VALUE!</v>
      </c>
      <c r="N1447" s="6" t="e">
        <v>#VALUE!</v>
      </c>
      <c r="O1447" s="6" t="e">
        <v>#VALUE!</v>
      </c>
      <c r="P1447" s="6" t="e">
        <v>#VALUE!</v>
      </c>
      <c r="Q1447" s="6" t="e">
        <v>#VALUE!</v>
      </c>
      <c r="R1447" s="6" t="e">
        <v>#VALUE!</v>
      </c>
      <c r="S1447" s="6" t="e">
        <v>#VALUE!</v>
      </c>
      <c r="T1447" s="9"/>
      <c r="U1447" s="1">
        <f t="shared" si="2148"/>
        <v>33</v>
      </c>
      <c r="V1447" s="1">
        <f t="shared" si="2149"/>
        <v>238</v>
      </c>
    </row>
    <row r="1448" spans="1:22" x14ac:dyDescent="0.3">
      <c r="A1448" s="1">
        <f t="shared" si="2087"/>
        <v>33239</v>
      </c>
      <c r="B1448" s="12">
        <f t="shared" si="2154"/>
        <v>0</v>
      </c>
      <c r="C1448" s="13">
        <f t="shared" si="2155"/>
        <v>0</v>
      </c>
      <c r="D1448" s="10">
        <f t="shared" si="2156"/>
        <v>0</v>
      </c>
      <c r="J1448" s="24" t="str">
        <f t="shared" ref="J1448" si="2171">CONCATENATE(K1445,3)</f>
        <v>103</v>
      </c>
      <c r="K1448" s="6" t="e">
        <v>#VALUE!</v>
      </c>
      <c r="L1448" s="6" t="e">
        <v>#VALUE!</v>
      </c>
      <c r="M1448" s="6" t="e">
        <v>#VALUE!</v>
      </c>
      <c r="N1448" s="6" t="e">
        <v>#VALUE!</v>
      </c>
      <c r="O1448" s="6" t="e">
        <v>#VALUE!</v>
      </c>
      <c r="P1448" s="6" t="e">
        <v>#VALUE!</v>
      </c>
      <c r="Q1448" s="6" t="e">
        <v>#VALUE!</v>
      </c>
      <c r="R1448" s="6" t="e">
        <v>#VALUE!</v>
      </c>
      <c r="S1448" s="6" t="e">
        <v>#VALUE!</v>
      </c>
      <c r="T1448" s="9"/>
      <c r="U1448" s="1">
        <f t="shared" si="2148"/>
        <v>33</v>
      </c>
      <c r="V1448" s="1">
        <f t="shared" si="2149"/>
        <v>239</v>
      </c>
    </row>
    <row r="1449" spans="1:22" x14ac:dyDescent="0.3">
      <c r="A1449" s="1">
        <f t="shared" si="2087"/>
        <v>33240</v>
      </c>
      <c r="B1449" s="12">
        <f t="shared" si="2154"/>
        <v>0</v>
      </c>
      <c r="C1449" s="13">
        <f t="shared" si="2155"/>
        <v>0</v>
      </c>
      <c r="D1449" s="10">
        <f t="shared" si="2156"/>
        <v>0</v>
      </c>
      <c r="J1449" s="9"/>
      <c r="K1449" s="9"/>
      <c r="L1449" s="9"/>
      <c r="M1449" s="9"/>
      <c r="N1449" s="9"/>
      <c r="O1449" s="9"/>
      <c r="P1449" s="9"/>
      <c r="Q1449" s="9"/>
      <c r="R1449" s="9"/>
      <c r="S1449" s="9"/>
      <c r="T1449" s="9"/>
      <c r="U1449" s="1">
        <f t="shared" si="2148"/>
        <v>33</v>
      </c>
      <c r="V1449" s="1">
        <f t="shared" si="2149"/>
        <v>240</v>
      </c>
    </row>
    <row r="1450" spans="1:22" x14ac:dyDescent="0.3">
      <c r="A1450" s="1">
        <f t="shared" si="2087"/>
        <v>33241</v>
      </c>
      <c r="B1450" s="12">
        <f t="shared" si="2154"/>
        <v>0</v>
      </c>
      <c r="C1450" s="13">
        <f t="shared" si="2155"/>
        <v>0</v>
      </c>
      <c r="D1450" s="10">
        <f t="shared" si="2156"/>
        <v>0</v>
      </c>
      <c r="J1450" s="9"/>
      <c r="K1450" s="9"/>
      <c r="L1450" s="9"/>
      <c r="M1450" s="9"/>
      <c r="N1450" s="9"/>
      <c r="O1450" s="9"/>
      <c r="P1450" s="9"/>
      <c r="Q1450" s="9"/>
      <c r="R1450" s="9"/>
      <c r="S1450" s="9"/>
      <c r="T1450" s="9"/>
      <c r="U1450" s="1">
        <f t="shared" si="2148"/>
        <v>33</v>
      </c>
      <c r="V1450" s="1">
        <f t="shared" si="2149"/>
        <v>241</v>
      </c>
    </row>
    <row r="1451" spans="1:22" x14ac:dyDescent="0.3">
      <c r="A1451" s="1">
        <f t="shared" si="2087"/>
        <v>33242</v>
      </c>
      <c r="B1451" s="12">
        <f t="shared" si="2154"/>
        <v>0</v>
      </c>
      <c r="C1451" s="13">
        <f t="shared" si="2155"/>
        <v>0</v>
      </c>
      <c r="D1451" s="10">
        <f t="shared" si="2156"/>
        <v>0</v>
      </c>
      <c r="J1451" s="9"/>
      <c r="K1451" s="9"/>
      <c r="L1451" s="9"/>
      <c r="M1451" s="9"/>
      <c r="N1451" s="9"/>
      <c r="O1451" s="9"/>
      <c r="P1451" s="9"/>
      <c r="Q1451" s="9"/>
      <c r="R1451" s="9"/>
      <c r="S1451" s="9"/>
      <c r="T1451" s="9"/>
      <c r="U1451" s="1">
        <f t="shared" si="2148"/>
        <v>33</v>
      </c>
      <c r="V1451" s="1">
        <f t="shared" si="2149"/>
        <v>242</v>
      </c>
    </row>
    <row r="1452" spans="1:22" x14ac:dyDescent="0.3">
      <c r="A1452" s="1">
        <f t="shared" si="2087"/>
        <v>33243</v>
      </c>
      <c r="J1452" s="9"/>
      <c r="K1452" s="9"/>
      <c r="L1452" s="9"/>
      <c r="M1452" s="9"/>
      <c r="N1452" s="9"/>
      <c r="O1452" s="9"/>
      <c r="P1452" s="9"/>
      <c r="Q1452" s="9"/>
      <c r="R1452" s="9"/>
      <c r="S1452" s="9"/>
      <c r="T1452" s="9"/>
      <c r="U1452" s="1">
        <f t="shared" si="2148"/>
        <v>33</v>
      </c>
      <c r="V1452" s="1">
        <f t="shared" si="2149"/>
        <v>243</v>
      </c>
    </row>
    <row r="1453" spans="1:22" s="5" customFormat="1" x14ac:dyDescent="0.3"/>
    <row r="1454" spans="1:22" x14ac:dyDescent="0.3">
      <c r="A1454" s="1">
        <f t="shared" ref="A1454:A1496" si="2172">ROUND(CONCATENATE(U1454,V1454),0)</f>
        <v>34201</v>
      </c>
      <c r="B1454" s="96" t="s">
        <v>0</v>
      </c>
      <c r="C1454" s="97"/>
      <c r="D1454" s="98" t="s">
        <v>46</v>
      </c>
      <c r="E1454" s="99"/>
      <c r="F1454" s="99"/>
      <c r="G1454" s="99"/>
      <c r="H1454" s="100"/>
      <c r="J1454" s="9"/>
      <c r="K1454" s="9"/>
      <c r="L1454" s="9"/>
      <c r="M1454" s="9"/>
      <c r="N1454" s="9"/>
      <c r="O1454" s="9"/>
      <c r="P1454" s="9"/>
      <c r="Q1454" s="9"/>
      <c r="R1454" s="9"/>
      <c r="S1454" s="9"/>
      <c r="T1454" s="9"/>
      <c r="U1454" s="1">
        <f t="shared" ref="U1454" si="2173">U1452+1</f>
        <v>34</v>
      </c>
      <c r="V1454" s="1">
        <v>201</v>
      </c>
    </row>
    <row r="1455" spans="1:22" x14ac:dyDescent="0.3">
      <c r="A1455" s="1">
        <f t="shared" si="2172"/>
        <v>34202</v>
      </c>
      <c r="B1455" s="96" t="s">
        <v>1</v>
      </c>
      <c r="C1455" s="97"/>
      <c r="D1455" s="15">
        <v>20</v>
      </c>
      <c r="E1455" s="16" t="s">
        <v>2</v>
      </c>
      <c r="F1455" s="107"/>
      <c r="G1455" s="108"/>
      <c r="H1455" s="109"/>
      <c r="J1455" s="9"/>
      <c r="K1455" s="9"/>
      <c r="L1455" s="9"/>
      <c r="M1455" s="9"/>
      <c r="N1455" s="9"/>
      <c r="O1455" s="9"/>
      <c r="P1455" s="9"/>
      <c r="Q1455" s="9"/>
      <c r="R1455" s="9"/>
      <c r="S1455" s="9"/>
      <c r="T1455" s="9"/>
      <c r="U1455" s="1">
        <f t="shared" ref="U1455" si="2174">U1454</f>
        <v>34</v>
      </c>
      <c r="V1455" s="1">
        <f t="shared" ref="V1455" si="2175">V1454+1</f>
        <v>202</v>
      </c>
    </row>
    <row r="1456" spans="1:22" x14ac:dyDescent="0.3">
      <c r="A1456" s="1">
        <f t="shared" si="2172"/>
        <v>34203</v>
      </c>
      <c r="B1456" s="96" t="s">
        <v>12</v>
      </c>
      <c r="C1456" s="97"/>
      <c r="D1456" s="110" t="s">
        <v>334</v>
      </c>
      <c r="E1456" s="111"/>
      <c r="F1456" s="111"/>
      <c r="G1456" s="111"/>
      <c r="H1456" s="112"/>
      <c r="K1456" s="1" t="s">
        <v>3</v>
      </c>
      <c r="L1456" s="1" t="s">
        <v>4</v>
      </c>
      <c r="M1456" s="1" t="s">
        <v>5</v>
      </c>
      <c r="N1456" s="1" t="s">
        <v>6</v>
      </c>
      <c r="O1456" s="1" t="s">
        <v>7</v>
      </c>
      <c r="P1456" s="1" t="s">
        <v>8</v>
      </c>
      <c r="Q1456" s="1" t="s">
        <v>9</v>
      </c>
      <c r="R1456" s="1" t="s">
        <v>10</v>
      </c>
      <c r="S1456" s="1" t="s">
        <v>11</v>
      </c>
      <c r="T1456" s="9"/>
      <c r="U1456" s="1">
        <f t="shared" si="2148"/>
        <v>34</v>
      </c>
      <c r="V1456" s="1">
        <f t="shared" si="2149"/>
        <v>203</v>
      </c>
    </row>
    <row r="1457" spans="1:22" x14ac:dyDescent="0.3">
      <c r="A1457" s="1">
        <f t="shared" si="2172"/>
        <v>34204</v>
      </c>
      <c r="B1457" s="96" t="s">
        <v>13</v>
      </c>
      <c r="C1457" s="97"/>
      <c r="D1457" s="110" t="s">
        <v>65</v>
      </c>
      <c r="E1457" s="111"/>
      <c r="F1457" s="111"/>
      <c r="G1457" s="111"/>
      <c r="H1457" s="112"/>
      <c r="J1457" s="1">
        <f t="shared" ref="J1457" si="2176">COUNTA(B1470:B1479)</f>
        <v>4</v>
      </c>
      <c r="K1457" s="1">
        <f t="shared" ref="K1457" si="2177">IF(L1457-1&lt;2,0,L1457-1)</f>
        <v>0</v>
      </c>
      <c r="L1457" s="1">
        <f t="shared" ref="L1457" si="2178">IF(M1457-1&lt;2,0,M1457-1)</f>
        <v>0</v>
      </c>
      <c r="M1457" s="1">
        <f t="shared" ref="M1457" si="2179">IF(N1457-1&lt;2,0,N1457-1)</f>
        <v>0</v>
      </c>
      <c r="N1457" s="1">
        <f t="shared" ref="N1457" si="2180">IF(O1457-1&lt;2,0,O1457-1)</f>
        <v>0</v>
      </c>
      <c r="O1457" s="1">
        <f t="shared" ref="O1457" si="2181">IF(P1457-1&lt;2,0,P1457-1)</f>
        <v>0</v>
      </c>
      <c r="P1457" s="1">
        <f t="shared" ref="P1457" si="2182">IF(Q1457-1&lt;2,0,Q1457-1)</f>
        <v>0</v>
      </c>
      <c r="Q1457" s="1">
        <f t="shared" ref="Q1457" si="2183">IF(R1457-1&lt;2,0,R1457-1)</f>
        <v>2</v>
      </c>
      <c r="R1457" s="1">
        <f t="shared" ref="R1457" si="2184">IF(S1457-1&lt;2,0,S1457-1)</f>
        <v>3</v>
      </c>
      <c r="S1457" s="1">
        <f t="shared" ref="S1457" si="2185">J1457</f>
        <v>4</v>
      </c>
      <c r="T1457" s="9"/>
      <c r="U1457" s="1">
        <f t="shared" si="2148"/>
        <v>34</v>
      </c>
      <c r="V1457" s="1">
        <f t="shared" si="2149"/>
        <v>204</v>
      </c>
    </row>
    <row r="1458" spans="1:22" x14ac:dyDescent="0.3">
      <c r="A1458" s="1">
        <f t="shared" si="2172"/>
        <v>34205</v>
      </c>
      <c r="B1458" s="96" t="s">
        <v>14</v>
      </c>
      <c r="C1458" s="97"/>
      <c r="D1458" s="110" t="s">
        <v>66</v>
      </c>
      <c r="E1458" s="111"/>
      <c r="F1458" s="111"/>
      <c r="G1458" s="111"/>
      <c r="H1458" s="112"/>
      <c r="J1458" s="24" t="str">
        <f t="shared" ref="J1458" si="2186">CONCATENATE(J1457,1)</f>
        <v>41</v>
      </c>
      <c r="K1458" s="25">
        <f t="shared" ref="K1458" si="2187">IF(K1457=0,0,VLOOKUP(J1458,J1462:S1492,K1457,FALSE))</f>
        <v>0</v>
      </c>
      <c r="L1458" s="25">
        <f t="shared" ref="L1458" si="2188">IF(L1457=0,0,VLOOKUP(J1458,J1462:S1492,L1457,FALSE))</f>
        <v>0</v>
      </c>
      <c r="M1458" s="25">
        <f t="shared" ref="M1458" si="2189">IF(M1457=0,0,VLOOKUP(J1458,J1462:S1492,M1457,FALSE))</f>
        <v>0</v>
      </c>
      <c r="N1458" s="25">
        <f t="shared" ref="N1458" si="2190">IF(N1457=0,0,VLOOKUP(J1458,J1462:S1492,N1457,FALSE))</f>
        <v>0</v>
      </c>
      <c r="O1458" s="25">
        <f t="shared" ref="O1458" si="2191">IF(O1457=0,0,VLOOKUP(J1458,J1462:S1492,O1457,FALSE))</f>
        <v>0</v>
      </c>
      <c r="P1458" s="25">
        <f t="shared" ref="P1458" si="2192">IF(P1457=0,0,VLOOKUP(J1458,J1462:S1492,P1457,FALSE))</f>
        <v>0</v>
      </c>
      <c r="Q1458" s="25">
        <f t="shared" ref="Q1458" si="2193">IF(Q1457=0,0,VLOOKUP(J1458,J1462:S1492,Q1457,FALSE))</f>
        <v>-4.4823338802087399E-3</v>
      </c>
      <c r="R1458" s="25">
        <f t="shared" ref="R1458" si="2194">IF(R1457=0,0,VLOOKUP(J1458,J1462:S1492,R1457,FALSE))</f>
        <v>1.5799945823558579</v>
      </c>
      <c r="S1458" s="25">
        <f t="shared" ref="S1458" si="2195">IF(S1457=0,0,VLOOKUP(J1458,J1462:S1492,S1457,FALSE))</f>
        <v>-12.969686747726893</v>
      </c>
      <c r="T1458" s="9"/>
      <c r="U1458" s="1">
        <f t="shared" si="2148"/>
        <v>34</v>
      </c>
      <c r="V1458" s="1">
        <f t="shared" si="2149"/>
        <v>205</v>
      </c>
    </row>
    <row r="1459" spans="1:22" x14ac:dyDescent="0.3">
      <c r="A1459" s="1">
        <f t="shared" si="2172"/>
        <v>34206</v>
      </c>
      <c r="B1459" s="96" t="s">
        <v>15</v>
      </c>
      <c r="C1459" s="97"/>
      <c r="D1459" s="110" t="s">
        <v>335</v>
      </c>
      <c r="E1459" s="111"/>
      <c r="F1459" s="111"/>
      <c r="G1459" s="111"/>
      <c r="H1459" s="112"/>
      <c r="J1459" s="24" t="str">
        <f t="shared" ref="J1459" si="2196">CONCATENATE(J1457,2)</f>
        <v>42</v>
      </c>
      <c r="K1459" s="6">
        <f t="shared" ref="K1459" si="2197">IF(K1457=0,0,VLOOKUP(J1459,J1462:S1492,K1457,FALSE))</f>
        <v>0</v>
      </c>
      <c r="L1459" s="6">
        <f t="shared" ref="L1459" si="2198">IF(L1457=0,0,VLOOKUP(J1459,J1462:S1492,L1457,FALSE))</f>
        <v>0</v>
      </c>
      <c r="M1459" s="6">
        <f t="shared" ref="M1459" si="2199">IF(M1457=0,0,VLOOKUP(J1459,J1462:S1492,M1457,FALSE))</f>
        <v>0</v>
      </c>
      <c r="N1459" s="6">
        <f t="shared" ref="N1459" si="2200">IF(N1457=0,0,VLOOKUP(J1459,J1462:S1492,N1457,FALSE))</f>
        <v>0</v>
      </c>
      <c r="O1459" s="6">
        <f t="shared" ref="O1459" si="2201">IF(O1457=0,0,VLOOKUP(J1459,J1462:S1492,O1457,FALSE))</f>
        <v>0</v>
      </c>
      <c r="P1459" s="6">
        <f t="shared" ref="P1459" si="2202">IF(P1457=0,0,VLOOKUP(J1459,J1462:S1492,P1457,FALSE))</f>
        <v>0</v>
      </c>
      <c r="Q1459" s="6">
        <f t="shared" ref="Q1459" si="2203">IF(Q1457=0,0,VLOOKUP(J1459,J1462:S1492,Q1457,FALSE))</f>
        <v>1.9390581494679285E-3</v>
      </c>
      <c r="R1459" s="6">
        <f t="shared" ref="R1459" si="2204">IF(R1457=0,0,VLOOKUP(J1459,J1462:S1492,R1457,FALSE))</f>
        <v>0.22798708736866924</v>
      </c>
      <c r="S1459" s="6">
        <f t="shared" ref="S1459" si="2205">IF(S1457=0,0,VLOOKUP(J1459,J1462:S1492,S1457,FALSE))</f>
        <v>6.0116762740961862</v>
      </c>
      <c r="T1459" s="9"/>
      <c r="U1459" s="1">
        <f t="shared" si="2148"/>
        <v>34</v>
      </c>
      <c r="V1459" s="1">
        <f t="shared" si="2149"/>
        <v>206</v>
      </c>
    </row>
    <row r="1460" spans="1:22" x14ac:dyDescent="0.3">
      <c r="A1460" s="1">
        <f t="shared" si="2172"/>
        <v>34207</v>
      </c>
      <c r="B1460" s="96" t="s">
        <v>16</v>
      </c>
      <c r="C1460" s="97"/>
      <c r="D1460" s="113">
        <v>45839</v>
      </c>
      <c r="E1460" s="114"/>
      <c r="F1460" s="114"/>
      <c r="G1460" s="114"/>
      <c r="H1460" s="115"/>
      <c r="J1460" s="24" t="str">
        <f t="shared" ref="J1460" si="2206">CONCATENATE(J1457,3)</f>
        <v>43</v>
      </c>
      <c r="K1460" s="6"/>
      <c r="L1460" s="6"/>
      <c r="M1460" s="6"/>
      <c r="N1460" s="6" t="s">
        <v>43</v>
      </c>
      <c r="O1460" s="25">
        <f t="shared" ref="O1460" si="2207">J1457-2</f>
        <v>2</v>
      </c>
      <c r="P1460" s="6" t="s">
        <v>44</v>
      </c>
      <c r="Q1460" s="25">
        <f t="shared" ref="Q1460" si="2208">VLOOKUP(J1460,J1462:S1492,3,FALSE)</f>
        <v>1.3186193956779038</v>
      </c>
      <c r="R1460" s="6" t="s">
        <v>45</v>
      </c>
      <c r="S1460" s="6">
        <f t="shared" ref="S1460" si="2209">VLOOKUP(J1460,J1462:S1492,2,FALSE)</f>
        <v>0.99913062144467102</v>
      </c>
      <c r="T1460" s="9"/>
      <c r="U1460" s="1">
        <f t="shared" si="2148"/>
        <v>34</v>
      </c>
      <c r="V1460" s="1">
        <f t="shared" si="2149"/>
        <v>207</v>
      </c>
    </row>
    <row r="1461" spans="1:22" x14ac:dyDescent="0.3">
      <c r="A1461" s="1">
        <f t="shared" si="2172"/>
        <v>34208</v>
      </c>
      <c r="B1461" s="96" t="s">
        <v>17</v>
      </c>
      <c r="C1461" s="97"/>
      <c r="D1461" s="116">
        <v>46233</v>
      </c>
      <c r="E1461" s="117"/>
      <c r="F1461" s="117"/>
      <c r="G1461" s="117"/>
      <c r="H1461" s="118"/>
      <c r="K1461" s="1">
        <v>3</v>
      </c>
      <c r="L1461" s="1">
        <v>3</v>
      </c>
      <c r="Q1461" s="26"/>
      <c r="R1461" s="26"/>
      <c r="S1461" s="26"/>
      <c r="T1461" s="9"/>
      <c r="U1461" s="1">
        <f t="shared" si="2148"/>
        <v>34</v>
      </c>
      <c r="V1461" s="1">
        <f t="shared" si="2149"/>
        <v>208</v>
      </c>
    </row>
    <row r="1462" spans="1:22" x14ac:dyDescent="0.3">
      <c r="A1462" s="1">
        <f t="shared" si="2172"/>
        <v>34209</v>
      </c>
      <c r="B1462" s="77" t="s">
        <v>19</v>
      </c>
      <c r="C1462" s="78"/>
      <c r="D1462" s="17">
        <v>1</v>
      </c>
      <c r="E1462" s="79" t="s">
        <v>40</v>
      </c>
      <c r="F1462" s="80"/>
      <c r="G1462" s="81"/>
      <c r="H1462" s="18" t="s">
        <v>72</v>
      </c>
      <c r="J1462" s="24" t="str">
        <f t="shared" ref="J1462" si="2210">CONCATENATE(K1461,1)</f>
        <v>31</v>
      </c>
      <c r="K1462" s="6">
        <f t="array" ref="K1462:L1464">LINEST(B1470:B1472,C1470:C1472^{1},TRUE,TRUE)</f>
        <v>1.1351351351351353</v>
      </c>
      <c r="L1462" s="6">
        <v>-2.9729729729729755</v>
      </c>
      <c r="Q1462" s="9"/>
      <c r="R1462" s="9"/>
      <c r="S1462" s="9"/>
      <c r="T1462" s="9"/>
      <c r="U1462" s="1">
        <f t="shared" si="2148"/>
        <v>34</v>
      </c>
      <c r="V1462" s="1">
        <f t="shared" si="2149"/>
        <v>209</v>
      </c>
    </row>
    <row r="1463" spans="1:22" x14ac:dyDescent="0.3">
      <c r="A1463" s="1">
        <f t="shared" si="2172"/>
        <v>34210</v>
      </c>
      <c r="B1463" s="77" t="s">
        <v>41</v>
      </c>
      <c r="C1463" s="78"/>
      <c r="D1463" s="23">
        <f t="shared" ref="D1463" si="2211">MIN(B1470:B1479)</f>
        <v>30</v>
      </c>
      <c r="E1463" s="20" t="s">
        <v>18</v>
      </c>
      <c r="F1463" s="19">
        <f t="shared" ref="F1463" si="2212">MAX(B1470:B1479)</f>
        <v>90</v>
      </c>
      <c r="G1463" s="21" t="str">
        <f t="shared" ref="G1463" si="2213">IF(H1462="","",H1462)</f>
        <v>%ur</v>
      </c>
      <c r="H1463" s="22"/>
      <c r="J1463" s="24" t="str">
        <f t="shared" ref="J1463" si="2214">CONCATENATE(K1461,2)</f>
        <v>32</v>
      </c>
      <c r="K1463" s="6">
        <v>9.3624367976696266E-2</v>
      </c>
      <c r="L1463" s="6">
        <v>4.5706850068345393</v>
      </c>
      <c r="Q1463" s="9"/>
      <c r="R1463" s="9"/>
      <c r="S1463" s="9"/>
      <c r="T1463" s="9"/>
      <c r="U1463" s="1">
        <f t="shared" si="2148"/>
        <v>34</v>
      </c>
      <c r="V1463" s="1">
        <f t="shared" si="2149"/>
        <v>210</v>
      </c>
    </row>
    <row r="1464" spans="1:22" x14ac:dyDescent="0.3">
      <c r="A1464" s="1">
        <f t="shared" si="2172"/>
        <v>34211</v>
      </c>
      <c r="J1464" s="24" t="str">
        <f t="shared" ref="J1464" si="2215">CONCATENATE(K1461,3)</f>
        <v>33</v>
      </c>
      <c r="K1464" s="6">
        <v>0.9932432432432432</v>
      </c>
      <c r="L1464" s="6">
        <v>2.3249527748763903</v>
      </c>
      <c r="Q1464" s="9"/>
      <c r="R1464" s="9"/>
      <c r="S1464" s="9"/>
      <c r="T1464" s="9"/>
      <c r="U1464" s="1">
        <f t="shared" si="2148"/>
        <v>34</v>
      </c>
      <c r="V1464" s="1">
        <f t="shared" si="2149"/>
        <v>211</v>
      </c>
    </row>
    <row r="1465" spans="1:22" x14ac:dyDescent="0.3">
      <c r="A1465" s="1">
        <f t="shared" si="2172"/>
        <v>34212</v>
      </c>
      <c r="B1465" s="82" t="s">
        <v>20</v>
      </c>
      <c r="C1465" s="83"/>
      <c r="D1465" s="83"/>
      <c r="E1465" s="83"/>
      <c r="F1465" s="84"/>
      <c r="G1465" s="85" t="s">
        <v>31</v>
      </c>
      <c r="H1465" s="86"/>
      <c r="K1465" s="1">
        <v>4</v>
      </c>
      <c r="L1465" s="1">
        <v>4</v>
      </c>
      <c r="M1465" s="1">
        <v>4</v>
      </c>
      <c r="Q1465" s="9"/>
      <c r="R1465" s="9"/>
      <c r="S1465" s="9"/>
      <c r="T1465" s="9"/>
      <c r="U1465" s="1">
        <f t="shared" si="2148"/>
        <v>34</v>
      </c>
      <c r="V1465" s="1">
        <f t="shared" si="2149"/>
        <v>212</v>
      </c>
    </row>
    <row r="1466" spans="1:22" x14ac:dyDescent="0.3">
      <c r="A1466" s="1">
        <f t="shared" si="2172"/>
        <v>34213</v>
      </c>
      <c r="B1466" s="82" t="s">
        <v>30</v>
      </c>
      <c r="C1466" s="83"/>
      <c r="D1466" s="84"/>
      <c r="E1466" s="82" t="str">
        <f t="shared" ref="E1466" si="2216">D1459</f>
        <v>E0440/25</v>
      </c>
      <c r="F1466" s="84"/>
      <c r="G1466" s="6" t="s">
        <v>32</v>
      </c>
      <c r="H1466" s="7" t="s">
        <v>245</v>
      </c>
      <c r="J1466" s="24" t="str">
        <f t="shared" ref="J1466" si="2217">CONCATENATE(K1465,1)</f>
        <v>41</v>
      </c>
      <c r="K1466" s="6">
        <f t="array" ref="K1466:M1468">LINEST(B1470:B1473,C1470:C1473^{1,2},TRUE,TRUE)</f>
        <v>-4.4823338802087399E-3</v>
      </c>
      <c r="L1466" s="6">
        <v>1.5799945823558579</v>
      </c>
      <c r="M1466" s="6">
        <v>-12.969686747726893</v>
      </c>
      <c r="Q1466" s="9"/>
      <c r="R1466" s="9"/>
      <c r="S1466" s="9"/>
      <c r="T1466" s="9"/>
      <c r="U1466" s="1">
        <f t="shared" si="2148"/>
        <v>34</v>
      </c>
      <c r="V1466" s="1">
        <f t="shared" si="2149"/>
        <v>213</v>
      </c>
    </row>
    <row r="1467" spans="1:22" x14ac:dyDescent="0.3">
      <c r="A1467" s="1">
        <f t="shared" si="2172"/>
        <v>34214</v>
      </c>
      <c r="B1467" s="2" t="s">
        <v>21</v>
      </c>
      <c r="C1467" s="2" t="s">
        <v>22</v>
      </c>
      <c r="D1467" s="2" t="s">
        <v>23</v>
      </c>
      <c r="E1467" s="2"/>
      <c r="F1467" s="2" t="s">
        <v>28</v>
      </c>
      <c r="G1467" s="2" t="s">
        <v>21</v>
      </c>
      <c r="H1467" s="2" t="s">
        <v>22</v>
      </c>
      <c r="J1467" s="24" t="str">
        <f t="shared" ref="J1467" si="2218">CONCATENATE(K1465,2)</f>
        <v>42</v>
      </c>
      <c r="K1467" s="6">
        <v>1.9390581494679285E-3</v>
      </c>
      <c r="L1467" s="6">
        <v>0.22798708736866924</v>
      </c>
      <c r="M1467" s="6">
        <v>6.0116762740961862</v>
      </c>
      <c r="Q1467" s="9"/>
      <c r="R1467" s="9"/>
      <c r="S1467" s="9"/>
      <c r="T1467" s="9"/>
      <c r="U1467" s="1">
        <f t="shared" si="2148"/>
        <v>34</v>
      </c>
      <c r="V1467" s="1">
        <f t="shared" si="2149"/>
        <v>214</v>
      </c>
    </row>
    <row r="1468" spans="1:22" x14ac:dyDescent="0.3">
      <c r="A1468" s="1">
        <f t="shared" si="2172"/>
        <v>34215</v>
      </c>
      <c r="B1468" s="2" t="s">
        <v>24</v>
      </c>
      <c r="C1468" s="2" t="s">
        <v>25</v>
      </c>
      <c r="D1468" s="2" t="s">
        <v>26</v>
      </c>
      <c r="E1468" s="2" t="s">
        <v>27</v>
      </c>
      <c r="F1468" s="2" t="s">
        <v>29</v>
      </c>
      <c r="G1468" s="2" t="s">
        <v>24</v>
      </c>
      <c r="H1468" s="2" t="s">
        <v>25</v>
      </c>
      <c r="J1468" s="24" t="str">
        <f t="shared" ref="J1468" si="2219">CONCATENATE(K1465,3)</f>
        <v>43</v>
      </c>
      <c r="K1468" s="6">
        <v>0.99913062144467102</v>
      </c>
      <c r="L1468" s="6">
        <v>1.3186193956779038</v>
      </c>
      <c r="M1468" s="6" t="e">
        <v>#N/A</v>
      </c>
      <c r="Q1468" s="9"/>
      <c r="R1468" s="9"/>
      <c r="S1468" s="9"/>
      <c r="T1468" s="9"/>
      <c r="U1468" s="1">
        <f t="shared" si="2148"/>
        <v>34</v>
      </c>
      <c r="V1468" s="1">
        <f t="shared" si="2149"/>
        <v>215</v>
      </c>
    </row>
    <row r="1469" spans="1:22" x14ac:dyDescent="0.3">
      <c r="A1469" s="1">
        <f t="shared" si="2172"/>
        <v>34216</v>
      </c>
      <c r="B1469" s="3" t="str">
        <f t="shared" ref="B1469" si="2220">H1462</f>
        <v>%ur</v>
      </c>
      <c r="C1469" s="3" t="str">
        <f t="shared" ref="C1469" si="2221">B1469</f>
        <v>%ur</v>
      </c>
      <c r="D1469" s="3" t="str">
        <f t="shared" ref="D1469" si="2222">C1469</f>
        <v>%ur</v>
      </c>
      <c r="E1469" s="3"/>
      <c r="F1469" s="3"/>
      <c r="G1469" s="3" t="str">
        <f t="shared" ref="G1469" si="2223">D1469</f>
        <v>%ur</v>
      </c>
      <c r="H1469" s="3" t="str">
        <f t="shared" ref="H1469" si="2224">G1469</f>
        <v>%ur</v>
      </c>
      <c r="K1469" s="1">
        <v>5</v>
      </c>
      <c r="L1469" s="1">
        <v>5</v>
      </c>
      <c r="M1469" s="1">
        <v>5</v>
      </c>
      <c r="N1469" s="1">
        <v>5</v>
      </c>
      <c r="Q1469" s="9"/>
      <c r="R1469" s="9"/>
      <c r="S1469" s="9"/>
      <c r="T1469" s="9"/>
      <c r="U1469" s="1">
        <f t="shared" si="2148"/>
        <v>34</v>
      </c>
      <c r="V1469" s="1">
        <f t="shared" si="2149"/>
        <v>216</v>
      </c>
    </row>
    <row r="1470" spans="1:22" x14ac:dyDescent="0.3">
      <c r="A1470" s="1">
        <f t="shared" si="2172"/>
        <v>34217</v>
      </c>
      <c r="B1470" s="4">
        <v>30</v>
      </c>
      <c r="C1470" s="4">
        <v>30</v>
      </c>
      <c r="D1470" s="4">
        <v>2</v>
      </c>
      <c r="E1470" s="4">
        <v>2</v>
      </c>
      <c r="F1470" s="4">
        <v>1000000</v>
      </c>
      <c r="G1470" s="8">
        <v>30</v>
      </c>
      <c r="H1470" s="7">
        <v>31</v>
      </c>
      <c r="J1470" s="24" t="str">
        <f t="shared" ref="J1470" si="2225">CONCATENATE(K1469,1)</f>
        <v>51</v>
      </c>
      <c r="K1470" s="6" t="e">
        <f t="array" ref="K1470:N1472">LINEST(B1470:B1474,C1470:C1474^{1,2,3},TRUE,TRUE)</f>
        <v>#VALUE!</v>
      </c>
      <c r="L1470" s="6" t="e">
        <v>#VALUE!</v>
      </c>
      <c r="M1470" s="6" t="e">
        <v>#VALUE!</v>
      </c>
      <c r="N1470" s="6" t="e">
        <v>#VALUE!</v>
      </c>
      <c r="Q1470" s="9"/>
      <c r="R1470" s="9"/>
      <c r="S1470" s="9"/>
      <c r="T1470" s="9"/>
      <c r="U1470" s="1">
        <f t="shared" si="2148"/>
        <v>34</v>
      </c>
      <c r="V1470" s="1">
        <f t="shared" si="2149"/>
        <v>217</v>
      </c>
    </row>
    <row r="1471" spans="1:22" x14ac:dyDescent="0.3">
      <c r="A1471" s="1">
        <f t="shared" si="2172"/>
        <v>34218</v>
      </c>
      <c r="B1471" s="4">
        <v>50</v>
      </c>
      <c r="C1471" s="4">
        <v>45</v>
      </c>
      <c r="D1471" s="4">
        <v>2</v>
      </c>
      <c r="E1471" s="4">
        <v>2</v>
      </c>
      <c r="F1471" s="4">
        <v>1000000</v>
      </c>
      <c r="G1471" s="8">
        <v>50</v>
      </c>
      <c r="H1471" s="7">
        <v>41</v>
      </c>
      <c r="J1471" s="24" t="str">
        <f t="shared" ref="J1471" si="2226">CONCATENATE(K1469,2)</f>
        <v>52</v>
      </c>
      <c r="K1471" s="6" t="e">
        <v>#VALUE!</v>
      </c>
      <c r="L1471" s="6" t="e">
        <v>#VALUE!</v>
      </c>
      <c r="M1471" s="6" t="e">
        <v>#VALUE!</v>
      </c>
      <c r="N1471" s="6" t="e">
        <v>#VALUE!</v>
      </c>
      <c r="T1471" s="9"/>
      <c r="U1471" s="1">
        <f t="shared" si="2148"/>
        <v>34</v>
      </c>
      <c r="V1471" s="1">
        <f t="shared" si="2149"/>
        <v>218</v>
      </c>
    </row>
    <row r="1472" spans="1:22" x14ac:dyDescent="0.3">
      <c r="A1472" s="1">
        <f t="shared" si="2172"/>
        <v>34219</v>
      </c>
      <c r="B1472" s="4">
        <v>70</v>
      </c>
      <c r="C1472" s="4">
        <v>65</v>
      </c>
      <c r="D1472" s="4">
        <v>2</v>
      </c>
      <c r="E1472" s="4">
        <v>2</v>
      </c>
      <c r="F1472" s="4">
        <v>1000000</v>
      </c>
      <c r="G1472" s="8">
        <v>70</v>
      </c>
      <c r="H1472" s="7">
        <v>56</v>
      </c>
      <c r="J1472" s="24" t="str">
        <f t="shared" ref="J1472" si="2227">CONCATENATE(K1469,3)</f>
        <v>53</v>
      </c>
      <c r="K1472" s="6" t="e">
        <v>#VALUE!</v>
      </c>
      <c r="L1472" s="6" t="e">
        <v>#VALUE!</v>
      </c>
      <c r="M1472" s="6" t="e">
        <v>#VALUE!</v>
      </c>
      <c r="N1472" s="6" t="e">
        <v>#VALUE!</v>
      </c>
      <c r="T1472" s="9"/>
      <c r="U1472" s="1">
        <f t="shared" si="2148"/>
        <v>34</v>
      </c>
      <c r="V1472" s="1">
        <f t="shared" si="2149"/>
        <v>219</v>
      </c>
    </row>
    <row r="1473" spans="1:22" x14ac:dyDescent="0.3">
      <c r="A1473" s="1">
        <f t="shared" si="2172"/>
        <v>34220</v>
      </c>
      <c r="B1473" s="4">
        <v>90</v>
      </c>
      <c r="C1473" s="4">
        <v>86</v>
      </c>
      <c r="D1473" s="4">
        <v>2</v>
      </c>
      <c r="E1473" s="4">
        <v>2</v>
      </c>
      <c r="F1473" s="4">
        <v>1000000</v>
      </c>
      <c r="G1473" s="8">
        <v>90</v>
      </c>
      <c r="H1473" s="7">
        <v>75</v>
      </c>
      <c r="K1473" s="1">
        <v>6</v>
      </c>
      <c r="L1473" s="1">
        <v>6</v>
      </c>
      <c r="M1473" s="1">
        <v>6</v>
      </c>
      <c r="N1473" s="1">
        <v>6</v>
      </c>
      <c r="O1473" s="1">
        <v>6</v>
      </c>
      <c r="T1473" s="9"/>
      <c r="U1473" s="1">
        <f t="shared" si="2148"/>
        <v>34</v>
      </c>
      <c r="V1473" s="1">
        <f t="shared" si="2149"/>
        <v>220</v>
      </c>
    </row>
    <row r="1474" spans="1:22" x14ac:dyDescent="0.3">
      <c r="A1474" s="1">
        <f t="shared" si="2172"/>
        <v>34221</v>
      </c>
      <c r="B1474" s="4"/>
      <c r="C1474" s="4"/>
      <c r="D1474" s="4"/>
      <c r="E1474" s="4"/>
      <c r="F1474" s="14"/>
      <c r="G1474" s="8"/>
      <c r="H1474" s="7"/>
      <c r="J1474" s="24" t="str">
        <f t="shared" ref="J1474" si="2228">CONCATENATE(K1473,1)</f>
        <v>61</v>
      </c>
      <c r="K1474" s="6" t="e">
        <f t="array" ref="K1474:O1476">LINEST(B1470:B1475,C1470:C1475^{1,2,3,4},TRUE,TRUE)</f>
        <v>#VALUE!</v>
      </c>
      <c r="L1474" s="6" t="e">
        <v>#VALUE!</v>
      </c>
      <c r="M1474" s="6" t="e">
        <v>#VALUE!</v>
      </c>
      <c r="N1474" s="6" t="e">
        <v>#VALUE!</v>
      </c>
      <c r="O1474" s="6" t="e">
        <v>#VALUE!</v>
      </c>
      <c r="T1474" s="9"/>
      <c r="U1474" s="1">
        <f t="shared" si="2148"/>
        <v>34</v>
      </c>
      <c r="V1474" s="1">
        <f t="shared" si="2149"/>
        <v>221</v>
      </c>
    </row>
    <row r="1475" spans="1:22" x14ac:dyDescent="0.3">
      <c r="A1475" s="1">
        <f t="shared" si="2172"/>
        <v>34222</v>
      </c>
      <c r="B1475" s="4"/>
      <c r="C1475" s="4"/>
      <c r="D1475" s="4"/>
      <c r="E1475" s="4"/>
      <c r="F1475" s="14"/>
      <c r="G1475" s="8"/>
      <c r="H1475" s="7"/>
      <c r="J1475" s="24" t="str">
        <f t="shared" ref="J1475" si="2229">CONCATENATE(K1473,2)</f>
        <v>62</v>
      </c>
      <c r="K1475" s="6" t="e">
        <v>#VALUE!</v>
      </c>
      <c r="L1475" s="6" t="e">
        <v>#VALUE!</v>
      </c>
      <c r="M1475" s="6" t="e">
        <v>#VALUE!</v>
      </c>
      <c r="N1475" s="6" t="e">
        <v>#VALUE!</v>
      </c>
      <c r="O1475" s="6" t="e">
        <v>#VALUE!</v>
      </c>
      <c r="T1475" s="9"/>
      <c r="U1475" s="1">
        <f t="shared" si="2148"/>
        <v>34</v>
      </c>
      <c r="V1475" s="1">
        <f t="shared" si="2149"/>
        <v>222</v>
      </c>
    </row>
    <row r="1476" spans="1:22" x14ac:dyDescent="0.3">
      <c r="A1476" s="1">
        <f t="shared" si="2172"/>
        <v>34223</v>
      </c>
      <c r="B1476" s="4"/>
      <c r="C1476" s="4"/>
      <c r="D1476" s="4"/>
      <c r="E1476" s="4"/>
      <c r="F1476" s="14"/>
      <c r="G1476" s="8"/>
      <c r="H1476" s="7"/>
      <c r="J1476" s="24" t="str">
        <f t="shared" ref="J1476" si="2230">CONCATENATE(K1473,3)</f>
        <v>63</v>
      </c>
      <c r="K1476" s="6" t="e">
        <v>#VALUE!</v>
      </c>
      <c r="L1476" s="6" t="e">
        <v>#VALUE!</v>
      </c>
      <c r="M1476" s="6" t="e">
        <v>#VALUE!</v>
      </c>
      <c r="N1476" s="6" t="e">
        <v>#VALUE!</v>
      </c>
      <c r="O1476" s="6" t="e">
        <v>#VALUE!</v>
      </c>
      <c r="T1476" s="9"/>
      <c r="U1476" s="1">
        <f t="shared" si="2148"/>
        <v>34</v>
      </c>
      <c r="V1476" s="1">
        <f t="shared" si="2149"/>
        <v>223</v>
      </c>
    </row>
    <row r="1477" spans="1:22" x14ac:dyDescent="0.3">
      <c r="A1477" s="1">
        <f t="shared" si="2172"/>
        <v>34224</v>
      </c>
      <c r="B1477" s="4"/>
      <c r="C1477" s="4"/>
      <c r="D1477" s="4"/>
      <c r="E1477" s="4"/>
      <c r="F1477" s="14"/>
      <c r="G1477" s="8"/>
      <c r="H1477" s="7"/>
      <c r="K1477" s="1">
        <v>7</v>
      </c>
      <c r="L1477" s="1">
        <v>7</v>
      </c>
      <c r="M1477" s="1">
        <v>7</v>
      </c>
      <c r="N1477" s="1">
        <v>7</v>
      </c>
      <c r="O1477" s="1">
        <v>7</v>
      </c>
      <c r="P1477" s="1">
        <v>7</v>
      </c>
      <c r="T1477" s="9"/>
      <c r="U1477" s="1">
        <f t="shared" si="2148"/>
        <v>34</v>
      </c>
      <c r="V1477" s="1">
        <f t="shared" si="2149"/>
        <v>224</v>
      </c>
    </row>
    <row r="1478" spans="1:22" x14ac:dyDescent="0.3">
      <c r="A1478" s="1">
        <f t="shared" si="2172"/>
        <v>34225</v>
      </c>
      <c r="B1478" s="4"/>
      <c r="C1478" s="4"/>
      <c r="D1478" s="4"/>
      <c r="E1478" s="4"/>
      <c r="F1478" s="14"/>
      <c r="G1478" s="8"/>
      <c r="H1478" s="7"/>
      <c r="J1478" s="24" t="str">
        <f t="shared" ref="J1478" si="2231">CONCATENATE(K1477,1)</f>
        <v>71</v>
      </c>
      <c r="K1478" s="6" t="e">
        <f t="array" ref="K1478:P1480">LINEST(B1470:B1476,C1470:C1476^{1,2,3,4,5},TRUE,TRUE)</f>
        <v>#VALUE!</v>
      </c>
      <c r="L1478" s="6" t="e">
        <v>#VALUE!</v>
      </c>
      <c r="M1478" s="6" t="e">
        <v>#VALUE!</v>
      </c>
      <c r="N1478" s="6" t="e">
        <v>#VALUE!</v>
      </c>
      <c r="O1478" s="6" t="e">
        <v>#VALUE!</v>
      </c>
      <c r="P1478" s="6" t="e">
        <v>#VALUE!</v>
      </c>
      <c r="T1478" s="9"/>
      <c r="U1478" s="1">
        <f t="shared" si="2148"/>
        <v>34</v>
      </c>
      <c r="V1478" s="1">
        <f t="shared" si="2149"/>
        <v>225</v>
      </c>
    </row>
    <row r="1479" spans="1:22" x14ac:dyDescent="0.3">
      <c r="A1479" s="1">
        <f t="shared" si="2172"/>
        <v>34226</v>
      </c>
      <c r="B1479" s="4"/>
      <c r="C1479" s="4"/>
      <c r="D1479" s="4"/>
      <c r="E1479" s="4"/>
      <c r="F1479" s="14"/>
      <c r="G1479" s="8"/>
      <c r="H1479" s="7"/>
      <c r="J1479" s="24" t="str">
        <f t="shared" ref="J1479" si="2232">CONCATENATE(K1477,2)</f>
        <v>72</v>
      </c>
      <c r="K1479" s="6" t="e">
        <v>#VALUE!</v>
      </c>
      <c r="L1479" s="6" t="e">
        <v>#VALUE!</v>
      </c>
      <c r="M1479" s="6" t="e">
        <v>#VALUE!</v>
      </c>
      <c r="N1479" s="6" t="e">
        <v>#VALUE!</v>
      </c>
      <c r="O1479" s="6" t="e">
        <v>#VALUE!</v>
      </c>
      <c r="P1479" s="6" t="e">
        <v>#VALUE!</v>
      </c>
      <c r="T1479" s="9"/>
      <c r="U1479" s="1">
        <f t="shared" si="2148"/>
        <v>34</v>
      </c>
      <c r="V1479" s="1">
        <f t="shared" si="2149"/>
        <v>226</v>
      </c>
    </row>
    <row r="1480" spans="1:22" x14ac:dyDescent="0.3">
      <c r="A1480" s="1">
        <f t="shared" si="2172"/>
        <v>34227</v>
      </c>
      <c r="B1480" s="9"/>
      <c r="C1480" s="9"/>
      <c r="D1480" s="9"/>
      <c r="E1480" s="9"/>
      <c r="F1480" s="9"/>
      <c r="G1480" s="9"/>
      <c r="H1480" s="9"/>
      <c r="J1480" s="24" t="str">
        <f t="shared" ref="J1480" si="2233">CONCATENATE(K1477,3)</f>
        <v>73</v>
      </c>
      <c r="K1480" s="6" t="e">
        <v>#VALUE!</v>
      </c>
      <c r="L1480" s="6" t="e">
        <v>#VALUE!</v>
      </c>
      <c r="M1480" s="6" t="e">
        <v>#VALUE!</v>
      </c>
      <c r="N1480" s="6" t="e">
        <v>#VALUE!</v>
      </c>
      <c r="O1480" s="6" t="e">
        <v>#VALUE!</v>
      </c>
      <c r="P1480" s="6" t="e">
        <v>#VALUE!</v>
      </c>
      <c r="T1480" s="9"/>
      <c r="U1480" s="1">
        <f t="shared" si="2148"/>
        <v>34</v>
      </c>
      <c r="V1480" s="1">
        <f t="shared" si="2149"/>
        <v>227</v>
      </c>
    </row>
    <row r="1481" spans="1:22" x14ac:dyDescent="0.3">
      <c r="A1481" s="1">
        <f t="shared" si="2172"/>
        <v>34228</v>
      </c>
      <c r="B1481" s="87" t="s">
        <v>33</v>
      </c>
      <c r="C1481" s="88"/>
      <c r="D1481" s="88"/>
      <c r="E1481" s="88"/>
      <c r="F1481" s="88"/>
      <c r="G1481" s="88"/>
      <c r="H1481" s="89"/>
      <c r="K1481" s="1">
        <v>8</v>
      </c>
      <c r="L1481" s="1">
        <v>8</v>
      </c>
      <c r="M1481" s="1">
        <v>8</v>
      </c>
      <c r="N1481" s="1">
        <v>8</v>
      </c>
      <c r="O1481" s="1">
        <v>8</v>
      </c>
      <c r="P1481" s="1">
        <v>8</v>
      </c>
      <c r="Q1481" s="1">
        <v>8</v>
      </c>
      <c r="T1481" s="9"/>
      <c r="U1481" s="1">
        <f t="shared" si="2148"/>
        <v>34</v>
      </c>
      <c r="V1481" s="1">
        <f t="shared" si="2149"/>
        <v>228</v>
      </c>
    </row>
    <row r="1482" spans="1:22" x14ac:dyDescent="0.3">
      <c r="A1482" s="1">
        <f t="shared" si="2172"/>
        <v>34229</v>
      </c>
      <c r="B1482" s="90"/>
      <c r="C1482" s="91"/>
      <c r="D1482" s="91"/>
      <c r="E1482" s="91"/>
      <c r="F1482" s="91"/>
      <c r="G1482" s="91"/>
      <c r="H1482" s="92"/>
      <c r="J1482" s="24" t="str">
        <f t="shared" ref="J1482" si="2234">CONCATENATE(K1481,1)</f>
        <v>81</v>
      </c>
      <c r="K1482" s="6" t="e">
        <f t="array" ref="K1482:Q1484">LINEST(B1470:B1477,C1470:C1477^{1,2,3,4,5,6},TRUE,TRUE)</f>
        <v>#VALUE!</v>
      </c>
      <c r="L1482" s="6" t="e">
        <v>#VALUE!</v>
      </c>
      <c r="M1482" s="6" t="e">
        <v>#VALUE!</v>
      </c>
      <c r="N1482" s="6" t="e">
        <v>#VALUE!</v>
      </c>
      <c r="O1482" s="6" t="e">
        <v>#VALUE!</v>
      </c>
      <c r="P1482" s="6" t="e">
        <v>#VALUE!</v>
      </c>
      <c r="Q1482" s="6" t="e">
        <v>#VALUE!</v>
      </c>
      <c r="T1482" s="9"/>
      <c r="U1482" s="1">
        <f t="shared" si="2148"/>
        <v>34</v>
      </c>
      <c r="V1482" s="1">
        <f t="shared" si="2149"/>
        <v>229</v>
      </c>
    </row>
    <row r="1483" spans="1:22" x14ac:dyDescent="0.3">
      <c r="A1483" s="1">
        <f t="shared" si="2172"/>
        <v>34230</v>
      </c>
      <c r="B1483" s="93"/>
      <c r="C1483" s="94"/>
      <c r="D1483" s="94"/>
      <c r="E1483" s="94"/>
      <c r="F1483" s="94"/>
      <c r="G1483" s="94"/>
      <c r="H1483" s="95"/>
      <c r="J1483" s="24" t="str">
        <f t="shared" ref="J1483" si="2235">CONCATENATE(K1481,2)</f>
        <v>82</v>
      </c>
      <c r="K1483" s="6" t="e">
        <v>#VALUE!</v>
      </c>
      <c r="L1483" s="6" t="e">
        <v>#VALUE!</v>
      </c>
      <c r="M1483" s="6" t="e">
        <v>#VALUE!</v>
      </c>
      <c r="N1483" s="6" t="e">
        <v>#VALUE!</v>
      </c>
      <c r="O1483" s="6" t="e">
        <v>#VALUE!</v>
      </c>
      <c r="P1483" s="6" t="e">
        <v>#VALUE!</v>
      </c>
      <c r="Q1483" s="6" t="e">
        <v>#VALUE!</v>
      </c>
      <c r="T1483" s="9"/>
      <c r="U1483" s="1">
        <f t="shared" si="2148"/>
        <v>34</v>
      </c>
      <c r="V1483" s="1">
        <f t="shared" si="2149"/>
        <v>230</v>
      </c>
    </row>
    <row r="1484" spans="1:22" x14ac:dyDescent="0.3">
      <c r="A1484" s="1">
        <f t="shared" si="2172"/>
        <v>34231</v>
      </c>
      <c r="J1484" s="24" t="str">
        <f t="shared" ref="J1484" si="2236">CONCATENATE(K1481,3)</f>
        <v>83</v>
      </c>
      <c r="K1484" s="6" t="e">
        <v>#VALUE!</v>
      </c>
      <c r="L1484" s="6" t="e">
        <v>#VALUE!</v>
      </c>
      <c r="M1484" s="6" t="e">
        <v>#VALUE!</v>
      </c>
      <c r="N1484" s="6" t="e">
        <v>#VALUE!</v>
      </c>
      <c r="O1484" s="6" t="e">
        <v>#VALUE!</v>
      </c>
      <c r="P1484" s="6" t="e">
        <v>#VALUE!</v>
      </c>
      <c r="Q1484" s="6" t="e">
        <v>#VALUE!</v>
      </c>
      <c r="T1484" s="9"/>
      <c r="U1484" s="1">
        <f t="shared" si="2148"/>
        <v>34</v>
      </c>
      <c r="V1484" s="1">
        <f t="shared" si="2149"/>
        <v>231</v>
      </c>
    </row>
    <row r="1485" spans="1:22" ht="15" customHeight="1" x14ac:dyDescent="0.3">
      <c r="A1485" s="1">
        <f t="shared" si="2172"/>
        <v>34232</v>
      </c>
      <c r="B1485" s="10" t="s">
        <v>34</v>
      </c>
      <c r="C1485" s="10" t="s">
        <v>35</v>
      </c>
      <c r="D1485" s="10" t="s">
        <v>36</v>
      </c>
      <c r="E1485" s="74" t="s">
        <v>37</v>
      </c>
      <c r="F1485" s="75"/>
      <c r="G1485" s="76"/>
      <c r="K1485" s="1">
        <v>9</v>
      </c>
      <c r="L1485" s="1">
        <v>9</v>
      </c>
      <c r="M1485" s="1">
        <v>9</v>
      </c>
      <c r="N1485" s="1">
        <v>9</v>
      </c>
      <c r="O1485" s="1">
        <v>9</v>
      </c>
      <c r="P1485" s="1">
        <v>9</v>
      </c>
      <c r="Q1485" s="1">
        <v>9</v>
      </c>
      <c r="R1485" s="1">
        <v>9</v>
      </c>
      <c r="T1485" s="9"/>
      <c r="U1485" s="1">
        <f t="shared" si="2148"/>
        <v>34</v>
      </c>
      <c r="V1485" s="1">
        <f t="shared" si="2149"/>
        <v>232</v>
      </c>
    </row>
    <row r="1486" spans="1:22" x14ac:dyDescent="0.3">
      <c r="A1486" s="1">
        <f t="shared" si="2172"/>
        <v>34233</v>
      </c>
      <c r="B1486" s="12">
        <f t="shared" ref="B1486:B1495" si="2237">C1470-B1470</f>
        <v>0</v>
      </c>
      <c r="C1486" s="13">
        <f t="shared" ref="C1486:C1495" si="2238">H1470-G1470</f>
        <v>1</v>
      </c>
      <c r="D1486" s="10">
        <f t="shared" ref="D1486:D1495" si="2239">C1486-B1486</f>
        <v>1</v>
      </c>
      <c r="E1486" s="11">
        <f t="shared" ref="E1486" si="2240">IF(D1461="","",MAX(F1486,G1486))</f>
        <v>11</v>
      </c>
      <c r="F1486" s="10">
        <f t="shared" ref="F1486" si="2241">ABS(MIN(D1486:D1495))</f>
        <v>11</v>
      </c>
      <c r="G1486" s="10">
        <f t="shared" ref="G1486" si="2242">ABS(MAX(D1486:D1495))</f>
        <v>1</v>
      </c>
      <c r="J1486" s="24" t="str">
        <f t="shared" ref="J1486" si="2243">CONCATENATE(K1485,1)</f>
        <v>91</v>
      </c>
      <c r="K1486" s="6" t="e">
        <f t="array" ref="K1486:R1488">LINEST(B1470:B1478,C1470:C1478^{1,2,3,4,5,6,7},TRUE,TRUE)</f>
        <v>#VALUE!</v>
      </c>
      <c r="L1486" s="6" t="e">
        <v>#VALUE!</v>
      </c>
      <c r="M1486" s="6" t="e">
        <v>#VALUE!</v>
      </c>
      <c r="N1486" s="6" t="e">
        <v>#VALUE!</v>
      </c>
      <c r="O1486" s="6" t="e">
        <v>#VALUE!</v>
      </c>
      <c r="P1486" s="6" t="e">
        <v>#VALUE!</v>
      </c>
      <c r="Q1486" s="6" t="e">
        <v>#VALUE!</v>
      </c>
      <c r="R1486" s="6" t="e">
        <v>#VALUE!</v>
      </c>
      <c r="T1486" s="9"/>
      <c r="U1486" s="1">
        <f t="shared" si="2148"/>
        <v>34</v>
      </c>
      <c r="V1486" s="1">
        <f t="shared" si="2149"/>
        <v>233</v>
      </c>
    </row>
    <row r="1487" spans="1:22" x14ac:dyDescent="0.3">
      <c r="A1487" s="1">
        <f t="shared" si="2172"/>
        <v>34234</v>
      </c>
      <c r="B1487" s="12">
        <f t="shared" si="2237"/>
        <v>-5</v>
      </c>
      <c r="C1487" s="13">
        <f t="shared" si="2238"/>
        <v>-9</v>
      </c>
      <c r="D1487" s="10">
        <f t="shared" si="2239"/>
        <v>-4</v>
      </c>
      <c r="E1487" s="74" t="s">
        <v>38</v>
      </c>
      <c r="F1487" s="75"/>
      <c r="G1487" s="76"/>
      <c r="J1487" s="24" t="str">
        <f t="shared" ref="J1487" si="2244">CONCATENATE(K1485,2)</f>
        <v>92</v>
      </c>
      <c r="K1487" s="6" t="e">
        <v>#VALUE!</v>
      </c>
      <c r="L1487" s="6" t="e">
        <v>#VALUE!</v>
      </c>
      <c r="M1487" s="6" t="e">
        <v>#VALUE!</v>
      </c>
      <c r="N1487" s="6" t="e">
        <v>#VALUE!</v>
      </c>
      <c r="O1487" s="6" t="e">
        <v>#VALUE!</v>
      </c>
      <c r="P1487" s="6" t="e">
        <v>#VALUE!</v>
      </c>
      <c r="Q1487" s="6" t="e">
        <v>#VALUE!</v>
      </c>
      <c r="R1487" s="6" t="e">
        <v>#VALUE!</v>
      </c>
      <c r="T1487" s="9"/>
      <c r="U1487" s="1">
        <f t="shared" si="2148"/>
        <v>34</v>
      </c>
      <c r="V1487" s="1">
        <f t="shared" si="2149"/>
        <v>234</v>
      </c>
    </row>
    <row r="1488" spans="1:22" x14ac:dyDescent="0.3">
      <c r="A1488" s="1">
        <f t="shared" si="2172"/>
        <v>34235</v>
      </c>
      <c r="B1488" s="12">
        <f t="shared" si="2237"/>
        <v>-5</v>
      </c>
      <c r="C1488" s="13">
        <f t="shared" si="2238"/>
        <v>-14</v>
      </c>
      <c r="D1488" s="10">
        <f t="shared" si="2239"/>
        <v>-9</v>
      </c>
      <c r="E1488" s="11">
        <f t="shared" ref="E1488" si="2245">IF(D1461="","",MAX(F1488,G1488))</f>
        <v>5</v>
      </c>
      <c r="F1488" s="10">
        <f t="shared" ref="F1488" si="2246">ABS(MIN(B1486:B1495))</f>
        <v>5</v>
      </c>
      <c r="G1488" s="10">
        <f t="shared" ref="G1488" si="2247">ABS(MAX(B1486:B1495))</f>
        <v>0</v>
      </c>
      <c r="J1488" s="24" t="str">
        <f t="shared" ref="J1488" si="2248">CONCATENATE(K1485,3)</f>
        <v>93</v>
      </c>
      <c r="K1488" s="6" t="e">
        <v>#VALUE!</v>
      </c>
      <c r="L1488" s="6" t="e">
        <v>#VALUE!</v>
      </c>
      <c r="M1488" s="6" t="e">
        <v>#VALUE!</v>
      </c>
      <c r="N1488" s="6" t="e">
        <v>#VALUE!</v>
      </c>
      <c r="O1488" s="6" t="e">
        <v>#VALUE!</v>
      </c>
      <c r="P1488" s="6" t="e">
        <v>#VALUE!</v>
      </c>
      <c r="Q1488" s="6" t="e">
        <v>#VALUE!</v>
      </c>
      <c r="R1488" s="6" t="e">
        <v>#VALUE!</v>
      </c>
      <c r="T1488" s="9"/>
      <c r="U1488" s="1">
        <f t="shared" si="2148"/>
        <v>34</v>
      </c>
      <c r="V1488" s="1">
        <f t="shared" si="2149"/>
        <v>235</v>
      </c>
    </row>
    <row r="1489" spans="1:22" x14ac:dyDescent="0.3">
      <c r="A1489" s="1">
        <f t="shared" si="2172"/>
        <v>34236</v>
      </c>
      <c r="B1489" s="12">
        <f t="shared" si="2237"/>
        <v>-4</v>
      </c>
      <c r="C1489" s="13">
        <f t="shared" si="2238"/>
        <v>-15</v>
      </c>
      <c r="D1489" s="10">
        <f t="shared" si="2239"/>
        <v>-11</v>
      </c>
      <c r="E1489" s="74" t="s">
        <v>39</v>
      </c>
      <c r="F1489" s="75"/>
      <c r="G1489" s="76"/>
      <c r="K1489" s="1">
        <v>10</v>
      </c>
      <c r="L1489" s="1">
        <v>10</v>
      </c>
      <c r="M1489" s="1">
        <v>10</v>
      </c>
      <c r="N1489" s="1">
        <v>10</v>
      </c>
      <c r="O1489" s="1">
        <v>10</v>
      </c>
      <c r="P1489" s="1">
        <v>10</v>
      </c>
      <c r="Q1489" s="1">
        <v>10</v>
      </c>
      <c r="R1489" s="1">
        <v>10</v>
      </c>
      <c r="S1489" s="1">
        <v>10</v>
      </c>
      <c r="T1489" s="9"/>
      <c r="U1489" s="1">
        <f t="shared" si="2148"/>
        <v>34</v>
      </c>
      <c r="V1489" s="1">
        <f t="shared" si="2149"/>
        <v>236</v>
      </c>
    </row>
    <row r="1490" spans="1:22" x14ac:dyDescent="0.3">
      <c r="A1490" s="1">
        <f t="shared" si="2172"/>
        <v>34237</v>
      </c>
      <c r="B1490" s="12">
        <f t="shared" si="2237"/>
        <v>0</v>
      </c>
      <c r="C1490" s="13">
        <f t="shared" si="2238"/>
        <v>0</v>
      </c>
      <c r="D1490" s="10">
        <f t="shared" si="2239"/>
        <v>0</v>
      </c>
      <c r="E1490" s="11">
        <f t="shared" ref="E1490" si="2249">IF(D1461="","",MAX(F1490,G1490))</f>
        <v>2</v>
      </c>
      <c r="F1490" s="10">
        <f t="shared" ref="F1490" si="2250">ABS(MIN(D1470:D1479))</f>
        <v>2</v>
      </c>
      <c r="G1490" s="10">
        <f t="shared" ref="G1490" si="2251">ABS(MAX(D1470:D1479))</f>
        <v>2</v>
      </c>
      <c r="J1490" s="24" t="str">
        <f t="shared" ref="J1490" si="2252">CONCATENATE(K1489,1)</f>
        <v>101</v>
      </c>
      <c r="K1490" s="6" t="e">
        <f t="array" ref="K1490:S1492">LINEST(B1470:B1479,C1470:C1479^{1,2,3,4,5,6,7,8},TRUE,TRUE)</f>
        <v>#VALUE!</v>
      </c>
      <c r="L1490" s="6" t="e">
        <v>#VALUE!</v>
      </c>
      <c r="M1490" s="6" t="e">
        <v>#VALUE!</v>
      </c>
      <c r="N1490" s="6" t="e">
        <v>#VALUE!</v>
      </c>
      <c r="O1490" s="6" t="e">
        <v>#VALUE!</v>
      </c>
      <c r="P1490" s="6" t="e">
        <v>#VALUE!</v>
      </c>
      <c r="Q1490" s="6" t="e">
        <v>#VALUE!</v>
      </c>
      <c r="R1490" s="6" t="e">
        <v>#VALUE!</v>
      </c>
      <c r="S1490" s="6" t="e">
        <v>#VALUE!</v>
      </c>
      <c r="T1490" s="9"/>
      <c r="U1490" s="1">
        <f t="shared" si="2148"/>
        <v>34</v>
      </c>
      <c r="V1490" s="1">
        <f t="shared" si="2149"/>
        <v>237</v>
      </c>
    </row>
    <row r="1491" spans="1:22" x14ac:dyDescent="0.3">
      <c r="A1491" s="1">
        <f t="shared" si="2172"/>
        <v>34238</v>
      </c>
      <c r="B1491" s="12">
        <f t="shared" si="2237"/>
        <v>0</v>
      </c>
      <c r="C1491" s="13">
        <f t="shared" si="2238"/>
        <v>0</v>
      </c>
      <c r="D1491" s="10">
        <f t="shared" si="2239"/>
        <v>0</v>
      </c>
      <c r="J1491" s="24" t="str">
        <f t="shared" ref="J1491" si="2253">CONCATENATE(K1489,2)</f>
        <v>102</v>
      </c>
      <c r="K1491" s="6" t="e">
        <v>#VALUE!</v>
      </c>
      <c r="L1491" s="6" t="e">
        <v>#VALUE!</v>
      </c>
      <c r="M1491" s="6" t="e">
        <v>#VALUE!</v>
      </c>
      <c r="N1491" s="6" t="e">
        <v>#VALUE!</v>
      </c>
      <c r="O1491" s="6" t="e">
        <v>#VALUE!</v>
      </c>
      <c r="P1491" s="6" t="e">
        <v>#VALUE!</v>
      </c>
      <c r="Q1491" s="6" t="e">
        <v>#VALUE!</v>
      </c>
      <c r="R1491" s="6" t="e">
        <v>#VALUE!</v>
      </c>
      <c r="S1491" s="6" t="e">
        <v>#VALUE!</v>
      </c>
      <c r="T1491" s="9"/>
      <c r="U1491" s="1">
        <f t="shared" si="2148"/>
        <v>34</v>
      </c>
      <c r="V1491" s="1">
        <f t="shared" si="2149"/>
        <v>238</v>
      </c>
    </row>
    <row r="1492" spans="1:22" x14ac:dyDescent="0.3">
      <c r="A1492" s="1">
        <f t="shared" si="2172"/>
        <v>34239</v>
      </c>
      <c r="B1492" s="12">
        <f t="shared" si="2237"/>
        <v>0</v>
      </c>
      <c r="C1492" s="13">
        <f t="shared" si="2238"/>
        <v>0</v>
      </c>
      <c r="D1492" s="10">
        <f t="shared" si="2239"/>
        <v>0</v>
      </c>
      <c r="J1492" s="24" t="str">
        <f t="shared" ref="J1492" si="2254">CONCATENATE(K1489,3)</f>
        <v>103</v>
      </c>
      <c r="K1492" s="6" t="e">
        <v>#VALUE!</v>
      </c>
      <c r="L1492" s="6" t="e">
        <v>#VALUE!</v>
      </c>
      <c r="M1492" s="6" t="e">
        <v>#VALUE!</v>
      </c>
      <c r="N1492" s="6" t="e">
        <v>#VALUE!</v>
      </c>
      <c r="O1492" s="6" t="e">
        <v>#VALUE!</v>
      </c>
      <c r="P1492" s="6" t="e">
        <v>#VALUE!</v>
      </c>
      <c r="Q1492" s="6" t="e">
        <v>#VALUE!</v>
      </c>
      <c r="R1492" s="6" t="e">
        <v>#VALUE!</v>
      </c>
      <c r="S1492" s="6" t="e">
        <v>#VALUE!</v>
      </c>
      <c r="T1492" s="9"/>
      <c r="U1492" s="1">
        <f t="shared" si="2148"/>
        <v>34</v>
      </c>
      <c r="V1492" s="1">
        <f t="shared" si="2149"/>
        <v>239</v>
      </c>
    </row>
    <row r="1493" spans="1:22" x14ac:dyDescent="0.3">
      <c r="A1493" s="1">
        <f t="shared" si="2172"/>
        <v>34240</v>
      </c>
      <c r="B1493" s="12">
        <f t="shared" si="2237"/>
        <v>0</v>
      </c>
      <c r="C1493" s="13">
        <f t="shared" si="2238"/>
        <v>0</v>
      </c>
      <c r="D1493" s="10">
        <f t="shared" si="2239"/>
        <v>0</v>
      </c>
      <c r="J1493" s="9"/>
      <c r="K1493" s="9"/>
      <c r="L1493" s="9"/>
      <c r="M1493" s="9"/>
      <c r="N1493" s="9"/>
      <c r="O1493" s="9"/>
      <c r="P1493" s="9"/>
      <c r="Q1493" s="9"/>
      <c r="R1493" s="9"/>
      <c r="S1493" s="9"/>
      <c r="T1493" s="9"/>
      <c r="U1493" s="1">
        <f t="shared" si="2148"/>
        <v>34</v>
      </c>
      <c r="V1493" s="1">
        <f t="shared" si="2149"/>
        <v>240</v>
      </c>
    </row>
    <row r="1494" spans="1:22" x14ac:dyDescent="0.3">
      <c r="A1494" s="1">
        <f t="shared" si="2172"/>
        <v>34241</v>
      </c>
      <c r="B1494" s="12">
        <f t="shared" si="2237"/>
        <v>0</v>
      </c>
      <c r="C1494" s="13">
        <f t="shared" si="2238"/>
        <v>0</v>
      </c>
      <c r="D1494" s="10">
        <f t="shared" si="2239"/>
        <v>0</v>
      </c>
      <c r="J1494" s="9"/>
      <c r="K1494" s="9"/>
      <c r="L1494" s="9"/>
      <c r="M1494" s="9"/>
      <c r="N1494" s="9"/>
      <c r="O1494" s="9"/>
      <c r="P1494" s="9"/>
      <c r="Q1494" s="9"/>
      <c r="R1494" s="9"/>
      <c r="S1494" s="9"/>
      <c r="T1494" s="9"/>
      <c r="U1494" s="1">
        <f t="shared" si="2148"/>
        <v>34</v>
      </c>
      <c r="V1494" s="1">
        <f t="shared" si="2149"/>
        <v>241</v>
      </c>
    </row>
    <row r="1495" spans="1:22" x14ac:dyDescent="0.3">
      <c r="A1495" s="1">
        <f t="shared" si="2172"/>
        <v>34242</v>
      </c>
      <c r="B1495" s="12">
        <f t="shared" si="2237"/>
        <v>0</v>
      </c>
      <c r="C1495" s="13">
        <f t="shared" si="2238"/>
        <v>0</v>
      </c>
      <c r="D1495" s="10">
        <f t="shared" si="2239"/>
        <v>0</v>
      </c>
      <c r="J1495" s="9"/>
      <c r="K1495" s="9"/>
      <c r="L1495" s="9"/>
      <c r="M1495" s="9"/>
      <c r="N1495" s="9"/>
      <c r="O1495" s="9"/>
      <c r="P1495" s="9"/>
      <c r="Q1495" s="9"/>
      <c r="R1495" s="9"/>
      <c r="S1495" s="9"/>
      <c r="T1495" s="9"/>
      <c r="U1495" s="1">
        <f t="shared" si="2148"/>
        <v>34</v>
      </c>
      <c r="V1495" s="1">
        <f t="shared" si="2149"/>
        <v>242</v>
      </c>
    </row>
    <row r="1496" spans="1:22" x14ac:dyDescent="0.3">
      <c r="A1496" s="1">
        <f t="shared" si="2172"/>
        <v>34243</v>
      </c>
      <c r="J1496" s="9"/>
      <c r="K1496" s="9"/>
      <c r="L1496" s="9"/>
      <c r="M1496" s="9"/>
      <c r="N1496" s="9"/>
      <c r="O1496" s="9"/>
      <c r="P1496" s="9"/>
      <c r="Q1496" s="9"/>
      <c r="R1496" s="9"/>
      <c r="S1496" s="9"/>
      <c r="T1496" s="9"/>
      <c r="U1496" s="1">
        <f t="shared" si="2148"/>
        <v>34</v>
      </c>
      <c r="V1496" s="1">
        <f t="shared" si="2149"/>
        <v>243</v>
      </c>
    </row>
    <row r="1497" spans="1:22" s="5" customFormat="1" x14ac:dyDescent="0.3"/>
    <row r="1498" spans="1:22" x14ac:dyDescent="0.3">
      <c r="A1498" s="1">
        <f t="shared" ref="A1498:A1540" si="2255">ROUND(CONCATENATE(U1498,V1498),0)</f>
        <v>35201</v>
      </c>
      <c r="B1498" s="96" t="s">
        <v>0</v>
      </c>
      <c r="C1498" s="97"/>
      <c r="D1498" s="110" t="s">
        <v>46</v>
      </c>
      <c r="E1498" s="111"/>
      <c r="F1498" s="111"/>
      <c r="G1498" s="111"/>
      <c r="H1498" s="112"/>
      <c r="J1498" s="9"/>
      <c r="K1498" s="9"/>
      <c r="L1498" s="9"/>
      <c r="M1498" s="9"/>
      <c r="N1498" s="9"/>
      <c r="O1498" s="9"/>
      <c r="P1498" s="9"/>
      <c r="Q1498" s="9"/>
      <c r="R1498" s="9"/>
      <c r="S1498" s="9"/>
      <c r="T1498" s="9"/>
      <c r="U1498" s="1">
        <f t="shared" ref="U1498" si="2256">U1496+1</f>
        <v>35</v>
      </c>
      <c r="V1498" s="1">
        <v>201</v>
      </c>
    </row>
    <row r="1499" spans="1:22" x14ac:dyDescent="0.3">
      <c r="A1499" s="1">
        <f t="shared" si="2255"/>
        <v>35202</v>
      </c>
      <c r="B1499" s="96" t="s">
        <v>1</v>
      </c>
      <c r="C1499" s="97"/>
      <c r="D1499" s="15" t="s">
        <v>70</v>
      </c>
      <c r="E1499" s="16" t="s">
        <v>2</v>
      </c>
      <c r="F1499" s="107"/>
      <c r="G1499" s="108"/>
      <c r="H1499" s="109"/>
      <c r="J1499" s="9"/>
      <c r="K1499" s="9"/>
      <c r="L1499" s="9"/>
      <c r="M1499" s="9"/>
      <c r="N1499" s="9"/>
      <c r="O1499" s="9"/>
      <c r="P1499" s="9"/>
      <c r="Q1499" s="9"/>
      <c r="R1499" s="9"/>
      <c r="S1499" s="9"/>
      <c r="T1499" s="9"/>
      <c r="U1499" s="1">
        <f t="shared" ref="U1499:U1562" si="2257">U1498</f>
        <v>35</v>
      </c>
      <c r="V1499" s="1">
        <f t="shared" ref="V1499:V1562" si="2258">V1498+1</f>
        <v>202</v>
      </c>
    </row>
    <row r="1500" spans="1:22" x14ac:dyDescent="0.3">
      <c r="A1500" s="1">
        <f t="shared" si="2255"/>
        <v>35203</v>
      </c>
      <c r="B1500" s="96" t="s">
        <v>12</v>
      </c>
      <c r="C1500" s="97"/>
      <c r="D1500" s="110" t="s">
        <v>79</v>
      </c>
      <c r="E1500" s="111"/>
      <c r="F1500" s="111"/>
      <c r="G1500" s="111"/>
      <c r="H1500" s="112"/>
      <c r="K1500" s="1" t="s">
        <v>3</v>
      </c>
      <c r="L1500" s="1" t="s">
        <v>4</v>
      </c>
      <c r="M1500" s="1" t="s">
        <v>5</v>
      </c>
      <c r="N1500" s="1" t="s">
        <v>6</v>
      </c>
      <c r="O1500" s="1" t="s">
        <v>7</v>
      </c>
      <c r="P1500" s="1" t="s">
        <v>8</v>
      </c>
      <c r="Q1500" s="1" t="s">
        <v>9</v>
      </c>
      <c r="R1500" s="1" t="s">
        <v>10</v>
      </c>
      <c r="S1500" s="1" t="s">
        <v>11</v>
      </c>
      <c r="T1500" s="9"/>
      <c r="U1500" s="1">
        <f t="shared" si="2257"/>
        <v>35</v>
      </c>
      <c r="V1500" s="1">
        <f t="shared" si="2258"/>
        <v>203</v>
      </c>
    </row>
    <row r="1501" spans="1:22" x14ac:dyDescent="0.3">
      <c r="A1501" s="1">
        <f t="shared" si="2255"/>
        <v>35204</v>
      </c>
      <c r="B1501" s="96" t="s">
        <v>13</v>
      </c>
      <c r="C1501" s="97"/>
      <c r="D1501" s="110" t="s">
        <v>65</v>
      </c>
      <c r="E1501" s="111"/>
      <c r="F1501" s="111"/>
      <c r="G1501" s="111"/>
      <c r="H1501" s="112"/>
      <c r="J1501" s="1">
        <f t="shared" ref="J1501" si="2259">COUNTA(B1514:B1523)</f>
        <v>5</v>
      </c>
      <c r="K1501" s="1">
        <f t="shared" ref="K1501" si="2260">IF(L1501-1&lt;2,0,L1501-1)</f>
        <v>0</v>
      </c>
      <c r="L1501" s="1">
        <f t="shared" ref="L1501" si="2261">IF(M1501-1&lt;2,0,M1501-1)</f>
        <v>0</v>
      </c>
      <c r="M1501" s="1">
        <f t="shared" ref="M1501" si="2262">IF(N1501-1&lt;2,0,N1501-1)</f>
        <v>0</v>
      </c>
      <c r="N1501" s="1">
        <f t="shared" ref="N1501" si="2263">IF(O1501-1&lt;2,0,O1501-1)</f>
        <v>0</v>
      </c>
      <c r="O1501" s="1">
        <f t="shared" ref="O1501" si="2264">IF(P1501-1&lt;2,0,P1501-1)</f>
        <v>0</v>
      </c>
      <c r="P1501" s="1">
        <f t="shared" ref="P1501" si="2265">IF(Q1501-1&lt;2,0,Q1501-1)</f>
        <v>2</v>
      </c>
      <c r="Q1501" s="1">
        <f t="shared" ref="Q1501" si="2266">IF(R1501-1&lt;2,0,R1501-1)</f>
        <v>3</v>
      </c>
      <c r="R1501" s="1">
        <f t="shared" ref="R1501" si="2267">IF(S1501-1&lt;2,0,S1501-1)</f>
        <v>4</v>
      </c>
      <c r="S1501" s="1">
        <f t="shared" ref="S1501" si="2268">J1501</f>
        <v>5</v>
      </c>
      <c r="T1501" s="9"/>
      <c r="U1501" s="1">
        <f t="shared" si="2257"/>
        <v>35</v>
      </c>
      <c r="V1501" s="1">
        <f t="shared" si="2258"/>
        <v>204</v>
      </c>
    </row>
    <row r="1502" spans="1:22" x14ac:dyDescent="0.3">
      <c r="A1502" s="1">
        <f t="shared" si="2255"/>
        <v>35205</v>
      </c>
      <c r="B1502" s="96" t="s">
        <v>14</v>
      </c>
      <c r="C1502" s="97"/>
      <c r="D1502" s="110" t="s">
        <v>66</v>
      </c>
      <c r="E1502" s="111"/>
      <c r="F1502" s="111"/>
      <c r="G1502" s="111"/>
      <c r="H1502" s="112"/>
      <c r="J1502" s="24" t="str">
        <f t="shared" ref="J1502" si="2269">CONCATENATE(J1501,1)</f>
        <v>51</v>
      </c>
      <c r="K1502" s="25">
        <f t="shared" ref="K1502" si="2270">IF(K1501=0,0,VLOOKUP(J1502,J1506:S1536,K1501,FALSE))</f>
        <v>0</v>
      </c>
      <c r="L1502" s="25">
        <f t="shared" ref="L1502" si="2271">IF(L1501=0,0,VLOOKUP(J1502,J1506:S1536,L1501,FALSE))</f>
        <v>0</v>
      </c>
      <c r="M1502" s="25">
        <f t="shared" ref="M1502" si="2272">IF(M1501=0,0,VLOOKUP(J1502,J1506:S1536,M1501,FALSE))</f>
        <v>0</v>
      </c>
      <c r="N1502" s="25">
        <f t="shared" ref="N1502" si="2273">IF(N1501=0,0,VLOOKUP(J1502,J1506:S1536,N1501,FALSE))</f>
        <v>0</v>
      </c>
      <c r="O1502" s="25">
        <f t="shared" ref="O1502" si="2274">IF(O1501=0,0,VLOOKUP(J1502,J1506:S1536,O1501,FALSE))</f>
        <v>0</v>
      </c>
      <c r="P1502" s="25">
        <f t="shared" ref="P1502" si="2275">IF(P1501=0,0,VLOOKUP(J1502,J1506:S1536,P1501,FALSE))</f>
        <v>3.6920365546713187E-6</v>
      </c>
      <c r="Q1502" s="25">
        <f t="shared" ref="Q1502" si="2276">IF(Q1501=0,0,VLOOKUP(J1502,J1506:S1536,Q1501,FALSE))</f>
        <v>-1.2581358710956196E-4</v>
      </c>
      <c r="R1502" s="25">
        <f t="shared" ref="R1502" si="2277">IF(R1501=0,0,VLOOKUP(J1502,J1506:S1536,R1501,FALSE))</f>
        <v>0.98640446154556882</v>
      </c>
      <c r="S1502" s="25">
        <f t="shared" ref="S1502" si="2278">IF(S1501=0,0,VLOOKUP(J1502,J1506:S1536,S1501,FALSE))</f>
        <v>0.1010627131224516</v>
      </c>
      <c r="T1502" s="9"/>
      <c r="U1502" s="1">
        <f t="shared" si="2257"/>
        <v>35</v>
      </c>
      <c r="V1502" s="1">
        <f t="shared" si="2258"/>
        <v>205</v>
      </c>
    </row>
    <row r="1503" spans="1:22" x14ac:dyDescent="0.3">
      <c r="A1503" s="1">
        <f t="shared" si="2255"/>
        <v>35206</v>
      </c>
      <c r="B1503" s="96" t="s">
        <v>15</v>
      </c>
      <c r="C1503" s="97"/>
      <c r="D1503" s="110" t="s">
        <v>121</v>
      </c>
      <c r="E1503" s="111"/>
      <c r="F1503" s="111"/>
      <c r="G1503" s="111"/>
      <c r="H1503" s="112"/>
      <c r="J1503" s="24" t="str">
        <f t="shared" ref="J1503" si="2279">CONCATENATE(J1501,2)</f>
        <v>52</v>
      </c>
      <c r="K1503" s="6">
        <f t="shared" ref="K1503" si="2280">IF(K1501=0,0,VLOOKUP(J1503,J1506:S1536,K1501,FALSE))</f>
        <v>0</v>
      </c>
      <c r="L1503" s="6">
        <f t="shared" ref="L1503" si="2281">IF(L1501=0,0,VLOOKUP(J1503,J1506:S1536,L1501,FALSE))</f>
        <v>0</v>
      </c>
      <c r="M1503" s="6">
        <f t="shared" ref="M1503" si="2282">IF(M1501=0,0,VLOOKUP(J1503,J1506:S1536,M1501,FALSE))</f>
        <v>0</v>
      </c>
      <c r="N1503" s="6">
        <f t="shared" ref="N1503" si="2283">IF(N1501=0,0,VLOOKUP(J1503,J1506:S1536,N1501,FALSE))</f>
        <v>0</v>
      </c>
      <c r="O1503" s="6">
        <f t="shared" ref="O1503" si="2284">IF(O1501=0,0,VLOOKUP(J1503,J1506:S1536,O1501,FALSE))</f>
        <v>0</v>
      </c>
      <c r="P1503" s="6">
        <f t="shared" ref="P1503" si="2285">IF(P1501=0,0,VLOOKUP(J1503,J1506:S1536,P1501,FALSE))</f>
        <v>2.966372713359408E-6</v>
      </c>
      <c r="Q1503" s="6">
        <f t="shared" ref="Q1503" si="2286">IF(Q1501=0,0,VLOOKUP(J1503,J1506:S1536,Q1501,FALSE))</f>
        <v>7.1569941590322089E-5</v>
      </c>
      <c r="R1503" s="6">
        <f t="shared" ref="R1503" si="2287">IF(R1501=0,0,VLOOKUP(J1503,J1506:S1536,R1501,FALSE))</f>
        <v>3.145755198235946E-3</v>
      </c>
      <c r="S1503" s="6">
        <f t="shared" ref="S1503" si="2288">IF(S1501=0,0,VLOOKUP(J1503,J1506:S1536,S1501,FALSE))</f>
        <v>4.8256811561834055E-2</v>
      </c>
      <c r="T1503" s="9"/>
      <c r="U1503" s="1">
        <f t="shared" si="2257"/>
        <v>35</v>
      </c>
      <c r="V1503" s="1">
        <f t="shared" si="2258"/>
        <v>206</v>
      </c>
    </row>
    <row r="1504" spans="1:22" x14ac:dyDescent="0.3">
      <c r="A1504" s="1">
        <f t="shared" si="2255"/>
        <v>35207</v>
      </c>
      <c r="B1504" s="96" t="s">
        <v>16</v>
      </c>
      <c r="C1504" s="97"/>
      <c r="D1504" s="121">
        <v>44347</v>
      </c>
      <c r="E1504" s="121"/>
      <c r="F1504" s="121"/>
      <c r="G1504" s="121"/>
      <c r="H1504" s="121"/>
      <c r="J1504" s="24" t="str">
        <f t="shared" ref="J1504" si="2289">CONCATENATE(J1501,3)</f>
        <v>53</v>
      </c>
      <c r="K1504" s="6"/>
      <c r="L1504" s="6"/>
      <c r="M1504" s="6"/>
      <c r="N1504" s="6" t="s">
        <v>43</v>
      </c>
      <c r="O1504" s="25">
        <f t="shared" ref="O1504" si="2290">J1501-2</f>
        <v>3</v>
      </c>
      <c r="P1504" s="6" t="s">
        <v>44</v>
      </c>
      <c r="Q1504" s="25">
        <f t="shared" ref="Q1504" si="2291">VLOOKUP(J1504,J1506:S1536,3,FALSE)</f>
        <v>6.2322357055087707E-2</v>
      </c>
      <c r="R1504" s="6" t="s">
        <v>45</v>
      </c>
      <c r="S1504" s="6">
        <f t="shared" ref="S1504" si="2292">VLOOKUP(J1504,J1506:S1536,2,FALSE)</f>
        <v>0.99999873893630231</v>
      </c>
      <c r="T1504" s="9"/>
      <c r="U1504" s="1">
        <f t="shared" si="2257"/>
        <v>35</v>
      </c>
      <c r="V1504" s="1">
        <f t="shared" si="2258"/>
        <v>207</v>
      </c>
    </row>
    <row r="1505" spans="1:22" x14ac:dyDescent="0.3">
      <c r="A1505" s="1">
        <f t="shared" si="2255"/>
        <v>35208</v>
      </c>
      <c r="B1505" s="96" t="s">
        <v>17</v>
      </c>
      <c r="C1505" s="97"/>
      <c r="D1505" s="122">
        <v>44530</v>
      </c>
      <c r="E1505" s="122"/>
      <c r="F1505" s="122"/>
      <c r="G1505" s="122"/>
      <c r="H1505" s="122"/>
      <c r="K1505" s="1">
        <v>3</v>
      </c>
      <c r="L1505" s="1">
        <v>3</v>
      </c>
      <c r="Q1505" s="26"/>
      <c r="R1505" s="26"/>
      <c r="S1505" s="26"/>
      <c r="T1505" s="9"/>
      <c r="U1505" s="1">
        <f t="shared" si="2257"/>
        <v>35</v>
      </c>
      <c r="V1505" s="1">
        <f t="shared" si="2258"/>
        <v>208</v>
      </c>
    </row>
    <row r="1506" spans="1:22" x14ac:dyDescent="0.3">
      <c r="A1506" s="1">
        <f t="shared" si="2255"/>
        <v>35209</v>
      </c>
      <c r="B1506" s="77" t="s">
        <v>19</v>
      </c>
      <c r="C1506" s="78"/>
      <c r="D1506" s="17">
        <v>0.1</v>
      </c>
      <c r="E1506" s="79" t="s">
        <v>40</v>
      </c>
      <c r="F1506" s="80"/>
      <c r="G1506" s="81"/>
      <c r="H1506" s="18" t="s">
        <v>69</v>
      </c>
      <c r="J1506" s="24" t="str">
        <f t="shared" ref="J1506" si="2293">CONCATENATE(K1505,1)</f>
        <v>31</v>
      </c>
      <c r="K1506" s="6">
        <f t="array" ref="K1506:L1508">LINEST(B1514:B1516,C1514:C1516^{1},TRUE,TRUE)</f>
        <v>0.99255379411692291</v>
      </c>
      <c r="L1506" s="6">
        <v>9.0963573522049757E-2</v>
      </c>
      <c r="Q1506" s="9"/>
      <c r="R1506" s="9"/>
      <c r="S1506" s="9"/>
      <c r="T1506" s="9"/>
      <c r="U1506" s="1">
        <f t="shared" si="2257"/>
        <v>35</v>
      </c>
      <c r="V1506" s="1">
        <f t="shared" si="2258"/>
        <v>209</v>
      </c>
    </row>
    <row r="1507" spans="1:22" x14ac:dyDescent="0.3">
      <c r="A1507" s="1">
        <f t="shared" si="2255"/>
        <v>35210</v>
      </c>
      <c r="B1507" s="77" t="s">
        <v>41</v>
      </c>
      <c r="C1507" s="78"/>
      <c r="D1507" s="23">
        <f t="shared" ref="D1507" si="2294">MIN(B1514:B1523)</f>
        <v>-30</v>
      </c>
      <c r="E1507" s="20" t="s">
        <v>18</v>
      </c>
      <c r="F1507" s="19">
        <f t="shared" ref="F1507" si="2295">MAX(B1514:B1523)</f>
        <v>40</v>
      </c>
      <c r="G1507" s="21" t="str">
        <f t="shared" ref="G1507" si="2296">IF(H1506="","",H1506)</f>
        <v>°CTd</v>
      </c>
      <c r="H1507" s="22"/>
      <c r="J1507" s="24" t="str">
        <f t="shared" ref="J1507" si="2297">CONCATENATE(K1505,2)</f>
        <v>32</v>
      </c>
      <c r="K1507" s="6">
        <v>1.4219632759767946E-3</v>
      </c>
      <c r="L1507" s="6">
        <v>2.7501054050544316E-2</v>
      </c>
      <c r="Q1507" s="9"/>
      <c r="R1507" s="9"/>
      <c r="S1507" s="9"/>
      <c r="T1507" s="9"/>
      <c r="U1507" s="1">
        <f t="shared" si="2257"/>
        <v>35</v>
      </c>
      <c r="V1507" s="1">
        <f t="shared" si="2258"/>
        <v>210</v>
      </c>
    </row>
    <row r="1508" spans="1:22" x14ac:dyDescent="0.3">
      <c r="A1508" s="1">
        <f t="shared" si="2255"/>
        <v>35211</v>
      </c>
      <c r="J1508" s="24" t="str">
        <f t="shared" ref="J1508" si="2298">CONCATENATE(K1505,3)</f>
        <v>33</v>
      </c>
      <c r="K1508" s="6">
        <v>0.99999794757279958</v>
      </c>
      <c r="L1508" s="6">
        <v>4.0520880547269655E-2</v>
      </c>
      <c r="Q1508" s="9"/>
      <c r="R1508" s="9"/>
      <c r="S1508" s="9"/>
      <c r="T1508" s="9"/>
      <c r="U1508" s="1">
        <f t="shared" si="2257"/>
        <v>35</v>
      </c>
      <c r="V1508" s="1">
        <f t="shared" si="2258"/>
        <v>211</v>
      </c>
    </row>
    <row r="1509" spans="1:22" x14ac:dyDescent="0.3">
      <c r="A1509" s="1">
        <f t="shared" si="2255"/>
        <v>35212</v>
      </c>
      <c r="B1509" s="82" t="s">
        <v>20</v>
      </c>
      <c r="C1509" s="83"/>
      <c r="D1509" s="83"/>
      <c r="E1509" s="83"/>
      <c r="F1509" s="84"/>
      <c r="G1509" s="85" t="s">
        <v>31</v>
      </c>
      <c r="H1509" s="86"/>
      <c r="K1509" s="1">
        <v>4</v>
      </c>
      <c r="L1509" s="1">
        <v>4</v>
      </c>
      <c r="M1509" s="1">
        <v>4</v>
      </c>
      <c r="Q1509" s="9"/>
      <c r="R1509" s="9"/>
      <c r="S1509" s="9"/>
      <c r="T1509" s="9"/>
      <c r="U1509" s="1">
        <f t="shared" si="2257"/>
        <v>35</v>
      </c>
      <c r="V1509" s="1">
        <f t="shared" si="2258"/>
        <v>212</v>
      </c>
    </row>
    <row r="1510" spans="1:22" x14ac:dyDescent="0.3">
      <c r="A1510" s="1">
        <f t="shared" si="2255"/>
        <v>35213</v>
      </c>
      <c r="B1510" s="82" t="s">
        <v>30</v>
      </c>
      <c r="C1510" s="83"/>
      <c r="D1510" s="84"/>
      <c r="E1510" s="82" t="str">
        <f t="shared" ref="E1510" si="2299">D1503</f>
        <v>R0212/21</v>
      </c>
      <c r="F1510" s="84"/>
      <c r="G1510" s="6" t="s">
        <v>32</v>
      </c>
      <c r="H1510" s="7"/>
      <c r="J1510" s="24" t="str">
        <f t="shared" ref="J1510" si="2300">CONCATENATE(K1509,1)</f>
        <v>41</v>
      </c>
      <c r="K1510" s="6">
        <f t="array" ref="K1510:M1512">LINEST(B1514:B1517,C1514:C1517^{1,2},TRUE,TRUE)</f>
        <v>-1.8507054017112855E-4</v>
      </c>
      <c r="L1510" s="6">
        <v>0.98849385090716935</v>
      </c>
      <c r="M1510" s="6">
        <v>0.11657575800441151</v>
      </c>
      <c r="Q1510" s="9"/>
      <c r="R1510" s="9"/>
      <c r="S1510" s="9"/>
      <c r="T1510" s="9"/>
      <c r="U1510" s="1">
        <f t="shared" si="2257"/>
        <v>35</v>
      </c>
      <c r="V1510" s="1">
        <f t="shared" si="2258"/>
        <v>213</v>
      </c>
    </row>
    <row r="1511" spans="1:22" x14ac:dyDescent="0.3">
      <c r="A1511" s="1">
        <f t="shared" si="2255"/>
        <v>35214</v>
      </c>
      <c r="B1511" s="2" t="s">
        <v>21</v>
      </c>
      <c r="C1511" s="2" t="s">
        <v>22</v>
      </c>
      <c r="D1511" s="2" t="s">
        <v>23</v>
      </c>
      <c r="E1511" s="2"/>
      <c r="F1511" s="2" t="s">
        <v>28</v>
      </c>
      <c r="G1511" s="2" t="s">
        <v>21</v>
      </c>
      <c r="H1511" s="2" t="s">
        <v>22</v>
      </c>
      <c r="J1511" s="24" t="str">
        <f t="shared" ref="J1511" si="2301">CONCATENATE(K1509,2)</f>
        <v>42</v>
      </c>
      <c r="K1511" s="6">
        <v>3.5891439322559613E-5</v>
      </c>
      <c r="L1511" s="6">
        <v>6.0395684229380166E-4</v>
      </c>
      <c r="M1511" s="6">
        <v>1.9663072195061228E-2</v>
      </c>
      <c r="Q1511" s="9"/>
      <c r="R1511" s="9"/>
      <c r="S1511" s="9"/>
      <c r="T1511" s="9"/>
      <c r="U1511" s="1">
        <f t="shared" si="2257"/>
        <v>35</v>
      </c>
      <c r="V1511" s="1">
        <f t="shared" si="2258"/>
        <v>214</v>
      </c>
    </row>
    <row r="1512" spans="1:22" x14ac:dyDescent="0.3">
      <c r="A1512" s="1">
        <f t="shared" si="2255"/>
        <v>35215</v>
      </c>
      <c r="B1512" s="2" t="s">
        <v>24</v>
      </c>
      <c r="C1512" s="2" t="s">
        <v>25</v>
      </c>
      <c r="D1512" s="2" t="s">
        <v>26</v>
      </c>
      <c r="E1512" s="2" t="s">
        <v>27</v>
      </c>
      <c r="F1512" s="2" t="s">
        <v>29</v>
      </c>
      <c r="G1512" s="2" t="s">
        <v>24</v>
      </c>
      <c r="H1512" s="2" t="s">
        <v>25</v>
      </c>
      <c r="J1512" s="24" t="str">
        <f t="shared" ref="J1512" si="2302">CONCATENATE(K1509,3)</f>
        <v>43</v>
      </c>
      <c r="K1512" s="6">
        <v>0.99999966512393812</v>
      </c>
      <c r="L1512" s="6">
        <v>2.3991003136188738E-2</v>
      </c>
      <c r="M1512" s="6" t="e">
        <v>#N/A</v>
      </c>
      <c r="Q1512" s="9"/>
      <c r="R1512" s="9"/>
      <c r="S1512" s="9"/>
      <c r="T1512" s="9"/>
      <c r="U1512" s="1">
        <f t="shared" si="2257"/>
        <v>35</v>
      </c>
      <c r="V1512" s="1">
        <f t="shared" si="2258"/>
        <v>215</v>
      </c>
    </row>
    <row r="1513" spans="1:22" x14ac:dyDescent="0.3">
      <c r="A1513" s="1">
        <f t="shared" si="2255"/>
        <v>35216</v>
      </c>
      <c r="B1513" s="3" t="str">
        <f t="shared" ref="B1513" si="2303">H1506</f>
        <v>°CTd</v>
      </c>
      <c r="C1513" s="3" t="str">
        <f t="shared" ref="C1513" si="2304">B1513</f>
        <v>°CTd</v>
      </c>
      <c r="D1513" s="3" t="str">
        <f t="shared" ref="D1513" si="2305">C1513</f>
        <v>°CTd</v>
      </c>
      <c r="E1513" s="3"/>
      <c r="F1513" s="3"/>
      <c r="G1513" s="3" t="str">
        <f t="shared" ref="G1513" si="2306">D1513</f>
        <v>°CTd</v>
      </c>
      <c r="H1513" s="3" t="str">
        <f t="shared" ref="H1513" si="2307">G1513</f>
        <v>°CTd</v>
      </c>
      <c r="K1513" s="1">
        <v>5</v>
      </c>
      <c r="L1513" s="1">
        <v>5</v>
      </c>
      <c r="M1513" s="1">
        <v>5</v>
      </c>
      <c r="N1513" s="1">
        <v>5</v>
      </c>
      <c r="Q1513" s="9"/>
      <c r="R1513" s="9"/>
      <c r="S1513" s="9"/>
      <c r="T1513" s="9"/>
      <c r="U1513" s="1">
        <f t="shared" si="2257"/>
        <v>35</v>
      </c>
      <c r="V1513" s="1">
        <f t="shared" si="2258"/>
        <v>216</v>
      </c>
    </row>
    <row r="1514" spans="1:22" x14ac:dyDescent="0.3">
      <c r="A1514" s="1">
        <f t="shared" si="2255"/>
        <v>35217</v>
      </c>
      <c r="B1514" s="4">
        <v>-30</v>
      </c>
      <c r="C1514" s="41">
        <v>-30.3</v>
      </c>
      <c r="D1514" s="4">
        <v>0.3</v>
      </c>
      <c r="E1514" s="4">
        <v>2</v>
      </c>
      <c r="F1514" s="14">
        <v>1000000</v>
      </c>
      <c r="G1514" s="42"/>
      <c r="H1514" s="42"/>
      <c r="J1514" s="24" t="str">
        <f t="shared" ref="J1514" si="2308">CONCATENATE(K1513,1)</f>
        <v>51</v>
      </c>
      <c r="K1514" s="6">
        <f t="array" ref="K1514:N1516">LINEST(B1514:B1518,C1514:C1518^{1,2,3},TRUE,TRUE)</f>
        <v>3.6920365546713187E-6</v>
      </c>
      <c r="L1514" s="6">
        <v>-1.2581358710956196E-4</v>
      </c>
      <c r="M1514" s="6">
        <v>0.98640446154556882</v>
      </c>
      <c r="N1514" s="6">
        <v>0.1010627131224516</v>
      </c>
      <c r="Q1514" s="9"/>
      <c r="R1514" s="9"/>
      <c r="S1514" s="9"/>
      <c r="T1514" s="9"/>
      <c r="U1514" s="1">
        <f t="shared" si="2257"/>
        <v>35</v>
      </c>
      <c r="V1514" s="1">
        <f t="shared" si="2258"/>
        <v>217</v>
      </c>
    </row>
    <row r="1515" spans="1:22" x14ac:dyDescent="0.3">
      <c r="A1515" s="1">
        <f t="shared" si="2255"/>
        <v>35218</v>
      </c>
      <c r="B1515" s="4">
        <v>-10</v>
      </c>
      <c r="C1515" s="41">
        <v>-10.199999999999999</v>
      </c>
      <c r="D1515" s="4">
        <v>0.3</v>
      </c>
      <c r="E1515" s="4">
        <v>2</v>
      </c>
      <c r="F1515" s="14">
        <v>1000000</v>
      </c>
      <c r="G1515" s="42"/>
      <c r="H1515" s="42"/>
      <c r="J1515" s="24" t="str">
        <f t="shared" ref="J1515" si="2309">CONCATENATE(K1513,2)</f>
        <v>52</v>
      </c>
      <c r="K1515" s="6">
        <v>2.966372713359408E-6</v>
      </c>
      <c r="L1515" s="6">
        <v>7.1569941590322089E-5</v>
      </c>
      <c r="M1515" s="6">
        <v>3.145755198235946E-3</v>
      </c>
      <c r="N1515" s="6">
        <v>4.8256811561834055E-2</v>
      </c>
      <c r="T1515" s="9"/>
      <c r="U1515" s="1">
        <f t="shared" si="2257"/>
        <v>35</v>
      </c>
      <c r="V1515" s="1">
        <f t="shared" si="2258"/>
        <v>218</v>
      </c>
    </row>
    <row r="1516" spans="1:22" x14ac:dyDescent="0.3">
      <c r="A1516" s="1">
        <f t="shared" si="2255"/>
        <v>35219</v>
      </c>
      <c r="B1516" s="4">
        <v>10</v>
      </c>
      <c r="C1516" s="41">
        <v>10</v>
      </c>
      <c r="D1516" s="4">
        <v>0.3</v>
      </c>
      <c r="E1516" s="4">
        <v>2</v>
      </c>
      <c r="F1516" s="14">
        <v>1000000</v>
      </c>
      <c r="G1516" s="42"/>
      <c r="H1516" s="42"/>
      <c r="J1516" s="24" t="str">
        <f t="shared" ref="J1516" si="2310">CONCATENATE(K1513,3)</f>
        <v>53</v>
      </c>
      <c r="K1516" s="6">
        <v>0.99999873893630231</v>
      </c>
      <c r="L1516" s="6">
        <v>6.2322357055087707E-2</v>
      </c>
      <c r="M1516" s="6" t="e">
        <v>#N/A</v>
      </c>
      <c r="N1516" s="6" t="e">
        <v>#N/A</v>
      </c>
      <c r="T1516" s="9"/>
      <c r="U1516" s="1">
        <f t="shared" si="2257"/>
        <v>35</v>
      </c>
      <c r="V1516" s="1">
        <f t="shared" si="2258"/>
        <v>219</v>
      </c>
    </row>
    <row r="1517" spans="1:22" x14ac:dyDescent="0.3">
      <c r="A1517" s="1">
        <f t="shared" si="2255"/>
        <v>35220</v>
      </c>
      <c r="B1517" s="4">
        <v>25</v>
      </c>
      <c r="C1517" s="41">
        <v>25.3</v>
      </c>
      <c r="D1517" s="4">
        <v>0.4</v>
      </c>
      <c r="E1517" s="4">
        <v>2</v>
      </c>
      <c r="F1517" s="14">
        <v>1000000</v>
      </c>
      <c r="G1517" s="42"/>
      <c r="H1517" s="42"/>
      <c r="K1517" s="1">
        <v>6</v>
      </c>
      <c r="L1517" s="1">
        <v>6</v>
      </c>
      <c r="M1517" s="1">
        <v>6</v>
      </c>
      <c r="N1517" s="1">
        <v>6</v>
      </c>
      <c r="O1517" s="1">
        <v>6</v>
      </c>
      <c r="T1517" s="9"/>
      <c r="U1517" s="1">
        <f t="shared" si="2257"/>
        <v>35</v>
      </c>
      <c r="V1517" s="1">
        <f t="shared" si="2258"/>
        <v>220</v>
      </c>
    </row>
    <row r="1518" spans="1:22" x14ac:dyDescent="0.3">
      <c r="A1518" s="1">
        <f t="shared" si="2255"/>
        <v>35221</v>
      </c>
      <c r="B1518" s="4">
        <v>40</v>
      </c>
      <c r="C1518" s="41">
        <v>40.4</v>
      </c>
      <c r="D1518" s="4">
        <v>0.4</v>
      </c>
      <c r="E1518" s="4">
        <v>2</v>
      </c>
      <c r="F1518" s="14">
        <v>1000000</v>
      </c>
      <c r="G1518" s="42"/>
      <c r="H1518" s="42"/>
      <c r="J1518" s="24" t="str">
        <f t="shared" ref="J1518" si="2311">CONCATENATE(K1517,1)</f>
        <v>61</v>
      </c>
      <c r="K1518" s="6" t="e">
        <f t="array" ref="K1518:O1520">LINEST(B1514:B1519,C1514:C1519^{1,2,3,4},TRUE,TRUE)</f>
        <v>#VALUE!</v>
      </c>
      <c r="L1518" s="6" t="e">
        <v>#VALUE!</v>
      </c>
      <c r="M1518" s="6" t="e">
        <v>#VALUE!</v>
      </c>
      <c r="N1518" s="6" t="e">
        <v>#VALUE!</v>
      </c>
      <c r="O1518" s="6" t="e">
        <v>#VALUE!</v>
      </c>
      <c r="T1518" s="9"/>
      <c r="U1518" s="1">
        <f t="shared" si="2257"/>
        <v>35</v>
      </c>
      <c r="V1518" s="1">
        <f t="shared" si="2258"/>
        <v>221</v>
      </c>
    </row>
    <row r="1519" spans="1:22" x14ac:dyDescent="0.3">
      <c r="A1519" s="1">
        <f t="shared" si="2255"/>
        <v>35222</v>
      </c>
      <c r="B1519" s="4"/>
      <c r="C1519" s="4"/>
      <c r="D1519" s="4"/>
      <c r="E1519" s="4"/>
      <c r="F1519" s="14"/>
      <c r="G1519" s="8"/>
      <c r="H1519" s="7"/>
      <c r="J1519" s="24" t="str">
        <f t="shared" ref="J1519" si="2312">CONCATENATE(K1517,2)</f>
        <v>62</v>
      </c>
      <c r="K1519" s="6" t="e">
        <v>#VALUE!</v>
      </c>
      <c r="L1519" s="6" t="e">
        <v>#VALUE!</v>
      </c>
      <c r="M1519" s="6" t="e">
        <v>#VALUE!</v>
      </c>
      <c r="N1519" s="6" t="e">
        <v>#VALUE!</v>
      </c>
      <c r="O1519" s="6" t="e">
        <v>#VALUE!</v>
      </c>
      <c r="T1519" s="9"/>
      <c r="U1519" s="1">
        <f t="shared" si="2257"/>
        <v>35</v>
      </c>
      <c r="V1519" s="1">
        <f t="shared" si="2258"/>
        <v>222</v>
      </c>
    </row>
    <row r="1520" spans="1:22" x14ac:dyDescent="0.3">
      <c r="A1520" s="1">
        <f t="shared" si="2255"/>
        <v>35223</v>
      </c>
      <c r="B1520" s="4"/>
      <c r="C1520" s="4"/>
      <c r="D1520" s="4"/>
      <c r="E1520" s="4"/>
      <c r="F1520" s="14"/>
      <c r="G1520" s="8"/>
      <c r="H1520" s="7"/>
      <c r="J1520" s="24" t="str">
        <f t="shared" ref="J1520" si="2313">CONCATENATE(K1517,3)</f>
        <v>63</v>
      </c>
      <c r="K1520" s="6" t="e">
        <v>#VALUE!</v>
      </c>
      <c r="L1520" s="6" t="e">
        <v>#VALUE!</v>
      </c>
      <c r="M1520" s="6" t="e">
        <v>#VALUE!</v>
      </c>
      <c r="N1520" s="6" t="e">
        <v>#VALUE!</v>
      </c>
      <c r="O1520" s="6" t="e">
        <v>#VALUE!</v>
      </c>
      <c r="T1520" s="9"/>
      <c r="U1520" s="1">
        <f t="shared" si="2257"/>
        <v>35</v>
      </c>
      <c r="V1520" s="1">
        <f t="shared" si="2258"/>
        <v>223</v>
      </c>
    </row>
    <row r="1521" spans="1:22" x14ac:dyDescent="0.3">
      <c r="A1521" s="1">
        <f t="shared" si="2255"/>
        <v>35224</v>
      </c>
      <c r="B1521" s="4"/>
      <c r="C1521" s="4"/>
      <c r="D1521" s="4"/>
      <c r="E1521" s="4"/>
      <c r="F1521" s="14"/>
      <c r="G1521" s="8"/>
      <c r="H1521" s="7"/>
      <c r="K1521" s="1">
        <v>7</v>
      </c>
      <c r="L1521" s="1">
        <v>7</v>
      </c>
      <c r="M1521" s="1">
        <v>7</v>
      </c>
      <c r="N1521" s="1">
        <v>7</v>
      </c>
      <c r="O1521" s="1">
        <v>7</v>
      </c>
      <c r="P1521" s="1">
        <v>7</v>
      </c>
      <c r="T1521" s="9"/>
      <c r="U1521" s="1">
        <f t="shared" si="2257"/>
        <v>35</v>
      </c>
      <c r="V1521" s="1">
        <f t="shared" si="2258"/>
        <v>224</v>
      </c>
    </row>
    <row r="1522" spans="1:22" x14ac:dyDescent="0.3">
      <c r="A1522" s="1">
        <f t="shared" si="2255"/>
        <v>35225</v>
      </c>
      <c r="B1522" s="4"/>
      <c r="C1522" s="4"/>
      <c r="D1522" s="4"/>
      <c r="E1522" s="4"/>
      <c r="F1522" s="14"/>
      <c r="G1522" s="8"/>
      <c r="H1522" s="7"/>
      <c r="J1522" s="24" t="str">
        <f t="shared" ref="J1522" si="2314">CONCATENATE(K1521,1)</f>
        <v>71</v>
      </c>
      <c r="K1522" s="6" t="e">
        <f t="array" ref="K1522:P1524">LINEST(B1514:B1520,C1514:C1520^{1,2,3,4,5},TRUE,TRUE)</f>
        <v>#VALUE!</v>
      </c>
      <c r="L1522" s="6" t="e">
        <v>#VALUE!</v>
      </c>
      <c r="M1522" s="6" t="e">
        <v>#VALUE!</v>
      </c>
      <c r="N1522" s="6" t="e">
        <v>#VALUE!</v>
      </c>
      <c r="O1522" s="6" t="e">
        <v>#VALUE!</v>
      </c>
      <c r="P1522" s="6" t="e">
        <v>#VALUE!</v>
      </c>
      <c r="T1522" s="9"/>
      <c r="U1522" s="1">
        <f t="shared" si="2257"/>
        <v>35</v>
      </c>
      <c r="V1522" s="1">
        <f t="shared" si="2258"/>
        <v>225</v>
      </c>
    </row>
    <row r="1523" spans="1:22" x14ac:dyDescent="0.3">
      <c r="A1523" s="1">
        <f t="shared" si="2255"/>
        <v>35226</v>
      </c>
      <c r="B1523" s="4"/>
      <c r="C1523" s="4"/>
      <c r="D1523" s="4"/>
      <c r="E1523" s="4"/>
      <c r="F1523" s="14"/>
      <c r="G1523" s="8"/>
      <c r="H1523" s="7"/>
      <c r="J1523" s="24" t="str">
        <f t="shared" ref="J1523" si="2315">CONCATENATE(K1521,2)</f>
        <v>72</v>
      </c>
      <c r="K1523" s="6" t="e">
        <v>#VALUE!</v>
      </c>
      <c r="L1523" s="6" t="e">
        <v>#VALUE!</v>
      </c>
      <c r="M1523" s="6" t="e">
        <v>#VALUE!</v>
      </c>
      <c r="N1523" s="6" t="e">
        <v>#VALUE!</v>
      </c>
      <c r="O1523" s="6" t="e">
        <v>#VALUE!</v>
      </c>
      <c r="P1523" s="6" t="e">
        <v>#VALUE!</v>
      </c>
      <c r="T1523" s="9"/>
      <c r="U1523" s="1">
        <f t="shared" si="2257"/>
        <v>35</v>
      </c>
      <c r="V1523" s="1">
        <f t="shared" si="2258"/>
        <v>226</v>
      </c>
    </row>
    <row r="1524" spans="1:22" x14ac:dyDescent="0.3">
      <c r="A1524" s="1">
        <f t="shared" si="2255"/>
        <v>35227</v>
      </c>
      <c r="B1524" s="9"/>
      <c r="C1524" s="9"/>
      <c r="D1524" s="9"/>
      <c r="E1524" s="9"/>
      <c r="F1524" s="9"/>
      <c r="G1524" s="9"/>
      <c r="H1524" s="9"/>
      <c r="J1524" s="24" t="str">
        <f t="shared" ref="J1524" si="2316">CONCATENATE(K1521,3)</f>
        <v>73</v>
      </c>
      <c r="K1524" s="6" t="e">
        <v>#VALUE!</v>
      </c>
      <c r="L1524" s="6" t="e">
        <v>#VALUE!</v>
      </c>
      <c r="M1524" s="6" t="e">
        <v>#VALUE!</v>
      </c>
      <c r="N1524" s="6" t="e">
        <v>#VALUE!</v>
      </c>
      <c r="O1524" s="6" t="e">
        <v>#VALUE!</v>
      </c>
      <c r="P1524" s="6" t="e">
        <v>#VALUE!</v>
      </c>
      <c r="T1524" s="9"/>
      <c r="U1524" s="1">
        <f t="shared" si="2257"/>
        <v>35</v>
      </c>
      <c r="V1524" s="1">
        <f t="shared" si="2258"/>
        <v>227</v>
      </c>
    </row>
    <row r="1525" spans="1:22" x14ac:dyDescent="0.3">
      <c r="A1525" s="1">
        <f t="shared" si="2255"/>
        <v>35228</v>
      </c>
      <c r="B1525" s="87" t="s">
        <v>33</v>
      </c>
      <c r="C1525" s="88"/>
      <c r="D1525" s="88"/>
      <c r="E1525" s="88"/>
      <c r="F1525" s="88"/>
      <c r="G1525" s="88"/>
      <c r="H1525" s="89"/>
      <c r="K1525" s="1">
        <v>8</v>
      </c>
      <c r="L1525" s="1">
        <v>8</v>
      </c>
      <c r="M1525" s="1">
        <v>8</v>
      </c>
      <c r="N1525" s="1">
        <v>8</v>
      </c>
      <c r="O1525" s="1">
        <v>8</v>
      </c>
      <c r="P1525" s="1">
        <v>8</v>
      </c>
      <c r="Q1525" s="1">
        <v>8</v>
      </c>
      <c r="T1525" s="9"/>
      <c r="U1525" s="1">
        <f t="shared" si="2257"/>
        <v>35</v>
      </c>
      <c r="V1525" s="1">
        <f t="shared" si="2258"/>
        <v>228</v>
      </c>
    </row>
    <row r="1526" spans="1:22" x14ac:dyDescent="0.3">
      <c r="A1526" s="1">
        <f t="shared" si="2255"/>
        <v>35229</v>
      </c>
      <c r="B1526" s="119" t="s">
        <v>120</v>
      </c>
      <c r="C1526" s="91"/>
      <c r="D1526" s="91"/>
      <c r="E1526" s="91"/>
      <c r="F1526" s="91"/>
      <c r="G1526" s="91"/>
      <c r="H1526" s="92"/>
      <c r="J1526" s="24" t="str">
        <f t="shared" ref="J1526" si="2317">CONCATENATE(K1525,1)</f>
        <v>81</v>
      </c>
      <c r="K1526" s="6" t="e">
        <f t="array" ref="K1526:Q1528">LINEST(B1514:B1521,C1514:C1521^{1,2,3,4,5,6},TRUE,TRUE)</f>
        <v>#VALUE!</v>
      </c>
      <c r="L1526" s="6" t="e">
        <v>#VALUE!</v>
      </c>
      <c r="M1526" s="6" t="e">
        <v>#VALUE!</v>
      </c>
      <c r="N1526" s="6" t="e">
        <v>#VALUE!</v>
      </c>
      <c r="O1526" s="6" t="e">
        <v>#VALUE!</v>
      </c>
      <c r="P1526" s="6" t="e">
        <v>#VALUE!</v>
      </c>
      <c r="Q1526" s="6" t="e">
        <v>#VALUE!</v>
      </c>
      <c r="T1526" s="9"/>
      <c r="U1526" s="1">
        <f t="shared" si="2257"/>
        <v>35</v>
      </c>
      <c r="V1526" s="1">
        <f t="shared" si="2258"/>
        <v>229</v>
      </c>
    </row>
    <row r="1527" spans="1:22" x14ac:dyDescent="0.3">
      <c r="A1527" s="1">
        <f t="shared" si="2255"/>
        <v>35230</v>
      </c>
      <c r="B1527" s="93"/>
      <c r="C1527" s="94"/>
      <c r="D1527" s="94"/>
      <c r="E1527" s="94"/>
      <c r="F1527" s="94"/>
      <c r="G1527" s="94"/>
      <c r="H1527" s="95"/>
      <c r="J1527" s="24" t="str">
        <f t="shared" ref="J1527" si="2318">CONCATENATE(K1525,2)</f>
        <v>82</v>
      </c>
      <c r="K1527" s="6" t="e">
        <v>#VALUE!</v>
      </c>
      <c r="L1527" s="6" t="e">
        <v>#VALUE!</v>
      </c>
      <c r="M1527" s="6" t="e">
        <v>#VALUE!</v>
      </c>
      <c r="N1527" s="6" t="e">
        <v>#VALUE!</v>
      </c>
      <c r="O1527" s="6" t="e">
        <v>#VALUE!</v>
      </c>
      <c r="P1527" s="6" t="e">
        <v>#VALUE!</v>
      </c>
      <c r="Q1527" s="6" t="e">
        <v>#VALUE!</v>
      </c>
      <c r="T1527" s="9"/>
      <c r="U1527" s="1">
        <f t="shared" si="2257"/>
        <v>35</v>
      </c>
      <c r="V1527" s="1">
        <f t="shared" si="2258"/>
        <v>230</v>
      </c>
    </row>
    <row r="1528" spans="1:22" x14ac:dyDescent="0.3">
      <c r="A1528" s="1">
        <f t="shared" si="2255"/>
        <v>35231</v>
      </c>
      <c r="J1528" s="24" t="str">
        <f t="shared" ref="J1528" si="2319">CONCATENATE(K1525,3)</f>
        <v>83</v>
      </c>
      <c r="K1528" s="6" t="e">
        <v>#VALUE!</v>
      </c>
      <c r="L1528" s="6" t="e">
        <v>#VALUE!</v>
      </c>
      <c r="M1528" s="6" t="e">
        <v>#VALUE!</v>
      </c>
      <c r="N1528" s="6" t="e">
        <v>#VALUE!</v>
      </c>
      <c r="O1528" s="6" t="e">
        <v>#VALUE!</v>
      </c>
      <c r="P1528" s="6" t="e">
        <v>#VALUE!</v>
      </c>
      <c r="Q1528" s="6" t="e">
        <v>#VALUE!</v>
      </c>
      <c r="T1528" s="9"/>
      <c r="U1528" s="1">
        <f t="shared" si="2257"/>
        <v>35</v>
      </c>
      <c r="V1528" s="1">
        <f t="shared" si="2258"/>
        <v>231</v>
      </c>
    </row>
    <row r="1529" spans="1:22" ht="15" customHeight="1" x14ac:dyDescent="0.3">
      <c r="A1529" s="1">
        <f t="shared" si="2255"/>
        <v>35232</v>
      </c>
      <c r="B1529" s="10" t="s">
        <v>34</v>
      </c>
      <c r="C1529" s="10" t="s">
        <v>35</v>
      </c>
      <c r="D1529" s="10" t="s">
        <v>36</v>
      </c>
      <c r="E1529" s="74" t="s">
        <v>37</v>
      </c>
      <c r="F1529" s="75"/>
      <c r="G1529" s="76"/>
      <c r="K1529" s="1">
        <v>9</v>
      </c>
      <c r="L1529" s="1">
        <v>9</v>
      </c>
      <c r="M1529" s="1">
        <v>9</v>
      </c>
      <c r="N1529" s="1">
        <v>9</v>
      </c>
      <c r="O1529" s="1">
        <v>9</v>
      </c>
      <c r="P1529" s="1">
        <v>9</v>
      </c>
      <c r="Q1529" s="1">
        <v>9</v>
      </c>
      <c r="R1529" s="1">
        <v>9</v>
      </c>
      <c r="T1529" s="9"/>
      <c r="U1529" s="1">
        <f t="shared" si="2257"/>
        <v>35</v>
      </c>
      <c r="V1529" s="1">
        <f t="shared" si="2258"/>
        <v>232</v>
      </c>
    </row>
    <row r="1530" spans="1:22" x14ac:dyDescent="0.3">
      <c r="A1530" s="1">
        <f t="shared" si="2255"/>
        <v>35233</v>
      </c>
      <c r="B1530" s="12">
        <f t="shared" ref="B1530:B1539" si="2320">C1514-B1514</f>
        <v>-0.30000000000000071</v>
      </c>
      <c r="C1530" s="13">
        <f t="shared" ref="C1530:C1539" si="2321">H1514-G1514</f>
        <v>0</v>
      </c>
      <c r="D1530" s="10">
        <f t="shared" ref="D1530:D1539" si="2322">C1530-B1530</f>
        <v>0.30000000000000071</v>
      </c>
      <c r="E1530" s="11">
        <f t="shared" ref="E1530:E1532" si="2323">IF(D1503="","",MAX(F1530,G1530))</f>
        <v>0.39999999999999858</v>
      </c>
      <c r="F1530" s="10">
        <f t="shared" ref="F1530" si="2324">ABS(MIN(D1530:D1539))</f>
        <v>0.39999999999999858</v>
      </c>
      <c r="G1530" s="10">
        <f t="shared" ref="G1530" si="2325">ABS(MAX(D1530:D1539))</f>
        <v>0.30000000000000071</v>
      </c>
      <c r="H1530" s="1" t="s">
        <v>78</v>
      </c>
      <c r="J1530" s="24" t="str">
        <f t="shared" ref="J1530" si="2326">CONCATENATE(K1529,1)</f>
        <v>91</v>
      </c>
      <c r="K1530" s="6" t="e">
        <f t="array" ref="K1530:R1532">LINEST(B1514:B1522,C1514:C1522^{1,2,3,4,5,6,7},TRUE,TRUE)</f>
        <v>#VALUE!</v>
      </c>
      <c r="L1530" s="6" t="e">
        <v>#VALUE!</v>
      </c>
      <c r="M1530" s="6" t="e">
        <v>#VALUE!</v>
      </c>
      <c r="N1530" s="6" t="e">
        <v>#VALUE!</v>
      </c>
      <c r="O1530" s="6" t="e">
        <v>#VALUE!</v>
      </c>
      <c r="P1530" s="6" t="e">
        <v>#VALUE!</v>
      </c>
      <c r="Q1530" s="6" t="e">
        <v>#VALUE!</v>
      </c>
      <c r="R1530" s="6" t="e">
        <v>#VALUE!</v>
      </c>
      <c r="T1530" s="9"/>
      <c r="U1530" s="1">
        <f t="shared" si="2257"/>
        <v>35</v>
      </c>
      <c r="V1530" s="1">
        <f t="shared" si="2258"/>
        <v>233</v>
      </c>
    </row>
    <row r="1531" spans="1:22" x14ac:dyDescent="0.3">
      <c r="A1531" s="1">
        <f t="shared" si="2255"/>
        <v>35234</v>
      </c>
      <c r="B1531" s="12">
        <f t="shared" si="2320"/>
        <v>-0.19999999999999929</v>
      </c>
      <c r="C1531" s="13">
        <f t="shared" si="2321"/>
        <v>0</v>
      </c>
      <c r="D1531" s="10">
        <f t="shared" si="2322"/>
        <v>0.19999999999999929</v>
      </c>
      <c r="E1531" s="74" t="s">
        <v>38</v>
      </c>
      <c r="F1531" s="75"/>
      <c r="G1531" s="76"/>
      <c r="J1531" s="24" t="str">
        <f t="shared" ref="J1531" si="2327">CONCATENATE(K1529,2)</f>
        <v>92</v>
      </c>
      <c r="K1531" s="6" t="e">
        <v>#VALUE!</v>
      </c>
      <c r="L1531" s="6" t="e">
        <v>#VALUE!</v>
      </c>
      <c r="M1531" s="6" t="e">
        <v>#VALUE!</v>
      </c>
      <c r="N1531" s="6" t="e">
        <v>#VALUE!</v>
      </c>
      <c r="O1531" s="6" t="e">
        <v>#VALUE!</v>
      </c>
      <c r="P1531" s="6" t="e">
        <v>#VALUE!</v>
      </c>
      <c r="Q1531" s="6" t="e">
        <v>#VALUE!</v>
      </c>
      <c r="R1531" s="6" t="e">
        <v>#VALUE!</v>
      </c>
      <c r="T1531" s="9"/>
      <c r="U1531" s="1">
        <f t="shared" si="2257"/>
        <v>35</v>
      </c>
      <c r="V1531" s="1">
        <f t="shared" si="2258"/>
        <v>234</v>
      </c>
    </row>
    <row r="1532" spans="1:22" x14ac:dyDescent="0.3">
      <c r="A1532" s="1">
        <f t="shared" si="2255"/>
        <v>35235</v>
      </c>
      <c r="B1532" s="12">
        <f t="shared" si="2320"/>
        <v>0</v>
      </c>
      <c r="C1532" s="13">
        <f t="shared" si="2321"/>
        <v>0</v>
      </c>
      <c r="D1532" s="10">
        <f t="shared" si="2322"/>
        <v>0</v>
      </c>
      <c r="E1532" s="11">
        <f t="shared" si="2323"/>
        <v>0.39999999999999858</v>
      </c>
      <c r="F1532" s="10">
        <f t="shared" ref="F1532" si="2328">ABS(MIN(B1530:B1539))</f>
        <v>0.30000000000000071</v>
      </c>
      <c r="G1532" s="10">
        <f t="shared" ref="G1532" si="2329">ABS(MAX(B1530:B1539))</f>
        <v>0.39999999999999858</v>
      </c>
      <c r="J1532" s="24" t="str">
        <f t="shared" ref="J1532" si="2330">CONCATENATE(K1529,3)</f>
        <v>93</v>
      </c>
      <c r="K1532" s="6" t="e">
        <v>#VALUE!</v>
      </c>
      <c r="L1532" s="6" t="e">
        <v>#VALUE!</v>
      </c>
      <c r="M1532" s="6" t="e">
        <v>#VALUE!</v>
      </c>
      <c r="N1532" s="6" t="e">
        <v>#VALUE!</v>
      </c>
      <c r="O1532" s="6" t="e">
        <v>#VALUE!</v>
      </c>
      <c r="P1532" s="6" t="e">
        <v>#VALUE!</v>
      </c>
      <c r="Q1532" s="6" t="e">
        <v>#VALUE!</v>
      </c>
      <c r="R1532" s="6" t="e">
        <v>#VALUE!</v>
      </c>
      <c r="T1532" s="9"/>
      <c r="U1532" s="1">
        <f t="shared" si="2257"/>
        <v>35</v>
      </c>
      <c r="V1532" s="1">
        <f t="shared" si="2258"/>
        <v>235</v>
      </c>
    </row>
    <row r="1533" spans="1:22" x14ac:dyDescent="0.3">
      <c r="A1533" s="1">
        <f t="shared" si="2255"/>
        <v>35236</v>
      </c>
      <c r="B1533" s="12">
        <f t="shared" si="2320"/>
        <v>0.30000000000000071</v>
      </c>
      <c r="C1533" s="13">
        <f t="shared" si="2321"/>
        <v>0</v>
      </c>
      <c r="D1533" s="10">
        <f t="shared" si="2322"/>
        <v>-0.30000000000000071</v>
      </c>
      <c r="E1533" s="74" t="s">
        <v>39</v>
      </c>
      <c r="F1533" s="75"/>
      <c r="G1533" s="76"/>
      <c r="K1533" s="1">
        <v>10</v>
      </c>
      <c r="L1533" s="1">
        <v>10</v>
      </c>
      <c r="M1533" s="1">
        <v>10</v>
      </c>
      <c r="N1533" s="1">
        <v>10</v>
      </c>
      <c r="O1533" s="1">
        <v>10</v>
      </c>
      <c r="P1533" s="1">
        <v>10</v>
      </c>
      <c r="Q1533" s="1">
        <v>10</v>
      </c>
      <c r="R1533" s="1">
        <v>10</v>
      </c>
      <c r="S1533" s="1">
        <v>10</v>
      </c>
      <c r="T1533" s="9"/>
      <c r="U1533" s="1">
        <f t="shared" si="2257"/>
        <v>35</v>
      </c>
      <c r="V1533" s="1">
        <f t="shared" si="2258"/>
        <v>236</v>
      </c>
    </row>
    <row r="1534" spans="1:22" x14ac:dyDescent="0.3">
      <c r="A1534" s="1">
        <f t="shared" si="2255"/>
        <v>35237</v>
      </c>
      <c r="B1534" s="12">
        <f t="shared" si="2320"/>
        <v>0.39999999999999858</v>
      </c>
      <c r="C1534" s="13">
        <f t="shared" si="2321"/>
        <v>0</v>
      </c>
      <c r="D1534" s="10">
        <f t="shared" si="2322"/>
        <v>-0.39999999999999858</v>
      </c>
      <c r="E1534" s="11">
        <f t="shared" ref="E1534" si="2331">IF(D1505="","",MAX(F1534,G1534))</f>
        <v>0.4</v>
      </c>
      <c r="F1534" s="10">
        <f t="shared" ref="F1534" si="2332">ABS(MIN(D1514:D1523))</f>
        <v>0.3</v>
      </c>
      <c r="G1534" s="10">
        <f t="shared" ref="G1534" si="2333">ABS(MAX(D1514:D1523))</f>
        <v>0.4</v>
      </c>
      <c r="J1534" s="24" t="str">
        <f t="shared" ref="J1534" si="2334">CONCATENATE(K1533,1)</f>
        <v>101</v>
      </c>
      <c r="K1534" s="6" t="e">
        <f t="array" ref="K1534:S1536">LINEST(B1514:B1523,C1514:C1523^{1,2,3,4,5,6,7,8},TRUE,TRUE)</f>
        <v>#VALUE!</v>
      </c>
      <c r="L1534" s="6" t="e">
        <v>#VALUE!</v>
      </c>
      <c r="M1534" s="6" t="e">
        <v>#VALUE!</v>
      </c>
      <c r="N1534" s="6" t="e">
        <v>#VALUE!</v>
      </c>
      <c r="O1534" s="6" t="e">
        <v>#VALUE!</v>
      </c>
      <c r="P1534" s="6" t="e">
        <v>#VALUE!</v>
      </c>
      <c r="Q1534" s="6" t="e">
        <v>#VALUE!</v>
      </c>
      <c r="R1534" s="6" t="e">
        <v>#VALUE!</v>
      </c>
      <c r="S1534" s="6" t="e">
        <v>#VALUE!</v>
      </c>
      <c r="T1534" s="9"/>
      <c r="U1534" s="1">
        <f t="shared" si="2257"/>
        <v>35</v>
      </c>
      <c r="V1534" s="1">
        <f t="shared" si="2258"/>
        <v>237</v>
      </c>
    </row>
    <row r="1535" spans="1:22" x14ac:dyDescent="0.3">
      <c r="A1535" s="1">
        <f t="shared" si="2255"/>
        <v>35238</v>
      </c>
      <c r="B1535" s="12">
        <f t="shared" si="2320"/>
        <v>0</v>
      </c>
      <c r="C1535" s="13">
        <f t="shared" si="2321"/>
        <v>0</v>
      </c>
      <c r="D1535" s="10">
        <f t="shared" si="2322"/>
        <v>0</v>
      </c>
      <c r="J1535" s="24" t="str">
        <f t="shared" ref="J1535" si="2335">CONCATENATE(K1533,2)</f>
        <v>102</v>
      </c>
      <c r="K1535" s="6" t="e">
        <v>#VALUE!</v>
      </c>
      <c r="L1535" s="6" t="e">
        <v>#VALUE!</v>
      </c>
      <c r="M1535" s="6" t="e">
        <v>#VALUE!</v>
      </c>
      <c r="N1535" s="6" t="e">
        <v>#VALUE!</v>
      </c>
      <c r="O1535" s="6" t="e">
        <v>#VALUE!</v>
      </c>
      <c r="P1535" s="6" t="e">
        <v>#VALUE!</v>
      </c>
      <c r="Q1535" s="6" t="e">
        <v>#VALUE!</v>
      </c>
      <c r="R1535" s="6" t="e">
        <v>#VALUE!</v>
      </c>
      <c r="S1535" s="6" t="e">
        <v>#VALUE!</v>
      </c>
      <c r="T1535" s="9"/>
      <c r="U1535" s="1">
        <f t="shared" si="2257"/>
        <v>35</v>
      </c>
      <c r="V1535" s="1">
        <f t="shared" si="2258"/>
        <v>238</v>
      </c>
    </row>
    <row r="1536" spans="1:22" x14ac:dyDescent="0.3">
      <c r="A1536" s="1">
        <f t="shared" si="2255"/>
        <v>35239</v>
      </c>
      <c r="B1536" s="12">
        <f t="shared" si="2320"/>
        <v>0</v>
      </c>
      <c r="C1536" s="13">
        <f t="shared" si="2321"/>
        <v>0</v>
      </c>
      <c r="D1536" s="10">
        <f t="shared" si="2322"/>
        <v>0</v>
      </c>
      <c r="J1536" s="24" t="str">
        <f t="shared" ref="J1536" si="2336">CONCATENATE(K1533,3)</f>
        <v>103</v>
      </c>
      <c r="K1536" s="6" t="e">
        <v>#VALUE!</v>
      </c>
      <c r="L1536" s="6" t="e">
        <v>#VALUE!</v>
      </c>
      <c r="M1536" s="6" t="e">
        <v>#VALUE!</v>
      </c>
      <c r="N1536" s="6" t="e">
        <v>#VALUE!</v>
      </c>
      <c r="O1536" s="6" t="e">
        <v>#VALUE!</v>
      </c>
      <c r="P1536" s="6" t="e">
        <v>#VALUE!</v>
      </c>
      <c r="Q1536" s="6" t="e">
        <v>#VALUE!</v>
      </c>
      <c r="R1536" s="6" t="e">
        <v>#VALUE!</v>
      </c>
      <c r="S1536" s="6" t="e">
        <v>#VALUE!</v>
      </c>
      <c r="T1536" s="9"/>
      <c r="U1536" s="1">
        <f t="shared" si="2257"/>
        <v>35</v>
      </c>
      <c r="V1536" s="1">
        <f t="shared" si="2258"/>
        <v>239</v>
      </c>
    </row>
    <row r="1537" spans="1:22" x14ac:dyDescent="0.3">
      <c r="A1537" s="1">
        <f t="shared" si="2255"/>
        <v>35240</v>
      </c>
      <c r="B1537" s="12">
        <f t="shared" si="2320"/>
        <v>0</v>
      </c>
      <c r="C1537" s="13">
        <f t="shared" si="2321"/>
        <v>0</v>
      </c>
      <c r="D1537" s="10">
        <f t="shared" si="2322"/>
        <v>0</v>
      </c>
      <c r="J1537" s="9"/>
      <c r="K1537" s="9"/>
      <c r="L1537" s="9"/>
      <c r="M1537" s="9"/>
      <c r="N1537" s="9"/>
      <c r="O1537" s="9"/>
      <c r="P1537" s="9"/>
      <c r="Q1537" s="9"/>
      <c r="R1537" s="9"/>
      <c r="S1537" s="9"/>
      <c r="T1537" s="9"/>
      <c r="U1537" s="1">
        <f t="shared" si="2257"/>
        <v>35</v>
      </c>
      <c r="V1537" s="1">
        <f t="shared" si="2258"/>
        <v>240</v>
      </c>
    </row>
    <row r="1538" spans="1:22" x14ac:dyDescent="0.3">
      <c r="A1538" s="1">
        <f t="shared" si="2255"/>
        <v>35241</v>
      </c>
      <c r="B1538" s="12">
        <f t="shared" si="2320"/>
        <v>0</v>
      </c>
      <c r="C1538" s="13">
        <f t="shared" si="2321"/>
        <v>0</v>
      </c>
      <c r="D1538" s="10">
        <f t="shared" si="2322"/>
        <v>0</v>
      </c>
      <c r="J1538" s="9"/>
      <c r="K1538" s="9"/>
      <c r="L1538" s="9"/>
      <c r="M1538" s="9"/>
      <c r="N1538" s="9"/>
      <c r="O1538" s="9"/>
      <c r="P1538" s="9"/>
      <c r="Q1538" s="9"/>
      <c r="R1538" s="9"/>
      <c r="S1538" s="9"/>
      <c r="T1538" s="9"/>
      <c r="U1538" s="1">
        <f t="shared" si="2257"/>
        <v>35</v>
      </c>
      <c r="V1538" s="1">
        <f t="shared" si="2258"/>
        <v>241</v>
      </c>
    </row>
    <row r="1539" spans="1:22" x14ac:dyDescent="0.3">
      <c r="A1539" s="1">
        <f t="shared" si="2255"/>
        <v>35242</v>
      </c>
      <c r="B1539" s="12">
        <f t="shared" si="2320"/>
        <v>0</v>
      </c>
      <c r="C1539" s="13">
        <f t="shared" si="2321"/>
        <v>0</v>
      </c>
      <c r="D1539" s="10">
        <f t="shared" si="2322"/>
        <v>0</v>
      </c>
      <c r="J1539" s="9"/>
      <c r="K1539" s="9"/>
      <c r="L1539" s="9"/>
      <c r="M1539" s="9"/>
      <c r="N1539" s="9"/>
      <c r="O1539" s="9"/>
      <c r="P1539" s="9"/>
      <c r="Q1539" s="9"/>
      <c r="R1539" s="9"/>
      <c r="S1539" s="9"/>
      <c r="T1539" s="9"/>
      <c r="U1539" s="1">
        <f t="shared" si="2257"/>
        <v>35</v>
      </c>
      <c r="V1539" s="1">
        <f t="shared" si="2258"/>
        <v>242</v>
      </c>
    </row>
    <row r="1540" spans="1:22" x14ac:dyDescent="0.3">
      <c r="A1540" s="1">
        <f t="shared" si="2255"/>
        <v>35243</v>
      </c>
      <c r="J1540" s="9"/>
      <c r="K1540" s="9"/>
      <c r="L1540" s="9"/>
      <c r="M1540" s="9"/>
      <c r="N1540" s="9"/>
      <c r="O1540" s="9"/>
      <c r="P1540" s="9"/>
      <c r="Q1540" s="9"/>
      <c r="R1540" s="9"/>
      <c r="S1540" s="9"/>
      <c r="T1540" s="9"/>
      <c r="U1540" s="1">
        <f t="shared" si="2257"/>
        <v>35</v>
      </c>
      <c r="V1540" s="1">
        <f t="shared" si="2258"/>
        <v>243</v>
      </c>
    </row>
    <row r="1541" spans="1:22" s="5" customFormat="1" x14ac:dyDescent="0.3"/>
    <row r="1542" spans="1:22" x14ac:dyDescent="0.3">
      <c r="A1542" s="1">
        <f t="shared" ref="A1542:A1584" si="2337">ROUND(CONCATENATE(U1542,V1542),0)</f>
        <v>36201</v>
      </c>
      <c r="B1542" s="96" t="s">
        <v>0</v>
      </c>
      <c r="C1542" s="97"/>
      <c r="D1542" s="110" t="s">
        <v>46</v>
      </c>
      <c r="E1542" s="111"/>
      <c r="F1542" s="111"/>
      <c r="G1542" s="111"/>
      <c r="H1542" s="112"/>
      <c r="J1542" s="9"/>
      <c r="K1542" s="9"/>
      <c r="L1542" s="9"/>
      <c r="M1542" s="9"/>
      <c r="N1542" s="9"/>
      <c r="O1542" s="9"/>
      <c r="P1542" s="9"/>
      <c r="Q1542" s="9"/>
      <c r="R1542" s="9"/>
      <c r="S1542" s="9"/>
      <c r="T1542" s="9"/>
      <c r="U1542" s="1">
        <f t="shared" ref="U1542" si="2338">U1540+1</f>
        <v>36</v>
      </c>
      <c r="V1542" s="1">
        <v>201</v>
      </c>
    </row>
    <row r="1543" spans="1:22" x14ac:dyDescent="0.3">
      <c r="A1543" s="1">
        <f t="shared" si="2337"/>
        <v>36202</v>
      </c>
      <c r="B1543" s="96" t="s">
        <v>1</v>
      </c>
      <c r="C1543" s="97"/>
      <c r="D1543" s="15">
        <v>20</v>
      </c>
      <c r="E1543" s="16" t="s">
        <v>2</v>
      </c>
      <c r="F1543" s="107"/>
      <c r="G1543" s="108"/>
      <c r="H1543" s="109"/>
      <c r="J1543" s="9"/>
      <c r="K1543" s="9"/>
      <c r="L1543" s="9"/>
      <c r="M1543" s="9"/>
      <c r="N1543" s="9"/>
      <c r="O1543" s="9"/>
      <c r="P1543" s="9"/>
      <c r="Q1543" s="9"/>
      <c r="R1543" s="9"/>
      <c r="S1543" s="9"/>
      <c r="T1543" s="9"/>
      <c r="U1543" s="1">
        <f t="shared" ref="U1543" si="2339">U1542</f>
        <v>36</v>
      </c>
      <c r="V1543" s="1">
        <f t="shared" ref="V1543" si="2340">V1542+1</f>
        <v>202</v>
      </c>
    </row>
    <row r="1544" spans="1:22" x14ac:dyDescent="0.3">
      <c r="A1544" s="1">
        <f t="shared" si="2337"/>
        <v>36203</v>
      </c>
      <c r="B1544" s="96" t="s">
        <v>12</v>
      </c>
      <c r="C1544" s="97"/>
      <c r="D1544" s="110" t="s">
        <v>246</v>
      </c>
      <c r="E1544" s="111"/>
      <c r="F1544" s="111"/>
      <c r="G1544" s="111"/>
      <c r="H1544" s="112"/>
      <c r="K1544" s="1" t="s">
        <v>3</v>
      </c>
      <c r="L1544" s="1" t="s">
        <v>4</v>
      </c>
      <c r="M1544" s="1" t="s">
        <v>5</v>
      </c>
      <c r="N1544" s="1" t="s">
        <v>6</v>
      </c>
      <c r="O1544" s="1" t="s">
        <v>7</v>
      </c>
      <c r="P1544" s="1" t="s">
        <v>8</v>
      </c>
      <c r="Q1544" s="1" t="s">
        <v>9</v>
      </c>
      <c r="R1544" s="1" t="s">
        <v>10</v>
      </c>
      <c r="S1544" s="1" t="s">
        <v>11</v>
      </c>
      <c r="T1544" s="9"/>
      <c r="U1544" s="1">
        <f t="shared" si="2257"/>
        <v>36</v>
      </c>
      <c r="V1544" s="1">
        <f t="shared" si="2258"/>
        <v>203</v>
      </c>
    </row>
    <row r="1545" spans="1:22" x14ac:dyDescent="0.3">
      <c r="A1545" s="1">
        <f t="shared" si="2337"/>
        <v>36204</v>
      </c>
      <c r="B1545" s="96" t="s">
        <v>13</v>
      </c>
      <c r="C1545" s="97"/>
      <c r="D1545" s="110" t="s">
        <v>65</v>
      </c>
      <c r="E1545" s="111"/>
      <c r="F1545" s="111"/>
      <c r="G1545" s="111"/>
      <c r="H1545" s="112"/>
      <c r="J1545" s="1">
        <f t="shared" ref="J1545" si="2341">COUNTA(B1558:B1567)</f>
        <v>6</v>
      </c>
      <c r="K1545" s="1">
        <f t="shared" ref="K1545" si="2342">IF(L1545-1&lt;2,0,L1545-1)</f>
        <v>0</v>
      </c>
      <c r="L1545" s="1">
        <f t="shared" ref="L1545" si="2343">IF(M1545-1&lt;2,0,M1545-1)</f>
        <v>0</v>
      </c>
      <c r="M1545" s="1">
        <f t="shared" ref="M1545" si="2344">IF(N1545-1&lt;2,0,N1545-1)</f>
        <v>0</v>
      </c>
      <c r="N1545" s="1">
        <f t="shared" ref="N1545" si="2345">IF(O1545-1&lt;2,0,O1545-1)</f>
        <v>0</v>
      </c>
      <c r="O1545" s="1">
        <f t="shared" ref="O1545" si="2346">IF(P1545-1&lt;2,0,P1545-1)</f>
        <v>2</v>
      </c>
      <c r="P1545" s="1">
        <f t="shared" ref="P1545" si="2347">IF(Q1545-1&lt;2,0,Q1545-1)</f>
        <v>3</v>
      </c>
      <c r="Q1545" s="1">
        <f t="shared" ref="Q1545" si="2348">IF(R1545-1&lt;2,0,R1545-1)</f>
        <v>4</v>
      </c>
      <c r="R1545" s="1">
        <f t="shared" ref="R1545" si="2349">IF(S1545-1&lt;2,0,S1545-1)</f>
        <v>5</v>
      </c>
      <c r="S1545" s="1">
        <f t="shared" ref="S1545" si="2350">J1545</f>
        <v>6</v>
      </c>
      <c r="T1545" s="9"/>
      <c r="U1545" s="1">
        <f t="shared" si="2257"/>
        <v>36</v>
      </c>
      <c r="V1545" s="1">
        <f t="shared" si="2258"/>
        <v>204</v>
      </c>
    </row>
    <row r="1546" spans="1:22" x14ac:dyDescent="0.3">
      <c r="A1546" s="1">
        <f t="shared" si="2337"/>
        <v>36205</v>
      </c>
      <c r="B1546" s="96" t="s">
        <v>14</v>
      </c>
      <c r="C1546" s="97"/>
      <c r="D1546" s="110" t="s">
        <v>66</v>
      </c>
      <c r="E1546" s="111"/>
      <c r="F1546" s="111"/>
      <c r="G1546" s="111"/>
      <c r="H1546" s="112"/>
      <c r="J1546" s="24" t="str">
        <f t="shared" ref="J1546" si="2351">CONCATENATE(J1545,1)</f>
        <v>61</v>
      </c>
      <c r="K1546" s="25">
        <f t="shared" ref="K1546" si="2352">IF(K1545=0,0,VLOOKUP(J1546,J1550:S1580,K1545,FALSE))</f>
        <v>0</v>
      </c>
      <c r="L1546" s="25">
        <f t="shared" ref="L1546" si="2353">IF(L1545=0,0,VLOOKUP(J1546,J1550:S1580,L1545,FALSE))</f>
        <v>0</v>
      </c>
      <c r="M1546" s="25">
        <f t="shared" ref="M1546" si="2354">IF(M1545=0,0,VLOOKUP(J1546,J1550:S1580,M1545,FALSE))</f>
        <v>0</v>
      </c>
      <c r="N1546" s="25">
        <f t="shared" ref="N1546" si="2355">IF(N1545=0,0,VLOOKUP(J1546,J1550:S1580,N1545,FALSE))</f>
        <v>0</v>
      </c>
      <c r="O1546" s="25">
        <f t="shared" ref="O1546" si="2356">IF(O1545=0,0,VLOOKUP(J1546,J1550:S1580,O1545,FALSE))</f>
        <v>9.3278914995480517E-8</v>
      </c>
      <c r="P1546" s="25">
        <f t="shared" ref="P1546" si="2357">IF(P1545=0,0,VLOOKUP(J1546,J1550:S1580,P1545,FALSE))</f>
        <v>-2.7466756129165432E-5</v>
      </c>
      <c r="Q1546" s="25">
        <f t="shared" ref="Q1546" si="2358">IF(Q1545=0,0,VLOOKUP(J1546,J1550:S1580,Q1545,FALSE))</f>
        <v>3.2830997213757628E-3</v>
      </c>
      <c r="R1546" s="25">
        <f t="shared" ref="R1546" si="2359">IF(R1545=0,0,VLOOKUP(J1546,J1550:S1580,R1545,FALSE))</f>
        <v>0.8528865681685327</v>
      </c>
      <c r="S1546" s="25">
        <f t="shared" ref="S1546" si="2360">IF(S1545=0,0,VLOOKUP(J1546,J1550:S1580,S1545,FALSE))</f>
        <v>1.5524913776670941</v>
      </c>
      <c r="T1546" s="9"/>
      <c r="U1546" s="1">
        <f t="shared" si="2257"/>
        <v>36</v>
      </c>
      <c r="V1546" s="1">
        <f t="shared" si="2258"/>
        <v>205</v>
      </c>
    </row>
    <row r="1547" spans="1:22" x14ac:dyDescent="0.3">
      <c r="A1547" s="1">
        <f t="shared" si="2337"/>
        <v>36206</v>
      </c>
      <c r="B1547" s="96" t="s">
        <v>15</v>
      </c>
      <c r="C1547" s="97"/>
      <c r="D1547" s="110" t="s">
        <v>332</v>
      </c>
      <c r="E1547" s="111"/>
      <c r="F1547" s="111"/>
      <c r="G1547" s="111"/>
      <c r="H1547" s="112"/>
      <c r="J1547" s="24" t="str">
        <f t="shared" ref="J1547" si="2361">CONCATENATE(J1545,2)</f>
        <v>62</v>
      </c>
      <c r="K1547" s="6">
        <f t="shared" ref="K1547" si="2362">IF(K1545=0,0,VLOOKUP(J1547,J1550:S1580,K1545,FALSE))</f>
        <v>0</v>
      </c>
      <c r="L1547" s="6">
        <f t="shared" ref="L1547" si="2363">IF(L1545=0,0,VLOOKUP(J1547,J1550:S1580,L1545,FALSE))</f>
        <v>0</v>
      </c>
      <c r="M1547" s="6">
        <f t="shared" ref="M1547" si="2364">IF(M1545=0,0,VLOOKUP(J1547,J1550:S1580,M1545,FALSE))</f>
        <v>0</v>
      </c>
      <c r="N1547" s="6">
        <f t="shared" ref="N1547" si="2365">IF(N1545=0,0,VLOOKUP(J1547,J1550:S1580,N1545,FALSE))</f>
        <v>0</v>
      </c>
      <c r="O1547" s="6">
        <f t="shared" ref="O1547" si="2366">IF(O1545=0,0,VLOOKUP(J1547,J1550:S1580,O1545,FALSE))</f>
        <v>1.5585241182038126E-7</v>
      </c>
      <c r="P1547" s="6">
        <f t="shared" ref="P1547" si="2367">IF(P1545=0,0,VLOOKUP(J1547,J1550:S1580,P1545,FALSE))</f>
        <v>3.058705756589109E-5</v>
      </c>
      <c r="Q1547" s="6">
        <f t="shared" ref="Q1547" si="2368">IF(Q1545=0,0,VLOOKUP(J1547,J1550:S1580,Q1545,FALSE))</f>
        <v>1.9478230034716247E-3</v>
      </c>
      <c r="R1547" s="6">
        <f t="shared" ref="R1547" si="2369">IF(R1545=0,0,VLOOKUP(J1547,J1550:S1580,R1545,FALSE))</f>
        <v>4.3791083626997615E-2</v>
      </c>
      <c r="S1547" s="6">
        <f t="shared" ref="S1547" si="2370">IF(S1545=0,0,VLOOKUP(J1547,J1550:S1580,S1545,FALSE))</f>
        <v>0.26838006180751406</v>
      </c>
      <c r="T1547" s="9"/>
      <c r="U1547" s="1">
        <f t="shared" si="2257"/>
        <v>36</v>
      </c>
      <c r="V1547" s="1">
        <f t="shared" si="2258"/>
        <v>206</v>
      </c>
    </row>
    <row r="1548" spans="1:22" x14ac:dyDescent="0.3">
      <c r="A1548" s="1">
        <f t="shared" si="2337"/>
        <v>36207</v>
      </c>
      <c r="B1548" s="96" t="s">
        <v>16</v>
      </c>
      <c r="C1548" s="97"/>
      <c r="D1548" s="120">
        <v>45894</v>
      </c>
      <c r="E1548" s="121"/>
      <c r="F1548" s="121"/>
      <c r="G1548" s="121"/>
      <c r="H1548" s="121"/>
      <c r="J1548" s="24" t="str">
        <f t="shared" ref="J1548" si="2371">CONCATENATE(J1545,3)</f>
        <v>63</v>
      </c>
      <c r="K1548" s="6"/>
      <c r="L1548" s="6"/>
      <c r="M1548" s="6"/>
      <c r="N1548" s="6" t="s">
        <v>43</v>
      </c>
      <c r="O1548" s="25">
        <f t="shared" ref="O1548" si="2372">J1545-2</f>
        <v>4</v>
      </c>
      <c r="P1548" s="6" t="s">
        <v>44</v>
      </c>
      <c r="Q1548" s="25">
        <f t="shared" ref="Q1548" si="2373">VLOOKUP(J1548,J1550:S1580,3,FALSE)</f>
        <v>0.16213705900563413</v>
      </c>
      <c r="R1548" s="6" t="s">
        <v>45</v>
      </c>
      <c r="S1548" s="6">
        <f t="shared" ref="S1548" si="2374">VLOOKUP(J1548,J1550:S1580,2,FALSE)</f>
        <v>0.99999574946531267</v>
      </c>
      <c r="T1548" s="9"/>
      <c r="U1548" s="1">
        <f t="shared" si="2257"/>
        <v>36</v>
      </c>
      <c r="V1548" s="1">
        <f t="shared" si="2258"/>
        <v>207</v>
      </c>
    </row>
    <row r="1549" spans="1:22" x14ac:dyDescent="0.3">
      <c r="A1549" s="1">
        <f t="shared" si="2337"/>
        <v>36208</v>
      </c>
      <c r="B1549" s="96" t="s">
        <v>17</v>
      </c>
      <c r="C1549" s="97"/>
      <c r="D1549" s="122">
        <v>46264</v>
      </c>
      <c r="E1549" s="122"/>
      <c r="F1549" s="122"/>
      <c r="G1549" s="122"/>
      <c r="H1549" s="122"/>
      <c r="K1549" s="1">
        <v>3</v>
      </c>
      <c r="L1549" s="1">
        <v>3</v>
      </c>
      <c r="Q1549" s="26"/>
      <c r="R1549" s="26"/>
      <c r="S1549" s="26"/>
      <c r="T1549" s="9"/>
      <c r="U1549" s="1">
        <f t="shared" si="2257"/>
        <v>36</v>
      </c>
      <c r="V1549" s="1">
        <f t="shared" si="2258"/>
        <v>208</v>
      </c>
    </row>
    <row r="1550" spans="1:22" x14ac:dyDescent="0.3">
      <c r="A1550" s="1">
        <f t="shared" si="2337"/>
        <v>36209</v>
      </c>
      <c r="B1550" s="77" t="s">
        <v>19</v>
      </c>
      <c r="C1550" s="78"/>
      <c r="D1550" s="17">
        <v>0.01</v>
      </c>
      <c r="E1550" s="79" t="s">
        <v>40</v>
      </c>
      <c r="F1550" s="80"/>
      <c r="G1550" s="81"/>
      <c r="H1550" s="18" t="s">
        <v>72</v>
      </c>
      <c r="J1550" s="24" t="str">
        <f t="shared" ref="J1550" si="2375">CONCATENATE(K1549,1)</f>
        <v>31</v>
      </c>
      <c r="K1550" s="6">
        <f t="array" ref="K1550:L1552">LINEST(B1558:B1560,C1558:C1560^{1},TRUE,TRUE)</f>
        <v>0.93542033158351501</v>
      </c>
      <c r="L1550" s="6">
        <v>1.2147107342322307</v>
      </c>
      <c r="Q1550" s="9"/>
      <c r="R1550" s="9"/>
      <c r="S1550" s="9"/>
      <c r="T1550" s="9"/>
      <c r="U1550" s="1">
        <f t="shared" si="2257"/>
        <v>36</v>
      </c>
      <c r="V1550" s="1">
        <f t="shared" si="2258"/>
        <v>209</v>
      </c>
    </row>
    <row r="1551" spans="1:22" x14ac:dyDescent="0.3">
      <c r="A1551" s="1">
        <f t="shared" si="2337"/>
        <v>36210</v>
      </c>
      <c r="B1551" s="77" t="s">
        <v>41</v>
      </c>
      <c r="C1551" s="78"/>
      <c r="D1551" s="23">
        <f t="shared" ref="D1551" si="2376">MIN(B1558:B1567)</f>
        <v>5</v>
      </c>
      <c r="E1551" s="20" t="s">
        <v>18</v>
      </c>
      <c r="F1551" s="19">
        <f t="shared" ref="F1551" si="2377">MAX(B1558:B1567)</f>
        <v>95</v>
      </c>
      <c r="G1551" s="21" t="str">
        <f t="shared" ref="G1551" si="2378">IF(H1550="","",H1550)</f>
        <v>%ur</v>
      </c>
      <c r="H1551" s="22"/>
      <c r="J1551" s="24" t="str">
        <f t="shared" ref="J1551" si="2379">CONCATENATE(K1549,2)</f>
        <v>32</v>
      </c>
      <c r="K1551" s="6">
        <v>7.193444448816276E-3</v>
      </c>
      <c r="L1551" s="6">
        <v>0.1534702000015149</v>
      </c>
      <c r="Q1551" s="9"/>
      <c r="R1551" s="9"/>
      <c r="S1551" s="9"/>
      <c r="T1551" s="9"/>
      <c r="U1551" s="1">
        <f t="shared" si="2257"/>
        <v>36</v>
      </c>
      <c r="V1551" s="1">
        <f t="shared" si="2258"/>
        <v>210</v>
      </c>
    </row>
    <row r="1552" spans="1:22" x14ac:dyDescent="0.3">
      <c r="A1552" s="1">
        <f t="shared" si="2337"/>
        <v>36211</v>
      </c>
      <c r="J1552" s="24" t="str">
        <f t="shared" ref="J1552" si="2380">CONCATENATE(K1549,3)</f>
        <v>33</v>
      </c>
      <c r="K1552" s="6">
        <v>0.99994086637596913</v>
      </c>
      <c r="L1552" s="6">
        <v>0.13678407285062733</v>
      </c>
      <c r="Q1552" s="9"/>
      <c r="R1552" s="9"/>
      <c r="S1552" s="9"/>
      <c r="T1552" s="9"/>
      <c r="U1552" s="1">
        <f t="shared" si="2257"/>
        <v>36</v>
      </c>
      <c r="V1552" s="1">
        <f t="shared" si="2258"/>
        <v>211</v>
      </c>
    </row>
    <row r="1553" spans="1:22" x14ac:dyDescent="0.3">
      <c r="A1553" s="1">
        <f t="shared" si="2337"/>
        <v>36212</v>
      </c>
      <c r="B1553" s="82" t="s">
        <v>20</v>
      </c>
      <c r="C1553" s="83"/>
      <c r="D1553" s="83"/>
      <c r="E1553" s="83"/>
      <c r="F1553" s="84"/>
      <c r="G1553" s="85" t="s">
        <v>31</v>
      </c>
      <c r="H1553" s="86"/>
      <c r="K1553" s="1">
        <v>4</v>
      </c>
      <c r="L1553" s="1">
        <v>4</v>
      </c>
      <c r="M1553" s="1">
        <v>4</v>
      </c>
      <c r="Q1553" s="9"/>
      <c r="R1553" s="9"/>
      <c r="S1553" s="9"/>
      <c r="T1553" s="9"/>
      <c r="U1553" s="1">
        <f t="shared" si="2257"/>
        <v>36</v>
      </c>
      <c r="V1553" s="1">
        <f t="shared" si="2258"/>
        <v>212</v>
      </c>
    </row>
    <row r="1554" spans="1:22" x14ac:dyDescent="0.3">
      <c r="A1554" s="1">
        <f t="shared" si="2337"/>
        <v>36213</v>
      </c>
      <c r="B1554" s="82" t="s">
        <v>30</v>
      </c>
      <c r="C1554" s="83"/>
      <c r="D1554" s="84"/>
      <c r="E1554" s="82" t="str">
        <f t="shared" ref="E1554" si="2381">D1547</f>
        <v>E0519/25</v>
      </c>
      <c r="F1554" s="84"/>
      <c r="G1554" s="6" t="s">
        <v>32</v>
      </c>
      <c r="H1554" s="7" t="s">
        <v>247</v>
      </c>
      <c r="J1554" s="24" t="str">
        <f t="shared" ref="J1554" si="2382">CONCATENATE(K1553,1)</f>
        <v>41</v>
      </c>
      <c r="K1554" s="6">
        <f t="array" ref="K1554:M1556">LINEST(B1558:B1561,C1558:C1561^{1,2},TRUE,TRUE)</f>
        <v>1.6128173838098169E-3</v>
      </c>
      <c r="L1554" s="6">
        <v>0.88195621285996839</v>
      </c>
      <c r="M1554" s="6">
        <v>1.4625731095444716</v>
      </c>
      <c r="Q1554" s="9"/>
      <c r="R1554" s="9"/>
      <c r="S1554" s="9"/>
      <c r="T1554" s="9"/>
      <c r="U1554" s="1">
        <f t="shared" si="2257"/>
        <v>36</v>
      </c>
      <c r="V1554" s="1">
        <f t="shared" si="2258"/>
        <v>213</v>
      </c>
    </row>
    <row r="1555" spans="1:22" x14ac:dyDescent="0.3">
      <c r="A1555" s="1">
        <f t="shared" si="2337"/>
        <v>36214</v>
      </c>
      <c r="B1555" s="2" t="s">
        <v>21</v>
      </c>
      <c r="C1555" s="2" t="s">
        <v>22</v>
      </c>
      <c r="D1555" s="2" t="s">
        <v>23</v>
      </c>
      <c r="E1555" s="2"/>
      <c r="F1555" s="2" t="s">
        <v>28</v>
      </c>
      <c r="G1555" s="2" t="s">
        <v>21</v>
      </c>
      <c r="H1555" s="2" t="s">
        <v>22</v>
      </c>
      <c r="J1555" s="24" t="str">
        <f t="shared" ref="J1555" si="2383">CONCATENATE(K1553,2)</f>
        <v>42</v>
      </c>
      <c r="K1555" s="6">
        <v>1.7503697334507362E-4</v>
      </c>
      <c r="L1555" s="6">
        <v>9.9763093239221209E-3</v>
      </c>
      <c r="M1555" s="6">
        <v>0.11649960220279164</v>
      </c>
      <c r="Q1555" s="9"/>
      <c r="R1555" s="9"/>
      <c r="S1555" s="9"/>
      <c r="T1555" s="9"/>
      <c r="U1555" s="1">
        <f t="shared" si="2257"/>
        <v>36</v>
      </c>
      <c r="V1555" s="1">
        <f t="shared" si="2258"/>
        <v>214</v>
      </c>
    </row>
    <row r="1556" spans="1:22" x14ac:dyDescent="0.3">
      <c r="A1556" s="1">
        <f t="shared" si="2337"/>
        <v>36215</v>
      </c>
      <c r="B1556" s="2" t="s">
        <v>24</v>
      </c>
      <c r="C1556" s="2" t="s">
        <v>25</v>
      </c>
      <c r="D1556" s="2" t="s">
        <v>26</v>
      </c>
      <c r="E1556" s="2" t="s">
        <v>27</v>
      </c>
      <c r="F1556" s="2" t="s">
        <v>29</v>
      </c>
      <c r="G1556" s="2" t="s">
        <v>24</v>
      </c>
      <c r="H1556" s="2" t="s">
        <v>25</v>
      </c>
      <c r="J1556" s="24" t="str">
        <f t="shared" ref="J1556" si="2384">CONCATENATE(K1553,3)</f>
        <v>43</v>
      </c>
      <c r="K1556" s="6">
        <v>0.99999262592345628</v>
      </c>
      <c r="L1556" s="6">
        <v>8.8737867407708393E-2</v>
      </c>
      <c r="M1556" s="6" t="e">
        <v>#N/A</v>
      </c>
      <c r="Q1556" s="9"/>
      <c r="R1556" s="9"/>
      <c r="S1556" s="9"/>
      <c r="T1556" s="9"/>
      <c r="U1556" s="1">
        <f t="shared" si="2257"/>
        <v>36</v>
      </c>
      <c r="V1556" s="1">
        <f t="shared" si="2258"/>
        <v>215</v>
      </c>
    </row>
    <row r="1557" spans="1:22" x14ac:dyDescent="0.3">
      <c r="A1557" s="1">
        <f t="shared" si="2337"/>
        <v>36216</v>
      </c>
      <c r="B1557" s="3" t="str">
        <f t="shared" ref="B1557" si="2385">H1550</f>
        <v>%ur</v>
      </c>
      <c r="C1557" s="3" t="str">
        <f t="shared" ref="C1557" si="2386">B1557</f>
        <v>%ur</v>
      </c>
      <c r="D1557" s="3" t="str">
        <f t="shared" ref="D1557" si="2387">C1557</f>
        <v>%ur</v>
      </c>
      <c r="E1557" s="3"/>
      <c r="F1557" s="3"/>
      <c r="G1557" s="3" t="str">
        <f t="shared" ref="G1557" si="2388">D1557</f>
        <v>%ur</v>
      </c>
      <c r="H1557" s="3" t="str">
        <f t="shared" ref="H1557" si="2389">G1557</f>
        <v>%ur</v>
      </c>
      <c r="K1557" s="1">
        <v>5</v>
      </c>
      <c r="L1557" s="1">
        <v>5</v>
      </c>
      <c r="M1557" s="1">
        <v>5</v>
      </c>
      <c r="N1557" s="1">
        <v>5</v>
      </c>
      <c r="Q1557" s="9"/>
      <c r="R1557" s="9"/>
      <c r="S1557" s="9"/>
      <c r="T1557" s="9"/>
      <c r="U1557" s="1">
        <f t="shared" si="2257"/>
        <v>36</v>
      </c>
      <c r="V1557" s="1">
        <f t="shared" si="2258"/>
        <v>216</v>
      </c>
    </row>
    <row r="1558" spans="1:22" x14ac:dyDescent="0.3">
      <c r="A1558" s="1">
        <f t="shared" si="2337"/>
        <v>36217</v>
      </c>
      <c r="B1558" s="4">
        <v>5</v>
      </c>
      <c r="C1558" s="41">
        <v>4</v>
      </c>
      <c r="D1558" s="4">
        <v>0.27</v>
      </c>
      <c r="E1558" s="4">
        <v>2</v>
      </c>
      <c r="F1558" s="14">
        <v>1000000</v>
      </c>
      <c r="G1558" s="42">
        <v>5</v>
      </c>
      <c r="H1558" s="42">
        <v>4.8899999999999997</v>
      </c>
      <c r="J1558" s="24" t="str">
        <f t="shared" ref="J1558" si="2390">CONCATENATE(K1557,1)</f>
        <v>51</v>
      </c>
      <c r="K1558" s="6">
        <f t="array" ref="K1558:N1560">LINEST(B1558:B1562,C1558:C1562^{1,2,3},TRUE,TRUE)</f>
        <v>-1.3872466235264861E-5</v>
      </c>
      <c r="L1558" s="6">
        <v>2.6881529154837588E-3</v>
      </c>
      <c r="M1558" s="6">
        <v>0.86117730307819451</v>
      </c>
      <c r="N1558" s="6">
        <v>1.5312598613117108</v>
      </c>
      <c r="Q1558" s="9"/>
      <c r="R1558" s="9"/>
      <c r="S1558" s="9"/>
      <c r="T1558" s="9"/>
      <c r="U1558" s="1">
        <f t="shared" si="2257"/>
        <v>36</v>
      </c>
      <c r="V1558" s="1">
        <f t="shared" si="2258"/>
        <v>217</v>
      </c>
    </row>
    <row r="1559" spans="1:22" x14ac:dyDescent="0.3">
      <c r="A1559" s="1">
        <f t="shared" si="2337"/>
        <v>36218</v>
      </c>
      <c r="B1559" s="4">
        <v>19.989999999999998</v>
      </c>
      <c r="C1559" s="41">
        <v>20.190000000000001</v>
      </c>
      <c r="D1559" s="4">
        <v>0.38</v>
      </c>
      <c r="E1559" s="4">
        <v>2.0099999999999998</v>
      </c>
      <c r="F1559" s="14">
        <v>256</v>
      </c>
      <c r="G1559" s="42">
        <v>20</v>
      </c>
      <c r="H1559" s="42">
        <v>20.329999999999998</v>
      </c>
      <c r="J1559" s="24" t="str">
        <f t="shared" ref="J1559" si="2391">CONCATENATE(K1557,2)</f>
        <v>52</v>
      </c>
      <c r="K1559" s="6">
        <v>6.0523600769565842E-6</v>
      </c>
      <c r="L1559" s="6">
        <v>7.4913250964289549E-4</v>
      </c>
      <c r="M1559" s="6">
        <v>2.4505869815193489E-2</v>
      </c>
      <c r="N1559" s="6">
        <v>0.20564224512447724</v>
      </c>
      <c r="T1559" s="9"/>
      <c r="U1559" s="1">
        <f t="shared" si="2257"/>
        <v>36</v>
      </c>
      <c r="V1559" s="1">
        <f t="shared" si="2258"/>
        <v>218</v>
      </c>
    </row>
    <row r="1560" spans="1:22" x14ac:dyDescent="0.3">
      <c r="A1560" s="1">
        <f t="shared" si="2337"/>
        <v>36219</v>
      </c>
      <c r="B1560" s="4">
        <v>29.99</v>
      </c>
      <c r="C1560" s="41">
        <v>30.69</v>
      </c>
      <c r="D1560" s="4">
        <v>0.44</v>
      </c>
      <c r="E1560" s="4">
        <v>2.0099999999999998</v>
      </c>
      <c r="F1560" s="14">
        <v>183</v>
      </c>
      <c r="G1560" s="42">
        <v>30.03</v>
      </c>
      <c r="H1560" s="42">
        <v>30.66</v>
      </c>
      <c r="J1560" s="24" t="str">
        <f t="shared" ref="J1560" si="2392">CONCATENATE(K1557,3)</f>
        <v>53</v>
      </c>
      <c r="K1560" s="6">
        <v>0.99999410049765602</v>
      </c>
      <c r="L1560" s="6">
        <v>0.14122732944572469</v>
      </c>
      <c r="M1560" s="6" t="e">
        <v>#N/A</v>
      </c>
      <c r="N1560" s="6" t="e">
        <v>#N/A</v>
      </c>
      <c r="T1560" s="9"/>
      <c r="U1560" s="1">
        <f t="shared" si="2257"/>
        <v>36</v>
      </c>
      <c r="V1560" s="1">
        <f t="shared" si="2258"/>
        <v>219</v>
      </c>
    </row>
    <row r="1561" spans="1:22" x14ac:dyDescent="0.3">
      <c r="A1561" s="1">
        <f t="shared" si="2337"/>
        <v>36220</v>
      </c>
      <c r="B1561" s="4">
        <v>49.98</v>
      </c>
      <c r="C1561" s="41">
        <v>50.36</v>
      </c>
      <c r="D1561" s="4">
        <v>0.62</v>
      </c>
      <c r="E1561" s="4">
        <v>2.02</v>
      </c>
      <c r="F1561" s="14">
        <v>120</v>
      </c>
      <c r="G1561" s="42">
        <v>49.99</v>
      </c>
      <c r="H1561" s="42">
        <v>50.45</v>
      </c>
      <c r="K1561" s="1">
        <v>6</v>
      </c>
      <c r="L1561" s="1">
        <v>6</v>
      </c>
      <c r="M1561" s="1">
        <v>6</v>
      </c>
      <c r="N1561" s="1">
        <v>6</v>
      </c>
      <c r="O1561" s="1">
        <v>6</v>
      </c>
      <c r="T1561" s="9"/>
      <c r="U1561" s="1">
        <f t="shared" si="2257"/>
        <v>36</v>
      </c>
      <c r="V1561" s="1">
        <f t="shared" si="2258"/>
        <v>220</v>
      </c>
    </row>
    <row r="1562" spans="1:22" x14ac:dyDescent="0.3">
      <c r="A1562" s="1">
        <f t="shared" si="2337"/>
        <v>36221</v>
      </c>
      <c r="B1562" s="4">
        <v>80.010000000000005</v>
      </c>
      <c r="C1562" s="41">
        <v>79.5</v>
      </c>
      <c r="D1562" s="4">
        <v>0.9</v>
      </c>
      <c r="E1562" s="4">
        <v>2.02</v>
      </c>
      <c r="F1562" s="14">
        <v>102</v>
      </c>
      <c r="G1562" s="42">
        <v>79.98</v>
      </c>
      <c r="H1562" s="42">
        <v>80.11</v>
      </c>
      <c r="J1562" s="24" t="str">
        <f t="shared" ref="J1562" si="2393">CONCATENATE(K1561,1)</f>
        <v>61</v>
      </c>
      <c r="K1562" s="6">
        <f t="array" ref="K1562:O1564">LINEST(B1558:B1563,C1558:C1563^{1,2,3,4},TRUE,TRUE)</f>
        <v>9.3278914995480517E-8</v>
      </c>
      <c r="L1562" s="6">
        <v>-2.7466756129165432E-5</v>
      </c>
      <c r="M1562" s="6">
        <v>3.2830997213757628E-3</v>
      </c>
      <c r="N1562" s="6">
        <v>0.8528865681685327</v>
      </c>
      <c r="O1562" s="6">
        <v>1.5524913776670941</v>
      </c>
      <c r="T1562" s="9"/>
      <c r="U1562" s="1">
        <f t="shared" si="2257"/>
        <v>36</v>
      </c>
      <c r="V1562" s="1">
        <f t="shared" si="2258"/>
        <v>221</v>
      </c>
    </row>
    <row r="1563" spans="1:22" x14ac:dyDescent="0.3">
      <c r="A1563" s="1">
        <f t="shared" si="2337"/>
        <v>36222</v>
      </c>
      <c r="B1563" s="4">
        <v>95</v>
      </c>
      <c r="C1563" s="41">
        <v>93.8</v>
      </c>
      <c r="D1563" s="4">
        <v>1</v>
      </c>
      <c r="E1563" s="4">
        <v>2.0299999999999998</v>
      </c>
      <c r="F1563" s="14">
        <v>81</v>
      </c>
      <c r="G1563" s="42">
        <v>95.04</v>
      </c>
      <c r="H1563" s="42">
        <v>94.88</v>
      </c>
      <c r="J1563" s="24" t="str">
        <f t="shared" ref="J1563" si="2394">CONCATENATE(K1561,2)</f>
        <v>62</v>
      </c>
      <c r="K1563" s="6">
        <v>1.5585241182038126E-7</v>
      </c>
      <c r="L1563" s="6">
        <v>3.058705756589109E-5</v>
      </c>
      <c r="M1563" s="6">
        <v>1.9478230034716247E-3</v>
      </c>
      <c r="N1563" s="6">
        <v>4.3791083626997615E-2</v>
      </c>
      <c r="O1563" s="6">
        <v>0.26838006180751406</v>
      </c>
      <c r="T1563" s="9"/>
      <c r="U1563" s="1">
        <f t="shared" ref="U1563:U1626" si="2395">U1562</f>
        <v>36</v>
      </c>
      <c r="V1563" s="1">
        <f t="shared" ref="V1563:V1626" si="2396">V1562+1</f>
        <v>222</v>
      </c>
    </row>
    <row r="1564" spans="1:22" x14ac:dyDescent="0.3">
      <c r="A1564" s="1">
        <f t="shared" si="2337"/>
        <v>36223</v>
      </c>
      <c r="B1564" s="4"/>
      <c r="C1564" s="4"/>
      <c r="D1564" s="4"/>
      <c r="E1564" s="4"/>
      <c r="F1564" s="14"/>
      <c r="G1564" s="8"/>
      <c r="H1564" s="7"/>
      <c r="J1564" s="24" t="str">
        <f t="shared" ref="J1564" si="2397">CONCATENATE(K1561,3)</f>
        <v>63</v>
      </c>
      <c r="K1564" s="6">
        <v>0.99999574946531267</v>
      </c>
      <c r="L1564" s="6">
        <v>0.16213705900563413</v>
      </c>
      <c r="M1564" s="6" t="e">
        <v>#N/A</v>
      </c>
      <c r="N1564" s="6" t="e">
        <v>#N/A</v>
      </c>
      <c r="O1564" s="6" t="e">
        <v>#N/A</v>
      </c>
      <c r="T1564" s="9"/>
      <c r="U1564" s="1">
        <f t="shared" si="2395"/>
        <v>36</v>
      </c>
      <c r="V1564" s="1">
        <f t="shared" si="2396"/>
        <v>223</v>
      </c>
    </row>
    <row r="1565" spans="1:22" x14ac:dyDescent="0.3">
      <c r="A1565" s="1">
        <f t="shared" si="2337"/>
        <v>36224</v>
      </c>
      <c r="B1565" s="4"/>
      <c r="C1565" s="4"/>
      <c r="D1565" s="4"/>
      <c r="E1565" s="4"/>
      <c r="F1565" s="14"/>
      <c r="G1565" s="8"/>
      <c r="H1565" s="7"/>
      <c r="K1565" s="1">
        <v>7</v>
      </c>
      <c r="L1565" s="1">
        <v>7</v>
      </c>
      <c r="M1565" s="1">
        <v>7</v>
      </c>
      <c r="N1565" s="1">
        <v>7</v>
      </c>
      <c r="O1565" s="1">
        <v>7</v>
      </c>
      <c r="P1565" s="1">
        <v>7</v>
      </c>
      <c r="T1565" s="9"/>
      <c r="U1565" s="1">
        <f t="shared" si="2395"/>
        <v>36</v>
      </c>
      <c r="V1565" s="1">
        <f t="shared" si="2396"/>
        <v>224</v>
      </c>
    </row>
    <row r="1566" spans="1:22" x14ac:dyDescent="0.3">
      <c r="A1566" s="1">
        <f t="shared" si="2337"/>
        <v>36225</v>
      </c>
      <c r="B1566" s="4"/>
      <c r="C1566" s="4"/>
      <c r="D1566" s="4"/>
      <c r="E1566" s="4"/>
      <c r="F1566" s="14"/>
      <c r="G1566" s="8"/>
      <c r="H1566" s="7"/>
      <c r="J1566" s="24" t="str">
        <f t="shared" ref="J1566" si="2398">CONCATENATE(K1565,1)</f>
        <v>71</v>
      </c>
      <c r="K1566" s="6" t="e">
        <f t="array" ref="K1566:P1568">LINEST(B1558:B1564,C1558:C1564^{1,2,3,4,5},TRUE,TRUE)</f>
        <v>#VALUE!</v>
      </c>
      <c r="L1566" s="6" t="e">
        <v>#VALUE!</v>
      </c>
      <c r="M1566" s="6" t="e">
        <v>#VALUE!</v>
      </c>
      <c r="N1566" s="6" t="e">
        <v>#VALUE!</v>
      </c>
      <c r="O1566" s="6" t="e">
        <v>#VALUE!</v>
      </c>
      <c r="P1566" s="6" t="e">
        <v>#VALUE!</v>
      </c>
      <c r="T1566" s="9"/>
      <c r="U1566" s="1">
        <f t="shared" si="2395"/>
        <v>36</v>
      </c>
      <c r="V1566" s="1">
        <f t="shared" si="2396"/>
        <v>225</v>
      </c>
    </row>
    <row r="1567" spans="1:22" x14ac:dyDescent="0.3">
      <c r="A1567" s="1">
        <f t="shared" si="2337"/>
        <v>36226</v>
      </c>
      <c r="B1567" s="4"/>
      <c r="C1567" s="4"/>
      <c r="D1567" s="4"/>
      <c r="E1567" s="4"/>
      <c r="F1567" s="14"/>
      <c r="G1567" s="8"/>
      <c r="H1567" s="7"/>
      <c r="J1567" s="24" t="str">
        <f t="shared" ref="J1567" si="2399">CONCATENATE(K1565,2)</f>
        <v>72</v>
      </c>
      <c r="K1567" s="6" t="e">
        <v>#VALUE!</v>
      </c>
      <c r="L1567" s="6" t="e">
        <v>#VALUE!</v>
      </c>
      <c r="M1567" s="6" t="e">
        <v>#VALUE!</v>
      </c>
      <c r="N1567" s="6" t="e">
        <v>#VALUE!</v>
      </c>
      <c r="O1567" s="6" t="e">
        <v>#VALUE!</v>
      </c>
      <c r="P1567" s="6" t="e">
        <v>#VALUE!</v>
      </c>
      <c r="T1567" s="9"/>
      <c r="U1567" s="1">
        <f t="shared" si="2395"/>
        <v>36</v>
      </c>
      <c r="V1567" s="1">
        <f t="shared" si="2396"/>
        <v>226</v>
      </c>
    </row>
    <row r="1568" spans="1:22" x14ac:dyDescent="0.3">
      <c r="A1568" s="1">
        <f t="shared" si="2337"/>
        <v>36227</v>
      </c>
      <c r="B1568" s="9"/>
      <c r="C1568" s="9"/>
      <c r="D1568" s="9"/>
      <c r="E1568" s="9"/>
      <c r="F1568" s="9"/>
      <c r="G1568" s="9"/>
      <c r="H1568" s="9"/>
      <c r="J1568" s="24" t="str">
        <f t="shared" ref="J1568" si="2400">CONCATENATE(K1565,3)</f>
        <v>73</v>
      </c>
      <c r="K1568" s="6" t="e">
        <v>#VALUE!</v>
      </c>
      <c r="L1568" s="6" t="e">
        <v>#VALUE!</v>
      </c>
      <c r="M1568" s="6" t="e">
        <v>#VALUE!</v>
      </c>
      <c r="N1568" s="6" t="e">
        <v>#VALUE!</v>
      </c>
      <c r="O1568" s="6" t="e">
        <v>#VALUE!</v>
      </c>
      <c r="P1568" s="6" t="e">
        <v>#VALUE!</v>
      </c>
      <c r="T1568" s="9"/>
      <c r="U1568" s="1">
        <f t="shared" si="2395"/>
        <v>36</v>
      </c>
      <c r="V1568" s="1">
        <f t="shared" si="2396"/>
        <v>227</v>
      </c>
    </row>
    <row r="1569" spans="1:22" x14ac:dyDescent="0.3">
      <c r="A1569" s="1">
        <f t="shared" si="2337"/>
        <v>36228</v>
      </c>
      <c r="B1569" s="87" t="s">
        <v>33</v>
      </c>
      <c r="C1569" s="88"/>
      <c r="D1569" s="88"/>
      <c r="E1569" s="88"/>
      <c r="F1569" s="88"/>
      <c r="G1569" s="88"/>
      <c r="H1569" s="89"/>
      <c r="K1569" s="1">
        <v>8</v>
      </c>
      <c r="L1569" s="1">
        <v>8</v>
      </c>
      <c r="M1569" s="1">
        <v>8</v>
      </c>
      <c r="N1569" s="1">
        <v>8</v>
      </c>
      <c r="O1569" s="1">
        <v>8</v>
      </c>
      <c r="P1569" s="1">
        <v>8</v>
      </c>
      <c r="Q1569" s="1">
        <v>8</v>
      </c>
      <c r="T1569" s="9"/>
      <c r="U1569" s="1">
        <f t="shared" si="2395"/>
        <v>36</v>
      </c>
      <c r="V1569" s="1">
        <f t="shared" si="2396"/>
        <v>228</v>
      </c>
    </row>
    <row r="1570" spans="1:22" x14ac:dyDescent="0.3">
      <c r="A1570" s="1">
        <f t="shared" si="2337"/>
        <v>36229</v>
      </c>
      <c r="B1570" s="119"/>
      <c r="C1570" s="91"/>
      <c r="D1570" s="91"/>
      <c r="E1570" s="91"/>
      <c r="F1570" s="91"/>
      <c r="G1570" s="91"/>
      <c r="H1570" s="92"/>
      <c r="J1570" s="24" t="str">
        <f t="shared" ref="J1570" si="2401">CONCATENATE(K1569,1)</f>
        <v>81</v>
      </c>
      <c r="K1570" s="6" t="e">
        <f t="array" ref="K1570:Q1572">LINEST(B1558:B1565,C1558:C1565^{1,2,3,4,5,6},TRUE,TRUE)</f>
        <v>#VALUE!</v>
      </c>
      <c r="L1570" s="6" t="e">
        <v>#VALUE!</v>
      </c>
      <c r="M1570" s="6" t="e">
        <v>#VALUE!</v>
      </c>
      <c r="N1570" s="6" t="e">
        <v>#VALUE!</v>
      </c>
      <c r="O1570" s="6" t="e">
        <v>#VALUE!</v>
      </c>
      <c r="P1570" s="6" t="e">
        <v>#VALUE!</v>
      </c>
      <c r="Q1570" s="6" t="e">
        <v>#VALUE!</v>
      </c>
      <c r="T1570" s="9"/>
      <c r="U1570" s="1">
        <f t="shared" si="2395"/>
        <v>36</v>
      </c>
      <c r="V1570" s="1">
        <f t="shared" si="2396"/>
        <v>229</v>
      </c>
    </row>
    <row r="1571" spans="1:22" x14ac:dyDescent="0.3">
      <c r="A1571" s="1">
        <f t="shared" si="2337"/>
        <v>36230</v>
      </c>
      <c r="B1571" s="93"/>
      <c r="C1571" s="94"/>
      <c r="D1571" s="94"/>
      <c r="E1571" s="94"/>
      <c r="F1571" s="94"/>
      <c r="G1571" s="94"/>
      <c r="H1571" s="95"/>
      <c r="J1571" s="24" t="str">
        <f t="shared" ref="J1571" si="2402">CONCATENATE(K1569,2)</f>
        <v>82</v>
      </c>
      <c r="K1571" s="6" t="e">
        <v>#VALUE!</v>
      </c>
      <c r="L1571" s="6" t="e">
        <v>#VALUE!</v>
      </c>
      <c r="M1571" s="6" t="e">
        <v>#VALUE!</v>
      </c>
      <c r="N1571" s="6" t="e">
        <v>#VALUE!</v>
      </c>
      <c r="O1571" s="6" t="e">
        <v>#VALUE!</v>
      </c>
      <c r="P1571" s="6" t="e">
        <v>#VALUE!</v>
      </c>
      <c r="Q1571" s="6" t="e">
        <v>#VALUE!</v>
      </c>
      <c r="T1571" s="9"/>
      <c r="U1571" s="1">
        <f t="shared" si="2395"/>
        <v>36</v>
      </c>
      <c r="V1571" s="1">
        <f t="shared" si="2396"/>
        <v>230</v>
      </c>
    </row>
    <row r="1572" spans="1:22" x14ac:dyDescent="0.3">
      <c r="A1572" s="1">
        <f t="shared" si="2337"/>
        <v>36231</v>
      </c>
      <c r="J1572" s="24" t="str">
        <f t="shared" ref="J1572" si="2403">CONCATENATE(K1569,3)</f>
        <v>83</v>
      </c>
      <c r="K1572" s="6" t="e">
        <v>#VALUE!</v>
      </c>
      <c r="L1572" s="6" t="e">
        <v>#VALUE!</v>
      </c>
      <c r="M1572" s="6" t="e">
        <v>#VALUE!</v>
      </c>
      <c r="N1572" s="6" t="e">
        <v>#VALUE!</v>
      </c>
      <c r="O1572" s="6" t="e">
        <v>#VALUE!</v>
      </c>
      <c r="P1572" s="6" t="e">
        <v>#VALUE!</v>
      </c>
      <c r="Q1572" s="6" t="e">
        <v>#VALUE!</v>
      </c>
      <c r="T1572" s="9"/>
      <c r="U1572" s="1">
        <f t="shared" si="2395"/>
        <v>36</v>
      </c>
      <c r="V1572" s="1">
        <f t="shared" si="2396"/>
        <v>231</v>
      </c>
    </row>
    <row r="1573" spans="1:22" ht="15" customHeight="1" x14ac:dyDescent="0.3">
      <c r="A1573" s="1">
        <f t="shared" si="2337"/>
        <v>36232</v>
      </c>
      <c r="B1573" s="10" t="s">
        <v>34</v>
      </c>
      <c r="C1573" s="10" t="s">
        <v>35</v>
      </c>
      <c r="D1573" s="10" t="s">
        <v>36</v>
      </c>
      <c r="E1573" s="74" t="s">
        <v>37</v>
      </c>
      <c r="F1573" s="75"/>
      <c r="G1573" s="76"/>
      <c r="K1573" s="1">
        <v>9</v>
      </c>
      <c r="L1573" s="1">
        <v>9</v>
      </c>
      <c r="M1573" s="1">
        <v>9</v>
      </c>
      <c r="N1573" s="1">
        <v>9</v>
      </c>
      <c r="O1573" s="1">
        <v>9</v>
      </c>
      <c r="P1573" s="1">
        <v>9</v>
      </c>
      <c r="Q1573" s="1">
        <v>9</v>
      </c>
      <c r="R1573" s="1">
        <v>9</v>
      </c>
      <c r="T1573" s="9"/>
      <c r="U1573" s="1">
        <f t="shared" si="2395"/>
        <v>36</v>
      </c>
      <c r="V1573" s="1">
        <f t="shared" si="2396"/>
        <v>232</v>
      </c>
    </row>
    <row r="1574" spans="1:22" x14ac:dyDescent="0.3">
      <c r="A1574" s="1">
        <f t="shared" si="2337"/>
        <v>36233</v>
      </c>
      <c r="B1574" s="12">
        <f t="shared" ref="B1574:B1583" si="2404">C1558-B1558</f>
        <v>-1</v>
      </c>
      <c r="C1574" s="13">
        <f t="shared" ref="C1574:C1583" si="2405">H1558-G1558</f>
        <v>-0.11000000000000032</v>
      </c>
      <c r="D1574" s="10">
        <f t="shared" ref="D1574:D1583" si="2406">C1574-B1574</f>
        <v>0.88999999999999968</v>
      </c>
      <c r="E1574" s="11">
        <f t="shared" ref="E1574" si="2407">IF(D1549="","",MAX(F1574,G1574))</f>
        <v>1.039999999999992</v>
      </c>
      <c r="F1574" s="10">
        <f t="shared" ref="F1574" si="2408">ABS(MIN(D1574:D1583))</f>
        <v>7.0000000000003837E-2</v>
      </c>
      <c r="G1574" s="10">
        <f t="shared" ref="G1574" si="2409">ABS(MAX(D1574:D1583))</f>
        <v>1.039999999999992</v>
      </c>
      <c r="J1574" s="24" t="str">
        <f t="shared" ref="J1574" si="2410">CONCATENATE(K1573,1)</f>
        <v>91</v>
      </c>
      <c r="K1574" s="6" t="e">
        <f t="array" ref="K1574:R1576">LINEST(B1558:B1566,C1558:C1566^{1,2,3,4,5,6,7},TRUE,TRUE)</f>
        <v>#VALUE!</v>
      </c>
      <c r="L1574" s="6" t="e">
        <v>#VALUE!</v>
      </c>
      <c r="M1574" s="6" t="e">
        <v>#VALUE!</v>
      </c>
      <c r="N1574" s="6" t="e">
        <v>#VALUE!</v>
      </c>
      <c r="O1574" s="6" t="e">
        <v>#VALUE!</v>
      </c>
      <c r="P1574" s="6" t="e">
        <v>#VALUE!</v>
      </c>
      <c r="Q1574" s="6" t="e">
        <v>#VALUE!</v>
      </c>
      <c r="R1574" s="6" t="e">
        <v>#VALUE!</v>
      </c>
      <c r="T1574" s="9"/>
      <c r="U1574" s="1">
        <f t="shared" si="2395"/>
        <v>36</v>
      </c>
      <c r="V1574" s="1">
        <f t="shared" si="2396"/>
        <v>233</v>
      </c>
    </row>
    <row r="1575" spans="1:22" x14ac:dyDescent="0.3">
      <c r="A1575" s="1">
        <f t="shared" si="2337"/>
        <v>36234</v>
      </c>
      <c r="B1575" s="12">
        <f t="shared" si="2404"/>
        <v>0.20000000000000284</v>
      </c>
      <c r="C1575" s="13">
        <f t="shared" si="2405"/>
        <v>0.32999999999999829</v>
      </c>
      <c r="D1575" s="10">
        <f t="shared" si="2406"/>
        <v>0.12999999999999545</v>
      </c>
      <c r="E1575" s="74" t="s">
        <v>38</v>
      </c>
      <c r="F1575" s="75"/>
      <c r="G1575" s="76"/>
      <c r="J1575" s="24" t="str">
        <f t="shared" ref="J1575" si="2411">CONCATENATE(K1573,2)</f>
        <v>92</v>
      </c>
      <c r="K1575" s="6" t="e">
        <v>#VALUE!</v>
      </c>
      <c r="L1575" s="6" t="e">
        <v>#VALUE!</v>
      </c>
      <c r="M1575" s="6" t="e">
        <v>#VALUE!</v>
      </c>
      <c r="N1575" s="6" t="e">
        <v>#VALUE!</v>
      </c>
      <c r="O1575" s="6" t="e">
        <v>#VALUE!</v>
      </c>
      <c r="P1575" s="6" t="e">
        <v>#VALUE!</v>
      </c>
      <c r="Q1575" s="6" t="e">
        <v>#VALUE!</v>
      </c>
      <c r="R1575" s="6" t="e">
        <v>#VALUE!</v>
      </c>
      <c r="T1575" s="9"/>
      <c r="U1575" s="1">
        <f t="shared" si="2395"/>
        <v>36</v>
      </c>
      <c r="V1575" s="1">
        <f t="shared" si="2396"/>
        <v>234</v>
      </c>
    </row>
    <row r="1576" spans="1:22" x14ac:dyDescent="0.3">
      <c r="A1576" s="1">
        <f t="shared" si="2337"/>
        <v>36235</v>
      </c>
      <c r="B1576" s="12">
        <f t="shared" si="2404"/>
        <v>0.70000000000000284</v>
      </c>
      <c r="C1576" s="13">
        <f t="shared" si="2405"/>
        <v>0.62999999999999901</v>
      </c>
      <c r="D1576" s="10">
        <f t="shared" si="2406"/>
        <v>-7.0000000000003837E-2</v>
      </c>
      <c r="E1576" s="11">
        <f t="shared" ref="E1576" si="2412">IF(D1549="","",MAX(F1576,G1576))</f>
        <v>1.2000000000000028</v>
      </c>
      <c r="F1576" s="10">
        <f t="shared" ref="F1576" si="2413">ABS(MIN(B1574:B1583))</f>
        <v>1.2000000000000028</v>
      </c>
      <c r="G1576" s="10">
        <f t="shared" ref="G1576" si="2414">ABS(MAX(B1574:B1583))</f>
        <v>0.70000000000000284</v>
      </c>
      <c r="J1576" s="24" t="str">
        <f t="shared" ref="J1576" si="2415">CONCATENATE(K1573,3)</f>
        <v>93</v>
      </c>
      <c r="K1576" s="6" t="e">
        <v>#VALUE!</v>
      </c>
      <c r="L1576" s="6" t="e">
        <v>#VALUE!</v>
      </c>
      <c r="M1576" s="6" t="e">
        <v>#VALUE!</v>
      </c>
      <c r="N1576" s="6" t="e">
        <v>#VALUE!</v>
      </c>
      <c r="O1576" s="6" t="e">
        <v>#VALUE!</v>
      </c>
      <c r="P1576" s="6" t="e">
        <v>#VALUE!</v>
      </c>
      <c r="Q1576" s="6" t="e">
        <v>#VALUE!</v>
      </c>
      <c r="R1576" s="6" t="e">
        <v>#VALUE!</v>
      </c>
      <c r="T1576" s="9"/>
      <c r="U1576" s="1">
        <f t="shared" si="2395"/>
        <v>36</v>
      </c>
      <c r="V1576" s="1">
        <f t="shared" si="2396"/>
        <v>235</v>
      </c>
    </row>
    <row r="1577" spans="1:22" x14ac:dyDescent="0.3">
      <c r="A1577" s="1">
        <f t="shared" si="2337"/>
        <v>36236</v>
      </c>
      <c r="B1577" s="12">
        <f t="shared" si="2404"/>
        <v>0.38000000000000256</v>
      </c>
      <c r="C1577" s="13">
        <f t="shared" si="2405"/>
        <v>0.46000000000000085</v>
      </c>
      <c r="D1577" s="10">
        <f t="shared" si="2406"/>
        <v>7.9999999999998295E-2</v>
      </c>
      <c r="E1577" s="74" t="s">
        <v>39</v>
      </c>
      <c r="F1577" s="75"/>
      <c r="G1577" s="76"/>
      <c r="K1577" s="1">
        <v>10</v>
      </c>
      <c r="L1577" s="1">
        <v>10</v>
      </c>
      <c r="M1577" s="1">
        <v>10</v>
      </c>
      <c r="N1577" s="1">
        <v>10</v>
      </c>
      <c r="O1577" s="1">
        <v>10</v>
      </c>
      <c r="P1577" s="1">
        <v>10</v>
      </c>
      <c r="Q1577" s="1">
        <v>10</v>
      </c>
      <c r="R1577" s="1">
        <v>10</v>
      </c>
      <c r="S1577" s="1">
        <v>10</v>
      </c>
      <c r="T1577" s="9"/>
      <c r="U1577" s="1">
        <f t="shared" si="2395"/>
        <v>36</v>
      </c>
      <c r="V1577" s="1">
        <f t="shared" si="2396"/>
        <v>236</v>
      </c>
    </row>
    <row r="1578" spans="1:22" x14ac:dyDescent="0.3">
      <c r="A1578" s="1">
        <f t="shared" si="2337"/>
        <v>36237</v>
      </c>
      <c r="B1578" s="12">
        <f t="shared" si="2404"/>
        <v>-0.51000000000000512</v>
      </c>
      <c r="C1578" s="13">
        <f t="shared" si="2405"/>
        <v>0.12999999999999545</v>
      </c>
      <c r="D1578" s="10">
        <f t="shared" si="2406"/>
        <v>0.64000000000000057</v>
      </c>
      <c r="E1578" s="11">
        <f t="shared" ref="E1578" si="2416">IF(D1549="","",MAX(F1578,G1578))</f>
        <v>1</v>
      </c>
      <c r="F1578" s="10">
        <f t="shared" ref="F1578" si="2417">ABS(MIN(D1558:D1567))</f>
        <v>0.27</v>
      </c>
      <c r="G1578" s="10">
        <f t="shared" ref="G1578" si="2418">ABS(MAX(D1558:D1567))</f>
        <v>1</v>
      </c>
      <c r="J1578" s="24" t="str">
        <f t="shared" ref="J1578" si="2419">CONCATENATE(K1577,1)</f>
        <v>101</v>
      </c>
      <c r="K1578" s="6" t="e">
        <f t="array" ref="K1578:S1580">LINEST(B1558:B1567,C1558:C1567^{1,2,3,4,5,6,7,8},TRUE,TRUE)</f>
        <v>#VALUE!</v>
      </c>
      <c r="L1578" s="6" t="e">
        <v>#VALUE!</v>
      </c>
      <c r="M1578" s="6" t="e">
        <v>#VALUE!</v>
      </c>
      <c r="N1578" s="6" t="e">
        <v>#VALUE!</v>
      </c>
      <c r="O1578" s="6" t="e">
        <v>#VALUE!</v>
      </c>
      <c r="P1578" s="6" t="e">
        <v>#VALUE!</v>
      </c>
      <c r="Q1578" s="6" t="e">
        <v>#VALUE!</v>
      </c>
      <c r="R1578" s="6" t="e">
        <v>#VALUE!</v>
      </c>
      <c r="S1578" s="6" t="e">
        <v>#VALUE!</v>
      </c>
      <c r="T1578" s="9"/>
      <c r="U1578" s="1">
        <f t="shared" si="2395"/>
        <v>36</v>
      </c>
      <c r="V1578" s="1">
        <f t="shared" si="2396"/>
        <v>237</v>
      </c>
    </row>
    <row r="1579" spans="1:22" x14ac:dyDescent="0.3">
      <c r="A1579" s="1">
        <f t="shared" si="2337"/>
        <v>36238</v>
      </c>
      <c r="B1579" s="12">
        <f t="shared" si="2404"/>
        <v>-1.2000000000000028</v>
      </c>
      <c r="C1579" s="13">
        <f t="shared" si="2405"/>
        <v>-0.1600000000000108</v>
      </c>
      <c r="D1579" s="10">
        <f t="shared" si="2406"/>
        <v>1.039999999999992</v>
      </c>
      <c r="J1579" s="24" t="str">
        <f t="shared" ref="J1579" si="2420">CONCATENATE(K1577,2)</f>
        <v>102</v>
      </c>
      <c r="K1579" s="6" t="e">
        <v>#VALUE!</v>
      </c>
      <c r="L1579" s="6" t="e">
        <v>#VALUE!</v>
      </c>
      <c r="M1579" s="6" t="e">
        <v>#VALUE!</v>
      </c>
      <c r="N1579" s="6" t="e">
        <v>#VALUE!</v>
      </c>
      <c r="O1579" s="6" t="e">
        <v>#VALUE!</v>
      </c>
      <c r="P1579" s="6" t="e">
        <v>#VALUE!</v>
      </c>
      <c r="Q1579" s="6" t="e">
        <v>#VALUE!</v>
      </c>
      <c r="R1579" s="6" t="e">
        <v>#VALUE!</v>
      </c>
      <c r="S1579" s="6" t="e">
        <v>#VALUE!</v>
      </c>
      <c r="T1579" s="9"/>
      <c r="U1579" s="1">
        <f t="shared" si="2395"/>
        <v>36</v>
      </c>
      <c r="V1579" s="1">
        <f t="shared" si="2396"/>
        <v>238</v>
      </c>
    </row>
    <row r="1580" spans="1:22" x14ac:dyDescent="0.3">
      <c r="A1580" s="1">
        <f t="shared" si="2337"/>
        <v>36239</v>
      </c>
      <c r="B1580" s="12">
        <f t="shared" si="2404"/>
        <v>0</v>
      </c>
      <c r="C1580" s="13">
        <f t="shared" si="2405"/>
        <v>0</v>
      </c>
      <c r="D1580" s="10">
        <f t="shared" si="2406"/>
        <v>0</v>
      </c>
      <c r="J1580" s="24" t="str">
        <f t="shared" ref="J1580" si="2421">CONCATENATE(K1577,3)</f>
        <v>103</v>
      </c>
      <c r="K1580" s="6" t="e">
        <v>#VALUE!</v>
      </c>
      <c r="L1580" s="6" t="e">
        <v>#VALUE!</v>
      </c>
      <c r="M1580" s="6" t="e">
        <v>#VALUE!</v>
      </c>
      <c r="N1580" s="6" t="e">
        <v>#VALUE!</v>
      </c>
      <c r="O1580" s="6" t="e">
        <v>#VALUE!</v>
      </c>
      <c r="P1580" s="6" t="e">
        <v>#VALUE!</v>
      </c>
      <c r="Q1580" s="6" t="e">
        <v>#VALUE!</v>
      </c>
      <c r="R1580" s="6" t="e">
        <v>#VALUE!</v>
      </c>
      <c r="S1580" s="6" t="e">
        <v>#VALUE!</v>
      </c>
      <c r="T1580" s="9"/>
      <c r="U1580" s="1">
        <f t="shared" si="2395"/>
        <v>36</v>
      </c>
      <c r="V1580" s="1">
        <f t="shared" si="2396"/>
        <v>239</v>
      </c>
    </row>
    <row r="1581" spans="1:22" x14ac:dyDescent="0.3">
      <c r="A1581" s="1">
        <f t="shared" si="2337"/>
        <v>36240</v>
      </c>
      <c r="B1581" s="12">
        <f t="shared" si="2404"/>
        <v>0</v>
      </c>
      <c r="C1581" s="13">
        <f t="shared" si="2405"/>
        <v>0</v>
      </c>
      <c r="D1581" s="10">
        <f t="shared" si="2406"/>
        <v>0</v>
      </c>
      <c r="J1581" s="9"/>
      <c r="K1581" s="9"/>
      <c r="L1581" s="9"/>
      <c r="M1581" s="9"/>
      <c r="N1581" s="9"/>
      <c r="O1581" s="9"/>
      <c r="P1581" s="9"/>
      <c r="Q1581" s="9"/>
      <c r="R1581" s="9"/>
      <c r="S1581" s="9"/>
      <c r="T1581" s="9"/>
      <c r="U1581" s="1">
        <f t="shared" si="2395"/>
        <v>36</v>
      </c>
      <c r="V1581" s="1">
        <f t="shared" si="2396"/>
        <v>240</v>
      </c>
    </row>
    <row r="1582" spans="1:22" x14ac:dyDescent="0.3">
      <c r="A1582" s="1">
        <f t="shared" si="2337"/>
        <v>36241</v>
      </c>
      <c r="B1582" s="12">
        <f t="shared" si="2404"/>
        <v>0</v>
      </c>
      <c r="C1582" s="13">
        <f t="shared" si="2405"/>
        <v>0</v>
      </c>
      <c r="D1582" s="10">
        <f t="shared" si="2406"/>
        <v>0</v>
      </c>
      <c r="J1582" s="9"/>
      <c r="K1582" s="9"/>
      <c r="L1582" s="9"/>
      <c r="M1582" s="9"/>
      <c r="N1582" s="9"/>
      <c r="O1582" s="9"/>
      <c r="P1582" s="9"/>
      <c r="Q1582" s="9"/>
      <c r="R1582" s="9"/>
      <c r="S1582" s="9"/>
      <c r="T1582" s="9"/>
      <c r="U1582" s="1">
        <f t="shared" si="2395"/>
        <v>36</v>
      </c>
      <c r="V1582" s="1">
        <f t="shared" si="2396"/>
        <v>241</v>
      </c>
    </row>
    <row r="1583" spans="1:22" x14ac:dyDescent="0.3">
      <c r="A1583" s="1">
        <f t="shared" si="2337"/>
        <v>36242</v>
      </c>
      <c r="B1583" s="12">
        <f t="shared" si="2404"/>
        <v>0</v>
      </c>
      <c r="C1583" s="13">
        <f t="shared" si="2405"/>
        <v>0</v>
      </c>
      <c r="D1583" s="10">
        <f t="shared" si="2406"/>
        <v>0</v>
      </c>
      <c r="J1583" s="9"/>
      <c r="K1583" s="9"/>
      <c r="L1583" s="9"/>
      <c r="M1583" s="9"/>
      <c r="N1583" s="9"/>
      <c r="O1583" s="9"/>
      <c r="P1583" s="9"/>
      <c r="Q1583" s="9"/>
      <c r="R1583" s="9"/>
      <c r="S1583" s="9"/>
      <c r="T1583" s="9"/>
      <c r="U1583" s="1">
        <f t="shared" si="2395"/>
        <v>36</v>
      </c>
      <c r="V1583" s="1">
        <f t="shared" si="2396"/>
        <v>242</v>
      </c>
    </row>
    <row r="1584" spans="1:22" x14ac:dyDescent="0.3">
      <c r="A1584" s="1">
        <f t="shared" si="2337"/>
        <v>36243</v>
      </c>
      <c r="J1584" s="9"/>
      <c r="K1584" s="9"/>
      <c r="L1584" s="9"/>
      <c r="M1584" s="9"/>
      <c r="N1584" s="9"/>
      <c r="O1584" s="9"/>
      <c r="P1584" s="9"/>
      <c r="Q1584" s="9"/>
      <c r="R1584" s="9"/>
      <c r="S1584" s="9"/>
      <c r="T1584" s="9"/>
      <c r="U1584" s="1">
        <f t="shared" si="2395"/>
        <v>36</v>
      </c>
      <c r="V1584" s="1">
        <f t="shared" si="2396"/>
        <v>243</v>
      </c>
    </row>
    <row r="1585" spans="1:22" s="5" customFormat="1" x14ac:dyDescent="0.3"/>
    <row r="1586" spans="1:22" x14ac:dyDescent="0.3">
      <c r="A1586" s="1">
        <f t="shared" ref="A1586:A1628" si="2422">ROUND(CONCATENATE(U1586,V1586),0)</f>
        <v>37201</v>
      </c>
      <c r="B1586" s="96" t="s">
        <v>0</v>
      </c>
      <c r="C1586" s="97"/>
      <c r="D1586" s="110" t="s">
        <v>46</v>
      </c>
      <c r="E1586" s="111"/>
      <c r="F1586" s="111"/>
      <c r="G1586" s="111"/>
      <c r="H1586" s="112"/>
      <c r="J1586" s="9"/>
      <c r="K1586" s="9"/>
      <c r="L1586" s="9"/>
      <c r="M1586" s="9"/>
      <c r="N1586" s="9"/>
      <c r="O1586" s="9"/>
      <c r="P1586" s="9"/>
      <c r="Q1586" s="9"/>
      <c r="R1586" s="9"/>
      <c r="S1586" s="9"/>
      <c r="T1586" s="9"/>
      <c r="U1586" s="1">
        <f t="shared" ref="U1586" si="2423">U1584+1</f>
        <v>37</v>
      </c>
      <c r="V1586" s="1">
        <v>201</v>
      </c>
    </row>
    <row r="1587" spans="1:22" x14ac:dyDescent="0.3">
      <c r="A1587" s="1">
        <f t="shared" si="2422"/>
        <v>37202</v>
      </c>
      <c r="B1587" s="96" t="s">
        <v>1</v>
      </c>
      <c r="C1587" s="97"/>
      <c r="D1587" s="15">
        <v>25</v>
      </c>
      <c r="E1587" s="16" t="s">
        <v>2</v>
      </c>
      <c r="F1587" s="107"/>
      <c r="G1587" s="108"/>
      <c r="H1587" s="109"/>
      <c r="J1587" s="9"/>
      <c r="K1587" s="9"/>
      <c r="L1587" s="9"/>
      <c r="M1587" s="9"/>
      <c r="N1587" s="9"/>
      <c r="O1587" s="9"/>
      <c r="P1587" s="9"/>
      <c r="Q1587" s="9"/>
      <c r="R1587" s="9"/>
      <c r="S1587" s="9"/>
      <c r="T1587" s="9"/>
      <c r="U1587" s="1">
        <f t="shared" ref="U1587" si="2424">U1586</f>
        <v>37</v>
      </c>
      <c r="V1587" s="1">
        <f t="shared" ref="V1587" si="2425">V1586+1</f>
        <v>202</v>
      </c>
    </row>
    <row r="1588" spans="1:22" x14ac:dyDescent="0.3">
      <c r="A1588" s="1">
        <f t="shared" si="2422"/>
        <v>37203</v>
      </c>
      <c r="B1588" s="96" t="s">
        <v>12</v>
      </c>
      <c r="C1588" s="97"/>
      <c r="D1588" s="110" t="s">
        <v>246</v>
      </c>
      <c r="E1588" s="111"/>
      <c r="F1588" s="111"/>
      <c r="G1588" s="111"/>
      <c r="H1588" s="112"/>
      <c r="K1588" s="1" t="s">
        <v>3</v>
      </c>
      <c r="L1588" s="1" t="s">
        <v>4</v>
      </c>
      <c r="M1588" s="1" t="s">
        <v>5</v>
      </c>
      <c r="N1588" s="1" t="s">
        <v>6</v>
      </c>
      <c r="O1588" s="1" t="s">
        <v>7</v>
      </c>
      <c r="P1588" s="1" t="s">
        <v>8</v>
      </c>
      <c r="Q1588" s="1" t="s">
        <v>9</v>
      </c>
      <c r="R1588" s="1" t="s">
        <v>10</v>
      </c>
      <c r="S1588" s="1" t="s">
        <v>11</v>
      </c>
      <c r="T1588" s="9"/>
      <c r="U1588" s="1">
        <f t="shared" si="2395"/>
        <v>37</v>
      </c>
      <c r="V1588" s="1">
        <f t="shared" si="2396"/>
        <v>203</v>
      </c>
    </row>
    <row r="1589" spans="1:22" x14ac:dyDescent="0.3">
      <c r="A1589" s="1">
        <f t="shared" si="2422"/>
        <v>37204</v>
      </c>
      <c r="B1589" s="96" t="s">
        <v>13</v>
      </c>
      <c r="C1589" s="97"/>
      <c r="D1589" s="110" t="s">
        <v>65</v>
      </c>
      <c r="E1589" s="111"/>
      <c r="F1589" s="111"/>
      <c r="G1589" s="111"/>
      <c r="H1589" s="112"/>
      <c r="J1589" s="1">
        <f t="shared" ref="J1589" si="2426">COUNTA(B1602:B1611)</f>
        <v>6</v>
      </c>
      <c r="K1589" s="1">
        <f t="shared" ref="K1589" si="2427">IF(L1589-1&lt;2,0,L1589-1)</f>
        <v>0</v>
      </c>
      <c r="L1589" s="1">
        <f t="shared" ref="L1589" si="2428">IF(M1589-1&lt;2,0,M1589-1)</f>
        <v>0</v>
      </c>
      <c r="M1589" s="1">
        <f t="shared" ref="M1589" si="2429">IF(N1589-1&lt;2,0,N1589-1)</f>
        <v>0</v>
      </c>
      <c r="N1589" s="1">
        <f t="shared" ref="N1589" si="2430">IF(O1589-1&lt;2,0,O1589-1)</f>
        <v>0</v>
      </c>
      <c r="O1589" s="1">
        <f t="shared" ref="O1589" si="2431">IF(P1589-1&lt;2,0,P1589-1)</f>
        <v>2</v>
      </c>
      <c r="P1589" s="1">
        <f t="shared" ref="P1589" si="2432">IF(Q1589-1&lt;2,0,Q1589-1)</f>
        <v>3</v>
      </c>
      <c r="Q1589" s="1">
        <f t="shared" ref="Q1589" si="2433">IF(R1589-1&lt;2,0,R1589-1)</f>
        <v>4</v>
      </c>
      <c r="R1589" s="1">
        <f t="shared" ref="R1589" si="2434">IF(S1589-1&lt;2,0,S1589-1)</f>
        <v>5</v>
      </c>
      <c r="S1589" s="1">
        <f t="shared" ref="S1589" si="2435">J1589</f>
        <v>6</v>
      </c>
      <c r="T1589" s="9"/>
      <c r="U1589" s="1">
        <f t="shared" si="2395"/>
        <v>37</v>
      </c>
      <c r="V1589" s="1">
        <f t="shared" si="2396"/>
        <v>204</v>
      </c>
    </row>
    <row r="1590" spans="1:22" x14ac:dyDescent="0.3">
      <c r="A1590" s="1">
        <f t="shared" si="2422"/>
        <v>37205</v>
      </c>
      <c r="B1590" s="96" t="s">
        <v>14</v>
      </c>
      <c r="C1590" s="97"/>
      <c r="D1590" s="110" t="s">
        <v>66</v>
      </c>
      <c r="E1590" s="111"/>
      <c r="F1590" s="111"/>
      <c r="G1590" s="111"/>
      <c r="H1590" s="112"/>
      <c r="J1590" s="24" t="str">
        <f t="shared" ref="J1590" si="2436">CONCATENATE(J1589,1)</f>
        <v>61</v>
      </c>
      <c r="K1590" s="25">
        <f t="shared" ref="K1590" si="2437">IF(K1589=0,0,VLOOKUP(J1590,J1594:S1624,K1589,FALSE))</f>
        <v>0</v>
      </c>
      <c r="L1590" s="25">
        <f t="shared" ref="L1590" si="2438">IF(L1589=0,0,VLOOKUP(J1590,J1594:S1624,L1589,FALSE))</f>
        <v>0</v>
      </c>
      <c r="M1590" s="25">
        <f t="shared" ref="M1590" si="2439">IF(M1589=0,0,VLOOKUP(J1590,J1594:S1624,M1589,FALSE))</f>
        <v>0</v>
      </c>
      <c r="N1590" s="25">
        <f t="shared" ref="N1590" si="2440">IF(N1589=0,0,VLOOKUP(J1590,J1594:S1624,N1589,FALSE))</f>
        <v>0</v>
      </c>
      <c r="O1590" s="25">
        <f t="shared" ref="O1590" si="2441">IF(O1589=0,0,VLOOKUP(J1590,J1594:S1624,O1589,FALSE))</f>
        <v>1.387328415077682E-7</v>
      </c>
      <c r="P1590" s="25">
        <f t="shared" ref="P1590" si="2442">IF(P1589=0,0,VLOOKUP(J1590,J1594:S1624,P1589,FALSE))</f>
        <v>-4.1420082436107202E-5</v>
      </c>
      <c r="Q1590" s="25">
        <f t="shared" ref="Q1590" si="2443">IF(Q1589=0,0,VLOOKUP(J1590,J1594:S1624,Q1589,FALSE))</f>
        <v>4.4558169296664051E-3</v>
      </c>
      <c r="R1590" s="25">
        <f t="shared" ref="R1590" si="2444">IF(R1589=0,0,VLOOKUP(J1590,J1594:S1624,R1589,FALSE))</f>
        <v>0.82171072088862673</v>
      </c>
      <c r="S1590" s="25">
        <f t="shared" ref="S1590" si="2445">IF(S1589=0,0,VLOOKUP(J1590,J1594:S1624,S1589,FALSE))</f>
        <v>1.8761500590692899</v>
      </c>
      <c r="T1590" s="9"/>
      <c r="U1590" s="1">
        <f t="shared" si="2395"/>
        <v>37</v>
      </c>
      <c r="V1590" s="1">
        <f t="shared" si="2396"/>
        <v>205</v>
      </c>
    </row>
    <row r="1591" spans="1:22" x14ac:dyDescent="0.3">
      <c r="A1591" s="1">
        <f t="shared" si="2422"/>
        <v>37206</v>
      </c>
      <c r="B1591" s="96" t="s">
        <v>15</v>
      </c>
      <c r="C1591" s="97"/>
      <c r="D1591" s="110" t="s">
        <v>332</v>
      </c>
      <c r="E1591" s="111"/>
      <c r="F1591" s="111"/>
      <c r="G1591" s="111"/>
      <c r="H1591" s="112"/>
      <c r="J1591" s="24" t="str">
        <f t="shared" ref="J1591" si="2446">CONCATENATE(J1589,2)</f>
        <v>62</v>
      </c>
      <c r="K1591" s="6">
        <f t="shared" ref="K1591" si="2447">IF(K1589=0,0,VLOOKUP(J1591,J1594:S1624,K1589,FALSE))</f>
        <v>0</v>
      </c>
      <c r="L1591" s="6">
        <f t="shared" ref="L1591" si="2448">IF(L1589=0,0,VLOOKUP(J1591,J1594:S1624,L1589,FALSE))</f>
        <v>0</v>
      </c>
      <c r="M1591" s="6">
        <f t="shared" ref="M1591" si="2449">IF(M1589=0,0,VLOOKUP(J1591,J1594:S1624,M1589,FALSE))</f>
        <v>0</v>
      </c>
      <c r="N1591" s="6">
        <f t="shared" ref="N1591" si="2450">IF(N1589=0,0,VLOOKUP(J1591,J1594:S1624,N1589,FALSE))</f>
        <v>0</v>
      </c>
      <c r="O1591" s="6">
        <f t="shared" ref="O1591" si="2451">IF(O1589=0,0,VLOOKUP(J1591,J1594:S1624,O1589,FALSE))</f>
        <v>1.0704861455703971E-8</v>
      </c>
      <c r="P1591" s="6">
        <f t="shared" ref="P1591" si="2452">IF(P1589=0,0,VLOOKUP(J1591,J1594:S1624,P1589,FALSE))</f>
        <v>2.1025350317187514E-6</v>
      </c>
      <c r="Q1591" s="6">
        <f t="shared" ref="Q1591" si="2453">IF(Q1589=0,0,VLOOKUP(J1591,J1594:S1624,Q1589,FALSE))</f>
        <v>1.3365147339714238E-4</v>
      </c>
      <c r="R1591" s="6">
        <f t="shared" ref="R1591" si="2454">IF(R1589=0,0,VLOOKUP(J1591,J1594:S1624,R1589,FALSE))</f>
        <v>2.9823689996561925E-3</v>
      </c>
      <c r="S1591" s="6">
        <f t="shared" ref="S1591" si="2455">IF(S1589=0,0,VLOOKUP(J1591,J1594:S1624,S1589,FALSE))</f>
        <v>1.8062680638259415E-2</v>
      </c>
      <c r="T1591" s="9"/>
      <c r="U1591" s="1">
        <f t="shared" si="2395"/>
        <v>37</v>
      </c>
      <c r="V1591" s="1">
        <f t="shared" si="2396"/>
        <v>206</v>
      </c>
    </row>
    <row r="1592" spans="1:22" x14ac:dyDescent="0.3">
      <c r="A1592" s="1">
        <f t="shared" si="2422"/>
        <v>37207</v>
      </c>
      <c r="B1592" s="96" t="s">
        <v>16</v>
      </c>
      <c r="C1592" s="97"/>
      <c r="D1592" s="120">
        <v>45894</v>
      </c>
      <c r="E1592" s="121"/>
      <c r="F1592" s="121"/>
      <c r="G1592" s="121"/>
      <c r="H1592" s="121"/>
      <c r="J1592" s="24" t="str">
        <f t="shared" ref="J1592" si="2456">CONCATENATE(J1589,3)</f>
        <v>63</v>
      </c>
      <c r="K1592" s="6"/>
      <c r="L1592" s="6"/>
      <c r="M1592" s="6"/>
      <c r="N1592" s="6" t="s">
        <v>43</v>
      </c>
      <c r="O1592" s="25">
        <f t="shared" ref="O1592" si="2457">J1589-2</f>
        <v>4</v>
      </c>
      <c r="P1592" s="6" t="s">
        <v>44</v>
      </c>
      <c r="Q1592" s="25">
        <f t="shared" ref="Q1592" si="2458">VLOOKUP(J1592,J1594:S1624,3,FALSE)</f>
        <v>1.1356618537590624E-2</v>
      </c>
      <c r="R1592" s="6" t="s">
        <v>45</v>
      </c>
      <c r="S1592" s="6">
        <f t="shared" ref="S1592" si="2459">VLOOKUP(J1592,J1594:S1624,2,FALSE)</f>
        <v>0.99999997914614136</v>
      </c>
      <c r="T1592" s="9"/>
      <c r="U1592" s="1">
        <f t="shared" si="2395"/>
        <v>37</v>
      </c>
      <c r="V1592" s="1">
        <f t="shared" si="2396"/>
        <v>207</v>
      </c>
    </row>
    <row r="1593" spans="1:22" x14ac:dyDescent="0.3">
      <c r="A1593" s="1">
        <f t="shared" si="2422"/>
        <v>37208</v>
      </c>
      <c r="B1593" s="96" t="s">
        <v>17</v>
      </c>
      <c r="C1593" s="97"/>
      <c r="D1593" s="122">
        <v>46264</v>
      </c>
      <c r="E1593" s="122"/>
      <c r="F1593" s="122"/>
      <c r="G1593" s="122"/>
      <c r="H1593" s="122"/>
      <c r="K1593" s="1">
        <v>3</v>
      </c>
      <c r="L1593" s="1">
        <v>3</v>
      </c>
      <c r="Q1593" s="26"/>
      <c r="R1593" s="26"/>
      <c r="S1593" s="26"/>
      <c r="T1593" s="9"/>
      <c r="U1593" s="1">
        <f t="shared" si="2395"/>
        <v>37</v>
      </c>
      <c r="V1593" s="1">
        <f t="shared" si="2396"/>
        <v>208</v>
      </c>
    </row>
    <row r="1594" spans="1:22" x14ac:dyDescent="0.3">
      <c r="A1594" s="1">
        <f t="shared" si="2422"/>
        <v>37209</v>
      </c>
      <c r="B1594" s="77" t="s">
        <v>19</v>
      </c>
      <c r="C1594" s="78"/>
      <c r="D1594" s="17">
        <v>0.01</v>
      </c>
      <c r="E1594" s="79" t="s">
        <v>40</v>
      </c>
      <c r="F1594" s="80"/>
      <c r="G1594" s="81"/>
      <c r="H1594" s="18" t="s">
        <v>72</v>
      </c>
      <c r="J1594" s="24" t="str">
        <f t="shared" ref="J1594" si="2460">CONCATENATE(K1593,1)</f>
        <v>31</v>
      </c>
      <c r="K1594" s="6">
        <f t="array" ref="K1594:L1596">LINEST(B1602:B1604,C1602:C1604^{1},TRUE,TRUE)</f>
        <v>0.93223501583435997</v>
      </c>
      <c r="L1594" s="6">
        <v>1.4194826960452609</v>
      </c>
      <c r="Q1594" s="9"/>
      <c r="R1594" s="9"/>
      <c r="S1594" s="9"/>
      <c r="T1594" s="9"/>
      <c r="U1594" s="1">
        <f t="shared" si="2395"/>
        <v>37</v>
      </c>
      <c r="V1594" s="1">
        <f t="shared" si="2396"/>
        <v>209</v>
      </c>
    </row>
    <row r="1595" spans="1:22" x14ac:dyDescent="0.3">
      <c r="A1595" s="1">
        <f t="shared" si="2422"/>
        <v>37210</v>
      </c>
      <c r="B1595" s="77" t="s">
        <v>41</v>
      </c>
      <c r="C1595" s="78"/>
      <c r="D1595" s="23">
        <f t="shared" ref="D1595" si="2461">MIN(B1602:B1611)</f>
        <v>5</v>
      </c>
      <c r="E1595" s="20" t="s">
        <v>18</v>
      </c>
      <c r="F1595" s="19">
        <f t="shared" ref="F1595" si="2462">MAX(B1602:B1611)</f>
        <v>95.02</v>
      </c>
      <c r="G1595" s="21" t="str">
        <f t="shared" ref="G1595" si="2463">IF(H1594="","",H1594)</f>
        <v>%ur</v>
      </c>
      <c r="H1595" s="22"/>
      <c r="J1595" s="24" t="str">
        <f t="shared" ref="J1595" si="2464">CONCATENATE(K1593,2)</f>
        <v>32</v>
      </c>
      <c r="K1595" s="6">
        <v>1.743542017494723E-2</v>
      </c>
      <c r="L1595" s="6">
        <v>0.37010647087143905</v>
      </c>
      <c r="Q1595" s="9"/>
      <c r="R1595" s="9"/>
      <c r="S1595" s="9"/>
      <c r="T1595" s="9"/>
      <c r="U1595" s="1">
        <f t="shared" si="2395"/>
        <v>37</v>
      </c>
      <c r="V1595" s="1">
        <f t="shared" si="2396"/>
        <v>210</v>
      </c>
    </row>
    <row r="1596" spans="1:22" x14ac:dyDescent="0.3">
      <c r="A1596" s="1">
        <f t="shared" si="2422"/>
        <v>37211</v>
      </c>
      <c r="J1596" s="24" t="str">
        <f t="shared" ref="J1596" si="2465">CONCATENATE(K1593,3)</f>
        <v>33</v>
      </c>
      <c r="K1596" s="6">
        <v>0.99965032697943423</v>
      </c>
      <c r="L1596" s="6">
        <v>0.33276085984658721</v>
      </c>
      <c r="Q1596" s="9"/>
      <c r="R1596" s="9"/>
      <c r="S1596" s="9"/>
      <c r="T1596" s="9"/>
      <c r="U1596" s="1">
        <f t="shared" si="2395"/>
        <v>37</v>
      </c>
      <c r="V1596" s="1">
        <f t="shared" si="2396"/>
        <v>211</v>
      </c>
    </row>
    <row r="1597" spans="1:22" x14ac:dyDescent="0.3">
      <c r="A1597" s="1">
        <f t="shared" si="2422"/>
        <v>37212</v>
      </c>
      <c r="B1597" s="82" t="s">
        <v>20</v>
      </c>
      <c r="C1597" s="83"/>
      <c r="D1597" s="83"/>
      <c r="E1597" s="83"/>
      <c r="F1597" s="84"/>
      <c r="G1597" s="85" t="s">
        <v>31</v>
      </c>
      <c r="H1597" s="86"/>
      <c r="K1597" s="1">
        <v>4</v>
      </c>
      <c r="L1597" s="1">
        <v>4</v>
      </c>
      <c r="M1597" s="1">
        <v>4</v>
      </c>
      <c r="Q1597" s="9"/>
      <c r="R1597" s="9"/>
      <c r="S1597" s="9"/>
      <c r="T1597" s="9"/>
      <c r="U1597" s="1">
        <f t="shared" si="2395"/>
        <v>37</v>
      </c>
      <c r="V1597" s="1">
        <f t="shared" si="2396"/>
        <v>212</v>
      </c>
    </row>
    <row r="1598" spans="1:22" x14ac:dyDescent="0.3">
      <c r="A1598" s="1">
        <f t="shared" si="2422"/>
        <v>37213</v>
      </c>
      <c r="B1598" s="82" t="s">
        <v>30</v>
      </c>
      <c r="C1598" s="83"/>
      <c r="D1598" s="84"/>
      <c r="E1598" s="82" t="str">
        <f t="shared" ref="E1598" si="2466">D1591</f>
        <v>E0519/25</v>
      </c>
      <c r="F1598" s="84"/>
      <c r="G1598" s="6" t="s">
        <v>32</v>
      </c>
      <c r="H1598" s="7" t="s">
        <v>247</v>
      </c>
      <c r="J1598" s="24" t="str">
        <f t="shared" ref="J1598" si="2467">CONCATENATE(K1597,1)</f>
        <v>41</v>
      </c>
      <c r="K1598" s="6">
        <f t="array" ref="K1598:M1600">LINEST(B1602:B1605,C1602:C1605^{1,2},TRUE,TRUE)</f>
        <v>1.8227229670303379E-3</v>
      </c>
      <c r="L1598" s="6">
        <v>0.87063887009374463</v>
      </c>
      <c r="M1598" s="6">
        <v>1.7119446145063462</v>
      </c>
      <c r="Q1598" s="9"/>
      <c r="R1598" s="9"/>
      <c r="S1598" s="9"/>
      <c r="T1598" s="9"/>
      <c r="U1598" s="1">
        <f t="shared" si="2395"/>
        <v>37</v>
      </c>
      <c r="V1598" s="1">
        <f t="shared" si="2396"/>
        <v>213</v>
      </c>
    </row>
    <row r="1599" spans="1:22" x14ac:dyDescent="0.3">
      <c r="A1599" s="1">
        <f t="shared" si="2422"/>
        <v>37214</v>
      </c>
      <c r="B1599" s="2" t="s">
        <v>21</v>
      </c>
      <c r="C1599" s="2" t="s">
        <v>22</v>
      </c>
      <c r="D1599" s="2" t="s">
        <v>23</v>
      </c>
      <c r="E1599" s="2"/>
      <c r="F1599" s="2" t="s">
        <v>28</v>
      </c>
      <c r="G1599" s="2" t="s">
        <v>21</v>
      </c>
      <c r="H1599" s="2" t="s">
        <v>22</v>
      </c>
      <c r="J1599" s="24" t="str">
        <f t="shared" ref="J1599" si="2468">CONCATENATE(K1597,2)</f>
        <v>42</v>
      </c>
      <c r="K1599" s="6">
        <v>1.6898676854990851E-4</v>
      </c>
      <c r="L1599" s="6">
        <v>9.5611347779960068E-3</v>
      </c>
      <c r="M1599" s="6">
        <v>0.11111889553280181</v>
      </c>
      <c r="Q1599" s="9"/>
      <c r="R1599" s="9"/>
      <c r="S1599" s="9"/>
      <c r="T1599" s="9"/>
      <c r="U1599" s="1">
        <f t="shared" si="2395"/>
        <v>37</v>
      </c>
      <c r="V1599" s="1">
        <f t="shared" si="2396"/>
        <v>214</v>
      </c>
    </row>
    <row r="1600" spans="1:22" x14ac:dyDescent="0.3">
      <c r="A1600" s="1">
        <f t="shared" si="2422"/>
        <v>37215</v>
      </c>
      <c r="B1600" s="2" t="s">
        <v>24</v>
      </c>
      <c r="C1600" s="2" t="s">
        <v>25</v>
      </c>
      <c r="D1600" s="2" t="s">
        <v>26</v>
      </c>
      <c r="E1600" s="2" t="s">
        <v>27</v>
      </c>
      <c r="F1600" s="2" t="s">
        <v>29</v>
      </c>
      <c r="G1600" s="2" t="s">
        <v>24</v>
      </c>
      <c r="H1600" s="2" t="s">
        <v>25</v>
      </c>
      <c r="J1600" s="24" t="str">
        <f t="shared" ref="J1600" si="2469">CONCATENATE(K1597,3)</f>
        <v>43</v>
      </c>
      <c r="K1600" s="6">
        <v>0.99999302003059121</v>
      </c>
      <c r="L1600" s="6">
        <v>8.6370378635690415E-2</v>
      </c>
      <c r="M1600" s="6" t="e">
        <v>#N/A</v>
      </c>
      <c r="Q1600" s="9"/>
      <c r="R1600" s="9"/>
      <c r="S1600" s="9"/>
      <c r="T1600" s="9"/>
      <c r="U1600" s="1">
        <f t="shared" si="2395"/>
        <v>37</v>
      </c>
      <c r="V1600" s="1">
        <f t="shared" si="2396"/>
        <v>215</v>
      </c>
    </row>
    <row r="1601" spans="1:22" x14ac:dyDescent="0.3">
      <c r="A1601" s="1">
        <f t="shared" si="2422"/>
        <v>37216</v>
      </c>
      <c r="B1601" s="3" t="str">
        <f t="shared" ref="B1601" si="2470">H1594</f>
        <v>%ur</v>
      </c>
      <c r="C1601" s="3" t="str">
        <f t="shared" ref="C1601" si="2471">B1601</f>
        <v>%ur</v>
      </c>
      <c r="D1601" s="3" t="str">
        <f t="shared" ref="D1601" si="2472">C1601</f>
        <v>%ur</v>
      </c>
      <c r="E1601" s="3"/>
      <c r="F1601" s="3"/>
      <c r="G1601" s="3" t="str">
        <f t="shared" ref="G1601" si="2473">D1601</f>
        <v>%ur</v>
      </c>
      <c r="H1601" s="3" t="str">
        <f t="shared" ref="H1601" si="2474">G1601</f>
        <v>%ur</v>
      </c>
      <c r="K1601" s="1">
        <v>5</v>
      </c>
      <c r="L1601" s="1">
        <v>5</v>
      </c>
      <c r="M1601" s="1">
        <v>5</v>
      </c>
      <c r="N1601" s="1">
        <v>5</v>
      </c>
      <c r="Q1601" s="9"/>
      <c r="R1601" s="9"/>
      <c r="S1601" s="9"/>
      <c r="T1601" s="9"/>
      <c r="U1601" s="1">
        <f t="shared" si="2395"/>
        <v>37</v>
      </c>
      <c r="V1601" s="1">
        <f t="shared" si="2396"/>
        <v>216</v>
      </c>
    </row>
    <row r="1602" spans="1:22" x14ac:dyDescent="0.3">
      <c r="A1602" s="1">
        <f t="shared" si="2422"/>
        <v>37217</v>
      </c>
      <c r="B1602" s="4">
        <v>5</v>
      </c>
      <c r="C1602" s="41">
        <v>3.73</v>
      </c>
      <c r="D1602" s="4">
        <v>0.27</v>
      </c>
      <c r="E1602" s="4">
        <v>2</v>
      </c>
      <c r="F1602" s="14">
        <v>1000000</v>
      </c>
      <c r="G1602" s="42">
        <v>5</v>
      </c>
      <c r="H1602" s="42">
        <v>5</v>
      </c>
      <c r="J1602" s="24" t="str">
        <f t="shared" ref="J1602" si="2475">CONCATENATE(K1601,1)</f>
        <v>51</v>
      </c>
      <c r="K1602" s="6">
        <f t="array" ref="K1602:N1604">LINEST(B1602:B1606,C1602:C1606^{1,2,3},TRUE,TRUE)</f>
        <v>-1.9719960262134608E-5</v>
      </c>
      <c r="L1602" s="6">
        <v>3.4013993275534794E-3</v>
      </c>
      <c r="M1602" s="6">
        <v>0.83871062459039458</v>
      </c>
      <c r="N1602" s="6">
        <v>1.8234169092922632</v>
      </c>
      <c r="Q1602" s="9"/>
      <c r="R1602" s="9"/>
      <c r="S1602" s="9"/>
      <c r="T1602" s="9"/>
      <c r="U1602" s="1">
        <f t="shared" si="2395"/>
        <v>37</v>
      </c>
      <c r="V1602" s="1">
        <f t="shared" si="2396"/>
        <v>217</v>
      </c>
    </row>
    <row r="1603" spans="1:22" x14ac:dyDescent="0.3">
      <c r="A1603" s="1">
        <f t="shared" si="2422"/>
        <v>37218</v>
      </c>
      <c r="B1603" s="4">
        <v>20</v>
      </c>
      <c r="C1603" s="41">
        <v>20.22</v>
      </c>
      <c r="D1603" s="4">
        <v>0.35</v>
      </c>
      <c r="E1603" s="4">
        <v>2.0099999999999998</v>
      </c>
      <c r="F1603" s="14">
        <v>356</v>
      </c>
      <c r="G1603" s="42">
        <v>20</v>
      </c>
      <c r="H1603" s="42">
        <v>20</v>
      </c>
      <c r="J1603" s="24" t="str">
        <f t="shared" ref="J1603" si="2476">CONCATENATE(K1601,2)</f>
        <v>52</v>
      </c>
      <c r="K1603" s="6">
        <v>6.5343880913857917E-7</v>
      </c>
      <c r="L1603" s="6">
        <v>8.0466688813470195E-5</v>
      </c>
      <c r="M1603" s="6">
        <v>2.6092275302217294E-3</v>
      </c>
      <c r="N1603" s="6">
        <v>2.1723602420748549E-2</v>
      </c>
      <c r="T1603" s="9"/>
      <c r="U1603" s="1">
        <f t="shared" si="2395"/>
        <v>37</v>
      </c>
      <c r="V1603" s="1">
        <f t="shared" si="2396"/>
        <v>218</v>
      </c>
    </row>
    <row r="1604" spans="1:22" x14ac:dyDescent="0.3">
      <c r="A1604" s="1">
        <f t="shared" si="2422"/>
        <v>37219</v>
      </c>
      <c r="B1604" s="4">
        <v>30</v>
      </c>
      <c r="C1604" s="41">
        <v>30.48</v>
      </c>
      <c r="D1604" s="4">
        <v>0.43</v>
      </c>
      <c r="E1604" s="4">
        <v>2.0099999999999998</v>
      </c>
      <c r="F1604" s="14">
        <v>192</v>
      </c>
      <c r="G1604" s="42">
        <v>30</v>
      </c>
      <c r="H1604" s="42">
        <v>30</v>
      </c>
      <c r="J1604" s="24" t="str">
        <f t="shared" ref="J1604" si="2477">CONCATENATE(K1601,3)</f>
        <v>53</v>
      </c>
      <c r="K1604" s="6">
        <v>0.99999993023819467</v>
      </c>
      <c r="L1604" s="6">
        <v>1.5353661208921565E-2</v>
      </c>
      <c r="M1604" s="6" t="e">
        <v>#N/A</v>
      </c>
      <c r="N1604" s="6" t="e">
        <v>#N/A</v>
      </c>
      <c r="T1604" s="9"/>
      <c r="U1604" s="1">
        <f t="shared" si="2395"/>
        <v>37</v>
      </c>
      <c r="V1604" s="1">
        <f t="shared" si="2396"/>
        <v>219</v>
      </c>
    </row>
    <row r="1605" spans="1:22" x14ac:dyDescent="0.3">
      <c r="A1605" s="1">
        <f t="shared" si="2422"/>
        <v>37220</v>
      </c>
      <c r="B1605" s="4">
        <v>50</v>
      </c>
      <c r="C1605" s="41">
        <v>50.2</v>
      </c>
      <c r="D1605" s="4">
        <v>0.61</v>
      </c>
      <c r="E1605" s="4">
        <v>2.02</v>
      </c>
      <c r="F1605" s="14">
        <v>123</v>
      </c>
      <c r="G1605" s="42">
        <v>50</v>
      </c>
      <c r="H1605" s="42">
        <v>50.02</v>
      </c>
      <c r="K1605" s="1">
        <v>6</v>
      </c>
      <c r="L1605" s="1">
        <v>6</v>
      </c>
      <c r="M1605" s="1">
        <v>6</v>
      </c>
      <c r="N1605" s="1">
        <v>6</v>
      </c>
      <c r="O1605" s="1">
        <v>6</v>
      </c>
      <c r="T1605" s="9"/>
      <c r="U1605" s="1">
        <f t="shared" si="2395"/>
        <v>37</v>
      </c>
      <c r="V1605" s="1">
        <f t="shared" si="2396"/>
        <v>220</v>
      </c>
    </row>
    <row r="1606" spans="1:22" x14ac:dyDescent="0.3">
      <c r="A1606" s="1">
        <f t="shared" si="2422"/>
        <v>37221</v>
      </c>
      <c r="B1606" s="4">
        <v>79.989999999999995</v>
      </c>
      <c r="C1606" s="41">
        <v>79.400000000000006</v>
      </c>
      <c r="D1606" s="4">
        <v>0.87</v>
      </c>
      <c r="E1606" s="4">
        <v>2.02</v>
      </c>
      <c r="F1606" s="14">
        <v>103</v>
      </c>
      <c r="G1606" s="42">
        <v>80</v>
      </c>
      <c r="H1606" s="42">
        <v>79.97</v>
      </c>
      <c r="J1606" s="24" t="str">
        <f t="shared" ref="J1606" si="2478">CONCATENATE(K1605,1)</f>
        <v>61</v>
      </c>
      <c r="K1606" s="6">
        <f t="array" ref="K1606:O1608">LINEST(B1602:B1607,C1602:C1607^{1,2,3,4},TRUE,TRUE)</f>
        <v>1.387328415077682E-7</v>
      </c>
      <c r="L1606" s="6">
        <v>-4.1420082436107202E-5</v>
      </c>
      <c r="M1606" s="6">
        <v>4.4558169296664051E-3</v>
      </c>
      <c r="N1606" s="6">
        <v>0.82171072088862673</v>
      </c>
      <c r="O1606" s="6">
        <v>1.8761500590692899</v>
      </c>
      <c r="T1606" s="9"/>
      <c r="U1606" s="1">
        <f t="shared" si="2395"/>
        <v>37</v>
      </c>
      <c r="V1606" s="1">
        <f t="shared" si="2396"/>
        <v>221</v>
      </c>
    </row>
    <row r="1607" spans="1:22" x14ac:dyDescent="0.3">
      <c r="A1607" s="1">
        <f t="shared" si="2422"/>
        <v>37222</v>
      </c>
      <c r="B1607" s="4">
        <v>95.02</v>
      </c>
      <c r="C1607" s="41">
        <v>94.1</v>
      </c>
      <c r="D1607" s="4">
        <v>0.94</v>
      </c>
      <c r="E1607" s="4">
        <v>2.04</v>
      </c>
      <c r="F1607" s="14">
        <v>72</v>
      </c>
      <c r="G1607" s="42">
        <v>95</v>
      </c>
      <c r="H1607" s="42">
        <v>94.99</v>
      </c>
      <c r="J1607" s="24" t="str">
        <f t="shared" ref="J1607" si="2479">CONCATENATE(K1605,2)</f>
        <v>62</v>
      </c>
      <c r="K1607" s="6">
        <v>1.0704861455703971E-8</v>
      </c>
      <c r="L1607" s="6">
        <v>2.1025350317187514E-6</v>
      </c>
      <c r="M1607" s="6">
        <v>1.3365147339714238E-4</v>
      </c>
      <c r="N1607" s="6">
        <v>2.9823689996561925E-3</v>
      </c>
      <c r="O1607" s="6">
        <v>1.8062680638259415E-2</v>
      </c>
      <c r="T1607" s="9"/>
      <c r="U1607" s="1">
        <f t="shared" si="2395"/>
        <v>37</v>
      </c>
      <c r="V1607" s="1">
        <f t="shared" si="2396"/>
        <v>222</v>
      </c>
    </row>
    <row r="1608" spans="1:22" x14ac:dyDescent="0.3">
      <c r="A1608" s="1">
        <f t="shared" si="2422"/>
        <v>37223</v>
      </c>
      <c r="B1608" s="4"/>
      <c r="C1608" s="4"/>
      <c r="D1608" s="4"/>
      <c r="E1608" s="4"/>
      <c r="F1608" s="14"/>
      <c r="G1608" s="8"/>
      <c r="H1608" s="7"/>
      <c r="J1608" s="24" t="str">
        <f t="shared" ref="J1608" si="2480">CONCATENATE(K1605,3)</f>
        <v>63</v>
      </c>
      <c r="K1608" s="6">
        <v>0.99999997914614136</v>
      </c>
      <c r="L1608" s="6">
        <v>1.1356618537590624E-2</v>
      </c>
      <c r="M1608" s="6" t="e">
        <v>#N/A</v>
      </c>
      <c r="N1608" s="6" t="e">
        <v>#N/A</v>
      </c>
      <c r="O1608" s="6" t="e">
        <v>#N/A</v>
      </c>
      <c r="T1608" s="9"/>
      <c r="U1608" s="1">
        <f t="shared" si="2395"/>
        <v>37</v>
      </c>
      <c r="V1608" s="1">
        <f t="shared" si="2396"/>
        <v>223</v>
      </c>
    </row>
    <row r="1609" spans="1:22" x14ac:dyDescent="0.3">
      <c r="A1609" s="1">
        <f t="shared" si="2422"/>
        <v>37224</v>
      </c>
      <c r="B1609" s="4"/>
      <c r="C1609" s="4"/>
      <c r="D1609" s="4"/>
      <c r="E1609" s="4"/>
      <c r="F1609" s="14"/>
      <c r="G1609" s="8"/>
      <c r="H1609" s="7"/>
      <c r="K1609" s="1">
        <v>7</v>
      </c>
      <c r="L1609" s="1">
        <v>7</v>
      </c>
      <c r="M1609" s="1">
        <v>7</v>
      </c>
      <c r="N1609" s="1">
        <v>7</v>
      </c>
      <c r="O1609" s="1">
        <v>7</v>
      </c>
      <c r="P1609" s="1">
        <v>7</v>
      </c>
      <c r="T1609" s="9"/>
      <c r="U1609" s="1">
        <f t="shared" si="2395"/>
        <v>37</v>
      </c>
      <c r="V1609" s="1">
        <f t="shared" si="2396"/>
        <v>224</v>
      </c>
    </row>
    <row r="1610" spans="1:22" x14ac:dyDescent="0.3">
      <c r="A1610" s="1">
        <f t="shared" si="2422"/>
        <v>37225</v>
      </c>
      <c r="B1610" s="4"/>
      <c r="C1610" s="4"/>
      <c r="D1610" s="4"/>
      <c r="E1610" s="4"/>
      <c r="F1610" s="14"/>
      <c r="G1610" s="8"/>
      <c r="H1610" s="7"/>
      <c r="J1610" s="24" t="str">
        <f t="shared" ref="J1610" si="2481">CONCATENATE(K1609,1)</f>
        <v>71</v>
      </c>
      <c r="K1610" s="6" t="e">
        <f t="array" ref="K1610:P1612">LINEST(B1602:B1608,C1602:C1608^{1,2,3,4,5},TRUE,TRUE)</f>
        <v>#VALUE!</v>
      </c>
      <c r="L1610" s="6" t="e">
        <v>#VALUE!</v>
      </c>
      <c r="M1610" s="6" t="e">
        <v>#VALUE!</v>
      </c>
      <c r="N1610" s="6" t="e">
        <v>#VALUE!</v>
      </c>
      <c r="O1610" s="6" t="e">
        <v>#VALUE!</v>
      </c>
      <c r="P1610" s="6" t="e">
        <v>#VALUE!</v>
      </c>
      <c r="T1610" s="9"/>
      <c r="U1610" s="1">
        <f t="shared" si="2395"/>
        <v>37</v>
      </c>
      <c r="V1610" s="1">
        <f t="shared" si="2396"/>
        <v>225</v>
      </c>
    </row>
    <row r="1611" spans="1:22" x14ac:dyDescent="0.3">
      <c r="A1611" s="1">
        <f t="shared" si="2422"/>
        <v>37226</v>
      </c>
      <c r="B1611" s="4"/>
      <c r="C1611" s="4"/>
      <c r="D1611" s="4"/>
      <c r="E1611" s="4"/>
      <c r="F1611" s="14"/>
      <c r="G1611" s="8"/>
      <c r="H1611" s="7"/>
      <c r="J1611" s="24" t="str">
        <f t="shared" ref="J1611" si="2482">CONCATENATE(K1609,2)</f>
        <v>72</v>
      </c>
      <c r="K1611" s="6" t="e">
        <v>#VALUE!</v>
      </c>
      <c r="L1611" s="6" t="e">
        <v>#VALUE!</v>
      </c>
      <c r="M1611" s="6" t="e">
        <v>#VALUE!</v>
      </c>
      <c r="N1611" s="6" t="e">
        <v>#VALUE!</v>
      </c>
      <c r="O1611" s="6" t="e">
        <v>#VALUE!</v>
      </c>
      <c r="P1611" s="6" t="e">
        <v>#VALUE!</v>
      </c>
      <c r="T1611" s="9"/>
      <c r="U1611" s="1">
        <f t="shared" si="2395"/>
        <v>37</v>
      </c>
      <c r="V1611" s="1">
        <f t="shared" si="2396"/>
        <v>226</v>
      </c>
    </row>
    <row r="1612" spans="1:22" x14ac:dyDescent="0.3">
      <c r="A1612" s="1">
        <f t="shared" si="2422"/>
        <v>37227</v>
      </c>
      <c r="B1612" s="9"/>
      <c r="C1612" s="9"/>
      <c r="D1612" s="9"/>
      <c r="E1612" s="9"/>
      <c r="F1612" s="9"/>
      <c r="G1612" s="9"/>
      <c r="H1612" s="9"/>
      <c r="J1612" s="24" t="str">
        <f t="shared" ref="J1612" si="2483">CONCATENATE(K1609,3)</f>
        <v>73</v>
      </c>
      <c r="K1612" s="6" t="e">
        <v>#VALUE!</v>
      </c>
      <c r="L1612" s="6" t="e">
        <v>#VALUE!</v>
      </c>
      <c r="M1612" s="6" t="e">
        <v>#VALUE!</v>
      </c>
      <c r="N1612" s="6" t="e">
        <v>#VALUE!</v>
      </c>
      <c r="O1612" s="6" t="e">
        <v>#VALUE!</v>
      </c>
      <c r="P1612" s="6" t="e">
        <v>#VALUE!</v>
      </c>
      <c r="T1612" s="9"/>
      <c r="U1612" s="1">
        <f t="shared" si="2395"/>
        <v>37</v>
      </c>
      <c r="V1612" s="1">
        <f t="shared" si="2396"/>
        <v>227</v>
      </c>
    </row>
    <row r="1613" spans="1:22" x14ac:dyDescent="0.3">
      <c r="A1613" s="1">
        <f t="shared" si="2422"/>
        <v>37228</v>
      </c>
      <c r="B1613" s="87" t="s">
        <v>33</v>
      </c>
      <c r="C1613" s="88"/>
      <c r="D1613" s="88"/>
      <c r="E1613" s="88"/>
      <c r="F1613" s="88"/>
      <c r="G1613" s="88"/>
      <c r="H1613" s="89"/>
      <c r="K1613" s="1">
        <v>8</v>
      </c>
      <c r="L1613" s="1">
        <v>8</v>
      </c>
      <c r="M1613" s="1">
        <v>8</v>
      </c>
      <c r="N1613" s="1">
        <v>8</v>
      </c>
      <c r="O1613" s="1">
        <v>8</v>
      </c>
      <c r="P1613" s="1">
        <v>8</v>
      </c>
      <c r="Q1613" s="1">
        <v>8</v>
      </c>
      <c r="T1613" s="9"/>
      <c r="U1613" s="1">
        <f t="shared" si="2395"/>
        <v>37</v>
      </c>
      <c r="V1613" s="1">
        <f t="shared" si="2396"/>
        <v>228</v>
      </c>
    </row>
    <row r="1614" spans="1:22" x14ac:dyDescent="0.3">
      <c r="A1614" s="1">
        <f t="shared" si="2422"/>
        <v>37229</v>
      </c>
      <c r="B1614" s="119"/>
      <c r="C1614" s="91"/>
      <c r="D1614" s="91"/>
      <c r="E1614" s="91"/>
      <c r="F1614" s="91"/>
      <c r="G1614" s="91"/>
      <c r="H1614" s="92"/>
      <c r="J1614" s="24" t="str">
        <f t="shared" ref="J1614" si="2484">CONCATENATE(K1613,1)</f>
        <v>81</v>
      </c>
      <c r="K1614" s="6" t="e">
        <f t="array" ref="K1614:Q1616">LINEST(B1602:B1609,C1602:C1609^{1,2,3,4,5,6},TRUE,TRUE)</f>
        <v>#VALUE!</v>
      </c>
      <c r="L1614" s="6" t="e">
        <v>#VALUE!</v>
      </c>
      <c r="M1614" s="6" t="e">
        <v>#VALUE!</v>
      </c>
      <c r="N1614" s="6" t="e">
        <v>#VALUE!</v>
      </c>
      <c r="O1614" s="6" t="e">
        <v>#VALUE!</v>
      </c>
      <c r="P1614" s="6" t="e">
        <v>#VALUE!</v>
      </c>
      <c r="Q1614" s="6" t="e">
        <v>#VALUE!</v>
      </c>
      <c r="T1614" s="9"/>
      <c r="U1614" s="1">
        <f t="shared" si="2395"/>
        <v>37</v>
      </c>
      <c r="V1614" s="1">
        <f t="shared" si="2396"/>
        <v>229</v>
      </c>
    </row>
    <row r="1615" spans="1:22" x14ac:dyDescent="0.3">
      <c r="A1615" s="1">
        <f t="shared" si="2422"/>
        <v>37230</v>
      </c>
      <c r="B1615" s="93"/>
      <c r="C1615" s="94"/>
      <c r="D1615" s="94"/>
      <c r="E1615" s="94"/>
      <c r="F1615" s="94"/>
      <c r="G1615" s="94"/>
      <c r="H1615" s="95"/>
      <c r="J1615" s="24" t="str">
        <f t="shared" ref="J1615" si="2485">CONCATENATE(K1613,2)</f>
        <v>82</v>
      </c>
      <c r="K1615" s="6" t="e">
        <v>#VALUE!</v>
      </c>
      <c r="L1615" s="6" t="e">
        <v>#VALUE!</v>
      </c>
      <c r="M1615" s="6" t="e">
        <v>#VALUE!</v>
      </c>
      <c r="N1615" s="6" t="e">
        <v>#VALUE!</v>
      </c>
      <c r="O1615" s="6" t="e">
        <v>#VALUE!</v>
      </c>
      <c r="P1615" s="6" t="e">
        <v>#VALUE!</v>
      </c>
      <c r="Q1615" s="6" t="e">
        <v>#VALUE!</v>
      </c>
      <c r="T1615" s="9"/>
      <c r="U1615" s="1">
        <f t="shared" si="2395"/>
        <v>37</v>
      </c>
      <c r="V1615" s="1">
        <f t="shared" si="2396"/>
        <v>230</v>
      </c>
    </row>
    <row r="1616" spans="1:22" x14ac:dyDescent="0.3">
      <c r="A1616" s="1">
        <f t="shared" si="2422"/>
        <v>37231</v>
      </c>
      <c r="J1616" s="24" t="str">
        <f t="shared" ref="J1616" si="2486">CONCATENATE(K1613,3)</f>
        <v>83</v>
      </c>
      <c r="K1616" s="6" t="e">
        <v>#VALUE!</v>
      </c>
      <c r="L1616" s="6" t="e">
        <v>#VALUE!</v>
      </c>
      <c r="M1616" s="6" t="e">
        <v>#VALUE!</v>
      </c>
      <c r="N1616" s="6" t="e">
        <v>#VALUE!</v>
      </c>
      <c r="O1616" s="6" t="e">
        <v>#VALUE!</v>
      </c>
      <c r="P1616" s="6" t="e">
        <v>#VALUE!</v>
      </c>
      <c r="Q1616" s="6" t="e">
        <v>#VALUE!</v>
      </c>
      <c r="T1616" s="9"/>
      <c r="U1616" s="1">
        <f t="shared" si="2395"/>
        <v>37</v>
      </c>
      <c r="V1616" s="1">
        <f t="shared" si="2396"/>
        <v>231</v>
      </c>
    </row>
    <row r="1617" spans="1:22" ht="15" customHeight="1" x14ac:dyDescent="0.3">
      <c r="A1617" s="1">
        <f t="shared" si="2422"/>
        <v>37232</v>
      </c>
      <c r="B1617" s="10" t="s">
        <v>34</v>
      </c>
      <c r="C1617" s="10" t="s">
        <v>35</v>
      </c>
      <c r="D1617" s="10" t="s">
        <v>36</v>
      </c>
      <c r="E1617" s="74" t="s">
        <v>37</v>
      </c>
      <c r="F1617" s="75"/>
      <c r="G1617" s="76"/>
      <c r="K1617" s="1">
        <v>9</v>
      </c>
      <c r="L1617" s="1">
        <v>9</v>
      </c>
      <c r="M1617" s="1">
        <v>9</v>
      </c>
      <c r="N1617" s="1">
        <v>9</v>
      </c>
      <c r="O1617" s="1">
        <v>9</v>
      </c>
      <c r="P1617" s="1">
        <v>9</v>
      </c>
      <c r="Q1617" s="1">
        <v>9</v>
      </c>
      <c r="R1617" s="1">
        <v>9</v>
      </c>
      <c r="T1617" s="9"/>
      <c r="U1617" s="1">
        <f t="shared" si="2395"/>
        <v>37</v>
      </c>
      <c r="V1617" s="1">
        <f t="shared" si="2396"/>
        <v>232</v>
      </c>
    </row>
    <row r="1618" spans="1:22" x14ac:dyDescent="0.3">
      <c r="A1618" s="1">
        <f t="shared" si="2422"/>
        <v>37233</v>
      </c>
      <c r="B1618" s="12">
        <f t="shared" ref="B1618:B1627" si="2487">C1602-B1602</f>
        <v>-1.27</v>
      </c>
      <c r="C1618" s="13">
        <f t="shared" ref="C1618:C1627" si="2488">H1602-G1602</f>
        <v>0</v>
      </c>
      <c r="D1618" s="10">
        <f t="shared" ref="D1618:D1627" si="2489">C1618-B1618</f>
        <v>1.27</v>
      </c>
      <c r="E1618" s="11">
        <f t="shared" ref="E1618" si="2490">IF(D1593="","",MAX(F1618,G1618))</f>
        <v>1.27</v>
      </c>
      <c r="F1618" s="10">
        <f t="shared" ref="F1618" si="2491">ABS(MIN(D1618:D1627))</f>
        <v>0.48000000000000043</v>
      </c>
      <c r="G1618" s="10">
        <f t="shared" ref="G1618" si="2492">ABS(MAX(D1618:D1627))</f>
        <v>1.27</v>
      </c>
      <c r="J1618" s="24" t="str">
        <f t="shared" ref="J1618" si="2493">CONCATENATE(K1617,1)</f>
        <v>91</v>
      </c>
      <c r="K1618" s="6" t="e">
        <f t="array" ref="K1618:R1620">LINEST(B1602:B1610,C1602:C1610^{1,2,3,4,5,6,7},TRUE,TRUE)</f>
        <v>#VALUE!</v>
      </c>
      <c r="L1618" s="6" t="e">
        <v>#VALUE!</v>
      </c>
      <c r="M1618" s="6" t="e">
        <v>#VALUE!</v>
      </c>
      <c r="N1618" s="6" t="e">
        <v>#VALUE!</v>
      </c>
      <c r="O1618" s="6" t="e">
        <v>#VALUE!</v>
      </c>
      <c r="P1618" s="6" t="e">
        <v>#VALUE!</v>
      </c>
      <c r="Q1618" s="6" t="e">
        <v>#VALUE!</v>
      </c>
      <c r="R1618" s="6" t="e">
        <v>#VALUE!</v>
      </c>
      <c r="T1618" s="9"/>
      <c r="U1618" s="1">
        <f t="shared" si="2395"/>
        <v>37</v>
      </c>
      <c r="V1618" s="1">
        <f t="shared" si="2396"/>
        <v>233</v>
      </c>
    </row>
    <row r="1619" spans="1:22" x14ac:dyDescent="0.3">
      <c r="A1619" s="1">
        <f t="shared" si="2422"/>
        <v>37234</v>
      </c>
      <c r="B1619" s="12">
        <f t="shared" si="2487"/>
        <v>0.21999999999999886</v>
      </c>
      <c r="C1619" s="13">
        <f t="shared" si="2488"/>
        <v>0</v>
      </c>
      <c r="D1619" s="10">
        <f t="shared" si="2489"/>
        <v>-0.21999999999999886</v>
      </c>
      <c r="E1619" s="74" t="s">
        <v>38</v>
      </c>
      <c r="F1619" s="75"/>
      <c r="G1619" s="76"/>
      <c r="J1619" s="24" t="str">
        <f t="shared" ref="J1619" si="2494">CONCATENATE(K1617,2)</f>
        <v>92</v>
      </c>
      <c r="K1619" s="6" t="e">
        <v>#VALUE!</v>
      </c>
      <c r="L1619" s="6" t="e">
        <v>#VALUE!</v>
      </c>
      <c r="M1619" s="6" t="e">
        <v>#VALUE!</v>
      </c>
      <c r="N1619" s="6" t="e">
        <v>#VALUE!</v>
      </c>
      <c r="O1619" s="6" t="e">
        <v>#VALUE!</v>
      </c>
      <c r="P1619" s="6" t="e">
        <v>#VALUE!</v>
      </c>
      <c r="Q1619" s="6" t="e">
        <v>#VALUE!</v>
      </c>
      <c r="R1619" s="6" t="e">
        <v>#VALUE!</v>
      </c>
      <c r="T1619" s="9"/>
      <c r="U1619" s="1">
        <f t="shared" si="2395"/>
        <v>37</v>
      </c>
      <c r="V1619" s="1">
        <f t="shared" si="2396"/>
        <v>234</v>
      </c>
    </row>
    <row r="1620" spans="1:22" x14ac:dyDescent="0.3">
      <c r="A1620" s="1">
        <f t="shared" si="2422"/>
        <v>37235</v>
      </c>
      <c r="B1620" s="12">
        <f t="shared" si="2487"/>
        <v>0.48000000000000043</v>
      </c>
      <c r="C1620" s="13">
        <f t="shared" si="2488"/>
        <v>0</v>
      </c>
      <c r="D1620" s="10">
        <f t="shared" si="2489"/>
        <v>-0.48000000000000043</v>
      </c>
      <c r="E1620" s="11">
        <f t="shared" ref="E1620" si="2495">IF(D1593="","",MAX(F1620,G1620))</f>
        <v>1.27</v>
      </c>
      <c r="F1620" s="10">
        <f t="shared" ref="F1620" si="2496">ABS(MIN(B1618:B1627))</f>
        <v>1.27</v>
      </c>
      <c r="G1620" s="10">
        <f t="shared" ref="G1620" si="2497">ABS(MAX(B1618:B1627))</f>
        <v>0.48000000000000043</v>
      </c>
      <c r="J1620" s="24" t="str">
        <f t="shared" ref="J1620" si="2498">CONCATENATE(K1617,3)</f>
        <v>93</v>
      </c>
      <c r="K1620" s="6" t="e">
        <v>#VALUE!</v>
      </c>
      <c r="L1620" s="6" t="e">
        <v>#VALUE!</v>
      </c>
      <c r="M1620" s="6" t="e">
        <v>#VALUE!</v>
      </c>
      <c r="N1620" s="6" t="e">
        <v>#VALUE!</v>
      </c>
      <c r="O1620" s="6" t="e">
        <v>#VALUE!</v>
      </c>
      <c r="P1620" s="6" t="e">
        <v>#VALUE!</v>
      </c>
      <c r="Q1620" s="6" t="e">
        <v>#VALUE!</v>
      </c>
      <c r="R1620" s="6" t="e">
        <v>#VALUE!</v>
      </c>
      <c r="T1620" s="9"/>
      <c r="U1620" s="1">
        <f t="shared" si="2395"/>
        <v>37</v>
      </c>
      <c r="V1620" s="1">
        <f t="shared" si="2396"/>
        <v>235</v>
      </c>
    </row>
    <row r="1621" spans="1:22" x14ac:dyDescent="0.3">
      <c r="A1621" s="1">
        <f t="shared" si="2422"/>
        <v>37236</v>
      </c>
      <c r="B1621" s="12">
        <f t="shared" si="2487"/>
        <v>0.20000000000000284</v>
      </c>
      <c r="C1621" s="13">
        <f t="shared" si="2488"/>
        <v>2.0000000000003126E-2</v>
      </c>
      <c r="D1621" s="10">
        <f t="shared" si="2489"/>
        <v>-0.17999999999999972</v>
      </c>
      <c r="E1621" s="74" t="s">
        <v>39</v>
      </c>
      <c r="F1621" s="75"/>
      <c r="G1621" s="76"/>
      <c r="K1621" s="1">
        <v>10</v>
      </c>
      <c r="L1621" s="1">
        <v>10</v>
      </c>
      <c r="M1621" s="1">
        <v>10</v>
      </c>
      <c r="N1621" s="1">
        <v>10</v>
      </c>
      <c r="O1621" s="1">
        <v>10</v>
      </c>
      <c r="P1621" s="1">
        <v>10</v>
      </c>
      <c r="Q1621" s="1">
        <v>10</v>
      </c>
      <c r="R1621" s="1">
        <v>10</v>
      </c>
      <c r="S1621" s="1">
        <v>10</v>
      </c>
      <c r="T1621" s="9"/>
      <c r="U1621" s="1">
        <f t="shared" si="2395"/>
        <v>37</v>
      </c>
      <c r="V1621" s="1">
        <f t="shared" si="2396"/>
        <v>236</v>
      </c>
    </row>
    <row r="1622" spans="1:22" x14ac:dyDescent="0.3">
      <c r="A1622" s="1">
        <f t="shared" si="2422"/>
        <v>37237</v>
      </c>
      <c r="B1622" s="12">
        <f t="shared" si="2487"/>
        <v>-0.5899999999999892</v>
      </c>
      <c r="C1622" s="13">
        <f t="shared" si="2488"/>
        <v>-3.0000000000001137E-2</v>
      </c>
      <c r="D1622" s="10">
        <f t="shared" si="2489"/>
        <v>0.55999999999998806</v>
      </c>
      <c r="E1622" s="11">
        <f t="shared" ref="E1622" si="2499">IF(D1593="","",MAX(F1622,G1622))</f>
        <v>0.94</v>
      </c>
      <c r="F1622" s="10">
        <f t="shared" ref="F1622" si="2500">ABS(MIN(D1602:D1611))</f>
        <v>0.27</v>
      </c>
      <c r="G1622" s="10">
        <f t="shared" ref="G1622" si="2501">ABS(MAX(D1602:D1611))</f>
        <v>0.94</v>
      </c>
      <c r="J1622" s="24" t="str">
        <f t="shared" ref="J1622" si="2502">CONCATENATE(K1621,1)</f>
        <v>101</v>
      </c>
      <c r="K1622" s="6" t="e">
        <f t="array" ref="K1622:S1624">LINEST(B1602:B1611,C1602:C1611^{1,2,3,4,5,6,7,8},TRUE,TRUE)</f>
        <v>#VALUE!</v>
      </c>
      <c r="L1622" s="6" t="e">
        <v>#VALUE!</v>
      </c>
      <c r="M1622" s="6" t="e">
        <v>#VALUE!</v>
      </c>
      <c r="N1622" s="6" t="e">
        <v>#VALUE!</v>
      </c>
      <c r="O1622" s="6" t="e">
        <v>#VALUE!</v>
      </c>
      <c r="P1622" s="6" t="e">
        <v>#VALUE!</v>
      </c>
      <c r="Q1622" s="6" t="e">
        <v>#VALUE!</v>
      </c>
      <c r="R1622" s="6" t="e">
        <v>#VALUE!</v>
      </c>
      <c r="S1622" s="6" t="e">
        <v>#VALUE!</v>
      </c>
      <c r="T1622" s="9"/>
      <c r="U1622" s="1">
        <f t="shared" si="2395"/>
        <v>37</v>
      </c>
      <c r="V1622" s="1">
        <f t="shared" si="2396"/>
        <v>237</v>
      </c>
    </row>
    <row r="1623" spans="1:22" x14ac:dyDescent="0.3">
      <c r="A1623" s="1">
        <f t="shared" si="2422"/>
        <v>37238</v>
      </c>
      <c r="B1623" s="12">
        <f t="shared" si="2487"/>
        <v>-0.92000000000000171</v>
      </c>
      <c r="C1623" s="13">
        <f t="shared" si="2488"/>
        <v>-1.0000000000005116E-2</v>
      </c>
      <c r="D1623" s="10">
        <f t="shared" si="2489"/>
        <v>0.90999999999999659</v>
      </c>
      <c r="J1623" s="24" t="str">
        <f t="shared" ref="J1623" si="2503">CONCATENATE(K1621,2)</f>
        <v>102</v>
      </c>
      <c r="K1623" s="6" t="e">
        <v>#VALUE!</v>
      </c>
      <c r="L1623" s="6" t="e">
        <v>#VALUE!</v>
      </c>
      <c r="M1623" s="6" t="e">
        <v>#VALUE!</v>
      </c>
      <c r="N1623" s="6" t="e">
        <v>#VALUE!</v>
      </c>
      <c r="O1623" s="6" t="e">
        <v>#VALUE!</v>
      </c>
      <c r="P1623" s="6" t="e">
        <v>#VALUE!</v>
      </c>
      <c r="Q1623" s="6" t="e">
        <v>#VALUE!</v>
      </c>
      <c r="R1623" s="6" t="e">
        <v>#VALUE!</v>
      </c>
      <c r="S1623" s="6" t="e">
        <v>#VALUE!</v>
      </c>
      <c r="T1623" s="9"/>
      <c r="U1623" s="1">
        <f t="shared" si="2395"/>
        <v>37</v>
      </c>
      <c r="V1623" s="1">
        <f t="shared" si="2396"/>
        <v>238</v>
      </c>
    </row>
    <row r="1624" spans="1:22" x14ac:dyDescent="0.3">
      <c r="A1624" s="1">
        <f t="shared" si="2422"/>
        <v>37239</v>
      </c>
      <c r="B1624" s="12">
        <f t="shared" si="2487"/>
        <v>0</v>
      </c>
      <c r="C1624" s="13">
        <f t="shared" si="2488"/>
        <v>0</v>
      </c>
      <c r="D1624" s="10">
        <f t="shared" si="2489"/>
        <v>0</v>
      </c>
      <c r="J1624" s="24" t="str">
        <f t="shared" ref="J1624" si="2504">CONCATENATE(K1621,3)</f>
        <v>103</v>
      </c>
      <c r="K1624" s="6" t="e">
        <v>#VALUE!</v>
      </c>
      <c r="L1624" s="6" t="e">
        <v>#VALUE!</v>
      </c>
      <c r="M1624" s="6" t="e">
        <v>#VALUE!</v>
      </c>
      <c r="N1624" s="6" t="e">
        <v>#VALUE!</v>
      </c>
      <c r="O1624" s="6" t="e">
        <v>#VALUE!</v>
      </c>
      <c r="P1624" s="6" t="e">
        <v>#VALUE!</v>
      </c>
      <c r="Q1624" s="6" t="e">
        <v>#VALUE!</v>
      </c>
      <c r="R1624" s="6" t="e">
        <v>#VALUE!</v>
      </c>
      <c r="S1624" s="6" t="e">
        <v>#VALUE!</v>
      </c>
      <c r="T1624" s="9"/>
      <c r="U1624" s="1">
        <f t="shared" si="2395"/>
        <v>37</v>
      </c>
      <c r="V1624" s="1">
        <f t="shared" si="2396"/>
        <v>239</v>
      </c>
    </row>
    <row r="1625" spans="1:22" x14ac:dyDescent="0.3">
      <c r="A1625" s="1">
        <f t="shared" si="2422"/>
        <v>37240</v>
      </c>
      <c r="B1625" s="12">
        <f t="shared" si="2487"/>
        <v>0</v>
      </c>
      <c r="C1625" s="13">
        <f t="shared" si="2488"/>
        <v>0</v>
      </c>
      <c r="D1625" s="10">
        <f t="shared" si="2489"/>
        <v>0</v>
      </c>
      <c r="J1625" s="9"/>
      <c r="K1625" s="9"/>
      <c r="L1625" s="9"/>
      <c r="M1625" s="9"/>
      <c r="N1625" s="9"/>
      <c r="O1625" s="9"/>
      <c r="P1625" s="9"/>
      <c r="Q1625" s="9"/>
      <c r="R1625" s="9"/>
      <c r="S1625" s="9"/>
      <c r="T1625" s="9"/>
      <c r="U1625" s="1">
        <f t="shared" si="2395"/>
        <v>37</v>
      </c>
      <c r="V1625" s="1">
        <f t="shared" si="2396"/>
        <v>240</v>
      </c>
    </row>
    <row r="1626" spans="1:22" x14ac:dyDescent="0.3">
      <c r="A1626" s="1">
        <f t="shared" si="2422"/>
        <v>37241</v>
      </c>
      <c r="B1626" s="12">
        <f t="shared" si="2487"/>
        <v>0</v>
      </c>
      <c r="C1626" s="13">
        <f t="shared" si="2488"/>
        <v>0</v>
      </c>
      <c r="D1626" s="10">
        <f t="shared" si="2489"/>
        <v>0</v>
      </c>
      <c r="J1626" s="9"/>
      <c r="K1626" s="9"/>
      <c r="L1626" s="9"/>
      <c r="M1626" s="9"/>
      <c r="N1626" s="9"/>
      <c r="O1626" s="9"/>
      <c r="P1626" s="9"/>
      <c r="Q1626" s="9"/>
      <c r="R1626" s="9"/>
      <c r="S1626" s="9"/>
      <c r="T1626" s="9"/>
      <c r="U1626" s="1">
        <f t="shared" si="2395"/>
        <v>37</v>
      </c>
      <c r="V1626" s="1">
        <f t="shared" si="2396"/>
        <v>241</v>
      </c>
    </row>
    <row r="1627" spans="1:22" x14ac:dyDescent="0.3">
      <c r="A1627" s="1">
        <f t="shared" si="2422"/>
        <v>37242</v>
      </c>
      <c r="B1627" s="12">
        <f t="shared" si="2487"/>
        <v>0</v>
      </c>
      <c r="C1627" s="13">
        <f t="shared" si="2488"/>
        <v>0</v>
      </c>
      <c r="D1627" s="10">
        <f t="shared" si="2489"/>
        <v>0</v>
      </c>
      <c r="J1627" s="9"/>
      <c r="K1627" s="9"/>
      <c r="L1627" s="9"/>
      <c r="M1627" s="9"/>
      <c r="N1627" s="9"/>
      <c r="O1627" s="9"/>
      <c r="P1627" s="9"/>
      <c r="Q1627" s="9"/>
      <c r="R1627" s="9"/>
      <c r="S1627" s="9"/>
      <c r="T1627" s="9"/>
      <c r="U1627" s="1">
        <f t="shared" ref="U1627:U1690" si="2505">U1626</f>
        <v>37</v>
      </c>
      <c r="V1627" s="1">
        <f t="shared" ref="V1627:V1690" si="2506">V1626+1</f>
        <v>242</v>
      </c>
    </row>
    <row r="1628" spans="1:22" x14ac:dyDescent="0.3">
      <c r="A1628" s="1">
        <f t="shared" si="2422"/>
        <v>37243</v>
      </c>
      <c r="J1628" s="9"/>
      <c r="K1628" s="9"/>
      <c r="L1628" s="9"/>
      <c r="M1628" s="9"/>
      <c r="N1628" s="9"/>
      <c r="O1628" s="9"/>
      <c r="P1628" s="9"/>
      <c r="Q1628" s="9"/>
      <c r="R1628" s="9"/>
      <c r="S1628" s="9"/>
      <c r="T1628" s="9"/>
      <c r="U1628" s="1">
        <f t="shared" si="2505"/>
        <v>37</v>
      </c>
      <c r="V1628" s="1">
        <f t="shared" si="2506"/>
        <v>243</v>
      </c>
    </row>
    <row r="1629" spans="1:22" s="5" customFormat="1" x14ac:dyDescent="0.3"/>
    <row r="1630" spans="1:22" x14ac:dyDescent="0.3">
      <c r="A1630" s="1">
        <f t="shared" ref="A1630:A1672" si="2507">ROUND(CONCATENATE(U1630,V1630),0)</f>
        <v>38201</v>
      </c>
      <c r="B1630" s="96" t="s">
        <v>0</v>
      </c>
      <c r="C1630" s="97"/>
      <c r="D1630" s="98" t="s">
        <v>68</v>
      </c>
      <c r="E1630" s="99"/>
      <c r="F1630" s="99"/>
      <c r="G1630" s="99"/>
      <c r="H1630" s="100"/>
      <c r="J1630" s="9"/>
      <c r="K1630" s="9"/>
      <c r="L1630" s="9"/>
      <c r="M1630" s="9"/>
      <c r="N1630" s="9"/>
      <c r="O1630" s="9"/>
      <c r="P1630" s="9"/>
      <c r="Q1630" s="9"/>
      <c r="R1630" s="9"/>
      <c r="S1630" s="9"/>
      <c r="T1630" s="9"/>
      <c r="U1630" s="1">
        <f t="shared" ref="U1630" si="2508">U1628+1</f>
        <v>38</v>
      </c>
      <c r="V1630" s="1">
        <v>201</v>
      </c>
    </row>
    <row r="1631" spans="1:22" x14ac:dyDescent="0.3">
      <c r="A1631" s="1">
        <f t="shared" si="2507"/>
        <v>38202</v>
      </c>
      <c r="B1631" s="96" t="s">
        <v>1</v>
      </c>
      <c r="C1631" s="97"/>
      <c r="D1631" s="15" t="s">
        <v>70</v>
      </c>
      <c r="E1631" s="16" t="s">
        <v>2</v>
      </c>
      <c r="F1631" s="107"/>
      <c r="G1631" s="108"/>
      <c r="H1631" s="109"/>
      <c r="J1631" s="9"/>
      <c r="K1631" s="9"/>
      <c r="L1631" s="9"/>
      <c r="M1631" s="9"/>
      <c r="N1631" s="9"/>
      <c r="O1631" s="9"/>
      <c r="P1631" s="9"/>
      <c r="Q1631" s="9"/>
      <c r="R1631" s="9"/>
      <c r="S1631" s="9"/>
      <c r="T1631" s="9"/>
      <c r="U1631" s="1">
        <f t="shared" ref="U1631" si="2509">U1630</f>
        <v>38</v>
      </c>
      <c r="V1631" s="1">
        <f t="shared" ref="V1631" si="2510">V1630+1</f>
        <v>202</v>
      </c>
    </row>
    <row r="1632" spans="1:22" x14ac:dyDescent="0.3">
      <c r="A1632" s="1">
        <f t="shared" si="2507"/>
        <v>38203</v>
      </c>
      <c r="B1632" s="96" t="s">
        <v>12</v>
      </c>
      <c r="C1632" s="97"/>
      <c r="D1632" s="98" t="s">
        <v>240</v>
      </c>
      <c r="E1632" s="99"/>
      <c r="F1632" s="99"/>
      <c r="G1632" s="99"/>
      <c r="H1632" s="100"/>
      <c r="K1632" s="1" t="s">
        <v>3</v>
      </c>
      <c r="L1632" s="1" t="s">
        <v>4</v>
      </c>
      <c r="M1632" s="1" t="s">
        <v>5</v>
      </c>
      <c r="N1632" s="1" t="s">
        <v>6</v>
      </c>
      <c r="O1632" s="1" t="s">
        <v>7</v>
      </c>
      <c r="P1632" s="1" t="s">
        <v>8</v>
      </c>
      <c r="Q1632" s="1" t="s">
        <v>9</v>
      </c>
      <c r="R1632" s="1" t="s">
        <v>10</v>
      </c>
      <c r="S1632" s="1" t="s">
        <v>11</v>
      </c>
      <c r="T1632" s="9"/>
      <c r="U1632" s="1">
        <f t="shared" si="2505"/>
        <v>38</v>
      </c>
      <c r="V1632" s="1">
        <f t="shared" si="2506"/>
        <v>203</v>
      </c>
    </row>
    <row r="1633" spans="1:22" x14ac:dyDescent="0.3">
      <c r="A1633" s="1">
        <f t="shared" si="2507"/>
        <v>38204</v>
      </c>
      <c r="B1633" s="96" t="s">
        <v>13</v>
      </c>
      <c r="C1633" s="97"/>
      <c r="D1633" s="98" t="s">
        <v>238</v>
      </c>
      <c r="E1633" s="99"/>
      <c r="F1633" s="99"/>
      <c r="G1633" s="99"/>
      <c r="H1633" s="100"/>
      <c r="J1633" s="1">
        <f t="shared" ref="J1633" si="2511">COUNTA(B1646:B1655)</f>
        <v>5</v>
      </c>
      <c r="K1633" s="1">
        <f t="shared" ref="K1633" si="2512">IF(L1633-1&lt;2,0,L1633-1)</f>
        <v>0</v>
      </c>
      <c r="L1633" s="1">
        <f t="shared" ref="L1633" si="2513">IF(M1633-1&lt;2,0,M1633-1)</f>
        <v>0</v>
      </c>
      <c r="M1633" s="1">
        <f t="shared" ref="M1633" si="2514">IF(N1633-1&lt;2,0,N1633-1)</f>
        <v>0</v>
      </c>
      <c r="N1633" s="1">
        <f t="shared" ref="N1633" si="2515">IF(O1633-1&lt;2,0,O1633-1)</f>
        <v>0</v>
      </c>
      <c r="O1633" s="1">
        <f t="shared" ref="O1633" si="2516">IF(P1633-1&lt;2,0,P1633-1)</f>
        <v>0</v>
      </c>
      <c r="P1633" s="1">
        <f t="shared" ref="P1633" si="2517">IF(Q1633-1&lt;2,0,Q1633-1)</f>
        <v>2</v>
      </c>
      <c r="Q1633" s="1">
        <f t="shared" ref="Q1633" si="2518">IF(R1633-1&lt;2,0,R1633-1)</f>
        <v>3</v>
      </c>
      <c r="R1633" s="1">
        <f t="shared" ref="R1633" si="2519">IF(S1633-1&lt;2,0,S1633-1)</f>
        <v>4</v>
      </c>
      <c r="S1633" s="1">
        <f t="shared" ref="S1633" si="2520">J1633</f>
        <v>5</v>
      </c>
      <c r="T1633" s="9"/>
      <c r="U1633" s="1">
        <f t="shared" si="2505"/>
        <v>38</v>
      </c>
      <c r="V1633" s="1">
        <f t="shared" si="2506"/>
        <v>204</v>
      </c>
    </row>
    <row r="1634" spans="1:22" x14ac:dyDescent="0.3">
      <c r="A1634" s="1">
        <f t="shared" si="2507"/>
        <v>38205</v>
      </c>
      <c r="B1634" s="96" t="s">
        <v>14</v>
      </c>
      <c r="C1634" s="97"/>
      <c r="D1634" s="98" t="s">
        <v>237</v>
      </c>
      <c r="E1634" s="99"/>
      <c r="F1634" s="99"/>
      <c r="G1634" s="99"/>
      <c r="H1634" s="100"/>
      <c r="J1634" s="24" t="str">
        <f t="shared" ref="J1634" si="2521">CONCATENATE(J1633,1)</f>
        <v>51</v>
      </c>
      <c r="K1634" s="25">
        <f t="shared" ref="K1634" si="2522">IF(K1633=0,0,VLOOKUP(J1634,J1638:S1668,K1633,FALSE))</f>
        <v>0</v>
      </c>
      <c r="L1634" s="25">
        <f t="shared" ref="L1634" si="2523">IF(L1633=0,0,VLOOKUP(J1634,J1638:S1668,L1633,FALSE))</f>
        <v>0</v>
      </c>
      <c r="M1634" s="25">
        <f t="shared" ref="M1634" si="2524">IF(M1633=0,0,VLOOKUP(J1634,J1638:S1668,M1633,FALSE))</f>
        <v>0</v>
      </c>
      <c r="N1634" s="25">
        <f t="shared" ref="N1634" si="2525">IF(N1633=0,0,VLOOKUP(J1634,J1638:S1668,N1633,FALSE))</f>
        <v>0</v>
      </c>
      <c r="O1634" s="25">
        <f t="shared" ref="O1634" si="2526">IF(O1633=0,0,VLOOKUP(J1634,J1638:S1668,O1633,FALSE))</f>
        <v>0</v>
      </c>
      <c r="P1634" s="25">
        <f t="shared" ref="P1634" si="2527">IF(P1633=0,0,VLOOKUP(J1634,J1638:S1668,P1633,FALSE))</f>
        <v>7.6158939204116998E-8</v>
      </c>
      <c r="Q1634" s="25">
        <f t="shared" ref="Q1634" si="2528">IF(Q1633=0,0,VLOOKUP(J1634,J1638:S1668,Q1633,FALSE))</f>
        <v>7.4933760528497037E-6</v>
      </c>
      <c r="R1634" s="25">
        <f t="shared" ref="R1634" si="2529">IF(R1633=0,0,VLOOKUP(J1634,J1638:S1668,R1633,FALSE))</f>
        <v>0.9940670230418116</v>
      </c>
      <c r="S1634" s="25">
        <f t="shared" ref="S1634" si="2530">IF(S1633=0,0,VLOOKUP(J1634,J1638:S1668,S1633,FALSE))</f>
        <v>-6.5385080054713773E-2</v>
      </c>
      <c r="T1634" s="9"/>
      <c r="U1634" s="1">
        <f t="shared" si="2505"/>
        <v>38</v>
      </c>
      <c r="V1634" s="1">
        <f t="shared" si="2506"/>
        <v>205</v>
      </c>
    </row>
    <row r="1635" spans="1:22" x14ac:dyDescent="0.3">
      <c r="A1635" s="1">
        <f t="shared" si="2507"/>
        <v>38206</v>
      </c>
      <c r="B1635" s="96" t="s">
        <v>15</v>
      </c>
      <c r="C1635" s="97"/>
      <c r="D1635" s="123" t="s">
        <v>239</v>
      </c>
      <c r="E1635" s="99"/>
      <c r="F1635" s="99"/>
      <c r="G1635" s="99"/>
      <c r="H1635" s="100"/>
      <c r="J1635" s="24" t="str">
        <f t="shared" ref="J1635" si="2531">CONCATENATE(J1633,2)</f>
        <v>52</v>
      </c>
      <c r="K1635" s="6">
        <f t="shared" ref="K1635" si="2532">IF(K1633=0,0,VLOOKUP(J1635,J1638:S1668,K1633,FALSE))</f>
        <v>0</v>
      </c>
      <c r="L1635" s="6">
        <f t="shared" ref="L1635" si="2533">IF(L1633=0,0,VLOOKUP(J1635,J1638:S1668,L1633,FALSE))</f>
        <v>0</v>
      </c>
      <c r="M1635" s="6">
        <f t="shared" ref="M1635" si="2534">IF(M1633=0,0,VLOOKUP(J1635,J1638:S1668,M1633,FALSE))</f>
        <v>0</v>
      </c>
      <c r="N1635" s="6">
        <f t="shared" ref="N1635" si="2535">IF(N1633=0,0,VLOOKUP(J1635,J1638:S1668,N1633,FALSE))</f>
        <v>0</v>
      </c>
      <c r="O1635" s="6">
        <f t="shared" ref="O1635" si="2536">IF(O1633=0,0,VLOOKUP(J1635,J1638:S1668,O1633,FALSE))</f>
        <v>0</v>
      </c>
      <c r="P1635" s="6">
        <f t="shared" ref="P1635" si="2537">IF(P1633=0,0,VLOOKUP(J1635,J1638:S1668,P1633,FALSE))</f>
        <v>9.8440016721751861E-7</v>
      </c>
      <c r="Q1635" s="6">
        <f t="shared" ref="Q1635" si="2538">IF(Q1633=0,0,VLOOKUP(J1635,J1638:S1668,Q1633,FALSE))</f>
        <v>5.5180840033145424E-5</v>
      </c>
      <c r="R1635" s="6">
        <f t="shared" ref="R1635" si="2539">IF(R1633=0,0,VLOOKUP(J1635,J1638:S1668,R1633,FALSE))</f>
        <v>1.1914333916830983E-3</v>
      </c>
      <c r="S1635" s="6">
        <f t="shared" ref="S1635" si="2540">IF(S1633=0,0,VLOOKUP(J1635,J1638:S1668,S1633,FALSE))</f>
        <v>2.7174611600462011E-2</v>
      </c>
      <c r="T1635" s="9"/>
      <c r="U1635" s="1">
        <f t="shared" si="2505"/>
        <v>38</v>
      </c>
      <c r="V1635" s="1">
        <f t="shared" si="2506"/>
        <v>206</v>
      </c>
    </row>
    <row r="1636" spans="1:22" x14ac:dyDescent="0.3">
      <c r="A1636" s="1">
        <f t="shared" si="2507"/>
        <v>38207</v>
      </c>
      <c r="B1636" s="96" t="s">
        <v>16</v>
      </c>
      <c r="C1636" s="97"/>
      <c r="D1636" s="101">
        <v>45477</v>
      </c>
      <c r="E1636" s="102"/>
      <c r="F1636" s="102"/>
      <c r="G1636" s="102"/>
      <c r="H1636" s="103"/>
      <c r="J1636" s="24" t="str">
        <f t="shared" ref="J1636" si="2541">CONCATENATE(J1633,3)</f>
        <v>53</v>
      </c>
      <c r="K1636" s="6"/>
      <c r="L1636" s="6"/>
      <c r="M1636" s="6"/>
      <c r="N1636" s="6" t="s">
        <v>43</v>
      </c>
      <c r="O1636" s="25">
        <f t="shared" ref="O1636" si="2542">J1633-2</f>
        <v>3</v>
      </c>
      <c r="P1636" s="6" t="s">
        <v>44</v>
      </c>
      <c r="Q1636" s="25">
        <f t="shared" ref="Q1636" si="2543">VLOOKUP(J1636,J1638:S1668,3,FALSE)</f>
        <v>3.6346570461893712E-2</v>
      </c>
      <c r="R1636" s="6" t="s">
        <v>45</v>
      </c>
      <c r="S1636" s="6">
        <f t="shared" ref="S1636" si="2544">VLOOKUP(J1636,J1638:S1668,2,FALSE)</f>
        <v>0.99999971233521279</v>
      </c>
      <c r="T1636" s="9"/>
      <c r="U1636" s="1">
        <f t="shared" si="2505"/>
        <v>38</v>
      </c>
      <c r="V1636" s="1">
        <f t="shared" si="2506"/>
        <v>207</v>
      </c>
    </row>
    <row r="1637" spans="1:22" x14ac:dyDescent="0.3">
      <c r="A1637" s="1">
        <f t="shared" si="2507"/>
        <v>38208</v>
      </c>
      <c r="B1637" s="96" t="s">
        <v>17</v>
      </c>
      <c r="C1637" s="97"/>
      <c r="D1637" s="104">
        <v>46598</v>
      </c>
      <c r="E1637" s="105"/>
      <c r="F1637" s="105"/>
      <c r="G1637" s="105"/>
      <c r="H1637" s="106"/>
      <c r="K1637" s="1">
        <v>3</v>
      </c>
      <c r="L1637" s="1">
        <v>3</v>
      </c>
      <c r="Q1637" s="26"/>
      <c r="R1637" s="26"/>
      <c r="S1637" s="26"/>
      <c r="T1637" s="9"/>
      <c r="U1637" s="1">
        <f t="shared" si="2505"/>
        <v>38</v>
      </c>
      <c r="V1637" s="1">
        <f t="shared" si="2506"/>
        <v>208</v>
      </c>
    </row>
    <row r="1638" spans="1:22" x14ac:dyDescent="0.3">
      <c r="A1638" s="1">
        <f t="shared" si="2507"/>
        <v>38209</v>
      </c>
      <c r="B1638" s="77" t="s">
        <v>19</v>
      </c>
      <c r="C1638" s="78"/>
      <c r="D1638" s="17">
        <v>0.01</v>
      </c>
      <c r="E1638" s="79" t="s">
        <v>40</v>
      </c>
      <c r="F1638" s="80"/>
      <c r="G1638" s="81"/>
      <c r="H1638" s="18" t="s">
        <v>71</v>
      </c>
      <c r="J1638" s="24" t="str">
        <f t="shared" ref="J1638" si="2545">CONCATENATE(K1637,1)</f>
        <v>31</v>
      </c>
      <c r="K1638" s="6">
        <f t="array" ref="K1638:L1640">LINEST(B1646:B1648,C1646:C1648^{1},TRUE,TRUE)</f>
        <v>0.9934335092454577</v>
      </c>
      <c r="L1638" s="6">
        <v>-7.2837959419354448E-2</v>
      </c>
      <c r="Q1638" s="9"/>
      <c r="R1638" s="9"/>
      <c r="S1638" s="9"/>
      <c r="T1638" s="9"/>
      <c r="U1638" s="1">
        <f t="shared" si="2505"/>
        <v>38</v>
      </c>
      <c r="V1638" s="1">
        <f t="shared" si="2506"/>
        <v>209</v>
      </c>
    </row>
    <row r="1639" spans="1:22" x14ac:dyDescent="0.3">
      <c r="A1639" s="1">
        <f t="shared" si="2507"/>
        <v>38210</v>
      </c>
      <c r="B1639" s="77" t="s">
        <v>41</v>
      </c>
      <c r="C1639" s="78"/>
      <c r="D1639" s="23">
        <f t="shared" ref="D1639" si="2546">MIN(B1646:B1655)</f>
        <v>-24.88</v>
      </c>
      <c r="E1639" s="20" t="s">
        <v>18</v>
      </c>
      <c r="F1639" s="19">
        <f t="shared" ref="F1639" si="2547">MAX(B1646:B1655)</f>
        <v>59.87</v>
      </c>
      <c r="G1639" s="21" t="str">
        <f t="shared" ref="G1639" si="2548">IF(H1638="","",H1638)</f>
        <v>°CTd/f</v>
      </c>
      <c r="H1639" s="22"/>
      <c r="J1639" s="24" t="str">
        <f t="shared" ref="J1639" si="2549">CONCATENATE(K1637,2)</f>
        <v>32</v>
      </c>
      <c r="K1639" s="6">
        <v>1.9159339493410278E-3</v>
      </c>
      <c r="L1639" s="6">
        <v>2.9710660658817816E-2</v>
      </c>
      <c r="Q1639" s="9"/>
      <c r="R1639" s="9"/>
      <c r="S1639" s="9"/>
      <c r="T1639" s="9"/>
      <c r="U1639" s="1">
        <f t="shared" si="2505"/>
        <v>38</v>
      </c>
      <c r="V1639" s="1">
        <f t="shared" si="2506"/>
        <v>210</v>
      </c>
    </row>
    <row r="1640" spans="1:22" x14ac:dyDescent="0.3">
      <c r="A1640" s="1">
        <f t="shared" si="2507"/>
        <v>38211</v>
      </c>
      <c r="J1640" s="24" t="str">
        <f t="shared" ref="J1640" si="2550">CONCATENATE(K1637,3)</f>
        <v>33</v>
      </c>
      <c r="K1640" s="6">
        <v>0.99999628052331602</v>
      </c>
      <c r="L1640" s="6">
        <v>3.415172552580259E-2</v>
      </c>
      <c r="Q1640" s="9"/>
      <c r="R1640" s="9"/>
      <c r="S1640" s="9"/>
      <c r="T1640" s="9"/>
      <c r="U1640" s="1">
        <f t="shared" si="2505"/>
        <v>38</v>
      </c>
      <c r="V1640" s="1">
        <f t="shared" si="2506"/>
        <v>211</v>
      </c>
    </row>
    <row r="1641" spans="1:22" x14ac:dyDescent="0.3">
      <c r="A1641" s="1">
        <f t="shared" si="2507"/>
        <v>38212</v>
      </c>
      <c r="B1641" s="82" t="s">
        <v>20</v>
      </c>
      <c r="C1641" s="83"/>
      <c r="D1641" s="83"/>
      <c r="E1641" s="83"/>
      <c r="F1641" s="84"/>
      <c r="G1641" s="85" t="s">
        <v>31</v>
      </c>
      <c r="H1641" s="86"/>
      <c r="K1641" s="1">
        <v>4</v>
      </c>
      <c r="L1641" s="1">
        <v>4</v>
      </c>
      <c r="M1641" s="1">
        <v>4</v>
      </c>
      <c r="Q1641" s="9"/>
      <c r="R1641" s="9"/>
      <c r="S1641" s="9"/>
      <c r="T1641" s="9"/>
      <c r="U1641" s="1">
        <f t="shared" si="2505"/>
        <v>38</v>
      </c>
      <c r="V1641" s="1">
        <f t="shared" si="2506"/>
        <v>212</v>
      </c>
    </row>
    <row r="1642" spans="1:22" x14ac:dyDescent="0.3">
      <c r="A1642" s="1">
        <f t="shared" si="2507"/>
        <v>38213</v>
      </c>
      <c r="B1642" s="82" t="s">
        <v>30</v>
      </c>
      <c r="C1642" s="83"/>
      <c r="D1642" s="84"/>
      <c r="E1642" s="82" t="str">
        <f t="shared" ref="E1642" si="2551">D1635</f>
        <v>30599/24</v>
      </c>
      <c r="F1642" s="84"/>
      <c r="G1642" s="6" t="s">
        <v>32</v>
      </c>
      <c r="H1642" s="7" t="s">
        <v>125</v>
      </c>
      <c r="J1642" s="24" t="str">
        <f t="shared" ref="J1642" si="2552">CONCATENATE(K1641,1)</f>
        <v>41</v>
      </c>
      <c r="K1642" s="6">
        <f t="array" ref="K1642:M1644">LINEST(B1646:B1649,C1646:C1649^{1,2},TRUE,TRUE)</f>
        <v>1.3680006945946794E-5</v>
      </c>
      <c r="L1642" s="6">
        <v>0.99411444686028405</v>
      </c>
      <c r="M1642" s="6">
        <v>-6.739275067854697E-2</v>
      </c>
      <c r="Q1642" s="9"/>
      <c r="R1642" s="9"/>
      <c r="S1642" s="9"/>
      <c r="T1642" s="9"/>
      <c r="U1642" s="1">
        <f t="shared" si="2505"/>
        <v>38</v>
      </c>
      <c r="V1642" s="1">
        <f t="shared" si="2506"/>
        <v>213</v>
      </c>
    </row>
    <row r="1643" spans="1:22" x14ac:dyDescent="0.3">
      <c r="A1643" s="1">
        <f t="shared" si="2507"/>
        <v>38214</v>
      </c>
      <c r="B1643" s="2" t="s">
        <v>21</v>
      </c>
      <c r="C1643" s="2" t="s">
        <v>22</v>
      </c>
      <c r="D1643" s="2" t="s">
        <v>23</v>
      </c>
      <c r="E1643" s="2"/>
      <c r="F1643" s="2" t="s">
        <v>28</v>
      </c>
      <c r="G1643" s="2" t="s">
        <v>21</v>
      </c>
      <c r="H1643" s="2" t="s">
        <v>22</v>
      </c>
      <c r="J1643" s="24" t="str">
        <f t="shared" ref="J1643" si="2553">CONCATENATE(K1641,2)</f>
        <v>42</v>
      </c>
      <c r="K1643" s="6">
        <v>5.3711233507016851E-5</v>
      </c>
      <c r="L1643" s="6">
        <v>9.9737379141927882E-4</v>
      </c>
      <c r="M1643" s="6">
        <v>2.8884994116832222E-2</v>
      </c>
      <c r="Q1643" s="9"/>
      <c r="R1643" s="9"/>
      <c r="S1643" s="9"/>
      <c r="T1643" s="9"/>
      <c r="U1643" s="1">
        <f t="shared" si="2505"/>
        <v>38</v>
      </c>
      <c r="V1643" s="1">
        <f t="shared" si="2506"/>
        <v>214</v>
      </c>
    </row>
    <row r="1644" spans="1:22" x14ac:dyDescent="0.3">
      <c r="A1644" s="1">
        <f t="shared" si="2507"/>
        <v>38215</v>
      </c>
      <c r="B1644" s="2" t="s">
        <v>24</v>
      </c>
      <c r="C1644" s="2" t="s">
        <v>25</v>
      </c>
      <c r="D1644" s="2" t="s">
        <v>26</v>
      </c>
      <c r="E1644" s="2" t="s">
        <v>27</v>
      </c>
      <c r="F1644" s="2" t="s">
        <v>29</v>
      </c>
      <c r="G1644" s="2" t="s">
        <v>24</v>
      </c>
      <c r="H1644" s="2" t="s">
        <v>25</v>
      </c>
      <c r="J1644" s="24" t="str">
        <f t="shared" ref="J1644" si="2554">CONCATENATE(K1641,3)</f>
        <v>43</v>
      </c>
      <c r="K1644" s="6">
        <v>0.99999917512416436</v>
      </c>
      <c r="L1644" s="6">
        <v>3.6414654561937709E-2</v>
      </c>
      <c r="M1644" s="6" t="e">
        <v>#N/A</v>
      </c>
      <c r="Q1644" s="9"/>
      <c r="R1644" s="9"/>
      <c r="S1644" s="9"/>
      <c r="T1644" s="9"/>
      <c r="U1644" s="1">
        <f t="shared" si="2505"/>
        <v>38</v>
      </c>
      <c r="V1644" s="1">
        <f t="shared" si="2506"/>
        <v>215</v>
      </c>
    </row>
    <row r="1645" spans="1:22" x14ac:dyDescent="0.3">
      <c r="A1645" s="1">
        <f t="shared" si="2507"/>
        <v>38216</v>
      </c>
      <c r="B1645" s="3" t="str">
        <f t="shared" ref="B1645" si="2555">H1638</f>
        <v>°CTd/f</v>
      </c>
      <c r="C1645" s="3" t="str">
        <f t="shared" ref="C1645" si="2556">B1645</f>
        <v>°CTd/f</v>
      </c>
      <c r="D1645" s="3" t="str">
        <f t="shared" ref="D1645" si="2557">C1645</f>
        <v>°CTd/f</v>
      </c>
      <c r="E1645" s="3"/>
      <c r="F1645" s="3"/>
      <c r="G1645" s="3" t="str">
        <f t="shared" ref="G1645" si="2558">D1645</f>
        <v>°CTd/f</v>
      </c>
      <c r="H1645" s="3" t="str">
        <f t="shared" ref="H1645" si="2559">G1645</f>
        <v>°CTd/f</v>
      </c>
      <c r="K1645" s="1">
        <v>5</v>
      </c>
      <c r="L1645" s="1">
        <v>5</v>
      </c>
      <c r="M1645" s="1">
        <v>5</v>
      </c>
      <c r="N1645" s="1">
        <v>5</v>
      </c>
      <c r="Q1645" s="9"/>
      <c r="R1645" s="9"/>
      <c r="S1645" s="9"/>
      <c r="T1645" s="9"/>
      <c r="U1645" s="1">
        <f t="shared" si="2505"/>
        <v>38</v>
      </c>
      <c r="V1645" s="1">
        <f t="shared" si="2506"/>
        <v>216</v>
      </c>
    </row>
    <row r="1646" spans="1:22" x14ac:dyDescent="0.3">
      <c r="A1646" s="1">
        <f t="shared" si="2507"/>
        <v>38217</v>
      </c>
      <c r="B1646" s="4">
        <v>-24.88</v>
      </c>
      <c r="C1646" s="4">
        <v>-24.96</v>
      </c>
      <c r="D1646" s="4">
        <v>0.08</v>
      </c>
      <c r="E1646" s="4">
        <v>2</v>
      </c>
      <c r="F1646" s="14">
        <v>1000000</v>
      </c>
      <c r="G1646" s="8">
        <v>-25.25</v>
      </c>
      <c r="H1646" s="7">
        <v>-25.19</v>
      </c>
      <c r="J1646" s="24" t="str">
        <f t="shared" ref="J1646" si="2560">CONCATENATE(K1645,1)</f>
        <v>51</v>
      </c>
      <c r="K1646" s="6">
        <f t="array" ref="K1646:N1648">LINEST(B1646:B1650,C1646:C1650^{1,2,3},TRUE,TRUE)</f>
        <v>7.6158939204116998E-8</v>
      </c>
      <c r="L1646" s="6">
        <v>7.4933760528497037E-6</v>
      </c>
      <c r="M1646" s="6">
        <v>0.9940670230418116</v>
      </c>
      <c r="N1646" s="6">
        <v>-6.5385080054713773E-2</v>
      </c>
      <c r="Q1646" s="9"/>
      <c r="R1646" s="9"/>
      <c r="S1646" s="9"/>
      <c r="T1646" s="9"/>
      <c r="U1646" s="1">
        <f t="shared" si="2505"/>
        <v>38</v>
      </c>
      <c r="V1646" s="1">
        <f t="shared" si="2506"/>
        <v>217</v>
      </c>
    </row>
    <row r="1647" spans="1:22" x14ac:dyDescent="0.3">
      <c r="A1647" s="1">
        <f t="shared" si="2507"/>
        <v>38218</v>
      </c>
      <c r="B1647" s="4">
        <v>-9.9</v>
      </c>
      <c r="C1647" s="4">
        <v>-9.92</v>
      </c>
      <c r="D1647" s="4">
        <v>0.05</v>
      </c>
      <c r="E1647" s="4">
        <v>2</v>
      </c>
      <c r="F1647" s="14">
        <v>1000000</v>
      </c>
      <c r="G1647" s="8">
        <v>-10.08</v>
      </c>
      <c r="H1647" s="7">
        <v>-9.99</v>
      </c>
      <c r="J1647" s="24" t="str">
        <f t="shared" ref="J1647" si="2561">CONCATENATE(K1645,2)</f>
        <v>52</v>
      </c>
      <c r="K1647" s="6">
        <v>9.8440016721751861E-7</v>
      </c>
      <c r="L1647" s="6">
        <v>5.5180840033145424E-5</v>
      </c>
      <c r="M1647" s="6">
        <v>1.1914333916830983E-3</v>
      </c>
      <c r="N1647" s="6">
        <v>2.7174611600462011E-2</v>
      </c>
      <c r="T1647" s="9"/>
      <c r="U1647" s="1">
        <f t="shared" si="2505"/>
        <v>38</v>
      </c>
      <c r="V1647" s="1">
        <f t="shared" si="2506"/>
        <v>218</v>
      </c>
    </row>
    <row r="1648" spans="1:22" x14ac:dyDescent="0.3">
      <c r="A1648" s="1">
        <f t="shared" si="2507"/>
        <v>38219</v>
      </c>
      <c r="B1648" s="4">
        <v>-0.01</v>
      </c>
      <c r="C1648" s="4">
        <v>0.08</v>
      </c>
      <c r="D1648" s="4">
        <v>0.05</v>
      </c>
      <c r="E1648" s="4">
        <v>2</v>
      </c>
      <c r="F1648" s="14">
        <v>1000000</v>
      </c>
      <c r="G1648" s="8">
        <v>-0.16</v>
      </c>
      <c r="H1648" s="7">
        <v>-0.08</v>
      </c>
      <c r="J1648" s="24" t="str">
        <f t="shared" ref="J1648" si="2562">CONCATENATE(K1645,3)</f>
        <v>53</v>
      </c>
      <c r="K1648" s="6">
        <v>0.99999971233521279</v>
      </c>
      <c r="L1648" s="6">
        <v>3.6346570461893712E-2</v>
      </c>
      <c r="M1648" s="6" t="e">
        <v>#N/A</v>
      </c>
      <c r="N1648" s="6" t="e">
        <v>#N/A</v>
      </c>
      <c r="T1648" s="9"/>
      <c r="U1648" s="1">
        <f t="shared" si="2505"/>
        <v>38</v>
      </c>
      <c r="V1648" s="1">
        <f t="shared" si="2506"/>
        <v>219</v>
      </c>
    </row>
    <row r="1649" spans="1:22" x14ac:dyDescent="0.3">
      <c r="A1649" s="1">
        <f t="shared" si="2507"/>
        <v>38220</v>
      </c>
      <c r="B1649" s="4">
        <v>29.94</v>
      </c>
      <c r="C1649" s="4">
        <v>30.17</v>
      </c>
      <c r="D1649" s="4">
        <v>0.05</v>
      </c>
      <c r="E1649" s="4">
        <v>2</v>
      </c>
      <c r="F1649" s="14">
        <v>1000000</v>
      </c>
      <c r="G1649" s="8">
        <v>30.26</v>
      </c>
      <c r="H1649" s="7">
        <v>30.35</v>
      </c>
      <c r="K1649" s="1">
        <v>6</v>
      </c>
      <c r="L1649" s="1">
        <v>6</v>
      </c>
      <c r="M1649" s="1">
        <v>6</v>
      </c>
      <c r="N1649" s="1">
        <v>6</v>
      </c>
      <c r="O1649" s="1">
        <v>6</v>
      </c>
      <c r="T1649" s="9"/>
      <c r="U1649" s="1">
        <f t="shared" si="2505"/>
        <v>38</v>
      </c>
      <c r="V1649" s="1">
        <f t="shared" si="2506"/>
        <v>220</v>
      </c>
    </row>
    <row r="1650" spans="1:22" x14ac:dyDescent="0.3">
      <c r="A1650" s="1">
        <f t="shared" si="2507"/>
        <v>38221</v>
      </c>
      <c r="B1650" s="4">
        <v>59.87</v>
      </c>
      <c r="C1650" s="4">
        <v>60.25</v>
      </c>
      <c r="D1650" s="4">
        <v>0.05</v>
      </c>
      <c r="E1650" s="4">
        <v>2</v>
      </c>
      <c r="F1650" s="14">
        <v>1000000</v>
      </c>
      <c r="G1650" s="8">
        <v>60.13</v>
      </c>
      <c r="H1650" s="7">
        <v>60.26</v>
      </c>
      <c r="J1650" s="24" t="str">
        <f t="shared" ref="J1650" si="2563">CONCATENATE(K1649,1)</f>
        <v>61</v>
      </c>
      <c r="K1650" s="6" t="e">
        <f t="array" ref="K1650:O1652">LINEST(B1646:B1651,C1646:C1651^{1,2,3,4},TRUE,TRUE)</f>
        <v>#VALUE!</v>
      </c>
      <c r="L1650" s="6" t="e">
        <v>#VALUE!</v>
      </c>
      <c r="M1650" s="6" t="e">
        <v>#VALUE!</v>
      </c>
      <c r="N1650" s="6" t="e">
        <v>#VALUE!</v>
      </c>
      <c r="O1650" s="6" t="e">
        <v>#VALUE!</v>
      </c>
      <c r="T1650" s="9"/>
      <c r="U1650" s="1">
        <f t="shared" si="2505"/>
        <v>38</v>
      </c>
      <c r="V1650" s="1">
        <f t="shared" si="2506"/>
        <v>221</v>
      </c>
    </row>
    <row r="1651" spans="1:22" x14ac:dyDescent="0.3">
      <c r="A1651" s="1">
        <f t="shared" si="2507"/>
        <v>38222</v>
      </c>
      <c r="B1651" s="4"/>
      <c r="C1651" s="4"/>
      <c r="D1651" s="4"/>
      <c r="E1651" s="4"/>
      <c r="F1651" s="14"/>
      <c r="G1651" s="8"/>
      <c r="H1651" s="7"/>
      <c r="J1651" s="24" t="str">
        <f t="shared" ref="J1651" si="2564">CONCATENATE(K1649,2)</f>
        <v>62</v>
      </c>
      <c r="K1651" s="6" t="e">
        <v>#VALUE!</v>
      </c>
      <c r="L1651" s="6" t="e">
        <v>#VALUE!</v>
      </c>
      <c r="M1651" s="6" t="e">
        <v>#VALUE!</v>
      </c>
      <c r="N1651" s="6" t="e">
        <v>#VALUE!</v>
      </c>
      <c r="O1651" s="6" t="e">
        <v>#VALUE!</v>
      </c>
      <c r="T1651" s="9"/>
      <c r="U1651" s="1">
        <f t="shared" si="2505"/>
        <v>38</v>
      </c>
      <c r="V1651" s="1">
        <f t="shared" si="2506"/>
        <v>222</v>
      </c>
    </row>
    <row r="1652" spans="1:22" x14ac:dyDescent="0.3">
      <c r="A1652" s="1">
        <f t="shared" si="2507"/>
        <v>38223</v>
      </c>
      <c r="B1652" s="4"/>
      <c r="C1652" s="4"/>
      <c r="D1652" s="4"/>
      <c r="E1652" s="4"/>
      <c r="F1652" s="14"/>
      <c r="G1652" s="8"/>
      <c r="H1652" s="7"/>
      <c r="J1652" s="24" t="str">
        <f t="shared" ref="J1652" si="2565">CONCATENATE(K1649,3)</f>
        <v>63</v>
      </c>
      <c r="K1652" s="6" t="e">
        <v>#VALUE!</v>
      </c>
      <c r="L1652" s="6" t="e">
        <v>#VALUE!</v>
      </c>
      <c r="M1652" s="6" t="e">
        <v>#VALUE!</v>
      </c>
      <c r="N1652" s="6" t="e">
        <v>#VALUE!</v>
      </c>
      <c r="O1652" s="6" t="e">
        <v>#VALUE!</v>
      </c>
      <c r="T1652" s="9"/>
      <c r="U1652" s="1">
        <f t="shared" si="2505"/>
        <v>38</v>
      </c>
      <c r="V1652" s="1">
        <f t="shared" si="2506"/>
        <v>223</v>
      </c>
    </row>
    <row r="1653" spans="1:22" x14ac:dyDescent="0.3">
      <c r="A1653" s="1">
        <f t="shared" si="2507"/>
        <v>38224</v>
      </c>
      <c r="B1653" s="4"/>
      <c r="C1653" s="4"/>
      <c r="D1653" s="4"/>
      <c r="E1653" s="4"/>
      <c r="F1653" s="14"/>
      <c r="G1653" s="8"/>
      <c r="H1653" s="7"/>
      <c r="K1653" s="1">
        <v>7</v>
      </c>
      <c r="L1653" s="1">
        <v>7</v>
      </c>
      <c r="M1653" s="1">
        <v>7</v>
      </c>
      <c r="N1653" s="1">
        <v>7</v>
      </c>
      <c r="O1653" s="1">
        <v>7</v>
      </c>
      <c r="P1653" s="1">
        <v>7</v>
      </c>
      <c r="T1653" s="9"/>
      <c r="U1653" s="1">
        <f t="shared" si="2505"/>
        <v>38</v>
      </c>
      <c r="V1653" s="1">
        <f t="shared" si="2506"/>
        <v>224</v>
      </c>
    </row>
    <row r="1654" spans="1:22" x14ac:dyDescent="0.3">
      <c r="A1654" s="1">
        <f t="shared" si="2507"/>
        <v>38225</v>
      </c>
      <c r="B1654" s="4"/>
      <c r="C1654" s="4"/>
      <c r="D1654" s="4"/>
      <c r="E1654" s="4"/>
      <c r="F1654" s="14"/>
      <c r="G1654" s="8"/>
      <c r="H1654" s="7"/>
      <c r="J1654" s="24" t="str">
        <f t="shared" ref="J1654" si="2566">CONCATENATE(K1653,1)</f>
        <v>71</v>
      </c>
      <c r="K1654" s="6" t="e">
        <f t="array" ref="K1654:P1656">LINEST(B1646:B1652,C1646:C1652^{1,2,3,4,5},TRUE,TRUE)</f>
        <v>#VALUE!</v>
      </c>
      <c r="L1654" s="6" t="e">
        <v>#VALUE!</v>
      </c>
      <c r="M1654" s="6" t="e">
        <v>#VALUE!</v>
      </c>
      <c r="N1654" s="6" t="e">
        <v>#VALUE!</v>
      </c>
      <c r="O1654" s="6" t="e">
        <v>#VALUE!</v>
      </c>
      <c r="P1654" s="6" t="e">
        <v>#VALUE!</v>
      </c>
      <c r="T1654" s="9"/>
      <c r="U1654" s="1">
        <f t="shared" si="2505"/>
        <v>38</v>
      </c>
      <c r="V1654" s="1">
        <f t="shared" si="2506"/>
        <v>225</v>
      </c>
    </row>
    <row r="1655" spans="1:22" x14ac:dyDescent="0.3">
      <c r="A1655" s="1">
        <f t="shared" si="2507"/>
        <v>38226</v>
      </c>
      <c r="B1655" s="4"/>
      <c r="C1655" s="4"/>
      <c r="D1655" s="4"/>
      <c r="E1655" s="4"/>
      <c r="F1655" s="14"/>
      <c r="G1655" s="8"/>
      <c r="H1655" s="7"/>
      <c r="J1655" s="24" t="str">
        <f t="shared" ref="J1655" si="2567">CONCATENATE(K1653,2)</f>
        <v>72</v>
      </c>
      <c r="K1655" s="6" t="e">
        <v>#VALUE!</v>
      </c>
      <c r="L1655" s="6" t="e">
        <v>#VALUE!</v>
      </c>
      <c r="M1655" s="6" t="e">
        <v>#VALUE!</v>
      </c>
      <c r="N1655" s="6" t="e">
        <v>#VALUE!</v>
      </c>
      <c r="O1655" s="6" t="e">
        <v>#VALUE!</v>
      </c>
      <c r="P1655" s="6" t="e">
        <v>#VALUE!</v>
      </c>
      <c r="T1655" s="9"/>
      <c r="U1655" s="1">
        <f t="shared" si="2505"/>
        <v>38</v>
      </c>
      <c r="V1655" s="1">
        <f t="shared" si="2506"/>
        <v>226</v>
      </c>
    </row>
    <row r="1656" spans="1:22" x14ac:dyDescent="0.3">
      <c r="A1656" s="1">
        <f t="shared" si="2507"/>
        <v>38227</v>
      </c>
      <c r="B1656" s="9"/>
      <c r="C1656" s="9"/>
      <c r="D1656" s="9"/>
      <c r="E1656" s="9"/>
      <c r="F1656" s="9"/>
      <c r="G1656" s="9"/>
      <c r="H1656" s="9"/>
      <c r="J1656" s="24" t="str">
        <f t="shared" ref="J1656" si="2568">CONCATENATE(K1653,3)</f>
        <v>73</v>
      </c>
      <c r="K1656" s="6" t="e">
        <v>#VALUE!</v>
      </c>
      <c r="L1656" s="6" t="e">
        <v>#VALUE!</v>
      </c>
      <c r="M1656" s="6" t="e">
        <v>#VALUE!</v>
      </c>
      <c r="N1656" s="6" t="e">
        <v>#VALUE!</v>
      </c>
      <c r="O1656" s="6" t="e">
        <v>#VALUE!</v>
      </c>
      <c r="P1656" s="6" t="e">
        <v>#VALUE!</v>
      </c>
      <c r="T1656" s="9"/>
      <c r="U1656" s="1">
        <f t="shared" si="2505"/>
        <v>38</v>
      </c>
      <c r="V1656" s="1">
        <f t="shared" si="2506"/>
        <v>227</v>
      </c>
    </row>
    <row r="1657" spans="1:22" x14ac:dyDescent="0.3">
      <c r="A1657" s="1">
        <f t="shared" si="2507"/>
        <v>38228</v>
      </c>
      <c r="B1657" s="87" t="s">
        <v>33</v>
      </c>
      <c r="C1657" s="88"/>
      <c r="D1657" s="88"/>
      <c r="E1657" s="88"/>
      <c r="F1657" s="88"/>
      <c r="G1657" s="88"/>
      <c r="H1657" s="89"/>
      <c r="K1657" s="1">
        <v>8</v>
      </c>
      <c r="L1657" s="1">
        <v>8</v>
      </c>
      <c r="M1657" s="1">
        <v>8</v>
      </c>
      <c r="N1657" s="1">
        <v>8</v>
      </c>
      <c r="O1657" s="1">
        <v>8</v>
      </c>
      <c r="P1657" s="1">
        <v>8</v>
      </c>
      <c r="Q1657" s="1">
        <v>8</v>
      </c>
      <c r="T1657" s="9"/>
      <c r="U1657" s="1">
        <f t="shared" si="2505"/>
        <v>38</v>
      </c>
      <c r="V1657" s="1">
        <f t="shared" si="2506"/>
        <v>228</v>
      </c>
    </row>
    <row r="1658" spans="1:22" x14ac:dyDescent="0.3">
      <c r="A1658" s="1">
        <f t="shared" si="2507"/>
        <v>38229</v>
      </c>
      <c r="B1658" s="90"/>
      <c r="C1658" s="91"/>
      <c r="D1658" s="91"/>
      <c r="E1658" s="91"/>
      <c r="F1658" s="91"/>
      <c r="G1658" s="91"/>
      <c r="H1658" s="92"/>
      <c r="J1658" s="24" t="str">
        <f t="shared" ref="J1658" si="2569">CONCATENATE(K1657,1)</f>
        <v>81</v>
      </c>
      <c r="K1658" s="6" t="e">
        <f t="array" ref="K1658:Q1660">LINEST(B1646:B1653,C1646:C1653^{1,2,3,4,5,6},TRUE,TRUE)</f>
        <v>#VALUE!</v>
      </c>
      <c r="L1658" s="6" t="e">
        <v>#VALUE!</v>
      </c>
      <c r="M1658" s="6" t="e">
        <v>#VALUE!</v>
      </c>
      <c r="N1658" s="6" t="e">
        <v>#VALUE!</v>
      </c>
      <c r="O1658" s="6" t="e">
        <v>#VALUE!</v>
      </c>
      <c r="P1658" s="6" t="e">
        <v>#VALUE!</v>
      </c>
      <c r="Q1658" s="6" t="e">
        <v>#VALUE!</v>
      </c>
      <c r="T1658" s="9"/>
      <c r="U1658" s="1">
        <f t="shared" si="2505"/>
        <v>38</v>
      </c>
      <c r="V1658" s="1">
        <f t="shared" si="2506"/>
        <v>229</v>
      </c>
    </row>
    <row r="1659" spans="1:22" x14ac:dyDescent="0.3">
      <c r="A1659" s="1">
        <f t="shared" si="2507"/>
        <v>38230</v>
      </c>
      <c r="B1659" s="93"/>
      <c r="C1659" s="94"/>
      <c r="D1659" s="94"/>
      <c r="E1659" s="94"/>
      <c r="F1659" s="94"/>
      <c r="G1659" s="94"/>
      <c r="H1659" s="95"/>
      <c r="J1659" s="24" t="str">
        <f t="shared" ref="J1659" si="2570">CONCATENATE(K1657,2)</f>
        <v>82</v>
      </c>
      <c r="K1659" s="6" t="e">
        <v>#VALUE!</v>
      </c>
      <c r="L1659" s="6" t="e">
        <v>#VALUE!</v>
      </c>
      <c r="M1659" s="6" t="e">
        <v>#VALUE!</v>
      </c>
      <c r="N1659" s="6" t="e">
        <v>#VALUE!</v>
      </c>
      <c r="O1659" s="6" t="e">
        <v>#VALUE!</v>
      </c>
      <c r="P1659" s="6" t="e">
        <v>#VALUE!</v>
      </c>
      <c r="Q1659" s="6" t="e">
        <v>#VALUE!</v>
      </c>
      <c r="T1659" s="9"/>
      <c r="U1659" s="1">
        <f t="shared" si="2505"/>
        <v>38</v>
      </c>
      <c r="V1659" s="1">
        <f t="shared" si="2506"/>
        <v>230</v>
      </c>
    </row>
    <row r="1660" spans="1:22" x14ac:dyDescent="0.3">
      <c r="A1660" s="1">
        <f t="shared" si="2507"/>
        <v>38231</v>
      </c>
      <c r="J1660" s="24" t="str">
        <f t="shared" ref="J1660" si="2571">CONCATENATE(K1657,3)</f>
        <v>83</v>
      </c>
      <c r="K1660" s="6" t="e">
        <v>#VALUE!</v>
      </c>
      <c r="L1660" s="6" t="e">
        <v>#VALUE!</v>
      </c>
      <c r="M1660" s="6" t="e">
        <v>#VALUE!</v>
      </c>
      <c r="N1660" s="6" t="e">
        <v>#VALUE!</v>
      </c>
      <c r="O1660" s="6" t="e">
        <v>#VALUE!</v>
      </c>
      <c r="P1660" s="6" t="e">
        <v>#VALUE!</v>
      </c>
      <c r="Q1660" s="6" t="e">
        <v>#VALUE!</v>
      </c>
      <c r="T1660" s="9"/>
      <c r="U1660" s="1">
        <f t="shared" si="2505"/>
        <v>38</v>
      </c>
      <c r="V1660" s="1">
        <f t="shared" si="2506"/>
        <v>231</v>
      </c>
    </row>
    <row r="1661" spans="1:22" ht="15" customHeight="1" x14ac:dyDescent="0.3">
      <c r="A1661" s="1">
        <f t="shared" si="2507"/>
        <v>38232</v>
      </c>
      <c r="B1661" s="10" t="s">
        <v>34</v>
      </c>
      <c r="C1661" s="10" t="s">
        <v>35</v>
      </c>
      <c r="D1661" s="10" t="s">
        <v>36</v>
      </c>
      <c r="E1661" s="74" t="s">
        <v>37</v>
      </c>
      <c r="F1661" s="75"/>
      <c r="G1661" s="76"/>
      <c r="K1661" s="1">
        <v>9</v>
      </c>
      <c r="L1661" s="1">
        <v>9</v>
      </c>
      <c r="M1661" s="1">
        <v>9</v>
      </c>
      <c r="N1661" s="1">
        <v>9</v>
      </c>
      <c r="O1661" s="1">
        <v>9</v>
      </c>
      <c r="P1661" s="1">
        <v>9</v>
      </c>
      <c r="Q1661" s="1">
        <v>9</v>
      </c>
      <c r="R1661" s="1">
        <v>9</v>
      </c>
      <c r="T1661" s="9"/>
      <c r="U1661" s="1">
        <f t="shared" si="2505"/>
        <v>38</v>
      </c>
      <c r="V1661" s="1">
        <f t="shared" si="2506"/>
        <v>232</v>
      </c>
    </row>
    <row r="1662" spans="1:22" x14ac:dyDescent="0.3">
      <c r="A1662" s="1">
        <f t="shared" si="2507"/>
        <v>38233</v>
      </c>
      <c r="B1662" s="12">
        <f t="shared" ref="B1662:B1671" si="2572">C1646-B1646</f>
        <v>-8.0000000000001847E-2</v>
      </c>
      <c r="C1662" s="13">
        <f t="shared" ref="C1662:C1671" si="2573">H1646-G1646</f>
        <v>5.9999999999998721E-2</v>
      </c>
      <c r="D1662" s="10">
        <f t="shared" ref="D1662:D1671" si="2574">C1662-B1662</f>
        <v>0.14000000000000057</v>
      </c>
      <c r="E1662" s="11">
        <f t="shared" ref="E1662" si="2575">IF(D1637="","",MAX(F1662,G1662))</f>
        <v>0.25000000000000711</v>
      </c>
      <c r="F1662" s="10">
        <f t="shared" ref="F1662" si="2576">ABS(MIN(D1662:D1671))</f>
        <v>0.25000000000000711</v>
      </c>
      <c r="G1662" s="10">
        <f t="shared" ref="G1662" si="2577">ABS(MAX(D1662:D1671))</f>
        <v>0.14000000000000057</v>
      </c>
      <c r="J1662" s="24" t="str">
        <f t="shared" ref="J1662" si="2578">CONCATENATE(K1661,1)</f>
        <v>91</v>
      </c>
      <c r="K1662" s="6" t="e">
        <f t="array" ref="K1662:R1664">LINEST(B1646:B1654,C1646:C1654^{1,2,3,4,5,6,7},TRUE,TRUE)</f>
        <v>#VALUE!</v>
      </c>
      <c r="L1662" s="6" t="e">
        <v>#VALUE!</v>
      </c>
      <c r="M1662" s="6" t="e">
        <v>#VALUE!</v>
      </c>
      <c r="N1662" s="6" t="e">
        <v>#VALUE!</v>
      </c>
      <c r="O1662" s="6" t="e">
        <v>#VALUE!</v>
      </c>
      <c r="P1662" s="6" t="e">
        <v>#VALUE!</v>
      </c>
      <c r="Q1662" s="6" t="e">
        <v>#VALUE!</v>
      </c>
      <c r="R1662" s="6" t="e">
        <v>#VALUE!</v>
      </c>
      <c r="T1662" s="9"/>
      <c r="U1662" s="1">
        <f t="shared" si="2505"/>
        <v>38</v>
      </c>
      <c r="V1662" s="1">
        <f t="shared" si="2506"/>
        <v>233</v>
      </c>
    </row>
    <row r="1663" spans="1:22" x14ac:dyDescent="0.3">
      <c r="A1663" s="1">
        <f t="shared" si="2507"/>
        <v>38234</v>
      </c>
      <c r="B1663" s="12">
        <f t="shared" si="2572"/>
        <v>-1.9999999999999574E-2</v>
      </c>
      <c r="C1663" s="13">
        <f t="shared" si="2573"/>
        <v>8.9999999999999858E-2</v>
      </c>
      <c r="D1663" s="10">
        <f t="shared" si="2574"/>
        <v>0.10999999999999943</v>
      </c>
      <c r="E1663" s="74" t="s">
        <v>38</v>
      </c>
      <c r="F1663" s="75"/>
      <c r="G1663" s="76"/>
      <c r="J1663" s="24" t="str">
        <f t="shared" ref="J1663" si="2579">CONCATENATE(K1661,2)</f>
        <v>92</v>
      </c>
      <c r="K1663" s="6" t="e">
        <v>#VALUE!</v>
      </c>
      <c r="L1663" s="6" t="e">
        <v>#VALUE!</v>
      </c>
      <c r="M1663" s="6" t="e">
        <v>#VALUE!</v>
      </c>
      <c r="N1663" s="6" t="e">
        <v>#VALUE!</v>
      </c>
      <c r="O1663" s="6" t="e">
        <v>#VALUE!</v>
      </c>
      <c r="P1663" s="6" t="e">
        <v>#VALUE!</v>
      </c>
      <c r="Q1663" s="6" t="e">
        <v>#VALUE!</v>
      </c>
      <c r="R1663" s="6" t="e">
        <v>#VALUE!</v>
      </c>
      <c r="T1663" s="9"/>
      <c r="U1663" s="1">
        <f t="shared" si="2505"/>
        <v>38</v>
      </c>
      <c r="V1663" s="1">
        <f t="shared" si="2506"/>
        <v>234</v>
      </c>
    </row>
    <row r="1664" spans="1:22" x14ac:dyDescent="0.3">
      <c r="A1664" s="1">
        <f t="shared" si="2507"/>
        <v>38235</v>
      </c>
      <c r="B1664" s="12">
        <f t="shared" si="2572"/>
        <v>0.09</v>
      </c>
      <c r="C1664" s="13">
        <f t="shared" si="2573"/>
        <v>0.08</v>
      </c>
      <c r="D1664" s="10">
        <f t="shared" si="2574"/>
        <v>-9.999999999999995E-3</v>
      </c>
      <c r="E1664" s="11">
        <f t="shared" ref="E1664" si="2580">IF(D1637="","",MAX(F1664,G1664))</f>
        <v>0.38000000000000256</v>
      </c>
      <c r="F1664" s="10">
        <f t="shared" ref="F1664" si="2581">ABS(MIN(B1662:B1671))</f>
        <v>8.0000000000001847E-2</v>
      </c>
      <c r="G1664" s="10">
        <f t="shared" ref="G1664" si="2582">ABS(MAX(B1662:B1671))</f>
        <v>0.38000000000000256</v>
      </c>
      <c r="J1664" s="24" t="str">
        <f t="shared" ref="J1664" si="2583">CONCATENATE(K1661,3)</f>
        <v>93</v>
      </c>
      <c r="K1664" s="6" t="e">
        <v>#VALUE!</v>
      </c>
      <c r="L1664" s="6" t="e">
        <v>#VALUE!</v>
      </c>
      <c r="M1664" s="6" t="e">
        <v>#VALUE!</v>
      </c>
      <c r="N1664" s="6" t="e">
        <v>#VALUE!</v>
      </c>
      <c r="O1664" s="6" t="e">
        <v>#VALUE!</v>
      </c>
      <c r="P1664" s="6" t="e">
        <v>#VALUE!</v>
      </c>
      <c r="Q1664" s="6" t="e">
        <v>#VALUE!</v>
      </c>
      <c r="R1664" s="6" t="e">
        <v>#VALUE!</v>
      </c>
      <c r="T1664" s="9"/>
      <c r="U1664" s="1">
        <f t="shared" si="2505"/>
        <v>38</v>
      </c>
      <c r="V1664" s="1">
        <f t="shared" si="2506"/>
        <v>235</v>
      </c>
    </row>
    <row r="1665" spans="1:22" x14ac:dyDescent="0.3">
      <c r="A1665" s="1">
        <f t="shared" si="2507"/>
        <v>38236</v>
      </c>
      <c r="B1665" s="12">
        <f t="shared" si="2572"/>
        <v>0.23000000000000043</v>
      </c>
      <c r="C1665" s="13">
        <f t="shared" si="2573"/>
        <v>8.9999999999999858E-2</v>
      </c>
      <c r="D1665" s="10">
        <f t="shared" si="2574"/>
        <v>-0.14000000000000057</v>
      </c>
      <c r="E1665" s="74" t="s">
        <v>39</v>
      </c>
      <c r="F1665" s="75"/>
      <c r="G1665" s="76"/>
      <c r="K1665" s="1">
        <v>10</v>
      </c>
      <c r="L1665" s="1">
        <v>10</v>
      </c>
      <c r="M1665" s="1">
        <v>10</v>
      </c>
      <c r="N1665" s="1">
        <v>10</v>
      </c>
      <c r="O1665" s="1">
        <v>10</v>
      </c>
      <c r="P1665" s="1">
        <v>10</v>
      </c>
      <c r="Q1665" s="1">
        <v>10</v>
      </c>
      <c r="R1665" s="1">
        <v>10</v>
      </c>
      <c r="S1665" s="1">
        <v>10</v>
      </c>
      <c r="T1665" s="9"/>
      <c r="U1665" s="1">
        <f t="shared" si="2505"/>
        <v>38</v>
      </c>
      <c r="V1665" s="1">
        <f t="shared" si="2506"/>
        <v>236</v>
      </c>
    </row>
    <row r="1666" spans="1:22" x14ac:dyDescent="0.3">
      <c r="A1666" s="1">
        <f t="shared" si="2507"/>
        <v>38237</v>
      </c>
      <c r="B1666" s="12">
        <f t="shared" si="2572"/>
        <v>0.38000000000000256</v>
      </c>
      <c r="C1666" s="13">
        <f t="shared" si="2573"/>
        <v>0.12999999999999545</v>
      </c>
      <c r="D1666" s="10">
        <f t="shared" si="2574"/>
        <v>-0.25000000000000711</v>
      </c>
      <c r="E1666" s="11">
        <f t="shared" ref="E1666" si="2584">IF(D1637="","",MAX(F1666,G1666))</f>
        <v>0.08</v>
      </c>
      <c r="F1666" s="10">
        <f t="shared" ref="F1666" si="2585">ABS(MIN(D1646:D1655))</f>
        <v>0.05</v>
      </c>
      <c r="G1666" s="10">
        <f t="shared" ref="G1666" si="2586">ABS(MAX(D1646:D1655))</f>
        <v>0.08</v>
      </c>
      <c r="J1666" s="24" t="str">
        <f t="shared" ref="J1666" si="2587">CONCATENATE(K1665,1)</f>
        <v>101</v>
      </c>
      <c r="K1666" s="6" t="e">
        <f t="array" ref="K1666:S1668">LINEST(B1646:B1655,C1646:C1655^{1,2,3,4,5,6,7,8},TRUE,TRUE)</f>
        <v>#VALUE!</v>
      </c>
      <c r="L1666" s="6" t="e">
        <v>#VALUE!</v>
      </c>
      <c r="M1666" s="6" t="e">
        <v>#VALUE!</v>
      </c>
      <c r="N1666" s="6" t="e">
        <v>#VALUE!</v>
      </c>
      <c r="O1666" s="6" t="e">
        <v>#VALUE!</v>
      </c>
      <c r="P1666" s="6" t="e">
        <v>#VALUE!</v>
      </c>
      <c r="Q1666" s="6" t="e">
        <v>#VALUE!</v>
      </c>
      <c r="R1666" s="6" t="e">
        <v>#VALUE!</v>
      </c>
      <c r="S1666" s="6" t="e">
        <v>#VALUE!</v>
      </c>
      <c r="T1666" s="9"/>
      <c r="U1666" s="1">
        <f t="shared" si="2505"/>
        <v>38</v>
      </c>
      <c r="V1666" s="1">
        <f t="shared" si="2506"/>
        <v>237</v>
      </c>
    </row>
    <row r="1667" spans="1:22" x14ac:dyDescent="0.3">
      <c r="A1667" s="1">
        <f t="shared" si="2507"/>
        <v>38238</v>
      </c>
      <c r="B1667" s="12">
        <f t="shared" si="2572"/>
        <v>0</v>
      </c>
      <c r="C1667" s="13">
        <f t="shared" si="2573"/>
        <v>0</v>
      </c>
      <c r="D1667" s="10">
        <f t="shared" si="2574"/>
        <v>0</v>
      </c>
      <c r="J1667" s="24" t="str">
        <f t="shared" ref="J1667" si="2588">CONCATENATE(K1665,2)</f>
        <v>102</v>
      </c>
      <c r="K1667" s="6" t="e">
        <v>#VALUE!</v>
      </c>
      <c r="L1667" s="6" t="e">
        <v>#VALUE!</v>
      </c>
      <c r="M1667" s="6" t="e">
        <v>#VALUE!</v>
      </c>
      <c r="N1667" s="6" t="e">
        <v>#VALUE!</v>
      </c>
      <c r="O1667" s="6" t="e">
        <v>#VALUE!</v>
      </c>
      <c r="P1667" s="6" t="e">
        <v>#VALUE!</v>
      </c>
      <c r="Q1667" s="6" t="e">
        <v>#VALUE!</v>
      </c>
      <c r="R1667" s="6" t="e">
        <v>#VALUE!</v>
      </c>
      <c r="S1667" s="6" t="e">
        <v>#VALUE!</v>
      </c>
      <c r="T1667" s="9"/>
      <c r="U1667" s="1">
        <f t="shared" si="2505"/>
        <v>38</v>
      </c>
      <c r="V1667" s="1">
        <f t="shared" si="2506"/>
        <v>238</v>
      </c>
    </row>
    <row r="1668" spans="1:22" x14ac:dyDescent="0.3">
      <c r="A1668" s="1">
        <f t="shared" si="2507"/>
        <v>38239</v>
      </c>
      <c r="B1668" s="12">
        <f t="shared" si="2572"/>
        <v>0</v>
      </c>
      <c r="C1668" s="13">
        <f t="shared" si="2573"/>
        <v>0</v>
      </c>
      <c r="D1668" s="10">
        <f t="shared" si="2574"/>
        <v>0</v>
      </c>
      <c r="J1668" s="24" t="str">
        <f t="shared" ref="J1668" si="2589">CONCATENATE(K1665,3)</f>
        <v>103</v>
      </c>
      <c r="K1668" s="6" t="e">
        <v>#VALUE!</v>
      </c>
      <c r="L1668" s="6" t="e">
        <v>#VALUE!</v>
      </c>
      <c r="M1668" s="6" t="e">
        <v>#VALUE!</v>
      </c>
      <c r="N1668" s="6" t="e">
        <v>#VALUE!</v>
      </c>
      <c r="O1668" s="6" t="e">
        <v>#VALUE!</v>
      </c>
      <c r="P1668" s="6" t="e">
        <v>#VALUE!</v>
      </c>
      <c r="Q1668" s="6" t="e">
        <v>#VALUE!</v>
      </c>
      <c r="R1668" s="6" t="e">
        <v>#VALUE!</v>
      </c>
      <c r="S1668" s="6" t="e">
        <v>#VALUE!</v>
      </c>
      <c r="T1668" s="9"/>
      <c r="U1668" s="1">
        <f t="shared" si="2505"/>
        <v>38</v>
      </c>
      <c r="V1668" s="1">
        <f t="shared" si="2506"/>
        <v>239</v>
      </c>
    </row>
    <row r="1669" spans="1:22" x14ac:dyDescent="0.3">
      <c r="A1669" s="1">
        <f t="shared" si="2507"/>
        <v>38240</v>
      </c>
      <c r="B1669" s="12">
        <f t="shared" si="2572"/>
        <v>0</v>
      </c>
      <c r="C1669" s="13">
        <f t="shared" si="2573"/>
        <v>0</v>
      </c>
      <c r="D1669" s="10">
        <f t="shared" si="2574"/>
        <v>0</v>
      </c>
      <c r="J1669" s="9"/>
      <c r="K1669" s="9"/>
      <c r="L1669" s="9"/>
      <c r="M1669" s="9"/>
      <c r="N1669" s="9"/>
      <c r="O1669" s="9"/>
      <c r="P1669" s="9"/>
      <c r="Q1669" s="9"/>
      <c r="R1669" s="9"/>
      <c r="S1669" s="9"/>
      <c r="T1669" s="9"/>
      <c r="U1669" s="1">
        <f t="shared" si="2505"/>
        <v>38</v>
      </c>
      <c r="V1669" s="1">
        <f t="shared" si="2506"/>
        <v>240</v>
      </c>
    </row>
    <row r="1670" spans="1:22" x14ac:dyDescent="0.3">
      <c r="A1670" s="1">
        <f t="shared" si="2507"/>
        <v>38241</v>
      </c>
      <c r="B1670" s="12">
        <f t="shared" si="2572"/>
        <v>0</v>
      </c>
      <c r="C1670" s="13">
        <f t="shared" si="2573"/>
        <v>0</v>
      </c>
      <c r="D1670" s="10">
        <f t="shared" si="2574"/>
        <v>0</v>
      </c>
      <c r="J1670" s="9"/>
      <c r="K1670" s="9"/>
      <c r="L1670" s="9"/>
      <c r="M1670" s="9"/>
      <c r="N1670" s="9"/>
      <c r="O1670" s="9"/>
      <c r="P1670" s="9"/>
      <c r="Q1670" s="9"/>
      <c r="R1670" s="9"/>
      <c r="S1670" s="9"/>
      <c r="T1670" s="9"/>
      <c r="U1670" s="1">
        <f t="shared" si="2505"/>
        <v>38</v>
      </c>
      <c r="V1670" s="1">
        <f t="shared" si="2506"/>
        <v>241</v>
      </c>
    </row>
    <row r="1671" spans="1:22" x14ac:dyDescent="0.3">
      <c r="A1671" s="1">
        <f t="shared" si="2507"/>
        <v>38242</v>
      </c>
      <c r="B1671" s="12">
        <f t="shared" si="2572"/>
        <v>0</v>
      </c>
      <c r="C1671" s="13">
        <f t="shared" si="2573"/>
        <v>0</v>
      </c>
      <c r="D1671" s="10">
        <f t="shared" si="2574"/>
        <v>0</v>
      </c>
      <c r="J1671" s="9"/>
      <c r="K1671" s="9"/>
      <c r="L1671" s="9"/>
      <c r="M1671" s="9"/>
      <c r="N1671" s="9"/>
      <c r="O1671" s="9"/>
      <c r="P1671" s="9"/>
      <c r="Q1671" s="9"/>
      <c r="R1671" s="9"/>
      <c r="S1671" s="9"/>
      <c r="T1671" s="9"/>
      <c r="U1671" s="1">
        <f t="shared" si="2505"/>
        <v>38</v>
      </c>
      <c r="V1671" s="1">
        <f t="shared" si="2506"/>
        <v>242</v>
      </c>
    </row>
    <row r="1672" spans="1:22" x14ac:dyDescent="0.3">
      <c r="A1672" s="1">
        <f t="shared" si="2507"/>
        <v>38243</v>
      </c>
      <c r="J1672" s="9"/>
      <c r="K1672" s="9"/>
      <c r="L1672" s="9"/>
      <c r="M1672" s="9"/>
      <c r="N1672" s="9"/>
      <c r="O1672" s="9"/>
      <c r="P1672" s="9"/>
      <c r="Q1672" s="9"/>
      <c r="R1672" s="9"/>
      <c r="S1672" s="9"/>
      <c r="T1672" s="9"/>
      <c r="U1672" s="1">
        <f t="shared" si="2505"/>
        <v>38</v>
      </c>
      <c r="V1672" s="1">
        <f t="shared" si="2506"/>
        <v>243</v>
      </c>
    </row>
    <row r="1673" spans="1:22" s="5" customFormat="1" x14ac:dyDescent="0.3"/>
    <row r="1674" spans="1:22" x14ac:dyDescent="0.3">
      <c r="A1674" s="1">
        <f t="shared" ref="A1674:A1716" si="2590">ROUND(CONCATENATE(U1674,V1674),0)</f>
        <v>39201</v>
      </c>
      <c r="B1674" s="96" t="s">
        <v>0</v>
      </c>
      <c r="C1674" s="97"/>
      <c r="D1674" s="110" t="s">
        <v>46</v>
      </c>
      <c r="E1674" s="111"/>
      <c r="F1674" s="111"/>
      <c r="G1674" s="111"/>
      <c r="H1674" s="112"/>
      <c r="J1674" s="9"/>
      <c r="K1674" s="9"/>
      <c r="L1674" s="9"/>
      <c r="M1674" s="9"/>
      <c r="N1674" s="9"/>
      <c r="O1674" s="9"/>
      <c r="P1674" s="9"/>
      <c r="Q1674" s="9"/>
      <c r="R1674" s="9"/>
      <c r="S1674" s="9"/>
      <c r="T1674" s="9"/>
      <c r="U1674" s="1">
        <f t="shared" ref="U1674" si="2591">U1672+1</f>
        <v>39</v>
      </c>
      <c r="V1674" s="1">
        <v>201</v>
      </c>
    </row>
    <row r="1675" spans="1:22" x14ac:dyDescent="0.3">
      <c r="A1675" s="1">
        <f t="shared" si="2590"/>
        <v>39202</v>
      </c>
      <c r="B1675" s="96" t="s">
        <v>1</v>
      </c>
      <c r="C1675" s="97"/>
      <c r="D1675" s="15">
        <v>20</v>
      </c>
      <c r="E1675" s="16" t="s">
        <v>2</v>
      </c>
      <c r="F1675" s="107"/>
      <c r="G1675" s="108"/>
      <c r="H1675" s="109"/>
      <c r="J1675" s="9"/>
      <c r="K1675" s="9"/>
      <c r="L1675" s="9"/>
      <c r="M1675" s="9"/>
      <c r="N1675" s="9"/>
      <c r="O1675" s="9"/>
      <c r="P1675" s="9"/>
      <c r="Q1675" s="9"/>
      <c r="R1675" s="9"/>
      <c r="S1675" s="9"/>
      <c r="T1675" s="9"/>
      <c r="U1675" s="1">
        <f t="shared" ref="U1675" si="2592">U1674</f>
        <v>39</v>
      </c>
      <c r="V1675" s="1">
        <f t="shared" ref="V1675" si="2593">V1674+1</f>
        <v>202</v>
      </c>
    </row>
    <row r="1676" spans="1:22" x14ac:dyDescent="0.3">
      <c r="A1676" s="1">
        <f t="shared" si="2590"/>
        <v>39203</v>
      </c>
      <c r="B1676" s="96" t="s">
        <v>12</v>
      </c>
      <c r="C1676" s="97"/>
      <c r="D1676" s="110" t="s">
        <v>80</v>
      </c>
      <c r="E1676" s="111"/>
      <c r="F1676" s="111"/>
      <c r="G1676" s="111"/>
      <c r="H1676" s="112"/>
      <c r="K1676" s="1" t="s">
        <v>3</v>
      </c>
      <c r="L1676" s="1" t="s">
        <v>4</v>
      </c>
      <c r="M1676" s="1" t="s">
        <v>5</v>
      </c>
      <c r="N1676" s="1" t="s">
        <v>6</v>
      </c>
      <c r="O1676" s="1" t="s">
        <v>7</v>
      </c>
      <c r="P1676" s="1" t="s">
        <v>8</v>
      </c>
      <c r="Q1676" s="1" t="s">
        <v>9</v>
      </c>
      <c r="R1676" s="1" t="s">
        <v>10</v>
      </c>
      <c r="S1676" s="1" t="s">
        <v>11</v>
      </c>
      <c r="T1676" s="9"/>
      <c r="U1676" s="1">
        <f t="shared" si="2505"/>
        <v>39</v>
      </c>
      <c r="V1676" s="1">
        <f t="shared" si="2506"/>
        <v>203</v>
      </c>
    </row>
    <row r="1677" spans="1:22" x14ac:dyDescent="0.3">
      <c r="A1677" s="1">
        <f t="shared" si="2590"/>
        <v>39204</v>
      </c>
      <c r="B1677" s="96" t="s">
        <v>13</v>
      </c>
      <c r="C1677" s="97"/>
      <c r="D1677" s="110" t="s">
        <v>65</v>
      </c>
      <c r="E1677" s="111"/>
      <c r="F1677" s="111"/>
      <c r="G1677" s="111"/>
      <c r="H1677" s="112"/>
      <c r="J1677" s="1">
        <f t="shared" ref="J1677" si="2594">COUNTA(B1690:B1699)</f>
        <v>3</v>
      </c>
      <c r="K1677" s="1">
        <f t="shared" ref="K1677" si="2595">IF(L1677-1&lt;2,0,L1677-1)</f>
        <v>0</v>
      </c>
      <c r="L1677" s="1">
        <f t="shared" ref="L1677" si="2596">IF(M1677-1&lt;2,0,M1677-1)</f>
        <v>0</v>
      </c>
      <c r="M1677" s="1">
        <f t="shared" ref="M1677" si="2597">IF(N1677-1&lt;2,0,N1677-1)</f>
        <v>0</v>
      </c>
      <c r="N1677" s="1">
        <f t="shared" ref="N1677" si="2598">IF(O1677-1&lt;2,0,O1677-1)</f>
        <v>0</v>
      </c>
      <c r="O1677" s="1">
        <f t="shared" ref="O1677" si="2599">IF(P1677-1&lt;2,0,P1677-1)</f>
        <v>0</v>
      </c>
      <c r="P1677" s="1">
        <f t="shared" ref="P1677" si="2600">IF(Q1677-1&lt;2,0,Q1677-1)</f>
        <v>0</v>
      </c>
      <c r="Q1677" s="1">
        <f t="shared" ref="Q1677" si="2601">IF(R1677-1&lt;2,0,R1677-1)</f>
        <v>0</v>
      </c>
      <c r="R1677" s="1">
        <f t="shared" ref="R1677" si="2602">IF(S1677-1&lt;2,0,S1677-1)</f>
        <v>2</v>
      </c>
      <c r="S1677" s="1">
        <f t="shared" ref="S1677" si="2603">J1677</f>
        <v>3</v>
      </c>
      <c r="T1677" s="9"/>
      <c r="U1677" s="1">
        <f t="shared" si="2505"/>
        <v>39</v>
      </c>
      <c r="V1677" s="1">
        <f t="shared" si="2506"/>
        <v>204</v>
      </c>
    </row>
    <row r="1678" spans="1:22" x14ac:dyDescent="0.3">
      <c r="A1678" s="1">
        <f t="shared" si="2590"/>
        <v>39205</v>
      </c>
      <c r="B1678" s="96" t="s">
        <v>14</v>
      </c>
      <c r="C1678" s="97"/>
      <c r="D1678" s="110" t="s">
        <v>66</v>
      </c>
      <c r="E1678" s="111"/>
      <c r="F1678" s="111"/>
      <c r="G1678" s="111"/>
      <c r="H1678" s="112"/>
      <c r="J1678" s="24" t="str">
        <f t="shared" ref="J1678" si="2604">CONCATENATE(J1677,1)</f>
        <v>31</v>
      </c>
      <c r="K1678" s="25">
        <f t="shared" ref="K1678" si="2605">IF(K1677=0,0,VLOOKUP(J1678,J1682:S1712,K1677,FALSE))</f>
        <v>0</v>
      </c>
      <c r="L1678" s="25">
        <f t="shared" ref="L1678" si="2606">IF(L1677=0,0,VLOOKUP(J1678,J1682:S1712,L1677,FALSE))</f>
        <v>0</v>
      </c>
      <c r="M1678" s="25">
        <f t="shared" ref="M1678" si="2607">IF(M1677=0,0,VLOOKUP(J1678,J1682:S1712,M1677,FALSE))</f>
        <v>0</v>
      </c>
      <c r="N1678" s="25">
        <f t="shared" ref="N1678" si="2608">IF(N1677=0,0,VLOOKUP(J1678,J1682:S1712,N1677,FALSE))</f>
        <v>0</v>
      </c>
      <c r="O1678" s="25">
        <f t="shared" ref="O1678" si="2609">IF(O1677=0,0,VLOOKUP(J1678,J1682:S1712,O1677,FALSE))</f>
        <v>0</v>
      </c>
      <c r="P1678" s="25">
        <f t="shared" ref="P1678" si="2610">IF(P1677=0,0,VLOOKUP(J1678,J1682:S1712,P1677,FALSE))</f>
        <v>0</v>
      </c>
      <c r="Q1678" s="25">
        <f t="shared" ref="Q1678" si="2611">IF(Q1677=0,0,VLOOKUP(J1678,J1682:S1712,Q1677,FALSE))</f>
        <v>0</v>
      </c>
      <c r="R1678" s="25">
        <f t="shared" ref="R1678" si="2612">IF(R1677=0,0,VLOOKUP(J1678,J1682:S1712,R1677,FALSE))</f>
        <v>1.285963382737576</v>
      </c>
      <c r="S1678" s="25">
        <f t="shared" ref="S1678" si="2613">IF(S1677=0,0,VLOOKUP(J1678,J1682:S1712,S1677,FALSE))</f>
        <v>-13.108108108108091</v>
      </c>
      <c r="T1678" s="9"/>
      <c r="U1678" s="1">
        <f t="shared" si="2505"/>
        <v>39</v>
      </c>
      <c r="V1678" s="1">
        <f t="shared" si="2506"/>
        <v>205</v>
      </c>
    </row>
    <row r="1679" spans="1:22" x14ac:dyDescent="0.3">
      <c r="A1679" s="1">
        <f t="shared" si="2590"/>
        <v>39206</v>
      </c>
      <c r="B1679" s="96" t="s">
        <v>15</v>
      </c>
      <c r="C1679" s="97"/>
      <c r="D1679" s="110" t="s">
        <v>166</v>
      </c>
      <c r="E1679" s="111"/>
      <c r="F1679" s="111"/>
      <c r="G1679" s="111"/>
      <c r="H1679" s="112"/>
      <c r="J1679" s="24" t="str">
        <f t="shared" ref="J1679" si="2614">CONCATENATE(J1677,2)</f>
        <v>32</v>
      </c>
      <c r="K1679" s="6">
        <f t="shared" ref="K1679" si="2615">IF(K1677=0,0,VLOOKUP(J1679,J1682:S1712,K1677,FALSE))</f>
        <v>0</v>
      </c>
      <c r="L1679" s="6">
        <f t="shared" ref="L1679" si="2616">IF(L1677=0,0,VLOOKUP(J1679,J1682:S1712,L1677,FALSE))</f>
        <v>0</v>
      </c>
      <c r="M1679" s="6">
        <f t="shared" ref="M1679" si="2617">IF(M1677=0,0,VLOOKUP(J1679,J1682:S1712,M1677,FALSE))</f>
        <v>0</v>
      </c>
      <c r="N1679" s="6">
        <f t="shared" ref="N1679" si="2618">IF(N1677=0,0,VLOOKUP(J1679,J1682:S1712,N1677,FALSE))</f>
        <v>0</v>
      </c>
      <c r="O1679" s="6">
        <f t="shared" ref="O1679" si="2619">IF(O1677=0,0,VLOOKUP(J1679,J1682:S1712,O1677,FALSE))</f>
        <v>0</v>
      </c>
      <c r="P1679" s="6">
        <f t="shared" ref="P1679" si="2620">IF(P1677=0,0,VLOOKUP(J1679,J1682:S1712,P1677,FALSE))</f>
        <v>0</v>
      </c>
      <c r="Q1679" s="6">
        <f t="shared" ref="Q1679" si="2621">IF(Q1677=0,0,VLOOKUP(J1679,J1682:S1712,Q1677,FALSE))</f>
        <v>0</v>
      </c>
      <c r="R1679" s="6">
        <f t="shared" ref="R1679" si="2622">IF(R1677=0,0,VLOOKUP(J1679,J1682:S1712,R1677,FALSE))</f>
        <v>5.2852465793296229E-2</v>
      </c>
      <c r="S1679" s="6">
        <f t="shared" ref="S1679" si="2623">IF(S1677=0,0,VLOOKUP(J1679,J1682:S1712,S1677,FALSE))</f>
        <v>2.8581083657439099</v>
      </c>
      <c r="T1679" s="9"/>
      <c r="U1679" s="1">
        <f t="shared" si="2505"/>
        <v>39</v>
      </c>
      <c r="V1679" s="1">
        <f t="shared" si="2506"/>
        <v>206</v>
      </c>
    </row>
    <row r="1680" spans="1:22" x14ac:dyDescent="0.3">
      <c r="A1680" s="1">
        <f t="shared" si="2590"/>
        <v>39207</v>
      </c>
      <c r="B1680" s="96" t="s">
        <v>16</v>
      </c>
      <c r="C1680" s="97"/>
      <c r="D1680" s="113">
        <v>45008</v>
      </c>
      <c r="E1680" s="114"/>
      <c r="F1680" s="114"/>
      <c r="G1680" s="114"/>
      <c r="H1680" s="115"/>
      <c r="J1680" s="24" t="str">
        <f t="shared" ref="J1680" si="2624">CONCATENATE(J1677,3)</f>
        <v>33</v>
      </c>
      <c r="K1680" s="6"/>
      <c r="L1680" s="6"/>
      <c r="M1680" s="6"/>
      <c r="N1680" s="6" t="s">
        <v>43</v>
      </c>
      <c r="O1680" s="25">
        <f t="shared" ref="O1680" si="2625">J1677-2</f>
        <v>1</v>
      </c>
      <c r="P1680" s="6" t="s">
        <v>44</v>
      </c>
      <c r="Q1680" s="25">
        <f t="shared" ref="Q1680" si="2626">VLOOKUP(J1680,J1682:S1712,3,FALSE)</f>
        <v>1.4615084586538174</v>
      </c>
      <c r="R1680" s="6" t="s">
        <v>45</v>
      </c>
      <c r="S1680" s="6">
        <f t="shared" ref="S1680" si="2627">VLOOKUP(J1680,J1682:S1712,2,FALSE)</f>
        <v>0.99831367870417109</v>
      </c>
      <c r="T1680" s="9"/>
      <c r="U1680" s="1">
        <f t="shared" si="2505"/>
        <v>39</v>
      </c>
      <c r="V1680" s="1">
        <f t="shared" si="2506"/>
        <v>207</v>
      </c>
    </row>
    <row r="1681" spans="1:22" x14ac:dyDescent="0.3">
      <c r="A1681" s="1">
        <f t="shared" si="2590"/>
        <v>39208</v>
      </c>
      <c r="B1681" s="96" t="s">
        <v>17</v>
      </c>
      <c r="C1681" s="97"/>
      <c r="D1681" s="116">
        <v>45381</v>
      </c>
      <c r="E1681" s="117"/>
      <c r="F1681" s="117"/>
      <c r="G1681" s="117"/>
      <c r="H1681" s="118"/>
      <c r="K1681" s="1">
        <v>3</v>
      </c>
      <c r="L1681" s="1">
        <v>3</v>
      </c>
      <c r="Q1681" s="26"/>
      <c r="R1681" s="26"/>
      <c r="S1681" s="26"/>
      <c r="T1681" s="9"/>
      <c r="U1681" s="1">
        <f t="shared" si="2505"/>
        <v>39</v>
      </c>
      <c r="V1681" s="1">
        <f t="shared" si="2506"/>
        <v>208</v>
      </c>
    </row>
    <row r="1682" spans="1:22" x14ac:dyDescent="0.3">
      <c r="A1682" s="1">
        <f t="shared" si="2590"/>
        <v>39209</v>
      </c>
      <c r="B1682" s="77" t="s">
        <v>19</v>
      </c>
      <c r="C1682" s="78"/>
      <c r="D1682" s="17">
        <v>1</v>
      </c>
      <c r="E1682" s="79" t="s">
        <v>40</v>
      </c>
      <c r="F1682" s="80"/>
      <c r="G1682" s="81"/>
      <c r="H1682" s="18" t="s">
        <v>72</v>
      </c>
      <c r="J1682" s="24" t="str">
        <f t="shared" ref="J1682" si="2628">CONCATENATE(K1681,1)</f>
        <v>31</v>
      </c>
      <c r="K1682" s="6">
        <f t="array" ref="K1682:L1684">LINEST(B1690:B1692,C1690:C1692^{1},TRUE,TRUE)</f>
        <v>1.285963382737576</v>
      </c>
      <c r="L1682" s="6">
        <v>-13.108108108108091</v>
      </c>
      <c r="Q1682" s="9"/>
      <c r="R1682" s="9"/>
      <c r="S1682" s="9"/>
      <c r="T1682" s="9"/>
      <c r="U1682" s="1">
        <f t="shared" si="2505"/>
        <v>39</v>
      </c>
      <c r="V1682" s="1">
        <f t="shared" si="2506"/>
        <v>209</v>
      </c>
    </row>
    <row r="1683" spans="1:22" x14ac:dyDescent="0.3">
      <c r="A1683" s="1">
        <f t="shared" si="2590"/>
        <v>39210</v>
      </c>
      <c r="B1683" s="77" t="s">
        <v>41</v>
      </c>
      <c r="C1683" s="78"/>
      <c r="D1683" s="23">
        <f>MIN(B1690:B1699)</f>
        <v>30</v>
      </c>
      <c r="E1683" s="20" t="s">
        <v>18</v>
      </c>
      <c r="F1683" s="19">
        <f>MAX(B1690:B1699)</f>
        <v>80</v>
      </c>
      <c r="G1683" s="21" t="str">
        <f>IF(H1682="","",H1682)</f>
        <v>%ur</v>
      </c>
      <c r="H1683" s="22"/>
      <c r="J1683" s="24" t="str">
        <f t="shared" ref="J1683" si="2629">CONCATENATE(K1681,2)</f>
        <v>32</v>
      </c>
      <c r="K1683" s="6">
        <v>5.2852465793296229E-2</v>
      </c>
      <c r="L1683" s="6">
        <v>2.8581083657439099</v>
      </c>
      <c r="Q1683" s="9"/>
      <c r="R1683" s="9"/>
      <c r="S1683" s="9"/>
      <c r="T1683" s="9"/>
      <c r="U1683" s="1">
        <f t="shared" si="2505"/>
        <v>39</v>
      </c>
      <c r="V1683" s="1">
        <f t="shared" si="2506"/>
        <v>210</v>
      </c>
    </row>
    <row r="1684" spans="1:22" x14ac:dyDescent="0.3">
      <c r="A1684" s="1">
        <f t="shared" si="2590"/>
        <v>39211</v>
      </c>
      <c r="J1684" s="24" t="str">
        <f t="shared" ref="J1684" si="2630">CONCATENATE(K1681,3)</f>
        <v>33</v>
      </c>
      <c r="K1684" s="6">
        <v>0.99831367870417109</v>
      </c>
      <c r="L1684" s="6">
        <v>1.4615084586538174</v>
      </c>
      <c r="Q1684" s="9"/>
      <c r="R1684" s="9"/>
      <c r="S1684" s="9"/>
      <c r="T1684" s="9"/>
      <c r="U1684" s="1">
        <f t="shared" si="2505"/>
        <v>39</v>
      </c>
      <c r="V1684" s="1">
        <f t="shared" si="2506"/>
        <v>211</v>
      </c>
    </row>
    <row r="1685" spans="1:22" x14ac:dyDescent="0.3">
      <c r="A1685" s="1">
        <f t="shared" si="2590"/>
        <v>39212</v>
      </c>
      <c r="B1685" s="82" t="s">
        <v>20</v>
      </c>
      <c r="C1685" s="83"/>
      <c r="D1685" s="83"/>
      <c r="E1685" s="83"/>
      <c r="F1685" s="84"/>
      <c r="G1685" s="85" t="s">
        <v>31</v>
      </c>
      <c r="H1685" s="86"/>
      <c r="K1685" s="1">
        <v>4</v>
      </c>
      <c r="L1685" s="1">
        <v>4</v>
      </c>
      <c r="M1685" s="1">
        <v>4</v>
      </c>
      <c r="Q1685" s="9"/>
      <c r="R1685" s="9"/>
      <c r="S1685" s="9"/>
      <c r="T1685" s="9"/>
      <c r="U1685" s="1">
        <f t="shared" si="2505"/>
        <v>39</v>
      </c>
      <c r="V1685" s="1">
        <f t="shared" si="2506"/>
        <v>212</v>
      </c>
    </row>
    <row r="1686" spans="1:22" x14ac:dyDescent="0.3">
      <c r="A1686" s="1">
        <f t="shared" si="2590"/>
        <v>39213</v>
      </c>
      <c r="B1686" s="82" t="s">
        <v>30</v>
      </c>
      <c r="C1686" s="83"/>
      <c r="D1686" s="84"/>
      <c r="E1686" s="82" t="str">
        <f>D1679</f>
        <v>R0118/23</v>
      </c>
      <c r="F1686" s="84"/>
      <c r="G1686" s="6" t="s">
        <v>32</v>
      </c>
      <c r="H1686" s="36" t="s">
        <v>122</v>
      </c>
      <c r="J1686" s="24" t="str">
        <f t="shared" ref="J1686" si="2631">CONCATENATE(K1685,1)</f>
        <v>41</v>
      </c>
      <c r="K1686" s="6" t="e">
        <f t="array" ref="K1686:M1688">LINEST(B1690:B1693,C1690:C1693^{1,2},TRUE,TRUE)</f>
        <v>#VALUE!</v>
      </c>
      <c r="L1686" s="6" t="e">
        <v>#VALUE!</v>
      </c>
      <c r="M1686" s="6" t="e">
        <v>#VALUE!</v>
      </c>
      <c r="Q1686" s="9"/>
      <c r="R1686" s="9"/>
      <c r="S1686" s="9"/>
      <c r="T1686" s="9"/>
      <c r="U1686" s="1">
        <f t="shared" si="2505"/>
        <v>39</v>
      </c>
      <c r="V1686" s="1">
        <f t="shared" si="2506"/>
        <v>213</v>
      </c>
    </row>
    <row r="1687" spans="1:22" x14ac:dyDescent="0.3">
      <c r="A1687" s="1">
        <f t="shared" si="2590"/>
        <v>39214</v>
      </c>
      <c r="B1687" s="2" t="s">
        <v>21</v>
      </c>
      <c r="C1687" s="2" t="s">
        <v>22</v>
      </c>
      <c r="D1687" s="2" t="s">
        <v>23</v>
      </c>
      <c r="E1687" s="2"/>
      <c r="F1687" s="2" t="s">
        <v>28</v>
      </c>
      <c r="G1687" s="2" t="s">
        <v>21</v>
      </c>
      <c r="H1687" s="2" t="s">
        <v>22</v>
      </c>
      <c r="J1687" s="24" t="str">
        <f t="shared" ref="J1687" si="2632">CONCATENATE(K1685,2)</f>
        <v>42</v>
      </c>
      <c r="K1687" s="6" t="e">
        <v>#VALUE!</v>
      </c>
      <c r="L1687" s="6" t="e">
        <v>#VALUE!</v>
      </c>
      <c r="M1687" s="6" t="e">
        <v>#VALUE!</v>
      </c>
      <c r="Q1687" s="9"/>
      <c r="R1687" s="9"/>
      <c r="S1687" s="9"/>
      <c r="T1687" s="9"/>
      <c r="U1687" s="1">
        <f t="shared" si="2505"/>
        <v>39</v>
      </c>
      <c r="V1687" s="1">
        <f t="shared" si="2506"/>
        <v>214</v>
      </c>
    </row>
    <row r="1688" spans="1:22" x14ac:dyDescent="0.3">
      <c r="A1688" s="1">
        <f t="shared" si="2590"/>
        <v>39215</v>
      </c>
      <c r="B1688" s="2" t="s">
        <v>24</v>
      </c>
      <c r="C1688" s="2" t="s">
        <v>25</v>
      </c>
      <c r="D1688" s="2" t="s">
        <v>26</v>
      </c>
      <c r="E1688" s="2" t="s">
        <v>27</v>
      </c>
      <c r="F1688" s="2" t="s">
        <v>29</v>
      </c>
      <c r="G1688" s="2" t="s">
        <v>24</v>
      </c>
      <c r="H1688" s="2" t="s">
        <v>25</v>
      </c>
      <c r="J1688" s="24" t="str">
        <f t="shared" ref="J1688" si="2633">CONCATENATE(K1685,3)</f>
        <v>43</v>
      </c>
      <c r="K1688" s="6" t="e">
        <v>#VALUE!</v>
      </c>
      <c r="L1688" s="6" t="e">
        <v>#VALUE!</v>
      </c>
      <c r="M1688" s="6" t="e">
        <v>#VALUE!</v>
      </c>
      <c r="Q1688" s="9"/>
      <c r="R1688" s="9"/>
      <c r="S1688" s="9"/>
      <c r="T1688" s="9"/>
      <c r="U1688" s="1">
        <f t="shared" si="2505"/>
        <v>39</v>
      </c>
      <c r="V1688" s="1">
        <f t="shared" si="2506"/>
        <v>215</v>
      </c>
    </row>
    <row r="1689" spans="1:22" x14ac:dyDescent="0.3">
      <c r="A1689" s="1">
        <f t="shared" si="2590"/>
        <v>39216</v>
      </c>
      <c r="B1689" s="3" t="str">
        <f>H1682</f>
        <v>%ur</v>
      </c>
      <c r="C1689" s="3" t="str">
        <f>B1689</f>
        <v>%ur</v>
      </c>
      <c r="D1689" s="3" t="str">
        <f>C1689</f>
        <v>%ur</v>
      </c>
      <c r="E1689" s="3"/>
      <c r="F1689" s="3"/>
      <c r="G1689" s="3" t="str">
        <f>D1689</f>
        <v>%ur</v>
      </c>
      <c r="H1689" s="3" t="str">
        <f>G1689</f>
        <v>%ur</v>
      </c>
      <c r="K1689" s="1">
        <v>5</v>
      </c>
      <c r="L1689" s="1">
        <v>5</v>
      </c>
      <c r="M1689" s="1">
        <v>5</v>
      </c>
      <c r="N1689" s="1">
        <v>5</v>
      </c>
      <c r="Q1689" s="9"/>
      <c r="R1689" s="9"/>
      <c r="S1689" s="9"/>
      <c r="T1689" s="9"/>
      <c r="U1689" s="1">
        <f t="shared" si="2505"/>
        <v>39</v>
      </c>
      <c r="V1689" s="1">
        <f t="shared" si="2506"/>
        <v>216</v>
      </c>
    </row>
    <row r="1690" spans="1:22" x14ac:dyDescent="0.3">
      <c r="A1690" s="1">
        <f t="shared" si="2590"/>
        <v>39217</v>
      </c>
      <c r="B1690" s="4">
        <v>30</v>
      </c>
      <c r="C1690" s="4">
        <v>33</v>
      </c>
      <c r="D1690" s="4">
        <v>2</v>
      </c>
      <c r="E1690" s="4">
        <v>2</v>
      </c>
      <c r="F1690" s="14">
        <v>1000000</v>
      </c>
      <c r="G1690" s="8">
        <v>30</v>
      </c>
      <c r="H1690" s="7">
        <v>32</v>
      </c>
      <c r="J1690" s="24" t="str">
        <f t="shared" ref="J1690" si="2634">CONCATENATE(K1689,1)</f>
        <v>51</v>
      </c>
      <c r="K1690" s="6" t="e">
        <f t="array" ref="K1690:N1692">LINEST(B1690:B1694,C1690:C1694^{1,2,3},TRUE,TRUE)</f>
        <v>#VALUE!</v>
      </c>
      <c r="L1690" s="6" t="e">
        <v>#VALUE!</v>
      </c>
      <c r="M1690" s="6" t="e">
        <v>#VALUE!</v>
      </c>
      <c r="N1690" s="6" t="e">
        <v>#VALUE!</v>
      </c>
      <c r="Q1690" s="9"/>
      <c r="R1690" s="9"/>
      <c r="S1690" s="9"/>
      <c r="T1690" s="9"/>
      <c r="U1690" s="1">
        <f t="shared" si="2505"/>
        <v>39</v>
      </c>
      <c r="V1690" s="1">
        <f t="shared" si="2506"/>
        <v>217</v>
      </c>
    </row>
    <row r="1691" spans="1:22" x14ac:dyDescent="0.3">
      <c r="A1691" s="1">
        <f t="shared" si="2590"/>
        <v>39218</v>
      </c>
      <c r="B1691" s="4">
        <v>50</v>
      </c>
      <c r="C1691" s="4">
        <v>50</v>
      </c>
      <c r="D1691" s="4">
        <v>2</v>
      </c>
      <c r="E1691" s="4">
        <v>2</v>
      </c>
      <c r="F1691" s="14">
        <v>1000000</v>
      </c>
      <c r="G1691" s="8">
        <v>50</v>
      </c>
      <c r="H1691" s="7">
        <v>48</v>
      </c>
      <c r="J1691" s="24" t="str">
        <f t="shared" ref="J1691" si="2635">CONCATENATE(K1689,2)</f>
        <v>52</v>
      </c>
      <c r="K1691" s="6" t="e">
        <v>#VALUE!</v>
      </c>
      <c r="L1691" s="6" t="e">
        <v>#VALUE!</v>
      </c>
      <c r="M1691" s="6" t="e">
        <v>#VALUE!</v>
      </c>
      <c r="N1691" s="6" t="e">
        <v>#VALUE!</v>
      </c>
      <c r="T1691" s="9"/>
      <c r="U1691" s="1">
        <f t="shared" ref="U1691:U1754" si="2636">U1690</f>
        <v>39</v>
      </c>
      <c r="V1691" s="1">
        <f t="shared" ref="V1691:V1754" si="2637">V1690+1</f>
        <v>218</v>
      </c>
    </row>
    <row r="1692" spans="1:22" x14ac:dyDescent="0.3">
      <c r="A1692" s="1">
        <f t="shared" si="2590"/>
        <v>39219</v>
      </c>
      <c r="B1692" s="4">
        <v>80</v>
      </c>
      <c r="C1692" s="4">
        <v>72</v>
      </c>
      <c r="D1692" s="4">
        <v>2</v>
      </c>
      <c r="E1692" s="4">
        <v>2</v>
      </c>
      <c r="F1692" s="14">
        <v>1000000</v>
      </c>
      <c r="G1692" s="8">
        <v>80</v>
      </c>
      <c r="H1692" s="7">
        <v>73</v>
      </c>
      <c r="J1692" s="24" t="str">
        <f t="shared" ref="J1692" si="2638">CONCATENATE(K1689,3)</f>
        <v>53</v>
      </c>
      <c r="K1692" s="6" t="e">
        <v>#VALUE!</v>
      </c>
      <c r="L1692" s="6" t="e">
        <v>#VALUE!</v>
      </c>
      <c r="M1692" s="6" t="e">
        <v>#VALUE!</v>
      </c>
      <c r="N1692" s="6" t="e">
        <v>#VALUE!</v>
      </c>
      <c r="T1692" s="9"/>
      <c r="U1692" s="1">
        <f t="shared" si="2636"/>
        <v>39</v>
      </c>
      <c r="V1692" s="1">
        <f t="shared" si="2637"/>
        <v>219</v>
      </c>
    </row>
    <row r="1693" spans="1:22" x14ac:dyDescent="0.3">
      <c r="A1693" s="1">
        <f t="shared" si="2590"/>
        <v>39220</v>
      </c>
      <c r="B1693" s="4"/>
      <c r="C1693" s="4"/>
      <c r="D1693" s="4"/>
      <c r="E1693" s="4"/>
      <c r="F1693" s="14"/>
      <c r="G1693" s="8"/>
      <c r="H1693" s="7"/>
      <c r="K1693" s="1">
        <v>6</v>
      </c>
      <c r="L1693" s="1">
        <v>6</v>
      </c>
      <c r="M1693" s="1">
        <v>6</v>
      </c>
      <c r="N1693" s="1">
        <v>6</v>
      </c>
      <c r="O1693" s="1">
        <v>6</v>
      </c>
      <c r="T1693" s="9"/>
      <c r="U1693" s="1">
        <f t="shared" si="2636"/>
        <v>39</v>
      </c>
      <c r="V1693" s="1">
        <f t="shared" si="2637"/>
        <v>220</v>
      </c>
    </row>
    <row r="1694" spans="1:22" x14ac:dyDescent="0.3">
      <c r="A1694" s="1">
        <f t="shared" si="2590"/>
        <v>39221</v>
      </c>
      <c r="B1694" s="4"/>
      <c r="C1694" s="4"/>
      <c r="D1694" s="4"/>
      <c r="E1694" s="4"/>
      <c r="F1694" s="14"/>
      <c r="G1694" s="8"/>
      <c r="H1694" s="7"/>
      <c r="J1694" s="24" t="str">
        <f t="shared" ref="J1694" si="2639">CONCATENATE(K1693,1)</f>
        <v>61</v>
      </c>
      <c r="K1694" s="6" t="e">
        <f t="array" ref="K1694:O1696">LINEST(B1690:B1695,C1690:C1695^{1,2,3,4},TRUE,TRUE)</f>
        <v>#VALUE!</v>
      </c>
      <c r="L1694" s="6" t="e">
        <v>#VALUE!</v>
      </c>
      <c r="M1694" s="6" t="e">
        <v>#VALUE!</v>
      </c>
      <c r="N1694" s="6" t="e">
        <v>#VALUE!</v>
      </c>
      <c r="O1694" s="6" t="e">
        <v>#VALUE!</v>
      </c>
      <c r="T1694" s="9"/>
      <c r="U1694" s="1">
        <f t="shared" si="2636"/>
        <v>39</v>
      </c>
      <c r="V1694" s="1">
        <f t="shared" si="2637"/>
        <v>221</v>
      </c>
    </row>
    <row r="1695" spans="1:22" x14ac:dyDescent="0.3">
      <c r="A1695" s="1">
        <f t="shared" si="2590"/>
        <v>39222</v>
      </c>
      <c r="B1695" s="4"/>
      <c r="C1695" s="4"/>
      <c r="D1695" s="4"/>
      <c r="E1695" s="4"/>
      <c r="F1695" s="14"/>
      <c r="G1695" s="8"/>
      <c r="H1695" s="7"/>
      <c r="J1695" s="24" t="str">
        <f t="shared" ref="J1695" si="2640">CONCATENATE(K1693,2)</f>
        <v>62</v>
      </c>
      <c r="K1695" s="6" t="e">
        <v>#VALUE!</v>
      </c>
      <c r="L1695" s="6" t="e">
        <v>#VALUE!</v>
      </c>
      <c r="M1695" s="6" t="e">
        <v>#VALUE!</v>
      </c>
      <c r="N1695" s="6" t="e">
        <v>#VALUE!</v>
      </c>
      <c r="O1695" s="6" t="e">
        <v>#VALUE!</v>
      </c>
      <c r="T1695" s="9"/>
      <c r="U1695" s="1">
        <f t="shared" si="2636"/>
        <v>39</v>
      </c>
      <c r="V1695" s="1">
        <f t="shared" si="2637"/>
        <v>222</v>
      </c>
    </row>
    <row r="1696" spans="1:22" x14ac:dyDescent="0.3">
      <c r="A1696" s="1">
        <f t="shared" si="2590"/>
        <v>39223</v>
      </c>
      <c r="B1696" s="4"/>
      <c r="C1696" s="4"/>
      <c r="D1696" s="4"/>
      <c r="E1696" s="4"/>
      <c r="F1696" s="14"/>
      <c r="G1696" s="8"/>
      <c r="H1696" s="7"/>
      <c r="J1696" s="24" t="str">
        <f t="shared" ref="J1696" si="2641">CONCATENATE(K1693,3)</f>
        <v>63</v>
      </c>
      <c r="K1696" s="6" t="e">
        <v>#VALUE!</v>
      </c>
      <c r="L1696" s="6" t="e">
        <v>#VALUE!</v>
      </c>
      <c r="M1696" s="6" t="e">
        <v>#VALUE!</v>
      </c>
      <c r="N1696" s="6" t="e">
        <v>#VALUE!</v>
      </c>
      <c r="O1696" s="6" t="e">
        <v>#VALUE!</v>
      </c>
      <c r="T1696" s="9"/>
      <c r="U1696" s="1">
        <f t="shared" si="2636"/>
        <v>39</v>
      </c>
      <c r="V1696" s="1">
        <f t="shared" si="2637"/>
        <v>223</v>
      </c>
    </row>
    <row r="1697" spans="1:22" x14ac:dyDescent="0.3">
      <c r="A1697" s="1">
        <f t="shared" si="2590"/>
        <v>39224</v>
      </c>
      <c r="B1697" s="4"/>
      <c r="C1697" s="4"/>
      <c r="D1697" s="4"/>
      <c r="E1697" s="4"/>
      <c r="F1697" s="14"/>
      <c r="G1697" s="8"/>
      <c r="H1697" s="7"/>
      <c r="K1697" s="1">
        <v>7</v>
      </c>
      <c r="L1697" s="1">
        <v>7</v>
      </c>
      <c r="M1697" s="1">
        <v>7</v>
      </c>
      <c r="N1697" s="1">
        <v>7</v>
      </c>
      <c r="O1697" s="1">
        <v>7</v>
      </c>
      <c r="P1697" s="1">
        <v>7</v>
      </c>
      <c r="T1697" s="9"/>
      <c r="U1697" s="1">
        <f t="shared" si="2636"/>
        <v>39</v>
      </c>
      <c r="V1697" s="1">
        <f t="shared" si="2637"/>
        <v>224</v>
      </c>
    </row>
    <row r="1698" spans="1:22" x14ac:dyDescent="0.3">
      <c r="A1698" s="1">
        <f t="shared" si="2590"/>
        <v>39225</v>
      </c>
      <c r="B1698" s="4"/>
      <c r="C1698" s="4"/>
      <c r="D1698" s="4"/>
      <c r="E1698" s="4"/>
      <c r="F1698" s="14"/>
      <c r="G1698" s="8"/>
      <c r="H1698" s="7"/>
      <c r="J1698" s="24" t="str">
        <f t="shared" ref="J1698" si="2642">CONCATENATE(K1697,1)</f>
        <v>71</v>
      </c>
      <c r="K1698" s="6" t="e">
        <f t="array" ref="K1698:P1700">LINEST(B1690:B1696,C1690:C1696^{1,2,3,4,5},TRUE,TRUE)</f>
        <v>#VALUE!</v>
      </c>
      <c r="L1698" s="6" t="e">
        <v>#VALUE!</v>
      </c>
      <c r="M1698" s="6" t="e">
        <v>#VALUE!</v>
      </c>
      <c r="N1698" s="6" t="e">
        <v>#VALUE!</v>
      </c>
      <c r="O1698" s="6" t="e">
        <v>#VALUE!</v>
      </c>
      <c r="P1698" s="6" t="e">
        <v>#VALUE!</v>
      </c>
      <c r="T1698" s="9"/>
      <c r="U1698" s="1">
        <f t="shared" si="2636"/>
        <v>39</v>
      </c>
      <c r="V1698" s="1">
        <f t="shared" si="2637"/>
        <v>225</v>
      </c>
    </row>
    <row r="1699" spans="1:22" x14ac:dyDescent="0.3">
      <c r="A1699" s="1">
        <f t="shared" si="2590"/>
        <v>39226</v>
      </c>
      <c r="B1699" s="4"/>
      <c r="C1699" s="4"/>
      <c r="D1699" s="4"/>
      <c r="E1699" s="4"/>
      <c r="F1699" s="14"/>
      <c r="G1699" s="8"/>
      <c r="H1699" s="7"/>
      <c r="J1699" s="24" t="str">
        <f t="shared" ref="J1699" si="2643">CONCATENATE(K1697,2)</f>
        <v>72</v>
      </c>
      <c r="K1699" s="6" t="e">
        <v>#VALUE!</v>
      </c>
      <c r="L1699" s="6" t="e">
        <v>#VALUE!</v>
      </c>
      <c r="M1699" s="6" t="e">
        <v>#VALUE!</v>
      </c>
      <c r="N1699" s="6" t="e">
        <v>#VALUE!</v>
      </c>
      <c r="O1699" s="6" t="e">
        <v>#VALUE!</v>
      </c>
      <c r="P1699" s="6" t="e">
        <v>#VALUE!</v>
      </c>
      <c r="T1699" s="9"/>
      <c r="U1699" s="1">
        <f t="shared" si="2636"/>
        <v>39</v>
      </c>
      <c r="V1699" s="1">
        <f t="shared" si="2637"/>
        <v>226</v>
      </c>
    </row>
    <row r="1700" spans="1:22" x14ac:dyDescent="0.3">
      <c r="A1700" s="1">
        <f t="shared" si="2590"/>
        <v>39227</v>
      </c>
      <c r="B1700" s="9"/>
      <c r="C1700" s="9"/>
      <c r="D1700" s="9"/>
      <c r="E1700" s="9"/>
      <c r="F1700" s="9"/>
      <c r="G1700" s="9"/>
      <c r="H1700" s="9"/>
      <c r="J1700" s="24" t="str">
        <f t="shared" ref="J1700" si="2644">CONCATENATE(K1697,3)</f>
        <v>73</v>
      </c>
      <c r="K1700" s="6" t="e">
        <v>#VALUE!</v>
      </c>
      <c r="L1700" s="6" t="e">
        <v>#VALUE!</v>
      </c>
      <c r="M1700" s="6" t="e">
        <v>#VALUE!</v>
      </c>
      <c r="N1700" s="6" t="e">
        <v>#VALUE!</v>
      </c>
      <c r="O1700" s="6" t="e">
        <v>#VALUE!</v>
      </c>
      <c r="P1700" s="6" t="e">
        <v>#VALUE!</v>
      </c>
      <c r="T1700" s="9"/>
      <c r="U1700" s="1">
        <f t="shared" si="2636"/>
        <v>39</v>
      </c>
      <c r="V1700" s="1">
        <f t="shared" si="2637"/>
        <v>227</v>
      </c>
    </row>
    <row r="1701" spans="1:22" x14ac:dyDescent="0.3">
      <c r="A1701" s="1">
        <f t="shared" si="2590"/>
        <v>39228</v>
      </c>
      <c r="B1701" s="87" t="s">
        <v>33</v>
      </c>
      <c r="C1701" s="88"/>
      <c r="D1701" s="88"/>
      <c r="E1701" s="88"/>
      <c r="F1701" s="88"/>
      <c r="G1701" s="88"/>
      <c r="H1701" s="89"/>
      <c r="K1701" s="1">
        <v>8</v>
      </c>
      <c r="L1701" s="1">
        <v>8</v>
      </c>
      <c r="M1701" s="1">
        <v>8</v>
      </c>
      <c r="N1701" s="1">
        <v>8</v>
      </c>
      <c r="O1701" s="1">
        <v>8</v>
      </c>
      <c r="P1701" s="1">
        <v>8</v>
      </c>
      <c r="Q1701" s="1">
        <v>8</v>
      </c>
      <c r="T1701" s="9"/>
      <c r="U1701" s="1">
        <f t="shared" si="2636"/>
        <v>39</v>
      </c>
      <c r="V1701" s="1">
        <f t="shared" si="2637"/>
        <v>228</v>
      </c>
    </row>
    <row r="1702" spans="1:22" x14ac:dyDescent="0.3">
      <c r="A1702" s="1">
        <f t="shared" si="2590"/>
        <v>39229</v>
      </c>
      <c r="B1702" s="90"/>
      <c r="C1702" s="91"/>
      <c r="D1702" s="91"/>
      <c r="E1702" s="91"/>
      <c r="F1702" s="91"/>
      <c r="G1702" s="91"/>
      <c r="H1702" s="92"/>
      <c r="J1702" s="24" t="str">
        <f t="shared" ref="J1702" si="2645">CONCATENATE(K1701,1)</f>
        <v>81</v>
      </c>
      <c r="K1702" s="6" t="e">
        <f t="array" ref="K1702:Q1704">LINEST(B1690:B1697,C1690:C1697^{1,2,3,4,5,6},TRUE,TRUE)</f>
        <v>#VALUE!</v>
      </c>
      <c r="L1702" s="6" t="e">
        <v>#VALUE!</v>
      </c>
      <c r="M1702" s="6" t="e">
        <v>#VALUE!</v>
      </c>
      <c r="N1702" s="6" t="e">
        <v>#VALUE!</v>
      </c>
      <c r="O1702" s="6" t="e">
        <v>#VALUE!</v>
      </c>
      <c r="P1702" s="6" t="e">
        <v>#VALUE!</v>
      </c>
      <c r="Q1702" s="6" t="e">
        <v>#VALUE!</v>
      </c>
      <c r="T1702" s="9"/>
      <c r="U1702" s="1">
        <f t="shared" si="2636"/>
        <v>39</v>
      </c>
      <c r="V1702" s="1">
        <f t="shared" si="2637"/>
        <v>229</v>
      </c>
    </row>
    <row r="1703" spans="1:22" x14ac:dyDescent="0.3">
      <c r="A1703" s="1">
        <f t="shared" si="2590"/>
        <v>39230</v>
      </c>
      <c r="B1703" s="93"/>
      <c r="C1703" s="94"/>
      <c r="D1703" s="94"/>
      <c r="E1703" s="94"/>
      <c r="F1703" s="94"/>
      <c r="G1703" s="94"/>
      <c r="H1703" s="95"/>
      <c r="J1703" s="24" t="str">
        <f t="shared" ref="J1703" si="2646">CONCATENATE(K1701,2)</f>
        <v>82</v>
      </c>
      <c r="K1703" s="6" t="e">
        <v>#VALUE!</v>
      </c>
      <c r="L1703" s="6" t="e">
        <v>#VALUE!</v>
      </c>
      <c r="M1703" s="6" t="e">
        <v>#VALUE!</v>
      </c>
      <c r="N1703" s="6" t="e">
        <v>#VALUE!</v>
      </c>
      <c r="O1703" s="6" t="e">
        <v>#VALUE!</v>
      </c>
      <c r="P1703" s="6" t="e">
        <v>#VALUE!</v>
      </c>
      <c r="Q1703" s="6" t="e">
        <v>#VALUE!</v>
      </c>
      <c r="T1703" s="9"/>
      <c r="U1703" s="1">
        <f t="shared" si="2636"/>
        <v>39</v>
      </c>
      <c r="V1703" s="1">
        <f t="shared" si="2637"/>
        <v>230</v>
      </c>
    </row>
    <row r="1704" spans="1:22" x14ac:dyDescent="0.3">
      <c r="A1704" s="1">
        <f t="shared" si="2590"/>
        <v>39231</v>
      </c>
      <c r="J1704" s="24" t="str">
        <f t="shared" ref="J1704" si="2647">CONCATENATE(K1701,3)</f>
        <v>83</v>
      </c>
      <c r="K1704" s="6" t="e">
        <v>#VALUE!</v>
      </c>
      <c r="L1704" s="6" t="e">
        <v>#VALUE!</v>
      </c>
      <c r="M1704" s="6" t="e">
        <v>#VALUE!</v>
      </c>
      <c r="N1704" s="6" t="e">
        <v>#VALUE!</v>
      </c>
      <c r="O1704" s="6" t="e">
        <v>#VALUE!</v>
      </c>
      <c r="P1704" s="6" t="e">
        <v>#VALUE!</v>
      </c>
      <c r="Q1704" s="6" t="e">
        <v>#VALUE!</v>
      </c>
      <c r="T1704" s="9"/>
      <c r="U1704" s="1">
        <f t="shared" si="2636"/>
        <v>39</v>
      </c>
      <c r="V1704" s="1">
        <f t="shared" si="2637"/>
        <v>231</v>
      </c>
    </row>
    <row r="1705" spans="1:22" ht="15" customHeight="1" x14ac:dyDescent="0.3">
      <c r="A1705" s="1">
        <f t="shared" si="2590"/>
        <v>39232</v>
      </c>
      <c r="B1705" s="10" t="s">
        <v>34</v>
      </c>
      <c r="C1705" s="10" t="s">
        <v>35</v>
      </c>
      <c r="D1705" s="10" t="s">
        <v>36</v>
      </c>
      <c r="E1705" s="74" t="s">
        <v>37</v>
      </c>
      <c r="F1705" s="75"/>
      <c r="G1705" s="76"/>
      <c r="K1705" s="1">
        <v>9</v>
      </c>
      <c r="L1705" s="1">
        <v>9</v>
      </c>
      <c r="M1705" s="1">
        <v>9</v>
      </c>
      <c r="N1705" s="1">
        <v>9</v>
      </c>
      <c r="O1705" s="1">
        <v>9</v>
      </c>
      <c r="P1705" s="1">
        <v>9</v>
      </c>
      <c r="Q1705" s="1">
        <v>9</v>
      </c>
      <c r="R1705" s="1">
        <v>9</v>
      </c>
      <c r="T1705" s="9"/>
      <c r="U1705" s="1">
        <f t="shared" si="2636"/>
        <v>39</v>
      </c>
      <c r="V1705" s="1">
        <f t="shared" si="2637"/>
        <v>232</v>
      </c>
    </row>
    <row r="1706" spans="1:22" x14ac:dyDescent="0.3">
      <c r="A1706" s="1">
        <f t="shared" si="2590"/>
        <v>39233</v>
      </c>
      <c r="B1706" s="12">
        <f t="shared" ref="B1706:B1715" si="2648">C1690-B1690</f>
        <v>3</v>
      </c>
      <c r="C1706" s="13">
        <f t="shared" ref="C1706:C1715" si="2649">H1690-G1690</f>
        <v>2</v>
      </c>
      <c r="D1706" s="10">
        <f>C1706-B1706</f>
        <v>-1</v>
      </c>
      <c r="E1706" s="11">
        <f>IF(D1681="","",MAX(F1706,G1706))</f>
        <v>2</v>
      </c>
      <c r="F1706" s="10">
        <f>ABS(MIN(D1706:D1715))</f>
        <v>2</v>
      </c>
      <c r="G1706" s="10">
        <f>ABS(MAX(D1706:D1715))</f>
        <v>1</v>
      </c>
      <c r="J1706" s="24" t="str">
        <f t="shared" ref="J1706" si="2650">CONCATENATE(K1705,1)</f>
        <v>91</v>
      </c>
      <c r="K1706" s="6" t="e">
        <f t="array" ref="K1706:R1708">LINEST(B1690:B1698,C1690:C1698^{1,2,3,4,5,6,7},TRUE,TRUE)</f>
        <v>#VALUE!</v>
      </c>
      <c r="L1706" s="6" t="e">
        <v>#VALUE!</v>
      </c>
      <c r="M1706" s="6" t="e">
        <v>#VALUE!</v>
      </c>
      <c r="N1706" s="6" t="e">
        <v>#VALUE!</v>
      </c>
      <c r="O1706" s="6" t="e">
        <v>#VALUE!</v>
      </c>
      <c r="P1706" s="6" t="e">
        <v>#VALUE!</v>
      </c>
      <c r="Q1706" s="6" t="e">
        <v>#VALUE!</v>
      </c>
      <c r="R1706" s="6" t="e">
        <v>#VALUE!</v>
      </c>
      <c r="T1706" s="9"/>
      <c r="U1706" s="1">
        <f t="shared" si="2636"/>
        <v>39</v>
      </c>
      <c r="V1706" s="1">
        <f t="shared" si="2637"/>
        <v>233</v>
      </c>
    </row>
    <row r="1707" spans="1:22" x14ac:dyDescent="0.3">
      <c r="A1707" s="1">
        <f t="shared" si="2590"/>
        <v>39234</v>
      </c>
      <c r="B1707" s="12">
        <f t="shared" si="2648"/>
        <v>0</v>
      </c>
      <c r="C1707" s="13">
        <f t="shared" si="2649"/>
        <v>-2</v>
      </c>
      <c r="D1707" s="10">
        <f t="shared" ref="D1707:D1715" si="2651">C1707-B1707</f>
        <v>-2</v>
      </c>
      <c r="E1707" s="74" t="s">
        <v>38</v>
      </c>
      <c r="F1707" s="75"/>
      <c r="G1707" s="76"/>
      <c r="J1707" s="24" t="str">
        <f t="shared" ref="J1707" si="2652">CONCATENATE(K1705,2)</f>
        <v>92</v>
      </c>
      <c r="K1707" s="6" t="e">
        <v>#VALUE!</v>
      </c>
      <c r="L1707" s="6" t="e">
        <v>#VALUE!</v>
      </c>
      <c r="M1707" s="6" t="e">
        <v>#VALUE!</v>
      </c>
      <c r="N1707" s="6" t="e">
        <v>#VALUE!</v>
      </c>
      <c r="O1707" s="6" t="e">
        <v>#VALUE!</v>
      </c>
      <c r="P1707" s="6" t="e">
        <v>#VALUE!</v>
      </c>
      <c r="Q1707" s="6" t="e">
        <v>#VALUE!</v>
      </c>
      <c r="R1707" s="6" t="e">
        <v>#VALUE!</v>
      </c>
      <c r="T1707" s="9"/>
      <c r="U1707" s="1">
        <f t="shared" si="2636"/>
        <v>39</v>
      </c>
      <c r="V1707" s="1">
        <f t="shared" si="2637"/>
        <v>234</v>
      </c>
    </row>
    <row r="1708" spans="1:22" x14ac:dyDescent="0.3">
      <c r="A1708" s="1">
        <f t="shared" si="2590"/>
        <v>39235</v>
      </c>
      <c r="B1708" s="12">
        <f t="shared" si="2648"/>
        <v>-8</v>
      </c>
      <c r="C1708" s="13">
        <f t="shared" si="2649"/>
        <v>-7</v>
      </c>
      <c r="D1708" s="10">
        <f t="shared" si="2651"/>
        <v>1</v>
      </c>
      <c r="E1708" s="11">
        <f>IF(D1681="","",MAX(F1708,G1708))</f>
        <v>8</v>
      </c>
      <c r="F1708" s="10">
        <f>ABS(MIN(B1706:B1715))</f>
        <v>8</v>
      </c>
      <c r="G1708" s="10">
        <f>ABS(MAX(B1706:B1715))</f>
        <v>3</v>
      </c>
      <c r="J1708" s="24" t="str">
        <f t="shared" ref="J1708" si="2653">CONCATENATE(K1705,3)</f>
        <v>93</v>
      </c>
      <c r="K1708" s="6" t="e">
        <v>#VALUE!</v>
      </c>
      <c r="L1708" s="6" t="e">
        <v>#VALUE!</v>
      </c>
      <c r="M1708" s="6" t="e">
        <v>#VALUE!</v>
      </c>
      <c r="N1708" s="6" t="e">
        <v>#VALUE!</v>
      </c>
      <c r="O1708" s="6" t="e">
        <v>#VALUE!</v>
      </c>
      <c r="P1708" s="6" t="e">
        <v>#VALUE!</v>
      </c>
      <c r="Q1708" s="6" t="e">
        <v>#VALUE!</v>
      </c>
      <c r="R1708" s="6" t="e">
        <v>#VALUE!</v>
      </c>
      <c r="T1708" s="9"/>
      <c r="U1708" s="1">
        <f t="shared" si="2636"/>
        <v>39</v>
      </c>
      <c r="V1708" s="1">
        <f t="shared" si="2637"/>
        <v>235</v>
      </c>
    </row>
    <row r="1709" spans="1:22" x14ac:dyDescent="0.3">
      <c r="A1709" s="1">
        <f t="shared" si="2590"/>
        <v>39236</v>
      </c>
      <c r="B1709" s="12">
        <f t="shared" si="2648"/>
        <v>0</v>
      </c>
      <c r="C1709" s="13">
        <f t="shared" si="2649"/>
        <v>0</v>
      </c>
      <c r="D1709" s="10">
        <f t="shared" si="2651"/>
        <v>0</v>
      </c>
      <c r="E1709" s="74" t="s">
        <v>39</v>
      </c>
      <c r="F1709" s="75"/>
      <c r="G1709" s="76"/>
      <c r="K1709" s="1">
        <v>10</v>
      </c>
      <c r="L1709" s="1">
        <v>10</v>
      </c>
      <c r="M1709" s="1">
        <v>10</v>
      </c>
      <c r="N1709" s="1">
        <v>10</v>
      </c>
      <c r="O1709" s="1">
        <v>10</v>
      </c>
      <c r="P1709" s="1">
        <v>10</v>
      </c>
      <c r="Q1709" s="1">
        <v>10</v>
      </c>
      <c r="R1709" s="1">
        <v>10</v>
      </c>
      <c r="S1709" s="1">
        <v>10</v>
      </c>
      <c r="T1709" s="9"/>
      <c r="U1709" s="1">
        <f t="shared" si="2636"/>
        <v>39</v>
      </c>
      <c r="V1709" s="1">
        <f t="shared" si="2637"/>
        <v>236</v>
      </c>
    </row>
    <row r="1710" spans="1:22" x14ac:dyDescent="0.3">
      <c r="A1710" s="1">
        <f t="shared" si="2590"/>
        <v>39237</v>
      </c>
      <c r="B1710" s="12">
        <f t="shared" si="2648"/>
        <v>0</v>
      </c>
      <c r="C1710" s="13">
        <f t="shared" si="2649"/>
        <v>0</v>
      </c>
      <c r="D1710" s="10">
        <f t="shared" si="2651"/>
        <v>0</v>
      </c>
      <c r="E1710" s="11">
        <f>IF(D1681="","",MAX(F1710,G1710))</f>
        <v>2</v>
      </c>
      <c r="F1710" s="10">
        <f>ABS(MIN(D1690:D1699))</f>
        <v>2</v>
      </c>
      <c r="G1710" s="10">
        <f>ABS(MAX(D1690:D1699))</f>
        <v>2</v>
      </c>
      <c r="J1710" s="24" t="str">
        <f t="shared" ref="J1710" si="2654">CONCATENATE(K1709,1)</f>
        <v>101</v>
      </c>
      <c r="K1710" s="6" t="e">
        <f t="array" ref="K1710:S1712">LINEST(B1690:B1699,C1690:C1699^{1,2,3,4,5,6,7,8},TRUE,TRUE)</f>
        <v>#VALUE!</v>
      </c>
      <c r="L1710" s="6" t="e">
        <v>#VALUE!</v>
      </c>
      <c r="M1710" s="6" t="e">
        <v>#VALUE!</v>
      </c>
      <c r="N1710" s="6" t="e">
        <v>#VALUE!</v>
      </c>
      <c r="O1710" s="6" t="e">
        <v>#VALUE!</v>
      </c>
      <c r="P1710" s="6" t="e">
        <v>#VALUE!</v>
      </c>
      <c r="Q1710" s="6" t="e">
        <v>#VALUE!</v>
      </c>
      <c r="R1710" s="6" t="e">
        <v>#VALUE!</v>
      </c>
      <c r="S1710" s="6" t="e">
        <v>#VALUE!</v>
      </c>
      <c r="T1710" s="9"/>
      <c r="U1710" s="1">
        <f t="shared" si="2636"/>
        <v>39</v>
      </c>
      <c r="V1710" s="1">
        <f t="shared" si="2637"/>
        <v>237</v>
      </c>
    </row>
    <row r="1711" spans="1:22" x14ac:dyDescent="0.3">
      <c r="A1711" s="1">
        <f t="shared" si="2590"/>
        <v>39238</v>
      </c>
      <c r="B1711" s="12">
        <f t="shared" si="2648"/>
        <v>0</v>
      </c>
      <c r="C1711" s="13">
        <f t="shared" si="2649"/>
        <v>0</v>
      </c>
      <c r="D1711" s="10">
        <f t="shared" si="2651"/>
        <v>0</v>
      </c>
      <c r="J1711" s="24" t="str">
        <f t="shared" ref="J1711" si="2655">CONCATENATE(K1709,2)</f>
        <v>102</v>
      </c>
      <c r="K1711" s="6" t="e">
        <v>#VALUE!</v>
      </c>
      <c r="L1711" s="6" t="e">
        <v>#VALUE!</v>
      </c>
      <c r="M1711" s="6" t="e">
        <v>#VALUE!</v>
      </c>
      <c r="N1711" s="6" t="e">
        <v>#VALUE!</v>
      </c>
      <c r="O1711" s="6" t="e">
        <v>#VALUE!</v>
      </c>
      <c r="P1711" s="6" t="e">
        <v>#VALUE!</v>
      </c>
      <c r="Q1711" s="6" t="e">
        <v>#VALUE!</v>
      </c>
      <c r="R1711" s="6" t="e">
        <v>#VALUE!</v>
      </c>
      <c r="S1711" s="6" t="e">
        <v>#VALUE!</v>
      </c>
      <c r="T1711" s="9"/>
      <c r="U1711" s="1">
        <f t="shared" si="2636"/>
        <v>39</v>
      </c>
      <c r="V1711" s="1">
        <f t="shared" si="2637"/>
        <v>238</v>
      </c>
    </row>
    <row r="1712" spans="1:22" x14ac:dyDescent="0.3">
      <c r="A1712" s="1">
        <f t="shared" si="2590"/>
        <v>39239</v>
      </c>
      <c r="B1712" s="12">
        <f t="shared" si="2648"/>
        <v>0</v>
      </c>
      <c r="C1712" s="13">
        <f t="shared" si="2649"/>
        <v>0</v>
      </c>
      <c r="D1712" s="10">
        <f t="shared" si="2651"/>
        <v>0</v>
      </c>
      <c r="J1712" s="24" t="str">
        <f t="shared" ref="J1712" si="2656">CONCATENATE(K1709,3)</f>
        <v>103</v>
      </c>
      <c r="K1712" s="6" t="e">
        <v>#VALUE!</v>
      </c>
      <c r="L1712" s="6" t="e">
        <v>#VALUE!</v>
      </c>
      <c r="M1712" s="6" t="e">
        <v>#VALUE!</v>
      </c>
      <c r="N1712" s="6" t="e">
        <v>#VALUE!</v>
      </c>
      <c r="O1712" s="6" t="e">
        <v>#VALUE!</v>
      </c>
      <c r="P1712" s="6" t="e">
        <v>#VALUE!</v>
      </c>
      <c r="Q1712" s="6" t="e">
        <v>#VALUE!</v>
      </c>
      <c r="R1712" s="6" t="e">
        <v>#VALUE!</v>
      </c>
      <c r="S1712" s="6" t="e">
        <v>#VALUE!</v>
      </c>
      <c r="T1712" s="9"/>
      <c r="U1712" s="1">
        <f t="shared" si="2636"/>
        <v>39</v>
      </c>
      <c r="V1712" s="1">
        <f t="shared" si="2637"/>
        <v>239</v>
      </c>
    </row>
    <row r="1713" spans="1:22" x14ac:dyDescent="0.3">
      <c r="A1713" s="1">
        <f t="shared" si="2590"/>
        <v>39240</v>
      </c>
      <c r="B1713" s="12">
        <f t="shared" si="2648"/>
        <v>0</v>
      </c>
      <c r="C1713" s="13">
        <f t="shared" si="2649"/>
        <v>0</v>
      </c>
      <c r="D1713" s="10">
        <f t="shared" si="2651"/>
        <v>0</v>
      </c>
      <c r="J1713" s="9"/>
      <c r="K1713" s="9"/>
      <c r="L1713" s="9"/>
      <c r="M1713" s="9"/>
      <c r="N1713" s="9"/>
      <c r="O1713" s="9"/>
      <c r="P1713" s="9"/>
      <c r="Q1713" s="9"/>
      <c r="R1713" s="9"/>
      <c r="S1713" s="9"/>
      <c r="T1713" s="9"/>
      <c r="U1713" s="1">
        <f t="shared" si="2636"/>
        <v>39</v>
      </c>
      <c r="V1713" s="1">
        <f t="shared" si="2637"/>
        <v>240</v>
      </c>
    </row>
    <row r="1714" spans="1:22" x14ac:dyDescent="0.3">
      <c r="A1714" s="1">
        <f t="shared" si="2590"/>
        <v>39241</v>
      </c>
      <c r="B1714" s="12">
        <f t="shared" si="2648"/>
        <v>0</v>
      </c>
      <c r="C1714" s="13">
        <f t="shared" si="2649"/>
        <v>0</v>
      </c>
      <c r="D1714" s="10">
        <f t="shared" si="2651"/>
        <v>0</v>
      </c>
      <c r="J1714" s="9"/>
      <c r="K1714" s="9"/>
      <c r="L1714" s="9"/>
      <c r="M1714" s="9"/>
      <c r="N1714" s="9"/>
      <c r="O1714" s="9"/>
      <c r="P1714" s="9"/>
      <c r="Q1714" s="9"/>
      <c r="R1714" s="9"/>
      <c r="S1714" s="9"/>
      <c r="T1714" s="9"/>
      <c r="U1714" s="1">
        <f t="shared" si="2636"/>
        <v>39</v>
      </c>
      <c r="V1714" s="1">
        <f t="shared" si="2637"/>
        <v>241</v>
      </c>
    </row>
    <row r="1715" spans="1:22" x14ac:dyDescent="0.3">
      <c r="A1715" s="1">
        <f t="shared" si="2590"/>
        <v>39242</v>
      </c>
      <c r="B1715" s="12">
        <f t="shared" si="2648"/>
        <v>0</v>
      </c>
      <c r="C1715" s="13">
        <f t="shared" si="2649"/>
        <v>0</v>
      </c>
      <c r="D1715" s="10">
        <f t="shared" si="2651"/>
        <v>0</v>
      </c>
      <c r="J1715" s="9"/>
      <c r="K1715" s="9"/>
      <c r="L1715" s="9"/>
      <c r="M1715" s="9"/>
      <c r="N1715" s="9"/>
      <c r="O1715" s="9"/>
      <c r="P1715" s="9"/>
      <c r="Q1715" s="9"/>
      <c r="R1715" s="9"/>
      <c r="S1715" s="9"/>
      <c r="T1715" s="9"/>
      <c r="U1715" s="1">
        <f t="shared" si="2636"/>
        <v>39</v>
      </c>
      <c r="V1715" s="1">
        <f t="shared" si="2637"/>
        <v>242</v>
      </c>
    </row>
    <row r="1716" spans="1:22" x14ac:dyDescent="0.3">
      <c r="A1716" s="1">
        <f t="shared" si="2590"/>
        <v>39243</v>
      </c>
      <c r="J1716" s="9"/>
      <c r="K1716" s="9"/>
      <c r="L1716" s="9"/>
      <c r="M1716" s="9"/>
      <c r="N1716" s="9"/>
      <c r="O1716" s="9"/>
      <c r="P1716" s="9"/>
      <c r="Q1716" s="9"/>
      <c r="R1716" s="9"/>
      <c r="S1716" s="9"/>
      <c r="T1716" s="9"/>
      <c r="U1716" s="1">
        <f t="shared" si="2636"/>
        <v>39</v>
      </c>
      <c r="V1716" s="1">
        <f t="shared" si="2637"/>
        <v>243</v>
      </c>
    </row>
    <row r="1717" spans="1:22" s="5" customFormat="1" x14ac:dyDescent="0.3"/>
    <row r="1718" spans="1:22" x14ac:dyDescent="0.3">
      <c r="A1718" s="1">
        <f t="shared" ref="A1718:A1760" si="2657">ROUND(CONCATENATE(U1718,V1718),0)</f>
        <v>40201</v>
      </c>
      <c r="B1718" s="96" t="s">
        <v>0</v>
      </c>
      <c r="C1718" s="97"/>
      <c r="D1718" s="110" t="s">
        <v>46</v>
      </c>
      <c r="E1718" s="111"/>
      <c r="F1718" s="111"/>
      <c r="G1718" s="111"/>
      <c r="H1718" s="112"/>
      <c r="J1718" s="9"/>
      <c r="K1718" s="9"/>
      <c r="L1718" s="9"/>
      <c r="M1718" s="9"/>
      <c r="N1718" s="9"/>
      <c r="O1718" s="9"/>
      <c r="P1718" s="9"/>
      <c r="Q1718" s="9"/>
      <c r="R1718" s="9"/>
      <c r="S1718" s="9"/>
      <c r="T1718" s="9"/>
      <c r="U1718" s="1">
        <f t="shared" ref="U1718" si="2658">U1716+1</f>
        <v>40</v>
      </c>
      <c r="V1718" s="1">
        <v>201</v>
      </c>
    </row>
    <row r="1719" spans="1:22" x14ac:dyDescent="0.3">
      <c r="A1719" s="1">
        <f t="shared" si="2657"/>
        <v>40202</v>
      </c>
      <c r="B1719" s="96" t="s">
        <v>1</v>
      </c>
      <c r="C1719" s="97"/>
      <c r="D1719" s="15">
        <v>20</v>
      </c>
      <c r="E1719" s="16" t="s">
        <v>2</v>
      </c>
      <c r="F1719" s="107"/>
      <c r="G1719" s="108"/>
      <c r="H1719" s="109"/>
      <c r="J1719" s="9"/>
      <c r="K1719" s="9"/>
      <c r="L1719" s="9"/>
      <c r="M1719" s="9"/>
      <c r="N1719" s="9"/>
      <c r="O1719" s="9"/>
      <c r="P1719" s="9"/>
      <c r="Q1719" s="9"/>
      <c r="R1719" s="9"/>
      <c r="S1719" s="9"/>
      <c r="T1719" s="9"/>
      <c r="U1719" s="1">
        <f t="shared" ref="U1719" si="2659">U1718</f>
        <v>40</v>
      </c>
      <c r="V1719" s="1">
        <f t="shared" ref="V1719" si="2660">V1718+1</f>
        <v>202</v>
      </c>
    </row>
    <row r="1720" spans="1:22" x14ac:dyDescent="0.3">
      <c r="A1720" s="1">
        <f t="shared" si="2657"/>
        <v>40203</v>
      </c>
      <c r="B1720" s="96" t="s">
        <v>12</v>
      </c>
      <c r="C1720" s="97"/>
      <c r="D1720" s="110" t="s">
        <v>81</v>
      </c>
      <c r="E1720" s="111"/>
      <c r="F1720" s="111"/>
      <c r="G1720" s="111"/>
      <c r="H1720" s="112"/>
      <c r="K1720" s="1" t="s">
        <v>3</v>
      </c>
      <c r="L1720" s="1" t="s">
        <v>4</v>
      </c>
      <c r="M1720" s="1" t="s">
        <v>5</v>
      </c>
      <c r="N1720" s="1" t="s">
        <v>6</v>
      </c>
      <c r="O1720" s="1" t="s">
        <v>7</v>
      </c>
      <c r="P1720" s="1" t="s">
        <v>8</v>
      </c>
      <c r="Q1720" s="1" t="s">
        <v>9</v>
      </c>
      <c r="R1720" s="1" t="s">
        <v>10</v>
      </c>
      <c r="S1720" s="1" t="s">
        <v>11</v>
      </c>
      <c r="T1720" s="9"/>
      <c r="U1720" s="1">
        <f t="shared" si="2636"/>
        <v>40</v>
      </c>
      <c r="V1720" s="1">
        <f t="shared" si="2637"/>
        <v>203</v>
      </c>
    </row>
    <row r="1721" spans="1:22" x14ac:dyDescent="0.3">
      <c r="A1721" s="1">
        <f t="shared" si="2657"/>
        <v>40204</v>
      </c>
      <c r="B1721" s="96" t="s">
        <v>13</v>
      </c>
      <c r="C1721" s="97"/>
      <c r="D1721" s="110" t="s">
        <v>65</v>
      </c>
      <c r="E1721" s="111"/>
      <c r="F1721" s="111"/>
      <c r="G1721" s="111"/>
      <c r="H1721" s="112"/>
      <c r="J1721" s="1">
        <f t="shared" ref="J1721" si="2661">COUNTA(B1734:B1743)</f>
        <v>3</v>
      </c>
      <c r="K1721" s="1">
        <f t="shared" ref="K1721" si="2662">IF(L1721-1&lt;2,0,L1721-1)</f>
        <v>0</v>
      </c>
      <c r="L1721" s="1">
        <f t="shared" ref="L1721" si="2663">IF(M1721-1&lt;2,0,M1721-1)</f>
        <v>0</v>
      </c>
      <c r="M1721" s="1">
        <f t="shared" ref="M1721" si="2664">IF(N1721-1&lt;2,0,N1721-1)</f>
        <v>0</v>
      </c>
      <c r="N1721" s="1">
        <f t="shared" ref="N1721" si="2665">IF(O1721-1&lt;2,0,O1721-1)</f>
        <v>0</v>
      </c>
      <c r="O1721" s="1">
        <f t="shared" ref="O1721" si="2666">IF(P1721-1&lt;2,0,P1721-1)</f>
        <v>0</v>
      </c>
      <c r="P1721" s="1">
        <f t="shared" ref="P1721" si="2667">IF(Q1721-1&lt;2,0,Q1721-1)</f>
        <v>0</v>
      </c>
      <c r="Q1721" s="1">
        <f t="shared" ref="Q1721" si="2668">IF(R1721-1&lt;2,0,R1721-1)</f>
        <v>0</v>
      </c>
      <c r="R1721" s="1">
        <f t="shared" ref="R1721" si="2669">IF(S1721-1&lt;2,0,S1721-1)</f>
        <v>2</v>
      </c>
      <c r="S1721" s="1">
        <f t="shared" ref="S1721" si="2670">J1721</f>
        <v>3</v>
      </c>
      <c r="T1721" s="9"/>
      <c r="U1721" s="1">
        <f t="shared" si="2636"/>
        <v>40</v>
      </c>
      <c r="V1721" s="1">
        <f t="shared" si="2637"/>
        <v>204</v>
      </c>
    </row>
    <row r="1722" spans="1:22" x14ac:dyDescent="0.3">
      <c r="A1722" s="1">
        <f t="shared" si="2657"/>
        <v>40205</v>
      </c>
      <c r="B1722" s="96" t="s">
        <v>14</v>
      </c>
      <c r="C1722" s="97"/>
      <c r="D1722" s="110" t="s">
        <v>66</v>
      </c>
      <c r="E1722" s="111"/>
      <c r="F1722" s="111"/>
      <c r="G1722" s="111"/>
      <c r="H1722" s="112"/>
      <c r="J1722" s="24" t="str">
        <f t="shared" ref="J1722" si="2671">CONCATENATE(J1721,1)</f>
        <v>31</v>
      </c>
      <c r="K1722" s="25">
        <f t="shared" ref="K1722" si="2672">IF(K1721=0,0,VLOOKUP(J1722,J1726:S1756,K1721,FALSE))</f>
        <v>0</v>
      </c>
      <c r="L1722" s="25">
        <f t="shared" ref="L1722" si="2673">IF(L1721=0,0,VLOOKUP(J1722,J1726:S1756,L1721,FALSE))</f>
        <v>0</v>
      </c>
      <c r="M1722" s="25">
        <f t="shared" ref="M1722" si="2674">IF(M1721=0,0,VLOOKUP(J1722,J1726:S1756,M1721,FALSE))</f>
        <v>0</v>
      </c>
      <c r="N1722" s="25">
        <f t="shared" ref="N1722" si="2675">IF(N1721=0,0,VLOOKUP(J1722,J1726:S1756,N1721,FALSE))</f>
        <v>0</v>
      </c>
      <c r="O1722" s="25">
        <f t="shared" ref="O1722" si="2676">IF(O1721=0,0,VLOOKUP(J1722,J1726:S1756,O1721,FALSE))</f>
        <v>0</v>
      </c>
      <c r="P1722" s="25">
        <f t="shared" ref="P1722" si="2677">IF(P1721=0,0,VLOOKUP(J1722,J1726:S1756,P1721,FALSE))</f>
        <v>0</v>
      </c>
      <c r="Q1722" s="25">
        <f t="shared" ref="Q1722" si="2678">IF(Q1721=0,0,VLOOKUP(J1722,J1726:S1756,Q1721,FALSE))</f>
        <v>0</v>
      </c>
      <c r="R1722" s="25">
        <f t="shared" ref="R1722" si="2679">IF(R1721=0,0,VLOOKUP(J1722,J1726:S1756,R1721,FALSE))</f>
        <v>1.1573747353563866</v>
      </c>
      <c r="S1722" s="25">
        <f t="shared" ref="S1722" si="2680">IF(S1721=0,0,VLOOKUP(J1722,J1726:S1756,S1721,FALSE))</f>
        <v>-7.6217360621030181</v>
      </c>
      <c r="T1722" s="9"/>
      <c r="U1722" s="1">
        <f t="shared" si="2636"/>
        <v>40</v>
      </c>
      <c r="V1722" s="1">
        <f t="shared" si="2637"/>
        <v>205</v>
      </c>
    </row>
    <row r="1723" spans="1:22" x14ac:dyDescent="0.3">
      <c r="A1723" s="1">
        <f t="shared" si="2657"/>
        <v>40206</v>
      </c>
      <c r="B1723" s="96" t="s">
        <v>15</v>
      </c>
      <c r="C1723" s="97"/>
      <c r="D1723" s="110" t="s">
        <v>82</v>
      </c>
      <c r="E1723" s="111"/>
      <c r="F1723" s="111"/>
      <c r="G1723" s="111"/>
      <c r="H1723" s="112"/>
      <c r="J1723" s="24" t="str">
        <f t="shared" ref="J1723" si="2681">CONCATENATE(J1721,2)</f>
        <v>32</v>
      </c>
      <c r="K1723" s="6">
        <f t="shared" ref="K1723" si="2682">IF(K1721=0,0,VLOOKUP(J1723,J1726:S1756,K1721,FALSE))</f>
        <v>0</v>
      </c>
      <c r="L1723" s="6">
        <f t="shared" ref="L1723" si="2683">IF(L1721=0,0,VLOOKUP(J1723,J1726:S1756,L1721,FALSE))</f>
        <v>0</v>
      </c>
      <c r="M1723" s="6">
        <f t="shared" ref="M1723" si="2684">IF(M1721=0,0,VLOOKUP(J1723,J1726:S1756,M1721,FALSE))</f>
        <v>0</v>
      </c>
      <c r="N1723" s="6">
        <f t="shared" ref="N1723" si="2685">IF(N1721=0,0,VLOOKUP(J1723,J1726:S1756,N1721,FALSE))</f>
        <v>0</v>
      </c>
      <c r="O1723" s="6">
        <f t="shared" ref="O1723" si="2686">IF(O1721=0,0,VLOOKUP(J1723,J1726:S1756,O1721,FALSE))</f>
        <v>0</v>
      </c>
      <c r="P1723" s="6">
        <f t="shared" ref="P1723" si="2687">IF(P1721=0,0,VLOOKUP(J1723,J1726:S1756,P1721,FALSE))</f>
        <v>0</v>
      </c>
      <c r="Q1723" s="6">
        <f t="shared" ref="Q1723" si="2688">IF(Q1721=0,0,VLOOKUP(J1723,J1726:S1756,Q1721,FALSE))</f>
        <v>0</v>
      </c>
      <c r="R1723" s="6">
        <f t="shared" ref="R1723" si="2689">IF(R1721=0,0,VLOOKUP(J1723,J1726:S1756,R1721,FALSE))</f>
        <v>3.6670094726228571E-2</v>
      </c>
      <c r="S1723" s="6">
        <f t="shared" ref="S1723" si="2690">IF(S1721=0,0,VLOOKUP(J1723,J1726:S1756,S1721,FALSE))</f>
        <v>2.0379689006817974</v>
      </c>
      <c r="T1723" s="9"/>
      <c r="U1723" s="1">
        <f t="shared" si="2636"/>
        <v>40</v>
      </c>
      <c r="V1723" s="1">
        <f t="shared" si="2637"/>
        <v>206</v>
      </c>
    </row>
    <row r="1724" spans="1:22" x14ac:dyDescent="0.3">
      <c r="A1724" s="1">
        <f t="shared" si="2657"/>
        <v>40207</v>
      </c>
      <c r="B1724" s="96" t="s">
        <v>16</v>
      </c>
      <c r="C1724" s="97"/>
      <c r="D1724" s="113">
        <v>43892</v>
      </c>
      <c r="E1724" s="114"/>
      <c r="F1724" s="114"/>
      <c r="G1724" s="114"/>
      <c r="H1724" s="115"/>
      <c r="J1724" s="24" t="str">
        <f t="shared" ref="J1724" si="2691">CONCATENATE(J1721,3)</f>
        <v>33</v>
      </c>
      <c r="K1724" s="6"/>
      <c r="L1724" s="6"/>
      <c r="M1724" s="6"/>
      <c r="N1724" s="6" t="s">
        <v>43</v>
      </c>
      <c r="O1724" s="25">
        <f t="shared" ref="O1724" si="2692">J1721-2</f>
        <v>1</v>
      </c>
      <c r="P1724" s="6" t="s">
        <v>44</v>
      </c>
      <c r="Q1724" s="25">
        <f t="shared" ref="Q1724" si="2693">VLOOKUP(J1724,J1726:S1756,3,FALSE)</f>
        <v>1.1270711351480074</v>
      </c>
      <c r="R1724" s="6" t="s">
        <v>45</v>
      </c>
      <c r="S1724" s="6">
        <f t="shared" ref="S1724" si="2694">VLOOKUP(J1724,J1726:S1756,2,FALSE)</f>
        <v>0.9989971399918286</v>
      </c>
      <c r="T1724" s="9"/>
      <c r="U1724" s="1">
        <f t="shared" si="2636"/>
        <v>40</v>
      </c>
      <c r="V1724" s="1">
        <f t="shared" si="2637"/>
        <v>207</v>
      </c>
    </row>
    <row r="1725" spans="1:22" x14ac:dyDescent="0.3">
      <c r="A1725" s="1">
        <f t="shared" si="2657"/>
        <v>40208</v>
      </c>
      <c r="B1725" s="96" t="s">
        <v>17</v>
      </c>
      <c r="C1725" s="97"/>
      <c r="D1725" s="116">
        <v>44286</v>
      </c>
      <c r="E1725" s="117"/>
      <c r="F1725" s="117"/>
      <c r="G1725" s="117"/>
      <c r="H1725" s="118"/>
      <c r="K1725" s="1">
        <v>3</v>
      </c>
      <c r="L1725" s="1">
        <v>3</v>
      </c>
      <c r="Q1725" s="26"/>
      <c r="R1725" s="26"/>
      <c r="S1725" s="26"/>
      <c r="T1725" s="9"/>
      <c r="U1725" s="1">
        <f t="shared" si="2636"/>
        <v>40</v>
      </c>
      <c r="V1725" s="1">
        <f t="shared" si="2637"/>
        <v>208</v>
      </c>
    </row>
    <row r="1726" spans="1:22" x14ac:dyDescent="0.3">
      <c r="A1726" s="1">
        <f t="shared" si="2657"/>
        <v>40209</v>
      </c>
      <c r="B1726" s="77" t="s">
        <v>19</v>
      </c>
      <c r="C1726" s="78"/>
      <c r="D1726" s="17">
        <v>1</v>
      </c>
      <c r="E1726" s="79" t="s">
        <v>40</v>
      </c>
      <c r="F1726" s="80"/>
      <c r="G1726" s="81"/>
      <c r="H1726" s="18" t="s">
        <v>72</v>
      </c>
      <c r="J1726" s="24" t="str">
        <f t="shared" ref="J1726" si="2695">CONCATENATE(K1725,1)</f>
        <v>31</v>
      </c>
      <c r="K1726" s="6">
        <f t="array" ref="K1726:L1728">LINEST(B1734:B1736,C1734:C1736^{1},TRUE,TRUE)</f>
        <v>1.1573747353563866</v>
      </c>
      <c r="L1726" s="6">
        <v>-7.6217360621030181</v>
      </c>
      <c r="Q1726" s="9"/>
      <c r="R1726" s="9"/>
      <c r="S1726" s="9"/>
      <c r="T1726" s="9"/>
      <c r="U1726" s="1">
        <f t="shared" si="2636"/>
        <v>40</v>
      </c>
      <c r="V1726" s="1">
        <f t="shared" si="2637"/>
        <v>209</v>
      </c>
    </row>
    <row r="1727" spans="1:22" x14ac:dyDescent="0.3">
      <c r="A1727" s="1">
        <f t="shared" si="2657"/>
        <v>40210</v>
      </c>
      <c r="B1727" s="77" t="s">
        <v>41</v>
      </c>
      <c r="C1727" s="78"/>
      <c r="D1727" s="23">
        <f t="shared" ref="D1727" si="2696">MIN(B1734:B1743)</f>
        <v>30</v>
      </c>
      <c r="E1727" s="20" t="s">
        <v>18</v>
      </c>
      <c r="F1727" s="19">
        <f t="shared" ref="F1727" si="2697">MAX(B1734:B1743)</f>
        <v>80</v>
      </c>
      <c r="G1727" s="21" t="str">
        <f t="shared" ref="G1727" si="2698">IF(H1726="","",H1726)</f>
        <v>%ur</v>
      </c>
      <c r="H1727" s="22"/>
      <c r="J1727" s="24" t="str">
        <f t="shared" ref="J1727" si="2699">CONCATENATE(K1725,2)</f>
        <v>32</v>
      </c>
      <c r="K1727" s="6">
        <v>3.6670094726228571E-2</v>
      </c>
      <c r="L1727" s="6">
        <v>2.0379689006817974</v>
      </c>
      <c r="Q1727" s="9"/>
      <c r="R1727" s="9"/>
      <c r="S1727" s="9"/>
      <c r="T1727" s="9"/>
      <c r="U1727" s="1">
        <f t="shared" si="2636"/>
        <v>40</v>
      </c>
      <c r="V1727" s="1">
        <f t="shared" si="2637"/>
        <v>210</v>
      </c>
    </row>
    <row r="1728" spans="1:22" x14ac:dyDescent="0.3">
      <c r="A1728" s="1">
        <f t="shared" si="2657"/>
        <v>40211</v>
      </c>
      <c r="J1728" s="24" t="str">
        <f t="shared" ref="J1728" si="2700">CONCATENATE(K1725,3)</f>
        <v>33</v>
      </c>
      <c r="K1728" s="6">
        <v>0.9989971399918286</v>
      </c>
      <c r="L1728" s="6">
        <v>1.1270711351480074</v>
      </c>
      <c r="Q1728" s="9"/>
      <c r="R1728" s="9"/>
      <c r="S1728" s="9"/>
      <c r="T1728" s="9"/>
      <c r="U1728" s="1">
        <f t="shared" si="2636"/>
        <v>40</v>
      </c>
      <c r="V1728" s="1">
        <f t="shared" si="2637"/>
        <v>211</v>
      </c>
    </row>
    <row r="1729" spans="1:22" x14ac:dyDescent="0.3">
      <c r="A1729" s="1">
        <f t="shared" si="2657"/>
        <v>40212</v>
      </c>
      <c r="B1729" s="82" t="s">
        <v>20</v>
      </c>
      <c r="C1729" s="83"/>
      <c r="D1729" s="83"/>
      <c r="E1729" s="83"/>
      <c r="F1729" s="84"/>
      <c r="G1729" s="85" t="s">
        <v>31</v>
      </c>
      <c r="H1729" s="86"/>
      <c r="K1729" s="1">
        <v>4</v>
      </c>
      <c r="L1729" s="1">
        <v>4</v>
      </c>
      <c r="M1729" s="1">
        <v>4</v>
      </c>
      <c r="Q1729" s="9"/>
      <c r="R1729" s="9"/>
      <c r="S1729" s="9"/>
      <c r="T1729" s="9"/>
      <c r="U1729" s="1">
        <f t="shared" si="2636"/>
        <v>40</v>
      </c>
      <c r="V1729" s="1">
        <f t="shared" si="2637"/>
        <v>212</v>
      </c>
    </row>
    <row r="1730" spans="1:22" x14ac:dyDescent="0.3">
      <c r="A1730" s="1">
        <f t="shared" si="2657"/>
        <v>40213</v>
      </c>
      <c r="B1730" s="82" t="s">
        <v>30</v>
      </c>
      <c r="C1730" s="83"/>
      <c r="D1730" s="84"/>
      <c r="E1730" s="82" t="str">
        <f t="shared" ref="E1730" si="2701">D1723</f>
        <v>R0040/20</v>
      </c>
      <c r="F1730" s="84"/>
      <c r="G1730" s="6" t="s">
        <v>32</v>
      </c>
      <c r="H1730" s="36"/>
      <c r="J1730" s="24" t="str">
        <f t="shared" ref="J1730" si="2702">CONCATENATE(K1729,1)</f>
        <v>41</v>
      </c>
      <c r="K1730" s="6" t="e">
        <f t="array" ref="K1730:M1732">LINEST(B1734:B1737,C1734:C1737^{1,2},TRUE,TRUE)</f>
        <v>#VALUE!</v>
      </c>
      <c r="L1730" s="6" t="e">
        <v>#VALUE!</v>
      </c>
      <c r="M1730" s="6" t="e">
        <v>#VALUE!</v>
      </c>
      <c r="Q1730" s="9"/>
      <c r="R1730" s="9"/>
      <c r="S1730" s="9"/>
      <c r="T1730" s="9"/>
      <c r="U1730" s="1">
        <f t="shared" si="2636"/>
        <v>40</v>
      </c>
      <c r="V1730" s="1">
        <f t="shared" si="2637"/>
        <v>213</v>
      </c>
    </row>
    <row r="1731" spans="1:22" x14ac:dyDescent="0.3">
      <c r="A1731" s="1">
        <f t="shared" si="2657"/>
        <v>40214</v>
      </c>
      <c r="B1731" s="2" t="s">
        <v>21</v>
      </c>
      <c r="C1731" s="2" t="s">
        <v>22</v>
      </c>
      <c r="D1731" s="2" t="s">
        <v>23</v>
      </c>
      <c r="E1731" s="2"/>
      <c r="F1731" s="2" t="s">
        <v>28</v>
      </c>
      <c r="G1731" s="2" t="s">
        <v>21</v>
      </c>
      <c r="H1731" s="2" t="s">
        <v>22</v>
      </c>
      <c r="J1731" s="24" t="str">
        <f t="shared" ref="J1731" si="2703">CONCATENATE(K1729,2)</f>
        <v>42</v>
      </c>
      <c r="K1731" s="6" t="e">
        <v>#VALUE!</v>
      </c>
      <c r="L1731" s="6" t="e">
        <v>#VALUE!</v>
      </c>
      <c r="M1731" s="6" t="e">
        <v>#VALUE!</v>
      </c>
      <c r="Q1731" s="9"/>
      <c r="R1731" s="9"/>
      <c r="S1731" s="9"/>
      <c r="T1731" s="9"/>
      <c r="U1731" s="1">
        <f t="shared" si="2636"/>
        <v>40</v>
      </c>
      <c r="V1731" s="1">
        <f t="shared" si="2637"/>
        <v>214</v>
      </c>
    </row>
    <row r="1732" spans="1:22" x14ac:dyDescent="0.3">
      <c r="A1732" s="1">
        <f t="shared" si="2657"/>
        <v>40215</v>
      </c>
      <c r="B1732" s="2" t="s">
        <v>24</v>
      </c>
      <c r="C1732" s="2" t="s">
        <v>25</v>
      </c>
      <c r="D1732" s="2" t="s">
        <v>26</v>
      </c>
      <c r="E1732" s="2" t="s">
        <v>27</v>
      </c>
      <c r="F1732" s="2" t="s">
        <v>29</v>
      </c>
      <c r="G1732" s="2" t="s">
        <v>24</v>
      </c>
      <c r="H1732" s="2" t="s">
        <v>25</v>
      </c>
      <c r="J1732" s="24" t="str">
        <f t="shared" ref="J1732" si="2704">CONCATENATE(K1729,3)</f>
        <v>43</v>
      </c>
      <c r="K1732" s="6" t="e">
        <v>#VALUE!</v>
      </c>
      <c r="L1732" s="6" t="e">
        <v>#VALUE!</v>
      </c>
      <c r="M1732" s="6" t="e">
        <v>#VALUE!</v>
      </c>
      <c r="Q1732" s="9"/>
      <c r="R1732" s="9"/>
      <c r="S1732" s="9"/>
      <c r="T1732" s="9"/>
      <c r="U1732" s="1">
        <f t="shared" si="2636"/>
        <v>40</v>
      </c>
      <c r="V1732" s="1">
        <f t="shared" si="2637"/>
        <v>215</v>
      </c>
    </row>
    <row r="1733" spans="1:22" x14ac:dyDescent="0.3">
      <c r="A1733" s="1">
        <f t="shared" si="2657"/>
        <v>40216</v>
      </c>
      <c r="B1733" s="3" t="str">
        <f t="shared" ref="B1733" si="2705">H1726</f>
        <v>%ur</v>
      </c>
      <c r="C1733" s="3" t="str">
        <f t="shared" ref="C1733:D1733" si="2706">B1733</f>
        <v>%ur</v>
      </c>
      <c r="D1733" s="3" t="str">
        <f t="shared" si="2706"/>
        <v>%ur</v>
      </c>
      <c r="E1733" s="3"/>
      <c r="F1733" s="3"/>
      <c r="G1733" s="3" t="str">
        <f t="shared" ref="G1733" si="2707">D1733</f>
        <v>%ur</v>
      </c>
      <c r="H1733" s="3" t="str">
        <f t="shared" ref="H1733" si="2708">G1733</f>
        <v>%ur</v>
      </c>
      <c r="K1733" s="1">
        <v>5</v>
      </c>
      <c r="L1733" s="1">
        <v>5</v>
      </c>
      <c r="M1733" s="1">
        <v>5</v>
      </c>
      <c r="N1733" s="1">
        <v>5</v>
      </c>
      <c r="Q1733" s="9"/>
      <c r="R1733" s="9"/>
      <c r="S1733" s="9"/>
      <c r="T1733" s="9"/>
      <c r="U1733" s="1">
        <f t="shared" si="2636"/>
        <v>40</v>
      </c>
      <c r="V1733" s="1">
        <f t="shared" si="2637"/>
        <v>216</v>
      </c>
    </row>
    <row r="1734" spans="1:22" x14ac:dyDescent="0.3">
      <c r="A1734" s="1">
        <f t="shared" si="2657"/>
        <v>40217</v>
      </c>
      <c r="B1734" s="4">
        <v>30</v>
      </c>
      <c r="C1734" s="4">
        <v>33</v>
      </c>
      <c r="D1734" s="4">
        <v>2</v>
      </c>
      <c r="E1734" s="4">
        <v>2</v>
      </c>
      <c r="F1734" s="14">
        <v>1000000</v>
      </c>
      <c r="G1734" s="8"/>
      <c r="H1734" s="7"/>
      <c r="J1734" s="24" t="str">
        <f t="shared" ref="J1734" si="2709">CONCATENATE(K1733,1)</f>
        <v>51</v>
      </c>
      <c r="K1734" s="6" t="e">
        <f t="array" ref="K1734:N1736">LINEST(B1734:B1738,C1734:C1738^{1,2,3},TRUE,TRUE)</f>
        <v>#VALUE!</v>
      </c>
      <c r="L1734" s="6" t="e">
        <v>#VALUE!</v>
      </c>
      <c r="M1734" s="6" t="e">
        <v>#VALUE!</v>
      </c>
      <c r="N1734" s="6" t="e">
        <v>#VALUE!</v>
      </c>
      <c r="Q1734" s="9"/>
      <c r="R1734" s="9"/>
      <c r="S1734" s="9"/>
      <c r="T1734" s="9"/>
      <c r="U1734" s="1">
        <f t="shared" si="2636"/>
        <v>40</v>
      </c>
      <c r="V1734" s="1">
        <f t="shared" si="2637"/>
        <v>217</v>
      </c>
    </row>
    <row r="1735" spans="1:22" x14ac:dyDescent="0.3">
      <c r="A1735" s="1">
        <f t="shared" si="2657"/>
        <v>40218</v>
      </c>
      <c r="B1735" s="4">
        <v>50</v>
      </c>
      <c r="C1735" s="4">
        <v>49</v>
      </c>
      <c r="D1735" s="4">
        <v>2</v>
      </c>
      <c r="E1735" s="4">
        <v>2</v>
      </c>
      <c r="F1735" s="14">
        <v>1000000</v>
      </c>
      <c r="G1735" s="8"/>
      <c r="H1735" s="7"/>
      <c r="J1735" s="24" t="str">
        <f t="shared" ref="J1735" si="2710">CONCATENATE(K1733,2)</f>
        <v>52</v>
      </c>
      <c r="K1735" s="6" t="e">
        <v>#VALUE!</v>
      </c>
      <c r="L1735" s="6" t="e">
        <v>#VALUE!</v>
      </c>
      <c r="M1735" s="6" t="e">
        <v>#VALUE!</v>
      </c>
      <c r="N1735" s="6" t="e">
        <v>#VALUE!</v>
      </c>
      <c r="T1735" s="9"/>
      <c r="U1735" s="1">
        <f t="shared" si="2636"/>
        <v>40</v>
      </c>
      <c r="V1735" s="1">
        <f t="shared" si="2637"/>
        <v>218</v>
      </c>
    </row>
    <row r="1736" spans="1:22" x14ac:dyDescent="0.3">
      <c r="A1736" s="1">
        <f t="shared" si="2657"/>
        <v>40219</v>
      </c>
      <c r="B1736" s="4">
        <v>80</v>
      </c>
      <c r="C1736" s="4">
        <v>76</v>
      </c>
      <c r="D1736" s="4">
        <v>2</v>
      </c>
      <c r="E1736" s="4">
        <v>2</v>
      </c>
      <c r="F1736" s="14">
        <v>1000000</v>
      </c>
      <c r="G1736" s="8"/>
      <c r="H1736" s="7"/>
      <c r="J1736" s="24" t="str">
        <f t="shared" ref="J1736" si="2711">CONCATENATE(K1733,3)</f>
        <v>53</v>
      </c>
      <c r="K1736" s="6" t="e">
        <v>#VALUE!</v>
      </c>
      <c r="L1736" s="6" t="e">
        <v>#VALUE!</v>
      </c>
      <c r="M1736" s="6" t="e">
        <v>#VALUE!</v>
      </c>
      <c r="N1736" s="6" t="e">
        <v>#VALUE!</v>
      </c>
      <c r="T1736" s="9"/>
      <c r="U1736" s="1">
        <f t="shared" si="2636"/>
        <v>40</v>
      </c>
      <c r="V1736" s="1">
        <f t="shared" si="2637"/>
        <v>219</v>
      </c>
    </row>
    <row r="1737" spans="1:22" x14ac:dyDescent="0.3">
      <c r="A1737" s="1">
        <f t="shared" si="2657"/>
        <v>40220</v>
      </c>
      <c r="B1737" s="4"/>
      <c r="C1737" s="4"/>
      <c r="D1737" s="4"/>
      <c r="E1737" s="4"/>
      <c r="F1737" s="14"/>
      <c r="G1737" s="8"/>
      <c r="H1737" s="7"/>
      <c r="K1737" s="1">
        <v>6</v>
      </c>
      <c r="L1737" s="1">
        <v>6</v>
      </c>
      <c r="M1737" s="1">
        <v>6</v>
      </c>
      <c r="N1737" s="1">
        <v>6</v>
      </c>
      <c r="O1737" s="1">
        <v>6</v>
      </c>
      <c r="T1737" s="9"/>
      <c r="U1737" s="1">
        <f t="shared" si="2636"/>
        <v>40</v>
      </c>
      <c r="V1737" s="1">
        <f t="shared" si="2637"/>
        <v>220</v>
      </c>
    </row>
    <row r="1738" spans="1:22" x14ac:dyDescent="0.3">
      <c r="A1738" s="1">
        <f t="shared" si="2657"/>
        <v>40221</v>
      </c>
      <c r="B1738" s="4"/>
      <c r="C1738" s="4"/>
      <c r="D1738" s="4"/>
      <c r="E1738" s="4"/>
      <c r="F1738" s="14"/>
      <c r="G1738" s="8"/>
      <c r="H1738" s="7"/>
      <c r="J1738" s="24" t="str">
        <f t="shared" ref="J1738" si="2712">CONCATENATE(K1737,1)</f>
        <v>61</v>
      </c>
      <c r="K1738" s="6" t="e">
        <f t="array" ref="K1738:O1740">LINEST(B1734:B1739,C1734:C1739^{1,2,3,4},TRUE,TRUE)</f>
        <v>#VALUE!</v>
      </c>
      <c r="L1738" s="6" t="e">
        <v>#VALUE!</v>
      </c>
      <c r="M1738" s="6" t="e">
        <v>#VALUE!</v>
      </c>
      <c r="N1738" s="6" t="e">
        <v>#VALUE!</v>
      </c>
      <c r="O1738" s="6" t="e">
        <v>#VALUE!</v>
      </c>
      <c r="T1738" s="9"/>
      <c r="U1738" s="1">
        <f t="shared" si="2636"/>
        <v>40</v>
      </c>
      <c r="V1738" s="1">
        <f t="shared" si="2637"/>
        <v>221</v>
      </c>
    </row>
    <row r="1739" spans="1:22" x14ac:dyDescent="0.3">
      <c r="A1739" s="1">
        <f t="shared" si="2657"/>
        <v>40222</v>
      </c>
      <c r="B1739" s="4"/>
      <c r="C1739" s="4"/>
      <c r="D1739" s="4"/>
      <c r="E1739" s="4"/>
      <c r="F1739" s="14"/>
      <c r="G1739" s="8"/>
      <c r="H1739" s="7"/>
      <c r="J1739" s="24" t="str">
        <f t="shared" ref="J1739" si="2713">CONCATENATE(K1737,2)</f>
        <v>62</v>
      </c>
      <c r="K1739" s="6" t="e">
        <v>#VALUE!</v>
      </c>
      <c r="L1739" s="6" t="e">
        <v>#VALUE!</v>
      </c>
      <c r="M1739" s="6" t="e">
        <v>#VALUE!</v>
      </c>
      <c r="N1739" s="6" t="e">
        <v>#VALUE!</v>
      </c>
      <c r="O1739" s="6" t="e">
        <v>#VALUE!</v>
      </c>
      <c r="T1739" s="9"/>
      <c r="U1739" s="1">
        <f t="shared" si="2636"/>
        <v>40</v>
      </c>
      <c r="V1739" s="1">
        <f t="shared" si="2637"/>
        <v>222</v>
      </c>
    </row>
    <row r="1740" spans="1:22" x14ac:dyDescent="0.3">
      <c r="A1740" s="1">
        <f t="shared" si="2657"/>
        <v>40223</v>
      </c>
      <c r="B1740" s="4"/>
      <c r="C1740" s="4"/>
      <c r="D1740" s="4"/>
      <c r="E1740" s="4"/>
      <c r="F1740" s="14"/>
      <c r="G1740" s="8"/>
      <c r="H1740" s="7"/>
      <c r="J1740" s="24" t="str">
        <f t="shared" ref="J1740" si="2714">CONCATENATE(K1737,3)</f>
        <v>63</v>
      </c>
      <c r="K1740" s="6" t="e">
        <v>#VALUE!</v>
      </c>
      <c r="L1740" s="6" t="e">
        <v>#VALUE!</v>
      </c>
      <c r="M1740" s="6" t="e">
        <v>#VALUE!</v>
      </c>
      <c r="N1740" s="6" t="e">
        <v>#VALUE!</v>
      </c>
      <c r="O1740" s="6" t="e">
        <v>#VALUE!</v>
      </c>
      <c r="T1740" s="9"/>
      <c r="U1740" s="1">
        <f t="shared" si="2636"/>
        <v>40</v>
      </c>
      <c r="V1740" s="1">
        <f t="shared" si="2637"/>
        <v>223</v>
      </c>
    </row>
    <row r="1741" spans="1:22" x14ac:dyDescent="0.3">
      <c r="A1741" s="1">
        <f t="shared" si="2657"/>
        <v>40224</v>
      </c>
      <c r="B1741" s="4"/>
      <c r="C1741" s="4"/>
      <c r="D1741" s="4"/>
      <c r="E1741" s="4"/>
      <c r="F1741" s="14"/>
      <c r="G1741" s="8"/>
      <c r="H1741" s="7"/>
      <c r="K1741" s="1">
        <v>7</v>
      </c>
      <c r="L1741" s="1">
        <v>7</v>
      </c>
      <c r="M1741" s="1">
        <v>7</v>
      </c>
      <c r="N1741" s="1">
        <v>7</v>
      </c>
      <c r="O1741" s="1">
        <v>7</v>
      </c>
      <c r="P1741" s="1">
        <v>7</v>
      </c>
      <c r="T1741" s="9"/>
      <c r="U1741" s="1">
        <f t="shared" si="2636"/>
        <v>40</v>
      </c>
      <c r="V1741" s="1">
        <f t="shared" si="2637"/>
        <v>224</v>
      </c>
    </row>
    <row r="1742" spans="1:22" x14ac:dyDescent="0.3">
      <c r="A1742" s="1">
        <f t="shared" si="2657"/>
        <v>40225</v>
      </c>
      <c r="B1742" s="4"/>
      <c r="C1742" s="4"/>
      <c r="D1742" s="4"/>
      <c r="E1742" s="4"/>
      <c r="F1742" s="14"/>
      <c r="G1742" s="8"/>
      <c r="H1742" s="7"/>
      <c r="J1742" s="24" t="str">
        <f t="shared" ref="J1742" si="2715">CONCATENATE(K1741,1)</f>
        <v>71</v>
      </c>
      <c r="K1742" s="6" t="e">
        <f t="array" ref="K1742:P1744">LINEST(B1734:B1740,C1734:C1740^{1,2,3,4,5},TRUE,TRUE)</f>
        <v>#VALUE!</v>
      </c>
      <c r="L1742" s="6" t="e">
        <v>#VALUE!</v>
      </c>
      <c r="M1742" s="6" t="e">
        <v>#VALUE!</v>
      </c>
      <c r="N1742" s="6" t="e">
        <v>#VALUE!</v>
      </c>
      <c r="O1742" s="6" t="e">
        <v>#VALUE!</v>
      </c>
      <c r="P1742" s="6" t="e">
        <v>#VALUE!</v>
      </c>
      <c r="T1742" s="9"/>
      <c r="U1742" s="1">
        <f t="shared" si="2636"/>
        <v>40</v>
      </c>
      <c r="V1742" s="1">
        <f t="shared" si="2637"/>
        <v>225</v>
      </c>
    </row>
    <row r="1743" spans="1:22" x14ac:dyDescent="0.3">
      <c r="A1743" s="1">
        <f t="shared" si="2657"/>
        <v>40226</v>
      </c>
      <c r="B1743" s="4"/>
      <c r="C1743" s="4"/>
      <c r="D1743" s="4"/>
      <c r="E1743" s="4"/>
      <c r="F1743" s="14"/>
      <c r="G1743" s="8"/>
      <c r="H1743" s="7"/>
      <c r="J1743" s="24" t="str">
        <f t="shared" ref="J1743" si="2716">CONCATENATE(K1741,2)</f>
        <v>72</v>
      </c>
      <c r="K1743" s="6" t="e">
        <v>#VALUE!</v>
      </c>
      <c r="L1743" s="6" t="e">
        <v>#VALUE!</v>
      </c>
      <c r="M1743" s="6" t="e">
        <v>#VALUE!</v>
      </c>
      <c r="N1743" s="6" t="e">
        <v>#VALUE!</v>
      </c>
      <c r="O1743" s="6" t="e">
        <v>#VALUE!</v>
      </c>
      <c r="P1743" s="6" t="e">
        <v>#VALUE!</v>
      </c>
      <c r="T1743" s="9"/>
      <c r="U1743" s="1">
        <f t="shared" si="2636"/>
        <v>40</v>
      </c>
      <c r="V1743" s="1">
        <f t="shared" si="2637"/>
        <v>226</v>
      </c>
    </row>
    <row r="1744" spans="1:22" x14ac:dyDescent="0.3">
      <c r="A1744" s="1">
        <f t="shared" si="2657"/>
        <v>40227</v>
      </c>
      <c r="B1744" s="9"/>
      <c r="C1744" s="9"/>
      <c r="D1744" s="9"/>
      <c r="E1744" s="9"/>
      <c r="F1744" s="9"/>
      <c r="G1744" s="9"/>
      <c r="H1744" s="9"/>
      <c r="J1744" s="24" t="str">
        <f t="shared" ref="J1744" si="2717">CONCATENATE(K1741,3)</f>
        <v>73</v>
      </c>
      <c r="K1744" s="6" t="e">
        <v>#VALUE!</v>
      </c>
      <c r="L1744" s="6" t="e">
        <v>#VALUE!</v>
      </c>
      <c r="M1744" s="6" t="e">
        <v>#VALUE!</v>
      </c>
      <c r="N1744" s="6" t="e">
        <v>#VALUE!</v>
      </c>
      <c r="O1744" s="6" t="e">
        <v>#VALUE!</v>
      </c>
      <c r="P1744" s="6" t="e">
        <v>#VALUE!</v>
      </c>
      <c r="T1744" s="9"/>
      <c r="U1744" s="1">
        <f t="shared" si="2636"/>
        <v>40</v>
      </c>
      <c r="V1744" s="1">
        <f t="shared" si="2637"/>
        <v>227</v>
      </c>
    </row>
    <row r="1745" spans="1:22" x14ac:dyDescent="0.3">
      <c r="A1745" s="1">
        <f t="shared" si="2657"/>
        <v>40228</v>
      </c>
      <c r="B1745" s="87" t="s">
        <v>33</v>
      </c>
      <c r="C1745" s="88"/>
      <c r="D1745" s="88"/>
      <c r="E1745" s="88"/>
      <c r="F1745" s="88"/>
      <c r="G1745" s="88"/>
      <c r="H1745" s="89"/>
      <c r="K1745" s="1">
        <v>8</v>
      </c>
      <c r="L1745" s="1">
        <v>8</v>
      </c>
      <c r="M1745" s="1">
        <v>8</v>
      </c>
      <c r="N1745" s="1">
        <v>8</v>
      </c>
      <c r="O1745" s="1">
        <v>8</v>
      </c>
      <c r="P1745" s="1">
        <v>8</v>
      </c>
      <c r="Q1745" s="1">
        <v>8</v>
      </c>
      <c r="T1745" s="9"/>
      <c r="U1745" s="1">
        <f t="shared" si="2636"/>
        <v>40</v>
      </c>
      <c r="V1745" s="1">
        <f t="shared" si="2637"/>
        <v>228</v>
      </c>
    </row>
    <row r="1746" spans="1:22" x14ac:dyDescent="0.3">
      <c r="A1746" s="1">
        <f t="shared" si="2657"/>
        <v>40229</v>
      </c>
      <c r="B1746" s="90"/>
      <c r="C1746" s="91"/>
      <c r="D1746" s="91"/>
      <c r="E1746" s="91"/>
      <c r="F1746" s="91"/>
      <c r="G1746" s="91"/>
      <c r="H1746" s="92"/>
      <c r="J1746" s="24" t="str">
        <f t="shared" ref="J1746" si="2718">CONCATENATE(K1745,1)</f>
        <v>81</v>
      </c>
      <c r="K1746" s="6" t="e">
        <f t="array" ref="K1746:Q1748">LINEST(B1734:B1741,C1734:C1741^{1,2,3,4,5,6},TRUE,TRUE)</f>
        <v>#VALUE!</v>
      </c>
      <c r="L1746" s="6" t="e">
        <v>#VALUE!</v>
      </c>
      <c r="M1746" s="6" t="e">
        <v>#VALUE!</v>
      </c>
      <c r="N1746" s="6" t="e">
        <v>#VALUE!</v>
      </c>
      <c r="O1746" s="6" t="e">
        <v>#VALUE!</v>
      </c>
      <c r="P1746" s="6" t="e">
        <v>#VALUE!</v>
      </c>
      <c r="Q1746" s="6" t="e">
        <v>#VALUE!</v>
      </c>
      <c r="T1746" s="9"/>
      <c r="U1746" s="1">
        <f t="shared" si="2636"/>
        <v>40</v>
      </c>
      <c r="V1746" s="1">
        <f t="shared" si="2637"/>
        <v>229</v>
      </c>
    </row>
    <row r="1747" spans="1:22" x14ac:dyDescent="0.3">
      <c r="A1747" s="1">
        <f t="shared" si="2657"/>
        <v>40230</v>
      </c>
      <c r="B1747" s="93"/>
      <c r="C1747" s="94"/>
      <c r="D1747" s="94"/>
      <c r="E1747" s="94"/>
      <c r="F1747" s="94"/>
      <c r="G1747" s="94"/>
      <c r="H1747" s="95"/>
      <c r="J1747" s="24" t="str">
        <f t="shared" ref="J1747" si="2719">CONCATENATE(K1745,2)</f>
        <v>82</v>
      </c>
      <c r="K1747" s="6" t="e">
        <v>#VALUE!</v>
      </c>
      <c r="L1747" s="6" t="e">
        <v>#VALUE!</v>
      </c>
      <c r="M1747" s="6" t="e">
        <v>#VALUE!</v>
      </c>
      <c r="N1747" s="6" t="e">
        <v>#VALUE!</v>
      </c>
      <c r="O1747" s="6" t="e">
        <v>#VALUE!</v>
      </c>
      <c r="P1747" s="6" t="e">
        <v>#VALUE!</v>
      </c>
      <c r="Q1747" s="6" t="e">
        <v>#VALUE!</v>
      </c>
      <c r="T1747" s="9"/>
      <c r="U1747" s="1">
        <f t="shared" si="2636"/>
        <v>40</v>
      </c>
      <c r="V1747" s="1">
        <f t="shared" si="2637"/>
        <v>230</v>
      </c>
    </row>
    <row r="1748" spans="1:22" x14ac:dyDescent="0.3">
      <c r="A1748" s="1">
        <f t="shared" si="2657"/>
        <v>40231</v>
      </c>
      <c r="J1748" s="24" t="str">
        <f t="shared" ref="J1748" si="2720">CONCATENATE(K1745,3)</f>
        <v>83</v>
      </c>
      <c r="K1748" s="6" t="e">
        <v>#VALUE!</v>
      </c>
      <c r="L1748" s="6" t="e">
        <v>#VALUE!</v>
      </c>
      <c r="M1748" s="6" t="e">
        <v>#VALUE!</v>
      </c>
      <c r="N1748" s="6" t="e">
        <v>#VALUE!</v>
      </c>
      <c r="O1748" s="6" t="e">
        <v>#VALUE!</v>
      </c>
      <c r="P1748" s="6" t="e">
        <v>#VALUE!</v>
      </c>
      <c r="Q1748" s="6" t="e">
        <v>#VALUE!</v>
      </c>
      <c r="T1748" s="9"/>
      <c r="U1748" s="1">
        <f t="shared" si="2636"/>
        <v>40</v>
      </c>
      <c r="V1748" s="1">
        <f t="shared" si="2637"/>
        <v>231</v>
      </c>
    </row>
    <row r="1749" spans="1:22" ht="15" customHeight="1" x14ac:dyDescent="0.3">
      <c r="A1749" s="1">
        <f t="shared" si="2657"/>
        <v>40232</v>
      </c>
      <c r="B1749" s="10" t="s">
        <v>34</v>
      </c>
      <c r="C1749" s="10" t="s">
        <v>35</v>
      </c>
      <c r="D1749" s="10" t="s">
        <v>36</v>
      </c>
      <c r="E1749" s="74" t="s">
        <v>37</v>
      </c>
      <c r="F1749" s="75"/>
      <c r="G1749" s="76"/>
      <c r="K1749" s="1">
        <v>9</v>
      </c>
      <c r="L1749" s="1">
        <v>9</v>
      </c>
      <c r="M1749" s="1">
        <v>9</v>
      </c>
      <c r="N1749" s="1">
        <v>9</v>
      </c>
      <c r="O1749" s="1">
        <v>9</v>
      </c>
      <c r="P1749" s="1">
        <v>9</v>
      </c>
      <c r="Q1749" s="1">
        <v>9</v>
      </c>
      <c r="R1749" s="1">
        <v>9</v>
      </c>
      <c r="T1749" s="9"/>
      <c r="U1749" s="1">
        <f t="shared" si="2636"/>
        <v>40</v>
      </c>
      <c r="V1749" s="1">
        <f t="shared" si="2637"/>
        <v>232</v>
      </c>
    </row>
    <row r="1750" spans="1:22" x14ac:dyDescent="0.3">
      <c r="A1750" s="1">
        <f t="shared" si="2657"/>
        <v>40233</v>
      </c>
      <c r="B1750" s="12">
        <f t="shared" ref="B1750:B1759" si="2721">C1734-B1734</f>
        <v>3</v>
      </c>
      <c r="C1750" s="13">
        <f t="shared" ref="C1750:C1759" si="2722">H1734-G1734</f>
        <v>0</v>
      </c>
      <c r="D1750" s="10">
        <f t="shared" ref="D1750:D1759" si="2723">C1750-B1750</f>
        <v>-3</v>
      </c>
      <c r="E1750" s="11">
        <f t="shared" ref="E1750" si="2724">IF(D1725="","",MAX(F1750,G1750))</f>
        <v>4</v>
      </c>
      <c r="F1750" s="10">
        <f t="shared" ref="F1750" si="2725">ABS(MIN(D1750:D1759))</f>
        <v>3</v>
      </c>
      <c r="G1750" s="10">
        <f t="shared" ref="G1750" si="2726">ABS(MAX(D1750:D1759))</f>
        <v>4</v>
      </c>
      <c r="J1750" s="24" t="str">
        <f t="shared" ref="J1750" si="2727">CONCATENATE(K1749,1)</f>
        <v>91</v>
      </c>
      <c r="K1750" s="6" t="e">
        <f t="array" ref="K1750:R1752">LINEST(B1734:B1742,C1734:C1742^{1,2,3,4,5,6,7},TRUE,TRUE)</f>
        <v>#VALUE!</v>
      </c>
      <c r="L1750" s="6" t="e">
        <v>#VALUE!</v>
      </c>
      <c r="M1750" s="6" t="e">
        <v>#VALUE!</v>
      </c>
      <c r="N1750" s="6" t="e">
        <v>#VALUE!</v>
      </c>
      <c r="O1750" s="6" t="e">
        <v>#VALUE!</v>
      </c>
      <c r="P1750" s="6" t="e">
        <v>#VALUE!</v>
      </c>
      <c r="Q1750" s="6" t="e">
        <v>#VALUE!</v>
      </c>
      <c r="R1750" s="6" t="e">
        <v>#VALUE!</v>
      </c>
      <c r="T1750" s="9"/>
      <c r="U1750" s="1">
        <f t="shared" si="2636"/>
        <v>40</v>
      </c>
      <c r="V1750" s="1">
        <f t="shared" si="2637"/>
        <v>233</v>
      </c>
    </row>
    <row r="1751" spans="1:22" x14ac:dyDescent="0.3">
      <c r="A1751" s="1">
        <f t="shared" si="2657"/>
        <v>40234</v>
      </c>
      <c r="B1751" s="12">
        <f t="shared" si="2721"/>
        <v>-1</v>
      </c>
      <c r="C1751" s="13">
        <f t="shared" si="2722"/>
        <v>0</v>
      </c>
      <c r="D1751" s="10">
        <f t="shared" si="2723"/>
        <v>1</v>
      </c>
      <c r="E1751" s="74" t="s">
        <v>38</v>
      </c>
      <c r="F1751" s="75"/>
      <c r="G1751" s="76"/>
      <c r="J1751" s="24" t="str">
        <f t="shared" ref="J1751" si="2728">CONCATENATE(K1749,2)</f>
        <v>92</v>
      </c>
      <c r="K1751" s="6" t="e">
        <v>#VALUE!</v>
      </c>
      <c r="L1751" s="6" t="e">
        <v>#VALUE!</v>
      </c>
      <c r="M1751" s="6" t="e">
        <v>#VALUE!</v>
      </c>
      <c r="N1751" s="6" t="e">
        <v>#VALUE!</v>
      </c>
      <c r="O1751" s="6" t="e">
        <v>#VALUE!</v>
      </c>
      <c r="P1751" s="6" t="e">
        <v>#VALUE!</v>
      </c>
      <c r="Q1751" s="6" t="e">
        <v>#VALUE!</v>
      </c>
      <c r="R1751" s="6" t="e">
        <v>#VALUE!</v>
      </c>
      <c r="T1751" s="9"/>
      <c r="U1751" s="1">
        <f t="shared" si="2636"/>
        <v>40</v>
      </c>
      <c r="V1751" s="1">
        <f t="shared" si="2637"/>
        <v>234</v>
      </c>
    </row>
    <row r="1752" spans="1:22" x14ac:dyDescent="0.3">
      <c r="A1752" s="1">
        <f t="shared" si="2657"/>
        <v>40235</v>
      </c>
      <c r="B1752" s="12">
        <f t="shared" si="2721"/>
        <v>-4</v>
      </c>
      <c r="C1752" s="13">
        <f t="shared" si="2722"/>
        <v>0</v>
      </c>
      <c r="D1752" s="10">
        <f t="shared" si="2723"/>
        <v>4</v>
      </c>
      <c r="E1752" s="11">
        <f t="shared" ref="E1752" si="2729">IF(D1725="","",MAX(F1752,G1752))</f>
        <v>4</v>
      </c>
      <c r="F1752" s="10">
        <f t="shared" ref="F1752" si="2730">ABS(MIN(B1750:B1759))</f>
        <v>4</v>
      </c>
      <c r="G1752" s="10">
        <f t="shared" ref="G1752" si="2731">ABS(MAX(B1750:B1759))</f>
        <v>3</v>
      </c>
      <c r="J1752" s="24" t="str">
        <f t="shared" ref="J1752" si="2732">CONCATENATE(K1749,3)</f>
        <v>93</v>
      </c>
      <c r="K1752" s="6" t="e">
        <v>#VALUE!</v>
      </c>
      <c r="L1752" s="6" t="e">
        <v>#VALUE!</v>
      </c>
      <c r="M1752" s="6" t="e">
        <v>#VALUE!</v>
      </c>
      <c r="N1752" s="6" t="e">
        <v>#VALUE!</v>
      </c>
      <c r="O1752" s="6" t="e">
        <v>#VALUE!</v>
      </c>
      <c r="P1752" s="6" t="e">
        <v>#VALUE!</v>
      </c>
      <c r="Q1752" s="6" t="e">
        <v>#VALUE!</v>
      </c>
      <c r="R1752" s="6" t="e">
        <v>#VALUE!</v>
      </c>
      <c r="T1752" s="9"/>
      <c r="U1752" s="1">
        <f t="shared" si="2636"/>
        <v>40</v>
      </c>
      <c r="V1752" s="1">
        <f t="shared" si="2637"/>
        <v>235</v>
      </c>
    </row>
    <row r="1753" spans="1:22" x14ac:dyDescent="0.3">
      <c r="A1753" s="1">
        <f t="shared" si="2657"/>
        <v>40236</v>
      </c>
      <c r="B1753" s="12">
        <f t="shared" si="2721"/>
        <v>0</v>
      </c>
      <c r="C1753" s="13">
        <f t="shared" si="2722"/>
        <v>0</v>
      </c>
      <c r="D1753" s="10">
        <f t="shared" si="2723"/>
        <v>0</v>
      </c>
      <c r="E1753" s="74" t="s">
        <v>39</v>
      </c>
      <c r="F1753" s="75"/>
      <c r="G1753" s="76"/>
      <c r="K1753" s="1">
        <v>10</v>
      </c>
      <c r="L1753" s="1">
        <v>10</v>
      </c>
      <c r="M1753" s="1">
        <v>10</v>
      </c>
      <c r="N1753" s="1">
        <v>10</v>
      </c>
      <c r="O1753" s="1">
        <v>10</v>
      </c>
      <c r="P1753" s="1">
        <v>10</v>
      </c>
      <c r="Q1753" s="1">
        <v>10</v>
      </c>
      <c r="R1753" s="1">
        <v>10</v>
      </c>
      <c r="S1753" s="1">
        <v>10</v>
      </c>
      <c r="T1753" s="9"/>
      <c r="U1753" s="1">
        <f t="shared" si="2636"/>
        <v>40</v>
      </c>
      <c r="V1753" s="1">
        <f t="shared" si="2637"/>
        <v>236</v>
      </c>
    </row>
    <row r="1754" spans="1:22" x14ac:dyDescent="0.3">
      <c r="A1754" s="1">
        <f t="shared" si="2657"/>
        <v>40237</v>
      </c>
      <c r="B1754" s="12">
        <f t="shared" si="2721"/>
        <v>0</v>
      </c>
      <c r="C1754" s="13">
        <f t="shared" si="2722"/>
        <v>0</v>
      </c>
      <c r="D1754" s="10">
        <f t="shared" si="2723"/>
        <v>0</v>
      </c>
      <c r="E1754" s="11">
        <f t="shared" ref="E1754" si="2733">IF(D1725="","",MAX(F1754,G1754))</f>
        <v>2</v>
      </c>
      <c r="F1754" s="10">
        <f t="shared" ref="F1754" si="2734">ABS(MIN(D1734:D1743))</f>
        <v>2</v>
      </c>
      <c r="G1754" s="10">
        <f t="shared" ref="G1754" si="2735">ABS(MAX(D1734:D1743))</f>
        <v>2</v>
      </c>
      <c r="J1754" s="24" t="str">
        <f t="shared" ref="J1754" si="2736">CONCATENATE(K1753,1)</f>
        <v>101</v>
      </c>
      <c r="K1754" s="6" t="e">
        <f t="array" ref="K1754:S1756">LINEST(B1734:B1743,C1734:C1743^{1,2,3,4,5,6,7,8},TRUE,TRUE)</f>
        <v>#VALUE!</v>
      </c>
      <c r="L1754" s="6" t="e">
        <v>#VALUE!</v>
      </c>
      <c r="M1754" s="6" t="e">
        <v>#VALUE!</v>
      </c>
      <c r="N1754" s="6" t="e">
        <v>#VALUE!</v>
      </c>
      <c r="O1754" s="6" t="e">
        <v>#VALUE!</v>
      </c>
      <c r="P1754" s="6" t="e">
        <v>#VALUE!</v>
      </c>
      <c r="Q1754" s="6" t="e">
        <v>#VALUE!</v>
      </c>
      <c r="R1754" s="6" t="e">
        <v>#VALUE!</v>
      </c>
      <c r="S1754" s="6" t="e">
        <v>#VALUE!</v>
      </c>
      <c r="T1754" s="9"/>
      <c r="U1754" s="1">
        <f t="shared" si="2636"/>
        <v>40</v>
      </c>
      <c r="V1754" s="1">
        <f t="shared" si="2637"/>
        <v>237</v>
      </c>
    </row>
    <row r="1755" spans="1:22" x14ac:dyDescent="0.3">
      <c r="A1755" s="1">
        <f t="shared" si="2657"/>
        <v>40238</v>
      </c>
      <c r="B1755" s="12">
        <f t="shared" si="2721"/>
        <v>0</v>
      </c>
      <c r="C1755" s="13">
        <f t="shared" si="2722"/>
        <v>0</v>
      </c>
      <c r="D1755" s="10">
        <f t="shared" si="2723"/>
        <v>0</v>
      </c>
      <c r="J1755" s="24" t="str">
        <f t="shared" ref="J1755" si="2737">CONCATENATE(K1753,2)</f>
        <v>102</v>
      </c>
      <c r="K1755" s="6" t="e">
        <v>#VALUE!</v>
      </c>
      <c r="L1755" s="6" t="e">
        <v>#VALUE!</v>
      </c>
      <c r="M1755" s="6" t="e">
        <v>#VALUE!</v>
      </c>
      <c r="N1755" s="6" t="e">
        <v>#VALUE!</v>
      </c>
      <c r="O1755" s="6" t="e">
        <v>#VALUE!</v>
      </c>
      <c r="P1755" s="6" t="e">
        <v>#VALUE!</v>
      </c>
      <c r="Q1755" s="6" t="e">
        <v>#VALUE!</v>
      </c>
      <c r="R1755" s="6" t="e">
        <v>#VALUE!</v>
      </c>
      <c r="S1755" s="6" t="e">
        <v>#VALUE!</v>
      </c>
      <c r="T1755" s="9"/>
      <c r="U1755" s="1">
        <f t="shared" ref="U1755:U1818" si="2738">U1754</f>
        <v>40</v>
      </c>
      <c r="V1755" s="1">
        <f t="shared" ref="V1755:V1818" si="2739">V1754+1</f>
        <v>238</v>
      </c>
    </row>
    <row r="1756" spans="1:22" x14ac:dyDescent="0.3">
      <c r="A1756" s="1">
        <f t="shared" si="2657"/>
        <v>40239</v>
      </c>
      <c r="B1756" s="12">
        <f t="shared" si="2721"/>
        <v>0</v>
      </c>
      <c r="C1756" s="13">
        <f t="shared" si="2722"/>
        <v>0</v>
      </c>
      <c r="D1756" s="10">
        <f t="shared" si="2723"/>
        <v>0</v>
      </c>
      <c r="J1756" s="24" t="str">
        <f t="shared" ref="J1756" si="2740">CONCATENATE(K1753,3)</f>
        <v>103</v>
      </c>
      <c r="K1756" s="6" t="e">
        <v>#VALUE!</v>
      </c>
      <c r="L1756" s="6" t="e">
        <v>#VALUE!</v>
      </c>
      <c r="M1756" s="6" t="e">
        <v>#VALUE!</v>
      </c>
      <c r="N1756" s="6" t="e">
        <v>#VALUE!</v>
      </c>
      <c r="O1756" s="6" t="e">
        <v>#VALUE!</v>
      </c>
      <c r="P1756" s="6" t="e">
        <v>#VALUE!</v>
      </c>
      <c r="Q1756" s="6" t="e">
        <v>#VALUE!</v>
      </c>
      <c r="R1756" s="6" t="e">
        <v>#VALUE!</v>
      </c>
      <c r="S1756" s="6" t="e">
        <v>#VALUE!</v>
      </c>
      <c r="T1756" s="9"/>
      <c r="U1756" s="1">
        <f t="shared" si="2738"/>
        <v>40</v>
      </c>
      <c r="V1756" s="1">
        <f t="shared" si="2739"/>
        <v>239</v>
      </c>
    </row>
    <row r="1757" spans="1:22" x14ac:dyDescent="0.3">
      <c r="A1757" s="1">
        <f t="shared" si="2657"/>
        <v>40240</v>
      </c>
      <c r="B1757" s="12">
        <f t="shared" si="2721"/>
        <v>0</v>
      </c>
      <c r="C1757" s="13">
        <f t="shared" si="2722"/>
        <v>0</v>
      </c>
      <c r="D1757" s="10">
        <f t="shared" si="2723"/>
        <v>0</v>
      </c>
      <c r="J1757" s="9"/>
      <c r="K1757" s="9"/>
      <c r="L1757" s="9"/>
      <c r="M1757" s="9"/>
      <c r="N1757" s="9"/>
      <c r="O1757" s="9"/>
      <c r="P1757" s="9"/>
      <c r="Q1757" s="9"/>
      <c r="R1757" s="9"/>
      <c r="S1757" s="9"/>
      <c r="T1757" s="9"/>
      <c r="U1757" s="1">
        <f t="shared" si="2738"/>
        <v>40</v>
      </c>
      <c r="V1757" s="1">
        <f t="shared" si="2739"/>
        <v>240</v>
      </c>
    </row>
    <row r="1758" spans="1:22" x14ac:dyDescent="0.3">
      <c r="A1758" s="1">
        <f t="shared" si="2657"/>
        <v>40241</v>
      </c>
      <c r="B1758" s="12">
        <f t="shared" si="2721"/>
        <v>0</v>
      </c>
      <c r="C1758" s="13">
        <f t="shared" si="2722"/>
        <v>0</v>
      </c>
      <c r="D1758" s="10">
        <f t="shared" si="2723"/>
        <v>0</v>
      </c>
      <c r="J1758" s="9"/>
      <c r="K1758" s="9"/>
      <c r="L1758" s="9"/>
      <c r="M1758" s="9"/>
      <c r="N1758" s="9"/>
      <c r="O1758" s="9"/>
      <c r="P1758" s="9"/>
      <c r="Q1758" s="9"/>
      <c r="R1758" s="9"/>
      <c r="S1758" s="9"/>
      <c r="T1758" s="9"/>
      <c r="U1758" s="1">
        <f t="shared" si="2738"/>
        <v>40</v>
      </c>
      <c r="V1758" s="1">
        <f t="shared" si="2739"/>
        <v>241</v>
      </c>
    </row>
    <row r="1759" spans="1:22" x14ac:dyDescent="0.3">
      <c r="A1759" s="1">
        <f t="shared" si="2657"/>
        <v>40242</v>
      </c>
      <c r="B1759" s="12">
        <f t="shared" si="2721"/>
        <v>0</v>
      </c>
      <c r="C1759" s="13">
        <f t="shared" si="2722"/>
        <v>0</v>
      </c>
      <c r="D1759" s="10">
        <f t="shared" si="2723"/>
        <v>0</v>
      </c>
      <c r="J1759" s="9"/>
      <c r="K1759" s="9"/>
      <c r="L1759" s="9"/>
      <c r="M1759" s="9"/>
      <c r="N1759" s="9"/>
      <c r="O1759" s="9"/>
      <c r="P1759" s="9"/>
      <c r="Q1759" s="9"/>
      <c r="R1759" s="9"/>
      <c r="S1759" s="9"/>
      <c r="T1759" s="9"/>
      <c r="U1759" s="1">
        <f t="shared" si="2738"/>
        <v>40</v>
      </c>
      <c r="V1759" s="1">
        <f t="shared" si="2739"/>
        <v>242</v>
      </c>
    </row>
    <row r="1760" spans="1:22" x14ac:dyDescent="0.3">
      <c r="A1760" s="1">
        <f t="shared" si="2657"/>
        <v>40243</v>
      </c>
      <c r="J1760" s="9"/>
      <c r="K1760" s="9"/>
      <c r="L1760" s="9"/>
      <c r="M1760" s="9"/>
      <c r="N1760" s="9"/>
      <c r="O1760" s="9"/>
      <c r="P1760" s="9"/>
      <c r="Q1760" s="9"/>
      <c r="R1760" s="9"/>
      <c r="S1760" s="9"/>
      <c r="T1760" s="9"/>
      <c r="U1760" s="1">
        <f t="shared" si="2738"/>
        <v>40</v>
      </c>
      <c r="V1760" s="1">
        <f t="shared" si="2739"/>
        <v>243</v>
      </c>
    </row>
    <row r="1761" spans="1:22" s="5" customFormat="1" x14ac:dyDescent="0.3"/>
    <row r="1762" spans="1:22" x14ac:dyDescent="0.3">
      <c r="A1762" s="1">
        <f t="shared" ref="A1762:A1804" si="2741">ROUND(CONCATENATE(U1762,V1762),0)</f>
        <v>41201</v>
      </c>
      <c r="B1762" s="96" t="s">
        <v>0</v>
      </c>
      <c r="C1762" s="97"/>
      <c r="D1762" s="110" t="s">
        <v>46</v>
      </c>
      <c r="E1762" s="111"/>
      <c r="F1762" s="111"/>
      <c r="G1762" s="111"/>
      <c r="H1762" s="112"/>
      <c r="J1762" s="9"/>
      <c r="K1762" s="9"/>
      <c r="L1762" s="9"/>
      <c r="M1762" s="9"/>
      <c r="N1762" s="9"/>
      <c r="O1762" s="9"/>
      <c r="P1762" s="9"/>
      <c r="Q1762" s="9"/>
      <c r="R1762" s="9"/>
      <c r="S1762" s="9"/>
      <c r="T1762" s="9"/>
      <c r="U1762" s="1">
        <f t="shared" ref="U1762" si="2742">U1760+1</f>
        <v>41</v>
      </c>
      <c r="V1762" s="1">
        <v>201</v>
      </c>
    </row>
    <row r="1763" spans="1:22" x14ac:dyDescent="0.3">
      <c r="A1763" s="1">
        <f t="shared" si="2741"/>
        <v>41202</v>
      </c>
      <c r="B1763" s="96" t="s">
        <v>1</v>
      </c>
      <c r="C1763" s="97"/>
      <c r="D1763" s="15">
        <v>20</v>
      </c>
      <c r="E1763" s="16" t="s">
        <v>2</v>
      </c>
      <c r="F1763" s="107"/>
      <c r="G1763" s="108"/>
      <c r="H1763" s="109"/>
      <c r="J1763" s="9"/>
      <c r="K1763" s="9"/>
      <c r="L1763" s="9"/>
      <c r="M1763" s="9"/>
      <c r="N1763" s="9"/>
      <c r="O1763" s="9"/>
      <c r="P1763" s="9"/>
      <c r="Q1763" s="9"/>
      <c r="R1763" s="9"/>
      <c r="S1763" s="9"/>
      <c r="T1763" s="9"/>
      <c r="U1763" s="1">
        <f t="shared" ref="U1763" si="2743">U1762</f>
        <v>41</v>
      </c>
      <c r="V1763" s="1">
        <f t="shared" ref="V1763" si="2744">V1762+1</f>
        <v>202</v>
      </c>
    </row>
    <row r="1764" spans="1:22" x14ac:dyDescent="0.3">
      <c r="A1764" s="1">
        <f t="shared" si="2741"/>
        <v>41203</v>
      </c>
      <c r="B1764" s="96" t="s">
        <v>12</v>
      </c>
      <c r="C1764" s="97"/>
      <c r="D1764" s="110" t="s">
        <v>251</v>
      </c>
      <c r="E1764" s="111"/>
      <c r="F1764" s="111"/>
      <c r="G1764" s="111"/>
      <c r="H1764" s="112"/>
      <c r="K1764" s="1" t="s">
        <v>3</v>
      </c>
      <c r="L1764" s="1" t="s">
        <v>4</v>
      </c>
      <c r="M1764" s="1" t="s">
        <v>5</v>
      </c>
      <c r="N1764" s="1" t="s">
        <v>6</v>
      </c>
      <c r="O1764" s="1" t="s">
        <v>7</v>
      </c>
      <c r="P1764" s="1" t="s">
        <v>8</v>
      </c>
      <c r="Q1764" s="1" t="s">
        <v>9</v>
      </c>
      <c r="R1764" s="1" t="s">
        <v>10</v>
      </c>
      <c r="S1764" s="1" t="s">
        <v>11</v>
      </c>
      <c r="T1764" s="9"/>
      <c r="U1764" s="1">
        <f t="shared" si="2738"/>
        <v>41</v>
      </c>
      <c r="V1764" s="1">
        <f t="shared" si="2739"/>
        <v>203</v>
      </c>
    </row>
    <row r="1765" spans="1:22" x14ac:dyDescent="0.3">
      <c r="A1765" s="1">
        <f t="shared" si="2741"/>
        <v>41204</v>
      </c>
      <c r="B1765" s="96" t="s">
        <v>13</v>
      </c>
      <c r="C1765" s="97"/>
      <c r="D1765" s="110" t="s">
        <v>65</v>
      </c>
      <c r="E1765" s="111"/>
      <c r="F1765" s="111"/>
      <c r="G1765" s="111"/>
      <c r="H1765" s="112"/>
      <c r="J1765" s="1">
        <f t="shared" ref="J1765" si="2745">COUNTA(B1778:B1787)</f>
        <v>4</v>
      </c>
      <c r="K1765" s="1">
        <f t="shared" ref="K1765" si="2746">IF(L1765-1&lt;2,0,L1765-1)</f>
        <v>0</v>
      </c>
      <c r="L1765" s="1">
        <f t="shared" ref="L1765" si="2747">IF(M1765-1&lt;2,0,M1765-1)</f>
        <v>0</v>
      </c>
      <c r="M1765" s="1">
        <f t="shared" ref="M1765" si="2748">IF(N1765-1&lt;2,0,N1765-1)</f>
        <v>0</v>
      </c>
      <c r="N1765" s="1">
        <f t="shared" ref="N1765" si="2749">IF(O1765-1&lt;2,0,O1765-1)</f>
        <v>0</v>
      </c>
      <c r="O1765" s="1">
        <f t="shared" ref="O1765" si="2750">IF(P1765-1&lt;2,0,P1765-1)</f>
        <v>0</v>
      </c>
      <c r="P1765" s="1">
        <f t="shared" ref="P1765" si="2751">IF(Q1765-1&lt;2,0,Q1765-1)</f>
        <v>0</v>
      </c>
      <c r="Q1765" s="1">
        <f t="shared" ref="Q1765" si="2752">IF(R1765-1&lt;2,0,R1765-1)</f>
        <v>2</v>
      </c>
      <c r="R1765" s="1">
        <f t="shared" ref="R1765" si="2753">IF(S1765-1&lt;2,0,S1765-1)</f>
        <v>3</v>
      </c>
      <c r="S1765" s="1">
        <f t="shared" ref="S1765" si="2754">J1765</f>
        <v>4</v>
      </c>
      <c r="T1765" s="9"/>
      <c r="U1765" s="1">
        <f t="shared" si="2738"/>
        <v>41</v>
      </c>
      <c r="V1765" s="1">
        <f t="shared" si="2739"/>
        <v>204</v>
      </c>
    </row>
    <row r="1766" spans="1:22" x14ac:dyDescent="0.3">
      <c r="A1766" s="1">
        <f t="shared" si="2741"/>
        <v>41205</v>
      </c>
      <c r="B1766" s="96" t="s">
        <v>14</v>
      </c>
      <c r="C1766" s="97"/>
      <c r="D1766" s="110" t="s">
        <v>66</v>
      </c>
      <c r="E1766" s="111"/>
      <c r="F1766" s="111"/>
      <c r="G1766" s="111"/>
      <c r="H1766" s="112"/>
      <c r="J1766" s="24" t="str">
        <f t="shared" ref="J1766" si="2755">CONCATENATE(J1765,1)</f>
        <v>41</v>
      </c>
      <c r="K1766" s="25">
        <f t="shared" ref="K1766" si="2756">IF(K1765=0,0,VLOOKUP(J1766,J1770:S1800,K1765,FALSE))</f>
        <v>0</v>
      </c>
      <c r="L1766" s="25">
        <f t="shared" ref="L1766" si="2757">IF(L1765=0,0,VLOOKUP(J1766,J1770:S1800,L1765,FALSE))</f>
        <v>0</v>
      </c>
      <c r="M1766" s="25">
        <f t="shared" ref="M1766" si="2758">IF(M1765=0,0,VLOOKUP(J1766,J1770:S1800,M1765,FALSE))</f>
        <v>0</v>
      </c>
      <c r="N1766" s="25">
        <f t="shared" ref="N1766" si="2759">IF(N1765=0,0,VLOOKUP(J1766,J1770:S1800,N1765,FALSE))</f>
        <v>0</v>
      </c>
      <c r="O1766" s="25">
        <f t="shared" ref="O1766" si="2760">IF(O1765=0,0,VLOOKUP(J1766,J1770:S1800,O1765,FALSE))</f>
        <v>0</v>
      </c>
      <c r="P1766" s="25">
        <f t="shared" ref="P1766" si="2761">IF(P1765=0,0,VLOOKUP(J1766,J1770:S1800,P1765,FALSE))</f>
        <v>0</v>
      </c>
      <c r="Q1766" s="25">
        <f t="shared" ref="Q1766" si="2762">IF(Q1765=0,0,VLOOKUP(J1766,J1770:S1800,Q1765,FALSE))</f>
        <v>0</v>
      </c>
      <c r="R1766" s="25">
        <f t="shared" ref="R1766" si="2763">IF(R1765=0,0,VLOOKUP(J1766,J1770:S1800,R1765,FALSE))</f>
        <v>0.98029793368572804</v>
      </c>
      <c r="S1766" s="25">
        <f t="shared" ref="S1766" si="2764">IF(S1765=0,0,VLOOKUP(J1766,J1770:S1800,S1765,FALSE))</f>
        <v>2.6525708793849105</v>
      </c>
      <c r="T1766" s="9"/>
      <c r="U1766" s="1">
        <f t="shared" si="2738"/>
        <v>41</v>
      </c>
      <c r="V1766" s="1">
        <f t="shared" si="2739"/>
        <v>205</v>
      </c>
    </row>
    <row r="1767" spans="1:22" x14ac:dyDescent="0.3">
      <c r="A1767" s="1">
        <f t="shared" si="2741"/>
        <v>41206</v>
      </c>
      <c r="B1767" s="96" t="s">
        <v>15</v>
      </c>
      <c r="C1767" s="97"/>
      <c r="D1767" s="110" t="s">
        <v>345</v>
      </c>
      <c r="E1767" s="111"/>
      <c r="F1767" s="111"/>
      <c r="G1767" s="111"/>
      <c r="H1767" s="112"/>
      <c r="J1767" s="24" t="str">
        <f t="shared" ref="J1767" si="2765">CONCATENATE(J1765,2)</f>
        <v>42</v>
      </c>
      <c r="K1767" s="6">
        <f t="shared" ref="K1767" si="2766">IF(K1765=0,0,VLOOKUP(J1767,J1770:S1800,K1765,FALSE))</f>
        <v>0</v>
      </c>
      <c r="L1767" s="6">
        <f t="shared" ref="L1767" si="2767">IF(L1765=0,0,VLOOKUP(J1767,J1770:S1800,L1765,FALSE))</f>
        <v>0</v>
      </c>
      <c r="M1767" s="6">
        <f t="shared" ref="M1767" si="2768">IF(M1765=0,0,VLOOKUP(J1767,J1770:S1800,M1765,FALSE))</f>
        <v>0</v>
      </c>
      <c r="N1767" s="6">
        <f t="shared" ref="N1767" si="2769">IF(N1765=0,0,VLOOKUP(J1767,J1770:S1800,N1765,FALSE))</f>
        <v>0</v>
      </c>
      <c r="O1767" s="6">
        <f t="shared" ref="O1767" si="2770">IF(O1765=0,0,VLOOKUP(J1767,J1770:S1800,O1765,FALSE))</f>
        <v>0</v>
      </c>
      <c r="P1767" s="6">
        <f t="shared" ref="P1767" si="2771">IF(P1765=0,0,VLOOKUP(J1767,J1770:S1800,P1765,FALSE))</f>
        <v>0</v>
      </c>
      <c r="Q1767" s="6">
        <f t="shared" ref="Q1767" si="2772">IF(Q1765=0,0,VLOOKUP(J1767,J1770:S1800,Q1765,FALSE))</f>
        <v>5.3466296587976895E-4</v>
      </c>
      <c r="R1767" s="6">
        <f t="shared" ref="R1767" si="2773">IF(R1765=0,0,VLOOKUP(J1767,J1770:S1800,R1765,FALSE))</f>
        <v>6.3289539020434812E-2</v>
      </c>
      <c r="S1767" s="6">
        <f t="shared" ref="S1767" si="2774">IF(S1765=0,0,VLOOKUP(J1767,J1770:S1800,S1765,FALSE))</f>
        <v>1.664810367771635</v>
      </c>
      <c r="T1767" s="9"/>
      <c r="U1767" s="1">
        <f t="shared" si="2738"/>
        <v>41</v>
      </c>
      <c r="V1767" s="1">
        <f t="shared" si="2739"/>
        <v>206</v>
      </c>
    </row>
    <row r="1768" spans="1:22" x14ac:dyDescent="0.3">
      <c r="A1768" s="1">
        <f t="shared" si="2741"/>
        <v>41207</v>
      </c>
      <c r="B1768" s="96" t="s">
        <v>16</v>
      </c>
      <c r="C1768" s="97"/>
      <c r="D1768" s="113">
        <v>46029</v>
      </c>
      <c r="E1768" s="114"/>
      <c r="F1768" s="114"/>
      <c r="G1768" s="114"/>
      <c r="H1768" s="115"/>
      <c r="J1768" s="24" t="str">
        <f t="shared" ref="J1768" si="2775">CONCATENATE(J1765,3)</f>
        <v>43</v>
      </c>
      <c r="K1768" s="6"/>
      <c r="L1768" s="6"/>
      <c r="M1768" s="6"/>
      <c r="N1768" s="6" t="s">
        <v>43</v>
      </c>
      <c r="O1768" s="25">
        <f t="shared" ref="O1768" si="2776">J1765-2</f>
        <v>2</v>
      </c>
      <c r="P1768" s="6" t="s">
        <v>44</v>
      </c>
      <c r="Q1768" s="25">
        <f t="shared" ref="Q1768" si="2777">VLOOKUP(J1768,J1770:S1800,3,FALSE)</f>
        <v>0.43842363202141055</v>
      </c>
      <c r="R1768" s="6" t="s">
        <v>45</v>
      </c>
      <c r="S1768" s="6">
        <f t="shared" ref="S1768" si="2778">VLOOKUP(J1768,J1770:S1800,2,FALSE)</f>
        <v>0.99990389235944255</v>
      </c>
      <c r="T1768" s="9"/>
      <c r="U1768" s="1">
        <f t="shared" si="2738"/>
        <v>41</v>
      </c>
      <c r="V1768" s="1">
        <f t="shared" si="2739"/>
        <v>207</v>
      </c>
    </row>
    <row r="1769" spans="1:22" x14ac:dyDescent="0.3">
      <c r="A1769" s="1">
        <f t="shared" si="2741"/>
        <v>41208</v>
      </c>
      <c r="B1769" s="96" t="s">
        <v>17</v>
      </c>
      <c r="C1769" s="97"/>
      <c r="D1769" s="116">
        <v>46417</v>
      </c>
      <c r="E1769" s="117"/>
      <c r="F1769" s="117"/>
      <c r="G1769" s="117"/>
      <c r="H1769" s="118"/>
      <c r="K1769" s="1">
        <v>3</v>
      </c>
      <c r="L1769" s="1">
        <v>3</v>
      </c>
      <c r="Q1769" s="26"/>
      <c r="R1769" s="26"/>
      <c r="S1769" s="26"/>
      <c r="T1769" s="9"/>
      <c r="U1769" s="1">
        <f t="shared" si="2738"/>
        <v>41</v>
      </c>
      <c r="V1769" s="1">
        <f t="shared" si="2739"/>
        <v>208</v>
      </c>
    </row>
    <row r="1770" spans="1:22" x14ac:dyDescent="0.3">
      <c r="A1770" s="1">
        <f t="shared" si="2741"/>
        <v>41209</v>
      </c>
      <c r="B1770" s="77" t="s">
        <v>19</v>
      </c>
      <c r="C1770" s="78"/>
      <c r="D1770" s="17">
        <v>1</v>
      </c>
      <c r="E1770" s="79" t="s">
        <v>40</v>
      </c>
      <c r="F1770" s="80"/>
      <c r="G1770" s="81"/>
      <c r="H1770" s="18" t="s">
        <v>72</v>
      </c>
      <c r="J1770" s="24" t="str">
        <f t="shared" ref="J1770" si="2779">CONCATENATE(K1769,1)</f>
        <v>31</v>
      </c>
      <c r="K1770" s="6">
        <f t="array" ref="K1770:L1772">LINEST(B1778:B1780,C1778:C1780^{1},TRUE,TRUE)</f>
        <v>0.97541633624107871</v>
      </c>
      <c r="L1770" s="6">
        <v>2.8548770816811952</v>
      </c>
      <c r="Q1770" s="9"/>
      <c r="R1770" s="9"/>
      <c r="S1770" s="9"/>
      <c r="T1770" s="9"/>
      <c r="U1770" s="1">
        <f t="shared" si="2738"/>
        <v>41</v>
      </c>
      <c r="V1770" s="1">
        <f t="shared" si="2739"/>
        <v>209</v>
      </c>
    </row>
    <row r="1771" spans="1:22" x14ac:dyDescent="0.3">
      <c r="A1771" s="1">
        <f t="shared" si="2741"/>
        <v>41210</v>
      </c>
      <c r="B1771" s="77" t="s">
        <v>41</v>
      </c>
      <c r="C1771" s="78"/>
      <c r="D1771" s="23">
        <f t="shared" ref="D1771" si="2780">MIN(B1778:B1787)</f>
        <v>30</v>
      </c>
      <c r="E1771" s="20" t="s">
        <v>18</v>
      </c>
      <c r="F1771" s="19">
        <f t="shared" ref="F1771" si="2781">MAX(B1778:B1787)</f>
        <v>90</v>
      </c>
      <c r="G1771" s="21" t="str">
        <f t="shared" ref="G1771" si="2782">IF(H1770="","",H1770)</f>
        <v>%ur</v>
      </c>
      <c r="H1771" s="22"/>
      <c r="J1771" s="24" t="str">
        <f t="shared" ref="J1771" si="2783">CONCATENATE(K1769,2)</f>
        <v>32</v>
      </c>
      <c r="K1771" s="6">
        <v>1.3735533763433012E-2</v>
      </c>
      <c r="L1771" s="6">
        <v>0.70257400655934188</v>
      </c>
      <c r="Q1771" s="9"/>
      <c r="R1771" s="9"/>
      <c r="S1771" s="9"/>
      <c r="T1771" s="9"/>
      <c r="U1771" s="1">
        <f t="shared" si="2738"/>
        <v>41</v>
      </c>
      <c r="V1771" s="1">
        <f t="shared" si="2739"/>
        <v>210</v>
      </c>
    </row>
    <row r="1772" spans="1:22" x14ac:dyDescent="0.3">
      <c r="A1772" s="1">
        <f t="shared" si="2741"/>
        <v>41211</v>
      </c>
      <c r="J1772" s="24" t="str">
        <f t="shared" ref="J1772" si="2784">CONCATENATE(K1769,3)</f>
        <v>33</v>
      </c>
      <c r="K1772" s="6">
        <v>0.99980174464710547</v>
      </c>
      <c r="L1772" s="6">
        <v>0.39825153146676939</v>
      </c>
      <c r="Q1772" s="9"/>
      <c r="R1772" s="9"/>
      <c r="S1772" s="9"/>
      <c r="T1772" s="9"/>
      <c r="U1772" s="1">
        <f t="shared" si="2738"/>
        <v>41</v>
      </c>
      <c r="V1772" s="1">
        <f t="shared" si="2739"/>
        <v>211</v>
      </c>
    </row>
    <row r="1773" spans="1:22" x14ac:dyDescent="0.3">
      <c r="A1773" s="1">
        <f t="shared" si="2741"/>
        <v>41212</v>
      </c>
      <c r="B1773" s="82" t="s">
        <v>20</v>
      </c>
      <c r="C1773" s="83"/>
      <c r="D1773" s="83"/>
      <c r="E1773" s="83"/>
      <c r="F1773" s="84"/>
      <c r="G1773" s="85" t="s">
        <v>31</v>
      </c>
      <c r="H1773" s="86"/>
      <c r="K1773" s="1">
        <v>4</v>
      </c>
      <c r="L1773" s="1">
        <v>4</v>
      </c>
      <c r="M1773" s="1">
        <v>4</v>
      </c>
      <c r="Q1773" s="9"/>
      <c r="R1773" s="9"/>
      <c r="S1773" s="9"/>
      <c r="T1773" s="9"/>
      <c r="U1773" s="1">
        <f t="shared" si="2738"/>
        <v>41</v>
      </c>
      <c r="V1773" s="1">
        <f t="shared" si="2739"/>
        <v>212</v>
      </c>
    </row>
    <row r="1774" spans="1:22" x14ac:dyDescent="0.3">
      <c r="A1774" s="1">
        <f t="shared" si="2741"/>
        <v>41213</v>
      </c>
      <c r="B1774" s="82" t="s">
        <v>30</v>
      </c>
      <c r="C1774" s="83"/>
      <c r="D1774" s="84"/>
      <c r="E1774" s="82" t="str">
        <f t="shared" ref="E1774" si="2785">D1767</f>
        <v>E0004/26</v>
      </c>
      <c r="F1774" s="84"/>
      <c r="G1774" s="6" t="s">
        <v>32</v>
      </c>
      <c r="H1774" s="36" t="s">
        <v>252</v>
      </c>
      <c r="J1774" s="24" t="str">
        <f t="shared" ref="J1774" si="2786">CONCATENATE(K1773,1)</f>
        <v>41</v>
      </c>
      <c r="K1774" s="6">
        <f t="array" ref="K1774:M1776">LINEST(B1778:B1781,C1778:C1781^{1,2},TRUE,TRUE)</f>
        <v>0</v>
      </c>
      <c r="L1774" s="6">
        <v>0.98029793368572804</v>
      </c>
      <c r="M1774" s="6">
        <v>2.6525708793849105</v>
      </c>
      <c r="Q1774" s="9"/>
      <c r="R1774" s="9"/>
      <c r="S1774" s="9"/>
      <c r="T1774" s="9"/>
      <c r="U1774" s="1">
        <f t="shared" si="2738"/>
        <v>41</v>
      </c>
      <c r="V1774" s="1">
        <f t="shared" si="2739"/>
        <v>213</v>
      </c>
    </row>
    <row r="1775" spans="1:22" x14ac:dyDescent="0.3">
      <c r="A1775" s="1">
        <f t="shared" si="2741"/>
        <v>41214</v>
      </c>
      <c r="B1775" s="2" t="s">
        <v>21</v>
      </c>
      <c r="C1775" s="2" t="s">
        <v>22</v>
      </c>
      <c r="D1775" s="2" t="s">
        <v>23</v>
      </c>
      <c r="E1775" s="2"/>
      <c r="F1775" s="2" t="s">
        <v>28</v>
      </c>
      <c r="G1775" s="2" t="s">
        <v>21</v>
      </c>
      <c r="H1775" s="2" t="s">
        <v>22</v>
      </c>
      <c r="J1775" s="24" t="str">
        <f t="shared" ref="J1775" si="2787">CONCATENATE(K1773,2)</f>
        <v>42</v>
      </c>
      <c r="K1775" s="6">
        <v>5.3466296587976895E-4</v>
      </c>
      <c r="L1775" s="6">
        <v>6.3289539020434812E-2</v>
      </c>
      <c r="M1775" s="6">
        <v>1.664810367771635</v>
      </c>
      <c r="Q1775" s="9"/>
      <c r="R1775" s="9"/>
      <c r="S1775" s="9"/>
      <c r="T1775" s="9"/>
      <c r="U1775" s="1">
        <f t="shared" si="2738"/>
        <v>41</v>
      </c>
      <c r="V1775" s="1">
        <f t="shared" si="2739"/>
        <v>214</v>
      </c>
    </row>
    <row r="1776" spans="1:22" x14ac:dyDescent="0.3">
      <c r="A1776" s="1">
        <f t="shared" si="2741"/>
        <v>41215</v>
      </c>
      <c r="B1776" s="2" t="s">
        <v>24</v>
      </c>
      <c r="C1776" s="2" t="s">
        <v>25</v>
      </c>
      <c r="D1776" s="2" t="s">
        <v>26</v>
      </c>
      <c r="E1776" s="2" t="s">
        <v>27</v>
      </c>
      <c r="F1776" s="2" t="s">
        <v>29</v>
      </c>
      <c r="G1776" s="2" t="s">
        <v>24</v>
      </c>
      <c r="H1776" s="2" t="s">
        <v>25</v>
      </c>
      <c r="J1776" s="24" t="str">
        <f t="shared" ref="J1776" si="2788">CONCATENATE(K1773,3)</f>
        <v>43</v>
      </c>
      <c r="K1776" s="6">
        <v>0.99990389235944255</v>
      </c>
      <c r="L1776" s="6">
        <v>0.43842363202141055</v>
      </c>
      <c r="M1776" s="6" t="e">
        <v>#N/A</v>
      </c>
      <c r="Q1776" s="9"/>
      <c r="R1776" s="9"/>
      <c r="S1776" s="9"/>
      <c r="T1776" s="9"/>
      <c r="U1776" s="1">
        <f t="shared" si="2738"/>
        <v>41</v>
      </c>
      <c r="V1776" s="1">
        <f t="shared" si="2739"/>
        <v>215</v>
      </c>
    </row>
    <row r="1777" spans="1:22" x14ac:dyDescent="0.3">
      <c r="A1777" s="1">
        <f t="shared" si="2741"/>
        <v>41216</v>
      </c>
      <c r="B1777" s="3" t="str">
        <f t="shared" ref="B1777" si="2789">H1770</f>
        <v>%ur</v>
      </c>
      <c r="C1777" s="3" t="str">
        <f t="shared" ref="C1777:D1777" si="2790">B1777</f>
        <v>%ur</v>
      </c>
      <c r="D1777" s="3" t="str">
        <f t="shared" si="2790"/>
        <v>%ur</v>
      </c>
      <c r="E1777" s="3"/>
      <c r="F1777" s="3"/>
      <c r="G1777" s="3" t="str">
        <f t="shared" ref="G1777" si="2791">D1777</f>
        <v>%ur</v>
      </c>
      <c r="H1777" s="3" t="str">
        <f t="shared" ref="H1777" si="2792">G1777</f>
        <v>%ur</v>
      </c>
      <c r="K1777" s="1">
        <v>5</v>
      </c>
      <c r="L1777" s="1">
        <v>5</v>
      </c>
      <c r="M1777" s="1">
        <v>5</v>
      </c>
      <c r="N1777" s="1">
        <v>5</v>
      </c>
      <c r="Q1777" s="9"/>
      <c r="R1777" s="9"/>
      <c r="S1777" s="9"/>
      <c r="T1777" s="9"/>
      <c r="U1777" s="1">
        <f t="shared" si="2738"/>
        <v>41</v>
      </c>
      <c r="V1777" s="1">
        <f t="shared" si="2739"/>
        <v>216</v>
      </c>
    </row>
    <row r="1778" spans="1:22" x14ac:dyDescent="0.3">
      <c r="A1778" s="1">
        <f t="shared" si="2741"/>
        <v>41217</v>
      </c>
      <c r="B1778" s="4">
        <v>30</v>
      </c>
      <c r="C1778" s="4">
        <v>28</v>
      </c>
      <c r="D1778" s="4">
        <v>1</v>
      </c>
      <c r="E1778" s="4">
        <v>2</v>
      </c>
      <c r="F1778" s="14">
        <v>1000000</v>
      </c>
      <c r="G1778" s="8">
        <v>30</v>
      </c>
      <c r="H1778" s="7">
        <v>34</v>
      </c>
      <c r="J1778" s="24" t="str">
        <f t="shared" ref="J1778" si="2793">CONCATENATE(K1777,1)</f>
        <v>51</v>
      </c>
      <c r="K1778" s="6" t="e">
        <f t="array" ref="K1778:N1780">LINEST(B1778:B1782,C1778:C1782^{1,2,3},TRUE,TRUE)</f>
        <v>#VALUE!</v>
      </c>
      <c r="L1778" s="6" t="e">
        <v>#VALUE!</v>
      </c>
      <c r="M1778" s="6" t="e">
        <v>#VALUE!</v>
      </c>
      <c r="N1778" s="6" t="e">
        <v>#VALUE!</v>
      </c>
      <c r="Q1778" s="9"/>
      <c r="R1778" s="9"/>
      <c r="S1778" s="9"/>
      <c r="T1778" s="9"/>
      <c r="U1778" s="1">
        <f t="shared" si="2738"/>
        <v>41</v>
      </c>
      <c r="V1778" s="1">
        <f t="shared" si="2739"/>
        <v>217</v>
      </c>
    </row>
    <row r="1779" spans="1:22" x14ac:dyDescent="0.3">
      <c r="A1779" s="1">
        <f t="shared" si="2741"/>
        <v>41218</v>
      </c>
      <c r="B1779" s="4">
        <v>50</v>
      </c>
      <c r="C1779" s="4">
        <v>48</v>
      </c>
      <c r="D1779" s="4">
        <v>2</v>
      </c>
      <c r="E1779" s="4">
        <v>2</v>
      </c>
      <c r="F1779" s="14">
        <v>1000000</v>
      </c>
      <c r="G1779" s="8">
        <v>50</v>
      </c>
      <c r="H1779" s="7">
        <v>50</v>
      </c>
      <c r="J1779" s="24" t="str">
        <f t="shared" ref="J1779" si="2794">CONCATENATE(K1777,2)</f>
        <v>52</v>
      </c>
      <c r="K1779" s="6" t="e">
        <v>#VALUE!</v>
      </c>
      <c r="L1779" s="6" t="e">
        <v>#VALUE!</v>
      </c>
      <c r="M1779" s="6" t="e">
        <v>#VALUE!</v>
      </c>
      <c r="N1779" s="6" t="e">
        <v>#VALUE!</v>
      </c>
      <c r="T1779" s="9"/>
      <c r="U1779" s="1">
        <f t="shared" si="2738"/>
        <v>41</v>
      </c>
      <c r="V1779" s="1">
        <f t="shared" si="2739"/>
        <v>218</v>
      </c>
    </row>
    <row r="1780" spans="1:22" x14ac:dyDescent="0.3">
      <c r="A1780" s="1">
        <f t="shared" si="2741"/>
        <v>41219</v>
      </c>
      <c r="B1780" s="4">
        <v>70</v>
      </c>
      <c r="C1780" s="4">
        <v>69</v>
      </c>
      <c r="D1780" s="4">
        <v>2</v>
      </c>
      <c r="E1780" s="4">
        <v>2</v>
      </c>
      <c r="F1780" s="14">
        <v>1000000</v>
      </c>
      <c r="G1780" s="8">
        <v>70</v>
      </c>
      <c r="H1780" s="7">
        <v>67</v>
      </c>
      <c r="J1780" s="24" t="str">
        <f t="shared" ref="J1780" si="2795">CONCATENATE(K1777,3)</f>
        <v>53</v>
      </c>
      <c r="K1780" s="6" t="e">
        <v>#VALUE!</v>
      </c>
      <c r="L1780" s="6" t="e">
        <v>#VALUE!</v>
      </c>
      <c r="M1780" s="6" t="e">
        <v>#VALUE!</v>
      </c>
      <c r="N1780" s="6" t="e">
        <v>#VALUE!</v>
      </c>
      <c r="T1780" s="9"/>
      <c r="U1780" s="1">
        <f t="shared" si="2738"/>
        <v>41</v>
      </c>
      <c r="V1780" s="1">
        <f t="shared" si="2739"/>
        <v>219</v>
      </c>
    </row>
    <row r="1781" spans="1:22" x14ac:dyDescent="0.3">
      <c r="A1781" s="1">
        <f t="shared" si="2741"/>
        <v>41220</v>
      </c>
      <c r="B1781" s="4">
        <v>90</v>
      </c>
      <c r="C1781" s="4">
        <v>89</v>
      </c>
      <c r="D1781" s="4">
        <v>2</v>
      </c>
      <c r="E1781" s="4">
        <v>2</v>
      </c>
      <c r="F1781" s="14">
        <v>1000000</v>
      </c>
      <c r="G1781" s="8">
        <v>90</v>
      </c>
      <c r="H1781" s="7">
        <v>86</v>
      </c>
      <c r="K1781" s="1">
        <v>6</v>
      </c>
      <c r="L1781" s="1">
        <v>6</v>
      </c>
      <c r="M1781" s="1">
        <v>6</v>
      </c>
      <c r="N1781" s="1">
        <v>6</v>
      </c>
      <c r="O1781" s="1">
        <v>6</v>
      </c>
      <c r="T1781" s="9"/>
      <c r="U1781" s="1">
        <f t="shared" si="2738"/>
        <v>41</v>
      </c>
      <c r="V1781" s="1">
        <f t="shared" si="2739"/>
        <v>220</v>
      </c>
    </row>
    <row r="1782" spans="1:22" x14ac:dyDescent="0.3">
      <c r="A1782" s="1">
        <f t="shared" si="2741"/>
        <v>41221</v>
      </c>
      <c r="B1782" s="4"/>
      <c r="C1782" s="4"/>
      <c r="D1782" s="4"/>
      <c r="E1782" s="4"/>
      <c r="F1782" s="14"/>
      <c r="G1782" s="8"/>
      <c r="H1782" s="7"/>
      <c r="J1782" s="24" t="str">
        <f t="shared" ref="J1782" si="2796">CONCATENATE(K1781,1)</f>
        <v>61</v>
      </c>
      <c r="K1782" s="6" t="e">
        <f t="array" ref="K1782:O1784">LINEST(B1778:B1783,C1778:C1783^{1,2,3,4},TRUE,TRUE)</f>
        <v>#VALUE!</v>
      </c>
      <c r="L1782" s="6" t="e">
        <v>#VALUE!</v>
      </c>
      <c r="M1782" s="6" t="e">
        <v>#VALUE!</v>
      </c>
      <c r="N1782" s="6" t="e">
        <v>#VALUE!</v>
      </c>
      <c r="O1782" s="6" t="e">
        <v>#VALUE!</v>
      </c>
      <c r="T1782" s="9"/>
      <c r="U1782" s="1">
        <f t="shared" si="2738"/>
        <v>41</v>
      </c>
      <c r="V1782" s="1">
        <f t="shared" si="2739"/>
        <v>221</v>
      </c>
    </row>
    <row r="1783" spans="1:22" x14ac:dyDescent="0.3">
      <c r="A1783" s="1">
        <f t="shared" si="2741"/>
        <v>41222</v>
      </c>
      <c r="B1783" s="4"/>
      <c r="C1783" s="4"/>
      <c r="D1783" s="4"/>
      <c r="E1783" s="4"/>
      <c r="F1783" s="14"/>
      <c r="G1783" s="8"/>
      <c r="H1783" s="7"/>
      <c r="J1783" s="24" t="str">
        <f t="shared" ref="J1783" si="2797">CONCATENATE(K1781,2)</f>
        <v>62</v>
      </c>
      <c r="K1783" s="6" t="e">
        <v>#VALUE!</v>
      </c>
      <c r="L1783" s="6" t="e">
        <v>#VALUE!</v>
      </c>
      <c r="M1783" s="6" t="e">
        <v>#VALUE!</v>
      </c>
      <c r="N1783" s="6" t="e">
        <v>#VALUE!</v>
      </c>
      <c r="O1783" s="6" t="e">
        <v>#VALUE!</v>
      </c>
      <c r="T1783" s="9"/>
      <c r="U1783" s="1">
        <f t="shared" si="2738"/>
        <v>41</v>
      </c>
      <c r="V1783" s="1">
        <f t="shared" si="2739"/>
        <v>222</v>
      </c>
    </row>
    <row r="1784" spans="1:22" x14ac:dyDescent="0.3">
      <c r="A1784" s="1">
        <f t="shared" si="2741"/>
        <v>41223</v>
      </c>
      <c r="B1784" s="4"/>
      <c r="C1784" s="4"/>
      <c r="D1784" s="4"/>
      <c r="E1784" s="4"/>
      <c r="F1784" s="14"/>
      <c r="G1784" s="8"/>
      <c r="H1784" s="7"/>
      <c r="J1784" s="24" t="str">
        <f t="shared" ref="J1784" si="2798">CONCATENATE(K1781,3)</f>
        <v>63</v>
      </c>
      <c r="K1784" s="6" t="e">
        <v>#VALUE!</v>
      </c>
      <c r="L1784" s="6" t="e">
        <v>#VALUE!</v>
      </c>
      <c r="M1784" s="6" t="e">
        <v>#VALUE!</v>
      </c>
      <c r="N1784" s="6" t="e">
        <v>#VALUE!</v>
      </c>
      <c r="O1784" s="6" t="e">
        <v>#VALUE!</v>
      </c>
      <c r="T1784" s="9"/>
      <c r="U1784" s="1">
        <f t="shared" si="2738"/>
        <v>41</v>
      </c>
      <c r="V1784" s="1">
        <f t="shared" si="2739"/>
        <v>223</v>
      </c>
    </row>
    <row r="1785" spans="1:22" x14ac:dyDescent="0.3">
      <c r="A1785" s="1">
        <f t="shared" si="2741"/>
        <v>41224</v>
      </c>
      <c r="B1785" s="4"/>
      <c r="C1785" s="4"/>
      <c r="D1785" s="4"/>
      <c r="E1785" s="4"/>
      <c r="F1785" s="14"/>
      <c r="G1785" s="8"/>
      <c r="H1785" s="7"/>
      <c r="K1785" s="1">
        <v>7</v>
      </c>
      <c r="L1785" s="1">
        <v>7</v>
      </c>
      <c r="M1785" s="1">
        <v>7</v>
      </c>
      <c r="N1785" s="1">
        <v>7</v>
      </c>
      <c r="O1785" s="1">
        <v>7</v>
      </c>
      <c r="P1785" s="1">
        <v>7</v>
      </c>
      <c r="T1785" s="9"/>
      <c r="U1785" s="1">
        <f t="shared" si="2738"/>
        <v>41</v>
      </c>
      <c r="V1785" s="1">
        <f t="shared" si="2739"/>
        <v>224</v>
      </c>
    </row>
    <row r="1786" spans="1:22" x14ac:dyDescent="0.3">
      <c r="A1786" s="1">
        <f t="shared" si="2741"/>
        <v>41225</v>
      </c>
      <c r="B1786" s="4"/>
      <c r="C1786" s="4"/>
      <c r="D1786" s="4"/>
      <c r="E1786" s="4"/>
      <c r="F1786" s="14"/>
      <c r="G1786" s="8"/>
      <c r="H1786" s="7"/>
      <c r="J1786" s="24" t="str">
        <f t="shared" ref="J1786" si="2799">CONCATENATE(K1785,1)</f>
        <v>71</v>
      </c>
      <c r="K1786" s="6" t="e">
        <f t="array" ref="K1786:P1788">LINEST(B1778:B1784,C1778:C1784^{1,2,3,4,5},TRUE,TRUE)</f>
        <v>#VALUE!</v>
      </c>
      <c r="L1786" s="6" t="e">
        <v>#VALUE!</v>
      </c>
      <c r="M1786" s="6" t="e">
        <v>#VALUE!</v>
      </c>
      <c r="N1786" s="6" t="e">
        <v>#VALUE!</v>
      </c>
      <c r="O1786" s="6" t="e">
        <v>#VALUE!</v>
      </c>
      <c r="P1786" s="6" t="e">
        <v>#VALUE!</v>
      </c>
      <c r="T1786" s="9"/>
      <c r="U1786" s="1">
        <f t="shared" si="2738"/>
        <v>41</v>
      </c>
      <c r="V1786" s="1">
        <f t="shared" si="2739"/>
        <v>225</v>
      </c>
    </row>
    <row r="1787" spans="1:22" x14ac:dyDescent="0.3">
      <c r="A1787" s="1">
        <f t="shared" si="2741"/>
        <v>41226</v>
      </c>
      <c r="B1787" s="4"/>
      <c r="C1787" s="4"/>
      <c r="D1787" s="4"/>
      <c r="E1787" s="4"/>
      <c r="F1787" s="14"/>
      <c r="G1787" s="8"/>
      <c r="H1787" s="7"/>
      <c r="J1787" s="24" t="str">
        <f t="shared" ref="J1787" si="2800">CONCATENATE(K1785,2)</f>
        <v>72</v>
      </c>
      <c r="K1787" s="6" t="e">
        <v>#VALUE!</v>
      </c>
      <c r="L1787" s="6" t="e">
        <v>#VALUE!</v>
      </c>
      <c r="M1787" s="6" t="e">
        <v>#VALUE!</v>
      </c>
      <c r="N1787" s="6" t="e">
        <v>#VALUE!</v>
      </c>
      <c r="O1787" s="6" t="e">
        <v>#VALUE!</v>
      </c>
      <c r="P1787" s="6" t="e">
        <v>#VALUE!</v>
      </c>
      <c r="T1787" s="9"/>
      <c r="U1787" s="1">
        <f t="shared" si="2738"/>
        <v>41</v>
      </c>
      <c r="V1787" s="1">
        <f t="shared" si="2739"/>
        <v>226</v>
      </c>
    </row>
    <row r="1788" spans="1:22" x14ac:dyDescent="0.3">
      <c r="A1788" s="1">
        <f t="shared" si="2741"/>
        <v>41227</v>
      </c>
      <c r="B1788" s="9"/>
      <c r="C1788" s="9"/>
      <c r="D1788" s="9"/>
      <c r="E1788" s="9"/>
      <c r="F1788" s="9"/>
      <c r="G1788" s="9"/>
      <c r="H1788" s="9"/>
      <c r="J1788" s="24" t="str">
        <f t="shared" ref="J1788" si="2801">CONCATENATE(K1785,3)</f>
        <v>73</v>
      </c>
      <c r="K1788" s="6" t="e">
        <v>#VALUE!</v>
      </c>
      <c r="L1788" s="6" t="e">
        <v>#VALUE!</v>
      </c>
      <c r="M1788" s="6" t="e">
        <v>#VALUE!</v>
      </c>
      <c r="N1788" s="6" t="e">
        <v>#VALUE!</v>
      </c>
      <c r="O1788" s="6" t="e">
        <v>#VALUE!</v>
      </c>
      <c r="P1788" s="6" t="e">
        <v>#VALUE!</v>
      </c>
      <c r="T1788" s="9"/>
      <c r="U1788" s="1">
        <f t="shared" si="2738"/>
        <v>41</v>
      </c>
      <c r="V1788" s="1">
        <f t="shared" si="2739"/>
        <v>227</v>
      </c>
    </row>
    <row r="1789" spans="1:22" x14ac:dyDescent="0.3">
      <c r="A1789" s="1">
        <f t="shared" si="2741"/>
        <v>41228</v>
      </c>
      <c r="B1789" s="87" t="s">
        <v>33</v>
      </c>
      <c r="C1789" s="88"/>
      <c r="D1789" s="88"/>
      <c r="E1789" s="88"/>
      <c r="F1789" s="88"/>
      <c r="G1789" s="88"/>
      <c r="H1789" s="89"/>
      <c r="K1789" s="1">
        <v>8</v>
      </c>
      <c r="L1789" s="1">
        <v>8</v>
      </c>
      <c r="M1789" s="1">
        <v>8</v>
      </c>
      <c r="N1789" s="1">
        <v>8</v>
      </c>
      <c r="O1789" s="1">
        <v>8</v>
      </c>
      <c r="P1789" s="1">
        <v>8</v>
      </c>
      <c r="Q1789" s="1">
        <v>8</v>
      </c>
      <c r="T1789" s="9"/>
      <c r="U1789" s="1">
        <f t="shared" si="2738"/>
        <v>41</v>
      </c>
      <c r="V1789" s="1">
        <f t="shared" si="2739"/>
        <v>228</v>
      </c>
    </row>
    <row r="1790" spans="1:22" x14ac:dyDescent="0.3">
      <c r="A1790" s="1">
        <f t="shared" si="2741"/>
        <v>41229</v>
      </c>
      <c r="B1790" s="90"/>
      <c r="C1790" s="91"/>
      <c r="D1790" s="91"/>
      <c r="E1790" s="91"/>
      <c r="F1790" s="91"/>
      <c r="G1790" s="91"/>
      <c r="H1790" s="92"/>
      <c r="J1790" s="24" t="str">
        <f t="shared" ref="J1790" si="2802">CONCATENATE(K1789,1)</f>
        <v>81</v>
      </c>
      <c r="K1790" s="6" t="e">
        <f t="array" ref="K1790:Q1792">LINEST(B1778:B1785,C1778:C1785^{1,2,3,4,5,6},TRUE,TRUE)</f>
        <v>#VALUE!</v>
      </c>
      <c r="L1790" s="6" t="e">
        <v>#VALUE!</v>
      </c>
      <c r="M1790" s="6" t="e">
        <v>#VALUE!</v>
      </c>
      <c r="N1790" s="6" t="e">
        <v>#VALUE!</v>
      </c>
      <c r="O1790" s="6" t="e">
        <v>#VALUE!</v>
      </c>
      <c r="P1790" s="6" t="e">
        <v>#VALUE!</v>
      </c>
      <c r="Q1790" s="6" t="e">
        <v>#VALUE!</v>
      </c>
      <c r="T1790" s="9"/>
      <c r="U1790" s="1">
        <f t="shared" si="2738"/>
        <v>41</v>
      </c>
      <c r="V1790" s="1">
        <f t="shared" si="2739"/>
        <v>229</v>
      </c>
    </row>
    <row r="1791" spans="1:22" x14ac:dyDescent="0.3">
      <c r="A1791" s="1">
        <f t="shared" si="2741"/>
        <v>41230</v>
      </c>
      <c r="B1791" s="93"/>
      <c r="C1791" s="94"/>
      <c r="D1791" s="94"/>
      <c r="E1791" s="94"/>
      <c r="F1791" s="94"/>
      <c r="G1791" s="94"/>
      <c r="H1791" s="95"/>
      <c r="J1791" s="24" t="str">
        <f t="shared" ref="J1791" si="2803">CONCATENATE(K1789,2)</f>
        <v>82</v>
      </c>
      <c r="K1791" s="6" t="e">
        <v>#VALUE!</v>
      </c>
      <c r="L1791" s="6" t="e">
        <v>#VALUE!</v>
      </c>
      <c r="M1791" s="6" t="e">
        <v>#VALUE!</v>
      </c>
      <c r="N1791" s="6" t="e">
        <v>#VALUE!</v>
      </c>
      <c r="O1791" s="6" t="e">
        <v>#VALUE!</v>
      </c>
      <c r="P1791" s="6" t="e">
        <v>#VALUE!</v>
      </c>
      <c r="Q1791" s="6" t="e">
        <v>#VALUE!</v>
      </c>
      <c r="T1791" s="9"/>
      <c r="U1791" s="1">
        <f t="shared" si="2738"/>
        <v>41</v>
      </c>
      <c r="V1791" s="1">
        <f t="shared" si="2739"/>
        <v>230</v>
      </c>
    </row>
    <row r="1792" spans="1:22" x14ac:dyDescent="0.3">
      <c r="A1792" s="1">
        <f t="shared" si="2741"/>
        <v>41231</v>
      </c>
      <c r="J1792" s="24" t="str">
        <f t="shared" ref="J1792" si="2804">CONCATENATE(K1789,3)</f>
        <v>83</v>
      </c>
      <c r="K1792" s="6" t="e">
        <v>#VALUE!</v>
      </c>
      <c r="L1792" s="6" t="e">
        <v>#VALUE!</v>
      </c>
      <c r="M1792" s="6" t="e">
        <v>#VALUE!</v>
      </c>
      <c r="N1792" s="6" t="e">
        <v>#VALUE!</v>
      </c>
      <c r="O1792" s="6" t="e">
        <v>#VALUE!</v>
      </c>
      <c r="P1792" s="6" t="e">
        <v>#VALUE!</v>
      </c>
      <c r="Q1792" s="6" t="e">
        <v>#VALUE!</v>
      </c>
      <c r="T1792" s="9"/>
      <c r="U1792" s="1">
        <f t="shared" si="2738"/>
        <v>41</v>
      </c>
      <c r="V1792" s="1">
        <f t="shared" si="2739"/>
        <v>231</v>
      </c>
    </row>
    <row r="1793" spans="1:22" ht="15" customHeight="1" x14ac:dyDescent="0.3">
      <c r="A1793" s="1">
        <f t="shared" si="2741"/>
        <v>41232</v>
      </c>
      <c r="B1793" s="10" t="s">
        <v>34</v>
      </c>
      <c r="C1793" s="10" t="s">
        <v>35</v>
      </c>
      <c r="D1793" s="10" t="s">
        <v>36</v>
      </c>
      <c r="E1793" s="74" t="s">
        <v>37</v>
      </c>
      <c r="F1793" s="75"/>
      <c r="G1793" s="76"/>
      <c r="K1793" s="1">
        <v>9</v>
      </c>
      <c r="L1793" s="1">
        <v>9</v>
      </c>
      <c r="M1793" s="1">
        <v>9</v>
      </c>
      <c r="N1793" s="1">
        <v>9</v>
      </c>
      <c r="O1793" s="1">
        <v>9</v>
      </c>
      <c r="P1793" s="1">
        <v>9</v>
      </c>
      <c r="Q1793" s="1">
        <v>9</v>
      </c>
      <c r="R1793" s="1">
        <v>9</v>
      </c>
      <c r="T1793" s="9"/>
      <c r="U1793" s="1">
        <f t="shared" si="2738"/>
        <v>41</v>
      </c>
      <c r="V1793" s="1">
        <f t="shared" si="2739"/>
        <v>232</v>
      </c>
    </row>
    <row r="1794" spans="1:22" x14ac:dyDescent="0.3">
      <c r="A1794" s="1">
        <f t="shared" si="2741"/>
        <v>41233</v>
      </c>
      <c r="B1794" s="12">
        <f t="shared" ref="B1794:B1803" si="2805">C1778-B1778</f>
        <v>-2</v>
      </c>
      <c r="C1794" s="13">
        <f t="shared" ref="C1794:C1803" si="2806">H1778-G1778</f>
        <v>4</v>
      </c>
      <c r="D1794" s="10">
        <f t="shared" ref="D1794:D1803" si="2807">C1794-B1794</f>
        <v>6</v>
      </c>
      <c r="E1794" s="11">
        <f t="shared" ref="E1794" si="2808">IF(D1769="","",MAX(F1794,G1794))</f>
        <v>6</v>
      </c>
      <c r="F1794" s="10">
        <f t="shared" ref="F1794" si="2809">ABS(MIN(D1794:D1803))</f>
        <v>3</v>
      </c>
      <c r="G1794" s="10">
        <f t="shared" ref="G1794" si="2810">ABS(MAX(D1794:D1803))</f>
        <v>6</v>
      </c>
      <c r="J1794" s="24" t="str">
        <f t="shared" ref="J1794" si="2811">CONCATENATE(K1793,1)</f>
        <v>91</v>
      </c>
      <c r="K1794" s="6" t="e">
        <f t="array" ref="K1794:R1796">LINEST(B1778:B1786,C1778:C1786^{1,2,3,4,5,6,7},TRUE,TRUE)</f>
        <v>#VALUE!</v>
      </c>
      <c r="L1794" s="6" t="e">
        <v>#VALUE!</v>
      </c>
      <c r="M1794" s="6" t="e">
        <v>#VALUE!</v>
      </c>
      <c r="N1794" s="6" t="e">
        <v>#VALUE!</v>
      </c>
      <c r="O1794" s="6" t="e">
        <v>#VALUE!</v>
      </c>
      <c r="P1794" s="6" t="e">
        <v>#VALUE!</v>
      </c>
      <c r="Q1794" s="6" t="e">
        <v>#VALUE!</v>
      </c>
      <c r="R1794" s="6" t="e">
        <v>#VALUE!</v>
      </c>
      <c r="T1794" s="9"/>
      <c r="U1794" s="1">
        <f t="shared" si="2738"/>
        <v>41</v>
      </c>
      <c r="V1794" s="1">
        <f t="shared" si="2739"/>
        <v>233</v>
      </c>
    </row>
    <row r="1795" spans="1:22" x14ac:dyDescent="0.3">
      <c r="A1795" s="1">
        <f t="shared" si="2741"/>
        <v>41234</v>
      </c>
      <c r="B1795" s="12">
        <f t="shared" si="2805"/>
        <v>-2</v>
      </c>
      <c r="C1795" s="13">
        <f t="shared" si="2806"/>
        <v>0</v>
      </c>
      <c r="D1795" s="10">
        <f t="shared" si="2807"/>
        <v>2</v>
      </c>
      <c r="E1795" s="74" t="s">
        <v>38</v>
      </c>
      <c r="F1795" s="75"/>
      <c r="G1795" s="76"/>
      <c r="J1795" s="24" t="str">
        <f t="shared" ref="J1795" si="2812">CONCATENATE(K1793,2)</f>
        <v>92</v>
      </c>
      <c r="K1795" s="6" t="e">
        <v>#VALUE!</v>
      </c>
      <c r="L1795" s="6" t="e">
        <v>#VALUE!</v>
      </c>
      <c r="M1795" s="6" t="e">
        <v>#VALUE!</v>
      </c>
      <c r="N1795" s="6" t="e">
        <v>#VALUE!</v>
      </c>
      <c r="O1795" s="6" t="e">
        <v>#VALUE!</v>
      </c>
      <c r="P1795" s="6" t="e">
        <v>#VALUE!</v>
      </c>
      <c r="Q1795" s="6" t="e">
        <v>#VALUE!</v>
      </c>
      <c r="R1795" s="6" t="e">
        <v>#VALUE!</v>
      </c>
      <c r="T1795" s="9"/>
      <c r="U1795" s="1">
        <f t="shared" si="2738"/>
        <v>41</v>
      </c>
      <c r="V1795" s="1">
        <f t="shared" si="2739"/>
        <v>234</v>
      </c>
    </row>
    <row r="1796" spans="1:22" x14ac:dyDescent="0.3">
      <c r="A1796" s="1">
        <f t="shared" si="2741"/>
        <v>41235</v>
      </c>
      <c r="B1796" s="12">
        <f t="shared" si="2805"/>
        <v>-1</v>
      </c>
      <c r="C1796" s="13">
        <f t="shared" si="2806"/>
        <v>-3</v>
      </c>
      <c r="D1796" s="10">
        <f t="shared" si="2807"/>
        <v>-2</v>
      </c>
      <c r="E1796" s="11">
        <f t="shared" ref="E1796" si="2813">IF(D1769="","",MAX(F1796,G1796))</f>
        <v>2</v>
      </c>
      <c r="F1796" s="10">
        <f t="shared" ref="F1796" si="2814">ABS(MIN(B1794:B1803))</f>
        <v>2</v>
      </c>
      <c r="G1796" s="10">
        <f t="shared" ref="G1796" si="2815">ABS(MAX(B1794:B1803))</f>
        <v>0</v>
      </c>
      <c r="J1796" s="24" t="str">
        <f t="shared" ref="J1796" si="2816">CONCATENATE(K1793,3)</f>
        <v>93</v>
      </c>
      <c r="K1796" s="6" t="e">
        <v>#VALUE!</v>
      </c>
      <c r="L1796" s="6" t="e">
        <v>#VALUE!</v>
      </c>
      <c r="M1796" s="6" t="e">
        <v>#VALUE!</v>
      </c>
      <c r="N1796" s="6" t="e">
        <v>#VALUE!</v>
      </c>
      <c r="O1796" s="6" t="e">
        <v>#VALUE!</v>
      </c>
      <c r="P1796" s="6" t="e">
        <v>#VALUE!</v>
      </c>
      <c r="Q1796" s="6" t="e">
        <v>#VALUE!</v>
      </c>
      <c r="R1796" s="6" t="e">
        <v>#VALUE!</v>
      </c>
      <c r="T1796" s="9"/>
      <c r="U1796" s="1">
        <f t="shared" si="2738"/>
        <v>41</v>
      </c>
      <c r="V1796" s="1">
        <f t="shared" si="2739"/>
        <v>235</v>
      </c>
    </row>
    <row r="1797" spans="1:22" x14ac:dyDescent="0.3">
      <c r="A1797" s="1">
        <f t="shared" si="2741"/>
        <v>41236</v>
      </c>
      <c r="B1797" s="12">
        <f t="shared" si="2805"/>
        <v>-1</v>
      </c>
      <c r="C1797" s="13">
        <f t="shared" si="2806"/>
        <v>-4</v>
      </c>
      <c r="D1797" s="10">
        <f t="shared" si="2807"/>
        <v>-3</v>
      </c>
      <c r="E1797" s="74" t="s">
        <v>39</v>
      </c>
      <c r="F1797" s="75"/>
      <c r="G1797" s="76"/>
      <c r="K1797" s="1">
        <v>10</v>
      </c>
      <c r="L1797" s="1">
        <v>10</v>
      </c>
      <c r="M1797" s="1">
        <v>10</v>
      </c>
      <c r="N1797" s="1">
        <v>10</v>
      </c>
      <c r="O1797" s="1">
        <v>10</v>
      </c>
      <c r="P1797" s="1">
        <v>10</v>
      </c>
      <c r="Q1797" s="1">
        <v>10</v>
      </c>
      <c r="R1797" s="1">
        <v>10</v>
      </c>
      <c r="S1797" s="1">
        <v>10</v>
      </c>
      <c r="T1797" s="9"/>
      <c r="U1797" s="1">
        <f t="shared" si="2738"/>
        <v>41</v>
      </c>
      <c r="V1797" s="1">
        <f t="shared" si="2739"/>
        <v>236</v>
      </c>
    </row>
    <row r="1798" spans="1:22" x14ac:dyDescent="0.3">
      <c r="A1798" s="1">
        <f t="shared" si="2741"/>
        <v>41237</v>
      </c>
      <c r="B1798" s="12">
        <f t="shared" si="2805"/>
        <v>0</v>
      </c>
      <c r="C1798" s="13">
        <f t="shared" si="2806"/>
        <v>0</v>
      </c>
      <c r="D1798" s="10">
        <f t="shared" si="2807"/>
        <v>0</v>
      </c>
      <c r="E1798" s="11">
        <f t="shared" ref="E1798" si="2817">IF(D1769="","",MAX(F1798,G1798))</f>
        <v>2</v>
      </c>
      <c r="F1798" s="10">
        <f t="shared" ref="F1798" si="2818">ABS(MIN(D1778:D1787))</f>
        <v>1</v>
      </c>
      <c r="G1798" s="10">
        <f t="shared" ref="G1798" si="2819">ABS(MAX(D1778:D1787))</f>
        <v>2</v>
      </c>
      <c r="J1798" s="24" t="str">
        <f t="shared" ref="J1798" si="2820">CONCATENATE(K1797,1)</f>
        <v>101</v>
      </c>
      <c r="K1798" s="6" t="e">
        <f t="array" ref="K1798:S1800">LINEST(B1778:B1787,C1778:C1787^{1,2,3,4,5,6,7,8},TRUE,TRUE)</f>
        <v>#VALUE!</v>
      </c>
      <c r="L1798" s="6" t="e">
        <v>#VALUE!</v>
      </c>
      <c r="M1798" s="6" t="e">
        <v>#VALUE!</v>
      </c>
      <c r="N1798" s="6" t="e">
        <v>#VALUE!</v>
      </c>
      <c r="O1798" s="6" t="e">
        <v>#VALUE!</v>
      </c>
      <c r="P1798" s="6" t="e">
        <v>#VALUE!</v>
      </c>
      <c r="Q1798" s="6" t="e">
        <v>#VALUE!</v>
      </c>
      <c r="R1798" s="6" t="e">
        <v>#VALUE!</v>
      </c>
      <c r="S1798" s="6" t="e">
        <v>#VALUE!</v>
      </c>
      <c r="T1798" s="9"/>
      <c r="U1798" s="1">
        <f t="shared" si="2738"/>
        <v>41</v>
      </c>
      <c r="V1798" s="1">
        <f t="shared" si="2739"/>
        <v>237</v>
      </c>
    </row>
    <row r="1799" spans="1:22" x14ac:dyDescent="0.3">
      <c r="A1799" s="1">
        <f t="shared" si="2741"/>
        <v>41238</v>
      </c>
      <c r="B1799" s="12">
        <f t="shared" si="2805"/>
        <v>0</v>
      </c>
      <c r="C1799" s="13">
        <f t="shared" si="2806"/>
        <v>0</v>
      </c>
      <c r="D1799" s="10">
        <f t="shared" si="2807"/>
        <v>0</v>
      </c>
      <c r="J1799" s="24" t="str">
        <f t="shared" ref="J1799" si="2821">CONCATENATE(K1797,2)</f>
        <v>102</v>
      </c>
      <c r="K1799" s="6" t="e">
        <v>#VALUE!</v>
      </c>
      <c r="L1799" s="6" t="e">
        <v>#VALUE!</v>
      </c>
      <c r="M1799" s="6" t="e">
        <v>#VALUE!</v>
      </c>
      <c r="N1799" s="6" t="e">
        <v>#VALUE!</v>
      </c>
      <c r="O1799" s="6" t="e">
        <v>#VALUE!</v>
      </c>
      <c r="P1799" s="6" t="e">
        <v>#VALUE!</v>
      </c>
      <c r="Q1799" s="6" t="e">
        <v>#VALUE!</v>
      </c>
      <c r="R1799" s="6" t="e">
        <v>#VALUE!</v>
      </c>
      <c r="S1799" s="6" t="e">
        <v>#VALUE!</v>
      </c>
      <c r="T1799" s="9"/>
      <c r="U1799" s="1">
        <f t="shared" si="2738"/>
        <v>41</v>
      </c>
      <c r="V1799" s="1">
        <f t="shared" si="2739"/>
        <v>238</v>
      </c>
    </row>
    <row r="1800" spans="1:22" x14ac:dyDescent="0.3">
      <c r="A1800" s="1">
        <f t="shared" si="2741"/>
        <v>41239</v>
      </c>
      <c r="B1800" s="12">
        <f t="shared" si="2805"/>
        <v>0</v>
      </c>
      <c r="C1800" s="13">
        <f t="shared" si="2806"/>
        <v>0</v>
      </c>
      <c r="D1800" s="10">
        <f t="shared" si="2807"/>
        <v>0</v>
      </c>
      <c r="J1800" s="24" t="str">
        <f t="shared" ref="J1800" si="2822">CONCATENATE(K1797,3)</f>
        <v>103</v>
      </c>
      <c r="K1800" s="6" t="e">
        <v>#VALUE!</v>
      </c>
      <c r="L1800" s="6" t="e">
        <v>#VALUE!</v>
      </c>
      <c r="M1800" s="6" t="e">
        <v>#VALUE!</v>
      </c>
      <c r="N1800" s="6" t="e">
        <v>#VALUE!</v>
      </c>
      <c r="O1800" s="6" t="e">
        <v>#VALUE!</v>
      </c>
      <c r="P1800" s="6" t="e">
        <v>#VALUE!</v>
      </c>
      <c r="Q1800" s="6" t="e">
        <v>#VALUE!</v>
      </c>
      <c r="R1800" s="6" t="e">
        <v>#VALUE!</v>
      </c>
      <c r="S1800" s="6" t="e">
        <v>#VALUE!</v>
      </c>
      <c r="T1800" s="9"/>
      <c r="U1800" s="1">
        <f t="shared" si="2738"/>
        <v>41</v>
      </c>
      <c r="V1800" s="1">
        <f t="shared" si="2739"/>
        <v>239</v>
      </c>
    </row>
    <row r="1801" spans="1:22" x14ac:dyDescent="0.3">
      <c r="A1801" s="1">
        <f t="shared" si="2741"/>
        <v>41240</v>
      </c>
      <c r="B1801" s="12">
        <f t="shared" si="2805"/>
        <v>0</v>
      </c>
      <c r="C1801" s="13">
        <f t="shared" si="2806"/>
        <v>0</v>
      </c>
      <c r="D1801" s="10">
        <f t="shared" si="2807"/>
        <v>0</v>
      </c>
      <c r="J1801" s="9"/>
      <c r="K1801" s="9"/>
      <c r="L1801" s="9"/>
      <c r="M1801" s="9"/>
      <c r="N1801" s="9"/>
      <c r="O1801" s="9"/>
      <c r="P1801" s="9"/>
      <c r="Q1801" s="9"/>
      <c r="R1801" s="9"/>
      <c r="S1801" s="9"/>
      <c r="T1801" s="9"/>
      <c r="U1801" s="1">
        <f t="shared" si="2738"/>
        <v>41</v>
      </c>
      <c r="V1801" s="1">
        <f t="shared" si="2739"/>
        <v>240</v>
      </c>
    </row>
    <row r="1802" spans="1:22" x14ac:dyDescent="0.3">
      <c r="A1802" s="1">
        <f t="shared" si="2741"/>
        <v>41241</v>
      </c>
      <c r="B1802" s="12">
        <f t="shared" si="2805"/>
        <v>0</v>
      </c>
      <c r="C1802" s="13">
        <f t="shared" si="2806"/>
        <v>0</v>
      </c>
      <c r="D1802" s="10">
        <f t="shared" si="2807"/>
        <v>0</v>
      </c>
      <c r="J1802" s="9"/>
      <c r="K1802" s="9"/>
      <c r="L1802" s="9"/>
      <c r="M1802" s="9"/>
      <c r="N1802" s="9"/>
      <c r="O1802" s="9"/>
      <c r="P1802" s="9"/>
      <c r="Q1802" s="9"/>
      <c r="R1802" s="9"/>
      <c r="S1802" s="9"/>
      <c r="T1802" s="9"/>
      <c r="U1802" s="1">
        <f t="shared" si="2738"/>
        <v>41</v>
      </c>
      <c r="V1802" s="1">
        <f t="shared" si="2739"/>
        <v>241</v>
      </c>
    </row>
    <row r="1803" spans="1:22" x14ac:dyDescent="0.3">
      <c r="A1803" s="1">
        <f t="shared" si="2741"/>
        <v>41242</v>
      </c>
      <c r="B1803" s="12">
        <f t="shared" si="2805"/>
        <v>0</v>
      </c>
      <c r="C1803" s="13">
        <f t="shared" si="2806"/>
        <v>0</v>
      </c>
      <c r="D1803" s="10">
        <f t="shared" si="2807"/>
        <v>0</v>
      </c>
      <c r="J1803" s="9"/>
      <c r="K1803" s="9"/>
      <c r="L1803" s="9"/>
      <c r="M1803" s="9"/>
      <c r="N1803" s="9"/>
      <c r="O1803" s="9"/>
      <c r="P1803" s="9"/>
      <c r="Q1803" s="9"/>
      <c r="R1803" s="9"/>
      <c r="S1803" s="9"/>
      <c r="T1803" s="9"/>
      <c r="U1803" s="1">
        <f t="shared" si="2738"/>
        <v>41</v>
      </c>
      <c r="V1803" s="1">
        <f t="shared" si="2739"/>
        <v>242</v>
      </c>
    </row>
    <row r="1804" spans="1:22" x14ac:dyDescent="0.3">
      <c r="A1804" s="1">
        <f t="shared" si="2741"/>
        <v>41243</v>
      </c>
      <c r="J1804" s="9"/>
      <c r="K1804" s="9"/>
      <c r="L1804" s="9"/>
      <c r="M1804" s="9"/>
      <c r="N1804" s="9"/>
      <c r="O1804" s="9"/>
      <c r="P1804" s="9"/>
      <c r="Q1804" s="9"/>
      <c r="R1804" s="9"/>
      <c r="S1804" s="9"/>
      <c r="T1804" s="9"/>
      <c r="U1804" s="1">
        <f t="shared" si="2738"/>
        <v>41</v>
      </c>
      <c r="V1804" s="1">
        <f t="shared" si="2739"/>
        <v>243</v>
      </c>
    </row>
    <row r="1805" spans="1:22" s="5" customFormat="1" x14ac:dyDescent="0.3"/>
    <row r="1806" spans="1:22" x14ac:dyDescent="0.3">
      <c r="A1806" s="1">
        <f t="shared" ref="A1806:A1848" si="2823">ROUND(CONCATENATE(U1806,V1806),0)</f>
        <v>42201</v>
      </c>
      <c r="B1806" s="96" t="s">
        <v>0</v>
      </c>
      <c r="C1806" s="97"/>
      <c r="D1806" s="110" t="s">
        <v>46</v>
      </c>
      <c r="E1806" s="111"/>
      <c r="F1806" s="111"/>
      <c r="G1806" s="111"/>
      <c r="H1806" s="112"/>
      <c r="J1806" s="9"/>
      <c r="K1806" s="9"/>
      <c r="L1806" s="9"/>
      <c r="M1806" s="9"/>
      <c r="N1806" s="9"/>
      <c r="O1806" s="9"/>
      <c r="P1806" s="9"/>
      <c r="Q1806" s="9"/>
      <c r="R1806" s="9"/>
      <c r="S1806" s="9"/>
      <c r="T1806" s="9"/>
      <c r="U1806" s="1">
        <f t="shared" ref="U1806" si="2824">U1804+1</f>
        <v>42</v>
      </c>
      <c r="V1806" s="1">
        <v>201</v>
      </c>
    </row>
    <row r="1807" spans="1:22" x14ac:dyDescent="0.3">
      <c r="A1807" s="1">
        <f t="shared" si="2823"/>
        <v>42202</v>
      </c>
      <c r="B1807" s="96" t="s">
        <v>1</v>
      </c>
      <c r="C1807" s="97"/>
      <c r="D1807" s="15">
        <v>20</v>
      </c>
      <c r="E1807" s="16" t="s">
        <v>2</v>
      </c>
      <c r="F1807" s="107"/>
      <c r="G1807" s="108"/>
      <c r="H1807" s="109"/>
      <c r="J1807" s="9"/>
      <c r="K1807" s="9"/>
      <c r="L1807" s="9"/>
      <c r="M1807" s="9"/>
      <c r="N1807" s="9"/>
      <c r="O1807" s="9"/>
      <c r="P1807" s="9"/>
      <c r="Q1807" s="9"/>
      <c r="R1807" s="9"/>
      <c r="S1807" s="9"/>
      <c r="T1807" s="9"/>
      <c r="U1807" s="1">
        <f t="shared" ref="U1807" si="2825">U1806</f>
        <v>42</v>
      </c>
      <c r="V1807" s="1">
        <f t="shared" ref="V1807" si="2826">V1806+1</f>
        <v>202</v>
      </c>
    </row>
    <row r="1808" spans="1:22" x14ac:dyDescent="0.3">
      <c r="A1808" s="1">
        <f t="shared" si="2823"/>
        <v>42203</v>
      </c>
      <c r="B1808" s="96" t="s">
        <v>12</v>
      </c>
      <c r="C1808" s="97"/>
      <c r="D1808" s="110" t="s">
        <v>83</v>
      </c>
      <c r="E1808" s="111"/>
      <c r="F1808" s="111"/>
      <c r="G1808" s="111"/>
      <c r="H1808" s="112"/>
      <c r="K1808" s="1" t="s">
        <v>3</v>
      </c>
      <c r="L1808" s="1" t="s">
        <v>4</v>
      </c>
      <c r="M1808" s="1" t="s">
        <v>5</v>
      </c>
      <c r="N1808" s="1" t="s">
        <v>6</v>
      </c>
      <c r="O1808" s="1" t="s">
        <v>7</v>
      </c>
      <c r="P1808" s="1" t="s">
        <v>8</v>
      </c>
      <c r="Q1808" s="1" t="s">
        <v>9</v>
      </c>
      <c r="R1808" s="1" t="s">
        <v>10</v>
      </c>
      <c r="S1808" s="1" t="s">
        <v>11</v>
      </c>
      <c r="T1808" s="9"/>
      <c r="U1808" s="1">
        <f t="shared" si="2738"/>
        <v>42</v>
      </c>
      <c r="V1808" s="1">
        <f t="shared" si="2739"/>
        <v>203</v>
      </c>
    </row>
    <row r="1809" spans="1:22" x14ac:dyDescent="0.3">
      <c r="A1809" s="1">
        <f t="shared" si="2823"/>
        <v>42204</v>
      </c>
      <c r="B1809" s="96" t="s">
        <v>13</v>
      </c>
      <c r="C1809" s="97"/>
      <c r="D1809" s="110" t="s">
        <v>65</v>
      </c>
      <c r="E1809" s="111"/>
      <c r="F1809" s="111"/>
      <c r="G1809" s="111"/>
      <c r="H1809" s="112"/>
      <c r="J1809" s="1">
        <f t="shared" ref="J1809" si="2827">COUNTA(B1822:B1831)</f>
        <v>3</v>
      </c>
      <c r="K1809" s="1">
        <f t="shared" ref="K1809" si="2828">IF(L1809-1&lt;2,0,L1809-1)</f>
        <v>0</v>
      </c>
      <c r="L1809" s="1">
        <f t="shared" ref="L1809" si="2829">IF(M1809-1&lt;2,0,M1809-1)</f>
        <v>0</v>
      </c>
      <c r="M1809" s="1">
        <f t="shared" ref="M1809" si="2830">IF(N1809-1&lt;2,0,N1809-1)</f>
        <v>0</v>
      </c>
      <c r="N1809" s="1">
        <f t="shared" ref="N1809" si="2831">IF(O1809-1&lt;2,0,O1809-1)</f>
        <v>0</v>
      </c>
      <c r="O1809" s="1">
        <f t="shared" ref="O1809" si="2832">IF(P1809-1&lt;2,0,P1809-1)</f>
        <v>0</v>
      </c>
      <c r="P1809" s="1">
        <f t="shared" ref="P1809" si="2833">IF(Q1809-1&lt;2,0,Q1809-1)</f>
        <v>0</v>
      </c>
      <c r="Q1809" s="1">
        <f t="shared" ref="Q1809" si="2834">IF(R1809-1&lt;2,0,R1809-1)</f>
        <v>0</v>
      </c>
      <c r="R1809" s="1">
        <f t="shared" ref="R1809" si="2835">IF(S1809-1&lt;2,0,S1809-1)</f>
        <v>2</v>
      </c>
      <c r="S1809" s="1">
        <f t="shared" ref="S1809" si="2836">J1809</f>
        <v>3</v>
      </c>
      <c r="T1809" s="9"/>
      <c r="U1809" s="1">
        <f t="shared" si="2738"/>
        <v>42</v>
      </c>
      <c r="V1809" s="1">
        <f t="shared" si="2739"/>
        <v>204</v>
      </c>
    </row>
    <row r="1810" spans="1:22" x14ac:dyDescent="0.3">
      <c r="A1810" s="1">
        <f t="shared" si="2823"/>
        <v>42205</v>
      </c>
      <c r="B1810" s="96" t="s">
        <v>14</v>
      </c>
      <c r="C1810" s="97"/>
      <c r="D1810" s="110" t="s">
        <v>66</v>
      </c>
      <c r="E1810" s="111"/>
      <c r="F1810" s="111"/>
      <c r="G1810" s="111"/>
      <c r="H1810" s="112"/>
      <c r="J1810" s="24" t="str">
        <f t="shared" ref="J1810" si="2837">CONCATENATE(J1809,1)</f>
        <v>31</v>
      </c>
      <c r="K1810" s="25">
        <f t="shared" ref="K1810" si="2838">IF(K1809=0,0,VLOOKUP(J1810,J1814:S1844,K1809,FALSE))</f>
        <v>0</v>
      </c>
      <c r="L1810" s="25">
        <f t="shared" ref="L1810" si="2839">IF(L1809=0,0,VLOOKUP(J1810,J1814:S1844,L1809,FALSE))</f>
        <v>0</v>
      </c>
      <c r="M1810" s="25">
        <f t="shared" ref="M1810" si="2840">IF(M1809=0,0,VLOOKUP(J1810,J1814:S1844,M1809,FALSE))</f>
        <v>0</v>
      </c>
      <c r="N1810" s="25">
        <f t="shared" ref="N1810" si="2841">IF(N1809=0,0,VLOOKUP(J1810,J1814:S1844,N1809,FALSE))</f>
        <v>0</v>
      </c>
      <c r="O1810" s="25">
        <f t="shared" ref="O1810" si="2842">IF(O1809=0,0,VLOOKUP(J1810,J1814:S1844,O1809,FALSE))</f>
        <v>0</v>
      </c>
      <c r="P1810" s="25">
        <f t="shared" ref="P1810" si="2843">IF(P1809=0,0,VLOOKUP(J1810,J1814:S1844,P1809,FALSE))</f>
        <v>0</v>
      </c>
      <c r="Q1810" s="25">
        <f t="shared" ref="Q1810" si="2844">IF(Q1809=0,0,VLOOKUP(J1810,J1814:S1844,Q1809,FALSE))</f>
        <v>0</v>
      </c>
      <c r="R1810" s="25">
        <f t="shared" ref="R1810" si="2845">IF(R1809=0,0,VLOOKUP(J1810,J1814:S1844,R1809,FALSE))</f>
        <v>1.2177985948477752</v>
      </c>
      <c r="S1810" s="25">
        <f t="shared" ref="S1810" si="2846">IF(S1809=0,0,VLOOKUP(J1810,J1814:S1844,S1809,FALSE))</f>
        <v>-9.9921935987509727</v>
      </c>
      <c r="T1810" s="9"/>
      <c r="U1810" s="1">
        <f t="shared" si="2738"/>
        <v>42</v>
      </c>
      <c r="V1810" s="1">
        <f t="shared" si="2739"/>
        <v>205</v>
      </c>
    </row>
    <row r="1811" spans="1:22" x14ac:dyDescent="0.3">
      <c r="A1811" s="1">
        <f t="shared" si="2823"/>
        <v>42206</v>
      </c>
      <c r="B1811" s="96" t="s">
        <v>15</v>
      </c>
      <c r="C1811" s="97"/>
      <c r="D1811" s="110" t="s">
        <v>123</v>
      </c>
      <c r="E1811" s="111"/>
      <c r="F1811" s="111"/>
      <c r="G1811" s="111"/>
      <c r="H1811" s="112"/>
      <c r="J1811" s="24" t="str">
        <f t="shared" ref="J1811" si="2847">CONCATENATE(J1809,2)</f>
        <v>32</v>
      </c>
      <c r="K1811" s="6">
        <f t="shared" ref="K1811" si="2848">IF(K1809=0,0,VLOOKUP(J1811,J1814:S1844,K1809,FALSE))</f>
        <v>0</v>
      </c>
      <c r="L1811" s="6">
        <f t="shared" ref="L1811" si="2849">IF(L1809=0,0,VLOOKUP(J1811,J1814:S1844,L1809,FALSE))</f>
        <v>0</v>
      </c>
      <c r="M1811" s="6">
        <f t="shared" ref="M1811" si="2850">IF(M1809=0,0,VLOOKUP(J1811,J1814:S1844,M1809,FALSE))</f>
        <v>0</v>
      </c>
      <c r="N1811" s="6">
        <f t="shared" ref="N1811" si="2851">IF(N1809=0,0,VLOOKUP(J1811,J1814:S1844,N1809,FALSE))</f>
        <v>0</v>
      </c>
      <c r="O1811" s="6">
        <f t="shared" ref="O1811" si="2852">IF(O1809=0,0,VLOOKUP(J1811,J1814:S1844,O1809,FALSE))</f>
        <v>0</v>
      </c>
      <c r="P1811" s="6">
        <f t="shared" ref="P1811" si="2853">IF(P1809=0,0,VLOOKUP(J1811,J1814:S1844,P1809,FALSE))</f>
        <v>0</v>
      </c>
      <c r="Q1811" s="6">
        <f t="shared" ref="Q1811" si="2854">IF(Q1809=0,0,VLOOKUP(J1811,J1814:S1844,Q1809,FALSE))</f>
        <v>0</v>
      </c>
      <c r="R1811" s="6">
        <f t="shared" ref="R1811" si="2855">IF(R1809=0,0,VLOOKUP(J1811,J1814:S1844,R1809,FALSE))</f>
        <v>1.3521083587579008E-2</v>
      </c>
      <c r="S1811" s="6">
        <f t="shared" ref="S1811" si="2856">IF(S1809=0,0,VLOOKUP(J1811,J1814:S1844,S1809,FALSE))</f>
        <v>0.73918005082065708</v>
      </c>
      <c r="T1811" s="9"/>
      <c r="U1811" s="1">
        <f t="shared" si="2738"/>
        <v>42</v>
      </c>
      <c r="V1811" s="1">
        <f t="shared" si="2739"/>
        <v>206</v>
      </c>
    </row>
    <row r="1812" spans="1:22" x14ac:dyDescent="0.3">
      <c r="A1812" s="1">
        <f t="shared" si="2823"/>
        <v>42207</v>
      </c>
      <c r="B1812" s="96" t="s">
        <v>16</v>
      </c>
      <c r="C1812" s="97"/>
      <c r="D1812" s="113">
        <v>44274</v>
      </c>
      <c r="E1812" s="114"/>
      <c r="F1812" s="114"/>
      <c r="G1812" s="114"/>
      <c r="H1812" s="115"/>
      <c r="J1812" s="24" t="str">
        <f t="shared" ref="J1812" si="2857">CONCATENATE(J1809,3)</f>
        <v>33</v>
      </c>
      <c r="K1812" s="6"/>
      <c r="L1812" s="6"/>
      <c r="M1812" s="6"/>
      <c r="N1812" s="6" t="s">
        <v>43</v>
      </c>
      <c r="O1812" s="25">
        <f t="shared" ref="O1812" si="2858">J1809-2</f>
        <v>1</v>
      </c>
      <c r="P1812" s="6" t="s">
        <v>44</v>
      </c>
      <c r="Q1812" s="25">
        <f t="shared" ref="Q1812" si="2859">VLOOKUP(J1812,J1814:S1844,3,FALSE)</f>
        <v>0.39513038984679838</v>
      </c>
      <c r="R1812" s="6" t="s">
        <v>45</v>
      </c>
      <c r="S1812" s="6">
        <f t="shared" ref="S1812" si="2860">VLOOKUP(J1812,J1814:S1844,2,FALSE)</f>
        <v>0.99987674103291013</v>
      </c>
      <c r="T1812" s="9"/>
      <c r="U1812" s="1">
        <f t="shared" si="2738"/>
        <v>42</v>
      </c>
      <c r="V1812" s="1">
        <f t="shared" si="2739"/>
        <v>207</v>
      </c>
    </row>
    <row r="1813" spans="1:22" x14ac:dyDescent="0.3">
      <c r="A1813" s="1">
        <f t="shared" si="2823"/>
        <v>42208</v>
      </c>
      <c r="B1813" s="96" t="s">
        <v>17</v>
      </c>
      <c r="C1813" s="97"/>
      <c r="D1813" s="116">
        <v>44651</v>
      </c>
      <c r="E1813" s="117"/>
      <c r="F1813" s="117"/>
      <c r="G1813" s="117"/>
      <c r="H1813" s="118"/>
      <c r="K1813" s="1">
        <v>3</v>
      </c>
      <c r="L1813" s="1">
        <v>3</v>
      </c>
      <c r="Q1813" s="26"/>
      <c r="R1813" s="26"/>
      <c r="S1813" s="26"/>
      <c r="T1813" s="9"/>
      <c r="U1813" s="1">
        <f t="shared" si="2738"/>
        <v>42</v>
      </c>
      <c r="V1813" s="1">
        <f t="shared" si="2739"/>
        <v>208</v>
      </c>
    </row>
    <row r="1814" spans="1:22" x14ac:dyDescent="0.3">
      <c r="A1814" s="1">
        <f t="shared" si="2823"/>
        <v>42209</v>
      </c>
      <c r="B1814" s="77" t="s">
        <v>19</v>
      </c>
      <c r="C1814" s="78"/>
      <c r="D1814" s="17">
        <v>1</v>
      </c>
      <c r="E1814" s="79" t="s">
        <v>40</v>
      </c>
      <c r="F1814" s="80"/>
      <c r="G1814" s="81"/>
      <c r="H1814" s="18" t="s">
        <v>72</v>
      </c>
      <c r="J1814" s="24" t="str">
        <f t="shared" ref="J1814" si="2861">CONCATENATE(K1813,1)</f>
        <v>31</v>
      </c>
      <c r="K1814" s="6">
        <f t="array" ref="K1814:L1816">LINEST(B1822:B1824,C1822:C1824^{1},TRUE,TRUE)</f>
        <v>1.2177985948477752</v>
      </c>
      <c r="L1814" s="6">
        <v>-9.9921935987509727</v>
      </c>
      <c r="Q1814" s="9"/>
      <c r="R1814" s="9"/>
      <c r="S1814" s="9"/>
      <c r="T1814" s="9"/>
      <c r="U1814" s="1">
        <f t="shared" si="2738"/>
        <v>42</v>
      </c>
      <c r="V1814" s="1">
        <f t="shared" si="2739"/>
        <v>209</v>
      </c>
    </row>
    <row r="1815" spans="1:22" x14ac:dyDescent="0.3">
      <c r="A1815" s="1">
        <f t="shared" si="2823"/>
        <v>42210</v>
      </c>
      <c r="B1815" s="77" t="s">
        <v>41</v>
      </c>
      <c r="C1815" s="78"/>
      <c r="D1815" s="23">
        <f t="shared" ref="D1815" si="2862">MIN(B1822:B1831)</f>
        <v>30</v>
      </c>
      <c r="E1815" s="20" t="s">
        <v>18</v>
      </c>
      <c r="F1815" s="19">
        <f t="shared" ref="F1815" si="2863">MAX(B1822:B1831)</f>
        <v>80</v>
      </c>
      <c r="G1815" s="21" t="str">
        <f t="shared" ref="G1815" si="2864">IF(H1814="","",H1814)</f>
        <v>%ur</v>
      </c>
      <c r="H1815" s="22"/>
      <c r="J1815" s="24" t="str">
        <f t="shared" ref="J1815" si="2865">CONCATENATE(K1813,2)</f>
        <v>32</v>
      </c>
      <c r="K1815" s="6">
        <v>1.3521083587579008E-2</v>
      </c>
      <c r="L1815" s="6">
        <v>0.73918005082065708</v>
      </c>
      <c r="Q1815" s="9"/>
      <c r="R1815" s="9"/>
      <c r="S1815" s="9"/>
      <c r="T1815" s="9"/>
      <c r="U1815" s="1">
        <f t="shared" si="2738"/>
        <v>42</v>
      </c>
      <c r="V1815" s="1">
        <f t="shared" si="2739"/>
        <v>210</v>
      </c>
    </row>
    <row r="1816" spans="1:22" x14ac:dyDescent="0.3">
      <c r="A1816" s="1">
        <f t="shared" si="2823"/>
        <v>42211</v>
      </c>
      <c r="J1816" s="24" t="str">
        <f t="shared" ref="J1816" si="2866">CONCATENATE(K1813,3)</f>
        <v>33</v>
      </c>
      <c r="K1816" s="6">
        <v>0.99987674103291013</v>
      </c>
      <c r="L1816" s="6">
        <v>0.39513038984679838</v>
      </c>
      <c r="Q1816" s="9"/>
      <c r="R1816" s="9"/>
      <c r="S1816" s="9"/>
      <c r="T1816" s="9"/>
      <c r="U1816" s="1">
        <f t="shared" si="2738"/>
        <v>42</v>
      </c>
      <c r="V1816" s="1">
        <f t="shared" si="2739"/>
        <v>211</v>
      </c>
    </row>
    <row r="1817" spans="1:22" x14ac:dyDescent="0.3">
      <c r="A1817" s="1">
        <f t="shared" si="2823"/>
        <v>42212</v>
      </c>
      <c r="B1817" s="82" t="s">
        <v>20</v>
      </c>
      <c r="C1817" s="83"/>
      <c r="D1817" s="83"/>
      <c r="E1817" s="83"/>
      <c r="F1817" s="84"/>
      <c r="G1817" s="85" t="s">
        <v>31</v>
      </c>
      <c r="H1817" s="86"/>
      <c r="K1817" s="1">
        <v>4</v>
      </c>
      <c r="L1817" s="1">
        <v>4</v>
      </c>
      <c r="M1817" s="1">
        <v>4</v>
      </c>
      <c r="Q1817" s="9"/>
      <c r="R1817" s="9"/>
      <c r="S1817" s="9"/>
      <c r="T1817" s="9"/>
      <c r="U1817" s="1">
        <f t="shared" si="2738"/>
        <v>42</v>
      </c>
      <c r="V1817" s="1">
        <f t="shared" si="2739"/>
        <v>212</v>
      </c>
    </row>
    <row r="1818" spans="1:22" x14ac:dyDescent="0.3">
      <c r="A1818" s="1">
        <f t="shared" si="2823"/>
        <v>42213</v>
      </c>
      <c r="B1818" s="82" t="s">
        <v>30</v>
      </c>
      <c r="C1818" s="83"/>
      <c r="D1818" s="84"/>
      <c r="E1818" s="82" t="str">
        <f t="shared" ref="E1818" si="2867">D1811</f>
        <v>R0152/21</v>
      </c>
      <c r="F1818" s="84"/>
      <c r="G1818" s="6" t="s">
        <v>32</v>
      </c>
      <c r="H1818" s="36" t="s">
        <v>84</v>
      </c>
      <c r="J1818" s="24" t="str">
        <f t="shared" ref="J1818" si="2868">CONCATENATE(K1817,1)</f>
        <v>41</v>
      </c>
      <c r="K1818" s="6" t="e">
        <f t="array" ref="K1818:M1820">LINEST(B1822:B1825,C1822:C1825^{1,2},TRUE,TRUE)</f>
        <v>#VALUE!</v>
      </c>
      <c r="L1818" s="6" t="e">
        <v>#VALUE!</v>
      </c>
      <c r="M1818" s="6" t="e">
        <v>#VALUE!</v>
      </c>
      <c r="Q1818" s="9"/>
      <c r="R1818" s="9"/>
      <c r="S1818" s="9"/>
      <c r="T1818" s="9"/>
      <c r="U1818" s="1">
        <f t="shared" si="2738"/>
        <v>42</v>
      </c>
      <c r="V1818" s="1">
        <f t="shared" si="2739"/>
        <v>213</v>
      </c>
    </row>
    <row r="1819" spans="1:22" x14ac:dyDescent="0.3">
      <c r="A1819" s="1">
        <f t="shared" si="2823"/>
        <v>42214</v>
      </c>
      <c r="B1819" s="2" t="s">
        <v>21</v>
      </c>
      <c r="C1819" s="2" t="s">
        <v>22</v>
      </c>
      <c r="D1819" s="2" t="s">
        <v>23</v>
      </c>
      <c r="E1819" s="2"/>
      <c r="F1819" s="2" t="s">
        <v>28</v>
      </c>
      <c r="G1819" s="2" t="s">
        <v>21</v>
      </c>
      <c r="H1819" s="2" t="s">
        <v>22</v>
      </c>
      <c r="J1819" s="24" t="str">
        <f t="shared" ref="J1819" si="2869">CONCATENATE(K1817,2)</f>
        <v>42</v>
      </c>
      <c r="K1819" s="6" t="e">
        <v>#VALUE!</v>
      </c>
      <c r="L1819" s="6" t="e">
        <v>#VALUE!</v>
      </c>
      <c r="M1819" s="6" t="e">
        <v>#VALUE!</v>
      </c>
      <c r="Q1819" s="9"/>
      <c r="R1819" s="9"/>
      <c r="S1819" s="9"/>
      <c r="T1819" s="9"/>
      <c r="U1819" s="1">
        <f t="shared" ref="U1819:U1882" si="2870">U1818</f>
        <v>42</v>
      </c>
      <c r="V1819" s="1">
        <f t="shared" ref="V1819:V1882" si="2871">V1818+1</f>
        <v>214</v>
      </c>
    </row>
    <row r="1820" spans="1:22" x14ac:dyDescent="0.3">
      <c r="A1820" s="1">
        <f t="shared" si="2823"/>
        <v>42215</v>
      </c>
      <c r="B1820" s="2" t="s">
        <v>24</v>
      </c>
      <c r="C1820" s="2" t="s">
        <v>25</v>
      </c>
      <c r="D1820" s="2" t="s">
        <v>26</v>
      </c>
      <c r="E1820" s="2" t="s">
        <v>27</v>
      </c>
      <c r="F1820" s="2" t="s">
        <v>29</v>
      </c>
      <c r="G1820" s="2" t="s">
        <v>24</v>
      </c>
      <c r="H1820" s="2" t="s">
        <v>25</v>
      </c>
      <c r="J1820" s="24" t="str">
        <f t="shared" ref="J1820" si="2872">CONCATENATE(K1817,3)</f>
        <v>43</v>
      </c>
      <c r="K1820" s="6" t="e">
        <v>#VALUE!</v>
      </c>
      <c r="L1820" s="6" t="e">
        <v>#VALUE!</v>
      </c>
      <c r="M1820" s="6" t="e">
        <v>#VALUE!</v>
      </c>
      <c r="Q1820" s="9"/>
      <c r="R1820" s="9"/>
      <c r="S1820" s="9"/>
      <c r="T1820" s="9"/>
      <c r="U1820" s="1">
        <f t="shared" si="2870"/>
        <v>42</v>
      </c>
      <c r="V1820" s="1">
        <f t="shared" si="2871"/>
        <v>215</v>
      </c>
    </row>
    <row r="1821" spans="1:22" x14ac:dyDescent="0.3">
      <c r="A1821" s="1">
        <f t="shared" si="2823"/>
        <v>42216</v>
      </c>
      <c r="B1821" s="3" t="str">
        <f t="shared" ref="B1821" si="2873">H1814</f>
        <v>%ur</v>
      </c>
      <c r="C1821" s="3" t="str">
        <f t="shared" ref="C1821:D1821" si="2874">B1821</f>
        <v>%ur</v>
      </c>
      <c r="D1821" s="3" t="str">
        <f t="shared" si="2874"/>
        <v>%ur</v>
      </c>
      <c r="E1821" s="3"/>
      <c r="F1821" s="3"/>
      <c r="G1821" s="3" t="str">
        <f t="shared" ref="G1821" si="2875">D1821</f>
        <v>%ur</v>
      </c>
      <c r="H1821" s="3" t="str">
        <f t="shared" ref="H1821" si="2876">G1821</f>
        <v>%ur</v>
      </c>
      <c r="K1821" s="1">
        <v>5</v>
      </c>
      <c r="L1821" s="1">
        <v>5</v>
      </c>
      <c r="M1821" s="1">
        <v>5</v>
      </c>
      <c r="N1821" s="1">
        <v>5</v>
      </c>
      <c r="Q1821" s="9"/>
      <c r="R1821" s="9"/>
      <c r="S1821" s="9"/>
      <c r="T1821" s="9"/>
      <c r="U1821" s="1">
        <f t="shared" si="2870"/>
        <v>42</v>
      </c>
      <c r="V1821" s="1">
        <f t="shared" si="2871"/>
        <v>216</v>
      </c>
    </row>
    <row r="1822" spans="1:22" x14ac:dyDescent="0.3">
      <c r="A1822" s="1">
        <f t="shared" si="2823"/>
        <v>42217</v>
      </c>
      <c r="B1822" s="4">
        <v>30</v>
      </c>
      <c r="C1822" s="4">
        <v>33</v>
      </c>
      <c r="D1822" s="4">
        <v>2</v>
      </c>
      <c r="E1822" s="4">
        <v>2</v>
      </c>
      <c r="F1822" s="14">
        <v>1000000</v>
      </c>
      <c r="G1822" s="8">
        <v>30</v>
      </c>
      <c r="H1822" s="7">
        <v>33</v>
      </c>
      <c r="J1822" s="24" t="str">
        <f t="shared" ref="J1822" si="2877">CONCATENATE(K1821,1)</f>
        <v>51</v>
      </c>
      <c r="K1822" s="6" t="e">
        <f t="array" ref="K1822:N1824">LINEST(B1822:B1826,C1822:C1826^{1,2,3},TRUE,TRUE)</f>
        <v>#VALUE!</v>
      </c>
      <c r="L1822" s="6" t="e">
        <v>#VALUE!</v>
      </c>
      <c r="M1822" s="6" t="e">
        <v>#VALUE!</v>
      </c>
      <c r="N1822" s="6" t="e">
        <v>#VALUE!</v>
      </c>
      <c r="Q1822" s="9"/>
      <c r="R1822" s="9"/>
      <c r="S1822" s="9"/>
      <c r="T1822" s="9"/>
      <c r="U1822" s="1">
        <f t="shared" si="2870"/>
        <v>42</v>
      </c>
      <c r="V1822" s="1">
        <f t="shared" si="2871"/>
        <v>217</v>
      </c>
    </row>
    <row r="1823" spans="1:22" x14ac:dyDescent="0.3">
      <c r="A1823" s="1">
        <f t="shared" si="2823"/>
        <v>42218</v>
      </c>
      <c r="B1823" s="4">
        <v>50</v>
      </c>
      <c r="C1823" s="4">
        <v>49</v>
      </c>
      <c r="D1823" s="4">
        <v>2</v>
      </c>
      <c r="E1823" s="4">
        <v>2</v>
      </c>
      <c r="F1823" s="14">
        <v>1000000</v>
      </c>
      <c r="G1823" s="8">
        <v>50</v>
      </c>
      <c r="H1823" s="7">
        <v>50</v>
      </c>
      <c r="J1823" s="24" t="str">
        <f t="shared" ref="J1823" si="2878">CONCATENATE(K1821,2)</f>
        <v>52</v>
      </c>
      <c r="K1823" s="6" t="e">
        <v>#VALUE!</v>
      </c>
      <c r="L1823" s="6" t="e">
        <v>#VALUE!</v>
      </c>
      <c r="M1823" s="6" t="e">
        <v>#VALUE!</v>
      </c>
      <c r="N1823" s="6" t="e">
        <v>#VALUE!</v>
      </c>
      <c r="T1823" s="9"/>
      <c r="U1823" s="1">
        <f t="shared" si="2870"/>
        <v>42</v>
      </c>
      <c r="V1823" s="1">
        <f t="shared" si="2871"/>
        <v>218</v>
      </c>
    </row>
    <row r="1824" spans="1:22" x14ac:dyDescent="0.3">
      <c r="A1824" s="1">
        <f t="shared" si="2823"/>
        <v>42219</v>
      </c>
      <c r="B1824" s="4">
        <v>80</v>
      </c>
      <c r="C1824" s="4">
        <v>74</v>
      </c>
      <c r="D1824" s="4">
        <v>2</v>
      </c>
      <c r="E1824" s="4">
        <v>2</v>
      </c>
      <c r="F1824" s="14">
        <v>1000000</v>
      </c>
      <c r="G1824" s="8">
        <v>80</v>
      </c>
      <c r="H1824" s="7">
        <v>75</v>
      </c>
      <c r="J1824" s="24" t="str">
        <f t="shared" ref="J1824" si="2879">CONCATENATE(K1821,3)</f>
        <v>53</v>
      </c>
      <c r="K1824" s="6" t="e">
        <v>#VALUE!</v>
      </c>
      <c r="L1824" s="6" t="e">
        <v>#VALUE!</v>
      </c>
      <c r="M1824" s="6" t="e">
        <v>#VALUE!</v>
      </c>
      <c r="N1824" s="6" t="e">
        <v>#VALUE!</v>
      </c>
      <c r="T1824" s="9"/>
      <c r="U1824" s="1">
        <f t="shared" si="2870"/>
        <v>42</v>
      </c>
      <c r="V1824" s="1">
        <f t="shared" si="2871"/>
        <v>219</v>
      </c>
    </row>
    <row r="1825" spans="1:22" x14ac:dyDescent="0.3">
      <c r="A1825" s="1">
        <f t="shared" si="2823"/>
        <v>42220</v>
      </c>
      <c r="B1825" s="4"/>
      <c r="C1825" s="4"/>
      <c r="D1825" s="4"/>
      <c r="E1825" s="4"/>
      <c r="F1825" s="14"/>
      <c r="G1825" s="8"/>
      <c r="H1825" s="7"/>
      <c r="K1825" s="1">
        <v>6</v>
      </c>
      <c r="L1825" s="1">
        <v>6</v>
      </c>
      <c r="M1825" s="1">
        <v>6</v>
      </c>
      <c r="N1825" s="1">
        <v>6</v>
      </c>
      <c r="O1825" s="1">
        <v>6</v>
      </c>
      <c r="T1825" s="9"/>
      <c r="U1825" s="1">
        <f t="shared" si="2870"/>
        <v>42</v>
      </c>
      <c r="V1825" s="1">
        <f t="shared" si="2871"/>
        <v>220</v>
      </c>
    </row>
    <row r="1826" spans="1:22" x14ac:dyDescent="0.3">
      <c r="A1826" s="1">
        <f t="shared" si="2823"/>
        <v>42221</v>
      </c>
      <c r="B1826" s="4"/>
      <c r="C1826" s="4"/>
      <c r="D1826" s="4"/>
      <c r="E1826" s="4"/>
      <c r="F1826" s="14"/>
      <c r="G1826" s="8"/>
      <c r="H1826" s="7"/>
      <c r="J1826" s="24" t="str">
        <f t="shared" ref="J1826" si="2880">CONCATENATE(K1825,1)</f>
        <v>61</v>
      </c>
      <c r="K1826" s="6" t="e">
        <f t="array" ref="K1826:O1828">LINEST(B1822:B1827,C1822:C1827^{1,2,3,4},TRUE,TRUE)</f>
        <v>#VALUE!</v>
      </c>
      <c r="L1826" s="6" t="e">
        <v>#VALUE!</v>
      </c>
      <c r="M1826" s="6" t="e">
        <v>#VALUE!</v>
      </c>
      <c r="N1826" s="6" t="e">
        <v>#VALUE!</v>
      </c>
      <c r="O1826" s="6" t="e">
        <v>#VALUE!</v>
      </c>
      <c r="T1826" s="9"/>
      <c r="U1826" s="1">
        <f t="shared" si="2870"/>
        <v>42</v>
      </c>
      <c r="V1826" s="1">
        <f t="shared" si="2871"/>
        <v>221</v>
      </c>
    </row>
    <row r="1827" spans="1:22" x14ac:dyDescent="0.3">
      <c r="A1827" s="1">
        <f t="shared" si="2823"/>
        <v>42222</v>
      </c>
      <c r="B1827" s="4"/>
      <c r="C1827" s="4"/>
      <c r="D1827" s="4"/>
      <c r="E1827" s="4"/>
      <c r="F1827" s="14"/>
      <c r="G1827" s="8"/>
      <c r="H1827" s="7"/>
      <c r="J1827" s="24" t="str">
        <f t="shared" ref="J1827" si="2881">CONCATENATE(K1825,2)</f>
        <v>62</v>
      </c>
      <c r="K1827" s="6" t="e">
        <v>#VALUE!</v>
      </c>
      <c r="L1827" s="6" t="e">
        <v>#VALUE!</v>
      </c>
      <c r="M1827" s="6" t="e">
        <v>#VALUE!</v>
      </c>
      <c r="N1827" s="6" t="e">
        <v>#VALUE!</v>
      </c>
      <c r="O1827" s="6" t="e">
        <v>#VALUE!</v>
      </c>
      <c r="T1827" s="9"/>
      <c r="U1827" s="1">
        <f t="shared" si="2870"/>
        <v>42</v>
      </c>
      <c r="V1827" s="1">
        <f t="shared" si="2871"/>
        <v>222</v>
      </c>
    </row>
    <row r="1828" spans="1:22" x14ac:dyDescent="0.3">
      <c r="A1828" s="1">
        <f t="shared" si="2823"/>
        <v>42223</v>
      </c>
      <c r="B1828" s="4"/>
      <c r="C1828" s="4"/>
      <c r="D1828" s="4"/>
      <c r="E1828" s="4"/>
      <c r="F1828" s="14"/>
      <c r="G1828" s="8"/>
      <c r="H1828" s="7"/>
      <c r="J1828" s="24" t="str">
        <f t="shared" ref="J1828" si="2882">CONCATENATE(K1825,3)</f>
        <v>63</v>
      </c>
      <c r="K1828" s="6" t="e">
        <v>#VALUE!</v>
      </c>
      <c r="L1828" s="6" t="e">
        <v>#VALUE!</v>
      </c>
      <c r="M1828" s="6" t="e">
        <v>#VALUE!</v>
      </c>
      <c r="N1828" s="6" t="e">
        <v>#VALUE!</v>
      </c>
      <c r="O1828" s="6" t="e">
        <v>#VALUE!</v>
      </c>
      <c r="T1828" s="9"/>
      <c r="U1828" s="1">
        <f t="shared" si="2870"/>
        <v>42</v>
      </c>
      <c r="V1828" s="1">
        <f t="shared" si="2871"/>
        <v>223</v>
      </c>
    </row>
    <row r="1829" spans="1:22" x14ac:dyDescent="0.3">
      <c r="A1829" s="1">
        <f t="shared" si="2823"/>
        <v>42224</v>
      </c>
      <c r="B1829" s="4"/>
      <c r="C1829" s="4"/>
      <c r="D1829" s="4"/>
      <c r="E1829" s="4"/>
      <c r="F1829" s="14"/>
      <c r="G1829" s="8"/>
      <c r="H1829" s="7"/>
      <c r="K1829" s="1">
        <v>7</v>
      </c>
      <c r="L1829" s="1">
        <v>7</v>
      </c>
      <c r="M1829" s="1">
        <v>7</v>
      </c>
      <c r="N1829" s="1">
        <v>7</v>
      </c>
      <c r="O1829" s="1">
        <v>7</v>
      </c>
      <c r="P1829" s="1">
        <v>7</v>
      </c>
      <c r="T1829" s="9"/>
      <c r="U1829" s="1">
        <f t="shared" si="2870"/>
        <v>42</v>
      </c>
      <c r="V1829" s="1">
        <f t="shared" si="2871"/>
        <v>224</v>
      </c>
    </row>
    <row r="1830" spans="1:22" x14ac:dyDescent="0.3">
      <c r="A1830" s="1">
        <f t="shared" si="2823"/>
        <v>42225</v>
      </c>
      <c r="B1830" s="4"/>
      <c r="C1830" s="4"/>
      <c r="D1830" s="4"/>
      <c r="E1830" s="4"/>
      <c r="F1830" s="14"/>
      <c r="G1830" s="8"/>
      <c r="H1830" s="7"/>
      <c r="J1830" s="24" t="str">
        <f t="shared" ref="J1830" si="2883">CONCATENATE(K1829,1)</f>
        <v>71</v>
      </c>
      <c r="K1830" s="6" t="e">
        <f t="array" ref="K1830:P1832">LINEST(B1822:B1828,C1822:C1828^{1,2,3,4,5},TRUE,TRUE)</f>
        <v>#VALUE!</v>
      </c>
      <c r="L1830" s="6" t="e">
        <v>#VALUE!</v>
      </c>
      <c r="M1830" s="6" t="e">
        <v>#VALUE!</v>
      </c>
      <c r="N1830" s="6" t="e">
        <v>#VALUE!</v>
      </c>
      <c r="O1830" s="6" t="e">
        <v>#VALUE!</v>
      </c>
      <c r="P1830" s="6" t="e">
        <v>#VALUE!</v>
      </c>
      <c r="T1830" s="9"/>
      <c r="U1830" s="1">
        <f t="shared" si="2870"/>
        <v>42</v>
      </c>
      <c r="V1830" s="1">
        <f t="shared" si="2871"/>
        <v>225</v>
      </c>
    </row>
    <row r="1831" spans="1:22" x14ac:dyDescent="0.3">
      <c r="A1831" s="1">
        <f t="shared" si="2823"/>
        <v>42226</v>
      </c>
      <c r="B1831" s="4"/>
      <c r="C1831" s="4"/>
      <c r="D1831" s="4"/>
      <c r="E1831" s="4"/>
      <c r="F1831" s="14"/>
      <c r="G1831" s="8"/>
      <c r="H1831" s="7"/>
      <c r="J1831" s="24" t="str">
        <f t="shared" ref="J1831" si="2884">CONCATENATE(K1829,2)</f>
        <v>72</v>
      </c>
      <c r="K1831" s="6" t="e">
        <v>#VALUE!</v>
      </c>
      <c r="L1831" s="6" t="e">
        <v>#VALUE!</v>
      </c>
      <c r="M1831" s="6" t="e">
        <v>#VALUE!</v>
      </c>
      <c r="N1831" s="6" t="e">
        <v>#VALUE!</v>
      </c>
      <c r="O1831" s="6" t="e">
        <v>#VALUE!</v>
      </c>
      <c r="P1831" s="6" t="e">
        <v>#VALUE!</v>
      </c>
      <c r="T1831" s="9"/>
      <c r="U1831" s="1">
        <f t="shared" si="2870"/>
        <v>42</v>
      </c>
      <c r="V1831" s="1">
        <f t="shared" si="2871"/>
        <v>226</v>
      </c>
    </row>
    <row r="1832" spans="1:22" x14ac:dyDescent="0.3">
      <c r="A1832" s="1">
        <f t="shared" si="2823"/>
        <v>42227</v>
      </c>
      <c r="B1832" s="9"/>
      <c r="C1832" s="9"/>
      <c r="D1832" s="9"/>
      <c r="E1832" s="9"/>
      <c r="F1832" s="9"/>
      <c r="G1832" s="9"/>
      <c r="H1832" s="9"/>
      <c r="J1832" s="24" t="str">
        <f t="shared" ref="J1832" si="2885">CONCATENATE(K1829,3)</f>
        <v>73</v>
      </c>
      <c r="K1832" s="6" t="e">
        <v>#VALUE!</v>
      </c>
      <c r="L1832" s="6" t="e">
        <v>#VALUE!</v>
      </c>
      <c r="M1832" s="6" t="e">
        <v>#VALUE!</v>
      </c>
      <c r="N1832" s="6" t="e">
        <v>#VALUE!</v>
      </c>
      <c r="O1832" s="6" t="e">
        <v>#VALUE!</v>
      </c>
      <c r="P1832" s="6" t="e">
        <v>#VALUE!</v>
      </c>
      <c r="T1832" s="9"/>
      <c r="U1832" s="1">
        <f t="shared" si="2870"/>
        <v>42</v>
      </c>
      <c r="V1832" s="1">
        <f t="shared" si="2871"/>
        <v>227</v>
      </c>
    </row>
    <row r="1833" spans="1:22" x14ac:dyDescent="0.3">
      <c r="A1833" s="1">
        <f t="shared" si="2823"/>
        <v>42228</v>
      </c>
      <c r="B1833" s="87" t="s">
        <v>33</v>
      </c>
      <c r="C1833" s="88"/>
      <c r="D1833" s="88"/>
      <c r="E1833" s="88"/>
      <c r="F1833" s="88"/>
      <c r="G1833" s="88"/>
      <c r="H1833" s="89"/>
      <c r="K1833" s="1">
        <v>8</v>
      </c>
      <c r="L1833" s="1">
        <v>8</v>
      </c>
      <c r="M1833" s="1">
        <v>8</v>
      </c>
      <c r="N1833" s="1">
        <v>8</v>
      </c>
      <c r="O1833" s="1">
        <v>8</v>
      </c>
      <c r="P1833" s="1">
        <v>8</v>
      </c>
      <c r="Q1833" s="1">
        <v>8</v>
      </c>
      <c r="T1833" s="9"/>
      <c r="U1833" s="1">
        <f t="shared" si="2870"/>
        <v>42</v>
      </c>
      <c r="V1833" s="1">
        <f t="shared" si="2871"/>
        <v>228</v>
      </c>
    </row>
    <row r="1834" spans="1:22" x14ac:dyDescent="0.3">
      <c r="A1834" s="1">
        <f t="shared" si="2823"/>
        <v>42229</v>
      </c>
      <c r="B1834" s="90"/>
      <c r="C1834" s="91"/>
      <c r="D1834" s="91"/>
      <c r="E1834" s="91"/>
      <c r="F1834" s="91"/>
      <c r="G1834" s="91"/>
      <c r="H1834" s="92"/>
      <c r="J1834" s="24" t="str">
        <f t="shared" ref="J1834" si="2886">CONCATENATE(K1833,1)</f>
        <v>81</v>
      </c>
      <c r="K1834" s="6" t="e">
        <f t="array" ref="K1834:Q1836">LINEST(B1822:B1829,C1822:C1829^{1,2,3,4,5,6},TRUE,TRUE)</f>
        <v>#VALUE!</v>
      </c>
      <c r="L1834" s="6" t="e">
        <v>#VALUE!</v>
      </c>
      <c r="M1834" s="6" t="e">
        <v>#VALUE!</v>
      </c>
      <c r="N1834" s="6" t="e">
        <v>#VALUE!</v>
      </c>
      <c r="O1834" s="6" t="e">
        <v>#VALUE!</v>
      </c>
      <c r="P1834" s="6" t="e">
        <v>#VALUE!</v>
      </c>
      <c r="Q1834" s="6" t="e">
        <v>#VALUE!</v>
      </c>
      <c r="T1834" s="9"/>
      <c r="U1834" s="1">
        <f t="shared" si="2870"/>
        <v>42</v>
      </c>
      <c r="V1834" s="1">
        <f t="shared" si="2871"/>
        <v>229</v>
      </c>
    </row>
    <row r="1835" spans="1:22" x14ac:dyDescent="0.3">
      <c r="A1835" s="1">
        <f t="shared" si="2823"/>
        <v>42230</v>
      </c>
      <c r="B1835" s="93"/>
      <c r="C1835" s="94"/>
      <c r="D1835" s="94"/>
      <c r="E1835" s="94"/>
      <c r="F1835" s="94"/>
      <c r="G1835" s="94"/>
      <c r="H1835" s="95"/>
      <c r="J1835" s="24" t="str">
        <f t="shared" ref="J1835" si="2887">CONCATENATE(K1833,2)</f>
        <v>82</v>
      </c>
      <c r="K1835" s="6" t="e">
        <v>#VALUE!</v>
      </c>
      <c r="L1835" s="6" t="e">
        <v>#VALUE!</v>
      </c>
      <c r="M1835" s="6" t="e">
        <v>#VALUE!</v>
      </c>
      <c r="N1835" s="6" t="e">
        <v>#VALUE!</v>
      </c>
      <c r="O1835" s="6" t="e">
        <v>#VALUE!</v>
      </c>
      <c r="P1835" s="6" t="e">
        <v>#VALUE!</v>
      </c>
      <c r="Q1835" s="6" t="e">
        <v>#VALUE!</v>
      </c>
      <c r="T1835" s="9"/>
      <c r="U1835" s="1">
        <f t="shared" si="2870"/>
        <v>42</v>
      </c>
      <c r="V1835" s="1">
        <f t="shared" si="2871"/>
        <v>230</v>
      </c>
    </row>
    <row r="1836" spans="1:22" x14ac:dyDescent="0.3">
      <c r="A1836" s="1">
        <f t="shared" si="2823"/>
        <v>42231</v>
      </c>
      <c r="J1836" s="24" t="str">
        <f t="shared" ref="J1836" si="2888">CONCATENATE(K1833,3)</f>
        <v>83</v>
      </c>
      <c r="K1836" s="6" t="e">
        <v>#VALUE!</v>
      </c>
      <c r="L1836" s="6" t="e">
        <v>#VALUE!</v>
      </c>
      <c r="M1836" s="6" t="e">
        <v>#VALUE!</v>
      </c>
      <c r="N1836" s="6" t="e">
        <v>#VALUE!</v>
      </c>
      <c r="O1836" s="6" t="e">
        <v>#VALUE!</v>
      </c>
      <c r="P1836" s="6" t="e">
        <v>#VALUE!</v>
      </c>
      <c r="Q1836" s="6" t="e">
        <v>#VALUE!</v>
      </c>
      <c r="T1836" s="9"/>
      <c r="U1836" s="1">
        <f t="shared" si="2870"/>
        <v>42</v>
      </c>
      <c r="V1836" s="1">
        <f t="shared" si="2871"/>
        <v>231</v>
      </c>
    </row>
    <row r="1837" spans="1:22" ht="15" customHeight="1" x14ac:dyDescent="0.3">
      <c r="A1837" s="1">
        <f t="shared" si="2823"/>
        <v>42232</v>
      </c>
      <c r="B1837" s="10" t="s">
        <v>34</v>
      </c>
      <c r="C1837" s="10" t="s">
        <v>35</v>
      </c>
      <c r="D1837" s="10" t="s">
        <v>36</v>
      </c>
      <c r="E1837" s="74" t="s">
        <v>37</v>
      </c>
      <c r="F1837" s="75"/>
      <c r="G1837" s="76"/>
      <c r="K1837" s="1">
        <v>9</v>
      </c>
      <c r="L1837" s="1">
        <v>9</v>
      </c>
      <c r="M1837" s="1">
        <v>9</v>
      </c>
      <c r="N1837" s="1">
        <v>9</v>
      </c>
      <c r="O1837" s="1">
        <v>9</v>
      </c>
      <c r="P1837" s="1">
        <v>9</v>
      </c>
      <c r="Q1837" s="1">
        <v>9</v>
      </c>
      <c r="R1837" s="1">
        <v>9</v>
      </c>
      <c r="T1837" s="9"/>
      <c r="U1837" s="1">
        <f t="shared" si="2870"/>
        <v>42</v>
      </c>
      <c r="V1837" s="1">
        <f t="shared" si="2871"/>
        <v>232</v>
      </c>
    </row>
    <row r="1838" spans="1:22" x14ac:dyDescent="0.3">
      <c r="A1838" s="1">
        <f t="shared" si="2823"/>
        <v>42233</v>
      </c>
      <c r="B1838" s="12">
        <f t="shared" ref="B1838:B1847" si="2889">C1822-B1822</f>
        <v>3</v>
      </c>
      <c r="C1838" s="13">
        <f t="shared" ref="C1838:C1847" si="2890">H1822-G1822</f>
        <v>3</v>
      </c>
      <c r="D1838" s="10">
        <f t="shared" ref="D1838:D1847" si="2891">C1838-B1838</f>
        <v>0</v>
      </c>
      <c r="E1838" s="11">
        <f t="shared" ref="E1838" si="2892">IF(D1813="","",MAX(F1838,G1838))</f>
        <v>1</v>
      </c>
      <c r="F1838" s="10">
        <f t="shared" ref="F1838" si="2893">ABS(MIN(D1838:D1847))</f>
        <v>0</v>
      </c>
      <c r="G1838" s="10">
        <f t="shared" ref="G1838" si="2894">ABS(MAX(D1838:D1847))</f>
        <v>1</v>
      </c>
      <c r="J1838" s="24" t="str">
        <f t="shared" ref="J1838" si="2895">CONCATENATE(K1837,1)</f>
        <v>91</v>
      </c>
      <c r="K1838" s="6" t="e">
        <f t="array" ref="K1838:R1840">LINEST(B1822:B1830,C1822:C1830^{1,2,3,4,5,6,7},TRUE,TRUE)</f>
        <v>#VALUE!</v>
      </c>
      <c r="L1838" s="6" t="e">
        <v>#VALUE!</v>
      </c>
      <c r="M1838" s="6" t="e">
        <v>#VALUE!</v>
      </c>
      <c r="N1838" s="6" t="e">
        <v>#VALUE!</v>
      </c>
      <c r="O1838" s="6" t="e">
        <v>#VALUE!</v>
      </c>
      <c r="P1838" s="6" t="e">
        <v>#VALUE!</v>
      </c>
      <c r="Q1838" s="6" t="e">
        <v>#VALUE!</v>
      </c>
      <c r="R1838" s="6" t="e">
        <v>#VALUE!</v>
      </c>
      <c r="T1838" s="9"/>
      <c r="U1838" s="1">
        <f t="shared" si="2870"/>
        <v>42</v>
      </c>
      <c r="V1838" s="1">
        <f t="shared" si="2871"/>
        <v>233</v>
      </c>
    </row>
    <row r="1839" spans="1:22" x14ac:dyDescent="0.3">
      <c r="A1839" s="1">
        <f t="shared" si="2823"/>
        <v>42234</v>
      </c>
      <c r="B1839" s="12">
        <f t="shared" si="2889"/>
        <v>-1</v>
      </c>
      <c r="C1839" s="13">
        <f t="shared" si="2890"/>
        <v>0</v>
      </c>
      <c r="D1839" s="10">
        <f t="shared" si="2891"/>
        <v>1</v>
      </c>
      <c r="E1839" s="74" t="s">
        <v>38</v>
      </c>
      <c r="F1839" s="75"/>
      <c r="G1839" s="76"/>
      <c r="J1839" s="24" t="str">
        <f t="shared" ref="J1839" si="2896">CONCATENATE(K1837,2)</f>
        <v>92</v>
      </c>
      <c r="K1839" s="6" t="e">
        <v>#VALUE!</v>
      </c>
      <c r="L1839" s="6" t="e">
        <v>#VALUE!</v>
      </c>
      <c r="M1839" s="6" t="e">
        <v>#VALUE!</v>
      </c>
      <c r="N1839" s="6" t="e">
        <v>#VALUE!</v>
      </c>
      <c r="O1839" s="6" t="e">
        <v>#VALUE!</v>
      </c>
      <c r="P1839" s="6" t="e">
        <v>#VALUE!</v>
      </c>
      <c r="Q1839" s="6" t="e">
        <v>#VALUE!</v>
      </c>
      <c r="R1839" s="6" t="e">
        <v>#VALUE!</v>
      </c>
      <c r="T1839" s="9"/>
      <c r="U1839" s="1">
        <f t="shared" si="2870"/>
        <v>42</v>
      </c>
      <c r="V1839" s="1">
        <f t="shared" si="2871"/>
        <v>234</v>
      </c>
    </row>
    <row r="1840" spans="1:22" x14ac:dyDescent="0.3">
      <c r="A1840" s="1">
        <f t="shared" si="2823"/>
        <v>42235</v>
      </c>
      <c r="B1840" s="12">
        <f t="shared" si="2889"/>
        <v>-6</v>
      </c>
      <c r="C1840" s="13">
        <f t="shared" si="2890"/>
        <v>-5</v>
      </c>
      <c r="D1840" s="10">
        <f t="shared" si="2891"/>
        <v>1</v>
      </c>
      <c r="E1840" s="11">
        <f t="shared" ref="E1840" si="2897">IF(D1813="","",MAX(F1840,G1840))</f>
        <v>6</v>
      </c>
      <c r="F1840" s="10">
        <f t="shared" ref="F1840" si="2898">ABS(MIN(B1838:B1847))</f>
        <v>6</v>
      </c>
      <c r="G1840" s="10">
        <f t="shared" ref="G1840" si="2899">ABS(MAX(B1838:B1847))</f>
        <v>3</v>
      </c>
      <c r="J1840" s="24" t="str">
        <f t="shared" ref="J1840" si="2900">CONCATENATE(K1837,3)</f>
        <v>93</v>
      </c>
      <c r="K1840" s="6" t="e">
        <v>#VALUE!</v>
      </c>
      <c r="L1840" s="6" t="e">
        <v>#VALUE!</v>
      </c>
      <c r="M1840" s="6" t="e">
        <v>#VALUE!</v>
      </c>
      <c r="N1840" s="6" t="e">
        <v>#VALUE!</v>
      </c>
      <c r="O1840" s="6" t="e">
        <v>#VALUE!</v>
      </c>
      <c r="P1840" s="6" t="e">
        <v>#VALUE!</v>
      </c>
      <c r="Q1840" s="6" t="e">
        <v>#VALUE!</v>
      </c>
      <c r="R1840" s="6" t="e">
        <v>#VALUE!</v>
      </c>
      <c r="T1840" s="9"/>
      <c r="U1840" s="1">
        <f t="shared" si="2870"/>
        <v>42</v>
      </c>
      <c r="V1840" s="1">
        <f t="shared" si="2871"/>
        <v>235</v>
      </c>
    </row>
    <row r="1841" spans="1:22" x14ac:dyDescent="0.3">
      <c r="A1841" s="1">
        <f t="shared" si="2823"/>
        <v>42236</v>
      </c>
      <c r="B1841" s="12">
        <f t="shared" si="2889"/>
        <v>0</v>
      </c>
      <c r="C1841" s="13">
        <f t="shared" si="2890"/>
        <v>0</v>
      </c>
      <c r="D1841" s="10">
        <f t="shared" si="2891"/>
        <v>0</v>
      </c>
      <c r="E1841" s="74" t="s">
        <v>39</v>
      </c>
      <c r="F1841" s="75"/>
      <c r="G1841" s="76"/>
      <c r="K1841" s="1">
        <v>10</v>
      </c>
      <c r="L1841" s="1">
        <v>10</v>
      </c>
      <c r="M1841" s="1">
        <v>10</v>
      </c>
      <c r="N1841" s="1">
        <v>10</v>
      </c>
      <c r="O1841" s="1">
        <v>10</v>
      </c>
      <c r="P1841" s="1">
        <v>10</v>
      </c>
      <c r="Q1841" s="1">
        <v>10</v>
      </c>
      <c r="R1841" s="1">
        <v>10</v>
      </c>
      <c r="S1841" s="1">
        <v>10</v>
      </c>
      <c r="T1841" s="9"/>
      <c r="U1841" s="1">
        <f t="shared" si="2870"/>
        <v>42</v>
      </c>
      <c r="V1841" s="1">
        <f t="shared" si="2871"/>
        <v>236</v>
      </c>
    </row>
    <row r="1842" spans="1:22" x14ac:dyDescent="0.3">
      <c r="A1842" s="1">
        <f t="shared" si="2823"/>
        <v>42237</v>
      </c>
      <c r="B1842" s="12">
        <f t="shared" si="2889"/>
        <v>0</v>
      </c>
      <c r="C1842" s="13">
        <f t="shared" si="2890"/>
        <v>0</v>
      </c>
      <c r="D1842" s="10">
        <f t="shared" si="2891"/>
        <v>0</v>
      </c>
      <c r="E1842" s="11">
        <f t="shared" ref="E1842" si="2901">IF(D1813="","",MAX(F1842,G1842))</f>
        <v>2</v>
      </c>
      <c r="F1842" s="10">
        <f t="shared" ref="F1842" si="2902">ABS(MIN(D1822:D1831))</f>
        <v>2</v>
      </c>
      <c r="G1842" s="10">
        <f t="shared" ref="G1842" si="2903">ABS(MAX(D1822:D1831))</f>
        <v>2</v>
      </c>
      <c r="J1842" s="24" t="str">
        <f t="shared" ref="J1842" si="2904">CONCATENATE(K1841,1)</f>
        <v>101</v>
      </c>
      <c r="K1842" s="6" t="e">
        <f t="array" ref="K1842:S1844">LINEST(B1822:B1831,C1822:C1831^{1,2,3,4,5,6,7,8},TRUE,TRUE)</f>
        <v>#VALUE!</v>
      </c>
      <c r="L1842" s="6" t="e">
        <v>#VALUE!</v>
      </c>
      <c r="M1842" s="6" t="e">
        <v>#VALUE!</v>
      </c>
      <c r="N1842" s="6" t="e">
        <v>#VALUE!</v>
      </c>
      <c r="O1842" s="6" t="e">
        <v>#VALUE!</v>
      </c>
      <c r="P1842" s="6" t="e">
        <v>#VALUE!</v>
      </c>
      <c r="Q1842" s="6" t="e">
        <v>#VALUE!</v>
      </c>
      <c r="R1842" s="6" t="e">
        <v>#VALUE!</v>
      </c>
      <c r="S1842" s="6" t="e">
        <v>#VALUE!</v>
      </c>
      <c r="T1842" s="9"/>
      <c r="U1842" s="1">
        <f t="shared" si="2870"/>
        <v>42</v>
      </c>
      <c r="V1842" s="1">
        <f t="shared" si="2871"/>
        <v>237</v>
      </c>
    </row>
    <row r="1843" spans="1:22" x14ac:dyDescent="0.3">
      <c r="A1843" s="1">
        <f t="shared" si="2823"/>
        <v>42238</v>
      </c>
      <c r="B1843" s="12">
        <f t="shared" si="2889"/>
        <v>0</v>
      </c>
      <c r="C1843" s="13">
        <f t="shared" si="2890"/>
        <v>0</v>
      </c>
      <c r="D1843" s="10">
        <f t="shared" si="2891"/>
        <v>0</v>
      </c>
      <c r="J1843" s="24" t="str">
        <f t="shared" ref="J1843" si="2905">CONCATENATE(K1841,2)</f>
        <v>102</v>
      </c>
      <c r="K1843" s="6" t="e">
        <v>#VALUE!</v>
      </c>
      <c r="L1843" s="6" t="e">
        <v>#VALUE!</v>
      </c>
      <c r="M1843" s="6" t="e">
        <v>#VALUE!</v>
      </c>
      <c r="N1843" s="6" t="e">
        <v>#VALUE!</v>
      </c>
      <c r="O1843" s="6" t="e">
        <v>#VALUE!</v>
      </c>
      <c r="P1843" s="6" t="e">
        <v>#VALUE!</v>
      </c>
      <c r="Q1843" s="6" t="e">
        <v>#VALUE!</v>
      </c>
      <c r="R1843" s="6" t="e">
        <v>#VALUE!</v>
      </c>
      <c r="S1843" s="6" t="e">
        <v>#VALUE!</v>
      </c>
      <c r="T1843" s="9"/>
      <c r="U1843" s="1">
        <f t="shared" si="2870"/>
        <v>42</v>
      </c>
      <c r="V1843" s="1">
        <f t="shared" si="2871"/>
        <v>238</v>
      </c>
    </row>
    <row r="1844" spans="1:22" x14ac:dyDescent="0.3">
      <c r="A1844" s="1">
        <f t="shared" si="2823"/>
        <v>42239</v>
      </c>
      <c r="B1844" s="12">
        <f t="shared" si="2889"/>
        <v>0</v>
      </c>
      <c r="C1844" s="13">
        <f t="shared" si="2890"/>
        <v>0</v>
      </c>
      <c r="D1844" s="10">
        <f t="shared" si="2891"/>
        <v>0</v>
      </c>
      <c r="J1844" s="24" t="str">
        <f t="shared" ref="J1844" si="2906">CONCATENATE(K1841,3)</f>
        <v>103</v>
      </c>
      <c r="K1844" s="6" t="e">
        <v>#VALUE!</v>
      </c>
      <c r="L1844" s="6" t="e">
        <v>#VALUE!</v>
      </c>
      <c r="M1844" s="6" t="e">
        <v>#VALUE!</v>
      </c>
      <c r="N1844" s="6" t="e">
        <v>#VALUE!</v>
      </c>
      <c r="O1844" s="6" t="e">
        <v>#VALUE!</v>
      </c>
      <c r="P1844" s="6" t="e">
        <v>#VALUE!</v>
      </c>
      <c r="Q1844" s="6" t="e">
        <v>#VALUE!</v>
      </c>
      <c r="R1844" s="6" t="e">
        <v>#VALUE!</v>
      </c>
      <c r="S1844" s="6" t="e">
        <v>#VALUE!</v>
      </c>
      <c r="T1844" s="9"/>
      <c r="U1844" s="1">
        <f t="shared" si="2870"/>
        <v>42</v>
      </c>
      <c r="V1844" s="1">
        <f t="shared" si="2871"/>
        <v>239</v>
      </c>
    </row>
    <row r="1845" spans="1:22" x14ac:dyDescent="0.3">
      <c r="A1845" s="1">
        <f t="shared" si="2823"/>
        <v>42240</v>
      </c>
      <c r="B1845" s="12">
        <f t="shared" si="2889"/>
        <v>0</v>
      </c>
      <c r="C1845" s="13">
        <f t="shared" si="2890"/>
        <v>0</v>
      </c>
      <c r="D1845" s="10">
        <f t="shared" si="2891"/>
        <v>0</v>
      </c>
      <c r="J1845" s="9"/>
      <c r="K1845" s="9"/>
      <c r="L1845" s="9"/>
      <c r="M1845" s="9"/>
      <c r="N1845" s="9"/>
      <c r="O1845" s="9"/>
      <c r="P1845" s="9"/>
      <c r="Q1845" s="9"/>
      <c r="R1845" s="9"/>
      <c r="S1845" s="9"/>
      <c r="T1845" s="9"/>
      <c r="U1845" s="1">
        <f t="shared" si="2870"/>
        <v>42</v>
      </c>
      <c r="V1845" s="1">
        <f t="shared" si="2871"/>
        <v>240</v>
      </c>
    </row>
    <row r="1846" spans="1:22" x14ac:dyDescent="0.3">
      <c r="A1846" s="1">
        <f t="shared" si="2823"/>
        <v>42241</v>
      </c>
      <c r="B1846" s="12">
        <f t="shared" si="2889"/>
        <v>0</v>
      </c>
      <c r="C1846" s="13">
        <f t="shared" si="2890"/>
        <v>0</v>
      </c>
      <c r="D1846" s="10">
        <f t="shared" si="2891"/>
        <v>0</v>
      </c>
      <c r="J1846" s="9"/>
      <c r="K1846" s="9"/>
      <c r="L1846" s="9"/>
      <c r="M1846" s="9"/>
      <c r="N1846" s="9"/>
      <c r="O1846" s="9"/>
      <c r="P1846" s="9"/>
      <c r="Q1846" s="9"/>
      <c r="R1846" s="9"/>
      <c r="S1846" s="9"/>
      <c r="T1846" s="9"/>
      <c r="U1846" s="1">
        <f t="shared" si="2870"/>
        <v>42</v>
      </c>
      <c r="V1846" s="1">
        <f t="shared" si="2871"/>
        <v>241</v>
      </c>
    </row>
    <row r="1847" spans="1:22" x14ac:dyDescent="0.3">
      <c r="A1847" s="1">
        <f t="shared" si="2823"/>
        <v>42242</v>
      </c>
      <c r="B1847" s="12">
        <f t="shared" si="2889"/>
        <v>0</v>
      </c>
      <c r="C1847" s="13">
        <f t="shared" si="2890"/>
        <v>0</v>
      </c>
      <c r="D1847" s="10">
        <f t="shared" si="2891"/>
        <v>0</v>
      </c>
      <c r="J1847" s="9"/>
      <c r="K1847" s="9"/>
      <c r="L1847" s="9"/>
      <c r="M1847" s="9"/>
      <c r="N1847" s="9"/>
      <c r="O1847" s="9"/>
      <c r="P1847" s="9"/>
      <c r="Q1847" s="9"/>
      <c r="R1847" s="9"/>
      <c r="S1847" s="9"/>
      <c r="T1847" s="9"/>
      <c r="U1847" s="1">
        <f t="shared" si="2870"/>
        <v>42</v>
      </c>
      <c r="V1847" s="1">
        <f t="shared" si="2871"/>
        <v>242</v>
      </c>
    </row>
    <row r="1848" spans="1:22" x14ac:dyDescent="0.3">
      <c r="A1848" s="1">
        <f t="shared" si="2823"/>
        <v>42243</v>
      </c>
      <c r="J1848" s="9"/>
      <c r="K1848" s="9"/>
      <c r="L1848" s="9"/>
      <c r="M1848" s="9"/>
      <c r="N1848" s="9"/>
      <c r="O1848" s="9"/>
      <c r="P1848" s="9"/>
      <c r="Q1848" s="9"/>
      <c r="R1848" s="9"/>
      <c r="S1848" s="9"/>
      <c r="T1848" s="9"/>
      <c r="U1848" s="1">
        <f t="shared" si="2870"/>
        <v>42</v>
      </c>
      <c r="V1848" s="1">
        <f t="shared" si="2871"/>
        <v>243</v>
      </c>
    </row>
    <row r="1849" spans="1:22" s="5" customFormat="1" x14ac:dyDescent="0.3"/>
    <row r="1850" spans="1:22" x14ac:dyDescent="0.3">
      <c r="A1850" s="1">
        <f t="shared" ref="A1850:A1892" si="2907">ROUND(CONCATENATE(U1850,V1850),0)</f>
        <v>43201</v>
      </c>
      <c r="B1850" s="96" t="s">
        <v>0</v>
      </c>
      <c r="C1850" s="97"/>
      <c r="D1850" s="110" t="s">
        <v>46</v>
      </c>
      <c r="E1850" s="111"/>
      <c r="F1850" s="111"/>
      <c r="G1850" s="111"/>
      <c r="H1850" s="112"/>
      <c r="J1850" s="9"/>
      <c r="K1850" s="9"/>
      <c r="L1850" s="9"/>
      <c r="M1850" s="9"/>
      <c r="N1850" s="9"/>
      <c r="O1850" s="9"/>
      <c r="P1850" s="9"/>
      <c r="Q1850" s="9"/>
      <c r="R1850" s="9"/>
      <c r="S1850" s="9"/>
      <c r="T1850" s="9"/>
      <c r="U1850" s="1">
        <f t="shared" ref="U1850" si="2908">U1848+1</f>
        <v>43</v>
      </c>
      <c r="V1850" s="1">
        <v>201</v>
      </c>
    </row>
    <row r="1851" spans="1:22" x14ac:dyDescent="0.3">
      <c r="A1851" s="1">
        <f t="shared" si="2907"/>
        <v>43202</v>
      </c>
      <c r="B1851" s="96" t="s">
        <v>1</v>
      </c>
      <c r="C1851" s="97"/>
      <c r="D1851" s="15">
        <v>20</v>
      </c>
      <c r="E1851" s="16" t="s">
        <v>2</v>
      </c>
      <c r="F1851" s="107"/>
      <c r="G1851" s="108"/>
      <c r="H1851" s="109"/>
      <c r="J1851" s="9"/>
      <c r="K1851" s="9"/>
      <c r="L1851" s="9"/>
      <c r="M1851" s="9"/>
      <c r="N1851" s="9"/>
      <c r="O1851" s="9"/>
      <c r="P1851" s="9"/>
      <c r="Q1851" s="9"/>
      <c r="R1851" s="9"/>
      <c r="S1851" s="9"/>
      <c r="T1851" s="9"/>
      <c r="U1851" s="1">
        <f t="shared" ref="U1851" si="2909">U1850</f>
        <v>43</v>
      </c>
      <c r="V1851" s="1">
        <f t="shared" ref="V1851" si="2910">V1850+1</f>
        <v>202</v>
      </c>
    </row>
    <row r="1852" spans="1:22" x14ac:dyDescent="0.3">
      <c r="A1852" s="1">
        <f t="shared" si="2907"/>
        <v>43203</v>
      </c>
      <c r="B1852" s="96" t="s">
        <v>12</v>
      </c>
      <c r="C1852" s="97"/>
      <c r="D1852" s="110" t="s">
        <v>277</v>
      </c>
      <c r="E1852" s="111"/>
      <c r="F1852" s="111"/>
      <c r="G1852" s="111"/>
      <c r="H1852" s="112"/>
      <c r="K1852" s="1" t="s">
        <v>3</v>
      </c>
      <c r="L1852" s="1" t="s">
        <v>4</v>
      </c>
      <c r="M1852" s="1" t="s">
        <v>5</v>
      </c>
      <c r="N1852" s="1" t="s">
        <v>6</v>
      </c>
      <c r="O1852" s="1" t="s">
        <v>7</v>
      </c>
      <c r="P1852" s="1" t="s">
        <v>8</v>
      </c>
      <c r="Q1852" s="1" t="s">
        <v>9</v>
      </c>
      <c r="R1852" s="1" t="s">
        <v>10</v>
      </c>
      <c r="S1852" s="1" t="s">
        <v>11</v>
      </c>
      <c r="T1852" s="9"/>
      <c r="U1852" s="1">
        <f t="shared" si="2870"/>
        <v>43</v>
      </c>
      <c r="V1852" s="1">
        <f t="shared" si="2871"/>
        <v>203</v>
      </c>
    </row>
    <row r="1853" spans="1:22" x14ac:dyDescent="0.3">
      <c r="A1853" s="1">
        <f t="shared" si="2907"/>
        <v>43204</v>
      </c>
      <c r="B1853" s="96" t="s">
        <v>13</v>
      </c>
      <c r="C1853" s="97"/>
      <c r="D1853" s="110" t="s">
        <v>65</v>
      </c>
      <c r="E1853" s="111"/>
      <c r="F1853" s="111"/>
      <c r="G1853" s="111"/>
      <c r="H1853" s="112"/>
      <c r="J1853" s="1">
        <f t="shared" ref="J1853" si="2911">COUNTA(B1866:B1875)</f>
        <v>3</v>
      </c>
      <c r="K1853" s="1">
        <f t="shared" ref="K1853" si="2912">IF(L1853-1&lt;2,0,L1853-1)</f>
        <v>0</v>
      </c>
      <c r="L1853" s="1">
        <f t="shared" ref="L1853" si="2913">IF(M1853-1&lt;2,0,M1853-1)</f>
        <v>0</v>
      </c>
      <c r="M1853" s="1">
        <f t="shared" ref="M1853" si="2914">IF(N1853-1&lt;2,0,N1853-1)</f>
        <v>0</v>
      </c>
      <c r="N1853" s="1">
        <f t="shared" ref="N1853" si="2915">IF(O1853-1&lt;2,0,O1853-1)</f>
        <v>0</v>
      </c>
      <c r="O1853" s="1">
        <f t="shared" ref="O1853" si="2916">IF(P1853-1&lt;2,0,P1853-1)</f>
        <v>0</v>
      </c>
      <c r="P1853" s="1">
        <f t="shared" ref="P1853" si="2917">IF(Q1853-1&lt;2,0,Q1853-1)</f>
        <v>0</v>
      </c>
      <c r="Q1853" s="1">
        <f t="shared" ref="Q1853" si="2918">IF(R1853-1&lt;2,0,R1853-1)</f>
        <v>0</v>
      </c>
      <c r="R1853" s="1">
        <f t="shared" ref="R1853" si="2919">IF(S1853-1&lt;2,0,S1853-1)</f>
        <v>2</v>
      </c>
      <c r="S1853" s="1">
        <f t="shared" ref="S1853" si="2920">J1853</f>
        <v>3</v>
      </c>
      <c r="T1853" s="9"/>
      <c r="U1853" s="1">
        <f t="shared" si="2870"/>
        <v>43</v>
      </c>
      <c r="V1853" s="1">
        <f t="shared" si="2871"/>
        <v>204</v>
      </c>
    </row>
    <row r="1854" spans="1:22" x14ac:dyDescent="0.3">
      <c r="A1854" s="1">
        <f t="shared" si="2907"/>
        <v>43205</v>
      </c>
      <c r="B1854" s="96" t="s">
        <v>14</v>
      </c>
      <c r="C1854" s="97"/>
      <c r="D1854" s="110" t="s">
        <v>66</v>
      </c>
      <c r="E1854" s="111"/>
      <c r="F1854" s="111"/>
      <c r="G1854" s="111"/>
      <c r="H1854" s="112"/>
      <c r="J1854" s="24" t="str">
        <f t="shared" ref="J1854" si="2921">CONCATENATE(J1853,1)</f>
        <v>31</v>
      </c>
      <c r="K1854" s="25">
        <f t="shared" ref="K1854" si="2922">IF(K1853=0,0,VLOOKUP(J1854,J1858:S1888,K1853,FALSE))</f>
        <v>0</v>
      </c>
      <c r="L1854" s="25">
        <f t="shared" ref="L1854" si="2923">IF(L1853=0,0,VLOOKUP(J1854,J1858:S1888,L1853,FALSE))</f>
        <v>0</v>
      </c>
      <c r="M1854" s="25">
        <f t="shared" ref="M1854" si="2924">IF(M1853=0,0,VLOOKUP(J1854,J1858:S1888,M1853,FALSE))</f>
        <v>0</v>
      </c>
      <c r="N1854" s="25">
        <f t="shared" ref="N1854" si="2925">IF(N1853=0,0,VLOOKUP(J1854,J1858:S1888,N1853,FALSE))</f>
        <v>0</v>
      </c>
      <c r="O1854" s="25">
        <f t="shared" ref="O1854" si="2926">IF(O1853=0,0,VLOOKUP(J1854,J1858:S1888,O1853,FALSE))</f>
        <v>0</v>
      </c>
      <c r="P1854" s="25">
        <f t="shared" ref="P1854" si="2927">IF(P1853=0,0,VLOOKUP(J1854,J1858:S1888,P1853,FALSE))</f>
        <v>0</v>
      </c>
      <c r="Q1854" s="25">
        <f t="shared" ref="Q1854" si="2928">IF(Q1853=0,0,VLOOKUP(J1854,J1858:S1888,Q1853,FALSE))</f>
        <v>0</v>
      </c>
      <c r="R1854" s="25">
        <f t="shared" ref="R1854" si="2929">IF(R1853=0,0,VLOOKUP(J1854,J1858:S1888,R1853,FALSE))</f>
        <v>1.3148316651501364</v>
      </c>
      <c r="S1854" s="25">
        <f t="shared" ref="S1854" si="2930">IF(S1853=0,0,VLOOKUP(J1854,J1858:S1888,S1853,FALSE))</f>
        <v>-11.969972702456765</v>
      </c>
      <c r="T1854" s="9"/>
      <c r="U1854" s="1">
        <f t="shared" si="2870"/>
        <v>43</v>
      </c>
      <c r="V1854" s="1">
        <f t="shared" si="2871"/>
        <v>205</v>
      </c>
    </row>
    <row r="1855" spans="1:22" x14ac:dyDescent="0.3">
      <c r="A1855" s="1">
        <f t="shared" si="2907"/>
        <v>43206</v>
      </c>
      <c r="B1855" s="96" t="s">
        <v>15</v>
      </c>
      <c r="C1855" s="97"/>
      <c r="D1855" s="110" t="s">
        <v>278</v>
      </c>
      <c r="E1855" s="111"/>
      <c r="F1855" s="111"/>
      <c r="G1855" s="111"/>
      <c r="H1855" s="112"/>
      <c r="J1855" s="24" t="str">
        <f t="shared" ref="J1855" si="2931">CONCATENATE(J1853,2)</f>
        <v>32</v>
      </c>
      <c r="K1855" s="6">
        <f t="shared" ref="K1855" si="2932">IF(K1853=0,0,VLOOKUP(J1855,J1858:S1888,K1853,FALSE))</f>
        <v>0</v>
      </c>
      <c r="L1855" s="6">
        <f t="shared" ref="L1855" si="2933">IF(L1853=0,0,VLOOKUP(J1855,J1858:S1888,L1853,FALSE))</f>
        <v>0</v>
      </c>
      <c r="M1855" s="6">
        <f t="shared" ref="M1855" si="2934">IF(M1853=0,0,VLOOKUP(J1855,J1858:S1888,M1853,FALSE))</f>
        <v>0</v>
      </c>
      <c r="N1855" s="6">
        <f t="shared" ref="N1855" si="2935">IF(N1853=0,0,VLOOKUP(J1855,J1858:S1888,N1853,FALSE))</f>
        <v>0</v>
      </c>
      <c r="O1855" s="6">
        <f t="shared" ref="O1855" si="2936">IF(O1853=0,0,VLOOKUP(J1855,J1858:S1888,O1853,FALSE))</f>
        <v>0</v>
      </c>
      <c r="P1855" s="6">
        <f t="shared" ref="P1855" si="2937">IF(P1853=0,0,VLOOKUP(J1855,J1858:S1888,P1853,FALSE))</f>
        <v>0</v>
      </c>
      <c r="Q1855" s="6">
        <f t="shared" ref="Q1855" si="2938">IF(Q1853=0,0,VLOOKUP(J1855,J1858:S1888,Q1853,FALSE))</f>
        <v>0</v>
      </c>
      <c r="R1855" s="6">
        <f t="shared" ref="R1855" si="2939">IF(R1853=0,0,VLOOKUP(J1855,J1858:S1888,R1853,FALSE))</f>
        <v>7.880121963461403E-3</v>
      </c>
      <c r="S1855" s="6">
        <f t="shared" ref="S1855" si="2940">IF(S1853=0,0,VLOOKUP(J1855,J1858:S1888,S1853,FALSE))</f>
        <v>0.41029639210346663</v>
      </c>
      <c r="T1855" s="9"/>
      <c r="U1855" s="1">
        <f t="shared" si="2870"/>
        <v>43</v>
      </c>
      <c r="V1855" s="1">
        <f t="shared" si="2871"/>
        <v>206</v>
      </c>
    </row>
    <row r="1856" spans="1:22" x14ac:dyDescent="0.3">
      <c r="A1856" s="1">
        <f t="shared" si="2907"/>
        <v>43207</v>
      </c>
      <c r="B1856" s="96" t="s">
        <v>16</v>
      </c>
      <c r="C1856" s="97"/>
      <c r="D1856" s="113">
        <v>45733</v>
      </c>
      <c r="E1856" s="114"/>
      <c r="F1856" s="114"/>
      <c r="G1856" s="114"/>
      <c r="H1856" s="115"/>
      <c r="J1856" s="24" t="str">
        <f t="shared" ref="J1856" si="2941">CONCATENATE(J1853,3)</f>
        <v>33</v>
      </c>
      <c r="K1856" s="6"/>
      <c r="L1856" s="6"/>
      <c r="M1856" s="6"/>
      <c r="N1856" s="6" t="s">
        <v>43</v>
      </c>
      <c r="O1856" s="25">
        <f t="shared" ref="O1856" si="2942">J1853-2</f>
        <v>1</v>
      </c>
      <c r="P1856" s="6" t="s">
        <v>44</v>
      </c>
      <c r="Q1856" s="25">
        <f t="shared" ref="Q1856" si="2943">VLOOKUP(J1856,J1858:S1888,3,FALSE)</f>
        <v>0.21329769189682679</v>
      </c>
      <c r="R1856" s="6" t="s">
        <v>45</v>
      </c>
      <c r="S1856" s="6">
        <f t="shared" ref="S1856" si="2944">VLOOKUP(J1856,J1858:S1888,2,FALSE)</f>
        <v>0.99996408217997212</v>
      </c>
      <c r="T1856" s="9"/>
      <c r="U1856" s="1">
        <f t="shared" si="2870"/>
        <v>43</v>
      </c>
      <c r="V1856" s="1">
        <f t="shared" si="2871"/>
        <v>207</v>
      </c>
    </row>
    <row r="1857" spans="1:22" x14ac:dyDescent="0.3">
      <c r="A1857" s="1">
        <f t="shared" si="2907"/>
        <v>43208</v>
      </c>
      <c r="B1857" s="96" t="s">
        <v>17</v>
      </c>
      <c r="C1857" s="97"/>
      <c r="D1857" s="116">
        <v>46112</v>
      </c>
      <c r="E1857" s="117"/>
      <c r="F1857" s="117"/>
      <c r="G1857" s="117"/>
      <c r="H1857" s="118"/>
      <c r="K1857" s="1">
        <v>3</v>
      </c>
      <c r="L1857" s="1">
        <v>3</v>
      </c>
      <c r="Q1857" s="26"/>
      <c r="R1857" s="26"/>
      <c r="S1857" s="26"/>
      <c r="T1857" s="9"/>
      <c r="U1857" s="1">
        <f t="shared" si="2870"/>
        <v>43</v>
      </c>
      <c r="V1857" s="1">
        <f t="shared" si="2871"/>
        <v>208</v>
      </c>
    </row>
    <row r="1858" spans="1:22" x14ac:dyDescent="0.3">
      <c r="A1858" s="1">
        <f t="shared" si="2907"/>
        <v>43209</v>
      </c>
      <c r="B1858" s="77" t="s">
        <v>19</v>
      </c>
      <c r="C1858" s="78"/>
      <c r="D1858" s="17">
        <v>1</v>
      </c>
      <c r="E1858" s="79" t="s">
        <v>40</v>
      </c>
      <c r="F1858" s="80"/>
      <c r="G1858" s="81"/>
      <c r="H1858" s="18" t="s">
        <v>72</v>
      </c>
      <c r="J1858" s="24" t="str">
        <f t="shared" ref="J1858" si="2945">CONCATENATE(K1857,1)</f>
        <v>31</v>
      </c>
      <c r="K1858" s="6">
        <f t="array" ref="K1858:L1860">LINEST(B1866:B1868,C1866:C1868^{1},TRUE,TRUE)</f>
        <v>1.3148316651501364</v>
      </c>
      <c r="L1858" s="6">
        <v>-11.969972702456765</v>
      </c>
      <c r="Q1858" s="9"/>
      <c r="R1858" s="9"/>
      <c r="S1858" s="9"/>
      <c r="T1858" s="9"/>
      <c r="U1858" s="1">
        <f t="shared" si="2870"/>
        <v>43</v>
      </c>
      <c r="V1858" s="1">
        <f t="shared" si="2871"/>
        <v>209</v>
      </c>
    </row>
    <row r="1859" spans="1:22" x14ac:dyDescent="0.3">
      <c r="A1859" s="1">
        <f t="shared" si="2907"/>
        <v>43210</v>
      </c>
      <c r="B1859" s="77" t="s">
        <v>41</v>
      </c>
      <c r="C1859" s="78"/>
      <c r="D1859" s="23">
        <f t="shared" ref="D1859" si="2946">MIN(B1866:B1875)</f>
        <v>30</v>
      </c>
      <c r="E1859" s="20" t="s">
        <v>18</v>
      </c>
      <c r="F1859" s="19">
        <f t="shared" ref="F1859" si="2947">MAX(B1866:B1875)</f>
        <v>80</v>
      </c>
      <c r="G1859" s="21" t="str">
        <f t="shared" ref="G1859" si="2948">IF(H1858="","",H1858)</f>
        <v>%ur</v>
      </c>
      <c r="H1859" s="22"/>
      <c r="J1859" s="24" t="str">
        <f t="shared" ref="J1859" si="2949">CONCATENATE(K1857,2)</f>
        <v>32</v>
      </c>
      <c r="K1859" s="6">
        <v>7.880121963461403E-3</v>
      </c>
      <c r="L1859" s="6">
        <v>0.41029639210346663</v>
      </c>
      <c r="Q1859" s="9"/>
      <c r="R1859" s="9"/>
      <c r="S1859" s="9"/>
      <c r="T1859" s="9"/>
      <c r="U1859" s="1">
        <f t="shared" si="2870"/>
        <v>43</v>
      </c>
      <c r="V1859" s="1">
        <f t="shared" si="2871"/>
        <v>210</v>
      </c>
    </row>
    <row r="1860" spans="1:22" x14ac:dyDescent="0.3">
      <c r="A1860" s="1">
        <f t="shared" si="2907"/>
        <v>43211</v>
      </c>
      <c r="J1860" s="24" t="str">
        <f t="shared" ref="J1860" si="2950">CONCATENATE(K1857,3)</f>
        <v>33</v>
      </c>
      <c r="K1860" s="6">
        <v>0.99996408217997212</v>
      </c>
      <c r="L1860" s="6">
        <v>0.21329769189682679</v>
      </c>
      <c r="Q1860" s="9"/>
      <c r="R1860" s="9"/>
      <c r="S1860" s="9"/>
      <c r="T1860" s="9"/>
      <c r="U1860" s="1">
        <f t="shared" si="2870"/>
        <v>43</v>
      </c>
      <c r="V1860" s="1">
        <f t="shared" si="2871"/>
        <v>211</v>
      </c>
    </row>
    <row r="1861" spans="1:22" x14ac:dyDescent="0.3">
      <c r="A1861" s="1">
        <f t="shared" si="2907"/>
        <v>43212</v>
      </c>
      <c r="B1861" s="82" t="s">
        <v>20</v>
      </c>
      <c r="C1861" s="83"/>
      <c r="D1861" s="83"/>
      <c r="E1861" s="83"/>
      <c r="F1861" s="84"/>
      <c r="G1861" s="85" t="s">
        <v>31</v>
      </c>
      <c r="H1861" s="86"/>
      <c r="K1861" s="1">
        <v>4</v>
      </c>
      <c r="L1861" s="1">
        <v>4</v>
      </c>
      <c r="M1861" s="1">
        <v>4</v>
      </c>
      <c r="Q1861" s="9"/>
      <c r="R1861" s="9"/>
      <c r="S1861" s="9"/>
      <c r="T1861" s="9"/>
      <c r="U1861" s="1">
        <f t="shared" si="2870"/>
        <v>43</v>
      </c>
      <c r="V1861" s="1">
        <f t="shared" si="2871"/>
        <v>212</v>
      </c>
    </row>
    <row r="1862" spans="1:22" x14ac:dyDescent="0.3">
      <c r="A1862" s="1">
        <f t="shared" si="2907"/>
        <v>43213</v>
      </c>
      <c r="B1862" s="82" t="s">
        <v>30</v>
      </c>
      <c r="C1862" s="83"/>
      <c r="D1862" s="84"/>
      <c r="E1862" s="82" t="str">
        <f t="shared" ref="E1862" si="2951">D1855</f>
        <v>E0132/25</v>
      </c>
      <c r="F1862" s="84"/>
      <c r="G1862" s="6" t="s">
        <v>32</v>
      </c>
      <c r="H1862" s="36" t="s">
        <v>214</v>
      </c>
      <c r="J1862" s="24" t="str">
        <f t="shared" ref="J1862" si="2952">CONCATENATE(K1861,1)</f>
        <v>41</v>
      </c>
      <c r="K1862" s="6" t="e">
        <f t="array" ref="K1862:M1864">LINEST(B1866:B1869,C1866:C1869^{1,2},TRUE,TRUE)</f>
        <v>#VALUE!</v>
      </c>
      <c r="L1862" s="6" t="e">
        <v>#VALUE!</v>
      </c>
      <c r="M1862" s="6" t="e">
        <v>#VALUE!</v>
      </c>
      <c r="Q1862" s="9"/>
      <c r="R1862" s="9"/>
      <c r="S1862" s="9"/>
      <c r="T1862" s="9"/>
      <c r="U1862" s="1">
        <f t="shared" si="2870"/>
        <v>43</v>
      </c>
      <c r="V1862" s="1">
        <f t="shared" si="2871"/>
        <v>213</v>
      </c>
    </row>
    <row r="1863" spans="1:22" x14ac:dyDescent="0.3">
      <c r="A1863" s="1">
        <f t="shared" si="2907"/>
        <v>43214</v>
      </c>
      <c r="B1863" s="2" t="s">
        <v>21</v>
      </c>
      <c r="C1863" s="2" t="s">
        <v>22</v>
      </c>
      <c r="D1863" s="2" t="s">
        <v>23</v>
      </c>
      <c r="E1863" s="2"/>
      <c r="F1863" s="2" t="s">
        <v>28</v>
      </c>
      <c r="G1863" s="2" t="s">
        <v>21</v>
      </c>
      <c r="H1863" s="2" t="s">
        <v>22</v>
      </c>
      <c r="J1863" s="24" t="str">
        <f t="shared" ref="J1863" si="2953">CONCATENATE(K1861,2)</f>
        <v>42</v>
      </c>
      <c r="K1863" s="6" t="e">
        <v>#VALUE!</v>
      </c>
      <c r="L1863" s="6" t="e">
        <v>#VALUE!</v>
      </c>
      <c r="M1863" s="6" t="e">
        <v>#VALUE!</v>
      </c>
      <c r="Q1863" s="9"/>
      <c r="R1863" s="9"/>
      <c r="S1863" s="9"/>
      <c r="T1863" s="9"/>
      <c r="U1863" s="1">
        <f t="shared" si="2870"/>
        <v>43</v>
      </c>
      <c r="V1863" s="1">
        <f t="shared" si="2871"/>
        <v>214</v>
      </c>
    </row>
    <row r="1864" spans="1:22" x14ac:dyDescent="0.3">
      <c r="A1864" s="1">
        <f t="shared" si="2907"/>
        <v>43215</v>
      </c>
      <c r="B1864" s="2" t="s">
        <v>24</v>
      </c>
      <c r="C1864" s="2" t="s">
        <v>25</v>
      </c>
      <c r="D1864" s="2" t="s">
        <v>26</v>
      </c>
      <c r="E1864" s="2" t="s">
        <v>27</v>
      </c>
      <c r="F1864" s="2" t="s">
        <v>29</v>
      </c>
      <c r="G1864" s="2" t="s">
        <v>24</v>
      </c>
      <c r="H1864" s="2" t="s">
        <v>25</v>
      </c>
      <c r="J1864" s="24" t="str">
        <f t="shared" ref="J1864" si="2954">CONCATENATE(K1861,3)</f>
        <v>43</v>
      </c>
      <c r="K1864" s="6" t="e">
        <v>#VALUE!</v>
      </c>
      <c r="L1864" s="6" t="e">
        <v>#VALUE!</v>
      </c>
      <c r="M1864" s="6" t="e">
        <v>#VALUE!</v>
      </c>
      <c r="Q1864" s="9"/>
      <c r="R1864" s="9"/>
      <c r="S1864" s="9"/>
      <c r="T1864" s="9"/>
      <c r="U1864" s="1">
        <f t="shared" si="2870"/>
        <v>43</v>
      </c>
      <c r="V1864" s="1">
        <f t="shared" si="2871"/>
        <v>215</v>
      </c>
    </row>
    <row r="1865" spans="1:22" x14ac:dyDescent="0.3">
      <c r="A1865" s="1">
        <f t="shared" si="2907"/>
        <v>43216</v>
      </c>
      <c r="B1865" s="3" t="str">
        <f t="shared" ref="B1865" si="2955">H1858</f>
        <v>%ur</v>
      </c>
      <c r="C1865" s="3" t="str">
        <f t="shared" ref="C1865:D1865" si="2956">B1865</f>
        <v>%ur</v>
      </c>
      <c r="D1865" s="3" t="str">
        <f t="shared" si="2956"/>
        <v>%ur</v>
      </c>
      <c r="E1865" s="3"/>
      <c r="F1865" s="3"/>
      <c r="G1865" s="3" t="str">
        <f t="shared" ref="G1865" si="2957">D1865</f>
        <v>%ur</v>
      </c>
      <c r="H1865" s="3" t="str">
        <f t="shared" ref="H1865" si="2958">G1865</f>
        <v>%ur</v>
      </c>
      <c r="K1865" s="1">
        <v>5</v>
      </c>
      <c r="L1865" s="1">
        <v>5</v>
      </c>
      <c r="M1865" s="1">
        <v>5</v>
      </c>
      <c r="N1865" s="1">
        <v>5</v>
      </c>
      <c r="Q1865" s="9"/>
      <c r="R1865" s="9"/>
      <c r="S1865" s="9"/>
      <c r="T1865" s="9"/>
      <c r="U1865" s="1">
        <f t="shared" si="2870"/>
        <v>43</v>
      </c>
      <c r="V1865" s="1">
        <f t="shared" si="2871"/>
        <v>216</v>
      </c>
    </row>
    <row r="1866" spans="1:22" x14ac:dyDescent="0.3">
      <c r="A1866" s="1">
        <f t="shared" si="2907"/>
        <v>43217</v>
      </c>
      <c r="B1866" s="4">
        <v>30</v>
      </c>
      <c r="C1866" s="4">
        <v>32</v>
      </c>
      <c r="D1866" s="4">
        <v>2</v>
      </c>
      <c r="E1866" s="4">
        <v>2</v>
      </c>
      <c r="F1866" s="14">
        <v>1000000</v>
      </c>
      <c r="G1866" s="8">
        <v>30</v>
      </c>
      <c r="H1866" s="7">
        <v>30</v>
      </c>
      <c r="J1866" s="24" t="str">
        <f t="shared" ref="J1866" si="2959">CONCATENATE(K1865,1)</f>
        <v>51</v>
      </c>
      <c r="K1866" s="6" t="e">
        <f t="array" ref="K1866:N1868">LINEST(B1866:B1870,C1866:C1870^{1,2,3},TRUE,TRUE)</f>
        <v>#VALUE!</v>
      </c>
      <c r="L1866" s="6" t="e">
        <v>#VALUE!</v>
      </c>
      <c r="M1866" s="6" t="e">
        <v>#VALUE!</v>
      </c>
      <c r="N1866" s="6" t="e">
        <v>#VALUE!</v>
      </c>
      <c r="Q1866" s="9"/>
      <c r="R1866" s="9"/>
      <c r="S1866" s="9"/>
      <c r="T1866" s="9"/>
      <c r="U1866" s="1">
        <f t="shared" si="2870"/>
        <v>43</v>
      </c>
      <c r="V1866" s="1">
        <f t="shared" si="2871"/>
        <v>217</v>
      </c>
    </row>
    <row r="1867" spans="1:22" x14ac:dyDescent="0.3">
      <c r="A1867" s="1">
        <f t="shared" si="2907"/>
        <v>43218</v>
      </c>
      <c r="B1867" s="4">
        <v>50</v>
      </c>
      <c r="C1867" s="4">
        <v>47</v>
      </c>
      <c r="D1867" s="4">
        <v>2</v>
      </c>
      <c r="E1867" s="4">
        <v>2</v>
      </c>
      <c r="F1867" s="14">
        <v>1000000</v>
      </c>
      <c r="G1867" s="8">
        <v>50</v>
      </c>
      <c r="H1867" s="7">
        <v>46</v>
      </c>
      <c r="J1867" s="24" t="str">
        <f t="shared" ref="J1867" si="2960">CONCATENATE(K1865,2)</f>
        <v>52</v>
      </c>
      <c r="K1867" s="6" t="e">
        <v>#VALUE!</v>
      </c>
      <c r="L1867" s="6" t="e">
        <v>#VALUE!</v>
      </c>
      <c r="M1867" s="6" t="e">
        <v>#VALUE!</v>
      </c>
      <c r="N1867" s="6" t="e">
        <v>#VALUE!</v>
      </c>
      <c r="T1867" s="9"/>
      <c r="U1867" s="1">
        <f t="shared" si="2870"/>
        <v>43</v>
      </c>
      <c r="V1867" s="1">
        <f t="shared" si="2871"/>
        <v>218</v>
      </c>
    </row>
    <row r="1868" spans="1:22" x14ac:dyDescent="0.3">
      <c r="A1868" s="1">
        <f t="shared" si="2907"/>
        <v>43219</v>
      </c>
      <c r="B1868" s="4">
        <v>80</v>
      </c>
      <c r="C1868" s="4">
        <v>70</v>
      </c>
      <c r="D1868" s="4">
        <v>2</v>
      </c>
      <c r="E1868" s="4">
        <v>2</v>
      </c>
      <c r="F1868" s="14">
        <v>1000000</v>
      </c>
      <c r="G1868" s="8">
        <v>80</v>
      </c>
      <c r="H1868" s="7">
        <v>66</v>
      </c>
      <c r="J1868" s="24" t="str">
        <f t="shared" ref="J1868" si="2961">CONCATENATE(K1865,3)</f>
        <v>53</v>
      </c>
      <c r="K1868" s="6" t="e">
        <v>#VALUE!</v>
      </c>
      <c r="L1868" s="6" t="e">
        <v>#VALUE!</v>
      </c>
      <c r="M1868" s="6" t="e">
        <v>#VALUE!</v>
      </c>
      <c r="N1868" s="6" t="e">
        <v>#VALUE!</v>
      </c>
      <c r="T1868" s="9"/>
      <c r="U1868" s="1">
        <f t="shared" si="2870"/>
        <v>43</v>
      </c>
      <c r="V1868" s="1">
        <f t="shared" si="2871"/>
        <v>219</v>
      </c>
    </row>
    <row r="1869" spans="1:22" x14ac:dyDescent="0.3">
      <c r="A1869" s="1">
        <f t="shared" si="2907"/>
        <v>43220</v>
      </c>
      <c r="B1869" s="4"/>
      <c r="C1869" s="4"/>
      <c r="D1869" s="4"/>
      <c r="E1869" s="4"/>
      <c r="F1869" s="14"/>
      <c r="G1869" s="8"/>
      <c r="H1869" s="7"/>
      <c r="K1869" s="1">
        <v>6</v>
      </c>
      <c r="L1869" s="1">
        <v>6</v>
      </c>
      <c r="M1869" s="1">
        <v>6</v>
      </c>
      <c r="N1869" s="1">
        <v>6</v>
      </c>
      <c r="O1869" s="1">
        <v>6</v>
      </c>
      <c r="T1869" s="9"/>
      <c r="U1869" s="1">
        <f t="shared" si="2870"/>
        <v>43</v>
      </c>
      <c r="V1869" s="1">
        <f t="shared" si="2871"/>
        <v>220</v>
      </c>
    </row>
    <row r="1870" spans="1:22" x14ac:dyDescent="0.3">
      <c r="A1870" s="1">
        <f t="shared" si="2907"/>
        <v>43221</v>
      </c>
      <c r="B1870" s="4"/>
      <c r="C1870" s="4"/>
      <c r="D1870" s="4"/>
      <c r="E1870" s="4"/>
      <c r="F1870" s="14"/>
      <c r="G1870" s="8"/>
      <c r="H1870" s="7"/>
      <c r="J1870" s="24" t="str">
        <f t="shared" ref="J1870" si="2962">CONCATENATE(K1869,1)</f>
        <v>61</v>
      </c>
      <c r="K1870" s="6" t="e">
        <f t="array" ref="K1870:O1872">LINEST(B1866:B1871,C1866:C1871^{1,2,3,4},TRUE,TRUE)</f>
        <v>#VALUE!</v>
      </c>
      <c r="L1870" s="6" t="e">
        <v>#VALUE!</v>
      </c>
      <c r="M1870" s="6" t="e">
        <v>#VALUE!</v>
      </c>
      <c r="N1870" s="6" t="e">
        <v>#VALUE!</v>
      </c>
      <c r="O1870" s="6" t="e">
        <v>#VALUE!</v>
      </c>
      <c r="T1870" s="9"/>
      <c r="U1870" s="1">
        <f t="shared" si="2870"/>
        <v>43</v>
      </c>
      <c r="V1870" s="1">
        <f t="shared" si="2871"/>
        <v>221</v>
      </c>
    </row>
    <row r="1871" spans="1:22" x14ac:dyDescent="0.3">
      <c r="A1871" s="1">
        <f t="shared" si="2907"/>
        <v>43222</v>
      </c>
      <c r="B1871" s="4"/>
      <c r="C1871" s="4"/>
      <c r="D1871" s="4"/>
      <c r="E1871" s="4"/>
      <c r="F1871" s="14"/>
      <c r="G1871" s="8"/>
      <c r="H1871" s="7"/>
      <c r="J1871" s="24" t="str">
        <f t="shared" ref="J1871" si="2963">CONCATENATE(K1869,2)</f>
        <v>62</v>
      </c>
      <c r="K1871" s="6" t="e">
        <v>#VALUE!</v>
      </c>
      <c r="L1871" s="6" t="e">
        <v>#VALUE!</v>
      </c>
      <c r="M1871" s="6" t="e">
        <v>#VALUE!</v>
      </c>
      <c r="N1871" s="6" t="e">
        <v>#VALUE!</v>
      </c>
      <c r="O1871" s="6" t="e">
        <v>#VALUE!</v>
      </c>
      <c r="T1871" s="9"/>
      <c r="U1871" s="1">
        <f t="shared" si="2870"/>
        <v>43</v>
      </c>
      <c r="V1871" s="1">
        <f t="shared" si="2871"/>
        <v>222</v>
      </c>
    </row>
    <row r="1872" spans="1:22" x14ac:dyDescent="0.3">
      <c r="A1872" s="1">
        <f t="shared" si="2907"/>
        <v>43223</v>
      </c>
      <c r="B1872" s="4"/>
      <c r="C1872" s="4"/>
      <c r="D1872" s="4"/>
      <c r="E1872" s="4"/>
      <c r="F1872" s="14"/>
      <c r="G1872" s="8"/>
      <c r="H1872" s="7"/>
      <c r="J1872" s="24" t="str">
        <f t="shared" ref="J1872" si="2964">CONCATENATE(K1869,3)</f>
        <v>63</v>
      </c>
      <c r="K1872" s="6" t="e">
        <v>#VALUE!</v>
      </c>
      <c r="L1872" s="6" t="e">
        <v>#VALUE!</v>
      </c>
      <c r="M1872" s="6" t="e">
        <v>#VALUE!</v>
      </c>
      <c r="N1872" s="6" t="e">
        <v>#VALUE!</v>
      </c>
      <c r="O1872" s="6" t="e">
        <v>#VALUE!</v>
      </c>
      <c r="T1872" s="9"/>
      <c r="U1872" s="1">
        <f t="shared" si="2870"/>
        <v>43</v>
      </c>
      <c r="V1872" s="1">
        <f t="shared" si="2871"/>
        <v>223</v>
      </c>
    </row>
    <row r="1873" spans="1:22" x14ac:dyDescent="0.3">
      <c r="A1873" s="1">
        <f t="shared" si="2907"/>
        <v>43224</v>
      </c>
      <c r="B1873" s="4"/>
      <c r="C1873" s="4"/>
      <c r="D1873" s="4"/>
      <c r="E1873" s="4"/>
      <c r="F1873" s="14"/>
      <c r="G1873" s="8"/>
      <c r="H1873" s="7"/>
      <c r="K1873" s="1">
        <v>7</v>
      </c>
      <c r="L1873" s="1">
        <v>7</v>
      </c>
      <c r="M1873" s="1">
        <v>7</v>
      </c>
      <c r="N1873" s="1">
        <v>7</v>
      </c>
      <c r="O1873" s="1">
        <v>7</v>
      </c>
      <c r="P1873" s="1">
        <v>7</v>
      </c>
      <c r="T1873" s="9"/>
      <c r="U1873" s="1">
        <f t="shared" si="2870"/>
        <v>43</v>
      </c>
      <c r="V1873" s="1">
        <f t="shared" si="2871"/>
        <v>224</v>
      </c>
    </row>
    <row r="1874" spans="1:22" x14ac:dyDescent="0.3">
      <c r="A1874" s="1">
        <f t="shared" si="2907"/>
        <v>43225</v>
      </c>
      <c r="B1874" s="4"/>
      <c r="C1874" s="4"/>
      <c r="D1874" s="4"/>
      <c r="E1874" s="4"/>
      <c r="F1874" s="14"/>
      <c r="G1874" s="8"/>
      <c r="H1874" s="7"/>
      <c r="J1874" s="24" t="str">
        <f t="shared" ref="J1874" si="2965">CONCATENATE(K1873,1)</f>
        <v>71</v>
      </c>
      <c r="K1874" s="6" t="e">
        <f t="array" ref="K1874:P1876">LINEST(B1866:B1872,C1866:C1872^{1,2,3,4,5},TRUE,TRUE)</f>
        <v>#VALUE!</v>
      </c>
      <c r="L1874" s="6" t="e">
        <v>#VALUE!</v>
      </c>
      <c r="M1874" s="6" t="e">
        <v>#VALUE!</v>
      </c>
      <c r="N1874" s="6" t="e">
        <v>#VALUE!</v>
      </c>
      <c r="O1874" s="6" t="e">
        <v>#VALUE!</v>
      </c>
      <c r="P1874" s="6" t="e">
        <v>#VALUE!</v>
      </c>
      <c r="T1874" s="9"/>
      <c r="U1874" s="1">
        <f t="shared" si="2870"/>
        <v>43</v>
      </c>
      <c r="V1874" s="1">
        <f t="shared" si="2871"/>
        <v>225</v>
      </c>
    </row>
    <row r="1875" spans="1:22" x14ac:dyDescent="0.3">
      <c r="A1875" s="1">
        <f t="shared" si="2907"/>
        <v>43226</v>
      </c>
      <c r="B1875" s="4"/>
      <c r="C1875" s="4"/>
      <c r="D1875" s="4"/>
      <c r="E1875" s="4"/>
      <c r="F1875" s="14"/>
      <c r="G1875" s="8"/>
      <c r="H1875" s="7"/>
      <c r="J1875" s="24" t="str">
        <f t="shared" ref="J1875" si="2966">CONCATENATE(K1873,2)</f>
        <v>72</v>
      </c>
      <c r="K1875" s="6" t="e">
        <v>#VALUE!</v>
      </c>
      <c r="L1875" s="6" t="e">
        <v>#VALUE!</v>
      </c>
      <c r="M1875" s="6" t="e">
        <v>#VALUE!</v>
      </c>
      <c r="N1875" s="6" t="e">
        <v>#VALUE!</v>
      </c>
      <c r="O1875" s="6" t="e">
        <v>#VALUE!</v>
      </c>
      <c r="P1875" s="6" t="e">
        <v>#VALUE!</v>
      </c>
      <c r="T1875" s="9"/>
      <c r="U1875" s="1">
        <f t="shared" si="2870"/>
        <v>43</v>
      </c>
      <c r="V1875" s="1">
        <f t="shared" si="2871"/>
        <v>226</v>
      </c>
    </row>
    <row r="1876" spans="1:22" x14ac:dyDescent="0.3">
      <c r="A1876" s="1">
        <f t="shared" si="2907"/>
        <v>43227</v>
      </c>
      <c r="B1876" s="9"/>
      <c r="C1876" s="9"/>
      <c r="D1876" s="9"/>
      <c r="E1876" s="9"/>
      <c r="F1876" s="9"/>
      <c r="G1876" s="9"/>
      <c r="H1876" s="9"/>
      <c r="J1876" s="24" t="str">
        <f t="shared" ref="J1876" si="2967">CONCATENATE(K1873,3)</f>
        <v>73</v>
      </c>
      <c r="K1876" s="6" t="e">
        <v>#VALUE!</v>
      </c>
      <c r="L1876" s="6" t="e">
        <v>#VALUE!</v>
      </c>
      <c r="M1876" s="6" t="e">
        <v>#VALUE!</v>
      </c>
      <c r="N1876" s="6" t="e">
        <v>#VALUE!</v>
      </c>
      <c r="O1876" s="6" t="e">
        <v>#VALUE!</v>
      </c>
      <c r="P1876" s="6" t="e">
        <v>#VALUE!</v>
      </c>
      <c r="T1876" s="9"/>
      <c r="U1876" s="1">
        <f t="shared" si="2870"/>
        <v>43</v>
      </c>
      <c r="V1876" s="1">
        <f t="shared" si="2871"/>
        <v>227</v>
      </c>
    </row>
    <row r="1877" spans="1:22" x14ac:dyDescent="0.3">
      <c r="A1877" s="1">
        <f t="shared" si="2907"/>
        <v>43228</v>
      </c>
      <c r="B1877" s="87" t="s">
        <v>33</v>
      </c>
      <c r="C1877" s="88"/>
      <c r="D1877" s="88"/>
      <c r="E1877" s="88"/>
      <c r="F1877" s="88"/>
      <c r="G1877" s="88"/>
      <c r="H1877" s="89"/>
      <c r="K1877" s="1">
        <v>8</v>
      </c>
      <c r="L1877" s="1">
        <v>8</v>
      </c>
      <c r="M1877" s="1">
        <v>8</v>
      </c>
      <c r="N1877" s="1">
        <v>8</v>
      </c>
      <c r="O1877" s="1">
        <v>8</v>
      </c>
      <c r="P1877" s="1">
        <v>8</v>
      </c>
      <c r="Q1877" s="1">
        <v>8</v>
      </c>
      <c r="T1877" s="9"/>
      <c r="U1877" s="1">
        <f t="shared" si="2870"/>
        <v>43</v>
      </c>
      <c r="V1877" s="1">
        <f t="shared" si="2871"/>
        <v>228</v>
      </c>
    </row>
    <row r="1878" spans="1:22" x14ac:dyDescent="0.3">
      <c r="A1878" s="1">
        <f t="shared" si="2907"/>
        <v>43229</v>
      </c>
      <c r="B1878" s="90"/>
      <c r="C1878" s="91"/>
      <c r="D1878" s="91"/>
      <c r="E1878" s="91"/>
      <c r="F1878" s="91"/>
      <c r="G1878" s="91"/>
      <c r="H1878" s="92"/>
      <c r="J1878" s="24" t="str">
        <f t="shared" ref="J1878" si="2968">CONCATENATE(K1877,1)</f>
        <v>81</v>
      </c>
      <c r="K1878" s="6" t="e">
        <f t="array" ref="K1878:Q1880">LINEST(B1866:B1873,C1866:C1873^{1,2,3,4,5,6},TRUE,TRUE)</f>
        <v>#VALUE!</v>
      </c>
      <c r="L1878" s="6" t="e">
        <v>#VALUE!</v>
      </c>
      <c r="M1878" s="6" t="e">
        <v>#VALUE!</v>
      </c>
      <c r="N1878" s="6" t="e">
        <v>#VALUE!</v>
      </c>
      <c r="O1878" s="6" t="e">
        <v>#VALUE!</v>
      </c>
      <c r="P1878" s="6" t="e">
        <v>#VALUE!</v>
      </c>
      <c r="Q1878" s="6" t="e">
        <v>#VALUE!</v>
      </c>
      <c r="T1878" s="9"/>
      <c r="U1878" s="1">
        <f t="shared" si="2870"/>
        <v>43</v>
      </c>
      <c r="V1878" s="1">
        <f t="shared" si="2871"/>
        <v>229</v>
      </c>
    </row>
    <row r="1879" spans="1:22" x14ac:dyDescent="0.3">
      <c r="A1879" s="1">
        <f t="shared" si="2907"/>
        <v>43230</v>
      </c>
      <c r="B1879" s="93"/>
      <c r="C1879" s="94"/>
      <c r="D1879" s="94"/>
      <c r="E1879" s="94"/>
      <c r="F1879" s="94"/>
      <c r="G1879" s="94"/>
      <c r="H1879" s="95"/>
      <c r="J1879" s="24" t="str">
        <f t="shared" ref="J1879" si="2969">CONCATENATE(K1877,2)</f>
        <v>82</v>
      </c>
      <c r="K1879" s="6" t="e">
        <v>#VALUE!</v>
      </c>
      <c r="L1879" s="6" t="e">
        <v>#VALUE!</v>
      </c>
      <c r="M1879" s="6" t="e">
        <v>#VALUE!</v>
      </c>
      <c r="N1879" s="6" t="e">
        <v>#VALUE!</v>
      </c>
      <c r="O1879" s="6" t="e">
        <v>#VALUE!</v>
      </c>
      <c r="P1879" s="6" t="e">
        <v>#VALUE!</v>
      </c>
      <c r="Q1879" s="6" t="e">
        <v>#VALUE!</v>
      </c>
      <c r="T1879" s="9"/>
      <c r="U1879" s="1">
        <f t="shared" si="2870"/>
        <v>43</v>
      </c>
      <c r="V1879" s="1">
        <f t="shared" si="2871"/>
        <v>230</v>
      </c>
    </row>
    <row r="1880" spans="1:22" x14ac:dyDescent="0.3">
      <c r="A1880" s="1">
        <f t="shared" si="2907"/>
        <v>43231</v>
      </c>
      <c r="J1880" s="24" t="str">
        <f t="shared" ref="J1880" si="2970">CONCATENATE(K1877,3)</f>
        <v>83</v>
      </c>
      <c r="K1880" s="6" t="e">
        <v>#VALUE!</v>
      </c>
      <c r="L1880" s="6" t="e">
        <v>#VALUE!</v>
      </c>
      <c r="M1880" s="6" t="e">
        <v>#VALUE!</v>
      </c>
      <c r="N1880" s="6" t="e">
        <v>#VALUE!</v>
      </c>
      <c r="O1880" s="6" t="e">
        <v>#VALUE!</v>
      </c>
      <c r="P1880" s="6" t="e">
        <v>#VALUE!</v>
      </c>
      <c r="Q1880" s="6" t="e">
        <v>#VALUE!</v>
      </c>
      <c r="T1880" s="9"/>
      <c r="U1880" s="1">
        <f t="shared" si="2870"/>
        <v>43</v>
      </c>
      <c r="V1880" s="1">
        <f t="shared" si="2871"/>
        <v>231</v>
      </c>
    </row>
    <row r="1881" spans="1:22" ht="15" customHeight="1" x14ac:dyDescent="0.3">
      <c r="A1881" s="1">
        <f t="shared" si="2907"/>
        <v>43232</v>
      </c>
      <c r="B1881" s="10" t="s">
        <v>34</v>
      </c>
      <c r="C1881" s="10" t="s">
        <v>35</v>
      </c>
      <c r="D1881" s="10" t="s">
        <v>36</v>
      </c>
      <c r="E1881" s="74" t="s">
        <v>37</v>
      </c>
      <c r="F1881" s="75"/>
      <c r="G1881" s="76"/>
      <c r="K1881" s="1">
        <v>9</v>
      </c>
      <c r="L1881" s="1">
        <v>9</v>
      </c>
      <c r="M1881" s="1">
        <v>9</v>
      </c>
      <c r="N1881" s="1">
        <v>9</v>
      </c>
      <c r="O1881" s="1">
        <v>9</v>
      </c>
      <c r="P1881" s="1">
        <v>9</v>
      </c>
      <c r="Q1881" s="1">
        <v>9</v>
      </c>
      <c r="R1881" s="1">
        <v>9</v>
      </c>
      <c r="T1881" s="9"/>
      <c r="U1881" s="1">
        <f t="shared" si="2870"/>
        <v>43</v>
      </c>
      <c r="V1881" s="1">
        <f t="shared" si="2871"/>
        <v>232</v>
      </c>
    </row>
    <row r="1882" spans="1:22" x14ac:dyDescent="0.3">
      <c r="A1882" s="1">
        <f t="shared" si="2907"/>
        <v>43233</v>
      </c>
      <c r="B1882" s="12">
        <f t="shared" ref="B1882:B1891" si="2971">C1866-B1866</f>
        <v>2</v>
      </c>
      <c r="C1882" s="13">
        <f t="shared" ref="C1882:C1891" si="2972">H1866-G1866</f>
        <v>0</v>
      </c>
      <c r="D1882" s="10">
        <f t="shared" ref="D1882:D1891" si="2973">C1882-B1882</f>
        <v>-2</v>
      </c>
      <c r="E1882" s="11">
        <f t="shared" ref="E1882" si="2974">IF(D1857="","",MAX(F1882,G1882))</f>
        <v>4</v>
      </c>
      <c r="F1882" s="10">
        <f t="shared" ref="F1882" si="2975">ABS(MIN(D1882:D1891))</f>
        <v>4</v>
      </c>
      <c r="G1882" s="10">
        <f t="shared" ref="G1882" si="2976">ABS(MAX(D1882:D1891))</f>
        <v>0</v>
      </c>
      <c r="J1882" s="24" t="str">
        <f t="shared" ref="J1882" si="2977">CONCATENATE(K1881,1)</f>
        <v>91</v>
      </c>
      <c r="K1882" s="6" t="e">
        <f t="array" ref="K1882:R1884">LINEST(B1866:B1874,C1866:C1874^{1,2,3,4,5,6,7},TRUE,TRUE)</f>
        <v>#VALUE!</v>
      </c>
      <c r="L1882" s="6" t="e">
        <v>#VALUE!</v>
      </c>
      <c r="M1882" s="6" t="e">
        <v>#VALUE!</v>
      </c>
      <c r="N1882" s="6" t="e">
        <v>#VALUE!</v>
      </c>
      <c r="O1882" s="6" t="e">
        <v>#VALUE!</v>
      </c>
      <c r="P1882" s="6" t="e">
        <v>#VALUE!</v>
      </c>
      <c r="Q1882" s="6" t="e">
        <v>#VALUE!</v>
      </c>
      <c r="R1882" s="6" t="e">
        <v>#VALUE!</v>
      </c>
      <c r="T1882" s="9"/>
      <c r="U1882" s="1">
        <f t="shared" si="2870"/>
        <v>43</v>
      </c>
      <c r="V1882" s="1">
        <f t="shared" si="2871"/>
        <v>233</v>
      </c>
    </row>
    <row r="1883" spans="1:22" x14ac:dyDescent="0.3">
      <c r="A1883" s="1">
        <f t="shared" si="2907"/>
        <v>43234</v>
      </c>
      <c r="B1883" s="12">
        <f t="shared" si="2971"/>
        <v>-3</v>
      </c>
      <c r="C1883" s="13">
        <f t="shared" si="2972"/>
        <v>-4</v>
      </c>
      <c r="D1883" s="10">
        <f t="shared" si="2973"/>
        <v>-1</v>
      </c>
      <c r="E1883" s="74" t="s">
        <v>38</v>
      </c>
      <c r="F1883" s="75"/>
      <c r="G1883" s="76"/>
      <c r="J1883" s="24" t="str">
        <f t="shared" ref="J1883" si="2978">CONCATENATE(K1881,2)</f>
        <v>92</v>
      </c>
      <c r="K1883" s="6" t="e">
        <v>#VALUE!</v>
      </c>
      <c r="L1883" s="6" t="e">
        <v>#VALUE!</v>
      </c>
      <c r="M1883" s="6" t="e">
        <v>#VALUE!</v>
      </c>
      <c r="N1883" s="6" t="e">
        <v>#VALUE!</v>
      </c>
      <c r="O1883" s="6" t="e">
        <v>#VALUE!</v>
      </c>
      <c r="P1883" s="6" t="e">
        <v>#VALUE!</v>
      </c>
      <c r="Q1883" s="6" t="e">
        <v>#VALUE!</v>
      </c>
      <c r="R1883" s="6" t="e">
        <v>#VALUE!</v>
      </c>
      <c r="T1883" s="9"/>
      <c r="U1883" s="1">
        <f t="shared" ref="U1883:U1946" si="2979">U1882</f>
        <v>43</v>
      </c>
      <c r="V1883" s="1">
        <f t="shared" ref="V1883:V1946" si="2980">V1882+1</f>
        <v>234</v>
      </c>
    </row>
    <row r="1884" spans="1:22" x14ac:dyDescent="0.3">
      <c r="A1884" s="1">
        <f t="shared" si="2907"/>
        <v>43235</v>
      </c>
      <c r="B1884" s="12">
        <f t="shared" si="2971"/>
        <v>-10</v>
      </c>
      <c r="C1884" s="13">
        <f t="shared" si="2972"/>
        <v>-14</v>
      </c>
      <c r="D1884" s="10">
        <f t="shared" si="2973"/>
        <v>-4</v>
      </c>
      <c r="E1884" s="11">
        <f t="shared" ref="E1884" si="2981">IF(D1857="","",MAX(F1884,G1884))</f>
        <v>10</v>
      </c>
      <c r="F1884" s="10">
        <f t="shared" ref="F1884" si="2982">ABS(MIN(B1882:B1891))</f>
        <v>10</v>
      </c>
      <c r="G1884" s="10">
        <f t="shared" ref="G1884" si="2983">ABS(MAX(B1882:B1891))</f>
        <v>2</v>
      </c>
      <c r="J1884" s="24" t="str">
        <f t="shared" ref="J1884" si="2984">CONCATENATE(K1881,3)</f>
        <v>93</v>
      </c>
      <c r="K1884" s="6" t="e">
        <v>#VALUE!</v>
      </c>
      <c r="L1884" s="6" t="e">
        <v>#VALUE!</v>
      </c>
      <c r="M1884" s="6" t="e">
        <v>#VALUE!</v>
      </c>
      <c r="N1884" s="6" t="e">
        <v>#VALUE!</v>
      </c>
      <c r="O1884" s="6" t="e">
        <v>#VALUE!</v>
      </c>
      <c r="P1884" s="6" t="e">
        <v>#VALUE!</v>
      </c>
      <c r="Q1884" s="6" t="e">
        <v>#VALUE!</v>
      </c>
      <c r="R1884" s="6" t="e">
        <v>#VALUE!</v>
      </c>
      <c r="T1884" s="9"/>
      <c r="U1884" s="1">
        <f t="shared" si="2979"/>
        <v>43</v>
      </c>
      <c r="V1884" s="1">
        <f t="shared" si="2980"/>
        <v>235</v>
      </c>
    </row>
    <row r="1885" spans="1:22" x14ac:dyDescent="0.3">
      <c r="A1885" s="1">
        <f t="shared" si="2907"/>
        <v>43236</v>
      </c>
      <c r="B1885" s="12">
        <f t="shared" si="2971"/>
        <v>0</v>
      </c>
      <c r="C1885" s="13">
        <f t="shared" si="2972"/>
        <v>0</v>
      </c>
      <c r="D1885" s="10">
        <f t="shared" si="2973"/>
        <v>0</v>
      </c>
      <c r="E1885" s="74" t="s">
        <v>39</v>
      </c>
      <c r="F1885" s="75"/>
      <c r="G1885" s="76"/>
      <c r="K1885" s="1">
        <v>10</v>
      </c>
      <c r="L1885" s="1">
        <v>10</v>
      </c>
      <c r="M1885" s="1">
        <v>10</v>
      </c>
      <c r="N1885" s="1">
        <v>10</v>
      </c>
      <c r="O1885" s="1">
        <v>10</v>
      </c>
      <c r="P1885" s="1">
        <v>10</v>
      </c>
      <c r="Q1885" s="1">
        <v>10</v>
      </c>
      <c r="R1885" s="1">
        <v>10</v>
      </c>
      <c r="S1885" s="1">
        <v>10</v>
      </c>
      <c r="T1885" s="9"/>
      <c r="U1885" s="1">
        <f t="shared" si="2979"/>
        <v>43</v>
      </c>
      <c r="V1885" s="1">
        <f t="shared" si="2980"/>
        <v>236</v>
      </c>
    </row>
    <row r="1886" spans="1:22" x14ac:dyDescent="0.3">
      <c r="A1886" s="1">
        <f t="shared" si="2907"/>
        <v>43237</v>
      </c>
      <c r="B1886" s="12">
        <f t="shared" si="2971"/>
        <v>0</v>
      </c>
      <c r="C1886" s="13">
        <f t="shared" si="2972"/>
        <v>0</v>
      </c>
      <c r="D1886" s="10">
        <f t="shared" si="2973"/>
        <v>0</v>
      </c>
      <c r="E1886" s="11">
        <f t="shared" ref="E1886" si="2985">IF(D1857="","",MAX(F1886,G1886))</f>
        <v>2</v>
      </c>
      <c r="F1886" s="10">
        <f t="shared" ref="F1886" si="2986">ABS(MIN(D1866:D1875))</f>
        <v>2</v>
      </c>
      <c r="G1886" s="10">
        <f t="shared" ref="G1886" si="2987">ABS(MAX(D1866:D1875))</f>
        <v>2</v>
      </c>
      <c r="J1886" s="24" t="str">
        <f t="shared" ref="J1886" si="2988">CONCATENATE(K1885,1)</f>
        <v>101</v>
      </c>
      <c r="K1886" s="6" t="e">
        <f t="array" ref="K1886:S1888">LINEST(B1866:B1875,C1866:C1875^{1,2,3,4,5,6,7,8},TRUE,TRUE)</f>
        <v>#VALUE!</v>
      </c>
      <c r="L1886" s="6" t="e">
        <v>#VALUE!</v>
      </c>
      <c r="M1886" s="6" t="e">
        <v>#VALUE!</v>
      </c>
      <c r="N1886" s="6" t="e">
        <v>#VALUE!</v>
      </c>
      <c r="O1886" s="6" t="e">
        <v>#VALUE!</v>
      </c>
      <c r="P1886" s="6" t="e">
        <v>#VALUE!</v>
      </c>
      <c r="Q1886" s="6" t="e">
        <v>#VALUE!</v>
      </c>
      <c r="R1886" s="6" t="e">
        <v>#VALUE!</v>
      </c>
      <c r="S1886" s="6" t="e">
        <v>#VALUE!</v>
      </c>
      <c r="T1886" s="9"/>
      <c r="U1886" s="1">
        <f t="shared" si="2979"/>
        <v>43</v>
      </c>
      <c r="V1886" s="1">
        <f t="shared" si="2980"/>
        <v>237</v>
      </c>
    </row>
    <row r="1887" spans="1:22" x14ac:dyDescent="0.3">
      <c r="A1887" s="1">
        <f t="shared" si="2907"/>
        <v>43238</v>
      </c>
      <c r="B1887" s="12">
        <f t="shared" si="2971"/>
        <v>0</v>
      </c>
      <c r="C1887" s="13">
        <f t="shared" si="2972"/>
        <v>0</v>
      </c>
      <c r="D1887" s="10">
        <f t="shared" si="2973"/>
        <v>0</v>
      </c>
      <c r="J1887" s="24" t="str">
        <f t="shared" ref="J1887" si="2989">CONCATENATE(K1885,2)</f>
        <v>102</v>
      </c>
      <c r="K1887" s="6" t="e">
        <v>#VALUE!</v>
      </c>
      <c r="L1887" s="6" t="e">
        <v>#VALUE!</v>
      </c>
      <c r="M1887" s="6" t="e">
        <v>#VALUE!</v>
      </c>
      <c r="N1887" s="6" t="e">
        <v>#VALUE!</v>
      </c>
      <c r="O1887" s="6" t="e">
        <v>#VALUE!</v>
      </c>
      <c r="P1887" s="6" t="e">
        <v>#VALUE!</v>
      </c>
      <c r="Q1887" s="6" t="e">
        <v>#VALUE!</v>
      </c>
      <c r="R1887" s="6" t="e">
        <v>#VALUE!</v>
      </c>
      <c r="S1887" s="6" t="e">
        <v>#VALUE!</v>
      </c>
      <c r="T1887" s="9"/>
      <c r="U1887" s="1">
        <f t="shared" si="2979"/>
        <v>43</v>
      </c>
      <c r="V1887" s="1">
        <f t="shared" si="2980"/>
        <v>238</v>
      </c>
    </row>
    <row r="1888" spans="1:22" x14ac:dyDescent="0.3">
      <c r="A1888" s="1">
        <f t="shared" si="2907"/>
        <v>43239</v>
      </c>
      <c r="B1888" s="12">
        <f t="shared" si="2971"/>
        <v>0</v>
      </c>
      <c r="C1888" s="13">
        <f t="shared" si="2972"/>
        <v>0</v>
      </c>
      <c r="D1888" s="10">
        <f t="shared" si="2973"/>
        <v>0</v>
      </c>
      <c r="J1888" s="24" t="str">
        <f t="shared" ref="J1888" si="2990">CONCATENATE(K1885,3)</f>
        <v>103</v>
      </c>
      <c r="K1888" s="6" t="e">
        <v>#VALUE!</v>
      </c>
      <c r="L1888" s="6" t="e">
        <v>#VALUE!</v>
      </c>
      <c r="M1888" s="6" t="e">
        <v>#VALUE!</v>
      </c>
      <c r="N1888" s="6" t="e">
        <v>#VALUE!</v>
      </c>
      <c r="O1888" s="6" t="e">
        <v>#VALUE!</v>
      </c>
      <c r="P1888" s="6" t="e">
        <v>#VALUE!</v>
      </c>
      <c r="Q1888" s="6" t="e">
        <v>#VALUE!</v>
      </c>
      <c r="R1888" s="6" t="e">
        <v>#VALUE!</v>
      </c>
      <c r="S1888" s="6" t="e">
        <v>#VALUE!</v>
      </c>
      <c r="T1888" s="9"/>
      <c r="U1888" s="1">
        <f t="shared" si="2979"/>
        <v>43</v>
      </c>
      <c r="V1888" s="1">
        <f t="shared" si="2980"/>
        <v>239</v>
      </c>
    </row>
    <row r="1889" spans="1:22" x14ac:dyDescent="0.3">
      <c r="A1889" s="1">
        <f t="shared" si="2907"/>
        <v>43240</v>
      </c>
      <c r="B1889" s="12">
        <f t="shared" si="2971"/>
        <v>0</v>
      </c>
      <c r="C1889" s="13">
        <f t="shared" si="2972"/>
        <v>0</v>
      </c>
      <c r="D1889" s="10">
        <f t="shared" si="2973"/>
        <v>0</v>
      </c>
      <c r="J1889" s="9"/>
      <c r="K1889" s="9"/>
      <c r="L1889" s="9"/>
      <c r="M1889" s="9"/>
      <c r="N1889" s="9"/>
      <c r="O1889" s="9"/>
      <c r="P1889" s="9"/>
      <c r="Q1889" s="9"/>
      <c r="R1889" s="9"/>
      <c r="S1889" s="9"/>
      <c r="T1889" s="9"/>
      <c r="U1889" s="1">
        <f t="shared" si="2979"/>
        <v>43</v>
      </c>
      <c r="V1889" s="1">
        <f t="shared" si="2980"/>
        <v>240</v>
      </c>
    </row>
    <row r="1890" spans="1:22" x14ac:dyDescent="0.3">
      <c r="A1890" s="1">
        <f t="shared" si="2907"/>
        <v>43241</v>
      </c>
      <c r="B1890" s="12">
        <f t="shared" si="2971"/>
        <v>0</v>
      </c>
      <c r="C1890" s="13">
        <f t="shared" si="2972"/>
        <v>0</v>
      </c>
      <c r="D1890" s="10">
        <f t="shared" si="2973"/>
        <v>0</v>
      </c>
      <c r="J1890" s="9"/>
      <c r="K1890" s="9"/>
      <c r="L1890" s="9"/>
      <c r="M1890" s="9"/>
      <c r="N1890" s="9"/>
      <c r="O1890" s="9"/>
      <c r="P1890" s="9"/>
      <c r="Q1890" s="9"/>
      <c r="R1890" s="9"/>
      <c r="S1890" s="9"/>
      <c r="T1890" s="9"/>
      <c r="U1890" s="1">
        <f t="shared" si="2979"/>
        <v>43</v>
      </c>
      <c r="V1890" s="1">
        <f t="shared" si="2980"/>
        <v>241</v>
      </c>
    </row>
    <row r="1891" spans="1:22" x14ac:dyDescent="0.3">
      <c r="A1891" s="1">
        <f t="shared" si="2907"/>
        <v>43242</v>
      </c>
      <c r="B1891" s="12">
        <f t="shared" si="2971"/>
        <v>0</v>
      </c>
      <c r="C1891" s="13">
        <f t="shared" si="2972"/>
        <v>0</v>
      </c>
      <c r="D1891" s="10">
        <f t="shared" si="2973"/>
        <v>0</v>
      </c>
      <c r="J1891" s="9"/>
      <c r="K1891" s="9"/>
      <c r="L1891" s="9"/>
      <c r="M1891" s="9"/>
      <c r="N1891" s="9"/>
      <c r="O1891" s="9"/>
      <c r="P1891" s="9"/>
      <c r="Q1891" s="9"/>
      <c r="R1891" s="9"/>
      <c r="S1891" s="9"/>
      <c r="T1891" s="9"/>
      <c r="U1891" s="1">
        <f t="shared" si="2979"/>
        <v>43</v>
      </c>
      <c r="V1891" s="1">
        <f t="shared" si="2980"/>
        <v>242</v>
      </c>
    </row>
    <row r="1892" spans="1:22" x14ac:dyDescent="0.3">
      <c r="A1892" s="1">
        <f t="shared" si="2907"/>
        <v>43243</v>
      </c>
      <c r="J1892" s="9"/>
      <c r="K1892" s="9"/>
      <c r="L1892" s="9"/>
      <c r="M1892" s="9"/>
      <c r="N1892" s="9"/>
      <c r="O1892" s="9"/>
      <c r="P1892" s="9"/>
      <c r="Q1892" s="9"/>
      <c r="R1892" s="9"/>
      <c r="S1892" s="9"/>
      <c r="T1892" s="9"/>
      <c r="U1892" s="1">
        <f t="shared" si="2979"/>
        <v>43</v>
      </c>
      <c r="V1892" s="1">
        <f t="shared" si="2980"/>
        <v>243</v>
      </c>
    </row>
    <row r="1893" spans="1:22" s="5" customFormat="1" x14ac:dyDescent="0.3"/>
    <row r="1894" spans="1:22" x14ac:dyDescent="0.3">
      <c r="A1894" s="1">
        <f t="shared" ref="A1894:A1936" si="2991">ROUND(CONCATENATE(U1894,V1894),0)</f>
        <v>44201</v>
      </c>
      <c r="B1894" s="96" t="s">
        <v>0</v>
      </c>
      <c r="C1894" s="97"/>
      <c r="D1894" s="110" t="s">
        <v>46</v>
      </c>
      <c r="E1894" s="111"/>
      <c r="F1894" s="111"/>
      <c r="G1894" s="111"/>
      <c r="H1894" s="112"/>
      <c r="J1894" s="9"/>
      <c r="K1894" s="9"/>
      <c r="L1894" s="9"/>
      <c r="M1894" s="9"/>
      <c r="N1894" s="9"/>
      <c r="O1894" s="9"/>
      <c r="P1894" s="9"/>
      <c r="Q1894" s="9"/>
      <c r="R1894" s="9"/>
      <c r="S1894" s="9"/>
      <c r="T1894" s="9"/>
      <c r="U1894" s="1">
        <f t="shared" ref="U1894" si="2992">U1892+1</f>
        <v>44</v>
      </c>
      <c r="V1894" s="1">
        <v>201</v>
      </c>
    </row>
    <row r="1895" spans="1:22" x14ac:dyDescent="0.3">
      <c r="A1895" s="1">
        <f t="shared" si="2991"/>
        <v>44202</v>
      </c>
      <c r="B1895" s="96" t="s">
        <v>1</v>
      </c>
      <c r="C1895" s="97"/>
      <c r="D1895" s="15">
        <v>20</v>
      </c>
      <c r="E1895" s="16" t="s">
        <v>2</v>
      </c>
      <c r="F1895" s="107"/>
      <c r="G1895" s="108"/>
      <c r="H1895" s="109"/>
      <c r="J1895" s="9"/>
      <c r="K1895" s="9"/>
      <c r="L1895" s="9"/>
      <c r="M1895" s="9"/>
      <c r="N1895" s="9"/>
      <c r="O1895" s="9"/>
      <c r="P1895" s="9"/>
      <c r="Q1895" s="9"/>
      <c r="R1895" s="9"/>
      <c r="S1895" s="9"/>
      <c r="T1895" s="9"/>
      <c r="U1895" s="1">
        <f t="shared" ref="U1895" si="2993">U1894</f>
        <v>44</v>
      </c>
      <c r="V1895" s="1">
        <f t="shared" ref="V1895" si="2994">V1894+1</f>
        <v>202</v>
      </c>
    </row>
    <row r="1896" spans="1:22" x14ac:dyDescent="0.3">
      <c r="A1896" s="1">
        <f t="shared" si="2991"/>
        <v>44203</v>
      </c>
      <c r="B1896" s="96" t="s">
        <v>12</v>
      </c>
      <c r="C1896" s="97"/>
      <c r="D1896" s="110" t="s">
        <v>85</v>
      </c>
      <c r="E1896" s="111"/>
      <c r="F1896" s="111"/>
      <c r="G1896" s="111"/>
      <c r="H1896" s="112"/>
      <c r="K1896" s="1" t="s">
        <v>3</v>
      </c>
      <c r="L1896" s="1" t="s">
        <v>4</v>
      </c>
      <c r="M1896" s="1" t="s">
        <v>5</v>
      </c>
      <c r="N1896" s="1" t="s">
        <v>6</v>
      </c>
      <c r="O1896" s="1" t="s">
        <v>7</v>
      </c>
      <c r="P1896" s="1" t="s">
        <v>8</v>
      </c>
      <c r="Q1896" s="1" t="s">
        <v>9</v>
      </c>
      <c r="R1896" s="1" t="s">
        <v>10</v>
      </c>
      <c r="S1896" s="1" t="s">
        <v>11</v>
      </c>
      <c r="T1896" s="9"/>
      <c r="U1896" s="1">
        <f t="shared" si="2979"/>
        <v>44</v>
      </c>
      <c r="V1896" s="1">
        <f t="shared" si="2980"/>
        <v>203</v>
      </c>
    </row>
    <row r="1897" spans="1:22" x14ac:dyDescent="0.3">
      <c r="A1897" s="1">
        <f t="shared" si="2991"/>
        <v>44204</v>
      </c>
      <c r="B1897" s="96" t="s">
        <v>13</v>
      </c>
      <c r="C1897" s="97"/>
      <c r="D1897" s="110" t="s">
        <v>65</v>
      </c>
      <c r="E1897" s="111"/>
      <c r="F1897" s="111"/>
      <c r="G1897" s="111"/>
      <c r="H1897" s="112"/>
      <c r="J1897" s="1">
        <f t="shared" ref="J1897" si="2995">COUNTA(B1910:B1919)</f>
        <v>3</v>
      </c>
      <c r="K1897" s="1">
        <f t="shared" ref="K1897" si="2996">IF(L1897-1&lt;2,0,L1897-1)</f>
        <v>0</v>
      </c>
      <c r="L1897" s="1">
        <f t="shared" ref="L1897" si="2997">IF(M1897-1&lt;2,0,M1897-1)</f>
        <v>0</v>
      </c>
      <c r="M1897" s="1">
        <f t="shared" ref="M1897" si="2998">IF(N1897-1&lt;2,0,N1897-1)</f>
        <v>0</v>
      </c>
      <c r="N1897" s="1">
        <f t="shared" ref="N1897" si="2999">IF(O1897-1&lt;2,0,O1897-1)</f>
        <v>0</v>
      </c>
      <c r="O1897" s="1">
        <f t="shared" ref="O1897" si="3000">IF(P1897-1&lt;2,0,P1897-1)</f>
        <v>0</v>
      </c>
      <c r="P1897" s="1">
        <f t="shared" ref="P1897" si="3001">IF(Q1897-1&lt;2,0,Q1897-1)</f>
        <v>0</v>
      </c>
      <c r="Q1897" s="1">
        <f t="shared" ref="Q1897" si="3002">IF(R1897-1&lt;2,0,R1897-1)</f>
        <v>0</v>
      </c>
      <c r="R1897" s="1">
        <f t="shared" ref="R1897" si="3003">IF(S1897-1&lt;2,0,S1897-1)</f>
        <v>2</v>
      </c>
      <c r="S1897" s="1">
        <f t="shared" ref="S1897" si="3004">J1897</f>
        <v>3</v>
      </c>
      <c r="T1897" s="9"/>
      <c r="U1897" s="1">
        <f t="shared" si="2979"/>
        <v>44</v>
      </c>
      <c r="V1897" s="1">
        <f t="shared" si="2980"/>
        <v>204</v>
      </c>
    </row>
    <row r="1898" spans="1:22" x14ac:dyDescent="0.3">
      <c r="A1898" s="1">
        <f t="shared" si="2991"/>
        <v>44205</v>
      </c>
      <c r="B1898" s="96" t="s">
        <v>14</v>
      </c>
      <c r="C1898" s="97"/>
      <c r="D1898" s="110" t="s">
        <v>66</v>
      </c>
      <c r="E1898" s="111"/>
      <c r="F1898" s="111"/>
      <c r="G1898" s="111"/>
      <c r="H1898" s="112"/>
      <c r="J1898" s="24" t="str">
        <f t="shared" ref="J1898" si="3005">CONCATENATE(J1897,1)</f>
        <v>31</v>
      </c>
      <c r="K1898" s="25">
        <f t="shared" ref="K1898" si="3006">IF(K1897=0,0,VLOOKUP(J1898,J1902:S1932,K1897,FALSE))</f>
        <v>0</v>
      </c>
      <c r="L1898" s="25">
        <f t="shared" ref="L1898" si="3007">IF(L1897=0,0,VLOOKUP(J1898,J1902:S1932,L1897,FALSE))</f>
        <v>0</v>
      </c>
      <c r="M1898" s="25">
        <f t="shared" ref="M1898" si="3008">IF(M1897=0,0,VLOOKUP(J1898,J1902:S1932,M1897,FALSE))</f>
        <v>0</v>
      </c>
      <c r="N1898" s="25">
        <f t="shared" ref="N1898" si="3009">IF(N1897=0,0,VLOOKUP(J1898,J1902:S1932,N1897,FALSE))</f>
        <v>0</v>
      </c>
      <c r="O1898" s="25">
        <f t="shared" ref="O1898" si="3010">IF(O1897=0,0,VLOOKUP(J1898,J1902:S1932,O1897,FALSE))</f>
        <v>0</v>
      </c>
      <c r="P1898" s="25">
        <f t="shared" ref="P1898" si="3011">IF(P1897=0,0,VLOOKUP(J1898,J1902:S1932,P1897,FALSE))</f>
        <v>0</v>
      </c>
      <c r="Q1898" s="25">
        <f t="shared" ref="Q1898" si="3012">IF(Q1897=0,0,VLOOKUP(J1898,J1902:S1932,Q1897,FALSE))</f>
        <v>0</v>
      </c>
      <c r="R1898" s="25">
        <f t="shared" ref="R1898" si="3013">IF(R1897=0,0,VLOOKUP(J1898,J1902:S1932,R1897,FALSE))</f>
        <v>1.1511546536039188</v>
      </c>
      <c r="S1898" s="25">
        <f t="shared" ref="S1898" si="3014">IF(S1897=0,0,VLOOKUP(J1898,J1902:S1932,S1897,FALSE))</f>
        <v>-6.9104268719384194</v>
      </c>
      <c r="T1898" s="9"/>
      <c r="U1898" s="1">
        <f t="shared" si="2979"/>
        <v>44</v>
      </c>
      <c r="V1898" s="1">
        <f t="shared" si="2980"/>
        <v>205</v>
      </c>
    </row>
    <row r="1899" spans="1:22" x14ac:dyDescent="0.3">
      <c r="A1899" s="1">
        <f t="shared" si="2991"/>
        <v>44206</v>
      </c>
      <c r="B1899" s="96" t="s">
        <v>15</v>
      </c>
      <c r="C1899" s="97"/>
      <c r="D1899" s="110" t="s">
        <v>86</v>
      </c>
      <c r="E1899" s="111"/>
      <c r="F1899" s="111"/>
      <c r="G1899" s="111"/>
      <c r="H1899" s="112"/>
      <c r="J1899" s="24" t="str">
        <f t="shared" ref="J1899" si="3015">CONCATENATE(J1897,2)</f>
        <v>32</v>
      </c>
      <c r="K1899" s="6">
        <f t="shared" ref="K1899" si="3016">IF(K1897=0,0,VLOOKUP(J1899,J1902:S1932,K1897,FALSE))</f>
        <v>0</v>
      </c>
      <c r="L1899" s="6">
        <f t="shared" ref="L1899" si="3017">IF(L1897=0,0,VLOOKUP(J1899,J1902:S1932,L1897,FALSE))</f>
        <v>0</v>
      </c>
      <c r="M1899" s="6">
        <f t="shared" ref="M1899" si="3018">IF(M1897=0,0,VLOOKUP(J1899,J1902:S1932,M1897,FALSE))</f>
        <v>0</v>
      </c>
      <c r="N1899" s="6">
        <f t="shared" ref="N1899" si="3019">IF(N1897=0,0,VLOOKUP(J1899,J1902:S1932,N1897,FALSE))</f>
        <v>0</v>
      </c>
      <c r="O1899" s="6">
        <f t="shared" ref="O1899" si="3020">IF(O1897=0,0,VLOOKUP(J1899,J1902:S1932,O1897,FALSE))</f>
        <v>0</v>
      </c>
      <c r="P1899" s="6">
        <f t="shared" ref="P1899" si="3021">IF(P1897=0,0,VLOOKUP(J1899,J1902:S1932,P1897,FALSE))</f>
        <v>0</v>
      </c>
      <c r="Q1899" s="6">
        <f t="shared" ref="Q1899" si="3022">IF(Q1897=0,0,VLOOKUP(J1899,J1902:S1932,Q1897,FALSE))</f>
        <v>0</v>
      </c>
      <c r="R1899" s="6">
        <f t="shared" ref="R1899" si="3023">IF(R1897=0,0,VLOOKUP(J1899,J1902:S1932,R1897,FALSE))</f>
        <v>6.6663956904330662E-2</v>
      </c>
      <c r="S1899" s="6">
        <f t="shared" ref="S1899" si="3024">IF(S1897=0,0,VLOOKUP(J1899,J1902:S1932,S1897,FALSE))</f>
        <v>3.6854578369431108</v>
      </c>
      <c r="T1899" s="9"/>
      <c r="U1899" s="1">
        <f t="shared" si="2979"/>
        <v>44</v>
      </c>
      <c r="V1899" s="1">
        <f t="shared" si="2980"/>
        <v>206</v>
      </c>
    </row>
    <row r="1900" spans="1:22" x14ac:dyDescent="0.3">
      <c r="A1900" s="1">
        <f t="shared" si="2991"/>
        <v>44207</v>
      </c>
      <c r="B1900" s="96" t="s">
        <v>16</v>
      </c>
      <c r="C1900" s="97"/>
      <c r="D1900" s="113">
        <v>43892</v>
      </c>
      <c r="E1900" s="114"/>
      <c r="F1900" s="114"/>
      <c r="G1900" s="114"/>
      <c r="H1900" s="115"/>
      <c r="J1900" s="24" t="str">
        <f t="shared" ref="J1900" si="3025">CONCATENATE(J1897,3)</f>
        <v>33</v>
      </c>
      <c r="K1900" s="6"/>
      <c r="L1900" s="6"/>
      <c r="M1900" s="6"/>
      <c r="N1900" s="6" t="s">
        <v>43</v>
      </c>
      <c r="O1900" s="25">
        <f t="shared" ref="O1900" si="3026">J1897-2</f>
        <v>1</v>
      </c>
      <c r="P1900" s="6" t="s">
        <v>44</v>
      </c>
      <c r="Q1900" s="25">
        <f t="shared" ref="Q1900" si="3027">VLOOKUP(J1900,J1902:S1932,3,FALSE)</f>
        <v>2.057602945428421</v>
      </c>
      <c r="R1900" s="6" t="s">
        <v>45</v>
      </c>
      <c r="S1900" s="6">
        <f t="shared" ref="S1900" si="3028">VLOOKUP(J1900,J1902:S1932,2,FALSE)</f>
        <v>0.99665758167286655</v>
      </c>
      <c r="T1900" s="9"/>
      <c r="U1900" s="1">
        <f t="shared" si="2979"/>
        <v>44</v>
      </c>
      <c r="V1900" s="1">
        <f t="shared" si="2980"/>
        <v>207</v>
      </c>
    </row>
    <row r="1901" spans="1:22" x14ac:dyDescent="0.3">
      <c r="A1901" s="1">
        <f t="shared" si="2991"/>
        <v>44208</v>
      </c>
      <c r="B1901" s="96" t="s">
        <v>17</v>
      </c>
      <c r="C1901" s="97"/>
      <c r="D1901" s="116">
        <v>44286</v>
      </c>
      <c r="E1901" s="117"/>
      <c r="F1901" s="117"/>
      <c r="G1901" s="117"/>
      <c r="H1901" s="118"/>
      <c r="K1901" s="1">
        <v>3</v>
      </c>
      <c r="L1901" s="1">
        <v>3</v>
      </c>
      <c r="Q1901" s="26"/>
      <c r="R1901" s="26"/>
      <c r="S1901" s="26"/>
      <c r="T1901" s="9"/>
      <c r="U1901" s="1">
        <f t="shared" si="2979"/>
        <v>44</v>
      </c>
      <c r="V1901" s="1">
        <f t="shared" si="2980"/>
        <v>208</v>
      </c>
    </row>
    <row r="1902" spans="1:22" x14ac:dyDescent="0.3">
      <c r="A1902" s="1">
        <f t="shared" si="2991"/>
        <v>44209</v>
      </c>
      <c r="B1902" s="77" t="s">
        <v>19</v>
      </c>
      <c r="C1902" s="78"/>
      <c r="D1902" s="17">
        <v>1</v>
      </c>
      <c r="E1902" s="79" t="s">
        <v>40</v>
      </c>
      <c r="F1902" s="80"/>
      <c r="G1902" s="81"/>
      <c r="H1902" s="18" t="s">
        <v>72</v>
      </c>
      <c r="J1902" s="24" t="str">
        <f t="shared" ref="J1902" si="3029">CONCATENATE(K1901,1)</f>
        <v>31</v>
      </c>
      <c r="K1902" s="6">
        <f t="array" ref="K1902:L1904">LINEST(B1910:B1912,C1910:C1912^{1},TRUE,TRUE)</f>
        <v>1.1511546536039188</v>
      </c>
      <c r="L1902" s="6">
        <v>-6.9104268719384194</v>
      </c>
      <c r="Q1902" s="9"/>
      <c r="R1902" s="9"/>
      <c r="S1902" s="9"/>
      <c r="T1902" s="9"/>
      <c r="U1902" s="1">
        <f t="shared" si="2979"/>
        <v>44</v>
      </c>
      <c r="V1902" s="1">
        <f t="shared" si="2980"/>
        <v>209</v>
      </c>
    </row>
    <row r="1903" spans="1:22" x14ac:dyDescent="0.3">
      <c r="A1903" s="1">
        <f t="shared" si="2991"/>
        <v>44210</v>
      </c>
      <c r="B1903" s="77" t="s">
        <v>41</v>
      </c>
      <c r="C1903" s="78"/>
      <c r="D1903" s="23">
        <f t="shared" ref="D1903" si="3030">MIN(B1910:B1919)</f>
        <v>30</v>
      </c>
      <c r="E1903" s="20" t="s">
        <v>18</v>
      </c>
      <c r="F1903" s="19">
        <f t="shared" ref="F1903" si="3031">MAX(B1910:B1919)</f>
        <v>80</v>
      </c>
      <c r="G1903" s="21" t="str">
        <f t="shared" ref="G1903" si="3032">IF(H1902="","",H1902)</f>
        <v>%ur</v>
      </c>
      <c r="H1903" s="22"/>
      <c r="J1903" s="24" t="str">
        <f t="shared" ref="J1903" si="3033">CONCATENATE(K1901,2)</f>
        <v>32</v>
      </c>
      <c r="K1903" s="6">
        <v>6.6663956904330662E-2</v>
      </c>
      <c r="L1903" s="6">
        <v>3.6854578369431108</v>
      </c>
      <c r="Q1903" s="9"/>
      <c r="R1903" s="9"/>
      <c r="S1903" s="9"/>
      <c r="T1903" s="9"/>
      <c r="U1903" s="1">
        <f t="shared" si="2979"/>
        <v>44</v>
      </c>
      <c r="V1903" s="1">
        <f t="shared" si="2980"/>
        <v>210</v>
      </c>
    </row>
    <row r="1904" spans="1:22" x14ac:dyDescent="0.3">
      <c r="A1904" s="1">
        <f t="shared" si="2991"/>
        <v>44211</v>
      </c>
      <c r="J1904" s="24" t="str">
        <f t="shared" ref="J1904" si="3034">CONCATENATE(K1901,3)</f>
        <v>33</v>
      </c>
      <c r="K1904" s="6">
        <v>0.99665758167286655</v>
      </c>
      <c r="L1904" s="6">
        <v>2.057602945428421</v>
      </c>
      <c r="Q1904" s="9"/>
      <c r="R1904" s="9"/>
      <c r="S1904" s="9"/>
      <c r="T1904" s="9"/>
      <c r="U1904" s="1">
        <f t="shared" si="2979"/>
        <v>44</v>
      </c>
      <c r="V1904" s="1">
        <f t="shared" si="2980"/>
        <v>211</v>
      </c>
    </row>
    <row r="1905" spans="1:22" x14ac:dyDescent="0.3">
      <c r="A1905" s="1">
        <f t="shared" si="2991"/>
        <v>44212</v>
      </c>
      <c r="B1905" s="82" t="s">
        <v>20</v>
      </c>
      <c r="C1905" s="83"/>
      <c r="D1905" s="83"/>
      <c r="E1905" s="83"/>
      <c r="F1905" s="84"/>
      <c r="G1905" s="85" t="s">
        <v>31</v>
      </c>
      <c r="H1905" s="86"/>
      <c r="K1905" s="1">
        <v>4</v>
      </c>
      <c r="L1905" s="1">
        <v>4</v>
      </c>
      <c r="M1905" s="1">
        <v>4</v>
      </c>
      <c r="Q1905" s="9"/>
      <c r="R1905" s="9"/>
      <c r="S1905" s="9"/>
      <c r="T1905" s="9"/>
      <c r="U1905" s="1">
        <f t="shared" si="2979"/>
        <v>44</v>
      </c>
      <c r="V1905" s="1">
        <f t="shared" si="2980"/>
        <v>212</v>
      </c>
    </row>
    <row r="1906" spans="1:22" x14ac:dyDescent="0.3">
      <c r="A1906" s="1">
        <f t="shared" si="2991"/>
        <v>44213</v>
      </c>
      <c r="B1906" s="82" t="s">
        <v>30</v>
      </c>
      <c r="C1906" s="83"/>
      <c r="D1906" s="84"/>
      <c r="E1906" s="82" t="str">
        <f t="shared" ref="E1906" si="3035">D1899</f>
        <v>R0044/20</v>
      </c>
      <c r="F1906" s="84"/>
      <c r="G1906" s="6" t="s">
        <v>32</v>
      </c>
      <c r="H1906" s="36"/>
      <c r="J1906" s="24" t="str">
        <f t="shared" ref="J1906" si="3036">CONCATENATE(K1905,1)</f>
        <v>41</v>
      </c>
      <c r="K1906" s="6" t="e">
        <f t="array" ref="K1906:M1908">LINEST(B1910:B1913,C1910:C1913^{1,2},TRUE,TRUE)</f>
        <v>#VALUE!</v>
      </c>
      <c r="L1906" s="6" t="e">
        <v>#VALUE!</v>
      </c>
      <c r="M1906" s="6" t="e">
        <v>#VALUE!</v>
      </c>
      <c r="Q1906" s="9"/>
      <c r="R1906" s="9"/>
      <c r="S1906" s="9"/>
      <c r="T1906" s="9"/>
      <c r="U1906" s="1">
        <f t="shared" si="2979"/>
        <v>44</v>
      </c>
      <c r="V1906" s="1">
        <f t="shared" si="2980"/>
        <v>213</v>
      </c>
    </row>
    <row r="1907" spans="1:22" x14ac:dyDescent="0.3">
      <c r="A1907" s="1">
        <f t="shared" si="2991"/>
        <v>44214</v>
      </c>
      <c r="B1907" s="2" t="s">
        <v>21</v>
      </c>
      <c r="C1907" s="2" t="s">
        <v>22</v>
      </c>
      <c r="D1907" s="2" t="s">
        <v>23</v>
      </c>
      <c r="E1907" s="2"/>
      <c r="F1907" s="2" t="s">
        <v>28</v>
      </c>
      <c r="G1907" s="2" t="s">
        <v>21</v>
      </c>
      <c r="H1907" s="2" t="s">
        <v>22</v>
      </c>
      <c r="J1907" s="24" t="str">
        <f t="shared" ref="J1907" si="3037">CONCATENATE(K1905,2)</f>
        <v>42</v>
      </c>
      <c r="K1907" s="6" t="e">
        <v>#VALUE!</v>
      </c>
      <c r="L1907" s="6" t="e">
        <v>#VALUE!</v>
      </c>
      <c r="M1907" s="6" t="e">
        <v>#VALUE!</v>
      </c>
      <c r="Q1907" s="9"/>
      <c r="R1907" s="9"/>
      <c r="S1907" s="9"/>
      <c r="T1907" s="9"/>
      <c r="U1907" s="1">
        <f t="shared" si="2979"/>
        <v>44</v>
      </c>
      <c r="V1907" s="1">
        <f t="shared" si="2980"/>
        <v>214</v>
      </c>
    </row>
    <row r="1908" spans="1:22" x14ac:dyDescent="0.3">
      <c r="A1908" s="1">
        <f t="shared" si="2991"/>
        <v>44215</v>
      </c>
      <c r="B1908" s="2" t="s">
        <v>24</v>
      </c>
      <c r="C1908" s="2" t="s">
        <v>25</v>
      </c>
      <c r="D1908" s="2" t="s">
        <v>26</v>
      </c>
      <c r="E1908" s="2" t="s">
        <v>27</v>
      </c>
      <c r="F1908" s="2" t="s">
        <v>29</v>
      </c>
      <c r="G1908" s="2" t="s">
        <v>24</v>
      </c>
      <c r="H1908" s="2" t="s">
        <v>25</v>
      </c>
      <c r="J1908" s="24" t="str">
        <f t="shared" ref="J1908" si="3038">CONCATENATE(K1905,3)</f>
        <v>43</v>
      </c>
      <c r="K1908" s="6" t="e">
        <v>#VALUE!</v>
      </c>
      <c r="L1908" s="6" t="e">
        <v>#VALUE!</v>
      </c>
      <c r="M1908" s="6" t="e">
        <v>#VALUE!</v>
      </c>
      <c r="Q1908" s="9"/>
      <c r="R1908" s="9"/>
      <c r="S1908" s="9"/>
      <c r="T1908" s="9"/>
      <c r="U1908" s="1">
        <f t="shared" si="2979"/>
        <v>44</v>
      </c>
      <c r="V1908" s="1">
        <f t="shared" si="2980"/>
        <v>215</v>
      </c>
    </row>
    <row r="1909" spans="1:22" x14ac:dyDescent="0.3">
      <c r="A1909" s="1">
        <f t="shared" si="2991"/>
        <v>44216</v>
      </c>
      <c r="B1909" s="3" t="str">
        <f t="shared" ref="B1909" si="3039">H1902</f>
        <v>%ur</v>
      </c>
      <c r="C1909" s="3" t="str">
        <f t="shared" ref="C1909:D1909" si="3040">B1909</f>
        <v>%ur</v>
      </c>
      <c r="D1909" s="3" t="str">
        <f t="shared" si="3040"/>
        <v>%ur</v>
      </c>
      <c r="E1909" s="3"/>
      <c r="F1909" s="3"/>
      <c r="G1909" s="3" t="str">
        <f t="shared" ref="G1909" si="3041">D1909</f>
        <v>%ur</v>
      </c>
      <c r="H1909" s="3" t="str">
        <f t="shared" ref="H1909" si="3042">G1909</f>
        <v>%ur</v>
      </c>
      <c r="K1909" s="1">
        <v>5</v>
      </c>
      <c r="L1909" s="1">
        <v>5</v>
      </c>
      <c r="M1909" s="1">
        <v>5</v>
      </c>
      <c r="N1909" s="1">
        <v>5</v>
      </c>
      <c r="Q1909" s="9"/>
      <c r="R1909" s="9"/>
      <c r="S1909" s="9"/>
      <c r="T1909" s="9"/>
      <c r="U1909" s="1">
        <f t="shared" si="2979"/>
        <v>44</v>
      </c>
      <c r="V1909" s="1">
        <f t="shared" si="2980"/>
        <v>216</v>
      </c>
    </row>
    <row r="1910" spans="1:22" x14ac:dyDescent="0.3">
      <c r="A1910" s="1">
        <f t="shared" si="2991"/>
        <v>44217</v>
      </c>
      <c r="B1910" s="4">
        <v>30</v>
      </c>
      <c r="C1910" s="4">
        <v>33</v>
      </c>
      <c r="D1910" s="4">
        <v>2</v>
      </c>
      <c r="E1910" s="4">
        <v>2</v>
      </c>
      <c r="F1910" s="14">
        <v>1000000</v>
      </c>
      <c r="G1910" s="8"/>
      <c r="H1910" s="7"/>
      <c r="J1910" s="24" t="str">
        <f t="shared" ref="J1910" si="3043">CONCATENATE(K1909,1)</f>
        <v>51</v>
      </c>
      <c r="K1910" s="6" t="e">
        <f t="array" ref="K1910:N1912">LINEST(B1910:B1914,C1910:C1914^{1,2,3},TRUE,TRUE)</f>
        <v>#VALUE!</v>
      </c>
      <c r="L1910" s="6" t="e">
        <v>#VALUE!</v>
      </c>
      <c r="M1910" s="6" t="e">
        <v>#VALUE!</v>
      </c>
      <c r="N1910" s="6" t="e">
        <v>#VALUE!</v>
      </c>
      <c r="Q1910" s="9"/>
      <c r="R1910" s="9"/>
      <c r="S1910" s="9"/>
      <c r="T1910" s="9"/>
      <c r="U1910" s="1">
        <f t="shared" si="2979"/>
        <v>44</v>
      </c>
      <c r="V1910" s="1">
        <f t="shared" si="2980"/>
        <v>217</v>
      </c>
    </row>
    <row r="1911" spans="1:22" x14ac:dyDescent="0.3">
      <c r="A1911" s="1">
        <f t="shared" si="2991"/>
        <v>44218</v>
      </c>
      <c r="B1911" s="4">
        <v>50</v>
      </c>
      <c r="C1911" s="4">
        <v>48</v>
      </c>
      <c r="D1911" s="4">
        <v>2</v>
      </c>
      <c r="E1911" s="4">
        <v>2</v>
      </c>
      <c r="F1911" s="14">
        <v>1000000</v>
      </c>
      <c r="G1911" s="8"/>
      <c r="H1911" s="7"/>
      <c r="J1911" s="24" t="str">
        <f t="shared" ref="J1911" si="3044">CONCATENATE(K1909,2)</f>
        <v>52</v>
      </c>
      <c r="K1911" s="6" t="e">
        <v>#VALUE!</v>
      </c>
      <c r="L1911" s="6" t="e">
        <v>#VALUE!</v>
      </c>
      <c r="M1911" s="6" t="e">
        <v>#VALUE!</v>
      </c>
      <c r="N1911" s="6" t="e">
        <v>#VALUE!</v>
      </c>
      <c r="T1911" s="9"/>
      <c r="U1911" s="1">
        <f t="shared" si="2979"/>
        <v>44</v>
      </c>
      <c r="V1911" s="1">
        <f t="shared" si="2980"/>
        <v>218</v>
      </c>
    </row>
    <row r="1912" spans="1:22" x14ac:dyDescent="0.3">
      <c r="A1912" s="1">
        <f t="shared" si="2991"/>
        <v>44219</v>
      </c>
      <c r="B1912" s="4">
        <v>80</v>
      </c>
      <c r="C1912" s="4">
        <v>76</v>
      </c>
      <c r="D1912" s="4">
        <v>2</v>
      </c>
      <c r="E1912" s="4">
        <v>2</v>
      </c>
      <c r="F1912" s="14">
        <v>1000000</v>
      </c>
      <c r="G1912" s="8"/>
      <c r="H1912" s="7"/>
      <c r="J1912" s="24" t="str">
        <f t="shared" ref="J1912" si="3045">CONCATENATE(K1909,3)</f>
        <v>53</v>
      </c>
      <c r="K1912" s="6" t="e">
        <v>#VALUE!</v>
      </c>
      <c r="L1912" s="6" t="e">
        <v>#VALUE!</v>
      </c>
      <c r="M1912" s="6" t="e">
        <v>#VALUE!</v>
      </c>
      <c r="N1912" s="6" t="e">
        <v>#VALUE!</v>
      </c>
      <c r="T1912" s="9"/>
      <c r="U1912" s="1">
        <f t="shared" si="2979"/>
        <v>44</v>
      </c>
      <c r="V1912" s="1">
        <f t="shared" si="2980"/>
        <v>219</v>
      </c>
    </row>
    <row r="1913" spans="1:22" x14ac:dyDescent="0.3">
      <c r="A1913" s="1">
        <f t="shared" si="2991"/>
        <v>44220</v>
      </c>
      <c r="B1913" s="4"/>
      <c r="C1913" s="4"/>
      <c r="D1913" s="4"/>
      <c r="E1913" s="4"/>
      <c r="F1913" s="14"/>
      <c r="G1913" s="8"/>
      <c r="H1913" s="7"/>
      <c r="K1913" s="1">
        <v>6</v>
      </c>
      <c r="L1913" s="1">
        <v>6</v>
      </c>
      <c r="M1913" s="1">
        <v>6</v>
      </c>
      <c r="N1913" s="1">
        <v>6</v>
      </c>
      <c r="O1913" s="1">
        <v>6</v>
      </c>
      <c r="T1913" s="9"/>
      <c r="U1913" s="1">
        <f t="shared" si="2979"/>
        <v>44</v>
      </c>
      <c r="V1913" s="1">
        <f t="shared" si="2980"/>
        <v>220</v>
      </c>
    </row>
    <row r="1914" spans="1:22" x14ac:dyDescent="0.3">
      <c r="A1914" s="1">
        <f t="shared" si="2991"/>
        <v>44221</v>
      </c>
      <c r="B1914" s="4"/>
      <c r="C1914" s="4"/>
      <c r="D1914" s="4"/>
      <c r="E1914" s="4"/>
      <c r="F1914" s="14"/>
      <c r="G1914" s="8"/>
      <c r="H1914" s="7"/>
      <c r="J1914" s="24" t="str">
        <f t="shared" ref="J1914" si="3046">CONCATENATE(K1913,1)</f>
        <v>61</v>
      </c>
      <c r="K1914" s="6" t="e">
        <f t="array" ref="K1914:O1916">LINEST(B1910:B1915,C1910:C1915^{1,2,3,4},TRUE,TRUE)</f>
        <v>#VALUE!</v>
      </c>
      <c r="L1914" s="6" t="e">
        <v>#VALUE!</v>
      </c>
      <c r="M1914" s="6" t="e">
        <v>#VALUE!</v>
      </c>
      <c r="N1914" s="6" t="e">
        <v>#VALUE!</v>
      </c>
      <c r="O1914" s="6" t="e">
        <v>#VALUE!</v>
      </c>
      <c r="T1914" s="9"/>
      <c r="U1914" s="1">
        <f t="shared" si="2979"/>
        <v>44</v>
      </c>
      <c r="V1914" s="1">
        <f t="shared" si="2980"/>
        <v>221</v>
      </c>
    </row>
    <row r="1915" spans="1:22" x14ac:dyDescent="0.3">
      <c r="A1915" s="1">
        <f t="shared" si="2991"/>
        <v>44222</v>
      </c>
      <c r="B1915" s="4"/>
      <c r="C1915" s="4"/>
      <c r="D1915" s="4"/>
      <c r="E1915" s="4"/>
      <c r="F1915" s="14"/>
      <c r="G1915" s="8"/>
      <c r="H1915" s="7"/>
      <c r="J1915" s="24" t="str">
        <f t="shared" ref="J1915" si="3047">CONCATENATE(K1913,2)</f>
        <v>62</v>
      </c>
      <c r="K1915" s="6" t="e">
        <v>#VALUE!</v>
      </c>
      <c r="L1915" s="6" t="e">
        <v>#VALUE!</v>
      </c>
      <c r="M1915" s="6" t="e">
        <v>#VALUE!</v>
      </c>
      <c r="N1915" s="6" t="e">
        <v>#VALUE!</v>
      </c>
      <c r="O1915" s="6" t="e">
        <v>#VALUE!</v>
      </c>
      <c r="T1915" s="9"/>
      <c r="U1915" s="1">
        <f t="shared" si="2979"/>
        <v>44</v>
      </c>
      <c r="V1915" s="1">
        <f t="shared" si="2980"/>
        <v>222</v>
      </c>
    </row>
    <row r="1916" spans="1:22" x14ac:dyDescent="0.3">
      <c r="A1916" s="1">
        <f t="shared" si="2991"/>
        <v>44223</v>
      </c>
      <c r="B1916" s="4"/>
      <c r="C1916" s="4"/>
      <c r="D1916" s="4"/>
      <c r="E1916" s="4"/>
      <c r="F1916" s="14"/>
      <c r="G1916" s="8"/>
      <c r="H1916" s="7"/>
      <c r="J1916" s="24" t="str">
        <f t="shared" ref="J1916" si="3048">CONCATENATE(K1913,3)</f>
        <v>63</v>
      </c>
      <c r="K1916" s="6" t="e">
        <v>#VALUE!</v>
      </c>
      <c r="L1916" s="6" t="e">
        <v>#VALUE!</v>
      </c>
      <c r="M1916" s="6" t="e">
        <v>#VALUE!</v>
      </c>
      <c r="N1916" s="6" t="e">
        <v>#VALUE!</v>
      </c>
      <c r="O1916" s="6" t="e">
        <v>#VALUE!</v>
      </c>
      <c r="T1916" s="9"/>
      <c r="U1916" s="1">
        <f t="shared" si="2979"/>
        <v>44</v>
      </c>
      <c r="V1916" s="1">
        <f t="shared" si="2980"/>
        <v>223</v>
      </c>
    </row>
    <row r="1917" spans="1:22" x14ac:dyDescent="0.3">
      <c r="A1917" s="1">
        <f t="shared" si="2991"/>
        <v>44224</v>
      </c>
      <c r="B1917" s="4"/>
      <c r="C1917" s="4"/>
      <c r="D1917" s="4"/>
      <c r="E1917" s="4"/>
      <c r="F1917" s="14"/>
      <c r="G1917" s="8"/>
      <c r="H1917" s="7"/>
      <c r="K1917" s="1">
        <v>7</v>
      </c>
      <c r="L1917" s="1">
        <v>7</v>
      </c>
      <c r="M1917" s="1">
        <v>7</v>
      </c>
      <c r="N1917" s="1">
        <v>7</v>
      </c>
      <c r="O1917" s="1">
        <v>7</v>
      </c>
      <c r="P1917" s="1">
        <v>7</v>
      </c>
      <c r="T1917" s="9"/>
      <c r="U1917" s="1">
        <f t="shared" si="2979"/>
        <v>44</v>
      </c>
      <c r="V1917" s="1">
        <f t="shared" si="2980"/>
        <v>224</v>
      </c>
    </row>
    <row r="1918" spans="1:22" x14ac:dyDescent="0.3">
      <c r="A1918" s="1">
        <f t="shared" si="2991"/>
        <v>44225</v>
      </c>
      <c r="B1918" s="4"/>
      <c r="C1918" s="4"/>
      <c r="D1918" s="4"/>
      <c r="E1918" s="4"/>
      <c r="F1918" s="14"/>
      <c r="G1918" s="8"/>
      <c r="H1918" s="7"/>
      <c r="J1918" s="24" t="str">
        <f t="shared" ref="J1918" si="3049">CONCATENATE(K1917,1)</f>
        <v>71</v>
      </c>
      <c r="K1918" s="6" t="e">
        <f t="array" ref="K1918:P1920">LINEST(B1910:B1916,C1910:C1916^{1,2,3,4,5},TRUE,TRUE)</f>
        <v>#VALUE!</v>
      </c>
      <c r="L1918" s="6" t="e">
        <v>#VALUE!</v>
      </c>
      <c r="M1918" s="6" t="e">
        <v>#VALUE!</v>
      </c>
      <c r="N1918" s="6" t="e">
        <v>#VALUE!</v>
      </c>
      <c r="O1918" s="6" t="e">
        <v>#VALUE!</v>
      </c>
      <c r="P1918" s="6" t="e">
        <v>#VALUE!</v>
      </c>
      <c r="T1918" s="9"/>
      <c r="U1918" s="1">
        <f t="shared" si="2979"/>
        <v>44</v>
      </c>
      <c r="V1918" s="1">
        <f t="shared" si="2980"/>
        <v>225</v>
      </c>
    </row>
    <row r="1919" spans="1:22" x14ac:dyDescent="0.3">
      <c r="A1919" s="1">
        <f t="shared" si="2991"/>
        <v>44226</v>
      </c>
      <c r="B1919" s="4"/>
      <c r="C1919" s="4"/>
      <c r="D1919" s="4"/>
      <c r="E1919" s="4"/>
      <c r="F1919" s="14"/>
      <c r="G1919" s="8"/>
      <c r="H1919" s="7"/>
      <c r="J1919" s="24" t="str">
        <f t="shared" ref="J1919" si="3050">CONCATENATE(K1917,2)</f>
        <v>72</v>
      </c>
      <c r="K1919" s="6" t="e">
        <v>#VALUE!</v>
      </c>
      <c r="L1919" s="6" t="e">
        <v>#VALUE!</v>
      </c>
      <c r="M1919" s="6" t="e">
        <v>#VALUE!</v>
      </c>
      <c r="N1919" s="6" t="e">
        <v>#VALUE!</v>
      </c>
      <c r="O1919" s="6" t="e">
        <v>#VALUE!</v>
      </c>
      <c r="P1919" s="6" t="e">
        <v>#VALUE!</v>
      </c>
      <c r="T1919" s="9"/>
      <c r="U1919" s="1">
        <f t="shared" si="2979"/>
        <v>44</v>
      </c>
      <c r="V1919" s="1">
        <f t="shared" si="2980"/>
        <v>226</v>
      </c>
    </row>
    <row r="1920" spans="1:22" x14ac:dyDescent="0.3">
      <c r="A1920" s="1">
        <f t="shared" si="2991"/>
        <v>44227</v>
      </c>
      <c r="B1920" s="9"/>
      <c r="C1920" s="9"/>
      <c r="D1920" s="9"/>
      <c r="E1920" s="9"/>
      <c r="F1920" s="9"/>
      <c r="G1920" s="9"/>
      <c r="H1920" s="9"/>
      <c r="J1920" s="24" t="str">
        <f t="shared" ref="J1920" si="3051">CONCATENATE(K1917,3)</f>
        <v>73</v>
      </c>
      <c r="K1920" s="6" t="e">
        <v>#VALUE!</v>
      </c>
      <c r="L1920" s="6" t="e">
        <v>#VALUE!</v>
      </c>
      <c r="M1920" s="6" t="e">
        <v>#VALUE!</v>
      </c>
      <c r="N1920" s="6" t="e">
        <v>#VALUE!</v>
      </c>
      <c r="O1920" s="6" t="e">
        <v>#VALUE!</v>
      </c>
      <c r="P1920" s="6" t="e">
        <v>#VALUE!</v>
      </c>
      <c r="T1920" s="9"/>
      <c r="U1920" s="1">
        <f t="shared" si="2979"/>
        <v>44</v>
      </c>
      <c r="V1920" s="1">
        <f t="shared" si="2980"/>
        <v>227</v>
      </c>
    </row>
    <row r="1921" spans="1:22" x14ac:dyDescent="0.3">
      <c r="A1921" s="1">
        <f t="shared" si="2991"/>
        <v>44228</v>
      </c>
      <c r="B1921" s="87" t="s">
        <v>33</v>
      </c>
      <c r="C1921" s="88"/>
      <c r="D1921" s="88"/>
      <c r="E1921" s="88"/>
      <c r="F1921" s="88"/>
      <c r="G1921" s="88"/>
      <c r="H1921" s="89"/>
      <c r="K1921" s="1">
        <v>8</v>
      </c>
      <c r="L1921" s="1">
        <v>8</v>
      </c>
      <c r="M1921" s="1">
        <v>8</v>
      </c>
      <c r="N1921" s="1">
        <v>8</v>
      </c>
      <c r="O1921" s="1">
        <v>8</v>
      </c>
      <c r="P1921" s="1">
        <v>8</v>
      </c>
      <c r="Q1921" s="1">
        <v>8</v>
      </c>
      <c r="T1921" s="9"/>
      <c r="U1921" s="1">
        <f t="shared" si="2979"/>
        <v>44</v>
      </c>
      <c r="V1921" s="1">
        <f t="shared" si="2980"/>
        <v>228</v>
      </c>
    </row>
    <row r="1922" spans="1:22" x14ac:dyDescent="0.3">
      <c r="A1922" s="1">
        <f t="shared" si="2991"/>
        <v>44229</v>
      </c>
      <c r="B1922" s="90"/>
      <c r="C1922" s="91"/>
      <c r="D1922" s="91"/>
      <c r="E1922" s="91"/>
      <c r="F1922" s="91"/>
      <c r="G1922" s="91"/>
      <c r="H1922" s="92"/>
      <c r="J1922" s="24" t="str">
        <f t="shared" ref="J1922" si="3052">CONCATENATE(K1921,1)</f>
        <v>81</v>
      </c>
      <c r="K1922" s="6" t="e">
        <f t="array" ref="K1922:Q1924">LINEST(B1910:B1917,C1910:C1917^{1,2,3,4,5,6},TRUE,TRUE)</f>
        <v>#VALUE!</v>
      </c>
      <c r="L1922" s="6" t="e">
        <v>#VALUE!</v>
      </c>
      <c r="M1922" s="6" t="e">
        <v>#VALUE!</v>
      </c>
      <c r="N1922" s="6" t="e">
        <v>#VALUE!</v>
      </c>
      <c r="O1922" s="6" t="e">
        <v>#VALUE!</v>
      </c>
      <c r="P1922" s="6" t="e">
        <v>#VALUE!</v>
      </c>
      <c r="Q1922" s="6" t="e">
        <v>#VALUE!</v>
      </c>
      <c r="T1922" s="9"/>
      <c r="U1922" s="1">
        <f t="shared" si="2979"/>
        <v>44</v>
      </c>
      <c r="V1922" s="1">
        <f t="shared" si="2980"/>
        <v>229</v>
      </c>
    </row>
    <row r="1923" spans="1:22" x14ac:dyDescent="0.3">
      <c r="A1923" s="1">
        <f t="shared" si="2991"/>
        <v>44230</v>
      </c>
      <c r="B1923" s="93"/>
      <c r="C1923" s="94"/>
      <c r="D1923" s="94"/>
      <c r="E1923" s="94"/>
      <c r="F1923" s="94"/>
      <c r="G1923" s="94"/>
      <c r="H1923" s="95"/>
      <c r="J1923" s="24" t="str">
        <f t="shared" ref="J1923" si="3053">CONCATENATE(K1921,2)</f>
        <v>82</v>
      </c>
      <c r="K1923" s="6" t="e">
        <v>#VALUE!</v>
      </c>
      <c r="L1923" s="6" t="e">
        <v>#VALUE!</v>
      </c>
      <c r="M1923" s="6" t="e">
        <v>#VALUE!</v>
      </c>
      <c r="N1923" s="6" t="e">
        <v>#VALUE!</v>
      </c>
      <c r="O1923" s="6" t="e">
        <v>#VALUE!</v>
      </c>
      <c r="P1923" s="6" t="e">
        <v>#VALUE!</v>
      </c>
      <c r="Q1923" s="6" t="e">
        <v>#VALUE!</v>
      </c>
      <c r="T1923" s="9"/>
      <c r="U1923" s="1">
        <f t="shared" si="2979"/>
        <v>44</v>
      </c>
      <c r="V1923" s="1">
        <f t="shared" si="2980"/>
        <v>230</v>
      </c>
    </row>
    <row r="1924" spans="1:22" x14ac:dyDescent="0.3">
      <c r="A1924" s="1">
        <f t="shared" si="2991"/>
        <v>44231</v>
      </c>
      <c r="J1924" s="24" t="str">
        <f t="shared" ref="J1924" si="3054">CONCATENATE(K1921,3)</f>
        <v>83</v>
      </c>
      <c r="K1924" s="6" t="e">
        <v>#VALUE!</v>
      </c>
      <c r="L1924" s="6" t="e">
        <v>#VALUE!</v>
      </c>
      <c r="M1924" s="6" t="e">
        <v>#VALUE!</v>
      </c>
      <c r="N1924" s="6" t="e">
        <v>#VALUE!</v>
      </c>
      <c r="O1924" s="6" t="e">
        <v>#VALUE!</v>
      </c>
      <c r="P1924" s="6" t="e">
        <v>#VALUE!</v>
      </c>
      <c r="Q1924" s="6" t="e">
        <v>#VALUE!</v>
      </c>
      <c r="T1924" s="9"/>
      <c r="U1924" s="1">
        <f t="shared" si="2979"/>
        <v>44</v>
      </c>
      <c r="V1924" s="1">
        <f t="shared" si="2980"/>
        <v>231</v>
      </c>
    </row>
    <row r="1925" spans="1:22" ht="15" customHeight="1" x14ac:dyDescent="0.3">
      <c r="A1925" s="1">
        <f t="shared" si="2991"/>
        <v>44232</v>
      </c>
      <c r="B1925" s="10" t="s">
        <v>34</v>
      </c>
      <c r="C1925" s="10" t="s">
        <v>35</v>
      </c>
      <c r="D1925" s="10" t="s">
        <v>36</v>
      </c>
      <c r="E1925" s="74" t="s">
        <v>37</v>
      </c>
      <c r="F1925" s="75"/>
      <c r="G1925" s="76"/>
      <c r="K1925" s="1">
        <v>9</v>
      </c>
      <c r="L1925" s="1">
        <v>9</v>
      </c>
      <c r="M1925" s="1">
        <v>9</v>
      </c>
      <c r="N1925" s="1">
        <v>9</v>
      </c>
      <c r="O1925" s="1">
        <v>9</v>
      </c>
      <c r="P1925" s="1">
        <v>9</v>
      </c>
      <c r="Q1925" s="1">
        <v>9</v>
      </c>
      <c r="R1925" s="1">
        <v>9</v>
      </c>
      <c r="T1925" s="9"/>
      <c r="U1925" s="1">
        <f t="shared" si="2979"/>
        <v>44</v>
      </c>
      <c r="V1925" s="1">
        <f t="shared" si="2980"/>
        <v>232</v>
      </c>
    </row>
    <row r="1926" spans="1:22" x14ac:dyDescent="0.3">
      <c r="A1926" s="1">
        <f t="shared" si="2991"/>
        <v>44233</v>
      </c>
      <c r="B1926" s="12">
        <f t="shared" ref="B1926:B1935" si="3055">C1910-B1910</f>
        <v>3</v>
      </c>
      <c r="C1926" s="13">
        <f t="shared" ref="C1926:C1935" si="3056">H1910-G1910</f>
        <v>0</v>
      </c>
      <c r="D1926" s="10">
        <f t="shared" ref="D1926:D1935" si="3057">C1926-B1926</f>
        <v>-3</v>
      </c>
      <c r="E1926" s="11">
        <f t="shared" ref="E1926" si="3058">IF(D1901="","",MAX(F1926,G1926))</f>
        <v>4</v>
      </c>
      <c r="F1926" s="10">
        <f t="shared" ref="F1926" si="3059">ABS(MIN(D1926:D1935))</f>
        <v>3</v>
      </c>
      <c r="G1926" s="10">
        <f t="shared" ref="G1926" si="3060">ABS(MAX(D1926:D1935))</f>
        <v>4</v>
      </c>
      <c r="J1926" s="24" t="str">
        <f t="shared" ref="J1926" si="3061">CONCATENATE(K1925,1)</f>
        <v>91</v>
      </c>
      <c r="K1926" s="6" t="e">
        <f t="array" ref="K1926:R1928">LINEST(B1910:B1918,C1910:C1918^{1,2,3,4,5,6,7},TRUE,TRUE)</f>
        <v>#VALUE!</v>
      </c>
      <c r="L1926" s="6" t="e">
        <v>#VALUE!</v>
      </c>
      <c r="M1926" s="6" t="e">
        <v>#VALUE!</v>
      </c>
      <c r="N1926" s="6" t="e">
        <v>#VALUE!</v>
      </c>
      <c r="O1926" s="6" t="e">
        <v>#VALUE!</v>
      </c>
      <c r="P1926" s="6" t="e">
        <v>#VALUE!</v>
      </c>
      <c r="Q1926" s="6" t="e">
        <v>#VALUE!</v>
      </c>
      <c r="R1926" s="6" t="e">
        <v>#VALUE!</v>
      </c>
      <c r="T1926" s="9"/>
      <c r="U1926" s="1">
        <f t="shared" si="2979"/>
        <v>44</v>
      </c>
      <c r="V1926" s="1">
        <f t="shared" si="2980"/>
        <v>233</v>
      </c>
    </row>
    <row r="1927" spans="1:22" x14ac:dyDescent="0.3">
      <c r="A1927" s="1">
        <f t="shared" si="2991"/>
        <v>44234</v>
      </c>
      <c r="B1927" s="12">
        <f t="shared" si="3055"/>
        <v>-2</v>
      </c>
      <c r="C1927" s="13">
        <f t="shared" si="3056"/>
        <v>0</v>
      </c>
      <c r="D1927" s="10">
        <f t="shared" si="3057"/>
        <v>2</v>
      </c>
      <c r="E1927" s="74" t="s">
        <v>38</v>
      </c>
      <c r="F1927" s="75"/>
      <c r="G1927" s="76"/>
      <c r="J1927" s="24" t="str">
        <f t="shared" ref="J1927" si="3062">CONCATENATE(K1925,2)</f>
        <v>92</v>
      </c>
      <c r="K1927" s="6" t="e">
        <v>#VALUE!</v>
      </c>
      <c r="L1927" s="6" t="e">
        <v>#VALUE!</v>
      </c>
      <c r="M1927" s="6" t="e">
        <v>#VALUE!</v>
      </c>
      <c r="N1927" s="6" t="e">
        <v>#VALUE!</v>
      </c>
      <c r="O1927" s="6" t="e">
        <v>#VALUE!</v>
      </c>
      <c r="P1927" s="6" t="e">
        <v>#VALUE!</v>
      </c>
      <c r="Q1927" s="6" t="e">
        <v>#VALUE!</v>
      </c>
      <c r="R1927" s="6" t="e">
        <v>#VALUE!</v>
      </c>
      <c r="T1927" s="9"/>
      <c r="U1927" s="1">
        <f t="shared" si="2979"/>
        <v>44</v>
      </c>
      <c r="V1927" s="1">
        <f t="shared" si="2980"/>
        <v>234</v>
      </c>
    </row>
    <row r="1928" spans="1:22" x14ac:dyDescent="0.3">
      <c r="A1928" s="1">
        <f t="shared" si="2991"/>
        <v>44235</v>
      </c>
      <c r="B1928" s="12">
        <f t="shared" si="3055"/>
        <v>-4</v>
      </c>
      <c r="C1928" s="13">
        <f t="shared" si="3056"/>
        <v>0</v>
      </c>
      <c r="D1928" s="10">
        <f t="shared" si="3057"/>
        <v>4</v>
      </c>
      <c r="E1928" s="11">
        <f t="shared" ref="E1928" si="3063">IF(D1901="","",MAX(F1928,G1928))</f>
        <v>4</v>
      </c>
      <c r="F1928" s="10">
        <f t="shared" ref="F1928" si="3064">ABS(MIN(B1926:B1935))</f>
        <v>4</v>
      </c>
      <c r="G1928" s="10">
        <f t="shared" ref="G1928" si="3065">ABS(MAX(B1926:B1935))</f>
        <v>3</v>
      </c>
      <c r="J1928" s="24" t="str">
        <f t="shared" ref="J1928" si="3066">CONCATENATE(K1925,3)</f>
        <v>93</v>
      </c>
      <c r="K1928" s="6" t="e">
        <v>#VALUE!</v>
      </c>
      <c r="L1928" s="6" t="e">
        <v>#VALUE!</v>
      </c>
      <c r="M1928" s="6" t="e">
        <v>#VALUE!</v>
      </c>
      <c r="N1928" s="6" t="e">
        <v>#VALUE!</v>
      </c>
      <c r="O1928" s="6" t="e">
        <v>#VALUE!</v>
      </c>
      <c r="P1928" s="6" t="e">
        <v>#VALUE!</v>
      </c>
      <c r="Q1928" s="6" t="e">
        <v>#VALUE!</v>
      </c>
      <c r="R1928" s="6" t="e">
        <v>#VALUE!</v>
      </c>
      <c r="T1928" s="9"/>
      <c r="U1928" s="1">
        <f t="shared" si="2979"/>
        <v>44</v>
      </c>
      <c r="V1928" s="1">
        <f t="shared" si="2980"/>
        <v>235</v>
      </c>
    </row>
    <row r="1929" spans="1:22" x14ac:dyDescent="0.3">
      <c r="A1929" s="1">
        <f t="shared" si="2991"/>
        <v>44236</v>
      </c>
      <c r="B1929" s="12">
        <f t="shared" si="3055"/>
        <v>0</v>
      </c>
      <c r="C1929" s="13">
        <f t="shared" si="3056"/>
        <v>0</v>
      </c>
      <c r="D1929" s="10">
        <f t="shared" si="3057"/>
        <v>0</v>
      </c>
      <c r="E1929" s="74" t="s">
        <v>39</v>
      </c>
      <c r="F1929" s="75"/>
      <c r="G1929" s="76"/>
      <c r="K1929" s="1">
        <v>10</v>
      </c>
      <c r="L1929" s="1">
        <v>10</v>
      </c>
      <c r="M1929" s="1">
        <v>10</v>
      </c>
      <c r="N1929" s="1">
        <v>10</v>
      </c>
      <c r="O1929" s="1">
        <v>10</v>
      </c>
      <c r="P1929" s="1">
        <v>10</v>
      </c>
      <c r="Q1929" s="1">
        <v>10</v>
      </c>
      <c r="R1929" s="1">
        <v>10</v>
      </c>
      <c r="S1929" s="1">
        <v>10</v>
      </c>
      <c r="T1929" s="9"/>
      <c r="U1929" s="1">
        <f t="shared" si="2979"/>
        <v>44</v>
      </c>
      <c r="V1929" s="1">
        <f t="shared" si="2980"/>
        <v>236</v>
      </c>
    </row>
    <row r="1930" spans="1:22" x14ac:dyDescent="0.3">
      <c r="A1930" s="1">
        <f t="shared" si="2991"/>
        <v>44237</v>
      </c>
      <c r="B1930" s="12">
        <f t="shared" si="3055"/>
        <v>0</v>
      </c>
      <c r="C1930" s="13">
        <f t="shared" si="3056"/>
        <v>0</v>
      </c>
      <c r="D1930" s="10">
        <f t="shared" si="3057"/>
        <v>0</v>
      </c>
      <c r="E1930" s="11">
        <f t="shared" ref="E1930" si="3067">IF(D1901="","",MAX(F1930,G1930))</f>
        <v>2</v>
      </c>
      <c r="F1930" s="10">
        <f t="shared" ref="F1930" si="3068">ABS(MIN(D1910:D1919))</f>
        <v>2</v>
      </c>
      <c r="G1930" s="10">
        <f t="shared" ref="G1930" si="3069">ABS(MAX(D1910:D1919))</f>
        <v>2</v>
      </c>
      <c r="J1930" s="24" t="str">
        <f t="shared" ref="J1930" si="3070">CONCATENATE(K1929,1)</f>
        <v>101</v>
      </c>
      <c r="K1930" s="6" t="e">
        <f t="array" ref="K1930:S1932">LINEST(B1910:B1919,C1910:C1919^{1,2,3,4,5,6,7,8},TRUE,TRUE)</f>
        <v>#VALUE!</v>
      </c>
      <c r="L1930" s="6" t="e">
        <v>#VALUE!</v>
      </c>
      <c r="M1930" s="6" t="e">
        <v>#VALUE!</v>
      </c>
      <c r="N1930" s="6" t="e">
        <v>#VALUE!</v>
      </c>
      <c r="O1930" s="6" t="e">
        <v>#VALUE!</v>
      </c>
      <c r="P1930" s="6" t="e">
        <v>#VALUE!</v>
      </c>
      <c r="Q1930" s="6" t="e">
        <v>#VALUE!</v>
      </c>
      <c r="R1930" s="6" t="e">
        <v>#VALUE!</v>
      </c>
      <c r="S1930" s="6" t="e">
        <v>#VALUE!</v>
      </c>
      <c r="T1930" s="9"/>
      <c r="U1930" s="1">
        <f t="shared" si="2979"/>
        <v>44</v>
      </c>
      <c r="V1930" s="1">
        <f t="shared" si="2980"/>
        <v>237</v>
      </c>
    </row>
    <row r="1931" spans="1:22" x14ac:dyDescent="0.3">
      <c r="A1931" s="1">
        <f t="shared" si="2991"/>
        <v>44238</v>
      </c>
      <c r="B1931" s="12">
        <f t="shared" si="3055"/>
        <v>0</v>
      </c>
      <c r="C1931" s="13">
        <f t="shared" si="3056"/>
        <v>0</v>
      </c>
      <c r="D1931" s="10">
        <f t="shared" si="3057"/>
        <v>0</v>
      </c>
      <c r="J1931" s="24" t="str">
        <f t="shared" ref="J1931" si="3071">CONCATENATE(K1929,2)</f>
        <v>102</v>
      </c>
      <c r="K1931" s="6" t="e">
        <v>#VALUE!</v>
      </c>
      <c r="L1931" s="6" t="e">
        <v>#VALUE!</v>
      </c>
      <c r="M1931" s="6" t="e">
        <v>#VALUE!</v>
      </c>
      <c r="N1931" s="6" t="e">
        <v>#VALUE!</v>
      </c>
      <c r="O1931" s="6" t="e">
        <v>#VALUE!</v>
      </c>
      <c r="P1931" s="6" t="e">
        <v>#VALUE!</v>
      </c>
      <c r="Q1931" s="6" t="e">
        <v>#VALUE!</v>
      </c>
      <c r="R1931" s="6" t="e">
        <v>#VALUE!</v>
      </c>
      <c r="S1931" s="6" t="e">
        <v>#VALUE!</v>
      </c>
      <c r="T1931" s="9"/>
      <c r="U1931" s="1">
        <f t="shared" si="2979"/>
        <v>44</v>
      </c>
      <c r="V1931" s="1">
        <f t="shared" si="2980"/>
        <v>238</v>
      </c>
    </row>
    <row r="1932" spans="1:22" x14ac:dyDescent="0.3">
      <c r="A1932" s="1">
        <f t="shared" si="2991"/>
        <v>44239</v>
      </c>
      <c r="B1932" s="12">
        <f t="shared" si="3055"/>
        <v>0</v>
      </c>
      <c r="C1932" s="13">
        <f t="shared" si="3056"/>
        <v>0</v>
      </c>
      <c r="D1932" s="10">
        <f t="shared" si="3057"/>
        <v>0</v>
      </c>
      <c r="J1932" s="24" t="str">
        <f t="shared" ref="J1932" si="3072">CONCATENATE(K1929,3)</f>
        <v>103</v>
      </c>
      <c r="K1932" s="6" t="e">
        <v>#VALUE!</v>
      </c>
      <c r="L1932" s="6" t="e">
        <v>#VALUE!</v>
      </c>
      <c r="M1932" s="6" t="e">
        <v>#VALUE!</v>
      </c>
      <c r="N1932" s="6" t="e">
        <v>#VALUE!</v>
      </c>
      <c r="O1932" s="6" t="e">
        <v>#VALUE!</v>
      </c>
      <c r="P1932" s="6" t="e">
        <v>#VALUE!</v>
      </c>
      <c r="Q1932" s="6" t="e">
        <v>#VALUE!</v>
      </c>
      <c r="R1932" s="6" t="e">
        <v>#VALUE!</v>
      </c>
      <c r="S1932" s="6" t="e">
        <v>#VALUE!</v>
      </c>
      <c r="T1932" s="9"/>
      <c r="U1932" s="1">
        <f t="shared" si="2979"/>
        <v>44</v>
      </c>
      <c r="V1932" s="1">
        <f t="shared" si="2980"/>
        <v>239</v>
      </c>
    </row>
    <row r="1933" spans="1:22" x14ac:dyDescent="0.3">
      <c r="A1933" s="1">
        <f t="shared" si="2991"/>
        <v>44240</v>
      </c>
      <c r="B1933" s="12">
        <f t="shared" si="3055"/>
        <v>0</v>
      </c>
      <c r="C1933" s="13">
        <f t="shared" si="3056"/>
        <v>0</v>
      </c>
      <c r="D1933" s="10">
        <f t="shared" si="3057"/>
        <v>0</v>
      </c>
      <c r="J1933" s="9"/>
      <c r="K1933" s="9"/>
      <c r="L1933" s="9"/>
      <c r="M1933" s="9"/>
      <c r="N1933" s="9"/>
      <c r="O1933" s="9"/>
      <c r="P1933" s="9"/>
      <c r="Q1933" s="9"/>
      <c r="R1933" s="9"/>
      <c r="S1933" s="9"/>
      <c r="T1933" s="9"/>
      <c r="U1933" s="1">
        <f t="shared" si="2979"/>
        <v>44</v>
      </c>
      <c r="V1933" s="1">
        <f t="shared" si="2980"/>
        <v>240</v>
      </c>
    </row>
    <row r="1934" spans="1:22" x14ac:dyDescent="0.3">
      <c r="A1934" s="1">
        <f t="shared" si="2991"/>
        <v>44241</v>
      </c>
      <c r="B1934" s="12">
        <f t="shared" si="3055"/>
        <v>0</v>
      </c>
      <c r="C1934" s="13">
        <f t="shared" si="3056"/>
        <v>0</v>
      </c>
      <c r="D1934" s="10">
        <f t="shared" si="3057"/>
        <v>0</v>
      </c>
      <c r="J1934" s="9"/>
      <c r="K1934" s="9"/>
      <c r="L1934" s="9"/>
      <c r="M1934" s="9"/>
      <c r="N1934" s="9"/>
      <c r="O1934" s="9"/>
      <c r="P1934" s="9"/>
      <c r="Q1934" s="9"/>
      <c r="R1934" s="9"/>
      <c r="S1934" s="9"/>
      <c r="T1934" s="9"/>
      <c r="U1934" s="1">
        <f t="shared" si="2979"/>
        <v>44</v>
      </c>
      <c r="V1934" s="1">
        <f t="shared" si="2980"/>
        <v>241</v>
      </c>
    </row>
    <row r="1935" spans="1:22" x14ac:dyDescent="0.3">
      <c r="A1935" s="1">
        <f t="shared" si="2991"/>
        <v>44242</v>
      </c>
      <c r="B1935" s="12">
        <f t="shared" si="3055"/>
        <v>0</v>
      </c>
      <c r="C1935" s="13">
        <f t="shared" si="3056"/>
        <v>0</v>
      </c>
      <c r="D1935" s="10">
        <f t="shared" si="3057"/>
        <v>0</v>
      </c>
      <c r="J1935" s="9"/>
      <c r="K1935" s="9"/>
      <c r="L1935" s="9"/>
      <c r="M1935" s="9"/>
      <c r="N1935" s="9"/>
      <c r="O1935" s="9"/>
      <c r="P1935" s="9"/>
      <c r="Q1935" s="9"/>
      <c r="R1935" s="9"/>
      <c r="S1935" s="9"/>
      <c r="T1935" s="9"/>
      <c r="U1935" s="1">
        <f t="shared" si="2979"/>
        <v>44</v>
      </c>
      <c r="V1935" s="1">
        <f t="shared" si="2980"/>
        <v>242</v>
      </c>
    </row>
    <row r="1936" spans="1:22" x14ac:dyDescent="0.3">
      <c r="A1936" s="1">
        <f t="shared" si="2991"/>
        <v>44243</v>
      </c>
      <c r="J1936" s="9"/>
      <c r="K1936" s="9"/>
      <c r="L1936" s="9"/>
      <c r="M1936" s="9"/>
      <c r="N1936" s="9"/>
      <c r="O1936" s="9"/>
      <c r="P1936" s="9"/>
      <c r="Q1936" s="9"/>
      <c r="R1936" s="9"/>
      <c r="S1936" s="9"/>
      <c r="T1936" s="9"/>
      <c r="U1936" s="1">
        <f t="shared" si="2979"/>
        <v>44</v>
      </c>
      <c r="V1936" s="1">
        <f t="shared" si="2980"/>
        <v>243</v>
      </c>
    </row>
    <row r="1937" spans="1:22" s="5" customFormat="1" x14ac:dyDescent="0.3"/>
    <row r="1938" spans="1:22" x14ac:dyDescent="0.3">
      <c r="A1938" s="1">
        <f t="shared" ref="A1938:A1980" si="3073">ROUND(CONCATENATE(U1938,V1938),0)</f>
        <v>45201</v>
      </c>
      <c r="B1938" s="96" t="s">
        <v>0</v>
      </c>
      <c r="C1938" s="97"/>
      <c r="D1938" s="110" t="s">
        <v>46</v>
      </c>
      <c r="E1938" s="111"/>
      <c r="F1938" s="111"/>
      <c r="G1938" s="111"/>
      <c r="H1938" s="112"/>
      <c r="J1938" s="9"/>
      <c r="K1938" s="9"/>
      <c r="L1938" s="9"/>
      <c r="M1938" s="9"/>
      <c r="N1938" s="9"/>
      <c r="O1938" s="9"/>
      <c r="P1938" s="9"/>
      <c r="Q1938" s="9"/>
      <c r="R1938" s="9"/>
      <c r="S1938" s="9"/>
      <c r="T1938" s="9"/>
      <c r="U1938" s="1">
        <f t="shared" ref="U1938" si="3074">U1936+1</f>
        <v>45</v>
      </c>
      <c r="V1938" s="1">
        <v>201</v>
      </c>
    </row>
    <row r="1939" spans="1:22" x14ac:dyDescent="0.3">
      <c r="A1939" s="1">
        <f t="shared" si="3073"/>
        <v>45202</v>
      </c>
      <c r="B1939" s="96" t="s">
        <v>1</v>
      </c>
      <c r="C1939" s="97"/>
      <c r="D1939" s="15">
        <v>20</v>
      </c>
      <c r="E1939" s="16" t="s">
        <v>2</v>
      </c>
      <c r="F1939" s="107"/>
      <c r="G1939" s="108"/>
      <c r="H1939" s="109"/>
      <c r="J1939" s="9"/>
      <c r="K1939" s="9"/>
      <c r="L1939" s="9"/>
      <c r="M1939" s="9"/>
      <c r="N1939" s="9"/>
      <c r="O1939" s="9"/>
      <c r="P1939" s="9"/>
      <c r="Q1939" s="9"/>
      <c r="R1939" s="9"/>
      <c r="S1939" s="9"/>
      <c r="T1939" s="9"/>
      <c r="U1939" s="1">
        <f t="shared" ref="U1939" si="3075">U1938</f>
        <v>45</v>
      </c>
      <c r="V1939" s="1">
        <f t="shared" ref="V1939" si="3076">V1938+1</f>
        <v>202</v>
      </c>
    </row>
    <row r="1940" spans="1:22" x14ac:dyDescent="0.3">
      <c r="A1940" s="1">
        <f t="shared" si="3073"/>
        <v>45203</v>
      </c>
      <c r="B1940" s="96" t="s">
        <v>12</v>
      </c>
      <c r="C1940" s="97"/>
      <c r="D1940" s="110" t="s">
        <v>87</v>
      </c>
      <c r="E1940" s="111"/>
      <c r="F1940" s="111"/>
      <c r="G1940" s="111"/>
      <c r="H1940" s="112"/>
      <c r="K1940" s="1" t="s">
        <v>3</v>
      </c>
      <c r="L1940" s="1" t="s">
        <v>4</v>
      </c>
      <c r="M1940" s="1" t="s">
        <v>5</v>
      </c>
      <c r="N1940" s="1" t="s">
        <v>6</v>
      </c>
      <c r="O1940" s="1" t="s">
        <v>7</v>
      </c>
      <c r="P1940" s="1" t="s">
        <v>8</v>
      </c>
      <c r="Q1940" s="1" t="s">
        <v>9</v>
      </c>
      <c r="R1940" s="1" t="s">
        <v>10</v>
      </c>
      <c r="S1940" s="1" t="s">
        <v>11</v>
      </c>
      <c r="T1940" s="9"/>
      <c r="U1940" s="1">
        <f t="shared" si="2979"/>
        <v>45</v>
      </c>
      <c r="V1940" s="1">
        <f t="shared" si="2980"/>
        <v>203</v>
      </c>
    </row>
    <row r="1941" spans="1:22" x14ac:dyDescent="0.3">
      <c r="A1941" s="1">
        <f t="shared" si="3073"/>
        <v>45204</v>
      </c>
      <c r="B1941" s="96" t="s">
        <v>13</v>
      </c>
      <c r="C1941" s="97"/>
      <c r="D1941" s="110" t="s">
        <v>65</v>
      </c>
      <c r="E1941" s="111"/>
      <c r="F1941" s="111"/>
      <c r="G1941" s="111"/>
      <c r="H1941" s="112"/>
      <c r="J1941" s="1">
        <f t="shared" ref="J1941" si="3077">COUNTA(B1954:B1963)</f>
        <v>3</v>
      </c>
      <c r="K1941" s="1">
        <f t="shared" ref="K1941" si="3078">IF(L1941-1&lt;2,0,L1941-1)</f>
        <v>0</v>
      </c>
      <c r="L1941" s="1">
        <f t="shared" ref="L1941" si="3079">IF(M1941-1&lt;2,0,M1941-1)</f>
        <v>0</v>
      </c>
      <c r="M1941" s="1">
        <f t="shared" ref="M1941" si="3080">IF(N1941-1&lt;2,0,N1941-1)</f>
        <v>0</v>
      </c>
      <c r="N1941" s="1">
        <f t="shared" ref="N1941" si="3081">IF(O1941-1&lt;2,0,O1941-1)</f>
        <v>0</v>
      </c>
      <c r="O1941" s="1">
        <f t="shared" ref="O1941" si="3082">IF(P1941-1&lt;2,0,P1941-1)</f>
        <v>0</v>
      </c>
      <c r="P1941" s="1">
        <f t="shared" ref="P1941" si="3083">IF(Q1941-1&lt;2,0,Q1941-1)</f>
        <v>0</v>
      </c>
      <c r="Q1941" s="1">
        <f t="shared" ref="Q1941" si="3084">IF(R1941-1&lt;2,0,R1941-1)</f>
        <v>0</v>
      </c>
      <c r="R1941" s="1">
        <f t="shared" ref="R1941" si="3085">IF(S1941-1&lt;2,0,S1941-1)</f>
        <v>2</v>
      </c>
      <c r="S1941" s="1">
        <f t="shared" ref="S1941" si="3086">J1941</f>
        <v>3</v>
      </c>
      <c r="T1941" s="9"/>
      <c r="U1941" s="1">
        <f t="shared" si="2979"/>
        <v>45</v>
      </c>
      <c r="V1941" s="1">
        <f t="shared" si="2980"/>
        <v>204</v>
      </c>
    </row>
    <row r="1942" spans="1:22" x14ac:dyDescent="0.3">
      <c r="A1942" s="1">
        <f t="shared" si="3073"/>
        <v>45205</v>
      </c>
      <c r="B1942" s="96" t="s">
        <v>14</v>
      </c>
      <c r="C1942" s="97"/>
      <c r="D1942" s="110" t="s">
        <v>66</v>
      </c>
      <c r="E1942" s="111"/>
      <c r="F1942" s="111"/>
      <c r="G1942" s="111"/>
      <c r="H1942" s="112"/>
      <c r="J1942" s="24" t="str">
        <f t="shared" ref="J1942" si="3087">CONCATENATE(J1941,1)</f>
        <v>31</v>
      </c>
      <c r="K1942" s="25">
        <f t="shared" ref="K1942" si="3088">IF(K1941=0,0,VLOOKUP(J1942,J1946:S1976,K1941,FALSE))</f>
        <v>0</v>
      </c>
      <c r="L1942" s="25">
        <f t="shared" ref="L1942" si="3089">IF(L1941=0,0,VLOOKUP(J1942,J1946:S1976,L1941,FALSE))</f>
        <v>0</v>
      </c>
      <c r="M1942" s="25">
        <f t="shared" ref="M1942" si="3090">IF(M1941=0,0,VLOOKUP(J1942,J1946:S1976,M1941,FALSE))</f>
        <v>0</v>
      </c>
      <c r="N1942" s="25">
        <f t="shared" ref="N1942" si="3091">IF(N1941=0,0,VLOOKUP(J1942,J1946:S1976,N1941,FALSE))</f>
        <v>0</v>
      </c>
      <c r="O1942" s="25">
        <f t="shared" ref="O1942" si="3092">IF(O1941=0,0,VLOOKUP(J1942,J1946:S1976,O1941,FALSE))</f>
        <v>0</v>
      </c>
      <c r="P1942" s="25">
        <f t="shared" ref="P1942" si="3093">IF(P1941=0,0,VLOOKUP(J1942,J1946:S1976,P1941,FALSE))</f>
        <v>0</v>
      </c>
      <c r="Q1942" s="25">
        <f t="shared" ref="Q1942" si="3094">IF(Q1941=0,0,VLOOKUP(J1942,J1946:S1976,Q1941,FALSE))</f>
        <v>0</v>
      </c>
      <c r="R1942" s="25">
        <f t="shared" ref="R1942" si="3095">IF(R1941=0,0,VLOOKUP(J1942,J1946:S1976,R1941,FALSE))</f>
        <v>1.4726027397260268</v>
      </c>
      <c r="S1942" s="25">
        <f t="shared" ref="S1942" si="3096">IF(S1941=0,0,VLOOKUP(J1942,J1946:S1976,S1941,FALSE))</f>
        <v>-17.35159817351596</v>
      </c>
      <c r="T1942" s="9"/>
      <c r="U1942" s="1">
        <f t="shared" si="2979"/>
        <v>45</v>
      </c>
      <c r="V1942" s="1">
        <f t="shared" si="2980"/>
        <v>205</v>
      </c>
    </row>
    <row r="1943" spans="1:22" x14ac:dyDescent="0.3">
      <c r="A1943" s="1">
        <f t="shared" si="3073"/>
        <v>45206</v>
      </c>
      <c r="B1943" s="96" t="s">
        <v>15</v>
      </c>
      <c r="C1943" s="97"/>
      <c r="D1943" s="110" t="s">
        <v>215</v>
      </c>
      <c r="E1943" s="111"/>
      <c r="F1943" s="111"/>
      <c r="G1943" s="111"/>
      <c r="H1943" s="112"/>
      <c r="J1943" s="24" t="str">
        <f t="shared" ref="J1943" si="3097">CONCATENATE(J1941,2)</f>
        <v>32</v>
      </c>
      <c r="K1943" s="6">
        <f t="shared" ref="K1943" si="3098">IF(K1941=0,0,VLOOKUP(J1943,J1946:S1976,K1941,FALSE))</f>
        <v>0</v>
      </c>
      <c r="L1943" s="6">
        <f t="shared" ref="L1943" si="3099">IF(L1941=0,0,VLOOKUP(J1943,J1946:S1976,L1941,FALSE))</f>
        <v>0</v>
      </c>
      <c r="M1943" s="6">
        <f t="shared" ref="M1943" si="3100">IF(M1941=0,0,VLOOKUP(J1943,J1946:S1976,M1941,FALSE))</f>
        <v>0</v>
      </c>
      <c r="N1943" s="6">
        <f t="shared" ref="N1943" si="3101">IF(N1941=0,0,VLOOKUP(J1943,J1946:S1976,N1941,FALSE))</f>
        <v>0</v>
      </c>
      <c r="O1943" s="6">
        <f t="shared" ref="O1943" si="3102">IF(O1941=0,0,VLOOKUP(J1943,J1946:S1976,O1941,FALSE))</f>
        <v>0</v>
      </c>
      <c r="P1943" s="6">
        <f t="shared" ref="P1943" si="3103">IF(P1941=0,0,VLOOKUP(J1943,J1946:S1976,P1941,FALSE))</f>
        <v>0</v>
      </c>
      <c r="Q1943" s="6">
        <f t="shared" ref="Q1943" si="3104">IF(Q1941=0,0,VLOOKUP(J1943,J1946:S1976,Q1941,FALSE))</f>
        <v>0</v>
      </c>
      <c r="R1943" s="6">
        <f t="shared" ref="R1943" si="3105">IF(R1941=0,0,VLOOKUP(J1943,J1946:S1976,R1941,FALSE))</f>
        <v>1.977226949279583E-2</v>
      </c>
      <c r="S1943" s="6">
        <f t="shared" ref="S1943" si="3106">IF(S1941=0,0,VLOOKUP(J1943,J1946:S1976,S1941,FALSE))</f>
        <v>0.98834980921980964</v>
      </c>
      <c r="T1943" s="9"/>
      <c r="U1943" s="1">
        <f t="shared" si="2979"/>
        <v>45</v>
      </c>
      <c r="V1943" s="1">
        <f t="shared" si="2980"/>
        <v>206</v>
      </c>
    </row>
    <row r="1944" spans="1:22" x14ac:dyDescent="0.3">
      <c r="A1944" s="1">
        <f t="shared" si="3073"/>
        <v>45207</v>
      </c>
      <c r="B1944" s="96" t="s">
        <v>16</v>
      </c>
      <c r="C1944" s="97"/>
      <c r="D1944" s="113">
        <v>45373</v>
      </c>
      <c r="E1944" s="114"/>
      <c r="F1944" s="114"/>
      <c r="G1944" s="114"/>
      <c r="H1944" s="115"/>
      <c r="J1944" s="24" t="str">
        <f t="shared" ref="J1944" si="3107">CONCATENATE(J1941,3)</f>
        <v>33</v>
      </c>
      <c r="K1944" s="6"/>
      <c r="L1944" s="6"/>
      <c r="M1944" s="6"/>
      <c r="N1944" s="6" t="s">
        <v>43</v>
      </c>
      <c r="O1944" s="25">
        <f t="shared" ref="O1944" si="3108">J1941-2</f>
        <v>1</v>
      </c>
      <c r="P1944" s="6" t="s">
        <v>44</v>
      </c>
      <c r="Q1944" s="25">
        <f t="shared" ref="Q1944" si="3109">VLOOKUP(J1944,J1946:S1976,3,FALSE)</f>
        <v>0.47781848256750692</v>
      </c>
      <c r="R1944" s="6" t="s">
        <v>45</v>
      </c>
      <c r="S1944" s="6">
        <f t="shared" ref="S1944" si="3110">VLOOKUP(J1944,J1946:S1976,2,FALSE)</f>
        <v>0.99981975486661856</v>
      </c>
      <c r="T1944" s="9"/>
      <c r="U1944" s="1">
        <f t="shared" si="2979"/>
        <v>45</v>
      </c>
      <c r="V1944" s="1">
        <f t="shared" si="2980"/>
        <v>207</v>
      </c>
    </row>
    <row r="1945" spans="1:22" x14ac:dyDescent="0.3">
      <c r="A1945" s="1">
        <f t="shared" si="3073"/>
        <v>45208</v>
      </c>
      <c r="B1945" s="96" t="s">
        <v>17</v>
      </c>
      <c r="C1945" s="97"/>
      <c r="D1945" s="116">
        <v>45747</v>
      </c>
      <c r="E1945" s="117"/>
      <c r="F1945" s="117"/>
      <c r="G1945" s="117"/>
      <c r="H1945" s="118"/>
      <c r="K1945" s="1">
        <v>3</v>
      </c>
      <c r="L1945" s="1">
        <v>3</v>
      </c>
      <c r="Q1945" s="26"/>
      <c r="R1945" s="26"/>
      <c r="S1945" s="26"/>
      <c r="T1945" s="9"/>
      <c r="U1945" s="1">
        <f t="shared" si="2979"/>
        <v>45</v>
      </c>
      <c r="V1945" s="1">
        <f t="shared" si="2980"/>
        <v>208</v>
      </c>
    </row>
    <row r="1946" spans="1:22" x14ac:dyDescent="0.3">
      <c r="A1946" s="1">
        <f t="shared" si="3073"/>
        <v>45209</v>
      </c>
      <c r="B1946" s="77" t="s">
        <v>19</v>
      </c>
      <c r="C1946" s="78"/>
      <c r="D1946" s="17">
        <v>1</v>
      </c>
      <c r="E1946" s="79" t="s">
        <v>40</v>
      </c>
      <c r="F1946" s="80"/>
      <c r="G1946" s="81"/>
      <c r="H1946" s="18" t="s">
        <v>72</v>
      </c>
      <c r="J1946" s="24" t="str">
        <f t="shared" ref="J1946" si="3111">CONCATENATE(K1945,1)</f>
        <v>31</v>
      </c>
      <c r="K1946" s="6">
        <f t="array" ref="K1946:L1948">LINEST(B1954:B1956,C1954:C1956^{1},TRUE,TRUE)</f>
        <v>1.4726027397260268</v>
      </c>
      <c r="L1946" s="6">
        <v>-17.35159817351596</v>
      </c>
      <c r="Q1946" s="9"/>
      <c r="R1946" s="9"/>
      <c r="S1946" s="9"/>
      <c r="T1946" s="9"/>
      <c r="U1946" s="1">
        <f t="shared" si="2979"/>
        <v>45</v>
      </c>
      <c r="V1946" s="1">
        <f t="shared" si="2980"/>
        <v>209</v>
      </c>
    </row>
    <row r="1947" spans="1:22" x14ac:dyDescent="0.3">
      <c r="A1947" s="1">
        <f t="shared" si="3073"/>
        <v>45210</v>
      </c>
      <c r="B1947" s="77" t="s">
        <v>41</v>
      </c>
      <c r="C1947" s="78"/>
      <c r="D1947" s="23">
        <f t="shared" ref="D1947" si="3112">MIN(B1954:B1963)</f>
        <v>30</v>
      </c>
      <c r="E1947" s="20" t="s">
        <v>18</v>
      </c>
      <c r="F1947" s="19">
        <f t="shared" ref="F1947" si="3113">MAX(B1954:B1963)</f>
        <v>80</v>
      </c>
      <c r="G1947" s="21" t="str">
        <f t="shared" ref="G1947" si="3114">IF(H1946="","",H1946)</f>
        <v>%ur</v>
      </c>
      <c r="H1947" s="22"/>
      <c r="J1947" s="24" t="str">
        <f t="shared" ref="J1947" si="3115">CONCATENATE(K1945,2)</f>
        <v>32</v>
      </c>
      <c r="K1947" s="6">
        <v>1.977226949279583E-2</v>
      </c>
      <c r="L1947" s="6">
        <v>0.98834980921980964</v>
      </c>
      <c r="Q1947" s="9"/>
      <c r="R1947" s="9"/>
      <c r="S1947" s="9"/>
      <c r="T1947" s="9"/>
      <c r="U1947" s="1">
        <f t="shared" ref="U1947:U2010" si="3116">U1946</f>
        <v>45</v>
      </c>
      <c r="V1947" s="1">
        <f t="shared" ref="V1947:V2010" si="3117">V1946+1</f>
        <v>210</v>
      </c>
    </row>
    <row r="1948" spans="1:22" x14ac:dyDescent="0.3">
      <c r="A1948" s="1">
        <f t="shared" si="3073"/>
        <v>45211</v>
      </c>
      <c r="J1948" s="24" t="str">
        <f t="shared" ref="J1948" si="3118">CONCATENATE(K1945,3)</f>
        <v>33</v>
      </c>
      <c r="K1948" s="6">
        <v>0.99981975486661856</v>
      </c>
      <c r="L1948" s="6">
        <v>0.47781848256750692</v>
      </c>
      <c r="Q1948" s="9"/>
      <c r="R1948" s="9"/>
      <c r="S1948" s="9"/>
      <c r="T1948" s="9"/>
      <c r="U1948" s="1">
        <f t="shared" si="3116"/>
        <v>45</v>
      </c>
      <c r="V1948" s="1">
        <f t="shared" si="3117"/>
        <v>211</v>
      </c>
    </row>
    <row r="1949" spans="1:22" x14ac:dyDescent="0.3">
      <c r="A1949" s="1">
        <f t="shared" si="3073"/>
        <v>45212</v>
      </c>
      <c r="B1949" s="82" t="s">
        <v>20</v>
      </c>
      <c r="C1949" s="83"/>
      <c r="D1949" s="83"/>
      <c r="E1949" s="83"/>
      <c r="F1949" s="84"/>
      <c r="G1949" s="85" t="s">
        <v>31</v>
      </c>
      <c r="H1949" s="86"/>
      <c r="K1949" s="1">
        <v>4</v>
      </c>
      <c r="L1949" s="1">
        <v>4</v>
      </c>
      <c r="M1949" s="1">
        <v>4</v>
      </c>
      <c r="Q1949" s="9"/>
      <c r="R1949" s="9"/>
      <c r="S1949" s="9"/>
      <c r="T1949" s="9"/>
      <c r="U1949" s="1">
        <f t="shared" si="3116"/>
        <v>45</v>
      </c>
      <c r="V1949" s="1">
        <f t="shared" si="3117"/>
        <v>212</v>
      </c>
    </row>
    <row r="1950" spans="1:22" x14ac:dyDescent="0.3">
      <c r="A1950" s="1">
        <f t="shared" si="3073"/>
        <v>45213</v>
      </c>
      <c r="B1950" s="82" t="s">
        <v>30</v>
      </c>
      <c r="C1950" s="83"/>
      <c r="D1950" s="84"/>
      <c r="E1950" s="82" t="str">
        <f t="shared" ref="E1950" si="3119">D1943</f>
        <v>R0013/24</v>
      </c>
      <c r="F1950" s="84"/>
      <c r="G1950" s="6" t="s">
        <v>32</v>
      </c>
      <c r="H1950" s="36" t="s">
        <v>148</v>
      </c>
      <c r="J1950" s="24" t="str">
        <f t="shared" ref="J1950" si="3120">CONCATENATE(K1949,1)</f>
        <v>41</v>
      </c>
      <c r="K1950" s="6" t="e">
        <f t="array" ref="K1950:M1952">LINEST(B1954:B1957,C1954:C1957^{1,2},TRUE,TRUE)</f>
        <v>#VALUE!</v>
      </c>
      <c r="L1950" s="6" t="e">
        <v>#VALUE!</v>
      </c>
      <c r="M1950" s="6" t="e">
        <v>#VALUE!</v>
      </c>
      <c r="Q1950" s="9"/>
      <c r="R1950" s="9"/>
      <c r="S1950" s="9"/>
      <c r="T1950" s="9"/>
      <c r="U1950" s="1">
        <f t="shared" si="3116"/>
        <v>45</v>
      </c>
      <c r="V1950" s="1">
        <f t="shared" si="3117"/>
        <v>213</v>
      </c>
    </row>
    <row r="1951" spans="1:22" x14ac:dyDescent="0.3">
      <c r="A1951" s="1">
        <f t="shared" si="3073"/>
        <v>45214</v>
      </c>
      <c r="B1951" s="2" t="s">
        <v>21</v>
      </c>
      <c r="C1951" s="2" t="s">
        <v>22</v>
      </c>
      <c r="D1951" s="2" t="s">
        <v>23</v>
      </c>
      <c r="E1951" s="2"/>
      <c r="F1951" s="2" t="s">
        <v>28</v>
      </c>
      <c r="G1951" s="2" t="s">
        <v>21</v>
      </c>
      <c r="H1951" s="2" t="s">
        <v>22</v>
      </c>
      <c r="J1951" s="24" t="str">
        <f t="shared" ref="J1951" si="3121">CONCATENATE(K1949,2)</f>
        <v>42</v>
      </c>
      <c r="K1951" s="6" t="e">
        <v>#VALUE!</v>
      </c>
      <c r="L1951" s="6" t="e">
        <v>#VALUE!</v>
      </c>
      <c r="M1951" s="6" t="e">
        <v>#VALUE!</v>
      </c>
      <c r="Q1951" s="9"/>
      <c r="R1951" s="9"/>
      <c r="S1951" s="9"/>
      <c r="T1951" s="9"/>
      <c r="U1951" s="1">
        <f t="shared" si="3116"/>
        <v>45</v>
      </c>
      <c r="V1951" s="1">
        <f t="shared" si="3117"/>
        <v>214</v>
      </c>
    </row>
    <row r="1952" spans="1:22" x14ac:dyDescent="0.3">
      <c r="A1952" s="1">
        <f t="shared" si="3073"/>
        <v>45215</v>
      </c>
      <c r="B1952" s="2" t="s">
        <v>24</v>
      </c>
      <c r="C1952" s="2" t="s">
        <v>25</v>
      </c>
      <c r="D1952" s="2" t="s">
        <v>26</v>
      </c>
      <c r="E1952" s="2" t="s">
        <v>27</v>
      </c>
      <c r="F1952" s="2" t="s">
        <v>29</v>
      </c>
      <c r="G1952" s="2" t="s">
        <v>24</v>
      </c>
      <c r="H1952" s="2" t="s">
        <v>25</v>
      </c>
      <c r="J1952" s="24" t="str">
        <f t="shared" ref="J1952" si="3122">CONCATENATE(K1949,3)</f>
        <v>43</v>
      </c>
      <c r="K1952" s="6" t="e">
        <v>#VALUE!</v>
      </c>
      <c r="L1952" s="6" t="e">
        <v>#VALUE!</v>
      </c>
      <c r="M1952" s="6" t="e">
        <v>#VALUE!</v>
      </c>
      <c r="Q1952" s="9"/>
      <c r="R1952" s="9"/>
      <c r="S1952" s="9"/>
      <c r="T1952" s="9"/>
      <c r="U1952" s="1">
        <f t="shared" si="3116"/>
        <v>45</v>
      </c>
      <c r="V1952" s="1">
        <f t="shared" si="3117"/>
        <v>215</v>
      </c>
    </row>
    <row r="1953" spans="1:22" x14ac:dyDescent="0.3">
      <c r="A1953" s="1">
        <f t="shared" si="3073"/>
        <v>45216</v>
      </c>
      <c r="B1953" s="3" t="str">
        <f t="shared" ref="B1953" si="3123">H1946</f>
        <v>%ur</v>
      </c>
      <c r="C1953" s="3" t="str">
        <f t="shared" ref="C1953:D1953" si="3124">B1953</f>
        <v>%ur</v>
      </c>
      <c r="D1953" s="3" t="str">
        <f t="shared" si="3124"/>
        <v>%ur</v>
      </c>
      <c r="E1953" s="3"/>
      <c r="F1953" s="3"/>
      <c r="G1953" s="3" t="str">
        <f t="shared" ref="G1953" si="3125">D1953</f>
        <v>%ur</v>
      </c>
      <c r="H1953" s="3" t="str">
        <f t="shared" ref="H1953" si="3126">G1953</f>
        <v>%ur</v>
      </c>
      <c r="K1953" s="1">
        <v>5</v>
      </c>
      <c r="L1953" s="1">
        <v>5</v>
      </c>
      <c r="M1953" s="1">
        <v>5</v>
      </c>
      <c r="N1953" s="1">
        <v>5</v>
      </c>
      <c r="Q1953" s="9"/>
      <c r="R1953" s="9"/>
      <c r="S1953" s="9"/>
      <c r="T1953" s="9"/>
      <c r="U1953" s="1">
        <f t="shared" si="3116"/>
        <v>45</v>
      </c>
      <c r="V1953" s="1">
        <f t="shared" si="3117"/>
        <v>216</v>
      </c>
    </row>
    <row r="1954" spans="1:22" x14ac:dyDescent="0.3">
      <c r="A1954" s="1">
        <f t="shared" si="3073"/>
        <v>45217</v>
      </c>
      <c r="B1954" s="4">
        <v>30</v>
      </c>
      <c r="C1954" s="4">
        <v>32</v>
      </c>
      <c r="D1954" s="4">
        <v>2</v>
      </c>
      <c r="E1954" s="4">
        <v>2</v>
      </c>
      <c r="F1954" s="14">
        <v>1000000</v>
      </c>
      <c r="G1954" s="8">
        <v>30</v>
      </c>
      <c r="H1954" s="7">
        <v>33</v>
      </c>
      <c r="J1954" s="24" t="str">
        <f t="shared" ref="J1954" si="3127">CONCATENATE(K1953,1)</f>
        <v>51</v>
      </c>
      <c r="K1954" s="6" t="e">
        <f t="array" ref="K1954:N1956">LINEST(B1954:B1958,C1954:C1958^{1,2,3},TRUE,TRUE)</f>
        <v>#VALUE!</v>
      </c>
      <c r="L1954" s="6" t="e">
        <v>#VALUE!</v>
      </c>
      <c r="M1954" s="6" t="e">
        <v>#VALUE!</v>
      </c>
      <c r="N1954" s="6" t="e">
        <v>#VALUE!</v>
      </c>
      <c r="Q1954" s="9"/>
      <c r="R1954" s="9"/>
      <c r="S1954" s="9"/>
      <c r="T1954" s="9"/>
      <c r="U1954" s="1">
        <f t="shared" si="3116"/>
        <v>45</v>
      </c>
      <c r="V1954" s="1">
        <f t="shared" si="3117"/>
        <v>217</v>
      </c>
    </row>
    <row r="1955" spans="1:22" x14ac:dyDescent="0.3">
      <c r="A1955" s="1">
        <f t="shared" si="3073"/>
        <v>45218</v>
      </c>
      <c r="B1955" s="4">
        <v>50</v>
      </c>
      <c r="C1955" s="4">
        <v>46</v>
      </c>
      <c r="D1955" s="4">
        <v>2</v>
      </c>
      <c r="E1955" s="4">
        <v>2</v>
      </c>
      <c r="F1955" s="14">
        <v>1000000</v>
      </c>
      <c r="G1955" s="8">
        <v>50</v>
      </c>
      <c r="H1955" s="7">
        <v>48</v>
      </c>
      <c r="J1955" s="24" t="str">
        <f t="shared" ref="J1955" si="3128">CONCATENATE(K1953,2)</f>
        <v>52</v>
      </c>
      <c r="K1955" s="6" t="e">
        <v>#VALUE!</v>
      </c>
      <c r="L1955" s="6" t="e">
        <v>#VALUE!</v>
      </c>
      <c r="M1955" s="6" t="e">
        <v>#VALUE!</v>
      </c>
      <c r="N1955" s="6" t="e">
        <v>#VALUE!</v>
      </c>
      <c r="T1955" s="9"/>
      <c r="U1955" s="1">
        <f t="shared" si="3116"/>
        <v>45</v>
      </c>
      <c r="V1955" s="1">
        <f t="shared" si="3117"/>
        <v>218</v>
      </c>
    </row>
    <row r="1956" spans="1:22" x14ac:dyDescent="0.3">
      <c r="A1956" s="1">
        <f t="shared" si="3073"/>
        <v>45219</v>
      </c>
      <c r="B1956" s="4">
        <v>80</v>
      </c>
      <c r="C1956" s="4">
        <v>66</v>
      </c>
      <c r="D1956" s="4">
        <v>2</v>
      </c>
      <c r="E1956" s="4">
        <v>2</v>
      </c>
      <c r="F1956" s="14">
        <v>1000000</v>
      </c>
      <c r="G1956" s="8">
        <v>80</v>
      </c>
      <c r="H1956" s="7">
        <v>70</v>
      </c>
      <c r="J1956" s="24" t="str">
        <f t="shared" ref="J1956" si="3129">CONCATENATE(K1953,3)</f>
        <v>53</v>
      </c>
      <c r="K1956" s="6" t="e">
        <v>#VALUE!</v>
      </c>
      <c r="L1956" s="6" t="e">
        <v>#VALUE!</v>
      </c>
      <c r="M1956" s="6" t="e">
        <v>#VALUE!</v>
      </c>
      <c r="N1956" s="6" t="e">
        <v>#VALUE!</v>
      </c>
      <c r="T1956" s="9"/>
      <c r="U1956" s="1">
        <f t="shared" si="3116"/>
        <v>45</v>
      </c>
      <c r="V1956" s="1">
        <f t="shared" si="3117"/>
        <v>219</v>
      </c>
    </row>
    <row r="1957" spans="1:22" x14ac:dyDescent="0.3">
      <c r="A1957" s="1">
        <f t="shared" si="3073"/>
        <v>45220</v>
      </c>
      <c r="B1957" s="4"/>
      <c r="C1957" s="4"/>
      <c r="D1957" s="4"/>
      <c r="E1957" s="4"/>
      <c r="F1957" s="14"/>
      <c r="G1957" s="8"/>
      <c r="H1957" s="7"/>
      <c r="K1957" s="1">
        <v>6</v>
      </c>
      <c r="L1957" s="1">
        <v>6</v>
      </c>
      <c r="M1957" s="1">
        <v>6</v>
      </c>
      <c r="N1957" s="1">
        <v>6</v>
      </c>
      <c r="O1957" s="1">
        <v>6</v>
      </c>
      <c r="T1957" s="9"/>
      <c r="U1957" s="1">
        <f t="shared" si="3116"/>
        <v>45</v>
      </c>
      <c r="V1957" s="1">
        <f t="shared" si="3117"/>
        <v>220</v>
      </c>
    </row>
    <row r="1958" spans="1:22" x14ac:dyDescent="0.3">
      <c r="A1958" s="1">
        <f t="shared" si="3073"/>
        <v>45221</v>
      </c>
      <c r="B1958" s="4"/>
      <c r="C1958" s="4"/>
      <c r="D1958" s="4"/>
      <c r="E1958" s="4"/>
      <c r="F1958" s="14"/>
      <c r="G1958" s="8"/>
      <c r="H1958" s="7"/>
      <c r="J1958" s="24" t="str">
        <f t="shared" ref="J1958" si="3130">CONCATENATE(K1957,1)</f>
        <v>61</v>
      </c>
      <c r="K1958" s="6" t="e">
        <f t="array" ref="K1958:O1960">LINEST(B1954:B1959,C1954:C1959^{1,2,3,4},TRUE,TRUE)</f>
        <v>#VALUE!</v>
      </c>
      <c r="L1958" s="6" t="e">
        <v>#VALUE!</v>
      </c>
      <c r="M1958" s="6" t="e">
        <v>#VALUE!</v>
      </c>
      <c r="N1958" s="6" t="e">
        <v>#VALUE!</v>
      </c>
      <c r="O1958" s="6" t="e">
        <v>#VALUE!</v>
      </c>
      <c r="T1958" s="9"/>
      <c r="U1958" s="1">
        <f t="shared" si="3116"/>
        <v>45</v>
      </c>
      <c r="V1958" s="1">
        <f t="shared" si="3117"/>
        <v>221</v>
      </c>
    </row>
    <row r="1959" spans="1:22" x14ac:dyDescent="0.3">
      <c r="A1959" s="1">
        <f t="shared" si="3073"/>
        <v>45222</v>
      </c>
      <c r="B1959" s="4"/>
      <c r="C1959" s="4"/>
      <c r="D1959" s="4"/>
      <c r="E1959" s="4"/>
      <c r="F1959" s="14"/>
      <c r="G1959" s="8"/>
      <c r="H1959" s="7"/>
      <c r="J1959" s="24" t="str">
        <f t="shared" ref="J1959" si="3131">CONCATENATE(K1957,2)</f>
        <v>62</v>
      </c>
      <c r="K1959" s="6" t="e">
        <v>#VALUE!</v>
      </c>
      <c r="L1959" s="6" t="e">
        <v>#VALUE!</v>
      </c>
      <c r="M1959" s="6" t="e">
        <v>#VALUE!</v>
      </c>
      <c r="N1959" s="6" t="e">
        <v>#VALUE!</v>
      </c>
      <c r="O1959" s="6" t="e">
        <v>#VALUE!</v>
      </c>
      <c r="T1959" s="9"/>
      <c r="U1959" s="1">
        <f t="shared" si="3116"/>
        <v>45</v>
      </c>
      <c r="V1959" s="1">
        <f t="shared" si="3117"/>
        <v>222</v>
      </c>
    </row>
    <row r="1960" spans="1:22" x14ac:dyDescent="0.3">
      <c r="A1960" s="1">
        <f t="shared" si="3073"/>
        <v>45223</v>
      </c>
      <c r="B1960" s="4"/>
      <c r="C1960" s="4"/>
      <c r="D1960" s="4"/>
      <c r="E1960" s="4"/>
      <c r="F1960" s="14"/>
      <c r="G1960" s="8"/>
      <c r="H1960" s="7"/>
      <c r="J1960" s="24" t="str">
        <f t="shared" ref="J1960" si="3132">CONCATENATE(K1957,3)</f>
        <v>63</v>
      </c>
      <c r="K1960" s="6" t="e">
        <v>#VALUE!</v>
      </c>
      <c r="L1960" s="6" t="e">
        <v>#VALUE!</v>
      </c>
      <c r="M1960" s="6" t="e">
        <v>#VALUE!</v>
      </c>
      <c r="N1960" s="6" t="e">
        <v>#VALUE!</v>
      </c>
      <c r="O1960" s="6" t="e">
        <v>#VALUE!</v>
      </c>
      <c r="T1960" s="9"/>
      <c r="U1960" s="1">
        <f t="shared" si="3116"/>
        <v>45</v>
      </c>
      <c r="V1960" s="1">
        <f t="shared" si="3117"/>
        <v>223</v>
      </c>
    </row>
    <row r="1961" spans="1:22" x14ac:dyDescent="0.3">
      <c r="A1961" s="1">
        <f t="shared" si="3073"/>
        <v>45224</v>
      </c>
      <c r="B1961" s="4"/>
      <c r="C1961" s="4"/>
      <c r="D1961" s="4"/>
      <c r="E1961" s="4"/>
      <c r="F1961" s="14"/>
      <c r="G1961" s="8"/>
      <c r="H1961" s="7"/>
      <c r="K1961" s="1">
        <v>7</v>
      </c>
      <c r="L1961" s="1">
        <v>7</v>
      </c>
      <c r="M1961" s="1">
        <v>7</v>
      </c>
      <c r="N1961" s="1">
        <v>7</v>
      </c>
      <c r="O1961" s="1">
        <v>7</v>
      </c>
      <c r="P1961" s="1">
        <v>7</v>
      </c>
      <c r="T1961" s="9"/>
      <c r="U1961" s="1">
        <f t="shared" si="3116"/>
        <v>45</v>
      </c>
      <c r="V1961" s="1">
        <f t="shared" si="3117"/>
        <v>224</v>
      </c>
    </row>
    <row r="1962" spans="1:22" x14ac:dyDescent="0.3">
      <c r="A1962" s="1">
        <f t="shared" si="3073"/>
        <v>45225</v>
      </c>
      <c r="B1962" s="4"/>
      <c r="C1962" s="4"/>
      <c r="D1962" s="4"/>
      <c r="E1962" s="4"/>
      <c r="F1962" s="14"/>
      <c r="G1962" s="8"/>
      <c r="H1962" s="7"/>
      <c r="J1962" s="24" t="str">
        <f t="shared" ref="J1962" si="3133">CONCATENATE(K1961,1)</f>
        <v>71</v>
      </c>
      <c r="K1962" s="6" t="e">
        <f t="array" ref="K1962:P1964">LINEST(B1954:B1960,C1954:C1960^{1,2,3,4,5},TRUE,TRUE)</f>
        <v>#VALUE!</v>
      </c>
      <c r="L1962" s="6" t="e">
        <v>#VALUE!</v>
      </c>
      <c r="M1962" s="6" t="e">
        <v>#VALUE!</v>
      </c>
      <c r="N1962" s="6" t="e">
        <v>#VALUE!</v>
      </c>
      <c r="O1962" s="6" t="e">
        <v>#VALUE!</v>
      </c>
      <c r="P1962" s="6" t="e">
        <v>#VALUE!</v>
      </c>
      <c r="T1962" s="9"/>
      <c r="U1962" s="1">
        <f t="shared" si="3116"/>
        <v>45</v>
      </c>
      <c r="V1962" s="1">
        <f t="shared" si="3117"/>
        <v>225</v>
      </c>
    </row>
    <row r="1963" spans="1:22" x14ac:dyDescent="0.3">
      <c r="A1963" s="1">
        <f t="shared" si="3073"/>
        <v>45226</v>
      </c>
      <c r="B1963" s="4"/>
      <c r="C1963" s="4"/>
      <c r="D1963" s="4"/>
      <c r="E1963" s="4"/>
      <c r="F1963" s="14"/>
      <c r="G1963" s="8"/>
      <c r="H1963" s="7"/>
      <c r="J1963" s="24" t="str">
        <f t="shared" ref="J1963" si="3134">CONCATENATE(K1961,2)</f>
        <v>72</v>
      </c>
      <c r="K1963" s="6" t="e">
        <v>#VALUE!</v>
      </c>
      <c r="L1963" s="6" t="e">
        <v>#VALUE!</v>
      </c>
      <c r="M1963" s="6" t="e">
        <v>#VALUE!</v>
      </c>
      <c r="N1963" s="6" t="e">
        <v>#VALUE!</v>
      </c>
      <c r="O1963" s="6" t="e">
        <v>#VALUE!</v>
      </c>
      <c r="P1963" s="6" t="e">
        <v>#VALUE!</v>
      </c>
      <c r="T1963" s="9"/>
      <c r="U1963" s="1">
        <f t="shared" si="3116"/>
        <v>45</v>
      </c>
      <c r="V1963" s="1">
        <f t="shared" si="3117"/>
        <v>226</v>
      </c>
    </row>
    <row r="1964" spans="1:22" x14ac:dyDescent="0.3">
      <c r="A1964" s="1">
        <f t="shared" si="3073"/>
        <v>45227</v>
      </c>
      <c r="B1964" s="9"/>
      <c r="C1964" s="9"/>
      <c r="D1964" s="9"/>
      <c r="E1964" s="9"/>
      <c r="F1964" s="9"/>
      <c r="G1964" s="9"/>
      <c r="H1964" s="9"/>
      <c r="J1964" s="24" t="str">
        <f t="shared" ref="J1964" si="3135">CONCATENATE(K1961,3)</f>
        <v>73</v>
      </c>
      <c r="K1964" s="6" t="e">
        <v>#VALUE!</v>
      </c>
      <c r="L1964" s="6" t="e">
        <v>#VALUE!</v>
      </c>
      <c r="M1964" s="6" t="e">
        <v>#VALUE!</v>
      </c>
      <c r="N1964" s="6" t="e">
        <v>#VALUE!</v>
      </c>
      <c r="O1964" s="6" t="e">
        <v>#VALUE!</v>
      </c>
      <c r="P1964" s="6" t="e">
        <v>#VALUE!</v>
      </c>
      <c r="T1964" s="9"/>
      <c r="U1964" s="1">
        <f t="shared" si="3116"/>
        <v>45</v>
      </c>
      <c r="V1964" s="1">
        <f t="shared" si="3117"/>
        <v>227</v>
      </c>
    </row>
    <row r="1965" spans="1:22" x14ac:dyDescent="0.3">
      <c r="A1965" s="1">
        <f t="shared" si="3073"/>
        <v>45228</v>
      </c>
      <c r="B1965" s="87" t="s">
        <v>33</v>
      </c>
      <c r="C1965" s="88"/>
      <c r="D1965" s="88"/>
      <c r="E1965" s="88"/>
      <c r="F1965" s="88"/>
      <c r="G1965" s="88"/>
      <c r="H1965" s="89"/>
      <c r="K1965" s="1">
        <v>8</v>
      </c>
      <c r="L1965" s="1">
        <v>8</v>
      </c>
      <c r="M1965" s="1">
        <v>8</v>
      </c>
      <c r="N1965" s="1">
        <v>8</v>
      </c>
      <c r="O1965" s="1">
        <v>8</v>
      </c>
      <c r="P1965" s="1">
        <v>8</v>
      </c>
      <c r="Q1965" s="1">
        <v>8</v>
      </c>
      <c r="T1965" s="9"/>
      <c r="U1965" s="1">
        <f t="shared" si="3116"/>
        <v>45</v>
      </c>
      <c r="V1965" s="1">
        <f t="shared" si="3117"/>
        <v>228</v>
      </c>
    </row>
    <row r="1966" spans="1:22" x14ac:dyDescent="0.3">
      <c r="A1966" s="1">
        <f t="shared" si="3073"/>
        <v>45229</v>
      </c>
      <c r="B1966" s="90"/>
      <c r="C1966" s="91"/>
      <c r="D1966" s="91"/>
      <c r="E1966" s="91"/>
      <c r="F1966" s="91"/>
      <c r="G1966" s="91"/>
      <c r="H1966" s="92"/>
      <c r="J1966" s="24" t="str">
        <f t="shared" ref="J1966" si="3136">CONCATENATE(K1965,1)</f>
        <v>81</v>
      </c>
      <c r="K1966" s="6" t="e">
        <f t="array" ref="K1966:Q1968">LINEST(B1954:B1961,C1954:C1961^{1,2,3,4,5,6},TRUE,TRUE)</f>
        <v>#VALUE!</v>
      </c>
      <c r="L1966" s="6" t="e">
        <v>#VALUE!</v>
      </c>
      <c r="M1966" s="6" t="e">
        <v>#VALUE!</v>
      </c>
      <c r="N1966" s="6" t="e">
        <v>#VALUE!</v>
      </c>
      <c r="O1966" s="6" t="e">
        <v>#VALUE!</v>
      </c>
      <c r="P1966" s="6" t="e">
        <v>#VALUE!</v>
      </c>
      <c r="Q1966" s="6" t="e">
        <v>#VALUE!</v>
      </c>
      <c r="T1966" s="9"/>
      <c r="U1966" s="1">
        <f t="shared" si="3116"/>
        <v>45</v>
      </c>
      <c r="V1966" s="1">
        <f t="shared" si="3117"/>
        <v>229</v>
      </c>
    </row>
    <row r="1967" spans="1:22" x14ac:dyDescent="0.3">
      <c r="A1967" s="1">
        <f t="shared" si="3073"/>
        <v>45230</v>
      </c>
      <c r="B1967" s="93"/>
      <c r="C1967" s="94"/>
      <c r="D1967" s="94"/>
      <c r="E1967" s="94"/>
      <c r="F1967" s="94"/>
      <c r="G1967" s="94"/>
      <c r="H1967" s="95"/>
      <c r="J1967" s="24" t="str">
        <f t="shared" ref="J1967" si="3137">CONCATENATE(K1965,2)</f>
        <v>82</v>
      </c>
      <c r="K1967" s="6" t="e">
        <v>#VALUE!</v>
      </c>
      <c r="L1967" s="6" t="e">
        <v>#VALUE!</v>
      </c>
      <c r="M1967" s="6" t="e">
        <v>#VALUE!</v>
      </c>
      <c r="N1967" s="6" t="e">
        <v>#VALUE!</v>
      </c>
      <c r="O1967" s="6" t="e">
        <v>#VALUE!</v>
      </c>
      <c r="P1967" s="6" t="e">
        <v>#VALUE!</v>
      </c>
      <c r="Q1967" s="6" t="e">
        <v>#VALUE!</v>
      </c>
      <c r="T1967" s="9"/>
      <c r="U1967" s="1">
        <f t="shared" si="3116"/>
        <v>45</v>
      </c>
      <c r="V1967" s="1">
        <f t="shared" si="3117"/>
        <v>230</v>
      </c>
    </row>
    <row r="1968" spans="1:22" x14ac:dyDescent="0.3">
      <c r="A1968" s="1">
        <f t="shared" si="3073"/>
        <v>45231</v>
      </c>
      <c r="J1968" s="24" t="str">
        <f t="shared" ref="J1968" si="3138">CONCATENATE(K1965,3)</f>
        <v>83</v>
      </c>
      <c r="K1968" s="6" t="e">
        <v>#VALUE!</v>
      </c>
      <c r="L1968" s="6" t="e">
        <v>#VALUE!</v>
      </c>
      <c r="M1968" s="6" t="e">
        <v>#VALUE!</v>
      </c>
      <c r="N1968" s="6" t="e">
        <v>#VALUE!</v>
      </c>
      <c r="O1968" s="6" t="e">
        <v>#VALUE!</v>
      </c>
      <c r="P1968" s="6" t="e">
        <v>#VALUE!</v>
      </c>
      <c r="Q1968" s="6" t="e">
        <v>#VALUE!</v>
      </c>
      <c r="T1968" s="9"/>
      <c r="U1968" s="1">
        <f t="shared" si="3116"/>
        <v>45</v>
      </c>
      <c r="V1968" s="1">
        <f t="shared" si="3117"/>
        <v>231</v>
      </c>
    </row>
    <row r="1969" spans="1:22" ht="15" customHeight="1" x14ac:dyDescent="0.3">
      <c r="A1969" s="1">
        <f t="shared" si="3073"/>
        <v>45232</v>
      </c>
      <c r="B1969" s="10" t="s">
        <v>34</v>
      </c>
      <c r="C1969" s="10" t="s">
        <v>35</v>
      </c>
      <c r="D1969" s="10" t="s">
        <v>36</v>
      </c>
      <c r="E1969" s="74" t="s">
        <v>37</v>
      </c>
      <c r="F1969" s="75"/>
      <c r="G1969" s="76"/>
      <c r="K1969" s="1">
        <v>9</v>
      </c>
      <c r="L1969" s="1">
        <v>9</v>
      </c>
      <c r="M1969" s="1">
        <v>9</v>
      </c>
      <c r="N1969" s="1">
        <v>9</v>
      </c>
      <c r="O1969" s="1">
        <v>9</v>
      </c>
      <c r="P1969" s="1">
        <v>9</v>
      </c>
      <c r="Q1969" s="1">
        <v>9</v>
      </c>
      <c r="R1969" s="1">
        <v>9</v>
      </c>
      <c r="T1969" s="9"/>
      <c r="U1969" s="1">
        <f t="shared" si="3116"/>
        <v>45</v>
      </c>
      <c r="V1969" s="1">
        <f t="shared" si="3117"/>
        <v>232</v>
      </c>
    </row>
    <row r="1970" spans="1:22" x14ac:dyDescent="0.3">
      <c r="A1970" s="1">
        <f t="shared" si="3073"/>
        <v>45233</v>
      </c>
      <c r="B1970" s="12">
        <f t="shared" ref="B1970:B1979" si="3139">C1954-B1954</f>
        <v>2</v>
      </c>
      <c r="C1970" s="13">
        <f t="shared" ref="C1970:C1979" si="3140">H1954-G1954</f>
        <v>3</v>
      </c>
      <c r="D1970" s="10">
        <f t="shared" ref="D1970:D1979" si="3141">C1970-B1970</f>
        <v>1</v>
      </c>
      <c r="E1970" s="11">
        <f t="shared" ref="E1970" si="3142">IF(D1945="","",MAX(F1970,G1970))</f>
        <v>4</v>
      </c>
      <c r="F1970" s="10">
        <f t="shared" ref="F1970" si="3143">ABS(MIN(D1970:D1979))</f>
        <v>0</v>
      </c>
      <c r="G1970" s="10">
        <f t="shared" ref="G1970" si="3144">ABS(MAX(D1970:D1979))</f>
        <v>4</v>
      </c>
      <c r="J1970" s="24" t="str">
        <f t="shared" ref="J1970" si="3145">CONCATENATE(K1969,1)</f>
        <v>91</v>
      </c>
      <c r="K1970" s="6" t="e">
        <f t="array" ref="K1970:R1972">LINEST(B1954:B1962,C1954:C1962^{1,2,3,4,5,6,7},TRUE,TRUE)</f>
        <v>#VALUE!</v>
      </c>
      <c r="L1970" s="6" t="e">
        <v>#VALUE!</v>
      </c>
      <c r="M1970" s="6" t="e">
        <v>#VALUE!</v>
      </c>
      <c r="N1970" s="6" t="e">
        <v>#VALUE!</v>
      </c>
      <c r="O1970" s="6" t="e">
        <v>#VALUE!</v>
      </c>
      <c r="P1970" s="6" t="e">
        <v>#VALUE!</v>
      </c>
      <c r="Q1970" s="6" t="e">
        <v>#VALUE!</v>
      </c>
      <c r="R1970" s="6" t="e">
        <v>#VALUE!</v>
      </c>
      <c r="T1970" s="9"/>
      <c r="U1970" s="1">
        <f t="shared" si="3116"/>
        <v>45</v>
      </c>
      <c r="V1970" s="1">
        <f t="shared" si="3117"/>
        <v>233</v>
      </c>
    </row>
    <row r="1971" spans="1:22" x14ac:dyDescent="0.3">
      <c r="A1971" s="1">
        <f t="shared" si="3073"/>
        <v>45234</v>
      </c>
      <c r="B1971" s="12">
        <f t="shared" si="3139"/>
        <v>-4</v>
      </c>
      <c r="C1971" s="13">
        <f t="shared" si="3140"/>
        <v>-2</v>
      </c>
      <c r="D1971" s="10">
        <f t="shared" si="3141"/>
        <v>2</v>
      </c>
      <c r="E1971" s="74" t="s">
        <v>38</v>
      </c>
      <c r="F1971" s="75"/>
      <c r="G1971" s="76"/>
      <c r="J1971" s="24" t="str">
        <f t="shared" ref="J1971" si="3146">CONCATENATE(K1969,2)</f>
        <v>92</v>
      </c>
      <c r="K1971" s="6" t="e">
        <v>#VALUE!</v>
      </c>
      <c r="L1971" s="6" t="e">
        <v>#VALUE!</v>
      </c>
      <c r="M1971" s="6" t="e">
        <v>#VALUE!</v>
      </c>
      <c r="N1971" s="6" t="e">
        <v>#VALUE!</v>
      </c>
      <c r="O1971" s="6" t="e">
        <v>#VALUE!</v>
      </c>
      <c r="P1971" s="6" t="e">
        <v>#VALUE!</v>
      </c>
      <c r="Q1971" s="6" t="e">
        <v>#VALUE!</v>
      </c>
      <c r="R1971" s="6" t="e">
        <v>#VALUE!</v>
      </c>
      <c r="T1971" s="9"/>
      <c r="U1971" s="1">
        <f t="shared" si="3116"/>
        <v>45</v>
      </c>
      <c r="V1971" s="1">
        <f t="shared" si="3117"/>
        <v>234</v>
      </c>
    </row>
    <row r="1972" spans="1:22" x14ac:dyDescent="0.3">
      <c r="A1972" s="1">
        <f t="shared" si="3073"/>
        <v>45235</v>
      </c>
      <c r="B1972" s="12">
        <f t="shared" si="3139"/>
        <v>-14</v>
      </c>
      <c r="C1972" s="13">
        <f t="shared" si="3140"/>
        <v>-10</v>
      </c>
      <c r="D1972" s="10">
        <f t="shared" si="3141"/>
        <v>4</v>
      </c>
      <c r="E1972" s="11">
        <f t="shared" ref="E1972" si="3147">IF(D1945="","",MAX(F1972,G1972))</f>
        <v>14</v>
      </c>
      <c r="F1972" s="10">
        <f t="shared" ref="F1972" si="3148">ABS(MIN(B1970:B1979))</f>
        <v>14</v>
      </c>
      <c r="G1972" s="10">
        <f t="shared" ref="G1972" si="3149">ABS(MAX(B1970:B1979))</f>
        <v>2</v>
      </c>
      <c r="J1972" s="24" t="str">
        <f t="shared" ref="J1972" si="3150">CONCATENATE(K1969,3)</f>
        <v>93</v>
      </c>
      <c r="K1972" s="6" t="e">
        <v>#VALUE!</v>
      </c>
      <c r="L1972" s="6" t="e">
        <v>#VALUE!</v>
      </c>
      <c r="M1972" s="6" t="e">
        <v>#VALUE!</v>
      </c>
      <c r="N1972" s="6" t="e">
        <v>#VALUE!</v>
      </c>
      <c r="O1972" s="6" t="e">
        <v>#VALUE!</v>
      </c>
      <c r="P1972" s="6" t="e">
        <v>#VALUE!</v>
      </c>
      <c r="Q1972" s="6" t="e">
        <v>#VALUE!</v>
      </c>
      <c r="R1972" s="6" t="e">
        <v>#VALUE!</v>
      </c>
      <c r="T1972" s="9"/>
      <c r="U1972" s="1">
        <f t="shared" si="3116"/>
        <v>45</v>
      </c>
      <c r="V1972" s="1">
        <f t="shared" si="3117"/>
        <v>235</v>
      </c>
    </row>
    <row r="1973" spans="1:22" x14ac:dyDescent="0.3">
      <c r="A1973" s="1">
        <f t="shared" si="3073"/>
        <v>45236</v>
      </c>
      <c r="B1973" s="12">
        <f t="shared" si="3139"/>
        <v>0</v>
      </c>
      <c r="C1973" s="13">
        <f t="shared" si="3140"/>
        <v>0</v>
      </c>
      <c r="D1973" s="10">
        <f t="shared" si="3141"/>
        <v>0</v>
      </c>
      <c r="E1973" s="74" t="s">
        <v>39</v>
      </c>
      <c r="F1973" s="75"/>
      <c r="G1973" s="76"/>
      <c r="K1973" s="1">
        <v>10</v>
      </c>
      <c r="L1973" s="1">
        <v>10</v>
      </c>
      <c r="M1973" s="1">
        <v>10</v>
      </c>
      <c r="N1973" s="1">
        <v>10</v>
      </c>
      <c r="O1973" s="1">
        <v>10</v>
      </c>
      <c r="P1973" s="1">
        <v>10</v>
      </c>
      <c r="Q1973" s="1">
        <v>10</v>
      </c>
      <c r="R1973" s="1">
        <v>10</v>
      </c>
      <c r="S1973" s="1">
        <v>10</v>
      </c>
      <c r="T1973" s="9"/>
      <c r="U1973" s="1">
        <f t="shared" si="3116"/>
        <v>45</v>
      </c>
      <c r="V1973" s="1">
        <f t="shared" si="3117"/>
        <v>236</v>
      </c>
    </row>
    <row r="1974" spans="1:22" x14ac:dyDescent="0.3">
      <c r="A1974" s="1">
        <f t="shared" si="3073"/>
        <v>45237</v>
      </c>
      <c r="B1974" s="12">
        <f t="shared" si="3139"/>
        <v>0</v>
      </c>
      <c r="C1974" s="13">
        <f t="shared" si="3140"/>
        <v>0</v>
      </c>
      <c r="D1974" s="10">
        <f t="shared" si="3141"/>
        <v>0</v>
      </c>
      <c r="E1974" s="11">
        <f t="shared" ref="E1974" si="3151">IF(D1945="","",MAX(F1974,G1974))</f>
        <v>2</v>
      </c>
      <c r="F1974" s="10">
        <f t="shared" ref="F1974" si="3152">ABS(MIN(D1954:D1963))</f>
        <v>2</v>
      </c>
      <c r="G1974" s="10">
        <f t="shared" ref="G1974" si="3153">ABS(MAX(D1954:D1963))</f>
        <v>2</v>
      </c>
      <c r="J1974" s="24" t="str">
        <f t="shared" ref="J1974" si="3154">CONCATENATE(K1973,1)</f>
        <v>101</v>
      </c>
      <c r="K1974" s="6" t="e">
        <f t="array" ref="K1974:S1976">LINEST(B1954:B1963,C1954:C1963^{1,2,3,4,5,6,7,8},TRUE,TRUE)</f>
        <v>#VALUE!</v>
      </c>
      <c r="L1974" s="6" t="e">
        <v>#VALUE!</v>
      </c>
      <c r="M1974" s="6" t="e">
        <v>#VALUE!</v>
      </c>
      <c r="N1974" s="6" t="e">
        <v>#VALUE!</v>
      </c>
      <c r="O1974" s="6" t="e">
        <v>#VALUE!</v>
      </c>
      <c r="P1974" s="6" t="e">
        <v>#VALUE!</v>
      </c>
      <c r="Q1974" s="6" t="e">
        <v>#VALUE!</v>
      </c>
      <c r="R1974" s="6" t="e">
        <v>#VALUE!</v>
      </c>
      <c r="S1974" s="6" t="e">
        <v>#VALUE!</v>
      </c>
      <c r="T1974" s="9"/>
      <c r="U1974" s="1">
        <f t="shared" si="3116"/>
        <v>45</v>
      </c>
      <c r="V1974" s="1">
        <f t="shared" si="3117"/>
        <v>237</v>
      </c>
    </row>
    <row r="1975" spans="1:22" x14ac:dyDescent="0.3">
      <c r="A1975" s="1">
        <f t="shared" si="3073"/>
        <v>45238</v>
      </c>
      <c r="B1975" s="12">
        <f t="shared" si="3139"/>
        <v>0</v>
      </c>
      <c r="C1975" s="13">
        <f t="shared" si="3140"/>
        <v>0</v>
      </c>
      <c r="D1975" s="10">
        <f t="shared" si="3141"/>
        <v>0</v>
      </c>
      <c r="J1975" s="24" t="str">
        <f t="shared" ref="J1975" si="3155">CONCATENATE(K1973,2)</f>
        <v>102</v>
      </c>
      <c r="K1975" s="6" t="e">
        <v>#VALUE!</v>
      </c>
      <c r="L1975" s="6" t="e">
        <v>#VALUE!</v>
      </c>
      <c r="M1975" s="6" t="e">
        <v>#VALUE!</v>
      </c>
      <c r="N1975" s="6" t="e">
        <v>#VALUE!</v>
      </c>
      <c r="O1975" s="6" t="e">
        <v>#VALUE!</v>
      </c>
      <c r="P1975" s="6" t="e">
        <v>#VALUE!</v>
      </c>
      <c r="Q1975" s="6" t="e">
        <v>#VALUE!</v>
      </c>
      <c r="R1975" s="6" t="e">
        <v>#VALUE!</v>
      </c>
      <c r="S1975" s="6" t="e">
        <v>#VALUE!</v>
      </c>
      <c r="T1975" s="9"/>
      <c r="U1975" s="1">
        <f t="shared" si="3116"/>
        <v>45</v>
      </c>
      <c r="V1975" s="1">
        <f t="shared" si="3117"/>
        <v>238</v>
      </c>
    </row>
    <row r="1976" spans="1:22" x14ac:dyDescent="0.3">
      <c r="A1976" s="1">
        <f t="shared" si="3073"/>
        <v>45239</v>
      </c>
      <c r="B1976" s="12">
        <f t="shared" si="3139"/>
        <v>0</v>
      </c>
      <c r="C1976" s="13">
        <f t="shared" si="3140"/>
        <v>0</v>
      </c>
      <c r="D1976" s="10">
        <f t="shared" si="3141"/>
        <v>0</v>
      </c>
      <c r="J1976" s="24" t="str">
        <f t="shared" ref="J1976" si="3156">CONCATENATE(K1973,3)</f>
        <v>103</v>
      </c>
      <c r="K1976" s="6" t="e">
        <v>#VALUE!</v>
      </c>
      <c r="L1976" s="6" t="e">
        <v>#VALUE!</v>
      </c>
      <c r="M1976" s="6" t="e">
        <v>#VALUE!</v>
      </c>
      <c r="N1976" s="6" t="e">
        <v>#VALUE!</v>
      </c>
      <c r="O1976" s="6" t="e">
        <v>#VALUE!</v>
      </c>
      <c r="P1976" s="6" t="e">
        <v>#VALUE!</v>
      </c>
      <c r="Q1976" s="6" t="e">
        <v>#VALUE!</v>
      </c>
      <c r="R1976" s="6" t="e">
        <v>#VALUE!</v>
      </c>
      <c r="S1976" s="6" t="e">
        <v>#VALUE!</v>
      </c>
      <c r="T1976" s="9"/>
      <c r="U1976" s="1">
        <f t="shared" si="3116"/>
        <v>45</v>
      </c>
      <c r="V1976" s="1">
        <f t="shared" si="3117"/>
        <v>239</v>
      </c>
    </row>
    <row r="1977" spans="1:22" x14ac:dyDescent="0.3">
      <c r="A1977" s="1">
        <f t="shared" si="3073"/>
        <v>45240</v>
      </c>
      <c r="B1977" s="12">
        <f t="shared" si="3139"/>
        <v>0</v>
      </c>
      <c r="C1977" s="13">
        <f t="shared" si="3140"/>
        <v>0</v>
      </c>
      <c r="D1977" s="10">
        <f t="shared" si="3141"/>
        <v>0</v>
      </c>
      <c r="J1977" s="9"/>
      <c r="K1977" s="9"/>
      <c r="L1977" s="9"/>
      <c r="M1977" s="9"/>
      <c r="N1977" s="9"/>
      <c r="O1977" s="9"/>
      <c r="P1977" s="9"/>
      <c r="Q1977" s="9"/>
      <c r="R1977" s="9"/>
      <c r="S1977" s="9"/>
      <c r="T1977" s="9"/>
      <c r="U1977" s="1">
        <f t="shared" si="3116"/>
        <v>45</v>
      </c>
      <c r="V1977" s="1">
        <f t="shared" si="3117"/>
        <v>240</v>
      </c>
    </row>
    <row r="1978" spans="1:22" x14ac:dyDescent="0.3">
      <c r="A1978" s="1">
        <f t="shared" si="3073"/>
        <v>45241</v>
      </c>
      <c r="B1978" s="12">
        <f t="shared" si="3139"/>
        <v>0</v>
      </c>
      <c r="C1978" s="13">
        <f t="shared" si="3140"/>
        <v>0</v>
      </c>
      <c r="D1978" s="10">
        <f t="shared" si="3141"/>
        <v>0</v>
      </c>
      <c r="J1978" s="9"/>
      <c r="K1978" s="9"/>
      <c r="L1978" s="9"/>
      <c r="M1978" s="9"/>
      <c r="N1978" s="9"/>
      <c r="O1978" s="9"/>
      <c r="P1978" s="9"/>
      <c r="Q1978" s="9"/>
      <c r="R1978" s="9"/>
      <c r="S1978" s="9"/>
      <c r="T1978" s="9"/>
      <c r="U1978" s="1">
        <f t="shared" si="3116"/>
        <v>45</v>
      </c>
      <c r="V1978" s="1">
        <f t="shared" si="3117"/>
        <v>241</v>
      </c>
    </row>
    <row r="1979" spans="1:22" x14ac:dyDescent="0.3">
      <c r="A1979" s="1">
        <f t="shared" si="3073"/>
        <v>45242</v>
      </c>
      <c r="B1979" s="12">
        <f t="shared" si="3139"/>
        <v>0</v>
      </c>
      <c r="C1979" s="13">
        <f t="shared" si="3140"/>
        <v>0</v>
      </c>
      <c r="D1979" s="10">
        <f t="shared" si="3141"/>
        <v>0</v>
      </c>
      <c r="J1979" s="9"/>
      <c r="K1979" s="9"/>
      <c r="L1979" s="9"/>
      <c r="M1979" s="9"/>
      <c r="N1979" s="9"/>
      <c r="O1979" s="9"/>
      <c r="P1979" s="9"/>
      <c r="Q1979" s="9"/>
      <c r="R1979" s="9"/>
      <c r="S1979" s="9"/>
      <c r="T1979" s="9"/>
      <c r="U1979" s="1">
        <f t="shared" si="3116"/>
        <v>45</v>
      </c>
      <c r="V1979" s="1">
        <f t="shared" si="3117"/>
        <v>242</v>
      </c>
    </row>
    <row r="1980" spans="1:22" x14ac:dyDescent="0.3">
      <c r="A1980" s="1">
        <f t="shared" si="3073"/>
        <v>45243</v>
      </c>
      <c r="J1980" s="9"/>
      <c r="K1980" s="9"/>
      <c r="L1980" s="9"/>
      <c r="M1980" s="9"/>
      <c r="N1980" s="9"/>
      <c r="O1980" s="9"/>
      <c r="P1980" s="9"/>
      <c r="Q1980" s="9"/>
      <c r="R1980" s="9"/>
      <c r="S1980" s="9"/>
      <c r="T1980" s="9"/>
      <c r="U1980" s="1">
        <f t="shared" si="3116"/>
        <v>45</v>
      </c>
      <c r="V1980" s="1">
        <f t="shared" si="3117"/>
        <v>243</v>
      </c>
    </row>
    <row r="1981" spans="1:22" s="5" customFormat="1" x14ac:dyDescent="0.3"/>
    <row r="1982" spans="1:22" x14ac:dyDescent="0.3">
      <c r="A1982" s="1">
        <f t="shared" ref="A1982:A2024" si="3157">ROUND(CONCATENATE(U1982,V1982),0)</f>
        <v>46201</v>
      </c>
      <c r="B1982" s="96" t="s">
        <v>0</v>
      </c>
      <c r="C1982" s="97"/>
      <c r="D1982" s="110" t="s">
        <v>46</v>
      </c>
      <c r="E1982" s="111"/>
      <c r="F1982" s="111"/>
      <c r="G1982" s="111"/>
      <c r="H1982" s="112"/>
      <c r="J1982" s="9"/>
      <c r="K1982" s="9"/>
      <c r="L1982" s="9"/>
      <c r="M1982" s="9"/>
      <c r="N1982" s="9"/>
      <c r="O1982" s="9"/>
      <c r="P1982" s="9"/>
      <c r="Q1982" s="9"/>
      <c r="R1982" s="9"/>
      <c r="S1982" s="9"/>
      <c r="T1982" s="9"/>
      <c r="U1982" s="1">
        <f t="shared" ref="U1982" si="3158">U1980+1</f>
        <v>46</v>
      </c>
      <c r="V1982" s="1">
        <v>201</v>
      </c>
    </row>
    <row r="1983" spans="1:22" x14ac:dyDescent="0.3">
      <c r="A1983" s="1">
        <f t="shared" si="3157"/>
        <v>46202</v>
      </c>
      <c r="B1983" s="96" t="s">
        <v>1</v>
      </c>
      <c r="C1983" s="97"/>
      <c r="D1983" s="15">
        <v>20</v>
      </c>
      <c r="E1983" s="16" t="s">
        <v>2</v>
      </c>
      <c r="F1983" s="107"/>
      <c r="G1983" s="108"/>
      <c r="H1983" s="109"/>
      <c r="J1983" s="9"/>
      <c r="K1983" s="9"/>
      <c r="L1983" s="9"/>
      <c r="M1983" s="9"/>
      <c r="N1983" s="9"/>
      <c r="O1983" s="9"/>
      <c r="P1983" s="9"/>
      <c r="Q1983" s="9"/>
      <c r="R1983" s="9"/>
      <c r="S1983" s="9"/>
      <c r="T1983" s="9"/>
      <c r="U1983" s="1">
        <f t="shared" ref="U1983" si="3159">U1982</f>
        <v>46</v>
      </c>
      <c r="V1983" s="1">
        <f t="shared" ref="V1983" si="3160">V1982+1</f>
        <v>202</v>
      </c>
    </row>
    <row r="1984" spans="1:22" x14ac:dyDescent="0.3">
      <c r="A1984" s="1">
        <f t="shared" si="3157"/>
        <v>46203</v>
      </c>
      <c r="B1984" s="96" t="s">
        <v>12</v>
      </c>
      <c r="C1984" s="97"/>
      <c r="D1984" s="110" t="s">
        <v>241</v>
      </c>
      <c r="E1984" s="111"/>
      <c r="F1984" s="111"/>
      <c r="G1984" s="111"/>
      <c r="H1984" s="112"/>
      <c r="K1984" s="1" t="s">
        <v>3</v>
      </c>
      <c r="L1984" s="1" t="s">
        <v>4</v>
      </c>
      <c r="M1984" s="1" t="s">
        <v>5</v>
      </c>
      <c r="N1984" s="1" t="s">
        <v>6</v>
      </c>
      <c r="O1984" s="1" t="s">
        <v>7</v>
      </c>
      <c r="P1984" s="1" t="s">
        <v>8</v>
      </c>
      <c r="Q1984" s="1" t="s">
        <v>9</v>
      </c>
      <c r="R1984" s="1" t="s">
        <v>10</v>
      </c>
      <c r="S1984" s="1" t="s">
        <v>11</v>
      </c>
      <c r="T1984" s="9"/>
      <c r="U1984" s="1">
        <f t="shared" si="3116"/>
        <v>46</v>
      </c>
      <c r="V1984" s="1">
        <f t="shared" si="3117"/>
        <v>203</v>
      </c>
    </row>
    <row r="1985" spans="1:22" x14ac:dyDescent="0.3">
      <c r="A1985" s="1">
        <f t="shared" si="3157"/>
        <v>46204</v>
      </c>
      <c r="B1985" s="96" t="s">
        <v>13</v>
      </c>
      <c r="C1985" s="97"/>
      <c r="D1985" s="110" t="s">
        <v>65</v>
      </c>
      <c r="E1985" s="111"/>
      <c r="F1985" s="111"/>
      <c r="G1985" s="111"/>
      <c r="H1985" s="112"/>
      <c r="J1985" s="1">
        <f t="shared" ref="J1985" si="3161">COUNTA(B1998:B2007)</f>
        <v>3</v>
      </c>
      <c r="K1985" s="1">
        <f t="shared" ref="K1985" si="3162">IF(L1985-1&lt;2,0,L1985-1)</f>
        <v>0</v>
      </c>
      <c r="L1985" s="1">
        <f t="shared" ref="L1985" si="3163">IF(M1985-1&lt;2,0,M1985-1)</f>
        <v>0</v>
      </c>
      <c r="M1985" s="1">
        <f t="shared" ref="M1985" si="3164">IF(N1985-1&lt;2,0,N1985-1)</f>
        <v>0</v>
      </c>
      <c r="N1985" s="1">
        <f t="shared" ref="N1985" si="3165">IF(O1985-1&lt;2,0,O1985-1)</f>
        <v>0</v>
      </c>
      <c r="O1985" s="1">
        <f t="shared" ref="O1985" si="3166">IF(P1985-1&lt;2,0,P1985-1)</f>
        <v>0</v>
      </c>
      <c r="P1985" s="1">
        <f t="shared" ref="P1985" si="3167">IF(Q1985-1&lt;2,0,Q1985-1)</f>
        <v>0</v>
      </c>
      <c r="Q1985" s="1">
        <f t="shared" ref="Q1985" si="3168">IF(R1985-1&lt;2,0,R1985-1)</f>
        <v>0</v>
      </c>
      <c r="R1985" s="1">
        <f t="shared" ref="R1985" si="3169">IF(S1985-1&lt;2,0,S1985-1)</f>
        <v>2</v>
      </c>
      <c r="S1985" s="1">
        <f t="shared" ref="S1985" si="3170">J1985</f>
        <v>3</v>
      </c>
      <c r="T1985" s="9"/>
      <c r="U1985" s="1">
        <f t="shared" si="3116"/>
        <v>46</v>
      </c>
      <c r="V1985" s="1">
        <f t="shared" si="3117"/>
        <v>204</v>
      </c>
    </row>
    <row r="1986" spans="1:22" x14ac:dyDescent="0.3">
      <c r="A1986" s="1">
        <f t="shared" si="3157"/>
        <v>46205</v>
      </c>
      <c r="B1986" s="96" t="s">
        <v>14</v>
      </c>
      <c r="C1986" s="97"/>
      <c r="D1986" s="110" t="s">
        <v>66</v>
      </c>
      <c r="E1986" s="111"/>
      <c r="F1986" s="111"/>
      <c r="G1986" s="111"/>
      <c r="H1986" s="112"/>
      <c r="J1986" s="24" t="str">
        <f t="shared" ref="J1986" si="3171">CONCATENATE(J1985,1)</f>
        <v>31</v>
      </c>
      <c r="K1986" s="25">
        <f t="shared" ref="K1986" si="3172">IF(K1985=0,0,VLOOKUP(J1986,J1990:S2020,K1985,FALSE))</f>
        <v>0</v>
      </c>
      <c r="L1986" s="25">
        <f t="shared" ref="L1986" si="3173">IF(L1985=0,0,VLOOKUP(J1986,J1990:S2020,L1985,FALSE))</f>
        <v>0</v>
      </c>
      <c r="M1986" s="25">
        <f t="shared" ref="M1986" si="3174">IF(M1985=0,0,VLOOKUP(J1986,J1990:S2020,M1985,FALSE))</f>
        <v>0</v>
      </c>
      <c r="N1986" s="25">
        <f t="shared" ref="N1986" si="3175">IF(N1985=0,0,VLOOKUP(J1986,J1990:S2020,N1985,FALSE))</f>
        <v>0</v>
      </c>
      <c r="O1986" s="25">
        <f t="shared" ref="O1986" si="3176">IF(O1985=0,0,VLOOKUP(J1986,J1990:S2020,O1985,FALSE))</f>
        <v>0</v>
      </c>
      <c r="P1986" s="25">
        <f t="shared" ref="P1986" si="3177">IF(P1985=0,0,VLOOKUP(J1986,J1990:S2020,P1985,FALSE))</f>
        <v>0</v>
      </c>
      <c r="Q1986" s="25">
        <f t="shared" ref="Q1986" si="3178">IF(Q1985=0,0,VLOOKUP(J1986,J1990:S2020,Q1985,FALSE))</f>
        <v>0</v>
      </c>
      <c r="R1986" s="25">
        <f t="shared" ref="R1986" si="3179">IF(R1985=0,0,VLOOKUP(J1986,J1990:S2020,R1985,FALSE))</f>
        <v>1.1869436201780414</v>
      </c>
      <c r="S1986" s="25">
        <f t="shared" ref="S1986" si="3180">IF(S1985=0,0,VLOOKUP(J1986,J1990:S2020,S1985,FALSE))</f>
        <v>-9.9703264094955415</v>
      </c>
      <c r="T1986" s="9"/>
      <c r="U1986" s="1">
        <f t="shared" si="3116"/>
        <v>46</v>
      </c>
      <c r="V1986" s="1">
        <f t="shared" si="3117"/>
        <v>205</v>
      </c>
    </row>
    <row r="1987" spans="1:22" x14ac:dyDescent="0.3">
      <c r="A1987" s="1">
        <f t="shared" si="3157"/>
        <v>46206</v>
      </c>
      <c r="B1987" s="96" t="s">
        <v>15</v>
      </c>
      <c r="C1987" s="97"/>
      <c r="D1987" s="110" t="s">
        <v>343</v>
      </c>
      <c r="E1987" s="111"/>
      <c r="F1987" s="111"/>
      <c r="G1987" s="111"/>
      <c r="H1987" s="112"/>
      <c r="J1987" s="24" t="str">
        <f t="shared" ref="J1987" si="3181">CONCATENATE(J1985,2)</f>
        <v>32</v>
      </c>
      <c r="K1987" s="6">
        <f t="shared" ref="K1987" si="3182">IF(K1985=0,0,VLOOKUP(J1987,J1990:S2020,K1985,FALSE))</f>
        <v>0</v>
      </c>
      <c r="L1987" s="6">
        <f t="shared" ref="L1987" si="3183">IF(L1985=0,0,VLOOKUP(J1987,J1990:S2020,L1985,FALSE))</f>
        <v>0</v>
      </c>
      <c r="M1987" s="6">
        <f t="shared" ref="M1987" si="3184">IF(M1985=0,0,VLOOKUP(J1987,J1990:S2020,M1985,FALSE))</f>
        <v>0</v>
      </c>
      <c r="N1987" s="6">
        <f t="shared" ref="N1987" si="3185">IF(N1985=0,0,VLOOKUP(J1987,J1990:S2020,N1985,FALSE))</f>
        <v>0</v>
      </c>
      <c r="O1987" s="6">
        <f t="shared" ref="O1987" si="3186">IF(O1985=0,0,VLOOKUP(J1987,J1990:S2020,O1985,FALSE))</f>
        <v>0</v>
      </c>
      <c r="P1987" s="6">
        <f t="shared" ref="P1987" si="3187">IF(P1985=0,0,VLOOKUP(J1987,J1990:S2020,P1985,FALSE))</f>
        <v>0</v>
      </c>
      <c r="Q1987" s="6">
        <f t="shared" ref="Q1987" si="3188">IF(Q1985=0,0,VLOOKUP(J1987,J1990:S2020,Q1985,FALSE))</f>
        <v>0</v>
      </c>
      <c r="R1987" s="6">
        <f t="shared" ref="R1987" si="3189">IF(R1985=0,0,VLOOKUP(J1987,J1990:S2020,R1985,FALSE))</f>
        <v>2.5698083198351391E-2</v>
      </c>
      <c r="S1987" s="6">
        <f t="shared" ref="S1987" si="3190">IF(S1985=0,0,VLOOKUP(J1987,J1990:S2020,S1985,FALSE))</f>
        <v>1.4409270673209531</v>
      </c>
      <c r="T1987" s="9"/>
      <c r="U1987" s="1">
        <f t="shared" si="3116"/>
        <v>46</v>
      </c>
      <c r="V1987" s="1">
        <f t="shared" si="3117"/>
        <v>206</v>
      </c>
    </row>
    <row r="1988" spans="1:22" x14ac:dyDescent="0.3">
      <c r="A1988" s="1">
        <f t="shared" si="3157"/>
        <v>46207</v>
      </c>
      <c r="B1988" s="96" t="s">
        <v>16</v>
      </c>
      <c r="C1988" s="97"/>
      <c r="D1988" s="113">
        <v>45807</v>
      </c>
      <c r="E1988" s="114"/>
      <c r="F1988" s="114"/>
      <c r="G1988" s="114"/>
      <c r="H1988" s="115"/>
      <c r="J1988" s="24" t="str">
        <f t="shared" ref="J1988" si="3191">CONCATENATE(J1985,3)</f>
        <v>33</v>
      </c>
      <c r="K1988" s="6"/>
      <c r="L1988" s="6"/>
      <c r="M1988" s="6"/>
      <c r="N1988" s="6" t="s">
        <v>43</v>
      </c>
      <c r="O1988" s="25">
        <f t="shared" ref="O1988" si="3192">J1985-2</f>
        <v>1</v>
      </c>
      <c r="P1988" s="6" t="s">
        <v>44</v>
      </c>
      <c r="Q1988" s="25">
        <f t="shared" ref="Q1988" si="3193">VLOOKUP(J1988,J1990:S2020,3,FALSE)</f>
        <v>0.77037121577134826</v>
      </c>
      <c r="R1988" s="6" t="s">
        <v>45</v>
      </c>
      <c r="S1988" s="6">
        <f t="shared" ref="S1988" si="3194">VLOOKUP(J1988,J1990:S2020,2,FALSE)</f>
        <v>0.99953146962361383</v>
      </c>
      <c r="T1988" s="9"/>
      <c r="U1988" s="1">
        <f t="shared" si="3116"/>
        <v>46</v>
      </c>
      <c r="V1988" s="1">
        <f t="shared" si="3117"/>
        <v>207</v>
      </c>
    </row>
    <row r="1989" spans="1:22" x14ac:dyDescent="0.3">
      <c r="A1989" s="1">
        <f t="shared" si="3157"/>
        <v>46208</v>
      </c>
      <c r="B1989" s="96" t="s">
        <v>17</v>
      </c>
      <c r="C1989" s="97"/>
      <c r="D1989" s="116">
        <v>46172</v>
      </c>
      <c r="E1989" s="117"/>
      <c r="F1989" s="117"/>
      <c r="G1989" s="117"/>
      <c r="H1989" s="118"/>
      <c r="K1989" s="1">
        <v>3</v>
      </c>
      <c r="L1989" s="1">
        <v>3</v>
      </c>
      <c r="Q1989" s="26"/>
      <c r="R1989" s="26"/>
      <c r="S1989" s="26"/>
      <c r="T1989" s="9"/>
      <c r="U1989" s="1">
        <f t="shared" si="3116"/>
        <v>46</v>
      </c>
      <c r="V1989" s="1">
        <f t="shared" si="3117"/>
        <v>208</v>
      </c>
    </row>
    <row r="1990" spans="1:22" x14ac:dyDescent="0.3">
      <c r="A1990" s="1">
        <f t="shared" si="3157"/>
        <v>46209</v>
      </c>
      <c r="B1990" s="77" t="s">
        <v>19</v>
      </c>
      <c r="C1990" s="78"/>
      <c r="D1990" s="17">
        <v>1</v>
      </c>
      <c r="E1990" s="79" t="s">
        <v>40</v>
      </c>
      <c r="F1990" s="80"/>
      <c r="G1990" s="81"/>
      <c r="H1990" s="18" t="s">
        <v>72</v>
      </c>
      <c r="J1990" s="24" t="str">
        <f t="shared" ref="J1990" si="3195">CONCATENATE(K1989,1)</f>
        <v>31</v>
      </c>
      <c r="K1990" s="6">
        <f t="array" ref="K1990:L1992">LINEST(B1998:B2000,C1998:C2000^{1},TRUE,TRUE)</f>
        <v>1.1869436201780414</v>
      </c>
      <c r="L1990" s="6">
        <v>-9.9703264094955415</v>
      </c>
      <c r="Q1990" s="9"/>
      <c r="R1990" s="9"/>
      <c r="S1990" s="9"/>
      <c r="T1990" s="9"/>
      <c r="U1990" s="1">
        <f t="shared" si="3116"/>
        <v>46</v>
      </c>
      <c r="V1990" s="1">
        <f t="shared" si="3117"/>
        <v>209</v>
      </c>
    </row>
    <row r="1991" spans="1:22" x14ac:dyDescent="0.3">
      <c r="A1991" s="1">
        <f t="shared" si="3157"/>
        <v>46210</v>
      </c>
      <c r="B1991" s="77" t="s">
        <v>41</v>
      </c>
      <c r="C1991" s="78"/>
      <c r="D1991" s="23">
        <f t="shared" ref="D1991" si="3196">MIN(B1998:B2007)</f>
        <v>30</v>
      </c>
      <c r="E1991" s="20" t="s">
        <v>18</v>
      </c>
      <c r="F1991" s="19">
        <f t="shared" ref="F1991" si="3197">MAX(B1998:B2007)</f>
        <v>80</v>
      </c>
      <c r="G1991" s="21" t="str">
        <f t="shared" ref="G1991" si="3198">IF(H1990="","",H1990)</f>
        <v>%ur</v>
      </c>
      <c r="H1991" s="22"/>
      <c r="J1991" s="24" t="str">
        <f t="shared" ref="J1991" si="3199">CONCATENATE(K1989,2)</f>
        <v>32</v>
      </c>
      <c r="K1991" s="6">
        <v>2.5698083198351391E-2</v>
      </c>
      <c r="L1991" s="6">
        <v>1.4409270673209531</v>
      </c>
      <c r="Q1991" s="9"/>
      <c r="R1991" s="9"/>
      <c r="S1991" s="9"/>
      <c r="T1991" s="9"/>
      <c r="U1991" s="1">
        <f t="shared" si="3116"/>
        <v>46</v>
      </c>
      <c r="V1991" s="1">
        <f t="shared" si="3117"/>
        <v>210</v>
      </c>
    </row>
    <row r="1992" spans="1:22" x14ac:dyDescent="0.3">
      <c r="A1992" s="1">
        <f t="shared" si="3157"/>
        <v>46211</v>
      </c>
      <c r="J1992" s="24" t="str">
        <f t="shared" ref="J1992" si="3200">CONCATENATE(K1989,3)</f>
        <v>33</v>
      </c>
      <c r="K1992" s="6">
        <v>0.99953146962361383</v>
      </c>
      <c r="L1992" s="6">
        <v>0.77037121577134826</v>
      </c>
      <c r="Q1992" s="9"/>
      <c r="R1992" s="9"/>
      <c r="S1992" s="9"/>
      <c r="T1992" s="9"/>
      <c r="U1992" s="1">
        <f t="shared" si="3116"/>
        <v>46</v>
      </c>
      <c r="V1992" s="1">
        <f t="shared" si="3117"/>
        <v>211</v>
      </c>
    </row>
    <row r="1993" spans="1:22" x14ac:dyDescent="0.3">
      <c r="A1993" s="1">
        <f t="shared" si="3157"/>
        <v>46212</v>
      </c>
      <c r="B1993" s="82" t="s">
        <v>20</v>
      </c>
      <c r="C1993" s="83"/>
      <c r="D1993" s="83"/>
      <c r="E1993" s="83"/>
      <c r="F1993" s="84"/>
      <c r="G1993" s="85" t="s">
        <v>31</v>
      </c>
      <c r="H1993" s="86"/>
      <c r="K1993" s="1">
        <v>4</v>
      </c>
      <c r="L1993" s="1">
        <v>4</v>
      </c>
      <c r="M1993" s="1">
        <v>4</v>
      </c>
      <c r="Q1993" s="9"/>
      <c r="R1993" s="9"/>
      <c r="S1993" s="9"/>
      <c r="T1993" s="9"/>
      <c r="U1993" s="1">
        <f t="shared" si="3116"/>
        <v>46</v>
      </c>
      <c r="V1993" s="1">
        <f t="shared" si="3117"/>
        <v>212</v>
      </c>
    </row>
    <row r="1994" spans="1:22" x14ac:dyDescent="0.3">
      <c r="A1994" s="1">
        <f t="shared" si="3157"/>
        <v>46213</v>
      </c>
      <c r="B1994" s="82" t="s">
        <v>30</v>
      </c>
      <c r="C1994" s="83"/>
      <c r="D1994" s="84"/>
      <c r="E1994" s="82" t="str">
        <f t="shared" ref="E1994" si="3201">D1987</f>
        <v>E0832/25</v>
      </c>
      <c r="F1994" s="84"/>
      <c r="G1994" s="6" t="s">
        <v>32</v>
      </c>
      <c r="H1994" s="36" t="s">
        <v>242</v>
      </c>
      <c r="J1994" s="24" t="str">
        <f t="shared" ref="J1994" si="3202">CONCATENATE(K1993,1)</f>
        <v>41</v>
      </c>
      <c r="K1994" s="6" t="e">
        <f t="array" ref="K1994:M1996">LINEST(B1998:B2001,C1998:C2001^{1,2},TRUE,TRUE)</f>
        <v>#VALUE!</v>
      </c>
      <c r="L1994" s="6" t="e">
        <v>#VALUE!</v>
      </c>
      <c r="M1994" s="6" t="e">
        <v>#VALUE!</v>
      </c>
      <c r="Q1994" s="9"/>
      <c r="R1994" s="9"/>
      <c r="S1994" s="9"/>
      <c r="T1994" s="9"/>
      <c r="U1994" s="1">
        <f t="shared" si="3116"/>
        <v>46</v>
      </c>
      <c r="V1994" s="1">
        <f t="shared" si="3117"/>
        <v>213</v>
      </c>
    </row>
    <row r="1995" spans="1:22" x14ac:dyDescent="0.3">
      <c r="A1995" s="1">
        <f t="shared" si="3157"/>
        <v>46214</v>
      </c>
      <c r="B1995" s="2" t="s">
        <v>21</v>
      </c>
      <c r="C1995" s="2" t="s">
        <v>22</v>
      </c>
      <c r="D1995" s="2" t="s">
        <v>23</v>
      </c>
      <c r="E1995" s="2"/>
      <c r="F1995" s="2" t="s">
        <v>28</v>
      </c>
      <c r="G1995" s="2" t="s">
        <v>21</v>
      </c>
      <c r="H1995" s="2" t="s">
        <v>22</v>
      </c>
      <c r="J1995" s="24" t="str">
        <f t="shared" ref="J1995" si="3203">CONCATENATE(K1993,2)</f>
        <v>42</v>
      </c>
      <c r="K1995" s="6" t="e">
        <v>#VALUE!</v>
      </c>
      <c r="L1995" s="6" t="e">
        <v>#VALUE!</v>
      </c>
      <c r="M1995" s="6" t="e">
        <v>#VALUE!</v>
      </c>
      <c r="Q1995" s="9"/>
      <c r="R1995" s="9"/>
      <c r="S1995" s="9"/>
      <c r="T1995" s="9"/>
      <c r="U1995" s="1">
        <f t="shared" si="3116"/>
        <v>46</v>
      </c>
      <c r="V1995" s="1">
        <f t="shared" si="3117"/>
        <v>214</v>
      </c>
    </row>
    <row r="1996" spans="1:22" x14ac:dyDescent="0.3">
      <c r="A1996" s="1">
        <f t="shared" si="3157"/>
        <v>46215</v>
      </c>
      <c r="B1996" s="2" t="s">
        <v>24</v>
      </c>
      <c r="C1996" s="2" t="s">
        <v>25</v>
      </c>
      <c r="D1996" s="2" t="s">
        <v>26</v>
      </c>
      <c r="E1996" s="2" t="s">
        <v>27</v>
      </c>
      <c r="F1996" s="2" t="s">
        <v>29</v>
      </c>
      <c r="G1996" s="2" t="s">
        <v>24</v>
      </c>
      <c r="H1996" s="2" t="s">
        <v>25</v>
      </c>
      <c r="J1996" s="24" t="str">
        <f t="shared" ref="J1996" si="3204">CONCATENATE(K1993,3)</f>
        <v>43</v>
      </c>
      <c r="K1996" s="6" t="e">
        <v>#VALUE!</v>
      </c>
      <c r="L1996" s="6" t="e">
        <v>#VALUE!</v>
      </c>
      <c r="M1996" s="6" t="e">
        <v>#VALUE!</v>
      </c>
      <c r="Q1996" s="9"/>
      <c r="R1996" s="9"/>
      <c r="S1996" s="9"/>
      <c r="T1996" s="9"/>
      <c r="U1996" s="1">
        <f t="shared" si="3116"/>
        <v>46</v>
      </c>
      <c r="V1996" s="1">
        <f t="shared" si="3117"/>
        <v>215</v>
      </c>
    </row>
    <row r="1997" spans="1:22" x14ac:dyDescent="0.3">
      <c r="A1997" s="1">
        <f t="shared" si="3157"/>
        <v>46216</v>
      </c>
      <c r="B1997" s="3" t="str">
        <f t="shared" ref="B1997" si="3205">H1990</f>
        <v>%ur</v>
      </c>
      <c r="C1997" s="3" t="str">
        <f t="shared" ref="C1997:D1997" si="3206">B1997</f>
        <v>%ur</v>
      </c>
      <c r="D1997" s="3" t="str">
        <f t="shared" si="3206"/>
        <v>%ur</v>
      </c>
      <c r="E1997" s="3"/>
      <c r="F1997" s="3"/>
      <c r="G1997" s="3" t="str">
        <f t="shared" ref="G1997" si="3207">D1997</f>
        <v>%ur</v>
      </c>
      <c r="H1997" s="3" t="str">
        <f t="shared" ref="H1997" si="3208">G1997</f>
        <v>%ur</v>
      </c>
      <c r="K1997" s="1">
        <v>5</v>
      </c>
      <c r="L1997" s="1">
        <v>5</v>
      </c>
      <c r="M1997" s="1">
        <v>5</v>
      </c>
      <c r="N1997" s="1">
        <v>5</v>
      </c>
      <c r="Q1997" s="9"/>
      <c r="R1997" s="9"/>
      <c r="S1997" s="9"/>
      <c r="T1997" s="9"/>
      <c r="U1997" s="1">
        <f t="shared" si="3116"/>
        <v>46</v>
      </c>
      <c r="V1997" s="1">
        <f t="shared" si="3117"/>
        <v>216</v>
      </c>
    </row>
    <row r="1998" spans="1:22" x14ac:dyDescent="0.3">
      <c r="A1998" s="1">
        <f t="shared" si="3157"/>
        <v>46217</v>
      </c>
      <c r="B1998" s="14">
        <v>30</v>
      </c>
      <c r="C1998" s="14">
        <v>34</v>
      </c>
      <c r="D1998" s="14">
        <v>2</v>
      </c>
      <c r="E1998" s="4">
        <v>2</v>
      </c>
      <c r="F1998" s="14">
        <v>1000000</v>
      </c>
      <c r="G1998" s="35">
        <v>30</v>
      </c>
      <c r="H1998" s="35">
        <v>33</v>
      </c>
      <c r="J1998" s="24" t="str">
        <f t="shared" ref="J1998" si="3209">CONCATENATE(K1997,1)</f>
        <v>51</v>
      </c>
      <c r="K1998" s="6" t="e">
        <f t="array" ref="K1998:N2000">LINEST(B1998:B2002,C1998:C2002^{1,2,3},TRUE,TRUE)</f>
        <v>#VALUE!</v>
      </c>
      <c r="L1998" s="6" t="e">
        <v>#VALUE!</v>
      </c>
      <c r="M1998" s="6" t="e">
        <v>#VALUE!</v>
      </c>
      <c r="N1998" s="6" t="e">
        <v>#VALUE!</v>
      </c>
      <c r="Q1998" s="9"/>
      <c r="R1998" s="9"/>
      <c r="S1998" s="9"/>
      <c r="T1998" s="9"/>
      <c r="U1998" s="1">
        <f t="shared" si="3116"/>
        <v>46</v>
      </c>
      <c r="V1998" s="1">
        <f t="shared" si="3117"/>
        <v>217</v>
      </c>
    </row>
    <row r="1999" spans="1:22" x14ac:dyDescent="0.3">
      <c r="A1999" s="1">
        <f t="shared" si="3157"/>
        <v>46218</v>
      </c>
      <c r="B1999" s="14">
        <v>50</v>
      </c>
      <c r="C1999" s="14">
        <v>50</v>
      </c>
      <c r="D1999" s="14">
        <v>2</v>
      </c>
      <c r="E1999" s="4">
        <v>2</v>
      </c>
      <c r="F1999" s="14">
        <v>1000000</v>
      </c>
      <c r="G1999" s="35">
        <v>50</v>
      </c>
      <c r="H1999" s="35">
        <v>51</v>
      </c>
      <c r="J1999" s="24" t="str">
        <f t="shared" ref="J1999" si="3210">CONCATENATE(K1997,2)</f>
        <v>52</v>
      </c>
      <c r="K1999" s="6" t="e">
        <v>#VALUE!</v>
      </c>
      <c r="L1999" s="6" t="e">
        <v>#VALUE!</v>
      </c>
      <c r="M1999" s="6" t="e">
        <v>#VALUE!</v>
      </c>
      <c r="N1999" s="6" t="e">
        <v>#VALUE!</v>
      </c>
      <c r="T1999" s="9"/>
      <c r="U1999" s="1">
        <f t="shared" si="3116"/>
        <v>46</v>
      </c>
      <c r="V1999" s="1">
        <f t="shared" si="3117"/>
        <v>218</v>
      </c>
    </row>
    <row r="2000" spans="1:22" x14ac:dyDescent="0.3">
      <c r="A2000" s="1">
        <f t="shared" si="3157"/>
        <v>46219</v>
      </c>
      <c r="B2000" s="14">
        <v>80</v>
      </c>
      <c r="C2000" s="14">
        <v>76</v>
      </c>
      <c r="D2000" s="14">
        <v>2</v>
      </c>
      <c r="E2000" s="4">
        <v>2</v>
      </c>
      <c r="F2000" s="14">
        <v>1000000</v>
      </c>
      <c r="G2000" s="35">
        <v>80</v>
      </c>
      <c r="H2000" s="35">
        <v>78</v>
      </c>
      <c r="J2000" s="24" t="str">
        <f t="shared" ref="J2000" si="3211">CONCATENATE(K1997,3)</f>
        <v>53</v>
      </c>
      <c r="K2000" s="6" t="e">
        <v>#VALUE!</v>
      </c>
      <c r="L2000" s="6" t="e">
        <v>#VALUE!</v>
      </c>
      <c r="M2000" s="6" t="e">
        <v>#VALUE!</v>
      </c>
      <c r="N2000" s="6" t="e">
        <v>#VALUE!</v>
      </c>
      <c r="T2000" s="9"/>
      <c r="U2000" s="1">
        <f t="shared" si="3116"/>
        <v>46</v>
      </c>
      <c r="V2000" s="1">
        <f t="shared" si="3117"/>
        <v>219</v>
      </c>
    </row>
    <row r="2001" spans="1:22" x14ac:dyDescent="0.3">
      <c r="A2001" s="1">
        <f t="shared" si="3157"/>
        <v>46220</v>
      </c>
      <c r="B2001" s="4"/>
      <c r="C2001" s="4"/>
      <c r="D2001" s="4"/>
      <c r="E2001" s="4"/>
      <c r="F2001" s="14"/>
      <c r="G2001" s="8"/>
      <c r="H2001" s="7"/>
      <c r="K2001" s="1">
        <v>6</v>
      </c>
      <c r="L2001" s="1">
        <v>6</v>
      </c>
      <c r="M2001" s="1">
        <v>6</v>
      </c>
      <c r="N2001" s="1">
        <v>6</v>
      </c>
      <c r="O2001" s="1">
        <v>6</v>
      </c>
      <c r="T2001" s="9"/>
      <c r="U2001" s="1">
        <f t="shared" si="3116"/>
        <v>46</v>
      </c>
      <c r="V2001" s="1">
        <f t="shared" si="3117"/>
        <v>220</v>
      </c>
    </row>
    <row r="2002" spans="1:22" x14ac:dyDescent="0.3">
      <c r="A2002" s="1">
        <f t="shared" si="3157"/>
        <v>46221</v>
      </c>
      <c r="B2002" s="4"/>
      <c r="C2002" s="4"/>
      <c r="D2002" s="4"/>
      <c r="E2002" s="4"/>
      <c r="F2002" s="14"/>
      <c r="G2002" s="8"/>
      <c r="H2002" s="7"/>
      <c r="J2002" s="24" t="str">
        <f t="shared" ref="J2002" si="3212">CONCATENATE(K2001,1)</f>
        <v>61</v>
      </c>
      <c r="K2002" s="6" t="e">
        <f t="array" ref="K2002:O2004">LINEST(B1998:B2003,C1998:C2003^{1,2,3,4},TRUE,TRUE)</f>
        <v>#VALUE!</v>
      </c>
      <c r="L2002" s="6" t="e">
        <v>#VALUE!</v>
      </c>
      <c r="M2002" s="6" t="e">
        <v>#VALUE!</v>
      </c>
      <c r="N2002" s="6" t="e">
        <v>#VALUE!</v>
      </c>
      <c r="O2002" s="6" t="e">
        <v>#VALUE!</v>
      </c>
      <c r="T2002" s="9"/>
      <c r="U2002" s="1">
        <f t="shared" si="3116"/>
        <v>46</v>
      </c>
      <c r="V2002" s="1">
        <f t="shared" si="3117"/>
        <v>221</v>
      </c>
    </row>
    <row r="2003" spans="1:22" x14ac:dyDescent="0.3">
      <c r="A2003" s="1">
        <f t="shared" si="3157"/>
        <v>46222</v>
      </c>
      <c r="B2003" s="4"/>
      <c r="C2003" s="4"/>
      <c r="D2003" s="4"/>
      <c r="E2003" s="4"/>
      <c r="F2003" s="14"/>
      <c r="G2003" s="8"/>
      <c r="H2003" s="7"/>
      <c r="J2003" s="24" t="str">
        <f t="shared" ref="J2003" si="3213">CONCATENATE(K2001,2)</f>
        <v>62</v>
      </c>
      <c r="K2003" s="6" t="e">
        <v>#VALUE!</v>
      </c>
      <c r="L2003" s="6" t="e">
        <v>#VALUE!</v>
      </c>
      <c r="M2003" s="6" t="e">
        <v>#VALUE!</v>
      </c>
      <c r="N2003" s="6" t="e">
        <v>#VALUE!</v>
      </c>
      <c r="O2003" s="6" t="e">
        <v>#VALUE!</v>
      </c>
      <c r="T2003" s="9"/>
      <c r="U2003" s="1">
        <f t="shared" si="3116"/>
        <v>46</v>
      </c>
      <c r="V2003" s="1">
        <f t="shared" si="3117"/>
        <v>222</v>
      </c>
    </row>
    <row r="2004" spans="1:22" x14ac:dyDescent="0.3">
      <c r="A2004" s="1">
        <f t="shared" si="3157"/>
        <v>46223</v>
      </c>
      <c r="B2004" s="4"/>
      <c r="C2004" s="4"/>
      <c r="D2004" s="4"/>
      <c r="E2004" s="4"/>
      <c r="F2004" s="14"/>
      <c r="G2004" s="8"/>
      <c r="H2004" s="7"/>
      <c r="J2004" s="24" t="str">
        <f t="shared" ref="J2004" si="3214">CONCATENATE(K2001,3)</f>
        <v>63</v>
      </c>
      <c r="K2004" s="6" t="e">
        <v>#VALUE!</v>
      </c>
      <c r="L2004" s="6" t="e">
        <v>#VALUE!</v>
      </c>
      <c r="M2004" s="6" t="e">
        <v>#VALUE!</v>
      </c>
      <c r="N2004" s="6" t="e">
        <v>#VALUE!</v>
      </c>
      <c r="O2004" s="6" t="e">
        <v>#VALUE!</v>
      </c>
      <c r="T2004" s="9"/>
      <c r="U2004" s="1">
        <f t="shared" si="3116"/>
        <v>46</v>
      </c>
      <c r="V2004" s="1">
        <f t="shared" si="3117"/>
        <v>223</v>
      </c>
    </row>
    <row r="2005" spans="1:22" x14ac:dyDescent="0.3">
      <c r="A2005" s="1">
        <f t="shared" si="3157"/>
        <v>46224</v>
      </c>
      <c r="B2005" s="4"/>
      <c r="C2005" s="4"/>
      <c r="D2005" s="4"/>
      <c r="E2005" s="4"/>
      <c r="F2005" s="14"/>
      <c r="G2005" s="8"/>
      <c r="H2005" s="7"/>
      <c r="K2005" s="1">
        <v>7</v>
      </c>
      <c r="L2005" s="1">
        <v>7</v>
      </c>
      <c r="M2005" s="1">
        <v>7</v>
      </c>
      <c r="N2005" s="1">
        <v>7</v>
      </c>
      <c r="O2005" s="1">
        <v>7</v>
      </c>
      <c r="P2005" s="1">
        <v>7</v>
      </c>
      <c r="T2005" s="9"/>
      <c r="U2005" s="1">
        <f t="shared" si="3116"/>
        <v>46</v>
      </c>
      <c r="V2005" s="1">
        <f t="shared" si="3117"/>
        <v>224</v>
      </c>
    </row>
    <row r="2006" spans="1:22" x14ac:dyDescent="0.3">
      <c r="A2006" s="1">
        <f t="shared" si="3157"/>
        <v>46225</v>
      </c>
      <c r="B2006" s="4"/>
      <c r="C2006" s="4"/>
      <c r="D2006" s="4"/>
      <c r="E2006" s="4"/>
      <c r="F2006" s="14"/>
      <c r="G2006" s="8"/>
      <c r="H2006" s="7"/>
      <c r="J2006" s="24" t="str">
        <f t="shared" ref="J2006" si="3215">CONCATENATE(K2005,1)</f>
        <v>71</v>
      </c>
      <c r="K2006" s="6" t="e">
        <f t="array" ref="K2006:P2008">LINEST(B1998:B2004,C1998:C2004^{1,2,3,4,5},TRUE,TRUE)</f>
        <v>#VALUE!</v>
      </c>
      <c r="L2006" s="6" t="e">
        <v>#VALUE!</v>
      </c>
      <c r="M2006" s="6" t="e">
        <v>#VALUE!</v>
      </c>
      <c r="N2006" s="6" t="e">
        <v>#VALUE!</v>
      </c>
      <c r="O2006" s="6" t="e">
        <v>#VALUE!</v>
      </c>
      <c r="P2006" s="6" t="e">
        <v>#VALUE!</v>
      </c>
      <c r="T2006" s="9"/>
      <c r="U2006" s="1">
        <f t="shared" si="3116"/>
        <v>46</v>
      </c>
      <c r="V2006" s="1">
        <f t="shared" si="3117"/>
        <v>225</v>
      </c>
    </row>
    <row r="2007" spans="1:22" x14ac:dyDescent="0.3">
      <c r="A2007" s="1">
        <f t="shared" si="3157"/>
        <v>46226</v>
      </c>
      <c r="B2007" s="4"/>
      <c r="C2007" s="4"/>
      <c r="D2007" s="4"/>
      <c r="E2007" s="4"/>
      <c r="F2007" s="14"/>
      <c r="G2007" s="8"/>
      <c r="H2007" s="7"/>
      <c r="J2007" s="24" t="str">
        <f t="shared" ref="J2007" si="3216">CONCATENATE(K2005,2)</f>
        <v>72</v>
      </c>
      <c r="K2007" s="6" t="e">
        <v>#VALUE!</v>
      </c>
      <c r="L2007" s="6" t="e">
        <v>#VALUE!</v>
      </c>
      <c r="M2007" s="6" t="e">
        <v>#VALUE!</v>
      </c>
      <c r="N2007" s="6" t="e">
        <v>#VALUE!</v>
      </c>
      <c r="O2007" s="6" t="e">
        <v>#VALUE!</v>
      </c>
      <c r="P2007" s="6" t="e">
        <v>#VALUE!</v>
      </c>
      <c r="T2007" s="9"/>
      <c r="U2007" s="1">
        <f t="shared" si="3116"/>
        <v>46</v>
      </c>
      <c r="V2007" s="1">
        <f t="shared" si="3117"/>
        <v>226</v>
      </c>
    </row>
    <row r="2008" spans="1:22" x14ac:dyDescent="0.3">
      <c r="A2008" s="1">
        <f t="shared" si="3157"/>
        <v>46227</v>
      </c>
      <c r="B2008" s="9"/>
      <c r="C2008" s="9"/>
      <c r="D2008" s="9"/>
      <c r="E2008" s="9"/>
      <c r="F2008" s="9"/>
      <c r="G2008" s="9"/>
      <c r="H2008" s="9"/>
      <c r="J2008" s="24" t="str">
        <f t="shared" ref="J2008" si="3217">CONCATENATE(K2005,3)</f>
        <v>73</v>
      </c>
      <c r="K2008" s="6" t="e">
        <v>#VALUE!</v>
      </c>
      <c r="L2008" s="6" t="e">
        <v>#VALUE!</v>
      </c>
      <c r="M2008" s="6" t="e">
        <v>#VALUE!</v>
      </c>
      <c r="N2008" s="6" t="e">
        <v>#VALUE!</v>
      </c>
      <c r="O2008" s="6" t="e">
        <v>#VALUE!</v>
      </c>
      <c r="P2008" s="6" t="e">
        <v>#VALUE!</v>
      </c>
      <c r="T2008" s="9"/>
      <c r="U2008" s="1">
        <f t="shared" si="3116"/>
        <v>46</v>
      </c>
      <c r="V2008" s="1">
        <f t="shared" si="3117"/>
        <v>227</v>
      </c>
    </row>
    <row r="2009" spans="1:22" x14ac:dyDescent="0.3">
      <c r="A2009" s="1">
        <f t="shared" si="3157"/>
        <v>46228</v>
      </c>
      <c r="B2009" s="87" t="s">
        <v>33</v>
      </c>
      <c r="C2009" s="88"/>
      <c r="D2009" s="88"/>
      <c r="E2009" s="88"/>
      <c r="F2009" s="88"/>
      <c r="G2009" s="88"/>
      <c r="H2009" s="89"/>
      <c r="K2009" s="1">
        <v>8</v>
      </c>
      <c r="L2009" s="1">
        <v>8</v>
      </c>
      <c r="M2009" s="1">
        <v>8</v>
      </c>
      <c r="N2009" s="1">
        <v>8</v>
      </c>
      <c r="O2009" s="1">
        <v>8</v>
      </c>
      <c r="P2009" s="1">
        <v>8</v>
      </c>
      <c r="Q2009" s="1">
        <v>8</v>
      </c>
      <c r="T2009" s="9"/>
      <c r="U2009" s="1">
        <f t="shared" si="3116"/>
        <v>46</v>
      </c>
      <c r="V2009" s="1">
        <f t="shared" si="3117"/>
        <v>228</v>
      </c>
    </row>
    <row r="2010" spans="1:22" x14ac:dyDescent="0.3">
      <c r="A2010" s="1">
        <f t="shared" si="3157"/>
        <v>46229</v>
      </c>
      <c r="B2010" s="90"/>
      <c r="C2010" s="91"/>
      <c r="D2010" s="91"/>
      <c r="E2010" s="91"/>
      <c r="F2010" s="91"/>
      <c r="G2010" s="91"/>
      <c r="H2010" s="92"/>
      <c r="J2010" s="24" t="str">
        <f t="shared" ref="J2010" si="3218">CONCATENATE(K2009,1)</f>
        <v>81</v>
      </c>
      <c r="K2010" s="6" t="e">
        <f t="array" ref="K2010:Q2012">LINEST(B1998:B2005,C1998:C2005^{1,2,3,4,5,6},TRUE,TRUE)</f>
        <v>#VALUE!</v>
      </c>
      <c r="L2010" s="6" t="e">
        <v>#VALUE!</v>
      </c>
      <c r="M2010" s="6" t="e">
        <v>#VALUE!</v>
      </c>
      <c r="N2010" s="6" t="e">
        <v>#VALUE!</v>
      </c>
      <c r="O2010" s="6" t="e">
        <v>#VALUE!</v>
      </c>
      <c r="P2010" s="6" t="e">
        <v>#VALUE!</v>
      </c>
      <c r="Q2010" s="6" t="e">
        <v>#VALUE!</v>
      </c>
      <c r="T2010" s="9"/>
      <c r="U2010" s="1">
        <f t="shared" si="3116"/>
        <v>46</v>
      </c>
      <c r="V2010" s="1">
        <f t="shared" si="3117"/>
        <v>229</v>
      </c>
    </row>
    <row r="2011" spans="1:22" x14ac:dyDescent="0.3">
      <c r="A2011" s="1">
        <f t="shared" si="3157"/>
        <v>46230</v>
      </c>
      <c r="B2011" s="93"/>
      <c r="C2011" s="94"/>
      <c r="D2011" s="94"/>
      <c r="E2011" s="94"/>
      <c r="F2011" s="94"/>
      <c r="G2011" s="94"/>
      <c r="H2011" s="95"/>
      <c r="J2011" s="24" t="str">
        <f t="shared" ref="J2011" si="3219">CONCATENATE(K2009,2)</f>
        <v>82</v>
      </c>
      <c r="K2011" s="6" t="e">
        <v>#VALUE!</v>
      </c>
      <c r="L2011" s="6" t="e">
        <v>#VALUE!</v>
      </c>
      <c r="M2011" s="6" t="e">
        <v>#VALUE!</v>
      </c>
      <c r="N2011" s="6" t="e">
        <v>#VALUE!</v>
      </c>
      <c r="O2011" s="6" t="e">
        <v>#VALUE!</v>
      </c>
      <c r="P2011" s="6" t="e">
        <v>#VALUE!</v>
      </c>
      <c r="Q2011" s="6" t="e">
        <v>#VALUE!</v>
      </c>
      <c r="T2011" s="9"/>
      <c r="U2011" s="1">
        <f t="shared" ref="U2011:U2074" si="3220">U2010</f>
        <v>46</v>
      </c>
      <c r="V2011" s="1">
        <f t="shared" ref="V2011:V2074" si="3221">V2010+1</f>
        <v>230</v>
      </c>
    </row>
    <row r="2012" spans="1:22" x14ac:dyDescent="0.3">
      <c r="A2012" s="1">
        <f t="shared" si="3157"/>
        <v>46231</v>
      </c>
      <c r="J2012" s="24" t="str">
        <f t="shared" ref="J2012" si="3222">CONCATENATE(K2009,3)</f>
        <v>83</v>
      </c>
      <c r="K2012" s="6" t="e">
        <v>#VALUE!</v>
      </c>
      <c r="L2012" s="6" t="e">
        <v>#VALUE!</v>
      </c>
      <c r="M2012" s="6" t="e">
        <v>#VALUE!</v>
      </c>
      <c r="N2012" s="6" t="e">
        <v>#VALUE!</v>
      </c>
      <c r="O2012" s="6" t="e">
        <v>#VALUE!</v>
      </c>
      <c r="P2012" s="6" t="e">
        <v>#VALUE!</v>
      </c>
      <c r="Q2012" s="6" t="e">
        <v>#VALUE!</v>
      </c>
      <c r="T2012" s="9"/>
      <c r="U2012" s="1">
        <f t="shared" si="3220"/>
        <v>46</v>
      </c>
      <c r="V2012" s="1">
        <f t="shared" si="3221"/>
        <v>231</v>
      </c>
    </row>
    <row r="2013" spans="1:22" ht="15" customHeight="1" x14ac:dyDescent="0.3">
      <c r="A2013" s="1">
        <f t="shared" si="3157"/>
        <v>46232</v>
      </c>
      <c r="B2013" s="10" t="s">
        <v>34</v>
      </c>
      <c r="C2013" s="10" t="s">
        <v>35</v>
      </c>
      <c r="D2013" s="10" t="s">
        <v>36</v>
      </c>
      <c r="E2013" s="74" t="s">
        <v>37</v>
      </c>
      <c r="F2013" s="75"/>
      <c r="G2013" s="76"/>
      <c r="K2013" s="1">
        <v>9</v>
      </c>
      <c r="L2013" s="1">
        <v>9</v>
      </c>
      <c r="M2013" s="1">
        <v>9</v>
      </c>
      <c r="N2013" s="1">
        <v>9</v>
      </c>
      <c r="O2013" s="1">
        <v>9</v>
      </c>
      <c r="P2013" s="1">
        <v>9</v>
      </c>
      <c r="Q2013" s="1">
        <v>9</v>
      </c>
      <c r="R2013" s="1">
        <v>9</v>
      </c>
      <c r="T2013" s="9"/>
      <c r="U2013" s="1">
        <f t="shared" si="3220"/>
        <v>46</v>
      </c>
      <c r="V2013" s="1">
        <f t="shared" si="3221"/>
        <v>232</v>
      </c>
    </row>
    <row r="2014" spans="1:22" x14ac:dyDescent="0.3">
      <c r="A2014" s="1">
        <f t="shared" si="3157"/>
        <v>46233</v>
      </c>
      <c r="B2014" s="12">
        <f t="shared" ref="B2014:B2023" si="3223">C1998-B1998</f>
        <v>4</v>
      </c>
      <c r="C2014" s="13">
        <f t="shared" ref="C2014:C2023" si="3224">H1998-G1998</f>
        <v>3</v>
      </c>
      <c r="D2014" s="10">
        <f t="shared" ref="D2014:D2023" si="3225">C2014-B2014</f>
        <v>-1</v>
      </c>
      <c r="E2014" s="11">
        <f t="shared" ref="E2014" si="3226">IF(D1989="","",MAX(F2014,G2014))</f>
        <v>2</v>
      </c>
      <c r="F2014" s="10">
        <f t="shared" ref="F2014" si="3227">ABS(MIN(D2014:D2023))</f>
        <v>1</v>
      </c>
      <c r="G2014" s="10">
        <f t="shared" ref="G2014" si="3228">ABS(MAX(D2014:D2023))</f>
        <v>2</v>
      </c>
      <c r="J2014" s="24" t="str">
        <f t="shared" ref="J2014" si="3229">CONCATENATE(K2013,1)</f>
        <v>91</v>
      </c>
      <c r="K2014" s="6" t="e">
        <f t="array" ref="K2014:R2016">LINEST(B1998:B2006,C1998:C2006^{1,2,3,4,5,6,7},TRUE,TRUE)</f>
        <v>#VALUE!</v>
      </c>
      <c r="L2014" s="6" t="e">
        <v>#VALUE!</v>
      </c>
      <c r="M2014" s="6" t="e">
        <v>#VALUE!</v>
      </c>
      <c r="N2014" s="6" t="e">
        <v>#VALUE!</v>
      </c>
      <c r="O2014" s="6" t="e">
        <v>#VALUE!</v>
      </c>
      <c r="P2014" s="6" t="e">
        <v>#VALUE!</v>
      </c>
      <c r="Q2014" s="6" t="e">
        <v>#VALUE!</v>
      </c>
      <c r="R2014" s="6" t="e">
        <v>#VALUE!</v>
      </c>
      <c r="T2014" s="9"/>
      <c r="U2014" s="1">
        <f t="shared" si="3220"/>
        <v>46</v>
      </c>
      <c r="V2014" s="1">
        <f t="shared" si="3221"/>
        <v>233</v>
      </c>
    </row>
    <row r="2015" spans="1:22" x14ac:dyDescent="0.3">
      <c r="A2015" s="1">
        <f t="shared" si="3157"/>
        <v>46234</v>
      </c>
      <c r="B2015" s="12">
        <f t="shared" si="3223"/>
        <v>0</v>
      </c>
      <c r="C2015" s="13">
        <f t="shared" si="3224"/>
        <v>1</v>
      </c>
      <c r="D2015" s="10">
        <f t="shared" si="3225"/>
        <v>1</v>
      </c>
      <c r="E2015" s="74" t="s">
        <v>38</v>
      </c>
      <c r="F2015" s="75"/>
      <c r="G2015" s="76"/>
      <c r="J2015" s="24" t="str">
        <f t="shared" ref="J2015" si="3230">CONCATENATE(K2013,2)</f>
        <v>92</v>
      </c>
      <c r="K2015" s="6" t="e">
        <v>#VALUE!</v>
      </c>
      <c r="L2015" s="6" t="e">
        <v>#VALUE!</v>
      </c>
      <c r="M2015" s="6" t="e">
        <v>#VALUE!</v>
      </c>
      <c r="N2015" s="6" t="e">
        <v>#VALUE!</v>
      </c>
      <c r="O2015" s="6" t="e">
        <v>#VALUE!</v>
      </c>
      <c r="P2015" s="6" t="e">
        <v>#VALUE!</v>
      </c>
      <c r="Q2015" s="6" t="e">
        <v>#VALUE!</v>
      </c>
      <c r="R2015" s="6" t="e">
        <v>#VALUE!</v>
      </c>
      <c r="T2015" s="9"/>
      <c r="U2015" s="1">
        <f t="shared" si="3220"/>
        <v>46</v>
      </c>
      <c r="V2015" s="1">
        <f t="shared" si="3221"/>
        <v>234</v>
      </c>
    </row>
    <row r="2016" spans="1:22" x14ac:dyDescent="0.3">
      <c r="A2016" s="1">
        <f t="shared" si="3157"/>
        <v>46235</v>
      </c>
      <c r="B2016" s="12">
        <f t="shared" si="3223"/>
        <v>-4</v>
      </c>
      <c r="C2016" s="13">
        <f t="shared" si="3224"/>
        <v>-2</v>
      </c>
      <c r="D2016" s="10">
        <f t="shared" si="3225"/>
        <v>2</v>
      </c>
      <c r="E2016" s="11">
        <f t="shared" ref="E2016" si="3231">IF(D1989="","",MAX(F2016,G2016))</f>
        <v>4</v>
      </c>
      <c r="F2016" s="10">
        <f t="shared" ref="F2016" si="3232">ABS(MIN(B2014:B2023))</f>
        <v>4</v>
      </c>
      <c r="G2016" s="10">
        <f t="shared" ref="G2016" si="3233">ABS(MAX(B2014:B2023))</f>
        <v>4</v>
      </c>
      <c r="J2016" s="24" t="str">
        <f t="shared" ref="J2016" si="3234">CONCATENATE(K2013,3)</f>
        <v>93</v>
      </c>
      <c r="K2016" s="6" t="e">
        <v>#VALUE!</v>
      </c>
      <c r="L2016" s="6" t="e">
        <v>#VALUE!</v>
      </c>
      <c r="M2016" s="6" t="e">
        <v>#VALUE!</v>
      </c>
      <c r="N2016" s="6" t="e">
        <v>#VALUE!</v>
      </c>
      <c r="O2016" s="6" t="e">
        <v>#VALUE!</v>
      </c>
      <c r="P2016" s="6" t="e">
        <v>#VALUE!</v>
      </c>
      <c r="Q2016" s="6" t="e">
        <v>#VALUE!</v>
      </c>
      <c r="R2016" s="6" t="e">
        <v>#VALUE!</v>
      </c>
      <c r="T2016" s="9"/>
      <c r="U2016" s="1">
        <f t="shared" si="3220"/>
        <v>46</v>
      </c>
      <c r="V2016" s="1">
        <f t="shared" si="3221"/>
        <v>235</v>
      </c>
    </row>
    <row r="2017" spans="1:22" x14ac:dyDescent="0.3">
      <c r="A2017" s="1">
        <f t="shared" si="3157"/>
        <v>46236</v>
      </c>
      <c r="B2017" s="12">
        <f t="shared" si="3223"/>
        <v>0</v>
      </c>
      <c r="C2017" s="13">
        <f t="shared" si="3224"/>
        <v>0</v>
      </c>
      <c r="D2017" s="10">
        <f t="shared" si="3225"/>
        <v>0</v>
      </c>
      <c r="E2017" s="74" t="s">
        <v>39</v>
      </c>
      <c r="F2017" s="75"/>
      <c r="G2017" s="76"/>
      <c r="K2017" s="1">
        <v>10</v>
      </c>
      <c r="L2017" s="1">
        <v>10</v>
      </c>
      <c r="M2017" s="1">
        <v>10</v>
      </c>
      <c r="N2017" s="1">
        <v>10</v>
      </c>
      <c r="O2017" s="1">
        <v>10</v>
      </c>
      <c r="P2017" s="1">
        <v>10</v>
      </c>
      <c r="Q2017" s="1">
        <v>10</v>
      </c>
      <c r="R2017" s="1">
        <v>10</v>
      </c>
      <c r="S2017" s="1">
        <v>10</v>
      </c>
      <c r="T2017" s="9"/>
      <c r="U2017" s="1">
        <f t="shared" si="3220"/>
        <v>46</v>
      </c>
      <c r="V2017" s="1">
        <f t="shared" si="3221"/>
        <v>236</v>
      </c>
    </row>
    <row r="2018" spans="1:22" x14ac:dyDescent="0.3">
      <c r="A2018" s="1">
        <f t="shared" si="3157"/>
        <v>46237</v>
      </c>
      <c r="B2018" s="12">
        <f t="shared" si="3223"/>
        <v>0</v>
      </c>
      <c r="C2018" s="13">
        <f t="shared" si="3224"/>
        <v>0</v>
      </c>
      <c r="D2018" s="10">
        <f t="shared" si="3225"/>
        <v>0</v>
      </c>
      <c r="E2018" s="11">
        <f t="shared" ref="E2018" si="3235">IF(D1989="","",MAX(F2018,G2018))</f>
        <v>2</v>
      </c>
      <c r="F2018" s="10">
        <f t="shared" ref="F2018" si="3236">ABS(MIN(D1998:D2007))</f>
        <v>2</v>
      </c>
      <c r="G2018" s="10">
        <f t="shared" ref="G2018" si="3237">ABS(MAX(D1998:D2007))</f>
        <v>2</v>
      </c>
      <c r="J2018" s="24" t="str">
        <f t="shared" ref="J2018" si="3238">CONCATENATE(K2017,1)</f>
        <v>101</v>
      </c>
      <c r="K2018" s="6" t="e">
        <f t="array" ref="K2018:S2020">LINEST(B1998:B2007,C1998:C2007^{1,2,3,4,5,6,7,8},TRUE,TRUE)</f>
        <v>#VALUE!</v>
      </c>
      <c r="L2018" s="6" t="e">
        <v>#VALUE!</v>
      </c>
      <c r="M2018" s="6" t="e">
        <v>#VALUE!</v>
      </c>
      <c r="N2018" s="6" t="e">
        <v>#VALUE!</v>
      </c>
      <c r="O2018" s="6" t="e">
        <v>#VALUE!</v>
      </c>
      <c r="P2018" s="6" t="e">
        <v>#VALUE!</v>
      </c>
      <c r="Q2018" s="6" t="e">
        <v>#VALUE!</v>
      </c>
      <c r="R2018" s="6" t="e">
        <v>#VALUE!</v>
      </c>
      <c r="S2018" s="6" t="e">
        <v>#VALUE!</v>
      </c>
      <c r="T2018" s="9"/>
      <c r="U2018" s="1">
        <f t="shared" si="3220"/>
        <v>46</v>
      </c>
      <c r="V2018" s="1">
        <f t="shared" si="3221"/>
        <v>237</v>
      </c>
    </row>
    <row r="2019" spans="1:22" x14ac:dyDescent="0.3">
      <c r="A2019" s="1">
        <f t="shared" si="3157"/>
        <v>46238</v>
      </c>
      <c r="B2019" s="12">
        <f t="shared" si="3223"/>
        <v>0</v>
      </c>
      <c r="C2019" s="13">
        <f t="shared" si="3224"/>
        <v>0</v>
      </c>
      <c r="D2019" s="10">
        <f t="shared" si="3225"/>
        <v>0</v>
      </c>
      <c r="J2019" s="24" t="str">
        <f t="shared" ref="J2019" si="3239">CONCATENATE(K2017,2)</f>
        <v>102</v>
      </c>
      <c r="K2019" s="6" t="e">
        <v>#VALUE!</v>
      </c>
      <c r="L2019" s="6" t="e">
        <v>#VALUE!</v>
      </c>
      <c r="M2019" s="6" t="e">
        <v>#VALUE!</v>
      </c>
      <c r="N2019" s="6" t="e">
        <v>#VALUE!</v>
      </c>
      <c r="O2019" s="6" t="e">
        <v>#VALUE!</v>
      </c>
      <c r="P2019" s="6" t="e">
        <v>#VALUE!</v>
      </c>
      <c r="Q2019" s="6" t="e">
        <v>#VALUE!</v>
      </c>
      <c r="R2019" s="6" t="e">
        <v>#VALUE!</v>
      </c>
      <c r="S2019" s="6" t="e">
        <v>#VALUE!</v>
      </c>
      <c r="T2019" s="9"/>
      <c r="U2019" s="1">
        <f t="shared" si="3220"/>
        <v>46</v>
      </c>
      <c r="V2019" s="1">
        <f t="shared" si="3221"/>
        <v>238</v>
      </c>
    </row>
    <row r="2020" spans="1:22" x14ac:dyDescent="0.3">
      <c r="A2020" s="1">
        <f t="shared" si="3157"/>
        <v>46239</v>
      </c>
      <c r="B2020" s="12">
        <f t="shared" si="3223"/>
        <v>0</v>
      </c>
      <c r="C2020" s="13">
        <f t="shared" si="3224"/>
        <v>0</v>
      </c>
      <c r="D2020" s="10">
        <f t="shared" si="3225"/>
        <v>0</v>
      </c>
      <c r="J2020" s="24" t="str">
        <f t="shared" ref="J2020" si="3240">CONCATENATE(K2017,3)</f>
        <v>103</v>
      </c>
      <c r="K2020" s="6" t="e">
        <v>#VALUE!</v>
      </c>
      <c r="L2020" s="6" t="e">
        <v>#VALUE!</v>
      </c>
      <c r="M2020" s="6" t="e">
        <v>#VALUE!</v>
      </c>
      <c r="N2020" s="6" t="e">
        <v>#VALUE!</v>
      </c>
      <c r="O2020" s="6" t="e">
        <v>#VALUE!</v>
      </c>
      <c r="P2020" s="6" t="e">
        <v>#VALUE!</v>
      </c>
      <c r="Q2020" s="6" t="e">
        <v>#VALUE!</v>
      </c>
      <c r="R2020" s="6" t="e">
        <v>#VALUE!</v>
      </c>
      <c r="S2020" s="6" t="e">
        <v>#VALUE!</v>
      </c>
      <c r="T2020" s="9"/>
      <c r="U2020" s="1">
        <f t="shared" si="3220"/>
        <v>46</v>
      </c>
      <c r="V2020" s="1">
        <f t="shared" si="3221"/>
        <v>239</v>
      </c>
    </row>
    <row r="2021" spans="1:22" x14ac:dyDescent="0.3">
      <c r="A2021" s="1">
        <f t="shared" si="3157"/>
        <v>46240</v>
      </c>
      <c r="B2021" s="12">
        <f t="shared" si="3223"/>
        <v>0</v>
      </c>
      <c r="C2021" s="13">
        <f t="shared" si="3224"/>
        <v>0</v>
      </c>
      <c r="D2021" s="10">
        <f t="shared" si="3225"/>
        <v>0</v>
      </c>
      <c r="J2021" s="9"/>
      <c r="K2021" s="9"/>
      <c r="L2021" s="9"/>
      <c r="M2021" s="9"/>
      <c r="N2021" s="9"/>
      <c r="O2021" s="9"/>
      <c r="P2021" s="9"/>
      <c r="Q2021" s="9"/>
      <c r="R2021" s="9"/>
      <c r="S2021" s="9"/>
      <c r="T2021" s="9"/>
      <c r="U2021" s="1">
        <f t="shared" si="3220"/>
        <v>46</v>
      </c>
      <c r="V2021" s="1">
        <f t="shared" si="3221"/>
        <v>240</v>
      </c>
    </row>
    <row r="2022" spans="1:22" x14ac:dyDescent="0.3">
      <c r="A2022" s="1">
        <f t="shared" si="3157"/>
        <v>46241</v>
      </c>
      <c r="B2022" s="12">
        <f t="shared" si="3223"/>
        <v>0</v>
      </c>
      <c r="C2022" s="13">
        <f t="shared" si="3224"/>
        <v>0</v>
      </c>
      <c r="D2022" s="10">
        <f t="shared" si="3225"/>
        <v>0</v>
      </c>
      <c r="J2022" s="9"/>
      <c r="K2022" s="9"/>
      <c r="L2022" s="9"/>
      <c r="M2022" s="9"/>
      <c r="N2022" s="9"/>
      <c r="O2022" s="9"/>
      <c r="P2022" s="9"/>
      <c r="Q2022" s="9"/>
      <c r="R2022" s="9"/>
      <c r="S2022" s="9"/>
      <c r="T2022" s="9"/>
      <c r="U2022" s="1">
        <f t="shared" si="3220"/>
        <v>46</v>
      </c>
      <c r="V2022" s="1">
        <f t="shared" si="3221"/>
        <v>241</v>
      </c>
    </row>
    <row r="2023" spans="1:22" x14ac:dyDescent="0.3">
      <c r="A2023" s="1">
        <f t="shared" si="3157"/>
        <v>46242</v>
      </c>
      <c r="B2023" s="12">
        <f t="shared" si="3223"/>
        <v>0</v>
      </c>
      <c r="C2023" s="13">
        <f t="shared" si="3224"/>
        <v>0</v>
      </c>
      <c r="D2023" s="10">
        <f t="shared" si="3225"/>
        <v>0</v>
      </c>
      <c r="J2023" s="9"/>
      <c r="K2023" s="9"/>
      <c r="L2023" s="9"/>
      <c r="M2023" s="9"/>
      <c r="N2023" s="9"/>
      <c r="O2023" s="9"/>
      <c r="P2023" s="9"/>
      <c r="Q2023" s="9"/>
      <c r="R2023" s="9"/>
      <c r="S2023" s="9"/>
      <c r="T2023" s="9"/>
      <c r="U2023" s="1">
        <f t="shared" si="3220"/>
        <v>46</v>
      </c>
      <c r="V2023" s="1">
        <f t="shared" si="3221"/>
        <v>242</v>
      </c>
    </row>
    <row r="2024" spans="1:22" x14ac:dyDescent="0.3">
      <c r="A2024" s="1">
        <f t="shared" si="3157"/>
        <v>46243</v>
      </c>
      <c r="J2024" s="9"/>
      <c r="K2024" s="9"/>
      <c r="L2024" s="9"/>
      <c r="M2024" s="9"/>
      <c r="N2024" s="9"/>
      <c r="O2024" s="9"/>
      <c r="P2024" s="9"/>
      <c r="Q2024" s="9"/>
      <c r="R2024" s="9"/>
      <c r="S2024" s="9"/>
      <c r="T2024" s="9"/>
      <c r="U2024" s="1">
        <f t="shared" si="3220"/>
        <v>46</v>
      </c>
      <c r="V2024" s="1">
        <f t="shared" si="3221"/>
        <v>243</v>
      </c>
    </row>
    <row r="2025" spans="1:22" s="5" customFormat="1" x14ac:dyDescent="0.3"/>
    <row r="2026" spans="1:22" x14ac:dyDescent="0.3">
      <c r="A2026" s="1">
        <f t="shared" ref="A2026:A2068" si="3241">ROUND(CONCATENATE(U2026,V2026),0)</f>
        <v>47201</v>
      </c>
      <c r="B2026" s="96" t="s">
        <v>0</v>
      </c>
      <c r="C2026" s="97"/>
      <c r="D2026" s="110" t="s">
        <v>46</v>
      </c>
      <c r="E2026" s="111"/>
      <c r="F2026" s="111"/>
      <c r="G2026" s="111"/>
      <c r="H2026" s="112"/>
      <c r="J2026" s="9"/>
      <c r="K2026" s="9"/>
      <c r="L2026" s="9"/>
      <c r="M2026" s="9"/>
      <c r="N2026" s="9"/>
      <c r="O2026" s="9"/>
      <c r="P2026" s="9"/>
      <c r="Q2026" s="9"/>
      <c r="R2026" s="9"/>
      <c r="S2026" s="9"/>
      <c r="T2026" s="9"/>
      <c r="U2026" s="1">
        <f t="shared" ref="U2026" si="3242">U2024+1</f>
        <v>47</v>
      </c>
      <c r="V2026" s="1">
        <v>201</v>
      </c>
    </row>
    <row r="2027" spans="1:22" x14ac:dyDescent="0.3">
      <c r="A2027" s="1">
        <f t="shared" si="3241"/>
        <v>47202</v>
      </c>
      <c r="B2027" s="96" t="s">
        <v>1</v>
      </c>
      <c r="C2027" s="97"/>
      <c r="D2027" s="15">
        <v>20</v>
      </c>
      <c r="E2027" s="16" t="s">
        <v>2</v>
      </c>
      <c r="F2027" s="107"/>
      <c r="G2027" s="108"/>
      <c r="H2027" s="109"/>
      <c r="J2027" s="9"/>
      <c r="K2027" s="9"/>
      <c r="L2027" s="9"/>
      <c r="M2027" s="9"/>
      <c r="N2027" s="9"/>
      <c r="O2027" s="9"/>
      <c r="P2027" s="9"/>
      <c r="Q2027" s="9"/>
      <c r="R2027" s="9"/>
      <c r="S2027" s="9"/>
      <c r="T2027" s="9"/>
      <c r="U2027" s="1">
        <f t="shared" ref="U2027" si="3243">U2026</f>
        <v>47</v>
      </c>
      <c r="V2027" s="1">
        <f t="shared" ref="V2027" si="3244">V2026+1</f>
        <v>202</v>
      </c>
    </row>
    <row r="2028" spans="1:22" x14ac:dyDescent="0.3">
      <c r="A2028" s="1">
        <f t="shared" si="3241"/>
        <v>47203</v>
      </c>
      <c r="B2028" s="96" t="s">
        <v>12</v>
      </c>
      <c r="C2028" s="97"/>
      <c r="D2028" s="110" t="s">
        <v>88</v>
      </c>
      <c r="E2028" s="111"/>
      <c r="F2028" s="111"/>
      <c r="G2028" s="111"/>
      <c r="H2028" s="112"/>
      <c r="K2028" s="1" t="s">
        <v>3</v>
      </c>
      <c r="L2028" s="1" t="s">
        <v>4</v>
      </c>
      <c r="M2028" s="1" t="s">
        <v>5</v>
      </c>
      <c r="N2028" s="1" t="s">
        <v>6</v>
      </c>
      <c r="O2028" s="1" t="s">
        <v>7</v>
      </c>
      <c r="P2028" s="1" t="s">
        <v>8</v>
      </c>
      <c r="Q2028" s="1" t="s">
        <v>9</v>
      </c>
      <c r="R2028" s="1" t="s">
        <v>10</v>
      </c>
      <c r="S2028" s="1" t="s">
        <v>11</v>
      </c>
      <c r="T2028" s="9"/>
      <c r="U2028" s="1">
        <f t="shared" si="3220"/>
        <v>47</v>
      </c>
      <c r="V2028" s="1">
        <f t="shared" si="3221"/>
        <v>203</v>
      </c>
    </row>
    <row r="2029" spans="1:22" x14ac:dyDescent="0.3">
      <c r="A2029" s="1">
        <f t="shared" si="3241"/>
        <v>47204</v>
      </c>
      <c r="B2029" s="96" t="s">
        <v>13</v>
      </c>
      <c r="C2029" s="97"/>
      <c r="D2029" s="110" t="s">
        <v>65</v>
      </c>
      <c r="E2029" s="111"/>
      <c r="F2029" s="111"/>
      <c r="G2029" s="111"/>
      <c r="H2029" s="112"/>
      <c r="J2029" s="1">
        <f t="shared" ref="J2029" si="3245">COUNTA(B2042:B2051)</f>
        <v>3</v>
      </c>
      <c r="K2029" s="1">
        <f t="shared" ref="K2029" si="3246">IF(L2029-1&lt;2,0,L2029-1)</f>
        <v>0</v>
      </c>
      <c r="L2029" s="1">
        <f t="shared" ref="L2029" si="3247">IF(M2029-1&lt;2,0,M2029-1)</f>
        <v>0</v>
      </c>
      <c r="M2029" s="1">
        <f t="shared" ref="M2029" si="3248">IF(N2029-1&lt;2,0,N2029-1)</f>
        <v>0</v>
      </c>
      <c r="N2029" s="1">
        <f t="shared" ref="N2029" si="3249">IF(O2029-1&lt;2,0,O2029-1)</f>
        <v>0</v>
      </c>
      <c r="O2029" s="1">
        <f t="shared" ref="O2029" si="3250">IF(P2029-1&lt;2,0,P2029-1)</f>
        <v>0</v>
      </c>
      <c r="P2029" s="1">
        <f t="shared" ref="P2029" si="3251">IF(Q2029-1&lt;2,0,Q2029-1)</f>
        <v>0</v>
      </c>
      <c r="Q2029" s="1">
        <f t="shared" ref="Q2029" si="3252">IF(R2029-1&lt;2,0,R2029-1)</f>
        <v>0</v>
      </c>
      <c r="R2029" s="1">
        <f t="shared" ref="R2029" si="3253">IF(S2029-1&lt;2,0,S2029-1)</f>
        <v>2</v>
      </c>
      <c r="S2029" s="1">
        <f t="shared" ref="S2029" si="3254">J2029</f>
        <v>3</v>
      </c>
      <c r="T2029" s="9"/>
      <c r="U2029" s="1">
        <f t="shared" si="3220"/>
        <v>47</v>
      </c>
      <c r="V2029" s="1">
        <f t="shared" si="3221"/>
        <v>204</v>
      </c>
    </row>
    <row r="2030" spans="1:22" x14ac:dyDescent="0.3">
      <c r="A2030" s="1">
        <f t="shared" si="3241"/>
        <v>47205</v>
      </c>
      <c r="B2030" s="96" t="s">
        <v>14</v>
      </c>
      <c r="C2030" s="97"/>
      <c r="D2030" s="110" t="s">
        <v>66</v>
      </c>
      <c r="E2030" s="111"/>
      <c r="F2030" s="111"/>
      <c r="G2030" s="111"/>
      <c r="H2030" s="112"/>
      <c r="J2030" s="24" t="str">
        <f t="shared" ref="J2030" si="3255">CONCATENATE(J2029,1)</f>
        <v>31</v>
      </c>
      <c r="K2030" s="25">
        <f t="shared" ref="K2030" si="3256">IF(K2029=0,0,VLOOKUP(J2030,J2034:S2064,K2029,FALSE))</f>
        <v>0</v>
      </c>
      <c r="L2030" s="25">
        <f t="shared" ref="L2030" si="3257">IF(L2029=0,0,VLOOKUP(J2030,J2034:S2064,L2029,FALSE))</f>
        <v>0</v>
      </c>
      <c r="M2030" s="25">
        <f t="shared" ref="M2030" si="3258">IF(M2029=0,0,VLOOKUP(J2030,J2034:S2064,M2029,FALSE))</f>
        <v>0</v>
      </c>
      <c r="N2030" s="25">
        <f t="shared" ref="N2030" si="3259">IF(N2029=0,0,VLOOKUP(J2030,J2034:S2064,N2029,FALSE))</f>
        <v>0</v>
      </c>
      <c r="O2030" s="25">
        <f t="shared" ref="O2030" si="3260">IF(O2029=0,0,VLOOKUP(J2030,J2034:S2064,O2029,FALSE))</f>
        <v>0</v>
      </c>
      <c r="P2030" s="25">
        <f t="shared" ref="P2030" si="3261">IF(P2029=0,0,VLOOKUP(J2030,J2034:S2064,P2029,FALSE))</f>
        <v>0</v>
      </c>
      <c r="Q2030" s="25">
        <f t="shared" ref="Q2030" si="3262">IF(Q2029=0,0,VLOOKUP(J2030,J2034:S2064,Q2029,FALSE))</f>
        <v>0</v>
      </c>
      <c r="R2030" s="25">
        <f t="shared" ref="R2030" si="3263">IF(R2029=0,0,VLOOKUP(J2030,J2034:S2064,R2029,FALSE))</f>
        <v>1.0885839051777917</v>
      </c>
      <c r="S2030" s="25">
        <f t="shared" ref="S2030" si="3264">IF(S2029=0,0,VLOOKUP(J2030,J2034:S2064,S2029,FALSE))</f>
        <v>-3.9987523393636906</v>
      </c>
      <c r="T2030" s="9"/>
      <c r="U2030" s="1">
        <f t="shared" si="3220"/>
        <v>47</v>
      </c>
      <c r="V2030" s="1">
        <f t="shared" si="3221"/>
        <v>205</v>
      </c>
    </row>
    <row r="2031" spans="1:22" x14ac:dyDescent="0.3">
      <c r="A2031" s="1">
        <f t="shared" si="3241"/>
        <v>47206</v>
      </c>
      <c r="B2031" s="96" t="s">
        <v>15</v>
      </c>
      <c r="C2031" s="97"/>
      <c r="D2031" s="110" t="s">
        <v>89</v>
      </c>
      <c r="E2031" s="111"/>
      <c r="F2031" s="111"/>
      <c r="G2031" s="111"/>
      <c r="H2031" s="112"/>
      <c r="J2031" s="24" t="str">
        <f t="shared" ref="J2031" si="3265">CONCATENATE(J2029,2)</f>
        <v>32</v>
      </c>
      <c r="K2031" s="6">
        <f t="shared" ref="K2031" si="3266">IF(K2029=0,0,VLOOKUP(J2031,J2034:S2064,K2029,FALSE))</f>
        <v>0</v>
      </c>
      <c r="L2031" s="6">
        <f t="shared" ref="L2031" si="3267">IF(L2029=0,0,VLOOKUP(J2031,J2034:S2064,L2029,FALSE))</f>
        <v>0</v>
      </c>
      <c r="M2031" s="6">
        <f t="shared" ref="M2031" si="3268">IF(M2029=0,0,VLOOKUP(J2031,J2034:S2064,M2029,FALSE))</f>
        <v>0</v>
      </c>
      <c r="N2031" s="6">
        <f t="shared" ref="N2031" si="3269">IF(N2029=0,0,VLOOKUP(J2031,J2034:S2064,N2029,FALSE))</f>
        <v>0</v>
      </c>
      <c r="O2031" s="6">
        <f t="shared" ref="O2031" si="3270">IF(O2029=0,0,VLOOKUP(J2031,J2034:S2064,O2029,FALSE))</f>
        <v>0</v>
      </c>
      <c r="P2031" s="6">
        <f t="shared" ref="P2031" si="3271">IF(P2029=0,0,VLOOKUP(J2031,J2034:S2064,P2029,FALSE))</f>
        <v>0</v>
      </c>
      <c r="Q2031" s="6">
        <f t="shared" ref="Q2031" si="3272">IF(Q2029=0,0,VLOOKUP(J2031,J2034:S2064,Q2029,FALSE))</f>
        <v>0</v>
      </c>
      <c r="R2031" s="6">
        <f t="shared" ref="R2031" si="3273">IF(R2029=0,0,VLOOKUP(J2031,J2034:S2064,R2029,FALSE))</f>
        <v>1.6207587095154848E-2</v>
      </c>
      <c r="S2031" s="6">
        <f t="shared" ref="S2031" si="3274">IF(S2029=0,0,VLOOKUP(J2031,J2034:S2064,S2029,FALSE))</f>
        <v>0.90675619803186558</v>
      </c>
      <c r="T2031" s="9"/>
      <c r="U2031" s="1">
        <f t="shared" si="3220"/>
        <v>47</v>
      </c>
      <c r="V2031" s="1">
        <f t="shared" si="3221"/>
        <v>206</v>
      </c>
    </row>
    <row r="2032" spans="1:22" x14ac:dyDescent="0.3">
      <c r="A2032" s="1">
        <f t="shared" si="3241"/>
        <v>47207</v>
      </c>
      <c r="B2032" s="96" t="s">
        <v>16</v>
      </c>
      <c r="C2032" s="97"/>
      <c r="D2032" s="113">
        <v>43892</v>
      </c>
      <c r="E2032" s="114"/>
      <c r="F2032" s="114"/>
      <c r="G2032" s="114"/>
      <c r="H2032" s="115"/>
      <c r="J2032" s="24" t="str">
        <f t="shared" ref="J2032" si="3275">CONCATENATE(J2029,3)</f>
        <v>33</v>
      </c>
      <c r="K2032" s="6"/>
      <c r="L2032" s="6"/>
      <c r="M2032" s="6"/>
      <c r="N2032" s="6" t="s">
        <v>43</v>
      </c>
      <c r="O2032" s="25">
        <f t="shared" ref="O2032" si="3276">J2029-2</f>
        <v>1</v>
      </c>
      <c r="P2032" s="6" t="s">
        <v>44</v>
      </c>
      <c r="Q2032" s="25">
        <f t="shared" ref="Q2032" si="3277">VLOOKUP(J2032,J2034:S2064,3,FALSE)</f>
        <v>0.5298335995093737</v>
      </c>
      <c r="R2032" s="6" t="s">
        <v>45</v>
      </c>
      <c r="S2032" s="6">
        <f t="shared" ref="S2032" si="3278">VLOOKUP(J2032,J2034:S2064,2,FALSE)</f>
        <v>0.99977837607118236</v>
      </c>
      <c r="T2032" s="9"/>
      <c r="U2032" s="1">
        <f t="shared" si="3220"/>
        <v>47</v>
      </c>
      <c r="V2032" s="1">
        <f t="shared" si="3221"/>
        <v>207</v>
      </c>
    </row>
    <row r="2033" spans="1:22" x14ac:dyDescent="0.3">
      <c r="A2033" s="1">
        <f t="shared" si="3241"/>
        <v>47208</v>
      </c>
      <c r="B2033" s="96" t="s">
        <v>17</v>
      </c>
      <c r="C2033" s="97"/>
      <c r="D2033" s="116">
        <v>44286</v>
      </c>
      <c r="E2033" s="117"/>
      <c r="F2033" s="117"/>
      <c r="G2033" s="117"/>
      <c r="H2033" s="118"/>
      <c r="K2033" s="1">
        <v>3</v>
      </c>
      <c r="L2033" s="1">
        <v>3</v>
      </c>
      <c r="Q2033" s="26"/>
      <c r="R2033" s="26"/>
      <c r="S2033" s="26"/>
      <c r="T2033" s="9"/>
      <c r="U2033" s="1">
        <f t="shared" si="3220"/>
        <v>47</v>
      </c>
      <c r="V2033" s="1">
        <f t="shared" si="3221"/>
        <v>208</v>
      </c>
    </row>
    <row r="2034" spans="1:22" x14ac:dyDescent="0.3">
      <c r="A2034" s="1">
        <f t="shared" si="3241"/>
        <v>47209</v>
      </c>
      <c r="B2034" s="77" t="s">
        <v>19</v>
      </c>
      <c r="C2034" s="78"/>
      <c r="D2034" s="17">
        <v>1</v>
      </c>
      <c r="E2034" s="79" t="s">
        <v>40</v>
      </c>
      <c r="F2034" s="80"/>
      <c r="G2034" s="81"/>
      <c r="H2034" s="18" t="s">
        <v>72</v>
      </c>
      <c r="J2034" s="24" t="str">
        <f t="shared" ref="J2034" si="3279">CONCATENATE(K2033,1)</f>
        <v>31</v>
      </c>
      <c r="K2034" s="6">
        <f t="array" ref="K2034:L2036">LINEST(B2042:B2044,C2042:C2044^{1},TRUE,TRUE)</f>
        <v>1.0885839051777917</v>
      </c>
      <c r="L2034" s="6">
        <v>-3.9987523393636906</v>
      </c>
      <c r="Q2034" s="9"/>
      <c r="R2034" s="9"/>
      <c r="S2034" s="9"/>
      <c r="T2034" s="9"/>
      <c r="U2034" s="1">
        <f t="shared" si="3220"/>
        <v>47</v>
      </c>
      <c r="V2034" s="1">
        <f t="shared" si="3221"/>
        <v>209</v>
      </c>
    </row>
    <row r="2035" spans="1:22" x14ac:dyDescent="0.3">
      <c r="A2035" s="1">
        <f t="shared" si="3241"/>
        <v>47210</v>
      </c>
      <c r="B2035" s="77" t="s">
        <v>41</v>
      </c>
      <c r="C2035" s="78"/>
      <c r="D2035" s="23">
        <f t="shared" ref="D2035" si="3280">MIN(B2042:B2051)</f>
        <v>30</v>
      </c>
      <c r="E2035" s="20" t="s">
        <v>18</v>
      </c>
      <c r="F2035" s="19">
        <f t="shared" ref="F2035" si="3281">MAX(B2042:B2051)</f>
        <v>80</v>
      </c>
      <c r="G2035" s="21" t="str">
        <f t="shared" ref="G2035" si="3282">IF(H2034="","",H2034)</f>
        <v>%ur</v>
      </c>
      <c r="H2035" s="22"/>
      <c r="J2035" s="24" t="str">
        <f t="shared" ref="J2035" si="3283">CONCATENATE(K2033,2)</f>
        <v>32</v>
      </c>
      <c r="K2035" s="6">
        <v>1.6207587095154848E-2</v>
      </c>
      <c r="L2035" s="6">
        <v>0.90675619803186558</v>
      </c>
      <c r="Q2035" s="9"/>
      <c r="R2035" s="9"/>
      <c r="S2035" s="9"/>
      <c r="T2035" s="9"/>
      <c r="U2035" s="1">
        <f t="shared" si="3220"/>
        <v>47</v>
      </c>
      <c r="V2035" s="1">
        <f t="shared" si="3221"/>
        <v>210</v>
      </c>
    </row>
    <row r="2036" spans="1:22" x14ac:dyDescent="0.3">
      <c r="A2036" s="1">
        <f t="shared" si="3241"/>
        <v>47211</v>
      </c>
      <c r="J2036" s="24" t="str">
        <f t="shared" ref="J2036" si="3284">CONCATENATE(K2033,3)</f>
        <v>33</v>
      </c>
      <c r="K2036" s="6">
        <v>0.99977837607118236</v>
      </c>
      <c r="L2036" s="6">
        <v>0.5298335995093737</v>
      </c>
      <c r="Q2036" s="9"/>
      <c r="R2036" s="9"/>
      <c r="S2036" s="9"/>
      <c r="T2036" s="9"/>
      <c r="U2036" s="1">
        <f t="shared" si="3220"/>
        <v>47</v>
      </c>
      <c r="V2036" s="1">
        <f t="shared" si="3221"/>
        <v>211</v>
      </c>
    </row>
    <row r="2037" spans="1:22" x14ac:dyDescent="0.3">
      <c r="A2037" s="1">
        <f t="shared" si="3241"/>
        <v>47212</v>
      </c>
      <c r="B2037" s="82" t="s">
        <v>20</v>
      </c>
      <c r="C2037" s="83"/>
      <c r="D2037" s="83"/>
      <c r="E2037" s="83"/>
      <c r="F2037" s="84"/>
      <c r="G2037" s="85" t="s">
        <v>31</v>
      </c>
      <c r="H2037" s="86"/>
      <c r="K2037" s="1">
        <v>4</v>
      </c>
      <c r="L2037" s="1">
        <v>4</v>
      </c>
      <c r="M2037" s="1">
        <v>4</v>
      </c>
      <c r="Q2037" s="9"/>
      <c r="R2037" s="9"/>
      <c r="S2037" s="9"/>
      <c r="T2037" s="9"/>
      <c r="U2037" s="1">
        <f t="shared" si="3220"/>
        <v>47</v>
      </c>
      <c r="V2037" s="1">
        <f t="shared" si="3221"/>
        <v>212</v>
      </c>
    </row>
    <row r="2038" spans="1:22" x14ac:dyDescent="0.3">
      <c r="A2038" s="1">
        <f t="shared" si="3241"/>
        <v>47213</v>
      </c>
      <c r="B2038" s="82" t="s">
        <v>30</v>
      </c>
      <c r="C2038" s="83"/>
      <c r="D2038" s="84"/>
      <c r="E2038" s="82" t="str">
        <f t="shared" ref="E2038" si="3285">D2031</f>
        <v>R0047/20</v>
      </c>
      <c r="F2038" s="84"/>
      <c r="G2038" s="6" t="s">
        <v>32</v>
      </c>
      <c r="H2038" s="36"/>
      <c r="J2038" s="24" t="str">
        <f t="shared" ref="J2038" si="3286">CONCATENATE(K2037,1)</f>
        <v>41</v>
      </c>
      <c r="K2038" s="6" t="e">
        <f t="array" ref="K2038:M2040">LINEST(B2042:B2045,C2042:C2045^{1,2},TRUE,TRUE)</f>
        <v>#VALUE!</v>
      </c>
      <c r="L2038" s="6" t="e">
        <v>#VALUE!</v>
      </c>
      <c r="M2038" s="6" t="e">
        <v>#VALUE!</v>
      </c>
      <c r="Q2038" s="9"/>
      <c r="R2038" s="9"/>
      <c r="S2038" s="9"/>
      <c r="T2038" s="9"/>
      <c r="U2038" s="1">
        <f t="shared" si="3220"/>
        <v>47</v>
      </c>
      <c r="V2038" s="1">
        <f t="shared" si="3221"/>
        <v>213</v>
      </c>
    </row>
    <row r="2039" spans="1:22" x14ac:dyDescent="0.3">
      <c r="A2039" s="1">
        <f t="shared" si="3241"/>
        <v>47214</v>
      </c>
      <c r="B2039" s="2" t="s">
        <v>21</v>
      </c>
      <c r="C2039" s="2" t="s">
        <v>22</v>
      </c>
      <c r="D2039" s="2" t="s">
        <v>23</v>
      </c>
      <c r="E2039" s="2"/>
      <c r="F2039" s="2" t="s">
        <v>28</v>
      </c>
      <c r="G2039" s="2" t="s">
        <v>21</v>
      </c>
      <c r="H2039" s="2" t="s">
        <v>22</v>
      </c>
      <c r="J2039" s="24" t="str">
        <f t="shared" ref="J2039" si="3287">CONCATENATE(K2037,2)</f>
        <v>42</v>
      </c>
      <c r="K2039" s="6" t="e">
        <v>#VALUE!</v>
      </c>
      <c r="L2039" s="6" t="e">
        <v>#VALUE!</v>
      </c>
      <c r="M2039" s="6" t="e">
        <v>#VALUE!</v>
      </c>
      <c r="Q2039" s="9"/>
      <c r="R2039" s="9"/>
      <c r="S2039" s="9"/>
      <c r="T2039" s="9"/>
      <c r="U2039" s="1">
        <f t="shared" si="3220"/>
        <v>47</v>
      </c>
      <c r="V2039" s="1">
        <f t="shared" si="3221"/>
        <v>214</v>
      </c>
    </row>
    <row r="2040" spans="1:22" x14ac:dyDescent="0.3">
      <c r="A2040" s="1">
        <f t="shared" si="3241"/>
        <v>47215</v>
      </c>
      <c r="B2040" s="2" t="s">
        <v>24</v>
      </c>
      <c r="C2040" s="2" t="s">
        <v>25</v>
      </c>
      <c r="D2040" s="2" t="s">
        <v>26</v>
      </c>
      <c r="E2040" s="2" t="s">
        <v>27</v>
      </c>
      <c r="F2040" s="2" t="s">
        <v>29</v>
      </c>
      <c r="G2040" s="2" t="s">
        <v>24</v>
      </c>
      <c r="H2040" s="2" t="s">
        <v>25</v>
      </c>
      <c r="J2040" s="24" t="str">
        <f t="shared" ref="J2040" si="3288">CONCATENATE(K2037,3)</f>
        <v>43</v>
      </c>
      <c r="K2040" s="6" t="e">
        <v>#VALUE!</v>
      </c>
      <c r="L2040" s="6" t="e">
        <v>#VALUE!</v>
      </c>
      <c r="M2040" s="6" t="e">
        <v>#VALUE!</v>
      </c>
      <c r="Q2040" s="9"/>
      <c r="R2040" s="9"/>
      <c r="S2040" s="9"/>
      <c r="T2040" s="9"/>
      <c r="U2040" s="1">
        <f t="shared" si="3220"/>
        <v>47</v>
      </c>
      <c r="V2040" s="1">
        <f t="shared" si="3221"/>
        <v>215</v>
      </c>
    </row>
    <row r="2041" spans="1:22" x14ac:dyDescent="0.3">
      <c r="A2041" s="1">
        <f t="shared" si="3241"/>
        <v>47216</v>
      </c>
      <c r="B2041" s="3" t="str">
        <f t="shared" ref="B2041" si="3289">H2034</f>
        <v>%ur</v>
      </c>
      <c r="C2041" s="3" t="str">
        <f t="shared" ref="C2041:D2041" si="3290">B2041</f>
        <v>%ur</v>
      </c>
      <c r="D2041" s="3" t="str">
        <f t="shared" si="3290"/>
        <v>%ur</v>
      </c>
      <c r="E2041" s="3"/>
      <c r="F2041" s="3"/>
      <c r="G2041" s="3" t="str">
        <f t="shared" ref="G2041" si="3291">D2041</f>
        <v>%ur</v>
      </c>
      <c r="H2041" s="3" t="str">
        <f t="shared" ref="H2041" si="3292">G2041</f>
        <v>%ur</v>
      </c>
      <c r="K2041" s="1">
        <v>5</v>
      </c>
      <c r="L2041" s="1">
        <v>5</v>
      </c>
      <c r="M2041" s="1">
        <v>5</v>
      </c>
      <c r="N2041" s="1">
        <v>5</v>
      </c>
      <c r="Q2041" s="9"/>
      <c r="R2041" s="9"/>
      <c r="S2041" s="9"/>
      <c r="T2041" s="9"/>
      <c r="U2041" s="1">
        <f t="shared" si="3220"/>
        <v>47</v>
      </c>
      <c r="V2041" s="1">
        <f t="shared" si="3221"/>
        <v>216</v>
      </c>
    </row>
    <row r="2042" spans="1:22" x14ac:dyDescent="0.3">
      <c r="A2042" s="1">
        <f t="shared" si="3241"/>
        <v>47217</v>
      </c>
      <c r="B2042" s="4">
        <v>30</v>
      </c>
      <c r="C2042" s="4">
        <v>31</v>
      </c>
      <c r="D2042" s="4">
        <v>2</v>
      </c>
      <c r="E2042" s="4">
        <v>2</v>
      </c>
      <c r="F2042" s="14">
        <v>1000000</v>
      </c>
      <c r="G2042" s="8"/>
      <c r="H2042" s="7"/>
      <c r="J2042" s="24" t="str">
        <f t="shared" ref="J2042" si="3293">CONCATENATE(K2041,1)</f>
        <v>51</v>
      </c>
      <c r="K2042" s="6" t="e">
        <f t="array" ref="K2042:N2044">LINEST(B2042:B2046,C2042:C2046^{1,2,3},TRUE,TRUE)</f>
        <v>#VALUE!</v>
      </c>
      <c r="L2042" s="6" t="e">
        <v>#VALUE!</v>
      </c>
      <c r="M2042" s="6" t="e">
        <v>#VALUE!</v>
      </c>
      <c r="N2042" s="6" t="e">
        <v>#VALUE!</v>
      </c>
      <c r="Q2042" s="9"/>
      <c r="R2042" s="9"/>
      <c r="S2042" s="9"/>
      <c r="T2042" s="9"/>
      <c r="U2042" s="1">
        <f t="shared" si="3220"/>
        <v>47</v>
      </c>
      <c r="V2042" s="1">
        <f t="shared" si="3221"/>
        <v>217</v>
      </c>
    </row>
    <row r="2043" spans="1:22" x14ac:dyDescent="0.3">
      <c r="A2043" s="1">
        <f t="shared" si="3241"/>
        <v>47218</v>
      </c>
      <c r="B2043" s="4">
        <v>50</v>
      </c>
      <c r="C2043" s="4">
        <v>50</v>
      </c>
      <c r="D2043" s="4">
        <v>2</v>
      </c>
      <c r="E2043" s="4">
        <v>2</v>
      </c>
      <c r="F2043" s="14">
        <v>1000000</v>
      </c>
      <c r="G2043" s="8"/>
      <c r="H2043" s="7"/>
      <c r="J2043" s="24" t="str">
        <f t="shared" ref="J2043" si="3294">CONCATENATE(K2041,2)</f>
        <v>52</v>
      </c>
      <c r="K2043" s="6" t="e">
        <v>#VALUE!</v>
      </c>
      <c r="L2043" s="6" t="e">
        <v>#VALUE!</v>
      </c>
      <c r="M2043" s="6" t="e">
        <v>#VALUE!</v>
      </c>
      <c r="N2043" s="6" t="e">
        <v>#VALUE!</v>
      </c>
      <c r="T2043" s="9"/>
      <c r="U2043" s="1">
        <f t="shared" si="3220"/>
        <v>47</v>
      </c>
      <c r="V2043" s="1">
        <f t="shared" si="3221"/>
        <v>218</v>
      </c>
    </row>
    <row r="2044" spans="1:22" x14ac:dyDescent="0.3">
      <c r="A2044" s="1">
        <f t="shared" si="3241"/>
        <v>47219</v>
      </c>
      <c r="B2044" s="4">
        <v>80</v>
      </c>
      <c r="C2044" s="4">
        <v>77</v>
      </c>
      <c r="D2044" s="4">
        <v>2</v>
      </c>
      <c r="E2044" s="4">
        <v>2</v>
      </c>
      <c r="F2044" s="14">
        <v>1000000</v>
      </c>
      <c r="G2044" s="8"/>
      <c r="H2044" s="7"/>
      <c r="J2044" s="24" t="str">
        <f t="shared" ref="J2044" si="3295">CONCATENATE(K2041,3)</f>
        <v>53</v>
      </c>
      <c r="K2044" s="6" t="e">
        <v>#VALUE!</v>
      </c>
      <c r="L2044" s="6" t="e">
        <v>#VALUE!</v>
      </c>
      <c r="M2044" s="6" t="e">
        <v>#VALUE!</v>
      </c>
      <c r="N2044" s="6" t="e">
        <v>#VALUE!</v>
      </c>
      <c r="T2044" s="9"/>
      <c r="U2044" s="1">
        <f t="shared" si="3220"/>
        <v>47</v>
      </c>
      <c r="V2044" s="1">
        <f t="shared" si="3221"/>
        <v>219</v>
      </c>
    </row>
    <row r="2045" spans="1:22" x14ac:dyDescent="0.3">
      <c r="A2045" s="1">
        <f t="shared" si="3241"/>
        <v>47220</v>
      </c>
      <c r="B2045" s="4"/>
      <c r="C2045" s="4"/>
      <c r="D2045" s="4"/>
      <c r="E2045" s="4"/>
      <c r="F2045" s="14"/>
      <c r="G2045" s="8"/>
      <c r="H2045" s="7"/>
      <c r="K2045" s="1">
        <v>6</v>
      </c>
      <c r="L2045" s="1">
        <v>6</v>
      </c>
      <c r="M2045" s="1">
        <v>6</v>
      </c>
      <c r="N2045" s="1">
        <v>6</v>
      </c>
      <c r="O2045" s="1">
        <v>6</v>
      </c>
      <c r="T2045" s="9"/>
      <c r="U2045" s="1">
        <f t="shared" si="3220"/>
        <v>47</v>
      </c>
      <c r="V2045" s="1">
        <f t="shared" si="3221"/>
        <v>220</v>
      </c>
    </row>
    <row r="2046" spans="1:22" x14ac:dyDescent="0.3">
      <c r="A2046" s="1">
        <f t="shared" si="3241"/>
        <v>47221</v>
      </c>
      <c r="B2046" s="4"/>
      <c r="C2046" s="4"/>
      <c r="D2046" s="4"/>
      <c r="E2046" s="4"/>
      <c r="F2046" s="14"/>
      <c r="G2046" s="8"/>
      <c r="H2046" s="7"/>
      <c r="J2046" s="24" t="str">
        <f t="shared" ref="J2046" si="3296">CONCATENATE(K2045,1)</f>
        <v>61</v>
      </c>
      <c r="K2046" s="6" t="e">
        <f t="array" ref="K2046:O2048">LINEST(B2042:B2047,C2042:C2047^{1,2,3,4},TRUE,TRUE)</f>
        <v>#VALUE!</v>
      </c>
      <c r="L2046" s="6" t="e">
        <v>#VALUE!</v>
      </c>
      <c r="M2046" s="6" t="e">
        <v>#VALUE!</v>
      </c>
      <c r="N2046" s="6" t="e">
        <v>#VALUE!</v>
      </c>
      <c r="O2046" s="6" t="e">
        <v>#VALUE!</v>
      </c>
      <c r="T2046" s="9"/>
      <c r="U2046" s="1">
        <f t="shared" si="3220"/>
        <v>47</v>
      </c>
      <c r="V2046" s="1">
        <f t="shared" si="3221"/>
        <v>221</v>
      </c>
    </row>
    <row r="2047" spans="1:22" x14ac:dyDescent="0.3">
      <c r="A2047" s="1">
        <f t="shared" si="3241"/>
        <v>47222</v>
      </c>
      <c r="B2047" s="4"/>
      <c r="C2047" s="4"/>
      <c r="D2047" s="4"/>
      <c r="E2047" s="4"/>
      <c r="F2047" s="14"/>
      <c r="G2047" s="8"/>
      <c r="H2047" s="7"/>
      <c r="J2047" s="24" t="str">
        <f t="shared" ref="J2047" si="3297">CONCATENATE(K2045,2)</f>
        <v>62</v>
      </c>
      <c r="K2047" s="6" t="e">
        <v>#VALUE!</v>
      </c>
      <c r="L2047" s="6" t="e">
        <v>#VALUE!</v>
      </c>
      <c r="M2047" s="6" t="e">
        <v>#VALUE!</v>
      </c>
      <c r="N2047" s="6" t="e">
        <v>#VALUE!</v>
      </c>
      <c r="O2047" s="6" t="e">
        <v>#VALUE!</v>
      </c>
      <c r="T2047" s="9"/>
      <c r="U2047" s="1">
        <f t="shared" si="3220"/>
        <v>47</v>
      </c>
      <c r="V2047" s="1">
        <f t="shared" si="3221"/>
        <v>222</v>
      </c>
    </row>
    <row r="2048" spans="1:22" x14ac:dyDescent="0.3">
      <c r="A2048" s="1">
        <f t="shared" si="3241"/>
        <v>47223</v>
      </c>
      <c r="B2048" s="4"/>
      <c r="C2048" s="4"/>
      <c r="D2048" s="4"/>
      <c r="E2048" s="4"/>
      <c r="F2048" s="14"/>
      <c r="G2048" s="8"/>
      <c r="H2048" s="7"/>
      <c r="J2048" s="24" t="str">
        <f t="shared" ref="J2048" si="3298">CONCATENATE(K2045,3)</f>
        <v>63</v>
      </c>
      <c r="K2048" s="6" t="e">
        <v>#VALUE!</v>
      </c>
      <c r="L2048" s="6" t="e">
        <v>#VALUE!</v>
      </c>
      <c r="M2048" s="6" t="e">
        <v>#VALUE!</v>
      </c>
      <c r="N2048" s="6" t="e">
        <v>#VALUE!</v>
      </c>
      <c r="O2048" s="6" t="e">
        <v>#VALUE!</v>
      </c>
      <c r="T2048" s="9"/>
      <c r="U2048" s="1">
        <f t="shared" si="3220"/>
        <v>47</v>
      </c>
      <c r="V2048" s="1">
        <f t="shared" si="3221"/>
        <v>223</v>
      </c>
    </row>
    <row r="2049" spans="1:22" x14ac:dyDescent="0.3">
      <c r="A2049" s="1">
        <f t="shared" si="3241"/>
        <v>47224</v>
      </c>
      <c r="B2049" s="4"/>
      <c r="C2049" s="4"/>
      <c r="D2049" s="4"/>
      <c r="E2049" s="4"/>
      <c r="F2049" s="14"/>
      <c r="G2049" s="8"/>
      <c r="H2049" s="7"/>
      <c r="K2049" s="1">
        <v>7</v>
      </c>
      <c r="L2049" s="1">
        <v>7</v>
      </c>
      <c r="M2049" s="1">
        <v>7</v>
      </c>
      <c r="N2049" s="1">
        <v>7</v>
      </c>
      <c r="O2049" s="1">
        <v>7</v>
      </c>
      <c r="P2049" s="1">
        <v>7</v>
      </c>
      <c r="T2049" s="9"/>
      <c r="U2049" s="1">
        <f t="shared" si="3220"/>
        <v>47</v>
      </c>
      <c r="V2049" s="1">
        <f t="shared" si="3221"/>
        <v>224</v>
      </c>
    </row>
    <row r="2050" spans="1:22" x14ac:dyDescent="0.3">
      <c r="A2050" s="1">
        <f t="shared" si="3241"/>
        <v>47225</v>
      </c>
      <c r="B2050" s="4"/>
      <c r="C2050" s="4"/>
      <c r="D2050" s="4"/>
      <c r="E2050" s="4"/>
      <c r="F2050" s="14"/>
      <c r="G2050" s="8"/>
      <c r="H2050" s="7"/>
      <c r="J2050" s="24" t="str">
        <f t="shared" ref="J2050" si="3299">CONCATENATE(K2049,1)</f>
        <v>71</v>
      </c>
      <c r="K2050" s="6" t="e">
        <f t="array" ref="K2050:P2052">LINEST(B2042:B2048,C2042:C2048^{1,2,3,4,5},TRUE,TRUE)</f>
        <v>#VALUE!</v>
      </c>
      <c r="L2050" s="6" t="e">
        <v>#VALUE!</v>
      </c>
      <c r="M2050" s="6" t="e">
        <v>#VALUE!</v>
      </c>
      <c r="N2050" s="6" t="e">
        <v>#VALUE!</v>
      </c>
      <c r="O2050" s="6" t="e">
        <v>#VALUE!</v>
      </c>
      <c r="P2050" s="6" t="e">
        <v>#VALUE!</v>
      </c>
      <c r="T2050" s="9"/>
      <c r="U2050" s="1">
        <f t="shared" si="3220"/>
        <v>47</v>
      </c>
      <c r="V2050" s="1">
        <f t="shared" si="3221"/>
        <v>225</v>
      </c>
    </row>
    <row r="2051" spans="1:22" x14ac:dyDescent="0.3">
      <c r="A2051" s="1">
        <f t="shared" si="3241"/>
        <v>47226</v>
      </c>
      <c r="B2051" s="4"/>
      <c r="C2051" s="4"/>
      <c r="D2051" s="4"/>
      <c r="E2051" s="4"/>
      <c r="F2051" s="14"/>
      <c r="G2051" s="8"/>
      <c r="H2051" s="7"/>
      <c r="J2051" s="24" t="str">
        <f t="shared" ref="J2051" si="3300">CONCATENATE(K2049,2)</f>
        <v>72</v>
      </c>
      <c r="K2051" s="6" t="e">
        <v>#VALUE!</v>
      </c>
      <c r="L2051" s="6" t="e">
        <v>#VALUE!</v>
      </c>
      <c r="M2051" s="6" t="e">
        <v>#VALUE!</v>
      </c>
      <c r="N2051" s="6" t="e">
        <v>#VALUE!</v>
      </c>
      <c r="O2051" s="6" t="e">
        <v>#VALUE!</v>
      </c>
      <c r="P2051" s="6" t="e">
        <v>#VALUE!</v>
      </c>
      <c r="T2051" s="9"/>
      <c r="U2051" s="1">
        <f t="shared" si="3220"/>
        <v>47</v>
      </c>
      <c r="V2051" s="1">
        <f t="shared" si="3221"/>
        <v>226</v>
      </c>
    </row>
    <row r="2052" spans="1:22" x14ac:dyDescent="0.3">
      <c r="A2052" s="1">
        <f t="shared" si="3241"/>
        <v>47227</v>
      </c>
      <c r="B2052" s="9"/>
      <c r="C2052" s="9"/>
      <c r="D2052" s="9"/>
      <c r="E2052" s="9"/>
      <c r="F2052" s="9"/>
      <c r="G2052" s="9"/>
      <c r="H2052" s="9"/>
      <c r="J2052" s="24" t="str">
        <f t="shared" ref="J2052" si="3301">CONCATENATE(K2049,3)</f>
        <v>73</v>
      </c>
      <c r="K2052" s="6" t="e">
        <v>#VALUE!</v>
      </c>
      <c r="L2052" s="6" t="e">
        <v>#VALUE!</v>
      </c>
      <c r="M2052" s="6" t="e">
        <v>#VALUE!</v>
      </c>
      <c r="N2052" s="6" t="e">
        <v>#VALUE!</v>
      </c>
      <c r="O2052" s="6" t="e">
        <v>#VALUE!</v>
      </c>
      <c r="P2052" s="6" t="e">
        <v>#VALUE!</v>
      </c>
      <c r="T2052" s="9"/>
      <c r="U2052" s="1">
        <f t="shared" si="3220"/>
        <v>47</v>
      </c>
      <c r="V2052" s="1">
        <f t="shared" si="3221"/>
        <v>227</v>
      </c>
    </row>
    <row r="2053" spans="1:22" x14ac:dyDescent="0.3">
      <c r="A2053" s="1">
        <f t="shared" si="3241"/>
        <v>47228</v>
      </c>
      <c r="B2053" s="87" t="s">
        <v>33</v>
      </c>
      <c r="C2053" s="88"/>
      <c r="D2053" s="88"/>
      <c r="E2053" s="88"/>
      <c r="F2053" s="88"/>
      <c r="G2053" s="88"/>
      <c r="H2053" s="89"/>
      <c r="K2053" s="1">
        <v>8</v>
      </c>
      <c r="L2053" s="1">
        <v>8</v>
      </c>
      <c r="M2053" s="1">
        <v>8</v>
      </c>
      <c r="N2053" s="1">
        <v>8</v>
      </c>
      <c r="O2053" s="1">
        <v>8</v>
      </c>
      <c r="P2053" s="1">
        <v>8</v>
      </c>
      <c r="Q2053" s="1">
        <v>8</v>
      </c>
      <c r="T2053" s="9"/>
      <c r="U2053" s="1">
        <f t="shared" si="3220"/>
        <v>47</v>
      </c>
      <c r="V2053" s="1">
        <f t="shared" si="3221"/>
        <v>228</v>
      </c>
    </row>
    <row r="2054" spans="1:22" x14ac:dyDescent="0.3">
      <c r="A2054" s="1">
        <f t="shared" si="3241"/>
        <v>47229</v>
      </c>
      <c r="B2054" s="90"/>
      <c r="C2054" s="91"/>
      <c r="D2054" s="91"/>
      <c r="E2054" s="91"/>
      <c r="F2054" s="91"/>
      <c r="G2054" s="91"/>
      <c r="H2054" s="92"/>
      <c r="J2054" s="24" t="str">
        <f t="shared" ref="J2054" si="3302">CONCATENATE(K2053,1)</f>
        <v>81</v>
      </c>
      <c r="K2054" s="6" t="e">
        <f t="array" ref="K2054:Q2056">LINEST(B2042:B2049,C2042:C2049^{1,2,3,4,5,6},TRUE,TRUE)</f>
        <v>#VALUE!</v>
      </c>
      <c r="L2054" s="6" t="e">
        <v>#VALUE!</v>
      </c>
      <c r="M2054" s="6" t="e">
        <v>#VALUE!</v>
      </c>
      <c r="N2054" s="6" t="e">
        <v>#VALUE!</v>
      </c>
      <c r="O2054" s="6" t="e">
        <v>#VALUE!</v>
      </c>
      <c r="P2054" s="6" t="e">
        <v>#VALUE!</v>
      </c>
      <c r="Q2054" s="6" t="e">
        <v>#VALUE!</v>
      </c>
      <c r="T2054" s="9"/>
      <c r="U2054" s="1">
        <f t="shared" si="3220"/>
        <v>47</v>
      </c>
      <c r="V2054" s="1">
        <f t="shared" si="3221"/>
        <v>229</v>
      </c>
    </row>
    <row r="2055" spans="1:22" x14ac:dyDescent="0.3">
      <c r="A2055" s="1">
        <f t="shared" si="3241"/>
        <v>47230</v>
      </c>
      <c r="B2055" s="93"/>
      <c r="C2055" s="94"/>
      <c r="D2055" s="94"/>
      <c r="E2055" s="94"/>
      <c r="F2055" s="94"/>
      <c r="G2055" s="94"/>
      <c r="H2055" s="95"/>
      <c r="J2055" s="24" t="str">
        <f t="shared" ref="J2055" si="3303">CONCATENATE(K2053,2)</f>
        <v>82</v>
      </c>
      <c r="K2055" s="6" t="e">
        <v>#VALUE!</v>
      </c>
      <c r="L2055" s="6" t="e">
        <v>#VALUE!</v>
      </c>
      <c r="M2055" s="6" t="e">
        <v>#VALUE!</v>
      </c>
      <c r="N2055" s="6" t="e">
        <v>#VALUE!</v>
      </c>
      <c r="O2055" s="6" t="e">
        <v>#VALUE!</v>
      </c>
      <c r="P2055" s="6" t="e">
        <v>#VALUE!</v>
      </c>
      <c r="Q2055" s="6" t="e">
        <v>#VALUE!</v>
      </c>
      <c r="T2055" s="9"/>
      <c r="U2055" s="1">
        <f t="shared" si="3220"/>
        <v>47</v>
      </c>
      <c r="V2055" s="1">
        <f t="shared" si="3221"/>
        <v>230</v>
      </c>
    </row>
    <row r="2056" spans="1:22" x14ac:dyDescent="0.3">
      <c r="A2056" s="1">
        <f t="shared" si="3241"/>
        <v>47231</v>
      </c>
      <c r="J2056" s="24" t="str">
        <f t="shared" ref="J2056" si="3304">CONCATENATE(K2053,3)</f>
        <v>83</v>
      </c>
      <c r="K2056" s="6" t="e">
        <v>#VALUE!</v>
      </c>
      <c r="L2056" s="6" t="e">
        <v>#VALUE!</v>
      </c>
      <c r="M2056" s="6" t="e">
        <v>#VALUE!</v>
      </c>
      <c r="N2056" s="6" t="e">
        <v>#VALUE!</v>
      </c>
      <c r="O2056" s="6" t="e">
        <v>#VALUE!</v>
      </c>
      <c r="P2056" s="6" t="e">
        <v>#VALUE!</v>
      </c>
      <c r="Q2056" s="6" t="e">
        <v>#VALUE!</v>
      </c>
      <c r="T2056" s="9"/>
      <c r="U2056" s="1">
        <f t="shared" si="3220"/>
        <v>47</v>
      </c>
      <c r="V2056" s="1">
        <f t="shared" si="3221"/>
        <v>231</v>
      </c>
    </row>
    <row r="2057" spans="1:22" ht="15" customHeight="1" x14ac:dyDescent="0.3">
      <c r="A2057" s="1">
        <f t="shared" si="3241"/>
        <v>47232</v>
      </c>
      <c r="B2057" s="10" t="s">
        <v>34</v>
      </c>
      <c r="C2057" s="10" t="s">
        <v>35</v>
      </c>
      <c r="D2057" s="10" t="s">
        <v>36</v>
      </c>
      <c r="E2057" s="74" t="s">
        <v>37</v>
      </c>
      <c r="F2057" s="75"/>
      <c r="G2057" s="76"/>
      <c r="K2057" s="1">
        <v>9</v>
      </c>
      <c r="L2057" s="1">
        <v>9</v>
      </c>
      <c r="M2057" s="1">
        <v>9</v>
      </c>
      <c r="N2057" s="1">
        <v>9</v>
      </c>
      <c r="O2057" s="1">
        <v>9</v>
      </c>
      <c r="P2057" s="1">
        <v>9</v>
      </c>
      <c r="Q2057" s="1">
        <v>9</v>
      </c>
      <c r="R2057" s="1">
        <v>9</v>
      </c>
      <c r="T2057" s="9"/>
      <c r="U2057" s="1">
        <f t="shared" si="3220"/>
        <v>47</v>
      </c>
      <c r="V2057" s="1">
        <f t="shared" si="3221"/>
        <v>232</v>
      </c>
    </row>
    <row r="2058" spans="1:22" x14ac:dyDescent="0.3">
      <c r="A2058" s="1">
        <f t="shared" si="3241"/>
        <v>47233</v>
      </c>
      <c r="B2058" s="12">
        <f t="shared" ref="B2058:B2067" si="3305">C2042-B2042</f>
        <v>1</v>
      </c>
      <c r="C2058" s="13">
        <f t="shared" ref="C2058:C2067" si="3306">H2042-G2042</f>
        <v>0</v>
      </c>
      <c r="D2058" s="10">
        <f t="shared" ref="D2058:D2067" si="3307">C2058-B2058</f>
        <v>-1</v>
      </c>
      <c r="E2058" s="11">
        <f t="shared" ref="E2058" si="3308">IF(D2033="","",MAX(F2058,G2058))</f>
        <v>3</v>
      </c>
      <c r="F2058" s="10">
        <f t="shared" ref="F2058" si="3309">ABS(MIN(D2058:D2067))</f>
        <v>1</v>
      </c>
      <c r="G2058" s="10">
        <f t="shared" ref="G2058" si="3310">ABS(MAX(D2058:D2067))</f>
        <v>3</v>
      </c>
      <c r="J2058" s="24" t="str">
        <f t="shared" ref="J2058" si="3311">CONCATENATE(K2057,1)</f>
        <v>91</v>
      </c>
      <c r="K2058" s="6" t="e">
        <f t="array" ref="K2058:R2060">LINEST(B2042:B2050,C2042:C2050^{1,2,3,4,5,6,7},TRUE,TRUE)</f>
        <v>#VALUE!</v>
      </c>
      <c r="L2058" s="6" t="e">
        <v>#VALUE!</v>
      </c>
      <c r="M2058" s="6" t="e">
        <v>#VALUE!</v>
      </c>
      <c r="N2058" s="6" t="e">
        <v>#VALUE!</v>
      </c>
      <c r="O2058" s="6" t="e">
        <v>#VALUE!</v>
      </c>
      <c r="P2058" s="6" t="e">
        <v>#VALUE!</v>
      </c>
      <c r="Q2058" s="6" t="e">
        <v>#VALUE!</v>
      </c>
      <c r="R2058" s="6" t="e">
        <v>#VALUE!</v>
      </c>
      <c r="T2058" s="9"/>
      <c r="U2058" s="1">
        <f t="shared" si="3220"/>
        <v>47</v>
      </c>
      <c r="V2058" s="1">
        <f t="shared" si="3221"/>
        <v>233</v>
      </c>
    </row>
    <row r="2059" spans="1:22" x14ac:dyDescent="0.3">
      <c r="A2059" s="1">
        <f t="shared" si="3241"/>
        <v>47234</v>
      </c>
      <c r="B2059" s="12">
        <f t="shared" si="3305"/>
        <v>0</v>
      </c>
      <c r="C2059" s="13">
        <f t="shared" si="3306"/>
        <v>0</v>
      </c>
      <c r="D2059" s="10">
        <f t="shared" si="3307"/>
        <v>0</v>
      </c>
      <c r="E2059" s="74" t="s">
        <v>38</v>
      </c>
      <c r="F2059" s="75"/>
      <c r="G2059" s="76"/>
      <c r="J2059" s="24" t="str">
        <f t="shared" ref="J2059" si="3312">CONCATENATE(K2057,2)</f>
        <v>92</v>
      </c>
      <c r="K2059" s="6" t="e">
        <v>#VALUE!</v>
      </c>
      <c r="L2059" s="6" t="e">
        <v>#VALUE!</v>
      </c>
      <c r="M2059" s="6" t="e">
        <v>#VALUE!</v>
      </c>
      <c r="N2059" s="6" t="e">
        <v>#VALUE!</v>
      </c>
      <c r="O2059" s="6" t="e">
        <v>#VALUE!</v>
      </c>
      <c r="P2059" s="6" t="e">
        <v>#VALUE!</v>
      </c>
      <c r="Q2059" s="6" t="e">
        <v>#VALUE!</v>
      </c>
      <c r="R2059" s="6" t="e">
        <v>#VALUE!</v>
      </c>
      <c r="T2059" s="9"/>
      <c r="U2059" s="1">
        <f t="shared" si="3220"/>
        <v>47</v>
      </c>
      <c r="V2059" s="1">
        <f t="shared" si="3221"/>
        <v>234</v>
      </c>
    </row>
    <row r="2060" spans="1:22" x14ac:dyDescent="0.3">
      <c r="A2060" s="1">
        <f t="shared" si="3241"/>
        <v>47235</v>
      </c>
      <c r="B2060" s="12">
        <f t="shared" si="3305"/>
        <v>-3</v>
      </c>
      <c r="C2060" s="13">
        <f t="shared" si="3306"/>
        <v>0</v>
      </c>
      <c r="D2060" s="10">
        <f t="shared" si="3307"/>
        <v>3</v>
      </c>
      <c r="E2060" s="11">
        <f t="shared" ref="E2060" si="3313">IF(D2033="","",MAX(F2060,G2060))</f>
        <v>3</v>
      </c>
      <c r="F2060" s="10">
        <f t="shared" ref="F2060" si="3314">ABS(MIN(B2058:B2067))</f>
        <v>3</v>
      </c>
      <c r="G2060" s="10">
        <f t="shared" ref="G2060" si="3315">ABS(MAX(B2058:B2067))</f>
        <v>1</v>
      </c>
      <c r="J2060" s="24" t="str">
        <f t="shared" ref="J2060" si="3316">CONCATENATE(K2057,3)</f>
        <v>93</v>
      </c>
      <c r="K2060" s="6" t="e">
        <v>#VALUE!</v>
      </c>
      <c r="L2060" s="6" t="e">
        <v>#VALUE!</v>
      </c>
      <c r="M2060" s="6" t="e">
        <v>#VALUE!</v>
      </c>
      <c r="N2060" s="6" t="e">
        <v>#VALUE!</v>
      </c>
      <c r="O2060" s="6" t="e">
        <v>#VALUE!</v>
      </c>
      <c r="P2060" s="6" t="e">
        <v>#VALUE!</v>
      </c>
      <c r="Q2060" s="6" t="e">
        <v>#VALUE!</v>
      </c>
      <c r="R2060" s="6" t="e">
        <v>#VALUE!</v>
      </c>
      <c r="T2060" s="9"/>
      <c r="U2060" s="1">
        <f t="shared" si="3220"/>
        <v>47</v>
      </c>
      <c r="V2060" s="1">
        <f t="shared" si="3221"/>
        <v>235</v>
      </c>
    </row>
    <row r="2061" spans="1:22" x14ac:dyDescent="0.3">
      <c r="A2061" s="1">
        <f t="shared" si="3241"/>
        <v>47236</v>
      </c>
      <c r="B2061" s="12">
        <f t="shared" si="3305"/>
        <v>0</v>
      </c>
      <c r="C2061" s="13">
        <f t="shared" si="3306"/>
        <v>0</v>
      </c>
      <c r="D2061" s="10">
        <f t="shared" si="3307"/>
        <v>0</v>
      </c>
      <c r="E2061" s="74" t="s">
        <v>39</v>
      </c>
      <c r="F2061" s="75"/>
      <c r="G2061" s="76"/>
      <c r="K2061" s="1">
        <v>10</v>
      </c>
      <c r="L2061" s="1">
        <v>10</v>
      </c>
      <c r="M2061" s="1">
        <v>10</v>
      </c>
      <c r="N2061" s="1">
        <v>10</v>
      </c>
      <c r="O2061" s="1">
        <v>10</v>
      </c>
      <c r="P2061" s="1">
        <v>10</v>
      </c>
      <c r="Q2061" s="1">
        <v>10</v>
      </c>
      <c r="R2061" s="1">
        <v>10</v>
      </c>
      <c r="S2061" s="1">
        <v>10</v>
      </c>
      <c r="T2061" s="9"/>
      <c r="U2061" s="1">
        <f t="shared" si="3220"/>
        <v>47</v>
      </c>
      <c r="V2061" s="1">
        <f t="shared" si="3221"/>
        <v>236</v>
      </c>
    </row>
    <row r="2062" spans="1:22" x14ac:dyDescent="0.3">
      <c r="A2062" s="1">
        <f t="shared" si="3241"/>
        <v>47237</v>
      </c>
      <c r="B2062" s="12">
        <f t="shared" si="3305"/>
        <v>0</v>
      </c>
      <c r="C2062" s="13">
        <f t="shared" si="3306"/>
        <v>0</v>
      </c>
      <c r="D2062" s="10">
        <f t="shared" si="3307"/>
        <v>0</v>
      </c>
      <c r="E2062" s="11">
        <f t="shared" ref="E2062" si="3317">IF(D2033="","",MAX(F2062,G2062))</f>
        <v>2</v>
      </c>
      <c r="F2062" s="10">
        <f t="shared" ref="F2062" si="3318">ABS(MIN(D2042:D2051))</f>
        <v>2</v>
      </c>
      <c r="G2062" s="10">
        <f t="shared" ref="G2062" si="3319">ABS(MAX(D2042:D2051))</f>
        <v>2</v>
      </c>
      <c r="J2062" s="24" t="str">
        <f t="shared" ref="J2062" si="3320">CONCATENATE(K2061,1)</f>
        <v>101</v>
      </c>
      <c r="K2062" s="6" t="e">
        <f t="array" ref="K2062:S2064">LINEST(B2042:B2051,C2042:C2051^{1,2,3,4,5,6,7,8},TRUE,TRUE)</f>
        <v>#VALUE!</v>
      </c>
      <c r="L2062" s="6" t="e">
        <v>#VALUE!</v>
      </c>
      <c r="M2062" s="6" t="e">
        <v>#VALUE!</v>
      </c>
      <c r="N2062" s="6" t="e">
        <v>#VALUE!</v>
      </c>
      <c r="O2062" s="6" t="e">
        <v>#VALUE!</v>
      </c>
      <c r="P2062" s="6" t="e">
        <v>#VALUE!</v>
      </c>
      <c r="Q2062" s="6" t="e">
        <v>#VALUE!</v>
      </c>
      <c r="R2062" s="6" t="e">
        <v>#VALUE!</v>
      </c>
      <c r="S2062" s="6" t="e">
        <v>#VALUE!</v>
      </c>
      <c r="T2062" s="9"/>
      <c r="U2062" s="1">
        <f t="shared" si="3220"/>
        <v>47</v>
      </c>
      <c r="V2062" s="1">
        <f t="shared" si="3221"/>
        <v>237</v>
      </c>
    </row>
    <row r="2063" spans="1:22" x14ac:dyDescent="0.3">
      <c r="A2063" s="1">
        <f t="shared" si="3241"/>
        <v>47238</v>
      </c>
      <c r="B2063" s="12">
        <f t="shared" si="3305"/>
        <v>0</v>
      </c>
      <c r="C2063" s="13">
        <f t="shared" si="3306"/>
        <v>0</v>
      </c>
      <c r="D2063" s="10">
        <f t="shared" si="3307"/>
        <v>0</v>
      </c>
      <c r="J2063" s="24" t="str">
        <f t="shared" ref="J2063" si="3321">CONCATENATE(K2061,2)</f>
        <v>102</v>
      </c>
      <c r="K2063" s="6" t="e">
        <v>#VALUE!</v>
      </c>
      <c r="L2063" s="6" t="e">
        <v>#VALUE!</v>
      </c>
      <c r="M2063" s="6" t="e">
        <v>#VALUE!</v>
      </c>
      <c r="N2063" s="6" t="e">
        <v>#VALUE!</v>
      </c>
      <c r="O2063" s="6" t="e">
        <v>#VALUE!</v>
      </c>
      <c r="P2063" s="6" t="e">
        <v>#VALUE!</v>
      </c>
      <c r="Q2063" s="6" t="e">
        <v>#VALUE!</v>
      </c>
      <c r="R2063" s="6" t="e">
        <v>#VALUE!</v>
      </c>
      <c r="S2063" s="6" t="e">
        <v>#VALUE!</v>
      </c>
      <c r="T2063" s="9"/>
      <c r="U2063" s="1">
        <f t="shared" si="3220"/>
        <v>47</v>
      </c>
      <c r="V2063" s="1">
        <f t="shared" si="3221"/>
        <v>238</v>
      </c>
    </row>
    <row r="2064" spans="1:22" x14ac:dyDescent="0.3">
      <c r="A2064" s="1">
        <f t="shared" si="3241"/>
        <v>47239</v>
      </c>
      <c r="B2064" s="12">
        <f t="shared" si="3305"/>
        <v>0</v>
      </c>
      <c r="C2064" s="13">
        <f t="shared" si="3306"/>
        <v>0</v>
      </c>
      <c r="D2064" s="10">
        <f t="shared" si="3307"/>
        <v>0</v>
      </c>
      <c r="J2064" s="24" t="str">
        <f t="shared" ref="J2064" si="3322">CONCATENATE(K2061,3)</f>
        <v>103</v>
      </c>
      <c r="K2064" s="6" t="e">
        <v>#VALUE!</v>
      </c>
      <c r="L2064" s="6" t="e">
        <v>#VALUE!</v>
      </c>
      <c r="M2064" s="6" t="e">
        <v>#VALUE!</v>
      </c>
      <c r="N2064" s="6" t="e">
        <v>#VALUE!</v>
      </c>
      <c r="O2064" s="6" t="e">
        <v>#VALUE!</v>
      </c>
      <c r="P2064" s="6" t="e">
        <v>#VALUE!</v>
      </c>
      <c r="Q2064" s="6" t="e">
        <v>#VALUE!</v>
      </c>
      <c r="R2064" s="6" t="e">
        <v>#VALUE!</v>
      </c>
      <c r="S2064" s="6" t="e">
        <v>#VALUE!</v>
      </c>
      <c r="T2064" s="9"/>
      <c r="U2064" s="1">
        <f t="shared" si="3220"/>
        <v>47</v>
      </c>
      <c r="V2064" s="1">
        <f t="shared" si="3221"/>
        <v>239</v>
      </c>
    </row>
    <row r="2065" spans="1:22" x14ac:dyDescent="0.3">
      <c r="A2065" s="1">
        <f t="shared" si="3241"/>
        <v>47240</v>
      </c>
      <c r="B2065" s="12">
        <f t="shared" si="3305"/>
        <v>0</v>
      </c>
      <c r="C2065" s="13">
        <f t="shared" si="3306"/>
        <v>0</v>
      </c>
      <c r="D2065" s="10">
        <f t="shared" si="3307"/>
        <v>0</v>
      </c>
      <c r="J2065" s="9"/>
      <c r="K2065" s="9"/>
      <c r="L2065" s="9"/>
      <c r="M2065" s="9"/>
      <c r="N2065" s="9"/>
      <c r="O2065" s="9"/>
      <c r="P2065" s="9"/>
      <c r="Q2065" s="9"/>
      <c r="R2065" s="9"/>
      <c r="S2065" s="9"/>
      <c r="T2065" s="9"/>
      <c r="U2065" s="1">
        <f t="shared" si="3220"/>
        <v>47</v>
      </c>
      <c r="V2065" s="1">
        <f t="shared" si="3221"/>
        <v>240</v>
      </c>
    </row>
    <row r="2066" spans="1:22" x14ac:dyDescent="0.3">
      <c r="A2066" s="1">
        <f t="shared" si="3241"/>
        <v>47241</v>
      </c>
      <c r="B2066" s="12">
        <f t="shared" si="3305"/>
        <v>0</v>
      </c>
      <c r="C2066" s="13">
        <f t="shared" si="3306"/>
        <v>0</v>
      </c>
      <c r="D2066" s="10">
        <f t="shared" si="3307"/>
        <v>0</v>
      </c>
      <c r="J2066" s="9"/>
      <c r="K2066" s="9"/>
      <c r="L2066" s="9"/>
      <c r="M2066" s="9"/>
      <c r="N2066" s="9"/>
      <c r="O2066" s="9"/>
      <c r="P2066" s="9"/>
      <c r="Q2066" s="9"/>
      <c r="R2066" s="9"/>
      <c r="S2066" s="9"/>
      <c r="T2066" s="9"/>
      <c r="U2066" s="1">
        <f t="shared" si="3220"/>
        <v>47</v>
      </c>
      <c r="V2066" s="1">
        <f t="shared" si="3221"/>
        <v>241</v>
      </c>
    </row>
    <row r="2067" spans="1:22" x14ac:dyDescent="0.3">
      <c r="A2067" s="1">
        <f t="shared" si="3241"/>
        <v>47242</v>
      </c>
      <c r="B2067" s="12">
        <f t="shared" si="3305"/>
        <v>0</v>
      </c>
      <c r="C2067" s="13">
        <f t="shared" si="3306"/>
        <v>0</v>
      </c>
      <c r="D2067" s="10">
        <f t="shared" si="3307"/>
        <v>0</v>
      </c>
      <c r="J2067" s="9"/>
      <c r="K2067" s="9"/>
      <c r="L2067" s="9"/>
      <c r="M2067" s="9"/>
      <c r="N2067" s="9"/>
      <c r="O2067" s="9"/>
      <c r="P2067" s="9"/>
      <c r="Q2067" s="9"/>
      <c r="R2067" s="9"/>
      <c r="S2067" s="9"/>
      <c r="T2067" s="9"/>
      <c r="U2067" s="1">
        <f t="shared" si="3220"/>
        <v>47</v>
      </c>
      <c r="V2067" s="1">
        <f t="shared" si="3221"/>
        <v>242</v>
      </c>
    </row>
    <row r="2068" spans="1:22" x14ac:dyDescent="0.3">
      <c r="A2068" s="1">
        <f t="shared" si="3241"/>
        <v>47243</v>
      </c>
      <c r="J2068" s="9"/>
      <c r="K2068" s="9"/>
      <c r="L2068" s="9"/>
      <c r="M2068" s="9"/>
      <c r="N2068" s="9"/>
      <c r="O2068" s="9"/>
      <c r="P2068" s="9"/>
      <c r="Q2068" s="9"/>
      <c r="R2068" s="9"/>
      <c r="S2068" s="9"/>
      <c r="T2068" s="9"/>
      <c r="U2068" s="1">
        <f t="shared" si="3220"/>
        <v>47</v>
      </c>
      <c r="V2068" s="1">
        <f t="shared" si="3221"/>
        <v>243</v>
      </c>
    </row>
    <row r="2069" spans="1:22" s="5" customFormat="1" x14ac:dyDescent="0.3"/>
    <row r="2070" spans="1:22" x14ac:dyDescent="0.3">
      <c r="A2070" s="1">
        <f t="shared" ref="A2070:A2112" si="3323">ROUND(CONCATENATE(U2070,V2070),0)</f>
        <v>48201</v>
      </c>
      <c r="B2070" s="96" t="s">
        <v>0</v>
      </c>
      <c r="C2070" s="97"/>
      <c r="D2070" s="110" t="s">
        <v>46</v>
      </c>
      <c r="E2070" s="111"/>
      <c r="F2070" s="111"/>
      <c r="G2070" s="111"/>
      <c r="H2070" s="112"/>
      <c r="J2070" s="9"/>
      <c r="K2070" s="9"/>
      <c r="L2070" s="9"/>
      <c r="M2070" s="9"/>
      <c r="N2070" s="9"/>
      <c r="O2070" s="9"/>
      <c r="P2070" s="9"/>
      <c r="Q2070" s="9"/>
      <c r="R2070" s="9"/>
      <c r="S2070" s="9"/>
      <c r="T2070" s="9"/>
      <c r="U2070" s="1">
        <f t="shared" ref="U2070" si="3324">U2068+1</f>
        <v>48</v>
      </c>
      <c r="V2070" s="1">
        <v>201</v>
      </c>
    </row>
    <row r="2071" spans="1:22" x14ac:dyDescent="0.3">
      <c r="A2071" s="1">
        <f t="shared" si="3323"/>
        <v>48202</v>
      </c>
      <c r="B2071" s="96" t="s">
        <v>1</v>
      </c>
      <c r="C2071" s="97"/>
      <c r="D2071" s="15">
        <v>20</v>
      </c>
      <c r="E2071" s="16" t="s">
        <v>2</v>
      </c>
      <c r="F2071" s="107"/>
      <c r="G2071" s="108"/>
      <c r="H2071" s="109"/>
      <c r="J2071" s="9"/>
      <c r="K2071" s="9"/>
      <c r="L2071" s="9"/>
      <c r="M2071" s="9"/>
      <c r="N2071" s="9"/>
      <c r="O2071" s="9"/>
      <c r="P2071" s="9"/>
      <c r="Q2071" s="9"/>
      <c r="R2071" s="9"/>
      <c r="S2071" s="9"/>
      <c r="T2071" s="9"/>
      <c r="U2071" s="1">
        <f t="shared" ref="U2071" si="3325">U2070</f>
        <v>48</v>
      </c>
      <c r="V2071" s="1">
        <f t="shared" ref="V2071" si="3326">V2070+1</f>
        <v>202</v>
      </c>
    </row>
    <row r="2072" spans="1:22" x14ac:dyDescent="0.3">
      <c r="A2072" s="1">
        <f t="shared" si="3323"/>
        <v>48203</v>
      </c>
      <c r="B2072" s="96" t="s">
        <v>12</v>
      </c>
      <c r="C2072" s="97"/>
      <c r="D2072" s="110" t="s">
        <v>90</v>
      </c>
      <c r="E2072" s="111"/>
      <c r="F2072" s="111"/>
      <c r="G2072" s="111"/>
      <c r="H2072" s="112"/>
      <c r="K2072" s="1" t="s">
        <v>3</v>
      </c>
      <c r="L2072" s="1" t="s">
        <v>4</v>
      </c>
      <c r="M2072" s="1" t="s">
        <v>5</v>
      </c>
      <c r="N2072" s="1" t="s">
        <v>6</v>
      </c>
      <c r="O2072" s="1" t="s">
        <v>7</v>
      </c>
      <c r="P2072" s="1" t="s">
        <v>8</v>
      </c>
      <c r="Q2072" s="1" t="s">
        <v>9</v>
      </c>
      <c r="R2072" s="1" t="s">
        <v>10</v>
      </c>
      <c r="S2072" s="1" t="s">
        <v>11</v>
      </c>
      <c r="T2072" s="9"/>
      <c r="U2072" s="1">
        <f t="shared" si="3220"/>
        <v>48</v>
      </c>
      <c r="V2072" s="1">
        <f t="shared" si="3221"/>
        <v>203</v>
      </c>
    </row>
    <row r="2073" spans="1:22" x14ac:dyDescent="0.3">
      <c r="A2073" s="1">
        <f t="shared" si="3323"/>
        <v>48204</v>
      </c>
      <c r="B2073" s="96" t="s">
        <v>13</v>
      </c>
      <c r="C2073" s="97"/>
      <c r="D2073" s="110" t="s">
        <v>65</v>
      </c>
      <c r="E2073" s="111"/>
      <c r="F2073" s="111"/>
      <c r="G2073" s="111"/>
      <c r="H2073" s="112"/>
      <c r="J2073" s="1">
        <f t="shared" ref="J2073" si="3327">COUNTA(B2086:B2095)</f>
        <v>3</v>
      </c>
      <c r="K2073" s="1">
        <f t="shared" ref="K2073" si="3328">IF(L2073-1&lt;2,0,L2073-1)</f>
        <v>0</v>
      </c>
      <c r="L2073" s="1">
        <f t="shared" ref="L2073" si="3329">IF(M2073-1&lt;2,0,M2073-1)</f>
        <v>0</v>
      </c>
      <c r="M2073" s="1">
        <f t="shared" ref="M2073" si="3330">IF(N2073-1&lt;2,0,N2073-1)</f>
        <v>0</v>
      </c>
      <c r="N2073" s="1">
        <f t="shared" ref="N2073" si="3331">IF(O2073-1&lt;2,0,O2073-1)</f>
        <v>0</v>
      </c>
      <c r="O2073" s="1">
        <f t="shared" ref="O2073" si="3332">IF(P2073-1&lt;2,0,P2073-1)</f>
        <v>0</v>
      </c>
      <c r="P2073" s="1">
        <f t="shared" ref="P2073" si="3333">IF(Q2073-1&lt;2,0,Q2073-1)</f>
        <v>0</v>
      </c>
      <c r="Q2073" s="1">
        <f t="shared" ref="Q2073" si="3334">IF(R2073-1&lt;2,0,R2073-1)</f>
        <v>0</v>
      </c>
      <c r="R2073" s="1">
        <f t="shared" ref="R2073" si="3335">IF(S2073-1&lt;2,0,S2073-1)</f>
        <v>2</v>
      </c>
      <c r="S2073" s="1">
        <f t="shared" ref="S2073" si="3336">J2073</f>
        <v>3</v>
      </c>
      <c r="T2073" s="9"/>
      <c r="U2073" s="1">
        <f t="shared" si="3220"/>
        <v>48</v>
      </c>
      <c r="V2073" s="1">
        <f t="shared" si="3221"/>
        <v>204</v>
      </c>
    </row>
    <row r="2074" spans="1:22" x14ac:dyDescent="0.3">
      <c r="A2074" s="1">
        <f t="shared" si="3323"/>
        <v>48205</v>
      </c>
      <c r="B2074" s="96" t="s">
        <v>14</v>
      </c>
      <c r="C2074" s="97"/>
      <c r="D2074" s="110" t="s">
        <v>66</v>
      </c>
      <c r="E2074" s="111"/>
      <c r="F2074" s="111"/>
      <c r="G2074" s="111"/>
      <c r="H2074" s="112"/>
      <c r="J2074" s="24" t="str">
        <f t="shared" ref="J2074" si="3337">CONCATENATE(J2073,1)</f>
        <v>31</v>
      </c>
      <c r="K2074" s="25">
        <f t="shared" ref="K2074" si="3338">IF(K2073=0,0,VLOOKUP(J2074,J2078:S2108,K2073,FALSE))</f>
        <v>0</v>
      </c>
      <c r="L2074" s="25">
        <f t="shared" ref="L2074" si="3339">IF(L2073=0,0,VLOOKUP(J2074,J2078:S2108,L2073,FALSE))</f>
        <v>0</v>
      </c>
      <c r="M2074" s="25">
        <f t="shared" ref="M2074" si="3340">IF(M2073=0,0,VLOOKUP(J2074,J2078:S2108,M2073,FALSE))</f>
        <v>0</v>
      </c>
      <c r="N2074" s="25">
        <f t="shared" ref="N2074" si="3341">IF(N2073=0,0,VLOOKUP(J2074,J2078:S2108,N2073,FALSE))</f>
        <v>0</v>
      </c>
      <c r="O2074" s="25">
        <f t="shared" ref="O2074" si="3342">IF(O2073=0,0,VLOOKUP(J2074,J2078:S2108,O2073,FALSE))</f>
        <v>0</v>
      </c>
      <c r="P2074" s="25">
        <f t="shared" ref="P2074" si="3343">IF(P2073=0,0,VLOOKUP(J2074,J2078:S2108,P2073,FALSE))</f>
        <v>0</v>
      </c>
      <c r="Q2074" s="25">
        <f t="shared" ref="Q2074" si="3344">IF(Q2073=0,0,VLOOKUP(J2074,J2078:S2108,Q2073,FALSE))</f>
        <v>0</v>
      </c>
      <c r="R2074" s="25">
        <f t="shared" ref="R2074" si="3345">IF(R2073=0,0,VLOOKUP(J2074,J2078:S2108,R2073,FALSE))</f>
        <v>1.2499999999999998</v>
      </c>
      <c r="S2074" s="25">
        <f t="shared" ref="S2074" si="3346">IF(S2073=0,0,VLOOKUP(J2074,J2078:S2108,S2073,FALSE))</f>
        <v>-11.249999999999979</v>
      </c>
      <c r="T2074" s="9"/>
      <c r="U2074" s="1">
        <f t="shared" si="3220"/>
        <v>48</v>
      </c>
      <c r="V2074" s="1">
        <f t="shared" si="3221"/>
        <v>205</v>
      </c>
    </row>
    <row r="2075" spans="1:22" x14ac:dyDescent="0.3">
      <c r="A2075" s="1">
        <f t="shared" si="3323"/>
        <v>48206</v>
      </c>
      <c r="B2075" s="96" t="s">
        <v>15</v>
      </c>
      <c r="C2075" s="97"/>
      <c r="D2075" s="110" t="s">
        <v>124</v>
      </c>
      <c r="E2075" s="111"/>
      <c r="F2075" s="111"/>
      <c r="G2075" s="111"/>
      <c r="H2075" s="112"/>
      <c r="J2075" s="24" t="str">
        <f t="shared" ref="J2075" si="3347">CONCATENATE(J2073,2)</f>
        <v>32</v>
      </c>
      <c r="K2075" s="6">
        <f t="shared" ref="K2075" si="3348">IF(K2073=0,0,VLOOKUP(J2075,J2078:S2108,K2073,FALSE))</f>
        <v>0</v>
      </c>
      <c r="L2075" s="6">
        <f t="shared" ref="L2075" si="3349">IF(L2073=0,0,VLOOKUP(J2075,J2078:S2108,L2073,FALSE))</f>
        <v>0</v>
      </c>
      <c r="M2075" s="6">
        <f t="shared" ref="M2075" si="3350">IF(M2073=0,0,VLOOKUP(J2075,J2078:S2108,M2073,FALSE))</f>
        <v>0</v>
      </c>
      <c r="N2075" s="6">
        <f t="shared" ref="N2075" si="3351">IF(N2073=0,0,VLOOKUP(J2075,J2078:S2108,N2073,FALSE))</f>
        <v>0</v>
      </c>
      <c r="O2075" s="6">
        <f t="shared" ref="O2075" si="3352">IF(O2073=0,0,VLOOKUP(J2075,J2078:S2108,O2073,FALSE))</f>
        <v>0</v>
      </c>
      <c r="P2075" s="6">
        <f t="shared" ref="P2075" si="3353">IF(P2073=0,0,VLOOKUP(J2075,J2078:S2108,P2073,FALSE))</f>
        <v>0</v>
      </c>
      <c r="Q2075" s="6">
        <f t="shared" ref="Q2075" si="3354">IF(Q2073=0,0,VLOOKUP(J2075,J2078:S2108,Q2073,FALSE))</f>
        <v>0</v>
      </c>
      <c r="R2075" s="6">
        <f t="shared" ref="R2075" si="3355">IF(R2073=0,0,VLOOKUP(J2075,J2078:S2108,R2073,FALSE))</f>
        <v>0</v>
      </c>
      <c r="S2075" s="6">
        <f t="shared" ref="S2075" si="3356">IF(S2073=0,0,VLOOKUP(J2075,J2078:S2108,S2073,FALSE))</f>
        <v>0</v>
      </c>
      <c r="T2075" s="9"/>
      <c r="U2075" s="1">
        <f t="shared" ref="U2075:U2138" si="3357">U2074</f>
        <v>48</v>
      </c>
      <c r="V2075" s="1">
        <f t="shared" ref="V2075:V2138" si="3358">V2074+1</f>
        <v>206</v>
      </c>
    </row>
    <row r="2076" spans="1:22" x14ac:dyDescent="0.3">
      <c r="A2076" s="1">
        <f t="shared" si="3323"/>
        <v>48207</v>
      </c>
      <c r="B2076" s="96" t="s">
        <v>16</v>
      </c>
      <c r="C2076" s="97"/>
      <c r="D2076" s="113">
        <v>44274</v>
      </c>
      <c r="E2076" s="114"/>
      <c r="F2076" s="114"/>
      <c r="G2076" s="114"/>
      <c r="H2076" s="115"/>
      <c r="J2076" s="24" t="str">
        <f t="shared" ref="J2076" si="3359">CONCATENATE(J2073,3)</f>
        <v>33</v>
      </c>
      <c r="K2076" s="6"/>
      <c r="L2076" s="6"/>
      <c r="M2076" s="6"/>
      <c r="N2076" s="6" t="s">
        <v>43</v>
      </c>
      <c r="O2076" s="25">
        <f t="shared" ref="O2076" si="3360">J2073-2</f>
        <v>1</v>
      </c>
      <c r="P2076" s="6" t="s">
        <v>44</v>
      </c>
      <c r="Q2076" s="25">
        <f t="shared" ref="Q2076" si="3361">VLOOKUP(J2076,J2078:S2108,3,FALSE)</f>
        <v>0</v>
      </c>
      <c r="R2076" s="6" t="s">
        <v>45</v>
      </c>
      <c r="S2076" s="6">
        <f t="shared" ref="S2076" si="3362">VLOOKUP(J2076,J2078:S2108,2,FALSE)</f>
        <v>1</v>
      </c>
      <c r="T2076" s="9"/>
      <c r="U2076" s="1">
        <f t="shared" si="3357"/>
        <v>48</v>
      </c>
      <c r="V2076" s="1">
        <f t="shared" si="3358"/>
        <v>207</v>
      </c>
    </row>
    <row r="2077" spans="1:22" x14ac:dyDescent="0.3">
      <c r="A2077" s="1">
        <f t="shared" si="3323"/>
        <v>48208</v>
      </c>
      <c r="B2077" s="96" t="s">
        <v>17</v>
      </c>
      <c r="C2077" s="97"/>
      <c r="D2077" s="116">
        <v>44651</v>
      </c>
      <c r="E2077" s="117"/>
      <c r="F2077" s="117"/>
      <c r="G2077" s="117"/>
      <c r="H2077" s="118"/>
      <c r="K2077" s="1">
        <v>3</v>
      </c>
      <c r="L2077" s="1">
        <v>3</v>
      </c>
      <c r="Q2077" s="26"/>
      <c r="R2077" s="26"/>
      <c r="S2077" s="26"/>
      <c r="T2077" s="9"/>
      <c r="U2077" s="1">
        <f t="shared" si="3357"/>
        <v>48</v>
      </c>
      <c r="V2077" s="1">
        <f t="shared" si="3358"/>
        <v>208</v>
      </c>
    </row>
    <row r="2078" spans="1:22" x14ac:dyDescent="0.3">
      <c r="A2078" s="1">
        <f t="shared" si="3323"/>
        <v>48209</v>
      </c>
      <c r="B2078" s="77" t="s">
        <v>19</v>
      </c>
      <c r="C2078" s="78"/>
      <c r="D2078" s="17">
        <v>1</v>
      </c>
      <c r="E2078" s="79" t="s">
        <v>40</v>
      </c>
      <c r="F2078" s="80"/>
      <c r="G2078" s="81"/>
      <c r="H2078" s="18" t="s">
        <v>72</v>
      </c>
      <c r="J2078" s="24" t="str">
        <f t="shared" ref="J2078" si="3363">CONCATENATE(K2077,1)</f>
        <v>31</v>
      </c>
      <c r="K2078" s="6">
        <f t="array" ref="K2078:L2080">LINEST(B2086:B2088,C2086:C2088^{1},TRUE,TRUE)</f>
        <v>1.2499999999999998</v>
      </c>
      <c r="L2078" s="6">
        <v>-11.249999999999979</v>
      </c>
      <c r="Q2078" s="9"/>
      <c r="R2078" s="9"/>
      <c r="S2078" s="9"/>
      <c r="T2078" s="9"/>
      <c r="U2078" s="1">
        <f t="shared" si="3357"/>
        <v>48</v>
      </c>
      <c r="V2078" s="1">
        <f t="shared" si="3358"/>
        <v>209</v>
      </c>
    </row>
    <row r="2079" spans="1:22" x14ac:dyDescent="0.3">
      <c r="A2079" s="1">
        <f t="shared" si="3323"/>
        <v>48210</v>
      </c>
      <c r="B2079" s="77" t="s">
        <v>41</v>
      </c>
      <c r="C2079" s="78"/>
      <c r="D2079" s="23">
        <f t="shared" ref="D2079" si="3364">MIN(B2086:B2095)</f>
        <v>30</v>
      </c>
      <c r="E2079" s="20" t="s">
        <v>18</v>
      </c>
      <c r="F2079" s="19">
        <f t="shared" ref="F2079" si="3365">MAX(B2086:B2095)</f>
        <v>80</v>
      </c>
      <c r="G2079" s="21" t="str">
        <f t="shared" ref="G2079" si="3366">IF(H2078="","",H2078)</f>
        <v>%ur</v>
      </c>
      <c r="H2079" s="22"/>
      <c r="J2079" s="24" t="str">
        <f t="shared" ref="J2079" si="3367">CONCATENATE(K2077,2)</f>
        <v>32</v>
      </c>
      <c r="K2079" s="6">
        <v>0</v>
      </c>
      <c r="L2079" s="6">
        <v>0</v>
      </c>
      <c r="Q2079" s="9"/>
      <c r="R2079" s="9"/>
      <c r="S2079" s="9"/>
      <c r="T2079" s="9"/>
      <c r="U2079" s="1">
        <f t="shared" si="3357"/>
        <v>48</v>
      </c>
      <c r="V2079" s="1">
        <f t="shared" si="3358"/>
        <v>210</v>
      </c>
    </row>
    <row r="2080" spans="1:22" x14ac:dyDescent="0.3">
      <c r="A2080" s="1">
        <f t="shared" si="3323"/>
        <v>48211</v>
      </c>
      <c r="J2080" s="24" t="str">
        <f t="shared" ref="J2080" si="3368">CONCATENATE(K2077,3)</f>
        <v>33</v>
      </c>
      <c r="K2080" s="6">
        <v>1</v>
      </c>
      <c r="L2080" s="6">
        <v>0</v>
      </c>
      <c r="Q2080" s="9"/>
      <c r="R2080" s="9"/>
      <c r="S2080" s="9"/>
      <c r="T2080" s="9"/>
      <c r="U2080" s="1">
        <f t="shared" si="3357"/>
        <v>48</v>
      </c>
      <c r="V2080" s="1">
        <f t="shared" si="3358"/>
        <v>211</v>
      </c>
    </row>
    <row r="2081" spans="1:22" x14ac:dyDescent="0.3">
      <c r="A2081" s="1">
        <f t="shared" si="3323"/>
        <v>48212</v>
      </c>
      <c r="B2081" s="82" t="s">
        <v>20</v>
      </c>
      <c r="C2081" s="83"/>
      <c r="D2081" s="83"/>
      <c r="E2081" s="83"/>
      <c r="F2081" s="84"/>
      <c r="G2081" s="85" t="s">
        <v>31</v>
      </c>
      <c r="H2081" s="86"/>
      <c r="K2081" s="1">
        <v>4</v>
      </c>
      <c r="L2081" s="1">
        <v>4</v>
      </c>
      <c r="M2081" s="1">
        <v>4</v>
      </c>
      <c r="Q2081" s="9"/>
      <c r="R2081" s="9"/>
      <c r="S2081" s="9"/>
      <c r="T2081" s="9"/>
      <c r="U2081" s="1">
        <f t="shared" si="3357"/>
        <v>48</v>
      </c>
      <c r="V2081" s="1">
        <f t="shared" si="3358"/>
        <v>212</v>
      </c>
    </row>
    <row r="2082" spans="1:22" x14ac:dyDescent="0.3">
      <c r="A2082" s="1">
        <f t="shared" si="3323"/>
        <v>48213</v>
      </c>
      <c r="B2082" s="82" t="s">
        <v>30</v>
      </c>
      <c r="C2082" s="83"/>
      <c r="D2082" s="84"/>
      <c r="E2082" s="82" t="str">
        <f t="shared" ref="E2082" si="3369">D2075</f>
        <v>R0105/21</v>
      </c>
      <c r="F2082" s="84"/>
      <c r="G2082" s="6" t="s">
        <v>32</v>
      </c>
      <c r="H2082" s="36" t="s">
        <v>91</v>
      </c>
      <c r="J2082" s="24" t="str">
        <f t="shared" ref="J2082" si="3370">CONCATENATE(K2081,1)</f>
        <v>41</v>
      </c>
      <c r="K2082" s="6" t="e">
        <f t="array" ref="K2082:M2084">LINEST(B2086:B2089,C2086:C2089^{1,2},TRUE,TRUE)</f>
        <v>#VALUE!</v>
      </c>
      <c r="L2082" s="6" t="e">
        <v>#VALUE!</v>
      </c>
      <c r="M2082" s="6" t="e">
        <v>#VALUE!</v>
      </c>
      <c r="Q2082" s="9"/>
      <c r="R2082" s="9"/>
      <c r="S2082" s="9"/>
      <c r="T2082" s="9"/>
      <c r="U2082" s="1">
        <f t="shared" si="3357"/>
        <v>48</v>
      </c>
      <c r="V2082" s="1">
        <f t="shared" si="3358"/>
        <v>213</v>
      </c>
    </row>
    <row r="2083" spans="1:22" x14ac:dyDescent="0.3">
      <c r="A2083" s="1">
        <f t="shared" si="3323"/>
        <v>48214</v>
      </c>
      <c r="B2083" s="2" t="s">
        <v>21</v>
      </c>
      <c r="C2083" s="2" t="s">
        <v>22</v>
      </c>
      <c r="D2083" s="2" t="s">
        <v>23</v>
      </c>
      <c r="E2083" s="2"/>
      <c r="F2083" s="2" t="s">
        <v>28</v>
      </c>
      <c r="G2083" s="2" t="s">
        <v>21</v>
      </c>
      <c r="H2083" s="2" t="s">
        <v>22</v>
      </c>
      <c r="J2083" s="24" t="str">
        <f t="shared" ref="J2083" si="3371">CONCATENATE(K2081,2)</f>
        <v>42</v>
      </c>
      <c r="K2083" s="6" t="e">
        <v>#VALUE!</v>
      </c>
      <c r="L2083" s="6" t="e">
        <v>#VALUE!</v>
      </c>
      <c r="M2083" s="6" t="e">
        <v>#VALUE!</v>
      </c>
      <c r="Q2083" s="9"/>
      <c r="R2083" s="9"/>
      <c r="S2083" s="9"/>
      <c r="T2083" s="9"/>
      <c r="U2083" s="1">
        <f t="shared" si="3357"/>
        <v>48</v>
      </c>
      <c r="V2083" s="1">
        <f t="shared" si="3358"/>
        <v>214</v>
      </c>
    </row>
    <row r="2084" spans="1:22" x14ac:dyDescent="0.3">
      <c r="A2084" s="1">
        <f t="shared" si="3323"/>
        <v>48215</v>
      </c>
      <c r="B2084" s="2" t="s">
        <v>24</v>
      </c>
      <c r="C2084" s="2" t="s">
        <v>25</v>
      </c>
      <c r="D2084" s="2" t="s">
        <v>26</v>
      </c>
      <c r="E2084" s="2" t="s">
        <v>27</v>
      </c>
      <c r="F2084" s="2" t="s">
        <v>29</v>
      </c>
      <c r="G2084" s="2" t="s">
        <v>24</v>
      </c>
      <c r="H2084" s="2" t="s">
        <v>25</v>
      </c>
      <c r="J2084" s="24" t="str">
        <f t="shared" ref="J2084" si="3372">CONCATENATE(K2081,3)</f>
        <v>43</v>
      </c>
      <c r="K2084" s="6" t="e">
        <v>#VALUE!</v>
      </c>
      <c r="L2084" s="6" t="e">
        <v>#VALUE!</v>
      </c>
      <c r="M2084" s="6" t="e">
        <v>#VALUE!</v>
      </c>
      <c r="Q2084" s="9"/>
      <c r="R2084" s="9"/>
      <c r="S2084" s="9"/>
      <c r="T2084" s="9"/>
      <c r="U2084" s="1">
        <f t="shared" si="3357"/>
        <v>48</v>
      </c>
      <c r="V2084" s="1">
        <f t="shared" si="3358"/>
        <v>215</v>
      </c>
    </row>
    <row r="2085" spans="1:22" x14ac:dyDescent="0.3">
      <c r="A2085" s="1">
        <f t="shared" si="3323"/>
        <v>48216</v>
      </c>
      <c r="B2085" s="3" t="str">
        <f t="shared" ref="B2085" si="3373">H2078</f>
        <v>%ur</v>
      </c>
      <c r="C2085" s="3" t="str">
        <f t="shared" ref="C2085:D2085" si="3374">B2085</f>
        <v>%ur</v>
      </c>
      <c r="D2085" s="3" t="str">
        <f t="shared" si="3374"/>
        <v>%ur</v>
      </c>
      <c r="E2085" s="3"/>
      <c r="F2085" s="3"/>
      <c r="G2085" s="3" t="str">
        <f t="shared" ref="G2085" si="3375">D2085</f>
        <v>%ur</v>
      </c>
      <c r="H2085" s="3" t="str">
        <f t="shared" ref="H2085" si="3376">G2085</f>
        <v>%ur</v>
      </c>
      <c r="K2085" s="1">
        <v>5</v>
      </c>
      <c r="L2085" s="1">
        <v>5</v>
      </c>
      <c r="M2085" s="1">
        <v>5</v>
      </c>
      <c r="N2085" s="1">
        <v>5</v>
      </c>
      <c r="Q2085" s="9"/>
      <c r="R2085" s="9"/>
      <c r="S2085" s="9"/>
      <c r="T2085" s="9"/>
      <c r="U2085" s="1">
        <f t="shared" si="3357"/>
        <v>48</v>
      </c>
      <c r="V2085" s="1">
        <f t="shared" si="3358"/>
        <v>216</v>
      </c>
    </row>
    <row r="2086" spans="1:22" x14ac:dyDescent="0.3">
      <c r="A2086" s="1">
        <f t="shared" si="3323"/>
        <v>48217</v>
      </c>
      <c r="B2086" s="4">
        <v>30</v>
      </c>
      <c r="C2086" s="4">
        <v>33</v>
      </c>
      <c r="D2086" s="4">
        <v>2</v>
      </c>
      <c r="E2086" s="4">
        <v>2</v>
      </c>
      <c r="F2086" s="14">
        <v>1000000</v>
      </c>
      <c r="G2086" s="8">
        <v>30</v>
      </c>
      <c r="H2086" s="7">
        <v>33</v>
      </c>
      <c r="J2086" s="24" t="str">
        <f t="shared" ref="J2086" si="3377">CONCATENATE(K2085,1)</f>
        <v>51</v>
      </c>
      <c r="K2086" s="6" t="e">
        <f t="array" ref="K2086:N2088">LINEST(B2086:B2090,C2086:C2090^{1,2,3},TRUE,TRUE)</f>
        <v>#VALUE!</v>
      </c>
      <c r="L2086" s="6" t="e">
        <v>#VALUE!</v>
      </c>
      <c r="M2086" s="6" t="e">
        <v>#VALUE!</v>
      </c>
      <c r="N2086" s="6" t="e">
        <v>#VALUE!</v>
      </c>
      <c r="Q2086" s="9"/>
      <c r="R2086" s="9"/>
      <c r="S2086" s="9"/>
      <c r="T2086" s="9"/>
      <c r="U2086" s="1">
        <f t="shared" si="3357"/>
        <v>48</v>
      </c>
      <c r="V2086" s="1">
        <f t="shared" si="3358"/>
        <v>217</v>
      </c>
    </row>
    <row r="2087" spans="1:22" x14ac:dyDescent="0.3">
      <c r="A2087" s="1">
        <f t="shared" si="3323"/>
        <v>48218</v>
      </c>
      <c r="B2087" s="4">
        <v>50</v>
      </c>
      <c r="C2087" s="4">
        <v>49</v>
      </c>
      <c r="D2087" s="4">
        <v>2</v>
      </c>
      <c r="E2087" s="4">
        <v>2</v>
      </c>
      <c r="F2087" s="14">
        <v>1000000</v>
      </c>
      <c r="G2087" s="8">
        <v>50</v>
      </c>
      <c r="H2087" s="7">
        <v>52</v>
      </c>
      <c r="J2087" s="24" t="str">
        <f t="shared" ref="J2087" si="3378">CONCATENATE(K2085,2)</f>
        <v>52</v>
      </c>
      <c r="K2087" s="6" t="e">
        <v>#VALUE!</v>
      </c>
      <c r="L2087" s="6" t="e">
        <v>#VALUE!</v>
      </c>
      <c r="M2087" s="6" t="e">
        <v>#VALUE!</v>
      </c>
      <c r="N2087" s="6" t="e">
        <v>#VALUE!</v>
      </c>
      <c r="T2087" s="9"/>
      <c r="U2087" s="1">
        <f t="shared" si="3357"/>
        <v>48</v>
      </c>
      <c r="V2087" s="1">
        <f t="shared" si="3358"/>
        <v>218</v>
      </c>
    </row>
    <row r="2088" spans="1:22" x14ac:dyDescent="0.3">
      <c r="A2088" s="1">
        <f t="shared" si="3323"/>
        <v>48219</v>
      </c>
      <c r="B2088" s="4">
        <v>80</v>
      </c>
      <c r="C2088" s="4">
        <v>73</v>
      </c>
      <c r="D2088" s="4">
        <v>2</v>
      </c>
      <c r="E2088" s="4">
        <v>2</v>
      </c>
      <c r="F2088" s="14">
        <v>1000000</v>
      </c>
      <c r="G2088" s="8">
        <v>80</v>
      </c>
      <c r="H2088" s="7">
        <v>80</v>
      </c>
      <c r="J2088" s="24" t="str">
        <f t="shared" ref="J2088" si="3379">CONCATENATE(K2085,3)</f>
        <v>53</v>
      </c>
      <c r="K2088" s="6" t="e">
        <v>#VALUE!</v>
      </c>
      <c r="L2088" s="6" t="e">
        <v>#VALUE!</v>
      </c>
      <c r="M2088" s="6" t="e">
        <v>#VALUE!</v>
      </c>
      <c r="N2088" s="6" t="e">
        <v>#VALUE!</v>
      </c>
      <c r="T2088" s="9"/>
      <c r="U2088" s="1">
        <f t="shared" si="3357"/>
        <v>48</v>
      </c>
      <c r="V2088" s="1">
        <f t="shared" si="3358"/>
        <v>219</v>
      </c>
    </row>
    <row r="2089" spans="1:22" x14ac:dyDescent="0.3">
      <c r="A2089" s="1">
        <f t="shared" si="3323"/>
        <v>48220</v>
      </c>
      <c r="B2089" s="4"/>
      <c r="C2089" s="4"/>
      <c r="D2089" s="4"/>
      <c r="E2089" s="4"/>
      <c r="F2089" s="14"/>
      <c r="G2089" s="8"/>
      <c r="H2089" s="7"/>
      <c r="K2089" s="1">
        <v>6</v>
      </c>
      <c r="L2089" s="1">
        <v>6</v>
      </c>
      <c r="M2089" s="1">
        <v>6</v>
      </c>
      <c r="N2089" s="1">
        <v>6</v>
      </c>
      <c r="O2089" s="1">
        <v>6</v>
      </c>
      <c r="T2089" s="9"/>
      <c r="U2089" s="1">
        <f t="shared" si="3357"/>
        <v>48</v>
      </c>
      <c r="V2089" s="1">
        <f t="shared" si="3358"/>
        <v>220</v>
      </c>
    </row>
    <row r="2090" spans="1:22" x14ac:dyDescent="0.3">
      <c r="A2090" s="1">
        <f t="shared" si="3323"/>
        <v>48221</v>
      </c>
      <c r="B2090" s="4"/>
      <c r="C2090" s="4"/>
      <c r="D2090" s="4"/>
      <c r="E2090" s="4"/>
      <c r="F2090" s="14"/>
      <c r="G2090" s="8"/>
      <c r="H2090" s="7"/>
      <c r="J2090" s="24" t="str">
        <f t="shared" ref="J2090" si="3380">CONCATENATE(K2089,1)</f>
        <v>61</v>
      </c>
      <c r="K2090" s="6" t="e">
        <f t="array" ref="K2090:O2092">LINEST(B2086:B2091,C2086:C2091^{1,2,3,4},TRUE,TRUE)</f>
        <v>#VALUE!</v>
      </c>
      <c r="L2090" s="6" t="e">
        <v>#VALUE!</v>
      </c>
      <c r="M2090" s="6" t="e">
        <v>#VALUE!</v>
      </c>
      <c r="N2090" s="6" t="e">
        <v>#VALUE!</v>
      </c>
      <c r="O2090" s="6" t="e">
        <v>#VALUE!</v>
      </c>
      <c r="T2090" s="9"/>
      <c r="U2090" s="1">
        <f t="shared" si="3357"/>
        <v>48</v>
      </c>
      <c r="V2090" s="1">
        <f t="shared" si="3358"/>
        <v>221</v>
      </c>
    </row>
    <row r="2091" spans="1:22" x14ac:dyDescent="0.3">
      <c r="A2091" s="1">
        <f t="shared" si="3323"/>
        <v>48222</v>
      </c>
      <c r="B2091" s="4"/>
      <c r="C2091" s="4"/>
      <c r="D2091" s="4"/>
      <c r="E2091" s="4"/>
      <c r="F2091" s="14"/>
      <c r="G2091" s="8"/>
      <c r="H2091" s="7"/>
      <c r="J2091" s="24" t="str">
        <f t="shared" ref="J2091" si="3381">CONCATENATE(K2089,2)</f>
        <v>62</v>
      </c>
      <c r="K2091" s="6" t="e">
        <v>#VALUE!</v>
      </c>
      <c r="L2091" s="6" t="e">
        <v>#VALUE!</v>
      </c>
      <c r="M2091" s="6" t="e">
        <v>#VALUE!</v>
      </c>
      <c r="N2091" s="6" t="e">
        <v>#VALUE!</v>
      </c>
      <c r="O2091" s="6" t="e">
        <v>#VALUE!</v>
      </c>
      <c r="T2091" s="9"/>
      <c r="U2091" s="1">
        <f t="shared" si="3357"/>
        <v>48</v>
      </c>
      <c r="V2091" s="1">
        <f t="shared" si="3358"/>
        <v>222</v>
      </c>
    </row>
    <row r="2092" spans="1:22" x14ac:dyDescent="0.3">
      <c r="A2092" s="1">
        <f t="shared" si="3323"/>
        <v>48223</v>
      </c>
      <c r="B2092" s="4"/>
      <c r="C2092" s="4"/>
      <c r="D2092" s="4"/>
      <c r="E2092" s="4"/>
      <c r="F2092" s="14"/>
      <c r="G2092" s="8"/>
      <c r="H2092" s="7"/>
      <c r="J2092" s="24" t="str">
        <f t="shared" ref="J2092" si="3382">CONCATENATE(K2089,3)</f>
        <v>63</v>
      </c>
      <c r="K2092" s="6" t="e">
        <v>#VALUE!</v>
      </c>
      <c r="L2092" s="6" t="e">
        <v>#VALUE!</v>
      </c>
      <c r="M2092" s="6" t="e">
        <v>#VALUE!</v>
      </c>
      <c r="N2092" s="6" t="e">
        <v>#VALUE!</v>
      </c>
      <c r="O2092" s="6" t="e">
        <v>#VALUE!</v>
      </c>
      <c r="T2092" s="9"/>
      <c r="U2092" s="1">
        <f t="shared" si="3357"/>
        <v>48</v>
      </c>
      <c r="V2092" s="1">
        <f t="shared" si="3358"/>
        <v>223</v>
      </c>
    </row>
    <row r="2093" spans="1:22" x14ac:dyDescent="0.3">
      <c r="A2093" s="1">
        <f t="shared" si="3323"/>
        <v>48224</v>
      </c>
      <c r="B2093" s="4"/>
      <c r="C2093" s="4"/>
      <c r="D2093" s="4"/>
      <c r="E2093" s="4"/>
      <c r="F2093" s="14"/>
      <c r="G2093" s="8"/>
      <c r="H2093" s="7"/>
      <c r="K2093" s="1">
        <v>7</v>
      </c>
      <c r="L2093" s="1">
        <v>7</v>
      </c>
      <c r="M2093" s="1">
        <v>7</v>
      </c>
      <c r="N2093" s="1">
        <v>7</v>
      </c>
      <c r="O2093" s="1">
        <v>7</v>
      </c>
      <c r="P2093" s="1">
        <v>7</v>
      </c>
      <c r="T2093" s="9"/>
      <c r="U2093" s="1">
        <f t="shared" si="3357"/>
        <v>48</v>
      </c>
      <c r="V2093" s="1">
        <f t="shared" si="3358"/>
        <v>224</v>
      </c>
    </row>
    <row r="2094" spans="1:22" x14ac:dyDescent="0.3">
      <c r="A2094" s="1">
        <f t="shared" si="3323"/>
        <v>48225</v>
      </c>
      <c r="B2094" s="4"/>
      <c r="C2094" s="4"/>
      <c r="D2094" s="4"/>
      <c r="E2094" s="4"/>
      <c r="F2094" s="14"/>
      <c r="G2094" s="8"/>
      <c r="H2094" s="7"/>
      <c r="J2094" s="24" t="str">
        <f t="shared" ref="J2094" si="3383">CONCATENATE(K2093,1)</f>
        <v>71</v>
      </c>
      <c r="K2094" s="6" t="e">
        <f t="array" ref="K2094:P2096">LINEST(B2086:B2092,C2086:C2092^{1,2,3,4,5},TRUE,TRUE)</f>
        <v>#VALUE!</v>
      </c>
      <c r="L2094" s="6" t="e">
        <v>#VALUE!</v>
      </c>
      <c r="M2094" s="6" t="e">
        <v>#VALUE!</v>
      </c>
      <c r="N2094" s="6" t="e">
        <v>#VALUE!</v>
      </c>
      <c r="O2094" s="6" t="e">
        <v>#VALUE!</v>
      </c>
      <c r="P2094" s="6" t="e">
        <v>#VALUE!</v>
      </c>
      <c r="T2094" s="9"/>
      <c r="U2094" s="1">
        <f t="shared" si="3357"/>
        <v>48</v>
      </c>
      <c r="V2094" s="1">
        <f t="shared" si="3358"/>
        <v>225</v>
      </c>
    </row>
    <row r="2095" spans="1:22" x14ac:dyDescent="0.3">
      <c r="A2095" s="1">
        <f t="shared" si="3323"/>
        <v>48226</v>
      </c>
      <c r="B2095" s="4"/>
      <c r="C2095" s="4"/>
      <c r="D2095" s="4"/>
      <c r="E2095" s="4"/>
      <c r="F2095" s="14"/>
      <c r="G2095" s="8"/>
      <c r="H2095" s="7"/>
      <c r="J2095" s="24" t="str">
        <f t="shared" ref="J2095" si="3384">CONCATENATE(K2093,2)</f>
        <v>72</v>
      </c>
      <c r="K2095" s="6" t="e">
        <v>#VALUE!</v>
      </c>
      <c r="L2095" s="6" t="e">
        <v>#VALUE!</v>
      </c>
      <c r="M2095" s="6" t="e">
        <v>#VALUE!</v>
      </c>
      <c r="N2095" s="6" t="e">
        <v>#VALUE!</v>
      </c>
      <c r="O2095" s="6" t="e">
        <v>#VALUE!</v>
      </c>
      <c r="P2095" s="6" t="e">
        <v>#VALUE!</v>
      </c>
      <c r="T2095" s="9"/>
      <c r="U2095" s="1">
        <f t="shared" si="3357"/>
        <v>48</v>
      </c>
      <c r="V2095" s="1">
        <f t="shared" si="3358"/>
        <v>226</v>
      </c>
    </row>
    <row r="2096" spans="1:22" x14ac:dyDescent="0.3">
      <c r="A2096" s="1">
        <f t="shared" si="3323"/>
        <v>48227</v>
      </c>
      <c r="B2096" s="9"/>
      <c r="C2096" s="9"/>
      <c r="D2096" s="9"/>
      <c r="E2096" s="9"/>
      <c r="F2096" s="9"/>
      <c r="G2096" s="9"/>
      <c r="H2096" s="9"/>
      <c r="J2096" s="24" t="str">
        <f t="shared" ref="J2096" si="3385">CONCATENATE(K2093,3)</f>
        <v>73</v>
      </c>
      <c r="K2096" s="6" t="e">
        <v>#VALUE!</v>
      </c>
      <c r="L2096" s="6" t="e">
        <v>#VALUE!</v>
      </c>
      <c r="M2096" s="6" t="e">
        <v>#VALUE!</v>
      </c>
      <c r="N2096" s="6" t="e">
        <v>#VALUE!</v>
      </c>
      <c r="O2096" s="6" t="e">
        <v>#VALUE!</v>
      </c>
      <c r="P2096" s="6" t="e">
        <v>#VALUE!</v>
      </c>
      <c r="T2096" s="9"/>
      <c r="U2096" s="1">
        <f t="shared" si="3357"/>
        <v>48</v>
      </c>
      <c r="V2096" s="1">
        <f t="shared" si="3358"/>
        <v>227</v>
      </c>
    </row>
    <row r="2097" spans="1:22" x14ac:dyDescent="0.3">
      <c r="A2097" s="1">
        <f t="shared" si="3323"/>
        <v>48228</v>
      </c>
      <c r="B2097" s="87" t="s">
        <v>33</v>
      </c>
      <c r="C2097" s="88"/>
      <c r="D2097" s="88"/>
      <c r="E2097" s="88"/>
      <c r="F2097" s="88"/>
      <c r="G2097" s="88"/>
      <c r="H2097" s="89"/>
      <c r="K2097" s="1">
        <v>8</v>
      </c>
      <c r="L2097" s="1">
        <v>8</v>
      </c>
      <c r="M2097" s="1">
        <v>8</v>
      </c>
      <c r="N2097" s="1">
        <v>8</v>
      </c>
      <c r="O2097" s="1">
        <v>8</v>
      </c>
      <c r="P2097" s="1">
        <v>8</v>
      </c>
      <c r="Q2097" s="1">
        <v>8</v>
      </c>
      <c r="T2097" s="9"/>
      <c r="U2097" s="1">
        <f t="shared" si="3357"/>
        <v>48</v>
      </c>
      <c r="V2097" s="1">
        <f t="shared" si="3358"/>
        <v>228</v>
      </c>
    </row>
    <row r="2098" spans="1:22" x14ac:dyDescent="0.3">
      <c r="A2098" s="1">
        <f t="shared" si="3323"/>
        <v>48229</v>
      </c>
      <c r="B2098" s="90"/>
      <c r="C2098" s="91"/>
      <c r="D2098" s="91"/>
      <c r="E2098" s="91"/>
      <c r="F2098" s="91"/>
      <c r="G2098" s="91"/>
      <c r="H2098" s="92"/>
      <c r="J2098" s="24" t="str">
        <f t="shared" ref="J2098" si="3386">CONCATENATE(K2097,1)</f>
        <v>81</v>
      </c>
      <c r="K2098" s="6" t="e">
        <f t="array" ref="K2098:Q2100">LINEST(B2086:B2093,C2086:C2093^{1,2,3,4,5,6},TRUE,TRUE)</f>
        <v>#VALUE!</v>
      </c>
      <c r="L2098" s="6" t="e">
        <v>#VALUE!</v>
      </c>
      <c r="M2098" s="6" t="e">
        <v>#VALUE!</v>
      </c>
      <c r="N2098" s="6" t="e">
        <v>#VALUE!</v>
      </c>
      <c r="O2098" s="6" t="e">
        <v>#VALUE!</v>
      </c>
      <c r="P2098" s="6" t="e">
        <v>#VALUE!</v>
      </c>
      <c r="Q2098" s="6" t="e">
        <v>#VALUE!</v>
      </c>
      <c r="T2098" s="9"/>
      <c r="U2098" s="1">
        <f t="shared" si="3357"/>
        <v>48</v>
      </c>
      <c r="V2098" s="1">
        <f t="shared" si="3358"/>
        <v>229</v>
      </c>
    </row>
    <row r="2099" spans="1:22" x14ac:dyDescent="0.3">
      <c r="A2099" s="1">
        <f t="shared" si="3323"/>
        <v>48230</v>
      </c>
      <c r="B2099" s="93"/>
      <c r="C2099" s="94"/>
      <c r="D2099" s="94"/>
      <c r="E2099" s="94"/>
      <c r="F2099" s="94"/>
      <c r="G2099" s="94"/>
      <c r="H2099" s="95"/>
      <c r="J2099" s="24" t="str">
        <f t="shared" ref="J2099" si="3387">CONCATENATE(K2097,2)</f>
        <v>82</v>
      </c>
      <c r="K2099" s="6" t="e">
        <v>#VALUE!</v>
      </c>
      <c r="L2099" s="6" t="e">
        <v>#VALUE!</v>
      </c>
      <c r="M2099" s="6" t="e">
        <v>#VALUE!</v>
      </c>
      <c r="N2099" s="6" t="e">
        <v>#VALUE!</v>
      </c>
      <c r="O2099" s="6" t="e">
        <v>#VALUE!</v>
      </c>
      <c r="P2099" s="6" t="e">
        <v>#VALUE!</v>
      </c>
      <c r="Q2099" s="6" t="e">
        <v>#VALUE!</v>
      </c>
      <c r="T2099" s="9"/>
      <c r="U2099" s="1">
        <f t="shared" si="3357"/>
        <v>48</v>
      </c>
      <c r="V2099" s="1">
        <f t="shared" si="3358"/>
        <v>230</v>
      </c>
    </row>
    <row r="2100" spans="1:22" x14ac:dyDescent="0.3">
      <c r="A2100" s="1">
        <f t="shared" si="3323"/>
        <v>48231</v>
      </c>
      <c r="J2100" s="24" t="str">
        <f t="shared" ref="J2100" si="3388">CONCATENATE(K2097,3)</f>
        <v>83</v>
      </c>
      <c r="K2100" s="6" t="e">
        <v>#VALUE!</v>
      </c>
      <c r="L2100" s="6" t="e">
        <v>#VALUE!</v>
      </c>
      <c r="M2100" s="6" t="e">
        <v>#VALUE!</v>
      </c>
      <c r="N2100" s="6" t="e">
        <v>#VALUE!</v>
      </c>
      <c r="O2100" s="6" t="e">
        <v>#VALUE!</v>
      </c>
      <c r="P2100" s="6" t="e">
        <v>#VALUE!</v>
      </c>
      <c r="Q2100" s="6" t="e">
        <v>#VALUE!</v>
      </c>
      <c r="T2100" s="9"/>
      <c r="U2100" s="1">
        <f t="shared" si="3357"/>
        <v>48</v>
      </c>
      <c r="V2100" s="1">
        <f t="shared" si="3358"/>
        <v>231</v>
      </c>
    </row>
    <row r="2101" spans="1:22" ht="15" customHeight="1" x14ac:dyDescent="0.3">
      <c r="A2101" s="1">
        <f t="shared" si="3323"/>
        <v>48232</v>
      </c>
      <c r="B2101" s="10" t="s">
        <v>34</v>
      </c>
      <c r="C2101" s="10" t="s">
        <v>35</v>
      </c>
      <c r="D2101" s="10" t="s">
        <v>36</v>
      </c>
      <c r="E2101" s="74" t="s">
        <v>37</v>
      </c>
      <c r="F2101" s="75"/>
      <c r="G2101" s="76"/>
      <c r="K2101" s="1">
        <v>9</v>
      </c>
      <c r="L2101" s="1">
        <v>9</v>
      </c>
      <c r="M2101" s="1">
        <v>9</v>
      </c>
      <c r="N2101" s="1">
        <v>9</v>
      </c>
      <c r="O2101" s="1">
        <v>9</v>
      </c>
      <c r="P2101" s="1">
        <v>9</v>
      </c>
      <c r="Q2101" s="1">
        <v>9</v>
      </c>
      <c r="R2101" s="1">
        <v>9</v>
      </c>
      <c r="T2101" s="9"/>
      <c r="U2101" s="1">
        <f t="shared" si="3357"/>
        <v>48</v>
      </c>
      <c r="V2101" s="1">
        <f t="shared" si="3358"/>
        <v>232</v>
      </c>
    </row>
    <row r="2102" spans="1:22" x14ac:dyDescent="0.3">
      <c r="A2102" s="1">
        <f t="shared" si="3323"/>
        <v>48233</v>
      </c>
      <c r="B2102" s="12">
        <f t="shared" ref="B2102:B2111" si="3389">C2086-B2086</f>
        <v>3</v>
      </c>
      <c r="C2102" s="13">
        <f t="shared" ref="C2102:C2111" si="3390">H2086-G2086</f>
        <v>3</v>
      </c>
      <c r="D2102" s="10">
        <f t="shared" ref="D2102:D2111" si="3391">C2102-B2102</f>
        <v>0</v>
      </c>
      <c r="E2102" s="11">
        <f t="shared" ref="E2102" si="3392">IF(D2077="","",MAX(F2102,G2102))</f>
        <v>7</v>
      </c>
      <c r="F2102" s="10">
        <f t="shared" ref="F2102" si="3393">ABS(MIN(D2102:D2111))</f>
        <v>0</v>
      </c>
      <c r="G2102" s="10">
        <f t="shared" ref="G2102" si="3394">ABS(MAX(D2102:D2111))</f>
        <v>7</v>
      </c>
      <c r="J2102" s="24" t="str">
        <f t="shared" ref="J2102" si="3395">CONCATENATE(K2101,1)</f>
        <v>91</v>
      </c>
      <c r="K2102" s="6" t="e">
        <f t="array" ref="K2102:R2104">LINEST(B2086:B2094,C2086:C2094^{1,2,3,4,5,6,7},TRUE,TRUE)</f>
        <v>#VALUE!</v>
      </c>
      <c r="L2102" s="6" t="e">
        <v>#VALUE!</v>
      </c>
      <c r="M2102" s="6" t="e">
        <v>#VALUE!</v>
      </c>
      <c r="N2102" s="6" t="e">
        <v>#VALUE!</v>
      </c>
      <c r="O2102" s="6" t="e">
        <v>#VALUE!</v>
      </c>
      <c r="P2102" s="6" t="e">
        <v>#VALUE!</v>
      </c>
      <c r="Q2102" s="6" t="e">
        <v>#VALUE!</v>
      </c>
      <c r="R2102" s="6" t="e">
        <v>#VALUE!</v>
      </c>
      <c r="T2102" s="9"/>
      <c r="U2102" s="1">
        <f t="shared" si="3357"/>
        <v>48</v>
      </c>
      <c r="V2102" s="1">
        <f t="shared" si="3358"/>
        <v>233</v>
      </c>
    </row>
    <row r="2103" spans="1:22" x14ac:dyDescent="0.3">
      <c r="A2103" s="1">
        <f t="shared" si="3323"/>
        <v>48234</v>
      </c>
      <c r="B2103" s="12">
        <f t="shared" si="3389"/>
        <v>-1</v>
      </c>
      <c r="C2103" s="13">
        <f t="shared" si="3390"/>
        <v>2</v>
      </c>
      <c r="D2103" s="10">
        <f t="shared" si="3391"/>
        <v>3</v>
      </c>
      <c r="E2103" s="74" t="s">
        <v>38</v>
      </c>
      <c r="F2103" s="75"/>
      <c r="G2103" s="76"/>
      <c r="J2103" s="24" t="str">
        <f t="shared" ref="J2103" si="3396">CONCATENATE(K2101,2)</f>
        <v>92</v>
      </c>
      <c r="K2103" s="6" t="e">
        <v>#VALUE!</v>
      </c>
      <c r="L2103" s="6" t="e">
        <v>#VALUE!</v>
      </c>
      <c r="M2103" s="6" t="e">
        <v>#VALUE!</v>
      </c>
      <c r="N2103" s="6" t="e">
        <v>#VALUE!</v>
      </c>
      <c r="O2103" s="6" t="e">
        <v>#VALUE!</v>
      </c>
      <c r="P2103" s="6" t="e">
        <v>#VALUE!</v>
      </c>
      <c r="Q2103" s="6" t="e">
        <v>#VALUE!</v>
      </c>
      <c r="R2103" s="6" t="e">
        <v>#VALUE!</v>
      </c>
      <c r="T2103" s="9"/>
      <c r="U2103" s="1">
        <f t="shared" si="3357"/>
        <v>48</v>
      </c>
      <c r="V2103" s="1">
        <f t="shared" si="3358"/>
        <v>234</v>
      </c>
    </row>
    <row r="2104" spans="1:22" x14ac:dyDescent="0.3">
      <c r="A2104" s="1">
        <f t="shared" si="3323"/>
        <v>48235</v>
      </c>
      <c r="B2104" s="12">
        <f t="shared" si="3389"/>
        <v>-7</v>
      </c>
      <c r="C2104" s="13">
        <f t="shared" si="3390"/>
        <v>0</v>
      </c>
      <c r="D2104" s="10">
        <f t="shared" si="3391"/>
        <v>7</v>
      </c>
      <c r="E2104" s="11">
        <f t="shared" ref="E2104" si="3397">IF(D2077="","",MAX(F2104,G2104))</f>
        <v>7</v>
      </c>
      <c r="F2104" s="10">
        <f t="shared" ref="F2104" si="3398">ABS(MIN(B2102:B2111))</f>
        <v>7</v>
      </c>
      <c r="G2104" s="10">
        <f t="shared" ref="G2104" si="3399">ABS(MAX(B2102:B2111))</f>
        <v>3</v>
      </c>
      <c r="J2104" s="24" t="str">
        <f t="shared" ref="J2104" si="3400">CONCATENATE(K2101,3)</f>
        <v>93</v>
      </c>
      <c r="K2104" s="6" t="e">
        <v>#VALUE!</v>
      </c>
      <c r="L2104" s="6" t="e">
        <v>#VALUE!</v>
      </c>
      <c r="M2104" s="6" t="e">
        <v>#VALUE!</v>
      </c>
      <c r="N2104" s="6" t="e">
        <v>#VALUE!</v>
      </c>
      <c r="O2104" s="6" t="e">
        <v>#VALUE!</v>
      </c>
      <c r="P2104" s="6" t="e">
        <v>#VALUE!</v>
      </c>
      <c r="Q2104" s="6" t="e">
        <v>#VALUE!</v>
      </c>
      <c r="R2104" s="6" t="e">
        <v>#VALUE!</v>
      </c>
      <c r="T2104" s="9"/>
      <c r="U2104" s="1">
        <f t="shared" si="3357"/>
        <v>48</v>
      </c>
      <c r="V2104" s="1">
        <f t="shared" si="3358"/>
        <v>235</v>
      </c>
    </row>
    <row r="2105" spans="1:22" x14ac:dyDescent="0.3">
      <c r="A2105" s="1">
        <f t="shared" si="3323"/>
        <v>48236</v>
      </c>
      <c r="B2105" s="12">
        <f t="shared" si="3389"/>
        <v>0</v>
      </c>
      <c r="C2105" s="13">
        <f t="shared" si="3390"/>
        <v>0</v>
      </c>
      <c r="D2105" s="10">
        <f t="shared" si="3391"/>
        <v>0</v>
      </c>
      <c r="E2105" s="74" t="s">
        <v>39</v>
      </c>
      <c r="F2105" s="75"/>
      <c r="G2105" s="76"/>
      <c r="K2105" s="1">
        <v>10</v>
      </c>
      <c r="L2105" s="1">
        <v>10</v>
      </c>
      <c r="M2105" s="1">
        <v>10</v>
      </c>
      <c r="N2105" s="1">
        <v>10</v>
      </c>
      <c r="O2105" s="1">
        <v>10</v>
      </c>
      <c r="P2105" s="1">
        <v>10</v>
      </c>
      <c r="Q2105" s="1">
        <v>10</v>
      </c>
      <c r="R2105" s="1">
        <v>10</v>
      </c>
      <c r="S2105" s="1">
        <v>10</v>
      </c>
      <c r="T2105" s="9"/>
      <c r="U2105" s="1">
        <f t="shared" si="3357"/>
        <v>48</v>
      </c>
      <c r="V2105" s="1">
        <f t="shared" si="3358"/>
        <v>236</v>
      </c>
    </row>
    <row r="2106" spans="1:22" x14ac:dyDescent="0.3">
      <c r="A2106" s="1">
        <f t="shared" si="3323"/>
        <v>48237</v>
      </c>
      <c r="B2106" s="12">
        <f t="shared" si="3389"/>
        <v>0</v>
      </c>
      <c r="C2106" s="13">
        <f t="shared" si="3390"/>
        <v>0</v>
      </c>
      <c r="D2106" s="10">
        <f t="shared" si="3391"/>
        <v>0</v>
      </c>
      <c r="E2106" s="11">
        <f t="shared" ref="E2106" si="3401">IF(D2077="","",MAX(F2106,G2106))</f>
        <v>2</v>
      </c>
      <c r="F2106" s="10">
        <f t="shared" ref="F2106" si="3402">ABS(MIN(D2086:D2095))</f>
        <v>2</v>
      </c>
      <c r="G2106" s="10">
        <f t="shared" ref="G2106" si="3403">ABS(MAX(D2086:D2095))</f>
        <v>2</v>
      </c>
      <c r="J2106" s="24" t="str">
        <f t="shared" ref="J2106" si="3404">CONCATENATE(K2105,1)</f>
        <v>101</v>
      </c>
      <c r="K2106" s="6" t="e">
        <f t="array" ref="K2106:S2108">LINEST(B2086:B2095,C2086:C2095^{1,2,3,4,5,6,7,8},TRUE,TRUE)</f>
        <v>#VALUE!</v>
      </c>
      <c r="L2106" s="6" t="e">
        <v>#VALUE!</v>
      </c>
      <c r="M2106" s="6" t="e">
        <v>#VALUE!</v>
      </c>
      <c r="N2106" s="6" t="e">
        <v>#VALUE!</v>
      </c>
      <c r="O2106" s="6" t="e">
        <v>#VALUE!</v>
      </c>
      <c r="P2106" s="6" t="e">
        <v>#VALUE!</v>
      </c>
      <c r="Q2106" s="6" t="e">
        <v>#VALUE!</v>
      </c>
      <c r="R2106" s="6" t="e">
        <v>#VALUE!</v>
      </c>
      <c r="S2106" s="6" t="e">
        <v>#VALUE!</v>
      </c>
      <c r="T2106" s="9"/>
      <c r="U2106" s="1">
        <f t="shared" si="3357"/>
        <v>48</v>
      </c>
      <c r="V2106" s="1">
        <f t="shared" si="3358"/>
        <v>237</v>
      </c>
    </row>
    <row r="2107" spans="1:22" x14ac:dyDescent="0.3">
      <c r="A2107" s="1">
        <f t="shared" si="3323"/>
        <v>48238</v>
      </c>
      <c r="B2107" s="12">
        <f t="shared" si="3389"/>
        <v>0</v>
      </c>
      <c r="C2107" s="13">
        <f t="shared" si="3390"/>
        <v>0</v>
      </c>
      <c r="D2107" s="10">
        <f t="shared" si="3391"/>
        <v>0</v>
      </c>
      <c r="J2107" s="24" t="str">
        <f t="shared" ref="J2107" si="3405">CONCATENATE(K2105,2)</f>
        <v>102</v>
      </c>
      <c r="K2107" s="6" t="e">
        <v>#VALUE!</v>
      </c>
      <c r="L2107" s="6" t="e">
        <v>#VALUE!</v>
      </c>
      <c r="M2107" s="6" t="e">
        <v>#VALUE!</v>
      </c>
      <c r="N2107" s="6" t="e">
        <v>#VALUE!</v>
      </c>
      <c r="O2107" s="6" t="e">
        <v>#VALUE!</v>
      </c>
      <c r="P2107" s="6" t="e">
        <v>#VALUE!</v>
      </c>
      <c r="Q2107" s="6" t="e">
        <v>#VALUE!</v>
      </c>
      <c r="R2107" s="6" t="e">
        <v>#VALUE!</v>
      </c>
      <c r="S2107" s="6" t="e">
        <v>#VALUE!</v>
      </c>
      <c r="T2107" s="9"/>
      <c r="U2107" s="1">
        <f t="shared" si="3357"/>
        <v>48</v>
      </c>
      <c r="V2107" s="1">
        <f t="shared" si="3358"/>
        <v>238</v>
      </c>
    </row>
    <row r="2108" spans="1:22" x14ac:dyDescent="0.3">
      <c r="A2108" s="1">
        <f t="shared" si="3323"/>
        <v>48239</v>
      </c>
      <c r="B2108" s="12">
        <f t="shared" si="3389"/>
        <v>0</v>
      </c>
      <c r="C2108" s="13">
        <f t="shared" si="3390"/>
        <v>0</v>
      </c>
      <c r="D2108" s="10">
        <f t="shared" si="3391"/>
        <v>0</v>
      </c>
      <c r="J2108" s="24" t="str">
        <f t="shared" ref="J2108" si="3406">CONCATENATE(K2105,3)</f>
        <v>103</v>
      </c>
      <c r="K2108" s="6" t="e">
        <v>#VALUE!</v>
      </c>
      <c r="L2108" s="6" t="e">
        <v>#VALUE!</v>
      </c>
      <c r="M2108" s="6" t="e">
        <v>#VALUE!</v>
      </c>
      <c r="N2108" s="6" t="e">
        <v>#VALUE!</v>
      </c>
      <c r="O2108" s="6" t="e">
        <v>#VALUE!</v>
      </c>
      <c r="P2108" s="6" t="e">
        <v>#VALUE!</v>
      </c>
      <c r="Q2108" s="6" t="e">
        <v>#VALUE!</v>
      </c>
      <c r="R2108" s="6" t="e">
        <v>#VALUE!</v>
      </c>
      <c r="S2108" s="6" t="e">
        <v>#VALUE!</v>
      </c>
      <c r="T2108" s="9"/>
      <c r="U2108" s="1">
        <f t="shared" si="3357"/>
        <v>48</v>
      </c>
      <c r="V2108" s="1">
        <f t="shared" si="3358"/>
        <v>239</v>
      </c>
    </row>
    <row r="2109" spans="1:22" x14ac:dyDescent="0.3">
      <c r="A2109" s="1">
        <f t="shared" si="3323"/>
        <v>48240</v>
      </c>
      <c r="B2109" s="12">
        <f t="shared" si="3389"/>
        <v>0</v>
      </c>
      <c r="C2109" s="13">
        <f t="shared" si="3390"/>
        <v>0</v>
      </c>
      <c r="D2109" s="10">
        <f t="shared" si="3391"/>
        <v>0</v>
      </c>
      <c r="J2109" s="9"/>
      <c r="K2109" s="9"/>
      <c r="L2109" s="9"/>
      <c r="M2109" s="9"/>
      <c r="N2109" s="9"/>
      <c r="O2109" s="9"/>
      <c r="P2109" s="9"/>
      <c r="Q2109" s="9"/>
      <c r="R2109" s="9"/>
      <c r="S2109" s="9"/>
      <c r="T2109" s="9"/>
      <c r="U2109" s="1">
        <f t="shared" si="3357"/>
        <v>48</v>
      </c>
      <c r="V2109" s="1">
        <f t="shared" si="3358"/>
        <v>240</v>
      </c>
    </row>
    <row r="2110" spans="1:22" x14ac:dyDescent="0.3">
      <c r="A2110" s="1">
        <f t="shared" si="3323"/>
        <v>48241</v>
      </c>
      <c r="B2110" s="12">
        <f t="shared" si="3389"/>
        <v>0</v>
      </c>
      <c r="C2110" s="13">
        <f t="shared" si="3390"/>
        <v>0</v>
      </c>
      <c r="D2110" s="10">
        <f t="shared" si="3391"/>
        <v>0</v>
      </c>
      <c r="J2110" s="9"/>
      <c r="K2110" s="9"/>
      <c r="L2110" s="9"/>
      <c r="M2110" s="9"/>
      <c r="N2110" s="9"/>
      <c r="O2110" s="9"/>
      <c r="P2110" s="9"/>
      <c r="Q2110" s="9"/>
      <c r="R2110" s="9"/>
      <c r="S2110" s="9"/>
      <c r="T2110" s="9"/>
      <c r="U2110" s="1">
        <f t="shared" si="3357"/>
        <v>48</v>
      </c>
      <c r="V2110" s="1">
        <f t="shared" si="3358"/>
        <v>241</v>
      </c>
    </row>
    <row r="2111" spans="1:22" x14ac:dyDescent="0.3">
      <c r="A2111" s="1">
        <f t="shared" si="3323"/>
        <v>48242</v>
      </c>
      <c r="B2111" s="12">
        <f t="shared" si="3389"/>
        <v>0</v>
      </c>
      <c r="C2111" s="13">
        <f t="shared" si="3390"/>
        <v>0</v>
      </c>
      <c r="D2111" s="10">
        <f t="shared" si="3391"/>
        <v>0</v>
      </c>
      <c r="J2111" s="9"/>
      <c r="K2111" s="9"/>
      <c r="L2111" s="9"/>
      <c r="M2111" s="9"/>
      <c r="N2111" s="9"/>
      <c r="O2111" s="9"/>
      <c r="P2111" s="9"/>
      <c r="Q2111" s="9"/>
      <c r="R2111" s="9"/>
      <c r="S2111" s="9"/>
      <c r="T2111" s="9"/>
      <c r="U2111" s="1">
        <f t="shared" si="3357"/>
        <v>48</v>
      </c>
      <c r="V2111" s="1">
        <f t="shared" si="3358"/>
        <v>242</v>
      </c>
    </row>
    <row r="2112" spans="1:22" x14ac:dyDescent="0.3">
      <c r="A2112" s="1">
        <f t="shared" si="3323"/>
        <v>48243</v>
      </c>
      <c r="J2112" s="9"/>
      <c r="K2112" s="9"/>
      <c r="L2112" s="9"/>
      <c r="M2112" s="9"/>
      <c r="N2112" s="9"/>
      <c r="O2112" s="9"/>
      <c r="P2112" s="9"/>
      <c r="Q2112" s="9"/>
      <c r="R2112" s="9"/>
      <c r="S2112" s="9"/>
      <c r="T2112" s="9"/>
      <c r="U2112" s="1">
        <f t="shared" si="3357"/>
        <v>48</v>
      </c>
      <c r="V2112" s="1">
        <f t="shared" si="3358"/>
        <v>243</v>
      </c>
    </row>
    <row r="2113" spans="1:22" s="5" customFormat="1" x14ac:dyDescent="0.3"/>
    <row r="2114" spans="1:22" x14ac:dyDescent="0.3">
      <c r="A2114" s="1">
        <f t="shared" ref="A2114:A2156" si="3407">ROUND(CONCATENATE(U2114,V2114),0)</f>
        <v>49201</v>
      </c>
      <c r="B2114" s="96" t="s">
        <v>0</v>
      </c>
      <c r="C2114" s="97"/>
      <c r="D2114" s="110" t="s">
        <v>46</v>
      </c>
      <c r="E2114" s="111"/>
      <c r="F2114" s="111"/>
      <c r="G2114" s="111"/>
      <c r="H2114" s="112"/>
      <c r="J2114" s="9"/>
      <c r="K2114" s="9"/>
      <c r="L2114" s="9"/>
      <c r="M2114" s="9"/>
      <c r="N2114" s="9"/>
      <c r="O2114" s="9"/>
      <c r="P2114" s="9"/>
      <c r="Q2114" s="9"/>
      <c r="R2114" s="9"/>
      <c r="S2114" s="9"/>
      <c r="T2114" s="9"/>
      <c r="U2114" s="1">
        <f t="shared" ref="U2114" si="3408">U2112+1</f>
        <v>49</v>
      </c>
      <c r="V2114" s="1">
        <v>201</v>
      </c>
    </row>
    <row r="2115" spans="1:22" x14ac:dyDescent="0.3">
      <c r="A2115" s="1">
        <f t="shared" si="3407"/>
        <v>49202</v>
      </c>
      <c r="B2115" s="96" t="s">
        <v>1</v>
      </c>
      <c r="C2115" s="97"/>
      <c r="D2115" s="15">
        <v>20</v>
      </c>
      <c r="E2115" s="16" t="s">
        <v>2</v>
      </c>
      <c r="F2115" s="107"/>
      <c r="G2115" s="108"/>
      <c r="H2115" s="109"/>
      <c r="J2115" s="9"/>
      <c r="K2115" s="9"/>
      <c r="L2115" s="9"/>
      <c r="M2115" s="9"/>
      <c r="N2115" s="9"/>
      <c r="O2115" s="9"/>
      <c r="P2115" s="9"/>
      <c r="Q2115" s="9"/>
      <c r="R2115" s="9"/>
      <c r="S2115" s="9"/>
      <c r="T2115" s="9"/>
      <c r="U2115" s="1">
        <f t="shared" ref="U2115" si="3409">U2114</f>
        <v>49</v>
      </c>
      <c r="V2115" s="1">
        <f t="shared" ref="V2115" si="3410">V2114+1</f>
        <v>202</v>
      </c>
    </row>
    <row r="2116" spans="1:22" x14ac:dyDescent="0.3">
      <c r="A2116" s="1">
        <f t="shared" si="3407"/>
        <v>49203</v>
      </c>
      <c r="B2116" s="96" t="s">
        <v>12</v>
      </c>
      <c r="C2116" s="97"/>
      <c r="D2116" s="110" t="s">
        <v>309</v>
      </c>
      <c r="E2116" s="111"/>
      <c r="F2116" s="111"/>
      <c r="G2116" s="111"/>
      <c r="H2116" s="112"/>
      <c r="K2116" s="1" t="s">
        <v>3</v>
      </c>
      <c r="L2116" s="1" t="s">
        <v>4</v>
      </c>
      <c r="M2116" s="1" t="s">
        <v>5</v>
      </c>
      <c r="N2116" s="1" t="s">
        <v>6</v>
      </c>
      <c r="O2116" s="1" t="s">
        <v>7</v>
      </c>
      <c r="P2116" s="1" t="s">
        <v>8</v>
      </c>
      <c r="Q2116" s="1" t="s">
        <v>9</v>
      </c>
      <c r="R2116" s="1" t="s">
        <v>10</v>
      </c>
      <c r="S2116" s="1" t="s">
        <v>11</v>
      </c>
      <c r="T2116" s="9"/>
      <c r="U2116" s="1">
        <f t="shared" si="3357"/>
        <v>49</v>
      </c>
      <c r="V2116" s="1">
        <f t="shared" si="3358"/>
        <v>203</v>
      </c>
    </row>
    <row r="2117" spans="1:22" x14ac:dyDescent="0.3">
      <c r="A2117" s="1">
        <f t="shared" si="3407"/>
        <v>49204</v>
      </c>
      <c r="B2117" s="96" t="s">
        <v>13</v>
      </c>
      <c r="C2117" s="97"/>
      <c r="D2117" s="110" t="s">
        <v>65</v>
      </c>
      <c r="E2117" s="111"/>
      <c r="F2117" s="111"/>
      <c r="G2117" s="111"/>
      <c r="H2117" s="112"/>
      <c r="J2117" s="1">
        <f t="shared" ref="J2117" si="3411">COUNTA(B2130:B2139)</f>
        <v>3</v>
      </c>
      <c r="K2117" s="1">
        <f t="shared" ref="K2117" si="3412">IF(L2117-1&lt;2,0,L2117-1)</f>
        <v>0</v>
      </c>
      <c r="L2117" s="1">
        <f t="shared" ref="L2117" si="3413">IF(M2117-1&lt;2,0,M2117-1)</f>
        <v>0</v>
      </c>
      <c r="M2117" s="1">
        <f t="shared" ref="M2117" si="3414">IF(N2117-1&lt;2,0,N2117-1)</f>
        <v>0</v>
      </c>
      <c r="N2117" s="1">
        <f t="shared" ref="N2117" si="3415">IF(O2117-1&lt;2,0,O2117-1)</f>
        <v>0</v>
      </c>
      <c r="O2117" s="1">
        <f t="shared" ref="O2117" si="3416">IF(P2117-1&lt;2,0,P2117-1)</f>
        <v>0</v>
      </c>
      <c r="P2117" s="1">
        <f t="shared" ref="P2117" si="3417">IF(Q2117-1&lt;2,0,Q2117-1)</f>
        <v>0</v>
      </c>
      <c r="Q2117" s="1">
        <f t="shared" ref="Q2117" si="3418">IF(R2117-1&lt;2,0,R2117-1)</f>
        <v>0</v>
      </c>
      <c r="R2117" s="1">
        <f t="shared" ref="R2117" si="3419">IF(S2117-1&lt;2,0,S2117-1)</f>
        <v>2</v>
      </c>
      <c r="S2117" s="1">
        <f t="shared" ref="S2117" si="3420">J2117</f>
        <v>3</v>
      </c>
      <c r="T2117" s="9"/>
      <c r="U2117" s="1">
        <f t="shared" si="3357"/>
        <v>49</v>
      </c>
      <c r="V2117" s="1">
        <f t="shared" si="3358"/>
        <v>204</v>
      </c>
    </row>
    <row r="2118" spans="1:22" x14ac:dyDescent="0.3">
      <c r="A2118" s="1">
        <f t="shared" si="3407"/>
        <v>49205</v>
      </c>
      <c r="B2118" s="96" t="s">
        <v>14</v>
      </c>
      <c r="C2118" s="97"/>
      <c r="D2118" s="110" t="s">
        <v>66</v>
      </c>
      <c r="E2118" s="111"/>
      <c r="F2118" s="111"/>
      <c r="G2118" s="111"/>
      <c r="H2118" s="112"/>
      <c r="J2118" s="24" t="str">
        <f t="shared" ref="J2118" si="3421">CONCATENATE(J2117,1)</f>
        <v>31</v>
      </c>
      <c r="K2118" s="25">
        <f t="shared" ref="K2118" si="3422">IF(K2117=0,0,VLOOKUP(J2118,J2122:S2152,K2117,FALSE))</f>
        <v>0</v>
      </c>
      <c r="L2118" s="25">
        <f t="shared" ref="L2118" si="3423">IF(L2117=0,0,VLOOKUP(J2118,J2122:S2152,L2117,FALSE))</f>
        <v>0</v>
      </c>
      <c r="M2118" s="25">
        <f t="shared" ref="M2118" si="3424">IF(M2117=0,0,VLOOKUP(J2118,J2122:S2152,M2117,FALSE))</f>
        <v>0</v>
      </c>
      <c r="N2118" s="25">
        <f t="shared" ref="N2118" si="3425">IF(N2117=0,0,VLOOKUP(J2118,J2122:S2152,N2117,FALSE))</f>
        <v>0</v>
      </c>
      <c r="O2118" s="25">
        <f t="shared" ref="O2118" si="3426">IF(O2117=0,0,VLOOKUP(J2118,J2122:S2152,O2117,FALSE))</f>
        <v>0</v>
      </c>
      <c r="P2118" s="25">
        <f t="shared" ref="P2118" si="3427">IF(P2117=0,0,VLOOKUP(J2118,J2122:S2152,P2117,FALSE))</f>
        <v>0</v>
      </c>
      <c r="Q2118" s="25">
        <f t="shared" ref="Q2118" si="3428">IF(Q2117=0,0,VLOOKUP(J2118,J2122:S2152,Q2117,FALSE))</f>
        <v>0</v>
      </c>
      <c r="R2118" s="25">
        <f t="shared" ref="R2118" si="3429">IF(R2117=0,0,VLOOKUP(J2118,J2122:S2152,R2117,FALSE))</f>
        <v>0.97075178285319341</v>
      </c>
      <c r="S2118" s="25">
        <f t="shared" ref="S2118" si="3430">IF(S2117=0,0,VLOOKUP(J2118,J2122:S2152,S2117,FALSE))</f>
        <v>0.68580943105776981</v>
      </c>
      <c r="T2118" s="9"/>
      <c r="U2118" s="1">
        <f t="shared" si="3357"/>
        <v>49</v>
      </c>
      <c r="V2118" s="1">
        <f t="shared" si="3358"/>
        <v>205</v>
      </c>
    </row>
    <row r="2119" spans="1:22" x14ac:dyDescent="0.3">
      <c r="A2119" s="1">
        <f t="shared" si="3407"/>
        <v>49206</v>
      </c>
      <c r="B2119" s="96" t="s">
        <v>15</v>
      </c>
      <c r="C2119" s="97"/>
      <c r="D2119" s="128" t="s">
        <v>310</v>
      </c>
      <c r="E2119" s="129"/>
      <c r="F2119" s="129"/>
      <c r="G2119" s="129"/>
      <c r="H2119" s="130"/>
      <c r="J2119" s="24" t="str">
        <f t="shared" ref="J2119" si="3431">CONCATENATE(J2117,2)</f>
        <v>32</v>
      </c>
      <c r="K2119" s="6">
        <f t="shared" ref="K2119" si="3432">IF(K2117=0,0,VLOOKUP(J2119,J2122:S2152,K2117,FALSE))</f>
        <v>0</v>
      </c>
      <c r="L2119" s="6">
        <f t="shared" ref="L2119" si="3433">IF(L2117=0,0,VLOOKUP(J2119,J2122:S2152,L2117,FALSE))</f>
        <v>0</v>
      </c>
      <c r="M2119" s="6">
        <f t="shared" ref="M2119" si="3434">IF(M2117=0,0,VLOOKUP(J2119,J2122:S2152,M2117,FALSE))</f>
        <v>0</v>
      </c>
      <c r="N2119" s="6">
        <f t="shared" ref="N2119" si="3435">IF(N2117=0,0,VLOOKUP(J2119,J2122:S2152,N2117,FALSE))</f>
        <v>0</v>
      </c>
      <c r="O2119" s="6">
        <f t="shared" ref="O2119" si="3436">IF(O2117=0,0,VLOOKUP(J2119,J2122:S2152,O2117,FALSE))</f>
        <v>0</v>
      </c>
      <c r="P2119" s="6">
        <f t="shared" ref="P2119" si="3437">IF(P2117=0,0,VLOOKUP(J2119,J2122:S2152,P2117,FALSE))</f>
        <v>0</v>
      </c>
      <c r="Q2119" s="6">
        <f t="shared" ref="Q2119" si="3438">IF(Q2117=0,0,VLOOKUP(J2119,J2122:S2152,Q2117,FALSE))</f>
        <v>0</v>
      </c>
      <c r="R2119" s="6">
        <f t="shared" ref="R2119" si="3439">IF(R2117=0,0,VLOOKUP(J2119,J2122:S2152,R2117,FALSE))</f>
        <v>1.0882792294108904E-2</v>
      </c>
      <c r="S2119" s="6">
        <f t="shared" ref="S2119" si="3440">IF(S2117=0,0,VLOOKUP(J2119,J2122:S2152,S2117,FALSE))</f>
        <v>0.61728172577453344</v>
      </c>
      <c r="T2119" s="9"/>
      <c r="U2119" s="1">
        <f t="shared" si="3357"/>
        <v>49</v>
      </c>
      <c r="V2119" s="1">
        <f t="shared" si="3358"/>
        <v>206</v>
      </c>
    </row>
    <row r="2120" spans="1:22" x14ac:dyDescent="0.3">
      <c r="A2120" s="1">
        <f t="shared" si="3407"/>
        <v>49207</v>
      </c>
      <c r="B2120" s="96" t="s">
        <v>16</v>
      </c>
      <c r="C2120" s="97"/>
      <c r="D2120" s="121">
        <v>45761</v>
      </c>
      <c r="E2120" s="121"/>
      <c r="F2120" s="121"/>
      <c r="G2120" s="121"/>
      <c r="H2120" s="121"/>
      <c r="J2120" s="24" t="str">
        <f t="shared" ref="J2120" si="3441">CONCATENATE(J2117,3)</f>
        <v>33</v>
      </c>
      <c r="K2120" s="6"/>
      <c r="L2120" s="6"/>
      <c r="M2120" s="6"/>
      <c r="N2120" s="6" t="s">
        <v>43</v>
      </c>
      <c r="O2120" s="25">
        <f t="shared" ref="O2120" si="3442">J2117-2</f>
        <v>1</v>
      </c>
      <c r="P2120" s="6" t="s">
        <v>44</v>
      </c>
      <c r="Q2120" s="25">
        <f t="shared" ref="Q2120" si="3443">VLOOKUP(J2120,J2122:S2152,3,FALSE)</f>
        <v>0.47559919068412171</v>
      </c>
      <c r="R2120" s="6" t="s">
        <v>45</v>
      </c>
      <c r="S2120" s="6">
        <f t="shared" ref="S2120" si="3444">VLOOKUP(J2120,J2122:S2152,2,FALSE)</f>
        <v>0.99987433633878919</v>
      </c>
      <c r="T2120" s="9"/>
      <c r="U2120" s="1">
        <f t="shared" si="3357"/>
        <v>49</v>
      </c>
      <c r="V2120" s="1">
        <f t="shared" si="3358"/>
        <v>207</v>
      </c>
    </row>
    <row r="2121" spans="1:22" x14ac:dyDescent="0.3">
      <c r="A2121" s="1">
        <f t="shared" si="3407"/>
        <v>49208</v>
      </c>
      <c r="B2121" s="96" t="s">
        <v>17</v>
      </c>
      <c r="C2121" s="97"/>
      <c r="D2121" s="122">
        <v>46142</v>
      </c>
      <c r="E2121" s="122"/>
      <c r="F2121" s="122"/>
      <c r="G2121" s="122"/>
      <c r="H2121" s="122"/>
      <c r="K2121" s="1">
        <v>3</v>
      </c>
      <c r="L2121" s="1">
        <v>3</v>
      </c>
      <c r="Q2121" s="26"/>
      <c r="R2121" s="26"/>
      <c r="S2121" s="26"/>
      <c r="T2121" s="9"/>
      <c r="U2121" s="1">
        <f t="shared" si="3357"/>
        <v>49</v>
      </c>
      <c r="V2121" s="1">
        <f t="shared" si="3358"/>
        <v>208</v>
      </c>
    </row>
    <row r="2122" spans="1:22" x14ac:dyDescent="0.3">
      <c r="A2122" s="1">
        <f t="shared" si="3407"/>
        <v>49209</v>
      </c>
      <c r="B2122" s="77" t="s">
        <v>19</v>
      </c>
      <c r="C2122" s="78"/>
      <c r="D2122" s="17">
        <v>0.1</v>
      </c>
      <c r="E2122" s="79" t="s">
        <v>40</v>
      </c>
      <c r="F2122" s="80"/>
      <c r="G2122" s="81"/>
      <c r="H2122" s="18" t="s">
        <v>72</v>
      </c>
      <c r="J2122" s="24" t="str">
        <f t="shared" ref="J2122" si="3445">CONCATENATE(K2121,1)</f>
        <v>31</v>
      </c>
      <c r="K2122" s="6">
        <f t="array" ref="K2122:L2124">LINEST(B2130:B2132,C2130:C2132^{1},TRUE,TRUE)</f>
        <v>0.97075178285319341</v>
      </c>
      <c r="L2122" s="6">
        <v>0.68580943105776981</v>
      </c>
      <c r="Q2122" s="9"/>
      <c r="R2122" s="9"/>
      <c r="S2122" s="9"/>
      <c r="T2122" s="9"/>
      <c r="U2122" s="1">
        <f t="shared" si="3357"/>
        <v>49</v>
      </c>
      <c r="V2122" s="1">
        <f t="shared" si="3358"/>
        <v>209</v>
      </c>
    </row>
    <row r="2123" spans="1:22" x14ac:dyDescent="0.3">
      <c r="A2123" s="1">
        <f t="shared" si="3407"/>
        <v>49210</v>
      </c>
      <c r="B2123" s="77" t="s">
        <v>41</v>
      </c>
      <c r="C2123" s="78"/>
      <c r="D2123" s="23">
        <f t="shared" ref="D2123" si="3446">MIN(B2130:B2139)</f>
        <v>20</v>
      </c>
      <c r="E2123" s="20" t="s">
        <v>18</v>
      </c>
      <c r="F2123" s="19">
        <f t="shared" ref="F2123" si="3447">MAX(B2130:B2139)</f>
        <v>80</v>
      </c>
      <c r="G2123" s="21" t="str">
        <f t="shared" ref="G2123" si="3448">IF(H2122="","",H2122)</f>
        <v>%ur</v>
      </c>
      <c r="H2123" s="22"/>
      <c r="J2123" s="24" t="str">
        <f t="shared" ref="J2123" si="3449">CONCATENATE(K2121,2)</f>
        <v>32</v>
      </c>
      <c r="K2123" s="6">
        <v>1.0882792294108904E-2</v>
      </c>
      <c r="L2123" s="6">
        <v>0.61728172577453344</v>
      </c>
      <c r="Q2123" s="9"/>
      <c r="R2123" s="9"/>
      <c r="S2123" s="9"/>
      <c r="T2123" s="9"/>
      <c r="U2123" s="1">
        <f t="shared" si="3357"/>
        <v>49</v>
      </c>
      <c r="V2123" s="1">
        <f t="shared" si="3358"/>
        <v>210</v>
      </c>
    </row>
    <row r="2124" spans="1:22" x14ac:dyDescent="0.3">
      <c r="A2124" s="1">
        <f t="shared" si="3407"/>
        <v>49211</v>
      </c>
      <c r="J2124" s="24" t="str">
        <f t="shared" ref="J2124" si="3450">CONCATENATE(K2121,3)</f>
        <v>33</v>
      </c>
      <c r="K2124" s="6">
        <v>0.99987433633878919</v>
      </c>
      <c r="L2124" s="6">
        <v>0.47559919068412171</v>
      </c>
      <c r="Q2124" s="9"/>
      <c r="R2124" s="9"/>
      <c r="S2124" s="9"/>
      <c r="T2124" s="9"/>
      <c r="U2124" s="1">
        <f t="shared" si="3357"/>
        <v>49</v>
      </c>
      <c r="V2124" s="1">
        <f t="shared" si="3358"/>
        <v>211</v>
      </c>
    </row>
    <row r="2125" spans="1:22" x14ac:dyDescent="0.3">
      <c r="A2125" s="1">
        <f t="shared" si="3407"/>
        <v>49212</v>
      </c>
      <c r="B2125" s="82" t="s">
        <v>20</v>
      </c>
      <c r="C2125" s="83"/>
      <c r="D2125" s="83"/>
      <c r="E2125" s="83"/>
      <c r="F2125" s="84"/>
      <c r="G2125" s="85" t="s">
        <v>31</v>
      </c>
      <c r="H2125" s="86"/>
      <c r="K2125" s="1">
        <v>4</v>
      </c>
      <c r="L2125" s="1">
        <v>4</v>
      </c>
      <c r="M2125" s="1">
        <v>4</v>
      </c>
      <c r="Q2125" s="9"/>
      <c r="R2125" s="9"/>
      <c r="S2125" s="9"/>
      <c r="T2125" s="9"/>
      <c r="U2125" s="1">
        <f t="shared" si="3357"/>
        <v>49</v>
      </c>
      <c r="V2125" s="1">
        <f t="shared" si="3358"/>
        <v>212</v>
      </c>
    </row>
    <row r="2126" spans="1:22" x14ac:dyDescent="0.3">
      <c r="A2126" s="1">
        <f t="shared" si="3407"/>
        <v>49213</v>
      </c>
      <c r="B2126" s="82" t="s">
        <v>30</v>
      </c>
      <c r="C2126" s="83"/>
      <c r="D2126" s="84"/>
      <c r="E2126" s="82" t="str">
        <f t="shared" ref="E2126" si="3451">D2119</f>
        <v>E0201/25</v>
      </c>
      <c r="F2126" s="84"/>
      <c r="G2126" s="6" t="s">
        <v>32</v>
      </c>
      <c r="H2126" s="7"/>
      <c r="J2126" s="24" t="str">
        <f t="shared" ref="J2126" si="3452">CONCATENATE(K2125,1)</f>
        <v>41</v>
      </c>
      <c r="K2126" s="6" t="e">
        <f t="array" ref="K2126:M2128">LINEST(B2130:B2133,C2130:C2133^{1,2},TRUE,TRUE)</f>
        <v>#VALUE!</v>
      </c>
      <c r="L2126" s="6" t="e">
        <v>#VALUE!</v>
      </c>
      <c r="M2126" s="6" t="e">
        <v>#VALUE!</v>
      </c>
      <c r="Q2126" s="9"/>
      <c r="R2126" s="9"/>
      <c r="S2126" s="9"/>
      <c r="T2126" s="9"/>
      <c r="U2126" s="1">
        <f t="shared" si="3357"/>
        <v>49</v>
      </c>
      <c r="V2126" s="1">
        <f t="shared" si="3358"/>
        <v>213</v>
      </c>
    </row>
    <row r="2127" spans="1:22" x14ac:dyDescent="0.3">
      <c r="A2127" s="1">
        <f t="shared" si="3407"/>
        <v>49214</v>
      </c>
      <c r="B2127" s="2" t="s">
        <v>21</v>
      </c>
      <c r="C2127" s="2" t="s">
        <v>22</v>
      </c>
      <c r="D2127" s="2" t="s">
        <v>23</v>
      </c>
      <c r="E2127" s="2"/>
      <c r="F2127" s="2" t="s">
        <v>28</v>
      </c>
      <c r="G2127" s="2" t="s">
        <v>21</v>
      </c>
      <c r="H2127" s="2" t="s">
        <v>22</v>
      </c>
      <c r="J2127" s="24" t="str">
        <f t="shared" ref="J2127" si="3453">CONCATENATE(K2125,2)</f>
        <v>42</v>
      </c>
      <c r="K2127" s="6" t="e">
        <v>#VALUE!</v>
      </c>
      <c r="L2127" s="6" t="e">
        <v>#VALUE!</v>
      </c>
      <c r="M2127" s="6" t="e">
        <v>#VALUE!</v>
      </c>
      <c r="Q2127" s="9"/>
      <c r="R2127" s="9"/>
      <c r="S2127" s="9"/>
      <c r="T2127" s="9"/>
      <c r="U2127" s="1">
        <f t="shared" si="3357"/>
        <v>49</v>
      </c>
      <c r="V2127" s="1">
        <f t="shared" si="3358"/>
        <v>214</v>
      </c>
    </row>
    <row r="2128" spans="1:22" x14ac:dyDescent="0.3">
      <c r="A2128" s="1">
        <f t="shared" si="3407"/>
        <v>49215</v>
      </c>
      <c r="B2128" s="2" t="s">
        <v>24</v>
      </c>
      <c r="C2128" s="2" t="s">
        <v>25</v>
      </c>
      <c r="D2128" s="2" t="s">
        <v>26</v>
      </c>
      <c r="E2128" s="2" t="s">
        <v>27</v>
      </c>
      <c r="F2128" s="2" t="s">
        <v>29</v>
      </c>
      <c r="G2128" s="2" t="s">
        <v>24</v>
      </c>
      <c r="H2128" s="2" t="s">
        <v>25</v>
      </c>
      <c r="J2128" s="24" t="str">
        <f t="shared" ref="J2128" si="3454">CONCATENATE(K2125,3)</f>
        <v>43</v>
      </c>
      <c r="K2128" s="6" t="e">
        <v>#VALUE!</v>
      </c>
      <c r="L2128" s="6" t="e">
        <v>#VALUE!</v>
      </c>
      <c r="M2128" s="6" t="e">
        <v>#VALUE!</v>
      </c>
      <c r="Q2128" s="9"/>
      <c r="R2128" s="9"/>
      <c r="S2128" s="9"/>
      <c r="T2128" s="9"/>
      <c r="U2128" s="1">
        <f t="shared" si="3357"/>
        <v>49</v>
      </c>
      <c r="V2128" s="1">
        <f t="shared" si="3358"/>
        <v>215</v>
      </c>
    </row>
    <row r="2129" spans="1:22" x14ac:dyDescent="0.3">
      <c r="A2129" s="1">
        <f t="shared" si="3407"/>
        <v>49216</v>
      </c>
      <c r="B2129" s="3" t="str">
        <f t="shared" ref="B2129" si="3455">H2122</f>
        <v>%ur</v>
      </c>
      <c r="C2129" s="3" t="str">
        <f t="shared" ref="C2129" si="3456">B2129</f>
        <v>%ur</v>
      </c>
      <c r="D2129" s="3" t="str">
        <f t="shared" ref="D2129" si="3457">C2129</f>
        <v>%ur</v>
      </c>
      <c r="E2129" s="3"/>
      <c r="F2129" s="3"/>
      <c r="G2129" s="3" t="str">
        <f t="shared" ref="G2129" si="3458">D2129</f>
        <v>%ur</v>
      </c>
      <c r="H2129" s="3" t="str">
        <f t="shared" ref="H2129" si="3459">G2129</f>
        <v>%ur</v>
      </c>
      <c r="K2129" s="1">
        <v>5</v>
      </c>
      <c r="L2129" s="1">
        <v>5</v>
      </c>
      <c r="M2129" s="1">
        <v>5</v>
      </c>
      <c r="N2129" s="1">
        <v>5</v>
      </c>
      <c r="Q2129" s="9"/>
      <c r="R2129" s="9"/>
      <c r="S2129" s="9"/>
      <c r="T2129" s="9"/>
      <c r="U2129" s="1">
        <f t="shared" si="3357"/>
        <v>49</v>
      </c>
      <c r="V2129" s="1">
        <f t="shared" si="3358"/>
        <v>216</v>
      </c>
    </row>
    <row r="2130" spans="1:22" x14ac:dyDescent="0.3">
      <c r="A2130" s="1">
        <f t="shared" si="3407"/>
        <v>49217</v>
      </c>
      <c r="B2130" s="65">
        <v>20</v>
      </c>
      <c r="C2130" s="65">
        <v>20.100000000000001</v>
      </c>
      <c r="D2130" s="65">
        <v>0.7</v>
      </c>
      <c r="E2130" s="4">
        <v>2</v>
      </c>
      <c r="F2130" s="14">
        <v>1000000</v>
      </c>
      <c r="G2130" s="66"/>
      <c r="H2130" s="66"/>
      <c r="J2130" s="24" t="str">
        <f t="shared" ref="J2130" si="3460">CONCATENATE(K2129,1)</f>
        <v>51</v>
      </c>
      <c r="K2130" s="6" t="e">
        <f t="array" ref="K2130:N2132">LINEST(B2130:B2134,C2130:C2134^{1,2,3},TRUE,TRUE)</f>
        <v>#VALUE!</v>
      </c>
      <c r="L2130" s="6" t="e">
        <v>#VALUE!</v>
      </c>
      <c r="M2130" s="6" t="e">
        <v>#VALUE!</v>
      </c>
      <c r="N2130" s="6" t="e">
        <v>#VALUE!</v>
      </c>
      <c r="Q2130" s="9"/>
      <c r="R2130" s="9"/>
      <c r="S2130" s="9"/>
      <c r="T2130" s="9"/>
      <c r="U2130" s="1">
        <f t="shared" si="3357"/>
        <v>49</v>
      </c>
      <c r="V2130" s="1">
        <f t="shared" si="3358"/>
        <v>217</v>
      </c>
    </row>
    <row r="2131" spans="1:22" x14ac:dyDescent="0.3">
      <c r="A2131" s="1">
        <f t="shared" si="3407"/>
        <v>49218</v>
      </c>
      <c r="B2131" s="65">
        <v>50</v>
      </c>
      <c r="C2131" s="65">
        <v>50.4</v>
      </c>
      <c r="D2131" s="65">
        <v>1.1000000000000001</v>
      </c>
      <c r="E2131" s="4">
        <v>2</v>
      </c>
      <c r="F2131" s="14">
        <v>1000000</v>
      </c>
      <c r="G2131" s="66"/>
      <c r="H2131" s="66"/>
      <c r="J2131" s="24" t="str">
        <f t="shared" ref="J2131" si="3461">CONCATENATE(K2129,2)</f>
        <v>52</v>
      </c>
      <c r="K2131" s="6" t="e">
        <v>#VALUE!</v>
      </c>
      <c r="L2131" s="6" t="e">
        <v>#VALUE!</v>
      </c>
      <c r="M2131" s="6" t="e">
        <v>#VALUE!</v>
      </c>
      <c r="N2131" s="6" t="e">
        <v>#VALUE!</v>
      </c>
      <c r="T2131" s="9"/>
      <c r="U2131" s="1">
        <f t="shared" si="3357"/>
        <v>49</v>
      </c>
      <c r="V2131" s="1">
        <f t="shared" si="3358"/>
        <v>218</v>
      </c>
    </row>
    <row r="2132" spans="1:22" x14ac:dyDescent="0.3">
      <c r="A2132" s="1">
        <f t="shared" si="3407"/>
        <v>49219</v>
      </c>
      <c r="B2132" s="65">
        <v>80</v>
      </c>
      <c r="C2132" s="65">
        <v>81.900000000000006</v>
      </c>
      <c r="D2132" s="65">
        <v>1.1000000000000001</v>
      </c>
      <c r="E2132" s="4">
        <v>2</v>
      </c>
      <c r="F2132" s="14">
        <v>1000000</v>
      </c>
      <c r="G2132" s="66"/>
      <c r="H2132" s="66"/>
      <c r="J2132" s="24" t="str">
        <f t="shared" ref="J2132" si="3462">CONCATENATE(K2129,3)</f>
        <v>53</v>
      </c>
      <c r="K2132" s="6" t="e">
        <v>#VALUE!</v>
      </c>
      <c r="L2132" s="6" t="e">
        <v>#VALUE!</v>
      </c>
      <c r="M2132" s="6" t="e">
        <v>#VALUE!</v>
      </c>
      <c r="N2132" s="6" t="e">
        <v>#VALUE!</v>
      </c>
      <c r="T2132" s="9"/>
      <c r="U2132" s="1">
        <f t="shared" si="3357"/>
        <v>49</v>
      </c>
      <c r="V2132" s="1">
        <f t="shared" si="3358"/>
        <v>219</v>
      </c>
    </row>
    <row r="2133" spans="1:22" x14ac:dyDescent="0.3">
      <c r="A2133" s="1">
        <f t="shared" si="3407"/>
        <v>49220</v>
      </c>
      <c r="B2133" s="65"/>
      <c r="C2133" s="65"/>
      <c r="D2133" s="65"/>
      <c r="E2133" s="4"/>
      <c r="F2133" s="14"/>
      <c r="G2133" s="66"/>
      <c r="H2133" s="66"/>
      <c r="K2133" s="1">
        <v>6</v>
      </c>
      <c r="L2133" s="1">
        <v>6</v>
      </c>
      <c r="M2133" s="1">
        <v>6</v>
      </c>
      <c r="N2133" s="1">
        <v>6</v>
      </c>
      <c r="O2133" s="1">
        <v>6</v>
      </c>
      <c r="T2133" s="9"/>
      <c r="U2133" s="1">
        <f t="shared" si="3357"/>
        <v>49</v>
      </c>
      <c r="V2133" s="1">
        <f t="shared" si="3358"/>
        <v>220</v>
      </c>
    </row>
    <row r="2134" spans="1:22" x14ac:dyDescent="0.3">
      <c r="A2134" s="1">
        <f t="shared" si="3407"/>
        <v>49221</v>
      </c>
      <c r="B2134" s="65"/>
      <c r="C2134" s="65"/>
      <c r="D2134" s="65"/>
      <c r="E2134" s="4"/>
      <c r="F2134" s="14"/>
      <c r="G2134" s="66"/>
      <c r="H2134" s="66"/>
      <c r="J2134" s="24" t="str">
        <f t="shared" ref="J2134" si="3463">CONCATENATE(K2133,1)</f>
        <v>61</v>
      </c>
      <c r="K2134" s="6" t="e">
        <f t="array" ref="K2134:O2136">LINEST(B2130:B2135,C2130:C2135^{1,2,3,4},TRUE,TRUE)</f>
        <v>#VALUE!</v>
      </c>
      <c r="L2134" s="6" t="e">
        <v>#VALUE!</v>
      </c>
      <c r="M2134" s="6" t="e">
        <v>#VALUE!</v>
      </c>
      <c r="N2134" s="6" t="e">
        <v>#VALUE!</v>
      </c>
      <c r="O2134" s="6" t="e">
        <v>#VALUE!</v>
      </c>
      <c r="T2134" s="9"/>
      <c r="U2134" s="1">
        <f t="shared" si="3357"/>
        <v>49</v>
      </c>
      <c r="V2134" s="1">
        <f t="shared" si="3358"/>
        <v>221</v>
      </c>
    </row>
    <row r="2135" spans="1:22" x14ac:dyDescent="0.3">
      <c r="A2135" s="1">
        <f t="shared" si="3407"/>
        <v>49222</v>
      </c>
      <c r="B2135" s="65"/>
      <c r="C2135" s="65"/>
      <c r="D2135" s="65"/>
      <c r="E2135" s="4"/>
      <c r="F2135" s="14"/>
      <c r="G2135" s="66"/>
      <c r="H2135" s="66"/>
      <c r="J2135" s="24" t="str">
        <f t="shared" ref="J2135" si="3464">CONCATENATE(K2133,2)</f>
        <v>62</v>
      </c>
      <c r="K2135" s="6" t="e">
        <v>#VALUE!</v>
      </c>
      <c r="L2135" s="6" t="e">
        <v>#VALUE!</v>
      </c>
      <c r="M2135" s="6" t="e">
        <v>#VALUE!</v>
      </c>
      <c r="N2135" s="6" t="e">
        <v>#VALUE!</v>
      </c>
      <c r="O2135" s="6" t="e">
        <v>#VALUE!</v>
      </c>
      <c r="T2135" s="9"/>
      <c r="U2135" s="1">
        <f t="shared" si="3357"/>
        <v>49</v>
      </c>
      <c r="V2135" s="1">
        <f t="shared" si="3358"/>
        <v>222</v>
      </c>
    </row>
    <row r="2136" spans="1:22" x14ac:dyDescent="0.3">
      <c r="A2136" s="1">
        <f t="shared" si="3407"/>
        <v>49223</v>
      </c>
      <c r="B2136" s="65"/>
      <c r="C2136" s="65"/>
      <c r="D2136" s="65"/>
      <c r="E2136" s="4"/>
      <c r="F2136" s="14"/>
      <c r="G2136" s="66"/>
      <c r="H2136" s="66"/>
      <c r="J2136" s="24" t="str">
        <f t="shared" ref="J2136" si="3465">CONCATENATE(K2133,3)</f>
        <v>63</v>
      </c>
      <c r="K2136" s="6" t="e">
        <v>#VALUE!</v>
      </c>
      <c r="L2136" s="6" t="e">
        <v>#VALUE!</v>
      </c>
      <c r="M2136" s="6" t="e">
        <v>#VALUE!</v>
      </c>
      <c r="N2136" s="6" t="e">
        <v>#VALUE!</v>
      </c>
      <c r="O2136" s="6" t="e">
        <v>#VALUE!</v>
      </c>
      <c r="T2136" s="9"/>
      <c r="U2136" s="1">
        <f t="shared" si="3357"/>
        <v>49</v>
      </c>
      <c r="V2136" s="1">
        <f t="shared" si="3358"/>
        <v>223</v>
      </c>
    </row>
    <row r="2137" spans="1:22" x14ac:dyDescent="0.3">
      <c r="A2137" s="1">
        <f t="shared" si="3407"/>
        <v>49224</v>
      </c>
      <c r="B2137" s="65"/>
      <c r="C2137" s="65"/>
      <c r="D2137" s="65"/>
      <c r="E2137" s="4"/>
      <c r="F2137" s="14"/>
      <c r="G2137" s="66"/>
      <c r="H2137" s="66"/>
      <c r="K2137" s="1">
        <v>7</v>
      </c>
      <c r="L2137" s="1">
        <v>7</v>
      </c>
      <c r="M2137" s="1">
        <v>7</v>
      </c>
      <c r="N2137" s="1">
        <v>7</v>
      </c>
      <c r="O2137" s="1">
        <v>7</v>
      </c>
      <c r="P2137" s="1">
        <v>7</v>
      </c>
      <c r="T2137" s="9"/>
      <c r="U2137" s="1">
        <f t="shared" si="3357"/>
        <v>49</v>
      </c>
      <c r="V2137" s="1">
        <f t="shared" si="3358"/>
        <v>224</v>
      </c>
    </row>
    <row r="2138" spans="1:22" x14ac:dyDescent="0.3">
      <c r="A2138" s="1">
        <f t="shared" si="3407"/>
        <v>49225</v>
      </c>
      <c r="B2138" s="65"/>
      <c r="C2138" s="65"/>
      <c r="D2138" s="65"/>
      <c r="E2138" s="4"/>
      <c r="F2138" s="14"/>
      <c r="G2138" s="66"/>
      <c r="H2138" s="66"/>
      <c r="J2138" s="24" t="str">
        <f t="shared" ref="J2138" si="3466">CONCATENATE(K2137,1)</f>
        <v>71</v>
      </c>
      <c r="K2138" s="6" t="e">
        <f t="array" ref="K2138:P2140">LINEST(B2130:B2136,C2130:C2136^{1,2,3,4,5},TRUE,TRUE)</f>
        <v>#VALUE!</v>
      </c>
      <c r="L2138" s="6" t="e">
        <v>#VALUE!</v>
      </c>
      <c r="M2138" s="6" t="e">
        <v>#VALUE!</v>
      </c>
      <c r="N2138" s="6" t="e">
        <v>#VALUE!</v>
      </c>
      <c r="O2138" s="6" t="e">
        <v>#VALUE!</v>
      </c>
      <c r="P2138" s="6" t="e">
        <v>#VALUE!</v>
      </c>
      <c r="T2138" s="9"/>
      <c r="U2138" s="1">
        <f t="shared" si="3357"/>
        <v>49</v>
      </c>
      <c r="V2138" s="1">
        <f t="shared" si="3358"/>
        <v>225</v>
      </c>
    </row>
    <row r="2139" spans="1:22" x14ac:dyDescent="0.3">
      <c r="A2139" s="1">
        <f t="shared" si="3407"/>
        <v>49226</v>
      </c>
      <c r="B2139" s="65"/>
      <c r="C2139" s="65"/>
      <c r="D2139" s="65"/>
      <c r="E2139" s="4"/>
      <c r="F2139" s="14"/>
      <c r="G2139" s="66"/>
      <c r="H2139" s="66"/>
      <c r="J2139" s="24" t="str">
        <f t="shared" ref="J2139" si="3467">CONCATENATE(K2137,2)</f>
        <v>72</v>
      </c>
      <c r="K2139" s="6" t="e">
        <v>#VALUE!</v>
      </c>
      <c r="L2139" s="6" t="e">
        <v>#VALUE!</v>
      </c>
      <c r="M2139" s="6" t="e">
        <v>#VALUE!</v>
      </c>
      <c r="N2139" s="6" t="e">
        <v>#VALUE!</v>
      </c>
      <c r="O2139" s="6" t="e">
        <v>#VALUE!</v>
      </c>
      <c r="P2139" s="6" t="e">
        <v>#VALUE!</v>
      </c>
      <c r="T2139" s="9"/>
      <c r="U2139" s="1">
        <f t="shared" ref="U2139:U2200" si="3468">U2138</f>
        <v>49</v>
      </c>
      <c r="V2139" s="1">
        <f t="shared" ref="V2139:V2200" si="3469">V2138+1</f>
        <v>226</v>
      </c>
    </row>
    <row r="2140" spans="1:22" x14ac:dyDescent="0.3">
      <c r="A2140" s="1">
        <f t="shared" si="3407"/>
        <v>49227</v>
      </c>
      <c r="B2140" s="9"/>
      <c r="C2140" s="9"/>
      <c r="D2140" s="9"/>
      <c r="E2140" s="9"/>
      <c r="F2140" s="9"/>
      <c r="G2140" s="9"/>
      <c r="H2140" s="9"/>
      <c r="J2140" s="24" t="str">
        <f t="shared" ref="J2140" si="3470">CONCATENATE(K2137,3)</f>
        <v>73</v>
      </c>
      <c r="K2140" s="6" t="e">
        <v>#VALUE!</v>
      </c>
      <c r="L2140" s="6" t="e">
        <v>#VALUE!</v>
      </c>
      <c r="M2140" s="6" t="e">
        <v>#VALUE!</v>
      </c>
      <c r="N2140" s="6" t="e">
        <v>#VALUE!</v>
      </c>
      <c r="O2140" s="6" t="e">
        <v>#VALUE!</v>
      </c>
      <c r="P2140" s="6" t="e">
        <v>#VALUE!</v>
      </c>
      <c r="T2140" s="9"/>
      <c r="U2140" s="1">
        <f t="shared" si="3468"/>
        <v>49</v>
      </c>
      <c r="V2140" s="1">
        <f t="shared" si="3469"/>
        <v>227</v>
      </c>
    </row>
    <row r="2141" spans="1:22" x14ac:dyDescent="0.3">
      <c r="A2141" s="1">
        <f t="shared" si="3407"/>
        <v>49228</v>
      </c>
      <c r="B2141" s="87" t="s">
        <v>33</v>
      </c>
      <c r="C2141" s="88"/>
      <c r="D2141" s="88"/>
      <c r="E2141" s="88"/>
      <c r="F2141" s="88"/>
      <c r="G2141" s="88"/>
      <c r="H2141" s="89"/>
      <c r="K2141" s="1">
        <v>8</v>
      </c>
      <c r="L2141" s="1">
        <v>8</v>
      </c>
      <c r="M2141" s="1">
        <v>8</v>
      </c>
      <c r="N2141" s="1">
        <v>8</v>
      </c>
      <c r="O2141" s="1">
        <v>8</v>
      </c>
      <c r="P2141" s="1">
        <v>8</v>
      </c>
      <c r="Q2141" s="1">
        <v>8</v>
      </c>
      <c r="T2141" s="9"/>
      <c r="U2141" s="1">
        <f t="shared" si="3468"/>
        <v>49</v>
      </c>
      <c r="V2141" s="1">
        <f t="shared" si="3469"/>
        <v>228</v>
      </c>
    </row>
    <row r="2142" spans="1:22" x14ac:dyDescent="0.3">
      <c r="A2142" s="1">
        <f t="shared" si="3407"/>
        <v>49229</v>
      </c>
      <c r="B2142" s="90"/>
      <c r="C2142" s="91"/>
      <c r="D2142" s="91"/>
      <c r="E2142" s="91"/>
      <c r="F2142" s="91"/>
      <c r="G2142" s="91"/>
      <c r="H2142" s="92"/>
      <c r="J2142" s="24" t="str">
        <f t="shared" ref="J2142" si="3471">CONCATENATE(K2141,1)</f>
        <v>81</v>
      </c>
      <c r="K2142" s="6" t="e">
        <f t="array" ref="K2142:Q2144">LINEST(B2130:B2137,C2130:C2137^{1,2,3,4,5,6},TRUE,TRUE)</f>
        <v>#VALUE!</v>
      </c>
      <c r="L2142" s="6" t="e">
        <v>#VALUE!</v>
      </c>
      <c r="M2142" s="6" t="e">
        <v>#VALUE!</v>
      </c>
      <c r="N2142" s="6" t="e">
        <v>#VALUE!</v>
      </c>
      <c r="O2142" s="6" t="e">
        <v>#VALUE!</v>
      </c>
      <c r="P2142" s="6" t="e">
        <v>#VALUE!</v>
      </c>
      <c r="Q2142" s="6" t="e">
        <v>#VALUE!</v>
      </c>
      <c r="T2142" s="9"/>
      <c r="U2142" s="1">
        <f t="shared" si="3468"/>
        <v>49</v>
      </c>
      <c r="V2142" s="1">
        <f t="shared" si="3469"/>
        <v>229</v>
      </c>
    </row>
    <row r="2143" spans="1:22" x14ac:dyDescent="0.3">
      <c r="A2143" s="1">
        <f t="shared" si="3407"/>
        <v>49230</v>
      </c>
      <c r="B2143" s="93"/>
      <c r="C2143" s="94"/>
      <c r="D2143" s="94"/>
      <c r="E2143" s="94"/>
      <c r="F2143" s="94"/>
      <c r="G2143" s="94"/>
      <c r="H2143" s="95"/>
      <c r="J2143" s="24" t="str">
        <f t="shared" ref="J2143" si="3472">CONCATENATE(K2141,2)</f>
        <v>82</v>
      </c>
      <c r="K2143" s="6" t="e">
        <v>#VALUE!</v>
      </c>
      <c r="L2143" s="6" t="e">
        <v>#VALUE!</v>
      </c>
      <c r="M2143" s="6" t="e">
        <v>#VALUE!</v>
      </c>
      <c r="N2143" s="6" t="e">
        <v>#VALUE!</v>
      </c>
      <c r="O2143" s="6" t="e">
        <v>#VALUE!</v>
      </c>
      <c r="P2143" s="6" t="e">
        <v>#VALUE!</v>
      </c>
      <c r="Q2143" s="6" t="e">
        <v>#VALUE!</v>
      </c>
      <c r="T2143" s="9"/>
      <c r="U2143" s="1">
        <f t="shared" si="3468"/>
        <v>49</v>
      </c>
      <c r="V2143" s="1">
        <f t="shared" si="3469"/>
        <v>230</v>
      </c>
    </row>
    <row r="2144" spans="1:22" x14ac:dyDescent="0.3">
      <c r="A2144" s="1">
        <f t="shared" si="3407"/>
        <v>49231</v>
      </c>
      <c r="J2144" s="24" t="str">
        <f t="shared" ref="J2144" si="3473">CONCATENATE(K2141,3)</f>
        <v>83</v>
      </c>
      <c r="K2144" s="6" t="e">
        <v>#VALUE!</v>
      </c>
      <c r="L2144" s="6" t="e">
        <v>#VALUE!</v>
      </c>
      <c r="M2144" s="6" t="e">
        <v>#VALUE!</v>
      </c>
      <c r="N2144" s="6" t="e">
        <v>#VALUE!</v>
      </c>
      <c r="O2144" s="6" t="e">
        <v>#VALUE!</v>
      </c>
      <c r="P2144" s="6" t="e">
        <v>#VALUE!</v>
      </c>
      <c r="Q2144" s="6" t="e">
        <v>#VALUE!</v>
      </c>
      <c r="T2144" s="9"/>
      <c r="U2144" s="1">
        <f t="shared" si="3468"/>
        <v>49</v>
      </c>
      <c r="V2144" s="1">
        <f t="shared" si="3469"/>
        <v>231</v>
      </c>
    </row>
    <row r="2145" spans="1:22" ht="15" customHeight="1" x14ac:dyDescent="0.3">
      <c r="A2145" s="1">
        <f t="shared" si="3407"/>
        <v>49232</v>
      </c>
      <c r="B2145" s="10" t="s">
        <v>34</v>
      </c>
      <c r="C2145" s="10" t="s">
        <v>35</v>
      </c>
      <c r="D2145" s="10" t="s">
        <v>36</v>
      </c>
      <c r="E2145" s="74" t="s">
        <v>37</v>
      </c>
      <c r="F2145" s="75"/>
      <c r="G2145" s="76"/>
      <c r="K2145" s="1">
        <v>9</v>
      </c>
      <c r="L2145" s="1">
        <v>9</v>
      </c>
      <c r="M2145" s="1">
        <v>9</v>
      </c>
      <c r="N2145" s="1">
        <v>9</v>
      </c>
      <c r="O2145" s="1">
        <v>9</v>
      </c>
      <c r="P2145" s="1">
        <v>9</v>
      </c>
      <c r="Q2145" s="1">
        <v>9</v>
      </c>
      <c r="R2145" s="1">
        <v>9</v>
      </c>
      <c r="T2145" s="9"/>
      <c r="U2145" s="1">
        <f t="shared" si="3468"/>
        <v>49</v>
      </c>
      <c r="V2145" s="1">
        <f t="shared" si="3469"/>
        <v>232</v>
      </c>
    </row>
    <row r="2146" spans="1:22" x14ac:dyDescent="0.3">
      <c r="A2146" s="1">
        <f t="shared" si="3407"/>
        <v>49233</v>
      </c>
      <c r="B2146" s="12">
        <f t="shared" ref="B2146:B2155" si="3474">C2130-B2130</f>
        <v>0.10000000000000142</v>
      </c>
      <c r="C2146" s="13">
        <f t="shared" ref="C2146:C2155" si="3475">H2130-G2130</f>
        <v>0</v>
      </c>
      <c r="D2146" s="10">
        <f t="shared" ref="D2146:D2155" si="3476">C2146-B2146</f>
        <v>-0.10000000000000142</v>
      </c>
      <c r="E2146" s="11">
        <f t="shared" ref="E2146" si="3477">IF(D2121="","",MAX(F2146,G2146))</f>
        <v>1.9000000000000057</v>
      </c>
      <c r="F2146" s="10">
        <f t="shared" ref="F2146" si="3478">ABS(MIN(D2146:D2155))</f>
        <v>1.9000000000000057</v>
      </c>
      <c r="G2146" s="10">
        <f t="shared" ref="G2146" si="3479">ABS(MAX(D2146:D2155))</f>
        <v>0</v>
      </c>
      <c r="J2146" s="24" t="str">
        <f t="shared" ref="J2146" si="3480">CONCATENATE(K2145,1)</f>
        <v>91</v>
      </c>
      <c r="K2146" s="6" t="e">
        <f t="array" ref="K2146:R2148">LINEST(B2130:B2138,C2130:C2138^{1,2,3,4,5,6,7},TRUE,TRUE)</f>
        <v>#VALUE!</v>
      </c>
      <c r="L2146" s="6" t="e">
        <v>#VALUE!</v>
      </c>
      <c r="M2146" s="6" t="e">
        <v>#VALUE!</v>
      </c>
      <c r="N2146" s="6" t="e">
        <v>#VALUE!</v>
      </c>
      <c r="O2146" s="6" t="e">
        <v>#VALUE!</v>
      </c>
      <c r="P2146" s="6" t="e">
        <v>#VALUE!</v>
      </c>
      <c r="Q2146" s="6" t="e">
        <v>#VALUE!</v>
      </c>
      <c r="R2146" s="6" t="e">
        <v>#VALUE!</v>
      </c>
      <c r="T2146" s="9"/>
      <c r="U2146" s="1">
        <f t="shared" si="3468"/>
        <v>49</v>
      </c>
      <c r="V2146" s="1">
        <f t="shared" si="3469"/>
        <v>233</v>
      </c>
    </row>
    <row r="2147" spans="1:22" x14ac:dyDescent="0.3">
      <c r="A2147" s="1">
        <f t="shared" si="3407"/>
        <v>49234</v>
      </c>
      <c r="B2147" s="12">
        <f t="shared" si="3474"/>
        <v>0.39999999999999858</v>
      </c>
      <c r="C2147" s="13">
        <f t="shared" si="3475"/>
        <v>0</v>
      </c>
      <c r="D2147" s="10">
        <f t="shared" si="3476"/>
        <v>-0.39999999999999858</v>
      </c>
      <c r="E2147" s="74" t="s">
        <v>38</v>
      </c>
      <c r="F2147" s="75"/>
      <c r="G2147" s="76"/>
      <c r="J2147" s="24" t="str">
        <f t="shared" ref="J2147" si="3481">CONCATENATE(K2145,2)</f>
        <v>92</v>
      </c>
      <c r="K2147" s="6" t="e">
        <v>#VALUE!</v>
      </c>
      <c r="L2147" s="6" t="e">
        <v>#VALUE!</v>
      </c>
      <c r="M2147" s="6" t="e">
        <v>#VALUE!</v>
      </c>
      <c r="N2147" s="6" t="e">
        <v>#VALUE!</v>
      </c>
      <c r="O2147" s="6" t="e">
        <v>#VALUE!</v>
      </c>
      <c r="P2147" s="6" t="e">
        <v>#VALUE!</v>
      </c>
      <c r="Q2147" s="6" t="e">
        <v>#VALUE!</v>
      </c>
      <c r="R2147" s="6" t="e">
        <v>#VALUE!</v>
      </c>
      <c r="T2147" s="9"/>
      <c r="U2147" s="1">
        <f t="shared" si="3468"/>
        <v>49</v>
      </c>
      <c r="V2147" s="1">
        <f t="shared" si="3469"/>
        <v>234</v>
      </c>
    </row>
    <row r="2148" spans="1:22" x14ac:dyDescent="0.3">
      <c r="A2148" s="1">
        <f t="shared" si="3407"/>
        <v>49235</v>
      </c>
      <c r="B2148" s="12">
        <f t="shared" si="3474"/>
        <v>1.9000000000000057</v>
      </c>
      <c r="C2148" s="13">
        <f t="shared" si="3475"/>
        <v>0</v>
      </c>
      <c r="D2148" s="10">
        <f t="shared" si="3476"/>
        <v>-1.9000000000000057</v>
      </c>
      <c r="E2148" s="11">
        <f t="shared" ref="E2148" si="3482">IF(D2121="","",MAX(F2148,G2148))</f>
        <v>1.9000000000000057</v>
      </c>
      <c r="F2148" s="10">
        <f t="shared" ref="F2148" si="3483">ABS(MIN(B2146:B2155))</f>
        <v>0</v>
      </c>
      <c r="G2148" s="10">
        <f t="shared" ref="G2148" si="3484">ABS(MAX(B2146:B2155))</f>
        <v>1.9000000000000057</v>
      </c>
      <c r="J2148" s="24" t="str">
        <f t="shared" ref="J2148" si="3485">CONCATENATE(K2145,3)</f>
        <v>93</v>
      </c>
      <c r="K2148" s="6" t="e">
        <v>#VALUE!</v>
      </c>
      <c r="L2148" s="6" t="e">
        <v>#VALUE!</v>
      </c>
      <c r="M2148" s="6" t="e">
        <v>#VALUE!</v>
      </c>
      <c r="N2148" s="6" t="e">
        <v>#VALUE!</v>
      </c>
      <c r="O2148" s="6" t="e">
        <v>#VALUE!</v>
      </c>
      <c r="P2148" s="6" t="e">
        <v>#VALUE!</v>
      </c>
      <c r="Q2148" s="6" t="e">
        <v>#VALUE!</v>
      </c>
      <c r="R2148" s="6" t="e">
        <v>#VALUE!</v>
      </c>
      <c r="T2148" s="9"/>
      <c r="U2148" s="1">
        <f t="shared" si="3468"/>
        <v>49</v>
      </c>
      <c r="V2148" s="1">
        <f t="shared" si="3469"/>
        <v>235</v>
      </c>
    </row>
    <row r="2149" spans="1:22" x14ac:dyDescent="0.3">
      <c r="A2149" s="1">
        <f t="shared" si="3407"/>
        <v>49236</v>
      </c>
      <c r="B2149" s="12">
        <f t="shared" si="3474"/>
        <v>0</v>
      </c>
      <c r="C2149" s="13">
        <f t="shared" si="3475"/>
        <v>0</v>
      </c>
      <c r="D2149" s="10">
        <f t="shared" si="3476"/>
        <v>0</v>
      </c>
      <c r="E2149" s="74" t="s">
        <v>39</v>
      </c>
      <c r="F2149" s="75"/>
      <c r="G2149" s="76"/>
      <c r="K2149" s="1">
        <v>10</v>
      </c>
      <c r="L2149" s="1">
        <v>10</v>
      </c>
      <c r="M2149" s="1">
        <v>10</v>
      </c>
      <c r="N2149" s="1">
        <v>10</v>
      </c>
      <c r="O2149" s="1">
        <v>10</v>
      </c>
      <c r="P2149" s="1">
        <v>10</v>
      </c>
      <c r="Q2149" s="1">
        <v>10</v>
      </c>
      <c r="R2149" s="1">
        <v>10</v>
      </c>
      <c r="S2149" s="1">
        <v>10</v>
      </c>
      <c r="T2149" s="9"/>
      <c r="U2149" s="1">
        <f t="shared" si="3468"/>
        <v>49</v>
      </c>
      <c r="V2149" s="1">
        <f t="shared" si="3469"/>
        <v>236</v>
      </c>
    </row>
    <row r="2150" spans="1:22" x14ac:dyDescent="0.3">
      <c r="A2150" s="1">
        <f t="shared" si="3407"/>
        <v>49237</v>
      </c>
      <c r="B2150" s="12">
        <f t="shared" si="3474"/>
        <v>0</v>
      </c>
      <c r="C2150" s="13">
        <f t="shared" si="3475"/>
        <v>0</v>
      </c>
      <c r="D2150" s="10">
        <f t="shared" si="3476"/>
        <v>0</v>
      </c>
      <c r="E2150" s="11">
        <f t="shared" ref="E2150" si="3486">IF(D2121="","",MAX(F2150,G2150))</f>
        <v>1.1000000000000001</v>
      </c>
      <c r="F2150" s="10">
        <f t="shared" ref="F2150" si="3487">ABS(MIN(D2130:D2139))</f>
        <v>0.7</v>
      </c>
      <c r="G2150" s="10">
        <f t="shared" ref="G2150" si="3488">ABS(MAX(D2130:D2139))</f>
        <v>1.1000000000000001</v>
      </c>
      <c r="J2150" s="24" t="str">
        <f t="shared" ref="J2150" si="3489">CONCATENATE(K2149,1)</f>
        <v>101</v>
      </c>
      <c r="K2150" s="6" t="e">
        <f t="array" ref="K2150:S2152">LINEST(B2130:B2139,C2130:C2139^{1,2,3,4,5,6,7,8},TRUE,TRUE)</f>
        <v>#VALUE!</v>
      </c>
      <c r="L2150" s="6" t="e">
        <v>#VALUE!</v>
      </c>
      <c r="M2150" s="6" t="e">
        <v>#VALUE!</v>
      </c>
      <c r="N2150" s="6" t="e">
        <v>#VALUE!</v>
      </c>
      <c r="O2150" s="6" t="e">
        <v>#VALUE!</v>
      </c>
      <c r="P2150" s="6" t="e">
        <v>#VALUE!</v>
      </c>
      <c r="Q2150" s="6" t="e">
        <v>#VALUE!</v>
      </c>
      <c r="R2150" s="6" t="e">
        <v>#VALUE!</v>
      </c>
      <c r="S2150" s="6" t="e">
        <v>#VALUE!</v>
      </c>
      <c r="T2150" s="9"/>
      <c r="U2150" s="1">
        <f t="shared" si="3468"/>
        <v>49</v>
      </c>
      <c r="V2150" s="1">
        <f t="shared" si="3469"/>
        <v>237</v>
      </c>
    </row>
    <row r="2151" spans="1:22" x14ac:dyDescent="0.3">
      <c r="A2151" s="1">
        <f t="shared" si="3407"/>
        <v>49238</v>
      </c>
      <c r="B2151" s="12">
        <f t="shared" si="3474"/>
        <v>0</v>
      </c>
      <c r="C2151" s="13">
        <f t="shared" si="3475"/>
        <v>0</v>
      </c>
      <c r="D2151" s="10">
        <f t="shared" si="3476"/>
        <v>0</v>
      </c>
      <c r="J2151" s="24" t="str">
        <f t="shared" ref="J2151" si="3490">CONCATENATE(K2149,2)</f>
        <v>102</v>
      </c>
      <c r="K2151" s="6" t="e">
        <v>#VALUE!</v>
      </c>
      <c r="L2151" s="6" t="e">
        <v>#VALUE!</v>
      </c>
      <c r="M2151" s="6" t="e">
        <v>#VALUE!</v>
      </c>
      <c r="N2151" s="6" t="e">
        <v>#VALUE!</v>
      </c>
      <c r="O2151" s="6" t="e">
        <v>#VALUE!</v>
      </c>
      <c r="P2151" s="6" t="e">
        <v>#VALUE!</v>
      </c>
      <c r="Q2151" s="6" t="e">
        <v>#VALUE!</v>
      </c>
      <c r="R2151" s="6" t="e">
        <v>#VALUE!</v>
      </c>
      <c r="S2151" s="6" t="e">
        <v>#VALUE!</v>
      </c>
      <c r="T2151" s="9"/>
      <c r="U2151" s="1">
        <f t="shared" si="3468"/>
        <v>49</v>
      </c>
      <c r="V2151" s="1">
        <f t="shared" si="3469"/>
        <v>238</v>
      </c>
    </row>
    <row r="2152" spans="1:22" x14ac:dyDescent="0.3">
      <c r="A2152" s="1">
        <f t="shared" si="3407"/>
        <v>49239</v>
      </c>
      <c r="B2152" s="12">
        <f t="shared" si="3474"/>
        <v>0</v>
      </c>
      <c r="C2152" s="13">
        <f t="shared" si="3475"/>
        <v>0</v>
      </c>
      <c r="D2152" s="10">
        <f t="shared" si="3476"/>
        <v>0</v>
      </c>
      <c r="J2152" s="24" t="str">
        <f t="shared" ref="J2152" si="3491">CONCATENATE(K2149,3)</f>
        <v>103</v>
      </c>
      <c r="K2152" s="6" t="e">
        <v>#VALUE!</v>
      </c>
      <c r="L2152" s="6" t="e">
        <v>#VALUE!</v>
      </c>
      <c r="M2152" s="6" t="e">
        <v>#VALUE!</v>
      </c>
      <c r="N2152" s="6" t="e">
        <v>#VALUE!</v>
      </c>
      <c r="O2152" s="6" t="e">
        <v>#VALUE!</v>
      </c>
      <c r="P2152" s="6" t="e">
        <v>#VALUE!</v>
      </c>
      <c r="Q2152" s="6" t="e">
        <v>#VALUE!</v>
      </c>
      <c r="R2152" s="6" t="e">
        <v>#VALUE!</v>
      </c>
      <c r="S2152" s="6" t="e">
        <v>#VALUE!</v>
      </c>
      <c r="T2152" s="9"/>
      <c r="U2152" s="1">
        <f t="shared" si="3468"/>
        <v>49</v>
      </c>
      <c r="V2152" s="1">
        <f t="shared" si="3469"/>
        <v>239</v>
      </c>
    </row>
    <row r="2153" spans="1:22" x14ac:dyDescent="0.3">
      <c r="A2153" s="1">
        <f t="shared" si="3407"/>
        <v>49240</v>
      </c>
      <c r="B2153" s="12">
        <f t="shared" si="3474"/>
        <v>0</v>
      </c>
      <c r="C2153" s="13">
        <f t="shared" si="3475"/>
        <v>0</v>
      </c>
      <c r="D2153" s="10">
        <f t="shared" si="3476"/>
        <v>0</v>
      </c>
      <c r="J2153" s="9"/>
      <c r="K2153" s="9"/>
      <c r="L2153" s="9"/>
      <c r="M2153" s="9"/>
      <c r="N2153" s="9"/>
      <c r="O2153" s="9"/>
      <c r="P2153" s="9"/>
      <c r="Q2153" s="9"/>
      <c r="R2153" s="9"/>
      <c r="S2153" s="9"/>
      <c r="T2153" s="9"/>
      <c r="U2153" s="1">
        <f t="shared" si="3468"/>
        <v>49</v>
      </c>
      <c r="V2153" s="1">
        <f t="shared" si="3469"/>
        <v>240</v>
      </c>
    </row>
    <row r="2154" spans="1:22" x14ac:dyDescent="0.3">
      <c r="A2154" s="1">
        <f t="shared" si="3407"/>
        <v>49241</v>
      </c>
      <c r="B2154" s="12">
        <f t="shared" si="3474"/>
        <v>0</v>
      </c>
      <c r="C2154" s="13">
        <f t="shared" si="3475"/>
        <v>0</v>
      </c>
      <c r="D2154" s="10">
        <f t="shared" si="3476"/>
        <v>0</v>
      </c>
      <c r="J2154" s="9"/>
      <c r="K2154" s="9"/>
      <c r="L2154" s="9"/>
      <c r="M2154" s="9"/>
      <c r="N2154" s="9"/>
      <c r="O2154" s="9"/>
      <c r="P2154" s="9"/>
      <c r="Q2154" s="9"/>
      <c r="R2154" s="9"/>
      <c r="S2154" s="9"/>
      <c r="T2154" s="9"/>
      <c r="U2154" s="1">
        <f t="shared" si="3468"/>
        <v>49</v>
      </c>
      <c r="V2154" s="1">
        <f t="shared" si="3469"/>
        <v>241</v>
      </c>
    </row>
    <row r="2155" spans="1:22" x14ac:dyDescent="0.3">
      <c r="A2155" s="1">
        <f t="shared" si="3407"/>
        <v>49242</v>
      </c>
      <c r="B2155" s="12">
        <f t="shared" si="3474"/>
        <v>0</v>
      </c>
      <c r="C2155" s="13">
        <f t="shared" si="3475"/>
        <v>0</v>
      </c>
      <c r="D2155" s="10">
        <f t="shared" si="3476"/>
        <v>0</v>
      </c>
      <c r="J2155" s="9"/>
      <c r="K2155" s="9"/>
      <c r="L2155" s="9"/>
      <c r="M2155" s="9"/>
      <c r="N2155" s="9"/>
      <c r="O2155" s="9"/>
      <c r="P2155" s="9"/>
      <c r="Q2155" s="9"/>
      <c r="R2155" s="9"/>
      <c r="S2155" s="9"/>
      <c r="T2155" s="9"/>
      <c r="U2155" s="1">
        <f t="shared" si="3468"/>
        <v>49</v>
      </c>
      <c r="V2155" s="1">
        <f t="shared" si="3469"/>
        <v>242</v>
      </c>
    </row>
    <row r="2156" spans="1:22" x14ac:dyDescent="0.3">
      <c r="A2156" s="1">
        <f t="shared" si="3407"/>
        <v>49243</v>
      </c>
      <c r="J2156" s="9"/>
      <c r="K2156" s="9"/>
      <c r="L2156" s="9"/>
      <c r="M2156" s="9"/>
      <c r="N2156" s="9"/>
      <c r="O2156" s="9"/>
      <c r="P2156" s="9"/>
      <c r="Q2156" s="9"/>
      <c r="R2156" s="9"/>
      <c r="S2156" s="9"/>
      <c r="T2156" s="9"/>
      <c r="U2156" s="1">
        <f t="shared" si="3468"/>
        <v>49</v>
      </c>
      <c r="V2156" s="1">
        <f t="shared" si="3469"/>
        <v>243</v>
      </c>
    </row>
    <row r="2157" spans="1:22" s="5" customFormat="1" x14ac:dyDescent="0.3"/>
    <row r="2158" spans="1:22" x14ac:dyDescent="0.3">
      <c r="A2158" s="1">
        <f t="shared" ref="A2158:A2200" si="3492">ROUND(CONCATENATE(U2158,V2158),0)</f>
        <v>50201</v>
      </c>
      <c r="B2158" s="96" t="s">
        <v>0</v>
      </c>
      <c r="C2158" s="97"/>
      <c r="D2158" s="110" t="s">
        <v>46</v>
      </c>
      <c r="E2158" s="111"/>
      <c r="F2158" s="111"/>
      <c r="G2158" s="111"/>
      <c r="H2158" s="112"/>
      <c r="J2158" s="9"/>
      <c r="K2158" s="9"/>
      <c r="L2158" s="9"/>
      <c r="M2158" s="9"/>
      <c r="N2158" s="9"/>
      <c r="O2158" s="9"/>
      <c r="P2158" s="9"/>
      <c r="Q2158" s="9"/>
      <c r="R2158" s="9"/>
      <c r="S2158" s="9"/>
      <c r="T2158" s="9"/>
      <c r="U2158" s="1">
        <f t="shared" ref="U2158" si="3493">U2156+1</f>
        <v>50</v>
      </c>
      <c r="V2158" s="1">
        <v>201</v>
      </c>
    </row>
    <row r="2159" spans="1:22" x14ac:dyDescent="0.3">
      <c r="A2159" s="1">
        <f t="shared" si="3492"/>
        <v>50202</v>
      </c>
      <c r="B2159" s="96" t="s">
        <v>1</v>
      </c>
      <c r="C2159" s="97"/>
      <c r="D2159" s="15">
        <v>20</v>
      </c>
      <c r="E2159" s="16" t="s">
        <v>2</v>
      </c>
      <c r="F2159" s="107"/>
      <c r="G2159" s="108"/>
      <c r="H2159" s="109"/>
      <c r="J2159" s="9"/>
      <c r="K2159" s="9"/>
      <c r="L2159" s="9"/>
      <c r="M2159" s="9"/>
      <c r="N2159" s="9"/>
      <c r="O2159" s="9"/>
      <c r="P2159" s="9"/>
      <c r="Q2159" s="9"/>
      <c r="R2159" s="9"/>
      <c r="S2159" s="9"/>
      <c r="T2159" s="9"/>
      <c r="U2159" s="1">
        <f t="shared" ref="U2159" si="3494">U2158</f>
        <v>50</v>
      </c>
      <c r="V2159" s="1">
        <f t="shared" ref="V2159" si="3495">V2158+1</f>
        <v>202</v>
      </c>
    </row>
    <row r="2160" spans="1:22" x14ac:dyDescent="0.3">
      <c r="A2160" s="1">
        <f t="shared" si="3492"/>
        <v>50203</v>
      </c>
      <c r="B2160" s="96" t="s">
        <v>12</v>
      </c>
      <c r="C2160" s="97"/>
      <c r="D2160" s="98" t="s">
        <v>229</v>
      </c>
      <c r="E2160" s="99"/>
      <c r="F2160" s="99"/>
      <c r="G2160" s="99"/>
      <c r="H2160" s="100"/>
      <c r="K2160" s="1" t="s">
        <v>3</v>
      </c>
      <c r="L2160" s="1" t="s">
        <v>4</v>
      </c>
      <c r="M2160" s="1" t="s">
        <v>5</v>
      </c>
      <c r="N2160" s="1" t="s">
        <v>6</v>
      </c>
      <c r="O2160" s="1" t="s">
        <v>7</v>
      </c>
      <c r="P2160" s="1" t="s">
        <v>8</v>
      </c>
      <c r="Q2160" s="1" t="s">
        <v>9</v>
      </c>
      <c r="R2160" s="1" t="s">
        <v>10</v>
      </c>
      <c r="S2160" s="1" t="s">
        <v>11</v>
      </c>
      <c r="T2160" s="9"/>
      <c r="U2160" s="1">
        <f t="shared" si="3468"/>
        <v>50</v>
      </c>
      <c r="V2160" s="1">
        <f t="shared" si="3469"/>
        <v>203</v>
      </c>
    </row>
    <row r="2161" spans="1:22" x14ac:dyDescent="0.3">
      <c r="A2161" s="1">
        <f t="shared" si="3492"/>
        <v>50204</v>
      </c>
      <c r="B2161" s="96" t="s">
        <v>13</v>
      </c>
      <c r="C2161" s="97"/>
      <c r="D2161" s="98" t="s">
        <v>65</v>
      </c>
      <c r="E2161" s="99"/>
      <c r="F2161" s="99"/>
      <c r="G2161" s="99"/>
      <c r="H2161" s="100"/>
      <c r="J2161" s="1">
        <f t="shared" ref="J2161" si="3496">COUNTA(B2174:B2183)</f>
        <v>3</v>
      </c>
      <c r="K2161" s="1">
        <f t="shared" ref="K2161" si="3497">IF(L2161-1&lt;2,0,L2161-1)</f>
        <v>0</v>
      </c>
      <c r="L2161" s="1">
        <f t="shared" ref="L2161" si="3498">IF(M2161-1&lt;2,0,M2161-1)</f>
        <v>0</v>
      </c>
      <c r="M2161" s="1">
        <f t="shared" ref="M2161" si="3499">IF(N2161-1&lt;2,0,N2161-1)</f>
        <v>0</v>
      </c>
      <c r="N2161" s="1">
        <f t="shared" ref="N2161" si="3500">IF(O2161-1&lt;2,0,O2161-1)</f>
        <v>0</v>
      </c>
      <c r="O2161" s="1">
        <f t="shared" ref="O2161" si="3501">IF(P2161-1&lt;2,0,P2161-1)</f>
        <v>0</v>
      </c>
      <c r="P2161" s="1">
        <f t="shared" ref="P2161" si="3502">IF(Q2161-1&lt;2,0,Q2161-1)</f>
        <v>0</v>
      </c>
      <c r="Q2161" s="1">
        <f t="shared" ref="Q2161" si="3503">IF(R2161-1&lt;2,0,R2161-1)</f>
        <v>0</v>
      </c>
      <c r="R2161" s="1">
        <f t="shared" ref="R2161" si="3504">IF(S2161-1&lt;2,0,S2161-1)</f>
        <v>2</v>
      </c>
      <c r="S2161" s="1">
        <f t="shared" ref="S2161" si="3505">J2161</f>
        <v>3</v>
      </c>
      <c r="T2161" s="9"/>
      <c r="U2161" s="1">
        <f t="shared" si="3468"/>
        <v>50</v>
      </c>
      <c r="V2161" s="1">
        <f t="shared" si="3469"/>
        <v>204</v>
      </c>
    </row>
    <row r="2162" spans="1:22" x14ac:dyDescent="0.3">
      <c r="A2162" s="1">
        <f t="shared" si="3492"/>
        <v>50205</v>
      </c>
      <c r="B2162" s="96" t="s">
        <v>14</v>
      </c>
      <c r="C2162" s="97"/>
      <c r="D2162" s="98" t="s">
        <v>66</v>
      </c>
      <c r="E2162" s="99"/>
      <c r="F2162" s="99"/>
      <c r="G2162" s="99"/>
      <c r="H2162" s="100"/>
      <c r="J2162" s="24" t="str">
        <f t="shared" ref="J2162" si="3506">CONCATENATE(J2161,1)</f>
        <v>31</v>
      </c>
      <c r="K2162" s="25">
        <f t="shared" ref="K2162" si="3507">IF(K2161=0,0,VLOOKUP(J2162,J2166:S2196,K2161,FALSE))</f>
        <v>0</v>
      </c>
      <c r="L2162" s="25">
        <f t="shared" ref="L2162" si="3508">IF(L2161=0,0,VLOOKUP(J2162,J2166:S2196,L2161,FALSE))</f>
        <v>0</v>
      </c>
      <c r="M2162" s="25">
        <f t="shared" ref="M2162" si="3509">IF(M2161=0,0,VLOOKUP(J2162,J2166:S2196,M2161,FALSE))</f>
        <v>0</v>
      </c>
      <c r="N2162" s="25">
        <f t="shared" ref="N2162" si="3510">IF(N2161=0,0,VLOOKUP(J2162,J2166:S2196,N2161,FALSE))</f>
        <v>0</v>
      </c>
      <c r="O2162" s="25">
        <f t="shared" ref="O2162" si="3511">IF(O2161=0,0,VLOOKUP(J2162,J2166:S2196,O2161,FALSE))</f>
        <v>0</v>
      </c>
      <c r="P2162" s="25">
        <f t="shared" ref="P2162" si="3512">IF(P2161=0,0,VLOOKUP(J2162,J2166:S2196,P2161,FALSE))</f>
        <v>0</v>
      </c>
      <c r="Q2162" s="25">
        <f t="shared" ref="Q2162" si="3513">IF(Q2161=0,0,VLOOKUP(J2162,J2166:S2196,Q2161,FALSE))</f>
        <v>0</v>
      </c>
      <c r="R2162" s="25">
        <f t="shared" ref="R2162" si="3514">IF(R2161=0,0,VLOOKUP(J2162,J2166:S2196,R2161,FALSE))</f>
        <v>0.99833518517834929</v>
      </c>
      <c r="S2162" s="25">
        <f t="shared" ref="S2162" si="3515">IF(S2161=0,0,VLOOKUP(J2162,J2166:S2196,S2161,FALSE))</f>
        <v>-0.38264901200069801</v>
      </c>
      <c r="T2162" s="9"/>
      <c r="U2162" s="1">
        <f t="shared" si="3468"/>
        <v>50</v>
      </c>
      <c r="V2162" s="1">
        <f t="shared" si="3469"/>
        <v>205</v>
      </c>
    </row>
    <row r="2163" spans="1:22" x14ac:dyDescent="0.3">
      <c r="A2163" s="1">
        <f t="shared" si="3492"/>
        <v>50206</v>
      </c>
      <c r="B2163" s="96" t="s">
        <v>15</v>
      </c>
      <c r="C2163" s="97"/>
      <c r="D2163" s="128" t="s">
        <v>329</v>
      </c>
      <c r="E2163" s="129"/>
      <c r="F2163" s="129"/>
      <c r="G2163" s="129"/>
      <c r="H2163" s="130"/>
      <c r="J2163" s="24" t="str">
        <f t="shared" ref="J2163" si="3516">CONCATENATE(J2161,2)</f>
        <v>32</v>
      </c>
      <c r="K2163" s="6">
        <f t="shared" ref="K2163" si="3517">IF(K2161=0,0,VLOOKUP(J2163,J2166:S2196,K2161,FALSE))</f>
        <v>0</v>
      </c>
      <c r="L2163" s="6">
        <f t="shared" ref="L2163" si="3518">IF(L2161=0,0,VLOOKUP(J2163,J2166:S2196,L2161,FALSE))</f>
        <v>0</v>
      </c>
      <c r="M2163" s="6">
        <f t="shared" ref="M2163" si="3519">IF(M2161=0,0,VLOOKUP(J2163,J2166:S2196,M2161,FALSE))</f>
        <v>0</v>
      </c>
      <c r="N2163" s="6">
        <f t="shared" ref="N2163" si="3520">IF(N2161=0,0,VLOOKUP(J2163,J2166:S2196,N2161,FALSE))</f>
        <v>0</v>
      </c>
      <c r="O2163" s="6">
        <f t="shared" ref="O2163" si="3521">IF(O2161=0,0,VLOOKUP(J2163,J2166:S2196,O2161,FALSE))</f>
        <v>0</v>
      </c>
      <c r="P2163" s="6">
        <f t="shared" ref="P2163" si="3522">IF(P2161=0,0,VLOOKUP(J2163,J2166:S2196,P2161,FALSE))</f>
        <v>0</v>
      </c>
      <c r="Q2163" s="6">
        <f t="shared" ref="Q2163" si="3523">IF(Q2161=0,0,VLOOKUP(J2163,J2166:S2196,Q2161,FALSE))</f>
        <v>0</v>
      </c>
      <c r="R2163" s="6">
        <f t="shared" ref="R2163" si="3524">IF(R2161=0,0,VLOOKUP(J2163,J2166:S2196,R2161,FALSE))</f>
        <v>9.5905006306857231E-4</v>
      </c>
      <c r="S2163" s="6">
        <f t="shared" ref="S2163" si="3525">IF(S2161=0,0,VLOOKUP(J2163,J2166:S2196,S2161,FALSE))</f>
        <v>5.3817038245492541E-2</v>
      </c>
      <c r="T2163" s="9"/>
      <c r="U2163" s="1">
        <f t="shared" si="3468"/>
        <v>50</v>
      </c>
      <c r="V2163" s="1">
        <f t="shared" si="3469"/>
        <v>206</v>
      </c>
    </row>
    <row r="2164" spans="1:22" x14ac:dyDescent="0.3">
      <c r="A2164" s="1">
        <f t="shared" si="3492"/>
        <v>50207</v>
      </c>
      <c r="B2164" s="96" t="s">
        <v>16</v>
      </c>
      <c r="C2164" s="97"/>
      <c r="D2164" s="121">
        <v>45836</v>
      </c>
      <c r="E2164" s="121"/>
      <c r="F2164" s="121"/>
      <c r="G2164" s="121"/>
      <c r="H2164" s="121"/>
      <c r="J2164" s="24" t="str">
        <f t="shared" ref="J2164" si="3526">CONCATENATE(J2161,3)</f>
        <v>33</v>
      </c>
      <c r="K2164" s="6"/>
      <c r="L2164" s="6"/>
      <c r="M2164" s="6"/>
      <c r="N2164" s="6" t="s">
        <v>43</v>
      </c>
      <c r="O2164" s="25">
        <f t="shared" ref="O2164" si="3527">J2161-2</f>
        <v>1</v>
      </c>
      <c r="P2164" s="6" t="s">
        <v>44</v>
      </c>
      <c r="Q2164" s="25">
        <f t="shared" ref="Q2164" si="3528">VLOOKUP(J2164,J2166:S2196,3,FALSE)</f>
        <v>4.0756882072074063E-2</v>
      </c>
      <c r="R2164" s="6" t="s">
        <v>45</v>
      </c>
      <c r="S2164" s="6">
        <f t="shared" ref="S2164" si="3529">VLOOKUP(J2164,J2166:S2196,2,FALSE)</f>
        <v>0.99999907715364655</v>
      </c>
      <c r="T2164" s="9"/>
      <c r="U2164" s="1">
        <f t="shared" si="3468"/>
        <v>50</v>
      </c>
      <c r="V2164" s="1">
        <f t="shared" si="3469"/>
        <v>207</v>
      </c>
    </row>
    <row r="2165" spans="1:22" x14ac:dyDescent="0.3">
      <c r="A2165" s="1">
        <f t="shared" si="3492"/>
        <v>50208</v>
      </c>
      <c r="B2165" s="96" t="s">
        <v>17</v>
      </c>
      <c r="C2165" s="97"/>
      <c r="D2165" s="122">
        <v>46203</v>
      </c>
      <c r="E2165" s="122"/>
      <c r="F2165" s="122"/>
      <c r="G2165" s="122"/>
      <c r="H2165" s="122"/>
      <c r="K2165" s="1">
        <v>3</v>
      </c>
      <c r="L2165" s="1">
        <v>3</v>
      </c>
      <c r="Q2165" s="26"/>
      <c r="R2165" s="26"/>
      <c r="S2165" s="26"/>
      <c r="T2165" s="9"/>
      <c r="U2165" s="1">
        <f t="shared" si="3468"/>
        <v>50</v>
      </c>
      <c r="V2165" s="1">
        <f t="shared" si="3469"/>
        <v>208</v>
      </c>
    </row>
    <row r="2166" spans="1:22" x14ac:dyDescent="0.3">
      <c r="A2166" s="1">
        <f t="shared" si="3492"/>
        <v>50209</v>
      </c>
      <c r="B2166" s="77" t="s">
        <v>19</v>
      </c>
      <c r="C2166" s="78"/>
      <c r="D2166" s="17">
        <v>0.1</v>
      </c>
      <c r="E2166" s="79" t="s">
        <v>40</v>
      </c>
      <c r="F2166" s="80"/>
      <c r="G2166" s="81"/>
      <c r="H2166" s="18" t="s">
        <v>42</v>
      </c>
      <c r="J2166" s="24" t="str">
        <f t="shared" ref="J2166" si="3530">CONCATENATE(K2165,1)</f>
        <v>31</v>
      </c>
      <c r="K2166" s="6">
        <f t="array" ref="K2166:L2168">LINEST(B2174:B2176,C2174:C2176^{1},TRUE,TRUE)</f>
        <v>0.99833518517834929</v>
      </c>
      <c r="L2166" s="6">
        <v>-0.38264901200069801</v>
      </c>
      <c r="Q2166" s="9"/>
      <c r="R2166" s="9"/>
      <c r="S2166" s="9"/>
      <c r="T2166" s="9"/>
      <c r="U2166" s="1">
        <f t="shared" si="3468"/>
        <v>50</v>
      </c>
      <c r="V2166" s="1">
        <f t="shared" si="3469"/>
        <v>209</v>
      </c>
    </row>
    <row r="2167" spans="1:22" x14ac:dyDescent="0.3">
      <c r="A2167" s="1">
        <f t="shared" si="3492"/>
        <v>50210</v>
      </c>
      <c r="B2167" s="77" t="s">
        <v>41</v>
      </c>
      <c r="C2167" s="78"/>
      <c r="D2167" s="23">
        <f t="shared" ref="D2167" si="3531">MIN(B2174:B2183)</f>
        <v>20</v>
      </c>
      <c r="E2167" s="20" t="s">
        <v>18</v>
      </c>
      <c r="F2167" s="19">
        <f t="shared" ref="F2167" si="3532">MAX(B2174:B2183)</f>
        <v>80</v>
      </c>
      <c r="G2167" s="21" t="str">
        <f t="shared" ref="G2167" si="3533">IF(H2166="","",H2166)</f>
        <v>%UR</v>
      </c>
      <c r="H2167" s="22"/>
      <c r="J2167" s="24" t="str">
        <f t="shared" ref="J2167" si="3534">CONCATENATE(K2165,2)</f>
        <v>32</v>
      </c>
      <c r="K2167" s="6">
        <v>9.5905006306857231E-4</v>
      </c>
      <c r="L2167" s="6">
        <v>5.3817038245492541E-2</v>
      </c>
      <c r="Q2167" s="9"/>
      <c r="R2167" s="9"/>
      <c r="S2167" s="9"/>
      <c r="T2167" s="9"/>
      <c r="U2167" s="1">
        <f t="shared" si="3468"/>
        <v>50</v>
      </c>
      <c r="V2167" s="1">
        <f t="shared" si="3469"/>
        <v>210</v>
      </c>
    </row>
    <row r="2168" spans="1:22" x14ac:dyDescent="0.3">
      <c r="A2168" s="1">
        <f t="shared" si="3492"/>
        <v>50211</v>
      </c>
      <c r="J2168" s="24" t="str">
        <f t="shared" ref="J2168" si="3535">CONCATENATE(K2165,3)</f>
        <v>33</v>
      </c>
      <c r="K2168" s="6">
        <v>0.99999907715364655</v>
      </c>
      <c r="L2168" s="6">
        <v>4.0756882072074063E-2</v>
      </c>
      <c r="Q2168" s="9"/>
      <c r="R2168" s="9"/>
      <c r="S2168" s="9"/>
      <c r="T2168" s="9"/>
      <c r="U2168" s="1">
        <f t="shared" si="3468"/>
        <v>50</v>
      </c>
      <c r="V2168" s="1">
        <f t="shared" si="3469"/>
        <v>211</v>
      </c>
    </row>
    <row r="2169" spans="1:22" x14ac:dyDescent="0.3">
      <c r="A2169" s="1">
        <f t="shared" si="3492"/>
        <v>50212</v>
      </c>
      <c r="B2169" s="82" t="s">
        <v>20</v>
      </c>
      <c r="C2169" s="83"/>
      <c r="D2169" s="83"/>
      <c r="E2169" s="83"/>
      <c r="F2169" s="84"/>
      <c r="G2169" s="85" t="s">
        <v>31</v>
      </c>
      <c r="H2169" s="86"/>
      <c r="K2169" s="1">
        <v>4</v>
      </c>
      <c r="L2169" s="1">
        <v>4</v>
      </c>
      <c r="M2169" s="1">
        <v>4</v>
      </c>
      <c r="Q2169" s="9"/>
      <c r="R2169" s="9"/>
      <c r="S2169" s="9"/>
      <c r="T2169" s="9"/>
      <c r="U2169" s="1">
        <f t="shared" si="3468"/>
        <v>50</v>
      </c>
      <c r="V2169" s="1">
        <f t="shared" si="3469"/>
        <v>212</v>
      </c>
    </row>
    <row r="2170" spans="1:22" x14ac:dyDescent="0.3">
      <c r="A2170" s="1">
        <f t="shared" si="3492"/>
        <v>50213</v>
      </c>
      <c r="B2170" s="82" t="s">
        <v>30</v>
      </c>
      <c r="C2170" s="83"/>
      <c r="D2170" s="84"/>
      <c r="E2170" s="82" t="str">
        <f t="shared" ref="E2170" si="3536">D2163</f>
        <v>E0396A/25</v>
      </c>
      <c r="F2170" s="84"/>
      <c r="G2170" s="6" t="s">
        <v>32</v>
      </c>
      <c r="H2170" s="7" t="s">
        <v>230</v>
      </c>
      <c r="J2170" s="24" t="str">
        <f t="shared" ref="J2170" si="3537">CONCATENATE(K2169,1)</f>
        <v>41</v>
      </c>
      <c r="K2170" s="6" t="e">
        <f t="array" ref="K2170:M2172">LINEST(B2174:B2177,C2174:C2177^{1,2},TRUE,TRUE)</f>
        <v>#VALUE!</v>
      </c>
      <c r="L2170" s="6" t="e">
        <v>#VALUE!</v>
      </c>
      <c r="M2170" s="6" t="e">
        <v>#VALUE!</v>
      </c>
      <c r="Q2170" s="9"/>
      <c r="R2170" s="9"/>
      <c r="S2170" s="9"/>
      <c r="T2170" s="9"/>
      <c r="U2170" s="1">
        <f t="shared" si="3468"/>
        <v>50</v>
      </c>
      <c r="V2170" s="1">
        <f t="shared" si="3469"/>
        <v>213</v>
      </c>
    </row>
    <row r="2171" spans="1:22" x14ac:dyDescent="0.3">
      <c r="A2171" s="1">
        <f t="shared" si="3492"/>
        <v>50214</v>
      </c>
      <c r="B2171" s="2" t="s">
        <v>21</v>
      </c>
      <c r="C2171" s="2" t="s">
        <v>22</v>
      </c>
      <c r="D2171" s="2" t="s">
        <v>23</v>
      </c>
      <c r="E2171" s="2"/>
      <c r="F2171" s="2" t="s">
        <v>28</v>
      </c>
      <c r="G2171" s="2" t="s">
        <v>21</v>
      </c>
      <c r="H2171" s="2" t="s">
        <v>22</v>
      </c>
      <c r="J2171" s="24" t="str">
        <f t="shared" ref="J2171" si="3538">CONCATENATE(K2169,2)</f>
        <v>42</v>
      </c>
      <c r="K2171" s="6" t="e">
        <v>#VALUE!</v>
      </c>
      <c r="L2171" s="6" t="e">
        <v>#VALUE!</v>
      </c>
      <c r="M2171" s="6" t="e">
        <v>#VALUE!</v>
      </c>
      <c r="Q2171" s="9"/>
      <c r="R2171" s="9"/>
      <c r="S2171" s="9"/>
      <c r="T2171" s="9"/>
      <c r="U2171" s="1">
        <f t="shared" si="3468"/>
        <v>50</v>
      </c>
      <c r="V2171" s="1">
        <f t="shared" si="3469"/>
        <v>214</v>
      </c>
    </row>
    <row r="2172" spans="1:22" x14ac:dyDescent="0.3">
      <c r="A2172" s="1">
        <f t="shared" si="3492"/>
        <v>50215</v>
      </c>
      <c r="B2172" s="2" t="s">
        <v>24</v>
      </c>
      <c r="C2172" s="2" t="s">
        <v>25</v>
      </c>
      <c r="D2172" s="2" t="s">
        <v>26</v>
      </c>
      <c r="E2172" s="2" t="s">
        <v>27</v>
      </c>
      <c r="F2172" s="2" t="s">
        <v>29</v>
      </c>
      <c r="G2172" s="2" t="s">
        <v>24</v>
      </c>
      <c r="H2172" s="2" t="s">
        <v>25</v>
      </c>
      <c r="J2172" s="24" t="str">
        <f t="shared" ref="J2172" si="3539">CONCATENATE(K2169,3)</f>
        <v>43</v>
      </c>
      <c r="K2172" s="6" t="e">
        <v>#VALUE!</v>
      </c>
      <c r="L2172" s="6" t="e">
        <v>#VALUE!</v>
      </c>
      <c r="M2172" s="6" t="e">
        <v>#VALUE!</v>
      </c>
      <c r="Q2172" s="9"/>
      <c r="R2172" s="9"/>
      <c r="S2172" s="9"/>
      <c r="T2172" s="9"/>
      <c r="U2172" s="1">
        <f t="shared" si="3468"/>
        <v>50</v>
      </c>
      <c r="V2172" s="1">
        <f t="shared" si="3469"/>
        <v>215</v>
      </c>
    </row>
    <row r="2173" spans="1:22" x14ac:dyDescent="0.3">
      <c r="A2173" s="1">
        <f t="shared" si="3492"/>
        <v>50216</v>
      </c>
      <c r="B2173" s="3" t="str">
        <f t="shared" ref="B2173" si="3540">H2166</f>
        <v>%UR</v>
      </c>
      <c r="C2173" s="3" t="str">
        <f t="shared" ref="C2173" si="3541">B2173</f>
        <v>%UR</v>
      </c>
      <c r="D2173" s="3" t="str">
        <f t="shared" ref="D2173" si="3542">C2173</f>
        <v>%UR</v>
      </c>
      <c r="E2173" s="3"/>
      <c r="F2173" s="3"/>
      <c r="G2173" s="3" t="str">
        <f t="shared" ref="G2173" si="3543">D2173</f>
        <v>%UR</v>
      </c>
      <c r="H2173" s="3" t="str">
        <f t="shared" ref="H2173" si="3544">G2173</f>
        <v>%UR</v>
      </c>
      <c r="K2173" s="1">
        <v>5</v>
      </c>
      <c r="L2173" s="1">
        <v>5</v>
      </c>
      <c r="M2173" s="1">
        <v>5</v>
      </c>
      <c r="N2173" s="1">
        <v>5</v>
      </c>
      <c r="Q2173" s="9"/>
      <c r="R2173" s="9"/>
      <c r="S2173" s="9"/>
      <c r="T2173" s="9"/>
      <c r="U2173" s="1">
        <f t="shared" si="3468"/>
        <v>50</v>
      </c>
      <c r="V2173" s="1">
        <f t="shared" si="3469"/>
        <v>216</v>
      </c>
    </row>
    <row r="2174" spans="1:22" x14ac:dyDescent="0.3">
      <c r="A2174" s="1">
        <f t="shared" si="3492"/>
        <v>50217</v>
      </c>
      <c r="B2174" s="65">
        <v>20</v>
      </c>
      <c r="C2174" s="65">
        <v>20.399999999999999</v>
      </c>
      <c r="D2174" s="65">
        <v>0.4</v>
      </c>
      <c r="E2174" s="4">
        <v>2.0099999999999998</v>
      </c>
      <c r="F2174" s="14">
        <v>269</v>
      </c>
      <c r="G2174" s="66">
        <v>20</v>
      </c>
      <c r="H2174" s="66">
        <v>20.5</v>
      </c>
      <c r="J2174" s="24" t="str">
        <f t="shared" ref="J2174" si="3545">CONCATENATE(K2173,1)</f>
        <v>51</v>
      </c>
      <c r="K2174" s="6" t="e">
        <f t="array" ref="K2174:N2176">LINEST(B2174:B2178,C2174:C2178^{1,2,3},TRUE,TRUE)</f>
        <v>#VALUE!</v>
      </c>
      <c r="L2174" s="6" t="e">
        <v>#VALUE!</v>
      </c>
      <c r="M2174" s="6" t="e">
        <v>#VALUE!</v>
      </c>
      <c r="N2174" s="6" t="e">
        <v>#VALUE!</v>
      </c>
      <c r="Q2174" s="9"/>
      <c r="R2174" s="9"/>
      <c r="S2174" s="9"/>
      <c r="T2174" s="9"/>
      <c r="U2174" s="1">
        <f t="shared" si="3468"/>
        <v>50</v>
      </c>
      <c r="V2174" s="1">
        <f t="shared" si="3469"/>
        <v>217</v>
      </c>
    </row>
    <row r="2175" spans="1:22" x14ac:dyDescent="0.3">
      <c r="A2175" s="1">
        <f t="shared" si="3492"/>
        <v>50218</v>
      </c>
      <c r="B2175" s="65">
        <v>50</v>
      </c>
      <c r="C2175" s="65">
        <v>50.5</v>
      </c>
      <c r="D2175" s="65">
        <v>0.7</v>
      </c>
      <c r="E2175" s="4">
        <v>2.02</v>
      </c>
      <c r="F2175" s="14">
        <v>124</v>
      </c>
      <c r="G2175" s="66">
        <v>50</v>
      </c>
      <c r="H2175" s="66">
        <v>50.5</v>
      </c>
      <c r="J2175" s="24" t="str">
        <f t="shared" ref="J2175" si="3546">CONCATENATE(K2173,2)</f>
        <v>52</v>
      </c>
      <c r="K2175" s="6" t="e">
        <v>#VALUE!</v>
      </c>
      <c r="L2175" s="6" t="e">
        <v>#VALUE!</v>
      </c>
      <c r="M2175" s="6" t="e">
        <v>#VALUE!</v>
      </c>
      <c r="N2175" s="6" t="e">
        <v>#VALUE!</v>
      </c>
      <c r="T2175" s="9"/>
      <c r="U2175" s="1">
        <f t="shared" si="3468"/>
        <v>50</v>
      </c>
      <c r="V2175" s="1">
        <f t="shared" si="3469"/>
        <v>218</v>
      </c>
    </row>
    <row r="2176" spans="1:22" x14ac:dyDescent="0.3">
      <c r="A2176" s="1">
        <f t="shared" si="3492"/>
        <v>50219</v>
      </c>
      <c r="B2176" s="65">
        <v>80</v>
      </c>
      <c r="C2176" s="65">
        <v>80.5</v>
      </c>
      <c r="D2176" s="65">
        <v>0.9</v>
      </c>
      <c r="E2176" s="4">
        <v>2.02</v>
      </c>
      <c r="F2176" s="14">
        <v>104</v>
      </c>
      <c r="G2176" s="66">
        <v>80</v>
      </c>
      <c r="H2176" s="66">
        <v>80.400000000000006</v>
      </c>
      <c r="J2176" s="24" t="str">
        <f t="shared" ref="J2176" si="3547">CONCATENATE(K2173,3)</f>
        <v>53</v>
      </c>
      <c r="K2176" s="6" t="e">
        <v>#VALUE!</v>
      </c>
      <c r="L2176" s="6" t="e">
        <v>#VALUE!</v>
      </c>
      <c r="M2176" s="6" t="e">
        <v>#VALUE!</v>
      </c>
      <c r="N2176" s="6" t="e">
        <v>#VALUE!</v>
      </c>
      <c r="T2176" s="9"/>
      <c r="U2176" s="1">
        <f t="shared" si="3468"/>
        <v>50</v>
      </c>
      <c r="V2176" s="1">
        <f t="shared" si="3469"/>
        <v>219</v>
      </c>
    </row>
    <row r="2177" spans="1:22" x14ac:dyDescent="0.3">
      <c r="A2177" s="1">
        <f t="shared" si="3492"/>
        <v>50220</v>
      </c>
      <c r="B2177" s="4"/>
      <c r="C2177" s="4"/>
      <c r="D2177" s="4"/>
      <c r="E2177" s="4"/>
      <c r="F2177" s="14"/>
      <c r="G2177" s="8"/>
      <c r="H2177" s="7"/>
      <c r="K2177" s="1">
        <v>6</v>
      </c>
      <c r="L2177" s="1">
        <v>6</v>
      </c>
      <c r="M2177" s="1">
        <v>6</v>
      </c>
      <c r="N2177" s="1">
        <v>6</v>
      </c>
      <c r="O2177" s="1">
        <v>6</v>
      </c>
      <c r="T2177" s="9"/>
      <c r="U2177" s="1">
        <f t="shared" si="3468"/>
        <v>50</v>
      </c>
      <c r="V2177" s="1">
        <f t="shared" si="3469"/>
        <v>220</v>
      </c>
    </row>
    <row r="2178" spans="1:22" x14ac:dyDescent="0.3">
      <c r="A2178" s="1">
        <f t="shared" si="3492"/>
        <v>50221</v>
      </c>
      <c r="B2178" s="4"/>
      <c r="C2178" s="4"/>
      <c r="D2178" s="4"/>
      <c r="E2178" s="4"/>
      <c r="F2178" s="14"/>
      <c r="G2178" s="8"/>
      <c r="H2178" s="7"/>
      <c r="J2178" s="24" t="str">
        <f t="shared" ref="J2178" si="3548">CONCATENATE(K2177,1)</f>
        <v>61</v>
      </c>
      <c r="K2178" s="6" t="e">
        <f t="array" ref="K2178:O2180">LINEST(B2174:B2179,C2174:C2179^{1,2,3,4},TRUE,TRUE)</f>
        <v>#VALUE!</v>
      </c>
      <c r="L2178" s="6" t="e">
        <v>#VALUE!</v>
      </c>
      <c r="M2178" s="6" t="e">
        <v>#VALUE!</v>
      </c>
      <c r="N2178" s="6" t="e">
        <v>#VALUE!</v>
      </c>
      <c r="O2178" s="6" t="e">
        <v>#VALUE!</v>
      </c>
      <c r="T2178" s="9"/>
      <c r="U2178" s="1">
        <f t="shared" si="3468"/>
        <v>50</v>
      </c>
      <c r="V2178" s="1">
        <f t="shared" si="3469"/>
        <v>221</v>
      </c>
    </row>
    <row r="2179" spans="1:22" x14ac:dyDescent="0.3">
      <c r="A2179" s="1">
        <f t="shared" si="3492"/>
        <v>50222</v>
      </c>
      <c r="B2179" s="4"/>
      <c r="C2179" s="4"/>
      <c r="D2179" s="4"/>
      <c r="E2179" s="4"/>
      <c r="F2179" s="14"/>
      <c r="G2179" s="8"/>
      <c r="H2179" s="7"/>
      <c r="J2179" s="24" t="str">
        <f t="shared" ref="J2179" si="3549">CONCATENATE(K2177,2)</f>
        <v>62</v>
      </c>
      <c r="K2179" s="6" t="e">
        <v>#VALUE!</v>
      </c>
      <c r="L2179" s="6" t="e">
        <v>#VALUE!</v>
      </c>
      <c r="M2179" s="6" t="e">
        <v>#VALUE!</v>
      </c>
      <c r="N2179" s="6" t="e">
        <v>#VALUE!</v>
      </c>
      <c r="O2179" s="6" t="e">
        <v>#VALUE!</v>
      </c>
      <c r="T2179" s="9"/>
      <c r="U2179" s="1">
        <f t="shared" si="3468"/>
        <v>50</v>
      </c>
      <c r="V2179" s="1">
        <f t="shared" si="3469"/>
        <v>222</v>
      </c>
    </row>
    <row r="2180" spans="1:22" x14ac:dyDescent="0.3">
      <c r="A2180" s="1">
        <f t="shared" si="3492"/>
        <v>50223</v>
      </c>
      <c r="B2180" s="4"/>
      <c r="C2180" s="4"/>
      <c r="D2180" s="4"/>
      <c r="E2180" s="4"/>
      <c r="F2180" s="14"/>
      <c r="G2180" s="8"/>
      <c r="H2180" s="7"/>
      <c r="J2180" s="24" t="str">
        <f t="shared" ref="J2180" si="3550">CONCATENATE(K2177,3)</f>
        <v>63</v>
      </c>
      <c r="K2180" s="6" t="e">
        <v>#VALUE!</v>
      </c>
      <c r="L2180" s="6" t="e">
        <v>#VALUE!</v>
      </c>
      <c r="M2180" s="6" t="e">
        <v>#VALUE!</v>
      </c>
      <c r="N2180" s="6" t="e">
        <v>#VALUE!</v>
      </c>
      <c r="O2180" s="6" t="e">
        <v>#VALUE!</v>
      </c>
      <c r="T2180" s="9"/>
      <c r="U2180" s="1">
        <f t="shared" si="3468"/>
        <v>50</v>
      </c>
      <c r="V2180" s="1">
        <f t="shared" si="3469"/>
        <v>223</v>
      </c>
    </row>
    <row r="2181" spans="1:22" x14ac:dyDescent="0.3">
      <c r="A2181" s="1">
        <f t="shared" si="3492"/>
        <v>50224</v>
      </c>
      <c r="B2181" s="4"/>
      <c r="C2181" s="4"/>
      <c r="D2181" s="4"/>
      <c r="E2181" s="4"/>
      <c r="F2181" s="14"/>
      <c r="G2181" s="8"/>
      <c r="H2181" s="7"/>
      <c r="K2181" s="1">
        <v>7</v>
      </c>
      <c r="L2181" s="1">
        <v>7</v>
      </c>
      <c r="M2181" s="1">
        <v>7</v>
      </c>
      <c r="N2181" s="1">
        <v>7</v>
      </c>
      <c r="O2181" s="1">
        <v>7</v>
      </c>
      <c r="P2181" s="1">
        <v>7</v>
      </c>
      <c r="T2181" s="9"/>
      <c r="U2181" s="1">
        <f t="shared" si="3468"/>
        <v>50</v>
      </c>
      <c r="V2181" s="1">
        <f t="shared" si="3469"/>
        <v>224</v>
      </c>
    </row>
    <row r="2182" spans="1:22" x14ac:dyDescent="0.3">
      <c r="A2182" s="1">
        <f t="shared" si="3492"/>
        <v>50225</v>
      </c>
      <c r="B2182" s="4"/>
      <c r="C2182" s="4"/>
      <c r="D2182" s="4"/>
      <c r="E2182" s="4"/>
      <c r="F2182" s="14"/>
      <c r="G2182" s="8"/>
      <c r="H2182" s="7"/>
      <c r="J2182" s="24" t="str">
        <f t="shared" ref="J2182" si="3551">CONCATENATE(K2181,1)</f>
        <v>71</v>
      </c>
      <c r="K2182" s="6" t="e">
        <f t="array" ref="K2182:P2184">LINEST(B2174:B2180,C2174:C2180^{1,2,3,4,5},TRUE,TRUE)</f>
        <v>#VALUE!</v>
      </c>
      <c r="L2182" s="6" t="e">
        <v>#VALUE!</v>
      </c>
      <c r="M2182" s="6" t="e">
        <v>#VALUE!</v>
      </c>
      <c r="N2182" s="6" t="e">
        <v>#VALUE!</v>
      </c>
      <c r="O2182" s="6" t="e">
        <v>#VALUE!</v>
      </c>
      <c r="P2182" s="6" t="e">
        <v>#VALUE!</v>
      </c>
      <c r="T2182" s="9"/>
      <c r="U2182" s="1">
        <f t="shared" si="3468"/>
        <v>50</v>
      </c>
      <c r="V2182" s="1">
        <f t="shared" si="3469"/>
        <v>225</v>
      </c>
    </row>
    <row r="2183" spans="1:22" x14ac:dyDescent="0.3">
      <c r="A2183" s="1">
        <f t="shared" si="3492"/>
        <v>50226</v>
      </c>
      <c r="B2183" s="4"/>
      <c r="C2183" s="4"/>
      <c r="D2183" s="4"/>
      <c r="E2183" s="4"/>
      <c r="F2183" s="14"/>
      <c r="G2183" s="8"/>
      <c r="H2183" s="7"/>
      <c r="J2183" s="24" t="str">
        <f t="shared" ref="J2183" si="3552">CONCATENATE(K2181,2)</f>
        <v>72</v>
      </c>
      <c r="K2183" s="6" t="e">
        <v>#VALUE!</v>
      </c>
      <c r="L2183" s="6" t="e">
        <v>#VALUE!</v>
      </c>
      <c r="M2183" s="6" t="e">
        <v>#VALUE!</v>
      </c>
      <c r="N2183" s="6" t="e">
        <v>#VALUE!</v>
      </c>
      <c r="O2183" s="6" t="e">
        <v>#VALUE!</v>
      </c>
      <c r="P2183" s="6" t="e">
        <v>#VALUE!</v>
      </c>
      <c r="T2183" s="9"/>
      <c r="U2183" s="1">
        <f t="shared" si="3468"/>
        <v>50</v>
      </c>
      <c r="V2183" s="1">
        <f t="shared" si="3469"/>
        <v>226</v>
      </c>
    </row>
    <row r="2184" spans="1:22" x14ac:dyDescent="0.3">
      <c r="A2184" s="1">
        <f t="shared" si="3492"/>
        <v>50227</v>
      </c>
      <c r="B2184" s="9"/>
      <c r="C2184" s="9"/>
      <c r="D2184" s="9"/>
      <c r="E2184" s="9"/>
      <c r="F2184" s="9"/>
      <c r="G2184" s="9"/>
      <c r="H2184" s="9"/>
      <c r="J2184" s="24" t="str">
        <f t="shared" ref="J2184" si="3553">CONCATENATE(K2181,3)</f>
        <v>73</v>
      </c>
      <c r="K2184" s="6" t="e">
        <v>#VALUE!</v>
      </c>
      <c r="L2184" s="6" t="e">
        <v>#VALUE!</v>
      </c>
      <c r="M2184" s="6" t="e">
        <v>#VALUE!</v>
      </c>
      <c r="N2184" s="6" t="e">
        <v>#VALUE!</v>
      </c>
      <c r="O2184" s="6" t="e">
        <v>#VALUE!</v>
      </c>
      <c r="P2184" s="6" t="e">
        <v>#VALUE!</v>
      </c>
      <c r="T2184" s="9"/>
      <c r="U2184" s="1">
        <f t="shared" si="3468"/>
        <v>50</v>
      </c>
      <c r="V2184" s="1">
        <f t="shared" si="3469"/>
        <v>227</v>
      </c>
    </row>
    <row r="2185" spans="1:22" x14ac:dyDescent="0.3">
      <c r="A2185" s="1">
        <f t="shared" si="3492"/>
        <v>50228</v>
      </c>
      <c r="B2185" s="87" t="s">
        <v>33</v>
      </c>
      <c r="C2185" s="88"/>
      <c r="D2185" s="88"/>
      <c r="E2185" s="88"/>
      <c r="F2185" s="88"/>
      <c r="G2185" s="88"/>
      <c r="H2185" s="89"/>
      <c r="K2185" s="1">
        <v>8</v>
      </c>
      <c r="L2185" s="1">
        <v>8</v>
      </c>
      <c r="M2185" s="1">
        <v>8</v>
      </c>
      <c r="N2185" s="1">
        <v>8</v>
      </c>
      <c r="O2185" s="1">
        <v>8</v>
      </c>
      <c r="P2185" s="1">
        <v>8</v>
      </c>
      <c r="Q2185" s="1">
        <v>8</v>
      </c>
      <c r="T2185" s="9"/>
      <c r="U2185" s="1">
        <f t="shared" si="3468"/>
        <v>50</v>
      </c>
      <c r="V2185" s="1">
        <f t="shared" si="3469"/>
        <v>228</v>
      </c>
    </row>
    <row r="2186" spans="1:22" x14ac:dyDescent="0.3">
      <c r="A2186" s="1">
        <f t="shared" si="3492"/>
        <v>50229</v>
      </c>
      <c r="B2186" s="90"/>
      <c r="C2186" s="91"/>
      <c r="D2186" s="91"/>
      <c r="E2186" s="91"/>
      <c r="F2186" s="91"/>
      <c r="G2186" s="91"/>
      <c r="H2186" s="92"/>
      <c r="J2186" s="24" t="str">
        <f t="shared" ref="J2186" si="3554">CONCATENATE(K2185,1)</f>
        <v>81</v>
      </c>
      <c r="K2186" s="6" t="e">
        <f t="array" ref="K2186:Q2188">LINEST(B2174:B2181,C2174:C2181^{1,2,3,4,5,6},TRUE,TRUE)</f>
        <v>#VALUE!</v>
      </c>
      <c r="L2186" s="6" t="e">
        <v>#VALUE!</v>
      </c>
      <c r="M2186" s="6" t="e">
        <v>#VALUE!</v>
      </c>
      <c r="N2186" s="6" t="e">
        <v>#VALUE!</v>
      </c>
      <c r="O2186" s="6" t="e">
        <v>#VALUE!</v>
      </c>
      <c r="P2186" s="6" t="e">
        <v>#VALUE!</v>
      </c>
      <c r="Q2186" s="6" t="e">
        <v>#VALUE!</v>
      </c>
      <c r="T2186" s="9"/>
      <c r="U2186" s="1">
        <f t="shared" si="3468"/>
        <v>50</v>
      </c>
      <c r="V2186" s="1">
        <f t="shared" si="3469"/>
        <v>229</v>
      </c>
    </row>
    <row r="2187" spans="1:22" x14ac:dyDescent="0.3">
      <c r="A2187" s="1">
        <f t="shared" si="3492"/>
        <v>50230</v>
      </c>
      <c r="B2187" s="93"/>
      <c r="C2187" s="94"/>
      <c r="D2187" s="94"/>
      <c r="E2187" s="94"/>
      <c r="F2187" s="94"/>
      <c r="G2187" s="94"/>
      <c r="H2187" s="95"/>
      <c r="J2187" s="24" t="str">
        <f t="shared" ref="J2187" si="3555">CONCATENATE(K2185,2)</f>
        <v>82</v>
      </c>
      <c r="K2187" s="6" t="e">
        <v>#VALUE!</v>
      </c>
      <c r="L2187" s="6" t="e">
        <v>#VALUE!</v>
      </c>
      <c r="M2187" s="6" t="e">
        <v>#VALUE!</v>
      </c>
      <c r="N2187" s="6" t="e">
        <v>#VALUE!</v>
      </c>
      <c r="O2187" s="6" t="e">
        <v>#VALUE!</v>
      </c>
      <c r="P2187" s="6" t="e">
        <v>#VALUE!</v>
      </c>
      <c r="Q2187" s="6" t="e">
        <v>#VALUE!</v>
      </c>
      <c r="T2187" s="9"/>
      <c r="U2187" s="1">
        <f t="shared" si="3468"/>
        <v>50</v>
      </c>
      <c r="V2187" s="1">
        <f t="shared" si="3469"/>
        <v>230</v>
      </c>
    </row>
    <row r="2188" spans="1:22" x14ac:dyDescent="0.3">
      <c r="A2188" s="1">
        <f t="shared" si="3492"/>
        <v>50231</v>
      </c>
      <c r="J2188" s="24" t="str">
        <f t="shared" ref="J2188" si="3556">CONCATENATE(K2185,3)</f>
        <v>83</v>
      </c>
      <c r="K2188" s="6" t="e">
        <v>#VALUE!</v>
      </c>
      <c r="L2188" s="6" t="e">
        <v>#VALUE!</v>
      </c>
      <c r="M2188" s="6" t="e">
        <v>#VALUE!</v>
      </c>
      <c r="N2188" s="6" t="e">
        <v>#VALUE!</v>
      </c>
      <c r="O2188" s="6" t="e">
        <v>#VALUE!</v>
      </c>
      <c r="P2188" s="6" t="e">
        <v>#VALUE!</v>
      </c>
      <c r="Q2188" s="6" t="e">
        <v>#VALUE!</v>
      </c>
      <c r="T2188" s="9"/>
      <c r="U2188" s="1">
        <f t="shared" si="3468"/>
        <v>50</v>
      </c>
      <c r="V2188" s="1">
        <f t="shared" si="3469"/>
        <v>231</v>
      </c>
    </row>
    <row r="2189" spans="1:22" ht="15" customHeight="1" x14ac:dyDescent="0.3">
      <c r="A2189" s="1">
        <f t="shared" si="3492"/>
        <v>50232</v>
      </c>
      <c r="B2189" s="10" t="s">
        <v>34</v>
      </c>
      <c r="C2189" s="10" t="s">
        <v>35</v>
      </c>
      <c r="D2189" s="10" t="s">
        <v>36</v>
      </c>
      <c r="E2189" s="74" t="s">
        <v>37</v>
      </c>
      <c r="F2189" s="75"/>
      <c r="G2189" s="76"/>
      <c r="K2189" s="1">
        <v>9</v>
      </c>
      <c r="L2189" s="1">
        <v>9</v>
      </c>
      <c r="M2189" s="1">
        <v>9</v>
      </c>
      <c r="N2189" s="1">
        <v>9</v>
      </c>
      <c r="O2189" s="1">
        <v>9</v>
      </c>
      <c r="P2189" s="1">
        <v>9</v>
      </c>
      <c r="Q2189" s="1">
        <v>9</v>
      </c>
      <c r="R2189" s="1">
        <v>9</v>
      </c>
      <c r="T2189" s="9"/>
      <c r="U2189" s="1">
        <f t="shared" si="3468"/>
        <v>50</v>
      </c>
      <c r="V2189" s="1">
        <f t="shared" si="3469"/>
        <v>232</v>
      </c>
    </row>
    <row r="2190" spans="1:22" x14ac:dyDescent="0.3">
      <c r="A2190" s="1">
        <f t="shared" si="3492"/>
        <v>50233</v>
      </c>
      <c r="B2190" s="12">
        <f t="shared" ref="B2190:B2199" si="3557">C2174-B2174</f>
        <v>0.39999999999999858</v>
      </c>
      <c r="C2190" s="13">
        <f t="shared" ref="C2190:C2199" si="3558">H2174-G2174</f>
        <v>0.5</v>
      </c>
      <c r="D2190" s="10">
        <f t="shared" ref="D2190:D2199" si="3559">C2190-B2190</f>
        <v>0.10000000000000142</v>
      </c>
      <c r="E2190" s="11">
        <f t="shared" ref="E2190" si="3560">IF(D2165="","",MAX(F2190,G2190))</f>
        <v>0.10000000000000142</v>
      </c>
      <c r="F2190" s="10">
        <f t="shared" ref="F2190" si="3561">ABS(MIN(D2190:D2199))</f>
        <v>9.9999999999994316E-2</v>
      </c>
      <c r="G2190" s="10">
        <f t="shared" ref="G2190" si="3562">ABS(MAX(D2190:D2199))</f>
        <v>0.10000000000000142</v>
      </c>
      <c r="J2190" s="24" t="str">
        <f t="shared" ref="J2190" si="3563">CONCATENATE(K2189,1)</f>
        <v>91</v>
      </c>
      <c r="K2190" s="6" t="e">
        <f t="array" ref="K2190:R2192">LINEST(B2174:B2182,C2174:C2182^{1,2,3,4,5,6,7},TRUE,TRUE)</f>
        <v>#VALUE!</v>
      </c>
      <c r="L2190" s="6" t="e">
        <v>#VALUE!</v>
      </c>
      <c r="M2190" s="6" t="e">
        <v>#VALUE!</v>
      </c>
      <c r="N2190" s="6" t="e">
        <v>#VALUE!</v>
      </c>
      <c r="O2190" s="6" t="e">
        <v>#VALUE!</v>
      </c>
      <c r="P2190" s="6" t="e">
        <v>#VALUE!</v>
      </c>
      <c r="Q2190" s="6" t="e">
        <v>#VALUE!</v>
      </c>
      <c r="R2190" s="6" t="e">
        <v>#VALUE!</v>
      </c>
      <c r="T2190" s="9"/>
      <c r="U2190" s="1">
        <f t="shared" si="3468"/>
        <v>50</v>
      </c>
      <c r="V2190" s="1">
        <f t="shared" si="3469"/>
        <v>233</v>
      </c>
    </row>
    <row r="2191" spans="1:22" x14ac:dyDescent="0.3">
      <c r="A2191" s="1">
        <f t="shared" si="3492"/>
        <v>50234</v>
      </c>
      <c r="B2191" s="12">
        <f t="shared" si="3557"/>
        <v>0.5</v>
      </c>
      <c r="C2191" s="13">
        <f t="shared" si="3558"/>
        <v>0.5</v>
      </c>
      <c r="D2191" s="10">
        <f t="shared" si="3559"/>
        <v>0</v>
      </c>
      <c r="E2191" s="74" t="s">
        <v>38</v>
      </c>
      <c r="F2191" s="75"/>
      <c r="G2191" s="76"/>
      <c r="J2191" s="24" t="str">
        <f t="shared" ref="J2191" si="3564">CONCATENATE(K2189,2)</f>
        <v>92</v>
      </c>
      <c r="K2191" s="6" t="e">
        <v>#VALUE!</v>
      </c>
      <c r="L2191" s="6" t="e">
        <v>#VALUE!</v>
      </c>
      <c r="M2191" s="6" t="e">
        <v>#VALUE!</v>
      </c>
      <c r="N2191" s="6" t="e">
        <v>#VALUE!</v>
      </c>
      <c r="O2191" s="6" t="e">
        <v>#VALUE!</v>
      </c>
      <c r="P2191" s="6" t="e">
        <v>#VALUE!</v>
      </c>
      <c r="Q2191" s="6" t="e">
        <v>#VALUE!</v>
      </c>
      <c r="R2191" s="6" t="e">
        <v>#VALUE!</v>
      </c>
      <c r="T2191" s="9"/>
      <c r="U2191" s="1">
        <f t="shared" si="3468"/>
        <v>50</v>
      </c>
      <c r="V2191" s="1">
        <f t="shared" si="3469"/>
        <v>234</v>
      </c>
    </row>
    <row r="2192" spans="1:22" x14ac:dyDescent="0.3">
      <c r="A2192" s="1">
        <f t="shared" si="3492"/>
        <v>50235</v>
      </c>
      <c r="B2192" s="12">
        <f t="shared" si="3557"/>
        <v>0.5</v>
      </c>
      <c r="C2192" s="13">
        <f t="shared" si="3558"/>
        <v>0.40000000000000568</v>
      </c>
      <c r="D2192" s="10">
        <f t="shared" si="3559"/>
        <v>-9.9999999999994316E-2</v>
      </c>
      <c r="E2192" s="11">
        <f t="shared" ref="E2192" si="3565">IF(D2165="","",MAX(F2192,G2192))</f>
        <v>0.5</v>
      </c>
      <c r="F2192" s="10">
        <f t="shared" ref="F2192" si="3566">ABS(MIN(B2190:B2199))</f>
        <v>0</v>
      </c>
      <c r="G2192" s="10">
        <f t="shared" ref="G2192" si="3567">ABS(MAX(B2190:B2199))</f>
        <v>0.5</v>
      </c>
      <c r="J2192" s="24" t="str">
        <f t="shared" ref="J2192" si="3568">CONCATENATE(K2189,3)</f>
        <v>93</v>
      </c>
      <c r="K2192" s="6" t="e">
        <v>#VALUE!</v>
      </c>
      <c r="L2192" s="6" t="e">
        <v>#VALUE!</v>
      </c>
      <c r="M2192" s="6" t="e">
        <v>#VALUE!</v>
      </c>
      <c r="N2192" s="6" t="e">
        <v>#VALUE!</v>
      </c>
      <c r="O2192" s="6" t="e">
        <v>#VALUE!</v>
      </c>
      <c r="P2192" s="6" t="e">
        <v>#VALUE!</v>
      </c>
      <c r="Q2192" s="6" t="e">
        <v>#VALUE!</v>
      </c>
      <c r="R2192" s="6" t="e">
        <v>#VALUE!</v>
      </c>
      <c r="T2192" s="9"/>
      <c r="U2192" s="1">
        <f t="shared" si="3468"/>
        <v>50</v>
      </c>
      <c r="V2192" s="1">
        <f t="shared" si="3469"/>
        <v>235</v>
      </c>
    </row>
    <row r="2193" spans="1:22" x14ac:dyDescent="0.3">
      <c r="A2193" s="1">
        <f t="shared" si="3492"/>
        <v>50236</v>
      </c>
      <c r="B2193" s="12">
        <f t="shared" si="3557"/>
        <v>0</v>
      </c>
      <c r="C2193" s="13">
        <f t="shared" si="3558"/>
        <v>0</v>
      </c>
      <c r="D2193" s="10">
        <f t="shared" si="3559"/>
        <v>0</v>
      </c>
      <c r="E2193" s="74" t="s">
        <v>39</v>
      </c>
      <c r="F2193" s="75"/>
      <c r="G2193" s="76"/>
      <c r="K2193" s="1">
        <v>10</v>
      </c>
      <c r="L2193" s="1">
        <v>10</v>
      </c>
      <c r="M2193" s="1">
        <v>10</v>
      </c>
      <c r="N2193" s="1">
        <v>10</v>
      </c>
      <c r="O2193" s="1">
        <v>10</v>
      </c>
      <c r="P2193" s="1">
        <v>10</v>
      </c>
      <c r="Q2193" s="1">
        <v>10</v>
      </c>
      <c r="R2193" s="1">
        <v>10</v>
      </c>
      <c r="S2193" s="1">
        <v>10</v>
      </c>
      <c r="T2193" s="9"/>
      <c r="U2193" s="1">
        <f t="shared" si="3468"/>
        <v>50</v>
      </c>
      <c r="V2193" s="1">
        <f t="shared" si="3469"/>
        <v>236</v>
      </c>
    </row>
    <row r="2194" spans="1:22" x14ac:dyDescent="0.3">
      <c r="A2194" s="1">
        <f t="shared" si="3492"/>
        <v>50237</v>
      </c>
      <c r="B2194" s="12">
        <f t="shared" si="3557"/>
        <v>0</v>
      </c>
      <c r="C2194" s="13">
        <f t="shared" si="3558"/>
        <v>0</v>
      </c>
      <c r="D2194" s="10">
        <f t="shared" si="3559"/>
        <v>0</v>
      </c>
      <c r="E2194" s="11">
        <f t="shared" ref="E2194" si="3569">IF(D2165="","",MAX(F2194,G2194))</f>
        <v>0.9</v>
      </c>
      <c r="F2194" s="10">
        <f t="shared" ref="F2194" si="3570">ABS(MIN(D2174:D2183))</f>
        <v>0.4</v>
      </c>
      <c r="G2194" s="10">
        <f t="shared" ref="G2194" si="3571">ABS(MAX(D2174:D2183))</f>
        <v>0.9</v>
      </c>
      <c r="J2194" s="24" t="str">
        <f t="shared" ref="J2194" si="3572">CONCATENATE(K2193,1)</f>
        <v>101</v>
      </c>
      <c r="K2194" s="6" t="e">
        <f t="array" ref="K2194:S2196">LINEST(B2174:B2183,C2174:C2183^{1,2,3,4,5,6,7,8},TRUE,TRUE)</f>
        <v>#VALUE!</v>
      </c>
      <c r="L2194" s="6" t="e">
        <v>#VALUE!</v>
      </c>
      <c r="M2194" s="6" t="e">
        <v>#VALUE!</v>
      </c>
      <c r="N2194" s="6" t="e">
        <v>#VALUE!</v>
      </c>
      <c r="O2194" s="6" t="e">
        <v>#VALUE!</v>
      </c>
      <c r="P2194" s="6" t="e">
        <v>#VALUE!</v>
      </c>
      <c r="Q2194" s="6" t="e">
        <v>#VALUE!</v>
      </c>
      <c r="R2194" s="6" t="e">
        <v>#VALUE!</v>
      </c>
      <c r="S2194" s="6" t="e">
        <v>#VALUE!</v>
      </c>
      <c r="T2194" s="9"/>
      <c r="U2194" s="1">
        <f t="shared" si="3468"/>
        <v>50</v>
      </c>
      <c r="V2194" s="1">
        <f t="shared" si="3469"/>
        <v>237</v>
      </c>
    </row>
    <row r="2195" spans="1:22" x14ac:dyDescent="0.3">
      <c r="A2195" s="1">
        <f t="shared" si="3492"/>
        <v>50238</v>
      </c>
      <c r="B2195" s="12">
        <f t="shared" si="3557"/>
        <v>0</v>
      </c>
      <c r="C2195" s="13">
        <f t="shared" si="3558"/>
        <v>0</v>
      </c>
      <c r="D2195" s="10">
        <f t="shared" si="3559"/>
        <v>0</v>
      </c>
      <c r="J2195" s="24" t="str">
        <f t="shared" ref="J2195" si="3573">CONCATENATE(K2193,2)</f>
        <v>102</v>
      </c>
      <c r="K2195" s="6" t="e">
        <v>#VALUE!</v>
      </c>
      <c r="L2195" s="6" t="e">
        <v>#VALUE!</v>
      </c>
      <c r="M2195" s="6" t="e">
        <v>#VALUE!</v>
      </c>
      <c r="N2195" s="6" t="e">
        <v>#VALUE!</v>
      </c>
      <c r="O2195" s="6" t="e">
        <v>#VALUE!</v>
      </c>
      <c r="P2195" s="6" t="e">
        <v>#VALUE!</v>
      </c>
      <c r="Q2195" s="6" t="e">
        <v>#VALUE!</v>
      </c>
      <c r="R2195" s="6" t="e">
        <v>#VALUE!</v>
      </c>
      <c r="S2195" s="6" t="e">
        <v>#VALUE!</v>
      </c>
      <c r="T2195" s="9"/>
      <c r="U2195" s="1">
        <f t="shared" si="3468"/>
        <v>50</v>
      </c>
      <c r="V2195" s="1">
        <f t="shared" si="3469"/>
        <v>238</v>
      </c>
    </row>
    <row r="2196" spans="1:22" x14ac:dyDescent="0.3">
      <c r="A2196" s="1">
        <f t="shared" si="3492"/>
        <v>50239</v>
      </c>
      <c r="B2196" s="12">
        <f t="shared" si="3557"/>
        <v>0</v>
      </c>
      <c r="C2196" s="13">
        <f t="shared" si="3558"/>
        <v>0</v>
      </c>
      <c r="D2196" s="10">
        <f t="shared" si="3559"/>
        <v>0</v>
      </c>
      <c r="J2196" s="24" t="str">
        <f t="shared" ref="J2196" si="3574">CONCATENATE(K2193,3)</f>
        <v>103</v>
      </c>
      <c r="K2196" s="6" t="e">
        <v>#VALUE!</v>
      </c>
      <c r="L2196" s="6" t="e">
        <v>#VALUE!</v>
      </c>
      <c r="M2196" s="6" t="e">
        <v>#VALUE!</v>
      </c>
      <c r="N2196" s="6" t="e">
        <v>#VALUE!</v>
      </c>
      <c r="O2196" s="6" t="e">
        <v>#VALUE!</v>
      </c>
      <c r="P2196" s="6" t="e">
        <v>#VALUE!</v>
      </c>
      <c r="Q2196" s="6" t="e">
        <v>#VALUE!</v>
      </c>
      <c r="R2196" s="6" t="e">
        <v>#VALUE!</v>
      </c>
      <c r="S2196" s="6" t="e">
        <v>#VALUE!</v>
      </c>
      <c r="T2196" s="9"/>
      <c r="U2196" s="1">
        <f t="shared" si="3468"/>
        <v>50</v>
      </c>
      <c r="V2196" s="1">
        <f t="shared" si="3469"/>
        <v>239</v>
      </c>
    </row>
    <row r="2197" spans="1:22" x14ac:dyDescent="0.3">
      <c r="A2197" s="1">
        <f t="shared" si="3492"/>
        <v>50240</v>
      </c>
      <c r="B2197" s="12">
        <f t="shared" si="3557"/>
        <v>0</v>
      </c>
      <c r="C2197" s="13">
        <f t="shared" si="3558"/>
        <v>0</v>
      </c>
      <c r="D2197" s="10">
        <f t="shared" si="3559"/>
        <v>0</v>
      </c>
      <c r="J2197" s="9"/>
      <c r="K2197" s="9"/>
      <c r="L2197" s="9"/>
      <c r="M2197" s="9"/>
      <c r="N2197" s="9"/>
      <c r="O2197" s="9"/>
      <c r="P2197" s="9"/>
      <c r="Q2197" s="9"/>
      <c r="R2197" s="9"/>
      <c r="S2197" s="9"/>
      <c r="T2197" s="9"/>
      <c r="U2197" s="1">
        <f t="shared" si="3468"/>
        <v>50</v>
      </c>
      <c r="V2197" s="1">
        <f t="shared" si="3469"/>
        <v>240</v>
      </c>
    </row>
    <row r="2198" spans="1:22" x14ac:dyDescent="0.3">
      <c r="A2198" s="1">
        <f t="shared" si="3492"/>
        <v>50241</v>
      </c>
      <c r="B2198" s="12">
        <f t="shared" si="3557"/>
        <v>0</v>
      </c>
      <c r="C2198" s="13">
        <f t="shared" si="3558"/>
        <v>0</v>
      </c>
      <c r="D2198" s="10">
        <f t="shared" si="3559"/>
        <v>0</v>
      </c>
      <c r="J2198" s="9"/>
      <c r="K2198" s="9"/>
      <c r="L2198" s="9"/>
      <c r="M2198" s="9"/>
      <c r="N2198" s="9"/>
      <c r="O2198" s="9"/>
      <c r="P2198" s="9"/>
      <c r="Q2198" s="9"/>
      <c r="R2198" s="9"/>
      <c r="S2198" s="9"/>
      <c r="T2198" s="9"/>
      <c r="U2198" s="1">
        <f t="shared" si="3468"/>
        <v>50</v>
      </c>
      <c r="V2198" s="1">
        <f t="shared" si="3469"/>
        <v>241</v>
      </c>
    </row>
    <row r="2199" spans="1:22" x14ac:dyDescent="0.3">
      <c r="A2199" s="1">
        <f t="shared" si="3492"/>
        <v>50242</v>
      </c>
      <c r="B2199" s="12">
        <f t="shared" si="3557"/>
        <v>0</v>
      </c>
      <c r="C2199" s="13">
        <f t="shared" si="3558"/>
        <v>0</v>
      </c>
      <c r="D2199" s="10">
        <f t="shared" si="3559"/>
        <v>0</v>
      </c>
      <c r="J2199" s="9"/>
      <c r="K2199" s="9"/>
      <c r="L2199" s="9"/>
      <c r="M2199" s="9"/>
      <c r="N2199" s="9"/>
      <c r="O2199" s="9"/>
      <c r="P2199" s="9"/>
      <c r="Q2199" s="9"/>
      <c r="R2199" s="9"/>
      <c r="S2199" s="9"/>
      <c r="T2199" s="9"/>
      <c r="U2199" s="1">
        <f t="shared" si="3468"/>
        <v>50</v>
      </c>
      <c r="V2199" s="1">
        <f t="shared" si="3469"/>
        <v>242</v>
      </c>
    </row>
    <row r="2200" spans="1:22" x14ac:dyDescent="0.3">
      <c r="A2200" s="1">
        <f t="shared" si="3492"/>
        <v>50243</v>
      </c>
      <c r="J2200" s="9"/>
      <c r="K2200" s="9"/>
      <c r="L2200" s="9"/>
      <c r="M2200" s="9"/>
      <c r="N2200" s="9"/>
      <c r="O2200" s="9"/>
      <c r="P2200" s="9"/>
      <c r="Q2200" s="9"/>
      <c r="R2200" s="9"/>
      <c r="S2200" s="9"/>
      <c r="T2200" s="9"/>
      <c r="U2200" s="1">
        <f t="shared" si="3468"/>
        <v>50</v>
      </c>
      <c r="V2200" s="1">
        <f t="shared" si="3469"/>
        <v>243</v>
      </c>
    </row>
    <row r="2201" spans="1:22" s="5" customFormat="1" x14ac:dyDescent="0.3"/>
    <row r="2202" spans="1:22" x14ac:dyDescent="0.3">
      <c r="A2202" s="1">
        <f t="shared" ref="A2202:A2244" si="3575">ROUND(CONCATENATE(U2202,V2202),0)</f>
        <v>51201</v>
      </c>
      <c r="B2202" s="96" t="s">
        <v>0</v>
      </c>
      <c r="C2202" s="97"/>
      <c r="D2202" s="110" t="s">
        <v>46</v>
      </c>
      <c r="E2202" s="111"/>
      <c r="F2202" s="111"/>
      <c r="G2202" s="111"/>
      <c r="H2202" s="112"/>
      <c r="J2202" s="9"/>
      <c r="K2202" s="9"/>
      <c r="L2202" s="9"/>
      <c r="M2202" s="9"/>
      <c r="N2202" s="9"/>
      <c r="O2202" s="9"/>
      <c r="P2202" s="9"/>
      <c r="Q2202" s="9"/>
      <c r="R2202" s="9"/>
      <c r="S2202" s="9"/>
      <c r="T2202" s="9"/>
      <c r="U2202" s="1">
        <f t="shared" ref="U2202" si="3576">U2200+1</f>
        <v>51</v>
      </c>
      <c r="V2202" s="1">
        <v>201</v>
      </c>
    </row>
    <row r="2203" spans="1:22" x14ac:dyDescent="0.3">
      <c r="A2203" s="1">
        <f t="shared" si="3575"/>
        <v>51202</v>
      </c>
      <c r="B2203" s="96" t="s">
        <v>1</v>
      </c>
      <c r="C2203" s="97"/>
      <c r="D2203" s="15">
        <v>20</v>
      </c>
      <c r="E2203" s="16" t="s">
        <v>2</v>
      </c>
      <c r="F2203" s="107"/>
      <c r="G2203" s="108"/>
      <c r="H2203" s="109"/>
      <c r="J2203" s="9"/>
      <c r="K2203" s="9"/>
      <c r="L2203" s="9"/>
      <c r="M2203" s="9"/>
      <c r="N2203" s="9"/>
      <c r="O2203" s="9"/>
      <c r="P2203" s="9"/>
      <c r="Q2203" s="9"/>
      <c r="R2203" s="9"/>
      <c r="S2203" s="9"/>
      <c r="T2203" s="9"/>
      <c r="U2203" s="1">
        <f t="shared" ref="U2203:U2266" si="3577">U2202</f>
        <v>51</v>
      </c>
      <c r="V2203" s="1">
        <f t="shared" ref="V2203:V2266" si="3578">V2202+1</f>
        <v>202</v>
      </c>
    </row>
    <row r="2204" spans="1:22" x14ac:dyDescent="0.3">
      <c r="A2204" s="1">
        <f t="shared" si="3575"/>
        <v>51203</v>
      </c>
      <c r="B2204" s="96" t="s">
        <v>12</v>
      </c>
      <c r="C2204" s="97"/>
      <c r="D2204" s="98" t="s">
        <v>299</v>
      </c>
      <c r="E2204" s="99"/>
      <c r="F2204" s="99"/>
      <c r="G2204" s="99"/>
      <c r="H2204" s="100"/>
      <c r="K2204" s="1" t="s">
        <v>3</v>
      </c>
      <c r="L2204" s="1" t="s">
        <v>4</v>
      </c>
      <c r="M2204" s="1" t="s">
        <v>5</v>
      </c>
      <c r="N2204" s="1" t="s">
        <v>6</v>
      </c>
      <c r="O2204" s="1" t="s">
        <v>7</v>
      </c>
      <c r="P2204" s="1" t="s">
        <v>8</v>
      </c>
      <c r="Q2204" s="1" t="s">
        <v>9</v>
      </c>
      <c r="R2204" s="1" t="s">
        <v>10</v>
      </c>
      <c r="S2204" s="1" t="s">
        <v>11</v>
      </c>
      <c r="T2204" s="9"/>
      <c r="U2204" s="1">
        <f t="shared" si="3577"/>
        <v>51</v>
      </c>
      <c r="V2204" s="1">
        <f t="shared" si="3578"/>
        <v>203</v>
      </c>
    </row>
    <row r="2205" spans="1:22" x14ac:dyDescent="0.3">
      <c r="A2205" s="1">
        <f t="shared" si="3575"/>
        <v>51204</v>
      </c>
      <c r="B2205" s="96" t="s">
        <v>13</v>
      </c>
      <c r="C2205" s="97"/>
      <c r="D2205" s="98" t="s">
        <v>65</v>
      </c>
      <c r="E2205" s="99"/>
      <c r="F2205" s="99"/>
      <c r="G2205" s="99"/>
      <c r="H2205" s="100"/>
      <c r="J2205" s="1">
        <f t="shared" ref="J2205" si="3579">COUNTA(B2218:B2227)</f>
        <v>3</v>
      </c>
      <c r="K2205" s="1">
        <f t="shared" ref="K2205" si="3580">IF(L2205-1&lt;2,0,L2205-1)</f>
        <v>0</v>
      </c>
      <c r="L2205" s="1">
        <f t="shared" ref="L2205" si="3581">IF(M2205-1&lt;2,0,M2205-1)</f>
        <v>0</v>
      </c>
      <c r="M2205" s="1">
        <f t="shared" ref="M2205" si="3582">IF(N2205-1&lt;2,0,N2205-1)</f>
        <v>0</v>
      </c>
      <c r="N2205" s="1">
        <f t="shared" ref="N2205" si="3583">IF(O2205-1&lt;2,0,O2205-1)</f>
        <v>0</v>
      </c>
      <c r="O2205" s="1">
        <f t="shared" ref="O2205" si="3584">IF(P2205-1&lt;2,0,P2205-1)</f>
        <v>0</v>
      </c>
      <c r="P2205" s="1">
        <f t="shared" ref="P2205" si="3585">IF(Q2205-1&lt;2,0,Q2205-1)</f>
        <v>0</v>
      </c>
      <c r="Q2205" s="1">
        <f t="shared" ref="Q2205" si="3586">IF(R2205-1&lt;2,0,R2205-1)</f>
        <v>0</v>
      </c>
      <c r="R2205" s="1">
        <f t="shared" ref="R2205" si="3587">IF(S2205-1&lt;2,0,S2205-1)</f>
        <v>2</v>
      </c>
      <c r="S2205" s="1">
        <f t="shared" ref="S2205" si="3588">J2205</f>
        <v>3</v>
      </c>
      <c r="T2205" s="9"/>
      <c r="U2205" s="1">
        <f t="shared" si="3577"/>
        <v>51</v>
      </c>
      <c r="V2205" s="1">
        <f t="shared" si="3578"/>
        <v>204</v>
      </c>
    </row>
    <row r="2206" spans="1:22" x14ac:dyDescent="0.3">
      <c r="A2206" s="1">
        <f t="shared" si="3575"/>
        <v>51205</v>
      </c>
      <c r="B2206" s="96" t="s">
        <v>14</v>
      </c>
      <c r="C2206" s="97"/>
      <c r="D2206" s="98" t="s">
        <v>66</v>
      </c>
      <c r="E2206" s="99"/>
      <c r="F2206" s="99"/>
      <c r="G2206" s="99"/>
      <c r="H2206" s="100"/>
      <c r="J2206" s="24" t="str">
        <f t="shared" ref="J2206" si="3589">CONCATENATE(J2205,1)</f>
        <v>31</v>
      </c>
      <c r="K2206" s="25">
        <f t="shared" ref="K2206" si="3590">IF(K2205=0,0,VLOOKUP(J2206,J2210:S2240,K2205,FALSE))</f>
        <v>0</v>
      </c>
      <c r="L2206" s="25">
        <f t="shared" ref="L2206" si="3591">IF(L2205=0,0,VLOOKUP(J2206,J2210:S2240,L2205,FALSE))</f>
        <v>0</v>
      </c>
      <c r="M2206" s="25">
        <f t="shared" ref="M2206" si="3592">IF(M2205=0,0,VLOOKUP(J2206,J2210:S2240,M2205,FALSE))</f>
        <v>0</v>
      </c>
      <c r="N2206" s="25">
        <f t="shared" ref="N2206" si="3593">IF(N2205=0,0,VLOOKUP(J2206,J2210:S2240,N2205,FALSE))</f>
        <v>0</v>
      </c>
      <c r="O2206" s="25">
        <f t="shared" ref="O2206" si="3594">IF(O2205=0,0,VLOOKUP(J2206,J2210:S2240,O2205,FALSE))</f>
        <v>0</v>
      </c>
      <c r="P2206" s="25">
        <f t="shared" ref="P2206" si="3595">IF(P2205=0,0,VLOOKUP(J2206,J2210:S2240,P2205,FALSE))</f>
        <v>0</v>
      </c>
      <c r="Q2206" s="25">
        <f t="shared" ref="Q2206" si="3596">IF(Q2205=0,0,VLOOKUP(J2206,J2210:S2240,Q2205,FALSE))</f>
        <v>0</v>
      </c>
      <c r="R2206" s="25">
        <f t="shared" ref="R2206" si="3597">IF(R2205=0,0,VLOOKUP(J2206,J2210:S2240,R2205,FALSE))</f>
        <v>0.99822464022204893</v>
      </c>
      <c r="S2206" s="25">
        <f t="shared" ref="S2206" si="3598">IF(S2205=0,0,VLOOKUP(J2206,J2210:S2240,S2205,FALSE))</f>
        <v>2.2219679549422722E-2</v>
      </c>
      <c r="T2206" s="9"/>
      <c r="U2206" s="1">
        <f t="shared" si="3577"/>
        <v>51</v>
      </c>
      <c r="V2206" s="1">
        <f t="shared" si="3578"/>
        <v>205</v>
      </c>
    </row>
    <row r="2207" spans="1:22" x14ac:dyDescent="0.3">
      <c r="A2207" s="1">
        <f t="shared" si="3575"/>
        <v>51206</v>
      </c>
      <c r="B2207" s="96" t="s">
        <v>15</v>
      </c>
      <c r="C2207" s="97"/>
      <c r="D2207" s="141" t="s">
        <v>300</v>
      </c>
      <c r="E2207" s="141"/>
      <c r="F2207" s="141"/>
      <c r="G2207" s="141"/>
      <c r="H2207" s="141"/>
      <c r="J2207" s="24" t="str">
        <f t="shared" ref="J2207" si="3599">CONCATENATE(J2205,2)</f>
        <v>32</v>
      </c>
      <c r="K2207" s="6">
        <f t="shared" ref="K2207" si="3600">IF(K2205=0,0,VLOOKUP(J2207,J2210:S2240,K2205,FALSE))</f>
        <v>0</v>
      </c>
      <c r="L2207" s="6">
        <f t="shared" ref="L2207" si="3601">IF(L2205=0,0,VLOOKUP(J2207,J2210:S2240,L2205,FALSE))</f>
        <v>0</v>
      </c>
      <c r="M2207" s="6">
        <f t="shared" ref="M2207" si="3602">IF(M2205=0,0,VLOOKUP(J2207,J2210:S2240,M2205,FALSE))</f>
        <v>0</v>
      </c>
      <c r="N2207" s="6">
        <f t="shared" ref="N2207" si="3603">IF(N2205=0,0,VLOOKUP(J2207,J2210:S2240,N2205,FALSE))</f>
        <v>0</v>
      </c>
      <c r="O2207" s="6">
        <f t="shared" ref="O2207" si="3604">IF(O2205=0,0,VLOOKUP(J2207,J2210:S2240,O2205,FALSE))</f>
        <v>0</v>
      </c>
      <c r="P2207" s="6">
        <f t="shared" ref="P2207" si="3605">IF(P2205=0,0,VLOOKUP(J2207,J2210:S2240,P2205,FALSE))</f>
        <v>0</v>
      </c>
      <c r="Q2207" s="6">
        <f t="shared" ref="Q2207" si="3606">IF(Q2205=0,0,VLOOKUP(J2207,J2210:S2240,Q2205,FALSE))</f>
        <v>0</v>
      </c>
      <c r="R2207" s="6">
        <f t="shared" ref="R2207" si="3607">IF(R2205=0,0,VLOOKUP(J2207,J2210:S2240,R2205,FALSE))</f>
        <v>1.0548382549389274E-2</v>
      </c>
      <c r="S2207" s="6">
        <f t="shared" ref="S2207" si="3608">IF(S2205=0,0,VLOOKUP(J2207,J2210:S2240,S2205,FALSE))</f>
        <v>0.58813641806806582</v>
      </c>
      <c r="T2207" s="9"/>
      <c r="U2207" s="1">
        <f t="shared" si="3577"/>
        <v>51</v>
      </c>
      <c r="V2207" s="1">
        <f t="shared" si="3578"/>
        <v>206</v>
      </c>
    </row>
    <row r="2208" spans="1:22" x14ac:dyDescent="0.3">
      <c r="A2208" s="1">
        <f t="shared" si="3575"/>
        <v>51207</v>
      </c>
      <c r="B2208" s="96" t="s">
        <v>16</v>
      </c>
      <c r="C2208" s="97"/>
      <c r="D2208" s="121">
        <v>45761</v>
      </c>
      <c r="E2208" s="121"/>
      <c r="F2208" s="121"/>
      <c r="G2208" s="121"/>
      <c r="H2208" s="121"/>
      <c r="J2208" s="24" t="str">
        <f t="shared" ref="J2208" si="3609">CONCATENATE(J2205,3)</f>
        <v>33</v>
      </c>
      <c r="K2208" s="6"/>
      <c r="L2208" s="6"/>
      <c r="M2208" s="6"/>
      <c r="N2208" s="6" t="s">
        <v>43</v>
      </c>
      <c r="O2208" s="25">
        <f t="shared" ref="O2208" si="3610">J2205-2</f>
        <v>1</v>
      </c>
      <c r="P2208" s="6" t="s">
        <v>44</v>
      </c>
      <c r="Q2208" s="25">
        <f t="shared" ref="Q2208" si="3611">VLOOKUP(J2208,J2210:S2240,3,FALSE)</f>
        <v>0.44830088071000063</v>
      </c>
      <c r="R2208" s="6" t="s">
        <v>45</v>
      </c>
      <c r="S2208" s="6">
        <f t="shared" ref="S2208" si="3612">VLOOKUP(J2208,J2210:S2240,2,FALSE)</f>
        <v>0.99988834795575254</v>
      </c>
      <c r="T2208" s="9"/>
      <c r="U2208" s="1">
        <f t="shared" si="3577"/>
        <v>51</v>
      </c>
      <c r="V2208" s="1">
        <f t="shared" si="3578"/>
        <v>207</v>
      </c>
    </row>
    <row r="2209" spans="1:22" x14ac:dyDescent="0.3">
      <c r="A2209" s="1">
        <f t="shared" si="3575"/>
        <v>51208</v>
      </c>
      <c r="B2209" s="96" t="s">
        <v>17</v>
      </c>
      <c r="C2209" s="97"/>
      <c r="D2209" s="122">
        <v>46142</v>
      </c>
      <c r="E2209" s="122"/>
      <c r="F2209" s="122"/>
      <c r="G2209" s="122"/>
      <c r="H2209" s="122"/>
      <c r="K2209" s="1">
        <v>3</v>
      </c>
      <c r="L2209" s="1">
        <v>3</v>
      </c>
      <c r="Q2209" s="26"/>
      <c r="R2209" s="26"/>
      <c r="S2209" s="26"/>
      <c r="T2209" s="9"/>
      <c r="U2209" s="1">
        <f t="shared" si="3577"/>
        <v>51</v>
      </c>
      <c r="V2209" s="1">
        <f t="shared" si="3578"/>
        <v>208</v>
      </c>
    </row>
    <row r="2210" spans="1:22" x14ac:dyDescent="0.3">
      <c r="A2210" s="1">
        <f t="shared" si="3575"/>
        <v>51209</v>
      </c>
      <c r="B2210" s="77" t="s">
        <v>19</v>
      </c>
      <c r="C2210" s="78"/>
      <c r="D2210" s="17">
        <v>0.1</v>
      </c>
      <c r="E2210" s="79" t="s">
        <v>40</v>
      </c>
      <c r="F2210" s="80"/>
      <c r="G2210" s="81"/>
      <c r="H2210" s="18" t="s">
        <v>42</v>
      </c>
      <c r="J2210" s="24" t="str">
        <f t="shared" ref="J2210" si="3613">CONCATENATE(K2209,1)</f>
        <v>31</v>
      </c>
      <c r="K2210" s="6">
        <f t="array" ref="K2210:L2212">LINEST(B2218:B2220,C2218:C2220^{1},TRUE,TRUE)</f>
        <v>0.99822464022204893</v>
      </c>
      <c r="L2210" s="6">
        <v>2.2219679549422722E-2</v>
      </c>
      <c r="Q2210" s="9"/>
      <c r="R2210" s="9"/>
      <c r="S2210" s="9"/>
      <c r="T2210" s="9"/>
      <c r="U2210" s="1">
        <f t="shared" si="3577"/>
        <v>51</v>
      </c>
      <c r="V2210" s="1">
        <f t="shared" si="3578"/>
        <v>209</v>
      </c>
    </row>
    <row r="2211" spans="1:22" x14ac:dyDescent="0.3">
      <c r="A2211" s="1">
        <f t="shared" si="3575"/>
        <v>51210</v>
      </c>
      <c r="B2211" s="77" t="s">
        <v>41</v>
      </c>
      <c r="C2211" s="78"/>
      <c r="D2211" s="23">
        <f t="shared" ref="D2211" si="3614">MIN(B2218:B2227)</f>
        <v>20</v>
      </c>
      <c r="E2211" s="20" t="s">
        <v>18</v>
      </c>
      <c r="F2211" s="19">
        <f t="shared" ref="F2211" si="3615">MAX(B2218:B2227)</f>
        <v>80</v>
      </c>
      <c r="G2211" s="21" t="str">
        <f t="shared" ref="G2211" si="3616">IF(H2210="","",H2210)</f>
        <v>%UR</v>
      </c>
      <c r="H2211" s="22"/>
      <c r="J2211" s="24" t="str">
        <f t="shared" ref="J2211" si="3617">CONCATENATE(K2209,2)</f>
        <v>32</v>
      </c>
      <c r="K2211" s="6">
        <v>1.0548382549389274E-2</v>
      </c>
      <c r="L2211" s="6">
        <v>0.58813641806806582</v>
      </c>
      <c r="Q2211" s="9"/>
      <c r="R2211" s="9"/>
      <c r="S2211" s="9"/>
      <c r="T2211" s="9"/>
      <c r="U2211" s="1">
        <f t="shared" si="3577"/>
        <v>51</v>
      </c>
      <c r="V2211" s="1">
        <f t="shared" si="3578"/>
        <v>210</v>
      </c>
    </row>
    <row r="2212" spans="1:22" x14ac:dyDescent="0.3">
      <c r="A2212" s="1">
        <f t="shared" si="3575"/>
        <v>51211</v>
      </c>
      <c r="J2212" s="24" t="str">
        <f t="shared" ref="J2212" si="3618">CONCATENATE(K2209,3)</f>
        <v>33</v>
      </c>
      <c r="K2212" s="6">
        <v>0.99988834795575254</v>
      </c>
      <c r="L2212" s="6">
        <v>0.44830088071000063</v>
      </c>
      <c r="Q2212" s="9"/>
      <c r="R2212" s="9"/>
      <c r="S2212" s="9"/>
      <c r="T2212" s="9"/>
      <c r="U2212" s="1">
        <f t="shared" si="3577"/>
        <v>51</v>
      </c>
      <c r="V2212" s="1">
        <f t="shared" si="3578"/>
        <v>211</v>
      </c>
    </row>
    <row r="2213" spans="1:22" x14ac:dyDescent="0.3">
      <c r="A2213" s="1">
        <f t="shared" si="3575"/>
        <v>51212</v>
      </c>
      <c r="B2213" s="82" t="s">
        <v>20</v>
      </c>
      <c r="C2213" s="83"/>
      <c r="D2213" s="83"/>
      <c r="E2213" s="83"/>
      <c r="F2213" s="84"/>
      <c r="G2213" s="85" t="s">
        <v>31</v>
      </c>
      <c r="H2213" s="86"/>
      <c r="K2213" s="1">
        <v>4</v>
      </c>
      <c r="L2213" s="1">
        <v>4</v>
      </c>
      <c r="M2213" s="1">
        <v>4</v>
      </c>
      <c r="Q2213" s="9"/>
      <c r="R2213" s="9"/>
      <c r="S2213" s="9"/>
      <c r="T2213" s="9"/>
      <c r="U2213" s="1">
        <f t="shared" si="3577"/>
        <v>51</v>
      </c>
      <c r="V2213" s="1">
        <f t="shared" si="3578"/>
        <v>212</v>
      </c>
    </row>
    <row r="2214" spans="1:22" x14ac:dyDescent="0.3">
      <c r="A2214" s="1">
        <f t="shared" si="3575"/>
        <v>51213</v>
      </c>
      <c r="B2214" s="82" t="s">
        <v>30</v>
      </c>
      <c r="C2214" s="83"/>
      <c r="D2214" s="84"/>
      <c r="E2214" s="82" t="str">
        <f t="shared" ref="E2214" si="3619">D2207</f>
        <v>E0203/25</v>
      </c>
      <c r="F2214" s="84"/>
      <c r="G2214" s="6" t="s">
        <v>32</v>
      </c>
      <c r="H2214" s="7"/>
      <c r="J2214" s="24" t="str">
        <f t="shared" ref="J2214" si="3620">CONCATENATE(K2213,1)</f>
        <v>41</v>
      </c>
      <c r="K2214" s="6" t="e">
        <f t="array" ref="K2214:M2216">LINEST(B2218:B2221,C2218:C2221^{1,2},TRUE,TRUE)</f>
        <v>#VALUE!</v>
      </c>
      <c r="L2214" s="6" t="e">
        <v>#VALUE!</v>
      </c>
      <c r="M2214" s="6" t="e">
        <v>#VALUE!</v>
      </c>
      <c r="Q2214" s="9"/>
      <c r="R2214" s="9"/>
      <c r="S2214" s="9"/>
      <c r="T2214" s="9"/>
      <c r="U2214" s="1">
        <f t="shared" si="3577"/>
        <v>51</v>
      </c>
      <c r="V2214" s="1">
        <f t="shared" si="3578"/>
        <v>213</v>
      </c>
    </row>
    <row r="2215" spans="1:22" x14ac:dyDescent="0.3">
      <c r="A2215" s="1">
        <f t="shared" si="3575"/>
        <v>51214</v>
      </c>
      <c r="B2215" s="2" t="s">
        <v>21</v>
      </c>
      <c r="C2215" s="2" t="s">
        <v>22</v>
      </c>
      <c r="D2215" s="2" t="s">
        <v>23</v>
      </c>
      <c r="E2215" s="2"/>
      <c r="F2215" s="2" t="s">
        <v>28</v>
      </c>
      <c r="G2215" s="2" t="s">
        <v>21</v>
      </c>
      <c r="H2215" s="2" t="s">
        <v>22</v>
      </c>
      <c r="J2215" s="24" t="str">
        <f t="shared" ref="J2215" si="3621">CONCATENATE(K2213,2)</f>
        <v>42</v>
      </c>
      <c r="K2215" s="6" t="e">
        <v>#VALUE!</v>
      </c>
      <c r="L2215" s="6" t="e">
        <v>#VALUE!</v>
      </c>
      <c r="M2215" s="6" t="e">
        <v>#VALUE!</v>
      </c>
      <c r="Q2215" s="9"/>
      <c r="R2215" s="9"/>
      <c r="S2215" s="9"/>
      <c r="T2215" s="9"/>
      <c r="U2215" s="1">
        <f t="shared" si="3577"/>
        <v>51</v>
      </c>
      <c r="V2215" s="1">
        <f t="shared" si="3578"/>
        <v>214</v>
      </c>
    </row>
    <row r="2216" spans="1:22" x14ac:dyDescent="0.3">
      <c r="A2216" s="1">
        <f t="shared" si="3575"/>
        <v>51215</v>
      </c>
      <c r="B2216" s="2" t="s">
        <v>24</v>
      </c>
      <c r="C2216" s="2" t="s">
        <v>25</v>
      </c>
      <c r="D2216" s="2" t="s">
        <v>26</v>
      </c>
      <c r="E2216" s="2" t="s">
        <v>27</v>
      </c>
      <c r="F2216" s="2" t="s">
        <v>29</v>
      </c>
      <c r="G2216" s="2" t="s">
        <v>24</v>
      </c>
      <c r="H2216" s="2" t="s">
        <v>25</v>
      </c>
      <c r="J2216" s="24" t="str">
        <f t="shared" ref="J2216" si="3622">CONCATENATE(K2213,3)</f>
        <v>43</v>
      </c>
      <c r="K2216" s="6" t="e">
        <v>#VALUE!</v>
      </c>
      <c r="L2216" s="6" t="e">
        <v>#VALUE!</v>
      </c>
      <c r="M2216" s="6" t="e">
        <v>#VALUE!</v>
      </c>
      <c r="Q2216" s="9"/>
      <c r="R2216" s="9"/>
      <c r="S2216" s="9"/>
      <c r="T2216" s="9"/>
      <c r="U2216" s="1">
        <f t="shared" si="3577"/>
        <v>51</v>
      </c>
      <c r="V2216" s="1">
        <f t="shared" si="3578"/>
        <v>215</v>
      </c>
    </row>
    <row r="2217" spans="1:22" x14ac:dyDescent="0.3">
      <c r="A2217" s="1">
        <f t="shared" si="3575"/>
        <v>51216</v>
      </c>
      <c r="B2217" s="3" t="str">
        <f t="shared" ref="B2217" si="3623">H2210</f>
        <v>%UR</v>
      </c>
      <c r="C2217" s="3" t="str">
        <f t="shared" ref="C2217" si="3624">B2217</f>
        <v>%UR</v>
      </c>
      <c r="D2217" s="3" t="str">
        <f t="shared" ref="D2217" si="3625">C2217</f>
        <v>%UR</v>
      </c>
      <c r="E2217" s="3"/>
      <c r="F2217" s="3"/>
      <c r="G2217" s="3" t="str">
        <f t="shared" ref="G2217" si="3626">D2217</f>
        <v>%UR</v>
      </c>
      <c r="H2217" s="3" t="str">
        <f t="shared" ref="H2217" si="3627">G2217</f>
        <v>%UR</v>
      </c>
      <c r="K2217" s="1">
        <v>5</v>
      </c>
      <c r="L2217" s="1">
        <v>5</v>
      </c>
      <c r="M2217" s="1">
        <v>5</v>
      </c>
      <c r="N2217" s="1">
        <v>5</v>
      </c>
      <c r="Q2217" s="9"/>
      <c r="R2217" s="9"/>
      <c r="S2217" s="9"/>
      <c r="T2217" s="9"/>
      <c r="U2217" s="1">
        <f t="shared" si="3577"/>
        <v>51</v>
      </c>
      <c r="V2217" s="1">
        <f t="shared" si="3578"/>
        <v>216</v>
      </c>
    </row>
    <row r="2218" spans="1:22" x14ac:dyDescent="0.3">
      <c r="A2218" s="1">
        <f t="shared" si="3575"/>
        <v>51217</v>
      </c>
      <c r="B2218" s="65">
        <v>20</v>
      </c>
      <c r="C2218" s="65">
        <v>20.2</v>
      </c>
      <c r="D2218" s="65">
        <v>0.7</v>
      </c>
      <c r="E2218" s="4">
        <v>2</v>
      </c>
      <c r="F2218" s="14">
        <v>1000000</v>
      </c>
      <c r="G2218" s="66"/>
      <c r="H2218" s="66"/>
      <c r="J2218" s="24" t="str">
        <f t="shared" ref="J2218" si="3628">CONCATENATE(K2217,1)</f>
        <v>51</v>
      </c>
      <c r="K2218" s="6" t="e">
        <f t="array" ref="K2218:N2220">LINEST(B2218:B2222,C2218:C2222^{1,2,3},TRUE,TRUE)</f>
        <v>#VALUE!</v>
      </c>
      <c r="L2218" s="6" t="e">
        <v>#VALUE!</v>
      </c>
      <c r="M2218" s="6" t="e">
        <v>#VALUE!</v>
      </c>
      <c r="N2218" s="6" t="e">
        <v>#VALUE!</v>
      </c>
      <c r="Q2218" s="9"/>
      <c r="R2218" s="9"/>
      <c r="S2218" s="9"/>
      <c r="T2218" s="9"/>
      <c r="U2218" s="1">
        <f t="shared" si="3577"/>
        <v>51</v>
      </c>
      <c r="V2218" s="1">
        <f t="shared" si="3578"/>
        <v>217</v>
      </c>
    </row>
    <row r="2219" spans="1:22" x14ac:dyDescent="0.3">
      <c r="A2219" s="1">
        <f t="shared" si="3575"/>
        <v>51218</v>
      </c>
      <c r="B2219" s="65">
        <v>50</v>
      </c>
      <c r="C2219" s="65">
        <v>49.7</v>
      </c>
      <c r="D2219" s="65">
        <v>1.1000000000000001</v>
      </c>
      <c r="E2219" s="4">
        <v>2</v>
      </c>
      <c r="F2219" s="14">
        <v>1000000</v>
      </c>
      <c r="G2219" s="66"/>
      <c r="H2219" s="66"/>
      <c r="J2219" s="24" t="str">
        <f t="shared" ref="J2219" si="3629">CONCATENATE(K2217,2)</f>
        <v>52</v>
      </c>
      <c r="K2219" s="6" t="e">
        <v>#VALUE!</v>
      </c>
      <c r="L2219" s="6" t="e">
        <v>#VALUE!</v>
      </c>
      <c r="M2219" s="6" t="e">
        <v>#VALUE!</v>
      </c>
      <c r="N2219" s="6" t="e">
        <v>#VALUE!</v>
      </c>
      <c r="T2219" s="9"/>
      <c r="U2219" s="1">
        <f t="shared" si="3577"/>
        <v>51</v>
      </c>
      <c r="V2219" s="1">
        <f t="shared" si="3578"/>
        <v>218</v>
      </c>
    </row>
    <row r="2220" spans="1:22" x14ac:dyDescent="0.3">
      <c r="A2220" s="1">
        <f t="shared" si="3575"/>
        <v>51219</v>
      </c>
      <c r="B2220" s="65">
        <v>80</v>
      </c>
      <c r="C2220" s="65">
        <v>80.3</v>
      </c>
      <c r="D2220" s="65">
        <v>1.1000000000000001</v>
      </c>
      <c r="E2220" s="4">
        <v>2</v>
      </c>
      <c r="F2220" s="14">
        <v>1000000</v>
      </c>
      <c r="G2220" s="66"/>
      <c r="H2220" s="66"/>
      <c r="J2220" s="24" t="str">
        <f t="shared" ref="J2220" si="3630">CONCATENATE(K2217,3)</f>
        <v>53</v>
      </c>
      <c r="K2220" s="6" t="e">
        <v>#VALUE!</v>
      </c>
      <c r="L2220" s="6" t="e">
        <v>#VALUE!</v>
      </c>
      <c r="M2220" s="6" t="e">
        <v>#VALUE!</v>
      </c>
      <c r="N2220" s="6" t="e">
        <v>#VALUE!</v>
      </c>
      <c r="T2220" s="9"/>
      <c r="U2220" s="1">
        <f t="shared" si="3577"/>
        <v>51</v>
      </c>
      <c r="V2220" s="1">
        <f t="shared" si="3578"/>
        <v>219</v>
      </c>
    </row>
    <row r="2221" spans="1:22" x14ac:dyDescent="0.3">
      <c r="A2221" s="1">
        <f t="shared" si="3575"/>
        <v>51220</v>
      </c>
      <c r="B2221" s="4"/>
      <c r="C2221" s="4"/>
      <c r="D2221" s="4"/>
      <c r="E2221" s="4"/>
      <c r="F2221" s="14"/>
      <c r="G2221" s="8"/>
      <c r="H2221" s="7"/>
      <c r="K2221" s="1">
        <v>6</v>
      </c>
      <c r="L2221" s="1">
        <v>6</v>
      </c>
      <c r="M2221" s="1">
        <v>6</v>
      </c>
      <c r="N2221" s="1">
        <v>6</v>
      </c>
      <c r="O2221" s="1">
        <v>6</v>
      </c>
      <c r="T2221" s="9"/>
      <c r="U2221" s="1">
        <f t="shared" si="3577"/>
        <v>51</v>
      </c>
      <c r="V2221" s="1">
        <f t="shared" si="3578"/>
        <v>220</v>
      </c>
    </row>
    <row r="2222" spans="1:22" x14ac:dyDescent="0.3">
      <c r="A2222" s="1">
        <f t="shared" si="3575"/>
        <v>51221</v>
      </c>
      <c r="B2222" s="4"/>
      <c r="C2222" s="4"/>
      <c r="D2222" s="4"/>
      <c r="E2222" s="4"/>
      <c r="F2222" s="14"/>
      <c r="G2222" s="8"/>
      <c r="H2222" s="7"/>
      <c r="J2222" s="24" t="str">
        <f t="shared" ref="J2222" si="3631">CONCATENATE(K2221,1)</f>
        <v>61</v>
      </c>
      <c r="K2222" s="6" t="e">
        <f t="array" ref="K2222:O2224">LINEST(B2218:B2223,C2218:C2223^{1,2,3,4},TRUE,TRUE)</f>
        <v>#VALUE!</v>
      </c>
      <c r="L2222" s="6" t="e">
        <v>#VALUE!</v>
      </c>
      <c r="M2222" s="6" t="e">
        <v>#VALUE!</v>
      </c>
      <c r="N2222" s="6" t="e">
        <v>#VALUE!</v>
      </c>
      <c r="O2222" s="6" t="e">
        <v>#VALUE!</v>
      </c>
      <c r="T2222" s="9"/>
      <c r="U2222" s="1">
        <f t="shared" si="3577"/>
        <v>51</v>
      </c>
      <c r="V2222" s="1">
        <f t="shared" si="3578"/>
        <v>221</v>
      </c>
    </row>
    <row r="2223" spans="1:22" x14ac:dyDescent="0.3">
      <c r="A2223" s="1">
        <f t="shared" si="3575"/>
        <v>51222</v>
      </c>
      <c r="B2223" s="4"/>
      <c r="C2223" s="4"/>
      <c r="D2223" s="4"/>
      <c r="E2223" s="4"/>
      <c r="F2223" s="14"/>
      <c r="G2223" s="8"/>
      <c r="H2223" s="7"/>
      <c r="J2223" s="24" t="str">
        <f t="shared" ref="J2223" si="3632">CONCATENATE(K2221,2)</f>
        <v>62</v>
      </c>
      <c r="K2223" s="6" t="e">
        <v>#VALUE!</v>
      </c>
      <c r="L2223" s="6" t="e">
        <v>#VALUE!</v>
      </c>
      <c r="M2223" s="6" t="e">
        <v>#VALUE!</v>
      </c>
      <c r="N2223" s="6" t="e">
        <v>#VALUE!</v>
      </c>
      <c r="O2223" s="6" t="e">
        <v>#VALUE!</v>
      </c>
      <c r="T2223" s="9"/>
      <c r="U2223" s="1">
        <f t="shared" si="3577"/>
        <v>51</v>
      </c>
      <c r="V2223" s="1">
        <f t="shared" si="3578"/>
        <v>222</v>
      </c>
    </row>
    <row r="2224" spans="1:22" x14ac:dyDescent="0.3">
      <c r="A2224" s="1">
        <f t="shared" si="3575"/>
        <v>51223</v>
      </c>
      <c r="B2224" s="4"/>
      <c r="C2224" s="4"/>
      <c r="D2224" s="4"/>
      <c r="E2224" s="4"/>
      <c r="F2224" s="14"/>
      <c r="G2224" s="8"/>
      <c r="H2224" s="7"/>
      <c r="J2224" s="24" t="str">
        <f t="shared" ref="J2224" si="3633">CONCATENATE(K2221,3)</f>
        <v>63</v>
      </c>
      <c r="K2224" s="6" t="e">
        <v>#VALUE!</v>
      </c>
      <c r="L2224" s="6" t="e">
        <v>#VALUE!</v>
      </c>
      <c r="M2224" s="6" t="e">
        <v>#VALUE!</v>
      </c>
      <c r="N2224" s="6" t="e">
        <v>#VALUE!</v>
      </c>
      <c r="O2224" s="6" t="e">
        <v>#VALUE!</v>
      </c>
      <c r="T2224" s="9"/>
      <c r="U2224" s="1">
        <f t="shared" si="3577"/>
        <v>51</v>
      </c>
      <c r="V2224" s="1">
        <f t="shared" si="3578"/>
        <v>223</v>
      </c>
    </row>
    <row r="2225" spans="1:22" x14ac:dyDescent="0.3">
      <c r="A2225" s="1">
        <f t="shared" si="3575"/>
        <v>51224</v>
      </c>
      <c r="B2225" s="4"/>
      <c r="C2225" s="4"/>
      <c r="D2225" s="4"/>
      <c r="E2225" s="4"/>
      <c r="F2225" s="14"/>
      <c r="G2225" s="8"/>
      <c r="H2225" s="7"/>
      <c r="K2225" s="1">
        <v>7</v>
      </c>
      <c r="L2225" s="1">
        <v>7</v>
      </c>
      <c r="M2225" s="1">
        <v>7</v>
      </c>
      <c r="N2225" s="1">
        <v>7</v>
      </c>
      <c r="O2225" s="1">
        <v>7</v>
      </c>
      <c r="P2225" s="1">
        <v>7</v>
      </c>
      <c r="T2225" s="9"/>
      <c r="U2225" s="1">
        <f t="shared" si="3577"/>
        <v>51</v>
      </c>
      <c r="V2225" s="1">
        <f t="shared" si="3578"/>
        <v>224</v>
      </c>
    </row>
    <row r="2226" spans="1:22" x14ac:dyDescent="0.3">
      <c r="A2226" s="1">
        <f t="shared" si="3575"/>
        <v>51225</v>
      </c>
      <c r="B2226" s="4"/>
      <c r="C2226" s="4"/>
      <c r="D2226" s="4"/>
      <c r="E2226" s="4"/>
      <c r="F2226" s="14"/>
      <c r="G2226" s="8"/>
      <c r="H2226" s="7"/>
      <c r="J2226" s="24" t="str">
        <f t="shared" ref="J2226" si="3634">CONCATENATE(K2225,1)</f>
        <v>71</v>
      </c>
      <c r="K2226" s="6" t="e">
        <f t="array" ref="K2226:P2228">LINEST(B2218:B2224,C2218:C2224^{1,2,3,4,5},TRUE,TRUE)</f>
        <v>#VALUE!</v>
      </c>
      <c r="L2226" s="6" t="e">
        <v>#VALUE!</v>
      </c>
      <c r="M2226" s="6" t="e">
        <v>#VALUE!</v>
      </c>
      <c r="N2226" s="6" t="e">
        <v>#VALUE!</v>
      </c>
      <c r="O2226" s="6" t="e">
        <v>#VALUE!</v>
      </c>
      <c r="P2226" s="6" t="e">
        <v>#VALUE!</v>
      </c>
      <c r="T2226" s="9"/>
      <c r="U2226" s="1">
        <f t="shared" si="3577"/>
        <v>51</v>
      </c>
      <c r="V2226" s="1">
        <f t="shared" si="3578"/>
        <v>225</v>
      </c>
    </row>
    <row r="2227" spans="1:22" x14ac:dyDescent="0.3">
      <c r="A2227" s="1">
        <f t="shared" si="3575"/>
        <v>51226</v>
      </c>
      <c r="B2227" s="4"/>
      <c r="C2227" s="4"/>
      <c r="D2227" s="4"/>
      <c r="E2227" s="4"/>
      <c r="F2227" s="14"/>
      <c r="G2227" s="8"/>
      <c r="H2227" s="7"/>
      <c r="J2227" s="24" t="str">
        <f t="shared" ref="J2227" si="3635">CONCATENATE(K2225,2)</f>
        <v>72</v>
      </c>
      <c r="K2227" s="6" t="e">
        <v>#VALUE!</v>
      </c>
      <c r="L2227" s="6" t="e">
        <v>#VALUE!</v>
      </c>
      <c r="M2227" s="6" t="e">
        <v>#VALUE!</v>
      </c>
      <c r="N2227" s="6" t="e">
        <v>#VALUE!</v>
      </c>
      <c r="O2227" s="6" t="e">
        <v>#VALUE!</v>
      </c>
      <c r="P2227" s="6" t="e">
        <v>#VALUE!</v>
      </c>
      <c r="T2227" s="9"/>
      <c r="U2227" s="1">
        <f t="shared" si="3577"/>
        <v>51</v>
      </c>
      <c r="V2227" s="1">
        <f t="shared" si="3578"/>
        <v>226</v>
      </c>
    </row>
    <row r="2228" spans="1:22" x14ac:dyDescent="0.3">
      <c r="A2228" s="1">
        <f t="shared" si="3575"/>
        <v>51227</v>
      </c>
      <c r="B2228" s="9"/>
      <c r="C2228" s="9"/>
      <c r="D2228" s="9"/>
      <c r="E2228" s="9"/>
      <c r="F2228" s="9"/>
      <c r="G2228" s="9"/>
      <c r="H2228" s="9"/>
      <c r="J2228" s="24" t="str">
        <f t="shared" ref="J2228" si="3636">CONCATENATE(K2225,3)</f>
        <v>73</v>
      </c>
      <c r="K2228" s="6" t="e">
        <v>#VALUE!</v>
      </c>
      <c r="L2228" s="6" t="e">
        <v>#VALUE!</v>
      </c>
      <c r="M2228" s="6" t="e">
        <v>#VALUE!</v>
      </c>
      <c r="N2228" s="6" t="e">
        <v>#VALUE!</v>
      </c>
      <c r="O2228" s="6" t="e">
        <v>#VALUE!</v>
      </c>
      <c r="P2228" s="6" t="e">
        <v>#VALUE!</v>
      </c>
      <c r="T2228" s="9"/>
      <c r="U2228" s="1">
        <f t="shared" si="3577"/>
        <v>51</v>
      </c>
      <c r="V2228" s="1">
        <f t="shared" si="3578"/>
        <v>227</v>
      </c>
    </row>
    <row r="2229" spans="1:22" x14ac:dyDescent="0.3">
      <c r="A2229" s="1">
        <f t="shared" si="3575"/>
        <v>51228</v>
      </c>
      <c r="B2229" s="87" t="s">
        <v>33</v>
      </c>
      <c r="C2229" s="88"/>
      <c r="D2229" s="88"/>
      <c r="E2229" s="88"/>
      <c r="F2229" s="88"/>
      <c r="G2229" s="88"/>
      <c r="H2229" s="89"/>
      <c r="K2229" s="1">
        <v>8</v>
      </c>
      <c r="L2229" s="1">
        <v>8</v>
      </c>
      <c r="M2229" s="1">
        <v>8</v>
      </c>
      <c r="N2229" s="1">
        <v>8</v>
      </c>
      <c r="O2229" s="1">
        <v>8</v>
      </c>
      <c r="P2229" s="1">
        <v>8</v>
      </c>
      <c r="Q2229" s="1">
        <v>8</v>
      </c>
      <c r="T2229" s="9"/>
      <c r="U2229" s="1">
        <f t="shared" si="3577"/>
        <v>51</v>
      </c>
      <c r="V2229" s="1">
        <f t="shared" si="3578"/>
        <v>228</v>
      </c>
    </row>
    <row r="2230" spans="1:22" x14ac:dyDescent="0.3">
      <c r="A2230" s="1">
        <f t="shared" si="3575"/>
        <v>51229</v>
      </c>
      <c r="B2230" s="90"/>
      <c r="C2230" s="91"/>
      <c r="D2230" s="91"/>
      <c r="E2230" s="91"/>
      <c r="F2230" s="91"/>
      <c r="G2230" s="91"/>
      <c r="H2230" s="92"/>
      <c r="J2230" s="24" t="str">
        <f t="shared" ref="J2230" si="3637">CONCATENATE(K2229,1)</f>
        <v>81</v>
      </c>
      <c r="K2230" s="6" t="e">
        <f t="array" ref="K2230:Q2232">LINEST(B2218:B2225,C2218:C2225^{1,2,3,4,5,6},TRUE,TRUE)</f>
        <v>#VALUE!</v>
      </c>
      <c r="L2230" s="6" t="e">
        <v>#VALUE!</v>
      </c>
      <c r="M2230" s="6" t="e">
        <v>#VALUE!</v>
      </c>
      <c r="N2230" s="6" t="e">
        <v>#VALUE!</v>
      </c>
      <c r="O2230" s="6" t="e">
        <v>#VALUE!</v>
      </c>
      <c r="P2230" s="6" t="e">
        <v>#VALUE!</v>
      </c>
      <c r="Q2230" s="6" t="e">
        <v>#VALUE!</v>
      </c>
      <c r="T2230" s="9"/>
      <c r="U2230" s="1">
        <f t="shared" si="3577"/>
        <v>51</v>
      </c>
      <c r="V2230" s="1">
        <f t="shared" si="3578"/>
        <v>229</v>
      </c>
    </row>
    <row r="2231" spans="1:22" x14ac:dyDescent="0.3">
      <c r="A2231" s="1">
        <f t="shared" si="3575"/>
        <v>51230</v>
      </c>
      <c r="B2231" s="93"/>
      <c r="C2231" s="94"/>
      <c r="D2231" s="94"/>
      <c r="E2231" s="94"/>
      <c r="F2231" s="94"/>
      <c r="G2231" s="94"/>
      <c r="H2231" s="95"/>
      <c r="J2231" s="24" t="str">
        <f t="shared" ref="J2231" si="3638">CONCATENATE(K2229,2)</f>
        <v>82</v>
      </c>
      <c r="K2231" s="6" t="e">
        <v>#VALUE!</v>
      </c>
      <c r="L2231" s="6" t="e">
        <v>#VALUE!</v>
      </c>
      <c r="M2231" s="6" t="e">
        <v>#VALUE!</v>
      </c>
      <c r="N2231" s="6" t="e">
        <v>#VALUE!</v>
      </c>
      <c r="O2231" s="6" t="e">
        <v>#VALUE!</v>
      </c>
      <c r="P2231" s="6" t="e">
        <v>#VALUE!</v>
      </c>
      <c r="Q2231" s="6" t="e">
        <v>#VALUE!</v>
      </c>
      <c r="T2231" s="9"/>
      <c r="U2231" s="1">
        <f t="shared" si="3577"/>
        <v>51</v>
      </c>
      <c r="V2231" s="1">
        <f t="shared" si="3578"/>
        <v>230</v>
      </c>
    </row>
    <row r="2232" spans="1:22" x14ac:dyDescent="0.3">
      <c r="A2232" s="1">
        <f t="shared" si="3575"/>
        <v>51231</v>
      </c>
      <c r="J2232" s="24" t="str">
        <f t="shared" ref="J2232" si="3639">CONCATENATE(K2229,3)</f>
        <v>83</v>
      </c>
      <c r="K2232" s="6" t="e">
        <v>#VALUE!</v>
      </c>
      <c r="L2232" s="6" t="e">
        <v>#VALUE!</v>
      </c>
      <c r="M2232" s="6" t="e">
        <v>#VALUE!</v>
      </c>
      <c r="N2232" s="6" t="e">
        <v>#VALUE!</v>
      </c>
      <c r="O2232" s="6" t="e">
        <v>#VALUE!</v>
      </c>
      <c r="P2232" s="6" t="e">
        <v>#VALUE!</v>
      </c>
      <c r="Q2232" s="6" t="e">
        <v>#VALUE!</v>
      </c>
      <c r="T2232" s="9"/>
      <c r="U2232" s="1">
        <f t="shared" si="3577"/>
        <v>51</v>
      </c>
      <c r="V2232" s="1">
        <f t="shared" si="3578"/>
        <v>231</v>
      </c>
    </row>
    <row r="2233" spans="1:22" ht="15" customHeight="1" x14ac:dyDescent="0.3">
      <c r="A2233" s="1">
        <f t="shared" si="3575"/>
        <v>51232</v>
      </c>
      <c r="B2233" s="10" t="s">
        <v>34</v>
      </c>
      <c r="C2233" s="10" t="s">
        <v>35</v>
      </c>
      <c r="D2233" s="10" t="s">
        <v>36</v>
      </c>
      <c r="E2233" s="74" t="s">
        <v>37</v>
      </c>
      <c r="F2233" s="75"/>
      <c r="G2233" s="76"/>
      <c r="K2233" s="1">
        <v>9</v>
      </c>
      <c r="L2233" s="1">
        <v>9</v>
      </c>
      <c r="M2233" s="1">
        <v>9</v>
      </c>
      <c r="N2233" s="1">
        <v>9</v>
      </c>
      <c r="O2233" s="1">
        <v>9</v>
      </c>
      <c r="P2233" s="1">
        <v>9</v>
      </c>
      <c r="Q2233" s="1">
        <v>9</v>
      </c>
      <c r="R2233" s="1">
        <v>9</v>
      </c>
      <c r="T2233" s="9"/>
      <c r="U2233" s="1">
        <f t="shared" si="3577"/>
        <v>51</v>
      </c>
      <c r="V2233" s="1">
        <f t="shared" si="3578"/>
        <v>232</v>
      </c>
    </row>
    <row r="2234" spans="1:22" x14ac:dyDescent="0.3">
      <c r="A2234" s="1">
        <f t="shared" si="3575"/>
        <v>51233</v>
      </c>
      <c r="B2234" s="12">
        <f t="shared" ref="B2234:B2243" si="3640">C2218-B2218</f>
        <v>0.19999999999999929</v>
      </c>
      <c r="C2234" s="13">
        <f t="shared" ref="C2234:C2243" si="3641">H2218-G2218</f>
        <v>0</v>
      </c>
      <c r="D2234" s="10">
        <f t="shared" ref="D2234:D2243" si="3642">C2234-B2234</f>
        <v>-0.19999999999999929</v>
      </c>
      <c r="E2234" s="11">
        <f t="shared" ref="E2234" si="3643">IF(D2209="","",MAX(F2234,G2234))</f>
        <v>0.29999999999999716</v>
      </c>
      <c r="F2234" s="10">
        <f t="shared" ref="F2234" si="3644">ABS(MIN(D2234:D2243))</f>
        <v>0.29999999999999716</v>
      </c>
      <c r="G2234" s="10">
        <f t="shared" ref="G2234" si="3645">ABS(MAX(D2234:D2243))</f>
        <v>0.29999999999999716</v>
      </c>
      <c r="J2234" s="24" t="str">
        <f t="shared" ref="J2234" si="3646">CONCATENATE(K2233,1)</f>
        <v>91</v>
      </c>
      <c r="K2234" s="6" t="e">
        <f t="array" ref="K2234:R2236">LINEST(B2218:B2226,C2218:C2226^{1,2,3,4,5,6,7},TRUE,TRUE)</f>
        <v>#VALUE!</v>
      </c>
      <c r="L2234" s="6" t="e">
        <v>#VALUE!</v>
      </c>
      <c r="M2234" s="6" t="e">
        <v>#VALUE!</v>
      </c>
      <c r="N2234" s="6" t="e">
        <v>#VALUE!</v>
      </c>
      <c r="O2234" s="6" t="e">
        <v>#VALUE!</v>
      </c>
      <c r="P2234" s="6" t="e">
        <v>#VALUE!</v>
      </c>
      <c r="Q2234" s="6" t="e">
        <v>#VALUE!</v>
      </c>
      <c r="R2234" s="6" t="e">
        <v>#VALUE!</v>
      </c>
      <c r="T2234" s="9"/>
      <c r="U2234" s="1">
        <f t="shared" si="3577"/>
        <v>51</v>
      </c>
      <c r="V2234" s="1">
        <f t="shared" si="3578"/>
        <v>233</v>
      </c>
    </row>
    <row r="2235" spans="1:22" x14ac:dyDescent="0.3">
      <c r="A2235" s="1">
        <f t="shared" si="3575"/>
        <v>51234</v>
      </c>
      <c r="B2235" s="12">
        <f t="shared" si="3640"/>
        <v>-0.29999999999999716</v>
      </c>
      <c r="C2235" s="13">
        <f t="shared" si="3641"/>
        <v>0</v>
      </c>
      <c r="D2235" s="10">
        <f t="shared" si="3642"/>
        <v>0.29999999999999716</v>
      </c>
      <c r="E2235" s="74" t="s">
        <v>38</v>
      </c>
      <c r="F2235" s="75"/>
      <c r="G2235" s="76"/>
      <c r="J2235" s="24" t="str">
        <f t="shared" ref="J2235" si="3647">CONCATENATE(K2233,2)</f>
        <v>92</v>
      </c>
      <c r="K2235" s="6" t="e">
        <v>#VALUE!</v>
      </c>
      <c r="L2235" s="6" t="e">
        <v>#VALUE!</v>
      </c>
      <c r="M2235" s="6" t="e">
        <v>#VALUE!</v>
      </c>
      <c r="N2235" s="6" t="e">
        <v>#VALUE!</v>
      </c>
      <c r="O2235" s="6" t="e">
        <v>#VALUE!</v>
      </c>
      <c r="P2235" s="6" t="e">
        <v>#VALUE!</v>
      </c>
      <c r="Q2235" s="6" t="e">
        <v>#VALUE!</v>
      </c>
      <c r="R2235" s="6" t="e">
        <v>#VALUE!</v>
      </c>
      <c r="T2235" s="9"/>
      <c r="U2235" s="1">
        <f t="shared" si="3577"/>
        <v>51</v>
      </c>
      <c r="V2235" s="1">
        <f t="shared" si="3578"/>
        <v>234</v>
      </c>
    </row>
    <row r="2236" spans="1:22" x14ac:dyDescent="0.3">
      <c r="A2236" s="1">
        <f t="shared" si="3575"/>
        <v>51235</v>
      </c>
      <c r="B2236" s="12">
        <f t="shared" si="3640"/>
        <v>0.29999999999999716</v>
      </c>
      <c r="C2236" s="13">
        <f t="shared" si="3641"/>
        <v>0</v>
      </c>
      <c r="D2236" s="10">
        <f t="shared" si="3642"/>
        <v>-0.29999999999999716</v>
      </c>
      <c r="E2236" s="11">
        <f t="shared" ref="E2236" si="3648">IF(D2209="","",MAX(F2236,G2236))</f>
        <v>0.29999999999999716</v>
      </c>
      <c r="F2236" s="10">
        <f t="shared" ref="F2236" si="3649">ABS(MIN(B2234:B2243))</f>
        <v>0.29999999999999716</v>
      </c>
      <c r="G2236" s="10">
        <f t="shared" ref="G2236" si="3650">ABS(MAX(B2234:B2243))</f>
        <v>0.29999999999999716</v>
      </c>
      <c r="J2236" s="24" t="str">
        <f t="shared" ref="J2236" si="3651">CONCATENATE(K2233,3)</f>
        <v>93</v>
      </c>
      <c r="K2236" s="6" t="e">
        <v>#VALUE!</v>
      </c>
      <c r="L2236" s="6" t="e">
        <v>#VALUE!</v>
      </c>
      <c r="M2236" s="6" t="e">
        <v>#VALUE!</v>
      </c>
      <c r="N2236" s="6" t="e">
        <v>#VALUE!</v>
      </c>
      <c r="O2236" s="6" t="e">
        <v>#VALUE!</v>
      </c>
      <c r="P2236" s="6" t="e">
        <v>#VALUE!</v>
      </c>
      <c r="Q2236" s="6" t="e">
        <v>#VALUE!</v>
      </c>
      <c r="R2236" s="6" t="e">
        <v>#VALUE!</v>
      </c>
      <c r="T2236" s="9"/>
      <c r="U2236" s="1">
        <f t="shared" si="3577"/>
        <v>51</v>
      </c>
      <c r="V2236" s="1">
        <f t="shared" si="3578"/>
        <v>235</v>
      </c>
    </row>
    <row r="2237" spans="1:22" x14ac:dyDescent="0.3">
      <c r="A2237" s="1">
        <f t="shared" si="3575"/>
        <v>51236</v>
      </c>
      <c r="B2237" s="12">
        <f t="shared" si="3640"/>
        <v>0</v>
      </c>
      <c r="C2237" s="13">
        <f t="shared" si="3641"/>
        <v>0</v>
      </c>
      <c r="D2237" s="10">
        <f t="shared" si="3642"/>
        <v>0</v>
      </c>
      <c r="E2237" s="74" t="s">
        <v>39</v>
      </c>
      <c r="F2237" s="75"/>
      <c r="G2237" s="76"/>
      <c r="K2237" s="1">
        <v>10</v>
      </c>
      <c r="L2237" s="1">
        <v>10</v>
      </c>
      <c r="M2237" s="1">
        <v>10</v>
      </c>
      <c r="N2237" s="1">
        <v>10</v>
      </c>
      <c r="O2237" s="1">
        <v>10</v>
      </c>
      <c r="P2237" s="1">
        <v>10</v>
      </c>
      <c r="Q2237" s="1">
        <v>10</v>
      </c>
      <c r="R2237" s="1">
        <v>10</v>
      </c>
      <c r="S2237" s="1">
        <v>10</v>
      </c>
      <c r="T2237" s="9"/>
      <c r="U2237" s="1">
        <f t="shared" si="3577"/>
        <v>51</v>
      </c>
      <c r="V2237" s="1">
        <f t="shared" si="3578"/>
        <v>236</v>
      </c>
    </row>
    <row r="2238" spans="1:22" x14ac:dyDescent="0.3">
      <c r="A2238" s="1">
        <f t="shared" si="3575"/>
        <v>51237</v>
      </c>
      <c r="B2238" s="12">
        <f t="shared" si="3640"/>
        <v>0</v>
      </c>
      <c r="C2238" s="13">
        <f t="shared" si="3641"/>
        <v>0</v>
      </c>
      <c r="D2238" s="10">
        <f t="shared" si="3642"/>
        <v>0</v>
      </c>
      <c r="E2238" s="11">
        <f t="shared" ref="E2238" si="3652">IF(D2209="","",MAX(F2238,G2238))</f>
        <v>1.1000000000000001</v>
      </c>
      <c r="F2238" s="10">
        <f t="shared" ref="F2238" si="3653">ABS(MIN(D2218:D2227))</f>
        <v>0.7</v>
      </c>
      <c r="G2238" s="10">
        <f t="shared" ref="G2238" si="3654">ABS(MAX(D2218:D2227))</f>
        <v>1.1000000000000001</v>
      </c>
      <c r="J2238" s="24" t="str">
        <f t="shared" ref="J2238" si="3655">CONCATENATE(K2237,1)</f>
        <v>101</v>
      </c>
      <c r="K2238" s="6" t="e">
        <f t="array" ref="K2238:S2240">LINEST(B2218:B2227,C2218:C2227^{1,2,3,4,5,6,7,8},TRUE,TRUE)</f>
        <v>#VALUE!</v>
      </c>
      <c r="L2238" s="6" t="e">
        <v>#VALUE!</v>
      </c>
      <c r="M2238" s="6" t="e">
        <v>#VALUE!</v>
      </c>
      <c r="N2238" s="6" t="e">
        <v>#VALUE!</v>
      </c>
      <c r="O2238" s="6" t="e">
        <v>#VALUE!</v>
      </c>
      <c r="P2238" s="6" t="e">
        <v>#VALUE!</v>
      </c>
      <c r="Q2238" s="6" t="e">
        <v>#VALUE!</v>
      </c>
      <c r="R2238" s="6" t="e">
        <v>#VALUE!</v>
      </c>
      <c r="S2238" s="6" t="e">
        <v>#VALUE!</v>
      </c>
      <c r="T2238" s="9"/>
      <c r="U2238" s="1">
        <f t="shared" si="3577"/>
        <v>51</v>
      </c>
      <c r="V2238" s="1">
        <f t="shared" si="3578"/>
        <v>237</v>
      </c>
    </row>
    <row r="2239" spans="1:22" x14ac:dyDescent="0.3">
      <c r="A2239" s="1">
        <f t="shared" si="3575"/>
        <v>51238</v>
      </c>
      <c r="B2239" s="12">
        <f t="shared" si="3640"/>
        <v>0</v>
      </c>
      <c r="C2239" s="13">
        <f t="shared" si="3641"/>
        <v>0</v>
      </c>
      <c r="D2239" s="10">
        <f t="shared" si="3642"/>
        <v>0</v>
      </c>
      <c r="J2239" s="24" t="str">
        <f t="shared" ref="J2239" si="3656">CONCATENATE(K2237,2)</f>
        <v>102</v>
      </c>
      <c r="K2239" s="6" t="e">
        <v>#VALUE!</v>
      </c>
      <c r="L2239" s="6" t="e">
        <v>#VALUE!</v>
      </c>
      <c r="M2239" s="6" t="e">
        <v>#VALUE!</v>
      </c>
      <c r="N2239" s="6" t="e">
        <v>#VALUE!</v>
      </c>
      <c r="O2239" s="6" t="e">
        <v>#VALUE!</v>
      </c>
      <c r="P2239" s="6" t="e">
        <v>#VALUE!</v>
      </c>
      <c r="Q2239" s="6" t="e">
        <v>#VALUE!</v>
      </c>
      <c r="R2239" s="6" t="e">
        <v>#VALUE!</v>
      </c>
      <c r="S2239" s="6" t="e">
        <v>#VALUE!</v>
      </c>
      <c r="T2239" s="9"/>
      <c r="U2239" s="1">
        <f t="shared" si="3577"/>
        <v>51</v>
      </c>
      <c r="V2239" s="1">
        <f t="shared" si="3578"/>
        <v>238</v>
      </c>
    </row>
    <row r="2240" spans="1:22" x14ac:dyDescent="0.3">
      <c r="A2240" s="1">
        <f t="shared" si="3575"/>
        <v>51239</v>
      </c>
      <c r="B2240" s="12">
        <f t="shared" si="3640"/>
        <v>0</v>
      </c>
      <c r="C2240" s="13">
        <f t="shared" si="3641"/>
        <v>0</v>
      </c>
      <c r="D2240" s="10">
        <f t="shared" si="3642"/>
        <v>0</v>
      </c>
      <c r="J2240" s="24" t="str">
        <f t="shared" ref="J2240" si="3657">CONCATENATE(K2237,3)</f>
        <v>103</v>
      </c>
      <c r="K2240" s="6" t="e">
        <v>#VALUE!</v>
      </c>
      <c r="L2240" s="6" t="e">
        <v>#VALUE!</v>
      </c>
      <c r="M2240" s="6" t="e">
        <v>#VALUE!</v>
      </c>
      <c r="N2240" s="6" t="e">
        <v>#VALUE!</v>
      </c>
      <c r="O2240" s="6" t="e">
        <v>#VALUE!</v>
      </c>
      <c r="P2240" s="6" t="e">
        <v>#VALUE!</v>
      </c>
      <c r="Q2240" s="6" t="e">
        <v>#VALUE!</v>
      </c>
      <c r="R2240" s="6" t="e">
        <v>#VALUE!</v>
      </c>
      <c r="S2240" s="6" t="e">
        <v>#VALUE!</v>
      </c>
      <c r="T2240" s="9"/>
      <c r="U2240" s="1">
        <f t="shared" si="3577"/>
        <v>51</v>
      </c>
      <c r="V2240" s="1">
        <f t="shared" si="3578"/>
        <v>239</v>
      </c>
    </row>
    <row r="2241" spans="1:22" x14ac:dyDescent="0.3">
      <c r="A2241" s="1">
        <f t="shared" si="3575"/>
        <v>51240</v>
      </c>
      <c r="B2241" s="12">
        <f t="shared" si="3640"/>
        <v>0</v>
      </c>
      <c r="C2241" s="13">
        <f t="shared" si="3641"/>
        <v>0</v>
      </c>
      <c r="D2241" s="10">
        <f t="shared" si="3642"/>
        <v>0</v>
      </c>
      <c r="J2241" s="9"/>
      <c r="K2241" s="9"/>
      <c r="L2241" s="9"/>
      <c r="M2241" s="9"/>
      <c r="N2241" s="9"/>
      <c r="O2241" s="9"/>
      <c r="P2241" s="9"/>
      <c r="Q2241" s="9"/>
      <c r="R2241" s="9"/>
      <c r="S2241" s="9"/>
      <c r="T2241" s="9"/>
      <c r="U2241" s="1">
        <f t="shared" si="3577"/>
        <v>51</v>
      </c>
      <c r="V2241" s="1">
        <f t="shared" si="3578"/>
        <v>240</v>
      </c>
    </row>
    <row r="2242" spans="1:22" x14ac:dyDescent="0.3">
      <c r="A2242" s="1">
        <f t="shared" si="3575"/>
        <v>51241</v>
      </c>
      <c r="B2242" s="12">
        <f t="shared" si="3640"/>
        <v>0</v>
      </c>
      <c r="C2242" s="13">
        <f t="shared" si="3641"/>
        <v>0</v>
      </c>
      <c r="D2242" s="10">
        <f t="shared" si="3642"/>
        <v>0</v>
      </c>
      <c r="J2242" s="9"/>
      <c r="K2242" s="9"/>
      <c r="L2242" s="9"/>
      <c r="M2242" s="9"/>
      <c r="N2242" s="9"/>
      <c r="O2242" s="9"/>
      <c r="P2242" s="9"/>
      <c r="Q2242" s="9"/>
      <c r="R2242" s="9"/>
      <c r="S2242" s="9"/>
      <c r="T2242" s="9"/>
      <c r="U2242" s="1">
        <f t="shared" si="3577"/>
        <v>51</v>
      </c>
      <c r="V2242" s="1">
        <f t="shared" si="3578"/>
        <v>241</v>
      </c>
    </row>
    <row r="2243" spans="1:22" x14ac:dyDescent="0.3">
      <c r="A2243" s="1">
        <f t="shared" si="3575"/>
        <v>51242</v>
      </c>
      <c r="B2243" s="12">
        <f t="shared" si="3640"/>
        <v>0</v>
      </c>
      <c r="C2243" s="13">
        <f t="shared" si="3641"/>
        <v>0</v>
      </c>
      <c r="D2243" s="10">
        <f t="shared" si="3642"/>
        <v>0</v>
      </c>
      <c r="J2243" s="9"/>
      <c r="K2243" s="9"/>
      <c r="L2243" s="9"/>
      <c r="M2243" s="9"/>
      <c r="N2243" s="9"/>
      <c r="O2243" s="9"/>
      <c r="P2243" s="9"/>
      <c r="Q2243" s="9"/>
      <c r="R2243" s="9"/>
      <c r="S2243" s="9"/>
      <c r="T2243" s="9"/>
      <c r="U2243" s="1">
        <f t="shared" si="3577"/>
        <v>51</v>
      </c>
      <c r="V2243" s="1">
        <f t="shared" si="3578"/>
        <v>242</v>
      </c>
    </row>
    <row r="2244" spans="1:22" x14ac:dyDescent="0.3">
      <c r="A2244" s="1">
        <f t="shared" si="3575"/>
        <v>51243</v>
      </c>
      <c r="J2244" s="9"/>
      <c r="K2244" s="9"/>
      <c r="L2244" s="9"/>
      <c r="M2244" s="9"/>
      <c r="N2244" s="9"/>
      <c r="O2244" s="9"/>
      <c r="P2244" s="9"/>
      <c r="Q2244" s="9"/>
      <c r="R2244" s="9"/>
      <c r="S2244" s="9"/>
      <c r="T2244" s="9"/>
      <c r="U2244" s="1">
        <f t="shared" si="3577"/>
        <v>51</v>
      </c>
      <c r="V2244" s="1">
        <f t="shared" si="3578"/>
        <v>243</v>
      </c>
    </row>
    <row r="2245" spans="1:22" s="5" customFormat="1" x14ac:dyDescent="0.3"/>
    <row r="2246" spans="1:22" x14ac:dyDescent="0.3">
      <c r="A2246" s="1">
        <f t="shared" ref="A2246:A2288" si="3658">ROUND(CONCATENATE(U2246,V2246),0)</f>
        <v>52201</v>
      </c>
      <c r="B2246" s="96" t="s">
        <v>0</v>
      </c>
      <c r="C2246" s="97"/>
      <c r="D2246" s="110" t="s">
        <v>46</v>
      </c>
      <c r="E2246" s="111"/>
      <c r="F2246" s="111"/>
      <c r="G2246" s="111"/>
      <c r="H2246" s="112"/>
      <c r="J2246" s="9"/>
      <c r="K2246" s="9"/>
      <c r="L2246" s="9"/>
      <c r="M2246" s="9"/>
      <c r="N2246" s="9"/>
      <c r="O2246" s="9"/>
      <c r="P2246" s="9"/>
      <c r="Q2246" s="9"/>
      <c r="R2246" s="9"/>
      <c r="S2246" s="9"/>
      <c r="T2246" s="9"/>
      <c r="U2246" s="1">
        <f t="shared" ref="U2246" si="3659">U2244+1</f>
        <v>52</v>
      </c>
      <c r="V2246" s="1">
        <v>201</v>
      </c>
    </row>
    <row r="2247" spans="1:22" x14ac:dyDescent="0.3">
      <c r="A2247" s="1">
        <f t="shared" si="3658"/>
        <v>52202</v>
      </c>
      <c r="B2247" s="96" t="s">
        <v>1</v>
      </c>
      <c r="C2247" s="97"/>
      <c r="D2247" s="15">
        <v>20</v>
      </c>
      <c r="E2247" s="16" t="s">
        <v>2</v>
      </c>
      <c r="F2247" s="107"/>
      <c r="G2247" s="108"/>
      <c r="H2247" s="109"/>
      <c r="J2247" s="9"/>
      <c r="K2247" s="9"/>
      <c r="L2247" s="9"/>
      <c r="M2247" s="9"/>
      <c r="N2247" s="9"/>
      <c r="O2247" s="9"/>
      <c r="P2247" s="9"/>
      <c r="Q2247" s="9"/>
      <c r="R2247" s="9"/>
      <c r="S2247" s="9"/>
      <c r="T2247" s="9"/>
      <c r="U2247" s="1">
        <f t="shared" ref="U2247" si="3660">U2246</f>
        <v>52</v>
      </c>
      <c r="V2247" s="1">
        <f t="shared" ref="V2247" si="3661">V2246+1</f>
        <v>202</v>
      </c>
    </row>
    <row r="2248" spans="1:22" x14ac:dyDescent="0.3">
      <c r="A2248" s="1">
        <f t="shared" si="3658"/>
        <v>52203</v>
      </c>
      <c r="B2248" s="96" t="s">
        <v>12</v>
      </c>
      <c r="C2248" s="97"/>
      <c r="D2248" s="141" t="s">
        <v>231</v>
      </c>
      <c r="E2248" s="141"/>
      <c r="F2248" s="141"/>
      <c r="G2248" s="141"/>
      <c r="H2248" s="141"/>
      <c r="K2248" s="1" t="s">
        <v>3</v>
      </c>
      <c r="L2248" s="1" t="s">
        <v>4</v>
      </c>
      <c r="M2248" s="1" t="s">
        <v>5</v>
      </c>
      <c r="N2248" s="1" t="s">
        <v>6</v>
      </c>
      <c r="O2248" s="1" t="s">
        <v>7</v>
      </c>
      <c r="P2248" s="1" t="s">
        <v>8</v>
      </c>
      <c r="Q2248" s="1" t="s">
        <v>9</v>
      </c>
      <c r="R2248" s="1" t="s">
        <v>10</v>
      </c>
      <c r="S2248" s="1" t="s">
        <v>11</v>
      </c>
      <c r="T2248" s="9"/>
      <c r="U2248" s="1">
        <f t="shared" si="3577"/>
        <v>52</v>
      </c>
      <c r="V2248" s="1">
        <f t="shared" si="3578"/>
        <v>203</v>
      </c>
    </row>
    <row r="2249" spans="1:22" x14ac:dyDescent="0.3">
      <c r="A2249" s="1">
        <f t="shared" si="3658"/>
        <v>52204</v>
      </c>
      <c r="B2249" s="96" t="s">
        <v>13</v>
      </c>
      <c r="C2249" s="97"/>
      <c r="D2249" s="141" t="s">
        <v>65</v>
      </c>
      <c r="E2249" s="141"/>
      <c r="F2249" s="141"/>
      <c r="G2249" s="141"/>
      <c r="H2249" s="141"/>
      <c r="J2249" s="1">
        <f t="shared" ref="J2249" si="3662">COUNTA(B2262:B2271)</f>
        <v>3</v>
      </c>
      <c r="K2249" s="1">
        <f t="shared" ref="K2249" si="3663">IF(L2249-1&lt;2,0,L2249-1)</f>
        <v>0</v>
      </c>
      <c r="L2249" s="1">
        <f t="shared" ref="L2249" si="3664">IF(M2249-1&lt;2,0,M2249-1)</f>
        <v>0</v>
      </c>
      <c r="M2249" s="1">
        <f t="shared" ref="M2249" si="3665">IF(N2249-1&lt;2,0,N2249-1)</f>
        <v>0</v>
      </c>
      <c r="N2249" s="1">
        <f t="shared" ref="N2249" si="3666">IF(O2249-1&lt;2,0,O2249-1)</f>
        <v>0</v>
      </c>
      <c r="O2249" s="1">
        <f t="shared" ref="O2249" si="3667">IF(P2249-1&lt;2,0,P2249-1)</f>
        <v>0</v>
      </c>
      <c r="P2249" s="1">
        <f t="shared" ref="P2249" si="3668">IF(Q2249-1&lt;2,0,Q2249-1)</f>
        <v>0</v>
      </c>
      <c r="Q2249" s="1">
        <f t="shared" ref="Q2249" si="3669">IF(R2249-1&lt;2,0,R2249-1)</f>
        <v>0</v>
      </c>
      <c r="R2249" s="1">
        <f t="shared" ref="R2249" si="3670">IF(S2249-1&lt;2,0,S2249-1)</f>
        <v>2</v>
      </c>
      <c r="S2249" s="1">
        <f t="shared" ref="S2249" si="3671">J2249</f>
        <v>3</v>
      </c>
      <c r="T2249" s="9"/>
      <c r="U2249" s="1">
        <f t="shared" si="3577"/>
        <v>52</v>
      </c>
      <c r="V2249" s="1">
        <f t="shared" si="3578"/>
        <v>204</v>
      </c>
    </row>
    <row r="2250" spans="1:22" x14ac:dyDescent="0.3">
      <c r="A2250" s="1">
        <f t="shared" si="3658"/>
        <v>52205</v>
      </c>
      <c r="B2250" s="96" t="s">
        <v>14</v>
      </c>
      <c r="C2250" s="97"/>
      <c r="D2250" s="141" t="s">
        <v>66</v>
      </c>
      <c r="E2250" s="141"/>
      <c r="F2250" s="141"/>
      <c r="G2250" s="141"/>
      <c r="H2250" s="141"/>
      <c r="J2250" s="24" t="str">
        <f t="shared" ref="J2250" si="3672">CONCATENATE(J2249,1)</f>
        <v>31</v>
      </c>
      <c r="K2250" s="25">
        <f t="shared" ref="K2250" si="3673">IF(K2249=0,0,VLOOKUP(J2250,J2254:S2284,K2249,FALSE))</f>
        <v>0</v>
      </c>
      <c r="L2250" s="25">
        <f t="shared" ref="L2250" si="3674">IF(L2249=0,0,VLOOKUP(J2250,J2254:S2284,L2249,FALSE))</f>
        <v>0</v>
      </c>
      <c r="M2250" s="25">
        <f t="shared" ref="M2250" si="3675">IF(M2249=0,0,VLOOKUP(J2250,J2254:S2284,M2249,FALSE))</f>
        <v>0</v>
      </c>
      <c r="N2250" s="25">
        <f t="shared" ref="N2250" si="3676">IF(N2249=0,0,VLOOKUP(J2250,J2254:S2284,N2249,FALSE))</f>
        <v>0</v>
      </c>
      <c r="O2250" s="25">
        <f t="shared" ref="O2250" si="3677">IF(O2249=0,0,VLOOKUP(J2250,J2254:S2284,O2249,FALSE))</f>
        <v>0</v>
      </c>
      <c r="P2250" s="25">
        <f t="shared" ref="P2250" si="3678">IF(P2249=0,0,VLOOKUP(J2250,J2254:S2284,P2249,FALSE))</f>
        <v>0</v>
      </c>
      <c r="Q2250" s="25">
        <f t="shared" ref="Q2250" si="3679">IF(Q2249=0,0,VLOOKUP(J2250,J2254:S2284,Q2249,FALSE))</f>
        <v>0</v>
      </c>
      <c r="R2250" s="25">
        <f t="shared" ref="R2250" si="3680">IF(R2249=0,0,VLOOKUP(J2250,J2254:S2284,R2249,FALSE))</f>
        <v>0.99337385285055901</v>
      </c>
      <c r="S2250" s="25">
        <f t="shared" ref="S2250" si="3681">IF(S2249=0,0,VLOOKUP(J2250,J2254:S2284,S2249,FALSE))</f>
        <v>-0.13226710719154511</v>
      </c>
      <c r="T2250" s="9"/>
      <c r="U2250" s="1">
        <f t="shared" si="3577"/>
        <v>52</v>
      </c>
      <c r="V2250" s="1">
        <f t="shared" si="3578"/>
        <v>205</v>
      </c>
    </row>
    <row r="2251" spans="1:22" x14ac:dyDescent="0.3">
      <c r="A2251" s="1">
        <f t="shared" si="3658"/>
        <v>52206</v>
      </c>
      <c r="B2251" s="96" t="s">
        <v>15</v>
      </c>
      <c r="C2251" s="97"/>
      <c r="D2251" s="141" t="s">
        <v>326</v>
      </c>
      <c r="E2251" s="141"/>
      <c r="F2251" s="141"/>
      <c r="G2251" s="141"/>
      <c r="H2251" s="141"/>
      <c r="J2251" s="24" t="str">
        <f t="shared" ref="J2251" si="3682">CONCATENATE(J2249,2)</f>
        <v>32</v>
      </c>
      <c r="K2251" s="6">
        <f t="shared" ref="K2251" si="3683">IF(K2249=0,0,VLOOKUP(J2251,J2254:S2284,K2249,FALSE))</f>
        <v>0</v>
      </c>
      <c r="L2251" s="6">
        <f t="shared" ref="L2251" si="3684">IF(L2249=0,0,VLOOKUP(J2251,J2254:S2284,L2249,FALSE))</f>
        <v>0</v>
      </c>
      <c r="M2251" s="6">
        <f t="shared" ref="M2251" si="3685">IF(M2249=0,0,VLOOKUP(J2251,J2254:S2284,M2249,FALSE))</f>
        <v>0</v>
      </c>
      <c r="N2251" s="6">
        <f t="shared" ref="N2251" si="3686">IF(N2249=0,0,VLOOKUP(J2251,J2254:S2284,N2249,FALSE))</f>
        <v>0</v>
      </c>
      <c r="O2251" s="6">
        <f t="shared" ref="O2251" si="3687">IF(O2249=0,0,VLOOKUP(J2251,J2254:S2284,O2249,FALSE))</f>
        <v>0</v>
      </c>
      <c r="P2251" s="6">
        <f t="shared" ref="P2251" si="3688">IF(P2249=0,0,VLOOKUP(J2251,J2254:S2284,P2249,FALSE))</f>
        <v>0</v>
      </c>
      <c r="Q2251" s="6">
        <f t="shared" ref="Q2251" si="3689">IF(Q2249=0,0,VLOOKUP(J2251,J2254:S2284,Q2249,FALSE))</f>
        <v>0</v>
      </c>
      <c r="R2251" s="6">
        <f t="shared" ref="R2251" si="3690">IF(R2249=0,0,VLOOKUP(J2251,J2254:S2284,R2249,FALSE))</f>
        <v>1.8990882826133602E-3</v>
      </c>
      <c r="S2251" s="6">
        <f t="shared" ref="S2251" si="3691">IF(S2249=0,0,VLOOKUP(J2251,J2254:S2284,S2249,FALSE))</f>
        <v>0.10666915897436338</v>
      </c>
      <c r="T2251" s="9"/>
      <c r="U2251" s="1">
        <f t="shared" si="3577"/>
        <v>52</v>
      </c>
      <c r="V2251" s="1">
        <f t="shared" si="3578"/>
        <v>206</v>
      </c>
    </row>
    <row r="2252" spans="1:22" x14ac:dyDescent="0.3">
      <c r="A2252" s="1">
        <f t="shared" si="3658"/>
        <v>52207</v>
      </c>
      <c r="B2252" s="96" t="s">
        <v>16</v>
      </c>
      <c r="C2252" s="97"/>
      <c r="D2252" s="121">
        <v>45836</v>
      </c>
      <c r="E2252" s="121"/>
      <c r="F2252" s="121"/>
      <c r="G2252" s="121"/>
      <c r="H2252" s="121"/>
      <c r="J2252" s="24" t="str">
        <f t="shared" ref="J2252" si="3692">CONCATENATE(J2249,3)</f>
        <v>33</v>
      </c>
      <c r="K2252" s="6"/>
      <c r="L2252" s="6"/>
      <c r="M2252" s="6"/>
      <c r="N2252" s="6" t="s">
        <v>43</v>
      </c>
      <c r="O2252" s="25">
        <f t="shared" ref="O2252" si="3693">J2249-2</f>
        <v>1</v>
      </c>
      <c r="P2252" s="6" t="s">
        <v>44</v>
      </c>
      <c r="Q2252" s="25">
        <f t="shared" ref="Q2252" si="3694">VLOOKUP(J2252,J2254:S2284,3,FALSE)</f>
        <v>8.1108783661761663E-2</v>
      </c>
      <c r="R2252" s="6" t="s">
        <v>45</v>
      </c>
      <c r="S2252" s="6">
        <f t="shared" ref="S2252" si="3695">VLOOKUP(J2252,J2254:S2284,2,FALSE)</f>
        <v>0.99999634520289604</v>
      </c>
      <c r="T2252" s="9"/>
      <c r="U2252" s="1">
        <f t="shared" si="3577"/>
        <v>52</v>
      </c>
      <c r="V2252" s="1">
        <f t="shared" si="3578"/>
        <v>207</v>
      </c>
    </row>
    <row r="2253" spans="1:22" x14ac:dyDescent="0.3">
      <c r="A2253" s="1">
        <f t="shared" si="3658"/>
        <v>52208</v>
      </c>
      <c r="B2253" s="96" t="s">
        <v>17</v>
      </c>
      <c r="C2253" s="97"/>
      <c r="D2253" s="122">
        <v>46203</v>
      </c>
      <c r="E2253" s="122"/>
      <c r="F2253" s="122"/>
      <c r="G2253" s="122"/>
      <c r="H2253" s="122"/>
      <c r="K2253" s="1">
        <v>3</v>
      </c>
      <c r="L2253" s="1">
        <v>3</v>
      </c>
      <c r="Q2253" s="26"/>
      <c r="R2253" s="26"/>
      <c r="S2253" s="26"/>
      <c r="T2253" s="9"/>
      <c r="U2253" s="1">
        <f t="shared" si="3577"/>
        <v>52</v>
      </c>
      <c r="V2253" s="1">
        <f t="shared" si="3578"/>
        <v>208</v>
      </c>
    </row>
    <row r="2254" spans="1:22" x14ac:dyDescent="0.3">
      <c r="A2254" s="1">
        <f t="shared" si="3658"/>
        <v>52209</v>
      </c>
      <c r="B2254" s="77" t="s">
        <v>19</v>
      </c>
      <c r="C2254" s="78"/>
      <c r="D2254" s="17">
        <v>0.1</v>
      </c>
      <c r="E2254" s="79" t="s">
        <v>40</v>
      </c>
      <c r="F2254" s="80"/>
      <c r="G2254" s="81"/>
      <c r="H2254" s="18" t="s">
        <v>72</v>
      </c>
      <c r="J2254" s="24" t="str">
        <f t="shared" ref="J2254" si="3696">CONCATENATE(K2253,1)</f>
        <v>31</v>
      </c>
      <c r="K2254" s="6">
        <f t="array" ref="K2254:L2256">LINEST(B2262:B2264,C2262:C2264^{1},TRUE,TRUE)</f>
        <v>0.99337385285055901</v>
      </c>
      <c r="L2254" s="6">
        <v>-0.13226710719154511</v>
      </c>
      <c r="Q2254" s="9"/>
      <c r="R2254" s="9"/>
      <c r="S2254" s="9"/>
      <c r="T2254" s="9"/>
      <c r="U2254" s="1">
        <f t="shared" si="3577"/>
        <v>52</v>
      </c>
      <c r="V2254" s="1">
        <f t="shared" si="3578"/>
        <v>209</v>
      </c>
    </row>
    <row r="2255" spans="1:22" x14ac:dyDescent="0.3">
      <c r="A2255" s="1">
        <f t="shared" si="3658"/>
        <v>52210</v>
      </c>
      <c r="B2255" s="77" t="s">
        <v>41</v>
      </c>
      <c r="C2255" s="78"/>
      <c r="D2255" s="23">
        <f t="shared" ref="D2255" si="3697">MIN(B2262:B2271)</f>
        <v>20</v>
      </c>
      <c r="E2255" s="20" t="s">
        <v>18</v>
      </c>
      <c r="F2255" s="19">
        <f t="shared" ref="F2255" si="3698">MAX(B2262:B2271)</f>
        <v>80</v>
      </c>
      <c r="G2255" s="21" t="str">
        <f t="shared" ref="G2255" si="3699">IF(H2254="","",H2254)</f>
        <v>%ur</v>
      </c>
      <c r="H2255" s="22"/>
      <c r="J2255" s="24" t="str">
        <f t="shared" ref="J2255" si="3700">CONCATENATE(K2253,2)</f>
        <v>32</v>
      </c>
      <c r="K2255" s="6">
        <v>1.8990882826133602E-3</v>
      </c>
      <c r="L2255" s="6">
        <v>0.10666915897436338</v>
      </c>
      <c r="Q2255" s="9"/>
      <c r="R2255" s="9"/>
      <c r="S2255" s="9"/>
      <c r="T2255" s="9"/>
      <c r="U2255" s="1">
        <f t="shared" si="3577"/>
        <v>52</v>
      </c>
      <c r="V2255" s="1">
        <f t="shared" si="3578"/>
        <v>210</v>
      </c>
    </row>
    <row r="2256" spans="1:22" x14ac:dyDescent="0.3">
      <c r="A2256" s="1">
        <f t="shared" si="3658"/>
        <v>52211</v>
      </c>
      <c r="J2256" s="24" t="str">
        <f t="shared" ref="J2256" si="3701">CONCATENATE(K2253,3)</f>
        <v>33</v>
      </c>
      <c r="K2256" s="6">
        <v>0.99999634520289604</v>
      </c>
      <c r="L2256" s="6">
        <v>8.1108783661761663E-2</v>
      </c>
      <c r="Q2256" s="9"/>
      <c r="R2256" s="9"/>
      <c r="S2256" s="9"/>
      <c r="T2256" s="9"/>
      <c r="U2256" s="1">
        <f t="shared" si="3577"/>
        <v>52</v>
      </c>
      <c r="V2256" s="1">
        <f t="shared" si="3578"/>
        <v>211</v>
      </c>
    </row>
    <row r="2257" spans="1:22" x14ac:dyDescent="0.3">
      <c r="A2257" s="1">
        <f t="shared" si="3658"/>
        <v>52212</v>
      </c>
      <c r="B2257" s="82" t="s">
        <v>20</v>
      </c>
      <c r="C2257" s="83"/>
      <c r="D2257" s="83"/>
      <c r="E2257" s="83"/>
      <c r="F2257" s="84"/>
      <c r="G2257" s="85" t="s">
        <v>31</v>
      </c>
      <c r="H2257" s="86"/>
      <c r="K2257" s="1">
        <v>4</v>
      </c>
      <c r="L2257" s="1">
        <v>4</v>
      </c>
      <c r="M2257" s="1">
        <v>4</v>
      </c>
      <c r="Q2257" s="9"/>
      <c r="R2257" s="9"/>
      <c r="S2257" s="9"/>
      <c r="T2257" s="9"/>
      <c r="U2257" s="1">
        <f t="shared" si="3577"/>
        <v>52</v>
      </c>
      <c r="V2257" s="1">
        <f t="shared" si="3578"/>
        <v>212</v>
      </c>
    </row>
    <row r="2258" spans="1:22" x14ac:dyDescent="0.3">
      <c r="A2258" s="1">
        <f t="shared" si="3658"/>
        <v>52213</v>
      </c>
      <c r="B2258" s="82" t="s">
        <v>30</v>
      </c>
      <c r="C2258" s="83"/>
      <c r="D2258" s="84"/>
      <c r="E2258" s="82" t="str">
        <f t="shared" ref="E2258" si="3702">D2251</f>
        <v>E0397A/25</v>
      </c>
      <c r="F2258" s="84"/>
      <c r="G2258" s="6" t="s">
        <v>32</v>
      </c>
      <c r="H2258" s="7" t="s">
        <v>232</v>
      </c>
      <c r="J2258" s="24" t="str">
        <f t="shared" ref="J2258" si="3703">CONCATENATE(K2257,1)</f>
        <v>41</v>
      </c>
      <c r="K2258" s="6" t="e">
        <f t="array" ref="K2258:M2260">LINEST(B2262:B2265,C2262:C2265^{1,2},TRUE,TRUE)</f>
        <v>#VALUE!</v>
      </c>
      <c r="L2258" s="6" t="e">
        <v>#VALUE!</v>
      </c>
      <c r="M2258" s="6" t="e">
        <v>#VALUE!</v>
      </c>
      <c r="Q2258" s="9"/>
      <c r="R2258" s="9"/>
      <c r="S2258" s="9"/>
      <c r="T2258" s="9"/>
      <c r="U2258" s="1">
        <f t="shared" si="3577"/>
        <v>52</v>
      </c>
      <c r="V2258" s="1">
        <f t="shared" si="3578"/>
        <v>213</v>
      </c>
    </row>
    <row r="2259" spans="1:22" x14ac:dyDescent="0.3">
      <c r="A2259" s="1">
        <f t="shared" si="3658"/>
        <v>52214</v>
      </c>
      <c r="B2259" s="2" t="s">
        <v>21</v>
      </c>
      <c r="C2259" s="2" t="s">
        <v>22</v>
      </c>
      <c r="D2259" s="2" t="s">
        <v>23</v>
      </c>
      <c r="E2259" s="2"/>
      <c r="F2259" s="2" t="s">
        <v>28</v>
      </c>
      <c r="G2259" s="2" t="s">
        <v>21</v>
      </c>
      <c r="H2259" s="2" t="s">
        <v>22</v>
      </c>
      <c r="J2259" s="24" t="str">
        <f t="shared" ref="J2259" si="3704">CONCATENATE(K2257,2)</f>
        <v>42</v>
      </c>
      <c r="K2259" s="6" t="e">
        <v>#VALUE!</v>
      </c>
      <c r="L2259" s="6" t="e">
        <v>#VALUE!</v>
      </c>
      <c r="M2259" s="6" t="e">
        <v>#VALUE!</v>
      </c>
      <c r="Q2259" s="9"/>
      <c r="R2259" s="9"/>
      <c r="S2259" s="9"/>
      <c r="T2259" s="9"/>
      <c r="U2259" s="1">
        <f t="shared" si="3577"/>
        <v>52</v>
      </c>
      <c r="V2259" s="1">
        <f t="shared" si="3578"/>
        <v>214</v>
      </c>
    </row>
    <row r="2260" spans="1:22" x14ac:dyDescent="0.3">
      <c r="A2260" s="1">
        <f t="shared" si="3658"/>
        <v>52215</v>
      </c>
      <c r="B2260" s="2" t="s">
        <v>24</v>
      </c>
      <c r="C2260" s="2" t="s">
        <v>25</v>
      </c>
      <c r="D2260" s="2" t="s">
        <v>26</v>
      </c>
      <c r="E2260" s="2" t="s">
        <v>27</v>
      </c>
      <c r="F2260" s="2" t="s">
        <v>29</v>
      </c>
      <c r="G2260" s="2" t="s">
        <v>24</v>
      </c>
      <c r="H2260" s="2" t="s">
        <v>25</v>
      </c>
      <c r="J2260" s="24" t="str">
        <f t="shared" ref="J2260" si="3705">CONCATENATE(K2257,3)</f>
        <v>43</v>
      </c>
      <c r="K2260" s="6" t="e">
        <v>#VALUE!</v>
      </c>
      <c r="L2260" s="6" t="e">
        <v>#VALUE!</v>
      </c>
      <c r="M2260" s="6" t="e">
        <v>#VALUE!</v>
      </c>
      <c r="Q2260" s="9"/>
      <c r="R2260" s="9"/>
      <c r="S2260" s="9"/>
      <c r="T2260" s="9"/>
      <c r="U2260" s="1">
        <f t="shared" si="3577"/>
        <v>52</v>
      </c>
      <c r="V2260" s="1">
        <f t="shared" si="3578"/>
        <v>215</v>
      </c>
    </row>
    <row r="2261" spans="1:22" x14ac:dyDescent="0.3">
      <c r="A2261" s="1">
        <f t="shared" si="3658"/>
        <v>52216</v>
      </c>
      <c r="B2261" s="3" t="str">
        <f t="shared" ref="B2261" si="3706">H2254</f>
        <v>%ur</v>
      </c>
      <c r="C2261" s="3" t="str">
        <f t="shared" ref="C2261" si="3707">B2261</f>
        <v>%ur</v>
      </c>
      <c r="D2261" s="3" t="str">
        <f t="shared" ref="D2261" si="3708">C2261</f>
        <v>%ur</v>
      </c>
      <c r="E2261" s="3"/>
      <c r="F2261" s="3"/>
      <c r="G2261" s="3" t="str">
        <f t="shared" ref="G2261" si="3709">D2261</f>
        <v>%ur</v>
      </c>
      <c r="H2261" s="3" t="str">
        <f t="shared" ref="H2261" si="3710">G2261</f>
        <v>%ur</v>
      </c>
      <c r="K2261" s="1">
        <v>5</v>
      </c>
      <c r="L2261" s="1">
        <v>5</v>
      </c>
      <c r="M2261" s="1">
        <v>5</v>
      </c>
      <c r="N2261" s="1">
        <v>5</v>
      </c>
      <c r="Q2261" s="9"/>
      <c r="R2261" s="9"/>
      <c r="S2261" s="9"/>
      <c r="T2261" s="9"/>
      <c r="U2261" s="1">
        <f t="shared" si="3577"/>
        <v>52</v>
      </c>
      <c r="V2261" s="1">
        <f t="shared" si="3578"/>
        <v>216</v>
      </c>
    </row>
    <row r="2262" spans="1:22" x14ac:dyDescent="0.3">
      <c r="A2262" s="1">
        <f t="shared" si="3658"/>
        <v>52217</v>
      </c>
      <c r="B2262" s="65">
        <v>20</v>
      </c>
      <c r="C2262" s="65">
        <v>20.3</v>
      </c>
      <c r="D2262" s="65">
        <v>0.4</v>
      </c>
      <c r="E2262" s="4">
        <v>2.0099999999999998</v>
      </c>
      <c r="F2262" s="14">
        <v>269</v>
      </c>
      <c r="G2262" s="66">
        <v>20</v>
      </c>
      <c r="H2262" s="66">
        <v>20.100000000000001</v>
      </c>
      <c r="J2262" s="24" t="str">
        <f t="shared" ref="J2262" si="3711">CONCATENATE(K2261,1)</f>
        <v>51</v>
      </c>
      <c r="K2262" s="6" t="e">
        <f t="array" ref="K2262:N2264">LINEST(B2262:B2266,C2262:C2266^{1,2,3},TRUE,TRUE)</f>
        <v>#VALUE!</v>
      </c>
      <c r="L2262" s="6" t="e">
        <v>#VALUE!</v>
      </c>
      <c r="M2262" s="6" t="e">
        <v>#VALUE!</v>
      </c>
      <c r="N2262" s="6" t="e">
        <v>#VALUE!</v>
      </c>
      <c r="Q2262" s="9"/>
      <c r="R2262" s="9"/>
      <c r="S2262" s="9"/>
      <c r="T2262" s="9"/>
      <c r="U2262" s="1">
        <f t="shared" si="3577"/>
        <v>52</v>
      </c>
      <c r="V2262" s="1">
        <f t="shared" si="3578"/>
        <v>217</v>
      </c>
    </row>
    <row r="2263" spans="1:22" x14ac:dyDescent="0.3">
      <c r="A2263" s="1">
        <f t="shared" si="3658"/>
        <v>52218</v>
      </c>
      <c r="B2263" s="65">
        <v>50</v>
      </c>
      <c r="C2263" s="65">
        <v>50.4</v>
      </c>
      <c r="D2263" s="65">
        <v>0.6</v>
      </c>
      <c r="E2263" s="4">
        <v>2.02</v>
      </c>
      <c r="F2263" s="14">
        <v>124</v>
      </c>
      <c r="G2263" s="66">
        <v>50</v>
      </c>
      <c r="H2263" s="66">
        <v>50.5</v>
      </c>
      <c r="J2263" s="24" t="str">
        <f t="shared" ref="J2263" si="3712">CONCATENATE(K2261,2)</f>
        <v>52</v>
      </c>
      <c r="K2263" s="6" t="e">
        <v>#VALUE!</v>
      </c>
      <c r="L2263" s="6" t="e">
        <v>#VALUE!</v>
      </c>
      <c r="M2263" s="6" t="e">
        <v>#VALUE!</v>
      </c>
      <c r="N2263" s="6" t="e">
        <v>#VALUE!</v>
      </c>
      <c r="T2263" s="9"/>
      <c r="U2263" s="1">
        <f t="shared" si="3577"/>
        <v>52</v>
      </c>
      <c r="V2263" s="1">
        <f t="shared" si="3578"/>
        <v>218</v>
      </c>
    </row>
    <row r="2264" spans="1:22" x14ac:dyDescent="0.3">
      <c r="A2264" s="1">
        <f t="shared" si="3658"/>
        <v>52219</v>
      </c>
      <c r="B2264" s="65">
        <v>80</v>
      </c>
      <c r="C2264" s="65">
        <v>80.7</v>
      </c>
      <c r="D2264" s="65">
        <v>0.9</v>
      </c>
      <c r="E2264" s="4">
        <v>2.02</v>
      </c>
      <c r="F2264" s="14">
        <v>104</v>
      </c>
      <c r="G2264" s="66">
        <v>80</v>
      </c>
      <c r="H2264" s="66">
        <v>80.900000000000006</v>
      </c>
      <c r="J2264" s="24" t="str">
        <f t="shared" ref="J2264" si="3713">CONCATENATE(K2261,3)</f>
        <v>53</v>
      </c>
      <c r="K2264" s="6" t="e">
        <v>#VALUE!</v>
      </c>
      <c r="L2264" s="6" t="e">
        <v>#VALUE!</v>
      </c>
      <c r="M2264" s="6" t="e">
        <v>#VALUE!</v>
      </c>
      <c r="N2264" s="6" t="e">
        <v>#VALUE!</v>
      </c>
      <c r="T2264" s="9"/>
      <c r="U2264" s="1">
        <f t="shared" si="3577"/>
        <v>52</v>
      </c>
      <c r="V2264" s="1">
        <f t="shared" si="3578"/>
        <v>219</v>
      </c>
    </row>
    <row r="2265" spans="1:22" x14ac:dyDescent="0.3">
      <c r="A2265" s="1">
        <f t="shared" si="3658"/>
        <v>52220</v>
      </c>
      <c r="B2265" s="4"/>
      <c r="C2265" s="4"/>
      <c r="D2265" s="4"/>
      <c r="E2265" s="4"/>
      <c r="F2265" s="14"/>
      <c r="G2265" s="8"/>
      <c r="H2265" s="7"/>
      <c r="K2265" s="1">
        <v>6</v>
      </c>
      <c r="L2265" s="1">
        <v>6</v>
      </c>
      <c r="M2265" s="1">
        <v>6</v>
      </c>
      <c r="N2265" s="1">
        <v>6</v>
      </c>
      <c r="O2265" s="1">
        <v>6</v>
      </c>
      <c r="T2265" s="9"/>
      <c r="U2265" s="1">
        <f t="shared" si="3577"/>
        <v>52</v>
      </c>
      <c r="V2265" s="1">
        <f t="shared" si="3578"/>
        <v>220</v>
      </c>
    </row>
    <row r="2266" spans="1:22" x14ac:dyDescent="0.3">
      <c r="A2266" s="1">
        <f t="shared" si="3658"/>
        <v>52221</v>
      </c>
      <c r="B2266" s="4"/>
      <c r="C2266" s="4"/>
      <c r="D2266" s="4"/>
      <c r="E2266" s="4"/>
      <c r="F2266" s="14"/>
      <c r="G2266" s="8"/>
      <c r="H2266" s="7"/>
      <c r="J2266" s="24" t="str">
        <f t="shared" ref="J2266" si="3714">CONCATENATE(K2265,1)</f>
        <v>61</v>
      </c>
      <c r="K2266" s="6" t="e">
        <f t="array" ref="K2266:O2268">LINEST(B2262:B2267,C2262:C2267^{1,2,3,4},TRUE,TRUE)</f>
        <v>#VALUE!</v>
      </c>
      <c r="L2266" s="6" t="e">
        <v>#VALUE!</v>
      </c>
      <c r="M2266" s="6" t="e">
        <v>#VALUE!</v>
      </c>
      <c r="N2266" s="6" t="e">
        <v>#VALUE!</v>
      </c>
      <c r="O2266" s="6" t="e">
        <v>#VALUE!</v>
      </c>
      <c r="T2266" s="9"/>
      <c r="U2266" s="1">
        <f t="shared" si="3577"/>
        <v>52</v>
      </c>
      <c r="V2266" s="1">
        <f t="shared" si="3578"/>
        <v>221</v>
      </c>
    </row>
    <row r="2267" spans="1:22" x14ac:dyDescent="0.3">
      <c r="A2267" s="1">
        <f t="shared" si="3658"/>
        <v>52222</v>
      </c>
      <c r="B2267" s="4"/>
      <c r="C2267" s="4"/>
      <c r="D2267" s="4"/>
      <c r="E2267" s="4"/>
      <c r="F2267" s="14"/>
      <c r="G2267" s="8"/>
      <c r="H2267" s="7"/>
      <c r="J2267" s="24" t="str">
        <f t="shared" ref="J2267" si="3715">CONCATENATE(K2265,2)</f>
        <v>62</v>
      </c>
      <c r="K2267" s="6" t="e">
        <v>#VALUE!</v>
      </c>
      <c r="L2267" s="6" t="e">
        <v>#VALUE!</v>
      </c>
      <c r="M2267" s="6" t="e">
        <v>#VALUE!</v>
      </c>
      <c r="N2267" s="6" t="e">
        <v>#VALUE!</v>
      </c>
      <c r="O2267" s="6" t="e">
        <v>#VALUE!</v>
      </c>
      <c r="T2267" s="9"/>
      <c r="U2267" s="1">
        <f t="shared" ref="U2267:U2330" si="3716">U2266</f>
        <v>52</v>
      </c>
      <c r="V2267" s="1">
        <f t="shared" ref="V2267:V2330" si="3717">V2266+1</f>
        <v>222</v>
      </c>
    </row>
    <row r="2268" spans="1:22" x14ac:dyDescent="0.3">
      <c r="A2268" s="1">
        <f t="shared" si="3658"/>
        <v>52223</v>
      </c>
      <c r="B2268" s="4"/>
      <c r="C2268" s="4"/>
      <c r="D2268" s="4"/>
      <c r="E2268" s="4"/>
      <c r="F2268" s="14"/>
      <c r="G2268" s="8"/>
      <c r="H2268" s="7"/>
      <c r="J2268" s="24" t="str">
        <f t="shared" ref="J2268" si="3718">CONCATENATE(K2265,3)</f>
        <v>63</v>
      </c>
      <c r="K2268" s="6" t="e">
        <v>#VALUE!</v>
      </c>
      <c r="L2268" s="6" t="e">
        <v>#VALUE!</v>
      </c>
      <c r="M2268" s="6" t="e">
        <v>#VALUE!</v>
      </c>
      <c r="N2268" s="6" t="e">
        <v>#VALUE!</v>
      </c>
      <c r="O2268" s="6" t="e">
        <v>#VALUE!</v>
      </c>
      <c r="T2268" s="9"/>
      <c r="U2268" s="1">
        <f t="shared" si="3716"/>
        <v>52</v>
      </c>
      <c r="V2268" s="1">
        <f t="shared" si="3717"/>
        <v>223</v>
      </c>
    </row>
    <row r="2269" spans="1:22" x14ac:dyDescent="0.3">
      <c r="A2269" s="1">
        <f t="shared" si="3658"/>
        <v>52224</v>
      </c>
      <c r="B2269" s="4"/>
      <c r="C2269" s="4"/>
      <c r="D2269" s="4"/>
      <c r="E2269" s="4"/>
      <c r="F2269" s="14"/>
      <c r="G2269" s="8"/>
      <c r="H2269" s="7"/>
      <c r="K2269" s="1">
        <v>7</v>
      </c>
      <c r="L2269" s="1">
        <v>7</v>
      </c>
      <c r="M2269" s="1">
        <v>7</v>
      </c>
      <c r="N2269" s="1">
        <v>7</v>
      </c>
      <c r="O2269" s="1">
        <v>7</v>
      </c>
      <c r="P2269" s="1">
        <v>7</v>
      </c>
      <c r="T2269" s="9"/>
      <c r="U2269" s="1">
        <f t="shared" si="3716"/>
        <v>52</v>
      </c>
      <c r="V2269" s="1">
        <f t="shared" si="3717"/>
        <v>224</v>
      </c>
    </row>
    <row r="2270" spans="1:22" x14ac:dyDescent="0.3">
      <c r="A2270" s="1">
        <f t="shared" si="3658"/>
        <v>52225</v>
      </c>
      <c r="B2270" s="4"/>
      <c r="C2270" s="4"/>
      <c r="D2270" s="4"/>
      <c r="E2270" s="4"/>
      <c r="F2270" s="14"/>
      <c r="G2270" s="8"/>
      <c r="H2270" s="7"/>
      <c r="J2270" s="24" t="str">
        <f t="shared" ref="J2270" si="3719">CONCATENATE(K2269,1)</f>
        <v>71</v>
      </c>
      <c r="K2270" s="6" t="e">
        <f t="array" ref="K2270:P2272">LINEST(B2262:B2268,C2262:C2268^{1,2,3,4,5},TRUE,TRUE)</f>
        <v>#VALUE!</v>
      </c>
      <c r="L2270" s="6" t="e">
        <v>#VALUE!</v>
      </c>
      <c r="M2270" s="6" t="e">
        <v>#VALUE!</v>
      </c>
      <c r="N2270" s="6" t="e">
        <v>#VALUE!</v>
      </c>
      <c r="O2270" s="6" t="e">
        <v>#VALUE!</v>
      </c>
      <c r="P2270" s="6" t="e">
        <v>#VALUE!</v>
      </c>
      <c r="T2270" s="9"/>
      <c r="U2270" s="1">
        <f t="shared" si="3716"/>
        <v>52</v>
      </c>
      <c r="V2270" s="1">
        <f t="shared" si="3717"/>
        <v>225</v>
      </c>
    </row>
    <row r="2271" spans="1:22" x14ac:dyDescent="0.3">
      <c r="A2271" s="1">
        <f t="shared" si="3658"/>
        <v>52226</v>
      </c>
      <c r="B2271" s="4"/>
      <c r="C2271" s="4"/>
      <c r="D2271" s="4"/>
      <c r="E2271" s="4"/>
      <c r="F2271" s="14"/>
      <c r="G2271" s="8"/>
      <c r="H2271" s="7"/>
      <c r="J2271" s="24" t="str">
        <f t="shared" ref="J2271" si="3720">CONCATENATE(K2269,2)</f>
        <v>72</v>
      </c>
      <c r="K2271" s="6" t="e">
        <v>#VALUE!</v>
      </c>
      <c r="L2271" s="6" t="e">
        <v>#VALUE!</v>
      </c>
      <c r="M2271" s="6" t="e">
        <v>#VALUE!</v>
      </c>
      <c r="N2271" s="6" t="e">
        <v>#VALUE!</v>
      </c>
      <c r="O2271" s="6" t="e">
        <v>#VALUE!</v>
      </c>
      <c r="P2271" s="6" t="e">
        <v>#VALUE!</v>
      </c>
      <c r="T2271" s="9"/>
      <c r="U2271" s="1">
        <f t="shared" si="3716"/>
        <v>52</v>
      </c>
      <c r="V2271" s="1">
        <f t="shared" si="3717"/>
        <v>226</v>
      </c>
    </row>
    <row r="2272" spans="1:22" x14ac:dyDescent="0.3">
      <c r="A2272" s="1">
        <f t="shared" si="3658"/>
        <v>52227</v>
      </c>
      <c r="B2272" s="9"/>
      <c r="C2272" s="9"/>
      <c r="D2272" s="9"/>
      <c r="E2272" s="9"/>
      <c r="F2272" s="9"/>
      <c r="G2272" s="9"/>
      <c r="H2272" s="9"/>
      <c r="J2272" s="24" t="str">
        <f t="shared" ref="J2272" si="3721">CONCATENATE(K2269,3)</f>
        <v>73</v>
      </c>
      <c r="K2272" s="6" t="e">
        <v>#VALUE!</v>
      </c>
      <c r="L2272" s="6" t="e">
        <v>#VALUE!</v>
      </c>
      <c r="M2272" s="6" t="e">
        <v>#VALUE!</v>
      </c>
      <c r="N2272" s="6" t="e">
        <v>#VALUE!</v>
      </c>
      <c r="O2272" s="6" t="e">
        <v>#VALUE!</v>
      </c>
      <c r="P2272" s="6" t="e">
        <v>#VALUE!</v>
      </c>
      <c r="T2272" s="9"/>
      <c r="U2272" s="1">
        <f t="shared" si="3716"/>
        <v>52</v>
      </c>
      <c r="V2272" s="1">
        <f t="shared" si="3717"/>
        <v>227</v>
      </c>
    </row>
    <row r="2273" spans="1:22" x14ac:dyDescent="0.3">
      <c r="A2273" s="1">
        <f t="shared" si="3658"/>
        <v>52228</v>
      </c>
      <c r="B2273" s="87" t="s">
        <v>33</v>
      </c>
      <c r="C2273" s="88"/>
      <c r="D2273" s="88"/>
      <c r="E2273" s="88"/>
      <c r="F2273" s="88"/>
      <c r="G2273" s="88"/>
      <c r="H2273" s="89"/>
      <c r="K2273" s="1">
        <v>8</v>
      </c>
      <c r="L2273" s="1">
        <v>8</v>
      </c>
      <c r="M2273" s="1">
        <v>8</v>
      </c>
      <c r="N2273" s="1">
        <v>8</v>
      </c>
      <c r="O2273" s="1">
        <v>8</v>
      </c>
      <c r="P2273" s="1">
        <v>8</v>
      </c>
      <c r="Q2273" s="1">
        <v>8</v>
      </c>
      <c r="T2273" s="9"/>
      <c r="U2273" s="1">
        <f t="shared" si="3716"/>
        <v>52</v>
      </c>
      <c r="V2273" s="1">
        <f t="shared" si="3717"/>
        <v>228</v>
      </c>
    </row>
    <row r="2274" spans="1:22" x14ac:dyDescent="0.3">
      <c r="A2274" s="1">
        <f t="shared" si="3658"/>
        <v>52229</v>
      </c>
      <c r="B2274" s="90"/>
      <c r="C2274" s="91"/>
      <c r="D2274" s="91"/>
      <c r="E2274" s="91"/>
      <c r="F2274" s="91"/>
      <c r="G2274" s="91"/>
      <c r="H2274" s="92"/>
      <c r="J2274" s="24" t="str">
        <f t="shared" ref="J2274" si="3722">CONCATENATE(K2273,1)</f>
        <v>81</v>
      </c>
      <c r="K2274" s="6" t="e">
        <f t="array" ref="K2274:Q2276">LINEST(B2262:B2269,C2262:C2269^{1,2,3,4,5,6},TRUE,TRUE)</f>
        <v>#VALUE!</v>
      </c>
      <c r="L2274" s="6" t="e">
        <v>#VALUE!</v>
      </c>
      <c r="M2274" s="6" t="e">
        <v>#VALUE!</v>
      </c>
      <c r="N2274" s="6" t="e">
        <v>#VALUE!</v>
      </c>
      <c r="O2274" s="6" t="e">
        <v>#VALUE!</v>
      </c>
      <c r="P2274" s="6" t="e">
        <v>#VALUE!</v>
      </c>
      <c r="Q2274" s="6" t="e">
        <v>#VALUE!</v>
      </c>
      <c r="T2274" s="9"/>
      <c r="U2274" s="1">
        <f t="shared" si="3716"/>
        <v>52</v>
      </c>
      <c r="V2274" s="1">
        <f t="shared" si="3717"/>
        <v>229</v>
      </c>
    </row>
    <row r="2275" spans="1:22" x14ac:dyDescent="0.3">
      <c r="A2275" s="1">
        <f t="shared" si="3658"/>
        <v>52230</v>
      </c>
      <c r="B2275" s="93"/>
      <c r="C2275" s="94"/>
      <c r="D2275" s="94"/>
      <c r="E2275" s="94"/>
      <c r="F2275" s="94"/>
      <c r="G2275" s="94"/>
      <c r="H2275" s="95"/>
      <c r="J2275" s="24" t="str">
        <f t="shared" ref="J2275" si="3723">CONCATENATE(K2273,2)</f>
        <v>82</v>
      </c>
      <c r="K2275" s="6" t="e">
        <v>#VALUE!</v>
      </c>
      <c r="L2275" s="6" t="e">
        <v>#VALUE!</v>
      </c>
      <c r="M2275" s="6" t="e">
        <v>#VALUE!</v>
      </c>
      <c r="N2275" s="6" t="e">
        <v>#VALUE!</v>
      </c>
      <c r="O2275" s="6" t="e">
        <v>#VALUE!</v>
      </c>
      <c r="P2275" s="6" t="e">
        <v>#VALUE!</v>
      </c>
      <c r="Q2275" s="6" t="e">
        <v>#VALUE!</v>
      </c>
      <c r="T2275" s="9"/>
      <c r="U2275" s="1">
        <f t="shared" si="3716"/>
        <v>52</v>
      </c>
      <c r="V2275" s="1">
        <f t="shared" si="3717"/>
        <v>230</v>
      </c>
    </row>
    <row r="2276" spans="1:22" x14ac:dyDescent="0.3">
      <c r="A2276" s="1">
        <f t="shared" si="3658"/>
        <v>52231</v>
      </c>
      <c r="J2276" s="24" t="str">
        <f t="shared" ref="J2276" si="3724">CONCATENATE(K2273,3)</f>
        <v>83</v>
      </c>
      <c r="K2276" s="6" t="e">
        <v>#VALUE!</v>
      </c>
      <c r="L2276" s="6" t="e">
        <v>#VALUE!</v>
      </c>
      <c r="M2276" s="6" t="e">
        <v>#VALUE!</v>
      </c>
      <c r="N2276" s="6" t="e">
        <v>#VALUE!</v>
      </c>
      <c r="O2276" s="6" t="e">
        <v>#VALUE!</v>
      </c>
      <c r="P2276" s="6" t="e">
        <v>#VALUE!</v>
      </c>
      <c r="Q2276" s="6" t="e">
        <v>#VALUE!</v>
      </c>
      <c r="T2276" s="9"/>
      <c r="U2276" s="1">
        <f t="shared" si="3716"/>
        <v>52</v>
      </c>
      <c r="V2276" s="1">
        <f t="shared" si="3717"/>
        <v>231</v>
      </c>
    </row>
    <row r="2277" spans="1:22" ht="15" customHeight="1" x14ac:dyDescent="0.3">
      <c r="A2277" s="1">
        <f t="shared" si="3658"/>
        <v>52232</v>
      </c>
      <c r="B2277" s="10" t="s">
        <v>34</v>
      </c>
      <c r="C2277" s="10" t="s">
        <v>35</v>
      </c>
      <c r="D2277" s="10" t="s">
        <v>36</v>
      </c>
      <c r="E2277" s="74" t="s">
        <v>37</v>
      </c>
      <c r="F2277" s="75"/>
      <c r="G2277" s="76"/>
      <c r="K2277" s="1">
        <v>9</v>
      </c>
      <c r="L2277" s="1">
        <v>9</v>
      </c>
      <c r="M2277" s="1">
        <v>9</v>
      </c>
      <c r="N2277" s="1">
        <v>9</v>
      </c>
      <c r="O2277" s="1">
        <v>9</v>
      </c>
      <c r="P2277" s="1">
        <v>9</v>
      </c>
      <c r="Q2277" s="1">
        <v>9</v>
      </c>
      <c r="R2277" s="1">
        <v>9</v>
      </c>
      <c r="T2277" s="9"/>
      <c r="U2277" s="1">
        <f t="shared" si="3716"/>
        <v>52</v>
      </c>
      <c r="V2277" s="1">
        <f t="shared" si="3717"/>
        <v>232</v>
      </c>
    </row>
    <row r="2278" spans="1:22" x14ac:dyDescent="0.3">
      <c r="A2278" s="1">
        <f t="shared" si="3658"/>
        <v>52233</v>
      </c>
      <c r="B2278" s="12">
        <f t="shared" ref="B2278:B2287" si="3725">C2262-B2262</f>
        <v>0.30000000000000071</v>
      </c>
      <c r="C2278" s="13">
        <f t="shared" ref="C2278:C2287" si="3726">H2262-G2262</f>
        <v>0.10000000000000142</v>
      </c>
      <c r="D2278" s="10">
        <f t="shared" ref="D2278:D2287" si="3727">C2278-B2278</f>
        <v>-0.19999999999999929</v>
      </c>
      <c r="E2278" s="11">
        <f t="shared" ref="E2278" si="3728">IF(D2253="","",MAX(F2278,G2278))</f>
        <v>0.20000000000000284</v>
      </c>
      <c r="F2278" s="10">
        <f t="shared" ref="F2278" si="3729">ABS(MIN(D2278:D2287))</f>
        <v>0.19999999999999929</v>
      </c>
      <c r="G2278" s="10">
        <f t="shared" ref="G2278" si="3730">ABS(MAX(D2278:D2287))</f>
        <v>0.20000000000000284</v>
      </c>
      <c r="J2278" s="24" t="str">
        <f t="shared" ref="J2278" si="3731">CONCATENATE(K2277,1)</f>
        <v>91</v>
      </c>
      <c r="K2278" s="6" t="e">
        <f t="array" ref="K2278:R2280">LINEST(B2262:B2270,C2262:C2270^{1,2,3,4,5,6,7},TRUE,TRUE)</f>
        <v>#VALUE!</v>
      </c>
      <c r="L2278" s="6" t="e">
        <v>#VALUE!</v>
      </c>
      <c r="M2278" s="6" t="e">
        <v>#VALUE!</v>
      </c>
      <c r="N2278" s="6" t="e">
        <v>#VALUE!</v>
      </c>
      <c r="O2278" s="6" t="e">
        <v>#VALUE!</v>
      </c>
      <c r="P2278" s="6" t="e">
        <v>#VALUE!</v>
      </c>
      <c r="Q2278" s="6" t="e">
        <v>#VALUE!</v>
      </c>
      <c r="R2278" s="6" t="e">
        <v>#VALUE!</v>
      </c>
      <c r="T2278" s="9"/>
      <c r="U2278" s="1">
        <f t="shared" si="3716"/>
        <v>52</v>
      </c>
      <c r="V2278" s="1">
        <f t="shared" si="3717"/>
        <v>233</v>
      </c>
    </row>
    <row r="2279" spans="1:22" x14ac:dyDescent="0.3">
      <c r="A2279" s="1">
        <f t="shared" si="3658"/>
        <v>52234</v>
      </c>
      <c r="B2279" s="12">
        <f t="shared" si="3725"/>
        <v>0.39999999999999858</v>
      </c>
      <c r="C2279" s="13">
        <f t="shared" si="3726"/>
        <v>0.5</v>
      </c>
      <c r="D2279" s="10">
        <f t="shared" si="3727"/>
        <v>0.10000000000000142</v>
      </c>
      <c r="E2279" s="74" t="s">
        <v>38</v>
      </c>
      <c r="F2279" s="75"/>
      <c r="G2279" s="76"/>
      <c r="J2279" s="24" t="str">
        <f t="shared" ref="J2279" si="3732">CONCATENATE(K2277,2)</f>
        <v>92</v>
      </c>
      <c r="K2279" s="6" t="e">
        <v>#VALUE!</v>
      </c>
      <c r="L2279" s="6" t="e">
        <v>#VALUE!</v>
      </c>
      <c r="M2279" s="6" t="e">
        <v>#VALUE!</v>
      </c>
      <c r="N2279" s="6" t="e">
        <v>#VALUE!</v>
      </c>
      <c r="O2279" s="6" t="e">
        <v>#VALUE!</v>
      </c>
      <c r="P2279" s="6" t="e">
        <v>#VALUE!</v>
      </c>
      <c r="Q2279" s="6" t="e">
        <v>#VALUE!</v>
      </c>
      <c r="R2279" s="6" t="e">
        <v>#VALUE!</v>
      </c>
      <c r="T2279" s="9"/>
      <c r="U2279" s="1">
        <f t="shared" si="3716"/>
        <v>52</v>
      </c>
      <c r="V2279" s="1">
        <f t="shared" si="3717"/>
        <v>234</v>
      </c>
    </row>
    <row r="2280" spans="1:22" x14ac:dyDescent="0.3">
      <c r="A2280" s="1">
        <f t="shared" si="3658"/>
        <v>52235</v>
      </c>
      <c r="B2280" s="12">
        <f t="shared" si="3725"/>
        <v>0.70000000000000284</v>
      </c>
      <c r="C2280" s="13">
        <f t="shared" si="3726"/>
        <v>0.90000000000000568</v>
      </c>
      <c r="D2280" s="10">
        <f t="shared" si="3727"/>
        <v>0.20000000000000284</v>
      </c>
      <c r="E2280" s="11">
        <f t="shared" ref="E2280" si="3733">IF(D2253="","",MAX(F2280,G2280))</f>
        <v>0.70000000000000284</v>
      </c>
      <c r="F2280" s="10">
        <f t="shared" ref="F2280" si="3734">ABS(MIN(B2278:B2287))</f>
        <v>0</v>
      </c>
      <c r="G2280" s="10">
        <f t="shared" ref="G2280" si="3735">ABS(MAX(B2278:B2287))</f>
        <v>0.70000000000000284</v>
      </c>
      <c r="J2280" s="24" t="str">
        <f t="shared" ref="J2280" si="3736">CONCATENATE(K2277,3)</f>
        <v>93</v>
      </c>
      <c r="K2280" s="6" t="e">
        <v>#VALUE!</v>
      </c>
      <c r="L2280" s="6" t="e">
        <v>#VALUE!</v>
      </c>
      <c r="M2280" s="6" t="e">
        <v>#VALUE!</v>
      </c>
      <c r="N2280" s="6" t="e">
        <v>#VALUE!</v>
      </c>
      <c r="O2280" s="6" t="e">
        <v>#VALUE!</v>
      </c>
      <c r="P2280" s="6" t="e">
        <v>#VALUE!</v>
      </c>
      <c r="Q2280" s="6" t="e">
        <v>#VALUE!</v>
      </c>
      <c r="R2280" s="6" t="e">
        <v>#VALUE!</v>
      </c>
      <c r="T2280" s="9"/>
      <c r="U2280" s="1">
        <f t="shared" si="3716"/>
        <v>52</v>
      </c>
      <c r="V2280" s="1">
        <f t="shared" si="3717"/>
        <v>235</v>
      </c>
    </row>
    <row r="2281" spans="1:22" x14ac:dyDescent="0.3">
      <c r="A2281" s="1">
        <f t="shared" si="3658"/>
        <v>52236</v>
      </c>
      <c r="B2281" s="12">
        <f t="shared" si="3725"/>
        <v>0</v>
      </c>
      <c r="C2281" s="13">
        <f t="shared" si="3726"/>
        <v>0</v>
      </c>
      <c r="D2281" s="10">
        <f t="shared" si="3727"/>
        <v>0</v>
      </c>
      <c r="E2281" s="74" t="s">
        <v>39</v>
      </c>
      <c r="F2281" s="75"/>
      <c r="G2281" s="76"/>
      <c r="K2281" s="1">
        <v>10</v>
      </c>
      <c r="L2281" s="1">
        <v>10</v>
      </c>
      <c r="M2281" s="1">
        <v>10</v>
      </c>
      <c r="N2281" s="1">
        <v>10</v>
      </c>
      <c r="O2281" s="1">
        <v>10</v>
      </c>
      <c r="P2281" s="1">
        <v>10</v>
      </c>
      <c r="Q2281" s="1">
        <v>10</v>
      </c>
      <c r="R2281" s="1">
        <v>10</v>
      </c>
      <c r="S2281" s="1">
        <v>10</v>
      </c>
      <c r="T2281" s="9"/>
      <c r="U2281" s="1">
        <f t="shared" si="3716"/>
        <v>52</v>
      </c>
      <c r="V2281" s="1">
        <f t="shared" si="3717"/>
        <v>236</v>
      </c>
    </row>
    <row r="2282" spans="1:22" x14ac:dyDescent="0.3">
      <c r="A2282" s="1">
        <f t="shared" si="3658"/>
        <v>52237</v>
      </c>
      <c r="B2282" s="12">
        <f t="shared" si="3725"/>
        <v>0</v>
      </c>
      <c r="C2282" s="13">
        <f t="shared" si="3726"/>
        <v>0</v>
      </c>
      <c r="D2282" s="10">
        <f t="shared" si="3727"/>
        <v>0</v>
      </c>
      <c r="E2282" s="11">
        <f t="shared" ref="E2282" si="3737">IF(D2253="","",MAX(F2282,G2282))</f>
        <v>0.9</v>
      </c>
      <c r="F2282" s="10">
        <f t="shared" ref="F2282" si="3738">ABS(MIN(D2262:D2271))</f>
        <v>0.4</v>
      </c>
      <c r="G2282" s="10">
        <f t="shared" ref="G2282" si="3739">ABS(MAX(D2262:D2271))</f>
        <v>0.9</v>
      </c>
      <c r="J2282" s="24" t="str">
        <f t="shared" ref="J2282" si="3740">CONCATENATE(K2281,1)</f>
        <v>101</v>
      </c>
      <c r="K2282" s="6" t="e">
        <f t="array" ref="K2282:S2284">LINEST(B2262:B2271,C2262:C2271^{1,2,3,4,5,6,7,8},TRUE,TRUE)</f>
        <v>#VALUE!</v>
      </c>
      <c r="L2282" s="6" t="e">
        <v>#VALUE!</v>
      </c>
      <c r="M2282" s="6" t="e">
        <v>#VALUE!</v>
      </c>
      <c r="N2282" s="6" t="e">
        <v>#VALUE!</v>
      </c>
      <c r="O2282" s="6" t="e">
        <v>#VALUE!</v>
      </c>
      <c r="P2282" s="6" t="e">
        <v>#VALUE!</v>
      </c>
      <c r="Q2282" s="6" t="e">
        <v>#VALUE!</v>
      </c>
      <c r="R2282" s="6" t="e">
        <v>#VALUE!</v>
      </c>
      <c r="S2282" s="6" t="e">
        <v>#VALUE!</v>
      </c>
      <c r="T2282" s="9"/>
      <c r="U2282" s="1">
        <f t="shared" si="3716"/>
        <v>52</v>
      </c>
      <c r="V2282" s="1">
        <f t="shared" si="3717"/>
        <v>237</v>
      </c>
    </row>
    <row r="2283" spans="1:22" x14ac:dyDescent="0.3">
      <c r="A2283" s="1">
        <f t="shared" si="3658"/>
        <v>52238</v>
      </c>
      <c r="B2283" s="12">
        <f t="shared" si="3725"/>
        <v>0</v>
      </c>
      <c r="C2283" s="13">
        <f t="shared" si="3726"/>
        <v>0</v>
      </c>
      <c r="D2283" s="10">
        <f t="shared" si="3727"/>
        <v>0</v>
      </c>
      <c r="J2283" s="24" t="str">
        <f t="shared" ref="J2283" si="3741">CONCATENATE(K2281,2)</f>
        <v>102</v>
      </c>
      <c r="K2283" s="6" t="e">
        <v>#VALUE!</v>
      </c>
      <c r="L2283" s="6" t="e">
        <v>#VALUE!</v>
      </c>
      <c r="M2283" s="6" t="e">
        <v>#VALUE!</v>
      </c>
      <c r="N2283" s="6" t="e">
        <v>#VALUE!</v>
      </c>
      <c r="O2283" s="6" t="e">
        <v>#VALUE!</v>
      </c>
      <c r="P2283" s="6" t="e">
        <v>#VALUE!</v>
      </c>
      <c r="Q2283" s="6" t="e">
        <v>#VALUE!</v>
      </c>
      <c r="R2283" s="6" t="e">
        <v>#VALUE!</v>
      </c>
      <c r="S2283" s="6" t="e">
        <v>#VALUE!</v>
      </c>
      <c r="T2283" s="9"/>
      <c r="U2283" s="1">
        <f t="shared" si="3716"/>
        <v>52</v>
      </c>
      <c r="V2283" s="1">
        <f t="shared" si="3717"/>
        <v>238</v>
      </c>
    </row>
    <row r="2284" spans="1:22" x14ac:dyDescent="0.3">
      <c r="A2284" s="1">
        <f t="shared" si="3658"/>
        <v>52239</v>
      </c>
      <c r="B2284" s="12">
        <f t="shared" si="3725"/>
        <v>0</v>
      </c>
      <c r="C2284" s="13">
        <f t="shared" si="3726"/>
        <v>0</v>
      </c>
      <c r="D2284" s="10">
        <f t="shared" si="3727"/>
        <v>0</v>
      </c>
      <c r="J2284" s="24" t="str">
        <f t="shared" ref="J2284" si="3742">CONCATENATE(K2281,3)</f>
        <v>103</v>
      </c>
      <c r="K2284" s="6" t="e">
        <v>#VALUE!</v>
      </c>
      <c r="L2284" s="6" t="e">
        <v>#VALUE!</v>
      </c>
      <c r="M2284" s="6" t="e">
        <v>#VALUE!</v>
      </c>
      <c r="N2284" s="6" t="e">
        <v>#VALUE!</v>
      </c>
      <c r="O2284" s="6" t="e">
        <v>#VALUE!</v>
      </c>
      <c r="P2284" s="6" t="e">
        <v>#VALUE!</v>
      </c>
      <c r="Q2284" s="6" t="e">
        <v>#VALUE!</v>
      </c>
      <c r="R2284" s="6" t="e">
        <v>#VALUE!</v>
      </c>
      <c r="S2284" s="6" t="e">
        <v>#VALUE!</v>
      </c>
      <c r="T2284" s="9"/>
      <c r="U2284" s="1">
        <f t="shared" si="3716"/>
        <v>52</v>
      </c>
      <c r="V2284" s="1">
        <f t="shared" si="3717"/>
        <v>239</v>
      </c>
    </row>
    <row r="2285" spans="1:22" x14ac:dyDescent="0.3">
      <c r="A2285" s="1">
        <f t="shared" si="3658"/>
        <v>52240</v>
      </c>
      <c r="B2285" s="12">
        <f t="shared" si="3725"/>
        <v>0</v>
      </c>
      <c r="C2285" s="13">
        <f t="shared" si="3726"/>
        <v>0</v>
      </c>
      <c r="D2285" s="10">
        <f t="shared" si="3727"/>
        <v>0</v>
      </c>
      <c r="J2285" s="9"/>
      <c r="K2285" s="9"/>
      <c r="L2285" s="9"/>
      <c r="M2285" s="9"/>
      <c r="N2285" s="9"/>
      <c r="O2285" s="9"/>
      <c r="P2285" s="9"/>
      <c r="Q2285" s="9"/>
      <c r="R2285" s="9"/>
      <c r="S2285" s="9"/>
      <c r="T2285" s="9"/>
      <c r="U2285" s="1">
        <f t="shared" si="3716"/>
        <v>52</v>
      </c>
      <c r="V2285" s="1">
        <f t="shared" si="3717"/>
        <v>240</v>
      </c>
    </row>
    <row r="2286" spans="1:22" x14ac:dyDescent="0.3">
      <c r="A2286" s="1">
        <f t="shared" si="3658"/>
        <v>52241</v>
      </c>
      <c r="B2286" s="12">
        <f t="shared" si="3725"/>
        <v>0</v>
      </c>
      <c r="C2286" s="13">
        <f t="shared" si="3726"/>
        <v>0</v>
      </c>
      <c r="D2286" s="10">
        <f t="shared" si="3727"/>
        <v>0</v>
      </c>
      <c r="J2286" s="9"/>
      <c r="K2286" s="9"/>
      <c r="L2286" s="9"/>
      <c r="M2286" s="9"/>
      <c r="N2286" s="9"/>
      <c r="O2286" s="9"/>
      <c r="P2286" s="9"/>
      <c r="Q2286" s="9"/>
      <c r="R2286" s="9"/>
      <c r="S2286" s="9"/>
      <c r="T2286" s="9"/>
      <c r="U2286" s="1">
        <f t="shared" si="3716"/>
        <v>52</v>
      </c>
      <c r="V2286" s="1">
        <f t="shared" si="3717"/>
        <v>241</v>
      </c>
    </row>
    <row r="2287" spans="1:22" x14ac:dyDescent="0.3">
      <c r="A2287" s="1">
        <f t="shared" si="3658"/>
        <v>52242</v>
      </c>
      <c r="B2287" s="12">
        <f t="shared" si="3725"/>
        <v>0</v>
      </c>
      <c r="C2287" s="13">
        <f t="shared" si="3726"/>
        <v>0</v>
      </c>
      <c r="D2287" s="10">
        <f t="shared" si="3727"/>
        <v>0</v>
      </c>
      <c r="J2287" s="9"/>
      <c r="K2287" s="9"/>
      <c r="L2287" s="9"/>
      <c r="M2287" s="9"/>
      <c r="N2287" s="9"/>
      <c r="O2287" s="9"/>
      <c r="P2287" s="9"/>
      <c r="Q2287" s="9"/>
      <c r="R2287" s="9"/>
      <c r="S2287" s="9"/>
      <c r="T2287" s="9"/>
      <c r="U2287" s="1">
        <f t="shared" si="3716"/>
        <v>52</v>
      </c>
      <c r="V2287" s="1">
        <f t="shared" si="3717"/>
        <v>242</v>
      </c>
    </row>
    <row r="2288" spans="1:22" x14ac:dyDescent="0.3">
      <c r="A2288" s="1">
        <f t="shared" si="3658"/>
        <v>52243</v>
      </c>
      <c r="J2288" s="9"/>
      <c r="K2288" s="9"/>
      <c r="L2288" s="9"/>
      <c r="M2288" s="9"/>
      <c r="N2288" s="9"/>
      <c r="O2288" s="9"/>
      <c r="P2288" s="9"/>
      <c r="Q2288" s="9"/>
      <c r="R2288" s="9"/>
      <c r="S2288" s="9"/>
      <c r="T2288" s="9"/>
      <c r="U2288" s="1">
        <f t="shared" si="3716"/>
        <v>52</v>
      </c>
      <c r="V2288" s="1">
        <f t="shared" si="3717"/>
        <v>243</v>
      </c>
    </row>
    <row r="2289" spans="1:22" s="5" customFormat="1" x14ac:dyDescent="0.3"/>
    <row r="2290" spans="1:22" x14ac:dyDescent="0.3">
      <c r="A2290" s="1">
        <f t="shared" ref="A2290:A2332" si="3743">ROUND(CONCATENATE(U2290,V2290),0)</f>
        <v>53201</v>
      </c>
      <c r="B2290" s="96" t="s">
        <v>0</v>
      </c>
      <c r="C2290" s="97"/>
      <c r="D2290" s="110" t="s">
        <v>46</v>
      </c>
      <c r="E2290" s="111"/>
      <c r="F2290" s="111"/>
      <c r="G2290" s="111"/>
      <c r="H2290" s="112"/>
      <c r="J2290" s="9"/>
      <c r="K2290" s="9"/>
      <c r="L2290" s="9"/>
      <c r="M2290" s="9"/>
      <c r="N2290" s="9"/>
      <c r="O2290" s="9"/>
      <c r="P2290" s="9"/>
      <c r="Q2290" s="9"/>
      <c r="R2290" s="9"/>
      <c r="S2290" s="9"/>
      <c r="T2290" s="9"/>
      <c r="U2290" s="1">
        <f t="shared" ref="U2290" si="3744">U2288+1</f>
        <v>53</v>
      </c>
      <c r="V2290" s="1">
        <v>201</v>
      </c>
    </row>
    <row r="2291" spans="1:22" x14ac:dyDescent="0.3">
      <c r="A2291" s="1">
        <f t="shared" si="3743"/>
        <v>53202</v>
      </c>
      <c r="B2291" s="96" t="s">
        <v>1</v>
      </c>
      <c r="C2291" s="97"/>
      <c r="D2291" s="15">
        <v>20</v>
      </c>
      <c r="E2291" s="16" t="s">
        <v>2</v>
      </c>
      <c r="F2291" s="107"/>
      <c r="G2291" s="108"/>
      <c r="H2291" s="109"/>
      <c r="J2291" s="9"/>
      <c r="K2291" s="9"/>
      <c r="L2291" s="9"/>
      <c r="M2291" s="9"/>
      <c r="N2291" s="9"/>
      <c r="O2291" s="9"/>
      <c r="P2291" s="9"/>
      <c r="Q2291" s="9"/>
      <c r="R2291" s="9"/>
      <c r="S2291" s="9"/>
      <c r="T2291" s="9"/>
      <c r="U2291" s="1">
        <f t="shared" ref="U2291" si="3745">U2290</f>
        <v>53</v>
      </c>
      <c r="V2291" s="1">
        <f t="shared" ref="V2291" si="3746">V2290+1</f>
        <v>202</v>
      </c>
    </row>
    <row r="2292" spans="1:22" x14ac:dyDescent="0.3">
      <c r="A2292" s="1">
        <f t="shared" si="3743"/>
        <v>53203</v>
      </c>
      <c r="B2292" s="96" t="s">
        <v>12</v>
      </c>
      <c r="C2292" s="97"/>
      <c r="D2292" s="141" t="s">
        <v>301</v>
      </c>
      <c r="E2292" s="141"/>
      <c r="F2292" s="141"/>
      <c r="G2292" s="141"/>
      <c r="H2292" s="141"/>
      <c r="K2292" s="1" t="s">
        <v>3</v>
      </c>
      <c r="L2292" s="1" t="s">
        <v>4</v>
      </c>
      <c r="M2292" s="1" t="s">
        <v>5</v>
      </c>
      <c r="N2292" s="1" t="s">
        <v>6</v>
      </c>
      <c r="O2292" s="1" t="s">
        <v>7</v>
      </c>
      <c r="P2292" s="1" t="s">
        <v>8</v>
      </c>
      <c r="Q2292" s="1" t="s">
        <v>9</v>
      </c>
      <c r="R2292" s="1" t="s">
        <v>10</v>
      </c>
      <c r="S2292" s="1" t="s">
        <v>11</v>
      </c>
      <c r="T2292" s="9"/>
      <c r="U2292" s="1">
        <f t="shared" si="3716"/>
        <v>53</v>
      </c>
      <c r="V2292" s="1">
        <f t="shared" si="3717"/>
        <v>203</v>
      </c>
    </row>
    <row r="2293" spans="1:22" x14ac:dyDescent="0.3">
      <c r="A2293" s="1">
        <f t="shared" si="3743"/>
        <v>53204</v>
      </c>
      <c r="B2293" s="96" t="s">
        <v>13</v>
      </c>
      <c r="C2293" s="97"/>
      <c r="D2293" s="141" t="s">
        <v>65</v>
      </c>
      <c r="E2293" s="141"/>
      <c r="F2293" s="141"/>
      <c r="G2293" s="141"/>
      <c r="H2293" s="141"/>
      <c r="J2293" s="1">
        <f t="shared" ref="J2293" si="3747">COUNTA(B2306:B2315)</f>
        <v>3</v>
      </c>
      <c r="K2293" s="1">
        <f t="shared" ref="K2293" si="3748">IF(L2293-1&lt;2,0,L2293-1)</f>
        <v>0</v>
      </c>
      <c r="L2293" s="1">
        <f t="shared" ref="L2293" si="3749">IF(M2293-1&lt;2,0,M2293-1)</f>
        <v>0</v>
      </c>
      <c r="M2293" s="1">
        <f t="shared" ref="M2293" si="3750">IF(N2293-1&lt;2,0,N2293-1)</f>
        <v>0</v>
      </c>
      <c r="N2293" s="1">
        <f t="shared" ref="N2293" si="3751">IF(O2293-1&lt;2,0,O2293-1)</f>
        <v>0</v>
      </c>
      <c r="O2293" s="1">
        <f t="shared" ref="O2293" si="3752">IF(P2293-1&lt;2,0,P2293-1)</f>
        <v>0</v>
      </c>
      <c r="P2293" s="1">
        <f t="shared" ref="P2293" si="3753">IF(Q2293-1&lt;2,0,Q2293-1)</f>
        <v>0</v>
      </c>
      <c r="Q2293" s="1">
        <f t="shared" ref="Q2293" si="3754">IF(R2293-1&lt;2,0,R2293-1)</f>
        <v>0</v>
      </c>
      <c r="R2293" s="1">
        <f t="shared" ref="R2293" si="3755">IF(S2293-1&lt;2,0,S2293-1)</f>
        <v>2</v>
      </c>
      <c r="S2293" s="1">
        <f t="shared" ref="S2293" si="3756">J2293</f>
        <v>3</v>
      </c>
      <c r="T2293" s="9"/>
      <c r="U2293" s="1">
        <f t="shared" si="3716"/>
        <v>53</v>
      </c>
      <c r="V2293" s="1">
        <f t="shared" si="3717"/>
        <v>204</v>
      </c>
    </row>
    <row r="2294" spans="1:22" x14ac:dyDescent="0.3">
      <c r="A2294" s="1">
        <f t="shared" si="3743"/>
        <v>53205</v>
      </c>
      <c r="B2294" s="96" t="s">
        <v>14</v>
      </c>
      <c r="C2294" s="97"/>
      <c r="D2294" s="141" t="s">
        <v>66</v>
      </c>
      <c r="E2294" s="141"/>
      <c r="F2294" s="141"/>
      <c r="G2294" s="141"/>
      <c r="H2294" s="141"/>
      <c r="J2294" s="24" t="str">
        <f t="shared" ref="J2294" si="3757">CONCATENATE(J2293,1)</f>
        <v>31</v>
      </c>
      <c r="K2294" s="25">
        <f t="shared" ref="K2294" si="3758">IF(K2293=0,0,VLOOKUP(J2294,J2298:S2328,K2293,FALSE))</f>
        <v>0</v>
      </c>
      <c r="L2294" s="25">
        <f t="shared" ref="L2294" si="3759">IF(L2293=0,0,VLOOKUP(J2294,J2298:S2328,L2293,FALSE))</f>
        <v>0</v>
      </c>
      <c r="M2294" s="25">
        <f t="shared" ref="M2294" si="3760">IF(M2293=0,0,VLOOKUP(J2294,J2298:S2328,M2293,FALSE))</f>
        <v>0</v>
      </c>
      <c r="N2294" s="25">
        <f t="shared" ref="N2294" si="3761">IF(N2293=0,0,VLOOKUP(J2294,J2298:S2328,N2293,FALSE))</f>
        <v>0</v>
      </c>
      <c r="O2294" s="25">
        <f t="shared" ref="O2294" si="3762">IF(O2293=0,0,VLOOKUP(J2294,J2298:S2328,O2293,FALSE))</f>
        <v>0</v>
      </c>
      <c r="P2294" s="25">
        <f t="shared" ref="P2294" si="3763">IF(P2293=0,0,VLOOKUP(J2294,J2298:S2328,P2293,FALSE))</f>
        <v>0</v>
      </c>
      <c r="Q2294" s="25">
        <f t="shared" ref="Q2294" si="3764">IF(Q2293=0,0,VLOOKUP(J2294,J2298:S2328,Q2293,FALSE))</f>
        <v>0</v>
      </c>
      <c r="R2294" s="25">
        <f t="shared" ref="R2294" si="3765">IF(R2293=0,0,VLOOKUP(J2294,J2298:S2328,R2293,FALSE))</f>
        <v>0.95541401273885374</v>
      </c>
      <c r="S2294" s="25">
        <f t="shared" ref="S2294" si="3766">IF(S2293=0,0,VLOOKUP(J2294,J2298:S2328,S2293,FALSE))</f>
        <v>1.3694267515923428</v>
      </c>
      <c r="T2294" s="9"/>
      <c r="U2294" s="1">
        <f t="shared" si="3716"/>
        <v>53</v>
      </c>
      <c r="V2294" s="1">
        <f t="shared" si="3717"/>
        <v>205</v>
      </c>
    </row>
    <row r="2295" spans="1:22" x14ac:dyDescent="0.3">
      <c r="A2295" s="1">
        <f t="shared" si="3743"/>
        <v>53206</v>
      </c>
      <c r="B2295" s="96" t="s">
        <v>15</v>
      </c>
      <c r="C2295" s="97"/>
      <c r="D2295" s="141" t="s">
        <v>302</v>
      </c>
      <c r="E2295" s="141"/>
      <c r="F2295" s="141"/>
      <c r="G2295" s="141"/>
      <c r="H2295" s="141"/>
      <c r="J2295" s="24" t="str">
        <f t="shared" ref="J2295" si="3767">CONCATENATE(J2293,2)</f>
        <v>32</v>
      </c>
      <c r="K2295" s="6">
        <f t="shared" ref="K2295" si="3768">IF(K2293=0,0,VLOOKUP(J2295,J2298:S2328,K2293,FALSE))</f>
        <v>0</v>
      </c>
      <c r="L2295" s="6">
        <f t="shared" ref="L2295" si="3769">IF(L2293=0,0,VLOOKUP(J2295,J2298:S2328,L2293,FALSE))</f>
        <v>0</v>
      </c>
      <c r="M2295" s="6">
        <f t="shared" ref="M2295" si="3770">IF(M2293=0,0,VLOOKUP(J2295,J2298:S2328,M2293,FALSE))</f>
        <v>0</v>
      </c>
      <c r="N2295" s="6">
        <f t="shared" ref="N2295" si="3771">IF(N2293=0,0,VLOOKUP(J2295,J2298:S2328,N2293,FALSE))</f>
        <v>0</v>
      </c>
      <c r="O2295" s="6">
        <f t="shared" ref="O2295" si="3772">IF(O2293=0,0,VLOOKUP(J2295,J2298:S2328,O2293,FALSE))</f>
        <v>0</v>
      </c>
      <c r="P2295" s="6">
        <f t="shared" ref="P2295" si="3773">IF(P2293=0,0,VLOOKUP(J2295,J2298:S2328,P2293,FALSE))</f>
        <v>0</v>
      </c>
      <c r="Q2295" s="6">
        <f t="shared" ref="Q2295" si="3774">IF(Q2293=0,0,VLOOKUP(J2295,J2298:S2328,Q2293,FALSE))</f>
        <v>0</v>
      </c>
      <c r="R2295" s="6">
        <f t="shared" ref="R2295" si="3775">IF(R2293=0,0,VLOOKUP(J2295,J2298:S2328,R2293,FALSE))</f>
        <v>1.6000942254102167E-16</v>
      </c>
      <c r="S2295" s="6">
        <f t="shared" ref="S2295" si="3776">IF(S2293=0,0,VLOOKUP(J2295,J2298:S2328,S2293,FALSE))</f>
        <v>9.119297161462583E-15</v>
      </c>
      <c r="T2295" s="9"/>
      <c r="U2295" s="1">
        <f t="shared" si="3716"/>
        <v>53</v>
      </c>
      <c r="V2295" s="1">
        <f t="shared" si="3717"/>
        <v>206</v>
      </c>
    </row>
    <row r="2296" spans="1:22" x14ac:dyDescent="0.3">
      <c r="A2296" s="1">
        <f t="shared" si="3743"/>
        <v>53207</v>
      </c>
      <c r="B2296" s="96" t="s">
        <v>16</v>
      </c>
      <c r="C2296" s="97"/>
      <c r="D2296" s="121">
        <v>45761</v>
      </c>
      <c r="E2296" s="121"/>
      <c r="F2296" s="121"/>
      <c r="G2296" s="121"/>
      <c r="H2296" s="121"/>
      <c r="J2296" s="24" t="str">
        <f t="shared" ref="J2296" si="3777">CONCATENATE(J2293,3)</f>
        <v>33</v>
      </c>
      <c r="K2296" s="6"/>
      <c r="L2296" s="6"/>
      <c r="M2296" s="6"/>
      <c r="N2296" s="6" t="s">
        <v>43</v>
      </c>
      <c r="O2296" s="25">
        <f t="shared" ref="O2296" si="3778">J2293-2</f>
        <v>1</v>
      </c>
      <c r="P2296" s="6" t="s">
        <v>44</v>
      </c>
      <c r="Q2296" s="25">
        <f t="shared" ref="Q2296" si="3779">VLOOKUP(J2296,J2298:S2328,3,FALSE)</f>
        <v>7.1054273576010019E-15</v>
      </c>
      <c r="R2296" s="6" t="s">
        <v>45</v>
      </c>
      <c r="S2296" s="6">
        <f t="shared" ref="S2296" si="3780">VLOOKUP(J2296,J2298:S2328,2,FALSE)</f>
        <v>1</v>
      </c>
      <c r="T2296" s="9"/>
      <c r="U2296" s="1">
        <f t="shared" si="3716"/>
        <v>53</v>
      </c>
      <c r="V2296" s="1">
        <f t="shared" si="3717"/>
        <v>207</v>
      </c>
    </row>
    <row r="2297" spans="1:22" x14ac:dyDescent="0.3">
      <c r="A2297" s="1">
        <f t="shared" si="3743"/>
        <v>53208</v>
      </c>
      <c r="B2297" s="96" t="s">
        <v>17</v>
      </c>
      <c r="C2297" s="97"/>
      <c r="D2297" s="122">
        <v>46142</v>
      </c>
      <c r="E2297" s="122"/>
      <c r="F2297" s="122"/>
      <c r="G2297" s="122"/>
      <c r="H2297" s="122"/>
      <c r="K2297" s="1">
        <v>3</v>
      </c>
      <c r="L2297" s="1">
        <v>3</v>
      </c>
      <c r="Q2297" s="26"/>
      <c r="R2297" s="26"/>
      <c r="S2297" s="26"/>
      <c r="T2297" s="9"/>
      <c r="U2297" s="1">
        <f t="shared" si="3716"/>
        <v>53</v>
      </c>
      <c r="V2297" s="1">
        <f t="shared" si="3717"/>
        <v>208</v>
      </c>
    </row>
    <row r="2298" spans="1:22" x14ac:dyDescent="0.3">
      <c r="A2298" s="1">
        <f t="shared" si="3743"/>
        <v>53209</v>
      </c>
      <c r="B2298" s="77" t="s">
        <v>19</v>
      </c>
      <c r="C2298" s="78"/>
      <c r="D2298" s="17">
        <v>0.1</v>
      </c>
      <c r="E2298" s="79" t="s">
        <v>40</v>
      </c>
      <c r="F2298" s="80"/>
      <c r="G2298" s="81"/>
      <c r="H2298" s="18" t="s">
        <v>72</v>
      </c>
      <c r="J2298" s="24" t="str">
        <f t="shared" ref="J2298" si="3781">CONCATENATE(K2297,1)</f>
        <v>31</v>
      </c>
      <c r="K2298" s="6">
        <f t="array" ref="K2298:L2300">LINEST(B2306:B2308,C2306:C2308^{1},TRUE,TRUE)</f>
        <v>0.95541401273885374</v>
      </c>
      <c r="L2298" s="6">
        <v>1.3694267515923428</v>
      </c>
      <c r="Q2298" s="9"/>
      <c r="R2298" s="9"/>
      <c r="S2298" s="9"/>
      <c r="T2298" s="9"/>
      <c r="U2298" s="1">
        <f t="shared" si="3716"/>
        <v>53</v>
      </c>
      <c r="V2298" s="1">
        <f t="shared" si="3717"/>
        <v>209</v>
      </c>
    </row>
    <row r="2299" spans="1:22" x14ac:dyDescent="0.3">
      <c r="A2299" s="1">
        <f t="shared" si="3743"/>
        <v>53210</v>
      </c>
      <c r="B2299" s="77" t="s">
        <v>41</v>
      </c>
      <c r="C2299" s="78"/>
      <c r="D2299" s="23">
        <f t="shared" ref="D2299" si="3782">MIN(B2306:B2315)</f>
        <v>20</v>
      </c>
      <c r="E2299" s="20" t="s">
        <v>18</v>
      </c>
      <c r="F2299" s="19">
        <f t="shared" ref="F2299" si="3783">MAX(B2306:B2315)</f>
        <v>80</v>
      </c>
      <c r="G2299" s="21" t="str">
        <f t="shared" ref="G2299" si="3784">IF(H2298="","",H2298)</f>
        <v>%ur</v>
      </c>
      <c r="H2299" s="22"/>
      <c r="J2299" s="24" t="str">
        <f t="shared" ref="J2299" si="3785">CONCATENATE(K2297,2)</f>
        <v>32</v>
      </c>
      <c r="K2299" s="6">
        <v>1.6000942254102167E-16</v>
      </c>
      <c r="L2299" s="6">
        <v>9.119297161462583E-15</v>
      </c>
      <c r="Q2299" s="9"/>
      <c r="R2299" s="9"/>
      <c r="S2299" s="9"/>
      <c r="T2299" s="9"/>
      <c r="U2299" s="1">
        <f t="shared" si="3716"/>
        <v>53</v>
      </c>
      <c r="V2299" s="1">
        <f t="shared" si="3717"/>
        <v>210</v>
      </c>
    </row>
    <row r="2300" spans="1:22" x14ac:dyDescent="0.3">
      <c r="A2300" s="1">
        <f t="shared" si="3743"/>
        <v>53211</v>
      </c>
      <c r="J2300" s="24" t="str">
        <f t="shared" ref="J2300" si="3786">CONCATENATE(K2297,3)</f>
        <v>33</v>
      </c>
      <c r="K2300" s="6">
        <v>1</v>
      </c>
      <c r="L2300" s="6">
        <v>7.1054273576010019E-15</v>
      </c>
      <c r="Q2300" s="9"/>
      <c r="R2300" s="9"/>
      <c r="S2300" s="9"/>
      <c r="T2300" s="9"/>
      <c r="U2300" s="1">
        <f t="shared" si="3716"/>
        <v>53</v>
      </c>
      <c r="V2300" s="1">
        <f t="shared" si="3717"/>
        <v>211</v>
      </c>
    </row>
    <row r="2301" spans="1:22" x14ac:dyDescent="0.3">
      <c r="A2301" s="1">
        <f t="shared" si="3743"/>
        <v>53212</v>
      </c>
      <c r="B2301" s="82" t="s">
        <v>20</v>
      </c>
      <c r="C2301" s="83"/>
      <c r="D2301" s="83"/>
      <c r="E2301" s="83"/>
      <c r="F2301" s="84"/>
      <c r="G2301" s="85" t="s">
        <v>31</v>
      </c>
      <c r="H2301" s="86"/>
      <c r="K2301" s="1">
        <v>4</v>
      </c>
      <c r="L2301" s="1">
        <v>4</v>
      </c>
      <c r="M2301" s="1">
        <v>4</v>
      </c>
      <c r="Q2301" s="9"/>
      <c r="R2301" s="9"/>
      <c r="S2301" s="9"/>
      <c r="T2301" s="9"/>
      <c r="U2301" s="1">
        <f t="shared" si="3716"/>
        <v>53</v>
      </c>
      <c r="V2301" s="1">
        <f t="shared" si="3717"/>
        <v>212</v>
      </c>
    </row>
    <row r="2302" spans="1:22" x14ac:dyDescent="0.3">
      <c r="A2302" s="1">
        <f t="shared" si="3743"/>
        <v>53213</v>
      </c>
      <c r="B2302" s="82" t="s">
        <v>30</v>
      </c>
      <c r="C2302" s="83"/>
      <c r="D2302" s="84"/>
      <c r="E2302" s="82" t="str">
        <f t="shared" ref="E2302" si="3787">D2295</f>
        <v>E0205/25</v>
      </c>
      <c r="F2302" s="84"/>
      <c r="G2302" s="6" t="s">
        <v>32</v>
      </c>
      <c r="H2302" s="36"/>
      <c r="J2302" s="24" t="str">
        <f t="shared" ref="J2302" si="3788">CONCATENATE(K2301,1)</f>
        <v>41</v>
      </c>
      <c r="K2302" s="6" t="e">
        <f t="array" ref="K2302:M2304">LINEST(B2306:B2309,C2306:C2309^{1,2},TRUE,TRUE)</f>
        <v>#VALUE!</v>
      </c>
      <c r="L2302" s="6" t="e">
        <v>#VALUE!</v>
      </c>
      <c r="M2302" s="6" t="e">
        <v>#VALUE!</v>
      </c>
      <c r="Q2302" s="9"/>
      <c r="R2302" s="9"/>
      <c r="S2302" s="9"/>
      <c r="T2302" s="9"/>
      <c r="U2302" s="1">
        <f t="shared" si="3716"/>
        <v>53</v>
      </c>
      <c r="V2302" s="1">
        <f t="shared" si="3717"/>
        <v>213</v>
      </c>
    </row>
    <row r="2303" spans="1:22" x14ac:dyDescent="0.3">
      <c r="A2303" s="1">
        <f t="shared" si="3743"/>
        <v>53214</v>
      </c>
      <c r="B2303" s="2" t="s">
        <v>21</v>
      </c>
      <c r="C2303" s="2" t="s">
        <v>22</v>
      </c>
      <c r="D2303" s="2" t="s">
        <v>23</v>
      </c>
      <c r="E2303" s="2"/>
      <c r="F2303" s="2" t="s">
        <v>28</v>
      </c>
      <c r="G2303" s="2" t="s">
        <v>21</v>
      </c>
      <c r="H2303" s="2" t="s">
        <v>22</v>
      </c>
      <c r="J2303" s="24" t="str">
        <f t="shared" ref="J2303" si="3789">CONCATENATE(K2301,2)</f>
        <v>42</v>
      </c>
      <c r="K2303" s="6" t="e">
        <v>#VALUE!</v>
      </c>
      <c r="L2303" s="6" t="e">
        <v>#VALUE!</v>
      </c>
      <c r="M2303" s="6" t="e">
        <v>#VALUE!</v>
      </c>
      <c r="Q2303" s="9"/>
      <c r="R2303" s="9"/>
      <c r="S2303" s="9"/>
      <c r="T2303" s="9"/>
      <c r="U2303" s="1">
        <f t="shared" si="3716"/>
        <v>53</v>
      </c>
      <c r="V2303" s="1">
        <f t="shared" si="3717"/>
        <v>214</v>
      </c>
    </row>
    <row r="2304" spans="1:22" x14ac:dyDescent="0.3">
      <c r="A2304" s="1">
        <f t="shared" si="3743"/>
        <v>53215</v>
      </c>
      <c r="B2304" s="2" t="s">
        <v>24</v>
      </c>
      <c r="C2304" s="2" t="s">
        <v>25</v>
      </c>
      <c r="D2304" s="2" t="s">
        <v>26</v>
      </c>
      <c r="E2304" s="2" t="s">
        <v>27</v>
      </c>
      <c r="F2304" s="2" t="s">
        <v>29</v>
      </c>
      <c r="G2304" s="2" t="s">
        <v>24</v>
      </c>
      <c r="H2304" s="2" t="s">
        <v>25</v>
      </c>
      <c r="J2304" s="24" t="str">
        <f t="shared" ref="J2304" si="3790">CONCATENATE(K2301,3)</f>
        <v>43</v>
      </c>
      <c r="K2304" s="6" t="e">
        <v>#VALUE!</v>
      </c>
      <c r="L2304" s="6" t="e">
        <v>#VALUE!</v>
      </c>
      <c r="M2304" s="6" t="e">
        <v>#VALUE!</v>
      </c>
      <c r="Q2304" s="9"/>
      <c r="R2304" s="9"/>
      <c r="S2304" s="9"/>
      <c r="T2304" s="9"/>
      <c r="U2304" s="1">
        <f t="shared" si="3716"/>
        <v>53</v>
      </c>
      <c r="V2304" s="1">
        <f t="shared" si="3717"/>
        <v>215</v>
      </c>
    </row>
    <row r="2305" spans="1:22" x14ac:dyDescent="0.3">
      <c r="A2305" s="1">
        <f t="shared" si="3743"/>
        <v>53216</v>
      </c>
      <c r="B2305" s="3" t="str">
        <f t="shared" ref="B2305" si="3791">H2298</f>
        <v>%ur</v>
      </c>
      <c r="C2305" s="3" t="str">
        <f t="shared" ref="C2305" si="3792">B2305</f>
        <v>%ur</v>
      </c>
      <c r="D2305" s="3" t="str">
        <f t="shared" ref="D2305" si="3793">C2305</f>
        <v>%ur</v>
      </c>
      <c r="E2305" s="3"/>
      <c r="F2305" s="3"/>
      <c r="G2305" s="3" t="str">
        <f t="shared" ref="G2305" si="3794">D2305</f>
        <v>%ur</v>
      </c>
      <c r="H2305" s="3" t="str">
        <f t="shared" ref="H2305" si="3795">G2305</f>
        <v>%ur</v>
      </c>
      <c r="K2305" s="1">
        <v>5</v>
      </c>
      <c r="L2305" s="1">
        <v>5</v>
      </c>
      <c r="M2305" s="1">
        <v>5</v>
      </c>
      <c r="N2305" s="1">
        <v>5</v>
      </c>
      <c r="Q2305" s="9"/>
      <c r="R2305" s="9"/>
      <c r="S2305" s="9"/>
      <c r="T2305" s="9"/>
      <c r="U2305" s="1">
        <f t="shared" si="3716"/>
        <v>53</v>
      </c>
      <c r="V2305" s="1">
        <f t="shared" si="3717"/>
        <v>216</v>
      </c>
    </row>
    <row r="2306" spans="1:22" x14ac:dyDescent="0.3">
      <c r="A2306" s="1">
        <f t="shared" si="3743"/>
        <v>53217</v>
      </c>
      <c r="B2306" s="65">
        <v>20</v>
      </c>
      <c r="C2306" s="65">
        <v>19.5</v>
      </c>
      <c r="D2306" s="65">
        <v>0.7</v>
      </c>
      <c r="E2306" s="4">
        <v>2</v>
      </c>
      <c r="F2306" s="14">
        <v>1000000</v>
      </c>
      <c r="G2306" s="8"/>
      <c r="H2306" s="7"/>
      <c r="J2306" s="24" t="str">
        <f t="shared" ref="J2306" si="3796">CONCATENATE(K2305,1)</f>
        <v>51</v>
      </c>
      <c r="K2306" s="6" t="e">
        <f t="array" ref="K2306:N2308">LINEST(B2306:B2310,C2306:C2310^{1,2,3},TRUE,TRUE)</f>
        <v>#VALUE!</v>
      </c>
      <c r="L2306" s="6" t="e">
        <v>#VALUE!</v>
      </c>
      <c r="M2306" s="6" t="e">
        <v>#VALUE!</v>
      </c>
      <c r="N2306" s="6" t="e">
        <v>#VALUE!</v>
      </c>
      <c r="Q2306" s="9"/>
      <c r="R2306" s="9"/>
      <c r="S2306" s="9"/>
      <c r="T2306" s="9"/>
      <c r="U2306" s="1">
        <f t="shared" si="3716"/>
        <v>53</v>
      </c>
      <c r="V2306" s="1">
        <f t="shared" si="3717"/>
        <v>217</v>
      </c>
    </row>
    <row r="2307" spans="1:22" x14ac:dyDescent="0.3">
      <c r="A2307" s="1">
        <f t="shared" si="3743"/>
        <v>53218</v>
      </c>
      <c r="B2307" s="65">
        <v>50</v>
      </c>
      <c r="C2307" s="65">
        <v>50.9</v>
      </c>
      <c r="D2307" s="65">
        <v>1.1000000000000001</v>
      </c>
      <c r="E2307" s="4">
        <v>2</v>
      </c>
      <c r="F2307" s="14">
        <v>1000000</v>
      </c>
      <c r="G2307" s="8"/>
      <c r="H2307" s="7"/>
      <c r="J2307" s="24" t="str">
        <f t="shared" ref="J2307" si="3797">CONCATENATE(K2305,2)</f>
        <v>52</v>
      </c>
      <c r="K2307" s="6" t="e">
        <v>#VALUE!</v>
      </c>
      <c r="L2307" s="6" t="e">
        <v>#VALUE!</v>
      </c>
      <c r="M2307" s="6" t="e">
        <v>#VALUE!</v>
      </c>
      <c r="N2307" s="6" t="e">
        <v>#VALUE!</v>
      </c>
      <c r="T2307" s="9"/>
      <c r="U2307" s="1">
        <f t="shared" si="3716"/>
        <v>53</v>
      </c>
      <c r="V2307" s="1">
        <f t="shared" si="3717"/>
        <v>218</v>
      </c>
    </row>
    <row r="2308" spans="1:22" x14ac:dyDescent="0.3">
      <c r="A2308" s="1">
        <f t="shared" si="3743"/>
        <v>53219</v>
      </c>
      <c r="B2308" s="65">
        <v>80</v>
      </c>
      <c r="C2308" s="65">
        <v>82.3</v>
      </c>
      <c r="D2308" s="65">
        <v>1.1000000000000001</v>
      </c>
      <c r="E2308" s="4">
        <v>2</v>
      </c>
      <c r="F2308" s="14">
        <v>1000000</v>
      </c>
      <c r="G2308" s="8"/>
      <c r="H2308" s="7"/>
      <c r="J2308" s="24" t="str">
        <f t="shared" ref="J2308" si="3798">CONCATENATE(K2305,3)</f>
        <v>53</v>
      </c>
      <c r="K2308" s="6" t="e">
        <v>#VALUE!</v>
      </c>
      <c r="L2308" s="6" t="e">
        <v>#VALUE!</v>
      </c>
      <c r="M2308" s="6" t="e">
        <v>#VALUE!</v>
      </c>
      <c r="N2308" s="6" t="e">
        <v>#VALUE!</v>
      </c>
      <c r="T2308" s="9"/>
      <c r="U2308" s="1">
        <f t="shared" si="3716"/>
        <v>53</v>
      </c>
      <c r="V2308" s="1">
        <f t="shared" si="3717"/>
        <v>219</v>
      </c>
    </row>
    <row r="2309" spans="1:22" x14ac:dyDescent="0.3">
      <c r="A2309" s="1">
        <f t="shared" si="3743"/>
        <v>53220</v>
      </c>
      <c r="B2309" s="4"/>
      <c r="C2309" s="4"/>
      <c r="D2309" s="4"/>
      <c r="E2309" s="4"/>
      <c r="F2309" s="14"/>
      <c r="G2309" s="8"/>
      <c r="H2309" s="7"/>
      <c r="K2309" s="1">
        <v>6</v>
      </c>
      <c r="L2309" s="1">
        <v>6</v>
      </c>
      <c r="M2309" s="1">
        <v>6</v>
      </c>
      <c r="N2309" s="1">
        <v>6</v>
      </c>
      <c r="O2309" s="1">
        <v>6</v>
      </c>
      <c r="T2309" s="9"/>
      <c r="U2309" s="1">
        <f t="shared" si="3716"/>
        <v>53</v>
      </c>
      <c r="V2309" s="1">
        <f t="shared" si="3717"/>
        <v>220</v>
      </c>
    </row>
    <row r="2310" spans="1:22" x14ac:dyDescent="0.3">
      <c r="A2310" s="1">
        <f t="shared" si="3743"/>
        <v>53221</v>
      </c>
      <c r="B2310" s="4"/>
      <c r="C2310" s="4"/>
      <c r="D2310" s="4"/>
      <c r="E2310" s="4"/>
      <c r="F2310" s="14"/>
      <c r="G2310" s="8"/>
      <c r="H2310" s="7"/>
      <c r="J2310" s="24" t="str">
        <f t="shared" ref="J2310" si="3799">CONCATENATE(K2309,1)</f>
        <v>61</v>
      </c>
      <c r="K2310" s="6" t="e">
        <f t="array" ref="K2310:O2312">LINEST(B2306:B2311,C2306:C2311^{1,2,3,4},TRUE,TRUE)</f>
        <v>#VALUE!</v>
      </c>
      <c r="L2310" s="6" t="e">
        <v>#VALUE!</v>
      </c>
      <c r="M2310" s="6" t="e">
        <v>#VALUE!</v>
      </c>
      <c r="N2310" s="6" t="e">
        <v>#VALUE!</v>
      </c>
      <c r="O2310" s="6" t="e">
        <v>#VALUE!</v>
      </c>
      <c r="T2310" s="9"/>
      <c r="U2310" s="1">
        <f t="shared" si="3716"/>
        <v>53</v>
      </c>
      <c r="V2310" s="1">
        <f t="shared" si="3717"/>
        <v>221</v>
      </c>
    </row>
    <row r="2311" spans="1:22" x14ac:dyDescent="0.3">
      <c r="A2311" s="1">
        <f t="shared" si="3743"/>
        <v>53222</v>
      </c>
      <c r="B2311" s="4"/>
      <c r="C2311" s="4"/>
      <c r="D2311" s="4"/>
      <c r="E2311" s="4"/>
      <c r="F2311" s="14"/>
      <c r="G2311" s="8"/>
      <c r="H2311" s="7"/>
      <c r="J2311" s="24" t="str">
        <f t="shared" ref="J2311" si="3800">CONCATENATE(K2309,2)</f>
        <v>62</v>
      </c>
      <c r="K2311" s="6" t="e">
        <v>#VALUE!</v>
      </c>
      <c r="L2311" s="6" t="e">
        <v>#VALUE!</v>
      </c>
      <c r="M2311" s="6" t="e">
        <v>#VALUE!</v>
      </c>
      <c r="N2311" s="6" t="e">
        <v>#VALUE!</v>
      </c>
      <c r="O2311" s="6" t="e">
        <v>#VALUE!</v>
      </c>
      <c r="T2311" s="9"/>
      <c r="U2311" s="1">
        <f t="shared" si="3716"/>
        <v>53</v>
      </c>
      <c r="V2311" s="1">
        <f t="shared" si="3717"/>
        <v>222</v>
      </c>
    </row>
    <row r="2312" spans="1:22" x14ac:dyDescent="0.3">
      <c r="A2312" s="1">
        <f t="shared" si="3743"/>
        <v>53223</v>
      </c>
      <c r="B2312" s="4"/>
      <c r="C2312" s="4"/>
      <c r="D2312" s="4"/>
      <c r="E2312" s="4"/>
      <c r="F2312" s="14"/>
      <c r="G2312" s="8"/>
      <c r="H2312" s="7"/>
      <c r="J2312" s="24" t="str">
        <f t="shared" ref="J2312" si="3801">CONCATENATE(K2309,3)</f>
        <v>63</v>
      </c>
      <c r="K2312" s="6" t="e">
        <v>#VALUE!</v>
      </c>
      <c r="L2312" s="6" t="e">
        <v>#VALUE!</v>
      </c>
      <c r="M2312" s="6" t="e">
        <v>#VALUE!</v>
      </c>
      <c r="N2312" s="6" t="e">
        <v>#VALUE!</v>
      </c>
      <c r="O2312" s="6" t="e">
        <v>#VALUE!</v>
      </c>
      <c r="T2312" s="9"/>
      <c r="U2312" s="1">
        <f t="shared" si="3716"/>
        <v>53</v>
      </c>
      <c r="V2312" s="1">
        <f t="shared" si="3717"/>
        <v>223</v>
      </c>
    </row>
    <row r="2313" spans="1:22" x14ac:dyDescent="0.3">
      <c r="A2313" s="1">
        <f t="shared" si="3743"/>
        <v>53224</v>
      </c>
      <c r="B2313" s="4"/>
      <c r="C2313" s="4"/>
      <c r="D2313" s="4"/>
      <c r="E2313" s="4"/>
      <c r="F2313" s="14"/>
      <c r="G2313" s="8"/>
      <c r="H2313" s="7"/>
      <c r="K2313" s="1">
        <v>7</v>
      </c>
      <c r="L2313" s="1">
        <v>7</v>
      </c>
      <c r="M2313" s="1">
        <v>7</v>
      </c>
      <c r="N2313" s="1">
        <v>7</v>
      </c>
      <c r="O2313" s="1">
        <v>7</v>
      </c>
      <c r="P2313" s="1">
        <v>7</v>
      </c>
      <c r="T2313" s="9"/>
      <c r="U2313" s="1">
        <f t="shared" si="3716"/>
        <v>53</v>
      </c>
      <c r="V2313" s="1">
        <f t="shared" si="3717"/>
        <v>224</v>
      </c>
    </row>
    <row r="2314" spans="1:22" x14ac:dyDescent="0.3">
      <c r="A2314" s="1">
        <f t="shared" si="3743"/>
        <v>53225</v>
      </c>
      <c r="B2314" s="4"/>
      <c r="C2314" s="4"/>
      <c r="D2314" s="4"/>
      <c r="E2314" s="4"/>
      <c r="F2314" s="14"/>
      <c r="G2314" s="8"/>
      <c r="H2314" s="7"/>
      <c r="J2314" s="24" t="str">
        <f t="shared" ref="J2314" si="3802">CONCATENATE(K2313,1)</f>
        <v>71</v>
      </c>
      <c r="K2314" s="6" t="e">
        <f t="array" ref="K2314:P2316">LINEST(B2306:B2312,C2306:C2312^{1,2,3,4,5},TRUE,TRUE)</f>
        <v>#VALUE!</v>
      </c>
      <c r="L2314" s="6" t="e">
        <v>#VALUE!</v>
      </c>
      <c r="M2314" s="6" t="e">
        <v>#VALUE!</v>
      </c>
      <c r="N2314" s="6" t="e">
        <v>#VALUE!</v>
      </c>
      <c r="O2314" s="6" t="e">
        <v>#VALUE!</v>
      </c>
      <c r="P2314" s="6" t="e">
        <v>#VALUE!</v>
      </c>
      <c r="T2314" s="9"/>
      <c r="U2314" s="1">
        <f t="shared" si="3716"/>
        <v>53</v>
      </c>
      <c r="V2314" s="1">
        <f t="shared" si="3717"/>
        <v>225</v>
      </c>
    </row>
    <row r="2315" spans="1:22" x14ac:dyDescent="0.3">
      <c r="A2315" s="1">
        <f t="shared" si="3743"/>
        <v>53226</v>
      </c>
      <c r="B2315" s="4"/>
      <c r="C2315" s="4"/>
      <c r="D2315" s="4"/>
      <c r="E2315" s="4"/>
      <c r="F2315" s="14"/>
      <c r="G2315" s="8"/>
      <c r="H2315" s="7"/>
      <c r="J2315" s="24" t="str">
        <f t="shared" ref="J2315" si="3803">CONCATENATE(K2313,2)</f>
        <v>72</v>
      </c>
      <c r="K2315" s="6" t="e">
        <v>#VALUE!</v>
      </c>
      <c r="L2315" s="6" t="e">
        <v>#VALUE!</v>
      </c>
      <c r="M2315" s="6" t="e">
        <v>#VALUE!</v>
      </c>
      <c r="N2315" s="6" t="e">
        <v>#VALUE!</v>
      </c>
      <c r="O2315" s="6" t="e">
        <v>#VALUE!</v>
      </c>
      <c r="P2315" s="6" t="e">
        <v>#VALUE!</v>
      </c>
      <c r="T2315" s="9"/>
      <c r="U2315" s="1">
        <f t="shared" si="3716"/>
        <v>53</v>
      </c>
      <c r="V2315" s="1">
        <f t="shared" si="3717"/>
        <v>226</v>
      </c>
    </row>
    <row r="2316" spans="1:22" x14ac:dyDescent="0.3">
      <c r="A2316" s="1">
        <f t="shared" si="3743"/>
        <v>53227</v>
      </c>
      <c r="B2316" s="9"/>
      <c r="C2316" s="9"/>
      <c r="D2316" s="9"/>
      <c r="E2316" s="9"/>
      <c r="F2316" s="9"/>
      <c r="G2316" s="9"/>
      <c r="H2316" s="9"/>
      <c r="J2316" s="24" t="str">
        <f t="shared" ref="J2316" si="3804">CONCATENATE(K2313,3)</f>
        <v>73</v>
      </c>
      <c r="K2316" s="6" t="e">
        <v>#VALUE!</v>
      </c>
      <c r="L2316" s="6" t="e">
        <v>#VALUE!</v>
      </c>
      <c r="M2316" s="6" t="e">
        <v>#VALUE!</v>
      </c>
      <c r="N2316" s="6" t="e">
        <v>#VALUE!</v>
      </c>
      <c r="O2316" s="6" t="e">
        <v>#VALUE!</v>
      </c>
      <c r="P2316" s="6" t="e">
        <v>#VALUE!</v>
      </c>
      <c r="T2316" s="9"/>
      <c r="U2316" s="1">
        <f t="shared" si="3716"/>
        <v>53</v>
      </c>
      <c r="V2316" s="1">
        <f t="shared" si="3717"/>
        <v>227</v>
      </c>
    </row>
    <row r="2317" spans="1:22" x14ac:dyDescent="0.3">
      <c r="A2317" s="1">
        <f t="shared" si="3743"/>
        <v>53228</v>
      </c>
      <c r="B2317" s="87" t="s">
        <v>33</v>
      </c>
      <c r="C2317" s="88"/>
      <c r="D2317" s="88"/>
      <c r="E2317" s="88"/>
      <c r="F2317" s="88"/>
      <c r="G2317" s="88"/>
      <c r="H2317" s="89"/>
      <c r="K2317" s="1">
        <v>8</v>
      </c>
      <c r="L2317" s="1">
        <v>8</v>
      </c>
      <c r="M2317" s="1">
        <v>8</v>
      </c>
      <c r="N2317" s="1">
        <v>8</v>
      </c>
      <c r="O2317" s="1">
        <v>8</v>
      </c>
      <c r="P2317" s="1">
        <v>8</v>
      </c>
      <c r="Q2317" s="1">
        <v>8</v>
      </c>
      <c r="T2317" s="9"/>
      <c r="U2317" s="1">
        <f t="shared" si="3716"/>
        <v>53</v>
      </c>
      <c r="V2317" s="1">
        <f t="shared" si="3717"/>
        <v>228</v>
      </c>
    </row>
    <row r="2318" spans="1:22" x14ac:dyDescent="0.3">
      <c r="A2318" s="1">
        <f t="shared" si="3743"/>
        <v>53229</v>
      </c>
      <c r="B2318" s="90"/>
      <c r="C2318" s="91"/>
      <c r="D2318" s="91"/>
      <c r="E2318" s="91"/>
      <c r="F2318" s="91"/>
      <c r="G2318" s="91"/>
      <c r="H2318" s="92"/>
      <c r="J2318" s="24" t="str">
        <f t="shared" ref="J2318" si="3805">CONCATENATE(K2317,1)</f>
        <v>81</v>
      </c>
      <c r="K2318" s="6" t="e">
        <f t="array" ref="K2318:Q2320">LINEST(B2306:B2313,C2306:C2313^{1,2,3,4,5,6},TRUE,TRUE)</f>
        <v>#VALUE!</v>
      </c>
      <c r="L2318" s="6" t="e">
        <v>#VALUE!</v>
      </c>
      <c r="M2318" s="6" t="e">
        <v>#VALUE!</v>
      </c>
      <c r="N2318" s="6" t="e">
        <v>#VALUE!</v>
      </c>
      <c r="O2318" s="6" t="e">
        <v>#VALUE!</v>
      </c>
      <c r="P2318" s="6" t="e">
        <v>#VALUE!</v>
      </c>
      <c r="Q2318" s="6" t="e">
        <v>#VALUE!</v>
      </c>
      <c r="T2318" s="9"/>
      <c r="U2318" s="1">
        <f t="shared" si="3716"/>
        <v>53</v>
      </c>
      <c r="V2318" s="1">
        <f t="shared" si="3717"/>
        <v>229</v>
      </c>
    </row>
    <row r="2319" spans="1:22" x14ac:dyDescent="0.3">
      <c r="A2319" s="1">
        <f t="shared" si="3743"/>
        <v>53230</v>
      </c>
      <c r="B2319" s="93"/>
      <c r="C2319" s="94"/>
      <c r="D2319" s="94"/>
      <c r="E2319" s="94"/>
      <c r="F2319" s="94"/>
      <c r="G2319" s="94"/>
      <c r="H2319" s="95"/>
      <c r="J2319" s="24" t="str">
        <f t="shared" ref="J2319" si="3806">CONCATENATE(K2317,2)</f>
        <v>82</v>
      </c>
      <c r="K2319" s="6" t="e">
        <v>#VALUE!</v>
      </c>
      <c r="L2319" s="6" t="e">
        <v>#VALUE!</v>
      </c>
      <c r="M2319" s="6" t="e">
        <v>#VALUE!</v>
      </c>
      <c r="N2319" s="6" t="e">
        <v>#VALUE!</v>
      </c>
      <c r="O2319" s="6" t="e">
        <v>#VALUE!</v>
      </c>
      <c r="P2319" s="6" t="e">
        <v>#VALUE!</v>
      </c>
      <c r="Q2319" s="6" t="e">
        <v>#VALUE!</v>
      </c>
      <c r="T2319" s="9"/>
      <c r="U2319" s="1">
        <f t="shared" si="3716"/>
        <v>53</v>
      </c>
      <c r="V2319" s="1">
        <f t="shared" si="3717"/>
        <v>230</v>
      </c>
    </row>
    <row r="2320" spans="1:22" x14ac:dyDescent="0.3">
      <c r="A2320" s="1">
        <f t="shared" si="3743"/>
        <v>53231</v>
      </c>
      <c r="J2320" s="24" t="str">
        <f t="shared" ref="J2320" si="3807">CONCATENATE(K2317,3)</f>
        <v>83</v>
      </c>
      <c r="K2320" s="6" t="e">
        <v>#VALUE!</v>
      </c>
      <c r="L2320" s="6" t="e">
        <v>#VALUE!</v>
      </c>
      <c r="M2320" s="6" t="e">
        <v>#VALUE!</v>
      </c>
      <c r="N2320" s="6" t="e">
        <v>#VALUE!</v>
      </c>
      <c r="O2320" s="6" t="e">
        <v>#VALUE!</v>
      </c>
      <c r="P2320" s="6" t="e">
        <v>#VALUE!</v>
      </c>
      <c r="Q2320" s="6" t="e">
        <v>#VALUE!</v>
      </c>
      <c r="T2320" s="9"/>
      <c r="U2320" s="1">
        <f t="shared" si="3716"/>
        <v>53</v>
      </c>
      <c r="V2320" s="1">
        <f t="shared" si="3717"/>
        <v>231</v>
      </c>
    </row>
    <row r="2321" spans="1:22" ht="15" customHeight="1" x14ac:dyDescent="0.3">
      <c r="A2321" s="1">
        <f t="shared" si="3743"/>
        <v>53232</v>
      </c>
      <c r="B2321" s="10" t="s">
        <v>34</v>
      </c>
      <c r="C2321" s="10" t="s">
        <v>35</v>
      </c>
      <c r="D2321" s="10" t="s">
        <v>36</v>
      </c>
      <c r="E2321" s="74" t="s">
        <v>37</v>
      </c>
      <c r="F2321" s="75"/>
      <c r="G2321" s="76"/>
      <c r="K2321" s="1">
        <v>9</v>
      </c>
      <c r="L2321" s="1">
        <v>9</v>
      </c>
      <c r="M2321" s="1">
        <v>9</v>
      </c>
      <c r="N2321" s="1">
        <v>9</v>
      </c>
      <c r="O2321" s="1">
        <v>9</v>
      </c>
      <c r="P2321" s="1">
        <v>9</v>
      </c>
      <c r="Q2321" s="1">
        <v>9</v>
      </c>
      <c r="R2321" s="1">
        <v>9</v>
      </c>
      <c r="T2321" s="9"/>
      <c r="U2321" s="1">
        <f t="shared" si="3716"/>
        <v>53</v>
      </c>
      <c r="V2321" s="1">
        <f t="shared" si="3717"/>
        <v>232</v>
      </c>
    </row>
    <row r="2322" spans="1:22" x14ac:dyDescent="0.3">
      <c r="A2322" s="1">
        <f t="shared" si="3743"/>
        <v>53233</v>
      </c>
      <c r="B2322" s="12">
        <f t="shared" ref="B2322:B2331" si="3808">C2306-B2306</f>
        <v>-0.5</v>
      </c>
      <c r="C2322" s="13">
        <f t="shared" ref="C2322:C2331" si="3809">H2306-G2306</f>
        <v>0</v>
      </c>
      <c r="D2322" s="10">
        <f t="shared" ref="D2322:D2331" si="3810">C2322-B2322</f>
        <v>0.5</v>
      </c>
      <c r="E2322" s="11">
        <f t="shared" ref="E2322" si="3811">IF(D2297="","",MAX(F2322,G2322))</f>
        <v>2.2999999999999972</v>
      </c>
      <c r="F2322" s="10">
        <f t="shared" ref="F2322" si="3812">ABS(MIN(D2322:D2331))</f>
        <v>2.2999999999999972</v>
      </c>
      <c r="G2322" s="10">
        <f t="shared" ref="G2322" si="3813">ABS(MAX(D2322:D2331))</f>
        <v>0.5</v>
      </c>
      <c r="J2322" s="24" t="str">
        <f t="shared" ref="J2322" si="3814">CONCATENATE(K2321,1)</f>
        <v>91</v>
      </c>
      <c r="K2322" s="6" t="e">
        <f t="array" ref="K2322:R2324">LINEST(B2306:B2314,C2306:C2314^{1,2,3,4,5,6,7},TRUE,TRUE)</f>
        <v>#VALUE!</v>
      </c>
      <c r="L2322" s="6" t="e">
        <v>#VALUE!</v>
      </c>
      <c r="M2322" s="6" t="e">
        <v>#VALUE!</v>
      </c>
      <c r="N2322" s="6" t="e">
        <v>#VALUE!</v>
      </c>
      <c r="O2322" s="6" t="e">
        <v>#VALUE!</v>
      </c>
      <c r="P2322" s="6" t="e">
        <v>#VALUE!</v>
      </c>
      <c r="Q2322" s="6" t="e">
        <v>#VALUE!</v>
      </c>
      <c r="R2322" s="6" t="e">
        <v>#VALUE!</v>
      </c>
      <c r="T2322" s="9"/>
      <c r="U2322" s="1">
        <f t="shared" si="3716"/>
        <v>53</v>
      </c>
      <c r="V2322" s="1">
        <f t="shared" si="3717"/>
        <v>233</v>
      </c>
    </row>
    <row r="2323" spans="1:22" x14ac:dyDescent="0.3">
      <c r="A2323" s="1">
        <f t="shared" si="3743"/>
        <v>53234</v>
      </c>
      <c r="B2323" s="12">
        <f t="shared" si="3808"/>
        <v>0.89999999999999858</v>
      </c>
      <c r="C2323" s="13">
        <f t="shared" si="3809"/>
        <v>0</v>
      </c>
      <c r="D2323" s="10">
        <f t="shared" si="3810"/>
        <v>-0.89999999999999858</v>
      </c>
      <c r="E2323" s="74" t="s">
        <v>38</v>
      </c>
      <c r="F2323" s="75"/>
      <c r="G2323" s="76"/>
      <c r="J2323" s="24" t="str">
        <f t="shared" ref="J2323" si="3815">CONCATENATE(K2321,2)</f>
        <v>92</v>
      </c>
      <c r="K2323" s="6" t="e">
        <v>#VALUE!</v>
      </c>
      <c r="L2323" s="6" t="e">
        <v>#VALUE!</v>
      </c>
      <c r="M2323" s="6" t="e">
        <v>#VALUE!</v>
      </c>
      <c r="N2323" s="6" t="e">
        <v>#VALUE!</v>
      </c>
      <c r="O2323" s="6" t="e">
        <v>#VALUE!</v>
      </c>
      <c r="P2323" s="6" t="e">
        <v>#VALUE!</v>
      </c>
      <c r="Q2323" s="6" t="e">
        <v>#VALUE!</v>
      </c>
      <c r="R2323" s="6" t="e">
        <v>#VALUE!</v>
      </c>
      <c r="T2323" s="9"/>
      <c r="U2323" s="1">
        <f t="shared" si="3716"/>
        <v>53</v>
      </c>
      <c r="V2323" s="1">
        <f t="shared" si="3717"/>
        <v>234</v>
      </c>
    </row>
    <row r="2324" spans="1:22" x14ac:dyDescent="0.3">
      <c r="A2324" s="1">
        <f t="shared" si="3743"/>
        <v>53235</v>
      </c>
      <c r="B2324" s="12">
        <f t="shared" si="3808"/>
        <v>2.2999999999999972</v>
      </c>
      <c r="C2324" s="13">
        <f t="shared" si="3809"/>
        <v>0</v>
      </c>
      <c r="D2324" s="10">
        <f t="shared" si="3810"/>
        <v>-2.2999999999999972</v>
      </c>
      <c r="E2324" s="11">
        <f t="shared" ref="E2324" si="3816">IF(D2297="","",MAX(F2324,G2324))</f>
        <v>2.2999999999999972</v>
      </c>
      <c r="F2324" s="10">
        <f t="shared" ref="F2324" si="3817">ABS(MIN(B2322:B2331))</f>
        <v>0.5</v>
      </c>
      <c r="G2324" s="10">
        <f t="shared" ref="G2324" si="3818">ABS(MAX(B2322:B2331))</f>
        <v>2.2999999999999972</v>
      </c>
      <c r="J2324" s="24" t="str">
        <f t="shared" ref="J2324" si="3819">CONCATENATE(K2321,3)</f>
        <v>93</v>
      </c>
      <c r="K2324" s="6" t="e">
        <v>#VALUE!</v>
      </c>
      <c r="L2324" s="6" t="e">
        <v>#VALUE!</v>
      </c>
      <c r="M2324" s="6" t="e">
        <v>#VALUE!</v>
      </c>
      <c r="N2324" s="6" t="e">
        <v>#VALUE!</v>
      </c>
      <c r="O2324" s="6" t="e">
        <v>#VALUE!</v>
      </c>
      <c r="P2324" s="6" t="e">
        <v>#VALUE!</v>
      </c>
      <c r="Q2324" s="6" t="e">
        <v>#VALUE!</v>
      </c>
      <c r="R2324" s="6" t="e">
        <v>#VALUE!</v>
      </c>
      <c r="T2324" s="9"/>
      <c r="U2324" s="1">
        <f t="shared" si="3716"/>
        <v>53</v>
      </c>
      <c r="V2324" s="1">
        <f t="shared" si="3717"/>
        <v>235</v>
      </c>
    </row>
    <row r="2325" spans="1:22" x14ac:dyDescent="0.3">
      <c r="A2325" s="1">
        <f t="shared" si="3743"/>
        <v>53236</v>
      </c>
      <c r="B2325" s="12">
        <f t="shared" si="3808"/>
        <v>0</v>
      </c>
      <c r="C2325" s="13">
        <f t="shared" si="3809"/>
        <v>0</v>
      </c>
      <c r="D2325" s="10">
        <f t="shared" si="3810"/>
        <v>0</v>
      </c>
      <c r="E2325" s="74" t="s">
        <v>39</v>
      </c>
      <c r="F2325" s="75"/>
      <c r="G2325" s="76"/>
      <c r="K2325" s="1">
        <v>10</v>
      </c>
      <c r="L2325" s="1">
        <v>10</v>
      </c>
      <c r="M2325" s="1">
        <v>10</v>
      </c>
      <c r="N2325" s="1">
        <v>10</v>
      </c>
      <c r="O2325" s="1">
        <v>10</v>
      </c>
      <c r="P2325" s="1">
        <v>10</v>
      </c>
      <c r="Q2325" s="1">
        <v>10</v>
      </c>
      <c r="R2325" s="1">
        <v>10</v>
      </c>
      <c r="S2325" s="1">
        <v>10</v>
      </c>
      <c r="T2325" s="9"/>
      <c r="U2325" s="1">
        <f t="shared" si="3716"/>
        <v>53</v>
      </c>
      <c r="V2325" s="1">
        <f t="shared" si="3717"/>
        <v>236</v>
      </c>
    </row>
    <row r="2326" spans="1:22" x14ac:dyDescent="0.3">
      <c r="A2326" s="1">
        <f t="shared" si="3743"/>
        <v>53237</v>
      </c>
      <c r="B2326" s="12">
        <f t="shared" si="3808"/>
        <v>0</v>
      </c>
      <c r="C2326" s="13">
        <f t="shared" si="3809"/>
        <v>0</v>
      </c>
      <c r="D2326" s="10">
        <f t="shared" si="3810"/>
        <v>0</v>
      </c>
      <c r="E2326" s="11">
        <f t="shared" ref="E2326" si="3820">IF(D2297="","",MAX(F2326,G2326))</f>
        <v>1.1000000000000001</v>
      </c>
      <c r="F2326" s="10">
        <f t="shared" ref="F2326" si="3821">ABS(MIN(D2306:D2315))</f>
        <v>0.7</v>
      </c>
      <c r="G2326" s="10">
        <f t="shared" ref="G2326" si="3822">ABS(MAX(D2306:D2315))</f>
        <v>1.1000000000000001</v>
      </c>
      <c r="J2326" s="24" t="str">
        <f t="shared" ref="J2326" si="3823">CONCATENATE(K2325,1)</f>
        <v>101</v>
      </c>
      <c r="K2326" s="6" t="e">
        <f t="array" ref="K2326:S2328">LINEST(B2306:B2315,C2306:C2315^{1,2,3,4,5,6,7,8},TRUE,TRUE)</f>
        <v>#VALUE!</v>
      </c>
      <c r="L2326" s="6" t="e">
        <v>#VALUE!</v>
      </c>
      <c r="M2326" s="6" t="e">
        <v>#VALUE!</v>
      </c>
      <c r="N2326" s="6" t="e">
        <v>#VALUE!</v>
      </c>
      <c r="O2326" s="6" t="e">
        <v>#VALUE!</v>
      </c>
      <c r="P2326" s="6" t="e">
        <v>#VALUE!</v>
      </c>
      <c r="Q2326" s="6" t="e">
        <v>#VALUE!</v>
      </c>
      <c r="R2326" s="6" t="e">
        <v>#VALUE!</v>
      </c>
      <c r="S2326" s="6" t="e">
        <v>#VALUE!</v>
      </c>
      <c r="T2326" s="9"/>
      <c r="U2326" s="1">
        <f t="shared" si="3716"/>
        <v>53</v>
      </c>
      <c r="V2326" s="1">
        <f t="shared" si="3717"/>
        <v>237</v>
      </c>
    </row>
    <row r="2327" spans="1:22" x14ac:dyDescent="0.3">
      <c r="A2327" s="1">
        <f t="shared" si="3743"/>
        <v>53238</v>
      </c>
      <c r="B2327" s="12">
        <f t="shared" si="3808"/>
        <v>0</v>
      </c>
      <c r="C2327" s="13">
        <f t="shared" si="3809"/>
        <v>0</v>
      </c>
      <c r="D2327" s="10">
        <f t="shared" si="3810"/>
        <v>0</v>
      </c>
      <c r="J2327" s="24" t="str">
        <f t="shared" ref="J2327" si="3824">CONCATENATE(K2325,2)</f>
        <v>102</v>
      </c>
      <c r="K2327" s="6" t="e">
        <v>#VALUE!</v>
      </c>
      <c r="L2327" s="6" t="e">
        <v>#VALUE!</v>
      </c>
      <c r="M2327" s="6" t="e">
        <v>#VALUE!</v>
      </c>
      <c r="N2327" s="6" t="e">
        <v>#VALUE!</v>
      </c>
      <c r="O2327" s="6" t="e">
        <v>#VALUE!</v>
      </c>
      <c r="P2327" s="6" t="e">
        <v>#VALUE!</v>
      </c>
      <c r="Q2327" s="6" t="e">
        <v>#VALUE!</v>
      </c>
      <c r="R2327" s="6" t="e">
        <v>#VALUE!</v>
      </c>
      <c r="S2327" s="6" t="e">
        <v>#VALUE!</v>
      </c>
      <c r="T2327" s="9"/>
      <c r="U2327" s="1">
        <f t="shared" si="3716"/>
        <v>53</v>
      </c>
      <c r="V2327" s="1">
        <f t="shared" si="3717"/>
        <v>238</v>
      </c>
    </row>
    <row r="2328" spans="1:22" x14ac:dyDescent="0.3">
      <c r="A2328" s="1">
        <f t="shared" si="3743"/>
        <v>53239</v>
      </c>
      <c r="B2328" s="12">
        <f t="shared" si="3808"/>
        <v>0</v>
      </c>
      <c r="C2328" s="13">
        <f t="shared" si="3809"/>
        <v>0</v>
      </c>
      <c r="D2328" s="10">
        <f t="shared" si="3810"/>
        <v>0</v>
      </c>
      <c r="J2328" s="24" t="str">
        <f t="shared" ref="J2328" si="3825">CONCATENATE(K2325,3)</f>
        <v>103</v>
      </c>
      <c r="K2328" s="6" t="e">
        <v>#VALUE!</v>
      </c>
      <c r="L2328" s="6" t="e">
        <v>#VALUE!</v>
      </c>
      <c r="M2328" s="6" t="e">
        <v>#VALUE!</v>
      </c>
      <c r="N2328" s="6" t="e">
        <v>#VALUE!</v>
      </c>
      <c r="O2328" s="6" t="e">
        <v>#VALUE!</v>
      </c>
      <c r="P2328" s="6" t="e">
        <v>#VALUE!</v>
      </c>
      <c r="Q2328" s="6" t="e">
        <v>#VALUE!</v>
      </c>
      <c r="R2328" s="6" t="e">
        <v>#VALUE!</v>
      </c>
      <c r="S2328" s="6" t="e">
        <v>#VALUE!</v>
      </c>
      <c r="T2328" s="9"/>
      <c r="U2328" s="1">
        <f t="shared" si="3716"/>
        <v>53</v>
      </c>
      <c r="V2328" s="1">
        <f t="shared" si="3717"/>
        <v>239</v>
      </c>
    </row>
    <row r="2329" spans="1:22" x14ac:dyDescent="0.3">
      <c r="A2329" s="1">
        <f t="shared" si="3743"/>
        <v>53240</v>
      </c>
      <c r="B2329" s="12">
        <f t="shared" si="3808"/>
        <v>0</v>
      </c>
      <c r="C2329" s="13">
        <f t="shared" si="3809"/>
        <v>0</v>
      </c>
      <c r="D2329" s="10">
        <f t="shared" si="3810"/>
        <v>0</v>
      </c>
      <c r="J2329" s="9"/>
      <c r="K2329" s="9"/>
      <c r="L2329" s="9"/>
      <c r="M2329" s="9"/>
      <c r="N2329" s="9"/>
      <c r="O2329" s="9"/>
      <c r="P2329" s="9"/>
      <c r="Q2329" s="9"/>
      <c r="R2329" s="9"/>
      <c r="S2329" s="9"/>
      <c r="T2329" s="9"/>
      <c r="U2329" s="1">
        <f t="shared" si="3716"/>
        <v>53</v>
      </c>
      <c r="V2329" s="1">
        <f t="shared" si="3717"/>
        <v>240</v>
      </c>
    </row>
    <row r="2330" spans="1:22" x14ac:dyDescent="0.3">
      <c r="A2330" s="1">
        <f t="shared" si="3743"/>
        <v>53241</v>
      </c>
      <c r="B2330" s="12">
        <f t="shared" si="3808"/>
        <v>0</v>
      </c>
      <c r="C2330" s="13">
        <f t="shared" si="3809"/>
        <v>0</v>
      </c>
      <c r="D2330" s="10">
        <f t="shared" si="3810"/>
        <v>0</v>
      </c>
      <c r="J2330" s="9"/>
      <c r="K2330" s="9"/>
      <c r="L2330" s="9"/>
      <c r="M2330" s="9"/>
      <c r="N2330" s="9"/>
      <c r="O2330" s="9"/>
      <c r="P2330" s="9"/>
      <c r="Q2330" s="9"/>
      <c r="R2330" s="9"/>
      <c r="S2330" s="9"/>
      <c r="T2330" s="9"/>
      <c r="U2330" s="1">
        <f t="shared" si="3716"/>
        <v>53</v>
      </c>
      <c r="V2330" s="1">
        <f t="shared" si="3717"/>
        <v>241</v>
      </c>
    </row>
    <row r="2331" spans="1:22" x14ac:dyDescent="0.3">
      <c r="A2331" s="1">
        <f t="shared" si="3743"/>
        <v>53242</v>
      </c>
      <c r="B2331" s="12">
        <f t="shared" si="3808"/>
        <v>0</v>
      </c>
      <c r="C2331" s="13">
        <f t="shared" si="3809"/>
        <v>0</v>
      </c>
      <c r="D2331" s="10">
        <f t="shared" si="3810"/>
        <v>0</v>
      </c>
      <c r="J2331" s="9"/>
      <c r="K2331" s="9"/>
      <c r="L2331" s="9"/>
      <c r="M2331" s="9"/>
      <c r="N2331" s="9"/>
      <c r="O2331" s="9"/>
      <c r="P2331" s="9"/>
      <c r="Q2331" s="9"/>
      <c r="R2331" s="9"/>
      <c r="S2331" s="9"/>
      <c r="T2331" s="9"/>
      <c r="U2331" s="1">
        <f t="shared" ref="U2331:U2394" si="3826">U2330</f>
        <v>53</v>
      </c>
      <c r="V2331" s="1">
        <f t="shared" ref="V2331:V2394" si="3827">V2330+1</f>
        <v>242</v>
      </c>
    </row>
    <row r="2332" spans="1:22" x14ac:dyDescent="0.3">
      <c r="A2332" s="1">
        <f t="shared" si="3743"/>
        <v>53243</v>
      </c>
      <c r="J2332" s="9"/>
      <c r="K2332" s="9"/>
      <c r="L2332" s="9"/>
      <c r="M2332" s="9"/>
      <c r="N2332" s="9"/>
      <c r="O2332" s="9"/>
      <c r="P2332" s="9"/>
      <c r="Q2332" s="9"/>
      <c r="R2332" s="9"/>
      <c r="S2332" s="9"/>
      <c r="T2332" s="9"/>
      <c r="U2332" s="1">
        <f t="shared" si="3826"/>
        <v>53</v>
      </c>
      <c r="V2332" s="1">
        <f t="shared" si="3827"/>
        <v>243</v>
      </c>
    </row>
    <row r="2333" spans="1:22" s="5" customFormat="1" x14ac:dyDescent="0.3"/>
    <row r="2334" spans="1:22" x14ac:dyDescent="0.3">
      <c r="A2334" s="1">
        <f t="shared" ref="A2334:A2376" si="3828">ROUND(CONCATENATE(U2334,V2334),0)</f>
        <v>54201</v>
      </c>
      <c r="B2334" s="96" t="s">
        <v>0</v>
      </c>
      <c r="C2334" s="97"/>
      <c r="D2334" s="110" t="s">
        <v>46</v>
      </c>
      <c r="E2334" s="111"/>
      <c r="F2334" s="111"/>
      <c r="G2334" s="111"/>
      <c r="H2334" s="112"/>
      <c r="J2334" s="9"/>
      <c r="K2334" s="9"/>
      <c r="L2334" s="9"/>
      <c r="M2334" s="9"/>
      <c r="N2334" s="9"/>
      <c r="O2334" s="9"/>
      <c r="P2334" s="9"/>
      <c r="Q2334" s="9"/>
      <c r="R2334" s="9"/>
      <c r="S2334" s="9"/>
      <c r="T2334" s="9"/>
      <c r="U2334" s="1">
        <f t="shared" ref="U2334" si="3829">U2332+1</f>
        <v>54</v>
      </c>
      <c r="V2334" s="1">
        <v>201</v>
      </c>
    </row>
    <row r="2335" spans="1:22" x14ac:dyDescent="0.3">
      <c r="A2335" s="1">
        <f t="shared" si="3828"/>
        <v>54202</v>
      </c>
      <c r="B2335" s="96" t="s">
        <v>1</v>
      </c>
      <c r="C2335" s="97"/>
      <c r="D2335" s="15">
        <v>20</v>
      </c>
      <c r="E2335" s="16" t="s">
        <v>2</v>
      </c>
      <c r="F2335" s="107"/>
      <c r="G2335" s="108"/>
      <c r="H2335" s="109"/>
      <c r="J2335" s="9"/>
      <c r="K2335" s="9"/>
      <c r="L2335" s="9"/>
      <c r="M2335" s="9"/>
      <c r="N2335" s="9"/>
      <c r="O2335" s="9"/>
      <c r="P2335" s="9"/>
      <c r="Q2335" s="9"/>
      <c r="R2335" s="9"/>
      <c r="S2335" s="9"/>
      <c r="T2335" s="9"/>
      <c r="U2335" s="1">
        <f t="shared" ref="U2335" si="3830">U2334</f>
        <v>54</v>
      </c>
      <c r="V2335" s="1">
        <f t="shared" ref="V2335" si="3831">V2334+1</f>
        <v>202</v>
      </c>
    </row>
    <row r="2336" spans="1:22" x14ac:dyDescent="0.3">
      <c r="A2336" s="1">
        <f t="shared" si="3828"/>
        <v>54203</v>
      </c>
      <c r="B2336" s="96" t="s">
        <v>12</v>
      </c>
      <c r="C2336" s="97"/>
      <c r="D2336" s="141" t="s">
        <v>303</v>
      </c>
      <c r="E2336" s="141"/>
      <c r="F2336" s="141"/>
      <c r="G2336" s="141"/>
      <c r="H2336" s="141"/>
      <c r="K2336" s="1" t="s">
        <v>3</v>
      </c>
      <c r="L2336" s="1" t="s">
        <v>4</v>
      </c>
      <c r="M2336" s="1" t="s">
        <v>5</v>
      </c>
      <c r="N2336" s="1" t="s">
        <v>6</v>
      </c>
      <c r="O2336" s="1" t="s">
        <v>7</v>
      </c>
      <c r="P2336" s="1" t="s">
        <v>8</v>
      </c>
      <c r="Q2336" s="1" t="s">
        <v>9</v>
      </c>
      <c r="R2336" s="1" t="s">
        <v>10</v>
      </c>
      <c r="S2336" s="1" t="s">
        <v>11</v>
      </c>
      <c r="T2336" s="9"/>
      <c r="U2336" s="1">
        <f t="shared" si="3826"/>
        <v>54</v>
      </c>
      <c r="V2336" s="1">
        <f t="shared" si="3827"/>
        <v>203</v>
      </c>
    </row>
    <row r="2337" spans="1:22" x14ac:dyDescent="0.3">
      <c r="A2337" s="1">
        <f t="shared" si="3828"/>
        <v>54204</v>
      </c>
      <c r="B2337" s="96" t="s">
        <v>13</v>
      </c>
      <c r="C2337" s="97"/>
      <c r="D2337" s="141" t="s">
        <v>65</v>
      </c>
      <c r="E2337" s="141"/>
      <c r="F2337" s="141"/>
      <c r="G2337" s="141"/>
      <c r="H2337" s="141"/>
      <c r="J2337" s="1">
        <f t="shared" ref="J2337" si="3832">COUNTA(B2350:B2359)</f>
        <v>3</v>
      </c>
      <c r="K2337" s="1">
        <f t="shared" ref="K2337" si="3833">IF(L2337-1&lt;2,0,L2337-1)</f>
        <v>0</v>
      </c>
      <c r="L2337" s="1">
        <f t="shared" ref="L2337" si="3834">IF(M2337-1&lt;2,0,M2337-1)</f>
        <v>0</v>
      </c>
      <c r="M2337" s="1">
        <f t="shared" ref="M2337" si="3835">IF(N2337-1&lt;2,0,N2337-1)</f>
        <v>0</v>
      </c>
      <c r="N2337" s="1">
        <f t="shared" ref="N2337" si="3836">IF(O2337-1&lt;2,0,O2337-1)</f>
        <v>0</v>
      </c>
      <c r="O2337" s="1">
        <f t="shared" ref="O2337" si="3837">IF(P2337-1&lt;2,0,P2337-1)</f>
        <v>0</v>
      </c>
      <c r="P2337" s="1">
        <f t="shared" ref="P2337" si="3838">IF(Q2337-1&lt;2,0,Q2337-1)</f>
        <v>0</v>
      </c>
      <c r="Q2337" s="1">
        <f t="shared" ref="Q2337" si="3839">IF(R2337-1&lt;2,0,R2337-1)</f>
        <v>0</v>
      </c>
      <c r="R2337" s="1">
        <f t="shared" ref="R2337" si="3840">IF(S2337-1&lt;2,0,S2337-1)</f>
        <v>2</v>
      </c>
      <c r="S2337" s="1">
        <f t="shared" ref="S2337" si="3841">J2337</f>
        <v>3</v>
      </c>
      <c r="T2337" s="9"/>
      <c r="U2337" s="1">
        <f t="shared" si="3826"/>
        <v>54</v>
      </c>
      <c r="V2337" s="1">
        <f t="shared" si="3827"/>
        <v>204</v>
      </c>
    </row>
    <row r="2338" spans="1:22" x14ac:dyDescent="0.3">
      <c r="A2338" s="1">
        <f t="shared" si="3828"/>
        <v>54205</v>
      </c>
      <c r="B2338" s="96" t="s">
        <v>14</v>
      </c>
      <c r="C2338" s="97"/>
      <c r="D2338" s="141" t="s">
        <v>66</v>
      </c>
      <c r="E2338" s="141"/>
      <c r="F2338" s="141"/>
      <c r="G2338" s="141"/>
      <c r="H2338" s="141"/>
      <c r="J2338" s="24" t="str">
        <f t="shared" ref="J2338" si="3842">CONCATENATE(J2337,1)</f>
        <v>31</v>
      </c>
      <c r="K2338" s="25">
        <f t="shared" ref="K2338" si="3843">IF(K2337=0,0,VLOOKUP(J2338,J2342:S2372,K2337,FALSE))</f>
        <v>0</v>
      </c>
      <c r="L2338" s="25">
        <f t="shared" ref="L2338" si="3844">IF(L2337=0,0,VLOOKUP(J2338,J2342:S2372,L2337,FALSE))</f>
        <v>0</v>
      </c>
      <c r="M2338" s="25">
        <f t="shared" ref="M2338" si="3845">IF(M2337=0,0,VLOOKUP(J2338,J2342:S2372,M2337,FALSE))</f>
        <v>0</v>
      </c>
      <c r="N2338" s="25">
        <f t="shared" ref="N2338" si="3846">IF(N2337=0,0,VLOOKUP(J2338,J2342:S2372,N2337,FALSE))</f>
        <v>0</v>
      </c>
      <c r="O2338" s="25">
        <f t="shared" ref="O2338" si="3847">IF(O2337=0,0,VLOOKUP(J2338,J2342:S2372,O2337,FALSE))</f>
        <v>0</v>
      </c>
      <c r="P2338" s="25">
        <f t="shared" ref="P2338" si="3848">IF(P2337=0,0,VLOOKUP(J2338,J2342:S2372,P2337,FALSE))</f>
        <v>0</v>
      </c>
      <c r="Q2338" s="25">
        <f t="shared" ref="Q2338" si="3849">IF(Q2337=0,0,VLOOKUP(J2338,J2342:S2372,Q2337,FALSE))</f>
        <v>0</v>
      </c>
      <c r="R2338" s="25">
        <f t="shared" ref="R2338" si="3850">IF(R2337=0,0,VLOOKUP(J2338,J2342:S2372,R2337,FALSE))</f>
        <v>0.99664473974658974</v>
      </c>
      <c r="S2338" s="25">
        <f t="shared" ref="S2338" si="3851">IF(S2337=0,0,VLOOKUP(J2338,J2342:S2372,S2337,FALSE))</f>
        <v>-0.13123040925346885</v>
      </c>
      <c r="T2338" s="9"/>
      <c r="U2338" s="1">
        <f t="shared" si="3826"/>
        <v>54</v>
      </c>
      <c r="V2338" s="1">
        <f t="shared" si="3827"/>
        <v>205</v>
      </c>
    </row>
    <row r="2339" spans="1:22" x14ac:dyDescent="0.3">
      <c r="A2339" s="1">
        <f t="shared" si="3828"/>
        <v>54206</v>
      </c>
      <c r="B2339" s="96" t="s">
        <v>15</v>
      </c>
      <c r="C2339" s="97"/>
      <c r="D2339" s="141" t="s">
        <v>304</v>
      </c>
      <c r="E2339" s="141"/>
      <c r="F2339" s="141"/>
      <c r="G2339" s="141"/>
      <c r="H2339" s="141"/>
      <c r="J2339" s="24" t="str">
        <f t="shared" ref="J2339" si="3852">CONCATENATE(J2337,2)</f>
        <v>32</v>
      </c>
      <c r="K2339" s="6">
        <f t="shared" ref="K2339" si="3853">IF(K2337=0,0,VLOOKUP(J2339,J2342:S2372,K2337,FALSE))</f>
        <v>0</v>
      </c>
      <c r="L2339" s="6">
        <f t="shared" ref="L2339" si="3854">IF(L2337=0,0,VLOOKUP(J2339,J2342:S2372,L2337,FALSE))</f>
        <v>0</v>
      </c>
      <c r="M2339" s="6">
        <f t="shared" ref="M2339" si="3855">IF(M2337=0,0,VLOOKUP(J2339,J2342:S2372,M2337,FALSE))</f>
        <v>0</v>
      </c>
      <c r="N2339" s="6">
        <f t="shared" ref="N2339" si="3856">IF(N2337=0,0,VLOOKUP(J2339,J2342:S2372,N2337,FALSE))</f>
        <v>0</v>
      </c>
      <c r="O2339" s="6">
        <f t="shared" ref="O2339" si="3857">IF(O2337=0,0,VLOOKUP(J2339,J2342:S2372,O2337,FALSE))</f>
        <v>0</v>
      </c>
      <c r="P2339" s="6">
        <f t="shared" ref="P2339" si="3858">IF(P2337=0,0,VLOOKUP(J2339,J2342:S2372,P2337,FALSE))</f>
        <v>0</v>
      </c>
      <c r="Q2339" s="6">
        <f t="shared" ref="Q2339" si="3859">IF(Q2337=0,0,VLOOKUP(J2339,J2342:S2372,Q2337,FALSE))</f>
        <v>0</v>
      </c>
      <c r="R2339" s="6">
        <f t="shared" ref="R2339" si="3860">IF(R2337=0,0,VLOOKUP(J2339,J2342:S2372,R2337,FALSE))</f>
        <v>5.7350143732139485E-3</v>
      </c>
      <c r="S2339" s="6">
        <f t="shared" ref="S2339" si="3861">IF(S2337=0,0,VLOOKUP(J2339,J2342:S2372,S2337,FALSE))</f>
        <v>0.32106435341911171</v>
      </c>
      <c r="T2339" s="9"/>
      <c r="U2339" s="1">
        <f t="shared" si="3826"/>
        <v>54</v>
      </c>
      <c r="V2339" s="1">
        <f t="shared" si="3827"/>
        <v>206</v>
      </c>
    </row>
    <row r="2340" spans="1:22" x14ac:dyDescent="0.3">
      <c r="A2340" s="1">
        <f t="shared" si="3828"/>
        <v>54207</v>
      </c>
      <c r="B2340" s="96" t="s">
        <v>16</v>
      </c>
      <c r="C2340" s="97"/>
      <c r="D2340" s="121">
        <v>45761</v>
      </c>
      <c r="E2340" s="121"/>
      <c r="F2340" s="121"/>
      <c r="G2340" s="121"/>
      <c r="H2340" s="121"/>
      <c r="J2340" s="24" t="str">
        <f t="shared" ref="J2340" si="3862">CONCATENATE(J2337,3)</f>
        <v>33</v>
      </c>
      <c r="K2340" s="6"/>
      <c r="L2340" s="6"/>
      <c r="M2340" s="6"/>
      <c r="N2340" s="6" t="s">
        <v>43</v>
      </c>
      <c r="O2340" s="25">
        <f t="shared" ref="O2340" si="3863">J2337-2</f>
        <v>1</v>
      </c>
      <c r="P2340" s="6" t="s">
        <v>44</v>
      </c>
      <c r="Q2340" s="25">
        <f t="shared" ref="Q2340" si="3864">VLOOKUP(J2340,J2342:S2372,3,FALSE)</f>
        <v>0.24413114848226058</v>
      </c>
      <c r="R2340" s="6" t="s">
        <v>45</v>
      </c>
      <c r="S2340" s="6">
        <f t="shared" ref="S2340" si="3865">VLOOKUP(J2340,J2342:S2372,2,FALSE)</f>
        <v>0.99996688887907814</v>
      </c>
      <c r="T2340" s="9"/>
      <c r="U2340" s="1">
        <f t="shared" si="3826"/>
        <v>54</v>
      </c>
      <c r="V2340" s="1">
        <f t="shared" si="3827"/>
        <v>207</v>
      </c>
    </row>
    <row r="2341" spans="1:22" x14ac:dyDescent="0.3">
      <c r="A2341" s="1">
        <f t="shared" si="3828"/>
        <v>54208</v>
      </c>
      <c r="B2341" s="96" t="s">
        <v>17</v>
      </c>
      <c r="C2341" s="97"/>
      <c r="D2341" s="122">
        <v>46142</v>
      </c>
      <c r="E2341" s="122"/>
      <c r="F2341" s="122"/>
      <c r="G2341" s="122"/>
      <c r="H2341" s="122"/>
      <c r="K2341" s="1">
        <v>3</v>
      </c>
      <c r="L2341" s="1">
        <v>3</v>
      </c>
      <c r="Q2341" s="26"/>
      <c r="R2341" s="26"/>
      <c r="S2341" s="26"/>
      <c r="T2341" s="9"/>
      <c r="U2341" s="1">
        <f t="shared" si="3826"/>
        <v>54</v>
      </c>
      <c r="V2341" s="1">
        <f t="shared" si="3827"/>
        <v>208</v>
      </c>
    </row>
    <row r="2342" spans="1:22" x14ac:dyDescent="0.3">
      <c r="A2342" s="1">
        <f t="shared" si="3828"/>
        <v>54209</v>
      </c>
      <c r="B2342" s="77" t="s">
        <v>19</v>
      </c>
      <c r="C2342" s="78"/>
      <c r="D2342" s="17">
        <v>0.1</v>
      </c>
      <c r="E2342" s="79" t="s">
        <v>40</v>
      </c>
      <c r="F2342" s="80"/>
      <c r="G2342" s="81"/>
      <c r="H2342" s="18" t="s">
        <v>72</v>
      </c>
      <c r="J2342" s="24" t="str">
        <f t="shared" ref="J2342" si="3866">CONCATENATE(K2341,1)</f>
        <v>31</v>
      </c>
      <c r="K2342" s="6">
        <f t="array" ref="K2342:L2344">LINEST(B2350:B2352,C2350:C2352^{1},TRUE,TRUE)</f>
        <v>0.99664473974658974</v>
      </c>
      <c r="L2342" s="6">
        <v>-0.13123040925346885</v>
      </c>
      <c r="Q2342" s="9"/>
      <c r="R2342" s="9"/>
      <c r="S2342" s="9"/>
      <c r="T2342" s="9"/>
      <c r="U2342" s="1">
        <f t="shared" si="3826"/>
        <v>54</v>
      </c>
      <c r="V2342" s="1">
        <f t="shared" si="3827"/>
        <v>209</v>
      </c>
    </row>
    <row r="2343" spans="1:22" x14ac:dyDescent="0.3">
      <c r="A2343" s="1">
        <f t="shared" si="3828"/>
        <v>54210</v>
      </c>
      <c r="B2343" s="77" t="s">
        <v>41</v>
      </c>
      <c r="C2343" s="78"/>
      <c r="D2343" s="23">
        <f t="shared" ref="D2343" si="3867">MIN(B2350:B2359)</f>
        <v>20</v>
      </c>
      <c r="E2343" s="20" t="s">
        <v>18</v>
      </c>
      <c r="F2343" s="19">
        <f t="shared" ref="F2343" si="3868">MAX(B2350:B2359)</f>
        <v>80</v>
      </c>
      <c r="G2343" s="21" t="str">
        <f t="shared" ref="G2343" si="3869">IF(H2342="","",H2342)</f>
        <v>%ur</v>
      </c>
      <c r="H2343" s="22"/>
      <c r="J2343" s="24" t="str">
        <f t="shared" ref="J2343" si="3870">CONCATENATE(K2341,2)</f>
        <v>32</v>
      </c>
      <c r="K2343" s="6">
        <v>5.7350143732139485E-3</v>
      </c>
      <c r="L2343" s="6">
        <v>0.32106435341911171</v>
      </c>
      <c r="Q2343" s="9"/>
      <c r="R2343" s="9"/>
      <c r="S2343" s="9"/>
      <c r="T2343" s="9"/>
      <c r="U2343" s="1">
        <f t="shared" si="3826"/>
        <v>54</v>
      </c>
      <c r="V2343" s="1">
        <f t="shared" si="3827"/>
        <v>210</v>
      </c>
    </row>
    <row r="2344" spans="1:22" x14ac:dyDescent="0.3">
      <c r="A2344" s="1">
        <f t="shared" si="3828"/>
        <v>54211</v>
      </c>
      <c r="J2344" s="24" t="str">
        <f t="shared" ref="J2344" si="3871">CONCATENATE(K2341,3)</f>
        <v>33</v>
      </c>
      <c r="K2344" s="6">
        <v>0.99996688887907814</v>
      </c>
      <c r="L2344" s="6">
        <v>0.24413114848226058</v>
      </c>
      <c r="Q2344" s="9"/>
      <c r="R2344" s="9"/>
      <c r="S2344" s="9"/>
      <c r="T2344" s="9"/>
      <c r="U2344" s="1">
        <f t="shared" si="3826"/>
        <v>54</v>
      </c>
      <c r="V2344" s="1">
        <f t="shared" si="3827"/>
        <v>211</v>
      </c>
    </row>
    <row r="2345" spans="1:22" x14ac:dyDescent="0.3">
      <c r="A2345" s="1">
        <f t="shared" si="3828"/>
        <v>54212</v>
      </c>
      <c r="B2345" s="82" t="s">
        <v>20</v>
      </c>
      <c r="C2345" s="83"/>
      <c r="D2345" s="83"/>
      <c r="E2345" s="83"/>
      <c r="F2345" s="84"/>
      <c r="G2345" s="85" t="s">
        <v>31</v>
      </c>
      <c r="H2345" s="86"/>
      <c r="K2345" s="1">
        <v>4</v>
      </c>
      <c r="L2345" s="1">
        <v>4</v>
      </c>
      <c r="M2345" s="1">
        <v>4</v>
      </c>
      <c r="Q2345" s="9"/>
      <c r="R2345" s="9"/>
      <c r="S2345" s="9"/>
      <c r="T2345" s="9"/>
      <c r="U2345" s="1">
        <f t="shared" si="3826"/>
        <v>54</v>
      </c>
      <c r="V2345" s="1">
        <f t="shared" si="3827"/>
        <v>212</v>
      </c>
    </row>
    <row r="2346" spans="1:22" x14ac:dyDescent="0.3">
      <c r="A2346" s="1">
        <f t="shared" si="3828"/>
        <v>54213</v>
      </c>
      <c r="B2346" s="82" t="s">
        <v>30</v>
      </c>
      <c r="C2346" s="83"/>
      <c r="D2346" s="84"/>
      <c r="E2346" s="82" t="str">
        <f t="shared" ref="E2346" si="3872">D2339</f>
        <v>E0204/25</v>
      </c>
      <c r="F2346" s="84"/>
      <c r="G2346" s="6" t="s">
        <v>32</v>
      </c>
      <c r="H2346" s="7"/>
      <c r="J2346" s="24" t="str">
        <f t="shared" ref="J2346" si="3873">CONCATENATE(K2345,1)</f>
        <v>41</v>
      </c>
      <c r="K2346" s="6" t="e">
        <f t="array" ref="K2346:M2348">LINEST(B2350:B2353,C2350:C2353^{1,2},TRUE,TRUE)</f>
        <v>#VALUE!</v>
      </c>
      <c r="L2346" s="6" t="e">
        <v>#VALUE!</v>
      </c>
      <c r="M2346" s="6" t="e">
        <v>#VALUE!</v>
      </c>
      <c r="Q2346" s="9"/>
      <c r="R2346" s="9"/>
      <c r="S2346" s="9"/>
      <c r="T2346" s="9"/>
      <c r="U2346" s="1">
        <f t="shared" si="3826"/>
        <v>54</v>
      </c>
      <c r="V2346" s="1">
        <f t="shared" si="3827"/>
        <v>213</v>
      </c>
    </row>
    <row r="2347" spans="1:22" x14ac:dyDescent="0.3">
      <c r="A2347" s="1">
        <f t="shared" si="3828"/>
        <v>54214</v>
      </c>
      <c r="B2347" s="2" t="s">
        <v>21</v>
      </c>
      <c r="C2347" s="2" t="s">
        <v>22</v>
      </c>
      <c r="D2347" s="2" t="s">
        <v>23</v>
      </c>
      <c r="E2347" s="2"/>
      <c r="F2347" s="2" t="s">
        <v>28</v>
      </c>
      <c r="G2347" s="2" t="s">
        <v>21</v>
      </c>
      <c r="H2347" s="2" t="s">
        <v>22</v>
      </c>
      <c r="J2347" s="24" t="str">
        <f t="shared" ref="J2347" si="3874">CONCATENATE(K2345,2)</f>
        <v>42</v>
      </c>
      <c r="K2347" s="6" t="e">
        <v>#VALUE!</v>
      </c>
      <c r="L2347" s="6" t="e">
        <v>#VALUE!</v>
      </c>
      <c r="M2347" s="6" t="e">
        <v>#VALUE!</v>
      </c>
      <c r="Q2347" s="9"/>
      <c r="R2347" s="9"/>
      <c r="S2347" s="9"/>
      <c r="T2347" s="9"/>
      <c r="U2347" s="1">
        <f t="shared" si="3826"/>
        <v>54</v>
      </c>
      <c r="V2347" s="1">
        <f t="shared" si="3827"/>
        <v>214</v>
      </c>
    </row>
    <row r="2348" spans="1:22" x14ac:dyDescent="0.3">
      <c r="A2348" s="1">
        <f t="shared" si="3828"/>
        <v>54215</v>
      </c>
      <c r="B2348" s="2" t="s">
        <v>24</v>
      </c>
      <c r="C2348" s="2" t="s">
        <v>25</v>
      </c>
      <c r="D2348" s="2" t="s">
        <v>26</v>
      </c>
      <c r="E2348" s="2" t="s">
        <v>27</v>
      </c>
      <c r="F2348" s="2" t="s">
        <v>29</v>
      </c>
      <c r="G2348" s="2" t="s">
        <v>24</v>
      </c>
      <c r="H2348" s="2" t="s">
        <v>25</v>
      </c>
      <c r="J2348" s="24" t="str">
        <f t="shared" ref="J2348" si="3875">CONCATENATE(K2345,3)</f>
        <v>43</v>
      </c>
      <c r="K2348" s="6" t="e">
        <v>#VALUE!</v>
      </c>
      <c r="L2348" s="6" t="e">
        <v>#VALUE!</v>
      </c>
      <c r="M2348" s="6" t="e">
        <v>#VALUE!</v>
      </c>
      <c r="Q2348" s="9"/>
      <c r="R2348" s="9"/>
      <c r="S2348" s="9"/>
      <c r="T2348" s="9"/>
      <c r="U2348" s="1">
        <f t="shared" si="3826"/>
        <v>54</v>
      </c>
      <c r="V2348" s="1">
        <f t="shared" si="3827"/>
        <v>215</v>
      </c>
    </row>
    <row r="2349" spans="1:22" x14ac:dyDescent="0.3">
      <c r="A2349" s="1">
        <f t="shared" si="3828"/>
        <v>54216</v>
      </c>
      <c r="B2349" s="3" t="str">
        <f t="shared" ref="B2349" si="3876">H2342</f>
        <v>%ur</v>
      </c>
      <c r="C2349" s="3" t="str">
        <f t="shared" ref="C2349" si="3877">B2349</f>
        <v>%ur</v>
      </c>
      <c r="D2349" s="3" t="str">
        <f t="shared" ref="D2349" si="3878">C2349</f>
        <v>%ur</v>
      </c>
      <c r="E2349" s="3"/>
      <c r="F2349" s="3"/>
      <c r="G2349" s="3" t="str">
        <f t="shared" ref="G2349" si="3879">D2349</f>
        <v>%ur</v>
      </c>
      <c r="H2349" s="3" t="str">
        <f t="shared" ref="H2349" si="3880">G2349</f>
        <v>%ur</v>
      </c>
      <c r="K2349" s="1">
        <v>5</v>
      </c>
      <c r="L2349" s="1">
        <v>5</v>
      </c>
      <c r="M2349" s="1">
        <v>5</v>
      </c>
      <c r="N2349" s="1">
        <v>5</v>
      </c>
      <c r="Q2349" s="9"/>
      <c r="R2349" s="9"/>
      <c r="S2349" s="9"/>
      <c r="T2349" s="9"/>
      <c r="U2349" s="1">
        <f t="shared" si="3826"/>
        <v>54</v>
      </c>
      <c r="V2349" s="1">
        <f t="shared" si="3827"/>
        <v>216</v>
      </c>
    </row>
    <row r="2350" spans="1:22" x14ac:dyDescent="0.3">
      <c r="A2350" s="1">
        <f t="shared" si="3828"/>
        <v>54217</v>
      </c>
      <c r="B2350" s="65">
        <v>20</v>
      </c>
      <c r="C2350" s="65">
        <v>20.3</v>
      </c>
      <c r="D2350" s="65">
        <v>0.7</v>
      </c>
      <c r="E2350" s="4">
        <v>2</v>
      </c>
      <c r="F2350" s="14">
        <v>1000000</v>
      </c>
      <c r="G2350" s="66"/>
      <c r="H2350" s="66"/>
      <c r="J2350" s="24" t="str">
        <f t="shared" ref="J2350" si="3881">CONCATENATE(K2349,1)</f>
        <v>51</v>
      </c>
      <c r="K2350" s="6" t="e">
        <f t="array" ref="K2350:N2352">LINEST(B2350:B2354,C2350:C2354^{1,2,3},TRUE,TRUE)</f>
        <v>#VALUE!</v>
      </c>
      <c r="L2350" s="6" t="e">
        <v>#VALUE!</v>
      </c>
      <c r="M2350" s="6" t="e">
        <v>#VALUE!</v>
      </c>
      <c r="N2350" s="6" t="e">
        <v>#VALUE!</v>
      </c>
      <c r="Q2350" s="9"/>
      <c r="R2350" s="9"/>
      <c r="S2350" s="9"/>
      <c r="T2350" s="9"/>
      <c r="U2350" s="1">
        <f t="shared" si="3826"/>
        <v>54</v>
      </c>
      <c r="V2350" s="1">
        <f t="shared" si="3827"/>
        <v>217</v>
      </c>
    </row>
    <row r="2351" spans="1:22" x14ac:dyDescent="0.3">
      <c r="A2351" s="1">
        <f t="shared" si="3828"/>
        <v>54218</v>
      </c>
      <c r="B2351" s="65">
        <v>50</v>
      </c>
      <c r="C2351" s="65">
        <v>50.1</v>
      </c>
      <c r="D2351" s="65">
        <v>1.1000000000000001</v>
      </c>
      <c r="E2351" s="4">
        <v>2</v>
      </c>
      <c r="F2351" s="14">
        <v>1000000</v>
      </c>
      <c r="G2351" s="66"/>
      <c r="H2351" s="66"/>
      <c r="J2351" s="24" t="str">
        <f t="shared" ref="J2351" si="3882">CONCATENATE(K2349,2)</f>
        <v>52</v>
      </c>
      <c r="K2351" s="6" t="e">
        <v>#VALUE!</v>
      </c>
      <c r="L2351" s="6" t="e">
        <v>#VALUE!</v>
      </c>
      <c r="M2351" s="6" t="e">
        <v>#VALUE!</v>
      </c>
      <c r="N2351" s="6" t="e">
        <v>#VALUE!</v>
      </c>
      <c r="T2351" s="9"/>
      <c r="U2351" s="1">
        <f t="shared" si="3826"/>
        <v>54</v>
      </c>
      <c r="V2351" s="1">
        <f t="shared" si="3827"/>
        <v>218</v>
      </c>
    </row>
    <row r="2352" spans="1:22" x14ac:dyDescent="0.3">
      <c r="A2352" s="1">
        <f t="shared" si="3828"/>
        <v>54219</v>
      </c>
      <c r="B2352" s="65">
        <v>80</v>
      </c>
      <c r="C2352" s="65">
        <v>80.5</v>
      </c>
      <c r="D2352" s="65">
        <v>1.1000000000000001</v>
      </c>
      <c r="E2352" s="4">
        <v>2</v>
      </c>
      <c r="F2352" s="14">
        <v>1000000</v>
      </c>
      <c r="G2352" s="66"/>
      <c r="H2352" s="66"/>
      <c r="J2352" s="24" t="str">
        <f t="shared" ref="J2352" si="3883">CONCATENATE(K2349,3)</f>
        <v>53</v>
      </c>
      <c r="K2352" s="6" t="e">
        <v>#VALUE!</v>
      </c>
      <c r="L2352" s="6" t="e">
        <v>#VALUE!</v>
      </c>
      <c r="M2352" s="6" t="e">
        <v>#VALUE!</v>
      </c>
      <c r="N2352" s="6" t="e">
        <v>#VALUE!</v>
      </c>
      <c r="T2352" s="9"/>
      <c r="U2352" s="1">
        <f t="shared" si="3826"/>
        <v>54</v>
      </c>
      <c r="V2352" s="1">
        <f t="shared" si="3827"/>
        <v>219</v>
      </c>
    </row>
    <row r="2353" spans="1:22" x14ac:dyDescent="0.3">
      <c r="A2353" s="1">
        <f t="shared" si="3828"/>
        <v>54220</v>
      </c>
      <c r="B2353" s="4"/>
      <c r="C2353" s="4"/>
      <c r="D2353" s="4"/>
      <c r="E2353" s="4"/>
      <c r="F2353" s="14"/>
      <c r="G2353" s="8"/>
      <c r="H2353" s="7"/>
      <c r="K2353" s="1">
        <v>6</v>
      </c>
      <c r="L2353" s="1">
        <v>6</v>
      </c>
      <c r="M2353" s="1">
        <v>6</v>
      </c>
      <c r="N2353" s="1">
        <v>6</v>
      </c>
      <c r="O2353" s="1">
        <v>6</v>
      </c>
      <c r="T2353" s="9"/>
      <c r="U2353" s="1">
        <f t="shared" si="3826"/>
        <v>54</v>
      </c>
      <c r="V2353" s="1">
        <f t="shared" si="3827"/>
        <v>220</v>
      </c>
    </row>
    <row r="2354" spans="1:22" x14ac:dyDescent="0.3">
      <c r="A2354" s="1">
        <f t="shared" si="3828"/>
        <v>54221</v>
      </c>
      <c r="B2354" s="4"/>
      <c r="C2354" s="4"/>
      <c r="D2354" s="4"/>
      <c r="E2354" s="4"/>
      <c r="F2354" s="14"/>
      <c r="G2354" s="8"/>
      <c r="H2354" s="7"/>
      <c r="J2354" s="24" t="str">
        <f t="shared" ref="J2354" si="3884">CONCATENATE(K2353,1)</f>
        <v>61</v>
      </c>
      <c r="K2354" s="6" t="e">
        <f t="array" ref="K2354:O2356">LINEST(B2350:B2355,C2350:C2355^{1,2,3,4},TRUE,TRUE)</f>
        <v>#VALUE!</v>
      </c>
      <c r="L2354" s="6" t="e">
        <v>#VALUE!</v>
      </c>
      <c r="M2354" s="6" t="e">
        <v>#VALUE!</v>
      </c>
      <c r="N2354" s="6" t="e">
        <v>#VALUE!</v>
      </c>
      <c r="O2354" s="6" t="e">
        <v>#VALUE!</v>
      </c>
      <c r="T2354" s="9"/>
      <c r="U2354" s="1">
        <f t="shared" si="3826"/>
        <v>54</v>
      </c>
      <c r="V2354" s="1">
        <f t="shared" si="3827"/>
        <v>221</v>
      </c>
    </row>
    <row r="2355" spans="1:22" x14ac:dyDescent="0.3">
      <c r="A2355" s="1">
        <f t="shared" si="3828"/>
        <v>54222</v>
      </c>
      <c r="B2355" s="4"/>
      <c r="C2355" s="4"/>
      <c r="D2355" s="4"/>
      <c r="E2355" s="4"/>
      <c r="F2355" s="14"/>
      <c r="G2355" s="8"/>
      <c r="H2355" s="7"/>
      <c r="J2355" s="24" t="str">
        <f t="shared" ref="J2355" si="3885">CONCATENATE(K2353,2)</f>
        <v>62</v>
      </c>
      <c r="K2355" s="6" t="e">
        <v>#VALUE!</v>
      </c>
      <c r="L2355" s="6" t="e">
        <v>#VALUE!</v>
      </c>
      <c r="M2355" s="6" t="e">
        <v>#VALUE!</v>
      </c>
      <c r="N2355" s="6" t="e">
        <v>#VALUE!</v>
      </c>
      <c r="O2355" s="6" t="e">
        <v>#VALUE!</v>
      </c>
      <c r="T2355" s="9"/>
      <c r="U2355" s="1">
        <f t="shared" si="3826"/>
        <v>54</v>
      </c>
      <c r="V2355" s="1">
        <f t="shared" si="3827"/>
        <v>222</v>
      </c>
    </row>
    <row r="2356" spans="1:22" x14ac:dyDescent="0.3">
      <c r="A2356" s="1">
        <f t="shared" si="3828"/>
        <v>54223</v>
      </c>
      <c r="B2356" s="4"/>
      <c r="C2356" s="4"/>
      <c r="D2356" s="4"/>
      <c r="E2356" s="4"/>
      <c r="F2356" s="14"/>
      <c r="G2356" s="8"/>
      <c r="H2356" s="7"/>
      <c r="J2356" s="24" t="str">
        <f t="shared" ref="J2356" si="3886">CONCATENATE(K2353,3)</f>
        <v>63</v>
      </c>
      <c r="K2356" s="6" t="e">
        <v>#VALUE!</v>
      </c>
      <c r="L2356" s="6" t="e">
        <v>#VALUE!</v>
      </c>
      <c r="M2356" s="6" t="e">
        <v>#VALUE!</v>
      </c>
      <c r="N2356" s="6" t="e">
        <v>#VALUE!</v>
      </c>
      <c r="O2356" s="6" t="e">
        <v>#VALUE!</v>
      </c>
      <c r="T2356" s="9"/>
      <c r="U2356" s="1">
        <f t="shared" si="3826"/>
        <v>54</v>
      </c>
      <c r="V2356" s="1">
        <f t="shared" si="3827"/>
        <v>223</v>
      </c>
    </row>
    <row r="2357" spans="1:22" x14ac:dyDescent="0.3">
      <c r="A2357" s="1">
        <f t="shared" si="3828"/>
        <v>54224</v>
      </c>
      <c r="B2357" s="4"/>
      <c r="C2357" s="4"/>
      <c r="D2357" s="4"/>
      <c r="E2357" s="4"/>
      <c r="F2357" s="14"/>
      <c r="G2357" s="8"/>
      <c r="H2357" s="7"/>
      <c r="K2357" s="1">
        <v>7</v>
      </c>
      <c r="L2357" s="1">
        <v>7</v>
      </c>
      <c r="M2357" s="1">
        <v>7</v>
      </c>
      <c r="N2357" s="1">
        <v>7</v>
      </c>
      <c r="O2357" s="1">
        <v>7</v>
      </c>
      <c r="P2357" s="1">
        <v>7</v>
      </c>
      <c r="T2357" s="9"/>
      <c r="U2357" s="1">
        <f t="shared" si="3826"/>
        <v>54</v>
      </c>
      <c r="V2357" s="1">
        <f t="shared" si="3827"/>
        <v>224</v>
      </c>
    </row>
    <row r="2358" spans="1:22" x14ac:dyDescent="0.3">
      <c r="A2358" s="1">
        <f t="shared" si="3828"/>
        <v>54225</v>
      </c>
      <c r="B2358" s="4"/>
      <c r="C2358" s="4"/>
      <c r="D2358" s="4"/>
      <c r="E2358" s="4"/>
      <c r="F2358" s="14"/>
      <c r="G2358" s="8"/>
      <c r="H2358" s="7"/>
      <c r="J2358" s="24" t="str">
        <f t="shared" ref="J2358" si="3887">CONCATENATE(K2357,1)</f>
        <v>71</v>
      </c>
      <c r="K2358" s="6" t="e">
        <f t="array" ref="K2358:P2360">LINEST(B2350:B2356,C2350:C2356^{1,2,3,4,5},TRUE,TRUE)</f>
        <v>#VALUE!</v>
      </c>
      <c r="L2358" s="6" t="e">
        <v>#VALUE!</v>
      </c>
      <c r="M2358" s="6" t="e">
        <v>#VALUE!</v>
      </c>
      <c r="N2358" s="6" t="e">
        <v>#VALUE!</v>
      </c>
      <c r="O2358" s="6" t="e">
        <v>#VALUE!</v>
      </c>
      <c r="P2358" s="6" t="e">
        <v>#VALUE!</v>
      </c>
      <c r="T2358" s="9"/>
      <c r="U2358" s="1">
        <f t="shared" si="3826"/>
        <v>54</v>
      </c>
      <c r="V2358" s="1">
        <f t="shared" si="3827"/>
        <v>225</v>
      </c>
    </row>
    <row r="2359" spans="1:22" x14ac:dyDescent="0.3">
      <c r="A2359" s="1">
        <f t="shared" si="3828"/>
        <v>54226</v>
      </c>
      <c r="B2359" s="4"/>
      <c r="C2359" s="4"/>
      <c r="D2359" s="4"/>
      <c r="E2359" s="4"/>
      <c r="F2359" s="14"/>
      <c r="G2359" s="8"/>
      <c r="H2359" s="7"/>
      <c r="J2359" s="24" t="str">
        <f t="shared" ref="J2359" si="3888">CONCATENATE(K2357,2)</f>
        <v>72</v>
      </c>
      <c r="K2359" s="6" t="e">
        <v>#VALUE!</v>
      </c>
      <c r="L2359" s="6" t="e">
        <v>#VALUE!</v>
      </c>
      <c r="M2359" s="6" t="e">
        <v>#VALUE!</v>
      </c>
      <c r="N2359" s="6" t="e">
        <v>#VALUE!</v>
      </c>
      <c r="O2359" s="6" t="e">
        <v>#VALUE!</v>
      </c>
      <c r="P2359" s="6" t="e">
        <v>#VALUE!</v>
      </c>
      <c r="T2359" s="9"/>
      <c r="U2359" s="1">
        <f t="shared" si="3826"/>
        <v>54</v>
      </c>
      <c r="V2359" s="1">
        <f t="shared" si="3827"/>
        <v>226</v>
      </c>
    </row>
    <row r="2360" spans="1:22" x14ac:dyDescent="0.3">
      <c r="A2360" s="1">
        <f t="shared" si="3828"/>
        <v>54227</v>
      </c>
      <c r="B2360" s="9"/>
      <c r="C2360" s="9"/>
      <c r="D2360" s="9"/>
      <c r="E2360" s="9"/>
      <c r="F2360" s="9"/>
      <c r="G2360" s="9"/>
      <c r="H2360" s="9"/>
      <c r="J2360" s="24" t="str">
        <f t="shared" ref="J2360" si="3889">CONCATENATE(K2357,3)</f>
        <v>73</v>
      </c>
      <c r="K2360" s="6" t="e">
        <v>#VALUE!</v>
      </c>
      <c r="L2360" s="6" t="e">
        <v>#VALUE!</v>
      </c>
      <c r="M2360" s="6" t="e">
        <v>#VALUE!</v>
      </c>
      <c r="N2360" s="6" t="e">
        <v>#VALUE!</v>
      </c>
      <c r="O2360" s="6" t="e">
        <v>#VALUE!</v>
      </c>
      <c r="P2360" s="6" t="e">
        <v>#VALUE!</v>
      </c>
      <c r="T2360" s="9"/>
      <c r="U2360" s="1">
        <f t="shared" si="3826"/>
        <v>54</v>
      </c>
      <c r="V2360" s="1">
        <f t="shared" si="3827"/>
        <v>227</v>
      </c>
    </row>
    <row r="2361" spans="1:22" x14ac:dyDescent="0.3">
      <c r="A2361" s="1">
        <f t="shared" si="3828"/>
        <v>54228</v>
      </c>
      <c r="B2361" s="87" t="s">
        <v>33</v>
      </c>
      <c r="C2361" s="88"/>
      <c r="D2361" s="88"/>
      <c r="E2361" s="88"/>
      <c r="F2361" s="88"/>
      <c r="G2361" s="88"/>
      <c r="H2361" s="89"/>
      <c r="K2361" s="1">
        <v>8</v>
      </c>
      <c r="L2361" s="1">
        <v>8</v>
      </c>
      <c r="M2361" s="1">
        <v>8</v>
      </c>
      <c r="N2361" s="1">
        <v>8</v>
      </c>
      <c r="O2361" s="1">
        <v>8</v>
      </c>
      <c r="P2361" s="1">
        <v>8</v>
      </c>
      <c r="Q2361" s="1">
        <v>8</v>
      </c>
      <c r="T2361" s="9"/>
      <c r="U2361" s="1">
        <f t="shared" si="3826"/>
        <v>54</v>
      </c>
      <c r="V2361" s="1">
        <f t="shared" si="3827"/>
        <v>228</v>
      </c>
    </row>
    <row r="2362" spans="1:22" x14ac:dyDescent="0.3">
      <c r="A2362" s="1">
        <f t="shared" si="3828"/>
        <v>54229</v>
      </c>
      <c r="B2362" s="90"/>
      <c r="C2362" s="91"/>
      <c r="D2362" s="91"/>
      <c r="E2362" s="91"/>
      <c r="F2362" s="91"/>
      <c r="G2362" s="91"/>
      <c r="H2362" s="92"/>
      <c r="J2362" s="24" t="str">
        <f t="shared" ref="J2362" si="3890">CONCATENATE(K2361,1)</f>
        <v>81</v>
      </c>
      <c r="K2362" s="6" t="e">
        <f t="array" ref="K2362:Q2364">LINEST(B2350:B2357,C2350:C2357^{1,2,3,4,5,6},TRUE,TRUE)</f>
        <v>#VALUE!</v>
      </c>
      <c r="L2362" s="6" t="e">
        <v>#VALUE!</v>
      </c>
      <c r="M2362" s="6" t="e">
        <v>#VALUE!</v>
      </c>
      <c r="N2362" s="6" t="e">
        <v>#VALUE!</v>
      </c>
      <c r="O2362" s="6" t="e">
        <v>#VALUE!</v>
      </c>
      <c r="P2362" s="6" t="e">
        <v>#VALUE!</v>
      </c>
      <c r="Q2362" s="6" t="e">
        <v>#VALUE!</v>
      </c>
      <c r="T2362" s="9"/>
      <c r="U2362" s="1">
        <f t="shared" si="3826"/>
        <v>54</v>
      </c>
      <c r="V2362" s="1">
        <f t="shared" si="3827"/>
        <v>229</v>
      </c>
    </row>
    <row r="2363" spans="1:22" x14ac:dyDescent="0.3">
      <c r="A2363" s="1">
        <f t="shared" si="3828"/>
        <v>54230</v>
      </c>
      <c r="B2363" s="93"/>
      <c r="C2363" s="94"/>
      <c r="D2363" s="94"/>
      <c r="E2363" s="94"/>
      <c r="F2363" s="94"/>
      <c r="G2363" s="94"/>
      <c r="H2363" s="95"/>
      <c r="J2363" s="24" t="str">
        <f t="shared" ref="J2363" si="3891">CONCATENATE(K2361,2)</f>
        <v>82</v>
      </c>
      <c r="K2363" s="6" t="e">
        <v>#VALUE!</v>
      </c>
      <c r="L2363" s="6" t="e">
        <v>#VALUE!</v>
      </c>
      <c r="M2363" s="6" t="e">
        <v>#VALUE!</v>
      </c>
      <c r="N2363" s="6" t="e">
        <v>#VALUE!</v>
      </c>
      <c r="O2363" s="6" t="e">
        <v>#VALUE!</v>
      </c>
      <c r="P2363" s="6" t="e">
        <v>#VALUE!</v>
      </c>
      <c r="Q2363" s="6" t="e">
        <v>#VALUE!</v>
      </c>
      <c r="T2363" s="9"/>
      <c r="U2363" s="1">
        <f t="shared" si="3826"/>
        <v>54</v>
      </c>
      <c r="V2363" s="1">
        <f t="shared" si="3827"/>
        <v>230</v>
      </c>
    </row>
    <row r="2364" spans="1:22" x14ac:dyDescent="0.3">
      <c r="A2364" s="1">
        <f t="shared" si="3828"/>
        <v>54231</v>
      </c>
      <c r="J2364" s="24" t="str">
        <f t="shared" ref="J2364" si="3892">CONCATENATE(K2361,3)</f>
        <v>83</v>
      </c>
      <c r="K2364" s="6" t="e">
        <v>#VALUE!</v>
      </c>
      <c r="L2364" s="6" t="e">
        <v>#VALUE!</v>
      </c>
      <c r="M2364" s="6" t="e">
        <v>#VALUE!</v>
      </c>
      <c r="N2364" s="6" t="e">
        <v>#VALUE!</v>
      </c>
      <c r="O2364" s="6" t="e">
        <v>#VALUE!</v>
      </c>
      <c r="P2364" s="6" t="e">
        <v>#VALUE!</v>
      </c>
      <c r="Q2364" s="6" t="e">
        <v>#VALUE!</v>
      </c>
      <c r="T2364" s="9"/>
      <c r="U2364" s="1">
        <f t="shared" si="3826"/>
        <v>54</v>
      </c>
      <c r="V2364" s="1">
        <f t="shared" si="3827"/>
        <v>231</v>
      </c>
    </row>
    <row r="2365" spans="1:22" ht="15" customHeight="1" x14ac:dyDescent="0.3">
      <c r="A2365" s="1">
        <f t="shared" si="3828"/>
        <v>54232</v>
      </c>
      <c r="B2365" s="10" t="s">
        <v>34</v>
      </c>
      <c r="C2365" s="10" t="s">
        <v>35</v>
      </c>
      <c r="D2365" s="10" t="s">
        <v>36</v>
      </c>
      <c r="E2365" s="74" t="s">
        <v>37</v>
      </c>
      <c r="F2365" s="75"/>
      <c r="G2365" s="76"/>
      <c r="K2365" s="1">
        <v>9</v>
      </c>
      <c r="L2365" s="1">
        <v>9</v>
      </c>
      <c r="M2365" s="1">
        <v>9</v>
      </c>
      <c r="N2365" s="1">
        <v>9</v>
      </c>
      <c r="O2365" s="1">
        <v>9</v>
      </c>
      <c r="P2365" s="1">
        <v>9</v>
      </c>
      <c r="Q2365" s="1">
        <v>9</v>
      </c>
      <c r="R2365" s="1">
        <v>9</v>
      </c>
      <c r="T2365" s="9"/>
      <c r="U2365" s="1">
        <f t="shared" si="3826"/>
        <v>54</v>
      </c>
      <c r="V2365" s="1">
        <f t="shared" si="3827"/>
        <v>232</v>
      </c>
    </row>
    <row r="2366" spans="1:22" x14ac:dyDescent="0.3">
      <c r="A2366" s="1">
        <f t="shared" si="3828"/>
        <v>54233</v>
      </c>
      <c r="B2366" s="12">
        <f t="shared" ref="B2366:B2375" si="3893">C2350-B2350</f>
        <v>0.30000000000000071</v>
      </c>
      <c r="C2366" s="13">
        <f t="shared" ref="C2366:C2375" si="3894">H2350-G2350</f>
        <v>0</v>
      </c>
      <c r="D2366" s="10">
        <f t="shared" ref="D2366:D2375" si="3895">C2366-B2366</f>
        <v>-0.30000000000000071</v>
      </c>
      <c r="E2366" s="11">
        <f t="shared" ref="E2366" si="3896">IF(D2341="","",MAX(F2366,G2366))</f>
        <v>0.5</v>
      </c>
      <c r="F2366" s="10">
        <f t="shared" ref="F2366" si="3897">ABS(MIN(D2366:D2375))</f>
        <v>0.5</v>
      </c>
      <c r="G2366" s="10">
        <f t="shared" ref="G2366" si="3898">ABS(MAX(D2366:D2375))</f>
        <v>0</v>
      </c>
      <c r="J2366" s="24" t="str">
        <f t="shared" ref="J2366" si="3899">CONCATENATE(K2365,1)</f>
        <v>91</v>
      </c>
      <c r="K2366" s="6" t="e">
        <f t="array" ref="K2366:R2368">LINEST(B2350:B2358,C2350:C2358^{1,2,3,4,5,6,7},TRUE,TRUE)</f>
        <v>#VALUE!</v>
      </c>
      <c r="L2366" s="6" t="e">
        <v>#VALUE!</v>
      </c>
      <c r="M2366" s="6" t="e">
        <v>#VALUE!</v>
      </c>
      <c r="N2366" s="6" t="e">
        <v>#VALUE!</v>
      </c>
      <c r="O2366" s="6" t="e">
        <v>#VALUE!</v>
      </c>
      <c r="P2366" s="6" t="e">
        <v>#VALUE!</v>
      </c>
      <c r="Q2366" s="6" t="e">
        <v>#VALUE!</v>
      </c>
      <c r="R2366" s="6" t="e">
        <v>#VALUE!</v>
      </c>
      <c r="T2366" s="9"/>
      <c r="U2366" s="1">
        <f t="shared" si="3826"/>
        <v>54</v>
      </c>
      <c r="V2366" s="1">
        <f t="shared" si="3827"/>
        <v>233</v>
      </c>
    </row>
    <row r="2367" spans="1:22" x14ac:dyDescent="0.3">
      <c r="A2367" s="1">
        <f t="shared" si="3828"/>
        <v>54234</v>
      </c>
      <c r="B2367" s="12">
        <f t="shared" si="3893"/>
        <v>0.10000000000000142</v>
      </c>
      <c r="C2367" s="13">
        <f t="shared" si="3894"/>
        <v>0</v>
      </c>
      <c r="D2367" s="10">
        <f t="shared" si="3895"/>
        <v>-0.10000000000000142</v>
      </c>
      <c r="E2367" s="74" t="s">
        <v>38</v>
      </c>
      <c r="F2367" s="75"/>
      <c r="G2367" s="76"/>
      <c r="J2367" s="24" t="str">
        <f t="shared" ref="J2367" si="3900">CONCATENATE(K2365,2)</f>
        <v>92</v>
      </c>
      <c r="K2367" s="6" t="e">
        <v>#VALUE!</v>
      </c>
      <c r="L2367" s="6" t="e">
        <v>#VALUE!</v>
      </c>
      <c r="M2367" s="6" t="e">
        <v>#VALUE!</v>
      </c>
      <c r="N2367" s="6" t="e">
        <v>#VALUE!</v>
      </c>
      <c r="O2367" s="6" t="e">
        <v>#VALUE!</v>
      </c>
      <c r="P2367" s="6" t="e">
        <v>#VALUE!</v>
      </c>
      <c r="Q2367" s="6" t="e">
        <v>#VALUE!</v>
      </c>
      <c r="R2367" s="6" t="e">
        <v>#VALUE!</v>
      </c>
      <c r="T2367" s="9"/>
      <c r="U2367" s="1">
        <f t="shared" si="3826"/>
        <v>54</v>
      </c>
      <c r="V2367" s="1">
        <f t="shared" si="3827"/>
        <v>234</v>
      </c>
    </row>
    <row r="2368" spans="1:22" x14ac:dyDescent="0.3">
      <c r="A2368" s="1">
        <f t="shared" si="3828"/>
        <v>54235</v>
      </c>
      <c r="B2368" s="12">
        <f t="shared" si="3893"/>
        <v>0.5</v>
      </c>
      <c r="C2368" s="13">
        <f t="shared" si="3894"/>
        <v>0</v>
      </c>
      <c r="D2368" s="10">
        <f t="shared" si="3895"/>
        <v>-0.5</v>
      </c>
      <c r="E2368" s="11">
        <f t="shared" ref="E2368" si="3901">IF(D2341="","",MAX(F2368,G2368))</f>
        <v>0.5</v>
      </c>
      <c r="F2368" s="10">
        <f t="shared" ref="F2368" si="3902">ABS(MIN(B2366:B2375))</f>
        <v>0</v>
      </c>
      <c r="G2368" s="10">
        <f t="shared" ref="G2368" si="3903">ABS(MAX(B2366:B2375))</f>
        <v>0.5</v>
      </c>
      <c r="J2368" s="24" t="str">
        <f t="shared" ref="J2368" si="3904">CONCATENATE(K2365,3)</f>
        <v>93</v>
      </c>
      <c r="K2368" s="6" t="e">
        <v>#VALUE!</v>
      </c>
      <c r="L2368" s="6" t="e">
        <v>#VALUE!</v>
      </c>
      <c r="M2368" s="6" t="e">
        <v>#VALUE!</v>
      </c>
      <c r="N2368" s="6" t="e">
        <v>#VALUE!</v>
      </c>
      <c r="O2368" s="6" t="e">
        <v>#VALUE!</v>
      </c>
      <c r="P2368" s="6" t="e">
        <v>#VALUE!</v>
      </c>
      <c r="Q2368" s="6" t="e">
        <v>#VALUE!</v>
      </c>
      <c r="R2368" s="6" t="e">
        <v>#VALUE!</v>
      </c>
      <c r="T2368" s="9"/>
      <c r="U2368" s="1">
        <f t="shared" si="3826"/>
        <v>54</v>
      </c>
      <c r="V2368" s="1">
        <f t="shared" si="3827"/>
        <v>235</v>
      </c>
    </row>
    <row r="2369" spans="1:22" x14ac:dyDescent="0.3">
      <c r="A2369" s="1">
        <f t="shared" si="3828"/>
        <v>54236</v>
      </c>
      <c r="B2369" s="12">
        <f t="shared" si="3893"/>
        <v>0</v>
      </c>
      <c r="C2369" s="13">
        <f t="shared" si="3894"/>
        <v>0</v>
      </c>
      <c r="D2369" s="10">
        <f t="shared" si="3895"/>
        <v>0</v>
      </c>
      <c r="E2369" s="74" t="s">
        <v>39</v>
      </c>
      <c r="F2369" s="75"/>
      <c r="G2369" s="76"/>
      <c r="K2369" s="1">
        <v>10</v>
      </c>
      <c r="L2369" s="1">
        <v>10</v>
      </c>
      <c r="M2369" s="1">
        <v>10</v>
      </c>
      <c r="N2369" s="1">
        <v>10</v>
      </c>
      <c r="O2369" s="1">
        <v>10</v>
      </c>
      <c r="P2369" s="1">
        <v>10</v>
      </c>
      <c r="Q2369" s="1">
        <v>10</v>
      </c>
      <c r="R2369" s="1">
        <v>10</v>
      </c>
      <c r="S2369" s="1">
        <v>10</v>
      </c>
      <c r="T2369" s="9"/>
      <c r="U2369" s="1">
        <f t="shared" si="3826"/>
        <v>54</v>
      </c>
      <c r="V2369" s="1">
        <f t="shared" si="3827"/>
        <v>236</v>
      </c>
    </row>
    <row r="2370" spans="1:22" x14ac:dyDescent="0.3">
      <c r="A2370" s="1">
        <f t="shared" si="3828"/>
        <v>54237</v>
      </c>
      <c r="B2370" s="12">
        <f t="shared" si="3893"/>
        <v>0</v>
      </c>
      <c r="C2370" s="13">
        <f t="shared" si="3894"/>
        <v>0</v>
      </c>
      <c r="D2370" s="10">
        <f t="shared" si="3895"/>
        <v>0</v>
      </c>
      <c r="E2370" s="11">
        <f t="shared" ref="E2370" si="3905">IF(D2341="","",MAX(F2370,G2370))</f>
        <v>1.1000000000000001</v>
      </c>
      <c r="F2370" s="10">
        <f t="shared" ref="F2370" si="3906">ABS(MIN(D2350:D2359))</f>
        <v>0.7</v>
      </c>
      <c r="G2370" s="10">
        <f t="shared" ref="G2370" si="3907">ABS(MAX(D2350:D2359))</f>
        <v>1.1000000000000001</v>
      </c>
      <c r="J2370" s="24" t="str">
        <f t="shared" ref="J2370" si="3908">CONCATENATE(K2369,1)</f>
        <v>101</v>
      </c>
      <c r="K2370" s="6" t="e">
        <f t="array" ref="K2370:S2372">LINEST(B2350:B2359,C2350:C2359^{1,2,3,4,5,6,7,8},TRUE,TRUE)</f>
        <v>#VALUE!</v>
      </c>
      <c r="L2370" s="6" t="e">
        <v>#VALUE!</v>
      </c>
      <c r="M2370" s="6" t="e">
        <v>#VALUE!</v>
      </c>
      <c r="N2370" s="6" t="e">
        <v>#VALUE!</v>
      </c>
      <c r="O2370" s="6" t="e">
        <v>#VALUE!</v>
      </c>
      <c r="P2370" s="6" t="e">
        <v>#VALUE!</v>
      </c>
      <c r="Q2370" s="6" t="e">
        <v>#VALUE!</v>
      </c>
      <c r="R2370" s="6" t="e">
        <v>#VALUE!</v>
      </c>
      <c r="S2370" s="6" t="e">
        <v>#VALUE!</v>
      </c>
      <c r="T2370" s="9"/>
      <c r="U2370" s="1">
        <f t="shared" si="3826"/>
        <v>54</v>
      </c>
      <c r="V2370" s="1">
        <f t="shared" si="3827"/>
        <v>237</v>
      </c>
    </row>
    <row r="2371" spans="1:22" x14ac:dyDescent="0.3">
      <c r="A2371" s="1">
        <f t="shared" si="3828"/>
        <v>54238</v>
      </c>
      <c r="B2371" s="12">
        <f t="shared" si="3893"/>
        <v>0</v>
      </c>
      <c r="C2371" s="13">
        <f t="shared" si="3894"/>
        <v>0</v>
      </c>
      <c r="D2371" s="10">
        <f t="shared" si="3895"/>
        <v>0</v>
      </c>
      <c r="J2371" s="24" t="str">
        <f t="shared" ref="J2371" si="3909">CONCATENATE(K2369,2)</f>
        <v>102</v>
      </c>
      <c r="K2371" s="6" t="e">
        <v>#VALUE!</v>
      </c>
      <c r="L2371" s="6" t="e">
        <v>#VALUE!</v>
      </c>
      <c r="M2371" s="6" t="e">
        <v>#VALUE!</v>
      </c>
      <c r="N2371" s="6" t="e">
        <v>#VALUE!</v>
      </c>
      <c r="O2371" s="6" t="e">
        <v>#VALUE!</v>
      </c>
      <c r="P2371" s="6" t="e">
        <v>#VALUE!</v>
      </c>
      <c r="Q2371" s="6" t="e">
        <v>#VALUE!</v>
      </c>
      <c r="R2371" s="6" t="e">
        <v>#VALUE!</v>
      </c>
      <c r="S2371" s="6" t="e">
        <v>#VALUE!</v>
      </c>
      <c r="T2371" s="9"/>
      <c r="U2371" s="1">
        <f t="shared" si="3826"/>
        <v>54</v>
      </c>
      <c r="V2371" s="1">
        <f t="shared" si="3827"/>
        <v>238</v>
      </c>
    </row>
    <row r="2372" spans="1:22" x14ac:dyDescent="0.3">
      <c r="A2372" s="1">
        <f t="shared" si="3828"/>
        <v>54239</v>
      </c>
      <c r="B2372" s="12">
        <f t="shared" si="3893"/>
        <v>0</v>
      </c>
      <c r="C2372" s="13">
        <f t="shared" si="3894"/>
        <v>0</v>
      </c>
      <c r="D2372" s="10">
        <f t="shared" si="3895"/>
        <v>0</v>
      </c>
      <c r="J2372" s="24" t="str">
        <f t="shared" ref="J2372" si="3910">CONCATENATE(K2369,3)</f>
        <v>103</v>
      </c>
      <c r="K2372" s="6" t="e">
        <v>#VALUE!</v>
      </c>
      <c r="L2372" s="6" t="e">
        <v>#VALUE!</v>
      </c>
      <c r="M2372" s="6" t="e">
        <v>#VALUE!</v>
      </c>
      <c r="N2372" s="6" t="e">
        <v>#VALUE!</v>
      </c>
      <c r="O2372" s="6" t="e">
        <v>#VALUE!</v>
      </c>
      <c r="P2372" s="6" t="e">
        <v>#VALUE!</v>
      </c>
      <c r="Q2372" s="6" t="e">
        <v>#VALUE!</v>
      </c>
      <c r="R2372" s="6" t="e">
        <v>#VALUE!</v>
      </c>
      <c r="S2372" s="6" t="e">
        <v>#VALUE!</v>
      </c>
      <c r="T2372" s="9"/>
      <c r="U2372" s="1">
        <f t="shared" si="3826"/>
        <v>54</v>
      </c>
      <c r="V2372" s="1">
        <f t="shared" si="3827"/>
        <v>239</v>
      </c>
    </row>
    <row r="2373" spans="1:22" x14ac:dyDescent="0.3">
      <c r="A2373" s="1">
        <f t="shared" si="3828"/>
        <v>54240</v>
      </c>
      <c r="B2373" s="12">
        <f t="shared" si="3893"/>
        <v>0</v>
      </c>
      <c r="C2373" s="13">
        <f t="shared" si="3894"/>
        <v>0</v>
      </c>
      <c r="D2373" s="10">
        <f t="shared" si="3895"/>
        <v>0</v>
      </c>
      <c r="J2373" s="9"/>
      <c r="K2373" s="9"/>
      <c r="L2373" s="9"/>
      <c r="M2373" s="9"/>
      <c r="N2373" s="9"/>
      <c r="O2373" s="9"/>
      <c r="P2373" s="9"/>
      <c r="Q2373" s="9"/>
      <c r="R2373" s="9"/>
      <c r="S2373" s="9"/>
      <c r="T2373" s="9"/>
      <c r="U2373" s="1">
        <f t="shared" si="3826"/>
        <v>54</v>
      </c>
      <c r="V2373" s="1">
        <f t="shared" si="3827"/>
        <v>240</v>
      </c>
    </row>
    <row r="2374" spans="1:22" x14ac:dyDescent="0.3">
      <c r="A2374" s="1">
        <f t="shared" si="3828"/>
        <v>54241</v>
      </c>
      <c r="B2374" s="12">
        <f t="shared" si="3893"/>
        <v>0</v>
      </c>
      <c r="C2374" s="13">
        <f t="shared" si="3894"/>
        <v>0</v>
      </c>
      <c r="D2374" s="10">
        <f t="shared" si="3895"/>
        <v>0</v>
      </c>
      <c r="J2374" s="9"/>
      <c r="K2374" s="9"/>
      <c r="L2374" s="9"/>
      <c r="M2374" s="9"/>
      <c r="N2374" s="9"/>
      <c r="O2374" s="9"/>
      <c r="P2374" s="9"/>
      <c r="Q2374" s="9"/>
      <c r="R2374" s="9"/>
      <c r="S2374" s="9"/>
      <c r="T2374" s="9"/>
      <c r="U2374" s="1">
        <f t="shared" si="3826"/>
        <v>54</v>
      </c>
      <c r="V2374" s="1">
        <f t="shared" si="3827"/>
        <v>241</v>
      </c>
    </row>
    <row r="2375" spans="1:22" x14ac:dyDescent="0.3">
      <c r="A2375" s="1">
        <f t="shared" si="3828"/>
        <v>54242</v>
      </c>
      <c r="B2375" s="12">
        <f t="shared" si="3893"/>
        <v>0</v>
      </c>
      <c r="C2375" s="13">
        <f t="shared" si="3894"/>
        <v>0</v>
      </c>
      <c r="D2375" s="10">
        <f t="shared" si="3895"/>
        <v>0</v>
      </c>
      <c r="J2375" s="9"/>
      <c r="K2375" s="9"/>
      <c r="L2375" s="9"/>
      <c r="M2375" s="9"/>
      <c r="N2375" s="9"/>
      <c r="O2375" s="9"/>
      <c r="P2375" s="9"/>
      <c r="Q2375" s="9"/>
      <c r="R2375" s="9"/>
      <c r="S2375" s="9"/>
      <c r="T2375" s="9"/>
      <c r="U2375" s="1">
        <f t="shared" si="3826"/>
        <v>54</v>
      </c>
      <c r="V2375" s="1">
        <f t="shared" si="3827"/>
        <v>242</v>
      </c>
    </row>
    <row r="2376" spans="1:22" x14ac:dyDescent="0.3">
      <c r="A2376" s="1">
        <f t="shared" si="3828"/>
        <v>54243</v>
      </c>
      <c r="J2376" s="9"/>
      <c r="K2376" s="9"/>
      <c r="L2376" s="9"/>
      <c r="M2376" s="9"/>
      <c r="N2376" s="9"/>
      <c r="O2376" s="9"/>
      <c r="P2376" s="9"/>
      <c r="Q2376" s="9"/>
      <c r="R2376" s="9"/>
      <c r="S2376" s="9"/>
      <c r="T2376" s="9"/>
      <c r="U2376" s="1">
        <f t="shared" si="3826"/>
        <v>54</v>
      </c>
      <c r="V2376" s="1">
        <f t="shared" si="3827"/>
        <v>243</v>
      </c>
    </row>
    <row r="2377" spans="1:22" s="5" customFormat="1" x14ac:dyDescent="0.3"/>
    <row r="2378" spans="1:22" x14ac:dyDescent="0.3">
      <c r="A2378" s="1">
        <f t="shared" ref="A2378:A2420" si="3911">ROUND(CONCATENATE(U2378,V2378),0)</f>
        <v>55201</v>
      </c>
      <c r="B2378" s="96" t="s">
        <v>0</v>
      </c>
      <c r="C2378" s="97"/>
      <c r="D2378" s="110" t="s">
        <v>46</v>
      </c>
      <c r="E2378" s="111"/>
      <c r="F2378" s="111"/>
      <c r="G2378" s="111"/>
      <c r="H2378" s="112"/>
      <c r="J2378" s="9"/>
      <c r="K2378" s="9"/>
      <c r="L2378" s="9"/>
      <c r="M2378" s="9"/>
      <c r="N2378" s="9"/>
      <c r="O2378" s="9"/>
      <c r="P2378" s="9"/>
      <c r="Q2378" s="9"/>
      <c r="R2378" s="9"/>
      <c r="S2378" s="9"/>
      <c r="T2378" s="9"/>
      <c r="U2378" s="1">
        <f t="shared" ref="U2378" si="3912">U2376+1</f>
        <v>55</v>
      </c>
      <c r="V2378" s="1">
        <v>201</v>
      </c>
    </row>
    <row r="2379" spans="1:22" x14ac:dyDescent="0.3">
      <c r="A2379" s="1">
        <f t="shared" si="3911"/>
        <v>55202</v>
      </c>
      <c r="B2379" s="96" t="s">
        <v>1</v>
      </c>
      <c r="C2379" s="97"/>
      <c r="D2379" s="15">
        <v>20</v>
      </c>
      <c r="E2379" s="16" t="s">
        <v>2</v>
      </c>
      <c r="F2379" s="107"/>
      <c r="G2379" s="108"/>
      <c r="H2379" s="109"/>
      <c r="J2379" s="9"/>
      <c r="K2379" s="9"/>
      <c r="L2379" s="9"/>
      <c r="M2379" s="9"/>
      <c r="N2379" s="9"/>
      <c r="O2379" s="9"/>
      <c r="P2379" s="9"/>
      <c r="Q2379" s="9"/>
      <c r="R2379" s="9"/>
      <c r="S2379" s="9"/>
      <c r="T2379" s="9"/>
      <c r="U2379" s="1">
        <f t="shared" ref="U2379" si="3913">U2378</f>
        <v>55</v>
      </c>
      <c r="V2379" s="1">
        <f t="shared" ref="V2379" si="3914">V2378+1</f>
        <v>202</v>
      </c>
    </row>
    <row r="2380" spans="1:22" x14ac:dyDescent="0.3">
      <c r="A2380" s="1">
        <f t="shared" si="3911"/>
        <v>55203</v>
      </c>
      <c r="B2380" s="96" t="s">
        <v>12</v>
      </c>
      <c r="C2380" s="97"/>
      <c r="D2380" s="141" t="s">
        <v>233</v>
      </c>
      <c r="E2380" s="141"/>
      <c r="F2380" s="141"/>
      <c r="G2380" s="141"/>
      <c r="H2380" s="141"/>
      <c r="K2380" s="1" t="s">
        <v>3</v>
      </c>
      <c r="L2380" s="1" t="s">
        <v>4</v>
      </c>
      <c r="M2380" s="1" t="s">
        <v>5</v>
      </c>
      <c r="N2380" s="1" t="s">
        <v>6</v>
      </c>
      <c r="O2380" s="1" t="s">
        <v>7</v>
      </c>
      <c r="P2380" s="1" t="s">
        <v>8</v>
      </c>
      <c r="Q2380" s="1" t="s">
        <v>9</v>
      </c>
      <c r="R2380" s="1" t="s">
        <v>10</v>
      </c>
      <c r="S2380" s="1" t="s">
        <v>11</v>
      </c>
      <c r="T2380" s="9"/>
      <c r="U2380" s="1">
        <f t="shared" si="3826"/>
        <v>55</v>
      </c>
      <c r="V2380" s="1">
        <f t="shared" si="3827"/>
        <v>203</v>
      </c>
    </row>
    <row r="2381" spans="1:22" x14ac:dyDescent="0.3">
      <c r="A2381" s="1">
        <f t="shared" si="3911"/>
        <v>55204</v>
      </c>
      <c r="B2381" s="96" t="s">
        <v>13</v>
      </c>
      <c r="C2381" s="97"/>
      <c r="D2381" s="141" t="s">
        <v>65</v>
      </c>
      <c r="E2381" s="141"/>
      <c r="F2381" s="141"/>
      <c r="G2381" s="141"/>
      <c r="H2381" s="141"/>
      <c r="J2381" s="1">
        <f t="shared" ref="J2381" si="3915">COUNTA(B2394:B2403)</f>
        <v>3</v>
      </c>
      <c r="K2381" s="1">
        <f t="shared" ref="K2381" si="3916">IF(L2381-1&lt;2,0,L2381-1)</f>
        <v>0</v>
      </c>
      <c r="L2381" s="1">
        <f t="shared" ref="L2381" si="3917">IF(M2381-1&lt;2,0,M2381-1)</f>
        <v>0</v>
      </c>
      <c r="M2381" s="1">
        <f t="shared" ref="M2381" si="3918">IF(N2381-1&lt;2,0,N2381-1)</f>
        <v>0</v>
      </c>
      <c r="N2381" s="1">
        <f t="shared" ref="N2381" si="3919">IF(O2381-1&lt;2,0,O2381-1)</f>
        <v>0</v>
      </c>
      <c r="O2381" s="1">
        <f t="shared" ref="O2381" si="3920">IF(P2381-1&lt;2,0,P2381-1)</f>
        <v>0</v>
      </c>
      <c r="P2381" s="1">
        <f t="shared" ref="P2381" si="3921">IF(Q2381-1&lt;2,0,Q2381-1)</f>
        <v>0</v>
      </c>
      <c r="Q2381" s="1">
        <f t="shared" ref="Q2381" si="3922">IF(R2381-1&lt;2,0,R2381-1)</f>
        <v>0</v>
      </c>
      <c r="R2381" s="1">
        <f t="shared" ref="R2381" si="3923">IF(S2381-1&lt;2,0,S2381-1)</f>
        <v>2</v>
      </c>
      <c r="S2381" s="1">
        <f t="shared" ref="S2381" si="3924">J2381</f>
        <v>3</v>
      </c>
      <c r="T2381" s="9"/>
      <c r="U2381" s="1">
        <f t="shared" si="3826"/>
        <v>55</v>
      </c>
      <c r="V2381" s="1">
        <f t="shared" si="3827"/>
        <v>204</v>
      </c>
    </row>
    <row r="2382" spans="1:22" x14ac:dyDescent="0.3">
      <c r="A2382" s="1">
        <f t="shared" si="3911"/>
        <v>55205</v>
      </c>
      <c r="B2382" s="96" t="s">
        <v>14</v>
      </c>
      <c r="C2382" s="97"/>
      <c r="D2382" s="141" t="s">
        <v>66</v>
      </c>
      <c r="E2382" s="141"/>
      <c r="F2382" s="141"/>
      <c r="G2382" s="141"/>
      <c r="H2382" s="141"/>
      <c r="J2382" s="24" t="str">
        <f t="shared" ref="J2382" si="3925">CONCATENATE(J2381,1)</f>
        <v>31</v>
      </c>
      <c r="K2382" s="25">
        <f t="shared" ref="K2382" si="3926">IF(K2381=0,0,VLOOKUP(J2382,J2386:S2416,K2381,FALSE))</f>
        <v>0</v>
      </c>
      <c r="L2382" s="25">
        <f t="shared" ref="L2382" si="3927">IF(L2381=0,0,VLOOKUP(J2382,J2386:S2416,L2381,FALSE))</f>
        <v>0</v>
      </c>
      <c r="M2382" s="25">
        <f t="shared" ref="M2382" si="3928">IF(M2381=0,0,VLOOKUP(J2382,J2386:S2416,M2381,FALSE))</f>
        <v>0</v>
      </c>
      <c r="N2382" s="25">
        <f t="shared" ref="N2382" si="3929">IF(N2381=0,0,VLOOKUP(J2382,J2386:S2416,N2381,FALSE))</f>
        <v>0</v>
      </c>
      <c r="O2382" s="25">
        <f t="shared" ref="O2382" si="3930">IF(O2381=0,0,VLOOKUP(J2382,J2386:S2416,O2381,FALSE))</f>
        <v>0</v>
      </c>
      <c r="P2382" s="25">
        <f t="shared" ref="P2382" si="3931">IF(P2381=0,0,VLOOKUP(J2382,J2386:S2416,P2381,FALSE))</f>
        <v>0</v>
      </c>
      <c r="Q2382" s="25">
        <f t="shared" ref="Q2382" si="3932">IF(Q2381=0,0,VLOOKUP(J2382,J2386:S2416,Q2381,FALSE))</f>
        <v>0</v>
      </c>
      <c r="R2382" s="25">
        <f t="shared" ref="R2382" si="3933">IF(R2381=0,0,VLOOKUP(J2382,J2386:S2416,R2381,FALSE))</f>
        <v>0.99009900990099009</v>
      </c>
      <c r="S2382" s="25">
        <f t="shared" ref="S2382" si="3934">IF(S2381=0,0,VLOOKUP(J2382,J2386:S2416,S2381,FALSE))</f>
        <v>0.49504950495049371</v>
      </c>
      <c r="T2382" s="9"/>
      <c r="U2382" s="1">
        <f t="shared" si="3826"/>
        <v>55</v>
      </c>
      <c r="V2382" s="1">
        <f t="shared" si="3827"/>
        <v>205</v>
      </c>
    </row>
    <row r="2383" spans="1:22" x14ac:dyDescent="0.3">
      <c r="A2383" s="1">
        <f t="shared" si="3911"/>
        <v>55206</v>
      </c>
      <c r="B2383" s="96" t="s">
        <v>15</v>
      </c>
      <c r="C2383" s="97"/>
      <c r="D2383" s="141" t="s">
        <v>328</v>
      </c>
      <c r="E2383" s="141"/>
      <c r="F2383" s="141"/>
      <c r="G2383" s="141"/>
      <c r="H2383" s="141"/>
      <c r="J2383" s="24" t="str">
        <f t="shared" ref="J2383" si="3935">CONCATENATE(J2381,2)</f>
        <v>32</v>
      </c>
      <c r="K2383" s="6">
        <f t="shared" ref="K2383" si="3936">IF(K2381=0,0,VLOOKUP(J2383,J2386:S2416,K2381,FALSE))</f>
        <v>0</v>
      </c>
      <c r="L2383" s="6">
        <f t="shared" ref="L2383" si="3937">IF(L2381=0,0,VLOOKUP(J2383,J2386:S2416,L2381,FALSE))</f>
        <v>0</v>
      </c>
      <c r="M2383" s="6">
        <f t="shared" ref="M2383" si="3938">IF(M2381=0,0,VLOOKUP(J2383,J2386:S2416,M2381,FALSE))</f>
        <v>0</v>
      </c>
      <c r="N2383" s="6">
        <f t="shared" ref="N2383" si="3939">IF(N2381=0,0,VLOOKUP(J2383,J2386:S2416,N2381,FALSE))</f>
        <v>0</v>
      </c>
      <c r="O2383" s="6">
        <f t="shared" ref="O2383" si="3940">IF(O2381=0,0,VLOOKUP(J2383,J2386:S2416,O2381,FALSE))</f>
        <v>0</v>
      </c>
      <c r="P2383" s="6">
        <f t="shared" ref="P2383" si="3941">IF(P2381=0,0,VLOOKUP(J2383,J2386:S2416,P2381,FALSE))</f>
        <v>0</v>
      </c>
      <c r="Q2383" s="6">
        <f t="shared" ref="Q2383" si="3942">IF(Q2381=0,0,VLOOKUP(J2383,J2386:S2416,Q2381,FALSE))</f>
        <v>0</v>
      </c>
      <c r="R2383" s="6">
        <f t="shared" ref="R2383" si="3943">IF(R2381=0,0,VLOOKUP(J2383,J2386:S2416,R2381,FALSE))</f>
        <v>0</v>
      </c>
      <c r="S2383" s="6">
        <f t="shared" ref="S2383" si="3944">IF(S2381=0,0,VLOOKUP(J2383,J2386:S2416,S2381,FALSE))</f>
        <v>0</v>
      </c>
      <c r="T2383" s="9"/>
      <c r="U2383" s="1">
        <f t="shared" si="3826"/>
        <v>55</v>
      </c>
      <c r="V2383" s="1">
        <f t="shared" si="3827"/>
        <v>206</v>
      </c>
    </row>
    <row r="2384" spans="1:22" x14ac:dyDescent="0.3">
      <c r="A2384" s="1">
        <f t="shared" si="3911"/>
        <v>55207</v>
      </c>
      <c r="B2384" s="96" t="s">
        <v>16</v>
      </c>
      <c r="C2384" s="97"/>
      <c r="D2384" s="121">
        <v>45838</v>
      </c>
      <c r="E2384" s="121"/>
      <c r="F2384" s="121"/>
      <c r="G2384" s="121"/>
      <c r="H2384" s="121"/>
      <c r="J2384" s="24" t="str">
        <f t="shared" ref="J2384" si="3945">CONCATENATE(J2381,3)</f>
        <v>33</v>
      </c>
      <c r="K2384" s="6"/>
      <c r="L2384" s="6"/>
      <c r="M2384" s="6"/>
      <c r="N2384" s="6" t="s">
        <v>43</v>
      </c>
      <c r="O2384" s="25">
        <f t="shared" ref="O2384" si="3946">J2381-2</f>
        <v>1</v>
      </c>
      <c r="P2384" s="6" t="s">
        <v>44</v>
      </c>
      <c r="Q2384" s="25">
        <f t="shared" ref="Q2384" si="3947">VLOOKUP(J2384,J2386:S2416,3,FALSE)</f>
        <v>0</v>
      </c>
      <c r="R2384" s="6" t="s">
        <v>45</v>
      </c>
      <c r="S2384" s="6">
        <f t="shared" ref="S2384" si="3948">VLOOKUP(J2384,J2386:S2416,2,FALSE)</f>
        <v>1</v>
      </c>
      <c r="T2384" s="9"/>
      <c r="U2384" s="1">
        <f t="shared" si="3826"/>
        <v>55</v>
      </c>
      <c r="V2384" s="1">
        <f t="shared" si="3827"/>
        <v>207</v>
      </c>
    </row>
    <row r="2385" spans="1:22" x14ac:dyDescent="0.3">
      <c r="A2385" s="1">
        <f t="shared" si="3911"/>
        <v>55208</v>
      </c>
      <c r="B2385" s="96" t="s">
        <v>17</v>
      </c>
      <c r="C2385" s="97"/>
      <c r="D2385" s="122">
        <v>46203</v>
      </c>
      <c r="E2385" s="122"/>
      <c r="F2385" s="122"/>
      <c r="G2385" s="122"/>
      <c r="H2385" s="122"/>
      <c r="K2385" s="1">
        <v>3</v>
      </c>
      <c r="L2385" s="1">
        <v>3</v>
      </c>
      <c r="Q2385" s="26"/>
      <c r="R2385" s="26"/>
      <c r="S2385" s="26"/>
      <c r="T2385" s="9"/>
      <c r="U2385" s="1">
        <f t="shared" si="3826"/>
        <v>55</v>
      </c>
      <c r="V2385" s="1">
        <f t="shared" si="3827"/>
        <v>208</v>
      </c>
    </row>
    <row r="2386" spans="1:22" x14ac:dyDescent="0.3">
      <c r="A2386" s="1">
        <f t="shared" si="3911"/>
        <v>55209</v>
      </c>
      <c r="B2386" s="77" t="s">
        <v>19</v>
      </c>
      <c r="C2386" s="78"/>
      <c r="D2386" s="17">
        <v>0.1</v>
      </c>
      <c r="E2386" s="79" t="s">
        <v>40</v>
      </c>
      <c r="F2386" s="80"/>
      <c r="G2386" s="81"/>
      <c r="H2386" s="18" t="s">
        <v>72</v>
      </c>
      <c r="J2386" s="24" t="str">
        <f t="shared" ref="J2386" si="3949">CONCATENATE(K2385,1)</f>
        <v>31</v>
      </c>
      <c r="K2386" s="6">
        <f t="array" ref="K2386:L2388">LINEST(B2394:B2396,C2394:C2396^{1},TRUE,TRUE)</f>
        <v>0.99009900990099009</v>
      </c>
      <c r="L2386" s="6">
        <v>0.49504950495049371</v>
      </c>
      <c r="Q2386" s="9"/>
      <c r="R2386" s="9"/>
      <c r="S2386" s="9"/>
      <c r="T2386" s="9"/>
      <c r="U2386" s="1">
        <f t="shared" si="3826"/>
        <v>55</v>
      </c>
      <c r="V2386" s="1">
        <f t="shared" si="3827"/>
        <v>209</v>
      </c>
    </row>
    <row r="2387" spans="1:22" x14ac:dyDescent="0.3">
      <c r="A2387" s="1">
        <f t="shared" si="3911"/>
        <v>55210</v>
      </c>
      <c r="B2387" s="77" t="s">
        <v>41</v>
      </c>
      <c r="C2387" s="78"/>
      <c r="D2387" s="23">
        <f t="shared" ref="D2387" si="3950">MIN(B2394:B2403)</f>
        <v>20</v>
      </c>
      <c r="E2387" s="20" t="s">
        <v>18</v>
      </c>
      <c r="F2387" s="19">
        <f t="shared" ref="F2387" si="3951">MAX(B2394:B2403)</f>
        <v>80</v>
      </c>
      <c r="G2387" s="21" t="str">
        <f t="shared" ref="G2387" si="3952">IF(H2386="","",H2386)</f>
        <v>%ur</v>
      </c>
      <c r="H2387" s="22"/>
      <c r="J2387" s="24" t="str">
        <f t="shared" ref="J2387" si="3953">CONCATENATE(K2385,2)</f>
        <v>32</v>
      </c>
      <c r="K2387" s="6">
        <v>0</v>
      </c>
      <c r="L2387" s="6">
        <v>0</v>
      </c>
      <c r="Q2387" s="9"/>
      <c r="R2387" s="9"/>
      <c r="S2387" s="9"/>
      <c r="T2387" s="9"/>
      <c r="U2387" s="1">
        <f t="shared" si="3826"/>
        <v>55</v>
      </c>
      <c r="V2387" s="1">
        <f t="shared" si="3827"/>
        <v>210</v>
      </c>
    </row>
    <row r="2388" spans="1:22" x14ac:dyDescent="0.3">
      <c r="A2388" s="1">
        <f t="shared" si="3911"/>
        <v>55211</v>
      </c>
      <c r="J2388" s="24" t="str">
        <f t="shared" ref="J2388" si="3954">CONCATENATE(K2385,3)</f>
        <v>33</v>
      </c>
      <c r="K2388" s="6">
        <v>1</v>
      </c>
      <c r="L2388" s="6">
        <v>0</v>
      </c>
      <c r="Q2388" s="9"/>
      <c r="R2388" s="9"/>
      <c r="S2388" s="9"/>
      <c r="T2388" s="9"/>
      <c r="U2388" s="1">
        <f t="shared" si="3826"/>
        <v>55</v>
      </c>
      <c r="V2388" s="1">
        <f t="shared" si="3827"/>
        <v>211</v>
      </c>
    </row>
    <row r="2389" spans="1:22" x14ac:dyDescent="0.3">
      <c r="A2389" s="1">
        <f t="shared" si="3911"/>
        <v>55212</v>
      </c>
      <c r="B2389" s="82" t="s">
        <v>20</v>
      </c>
      <c r="C2389" s="83"/>
      <c r="D2389" s="83"/>
      <c r="E2389" s="83"/>
      <c r="F2389" s="84"/>
      <c r="G2389" s="85" t="s">
        <v>31</v>
      </c>
      <c r="H2389" s="86"/>
      <c r="K2389" s="1">
        <v>4</v>
      </c>
      <c r="L2389" s="1">
        <v>4</v>
      </c>
      <c r="M2389" s="1">
        <v>4</v>
      </c>
      <c r="Q2389" s="9"/>
      <c r="R2389" s="9"/>
      <c r="S2389" s="9"/>
      <c r="T2389" s="9"/>
      <c r="U2389" s="1">
        <f t="shared" si="3826"/>
        <v>55</v>
      </c>
      <c r="V2389" s="1">
        <f t="shared" si="3827"/>
        <v>212</v>
      </c>
    </row>
    <row r="2390" spans="1:22" x14ac:dyDescent="0.3">
      <c r="A2390" s="1">
        <f t="shared" si="3911"/>
        <v>55213</v>
      </c>
      <c r="B2390" s="82" t="s">
        <v>30</v>
      </c>
      <c r="C2390" s="83"/>
      <c r="D2390" s="84"/>
      <c r="E2390" s="82" t="str">
        <f t="shared" ref="E2390" si="3955">D2383</f>
        <v>E0398A/25</v>
      </c>
      <c r="F2390" s="84"/>
      <c r="G2390" s="6" t="s">
        <v>32</v>
      </c>
      <c r="H2390" s="7" t="s">
        <v>234</v>
      </c>
      <c r="J2390" s="24" t="str">
        <f t="shared" ref="J2390" si="3956">CONCATENATE(K2389,1)</f>
        <v>41</v>
      </c>
      <c r="K2390" s="6" t="e">
        <f t="array" ref="K2390:M2392">LINEST(B2394:B2397,C2394:C2397^{1,2},TRUE,TRUE)</f>
        <v>#VALUE!</v>
      </c>
      <c r="L2390" s="6" t="e">
        <v>#VALUE!</v>
      </c>
      <c r="M2390" s="6" t="e">
        <v>#VALUE!</v>
      </c>
      <c r="Q2390" s="9"/>
      <c r="R2390" s="9"/>
      <c r="S2390" s="9"/>
      <c r="T2390" s="9"/>
      <c r="U2390" s="1">
        <f t="shared" si="3826"/>
        <v>55</v>
      </c>
      <c r="V2390" s="1">
        <f t="shared" si="3827"/>
        <v>213</v>
      </c>
    </row>
    <row r="2391" spans="1:22" x14ac:dyDescent="0.3">
      <c r="A2391" s="1">
        <f t="shared" si="3911"/>
        <v>55214</v>
      </c>
      <c r="B2391" s="2" t="s">
        <v>21</v>
      </c>
      <c r="C2391" s="2" t="s">
        <v>22</v>
      </c>
      <c r="D2391" s="2" t="s">
        <v>23</v>
      </c>
      <c r="E2391" s="2"/>
      <c r="F2391" s="2" t="s">
        <v>28</v>
      </c>
      <c r="G2391" s="2" t="s">
        <v>21</v>
      </c>
      <c r="H2391" s="2" t="s">
        <v>22</v>
      </c>
      <c r="J2391" s="24" t="str">
        <f t="shared" ref="J2391" si="3957">CONCATENATE(K2389,2)</f>
        <v>42</v>
      </c>
      <c r="K2391" s="6" t="e">
        <v>#VALUE!</v>
      </c>
      <c r="L2391" s="6" t="e">
        <v>#VALUE!</v>
      </c>
      <c r="M2391" s="6" t="e">
        <v>#VALUE!</v>
      </c>
      <c r="Q2391" s="9"/>
      <c r="R2391" s="9"/>
      <c r="S2391" s="9"/>
      <c r="T2391" s="9"/>
      <c r="U2391" s="1">
        <f t="shared" si="3826"/>
        <v>55</v>
      </c>
      <c r="V2391" s="1">
        <f t="shared" si="3827"/>
        <v>214</v>
      </c>
    </row>
    <row r="2392" spans="1:22" x14ac:dyDescent="0.3">
      <c r="A2392" s="1">
        <f t="shared" si="3911"/>
        <v>55215</v>
      </c>
      <c r="B2392" s="2" t="s">
        <v>24</v>
      </c>
      <c r="C2392" s="2" t="s">
        <v>25</v>
      </c>
      <c r="D2392" s="2" t="s">
        <v>26</v>
      </c>
      <c r="E2392" s="2" t="s">
        <v>27</v>
      </c>
      <c r="F2392" s="2" t="s">
        <v>29</v>
      </c>
      <c r="G2392" s="2" t="s">
        <v>24</v>
      </c>
      <c r="H2392" s="2" t="s">
        <v>25</v>
      </c>
      <c r="J2392" s="24" t="str">
        <f t="shared" ref="J2392" si="3958">CONCATENATE(K2389,3)</f>
        <v>43</v>
      </c>
      <c r="K2392" s="6" t="e">
        <v>#VALUE!</v>
      </c>
      <c r="L2392" s="6" t="e">
        <v>#VALUE!</v>
      </c>
      <c r="M2392" s="6" t="e">
        <v>#VALUE!</v>
      </c>
      <c r="Q2392" s="9"/>
      <c r="R2392" s="9"/>
      <c r="S2392" s="9"/>
      <c r="T2392" s="9"/>
      <c r="U2392" s="1">
        <f t="shared" si="3826"/>
        <v>55</v>
      </c>
      <c r="V2392" s="1">
        <f t="shared" si="3827"/>
        <v>215</v>
      </c>
    </row>
    <row r="2393" spans="1:22" x14ac:dyDescent="0.3">
      <c r="A2393" s="1">
        <f t="shared" si="3911"/>
        <v>55216</v>
      </c>
      <c r="B2393" s="3" t="str">
        <f t="shared" ref="B2393" si="3959">H2386</f>
        <v>%ur</v>
      </c>
      <c r="C2393" s="3" t="str">
        <f t="shared" ref="C2393" si="3960">B2393</f>
        <v>%ur</v>
      </c>
      <c r="D2393" s="3" t="str">
        <f t="shared" ref="D2393" si="3961">C2393</f>
        <v>%ur</v>
      </c>
      <c r="E2393" s="3"/>
      <c r="F2393" s="3"/>
      <c r="G2393" s="3" t="str">
        <f t="shared" ref="G2393" si="3962">D2393</f>
        <v>%ur</v>
      </c>
      <c r="H2393" s="3" t="str">
        <f t="shared" ref="H2393" si="3963">G2393</f>
        <v>%ur</v>
      </c>
      <c r="K2393" s="1">
        <v>5</v>
      </c>
      <c r="L2393" s="1">
        <v>5</v>
      </c>
      <c r="M2393" s="1">
        <v>5</v>
      </c>
      <c r="N2393" s="1">
        <v>5</v>
      </c>
      <c r="Q2393" s="9"/>
      <c r="R2393" s="9"/>
      <c r="S2393" s="9"/>
      <c r="T2393" s="9"/>
      <c r="U2393" s="1">
        <f t="shared" si="3826"/>
        <v>55</v>
      </c>
      <c r="V2393" s="1">
        <f t="shared" si="3827"/>
        <v>216</v>
      </c>
    </row>
    <row r="2394" spans="1:22" x14ac:dyDescent="0.3">
      <c r="A2394" s="1">
        <f t="shared" si="3911"/>
        <v>55217</v>
      </c>
      <c r="B2394" s="65">
        <v>20</v>
      </c>
      <c r="C2394" s="65">
        <v>19.7</v>
      </c>
      <c r="D2394" s="65">
        <v>0.4</v>
      </c>
      <c r="E2394" s="4">
        <v>2.0099999999999998</v>
      </c>
      <c r="F2394" s="14">
        <v>269</v>
      </c>
      <c r="G2394" s="66">
        <v>20</v>
      </c>
      <c r="H2394" s="66">
        <v>19.5</v>
      </c>
      <c r="J2394" s="24" t="str">
        <f t="shared" ref="J2394" si="3964">CONCATENATE(K2393,1)</f>
        <v>51</v>
      </c>
      <c r="K2394" s="6" t="e">
        <f t="array" ref="K2394:N2396">LINEST(B2394:B2398,C2394:C2398^{1,2,3},TRUE,TRUE)</f>
        <v>#VALUE!</v>
      </c>
      <c r="L2394" s="6" t="e">
        <v>#VALUE!</v>
      </c>
      <c r="M2394" s="6" t="e">
        <v>#VALUE!</v>
      </c>
      <c r="N2394" s="6" t="e">
        <v>#VALUE!</v>
      </c>
      <c r="Q2394" s="9"/>
      <c r="R2394" s="9"/>
      <c r="S2394" s="9"/>
      <c r="T2394" s="9"/>
      <c r="U2394" s="1">
        <f t="shared" si="3826"/>
        <v>55</v>
      </c>
      <c r="V2394" s="1">
        <f t="shared" si="3827"/>
        <v>217</v>
      </c>
    </row>
    <row r="2395" spans="1:22" x14ac:dyDescent="0.3">
      <c r="A2395" s="1">
        <f t="shared" si="3911"/>
        <v>55218</v>
      </c>
      <c r="B2395" s="65">
        <v>50</v>
      </c>
      <c r="C2395" s="65">
        <v>50</v>
      </c>
      <c r="D2395" s="65">
        <v>0.7</v>
      </c>
      <c r="E2395" s="4">
        <v>2.02</v>
      </c>
      <c r="F2395" s="14">
        <v>124</v>
      </c>
      <c r="G2395" s="66">
        <v>50</v>
      </c>
      <c r="H2395" s="66">
        <v>50</v>
      </c>
      <c r="J2395" s="24" t="str">
        <f t="shared" ref="J2395" si="3965">CONCATENATE(K2393,2)</f>
        <v>52</v>
      </c>
      <c r="K2395" s="6" t="e">
        <v>#VALUE!</v>
      </c>
      <c r="L2395" s="6" t="e">
        <v>#VALUE!</v>
      </c>
      <c r="M2395" s="6" t="e">
        <v>#VALUE!</v>
      </c>
      <c r="N2395" s="6" t="e">
        <v>#VALUE!</v>
      </c>
      <c r="T2395" s="9"/>
      <c r="U2395" s="1">
        <f t="shared" ref="U2395:U2458" si="3966">U2394</f>
        <v>55</v>
      </c>
      <c r="V2395" s="1">
        <f t="shared" ref="V2395:V2458" si="3967">V2394+1</f>
        <v>218</v>
      </c>
    </row>
    <row r="2396" spans="1:22" x14ac:dyDescent="0.3">
      <c r="A2396" s="1">
        <f t="shared" si="3911"/>
        <v>55219</v>
      </c>
      <c r="B2396" s="65">
        <v>80</v>
      </c>
      <c r="C2396" s="65">
        <v>80.3</v>
      </c>
      <c r="D2396" s="65">
        <v>0.9</v>
      </c>
      <c r="E2396" s="4">
        <v>2.02</v>
      </c>
      <c r="F2396" s="14">
        <v>104</v>
      </c>
      <c r="G2396" s="66">
        <v>80</v>
      </c>
      <c r="H2396" s="66">
        <v>80.400000000000006</v>
      </c>
      <c r="J2396" s="24" t="str">
        <f t="shared" ref="J2396" si="3968">CONCATENATE(K2393,3)</f>
        <v>53</v>
      </c>
      <c r="K2396" s="6" t="e">
        <v>#VALUE!</v>
      </c>
      <c r="L2396" s="6" t="e">
        <v>#VALUE!</v>
      </c>
      <c r="M2396" s="6" t="e">
        <v>#VALUE!</v>
      </c>
      <c r="N2396" s="6" t="e">
        <v>#VALUE!</v>
      </c>
      <c r="T2396" s="9"/>
      <c r="U2396" s="1">
        <f t="shared" si="3966"/>
        <v>55</v>
      </c>
      <c r="V2396" s="1">
        <f t="shared" si="3967"/>
        <v>219</v>
      </c>
    </row>
    <row r="2397" spans="1:22" x14ac:dyDescent="0.3">
      <c r="A2397" s="1">
        <f t="shared" si="3911"/>
        <v>55220</v>
      </c>
      <c r="B2397" s="4"/>
      <c r="C2397" s="4"/>
      <c r="D2397" s="4"/>
      <c r="E2397" s="4"/>
      <c r="F2397" s="14"/>
      <c r="G2397" s="8"/>
      <c r="H2397" s="7"/>
      <c r="K2397" s="1">
        <v>6</v>
      </c>
      <c r="L2397" s="1">
        <v>6</v>
      </c>
      <c r="M2397" s="1">
        <v>6</v>
      </c>
      <c r="N2397" s="1">
        <v>6</v>
      </c>
      <c r="O2397" s="1">
        <v>6</v>
      </c>
      <c r="T2397" s="9"/>
      <c r="U2397" s="1">
        <f t="shared" si="3966"/>
        <v>55</v>
      </c>
      <c r="V2397" s="1">
        <f t="shared" si="3967"/>
        <v>220</v>
      </c>
    </row>
    <row r="2398" spans="1:22" x14ac:dyDescent="0.3">
      <c r="A2398" s="1">
        <f t="shared" si="3911"/>
        <v>55221</v>
      </c>
      <c r="B2398" s="4"/>
      <c r="C2398" s="4"/>
      <c r="D2398" s="4"/>
      <c r="E2398" s="4"/>
      <c r="F2398" s="14"/>
      <c r="G2398" s="8"/>
      <c r="H2398" s="7"/>
      <c r="J2398" s="24" t="str">
        <f t="shared" ref="J2398" si="3969">CONCATENATE(K2397,1)</f>
        <v>61</v>
      </c>
      <c r="K2398" s="6" t="e">
        <f t="array" ref="K2398:O2400">LINEST(B2394:B2399,C2394:C2399^{1,2,3,4},TRUE,TRUE)</f>
        <v>#VALUE!</v>
      </c>
      <c r="L2398" s="6" t="e">
        <v>#VALUE!</v>
      </c>
      <c r="M2398" s="6" t="e">
        <v>#VALUE!</v>
      </c>
      <c r="N2398" s="6" t="e">
        <v>#VALUE!</v>
      </c>
      <c r="O2398" s="6" t="e">
        <v>#VALUE!</v>
      </c>
      <c r="T2398" s="9"/>
      <c r="U2398" s="1">
        <f t="shared" si="3966"/>
        <v>55</v>
      </c>
      <c r="V2398" s="1">
        <f t="shared" si="3967"/>
        <v>221</v>
      </c>
    </row>
    <row r="2399" spans="1:22" x14ac:dyDescent="0.3">
      <c r="A2399" s="1">
        <f t="shared" si="3911"/>
        <v>55222</v>
      </c>
      <c r="B2399" s="4"/>
      <c r="C2399" s="4"/>
      <c r="D2399" s="4"/>
      <c r="E2399" s="4"/>
      <c r="F2399" s="14"/>
      <c r="G2399" s="8"/>
      <c r="H2399" s="7"/>
      <c r="J2399" s="24" t="str">
        <f t="shared" ref="J2399" si="3970">CONCATENATE(K2397,2)</f>
        <v>62</v>
      </c>
      <c r="K2399" s="6" t="e">
        <v>#VALUE!</v>
      </c>
      <c r="L2399" s="6" t="e">
        <v>#VALUE!</v>
      </c>
      <c r="M2399" s="6" t="e">
        <v>#VALUE!</v>
      </c>
      <c r="N2399" s="6" t="e">
        <v>#VALUE!</v>
      </c>
      <c r="O2399" s="6" t="e">
        <v>#VALUE!</v>
      </c>
      <c r="T2399" s="9"/>
      <c r="U2399" s="1">
        <f t="shared" si="3966"/>
        <v>55</v>
      </c>
      <c r="V2399" s="1">
        <f t="shared" si="3967"/>
        <v>222</v>
      </c>
    </row>
    <row r="2400" spans="1:22" x14ac:dyDescent="0.3">
      <c r="A2400" s="1">
        <f t="shared" si="3911"/>
        <v>55223</v>
      </c>
      <c r="B2400" s="4"/>
      <c r="C2400" s="4"/>
      <c r="D2400" s="4"/>
      <c r="E2400" s="4"/>
      <c r="F2400" s="14"/>
      <c r="G2400" s="8"/>
      <c r="H2400" s="7"/>
      <c r="J2400" s="24" t="str">
        <f t="shared" ref="J2400" si="3971">CONCATENATE(K2397,3)</f>
        <v>63</v>
      </c>
      <c r="K2400" s="6" t="e">
        <v>#VALUE!</v>
      </c>
      <c r="L2400" s="6" t="e">
        <v>#VALUE!</v>
      </c>
      <c r="M2400" s="6" t="e">
        <v>#VALUE!</v>
      </c>
      <c r="N2400" s="6" t="e">
        <v>#VALUE!</v>
      </c>
      <c r="O2400" s="6" t="e">
        <v>#VALUE!</v>
      </c>
      <c r="T2400" s="9"/>
      <c r="U2400" s="1">
        <f t="shared" si="3966"/>
        <v>55</v>
      </c>
      <c r="V2400" s="1">
        <f t="shared" si="3967"/>
        <v>223</v>
      </c>
    </row>
    <row r="2401" spans="1:22" x14ac:dyDescent="0.3">
      <c r="A2401" s="1">
        <f t="shared" si="3911"/>
        <v>55224</v>
      </c>
      <c r="B2401" s="4"/>
      <c r="C2401" s="4"/>
      <c r="D2401" s="4"/>
      <c r="E2401" s="4"/>
      <c r="F2401" s="14"/>
      <c r="G2401" s="8"/>
      <c r="H2401" s="7"/>
      <c r="K2401" s="1">
        <v>7</v>
      </c>
      <c r="L2401" s="1">
        <v>7</v>
      </c>
      <c r="M2401" s="1">
        <v>7</v>
      </c>
      <c r="N2401" s="1">
        <v>7</v>
      </c>
      <c r="O2401" s="1">
        <v>7</v>
      </c>
      <c r="P2401" s="1">
        <v>7</v>
      </c>
      <c r="T2401" s="9"/>
      <c r="U2401" s="1">
        <f t="shared" si="3966"/>
        <v>55</v>
      </c>
      <c r="V2401" s="1">
        <f t="shared" si="3967"/>
        <v>224</v>
      </c>
    </row>
    <row r="2402" spans="1:22" x14ac:dyDescent="0.3">
      <c r="A2402" s="1">
        <f t="shared" si="3911"/>
        <v>55225</v>
      </c>
      <c r="B2402" s="4"/>
      <c r="C2402" s="4"/>
      <c r="D2402" s="4"/>
      <c r="E2402" s="4"/>
      <c r="F2402" s="14"/>
      <c r="G2402" s="8"/>
      <c r="H2402" s="7"/>
      <c r="J2402" s="24" t="str">
        <f t="shared" ref="J2402" si="3972">CONCATENATE(K2401,1)</f>
        <v>71</v>
      </c>
      <c r="K2402" s="6" t="e">
        <f t="array" ref="K2402:P2404">LINEST(B2394:B2400,C2394:C2400^{1,2,3,4,5},TRUE,TRUE)</f>
        <v>#VALUE!</v>
      </c>
      <c r="L2402" s="6" t="e">
        <v>#VALUE!</v>
      </c>
      <c r="M2402" s="6" t="e">
        <v>#VALUE!</v>
      </c>
      <c r="N2402" s="6" t="e">
        <v>#VALUE!</v>
      </c>
      <c r="O2402" s="6" t="e">
        <v>#VALUE!</v>
      </c>
      <c r="P2402" s="6" t="e">
        <v>#VALUE!</v>
      </c>
      <c r="T2402" s="9"/>
      <c r="U2402" s="1">
        <f t="shared" si="3966"/>
        <v>55</v>
      </c>
      <c r="V2402" s="1">
        <f t="shared" si="3967"/>
        <v>225</v>
      </c>
    </row>
    <row r="2403" spans="1:22" x14ac:dyDescent="0.3">
      <c r="A2403" s="1">
        <f t="shared" si="3911"/>
        <v>55226</v>
      </c>
      <c r="B2403" s="4"/>
      <c r="C2403" s="4"/>
      <c r="D2403" s="4"/>
      <c r="E2403" s="4"/>
      <c r="F2403" s="14"/>
      <c r="G2403" s="8"/>
      <c r="H2403" s="7"/>
      <c r="J2403" s="24" t="str">
        <f t="shared" ref="J2403" si="3973">CONCATENATE(K2401,2)</f>
        <v>72</v>
      </c>
      <c r="K2403" s="6" t="e">
        <v>#VALUE!</v>
      </c>
      <c r="L2403" s="6" t="e">
        <v>#VALUE!</v>
      </c>
      <c r="M2403" s="6" t="e">
        <v>#VALUE!</v>
      </c>
      <c r="N2403" s="6" t="e">
        <v>#VALUE!</v>
      </c>
      <c r="O2403" s="6" t="e">
        <v>#VALUE!</v>
      </c>
      <c r="P2403" s="6" t="e">
        <v>#VALUE!</v>
      </c>
      <c r="T2403" s="9"/>
      <c r="U2403" s="1">
        <f t="shared" si="3966"/>
        <v>55</v>
      </c>
      <c r="V2403" s="1">
        <f t="shared" si="3967"/>
        <v>226</v>
      </c>
    </row>
    <row r="2404" spans="1:22" x14ac:dyDescent="0.3">
      <c r="A2404" s="1">
        <f t="shared" si="3911"/>
        <v>55227</v>
      </c>
      <c r="B2404" s="9"/>
      <c r="C2404" s="9"/>
      <c r="D2404" s="9"/>
      <c r="E2404" s="9"/>
      <c r="F2404" s="9"/>
      <c r="G2404" s="9"/>
      <c r="H2404" s="9"/>
      <c r="J2404" s="24" t="str">
        <f t="shared" ref="J2404" si="3974">CONCATENATE(K2401,3)</f>
        <v>73</v>
      </c>
      <c r="K2404" s="6" t="e">
        <v>#VALUE!</v>
      </c>
      <c r="L2404" s="6" t="e">
        <v>#VALUE!</v>
      </c>
      <c r="M2404" s="6" t="e">
        <v>#VALUE!</v>
      </c>
      <c r="N2404" s="6" t="e">
        <v>#VALUE!</v>
      </c>
      <c r="O2404" s="6" t="e">
        <v>#VALUE!</v>
      </c>
      <c r="P2404" s="6" t="e">
        <v>#VALUE!</v>
      </c>
      <c r="T2404" s="9"/>
      <c r="U2404" s="1">
        <f t="shared" si="3966"/>
        <v>55</v>
      </c>
      <c r="V2404" s="1">
        <f t="shared" si="3967"/>
        <v>227</v>
      </c>
    </row>
    <row r="2405" spans="1:22" x14ac:dyDescent="0.3">
      <c r="A2405" s="1">
        <f t="shared" si="3911"/>
        <v>55228</v>
      </c>
      <c r="B2405" s="87" t="s">
        <v>33</v>
      </c>
      <c r="C2405" s="88"/>
      <c r="D2405" s="88"/>
      <c r="E2405" s="88"/>
      <c r="F2405" s="88"/>
      <c r="G2405" s="88"/>
      <c r="H2405" s="89"/>
      <c r="K2405" s="1">
        <v>8</v>
      </c>
      <c r="L2405" s="1">
        <v>8</v>
      </c>
      <c r="M2405" s="1">
        <v>8</v>
      </c>
      <c r="N2405" s="1">
        <v>8</v>
      </c>
      <c r="O2405" s="1">
        <v>8</v>
      </c>
      <c r="P2405" s="1">
        <v>8</v>
      </c>
      <c r="Q2405" s="1">
        <v>8</v>
      </c>
      <c r="T2405" s="9"/>
      <c r="U2405" s="1">
        <f t="shared" si="3966"/>
        <v>55</v>
      </c>
      <c r="V2405" s="1">
        <f t="shared" si="3967"/>
        <v>228</v>
      </c>
    </row>
    <row r="2406" spans="1:22" x14ac:dyDescent="0.3">
      <c r="A2406" s="1">
        <f t="shared" si="3911"/>
        <v>55229</v>
      </c>
      <c r="B2406" s="90"/>
      <c r="C2406" s="91"/>
      <c r="D2406" s="91"/>
      <c r="E2406" s="91"/>
      <c r="F2406" s="91"/>
      <c r="G2406" s="91"/>
      <c r="H2406" s="92"/>
      <c r="J2406" s="24" t="str">
        <f t="shared" ref="J2406" si="3975">CONCATENATE(K2405,1)</f>
        <v>81</v>
      </c>
      <c r="K2406" s="6" t="e">
        <f t="array" ref="K2406:Q2408">LINEST(B2394:B2401,C2394:C2401^{1,2,3,4,5,6},TRUE,TRUE)</f>
        <v>#VALUE!</v>
      </c>
      <c r="L2406" s="6" t="e">
        <v>#VALUE!</v>
      </c>
      <c r="M2406" s="6" t="e">
        <v>#VALUE!</v>
      </c>
      <c r="N2406" s="6" t="e">
        <v>#VALUE!</v>
      </c>
      <c r="O2406" s="6" t="e">
        <v>#VALUE!</v>
      </c>
      <c r="P2406" s="6" t="e">
        <v>#VALUE!</v>
      </c>
      <c r="Q2406" s="6" t="e">
        <v>#VALUE!</v>
      </c>
      <c r="T2406" s="9"/>
      <c r="U2406" s="1">
        <f t="shared" si="3966"/>
        <v>55</v>
      </c>
      <c r="V2406" s="1">
        <f t="shared" si="3967"/>
        <v>229</v>
      </c>
    </row>
    <row r="2407" spans="1:22" x14ac:dyDescent="0.3">
      <c r="A2407" s="1">
        <f t="shared" si="3911"/>
        <v>55230</v>
      </c>
      <c r="B2407" s="93"/>
      <c r="C2407" s="94"/>
      <c r="D2407" s="94"/>
      <c r="E2407" s="94"/>
      <c r="F2407" s="94"/>
      <c r="G2407" s="94"/>
      <c r="H2407" s="95"/>
      <c r="J2407" s="24" t="str">
        <f t="shared" ref="J2407" si="3976">CONCATENATE(K2405,2)</f>
        <v>82</v>
      </c>
      <c r="K2407" s="6" t="e">
        <v>#VALUE!</v>
      </c>
      <c r="L2407" s="6" t="e">
        <v>#VALUE!</v>
      </c>
      <c r="M2407" s="6" t="e">
        <v>#VALUE!</v>
      </c>
      <c r="N2407" s="6" t="e">
        <v>#VALUE!</v>
      </c>
      <c r="O2407" s="6" t="e">
        <v>#VALUE!</v>
      </c>
      <c r="P2407" s="6" t="e">
        <v>#VALUE!</v>
      </c>
      <c r="Q2407" s="6" t="e">
        <v>#VALUE!</v>
      </c>
      <c r="T2407" s="9"/>
      <c r="U2407" s="1">
        <f t="shared" si="3966"/>
        <v>55</v>
      </c>
      <c r="V2407" s="1">
        <f t="shared" si="3967"/>
        <v>230</v>
      </c>
    </row>
    <row r="2408" spans="1:22" x14ac:dyDescent="0.3">
      <c r="A2408" s="1">
        <f t="shared" si="3911"/>
        <v>55231</v>
      </c>
      <c r="J2408" s="24" t="str">
        <f t="shared" ref="J2408" si="3977">CONCATENATE(K2405,3)</f>
        <v>83</v>
      </c>
      <c r="K2408" s="6" t="e">
        <v>#VALUE!</v>
      </c>
      <c r="L2408" s="6" t="e">
        <v>#VALUE!</v>
      </c>
      <c r="M2408" s="6" t="e">
        <v>#VALUE!</v>
      </c>
      <c r="N2408" s="6" t="e">
        <v>#VALUE!</v>
      </c>
      <c r="O2408" s="6" t="e">
        <v>#VALUE!</v>
      </c>
      <c r="P2408" s="6" t="e">
        <v>#VALUE!</v>
      </c>
      <c r="Q2408" s="6" t="e">
        <v>#VALUE!</v>
      </c>
      <c r="T2408" s="9"/>
      <c r="U2408" s="1">
        <f t="shared" si="3966"/>
        <v>55</v>
      </c>
      <c r="V2408" s="1">
        <f t="shared" si="3967"/>
        <v>231</v>
      </c>
    </row>
    <row r="2409" spans="1:22" ht="15" customHeight="1" x14ac:dyDescent="0.3">
      <c r="A2409" s="1">
        <f t="shared" si="3911"/>
        <v>55232</v>
      </c>
      <c r="B2409" s="10" t="s">
        <v>34</v>
      </c>
      <c r="C2409" s="10" t="s">
        <v>35</v>
      </c>
      <c r="D2409" s="10" t="s">
        <v>36</v>
      </c>
      <c r="E2409" s="74" t="s">
        <v>37</v>
      </c>
      <c r="F2409" s="75"/>
      <c r="G2409" s="76"/>
      <c r="K2409" s="1">
        <v>9</v>
      </c>
      <c r="L2409" s="1">
        <v>9</v>
      </c>
      <c r="M2409" s="1">
        <v>9</v>
      </c>
      <c r="N2409" s="1">
        <v>9</v>
      </c>
      <c r="O2409" s="1">
        <v>9</v>
      </c>
      <c r="P2409" s="1">
        <v>9</v>
      </c>
      <c r="Q2409" s="1">
        <v>9</v>
      </c>
      <c r="R2409" s="1">
        <v>9</v>
      </c>
      <c r="T2409" s="9"/>
      <c r="U2409" s="1">
        <f t="shared" si="3966"/>
        <v>55</v>
      </c>
      <c r="V2409" s="1">
        <f t="shared" si="3967"/>
        <v>232</v>
      </c>
    </row>
    <row r="2410" spans="1:22" x14ac:dyDescent="0.3">
      <c r="A2410" s="1">
        <f t="shared" si="3911"/>
        <v>55233</v>
      </c>
      <c r="B2410" s="12">
        <f t="shared" ref="B2410:B2419" si="3978">C2394-B2394</f>
        <v>-0.30000000000000071</v>
      </c>
      <c r="C2410" s="13">
        <f t="shared" ref="C2410:C2419" si="3979">H2394-G2394</f>
        <v>-0.5</v>
      </c>
      <c r="D2410" s="10">
        <f t="shared" ref="D2410:D2419" si="3980">C2410-B2410</f>
        <v>-0.19999999999999929</v>
      </c>
      <c r="E2410" s="11">
        <f t="shared" ref="E2410" si="3981">IF(D2385="","",MAX(F2410,G2410))</f>
        <v>0.19999999999999929</v>
      </c>
      <c r="F2410" s="10">
        <f t="shared" ref="F2410" si="3982">ABS(MIN(D2410:D2419))</f>
        <v>0.19999999999999929</v>
      </c>
      <c r="G2410" s="10">
        <f t="shared" ref="G2410" si="3983">ABS(MAX(D2410:D2419))</f>
        <v>0.10000000000000853</v>
      </c>
      <c r="J2410" s="24" t="str">
        <f t="shared" ref="J2410" si="3984">CONCATENATE(K2409,1)</f>
        <v>91</v>
      </c>
      <c r="K2410" s="6" t="e">
        <f t="array" ref="K2410:R2412">LINEST(B2394:B2402,C2394:C2402^{1,2,3,4,5,6,7},TRUE,TRUE)</f>
        <v>#VALUE!</v>
      </c>
      <c r="L2410" s="6" t="e">
        <v>#VALUE!</v>
      </c>
      <c r="M2410" s="6" t="e">
        <v>#VALUE!</v>
      </c>
      <c r="N2410" s="6" t="e">
        <v>#VALUE!</v>
      </c>
      <c r="O2410" s="6" t="e">
        <v>#VALUE!</v>
      </c>
      <c r="P2410" s="6" t="e">
        <v>#VALUE!</v>
      </c>
      <c r="Q2410" s="6" t="e">
        <v>#VALUE!</v>
      </c>
      <c r="R2410" s="6" t="e">
        <v>#VALUE!</v>
      </c>
      <c r="T2410" s="9"/>
      <c r="U2410" s="1">
        <f t="shared" si="3966"/>
        <v>55</v>
      </c>
      <c r="V2410" s="1">
        <f t="shared" si="3967"/>
        <v>233</v>
      </c>
    </row>
    <row r="2411" spans="1:22" x14ac:dyDescent="0.3">
      <c r="A2411" s="1">
        <f t="shared" si="3911"/>
        <v>55234</v>
      </c>
      <c r="B2411" s="12">
        <f t="shared" si="3978"/>
        <v>0</v>
      </c>
      <c r="C2411" s="13">
        <f t="shared" si="3979"/>
        <v>0</v>
      </c>
      <c r="D2411" s="10">
        <f t="shared" si="3980"/>
        <v>0</v>
      </c>
      <c r="E2411" s="74" t="s">
        <v>38</v>
      </c>
      <c r="F2411" s="75"/>
      <c r="G2411" s="76"/>
      <c r="J2411" s="24" t="str">
        <f t="shared" ref="J2411" si="3985">CONCATENATE(K2409,2)</f>
        <v>92</v>
      </c>
      <c r="K2411" s="6" t="e">
        <v>#VALUE!</v>
      </c>
      <c r="L2411" s="6" t="e">
        <v>#VALUE!</v>
      </c>
      <c r="M2411" s="6" t="e">
        <v>#VALUE!</v>
      </c>
      <c r="N2411" s="6" t="e">
        <v>#VALUE!</v>
      </c>
      <c r="O2411" s="6" t="e">
        <v>#VALUE!</v>
      </c>
      <c r="P2411" s="6" t="e">
        <v>#VALUE!</v>
      </c>
      <c r="Q2411" s="6" t="e">
        <v>#VALUE!</v>
      </c>
      <c r="R2411" s="6" t="e">
        <v>#VALUE!</v>
      </c>
      <c r="T2411" s="9"/>
      <c r="U2411" s="1">
        <f t="shared" si="3966"/>
        <v>55</v>
      </c>
      <c r="V2411" s="1">
        <f t="shared" si="3967"/>
        <v>234</v>
      </c>
    </row>
    <row r="2412" spans="1:22" x14ac:dyDescent="0.3">
      <c r="A2412" s="1">
        <f t="shared" si="3911"/>
        <v>55235</v>
      </c>
      <c r="B2412" s="12">
        <f t="shared" si="3978"/>
        <v>0.29999999999999716</v>
      </c>
      <c r="C2412" s="13">
        <f t="shared" si="3979"/>
        <v>0.40000000000000568</v>
      </c>
      <c r="D2412" s="10">
        <f t="shared" si="3980"/>
        <v>0.10000000000000853</v>
      </c>
      <c r="E2412" s="11">
        <f t="shared" ref="E2412" si="3986">IF(D2385="","",MAX(F2412,G2412))</f>
        <v>0.30000000000000071</v>
      </c>
      <c r="F2412" s="10">
        <f t="shared" ref="F2412" si="3987">ABS(MIN(B2410:B2419))</f>
        <v>0.30000000000000071</v>
      </c>
      <c r="G2412" s="10">
        <f t="shared" ref="G2412" si="3988">ABS(MAX(B2410:B2419))</f>
        <v>0.29999999999999716</v>
      </c>
      <c r="J2412" s="24" t="str">
        <f t="shared" ref="J2412" si="3989">CONCATENATE(K2409,3)</f>
        <v>93</v>
      </c>
      <c r="K2412" s="6" t="e">
        <v>#VALUE!</v>
      </c>
      <c r="L2412" s="6" t="e">
        <v>#VALUE!</v>
      </c>
      <c r="M2412" s="6" t="e">
        <v>#VALUE!</v>
      </c>
      <c r="N2412" s="6" t="e">
        <v>#VALUE!</v>
      </c>
      <c r="O2412" s="6" t="e">
        <v>#VALUE!</v>
      </c>
      <c r="P2412" s="6" t="e">
        <v>#VALUE!</v>
      </c>
      <c r="Q2412" s="6" t="e">
        <v>#VALUE!</v>
      </c>
      <c r="R2412" s="6" t="e">
        <v>#VALUE!</v>
      </c>
      <c r="T2412" s="9"/>
      <c r="U2412" s="1">
        <f t="shared" si="3966"/>
        <v>55</v>
      </c>
      <c r="V2412" s="1">
        <f t="shared" si="3967"/>
        <v>235</v>
      </c>
    </row>
    <row r="2413" spans="1:22" x14ac:dyDescent="0.3">
      <c r="A2413" s="1">
        <f t="shared" si="3911"/>
        <v>55236</v>
      </c>
      <c r="B2413" s="12">
        <f t="shared" si="3978"/>
        <v>0</v>
      </c>
      <c r="C2413" s="13">
        <f t="shared" si="3979"/>
        <v>0</v>
      </c>
      <c r="D2413" s="10">
        <f t="shared" si="3980"/>
        <v>0</v>
      </c>
      <c r="E2413" s="74" t="s">
        <v>39</v>
      </c>
      <c r="F2413" s="75"/>
      <c r="G2413" s="76"/>
      <c r="K2413" s="1">
        <v>10</v>
      </c>
      <c r="L2413" s="1">
        <v>10</v>
      </c>
      <c r="M2413" s="1">
        <v>10</v>
      </c>
      <c r="N2413" s="1">
        <v>10</v>
      </c>
      <c r="O2413" s="1">
        <v>10</v>
      </c>
      <c r="P2413" s="1">
        <v>10</v>
      </c>
      <c r="Q2413" s="1">
        <v>10</v>
      </c>
      <c r="R2413" s="1">
        <v>10</v>
      </c>
      <c r="S2413" s="1">
        <v>10</v>
      </c>
      <c r="T2413" s="9"/>
      <c r="U2413" s="1">
        <f t="shared" si="3966"/>
        <v>55</v>
      </c>
      <c r="V2413" s="1">
        <f t="shared" si="3967"/>
        <v>236</v>
      </c>
    </row>
    <row r="2414" spans="1:22" x14ac:dyDescent="0.3">
      <c r="A2414" s="1">
        <f t="shared" si="3911"/>
        <v>55237</v>
      </c>
      <c r="B2414" s="12">
        <f t="shared" si="3978"/>
        <v>0</v>
      </c>
      <c r="C2414" s="13">
        <f t="shared" si="3979"/>
        <v>0</v>
      </c>
      <c r="D2414" s="10">
        <f t="shared" si="3980"/>
        <v>0</v>
      </c>
      <c r="E2414" s="11">
        <f t="shared" ref="E2414" si="3990">IF(D2385="","",MAX(F2414,G2414))</f>
        <v>0.9</v>
      </c>
      <c r="F2414" s="10">
        <f t="shared" ref="F2414" si="3991">ABS(MIN(D2394:D2403))</f>
        <v>0.4</v>
      </c>
      <c r="G2414" s="10">
        <f t="shared" ref="G2414" si="3992">ABS(MAX(D2394:D2403))</f>
        <v>0.9</v>
      </c>
      <c r="J2414" s="24" t="str">
        <f t="shared" ref="J2414" si="3993">CONCATENATE(K2413,1)</f>
        <v>101</v>
      </c>
      <c r="K2414" s="6" t="e">
        <f t="array" ref="K2414:S2416">LINEST(B2394:B2403,C2394:C2403^{1,2,3,4,5,6,7,8},TRUE,TRUE)</f>
        <v>#VALUE!</v>
      </c>
      <c r="L2414" s="6" t="e">
        <v>#VALUE!</v>
      </c>
      <c r="M2414" s="6" t="e">
        <v>#VALUE!</v>
      </c>
      <c r="N2414" s="6" t="e">
        <v>#VALUE!</v>
      </c>
      <c r="O2414" s="6" t="e">
        <v>#VALUE!</v>
      </c>
      <c r="P2414" s="6" t="e">
        <v>#VALUE!</v>
      </c>
      <c r="Q2414" s="6" t="e">
        <v>#VALUE!</v>
      </c>
      <c r="R2414" s="6" t="e">
        <v>#VALUE!</v>
      </c>
      <c r="S2414" s="6" t="e">
        <v>#VALUE!</v>
      </c>
      <c r="T2414" s="9"/>
      <c r="U2414" s="1">
        <f t="shared" si="3966"/>
        <v>55</v>
      </c>
      <c r="V2414" s="1">
        <f t="shared" si="3967"/>
        <v>237</v>
      </c>
    </row>
    <row r="2415" spans="1:22" x14ac:dyDescent="0.3">
      <c r="A2415" s="1">
        <f t="shared" si="3911"/>
        <v>55238</v>
      </c>
      <c r="B2415" s="12">
        <f t="shared" si="3978"/>
        <v>0</v>
      </c>
      <c r="C2415" s="13">
        <f t="shared" si="3979"/>
        <v>0</v>
      </c>
      <c r="D2415" s="10">
        <f t="shared" si="3980"/>
        <v>0</v>
      </c>
      <c r="J2415" s="24" t="str">
        <f t="shared" ref="J2415" si="3994">CONCATENATE(K2413,2)</f>
        <v>102</v>
      </c>
      <c r="K2415" s="6" t="e">
        <v>#VALUE!</v>
      </c>
      <c r="L2415" s="6" t="e">
        <v>#VALUE!</v>
      </c>
      <c r="M2415" s="6" t="e">
        <v>#VALUE!</v>
      </c>
      <c r="N2415" s="6" t="e">
        <v>#VALUE!</v>
      </c>
      <c r="O2415" s="6" t="e">
        <v>#VALUE!</v>
      </c>
      <c r="P2415" s="6" t="e">
        <v>#VALUE!</v>
      </c>
      <c r="Q2415" s="6" t="e">
        <v>#VALUE!</v>
      </c>
      <c r="R2415" s="6" t="e">
        <v>#VALUE!</v>
      </c>
      <c r="S2415" s="6" t="e">
        <v>#VALUE!</v>
      </c>
      <c r="T2415" s="9"/>
      <c r="U2415" s="1">
        <f t="shared" si="3966"/>
        <v>55</v>
      </c>
      <c r="V2415" s="1">
        <f t="shared" si="3967"/>
        <v>238</v>
      </c>
    </row>
    <row r="2416" spans="1:22" x14ac:dyDescent="0.3">
      <c r="A2416" s="1">
        <f t="shared" si="3911"/>
        <v>55239</v>
      </c>
      <c r="B2416" s="12">
        <f t="shared" si="3978"/>
        <v>0</v>
      </c>
      <c r="C2416" s="13">
        <f t="shared" si="3979"/>
        <v>0</v>
      </c>
      <c r="D2416" s="10">
        <f t="shared" si="3980"/>
        <v>0</v>
      </c>
      <c r="J2416" s="24" t="str">
        <f t="shared" ref="J2416" si="3995">CONCATENATE(K2413,3)</f>
        <v>103</v>
      </c>
      <c r="K2416" s="6" t="e">
        <v>#VALUE!</v>
      </c>
      <c r="L2416" s="6" t="e">
        <v>#VALUE!</v>
      </c>
      <c r="M2416" s="6" t="e">
        <v>#VALUE!</v>
      </c>
      <c r="N2416" s="6" t="e">
        <v>#VALUE!</v>
      </c>
      <c r="O2416" s="6" t="e">
        <v>#VALUE!</v>
      </c>
      <c r="P2416" s="6" t="e">
        <v>#VALUE!</v>
      </c>
      <c r="Q2416" s="6" t="e">
        <v>#VALUE!</v>
      </c>
      <c r="R2416" s="6" t="e">
        <v>#VALUE!</v>
      </c>
      <c r="S2416" s="6" t="e">
        <v>#VALUE!</v>
      </c>
      <c r="T2416" s="9"/>
      <c r="U2416" s="1">
        <f t="shared" si="3966"/>
        <v>55</v>
      </c>
      <c r="V2416" s="1">
        <f t="shared" si="3967"/>
        <v>239</v>
      </c>
    </row>
    <row r="2417" spans="1:22" x14ac:dyDescent="0.3">
      <c r="A2417" s="1">
        <f t="shared" si="3911"/>
        <v>55240</v>
      </c>
      <c r="B2417" s="12">
        <f t="shared" si="3978"/>
        <v>0</v>
      </c>
      <c r="C2417" s="13">
        <f t="shared" si="3979"/>
        <v>0</v>
      </c>
      <c r="D2417" s="10">
        <f t="shared" si="3980"/>
        <v>0</v>
      </c>
      <c r="J2417" s="9"/>
      <c r="K2417" s="9"/>
      <c r="L2417" s="9"/>
      <c r="M2417" s="9"/>
      <c r="N2417" s="9"/>
      <c r="O2417" s="9"/>
      <c r="P2417" s="9"/>
      <c r="Q2417" s="9"/>
      <c r="R2417" s="9"/>
      <c r="S2417" s="9"/>
      <c r="T2417" s="9"/>
      <c r="U2417" s="1">
        <f t="shared" si="3966"/>
        <v>55</v>
      </c>
      <c r="V2417" s="1">
        <f t="shared" si="3967"/>
        <v>240</v>
      </c>
    </row>
    <row r="2418" spans="1:22" x14ac:dyDescent="0.3">
      <c r="A2418" s="1">
        <f t="shared" si="3911"/>
        <v>55241</v>
      </c>
      <c r="B2418" s="12">
        <f t="shared" si="3978"/>
        <v>0</v>
      </c>
      <c r="C2418" s="13">
        <f t="shared" si="3979"/>
        <v>0</v>
      </c>
      <c r="D2418" s="10">
        <f t="shared" si="3980"/>
        <v>0</v>
      </c>
      <c r="J2418" s="9"/>
      <c r="K2418" s="9"/>
      <c r="L2418" s="9"/>
      <c r="M2418" s="9"/>
      <c r="N2418" s="9"/>
      <c r="O2418" s="9"/>
      <c r="P2418" s="9"/>
      <c r="Q2418" s="9"/>
      <c r="R2418" s="9"/>
      <c r="S2418" s="9"/>
      <c r="T2418" s="9"/>
      <c r="U2418" s="1">
        <f t="shared" si="3966"/>
        <v>55</v>
      </c>
      <c r="V2418" s="1">
        <f t="shared" si="3967"/>
        <v>241</v>
      </c>
    </row>
    <row r="2419" spans="1:22" x14ac:dyDescent="0.3">
      <c r="A2419" s="1">
        <f t="shared" si="3911"/>
        <v>55242</v>
      </c>
      <c r="B2419" s="12">
        <f t="shared" si="3978"/>
        <v>0</v>
      </c>
      <c r="C2419" s="13">
        <f t="shared" si="3979"/>
        <v>0</v>
      </c>
      <c r="D2419" s="10">
        <f t="shared" si="3980"/>
        <v>0</v>
      </c>
      <c r="J2419" s="9"/>
      <c r="K2419" s="9"/>
      <c r="L2419" s="9"/>
      <c r="M2419" s="9"/>
      <c r="N2419" s="9"/>
      <c r="O2419" s="9"/>
      <c r="P2419" s="9"/>
      <c r="Q2419" s="9"/>
      <c r="R2419" s="9"/>
      <c r="S2419" s="9"/>
      <c r="T2419" s="9"/>
      <c r="U2419" s="1">
        <f t="shared" si="3966"/>
        <v>55</v>
      </c>
      <c r="V2419" s="1">
        <f t="shared" si="3967"/>
        <v>242</v>
      </c>
    </row>
    <row r="2420" spans="1:22" x14ac:dyDescent="0.3">
      <c r="A2420" s="1">
        <f t="shared" si="3911"/>
        <v>55243</v>
      </c>
      <c r="J2420" s="9"/>
      <c r="K2420" s="9"/>
      <c r="L2420" s="9"/>
      <c r="M2420" s="9"/>
      <c r="N2420" s="9"/>
      <c r="O2420" s="9"/>
      <c r="P2420" s="9"/>
      <c r="Q2420" s="9"/>
      <c r="R2420" s="9"/>
      <c r="S2420" s="9"/>
      <c r="T2420" s="9"/>
      <c r="U2420" s="1">
        <f t="shared" si="3966"/>
        <v>55</v>
      </c>
      <c r="V2420" s="1">
        <f t="shared" si="3967"/>
        <v>243</v>
      </c>
    </row>
    <row r="2421" spans="1:22" s="5" customFormat="1" x14ac:dyDescent="0.3"/>
    <row r="2422" spans="1:22" x14ac:dyDescent="0.3">
      <c r="A2422" s="1">
        <f t="shared" ref="A2422:A2464" si="3996">ROUND(CONCATENATE(U2422,V2422),0)</f>
        <v>56201</v>
      </c>
      <c r="B2422" s="96" t="s">
        <v>0</v>
      </c>
      <c r="C2422" s="97"/>
      <c r="D2422" s="110" t="s">
        <v>46</v>
      </c>
      <c r="E2422" s="111"/>
      <c r="F2422" s="111"/>
      <c r="G2422" s="111"/>
      <c r="H2422" s="112"/>
      <c r="J2422" s="9"/>
      <c r="K2422" s="9"/>
      <c r="L2422" s="9"/>
      <c r="M2422" s="9"/>
      <c r="N2422" s="9"/>
      <c r="O2422" s="9"/>
      <c r="P2422" s="9"/>
      <c r="Q2422" s="9"/>
      <c r="R2422" s="9"/>
      <c r="S2422" s="9"/>
      <c r="T2422" s="9"/>
      <c r="U2422" s="1">
        <f t="shared" ref="U2422" si="3997">U2420+1</f>
        <v>56</v>
      </c>
      <c r="V2422" s="1">
        <v>201</v>
      </c>
    </row>
    <row r="2423" spans="1:22" x14ac:dyDescent="0.3">
      <c r="A2423" s="1">
        <f t="shared" si="3996"/>
        <v>56202</v>
      </c>
      <c r="B2423" s="96" t="s">
        <v>1</v>
      </c>
      <c r="C2423" s="97"/>
      <c r="D2423" s="15">
        <v>20</v>
      </c>
      <c r="E2423" s="16" t="s">
        <v>2</v>
      </c>
      <c r="F2423" s="107"/>
      <c r="G2423" s="108"/>
      <c r="H2423" s="109"/>
      <c r="J2423" s="9"/>
      <c r="K2423" s="9"/>
      <c r="L2423" s="9"/>
      <c r="M2423" s="9"/>
      <c r="N2423" s="9"/>
      <c r="O2423" s="9"/>
      <c r="P2423" s="9"/>
      <c r="Q2423" s="9"/>
      <c r="R2423" s="9"/>
      <c r="S2423" s="9"/>
      <c r="T2423" s="9"/>
      <c r="U2423" s="1">
        <f t="shared" ref="U2423" si="3998">U2422</f>
        <v>56</v>
      </c>
      <c r="V2423" s="1">
        <f t="shared" ref="V2423" si="3999">V2422+1</f>
        <v>202</v>
      </c>
    </row>
    <row r="2424" spans="1:22" x14ac:dyDescent="0.3">
      <c r="A2424" s="1">
        <f t="shared" si="3996"/>
        <v>56203</v>
      </c>
      <c r="B2424" s="96" t="s">
        <v>12</v>
      </c>
      <c r="C2424" s="97"/>
      <c r="D2424" s="141" t="s">
        <v>305</v>
      </c>
      <c r="E2424" s="141"/>
      <c r="F2424" s="141"/>
      <c r="G2424" s="141"/>
      <c r="H2424" s="141"/>
      <c r="K2424" s="1" t="s">
        <v>3</v>
      </c>
      <c r="L2424" s="1" t="s">
        <v>4</v>
      </c>
      <c r="M2424" s="1" t="s">
        <v>5</v>
      </c>
      <c r="N2424" s="1" t="s">
        <v>6</v>
      </c>
      <c r="O2424" s="1" t="s">
        <v>7</v>
      </c>
      <c r="P2424" s="1" t="s">
        <v>8</v>
      </c>
      <c r="Q2424" s="1" t="s">
        <v>9</v>
      </c>
      <c r="R2424" s="1" t="s">
        <v>10</v>
      </c>
      <c r="S2424" s="1" t="s">
        <v>11</v>
      </c>
      <c r="T2424" s="9"/>
      <c r="U2424" s="1">
        <f t="shared" si="3966"/>
        <v>56</v>
      </c>
      <c r="V2424" s="1">
        <f t="shared" si="3967"/>
        <v>203</v>
      </c>
    </row>
    <row r="2425" spans="1:22" x14ac:dyDescent="0.3">
      <c r="A2425" s="1">
        <f t="shared" si="3996"/>
        <v>56204</v>
      </c>
      <c r="B2425" s="96" t="s">
        <v>13</v>
      </c>
      <c r="C2425" s="97"/>
      <c r="D2425" s="141" t="s">
        <v>65</v>
      </c>
      <c r="E2425" s="141"/>
      <c r="F2425" s="141"/>
      <c r="G2425" s="141"/>
      <c r="H2425" s="141"/>
      <c r="J2425" s="1">
        <f t="shared" ref="J2425" si="4000">COUNTA(B2438:B2447)</f>
        <v>3</v>
      </c>
      <c r="K2425" s="1">
        <f t="shared" ref="K2425" si="4001">IF(L2425-1&lt;2,0,L2425-1)</f>
        <v>0</v>
      </c>
      <c r="L2425" s="1">
        <f t="shared" ref="L2425" si="4002">IF(M2425-1&lt;2,0,M2425-1)</f>
        <v>0</v>
      </c>
      <c r="M2425" s="1">
        <f t="shared" ref="M2425" si="4003">IF(N2425-1&lt;2,0,N2425-1)</f>
        <v>0</v>
      </c>
      <c r="N2425" s="1">
        <f t="shared" ref="N2425" si="4004">IF(O2425-1&lt;2,0,O2425-1)</f>
        <v>0</v>
      </c>
      <c r="O2425" s="1">
        <f t="shared" ref="O2425" si="4005">IF(P2425-1&lt;2,0,P2425-1)</f>
        <v>0</v>
      </c>
      <c r="P2425" s="1">
        <f t="shared" ref="P2425" si="4006">IF(Q2425-1&lt;2,0,Q2425-1)</f>
        <v>0</v>
      </c>
      <c r="Q2425" s="1">
        <f t="shared" ref="Q2425" si="4007">IF(R2425-1&lt;2,0,R2425-1)</f>
        <v>0</v>
      </c>
      <c r="R2425" s="1">
        <f t="shared" ref="R2425" si="4008">IF(S2425-1&lt;2,0,S2425-1)</f>
        <v>2</v>
      </c>
      <c r="S2425" s="1">
        <f t="shared" ref="S2425" si="4009">J2425</f>
        <v>3</v>
      </c>
      <c r="T2425" s="9"/>
      <c r="U2425" s="1">
        <f t="shared" si="3966"/>
        <v>56</v>
      </c>
      <c r="V2425" s="1">
        <f t="shared" si="3967"/>
        <v>204</v>
      </c>
    </row>
    <row r="2426" spans="1:22" x14ac:dyDescent="0.3">
      <c r="A2426" s="1">
        <f t="shared" si="3996"/>
        <v>56205</v>
      </c>
      <c r="B2426" s="96" t="s">
        <v>14</v>
      </c>
      <c r="C2426" s="97"/>
      <c r="D2426" s="141" t="s">
        <v>66</v>
      </c>
      <c r="E2426" s="141"/>
      <c r="F2426" s="141"/>
      <c r="G2426" s="141"/>
      <c r="H2426" s="141"/>
      <c r="J2426" s="24" t="str">
        <f t="shared" ref="J2426" si="4010">CONCATENATE(J2425,1)</f>
        <v>31</v>
      </c>
      <c r="K2426" s="25">
        <f t="shared" ref="K2426" si="4011">IF(K2425=0,0,VLOOKUP(J2426,J2430:S2460,K2425,FALSE))</f>
        <v>0</v>
      </c>
      <c r="L2426" s="25">
        <f t="shared" ref="L2426" si="4012">IF(L2425=0,0,VLOOKUP(J2426,J2430:S2460,L2425,FALSE))</f>
        <v>0</v>
      </c>
      <c r="M2426" s="25">
        <f t="shared" ref="M2426" si="4013">IF(M2425=0,0,VLOOKUP(J2426,J2430:S2460,M2425,FALSE))</f>
        <v>0</v>
      </c>
      <c r="N2426" s="25">
        <f t="shared" ref="N2426" si="4014">IF(N2425=0,0,VLOOKUP(J2426,J2430:S2460,N2425,FALSE))</f>
        <v>0</v>
      </c>
      <c r="O2426" s="25">
        <f t="shared" ref="O2426" si="4015">IF(O2425=0,0,VLOOKUP(J2426,J2430:S2460,O2425,FALSE))</f>
        <v>0</v>
      </c>
      <c r="P2426" s="25">
        <f t="shared" ref="P2426" si="4016">IF(P2425=0,0,VLOOKUP(J2426,J2430:S2460,P2425,FALSE))</f>
        <v>0</v>
      </c>
      <c r="Q2426" s="25">
        <f t="shared" ref="Q2426" si="4017">IF(Q2425=0,0,VLOOKUP(J2426,J2430:S2460,Q2425,FALSE))</f>
        <v>0</v>
      </c>
      <c r="R2426" s="25">
        <f t="shared" ref="R2426" si="4018">IF(R2425=0,0,VLOOKUP(J2426,J2430:S2460,R2425,FALSE))</f>
        <v>0.98038866679244929</v>
      </c>
      <c r="S2426" s="25">
        <f t="shared" ref="S2426" si="4019">IF(S2425=0,0,VLOOKUP(J2426,J2430:S2460,S2425,FALSE))</f>
        <v>0.75180930479263708</v>
      </c>
      <c r="T2426" s="9"/>
      <c r="U2426" s="1">
        <f t="shared" si="3966"/>
        <v>56</v>
      </c>
      <c r="V2426" s="1">
        <f t="shared" si="3967"/>
        <v>205</v>
      </c>
    </row>
    <row r="2427" spans="1:22" x14ac:dyDescent="0.3">
      <c r="A2427" s="1">
        <f t="shared" si="3996"/>
        <v>56206</v>
      </c>
      <c r="B2427" s="96" t="s">
        <v>15</v>
      </c>
      <c r="C2427" s="97"/>
      <c r="D2427" s="141" t="s">
        <v>306</v>
      </c>
      <c r="E2427" s="141"/>
      <c r="F2427" s="141"/>
      <c r="G2427" s="141"/>
      <c r="H2427" s="141"/>
      <c r="J2427" s="24" t="str">
        <f t="shared" ref="J2427" si="4020">CONCATENATE(J2425,2)</f>
        <v>32</v>
      </c>
      <c r="K2427" s="6">
        <f t="shared" ref="K2427" si="4021">IF(K2425=0,0,VLOOKUP(J2427,J2430:S2460,K2425,FALSE))</f>
        <v>0</v>
      </c>
      <c r="L2427" s="6">
        <f t="shared" ref="L2427" si="4022">IF(L2425=0,0,VLOOKUP(J2427,J2430:S2460,L2425,FALSE))</f>
        <v>0</v>
      </c>
      <c r="M2427" s="6">
        <f t="shared" ref="M2427" si="4023">IF(M2425=0,0,VLOOKUP(J2427,J2430:S2460,M2425,FALSE))</f>
        <v>0</v>
      </c>
      <c r="N2427" s="6">
        <f t="shared" ref="N2427" si="4024">IF(N2425=0,0,VLOOKUP(J2427,J2430:S2460,N2425,FALSE))</f>
        <v>0</v>
      </c>
      <c r="O2427" s="6">
        <f t="shared" ref="O2427" si="4025">IF(O2425=0,0,VLOOKUP(J2427,J2430:S2460,O2425,FALSE))</f>
        <v>0</v>
      </c>
      <c r="P2427" s="6">
        <f t="shared" ref="P2427" si="4026">IF(P2425=0,0,VLOOKUP(J2427,J2430:S2460,P2425,FALSE))</f>
        <v>0</v>
      </c>
      <c r="Q2427" s="6">
        <f t="shared" ref="Q2427" si="4027">IF(Q2425=0,0,VLOOKUP(J2427,J2430:S2460,Q2425,FALSE))</f>
        <v>0</v>
      </c>
      <c r="R2427" s="6">
        <f t="shared" ref="R2427" si="4028">IF(R2425=0,0,VLOOKUP(J2427,J2430:S2460,R2425,FALSE))</f>
        <v>1.8497635970031506E-3</v>
      </c>
      <c r="S2427" s="6">
        <f t="shared" ref="S2427" si="4029">IF(S2425=0,0,VLOOKUP(J2427,J2430:S2460,S2425,FALSE))</f>
        <v>0.10377866180963809</v>
      </c>
      <c r="T2427" s="9"/>
      <c r="U2427" s="1">
        <f t="shared" si="3966"/>
        <v>56</v>
      </c>
      <c r="V2427" s="1">
        <f t="shared" si="3967"/>
        <v>206</v>
      </c>
    </row>
    <row r="2428" spans="1:22" x14ac:dyDescent="0.3">
      <c r="A2428" s="1">
        <f t="shared" si="3996"/>
        <v>56207</v>
      </c>
      <c r="B2428" s="96" t="s">
        <v>16</v>
      </c>
      <c r="C2428" s="97"/>
      <c r="D2428" s="121">
        <v>45761</v>
      </c>
      <c r="E2428" s="121"/>
      <c r="F2428" s="121"/>
      <c r="G2428" s="121"/>
      <c r="H2428" s="121"/>
      <c r="J2428" s="24" t="str">
        <f t="shared" ref="J2428" si="4030">CONCATENATE(J2425,3)</f>
        <v>33</v>
      </c>
      <c r="K2428" s="6"/>
      <c r="L2428" s="6"/>
      <c r="M2428" s="6"/>
      <c r="N2428" s="6" t="s">
        <v>43</v>
      </c>
      <c r="O2428" s="25">
        <f t="shared" ref="O2428" si="4031">J2425-2</f>
        <v>1</v>
      </c>
      <c r="P2428" s="6" t="s">
        <v>44</v>
      </c>
      <c r="Q2428" s="25">
        <f t="shared" ref="Q2428" si="4032">VLOOKUP(J2428,J2430:S2460,3,FALSE)</f>
        <v>8.0048541923012806E-2</v>
      </c>
      <c r="R2428" s="6" t="s">
        <v>45</v>
      </c>
      <c r="S2428" s="6">
        <f t="shared" ref="S2428" si="4033">VLOOKUP(J2428,J2430:S2460,2,FALSE)</f>
        <v>0.9999964401282978</v>
      </c>
      <c r="T2428" s="9"/>
      <c r="U2428" s="1">
        <f t="shared" si="3966"/>
        <v>56</v>
      </c>
      <c r="V2428" s="1">
        <f t="shared" si="3967"/>
        <v>207</v>
      </c>
    </row>
    <row r="2429" spans="1:22" x14ac:dyDescent="0.3">
      <c r="A2429" s="1">
        <f t="shared" si="3996"/>
        <v>56208</v>
      </c>
      <c r="B2429" s="96" t="s">
        <v>17</v>
      </c>
      <c r="C2429" s="97"/>
      <c r="D2429" s="122">
        <v>46142</v>
      </c>
      <c r="E2429" s="122"/>
      <c r="F2429" s="122"/>
      <c r="G2429" s="122"/>
      <c r="H2429" s="122"/>
      <c r="K2429" s="1">
        <v>3</v>
      </c>
      <c r="L2429" s="1">
        <v>3</v>
      </c>
      <c r="Q2429" s="26"/>
      <c r="R2429" s="26"/>
      <c r="S2429" s="26"/>
      <c r="T2429" s="9"/>
      <c r="U2429" s="1">
        <f t="shared" si="3966"/>
        <v>56</v>
      </c>
      <c r="V2429" s="1">
        <f t="shared" si="3967"/>
        <v>208</v>
      </c>
    </row>
    <row r="2430" spans="1:22" x14ac:dyDescent="0.3">
      <c r="A2430" s="1">
        <f t="shared" si="3996"/>
        <v>56209</v>
      </c>
      <c r="B2430" s="77" t="s">
        <v>19</v>
      </c>
      <c r="C2430" s="78"/>
      <c r="D2430" s="17">
        <v>0.1</v>
      </c>
      <c r="E2430" s="79" t="s">
        <v>40</v>
      </c>
      <c r="F2430" s="80"/>
      <c r="G2430" s="81"/>
      <c r="H2430" s="18" t="s">
        <v>72</v>
      </c>
      <c r="J2430" s="24" t="str">
        <f t="shared" ref="J2430" si="4034">CONCATENATE(K2429,1)</f>
        <v>31</v>
      </c>
      <c r="K2430" s="6">
        <f t="array" ref="K2430:L2432">LINEST(B2438:B2440,C2438:C2440^{1},TRUE,TRUE)</f>
        <v>0.98038866679244929</v>
      </c>
      <c r="L2430" s="6">
        <v>0.75180930479263708</v>
      </c>
      <c r="Q2430" s="9"/>
      <c r="R2430" s="9"/>
      <c r="S2430" s="9"/>
      <c r="T2430" s="9"/>
      <c r="U2430" s="1">
        <f t="shared" si="3966"/>
        <v>56</v>
      </c>
      <c r="V2430" s="1">
        <f t="shared" si="3967"/>
        <v>209</v>
      </c>
    </row>
    <row r="2431" spans="1:22" x14ac:dyDescent="0.3">
      <c r="A2431" s="1">
        <f t="shared" si="3996"/>
        <v>56210</v>
      </c>
      <c r="B2431" s="77" t="s">
        <v>41</v>
      </c>
      <c r="C2431" s="78"/>
      <c r="D2431" s="23">
        <f t="shared" ref="D2431" si="4035">MIN(B2438:B2447)</f>
        <v>20</v>
      </c>
      <c r="E2431" s="20" t="s">
        <v>18</v>
      </c>
      <c r="F2431" s="19">
        <f t="shared" ref="F2431" si="4036">MAX(B2438:B2447)</f>
        <v>80</v>
      </c>
      <c r="G2431" s="21" t="str">
        <f t="shared" ref="G2431" si="4037">IF(H2430="","",H2430)</f>
        <v>%ur</v>
      </c>
      <c r="H2431" s="22"/>
      <c r="J2431" s="24" t="str">
        <f t="shared" ref="J2431" si="4038">CONCATENATE(K2429,2)</f>
        <v>32</v>
      </c>
      <c r="K2431" s="6">
        <v>1.8497635970031506E-3</v>
      </c>
      <c r="L2431" s="6">
        <v>0.10377866180963809</v>
      </c>
      <c r="Q2431" s="9"/>
      <c r="R2431" s="9"/>
      <c r="S2431" s="9"/>
      <c r="T2431" s="9"/>
      <c r="U2431" s="1">
        <f t="shared" si="3966"/>
        <v>56</v>
      </c>
      <c r="V2431" s="1">
        <f t="shared" si="3967"/>
        <v>210</v>
      </c>
    </row>
    <row r="2432" spans="1:22" x14ac:dyDescent="0.3">
      <c r="A2432" s="1">
        <f t="shared" si="3996"/>
        <v>56211</v>
      </c>
      <c r="J2432" s="24" t="str">
        <f t="shared" ref="J2432" si="4039">CONCATENATE(K2429,3)</f>
        <v>33</v>
      </c>
      <c r="K2432" s="6">
        <v>0.9999964401282978</v>
      </c>
      <c r="L2432" s="6">
        <v>8.0048541923012806E-2</v>
      </c>
      <c r="Q2432" s="9"/>
      <c r="R2432" s="9"/>
      <c r="S2432" s="9"/>
      <c r="T2432" s="9"/>
      <c r="U2432" s="1">
        <f t="shared" si="3966"/>
        <v>56</v>
      </c>
      <c r="V2432" s="1">
        <f t="shared" si="3967"/>
        <v>211</v>
      </c>
    </row>
    <row r="2433" spans="1:22" x14ac:dyDescent="0.3">
      <c r="A2433" s="1">
        <f t="shared" si="3996"/>
        <v>56212</v>
      </c>
      <c r="B2433" s="82" t="s">
        <v>20</v>
      </c>
      <c r="C2433" s="83"/>
      <c r="D2433" s="83"/>
      <c r="E2433" s="83"/>
      <c r="F2433" s="84"/>
      <c r="G2433" s="85" t="s">
        <v>31</v>
      </c>
      <c r="H2433" s="86"/>
      <c r="K2433" s="1">
        <v>4</v>
      </c>
      <c r="L2433" s="1">
        <v>4</v>
      </c>
      <c r="M2433" s="1">
        <v>4</v>
      </c>
      <c r="Q2433" s="9"/>
      <c r="R2433" s="9"/>
      <c r="S2433" s="9"/>
      <c r="T2433" s="9"/>
      <c r="U2433" s="1">
        <f t="shared" si="3966"/>
        <v>56</v>
      </c>
      <c r="V2433" s="1">
        <f t="shared" si="3967"/>
        <v>212</v>
      </c>
    </row>
    <row r="2434" spans="1:22" x14ac:dyDescent="0.3">
      <c r="A2434" s="1">
        <f t="shared" si="3996"/>
        <v>56213</v>
      </c>
      <c r="B2434" s="82" t="s">
        <v>30</v>
      </c>
      <c r="C2434" s="83"/>
      <c r="D2434" s="84"/>
      <c r="E2434" s="82" t="str">
        <f t="shared" ref="E2434" si="4040">D2427</f>
        <v>E0206/25</v>
      </c>
      <c r="F2434" s="84"/>
      <c r="G2434" s="6" t="s">
        <v>32</v>
      </c>
      <c r="H2434" s="7"/>
      <c r="J2434" s="24" t="str">
        <f t="shared" ref="J2434" si="4041">CONCATENATE(K2433,1)</f>
        <v>41</v>
      </c>
      <c r="K2434" s="6" t="e">
        <f t="array" ref="K2434:M2436">LINEST(B2438:B2441,C2438:C2441^{1,2},TRUE,TRUE)</f>
        <v>#VALUE!</v>
      </c>
      <c r="L2434" s="6" t="e">
        <v>#VALUE!</v>
      </c>
      <c r="M2434" s="6" t="e">
        <v>#VALUE!</v>
      </c>
      <c r="Q2434" s="9"/>
      <c r="R2434" s="9"/>
      <c r="S2434" s="9"/>
      <c r="T2434" s="9"/>
      <c r="U2434" s="1">
        <f t="shared" si="3966"/>
        <v>56</v>
      </c>
      <c r="V2434" s="1">
        <f t="shared" si="3967"/>
        <v>213</v>
      </c>
    </row>
    <row r="2435" spans="1:22" x14ac:dyDescent="0.3">
      <c r="A2435" s="1">
        <f t="shared" si="3996"/>
        <v>56214</v>
      </c>
      <c r="B2435" s="2" t="s">
        <v>21</v>
      </c>
      <c r="C2435" s="2" t="s">
        <v>22</v>
      </c>
      <c r="D2435" s="2" t="s">
        <v>23</v>
      </c>
      <c r="E2435" s="2"/>
      <c r="F2435" s="2" t="s">
        <v>28</v>
      </c>
      <c r="G2435" s="2" t="s">
        <v>21</v>
      </c>
      <c r="H2435" s="2" t="s">
        <v>22</v>
      </c>
      <c r="J2435" s="24" t="str">
        <f t="shared" ref="J2435" si="4042">CONCATENATE(K2433,2)</f>
        <v>42</v>
      </c>
      <c r="K2435" s="6" t="e">
        <v>#VALUE!</v>
      </c>
      <c r="L2435" s="6" t="e">
        <v>#VALUE!</v>
      </c>
      <c r="M2435" s="6" t="e">
        <v>#VALUE!</v>
      </c>
      <c r="Q2435" s="9"/>
      <c r="R2435" s="9"/>
      <c r="S2435" s="9"/>
      <c r="T2435" s="9"/>
      <c r="U2435" s="1">
        <f t="shared" si="3966"/>
        <v>56</v>
      </c>
      <c r="V2435" s="1">
        <f t="shared" si="3967"/>
        <v>214</v>
      </c>
    </row>
    <row r="2436" spans="1:22" x14ac:dyDescent="0.3">
      <c r="A2436" s="1">
        <f t="shared" si="3996"/>
        <v>56215</v>
      </c>
      <c r="B2436" s="2" t="s">
        <v>24</v>
      </c>
      <c r="C2436" s="2" t="s">
        <v>25</v>
      </c>
      <c r="D2436" s="2" t="s">
        <v>26</v>
      </c>
      <c r="E2436" s="2" t="s">
        <v>27</v>
      </c>
      <c r="F2436" s="2" t="s">
        <v>29</v>
      </c>
      <c r="G2436" s="2" t="s">
        <v>24</v>
      </c>
      <c r="H2436" s="2" t="s">
        <v>25</v>
      </c>
      <c r="J2436" s="24" t="str">
        <f t="shared" ref="J2436" si="4043">CONCATENATE(K2433,3)</f>
        <v>43</v>
      </c>
      <c r="K2436" s="6" t="e">
        <v>#VALUE!</v>
      </c>
      <c r="L2436" s="6" t="e">
        <v>#VALUE!</v>
      </c>
      <c r="M2436" s="6" t="e">
        <v>#VALUE!</v>
      </c>
      <c r="Q2436" s="9"/>
      <c r="R2436" s="9"/>
      <c r="S2436" s="9"/>
      <c r="T2436" s="9"/>
      <c r="U2436" s="1">
        <f t="shared" si="3966"/>
        <v>56</v>
      </c>
      <c r="V2436" s="1">
        <f t="shared" si="3967"/>
        <v>215</v>
      </c>
    </row>
    <row r="2437" spans="1:22" x14ac:dyDescent="0.3">
      <c r="A2437" s="1">
        <f t="shared" si="3996"/>
        <v>56216</v>
      </c>
      <c r="B2437" s="3" t="str">
        <f t="shared" ref="B2437" si="4044">H2430</f>
        <v>%ur</v>
      </c>
      <c r="C2437" s="3" t="str">
        <f t="shared" ref="C2437" si="4045">B2437</f>
        <v>%ur</v>
      </c>
      <c r="D2437" s="3" t="str">
        <f t="shared" ref="D2437" si="4046">C2437</f>
        <v>%ur</v>
      </c>
      <c r="E2437" s="3"/>
      <c r="F2437" s="3"/>
      <c r="G2437" s="3" t="str">
        <f t="shared" ref="G2437" si="4047">D2437</f>
        <v>%ur</v>
      </c>
      <c r="H2437" s="3" t="str">
        <f t="shared" ref="H2437" si="4048">G2437</f>
        <v>%ur</v>
      </c>
      <c r="K2437" s="1">
        <v>5</v>
      </c>
      <c r="L2437" s="1">
        <v>5</v>
      </c>
      <c r="M2437" s="1">
        <v>5</v>
      </c>
      <c r="N2437" s="1">
        <v>5</v>
      </c>
      <c r="Q2437" s="9"/>
      <c r="R2437" s="9"/>
      <c r="S2437" s="9"/>
      <c r="T2437" s="9"/>
      <c r="U2437" s="1">
        <f t="shared" si="3966"/>
        <v>56</v>
      </c>
      <c r="V2437" s="1">
        <f t="shared" si="3967"/>
        <v>216</v>
      </c>
    </row>
    <row r="2438" spans="1:22" x14ac:dyDescent="0.3">
      <c r="A2438" s="1">
        <f t="shared" si="3996"/>
        <v>56217</v>
      </c>
      <c r="B2438" s="65">
        <v>20</v>
      </c>
      <c r="C2438" s="65">
        <v>19.600000000000001</v>
      </c>
      <c r="D2438" s="65">
        <v>0.7</v>
      </c>
      <c r="E2438" s="4">
        <v>2</v>
      </c>
      <c r="F2438" s="14">
        <v>1000000</v>
      </c>
      <c r="G2438" s="66"/>
      <c r="H2438" s="66"/>
      <c r="J2438" s="24" t="str">
        <f t="shared" ref="J2438" si="4049">CONCATENATE(K2437,1)</f>
        <v>51</v>
      </c>
      <c r="K2438" s="6" t="e">
        <f t="array" ref="K2438:N2440">LINEST(B2438:B2442,C2438:C2442^{1,2,3},TRUE,TRUE)</f>
        <v>#VALUE!</v>
      </c>
      <c r="L2438" s="6" t="e">
        <v>#VALUE!</v>
      </c>
      <c r="M2438" s="6" t="e">
        <v>#VALUE!</v>
      </c>
      <c r="N2438" s="6" t="e">
        <v>#VALUE!</v>
      </c>
      <c r="Q2438" s="9"/>
      <c r="R2438" s="9"/>
      <c r="S2438" s="9"/>
      <c r="T2438" s="9"/>
      <c r="U2438" s="1">
        <f t="shared" si="3966"/>
        <v>56</v>
      </c>
      <c r="V2438" s="1">
        <f t="shared" si="3967"/>
        <v>217</v>
      </c>
    </row>
    <row r="2439" spans="1:22" x14ac:dyDescent="0.3">
      <c r="A2439" s="1">
        <f t="shared" si="3996"/>
        <v>56218</v>
      </c>
      <c r="B2439" s="65">
        <v>50</v>
      </c>
      <c r="C2439" s="65">
        <v>50.3</v>
      </c>
      <c r="D2439" s="65">
        <v>1.1000000000000001</v>
      </c>
      <c r="E2439" s="4">
        <v>2</v>
      </c>
      <c r="F2439" s="14">
        <v>1000000</v>
      </c>
      <c r="G2439" s="66"/>
      <c r="H2439" s="66"/>
      <c r="J2439" s="24" t="str">
        <f t="shared" ref="J2439" si="4050">CONCATENATE(K2437,2)</f>
        <v>52</v>
      </c>
      <c r="K2439" s="6" t="e">
        <v>#VALUE!</v>
      </c>
      <c r="L2439" s="6" t="e">
        <v>#VALUE!</v>
      </c>
      <c r="M2439" s="6" t="e">
        <v>#VALUE!</v>
      </c>
      <c r="N2439" s="6" t="e">
        <v>#VALUE!</v>
      </c>
      <c r="T2439" s="9"/>
      <c r="U2439" s="1">
        <f t="shared" si="3966"/>
        <v>56</v>
      </c>
      <c r="V2439" s="1">
        <f t="shared" si="3967"/>
        <v>218</v>
      </c>
    </row>
    <row r="2440" spans="1:22" x14ac:dyDescent="0.3">
      <c r="A2440" s="1">
        <f t="shared" si="3996"/>
        <v>56219</v>
      </c>
      <c r="B2440" s="65">
        <v>80</v>
      </c>
      <c r="C2440" s="65">
        <v>80.8</v>
      </c>
      <c r="D2440" s="65">
        <v>1.1000000000000001</v>
      </c>
      <c r="E2440" s="4">
        <v>2</v>
      </c>
      <c r="F2440" s="14">
        <v>1000000</v>
      </c>
      <c r="G2440" s="66"/>
      <c r="H2440" s="66"/>
      <c r="J2440" s="24" t="str">
        <f t="shared" ref="J2440" si="4051">CONCATENATE(K2437,3)</f>
        <v>53</v>
      </c>
      <c r="K2440" s="6" t="e">
        <v>#VALUE!</v>
      </c>
      <c r="L2440" s="6" t="e">
        <v>#VALUE!</v>
      </c>
      <c r="M2440" s="6" t="e">
        <v>#VALUE!</v>
      </c>
      <c r="N2440" s="6" t="e">
        <v>#VALUE!</v>
      </c>
      <c r="T2440" s="9"/>
      <c r="U2440" s="1">
        <f t="shared" si="3966"/>
        <v>56</v>
      </c>
      <c r="V2440" s="1">
        <f t="shared" si="3967"/>
        <v>219</v>
      </c>
    </row>
    <row r="2441" spans="1:22" x14ac:dyDescent="0.3">
      <c r="A2441" s="1">
        <f t="shared" si="3996"/>
        <v>56220</v>
      </c>
      <c r="B2441" s="4"/>
      <c r="C2441" s="4"/>
      <c r="D2441" s="4"/>
      <c r="E2441" s="4"/>
      <c r="F2441" s="14"/>
      <c r="G2441" s="8"/>
      <c r="H2441" s="7"/>
      <c r="K2441" s="1">
        <v>6</v>
      </c>
      <c r="L2441" s="1">
        <v>6</v>
      </c>
      <c r="M2441" s="1">
        <v>6</v>
      </c>
      <c r="N2441" s="1">
        <v>6</v>
      </c>
      <c r="O2441" s="1">
        <v>6</v>
      </c>
      <c r="T2441" s="9"/>
      <c r="U2441" s="1">
        <f t="shared" si="3966"/>
        <v>56</v>
      </c>
      <c r="V2441" s="1">
        <f t="shared" si="3967"/>
        <v>220</v>
      </c>
    </row>
    <row r="2442" spans="1:22" x14ac:dyDescent="0.3">
      <c r="A2442" s="1">
        <f t="shared" si="3996"/>
        <v>56221</v>
      </c>
      <c r="B2442" s="4"/>
      <c r="C2442" s="4"/>
      <c r="D2442" s="4"/>
      <c r="E2442" s="4"/>
      <c r="F2442" s="14"/>
      <c r="G2442" s="8"/>
      <c r="H2442" s="7"/>
      <c r="J2442" s="24" t="str">
        <f t="shared" ref="J2442" si="4052">CONCATENATE(K2441,1)</f>
        <v>61</v>
      </c>
      <c r="K2442" s="6" t="e">
        <f t="array" ref="K2442:O2444">LINEST(B2438:B2443,C2438:C2443^{1,2,3,4},TRUE,TRUE)</f>
        <v>#VALUE!</v>
      </c>
      <c r="L2442" s="6" t="e">
        <v>#VALUE!</v>
      </c>
      <c r="M2442" s="6" t="e">
        <v>#VALUE!</v>
      </c>
      <c r="N2442" s="6" t="e">
        <v>#VALUE!</v>
      </c>
      <c r="O2442" s="6" t="e">
        <v>#VALUE!</v>
      </c>
      <c r="T2442" s="9"/>
      <c r="U2442" s="1">
        <f t="shared" si="3966"/>
        <v>56</v>
      </c>
      <c r="V2442" s="1">
        <f t="shared" si="3967"/>
        <v>221</v>
      </c>
    </row>
    <row r="2443" spans="1:22" x14ac:dyDescent="0.3">
      <c r="A2443" s="1">
        <f t="shared" si="3996"/>
        <v>56222</v>
      </c>
      <c r="B2443" s="4"/>
      <c r="C2443" s="4"/>
      <c r="D2443" s="4"/>
      <c r="E2443" s="4"/>
      <c r="F2443" s="14"/>
      <c r="G2443" s="8"/>
      <c r="H2443" s="7"/>
      <c r="J2443" s="24" t="str">
        <f t="shared" ref="J2443" si="4053">CONCATENATE(K2441,2)</f>
        <v>62</v>
      </c>
      <c r="K2443" s="6" t="e">
        <v>#VALUE!</v>
      </c>
      <c r="L2443" s="6" t="e">
        <v>#VALUE!</v>
      </c>
      <c r="M2443" s="6" t="e">
        <v>#VALUE!</v>
      </c>
      <c r="N2443" s="6" t="e">
        <v>#VALUE!</v>
      </c>
      <c r="O2443" s="6" t="e">
        <v>#VALUE!</v>
      </c>
      <c r="T2443" s="9"/>
      <c r="U2443" s="1">
        <f t="shared" si="3966"/>
        <v>56</v>
      </c>
      <c r="V2443" s="1">
        <f t="shared" si="3967"/>
        <v>222</v>
      </c>
    </row>
    <row r="2444" spans="1:22" x14ac:dyDescent="0.3">
      <c r="A2444" s="1">
        <f t="shared" si="3996"/>
        <v>56223</v>
      </c>
      <c r="B2444" s="4"/>
      <c r="C2444" s="4"/>
      <c r="D2444" s="4"/>
      <c r="E2444" s="4"/>
      <c r="F2444" s="14"/>
      <c r="G2444" s="8"/>
      <c r="H2444" s="7"/>
      <c r="J2444" s="24" t="str">
        <f t="shared" ref="J2444" si="4054">CONCATENATE(K2441,3)</f>
        <v>63</v>
      </c>
      <c r="K2444" s="6" t="e">
        <v>#VALUE!</v>
      </c>
      <c r="L2444" s="6" t="e">
        <v>#VALUE!</v>
      </c>
      <c r="M2444" s="6" t="e">
        <v>#VALUE!</v>
      </c>
      <c r="N2444" s="6" t="e">
        <v>#VALUE!</v>
      </c>
      <c r="O2444" s="6" t="e">
        <v>#VALUE!</v>
      </c>
      <c r="T2444" s="9"/>
      <c r="U2444" s="1">
        <f t="shared" si="3966"/>
        <v>56</v>
      </c>
      <c r="V2444" s="1">
        <f t="shared" si="3967"/>
        <v>223</v>
      </c>
    </row>
    <row r="2445" spans="1:22" x14ac:dyDescent="0.3">
      <c r="A2445" s="1">
        <f t="shared" si="3996"/>
        <v>56224</v>
      </c>
      <c r="B2445" s="4"/>
      <c r="C2445" s="4"/>
      <c r="D2445" s="4"/>
      <c r="E2445" s="4"/>
      <c r="F2445" s="14"/>
      <c r="G2445" s="8"/>
      <c r="H2445" s="7"/>
      <c r="K2445" s="1">
        <v>7</v>
      </c>
      <c r="L2445" s="1">
        <v>7</v>
      </c>
      <c r="M2445" s="1">
        <v>7</v>
      </c>
      <c r="N2445" s="1">
        <v>7</v>
      </c>
      <c r="O2445" s="1">
        <v>7</v>
      </c>
      <c r="P2445" s="1">
        <v>7</v>
      </c>
      <c r="T2445" s="9"/>
      <c r="U2445" s="1">
        <f t="shared" si="3966"/>
        <v>56</v>
      </c>
      <c r="V2445" s="1">
        <f t="shared" si="3967"/>
        <v>224</v>
      </c>
    </row>
    <row r="2446" spans="1:22" x14ac:dyDescent="0.3">
      <c r="A2446" s="1">
        <f t="shared" si="3996"/>
        <v>56225</v>
      </c>
      <c r="B2446" s="4"/>
      <c r="C2446" s="4"/>
      <c r="D2446" s="4"/>
      <c r="E2446" s="4"/>
      <c r="F2446" s="14"/>
      <c r="G2446" s="8"/>
      <c r="H2446" s="7"/>
      <c r="J2446" s="24" t="str">
        <f t="shared" ref="J2446" si="4055">CONCATENATE(K2445,1)</f>
        <v>71</v>
      </c>
      <c r="K2446" s="6" t="e">
        <f t="array" ref="K2446:P2448">LINEST(B2438:B2444,C2438:C2444^{1,2,3,4,5},TRUE,TRUE)</f>
        <v>#VALUE!</v>
      </c>
      <c r="L2446" s="6" t="e">
        <v>#VALUE!</v>
      </c>
      <c r="M2446" s="6" t="e">
        <v>#VALUE!</v>
      </c>
      <c r="N2446" s="6" t="e">
        <v>#VALUE!</v>
      </c>
      <c r="O2446" s="6" t="e">
        <v>#VALUE!</v>
      </c>
      <c r="P2446" s="6" t="e">
        <v>#VALUE!</v>
      </c>
      <c r="T2446" s="9"/>
      <c r="U2446" s="1">
        <f t="shared" si="3966"/>
        <v>56</v>
      </c>
      <c r="V2446" s="1">
        <f t="shared" si="3967"/>
        <v>225</v>
      </c>
    </row>
    <row r="2447" spans="1:22" x14ac:dyDescent="0.3">
      <c r="A2447" s="1">
        <f t="shared" si="3996"/>
        <v>56226</v>
      </c>
      <c r="B2447" s="4"/>
      <c r="C2447" s="4"/>
      <c r="D2447" s="4"/>
      <c r="E2447" s="4"/>
      <c r="F2447" s="14"/>
      <c r="G2447" s="8"/>
      <c r="H2447" s="7"/>
      <c r="J2447" s="24" t="str">
        <f t="shared" ref="J2447" si="4056">CONCATENATE(K2445,2)</f>
        <v>72</v>
      </c>
      <c r="K2447" s="6" t="e">
        <v>#VALUE!</v>
      </c>
      <c r="L2447" s="6" t="e">
        <v>#VALUE!</v>
      </c>
      <c r="M2447" s="6" t="e">
        <v>#VALUE!</v>
      </c>
      <c r="N2447" s="6" t="e">
        <v>#VALUE!</v>
      </c>
      <c r="O2447" s="6" t="e">
        <v>#VALUE!</v>
      </c>
      <c r="P2447" s="6" t="e">
        <v>#VALUE!</v>
      </c>
      <c r="T2447" s="9"/>
      <c r="U2447" s="1">
        <f t="shared" si="3966"/>
        <v>56</v>
      </c>
      <c r="V2447" s="1">
        <f t="shared" si="3967"/>
        <v>226</v>
      </c>
    </row>
    <row r="2448" spans="1:22" x14ac:dyDescent="0.3">
      <c r="A2448" s="1">
        <f t="shared" si="3996"/>
        <v>56227</v>
      </c>
      <c r="B2448" s="9"/>
      <c r="C2448" s="9"/>
      <c r="D2448" s="9"/>
      <c r="E2448" s="9"/>
      <c r="F2448" s="9"/>
      <c r="G2448" s="9"/>
      <c r="H2448" s="9"/>
      <c r="J2448" s="24" t="str">
        <f t="shared" ref="J2448" si="4057">CONCATENATE(K2445,3)</f>
        <v>73</v>
      </c>
      <c r="K2448" s="6" t="e">
        <v>#VALUE!</v>
      </c>
      <c r="L2448" s="6" t="e">
        <v>#VALUE!</v>
      </c>
      <c r="M2448" s="6" t="e">
        <v>#VALUE!</v>
      </c>
      <c r="N2448" s="6" t="e">
        <v>#VALUE!</v>
      </c>
      <c r="O2448" s="6" t="e">
        <v>#VALUE!</v>
      </c>
      <c r="P2448" s="6" t="e">
        <v>#VALUE!</v>
      </c>
      <c r="T2448" s="9"/>
      <c r="U2448" s="1">
        <f t="shared" si="3966"/>
        <v>56</v>
      </c>
      <c r="V2448" s="1">
        <f t="shared" si="3967"/>
        <v>227</v>
      </c>
    </row>
    <row r="2449" spans="1:22" x14ac:dyDescent="0.3">
      <c r="A2449" s="1">
        <f t="shared" si="3996"/>
        <v>56228</v>
      </c>
      <c r="B2449" s="87" t="s">
        <v>33</v>
      </c>
      <c r="C2449" s="88"/>
      <c r="D2449" s="88"/>
      <c r="E2449" s="88"/>
      <c r="F2449" s="88"/>
      <c r="G2449" s="88"/>
      <c r="H2449" s="89"/>
      <c r="K2449" s="1">
        <v>8</v>
      </c>
      <c r="L2449" s="1">
        <v>8</v>
      </c>
      <c r="M2449" s="1">
        <v>8</v>
      </c>
      <c r="N2449" s="1">
        <v>8</v>
      </c>
      <c r="O2449" s="1">
        <v>8</v>
      </c>
      <c r="P2449" s="1">
        <v>8</v>
      </c>
      <c r="Q2449" s="1">
        <v>8</v>
      </c>
      <c r="T2449" s="9"/>
      <c r="U2449" s="1">
        <f t="shared" si="3966"/>
        <v>56</v>
      </c>
      <c r="V2449" s="1">
        <f t="shared" si="3967"/>
        <v>228</v>
      </c>
    </row>
    <row r="2450" spans="1:22" x14ac:dyDescent="0.3">
      <c r="A2450" s="1">
        <f t="shared" si="3996"/>
        <v>56229</v>
      </c>
      <c r="B2450" s="90"/>
      <c r="C2450" s="91"/>
      <c r="D2450" s="91"/>
      <c r="E2450" s="91"/>
      <c r="F2450" s="91"/>
      <c r="G2450" s="91"/>
      <c r="H2450" s="92"/>
      <c r="J2450" s="24" t="str">
        <f t="shared" ref="J2450" si="4058">CONCATENATE(K2449,1)</f>
        <v>81</v>
      </c>
      <c r="K2450" s="6" t="e">
        <f t="array" ref="K2450:Q2452">LINEST(B2438:B2445,C2438:C2445^{1,2,3,4,5,6},TRUE,TRUE)</f>
        <v>#VALUE!</v>
      </c>
      <c r="L2450" s="6" t="e">
        <v>#VALUE!</v>
      </c>
      <c r="M2450" s="6" t="e">
        <v>#VALUE!</v>
      </c>
      <c r="N2450" s="6" t="e">
        <v>#VALUE!</v>
      </c>
      <c r="O2450" s="6" t="e">
        <v>#VALUE!</v>
      </c>
      <c r="P2450" s="6" t="e">
        <v>#VALUE!</v>
      </c>
      <c r="Q2450" s="6" t="e">
        <v>#VALUE!</v>
      </c>
      <c r="T2450" s="9"/>
      <c r="U2450" s="1">
        <f t="shared" si="3966"/>
        <v>56</v>
      </c>
      <c r="V2450" s="1">
        <f t="shared" si="3967"/>
        <v>229</v>
      </c>
    </row>
    <row r="2451" spans="1:22" x14ac:dyDescent="0.3">
      <c r="A2451" s="1">
        <f t="shared" si="3996"/>
        <v>56230</v>
      </c>
      <c r="B2451" s="93"/>
      <c r="C2451" s="94"/>
      <c r="D2451" s="94"/>
      <c r="E2451" s="94"/>
      <c r="F2451" s="94"/>
      <c r="G2451" s="94"/>
      <c r="H2451" s="95"/>
      <c r="J2451" s="24" t="str">
        <f t="shared" ref="J2451" si="4059">CONCATENATE(K2449,2)</f>
        <v>82</v>
      </c>
      <c r="K2451" s="6" t="e">
        <v>#VALUE!</v>
      </c>
      <c r="L2451" s="6" t="e">
        <v>#VALUE!</v>
      </c>
      <c r="M2451" s="6" t="e">
        <v>#VALUE!</v>
      </c>
      <c r="N2451" s="6" t="e">
        <v>#VALUE!</v>
      </c>
      <c r="O2451" s="6" t="e">
        <v>#VALUE!</v>
      </c>
      <c r="P2451" s="6" t="e">
        <v>#VALUE!</v>
      </c>
      <c r="Q2451" s="6" t="e">
        <v>#VALUE!</v>
      </c>
      <c r="T2451" s="9"/>
      <c r="U2451" s="1">
        <f t="shared" si="3966"/>
        <v>56</v>
      </c>
      <c r="V2451" s="1">
        <f t="shared" si="3967"/>
        <v>230</v>
      </c>
    </row>
    <row r="2452" spans="1:22" x14ac:dyDescent="0.3">
      <c r="A2452" s="1">
        <f t="shared" si="3996"/>
        <v>56231</v>
      </c>
      <c r="J2452" s="24" t="str">
        <f t="shared" ref="J2452" si="4060">CONCATENATE(K2449,3)</f>
        <v>83</v>
      </c>
      <c r="K2452" s="6" t="e">
        <v>#VALUE!</v>
      </c>
      <c r="L2452" s="6" t="e">
        <v>#VALUE!</v>
      </c>
      <c r="M2452" s="6" t="e">
        <v>#VALUE!</v>
      </c>
      <c r="N2452" s="6" t="e">
        <v>#VALUE!</v>
      </c>
      <c r="O2452" s="6" t="e">
        <v>#VALUE!</v>
      </c>
      <c r="P2452" s="6" t="e">
        <v>#VALUE!</v>
      </c>
      <c r="Q2452" s="6" t="e">
        <v>#VALUE!</v>
      </c>
      <c r="T2452" s="9"/>
      <c r="U2452" s="1">
        <f t="shared" si="3966"/>
        <v>56</v>
      </c>
      <c r="V2452" s="1">
        <f t="shared" si="3967"/>
        <v>231</v>
      </c>
    </row>
    <row r="2453" spans="1:22" ht="15" customHeight="1" x14ac:dyDescent="0.3">
      <c r="A2453" s="1">
        <f t="shared" si="3996"/>
        <v>56232</v>
      </c>
      <c r="B2453" s="10" t="s">
        <v>34</v>
      </c>
      <c r="C2453" s="10" t="s">
        <v>35</v>
      </c>
      <c r="D2453" s="10" t="s">
        <v>36</v>
      </c>
      <c r="E2453" s="74" t="s">
        <v>37</v>
      </c>
      <c r="F2453" s="75"/>
      <c r="G2453" s="76"/>
      <c r="K2453" s="1">
        <v>9</v>
      </c>
      <c r="L2453" s="1">
        <v>9</v>
      </c>
      <c r="M2453" s="1">
        <v>9</v>
      </c>
      <c r="N2453" s="1">
        <v>9</v>
      </c>
      <c r="O2453" s="1">
        <v>9</v>
      </c>
      <c r="P2453" s="1">
        <v>9</v>
      </c>
      <c r="Q2453" s="1">
        <v>9</v>
      </c>
      <c r="R2453" s="1">
        <v>9</v>
      </c>
      <c r="T2453" s="9"/>
      <c r="U2453" s="1">
        <f t="shared" si="3966"/>
        <v>56</v>
      </c>
      <c r="V2453" s="1">
        <f t="shared" si="3967"/>
        <v>232</v>
      </c>
    </row>
    <row r="2454" spans="1:22" x14ac:dyDescent="0.3">
      <c r="A2454" s="1">
        <f t="shared" si="3996"/>
        <v>56233</v>
      </c>
      <c r="B2454" s="12">
        <f t="shared" ref="B2454:B2463" si="4061">C2438-B2438</f>
        <v>-0.39999999999999858</v>
      </c>
      <c r="C2454" s="13">
        <f t="shared" ref="C2454:C2463" si="4062">H2438-G2438</f>
        <v>0</v>
      </c>
      <c r="D2454" s="10">
        <f t="shared" ref="D2454:D2463" si="4063">C2454-B2454</f>
        <v>0.39999999999999858</v>
      </c>
      <c r="E2454" s="11">
        <f t="shared" ref="E2454" si="4064">IF(D2429="","",MAX(F2454,G2454))</f>
        <v>0.79999999999999716</v>
      </c>
      <c r="F2454" s="10">
        <f t="shared" ref="F2454" si="4065">ABS(MIN(D2454:D2463))</f>
        <v>0.79999999999999716</v>
      </c>
      <c r="G2454" s="10">
        <f t="shared" ref="G2454" si="4066">ABS(MAX(D2454:D2463))</f>
        <v>0.39999999999999858</v>
      </c>
      <c r="J2454" s="24" t="str">
        <f t="shared" ref="J2454" si="4067">CONCATENATE(K2453,1)</f>
        <v>91</v>
      </c>
      <c r="K2454" s="6" t="e">
        <f t="array" ref="K2454:R2456">LINEST(B2438:B2446,C2438:C2446^{1,2,3,4,5,6,7},TRUE,TRUE)</f>
        <v>#VALUE!</v>
      </c>
      <c r="L2454" s="6" t="e">
        <v>#VALUE!</v>
      </c>
      <c r="M2454" s="6" t="e">
        <v>#VALUE!</v>
      </c>
      <c r="N2454" s="6" t="e">
        <v>#VALUE!</v>
      </c>
      <c r="O2454" s="6" t="e">
        <v>#VALUE!</v>
      </c>
      <c r="P2454" s="6" t="e">
        <v>#VALUE!</v>
      </c>
      <c r="Q2454" s="6" t="e">
        <v>#VALUE!</v>
      </c>
      <c r="R2454" s="6" t="e">
        <v>#VALUE!</v>
      </c>
      <c r="T2454" s="9"/>
      <c r="U2454" s="1">
        <f t="shared" si="3966"/>
        <v>56</v>
      </c>
      <c r="V2454" s="1">
        <f t="shared" si="3967"/>
        <v>233</v>
      </c>
    </row>
    <row r="2455" spans="1:22" x14ac:dyDescent="0.3">
      <c r="A2455" s="1">
        <f t="shared" si="3996"/>
        <v>56234</v>
      </c>
      <c r="B2455" s="12">
        <f t="shared" si="4061"/>
        <v>0.29999999999999716</v>
      </c>
      <c r="C2455" s="13">
        <f t="shared" si="4062"/>
        <v>0</v>
      </c>
      <c r="D2455" s="10">
        <f t="shared" si="4063"/>
        <v>-0.29999999999999716</v>
      </c>
      <c r="E2455" s="74" t="s">
        <v>38</v>
      </c>
      <c r="F2455" s="75"/>
      <c r="G2455" s="76"/>
      <c r="J2455" s="24" t="str">
        <f t="shared" ref="J2455" si="4068">CONCATENATE(K2453,2)</f>
        <v>92</v>
      </c>
      <c r="K2455" s="6" t="e">
        <v>#VALUE!</v>
      </c>
      <c r="L2455" s="6" t="e">
        <v>#VALUE!</v>
      </c>
      <c r="M2455" s="6" t="e">
        <v>#VALUE!</v>
      </c>
      <c r="N2455" s="6" t="e">
        <v>#VALUE!</v>
      </c>
      <c r="O2455" s="6" t="e">
        <v>#VALUE!</v>
      </c>
      <c r="P2455" s="6" t="e">
        <v>#VALUE!</v>
      </c>
      <c r="Q2455" s="6" t="e">
        <v>#VALUE!</v>
      </c>
      <c r="R2455" s="6" t="e">
        <v>#VALUE!</v>
      </c>
      <c r="T2455" s="9"/>
      <c r="U2455" s="1">
        <f t="shared" si="3966"/>
        <v>56</v>
      </c>
      <c r="V2455" s="1">
        <f t="shared" si="3967"/>
        <v>234</v>
      </c>
    </row>
    <row r="2456" spans="1:22" x14ac:dyDescent="0.3">
      <c r="A2456" s="1">
        <f t="shared" si="3996"/>
        <v>56235</v>
      </c>
      <c r="B2456" s="12">
        <f t="shared" si="4061"/>
        <v>0.79999999999999716</v>
      </c>
      <c r="C2456" s="13">
        <f t="shared" si="4062"/>
        <v>0</v>
      </c>
      <c r="D2456" s="10">
        <f t="shared" si="4063"/>
        <v>-0.79999999999999716</v>
      </c>
      <c r="E2456" s="11">
        <f t="shared" ref="E2456" si="4069">IF(D2429="","",MAX(F2456,G2456))</f>
        <v>0.79999999999999716</v>
      </c>
      <c r="F2456" s="10">
        <f t="shared" ref="F2456" si="4070">ABS(MIN(B2454:B2463))</f>
        <v>0.39999999999999858</v>
      </c>
      <c r="G2456" s="10">
        <f t="shared" ref="G2456" si="4071">ABS(MAX(B2454:B2463))</f>
        <v>0.79999999999999716</v>
      </c>
      <c r="J2456" s="24" t="str">
        <f t="shared" ref="J2456" si="4072">CONCATENATE(K2453,3)</f>
        <v>93</v>
      </c>
      <c r="K2456" s="6" t="e">
        <v>#VALUE!</v>
      </c>
      <c r="L2456" s="6" t="e">
        <v>#VALUE!</v>
      </c>
      <c r="M2456" s="6" t="e">
        <v>#VALUE!</v>
      </c>
      <c r="N2456" s="6" t="e">
        <v>#VALUE!</v>
      </c>
      <c r="O2456" s="6" t="e">
        <v>#VALUE!</v>
      </c>
      <c r="P2456" s="6" t="e">
        <v>#VALUE!</v>
      </c>
      <c r="Q2456" s="6" t="e">
        <v>#VALUE!</v>
      </c>
      <c r="R2456" s="6" t="e">
        <v>#VALUE!</v>
      </c>
      <c r="T2456" s="9"/>
      <c r="U2456" s="1">
        <f t="shared" si="3966"/>
        <v>56</v>
      </c>
      <c r="V2456" s="1">
        <f t="shared" si="3967"/>
        <v>235</v>
      </c>
    </row>
    <row r="2457" spans="1:22" x14ac:dyDescent="0.3">
      <c r="A2457" s="1">
        <f t="shared" si="3996"/>
        <v>56236</v>
      </c>
      <c r="B2457" s="12">
        <f t="shared" si="4061"/>
        <v>0</v>
      </c>
      <c r="C2457" s="13">
        <f t="shared" si="4062"/>
        <v>0</v>
      </c>
      <c r="D2457" s="10">
        <f t="shared" si="4063"/>
        <v>0</v>
      </c>
      <c r="E2457" s="74" t="s">
        <v>39</v>
      </c>
      <c r="F2457" s="75"/>
      <c r="G2457" s="76"/>
      <c r="K2457" s="1">
        <v>10</v>
      </c>
      <c r="L2457" s="1">
        <v>10</v>
      </c>
      <c r="M2457" s="1">
        <v>10</v>
      </c>
      <c r="N2457" s="1">
        <v>10</v>
      </c>
      <c r="O2457" s="1">
        <v>10</v>
      </c>
      <c r="P2457" s="1">
        <v>10</v>
      </c>
      <c r="Q2457" s="1">
        <v>10</v>
      </c>
      <c r="R2457" s="1">
        <v>10</v>
      </c>
      <c r="S2457" s="1">
        <v>10</v>
      </c>
      <c r="T2457" s="9"/>
      <c r="U2457" s="1">
        <f t="shared" si="3966"/>
        <v>56</v>
      </c>
      <c r="V2457" s="1">
        <f t="shared" si="3967"/>
        <v>236</v>
      </c>
    </row>
    <row r="2458" spans="1:22" x14ac:dyDescent="0.3">
      <c r="A2458" s="1">
        <f t="shared" si="3996"/>
        <v>56237</v>
      </c>
      <c r="B2458" s="12">
        <f t="shared" si="4061"/>
        <v>0</v>
      </c>
      <c r="C2458" s="13">
        <f t="shared" si="4062"/>
        <v>0</v>
      </c>
      <c r="D2458" s="10">
        <f t="shared" si="4063"/>
        <v>0</v>
      </c>
      <c r="E2458" s="11">
        <f t="shared" ref="E2458" si="4073">IF(D2429="","",MAX(F2458,G2458))</f>
        <v>1.1000000000000001</v>
      </c>
      <c r="F2458" s="10">
        <f t="shared" ref="F2458" si="4074">ABS(MIN(D2438:D2447))</f>
        <v>0.7</v>
      </c>
      <c r="G2458" s="10">
        <f t="shared" ref="G2458" si="4075">ABS(MAX(D2438:D2447))</f>
        <v>1.1000000000000001</v>
      </c>
      <c r="J2458" s="24" t="str">
        <f t="shared" ref="J2458" si="4076">CONCATENATE(K2457,1)</f>
        <v>101</v>
      </c>
      <c r="K2458" s="6" t="e">
        <f t="array" ref="K2458:S2460">LINEST(B2438:B2447,C2438:C2447^{1,2,3,4,5,6,7,8},TRUE,TRUE)</f>
        <v>#VALUE!</v>
      </c>
      <c r="L2458" s="6" t="e">
        <v>#VALUE!</v>
      </c>
      <c r="M2458" s="6" t="e">
        <v>#VALUE!</v>
      </c>
      <c r="N2458" s="6" t="e">
        <v>#VALUE!</v>
      </c>
      <c r="O2458" s="6" t="e">
        <v>#VALUE!</v>
      </c>
      <c r="P2458" s="6" t="e">
        <v>#VALUE!</v>
      </c>
      <c r="Q2458" s="6" t="e">
        <v>#VALUE!</v>
      </c>
      <c r="R2458" s="6" t="e">
        <v>#VALUE!</v>
      </c>
      <c r="S2458" s="6" t="e">
        <v>#VALUE!</v>
      </c>
      <c r="T2458" s="9"/>
      <c r="U2458" s="1">
        <f t="shared" si="3966"/>
        <v>56</v>
      </c>
      <c r="V2458" s="1">
        <f t="shared" si="3967"/>
        <v>237</v>
      </c>
    </row>
    <row r="2459" spans="1:22" x14ac:dyDescent="0.3">
      <c r="A2459" s="1">
        <f t="shared" si="3996"/>
        <v>56238</v>
      </c>
      <c r="B2459" s="12">
        <f t="shared" si="4061"/>
        <v>0</v>
      </c>
      <c r="C2459" s="13">
        <f t="shared" si="4062"/>
        <v>0</v>
      </c>
      <c r="D2459" s="10">
        <f t="shared" si="4063"/>
        <v>0</v>
      </c>
      <c r="J2459" s="24" t="str">
        <f t="shared" ref="J2459" si="4077">CONCATENATE(K2457,2)</f>
        <v>102</v>
      </c>
      <c r="K2459" s="6" t="e">
        <v>#VALUE!</v>
      </c>
      <c r="L2459" s="6" t="e">
        <v>#VALUE!</v>
      </c>
      <c r="M2459" s="6" t="e">
        <v>#VALUE!</v>
      </c>
      <c r="N2459" s="6" t="e">
        <v>#VALUE!</v>
      </c>
      <c r="O2459" s="6" t="e">
        <v>#VALUE!</v>
      </c>
      <c r="P2459" s="6" t="e">
        <v>#VALUE!</v>
      </c>
      <c r="Q2459" s="6" t="e">
        <v>#VALUE!</v>
      </c>
      <c r="R2459" s="6" t="e">
        <v>#VALUE!</v>
      </c>
      <c r="S2459" s="6" t="e">
        <v>#VALUE!</v>
      </c>
      <c r="T2459" s="9"/>
      <c r="U2459" s="1">
        <f t="shared" ref="U2459:U2522" si="4078">U2458</f>
        <v>56</v>
      </c>
      <c r="V2459" s="1">
        <f t="shared" ref="V2459:V2522" si="4079">V2458+1</f>
        <v>238</v>
      </c>
    </row>
    <row r="2460" spans="1:22" x14ac:dyDescent="0.3">
      <c r="A2460" s="1">
        <f t="shared" si="3996"/>
        <v>56239</v>
      </c>
      <c r="B2460" s="12">
        <f t="shared" si="4061"/>
        <v>0</v>
      </c>
      <c r="C2460" s="13">
        <f t="shared" si="4062"/>
        <v>0</v>
      </c>
      <c r="D2460" s="10">
        <f t="shared" si="4063"/>
        <v>0</v>
      </c>
      <c r="J2460" s="24" t="str">
        <f t="shared" ref="J2460" si="4080">CONCATENATE(K2457,3)</f>
        <v>103</v>
      </c>
      <c r="K2460" s="6" t="e">
        <v>#VALUE!</v>
      </c>
      <c r="L2460" s="6" t="e">
        <v>#VALUE!</v>
      </c>
      <c r="M2460" s="6" t="e">
        <v>#VALUE!</v>
      </c>
      <c r="N2460" s="6" t="e">
        <v>#VALUE!</v>
      </c>
      <c r="O2460" s="6" t="e">
        <v>#VALUE!</v>
      </c>
      <c r="P2460" s="6" t="e">
        <v>#VALUE!</v>
      </c>
      <c r="Q2460" s="6" t="e">
        <v>#VALUE!</v>
      </c>
      <c r="R2460" s="6" t="e">
        <v>#VALUE!</v>
      </c>
      <c r="S2460" s="6" t="e">
        <v>#VALUE!</v>
      </c>
      <c r="T2460" s="9"/>
      <c r="U2460" s="1">
        <f t="shared" si="4078"/>
        <v>56</v>
      </c>
      <c r="V2460" s="1">
        <f t="shared" si="4079"/>
        <v>239</v>
      </c>
    </row>
    <row r="2461" spans="1:22" x14ac:dyDescent="0.3">
      <c r="A2461" s="1">
        <f t="shared" si="3996"/>
        <v>56240</v>
      </c>
      <c r="B2461" s="12">
        <f t="shared" si="4061"/>
        <v>0</v>
      </c>
      <c r="C2461" s="13">
        <f t="shared" si="4062"/>
        <v>0</v>
      </c>
      <c r="D2461" s="10">
        <f t="shared" si="4063"/>
        <v>0</v>
      </c>
      <c r="J2461" s="9"/>
      <c r="K2461" s="9"/>
      <c r="L2461" s="9"/>
      <c r="M2461" s="9"/>
      <c r="N2461" s="9"/>
      <c r="O2461" s="9"/>
      <c r="P2461" s="9"/>
      <c r="Q2461" s="9"/>
      <c r="R2461" s="9"/>
      <c r="S2461" s="9"/>
      <c r="T2461" s="9"/>
      <c r="U2461" s="1">
        <f t="shared" si="4078"/>
        <v>56</v>
      </c>
      <c r="V2461" s="1">
        <f t="shared" si="4079"/>
        <v>240</v>
      </c>
    </row>
    <row r="2462" spans="1:22" x14ac:dyDescent="0.3">
      <c r="A2462" s="1">
        <f t="shared" si="3996"/>
        <v>56241</v>
      </c>
      <c r="B2462" s="12">
        <f t="shared" si="4061"/>
        <v>0</v>
      </c>
      <c r="C2462" s="13">
        <f t="shared" si="4062"/>
        <v>0</v>
      </c>
      <c r="D2462" s="10">
        <f t="shared" si="4063"/>
        <v>0</v>
      </c>
      <c r="J2462" s="9"/>
      <c r="K2462" s="9"/>
      <c r="L2462" s="9"/>
      <c r="M2462" s="9"/>
      <c r="N2462" s="9"/>
      <c r="O2462" s="9"/>
      <c r="P2462" s="9"/>
      <c r="Q2462" s="9"/>
      <c r="R2462" s="9"/>
      <c r="S2462" s="9"/>
      <c r="T2462" s="9"/>
      <c r="U2462" s="1">
        <f t="shared" si="4078"/>
        <v>56</v>
      </c>
      <c r="V2462" s="1">
        <f t="shared" si="4079"/>
        <v>241</v>
      </c>
    </row>
    <row r="2463" spans="1:22" x14ac:dyDescent="0.3">
      <c r="A2463" s="1">
        <f t="shared" si="3996"/>
        <v>56242</v>
      </c>
      <c r="B2463" s="12">
        <f t="shared" si="4061"/>
        <v>0</v>
      </c>
      <c r="C2463" s="13">
        <f t="shared" si="4062"/>
        <v>0</v>
      </c>
      <c r="D2463" s="10">
        <f t="shared" si="4063"/>
        <v>0</v>
      </c>
      <c r="J2463" s="9"/>
      <c r="K2463" s="9"/>
      <c r="L2463" s="9"/>
      <c r="M2463" s="9"/>
      <c r="N2463" s="9"/>
      <c r="O2463" s="9"/>
      <c r="P2463" s="9"/>
      <c r="Q2463" s="9"/>
      <c r="R2463" s="9"/>
      <c r="S2463" s="9"/>
      <c r="T2463" s="9"/>
      <c r="U2463" s="1">
        <f t="shared" si="4078"/>
        <v>56</v>
      </c>
      <c r="V2463" s="1">
        <f t="shared" si="4079"/>
        <v>242</v>
      </c>
    </row>
    <row r="2464" spans="1:22" x14ac:dyDescent="0.3">
      <c r="A2464" s="1">
        <f t="shared" si="3996"/>
        <v>56243</v>
      </c>
      <c r="J2464" s="9"/>
      <c r="K2464" s="9"/>
      <c r="L2464" s="9"/>
      <c r="M2464" s="9"/>
      <c r="N2464" s="9"/>
      <c r="O2464" s="9"/>
      <c r="P2464" s="9"/>
      <c r="Q2464" s="9"/>
      <c r="R2464" s="9"/>
      <c r="S2464" s="9"/>
      <c r="T2464" s="9"/>
      <c r="U2464" s="1">
        <f t="shared" si="4078"/>
        <v>56</v>
      </c>
      <c r="V2464" s="1">
        <f t="shared" si="4079"/>
        <v>243</v>
      </c>
    </row>
    <row r="2465" spans="1:22" s="5" customFormat="1" x14ac:dyDescent="0.3"/>
    <row r="2466" spans="1:22" x14ac:dyDescent="0.3">
      <c r="A2466" s="1">
        <f t="shared" ref="A2466:A2508" si="4081">ROUND(CONCATENATE(U2466,V2466),0)</f>
        <v>57201</v>
      </c>
      <c r="B2466" s="96" t="s">
        <v>0</v>
      </c>
      <c r="C2466" s="97"/>
      <c r="D2466" s="110" t="s">
        <v>46</v>
      </c>
      <c r="E2466" s="111"/>
      <c r="F2466" s="111"/>
      <c r="G2466" s="111"/>
      <c r="H2466" s="112"/>
      <c r="J2466" s="9"/>
      <c r="K2466" s="9"/>
      <c r="L2466" s="9"/>
      <c r="M2466" s="9"/>
      <c r="N2466" s="9"/>
      <c r="O2466" s="9"/>
      <c r="P2466" s="9"/>
      <c r="Q2466" s="9"/>
      <c r="R2466" s="9"/>
      <c r="S2466" s="9"/>
      <c r="T2466" s="9"/>
      <c r="U2466" s="1">
        <f t="shared" ref="U2466" si="4082">U2464+1</f>
        <v>57</v>
      </c>
      <c r="V2466" s="1">
        <v>201</v>
      </c>
    </row>
    <row r="2467" spans="1:22" x14ac:dyDescent="0.3">
      <c r="A2467" s="1">
        <f t="shared" si="4081"/>
        <v>57202</v>
      </c>
      <c r="B2467" s="96" t="s">
        <v>1</v>
      </c>
      <c r="C2467" s="97"/>
      <c r="D2467" s="15">
        <v>20</v>
      </c>
      <c r="E2467" s="16" t="s">
        <v>2</v>
      </c>
      <c r="F2467" s="107"/>
      <c r="G2467" s="108"/>
      <c r="H2467" s="109"/>
      <c r="J2467" s="9"/>
      <c r="K2467" s="9"/>
      <c r="L2467" s="9"/>
      <c r="M2467" s="9"/>
      <c r="N2467" s="9"/>
      <c r="O2467" s="9"/>
      <c r="P2467" s="9"/>
      <c r="Q2467" s="9"/>
      <c r="R2467" s="9"/>
      <c r="S2467" s="9"/>
      <c r="T2467" s="9"/>
      <c r="U2467" s="1">
        <f t="shared" ref="U2467" si="4083">U2466</f>
        <v>57</v>
      </c>
      <c r="V2467" s="1">
        <f t="shared" ref="V2467" si="4084">V2466+1</f>
        <v>202</v>
      </c>
    </row>
    <row r="2468" spans="1:22" x14ac:dyDescent="0.3">
      <c r="A2468" s="1">
        <f t="shared" si="4081"/>
        <v>57203</v>
      </c>
      <c r="B2468" s="96" t="s">
        <v>12</v>
      </c>
      <c r="C2468" s="97"/>
      <c r="D2468" s="141" t="s">
        <v>307</v>
      </c>
      <c r="E2468" s="141"/>
      <c r="F2468" s="141"/>
      <c r="G2468" s="141"/>
      <c r="H2468" s="141"/>
      <c r="K2468" s="1" t="s">
        <v>3</v>
      </c>
      <c r="L2468" s="1" t="s">
        <v>4</v>
      </c>
      <c r="M2468" s="1" t="s">
        <v>5</v>
      </c>
      <c r="N2468" s="1" t="s">
        <v>6</v>
      </c>
      <c r="O2468" s="1" t="s">
        <v>7</v>
      </c>
      <c r="P2468" s="1" t="s">
        <v>8</v>
      </c>
      <c r="Q2468" s="1" t="s">
        <v>9</v>
      </c>
      <c r="R2468" s="1" t="s">
        <v>10</v>
      </c>
      <c r="S2468" s="1" t="s">
        <v>11</v>
      </c>
      <c r="T2468" s="9"/>
      <c r="U2468" s="1">
        <f t="shared" si="4078"/>
        <v>57</v>
      </c>
      <c r="V2468" s="1">
        <f t="shared" si="4079"/>
        <v>203</v>
      </c>
    </row>
    <row r="2469" spans="1:22" x14ac:dyDescent="0.3">
      <c r="A2469" s="1">
        <f t="shared" si="4081"/>
        <v>57204</v>
      </c>
      <c r="B2469" s="96" t="s">
        <v>13</v>
      </c>
      <c r="C2469" s="97"/>
      <c r="D2469" s="141" t="s">
        <v>65</v>
      </c>
      <c r="E2469" s="141"/>
      <c r="F2469" s="141"/>
      <c r="G2469" s="141"/>
      <c r="H2469" s="141"/>
      <c r="J2469" s="1">
        <f t="shared" ref="J2469" si="4085">COUNTA(B2482:B2491)</f>
        <v>3</v>
      </c>
      <c r="K2469" s="1">
        <f t="shared" ref="K2469" si="4086">IF(L2469-1&lt;2,0,L2469-1)</f>
        <v>0</v>
      </c>
      <c r="L2469" s="1">
        <f t="shared" ref="L2469" si="4087">IF(M2469-1&lt;2,0,M2469-1)</f>
        <v>0</v>
      </c>
      <c r="M2469" s="1">
        <f t="shared" ref="M2469" si="4088">IF(N2469-1&lt;2,0,N2469-1)</f>
        <v>0</v>
      </c>
      <c r="N2469" s="1">
        <f t="shared" ref="N2469" si="4089">IF(O2469-1&lt;2,0,O2469-1)</f>
        <v>0</v>
      </c>
      <c r="O2469" s="1">
        <f t="shared" ref="O2469" si="4090">IF(P2469-1&lt;2,0,P2469-1)</f>
        <v>0</v>
      </c>
      <c r="P2469" s="1">
        <f t="shared" ref="P2469" si="4091">IF(Q2469-1&lt;2,0,Q2469-1)</f>
        <v>0</v>
      </c>
      <c r="Q2469" s="1">
        <f t="shared" ref="Q2469" si="4092">IF(R2469-1&lt;2,0,R2469-1)</f>
        <v>0</v>
      </c>
      <c r="R2469" s="1">
        <f t="shared" ref="R2469" si="4093">IF(S2469-1&lt;2,0,S2469-1)</f>
        <v>2</v>
      </c>
      <c r="S2469" s="1">
        <f t="shared" ref="S2469" si="4094">J2469</f>
        <v>3</v>
      </c>
      <c r="T2469" s="9"/>
      <c r="U2469" s="1">
        <f t="shared" si="4078"/>
        <v>57</v>
      </c>
      <c r="V2469" s="1">
        <f t="shared" si="4079"/>
        <v>204</v>
      </c>
    </row>
    <row r="2470" spans="1:22" x14ac:dyDescent="0.3">
      <c r="A2470" s="1">
        <f t="shared" si="4081"/>
        <v>57205</v>
      </c>
      <c r="B2470" s="96" t="s">
        <v>14</v>
      </c>
      <c r="C2470" s="97"/>
      <c r="D2470" s="141" t="s">
        <v>66</v>
      </c>
      <c r="E2470" s="141"/>
      <c r="F2470" s="141"/>
      <c r="G2470" s="141"/>
      <c r="H2470" s="141"/>
      <c r="J2470" s="24" t="str">
        <f t="shared" ref="J2470" si="4095">CONCATENATE(J2469,1)</f>
        <v>31</v>
      </c>
      <c r="K2470" s="25">
        <f t="shared" ref="K2470" si="4096">IF(K2469=0,0,VLOOKUP(J2470,J2474:S2504,K2469,FALSE))</f>
        <v>0</v>
      </c>
      <c r="L2470" s="25">
        <f t="shared" ref="L2470" si="4097">IF(L2469=0,0,VLOOKUP(J2470,J2474:S2504,L2469,FALSE))</f>
        <v>0</v>
      </c>
      <c r="M2470" s="25">
        <f t="shared" ref="M2470" si="4098">IF(M2469=0,0,VLOOKUP(J2470,J2474:S2504,M2469,FALSE))</f>
        <v>0</v>
      </c>
      <c r="N2470" s="25">
        <f t="shared" ref="N2470" si="4099">IF(N2469=0,0,VLOOKUP(J2470,J2474:S2504,N2469,FALSE))</f>
        <v>0</v>
      </c>
      <c r="O2470" s="25">
        <f t="shared" ref="O2470" si="4100">IF(O2469=0,0,VLOOKUP(J2470,J2474:S2504,O2469,FALSE))</f>
        <v>0</v>
      </c>
      <c r="P2470" s="25">
        <f t="shared" ref="P2470" si="4101">IF(P2469=0,0,VLOOKUP(J2470,J2474:S2504,P2469,FALSE))</f>
        <v>0</v>
      </c>
      <c r="Q2470" s="25">
        <f t="shared" ref="Q2470" si="4102">IF(Q2469=0,0,VLOOKUP(J2470,J2474:S2504,Q2469,FALSE))</f>
        <v>0</v>
      </c>
      <c r="R2470" s="25">
        <f t="shared" ref="R2470" si="4103">IF(R2469=0,0,VLOOKUP(J2470,J2474:S2504,R2469,FALSE))</f>
        <v>0.96462690064928802</v>
      </c>
      <c r="S2470" s="25">
        <f t="shared" ref="S2470" si="4104">IF(S2469=0,0,VLOOKUP(J2470,J2474:S2504,S2469,FALSE))</f>
        <v>1.2220330571676712</v>
      </c>
      <c r="T2470" s="9"/>
      <c r="U2470" s="1">
        <f t="shared" si="4078"/>
        <v>57</v>
      </c>
      <c r="V2470" s="1">
        <f t="shared" si="4079"/>
        <v>205</v>
      </c>
    </row>
    <row r="2471" spans="1:22" x14ac:dyDescent="0.3">
      <c r="A2471" s="1">
        <f t="shared" si="4081"/>
        <v>57206</v>
      </c>
      <c r="B2471" s="96" t="s">
        <v>15</v>
      </c>
      <c r="C2471" s="97"/>
      <c r="D2471" s="141" t="s">
        <v>308</v>
      </c>
      <c r="E2471" s="141"/>
      <c r="F2471" s="141"/>
      <c r="G2471" s="141"/>
      <c r="H2471" s="141"/>
      <c r="J2471" s="24" t="str">
        <f t="shared" ref="J2471" si="4105">CONCATENATE(J2469,2)</f>
        <v>32</v>
      </c>
      <c r="K2471" s="6">
        <f t="shared" ref="K2471" si="4106">IF(K2469=0,0,VLOOKUP(J2471,J2474:S2504,K2469,FALSE))</f>
        <v>0</v>
      </c>
      <c r="L2471" s="6">
        <f t="shared" ref="L2471" si="4107">IF(L2469=0,0,VLOOKUP(J2471,J2474:S2504,L2469,FALSE))</f>
        <v>0</v>
      </c>
      <c r="M2471" s="6">
        <f t="shared" ref="M2471" si="4108">IF(M2469=0,0,VLOOKUP(J2471,J2474:S2504,M2469,FALSE))</f>
        <v>0</v>
      </c>
      <c r="N2471" s="6">
        <f t="shared" ref="N2471" si="4109">IF(N2469=0,0,VLOOKUP(J2471,J2474:S2504,N2469,FALSE))</f>
        <v>0</v>
      </c>
      <c r="O2471" s="6">
        <f t="shared" ref="O2471" si="4110">IF(O2469=0,0,VLOOKUP(J2471,J2474:S2504,O2469,FALSE))</f>
        <v>0</v>
      </c>
      <c r="P2471" s="6">
        <f t="shared" ref="P2471" si="4111">IF(P2469=0,0,VLOOKUP(J2471,J2474:S2504,P2469,FALSE))</f>
        <v>0</v>
      </c>
      <c r="Q2471" s="6">
        <f t="shared" ref="Q2471" si="4112">IF(Q2469=0,0,VLOOKUP(J2471,J2474:S2504,Q2469,FALSE))</f>
        <v>0</v>
      </c>
      <c r="R2471" s="6">
        <f t="shared" ref="R2471" si="4113">IF(R2469=0,0,VLOOKUP(J2471,J2474:S2504,R2469,FALSE))</f>
        <v>1.7907639895738986E-3</v>
      </c>
      <c r="S2471" s="6">
        <f t="shared" ref="S2471" si="4114">IF(S2469=0,0,VLOOKUP(J2471,J2474:S2504,S2469,FALSE))</f>
        <v>0.1013293429717277</v>
      </c>
      <c r="T2471" s="9"/>
      <c r="U2471" s="1">
        <f t="shared" si="4078"/>
        <v>57</v>
      </c>
      <c r="V2471" s="1">
        <f t="shared" si="4079"/>
        <v>206</v>
      </c>
    </row>
    <row r="2472" spans="1:22" x14ac:dyDescent="0.3">
      <c r="A2472" s="1">
        <f t="shared" si="4081"/>
        <v>57207</v>
      </c>
      <c r="B2472" s="96" t="s">
        <v>16</v>
      </c>
      <c r="C2472" s="97"/>
      <c r="D2472" s="121">
        <v>45761</v>
      </c>
      <c r="E2472" s="121"/>
      <c r="F2472" s="121"/>
      <c r="G2472" s="121"/>
      <c r="H2472" s="121"/>
      <c r="J2472" s="24" t="str">
        <f t="shared" ref="J2472" si="4115">CONCATENATE(J2469,3)</f>
        <v>33</v>
      </c>
      <c r="K2472" s="6"/>
      <c r="L2472" s="6"/>
      <c r="M2472" s="6"/>
      <c r="N2472" s="6" t="s">
        <v>43</v>
      </c>
      <c r="O2472" s="25">
        <f t="shared" ref="O2472" si="4116">J2469-2</f>
        <v>1</v>
      </c>
      <c r="P2472" s="6" t="s">
        <v>44</v>
      </c>
      <c r="Q2472" s="25">
        <f t="shared" ref="Q2472" si="4117">VLOOKUP(J2472,J2474:S2504,3,FALSE)</f>
        <v>7.8761592344328335E-2</v>
      </c>
      <c r="R2472" s="6" t="s">
        <v>45</v>
      </c>
      <c r="S2472" s="6">
        <f t="shared" ref="S2472" si="4118">VLOOKUP(J2472,J2474:S2504,2,FALSE)</f>
        <v>0.99999655367309526</v>
      </c>
      <c r="T2472" s="9"/>
      <c r="U2472" s="1">
        <f t="shared" si="4078"/>
        <v>57</v>
      </c>
      <c r="V2472" s="1">
        <f t="shared" si="4079"/>
        <v>207</v>
      </c>
    </row>
    <row r="2473" spans="1:22" x14ac:dyDescent="0.3">
      <c r="A2473" s="1">
        <f t="shared" si="4081"/>
        <v>57208</v>
      </c>
      <c r="B2473" s="96" t="s">
        <v>17</v>
      </c>
      <c r="C2473" s="97"/>
      <c r="D2473" s="122">
        <v>46142</v>
      </c>
      <c r="E2473" s="122"/>
      <c r="F2473" s="122"/>
      <c r="G2473" s="122"/>
      <c r="H2473" s="122"/>
      <c r="K2473" s="1">
        <v>3</v>
      </c>
      <c r="L2473" s="1">
        <v>3</v>
      </c>
      <c r="Q2473" s="26"/>
      <c r="R2473" s="26"/>
      <c r="S2473" s="26"/>
      <c r="T2473" s="9"/>
      <c r="U2473" s="1">
        <f t="shared" si="4078"/>
        <v>57</v>
      </c>
      <c r="V2473" s="1">
        <f t="shared" si="4079"/>
        <v>208</v>
      </c>
    </row>
    <row r="2474" spans="1:22" x14ac:dyDescent="0.3">
      <c r="A2474" s="1">
        <f t="shared" si="4081"/>
        <v>57209</v>
      </c>
      <c r="B2474" s="77" t="s">
        <v>19</v>
      </c>
      <c r="C2474" s="78"/>
      <c r="D2474" s="17">
        <v>0.1</v>
      </c>
      <c r="E2474" s="79" t="s">
        <v>40</v>
      </c>
      <c r="F2474" s="80"/>
      <c r="G2474" s="81"/>
      <c r="H2474" s="18" t="s">
        <v>72</v>
      </c>
      <c r="J2474" s="24" t="str">
        <f t="shared" ref="J2474" si="4119">CONCATENATE(K2473,1)</f>
        <v>31</v>
      </c>
      <c r="K2474" s="6">
        <f t="array" ref="K2474:L2476">LINEST(B2482:B2484,C2482:C2484^{1},TRUE,TRUE)</f>
        <v>0.96462690064928802</v>
      </c>
      <c r="L2474" s="6">
        <v>1.2220330571676712</v>
      </c>
      <c r="Q2474" s="9"/>
      <c r="R2474" s="9"/>
      <c r="S2474" s="9"/>
      <c r="T2474" s="9"/>
      <c r="U2474" s="1">
        <f t="shared" si="4078"/>
        <v>57</v>
      </c>
      <c r="V2474" s="1">
        <f t="shared" si="4079"/>
        <v>209</v>
      </c>
    </row>
    <row r="2475" spans="1:22" x14ac:dyDescent="0.3">
      <c r="A2475" s="1">
        <f t="shared" si="4081"/>
        <v>57210</v>
      </c>
      <c r="B2475" s="77" t="s">
        <v>41</v>
      </c>
      <c r="C2475" s="78"/>
      <c r="D2475" s="23">
        <f t="shared" ref="D2475" si="4120">MIN(B2482:B2491)</f>
        <v>20</v>
      </c>
      <c r="E2475" s="20" t="s">
        <v>18</v>
      </c>
      <c r="F2475" s="19">
        <f t="shared" ref="F2475" si="4121">MAX(B2482:B2491)</f>
        <v>80</v>
      </c>
      <c r="G2475" s="21" t="str">
        <f t="shared" ref="G2475" si="4122">IF(H2474="","",H2474)</f>
        <v>%ur</v>
      </c>
      <c r="H2475" s="22"/>
      <c r="J2475" s="24" t="str">
        <f t="shared" ref="J2475" si="4123">CONCATENATE(K2473,2)</f>
        <v>32</v>
      </c>
      <c r="K2475" s="6">
        <v>1.7907639895738986E-3</v>
      </c>
      <c r="L2475" s="6">
        <v>0.1013293429717277</v>
      </c>
      <c r="Q2475" s="9"/>
      <c r="R2475" s="9"/>
      <c r="S2475" s="9"/>
      <c r="T2475" s="9"/>
      <c r="U2475" s="1">
        <f t="shared" si="4078"/>
        <v>57</v>
      </c>
      <c r="V2475" s="1">
        <f t="shared" si="4079"/>
        <v>210</v>
      </c>
    </row>
    <row r="2476" spans="1:22" x14ac:dyDescent="0.3">
      <c r="A2476" s="1">
        <f t="shared" si="4081"/>
        <v>57211</v>
      </c>
      <c r="J2476" s="24" t="str">
        <f t="shared" ref="J2476" si="4124">CONCATENATE(K2473,3)</f>
        <v>33</v>
      </c>
      <c r="K2476" s="6">
        <v>0.99999655367309526</v>
      </c>
      <c r="L2476" s="6">
        <v>7.8761592344328335E-2</v>
      </c>
      <c r="Q2476" s="9"/>
      <c r="R2476" s="9"/>
      <c r="S2476" s="9"/>
      <c r="T2476" s="9"/>
      <c r="U2476" s="1">
        <f t="shared" si="4078"/>
        <v>57</v>
      </c>
      <c r="V2476" s="1">
        <f t="shared" si="4079"/>
        <v>211</v>
      </c>
    </row>
    <row r="2477" spans="1:22" x14ac:dyDescent="0.3">
      <c r="A2477" s="1">
        <f t="shared" si="4081"/>
        <v>57212</v>
      </c>
      <c r="B2477" s="82" t="s">
        <v>20</v>
      </c>
      <c r="C2477" s="83"/>
      <c r="D2477" s="83"/>
      <c r="E2477" s="83"/>
      <c r="F2477" s="84"/>
      <c r="G2477" s="85" t="s">
        <v>31</v>
      </c>
      <c r="H2477" s="86"/>
      <c r="K2477" s="1">
        <v>4</v>
      </c>
      <c r="L2477" s="1">
        <v>4</v>
      </c>
      <c r="M2477" s="1">
        <v>4</v>
      </c>
      <c r="Q2477" s="9"/>
      <c r="R2477" s="9"/>
      <c r="S2477" s="9"/>
      <c r="T2477" s="9"/>
      <c r="U2477" s="1">
        <f t="shared" si="4078"/>
        <v>57</v>
      </c>
      <c r="V2477" s="1">
        <f t="shared" si="4079"/>
        <v>212</v>
      </c>
    </row>
    <row r="2478" spans="1:22" x14ac:dyDescent="0.3">
      <c r="A2478" s="1">
        <f t="shared" si="4081"/>
        <v>57213</v>
      </c>
      <c r="B2478" s="82" t="s">
        <v>30</v>
      </c>
      <c r="C2478" s="83"/>
      <c r="D2478" s="84"/>
      <c r="E2478" s="82" t="str">
        <f t="shared" ref="E2478" si="4125">D2471</f>
        <v>E0211/25</v>
      </c>
      <c r="F2478" s="84"/>
      <c r="G2478" s="6" t="s">
        <v>32</v>
      </c>
      <c r="H2478" s="7"/>
      <c r="J2478" s="24" t="str">
        <f t="shared" ref="J2478" si="4126">CONCATENATE(K2477,1)</f>
        <v>41</v>
      </c>
      <c r="K2478" s="6" t="e">
        <f t="array" ref="K2478:M2480">LINEST(B2482:B2485,C2482:C2485^{1,2},TRUE,TRUE)</f>
        <v>#VALUE!</v>
      </c>
      <c r="L2478" s="6" t="e">
        <v>#VALUE!</v>
      </c>
      <c r="M2478" s="6" t="e">
        <v>#VALUE!</v>
      </c>
      <c r="Q2478" s="9"/>
      <c r="R2478" s="9"/>
      <c r="S2478" s="9"/>
      <c r="T2478" s="9"/>
      <c r="U2478" s="1">
        <f t="shared" si="4078"/>
        <v>57</v>
      </c>
      <c r="V2478" s="1">
        <f t="shared" si="4079"/>
        <v>213</v>
      </c>
    </row>
    <row r="2479" spans="1:22" x14ac:dyDescent="0.3">
      <c r="A2479" s="1">
        <f t="shared" si="4081"/>
        <v>57214</v>
      </c>
      <c r="B2479" s="2" t="s">
        <v>21</v>
      </c>
      <c r="C2479" s="2" t="s">
        <v>22</v>
      </c>
      <c r="D2479" s="2" t="s">
        <v>23</v>
      </c>
      <c r="E2479" s="2"/>
      <c r="F2479" s="2" t="s">
        <v>28</v>
      </c>
      <c r="G2479" s="2" t="s">
        <v>21</v>
      </c>
      <c r="H2479" s="2" t="s">
        <v>22</v>
      </c>
      <c r="J2479" s="24" t="str">
        <f t="shared" ref="J2479" si="4127">CONCATENATE(K2477,2)</f>
        <v>42</v>
      </c>
      <c r="K2479" s="6" t="e">
        <v>#VALUE!</v>
      </c>
      <c r="L2479" s="6" t="e">
        <v>#VALUE!</v>
      </c>
      <c r="M2479" s="6" t="e">
        <v>#VALUE!</v>
      </c>
      <c r="Q2479" s="9"/>
      <c r="R2479" s="9"/>
      <c r="S2479" s="9"/>
      <c r="T2479" s="9"/>
      <c r="U2479" s="1">
        <f t="shared" si="4078"/>
        <v>57</v>
      </c>
      <c r="V2479" s="1">
        <f t="shared" si="4079"/>
        <v>214</v>
      </c>
    </row>
    <row r="2480" spans="1:22" x14ac:dyDescent="0.3">
      <c r="A2480" s="1">
        <f t="shared" si="4081"/>
        <v>57215</v>
      </c>
      <c r="B2480" s="2" t="s">
        <v>24</v>
      </c>
      <c r="C2480" s="2" t="s">
        <v>25</v>
      </c>
      <c r="D2480" s="2" t="s">
        <v>26</v>
      </c>
      <c r="E2480" s="2" t="s">
        <v>27</v>
      </c>
      <c r="F2480" s="2" t="s">
        <v>29</v>
      </c>
      <c r="G2480" s="2" t="s">
        <v>24</v>
      </c>
      <c r="H2480" s="2" t="s">
        <v>25</v>
      </c>
      <c r="J2480" s="24" t="str">
        <f t="shared" ref="J2480" si="4128">CONCATENATE(K2477,3)</f>
        <v>43</v>
      </c>
      <c r="K2480" s="6" t="e">
        <v>#VALUE!</v>
      </c>
      <c r="L2480" s="6" t="e">
        <v>#VALUE!</v>
      </c>
      <c r="M2480" s="6" t="e">
        <v>#VALUE!</v>
      </c>
      <c r="Q2480" s="9"/>
      <c r="R2480" s="9"/>
      <c r="S2480" s="9"/>
      <c r="T2480" s="9"/>
      <c r="U2480" s="1">
        <f t="shared" si="4078"/>
        <v>57</v>
      </c>
      <c r="V2480" s="1">
        <f t="shared" si="4079"/>
        <v>215</v>
      </c>
    </row>
    <row r="2481" spans="1:22" x14ac:dyDescent="0.3">
      <c r="A2481" s="1">
        <f t="shared" si="4081"/>
        <v>57216</v>
      </c>
      <c r="B2481" s="3" t="str">
        <f t="shared" ref="B2481" si="4129">H2474</f>
        <v>%ur</v>
      </c>
      <c r="C2481" s="3" t="str">
        <f t="shared" ref="C2481" si="4130">B2481</f>
        <v>%ur</v>
      </c>
      <c r="D2481" s="3" t="str">
        <f t="shared" ref="D2481" si="4131">C2481</f>
        <v>%ur</v>
      </c>
      <c r="E2481" s="3"/>
      <c r="F2481" s="3"/>
      <c r="G2481" s="3" t="str">
        <f t="shared" ref="G2481" si="4132">D2481</f>
        <v>%ur</v>
      </c>
      <c r="H2481" s="3" t="str">
        <f t="shared" ref="H2481" si="4133">G2481</f>
        <v>%ur</v>
      </c>
      <c r="K2481" s="1">
        <v>5</v>
      </c>
      <c r="L2481" s="1">
        <v>5</v>
      </c>
      <c r="M2481" s="1">
        <v>5</v>
      </c>
      <c r="N2481" s="1">
        <v>5</v>
      </c>
      <c r="Q2481" s="9"/>
      <c r="R2481" s="9"/>
      <c r="S2481" s="9"/>
      <c r="T2481" s="9"/>
      <c r="U2481" s="1">
        <f t="shared" si="4078"/>
        <v>57</v>
      </c>
      <c r="V2481" s="1">
        <f t="shared" si="4079"/>
        <v>216</v>
      </c>
    </row>
    <row r="2482" spans="1:22" x14ac:dyDescent="0.3">
      <c r="A2482" s="1">
        <f t="shared" si="4081"/>
        <v>57217</v>
      </c>
      <c r="B2482" s="65">
        <v>20</v>
      </c>
      <c r="C2482" s="65">
        <v>19.5</v>
      </c>
      <c r="D2482" s="65">
        <v>0.7</v>
      </c>
      <c r="E2482" s="4">
        <v>2</v>
      </c>
      <c r="F2482" s="14">
        <v>1000000</v>
      </c>
      <c r="G2482" s="66"/>
      <c r="H2482" s="66"/>
      <c r="J2482" s="24" t="str">
        <f t="shared" ref="J2482" si="4134">CONCATENATE(K2481,1)</f>
        <v>51</v>
      </c>
      <c r="K2482" s="6" t="e">
        <f t="array" ref="K2482:N2484">LINEST(B2482:B2486,C2482:C2486^{1,2,3},TRUE,TRUE)</f>
        <v>#VALUE!</v>
      </c>
      <c r="L2482" s="6" t="e">
        <v>#VALUE!</v>
      </c>
      <c r="M2482" s="6" t="e">
        <v>#VALUE!</v>
      </c>
      <c r="N2482" s="6" t="e">
        <v>#VALUE!</v>
      </c>
      <c r="Q2482" s="9"/>
      <c r="R2482" s="9"/>
      <c r="S2482" s="9"/>
      <c r="T2482" s="9"/>
      <c r="U2482" s="1">
        <f t="shared" si="4078"/>
        <v>57</v>
      </c>
      <c r="V2482" s="1">
        <f t="shared" si="4079"/>
        <v>217</v>
      </c>
    </row>
    <row r="2483" spans="1:22" x14ac:dyDescent="0.3">
      <c r="A2483" s="1">
        <f t="shared" si="4081"/>
        <v>57218</v>
      </c>
      <c r="B2483" s="65">
        <v>50</v>
      </c>
      <c r="C2483" s="65">
        <v>50.5</v>
      </c>
      <c r="D2483" s="65">
        <v>1.1000000000000001</v>
      </c>
      <c r="E2483" s="4">
        <v>2</v>
      </c>
      <c r="F2483" s="14">
        <v>1000000</v>
      </c>
      <c r="G2483" s="66"/>
      <c r="H2483" s="66"/>
      <c r="J2483" s="24" t="str">
        <f t="shared" ref="J2483" si="4135">CONCATENATE(K2481,2)</f>
        <v>52</v>
      </c>
      <c r="K2483" s="6" t="e">
        <v>#VALUE!</v>
      </c>
      <c r="L2483" s="6" t="e">
        <v>#VALUE!</v>
      </c>
      <c r="M2483" s="6" t="e">
        <v>#VALUE!</v>
      </c>
      <c r="N2483" s="6" t="e">
        <v>#VALUE!</v>
      </c>
      <c r="T2483" s="9"/>
      <c r="U2483" s="1">
        <f t="shared" si="4078"/>
        <v>57</v>
      </c>
      <c r="V2483" s="1">
        <f t="shared" si="4079"/>
        <v>218</v>
      </c>
    </row>
    <row r="2484" spans="1:22" x14ac:dyDescent="0.3">
      <c r="A2484" s="1">
        <f t="shared" si="4081"/>
        <v>57219</v>
      </c>
      <c r="B2484" s="65">
        <v>80</v>
      </c>
      <c r="C2484" s="65">
        <v>81.7</v>
      </c>
      <c r="D2484" s="65">
        <v>1.1000000000000001</v>
      </c>
      <c r="E2484" s="4">
        <v>2</v>
      </c>
      <c r="F2484" s="14">
        <v>1000000</v>
      </c>
      <c r="G2484" s="66"/>
      <c r="H2484" s="66"/>
      <c r="J2484" s="24" t="str">
        <f t="shared" ref="J2484" si="4136">CONCATENATE(K2481,3)</f>
        <v>53</v>
      </c>
      <c r="K2484" s="6" t="e">
        <v>#VALUE!</v>
      </c>
      <c r="L2484" s="6" t="e">
        <v>#VALUE!</v>
      </c>
      <c r="M2484" s="6" t="e">
        <v>#VALUE!</v>
      </c>
      <c r="N2484" s="6" t="e">
        <v>#VALUE!</v>
      </c>
      <c r="T2484" s="9"/>
      <c r="U2484" s="1">
        <f t="shared" si="4078"/>
        <v>57</v>
      </c>
      <c r="V2484" s="1">
        <f t="shared" si="4079"/>
        <v>219</v>
      </c>
    </row>
    <row r="2485" spans="1:22" x14ac:dyDescent="0.3">
      <c r="A2485" s="1">
        <f t="shared" si="4081"/>
        <v>57220</v>
      </c>
      <c r="B2485" s="4"/>
      <c r="C2485" s="4"/>
      <c r="D2485" s="4"/>
      <c r="E2485" s="4"/>
      <c r="F2485" s="14"/>
      <c r="G2485" s="8"/>
      <c r="H2485" s="7"/>
      <c r="K2485" s="1">
        <v>6</v>
      </c>
      <c r="L2485" s="1">
        <v>6</v>
      </c>
      <c r="M2485" s="1">
        <v>6</v>
      </c>
      <c r="N2485" s="1">
        <v>6</v>
      </c>
      <c r="O2485" s="1">
        <v>6</v>
      </c>
      <c r="T2485" s="9"/>
      <c r="U2485" s="1">
        <f t="shared" si="4078"/>
        <v>57</v>
      </c>
      <c r="V2485" s="1">
        <f t="shared" si="4079"/>
        <v>220</v>
      </c>
    </row>
    <row r="2486" spans="1:22" x14ac:dyDescent="0.3">
      <c r="A2486" s="1">
        <f t="shared" si="4081"/>
        <v>57221</v>
      </c>
      <c r="B2486" s="4"/>
      <c r="C2486" s="4"/>
      <c r="D2486" s="4"/>
      <c r="E2486" s="4"/>
      <c r="F2486" s="14"/>
      <c r="G2486" s="8"/>
      <c r="H2486" s="7"/>
      <c r="J2486" s="24" t="str">
        <f t="shared" ref="J2486" si="4137">CONCATENATE(K2485,1)</f>
        <v>61</v>
      </c>
      <c r="K2486" s="6" t="e">
        <f t="array" ref="K2486:O2488">LINEST(B2482:B2487,C2482:C2487^{1,2,3,4},TRUE,TRUE)</f>
        <v>#VALUE!</v>
      </c>
      <c r="L2486" s="6" t="e">
        <v>#VALUE!</v>
      </c>
      <c r="M2486" s="6" t="e">
        <v>#VALUE!</v>
      </c>
      <c r="N2486" s="6" t="e">
        <v>#VALUE!</v>
      </c>
      <c r="O2486" s="6" t="e">
        <v>#VALUE!</v>
      </c>
      <c r="T2486" s="9"/>
      <c r="U2486" s="1">
        <f t="shared" si="4078"/>
        <v>57</v>
      </c>
      <c r="V2486" s="1">
        <f t="shared" si="4079"/>
        <v>221</v>
      </c>
    </row>
    <row r="2487" spans="1:22" x14ac:dyDescent="0.3">
      <c r="A2487" s="1">
        <f t="shared" si="4081"/>
        <v>57222</v>
      </c>
      <c r="B2487" s="4"/>
      <c r="C2487" s="4"/>
      <c r="D2487" s="4"/>
      <c r="E2487" s="4"/>
      <c r="F2487" s="14"/>
      <c r="G2487" s="8"/>
      <c r="H2487" s="7"/>
      <c r="J2487" s="24" t="str">
        <f t="shared" ref="J2487" si="4138">CONCATENATE(K2485,2)</f>
        <v>62</v>
      </c>
      <c r="K2487" s="6" t="e">
        <v>#VALUE!</v>
      </c>
      <c r="L2487" s="6" t="e">
        <v>#VALUE!</v>
      </c>
      <c r="M2487" s="6" t="e">
        <v>#VALUE!</v>
      </c>
      <c r="N2487" s="6" t="e">
        <v>#VALUE!</v>
      </c>
      <c r="O2487" s="6" t="e">
        <v>#VALUE!</v>
      </c>
      <c r="T2487" s="9"/>
      <c r="U2487" s="1">
        <f t="shared" si="4078"/>
        <v>57</v>
      </c>
      <c r="V2487" s="1">
        <f t="shared" si="4079"/>
        <v>222</v>
      </c>
    </row>
    <row r="2488" spans="1:22" x14ac:dyDescent="0.3">
      <c r="A2488" s="1">
        <f t="shared" si="4081"/>
        <v>57223</v>
      </c>
      <c r="B2488" s="4"/>
      <c r="C2488" s="4"/>
      <c r="D2488" s="4"/>
      <c r="E2488" s="4"/>
      <c r="F2488" s="14"/>
      <c r="G2488" s="8"/>
      <c r="H2488" s="7"/>
      <c r="J2488" s="24" t="str">
        <f t="shared" ref="J2488" si="4139">CONCATENATE(K2485,3)</f>
        <v>63</v>
      </c>
      <c r="K2488" s="6" t="e">
        <v>#VALUE!</v>
      </c>
      <c r="L2488" s="6" t="e">
        <v>#VALUE!</v>
      </c>
      <c r="M2488" s="6" t="e">
        <v>#VALUE!</v>
      </c>
      <c r="N2488" s="6" t="e">
        <v>#VALUE!</v>
      </c>
      <c r="O2488" s="6" t="e">
        <v>#VALUE!</v>
      </c>
      <c r="T2488" s="9"/>
      <c r="U2488" s="1">
        <f t="shared" si="4078"/>
        <v>57</v>
      </c>
      <c r="V2488" s="1">
        <f t="shared" si="4079"/>
        <v>223</v>
      </c>
    </row>
    <row r="2489" spans="1:22" x14ac:dyDescent="0.3">
      <c r="A2489" s="1">
        <f t="shared" si="4081"/>
        <v>57224</v>
      </c>
      <c r="B2489" s="4"/>
      <c r="C2489" s="4"/>
      <c r="D2489" s="4"/>
      <c r="E2489" s="4"/>
      <c r="F2489" s="14"/>
      <c r="G2489" s="8"/>
      <c r="H2489" s="7"/>
      <c r="K2489" s="1">
        <v>7</v>
      </c>
      <c r="L2489" s="1">
        <v>7</v>
      </c>
      <c r="M2489" s="1">
        <v>7</v>
      </c>
      <c r="N2489" s="1">
        <v>7</v>
      </c>
      <c r="O2489" s="1">
        <v>7</v>
      </c>
      <c r="P2489" s="1">
        <v>7</v>
      </c>
      <c r="T2489" s="9"/>
      <c r="U2489" s="1">
        <f t="shared" si="4078"/>
        <v>57</v>
      </c>
      <c r="V2489" s="1">
        <f t="shared" si="4079"/>
        <v>224</v>
      </c>
    </row>
    <row r="2490" spans="1:22" x14ac:dyDescent="0.3">
      <c r="A2490" s="1">
        <f t="shared" si="4081"/>
        <v>57225</v>
      </c>
      <c r="B2490" s="4"/>
      <c r="C2490" s="4"/>
      <c r="D2490" s="4"/>
      <c r="E2490" s="4"/>
      <c r="F2490" s="14"/>
      <c r="G2490" s="8"/>
      <c r="H2490" s="7"/>
      <c r="J2490" s="24" t="str">
        <f t="shared" ref="J2490" si="4140">CONCATENATE(K2489,1)</f>
        <v>71</v>
      </c>
      <c r="K2490" s="6" t="e">
        <f t="array" ref="K2490:P2492">LINEST(B2482:B2488,C2482:C2488^{1,2,3,4,5},TRUE,TRUE)</f>
        <v>#VALUE!</v>
      </c>
      <c r="L2490" s="6" t="e">
        <v>#VALUE!</v>
      </c>
      <c r="M2490" s="6" t="e">
        <v>#VALUE!</v>
      </c>
      <c r="N2490" s="6" t="e">
        <v>#VALUE!</v>
      </c>
      <c r="O2490" s="6" t="e">
        <v>#VALUE!</v>
      </c>
      <c r="P2490" s="6" t="e">
        <v>#VALUE!</v>
      </c>
      <c r="T2490" s="9"/>
      <c r="U2490" s="1">
        <f t="shared" si="4078"/>
        <v>57</v>
      </c>
      <c r="V2490" s="1">
        <f t="shared" si="4079"/>
        <v>225</v>
      </c>
    </row>
    <row r="2491" spans="1:22" x14ac:dyDescent="0.3">
      <c r="A2491" s="1">
        <f t="shared" si="4081"/>
        <v>57226</v>
      </c>
      <c r="B2491" s="4"/>
      <c r="C2491" s="4"/>
      <c r="D2491" s="4"/>
      <c r="E2491" s="4"/>
      <c r="F2491" s="14"/>
      <c r="G2491" s="8"/>
      <c r="H2491" s="7"/>
      <c r="J2491" s="24" t="str">
        <f t="shared" ref="J2491" si="4141">CONCATENATE(K2489,2)</f>
        <v>72</v>
      </c>
      <c r="K2491" s="6" t="e">
        <v>#VALUE!</v>
      </c>
      <c r="L2491" s="6" t="e">
        <v>#VALUE!</v>
      </c>
      <c r="M2491" s="6" t="e">
        <v>#VALUE!</v>
      </c>
      <c r="N2491" s="6" t="e">
        <v>#VALUE!</v>
      </c>
      <c r="O2491" s="6" t="e">
        <v>#VALUE!</v>
      </c>
      <c r="P2491" s="6" t="e">
        <v>#VALUE!</v>
      </c>
      <c r="T2491" s="9"/>
      <c r="U2491" s="1">
        <f t="shared" si="4078"/>
        <v>57</v>
      </c>
      <c r="V2491" s="1">
        <f t="shared" si="4079"/>
        <v>226</v>
      </c>
    </row>
    <row r="2492" spans="1:22" x14ac:dyDescent="0.3">
      <c r="A2492" s="1">
        <f t="shared" si="4081"/>
        <v>57227</v>
      </c>
      <c r="B2492" s="9"/>
      <c r="C2492" s="9"/>
      <c r="D2492" s="9"/>
      <c r="E2492" s="9"/>
      <c r="F2492" s="9"/>
      <c r="G2492" s="9"/>
      <c r="H2492" s="9"/>
      <c r="J2492" s="24" t="str">
        <f t="shared" ref="J2492" si="4142">CONCATENATE(K2489,3)</f>
        <v>73</v>
      </c>
      <c r="K2492" s="6" t="e">
        <v>#VALUE!</v>
      </c>
      <c r="L2492" s="6" t="e">
        <v>#VALUE!</v>
      </c>
      <c r="M2492" s="6" t="e">
        <v>#VALUE!</v>
      </c>
      <c r="N2492" s="6" t="e">
        <v>#VALUE!</v>
      </c>
      <c r="O2492" s="6" t="e">
        <v>#VALUE!</v>
      </c>
      <c r="P2492" s="6" t="e">
        <v>#VALUE!</v>
      </c>
      <c r="T2492" s="9"/>
      <c r="U2492" s="1">
        <f t="shared" si="4078"/>
        <v>57</v>
      </c>
      <c r="V2492" s="1">
        <f t="shared" si="4079"/>
        <v>227</v>
      </c>
    </row>
    <row r="2493" spans="1:22" x14ac:dyDescent="0.3">
      <c r="A2493" s="1">
        <f t="shared" si="4081"/>
        <v>57228</v>
      </c>
      <c r="B2493" s="87" t="s">
        <v>33</v>
      </c>
      <c r="C2493" s="88"/>
      <c r="D2493" s="88"/>
      <c r="E2493" s="88"/>
      <c r="F2493" s="88"/>
      <c r="G2493" s="88"/>
      <c r="H2493" s="89"/>
      <c r="K2493" s="1">
        <v>8</v>
      </c>
      <c r="L2493" s="1">
        <v>8</v>
      </c>
      <c r="M2493" s="1">
        <v>8</v>
      </c>
      <c r="N2493" s="1">
        <v>8</v>
      </c>
      <c r="O2493" s="1">
        <v>8</v>
      </c>
      <c r="P2493" s="1">
        <v>8</v>
      </c>
      <c r="Q2493" s="1">
        <v>8</v>
      </c>
      <c r="T2493" s="9"/>
      <c r="U2493" s="1">
        <f t="shared" si="4078"/>
        <v>57</v>
      </c>
      <c r="V2493" s="1">
        <f t="shared" si="4079"/>
        <v>228</v>
      </c>
    </row>
    <row r="2494" spans="1:22" x14ac:dyDescent="0.3">
      <c r="A2494" s="1">
        <f t="shared" si="4081"/>
        <v>57229</v>
      </c>
      <c r="B2494" s="90"/>
      <c r="C2494" s="91"/>
      <c r="D2494" s="91"/>
      <c r="E2494" s="91"/>
      <c r="F2494" s="91"/>
      <c r="G2494" s="91"/>
      <c r="H2494" s="92"/>
      <c r="J2494" s="24" t="str">
        <f t="shared" ref="J2494" si="4143">CONCATENATE(K2493,1)</f>
        <v>81</v>
      </c>
      <c r="K2494" s="6" t="e">
        <f t="array" ref="K2494:Q2496">LINEST(B2482:B2489,C2482:C2489^{1,2,3,4,5,6},TRUE,TRUE)</f>
        <v>#VALUE!</v>
      </c>
      <c r="L2494" s="6" t="e">
        <v>#VALUE!</v>
      </c>
      <c r="M2494" s="6" t="e">
        <v>#VALUE!</v>
      </c>
      <c r="N2494" s="6" t="e">
        <v>#VALUE!</v>
      </c>
      <c r="O2494" s="6" t="e">
        <v>#VALUE!</v>
      </c>
      <c r="P2494" s="6" t="e">
        <v>#VALUE!</v>
      </c>
      <c r="Q2494" s="6" t="e">
        <v>#VALUE!</v>
      </c>
      <c r="T2494" s="9"/>
      <c r="U2494" s="1">
        <f t="shared" si="4078"/>
        <v>57</v>
      </c>
      <c r="V2494" s="1">
        <f t="shared" si="4079"/>
        <v>229</v>
      </c>
    </row>
    <row r="2495" spans="1:22" x14ac:dyDescent="0.3">
      <c r="A2495" s="1">
        <f t="shared" si="4081"/>
        <v>57230</v>
      </c>
      <c r="B2495" s="93"/>
      <c r="C2495" s="94"/>
      <c r="D2495" s="94"/>
      <c r="E2495" s="94"/>
      <c r="F2495" s="94"/>
      <c r="G2495" s="94"/>
      <c r="H2495" s="95"/>
      <c r="J2495" s="24" t="str">
        <f t="shared" ref="J2495" si="4144">CONCATENATE(K2493,2)</f>
        <v>82</v>
      </c>
      <c r="K2495" s="6" t="e">
        <v>#VALUE!</v>
      </c>
      <c r="L2495" s="6" t="e">
        <v>#VALUE!</v>
      </c>
      <c r="M2495" s="6" t="e">
        <v>#VALUE!</v>
      </c>
      <c r="N2495" s="6" t="e">
        <v>#VALUE!</v>
      </c>
      <c r="O2495" s="6" t="e">
        <v>#VALUE!</v>
      </c>
      <c r="P2495" s="6" t="e">
        <v>#VALUE!</v>
      </c>
      <c r="Q2495" s="6" t="e">
        <v>#VALUE!</v>
      </c>
      <c r="T2495" s="9"/>
      <c r="U2495" s="1">
        <f t="shared" si="4078"/>
        <v>57</v>
      </c>
      <c r="V2495" s="1">
        <f t="shared" si="4079"/>
        <v>230</v>
      </c>
    </row>
    <row r="2496" spans="1:22" x14ac:dyDescent="0.3">
      <c r="A2496" s="1">
        <f t="shared" si="4081"/>
        <v>57231</v>
      </c>
      <c r="J2496" s="24" t="str">
        <f t="shared" ref="J2496" si="4145">CONCATENATE(K2493,3)</f>
        <v>83</v>
      </c>
      <c r="K2496" s="6" t="e">
        <v>#VALUE!</v>
      </c>
      <c r="L2496" s="6" t="e">
        <v>#VALUE!</v>
      </c>
      <c r="M2496" s="6" t="e">
        <v>#VALUE!</v>
      </c>
      <c r="N2496" s="6" t="e">
        <v>#VALUE!</v>
      </c>
      <c r="O2496" s="6" t="e">
        <v>#VALUE!</v>
      </c>
      <c r="P2496" s="6" t="e">
        <v>#VALUE!</v>
      </c>
      <c r="Q2496" s="6" t="e">
        <v>#VALUE!</v>
      </c>
      <c r="T2496" s="9"/>
      <c r="U2496" s="1">
        <f t="shared" si="4078"/>
        <v>57</v>
      </c>
      <c r="V2496" s="1">
        <f t="shared" si="4079"/>
        <v>231</v>
      </c>
    </row>
    <row r="2497" spans="1:22" ht="15" customHeight="1" x14ac:dyDescent="0.3">
      <c r="A2497" s="1">
        <f t="shared" si="4081"/>
        <v>57232</v>
      </c>
      <c r="B2497" s="10" t="s">
        <v>34</v>
      </c>
      <c r="C2497" s="10" t="s">
        <v>35</v>
      </c>
      <c r="D2497" s="10" t="s">
        <v>36</v>
      </c>
      <c r="E2497" s="74" t="s">
        <v>37</v>
      </c>
      <c r="F2497" s="75"/>
      <c r="G2497" s="76"/>
      <c r="K2497" s="1">
        <v>9</v>
      </c>
      <c r="L2497" s="1">
        <v>9</v>
      </c>
      <c r="M2497" s="1">
        <v>9</v>
      </c>
      <c r="N2497" s="1">
        <v>9</v>
      </c>
      <c r="O2497" s="1">
        <v>9</v>
      </c>
      <c r="P2497" s="1">
        <v>9</v>
      </c>
      <c r="Q2497" s="1">
        <v>9</v>
      </c>
      <c r="R2497" s="1">
        <v>9</v>
      </c>
      <c r="T2497" s="9"/>
      <c r="U2497" s="1">
        <f t="shared" si="4078"/>
        <v>57</v>
      </c>
      <c r="V2497" s="1">
        <f t="shared" si="4079"/>
        <v>232</v>
      </c>
    </row>
    <row r="2498" spans="1:22" x14ac:dyDescent="0.3">
      <c r="A2498" s="1">
        <f t="shared" si="4081"/>
        <v>57233</v>
      </c>
      <c r="B2498" s="12">
        <f t="shared" ref="B2498:B2507" si="4146">C2482-B2482</f>
        <v>-0.5</v>
      </c>
      <c r="C2498" s="13">
        <f t="shared" ref="C2498:C2507" si="4147">H2482-G2482</f>
        <v>0</v>
      </c>
      <c r="D2498" s="10">
        <f t="shared" ref="D2498:D2507" si="4148">C2498-B2498</f>
        <v>0.5</v>
      </c>
      <c r="E2498" s="11">
        <f t="shared" ref="E2498" si="4149">IF(D2473="","",MAX(F2498,G2498))</f>
        <v>1.7000000000000028</v>
      </c>
      <c r="F2498" s="10">
        <f t="shared" ref="F2498" si="4150">ABS(MIN(D2498:D2507))</f>
        <v>1.7000000000000028</v>
      </c>
      <c r="G2498" s="10">
        <f t="shared" ref="G2498" si="4151">ABS(MAX(D2498:D2507))</f>
        <v>0.5</v>
      </c>
      <c r="J2498" s="24" t="str">
        <f t="shared" ref="J2498" si="4152">CONCATENATE(K2497,1)</f>
        <v>91</v>
      </c>
      <c r="K2498" s="6" t="e">
        <f t="array" ref="K2498:R2500">LINEST(B2482:B2490,C2482:C2490^{1,2,3,4,5,6,7},TRUE,TRUE)</f>
        <v>#VALUE!</v>
      </c>
      <c r="L2498" s="6" t="e">
        <v>#VALUE!</v>
      </c>
      <c r="M2498" s="6" t="e">
        <v>#VALUE!</v>
      </c>
      <c r="N2498" s="6" t="e">
        <v>#VALUE!</v>
      </c>
      <c r="O2498" s="6" t="e">
        <v>#VALUE!</v>
      </c>
      <c r="P2498" s="6" t="e">
        <v>#VALUE!</v>
      </c>
      <c r="Q2498" s="6" t="e">
        <v>#VALUE!</v>
      </c>
      <c r="R2498" s="6" t="e">
        <v>#VALUE!</v>
      </c>
      <c r="T2498" s="9"/>
      <c r="U2498" s="1">
        <f t="shared" si="4078"/>
        <v>57</v>
      </c>
      <c r="V2498" s="1">
        <f t="shared" si="4079"/>
        <v>233</v>
      </c>
    </row>
    <row r="2499" spans="1:22" x14ac:dyDescent="0.3">
      <c r="A2499" s="1">
        <f t="shared" si="4081"/>
        <v>57234</v>
      </c>
      <c r="B2499" s="12">
        <f t="shared" si="4146"/>
        <v>0.5</v>
      </c>
      <c r="C2499" s="13">
        <f t="shared" si="4147"/>
        <v>0</v>
      </c>
      <c r="D2499" s="10">
        <f t="shared" si="4148"/>
        <v>-0.5</v>
      </c>
      <c r="E2499" s="74" t="s">
        <v>38</v>
      </c>
      <c r="F2499" s="75"/>
      <c r="G2499" s="76"/>
      <c r="J2499" s="24" t="str">
        <f t="shared" ref="J2499" si="4153">CONCATENATE(K2497,2)</f>
        <v>92</v>
      </c>
      <c r="K2499" s="6" t="e">
        <v>#VALUE!</v>
      </c>
      <c r="L2499" s="6" t="e">
        <v>#VALUE!</v>
      </c>
      <c r="M2499" s="6" t="e">
        <v>#VALUE!</v>
      </c>
      <c r="N2499" s="6" t="e">
        <v>#VALUE!</v>
      </c>
      <c r="O2499" s="6" t="e">
        <v>#VALUE!</v>
      </c>
      <c r="P2499" s="6" t="e">
        <v>#VALUE!</v>
      </c>
      <c r="Q2499" s="6" t="e">
        <v>#VALUE!</v>
      </c>
      <c r="R2499" s="6" t="e">
        <v>#VALUE!</v>
      </c>
      <c r="T2499" s="9"/>
      <c r="U2499" s="1">
        <f t="shared" si="4078"/>
        <v>57</v>
      </c>
      <c r="V2499" s="1">
        <f t="shared" si="4079"/>
        <v>234</v>
      </c>
    </row>
    <row r="2500" spans="1:22" x14ac:dyDescent="0.3">
      <c r="A2500" s="1">
        <f t="shared" si="4081"/>
        <v>57235</v>
      </c>
      <c r="B2500" s="12">
        <f t="shared" si="4146"/>
        <v>1.7000000000000028</v>
      </c>
      <c r="C2500" s="13">
        <f t="shared" si="4147"/>
        <v>0</v>
      </c>
      <c r="D2500" s="10">
        <f t="shared" si="4148"/>
        <v>-1.7000000000000028</v>
      </c>
      <c r="E2500" s="11">
        <f t="shared" ref="E2500" si="4154">IF(D2473="","",MAX(F2500,G2500))</f>
        <v>1.7000000000000028</v>
      </c>
      <c r="F2500" s="10">
        <f t="shared" ref="F2500" si="4155">ABS(MIN(B2498:B2507))</f>
        <v>0.5</v>
      </c>
      <c r="G2500" s="10">
        <f t="shared" ref="G2500" si="4156">ABS(MAX(B2498:B2507))</f>
        <v>1.7000000000000028</v>
      </c>
      <c r="J2500" s="24" t="str">
        <f t="shared" ref="J2500" si="4157">CONCATENATE(K2497,3)</f>
        <v>93</v>
      </c>
      <c r="K2500" s="6" t="e">
        <v>#VALUE!</v>
      </c>
      <c r="L2500" s="6" t="e">
        <v>#VALUE!</v>
      </c>
      <c r="M2500" s="6" t="e">
        <v>#VALUE!</v>
      </c>
      <c r="N2500" s="6" t="e">
        <v>#VALUE!</v>
      </c>
      <c r="O2500" s="6" t="e">
        <v>#VALUE!</v>
      </c>
      <c r="P2500" s="6" t="e">
        <v>#VALUE!</v>
      </c>
      <c r="Q2500" s="6" t="e">
        <v>#VALUE!</v>
      </c>
      <c r="R2500" s="6" t="e">
        <v>#VALUE!</v>
      </c>
      <c r="T2500" s="9"/>
      <c r="U2500" s="1">
        <f t="shared" si="4078"/>
        <v>57</v>
      </c>
      <c r="V2500" s="1">
        <f t="shared" si="4079"/>
        <v>235</v>
      </c>
    </row>
    <row r="2501" spans="1:22" x14ac:dyDescent="0.3">
      <c r="A2501" s="1">
        <f t="shared" si="4081"/>
        <v>57236</v>
      </c>
      <c r="B2501" s="12">
        <f t="shared" si="4146"/>
        <v>0</v>
      </c>
      <c r="C2501" s="13">
        <f t="shared" si="4147"/>
        <v>0</v>
      </c>
      <c r="D2501" s="10">
        <f t="shared" si="4148"/>
        <v>0</v>
      </c>
      <c r="E2501" s="74" t="s">
        <v>39</v>
      </c>
      <c r="F2501" s="75"/>
      <c r="G2501" s="76"/>
      <c r="K2501" s="1">
        <v>10</v>
      </c>
      <c r="L2501" s="1">
        <v>10</v>
      </c>
      <c r="M2501" s="1">
        <v>10</v>
      </c>
      <c r="N2501" s="1">
        <v>10</v>
      </c>
      <c r="O2501" s="1">
        <v>10</v>
      </c>
      <c r="P2501" s="1">
        <v>10</v>
      </c>
      <c r="Q2501" s="1">
        <v>10</v>
      </c>
      <c r="R2501" s="1">
        <v>10</v>
      </c>
      <c r="S2501" s="1">
        <v>10</v>
      </c>
      <c r="T2501" s="9"/>
      <c r="U2501" s="1">
        <f t="shared" si="4078"/>
        <v>57</v>
      </c>
      <c r="V2501" s="1">
        <f t="shared" si="4079"/>
        <v>236</v>
      </c>
    </row>
    <row r="2502" spans="1:22" x14ac:dyDescent="0.3">
      <c r="A2502" s="1">
        <f t="shared" si="4081"/>
        <v>57237</v>
      </c>
      <c r="B2502" s="12">
        <f t="shared" si="4146"/>
        <v>0</v>
      </c>
      <c r="C2502" s="13">
        <f t="shared" si="4147"/>
        <v>0</v>
      </c>
      <c r="D2502" s="10">
        <f t="shared" si="4148"/>
        <v>0</v>
      </c>
      <c r="E2502" s="11">
        <f t="shared" ref="E2502" si="4158">IF(D2473="","",MAX(F2502,G2502))</f>
        <v>1.1000000000000001</v>
      </c>
      <c r="F2502" s="10">
        <f t="shared" ref="F2502" si="4159">ABS(MIN(D2482:D2491))</f>
        <v>0.7</v>
      </c>
      <c r="G2502" s="10">
        <f t="shared" ref="G2502" si="4160">ABS(MAX(D2482:D2491))</f>
        <v>1.1000000000000001</v>
      </c>
      <c r="J2502" s="24" t="str">
        <f t="shared" ref="J2502" si="4161">CONCATENATE(K2501,1)</f>
        <v>101</v>
      </c>
      <c r="K2502" s="6" t="e">
        <f t="array" ref="K2502:S2504">LINEST(B2482:B2491,C2482:C2491^{1,2,3,4,5,6,7,8},TRUE,TRUE)</f>
        <v>#VALUE!</v>
      </c>
      <c r="L2502" s="6" t="e">
        <v>#VALUE!</v>
      </c>
      <c r="M2502" s="6" t="e">
        <v>#VALUE!</v>
      </c>
      <c r="N2502" s="6" t="e">
        <v>#VALUE!</v>
      </c>
      <c r="O2502" s="6" t="e">
        <v>#VALUE!</v>
      </c>
      <c r="P2502" s="6" t="e">
        <v>#VALUE!</v>
      </c>
      <c r="Q2502" s="6" t="e">
        <v>#VALUE!</v>
      </c>
      <c r="R2502" s="6" t="e">
        <v>#VALUE!</v>
      </c>
      <c r="S2502" s="6" t="e">
        <v>#VALUE!</v>
      </c>
      <c r="T2502" s="9"/>
      <c r="U2502" s="1">
        <f t="shared" si="4078"/>
        <v>57</v>
      </c>
      <c r="V2502" s="1">
        <f t="shared" si="4079"/>
        <v>237</v>
      </c>
    </row>
    <row r="2503" spans="1:22" x14ac:dyDescent="0.3">
      <c r="A2503" s="1">
        <f t="shared" si="4081"/>
        <v>57238</v>
      </c>
      <c r="B2503" s="12">
        <f t="shared" si="4146"/>
        <v>0</v>
      </c>
      <c r="C2503" s="13">
        <f t="shared" si="4147"/>
        <v>0</v>
      </c>
      <c r="D2503" s="10">
        <f t="shared" si="4148"/>
        <v>0</v>
      </c>
      <c r="J2503" s="24" t="str">
        <f t="shared" ref="J2503" si="4162">CONCATENATE(K2501,2)</f>
        <v>102</v>
      </c>
      <c r="K2503" s="6" t="e">
        <v>#VALUE!</v>
      </c>
      <c r="L2503" s="6" t="e">
        <v>#VALUE!</v>
      </c>
      <c r="M2503" s="6" t="e">
        <v>#VALUE!</v>
      </c>
      <c r="N2503" s="6" t="e">
        <v>#VALUE!</v>
      </c>
      <c r="O2503" s="6" t="e">
        <v>#VALUE!</v>
      </c>
      <c r="P2503" s="6" t="e">
        <v>#VALUE!</v>
      </c>
      <c r="Q2503" s="6" t="e">
        <v>#VALUE!</v>
      </c>
      <c r="R2503" s="6" t="e">
        <v>#VALUE!</v>
      </c>
      <c r="S2503" s="6" t="e">
        <v>#VALUE!</v>
      </c>
      <c r="T2503" s="9"/>
      <c r="U2503" s="1">
        <f t="shared" si="4078"/>
        <v>57</v>
      </c>
      <c r="V2503" s="1">
        <f t="shared" si="4079"/>
        <v>238</v>
      </c>
    </row>
    <row r="2504" spans="1:22" x14ac:dyDescent="0.3">
      <c r="A2504" s="1">
        <f t="shared" si="4081"/>
        <v>57239</v>
      </c>
      <c r="B2504" s="12">
        <f t="shared" si="4146"/>
        <v>0</v>
      </c>
      <c r="C2504" s="13">
        <f t="shared" si="4147"/>
        <v>0</v>
      </c>
      <c r="D2504" s="10">
        <f t="shared" si="4148"/>
        <v>0</v>
      </c>
      <c r="J2504" s="24" t="str">
        <f t="shared" ref="J2504" si="4163">CONCATENATE(K2501,3)</f>
        <v>103</v>
      </c>
      <c r="K2504" s="6" t="e">
        <v>#VALUE!</v>
      </c>
      <c r="L2504" s="6" t="e">
        <v>#VALUE!</v>
      </c>
      <c r="M2504" s="6" t="e">
        <v>#VALUE!</v>
      </c>
      <c r="N2504" s="6" t="e">
        <v>#VALUE!</v>
      </c>
      <c r="O2504" s="6" t="e">
        <v>#VALUE!</v>
      </c>
      <c r="P2504" s="6" t="e">
        <v>#VALUE!</v>
      </c>
      <c r="Q2504" s="6" t="e">
        <v>#VALUE!</v>
      </c>
      <c r="R2504" s="6" t="e">
        <v>#VALUE!</v>
      </c>
      <c r="S2504" s="6" t="e">
        <v>#VALUE!</v>
      </c>
      <c r="T2504" s="9"/>
      <c r="U2504" s="1">
        <f t="shared" si="4078"/>
        <v>57</v>
      </c>
      <c r="V2504" s="1">
        <f t="shared" si="4079"/>
        <v>239</v>
      </c>
    </row>
    <row r="2505" spans="1:22" x14ac:dyDescent="0.3">
      <c r="A2505" s="1">
        <f t="shared" si="4081"/>
        <v>57240</v>
      </c>
      <c r="B2505" s="12">
        <f t="shared" si="4146"/>
        <v>0</v>
      </c>
      <c r="C2505" s="13">
        <f t="shared" si="4147"/>
        <v>0</v>
      </c>
      <c r="D2505" s="10">
        <f t="shared" si="4148"/>
        <v>0</v>
      </c>
      <c r="J2505" s="9"/>
      <c r="K2505" s="9"/>
      <c r="L2505" s="9"/>
      <c r="M2505" s="9"/>
      <c r="N2505" s="9"/>
      <c r="O2505" s="9"/>
      <c r="P2505" s="9"/>
      <c r="Q2505" s="9"/>
      <c r="R2505" s="9"/>
      <c r="S2505" s="9"/>
      <c r="T2505" s="9"/>
      <c r="U2505" s="1">
        <f t="shared" si="4078"/>
        <v>57</v>
      </c>
      <c r="V2505" s="1">
        <f t="shared" si="4079"/>
        <v>240</v>
      </c>
    </row>
    <row r="2506" spans="1:22" x14ac:dyDescent="0.3">
      <c r="A2506" s="1">
        <f t="shared" si="4081"/>
        <v>57241</v>
      </c>
      <c r="B2506" s="12">
        <f t="shared" si="4146"/>
        <v>0</v>
      </c>
      <c r="C2506" s="13">
        <f t="shared" si="4147"/>
        <v>0</v>
      </c>
      <c r="D2506" s="10">
        <f t="shared" si="4148"/>
        <v>0</v>
      </c>
      <c r="J2506" s="9"/>
      <c r="K2506" s="9"/>
      <c r="L2506" s="9"/>
      <c r="M2506" s="9"/>
      <c r="N2506" s="9"/>
      <c r="O2506" s="9"/>
      <c r="P2506" s="9"/>
      <c r="Q2506" s="9"/>
      <c r="R2506" s="9"/>
      <c r="S2506" s="9"/>
      <c r="T2506" s="9"/>
      <c r="U2506" s="1">
        <f t="shared" si="4078"/>
        <v>57</v>
      </c>
      <c r="V2506" s="1">
        <f t="shared" si="4079"/>
        <v>241</v>
      </c>
    </row>
    <row r="2507" spans="1:22" x14ac:dyDescent="0.3">
      <c r="A2507" s="1">
        <f t="shared" si="4081"/>
        <v>57242</v>
      </c>
      <c r="B2507" s="12">
        <f t="shared" si="4146"/>
        <v>0</v>
      </c>
      <c r="C2507" s="13">
        <f t="shared" si="4147"/>
        <v>0</v>
      </c>
      <c r="D2507" s="10">
        <f t="shared" si="4148"/>
        <v>0</v>
      </c>
      <c r="J2507" s="9"/>
      <c r="K2507" s="9"/>
      <c r="L2507" s="9"/>
      <c r="M2507" s="9"/>
      <c r="N2507" s="9"/>
      <c r="O2507" s="9"/>
      <c r="P2507" s="9"/>
      <c r="Q2507" s="9"/>
      <c r="R2507" s="9"/>
      <c r="S2507" s="9"/>
      <c r="T2507" s="9"/>
      <c r="U2507" s="1">
        <f t="shared" si="4078"/>
        <v>57</v>
      </c>
      <c r="V2507" s="1">
        <f t="shared" si="4079"/>
        <v>242</v>
      </c>
    </row>
    <row r="2508" spans="1:22" x14ac:dyDescent="0.3">
      <c r="A2508" s="1">
        <f t="shared" si="4081"/>
        <v>57243</v>
      </c>
      <c r="J2508" s="9"/>
      <c r="K2508" s="9"/>
      <c r="L2508" s="9"/>
      <c r="M2508" s="9"/>
      <c r="N2508" s="9"/>
      <c r="O2508" s="9"/>
      <c r="P2508" s="9"/>
      <c r="Q2508" s="9"/>
      <c r="R2508" s="9"/>
      <c r="S2508" s="9"/>
      <c r="T2508" s="9"/>
      <c r="U2508" s="1">
        <f t="shared" si="4078"/>
        <v>57</v>
      </c>
      <c r="V2508" s="1">
        <f t="shared" si="4079"/>
        <v>243</v>
      </c>
    </row>
    <row r="2509" spans="1:22" s="5" customFormat="1" x14ac:dyDescent="0.3"/>
    <row r="2510" spans="1:22" x14ac:dyDescent="0.3">
      <c r="A2510" s="1">
        <f t="shared" ref="A2510:A2552" si="4164">ROUND(CONCATENATE(U2510,V2510),0)</f>
        <v>58201</v>
      </c>
      <c r="B2510" s="96" t="s">
        <v>0</v>
      </c>
      <c r="C2510" s="97"/>
      <c r="D2510" s="110" t="s">
        <v>46</v>
      </c>
      <c r="E2510" s="111"/>
      <c r="F2510" s="111"/>
      <c r="G2510" s="111"/>
      <c r="H2510" s="112"/>
      <c r="J2510" s="9"/>
      <c r="K2510" s="9"/>
      <c r="L2510" s="9"/>
      <c r="M2510" s="9"/>
      <c r="N2510" s="9"/>
      <c r="O2510" s="9"/>
      <c r="P2510" s="9"/>
      <c r="Q2510" s="9"/>
      <c r="R2510" s="9"/>
      <c r="S2510" s="9"/>
      <c r="T2510" s="9"/>
      <c r="U2510" s="1">
        <f t="shared" ref="U2510" si="4165">U2508+1</f>
        <v>58</v>
      </c>
      <c r="V2510" s="1">
        <v>201</v>
      </c>
    </row>
    <row r="2511" spans="1:22" x14ac:dyDescent="0.3">
      <c r="A2511" s="1">
        <f t="shared" si="4164"/>
        <v>58202</v>
      </c>
      <c r="B2511" s="96" t="s">
        <v>1</v>
      </c>
      <c r="C2511" s="97"/>
      <c r="D2511" s="15">
        <v>20</v>
      </c>
      <c r="E2511" s="16" t="s">
        <v>2</v>
      </c>
      <c r="F2511" s="107"/>
      <c r="G2511" s="108"/>
      <c r="H2511" s="109"/>
      <c r="J2511" s="9"/>
      <c r="K2511" s="9"/>
      <c r="L2511" s="9"/>
      <c r="M2511" s="9"/>
      <c r="N2511" s="9"/>
      <c r="O2511" s="9"/>
      <c r="P2511" s="9"/>
      <c r="Q2511" s="9"/>
      <c r="R2511" s="9"/>
      <c r="S2511" s="9"/>
      <c r="T2511" s="9"/>
      <c r="U2511" s="1">
        <f t="shared" ref="U2511" si="4166">U2510</f>
        <v>58</v>
      </c>
      <c r="V2511" s="1">
        <f t="shared" ref="V2511" si="4167">V2510+1</f>
        <v>202</v>
      </c>
    </row>
    <row r="2512" spans="1:22" x14ac:dyDescent="0.3">
      <c r="A2512" s="1">
        <f t="shared" si="4164"/>
        <v>58203</v>
      </c>
      <c r="B2512" s="96" t="s">
        <v>12</v>
      </c>
      <c r="C2512" s="97"/>
      <c r="D2512" s="141" t="s">
        <v>244</v>
      </c>
      <c r="E2512" s="141"/>
      <c r="F2512" s="141"/>
      <c r="G2512" s="141"/>
      <c r="H2512" s="141"/>
      <c r="K2512" s="1" t="s">
        <v>3</v>
      </c>
      <c r="L2512" s="1" t="s">
        <v>4</v>
      </c>
      <c r="M2512" s="1" t="s">
        <v>5</v>
      </c>
      <c r="N2512" s="1" t="s">
        <v>6</v>
      </c>
      <c r="O2512" s="1" t="s">
        <v>7</v>
      </c>
      <c r="P2512" s="1" t="s">
        <v>8</v>
      </c>
      <c r="Q2512" s="1" t="s">
        <v>9</v>
      </c>
      <c r="R2512" s="1" t="s">
        <v>10</v>
      </c>
      <c r="S2512" s="1" t="s">
        <v>11</v>
      </c>
      <c r="T2512" s="9"/>
      <c r="U2512" s="1">
        <f t="shared" si="4078"/>
        <v>58</v>
      </c>
      <c r="V2512" s="1">
        <f t="shared" si="4079"/>
        <v>203</v>
      </c>
    </row>
    <row r="2513" spans="1:22" x14ac:dyDescent="0.3">
      <c r="A2513" s="1">
        <f t="shared" si="4164"/>
        <v>58204</v>
      </c>
      <c r="B2513" s="96" t="s">
        <v>13</v>
      </c>
      <c r="C2513" s="97"/>
      <c r="D2513" s="141" t="s">
        <v>65</v>
      </c>
      <c r="E2513" s="141"/>
      <c r="F2513" s="141"/>
      <c r="G2513" s="141"/>
      <c r="H2513" s="141"/>
      <c r="J2513" s="1">
        <f t="shared" ref="J2513" si="4168">COUNTA(B2526:B2535)</f>
        <v>3</v>
      </c>
      <c r="K2513" s="1">
        <f t="shared" ref="K2513" si="4169">IF(L2513-1&lt;2,0,L2513-1)</f>
        <v>0</v>
      </c>
      <c r="L2513" s="1">
        <f t="shared" ref="L2513" si="4170">IF(M2513-1&lt;2,0,M2513-1)</f>
        <v>0</v>
      </c>
      <c r="M2513" s="1">
        <f t="shared" ref="M2513" si="4171">IF(N2513-1&lt;2,0,N2513-1)</f>
        <v>0</v>
      </c>
      <c r="N2513" s="1">
        <f t="shared" ref="N2513" si="4172">IF(O2513-1&lt;2,0,O2513-1)</f>
        <v>0</v>
      </c>
      <c r="O2513" s="1">
        <f t="shared" ref="O2513" si="4173">IF(P2513-1&lt;2,0,P2513-1)</f>
        <v>0</v>
      </c>
      <c r="P2513" s="1">
        <f t="shared" ref="P2513" si="4174">IF(Q2513-1&lt;2,0,Q2513-1)</f>
        <v>0</v>
      </c>
      <c r="Q2513" s="1">
        <f t="shared" ref="Q2513" si="4175">IF(R2513-1&lt;2,0,R2513-1)</f>
        <v>0</v>
      </c>
      <c r="R2513" s="1">
        <f t="shared" ref="R2513" si="4176">IF(S2513-1&lt;2,0,S2513-1)</f>
        <v>2</v>
      </c>
      <c r="S2513" s="1">
        <f t="shared" ref="S2513" si="4177">J2513</f>
        <v>3</v>
      </c>
      <c r="T2513" s="9"/>
      <c r="U2513" s="1">
        <f t="shared" si="4078"/>
        <v>58</v>
      </c>
      <c r="V2513" s="1">
        <f t="shared" si="4079"/>
        <v>204</v>
      </c>
    </row>
    <row r="2514" spans="1:22" x14ac:dyDescent="0.3">
      <c r="A2514" s="1">
        <f t="shared" si="4164"/>
        <v>58205</v>
      </c>
      <c r="B2514" s="96" t="s">
        <v>14</v>
      </c>
      <c r="C2514" s="97"/>
      <c r="D2514" s="141" t="s">
        <v>66</v>
      </c>
      <c r="E2514" s="141"/>
      <c r="F2514" s="141"/>
      <c r="G2514" s="141"/>
      <c r="H2514" s="141"/>
      <c r="J2514" s="24" t="str">
        <f t="shared" ref="J2514" si="4178">CONCATENATE(J2513,1)</f>
        <v>31</v>
      </c>
      <c r="K2514" s="25">
        <f t="shared" ref="K2514" si="4179">IF(K2513=0,0,VLOOKUP(J2514,J2518:S2548,K2513,FALSE))</f>
        <v>0</v>
      </c>
      <c r="L2514" s="25">
        <f t="shared" ref="L2514" si="4180">IF(L2513=0,0,VLOOKUP(J2514,J2518:S2548,L2513,FALSE))</f>
        <v>0</v>
      </c>
      <c r="M2514" s="25">
        <f t="shared" ref="M2514" si="4181">IF(M2513=0,0,VLOOKUP(J2514,J2518:S2548,M2513,FALSE))</f>
        <v>0</v>
      </c>
      <c r="N2514" s="25">
        <f t="shared" ref="N2514" si="4182">IF(N2513=0,0,VLOOKUP(J2514,J2518:S2548,N2513,FALSE))</f>
        <v>0</v>
      </c>
      <c r="O2514" s="25">
        <f t="shared" ref="O2514" si="4183">IF(O2513=0,0,VLOOKUP(J2514,J2518:S2548,O2513,FALSE))</f>
        <v>0</v>
      </c>
      <c r="P2514" s="25">
        <f t="shared" ref="P2514" si="4184">IF(P2513=0,0,VLOOKUP(J2514,J2518:S2548,P2513,FALSE))</f>
        <v>0</v>
      </c>
      <c r="Q2514" s="25">
        <f t="shared" ref="Q2514" si="4185">IF(Q2513=0,0,VLOOKUP(J2514,J2518:S2548,Q2513,FALSE))</f>
        <v>0</v>
      </c>
      <c r="R2514" s="25">
        <f t="shared" ref="R2514" si="4186">IF(R2513=0,0,VLOOKUP(J2514,J2518:S2548,R2513,FALSE))</f>
        <v>0.99269164246171471</v>
      </c>
      <c r="S2514" s="25">
        <f t="shared" ref="S2514" si="4187">IF(S2513=0,0,VLOOKUP(J2514,J2518:S2548,S2513,FALSE))</f>
        <v>0.23972565791936518</v>
      </c>
      <c r="T2514" s="9"/>
      <c r="U2514" s="1">
        <f t="shared" si="4078"/>
        <v>58</v>
      </c>
      <c r="V2514" s="1">
        <f t="shared" si="4079"/>
        <v>205</v>
      </c>
    </row>
    <row r="2515" spans="1:22" x14ac:dyDescent="0.3">
      <c r="A2515" s="1">
        <f t="shared" si="4164"/>
        <v>58206</v>
      </c>
      <c r="B2515" s="96" t="s">
        <v>15</v>
      </c>
      <c r="C2515" s="97"/>
      <c r="D2515" s="141" t="s">
        <v>327</v>
      </c>
      <c r="E2515" s="141"/>
      <c r="F2515" s="141"/>
      <c r="G2515" s="141"/>
      <c r="H2515" s="141"/>
      <c r="J2515" s="24" t="str">
        <f t="shared" ref="J2515" si="4188">CONCATENATE(J2513,2)</f>
        <v>32</v>
      </c>
      <c r="K2515" s="6">
        <f t="shared" ref="K2515" si="4189">IF(K2513=0,0,VLOOKUP(J2515,J2518:S2548,K2513,FALSE))</f>
        <v>0</v>
      </c>
      <c r="L2515" s="6">
        <f t="shared" ref="L2515" si="4190">IF(L2513=0,0,VLOOKUP(J2515,J2518:S2548,L2513,FALSE))</f>
        <v>0</v>
      </c>
      <c r="M2515" s="6">
        <f t="shared" ref="M2515" si="4191">IF(M2513=0,0,VLOOKUP(J2515,J2518:S2548,M2513,FALSE))</f>
        <v>0</v>
      </c>
      <c r="N2515" s="6">
        <f t="shared" ref="N2515" si="4192">IF(N2513=0,0,VLOOKUP(J2515,J2518:S2548,N2513,FALSE))</f>
        <v>0</v>
      </c>
      <c r="O2515" s="6">
        <f t="shared" ref="O2515" si="4193">IF(O2513=0,0,VLOOKUP(J2515,J2518:S2548,O2513,FALSE))</f>
        <v>0</v>
      </c>
      <c r="P2515" s="6">
        <f t="shared" ref="P2515" si="4194">IF(P2513=0,0,VLOOKUP(J2515,J2518:S2548,P2513,FALSE))</f>
        <v>0</v>
      </c>
      <c r="Q2515" s="6">
        <f t="shared" ref="Q2515" si="4195">IF(Q2513=0,0,VLOOKUP(J2515,J2518:S2548,Q2513,FALSE))</f>
        <v>0</v>
      </c>
      <c r="R2515" s="6">
        <f t="shared" ref="R2515" si="4196">IF(R2513=0,0,VLOOKUP(J2515,J2518:S2548,R2513,FALSE))</f>
        <v>4.9356357430885766E-3</v>
      </c>
      <c r="S2515" s="6">
        <f t="shared" ref="S2515" si="4197">IF(S2513=0,0,VLOOKUP(J2515,J2518:S2548,S2513,FALSE))</f>
        <v>0.27575108754830069</v>
      </c>
      <c r="T2515" s="9"/>
      <c r="U2515" s="1">
        <f t="shared" si="4078"/>
        <v>58</v>
      </c>
      <c r="V2515" s="1">
        <f t="shared" si="4079"/>
        <v>206</v>
      </c>
    </row>
    <row r="2516" spans="1:22" x14ac:dyDescent="0.3">
      <c r="A2516" s="1">
        <f t="shared" si="4164"/>
        <v>58207</v>
      </c>
      <c r="B2516" s="96" t="s">
        <v>16</v>
      </c>
      <c r="C2516" s="97"/>
      <c r="D2516" s="121">
        <v>45838</v>
      </c>
      <c r="E2516" s="121"/>
      <c r="F2516" s="121"/>
      <c r="G2516" s="121"/>
      <c r="H2516" s="121"/>
      <c r="J2516" s="24" t="str">
        <f t="shared" ref="J2516" si="4198">CONCATENATE(J2513,3)</f>
        <v>33</v>
      </c>
      <c r="K2516" s="6"/>
      <c r="L2516" s="6"/>
      <c r="M2516" s="6"/>
      <c r="N2516" s="6" t="s">
        <v>43</v>
      </c>
      <c r="O2516" s="25">
        <f t="shared" ref="O2516" si="4199">J2513-2</f>
        <v>1</v>
      </c>
      <c r="P2516" s="6" t="s">
        <v>44</v>
      </c>
      <c r="Q2516" s="25">
        <f t="shared" ref="Q2516" si="4200">VLOOKUP(J2516,J2518:S2548,3,FALSE)</f>
        <v>0.21079970636743184</v>
      </c>
      <c r="R2516" s="6" t="s">
        <v>45</v>
      </c>
      <c r="S2516" s="6">
        <f t="shared" ref="S2516" si="4201">VLOOKUP(J2516,J2518:S2548,2,FALSE)</f>
        <v>0.99997528009858661</v>
      </c>
      <c r="T2516" s="9"/>
      <c r="U2516" s="1">
        <f t="shared" si="4078"/>
        <v>58</v>
      </c>
      <c r="V2516" s="1">
        <f t="shared" si="4079"/>
        <v>207</v>
      </c>
    </row>
    <row r="2517" spans="1:22" x14ac:dyDescent="0.3">
      <c r="A2517" s="1">
        <f t="shared" si="4164"/>
        <v>58208</v>
      </c>
      <c r="B2517" s="96" t="s">
        <v>17</v>
      </c>
      <c r="C2517" s="97"/>
      <c r="D2517" s="122">
        <v>46203</v>
      </c>
      <c r="E2517" s="122"/>
      <c r="F2517" s="122"/>
      <c r="G2517" s="122"/>
      <c r="H2517" s="122"/>
      <c r="K2517" s="1">
        <v>3</v>
      </c>
      <c r="L2517" s="1">
        <v>3</v>
      </c>
      <c r="Q2517" s="26"/>
      <c r="R2517" s="26"/>
      <c r="S2517" s="26"/>
      <c r="T2517" s="9"/>
      <c r="U2517" s="1">
        <f t="shared" si="4078"/>
        <v>58</v>
      </c>
      <c r="V2517" s="1">
        <f t="shared" si="4079"/>
        <v>208</v>
      </c>
    </row>
    <row r="2518" spans="1:22" x14ac:dyDescent="0.3">
      <c r="A2518" s="1">
        <f t="shared" si="4164"/>
        <v>58209</v>
      </c>
      <c r="B2518" s="77" t="s">
        <v>19</v>
      </c>
      <c r="C2518" s="78"/>
      <c r="D2518" s="17">
        <v>0.01</v>
      </c>
      <c r="E2518" s="79" t="s">
        <v>40</v>
      </c>
      <c r="F2518" s="80"/>
      <c r="G2518" s="81"/>
      <c r="H2518" s="18" t="s">
        <v>72</v>
      </c>
      <c r="J2518" s="24" t="str">
        <f t="shared" ref="J2518" si="4202">CONCATENATE(K2517,1)</f>
        <v>31</v>
      </c>
      <c r="K2518" s="6">
        <f t="array" ref="K2518:L2520">LINEST(B2526:B2528,C2526:C2528^{1},TRUE,TRUE)</f>
        <v>0.99269164246171471</v>
      </c>
      <c r="L2518" s="6">
        <v>0.23972565791936518</v>
      </c>
      <c r="Q2518" s="9"/>
      <c r="R2518" s="9"/>
      <c r="S2518" s="9"/>
      <c r="T2518" s="9"/>
      <c r="U2518" s="1">
        <f t="shared" si="4078"/>
        <v>58</v>
      </c>
      <c r="V2518" s="1">
        <f t="shared" si="4079"/>
        <v>209</v>
      </c>
    </row>
    <row r="2519" spans="1:22" x14ac:dyDescent="0.3">
      <c r="A2519" s="1">
        <f t="shared" si="4164"/>
        <v>58210</v>
      </c>
      <c r="B2519" s="77" t="s">
        <v>41</v>
      </c>
      <c r="C2519" s="78"/>
      <c r="D2519" s="23">
        <f t="shared" ref="D2519" si="4203">MIN(B2526:B2535)</f>
        <v>20.03</v>
      </c>
      <c r="E2519" s="20" t="s">
        <v>18</v>
      </c>
      <c r="F2519" s="19">
        <f t="shared" ref="F2519" si="4204">MAX(B2526:B2535)</f>
        <v>79.989999999999995</v>
      </c>
      <c r="G2519" s="21" t="str">
        <f t="shared" ref="G2519" si="4205">IF(H2518="","",H2518)</f>
        <v>%ur</v>
      </c>
      <c r="H2519" s="22"/>
      <c r="J2519" s="24" t="str">
        <f t="shared" ref="J2519" si="4206">CONCATENATE(K2517,2)</f>
        <v>32</v>
      </c>
      <c r="K2519" s="6">
        <v>4.9356357430885766E-3</v>
      </c>
      <c r="L2519" s="6">
        <v>0.27575108754830069</v>
      </c>
      <c r="Q2519" s="9"/>
      <c r="R2519" s="9"/>
      <c r="S2519" s="9"/>
      <c r="T2519" s="9"/>
      <c r="U2519" s="1">
        <f t="shared" si="4078"/>
        <v>58</v>
      </c>
      <c r="V2519" s="1">
        <f t="shared" si="4079"/>
        <v>210</v>
      </c>
    </row>
    <row r="2520" spans="1:22" x14ac:dyDescent="0.3">
      <c r="A2520" s="1">
        <f t="shared" si="4164"/>
        <v>58211</v>
      </c>
      <c r="J2520" s="24" t="str">
        <f t="shared" ref="J2520" si="4207">CONCATENATE(K2517,3)</f>
        <v>33</v>
      </c>
      <c r="K2520" s="6">
        <v>0.99997528009858661</v>
      </c>
      <c r="L2520" s="6">
        <v>0.21079970636743184</v>
      </c>
      <c r="Q2520" s="9"/>
      <c r="R2520" s="9"/>
      <c r="S2520" s="9"/>
      <c r="T2520" s="9"/>
      <c r="U2520" s="1">
        <f t="shared" si="4078"/>
        <v>58</v>
      </c>
      <c r="V2520" s="1">
        <f t="shared" si="4079"/>
        <v>211</v>
      </c>
    </row>
    <row r="2521" spans="1:22" x14ac:dyDescent="0.3">
      <c r="A2521" s="1">
        <f t="shared" si="4164"/>
        <v>58212</v>
      </c>
      <c r="B2521" s="82" t="s">
        <v>20</v>
      </c>
      <c r="C2521" s="83"/>
      <c r="D2521" s="83"/>
      <c r="E2521" s="83"/>
      <c r="F2521" s="84"/>
      <c r="G2521" s="85" t="s">
        <v>31</v>
      </c>
      <c r="H2521" s="86"/>
      <c r="K2521" s="1">
        <v>4</v>
      </c>
      <c r="L2521" s="1">
        <v>4</v>
      </c>
      <c r="M2521" s="1">
        <v>4</v>
      </c>
      <c r="Q2521" s="9"/>
      <c r="R2521" s="9"/>
      <c r="S2521" s="9"/>
      <c r="T2521" s="9"/>
      <c r="U2521" s="1">
        <f t="shared" si="4078"/>
        <v>58</v>
      </c>
      <c r="V2521" s="1">
        <f t="shared" si="4079"/>
        <v>212</v>
      </c>
    </row>
    <row r="2522" spans="1:22" x14ac:dyDescent="0.3">
      <c r="A2522" s="1">
        <f t="shared" si="4164"/>
        <v>58213</v>
      </c>
      <c r="B2522" s="82" t="s">
        <v>30</v>
      </c>
      <c r="C2522" s="83"/>
      <c r="D2522" s="84"/>
      <c r="E2522" s="82" t="str">
        <f t="shared" ref="E2522" si="4208">D2515</f>
        <v>E0400A/25</v>
      </c>
      <c r="F2522" s="84"/>
      <c r="G2522" s="6" t="s">
        <v>32</v>
      </c>
      <c r="H2522" s="7" t="s">
        <v>235</v>
      </c>
      <c r="J2522" s="24" t="str">
        <f t="shared" ref="J2522" si="4209">CONCATENATE(K2521,1)</f>
        <v>41</v>
      </c>
      <c r="K2522" s="6" t="e">
        <f t="array" ref="K2522:M2524">LINEST(B2526:B2529,C2526:C2529^{1,2},TRUE,TRUE)</f>
        <v>#VALUE!</v>
      </c>
      <c r="L2522" s="6" t="e">
        <v>#VALUE!</v>
      </c>
      <c r="M2522" s="6" t="e">
        <v>#VALUE!</v>
      </c>
      <c r="Q2522" s="9"/>
      <c r="R2522" s="9"/>
      <c r="S2522" s="9"/>
      <c r="T2522" s="9"/>
      <c r="U2522" s="1">
        <f t="shared" si="4078"/>
        <v>58</v>
      </c>
      <c r="V2522" s="1">
        <f t="shared" si="4079"/>
        <v>213</v>
      </c>
    </row>
    <row r="2523" spans="1:22" x14ac:dyDescent="0.3">
      <c r="A2523" s="1">
        <f t="shared" si="4164"/>
        <v>58214</v>
      </c>
      <c r="B2523" s="2" t="s">
        <v>21</v>
      </c>
      <c r="C2523" s="2" t="s">
        <v>22</v>
      </c>
      <c r="D2523" s="2" t="s">
        <v>23</v>
      </c>
      <c r="E2523" s="2"/>
      <c r="F2523" s="2" t="s">
        <v>28</v>
      </c>
      <c r="G2523" s="2" t="s">
        <v>21</v>
      </c>
      <c r="H2523" s="2" t="s">
        <v>22</v>
      </c>
      <c r="J2523" s="24" t="str">
        <f t="shared" ref="J2523" si="4210">CONCATENATE(K2521,2)</f>
        <v>42</v>
      </c>
      <c r="K2523" s="6" t="e">
        <v>#VALUE!</v>
      </c>
      <c r="L2523" s="6" t="e">
        <v>#VALUE!</v>
      </c>
      <c r="M2523" s="6" t="e">
        <v>#VALUE!</v>
      </c>
      <c r="Q2523" s="9"/>
      <c r="R2523" s="9"/>
      <c r="S2523" s="9"/>
      <c r="T2523" s="9"/>
      <c r="U2523" s="1">
        <f t="shared" ref="U2523:U2586" si="4211">U2522</f>
        <v>58</v>
      </c>
      <c r="V2523" s="1">
        <f t="shared" ref="V2523:V2586" si="4212">V2522+1</f>
        <v>214</v>
      </c>
    </row>
    <row r="2524" spans="1:22" x14ac:dyDescent="0.3">
      <c r="A2524" s="1">
        <f t="shared" si="4164"/>
        <v>58215</v>
      </c>
      <c r="B2524" s="2" t="s">
        <v>24</v>
      </c>
      <c r="C2524" s="2" t="s">
        <v>25</v>
      </c>
      <c r="D2524" s="2" t="s">
        <v>26</v>
      </c>
      <c r="E2524" s="2" t="s">
        <v>27</v>
      </c>
      <c r="F2524" s="2" t="s">
        <v>29</v>
      </c>
      <c r="G2524" s="2" t="s">
        <v>24</v>
      </c>
      <c r="H2524" s="2" t="s">
        <v>25</v>
      </c>
      <c r="J2524" s="24" t="str">
        <f t="shared" ref="J2524" si="4213">CONCATENATE(K2521,3)</f>
        <v>43</v>
      </c>
      <c r="K2524" s="6" t="e">
        <v>#VALUE!</v>
      </c>
      <c r="L2524" s="6" t="e">
        <v>#VALUE!</v>
      </c>
      <c r="M2524" s="6" t="e">
        <v>#VALUE!</v>
      </c>
      <c r="Q2524" s="9"/>
      <c r="R2524" s="9"/>
      <c r="S2524" s="9"/>
      <c r="T2524" s="9"/>
      <c r="U2524" s="1">
        <f t="shared" si="4211"/>
        <v>58</v>
      </c>
      <c r="V2524" s="1">
        <f t="shared" si="4212"/>
        <v>215</v>
      </c>
    </row>
    <row r="2525" spans="1:22" x14ac:dyDescent="0.3">
      <c r="A2525" s="1">
        <f t="shared" si="4164"/>
        <v>58216</v>
      </c>
      <c r="B2525" s="3" t="str">
        <f t="shared" ref="B2525" si="4214">H2518</f>
        <v>%ur</v>
      </c>
      <c r="C2525" s="3" t="str">
        <f t="shared" ref="C2525" si="4215">B2525</f>
        <v>%ur</v>
      </c>
      <c r="D2525" s="3" t="str">
        <f t="shared" ref="D2525" si="4216">C2525</f>
        <v>%ur</v>
      </c>
      <c r="E2525" s="3"/>
      <c r="F2525" s="3"/>
      <c r="G2525" s="3" t="str">
        <f t="shared" ref="G2525" si="4217">D2525</f>
        <v>%ur</v>
      </c>
      <c r="H2525" s="3" t="str">
        <f t="shared" ref="H2525" si="4218">G2525</f>
        <v>%ur</v>
      </c>
      <c r="K2525" s="1">
        <v>5</v>
      </c>
      <c r="L2525" s="1">
        <v>5</v>
      </c>
      <c r="M2525" s="1">
        <v>5</v>
      </c>
      <c r="N2525" s="1">
        <v>5</v>
      </c>
      <c r="Q2525" s="9"/>
      <c r="R2525" s="9"/>
      <c r="S2525" s="9"/>
      <c r="T2525" s="9"/>
      <c r="U2525" s="1">
        <f t="shared" si="4211"/>
        <v>58</v>
      </c>
      <c r="V2525" s="1">
        <f t="shared" si="4212"/>
        <v>216</v>
      </c>
    </row>
    <row r="2526" spans="1:22" x14ac:dyDescent="0.3">
      <c r="A2526" s="1">
        <f t="shared" si="4164"/>
        <v>58217</v>
      </c>
      <c r="B2526" s="4">
        <v>20.03</v>
      </c>
      <c r="C2526" s="4">
        <v>19.850000000000001</v>
      </c>
      <c r="D2526" s="4">
        <v>0.38</v>
      </c>
      <c r="E2526" s="4">
        <v>2.0099999999999998</v>
      </c>
      <c r="F2526" s="14">
        <v>257</v>
      </c>
      <c r="G2526" s="42">
        <v>20</v>
      </c>
      <c r="H2526" s="42">
        <v>19.75</v>
      </c>
      <c r="J2526" s="24" t="str">
        <f t="shared" ref="J2526" si="4219">CONCATENATE(K2525,1)</f>
        <v>51</v>
      </c>
      <c r="K2526" s="6" t="e">
        <f t="array" ref="K2526:N2528">LINEST(B2526:B2530,C2526:C2530^{1,2,3},TRUE,TRUE)</f>
        <v>#VALUE!</v>
      </c>
      <c r="L2526" s="6" t="e">
        <v>#VALUE!</v>
      </c>
      <c r="M2526" s="6" t="e">
        <v>#VALUE!</v>
      </c>
      <c r="N2526" s="6" t="e">
        <v>#VALUE!</v>
      </c>
      <c r="Q2526" s="9"/>
      <c r="R2526" s="9"/>
      <c r="S2526" s="9"/>
      <c r="T2526" s="9"/>
      <c r="U2526" s="1">
        <f t="shared" si="4211"/>
        <v>58</v>
      </c>
      <c r="V2526" s="1">
        <f t="shared" si="4212"/>
        <v>217</v>
      </c>
    </row>
    <row r="2527" spans="1:22" x14ac:dyDescent="0.3">
      <c r="A2527" s="1">
        <f t="shared" si="4164"/>
        <v>58218</v>
      </c>
      <c r="B2527" s="4">
        <v>50</v>
      </c>
      <c r="C2527" s="4">
        <v>50.3</v>
      </c>
      <c r="D2527" s="4">
        <v>0.63</v>
      </c>
      <c r="E2527" s="4">
        <v>2.02</v>
      </c>
      <c r="F2527" s="14">
        <v>122</v>
      </c>
      <c r="G2527" s="42">
        <v>49.99</v>
      </c>
      <c r="H2527" s="42">
        <v>50.33</v>
      </c>
      <c r="J2527" s="24" t="str">
        <f t="shared" ref="J2527" si="4220">CONCATENATE(K2525,2)</f>
        <v>52</v>
      </c>
      <c r="K2527" s="6" t="e">
        <v>#VALUE!</v>
      </c>
      <c r="L2527" s="6" t="e">
        <v>#VALUE!</v>
      </c>
      <c r="M2527" s="6" t="e">
        <v>#VALUE!</v>
      </c>
      <c r="N2527" s="6" t="e">
        <v>#VALUE!</v>
      </c>
      <c r="T2527" s="9"/>
      <c r="U2527" s="1">
        <f t="shared" si="4211"/>
        <v>58</v>
      </c>
      <c r="V2527" s="1">
        <f t="shared" si="4212"/>
        <v>218</v>
      </c>
    </row>
    <row r="2528" spans="1:22" x14ac:dyDescent="0.3">
      <c r="A2528" s="1">
        <f t="shared" si="4164"/>
        <v>58219</v>
      </c>
      <c r="B2528" s="4">
        <v>79.989999999999995</v>
      </c>
      <c r="C2528" s="4">
        <v>80.25</v>
      </c>
      <c r="D2528" s="4">
        <v>0.91</v>
      </c>
      <c r="E2528" s="4">
        <v>2.02</v>
      </c>
      <c r="F2528" s="14">
        <v>103</v>
      </c>
      <c r="G2528" s="42">
        <v>80.03</v>
      </c>
      <c r="H2528" s="42">
        <v>80.23</v>
      </c>
      <c r="J2528" s="24" t="str">
        <f t="shared" ref="J2528" si="4221">CONCATENATE(K2525,3)</f>
        <v>53</v>
      </c>
      <c r="K2528" s="6" t="e">
        <v>#VALUE!</v>
      </c>
      <c r="L2528" s="6" t="e">
        <v>#VALUE!</v>
      </c>
      <c r="M2528" s="6" t="e">
        <v>#VALUE!</v>
      </c>
      <c r="N2528" s="6" t="e">
        <v>#VALUE!</v>
      </c>
      <c r="T2528" s="9"/>
      <c r="U2528" s="1">
        <f t="shared" si="4211"/>
        <v>58</v>
      </c>
      <c r="V2528" s="1">
        <f t="shared" si="4212"/>
        <v>219</v>
      </c>
    </row>
    <row r="2529" spans="1:22" x14ac:dyDescent="0.3">
      <c r="A2529" s="1">
        <f t="shared" si="4164"/>
        <v>58220</v>
      </c>
      <c r="B2529" s="4"/>
      <c r="C2529" s="4"/>
      <c r="D2529" s="4"/>
      <c r="E2529" s="4"/>
      <c r="F2529" s="14"/>
      <c r="G2529" s="42"/>
      <c r="H2529" s="42"/>
      <c r="K2529" s="1">
        <v>6</v>
      </c>
      <c r="L2529" s="1">
        <v>6</v>
      </c>
      <c r="M2529" s="1">
        <v>6</v>
      </c>
      <c r="N2529" s="1">
        <v>6</v>
      </c>
      <c r="O2529" s="1">
        <v>6</v>
      </c>
      <c r="T2529" s="9"/>
      <c r="U2529" s="1">
        <f t="shared" si="4211"/>
        <v>58</v>
      </c>
      <c r="V2529" s="1">
        <f t="shared" si="4212"/>
        <v>220</v>
      </c>
    </row>
    <row r="2530" spans="1:22" x14ac:dyDescent="0.3">
      <c r="A2530" s="1">
        <f t="shared" si="4164"/>
        <v>58221</v>
      </c>
      <c r="B2530" s="4"/>
      <c r="C2530" s="4"/>
      <c r="D2530" s="4"/>
      <c r="E2530" s="4"/>
      <c r="F2530" s="14"/>
      <c r="G2530" s="8"/>
      <c r="H2530" s="7"/>
      <c r="J2530" s="24" t="str">
        <f t="shared" ref="J2530" si="4222">CONCATENATE(K2529,1)</f>
        <v>61</v>
      </c>
      <c r="K2530" s="6" t="e">
        <f t="array" ref="K2530:O2532">LINEST(B2526:B2531,C2526:C2531^{1,2,3,4},TRUE,TRUE)</f>
        <v>#VALUE!</v>
      </c>
      <c r="L2530" s="6" t="e">
        <v>#VALUE!</v>
      </c>
      <c r="M2530" s="6" t="e">
        <v>#VALUE!</v>
      </c>
      <c r="N2530" s="6" t="e">
        <v>#VALUE!</v>
      </c>
      <c r="O2530" s="6" t="e">
        <v>#VALUE!</v>
      </c>
      <c r="T2530" s="9"/>
      <c r="U2530" s="1">
        <f t="shared" si="4211"/>
        <v>58</v>
      </c>
      <c r="V2530" s="1">
        <f t="shared" si="4212"/>
        <v>221</v>
      </c>
    </row>
    <row r="2531" spans="1:22" x14ac:dyDescent="0.3">
      <c r="A2531" s="1">
        <f t="shared" si="4164"/>
        <v>58222</v>
      </c>
      <c r="B2531" s="4"/>
      <c r="C2531" s="4"/>
      <c r="D2531" s="4"/>
      <c r="E2531" s="4"/>
      <c r="F2531" s="14"/>
      <c r="G2531" s="8"/>
      <c r="H2531" s="7"/>
      <c r="J2531" s="24" t="str">
        <f t="shared" ref="J2531" si="4223">CONCATENATE(K2529,2)</f>
        <v>62</v>
      </c>
      <c r="K2531" s="6" t="e">
        <v>#VALUE!</v>
      </c>
      <c r="L2531" s="6" t="e">
        <v>#VALUE!</v>
      </c>
      <c r="M2531" s="6" t="e">
        <v>#VALUE!</v>
      </c>
      <c r="N2531" s="6" t="e">
        <v>#VALUE!</v>
      </c>
      <c r="O2531" s="6" t="e">
        <v>#VALUE!</v>
      </c>
      <c r="T2531" s="9"/>
      <c r="U2531" s="1">
        <f t="shared" si="4211"/>
        <v>58</v>
      </c>
      <c r="V2531" s="1">
        <f t="shared" si="4212"/>
        <v>222</v>
      </c>
    </row>
    <row r="2532" spans="1:22" x14ac:dyDescent="0.3">
      <c r="A2532" s="1">
        <f t="shared" si="4164"/>
        <v>58223</v>
      </c>
      <c r="B2532" s="4"/>
      <c r="C2532" s="4"/>
      <c r="D2532" s="4"/>
      <c r="E2532" s="4"/>
      <c r="F2532" s="14"/>
      <c r="G2532" s="8"/>
      <c r="H2532" s="7"/>
      <c r="J2532" s="24" t="str">
        <f t="shared" ref="J2532" si="4224">CONCATENATE(K2529,3)</f>
        <v>63</v>
      </c>
      <c r="K2532" s="6" t="e">
        <v>#VALUE!</v>
      </c>
      <c r="L2532" s="6" t="e">
        <v>#VALUE!</v>
      </c>
      <c r="M2532" s="6" t="e">
        <v>#VALUE!</v>
      </c>
      <c r="N2532" s="6" t="e">
        <v>#VALUE!</v>
      </c>
      <c r="O2532" s="6" t="e">
        <v>#VALUE!</v>
      </c>
      <c r="T2532" s="9"/>
      <c r="U2532" s="1">
        <f t="shared" si="4211"/>
        <v>58</v>
      </c>
      <c r="V2532" s="1">
        <f t="shared" si="4212"/>
        <v>223</v>
      </c>
    </row>
    <row r="2533" spans="1:22" x14ac:dyDescent="0.3">
      <c r="A2533" s="1">
        <f t="shared" si="4164"/>
        <v>58224</v>
      </c>
      <c r="B2533" s="4"/>
      <c r="C2533" s="4"/>
      <c r="D2533" s="4"/>
      <c r="E2533" s="4"/>
      <c r="F2533" s="14"/>
      <c r="G2533" s="8"/>
      <c r="H2533" s="7"/>
      <c r="K2533" s="1">
        <v>7</v>
      </c>
      <c r="L2533" s="1">
        <v>7</v>
      </c>
      <c r="M2533" s="1">
        <v>7</v>
      </c>
      <c r="N2533" s="1">
        <v>7</v>
      </c>
      <c r="O2533" s="1">
        <v>7</v>
      </c>
      <c r="P2533" s="1">
        <v>7</v>
      </c>
      <c r="T2533" s="9"/>
      <c r="U2533" s="1">
        <f t="shared" si="4211"/>
        <v>58</v>
      </c>
      <c r="V2533" s="1">
        <f t="shared" si="4212"/>
        <v>224</v>
      </c>
    </row>
    <row r="2534" spans="1:22" x14ac:dyDescent="0.3">
      <c r="A2534" s="1">
        <f t="shared" si="4164"/>
        <v>58225</v>
      </c>
      <c r="B2534" s="4"/>
      <c r="C2534" s="4"/>
      <c r="D2534" s="4"/>
      <c r="E2534" s="4"/>
      <c r="F2534" s="14"/>
      <c r="G2534" s="8"/>
      <c r="H2534" s="7"/>
      <c r="J2534" s="24" t="str">
        <f t="shared" ref="J2534" si="4225">CONCATENATE(K2533,1)</f>
        <v>71</v>
      </c>
      <c r="K2534" s="6" t="e">
        <f t="array" ref="K2534:P2536">LINEST(B2526:B2532,C2526:C2532^{1,2,3,4,5},TRUE,TRUE)</f>
        <v>#VALUE!</v>
      </c>
      <c r="L2534" s="6" t="e">
        <v>#VALUE!</v>
      </c>
      <c r="M2534" s="6" t="e">
        <v>#VALUE!</v>
      </c>
      <c r="N2534" s="6" t="e">
        <v>#VALUE!</v>
      </c>
      <c r="O2534" s="6" t="e">
        <v>#VALUE!</v>
      </c>
      <c r="P2534" s="6" t="e">
        <v>#VALUE!</v>
      </c>
      <c r="T2534" s="9"/>
      <c r="U2534" s="1">
        <f t="shared" si="4211"/>
        <v>58</v>
      </c>
      <c r="V2534" s="1">
        <f t="shared" si="4212"/>
        <v>225</v>
      </c>
    </row>
    <row r="2535" spans="1:22" x14ac:dyDescent="0.3">
      <c r="A2535" s="1">
        <f t="shared" si="4164"/>
        <v>58226</v>
      </c>
      <c r="B2535" s="4"/>
      <c r="C2535" s="4"/>
      <c r="D2535" s="4"/>
      <c r="E2535" s="4"/>
      <c r="F2535" s="14"/>
      <c r="G2535" s="8"/>
      <c r="H2535" s="7"/>
      <c r="J2535" s="24" t="str">
        <f t="shared" ref="J2535" si="4226">CONCATENATE(K2533,2)</f>
        <v>72</v>
      </c>
      <c r="K2535" s="6" t="e">
        <v>#VALUE!</v>
      </c>
      <c r="L2535" s="6" t="e">
        <v>#VALUE!</v>
      </c>
      <c r="M2535" s="6" t="e">
        <v>#VALUE!</v>
      </c>
      <c r="N2535" s="6" t="e">
        <v>#VALUE!</v>
      </c>
      <c r="O2535" s="6" t="e">
        <v>#VALUE!</v>
      </c>
      <c r="P2535" s="6" t="e">
        <v>#VALUE!</v>
      </c>
      <c r="T2535" s="9"/>
      <c r="U2535" s="1">
        <f t="shared" si="4211"/>
        <v>58</v>
      </c>
      <c r="V2535" s="1">
        <f t="shared" si="4212"/>
        <v>226</v>
      </c>
    </row>
    <row r="2536" spans="1:22" x14ac:dyDescent="0.3">
      <c r="A2536" s="1">
        <f t="shared" si="4164"/>
        <v>58227</v>
      </c>
      <c r="B2536" s="9"/>
      <c r="C2536" s="9"/>
      <c r="D2536" s="9"/>
      <c r="E2536" s="9"/>
      <c r="F2536" s="9"/>
      <c r="G2536" s="9"/>
      <c r="H2536" s="9"/>
      <c r="J2536" s="24" t="str">
        <f t="shared" ref="J2536" si="4227">CONCATENATE(K2533,3)</f>
        <v>73</v>
      </c>
      <c r="K2536" s="6" t="e">
        <v>#VALUE!</v>
      </c>
      <c r="L2536" s="6" t="e">
        <v>#VALUE!</v>
      </c>
      <c r="M2536" s="6" t="e">
        <v>#VALUE!</v>
      </c>
      <c r="N2536" s="6" t="e">
        <v>#VALUE!</v>
      </c>
      <c r="O2536" s="6" t="e">
        <v>#VALUE!</v>
      </c>
      <c r="P2536" s="6" t="e">
        <v>#VALUE!</v>
      </c>
      <c r="T2536" s="9"/>
      <c r="U2536" s="1">
        <f t="shared" si="4211"/>
        <v>58</v>
      </c>
      <c r="V2536" s="1">
        <f t="shared" si="4212"/>
        <v>227</v>
      </c>
    </row>
    <row r="2537" spans="1:22" x14ac:dyDescent="0.3">
      <c r="A2537" s="1">
        <f t="shared" si="4164"/>
        <v>58228</v>
      </c>
      <c r="B2537" s="87" t="s">
        <v>33</v>
      </c>
      <c r="C2537" s="88"/>
      <c r="D2537" s="88"/>
      <c r="E2537" s="88"/>
      <c r="F2537" s="88"/>
      <c r="G2537" s="88"/>
      <c r="H2537" s="89"/>
      <c r="K2537" s="1">
        <v>8</v>
      </c>
      <c r="L2537" s="1">
        <v>8</v>
      </c>
      <c r="M2537" s="1">
        <v>8</v>
      </c>
      <c r="N2537" s="1">
        <v>8</v>
      </c>
      <c r="O2537" s="1">
        <v>8</v>
      </c>
      <c r="P2537" s="1">
        <v>8</v>
      </c>
      <c r="Q2537" s="1">
        <v>8</v>
      </c>
      <c r="T2537" s="9"/>
      <c r="U2537" s="1">
        <f t="shared" si="4211"/>
        <v>58</v>
      </c>
      <c r="V2537" s="1">
        <f t="shared" si="4212"/>
        <v>228</v>
      </c>
    </row>
    <row r="2538" spans="1:22" x14ac:dyDescent="0.3">
      <c r="A2538" s="1">
        <f t="shared" si="4164"/>
        <v>58229</v>
      </c>
      <c r="B2538" s="90"/>
      <c r="C2538" s="91"/>
      <c r="D2538" s="91"/>
      <c r="E2538" s="91"/>
      <c r="F2538" s="91"/>
      <c r="G2538" s="91"/>
      <c r="H2538" s="92"/>
      <c r="J2538" s="24" t="str">
        <f t="shared" ref="J2538" si="4228">CONCATENATE(K2537,1)</f>
        <v>81</v>
      </c>
      <c r="K2538" s="6" t="e">
        <f t="array" ref="K2538:Q2540">LINEST(B2526:B2533,C2526:C2533^{1,2,3,4,5,6},TRUE,TRUE)</f>
        <v>#VALUE!</v>
      </c>
      <c r="L2538" s="6" t="e">
        <v>#VALUE!</v>
      </c>
      <c r="M2538" s="6" t="e">
        <v>#VALUE!</v>
      </c>
      <c r="N2538" s="6" t="e">
        <v>#VALUE!</v>
      </c>
      <c r="O2538" s="6" t="e">
        <v>#VALUE!</v>
      </c>
      <c r="P2538" s="6" t="e">
        <v>#VALUE!</v>
      </c>
      <c r="Q2538" s="6" t="e">
        <v>#VALUE!</v>
      </c>
      <c r="T2538" s="9"/>
      <c r="U2538" s="1">
        <f t="shared" si="4211"/>
        <v>58</v>
      </c>
      <c r="V2538" s="1">
        <f t="shared" si="4212"/>
        <v>229</v>
      </c>
    </row>
    <row r="2539" spans="1:22" x14ac:dyDescent="0.3">
      <c r="A2539" s="1">
        <f t="shared" si="4164"/>
        <v>58230</v>
      </c>
      <c r="B2539" s="93"/>
      <c r="C2539" s="94"/>
      <c r="D2539" s="94"/>
      <c r="E2539" s="94"/>
      <c r="F2539" s="94"/>
      <c r="G2539" s="94"/>
      <c r="H2539" s="95"/>
      <c r="J2539" s="24" t="str">
        <f t="shared" ref="J2539" si="4229">CONCATENATE(K2537,2)</f>
        <v>82</v>
      </c>
      <c r="K2539" s="6" t="e">
        <v>#VALUE!</v>
      </c>
      <c r="L2539" s="6" t="e">
        <v>#VALUE!</v>
      </c>
      <c r="M2539" s="6" t="e">
        <v>#VALUE!</v>
      </c>
      <c r="N2539" s="6" t="e">
        <v>#VALUE!</v>
      </c>
      <c r="O2539" s="6" t="e">
        <v>#VALUE!</v>
      </c>
      <c r="P2539" s="6" t="e">
        <v>#VALUE!</v>
      </c>
      <c r="Q2539" s="6" t="e">
        <v>#VALUE!</v>
      </c>
      <c r="T2539" s="9"/>
      <c r="U2539" s="1">
        <f t="shared" si="4211"/>
        <v>58</v>
      </c>
      <c r="V2539" s="1">
        <f t="shared" si="4212"/>
        <v>230</v>
      </c>
    </row>
    <row r="2540" spans="1:22" x14ac:dyDescent="0.3">
      <c r="A2540" s="1">
        <f t="shared" si="4164"/>
        <v>58231</v>
      </c>
      <c r="J2540" s="24" t="str">
        <f t="shared" ref="J2540" si="4230">CONCATENATE(K2537,3)</f>
        <v>83</v>
      </c>
      <c r="K2540" s="6" t="e">
        <v>#VALUE!</v>
      </c>
      <c r="L2540" s="6" t="e">
        <v>#VALUE!</v>
      </c>
      <c r="M2540" s="6" t="e">
        <v>#VALUE!</v>
      </c>
      <c r="N2540" s="6" t="e">
        <v>#VALUE!</v>
      </c>
      <c r="O2540" s="6" t="e">
        <v>#VALUE!</v>
      </c>
      <c r="P2540" s="6" t="e">
        <v>#VALUE!</v>
      </c>
      <c r="Q2540" s="6" t="e">
        <v>#VALUE!</v>
      </c>
      <c r="T2540" s="9"/>
      <c r="U2540" s="1">
        <f t="shared" si="4211"/>
        <v>58</v>
      </c>
      <c r="V2540" s="1">
        <f t="shared" si="4212"/>
        <v>231</v>
      </c>
    </row>
    <row r="2541" spans="1:22" ht="15" customHeight="1" x14ac:dyDescent="0.3">
      <c r="A2541" s="1">
        <f t="shared" si="4164"/>
        <v>58232</v>
      </c>
      <c r="B2541" s="10" t="s">
        <v>34</v>
      </c>
      <c r="C2541" s="10" t="s">
        <v>35</v>
      </c>
      <c r="D2541" s="10" t="s">
        <v>36</v>
      </c>
      <c r="E2541" s="74" t="s">
        <v>37</v>
      </c>
      <c r="F2541" s="75"/>
      <c r="G2541" s="76"/>
      <c r="K2541" s="1">
        <v>9</v>
      </c>
      <c r="L2541" s="1">
        <v>9</v>
      </c>
      <c r="M2541" s="1">
        <v>9</v>
      </c>
      <c r="N2541" s="1">
        <v>9</v>
      </c>
      <c r="O2541" s="1">
        <v>9</v>
      </c>
      <c r="P2541" s="1">
        <v>9</v>
      </c>
      <c r="Q2541" s="1">
        <v>9</v>
      </c>
      <c r="R2541" s="1">
        <v>9</v>
      </c>
      <c r="T2541" s="9"/>
      <c r="U2541" s="1">
        <f t="shared" si="4211"/>
        <v>58</v>
      </c>
      <c r="V2541" s="1">
        <f t="shared" si="4212"/>
        <v>232</v>
      </c>
    </row>
    <row r="2542" spans="1:22" x14ac:dyDescent="0.3">
      <c r="A2542" s="1">
        <f t="shared" si="4164"/>
        <v>58233</v>
      </c>
      <c r="B2542" s="12">
        <f t="shared" ref="B2542:B2551" si="4231">C2526-B2526</f>
        <v>-0.17999999999999972</v>
      </c>
      <c r="C2542" s="13">
        <f t="shared" ref="C2542:C2551" si="4232">H2526-G2526</f>
        <v>-0.25</v>
      </c>
      <c r="D2542" s="10">
        <f t="shared" ref="D2542:D2551" si="4233">C2542-B2542</f>
        <v>-7.0000000000000284E-2</v>
      </c>
      <c r="E2542" s="11">
        <f t="shared" ref="E2542" si="4234">IF(D2517="","",MAX(F2542,G2542))</f>
        <v>7.0000000000000284E-2</v>
      </c>
      <c r="F2542" s="10">
        <f t="shared" ref="F2542" si="4235">ABS(MIN(D2542:D2551))</f>
        <v>7.0000000000000284E-2</v>
      </c>
      <c r="G2542" s="10">
        <f t="shared" ref="G2542" si="4236">ABS(MAX(D2542:D2551))</f>
        <v>3.9999999999999147E-2</v>
      </c>
      <c r="J2542" s="24" t="str">
        <f t="shared" ref="J2542" si="4237">CONCATENATE(K2541,1)</f>
        <v>91</v>
      </c>
      <c r="K2542" s="6" t="e">
        <f t="array" ref="K2542:R2544">LINEST(B2526:B2534,C2526:C2534^{1,2,3,4,5,6,7},TRUE,TRUE)</f>
        <v>#VALUE!</v>
      </c>
      <c r="L2542" s="6" t="e">
        <v>#VALUE!</v>
      </c>
      <c r="M2542" s="6" t="e">
        <v>#VALUE!</v>
      </c>
      <c r="N2542" s="6" t="e">
        <v>#VALUE!</v>
      </c>
      <c r="O2542" s="6" t="e">
        <v>#VALUE!</v>
      </c>
      <c r="P2542" s="6" t="e">
        <v>#VALUE!</v>
      </c>
      <c r="Q2542" s="6" t="e">
        <v>#VALUE!</v>
      </c>
      <c r="R2542" s="6" t="e">
        <v>#VALUE!</v>
      </c>
      <c r="T2542" s="9"/>
      <c r="U2542" s="1">
        <f t="shared" si="4211"/>
        <v>58</v>
      </c>
      <c r="V2542" s="1">
        <f t="shared" si="4212"/>
        <v>233</v>
      </c>
    </row>
    <row r="2543" spans="1:22" x14ac:dyDescent="0.3">
      <c r="A2543" s="1">
        <f t="shared" si="4164"/>
        <v>58234</v>
      </c>
      <c r="B2543" s="12">
        <f t="shared" si="4231"/>
        <v>0.29999999999999716</v>
      </c>
      <c r="C2543" s="13">
        <f t="shared" si="4232"/>
        <v>0.33999999999999631</v>
      </c>
      <c r="D2543" s="10">
        <f t="shared" si="4233"/>
        <v>3.9999999999999147E-2</v>
      </c>
      <c r="E2543" s="74" t="s">
        <v>38</v>
      </c>
      <c r="F2543" s="75"/>
      <c r="G2543" s="76"/>
      <c r="J2543" s="24" t="str">
        <f t="shared" ref="J2543" si="4238">CONCATENATE(K2541,2)</f>
        <v>92</v>
      </c>
      <c r="K2543" s="6" t="e">
        <v>#VALUE!</v>
      </c>
      <c r="L2543" s="6" t="e">
        <v>#VALUE!</v>
      </c>
      <c r="M2543" s="6" t="e">
        <v>#VALUE!</v>
      </c>
      <c r="N2543" s="6" t="e">
        <v>#VALUE!</v>
      </c>
      <c r="O2543" s="6" t="e">
        <v>#VALUE!</v>
      </c>
      <c r="P2543" s="6" t="e">
        <v>#VALUE!</v>
      </c>
      <c r="Q2543" s="6" t="e">
        <v>#VALUE!</v>
      </c>
      <c r="R2543" s="6" t="e">
        <v>#VALUE!</v>
      </c>
      <c r="T2543" s="9"/>
      <c r="U2543" s="1">
        <f t="shared" si="4211"/>
        <v>58</v>
      </c>
      <c r="V2543" s="1">
        <f t="shared" si="4212"/>
        <v>234</v>
      </c>
    </row>
    <row r="2544" spans="1:22" x14ac:dyDescent="0.3">
      <c r="A2544" s="1">
        <f t="shared" si="4164"/>
        <v>58235</v>
      </c>
      <c r="B2544" s="12">
        <f t="shared" si="4231"/>
        <v>0.26000000000000512</v>
      </c>
      <c r="C2544" s="13">
        <f t="shared" si="4232"/>
        <v>0.20000000000000284</v>
      </c>
      <c r="D2544" s="10">
        <f t="shared" si="4233"/>
        <v>-6.0000000000002274E-2</v>
      </c>
      <c r="E2544" s="11">
        <f t="shared" ref="E2544" si="4239">IF(D2517="","",MAX(F2544,G2544))</f>
        <v>0.29999999999999716</v>
      </c>
      <c r="F2544" s="10">
        <f t="shared" ref="F2544" si="4240">ABS(MIN(B2542:B2551))</f>
        <v>0.17999999999999972</v>
      </c>
      <c r="G2544" s="10">
        <f t="shared" ref="G2544" si="4241">ABS(MAX(B2542:B2551))</f>
        <v>0.29999999999999716</v>
      </c>
      <c r="J2544" s="24" t="str">
        <f t="shared" ref="J2544" si="4242">CONCATENATE(K2541,3)</f>
        <v>93</v>
      </c>
      <c r="K2544" s="6" t="e">
        <v>#VALUE!</v>
      </c>
      <c r="L2544" s="6" t="e">
        <v>#VALUE!</v>
      </c>
      <c r="M2544" s="6" t="e">
        <v>#VALUE!</v>
      </c>
      <c r="N2544" s="6" t="e">
        <v>#VALUE!</v>
      </c>
      <c r="O2544" s="6" t="e">
        <v>#VALUE!</v>
      </c>
      <c r="P2544" s="6" t="e">
        <v>#VALUE!</v>
      </c>
      <c r="Q2544" s="6" t="e">
        <v>#VALUE!</v>
      </c>
      <c r="R2544" s="6" t="e">
        <v>#VALUE!</v>
      </c>
      <c r="T2544" s="9"/>
      <c r="U2544" s="1">
        <f t="shared" si="4211"/>
        <v>58</v>
      </c>
      <c r="V2544" s="1">
        <f t="shared" si="4212"/>
        <v>235</v>
      </c>
    </row>
    <row r="2545" spans="1:22" x14ac:dyDescent="0.3">
      <c r="A2545" s="1">
        <f t="shared" si="4164"/>
        <v>58236</v>
      </c>
      <c r="B2545" s="12">
        <f t="shared" si="4231"/>
        <v>0</v>
      </c>
      <c r="C2545" s="13">
        <f t="shared" si="4232"/>
        <v>0</v>
      </c>
      <c r="D2545" s="10">
        <f t="shared" si="4233"/>
        <v>0</v>
      </c>
      <c r="E2545" s="74" t="s">
        <v>39</v>
      </c>
      <c r="F2545" s="75"/>
      <c r="G2545" s="76"/>
      <c r="K2545" s="1">
        <v>10</v>
      </c>
      <c r="L2545" s="1">
        <v>10</v>
      </c>
      <c r="M2545" s="1">
        <v>10</v>
      </c>
      <c r="N2545" s="1">
        <v>10</v>
      </c>
      <c r="O2545" s="1">
        <v>10</v>
      </c>
      <c r="P2545" s="1">
        <v>10</v>
      </c>
      <c r="Q2545" s="1">
        <v>10</v>
      </c>
      <c r="R2545" s="1">
        <v>10</v>
      </c>
      <c r="S2545" s="1">
        <v>10</v>
      </c>
      <c r="T2545" s="9"/>
      <c r="U2545" s="1">
        <f t="shared" si="4211"/>
        <v>58</v>
      </c>
      <c r="V2545" s="1">
        <f t="shared" si="4212"/>
        <v>236</v>
      </c>
    </row>
    <row r="2546" spans="1:22" x14ac:dyDescent="0.3">
      <c r="A2546" s="1">
        <f t="shared" si="4164"/>
        <v>58237</v>
      </c>
      <c r="B2546" s="12">
        <f t="shared" si="4231"/>
        <v>0</v>
      </c>
      <c r="C2546" s="13">
        <f t="shared" si="4232"/>
        <v>0</v>
      </c>
      <c r="D2546" s="10">
        <f t="shared" si="4233"/>
        <v>0</v>
      </c>
      <c r="E2546" s="11">
        <f t="shared" ref="E2546" si="4243">IF(D2517="","",MAX(F2546,G2546))</f>
        <v>0.91</v>
      </c>
      <c r="F2546" s="10">
        <f t="shared" ref="F2546" si="4244">ABS(MIN(D2526:D2535))</f>
        <v>0.38</v>
      </c>
      <c r="G2546" s="10">
        <f t="shared" ref="G2546" si="4245">ABS(MAX(D2526:D2535))</f>
        <v>0.91</v>
      </c>
      <c r="J2546" s="24" t="str">
        <f t="shared" ref="J2546" si="4246">CONCATENATE(K2545,1)</f>
        <v>101</v>
      </c>
      <c r="K2546" s="6" t="e">
        <f t="array" ref="K2546:S2548">LINEST(B2526:B2535,C2526:C2535^{1,2,3,4,5,6,7,8},TRUE,TRUE)</f>
        <v>#VALUE!</v>
      </c>
      <c r="L2546" s="6" t="e">
        <v>#VALUE!</v>
      </c>
      <c r="M2546" s="6" t="e">
        <v>#VALUE!</v>
      </c>
      <c r="N2546" s="6" t="e">
        <v>#VALUE!</v>
      </c>
      <c r="O2546" s="6" t="e">
        <v>#VALUE!</v>
      </c>
      <c r="P2546" s="6" t="e">
        <v>#VALUE!</v>
      </c>
      <c r="Q2546" s="6" t="e">
        <v>#VALUE!</v>
      </c>
      <c r="R2546" s="6" t="e">
        <v>#VALUE!</v>
      </c>
      <c r="S2546" s="6" t="e">
        <v>#VALUE!</v>
      </c>
      <c r="T2546" s="9"/>
      <c r="U2546" s="1">
        <f t="shared" si="4211"/>
        <v>58</v>
      </c>
      <c r="V2546" s="1">
        <f t="shared" si="4212"/>
        <v>237</v>
      </c>
    </row>
    <row r="2547" spans="1:22" x14ac:dyDescent="0.3">
      <c r="A2547" s="1">
        <f t="shared" si="4164"/>
        <v>58238</v>
      </c>
      <c r="B2547" s="12">
        <f t="shared" si="4231"/>
        <v>0</v>
      </c>
      <c r="C2547" s="13">
        <f t="shared" si="4232"/>
        <v>0</v>
      </c>
      <c r="D2547" s="10">
        <f t="shared" si="4233"/>
        <v>0</v>
      </c>
      <c r="J2547" s="24" t="str">
        <f t="shared" ref="J2547" si="4247">CONCATENATE(K2545,2)</f>
        <v>102</v>
      </c>
      <c r="K2547" s="6" t="e">
        <v>#VALUE!</v>
      </c>
      <c r="L2547" s="6" t="e">
        <v>#VALUE!</v>
      </c>
      <c r="M2547" s="6" t="e">
        <v>#VALUE!</v>
      </c>
      <c r="N2547" s="6" t="e">
        <v>#VALUE!</v>
      </c>
      <c r="O2547" s="6" t="e">
        <v>#VALUE!</v>
      </c>
      <c r="P2547" s="6" t="e">
        <v>#VALUE!</v>
      </c>
      <c r="Q2547" s="6" t="e">
        <v>#VALUE!</v>
      </c>
      <c r="R2547" s="6" t="e">
        <v>#VALUE!</v>
      </c>
      <c r="S2547" s="6" t="e">
        <v>#VALUE!</v>
      </c>
      <c r="T2547" s="9"/>
      <c r="U2547" s="1">
        <f t="shared" si="4211"/>
        <v>58</v>
      </c>
      <c r="V2547" s="1">
        <f t="shared" si="4212"/>
        <v>238</v>
      </c>
    </row>
    <row r="2548" spans="1:22" x14ac:dyDescent="0.3">
      <c r="A2548" s="1">
        <f t="shared" si="4164"/>
        <v>58239</v>
      </c>
      <c r="B2548" s="12">
        <f t="shared" si="4231"/>
        <v>0</v>
      </c>
      <c r="C2548" s="13">
        <f t="shared" si="4232"/>
        <v>0</v>
      </c>
      <c r="D2548" s="10">
        <f t="shared" si="4233"/>
        <v>0</v>
      </c>
      <c r="J2548" s="24" t="str">
        <f t="shared" ref="J2548" si="4248">CONCATENATE(K2545,3)</f>
        <v>103</v>
      </c>
      <c r="K2548" s="6" t="e">
        <v>#VALUE!</v>
      </c>
      <c r="L2548" s="6" t="e">
        <v>#VALUE!</v>
      </c>
      <c r="M2548" s="6" t="e">
        <v>#VALUE!</v>
      </c>
      <c r="N2548" s="6" t="e">
        <v>#VALUE!</v>
      </c>
      <c r="O2548" s="6" t="e">
        <v>#VALUE!</v>
      </c>
      <c r="P2548" s="6" t="e">
        <v>#VALUE!</v>
      </c>
      <c r="Q2548" s="6" t="e">
        <v>#VALUE!</v>
      </c>
      <c r="R2548" s="6" t="e">
        <v>#VALUE!</v>
      </c>
      <c r="S2548" s="6" t="e">
        <v>#VALUE!</v>
      </c>
      <c r="T2548" s="9"/>
      <c r="U2548" s="1">
        <f t="shared" si="4211"/>
        <v>58</v>
      </c>
      <c r="V2548" s="1">
        <f t="shared" si="4212"/>
        <v>239</v>
      </c>
    </row>
    <row r="2549" spans="1:22" x14ac:dyDescent="0.3">
      <c r="A2549" s="1">
        <f t="shared" si="4164"/>
        <v>58240</v>
      </c>
      <c r="B2549" s="12">
        <f t="shared" si="4231"/>
        <v>0</v>
      </c>
      <c r="C2549" s="13">
        <f t="shared" si="4232"/>
        <v>0</v>
      </c>
      <c r="D2549" s="10">
        <f t="shared" si="4233"/>
        <v>0</v>
      </c>
      <c r="J2549" s="9"/>
      <c r="K2549" s="9"/>
      <c r="L2549" s="9"/>
      <c r="M2549" s="9"/>
      <c r="N2549" s="9"/>
      <c r="O2549" s="9"/>
      <c r="P2549" s="9"/>
      <c r="Q2549" s="9"/>
      <c r="R2549" s="9"/>
      <c r="S2549" s="9"/>
      <c r="T2549" s="9"/>
      <c r="U2549" s="1">
        <f t="shared" si="4211"/>
        <v>58</v>
      </c>
      <c r="V2549" s="1">
        <f t="shared" si="4212"/>
        <v>240</v>
      </c>
    </row>
    <row r="2550" spans="1:22" x14ac:dyDescent="0.3">
      <c r="A2550" s="1">
        <f t="shared" si="4164"/>
        <v>58241</v>
      </c>
      <c r="B2550" s="12">
        <f t="shared" si="4231"/>
        <v>0</v>
      </c>
      <c r="C2550" s="13">
        <f t="shared" si="4232"/>
        <v>0</v>
      </c>
      <c r="D2550" s="10">
        <f t="shared" si="4233"/>
        <v>0</v>
      </c>
      <c r="J2550" s="9"/>
      <c r="K2550" s="9"/>
      <c r="L2550" s="9"/>
      <c r="M2550" s="9"/>
      <c r="N2550" s="9"/>
      <c r="O2550" s="9"/>
      <c r="P2550" s="9"/>
      <c r="Q2550" s="9"/>
      <c r="R2550" s="9"/>
      <c r="S2550" s="9"/>
      <c r="T2550" s="9"/>
      <c r="U2550" s="1">
        <f t="shared" si="4211"/>
        <v>58</v>
      </c>
      <c r="V2550" s="1">
        <f t="shared" si="4212"/>
        <v>241</v>
      </c>
    </row>
    <row r="2551" spans="1:22" x14ac:dyDescent="0.3">
      <c r="A2551" s="1">
        <f t="shared" si="4164"/>
        <v>58242</v>
      </c>
      <c r="B2551" s="12">
        <f t="shared" si="4231"/>
        <v>0</v>
      </c>
      <c r="C2551" s="13">
        <f t="shared" si="4232"/>
        <v>0</v>
      </c>
      <c r="D2551" s="10">
        <f t="shared" si="4233"/>
        <v>0</v>
      </c>
      <c r="J2551" s="9"/>
      <c r="K2551" s="9"/>
      <c r="L2551" s="9"/>
      <c r="M2551" s="9"/>
      <c r="N2551" s="9"/>
      <c r="O2551" s="9"/>
      <c r="P2551" s="9"/>
      <c r="Q2551" s="9"/>
      <c r="R2551" s="9"/>
      <c r="S2551" s="9"/>
      <c r="T2551" s="9"/>
      <c r="U2551" s="1">
        <f t="shared" si="4211"/>
        <v>58</v>
      </c>
      <c r="V2551" s="1">
        <f t="shared" si="4212"/>
        <v>242</v>
      </c>
    </row>
    <row r="2552" spans="1:22" x14ac:dyDescent="0.3">
      <c r="A2552" s="1">
        <f t="shared" si="4164"/>
        <v>58243</v>
      </c>
      <c r="J2552" s="9"/>
      <c r="K2552" s="9"/>
      <c r="L2552" s="9"/>
      <c r="M2552" s="9"/>
      <c r="N2552" s="9"/>
      <c r="O2552" s="9"/>
      <c r="P2552" s="9"/>
      <c r="Q2552" s="9"/>
      <c r="R2552" s="9"/>
      <c r="S2552" s="9"/>
      <c r="T2552" s="9"/>
      <c r="U2552" s="1">
        <f t="shared" si="4211"/>
        <v>58</v>
      </c>
      <c r="V2552" s="1">
        <f t="shared" si="4212"/>
        <v>243</v>
      </c>
    </row>
    <row r="2553" spans="1:22" s="5" customFormat="1" x14ac:dyDescent="0.3"/>
    <row r="2554" spans="1:22" x14ac:dyDescent="0.3">
      <c r="A2554" s="1">
        <f t="shared" ref="A2554:A2596" si="4249">ROUND(CONCATENATE(U2554,V2554),0)</f>
        <v>59201</v>
      </c>
      <c r="B2554" s="96" t="s">
        <v>0</v>
      </c>
      <c r="C2554" s="97"/>
      <c r="D2554" s="110" t="s">
        <v>46</v>
      </c>
      <c r="E2554" s="111"/>
      <c r="F2554" s="111"/>
      <c r="G2554" s="111"/>
      <c r="H2554" s="112"/>
      <c r="J2554" s="9"/>
      <c r="K2554" s="9"/>
      <c r="L2554" s="9"/>
      <c r="M2554" s="9"/>
      <c r="N2554" s="9"/>
      <c r="O2554" s="9"/>
      <c r="P2554" s="9"/>
      <c r="Q2554" s="9"/>
      <c r="R2554" s="9"/>
      <c r="S2554" s="9"/>
      <c r="T2554" s="9"/>
      <c r="U2554" s="1">
        <f t="shared" ref="U2554" si="4250">U2552+1</f>
        <v>59</v>
      </c>
      <c r="V2554" s="1">
        <v>201</v>
      </c>
    </row>
    <row r="2555" spans="1:22" x14ac:dyDescent="0.3">
      <c r="A2555" s="1">
        <f t="shared" si="4249"/>
        <v>59202</v>
      </c>
      <c r="B2555" s="96" t="s">
        <v>1</v>
      </c>
      <c r="C2555" s="97"/>
      <c r="D2555" s="15">
        <v>20</v>
      </c>
      <c r="E2555" s="16" t="s">
        <v>2</v>
      </c>
      <c r="F2555" s="107"/>
      <c r="G2555" s="108"/>
      <c r="H2555" s="109"/>
      <c r="J2555" s="9"/>
      <c r="K2555" s="9"/>
      <c r="L2555" s="9"/>
      <c r="M2555" s="9"/>
      <c r="N2555" s="9"/>
      <c r="O2555" s="9"/>
      <c r="P2555" s="9"/>
      <c r="Q2555" s="9"/>
      <c r="R2555" s="9"/>
      <c r="S2555" s="9"/>
      <c r="T2555" s="9"/>
      <c r="U2555" s="1">
        <f t="shared" ref="U2555" si="4251">U2554</f>
        <v>59</v>
      </c>
      <c r="V2555" s="1">
        <f t="shared" ref="V2555" si="4252">V2554+1</f>
        <v>202</v>
      </c>
    </row>
    <row r="2556" spans="1:22" x14ac:dyDescent="0.3">
      <c r="A2556" s="1">
        <f t="shared" si="4249"/>
        <v>59203</v>
      </c>
      <c r="B2556" s="96" t="s">
        <v>12</v>
      </c>
      <c r="C2556" s="97"/>
      <c r="D2556" s="110" t="s">
        <v>276</v>
      </c>
      <c r="E2556" s="111"/>
      <c r="F2556" s="111"/>
      <c r="G2556" s="111"/>
      <c r="H2556" s="112"/>
      <c r="K2556" s="1" t="s">
        <v>3</v>
      </c>
      <c r="L2556" s="1" t="s">
        <v>4</v>
      </c>
      <c r="M2556" s="1" t="s">
        <v>5</v>
      </c>
      <c r="N2556" s="1" t="s">
        <v>6</v>
      </c>
      <c r="O2556" s="1" t="s">
        <v>7</v>
      </c>
      <c r="P2556" s="1" t="s">
        <v>8</v>
      </c>
      <c r="Q2556" s="1" t="s">
        <v>9</v>
      </c>
      <c r="R2556" s="1" t="s">
        <v>10</v>
      </c>
      <c r="S2556" s="1" t="s">
        <v>11</v>
      </c>
      <c r="T2556" s="9"/>
      <c r="U2556" s="1">
        <f t="shared" si="4211"/>
        <v>59</v>
      </c>
      <c r="V2556" s="1">
        <f t="shared" si="4212"/>
        <v>203</v>
      </c>
    </row>
    <row r="2557" spans="1:22" x14ac:dyDescent="0.3">
      <c r="A2557" s="1">
        <f t="shared" si="4249"/>
        <v>59204</v>
      </c>
      <c r="B2557" s="96" t="s">
        <v>13</v>
      </c>
      <c r="C2557" s="97"/>
      <c r="D2557" s="110" t="s">
        <v>65</v>
      </c>
      <c r="E2557" s="111"/>
      <c r="F2557" s="111"/>
      <c r="G2557" s="111"/>
      <c r="H2557" s="112"/>
      <c r="J2557" s="1">
        <f t="shared" ref="J2557" si="4253">COUNTA(B2570:B2579)</f>
        <v>3</v>
      </c>
      <c r="K2557" s="1">
        <f t="shared" ref="K2557" si="4254">IF(L2557-1&lt;2,0,L2557-1)</f>
        <v>0</v>
      </c>
      <c r="L2557" s="1">
        <f t="shared" ref="L2557" si="4255">IF(M2557-1&lt;2,0,M2557-1)</f>
        <v>0</v>
      </c>
      <c r="M2557" s="1">
        <f t="shared" ref="M2557" si="4256">IF(N2557-1&lt;2,0,N2557-1)</f>
        <v>0</v>
      </c>
      <c r="N2557" s="1">
        <f t="shared" ref="N2557" si="4257">IF(O2557-1&lt;2,0,O2557-1)</f>
        <v>0</v>
      </c>
      <c r="O2557" s="1">
        <f t="shared" ref="O2557" si="4258">IF(P2557-1&lt;2,0,P2557-1)</f>
        <v>0</v>
      </c>
      <c r="P2557" s="1">
        <f t="shared" ref="P2557" si="4259">IF(Q2557-1&lt;2,0,Q2557-1)</f>
        <v>0</v>
      </c>
      <c r="Q2557" s="1">
        <f t="shared" ref="Q2557" si="4260">IF(R2557-1&lt;2,0,R2557-1)</f>
        <v>0</v>
      </c>
      <c r="R2557" s="1">
        <f t="shared" ref="R2557" si="4261">IF(S2557-1&lt;2,0,S2557-1)</f>
        <v>2</v>
      </c>
      <c r="S2557" s="1">
        <f t="shared" ref="S2557" si="4262">J2557</f>
        <v>3</v>
      </c>
      <c r="T2557" s="9"/>
      <c r="U2557" s="1">
        <f t="shared" si="4211"/>
        <v>59</v>
      </c>
      <c r="V2557" s="1">
        <f t="shared" si="4212"/>
        <v>204</v>
      </c>
    </row>
    <row r="2558" spans="1:22" x14ac:dyDescent="0.3">
      <c r="A2558" s="1">
        <f t="shared" si="4249"/>
        <v>59205</v>
      </c>
      <c r="B2558" s="96" t="s">
        <v>14</v>
      </c>
      <c r="C2558" s="97"/>
      <c r="D2558" s="110" t="s">
        <v>66</v>
      </c>
      <c r="E2558" s="111"/>
      <c r="F2558" s="111"/>
      <c r="G2558" s="111"/>
      <c r="H2558" s="112"/>
      <c r="J2558" s="24" t="str">
        <f t="shared" ref="J2558" si="4263">CONCATENATE(J2557,1)</f>
        <v>31</v>
      </c>
      <c r="K2558" s="25">
        <f t="shared" ref="K2558" si="4264">IF(K2557=0,0,VLOOKUP(J2558,J2562:S2592,K2557,FALSE))</f>
        <v>0</v>
      </c>
      <c r="L2558" s="25">
        <f t="shared" ref="L2558" si="4265">IF(L2557=0,0,VLOOKUP(J2558,J2562:S2592,L2557,FALSE))</f>
        <v>0</v>
      </c>
      <c r="M2558" s="25">
        <f t="shared" ref="M2558" si="4266">IF(M2557=0,0,VLOOKUP(J2558,J2562:S2592,M2557,FALSE))</f>
        <v>0</v>
      </c>
      <c r="N2558" s="25">
        <f t="shared" ref="N2558" si="4267">IF(N2557=0,0,VLOOKUP(J2558,J2562:S2592,N2557,FALSE))</f>
        <v>0</v>
      </c>
      <c r="O2558" s="25">
        <f t="shared" ref="O2558" si="4268">IF(O2557=0,0,VLOOKUP(J2558,J2562:S2592,O2557,FALSE))</f>
        <v>0</v>
      </c>
      <c r="P2558" s="25">
        <f t="shared" ref="P2558" si="4269">IF(P2557=0,0,VLOOKUP(J2558,J2562:S2592,P2557,FALSE))</f>
        <v>0</v>
      </c>
      <c r="Q2558" s="25">
        <f t="shared" ref="Q2558" si="4270">IF(Q2557=0,0,VLOOKUP(J2558,J2562:S2592,Q2557,FALSE))</f>
        <v>0</v>
      </c>
      <c r="R2558" s="25">
        <f t="shared" ref="R2558" si="4271">IF(R2557=0,0,VLOOKUP(J2558,J2562:S2592,R2557,FALSE))</f>
        <v>1.1573747353563866</v>
      </c>
      <c r="S2558" s="25">
        <f t="shared" ref="S2558" si="4272">IF(S2557=0,0,VLOOKUP(J2558,J2562:S2592,S2557,FALSE))</f>
        <v>-7.6217360621030181</v>
      </c>
      <c r="T2558" s="9"/>
      <c r="U2558" s="1">
        <f t="shared" si="4211"/>
        <v>59</v>
      </c>
      <c r="V2558" s="1">
        <f t="shared" si="4212"/>
        <v>205</v>
      </c>
    </row>
    <row r="2559" spans="1:22" x14ac:dyDescent="0.3">
      <c r="A2559" s="1">
        <f t="shared" si="4249"/>
        <v>59206</v>
      </c>
      <c r="B2559" s="96" t="s">
        <v>15</v>
      </c>
      <c r="C2559" s="97"/>
      <c r="D2559" s="110" t="s">
        <v>275</v>
      </c>
      <c r="E2559" s="111"/>
      <c r="F2559" s="111"/>
      <c r="G2559" s="111"/>
      <c r="H2559" s="112"/>
      <c r="J2559" s="24" t="str">
        <f t="shared" ref="J2559" si="4273">CONCATENATE(J2557,2)</f>
        <v>32</v>
      </c>
      <c r="K2559" s="6">
        <f t="shared" ref="K2559" si="4274">IF(K2557=0,0,VLOOKUP(J2559,J2562:S2592,K2557,FALSE))</f>
        <v>0</v>
      </c>
      <c r="L2559" s="6">
        <f t="shared" ref="L2559" si="4275">IF(L2557=0,0,VLOOKUP(J2559,J2562:S2592,L2557,FALSE))</f>
        <v>0</v>
      </c>
      <c r="M2559" s="6">
        <f t="shared" ref="M2559" si="4276">IF(M2557=0,0,VLOOKUP(J2559,J2562:S2592,M2557,FALSE))</f>
        <v>0</v>
      </c>
      <c r="N2559" s="6">
        <f t="shared" ref="N2559" si="4277">IF(N2557=0,0,VLOOKUP(J2559,J2562:S2592,N2557,FALSE))</f>
        <v>0</v>
      </c>
      <c r="O2559" s="6">
        <f t="shared" ref="O2559" si="4278">IF(O2557=0,0,VLOOKUP(J2559,J2562:S2592,O2557,FALSE))</f>
        <v>0</v>
      </c>
      <c r="P2559" s="6">
        <f t="shared" ref="P2559" si="4279">IF(P2557=0,0,VLOOKUP(J2559,J2562:S2592,P2557,FALSE))</f>
        <v>0</v>
      </c>
      <c r="Q2559" s="6">
        <f t="shared" ref="Q2559" si="4280">IF(Q2557=0,0,VLOOKUP(J2559,J2562:S2592,Q2557,FALSE))</f>
        <v>0</v>
      </c>
      <c r="R2559" s="6">
        <f t="shared" ref="R2559" si="4281">IF(R2557=0,0,VLOOKUP(J2559,J2562:S2592,R2557,FALSE))</f>
        <v>3.6670094726228571E-2</v>
      </c>
      <c r="S2559" s="6">
        <f t="shared" ref="S2559" si="4282">IF(S2557=0,0,VLOOKUP(J2559,J2562:S2592,S2557,FALSE))</f>
        <v>2.0379689006817974</v>
      </c>
      <c r="T2559" s="9"/>
      <c r="U2559" s="1">
        <f t="shared" si="4211"/>
        <v>59</v>
      </c>
      <c r="V2559" s="1">
        <f t="shared" si="4212"/>
        <v>206</v>
      </c>
    </row>
    <row r="2560" spans="1:22" x14ac:dyDescent="0.3">
      <c r="A2560" s="1">
        <f t="shared" si="4249"/>
        <v>59207</v>
      </c>
      <c r="B2560" s="96" t="s">
        <v>16</v>
      </c>
      <c r="C2560" s="97"/>
      <c r="D2560" s="113">
        <v>45733</v>
      </c>
      <c r="E2560" s="114"/>
      <c r="F2560" s="114"/>
      <c r="G2560" s="114"/>
      <c r="H2560" s="115"/>
      <c r="J2560" s="24" t="str">
        <f t="shared" ref="J2560" si="4283">CONCATENATE(J2557,3)</f>
        <v>33</v>
      </c>
      <c r="K2560" s="6"/>
      <c r="L2560" s="6"/>
      <c r="M2560" s="6"/>
      <c r="N2560" s="6" t="s">
        <v>43</v>
      </c>
      <c r="O2560" s="25">
        <f t="shared" ref="O2560" si="4284">J2557-2</f>
        <v>1</v>
      </c>
      <c r="P2560" s="6" t="s">
        <v>44</v>
      </c>
      <c r="Q2560" s="25">
        <f t="shared" ref="Q2560" si="4285">VLOOKUP(J2560,J2562:S2592,3,FALSE)</f>
        <v>1.1270711351480074</v>
      </c>
      <c r="R2560" s="6" t="s">
        <v>45</v>
      </c>
      <c r="S2560" s="6">
        <f t="shared" ref="S2560" si="4286">VLOOKUP(J2560,J2562:S2592,2,FALSE)</f>
        <v>0.9989971399918286</v>
      </c>
      <c r="T2560" s="9"/>
      <c r="U2560" s="1">
        <f t="shared" si="4211"/>
        <v>59</v>
      </c>
      <c r="V2560" s="1">
        <f t="shared" si="4212"/>
        <v>207</v>
      </c>
    </row>
    <row r="2561" spans="1:22" x14ac:dyDescent="0.3">
      <c r="A2561" s="1">
        <f t="shared" si="4249"/>
        <v>59208</v>
      </c>
      <c r="B2561" s="96" t="s">
        <v>17</v>
      </c>
      <c r="C2561" s="97"/>
      <c r="D2561" s="116">
        <v>46112</v>
      </c>
      <c r="E2561" s="117"/>
      <c r="F2561" s="117"/>
      <c r="G2561" s="117"/>
      <c r="H2561" s="118"/>
      <c r="K2561" s="1">
        <v>3</v>
      </c>
      <c r="L2561" s="1">
        <v>3</v>
      </c>
      <c r="Q2561" s="26"/>
      <c r="R2561" s="26"/>
      <c r="S2561" s="26"/>
      <c r="T2561" s="9"/>
      <c r="U2561" s="1">
        <f t="shared" si="4211"/>
        <v>59</v>
      </c>
      <c r="V2561" s="1">
        <f t="shared" si="4212"/>
        <v>208</v>
      </c>
    </row>
    <row r="2562" spans="1:22" x14ac:dyDescent="0.3">
      <c r="A2562" s="1">
        <f t="shared" si="4249"/>
        <v>59209</v>
      </c>
      <c r="B2562" s="77" t="s">
        <v>19</v>
      </c>
      <c r="C2562" s="78"/>
      <c r="D2562" s="17">
        <v>1</v>
      </c>
      <c r="E2562" s="79" t="s">
        <v>40</v>
      </c>
      <c r="F2562" s="80"/>
      <c r="G2562" s="81"/>
      <c r="H2562" s="18" t="s">
        <v>72</v>
      </c>
      <c r="J2562" s="24" t="str">
        <f t="shared" ref="J2562" si="4287">CONCATENATE(K2561,1)</f>
        <v>31</v>
      </c>
      <c r="K2562" s="6">
        <f t="array" ref="K2562:L2564">LINEST(B2570:B2572,C2570:C2572^{1},TRUE,TRUE)</f>
        <v>1.1573747353563866</v>
      </c>
      <c r="L2562" s="6">
        <v>-7.6217360621030181</v>
      </c>
      <c r="Q2562" s="9"/>
      <c r="R2562" s="9"/>
      <c r="S2562" s="9"/>
      <c r="T2562" s="9"/>
      <c r="U2562" s="1">
        <f t="shared" si="4211"/>
        <v>59</v>
      </c>
      <c r="V2562" s="1">
        <f t="shared" si="4212"/>
        <v>209</v>
      </c>
    </row>
    <row r="2563" spans="1:22" x14ac:dyDescent="0.3">
      <c r="A2563" s="1">
        <f t="shared" si="4249"/>
        <v>59210</v>
      </c>
      <c r="B2563" s="77" t="s">
        <v>41</v>
      </c>
      <c r="C2563" s="78"/>
      <c r="D2563" s="23">
        <f t="shared" ref="D2563" si="4288">MIN(B2570:B2579)</f>
        <v>30</v>
      </c>
      <c r="E2563" s="20" t="s">
        <v>18</v>
      </c>
      <c r="F2563" s="19">
        <f t="shared" ref="F2563" si="4289">MAX(B2570:B2579)</f>
        <v>80</v>
      </c>
      <c r="G2563" s="21" t="str">
        <f t="shared" ref="G2563" si="4290">IF(H2562="","",H2562)</f>
        <v>%ur</v>
      </c>
      <c r="H2563" s="22"/>
      <c r="J2563" s="24" t="str">
        <f t="shared" ref="J2563" si="4291">CONCATENATE(K2561,2)</f>
        <v>32</v>
      </c>
      <c r="K2563" s="6">
        <v>3.6670094726228571E-2</v>
      </c>
      <c r="L2563" s="6">
        <v>2.0379689006817974</v>
      </c>
      <c r="Q2563" s="9"/>
      <c r="R2563" s="9"/>
      <c r="S2563" s="9"/>
      <c r="T2563" s="9"/>
      <c r="U2563" s="1">
        <f t="shared" si="4211"/>
        <v>59</v>
      </c>
      <c r="V2563" s="1">
        <f t="shared" si="4212"/>
        <v>210</v>
      </c>
    </row>
    <row r="2564" spans="1:22" x14ac:dyDescent="0.3">
      <c r="A2564" s="1">
        <f t="shared" si="4249"/>
        <v>59211</v>
      </c>
      <c r="J2564" s="24" t="str">
        <f t="shared" ref="J2564" si="4292">CONCATENATE(K2561,3)</f>
        <v>33</v>
      </c>
      <c r="K2564" s="6">
        <v>0.9989971399918286</v>
      </c>
      <c r="L2564" s="6">
        <v>1.1270711351480074</v>
      </c>
      <c r="Q2564" s="9"/>
      <c r="R2564" s="9"/>
      <c r="S2564" s="9"/>
      <c r="T2564" s="9"/>
      <c r="U2564" s="1">
        <f t="shared" si="4211"/>
        <v>59</v>
      </c>
      <c r="V2564" s="1">
        <f t="shared" si="4212"/>
        <v>211</v>
      </c>
    </row>
    <row r="2565" spans="1:22" x14ac:dyDescent="0.3">
      <c r="A2565" s="1">
        <f t="shared" si="4249"/>
        <v>59212</v>
      </c>
      <c r="B2565" s="82" t="s">
        <v>20</v>
      </c>
      <c r="C2565" s="83"/>
      <c r="D2565" s="83"/>
      <c r="E2565" s="83"/>
      <c r="F2565" s="84"/>
      <c r="G2565" s="85" t="s">
        <v>31</v>
      </c>
      <c r="H2565" s="86"/>
      <c r="K2565" s="1">
        <v>4</v>
      </c>
      <c r="L2565" s="1">
        <v>4</v>
      </c>
      <c r="M2565" s="1">
        <v>4</v>
      </c>
      <c r="Q2565" s="9"/>
      <c r="R2565" s="9"/>
      <c r="S2565" s="9"/>
      <c r="T2565" s="9"/>
      <c r="U2565" s="1">
        <f t="shared" si="4211"/>
        <v>59</v>
      </c>
      <c r="V2565" s="1">
        <f t="shared" si="4212"/>
        <v>212</v>
      </c>
    </row>
    <row r="2566" spans="1:22" x14ac:dyDescent="0.3">
      <c r="A2566" s="1">
        <f t="shared" si="4249"/>
        <v>59213</v>
      </c>
      <c r="B2566" s="82" t="s">
        <v>30</v>
      </c>
      <c r="C2566" s="83"/>
      <c r="D2566" s="84"/>
      <c r="E2566" s="82" t="str">
        <f t="shared" ref="E2566" si="4293">D2559</f>
        <v>E0133/25</v>
      </c>
      <c r="F2566" s="84"/>
      <c r="G2566" s="6" t="s">
        <v>32</v>
      </c>
      <c r="H2566" s="36" t="s">
        <v>216</v>
      </c>
      <c r="J2566" s="24" t="str">
        <f t="shared" ref="J2566" si="4294">CONCATENATE(K2565,1)</f>
        <v>41</v>
      </c>
      <c r="K2566" s="6" t="e">
        <f t="array" ref="K2566:M2568">LINEST(B2570:B2573,C2570:C2573^{1,2},TRUE,TRUE)</f>
        <v>#VALUE!</v>
      </c>
      <c r="L2566" s="6" t="e">
        <v>#VALUE!</v>
      </c>
      <c r="M2566" s="6" t="e">
        <v>#VALUE!</v>
      </c>
      <c r="Q2566" s="9"/>
      <c r="R2566" s="9"/>
      <c r="S2566" s="9"/>
      <c r="T2566" s="9"/>
      <c r="U2566" s="1">
        <f t="shared" si="4211"/>
        <v>59</v>
      </c>
      <c r="V2566" s="1">
        <f t="shared" si="4212"/>
        <v>213</v>
      </c>
    </row>
    <row r="2567" spans="1:22" x14ac:dyDescent="0.3">
      <c r="A2567" s="1">
        <f t="shared" si="4249"/>
        <v>59214</v>
      </c>
      <c r="B2567" s="2" t="s">
        <v>21</v>
      </c>
      <c r="C2567" s="2" t="s">
        <v>22</v>
      </c>
      <c r="D2567" s="2" t="s">
        <v>23</v>
      </c>
      <c r="E2567" s="2"/>
      <c r="F2567" s="2" t="s">
        <v>28</v>
      </c>
      <c r="G2567" s="2" t="s">
        <v>21</v>
      </c>
      <c r="H2567" s="2" t="s">
        <v>22</v>
      </c>
      <c r="J2567" s="24" t="str">
        <f t="shared" ref="J2567" si="4295">CONCATENATE(K2565,2)</f>
        <v>42</v>
      </c>
      <c r="K2567" s="6" t="e">
        <v>#VALUE!</v>
      </c>
      <c r="L2567" s="6" t="e">
        <v>#VALUE!</v>
      </c>
      <c r="M2567" s="6" t="e">
        <v>#VALUE!</v>
      </c>
      <c r="Q2567" s="9"/>
      <c r="R2567" s="9"/>
      <c r="S2567" s="9"/>
      <c r="T2567" s="9"/>
      <c r="U2567" s="1">
        <f t="shared" si="4211"/>
        <v>59</v>
      </c>
      <c r="V2567" s="1">
        <f t="shared" si="4212"/>
        <v>214</v>
      </c>
    </row>
    <row r="2568" spans="1:22" x14ac:dyDescent="0.3">
      <c r="A2568" s="1">
        <f t="shared" si="4249"/>
        <v>59215</v>
      </c>
      <c r="B2568" s="2" t="s">
        <v>24</v>
      </c>
      <c r="C2568" s="2" t="s">
        <v>25</v>
      </c>
      <c r="D2568" s="2" t="s">
        <v>26</v>
      </c>
      <c r="E2568" s="2" t="s">
        <v>27</v>
      </c>
      <c r="F2568" s="2" t="s">
        <v>29</v>
      </c>
      <c r="G2568" s="2" t="s">
        <v>24</v>
      </c>
      <c r="H2568" s="2" t="s">
        <v>25</v>
      </c>
      <c r="J2568" s="24" t="str">
        <f t="shared" ref="J2568" si="4296">CONCATENATE(K2565,3)</f>
        <v>43</v>
      </c>
      <c r="K2568" s="6" t="e">
        <v>#VALUE!</v>
      </c>
      <c r="L2568" s="6" t="e">
        <v>#VALUE!</v>
      </c>
      <c r="M2568" s="6" t="e">
        <v>#VALUE!</v>
      </c>
      <c r="Q2568" s="9"/>
      <c r="R2568" s="9"/>
      <c r="S2568" s="9"/>
      <c r="T2568" s="9"/>
      <c r="U2568" s="1">
        <f t="shared" si="4211"/>
        <v>59</v>
      </c>
      <c r="V2568" s="1">
        <f t="shared" si="4212"/>
        <v>215</v>
      </c>
    </row>
    <row r="2569" spans="1:22" x14ac:dyDescent="0.3">
      <c r="A2569" s="1">
        <f t="shared" si="4249"/>
        <v>59216</v>
      </c>
      <c r="B2569" s="3" t="str">
        <f t="shared" ref="B2569" si="4297">H2562</f>
        <v>%ur</v>
      </c>
      <c r="C2569" s="3" t="str">
        <f t="shared" ref="C2569" si="4298">B2569</f>
        <v>%ur</v>
      </c>
      <c r="D2569" s="3" t="str">
        <f t="shared" ref="D2569" si="4299">C2569</f>
        <v>%ur</v>
      </c>
      <c r="E2569" s="3"/>
      <c r="F2569" s="3"/>
      <c r="G2569" s="3" t="str">
        <f t="shared" ref="G2569" si="4300">D2569</f>
        <v>%ur</v>
      </c>
      <c r="H2569" s="3" t="str">
        <f t="shared" ref="H2569" si="4301">G2569</f>
        <v>%ur</v>
      </c>
      <c r="K2569" s="1">
        <v>5</v>
      </c>
      <c r="L2569" s="1">
        <v>5</v>
      </c>
      <c r="M2569" s="1">
        <v>5</v>
      </c>
      <c r="N2569" s="1">
        <v>5</v>
      </c>
      <c r="Q2569" s="9"/>
      <c r="R2569" s="9"/>
      <c r="S2569" s="9"/>
      <c r="T2569" s="9"/>
      <c r="U2569" s="1">
        <f t="shared" si="4211"/>
        <v>59</v>
      </c>
      <c r="V2569" s="1">
        <f t="shared" si="4212"/>
        <v>216</v>
      </c>
    </row>
    <row r="2570" spans="1:22" x14ac:dyDescent="0.3">
      <c r="A2570" s="1">
        <f t="shared" si="4249"/>
        <v>59217</v>
      </c>
      <c r="B2570" s="4">
        <v>30</v>
      </c>
      <c r="C2570" s="4">
        <v>33</v>
      </c>
      <c r="D2570" s="4">
        <v>2</v>
      </c>
      <c r="E2570" s="4">
        <v>2</v>
      </c>
      <c r="F2570" s="14">
        <v>1000000</v>
      </c>
      <c r="G2570" s="8">
        <v>30</v>
      </c>
      <c r="H2570" s="7">
        <v>32</v>
      </c>
      <c r="J2570" s="24" t="str">
        <f t="shared" ref="J2570" si="4302">CONCATENATE(K2569,1)</f>
        <v>51</v>
      </c>
      <c r="K2570" s="6" t="e">
        <f t="array" ref="K2570:N2572">LINEST(B2570:B2574,C2570:C2574^{1,2,3},TRUE,TRUE)</f>
        <v>#VALUE!</v>
      </c>
      <c r="L2570" s="6" t="e">
        <v>#VALUE!</v>
      </c>
      <c r="M2570" s="6" t="e">
        <v>#VALUE!</v>
      </c>
      <c r="N2570" s="6" t="e">
        <v>#VALUE!</v>
      </c>
      <c r="Q2570" s="9"/>
      <c r="R2570" s="9"/>
      <c r="S2570" s="9"/>
      <c r="T2570" s="9"/>
      <c r="U2570" s="1">
        <f t="shared" si="4211"/>
        <v>59</v>
      </c>
      <c r="V2570" s="1">
        <f t="shared" si="4212"/>
        <v>217</v>
      </c>
    </row>
    <row r="2571" spans="1:22" x14ac:dyDescent="0.3">
      <c r="A2571" s="1">
        <f t="shared" si="4249"/>
        <v>59218</v>
      </c>
      <c r="B2571" s="4">
        <v>50</v>
      </c>
      <c r="C2571" s="4">
        <v>49</v>
      </c>
      <c r="D2571" s="4">
        <v>2</v>
      </c>
      <c r="E2571" s="4">
        <v>2</v>
      </c>
      <c r="F2571" s="14">
        <v>1000000</v>
      </c>
      <c r="G2571" s="8">
        <v>50</v>
      </c>
      <c r="H2571" s="7">
        <v>47</v>
      </c>
      <c r="J2571" s="24" t="str">
        <f t="shared" ref="J2571" si="4303">CONCATENATE(K2569,2)</f>
        <v>52</v>
      </c>
      <c r="K2571" s="6" t="e">
        <v>#VALUE!</v>
      </c>
      <c r="L2571" s="6" t="e">
        <v>#VALUE!</v>
      </c>
      <c r="M2571" s="6" t="e">
        <v>#VALUE!</v>
      </c>
      <c r="N2571" s="6" t="e">
        <v>#VALUE!</v>
      </c>
      <c r="T2571" s="9"/>
      <c r="U2571" s="1">
        <f t="shared" si="4211"/>
        <v>59</v>
      </c>
      <c r="V2571" s="1">
        <f t="shared" si="4212"/>
        <v>218</v>
      </c>
    </row>
    <row r="2572" spans="1:22" x14ac:dyDescent="0.3">
      <c r="A2572" s="1">
        <f t="shared" si="4249"/>
        <v>59219</v>
      </c>
      <c r="B2572" s="4">
        <v>80</v>
      </c>
      <c r="C2572" s="4">
        <v>76</v>
      </c>
      <c r="D2572" s="4">
        <v>2</v>
      </c>
      <c r="E2572" s="4">
        <v>2</v>
      </c>
      <c r="F2572" s="14">
        <v>1000000</v>
      </c>
      <c r="G2572" s="8">
        <v>80</v>
      </c>
      <c r="H2572" s="7">
        <v>69</v>
      </c>
      <c r="J2572" s="24" t="str">
        <f t="shared" ref="J2572" si="4304">CONCATENATE(K2569,3)</f>
        <v>53</v>
      </c>
      <c r="K2572" s="6" t="e">
        <v>#VALUE!</v>
      </c>
      <c r="L2572" s="6" t="e">
        <v>#VALUE!</v>
      </c>
      <c r="M2572" s="6" t="e">
        <v>#VALUE!</v>
      </c>
      <c r="N2572" s="6" t="e">
        <v>#VALUE!</v>
      </c>
      <c r="T2572" s="9"/>
      <c r="U2572" s="1">
        <f t="shared" si="4211"/>
        <v>59</v>
      </c>
      <c r="V2572" s="1">
        <f t="shared" si="4212"/>
        <v>219</v>
      </c>
    </row>
    <row r="2573" spans="1:22" x14ac:dyDescent="0.3">
      <c r="A2573" s="1">
        <f t="shared" si="4249"/>
        <v>59220</v>
      </c>
      <c r="B2573" s="4"/>
      <c r="C2573" s="4"/>
      <c r="D2573" s="4"/>
      <c r="E2573" s="4"/>
      <c r="F2573" s="14"/>
      <c r="G2573" s="8"/>
      <c r="H2573" s="7"/>
      <c r="K2573" s="1">
        <v>6</v>
      </c>
      <c r="L2573" s="1">
        <v>6</v>
      </c>
      <c r="M2573" s="1">
        <v>6</v>
      </c>
      <c r="N2573" s="1">
        <v>6</v>
      </c>
      <c r="O2573" s="1">
        <v>6</v>
      </c>
      <c r="T2573" s="9"/>
      <c r="U2573" s="1">
        <f t="shared" si="4211"/>
        <v>59</v>
      </c>
      <c r="V2573" s="1">
        <f t="shared" si="4212"/>
        <v>220</v>
      </c>
    </row>
    <row r="2574" spans="1:22" x14ac:dyDescent="0.3">
      <c r="A2574" s="1">
        <f t="shared" si="4249"/>
        <v>59221</v>
      </c>
      <c r="B2574" s="4"/>
      <c r="C2574" s="4"/>
      <c r="D2574" s="4"/>
      <c r="E2574" s="4"/>
      <c r="F2574" s="14"/>
      <c r="G2574" s="8"/>
      <c r="H2574" s="7"/>
      <c r="J2574" s="24" t="str">
        <f t="shared" ref="J2574" si="4305">CONCATENATE(K2573,1)</f>
        <v>61</v>
      </c>
      <c r="K2574" s="6" t="e">
        <f t="array" ref="K2574:O2576">LINEST(B2570:B2575,C2570:C2575^{1,2,3,4},TRUE,TRUE)</f>
        <v>#VALUE!</v>
      </c>
      <c r="L2574" s="6" t="e">
        <v>#VALUE!</v>
      </c>
      <c r="M2574" s="6" t="e">
        <v>#VALUE!</v>
      </c>
      <c r="N2574" s="6" t="e">
        <v>#VALUE!</v>
      </c>
      <c r="O2574" s="6" t="e">
        <v>#VALUE!</v>
      </c>
      <c r="T2574" s="9"/>
      <c r="U2574" s="1">
        <f t="shared" si="4211"/>
        <v>59</v>
      </c>
      <c r="V2574" s="1">
        <f t="shared" si="4212"/>
        <v>221</v>
      </c>
    </row>
    <row r="2575" spans="1:22" x14ac:dyDescent="0.3">
      <c r="A2575" s="1">
        <f t="shared" si="4249"/>
        <v>59222</v>
      </c>
      <c r="B2575" s="4"/>
      <c r="C2575" s="4"/>
      <c r="D2575" s="4"/>
      <c r="E2575" s="4"/>
      <c r="F2575" s="14"/>
      <c r="G2575" s="8"/>
      <c r="H2575" s="7"/>
      <c r="J2575" s="24" t="str">
        <f t="shared" ref="J2575" si="4306">CONCATENATE(K2573,2)</f>
        <v>62</v>
      </c>
      <c r="K2575" s="6" t="e">
        <v>#VALUE!</v>
      </c>
      <c r="L2575" s="6" t="e">
        <v>#VALUE!</v>
      </c>
      <c r="M2575" s="6" t="e">
        <v>#VALUE!</v>
      </c>
      <c r="N2575" s="6" t="e">
        <v>#VALUE!</v>
      </c>
      <c r="O2575" s="6" t="e">
        <v>#VALUE!</v>
      </c>
      <c r="T2575" s="9"/>
      <c r="U2575" s="1">
        <f t="shared" si="4211"/>
        <v>59</v>
      </c>
      <c r="V2575" s="1">
        <f t="shared" si="4212"/>
        <v>222</v>
      </c>
    </row>
    <row r="2576" spans="1:22" x14ac:dyDescent="0.3">
      <c r="A2576" s="1">
        <f t="shared" si="4249"/>
        <v>59223</v>
      </c>
      <c r="B2576" s="4"/>
      <c r="C2576" s="4"/>
      <c r="D2576" s="4"/>
      <c r="E2576" s="4"/>
      <c r="F2576" s="14"/>
      <c r="G2576" s="8"/>
      <c r="H2576" s="7"/>
      <c r="J2576" s="24" t="str">
        <f t="shared" ref="J2576" si="4307">CONCATENATE(K2573,3)</f>
        <v>63</v>
      </c>
      <c r="K2576" s="6" t="e">
        <v>#VALUE!</v>
      </c>
      <c r="L2576" s="6" t="e">
        <v>#VALUE!</v>
      </c>
      <c r="M2576" s="6" t="e">
        <v>#VALUE!</v>
      </c>
      <c r="N2576" s="6" t="e">
        <v>#VALUE!</v>
      </c>
      <c r="O2576" s="6" t="e">
        <v>#VALUE!</v>
      </c>
      <c r="T2576" s="9"/>
      <c r="U2576" s="1">
        <f t="shared" si="4211"/>
        <v>59</v>
      </c>
      <c r="V2576" s="1">
        <f t="shared" si="4212"/>
        <v>223</v>
      </c>
    </row>
    <row r="2577" spans="1:22" x14ac:dyDescent="0.3">
      <c r="A2577" s="1">
        <f t="shared" si="4249"/>
        <v>59224</v>
      </c>
      <c r="B2577" s="4"/>
      <c r="C2577" s="4"/>
      <c r="D2577" s="4"/>
      <c r="E2577" s="4"/>
      <c r="F2577" s="14"/>
      <c r="G2577" s="8"/>
      <c r="H2577" s="7"/>
      <c r="K2577" s="1">
        <v>7</v>
      </c>
      <c r="L2577" s="1">
        <v>7</v>
      </c>
      <c r="M2577" s="1">
        <v>7</v>
      </c>
      <c r="N2577" s="1">
        <v>7</v>
      </c>
      <c r="O2577" s="1">
        <v>7</v>
      </c>
      <c r="P2577" s="1">
        <v>7</v>
      </c>
      <c r="T2577" s="9"/>
      <c r="U2577" s="1">
        <f t="shared" si="4211"/>
        <v>59</v>
      </c>
      <c r="V2577" s="1">
        <f t="shared" si="4212"/>
        <v>224</v>
      </c>
    </row>
    <row r="2578" spans="1:22" x14ac:dyDescent="0.3">
      <c r="A2578" s="1">
        <f t="shared" si="4249"/>
        <v>59225</v>
      </c>
      <c r="B2578" s="4"/>
      <c r="C2578" s="4"/>
      <c r="D2578" s="4"/>
      <c r="E2578" s="4"/>
      <c r="F2578" s="14"/>
      <c r="G2578" s="8"/>
      <c r="H2578" s="7"/>
      <c r="J2578" s="24" t="str">
        <f t="shared" ref="J2578" si="4308">CONCATENATE(K2577,1)</f>
        <v>71</v>
      </c>
      <c r="K2578" s="6" t="e">
        <f t="array" ref="K2578:P2580">LINEST(B2570:B2576,C2570:C2576^{1,2,3,4,5},TRUE,TRUE)</f>
        <v>#VALUE!</v>
      </c>
      <c r="L2578" s="6" t="e">
        <v>#VALUE!</v>
      </c>
      <c r="M2578" s="6" t="e">
        <v>#VALUE!</v>
      </c>
      <c r="N2578" s="6" t="e">
        <v>#VALUE!</v>
      </c>
      <c r="O2578" s="6" t="e">
        <v>#VALUE!</v>
      </c>
      <c r="P2578" s="6" t="e">
        <v>#VALUE!</v>
      </c>
      <c r="T2578" s="9"/>
      <c r="U2578" s="1">
        <f t="shared" si="4211"/>
        <v>59</v>
      </c>
      <c r="V2578" s="1">
        <f t="shared" si="4212"/>
        <v>225</v>
      </c>
    </row>
    <row r="2579" spans="1:22" x14ac:dyDescent="0.3">
      <c r="A2579" s="1">
        <f t="shared" si="4249"/>
        <v>59226</v>
      </c>
      <c r="B2579" s="4"/>
      <c r="C2579" s="4"/>
      <c r="D2579" s="4"/>
      <c r="E2579" s="4"/>
      <c r="F2579" s="14"/>
      <c r="G2579" s="8"/>
      <c r="H2579" s="7"/>
      <c r="J2579" s="24" t="str">
        <f t="shared" ref="J2579" si="4309">CONCATENATE(K2577,2)</f>
        <v>72</v>
      </c>
      <c r="K2579" s="6" t="e">
        <v>#VALUE!</v>
      </c>
      <c r="L2579" s="6" t="e">
        <v>#VALUE!</v>
      </c>
      <c r="M2579" s="6" t="e">
        <v>#VALUE!</v>
      </c>
      <c r="N2579" s="6" t="e">
        <v>#VALUE!</v>
      </c>
      <c r="O2579" s="6" t="e">
        <v>#VALUE!</v>
      </c>
      <c r="P2579" s="6" t="e">
        <v>#VALUE!</v>
      </c>
      <c r="T2579" s="9"/>
      <c r="U2579" s="1">
        <f t="shared" si="4211"/>
        <v>59</v>
      </c>
      <c r="V2579" s="1">
        <f t="shared" si="4212"/>
        <v>226</v>
      </c>
    </row>
    <row r="2580" spans="1:22" x14ac:dyDescent="0.3">
      <c r="A2580" s="1">
        <f t="shared" si="4249"/>
        <v>59227</v>
      </c>
      <c r="B2580" s="9"/>
      <c r="C2580" s="9"/>
      <c r="D2580" s="9"/>
      <c r="E2580" s="9"/>
      <c r="F2580" s="9"/>
      <c r="G2580" s="9"/>
      <c r="H2580" s="9"/>
      <c r="J2580" s="24" t="str">
        <f t="shared" ref="J2580" si="4310">CONCATENATE(K2577,3)</f>
        <v>73</v>
      </c>
      <c r="K2580" s="6" t="e">
        <v>#VALUE!</v>
      </c>
      <c r="L2580" s="6" t="e">
        <v>#VALUE!</v>
      </c>
      <c r="M2580" s="6" t="e">
        <v>#VALUE!</v>
      </c>
      <c r="N2580" s="6" t="e">
        <v>#VALUE!</v>
      </c>
      <c r="O2580" s="6" t="e">
        <v>#VALUE!</v>
      </c>
      <c r="P2580" s="6" t="e">
        <v>#VALUE!</v>
      </c>
      <c r="T2580" s="9"/>
      <c r="U2580" s="1">
        <f t="shared" si="4211"/>
        <v>59</v>
      </c>
      <c r="V2580" s="1">
        <f t="shared" si="4212"/>
        <v>227</v>
      </c>
    </row>
    <row r="2581" spans="1:22" x14ac:dyDescent="0.3">
      <c r="A2581" s="1">
        <f t="shared" si="4249"/>
        <v>59228</v>
      </c>
      <c r="B2581" s="87" t="s">
        <v>33</v>
      </c>
      <c r="C2581" s="88"/>
      <c r="D2581" s="88"/>
      <c r="E2581" s="88"/>
      <c r="F2581" s="88"/>
      <c r="G2581" s="88"/>
      <c r="H2581" s="89"/>
      <c r="K2581" s="1">
        <v>8</v>
      </c>
      <c r="L2581" s="1">
        <v>8</v>
      </c>
      <c r="M2581" s="1">
        <v>8</v>
      </c>
      <c r="N2581" s="1">
        <v>8</v>
      </c>
      <c r="O2581" s="1">
        <v>8</v>
      </c>
      <c r="P2581" s="1">
        <v>8</v>
      </c>
      <c r="Q2581" s="1">
        <v>8</v>
      </c>
      <c r="T2581" s="9"/>
      <c r="U2581" s="1">
        <f t="shared" si="4211"/>
        <v>59</v>
      </c>
      <c r="V2581" s="1">
        <f t="shared" si="4212"/>
        <v>228</v>
      </c>
    </row>
    <row r="2582" spans="1:22" x14ac:dyDescent="0.3">
      <c r="A2582" s="1">
        <f t="shared" si="4249"/>
        <v>59229</v>
      </c>
      <c r="B2582" s="90"/>
      <c r="C2582" s="91"/>
      <c r="D2582" s="91"/>
      <c r="E2582" s="91"/>
      <c r="F2582" s="91"/>
      <c r="G2582" s="91"/>
      <c r="H2582" s="92"/>
      <c r="J2582" s="24" t="str">
        <f t="shared" ref="J2582" si="4311">CONCATENATE(K2581,1)</f>
        <v>81</v>
      </c>
      <c r="K2582" s="6" t="e">
        <f t="array" ref="K2582:Q2584">LINEST(B2570:B2577,C2570:C2577^{1,2,3,4,5,6},TRUE,TRUE)</f>
        <v>#VALUE!</v>
      </c>
      <c r="L2582" s="6" t="e">
        <v>#VALUE!</v>
      </c>
      <c r="M2582" s="6" t="e">
        <v>#VALUE!</v>
      </c>
      <c r="N2582" s="6" t="e">
        <v>#VALUE!</v>
      </c>
      <c r="O2582" s="6" t="e">
        <v>#VALUE!</v>
      </c>
      <c r="P2582" s="6" t="e">
        <v>#VALUE!</v>
      </c>
      <c r="Q2582" s="6" t="e">
        <v>#VALUE!</v>
      </c>
      <c r="T2582" s="9"/>
      <c r="U2582" s="1">
        <f t="shared" si="4211"/>
        <v>59</v>
      </c>
      <c r="V2582" s="1">
        <f t="shared" si="4212"/>
        <v>229</v>
      </c>
    </row>
    <row r="2583" spans="1:22" x14ac:dyDescent="0.3">
      <c r="A2583" s="1">
        <f t="shared" si="4249"/>
        <v>59230</v>
      </c>
      <c r="B2583" s="93"/>
      <c r="C2583" s="94"/>
      <c r="D2583" s="94"/>
      <c r="E2583" s="94"/>
      <c r="F2583" s="94"/>
      <c r="G2583" s="94"/>
      <c r="H2583" s="95"/>
      <c r="J2583" s="24" t="str">
        <f t="shared" ref="J2583" si="4312">CONCATENATE(K2581,2)</f>
        <v>82</v>
      </c>
      <c r="K2583" s="6" t="e">
        <v>#VALUE!</v>
      </c>
      <c r="L2583" s="6" t="e">
        <v>#VALUE!</v>
      </c>
      <c r="M2583" s="6" t="e">
        <v>#VALUE!</v>
      </c>
      <c r="N2583" s="6" t="e">
        <v>#VALUE!</v>
      </c>
      <c r="O2583" s="6" t="e">
        <v>#VALUE!</v>
      </c>
      <c r="P2583" s="6" t="e">
        <v>#VALUE!</v>
      </c>
      <c r="Q2583" s="6" t="e">
        <v>#VALUE!</v>
      </c>
      <c r="T2583" s="9"/>
      <c r="U2583" s="1">
        <f t="shared" si="4211"/>
        <v>59</v>
      </c>
      <c r="V2583" s="1">
        <f t="shared" si="4212"/>
        <v>230</v>
      </c>
    </row>
    <row r="2584" spans="1:22" x14ac:dyDescent="0.3">
      <c r="A2584" s="1">
        <f t="shared" si="4249"/>
        <v>59231</v>
      </c>
      <c r="J2584" s="24" t="str">
        <f t="shared" ref="J2584" si="4313">CONCATENATE(K2581,3)</f>
        <v>83</v>
      </c>
      <c r="K2584" s="6" t="e">
        <v>#VALUE!</v>
      </c>
      <c r="L2584" s="6" t="e">
        <v>#VALUE!</v>
      </c>
      <c r="M2584" s="6" t="e">
        <v>#VALUE!</v>
      </c>
      <c r="N2584" s="6" t="e">
        <v>#VALUE!</v>
      </c>
      <c r="O2584" s="6" t="e">
        <v>#VALUE!</v>
      </c>
      <c r="P2584" s="6" t="e">
        <v>#VALUE!</v>
      </c>
      <c r="Q2584" s="6" t="e">
        <v>#VALUE!</v>
      </c>
      <c r="T2584" s="9"/>
      <c r="U2584" s="1">
        <f t="shared" si="4211"/>
        <v>59</v>
      </c>
      <c r="V2584" s="1">
        <f t="shared" si="4212"/>
        <v>231</v>
      </c>
    </row>
    <row r="2585" spans="1:22" ht="15" customHeight="1" x14ac:dyDescent="0.3">
      <c r="A2585" s="1">
        <f t="shared" si="4249"/>
        <v>59232</v>
      </c>
      <c r="B2585" s="10" t="s">
        <v>34</v>
      </c>
      <c r="C2585" s="10" t="s">
        <v>35</v>
      </c>
      <c r="D2585" s="10" t="s">
        <v>36</v>
      </c>
      <c r="E2585" s="74" t="s">
        <v>37</v>
      </c>
      <c r="F2585" s="75"/>
      <c r="G2585" s="76"/>
      <c r="K2585" s="1">
        <v>9</v>
      </c>
      <c r="L2585" s="1">
        <v>9</v>
      </c>
      <c r="M2585" s="1">
        <v>9</v>
      </c>
      <c r="N2585" s="1">
        <v>9</v>
      </c>
      <c r="O2585" s="1">
        <v>9</v>
      </c>
      <c r="P2585" s="1">
        <v>9</v>
      </c>
      <c r="Q2585" s="1">
        <v>9</v>
      </c>
      <c r="R2585" s="1">
        <v>9</v>
      </c>
      <c r="T2585" s="9"/>
      <c r="U2585" s="1">
        <f t="shared" si="4211"/>
        <v>59</v>
      </c>
      <c r="V2585" s="1">
        <f t="shared" si="4212"/>
        <v>232</v>
      </c>
    </row>
    <row r="2586" spans="1:22" x14ac:dyDescent="0.3">
      <c r="A2586" s="1">
        <f t="shared" si="4249"/>
        <v>59233</v>
      </c>
      <c r="B2586" s="12">
        <f t="shared" ref="B2586:B2595" si="4314">C2570-B2570</f>
        <v>3</v>
      </c>
      <c r="C2586" s="13">
        <f t="shared" ref="C2586:C2595" si="4315">H2570-G2570</f>
        <v>2</v>
      </c>
      <c r="D2586" s="10">
        <f t="shared" ref="D2586:D2595" si="4316">C2586-B2586</f>
        <v>-1</v>
      </c>
      <c r="E2586" s="11">
        <f t="shared" ref="E2586" si="4317">IF(D2561="","",MAX(F2586,G2586))</f>
        <v>7</v>
      </c>
      <c r="F2586" s="10">
        <f t="shared" ref="F2586" si="4318">ABS(MIN(D2586:D2595))</f>
        <v>7</v>
      </c>
      <c r="G2586" s="10">
        <f t="shared" ref="G2586" si="4319">ABS(MAX(D2586:D2595))</f>
        <v>0</v>
      </c>
      <c r="J2586" s="24" t="str">
        <f t="shared" ref="J2586" si="4320">CONCATENATE(K2585,1)</f>
        <v>91</v>
      </c>
      <c r="K2586" s="6" t="e">
        <f t="array" ref="K2586:R2588">LINEST(B2570:B2578,C2570:C2578^{1,2,3,4,5,6,7},TRUE,TRUE)</f>
        <v>#VALUE!</v>
      </c>
      <c r="L2586" s="6" t="e">
        <v>#VALUE!</v>
      </c>
      <c r="M2586" s="6" t="e">
        <v>#VALUE!</v>
      </c>
      <c r="N2586" s="6" t="e">
        <v>#VALUE!</v>
      </c>
      <c r="O2586" s="6" t="e">
        <v>#VALUE!</v>
      </c>
      <c r="P2586" s="6" t="e">
        <v>#VALUE!</v>
      </c>
      <c r="Q2586" s="6" t="e">
        <v>#VALUE!</v>
      </c>
      <c r="R2586" s="6" t="e">
        <v>#VALUE!</v>
      </c>
      <c r="T2586" s="9"/>
      <c r="U2586" s="1">
        <f t="shared" si="4211"/>
        <v>59</v>
      </c>
      <c r="V2586" s="1">
        <f t="shared" si="4212"/>
        <v>233</v>
      </c>
    </row>
    <row r="2587" spans="1:22" x14ac:dyDescent="0.3">
      <c r="A2587" s="1">
        <f t="shared" si="4249"/>
        <v>59234</v>
      </c>
      <c r="B2587" s="12">
        <f t="shared" si="4314"/>
        <v>-1</v>
      </c>
      <c r="C2587" s="13">
        <f t="shared" si="4315"/>
        <v>-3</v>
      </c>
      <c r="D2587" s="10">
        <f t="shared" si="4316"/>
        <v>-2</v>
      </c>
      <c r="E2587" s="74" t="s">
        <v>38</v>
      </c>
      <c r="F2587" s="75"/>
      <c r="G2587" s="76"/>
      <c r="J2587" s="24" t="str">
        <f t="shared" ref="J2587" si="4321">CONCATENATE(K2585,2)</f>
        <v>92</v>
      </c>
      <c r="K2587" s="6" t="e">
        <v>#VALUE!</v>
      </c>
      <c r="L2587" s="6" t="e">
        <v>#VALUE!</v>
      </c>
      <c r="M2587" s="6" t="e">
        <v>#VALUE!</v>
      </c>
      <c r="N2587" s="6" t="e">
        <v>#VALUE!</v>
      </c>
      <c r="O2587" s="6" t="e">
        <v>#VALUE!</v>
      </c>
      <c r="P2587" s="6" t="e">
        <v>#VALUE!</v>
      </c>
      <c r="Q2587" s="6" t="e">
        <v>#VALUE!</v>
      </c>
      <c r="R2587" s="6" t="e">
        <v>#VALUE!</v>
      </c>
      <c r="T2587" s="9"/>
      <c r="U2587" s="1">
        <f t="shared" ref="U2587:U2650" si="4322">U2586</f>
        <v>59</v>
      </c>
      <c r="V2587" s="1">
        <f t="shared" ref="V2587:V2650" si="4323">V2586+1</f>
        <v>234</v>
      </c>
    </row>
    <row r="2588" spans="1:22" x14ac:dyDescent="0.3">
      <c r="A2588" s="1">
        <f t="shared" si="4249"/>
        <v>59235</v>
      </c>
      <c r="B2588" s="12">
        <f t="shared" si="4314"/>
        <v>-4</v>
      </c>
      <c r="C2588" s="13">
        <f t="shared" si="4315"/>
        <v>-11</v>
      </c>
      <c r="D2588" s="10">
        <f t="shared" si="4316"/>
        <v>-7</v>
      </c>
      <c r="E2588" s="11">
        <f t="shared" ref="E2588" si="4324">IF(D2561="","",MAX(F2588,G2588))</f>
        <v>4</v>
      </c>
      <c r="F2588" s="10">
        <f t="shared" ref="F2588" si="4325">ABS(MIN(B2586:B2595))</f>
        <v>4</v>
      </c>
      <c r="G2588" s="10">
        <f t="shared" ref="G2588" si="4326">ABS(MAX(B2586:B2595))</f>
        <v>3</v>
      </c>
      <c r="J2588" s="24" t="str">
        <f t="shared" ref="J2588" si="4327">CONCATENATE(K2585,3)</f>
        <v>93</v>
      </c>
      <c r="K2588" s="6" t="e">
        <v>#VALUE!</v>
      </c>
      <c r="L2588" s="6" t="e">
        <v>#VALUE!</v>
      </c>
      <c r="M2588" s="6" t="e">
        <v>#VALUE!</v>
      </c>
      <c r="N2588" s="6" t="e">
        <v>#VALUE!</v>
      </c>
      <c r="O2588" s="6" t="e">
        <v>#VALUE!</v>
      </c>
      <c r="P2588" s="6" t="e">
        <v>#VALUE!</v>
      </c>
      <c r="Q2588" s="6" t="e">
        <v>#VALUE!</v>
      </c>
      <c r="R2588" s="6" t="e">
        <v>#VALUE!</v>
      </c>
      <c r="T2588" s="9"/>
      <c r="U2588" s="1">
        <f t="shared" si="4322"/>
        <v>59</v>
      </c>
      <c r="V2588" s="1">
        <f t="shared" si="4323"/>
        <v>235</v>
      </c>
    </row>
    <row r="2589" spans="1:22" x14ac:dyDescent="0.3">
      <c r="A2589" s="1">
        <f t="shared" si="4249"/>
        <v>59236</v>
      </c>
      <c r="B2589" s="12">
        <f t="shared" si="4314"/>
        <v>0</v>
      </c>
      <c r="C2589" s="13">
        <f t="shared" si="4315"/>
        <v>0</v>
      </c>
      <c r="D2589" s="10">
        <f t="shared" si="4316"/>
        <v>0</v>
      </c>
      <c r="E2589" s="74" t="s">
        <v>39</v>
      </c>
      <c r="F2589" s="75"/>
      <c r="G2589" s="76"/>
      <c r="K2589" s="1">
        <v>10</v>
      </c>
      <c r="L2589" s="1">
        <v>10</v>
      </c>
      <c r="M2589" s="1">
        <v>10</v>
      </c>
      <c r="N2589" s="1">
        <v>10</v>
      </c>
      <c r="O2589" s="1">
        <v>10</v>
      </c>
      <c r="P2589" s="1">
        <v>10</v>
      </c>
      <c r="Q2589" s="1">
        <v>10</v>
      </c>
      <c r="R2589" s="1">
        <v>10</v>
      </c>
      <c r="S2589" s="1">
        <v>10</v>
      </c>
      <c r="T2589" s="9"/>
      <c r="U2589" s="1">
        <f t="shared" si="4322"/>
        <v>59</v>
      </c>
      <c r="V2589" s="1">
        <f t="shared" si="4323"/>
        <v>236</v>
      </c>
    </row>
    <row r="2590" spans="1:22" x14ac:dyDescent="0.3">
      <c r="A2590" s="1">
        <f t="shared" si="4249"/>
        <v>59237</v>
      </c>
      <c r="B2590" s="12">
        <f t="shared" si="4314"/>
        <v>0</v>
      </c>
      <c r="C2590" s="13">
        <f t="shared" si="4315"/>
        <v>0</v>
      </c>
      <c r="D2590" s="10">
        <f t="shared" si="4316"/>
        <v>0</v>
      </c>
      <c r="E2590" s="11">
        <f t="shared" ref="E2590" si="4328">IF(D2561="","",MAX(F2590,G2590))</f>
        <v>2</v>
      </c>
      <c r="F2590" s="10">
        <f t="shared" ref="F2590" si="4329">ABS(MIN(D2570:D2579))</f>
        <v>2</v>
      </c>
      <c r="G2590" s="10">
        <f t="shared" ref="G2590" si="4330">ABS(MAX(D2570:D2579))</f>
        <v>2</v>
      </c>
      <c r="J2590" s="24" t="str">
        <f t="shared" ref="J2590" si="4331">CONCATENATE(K2589,1)</f>
        <v>101</v>
      </c>
      <c r="K2590" s="6" t="e">
        <f t="array" ref="K2590:S2592">LINEST(B2570:B2579,C2570:C2579^{1,2,3,4,5,6,7,8},TRUE,TRUE)</f>
        <v>#VALUE!</v>
      </c>
      <c r="L2590" s="6" t="e">
        <v>#VALUE!</v>
      </c>
      <c r="M2590" s="6" t="e">
        <v>#VALUE!</v>
      </c>
      <c r="N2590" s="6" t="e">
        <v>#VALUE!</v>
      </c>
      <c r="O2590" s="6" t="e">
        <v>#VALUE!</v>
      </c>
      <c r="P2590" s="6" t="e">
        <v>#VALUE!</v>
      </c>
      <c r="Q2590" s="6" t="e">
        <v>#VALUE!</v>
      </c>
      <c r="R2590" s="6" t="e">
        <v>#VALUE!</v>
      </c>
      <c r="S2590" s="6" t="e">
        <v>#VALUE!</v>
      </c>
      <c r="T2590" s="9"/>
      <c r="U2590" s="1">
        <f t="shared" si="4322"/>
        <v>59</v>
      </c>
      <c r="V2590" s="1">
        <f t="shared" si="4323"/>
        <v>237</v>
      </c>
    </row>
    <row r="2591" spans="1:22" x14ac:dyDescent="0.3">
      <c r="A2591" s="1">
        <f t="shared" si="4249"/>
        <v>59238</v>
      </c>
      <c r="B2591" s="12">
        <f t="shared" si="4314"/>
        <v>0</v>
      </c>
      <c r="C2591" s="13">
        <f t="shared" si="4315"/>
        <v>0</v>
      </c>
      <c r="D2591" s="10">
        <f t="shared" si="4316"/>
        <v>0</v>
      </c>
      <c r="J2591" s="24" t="str">
        <f t="shared" ref="J2591" si="4332">CONCATENATE(K2589,2)</f>
        <v>102</v>
      </c>
      <c r="K2591" s="6" t="e">
        <v>#VALUE!</v>
      </c>
      <c r="L2591" s="6" t="e">
        <v>#VALUE!</v>
      </c>
      <c r="M2591" s="6" t="e">
        <v>#VALUE!</v>
      </c>
      <c r="N2591" s="6" t="e">
        <v>#VALUE!</v>
      </c>
      <c r="O2591" s="6" t="e">
        <v>#VALUE!</v>
      </c>
      <c r="P2591" s="6" t="e">
        <v>#VALUE!</v>
      </c>
      <c r="Q2591" s="6" t="e">
        <v>#VALUE!</v>
      </c>
      <c r="R2591" s="6" t="e">
        <v>#VALUE!</v>
      </c>
      <c r="S2591" s="6" t="e">
        <v>#VALUE!</v>
      </c>
      <c r="T2591" s="9"/>
      <c r="U2591" s="1">
        <f t="shared" si="4322"/>
        <v>59</v>
      </c>
      <c r="V2591" s="1">
        <f t="shared" si="4323"/>
        <v>238</v>
      </c>
    </row>
    <row r="2592" spans="1:22" x14ac:dyDescent="0.3">
      <c r="A2592" s="1">
        <f t="shared" si="4249"/>
        <v>59239</v>
      </c>
      <c r="B2592" s="12">
        <f t="shared" si="4314"/>
        <v>0</v>
      </c>
      <c r="C2592" s="13">
        <f t="shared" si="4315"/>
        <v>0</v>
      </c>
      <c r="D2592" s="10">
        <f t="shared" si="4316"/>
        <v>0</v>
      </c>
      <c r="J2592" s="24" t="str">
        <f t="shared" ref="J2592" si="4333">CONCATENATE(K2589,3)</f>
        <v>103</v>
      </c>
      <c r="K2592" s="6" t="e">
        <v>#VALUE!</v>
      </c>
      <c r="L2592" s="6" t="e">
        <v>#VALUE!</v>
      </c>
      <c r="M2592" s="6" t="e">
        <v>#VALUE!</v>
      </c>
      <c r="N2592" s="6" t="e">
        <v>#VALUE!</v>
      </c>
      <c r="O2592" s="6" t="e">
        <v>#VALUE!</v>
      </c>
      <c r="P2592" s="6" t="e">
        <v>#VALUE!</v>
      </c>
      <c r="Q2592" s="6" t="e">
        <v>#VALUE!</v>
      </c>
      <c r="R2592" s="6" t="e">
        <v>#VALUE!</v>
      </c>
      <c r="S2592" s="6" t="e">
        <v>#VALUE!</v>
      </c>
      <c r="T2592" s="9"/>
      <c r="U2592" s="1">
        <f t="shared" si="4322"/>
        <v>59</v>
      </c>
      <c r="V2592" s="1">
        <f t="shared" si="4323"/>
        <v>239</v>
      </c>
    </row>
    <row r="2593" spans="1:22" x14ac:dyDescent="0.3">
      <c r="A2593" s="1">
        <f t="shared" si="4249"/>
        <v>59240</v>
      </c>
      <c r="B2593" s="12">
        <f t="shared" si="4314"/>
        <v>0</v>
      </c>
      <c r="C2593" s="13">
        <f t="shared" si="4315"/>
        <v>0</v>
      </c>
      <c r="D2593" s="10">
        <f t="shared" si="4316"/>
        <v>0</v>
      </c>
      <c r="J2593" s="9"/>
      <c r="K2593" s="9"/>
      <c r="L2593" s="9"/>
      <c r="M2593" s="9"/>
      <c r="N2593" s="9"/>
      <c r="O2593" s="9"/>
      <c r="P2593" s="9"/>
      <c r="Q2593" s="9"/>
      <c r="R2593" s="9"/>
      <c r="S2593" s="9"/>
      <c r="T2593" s="9"/>
      <c r="U2593" s="1">
        <f t="shared" si="4322"/>
        <v>59</v>
      </c>
      <c r="V2593" s="1">
        <f t="shared" si="4323"/>
        <v>240</v>
      </c>
    </row>
    <row r="2594" spans="1:22" x14ac:dyDescent="0.3">
      <c r="A2594" s="1">
        <f t="shared" si="4249"/>
        <v>59241</v>
      </c>
      <c r="B2594" s="12">
        <f t="shared" si="4314"/>
        <v>0</v>
      </c>
      <c r="C2594" s="13">
        <f t="shared" si="4315"/>
        <v>0</v>
      </c>
      <c r="D2594" s="10">
        <f t="shared" si="4316"/>
        <v>0</v>
      </c>
      <c r="J2594" s="9"/>
      <c r="K2594" s="9"/>
      <c r="L2594" s="9"/>
      <c r="M2594" s="9"/>
      <c r="N2594" s="9"/>
      <c r="O2594" s="9"/>
      <c r="P2594" s="9"/>
      <c r="Q2594" s="9"/>
      <c r="R2594" s="9"/>
      <c r="S2594" s="9"/>
      <c r="T2594" s="9"/>
      <c r="U2594" s="1">
        <f t="shared" si="4322"/>
        <v>59</v>
      </c>
      <c r="V2594" s="1">
        <f t="shared" si="4323"/>
        <v>241</v>
      </c>
    </row>
    <row r="2595" spans="1:22" x14ac:dyDescent="0.3">
      <c r="A2595" s="1">
        <f t="shared" si="4249"/>
        <v>59242</v>
      </c>
      <c r="B2595" s="12">
        <f t="shared" si="4314"/>
        <v>0</v>
      </c>
      <c r="C2595" s="13">
        <f t="shared" si="4315"/>
        <v>0</v>
      </c>
      <c r="D2595" s="10">
        <f t="shared" si="4316"/>
        <v>0</v>
      </c>
      <c r="J2595" s="9"/>
      <c r="K2595" s="9"/>
      <c r="L2595" s="9"/>
      <c r="M2595" s="9"/>
      <c r="N2595" s="9"/>
      <c r="O2595" s="9"/>
      <c r="P2595" s="9"/>
      <c r="Q2595" s="9"/>
      <c r="R2595" s="9"/>
      <c r="S2595" s="9"/>
      <c r="T2595" s="9"/>
      <c r="U2595" s="1">
        <f t="shared" si="4322"/>
        <v>59</v>
      </c>
      <c r="V2595" s="1">
        <f t="shared" si="4323"/>
        <v>242</v>
      </c>
    </row>
    <row r="2596" spans="1:22" x14ac:dyDescent="0.3">
      <c r="A2596" s="1">
        <f t="shared" si="4249"/>
        <v>59243</v>
      </c>
      <c r="J2596" s="9"/>
      <c r="K2596" s="9"/>
      <c r="L2596" s="9"/>
      <c r="M2596" s="9"/>
      <c r="N2596" s="9"/>
      <c r="O2596" s="9"/>
      <c r="P2596" s="9"/>
      <c r="Q2596" s="9"/>
      <c r="R2596" s="9"/>
      <c r="S2596" s="9"/>
      <c r="T2596" s="9"/>
      <c r="U2596" s="1">
        <f t="shared" si="4322"/>
        <v>59</v>
      </c>
      <c r="V2596" s="1">
        <f t="shared" si="4323"/>
        <v>243</v>
      </c>
    </row>
    <row r="2597" spans="1:22" s="5" customFormat="1" x14ac:dyDescent="0.3"/>
    <row r="2598" spans="1:22" x14ac:dyDescent="0.3">
      <c r="A2598" s="1">
        <f t="shared" ref="A2598:A2640" si="4334">ROUND(CONCATENATE(U2598,V2598),0)</f>
        <v>60201</v>
      </c>
      <c r="B2598" s="96" t="s">
        <v>0</v>
      </c>
      <c r="C2598" s="97"/>
      <c r="D2598" s="110" t="s">
        <v>46</v>
      </c>
      <c r="E2598" s="111"/>
      <c r="F2598" s="111"/>
      <c r="G2598" s="111"/>
      <c r="H2598" s="112"/>
      <c r="J2598" s="9"/>
      <c r="K2598" s="9"/>
      <c r="L2598" s="9"/>
      <c r="M2598" s="9"/>
      <c r="N2598" s="9"/>
      <c r="O2598" s="9"/>
      <c r="P2598" s="9"/>
      <c r="Q2598" s="9"/>
      <c r="R2598" s="9"/>
      <c r="S2598" s="9"/>
      <c r="T2598" s="9"/>
      <c r="U2598" s="1">
        <f t="shared" ref="U2598" si="4335">U2596+1</f>
        <v>60</v>
      </c>
      <c r="V2598" s="1">
        <v>201</v>
      </c>
    </row>
    <row r="2599" spans="1:22" x14ac:dyDescent="0.3">
      <c r="A2599" s="1">
        <f t="shared" si="4334"/>
        <v>60202</v>
      </c>
      <c r="B2599" s="96" t="s">
        <v>1</v>
      </c>
      <c r="C2599" s="97"/>
      <c r="D2599" s="15">
        <v>20</v>
      </c>
      <c r="E2599" s="16" t="s">
        <v>2</v>
      </c>
      <c r="F2599" s="107"/>
      <c r="G2599" s="108"/>
      <c r="H2599" s="109"/>
      <c r="J2599" s="9"/>
      <c r="K2599" s="9"/>
      <c r="L2599" s="9"/>
      <c r="M2599" s="9"/>
      <c r="N2599" s="9"/>
      <c r="O2599" s="9"/>
      <c r="P2599" s="9"/>
      <c r="Q2599" s="9"/>
      <c r="R2599" s="9"/>
      <c r="S2599" s="9"/>
      <c r="T2599" s="9"/>
      <c r="U2599" s="1">
        <f t="shared" ref="U2599" si="4336">U2598</f>
        <v>60</v>
      </c>
      <c r="V2599" s="1">
        <f t="shared" ref="V2599" si="4337">V2598+1</f>
        <v>202</v>
      </c>
    </row>
    <row r="2600" spans="1:22" x14ac:dyDescent="0.3">
      <c r="A2600" s="1">
        <f t="shared" si="4334"/>
        <v>60203</v>
      </c>
      <c r="B2600" s="96" t="s">
        <v>12</v>
      </c>
      <c r="C2600" s="97"/>
      <c r="D2600" s="110" t="s">
        <v>167</v>
      </c>
      <c r="E2600" s="111"/>
      <c r="F2600" s="111"/>
      <c r="G2600" s="111"/>
      <c r="H2600" s="112"/>
      <c r="K2600" s="1" t="s">
        <v>3</v>
      </c>
      <c r="L2600" s="1" t="s">
        <v>4</v>
      </c>
      <c r="M2600" s="1" t="s">
        <v>5</v>
      </c>
      <c r="N2600" s="1" t="s">
        <v>6</v>
      </c>
      <c r="O2600" s="1" t="s">
        <v>7</v>
      </c>
      <c r="P2600" s="1" t="s">
        <v>8</v>
      </c>
      <c r="Q2600" s="1" t="s">
        <v>9</v>
      </c>
      <c r="R2600" s="1" t="s">
        <v>10</v>
      </c>
      <c r="S2600" s="1" t="s">
        <v>11</v>
      </c>
      <c r="T2600" s="9"/>
      <c r="U2600" s="1">
        <f t="shared" si="4322"/>
        <v>60</v>
      </c>
      <c r="V2600" s="1">
        <f t="shared" si="4323"/>
        <v>203</v>
      </c>
    </row>
    <row r="2601" spans="1:22" x14ac:dyDescent="0.3">
      <c r="A2601" s="1">
        <f t="shared" si="4334"/>
        <v>60204</v>
      </c>
      <c r="B2601" s="96" t="s">
        <v>13</v>
      </c>
      <c r="C2601" s="97"/>
      <c r="D2601" s="110" t="s">
        <v>65</v>
      </c>
      <c r="E2601" s="111"/>
      <c r="F2601" s="111"/>
      <c r="G2601" s="111"/>
      <c r="H2601" s="112"/>
      <c r="J2601" s="1">
        <f t="shared" ref="J2601" si="4338">COUNTA(B2614:B2623)</f>
        <v>3</v>
      </c>
      <c r="K2601" s="1">
        <f t="shared" ref="K2601" si="4339">IF(L2601-1&lt;2,0,L2601-1)</f>
        <v>0</v>
      </c>
      <c r="L2601" s="1">
        <f t="shared" ref="L2601" si="4340">IF(M2601-1&lt;2,0,M2601-1)</f>
        <v>0</v>
      </c>
      <c r="M2601" s="1">
        <f t="shared" ref="M2601" si="4341">IF(N2601-1&lt;2,0,N2601-1)</f>
        <v>0</v>
      </c>
      <c r="N2601" s="1">
        <f t="shared" ref="N2601" si="4342">IF(O2601-1&lt;2,0,O2601-1)</f>
        <v>0</v>
      </c>
      <c r="O2601" s="1">
        <f t="shared" ref="O2601" si="4343">IF(P2601-1&lt;2,0,P2601-1)</f>
        <v>0</v>
      </c>
      <c r="P2601" s="1">
        <f t="shared" ref="P2601" si="4344">IF(Q2601-1&lt;2,0,Q2601-1)</f>
        <v>0</v>
      </c>
      <c r="Q2601" s="1">
        <f t="shared" ref="Q2601" si="4345">IF(R2601-1&lt;2,0,R2601-1)</f>
        <v>0</v>
      </c>
      <c r="R2601" s="1">
        <f t="shared" ref="R2601" si="4346">IF(S2601-1&lt;2,0,S2601-1)</f>
        <v>2</v>
      </c>
      <c r="S2601" s="1">
        <f t="shared" ref="S2601" si="4347">J2601</f>
        <v>3</v>
      </c>
      <c r="T2601" s="9"/>
      <c r="U2601" s="1">
        <f t="shared" si="4322"/>
        <v>60</v>
      </c>
      <c r="V2601" s="1">
        <f t="shared" si="4323"/>
        <v>204</v>
      </c>
    </row>
    <row r="2602" spans="1:22" x14ac:dyDescent="0.3">
      <c r="A2602" s="1">
        <f t="shared" si="4334"/>
        <v>60205</v>
      </c>
      <c r="B2602" s="96" t="s">
        <v>14</v>
      </c>
      <c r="C2602" s="97"/>
      <c r="D2602" s="110" t="s">
        <v>66</v>
      </c>
      <c r="E2602" s="111"/>
      <c r="F2602" s="111"/>
      <c r="G2602" s="111"/>
      <c r="H2602" s="112"/>
      <c r="J2602" s="24" t="str">
        <f t="shared" ref="J2602" si="4348">CONCATENATE(J2601,1)</f>
        <v>31</v>
      </c>
      <c r="K2602" s="25">
        <f t="shared" ref="K2602" si="4349">IF(K2601=0,0,VLOOKUP(J2602,J2606:S2636,K2601,FALSE))</f>
        <v>0</v>
      </c>
      <c r="L2602" s="25">
        <f t="shared" ref="L2602" si="4350">IF(L2601=0,0,VLOOKUP(J2602,J2606:S2636,L2601,FALSE))</f>
        <v>0</v>
      </c>
      <c r="M2602" s="25">
        <f t="shared" ref="M2602" si="4351">IF(M2601=0,0,VLOOKUP(J2602,J2606:S2636,M2601,FALSE))</f>
        <v>0</v>
      </c>
      <c r="N2602" s="25">
        <f t="shared" ref="N2602" si="4352">IF(N2601=0,0,VLOOKUP(J2602,J2606:S2636,N2601,FALSE))</f>
        <v>0</v>
      </c>
      <c r="O2602" s="25">
        <f t="shared" ref="O2602" si="4353">IF(O2601=0,0,VLOOKUP(J2602,J2606:S2636,O2601,FALSE))</f>
        <v>0</v>
      </c>
      <c r="P2602" s="25">
        <f t="shared" ref="P2602" si="4354">IF(P2601=0,0,VLOOKUP(J2602,J2606:S2636,P2601,FALSE))</f>
        <v>0</v>
      </c>
      <c r="Q2602" s="25">
        <f t="shared" ref="Q2602" si="4355">IF(Q2601=0,0,VLOOKUP(J2602,J2606:S2636,Q2601,FALSE))</f>
        <v>0</v>
      </c>
      <c r="R2602" s="25">
        <f t="shared" ref="R2602" si="4356">IF(R2601=0,0,VLOOKUP(J2602,J2606:S2636,R2601,FALSE))</f>
        <v>1.0435779816513759</v>
      </c>
      <c r="S2602" s="25">
        <f t="shared" ref="S2602" si="4357">IF(S2601=0,0,VLOOKUP(J2602,J2606:S2636,S2601,FALSE))</f>
        <v>1.5022935779816677</v>
      </c>
      <c r="T2602" s="9"/>
      <c r="U2602" s="1">
        <f t="shared" si="4322"/>
        <v>60</v>
      </c>
      <c r="V2602" s="1">
        <f t="shared" si="4323"/>
        <v>205</v>
      </c>
    </row>
    <row r="2603" spans="1:22" x14ac:dyDescent="0.3">
      <c r="A2603" s="1">
        <f t="shared" si="4334"/>
        <v>60206</v>
      </c>
      <c r="B2603" s="96" t="s">
        <v>15</v>
      </c>
      <c r="C2603" s="97"/>
      <c r="D2603" s="110" t="s">
        <v>217</v>
      </c>
      <c r="E2603" s="111"/>
      <c r="F2603" s="111"/>
      <c r="G2603" s="111"/>
      <c r="H2603" s="112"/>
      <c r="J2603" s="24" t="str">
        <f t="shared" ref="J2603" si="4358">CONCATENATE(J2601,2)</f>
        <v>32</v>
      </c>
      <c r="K2603" s="6">
        <f t="shared" ref="K2603" si="4359">IF(K2601=0,0,VLOOKUP(J2603,J2606:S2636,K2601,FALSE))</f>
        <v>0</v>
      </c>
      <c r="L2603" s="6">
        <f t="shared" ref="L2603" si="4360">IF(L2601=0,0,VLOOKUP(J2603,J2606:S2636,L2601,FALSE))</f>
        <v>0</v>
      </c>
      <c r="M2603" s="6">
        <f t="shared" ref="M2603" si="4361">IF(M2601=0,0,VLOOKUP(J2603,J2606:S2636,M2601,FALSE))</f>
        <v>0</v>
      </c>
      <c r="N2603" s="6">
        <f t="shared" ref="N2603" si="4362">IF(N2601=0,0,VLOOKUP(J2603,J2606:S2636,N2601,FALSE))</f>
        <v>0</v>
      </c>
      <c r="O2603" s="6">
        <f t="shared" ref="O2603" si="4363">IF(O2601=0,0,VLOOKUP(J2603,J2606:S2636,O2601,FALSE))</f>
        <v>0</v>
      </c>
      <c r="P2603" s="6">
        <f t="shared" ref="P2603" si="4364">IF(P2601=0,0,VLOOKUP(J2603,J2606:S2636,P2601,FALSE))</f>
        <v>0</v>
      </c>
      <c r="Q2603" s="6">
        <f t="shared" ref="Q2603" si="4365">IF(Q2601=0,0,VLOOKUP(J2603,J2606:S2636,Q2601,FALSE))</f>
        <v>0</v>
      </c>
      <c r="R2603" s="6">
        <f t="shared" ref="R2603" si="4366">IF(R2601=0,0,VLOOKUP(J2603,J2606:S2636,R2601,FALSE))</f>
        <v>1.9862967976707536E-2</v>
      </c>
      <c r="S2603" s="6">
        <f t="shared" ref="S2603" si="4367">IF(S2601=0,0,VLOOKUP(J2603,J2606:S2636,S2601,FALSE))</f>
        <v>1.06119815703331</v>
      </c>
      <c r="T2603" s="9"/>
      <c r="U2603" s="1">
        <f t="shared" si="4322"/>
        <v>60</v>
      </c>
      <c r="V2603" s="1">
        <f t="shared" si="4323"/>
        <v>206</v>
      </c>
    </row>
    <row r="2604" spans="1:22" x14ac:dyDescent="0.3">
      <c r="A2604" s="1">
        <f t="shared" si="4334"/>
        <v>60207</v>
      </c>
      <c r="B2604" s="96" t="s">
        <v>16</v>
      </c>
      <c r="C2604" s="97"/>
      <c r="D2604" s="113">
        <v>45373</v>
      </c>
      <c r="E2604" s="114"/>
      <c r="F2604" s="114"/>
      <c r="G2604" s="114"/>
      <c r="H2604" s="115"/>
      <c r="J2604" s="24" t="str">
        <f t="shared" ref="J2604" si="4368">CONCATENATE(J2601,3)</f>
        <v>33</v>
      </c>
      <c r="K2604" s="6"/>
      <c r="L2604" s="6"/>
      <c r="M2604" s="6"/>
      <c r="N2604" s="6" t="s">
        <v>43</v>
      </c>
      <c r="O2604" s="25">
        <f t="shared" ref="O2604" si="4369">J2601-2</f>
        <v>1</v>
      </c>
      <c r="P2604" s="6" t="s">
        <v>44</v>
      </c>
      <c r="Q2604" s="25">
        <f t="shared" ref="Q2604" si="4370">VLOOKUP(J2604,J2606:S2636,3,FALSE)</f>
        <v>0.67728546147860413</v>
      </c>
      <c r="R2604" s="6" t="s">
        <v>45</v>
      </c>
      <c r="S2604" s="6">
        <f t="shared" ref="S2604" si="4371">VLOOKUP(J2604,J2606:S2636,2,FALSE)</f>
        <v>0.99963785610816036</v>
      </c>
      <c r="T2604" s="9"/>
      <c r="U2604" s="1">
        <f t="shared" si="4322"/>
        <v>60</v>
      </c>
      <c r="V2604" s="1">
        <f t="shared" si="4323"/>
        <v>207</v>
      </c>
    </row>
    <row r="2605" spans="1:22" x14ac:dyDescent="0.3">
      <c r="A2605" s="1">
        <f t="shared" si="4334"/>
        <v>60208</v>
      </c>
      <c r="B2605" s="96" t="s">
        <v>17</v>
      </c>
      <c r="C2605" s="97"/>
      <c r="D2605" s="116">
        <v>45747</v>
      </c>
      <c r="E2605" s="117"/>
      <c r="F2605" s="117"/>
      <c r="G2605" s="117"/>
      <c r="H2605" s="118"/>
      <c r="K2605" s="1">
        <v>3</v>
      </c>
      <c r="L2605" s="1">
        <v>3</v>
      </c>
      <c r="Q2605" s="26"/>
      <c r="R2605" s="26"/>
      <c r="S2605" s="26"/>
      <c r="T2605" s="9"/>
      <c r="U2605" s="1">
        <f t="shared" si="4322"/>
        <v>60</v>
      </c>
      <c r="V2605" s="1">
        <f t="shared" si="4323"/>
        <v>208</v>
      </c>
    </row>
    <row r="2606" spans="1:22" x14ac:dyDescent="0.3">
      <c r="A2606" s="1">
        <f t="shared" si="4334"/>
        <v>60209</v>
      </c>
      <c r="B2606" s="77" t="s">
        <v>19</v>
      </c>
      <c r="C2606" s="78"/>
      <c r="D2606" s="17">
        <v>1</v>
      </c>
      <c r="E2606" s="79" t="s">
        <v>40</v>
      </c>
      <c r="F2606" s="80"/>
      <c r="G2606" s="81"/>
      <c r="H2606" s="18" t="s">
        <v>72</v>
      </c>
      <c r="J2606" s="24" t="str">
        <f t="shared" ref="J2606" si="4372">CONCATENATE(K2605,1)</f>
        <v>31</v>
      </c>
      <c r="K2606" s="6">
        <f t="array" ref="K2606:L2608">LINEST(B2614:B2616,C2614:C2616^{1},TRUE,TRUE)</f>
        <v>1.0435779816513759</v>
      </c>
      <c r="L2606" s="6">
        <v>1.5022935779816677</v>
      </c>
      <c r="Q2606" s="9"/>
      <c r="R2606" s="9"/>
      <c r="S2606" s="9"/>
      <c r="T2606" s="9"/>
      <c r="U2606" s="1">
        <f t="shared" si="4322"/>
        <v>60</v>
      </c>
      <c r="V2606" s="1">
        <f t="shared" si="4323"/>
        <v>209</v>
      </c>
    </row>
    <row r="2607" spans="1:22" x14ac:dyDescent="0.3">
      <c r="A2607" s="1">
        <f t="shared" si="4334"/>
        <v>60210</v>
      </c>
      <c r="B2607" s="77" t="s">
        <v>41</v>
      </c>
      <c r="C2607" s="78"/>
      <c r="D2607" s="23">
        <f t="shared" ref="D2607" si="4373">MIN(B2614:B2623)</f>
        <v>30</v>
      </c>
      <c r="E2607" s="20" t="s">
        <v>18</v>
      </c>
      <c r="F2607" s="19">
        <f t="shared" ref="F2607" si="4374">MAX(B2614:B2623)</f>
        <v>80</v>
      </c>
      <c r="G2607" s="21" t="str">
        <f t="shared" ref="G2607" si="4375">IF(H2606="","",H2606)</f>
        <v>%ur</v>
      </c>
      <c r="H2607" s="22"/>
      <c r="J2607" s="24" t="str">
        <f t="shared" ref="J2607" si="4376">CONCATENATE(K2605,2)</f>
        <v>32</v>
      </c>
      <c r="K2607" s="6">
        <v>1.9862967976707536E-2</v>
      </c>
      <c r="L2607" s="6">
        <v>1.06119815703331</v>
      </c>
      <c r="Q2607" s="9"/>
      <c r="R2607" s="9"/>
      <c r="S2607" s="9"/>
      <c r="T2607" s="9"/>
      <c r="U2607" s="1">
        <f t="shared" si="4322"/>
        <v>60</v>
      </c>
      <c r="V2607" s="1">
        <f t="shared" si="4323"/>
        <v>210</v>
      </c>
    </row>
    <row r="2608" spans="1:22" x14ac:dyDescent="0.3">
      <c r="A2608" s="1">
        <f t="shared" si="4334"/>
        <v>60211</v>
      </c>
      <c r="J2608" s="24" t="str">
        <f t="shared" ref="J2608" si="4377">CONCATENATE(K2605,3)</f>
        <v>33</v>
      </c>
      <c r="K2608" s="6">
        <v>0.99963785610816036</v>
      </c>
      <c r="L2608" s="6">
        <v>0.67728546147860413</v>
      </c>
      <c r="Q2608" s="9"/>
      <c r="R2608" s="9"/>
      <c r="S2608" s="9"/>
      <c r="T2608" s="9"/>
      <c r="U2608" s="1">
        <f t="shared" si="4322"/>
        <v>60</v>
      </c>
      <c r="V2608" s="1">
        <f t="shared" si="4323"/>
        <v>211</v>
      </c>
    </row>
    <row r="2609" spans="1:22" x14ac:dyDescent="0.3">
      <c r="A2609" s="1">
        <f t="shared" si="4334"/>
        <v>60212</v>
      </c>
      <c r="B2609" s="82" t="s">
        <v>20</v>
      </c>
      <c r="C2609" s="83"/>
      <c r="D2609" s="83"/>
      <c r="E2609" s="83"/>
      <c r="F2609" s="84"/>
      <c r="G2609" s="85" t="s">
        <v>31</v>
      </c>
      <c r="H2609" s="86"/>
      <c r="K2609" s="1">
        <v>4</v>
      </c>
      <c r="L2609" s="1">
        <v>4</v>
      </c>
      <c r="M2609" s="1">
        <v>4</v>
      </c>
      <c r="Q2609" s="9"/>
      <c r="R2609" s="9"/>
      <c r="S2609" s="9"/>
      <c r="T2609" s="9"/>
      <c r="U2609" s="1">
        <f t="shared" si="4322"/>
        <v>60</v>
      </c>
      <c r="V2609" s="1">
        <f t="shared" si="4323"/>
        <v>212</v>
      </c>
    </row>
    <row r="2610" spans="1:22" x14ac:dyDescent="0.3">
      <c r="A2610" s="1">
        <f t="shared" si="4334"/>
        <v>60213</v>
      </c>
      <c r="B2610" s="82" t="s">
        <v>30</v>
      </c>
      <c r="C2610" s="83"/>
      <c r="D2610" s="84"/>
      <c r="E2610" s="82" t="str">
        <f t="shared" ref="E2610" si="4378">D2603</f>
        <v>R0015/24</v>
      </c>
      <c r="F2610" s="84"/>
      <c r="G2610" s="6" t="s">
        <v>32</v>
      </c>
      <c r="H2610" s="36" t="s">
        <v>168</v>
      </c>
      <c r="J2610" s="24" t="str">
        <f t="shared" ref="J2610" si="4379">CONCATENATE(K2609,1)</f>
        <v>41</v>
      </c>
      <c r="K2610" s="6" t="e">
        <f t="array" ref="K2610:M2612">LINEST(B2614:B2617,C2614:C2617^{1,2},TRUE,TRUE)</f>
        <v>#VALUE!</v>
      </c>
      <c r="L2610" s="6" t="e">
        <v>#VALUE!</v>
      </c>
      <c r="M2610" s="6" t="e">
        <v>#VALUE!</v>
      </c>
      <c r="Q2610" s="9"/>
      <c r="R2610" s="9"/>
      <c r="S2610" s="9"/>
      <c r="T2610" s="9"/>
      <c r="U2610" s="1">
        <f t="shared" si="4322"/>
        <v>60</v>
      </c>
      <c r="V2610" s="1">
        <f t="shared" si="4323"/>
        <v>213</v>
      </c>
    </row>
    <row r="2611" spans="1:22" x14ac:dyDescent="0.3">
      <c r="A2611" s="1">
        <f t="shared" si="4334"/>
        <v>60214</v>
      </c>
      <c r="B2611" s="2" t="s">
        <v>21</v>
      </c>
      <c r="C2611" s="2" t="s">
        <v>22</v>
      </c>
      <c r="D2611" s="2" t="s">
        <v>23</v>
      </c>
      <c r="E2611" s="2"/>
      <c r="F2611" s="2" t="s">
        <v>28</v>
      </c>
      <c r="G2611" s="2" t="s">
        <v>21</v>
      </c>
      <c r="H2611" s="2" t="s">
        <v>22</v>
      </c>
      <c r="J2611" s="24" t="str">
        <f t="shared" ref="J2611" si="4380">CONCATENATE(K2609,2)</f>
        <v>42</v>
      </c>
      <c r="K2611" s="6" t="e">
        <v>#VALUE!</v>
      </c>
      <c r="L2611" s="6" t="e">
        <v>#VALUE!</v>
      </c>
      <c r="M2611" s="6" t="e">
        <v>#VALUE!</v>
      </c>
      <c r="Q2611" s="9"/>
      <c r="R2611" s="9"/>
      <c r="S2611" s="9"/>
      <c r="T2611" s="9"/>
      <c r="U2611" s="1">
        <f t="shared" si="4322"/>
        <v>60</v>
      </c>
      <c r="V2611" s="1">
        <f t="shared" si="4323"/>
        <v>214</v>
      </c>
    </row>
    <row r="2612" spans="1:22" x14ac:dyDescent="0.3">
      <c r="A2612" s="1">
        <f t="shared" si="4334"/>
        <v>60215</v>
      </c>
      <c r="B2612" s="2" t="s">
        <v>24</v>
      </c>
      <c r="C2612" s="2" t="s">
        <v>25</v>
      </c>
      <c r="D2612" s="2" t="s">
        <v>26</v>
      </c>
      <c r="E2612" s="2" t="s">
        <v>27</v>
      </c>
      <c r="F2612" s="2" t="s">
        <v>29</v>
      </c>
      <c r="G2612" s="2" t="s">
        <v>24</v>
      </c>
      <c r="H2612" s="2" t="s">
        <v>25</v>
      </c>
      <c r="J2612" s="24" t="str">
        <f t="shared" ref="J2612" si="4381">CONCATENATE(K2609,3)</f>
        <v>43</v>
      </c>
      <c r="K2612" s="6" t="e">
        <v>#VALUE!</v>
      </c>
      <c r="L2612" s="6" t="e">
        <v>#VALUE!</v>
      </c>
      <c r="M2612" s="6" t="e">
        <v>#VALUE!</v>
      </c>
      <c r="Q2612" s="9"/>
      <c r="R2612" s="9"/>
      <c r="S2612" s="9"/>
      <c r="T2612" s="9"/>
      <c r="U2612" s="1">
        <f t="shared" si="4322"/>
        <v>60</v>
      </c>
      <c r="V2612" s="1">
        <f t="shared" si="4323"/>
        <v>215</v>
      </c>
    </row>
    <row r="2613" spans="1:22" x14ac:dyDescent="0.3">
      <c r="A2613" s="1">
        <f t="shared" si="4334"/>
        <v>60216</v>
      </c>
      <c r="B2613" s="3" t="str">
        <f t="shared" ref="B2613" si="4382">H2606</f>
        <v>%ur</v>
      </c>
      <c r="C2613" s="3" t="str">
        <f t="shared" ref="C2613" si="4383">B2613</f>
        <v>%ur</v>
      </c>
      <c r="D2613" s="3" t="str">
        <f t="shared" ref="D2613" si="4384">C2613</f>
        <v>%ur</v>
      </c>
      <c r="E2613" s="3"/>
      <c r="F2613" s="3"/>
      <c r="G2613" s="3" t="str">
        <f t="shared" ref="G2613" si="4385">D2613</f>
        <v>%ur</v>
      </c>
      <c r="H2613" s="3" t="str">
        <f t="shared" ref="H2613" si="4386">G2613</f>
        <v>%ur</v>
      </c>
      <c r="K2613" s="1">
        <v>5</v>
      </c>
      <c r="L2613" s="1">
        <v>5</v>
      </c>
      <c r="M2613" s="1">
        <v>5</v>
      </c>
      <c r="N2613" s="1">
        <v>5</v>
      </c>
      <c r="Q2613" s="9"/>
      <c r="R2613" s="9"/>
      <c r="S2613" s="9"/>
      <c r="T2613" s="9"/>
      <c r="U2613" s="1">
        <f t="shared" si="4322"/>
        <v>60</v>
      </c>
      <c r="V2613" s="1">
        <f t="shared" si="4323"/>
        <v>216</v>
      </c>
    </row>
    <row r="2614" spans="1:22" x14ac:dyDescent="0.3">
      <c r="A2614" s="1">
        <f t="shared" si="4334"/>
        <v>60217</v>
      </c>
      <c r="B2614" s="4">
        <v>30</v>
      </c>
      <c r="C2614" s="4">
        <v>27</v>
      </c>
      <c r="D2614" s="4">
        <v>2</v>
      </c>
      <c r="E2614" s="4">
        <v>2</v>
      </c>
      <c r="F2614" s="14">
        <v>1000000</v>
      </c>
      <c r="G2614" s="8">
        <v>30</v>
      </c>
      <c r="H2614" s="7">
        <v>30</v>
      </c>
      <c r="J2614" s="24" t="str">
        <f t="shared" ref="J2614" si="4387">CONCATENATE(K2613,1)</f>
        <v>51</v>
      </c>
      <c r="K2614" s="6" t="e">
        <f t="array" ref="K2614:N2616">LINEST(B2614:B2618,C2614:C2618^{1,2,3},TRUE,TRUE)</f>
        <v>#VALUE!</v>
      </c>
      <c r="L2614" s="6" t="e">
        <v>#VALUE!</v>
      </c>
      <c r="M2614" s="6" t="e">
        <v>#VALUE!</v>
      </c>
      <c r="N2614" s="6" t="e">
        <v>#VALUE!</v>
      </c>
      <c r="Q2614" s="9"/>
      <c r="R2614" s="9"/>
      <c r="S2614" s="9"/>
      <c r="T2614" s="9"/>
      <c r="U2614" s="1">
        <f t="shared" si="4322"/>
        <v>60</v>
      </c>
      <c r="V2614" s="1">
        <f t="shared" si="4323"/>
        <v>217</v>
      </c>
    </row>
    <row r="2615" spans="1:22" x14ac:dyDescent="0.3">
      <c r="A2615" s="1">
        <f t="shared" si="4334"/>
        <v>60218</v>
      </c>
      <c r="B2615" s="4">
        <v>50</v>
      </c>
      <c r="C2615" s="4">
        <v>47</v>
      </c>
      <c r="D2615" s="4">
        <v>2</v>
      </c>
      <c r="E2615" s="4">
        <v>2</v>
      </c>
      <c r="F2615" s="14">
        <v>1000000</v>
      </c>
      <c r="G2615" s="8">
        <v>50</v>
      </c>
      <c r="H2615" s="7">
        <v>49</v>
      </c>
      <c r="J2615" s="24" t="str">
        <f t="shared" ref="J2615" si="4388">CONCATENATE(K2613,2)</f>
        <v>52</v>
      </c>
      <c r="K2615" s="6" t="e">
        <v>#VALUE!</v>
      </c>
      <c r="L2615" s="6" t="e">
        <v>#VALUE!</v>
      </c>
      <c r="M2615" s="6" t="e">
        <v>#VALUE!</v>
      </c>
      <c r="N2615" s="6" t="e">
        <v>#VALUE!</v>
      </c>
      <c r="T2615" s="9"/>
      <c r="U2615" s="1">
        <f t="shared" si="4322"/>
        <v>60</v>
      </c>
      <c r="V2615" s="1">
        <f t="shared" si="4323"/>
        <v>218</v>
      </c>
    </row>
    <row r="2616" spans="1:22" x14ac:dyDescent="0.3">
      <c r="A2616" s="1">
        <f t="shared" si="4334"/>
        <v>60219</v>
      </c>
      <c r="B2616" s="4">
        <v>80</v>
      </c>
      <c r="C2616" s="4">
        <v>75</v>
      </c>
      <c r="D2616" s="4">
        <v>2</v>
      </c>
      <c r="E2616" s="4">
        <v>2</v>
      </c>
      <c r="F2616" s="14">
        <v>1000000</v>
      </c>
      <c r="G2616" s="8">
        <v>80</v>
      </c>
      <c r="H2616" s="7">
        <v>77</v>
      </c>
      <c r="J2616" s="24" t="str">
        <f t="shared" ref="J2616" si="4389">CONCATENATE(K2613,3)</f>
        <v>53</v>
      </c>
      <c r="K2616" s="6" t="e">
        <v>#VALUE!</v>
      </c>
      <c r="L2616" s="6" t="e">
        <v>#VALUE!</v>
      </c>
      <c r="M2616" s="6" t="e">
        <v>#VALUE!</v>
      </c>
      <c r="N2616" s="6" t="e">
        <v>#VALUE!</v>
      </c>
      <c r="T2616" s="9"/>
      <c r="U2616" s="1">
        <f t="shared" si="4322"/>
        <v>60</v>
      </c>
      <c r="V2616" s="1">
        <f t="shared" si="4323"/>
        <v>219</v>
      </c>
    </row>
    <row r="2617" spans="1:22" x14ac:dyDescent="0.3">
      <c r="A2617" s="1">
        <f t="shared" si="4334"/>
        <v>60220</v>
      </c>
      <c r="B2617" s="4"/>
      <c r="C2617" s="4"/>
      <c r="D2617" s="4"/>
      <c r="E2617" s="4"/>
      <c r="F2617" s="14"/>
      <c r="G2617" s="8"/>
      <c r="H2617" s="7"/>
      <c r="K2617" s="1">
        <v>6</v>
      </c>
      <c r="L2617" s="1">
        <v>6</v>
      </c>
      <c r="M2617" s="1">
        <v>6</v>
      </c>
      <c r="N2617" s="1">
        <v>6</v>
      </c>
      <c r="O2617" s="1">
        <v>6</v>
      </c>
      <c r="T2617" s="9"/>
      <c r="U2617" s="1">
        <f t="shared" si="4322"/>
        <v>60</v>
      </c>
      <c r="V2617" s="1">
        <f t="shared" si="4323"/>
        <v>220</v>
      </c>
    </row>
    <row r="2618" spans="1:22" x14ac:dyDescent="0.3">
      <c r="A2618" s="1">
        <f t="shared" si="4334"/>
        <v>60221</v>
      </c>
      <c r="B2618" s="4"/>
      <c r="C2618" s="4"/>
      <c r="D2618" s="4"/>
      <c r="E2618" s="4"/>
      <c r="F2618" s="14"/>
      <c r="G2618" s="8"/>
      <c r="H2618" s="7"/>
      <c r="J2618" s="24" t="str">
        <f t="shared" ref="J2618" si="4390">CONCATENATE(K2617,1)</f>
        <v>61</v>
      </c>
      <c r="K2618" s="6" t="e">
        <f t="array" ref="K2618:O2620">LINEST(B2614:B2619,C2614:C2619^{1,2,3,4},TRUE,TRUE)</f>
        <v>#VALUE!</v>
      </c>
      <c r="L2618" s="6" t="e">
        <v>#VALUE!</v>
      </c>
      <c r="M2618" s="6" t="e">
        <v>#VALUE!</v>
      </c>
      <c r="N2618" s="6" t="e">
        <v>#VALUE!</v>
      </c>
      <c r="O2618" s="6" t="e">
        <v>#VALUE!</v>
      </c>
      <c r="T2618" s="9"/>
      <c r="U2618" s="1">
        <f t="shared" si="4322"/>
        <v>60</v>
      </c>
      <c r="V2618" s="1">
        <f t="shared" si="4323"/>
        <v>221</v>
      </c>
    </row>
    <row r="2619" spans="1:22" x14ac:dyDescent="0.3">
      <c r="A2619" s="1">
        <f t="shared" si="4334"/>
        <v>60222</v>
      </c>
      <c r="B2619" s="4"/>
      <c r="C2619" s="4"/>
      <c r="D2619" s="4"/>
      <c r="E2619" s="4"/>
      <c r="F2619" s="14"/>
      <c r="G2619" s="8"/>
      <c r="H2619" s="7"/>
      <c r="J2619" s="24" t="str">
        <f t="shared" ref="J2619" si="4391">CONCATENATE(K2617,2)</f>
        <v>62</v>
      </c>
      <c r="K2619" s="6" t="e">
        <v>#VALUE!</v>
      </c>
      <c r="L2619" s="6" t="e">
        <v>#VALUE!</v>
      </c>
      <c r="M2619" s="6" t="e">
        <v>#VALUE!</v>
      </c>
      <c r="N2619" s="6" t="e">
        <v>#VALUE!</v>
      </c>
      <c r="O2619" s="6" t="e">
        <v>#VALUE!</v>
      </c>
      <c r="T2619" s="9"/>
      <c r="U2619" s="1">
        <f t="shared" si="4322"/>
        <v>60</v>
      </c>
      <c r="V2619" s="1">
        <f t="shared" si="4323"/>
        <v>222</v>
      </c>
    </row>
    <row r="2620" spans="1:22" x14ac:dyDescent="0.3">
      <c r="A2620" s="1">
        <f t="shared" si="4334"/>
        <v>60223</v>
      </c>
      <c r="B2620" s="4"/>
      <c r="C2620" s="4"/>
      <c r="D2620" s="4"/>
      <c r="E2620" s="4"/>
      <c r="F2620" s="14"/>
      <c r="G2620" s="8"/>
      <c r="H2620" s="7"/>
      <c r="J2620" s="24" t="str">
        <f t="shared" ref="J2620" si="4392">CONCATENATE(K2617,3)</f>
        <v>63</v>
      </c>
      <c r="K2620" s="6" t="e">
        <v>#VALUE!</v>
      </c>
      <c r="L2620" s="6" t="e">
        <v>#VALUE!</v>
      </c>
      <c r="M2620" s="6" t="e">
        <v>#VALUE!</v>
      </c>
      <c r="N2620" s="6" t="e">
        <v>#VALUE!</v>
      </c>
      <c r="O2620" s="6" t="e">
        <v>#VALUE!</v>
      </c>
      <c r="T2620" s="9"/>
      <c r="U2620" s="1">
        <f t="shared" si="4322"/>
        <v>60</v>
      </c>
      <c r="V2620" s="1">
        <f t="shared" si="4323"/>
        <v>223</v>
      </c>
    </row>
    <row r="2621" spans="1:22" x14ac:dyDescent="0.3">
      <c r="A2621" s="1">
        <f t="shared" si="4334"/>
        <v>60224</v>
      </c>
      <c r="B2621" s="4"/>
      <c r="C2621" s="4"/>
      <c r="D2621" s="4"/>
      <c r="E2621" s="4"/>
      <c r="F2621" s="14"/>
      <c r="G2621" s="8"/>
      <c r="H2621" s="7"/>
      <c r="K2621" s="1">
        <v>7</v>
      </c>
      <c r="L2621" s="1">
        <v>7</v>
      </c>
      <c r="M2621" s="1">
        <v>7</v>
      </c>
      <c r="N2621" s="1">
        <v>7</v>
      </c>
      <c r="O2621" s="1">
        <v>7</v>
      </c>
      <c r="P2621" s="1">
        <v>7</v>
      </c>
      <c r="T2621" s="9"/>
      <c r="U2621" s="1">
        <f t="shared" si="4322"/>
        <v>60</v>
      </c>
      <c r="V2621" s="1">
        <f t="shared" si="4323"/>
        <v>224</v>
      </c>
    </row>
    <row r="2622" spans="1:22" x14ac:dyDescent="0.3">
      <c r="A2622" s="1">
        <f t="shared" si="4334"/>
        <v>60225</v>
      </c>
      <c r="B2622" s="4"/>
      <c r="C2622" s="4"/>
      <c r="D2622" s="4"/>
      <c r="E2622" s="4"/>
      <c r="F2622" s="14"/>
      <c r="G2622" s="8"/>
      <c r="H2622" s="7"/>
      <c r="J2622" s="24" t="str">
        <f t="shared" ref="J2622" si="4393">CONCATENATE(K2621,1)</f>
        <v>71</v>
      </c>
      <c r="K2622" s="6" t="e">
        <f t="array" ref="K2622:P2624">LINEST(B2614:B2620,C2614:C2620^{1,2,3,4,5},TRUE,TRUE)</f>
        <v>#VALUE!</v>
      </c>
      <c r="L2622" s="6" t="e">
        <v>#VALUE!</v>
      </c>
      <c r="M2622" s="6" t="e">
        <v>#VALUE!</v>
      </c>
      <c r="N2622" s="6" t="e">
        <v>#VALUE!</v>
      </c>
      <c r="O2622" s="6" t="e">
        <v>#VALUE!</v>
      </c>
      <c r="P2622" s="6" t="e">
        <v>#VALUE!</v>
      </c>
      <c r="T2622" s="9"/>
      <c r="U2622" s="1">
        <f t="shared" si="4322"/>
        <v>60</v>
      </c>
      <c r="V2622" s="1">
        <f t="shared" si="4323"/>
        <v>225</v>
      </c>
    </row>
    <row r="2623" spans="1:22" x14ac:dyDescent="0.3">
      <c r="A2623" s="1">
        <f t="shared" si="4334"/>
        <v>60226</v>
      </c>
      <c r="B2623" s="4"/>
      <c r="C2623" s="4"/>
      <c r="D2623" s="4"/>
      <c r="E2623" s="4"/>
      <c r="F2623" s="14"/>
      <c r="G2623" s="8"/>
      <c r="H2623" s="7"/>
      <c r="J2623" s="24" t="str">
        <f t="shared" ref="J2623" si="4394">CONCATENATE(K2621,2)</f>
        <v>72</v>
      </c>
      <c r="K2623" s="6" t="e">
        <v>#VALUE!</v>
      </c>
      <c r="L2623" s="6" t="e">
        <v>#VALUE!</v>
      </c>
      <c r="M2623" s="6" t="e">
        <v>#VALUE!</v>
      </c>
      <c r="N2623" s="6" t="e">
        <v>#VALUE!</v>
      </c>
      <c r="O2623" s="6" t="e">
        <v>#VALUE!</v>
      </c>
      <c r="P2623" s="6" t="e">
        <v>#VALUE!</v>
      </c>
      <c r="T2623" s="9"/>
      <c r="U2623" s="1">
        <f t="shared" si="4322"/>
        <v>60</v>
      </c>
      <c r="V2623" s="1">
        <f t="shared" si="4323"/>
        <v>226</v>
      </c>
    </row>
    <row r="2624" spans="1:22" x14ac:dyDescent="0.3">
      <c r="A2624" s="1">
        <f t="shared" si="4334"/>
        <v>60227</v>
      </c>
      <c r="B2624" s="9"/>
      <c r="C2624" s="9"/>
      <c r="D2624" s="9"/>
      <c r="E2624" s="9"/>
      <c r="F2624" s="9"/>
      <c r="G2624" s="9"/>
      <c r="H2624" s="9"/>
      <c r="J2624" s="24" t="str">
        <f t="shared" ref="J2624" si="4395">CONCATENATE(K2621,3)</f>
        <v>73</v>
      </c>
      <c r="K2624" s="6" t="e">
        <v>#VALUE!</v>
      </c>
      <c r="L2624" s="6" t="e">
        <v>#VALUE!</v>
      </c>
      <c r="M2624" s="6" t="e">
        <v>#VALUE!</v>
      </c>
      <c r="N2624" s="6" t="e">
        <v>#VALUE!</v>
      </c>
      <c r="O2624" s="6" t="e">
        <v>#VALUE!</v>
      </c>
      <c r="P2624" s="6" t="e">
        <v>#VALUE!</v>
      </c>
      <c r="T2624" s="9"/>
      <c r="U2624" s="1">
        <f t="shared" si="4322"/>
        <v>60</v>
      </c>
      <c r="V2624" s="1">
        <f t="shared" si="4323"/>
        <v>227</v>
      </c>
    </row>
    <row r="2625" spans="1:22" x14ac:dyDescent="0.3">
      <c r="A2625" s="1">
        <f t="shared" si="4334"/>
        <v>60228</v>
      </c>
      <c r="B2625" s="87" t="s">
        <v>33</v>
      </c>
      <c r="C2625" s="88"/>
      <c r="D2625" s="88"/>
      <c r="E2625" s="88"/>
      <c r="F2625" s="88"/>
      <c r="G2625" s="88"/>
      <c r="H2625" s="89"/>
      <c r="K2625" s="1">
        <v>8</v>
      </c>
      <c r="L2625" s="1">
        <v>8</v>
      </c>
      <c r="M2625" s="1">
        <v>8</v>
      </c>
      <c r="N2625" s="1">
        <v>8</v>
      </c>
      <c r="O2625" s="1">
        <v>8</v>
      </c>
      <c r="P2625" s="1">
        <v>8</v>
      </c>
      <c r="Q2625" s="1">
        <v>8</v>
      </c>
      <c r="T2625" s="9"/>
      <c r="U2625" s="1">
        <f t="shared" si="4322"/>
        <v>60</v>
      </c>
      <c r="V2625" s="1">
        <f t="shared" si="4323"/>
        <v>228</v>
      </c>
    </row>
    <row r="2626" spans="1:22" x14ac:dyDescent="0.3">
      <c r="A2626" s="1">
        <f t="shared" si="4334"/>
        <v>60229</v>
      </c>
      <c r="B2626" s="90"/>
      <c r="C2626" s="91"/>
      <c r="D2626" s="91"/>
      <c r="E2626" s="91"/>
      <c r="F2626" s="91"/>
      <c r="G2626" s="91"/>
      <c r="H2626" s="92"/>
      <c r="J2626" s="24" t="str">
        <f t="shared" ref="J2626" si="4396">CONCATENATE(K2625,1)</f>
        <v>81</v>
      </c>
      <c r="K2626" s="6" t="e">
        <f t="array" ref="K2626:Q2628">LINEST(B2614:B2621,C2614:C2621^{1,2,3,4,5,6},TRUE,TRUE)</f>
        <v>#VALUE!</v>
      </c>
      <c r="L2626" s="6" t="e">
        <v>#VALUE!</v>
      </c>
      <c r="M2626" s="6" t="e">
        <v>#VALUE!</v>
      </c>
      <c r="N2626" s="6" t="e">
        <v>#VALUE!</v>
      </c>
      <c r="O2626" s="6" t="e">
        <v>#VALUE!</v>
      </c>
      <c r="P2626" s="6" t="e">
        <v>#VALUE!</v>
      </c>
      <c r="Q2626" s="6" t="e">
        <v>#VALUE!</v>
      </c>
      <c r="T2626" s="9"/>
      <c r="U2626" s="1">
        <f t="shared" si="4322"/>
        <v>60</v>
      </c>
      <c r="V2626" s="1">
        <f t="shared" si="4323"/>
        <v>229</v>
      </c>
    </row>
    <row r="2627" spans="1:22" x14ac:dyDescent="0.3">
      <c r="A2627" s="1">
        <f t="shared" si="4334"/>
        <v>60230</v>
      </c>
      <c r="B2627" s="93"/>
      <c r="C2627" s="94"/>
      <c r="D2627" s="94"/>
      <c r="E2627" s="94"/>
      <c r="F2627" s="94"/>
      <c r="G2627" s="94"/>
      <c r="H2627" s="95"/>
      <c r="J2627" s="24" t="str">
        <f t="shared" ref="J2627" si="4397">CONCATENATE(K2625,2)</f>
        <v>82</v>
      </c>
      <c r="K2627" s="6" t="e">
        <v>#VALUE!</v>
      </c>
      <c r="L2627" s="6" t="e">
        <v>#VALUE!</v>
      </c>
      <c r="M2627" s="6" t="e">
        <v>#VALUE!</v>
      </c>
      <c r="N2627" s="6" t="e">
        <v>#VALUE!</v>
      </c>
      <c r="O2627" s="6" t="e">
        <v>#VALUE!</v>
      </c>
      <c r="P2627" s="6" t="e">
        <v>#VALUE!</v>
      </c>
      <c r="Q2627" s="6" t="e">
        <v>#VALUE!</v>
      </c>
      <c r="T2627" s="9"/>
      <c r="U2627" s="1">
        <f t="shared" si="4322"/>
        <v>60</v>
      </c>
      <c r="V2627" s="1">
        <f t="shared" si="4323"/>
        <v>230</v>
      </c>
    </row>
    <row r="2628" spans="1:22" x14ac:dyDescent="0.3">
      <c r="A2628" s="1">
        <f t="shared" si="4334"/>
        <v>60231</v>
      </c>
      <c r="J2628" s="24" t="str">
        <f t="shared" ref="J2628" si="4398">CONCATENATE(K2625,3)</f>
        <v>83</v>
      </c>
      <c r="K2628" s="6" t="e">
        <v>#VALUE!</v>
      </c>
      <c r="L2628" s="6" t="e">
        <v>#VALUE!</v>
      </c>
      <c r="M2628" s="6" t="e">
        <v>#VALUE!</v>
      </c>
      <c r="N2628" s="6" t="e">
        <v>#VALUE!</v>
      </c>
      <c r="O2628" s="6" t="e">
        <v>#VALUE!</v>
      </c>
      <c r="P2628" s="6" t="e">
        <v>#VALUE!</v>
      </c>
      <c r="Q2628" s="6" t="e">
        <v>#VALUE!</v>
      </c>
      <c r="T2628" s="9"/>
      <c r="U2628" s="1">
        <f t="shared" si="4322"/>
        <v>60</v>
      </c>
      <c r="V2628" s="1">
        <f t="shared" si="4323"/>
        <v>231</v>
      </c>
    </row>
    <row r="2629" spans="1:22" ht="15" customHeight="1" x14ac:dyDescent="0.3">
      <c r="A2629" s="1">
        <f t="shared" si="4334"/>
        <v>60232</v>
      </c>
      <c r="B2629" s="10" t="s">
        <v>34</v>
      </c>
      <c r="C2629" s="10" t="s">
        <v>35</v>
      </c>
      <c r="D2629" s="10" t="s">
        <v>36</v>
      </c>
      <c r="E2629" s="74" t="s">
        <v>37</v>
      </c>
      <c r="F2629" s="75"/>
      <c r="G2629" s="76"/>
      <c r="K2629" s="1">
        <v>9</v>
      </c>
      <c r="L2629" s="1">
        <v>9</v>
      </c>
      <c r="M2629" s="1">
        <v>9</v>
      </c>
      <c r="N2629" s="1">
        <v>9</v>
      </c>
      <c r="O2629" s="1">
        <v>9</v>
      </c>
      <c r="P2629" s="1">
        <v>9</v>
      </c>
      <c r="Q2629" s="1">
        <v>9</v>
      </c>
      <c r="R2629" s="1">
        <v>9</v>
      </c>
      <c r="T2629" s="9"/>
      <c r="U2629" s="1">
        <f t="shared" si="4322"/>
        <v>60</v>
      </c>
      <c r="V2629" s="1">
        <f t="shared" si="4323"/>
        <v>232</v>
      </c>
    </row>
    <row r="2630" spans="1:22" x14ac:dyDescent="0.3">
      <c r="A2630" s="1">
        <f t="shared" si="4334"/>
        <v>60233</v>
      </c>
      <c r="B2630" s="12">
        <f t="shared" ref="B2630:B2639" si="4399">C2614-B2614</f>
        <v>-3</v>
      </c>
      <c r="C2630" s="13">
        <f t="shared" ref="C2630:C2639" si="4400">H2614-G2614</f>
        <v>0</v>
      </c>
      <c r="D2630" s="10">
        <f t="shared" ref="D2630:D2639" si="4401">C2630-B2630</f>
        <v>3</v>
      </c>
      <c r="E2630" s="11">
        <f t="shared" ref="E2630" si="4402">IF(D2605="","",MAX(F2630,G2630))</f>
        <v>3</v>
      </c>
      <c r="F2630" s="10">
        <f t="shared" ref="F2630" si="4403">ABS(MIN(D2630:D2639))</f>
        <v>0</v>
      </c>
      <c r="G2630" s="10">
        <f t="shared" ref="G2630" si="4404">ABS(MAX(D2630:D2639))</f>
        <v>3</v>
      </c>
      <c r="J2630" s="24" t="str">
        <f t="shared" ref="J2630" si="4405">CONCATENATE(K2629,1)</f>
        <v>91</v>
      </c>
      <c r="K2630" s="6" t="e">
        <f t="array" ref="K2630:R2632">LINEST(B2614:B2622,C2614:C2622^{1,2,3,4,5,6,7},TRUE,TRUE)</f>
        <v>#VALUE!</v>
      </c>
      <c r="L2630" s="6" t="e">
        <v>#VALUE!</v>
      </c>
      <c r="M2630" s="6" t="e">
        <v>#VALUE!</v>
      </c>
      <c r="N2630" s="6" t="e">
        <v>#VALUE!</v>
      </c>
      <c r="O2630" s="6" t="e">
        <v>#VALUE!</v>
      </c>
      <c r="P2630" s="6" t="e">
        <v>#VALUE!</v>
      </c>
      <c r="Q2630" s="6" t="e">
        <v>#VALUE!</v>
      </c>
      <c r="R2630" s="6" t="e">
        <v>#VALUE!</v>
      </c>
      <c r="T2630" s="9"/>
      <c r="U2630" s="1">
        <f t="shared" si="4322"/>
        <v>60</v>
      </c>
      <c r="V2630" s="1">
        <f t="shared" si="4323"/>
        <v>233</v>
      </c>
    </row>
    <row r="2631" spans="1:22" x14ac:dyDescent="0.3">
      <c r="A2631" s="1">
        <f t="shared" si="4334"/>
        <v>60234</v>
      </c>
      <c r="B2631" s="12">
        <f t="shared" si="4399"/>
        <v>-3</v>
      </c>
      <c r="C2631" s="13">
        <f t="shared" si="4400"/>
        <v>-1</v>
      </c>
      <c r="D2631" s="10">
        <f t="shared" si="4401"/>
        <v>2</v>
      </c>
      <c r="E2631" s="74" t="s">
        <v>38</v>
      </c>
      <c r="F2631" s="75"/>
      <c r="G2631" s="76"/>
      <c r="J2631" s="24" t="str">
        <f t="shared" ref="J2631" si="4406">CONCATENATE(K2629,2)</f>
        <v>92</v>
      </c>
      <c r="K2631" s="6" t="e">
        <v>#VALUE!</v>
      </c>
      <c r="L2631" s="6" t="e">
        <v>#VALUE!</v>
      </c>
      <c r="M2631" s="6" t="e">
        <v>#VALUE!</v>
      </c>
      <c r="N2631" s="6" t="e">
        <v>#VALUE!</v>
      </c>
      <c r="O2631" s="6" t="e">
        <v>#VALUE!</v>
      </c>
      <c r="P2631" s="6" t="e">
        <v>#VALUE!</v>
      </c>
      <c r="Q2631" s="6" t="e">
        <v>#VALUE!</v>
      </c>
      <c r="R2631" s="6" t="e">
        <v>#VALUE!</v>
      </c>
      <c r="T2631" s="9"/>
      <c r="U2631" s="1">
        <f t="shared" si="4322"/>
        <v>60</v>
      </c>
      <c r="V2631" s="1">
        <f t="shared" si="4323"/>
        <v>234</v>
      </c>
    </row>
    <row r="2632" spans="1:22" x14ac:dyDescent="0.3">
      <c r="A2632" s="1">
        <f t="shared" si="4334"/>
        <v>60235</v>
      </c>
      <c r="B2632" s="12">
        <f t="shared" si="4399"/>
        <v>-5</v>
      </c>
      <c r="C2632" s="13">
        <f t="shared" si="4400"/>
        <v>-3</v>
      </c>
      <c r="D2632" s="10">
        <f t="shared" si="4401"/>
        <v>2</v>
      </c>
      <c r="E2632" s="11">
        <f t="shared" ref="E2632" si="4407">IF(D2605="","",MAX(F2632,G2632))</f>
        <v>5</v>
      </c>
      <c r="F2632" s="10">
        <f t="shared" ref="F2632" si="4408">ABS(MIN(B2630:B2639))</f>
        <v>5</v>
      </c>
      <c r="G2632" s="10">
        <f t="shared" ref="G2632" si="4409">ABS(MAX(B2630:B2639))</f>
        <v>0</v>
      </c>
      <c r="J2632" s="24" t="str">
        <f t="shared" ref="J2632" si="4410">CONCATENATE(K2629,3)</f>
        <v>93</v>
      </c>
      <c r="K2632" s="6" t="e">
        <v>#VALUE!</v>
      </c>
      <c r="L2632" s="6" t="e">
        <v>#VALUE!</v>
      </c>
      <c r="M2632" s="6" t="e">
        <v>#VALUE!</v>
      </c>
      <c r="N2632" s="6" t="e">
        <v>#VALUE!</v>
      </c>
      <c r="O2632" s="6" t="e">
        <v>#VALUE!</v>
      </c>
      <c r="P2632" s="6" t="e">
        <v>#VALUE!</v>
      </c>
      <c r="Q2632" s="6" t="e">
        <v>#VALUE!</v>
      </c>
      <c r="R2632" s="6" t="e">
        <v>#VALUE!</v>
      </c>
      <c r="T2632" s="9"/>
      <c r="U2632" s="1">
        <f t="shared" si="4322"/>
        <v>60</v>
      </c>
      <c r="V2632" s="1">
        <f t="shared" si="4323"/>
        <v>235</v>
      </c>
    </row>
    <row r="2633" spans="1:22" x14ac:dyDescent="0.3">
      <c r="A2633" s="1">
        <f t="shared" si="4334"/>
        <v>60236</v>
      </c>
      <c r="B2633" s="12">
        <f t="shared" si="4399"/>
        <v>0</v>
      </c>
      <c r="C2633" s="13">
        <f t="shared" si="4400"/>
        <v>0</v>
      </c>
      <c r="D2633" s="10">
        <f t="shared" si="4401"/>
        <v>0</v>
      </c>
      <c r="E2633" s="74" t="s">
        <v>39</v>
      </c>
      <c r="F2633" s="75"/>
      <c r="G2633" s="76"/>
      <c r="K2633" s="1">
        <v>10</v>
      </c>
      <c r="L2633" s="1">
        <v>10</v>
      </c>
      <c r="M2633" s="1">
        <v>10</v>
      </c>
      <c r="N2633" s="1">
        <v>10</v>
      </c>
      <c r="O2633" s="1">
        <v>10</v>
      </c>
      <c r="P2633" s="1">
        <v>10</v>
      </c>
      <c r="Q2633" s="1">
        <v>10</v>
      </c>
      <c r="R2633" s="1">
        <v>10</v>
      </c>
      <c r="S2633" s="1">
        <v>10</v>
      </c>
      <c r="T2633" s="9"/>
      <c r="U2633" s="1">
        <f t="shared" si="4322"/>
        <v>60</v>
      </c>
      <c r="V2633" s="1">
        <f t="shared" si="4323"/>
        <v>236</v>
      </c>
    </row>
    <row r="2634" spans="1:22" x14ac:dyDescent="0.3">
      <c r="A2634" s="1">
        <f t="shared" si="4334"/>
        <v>60237</v>
      </c>
      <c r="B2634" s="12">
        <f t="shared" si="4399"/>
        <v>0</v>
      </c>
      <c r="C2634" s="13">
        <f t="shared" si="4400"/>
        <v>0</v>
      </c>
      <c r="D2634" s="10">
        <f t="shared" si="4401"/>
        <v>0</v>
      </c>
      <c r="E2634" s="11">
        <f t="shared" ref="E2634" si="4411">IF(D2605="","",MAX(F2634,G2634))</f>
        <v>2</v>
      </c>
      <c r="F2634" s="10">
        <f t="shared" ref="F2634" si="4412">ABS(MIN(D2614:D2623))</f>
        <v>2</v>
      </c>
      <c r="G2634" s="10">
        <f t="shared" ref="G2634" si="4413">ABS(MAX(D2614:D2623))</f>
        <v>2</v>
      </c>
      <c r="J2634" s="24" t="str">
        <f t="shared" ref="J2634" si="4414">CONCATENATE(K2633,1)</f>
        <v>101</v>
      </c>
      <c r="K2634" s="6" t="e">
        <f t="array" ref="K2634:S2636">LINEST(B2614:B2623,C2614:C2623^{1,2,3,4,5,6,7,8},TRUE,TRUE)</f>
        <v>#VALUE!</v>
      </c>
      <c r="L2634" s="6" t="e">
        <v>#VALUE!</v>
      </c>
      <c r="M2634" s="6" t="e">
        <v>#VALUE!</v>
      </c>
      <c r="N2634" s="6" t="e">
        <v>#VALUE!</v>
      </c>
      <c r="O2634" s="6" t="e">
        <v>#VALUE!</v>
      </c>
      <c r="P2634" s="6" t="e">
        <v>#VALUE!</v>
      </c>
      <c r="Q2634" s="6" t="e">
        <v>#VALUE!</v>
      </c>
      <c r="R2634" s="6" t="e">
        <v>#VALUE!</v>
      </c>
      <c r="S2634" s="6" t="e">
        <v>#VALUE!</v>
      </c>
      <c r="T2634" s="9"/>
      <c r="U2634" s="1">
        <f t="shared" si="4322"/>
        <v>60</v>
      </c>
      <c r="V2634" s="1">
        <f t="shared" si="4323"/>
        <v>237</v>
      </c>
    </row>
    <row r="2635" spans="1:22" x14ac:dyDescent="0.3">
      <c r="A2635" s="1">
        <f t="shared" si="4334"/>
        <v>60238</v>
      </c>
      <c r="B2635" s="12">
        <f t="shared" si="4399"/>
        <v>0</v>
      </c>
      <c r="C2635" s="13">
        <f t="shared" si="4400"/>
        <v>0</v>
      </c>
      <c r="D2635" s="10">
        <f t="shared" si="4401"/>
        <v>0</v>
      </c>
      <c r="J2635" s="24" t="str">
        <f t="shared" ref="J2635" si="4415">CONCATENATE(K2633,2)</f>
        <v>102</v>
      </c>
      <c r="K2635" s="6" t="e">
        <v>#VALUE!</v>
      </c>
      <c r="L2635" s="6" t="e">
        <v>#VALUE!</v>
      </c>
      <c r="M2635" s="6" t="e">
        <v>#VALUE!</v>
      </c>
      <c r="N2635" s="6" t="e">
        <v>#VALUE!</v>
      </c>
      <c r="O2635" s="6" t="e">
        <v>#VALUE!</v>
      </c>
      <c r="P2635" s="6" t="e">
        <v>#VALUE!</v>
      </c>
      <c r="Q2635" s="6" t="e">
        <v>#VALUE!</v>
      </c>
      <c r="R2635" s="6" t="e">
        <v>#VALUE!</v>
      </c>
      <c r="S2635" s="6" t="e">
        <v>#VALUE!</v>
      </c>
      <c r="T2635" s="9"/>
      <c r="U2635" s="1">
        <f t="shared" si="4322"/>
        <v>60</v>
      </c>
      <c r="V2635" s="1">
        <f t="shared" si="4323"/>
        <v>238</v>
      </c>
    </row>
    <row r="2636" spans="1:22" x14ac:dyDescent="0.3">
      <c r="A2636" s="1">
        <f t="shared" si="4334"/>
        <v>60239</v>
      </c>
      <c r="B2636" s="12">
        <f t="shared" si="4399"/>
        <v>0</v>
      </c>
      <c r="C2636" s="13">
        <f t="shared" si="4400"/>
        <v>0</v>
      </c>
      <c r="D2636" s="10">
        <f t="shared" si="4401"/>
        <v>0</v>
      </c>
      <c r="J2636" s="24" t="str">
        <f t="shared" ref="J2636" si="4416">CONCATENATE(K2633,3)</f>
        <v>103</v>
      </c>
      <c r="K2636" s="6" t="e">
        <v>#VALUE!</v>
      </c>
      <c r="L2636" s="6" t="e">
        <v>#VALUE!</v>
      </c>
      <c r="M2636" s="6" t="e">
        <v>#VALUE!</v>
      </c>
      <c r="N2636" s="6" t="e">
        <v>#VALUE!</v>
      </c>
      <c r="O2636" s="6" t="e">
        <v>#VALUE!</v>
      </c>
      <c r="P2636" s="6" t="e">
        <v>#VALUE!</v>
      </c>
      <c r="Q2636" s="6" t="e">
        <v>#VALUE!</v>
      </c>
      <c r="R2636" s="6" t="e">
        <v>#VALUE!</v>
      </c>
      <c r="S2636" s="6" t="e">
        <v>#VALUE!</v>
      </c>
      <c r="T2636" s="9"/>
      <c r="U2636" s="1">
        <f t="shared" si="4322"/>
        <v>60</v>
      </c>
      <c r="V2636" s="1">
        <f t="shared" si="4323"/>
        <v>239</v>
      </c>
    </row>
    <row r="2637" spans="1:22" x14ac:dyDescent="0.3">
      <c r="A2637" s="1">
        <f t="shared" si="4334"/>
        <v>60240</v>
      </c>
      <c r="B2637" s="12">
        <f t="shared" si="4399"/>
        <v>0</v>
      </c>
      <c r="C2637" s="13">
        <f t="shared" si="4400"/>
        <v>0</v>
      </c>
      <c r="D2637" s="10">
        <f t="shared" si="4401"/>
        <v>0</v>
      </c>
      <c r="J2637" s="9"/>
      <c r="K2637" s="9"/>
      <c r="L2637" s="9"/>
      <c r="M2637" s="9"/>
      <c r="N2637" s="9"/>
      <c r="O2637" s="9"/>
      <c r="P2637" s="9"/>
      <c r="Q2637" s="9"/>
      <c r="R2637" s="9"/>
      <c r="S2637" s="9"/>
      <c r="T2637" s="9"/>
      <c r="U2637" s="1">
        <f t="shared" si="4322"/>
        <v>60</v>
      </c>
      <c r="V2637" s="1">
        <f t="shared" si="4323"/>
        <v>240</v>
      </c>
    </row>
    <row r="2638" spans="1:22" x14ac:dyDescent="0.3">
      <c r="A2638" s="1">
        <f t="shared" si="4334"/>
        <v>60241</v>
      </c>
      <c r="B2638" s="12">
        <f t="shared" si="4399"/>
        <v>0</v>
      </c>
      <c r="C2638" s="13">
        <f t="shared" si="4400"/>
        <v>0</v>
      </c>
      <c r="D2638" s="10">
        <f t="shared" si="4401"/>
        <v>0</v>
      </c>
      <c r="J2638" s="9"/>
      <c r="K2638" s="9"/>
      <c r="L2638" s="9"/>
      <c r="M2638" s="9"/>
      <c r="N2638" s="9"/>
      <c r="O2638" s="9"/>
      <c r="P2638" s="9"/>
      <c r="Q2638" s="9"/>
      <c r="R2638" s="9"/>
      <c r="S2638" s="9"/>
      <c r="T2638" s="9"/>
      <c r="U2638" s="1">
        <f t="shared" si="4322"/>
        <v>60</v>
      </c>
      <c r="V2638" s="1">
        <f t="shared" si="4323"/>
        <v>241</v>
      </c>
    </row>
    <row r="2639" spans="1:22" x14ac:dyDescent="0.3">
      <c r="A2639" s="1">
        <f t="shared" si="4334"/>
        <v>60242</v>
      </c>
      <c r="B2639" s="12">
        <f t="shared" si="4399"/>
        <v>0</v>
      </c>
      <c r="C2639" s="13">
        <f t="shared" si="4400"/>
        <v>0</v>
      </c>
      <c r="D2639" s="10">
        <f t="shared" si="4401"/>
        <v>0</v>
      </c>
      <c r="J2639" s="9"/>
      <c r="K2639" s="9"/>
      <c r="L2639" s="9"/>
      <c r="M2639" s="9"/>
      <c r="N2639" s="9"/>
      <c r="O2639" s="9"/>
      <c r="P2639" s="9"/>
      <c r="Q2639" s="9"/>
      <c r="R2639" s="9"/>
      <c r="S2639" s="9"/>
      <c r="T2639" s="9"/>
      <c r="U2639" s="1">
        <f t="shared" si="4322"/>
        <v>60</v>
      </c>
      <c r="V2639" s="1">
        <f t="shared" si="4323"/>
        <v>242</v>
      </c>
    </row>
    <row r="2640" spans="1:22" x14ac:dyDescent="0.3">
      <c r="A2640" s="1">
        <f t="shared" si="4334"/>
        <v>60243</v>
      </c>
      <c r="J2640" s="9"/>
      <c r="K2640" s="9"/>
      <c r="L2640" s="9"/>
      <c r="M2640" s="9"/>
      <c r="N2640" s="9"/>
      <c r="O2640" s="9"/>
      <c r="P2640" s="9"/>
      <c r="Q2640" s="9"/>
      <c r="R2640" s="9"/>
      <c r="S2640" s="9"/>
      <c r="T2640" s="9"/>
      <c r="U2640" s="1">
        <f t="shared" si="4322"/>
        <v>60</v>
      </c>
      <c r="V2640" s="1">
        <f t="shared" si="4323"/>
        <v>243</v>
      </c>
    </row>
    <row r="2641" spans="1:22" s="5" customFormat="1" x14ac:dyDescent="0.3"/>
    <row r="2642" spans="1:22" x14ac:dyDescent="0.3">
      <c r="A2642" s="1">
        <f t="shared" ref="A2642:A2684" si="4417">ROUND(CONCATENATE(U2642,V2642),0)</f>
        <v>61201</v>
      </c>
      <c r="B2642" s="96" t="s">
        <v>0</v>
      </c>
      <c r="C2642" s="97"/>
      <c r="D2642" s="110" t="s">
        <v>46</v>
      </c>
      <c r="E2642" s="111"/>
      <c r="F2642" s="111"/>
      <c r="G2642" s="111"/>
      <c r="H2642" s="112"/>
      <c r="J2642" s="9"/>
      <c r="K2642" s="9"/>
      <c r="L2642" s="9"/>
      <c r="M2642" s="9"/>
      <c r="N2642" s="9"/>
      <c r="O2642" s="9"/>
      <c r="P2642" s="9"/>
      <c r="Q2642" s="9"/>
      <c r="R2642" s="9"/>
      <c r="S2642" s="9"/>
      <c r="T2642" s="9"/>
      <c r="U2642" s="1">
        <f t="shared" ref="U2642" si="4418">U2640+1</f>
        <v>61</v>
      </c>
      <c r="V2642" s="1">
        <v>201</v>
      </c>
    </row>
    <row r="2643" spans="1:22" x14ac:dyDescent="0.3">
      <c r="A2643" s="1">
        <f t="shared" si="4417"/>
        <v>61202</v>
      </c>
      <c r="B2643" s="96" t="s">
        <v>1</v>
      </c>
      <c r="C2643" s="97"/>
      <c r="D2643" s="15">
        <v>20</v>
      </c>
      <c r="E2643" s="16" t="s">
        <v>2</v>
      </c>
      <c r="F2643" s="107"/>
      <c r="G2643" s="108"/>
      <c r="H2643" s="109"/>
      <c r="J2643" s="9"/>
      <c r="K2643" s="9"/>
      <c r="L2643" s="9"/>
      <c r="M2643" s="9"/>
      <c r="N2643" s="9"/>
      <c r="O2643" s="9"/>
      <c r="P2643" s="9"/>
      <c r="Q2643" s="9"/>
      <c r="R2643" s="9"/>
      <c r="S2643" s="9"/>
      <c r="T2643" s="9"/>
      <c r="U2643" s="1">
        <f t="shared" ref="U2643" si="4419">U2642</f>
        <v>61</v>
      </c>
      <c r="V2643" s="1">
        <f t="shared" ref="V2643" si="4420">V2642+1</f>
        <v>202</v>
      </c>
    </row>
    <row r="2644" spans="1:22" x14ac:dyDescent="0.3">
      <c r="A2644" s="1">
        <f t="shared" si="4417"/>
        <v>61203</v>
      </c>
      <c r="B2644" s="96" t="s">
        <v>12</v>
      </c>
      <c r="C2644" s="97"/>
      <c r="D2644" s="110" t="s">
        <v>204</v>
      </c>
      <c r="E2644" s="111"/>
      <c r="F2644" s="111"/>
      <c r="G2644" s="111"/>
      <c r="H2644" s="112"/>
      <c r="K2644" s="1" t="s">
        <v>3</v>
      </c>
      <c r="L2644" s="1" t="s">
        <v>4</v>
      </c>
      <c r="M2644" s="1" t="s">
        <v>5</v>
      </c>
      <c r="N2644" s="1" t="s">
        <v>6</v>
      </c>
      <c r="O2644" s="1" t="s">
        <v>7</v>
      </c>
      <c r="P2644" s="1" t="s">
        <v>8</v>
      </c>
      <c r="Q2644" s="1" t="s">
        <v>9</v>
      </c>
      <c r="R2644" s="1" t="s">
        <v>10</v>
      </c>
      <c r="S2644" s="1" t="s">
        <v>11</v>
      </c>
      <c r="T2644" s="9"/>
      <c r="U2644" s="1">
        <f t="shared" si="4322"/>
        <v>61</v>
      </c>
      <c r="V2644" s="1">
        <f t="shared" si="4323"/>
        <v>203</v>
      </c>
    </row>
    <row r="2645" spans="1:22" x14ac:dyDescent="0.3">
      <c r="A2645" s="1">
        <f t="shared" si="4417"/>
        <v>61204</v>
      </c>
      <c r="B2645" s="96" t="s">
        <v>13</v>
      </c>
      <c r="C2645" s="97"/>
      <c r="D2645" s="110" t="s">
        <v>65</v>
      </c>
      <c r="E2645" s="111"/>
      <c r="F2645" s="111"/>
      <c r="G2645" s="111"/>
      <c r="H2645" s="112"/>
      <c r="J2645" s="1">
        <f t="shared" ref="J2645" si="4421">COUNTA(B2658:B2667)</f>
        <v>3</v>
      </c>
      <c r="K2645" s="1">
        <f t="shared" ref="K2645" si="4422">IF(L2645-1&lt;2,0,L2645-1)</f>
        <v>0</v>
      </c>
      <c r="L2645" s="1">
        <f t="shared" ref="L2645" si="4423">IF(M2645-1&lt;2,0,M2645-1)</f>
        <v>0</v>
      </c>
      <c r="M2645" s="1">
        <f t="shared" ref="M2645" si="4424">IF(N2645-1&lt;2,0,N2645-1)</f>
        <v>0</v>
      </c>
      <c r="N2645" s="1">
        <f t="shared" ref="N2645" si="4425">IF(O2645-1&lt;2,0,O2645-1)</f>
        <v>0</v>
      </c>
      <c r="O2645" s="1">
        <f t="shared" ref="O2645" si="4426">IF(P2645-1&lt;2,0,P2645-1)</f>
        <v>0</v>
      </c>
      <c r="P2645" s="1">
        <f t="shared" ref="P2645" si="4427">IF(Q2645-1&lt;2,0,Q2645-1)</f>
        <v>0</v>
      </c>
      <c r="Q2645" s="1">
        <f t="shared" ref="Q2645" si="4428">IF(R2645-1&lt;2,0,R2645-1)</f>
        <v>0</v>
      </c>
      <c r="R2645" s="1">
        <f t="shared" ref="R2645" si="4429">IF(S2645-1&lt;2,0,S2645-1)</f>
        <v>2</v>
      </c>
      <c r="S2645" s="1">
        <f t="shared" ref="S2645" si="4430">J2645</f>
        <v>3</v>
      </c>
      <c r="T2645" s="9"/>
      <c r="U2645" s="1">
        <f t="shared" si="4322"/>
        <v>61</v>
      </c>
      <c r="V2645" s="1">
        <f t="shared" si="4323"/>
        <v>204</v>
      </c>
    </row>
    <row r="2646" spans="1:22" x14ac:dyDescent="0.3">
      <c r="A2646" s="1">
        <f t="shared" si="4417"/>
        <v>61205</v>
      </c>
      <c r="B2646" s="96" t="s">
        <v>14</v>
      </c>
      <c r="C2646" s="97"/>
      <c r="D2646" s="110" t="s">
        <v>66</v>
      </c>
      <c r="E2646" s="111"/>
      <c r="F2646" s="111"/>
      <c r="G2646" s="111"/>
      <c r="H2646" s="112"/>
      <c r="J2646" s="24" t="str">
        <f t="shared" ref="J2646" si="4431">CONCATENATE(J2645,1)</f>
        <v>31</v>
      </c>
      <c r="K2646" s="25">
        <f t="shared" ref="K2646" si="4432">IF(K2645=0,0,VLOOKUP(J2646,J2650:S2680,K2645,FALSE))</f>
        <v>0</v>
      </c>
      <c r="L2646" s="25">
        <f t="shared" ref="L2646" si="4433">IF(L2645=0,0,VLOOKUP(J2646,J2650:S2680,L2645,FALSE))</f>
        <v>0</v>
      </c>
      <c r="M2646" s="25">
        <f t="shared" ref="M2646" si="4434">IF(M2645=0,0,VLOOKUP(J2646,J2650:S2680,M2645,FALSE))</f>
        <v>0</v>
      </c>
      <c r="N2646" s="25">
        <f t="shared" ref="N2646" si="4435">IF(N2645=0,0,VLOOKUP(J2646,J2650:S2680,N2645,FALSE))</f>
        <v>0</v>
      </c>
      <c r="O2646" s="25">
        <f t="shared" ref="O2646" si="4436">IF(O2645=0,0,VLOOKUP(J2646,J2650:S2680,O2645,FALSE))</f>
        <v>0</v>
      </c>
      <c r="P2646" s="25">
        <f t="shared" ref="P2646" si="4437">IF(P2645=0,0,VLOOKUP(J2646,J2650:S2680,P2645,FALSE))</f>
        <v>0</v>
      </c>
      <c r="Q2646" s="25">
        <f t="shared" ref="Q2646" si="4438">IF(Q2645=0,0,VLOOKUP(J2646,J2650:S2680,Q2645,FALSE))</f>
        <v>0</v>
      </c>
      <c r="R2646" s="25">
        <f t="shared" ref="R2646" si="4439">IF(R2645=0,0,VLOOKUP(J2646,J2650:S2680,R2645,FALSE))</f>
        <v>1.0920975713450607</v>
      </c>
      <c r="S2646" s="25">
        <f t="shared" ref="S2646" si="4440">IF(S2645=0,0,VLOOKUP(J2646,J2650:S2680,S2645,FALSE))</f>
        <v>-7.2259127384811777</v>
      </c>
      <c r="T2646" s="9"/>
      <c r="U2646" s="1">
        <f t="shared" si="4322"/>
        <v>61</v>
      </c>
      <c r="V2646" s="1">
        <f t="shared" si="4323"/>
        <v>205</v>
      </c>
    </row>
    <row r="2647" spans="1:22" x14ac:dyDescent="0.3">
      <c r="A2647" s="1">
        <f t="shared" si="4417"/>
        <v>61206</v>
      </c>
      <c r="B2647" s="96" t="s">
        <v>15</v>
      </c>
      <c r="C2647" s="97"/>
      <c r="D2647" s="110" t="s">
        <v>205</v>
      </c>
      <c r="E2647" s="111"/>
      <c r="F2647" s="111"/>
      <c r="G2647" s="111"/>
      <c r="H2647" s="112"/>
      <c r="J2647" s="24" t="str">
        <f t="shared" ref="J2647" si="4441">CONCATENATE(J2645,2)</f>
        <v>32</v>
      </c>
      <c r="K2647" s="6">
        <f t="shared" ref="K2647" si="4442">IF(K2645=0,0,VLOOKUP(J2647,J2650:S2680,K2645,FALSE))</f>
        <v>0</v>
      </c>
      <c r="L2647" s="6">
        <f t="shared" ref="L2647" si="4443">IF(L2645=0,0,VLOOKUP(J2647,J2650:S2680,L2645,FALSE))</f>
        <v>0</v>
      </c>
      <c r="M2647" s="6">
        <f t="shared" ref="M2647" si="4444">IF(M2645=0,0,VLOOKUP(J2647,J2650:S2680,M2645,FALSE))</f>
        <v>0</v>
      </c>
      <c r="N2647" s="6">
        <f t="shared" ref="N2647" si="4445">IF(N2645=0,0,VLOOKUP(J2647,J2650:S2680,N2645,FALSE))</f>
        <v>0</v>
      </c>
      <c r="O2647" s="6">
        <f t="shared" ref="O2647" si="4446">IF(O2645=0,0,VLOOKUP(J2647,J2650:S2680,O2645,FALSE))</f>
        <v>0</v>
      </c>
      <c r="P2647" s="6">
        <f t="shared" ref="P2647" si="4447">IF(P2645=0,0,VLOOKUP(J2647,J2650:S2680,P2645,FALSE))</f>
        <v>0</v>
      </c>
      <c r="Q2647" s="6">
        <f t="shared" ref="Q2647" si="4448">IF(Q2645=0,0,VLOOKUP(J2647,J2650:S2680,Q2645,FALSE))</f>
        <v>0</v>
      </c>
      <c r="R2647" s="6">
        <f t="shared" ref="R2647" si="4449">IF(R2645=0,0,VLOOKUP(J2647,J2650:S2680,R2645,FALSE))</f>
        <v>5.5228276799772651E-2</v>
      </c>
      <c r="S2647" s="6">
        <f t="shared" ref="S2647" si="4450">IF(S2645=0,0,VLOOKUP(J2647,J2650:S2680,S2645,FALSE))</f>
        <v>3.1473076190465883</v>
      </c>
      <c r="T2647" s="9"/>
      <c r="U2647" s="1">
        <f t="shared" si="4322"/>
        <v>61</v>
      </c>
      <c r="V2647" s="1">
        <f t="shared" si="4323"/>
        <v>206</v>
      </c>
    </row>
    <row r="2648" spans="1:22" x14ac:dyDescent="0.3">
      <c r="A2648" s="1">
        <f t="shared" si="4417"/>
        <v>61207</v>
      </c>
      <c r="B2648" s="96" t="s">
        <v>16</v>
      </c>
      <c r="C2648" s="97"/>
      <c r="D2648" s="113">
        <v>45100</v>
      </c>
      <c r="E2648" s="114"/>
      <c r="F2648" s="114"/>
      <c r="G2648" s="114"/>
      <c r="H2648" s="115"/>
      <c r="J2648" s="24" t="str">
        <f t="shared" ref="J2648" si="4451">CONCATENATE(J2645,3)</f>
        <v>33</v>
      </c>
      <c r="K2648" s="6"/>
      <c r="L2648" s="6"/>
      <c r="M2648" s="6"/>
      <c r="N2648" s="6" t="s">
        <v>43</v>
      </c>
      <c r="O2648" s="25">
        <f t="shared" ref="O2648" si="4452">J2645-2</f>
        <v>1</v>
      </c>
      <c r="P2648" s="6" t="s">
        <v>44</v>
      </c>
      <c r="Q2648" s="25">
        <f t="shared" ref="Q2648" si="4453">VLOOKUP(J2648,J2650:S2680,3,FALSE)</f>
        <v>2.1428002027069155</v>
      </c>
      <c r="R2648" s="6" t="s">
        <v>45</v>
      </c>
      <c r="S2648" s="6">
        <f t="shared" ref="S2648" si="4454">VLOOKUP(J2648,J2650:S2680,2,FALSE)</f>
        <v>0.99744911516182178</v>
      </c>
      <c r="T2648" s="9"/>
      <c r="U2648" s="1">
        <f t="shared" si="4322"/>
        <v>61</v>
      </c>
      <c r="V2648" s="1">
        <f t="shared" si="4323"/>
        <v>207</v>
      </c>
    </row>
    <row r="2649" spans="1:22" x14ac:dyDescent="0.3">
      <c r="A2649" s="1">
        <f t="shared" si="4417"/>
        <v>61208</v>
      </c>
      <c r="B2649" s="96" t="s">
        <v>17</v>
      </c>
      <c r="C2649" s="97"/>
      <c r="D2649" s="116">
        <v>45473</v>
      </c>
      <c r="E2649" s="117"/>
      <c r="F2649" s="117"/>
      <c r="G2649" s="117"/>
      <c r="H2649" s="118"/>
      <c r="K2649" s="1">
        <v>3</v>
      </c>
      <c r="L2649" s="1">
        <v>3</v>
      </c>
      <c r="Q2649" s="26"/>
      <c r="R2649" s="26"/>
      <c r="S2649" s="26"/>
      <c r="T2649" s="9"/>
      <c r="U2649" s="1">
        <f t="shared" si="4322"/>
        <v>61</v>
      </c>
      <c r="V2649" s="1">
        <f t="shared" si="4323"/>
        <v>208</v>
      </c>
    </row>
    <row r="2650" spans="1:22" x14ac:dyDescent="0.3">
      <c r="A2650" s="1">
        <f t="shared" si="4417"/>
        <v>61209</v>
      </c>
      <c r="B2650" s="77" t="s">
        <v>19</v>
      </c>
      <c r="C2650" s="78"/>
      <c r="D2650" s="17">
        <v>0.1</v>
      </c>
      <c r="E2650" s="79" t="s">
        <v>40</v>
      </c>
      <c r="F2650" s="80"/>
      <c r="G2650" s="81"/>
      <c r="H2650" s="18" t="s">
        <v>72</v>
      </c>
      <c r="J2650" s="24" t="str">
        <f t="shared" ref="J2650" si="4455">CONCATENATE(K2649,1)</f>
        <v>31</v>
      </c>
      <c r="K2650" s="6">
        <f t="array" ref="K2650:L2652">LINEST(B2658:B2660,C2658:C2660^{1},TRUE,TRUE)</f>
        <v>1.0920975713450607</v>
      </c>
      <c r="L2650" s="6">
        <v>-7.2259127384811777</v>
      </c>
      <c r="Q2650" s="9"/>
      <c r="R2650" s="9"/>
      <c r="S2650" s="9"/>
      <c r="T2650" s="9"/>
      <c r="U2650" s="1">
        <f t="shared" si="4322"/>
        <v>61</v>
      </c>
      <c r="V2650" s="1">
        <f t="shared" si="4323"/>
        <v>209</v>
      </c>
    </row>
    <row r="2651" spans="1:22" x14ac:dyDescent="0.3">
      <c r="A2651" s="1">
        <f t="shared" si="4417"/>
        <v>61210</v>
      </c>
      <c r="B2651" s="77" t="s">
        <v>41</v>
      </c>
      <c r="C2651" s="78"/>
      <c r="D2651" s="23">
        <f t="shared" ref="D2651" si="4456">MIN(B2658:B2667)</f>
        <v>20</v>
      </c>
      <c r="E2651" s="20" t="s">
        <v>18</v>
      </c>
      <c r="F2651" s="19">
        <f t="shared" ref="F2651" si="4457">MAX(B2658:B2667)</f>
        <v>80</v>
      </c>
      <c r="G2651" s="21" t="str">
        <f t="shared" ref="G2651" si="4458">IF(H2650="","",H2650)</f>
        <v>%ur</v>
      </c>
      <c r="H2651" s="22"/>
      <c r="J2651" s="24" t="str">
        <f t="shared" ref="J2651" si="4459">CONCATENATE(K2649,2)</f>
        <v>32</v>
      </c>
      <c r="K2651" s="6">
        <v>5.5228276799772651E-2</v>
      </c>
      <c r="L2651" s="6">
        <v>3.1473076190465883</v>
      </c>
      <c r="Q2651" s="9"/>
      <c r="R2651" s="9"/>
      <c r="S2651" s="9"/>
      <c r="T2651" s="9"/>
      <c r="U2651" s="1">
        <f t="shared" ref="U2651:U2714" si="4460">U2650</f>
        <v>61</v>
      </c>
      <c r="V2651" s="1">
        <f t="shared" ref="V2651:V2714" si="4461">V2650+1</f>
        <v>210</v>
      </c>
    </row>
    <row r="2652" spans="1:22" x14ac:dyDescent="0.3">
      <c r="A2652" s="1">
        <f t="shared" si="4417"/>
        <v>61211</v>
      </c>
      <c r="J2652" s="24" t="str">
        <f t="shared" ref="J2652" si="4462">CONCATENATE(K2649,3)</f>
        <v>33</v>
      </c>
      <c r="K2652" s="6">
        <v>0.99744911516182178</v>
      </c>
      <c r="L2652" s="6">
        <v>2.1428002027069155</v>
      </c>
      <c r="Q2652" s="9"/>
      <c r="R2652" s="9"/>
      <c r="S2652" s="9"/>
      <c r="T2652" s="9"/>
      <c r="U2652" s="1">
        <f t="shared" si="4460"/>
        <v>61</v>
      </c>
      <c r="V2652" s="1">
        <f t="shared" si="4461"/>
        <v>211</v>
      </c>
    </row>
    <row r="2653" spans="1:22" x14ac:dyDescent="0.3">
      <c r="A2653" s="1">
        <f t="shared" si="4417"/>
        <v>61212</v>
      </c>
      <c r="B2653" s="82" t="s">
        <v>20</v>
      </c>
      <c r="C2653" s="83"/>
      <c r="D2653" s="83"/>
      <c r="E2653" s="83"/>
      <c r="F2653" s="84"/>
      <c r="G2653" s="85" t="s">
        <v>31</v>
      </c>
      <c r="H2653" s="86"/>
      <c r="K2653" s="1">
        <v>4</v>
      </c>
      <c r="L2653" s="1">
        <v>4</v>
      </c>
      <c r="M2653" s="1">
        <v>4</v>
      </c>
      <c r="Q2653" s="9"/>
      <c r="R2653" s="9"/>
      <c r="S2653" s="9"/>
      <c r="T2653" s="9"/>
      <c r="U2653" s="1">
        <f t="shared" si="4460"/>
        <v>61</v>
      </c>
      <c r="V2653" s="1">
        <f t="shared" si="4461"/>
        <v>212</v>
      </c>
    </row>
    <row r="2654" spans="1:22" x14ac:dyDescent="0.3">
      <c r="A2654" s="1">
        <f t="shared" si="4417"/>
        <v>61213</v>
      </c>
      <c r="B2654" s="82" t="s">
        <v>30</v>
      </c>
      <c r="C2654" s="83"/>
      <c r="D2654" s="84"/>
      <c r="E2654" s="82" t="str">
        <f t="shared" ref="E2654" si="4463">D2647</f>
        <v>E22554/23</v>
      </c>
      <c r="F2654" s="84"/>
      <c r="G2654" s="6" t="s">
        <v>32</v>
      </c>
      <c r="H2654" s="36"/>
      <c r="J2654" s="24" t="str">
        <f t="shared" ref="J2654" si="4464">CONCATENATE(K2653,1)</f>
        <v>41</v>
      </c>
      <c r="K2654" s="6" t="e">
        <f t="array" ref="K2654:M2656">LINEST(B2658:B2661,C2658:C2661^{1,2},TRUE,TRUE)</f>
        <v>#VALUE!</v>
      </c>
      <c r="L2654" s="6" t="e">
        <v>#VALUE!</v>
      </c>
      <c r="M2654" s="6" t="e">
        <v>#VALUE!</v>
      </c>
      <c r="Q2654" s="9"/>
      <c r="R2654" s="9"/>
      <c r="S2654" s="9"/>
      <c r="T2654" s="9"/>
      <c r="U2654" s="1">
        <f t="shared" si="4460"/>
        <v>61</v>
      </c>
      <c r="V2654" s="1">
        <f t="shared" si="4461"/>
        <v>213</v>
      </c>
    </row>
    <row r="2655" spans="1:22" x14ac:dyDescent="0.3">
      <c r="A2655" s="1">
        <f t="shared" si="4417"/>
        <v>61214</v>
      </c>
      <c r="B2655" s="2" t="s">
        <v>21</v>
      </c>
      <c r="C2655" s="2" t="s">
        <v>22</v>
      </c>
      <c r="D2655" s="2" t="s">
        <v>23</v>
      </c>
      <c r="E2655" s="2"/>
      <c r="F2655" s="2" t="s">
        <v>28</v>
      </c>
      <c r="G2655" s="2" t="s">
        <v>21</v>
      </c>
      <c r="H2655" s="2" t="s">
        <v>22</v>
      </c>
      <c r="J2655" s="24" t="str">
        <f t="shared" ref="J2655" si="4465">CONCATENATE(K2653,2)</f>
        <v>42</v>
      </c>
      <c r="K2655" s="6" t="e">
        <v>#VALUE!</v>
      </c>
      <c r="L2655" s="6" t="e">
        <v>#VALUE!</v>
      </c>
      <c r="M2655" s="6" t="e">
        <v>#VALUE!</v>
      </c>
      <c r="Q2655" s="9"/>
      <c r="R2655" s="9"/>
      <c r="S2655" s="9"/>
      <c r="T2655" s="9"/>
      <c r="U2655" s="1">
        <f t="shared" si="4460"/>
        <v>61</v>
      </c>
      <c r="V2655" s="1">
        <f t="shared" si="4461"/>
        <v>214</v>
      </c>
    </row>
    <row r="2656" spans="1:22" x14ac:dyDescent="0.3">
      <c r="A2656" s="1">
        <f t="shared" si="4417"/>
        <v>61215</v>
      </c>
      <c r="B2656" s="2" t="s">
        <v>24</v>
      </c>
      <c r="C2656" s="2" t="s">
        <v>25</v>
      </c>
      <c r="D2656" s="2" t="s">
        <v>26</v>
      </c>
      <c r="E2656" s="2" t="s">
        <v>27</v>
      </c>
      <c r="F2656" s="2" t="s">
        <v>29</v>
      </c>
      <c r="G2656" s="2" t="s">
        <v>24</v>
      </c>
      <c r="H2656" s="2" t="s">
        <v>25</v>
      </c>
      <c r="J2656" s="24" t="str">
        <f t="shared" ref="J2656" si="4466">CONCATENATE(K2653,3)</f>
        <v>43</v>
      </c>
      <c r="K2656" s="6" t="e">
        <v>#VALUE!</v>
      </c>
      <c r="L2656" s="6" t="e">
        <v>#VALUE!</v>
      </c>
      <c r="M2656" s="6" t="e">
        <v>#VALUE!</v>
      </c>
      <c r="Q2656" s="9"/>
      <c r="R2656" s="9"/>
      <c r="S2656" s="9"/>
      <c r="T2656" s="9"/>
      <c r="U2656" s="1">
        <f t="shared" si="4460"/>
        <v>61</v>
      </c>
      <c r="V2656" s="1">
        <f t="shared" si="4461"/>
        <v>215</v>
      </c>
    </row>
    <row r="2657" spans="1:22" x14ac:dyDescent="0.3">
      <c r="A2657" s="1">
        <f t="shared" si="4417"/>
        <v>61216</v>
      </c>
      <c r="B2657" s="3" t="str">
        <f t="shared" ref="B2657" si="4467">H2650</f>
        <v>%ur</v>
      </c>
      <c r="C2657" s="3" t="str">
        <f t="shared" ref="C2657" si="4468">B2657</f>
        <v>%ur</v>
      </c>
      <c r="D2657" s="3" t="str">
        <f t="shared" ref="D2657" si="4469">C2657</f>
        <v>%ur</v>
      </c>
      <c r="E2657" s="3"/>
      <c r="F2657" s="3"/>
      <c r="G2657" s="3" t="str">
        <f t="shared" ref="G2657" si="4470">D2657</f>
        <v>%ur</v>
      </c>
      <c r="H2657" s="3" t="str">
        <f t="shared" ref="H2657" si="4471">G2657</f>
        <v>%ur</v>
      </c>
      <c r="K2657" s="1">
        <v>5</v>
      </c>
      <c r="L2657" s="1">
        <v>5</v>
      </c>
      <c r="M2657" s="1">
        <v>5</v>
      </c>
      <c r="N2657" s="1">
        <v>5</v>
      </c>
      <c r="Q2657" s="9"/>
      <c r="R2657" s="9"/>
      <c r="S2657" s="9"/>
      <c r="T2657" s="9"/>
      <c r="U2657" s="1">
        <f t="shared" si="4460"/>
        <v>61</v>
      </c>
      <c r="V2657" s="1">
        <f t="shared" si="4461"/>
        <v>216</v>
      </c>
    </row>
    <row r="2658" spans="1:22" x14ac:dyDescent="0.3">
      <c r="A2658" s="1">
        <f t="shared" si="4417"/>
        <v>61217</v>
      </c>
      <c r="B2658" s="4">
        <v>20</v>
      </c>
      <c r="C2658" s="4">
        <v>24.2</v>
      </c>
      <c r="D2658" s="4">
        <v>0.6</v>
      </c>
      <c r="E2658" s="4">
        <v>2</v>
      </c>
      <c r="F2658" s="14">
        <v>1000000</v>
      </c>
      <c r="G2658" s="8"/>
      <c r="H2658" s="7"/>
      <c r="J2658" s="24" t="str">
        <f t="shared" ref="J2658" si="4472">CONCATENATE(K2657,1)</f>
        <v>51</v>
      </c>
      <c r="K2658" s="6" t="e">
        <f t="array" ref="K2658:N2660">LINEST(B2658:B2662,C2658:C2662^{1,2,3},TRUE,TRUE)</f>
        <v>#VALUE!</v>
      </c>
      <c r="L2658" s="6" t="e">
        <v>#VALUE!</v>
      </c>
      <c r="M2658" s="6" t="e">
        <v>#VALUE!</v>
      </c>
      <c r="N2658" s="6" t="e">
        <v>#VALUE!</v>
      </c>
      <c r="Q2658" s="9"/>
      <c r="R2658" s="9"/>
      <c r="S2658" s="9"/>
      <c r="T2658" s="9"/>
      <c r="U2658" s="1">
        <f t="shared" si="4460"/>
        <v>61</v>
      </c>
      <c r="V2658" s="1">
        <f t="shared" si="4461"/>
        <v>217</v>
      </c>
    </row>
    <row r="2659" spans="1:22" x14ac:dyDescent="0.3">
      <c r="A2659" s="1">
        <f t="shared" si="4417"/>
        <v>61218</v>
      </c>
      <c r="B2659" s="4">
        <v>50</v>
      </c>
      <c r="C2659" s="4">
        <v>54</v>
      </c>
      <c r="D2659" s="4">
        <v>0.8</v>
      </c>
      <c r="E2659" s="4">
        <v>2</v>
      </c>
      <c r="F2659" s="14">
        <v>1000000</v>
      </c>
      <c r="G2659" s="8"/>
      <c r="H2659" s="7"/>
      <c r="J2659" s="24" t="str">
        <f t="shared" ref="J2659" si="4473">CONCATENATE(K2657,2)</f>
        <v>52</v>
      </c>
      <c r="K2659" s="6" t="e">
        <v>#VALUE!</v>
      </c>
      <c r="L2659" s="6" t="e">
        <v>#VALUE!</v>
      </c>
      <c r="M2659" s="6" t="e">
        <v>#VALUE!</v>
      </c>
      <c r="N2659" s="6" t="e">
        <v>#VALUE!</v>
      </c>
      <c r="T2659" s="9"/>
      <c r="U2659" s="1">
        <f t="shared" si="4460"/>
        <v>61</v>
      </c>
      <c r="V2659" s="1">
        <f t="shared" si="4461"/>
        <v>218</v>
      </c>
    </row>
    <row r="2660" spans="1:22" x14ac:dyDescent="0.3">
      <c r="A2660" s="1">
        <f t="shared" si="4417"/>
        <v>61219</v>
      </c>
      <c r="B2660" s="4">
        <v>80</v>
      </c>
      <c r="C2660" s="4">
        <v>79</v>
      </c>
      <c r="D2660" s="4">
        <v>1.2</v>
      </c>
      <c r="E2660" s="4">
        <v>2</v>
      </c>
      <c r="F2660" s="14">
        <v>1000000</v>
      </c>
      <c r="G2660" s="8"/>
      <c r="H2660" s="7"/>
      <c r="J2660" s="24" t="str">
        <f t="shared" ref="J2660" si="4474">CONCATENATE(K2657,3)</f>
        <v>53</v>
      </c>
      <c r="K2660" s="6" t="e">
        <v>#VALUE!</v>
      </c>
      <c r="L2660" s="6" t="e">
        <v>#VALUE!</v>
      </c>
      <c r="M2660" s="6" t="e">
        <v>#VALUE!</v>
      </c>
      <c r="N2660" s="6" t="e">
        <v>#VALUE!</v>
      </c>
      <c r="T2660" s="9"/>
      <c r="U2660" s="1">
        <f t="shared" si="4460"/>
        <v>61</v>
      </c>
      <c r="V2660" s="1">
        <f t="shared" si="4461"/>
        <v>219</v>
      </c>
    </row>
    <row r="2661" spans="1:22" x14ac:dyDescent="0.3">
      <c r="A2661" s="1">
        <f t="shared" si="4417"/>
        <v>61220</v>
      </c>
      <c r="B2661" s="4"/>
      <c r="C2661" s="4"/>
      <c r="D2661" s="4"/>
      <c r="E2661" s="4"/>
      <c r="F2661" s="14"/>
      <c r="G2661" s="8"/>
      <c r="H2661" s="7"/>
      <c r="K2661" s="1">
        <v>6</v>
      </c>
      <c r="L2661" s="1">
        <v>6</v>
      </c>
      <c r="M2661" s="1">
        <v>6</v>
      </c>
      <c r="N2661" s="1">
        <v>6</v>
      </c>
      <c r="O2661" s="1">
        <v>6</v>
      </c>
      <c r="T2661" s="9"/>
      <c r="U2661" s="1">
        <f t="shared" si="4460"/>
        <v>61</v>
      </c>
      <c r="V2661" s="1">
        <f t="shared" si="4461"/>
        <v>220</v>
      </c>
    </row>
    <row r="2662" spans="1:22" x14ac:dyDescent="0.3">
      <c r="A2662" s="1">
        <f t="shared" si="4417"/>
        <v>61221</v>
      </c>
      <c r="B2662" s="4"/>
      <c r="C2662" s="4"/>
      <c r="D2662" s="4"/>
      <c r="E2662" s="4"/>
      <c r="F2662" s="14"/>
      <c r="G2662" s="8"/>
      <c r="H2662" s="7"/>
      <c r="J2662" s="24" t="str">
        <f t="shared" ref="J2662" si="4475">CONCATENATE(K2661,1)</f>
        <v>61</v>
      </c>
      <c r="K2662" s="6" t="e">
        <f t="array" ref="K2662:O2664">LINEST(B2658:B2663,C2658:C2663^{1,2,3,4},TRUE,TRUE)</f>
        <v>#VALUE!</v>
      </c>
      <c r="L2662" s="6" t="e">
        <v>#VALUE!</v>
      </c>
      <c r="M2662" s="6" t="e">
        <v>#VALUE!</v>
      </c>
      <c r="N2662" s="6" t="e">
        <v>#VALUE!</v>
      </c>
      <c r="O2662" s="6" t="e">
        <v>#VALUE!</v>
      </c>
      <c r="T2662" s="9"/>
      <c r="U2662" s="1">
        <f t="shared" si="4460"/>
        <v>61</v>
      </c>
      <c r="V2662" s="1">
        <f t="shared" si="4461"/>
        <v>221</v>
      </c>
    </row>
    <row r="2663" spans="1:22" x14ac:dyDescent="0.3">
      <c r="A2663" s="1">
        <f t="shared" si="4417"/>
        <v>61222</v>
      </c>
      <c r="B2663" s="4"/>
      <c r="C2663" s="4"/>
      <c r="D2663" s="4"/>
      <c r="E2663" s="4"/>
      <c r="F2663" s="14"/>
      <c r="G2663" s="8"/>
      <c r="H2663" s="7"/>
      <c r="J2663" s="24" t="str">
        <f t="shared" ref="J2663" si="4476">CONCATENATE(K2661,2)</f>
        <v>62</v>
      </c>
      <c r="K2663" s="6" t="e">
        <v>#VALUE!</v>
      </c>
      <c r="L2663" s="6" t="e">
        <v>#VALUE!</v>
      </c>
      <c r="M2663" s="6" t="e">
        <v>#VALUE!</v>
      </c>
      <c r="N2663" s="6" t="e">
        <v>#VALUE!</v>
      </c>
      <c r="O2663" s="6" t="e">
        <v>#VALUE!</v>
      </c>
      <c r="T2663" s="9"/>
      <c r="U2663" s="1">
        <f t="shared" si="4460"/>
        <v>61</v>
      </c>
      <c r="V2663" s="1">
        <f t="shared" si="4461"/>
        <v>222</v>
      </c>
    </row>
    <row r="2664" spans="1:22" x14ac:dyDescent="0.3">
      <c r="A2664" s="1">
        <f t="shared" si="4417"/>
        <v>61223</v>
      </c>
      <c r="B2664" s="4"/>
      <c r="C2664" s="4"/>
      <c r="D2664" s="4"/>
      <c r="E2664" s="4"/>
      <c r="F2664" s="14"/>
      <c r="G2664" s="8"/>
      <c r="H2664" s="7"/>
      <c r="J2664" s="24" t="str">
        <f t="shared" ref="J2664" si="4477">CONCATENATE(K2661,3)</f>
        <v>63</v>
      </c>
      <c r="K2664" s="6" t="e">
        <v>#VALUE!</v>
      </c>
      <c r="L2664" s="6" t="e">
        <v>#VALUE!</v>
      </c>
      <c r="M2664" s="6" t="e">
        <v>#VALUE!</v>
      </c>
      <c r="N2664" s="6" t="e">
        <v>#VALUE!</v>
      </c>
      <c r="O2664" s="6" t="e">
        <v>#VALUE!</v>
      </c>
      <c r="T2664" s="9"/>
      <c r="U2664" s="1">
        <f t="shared" si="4460"/>
        <v>61</v>
      </c>
      <c r="V2664" s="1">
        <f t="shared" si="4461"/>
        <v>223</v>
      </c>
    </row>
    <row r="2665" spans="1:22" x14ac:dyDescent="0.3">
      <c r="A2665" s="1">
        <f t="shared" si="4417"/>
        <v>61224</v>
      </c>
      <c r="B2665" s="4"/>
      <c r="C2665" s="4"/>
      <c r="D2665" s="4"/>
      <c r="E2665" s="4"/>
      <c r="F2665" s="14"/>
      <c r="G2665" s="8"/>
      <c r="H2665" s="7"/>
      <c r="K2665" s="1">
        <v>7</v>
      </c>
      <c r="L2665" s="1">
        <v>7</v>
      </c>
      <c r="M2665" s="1">
        <v>7</v>
      </c>
      <c r="N2665" s="1">
        <v>7</v>
      </c>
      <c r="O2665" s="1">
        <v>7</v>
      </c>
      <c r="P2665" s="1">
        <v>7</v>
      </c>
      <c r="T2665" s="9"/>
      <c r="U2665" s="1">
        <f t="shared" si="4460"/>
        <v>61</v>
      </c>
      <c r="V2665" s="1">
        <f t="shared" si="4461"/>
        <v>224</v>
      </c>
    </row>
    <row r="2666" spans="1:22" x14ac:dyDescent="0.3">
      <c r="A2666" s="1">
        <f t="shared" si="4417"/>
        <v>61225</v>
      </c>
      <c r="B2666" s="4"/>
      <c r="C2666" s="4"/>
      <c r="D2666" s="4"/>
      <c r="E2666" s="4"/>
      <c r="F2666" s="14"/>
      <c r="G2666" s="8"/>
      <c r="H2666" s="7"/>
      <c r="J2666" s="24" t="str">
        <f t="shared" ref="J2666" si="4478">CONCATENATE(K2665,1)</f>
        <v>71</v>
      </c>
      <c r="K2666" s="6" t="e">
        <f t="array" ref="K2666:P2668">LINEST(B2658:B2664,C2658:C2664^{1,2,3,4,5},TRUE,TRUE)</f>
        <v>#VALUE!</v>
      </c>
      <c r="L2666" s="6" t="e">
        <v>#VALUE!</v>
      </c>
      <c r="M2666" s="6" t="e">
        <v>#VALUE!</v>
      </c>
      <c r="N2666" s="6" t="e">
        <v>#VALUE!</v>
      </c>
      <c r="O2666" s="6" t="e">
        <v>#VALUE!</v>
      </c>
      <c r="P2666" s="6" t="e">
        <v>#VALUE!</v>
      </c>
      <c r="T2666" s="9"/>
      <c r="U2666" s="1">
        <f t="shared" si="4460"/>
        <v>61</v>
      </c>
      <c r="V2666" s="1">
        <f t="shared" si="4461"/>
        <v>225</v>
      </c>
    </row>
    <row r="2667" spans="1:22" x14ac:dyDescent="0.3">
      <c r="A2667" s="1">
        <f t="shared" si="4417"/>
        <v>61226</v>
      </c>
      <c r="B2667" s="4"/>
      <c r="C2667" s="4"/>
      <c r="D2667" s="4"/>
      <c r="E2667" s="4"/>
      <c r="F2667" s="14"/>
      <c r="G2667" s="8"/>
      <c r="H2667" s="7"/>
      <c r="J2667" s="24" t="str">
        <f t="shared" ref="J2667" si="4479">CONCATENATE(K2665,2)</f>
        <v>72</v>
      </c>
      <c r="K2667" s="6" t="e">
        <v>#VALUE!</v>
      </c>
      <c r="L2667" s="6" t="e">
        <v>#VALUE!</v>
      </c>
      <c r="M2667" s="6" t="e">
        <v>#VALUE!</v>
      </c>
      <c r="N2667" s="6" t="e">
        <v>#VALUE!</v>
      </c>
      <c r="O2667" s="6" t="e">
        <v>#VALUE!</v>
      </c>
      <c r="P2667" s="6" t="e">
        <v>#VALUE!</v>
      </c>
      <c r="T2667" s="9"/>
      <c r="U2667" s="1">
        <f t="shared" si="4460"/>
        <v>61</v>
      </c>
      <c r="V2667" s="1">
        <f t="shared" si="4461"/>
        <v>226</v>
      </c>
    </row>
    <row r="2668" spans="1:22" x14ac:dyDescent="0.3">
      <c r="A2668" s="1">
        <f t="shared" si="4417"/>
        <v>61227</v>
      </c>
      <c r="B2668" s="9"/>
      <c r="C2668" s="9"/>
      <c r="D2668" s="9"/>
      <c r="E2668" s="9"/>
      <c r="F2668" s="9"/>
      <c r="G2668" s="9"/>
      <c r="H2668" s="9"/>
      <c r="J2668" s="24" t="str">
        <f t="shared" ref="J2668" si="4480">CONCATENATE(K2665,3)</f>
        <v>73</v>
      </c>
      <c r="K2668" s="6" t="e">
        <v>#VALUE!</v>
      </c>
      <c r="L2668" s="6" t="e">
        <v>#VALUE!</v>
      </c>
      <c r="M2668" s="6" t="e">
        <v>#VALUE!</v>
      </c>
      <c r="N2668" s="6" t="e">
        <v>#VALUE!</v>
      </c>
      <c r="O2668" s="6" t="e">
        <v>#VALUE!</v>
      </c>
      <c r="P2668" s="6" t="e">
        <v>#VALUE!</v>
      </c>
      <c r="T2668" s="9"/>
      <c r="U2668" s="1">
        <f t="shared" si="4460"/>
        <v>61</v>
      </c>
      <c r="V2668" s="1">
        <f t="shared" si="4461"/>
        <v>227</v>
      </c>
    </row>
    <row r="2669" spans="1:22" x14ac:dyDescent="0.3">
      <c r="A2669" s="1">
        <f t="shared" si="4417"/>
        <v>61228</v>
      </c>
      <c r="B2669" s="87" t="s">
        <v>33</v>
      </c>
      <c r="C2669" s="88"/>
      <c r="D2669" s="88"/>
      <c r="E2669" s="88"/>
      <c r="F2669" s="88"/>
      <c r="G2669" s="88"/>
      <c r="H2669" s="89"/>
      <c r="K2669" s="1">
        <v>8</v>
      </c>
      <c r="L2669" s="1">
        <v>8</v>
      </c>
      <c r="M2669" s="1">
        <v>8</v>
      </c>
      <c r="N2669" s="1">
        <v>8</v>
      </c>
      <c r="O2669" s="1">
        <v>8</v>
      </c>
      <c r="P2669" s="1">
        <v>8</v>
      </c>
      <c r="Q2669" s="1">
        <v>8</v>
      </c>
      <c r="T2669" s="9"/>
      <c r="U2669" s="1">
        <f t="shared" si="4460"/>
        <v>61</v>
      </c>
      <c r="V2669" s="1">
        <f t="shared" si="4461"/>
        <v>228</v>
      </c>
    </row>
    <row r="2670" spans="1:22" x14ac:dyDescent="0.3">
      <c r="A2670" s="1">
        <f t="shared" si="4417"/>
        <v>61229</v>
      </c>
      <c r="B2670" s="90"/>
      <c r="C2670" s="91"/>
      <c r="D2670" s="91"/>
      <c r="E2670" s="91"/>
      <c r="F2670" s="91"/>
      <c r="G2670" s="91"/>
      <c r="H2670" s="92"/>
      <c r="J2670" s="24" t="str">
        <f t="shared" ref="J2670" si="4481">CONCATENATE(K2669,1)</f>
        <v>81</v>
      </c>
      <c r="K2670" s="6" t="e">
        <f t="array" ref="K2670:Q2672">LINEST(B2658:B2665,C2658:C2665^{1,2,3,4,5,6},TRUE,TRUE)</f>
        <v>#VALUE!</v>
      </c>
      <c r="L2670" s="6" t="e">
        <v>#VALUE!</v>
      </c>
      <c r="M2670" s="6" t="e">
        <v>#VALUE!</v>
      </c>
      <c r="N2670" s="6" t="e">
        <v>#VALUE!</v>
      </c>
      <c r="O2670" s="6" t="e">
        <v>#VALUE!</v>
      </c>
      <c r="P2670" s="6" t="e">
        <v>#VALUE!</v>
      </c>
      <c r="Q2670" s="6" t="e">
        <v>#VALUE!</v>
      </c>
      <c r="T2670" s="9"/>
      <c r="U2670" s="1">
        <f t="shared" si="4460"/>
        <v>61</v>
      </c>
      <c r="V2670" s="1">
        <f t="shared" si="4461"/>
        <v>229</v>
      </c>
    </row>
    <row r="2671" spans="1:22" x14ac:dyDescent="0.3">
      <c r="A2671" s="1">
        <f t="shared" si="4417"/>
        <v>61230</v>
      </c>
      <c r="B2671" s="93"/>
      <c r="C2671" s="94"/>
      <c r="D2671" s="94"/>
      <c r="E2671" s="94"/>
      <c r="F2671" s="94"/>
      <c r="G2671" s="94"/>
      <c r="H2671" s="95"/>
      <c r="J2671" s="24" t="str">
        <f t="shared" ref="J2671" si="4482">CONCATENATE(K2669,2)</f>
        <v>82</v>
      </c>
      <c r="K2671" s="6" t="e">
        <v>#VALUE!</v>
      </c>
      <c r="L2671" s="6" t="e">
        <v>#VALUE!</v>
      </c>
      <c r="M2671" s="6" t="e">
        <v>#VALUE!</v>
      </c>
      <c r="N2671" s="6" t="e">
        <v>#VALUE!</v>
      </c>
      <c r="O2671" s="6" t="e">
        <v>#VALUE!</v>
      </c>
      <c r="P2671" s="6" t="e">
        <v>#VALUE!</v>
      </c>
      <c r="Q2671" s="6" t="e">
        <v>#VALUE!</v>
      </c>
      <c r="T2671" s="9"/>
      <c r="U2671" s="1">
        <f t="shared" si="4460"/>
        <v>61</v>
      </c>
      <c r="V2671" s="1">
        <f t="shared" si="4461"/>
        <v>230</v>
      </c>
    </row>
    <row r="2672" spans="1:22" x14ac:dyDescent="0.3">
      <c r="A2672" s="1">
        <f t="shared" si="4417"/>
        <v>61231</v>
      </c>
      <c r="J2672" s="24" t="str">
        <f t="shared" ref="J2672" si="4483">CONCATENATE(K2669,3)</f>
        <v>83</v>
      </c>
      <c r="K2672" s="6" t="e">
        <v>#VALUE!</v>
      </c>
      <c r="L2672" s="6" t="e">
        <v>#VALUE!</v>
      </c>
      <c r="M2672" s="6" t="e">
        <v>#VALUE!</v>
      </c>
      <c r="N2672" s="6" t="e">
        <v>#VALUE!</v>
      </c>
      <c r="O2672" s="6" t="e">
        <v>#VALUE!</v>
      </c>
      <c r="P2672" s="6" t="e">
        <v>#VALUE!</v>
      </c>
      <c r="Q2672" s="6" t="e">
        <v>#VALUE!</v>
      </c>
      <c r="T2672" s="9"/>
      <c r="U2672" s="1">
        <f t="shared" si="4460"/>
        <v>61</v>
      </c>
      <c r="V2672" s="1">
        <f t="shared" si="4461"/>
        <v>231</v>
      </c>
    </row>
    <row r="2673" spans="1:22" ht="15" customHeight="1" x14ac:dyDescent="0.3">
      <c r="A2673" s="1">
        <f t="shared" si="4417"/>
        <v>61232</v>
      </c>
      <c r="B2673" s="10" t="s">
        <v>34</v>
      </c>
      <c r="C2673" s="10" t="s">
        <v>35</v>
      </c>
      <c r="D2673" s="10" t="s">
        <v>36</v>
      </c>
      <c r="E2673" s="74" t="s">
        <v>37</v>
      </c>
      <c r="F2673" s="75"/>
      <c r="G2673" s="76"/>
      <c r="K2673" s="1">
        <v>9</v>
      </c>
      <c r="L2673" s="1">
        <v>9</v>
      </c>
      <c r="M2673" s="1">
        <v>9</v>
      </c>
      <c r="N2673" s="1">
        <v>9</v>
      </c>
      <c r="O2673" s="1">
        <v>9</v>
      </c>
      <c r="P2673" s="1">
        <v>9</v>
      </c>
      <c r="Q2673" s="1">
        <v>9</v>
      </c>
      <c r="R2673" s="1">
        <v>9</v>
      </c>
      <c r="T2673" s="9"/>
      <c r="U2673" s="1">
        <f t="shared" si="4460"/>
        <v>61</v>
      </c>
      <c r="V2673" s="1">
        <f t="shared" si="4461"/>
        <v>232</v>
      </c>
    </row>
    <row r="2674" spans="1:22" x14ac:dyDescent="0.3">
      <c r="A2674" s="1">
        <f t="shared" si="4417"/>
        <v>61233</v>
      </c>
      <c r="B2674" s="12">
        <f t="shared" ref="B2674:B2683" si="4484">C2658-B2658</f>
        <v>4.1999999999999993</v>
      </c>
      <c r="C2674" s="13">
        <f t="shared" ref="C2674:C2683" si="4485">H2658-G2658</f>
        <v>0</v>
      </c>
      <c r="D2674" s="10">
        <f t="shared" ref="D2674:D2683" si="4486">C2674-B2674</f>
        <v>-4.1999999999999993</v>
      </c>
      <c r="E2674" s="11">
        <f t="shared" ref="E2674" si="4487">IF(D2649="","",MAX(F2674,G2674))</f>
        <v>4.1999999999999993</v>
      </c>
      <c r="F2674" s="10">
        <f t="shared" ref="F2674" si="4488">ABS(MIN(D2674:D2683))</f>
        <v>4.1999999999999993</v>
      </c>
      <c r="G2674" s="10">
        <f t="shared" ref="G2674" si="4489">ABS(MAX(D2674:D2683))</f>
        <v>1</v>
      </c>
      <c r="J2674" s="24" t="str">
        <f t="shared" ref="J2674" si="4490">CONCATENATE(K2673,1)</f>
        <v>91</v>
      </c>
      <c r="K2674" s="6" t="e">
        <f t="array" ref="K2674:R2676">LINEST(B2658:B2666,C2658:C2666^{1,2,3,4,5,6,7},TRUE,TRUE)</f>
        <v>#VALUE!</v>
      </c>
      <c r="L2674" s="6" t="e">
        <v>#VALUE!</v>
      </c>
      <c r="M2674" s="6" t="e">
        <v>#VALUE!</v>
      </c>
      <c r="N2674" s="6" t="e">
        <v>#VALUE!</v>
      </c>
      <c r="O2674" s="6" t="e">
        <v>#VALUE!</v>
      </c>
      <c r="P2674" s="6" t="e">
        <v>#VALUE!</v>
      </c>
      <c r="Q2674" s="6" t="e">
        <v>#VALUE!</v>
      </c>
      <c r="R2674" s="6" t="e">
        <v>#VALUE!</v>
      </c>
      <c r="T2674" s="9"/>
      <c r="U2674" s="1">
        <f t="shared" si="4460"/>
        <v>61</v>
      </c>
      <c r="V2674" s="1">
        <f t="shared" si="4461"/>
        <v>233</v>
      </c>
    </row>
    <row r="2675" spans="1:22" x14ac:dyDescent="0.3">
      <c r="A2675" s="1">
        <f t="shared" si="4417"/>
        <v>61234</v>
      </c>
      <c r="B2675" s="12">
        <f t="shared" si="4484"/>
        <v>4</v>
      </c>
      <c r="C2675" s="13">
        <f t="shared" si="4485"/>
        <v>0</v>
      </c>
      <c r="D2675" s="10">
        <f t="shared" si="4486"/>
        <v>-4</v>
      </c>
      <c r="E2675" s="74" t="s">
        <v>38</v>
      </c>
      <c r="F2675" s="75"/>
      <c r="G2675" s="76"/>
      <c r="J2675" s="24" t="str">
        <f t="shared" ref="J2675" si="4491">CONCATENATE(K2673,2)</f>
        <v>92</v>
      </c>
      <c r="K2675" s="6" t="e">
        <v>#VALUE!</v>
      </c>
      <c r="L2675" s="6" t="e">
        <v>#VALUE!</v>
      </c>
      <c r="M2675" s="6" t="e">
        <v>#VALUE!</v>
      </c>
      <c r="N2675" s="6" t="e">
        <v>#VALUE!</v>
      </c>
      <c r="O2675" s="6" t="e">
        <v>#VALUE!</v>
      </c>
      <c r="P2675" s="6" t="e">
        <v>#VALUE!</v>
      </c>
      <c r="Q2675" s="6" t="e">
        <v>#VALUE!</v>
      </c>
      <c r="R2675" s="6" t="e">
        <v>#VALUE!</v>
      </c>
      <c r="T2675" s="9"/>
      <c r="U2675" s="1">
        <f t="shared" si="4460"/>
        <v>61</v>
      </c>
      <c r="V2675" s="1">
        <f t="shared" si="4461"/>
        <v>234</v>
      </c>
    </row>
    <row r="2676" spans="1:22" x14ac:dyDescent="0.3">
      <c r="A2676" s="1">
        <f t="shared" si="4417"/>
        <v>61235</v>
      </c>
      <c r="B2676" s="12">
        <f t="shared" si="4484"/>
        <v>-1</v>
      </c>
      <c r="C2676" s="13">
        <f t="shared" si="4485"/>
        <v>0</v>
      </c>
      <c r="D2676" s="10">
        <f t="shared" si="4486"/>
        <v>1</v>
      </c>
      <c r="E2676" s="11">
        <f t="shared" ref="E2676" si="4492">IF(D2649="","",MAX(F2676,G2676))</f>
        <v>4.1999999999999993</v>
      </c>
      <c r="F2676" s="10">
        <f t="shared" ref="F2676" si="4493">ABS(MIN(B2674:B2683))</f>
        <v>1</v>
      </c>
      <c r="G2676" s="10">
        <f t="shared" ref="G2676" si="4494">ABS(MAX(B2674:B2683))</f>
        <v>4.1999999999999993</v>
      </c>
      <c r="J2676" s="24" t="str">
        <f t="shared" ref="J2676" si="4495">CONCATENATE(K2673,3)</f>
        <v>93</v>
      </c>
      <c r="K2676" s="6" t="e">
        <v>#VALUE!</v>
      </c>
      <c r="L2676" s="6" t="e">
        <v>#VALUE!</v>
      </c>
      <c r="M2676" s="6" t="e">
        <v>#VALUE!</v>
      </c>
      <c r="N2676" s="6" t="e">
        <v>#VALUE!</v>
      </c>
      <c r="O2676" s="6" t="e">
        <v>#VALUE!</v>
      </c>
      <c r="P2676" s="6" t="e">
        <v>#VALUE!</v>
      </c>
      <c r="Q2676" s="6" t="e">
        <v>#VALUE!</v>
      </c>
      <c r="R2676" s="6" t="e">
        <v>#VALUE!</v>
      </c>
      <c r="T2676" s="9"/>
      <c r="U2676" s="1">
        <f t="shared" si="4460"/>
        <v>61</v>
      </c>
      <c r="V2676" s="1">
        <f t="shared" si="4461"/>
        <v>235</v>
      </c>
    </row>
    <row r="2677" spans="1:22" x14ac:dyDescent="0.3">
      <c r="A2677" s="1">
        <f t="shared" si="4417"/>
        <v>61236</v>
      </c>
      <c r="B2677" s="12">
        <f t="shared" si="4484"/>
        <v>0</v>
      </c>
      <c r="C2677" s="13">
        <f t="shared" si="4485"/>
        <v>0</v>
      </c>
      <c r="D2677" s="10">
        <f t="shared" si="4486"/>
        <v>0</v>
      </c>
      <c r="E2677" s="74" t="s">
        <v>39</v>
      </c>
      <c r="F2677" s="75"/>
      <c r="G2677" s="76"/>
      <c r="K2677" s="1">
        <v>10</v>
      </c>
      <c r="L2677" s="1">
        <v>10</v>
      </c>
      <c r="M2677" s="1">
        <v>10</v>
      </c>
      <c r="N2677" s="1">
        <v>10</v>
      </c>
      <c r="O2677" s="1">
        <v>10</v>
      </c>
      <c r="P2677" s="1">
        <v>10</v>
      </c>
      <c r="Q2677" s="1">
        <v>10</v>
      </c>
      <c r="R2677" s="1">
        <v>10</v>
      </c>
      <c r="S2677" s="1">
        <v>10</v>
      </c>
      <c r="T2677" s="9"/>
      <c r="U2677" s="1">
        <f t="shared" si="4460"/>
        <v>61</v>
      </c>
      <c r="V2677" s="1">
        <f t="shared" si="4461"/>
        <v>236</v>
      </c>
    </row>
    <row r="2678" spans="1:22" x14ac:dyDescent="0.3">
      <c r="A2678" s="1">
        <f t="shared" si="4417"/>
        <v>61237</v>
      </c>
      <c r="B2678" s="12">
        <f t="shared" si="4484"/>
        <v>0</v>
      </c>
      <c r="C2678" s="13">
        <f t="shared" si="4485"/>
        <v>0</v>
      </c>
      <c r="D2678" s="10">
        <f t="shared" si="4486"/>
        <v>0</v>
      </c>
      <c r="E2678" s="11">
        <f t="shared" ref="E2678" si="4496">IF(D2649="","",MAX(F2678,G2678))</f>
        <v>1.2</v>
      </c>
      <c r="F2678" s="10">
        <f t="shared" ref="F2678" si="4497">ABS(MIN(D2658:D2667))</f>
        <v>0.6</v>
      </c>
      <c r="G2678" s="10">
        <f t="shared" ref="G2678" si="4498">ABS(MAX(D2658:D2667))</f>
        <v>1.2</v>
      </c>
      <c r="J2678" s="24" t="str">
        <f t="shared" ref="J2678" si="4499">CONCATENATE(K2677,1)</f>
        <v>101</v>
      </c>
      <c r="K2678" s="6" t="e">
        <f t="array" ref="K2678:S2680">LINEST(B2658:B2667,C2658:C2667^{1,2,3,4,5,6,7,8},TRUE,TRUE)</f>
        <v>#VALUE!</v>
      </c>
      <c r="L2678" s="6" t="e">
        <v>#VALUE!</v>
      </c>
      <c r="M2678" s="6" t="e">
        <v>#VALUE!</v>
      </c>
      <c r="N2678" s="6" t="e">
        <v>#VALUE!</v>
      </c>
      <c r="O2678" s="6" t="e">
        <v>#VALUE!</v>
      </c>
      <c r="P2678" s="6" t="e">
        <v>#VALUE!</v>
      </c>
      <c r="Q2678" s="6" t="e">
        <v>#VALUE!</v>
      </c>
      <c r="R2678" s="6" t="e">
        <v>#VALUE!</v>
      </c>
      <c r="S2678" s="6" t="e">
        <v>#VALUE!</v>
      </c>
      <c r="T2678" s="9"/>
      <c r="U2678" s="1">
        <f t="shared" si="4460"/>
        <v>61</v>
      </c>
      <c r="V2678" s="1">
        <f t="shared" si="4461"/>
        <v>237</v>
      </c>
    </row>
    <row r="2679" spans="1:22" x14ac:dyDescent="0.3">
      <c r="A2679" s="1">
        <f t="shared" si="4417"/>
        <v>61238</v>
      </c>
      <c r="B2679" s="12">
        <f t="shared" si="4484"/>
        <v>0</v>
      </c>
      <c r="C2679" s="13">
        <f t="shared" si="4485"/>
        <v>0</v>
      </c>
      <c r="D2679" s="10">
        <f t="shared" si="4486"/>
        <v>0</v>
      </c>
      <c r="J2679" s="24" t="str">
        <f t="shared" ref="J2679" si="4500">CONCATENATE(K2677,2)</f>
        <v>102</v>
      </c>
      <c r="K2679" s="6" t="e">
        <v>#VALUE!</v>
      </c>
      <c r="L2679" s="6" t="e">
        <v>#VALUE!</v>
      </c>
      <c r="M2679" s="6" t="e">
        <v>#VALUE!</v>
      </c>
      <c r="N2679" s="6" t="e">
        <v>#VALUE!</v>
      </c>
      <c r="O2679" s="6" t="e">
        <v>#VALUE!</v>
      </c>
      <c r="P2679" s="6" t="e">
        <v>#VALUE!</v>
      </c>
      <c r="Q2679" s="6" t="e">
        <v>#VALUE!</v>
      </c>
      <c r="R2679" s="6" t="e">
        <v>#VALUE!</v>
      </c>
      <c r="S2679" s="6" t="e">
        <v>#VALUE!</v>
      </c>
      <c r="T2679" s="9"/>
      <c r="U2679" s="1">
        <f t="shared" si="4460"/>
        <v>61</v>
      </c>
      <c r="V2679" s="1">
        <f t="shared" si="4461"/>
        <v>238</v>
      </c>
    </row>
    <row r="2680" spans="1:22" x14ac:dyDescent="0.3">
      <c r="A2680" s="1">
        <f t="shared" si="4417"/>
        <v>61239</v>
      </c>
      <c r="B2680" s="12">
        <f t="shared" si="4484"/>
        <v>0</v>
      </c>
      <c r="C2680" s="13">
        <f t="shared" si="4485"/>
        <v>0</v>
      </c>
      <c r="D2680" s="10">
        <f t="shared" si="4486"/>
        <v>0</v>
      </c>
      <c r="J2680" s="24" t="str">
        <f t="shared" ref="J2680" si="4501">CONCATENATE(K2677,3)</f>
        <v>103</v>
      </c>
      <c r="K2680" s="6" t="e">
        <v>#VALUE!</v>
      </c>
      <c r="L2680" s="6" t="e">
        <v>#VALUE!</v>
      </c>
      <c r="M2680" s="6" t="e">
        <v>#VALUE!</v>
      </c>
      <c r="N2680" s="6" t="e">
        <v>#VALUE!</v>
      </c>
      <c r="O2680" s="6" t="e">
        <v>#VALUE!</v>
      </c>
      <c r="P2680" s="6" t="e">
        <v>#VALUE!</v>
      </c>
      <c r="Q2680" s="6" t="e">
        <v>#VALUE!</v>
      </c>
      <c r="R2680" s="6" t="e">
        <v>#VALUE!</v>
      </c>
      <c r="S2680" s="6" t="e">
        <v>#VALUE!</v>
      </c>
      <c r="T2680" s="9"/>
      <c r="U2680" s="1">
        <f t="shared" si="4460"/>
        <v>61</v>
      </c>
      <c r="V2680" s="1">
        <f t="shared" si="4461"/>
        <v>239</v>
      </c>
    </row>
    <row r="2681" spans="1:22" x14ac:dyDescent="0.3">
      <c r="A2681" s="1">
        <f t="shared" si="4417"/>
        <v>61240</v>
      </c>
      <c r="B2681" s="12">
        <f t="shared" si="4484"/>
        <v>0</v>
      </c>
      <c r="C2681" s="13">
        <f t="shared" si="4485"/>
        <v>0</v>
      </c>
      <c r="D2681" s="10">
        <f t="shared" si="4486"/>
        <v>0</v>
      </c>
      <c r="J2681" s="9"/>
      <c r="K2681" s="9"/>
      <c r="L2681" s="9"/>
      <c r="M2681" s="9"/>
      <c r="N2681" s="9"/>
      <c r="O2681" s="9"/>
      <c r="P2681" s="9"/>
      <c r="Q2681" s="9"/>
      <c r="R2681" s="9"/>
      <c r="S2681" s="9"/>
      <c r="T2681" s="9"/>
      <c r="U2681" s="1">
        <f t="shared" si="4460"/>
        <v>61</v>
      </c>
      <c r="V2681" s="1">
        <f t="shared" si="4461"/>
        <v>240</v>
      </c>
    </row>
    <row r="2682" spans="1:22" x14ac:dyDescent="0.3">
      <c r="A2682" s="1">
        <f t="shared" si="4417"/>
        <v>61241</v>
      </c>
      <c r="B2682" s="12">
        <f t="shared" si="4484"/>
        <v>0</v>
      </c>
      <c r="C2682" s="13">
        <f t="shared" si="4485"/>
        <v>0</v>
      </c>
      <c r="D2682" s="10">
        <f t="shared" si="4486"/>
        <v>0</v>
      </c>
      <c r="J2682" s="9"/>
      <c r="K2682" s="9"/>
      <c r="L2682" s="9"/>
      <c r="M2682" s="9"/>
      <c r="N2682" s="9"/>
      <c r="O2682" s="9"/>
      <c r="P2682" s="9"/>
      <c r="Q2682" s="9"/>
      <c r="R2682" s="9"/>
      <c r="S2682" s="9"/>
      <c r="T2682" s="9"/>
      <c r="U2682" s="1">
        <f t="shared" si="4460"/>
        <v>61</v>
      </c>
      <c r="V2682" s="1">
        <f t="shared" si="4461"/>
        <v>241</v>
      </c>
    </row>
    <row r="2683" spans="1:22" x14ac:dyDescent="0.3">
      <c r="A2683" s="1">
        <f t="shared" si="4417"/>
        <v>61242</v>
      </c>
      <c r="B2683" s="12">
        <f t="shared" si="4484"/>
        <v>0</v>
      </c>
      <c r="C2683" s="13">
        <f t="shared" si="4485"/>
        <v>0</v>
      </c>
      <c r="D2683" s="10">
        <f t="shared" si="4486"/>
        <v>0</v>
      </c>
      <c r="J2683" s="9"/>
      <c r="K2683" s="9"/>
      <c r="L2683" s="9"/>
      <c r="M2683" s="9"/>
      <c r="N2683" s="9"/>
      <c r="O2683" s="9"/>
      <c r="P2683" s="9"/>
      <c r="Q2683" s="9"/>
      <c r="R2683" s="9"/>
      <c r="S2683" s="9"/>
      <c r="T2683" s="9"/>
      <c r="U2683" s="1">
        <f t="shared" si="4460"/>
        <v>61</v>
      </c>
      <c r="V2683" s="1">
        <f t="shared" si="4461"/>
        <v>242</v>
      </c>
    </row>
    <row r="2684" spans="1:22" x14ac:dyDescent="0.3">
      <c r="A2684" s="1">
        <f t="shared" si="4417"/>
        <v>61243</v>
      </c>
      <c r="J2684" s="9"/>
      <c r="K2684" s="9"/>
      <c r="L2684" s="9"/>
      <c r="M2684" s="9"/>
      <c r="N2684" s="9"/>
      <c r="O2684" s="9"/>
      <c r="P2684" s="9"/>
      <c r="Q2684" s="9"/>
      <c r="R2684" s="9"/>
      <c r="S2684" s="9"/>
      <c r="T2684" s="9"/>
      <c r="U2684" s="1">
        <f t="shared" si="4460"/>
        <v>61</v>
      </c>
      <c r="V2684" s="1">
        <f t="shared" si="4461"/>
        <v>243</v>
      </c>
    </row>
    <row r="2685" spans="1:22" s="5" customFormat="1" x14ac:dyDescent="0.3"/>
    <row r="2686" spans="1:22" x14ac:dyDescent="0.3">
      <c r="A2686" s="1">
        <f t="shared" ref="A2686:A2728" si="4502">ROUND(CONCATENATE(U2686,V2686),0)</f>
        <v>62201</v>
      </c>
      <c r="B2686" s="96" t="s">
        <v>0</v>
      </c>
      <c r="C2686" s="97"/>
      <c r="D2686" s="110" t="s">
        <v>46</v>
      </c>
      <c r="E2686" s="111"/>
      <c r="F2686" s="111"/>
      <c r="G2686" s="111"/>
      <c r="H2686" s="112"/>
      <c r="J2686" s="9"/>
      <c r="K2686" s="9"/>
      <c r="L2686" s="9"/>
      <c r="M2686" s="9"/>
      <c r="N2686" s="9"/>
      <c r="O2686" s="9"/>
      <c r="P2686" s="9"/>
      <c r="Q2686" s="9"/>
      <c r="R2686" s="9"/>
      <c r="S2686" s="9"/>
      <c r="T2686" s="9"/>
      <c r="U2686" s="1">
        <f t="shared" ref="U2686" si="4503">U2684+1</f>
        <v>62</v>
      </c>
      <c r="V2686" s="1">
        <v>201</v>
      </c>
    </row>
    <row r="2687" spans="1:22" x14ac:dyDescent="0.3">
      <c r="A2687" s="1">
        <f t="shared" si="4502"/>
        <v>62202</v>
      </c>
      <c r="B2687" s="96" t="s">
        <v>1</v>
      </c>
      <c r="C2687" s="97"/>
      <c r="D2687" s="15">
        <v>20</v>
      </c>
      <c r="E2687" s="16" t="s">
        <v>2</v>
      </c>
      <c r="F2687" s="107"/>
      <c r="G2687" s="108"/>
      <c r="H2687" s="109"/>
      <c r="J2687" s="9"/>
      <c r="K2687" s="9"/>
      <c r="L2687" s="9"/>
      <c r="M2687" s="9"/>
      <c r="N2687" s="9"/>
      <c r="O2687" s="9"/>
      <c r="P2687" s="9"/>
      <c r="Q2687" s="9"/>
      <c r="R2687" s="9"/>
      <c r="S2687" s="9"/>
      <c r="T2687" s="9"/>
      <c r="U2687" s="1">
        <f t="shared" ref="U2687" si="4504">U2686</f>
        <v>62</v>
      </c>
      <c r="V2687" s="1">
        <f t="shared" ref="V2687" si="4505">V2686+1</f>
        <v>202</v>
      </c>
    </row>
    <row r="2688" spans="1:22" x14ac:dyDescent="0.3">
      <c r="A2688" s="1">
        <f t="shared" si="4502"/>
        <v>62203</v>
      </c>
      <c r="B2688" s="96" t="s">
        <v>12</v>
      </c>
      <c r="C2688" s="97"/>
      <c r="D2688" s="110" t="s">
        <v>281</v>
      </c>
      <c r="E2688" s="111"/>
      <c r="F2688" s="111"/>
      <c r="G2688" s="111"/>
      <c r="H2688" s="112"/>
      <c r="K2688" s="1" t="s">
        <v>3</v>
      </c>
      <c r="L2688" s="1" t="s">
        <v>4</v>
      </c>
      <c r="M2688" s="1" t="s">
        <v>5</v>
      </c>
      <c r="N2688" s="1" t="s">
        <v>6</v>
      </c>
      <c r="O2688" s="1" t="s">
        <v>7</v>
      </c>
      <c r="P2688" s="1" t="s">
        <v>8</v>
      </c>
      <c r="Q2688" s="1" t="s">
        <v>9</v>
      </c>
      <c r="R2688" s="1" t="s">
        <v>10</v>
      </c>
      <c r="S2688" s="1" t="s">
        <v>11</v>
      </c>
      <c r="T2688" s="9"/>
      <c r="U2688" s="1">
        <f t="shared" si="4460"/>
        <v>62</v>
      </c>
      <c r="V2688" s="1">
        <f t="shared" si="4461"/>
        <v>203</v>
      </c>
    </row>
    <row r="2689" spans="1:22" x14ac:dyDescent="0.3">
      <c r="A2689" s="1">
        <f t="shared" si="4502"/>
        <v>62204</v>
      </c>
      <c r="B2689" s="96" t="s">
        <v>13</v>
      </c>
      <c r="C2689" s="97"/>
      <c r="D2689" s="110" t="s">
        <v>65</v>
      </c>
      <c r="E2689" s="111"/>
      <c r="F2689" s="111"/>
      <c r="G2689" s="111"/>
      <c r="H2689" s="112"/>
      <c r="J2689" s="1">
        <f t="shared" ref="J2689" si="4506">COUNTA(B2702:B2711)</f>
        <v>4</v>
      </c>
      <c r="K2689" s="1">
        <f t="shared" ref="K2689" si="4507">IF(L2689-1&lt;2,0,L2689-1)</f>
        <v>0</v>
      </c>
      <c r="L2689" s="1">
        <f t="shared" ref="L2689" si="4508">IF(M2689-1&lt;2,0,M2689-1)</f>
        <v>0</v>
      </c>
      <c r="M2689" s="1">
        <f t="shared" ref="M2689" si="4509">IF(N2689-1&lt;2,0,N2689-1)</f>
        <v>0</v>
      </c>
      <c r="N2689" s="1">
        <f t="shared" ref="N2689" si="4510">IF(O2689-1&lt;2,0,O2689-1)</f>
        <v>0</v>
      </c>
      <c r="O2689" s="1">
        <f t="shared" ref="O2689" si="4511">IF(P2689-1&lt;2,0,P2689-1)</f>
        <v>0</v>
      </c>
      <c r="P2689" s="1">
        <f t="shared" ref="P2689" si="4512">IF(Q2689-1&lt;2,0,Q2689-1)</f>
        <v>0</v>
      </c>
      <c r="Q2689" s="1">
        <f t="shared" ref="Q2689" si="4513">IF(R2689-1&lt;2,0,R2689-1)</f>
        <v>2</v>
      </c>
      <c r="R2689" s="1">
        <f t="shared" ref="R2689" si="4514">IF(S2689-1&lt;2,0,S2689-1)</f>
        <v>3</v>
      </c>
      <c r="S2689" s="1">
        <f t="shared" ref="S2689" si="4515">J2689</f>
        <v>4</v>
      </c>
      <c r="T2689" s="9"/>
      <c r="U2689" s="1">
        <f t="shared" si="4460"/>
        <v>62</v>
      </c>
      <c r="V2689" s="1">
        <f t="shared" si="4461"/>
        <v>204</v>
      </c>
    </row>
    <row r="2690" spans="1:22" x14ac:dyDescent="0.3">
      <c r="A2690" s="1">
        <f t="shared" si="4502"/>
        <v>62205</v>
      </c>
      <c r="B2690" s="96" t="s">
        <v>14</v>
      </c>
      <c r="C2690" s="97"/>
      <c r="D2690" s="110" t="s">
        <v>66</v>
      </c>
      <c r="E2690" s="111"/>
      <c r="F2690" s="111"/>
      <c r="G2690" s="111"/>
      <c r="H2690" s="112"/>
      <c r="J2690" s="24" t="str">
        <f t="shared" ref="J2690" si="4516">CONCATENATE(J2689,1)</f>
        <v>41</v>
      </c>
      <c r="K2690" s="25">
        <f t="shared" ref="K2690" si="4517">IF(K2689=0,0,VLOOKUP(J2690,J2694:S2724,K2689,FALSE))</f>
        <v>0</v>
      </c>
      <c r="L2690" s="25">
        <f t="shared" ref="L2690" si="4518">IF(L2689=0,0,VLOOKUP(J2690,J2694:S2724,L2689,FALSE))</f>
        <v>0</v>
      </c>
      <c r="M2690" s="25">
        <f t="shared" ref="M2690" si="4519">IF(M2689=0,0,VLOOKUP(J2690,J2694:S2724,M2689,FALSE))</f>
        <v>0</v>
      </c>
      <c r="N2690" s="25">
        <f t="shared" ref="N2690" si="4520">IF(N2689=0,0,VLOOKUP(J2690,J2694:S2724,N2689,FALSE))</f>
        <v>0</v>
      </c>
      <c r="O2690" s="25">
        <f t="shared" ref="O2690" si="4521">IF(O2689=0,0,VLOOKUP(J2690,J2694:S2724,O2689,FALSE))</f>
        <v>0</v>
      </c>
      <c r="P2690" s="25">
        <f t="shared" ref="P2690" si="4522">IF(P2689=0,0,VLOOKUP(J2690,J2694:S2724,P2689,FALSE))</f>
        <v>0</v>
      </c>
      <c r="Q2690" s="25">
        <f t="shared" ref="Q2690" si="4523">IF(Q2689=0,0,VLOOKUP(J2690,J2694:S2724,Q2689,FALSE))</f>
        <v>-1.488845453661436E-3</v>
      </c>
      <c r="R2690" s="25">
        <f t="shared" ref="R2690" si="4524">IF(R2689=0,0,VLOOKUP(J2690,J2694:S2724,R2689,FALSE))</f>
        <v>1.2082192075011531</v>
      </c>
      <c r="S2690" s="25">
        <f t="shared" ref="S2690" si="4525">IF(S2689=0,0,VLOOKUP(J2690,J2694:S2724,S2689,FALSE))</f>
        <v>-13.058990484605143</v>
      </c>
      <c r="T2690" s="9"/>
      <c r="U2690" s="1">
        <f t="shared" si="4460"/>
        <v>62</v>
      </c>
      <c r="V2690" s="1">
        <f t="shared" si="4461"/>
        <v>205</v>
      </c>
    </row>
    <row r="2691" spans="1:22" x14ac:dyDescent="0.3">
      <c r="A2691" s="1">
        <f t="shared" si="4502"/>
        <v>62206</v>
      </c>
      <c r="B2691" s="96" t="s">
        <v>15</v>
      </c>
      <c r="C2691" s="97"/>
      <c r="D2691" s="110" t="s">
        <v>282</v>
      </c>
      <c r="E2691" s="111"/>
      <c r="F2691" s="111"/>
      <c r="G2691" s="111"/>
      <c r="H2691" s="112"/>
      <c r="J2691" s="24" t="str">
        <f t="shared" ref="J2691" si="4526">CONCATENATE(J2689,2)</f>
        <v>42</v>
      </c>
      <c r="K2691" s="6">
        <f t="shared" ref="K2691" si="4527">IF(K2689=0,0,VLOOKUP(J2691,J2694:S2724,K2689,FALSE))</f>
        <v>0</v>
      </c>
      <c r="L2691" s="6">
        <f t="shared" ref="L2691" si="4528">IF(L2689=0,0,VLOOKUP(J2691,J2694:S2724,L2689,FALSE))</f>
        <v>0</v>
      </c>
      <c r="M2691" s="6">
        <f t="shared" ref="M2691" si="4529">IF(M2689=0,0,VLOOKUP(J2691,J2694:S2724,M2689,FALSE))</f>
        <v>0</v>
      </c>
      <c r="N2691" s="6">
        <f t="shared" ref="N2691" si="4530">IF(N2689=0,0,VLOOKUP(J2691,J2694:S2724,N2689,FALSE))</f>
        <v>0</v>
      </c>
      <c r="O2691" s="6">
        <f t="shared" ref="O2691" si="4531">IF(O2689=0,0,VLOOKUP(J2691,J2694:S2724,O2689,FALSE))</f>
        <v>0</v>
      </c>
      <c r="P2691" s="6">
        <f t="shared" ref="P2691" si="4532">IF(P2689=0,0,VLOOKUP(J2691,J2694:S2724,P2689,FALSE))</f>
        <v>0</v>
      </c>
      <c r="Q2691" s="6">
        <f t="shared" ref="Q2691" si="4533">IF(Q2689=0,0,VLOOKUP(J2691,J2694:S2724,Q2689,FALSE))</f>
        <v>2.3886435719775456E-4</v>
      </c>
      <c r="R2691" s="6">
        <f t="shared" ref="R2691" si="4534">IF(R2689=0,0,VLOOKUP(J2691,J2694:S2724,R2689,FALSE))</f>
        <v>2.8777340128791688E-2</v>
      </c>
      <c r="S2691" s="6">
        <f t="shared" ref="S2691" si="4535">IF(S2689=0,0,VLOOKUP(J2691,J2694:S2724,S2689,FALSE))</f>
        <v>0.79877363694109349</v>
      </c>
      <c r="T2691" s="9"/>
      <c r="U2691" s="1">
        <f t="shared" si="4460"/>
        <v>62</v>
      </c>
      <c r="V2691" s="1">
        <f t="shared" si="4461"/>
        <v>206</v>
      </c>
    </row>
    <row r="2692" spans="1:22" x14ac:dyDescent="0.3">
      <c r="A2692" s="1">
        <f t="shared" si="4502"/>
        <v>62207</v>
      </c>
      <c r="B2692" s="96" t="s">
        <v>16</v>
      </c>
      <c r="C2692" s="97"/>
      <c r="D2692" s="113">
        <v>45709</v>
      </c>
      <c r="E2692" s="114"/>
      <c r="F2692" s="114"/>
      <c r="G2692" s="114"/>
      <c r="H2692" s="115"/>
      <c r="J2692" s="24" t="str">
        <f t="shared" ref="J2692" si="4536">CONCATENATE(J2689,3)</f>
        <v>43</v>
      </c>
      <c r="K2692" s="6"/>
      <c r="L2692" s="6"/>
      <c r="M2692" s="6"/>
      <c r="N2692" s="6" t="s">
        <v>43</v>
      </c>
      <c r="O2692" s="25">
        <f t="shared" ref="O2692" si="4537">J2689-2</f>
        <v>2</v>
      </c>
      <c r="P2692" s="6" t="s">
        <v>44</v>
      </c>
      <c r="Q2692" s="25">
        <f t="shared" ref="Q2692" si="4538">VLOOKUP(J2692,J2694:S2724,3,FALSE)</f>
        <v>0.15790157368385271</v>
      </c>
      <c r="R2692" s="6" t="s">
        <v>45</v>
      </c>
      <c r="S2692" s="6">
        <f t="shared" ref="S2692" si="4539">VLOOKUP(J2692,J2694:S2724,2,FALSE)</f>
        <v>0.9999846566726327</v>
      </c>
      <c r="T2692" s="9"/>
      <c r="U2692" s="1">
        <f t="shared" si="4460"/>
        <v>62</v>
      </c>
      <c r="V2692" s="1">
        <f t="shared" si="4461"/>
        <v>207</v>
      </c>
    </row>
    <row r="2693" spans="1:22" x14ac:dyDescent="0.3">
      <c r="A2693" s="1">
        <f t="shared" si="4502"/>
        <v>62208</v>
      </c>
      <c r="B2693" s="96" t="s">
        <v>17</v>
      </c>
      <c r="C2693" s="97"/>
      <c r="D2693" s="116">
        <v>46446</v>
      </c>
      <c r="E2693" s="117"/>
      <c r="F2693" s="117"/>
      <c r="G2693" s="117"/>
      <c r="H2693" s="118"/>
      <c r="K2693" s="1">
        <v>3</v>
      </c>
      <c r="L2693" s="1">
        <v>3</v>
      </c>
      <c r="Q2693" s="26"/>
      <c r="R2693" s="26"/>
      <c r="S2693" s="26"/>
      <c r="T2693" s="9"/>
      <c r="U2693" s="1">
        <f t="shared" si="4460"/>
        <v>62</v>
      </c>
      <c r="V2693" s="1">
        <f t="shared" si="4461"/>
        <v>208</v>
      </c>
    </row>
    <row r="2694" spans="1:22" x14ac:dyDescent="0.3">
      <c r="A2694" s="1">
        <f t="shared" si="4502"/>
        <v>62209</v>
      </c>
      <c r="B2694" s="77" t="s">
        <v>19</v>
      </c>
      <c r="C2694" s="78"/>
      <c r="D2694" s="17">
        <v>0.1</v>
      </c>
      <c r="E2694" s="79" t="s">
        <v>40</v>
      </c>
      <c r="F2694" s="80"/>
      <c r="G2694" s="81"/>
      <c r="H2694" s="18" t="s">
        <v>72</v>
      </c>
      <c r="J2694" s="24" t="str">
        <f t="shared" ref="J2694" si="4540">CONCATENATE(K2693,1)</f>
        <v>31</v>
      </c>
      <c r="K2694" s="6">
        <f t="array" ref="K2694:L2696">LINEST(B2702:B2704,C2702:C2704^{1},TRUE,TRUE)</f>
        <v>1.0643900885562754</v>
      </c>
      <c r="L2694" s="6">
        <v>-9.8506914248618855</v>
      </c>
      <c r="Q2694" s="9"/>
      <c r="R2694" s="9"/>
      <c r="S2694" s="9"/>
      <c r="T2694" s="9"/>
      <c r="U2694" s="1">
        <f t="shared" si="4460"/>
        <v>62</v>
      </c>
      <c r="V2694" s="1">
        <f t="shared" si="4461"/>
        <v>209</v>
      </c>
    </row>
    <row r="2695" spans="1:22" x14ac:dyDescent="0.3">
      <c r="A2695" s="1">
        <f t="shared" si="4502"/>
        <v>62210</v>
      </c>
      <c r="B2695" s="77" t="s">
        <v>41</v>
      </c>
      <c r="C2695" s="78"/>
      <c r="D2695" s="23">
        <f t="shared" ref="D2695" si="4541">MIN(B2702:B2711)</f>
        <v>25</v>
      </c>
      <c r="E2695" s="20" t="s">
        <v>18</v>
      </c>
      <c r="F2695" s="19">
        <f t="shared" ref="F2695" si="4542">MAX(B2702:B2711)</f>
        <v>80</v>
      </c>
      <c r="G2695" s="21" t="str">
        <f t="shared" ref="G2695" si="4543">IF(H2694="","",H2694)</f>
        <v>%ur</v>
      </c>
      <c r="H2695" s="22"/>
      <c r="J2695" s="24" t="str">
        <f t="shared" ref="J2695" si="4544">CONCATENATE(K2693,2)</f>
        <v>32</v>
      </c>
      <c r="K2695" s="6">
        <v>7.4252266899686838E-3</v>
      </c>
      <c r="L2695" s="6">
        <v>0.38425793235985123</v>
      </c>
      <c r="Q2695" s="9"/>
      <c r="R2695" s="9"/>
      <c r="S2695" s="9"/>
      <c r="T2695" s="9"/>
      <c r="U2695" s="1">
        <f t="shared" si="4460"/>
        <v>62</v>
      </c>
      <c r="V2695" s="1">
        <f t="shared" si="4461"/>
        <v>210</v>
      </c>
    </row>
    <row r="2696" spans="1:22" x14ac:dyDescent="0.3">
      <c r="A2696" s="1">
        <f t="shared" si="4502"/>
        <v>62211</v>
      </c>
      <c r="J2696" s="24" t="str">
        <f t="shared" ref="J2696" si="4545">CONCATENATE(K2693,3)</f>
        <v>33</v>
      </c>
      <c r="K2696" s="6">
        <v>0.99995133724908469</v>
      </c>
      <c r="L2696" s="6">
        <v>0.17323018327569883</v>
      </c>
      <c r="Q2696" s="9"/>
      <c r="R2696" s="9"/>
      <c r="S2696" s="9"/>
      <c r="T2696" s="9"/>
      <c r="U2696" s="1">
        <f t="shared" si="4460"/>
        <v>62</v>
      </c>
      <c r="V2696" s="1">
        <f t="shared" si="4461"/>
        <v>211</v>
      </c>
    </row>
    <row r="2697" spans="1:22" x14ac:dyDescent="0.3">
      <c r="A2697" s="1">
        <f t="shared" si="4502"/>
        <v>62212</v>
      </c>
      <c r="B2697" s="82" t="s">
        <v>20</v>
      </c>
      <c r="C2697" s="83"/>
      <c r="D2697" s="83"/>
      <c r="E2697" s="83"/>
      <c r="F2697" s="84"/>
      <c r="G2697" s="85" t="s">
        <v>31</v>
      </c>
      <c r="H2697" s="86"/>
      <c r="K2697" s="1">
        <v>4</v>
      </c>
      <c r="L2697" s="1">
        <v>4</v>
      </c>
      <c r="M2697" s="1">
        <v>4</v>
      </c>
      <c r="Q2697" s="9"/>
      <c r="R2697" s="9"/>
      <c r="S2697" s="9"/>
      <c r="T2697" s="9"/>
      <c r="U2697" s="1">
        <f t="shared" si="4460"/>
        <v>62</v>
      </c>
      <c r="V2697" s="1">
        <f t="shared" si="4461"/>
        <v>212</v>
      </c>
    </row>
    <row r="2698" spans="1:22" x14ac:dyDescent="0.3">
      <c r="A2698" s="1">
        <f t="shared" si="4502"/>
        <v>62213</v>
      </c>
      <c r="B2698" s="82" t="s">
        <v>30</v>
      </c>
      <c r="C2698" s="83"/>
      <c r="D2698" s="84"/>
      <c r="E2698" s="82" t="str">
        <f t="shared" ref="E2698" si="4546">D2691</f>
        <v>E0040B/25</v>
      </c>
      <c r="F2698" s="84"/>
      <c r="G2698" s="6" t="s">
        <v>32</v>
      </c>
      <c r="H2698" s="7" t="s">
        <v>212</v>
      </c>
      <c r="J2698" s="24" t="str">
        <f t="shared" ref="J2698" si="4547">CONCATENATE(K2697,1)</f>
        <v>41</v>
      </c>
      <c r="K2698" s="6">
        <f t="array" ref="K2698:M2700">LINEST(B2702:B2705,C2702:C2705^{1,2},TRUE,TRUE)</f>
        <v>-1.488845453661436E-3</v>
      </c>
      <c r="L2698" s="6">
        <v>1.2082192075011531</v>
      </c>
      <c r="M2698" s="6">
        <v>-13.058990484605143</v>
      </c>
      <c r="Q2698" s="9"/>
      <c r="R2698" s="9"/>
      <c r="S2698" s="9"/>
      <c r="T2698" s="9"/>
      <c r="U2698" s="1">
        <f t="shared" si="4460"/>
        <v>62</v>
      </c>
      <c r="V2698" s="1">
        <f t="shared" si="4461"/>
        <v>213</v>
      </c>
    </row>
    <row r="2699" spans="1:22" x14ac:dyDescent="0.3">
      <c r="A2699" s="1">
        <f t="shared" si="4502"/>
        <v>62214</v>
      </c>
      <c r="B2699" s="2" t="s">
        <v>21</v>
      </c>
      <c r="C2699" s="2" t="s">
        <v>22</v>
      </c>
      <c r="D2699" s="2" t="s">
        <v>23</v>
      </c>
      <c r="E2699" s="2"/>
      <c r="F2699" s="2" t="s">
        <v>28</v>
      </c>
      <c r="G2699" s="2" t="s">
        <v>21</v>
      </c>
      <c r="H2699" s="2" t="s">
        <v>22</v>
      </c>
      <c r="J2699" s="24" t="str">
        <f t="shared" ref="J2699" si="4548">CONCATENATE(K2697,2)</f>
        <v>42</v>
      </c>
      <c r="K2699" s="6">
        <v>2.3886435719775456E-4</v>
      </c>
      <c r="L2699" s="6">
        <v>2.8777340128791688E-2</v>
      </c>
      <c r="M2699" s="6">
        <v>0.79877363694109349</v>
      </c>
      <c r="Q2699" s="9"/>
      <c r="R2699" s="9"/>
      <c r="S2699" s="9"/>
      <c r="T2699" s="9"/>
      <c r="U2699" s="1">
        <f t="shared" si="4460"/>
        <v>62</v>
      </c>
      <c r="V2699" s="1">
        <f t="shared" si="4461"/>
        <v>214</v>
      </c>
    </row>
    <row r="2700" spans="1:22" x14ac:dyDescent="0.3">
      <c r="A2700" s="1">
        <f t="shared" si="4502"/>
        <v>62215</v>
      </c>
      <c r="B2700" s="2" t="s">
        <v>24</v>
      </c>
      <c r="C2700" s="2" t="s">
        <v>25</v>
      </c>
      <c r="D2700" s="2" t="s">
        <v>26</v>
      </c>
      <c r="E2700" s="2" t="s">
        <v>27</v>
      </c>
      <c r="F2700" s="2" t="s">
        <v>29</v>
      </c>
      <c r="G2700" s="2" t="s">
        <v>24</v>
      </c>
      <c r="H2700" s="2" t="s">
        <v>25</v>
      </c>
      <c r="J2700" s="24" t="str">
        <f t="shared" ref="J2700" si="4549">CONCATENATE(K2697,3)</f>
        <v>43</v>
      </c>
      <c r="K2700" s="6">
        <v>0.9999846566726327</v>
      </c>
      <c r="L2700" s="6">
        <v>0.15790157368385271</v>
      </c>
      <c r="M2700" s="6" t="e">
        <v>#N/A</v>
      </c>
      <c r="Q2700" s="9"/>
      <c r="R2700" s="9"/>
      <c r="S2700" s="9"/>
      <c r="T2700" s="9"/>
      <c r="U2700" s="1">
        <f t="shared" si="4460"/>
        <v>62</v>
      </c>
      <c r="V2700" s="1">
        <f t="shared" si="4461"/>
        <v>215</v>
      </c>
    </row>
    <row r="2701" spans="1:22" x14ac:dyDescent="0.3">
      <c r="A2701" s="1">
        <f t="shared" si="4502"/>
        <v>62216</v>
      </c>
      <c r="B2701" s="3" t="str">
        <f t="shared" ref="B2701" si="4550">H2694</f>
        <v>%ur</v>
      </c>
      <c r="C2701" s="3" t="str">
        <f t="shared" ref="C2701" si="4551">B2701</f>
        <v>%ur</v>
      </c>
      <c r="D2701" s="3" t="str">
        <f t="shared" ref="D2701" si="4552">C2701</f>
        <v>%ur</v>
      </c>
      <c r="E2701" s="3"/>
      <c r="F2701" s="3"/>
      <c r="G2701" s="3" t="str">
        <f t="shared" ref="G2701" si="4553">D2701</f>
        <v>%ur</v>
      </c>
      <c r="H2701" s="3" t="str">
        <f t="shared" ref="H2701" si="4554">G2701</f>
        <v>%ur</v>
      </c>
      <c r="K2701" s="1">
        <v>5</v>
      </c>
      <c r="L2701" s="1">
        <v>5</v>
      </c>
      <c r="M2701" s="1">
        <v>5</v>
      </c>
      <c r="N2701" s="1">
        <v>5</v>
      </c>
      <c r="Q2701" s="9"/>
      <c r="R2701" s="9"/>
      <c r="S2701" s="9"/>
      <c r="T2701" s="9"/>
      <c r="U2701" s="1">
        <f t="shared" si="4460"/>
        <v>62</v>
      </c>
      <c r="V2701" s="1">
        <f t="shared" si="4461"/>
        <v>216</v>
      </c>
    </row>
    <row r="2702" spans="1:22" x14ac:dyDescent="0.3">
      <c r="A2702" s="1">
        <f t="shared" si="4502"/>
        <v>62217</v>
      </c>
      <c r="B2702" s="4">
        <v>25</v>
      </c>
      <c r="C2702" s="4">
        <v>32.799999999999997</v>
      </c>
      <c r="D2702" s="4">
        <v>0.8</v>
      </c>
      <c r="E2702" s="4">
        <v>2</v>
      </c>
      <c r="F2702" s="14">
        <v>1000000</v>
      </c>
      <c r="G2702" s="8">
        <v>25</v>
      </c>
      <c r="H2702" s="7">
        <v>30.3</v>
      </c>
      <c r="J2702" s="24" t="str">
        <f t="shared" ref="J2702" si="4555">CONCATENATE(K2701,1)</f>
        <v>51</v>
      </c>
      <c r="K2702" s="6" t="e">
        <f t="array" ref="K2702:N2704">LINEST(B2702:B2706,C2702:C2706^{1,2,3},TRUE,TRUE)</f>
        <v>#VALUE!</v>
      </c>
      <c r="L2702" s="6" t="e">
        <v>#VALUE!</v>
      </c>
      <c r="M2702" s="6" t="e">
        <v>#VALUE!</v>
      </c>
      <c r="N2702" s="6" t="e">
        <v>#VALUE!</v>
      </c>
      <c r="Q2702" s="9"/>
      <c r="R2702" s="9"/>
      <c r="S2702" s="9"/>
      <c r="T2702" s="9"/>
      <c r="U2702" s="1">
        <f t="shared" si="4460"/>
        <v>62</v>
      </c>
      <c r="V2702" s="1">
        <f t="shared" si="4461"/>
        <v>217</v>
      </c>
    </row>
    <row r="2703" spans="1:22" x14ac:dyDescent="0.3">
      <c r="A2703" s="1">
        <f t="shared" si="4502"/>
        <v>62218</v>
      </c>
      <c r="B2703" s="4">
        <v>45</v>
      </c>
      <c r="C2703" s="4">
        <v>51.4</v>
      </c>
      <c r="D2703" s="4">
        <v>0.9</v>
      </c>
      <c r="E2703" s="4">
        <v>2</v>
      </c>
      <c r="F2703" s="14">
        <v>1000000</v>
      </c>
      <c r="G2703" s="8">
        <v>40</v>
      </c>
      <c r="H2703" s="7">
        <v>44.9</v>
      </c>
      <c r="J2703" s="24" t="str">
        <f t="shared" ref="J2703" si="4556">CONCATENATE(K2701,2)</f>
        <v>52</v>
      </c>
      <c r="K2703" s="6" t="e">
        <v>#VALUE!</v>
      </c>
      <c r="L2703" s="6" t="e">
        <v>#VALUE!</v>
      </c>
      <c r="M2703" s="6" t="e">
        <v>#VALUE!</v>
      </c>
      <c r="N2703" s="6" t="e">
        <v>#VALUE!</v>
      </c>
      <c r="T2703" s="9"/>
      <c r="U2703" s="1">
        <f t="shared" si="4460"/>
        <v>62</v>
      </c>
      <c r="V2703" s="1">
        <f t="shared" si="4461"/>
        <v>218</v>
      </c>
    </row>
    <row r="2704" spans="1:22" x14ac:dyDescent="0.3">
      <c r="A2704" s="1">
        <f t="shared" si="4502"/>
        <v>62219</v>
      </c>
      <c r="B2704" s="4">
        <v>60</v>
      </c>
      <c r="C2704" s="4">
        <v>65.7</v>
      </c>
      <c r="D2704" s="4">
        <v>1.1000000000000001</v>
      </c>
      <c r="E2704" s="4">
        <v>2</v>
      </c>
      <c r="F2704" s="14">
        <v>1000000</v>
      </c>
      <c r="G2704" s="8">
        <v>60</v>
      </c>
      <c r="H2704" s="7">
        <v>65.900000000000006</v>
      </c>
      <c r="J2704" s="24" t="str">
        <f t="shared" ref="J2704" si="4557">CONCATENATE(K2701,3)</f>
        <v>53</v>
      </c>
      <c r="K2704" s="6" t="e">
        <v>#VALUE!</v>
      </c>
      <c r="L2704" s="6" t="e">
        <v>#VALUE!</v>
      </c>
      <c r="M2704" s="6" t="e">
        <v>#VALUE!</v>
      </c>
      <c r="N2704" s="6" t="e">
        <v>#VALUE!</v>
      </c>
      <c r="T2704" s="9"/>
      <c r="U2704" s="1">
        <f t="shared" si="4460"/>
        <v>62</v>
      </c>
      <c r="V2704" s="1">
        <f t="shared" si="4461"/>
        <v>219</v>
      </c>
    </row>
    <row r="2705" spans="1:22" x14ac:dyDescent="0.3">
      <c r="A2705" s="1">
        <f t="shared" si="4502"/>
        <v>62220</v>
      </c>
      <c r="B2705" s="4">
        <v>80</v>
      </c>
      <c r="C2705" s="4">
        <v>86.2</v>
      </c>
      <c r="D2705" s="4">
        <v>1.1000000000000001</v>
      </c>
      <c r="E2705" s="4">
        <v>2</v>
      </c>
      <c r="F2705" s="14">
        <v>1000000</v>
      </c>
      <c r="G2705" s="8">
        <v>80</v>
      </c>
      <c r="H2705" s="7">
        <v>85.3</v>
      </c>
      <c r="K2705" s="1">
        <v>6</v>
      </c>
      <c r="L2705" s="1">
        <v>6</v>
      </c>
      <c r="M2705" s="1">
        <v>6</v>
      </c>
      <c r="N2705" s="1">
        <v>6</v>
      </c>
      <c r="O2705" s="1">
        <v>6</v>
      </c>
      <c r="T2705" s="9"/>
      <c r="U2705" s="1">
        <f t="shared" si="4460"/>
        <v>62</v>
      </c>
      <c r="V2705" s="1">
        <f t="shared" si="4461"/>
        <v>220</v>
      </c>
    </row>
    <row r="2706" spans="1:22" x14ac:dyDescent="0.3">
      <c r="A2706" s="1">
        <f t="shared" si="4502"/>
        <v>62221</v>
      </c>
      <c r="B2706" s="4"/>
      <c r="C2706" s="4"/>
      <c r="D2706" s="4"/>
      <c r="E2706" s="4"/>
      <c r="F2706" s="14"/>
      <c r="G2706" s="8"/>
      <c r="H2706" s="7"/>
      <c r="J2706" s="24" t="str">
        <f t="shared" ref="J2706" si="4558">CONCATENATE(K2705,1)</f>
        <v>61</v>
      </c>
      <c r="K2706" s="6" t="e">
        <f t="array" ref="K2706:O2708">LINEST(B2702:B2707,C2702:C2707^{1,2,3,4},TRUE,TRUE)</f>
        <v>#VALUE!</v>
      </c>
      <c r="L2706" s="6" t="e">
        <v>#VALUE!</v>
      </c>
      <c r="M2706" s="6" t="e">
        <v>#VALUE!</v>
      </c>
      <c r="N2706" s="6" t="e">
        <v>#VALUE!</v>
      </c>
      <c r="O2706" s="6" t="e">
        <v>#VALUE!</v>
      </c>
      <c r="T2706" s="9"/>
      <c r="U2706" s="1">
        <f t="shared" si="4460"/>
        <v>62</v>
      </c>
      <c r="V2706" s="1">
        <f t="shared" si="4461"/>
        <v>221</v>
      </c>
    </row>
    <row r="2707" spans="1:22" x14ac:dyDescent="0.3">
      <c r="A2707" s="1">
        <f t="shared" si="4502"/>
        <v>62222</v>
      </c>
      <c r="B2707" s="4"/>
      <c r="C2707" s="4"/>
      <c r="D2707" s="4"/>
      <c r="E2707" s="4"/>
      <c r="F2707" s="14"/>
      <c r="G2707" s="8"/>
      <c r="H2707" s="7"/>
      <c r="J2707" s="24" t="str">
        <f t="shared" ref="J2707" si="4559">CONCATENATE(K2705,2)</f>
        <v>62</v>
      </c>
      <c r="K2707" s="6" t="e">
        <v>#VALUE!</v>
      </c>
      <c r="L2707" s="6" t="e">
        <v>#VALUE!</v>
      </c>
      <c r="M2707" s="6" t="e">
        <v>#VALUE!</v>
      </c>
      <c r="N2707" s="6" t="e">
        <v>#VALUE!</v>
      </c>
      <c r="O2707" s="6" t="e">
        <v>#VALUE!</v>
      </c>
      <c r="T2707" s="9"/>
      <c r="U2707" s="1">
        <f t="shared" si="4460"/>
        <v>62</v>
      </c>
      <c r="V2707" s="1">
        <f t="shared" si="4461"/>
        <v>222</v>
      </c>
    </row>
    <row r="2708" spans="1:22" x14ac:dyDescent="0.3">
      <c r="A2708" s="1">
        <f t="shared" si="4502"/>
        <v>62223</v>
      </c>
      <c r="B2708" s="4"/>
      <c r="C2708" s="4"/>
      <c r="D2708" s="4"/>
      <c r="E2708" s="4"/>
      <c r="F2708" s="14"/>
      <c r="G2708" s="8"/>
      <c r="H2708" s="7"/>
      <c r="J2708" s="24" t="str">
        <f t="shared" ref="J2708" si="4560">CONCATENATE(K2705,3)</f>
        <v>63</v>
      </c>
      <c r="K2708" s="6" t="e">
        <v>#VALUE!</v>
      </c>
      <c r="L2708" s="6" t="e">
        <v>#VALUE!</v>
      </c>
      <c r="M2708" s="6" t="e">
        <v>#VALUE!</v>
      </c>
      <c r="N2708" s="6" t="e">
        <v>#VALUE!</v>
      </c>
      <c r="O2708" s="6" t="e">
        <v>#VALUE!</v>
      </c>
      <c r="T2708" s="9"/>
      <c r="U2708" s="1">
        <f t="shared" si="4460"/>
        <v>62</v>
      </c>
      <c r="V2708" s="1">
        <f t="shared" si="4461"/>
        <v>223</v>
      </c>
    </row>
    <row r="2709" spans="1:22" x14ac:dyDescent="0.3">
      <c r="A2709" s="1">
        <f t="shared" si="4502"/>
        <v>62224</v>
      </c>
      <c r="B2709" s="4"/>
      <c r="C2709" s="4"/>
      <c r="D2709" s="4"/>
      <c r="E2709" s="4"/>
      <c r="F2709" s="14"/>
      <c r="G2709" s="8"/>
      <c r="H2709" s="7"/>
      <c r="K2709" s="1">
        <v>7</v>
      </c>
      <c r="L2709" s="1">
        <v>7</v>
      </c>
      <c r="M2709" s="1">
        <v>7</v>
      </c>
      <c r="N2709" s="1">
        <v>7</v>
      </c>
      <c r="O2709" s="1">
        <v>7</v>
      </c>
      <c r="P2709" s="1">
        <v>7</v>
      </c>
      <c r="T2709" s="9"/>
      <c r="U2709" s="1">
        <f t="shared" si="4460"/>
        <v>62</v>
      </c>
      <c r="V2709" s="1">
        <f t="shared" si="4461"/>
        <v>224</v>
      </c>
    </row>
    <row r="2710" spans="1:22" x14ac:dyDescent="0.3">
      <c r="A2710" s="1">
        <f t="shared" si="4502"/>
        <v>62225</v>
      </c>
      <c r="B2710" s="4"/>
      <c r="C2710" s="4"/>
      <c r="D2710" s="4"/>
      <c r="E2710" s="4"/>
      <c r="F2710" s="14"/>
      <c r="G2710" s="8"/>
      <c r="H2710" s="7"/>
      <c r="J2710" s="24" t="str">
        <f t="shared" ref="J2710" si="4561">CONCATENATE(K2709,1)</f>
        <v>71</v>
      </c>
      <c r="K2710" s="6" t="e">
        <f t="array" ref="K2710:P2712">LINEST(B2702:B2708,C2702:C2708^{1,2,3,4,5},TRUE,TRUE)</f>
        <v>#VALUE!</v>
      </c>
      <c r="L2710" s="6" t="e">
        <v>#VALUE!</v>
      </c>
      <c r="M2710" s="6" t="e">
        <v>#VALUE!</v>
      </c>
      <c r="N2710" s="6" t="e">
        <v>#VALUE!</v>
      </c>
      <c r="O2710" s="6" t="e">
        <v>#VALUE!</v>
      </c>
      <c r="P2710" s="6" t="e">
        <v>#VALUE!</v>
      </c>
      <c r="T2710" s="9"/>
      <c r="U2710" s="1">
        <f t="shared" si="4460"/>
        <v>62</v>
      </c>
      <c r="V2710" s="1">
        <f t="shared" si="4461"/>
        <v>225</v>
      </c>
    </row>
    <row r="2711" spans="1:22" x14ac:dyDescent="0.3">
      <c r="A2711" s="1">
        <f t="shared" si="4502"/>
        <v>62226</v>
      </c>
      <c r="B2711" s="4"/>
      <c r="C2711" s="4"/>
      <c r="D2711" s="4"/>
      <c r="E2711" s="4"/>
      <c r="F2711" s="14"/>
      <c r="G2711" s="8"/>
      <c r="H2711" s="7"/>
      <c r="J2711" s="24" t="str">
        <f t="shared" ref="J2711" si="4562">CONCATENATE(K2709,2)</f>
        <v>72</v>
      </c>
      <c r="K2711" s="6" t="e">
        <v>#VALUE!</v>
      </c>
      <c r="L2711" s="6" t="e">
        <v>#VALUE!</v>
      </c>
      <c r="M2711" s="6" t="e">
        <v>#VALUE!</v>
      </c>
      <c r="N2711" s="6" t="e">
        <v>#VALUE!</v>
      </c>
      <c r="O2711" s="6" t="e">
        <v>#VALUE!</v>
      </c>
      <c r="P2711" s="6" t="e">
        <v>#VALUE!</v>
      </c>
      <c r="T2711" s="9"/>
      <c r="U2711" s="1">
        <f t="shared" si="4460"/>
        <v>62</v>
      </c>
      <c r="V2711" s="1">
        <f t="shared" si="4461"/>
        <v>226</v>
      </c>
    </row>
    <row r="2712" spans="1:22" x14ac:dyDescent="0.3">
      <c r="A2712" s="1">
        <f t="shared" si="4502"/>
        <v>62227</v>
      </c>
      <c r="B2712" s="9"/>
      <c r="C2712" s="9"/>
      <c r="D2712" s="9"/>
      <c r="E2712" s="9"/>
      <c r="F2712" s="9"/>
      <c r="G2712" s="9"/>
      <c r="H2712" s="9"/>
      <c r="J2712" s="24" t="str">
        <f t="shared" ref="J2712" si="4563">CONCATENATE(K2709,3)</f>
        <v>73</v>
      </c>
      <c r="K2712" s="6" t="e">
        <v>#VALUE!</v>
      </c>
      <c r="L2712" s="6" t="e">
        <v>#VALUE!</v>
      </c>
      <c r="M2712" s="6" t="e">
        <v>#VALUE!</v>
      </c>
      <c r="N2712" s="6" t="e">
        <v>#VALUE!</v>
      </c>
      <c r="O2712" s="6" t="e">
        <v>#VALUE!</v>
      </c>
      <c r="P2712" s="6" t="e">
        <v>#VALUE!</v>
      </c>
      <c r="T2712" s="9"/>
      <c r="U2712" s="1">
        <f t="shared" si="4460"/>
        <v>62</v>
      </c>
      <c r="V2712" s="1">
        <f t="shared" si="4461"/>
        <v>227</v>
      </c>
    </row>
    <row r="2713" spans="1:22" x14ac:dyDescent="0.3">
      <c r="A2713" s="1">
        <f t="shared" si="4502"/>
        <v>62228</v>
      </c>
      <c r="B2713" s="87" t="s">
        <v>33</v>
      </c>
      <c r="C2713" s="88"/>
      <c r="D2713" s="88"/>
      <c r="E2713" s="88"/>
      <c r="F2713" s="88"/>
      <c r="G2713" s="88"/>
      <c r="H2713" s="89"/>
      <c r="K2713" s="1">
        <v>8</v>
      </c>
      <c r="L2713" s="1">
        <v>8</v>
      </c>
      <c r="M2713" s="1">
        <v>8</v>
      </c>
      <c r="N2713" s="1">
        <v>8</v>
      </c>
      <c r="O2713" s="1">
        <v>8</v>
      </c>
      <c r="P2713" s="1">
        <v>8</v>
      </c>
      <c r="Q2713" s="1">
        <v>8</v>
      </c>
      <c r="T2713" s="9"/>
      <c r="U2713" s="1">
        <f t="shared" si="4460"/>
        <v>62</v>
      </c>
      <c r="V2713" s="1">
        <f t="shared" si="4461"/>
        <v>228</v>
      </c>
    </row>
    <row r="2714" spans="1:22" x14ac:dyDescent="0.3">
      <c r="A2714" s="1">
        <f t="shared" si="4502"/>
        <v>62229</v>
      </c>
      <c r="B2714" s="90"/>
      <c r="C2714" s="91"/>
      <c r="D2714" s="91"/>
      <c r="E2714" s="91"/>
      <c r="F2714" s="91"/>
      <c r="G2714" s="91"/>
      <c r="H2714" s="92"/>
      <c r="J2714" s="24" t="str">
        <f t="shared" ref="J2714" si="4564">CONCATENATE(K2713,1)</f>
        <v>81</v>
      </c>
      <c r="K2714" s="6" t="e">
        <f t="array" ref="K2714:Q2716">LINEST(B2702:B2709,C2702:C2709^{1,2,3,4,5,6},TRUE,TRUE)</f>
        <v>#VALUE!</v>
      </c>
      <c r="L2714" s="6" t="e">
        <v>#VALUE!</v>
      </c>
      <c r="M2714" s="6" t="e">
        <v>#VALUE!</v>
      </c>
      <c r="N2714" s="6" t="e">
        <v>#VALUE!</v>
      </c>
      <c r="O2714" s="6" t="e">
        <v>#VALUE!</v>
      </c>
      <c r="P2714" s="6" t="e">
        <v>#VALUE!</v>
      </c>
      <c r="Q2714" s="6" t="e">
        <v>#VALUE!</v>
      </c>
      <c r="T2714" s="9"/>
      <c r="U2714" s="1">
        <f t="shared" si="4460"/>
        <v>62</v>
      </c>
      <c r="V2714" s="1">
        <f t="shared" si="4461"/>
        <v>229</v>
      </c>
    </row>
    <row r="2715" spans="1:22" x14ac:dyDescent="0.3">
      <c r="A2715" s="1">
        <f t="shared" si="4502"/>
        <v>62230</v>
      </c>
      <c r="B2715" s="93"/>
      <c r="C2715" s="94"/>
      <c r="D2715" s="94"/>
      <c r="E2715" s="94"/>
      <c r="F2715" s="94"/>
      <c r="G2715" s="94"/>
      <c r="H2715" s="95"/>
      <c r="J2715" s="24" t="str">
        <f t="shared" ref="J2715" si="4565">CONCATENATE(K2713,2)</f>
        <v>82</v>
      </c>
      <c r="K2715" s="6" t="e">
        <v>#VALUE!</v>
      </c>
      <c r="L2715" s="6" t="e">
        <v>#VALUE!</v>
      </c>
      <c r="M2715" s="6" t="e">
        <v>#VALUE!</v>
      </c>
      <c r="N2715" s="6" t="e">
        <v>#VALUE!</v>
      </c>
      <c r="O2715" s="6" t="e">
        <v>#VALUE!</v>
      </c>
      <c r="P2715" s="6" t="e">
        <v>#VALUE!</v>
      </c>
      <c r="Q2715" s="6" t="e">
        <v>#VALUE!</v>
      </c>
      <c r="T2715" s="9"/>
      <c r="U2715" s="1">
        <f t="shared" ref="U2715:U2778" si="4566">U2714</f>
        <v>62</v>
      </c>
      <c r="V2715" s="1">
        <f t="shared" ref="V2715:V2778" si="4567">V2714+1</f>
        <v>230</v>
      </c>
    </row>
    <row r="2716" spans="1:22" x14ac:dyDescent="0.3">
      <c r="A2716" s="1">
        <f t="shared" si="4502"/>
        <v>62231</v>
      </c>
      <c r="J2716" s="24" t="str">
        <f t="shared" ref="J2716" si="4568">CONCATENATE(K2713,3)</f>
        <v>83</v>
      </c>
      <c r="K2716" s="6" t="e">
        <v>#VALUE!</v>
      </c>
      <c r="L2716" s="6" t="e">
        <v>#VALUE!</v>
      </c>
      <c r="M2716" s="6" t="e">
        <v>#VALUE!</v>
      </c>
      <c r="N2716" s="6" t="e">
        <v>#VALUE!</v>
      </c>
      <c r="O2716" s="6" t="e">
        <v>#VALUE!</v>
      </c>
      <c r="P2716" s="6" t="e">
        <v>#VALUE!</v>
      </c>
      <c r="Q2716" s="6" t="e">
        <v>#VALUE!</v>
      </c>
      <c r="T2716" s="9"/>
      <c r="U2716" s="1">
        <f t="shared" si="4566"/>
        <v>62</v>
      </c>
      <c r="V2716" s="1">
        <f t="shared" si="4567"/>
        <v>231</v>
      </c>
    </row>
    <row r="2717" spans="1:22" ht="15" customHeight="1" x14ac:dyDescent="0.3">
      <c r="A2717" s="1">
        <f t="shared" si="4502"/>
        <v>62232</v>
      </c>
      <c r="B2717" s="10" t="s">
        <v>34</v>
      </c>
      <c r="C2717" s="10" t="s">
        <v>35</v>
      </c>
      <c r="D2717" s="10" t="s">
        <v>36</v>
      </c>
      <c r="E2717" s="74" t="s">
        <v>37</v>
      </c>
      <c r="F2717" s="75"/>
      <c r="G2717" s="76"/>
      <c r="K2717" s="1">
        <v>9</v>
      </c>
      <c r="L2717" s="1">
        <v>9</v>
      </c>
      <c r="M2717" s="1">
        <v>9</v>
      </c>
      <c r="N2717" s="1">
        <v>9</v>
      </c>
      <c r="O2717" s="1">
        <v>9</v>
      </c>
      <c r="P2717" s="1">
        <v>9</v>
      </c>
      <c r="Q2717" s="1">
        <v>9</v>
      </c>
      <c r="R2717" s="1">
        <v>9</v>
      </c>
      <c r="T2717" s="9"/>
      <c r="U2717" s="1">
        <f t="shared" si="4566"/>
        <v>62</v>
      </c>
      <c r="V2717" s="1">
        <f t="shared" si="4567"/>
        <v>232</v>
      </c>
    </row>
    <row r="2718" spans="1:22" x14ac:dyDescent="0.3">
      <c r="A2718" s="1">
        <f t="shared" si="4502"/>
        <v>62233</v>
      </c>
      <c r="B2718" s="12">
        <f t="shared" ref="B2718:B2727" si="4569">C2702-B2702</f>
        <v>7.7999999999999972</v>
      </c>
      <c r="C2718" s="13">
        <f t="shared" ref="C2718:C2727" si="4570">H2702-G2702</f>
        <v>5.3000000000000007</v>
      </c>
      <c r="D2718" s="10">
        <f t="shared" ref="D2718:D2727" si="4571">C2718-B2718</f>
        <v>-2.4999999999999964</v>
      </c>
      <c r="E2718" s="11">
        <f t="shared" ref="E2718" si="4572">IF(D2693="","",MAX(F2718,G2718))</f>
        <v>2.4999999999999964</v>
      </c>
      <c r="F2718" s="10">
        <f t="shared" ref="F2718" si="4573">ABS(MIN(D2718:D2727))</f>
        <v>2.4999999999999964</v>
      </c>
      <c r="G2718" s="10">
        <f t="shared" ref="G2718" si="4574">ABS(MAX(D2718:D2727))</f>
        <v>0.20000000000000284</v>
      </c>
      <c r="J2718" s="24" t="str">
        <f t="shared" ref="J2718" si="4575">CONCATENATE(K2717,1)</f>
        <v>91</v>
      </c>
      <c r="K2718" s="6" t="e">
        <f t="array" ref="K2718:R2720">LINEST(B2702:B2710,C2702:C2710^{1,2,3,4,5,6,7},TRUE,TRUE)</f>
        <v>#VALUE!</v>
      </c>
      <c r="L2718" s="6" t="e">
        <v>#VALUE!</v>
      </c>
      <c r="M2718" s="6" t="e">
        <v>#VALUE!</v>
      </c>
      <c r="N2718" s="6" t="e">
        <v>#VALUE!</v>
      </c>
      <c r="O2718" s="6" t="e">
        <v>#VALUE!</v>
      </c>
      <c r="P2718" s="6" t="e">
        <v>#VALUE!</v>
      </c>
      <c r="Q2718" s="6" t="e">
        <v>#VALUE!</v>
      </c>
      <c r="R2718" s="6" t="e">
        <v>#VALUE!</v>
      </c>
      <c r="T2718" s="9"/>
      <c r="U2718" s="1">
        <f t="shared" si="4566"/>
        <v>62</v>
      </c>
      <c r="V2718" s="1">
        <f t="shared" si="4567"/>
        <v>233</v>
      </c>
    </row>
    <row r="2719" spans="1:22" x14ac:dyDescent="0.3">
      <c r="A2719" s="1">
        <f t="shared" si="4502"/>
        <v>62234</v>
      </c>
      <c r="B2719" s="12">
        <f t="shared" si="4569"/>
        <v>6.3999999999999986</v>
      </c>
      <c r="C2719" s="13">
        <f t="shared" si="4570"/>
        <v>4.8999999999999986</v>
      </c>
      <c r="D2719" s="10">
        <f t="shared" si="4571"/>
        <v>-1.5</v>
      </c>
      <c r="E2719" s="74" t="s">
        <v>38</v>
      </c>
      <c r="F2719" s="75"/>
      <c r="G2719" s="76"/>
      <c r="J2719" s="24" t="str">
        <f t="shared" ref="J2719" si="4576">CONCATENATE(K2717,2)</f>
        <v>92</v>
      </c>
      <c r="K2719" s="6" t="e">
        <v>#VALUE!</v>
      </c>
      <c r="L2719" s="6" t="e">
        <v>#VALUE!</v>
      </c>
      <c r="M2719" s="6" t="e">
        <v>#VALUE!</v>
      </c>
      <c r="N2719" s="6" t="e">
        <v>#VALUE!</v>
      </c>
      <c r="O2719" s="6" t="e">
        <v>#VALUE!</v>
      </c>
      <c r="P2719" s="6" t="e">
        <v>#VALUE!</v>
      </c>
      <c r="Q2719" s="6" t="e">
        <v>#VALUE!</v>
      </c>
      <c r="R2719" s="6" t="e">
        <v>#VALUE!</v>
      </c>
      <c r="T2719" s="9"/>
      <c r="U2719" s="1">
        <f t="shared" si="4566"/>
        <v>62</v>
      </c>
      <c r="V2719" s="1">
        <f t="shared" si="4567"/>
        <v>234</v>
      </c>
    </row>
    <row r="2720" spans="1:22" x14ac:dyDescent="0.3">
      <c r="A2720" s="1">
        <f t="shared" si="4502"/>
        <v>62235</v>
      </c>
      <c r="B2720" s="12">
        <f t="shared" si="4569"/>
        <v>5.7000000000000028</v>
      </c>
      <c r="C2720" s="13">
        <f t="shared" si="4570"/>
        <v>5.9000000000000057</v>
      </c>
      <c r="D2720" s="10">
        <f t="shared" si="4571"/>
        <v>0.20000000000000284</v>
      </c>
      <c r="E2720" s="11">
        <f t="shared" ref="E2720" si="4577">IF(D2693="","",MAX(F2720,G2720))</f>
        <v>7.7999999999999972</v>
      </c>
      <c r="F2720" s="10">
        <f t="shared" ref="F2720" si="4578">ABS(MIN(B2718:B2727))</f>
        <v>0</v>
      </c>
      <c r="G2720" s="10">
        <f t="shared" ref="G2720" si="4579">ABS(MAX(B2718:B2727))</f>
        <v>7.7999999999999972</v>
      </c>
      <c r="J2720" s="24" t="str">
        <f t="shared" ref="J2720" si="4580">CONCATENATE(K2717,3)</f>
        <v>93</v>
      </c>
      <c r="K2720" s="6" t="e">
        <v>#VALUE!</v>
      </c>
      <c r="L2720" s="6" t="e">
        <v>#VALUE!</v>
      </c>
      <c r="M2720" s="6" t="e">
        <v>#VALUE!</v>
      </c>
      <c r="N2720" s="6" t="e">
        <v>#VALUE!</v>
      </c>
      <c r="O2720" s="6" t="e">
        <v>#VALUE!</v>
      </c>
      <c r="P2720" s="6" t="e">
        <v>#VALUE!</v>
      </c>
      <c r="Q2720" s="6" t="e">
        <v>#VALUE!</v>
      </c>
      <c r="R2720" s="6" t="e">
        <v>#VALUE!</v>
      </c>
      <c r="T2720" s="9"/>
      <c r="U2720" s="1">
        <f t="shared" si="4566"/>
        <v>62</v>
      </c>
      <c r="V2720" s="1">
        <f t="shared" si="4567"/>
        <v>235</v>
      </c>
    </row>
    <row r="2721" spans="1:22" x14ac:dyDescent="0.3">
      <c r="A2721" s="1">
        <f t="shared" si="4502"/>
        <v>62236</v>
      </c>
      <c r="B2721" s="12">
        <f t="shared" si="4569"/>
        <v>6.2000000000000028</v>
      </c>
      <c r="C2721" s="13">
        <f t="shared" si="4570"/>
        <v>5.2999999999999972</v>
      </c>
      <c r="D2721" s="10">
        <f t="shared" si="4571"/>
        <v>-0.90000000000000568</v>
      </c>
      <c r="E2721" s="74" t="s">
        <v>39</v>
      </c>
      <c r="F2721" s="75"/>
      <c r="G2721" s="76"/>
      <c r="K2721" s="1">
        <v>10</v>
      </c>
      <c r="L2721" s="1">
        <v>10</v>
      </c>
      <c r="M2721" s="1">
        <v>10</v>
      </c>
      <c r="N2721" s="1">
        <v>10</v>
      </c>
      <c r="O2721" s="1">
        <v>10</v>
      </c>
      <c r="P2721" s="1">
        <v>10</v>
      </c>
      <c r="Q2721" s="1">
        <v>10</v>
      </c>
      <c r="R2721" s="1">
        <v>10</v>
      </c>
      <c r="S2721" s="1">
        <v>10</v>
      </c>
      <c r="T2721" s="9"/>
      <c r="U2721" s="1">
        <f t="shared" si="4566"/>
        <v>62</v>
      </c>
      <c r="V2721" s="1">
        <f t="shared" si="4567"/>
        <v>236</v>
      </c>
    </row>
    <row r="2722" spans="1:22" x14ac:dyDescent="0.3">
      <c r="A2722" s="1">
        <f t="shared" si="4502"/>
        <v>62237</v>
      </c>
      <c r="B2722" s="12">
        <f t="shared" si="4569"/>
        <v>0</v>
      </c>
      <c r="C2722" s="13">
        <f t="shared" si="4570"/>
        <v>0</v>
      </c>
      <c r="D2722" s="10">
        <f t="shared" si="4571"/>
        <v>0</v>
      </c>
      <c r="E2722" s="11">
        <f t="shared" ref="E2722" si="4581">IF(D2693="","",MAX(F2722,G2722))</f>
        <v>1.1000000000000001</v>
      </c>
      <c r="F2722" s="10">
        <f t="shared" ref="F2722" si="4582">ABS(MIN(D2702:D2711))</f>
        <v>0.8</v>
      </c>
      <c r="G2722" s="10">
        <f t="shared" ref="G2722" si="4583">ABS(MAX(D2702:D2711))</f>
        <v>1.1000000000000001</v>
      </c>
      <c r="J2722" s="24" t="str">
        <f t="shared" ref="J2722" si="4584">CONCATENATE(K2721,1)</f>
        <v>101</v>
      </c>
      <c r="K2722" s="6" t="e">
        <f t="array" ref="K2722:S2724">LINEST(B2702:B2711,C2702:C2711^{1,2,3,4,5,6,7,8},TRUE,TRUE)</f>
        <v>#VALUE!</v>
      </c>
      <c r="L2722" s="6" t="e">
        <v>#VALUE!</v>
      </c>
      <c r="M2722" s="6" t="e">
        <v>#VALUE!</v>
      </c>
      <c r="N2722" s="6" t="e">
        <v>#VALUE!</v>
      </c>
      <c r="O2722" s="6" t="e">
        <v>#VALUE!</v>
      </c>
      <c r="P2722" s="6" t="e">
        <v>#VALUE!</v>
      </c>
      <c r="Q2722" s="6" t="e">
        <v>#VALUE!</v>
      </c>
      <c r="R2722" s="6" t="e">
        <v>#VALUE!</v>
      </c>
      <c r="S2722" s="6" t="e">
        <v>#VALUE!</v>
      </c>
      <c r="T2722" s="9"/>
      <c r="U2722" s="1">
        <f t="shared" si="4566"/>
        <v>62</v>
      </c>
      <c r="V2722" s="1">
        <f t="shared" si="4567"/>
        <v>237</v>
      </c>
    </row>
    <row r="2723" spans="1:22" x14ac:dyDescent="0.3">
      <c r="A2723" s="1">
        <f t="shared" si="4502"/>
        <v>62238</v>
      </c>
      <c r="B2723" s="12">
        <f t="shared" si="4569"/>
        <v>0</v>
      </c>
      <c r="C2723" s="13">
        <f t="shared" si="4570"/>
        <v>0</v>
      </c>
      <c r="D2723" s="10">
        <f t="shared" si="4571"/>
        <v>0</v>
      </c>
      <c r="J2723" s="24" t="str">
        <f t="shared" ref="J2723" si="4585">CONCATENATE(K2721,2)</f>
        <v>102</v>
      </c>
      <c r="K2723" s="6" t="e">
        <v>#VALUE!</v>
      </c>
      <c r="L2723" s="6" t="e">
        <v>#VALUE!</v>
      </c>
      <c r="M2723" s="6" t="e">
        <v>#VALUE!</v>
      </c>
      <c r="N2723" s="6" t="e">
        <v>#VALUE!</v>
      </c>
      <c r="O2723" s="6" t="e">
        <v>#VALUE!</v>
      </c>
      <c r="P2723" s="6" t="e">
        <v>#VALUE!</v>
      </c>
      <c r="Q2723" s="6" t="e">
        <v>#VALUE!</v>
      </c>
      <c r="R2723" s="6" t="e">
        <v>#VALUE!</v>
      </c>
      <c r="S2723" s="6" t="e">
        <v>#VALUE!</v>
      </c>
      <c r="T2723" s="9"/>
      <c r="U2723" s="1">
        <f t="shared" si="4566"/>
        <v>62</v>
      </c>
      <c r="V2723" s="1">
        <f t="shared" si="4567"/>
        <v>238</v>
      </c>
    </row>
    <row r="2724" spans="1:22" x14ac:dyDescent="0.3">
      <c r="A2724" s="1">
        <f t="shared" si="4502"/>
        <v>62239</v>
      </c>
      <c r="B2724" s="12">
        <f t="shared" si="4569"/>
        <v>0</v>
      </c>
      <c r="C2724" s="13">
        <f t="shared" si="4570"/>
        <v>0</v>
      </c>
      <c r="D2724" s="10">
        <f t="shared" si="4571"/>
        <v>0</v>
      </c>
      <c r="J2724" s="24" t="str">
        <f t="shared" ref="J2724" si="4586">CONCATENATE(K2721,3)</f>
        <v>103</v>
      </c>
      <c r="K2724" s="6" t="e">
        <v>#VALUE!</v>
      </c>
      <c r="L2724" s="6" t="e">
        <v>#VALUE!</v>
      </c>
      <c r="M2724" s="6" t="e">
        <v>#VALUE!</v>
      </c>
      <c r="N2724" s="6" t="e">
        <v>#VALUE!</v>
      </c>
      <c r="O2724" s="6" t="e">
        <v>#VALUE!</v>
      </c>
      <c r="P2724" s="6" t="e">
        <v>#VALUE!</v>
      </c>
      <c r="Q2724" s="6" t="e">
        <v>#VALUE!</v>
      </c>
      <c r="R2724" s="6" t="e">
        <v>#VALUE!</v>
      </c>
      <c r="S2724" s="6" t="e">
        <v>#VALUE!</v>
      </c>
      <c r="T2724" s="9"/>
      <c r="U2724" s="1">
        <f t="shared" si="4566"/>
        <v>62</v>
      </c>
      <c r="V2724" s="1">
        <f t="shared" si="4567"/>
        <v>239</v>
      </c>
    </row>
    <row r="2725" spans="1:22" x14ac:dyDescent="0.3">
      <c r="A2725" s="1">
        <f t="shared" si="4502"/>
        <v>62240</v>
      </c>
      <c r="B2725" s="12">
        <f t="shared" si="4569"/>
        <v>0</v>
      </c>
      <c r="C2725" s="13">
        <f t="shared" si="4570"/>
        <v>0</v>
      </c>
      <c r="D2725" s="10">
        <f t="shared" si="4571"/>
        <v>0</v>
      </c>
      <c r="J2725" s="9"/>
      <c r="K2725" s="9"/>
      <c r="L2725" s="9"/>
      <c r="M2725" s="9"/>
      <c r="N2725" s="9"/>
      <c r="O2725" s="9"/>
      <c r="P2725" s="9"/>
      <c r="Q2725" s="9"/>
      <c r="R2725" s="9"/>
      <c r="S2725" s="9"/>
      <c r="T2725" s="9"/>
      <c r="U2725" s="1">
        <f t="shared" si="4566"/>
        <v>62</v>
      </c>
      <c r="V2725" s="1">
        <f t="shared" si="4567"/>
        <v>240</v>
      </c>
    </row>
    <row r="2726" spans="1:22" x14ac:dyDescent="0.3">
      <c r="A2726" s="1">
        <f t="shared" si="4502"/>
        <v>62241</v>
      </c>
      <c r="B2726" s="12">
        <f t="shared" si="4569"/>
        <v>0</v>
      </c>
      <c r="C2726" s="13">
        <f t="shared" si="4570"/>
        <v>0</v>
      </c>
      <c r="D2726" s="10">
        <f t="shared" si="4571"/>
        <v>0</v>
      </c>
      <c r="J2726" s="9"/>
      <c r="K2726" s="9"/>
      <c r="L2726" s="9"/>
      <c r="M2726" s="9"/>
      <c r="N2726" s="9"/>
      <c r="O2726" s="9"/>
      <c r="P2726" s="9"/>
      <c r="Q2726" s="9"/>
      <c r="R2726" s="9"/>
      <c r="S2726" s="9"/>
      <c r="T2726" s="9"/>
      <c r="U2726" s="1">
        <f t="shared" si="4566"/>
        <v>62</v>
      </c>
      <c r="V2726" s="1">
        <f t="shared" si="4567"/>
        <v>241</v>
      </c>
    </row>
    <row r="2727" spans="1:22" x14ac:dyDescent="0.3">
      <c r="A2727" s="1">
        <f t="shared" si="4502"/>
        <v>62242</v>
      </c>
      <c r="B2727" s="12">
        <f t="shared" si="4569"/>
        <v>0</v>
      </c>
      <c r="C2727" s="13">
        <f t="shared" si="4570"/>
        <v>0</v>
      </c>
      <c r="D2727" s="10">
        <f t="shared" si="4571"/>
        <v>0</v>
      </c>
      <c r="J2727" s="9"/>
      <c r="K2727" s="9"/>
      <c r="L2727" s="9"/>
      <c r="M2727" s="9"/>
      <c r="N2727" s="9"/>
      <c r="O2727" s="9"/>
      <c r="P2727" s="9"/>
      <c r="Q2727" s="9"/>
      <c r="R2727" s="9"/>
      <c r="S2727" s="9"/>
      <c r="T2727" s="9"/>
      <c r="U2727" s="1">
        <f t="shared" si="4566"/>
        <v>62</v>
      </c>
      <c r="V2727" s="1">
        <f t="shared" si="4567"/>
        <v>242</v>
      </c>
    </row>
    <row r="2728" spans="1:22" x14ac:dyDescent="0.3">
      <c r="A2728" s="1">
        <f t="shared" si="4502"/>
        <v>62243</v>
      </c>
      <c r="J2728" s="9"/>
      <c r="K2728" s="9"/>
      <c r="L2728" s="9"/>
      <c r="M2728" s="9"/>
      <c r="N2728" s="9"/>
      <c r="O2728" s="9"/>
      <c r="P2728" s="9"/>
      <c r="Q2728" s="9"/>
      <c r="R2728" s="9"/>
      <c r="S2728" s="9"/>
      <c r="T2728" s="9"/>
      <c r="U2728" s="1">
        <f t="shared" si="4566"/>
        <v>62</v>
      </c>
      <c r="V2728" s="1">
        <f t="shared" si="4567"/>
        <v>243</v>
      </c>
    </row>
    <row r="2729" spans="1:22" s="5" customFormat="1" x14ac:dyDescent="0.3"/>
    <row r="2730" spans="1:22" x14ac:dyDescent="0.3">
      <c r="A2730" s="1">
        <f t="shared" ref="A2730:A2772" si="4587">ROUND(CONCATENATE(U2730,V2730),0)</f>
        <v>63201</v>
      </c>
      <c r="B2730" s="96" t="s">
        <v>0</v>
      </c>
      <c r="C2730" s="97"/>
      <c r="D2730" s="110" t="s">
        <v>46</v>
      </c>
      <c r="E2730" s="111"/>
      <c r="F2730" s="111"/>
      <c r="G2730" s="111"/>
      <c r="H2730" s="112"/>
      <c r="J2730" s="9"/>
      <c r="K2730" s="9"/>
      <c r="L2730" s="9"/>
      <c r="M2730" s="9"/>
      <c r="N2730" s="9"/>
      <c r="O2730" s="9"/>
      <c r="P2730" s="9"/>
      <c r="Q2730" s="9"/>
      <c r="R2730" s="9"/>
      <c r="S2730" s="9"/>
      <c r="T2730" s="9"/>
      <c r="U2730" s="1">
        <f t="shared" ref="U2730" si="4588">U2728+1</f>
        <v>63</v>
      </c>
      <c r="V2730" s="1">
        <v>201</v>
      </c>
    </row>
    <row r="2731" spans="1:22" x14ac:dyDescent="0.3">
      <c r="A2731" s="1">
        <f t="shared" si="4587"/>
        <v>63202</v>
      </c>
      <c r="B2731" s="96" t="s">
        <v>1</v>
      </c>
      <c r="C2731" s="97"/>
      <c r="D2731" s="15">
        <v>20</v>
      </c>
      <c r="E2731" s="16" t="s">
        <v>2</v>
      </c>
      <c r="F2731" s="107"/>
      <c r="G2731" s="108"/>
      <c r="H2731" s="109"/>
      <c r="J2731" s="9"/>
      <c r="K2731" s="9"/>
      <c r="L2731" s="9"/>
      <c r="M2731" s="9"/>
      <c r="N2731" s="9"/>
      <c r="O2731" s="9"/>
      <c r="P2731" s="9"/>
      <c r="Q2731" s="9"/>
      <c r="R2731" s="9"/>
      <c r="S2731" s="9"/>
      <c r="T2731" s="9"/>
      <c r="U2731" s="1">
        <f t="shared" ref="U2731" si="4589">U2730</f>
        <v>63</v>
      </c>
      <c r="V2731" s="1">
        <f t="shared" ref="V2731" si="4590">V2730+1</f>
        <v>202</v>
      </c>
    </row>
    <row r="2732" spans="1:22" x14ac:dyDescent="0.3">
      <c r="A2732" s="1">
        <f t="shared" si="4587"/>
        <v>63203</v>
      </c>
      <c r="B2732" s="96" t="s">
        <v>12</v>
      </c>
      <c r="C2732" s="97"/>
      <c r="D2732" s="110" t="s">
        <v>283</v>
      </c>
      <c r="E2732" s="111"/>
      <c r="F2732" s="111"/>
      <c r="G2732" s="111"/>
      <c r="H2732" s="112"/>
      <c r="K2732" s="1" t="s">
        <v>3</v>
      </c>
      <c r="L2732" s="1" t="s">
        <v>4</v>
      </c>
      <c r="M2732" s="1" t="s">
        <v>5</v>
      </c>
      <c r="N2732" s="1" t="s">
        <v>6</v>
      </c>
      <c r="O2732" s="1" t="s">
        <v>7</v>
      </c>
      <c r="P2732" s="1" t="s">
        <v>8</v>
      </c>
      <c r="Q2732" s="1" t="s">
        <v>9</v>
      </c>
      <c r="R2732" s="1" t="s">
        <v>10</v>
      </c>
      <c r="S2732" s="1" t="s">
        <v>11</v>
      </c>
      <c r="T2732" s="9"/>
      <c r="U2732" s="1">
        <f t="shared" si="4566"/>
        <v>63</v>
      </c>
      <c r="V2732" s="1">
        <f t="shared" si="4567"/>
        <v>203</v>
      </c>
    </row>
    <row r="2733" spans="1:22" x14ac:dyDescent="0.3">
      <c r="A2733" s="1">
        <f t="shared" si="4587"/>
        <v>63204</v>
      </c>
      <c r="B2733" s="96" t="s">
        <v>13</v>
      </c>
      <c r="C2733" s="97"/>
      <c r="D2733" s="110" t="s">
        <v>65</v>
      </c>
      <c r="E2733" s="111"/>
      <c r="F2733" s="111"/>
      <c r="G2733" s="111"/>
      <c r="H2733" s="112"/>
      <c r="J2733" s="1">
        <f t="shared" ref="J2733" si="4591">COUNTA(B2746:B2755)</f>
        <v>4</v>
      </c>
      <c r="K2733" s="1">
        <f t="shared" ref="K2733" si="4592">IF(L2733-1&lt;2,0,L2733-1)</f>
        <v>0</v>
      </c>
      <c r="L2733" s="1">
        <f t="shared" ref="L2733" si="4593">IF(M2733-1&lt;2,0,M2733-1)</f>
        <v>0</v>
      </c>
      <c r="M2733" s="1">
        <f t="shared" ref="M2733" si="4594">IF(N2733-1&lt;2,0,N2733-1)</f>
        <v>0</v>
      </c>
      <c r="N2733" s="1">
        <f t="shared" ref="N2733" si="4595">IF(O2733-1&lt;2,0,O2733-1)</f>
        <v>0</v>
      </c>
      <c r="O2733" s="1">
        <f t="shared" ref="O2733" si="4596">IF(P2733-1&lt;2,0,P2733-1)</f>
        <v>0</v>
      </c>
      <c r="P2733" s="1">
        <f t="shared" ref="P2733" si="4597">IF(Q2733-1&lt;2,0,Q2733-1)</f>
        <v>0</v>
      </c>
      <c r="Q2733" s="1">
        <f t="shared" ref="Q2733" si="4598">IF(R2733-1&lt;2,0,R2733-1)</f>
        <v>2</v>
      </c>
      <c r="R2733" s="1">
        <f t="shared" ref="R2733" si="4599">IF(S2733-1&lt;2,0,S2733-1)</f>
        <v>3</v>
      </c>
      <c r="S2733" s="1">
        <f t="shared" ref="S2733" si="4600">J2733</f>
        <v>4</v>
      </c>
      <c r="T2733" s="9"/>
      <c r="U2733" s="1">
        <f t="shared" si="4566"/>
        <v>63</v>
      </c>
      <c r="V2733" s="1">
        <f t="shared" si="4567"/>
        <v>204</v>
      </c>
    </row>
    <row r="2734" spans="1:22" x14ac:dyDescent="0.3">
      <c r="A2734" s="1">
        <f t="shared" si="4587"/>
        <v>63205</v>
      </c>
      <c r="B2734" s="96" t="s">
        <v>14</v>
      </c>
      <c r="C2734" s="97"/>
      <c r="D2734" s="110" t="s">
        <v>66</v>
      </c>
      <c r="E2734" s="111"/>
      <c r="F2734" s="111"/>
      <c r="G2734" s="111"/>
      <c r="H2734" s="112"/>
      <c r="J2734" s="24" t="str">
        <f t="shared" ref="J2734" si="4601">CONCATENATE(J2733,1)</f>
        <v>41</v>
      </c>
      <c r="K2734" s="25">
        <f t="shared" ref="K2734" si="4602">IF(K2733=0,0,VLOOKUP(J2734,J2738:S2768,K2733,FALSE))</f>
        <v>0</v>
      </c>
      <c r="L2734" s="25">
        <f t="shared" ref="L2734" si="4603">IF(L2733=0,0,VLOOKUP(J2734,J2738:S2768,L2733,FALSE))</f>
        <v>0</v>
      </c>
      <c r="M2734" s="25">
        <f t="shared" ref="M2734" si="4604">IF(M2733=0,0,VLOOKUP(J2734,J2738:S2768,M2733,FALSE))</f>
        <v>0</v>
      </c>
      <c r="N2734" s="25">
        <f t="shared" ref="N2734" si="4605">IF(N2733=0,0,VLOOKUP(J2734,J2738:S2768,N2733,FALSE))</f>
        <v>0</v>
      </c>
      <c r="O2734" s="25">
        <f t="shared" ref="O2734" si="4606">IF(O2733=0,0,VLOOKUP(J2734,J2738:S2768,O2733,FALSE))</f>
        <v>0</v>
      </c>
      <c r="P2734" s="25">
        <f t="shared" ref="P2734" si="4607">IF(P2733=0,0,VLOOKUP(J2734,J2738:S2768,P2733,FALSE))</f>
        <v>0</v>
      </c>
      <c r="Q2734" s="25">
        <f t="shared" ref="Q2734" si="4608">IF(Q2733=0,0,VLOOKUP(J2734,J2738:S2768,Q2733,FALSE))</f>
        <v>-2.0323127381339035E-3</v>
      </c>
      <c r="R2734" s="25">
        <f t="shared" ref="R2734" si="4609">IF(R2733=0,0,VLOOKUP(J2734,J2738:S2768,R2733,FALSE))</f>
        <v>1.3498390757854259</v>
      </c>
      <c r="S2734" s="25">
        <f t="shared" ref="S2734" si="4610">IF(S2733=0,0,VLOOKUP(J2734,J2738:S2768,S2733,FALSE))</f>
        <v>-14.940014590033325</v>
      </c>
      <c r="T2734" s="9"/>
      <c r="U2734" s="1">
        <f t="shared" si="4566"/>
        <v>63</v>
      </c>
      <c r="V2734" s="1">
        <f t="shared" si="4567"/>
        <v>205</v>
      </c>
    </row>
    <row r="2735" spans="1:22" x14ac:dyDescent="0.3">
      <c r="A2735" s="1">
        <f t="shared" si="4587"/>
        <v>63206</v>
      </c>
      <c r="B2735" s="96" t="s">
        <v>15</v>
      </c>
      <c r="C2735" s="97"/>
      <c r="D2735" s="110" t="s">
        <v>284</v>
      </c>
      <c r="E2735" s="111"/>
      <c r="F2735" s="111"/>
      <c r="G2735" s="111"/>
      <c r="H2735" s="112"/>
      <c r="J2735" s="24" t="str">
        <f t="shared" ref="J2735" si="4611">CONCATENATE(J2733,2)</f>
        <v>42</v>
      </c>
      <c r="K2735" s="6">
        <f t="shared" ref="K2735" si="4612">IF(K2733=0,0,VLOOKUP(J2735,J2738:S2768,K2733,FALSE))</f>
        <v>0</v>
      </c>
      <c r="L2735" s="6">
        <f t="shared" ref="L2735" si="4613">IF(L2733=0,0,VLOOKUP(J2735,J2738:S2768,L2733,FALSE))</f>
        <v>0</v>
      </c>
      <c r="M2735" s="6">
        <f t="shared" ref="M2735" si="4614">IF(M2733=0,0,VLOOKUP(J2735,J2738:S2768,M2733,FALSE))</f>
        <v>0</v>
      </c>
      <c r="N2735" s="6">
        <f t="shared" ref="N2735" si="4615">IF(N2733=0,0,VLOOKUP(J2735,J2738:S2768,N2733,FALSE))</f>
        <v>0</v>
      </c>
      <c r="O2735" s="6">
        <f t="shared" ref="O2735" si="4616">IF(O2733=0,0,VLOOKUP(J2735,J2738:S2768,O2733,FALSE))</f>
        <v>0</v>
      </c>
      <c r="P2735" s="6">
        <f t="shared" ref="P2735" si="4617">IF(P2733=0,0,VLOOKUP(J2735,J2738:S2768,P2733,FALSE))</f>
        <v>0</v>
      </c>
      <c r="Q2735" s="6">
        <f t="shared" ref="Q2735" si="4618">IF(Q2733=0,0,VLOOKUP(J2735,J2738:S2768,Q2733,FALSE))</f>
        <v>4.360629590165537E-4</v>
      </c>
      <c r="R2735" s="6">
        <f t="shared" ref="R2735" si="4619">IF(R2733=0,0,VLOOKUP(J2735,J2738:S2768,R2733,FALSE))</f>
        <v>4.9005200356976343E-2</v>
      </c>
      <c r="S2735" s="6">
        <f t="shared" ref="S2735" si="4620">IF(S2733=0,0,VLOOKUP(J2735,J2738:S2768,S2733,FALSE))</f>
        <v>1.2720091182281621</v>
      </c>
      <c r="T2735" s="9"/>
      <c r="U2735" s="1">
        <f t="shared" si="4566"/>
        <v>63</v>
      </c>
      <c r="V2735" s="1">
        <f t="shared" si="4567"/>
        <v>206</v>
      </c>
    </row>
    <row r="2736" spans="1:22" x14ac:dyDescent="0.3">
      <c r="A2736" s="1">
        <f t="shared" si="4587"/>
        <v>63207</v>
      </c>
      <c r="B2736" s="96" t="s">
        <v>16</v>
      </c>
      <c r="C2736" s="97"/>
      <c r="D2736" s="113">
        <v>45664</v>
      </c>
      <c r="E2736" s="114"/>
      <c r="F2736" s="114"/>
      <c r="G2736" s="114"/>
      <c r="H2736" s="115"/>
      <c r="J2736" s="24" t="str">
        <f t="shared" ref="J2736" si="4621">CONCATENATE(J2733,3)</f>
        <v>43</v>
      </c>
      <c r="K2736" s="6"/>
      <c r="L2736" s="6"/>
      <c r="M2736" s="6"/>
      <c r="N2736" s="6" t="s">
        <v>43</v>
      </c>
      <c r="O2736" s="25">
        <f t="shared" ref="O2736" si="4622">J2733-2</f>
        <v>2</v>
      </c>
      <c r="P2736" s="6" t="s">
        <v>44</v>
      </c>
      <c r="Q2736" s="25">
        <f t="shared" ref="Q2736" si="4623">VLOOKUP(J2736,J2738:S2768,3,FALSE)</f>
        <v>0.24297353582319037</v>
      </c>
      <c r="R2736" s="6" t="s">
        <v>45</v>
      </c>
      <c r="S2736" s="6">
        <f t="shared" ref="S2736" si="4624">VLOOKUP(J2736,J2738:S2768,2,FALSE)</f>
        <v>0.99996367006823972</v>
      </c>
      <c r="T2736" s="9"/>
      <c r="U2736" s="1">
        <f t="shared" si="4566"/>
        <v>63</v>
      </c>
      <c r="V2736" s="1">
        <f t="shared" si="4567"/>
        <v>207</v>
      </c>
    </row>
    <row r="2737" spans="1:22" x14ac:dyDescent="0.3">
      <c r="A2737" s="1">
        <f t="shared" si="4587"/>
        <v>63208</v>
      </c>
      <c r="B2737" s="96" t="s">
        <v>17</v>
      </c>
      <c r="C2737" s="97"/>
      <c r="D2737" s="116">
        <v>46417</v>
      </c>
      <c r="E2737" s="117"/>
      <c r="F2737" s="117"/>
      <c r="G2737" s="117"/>
      <c r="H2737" s="118"/>
      <c r="K2737" s="1">
        <v>3</v>
      </c>
      <c r="L2737" s="1">
        <v>3</v>
      </c>
      <c r="Q2737" s="26"/>
      <c r="R2737" s="26"/>
      <c r="S2737" s="26"/>
      <c r="T2737" s="9"/>
      <c r="U2737" s="1">
        <f t="shared" si="4566"/>
        <v>63</v>
      </c>
      <c r="V2737" s="1">
        <f t="shared" si="4567"/>
        <v>208</v>
      </c>
    </row>
    <row r="2738" spans="1:22" x14ac:dyDescent="0.3">
      <c r="A2738" s="1">
        <f t="shared" si="4587"/>
        <v>63209</v>
      </c>
      <c r="B2738" s="77" t="s">
        <v>19</v>
      </c>
      <c r="C2738" s="78"/>
      <c r="D2738" s="17">
        <v>1</v>
      </c>
      <c r="E2738" s="79" t="s">
        <v>40</v>
      </c>
      <c r="F2738" s="80"/>
      <c r="G2738" s="81"/>
      <c r="H2738" s="18" t="s">
        <v>42</v>
      </c>
      <c r="J2738" s="24" t="str">
        <f t="shared" ref="J2738" si="4625">CONCATENATE(K2737,1)</f>
        <v>31</v>
      </c>
      <c r="K2738" s="6">
        <f t="array" ref="K2738:L2740">LINEST(B2746:B2748,C2746:C2748^{1},TRUE,TRUE)</f>
        <v>1.167157584683358</v>
      </c>
      <c r="L2738" s="6">
        <v>-11.134020618556697</v>
      </c>
      <c r="Q2738" s="9"/>
      <c r="R2738" s="9"/>
      <c r="S2738" s="9"/>
      <c r="T2738" s="9"/>
      <c r="U2738" s="1">
        <f t="shared" si="4566"/>
        <v>63</v>
      </c>
      <c r="V2738" s="1">
        <f t="shared" si="4567"/>
        <v>209</v>
      </c>
    </row>
    <row r="2739" spans="1:22" x14ac:dyDescent="0.3">
      <c r="A2739" s="1">
        <f t="shared" si="4587"/>
        <v>63210</v>
      </c>
      <c r="B2739" s="77" t="s">
        <v>41</v>
      </c>
      <c r="C2739" s="78"/>
      <c r="D2739" s="23">
        <f t="shared" ref="D2739" si="4626">MIN(B2746:B2755)</f>
        <v>25</v>
      </c>
      <c r="E2739" s="20" t="s">
        <v>18</v>
      </c>
      <c r="F2739" s="19">
        <f t="shared" ref="F2739" si="4627">MAX(B2746:B2755)</f>
        <v>80</v>
      </c>
      <c r="G2739" s="21" t="str">
        <f t="shared" ref="G2739" si="4628">IF(H2738="","",H2738)</f>
        <v>%UR</v>
      </c>
      <c r="H2739" s="22"/>
      <c r="J2739" s="24" t="str">
        <f t="shared" ref="J2739" si="4629">CONCATENATE(K2737,2)</f>
        <v>32</v>
      </c>
      <c r="K2739" s="6">
        <v>6.3772121044509801E-3</v>
      </c>
      <c r="L2739" s="6">
        <v>0.30774040786402018</v>
      </c>
      <c r="Q2739" s="9"/>
      <c r="R2739" s="9"/>
      <c r="S2739" s="9"/>
      <c r="T2739" s="9"/>
      <c r="U2739" s="1">
        <f t="shared" si="4566"/>
        <v>63</v>
      </c>
      <c r="V2739" s="1">
        <f t="shared" si="4567"/>
        <v>210</v>
      </c>
    </row>
    <row r="2740" spans="1:22" x14ac:dyDescent="0.3">
      <c r="A2740" s="1">
        <f t="shared" si="4587"/>
        <v>63211</v>
      </c>
      <c r="J2740" s="24" t="str">
        <f t="shared" ref="J2740" si="4630">CONCATENATE(K2737,3)</f>
        <v>33</v>
      </c>
      <c r="K2740" s="6">
        <v>0.99997014687736341</v>
      </c>
      <c r="L2740" s="6">
        <v>0.13568133853231501</v>
      </c>
      <c r="Q2740" s="9"/>
      <c r="R2740" s="9"/>
      <c r="S2740" s="9"/>
      <c r="T2740" s="9"/>
      <c r="U2740" s="1">
        <f t="shared" si="4566"/>
        <v>63</v>
      </c>
      <c r="V2740" s="1">
        <f t="shared" si="4567"/>
        <v>211</v>
      </c>
    </row>
    <row r="2741" spans="1:22" x14ac:dyDescent="0.3">
      <c r="A2741" s="1">
        <f t="shared" si="4587"/>
        <v>63212</v>
      </c>
      <c r="B2741" s="82" t="s">
        <v>20</v>
      </c>
      <c r="C2741" s="83"/>
      <c r="D2741" s="83"/>
      <c r="E2741" s="83"/>
      <c r="F2741" s="84"/>
      <c r="G2741" s="85" t="s">
        <v>31</v>
      </c>
      <c r="H2741" s="86"/>
      <c r="K2741" s="1">
        <v>4</v>
      </c>
      <c r="L2741" s="1">
        <v>4</v>
      </c>
      <c r="M2741" s="1">
        <v>4</v>
      </c>
      <c r="Q2741" s="9"/>
      <c r="R2741" s="9"/>
      <c r="S2741" s="9"/>
      <c r="T2741" s="9"/>
      <c r="U2741" s="1">
        <f t="shared" si="4566"/>
        <v>63</v>
      </c>
      <c r="V2741" s="1">
        <f t="shared" si="4567"/>
        <v>212</v>
      </c>
    </row>
    <row r="2742" spans="1:22" x14ac:dyDescent="0.3">
      <c r="A2742" s="1">
        <f t="shared" si="4587"/>
        <v>63213</v>
      </c>
      <c r="B2742" s="82" t="s">
        <v>30</v>
      </c>
      <c r="C2742" s="83"/>
      <c r="D2742" s="84"/>
      <c r="E2742" s="82" t="str">
        <f t="shared" ref="E2742" si="4631">D2735</f>
        <v>E0526B/24</v>
      </c>
      <c r="F2742" s="84"/>
      <c r="G2742" s="6" t="s">
        <v>32</v>
      </c>
      <c r="H2742" s="7" t="s">
        <v>213</v>
      </c>
      <c r="J2742" s="24" t="str">
        <f t="shared" ref="J2742" si="4632">CONCATENATE(K2741,1)</f>
        <v>41</v>
      </c>
      <c r="K2742" s="6">
        <f t="array" ref="K2742:M2744">LINEST(B2746:B2749,C2746:C2749^{1,2},TRUE,TRUE)</f>
        <v>-2.0323127381339035E-3</v>
      </c>
      <c r="L2742" s="6">
        <v>1.3498390757854259</v>
      </c>
      <c r="M2742" s="6">
        <v>-14.940014590033325</v>
      </c>
      <c r="Q2742" s="9"/>
      <c r="R2742" s="9"/>
      <c r="S2742" s="9"/>
      <c r="T2742" s="9"/>
      <c r="U2742" s="1">
        <f t="shared" si="4566"/>
        <v>63</v>
      </c>
      <c r="V2742" s="1">
        <f t="shared" si="4567"/>
        <v>213</v>
      </c>
    </row>
    <row r="2743" spans="1:22" x14ac:dyDescent="0.3">
      <c r="A2743" s="1">
        <f t="shared" si="4587"/>
        <v>63214</v>
      </c>
      <c r="B2743" s="2" t="s">
        <v>21</v>
      </c>
      <c r="C2743" s="2" t="s">
        <v>22</v>
      </c>
      <c r="D2743" s="2" t="s">
        <v>23</v>
      </c>
      <c r="E2743" s="2"/>
      <c r="F2743" s="2" t="s">
        <v>28</v>
      </c>
      <c r="G2743" s="2" t="s">
        <v>21</v>
      </c>
      <c r="H2743" s="2" t="s">
        <v>22</v>
      </c>
      <c r="J2743" s="24" t="str">
        <f t="shared" ref="J2743" si="4633">CONCATENATE(K2741,2)</f>
        <v>42</v>
      </c>
      <c r="K2743" s="6">
        <v>4.360629590165537E-4</v>
      </c>
      <c r="L2743" s="6">
        <v>4.9005200356976343E-2</v>
      </c>
      <c r="M2743" s="6">
        <v>1.2720091182281621</v>
      </c>
      <c r="Q2743" s="9"/>
      <c r="R2743" s="9"/>
      <c r="S2743" s="9"/>
      <c r="T2743" s="9"/>
      <c r="U2743" s="1">
        <f t="shared" si="4566"/>
        <v>63</v>
      </c>
      <c r="V2743" s="1">
        <f t="shared" si="4567"/>
        <v>214</v>
      </c>
    </row>
    <row r="2744" spans="1:22" x14ac:dyDescent="0.3">
      <c r="A2744" s="1">
        <f t="shared" si="4587"/>
        <v>63215</v>
      </c>
      <c r="B2744" s="2" t="s">
        <v>24</v>
      </c>
      <c r="C2744" s="2" t="s">
        <v>25</v>
      </c>
      <c r="D2744" s="2" t="s">
        <v>26</v>
      </c>
      <c r="E2744" s="2" t="s">
        <v>27</v>
      </c>
      <c r="F2744" s="2" t="s">
        <v>29</v>
      </c>
      <c r="G2744" s="2" t="s">
        <v>24</v>
      </c>
      <c r="H2744" s="2" t="s">
        <v>25</v>
      </c>
      <c r="J2744" s="24" t="str">
        <f t="shared" ref="J2744" si="4634">CONCATENATE(K2741,3)</f>
        <v>43</v>
      </c>
      <c r="K2744" s="6">
        <v>0.99996367006823972</v>
      </c>
      <c r="L2744" s="6">
        <v>0.24297353582319037</v>
      </c>
      <c r="M2744" s="6" t="e">
        <v>#N/A</v>
      </c>
      <c r="Q2744" s="9"/>
      <c r="R2744" s="9"/>
      <c r="S2744" s="9"/>
      <c r="T2744" s="9"/>
      <c r="U2744" s="1">
        <f t="shared" si="4566"/>
        <v>63</v>
      </c>
      <c r="V2744" s="1">
        <f t="shared" si="4567"/>
        <v>215</v>
      </c>
    </row>
    <row r="2745" spans="1:22" x14ac:dyDescent="0.3">
      <c r="A2745" s="1">
        <f t="shared" si="4587"/>
        <v>63216</v>
      </c>
      <c r="B2745" s="3" t="str">
        <f t="shared" ref="B2745" si="4635">H2738</f>
        <v>%UR</v>
      </c>
      <c r="C2745" s="3" t="str">
        <f t="shared" ref="C2745" si="4636">B2745</f>
        <v>%UR</v>
      </c>
      <c r="D2745" s="3" t="str">
        <f t="shared" ref="D2745" si="4637">C2745</f>
        <v>%UR</v>
      </c>
      <c r="E2745" s="3"/>
      <c r="F2745" s="3"/>
      <c r="G2745" s="3" t="str">
        <f t="shared" ref="G2745" si="4638">D2745</f>
        <v>%UR</v>
      </c>
      <c r="H2745" s="3" t="str">
        <f t="shared" ref="H2745" si="4639">G2745</f>
        <v>%UR</v>
      </c>
      <c r="K2745" s="1">
        <v>5</v>
      </c>
      <c r="L2745" s="1">
        <v>5</v>
      </c>
      <c r="M2745" s="1">
        <v>5</v>
      </c>
      <c r="N2745" s="1">
        <v>5</v>
      </c>
      <c r="Q2745" s="9"/>
      <c r="R2745" s="9"/>
      <c r="S2745" s="9"/>
      <c r="T2745" s="9"/>
      <c r="U2745" s="1">
        <f t="shared" si="4566"/>
        <v>63</v>
      </c>
      <c r="V2745" s="1">
        <f t="shared" si="4567"/>
        <v>216</v>
      </c>
    </row>
    <row r="2746" spans="1:22" x14ac:dyDescent="0.3">
      <c r="A2746" s="1">
        <f t="shared" si="4587"/>
        <v>63217</v>
      </c>
      <c r="B2746" s="4">
        <v>25</v>
      </c>
      <c r="C2746" s="4">
        <v>31</v>
      </c>
      <c r="D2746" s="4">
        <v>1</v>
      </c>
      <c r="E2746" s="4">
        <v>2</v>
      </c>
      <c r="F2746" s="14">
        <v>1000000</v>
      </c>
      <c r="G2746" s="8">
        <v>25</v>
      </c>
      <c r="H2746" s="7">
        <v>27</v>
      </c>
      <c r="J2746" s="24" t="str">
        <f t="shared" ref="J2746" si="4640">CONCATENATE(K2745,1)</f>
        <v>51</v>
      </c>
      <c r="K2746" s="6" t="e">
        <f t="array" ref="K2746:N2748">LINEST(B2746:B2750,C2746:C2750^{1,2,3},TRUE,TRUE)</f>
        <v>#VALUE!</v>
      </c>
      <c r="L2746" s="6" t="e">
        <v>#VALUE!</v>
      </c>
      <c r="M2746" s="6" t="e">
        <v>#VALUE!</v>
      </c>
      <c r="N2746" s="6" t="e">
        <v>#VALUE!</v>
      </c>
      <c r="Q2746" s="9"/>
      <c r="R2746" s="9"/>
      <c r="S2746" s="9"/>
      <c r="T2746" s="9"/>
      <c r="U2746" s="1">
        <f t="shared" si="4566"/>
        <v>63</v>
      </c>
      <c r="V2746" s="1">
        <f t="shared" si="4567"/>
        <v>217</v>
      </c>
    </row>
    <row r="2747" spans="1:22" x14ac:dyDescent="0.3">
      <c r="A2747" s="1">
        <f t="shared" si="4587"/>
        <v>63218</v>
      </c>
      <c r="B2747" s="4">
        <v>45</v>
      </c>
      <c r="C2747" s="4">
        <v>48</v>
      </c>
      <c r="D2747" s="4">
        <v>2</v>
      </c>
      <c r="E2747" s="4">
        <v>2</v>
      </c>
      <c r="F2747" s="14">
        <v>1000000</v>
      </c>
      <c r="G2747" s="8">
        <v>45</v>
      </c>
      <c r="H2747" s="7">
        <v>48</v>
      </c>
      <c r="J2747" s="24" t="str">
        <f t="shared" ref="J2747" si="4641">CONCATENATE(K2745,2)</f>
        <v>52</v>
      </c>
      <c r="K2747" s="6" t="e">
        <v>#VALUE!</v>
      </c>
      <c r="L2747" s="6" t="e">
        <v>#VALUE!</v>
      </c>
      <c r="M2747" s="6" t="e">
        <v>#VALUE!</v>
      </c>
      <c r="N2747" s="6" t="e">
        <v>#VALUE!</v>
      </c>
      <c r="T2747" s="9"/>
      <c r="U2747" s="1">
        <f t="shared" si="4566"/>
        <v>63</v>
      </c>
      <c r="V2747" s="1">
        <f t="shared" si="4567"/>
        <v>218</v>
      </c>
    </row>
    <row r="2748" spans="1:22" x14ac:dyDescent="0.3">
      <c r="A2748" s="1">
        <f t="shared" si="4587"/>
        <v>63219</v>
      </c>
      <c r="B2748" s="4">
        <v>60</v>
      </c>
      <c r="C2748" s="4">
        <v>61</v>
      </c>
      <c r="D2748" s="4">
        <v>2</v>
      </c>
      <c r="E2748" s="4">
        <v>2</v>
      </c>
      <c r="F2748" s="14">
        <v>1000000</v>
      </c>
      <c r="G2748" s="8">
        <v>60</v>
      </c>
      <c r="H2748" s="7">
        <v>56</v>
      </c>
      <c r="J2748" s="24" t="str">
        <f t="shared" ref="J2748" si="4642">CONCATENATE(K2745,3)</f>
        <v>53</v>
      </c>
      <c r="K2748" s="6" t="e">
        <v>#VALUE!</v>
      </c>
      <c r="L2748" s="6" t="e">
        <v>#VALUE!</v>
      </c>
      <c r="M2748" s="6" t="e">
        <v>#VALUE!</v>
      </c>
      <c r="N2748" s="6" t="e">
        <v>#VALUE!</v>
      </c>
      <c r="T2748" s="9"/>
      <c r="U2748" s="1">
        <f t="shared" si="4566"/>
        <v>63</v>
      </c>
      <c r="V2748" s="1">
        <f t="shared" si="4567"/>
        <v>219</v>
      </c>
    </row>
    <row r="2749" spans="1:22" x14ac:dyDescent="0.3">
      <c r="A2749" s="1">
        <f t="shared" si="4587"/>
        <v>63220</v>
      </c>
      <c r="B2749" s="4">
        <v>80</v>
      </c>
      <c r="C2749" s="4">
        <v>80</v>
      </c>
      <c r="D2749" s="4">
        <v>2</v>
      </c>
      <c r="E2749" s="4">
        <v>2</v>
      </c>
      <c r="F2749" s="14">
        <v>1000000</v>
      </c>
      <c r="G2749" s="8">
        <v>80</v>
      </c>
      <c r="H2749" s="7">
        <v>75</v>
      </c>
      <c r="K2749" s="1">
        <v>6</v>
      </c>
      <c r="L2749" s="1">
        <v>6</v>
      </c>
      <c r="M2749" s="1">
        <v>6</v>
      </c>
      <c r="N2749" s="1">
        <v>6</v>
      </c>
      <c r="O2749" s="1">
        <v>6</v>
      </c>
      <c r="T2749" s="9"/>
      <c r="U2749" s="1">
        <f t="shared" si="4566"/>
        <v>63</v>
      </c>
      <c r="V2749" s="1">
        <f t="shared" si="4567"/>
        <v>220</v>
      </c>
    </row>
    <row r="2750" spans="1:22" x14ac:dyDescent="0.3">
      <c r="A2750" s="1">
        <f t="shared" si="4587"/>
        <v>63221</v>
      </c>
      <c r="B2750" s="4"/>
      <c r="C2750" s="4"/>
      <c r="D2750" s="4"/>
      <c r="E2750" s="4"/>
      <c r="F2750" s="14"/>
      <c r="G2750" s="8"/>
      <c r="H2750" s="7"/>
      <c r="J2750" s="24" t="str">
        <f t="shared" ref="J2750" si="4643">CONCATENATE(K2749,1)</f>
        <v>61</v>
      </c>
      <c r="K2750" s="6" t="e">
        <f t="array" ref="K2750:O2752">LINEST(B2746:B2751,C2746:C2751^{1,2,3,4},TRUE,TRUE)</f>
        <v>#VALUE!</v>
      </c>
      <c r="L2750" s="6" t="e">
        <v>#VALUE!</v>
      </c>
      <c r="M2750" s="6" t="e">
        <v>#VALUE!</v>
      </c>
      <c r="N2750" s="6" t="e">
        <v>#VALUE!</v>
      </c>
      <c r="O2750" s="6" t="e">
        <v>#VALUE!</v>
      </c>
      <c r="T2750" s="9"/>
      <c r="U2750" s="1">
        <f t="shared" si="4566"/>
        <v>63</v>
      </c>
      <c r="V2750" s="1">
        <f t="shared" si="4567"/>
        <v>221</v>
      </c>
    </row>
    <row r="2751" spans="1:22" x14ac:dyDescent="0.3">
      <c r="A2751" s="1">
        <f t="shared" si="4587"/>
        <v>63222</v>
      </c>
      <c r="B2751" s="4"/>
      <c r="C2751" s="4"/>
      <c r="D2751" s="4"/>
      <c r="E2751" s="4"/>
      <c r="F2751" s="14"/>
      <c r="G2751" s="8"/>
      <c r="H2751" s="7"/>
      <c r="J2751" s="24" t="str">
        <f t="shared" ref="J2751" si="4644">CONCATENATE(K2749,2)</f>
        <v>62</v>
      </c>
      <c r="K2751" s="6" t="e">
        <v>#VALUE!</v>
      </c>
      <c r="L2751" s="6" t="e">
        <v>#VALUE!</v>
      </c>
      <c r="M2751" s="6" t="e">
        <v>#VALUE!</v>
      </c>
      <c r="N2751" s="6" t="e">
        <v>#VALUE!</v>
      </c>
      <c r="O2751" s="6" t="e">
        <v>#VALUE!</v>
      </c>
      <c r="T2751" s="9"/>
      <c r="U2751" s="1">
        <f t="shared" si="4566"/>
        <v>63</v>
      </c>
      <c r="V2751" s="1">
        <f t="shared" si="4567"/>
        <v>222</v>
      </c>
    </row>
    <row r="2752" spans="1:22" x14ac:dyDescent="0.3">
      <c r="A2752" s="1">
        <f t="shared" si="4587"/>
        <v>63223</v>
      </c>
      <c r="B2752" s="4"/>
      <c r="C2752" s="4"/>
      <c r="D2752" s="4"/>
      <c r="E2752" s="4"/>
      <c r="F2752" s="14"/>
      <c r="G2752" s="8"/>
      <c r="H2752" s="7"/>
      <c r="J2752" s="24" t="str">
        <f t="shared" ref="J2752" si="4645">CONCATENATE(K2749,3)</f>
        <v>63</v>
      </c>
      <c r="K2752" s="6" t="e">
        <v>#VALUE!</v>
      </c>
      <c r="L2752" s="6" t="e">
        <v>#VALUE!</v>
      </c>
      <c r="M2752" s="6" t="e">
        <v>#VALUE!</v>
      </c>
      <c r="N2752" s="6" t="e">
        <v>#VALUE!</v>
      </c>
      <c r="O2752" s="6" t="e">
        <v>#VALUE!</v>
      </c>
      <c r="T2752" s="9"/>
      <c r="U2752" s="1">
        <f t="shared" si="4566"/>
        <v>63</v>
      </c>
      <c r="V2752" s="1">
        <f t="shared" si="4567"/>
        <v>223</v>
      </c>
    </row>
    <row r="2753" spans="1:22" x14ac:dyDescent="0.3">
      <c r="A2753" s="1">
        <f t="shared" si="4587"/>
        <v>63224</v>
      </c>
      <c r="B2753" s="4"/>
      <c r="C2753" s="4"/>
      <c r="D2753" s="4"/>
      <c r="E2753" s="4"/>
      <c r="F2753" s="14"/>
      <c r="G2753" s="8"/>
      <c r="H2753" s="7"/>
      <c r="K2753" s="1">
        <v>7</v>
      </c>
      <c r="L2753" s="1">
        <v>7</v>
      </c>
      <c r="M2753" s="1">
        <v>7</v>
      </c>
      <c r="N2753" s="1">
        <v>7</v>
      </c>
      <c r="O2753" s="1">
        <v>7</v>
      </c>
      <c r="P2753" s="1">
        <v>7</v>
      </c>
      <c r="T2753" s="9"/>
      <c r="U2753" s="1">
        <f t="shared" si="4566"/>
        <v>63</v>
      </c>
      <c r="V2753" s="1">
        <f t="shared" si="4567"/>
        <v>224</v>
      </c>
    </row>
    <row r="2754" spans="1:22" x14ac:dyDescent="0.3">
      <c r="A2754" s="1">
        <f t="shared" si="4587"/>
        <v>63225</v>
      </c>
      <c r="B2754" s="4"/>
      <c r="C2754" s="4"/>
      <c r="D2754" s="4"/>
      <c r="E2754" s="4"/>
      <c r="F2754" s="14"/>
      <c r="G2754" s="8"/>
      <c r="H2754" s="7"/>
      <c r="J2754" s="24" t="str">
        <f t="shared" ref="J2754" si="4646">CONCATENATE(K2753,1)</f>
        <v>71</v>
      </c>
      <c r="K2754" s="6" t="e">
        <f t="array" ref="K2754:P2756">LINEST(B2746:B2752,C2746:C2752^{1,2,3,4,5},TRUE,TRUE)</f>
        <v>#VALUE!</v>
      </c>
      <c r="L2754" s="6" t="e">
        <v>#VALUE!</v>
      </c>
      <c r="M2754" s="6" t="e">
        <v>#VALUE!</v>
      </c>
      <c r="N2754" s="6" t="e">
        <v>#VALUE!</v>
      </c>
      <c r="O2754" s="6" t="e">
        <v>#VALUE!</v>
      </c>
      <c r="P2754" s="6" t="e">
        <v>#VALUE!</v>
      </c>
      <c r="T2754" s="9"/>
      <c r="U2754" s="1">
        <f t="shared" si="4566"/>
        <v>63</v>
      </c>
      <c r="V2754" s="1">
        <f t="shared" si="4567"/>
        <v>225</v>
      </c>
    </row>
    <row r="2755" spans="1:22" x14ac:dyDescent="0.3">
      <c r="A2755" s="1">
        <f t="shared" si="4587"/>
        <v>63226</v>
      </c>
      <c r="B2755" s="4"/>
      <c r="C2755" s="4"/>
      <c r="D2755" s="4"/>
      <c r="E2755" s="4"/>
      <c r="F2755" s="14"/>
      <c r="G2755" s="8"/>
      <c r="H2755" s="7"/>
      <c r="J2755" s="24" t="str">
        <f t="shared" ref="J2755" si="4647">CONCATENATE(K2753,2)</f>
        <v>72</v>
      </c>
      <c r="K2755" s="6" t="e">
        <v>#VALUE!</v>
      </c>
      <c r="L2755" s="6" t="e">
        <v>#VALUE!</v>
      </c>
      <c r="M2755" s="6" t="e">
        <v>#VALUE!</v>
      </c>
      <c r="N2755" s="6" t="e">
        <v>#VALUE!</v>
      </c>
      <c r="O2755" s="6" t="e">
        <v>#VALUE!</v>
      </c>
      <c r="P2755" s="6" t="e">
        <v>#VALUE!</v>
      </c>
      <c r="T2755" s="9"/>
      <c r="U2755" s="1">
        <f t="shared" si="4566"/>
        <v>63</v>
      </c>
      <c r="V2755" s="1">
        <f t="shared" si="4567"/>
        <v>226</v>
      </c>
    </row>
    <row r="2756" spans="1:22" x14ac:dyDescent="0.3">
      <c r="A2756" s="1">
        <f t="shared" si="4587"/>
        <v>63227</v>
      </c>
      <c r="B2756" s="9"/>
      <c r="C2756" s="9"/>
      <c r="D2756" s="9"/>
      <c r="E2756" s="9"/>
      <c r="F2756" s="9"/>
      <c r="G2756" s="9"/>
      <c r="H2756" s="9"/>
      <c r="J2756" s="24" t="str">
        <f t="shared" ref="J2756" si="4648">CONCATENATE(K2753,3)</f>
        <v>73</v>
      </c>
      <c r="K2756" s="6" t="e">
        <v>#VALUE!</v>
      </c>
      <c r="L2756" s="6" t="e">
        <v>#VALUE!</v>
      </c>
      <c r="M2756" s="6" t="e">
        <v>#VALUE!</v>
      </c>
      <c r="N2756" s="6" t="e">
        <v>#VALUE!</v>
      </c>
      <c r="O2756" s="6" t="e">
        <v>#VALUE!</v>
      </c>
      <c r="P2756" s="6" t="e">
        <v>#VALUE!</v>
      </c>
      <c r="T2756" s="9"/>
      <c r="U2756" s="1">
        <f t="shared" si="4566"/>
        <v>63</v>
      </c>
      <c r="V2756" s="1">
        <f t="shared" si="4567"/>
        <v>227</v>
      </c>
    </row>
    <row r="2757" spans="1:22" x14ac:dyDescent="0.3">
      <c r="A2757" s="1">
        <f t="shared" si="4587"/>
        <v>63228</v>
      </c>
      <c r="B2757" s="87" t="s">
        <v>33</v>
      </c>
      <c r="C2757" s="88"/>
      <c r="D2757" s="88"/>
      <c r="E2757" s="88"/>
      <c r="F2757" s="88"/>
      <c r="G2757" s="88"/>
      <c r="H2757" s="89"/>
      <c r="K2757" s="1">
        <v>8</v>
      </c>
      <c r="L2757" s="1">
        <v>8</v>
      </c>
      <c r="M2757" s="1">
        <v>8</v>
      </c>
      <c r="N2757" s="1">
        <v>8</v>
      </c>
      <c r="O2757" s="1">
        <v>8</v>
      </c>
      <c r="P2757" s="1">
        <v>8</v>
      </c>
      <c r="Q2757" s="1">
        <v>8</v>
      </c>
      <c r="T2757" s="9"/>
      <c r="U2757" s="1">
        <f t="shared" si="4566"/>
        <v>63</v>
      </c>
      <c r="V2757" s="1">
        <f t="shared" si="4567"/>
        <v>228</v>
      </c>
    </row>
    <row r="2758" spans="1:22" x14ac:dyDescent="0.3">
      <c r="A2758" s="1">
        <f t="shared" si="4587"/>
        <v>63229</v>
      </c>
      <c r="B2758" s="90"/>
      <c r="C2758" s="91"/>
      <c r="D2758" s="91"/>
      <c r="E2758" s="91"/>
      <c r="F2758" s="91"/>
      <c r="G2758" s="91"/>
      <c r="H2758" s="92"/>
      <c r="J2758" s="24" t="str">
        <f t="shared" ref="J2758" si="4649">CONCATENATE(K2757,1)</f>
        <v>81</v>
      </c>
      <c r="K2758" s="6" t="e">
        <f t="array" ref="K2758:Q2760">LINEST(B2746:B2753,C2746:C2753^{1,2,3,4,5,6},TRUE,TRUE)</f>
        <v>#VALUE!</v>
      </c>
      <c r="L2758" s="6" t="e">
        <v>#VALUE!</v>
      </c>
      <c r="M2758" s="6" t="e">
        <v>#VALUE!</v>
      </c>
      <c r="N2758" s="6" t="e">
        <v>#VALUE!</v>
      </c>
      <c r="O2758" s="6" t="e">
        <v>#VALUE!</v>
      </c>
      <c r="P2758" s="6" t="e">
        <v>#VALUE!</v>
      </c>
      <c r="Q2758" s="6" t="e">
        <v>#VALUE!</v>
      </c>
      <c r="T2758" s="9"/>
      <c r="U2758" s="1">
        <f t="shared" si="4566"/>
        <v>63</v>
      </c>
      <c r="V2758" s="1">
        <f t="shared" si="4567"/>
        <v>229</v>
      </c>
    </row>
    <row r="2759" spans="1:22" x14ac:dyDescent="0.3">
      <c r="A2759" s="1">
        <f t="shared" si="4587"/>
        <v>63230</v>
      </c>
      <c r="B2759" s="93"/>
      <c r="C2759" s="94"/>
      <c r="D2759" s="94"/>
      <c r="E2759" s="94"/>
      <c r="F2759" s="94"/>
      <c r="G2759" s="94"/>
      <c r="H2759" s="95"/>
      <c r="J2759" s="24" t="str">
        <f t="shared" ref="J2759" si="4650">CONCATENATE(K2757,2)</f>
        <v>82</v>
      </c>
      <c r="K2759" s="6" t="e">
        <v>#VALUE!</v>
      </c>
      <c r="L2759" s="6" t="e">
        <v>#VALUE!</v>
      </c>
      <c r="M2759" s="6" t="e">
        <v>#VALUE!</v>
      </c>
      <c r="N2759" s="6" t="e">
        <v>#VALUE!</v>
      </c>
      <c r="O2759" s="6" t="e">
        <v>#VALUE!</v>
      </c>
      <c r="P2759" s="6" t="e">
        <v>#VALUE!</v>
      </c>
      <c r="Q2759" s="6" t="e">
        <v>#VALUE!</v>
      </c>
      <c r="T2759" s="9"/>
      <c r="U2759" s="1">
        <f t="shared" si="4566"/>
        <v>63</v>
      </c>
      <c r="V2759" s="1">
        <f t="shared" si="4567"/>
        <v>230</v>
      </c>
    </row>
    <row r="2760" spans="1:22" x14ac:dyDescent="0.3">
      <c r="A2760" s="1">
        <f t="shared" si="4587"/>
        <v>63231</v>
      </c>
      <c r="J2760" s="24" t="str">
        <f t="shared" ref="J2760" si="4651">CONCATENATE(K2757,3)</f>
        <v>83</v>
      </c>
      <c r="K2760" s="6" t="e">
        <v>#VALUE!</v>
      </c>
      <c r="L2760" s="6" t="e">
        <v>#VALUE!</v>
      </c>
      <c r="M2760" s="6" t="e">
        <v>#VALUE!</v>
      </c>
      <c r="N2760" s="6" t="e">
        <v>#VALUE!</v>
      </c>
      <c r="O2760" s="6" t="e">
        <v>#VALUE!</v>
      </c>
      <c r="P2760" s="6" t="e">
        <v>#VALUE!</v>
      </c>
      <c r="Q2760" s="6" t="e">
        <v>#VALUE!</v>
      </c>
      <c r="T2760" s="9"/>
      <c r="U2760" s="1">
        <f t="shared" si="4566"/>
        <v>63</v>
      </c>
      <c r="V2760" s="1">
        <f t="shared" si="4567"/>
        <v>231</v>
      </c>
    </row>
    <row r="2761" spans="1:22" ht="15" customHeight="1" x14ac:dyDescent="0.3">
      <c r="A2761" s="1">
        <f t="shared" si="4587"/>
        <v>63232</v>
      </c>
      <c r="B2761" s="10" t="s">
        <v>34</v>
      </c>
      <c r="C2761" s="10" t="s">
        <v>35</v>
      </c>
      <c r="D2761" s="10" t="s">
        <v>36</v>
      </c>
      <c r="E2761" s="74" t="s">
        <v>37</v>
      </c>
      <c r="F2761" s="75"/>
      <c r="G2761" s="76"/>
      <c r="K2761" s="1">
        <v>9</v>
      </c>
      <c r="L2761" s="1">
        <v>9</v>
      </c>
      <c r="M2761" s="1">
        <v>9</v>
      </c>
      <c r="N2761" s="1">
        <v>9</v>
      </c>
      <c r="O2761" s="1">
        <v>9</v>
      </c>
      <c r="P2761" s="1">
        <v>9</v>
      </c>
      <c r="Q2761" s="1">
        <v>9</v>
      </c>
      <c r="R2761" s="1">
        <v>9</v>
      </c>
      <c r="T2761" s="9"/>
      <c r="U2761" s="1">
        <f t="shared" si="4566"/>
        <v>63</v>
      </c>
      <c r="V2761" s="1">
        <f t="shared" si="4567"/>
        <v>232</v>
      </c>
    </row>
    <row r="2762" spans="1:22" x14ac:dyDescent="0.3">
      <c r="A2762" s="1">
        <f t="shared" si="4587"/>
        <v>63233</v>
      </c>
      <c r="B2762" s="12">
        <f t="shared" ref="B2762:B2771" si="4652">C2746-B2746</f>
        <v>6</v>
      </c>
      <c r="C2762" s="13">
        <f t="shared" ref="C2762:C2771" si="4653">H2746-G2746</f>
        <v>2</v>
      </c>
      <c r="D2762" s="10">
        <f t="shared" ref="D2762:D2771" si="4654">C2762-B2762</f>
        <v>-4</v>
      </c>
      <c r="E2762" s="11">
        <f t="shared" ref="E2762" si="4655">IF(D2737="","",MAX(F2762,G2762))</f>
        <v>5</v>
      </c>
      <c r="F2762" s="10">
        <f t="shared" ref="F2762" si="4656">ABS(MIN(D2762:D2771))</f>
        <v>5</v>
      </c>
      <c r="G2762" s="10">
        <f t="shared" ref="G2762" si="4657">ABS(MAX(D2762:D2771))</f>
        <v>0</v>
      </c>
      <c r="J2762" s="24" t="str">
        <f t="shared" ref="J2762" si="4658">CONCATENATE(K2761,1)</f>
        <v>91</v>
      </c>
      <c r="K2762" s="6" t="e">
        <f t="array" ref="K2762:R2764">LINEST(B2746:B2754,C2746:C2754^{1,2,3,4,5,6,7},TRUE,TRUE)</f>
        <v>#VALUE!</v>
      </c>
      <c r="L2762" s="6" t="e">
        <v>#VALUE!</v>
      </c>
      <c r="M2762" s="6" t="e">
        <v>#VALUE!</v>
      </c>
      <c r="N2762" s="6" t="e">
        <v>#VALUE!</v>
      </c>
      <c r="O2762" s="6" t="e">
        <v>#VALUE!</v>
      </c>
      <c r="P2762" s="6" t="e">
        <v>#VALUE!</v>
      </c>
      <c r="Q2762" s="6" t="e">
        <v>#VALUE!</v>
      </c>
      <c r="R2762" s="6" t="e">
        <v>#VALUE!</v>
      </c>
      <c r="T2762" s="9"/>
      <c r="U2762" s="1">
        <f t="shared" si="4566"/>
        <v>63</v>
      </c>
      <c r="V2762" s="1">
        <f t="shared" si="4567"/>
        <v>233</v>
      </c>
    </row>
    <row r="2763" spans="1:22" x14ac:dyDescent="0.3">
      <c r="A2763" s="1">
        <f t="shared" si="4587"/>
        <v>63234</v>
      </c>
      <c r="B2763" s="12">
        <f t="shared" si="4652"/>
        <v>3</v>
      </c>
      <c r="C2763" s="13">
        <f t="shared" si="4653"/>
        <v>3</v>
      </c>
      <c r="D2763" s="10">
        <f t="shared" si="4654"/>
        <v>0</v>
      </c>
      <c r="E2763" s="74" t="s">
        <v>38</v>
      </c>
      <c r="F2763" s="75"/>
      <c r="G2763" s="76"/>
      <c r="J2763" s="24" t="str">
        <f t="shared" ref="J2763" si="4659">CONCATENATE(K2761,2)</f>
        <v>92</v>
      </c>
      <c r="K2763" s="6" t="e">
        <v>#VALUE!</v>
      </c>
      <c r="L2763" s="6" t="e">
        <v>#VALUE!</v>
      </c>
      <c r="M2763" s="6" t="e">
        <v>#VALUE!</v>
      </c>
      <c r="N2763" s="6" t="e">
        <v>#VALUE!</v>
      </c>
      <c r="O2763" s="6" t="e">
        <v>#VALUE!</v>
      </c>
      <c r="P2763" s="6" t="e">
        <v>#VALUE!</v>
      </c>
      <c r="Q2763" s="6" t="e">
        <v>#VALUE!</v>
      </c>
      <c r="R2763" s="6" t="e">
        <v>#VALUE!</v>
      </c>
      <c r="T2763" s="9"/>
      <c r="U2763" s="1">
        <f t="shared" si="4566"/>
        <v>63</v>
      </c>
      <c r="V2763" s="1">
        <f t="shared" si="4567"/>
        <v>234</v>
      </c>
    </row>
    <row r="2764" spans="1:22" x14ac:dyDescent="0.3">
      <c r="A2764" s="1">
        <f t="shared" si="4587"/>
        <v>63235</v>
      </c>
      <c r="B2764" s="12">
        <f t="shared" si="4652"/>
        <v>1</v>
      </c>
      <c r="C2764" s="13">
        <f t="shared" si="4653"/>
        <v>-4</v>
      </c>
      <c r="D2764" s="10">
        <f t="shared" si="4654"/>
        <v>-5</v>
      </c>
      <c r="E2764" s="11">
        <f t="shared" ref="E2764" si="4660">IF(D2737="","",MAX(F2764,G2764))</f>
        <v>6</v>
      </c>
      <c r="F2764" s="10">
        <f t="shared" ref="F2764" si="4661">ABS(MIN(B2762:B2771))</f>
        <v>0</v>
      </c>
      <c r="G2764" s="10">
        <f t="shared" ref="G2764" si="4662">ABS(MAX(B2762:B2771))</f>
        <v>6</v>
      </c>
      <c r="J2764" s="24" t="str">
        <f t="shared" ref="J2764" si="4663">CONCATENATE(K2761,3)</f>
        <v>93</v>
      </c>
      <c r="K2764" s="6" t="e">
        <v>#VALUE!</v>
      </c>
      <c r="L2764" s="6" t="e">
        <v>#VALUE!</v>
      </c>
      <c r="M2764" s="6" t="e">
        <v>#VALUE!</v>
      </c>
      <c r="N2764" s="6" t="e">
        <v>#VALUE!</v>
      </c>
      <c r="O2764" s="6" t="e">
        <v>#VALUE!</v>
      </c>
      <c r="P2764" s="6" t="e">
        <v>#VALUE!</v>
      </c>
      <c r="Q2764" s="6" t="e">
        <v>#VALUE!</v>
      </c>
      <c r="R2764" s="6" t="e">
        <v>#VALUE!</v>
      </c>
      <c r="T2764" s="9"/>
      <c r="U2764" s="1">
        <f t="shared" si="4566"/>
        <v>63</v>
      </c>
      <c r="V2764" s="1">
        <f t="shared" si="4567"/>
        <v>235</v>
      </c>
    </row>
    <row r="2765" spans="1:22" x14ac:dyDescent="0.3">
      <c r="A2765" s="1">
        <f t="shared" si="4587"/>
        <v>63236</v>
      </c>
      <c r="B2765" s="12">
        <f t="shared" si="4652"/>
        <v>0</v>
      </c>
      <c r="C2765" s="13">
        <f t="shared" si="4653"/>
        <v>-5</v>
      </c>
      <c r="D2765" s="10">
        <f t="shared" si="4654"/>
        <v>-5</v>
      </c>
      <c r="E2765" s="74" t="s">
        <v>39</v>
      </c>
      <c r="F2765" s="75"/>
      <c r="G2765" s="76"/>
      <c r="K2765" s="1">
        <v>10</v>
      </c>
      <c r="L2765" s="1">
        <v>10</v>
      </c>
      <c r="M2765" s="1">
        <v>10</v>
      </c>
      <c r="N2765" s="1">
        <v>10</v>
      </c>
      <c r="O2765" s="1">
        <v>10</v>
      </c>
      <c r="P2765" s="1">
        <v>10</v>
      </c>
      <c r="Q2765" s="1">
        <v>10</v>
      </c>
      <c r="R2765" s="1">
        <v>10</v>
      </c>
      <c r="S2765" s="1">
        <v>10</v>
      </c>
      <c r="T2765" s="9"/>
      <c r="U2765" s="1">
        <f t="shared" si="4566"/>
        <v>63</v>
      </c>
      <c r="V2765" s="1">
        <f t="shared" si="4567"/>
        <v>236</v>
      </c>
    </row>
    <row r="2766" spans="1:22" x14ac:dyDescent="0.3">
      <c r="A2766" s="1">
        <f t="shared" si="4587"/>
        <v>63237</v>
      </c>
      <c r="B2766" s="12">
        <f t="shared" si="4652"/>
        <v>0</v>
      </c>
      <c r="C2766" s="13">
        <f t="shared" si="4653"/>
        <v>0</v>
      </c>
      <c r="D2766" s="10">
        <f t="shared" si="4654"/>
        <v>0</v>
      </c>
      <c r="E2766" s="11">
        <f t="shared" ref="E2766" si="4664">IF(D2737="","",MAX(F2766,G2766))</f>
        <v>2</v>
      </c>
      <c r="F2766" s="10">
        <f t="shared" ref="F2766" si="4665">ABS(MIN(D2746:D2755))</f>
        <v>1</v>
      </c>
      <c r="G2766" s="10">
        <f t="shared" ref="G2766" si="4666">ABS(MAX(D2746:D2755))</f>
        <v>2</v>
      </c>
      <c r="J2766" s="24" t="str">
        <f t="shared" ref="J2766" si="4667">CONCATENATE(K2765,1)</f>
        <v>101</v>
      </c>
      <c r="K2766" s="6" t="e">
        <f t="array" ref="K2766:S2768">LINEST(B2746:B2755,C2746:C2755^{1,2,3,4,5,6,7,8},TRUE,TRUE)</f>
        <v>#VALUE!</v>
      </c>
      <c r="L2766" s="6" t="e">
        <v>#VALUE!</v>
      </c>
      <c r="M2766" s="6" t="e">
        <v>#VALUE!</v>
      </c>
      <c r="N2766" s="6" t="e">
        <v>#VALUE!</v>
      </c>
      <c r="O2766" s="6" t="e">
        <v>#VALUE!</v>
      </c>
      <c r="P2766" s="6" t="e">
        <v>#VALUE!</v>
      </c>
      <c r="Q2766" s="6" t="e">
        <v>#VALUE!</v>
      </c>
      <c r="R2766" s="6" t="e">
        <v>#VALUE!</v>
      </c>
      <c r="S2766" s="6" t="e">
        <v>#VALUE!</v>
      </c>
      <c r="T2766" s="9"/>
      <c r="U2766" s="1">
        <f t="shared" si="4566"/>
        <v>63</v>
      </c>
      <c r="V2766" s="1">
        <f t="shared" si="4567"/>
        <v>237</v>
      </c>
    </row>
    <row r="2767" spans="1:22" x14ac:dyDescent="0.3">
      <c r="A2767" s="1">
        <f t="shared" si="4587"/>
        <v>63238</v>
      </c>
      <c r="B2767" s="12">
        <f t="shared" si="4652"/>
        <v>0</v>
      </c>
      <c r="C2767" s="13">
        <f t="shared" si="4653"/>
        <v>0</v>
      </c>
      <c r="D2767" s="10">
        <f t="shared" si="4654"/>
        <v>0</v>
      </c>
      <c r="J2767" s="24" t="str">
        <f t="shared" ref="J2767" si="4668">CONCATENATE(K2765,2)</f>
        <v>102</v>
      </c>
      <c r="K2767" s="6" t="e">
        <v>#VALUE!</v>
      </c>
      <c r="L2767" s="6" t="e">
        <v>#VALUE!</v>
      </c>
      <c r="M2767" s="6" t="e">
        <v>#VALUE!</v>
      </c>
      <c r="N2767" s="6" t="e">
        <v>#VALUE!</v>
      </c>
      <c r="O2767" s="6" t="e">
        <v>#VALUE!</v>
      </c>
      <c r="P2767" s="6" t="e">
        <v>#VALUE!</v>
      </c>
      <c r="Q2767" s="6" t="e">
        <v>#VALUE!</v>
      </c>
      <c r="R2767" s="6" t="e">
        <v>#VALUE!</v>
      </c>
      <c r="S2767" s="6" t="e">
        <v>#VALUE!</v>
      </c>
      <c r="T2767" s="9"/>
      <c r="U2767" s="1">
        <f t="shared" si="4566"/>
        <v>63</v>
      </c>
      <c r="V2767" s="1">
        <f t="shared" si="4567"/>
        <v>238</v>
      </c>
    </row>
    <row r="2768" spans="1:22" x14ac:dyDescent="0.3">
      <c r="A2768" s="1">
        <f t="shared" si="4587"/>
        <v>63239</v>
      </c>
      <c r="B2768" s="12">
        <f t="shared" si="4652"/>
        <v>0</v>
      </c>
      <c r="C2768" s="13">
        <f t="shared" si="4653"/>
        <v>0</v>
      </c>
      <c r="D2768" s="10">
        <f t="shared" si="4654"/>
        <v>0</v>
      </c>
      <c r="J2768" s="24" t="str">
        <f t="shared" ref="J2768" si="4669">CONCATENATE(K2765,3)</f>
        <v>103</v>
      </c>
      <c r="K2768" s="6" t="e">
        <v>#VALUE!</v>
      </c>
      <c r="L2768" s="6" t="e">
        <v>#VALUE!</v>
      </c>
      <c r="M2768" s="6" t="e">
        <v>#VALUE!</v>
      </c>
      <c r="N2768" s="6" t="e">
        <v>#VALUE!</v>
      </c>
      <c r="O2768" s="6" t="e">
        <v>#VALUE!</v>
      </c>
      <c r="P2768" s="6" t="e">
        <v>#VALUE!</v>
      </c>
      <c r="Q2768" s="6" t="e">
        <v>#VALUE!</v>
      </c>
      <c r="R2768" s="6" t="e">
        <v>#VALUE!</v>
      </c>
      <c r="S2768" s="6" t="e">
        <v>#VALUE!</v>
      </c>
      <c r="T2768" s="9"/>
      <c r="U2768" s="1">
        <f t="shared" si="4566"/>
        <v>63</v>
      </c>
      <c r="V2768" s="1">
        <f t="shared" si="4567"/>
        <v>239</v>
      </c>
    </row>
    <row r="2769" spans="1:22" x14ac:dyDescent="0.3">
      <c r="A2769" s="1">
        <f t="shared" si="4587"/>
        <v>63240</v>
      </c>
      <c r="B2769" s="12">
        <f t="shared" si="4652"/>
        <v>0</v>
      </c>
      <c r="C2769" s="13">
        <f t="shared" si="4653"/>
        <v>0</v>
      </c>
      <c r="D2769" s="10">
        <f t="shared" si="4654"/>
        <v>0</v>
      </c>
      <c r="J2769" s="9"/>
      <c r="K2769" s="9"/>
      <c r="L2769" s="9"/>
      <c r="M2769" s="9"/>
      <c r="N2769" s="9"/>
      <c r="O2769" s="9"/>
      <c r="P2769" s="9"/>
      <c r="Q2769" s="9"/>
      <c r="R2769" s="9"/>
      <c r="S2769" s="9"/>
      <c r="T2769" s="9"/>
      <c r="U2769" s="1">
        <f t="shared" si="4566"/>
        <v>63</v>
      </c>
      <c r="V2769" s="1">
        <f t="shared" si="4567"/>
        <v>240</v>
      </c>
    </row>
    <row r="2770" spans="1:22" x14ac:dyDescent="0.3">
      <c r="A2770" s="1">
        <f t="shared" si="4587"/>
        <v>63241</v>
      </c>
      <c r="B2770" s="12">
        <f t="shared" si="4652"/>
        <v>0</v>
      </c>
      <c r="C2770" s="13">
        <f t="shared" si="4653"/>
        <v>0</v>
      </c>
      <c r="D2770" s="10">
        <f t="shared" si="4654"/>
        <v>0</v>
      </c>
      <c r="J2770" s="9"/>
      <c r="K2770" s="9"/>
      <c r="L2770" s="9"/>
      <c r="M2770" s="9"/>
      <c r="N2770" s="9"/>
      <c r="O2770" s="9"/>
      <c r="P2770" s="9"/>
      <c r="Q2770" s="9"/>
      <c r="R2770" s="9"/>
      <c r="S2770" s="9"/>
      <c r="T2770" s="9"/>
      <c r="U2770" s="1">
        <f t="shared" si="4566"/>
        <v>63</v>
      </c>
      <c r="V2770" s="1">
        <f t="shared" si="4567"/>
        <v>241</v>
      </c>
    </row>
    <row r="2771" spans="1:22" x14ac:dyDescent="0.3">
      <c r="A2771" s="1">
        <f t="shared" si="4587"/>
        <v>63242</v>
      </c>
      <c r="B2771" s="12">
        <f t="shared" si="4652"/>
        <v>0</v>
      </c>
      <c r="C2771" s="13">
        <f t="shared" si="4653"/>
        <v>0</v>
      </c>
      <c r="D2771" s="10">
        <f t="shared" si="4654"/>
        <v>0</v>
      </c>
      <c r="J2771" s="9"/>
      <c r="K2771" s="9"/>
      <c r="L2771" s="9"/>
      <c r="M2771" s="9"/>
      <c r="N2771" s="9"/>
      <c r="O2771" s="9"/>
      <c r="P2771" s="9"/>
      <c r="Q2771" s="9"/>
      <c r="R2771" s="9"/>
      <c r="S2771" s="9"/>
      <c r="T2771" s="9"/>
      <c r="U2771" s="1">
        <f t="shared" si="4566"/>
        <v>63</v>
      </c>
      <c r="V2771" s="1">
        <f t="shared" si="4567"/>
        <v>242</v>
      </c>
    </row>
    <row r="2772" spans="1:22" x14ac:dyDescent="0.3">
      <c r="A2772" s="1">
        <f t="shared" si="4587"/>
        <v>63243</v>
      </c>
      <c r="J2772" s="9"/>
      <c r="K2772" s="9"/>
      <c r="L2772" s="9"/>
      <c r="M2772" s="9"/>
      <c r="N2772" s="9"/>
      <c r="O2772" s="9"/>
      <c r="P2772" s="9"/>
      <c r="Q2772" s="9"/>
      <c r="R2772" s="9"/>
      <c r="S2772" s="9"/>
      <c r="T2772" s="9"/>
      <c r="U2772" s="1">
        <f t="shared" si="4566"/>
        <v>63</v>
      </c>
      <c r="V2772" s="1">
        <f t="shared" si="4567"/>
        <v>243</v>
      </c>
    </row>
    <row r="2773" spans="1:22" s="5" customFormat="1" x14ac:dyDescent="0.3"/>
    <row r="2774" spans="1:22" x14ac:dyDescent="0.3">
      <c r="A2774" s="1">
        <f t="shared" ref="A2774:A2816" si="4670">ROUND(CONCATENATE(U2774,V2774),0)</f>
        <v>64201</v>
      </c>
      <c r="B2774" s="96" t="s">
        <v>0</v>
      </c>
      <c r="C2774" s="97"/>
      <c r="D2774" s="110" t="s">
        <v>46</v>
      </c>
      <c r="E2774" s="111"/>
      <c r="F2774" s="111"/>
      <c r="G2774" s="111"/>
      <c r="H2774" s="112"/>
      <c r="J2774" s="9"/>
      <c r="K2774" s="9"/>
      <c r="L2774" s="9"/>
      <c r="M2774" s="9"/>
      <c r="N2774" s="9"/>
      <c r="O2774" s="9"/>
      <c r="P2774" s="9"/>
      <c r="Q2774" s="9"/>
      <c r="R2774" s="9"/>
      <c r="S2774" s="9"/>
      <c r="T2774" s="9"/>
      <c r="U2774" s="1">
        <f t="shared" ref="U2774" si="4671">U2772+1</f>
        <v>64</v>
      </c>
      <c r="V2774" s="1">
        <v>201</v>
      </c>
    </row>
    <row r="2775" spans="1:22" x14ac:dyDescent="0.3">
      <c r="A2775" s="1">
        <f t="shared" si="4670"/>
        <v>64202</v>
      </c>
      <c r="B2775" s="96" t="s">
        <v>1</v>
      </c>
      <c r="C2775" s="97"/>
      <c r="D2775" s="15">
        <v>20</v>
      </c>
      <c r="E2775" s="16" t="s">
        <v>2</v>
      </c>
      <c r="F2775" s="107"/>
      <c r="G2775" s="108"/>
      <c r="H2775" s="109"/>
      <c r="J2775" s="9"/>
      <c r="K2775" s="9"/>
      <c r="L2775" s="9"/>
      <c r="M2775" s="9"/>
      <c r="N2775" s="9"/>
      <c r="O2775" s="9"/>
      <c r="P2775" s="9"/>
      <c r="Q2775" s="9"/>
      <c r="R2775" s="9"/>
      <c r="S2775" s="9"/>
      <c r="T2775" s="9"/>
      <c r="U2775" s="1">
        <f t="shared" ref="U2775" si="4672">U2774</f>
        <v>64</v>
      </c>
      <c r="V2775" s="1">
        <f t="shared" ref="V2775" si="4673">V2774+1</f>
        <v>202</v>
      </c>
    </row>
    <row r="2776" spans="1:22" x14ac:dyDescent="0.3">
      <c r="A2776" s="1">
        <f t="shared" si="4670"/>
        <v>64203</v>
      </c>
      <c r="B2776" s="96" t="s">
        <v>12</v>
      </c>
      <c r="C2776" s="97"/>
      <c r="D2776" s="110" t="s">
        <v>254</v>
      </c>
      <c r="E2776" s="111"/>
      <c r="F2776" s="111"/>
      <c r="G2776" s="111"/>
      <c r="H2776" s="112"/>
      <c r="K2776" s="1" t="s">
        <v>3</v>
      </c>
      <c r="L2776" s="1" t="s">
        <v>4</v>
      </c>
      <c r="M2776" s="1" t="s">
        <v>5</v>
      </c>
      <c r="N2776" s="1" t="s">
        <v>6</v>
      </c>
      <c r="O2776" s="1" t="s">
        <v>7</v>
      </c>
      <c r="P2776" s="1" t="s">
        <v>8</v>
      </c>
      <c r="Q2776" s="1" t="s">
        <v>9</v>
      </c>
      <c r="R2776" s="1" t="s">
        <v>10</v>
      </c>
      <c r="S2776" s="1" t="s">
        <v>11</v>
      </c>
      <c r="T2776" s="9"/>
      <c r="U2776" s="1">
        <f t="shared" si="4566"/>
        <v>64</v>
      </c>
      <c r="V2776" s="1">
        <f t="shared" si="4567"/>
        <v>203</v>
      </c>
    </row>
    <row r="2777" spans="1:22" x14ac:dyDescent="0.3">
      <c r="A2777" s="1">
        <f t="shared" si="4670"/>
        <v>64204</v>
      </c>
      <c r="B2777" s="96" t="s">
        <v>13</v>
      </c>
      <c r="C2777" s="97"/>
      <c r="D2777" s="110" t="s">
        <v>65</v>
      </c>
      <c r="E2777" s="111"/>
      <c r="F2777" s="111"/>
      <c r="G2777" s="111"/>
      <c r="H2777" s="112"/>
      <c r="J2777" s="1">
        <f t="shared" ref="J2777" si="4674">COUNTA(B2790:B2799)</f>
        <v>3</v>
      </c>
      <c r="K2777" s="1">
        <f t="shared" ref="K2777" si="4675">IF(L2777-1&lt;2,0,L2777-1)</f>
        <v>0</v>
      </c>
      <c r="L2777" s="1">
        <f t="shared" ref="L2777" si="4676">IF(M2777-1&lt;2,0,M2777-1)</f>
        <v>0</v>
      </c>
      <c r="M2777" s="1">
        <f t="shared" ref="M2777" si="4677">IF(N2777-1&lt;2,0,N2777-1)</f>
        <v>0</v>
      </c>
      <c r="N2777" s="1">
        <f t="shared" ref="N2777" si="4678">IF(O2777-1&lt;2,0,O2777-1)</f>
        <v>0</v>
      </c>
      <c r="O2777" s="1">
        <f t="shared" ref="O2777" si="4679">IF(P2777-1&lt;2,0,P2777-1)</f>
        <v>0</v>
      </c>
      <c r="P2777" s="1">
        <f t="shared" ref="P2777" si="4680">IF(Q2777-1&lt;2,0,Q2777-1)</f>
        <v>0</v>
      </c>
      <c r="Q2777" s="1">
        <f t="shared" ref="Q2777" si="4681">IF(R2777-1&lt;2,0,R2777-1)</f>
        <v>0</v>
      </c>
      <c r="R2777" s="1">
        <f t="shared" ref="R2777" si="4682">IF(S2777-1&lt;2,0,S2777-1)</f>
        <v>2</v>
      </c>
      <c r="S2777" s="1">
        <f t="shared" ref="S2777" si="4683">J2777</f>
        <v>3</v>
      </c>
      <c r="T2777" s="9"/>
      <c r="U2777" s="1">
        <f t="shared" si="4566"/>
        <v>64</v>
      </c>
      <c r="V2777" s="1">
        <f t="shared" si="4567"/>
        <v>204</v>
      </c>
    </row>
    <row r="2778" spans="1:22" x14ac:dyDescent="0.3">
      <c r="A2778" s="1">
        <f t="shared" si="4670"/>
        <v>64205</v>
      </c>
      <c r="B2778" s="96" t="s">
        <v>14</v>
      </c>
      <c r="C2778" s="97"/>
      <c r="D2778" s="110" t="s">
        <v>66</v>
      </c>
      <c r="E2778" s="111"/>
      <c r="F2778" s="111"/>
      <c r="G2778" s="111"/>
      <c r="H2778" s="112"/>
      <c r="J2778" s="24" t="str">
        <f t="shared" ref="J2778" si="4684">CONCATENATE(J2777,1)</f>
        <v>31</v>
      </c>
      <c r="K2778" s="25">
        <f t="shared" ref="K2778" si="4685">IF(K2777=0,0,VLOOKUP(J2778,J2782:S2812,K2777,FALSE))</f>
        <v>0</v>
      </c>
      <c r="L2778" s="25">
        <f t="shared" ref="L2778" si="4686">IF(L2777=0,0,VLOOKUP(J2778,J2782:S2812,L2777,FALSE))</f>
        <v>0</v>
      </c>
      <c r="M2778" s="25">
        <f t="shared" ref="M2778" si="4687">IF(M2777=0,0,VLOOKUP(J2778,J2782:S2812,M2777,FALSE))</f>
        <v>0</v>
      </c>
      <c r="N2778" s="25">
        <f t="shared" ref="N2778" si="4688">IF(N2777=0,0,VLOOKUP(J2778,J2782:S2812,N2777,FALSE))</f>
        <v>0</v>
      </c>
      <c r="O2778" s="25">
        <f t="shared" ref="O2778" si="4689">IF(O2777=0,0,VLOOKUP(J2778,J2782:S2812,O2777,FALSE))</f>
        <v>0</v>
      </c>
      <c r="P2778" s="25">
        <f t="shared" ref="P2778" si="4690">IF(P2777=0,0,VLOOKUP(J2778,J2782:S2812,P2777,FALSE))</f>
        <v>0</v>
      </c>
      <c r="Q2778" s="25">
        <f t="shared" ref="Q2778" si="4691">IF(Q2777=0,0,VLOOKUP(J2778,J2782:S2812,Q2777,FALSE))</f>
        <v>0</v>
      </c>
      <c r="R2778" s="25">
        <f t="shared" ref="R2778" si="4692">IF(R2777=0,0,VLOOKUP(J2778,J2782:S2812,R2777,FALSE))</f>
        <v>1.0856079404466503</v>
      </c>
      <c r="S2778" s="25">
        <f t="shared" ref="S2778" si="4693">IF(S2777=0,0,VLOOKUP(J2778,J2782:S2812,S2777,FALSE))</f>
        <v>-4.5657568238213528</v>
      </c>
      <c r="T2778" s="9"/>
      <c r="U2778" s="1">
        <f t="shared" si="4566"/>
        <v>64</v>
      </c>
      <c r="V2778" s="1">
        <f t="shared" si="4567"/>
        <v>205</v>
      </c>
    </row>
    <row r="2779" spans="1:22" x14ac:dyDescent="0.3">
      <c r="A2779" s="1">
        <f t="shared" si="4670"/>
        <v>64206</v>
      </c>
      <c r="B2779" s="96" t="s">
        <v>15</v>
      </c>
      <c r="C2779" s="97"/>
      <c r="D2779" s="110" t="s">
        <v>255</v>
      </c>
      <c r="E2779" s="111"/>
      <c r="F2779" s="111"/>
      <c r="G2779" s="111"/>
      <c r="H2779" s="112"/>
      <c r="J2779" s="24" t="str">
        <f t="shared" ref="J2779" si="4694">CONCATENATE(J2777,2)</f>
        <v>32</v>
      </c>
      <c r="K2779" s="6">
        <f t="shared" ref="K2779" si="4695">IF(K2777=0,0,VLOOKUP(J2779,J2782:S2812,K2777,FALSE))</f>
        <v>0</v>
      </c>
      <c r="L2779" s="6">
        <f t="shared" ref="L2779" si="4696">IF(L2777=0,0,VLOOKUP(J2779,J2782:S2812,L2777,FALSE))</f>
        <v>0</v>
      </c>
      <c r="M2779" s="6">
        <f t="shared" ref="M2779" si="4697">IF(M2777=0,0,VLOOKUP(J2779,J2782:S2812,M2777,FALSE))</f>
        <v>0</v>
      </c>
      <c r="N2779" s="6">
        <f t="shared" ref="N2779" si="4698">IF(N2777=0,0,VLOOKUP(J2779,J2782:S2812,N2777,FALSE))</f>
        <v>0</v>
      </c>
      <c r="O2779" s="6">
        <f t="shared" ref="O2779" si="4699">IF(O2777=0,0,VLOOKUP(J2779,J2782:S2812,O2777,FALSE))</f>
        <v>0</v>
      </c>
      <c r="P2779" s="6">
        <f t="shared" ref="P2779" si="4700">IF(P2777=0,0,VLOOKUP(J2779,J2782:S2812,P2777,FALSE))</f>
        <v>0</v>
      </c>
      <c r="Q2779" s="6">
        <f t="shared" ref="Q2779" si="4701">IF(Q2777=0,0,VLOOKUP(J2779,J2782:S2812,Q2777,FALSE))</f>
        <v>0</v>
      </c>
      <c r="R2779" s="6">
        <f t="shared" ref="R2779" si="4702">IF(R2777=0,0,VLOOKUP(J2779,J2782:S2812,R2777,FALSE))</f>
        <v>1.0744732056878965E-2</v>
      </c>
      <c r="S2779" s="6">
        <f t="shared" ref="S2779" si="4703">IF(S2777=0,0,VLOOKUP(J2779,J2782:S2812,S2777,FALSE))</f>
        <v>0.60806703497979808</v>
      </c>
      <c r="T2779" s="9"/>
      <c r="U2779" s="1">
        <f t="shared" ref="U2779:U2842" si="4704">U2778</f>
        <v>64</v>
      </c>
      <c r="V2779" s="1">
        <f t="shared" ref="V2779:V2842" si="4705">V2778+1</f>
        <v>206</v>
      </c>
    </row>
    <row r="2780" spans="1:22" x14ac:dyDescent="0.3">
      <c r="A2780" s="1">
        <f t="shared" si="4670"/>
        <v>64207</v>
      </c>
      <c r="B2780" s="96" t="s">
        <v>16</v>
      </c>
      <c r="C2780" s="97"/>
      <c r="D2780" s="113">
        <v>45692</v>
      </c>
      <c r="E2780" s="114"/>
      <c r="F2780" s="114"/>
      <c r="G2780" s="114"/>
      <c r="H2780" s="115"/>
      <c r="J2780" s="24" t="str">
        <f t="shared" ref="J2780" si="4706">CONCATENATE(J2777,3)</f>
        <v>33</v>
      </c>
      <c r="K2780" s="6"/>
      <c r="L2780" s="6"/>
      <c r="M2780" s="6"/>
      <c r="N2780" s="6" t="s">
        <v>43</v>
      </c>
      <c r="O2780" s="25">
        <f t="shared" ref="O2780" si="4707">J2777-2</f>
        <v>1</v>
      </c>
      <c r="P2780" s="6" t="s">
        <v>44</v>
      </c>
      <c r="Q2780" s="25">
        <f t="shared" ref="Q2780" si="4708">VLOOKUP(J2780,J2782:S2812,3,FALSE)</f>
        <v>0.35223497683817584</v>
      </c>
      <c r="R2780" s="6" t="s">
        <v>45</v>
      </c>
      <c r="S2780" s="6">
        <f t="shared" ref="S2780" si="4709">VLOOKUP(J2780,J2782:S2812,2,FALSE)</f>
        <v>0.99990205041138824</v>
      </c>
      <c r="T2780" s="9"/>
      <c r="U2780" s="1">
        <f t="shared" si="4704"/>
        <v>64</v>
      </c>
      <c r="V2780" s="1">
        <f t="shared" si="4705"/>
        <v>207</v>
      </c>
    </row>
    <row r="2781" spans="1:22" x14ac:dyDescent="0.3">
      <c r="A2781" s="1">
        <f t="shared" si="4670"/>
        <v>64208</v>
      </c>
      <c r="B2781" s="96" t="s">
        <v>17</v>
      </c>
      <c r="C2781" s="97"/>
      <c r="D2781" s="116">
        <v>46081</v>
      </c>
      <c r="E2781" s="117"/>
      <c r="F2781" s="117"/>
      <c r="G2781" s="117"/>
      <c r="H2781" s="118"/>
      <c r="K2781" s="1">
        <v>3</v>
      </c>
      <c r="L2781" s="1">
        <v>3</v>
      </c>
      <c r="Q2781" s="26"/>
      <c r="R2781" s="26"/>
      <c r="S2781" s="26"/>
      <c r="T2781" s="9"/>
      <c r="U2781" s="1">
        <f t="shared" si="4704"/>
        <v>64</v>
      </c>
      <c r="V2781" s="1">
        <f t="shared" si="4705"/>
        <v>208</v>
      </c>
    </row>
    <row r="2782" spans="1:22" x14ac:dyDescent="0.3">
      <c r="A2782" s="1">
        <f t="shared" si="4670"/>
        <v>64209</v>
      </c>
      <c r="B2782" s="77" t="s">
        <v>19</v>
      </c>
      <c r="C2782" s="78"/>
      <c r="D2782" s="17">
        <v>1</v>
      </c>
      <c r="E2782" s="79" t="s">
        <v>40</v>
      </c>
      <c r="F2782" s="80"/>
      <c r="G2782" s="81"/>
      <c r="H2782" s="18" t="s">
        <v>72</v>
      </c>
      <c r="J2782" s="24" t="str">
        <f t="shared" ref="J2782" si="4710">CONCATENATE(K2781,1)</f>
        <v>31</v>
      </c>
      <c r="K2782" s="6">
        <f t="array" ref="K2782:L2784">LINEST(B2790:B2792,C2790:C2792^{1},TRUE,TRUE)</f>
        <v>1.0856079404466503</v>
      </c>
      <c r="L2782" s="6">
        <v>-4.5657568238213528</v>
      </c>
      <c r="Q2782" s="9"/>
      <c r="R2782" s="9"/>
      <c r="S2782" s="9"/>
      <c r="T2782" s="9"/>
      <c r="U2782" s="1">
        <f t="shared" si="4704"/>
        <v>64</v>
      </c>
      <c r="V2782" s="1">
        <f t="shared" si="4705"/>
        <v>209</v>
      </c>
    </row>
    <row r="2783" spans="1:22" x14ac:dyDescent="0.3">
      <c r="A2783" s="1">
        <f t="shared" si="4670"/>
        <v>64210</v>
      </c>
      <c r="B2783" s="77" t="s">
        <v>41</v>
      </c>
      <c r="C2783" s="78"/>
      <c r="D2783" s="23">
        <f t="shared" ref="D2783" si="4711">MIN(B2790:B2799)</f>
        <v>30</v>
      </c>
      <c r="E2783" s="20" t="s">
        <v>18</v>
      </c>
      <c r="F2783" s="19">
        <f t="shared" ref="F2783" si="4712">MAX(B2790:B2799)</f>
        <v>80</v>
      </c>
      <c r="G2783" s="21" t="str">
        <f t="shared" ref="G2783" si="4713">IF(H2782="","",H2782)</f>
        <v>%ur</v>
      </c>
      <c r="H2783" s="22"/>
      <c r="J2783" s="24" t="str">
        <f t="shared" ref="J2783" si="4714">CONCATENATE(K2781,2)</f>
        <v>32</v>
      </c>
      <c r="K2783" s="6">
        <v>1.0744732056878965E-2</v>
      </c>
      <c r="L2783" s="6">
        <v>0.60806703497979808</v>
      </c>
      <c r="Q2783" s="9"/>
      <c r="R2783" s="9"/>
      <c r="S2783" s="9"/>
      <c r="T2783" s="9"/>
      <c r="U2783" s="1">
        <f t="shared" si="4704"/>
        <v>64</v>
      </c>
      <c r="V2783" s="1">
        <f t="shared" si="4705"/>
        <v>210</v>
      </c>
    </row>
    <row r="2784" spans="1:22" x14ac:dyDescent="0.3">
      <c r="A2784" s="1">
        <f t="shared" si="4670"/>
        <v>64211</v>
      </c>
      <c r="J2784" s="24" t="str">
        <f t="shared" ref="J2784" si="4715">CONCATENATE(K2781,3)</f>
        <v>33</v>
      </c>
      <c r="K2784" s="6">
        <v>0.99990205041138824</v>
      </c>
      <c r="L2784" s="6">
        <v>0.35223497683817584</v>
      </c>
      <c r="Q2784" s="9"/>
      <c r="R2784" s="9"/>
      <c r="S2784" s="9"/>
      <c r="T2784" s="9"/>
      <c r="U2784" s="1">
        <f t="shared" si="4704"/>
        <v>64</v>
      </c>
      <c r="V2784" s="1">
        <f t="shared" si="4705"/>
        <v>211</v>
      </c>
    </row>
    <row r="2785" spans="1:22" x14ac:dyDescent="0.3">
      <c r="A2785" s="1">
        <f t="shared" si="4670"/>
        <v>64212</v>
      </c>
      <c r="B2785" s="82" t="s">
        <v>20</v>
      </c>
      <c r="C2785" s="83"/>
      <c r="D2785" s="83"/>
      <c r="E2785" s="83"/>
      <c r="F2785" s="84"/>
      <c r="G2785" s="85" t="s">
        <v>31</v>
      </c>
      <c r="H2785" s="86"/>
      <c r="K2785" s="1">
        <v>4</v>
      </c>
      <c r="L2785" s="1">
        <v>4</v>
      </c>
      <c r="M2785" s="1">
        <v>4</v>
      </c>
      <c r="Q2785" s="9"/>
      <c r="R2785" s="9"/>
      <c r="S2785" s="9"/>
      <c r="T2785" s="9"/>
      <c r="U2785" s="1">
        <f t="shared" si="4704"/>
        <v>64</v>
      </c>
      <c r="V2785" s="1">
        <f t="shared" si="4705"/>
        <v>212</v>
      </c>
    </row>
    <row r="2786" spans="1:22" x14ac:dyDescent="0.3">
      <c r="A2786" s="1">
        <f t="shared" si="4670"/>
        <v>64213</v>
      </c>
      <c r="B2786" s="82" t="s">
        <v>30</v>
      </c>
      <c r="C2786" s="83"/>
      <c r="D2786" s="84"/>
      <c r="E2786" s="82" t="str">
        <f t="shared" ref="E2786" si="4716">D2779</f>
        <v>R0030/25</v>
      </c>
      <c r="F2786" s="84"/>
      <c r="G2786" s="6" t="s">
        <v>32</v>
      </c>
      <c r="H2786" s="7"/>
      <c r="J2786" s="24" t="str">
        <f t="shared" ref="J2786" si="4717">CONCATENATE(K2785,1)</f>
        <v>41</v>
      </c>
      <c r="K2786" s="6" t="e">
        <f t="array" ref="K2786:M2788">LINEST(B2790:B2793,C2790:C2793^{1,2},TRUE,TRUE)</f>
        <v>#VALUE!</v>
      </c>
      <c r="L2786" s="6" t="e">
        <v>#VALUE!</v>
      </c>
      <c r="M2786" s="6" t="e">
        <v>#VALUE!</v>
      </c>
      <c r="Q2786" s="9"/>
      <c r="R2786" s="9"/>
      <c r="S2786" s="9"/>
      <c r="T2786" s="9"/>
      <c r="U2786" s="1">
        <f t="shared" si="4704"/>
        <v>64</v>
      </c>
      <c r="V2786" s="1">
        <f t="shared" si="4705"/>
        <v>213</v>
      </c>
    </row>
    <row r="2787" spans="1:22" x14ac:dyDescent="0.3">
      <c r="A2787" s="1">
        <f t="shared" si="4670"/>
        <v>64214</v>
      </c>
      <c r="B2787" s="2" t="s">
        <v>21</v>
      </c>
      <c r="C2787" s="2" t="s">
        <v>22</v>
      </c>
      <c r="D2787" s="2" t="s">
        <v>23</v>
      </c>
      <c r="E2787" s="2"/>
      <c r="F2787" s="2" t="s">
        <v>28</v>
      </c>
      <c r="G2787" s="2" t="s">
        <v>21</v>
      </c>
      <c r="H2787" s="2" t="s">
        <v>22</v>
      </c>
      <c r="J2787" s="24" t="str">
        <f t="shared" ref="J2787" si="4718">CONCATENATE(K2785,2)</f>
        <v>42</v>
      </c>
      <c r="K2787" s="6" t="e">
        <v>#VALUE!</v>
      </c>
      <c r="L2787" s="6" t="e">
        <v>#VALUE!</v>
      </c>
      <c r="M2787" s="6" t="e">
        <v>#VALUE!</v>
      </c>
      <c r="Q2787" s="9"/>
      <c r="R2787" s="9"/>
      <c r="S2787" s="9"/>
      <c r="T2787" s="9"/>
      <c r="U2787" s="1">
        <f t="shared" si="4704"/>
        <v>64</v>
      </c>
      <c r="V2787" s="1">
        <f t="shared" si="4705"/>
        <v>214</v>
      </c>
    </row>
    <row r="2788" spans="1:22" x14ac:dyDescent="0.3">
      <c r="A2788" s="1">
        <f t="shared" si="4670"/>
        <v>64215</v>
      </c>
      <c r="B2788" s="2" t="s">
        <v>24</v>
      </c>
      <c r="C2788" s="2" t="s">
        <v>25</v>
      </c>
      <c r="D2788" s="2" t="s">
        <v>26</v>
      </c>
      <c r="E2788" s="2" t="s">
        <v>27</v>
      </c>
      <c r="F2788" s="2" t="s">
        <v>29</v>
      </c>
      <c r="G2788" s="2" t="s">
        <v>24</v>
      </c>
      <c r="H2788" s="2" t="s">
        <v>25</v>
      </c>
      <c r="J2788" s="24" t="str">
        <f t="shared" ref="J2788" si="4719">CONCATENATE(K2785,3)</f>
        <v>43</v>
      </c>
      <c r="K2788" s="6" t="e">
        <v>#VALUE!</v>
      </c>
      <c r="L2788" s="6" t="e">
        <v>#VALUE!</v>
      </c>
      <c r="M2788" s="6" t="e">
        <v>#VALUE!</v>
      </c>
      <c r="Q2788" s="9"/>
      <c r="R2788" s="9"/>
      <c r="S2788" s="9"/>
      <c r="T2788" s="9"/>
      <c r="U2788" s="1">
        <f t="shared" si="4704"/>
        <v>64</v>
      </c>
      <c r="V2788" s="1">
        <f t="shared" si="4705"/>
        <v>215</v>
      </c>
    </row>
    <row r="2789" spans="1:22" x14ac:dyDescent="0.3">
      <c r="A2789" s="1">
        <f t="shared" si="4670"/>
        <v>64216</v>
      </c>
      <c r="B2789" s="3" t="str">
        <f t="shared" ref="B2789" si="4720">H2782</f>
        <v>%ur</v>
      </c>
      <c r="C2789" s="3" t="str">
        <f t="shared" ref="C2789" si="4721">B2789</f>
        <v>%ur</v>
      </c>
      <c r="D2789" s="3" t="str">
        <f t="shared" ref="D2789" si="4722">C2789</f>
        <v>%ur</v>
      </c>
      <c r="E2789" s="3"/>
      <c r="F2789" s="3"/>
      <c r="G2789" s="3" t="str">
        <f t="shared" ref="G2789" si="4723">D2789</f>
        <v>%ur</v>
      </c>
      <c r="H2789" s="3" t="str">
        <f t="shared" ref="H2789" si="4724">G2789</f>
        <v>%ur</v>
      </c>
      <c r="K2789" s="1">
        <v>5</v>
      </c>
      <c r="L2789" s="1">
        <v>5</v>
      </c>
      <c r="M2789" s="1">
        <v>5</v>
      </c>
      <c r="N2789" s="1">
        <v>5</v>
      </c>
      <c r="Q2789" s="9"/>
      <c r="R2789" s="9"/>
      <c r="S2789" s="9"/>
      <c r="T2789" s="9"/>
      <c r="U2789" s="1">
        <f t="shared" si="4704"/>
        <v>64</v>
      </c>
      <c r="V2789" s="1">
        <f t="shared" si="4705"/>
        <v>216</v>
      </c>
    </row>
    <row r="2790" spans="1:22" x14ac:dyDescent="0.3">
      <c r="A2790" s="1">
        <f t="shared" si="4670"/>
        <v>64217</v>
      </c>
      <c r="B2790" s="4">
        <v>30</v>
      </c>
      <c r="C2790" s="4">
        <v>32</v>
      </c>
      <c r="D2790" s="4">
        <v>1</v>
      </c>
      <c r="E2790" s="4">
        <v>2</v>
      </c>
      <c r="F2790" s="14">
        <v>1000000</v>
      </c>
      <c r="G2790" s="8"/>
      <c r="H2790" s="7"/>
      <c r="J2790" s="24" t="str">
        <f t="shared" ref="J2790" si="4725">CONCATENATE(K2789,1)</f>
        <v>51</v>
      </c>
      <c r="K2790" s="6" t="e">
        <f t="array" ref="K2790:N2792">LINEST(B2790:B2794,C2790:C2794^{1,2,3},TRUE,TRUE)</f>
        <v>#VALUE!</v>
      </c>
      <c r="L2790" s="6" t="e">
        <v>#VALUE!</v>
      </c>
      <c r="M2790" s="6" t="e">
        <v>#VALUE!</v>
      </c>
      <c r="N2790" s="6" t="e">
        <v>#VALUE!</v>
      </c>
      <c r="Q2790" s="9"/>
      <c r="R2790" s="9"/>
      <c r="S2790" s="9"/>
      <c r="T2790" s="9"/>
      <c r="U2790" s="1">
        <f t="shared" si="4704"/>
        <v>64</v>
      </c>
      <c r="V2790" s="1">
        <f t="shared" si="4705"/>
        <v>217</v>
      </c>
    </row>
    <row r="2791" spans="1:22" x14ac:dyDescent="0.3">
      <c r="A2791" s="1">
        <f t="shared" si="4670"/>
        <v>64218</v>
      </c>
      <c r="B2791" s="4">
        <v>50</v>
      </c>
      <c r="C2791" s="4">
        <v>50</v>
      </c>
      <c r="D2791" s="4">
        <v>2</v>
      </c>
      <c r="E2791" s="4">
        <v>2</v>
      </c>
      <c r="F2791" s="14">
        <v>1000000</v>
      </c>
      <c r="G2791" s="8"/>
      <c r="H2791" s="7"/>
      <c r="J2791" s="24" t="str">
        <f t="shared" ref="J2791" si="4726">CONCATENATE(K2789,2)</f>
        <v>52</v>
      </c>
      <c r="K2791" s="6" t="e">
        <v>#VALUE!</v>
      </c>
      <c r="L2791" s="6" t="e">
        <v>#VALUE!</v>
      </c>
      <c r="M2791" s="6" t="e">
        <v>#VALUE!</v>
      </c>
      <c r="N2791" s="6" t="e">
        <v>#VALUE!</v>
      </c>
      <c r="T2791" s="9"/>
      <c r="U2791" s="1">
        <f t="shared" si="4704"/>
        <v>64</v>
      </c>
      <c r="V2791" s="1">
        <f t="shared" si="4705"/>
        <v>218</v>
      </c>
    </row>
    <row r="2792" spans="1:22" x14ac:dyDescent="0.3">
      <c r="A2792" s="1">
        <f t="shared" si="4670"/>
        <v>64219</v>
      </c>
      <c r="B2792" s="4">
        <v>80</v>
      </c>
      <c r="C2792" s="4">
        <v>78</v>
      </c>
      <c r="D2792" s="4">
        <v>2</v>
      </c>
      <c r="E2792" s="4">
        <v>2</v>
      </c>
      <c r="F2792" s="14">
        <v>1000000</v>
      </c>
      <c r="G2792" s="8"/>
      <c r="H2792" s="7"/>
      <c r="J2792" s="24" t="str">
        <f t="shared" ref="J2792" si="4727">CONCATENATE(K2789,3)</f>
        <v>53</v>
      </c>
      <c r="K2792" s="6" t="e">
        <v>#VALUE!</v>
      </c>
      <c r="L2792" s="6" t="e">
        <v>#VALUE!</v>
      </c>
      <c r="M2792" s="6" t="e">
        <v>#VALUE!</v>
      </c>
      <c r="N2792" s="6" t="e">
        <v>#VALUE!</v>
      </c>
      <c r="T2792" s="9"/>
      <c r="U2792" s="1">
        <f t="shared" si="4704"/>
        <v>64</v>
      </c>
      <c r="V2792" s="1">
        <f t="shared" si="4705"/>
        <v>219</v>
      </c>
    </row>
    <row r="2793" spans="1:22" x14ac:dyDescent="0.3">
      <c r="A2793" s="1">
        <f t="shared" si="4670"/>
        <v>64220</v>
      </c>
      <c r="B2793" s="4"/>
      <c r="C2793" s="4"/>
      <c r="D2793" s="4"/>
      <c r="E2793" s="4"/>
      <c r="F2793" s="14"/>
      <c r="G2793" s="8"/>
      <c r="H2793" s="7"/>
      <c r="K2793" s="1">
        <v>6</v>
      </c>
      <c r="L2793" s="1">
        <v>6</v>
      </c>
      <c r="M2793" s="1">
        <v>6</v>
      </c>
      <c r="N2793" s="1">
        <v>6</v>
      </c>
      <c r="O2793" s="1">
        <v>6</v>
      </c>
      <c r="T2793" s="9"/>
      <c r="U2793" s="1">
        <f t="shared" si="4704"/>
        <v>64</v>
      </c>
      <c r="V2793" s="1">
        <f t="shared" si="4705"/>
        <v>220</v>
      </c>
    </row>
    <row r="2794" spans="1:22" x14ac:dyDescent="0.3">
      <c r="A2794" s="1">
        <f t="shared" si="4670"/>
        <v>64221</v>
      </c>
      <c r="B2794" s="4"/>
      <c r="C2794" s="4"/>
      <c r="D2794" s="4"/>
      <c r="E2794" s="4"/>
      <c r="F2794" s="14"/>
      <c r="G2794" s="8"/>
      <c r="H2794" s="7"/>
      <c r="J2794" s="24" t="str">
        <f t="shared" ref="J2794" si="4728">CONCATENATE(K2793,1)</f>
        <v>61</v>
      </c>
      <c r="K2794" s="6" t="e">
        <f t="array" ref="K2794:O2796">LINEST(B2790:B2795,C2790:C2795^{1,2,3,4},TRUE,TRUE)</f>
        <v>#VALUE!</v>
      </c>
      <c r="L2794" s="6" t="e">
        <v>#VALUE!</v>
      </c>
      <c r="M2794" s="6" t="e">
        <v>#VALUE!</v>
      </c>
      <c r="N2794" s="6" t="e">
        <v>#VALUE!</v>
      </c>
      <c r="O2794" s="6" t="e">
        <v>#VALUE!</v>
      </c>
      <c r="T2794" s="9"/>
      <c r="U2794" s="1">
        <f t="shared" si="4704"/>
        <v>64</v>
      </c>
      <c r="V2794" s="1">
        <f t="shared" si="4705"/>
        <v>221</v>
      </c>
    </row>
    <row r="2795" spans="1:22" x14ac:dyDescent="0.3">
      <c r="A2795" s="1">
        <f t="shared" si="4670"/>
        <v>64222</v>
      </c>
      <c r="B2795" s="4"/>
      <c r="C2795" s="4"/>
      <c r="D2795" s="4"/>
      <c r="E2795" s="4"/>
      <c r="F2795" s="14"/>
      <c r="G2795" s="8"/>
      <c r="H2795" s="7"/>
      <c r="J2795" s="24" t="str">
        <f t="shared" ref="J2795" si="4729">CONCATENATE(K2793,2)</f>
        <v>62</v>
      </c>
      <c r="K2795" s="6" t="e">
        <v>#VALUE!</v>
      </c>
      <c r="L2795" s="6" t="e">
        <v>#VALUE!</v>
      </c>
      <c r="M2795" s="6" t="e">
        <v>#VALUE!</v>
      </c>
      <c r="N2795" s="6" t="e">
        <v>#VALUE!</v>
      </c>
      <c r="O2795" s="6" t="e">
        <v>#VALUE!</v>
      </c>
      <c r="T2795" s="9"/>
      <c r="U2795" s="1">
        <f t="shared" si="4704"/>
        <v>64</v>
      </c>
      <c r="V2795" s="1">
        <f t="shared" si="4705"/>
        <v>222</v>
      </c>
    </row>
    <row r="2796" spans="1:22" x14ac:dyDescent="0.3">
      <c r="A2796" s="1">
        <f t="shared" si="4670"/>
        <v>64223</v>
      </c>
      <c r="B2796" s="4"/>
      <c r="C2796" s="4"/>
      <c r="D2796" s="4"/>
      <c r="E2796" s="4"/>
      <c r="F2796" s="14"/>
      <c r="G2796" s="8"/>
      <c r="H2796" s="7"/>
      <c r="J2796" s="24" t="str">
        <f t="shared" ref="J2796" si="4730">CONCATENATE(K2793,3)</f>
        <v>63</v>
      </c>
      <c r="K2796" s="6" t="e">
        <v>#VALUE!</v>
      </c>
      <c r="L2796" s="6" t="e">
        <v>#VALUE!</v>
      </c>
      <c r="M2796" s="6" t="e">
        <v>#VALUE!</v>
      </c>
      <c r="N2796" s="6" t="e">
        <v>#VALUE!</v>
      </c>
      <c r="O2796" s="6" t="e">
        <v>#VALUE!</v>
      </c>
      <c r="T2796" s="9"/>
      <c r="U2796" s="1">
        <f t="shared" si="4704"/>
        <v>64</v>
      </c>
      <c r="V2796" s="1">
        <f t="shared" si="4705"/>
        <v>223</v>
      </c>
    </row>
    <row r="2797" spans="1:22" x14ac:dyDescent="0.3">
      <c r="A2797" s="1">
        <f t="shared" si="4670"/>
        <v>64224</v>
      </c>
      <c r="B2797" s="4"/>
      <c r="C2797" s="4"/>
      <c r="D2797" s="4"/>
      <c r="E2797" s="4"/>
      <c r="F2797" s="14"/>
      <c r="G2797" s="8"/>
      <c r="H2797" s="7"/>
      <c r="K2797" s="1">
        <v>7</v>
      </c>
      <c r="L2797" s="1">
        <v>7</v>
      </c>
      <c r="M2797" s="1">
        <v>7</v>
      </c>
      <c r="N2797" s="1">
        <v>7</v>
      </c>
      <c r="O2797" s="1">
        <v>7</v>
      </c>
      <c r="P2797" s="1">
        <v>7</v>
      </c>
      <c r="T2797" s="9"/>
      <c r="U2797" s="1">
        <f t="shared" si="4704"/>
        <v>64</v>
      </c>
      <c r="V2797" s="1">
        <f t="shared" si="4705"/>
        <v>224</v>
      </c>
    </row>
    <row r="2798" spans="1:22" x14ac:dyDescent="0.3">
      <c r="A2798" s="1">
        <f t="shared" si="4670"/>
        <v>64225</v>
      </c>
      <c r="B2798" s="4"/>
      <c r="C2798" s="4"/>
      <c r="D2798" s="4"/>
      <c r="E2798" s="4"/>
      <c r="F2798" s="14"/>
      <c r="G2798" s="8"/>
      <c r="H2798" s="7"/>
      <c r="J2798" s="24" t="str">
        <f t="shared" ref="J2798" si="4731">CONCATENATE(K2797,1)</f>
        <v>71</v>
      </c>
      <c r="K2798" s="6" t="e">
        <f t="array" ref="K2798:P2800">LINEST(B2790:B2796,C2790:C2796^{1,2,3,4,5},TRUE,TRUE)</f>
        <v>#VALUE!</v>
      </c>
      <c r="L2798" s="6" t="e">
        <v>#VALUE!</v>
      </c>
      <c r="M2798" s="6" t="e">
        <v>#VALUE!</v>
      </c>
      <c r="N2798" s="6" t="e">
        <v>#VALUE!</v>
      </c>
      <c r="O2798" s="6" t="e">
        <v>#VALUE!</v>
      </c>
      <c r="P2798" s="6" t="e">
        <v>#VALUE!</v>
      </c>
      <c r="T2798" s="9"/>
      <c r="U2798" s="1">
        <f t="shared" si="4704"/>
        <v>64</v>
      </c>
      <c r="V2798" s="1">
        <f t="shared" si="4705"/>
        <v>225</v>
      </c>
    </row>
    <row r="2799" spans="1:22" x14ac:dyDescent="0.3">
      <c r="A2799" s="1">
        <f t="shared" si="4670"/>
        <v>64226</v>
      </c>
      <c r="B2799" s="4"/>
      <c r="C2799" s="4"/>
      <c r="D2799" s="4"/>
      <c r="E2799" s="4"/>
      <c r="F2799" s="14"/>
      <c r="G2799" s="8"/>
      <c r="H2799" s="7"/>
      <c r="J2799" s="24" t="str">
        <f t="shared" ref="J2799" si="4732">CONCATENATE(K2797,2)</f>
        <v>72</v>
      </c>
      <c r="K2799" s="6" t="e">
        <v>#VALUE!</v>
      </c>
      <c r="L2799" s="6" t="e">
        <v>#VALUE!</v>
      </c>
      <c r="M2799" s="6" t="e">
        <v>#VALUE!</v>
      </c>
      <c r="N2799" s="6" t="e">
        <v>#VALUE!</v>
      </c>
      <c r="O2799" s="6" t="e">
        <v>#VALUE!</v>
      </c>
      <c r="P2799" s="6" t="e">
        <v>#VALUE!</v>
      </c>
      <c r="T2799" s="9"/>
      <c r="U2799" s="1">
        <f t="shared" si="4704"/>
        <v>64</v>
      </c>
      <c r="V2799" s="1">
        <f t="shared" si="4705"/>
        <v>226</v>
      </c>
    </row>
    <row r="2800" spans="1:22" x14ac:dyDescent="0.3">
      <c r="A2800" s="1">
        <f t="shared" si="4670"/>
        <v>64227</v>
      </c>
      <c r="B2800" s="9"/>
      <c r="C2800" s="9"/>
      <c r="D2800" s="9"/>
      <c r="E2800" s="9"/>
      <c r="F2800" s="9"/>
      <c r="G2800" s="9"/>
      <c r="H2800" s="9"/>
      <c r="J2800" s="24" t="str">
        <f t="shared" ref="J2800" si="4733">CONCATENATE(K2797,3)</f>
        <v>73</v>
      </c>
      <c r="K2800" s="6" t="e">
        <v>#VALUE!</v>
      </c>
      <c r="L2800" s="6" t="e">
        <v>#VALUE!</v>
      </c>
      <c r="M2800" s="6" t="e">
        <v>#VALUE!</v>
      </c>
      <c r="N2800" s="6" t="e">
        <v>#VALUE!</v>
      </c>
      <c r="O2800" s="6" t="e">
        <v>#VALUE!</v>
      </c>
      <c r="P2800" s="6" t="e">
        <v>#VALUE!</v>
      </c>
      <c r="T2800" s="9"/>
      <c r="U2800" s="1">
        <f t="shared" si="4704"/>
        <v>64</v>
      </c>
      <c r="V2800" s="1">
        <f t="shared" si="4705"/>
        <v>227</v>
      </c>
    </row>
    <row r="2801" spans="1:22" x14ac:dyDescent="0.3">
      <c r="A2801" s="1">
        <f t="shared" si="4670"/>
        <v>64228</v>
      </c>
      <c r="B2801" s="87" t="s">
        <v>33</v>
      </c>
      <c r="C2801" s="88"/>
      <c r="D2801" s="88"/>
      <c r="E2801" s="88"/>
      <c r="F2801" s="88"/>
      <c r="G2801" s="88"/>
      <c r="H2801" s="89"/>
      <c r="K2801" s="1">
        <v>8</v>
      </c>
      <c r="L2801" s="1">
        <v>8</v>
      </c>
      <c r="M2801" s="1">
        <v>8</v>
      </c>
      <c r="N2801" s="1">
        <v>8</v>
      </c>
      <c r="O2801" s="1">
        <v>8</v>
      </c>
      <c r="P2801" s="1">
        <v>8</v>
      </c>
      <c r="Q2801" s="1">
        <v>8</v>
      </c>
      <c r="T2801" s="9"/>
      <c r="U2801" s="1">
        <f t="shared" si="4704"/>
        <v>64</v>
      </c>
      <c r="V2801" s="1">
        <f t="shared" si="4705"/>
        <v>228</v>
      </c>
    </row>
    <row r="2802" spans="1:22" x14ac:dyDescent="0.3">
      <c r="A2802" s="1">
        <f t="shared" si="4670"/>
        <v>64229</v>
      </c>
      <c r="B2802" s="90"/>
      <c r="C2802" s="91"/>
      <c r="D2802" s="91"/>
      <c r="E2802" s="91"/>
      <c r="F2802" s="91"/>
      <c r="G2802" s="91"/>
      <c r="H2802" s="92"/>
      <c r="J2802" s="24" t="str">
        <f t="shared" ref="J2802" si="4734">CONCATENATE(K2801,1)</f>
        <v>81</v>
      </c>
      <c r="K2802" s="6" t="e">
        <f t="array" ref="K2802:Q2804">LINEST(B2790:B2797,C2790:C2797^{1,2,3,4,5,6},TRUE,TRUE)</f>
        <v>#VALUE!</v>
      </c>
      <c r="L2802" s="6" t="e">
        <v>#VALUE!</v>
      </c>
      <c r="M2802" s="6" t="e">
        <v>#VALUE!</v>
      </c>
      <c r="N2802" s="6" t="e">
        <v>#VALUE!</v>
      </c>
      <c r="O2802" s="6" t="e">
        <v>#VALUE!</v>
      </c>
      <c r="P2802" s="6" t="e">
        <v>#VALUE!</v>
      </c>
      <c r="Q2802" s="6" t="e">
        <v>#VALUE!</v>
      </c>
      <c r="T2802" s="9"/>
      <c r="U2802" s="1">
        <f t="shared" si="4704"/>
        <v>64</v>
      </c>
      <c r="V2802" s="1">
        <f t="shared" si="4705"/>
        <v>229</v>
      </c>
    </row>
    <row r="2803" spans="1:22" x14ac:dyDescent="0.3">
      <c r="A2803" s="1">
        <f t="shared" si="4670"/>
        <v>64230</v>
      </c>
      <c r="B2803" s="93"/>
      <c r="C2803" s="94"/>
      <c r="D2803" s="94"/>
      <c r="E2803" s="94"/>
      <c r="F2803" s="94"/>
      <c r="G2803" s="94"/>
      <c r="H2803" s="95"/>
      <c r="J2803" s="24" t="str">
        <f t="shared" ref="J2803" si="4735">CONCATENATE(K2801,2)</f>
        <v>82</v>
      </c>
      <c r="K2803" s="6" t="e">
        <v>#VALUE!</v>
      </c>
      <c r="L2803" s="6" t="e">
        <v>#VALUE!</v>
      </c>
      <c r="M2803" s="6" t="e">
        <v>#VALUE!</v>
      </c>
      <c r="N2803" s="6" t="e">
        <v>#VALUE!</v>
      </c>
      <c r="O2803" s="6" t="e">
        <v>#VALUE!</v>
      </c>
      <c r="P2803" s="6" t="e">
        <v>#VALUE!</v>
      </c>
      <c r="Q2803" s="6" t="e">
        <v>#VALUE!</v>
      </c>
      <c r="T2803" s="9"/>
      <c r="U2803" s="1">
        <f t="shared" si="4704"/>
        <v>64</v>
      </c>
      <c r="V2803" s="1">
        <f t="shared" si="4705"/>
        <v>230</v>
      </c>
    </row>
    <row r="2804" spans="1:22" x14ac:dyDescent="0.3">
      <c r="A2804" s="1">
        <f t="shared" si="4670"/>
        <v>64231</v>
      </c>
      <c r="J2804" s="24" t="str">
        <f t="shared" ref="J2804" si="4736">CONCATENATE(K2801,3)</f>
        <v>83</v>
      </c>
      <c r="K2804" s="6" t="e">
        <v>#VALUE!</v>
      </c>
      <c r="L2804" s="6" t="e">
        <v>#VALUE!</v>
      </c>
      <c r="M2804" s="6" t="e">
        <v>#VALUE!</v>
      </c>
      <c r="N2804" s="6" t="e">
        <v>#VALUE!</v>
      </c>
      <c r="O2804" s="6" t="e">
        <v>#VALUE!</v>
      </c>
      <c r="P2804" s="6" t="e">
        <v>#VALUE!</v>
      </c>
      <c r="Q2804" s="6" t="e">
        <v>#VALUE!</v>
      </c>
      <c r="T2804" s="9"/>
      <c r="U2804" s="1">
        <f t="shared" si="4704"/>
        <v>64</v>
      </c>
      <c r="V2804" s="1">
        <f t="shared" si="4705"/>
        <v>231</v>
      </c>
    </row>
    <row r="2805" spans="1:22" ht="15" customHeight="1" x14ac:dyDescent="0.3">
      <c r="A2805" s="1">
        <f t="shared" si="4670"/>
        <v>64232</v>
      </c>
      <c r="B2805" s="10" t="s">
        <v>34</v>
      </c>
      <c r="C2805" s="10" t="s">
        <v>35</v>
      </c>
      <c r="D2805" s="10" t="s">
        <v>36</v>
      </c>
      <c r="E2805" s="74" t="s">
        <v>37</v>
      </c>
      <c r="F2805" s="75"/>
      <c r="G2805" s="76"/>
      <c r="K2805" s="1">
        <v>9</v>
      </c>
      <c r="L2805" s="1">
        <v>9</v>
      </c>
      <c r="M2805" s="1">
        <v>9</v>
      </c>
      <c r="N2805" s="1">
        <v>9</v>
      </c>
      <c r="O2805" s="1">
        <v>9</v>
      </c>
      <c r="P2805" s="1">
        <v>9</v>
      </c>
      <c r="Q2805" s="1">
        <v>9</v>
      </c>
      <c r="R2805" s="1">
        <v>9</v>
      </c>
      <c r="T2805" s="9"/>
      <c r="U2805" s="1">
        <f t="shared" si="4704"/>
        <v>64</v>
      </c>
      <c r="V2805" s="1">
        <f t="shared" si="4705"/>
        <v>232</v>
      </c>
    </row>
    <row r="2806" spans="1:22" x14ac:dyDescent="0.3">
      <c r="A2806" s="1">
        <f t="shared" si="4670"/>
        <v>64233</v>
      </c>
      <c r="B2806" s="12">
        <f t="shared" ref="B2806:B2815" si="4737">C2790-B2790</f>
        <v>2</v>
      </c>
      <c r="C2806" s="13">
        <f t="shared" ref="C2806:C2815" si="4738">H2790-G2790</f>
        <v>0</v>
      </c>
      <c r="D2806" s="10">
        <f t="shared" ref="D2806:D2815" si="4739">C2806-B2806</f>
        <v>-2</v>
      </c>
      <c r="E2806" s="11">
        <f t="shared" ref="E2806" si="4740">IF(D2781="","",MAX(F2806,G2806))</f>
        <v>2</v>
      </c>
      <c r="F2806" s="10">
        <f t="shared" ref="F2806" si="4741">ABS(MIN(D2806:D2815))</f>
        <v>2</v>
      </c>
      <c r="G2806" s="10">
        <f t="shared" ref="G2806" si="4742">ABS(MAX(D2806:D2815))</f>
        <v>2</v>
      </c>
      <c r="J2806" s="24" t="str">
        <f t="shared" ref="J2806" si="4743">CONCATENATE(K2805,1)</f>
        <v>91</v>
      </c>
      <c r="K2806" s="6" t="e">
        <f t="array" ref="K2806:R2808">LINEST(B2790:B2798,C2790:C2798^{1,2,3,4,5,6,7},TRUE,TRUE)</f>
        <v>#VALUE!</v>
      </c>
      <c r="L2806" s="6" t="e">
        <v>#VALUE!</v>
      </c>
      <c r="M2806" s="6" t="e">
        <v>#VALUE!</v>
      </c>
      <c r="N2806" s="6" t="e">
        <v>#VALUE!</v>
      </c>
      <c r="O2806" s="6" t="e">
        <v>#VALUE!</v>
      </c>
      <c r="P2806" s="6" t="e">
        <v>#VALUE!</v>
      </c>
      <c r="Q2806" s="6" t="e">
        <v>#VALUE!</v>
      </c>
      <c r="R2806" s="6" t="e">
        <v>#VALUE!</v>
      </c>
      <c r="T2806" s="9"/>
      <c r="U2806" s="1">
        <f t="shared" si="4704"/>
        <v>64</v>
      </c>
      <c r="V2806" s="1">
        <f t="shared" si="4705"/>
        <v>233</v>
      </c>
    </row>
    <row r="2807" spans="1:22" x14ac:dyDescent="0.3">
      <c r="A2807" s="1">
        <f t="shared" si="4670"/>
        <v>64234</v>
      </c>
      <c r="B2807" s="12">
        <f t="shared" si="4737"/>
        <v>0</v>
      </c>
      <c r="C2807" s="13">
        <f t="shared" si="4738"/>
        <v>0</v>
      </c>
      <c r="D2807" s="10">
        <f t="shared" si="4739"/>
        <v>0</v>
      </c>
      <c r="E2807" s="74" t="s">
        <v>38</v>
      </c>
      <c r="F2807" s="75"/>
      <c r="G2807" s="76"/>
      <c r="J2807" s="24" t="str">
        <f t="shared" ref="J2807" si="4744">CONCATENATE(K2805,2)</f>
        <v>92</v>
      </c>
      <c r="K2807" s="6" t="e">
        <v>#VALUE!</v>
      </c>
      <c r="L2807" s="6" t="e">
        <v>#VALUE!</v>
      </c>
      <c r="M2807" s="6" t="e">
        <v>#VALUE!</v>
      </c>
      <c r="N2807" s="6" t="e">
        <v>#VALUE!</v>
      </c>
      <c r="O2807" s="6" t="e">
        <v>#VALUE!</v>
      </c>
      <c r="P2807" s="6" t="e">
        <v>#VALUE!</v>
      </c>
      <c r="Q2807" s="6" t="e">
        <v>#VALUE!</v>
      </c>
      <c r="R2807" s="6" t="e">
        <v>#VALUE!</v>
      </c>
      <c r="T2807" s="9"/>
      <c r="U2807" s="1">
        <f t="shared" si="4704"/>
        <v>64</v>
      </c>
      <c r="V2807" s="1">
        <f t="shared" si="4705"/>
        <v>234</v>
      </c>
    </row>
    <row r="2808" spans="1:22" x14ac:dyDescent="0.3">
      <c r="A2808" s="1">
        <f t="shared" si="4670"/>
        <v>64235</v>
      </c>
      <c r="B2808" s="12">
        <f t="shared" si="4737"/>
        <v>-2</v>
      </c>
      <c r="C2808" s="13">
        <f t="shared" si="4738"/>
        <v>0</v>
      </c>
      <c r="D2808" s="10">
        <f t="shared" si="4739"/>
        <v>2</v>
      </c>
      <c r="E2808" s="11">
        <f t="shared" ref="E2808" si="4745">IF(D2781="","",MAX(F2808,G2808))</f>
        <v>2</v>
      </c>
      <c r="F2808" s="10">
        <f t="shared" ref="F2808" si="4746">ABS(MIN(B2806:B2815))</f>
        <v>2</v>
      </c>
      <c r="G2808" s="10">
        <f t="shared" ref="G2808" si="4747">ABS(MAX(B2806:B2815))</f>
        <v>2</v>
      </c>
      <c r="J2808" s="24" t="str">
        <f t="shared" ref="J2808" si="4748">CONCATENATE(K2805,3)</f>
        <v>93</v>
      </c>
      <c r="K2808" s="6" t="e">
        <v>#VALUE!</v>
      </c>
      <c r="L2808" s="6" t="e">
        <v>#VALUE!</v>
      </c>
      <c r="M2808" s="6" t="e">
        <v>#VALUE!</v>
      </c>
      <c r="N2808" s="6" t="e">
        <v>#VALUE!</v>
      </c>
      <c r="O2808" s="6" t="e">
        <v>#VALUE!</v>
      </c>
      <c r="P2808" s="6" t="e">
        <v>#VALUE!</v>
      </c>
      <c r="Q2808" s="6" t="e">
        <v>#VALUE!</v>
      </c>
      <c r="R2808" s="6" t="e">
        <v>#VALUE!</v>
      </c>
      <c r="T2808" s="9"/>
      <c r="U2808" s="1">
        <f t="shared" si="4704"/>
        <v>64</v>
      </c>
      <c r="V2808" s="1">
        <f t="shared" si="4705"/>
        <v>235</v>
      </c>
    </row>
    <row r="2809" spans="1:22" x14ac:dyDescent="0.3">
      <c r="A2809" s="1">
        <f t="shared" si="4670"/>
        <v>64236</v>
      </c>
      <c r="B2809" s="12">
        <f t="shared" si="4737"/>
        <v>0</v>
      </c>
      <c r="C2809" s="13">
        <f t="shared" si="4738"/>
        <v>0</v>
      </c>
      <c r="D2809" s="10">
        <f t="shared" si="4739"/>
        <v>0</v>
      </c>
      <c r="E2809" s="74" t="s">
        <v>39</v>
      </c>
      <c r="F2809" s="75"/>
      <c r="G2809" s="76"/>
      <c r="K2809" s="1">
        <v>10</v>
      </c>
      <c r="L2809" s="1">
        <v>10</v>
      </c>
      <c r="M2809" s="1">
        <v>10</v>
      </c>
      <c r="N2809" s="1">
        <v>10</v>
      </c>
      <c r="O2809" s="1">
        <v>10</v>
      </c>
      <c r="P2809" s="1">
        <v>10</v>
      </c>
      <c r="Q2809" s="1">
        <v>10</v>
      </c>
      <c r="R2809" s="1">
        <v>10</v>
      </c>
      <c r="S2809" s="1">
        <v>10</v>
      </c>
      <c r="T2809" s="9"/>
      <c r="U2809" s="1">
        <f t="shared" si="4704"/>
        <v>64</v>
      </c>
      <c r="V2809" s="1">
        <f t="shared" si="4705"/>
        <v>236</v>
      </c>
    </row>
    <row r="2810" spans="1:22" x14ac:dyDescent="0.3">
      <c r="A2810" s="1">
        <f t="shared" si="4670"/>
        <v>64237</v>
      </c>
      <c r="B2810" s="12">
        <f t="shared" si="4737"/>
        <v>0</v>
      </c>
      <c r="C2810" s="13">
        <f t="shared" si="4738"/>
        <v>0</v>
      </c>
      <c r="D2810" s="10">
        <f t="shared" si="4739"/>
        <v>0</v>
      </c>
      <c r="E2810" s="11">
        <f t="shared" ref="E2810" si="4749">IF(D2781="","",MAX(F2810,G2810))</f>
        <v>2</v>
      </c>
      <c r="F2810" s="10">
        <f t="shared" ref="F2810" si="4750">ABS(MIN(D2790:D2799))</f>
        <v>1</v>
      </c>
      <c r="G2810" s="10">
        <f t="shared" ref="G2810" si="4751">ABS(MAX(D2790:D2799))</f>
        <v>2</v>
      </c>
      <c r="J2810" s="24" t="str">
        <f t="shared" ref="J2810" si="4752">CONCATENATE(K2809,1)</f>
        <v>101</v>
      </c>
      <c r="K2810" s="6" t="e">
        <f t="array" ref="K2810:S2812">LINEST(B2790:B2799,C2790:C2799^{1,2,3,4,5,6,7,8},TRUE,TRUE)</f>
        <v>#VALUE!</v>
      </c>
      <c r="L2810" s="6" t="e">
        <v>#VALUE!</v>
      </c>
      <c r="M2810" s="6" t="e">
        <v>#VALUE!</v>
      </c>
      <c r="N2810" s="6" t="e">
        <v>#VALUE!</v>
      </c>
      <c r="O2810" s="6" t="e">
        <v>#VALUE!</v>
      </c>
      <c r="P2810" s="6" t="e">
        <v>#VALUE!</v>
      </c>
      <c r="Q2810" s="6" t="e">
        <v>#VALUE!</v>
      </c>
      <c r="R2810" s="6" t="e">
        <v>#VALUE!</v>
      </c>
      <c r="S2810" s="6" t="e">
        <v>#VALUE!</v>
      </c>
      <c r="T2810" s="9"/>
      <c r="U2810" s="1">
        <f t="shared" si="4704"/>
        <v>64</v>
      </c>
      <c r="V2810" s="1">
        <f t="shared" si="4705"/>
        <v>237</v>
      </c>
    </row>
    <row r="2811" spans="1:22" x14ac:dyDescent="0.3">
      <c r="A2811" s="1">
        <f t="shared" si="4670"/>
        <v>64238</v>
      </c>
      <c r="B2811" s="12">
        <f t="shared" si="4737"/>
        <v>0</v>
      </c>
      <c r="C2811" s="13">
        <f t="shared" si="4738"/>
        <v>0</v>
      </c>
      <c r="D2811" s="10">
        <f t="shared" si="4739"/>
        <v>0</v>
      </c>
      <c r="J2811" s="24" t="str">
        <f t="shared" ref="J2811" si="4753">CONCATENATE(K2809,2)</f>
        <v>102</v>
      </c>
      <c r="K2811" s="6" t="e">
        <v>#VALUE!</v>
      </c>
      <c r="L2811" s="6" t="e">
        <v>#VALUE!</v>
      </c>
      <c r="M2811" s="6" t="e">
        <v>#VALUE!</v>
      </c>
      <c r="N2811" s="6" t="e">
        <v>#VALUE!</v>
      </c>
      <c r="O2811" s="6" t="e">
        <v>#VALUE!</v>
      </c>
      <c r="P2811" s="6" t="e">
        <v>#VALUE!</v>
      </c>
      <c r="Q2811" s="6" t="e">
        <v>#VALUE!</v>
      </c>
      <c r="R2811" s="6" t="e">
        <v>#VALUE!</v>
      </c>
      <c r="S2811" s="6" t="e">
        <v>#VALUE!</v>
      </c>
      <c r="T2811" s="9"/>
      <c r="U2811" s="1">
        <f t="shared" si="4704"/>
        <v>64</v>
      </c>
      <c r="V2811" s="1">
        <f t="shared" si="4705"/>
        <v>238</v>
      </c>
    </row>
    <row r="2812" spans="1:22" x14ac:dyDescent="0.3">
      <c r="A2812" s="1">
        <f t="shared" si="4670"/>
        <v>64239</v>
      </c>
      <c r="B2812" s="12">
        <f t="shared" si="4737"/>
        <v>0</v>
      </c>
      <c r="C2812" s="13">
        <f t="shared" si="4738"/>
        <v>0</v>
      </c>
      <c r="D2812" s="10">
        <f t="shared" si="4739"/>
        <v>0</v>
      </c>
      <c r="J2812" s="24" t="str">
        <f t="shared" ref="J2812" si="4754">CONCATENATE(K2809,3)</f>
        <v>103</v>
      </c>
      <c r="K2812" s="6" t="e">
        <v>#VALUE!</v>
      </c>
      <c r="L2812" s="6" t="e">
        <v>#VALUE!</v>
      </c>
      <c r="M2812" s="6" t="e">
        <v>#VALUE!</v>
      </c>
      <c r="N2812" s="6" t="e">
        <v>#VALUE!</v>
      </c>
      <c r="O2812" s="6" t="e">
        <v>#VALUE!</v>
      </c>
      <c r="P2812" s="6" t="e">
        <v>#VALUE!</v>
      </c>
      <c r="Q2812" s="6" t="e">
        <v>#VALUE!</v>
      </c>
      <c r="R2812" s="6" t="e">
        <v>#VALUE!</v>
      </c>
      <c r="S2812" s="6" t="e">
        <v>#VALUE!</v>
      </c>
      <c r="T2812" s="9"/>
      <c r="U2812" s="1">
        <f t="shared" si="4704"/>
        <v>64</v>
      </c>
      <c r="V2812" s="1">
        <f t="shared" si="4705"/>
        <v>239</v>
      </c>
    </row>
    <row r="2813" spans="1:22" x14ac:dyDescent="0.3">
      <c r="A2813" s="1">
        <f t="shared" si="4670"/>
        <v>64240</v>
      </c>
      <c r="B2813" s="12">
        <f t="shared" si="4737"/>
        <v>0</v>
      </c>
      <c r="C2813" s="13">
        <f t="shared" si="4738"/>
        <v>0</v>
      </c>
      <c r="D2813" s="10">
        <f t="shared" si="4739"/>
        <v>0</v>
      </c>
      <c r="J2813" s="9"/>
      <c r="K2813" s="9"/>
      <c r="L2813" s="9"/>
      <c r="M2813" s="9"/>
      <c r="N2813" s="9"/>
      <c r="O2813" s="9"/>
      <c r="P2813" s="9"/>
      <c r="Q2813" s="9"/>
      <c r="R2813" s="9"/>
      <c r="S2813" s="9"/>
      <c r="T2813" s="9"/>
      <c r="U2813" s="1">
        <f t="shared" si="4704"/>
        <v>64</v>
      </c>
      <c r="V2813" s="1">
        <f t="shared" si="4705"/>
        <v>240</v>
      </c>
    </row>
    <row r="2814" spans="1:22" x14ac:dyDescent="0.3">
      <c r="A2814" s="1">
        <f t="shared" si="4670"/>
        <v>64241</v>
      </c>
      <c r="B2814" s="12">
        <f t="shared" si="4737"/>
        <v>0</v>
      </c>
      <c r="C2814" s="13">
        <f t="shared" si="4738"/>
        <v>0</v>
      </c>
      <c r="D2814" s="10">
        <f t="shared" si="4739"/>
        <v>0</v>
      </c>
      <c r="J2814" s="9"/>
      <c r="K2814" s="9"/>
      <c r="L2814" s="9"/>
      <c r="M2814" s="9"/>
      <c r="N2814" s="9"/>
      <c r="O2814" s="9"/>
      <c r="P2814" s="9"/>
      <c r="Q2814" s="9"/>
      <c r="R2814" s="9"/>
      <c r="S2814" s="9"/>
      <c r="T2814" s="9"/>
      <c r="U2814" s="1">
        <f t="shared" si="4704"/>
        <v>64</v>
      </c>
      <c r="V2814" s="1">
        <f t="shared" si="4705"/>
        <v>241</v>
      </c>
    </row>
    <row r="2815" spans="1:22" x14ac:dyDescent="0.3">
      <c r="A2815" s="1">
        <f t="shared" si="4670"/>
        <v>64242</v>
      </c>
      <c r="B2815" s="12">
        <f t="shared" si="4737"/>
        <v>0</v>
      </c>
      <c r="C2815" s="13">
        <f t="shared" si="4738"/>
        <v>0</v>
      </c>
      <c r="D2815" s="10">
        <f t="shared" si="4739"/>
        <v>0</v>
      </c>
      <c r="J2815" s="9"/>
      <c r="K2815" s="9"/>
      <c r="L2815" s="9"/>
      <c r="M2815" s="9"/>
      <c r="N2815" s="9"/>
      <c r="O2815" s="9"/>
      <c r="P2815" s="9"/>
      <c r="Q2815" s="9"/>
      <c r="R2815" s="9"/>
      <c r="S2815" s="9"/>
      <c r="T2815" s="9"/>
      <c r="U2815" s="1">
        <f t="shared" si="4704"/>
        <v>64</v>
      </c>
      <c r="V2815" s="1">
        <f t="shared" si="4705"/>
        <v>242</v>
      </c>
    </row>
    <row r="2816" spans="1:22" x14ac:dyDescent="0.3">
      <c r="A2816" s="1">
        <f t="shared" si="4670"/>
        <v>64243</v>
      </c>
      <c r="J2816" s="9"/>
      <c r="K2816" s="9"/>
      <c r="L2816" s="9"/>
      <c r="M2816" s="9"/>
      <c r="N2816" s="9"/>
      <c r="O2816" s="9"/>
      <c r="P2816" s="9"/>
      <c r="Q2816" s="9"/>
      <c r="R2816" s="9"/>
      <c r="S2816" s="9"/>
      <c r="T2816" s="9"/>
      <c r="U2816" s="1">
        <f t="shared" si="4704"/>
        <v>64</v>
      </c>
      <c r="V2816" s="1">
        <f t="shared" si="4705"/>
        <v>243</v>
      </c>
    </row>
    <row r="2817" spans="1:22" s="5" customFormat="1" x14ac:dyDescent="0.3"/>
    <row r="2818" spans="1:22" x14ac:dyDescent="0.3">
      <c r="A2818" s="1">
        <f t="shared" ref="A2818:A2860" si="4755">ROUND(CONCATENATE(U2818,V2818),0)</f>
        <v>65201</v>
      </c>
      <c r="B2818" s="96" t="s">
        <v>0</v>
      </c>
      <c r="C2818" s="97"/>
      <c r="D2818" s="110" t="s">
        <v>46</v>
      </c>
      <c r="E2818" s="111"/>
      <c r="F2818" s="111"/>
      <c r="G2818" s="111"/>
      <c r="H2818" s="112"/>
      <c r="J2818" s="9"/>
      <c r="K2818" s="9"/>
      <c r="L2818" s="9"/>
      <c r="M2818" s="9"/>
      <c r="N2818" s="9"/>
      <c r="O2818" s="9"/>
      <c r="P2818" s="9"/>
      <c r="Q2818" s="9"/>
      <c r="R2818" s="9"/>
      <c r="S2818" s="9"/>
      <c r="T2818" s="9"/>
      <c r="U2818" s="1">
        <f t="shared" ref="U2818" si="4756">U2816+1</f>
        <v>65</v>
      </c>
      <c r="V2818" s="1">
        <v>201</v>
      </c>
    </row>
    <row r="2819" spans="1:22" x14ac:dyDescent="0.3">
      <c r="A2819" s="1">
        <f t="shared" si="4755"/>
        <v>65202</v>
      </c>
      <c r="B2819" s="96" t="s">
        <v>1</v>
      </c>
      <c r="C2819" s="97"/>
      <c r="D2819" s="15">
        <v>20</v>
      </c>
      <c r="E2819" s="16" t="s">
        <v>2</v>
      </c>
      <c r="F2819" s="107"/>
      <c r="G2819" s="108"/>
      <c r="H2819" s="109"/>
      <c r="J2819" s="9"/>
      <c r="K2819" s="9"/>
      <c r="L2819" s="9"/>
      <c r="M2819" s="9"/>
      <c r="N2819" s="9"/>
      <c r="O2819" s="9"/>
      <c r="P2819" s="9"/>
      <c r="Q2819" s="9"/>
      <c r="R2819" s="9"/>
      <c r="S2819" s="9"/>
      <c r="T2819" s="9"/>
      <c r="U2819" s="1">
        <f t="shared" ref="U2819" si="4757">U2818</f>
        <v>65</v>
      </c>
      <c r="V2819" s="1">
        <f t="shared" ref="V2819" si="4758">V2818+1</f>
        <v>202</v>
      </c>
    </row>
    <row r="2820" spans="1:22" x14ac:dyDescent="0.3">
      <c r="A2820" s="1">
        <f t="shared" si="4755"/>
        <v>65203</v>
      </c>
      <c r="B2820" s="96" t="s">
        <v>12</v>
      </c>
      <c r="C2820" s="97"/>
      <c r="D2820" s="110" t="s">
        <v>256</v>
      </c>
      <c r="E2820" s="111"/>
      <c r="F2820" s="111"/>
      <c r="G2820" s="111"/>
      <c r="H2820" s="112"/>
      <c r="K2820" s="1" t="s">
        <v>3</v>
      </c>
      <c r="L2820" s="1" t="s">
        <v>4</v>
      </c>
      <c r="M2820" s="1" t="s">
        <v>5</v>
      </c>
      <c r="N2820" s="1" t="s">
        <v>6</v>
      </c>
      <c r="O2820" s="1" t="s">
        <v>7</v>
      </c>
      <c r="P2820" s="1" t="s">
        <v>8</v>
      </c>
      <c r="Q2820" s="1" t="s">
        <v>9</v>
      </c>
      <c r="R2820" s="1" t="s">
        <v>10</v>
      </c>
      <c r="S2820" s="1" t="s">
        <v>11</v>
      </c>
      <c r="T2820" s="9"/>
      <c r="U2820" s="1">
        <f t="shared" si="4704"/>
        <v>65</v>
      </c>
      <c r="V2820" s="1">
        <f t="shared" si="4705"/>
        <v>203</v>
      </c>
    </row>
    <row r="2821" spans="1:22" x14ac:dyDescent="0.3">
      <c r="A2821" s="1">
        <f t="shared" si="4755"/>
        <v>65204</v>
      </c>
      <c r="B2821" s="96" t="s">
        <v>13</v>
      </c>
      <c r="C2821" s="97"/>
      <c r="D2821" s="110" t="s">
        <v>65</v>
      </c>
      <c r="E2821" s="111"/>
      <c r="F2821" s="111"/>
      <c r="G2821" s="111"/>
      <c r="H2821" s="112"/>
      <c r="J2821" s="1">
        <f t="shared" ref="J2821" si="4759">COUNTA(B2834:B2843)</f>
        <v>3</v>
      </c>
      <c r="K2821" s="1">
        <f t="shared" ref="K2821" si="4760">IF(L2821-1&lt;2,0,L2821-1)</f>
        <v>0</v>
      </c>
      <c r="L2821" s="1">
        <f t="shared" ref="L2821" si="4761">IF(M2821-1&lt;2,0,M2821-1)</f>
        <v>0</v>
      </c>
      <c r="M2821" s="1">
        <f t="shared" ref="M2821" si="4762">IF(N2821-1&lt;2,0,N2821-1)</f>
        <v>0</v>
      </c>
      <c r="N2821" s="1">
        <f t="shared" ref="N2821" si="4763">IF(O2821-1&lt;2,0,O2821-1)</f>
        <v>0</v>
      </c>
      <c r="O2821" s="1">
        <f t="shared" ref="O2821" si="4764">IF(P2821-1&lt;2,0,P2821-1)</f>
        <v>0</v>
      </c>
      <c r="P2821" s="1">
        <f t="shared" ref="P2821" si="4765">IF(Q2821-1&lt;2,0,Q2821-1)</f>
        <v>0</v>
      </c>
      <c r="Q2821" s="1">
        <f t="shared" ref="Q2821" si="4766">IF(R2821-1&lt;2,0,R2821-1)</f>
        <v>0</v>
      </c>
      <c r="R2821" s="1">
        <f t="shared" ref="R2821" si="4767">IF(S2821-1&lt;2,0,S2821-1)</f>
        <v>2</v>
      </c>
      <c r="S2821" s="1">
        <f t="shared" ref="S2821" si="4768">J2821</f>
        <v>3</v>
      </c>
      <c r="T2821" s="9"/>
      <c r="U2821" s="1">
        <f t="shared" si="4704"/>
        <v>65</v>
      </c>
      <c r="V2821" s="1">
        <f t="shared" si="4705"/>
        <v>204</v>
      </c>
    </row>
    <row r="2822" spans="1:22" x14ac:dyDescent="0.3">
      <c r="A2822" s="1">
        <f t="shared" si="4755"/>
        <v>65205</v>
      </c>
      <c r="B2822" s="96" t="s">
        <v>14</v>
      </c>
      <c r="C2822" s="97"/>
      <c r="D2822" s="110" t="s">
        <v>66</v>
      </c>
      <c r="E2822" s="111"/>
      <c r="F2822" s="111"/>
      <c r="G2822" s="111"/>
      <c r="H2822" s="112"/>
      <c r="J2822" s="24" t="str">
        <f t="shared" ref="J2822" si="4769">CONCATENATE(J2821,1)</f>
        <v>31</v>
      </c>
      <c r="K2822" s="25">
        <f t="shared" ref="K2822" si="4770">IF(K2821=0,0,VLOOKUP(J2822,J2826:S2856,K2821,FALSE))</f>
        <v>0</v>
      </c>
      <c r="L2822" s="25">
        <f t="shared" ref="L2822" si="4771">IF(L2821=0,0,VLOOKUP(J2822,J2826:S2856,L2821,FALSE))</f>
        <v>0</v>
      </c>
      <c r="M2822" s="25">
        <f t="shared" ref="M2822" si="4772">IF(M2821=0,0,VLOOKUP(J2822,J2826:S2856,M2821,FALSE))</f>
        <v>0</v>
      </c>
      <c r="N2822" s="25">
        <f t="shared" ref="N2822" si="4773">IF(N2821=0,0,VLOOKUP(J2822,J2826:S2856,N2821,FALSE))</f>
        <v>0</v>
      </c>
      <c r="O2822" s="25">
        <f t="shared" ref="O2822" si="4774">IF(O2821=0,0,VLOOKUP(J2822,J2826:S2856,O2821,FALSE))</f>
        <v>0</v>
      </c>
      <c r="P2822" s="25">
        <f t="shared" ref="P2822" si="4775">IF(P2821=0,0,VLOOKUP(J2822,J2826:S2856,P2821,FALSE))</f>
        <v>0</v>
      </c>
      <c r="Q2822" s="25">
        <f t="shared" ref="Q2822" si="4776">IF(Q2821=0,0,VLOOKUP(J2822,J2826:S2856,Q2821,FALSE))</f>
        <v>0</v>
      </c>
      <c r="R2822" s="25">
        <f t="shared" ref="R2822" si="4777">IF(R2821=0,0,VLOOKUP(J2822,J2826:S2856,R2821,FALSE))</f>
        <v>0.99686028257456805</v>
      </c>
      <c r="S2822" s="25">
        <f t="shared" ref="S2822" si="4778">IF(S2821=0,0,VLOOKUP(J2822,J2826:S2856,S2821,FALSE))</f>
        <v>-1.4939822082679086</v>
      </c>
      <c r="T2822" s="9"/>
      <c r="U2822" s="1">
        <f t="shared" si="4704"/>
        <v>65</v>
      </c>
      <c r="V2822" s="1">
        <f t="shared" si="4705"/>
        <v>205</v>
      </c>
    </row>
    <row r="2823" spans="1:22" x14ac:dyDescent="0.3">
      <c r="A2823" s="1">
        <f t="shared" si="4755"/>
        <v>65206</v>
      </c>
      <c r="B2823" s="96" t="s">
        <v>15</v>
      </c>
      <c r="C2823" s="97"/>
      <c r="D2823" s="110" t="s">
        <v>348</v>
      </c>
      <c r="E2823" s="111"/>
      <c r="F2823" s="111"/>
      <c r="G2823" s="111"/>
      <c r="H2823" s="112"/>
      <c r="J2823" s="24" t="str">
        <f t="shared" ref="J2823" si="4779">CONCATENATE(J2821,2)</f>
        <v>32</v>
      </c>
      <c r="K2823" s="6">
        <f t="shared" ref="K2823" si="4780">IF(K2821=0,0,VLOOKUP(J2823,J2826:S2856,K2821,FALSE))</f>
        <v>0</v>
      </c>
      <c r="L2823" s="6">
        <f t="shared" ref="L2823" si="4781">IF(L2821=0,0,VLOOKUP(J2823,J2826:S2856,L2821,FALSE))</f>
        <v>0</v>
      </c>
      <c r="M2823" s="6">
        <f t="shared" ref="M2823" si="4782">IF(M2821=0,0,VLOOKUP(J2823,J2826:S2856,M2821,FALSE))</f>
        <v>0</v>
      </c>
      <c r="N2823" s="6">
        <f t="shared" ref="N2823" si="4783">IF(N2821=0,0,VLOOKUP(J2823,J2826:S2856,N2821,FALSE))</f>
        <v>0</v>
      </c>
      <c r="O2823" s="6">
        <f t="shared" ref="O2823" si="4784">IF(O2821=0,0,VLOOKUP(J2823,J2826:S2856,O2821,FALSE))</f>
        <v>0</v>
      </c>
      <c r="P2823" s="6">
        <f t="shared" ref="P2823" si="4785">IF(P2821=0,0,VLOOKUP(J2823,J2826:S2856,P2821,FALSE))</f>
        <v>0</v>
      </c>
      <c r="Q2823" s="6">
        <f t="shared" ref="Q2823" si="4786">IF(Q2821=0,0,VLOOKUP(J2823,J2826:S2856,Q2821,FALSE))</f>
        <v>0</v>
      </c>
      <c r="R2823" s="6">
        <f t="shared" ref="R2823" si="4787">IF(R2821=0,0,VLOOKUP(J2823,J2826:S2856,R2821,FALSE))</f>
        <v>2.2658958759404386E-2</v>
      </c>
      <c r="S2823" s="6">
        <f t="shared" ref="S2823" si="4788">IF(S2821=0,0,VLOOKUP(J2823,J2826:S2856,S2821,FALSE))</f>
        <v>1.330848180223545</v>
      </c>
      <c r="T2823" s="9"/>
      <c r="U2823" s="1">
        <f t="shared" si="4704"/>
        <v>65</v>
      </c>
      <c r="V2823" s="1">
        <f t="shared" si="4705"/>
        <v>206</v>
      </c>
    </row>
    <row r="2824" spans="1:22" x14ac:dyDescent="0.3">
      <c r="A2824" s="1">
        <f t="shared" si="4755"/>
        <v>65207</v>
      </c>
      <c r="B2824" s="96" t="s">
        <v>16</v>
      </c>
      <c r="C2824" s="97"/>
      <c r="D2824" s="113">
        <v>46056</v>
      </c>
      <c r="E2824" s="114"/>
      <c r="F2824" s="114"/>
      <c r="G2824" s="114"/>
      <c r="H2824" s="115"/>
      <c r="J2824" s="24" t="str">
        <f t="shared" ref="J2824" si="4789">CONCATENATE(J2821,3)</f>
        <v>33</v>
      </c>
      <c r="K2824" s="6"/>
      <c r="L2824" s="6"/>
      <c r="M2824" s="6"/>
      <c r="N2824" s="6" t="s">
        <v>43</v>
      </c>
      <c r="O2824" s="25">
        <f t="shared" ref="O2824" si="4790">J2821-2</f>
        <v>1</v>
      </c>
      <c r="P2824" s="6" t="s">
        <v>44</v>
      </c>
      <c r="Q2824" s="25">
        <f t="shared" ref="Q2824" si="4791">VLOOKUP(J2824,J2826:S2856,3,FALSE)</f>
        <v>0.80876931010327979</v>
      </c>
      <c r="R2824" s="6" t="s">
        <v>45</v>
      </c>
      <c r="S2824" s="6">
        <f t="shared" ref="S2824" si="4792">VLOOKUP(J2824,J2826:S2856,2,FALSE)</f>
        <v>0.99948359910765916</v>
      </c>
      <c r="T2824" s="9"/>
      <c r="U2824" s="1">
        <f t="shared" si="4704"/>
        <v>65</v>
      </c>
      <c r="V2824" s="1">
        <f t="shared" si="4705"/>
        <v>207</v>
      </c>
    </row>
    <row r="2825" spans="1:22" x14ac:dyDescent="0.3">
      <c r="A2825" s="1">
        <f t="shared" si="4755"/>
        <v>65208</v>
      </c>
      <c r="B2825" s="96" t="s">
        <v>17</v>
      </c>
      <c r="C2825" s="97"/>
      <c r="D2825" s="116">
        <v>46446</v>
      </c>
      <c r="E2825" s="117"/>
      <c r="F2825" s="117"/>
      <c r="G2825" s="117"/>
      <c r="H2825" s="118"/>
      <c r="K2825" s="1">
        <v>3</v>
      </c>
      <c r="L2825" s="1">
        <v>3</v>
      </c>
      <c r="Q2825" s="26"/>
      <c r="R2825" s="26"/>
      <c r="S2825" s="26"/>
      <c r="T2825" s="9"/>
      <c r="U2825" s="1">
        <f t="shared" si="4704"/>
        <v>65</v>
      </c>
      <c r="V2825" s="1">
        <f t="shared" si="4705"/>
        <v>208</v>
      </c>
    </row>
    <row r="2826" spans="1:22" x14ac:dyDescent="0.3">
      <c r="A2826" s="1">
        <f t="shared" si="4755"/>
        <v>65209</v>
      </c>
      <c r="B2826" s="77" t="s">
        <v>19</v>
      </c>
      <c r="C2826" s="78"/>
      <c r="D2826" s="17">
        <v>1</v>
      </c>
      <c r="E2826" s="79" t="s">
        <v>40</v>
      </c>
      <c r="F2826" s="80"/>
      <c r="G2826" s="81"/>
      <c r="H2826" s="18" t="s">
        <v>72</v>
      </c>
      <c r="J2826" s="24" t="str">
        <f t="shared" ref="J2826" si="4793">CONCATENATE(K2825,1)</f>
        <v>31</v>
      </c>
      <c r="K2826" s="6">
        <f t="array" ref="K2826:L2828">LINEST(B2834:B2836,C2834:C2836^{1},TRUE,TRUE)</f>
        <v>0.99686028257456805</v>
      </c>
      <c r="L2826" s="6">
        <v>-1.4939822082679086</v>
      </c>
      <c r="Q2826" s="9"/>
      <c r="R2826" s="9"/>
      <c r="S2826" s="9"/>
      <c r="T2826" s="9"/>
      <c r="U2826" s="1">
        <f t="shared" si="4704"/>
        <v>65</v>
      </c>
      <c r="V2826" s="1">
        <f t="shared" si="4705"/>
        <v>209</v>
      </c>
    </row>
    <row r="2827" spans="1:22" x14ac:dyDescent="0.3">
      <c r="A2827" s="1">
        <f t="shared" si="4755"/>
        <v>65210</v>
      </c>
      <c r="B2827" s="77" t="s">
        <v>41</v>
      </c>
      <c r="C2827" s="78"/>
      <c r="D2827" s="23">
        <f t="shared" ref="D2827" si="4794">MIN(B2834:B2843)</f>
        <v>30</v>
      </c>
      <c r="E2827" s="20" t="s">
        <v>18</v>
      </c>
      <c r="F2827" s="19">
        <f t="shared" ref="F2827" si="4795">MAX(B2834:B2843)</f>
        <v>80</v>
      </c>
      <c r="G2827" s="21" t="str">
        <f t="shared" ref="G2827" si="4796">IF(H2826="","",H2826)</f>
        <v>%ur</v>
      </c>
      <c r="H2827" s="22"/>
      <c r="J2827" s="24" t="str">
        <f t="shared" ref="J2827" si="4797">CONCATENATE(K2825,2)</f>
        <v>32</v>
      </c>
      <c r="K2827" s="6">
        <v>2.2658958759404386E-2</v>
      </c>
      <c r="L2827" s="6">
        <v>1.330848180223545</v>
      </c>
      <c r="Q2827" s="9"/>
      <c r="R2827" s="9"/>
      <c r="S2827" s="9"/>
      <c r="T2827" s="9"/>
      <c r="U2827" s="1">
        <f t="shared" si="4704"/>
        <v>65</v>
      </c>
      <c r="V2827" s="1">
        <f t="shared" si="4705"/>
        <v>210</v>
      </c>
    </row>
    <row r="2828" spans="1:22" x14ac:dyDescent="0.3">
      <c r="A2828" s="1">
        <f t="shared" si="4755"/>
        <v>65211</v>
      </c>
      <c r="J2828" s="24" t="str">
        <f t="shared" ref="J2828" si="4798">CONCATENATE(K2825,3)</f>
        <v>33</v>
      </c>
      <c r="K2828" s="6">
        <v>0.99948359910765916</v>
      </c>
      <c r="L2828" s="6">
        <v>0.80876931010327979</v>
      </c>
      <c r="Q2828" s="9"/>
      <c r="R2828" s="9"/>
      <c r="S2828" s="9"/>
      <c r="T2828" s="9"/>
      <c r="U2828" s="1">
        <f t="shared" si="4704"/>
        <v>65</v>
      </c>
      <c r="V2828" s="1">
        <f t="shared" si="4705"/>
        <v>211</v>
      </c>
    </row>
    <row r="2829" spans="1:22" x14ac:dyDescent="0.3">
      <c r="A2829" s="1">
        <f t="shared" si="4755"/>
        <v>65212</v>
      </c>
      <c r="B2829" s="82" t="s">
        <v>20</v>
      </c>
      <c r="C2829" s="83"/>
      <c r="D2829" s="83"/>
      <c r="E2829" s="83"/>
      <c r="F2829" s="84"/>
      <c r="G2829" s="85" t="s">
        <v>31</v>
      </c>
      <c r="H2829" s="86"/>
      <c r="K2829" s="1">
        <v>4</v>
      </c>
      <c r="L2829" s="1">
        <v>4</v>
      </c>
      <c r="M2829" s="1">
        <v>4</v>
      </c>
      <c r="Q2829" s="9"/>
      <c r="R2829" s="9"/>
      <c r="S2829" s="9"/>
      <c r="T2829" s="9"/>
      <c r="U2829" s="1">
        <f t="shared" si="4704"/>
        <v>65</v>
      </c>
      <c r="V2829" s="1">
        <f t="shared" si="4705"/>
        <v>212</v>
      </c>
    </row>
    <row r="2830" spans="1:22" x14ac:dyDescent="0.3">
      <c r="A2830" s="1">
        <f t="shared" si="4755"/>
        <v>65213</v>
      </c>
      <c r="B2830" s="82" t="s">
        <v>30</v>
      </c>
      <c r="C2830" s="83"/>
      <c r="D2830" s="84"/>
      <c r="E2830" s="82" t="str">
        <f t="shared" ref="E2830" si="4799">D2823</f>
        <v>E0053/26</v>
      </c>
      <c r="F2830" s="84"/>
      <c r="G2830" s="6" t="s">
        <v>32</v>
      </c>
      <c r="H2830" s="7" t="s">
        <v>257</v>
      </c>
      <c r="J2830" s="24" t="str">
        <f t="shared" ref="J2830" si="4800">CONCATENATE(K2829,1)</f>
        <v>41</v>
      </c>
      <c r="K2830" s="6" t="e">
        <f t="array" ref="K2830:M2832">LINEST(B2834:B2837,C2834:C2837^{1,2},TRUE,TRUE)</f>
        <v>#VALUE!</v>
      </c>
      <c r="L2830" s="6" t="e">
        <v>#VALUE!</v>
      </c>
      <c r="M2830" s="6" t="e">
        <v>#VALUE!</v>
      </c>
      <c r="Q2830" s="9"/>
      <c r="R2830" s="9"/>
      <c r="S2830" s="9"/>
      <c r="T2830" s="9"/>
      <c r="U2830" s="1">
        <f t="shared" si="4704"/>
        <v>65</v>
      </c>
      <c r="V2830" s="1">
        <f t="shared" si="4705"/>
        <v>213</v>
      </c>
    </row>
    <row r="2831" spans="1:22" x14ac:dyDescent="0.3">
      <c r="A2831" s="1">
        <f t="shared" si="4755"/>
        <v>65214</v>
      </c>
      <c r="B2831" s="2" t="s">
        <v>21</v>
      </c>
      <c r="C2831" s="2" t="s">
        <v>22</v>
      </c>
      <c r="D2831" s="2" t="s">
        <v>23</v>
      </c>
      <c r="E2831" s="2"/>
      <c r="F2831" s="2" t="s">
        <v>28</v>
      </c>
      <c r="G2831" s="2" t="s">
        <v>21</v>
      </c>
      <c r="H2831" s="2" t="s">
        <v>22</v>
      </c>
      <c r="J2831" s="24" t="str">
        <f t="shared" ref="J2831" si="4801">CONCATENATE(K2829,2)</f>
        <v>42</v>
      </c>
      <c r="K2831" s="6" t="e">
        <v>#VALUE!</v>
      </c>
      <c r="L2831" s="6" t="e">
        <v>#VALUE!</v>
      </c>
      <c r="M2831" s="6" t="e">
        <v>#VALUE!</v>
      </c>
      <c r="Q2831" s="9"/>
      <c r="R2831" s="9"/>
      <c r="S2831" s="9"/>
      <c r="T2831" s="9"/>
      <c r="U2831" s="1">
        <f t="shared" si="4704"/>
        <v>65</v>
      </c>
      <c r="V2831" s="1">
        <f t="shared" si="4705"/>
        <v>214</v>
      </c>
    </row>
    <row r="2832" spans="1:22" x14ac:dyDescent="0.3">
      <c r="A2832" s="1">
        <f t="shared" si="4755"/>
        <v>65215</v>
      </c>
      <c r="B2832" s="2" t="s">
        <v>24</v>
      </c>
      <c r="C2832" s="2" t="s">
        <v>25</v>
      </c>
      <c r="D2832" s="2" t="s">
        <v>26</v>
      </c>
      <c r="E2832" s="2" t="s">
        <v>27</v>
      </c>
      <c r="F2832" s="2" t="s">
        <v>29</v>
      </c>
      <c r="G2832" s="2" t="s">
        <v>24</v>
      </c>
      <c r="H2832" s="2" t="s">
        <v>25</v>
      </c>
      <c r="J2832" s="24" t="str">
        <f t="shared" ref="J2832" si="4802">CONCATENATE(K2829,3)</f>
        <v>43</v>
      </c>
      <c r="K2832" s="6" t="e">
        <v>#VALUE!</v>
      </c>
      <c r="L2832" s="6" t="e">
        <v>#VALUE!</v>
      </c>
      <c r="M2832" s="6" t="e">
        <v>#VALUE!</v>
      </c>
      <c r="Q2832" s="9"/>
      <c r="R2832" s="9"/>
      <c r="S2832" s="9"/>
      <c r="T2832" s="9"/>
      <c r="U2832" s="1">
        <f t="shared" si="4704"/>
        <v>65</v>
      </c>
      <c r="V2832" s="1">
        <f t="shared" si="4705"/>
        <v>215</v>
      </c>
    </row>
    <row r="2833" spans="1:22" x14ac:dyDescent="0.3">
      <c r="A2833" s="1">
        <f t="shared" si="4755"/>
        <v>65216</v>
      </c>
      <c r="B2833" s="3" t="str">
        <f t="shared" ref="B2833" si="4803">H2826</f>
        <v>%ur</v>
      </c>
      <c r="C2833" s="3" t="str">
        <f t="shared" ref="C2833" si="4804">B2833</f>
        <v>%ur</v>
      </c>
      <c r="D2833" s="3" t="str">
        <f t="shared" ref="D2833" si="4805">C2833</f>
        <v>%ur</v>
      </c>
      <c r="E2833" s="3"/>
      <c r="F2833" s="3"/>
      <c r="G2833" s="3" t="str">
        <f t="shared" ref="G2833" si="4806">D2833</f>
        <v>%ur</v>
      </c>
      <c r="H2833" s="3" t="str">
        <f t="shared" ref="H2833" si="4807">G2833</f>
        <v>%ur</v>
      </c>
      <c r="K2833" s="1">
        <v>5</v>
      </c>
      <c r="L2833" s="1">
        <v>5</v>
      </c>
      <c r="M2833" s="1">
        <v>5</v>
      </c>
      <c r="N2833" s="1">
        <v>5</v>
      </c>
      <c r="Q2833" s="9"/>
      <c r="R2833" s="9"/>
      <c r="S2833" s="9"/>
      <c r="T2833" s="9"/>
      <c r="U2833" s="1">
        <f t="shared" si="4704"/>
        <v>65</v>
      </c>
      <c r="V2833" s="1">
        <f t="shared" si="4705"/>
        <v>216</v>
      </c>
    </row>
    <row r="2834" spans="1:22" x14ac:dyDescent="0.3">
      <c r="A2834" s="1">
        <f t="shared" si="4755"/>
        <v>65217</v>
      </c>
      <c r="B2834" s="4">
        <v>30</v>
      </c>
      <c r="C2834" s="4">
        <v>32</v>
      </c>
      <c r="D2834" s="4">
        <v>2</v>
      </c>
      <c r="E2834" s="4">
        <v>2</v>
      </c>
      <c r="F2834" s="14">
        <v>1000000</v>
      </c>
      <c r="G2834" s="8">
        <v>30</v>
      </c>
      <c r="H2834" s="7">
        <v>32</v>
      </c>
      <c r="J2834" s="24" t="str">
        <f t="shared" ref="J2834" si="4808">CONCATENATE(K2833,1)</f>
        <v>51</v>
      </c>
      <c r="K2834" s="6" t="e">
        <f t="array" ref="K2834:N2836">LINEST(B2834:B2838,C2834:C2838^{1,2,3},TRUE,TRUE)</f>
        <v>#VALUE!</v>
      </c>
      <c r="L2834" s="6" t="e">
        <v>#VALUE!</v>
      </c>
      <c r="M2834" s="6" t="e">
        <v>#VALUE!</v>
      </c>
      <c r="N2834" s="6" t="e">
        <v>#VALUE!</v>
      </c>
      <c r="Q2834" s="9"/>
      <c r="R2834" s="9"/>
      <c r="S2834" s="9"/>
      <c r="T2834" s="9"/>
      <c r="U2834" s="1">
        <f t="shared" si="4704"/>
        <v>65</v>
      </c>
      <c r="V2834" s="1">
        <f t="shared" si="4705"/>
        <v>217</v>
      </c>
    </row>
    <row r="2835" spans="1:22" x14ac:dyDescent="0.3">
      <c r="A2835" s="1">
        <f t="shared" si="4755"/>
        <v>65218</v>
      </c>
      <c r="B2835" s="4">
        <v>50</v>
      </c>
      <c r="C2835" s="4">
        <v>51</v>
      </c>
      <c r="D2835" s="4">
        <v>2</v>
      </c>
      <c r="E2835" s="4">
        <v>2</v>
      </c>
      <c r="F2835" s="14">
        <v>1000000</v>
      </c>
      <c r="G2835" s="8">
        <v>50</v>
      </c>
      <c r="H2835" s="7">
        <v>49</v>
      </c>
      <c r="J2835" s="24" t="str">
        <f t="shared" ref="J2835" si="4809">CONCATENATE(K2833,2)</f>
        <v>52</v>
      </c>
      <c r="K2835" s="6" t="e">
        <v>#VALUE!</v>
      </c>
      <c r="L2835" s="6" t="e">
        <v>#VALUE!</v>
      </c>
      <c r="M2835" s="6" t="e">
        <v>#VALUE!</v>
      </c>
      <c r="N2835" s="6" t="e">
        <v>#VALUE!</v>
      </c>
      <c r="T2835" s="9"/>
      <c r="U2835" s="1">
        <f t="shared" si="4704"/>
        <v>65</v>
      </c>
      <c r="V2835" s="1">
        <f t="shared" si="4705"/>
        <v>218</v>
      </c>
    </row>
    <row r="2836" spans="1:22" x14ac:dyDescent="0.3">
      <c r="A2836" s="1">
        <f t="shared" si="4755"/>
        <v>65219</v>
      </c>
      <c r="B2836" s="4">
        <v>80</v>
      </c>
      <c r="C2836" s="4">
        <v>82</v>
      </c>
      <c r="D2836" s="4">
        <v>2</v>
      </c>
      <c r="E2836" s="4">
        <v>2</v>
      </c>
      <c r="F2836" s="14">
        <v>1000000</v>
      </c>
      <c r="G2836" s="8">
        <v>80</v>
      </c>
      <c r="H2836" s="7">
        <v>78</v>
      </c>
      <c r="J2836" s="24" t="str">
        <f t="shared" ref="J2836" si="4810">CONCATENATE(K2833,3)</f>
        <v>53</v>
      </c>
      <c r="K2836" s="6" t="e">
        <v>#VALUE!</v>
      </c>
      <c r="L2836" s="6" t="e">
        <v>#VALUE!</v>
      </c>
      <c r="M2836" s="6" t="e">
        <v>#VALUE!</v>
      </c>
      <c r="N2836" s="6" t="e">
        <v>#VALUE!</v>
      </c>
      <c r="T2836" s="9"/>
      <c r="U2836" s="1">
        <f t="shared" si="4704"/>
        <v>65</v>
      </c>
      <c r="V2836" s="1">
        <f t="shared" si="4705"/>
        <v>219</v>
      </c>
    </row>
    <row r="2837" spans="1:22" x14ac:dyDescent="0.3">
      <c r="A2837" s="1">
        <f t="shared" si="4755"/>
        <v>65220</v>
      </c>
      <c r="B2837" s="4"/>
      <c r="C2837" s="4"/>
      <c r="D2837" s="4"/>
      <c r="E2837" s="4"/>
      <c r="F2837" s="14"/>
      <c r="G2837" s="8"/>
      <c r="H2837" s="7"/>
      <c r="K2837" s="1">
        <v>6</v>
      </c>
      <c r="L2837" s="1">
        <v>6</v>
      </c>
      <c r="M2837" s="1">
        <v>6</v>
      </c>
      <c r="N2837" s="1">
        <v>6</v>
      </c>
      <c r="O2837" s="1">
        <v>6</v>
      </c>
      <c r="T2837" s="9"/>
      <c r="U2837" s="1">
        <f t="shared" si="4704"/>
        <v>65</v>
      </c>
      <c r="V2837" s="1">
        <f t="shared" si="4705"/>
        <v>220</v>
      </c>
    </row>
    <row r="2838" spans="1:22" x14ac:dyDescent="0.3">
      <c r="A2838" s="1">
        <f t="shared" si="4755"/>
        <v>65221</v>
      </c>
      <c r="B2838" s="4"/>
      <c r="C2838" s="4"/>
      <c r="D2838" s="4"/>
      <c r="E2838" s="4"/>
      <c r="F2838" s="14"/>
      <c r="G2838" s="8"/>
      <c r="H2838" s="7"/>
      <c r="J2838" s="24" t="str">
        <f t="shared" ref="J2838" si="4811">CONCATENATE(K2837,1)</f>
        <v>61</v>
      </c>
      <c r="K2838" s="6" t="e">
        <f t="array" ref="K2838:O2840">LINEST(B2834:B2839,C2834:C2839^{1,2,3,4},TRUE,TRUE)</f>
        <v>#VALUE!</v>
      </c>
      <c r="L2838" s="6" t="e">
        <v>#VALUE!</v>
      </c>
      <c r="M2838" s="6" t="e">
        <v>#VALUE!</v>
      </c>
      <c r="N2838" s="6" t="e">
        <v>#VALUE!</v>
      </c>
      <c r="O2838" s="6" t="e">
        <v>#VALUE!</v>
      </c>
      <c r="T2838" s="9"/>
      <c r="U2838" s="1">
        <f t="shared" si="4704"/>
        <v>65</v>
      </c>
      <c r="V2838" s="1">
        <f t="shared" si="4705"/>
        <v>221</v>
      </c>
    </row>
    <row r="2839" spans="1:22" x14ac:dyDescent="0.3">
      <c r="A2839" s="1">
        <f t="shared" si="4755"/>
        <v>65222</v>
      </c>
      <c r="B2839" s="4"/>
      <c r="C2839" s="4"/>
      <c r="D2839" s="4"/>
      <c r="E2839" s="4"/>
      <c r="F2839" s="14"/>
      <c r="G2839" s="8"/>
      <c r="H2839" s="7"/>
      <c r="J2839" s="24" t="str">
        <f t="shared" ref="J2839" si="4812">CONCATENATE(K2837,2)</f>
        <v>62</v>
      </c>
      <c r="K2839" s="6" t="e">
        <v>#VALUE!</v>
      </c>
      <c r="L2839" s="6" t="e">
        <v>#VALUE!</v>
      </c>
      <c r="M2839" s="6" t="e">
        <v>#VALUE!</v>
      </c>
      <c r="N2839" s="6" t="e">
        <v>#VALUE!</v>
      </c>
      <c r="O2839" s="6" t="e">
        <v>#VALUE!</v>
      </c>
      <c r="T2839" s="9"/>
      <c r="U2839" s="1">
        <f t="shared" si="4704"/>
        <v>65</v>
      </c>
      <c r="V2839" s="1">
        <f t="shared" si="4705"/>
        <v>222</v>
      </c>
    </row>
    <row r="2840" spans="1:22" x14ac:dyDescent="0.3">
      <c r="A2840" s="1">
        <f t="shared" si="4755"/>
        <v>65223</v>
      </c>
      <c r="B2840" s="4"/>
      <c r="C2840" s="4"/>
      <c r="D2840" s="4"/>
      <c r="E2840" s="4"/>
      <c r="F2840" s="14"/>
      <c r="G2840" s="8"/>
      <c r="H2840" s="7"/>
      <c r="J2840" s="24" t="str">
        <f t="shared" ref="J2840" si="4813">CONCATENATE(K2837,3)</f>
        <v>63</v>
      </c>
      <c r="K2840" s="6" t="e">
        <v>#VALUE!</v>
      </c>
      <c r="L2840" s="6" t="e">
        <v>#VALUE!</v>
      </c>
      <c r="M2840" s="6" t="e">
        <v>#VALUE!</v>
      </c>
      <c r="N2840" s="6" t="e">
        <v>#VALUE!</v>
      </c>
      <c r="O2840" s="6" t="e">
        <v>#VALUE!</v>
      </c>
      <c r="T2840" s="9"/>
      <c r="U2840" s="1">
        <f t="shared" si="4704"/>
        <v>65</v>
      </c>
      <c r="V2840" s="1">
        <f t="shared" si="4705"/>
        <v>223</v>
      </c>
    </row>
    <row r="2841" spans="1:22" x14ac:dyDescent="0.3">
      <c r="A2841" s="1">
        <f t="shared" si="4755"/>
        <v>65224</v>
      </c>
      <c r="B2841" s="4"/>
      <c r="C2841" s="4"/>
      <c r="D2841" s="4"/>
      <c r="E2841" s="4"/>
      <c r="F2841" s="14"/>
      <c r="G2841" s="8"/>
      <c r="H2841" s="7"/>
      <c r="K2841" s="1">
        <v>7</v>
      </c>
      <c r="L2841" s="1">
        <v>7</v>
      </c>
      <c r="M2841" s="1">
        <v>7</v>
      </c>
      <c r="N2841" s="1">
        <v>7</v>
      </c>
      <c r="O2841" s="1">
        <v>7</v>
      </c>
      <c r="P2841" s="1">
        <v>7</v>
      </c>
      <c r="T2841" s="9"/>
      <c r="U2841" s="1">
        <f t="shared" si="4704"/>
        <v>65</v>
      </c>
      <c r="V2841" s="1">
        <f t="shared" si="4705"/>
        <v>224</v>
      </c>
    </row>
    <row r="2842" spans="1:22" x14ac:dyDescent="0.3">
      <c r="A2842" s="1">
        <f t="shared" si="4755"/>
        <v>65225</v>
      </c>
      <c r="B2842" s="4"/>
      <c r="C2842" s="4"/>
      <c r="D2842" s="4"/>
      <c r="E2842" s="4"/>
      <c r="F2842" s="14"/>
      <c r="G2842" s="8"/>
      <c r="H2842" s="7"/>
      <c r="J2842" s="24" t="str">
        <f t="shared" ref="J2842" si="4814">CONCATENATE(K2841,1)</f>
        <v>71</v>
      </c>
      <c r="K2842" s="6" t="e">
        <f t="array" ref="K2842:P2844">LINEST(B2834:B2840,C2834:C2840^{1,2,3,4,5},TRUE,TRUE)</f>
        <v>#VALUE!</v>
      </c>
      <c r="L2842" s="6" t="e">
        <v>#VALUE!</v>
      </c>
      <c r="M2842" s="6" t="e">
        <v>#VALUE!</v>
      </c>
      <c r="N2842" s="6" t="e">
        <v>#VALUE!</v>
      </c>
      <c r="O2842" s="6" t="e">
        <v>#VALUE!</v>
      </c>
      <c r="P2842" s="6" t="e">
        <v>#VALUE!</v>
      </c>
      <c r="T2842" s="9"/>
      <c r="U2842" s="1">
        <f t="shared" si="4704"/>
        <v>65</v>
      </c>
      <c r="V2842" s="1">
        <f t="shared" si="4705"/>
        <v>225</v>
      </c>
    </row>
    <row r="2843" spans="1:22" x14ac:dyDescent="0.3">
      <c r="A2843" s="1">
        <f t="shared" si="4755"/>
        <v>65226</v>
      </c>
      <c r="B2843" s="4"/>
      <c r="C2843" s="4"/>
      <c r="D2843" s="4"/>
      <c r="E2843" s="4"/>
      <c r="F2843" s="14"/>
      <c r="G2843" s="8"/>
      <c r="H2843" s="7"/>
      <c r="J2843" s="24" t="str">
        <f t="shared" ref="J2843" si="4815">CONCATENATE(K2841,2)</f>
        <v>72</v>
      </c>
      <c r="K2843" s="6" t="e">
        <v>#VALUE!</v>
      </c>
      <c r="L2843" s="6" t="e">
        <v>#VALUE!</v>
      </c>
      <c r="M2843" s="6" t="e">
        <v>#VALUE!</v>
      </c>
      <c r="N2843" s="6" t="e">
        <v>#VALUE!</v>
      </c>
      <c r="O2843" s="6" t="e">
        <v>#VALUE!</v>
      </c>
      <c r="P2843" s="6" t="e">
        <v>#VALUE!</v>
      </c>
      <c r="T2843" s="9"/>
      <c r="U2843" s="1">
        <f t="shared" ref="U2843:U2904" si="4816">U2842</f>
        <v>65</v>
      </c>
      <c r="V2843" s="1">
        <f t="shared" ref="V2843:V2904" si="4817">V2842+1</f>
        <v>226</v>
      </c>
    </row>
    <row r="2844" spans="1:22" x14ac:dyDescent="0.3">
      <c r="A2844" s="1">
        <f t="shared" si="4755"/>
        <v>65227</v>
      </c>
      <c r="B2844" s="9"/>
      <c r="C2844" s="9"/>
      <c r="D2844" s="9"/>
      <c r="E2844" s="9"/>
      <c r="F2844" s="9"/>
      <c r="G2844" s="9"/>
      <c r="H2844" s="9"/>
      <c r="J2844" s="24" t="str">
        <f t="shared" ref="J2844" si="4818">CONCATENATE(K2841,3)</f>
        <v>73</v>
      </c>
      <c r="K2844" s="6" t="e">
        <v>#VALUE!</v>
      </c>
      <c r="L2844" s="6" t="e">
        <v>#VALUE!</v>
      </c>
      <c r="M2844" s="6" t="e">
        <v>#VALUE!</v>
      </c>
      <c r="N2844" s="6" t="e">
        <v>#VALUE!</v>
      </c>
      <c r="O2844" s="6" t="e">
        <v>#VALUE!</v>
      </c>
      <c r="P2844" s="6" t="e">
        <v>#VALUE!</v>
      </c>
      <c r="T2844" s="9"/>
      <c r="U2844" s="1">
        <f t="shared" si="4816"/>
        <v>65</v>
      </c>
      <c r="V2844" s="1">
        <f t="shared" si="4817"/>
        <v>227</v>
      </c>
    </row>
    <row r="2845" spans="1:22" x14ac:dyDescent="0.3">
      <c r="A2845" s="1">
        <f t="shared" si="4755"/>
        <v>65228</v>
      </c>
      <c r="B2845" s="87" t="s">
        <v>33</v>
      </c>
      <c r="C2845" s="88"/>
      <c r="D2845" s="88"/>
      <c r="E2845" s="88"/>
      <c r="F2845" s="88"/>
      <c r="G2845" s="88"/>
      <c r="H2845" s="89"/>
      <c r="K2845" s="1">
        <v>8</v>
      </c>
      <c r="L2845" s="1">
        <v>8</v>
      </c>
      <c r="M2845" s="1">
        <v>8</v>
      </c>
      <c r="N2845" s="1">
        <v>8</v>
      </c>
      <c r="O2845" s="1">
        <v>8</v>
      </c>
      <c r="P2845" s="1">
        <v>8</v>
      </c>
      <c r="Q2845" s="1">
        <v>8</v>
      </c>
      <c r="T2845" s="9"/>
      <c r="U2845" s="1">
        <f t="shared" si="4816"/>
        <v>65</v>
      </c>
      <c r="V2845" s="1">
        <f t="shared" si="4817"/>
        <v>228</v>
      </c>
    </row>
    <row r="2846" spans="1:22" x14ac:dyDescent="0.3">
      <c r="A2846" s="1">
        <f t="shared" si="4755"/>
        <v>65229</v>
      </c>
      <c r="B2846" s="90"/>
      <c r="C2846" s="91"/>
      <c r="D2846" s="91"/>
      <c r="E2846" s="91"/>
      <c r="F2846" s="91"/>
      <c r="G2846" s="91"/>
      <c r="H2846" s="92"/>
      <c r="J2846" s="24" t="str">
        <f t="shared" ref="J2846" si="4819">CONCATENATE(K2845,1)</f>
        <v>81</v>
      </c>
      <c r="K2846" s="6" t="e">
        <f t="array" ref="K2846:Q2848">LINEST(B2834:B2841,C2834:C2841^{1,2,3,4,5,6},TRUE,TRUE)</f>
        <v>#VALUE!</v>
      </c>
      <c r="L2846" s="6" t="e">
        <v>#VALUE!</v>
      </c>
      <c r="M2846" s="6" t="e">
        <v>#VALUE!</v>
      </c>
      <c r="N2846" s="6" t="e">
        <v>#VALUE!</v>
      </c>
      <c r="O2846" s="6" t="e">
        <v>#VALUE!</v>
      </c>
      <c r="P2846" s="6" t="e">
        <v>#VALUE!</v>
      </c>
      <c r="Q2846" s="6" t="e">
        <v>#VALUE!</v>
      </c>
      <c r="T2846" s="9"/>
      <c r="U2846" s="1">
        <f t="shared" si="4816"/>
        <v>65</v>
      </c>
      <c r="V2846" s="1">
        <f t="shared" si="4817"/>
        <v>229</v>
      </c>
    </row>
    <row r="2847" spans="1:22" x14ac:dyDescent="0.3">
      <c r="A2847" s="1">
        <f t="shared" si="4755"/>
        <v>65230</v>
      </c>
      <c r="B2847" s="93"/>
      <c r="C2847" s="94"/>
      <c r="D2847" s="94"/>
      <c r="E2847" s="94"/>
      <c r="F2847" s="94"/>
      <c r="G2847" s="94"/>
      <c r="H2847" s="95"/>
      <c r="J2847" s="24" t="str">
        <f t="shared" ref="J2847" si="4820">CONCATENATE(K2845,2)</f>
        <v>82</v>
      </c>
      <c r="K2847" s="6" t="e">
        <v>#VALUE!</v>
      </c>
      <c r="L2847" s="6" t="e">
        <v>#VALUE!</v>
      </c>
      <c r="M2847" s="6" t="e">
        <v>#VALUE!</v>
      </c>
      <c r="N2847" s="6" t="e">
        <v>#VALUE!</v>
      </c>
      <c r="O2847" s="6" t="e">
        <v>#VALUE!</v>
      </c>
      <c r="P2847" s="6" t="e">
        <v>#VALUE!</v>
      </c>
      <c r="Q2847" s="6" t="e">
        <v>#VALUE!</v>
      </c>
      <c r="T2847" s="9"/>
      <c r="U2847" s="1">
        <f t="shared" si="4816"/>
        <v>65</v>
      </c>
      <c r="V2847" s="1">
        <f t="shared" si="4817"/>
        <v>230</v>
      </c>
    </row>
    <row r="2848" spans="1:22" x14ac:dyDescent="0.3">
      <c r="A2848" s="1">
        <f t="shared" si="4755"/>
        <v>65231</v>
      </c>
      <c r="J2848" s="24" t="str">
        <f t="shared" ref="J2848" si="4821">CONCATENATE(K2845,3)</f>
        <v>83</v>
      </c>
      <c r="K2848" s="6" t="e">
        <v>#VALUE!</v>
      </c>
      <c r="L2848" s="6" t="e">
        <v>#VALUE!</v>
      </c>
      <c r="M2848" s="6" t="e">
        <v>#VALUE!</v>
      </c>
      <c r="N2848" s="6" t="e">
        <v>#VALUE!</v>
      </c>
      <c r="O2848" s="6" t="e">
        <v>#VALUE!</v>
      </c>
      <c r="P2848" s="6" t="e">
        <v>#VALUE!</v>
      </c>
      <c r="Q2848" s="6" t="e">
        <v>#VALUE!</v>
      </c>
      <c r="T2848" s="9"/>
      <c r="U2848" s="1">
        <f t="shared" si="4816"/>
        <v>65</v>
      </c>
      <c r="V2848" s="1">
        <f t="shared" si="4817"/>
        <v>231</v>
      </c>
    </row>
    <row r="2849" spans="1:22" ht="15" customHeight="1" x14ac:dyDescent="0.3">
      <c r="A2849" s="1">
        <f t="shared" si="4755"/>
        <v>65232</v>
      </c>
      <c r="B2849" s="10" t="s">
        <v>34</v>
      </c>
      <c r="C2849" s="10" t="s">
        <v>35</v>
      </c>
      <c r="D2849" s="10" t="s">
        <v>36</v>
      </c>
      <c r="E2849" s="74" t="s">
        <v>37</v>
      </c>
      <c r="F2849" s="75"/>
      <c r="G2849" s="76"/>
      <c r="K2849" s="1">
        <v>9</v>
      </c>
      <c r="L2849" s="1">
        <v>9</v>
      </c>
      <c r="M2849" s="1">
        <v>9</v>
      </c>
      <c r="N2849" s="1">
        <v>9</v>
      </c>
      <c r="O2849" s="1">
        <v>9</v>
      </c>
      <c r="P2849" s="1">
        <v>9</v>
      </c>
      <c r="Q2849" s="1">
        <v>9</v>
      </c>
      <c r="R2849" s="1">
        <v>9</v>
      </c>
      <c r="T2849" s="9"/>
      <c r="U2849" s="1">
        <f t="shared" si="4816"/>
        <v>65</v>
      </c>
      <c r="V2849" s="1">
        <f t="shared" si="4817"/>
        <v>232</v>
      </c>
    </row>
    <row r="2850" spans="1:22" x14ac:dyDescent="0.3">
      <c r="A2850" s="1">
        <f t="shared" si="4755"/>
        <v>65233</v>
      </c>
      <c r="B2850" s="12">
        <f t="shared" ref="B2850:B2859" si="4822">C2834-B2834</f>
        <v>2</v>
      </c>
      <c r="C2850" s="13">
        <f t="shared" ref="C2850:C2859" si="4823">H2834-G2834</f>
        <v>2</v>
      </c>
      <c r="D2850" s="10">
        <f t="shared" ref="D2850:D2859" si="4824">C2850-B2850</f>
        <v>0</v>
      </c>
      <c r="E2850" s="11">
        <f t="shared" ref="E2850" si="4825">IF(D2825="","",MAX(F2850,G2850))</f>
        <v>4</v>
      </c>
      <c r="F2850" s="10">
        <f t="shared" ref="F2850" si="4826">ABS(MIN(D2850:D2859))</f>
        <v>4</v>
      </c>
      <c r="G2850" s="10">
        <f t="shared" ref="G2850" si="4827">ABS(MAX(D2850:D2859))</f>
        <v>0</v>
      </c>
      <c r="J2850" s="24" t="str">
        <f t="shared" ref="J2850" si="4828">CONCATENATE(K2849,1)</f>
        <v>91</v>
      </c>
      <c r="K2850" s="6" t="e">
        <f t="array" ref="K2850:R2852">LINEST(B2834:B2842,C2834:C2842^{1,2,3,4,5,6,7},TRUE,TRUE)</f>
        <v>#VALUE!</v>
      </c>
      <c r="L2850" s="6" t="e">
        <v>#VALUE!</v>
      </c>
      <c r="M2850" s="6" t="e">
        <v>#VALUE!</v>
      </c>
      <c r="N2850" s="6" t="e">
        <v>#VALUE!</v>
      </c>
      <c r="O2850" s="6" t="e">
        <v>#VALUE!</v>
      </c>
      <c r="P2850" s="6" t="e">
        <v>#VALUE!</v>
      </c>
      <c r="Q2850" s="6" t="e">
        <v>#VALUE!</v>
      </c>
      <c r="R2850" s="6" t="e">
        <v>#VALUE!</v>
      </c>
      <c r="T2850" s="9"/>
      <c r="U2850" s="1">
        <f t="shared" si="4816"/>
        <v>65</v>
      </c>
      <c r="V2850" s="1">
        <f t="shared" si="4817"/>
        <v>233</v>
      </c>
    </row>
    <row r="2851" spans="1:22" x14ac:dyDescent="0.3">
      <c r="A2851" s="1">
        <f t="shared" si="4755"/>
        <v>65234</v>
      </c>
      <c r="B2851" s="12">
        <f t="shared" si="4822"/>
        <v>1</v>
      </c>
      <c r="C2851" s="13">
        <f t="shared" si="4823"/>
        <v>-1</v>
      </c>
      <c r="D2851" s="10">
        <f t="shared" si="4824"/>
        <v>-2</v>
      </c>
      <c r="E2851" s="74" t="s">
        <v>38</v>
      </c>
      <c r="F2851" s="75"/>
      <c r="G2851" s="76"/>
      <c r="J2851" s="24" t="str">
        <f t="shared" ref="J2851" si="4829">CONCATENATE(K2849,2)</f>
        <v>92</v>
      </c>
      <c r="K2851" s="6" t="e">
        <v>#VALUE!</v>
      </c>
      <c r="L2851" s="6" t="e">
        <v>#VALUE!</v>
      </c>
      <c r="M2851" s="6" t="e">
        <v>#VALUE!</v>
      </c>
      <c r="N2851" s="6" t="e">
        <v>#VALUE!</v>
      </c>
      <c r="O2851" s="6" t="e">
        <v>#VALUE!</v>
      </c>
      <c r="P2851" s="6" t="e">
        <v>#VALUE!</v>
      </c>
      <c r="Q2851" s="6" t="e">
        <v>#VALUE!</v>
      </c>
      <c r="R2851" s="6" t="e">
        <v>#VALUE!</v>
      </c>
      <c r="T2851" s="9"/>
      <c r="U2851" s="1">
        <f t="shared" si="4816"/>
        <v>65</v>
      </c>
      <c r="V2851" s="1">
        <f t="shared" si="4817"/>
        <v>234</v>
      </c>
    </row>
    <row r="2852" spans="1:22" x14ac:dyDescent="0.3">
      <c r="A2852" s="1">
        <f t="shared" si="4755"/>
        <v>65235</v>
      </c>
      <c r="B2852" s="12">
        <f t="shared" si="4822"/>
        <v>2</v>
      </c>
      <c r="C2852" s="13">
        <f t="shared" si="4823"/>
        <v>-2</v>
      </c>
      <c r="D2852" s="10">
        <f t="shared" si="4824"/>
        <v>-4</v>
      </c>
      <c r="E2852" s="11">
        <f t="shared" ref="E2852" si="4830">IF(D2825="","",MAX(F2852,G2852))</f>
        <v>2</v>
      </c>
      <c r="F2852" s="10">
        <f t="shared" ref="F2852" si="4831">ABS(MIN(B2850:B2859))</f>
        <v>0</v>
      </c>
      <c r="G2852" s="10">
        <f t="shared" ref="G2852" si="4832">ABS(MAX(B2850:B2859))</f>
        <v>2</v>
      </c>
      <c r="J2852" s="24" t="str">
        <f t="shared" ref="J2852" si="4833">CONCATENATE(K2849,3)</f>
        <v>93</v>
      </c>
      <c r="K2852" s="6" t="e">
        <v>#VALUE!</v>
      </c>
      <c r="L2852" s="6" t="e">
        <v>#VALUE!</v>
      </c>
      <c r="M2852" s="6" t="e">
        <v>#VALUE!</v>
      </c>
      <c r="N2852" s="6" t="e">
        <v>#VALUE!</v>
      </c>
      <c r="O2852" s="6" t="e">
        <v>#VALUE!</v>
      </c>
      <c r="P2852" s="6" t="e">
        <v>#VALUE!</v>
      </c>
      <c r="Q2852" s="6" t="e">
        <v>#VALUE!</v>
      </c>
      <c r="R2852" s="6" t="e">
        <v>#VALUE!</v>
      </c>
      <c r="T2852" s="9"/>
      <c r="U2852" s="1">
        <f t="shared" si="4816"/>
        <v>65</v>
      </c>
      <c r="V2852" s="1">
        <f t="shared" si="4817"/>
        <v>235</v>
      </c>
    </row>
    <row r="2853" spans="1:22" x14ac:dyDescent="0.3">
      <c r="A2853" s="1">
        <f t="shared" si="4755"/>
        <v>65236</v>
      </c>
      <c r="B2853" s="12">
        <f t="shared" si="4822"/>
        <v>0</v>
      </c>
      <c r="C2853" s="13">
        <f t="shared" si="4823"/>
        <v>0</v>
      </c>
      <c r="D2853" s="10">
        <f t="shared" si="4824"/>
        <v>0</v>
      </c>
      <c r="E2853" s="74" t="s">
        <v>39</v>
      </c>
      <c r="F2853" s="75"/>
      <c r="G2853" s="76"/>
      <c r="K2853" s="1">
        <v>10</v>
      </c>
      <c r="L2853" s="1">
        <v>10</v>
      </c>
      <c r="M2853" s="1">
        <v>10</v>
      </c>
      <c r="N2853" s="1">
        <v>10</v>
      </c>
      <c r="O2853" s="1">
        <v>10</v>
      </c>
      <c r="P2853" s="1">
        <v>10</v>
      </c>
      <c r="Q2853" s="1">
        <v>10</v>
      </c>
      <c r="R2853" s="1">
        <v>10</v>
      </c>
      <c r="S2853" s="1">
        <v>10</v>
      </c>
      <c r="T2853" s="9"/>
      <c r="U2853" s="1">
        <f t="shared" si="4816"/>
        <v>65</v>
      </c>
      <c r="V2853" s="1">
        <f t="shared" si="4817"/>
        <v>236</v>
      </c>
    </row>
    <row r="2854" spans="1:22" x14ac:dyDescent="0.3">
      <c r="A2854" s="1">
        <f t="shared" si="4755"/>
        <v>65237</v>
      </c>
      <c r="B2854" s="12">
        <f t="shared" si="4822"/>
        <v>0</v>
      </c>
      <c r="C2854" s="13">
        <f t="shared" si="4823"/>
        <v>0</v>
      </c>
      <c r="D2854" s="10">
        <f t="shared" si="4824"/>
        <v>0</v>
      </c>
      <c r="E2854" s="11">
        <f t="shared" ref="E2854" si="4834">IF(D2825="","",MAX(F2854,G2854))</f>
        <v>2</v>
      </c>
      <c r="F2854" s="10">
        <f t="shared" ref="F2854" si="4835">ABS(MIN(D2834:D2843))</f>
        <v>2</v>
      </c>
      <c r="G2854" s="10">
        <f t="shared" ref="G2854" si="4836">ABS(MAX(D2834:D2843))</f>
        <v>2</v>
      </c>
      <c r="J2854" s="24" t="str">
        <f t="shared" ref="J2854" si="4837">CONCATENATE(K2853,1)</f>
        <v>101</v>
      </c>
      <c r="K2854" s="6" t="e">
        <f t="array" ref="K2854:S2856">LINEST(B2834:B2843,C2834:C2843^{1,2,3,4,5,6,7,8},TRUE,TRUE)</f>
        <v>#VALUE!</v>
      </c>
      <c r="L2854" s="6" t="e">
        <v>#VALUE!</v>
      </c>
      <c r="M2854" s="6" t="e">
        <v>#VALUE!</v>
      </c>
      <c r="N2854" s="6" t="e">
        <v>#VALUE!</v>
      </c>
      <c r="O2854" s="6" t="e">
        <v>#VALUE!</v>
      </c>
      <c r="P2854" s="6" t="e">
        <v>#VALUE!</v>
      </c>
      <c r="Q2854" s="6" t="e">
        <v>#VALUE!</v>
      </c>
      <c r="R2854" s="6" t="e">
        <v>#VALUE!</v>
      </c>
      <c r="S2854" s="6" t="e">
        <v>#VALUE!</v>
      </c>
      <c r="T2854" s="9"/>
      <c r="U2854" s="1">
        <f t="shared" si="4816"/>
        <v>65</v>
      </c>
      <c r="V2854" s="1">
        <f t="shared" si="4817"/>
        <v>237</v>
      </c>
    </row>
    <row r="2855" spans="1:22" x14ac:dyDescent="0.3">
      <c r="A2855" s="1">
        <f t="shared" si="4755"/>
        <v>65238</v>
      </c>
      <c r="B2855" s="12">
        <f t="shared" si="4822"/>
        <v>0</v>
      </c>
      <c r="C2855" s="13">
        <f t="shared" si="4823"/>
        <v>0</v>
      </c>
      <c r="D2855" s="10">
        <f t="shared" si="4824"/>
        <v>0</v>
      </c>
      <c r="J2855" s="24" t="str">
        <f t="shared" ref="J2855" si="4838">CONCATENATE(K2853,2)</f>
        <v>102</v>
      </c>
      <c r="K2855" s="6" t="e">
        <v>#VALUE!</v>
      </c>
      <c r="L2855" s="6" t="e">
        <v>#VALUE!</v>
      </c>
      <c r="M2855" s="6" t="e">
        <v>#VALUE!</v>
      </c>
      <c r="N2855" s="6" t="e">
        <v>#VALUE!</v>
      </c>
      <c r="O2855" s="6" t="e">
        <v>#VALUE!</v>
      </c>
      <c r="P2855" s="6" t="e">
        <v>#VALUE!</v>
      </c>
      <c r="Q2855" s="6" t="e">
        <v>#VALUE!</v>
      </c>
      <c r="R2855" s="6" t="e">
        <v>#VALUE!</v>
      </c>
      <c r="S2855" s="6" t="e">
        <v>#VALUE!</v>
      </c>
      <c r="T2855" s="9"/>
      <c r="U2855" s="1">
        <f t="shared" si="4816"/>
        <v>65</v>
      </c>
      <c r="V2855" s="1">
        <f t="shared" si="4817"/>
        <v>238</v>
      </c>
    </row>
    <row r="2856" spans="1:22" x14ac:dyDescent="0.3">
      <c r="A2856" s="1">
        <f t="shared" si="4755"/>
        <v>65239</v>
      </c>
      <c r="B2856" s="12">
        <f t="shared" si="4822"/>
        <v>0</v>
      </c>
      <c r="C2856" s="13">
        <f t="shared" si="4823"/>
        <v>0</v>
      </c>
      <c r="D2856" s="10">
        <f t="shared" si="4824"/>
        <v>0</v>
      </c>
      <c r="J2856" s="24" t="str">
        <f t="shared" ref="J2856" si="4839">CONCATENATE(K2853,3)</f>
        <v>103</v>
      </c>
      <c r="K2856" s="6" t="e">
        <v>#VALUE!</v>
      </c>
      <c r="L2856" s="6" t="e">
        <v>#VALUE!</v>
      </c>
      <c r="M2856" s="6" t="e">
        <v>#VALUE!</v>
      </c>
      <c r="N2856" s="6" t="e">
        <v>#VALUE!</v>
      </c>
      <c r="O2856" s="6" t="e">
        <v>#VALUE!</v>
      </c>
      <c r="P2856" s="6" t="e">
        <v>#VALUE!</v>
      </c>
      <c r="Q2856" s="6" t="e">
        <v>#VALUE!</v>
      </c>
      <c r="R2856" s="6" t="e">
        <v>#VALUE!</v>
      </c>
      <c r="S2856" s="6" t="e">
        <v>#VALUE!</v>
      </c>
      <c r="T2856" s="9"/>
      <c r="U2856" s="1">
        <f t="shared" si="4816"/>
        <v>65</v>
      </c>
      <c r="V2856" s="1">
        <f t="shared" si="4817"/>
        <v>239</v>
      </c>
    </row>
    <row r="2857" spans="1:22" x14ac:dyDescent="0.3">
      <c r="A2857" s="1">
        <f t="shared" si="4755"/>
        <v>65240</v>
      </c>
      <c r="B2857" s="12">
        <f t="shared" si="4822"/>
        <v>0</v>
      </c>
      <c r="C2857" s="13">
        <f t="shared" si="4823"/>
        <v>0</v>
      </c>
      <c r="D2857" s="10">
        <f t="shared" si="4824"/>
        <v>0</v>
      </c>
      <c r="J2857" s="9"/>
      <c r="K2857" s="9"/>
      <c r="L2857" s="9"/>
      <c r="M2857" s="9"/>
      <c r="N2857" s="9"/>
      <c r="O2857" s="9"/>
      <c r="P2857" s="9"/>
      <c r="Q2857" s="9"/>
      <c r="R2857" s="9"/>
      <c r="S2857" s="9"/>
      <c r="T2857" s="9"/>
      <c r="U2857" s="1">
        <f t="shared" si="4816"/>
        <v>65</v>
      </c>
      <c r="V2857" s="1">
        <f t="shared" si="4817"/>
        <v>240</v>
      </c>
    </row>
    <row r="2858" spans="1:22" x14ac:dyDescent="0.3">
      <c r="A2858" s="1">
        <f t="shared" si="4755"/>
        <v>65241</v>
      </c>
      <c r="B2858" s="12">
        <f t="shared" si="4822"/>
        <v>0</v>
      </c>
      <c r="C2858" s="13">
        <f t="shared" si="4823"/>
        <v>0</v>
      </c>
      <c r="D2858" s="10">
        <f t="shared" si="4824"/>
        <v>0</v>
      </c>
      <c r="J2858" s="9"/>
      <c r="K2858" s="9"/>
      <c r="L2858" s="9"/>
      <c r="M2858" s="9"/>
      <c r="N2858" s="9"/>
      <c r="O2858" s="9"/>
      <c r="P2858" s="9"/>
      <c r="Q2858" s="9"/>
      <c r="R2858" s="9"/>
      <c r="S2858" s="9"/>
      <c r="T2858" s="9"/>
      <c r="U2858" s="1">
        <f t="shared" si="4816"/>
        <v>65</v>
      </c>
      <c r="V2858" s="1">
        <f t="shared" si="4817"/>
        <v>241</v>
      </c>
    </row>
    <row r="2859" spans="1:22" x14ac:dyDescent="0.3">
      <c r="A2859" s="1">
        <f t="shared" si="4755"/>
        <v>65242</v>
      </c>
      <c r="B2859" s="12">
        <f t="shared" si="4822"/>
        <v>0</v>
      </c>
      <c r="C2859" s="13">
        <f t="shared" si="4823"/>
        <v>0</v>
      </c>
      <c r="D2859" s="10">
        <f t="shared" si="4824"/>
        <v>0</v>
      </c>
      <c r="J2859" s="9"/>
      <c r="K2859" s="9"/>
      <c r="L2859" s="9"/>
      <c r="M2859" s="9"/>
      <c r="N2859" s="9"/>
      <c r="O2859" s="9"/>
      <c r="P2859" s="9"/>
      <c r="Q2859" s="9"/>
      <c r="R2859" s="9"/>
      <c r="S2859" s="9"/>
      <c r="T2859" s="9"/>
      <c r="U2859" s="1">
        <f t="shared" si="4816"/>
        <v>65</v>
      </c>
      <c r="V2859" s="1">
        <f t="shared" si="4817"/>
        <v>242</v>
      </c>
    </row>
    <row r="2860" spans="1:22" x14ac:dyDescent="0.3">
      <c r="A2860" s="1">
        <f t="shared" si="4755"/>
        <v>65243</v>
      </c>
      <c r="J2860" s="9"/>
      <c r="K2860" s="9"/>
      <c r="L2860" s="9"/>
      <c r="M2860" s="9"/>
      <c r="N2860" s="9"/>
      <c r="O2860" s="9"/>
      <c r="P2860" s="9"/>
      <c r="Q2860" s="9"/>
      <c r="R2860" s="9"/>
      <c r="S2860" s="9"/>
      <c r="T2860" s="9"/>
      <c r="U2860" s="1">
        <f t="shared" si="4816"/>
        <v>65</v>
      </c>
      <c r="V2860" s="1">
        <f t="shared" si="4817"/>
        <v>243</v>
      </c>
    </row>
    <row r="2861" spans="1:22" s="5" customFormat="1" x14ac:dyDescent="0.3"/>
    <row r="2862" spans="1:22" x14ac:dyDescent="0.3">
      <c r="A2862" s="1">
        <f t="shared" ref="A2862:A2904" si="4840">ROUND(CONCATENATE(U2862,V2862),0)</f>
        <v>66201</v>
      </c>
      <c r="B2862" s="96" t="s">
        <v>0</v>
      </c>
      <c r="C2862" s="97"/>
      <c r="D2862" s="110" t="s">
        <v>46</v>
      </c>
      <c r="E2862" s="111"/>
      <c r="F2862" s="111"/>
      <c r="G2862" s="111"/>
      <c r="H2862" s="112"/>
      <c r="J2862" s="9"/>
      <c r="K2862" s="9"/>
      <c r="L2862" s="9"/>
      <c r="M2862" s="9"/>
      <c r="N2862" s="9"/>
      <c r="O2862" s="9"/>
      <c r="P2862" s="9"/>
      <c r="Q2862" s="9"/>
      <c r="R2862" s="9"/>
      <c r="S2862" s="9"/>
      <c r="T2862" s="9"/>
      <c r="U2862" s="1">
        <f t="shared" ref="U2862" si="4841">U2860+1</f>
        <v>66</v>
      </c>
      <c r="V2862" s="1">
        <v>201</v>
      </c>
    </row>
    <row r="2863" spans="1:22" x14ac:dyDescent="0.3">
      <c r="A2863" s="1">
        <f t="shared" si="4840"/>
        <v>66202</v>
      </c>
      <c r="B2863" s="96" t="s">
        <v>1</v>
      </c>
      <c r="C2863" s="97"/>
      <c r="D2863" s="15">
        <v>20</v>
      </c>
      <c r="E2863" s="16" t="s">
        <v>2</v>
      </c>
      <c r="F2863" s="107"/>
      <c r="G2863" s="108"/>
      <c r="H2863" s="109"/>
      <c r="J2863" s="9"/>
      <c r="K2863" s="9"/>
      <c r="L2863" s="9"/>
      <c r="M2863" s="9"/>
      <c r="N2863" s="9"/>
      <c r="O2863" s="9"/>
      <c r="P2863" s="9"/>
      <c r="Q2863" s="9"/>
      <c r="R2863" s="9"/>
      <c r="S2863" s="9"/>
      <c r="T2863" s="9"/>
      <c r="U2863" s="1">
        <f t="shared" ref="U2863" si="4842">U2862</f>
        <v>66</v>
      </c>
      <c r="V2863" s="1">
        <f t="shared" ref="V2863" si="4843">V2862+1</f>
        <v>202</v>
      </c>
    </row>
    <row r="2864" spans="1:22" x14ac:dyDescent="0.3">
      <c r="A2864" s="1">
        <f t="shared" si="4840"/>
        <v>66203</v>
      </c>
      <c r="B2864" s="96" t="s">
        <v>12</v>
      </c>
      <c r="C2864" s="97"/>
      <c r="D2864" s="110" t="s">
        <v>258</v>
      </c>
      <c r="E2864" s="111"/>
      <c r="F2864" s="111"/>
      <c r="G2864" s="111"/>
      <c r="H2864" s="112"/>
      <c r="K2864" s="1" t="s">
        <v>3</v>
      </c>
      <c r="L2864" s="1" t="s">
        <v>4</v>
      </c>
      <c r="M2864" s="1" t="s">
        <v>5</v>
      </c>
      <c r="N2864" s="1" t="s">
        <v>6</v>
      </c>
      <c r="O2864" s="1" t="s">
        <v>7</v>
      </c>
      <c r="P2864" s="1" t="s">
        <v>8</v>
      </c>
      <c r="Q2864" s="1" t="s">
        <v>9</v>
      </c>
      <c r="R2864" s="1" t="s">
        <v>10</v>
      </c>
      <c r="S2864" s="1" t="s">
        <v>11</v>
      </c>
      <c r="T2864" s="9"/>
      <c r="U2864" s="1">
        <f t="shared" si="4816"/>
        <v>66</v>
      </c>
      <c r="V2864" s="1">
        <f t="shared" si="4817"/>
        <v>203</v>
      </c>
    </row>
    <row r="2865" spans="1:22" x14ac:dyDescent="0.3">
      <c r="A2865" s="1">
        <f t="shared" si="4840"/>
        <v>66204</v>
      </c>
      <c r="B2865" s="96" t="s">
        <v>13</v>
      </c>
      <c r="C2865" s="97"/>
      <c r="D2865" s="110" t="s">
        <v>65</v>
      </c>
      <c r="E2865" s="111"/>
      <c r="F2865" s="111"/>
      <c r="G2865" s="111"/>
      <c r="H2865" s="112"/>
      <c r="J2865" s="1">
        <f t="shared" ref="J2865" si="4844">COUNTA(B2878:B2887)</f>
        <v>3</v>
      </c>
      <c r="K2865" s="1">
        <f t="shared" ref="K2865" si="4845">IF(L2865-1&lt;2,0,L2865-1)</f>
        <v>0</v>
      </c>
      <c r="L2865" s="1">
        <f t="shared" ref="L2865" si="4846">IF(M2865-1&lt;2,0,M2865-1)</f>
        <v>0</v>
      </c>
      <c r="M2865" s="1">
        <f t="shared" ref="M2865" si="4847">IF(N2865-1&lt;2,0,N2865-1)</f>
        <v>0</v>
      </c>
      <c r="N2865" s="1">
        <f t="shared" ref="N2865" si="4848">IF(O2865-1&lt;2,0,O2865-1)</f>
        <v>0</v>
      </c>
      <c r="O2865" s="1">
        <f t="shared" ref="O2865" si="4849">IF(P2865-1&lt;2,0,P2865-1)</f>
        <v>0</v>
      </c>
      <c r="P2865" s="1">
        <f t="shared" ref="P2865" si="4850">IF(Q2865-1&lt;2,0,Q2865-1)</f>
        <v>0</v>
      </c>
      <c r="Q2865" s="1">
        <f t="shared" ref="Q2865" si="4851">IF(R2865-1&lt;2,0,R2865-1)</f>
        <v>0</v>
      </c>
      <c r="R2865" s="1">
        <f t="shared" ref="R2865" si="4852">IF(S2865-1&lt;2,0,S2865-1)</f>
        <v>2</v>
      </c>
      <c r="S2865" s="1">
        <f t="shared" ref="S2865" si="4853">J2865</f>
        <v>3</v>
      </c>
      <c r="T2865" s="9"/>
      <c r="U2865" s="1">
        <f t="shared" si="4816"/>
        <v>66</v>
      </c>
      <c r="V2865" s="1">
        <f t="shared" si="4817"/>
        <v>204</v>
      </c>
    </row>
    <row r="2866" spans="1:22" x14ac:dyDescent="0.3">
      <c r="A2866" s="1">
        <f t="shared" si="4840"/>
        <v>66205</v>
      </c>
      <c r="B2866" s="96" t="s">
        <v>14</v>
      </c>
      <c r="C2866" s="97"/>
      <c r="D2866" s="110" t="s">
        <v>66</v>
      </c>
      <c r="E2866" s="111"/>
      <c r="F2866" s="111"/>
      <c r="G2866" s="111"/>
      <c r="H2866" s="112"/>
      <c r="J2866" s="24" t="str">
        <f t="shared" ref="J2866" si="4854">CONCATENATE(J2865,1)</f>
        <v>31</v>
      </c>
      <c r="K2866" s="25">
        <f t="shared" ref="K2866" si="4855">IF(K2865=0,0,VLOOKUP(J2866,J2870:S2900,K2865,FALSE))</f>
        <v>0</v>
      </c>
      <c r="L2866" s="25">
        <f t="shared" ref="L2866" si="4856">IF(L2865=0,0,VLOOKUP(J2866,J2870:S2900,L2865,FALSE))</f>
        <v>0</v>
      </c>
      <c r="M2866" s="25">
        <f t="shared" ref="M2866" si="4857">IF(M2865=0,0,VLOOKUP(J2866,J2870:S2900,M2865,FALSE))</f>
        <v>0</v>
      </c>
      <c r="N2866" s="25">
        <f t="shared" ref="N2866" si="4858">IF(N2865=0,0,VLOOKUP(J2866,J2870:S2900,N2865,FALSE))</f>
        <v>0</v>
      </c>
      <c r="O2866" s="25">
        <f t="shared" ref="O2866" si="4859">IF(O2865=0,0,VLOOKUP(J2866,J2870:S2900,O2865,FALSE))</f>
        <v>0</v>
      </c>
      <c r="P2866" s="25">
        <f t="shared" ref="P2866" si="4860">IF(P2865=0,0,VLOOKUP(J2866,J2870:S2900,P2865,FALSE))</f>
        <v>0</v>
      </c>
      <c r="Q2866" s="25">
        <f t="shared" ref="Q2866" si="4861">IF(Q2865=0,0,VLOOKUP(J2866,J2870:S2900,Q2865,FALSE))</f>
        <v>0</v>
      </c>
      <c r="R2866" s="25">
        <f t="shared" ref="R2866" si="4862">IF(R2865=0,0,VLOOKUP(J2866,J2870:S2900,R2865,FALSE))</f>
        <v>0.99686028257456805</v>
      </c>
      <c r="S2866" s="25">
        <f t="shared" ref="S2866" si="4863">IF(S2865=0,0,VLOOKUP(J2866,J2870:S2900,S2865,FALSE))</f>
        <v>-2.4908424908424749</v>
      </c>
      <c r="T2866" s="9"/>
      <c r="U2866" s="1">
        <f t="shared" si="4816"/>
        <v>66</v>
      </c>
      <c r="V2866" s="1">
        <f t="shared" si="4817"/>
        <v>205</v>
      </c>
    </row>
    <row r="2867" spans="1:22" x14ac:dyDescent="0.3">
      <c r="A2867" s="1">
        <f t="shared" si="4840"/>
        <v>66206</v>
      </c>
      <c r="B2867" s="96" t="s">
        <v>15</v>
      </c>
      <c r="C2867" s="97"/>
      <c r="D2867" s="141" t="s">
        <v>349</v>
      </c>
      <c r="E2867" s="141"/>
      <c r="F2867" s="141"/>
      <c r="G2867" s="141"/>
      <c r="H2867" s="141"/>
      <c r="J2867" s="24" t="str">
        <f t="shared" ref="J2867" si="4864">CONCATENATE(J2865,2)</f>
        <v>32</v>
      </c>
      <c r="K2867" s="6">
        <f t="shared" ref="K2867" si="4865">IF(K2865=0,0,VLOOKUP(J2867,J2870:S2900,K2865,FALSE))</f>
        <v>0</v>
      </c>
      <c r="L2867" s="6">
        <f t="shared" ref="L2867" si="4866">IF(L2865=0,0,VLOOKUP(J2867,J2870:S2900,L2865,FALSE))</f>
        <v>0</v>
      </c>
      <c r="M2867" s="6">
        <f t="shared" ref="M2867" si="4867">IF(M2865=0,0,VLOOKUP(J2867,J2870:S2900,M2865,FALSE))</f>
        <v>0</v>
      </c>
      <c r="N2867" s="6">
        <f t="shared" ref="N2867" si="4868">IF(N2865=0,0,VLOOKUP(J2867,J2870:S2900,N2865,FALSE))</f>
        <v>0</v>
      </c>
      <c r="O2867" s="6">
        <f t="shared" ref="O2867" si="4869">IF(O2865=0,0,VLOOKUP(J2867,J2870:S2900,O2865,FALSE))</f>
        <v>0</v>
      </c>
      <c r="P2867" s="6">
        <f t="shared" ref="P2867" si="4870">IF(P2865=0,0,VLOOKUP(J2867,J2870:S2900,P2865,FALSE))</f>
        <v>0</v>
      </c>
      <c r="Q2867" s="6">
        <f t="shared" ref="Q2867" si="4871">IF(Q2865=0,0,VLOOKUP(J2867,J2870:S2900,Q2865,FALSE))</f>
        <v>0</v>
      </c>
      <c r="R2867" s="6">
        <f t="shared" ref="R2867" si="4872">IF(R2865=0,0,VLOOKUP(J2867,J2870:S2900,R2865,FALSE))</f>
        <v>2.2658958759404386E-2</v>
      </c>
      <c r="S2867" s="6">
        <f t="shared" ref="S2867" si="4873">IF(S2865=0,0,VLOOKUP(J2867,J2870:S2900,S2865,FALSE))</f>
        <v>1.3520900238308928</v>
      </c>
      <c r="T2867" s="9"/>
      <c r="U2867" s="1">
        <f t="shared" si="4816"/>
        <v>66</v>
      </c>
      <c r="V2867" s="1">
        <f t="shared" si="4817"/>
        <v>206</v>
      </c>
    </row>
    <row r="2868" spans="1:22" x14ac:dyDescent="0.3">
      <c r="A2868" s="1">
        <f t="shared" si="4840"/>
        <v>66207</v>
      </c>
      <c r="B2868" s="96" t="s">
        <v>16</v>
      </c>
      <c r="C2868" s="97"/>
      <c r="D2868" s="121">
        <v>46071</v>
      </c>
      <c r="E2868" s="121"/>
      <c r="F2868" s="121"/>
      <c r="G2868" s="121"/>
      <c r="H2868" s="121"/>
      <c r="J2868" s="24" t="str">
        <f t="shared" ref="J2868" si="4874">CONCATENATE(J2865,3)</f>
        <v>33</v>
      </c>
      <c r="K2868" s="6"/>
      <c r="L2868" s="6"/>
      <c r="M2868" s="6"/>
      <c r="N2868" s="6" t="s">
        <v>43</v>
      </c>
      <c r="O2868" s="25">
        <f t="shared" ref="O2868" si="4875">J2865-2</f>
        <v>1</v>
      </c>
      <c r="P2868" s="6" t="s">
        <v>44</v>
      </c>
      <c r="Q2868" s="25">
        <f t="shared" ref="Q2868" si="4876">VLOOKUP(J2868,J2870:S2900,3,FALSE)</f>
        <v>0.80876931010327979</v>
      </c>
      <c r="R2868" s="6" t="s">
        <v>45</v>
      </c>
      <c r="S2868" s="6">
        <f t="shared" ref="S2868" si="4877">VLOOKUP(J2868,J2870:S2900,2,FALSE)</f>
        <v>0.99948359910765916</v>
      </c>
      <c r="T2868" s="9"/>
      <c r="U2868" s="1">
        <f t="shared" si="4816"/>
        <v>66</v>
      </c>
      <c r="V2868" s="1">
        <f t="shared" si="4817"/>
        <v>207</v>
      </c>
    </row>
    <row r="2869" spans="1:22" x14ac:dyDescent="0.3">
      <c r="A2869" s="1">
        <f t="shared" si="4840"/>
        <v>66208</v>
      </c>
      <c r="B2869" s="96" t="s">
        <v>17</v>
      </c>
      <c r="C2869" s="97"/>
      <c r="D2869" s="122">
        <v>46446</v>
      </c>
      <c r="E2869" s="122"/>
      <c r="F2869" s="122"/>
      <c r="G2869" s="122"/>
      <c r="H2869" s="122"/>
      <c r="K2869" s="1">
        <v>3</v>
      </c>
      <c r="L2869" s="1">
        <v>3</v>
      </c>
      <c r="Q2869" s="26"/>
      <c r="R2869" s="26"/>
      <c r="S2869" s="26"/>
      <c r="T2869" s="9"/>
      <c r="U2869" s="1">
        <f t="shared" si="4816"/>
        <v>66</v>
      </c>
      <c r="V2869" s="1">
        <f t="shared" si="4817"/>
        <v>208</v>
      </c>
    </row>
    <row r="2870" spans="1:22" x14ac:dyDescent="0.3">
      <c r="A2870" s="1">
        <f t="shared" si="4840"/>
        <v>66209</v>
      </c>
      <c r="B2870" s="77" t="s">
        <v>19</v>
      </c>
      <c r="C2870" s="78"/>
      <c r="D2870" s="17">
        <v>1</v>
      </c>
      <c r="E2870" s="79" t="s">
        <v>40</v>
      </c>
      <c r="F2870" s="80"/>
      <c r="G2870" s="81"/>
      <c r="H2870" s="18" t="s">
        <v>72</v>
      </c>
      <c r="J2870" s="24" t="str">
        <f t="shared" ref="J2870" si="4878">CONCATENATE(K2869,1)</f>
        <v>31</v>
      </c>
      <c r="K2870" s="6">
        <f t="array" ref="K2870:L2872">LINEST(B2878:B2880,C2878:C2880^{1},TRUE,TRUE)</f>
        <v>0.99686028257456805</v>
      </c>
      <c r="L2870" s="6">
        <v>-2.4908424908424749</v>
      </c>
      <c r="Q2870" s="9"/>
      <c r="R2870" s="9"/>
      <c r="S2870" s="9"/>
      <c r="T2870" s="9"/>
      <c r="U2870" s="1">
        <f t="shared" si="4816"/>
        <v>66</v>
      </c>
      <c r="V2870" s="1">
        <f t="shared" si="4817"/>
        <v>209</v>
      </c>
    </row>
    <row r="2871" spans="1:22" x14ac:dyDescent="0.3">
      <c r="A2871" s="1">
        <f t="shared" si="4840"/>
        <v>66210</v>
      </c>
      <c r="B2871" s="77" t="s">
        <v>41</v>
      </c>
      <c r="C2871" s="78"/>
      <c r="D2871" s="23">
        <f t="shared" ref="D2871" si="4879">MIN(B2878:B2887)</f>
        <v>30</v>
      </c>
      <c r="E2871" s="20" t="s">
        <v>18</v>
      </c>
      <c r="F2871" s="19">
        <f t="shared" ref="F2871" si="4880">MAX(B2878:B2887)</f>
        <v>80</v>
      </c>
      <c r="G2871" s="21" t="str">
        <f t="shared" ref="G2871" si="4881">IF(H2870="","",H2870)</f>
        <v>%ur</v>
      </c>
      <c r="H2871" s="22"/>
      <c r="J2871" s="24" t="str">
        <f t="shared" ref="J2871" si="4882">CONCATENATE(K2869,2)</f>
        <v>32</v>
      </c>
      <c r="K2871" s="6">
        <v>2.2658958759404386E-2</v>
      </c>
      <c r="L2871" s="6">
        <v>1.3520900238308928</v>
      </c>
      <c r="Q2871" s="9"/>
      <c r="R2871" s="9"/>
      <c r="S2871" s="9"/>
      <c r="T2871" s="9"/>
      <c r="U2871" s="1">
        <f t="shared" si="4816"/>
        <v>66</v>
      </c>
      <c r="V2871" s="1">
        <f t="shared" si="4817"/>
        <v>210</v>
      </c>
    </row>
    <row r="2872" spans="1:22" x14ac:dyDescent="0.3">
      <c r="A2872" s="1">
        <f t="shared" si="4840"/>
        <v>66211</v>
      </c>
      <c r="J2872" s="24" t="str">
        <f t="shared" ref="J2872" si="4883">CONCATENATE(K2869,3)</f>
        <v>33</v>
      </c>
      <c r="K2872" s="6">
        <v>0.99948359910765916</v>
      </c>
      <c r="L2872" s="6">
        <v>0.80876931010327979</v>
      </c>
      <c r="Q2872" s="9"/>
      <c r="R2872" s="9"/>
      <c r="S2872" s="9"/>
      <c r="T2872" s="9"/>
      <c r="U2872" s="1">
        <f t="shared" si="4816"/>
        <v>66</v>
      </c>
      <c r="V2872" s="1">
        <f t="shared" si="4817"/>
        <v>211</v>
      </c>
    </row>
    <row r="2873" spans="1:22" x14ac:dyDescent="0.3">
      <c r="A2873" s="1">
        <f t="shared" si="4840"/>
        <v>66212</v>
      </c>
      <c r="B2873" s="82" t="s">
        <v>20</v>
      </c>
      <c r="C2873" s="83"/>
      <c r="D2873" s="83"/>
      <c r="E2873" s="83"/>
      <c r="F2873" s="84"/>
      <c r="G2873" s="85" t="s">
        <v>31</v>
      </c>
      <c r="H2873" s="86"/>
      <c r="K2873" s="1">
        <v>4</v>
      </c>
      <c r="L2873" s="1">
        <v>4</v>
      </c>
      <c r="M2873" s="1">
        <v>4</v>
      </c>
      <c r="Q2873" s="9"/>
      <c r="R2873" s="9"/>
      <c r="S2873" s="9"/>
      <c r="T2873" s="9"/>
      <c r="U2873" s="1">
        <f t="shared" si="4816"/>
        <v>66</v>
      </c>
      <c r="V2873" s="1">
        <f t="shared" si="4817"/>
        <v>212</v>
      </c>
    </row>
    <row r="2874" spans="1:22" x14ac:dyDescent="0.3">
      <c r="A2874" s="1">
        <f t="shared" si="4840"/>
        <v>66213</v>
      </c>
      <c r="B2874" s="82" t="s">
        <v>30</v>
      </c>
      <c r="C2874" s="83"/>
      <c r="D2874" s="84"/>
      <c r="E2874" s="82" t="str">
        <f t="shared" ref="E2874" si="4884">D2867</f>
        <v>E0090/26</v>
      </c>
      <c r="F2874" s="84"/>
      <c r="G2874" s="6" t="s">
        <v>32</v>
      </c>
      <c r="H2874" s="7" t="s">
        <v>259</v>
      </c>
      <c r="J2874" s="24" t="str">
        <f t="shared" ref="J2874" si="4885">CONCATENATE(K2873,1)</f>
        <v>41</v>
      </c>
      <c r="K2874" s="6" t="e">
        <f t="array" ref="K2874:M2876">LINEST(B2878:B2881,C2878:C2881^{1,2},TRUE,TRUE)</f>
        <v>#VALUE!</v>
      </c>
      <c r="L2874" s="6" t="e">
        <v>#VALUE!</v>
      </c>
      <c r="M2874" s="6" t="e">
        <v>#VALUE!</v>
      </c>
      <c r="Q2874" s="9"/>
      <c r="R2874" s="9"/>
      <c r="S2874" s="9"/>
      <c r="T2874" s="9"/>
      <c r="U2874" s="1">
        <f t="shared" si="4816"/>
        <v>66</v>
      </c>
      <c r="V2874" s="1">
        <f t="shared" si="4817"/>
        <v>213</v>
      </c>
    </row>
    <row r="2875" spans="1:22" x14ac:dyDescent="0.3">
      <c r="A2875" s="1">
        <f t="shared" si="4840"/>
        <v>66214</v>
      </c>
      <c r="B2875" s="2" t="s">
        <v>21</v>
      </c>
      <c r="C2875" s="2" t="s">
        <v>22</v>
      </c>
      <c r="D2875" s="2" t="s">
        <v>23</v>
      </c>
      <c r="E2875" s="2"/>
      <c r="F2875" s="2" t="s">
        <v>28</v>
      </c>
      <c r="G2875" s="2" t="s">
        <v>21</v>
      </c>
      <c r="H2875" s="2" t="s">
        <v>22</v>
      </c>
      <c r="J2875" s="24" t="str">
        <f t="shared" ref="J2875" si="4886">CONCATENATE(K2873,2)</f>
        <v>42</v>
      </c>
      <c r="K2875" s="6" t="e">
        <v>#VALUE!</v>
      </c>
      <c r="L2875" s="6" t="e">
        <v>#VALUE!</v>
      </c>
      <c r="M2875" s="6" t="e">
        <v>#VALUE!</v>
      </c>
      <c r="Q2875" s="9"/>
      <c r="R2875" s="9"/>
      <c r="S2875" s="9"/>
      <c r="T2875" s="9"/>
      <c r="U2875" s="1">
        <f t="shared" si="4816"/>
        <v>66</v>
      </c>
      <c r="V2875" s="1">
        <f t="shared" si="4817"/>
        <v>214</v>
      </c>
    </row>
    <row r="2876" spans="1:22" x14ac:dyDescent="0.3">
      <c r="A2876" s="1">
        <f t="shared" si="4840"/>
        <v>66215</v>
      </c>
      <c r="B2876" s="2" t="s">
        <v>24</v>
      </c>
      <c r="C2876" s="2" t="s">
        <v>25</v>
      </c>
      <c r="D2876" s="2" t="s">
        <v>26</v>
      </c>
      <c r="E2876" s="2" t="s">
        <v>27</v>
      </c>
      <c r="F2876" s="2" t="s">
        <v>29</v>
      </c>
      <c r="G2876" s="2" t="s">
        <v>24</v>
      </c>
      <c r="H2876" s="2" t="s">
        <v>25</v>
      </c>
      <c r="J2876" s="24" t="str">
        <f t="shared" ref="J2876" si="4887">CONCATENATE(K2873,3)</f>
        <v>43</v>
      </c>
      <c r="K2876" s="6" t="e">
        <v>#VALUE!</v>
      </c>
      <c r="L2876" s="6" t="e">
        <v>#VALUE!</v>
      </c>
      <c r="M2876" s="6" t="e">
        <v>#VALUE!</v>
      </c>
      <c r="Q2876" s="9"/>
      <c r="R2876" s="9"/>
      <c r="S2876" s="9"/>
      <c r="T2876" s="9"/>
      <c r="U2876" s="1">
        <f t="shared" si="4816"/>
        <v>66</v>
      </c>
      <c r="V2876" s="1">
        <f t="shared" si="4817"/>
        <v>215</v>
      </c>
    </row>
    <row r="2877" spans="1:22" x14ac:dyDescent="0.3">
      <c r="A2877" s="1">
        <f t="shared" si="4840"/>
        <v>66216</v>
      </c>
      <c r="B2877" s="3" t="str">
        <f t="shared" ref="B2877" si="4888">H2870</f>
        <v>%ur</v>
      </c>
      <c r="C2877" s="3" t="str">
        <f t="shared" ref="C2877" si="4889">B2877</f>
        <v>%ur</v>
      </c>
      <c r="D2877" s="3" t="str">
        <f t="shared" ref="D2877" si="4890">C2877</f>
        <v>%ur</v>
      </c>
      <c r="E2877" s="3"/>
      <c r="F2877" s="3"/>
      <c r="G2877" s="3" t="str">
        <f t="shared" ref="G2877" si="4891">D2877</f>
        <v>%ur</v>
      </c>
      <c r="H2877" s="3" t="str">
        <f t="shared" ref="H2877" si="4892">G2877</f>
        <v>%ur</v>
      </c>
      <c r="K2877" s="1">
        <v>5</v>
      </c>
      <c r="L2877" s="1">
        <v>5</v>
      </c>
      <c r="M2877" s="1">
        <v>5</v>
      </c>
      <c r="N2877" s="1">
        <v>5</v>
      </c>
      <c r="Q2877" s="9"/>
      <c r="R2877" s="9"/>
      <c r="S2877" s="9"/>
      <c r="T2877" s="9"/>
      <c r="U2877" s="1">
        <f t="shared" si="4816"/>
        <v>66</v>
      </c>
      <c r="V2877" s="1">
        <f t="shared" si="4817"/>
        <v>216</v>
      </c>
    </row>
    <row r="2878" spans="1:22" x14ac:dyDescent="0.3">
      <c r="A2878" s="1">
        <f t="shared" si="4840"/>
        <v>66217</v>
      </c>
      <c r="B2878" s="4">
        <v>30</v>
      </c>
      <c r="C2878" s="4">
        <v>33</v>
      </c>
      <c r="D2878" s="4">
        <v>1</v>
      </c>
      <c r="E2878" s="4">
        <v>2</v>
      </c>
      <c r="F2878" s="14">
        <v>1000000</v>
      </c>
      <c r="G2878" s="8">
        <v>30</v>
      </c>
      <c r="H2878" s="7">
        <v>32</v>
      </c>
      <c r="J2878" s="24" t="str">
        <f t="shared" ref="J2878" si="4893">CONCATENATE(K2877,1)</f>
        <v>51</v>
      </c>
      <c r="K2878" s="6" t="e">
        <f t="array" ref="K2878:N2880">LINEST(B2878:B2882,C2878:C2882^{1,2,3},TRUE,TRUE)</f>
        <v>#VALUE!</v>
      </c>
      <c r="L2878" s="6" t="e">
        <v>#VALUE!</v>
      </c>
      <c r="M2878" s="6" t="e">
        <v>#VALUE!</v>
      </c>
      <c r="N2878" s="6" t="e">
        <v>#VALUE!</v>
      </c>
      <c r="Q2878" s="9"/>
      <c r="R2878" s="9"/>
      <c r="S2878" s="9"/>
      <c r="T2878" s="9"/>
      <c r="U2878" s="1">
        <f t="shared" si="4816"/>
        <v>66</v>
      </c>
      <c r="V2878" s="1">
        <f t="shared" si="4817"/>
        <v>217</v>
      </c>
    </row>
    <row r="2879" spans="1:22" x14ac:dyDescent="0.3">
      <c r="A2879" s="1">
        <f t="shared" si="4840"/>
        <v>66218</v>
      </c>
      <c r="B2879" s="4">
        <v>50</v>
      </c>
      <c r="C2879" s="4">
        <v>52</v>
      </c>
      <c r="D2879" s="4">
        <v>1</v>
      </c>
      <c r="E2879" s="4">
        <v>2</v>
      </c>
      <c r="F2879" s="14">
        <v>1000000</v>
      </c>
      <c r="G2879" s="8">
        <v>50</v>
      </c>
      <c r="H2879" s="7">
        <v>51</v>
      </c>
      <c r="J2879" s="24" t="str">
        <f t="shared" ref="J2879" si="4894">CONCATENATE(K2877,2)</f>
        <v>52</v>
      </c>
      <c r="K2879" s="6" t="e">
        <v>#VALUE!</v>
      </c>
      <c r="L2879" s="6" t="e">
        <v>#VALUE!</v>
      </c>
      <c r="M2879" s="6" t="e">
        <v>#VALUE!</v>
      </c>
      <c r="N2879" s="6" t="e">
        <v>#VALUE!</v>
      </c>
      <c r="T2879" s="9"/>
      <c r="U2879" s="1">
        <f t="shared" si="4816"/>
        <v>66</v>
      </c>
      <c r="V2879" s="1">
        <f t="shared" si="4817"/>
        <v>218</v>
      </c>
    </row>
    <row r="2880" spans="1:22" x14ac:dyDescent="0.3">
      <c r="A2880" s="1">
        <f t="shared" si="4840"/>
        <v>66219</v>
      </c>
      <c r="B2880" s="4">
        <v>80</v>
      </c>
      <c r="C2880" s="4">
        <v>83</v>
      </c>
      <c r="D2880" s="4">
        <v>2</v>
      </c>
      <c r="E2880" s="4">
        <v>2</v>
      </c>
      <c r="F2880" s="14">
        <v>1000000</v>
      </c>
      <c r="G2880" s="8">
        <v>80</v>
      </c>
      <c r="H2880" s="7">
        <v>81</v>
      </c>
      <c r="J2880" s="24" t="str">
        <f t="shared" ref="J2880" si="4895">CONCATENATE(K2877,3)</f>
        <v>53</v>
      </c>
      <c r="K2880" s="6" t="e">
        <v>#VALUE!</v>
      </c>
      <c r="L2880" s="6" t="e">
        <v>#VALUE!</v>
      </c>
      <c r="M2880" s="6" t="e">
        <v>#VALUE!</v>
      </c>
      <c r="N2880" s="6" t="e">
        <v>#VALUE!</v>
      </c>
      <c r="T2880" s="9"/>
      <c r="U2880" s="1">
        <f t="shared" si="4816"/>
        <v>66</v>
      </c>
      <c r="V2880" s="1">
        <f t="shared" si="4817"/>
        <v>219</v>
      </c>
    </row>
    <row r="2881" spans="1:22" x14ac:dyDescent="0.3">
      <c r="A2881" s="1">
        <f t="shared" si="4840"/>
        <v>66220</v>
      </c>
      <c r="B2881" s="4"/>
      <c r="C2881" s="4"/>
      <c r="D2881" s="4"/>
      <c r="E2881" s="4"/>
      <c r="F2881" s="14"/>
      <c r="G2881" s="8"/>
      <c r="H2881" s="7"/>
      <c r="K2881" s="1">
        <v>6</v>
      </c>
      <c r="L2881" s="1">
        <v>6</v>
      </c>
      <c r="M2881" s="1">
        <v>6</v>
      </c>
      <c r="N2881" s="1">
        <v>6</v>
      </c>
      <c r="O2881" s="1">
        <v>6</v>
      </c>
      <c r="T2881" s="9"/>
      <c r="U2881" s="1">
        <f t="shared" si="4816"/>
        <v>66</v>
      </c>
      <c r="V2881" s="1">
        <f t="shared" si="4817"/>
        <v>220</v>
      </c>
    </row>
    <row r="2882" spans="1:22" x14ac:dyDescent="0.3">
      <c r="A2882" s="1">
        <f t="shared" si="4840"/>
        <v>66221</v>
      </c>
      <c r="B2882" s="4"/>
      <c r="C2882" s="4"/>
      <c r="D2882" s="4"/>
      <c r="E2882" s="4"/>
      <c r="F2882" s="14"/>
      <c r="G2882" s="8"/>
      <c r="H2882" s="7"/>
      <c r="J2882" s="24" t="str">
        <f t="shared" ref="J2882" si="4896">CONCATENATE(K2881,1)</f>
        <v>61</v>
      </c>
      <c r="K2882" s="6" t="e">
        <f t="array" ref="K2882:O2884">LINEST(B2878:B2883,C2878:C2883^{1,2,3,4},TRUE,TRUE)</f>
        <v>#VALUE!</v>
      </c>
      <c r="L2882" s="6" t="e">
        <v>#VALUE!</v>
      </c>
      <c r="M2882" s="6" t="e">
        <v>#VALUE!</v>
      </c>
      <c r="N2882" s="6" t="e">
        <v>#VALUE!</v>
      </c>
      <c r="O2882" s="6" t="e">
        <v>#VALUE!</v>
      </c>
      <c r="T2882" s="9"/>
      <c r="U2882" s="1">
        <f t="shared" si="4816"/>
        <v>66</v>
      </c>
      <c r="V2882" s="1">
        <f t="shared" si="4817"/>
        <v>221</v>
      </c>
    </row>
    <row r="2883" spans="1:22" x14ac:dyDescent="0.3">
      <c r="A2883" s="1">
        <f t="shared" si="4840"/>
        <v>66222</v>
      </c>
      <c r="B2883" s="4"/>
      <c r="C2883" s="4"/>
      <c r="D2883" s="4"/>
      <c r="E2883" s="4"/>
      <c r="F2883" s="14"/>
      <c r="G2883" s="8"/>
      <c r="H2883" s="7"/>
      <c r="J2883" s="24" t="str">
        <f t="shared" ref="J2883" si="4897">CONCATENATE(K2881,2)</f>
        <v>62</v>
      </c>
      <c r="K2883" s="6" t="e">
        <v>#VALUE!</v>
      </c>
      <c r="L2883" s="6" t="e">
        <v>#VALUE!</v>
      </c>
      <c r="M2883" s="6" t="e">
        <v>#VALUE!</v>
      </c>
      <c r="N2883" s="6" t="e">
        <v>#VALUE!</v>
      </c>
      <c r="O2883" s="6" t="e">
        <v>#VALUE!</v>
      </c>
      <c r="T2883" s="9"/>
      <c r="U2883" s="1">
        <f t="shared" si="4816"/>
        <v>66</v>
      </c>
      <c r="V2883" s="1">
        <f t="shared" si="4817"/>
        <v>222</v>
      </c>
    </row>
    <row r="2884" spans="1:22" x14ac:dyDescent="0.3">
      <c r="A2884" s="1">
        <f t="shared" si="4840"/>
        <v>66223</v>
      </c>
      <c r="B2884" s="4"/>
      <c r="C2884" s="4"/>
      <c r="D2884" s="4"/>
      <c r="E2884" s="4"/>
      <c r="F2884" s="14"/>
      <c r="G2884" s="8"/>
      <c r="H2884" s="7"/>
      <c r="J2884" s="24" t="str">
        <f t="shared" ref="J2884" si="4898">CONCATENATE(K2881,3)</f>
        <v>63</v>
      </c>
      <c r="K2884" s="6" t="e">
        <v>#VALUE!</v>
      </c>
      <c r="L2884" s="6" t="e">
        <v>#VALUE!</v>
      </c>
      <c r="M2884" s="6" t="e">
        <v>#VALUE!</v>
      </c>
      <c r="N2884" s="6" t="e">
        <v>#VALUE!</v>
      </c>
      <c r="O2884" s="6" t="e">
        <v>#VALUE!</v>
      </c>
      <c r="T2884" s="9"/>
      <c r="U2884" s="1">
        <f t="shared" si="4816"/>
        <v>66</v>
      </c>
      <c r="V2884" s="1">
        <f t="shared" si="4817"/>
        <v>223</v>
      </c>
    </row>
    <row r="2885" spans="1:22" x14ac:dyDescent="0.3">
      <c r="A2885" s="1">
        <f t="shared" si="4840"/>
        <v>66224</v>
      </c>
      <c r="B2885" s="4"/>
      <c r="C2885" s="4"/>
      <c r="D2885" s="4"/>
      <c r="E2885" s="4"/>
      <c r="F2885" s="14"/>
      <c r="G2885" s="8"/>
      <c r="H2885" s="7"/>
      <c r="K2885" s="1">
        <v>7</v>
      </c>
      <c r="L2885" s="1">
        <v>7</v>
      </c>
      <c r="M2885" s="1">
        <v>7</v>
      </c>
      <c r="N2885" s="1">
        <v>7</v>
      </c>
      <c r="O2885" s="1">
        <v>7</v>
      </c>
      <c r="P2885" s="1">
        <v>7</v>
      </c>
      <c r="T2885" s="9"/>
      <c r="U2885" s="1">
        <f t="shared" si="4816"/>
        <v>66</v>
      </c>
      <c r="V2885" s="1">
        <f t="shared" si="4817"/>
        <v>224</v>
      </c>
    </row>
    <row r="2886" spans="1:22" x14ac:dyDescent="0.3">
      <c r="A2886" s="1">
        <f t="shared" si="4840"/>
        <v>66225</v>
      </c>
      <c r="B2886" s="4"/>
      <c r="C2886" s="4"/>
      <c r="D2886" s="4"/>
      <c r="E2886" s="4"/>
      <c r="F2886" s="14"/>
      <c r="G2886" s="8"/>
      <c r="H2886" s="7"/>
      <c r="J2886" s="24" t="str">
        <f t="shared" ref="J2886" si="4899">CONCATENATE(K2885,1)</f>
        <v>71</v>
      </c>
      <c r="K2886" s="6" t="e">
        <f t="array" ref="K2886:P2888">LINEST(B2878:B2884,C2878:C2884^{1,2,3,4,5},TRUE,TRUE)</f>
        <v>#VALUE!</v>
      </c>
      <c r="L2886" s="6" t="e">
        <v>#VALUE!</v>
      </c>
      <c r="M2886" s="6" t="e">
        <v>#VALUE!</v>
      </c>
      <c r="N2886" s="6" t="e">
        <v>#VALUE!</v>
      </c>
      <c r="O2886" s="6" t="e">
        <v>#VALUE!</v>
      </c>
      <c r="P2886" s="6" t="e">
        <v>#VALUE!</v>
      </c>
      <c r="T2886" s="9"/>
      <c r="U2886" s="1">
        <f t="shared" si="4816"/>
        <v>66</v>
      </c>
      <c r="V2886" s="1">
        <f t="shared" si="4817"/>
        <v>225</v>
      </c>
    </row>
    <row r="2887" spans="1:22" x14ac:dyDescent="0.3">
      <c r="A2887" s="1">
        <f t="shared" si="4840"/>
        <v>66226</v>
      </c>
      <c r="B2887" s="4"/>
      <c r="C2887" s="4"/>
      <c r="D2887" s="4"/>
      <c r="E2887" s="4"/>
      <c r="F2887" s="14"/>
      <c r="G2887" s="8"/>
      <c r="H2887" s="7"/>
      <c r="J2887" s="24" t="str">
        <f t="shared" ref="J2887" si="4900">CONCATENATE(K2885,2)</f>
        <v>72</v>
      </c>
      <c r="K2887" s="6" t="e">
        <v>#VALUE!</v>
      </c>
      <c r="L2887" s="6" t="e">
        <v>#VALUE!</v>
      </c>
      <c r="M2887" s="6" t="e">
        <v>#VALUE!</v>
      </c>
      <c r="N2887" s="6" t="e">
        <v>#VALUE!</v>
      </c>
      <c r="O2887" s="6" t="e">
        <v>#VALUE!</v>
      </c>
      <c r="P2887" s="6" t="e">
        <v>#VALUE!</v>
      </c>
      <c r="T2887" s="9"/>
      <c r="U2887" s="1">
        <f t="shared" si="4816"/>
        <v>66</v>
      </c>
      <c r="V2887" s="1">
        <f t="shared" si="4817"/>
        <v>226</v>
      </c>
    </row>
    <row r="2888" spans="1:22" x14ac:dyDescent="0.3">
      <c r="A2888" s="1">
        <f t="shared" si="4840"/>
        <v>66227</v>
      </c>
      <c r="B2888" s="9"/>
      <c r="C2888" s="9"/>
      <c r="D2888" s="9"/>
      <c r="E2888" s="9"/>
      <c r="F2888" s="9"/>
      <c r="G2888" s="9"/>
      <c r="H2888" s="9"/>
      <c r="J2888" s="24" t="str">
        <f t="shared" ref="J2888" si="4901">CONCATENATE(K2885,3)</f>
        <v>73</v>
      </c>
      <c r="K2888" s="6" t="e">
        <v>#VALUE!</v>
      </c>
      <c r="L2888" s="6" t="e">
        <v>#VALUE!</v>
      </c>
      <c r="M2888" s="6" t="e">
        <v>#VALUE!</v>
      </c>
      <c r="N2888" s="6" t="e">
        <v>#VALUE!</v>
      </c>
      <c r="O2888" s="6" t="e">
        <v>#VALUE!</v>
      </c>
      <c r="P2888" s="6" t="e">
        <v>#VALUE!</v>
      </c>
      <c r="T2888" s="9"/>
      <c r="U2888" s="1">
        <f t="shared" si="4816"/>
        <v>66</v>
      </c>
      <c r="V2888" s="1">
        <f t="shared" si="4817"/>
        <v>227</v>
      </c>
    </row>
    <row r="2889" spans="1:22" x14ac:dyDescent="0.3">
      <c r="A2889" s="1">
        <f t="shared" si="4840"/>
        <v>66228</v>
      </c>
      <c r="B2889" s="87" t="s">
        <v>33</v>
      </c>
      <c r="C2889" s="88"/>
      <c r="D2889" s="88"/>
      <c r="E2889" s="88"/>
      <c r="F2889" s="88"/>
      <c r="G2889" s="88"/>
      <c r="H2889" s="89"/>
      <c r="K2889" s="1">
        <v>8</v>
      </c>
      <c r="L2889" s="1">
        <v>8</v>
      </c>
      <c r="M2889" s="1">
        <v>8</v>
      </c>
      <c r="N2889" s="1">
        <v>8</v>
      </c>
      <c r="O2889" s="1">
        <v>8</v>
      </c>
      <c r="P2889" s="1">
        <v>8</v>
      </c>
      <c r="Q2889" s="1">
        <v>8</v>
      </c>
      <c r="T2889" s="9"/>
      <c r="U2889" s="1">
        <f t="shared" si="4816"/>
        <v>66</v>
      </c>
      <c r="V2889" s="1">
        <f t="shared" si="4817"/>
        <v>228</v>
      </c>
    </row>
    <row r="2890" spans="1:22" x14ac:dyDescent="0.3">
      <c r="A2890" s="1">
        <f t="shared" si="4840"/>
        <v>66229</v>
      </c>
      <c r="B2890" s="90"/>
      <c r="C2890" s="91"/>
      <c r="D2890" s="91"/>
      <c r="E2890" s="91"/>
      <c r="F2890" s="91"/>
      <c r="G2890" s="91"/>
      <c r="H2890" s="92"/>
      <c r="J2890" s="24" t="str">
        <f t="shared" ref="J2890" si="4902">CONCATENATE(K2889,1)</f>
        <v>81</v>
      </c>
      <c r="K2890" s="6" t="e">
        <f t="array" ref="K2890:Q2892">LINEST(B2878:B2885,C2878:C2885^{1,2,3,4,5,6},TRUE,TRUE)</f>
        <v>#VALUE!</v>
      </c>
      <c r="L2890" s="6" t="e">
        <v>#VALUE!</v>
      </c>
      <c r="M2890" s="6" t="e">
        <v>#VALUE!</v>
      </c>
      <c r="N2890" s="6" t="e">
        <v>#VALUE!</v>
      </c>
      <c r="O2890" s="6" t="e">
        <v>#VALUE!</v>
      </c>
      <c r="P2890" s="6" t="e">
        <v>#VALUE!</v>
      </c>
      <c r="Q2890" s="6" t="e">
        <v>#VALUE!</v>
      </c>
      <c r="T2890" s="9"/>
      <c r="U2890" s="1">
        <f t="shared" si="4816"/>
        <v>66</v>
      </c>
      <c r="V2890" s="1">
        <f t="shared" si="4817"/>
        <v>229</v>
      </c>
    </row>
    <row r="2891" spans="1:22" x14ac:dyDescent="0.3">
      <c r="A2891" s="1">
        <f t="shared" si="4840"/>
        <v>66230</v>
      </c>
      <c r="B2891" s="93"/>
      <c r="C2891" s="94"/>
      <c r="D2891" s="94"/>
      <c r="E2891" s="94"/>
      <c r="F2891" s="94"/>
      <c r="G2891" s="94"/>
      <c r="H2891" s="95"/>
      <c r="J2891" s="24" t="str">
        <f t="shared" ref="J2891" si="4903">CONCATENATE(K2889,2)</f>
        <v>82</v>
      </c>
      <c r="K2891" s="6" t="e">
        <v>#VALUE!</v>
      </c>
      <c r="L2891" s="6" t="e">
        <v>#VALUE!</v>
      </c>
      <c r="M2891" s="6" t="e">
        <v>#VALUE!</v>
      </c>
      <c r="N2891" s="6" t="e">
        <v>#VALUE!</v>
      </c>
      <c r="O2891" s="6" t="e">
        <v>#VALUE!</v>
      </c>
      <c r="P2891" s="6" t="e">
        <v>#VALUE!</v>
      </c>
      <c r="Q2891" s="6" t="e">
        <v>#VALUE!</v>
      </c>
      <c r="T2891" s="9"/>
      <c r="U2891" s="1">
        <f t="shared" si="4816"/>
        <v>66</v>
      </c>
      <c r="V2891" s="1">
        <f t="shared" si="4817"/>
        <v>230</v>
      </c>
    </row>
    <row r="2892" spans="1:22" x14ac:dyDescent="0.3">
      <c r="A2892" s="1">
        <f t="shared" si="4840"/>
        <v>66231</v>
      </c>
      <c r="J2892" s="24" t="str">
        <f t="shared" ref="J2892" si="4904">CONCATENATE(K2889,3)</f>
        <v>83</v>
      </c>
      <c r="K2892" s="6" t="e">
        <v>#VALUE!</v>
      </c>
      <c r="L2892" s="6" t="e">
        <v>#VALUE!</v>
      </c>
      <c r="M2892" s="6" t="e">
        <v>#VALUE!</v>
      </c>
      <c r="N2892" s="6" t="e">
        <v>#VALUE!</v>
      </c>
      <c r="O2892" s="6" t="e">
        <v>#VALUE!</v>
      </c>
      <c r="P2892" s="6" t="e">
        <v>#VALUE!</v>
      </c>
      <c r="Q2892" s="6" t="e">
        <v>#VALUE!</v>
      </c>
      <c r="T2892" s="9"/>
      <c r="U2892" s="1">
        <f t="shared" si="4816"/>
        <v>66</v>
      </c>
      <c r="V2892" s="1">
        <f t="shared" si="4817"/>
        <v>231</v>
      </c>
    </row>
    <row r="2893" spans="1:22" ht="15" customHeight="1" x14ac:dyDescent="0.3">
      <c r="A2893" s="1">
        <f t="shared" si="4840"/>
        <v>66232</v>
      </c>
      <c r="B2893" s="10" t="s">
        <v>34</v>
      </c>
      <c r="C2893" s="10" t="s">
        <v>35</v>
      </c>
      <c r="D2893" s="10" t="s">
        <v>36</v>
      </c>
      <c r="E2893" s="74" t="s">
        <v>37</v>
      </c>
      <c r="F2893" s="75"/>
      <c r="G2893" s="76"/>
      <c r="K2893" s="1">
        <v>9</v>
      </c>
      <c r="L2893" s="1">
        <v>9</v>
      </c>
      <c r="M2893" s="1">
        <v>9</v>
      </c>
      <c r="N2893" s="1">
        <v>9</v>
      </c>
      <c r="O2893" s="1">
        <v>9</v>
      </c>
      <c r="P2893" s="1">
        <v>9</v>
      </c>
      <c r="Q2893" s="1">
        <v>9</v>
      </c>
      <c r="R2893" s="1">
        <v>9</v>
      </c>
      <c r="T2893" s="9"/>
      <c r="U2893" s="1">
        <f t="shared" si="4816"/>
        <v>66</v>
      </c>
      <c r="V2893" s="1">
        <f t="shared" si="4817"/>
        <v>232</v>
      </c>
    </row>
    <row r="2894" spans="1:22" x14ac:dyDescent="0.3">
      <c r="A2894" s="1">
        <f t="shared" si="4840"/>
        <v>66233</v>
      </c>
      <c r="B2894" s="12">
        <f t="shared" ref="B2894:B2903" si="4905">C2878-B2878</f>
        <v>3</v>
      </c>
      <c r="C2894" s="13">
        <f t="shared" ref="C2894:C2903" si="4906">H2878-G2878</f>
        <v>2</v>
      </c>
      <c r="D2894" s="10">
        <f t="shared" ref="D2894:D2903" si="4907">C2894-B2894</f>
        <v>-1</v>
      </c>
      <c r="E2894" s="11">
        <f t="shared" ref="E2894" si="4908">IF(D2869="","",MAX(F2894,G2894))</f>
        <v>2</v>
      </c>
      <c r="F2894" s="10">
        <f t="shared" ref="F2894" si="4909">ABS(MIN(D2894:D2903))</f>
        <v>2</v>
      </c>
      <c r="G2894" s="10">
        <f t="shared" ref="G2894" si="4910">ABS(MAX(D2894:D2903))</f>
        <v>0</v>
      </c>
      <c r="J2894" s="24" t="str">
        <f t="shared" ref="J2894" si="4911">CONCATENATE(K2893,1)</f>
        <v>91</v>
      </c>
      <c r="K2894" s="6" t="e">
        <f t="array" ref="K2894:R2896">LINEST(B2878:B2886,C2878:C2886^{1,2,3,4,5,6,7},TRUE,TRUE)</f>
        <v>#VALUE!</v>
      </c>
      <c r="L2894" s="6" t="e">
        <v>#VALUE!</v>
      </c>
      <c r="M2894" s="6" t="e">
        <v>#VALUE!</v>
      </c>
      <c r="N2894" s="6" t="e">
        <v>#VALUE!</v>
      </c>
      <c r="O2894" s="6" t="e">
        <v>#VALUE!</v>
      </c>
      <c r="P2894" s="6" t="e">
        <v>#VALUE!</v>
      </c>
      <c r="Q2894" s="6" t="e">
        <v>#VALUE!</v>
      </c>
      <c r="R2894" s="6" t="e">
        <v>#VALUE!</v>
      </c>
      <c r="T2894" s="9"/>
      <c r="U2894" s="1">
        <f t="shared" si="4816"/>
        <v>66</v>
      </c>
      <c r="V2894" s="1">
        <f t="shared" si="4817"/>
        <v>233</v>
      </c>
    </row>
    <row r="2895" spans="1:22" x14ac:dyDescent="0.3">
      <c r="A2895" s="1">
        <f t="shared" si="4840"/>
        <v>66234</v>
      </c>
      <c r="B2895" s="12">
        <f t="shared" si="4905"/>
        <v>2</v>
      </c>
      <c r="C2895" s="13">
        <f t="shared" si="4906"/>
        <v>1</v>
      </c>
      <c r="D2895" s="10">
        <f t="shared" si="4907"/>
        <v>-1</v>
      </c>
      <c r="E2895" s="74" t="s">
        <v>38</v>
      </c>
      <c r="F2895" s="75"/>
      <c r="G2895" s="76"/>
      <c r="J2895" s="24" t="str">
        <f t="shared" ref="J2895" si="4912">CONCATENATE(K2893,2)</f>
        <v>92</v>
      </c>
      <c r="K2895" s="6" t="e">
        <v>#VALUE!</v>
      </c>
      <c r="L2895" s="6" t="e">
        <v>#VALUE!</v>
      </c>
      <c r="M2895" s="6" t="e">
        <v>#VALUE!</v>
      </c>
      <c r="N2895" s="6" t="e">
        <v>#VALUE!</v>
      </c>
      <c r="O2895" s="6" t="e">
        <v>#VALUE!</v>
      </c>
      <c r="P2895" s="6" t="e">
        <v>#VALUE!</v>
      </c>
      <c r="Q2895" s="6" t="e">
        <v>#VALUE!</v>
      </c>
      <c r="R2895" s="6" t="e">
        <v>#VALUE!</v>
      </c>
      <c r="T2895" s="9"/>
      <c r="U2895" s="1">
        <f t="shared" si="4816"/>
        <v>66</v>
      </c>
      <c r="V2895" s="1">
        <f t="shared" si="4817"/>
        <v>234</v>
      </c>
    </row>
    <row r="2896" spans="1:22" x14ac:dyDescent="0.3">
      <c r="A2896" s="1">
        <f t="shared" si="4840"/>
        <v>66235</v>
      </c>
      <c r="B2896" s="12">
        <f t="shared" si="4905"/>
        <v>3</v>
      </c>
      <c r="C2896" s="13">
        <f t="shared" si="4906"/>
        <v>1</v>
      </c>
      <c r="D2896" s="10">
        <f t="shared" si="4907"/>
        <v>-2</v>
      </c>
      <c r="E2896" s="11">
        <f t="shared" ref="E2896" si="4913">IF(D2869="","",MAX(F2896,G2896))</f>
        <v>3</v>
      </c>
      <c r="F2896" s="10">
        <f t="shared" ref="F2896" si="4914">ABS(MIN(B2894:B2903))</f>
        <v>0</v>
      </c>
      <c r="G2896" s="10">
        <f t="shared" ref="G2896" si="4915">ABS(MAX(B2894:B2903))</f>
        <v>3</v>
      </c>
      <c r="J2896" s="24" t="str">
        <f t="shared" ref="J2896" si="4916">CONCATENATE(K2893,3)</f>
        <v>93</v>
      </c>
      <c r="K2896" s="6" t="e">
        <v>#VALUE!</v>
      </c>
      <c r="L2896" s="6" t="e">
        <v>#VALUE!</v>
      </c>
      <c r="M2896" s="6" t="e">
        <v>#VALUE!</v>
      </c>
      <c r="N2896" s="6" t="e">
        <v>#VALUE!</v>
      </c>
      <c r="O2896" s="6" t="e">
        <v>#VALUE!</v>
      </c>
      <c r="P2896" s="6" t="e">
        <v>#VALUE!</v>
      </c>
      <c r="Q2896" s="6" t="e">
        <v>#VALUE!</v>
      </c>
      <c r="R2896" s="6" t="e">
        <v>#VALUE!</v>
      </c>
      <c r="T2896" s="9"/>
      <c r="U2896" s="1">
        <f t="shared" si="4816"/>
        <v>66</v>
      </c>
      <c r="V2896" s="1">
        <f t="shared" si="4817"/>
        <v>235</v>
      </c>
    </row>
    <row r="2897" spans="1:22" x14ac:dyDescent="0.3">
      <c r="A2897" s="1">
        <f t="shared" si="4840"/>
        <v>66236</v>
      </c>
      <c r="B2897" s="12">
        <f t="shared" si="4905"/>
        <v>0</v>
      </c>
      <c r="C2897" s="13">
        <f t="shared" si="4906"/>
        <v>0</v>
      </c>
      <c r="D2897" s="10">
        <f t="shared" si="4907"/>
        <v>0</v>
      </c>
      <c r="E2897" s="74" t="s">
        <v>39</v>
      </c>
      <c r="F2897" s="75"/>
      <c r="G2897" s="76"/>
      <c r="K2897" s="1">
        <v>10</v>
      </c>
      <c r="L2897" s="1">
        <v>10</v>
      </c>
      <c r="M2897" s="1">
        <v>10</v>
      </c>
      <c r="N2897" s="1">
        <v>10</v>
      </c>
      <c r="O2897" s="1">
        <v>10</v>
      </c>
      <c r="P2897" s="1">
        <v>10</v>
      </c>
      <c r="Q2897" s="1">
        <v>10</v>
      </c>
      <c r="R2897" s="1">
        <v>10</v>
      </c>
      <c r="S2897" s="1">
        <v>10</v>
      </c>
      <c r="T2897" s="9"/>
      <c r="U2897" s="1">
        <f t="shared" si="4816"/>
        <v>66</v>
      </c>
      <c r="V2897" s="1">
        <f t="shared" si="4817"/>
        <v>236</v>
      </c>
    </row>
    <row r="2898" spans="1:22" x14ac:dyDescent="0.3">
      <c r="A2898" s="1">
        <f t="shared" si="4840"/>
        <v>66237</v>
      </c>
      <c r="B2898" s="12">
        <f t="shared" si="4905"/>
        <v>0</v>
      </c>
      <c r="C2898" s="13">
        <f t="shared" si="4906"/>
        <v>0</v>
      </c>
      <c r="D2898" s="10">
        <f t="shared" si="4907"/>
        <v>0</v>
      </c>
      <c r="E2898" s="11">
        <f t="shared" ref="E2898" si="4917">IF(D2869="","",MAX(F2898,G2898))</f>
        <v>2</v>
      </c>
      <c r="F2898" s="10">
        <f t="shared" ref="F2898" si="4918">ABS(MIN(D2878:D2887))</f>
        <v>1</v>
      </c>
      <c r="G2898" s="10">
        <f t="shared" ref="G2898" si="4919">ABS(MAX(D2878:D2887))</f>
        <v>2</v>
      </c>
      <c r="J2898" s="24" t="str">
        <f t="shared" ref="J2898" si="4920">CONCATENATE(K2897,1)</f>
        <v>101</v>
      </c>
      <c r="K2898" s="6" t="e">
        <f t="array" ref="K2898:S2900">LINEST(B2878:B2887,C2878:C2887^{1,2,3,4,5,6,7,8},TRUE,TRUE)</f>
        <v>#VALUE!</v>
      </c>
      <c r="L2898" s="6" t="e">
        <v>#VALUE!</v>
      </c>
      <c r="M2898" s="6" t="e">
        <v>#VALUE!</v>
      </c>
      <c r="N2898" s="6" t="e">
        <v>#VALUE!</v>
      </c>
      <c r="O2898" s="6" t="e">
        <v>#VALUE!</v>
      </c>
      <c r="P2898" s="6" t="e">
        <v>#VALUE!</v>
      </c>
      <c r="Q2898" s="6" t="e">
        <v>#VALUE!</v>
      </c>
      <c r="R2898" s="6" t="e">
        <v>#VALUE!</v>
      </c>
      <c r="S2898" s="6" t="e">
        <v>#VALUE!</v>
      </c>
      <c r="T2898" s="9"/>
      <c r="U2898" s="1">
        <f t="shared" si="4816"/>
        <v>66</v>
      </c>
      <c r="V2898" s="1">
        <f t="shared" si="4817"/>
        <v>237</v>
      </c>
    </row>
    <row r="2899" spans="1:22" x14ac:dyDescent="0.3">
      <c r="A2899" s="1">
        <f t="shared" si="4840"/>
        <v>66238</v>
      </c>
      <c r="B2899" s="12">
        <f t="shared" si="4905"/>
        <v>0</v>
      </c>
      <c r="C2899" s="13">
        <f t="shared" si="4906"/>
        <v>0</v>
      </c>
      <c r="D2899" s="10">
        <f t="shared" si="4907"/>
        <v>0</v>
      </c>
      <c r="J2899" s="24" t="str">
        <f t="shared" ref="J2899" si="4921">CONCATENATE(K2897,2)</f>
        <v>102</v>
      </c>
      <c r="K2899" s="6" t="e">
        <v>#VALUE!</v>
      </c>
      <c r="L2899" s="6" t="e">
        <v>#VALUE!</v>
      </c>
      <c r="M2899" s="6" t="e">
        <v>#VALUE!</v>
      </c>
      <c r="N2899" s="6" t="e">
        <v>#VALUE!</v>
      </c>
      <c r="O2899" s="6" t="e">
        <v>#VALUE!</v>
      </c>
      <c r="P2899" s="6" t="e">
        <v>#VALUE!</v>
      </c>
      <c r="Q2899" s="6" t="e">
        <v>#VALUE!</v>
      </c>
      <c r="R2899" s="6" t="e">
        <v>#VALUE!</v>
      </c>
      <c r="S2899" s="6" t="e">
        <v>#VALUE!</v>
      </c>
      <c r="T2899" s="9"/>
      <c r="U2899" s="1">
        <f t="shared" si="4816"/>
        <v>66</v>
      </c>
      <c r="V2899" s="1">
        <f t="shared" si="4817"/>
        <v>238</v>
      </c>
    </row>
    <row r="2900" spans="1:22" x14ac:dyDescent="0.3">
      <c r="A2900" s="1">
        <f t="shared" si="4840"/>
        <v>66239</v>
      </c>
      <c r="B2900" s="12">
        <f t="shared" si="4905"/>
        <v>0</v>
      </c>
      <c r="C2900" s="13">
        <f t="shared" si="4906"/>
        <v>0</v>
      </c>
      <c r="D2900" s="10">
        <f t="shared" si="4907"/>
        <v>0</v>
      </c>
      <c r="J2900" s="24" t="str">
        <f t="shared" ref="J2900" si="4922">CONCATENATE(K2897,3)</f>
        <v>103</v>
      </c>
      <c r="K2900" s="6" t="e">
        <v>#VALUE!</v>
      </c>
      <c r="L2900" s="6" t="e">
        <v>#VALUE!</v>
      </c>
      <c r="M2900" s="6" t="e">
        <v>#VALUE!</v>
      </c>
      <c r="N2900" s="6" t="e">
        <v>#VALUE!</v>
      </c>
      <c r="O2900" s="6" t="e">
        <v>#VALUE!</v>
      </c>
      <c r="P2900" s="6" t="e">
        <v>#VALUE!</v>
      </c>
      <c r="Q2900" s="6" t="e">
        <v>#VALUE!</v>
      </c>
      <c r="R2900" s="6" t="e">
        <v>#VALUE!</v>
      </c>
      <c r="S2900" s="6" t="e">
        <v>#VALUE!</v>
      </c>
      <c r="T2900" s="9"/>
      <c r="U2900" s="1">
        <f t="shared" si="4816"/>
        <v>66</v>
      </c>
      <c r="V2900" s="1">
        <f t="shared" si="4817"/>
        <v>239</v>
      </c>
    </row>
    <row r="2901" spans="1:22" x14ac:dyDescent="0.3">
      <c r="A2901" s="1">
        <f t="shared" si="4840"/>
        <v>66240</v>
      </c>
      <c r="B2901" s="12">
        <f t="shared" si="4905"/>
        <v>0</v>
      </c>
      <c r="C2901" s="13">
        <f t="shared" si="4906"/>
        <v>0</v>
      </c>
      <c r="D2901" s="10">
        <f t="shared" si="4907"/>
        <v>0</v>
      </c>
      <c r="J2901" s="9"/>
      <c r="K2901" s="9"/>
      <c r="L2901" s="9"/>
      <c r="M2901" s="9"/>
      <c r="N2901" s="9"/>
      <c r="O2901" s="9"/>
      <c r="P2901" s="9"/>
      <c r="Q2901" s="9"/>
      <c r="R2901" s="9"/>
      <c r="S2901" s="9"/>
      <c r="T2901" s="9"/>
      <c r="U2901" s="1">
        <f t="shared" si="4816"/>
        <v>66</v>
      </c>
      <c r="V2901" s="1">
        <f t="shared" si="4817"/>
        <v>240</v>
      </c>
    </row>
    <row r="2902" spans="1:22" x14ac:dyDescent="0.3">
      <c r="A2902" s="1">
        <f t="shared" si="4840"/>
        <v>66241</v>
      </c>
      <c r="B2902" s="12">
        <f t="shared" si="4905"/>
        <v>0</v>
      </c>
      <c r="C2902" s="13">
        <f t="shared" si="4906"/>
        <v>0</v>
      </c>
      <c r="D2902" s="10">
        <f t="shared" si="4907"/>
        <v>0</v>
      </c>
      <c r="J2902" s="9"/>
      <c r="K2902" s="9"/>
      <c r="L2902" s="9"/>
      <c r="M2902" s="9"/>
      <c r="N2902" s="9"/>
      <c r="O2902" s="9"/>
      <c r="P2902" s="9"/>
      <c r="Q2902" s="9"/>
      <c r="R2902" s="9"/>
      <c r="S2902" s="9"/>
      <c r="T2902" s="9"/>
      <c r="U2902" s="1">
        <f t="shared" si="4816"/>
        <v>66</v>
      </c>
      <c r="V2902" s="1">
        <f t="shared" si="4817"/>
        <v>241</v>
      </c>
    </row>
    <row r="2903" spans="1:22" x14ac:dyDescent="0.3">
      <c r="A2903" s="1">
        <f t="shared" si="4840"/>
        <v>66242</v>
      </c>
      <c r="B2903" s="12">
        <f t="shared" si="4905"/>
        <v>0</v>
      </c>
      <c r="C2903" s="13">
        <f t="shared" si="4906"/>
        <v>0</v>
      </c>
      <c r="D2903" s="10">
        <f t="shared" si="4907"/>
        <v>0</v>
      </c>
      <c r="J2903" s="9"/>
      <c r="K2903" s="9"/>
      <c r="L2903" s="9"/>
      <c r="M2903" s="9"/>
      <c r="N2903" s="9"/>
      <c r="O2903" s="9"/>
      <c r="P2903" s="9"/>
      <c r="Q2903" s="9"/>
      <c r="R2903" s="9"/>
      <c r="S2903" s="9"/>
      <c r="T2903" s="9"/>
      <c r="U2903" s="1">
        <f t="shared" si="4816"/>
        <v>66</v>
      </c>
      <c r="V2903" s="1">
        <f t="shared" si="4817"/>
        <v>242</v>
      </c>
    </row>
    <row r="2904" spans="1:22" x14ac:dyDescent="0.3">
      <c r="A2904" s="1">
        <f t="shared" si="4840"/>
        <v>66243</v>
      </c>
      <c r="J2904" s="9"/>
      <c r="K2904" s="9"/>
      <c r="L2904" s="9"/>
      <c r="M2904" s="9"/>
      <c r="N2904" s="9"/>
      <c r="O2904" s="9"/>
      <c r="P2904" s="9"/>
      <c r="Q2904" s="9"/>
      <c r="R2904" s="9"/>
      <c r="S2904" s="9"/>
      <c r="T2904" s="9"/>
      <c r="U2904" s="1">
        <f t="shared" si="4816"/>
        <v>66</v>
      </c>
      <c r="V2904" s="1">
        <f t="shared" si="4817"/>
        <v>243</v>
      </c>
    </row>
    <row r="2905" spans="1:22" s="5" customFormat="1" x14ac:dyDescent="0.3"/>
    <row r="2906" spans="1:22" x14ac:dyDescent="0.3">
      <c r="A2906" s="1">
        <f t="shared" ref="A2906:A2948" si="4923">ROUND(CONCATENATE(U2906,V2906),0)</f>
        <v>67201</v>
      </c>
      <c r="B2906" s="96" t="s">
        <v>0</v>
      </c>
      <c r="C2906" s="97"/>
      <c r="D2906" s="110" t="s">
        <v>46</v>
      </c>
      <c r="E2906" s="111"/>
      <c r="F2906" s="111"/>
      <c r="G2906" s="111"/>
      <c r="H2906" s="112"/>
      <c r="J2906" s="9"/>
      <c r="K2906" s="9"/>
      <c r="L2906" s="9"/>
      <c r="M2906" s="9"/>
      <c r="N2906" s="9"/>
      <c r="O2906" s="9"/>
      <c r="P2906" s="9"/>
      <c r="Q2906" s="9"/>
      <c r="R2906" s="9"/>
      <c r="S2906" s="9"/>
      <c r="T2906" s="9"/>
      <c r="U2906" s="1">
        <f t="shared" ref="U2906" si="4924">U2904+1</f>
        <v>67</v>
      </c>
      <c r="V2906" s="1">
        <v>201</v>
      </c>
    </row>
    <row r="2907" spans="1:22" x14ac:dyDescent="0.3">
      <c r="A2907" s="1">
        <f t="shared" si="4923"/>
        <v>67202</v>
      </c>
      <c r="B2907" s="96" t="s">
        <v>1</v>
      </c>
      <c r="C2907" s="97"/>
      <c r="D2907" s="15">
        <v>20</v>
      </c>
      <c r="E2907" s="16" t="s">
        <v>2</v>
      </c>
      <c r="F2907" s="107"/>
      <c r="G2907" s="108"/>
      <c r="H2907" s="109"/>
      <c r="J2907" s="9"/>
      <c r="K2907" s="9"/>
      <c r="L2907" s="9"/>
      <c r="M2907" s="9"/>
      <c r="N2907" s="9"/>
      <c r="O2907" s="9"/>
      <c r="P2907" s="9"/>
      <c r="Q2907" s="9"/>
      <c r="R2907" s="9"/>
      <c r="S2907" s="9"/>
      <c r="T2907" s="9"/>
      <c r="U2907" s="1">
        <f t="shared" ref="U2907:U2970" si="4925">U2906</f>
        <v>67</v>
      </c>
      <c r="V2907" s="1">
        <f t="shared" ref="V2907:V2970" si="4926">V2906+1</f>
        <v>202</v>
      </c>
    </row>
    <row r="2908" spans="1:22" x14ac:dyDescent="0.3">
      <c r="A2908" s="1">
        <f t="shared" si="4923"/>
        <v>67203</v>
      </c>
      <c r="B2908" s="96" t="s">
        <v>12</v>
      </c>
      <c r="C2908" s="97"/>
      <c r="D2908" s="110" t="s">
        <v>260</v>
      </c>
      <c r="E2908" s="111"/>
      <c r="F2908" s="111"/>
      <c r="G2908" s="111"/>
      <c r="H2908" s="112"/>
      <c r="K2908" s="1" t="s">
        <v>3</v>
      </c>
      <c r="L2908" s="1" t="s">
        <v>4</v>
      </c>
      <c r="M2908" s="1" t="s">
        <v>5</v>
      </c>
      <c r="N2908" s="1" t="s">
        <v>6</v>
      </c>
      <c r="O2908" s="1" t="s">
        <v>7</v>
      </c>
      <c r="P2908" s="1" t="s">
        <v>8</v>
      </c>
      <c r="Q2908" s="1" t="s">
        <v>9</v>
      </c>
      <c r="R2908" s="1" t="s">
        <v>10</v>
      </c>
      <c r="S2908" s="1" t="s">
        <v>11</v>
      </c>
      <c r="T2908" s="9"/>
      <c r="U2908" s="1">
        <f t="shared" si="4925"/>
        <v>67</v>
      </c>
      <c r="V2908" s="1">
        <f t="shared" si="4926"/>
        <v>203</v>
      </c>
    </row>
    <row r="2909" spans="1:22" x14ac:dyDescent="0.3">
      <c r="A2909" s="1">
        <f t="shared" si="4923"/>
        <v>67204</v>
      </c>
      <c r="B2909" s="96" t="s">
        <v>13</v>
      </c>
      <c r="C2909" s="97"/>
      <c r="D2909" s="110" t="s">
        <v>65</v>
      </c>
      <c r="E2909" s="111"/>
      <c r="F2909" s="111"/>
      <c r="G2909" s="111"/>
      <c r="H2909" s="112"/>
      <c r="J2909" s="1">
        <f t="shared" ref="J2909" si="4927">COUNTA(B2922:B2931)</f>
        <v>3</v>
      </c>
      <c r="K2909" s="1">
        <f t="shared" ref="K2909" si="4928">IF(L2909-1&lt;2,0,L2909-1)</f>
        <v>0</v>
      </c>
      <c r="L2909" s="1">
        <f t="shared" ref="L2909" si="4929">IF(M2909-1&lt;2,0,M2909-1)</f>
        <v>0</v>
      </c>
      <c r="M2909" s="1">
        <f t="shared" ref="M2909" si="4930">IF(N2909-1&lt;2,0,N2909-1)</f>
        <v>0</v>
      </c>
      <c r="N2909" s="1">
        <f t="shared" ref="N2909" si="4931">IF(O2909-1&lt;2,0,O2909-1)</f>
        <v>0</v>
      </c>
      <c r="O2909" s="1">
        <f t="shared" ref="O2909" si="4932">IF(P2909-1&lt;2,0,P2909-1)</f>
        <v>0</v>
      </c>
      <c r="P2909" s="1">
        <f t="shared" ref="P2909" si="4933">IF(Q2909-1&lt;2,0,Q2909-1)</f>
        <v>0</v>
      </c>
      <c r="Q2909" s="1">
        <f t="shared" ref="Q2909" si="4934">IF(R2909-1&lt;2,0,R2909-1)</f>
        <v>0</v>
      </c>
      <c r="R2909" s="1">
        <f t="shared" ref="R2909" si="4935">IF(S2909-1&lt;2,0,S2909-1)</f>
        <v>2</v>
      </c>
      <c r="S2909" s="1">
        <f t="shared" ref="S2909" si="4936">J2909</f>
        <v>3</v>
      </c>
      <c r="T2909" s="9"/>
      <c r="U2909" s="1">
        <f t="shared" si="4925"/>
        <v>67</v>
      </c>
      <c r="V2909" s="1">
        <f t="shared" si="4926"/>
        <v>204</v>
      </c>
    </row>
    <row r="2910" spans="1:22" x14ac:dyDescent="0.3">
      <c r="A2910" s="1">
        <f t="shared" si="4923"/>
        <v>67205</v>
      </c>
      <c r="B2910" s="96" t="s">
        <v>14</v>
      </c>
      <c r="C2910" s="97"/>
      <c r="D2910" s="110" t="s">
        <v>66</v>
      </c>
      <c r="E2910" s="111"/>
      <c r="F2910" s="111"/>
      <c r="G2910" s="111"/>
      <c r="H2910" s="112"/>
      <c r="J2910" s="24" t="str">
        <f t="shared" ref="J2910" si="4937">CONCATENATE(J2909,1)</f>
        <v>31</v>
      </c>
      <c r="K2910" s="25">
        <f t="shared" ref="K2910" si="4938">IF(K2909=0,0,VLOOKUP(J2910,J2914:S2944,K2909,FALSE))</f>
        <v>0</v>
      </c>
      <c r="L2910" s="25">
        <f t="shared" ref="L2910" si="4939">IF(L2909=0,0,VLOOKUP(J2910,J2914:S2944,L2909,FALSE))</f>
        <v>0</v>
      </c>
      <c r="M2910" s="25">
        <f t="shared" ref="M2910" si="4940">IF(M2909=0,0,VLOOKUP(J2910,J2914:S2944,M2909,FALSE))</f>
        <v>0</v>
      </c>
      <c r="N2910" s="25">
        <f t="shared" ref="N2910" si="4941">IF(N2909=0,0,VLOOKUP(J2910,J2914:S2944,N2909,FALSE))</f>
        <v>0</v>
      </c>
      <c r="O2910" s="25">
        <f t="shared" ref="O2910" si="4942">IF(O2909=0,0,VLOOKUP(J2910,J2914:S2944,O2909,FALSE))</f>
        <v>0</v>
      </c>
      <c r="P2910" s="25">
        <f t="shared" ref="P2910" si="4943">IF(P2909=0,0,VLOOKUP(J2910,J2914:S2944,P2909,FALSE))</f>
        <v>0</v>
      </c>
      <c r="Q2910" s="25">
        <f t="shared" ref="Q2910" si="4944">IF(Q2909=0,0,VLOOKUP(J2910,J2914:S2944,Q2909,FALSE))</f>
        <v>0</v>
      </c>
      <c r="R2910" s="25">
        <f t="shared" ref="R2910" si="4945">IF(R2909=0,0,VLOOKUP(J2910,J2914:S2944,R2909,FALSE))</f>
        <v>0.99686028257456805</v>
      </c>
      <c r="S2910" s="25">
        <f t="shared" ref="S2910" si="4946">IF(S2909=0,0,VLOOKUP(J2910,J2914:S2944,S2909,FALSE))</f>
        <v>-2.4908424908424749</v>
      </c>
      <c r="T2910" s="9"/>
      <c r="U2910" s="1">
        <f t="shared" si="4925"/>
        <v>67</v>
      </c>
      <c r="V2910" s="1">
        <f t="shared" si="4926"/>
        <v>205</v>
      </c>
    </row>
    <row r="2911" spans="1:22" x14ac:dyDescent="0.3">
      <c r="A2911" s="1">
        <f t="shared" si="4923"/>
        <v>67206</v>
      </c>
      <c r="B2911" s="96" t="s">
        <v>15</v>
      </c>
      <c r="C2911" s="97"/>
      <c r="D2911" s="141" t="s">
        <v>346</v>
      </c>
      <c r="E2911" s="141"/>
      <c r="F2911" s="141"/>
      <c r="G2911" s="141"/>
      <c r="H2911" s="141"/>
      <c r="J2911" s="24" t="str">
        <f t="shared" ref="J2911" si="4947">CONCATENATE(J2909,2)</f>
        <v>32</v>
      </c>
      <c r="K2911" s="6">
        <f t="shared" ref="K2911" si="4948">IF(K2909=0,0,VLOOKUP(J2911,J2914:S2944,K2909,FALSE))</f>
        <v>0</v>
      </c>
      <c r="L2911" s="6">
        <f t="shared" ref="L2911" si="4949">IF(L2909=0,0,VLOOKUP(J2911,J2914:S2944,L2909,FALSE))</f>
        <v>0</v>
      </c>
      <c r="M2911" s="6">
        <f t="shared" ref="M2911" si="4950">IF(M2909=0,0,VLOOKUP(J2911,J2914:S2944,M2909,FALSE))</f>
        <v>0</v>
      </c>
      <c r="N2911" s="6">
        <f t="shared" ref="N2911" si="4951">IF(N2909=0,0,VLOOKUP(J2911,J2914:S2944,N2909,FALSE))</f>
        <v>0</v>
      </c>
      <c r="O2911" s="6">
        <f t="shared" ref="O2911" si="4952">IF(O2909=0,0,VLOOKUP(J2911,J2914:S2944,O2909,FALSE))</f>
        <v>0</v>
      </c>
      <c r="P2911" s="6">
        <f t="shared" ref="P2911" si="4953">IF(P2909=0,0,VLOOKUP(J2911,J2914:S2944,P2909,FALSE))</f>
        <v>0</v>
      </c>
      <c r="Q2911" s="6">
        <f t="shared" ref="Q2911" si="4954">IF(Q2909=0,0,VLOOKUP(J2911,J2914:S2944,Q2909,FALSE))</f>
        <v>0</v>
      </c>
      <c r="R2911" s="6">
        <f t="shared" ref="R2911" si="4955">IF(R2909=0,0,VLOOKUP(J2911,J2914:S2944,R2909,FALSE))</f>
        <v>2.2658958759404386E-2</v>
      </c>
      <c r="S2911" s="6">
        <f t="shared" ref="S2911" si="4956">IF(S2909=0,0,VLOOKUP(J2911,J2914:S2944,S2909,FALSE))</f>
        <v>1.3520900238308928</v>
      </c>
      <c r="T2911" s="9"/>
      <c r="U2911" s="1">
        <f t="shared" si="4925"/>
        <v>67</v>
      </c>
      <c r="V2911" s="1">
        <f t="shared" si="4926"/>
        <v>206</v>
      </c>
    </row>
    <row r="2912" spans="1:22" x14ac:dyDescent="0.3">
      <c r="A2912" s="1">
        <f t="shared" si="4923"/>
        <v>67207</v>
      </c>
      <c r="B2912" s="96" t="s">
        <v>16</v>
      </c>
      <c r="C2912" s="97"/>
      <c r="D2912" s="121">
        <v>46056</v>
      </c>
      <c r="E2912" s="121"/>
      <c r="F2912" s="121"/>
      <c r="G2912" s="121"/>
      <c r="H2912" s="121"/>
      <c r="J2912" s="24" t="str">
        <f t="shared" ref="J2912" si="4957">CONCATENATE(J2909,3)</f>
        <v>33</v>
      </c>
      <c r="K2912" s="6"/>
      <c r="L2912" s="6"/>
      <c r="M2912" s="6"/>
      <c r="N2912" s="6" t="s">
        <v>43</v>
      </c>
      <c r="O2912" s="25">
        <f t="shared" ref="O2912" si="4958">J2909-2</f>
        <v>1</v>
      </c>
      <c r="P2912" s="6" t="s">
        <v>44</v>
      </c>
      <c r="Q2912" s="25">
        <f t="shared" ref="Q2912" si="4959">VLOOKUP(J2912,J2914:S2944,3,FALSE)</f>
        <v>0.80876931010327979</v>
      </c>
      <c r="R2912" s="6" t="s">
        <v>45</v>
      </c>
      <c r="S2912" s="6">
        <f t="shared" ref="S2912" si="4960">VLOOKUP(J2912,J2914:S2944,2,FALSE)</f>
        <v>0.99948359910765916</v>
      </c>
      <c r="T2912" s="9"/>
      <c r="U2912" s="1">
        <f t="shared" si="4925"/>
        <v>67</v>
      </c>
      <c r="V2912" s="1">
        <f t="shared" si="4926"/>
        <v>207</v>
      </c>
    </row>
    <row r="2913" spans="1:22" x14ac:dyDescent="0.3">
      <c r="A2913" s="1">
        <f t="shared" si="4923"/>
        <v>67208</v>
      </c>
      <c r="B2913" s="96" t="s">
        <v>17</v>
      </c>
      <c r="C2913" s="97"/>
      <c r="D2913" s="122">
        <v>46446</v>
      </c>
      <c r="E2913" s="122"/>
      <c r="F2913" s="122"/>
      <c r="G2913" s="122"/>
      <c r="H2913" s="122"/>
      <c r="K2913" s="1">
        <v>3</v>
      </c>
      <c r="L2913" s="1">
        <v>3</v>
      </c>
      <c r="Q2913" s="26"/>
      <c r="R2913" s="26"/>
      <c r="S2913" s="26"/>
      <c r="T2913" s="9"/>
      <c r="U2913" s="1">
        <f t="shared" si="4925"/>
        <v>67</v>
      </c>
      <c r="V2913" s="1">
        <f t="shared" si="4926"/>
        <v>208</v>
      </c>
    </row>
    <row r="2914" spans="1:22" x14ac:dyDescent="0.3">
      <c r="A2914" s="1">
        <f t="shared" si="4923"/>
        <v>67209</v>
      </c>
      <c r="B2914" s="77" t="s">
        <v>19</v>
      </c>
      <c r="C2914" s="78"/>
      <c r="D2914" s="17">
        <v>1</v>
      </c>
      <c r="E2914" s="79" t="s">
        <v>40</v>
      </c>
      <c r="F2914" s="80"/>
      <c r="G2914" s="81"/>
      <c r="H2914" s="18" t="s">
        <v>72</v>
      </c>
      <c r="J2914" s="24" t="str">
        <f t="shared" ref="J2914" si="4961">CONCATENATE(K2913,1)</f>
        <v>31</v>
      </c>
      <c r="K2914" s="6">
        <f t="array" ref="K2914:L2916">LINEST(B2922:B2924,C2922:C2924^{1},TRUE,TRUE)</f>
        <v>0.99686028257456805</v>
      </c>
      <c r="L2914" s="6">
        <v>-2.4908424908424749</v>
      </c>
      <c r="Q2914" s="9"/>
      <c r="R2914" s="9"/>
      <c r="S2914" s="9"/>
      <c r="T2914" s="9"/>
      <c r="U2914" s="1">
        <f t="shared" si="4925"/>
        <v>67</v>
      </c>
      <c r="V2914" s="1">
        <f t="shared" si="4926"/>
        <v>209</v>
      </c>
    </row>
    <row r="2915" spans="1:22" x14ac:dyDescent="0.3">
      <c r="A2915" s="1">
        <f t="shared" si="4923"/>
        <v>67210</v>
      </c>
      <c r="B2915" s="77" t="s">
        <v>41</v>
      </c>
      <c r="C2915" s="78"/>
      <c r="D2915" s="23">
        <f t="shared" ref="D2915" si="4962">MIN(B2922:B2931)</f>
        <v>30</v>
      </c>
      <c r="E2915" s="20" t="s">
        <v>18</v>
      </c>
      <c r="F2915" s="19">
        <f t="shared" ref="F2915" si="4963">MAX(B2922:B2931)</f>
        <v>80</v>
      </c>
      <c r="G2915" s="21" t="str">
        <f t="shared" ref="G2915" si="4964">IF(H2914="","",H2914)</f>
        <v>%ur</v>
      </c>
      <c r="H2915" s="22"/>
      <c r="J2915" s="24" t="str">
        <f t="shared" ref="J2915" si="4965">CONCATENATE(K2913,2)</f>
        <v>32</v>
      </c>
      <c r="K2915" s="6">
        <v>2.2658958759404386E-2</v>
      </c>
      <c r="L2915" s="6">
        <v>1.3520900238308928</v>
      </c>
      <c r="Q2915" s="9"/>
      <c r="R2915" s="9"/>
      <c r="S2915" s="9"/>
      <c r="T2915" s="9"/>
      <c r="U2915" s="1">
        <f t="shared" si="4925"/>
        <v>67</v>
      </c>
      <c r="V2915" s="1">
        <f t="shared" si="4926"/>
        <v>210</v>
      </c>
    </row>
    <row r="2916" spans="1:22" x14ac:dyDescent="0.3">
      <c r="A2916" s="1">
        <f t="shared" si="4923"/>
        <v>67211</v>
      </c>
      <c r="J2916" s="24" t="str">
        <f t="shared" ref="J2916" si="4966">CONCATENATE(K2913,3)</f>
        <v>33</v>
      </c>
      <c r="K2916" s="6">
        <v>0.99948359910765916</v>
      </c>
      <c r="L2916" s="6">
        <v>0.80876931010327979</v>
      </c>
      <c r="Q2916" s="9"/>
      <c r="R2916" s="9"/>
      <c r="S2916" s="9"/>
      <c r="T2916" s="9"/>
      <c r="U2916" s="1">
        <f t="shared" si="4925"/>
        <v>67</v>
      </c>
      <c r="V2916" s="1">
        <f t="shared" si="4926"/>
        <v>211</v>
      </c>
    </row>
    <row r="2917" spans="1:22" x14ac:dyDescent="0.3">
      <c r="A2917" s="1">
        <f t="shared" si="4923"/>
        <v>67212</v>
      </c>
      <c r="B2917" s="82" t="s">
        <v>20</v>
      </c>
      <c r="C2917" s="83"/>
      <c r="D2917" s="83"/>
      <c r="E2917" s="83"/>
      <c r="F2917" s="84"/>
      <c r="G2917" s="85" t="s">
        <v>31</v>
      </c>
      <c r="H2917" s="86"/>
      <c r="K2917" s="1">
        <v>4</v>
      </c>
      <c r="L2917" s="1">
        <v>4</v>
      </c>
      <c r="M2917" s="1">
        <v>4</v>
      </c>
      <c r="Q2917" s="9"/>
      <c r="R2917" s="9"/>
      <c r="S2917" s="9"/>
      <c r="T2917" s="9"/>
      <c r="U2917" s="1">
        <f t="shared" si="4925"/>
        <v>67</v>
      </c>
      <c r="V2917" s="1">
        <f t="shared" si="4926"/>
        <v>212</v>
      </c>
    </row>
    <row r="2918" spans="1:22" x14ac:dyDescent="0.3">
      <c r="A2918" s="1">
        <f t="shared" si="4923"/>
        <v>67213</v>
      </c>
      <c r="B2918" s="82" t="s">
        <v>30</v>
      </c>
      <c r="C2918" s="83"/>
      <c r="D2918" s="84"/>
      <c r="E2918" s="82" t="str">
        <f t="shared" ref="E2918" si="4967">D2911</f>
        <v>E0048/26</v>
      </c>
      <c r="F2918" s="84"/>
      <c r="G2918" s="6" t="s">
        <v>32</v>
      </c>
      <c r="H2918" s="7" t="s">
        <v>261</v>
      </c>
      <c r="J2918" s="24" t="str">
        <f t="shared" ref="J2918" si="4968">CONCATENATE(K2917,1)</f>
        <v>41</v>
      </c>
      <c r="K2918" s="6" t="e">
        <f t="array" ref="K2918:M2920">LINEST(B2922:B2925,C2922:C2925^{1,2},TRUE,TRUE)</f>
        <v>#VALUE!</v>
      </c>
      <c r="L2918" s="6" t="e">
        <v>#VALUE!</v>
      </c>
      <c r="M2918" s="6" t="e">
        <v>#VALUE!</v>
      </c>
      <c r="Q2918" s="9"/>
      <c r="R2918" s="9"/>
      <c r="S2918" s="9"/>
      <c r="T2918" s="9"/>
      <c r="U2918" s="1">
        <f t="shared" si="4925"/>
        <v>67</v>
      </c>
      <c r="V2918" s="1">
        <f t="shared" si="4926"/>
        <v>213</v>
      </c>
    </row>
    <row r="2919" spans="1:22" x14ac:dyDescent="0.3">
      <c r="A2919" s="1">
        <f t="shared" si="4923"/>
        <v>67214</v>
      </c>
      <c r="B2919" s="2" t="s">
        <v>21</v>
      </c>
      <c r="C2919" s="2" t="s">
        <v>22</v>
      </c>
      <c r="D2919" s="2" t="s">
        <v>23</v>
      </c>
      <c r="E2919" s="2"/>
      <c r="F2919" s="2" t="s">
        <v>28</v>
      </c>
      <c r="G2919" s="2" t="s">
        <v>21</v>
      </c>
      <c r="H2919" s="2" t="s">
        <v>22</v>
      </c>
      <c r="J2919" s="24" t="str">
        <f t="shared" ref="J2919" si="4969">CONCATENATE(K2917,2)</f>
        <v>42</v>
      </c>
      <c r="K2919" s="6" t="e">
        <v>#VALUE!</v>
      </c>
      <c r="L2919" s="6" t="e">
        <v>#VALUE!</v>
      </c>
      <c r="M2919" s="6" t="e">
        <v>#VALUE!</v>
      </c>
      <c r="Q2919" s="9"/>
      <c r="R2919" s="9"/>
      <c r="S2919" s="9"/>
      <c r="T2919" s="9"/>
      <c r="U2919" s="1">
        <f t="shared" si="4925"/>
        <v>67</v>
      </c>
      <c r="V2919" s="1">
        <f t="shared" si="4926"/>
        <v>214</v>
      </c>
    </row>
    <row r="2920" spans="1:22" x14ac:dyDescent="0.3">
      <c r="A2920" s="1">
        <f t="shared" si="4923"/>
        <v>67215</v>
      </c>
      <c r="B2920" s="2" t="s">
        <v>24</v>
      </c>
      <c r="C2920" s="2" t="s">
        <v>25</v>
      </c>
      <c r="D2920" s="2" t="s">
        <v>26</v>
      </c>
      <c r="E2920" s="2" t="s">
        <v>27</v>
      </c>
      <c r="F2920" s="2" t="s">
        <v>29</v>
      </c>
      <c r="G2920" s="2" t="s">
        <v>24</v>
      </c>
      <c r="H2920" s="2" t="s">
        <v>25</v>
      </c>
      <c r="J2920" s="24" t="str">
        <f t="shared" ref="J2920" si="4970">CONCATENATE(K2917,3)</f>
        <v>43</v>
      </c>
      <c r="K2920" s="6" t="e">
        <v>#VALUE!</v>
      </c>
      <c r="L2920" s="6" t="e">
        <v>#VALUE!</v>
      </c>
      <c r="M2920" s="6" t="e">
        <v>#VALUE!</v>
      </c>
      <c r="Q2920" s="9"/>
      <c r="R2920" s="9"/>
      <c r="S2920" s="9"/>
      <c r="T2920" s="9"/>
      <c r="U2920" s="1">
        <f t="shared" si="4925"/>
        <v>67</v>
      </c>
      <c r="V2920" s="1">
        <f t="shared" si="4926"/>
        <v>215</v>
      </c>
    </row>
    <row r="2921" spans="1:22" x14ac:dyDescent="0.3">
      <c r="A2921" s="1">
        <f t="shared" si="4923"/>
        <v>67216</v>
      </c>
      <c r="B2921" s="3" t="str">
        <f t="shared" ref="B2921" si="4971">H2914</f>
        <v>%ur</v>
      </c>
      <c r="C2921" s="3" t="str">
        <f t="shared" ref="C2921" si="4972">B2921</f>
        <v>%ur</v>
      </c>
      <c r="D2921" s="3" t="str">
        <f t="shared" ref="D2921" si="4973">C2921</f>
        <v>%ur</v>
      </c>
      <c r="E2921" s="3"/>
      <c r="F2921" s="3"/>
      <c r="G2921" s="3" t="str">
        <f t="shared" ref="G2921" si="4974">D2921</f>
        <v>%ur</v>
      </c>
      <c r="H2921" s="3" t="str">
        <f t="shared" ref="H2921" si="4975">G2921</f>
        <v>%ur</v>
      </c>
      <c r="K2921" s="1">
        <v>5</v>
      </c>
      <c r="L2921" s="1">
        <v>5</v>
      </c>
      <c r="M2921" s="1">
        <v>5</v>
      </c>
      <c r="N2921" s="1">
        <v>5</v>
      </c>
      <c r="Q2921" s="9"/>
      <c r="R2921" s="9"/>
      <c r="S2921" s="9"/>
      <c r="T2921" s="9"/>
      <c r="U2921" s="1">
        <f t="shared" si="4925"/>
        <v>67</v>
      </c>
      <c r="V2921" s="1">
        <f t="shared" si="4926"/>
        <v>216</v>
      </c>
    </row>
    <row r="2922" spans="1:22" x14ac:dyDescent="0.3">
      <c r="A2922" s="1">
        <f t="shared" si="4923"/>
        <v>67217</v>
      </c>
      <c r="B2922" s="4">
        <v>30</v>
      </c>
      <c r="C2922" s="4">
        <v>33</v>
      </c>
      <c r="D2922" s="4">
        <v>2</v>
      </c>
      <c r="E2922" s="4">
        <v>2</v>
      </c>
      <c r="F2922" s="14">
        <v>1000000</v>
      </c>
      <c r="G2922" s="8">
        <v>30</v>
      </c>
      <c r="H2922" s="7">
        <v>33</v>
      </c>
      <c r="J2922" s="24" t="str">
        <f t="shared" ref="J2922" si="4976">CONCATENATE(K2921,1)</f>
        <v>51</v>
      </c>
      <c r="K2922" s="6" t="e">
        <f t="array" ref="K2922:N2924">LINEST(B2922:B2926,C2922:C2926^{1,2,3},TRUE,TRUE)</f>
        <v>#VALUE!</v>
      </c>
      <c r="L2922" s="6" t="e">
        <v>#VALUE!</v>
      </c>
      <c r="M2922" s="6" t="e">
        <v>#VALUE!</v>
      </c>
      <c r="N2922" s="6" t="e">
        <v>#VALUE!</v>
      </c>
      <c r="Q2922" s="9"/>
      <c r="R2922" s="9"/>
      <c r="S2922" s="9"/>
      <c r="T2922" s="9"/>
      <c r="U2922" s="1">
        <f t="shared" si="4925"/>
        <v>67</v>
      </c>
      <c r="V2922" s="1">
        <f t="shared" si="4926"/>
        <v>217</v>
      </c>
    </row>
    <row r="2923" spans="1:22" x14ac:dyDescent="0.3">
      <c r="A2923" s="1">
        <f t="shared" si="4923"/>
        <v>67218</v>
      </c>
      <c r="B2923" s="4">
        <v>50</v>
      </c>
      <c r="C2923" s="4">
        <v>52</v>
      </c>
      <c r="D2923" s="4">
        <v>2</v>
      </c>
      <c r="E2923" s="4">
        <v>2</v>
      </c>
      <c r="F2923" s="14">
        <v>1000000</v>
      </c>
      <c r="G2923" s="8">
        <v>50</v>
      </c>
      <c r="H2923" s="7">
        <v>49</v>
      </c>
      <c r="J2923" s="24" t="str">
        <f t="shared" ref="J2923" si="4977">CONCATENATE(K2921,2)</f>
        <v>52</v>
      </c>
      <c r="K2923" s="6" t="e">
        <v>#VALUE!</v>
      </c>
      <c r="L2923" s="6" t="e">
        <v>#VALUE!</v>
      </c>
      <c r="M2923" s="6" t="e">
        <v>#VALUE!</v>
      </c>
      <c r="N2923" s="6" t="e">
        <v>#VALUE!</v>
      </c>
      <c r="T2923" s="9"/>
      <c r="U2923" s="1">
        <f t="shared" si="4925"/>
        <v>67</v>
      </c>
      <c r="V2923" s="1">
        <f t="shared" si="4926"/>
        <v>218</v>
      </c>
    </row>
    <row r="2924" spans="1:22" x14ac:dyDescent="0.3">
      <c r="A2924" s="1">
        <f t="shared" si="4923"/>
        <v>67219</v>
      </c>
      <c r="B2924" s="4">
        <v>80</v>
      </c>
      <c r="C2924" s="4">
        <v>83</v>
      </c>
      <c r="D2924" s="4">
        <v>2</v>
      </c>
      <c r="E2924" s="4">
        <v>2</v>
      </c>
      <c r="F2924" s="14">
        <v>1000000</v>
      </c>
      <c r="G2924" s="8">
        <v>80</v>
      </c>
      <c r="H2924" s="7">
        <v>75</v>
      </c>
      <c r="J2924" s="24" t="str">
        <f t="shared" ref="J2924" si="4978">CONCATENATE(K2921,3)</f>
        <v>53</v>
      </c>
      <c r="K2924" s="6" t="e">
        <v>#VALUE!</v>
      </c>
      <c r="L2924" s="6" t="e">
        <v>#VALUE!</v>
      </c>
      <c r="M2924" s="6" t="e">
        <v>#VALUE!</v>
      </c>
      <c r="N2924" s="6" t="e">
        <v>#VALUE!</v>
      </c>
      <c r="T2924" s="9"/>
      <c r="U2924" s="1">
        <f t="shared" si="4925"/>
        <v>67</v>
      </c>
      <c r="V2924" s="1">
        <f t="shared" si="4926"/>
        <v>219</v>
      </c>
    </row>
    <row r="2925" spans="1:22" x14ac:dyDescent="0.3">
      <c r="A2925" s="1">
        <f t="shared" si="4923"/>
        <v>67220</v>
      </c>
      <c r="B2925" s="4"/>
      <c r="C2925" s="4"/>
      <c r="D2925" s="4"/>
      <c r="E2925" s="4"/>
      <c r="F2925" s="14"/>
      <c r="G2925" s="8"/>
      <c r="H2925" s="7"/>
      <c r="K2925" s="1">
        <v>6</v>
      </c>
      <c r="L2925" s="1">
        <v>6</v>
      </c>
      <c r="M2925" s="1">
        <v>6</v>
      </c>
      <c r="N2925" s="1">
        <v>6</v>
      </c>
      <c r="O2925" s="1">
        <v>6</v>
      </c>
      <c r="T2925" s="9"/>
      <c r="U2925" s="1">
        <f t="shared" si="4925"/>
        <v>67</v>
      </c>
      <c r="V2925" s="1">
        <f t="shared" si="4926"/>
        <v>220</v>
      </c>
    </row>
    <row r="2926" spans="1:22" x14ac:dyDescent="0.3">
      <c r="A2926" s="1">
        <f t="shared" si="4923"/>
        <v>67221</v>
      </c>
      <c r="B2926" s="4"/>
      <c r="C2926" s="4"/>
      <c r="D2926" s="4"/>
      <c r="E2926" s="4"/>
      <c r="F2926" s="14"/>
      <c r="G2926" s="8"/>
      <c r="H2926" s="7"/>
      <c r="J2926" s="24" t="str">
        <f t="shared" ref="J2926" si="4979">CONCATENATE(K2925,1)</f>
        <v>61</v>
      </c>
      <c r="K2926" s="6" t="e">
        <f t="array" ref="K2926:O2928">LINEST(B2922:B2927,C2922:C2927^{1,2,3,4},TRUE,TRUE)</f>
        <v>#VALUE!</v>
      </c>
      <c r="L2926" s="6" t="e">
        <v>#VALUE!</v>
      </c>
      <c r="M2926" s="6" t="e">
        <v>#VALUE!</v>
      </c>
      <c r="N2926" s="6" t="e">
        <v>#VALUE!</v>
      </c>
      <c r="O2926" s="6" t="e">
        <v>#VALUE!</v>
      </c>
      <c r="T2926" s="9"/>
      <c r="U2926" s="1">
        <f t="shared" si="4925"/>
        <v>67</v>
      </c>
      <c r="V2926" s="1">
        <f t="shared" si="4926"/>
        <v>221</v>
      </c>
    </row>
    <row r="2927" spans="1:22" x14ac:dyDescent="0.3">
      <c r="A2927" s="1">
        <f t="shared" si="4923"/>
        <v>67222</v>
      </c>
      <c r="B2927" s="4"/>
      <c r="C2927" s="4"/>
      <c r="D2927" s="4"/>
      <c r="E2927" s="4"/>
      <c r="F2927" s="14"/>
      <c r="G2927" s="8"/>
      <c r="H2927" s="7"/>
      <c r="J2927" s="24" t="str">
        <f t="shared" ref="J2927" si="4980">CONCATENATE(K2925,2)</f>
        <v>62</v>
      </c>
      <c r="K2927" s="6" t="e">
        <v>#VALUE!</v>
      </c>
      <c r="L2927" s="6" t="e">
        <v>#VALUE!</v>
      </c>
      <c r="M2927" s="6" t="e">
        <v>#VALUE!</v>
      </c>
      <c r="N2927" s="6" t="e">
        <v>#VALUE!</v>
      </c>
      <c r="O2927" s="6" t="e">
        <v>#VALUE!</v>
      </c>
      <c r="T2927" s="9"/>
      <c r="U2927" s="1">
        <f t="shared" si="4925"/>
        <v>67</v>
      </c>
      <c r="V2927" s="1">
        <f t="shared" si="4926"/>
        <v>222</v>
      </c>
    </row>
    <row r="2928" spans="1:22" x14ac:dyDescent="0.3">
      <c r="A2928" s="1">
        <f t="shared" si="4923"/>
        <v>67223</v>
      </c>
      <c r="B2928" s="4"/>
      <c r="C2928" s="4"/>
      <c r="D2928" s="4"/>
      <c r="E2928" s="4"/>
      <c r="F2928" s="14"/>
      <c r="G2928" s="8"/>
      <c r="H2928" s="7"/>
      <c r="J2928" s="24" t="str">
        <f t="shared" ref="J2928" si="4981">CONCATENATE(K2925,3)</f>
        <v>63</v>
      </c>
      <c r="K2928" s="6" t="e">
        <v>#VALUE!</v>
      </c>
      <c r="L2928" s="6" t="e">
        <v>#VALUE!</v>
      </c>
      <c r="M2928" s="6" t="e">
        <v>#VALUE!</v>
      </c>
      <c r="N2928" s="6" t="e">
        <v>#VALUE!</v>
      </c>
      <c r="O2928" s="6" t="e">
        <v>#VALUE!</v>
      </c>
      <c r="T2928" s="9"/>
      <c r="U2928" s="1">
        <f t="shared" si="4925"/>
        <v>67</v>
      </c>
      <c r="V2928" s="1">
        <f t="shared" si="4926"/>
        <v>223</v>
      </c>
    </row>
    <row r="2929" spans="1:22" x14ac:dyDescent="0.3">
      <c r="A2929" s="1">
        <f t="shared" si="4923"/>
        <v>67224</v>
      </c>
      <c r="B2929" s="4"/>
      <c r="C2929" s="4"/>
      <c r="D2929" s="4"/>
      <c r="E2929" s="4"/>
      <c r="F2929" s="14"/>
      <c r="G2929" s="8"/>
      <c r="H2929" s="7"/>
      <c r="K2929" s="1">
        <v>7</v>
      </c>
      <c r="L2929" s="1">
        <v>7</v>
      </c>
      <c r="M2929" s="1">
        <v>7</v>
      </c>
      <c r="N2929" s="1">
        <v>7</v>
      </c>
      <c r="O2929" s="1">
        <v>7</v>
      </c>
      <c r="P2929" s="1">
        <v>7</v>
      </c>
      <c r="T2929" s="9"/>
      <c r="U2929" s="1">
        <f t="shared" si="4925"/>
        <v>67</v>
      </c>
      <c r="V2929" s="1">
        <f t="shared" si="4926"/>
        <v>224</v>
      </c>
    </row>
    <row r="2930" spans="1:22" x14ac:dyDescent="0.3">
      <c r="A2930" s="1">
        <f t="shared" si="4923"/>
        <v>67225</v>
      </c>
      <c r="B2930" s="4"/>
      <c r="C2930" s="4"/>
      <c r="D2930" s="4"/>
      <c r="E2930" s="4"/>
      <c r="F2930" s="14"/>
      <c r="G2930" s="8"/>
      <c r="H2930" s="7"/>
      <c r="J2930" s="24" t="str">
        <f t="shared" ref="J2930" si="4982">CONCATENATE(K2929,1)</f>
        <v>71</v>
      </c>
      <c r="K2930" s="6" t="e">
        <f t="array" ref="K2930:P2932">LINEST(B2922:B2928,C2922:C2928^{1,2,3,4,5},TRUE,TRUE)</f>
        <v>#VALUE!</v>
      </c>
      <c r="L2930" s="6" t="e">
        <v>#VALUE!</v>
      </c>
      <c r="M2930" s="6" t="e">
        <v>#VALUE!</v>
      </c>
      <c r="N2930" s="6" t="e">
        <v>#VALUE!</v>
      </c>
      <c r="O2930" s="6" t="e">
        <v>#VALUE!</v>
      </c>
      <c r="P2930" s="6" t="e">
        <v>#VALUE!</v>
      </c>
      <c r="T2930" s="9"/>
      <c r="U2930" s="1">
        <f t="shared" si="4925"/>
        <v>67</v>
      </c>
      <c r="V2930" s="1">
        <f t="shared" si="4926"/>
        <v>225</v>
      </c>
    </row>
    <row r="2931" spans="1:22" x14ac:dyDescent="0.3">
      <c r="A2931" s="1">
        <f t="shared" si="4923"/>
        <v>67226</v>
      </c>
      <c r="B2931" s="4"/>
      <c r="C2931" s="4"/>
      <c r="D2931" s="4"/>
      <c r="E2931" s="4"/>
      <c r="F2931" s="14"/>
      <c r="G2931" s="8"/>
      <c r="H2931" s="7"/>
      <c r="J2931" s="24" t="str">
        <f t="shared" ref="J2931" si="4983">CONCATENATE(K2929,2)</f>
        <v>72</v>
      </c>
      <c r="K2931" s="6" t="e">
        <v>#VALUE!</v>
      </c>
      <c r="L2931" s="6" t="e">
        <v>#VALUE!</v>
      </c>
      <c r="M2931" s="6" t="e">
        <v>#VALUE!</v>
      </c>
      <c r="N2931" s="6" t="e">
        <v>#VALUE!</v>
      </c>
      <c r="O2931" s="6" t="e">
        <v>#VALUE!</v>
      </c>
      <c r="P2931" s="6" t="e">
        <v>#VALUE!</v>
      </c>
      <c r="T2931" s="9"/>
      <c r="U2931" s="1">
        <f t="shared" si="4925"/>
        <v>67</v>
      </c>
      <c r="V2931" s="1">
        <f t="shared" si="4926"/>
        <v>226</v>
      </c>
    </row>
    <row r="2932" spans="1:22" x14ac:dyDescent="0.3">
      <c r="A2932" s="1">
        <f t="shared" si="4923"/>
        <v>67227</v>
      </c>
      <c r="B2932" s="9"/>
      <c r="C2932" s="9"/>
      <c r="D2932" s="9"/>
      <c r="E2932" s="9"/>
      <c r="F2932" s="9"/>
      <c r="G2932" s="9"/>
      <c r="H2932" s="9"/>
      <c r="J2932" s="24" t="str">
        <f t="shared" ref="J2932" si="4984">CONCATENATE(K2929,3)</f>
        <v>73</v>
      </c>
      <c r="K2932" s="6" t="e">
        <v>#VALUE!</v>
      </c>
      <c r="L2932" s="6" t="e">
        <v>#VALUE!</v>
      </c>
      <c r="M2932" s="6" t="e">
        <v>#VALUE!</v>
      </c>
      <c r="N2932" s="6" t="e">
        <v>#VALUE!</v>
      </c>
      <c r="O2932" s="6" t="e">
        <v>#VALUE!</v>
      </c>
      <c r="P2932" s="6" t="e">
        <v>#VALUE!</v>
      </c>
      <c r="T2932" s="9"/>
      <c r="U2932" s="1">
        <f t="shared" si="4925"/>
        <v>67</v>
      </c>
      <c r="V2932" s="1">
        <f t="shared" si="4926"/>
        <v>227</v>
      </c>
    </row>
    <row r="2933" spans="1:22" x14ac:dyDescent="0.3">
      <c r="A2933" s="1">
        <f t="shared" si="4923"/>
        <v>67228</v>
      </c>
      <c r="B2933" s="87" t="s">
        <v>33</v>
      </c>
      <c r="C2933" s="88"/>
      <c r="D2933" s="88"/>
      <c r="E2933" s="88"/>
      <c r="F2933" s="88"/>
      <c r="G2933" s="88"/>
      <c r="H2933" s="89"/>
      <c r="K2933" s="1">
        <v>8</v>
      </c>
      <c r="L2933" s="1">
        <v>8</v>
      </c>
      <c r="M2933" s="1">
        <v>8</v>
      </c>
      <c r="N2933" s="1">
        <v>8</v>
      </c>
      <c r="O2933" s="1">
        <v>8</v>
      </c>
      <c r="P2933" s="1">
        <v>8</v>
      </c>
      <c r="Q2933" s="1">
        <v>8</v>
      </c>
      <c r="T2933" s="9"/>
      <c r="U2933" s="1">
        <f t="shared" si="4925"/>
        <v>67</v>
      </c>
      <c r="V2933" s="1">
        <f t="shared" si="4926"/>
        <v>228</v>
      </c>
    </row>
    <row r="2934" spans="1:22" x14ac:dyDescent="0.3">
      <c r="A2934" s="1">
        <f t="shared" si="4923"/>
        <v>67229</v>
      </c>
      <c r="B2934" s="90"/>
      <c r="C2934" s="91"/>
      <c r="D2934" s="91"/>
      <c r="E2934" s="91"/>
      <c r="F2934" s="91"/>
      <c r="G2934" s="91"/>
      <c r="H2934" s="92"/>
      <c r="J2934" s="24" t="str">
        <f t="shared" ref="J2934" si="4985">CONCATENATE(K2933,1)</f>
        <v>81</v>
      </c>
      <c r="K2934" s="6" t="e">
        <f t="array" ref="K2934:Q2936">LINEST(B2922:B2929,C2922:C2929^{1,2,3,4,5,6},TRUE,TRUE)</f>
        <v>#VALUE!</v>
      </c>
      <c r="L2934" s="6" t="e">
        <v>#VALUE!</v>
      </c>
      <c r="M2934" s="6" t="e">
        <v>#VALUE!</v>
      </c>
      <c r="N2934" s="6" t="e">
        <v>#VALUE!</v>
      </c>
      <c r="O2934" s="6" t="e">
        <v>#VALUE!</v>
      </c>
      <c r="P2934" s="6" t="e">
        <v>#VALUE!</v>
      </c>
      <c r="Q2934" s="6" t="e">
        <v>#VALUE!</v>
      </c>
      <c r="T2934" s="9"/>
      <c r="U2934" s="1">
        <f t="shared" si="4925"/>
        <v>67</v>
      </c>
      <c r="V2934" s="1">
        <f t="shared" si="4926"/>
        <v>229</v>
      </c>
    </row>
    <row r="2935" spans="1:22" x14ac:dyDescent="0.3">
      <c r="A2935" s="1">
        <f t="shared" si="4923"/>
        <v>67230</v>
      </c>
      <c r="B2935" s="93"/>
      <c r="C2935" s="94"/>
      <c r="D2935" s="94"/>
      <c r="E2935" s="94"/>
      <c r="F2935" s="94"/>
      <c r="G2935" s="94"/>
      <c r="H2935" s="95"/>
      <c r="J2935" s="24" t="str">
        <f t="shared" ref="J2935" si="4986">CONCATENATE(K2933,2)</f>
        <v>82</v>
      </c>
      <c r="K2935" s="6" t="e">
        <v>#VALUE!</v>
      </c>
      <c r="L2935" s="6" t="e">
        <v>#VALUE!</v>
      </c>
      <c r="M2935" s="6" t="e">
        <v>#VALUE!</v>
      </c>
      <c r="N2935" s="6" t="e">
        <v>#VALUE!</v>
      </c>
      <c r="O2935" s="6" t="e">
        <v>#VALUE!</v>
      </c>
      <c r="P2935" s="6" t="e">
        <v>#VALUE!</v>
      </c>
      <c r="Q2935" s="6" t="e">
        <v>#VALUE!</v>
      </c>
      <c r="T2935" s="9"/>
      <c r="U2935" s="1">
        <f t="shared" si="4925"/>
        <v>67</v>
      </c>
      <c r="V2935" s="1">
        <f t="shared" si="4926"/>
        <v>230</v>
      </c>
    </row>
    <row r="2936" spans="1:22" x14ac:dyDescent="0.3">
      <c r="A2936" s="1">
        <f t="shared" si="4923"/>
        <v>67231</v>
      </c>
      <c r="J2936" s="24" t="str">
        <f t="shared" ref="J2936" si="4987">CONCATENATE(K2933,3)</f>
        <v>83</v>
      </c>
      <c r="K2936" s="6" t="e">
        <v>#VALUE!</v>
      </c>
      <c r="L2936" s="6" t="e">
        <v>#VALUE!</v>
      </c>
      <c r="M2936" s="6" t="e">
        <v>#VALUE!</v>
      </c>
      <c r="N2936" s="6" t="e">
        <v>#VALUE!</v>
      </c>
      <c r="O2936" s="6" t="e">
        <v>#VALUE!</v>
      </c>
      <c r="P2936" s="6" t="e">
        <v>#VALUE!</v>
      </c>
      <c r="Q2936" s="6" t="e">
        <v>#VALUE!</v>
      </c>
      <c r="T2936" s="9"/>
      <c r="U2936" s="1">
        <f t="shared" si="4925"/>
        <v>67</v>
      </c>
      <c r="V2936" s="1">
        <f t="shared" si="4926"/>
        <v>231</v>
      </c>
    </row>
    <row r="2937" spans="1:22" ht="15" customHeight="1" x14ac:dyDescent="0.3">
      <c r="A2937" s="1">
        <f t="shared" si="4923"/>
        <v>67232</v>
      </c>
      <c r="B2937" s="10" t="s">
        <v>34</v>
      </c>
      <c r="C2937" s="10" t="s">
        <v>35</v>
      </c>
      <c r="D2937" s="10" t="s">
        <v>36</v>
      </c>
      <c r="E2937" s="74" t="s">
        <v>37</v>
      </c>
      <c r="F2937" s="75"/>
      <c r="G2937" s="76"/>
      <c r="K2937" s="1">
        <v>9</v>
      </c>
      <c r="L2937" s="1">
        <v>9</v>
      </c>
      <c r="M2937" s="1">
        <v>9</v>
      </c>
      <c r="N2937" s="1">
        <v>9</v>
      </c>
      <c r="O2937" s="1">
        <v>9</v>
      </c>
      <c r="P2937" s="1">
        <v>9</v>
      </c>
      <c r="Q2937" s="1">
        <v>9</v>
      </c>
      <c r="R2937" s="1">
        <v>9</v>
      </c>
      <c r="T2937" s="9"/>
      <c r="U2937" s="1">
        <f t="shared" si="4925"/>
        <v>67</v>
      </c>
      <c r="V2937" s="1">
        <f t="shared" si="4926"/>
        <v>232</v>
      </c>
    </row>
    <row r="2938" spans="1:22" x14ac:dyDescent="0.3">
      <c r="A2938" s="1">
        <f t="shared" si="4923"/>
        <v>67233</v>
      </c>
      <c r="B2938" s="12">
        <f t="shared" ref="B2938:B2947" si="4988">C2922-B2922</f>
        <v>3</v>
      </c>
      <c r="C2938" s="13">
        <f t="shared" ref="C2938:C2947" si="4989">H2922-G2922</f>
        <v>3</v>
      </c>
      <c r="D2938" s="10">
        <f t="shared" ref="D2938:D2947" si="4990">C2938-B2938</f>
        <v>0</v>
      </c>
      <c r="E2938" s="11">
        <f t="shared" ref="E2938" si="4991">IF(D2913="","",MAX(F2938,G2938))</f>
        <v>8</v>
      </c>
      <c r="F2938" s="10">
        <f t="shared" ref="F2938" si="4992">ABS(MIN(D2938:D2947))</f>
        <v>8</v>
      </c>
      <c r="G2938" s="10">
        <f t="shared" ref="G2938" si="4993">ABS(MAX(D2938:D2947))</f>
        <v>0</v>
      </c>
      <c r="J2938" s="24" t="str">
        <f t="shared" ref="J2938" si="4994">CONCATENATE(K2937,1)</f>
        <v>91</v>
      </c>
      <c r="K2938" s="6" t="e">
        <f t="array" ref="K2938:R2940">LINEST(B2922:B2930,C2922:C2930^{1,2,3,4,5,6,7},TRUE,TRUE)</f>
        <v>#VALUE!</v>
      </c>
      <c r="L2938" s="6" t="e">
        <v>#VALUE!</v>
      </c>
      <c r="M2938" s="6" t="e">
        <v>#VALUE!</v>
      </c>
      <c r="N2938" s="6" t="e">
        <v>#VALUE!</v>
      </c>
      <c r="O2938" s="6" t="e">
        <v>#VALUE!</v>
      </c>
      <c r="P2938" s="6" t="e">
        <v>#VALUE!</v>
      </c>
      <c r="Q2938" s="6" t="e">
        <v>#VALUE!</v>
      </c>
      <c r="R2938" s="6" t="e">
        <v>#VALUE!</v>
      </c>
      <c r="T2938" s="9"/>
      <c r="U2938" s="1">
        <f t="shared" si="4925"/>
        <v>67</v>
      </c>
      <c r="V2938" s="1">
        <f t="shared" si="4926"/>
        <v>233</v>
      </c>
    </row>
    <row r="2939" spans="1:22" x14ac:dyDescent="0.3">
      <c r="A2939" s="1">
        <f t="shared" si="4923"/>
        <v>67234</v>
      </c>
      <c r="B2939" s="12">
        <f t="shared" si="4988"/>
        <v>2</v>
      </c>
      <c r="C2939" s="13">
        <f t="shared" si="4989"/>
        <v>-1</v>
      </c>
      <c r="D2939" s="10">
        <f t="shared" si="4990"/>
        <v>-3</v>
      </c>
      <c r="E2939" s="74" t="s">
        <v>38</v>
      </c>
      <c r="F2939" s="75"/>
      <c r="G2939" s="76"/>
      <c r="J2939" s="24" t="str">
        <f t="shared" ref="J2939" si="4995">CONCATENATE(K2937,2)</f>
        <v>92</v>
      </c>
      <c r="K2939" s="6" t="e">
        <v>#VALUE!</v>
      </c>
      <c r="L2939" s="6" t="e">
        <v>#VALUE!</v>
      </c>
      <c r="M2939" s="6" t="e">
        <v>#VALUE!</v>
      </c>
      <c r="N2939" s="6" t="e">
        <v>#VALUE!</v>
      </c>
      <c r="O2939" s="6" t="e">
        <v>#VALUE!</v>
      </c>
      <c r="P2939" s="6" t="e">
        <v>#VALUE!</v>
      </c>
      <c r="Q2939" s="6" t="e">
        <v>#VALUE!</v>
      </c>
      <c r="R2939" s="6" t="e">
        <v>#VALUE!</v>
      </c>
      <c r="T2939" s="9"/>
      <c r="U2939" s="1">
        <f t="shared" si="4925"/>
        <v>67</v>
      </c>
      <c r="V2939" s="1">
        <f t="shared" si="4926"/>
        <v>234</v>
      </c>
    </row>
    <row r="2940" spans="1:22" x14ac:dyDescent="0.3">
      <c r="A2940" s="1">
        <f t="shared" si="4923"/>
        <v>67235</v>
      </c>
      <c r="B2940" s="12">
        <f t="shared" si="4988"/>
        <v>3</v>
      </c>
      <c r="C2940" s="13">
        <f t="shared" si="4989"/>
        <v>-5</v>
      </c>
      <c r="D2940" s="10">
        <f t="shared" si="4990"/>
        <v>-8</v>
      </c>
      <c r="E2940" s="11">
        <f t="shared" ref="E2940" si="4996">IF(D2913="","",MAX(F2940,G2940))</f>
        <v>3</v>
      </c>
      <c r="F2940" s="10">
        <f t="shared" ref="F2940" si="4997">ABS(MIN(B2938:B2947))</f>
        <v>0</v>
      </c>
      <c r="G2940" s="10">
        <f t="shared" ref="G2940" si="4998">ABS(MAX(B2938:B2947))</f>
        <v>3</v>
      </c>
      <c r="J2940" s="24" t="str">
        <f t="shared" ref="J2940" si="4999">CONCATENATE(K2937,3)</f>
        <v>93</v>
      </c>
      <c r="K2940" s="6" t="e">
        <v>#VALUE!</v>
      </c>
      <c r="L2940" s="6" t="e">
        <v>#VALUE!</v>
      </c>
      <c r="M2940" s="6" t="e">
        <v>#VALUE!</v>
      </c>
      <c r="N2940" s="6" t="e">
        <v>#VALUE!</v>
      </c>
      <c r="O2940" s="6" t="e">
        <v>#VALUE!</v>
      </c>
      <c r="P2940" s="6" t="e">
        <v>#VALUE!</v>
      </c>
      <c r="Q2940" s="6" t="e">
        <v>#VALUE!</v>
      </c>
      <c r="R2940" s="6" t="e">
        <v>#VALUE!</v>
      </c>
      <c r="T2940" s="9"/>
      <c r="U2940" s="1">
        <f t="shared" si="4925"/>
        <v>67</v>
      </c>
      <c r="V2940" s="1">
        <f t="shared" si="4926"/>
        <v>235</v>
      </c>
    </row>
    <row r="2941" spans="1:22" x14ac:dyDescent="0.3">
      <c r="A2941" s="1">
        <f t="shared" si="4923"/>
        <v>67236</v>
      </c>
      <c r="B2941" s="12">
        <f t="shared" si="4988"/>
        <v>0</v>
      </c>
      <c r="C2941" s="13">
        <f t="shared" si="4989"/>
        <v>0</v>
      </c>
      <c r="D2941" s="10">
        <f t="shared" si="4990"/>
        <v>0</v>
      </c>
      <c r="E2941" s="74" t="s">
        <v>39</v>
      </c>
      <c r="F2941" s="75"/>
      <c r="G2941" s="76"/>
      <c r="K2941" s="1">
        <v>10</v>
      </c>
      <c r="L2941" s="1">
        <v>10</v>
      </c>
      <c r="M2941" s="1">
        <v>10</v>
      </c>
      <c r="N2941" s="1">
        <v>10</v>
      </c>
      <c r="O2941" s="1">
        <v>10</v>
      </c>
      <c r="P2941" s="1">
        <v>10</v>
      </c>
      <c r="Q2941" s="1">
        <v>10</v>
      </c>
      <c r="R2941" s="1">
        <v>10</v>
      </c>
      <c r="S2941" s="1">
        <v>10</v>
      </c>
      <c r="T2941" s="9"/>
      <c r="U2941" s="1">
        <f t="shared" si="4925"/>
        <v>67</v>
      </c>
      <c r="V2941" s="1">
        <f t="shared" si="4926"/>
        <v>236</v>
      </c>
    </row>
    <row r="2942" spans="1:22" x14ac:dyDescent="0.3">
      <c r="A2942" s="1">
        <f t="shared" si="4923"/>
        <v>67237</v>
      </c>
      <c r="B2942" s="12">
        <f t="shared" si="4988"/>
        <v>0</v>
      </c>
      <c r="C2942" s="13">
        <f t="shared" si="4989"/>
        <v>0</v>
      </c>
      <c r="D2942" s="10">
        <f t="shared" si="4990"/>
        <v>0</v>
      </c>
      <c r="E2942" s="11">
        <f t="shared" ref="E2942" si="5000">IF(D2913="","",MAX(F2942,G2942))</f>
        <v>2</v>
      </c>
      <c r="F2942" s="10">
        <f t="shared" ref="F2942" si="5001">ABS(MIN(D2922:D2931))</f>
        <v>2</v>
      </c>
      <c r="G2942" s="10">
        <f t="shared" ref="G2942" si="5002">ABS(MAX(D2922:D2931))</f>
        <v>2</v>
      </c>
      <c r="J2942" s="24" t="str">
        <f t="shared" ref="J2942" si="5003">CONCATENATE(K2941,1)</f>
        <v>101</v>
      </c>
      <c r="K2942" s="6" t="e">
        <f t="array" ref="K2942:S2944">LINEST(B2922:B2931,C2922:C2931^{1,2,3,4,5,6,7,8},TRUE,TRUE)</f>
        <v>#VALUE!</v>
      </c>
      <c r="L2942" s="6" t="e">
        <v>#VALUE!</v>
      </c>
      <c r="M2942" s="6" t="e">
        <v>#VALUE!</v>
      </c>
      <c r="N2942" s="6" t="e">
        <v>#VALUE!</v>
      </c>
      <c r="O2942" s="6" t="e">
        <v>#VALUE!</v>
      </c>
      <c r="P2942" s="6" t="e">
        <v>#VALUE!</v>
      </c>
      <c r="Q2942" s="6" t="e">
        <v>#VALUE!</v>
      </c>
      <c r="R2942" s="6" t="e">
        <v>#VALUE!</v>
      </c>
      <c r="S2942" s="6" t="e">
        <v>#VALUE!</v>
      </c>
      <c r="T2942" s="9"/>
      <c r="U2942" s="1">
        <f t="shared" si="4925"/>
        <v>67</v>
      </c>
      <c r="V2942" s="1">
        <f t="shared" si="4926"/>
        <v>237</v>
      </c>
    </row>
    <row r="2943" spans="1:22" x14ac:dyDescent="0.3">
      <c r="A2943" s="1">
        <f t="shared" si="4923"/>
        <v>67238</v>
      </c>
      <c r="B2943" s="12">
        <f t="shared" si="4988"/>
        <v>0</v>
      </c>
      <c r="C2943" s="13">
        <f t="shared" si="4989"/>
        <v>0</v>
      </c>
      <c r="D2943" s="10">
        <f t="shared" si="4990"/>
        <v>0</v>
      </c>
      <c r="J2943" s="24" t="str">
        <f t="shared" ref="J2943" si="5004">CONCATENATE(K2941,2)</f>
        <v>102</v>
      </c>
      <c r="K2943" s="6" t="e">
        <v>#VALUE!</v>
      </c>
      <c r="L2943" s="6" t="e">
        <v>#VALUE!</v>
      </c>
      <c r="M2943" s="6" t="e">
        <v>#VALUE!</v>
      </c>
      <c r="N2943" s="6" t="e">
        <v>#VALUE!</v>
      </c>
      <c r="O2943" s="6" t="e">
        <v>#VALUE!</v>
      </c>
      <c r="P2943" s="6" t="e">
        <v>#VALUE!</v>
      </c>
      <c r="Q2943" s="6" t="e">
        <v>#VALUE!</v>
      </c>
      <c r="R2943" s="6" t="e">
        <v>#VALUE!</v>
      </c>
      <c r="S2943" s="6" t="e">
        <v>#VALUE!</v>
      </c>
      <c r="T2943" s="9"/>
      <c r="U2943" s="1">
        <f t="shared" si="4925"/>
        <v>67</v>
      </c>
      <c r="V2943" s="1">
        <f t="shared" si="4926"/>
        <v>238</v>
      </c>
    </row>
    <row r="2944" spans="1:22" x14ac:dyDescent="0.3">
      <c r="A2944" s="1">
        <f t="shared" si="4923"/>
        <v>67239</v>
      </c>
      <c r="B2944" s="12">
        <f t="shared" si="4988"/>
        <v>0</v>
      </c>
      <c r="C2944" s="13">
        <f t="shared" si="4989"/>
        <v>0</v>
      </c>
      <c r="D2944" s="10">
        <f t="shared" si="4990"/>
        <v>0</v>
      </c>
      <c r="J2944" s="24" t="str">
        <f t="shared" ref="J2944" si="5005">CONCATENATE(K2941,3)</f>
        <v>103</v>
      </c>
      <c r="K2944" s="6" t="e">
        <v>#VALUE!</v>
      </c>
      <c r="L2944" s="6" t="e">
        <v>#VALUE!</v>
      </c>
      <c r="M2944" s="6" t="e">
        <v>#VALUE!</v>
      </c>
      <c r="N2944" s="6" t="e">
        <v>#VALUE!</v>
      </c>
      <c r="O2944" s="6" t="e">
        <v>#VALUE!</v>
      </c>
      <c r="P2944" s="6" t="e">
        <v>#VALUE!</v>
      </c>
      <c r="Q2944" s="6" t="e">
        <v>#VALUE!</v>
      </c>
      <c r="R2944" s="6" t="e">
        <v>#VALUE!</v>
      </c>
      <c r="S2944" s="6" t="e">
        <v>#VALUE!</v>
      </c>
      <c r="T2944" s="9"/>
      <c r="U2944" s="1">
        <f t="shared" si="4925"/>
        <v>67</v>
      </c>
      <c r="V2944" s="1">
        <f t="shared" si="4926"/>
        <v>239</v>
      </c>
    </row>
    <row r="2945" spans="1:22" x14ac:dyDescent="0.3">
      <c r="A2945" s="1">
        <f t="shared" si="4923"/>
        <v>67240</v>
      </c>
      <c r="B2945" s="12">
        <f t="shared" si="4988"/>
        <v>0</v>
      </c>
      <c r="C2945" s="13">
        <f t="shared" si="4989"/>
        <v>0</v>
      </c>
      <c r="D2945" s="10">
        <f t="shared" si="4990"/>
        <v>0</v>
      </c>
      <c r="J2945" s="9"/>
      <c r="K2945" s="9"/>
      <c r="L2945" s="9"/>
      <c r="M2945" s="9"/>
      <c r="N2945" s="9"/>
      <c r="O2945" s="9"/>
      <c r="P2945" s="9"/>
      <c r="Q2945" s="9"/>
      <c r="R2945" s="9"/>
      <c r="S2945" s="9"/>
      <c r="T2945" s="9"/>
      <c r="U2945" s="1">
        <f t="shared" si="4925"/>
        <v>67</v>
      </c>
      <c r="V2945" s="1">
        <f t="shared" si="4926"/>
        <v>240</v>
      </c>
    </row>
    <row r="2946" spans="1:22" x14ac:dyDescent="0.3">
      <c r="A2946" s="1">
        <f t="shared" si="4923"/>
        <v>67241</v>
      </c>
      <c r="B2946" s="12">
        <f t="shared" si="4988"/>
        <v>0</v>
      </c>
      <c r="C2946" s="13">
        <f t="shared" si="4989"/>
        <v>0</v>
      </c>
      <c r="D2946" s="10">
        <f t="shared" si="4990"/>
        <v>0</v>
      </c>
      <c r="J2946" s="9"/>
      <c r="K2946" s="9"/>
      <c r="L2946" s="9"/>
      <c r="M2946" s="9"/>
      <c r="N2946" s="9"/>
      <c r="O2946" s="9"/>
      <c r="P2946" s="9"/>
      <c r="Q2946" s="9"/>
      <c r="R2946" s="9"/>
      <c r="S2946" s="9"/>
      <c r="T2946" s="9"/>
      <c r="U2946" s="1">
        <f t="shared" si="4925"/>
        <v>67</v>
      </c>
      <c r="V2946" s="1">
        <f t="shared" si="4926"/>
        <v>241</v>
      </c>
    </row>
    <row r="2947" spans="1:22" x14ac:dyDescent="0.3">
      <c r="A2947" s="1">
        <f t="shared" si="4923"/>
        <v>67242</v>
      </c>
      <c r="B2947" s="12">
        <f t="shared" si="4988"/>
        <v>0</v>
      </c>
      <c r="C2947" s="13">
        <f t="shared" si="4989"/>
        <v>0</v>
      </c>
      <c r="D2947" s="10">
        <f t="shared" si="4990"/>
        <v>0</v>
      </c>
      <c r="J2947" s="9"/>
      <c r="K2947" s="9"/>
      <c r="L2947" s="9"/>
      <c r="M2947" s="9"/>
      <c r="N2947" s="9"/>
      <c r="O2947" s="9"/>
      <c r="P2947" s="9"/>
      <c r="Q2947" s="9"/>
      <c r="R2947" s="9"/>
      <c r="S2947" s="9"/>
      <c r="T2947" s="9"/>
      <c r="U2947" s="1">
        <f t="shared" si="4925"/>
        <v>67</v>
      </c>
      <c r="V2947" s="1">
        <f t="shared" si="4926"/>
        <v>242</v>
      </c>
    </row>
    <row r="2948" spans="1:22" x14ac:dyDescent="0.3">
      <c r="A2948" s="1">
        <f t="shared" si="4923"/>
        <v>67243</v>
      </c>
      <c r="J2948" s="9"/>
      <c r="K2948" s="9"/>
      <c r="L2948" s="9"/>
      <c r="M2948" s="9"/>
      <c r="N2948" s="9"/>
      <c r="O2948" s="9"/>
      <c r="P2948" s="9"/>
      <c r="Q2948" s="9"/>
      <c r="R2948" s="9"/>
      <c r="S2948" s="9"/>
      <c r="T2948" s="9"/>
      <c r="U2948" s="1">
        <f t="shared" si="4925"/>
        <v>67</v>
      </c>
      <c r="V2948" s="1">
        <f t="shared" si="4926"/>
        <v>243</v>
      </c>
    </row>
    <row r="2949" spans="1:22" s="5" customFormat="1" x14ac:dyDescent="0.3"/>
    <row r="2950" spans="1:22" x14ac:dyDescent="0.3">
      <c r="A2950" s="1">
        <f t="shared" ref="A2950:A2992" si="5006">ROUND(CONCATENATE(U2950,V2950),0)</f>
        <v>68201</v>
      </c>
      <c r="B2950" s="96" t="s">
        <v>0</v>
      </c>
      <c r="C2950" s="97"/>
      <c r="D2950" s="110" t="s">
        <v>46</v>
      </c>
      <c r="E2950" s="111"/>
      <c r="F2950" s="111"/>
      <c r="G2950" s="111"/>
      <c r="H2950" s="112"/>
      <c r="J2950" s="9"/>
      <c r="K2950" s="9"/>
      <c r="L2950" s="9"/>
      <c r="M2950" s="9"/>
      <c r="N2950" s="9"/>
      <c r="O2950" s="9"/>
      <c r="P2950" s="9"/>
      <c r="Q2950" s="9"/>
      <c r="R2950" s="9"/>
      <c r="S2950" s="9"/>
      <c r="T2950" s="9"/>
      <c r="U2950" s="1">
        <f t="shared" ref="U2950" si="5007">U2948+1</f>
        <v>68</v>
      </c>
      <c r="V2950" s="1">
        <v>201</v>
      </c>
    </row>
    <row r="2951" spans="1:22" x14ac:dyDescent="0.3">
      <c r="A2951" s="1">
        <f t="shared" si="5006"/>
        <v>68202</v>
      </c>
      <c r="B2951" s="96" t="s">
        <v>1</v>
      </c>
      <c r="C2951" s="97"/>
      <c r="D2951" s="15">
        <v>20</v>
      </c>
      <c r="E2951" s="16" t="s">
        <v>2</v>
      </c>
      <c r="F2951" s="107"/>
      <c r="G2951" s="108"/>
      <c r="H2951" s="109"/>
      <c r="J2951" s="9"/>
      <c r="K2951" s="9"/>
      <c r="L2951" s="9"/>
      <c r="M2951" s="9"/>
      <c r="N2951" s="9"/>
      <c r="O2951" s="9"/>
      <c r="P2951" s="9"/>
      <c r="Q2951" s="9"/>
      <c r="R2951" s="9"/>
      <c r="S2951" s="9"/>
      <c r="T2951" s="9"/>
      <c r="U2951" s="1">
        <f t="shared" ref="U2951" si="5008">U2950</f>
        <v>68</v>
      </c>
      <c r="V2951" s="1">
        <f t="shared" ref="V2951" si="5009">V2950+1</f>
        <v>202</v>
      </c>
    </row>
    <row r="2952" spans="1:22" x14ac:dyDescent="0.3">
      <c r="A2952" s="1">
        <f t="shared" si="5006"/>
        <v>68203</v>
      </c>
      <c r="B2952" s="96" t="s">
        <v>12</v>
      </c>
      <c r="C2952" s="97"/>
      <c r="D2952" s="110" t="s">
        <v>264</v>
      </c>
      <c r="E2952" s="111"/>
      <c r="F2952" s="111"/>
      <c r="G2952" s="111"/>
      <c r="H2952" s="112"/>
      <c r="K2952" s="1" t="s">
        <v>3</v>
      </c>
      <c r="L2952" s="1" t="s">
        <v>4</v>
      </c>
      <c r="M2952" s="1" t="s">
        <v>5</v>
      </c>
      <c r="N2952" s="1" t="s">
        <v>6</v>
      </c>
      <c r="O2952" s="1" t="s">
        <v>7</v>
      </c>
      <c r="P2952" s="1" t="s">
        <v>8</v>
      </c>
      <c r="Q2952" s="1" t="s">
        <v>9</v>
      </c>
      <c r="R2952" s="1" t="s">
        <v>10</v>
      </c>
      <c r="S2952" s="1" t="s">
        <v>11</v>
      </c>
      <c r="T2952" s="9"/>
      <c r="U2952" s="1">
        <f t="shared" si="4925"/>
        <v>68</v>
      </c>
      <c r="V2952" s="1">
        <f t="shared" si="4926"/>
        <v>203</v>
      </c>
    </row>
    <row r="2953" spans="1:22" x14ac:dyDescent="0.3">
      <c r="A2953" s="1">
        <f t="shared" si="5006"/>
        <v>68204</v>
      </c>
      <c r="B2953" s="96" t="s">
        <v>13</v>
      </c>
      <c r="C2953" s="97"/>
      <c r="D2953" s="110" t="s">
        <v>65</v>
      </c>
      <c r="E2953" s="111"/>
      <c r="F2953" s="111"/>
      <c r="G2953" s="111"/>
      <c r="H2953" s="112"/>
      <c r="J2953" s="1">
        <f t="shared" ref="J2953" si="5010">COUNTA(B2966:B2975)</f>
        <v>3</v>
      </c>
      <c r="K2953" s="1">
        <f t="shared" ref="K2953" si="5011">IF(L2953-1&lt;2,0,L2953-1)</f>
        <v>0</v>
      </c>
      <c r="L2953" s="1">
        <f t="shared" ref="L2953" si="5012">IF(M2953-1&lt;2,0,M2953-1)</f>
        <v>0</v>
      </c>
      <c r="M2953" s="1">
        <f t="shared" ref="M2953" si="5013">IF(N2953-1&lt;2,0,N2953-1)</f>
        <v>0</v>
      </c>
      <c r="N2953" s="1">
        <f t="shared" ref="N2953" si="5014">IF(O2953-1&lt;2,0,O2953-1)</f>
        <v>0</v>
      </c>
      <c r="O2953" s="1">
        <f t="shared" ref="O2953" si="5015">IF(P2953-1&lt;2,0,P2953-1)</f>
        <v>0</v>
      </c>
      <c r="P2953" s="1">
        <f t="shared" ref="P2953" si="5016">IF(Q2953-1&lt;2,0,Q2953-1)</f>
        <v>0</v>
      </c>
      <c r="Q2953" s="1">
        <f t="shared" ref="Q2953" si="5017">IF(R2953-1&lt;2,0,R2953-1)</f>
        <v>0</v>
      </c>
      <c r="R2953" s="1">
        <f t="shared" ref="R2953" si="5018">IF(S2953-1&lt;2,0,S2953-1)</f>
        <v>2</v>
      </c>
      <c r="S2953" s="1">
        <f t="shared" ref="S2953" si="5019">J2953</f>
        <v>3</v>
      </c>
      <c r="T2953" s="9"/>
      <c r="U2953" s="1">
        <f t="shared" si="4925"/>
        <v>68</v>
      </c>
      <c r="V2953" s="1">
        <f t="shared" si="4926"/>
        <v>204</v>
      </c>
    </row>
    <row r="2954" spans="1:22" x14ac:dyDescent="0.3">
      <c r="A2954" s="1">
        <f t="shared" si="5006"/>
        <v>68205</v>
      </c>
      <c r="B2954" s="96" t="s">
        <v>14</v>
      </c>
      <c r="C2954" s="97"/>
      <c r="D2954" s="110" t="s">
        <v>66</v>
      </c>
      <c r="E2954" s="111"/>
      <c r="F2954" s="111"/>
      <c r="G2954" s="111"/>
      <c r="H2954" s="112"/>
      <c r="J2954" s="24" t="str">
        <f t="shared" ref="J2954" si="5020">CONCATENATE(J2953,1)</f>
        <v>31</v>
      </c>
      <c r="K2954" s="25">
        <f t="shared" ref="K2954" si="5021">IF(K2953=0,0,VLOOKUP(J2954,J2958:S2988,K2953,FALSE))</f>
        <v>0</v>
      </c>
      <c r="L2954" s="25">
        <f t="shared" ref="L2954" si="5022">IF(L2953=0,0,VLOOKUP(J2954,J2958:S2988,L2953,FALSE))</f>
        <v>0</v>
      </c>
      <c r="M2954" s="25">
        <f t="shared" ref="M2954" si="5023">IF(M2953=0,0,VLOOKUP(J2954,J2958:S2988,M2953,FALSE))</f>
        <v>0</v>
      </c>
      <c r="N2954" s="25">
        <f t="shared" ref="N2954" si="5024">IF(N2953=0,0,VLOOKUP(J2954,J2958:S2988,N2953,FALSE))</f>
        <v>0</v>
      </c>
      <c r="O2954" s="25">
        <f t="shared" ref="O2954" si="5025">IF(O2953=0,0,VLOOKUP(J2954,J2958:S2988,O2953,FALSE))</f>
        <v>0</v>
      </c>
      <c r="P2954" s="25">
        <f t="shared" ref="P2954" si="5026">IF(P2953=0,0,VLOOKUP(J2954,J2958:S2988,P2953,FALSE))</f>
        <v>0</v>
      </c>
      <c r="Q2954" s="25">
        <f t="shared" ref="Q2954" si="5027">IF(Q2953=0,0,VLOOKUP(J2954,J2958:S2988,Q2953,FALSE))</f>
        <v>0</v>
      </c>
      <c r="R2954" s="25">
        <f t="shared" ref="R2954" si="5028">IF(R2953=0,0,VLOOKUP(J2954,J2958:S2988,R2953,FALSE))</f>
        <v>1.1573747353563866</v>
      </c>
      <c r="S2954" s="25">
        <f t="shared" ref="S2954" si="5029">IF(S2953=0,0,VLOOKUP(J2954,J2958:S2988,S2953,FALSE))</f>
        <v>-6.4643613267466336</v>
      </c>
      <c r="T2954" s="9"/>
      <c r="U2954" s="1">
        <f t="shared" si="4925"/>
        <v>68</v>
      </c>
      <c r="V2954" s="1">
        <f t="shared" si="4926"/>
        <v>205</v>
      </c>
    </row>
    <row r="2955" spans="1:22" x14ac:dyDescent="0.3">
      <c r="A2955" s="1">
        <f t="shared" si="5006"/>
        <v>68206</v>
      </c>
      <c r="B2955" s="96" t="s">
        <v>15</v>
      </c>
      <c r="C2955" s="97"/>
      <c r="D2955" s="110" t="s">
        <v>265</v>
      </c>
      <c r="E2955" s="111"/>
      <c r="F2955" s="111"/>
      <c r="G2955" s="111"/>
      <c r="H2955" s="112"/>
      <c r="J2955" s="24" t="str">
        <f t="shared" ref="J2955" si="5030">CONCATENATE(J2953,2)</f>
        <v>32</v>
      </c>
      <c r="K2955" s="6">
        <f t="shared" ref="K2955" si="5031">IF(K2953=0,0,VLOOKUP(J2955,J2958:S2988,K2953,FALSE))</f>
        <v>0</v>
      </c>
      <c r="L2955" s="6">
        <f t="shared" ref="L2955" si="5032">IF(L2953=0,0,VLOOKUP(J2955,J2958:S2988,L2953,FALSE))</f>
        <v>0</v>
      </c>
      <c r="M2955" s="6">
        <f t="shared" ref="M2955" si="5033">IF(M2953=0,0,VLOOKUP(J2955,J2958:S2988,M2953,FALSE))</f>
        <v>0</v>
      </c>
      <c r="N2955" s="6">
        <f t="shared" ref="N2955" si="5034">IF(N2953=0,0,VLOOKUP(J2955,J2958:S2988,N2953,FALSE))</f>
        <v>0</v>
      </c>
      <c r="O2955" s="6">
        <f t="shared" ref="O2955" si="5035">IF(O2953=0,0,VLOOKUP(J2955,J2958:S2988,O2953,FALSE))</f>
        <v>0</v>
      </c>
      <c r="P2955" s="6">
        <f t="shared" ref="P2955" si="5036">IF(P2953=0,0,VLOOKUP(J2955,J2958:S2988,P2953,FALSE))</f>
        <v>0</v>
      </c>
      <c r="Q2955" s="6">
        <f t="shared" ref="Q2955" si="5037">IF(Q2953=0,0,VLOOKUP(J2955,J2958:S2988,Q2953,FALSE))</f>
        <v>0</v>
      </c>
      <c r="R2955" s="6">
        <f t="shared" ref="R2955" si="5038">IF(R2953=0,0,VLOOKUP(J2955,J2958:S2988,R2953,FALSE))</f>
        <v>3.6670094726228571E-2</v>
      </c>
      <c r="S2955" s="6">
        <f t="shared" ref="S2955" si="5039">IF(S2953=0,0,VLOOKUP(J2955,J2958:S2988,S2953,FALSE))</f>
        <v>2.0032525153073233</v>
      </c>
      <c r="T2955" s="9"/>
      <c r="U2955" s="1">
        <f t="shared" si="4925"/>
        <v>68</v>
      </c>
      <c r="V2955" s="1">
        <f t="shared" si="4926"/>
        <v>206</v>
      </c>
    </row>
    <row r="2956" spans="1:22" x14ac:dyDescent="0.3">
      <c r="A2956" s="1">
        <f t="shared" si="5006"/>
        <v>68207</v>
      </c>
      <c r="B2956" s="96" t="s">
        <v>16</v>
      </c>
      <c r="C2956" s="97"/>
      <c r="D2956" s="113">
        <v>45733</v>
      </c>
      <c r="E2956" s="114"/>
      <c r="F2956" s="114"/>
      <c r="G2956" s="114"/>
      <c r="H2956" s="115"/>
      <c r="J2956" s="24" t="str">
        <f t="shared" ref="J2956" si="5040">CONCATENATE(J2953,3)</f>
        <v>33</v>
      </c>
      <c r="K2956" s="6"/>
      <c r="L2956" s="6"/>
      <c r="M2956" s="6"/>
      <c r="N2956" s="6" t="s">
        <v>43</v>
      </c>
      <c r="O2956" s="25">
        <f t="shared" ref="O2956" si="5041">J2953-2</f>
        <v>1</v>
      </c>
      <c r="P2956" s="6" t="s">
        <v>44</v>
      </c>
      <c r="Q2956" s="25">
        <f t="shared" ref="Q2956" si="5042">VLOOKUP(J2956,J2958:S2988,3,FALSE)</f>
        <v>1.1270711351480074</v>
      </c>
      <c r="R2956" s="6" t="s">
        <v>45</v>
      </c>
      <c r="S2956" s="6">
        <f t="shared" ref="S2956" si="5043">VLOOKUP(J2956,J2958:S2988,2,FALSE)</f>
        <v>0.9989971399918286</v>
      </c>
      <c r="T2956" s="9"/>
      <c r="U2956" s="1">
        <f t="shared" si="4925"/>
        <v>68</v>
      </c>
      <c r="V2956" s="1">
        <f t="shared" si="4926"/>
        <v>207</v>
      </c>
    </row>
    <row r="2957" spans="1:22" x14ac:dyDescent="0.3">
      <c r="A2957" s="1">
        <f t="shared" si="5006"/>
        <v>68208</v>
      </c>
      <c r="B2957" s="96" t="s">
        <v>17</v>
      </c>
      <c r="C2957" s="97"/>
      <c r="D2957" s="116">
        <v>46111</v>
      </c>
      <c r="E2957" s="117"/>
      <c r="F2957" s="117"/>
      <c r="G2957" s="117"/>
      <c r="H2957" s="118"/>
      <c r="K2957" s="1">
        <v>3</v>
      </c>
      <c r="L2957" s="1">
        <v>3</v>
      </c>
      <c r="Q2957" s="26"/>
      <c r="R2957" s="26"/>
      <c r="S2957" s="26"/>
      <c r="T2957" s="9"/>
      <c r="U2957" s="1">
        <f t="shared" si="4925"/>
        <v>68</v>
      </c>
      <c r="V2957" s="1">
        <f t="shared" si="4926"/>
        <v>208</v>
      </c>
    </row>
    <row r="2958" spans="1:22" x14ac:dyDescent="0.3">
      <c r="A2958" s="1">
        <f t="shared" si="5006"/>
        <v>68209</v>
      </c>
      <c r="B2958" s="77" t="s">
        <v>19</v>
      </c>
      <c r="C2958" s="78"/>
      <c r="D2958" s="17">
        <v>1</v>
      </c>
      <c r="E2958" s="79" t="s">
        <v>40</v>
      </c>
      <c r="F2958" s="80"/>
      <c r="G2958" s="81"/>
      <c r="H2958" s="18" t="s">
        <v>72</v>
      </c>
      <c r="J2958" s="24" t="str">
        <f t="shared" ref="J2958" si="5044">CONCATENATE(K2957,1)</f>
        <v>31</v>
      </c>
      <c r="K2958" s="6">
        <f t="array" ref="K2958:L2960">LINEST(B2966:B2968,C2966:C2968^{1},TRUE,TRUE)</f>
        <v>1.1573747353563866</v>
      </c>
      <c r="L2958" s="6">
        <v>-6.4643613267466336</v>
      </c>
      <c r="Q2958" s="9"/>
      <c r="R2958" s="9"/>
      <c r="S2958" s="9"/>
      <c r="T2958" s="9"/>
      <c r="U2958" s="1">
        <f t="shared" si="4925"/>
        <v>68</v>
      </c>
      <c r="V2958" s="1">
        <f t="shared" si="4926"/>
        <v>209</v>
      </c>
    </row>
    <row r="2959" spans="1:22" x14ac:dyDescent="0.3">
      <c r="A2959" s="1">
        <f t="shared" si="5006"/>
        <v>68210</v>
      </c>
      <c r="B2959" s="77" t="s">
        <v>41</v>
      </c>
      <c r="C2959" s="78"/>
      <c r="D2959" s="23">
        <f t="shared" ref="D2959" si="5045">MIN(B2966:B2975)</f>
        <v>30</v>
      </c>
      <c r="E2959" s="20" t="s">
        <v>18</v>
      </c>
      <c r="F2959" s="19">
        <f t="shared" ref="F2959" si="5046">MAX(B2966:B2975)</f>
        <v>80</v>
      </c>
      <c r="G2959" s="21" t="str">
        <f t="shared" ref="G2959" si="5047">IF(H2958="","",H2958)</f>
        <v>%ur</v>
      </c>
      <c r="H2959" s="22"/>
      <c r="J2959" s="24" t="str">
        <f t="shared" ref="J2959" si="5048">CONCATENATE(K2957,2)</f>
        <v>32</v>
      </c>
      <c r="K2959" s="6">
        <v>3.6670094726228571E-2</v>
      </c>
      <c r="L2959" s="6">
        <v>2.0032525153073233</v>
      </c>
      <c r="Q2959" s="9"/>
      <c r="R2959" s="9"/>
      <c r="S2959" s="9"/>
      <c r="T2959" s="9"/>
      <c r="U2959" s="1">
        <f t="shared" si="4925"/>
        <v>68</v>
      </c>
      <c r="V2959" s="1">
        <f t="shared" si="4926"/>
        <v>210</v>
      </c>
    </row>
    <row r="2960" spans="1:22" x14ac:dyDescent="0.3">
      <c r="A2960" s="1">
        <f t="shared" si="5006"/>
        <v>68211</v>
      </c>
      <c r="J2960" s="24" t="str">
        <f t="shared" ref="J2960" si="5049">CONCATENATE(K2957,3)</f>
        <v>33</v>
      </c>
      <c r="K2960" s="6">
        <v>0.9989971399918286</v>
      </c>
      <c r="L2960" s="6">
        <v>1.1270711351480074</v>
      </c>
      <c r="Q2960" s="9"/>
      <c r="R2960" s="9"/>
      <c r="S2960" s="9"/>
      <c r="T2960" s="9"/>
      <c r="U2960" s="1">
        <f t="shared" si="4925"/>
        <v>68</v>
      </c>
      <c r="V2960" s="1">
        <f t="shared" si="4926"/>
        <v>211</v>
      </c>
    </row>
    <row r="2961" spans="1:22" x14ac:dyDescent="0.3">
      <c r="A2961" s="1">
        <f t="shared" si="5006"/>
        <v>68212</v>
      </c>
      <c r="B2961" s="82" t="s">
        <v>20</v>
      </c>
      <c r="C2961" s="83"/>
      <c r="D2961" s="83"/>
      <c r="E2961" s="83"/>
      <c r="F2961" s="84"/>
      <c r="G2961" s="85" t="s">
        <v>31</v>
      </c>
      <c r="H2961" s="86"/>
      <c r="K2961" s="1">
        <v>4</v>
      </c>
      <c r="L2961" s="1">
        <v>4</v>
      </c>
      <c r="M2961" s="1">
        <v>4</v>
      </c>
      <c r="Q2961" s="9"/>
      <c r="R2961" s="9"/>
      <c r="S2961" s="9"/>
      <c r="T2961" s="9"/>
      <c r="U2961" s="1">
        <f t="shared" si="4925"/>
        <v>68</v>
      </c>
      <c r="V2961" s="1">
        <f t="shared" si="4926"/>
        <v>212</v>
      </c>
    </row>
    <row r="2962" spans="1:22" x14ac:dyDescent="0.3">
      <c r="A2962" s="1">
        <f t="shared" si="5006"/>
        <v>68213</v>
      </c>
      <c r="B2962" s="82" t="s">
        <v>30</v>
      </c>
      <c r="C2962" s="83"/>
      <c r="D2962" s="84"/>
      <c r="E2962" s="82" t="str">
        <f t="shared" ref="E2962" si="5050">D2955</f>
        <v>E0136/25</v>
      </c>
      <c r="F2962" s="84"/>
      <c r="G2962" s="6" t="s">
        <v>32</v>
      </c>
      <c r="H2962" s="7"/>
      <c r="J2962" s="24" t="str">
        <f t="shared" ref="J2962" si="5051">CONCATENATE(K2961,1)</f>
        <v>41</v>
      </c>
      <c r="K2962" s="6" t="e">
        <f t="array" ref="K2962:M2964">LINEST(B2966:B2969,C2966:C2969^{1,2},TRUE,TRUE)</f>
        <v>#VALUE!</v>
      </c>
      <c r="L2962" s="6" t="e">
        <v>#VALUE!</v>
      </c>
      <c r="M2962" s="6" t="e">
        <v>#VALUE!</v>
      </c>
      <c r="Q2962" s="9"/>
      <c r="R2962" s="9"/>
      <c r="S2962" s="9"/>
      <c r="T2962" s="9"/>
      <c r="U2962" s="1">
        <f t="shared" si="4925"/>
        <v>68</v>
      </c>
      <c r="V2962" s="1">
        <f t="shared" si="4926"/>
        <v>213</v>
      </c>
    </row>
    <row r="2963" spans="1:22" x14ac:dyDescent="0.3">
      <c r="A2963" s="1">
        <f t="shared" si="5006"/>
        <v>68214</v>
      </c>
      <c r="B2963" s="2" t="s">
        <v>21</v>
      </c>
      <c r="C2963" s="2" t="s">
        <v>22</v>
      </c>
      <c r="D2963" s="2" t="s">
        <v>23</v>
      </c>
      <c r="E2963" s="2"/>
      <c r="F2963" s="2" t="s">
        <v>28</v>
      </c>
      <c r="G2963" s="2" t="s">
        <v>21</v>
      </c>
      <c r="H2963" s="2" t="s">
        <v>22</v>
      </c>
      <c r="J2963" s="24" t="str">
        <f t="shared" ref="J2963" si="5052">CONCATENATE(K2961,2)</f>
        <v>42</v>
      </c>
      <c r="K2963" s="6" t="e">
        <v>#VALUE!</v>
      </c>
      <c r="L2963" s="6" t="e">
        <v>#VALUE!</v>
      </c>
      <c r="M2963" s="6" t="e">
        <v>#VALUE!</v>
      </c>
      <c r="Q2963" s="9"/>
      <c r="R2963" s="9"/>
      <c r="S2963" s="9"/>
      <c r="T2963" s="9"/>
      <c r="U2963" s="1">
        <f t="shared" si="4925"/>
        <v>68</v>
      </c>
      <c r="V2963" s="1">
        <f t="shared" si="4926"/>
        <v>214</v>
      </c>
    </row>
    <row r="2964" spans="1:22" x14ac:dyDescent="0.3">
      <c r="A2964" s="1">
        <f t="shared" si="5006"/>
        <v>68215</v>
      </c>
      <c r="B2964" s="2" t="s">
        <v>24</v>
      </c>
      <c r="C2964" s="2" t="s">
        <v>25</v>
      </c>
      <c r="D2964" s="2" t="s">
        <v>26</v>
      </c>
      <c r="E2964" s="2" t="s">
        <v>27</v>
      </c>
      <c r="F2964" s="2" t="s">
        <v>29</v>
      </c>
      <c r="G2964" s="2" t="s">
        <v>24</v>
      </c>
      <c r="H2964" s="2" t="s">
        <v>25</v>
      </c>
      <c r="J2964" s="24" t="str">
        <f t="shared" ref="J2964" si="5053">CONCATENATE(K2961,3)</f>
        <v>43</v>
      </c>
      <c r="K2964" s="6" t="e">
        <v>#VALUE!</v>
      </c>
      <c r="L2964" s="6" t="e">
        <v>#VALUE!</v>
      </c>
      <c r="M2964" s="6" t="e">
        <v>#VALUE!</v>
      </c>
      <c r="Q2964" s="9"/>
      <c r="R2964" s="9"/>
      <c r="S2964" s="9"/>
      <c r="T2964" s="9"/>
      <c r="U2964" s="1">
        <f t="shared" si="4925"/>
        <v>68</v>
      </c>
      <c r="V2964" s="1">
        <f t="shared" si="4926"/>
        <v>215</v>
      </c>
    </row>
    <row r="2965" spans="1:22" x14ac:dyDescent="0.3">
      <c r="A2965" s="1">
        <f t="shared" si="5006"/>
        <v>68216</v>
      </c>
      <c r="B2965" s="3" t="str">
        <f t="shared" ref="B2965" si="5054">H2958</f>
        <v>%ur</v>
      </c>
      <c r="C2965" s="3" t="str">
        <f t="shared" ref="C2965" si="5055">B2965</f>
        <v>%ur</v>
      </c>
      <c r="D2965" s="3" t="str">
        <f t="shared" ref="D2965" si="5056">C2965</f>
        <v>%ur</v>
      </c>
      <c r="E2965" s="3"/>
      <c r="F2965" s="3"/>
      <c r="G2965" s="3" t="str">
        <f t="shared" ref="G2965" si="5057">D2965</f>
        <v>%ur</v>
      </c>
      <c r="H2965" s="3" t="str">
        <f t="shared" ref="H2965" si="5058">G2965</f>
        <v>%ur</v>
      </c>
      <c r="K2965" s="1">
        <v>5</v>
      </c>
      <c r="L2965" s="1">
        <v>5</v>
      </c>
      <c r="M2965" s="1">
        <v>5</v>
      </c>
      <c r="N2965" s="1">
        <v>5</v>
      </c>
      <c r="Q2965" s="9"/>
      <c r="R2965" s="9"/>
      <c r="S2965" s="9"/>
      <c r="T2965" s="9"/>
      <c r="U2965" s="1">
        <f t="shared" si="4925"/>
        <v>68</v>
      </c>
      <c r="V2965" s="1">
        <f t="shared" si="4926"/>
        <v>216</v>
      </c>
    </row>
    <row r="2966" spans="1:22" x14ac:dyDescent="0.3">
      <c r="A2966" s="1">
        <f t="shared" si="5006"/>
        <v>68217</v>
      </c>
      <c r="B2966" s="4">
        <v>30</v>
      </c>
      <c r="C2966" s="4">
        <v>32</v>
      </c>
      <c r="D2966" s="4">
        <v>2</v>
      </c>
      <c r="E2966" s="4">
        <v>2</v>
      </c>
      <c r="F2966" s="14">
        <v>1000000</v>
      </c>
      <c r="G2966" s="8"/>
      <c r="H2966" s="7"/>
      <c r="J2966" s="24" t="str">
        <f t="shared" ref="J2966" si="5059">CONCATENATE(K2965,1)</f>
        <v>51</v>
      </c>
      <c r="K2966" s="6" t="e">
        <f t="array" ref="K2966:N2968">LINEST(B2966:B2970,C2966:C2970^{1,2,3},TRUE,TRUE)</f>
        <v>#VALUE!</v>
      </c>
      <c r="L2966" s="6" t="e">
        <v>#VALUE!</v>
      </c>
      <c r="M2966" s="6" t="e">
        <v>#VALUE!</v>
      </c>
      <c r="N2966" s="6" t="e">
        <v>#VALUE!</v>
      </c>
      <c r="Q2966" s="9"/>
      <c r="R2966" s="9"/>
      <c r="S2966" s="9"/>
      <c r="T2966" s="9"/>
      <c r="U2966" s="1">
        <f t="shared" si="4925"/>
        <v>68</v>
      </c>
      <c r="V2966" s="1">
        <f t="shared" si="4926"/>
        <v>217</v>
      </c>
    </row>
    <row r="2967" spans="1:22" x14ac:dyDescent="0.3">
      <c r="A2967" s="1">
        <f t="shared" si="5006"/>
        <v>68218</v>
      </c>
      <c r="B2967" s="4">
        <v>50</v>
      </c>
      <c r="C2967" s="4">
        <v>48</v>
      </c>
      <c r="D2967" s="4">
        <v>2</v>
      </c>
      <c r="E2967" s="4">
        <v>2</v>
      </c>
      <c r="F2967" s="14">
        <v>1000000</v>
      </c>
      <c r="G2967" s="8"/>
      <c r="H2967" s="7"/>
      <c r="J2967" s="24" t="str">
        <f t="shared" ref="J2967" si="5060">CONCATENATE(K2965,2)</f>
        <v>52</v>
      </c>
      <c r="K2967" s="6" t="e">
        <v>#VALUE!</v>
      </c>
      <c r="L2967" s="6" t="e">
        <v>#VALUE!</v>
      </c>
      <c r="M2967" s="6" t="e">
        <v>#VALUE!</v>
      </c>
      <c r="N2967" s="6" t="e">
        <v>#VALUE!</v>
      </c>
      <c r="T2967" s="9"/>
      <c r="U2967" s="1">
        <f t="shared" si="4925"/>
        <v>68</v>
      </c>
      <c r="V2967" s="1">
        <f t="shared" si="4926"/>
        <v>218</v>
      </c>
    </row>
    <row r="2968" spans="1:22" x14ac:dyDescent="0.3">
      <c r="A2968" s="1">
        <f t="shared" si="5006"/>
        <v>68219</v>
      </c>
      <c r="B2968" s="4">
        <v>80</v>
      </c>
      <c r="C2968" s="4">
        <v>75</v>
      </c>
      <c r="D2968" s="4">
        <v>2</v>
      </c>
      <c r="E2968" s="4">
        <v>2</v>
      </c>
      <c r="F2968" s="14">
        <v>1000000</v>
      </c>
      <c r="G2968" s="8"/>
      <c r="H2968" s="7"/>
      <c r="J2968" s="24" t="str">
        <f t="shared" ref="J2968" si="5061">CONCATENATE(K2965,3)</f>
        <v>53</v>
      </c>
      <c r="K2968" s="6" t="e">
        <v>#VALUE!</v>
      </c>
      <c r="L2968" s="6" t="e">
        <v>#VALUE!</v>
      </c>
      <c r="M2968" s="6" t="e">
        <v>#VALUE!</v>
      </c>
      <c r="N2968" s="6" t="e">
        <v>#VALUE!</v>
      </c>
      <c r="T2968" s="9"/>
      <c r="U2968" s="1">
        <f t="shared" si="4925"/>
        <v>68</v>
      </c>
      <c r="V2968" s="1">
        <f t="shared" si="4926"/>
        <v>219</v>
      </c>
    </row>
    <row r="2969" spans="1:22" x14ac:dyDescent="0.3">
      <c r="A2969" s="1">
        <f t="shared" si="5006"/>
        <v>68220</v>
      </c>
      <c r="B2969" s="4"/>
      <c r="C2969" s="4"/>
      <c r="D2969" s="4"/>
      <c r="E2969" s="4"/>
      <c r="F2969" s="14"/>
      <c r="G2969" s="8"/>
      <c r="H2969" s="7"/>
      <c r="K2969" s="1">
        <v>6</v>
      </c>
      <c r="L2969" s="1">
        <v>6</v>
      </c>
      <c r="M2969" s="1">
        <v>6</v>
      </c>
      <c r="N2969" s="1">
        <v>6</v>
      </c>
      <c r="O2969" s="1">
        <v>6</v>
      </c>
      <c r="T2969" s="9"/>
      <c r="U2969" s="1">
        <f t="shared" si="4925"/>
        <v>68</v>
      </c>
      <c r="V2969" s="1">
        <f t="shared" si="4926"/>
        <v>220</v>
      </c>
    </row>
    <row r="2970" spans="1:22" x14ac:dyDescent="0.3">
      <c r="A2970" s="1">
        <f t="shared" si="5006"/>
        <v>68221</v>
      </c>
      <c r="B2970" s="4"/>
      <c r="C2970" s="4"/>
      <c r="D2970" s="4"/>
      <c r="E2970" s="4"/>
      <c r="F2970" s="14"/>
      <c r="G2970" s="8"/>
      <c r="H2970" s="7"/>
      <c r="J2970" s="24" t="str">
        <f t="shared" ref="J2970" si="5062">CONCATENATE(K2969,1)</f>
        <v>61</v>
      </c>
      <c r="K2970" s="6" t="e">
        <f t="array" ref="K2970:O2972">LINEST(B2966:B2971,C2966:C2971^{1,2,3,4},TRUE,TRUE)</f>
        <v>#VALUE!</v>
      </c>
      <c r="L2970" s="6" t="e">
        <v>#VALUE!</v>
      </c>
      <c r="M2970" s="6" t="e">
        <v>#VALUE!</v>
      </c>
      <c r="N2970" s="6" t="e">
        <v>#VALUE!</v>
      </c>
      <c r="O2970" s="6" t="e">
        <v>#VALUE!</v>
      </c>
      <c r="T2970" s="9"/>
      <c r="U2970" s="1">
        <f t="shared" si="4925"/>
        <v>68</v>
      </c>
      <c r="V2970" s="1">
        <f t="shared" si="4926"/>
        <v>221</v>
      </c>
    </row>
    <row r="2971" spans="1:22" x14ac:dyDescent="0.3">
      <c r="A2971" s="1">
        <f t="shared" si="5006"/>
        <v>68222</v>
      </c>
      <c r="B2971" s="4"/>
      <c r="C2971" s="4"/>
      <c r="D2971" s="4"/>
      <c r="E2971" s="4"/>
      <c r="F2971" s="14"/>
      <c r="G2971" s="8"/>
      <c r="H2971" s="7"/>
      <c r="J2971" s="24" t="str">
        <f t="shared" ref="J2971" si="5063">CONCATENATE(K2969,2)</f>
        <v>62</v>
      </c>
      <c r="K2971" s="6" t="e">
        <v>#VALUE!</v>
      </c>
      <c r="L2971" s="6" t="e">
        <v>#VALUE!</v>
      </c>
      <c r="M2971" s="6" t="e">
        <v>#VALUE!</v>
      </c>
      <c r="N2971" s="6" t="e">
        <v>#VALUE!</v>
      </c>
      <c r="O2971" s="6" t="e">
        <v>#VALUE!</v>
      </c>
      <c r="T2971" s="9"/>
      <c r="U2971" s="1">
        <f t="shared" ref="U2971:U3034" si="5064">U2970</f>
        <v>68</v>
      </c>
      <c r="V2971" s="1">
        <f t="shared" ref="V2971:V3034" si="5065">V2970+1</f>
        <v>222</v>
      </c>
    </row>
    <row r="2972" spans="1:22" x14ac:dyDescent="0.3">
      <c r="A2972" s="1">
        <f t="shared" si="5006"/>
        <v>68223</v>
      </c>
      <c r="B2972" s="4"/>
      <c r="C2972" s="4"/>
      <c r="D2972" s="4"/>
      <c r="E2972" s="4"/>
      <c r="F2972" s="14"/>
      <c r="G2972" s="8"/>
      <c r="H2972" s="7"/>
      <c r="J2972" s="24" t="str">
        <f t="shared" ref="J2972" si="5066">CONCATENATE(K2969,3)</f>
        <v>63</v>
      </c>
      <c r="K2972" s="6" t="e">
        <v>#VALUE!</v>
      </c>
      <c r="L2972" s="6" t="e">
        <v>#VALUE!</v>
      </c>
      <c r="M2972" s="6" t="e">
        <v>#VALUE!</v>
      </c>
      <c r="N2972" s="6" t="e">
        <v>#VALUE!</v>
      </c>
      <c r="O2972" s="6" t="e">
        <v>#VALUE!</v>
      </c>
      <c r="T2972" s="9"/>
      <c r="U2972" s="1">
        <f t="shared" si="5064"/>
        <v>68</v>
      </c>
      <c r="V2972" s="1">
        <f t="shared" si="5065"/>
        <v>223</v>
      </c>
    </row>
    <row r="2973" spans="1:22" x14ac:dyDescent="0.3">
      <c r="A2973" s="1">
        <f t="shared" si="5006"/>
        <v>68224</v>
      </c>
      <c r="B2973" s="4"/>
      <c r="C2973" s="4"/>
      <c r="D2973" s="4"/>
      <c r="E2973" s="4"/>
      <c r="F2973" s="14"/>
      <c r="G2973" s="8"/>
      <c r="H2973" s="7"/>
      <c r="K2973" s="1">
        <v>7</v>
      </c>
      <c r="L2973" s="1">
        <v>7</v>
      </c>
      <c r="M2973" s="1">
        <v>7</v>
      </c>
      <c r="N2973" s="1">
        <v>7</v>
      </c>
      <c r="O2973" s="1">
        <v>7</v>
      </c>
      <c r="P2973" s="1">
        <v>7</v>
      </c>
      <c r="T2973" s="9"/>
      <c r="U2973" s="1">
        <f t="shared" si="5064"/>
        <v>68</v>
      </c>
      <c r="V2973" s="1">
        <f t="shared" si="5065"/>
        <v>224</v>
      </c>
    </row>
    <row r="2974" spans="1:22" x14ac:dyDescent="0.3">
      <c r="A2974" s="1">
        <f t="shared" si="5006"/>
        <v>68225</v>
      </c>
      <c r="B2974" s="4"/>
      <c r="C2974" s="4"/>
      <c r="D2974" s="4"/>
      <c r="E2974" s="4"/>
      <c r="F2974" s="14"/>
      <c r="G2974" s="8"/>
      <c r="H2974" s="7"/>
      <c r="J2974" s="24" t="str">
        <f t="shared" ref="J2974" si="5067">CONCATENATE(K2973,1)</f>
        <v>71</v>
      </c>
      <c r="K2974" s="6" t="e">
        <f t="array" ref="K2974:P2976">LINEST(B2966:B2972,C2966:C2972^{1,2,3,4,5},TRUE,TRUE)</f>
        <v>#VALUE!</v>
      </c>
      <c r="L2974" s="6" t="e">
        <v>#VALUE!</v>
      </c>
      <c r="M2974" s="6" t="e">
        <v>#VALUE!</v>
      </c>
      <c r="N2974" s="6" t="e">
        <v>#VALUE!</v>
      </c>
      <c r="O2974" s="6" t="e">
        <v>#VALUE!</v>
      </c>
      <c r="P2974" s="6" t="e">
        <v>#VALUE!</v>
      </c>
      <c r="T2974" s="9"/>
      <c r="U2974" s="1">
        <f t="shared" si="5064"/>
        <v>68</v>
      </c>
      <c r="V2974" s="1">
        <f t="shared" si="5065"/>
        <v>225</v>
      </c>
    </row>
    <row r="2975" spans="1:22" x14ac:dyDescent="0.3">
      <c r="A2975" s="1">
        <f t="shared" si="5006"/>
        <v>68226</v>
      </c>
      <c r="B2975" s="4"/>
      <c r="C2975" s="4"/>
      <c r="D2975" s="4"/>
      <c r="E2975" s="4"/>
      <c r="F2975" s="14"/>
      <c r="G2975" s="8"/>
      <c r="H2975" s="7"/>
      <c r="J2975" s="24" t="str">
        <f t="shared" ref="J2975" si="5068">CONCATENATE(K2973,2)</f>
        <v>72</v>
      </c>
      <c r="K2975" s="6" t="e">
        <v>#VALUE!</v>
      </c>
      <c r="L2975" s="6" t="e">
        <v>#VALUE!</v>
      </c>
      <c r="M2975" s="6" t="e">
        <v>#VALUE!</v>
      </c>
      <c r="N2975" s="6" t="e">
        <v>#VALUE!</v>
      </c>
      <c r="O2975" s="6" t="e">
        <v>#VALUE!</v>
      </c>
      <c r="P2975" s="6" t="e">
        <v>#VALUE!</v>
      </c>
      <c r="T2975" s="9"/>
      <c r="U2975" s="1">
        <f t="shared" si="5064"/>
        <v>68</v>
      </c>
      <c r="V2975" s="1">
        <f t="shared" si="5065"/>
        <v>226</v>
      </c>
    </row>
    <row r="2976" spans="1:22" x14ac:dyDescent="0.3">
      <c r="A2976" s="1">
        <f t="shared" si="5006"/>
        <v>68227</v>
      </c>
      <c r="B2976" s="9"/>
      <c r="C2976" s="9"/>
      <c r="D2976" s="9"/>
      <c r="E2976" s="9"/>
      <c r="F2976" s="9"/>
      <c r="G2976" s="9"/>
      <c r="H2976" s="9"/>
      <c r="J2976" s="24" t="str">
        <f t="shared" ref="J2976" si="5069">CONCATENATE(K2973,3)</f>
        <v>73</v>
      </c>
      <c r="K2976" s="6" t="e">
        <v>#VALUE!</v>
      </c>
      <c r="L2976" s="6" t="e">
        <v>#VALUE!</v>
      </c>
      <c r="M2976" s="6" t="e">
        <v>#VALUE!</v>
      </c>
      <c r="N2976" s="6" t="e">
        <v>#VALUE!</v>
      </c>
      <c r="O2976" s="6" t="e">
        <v>#VALUE!</v>
      </c>
      <c r="P2976" s="6" t="e">
        <v>#VALUE!</v>
      </c>
      <c r="T2976" s="9"/>
      <c r="U2976" s="1">
        <f t="shared" si="5064"/>
        <v>68</v>
      </c>
      <c r="V2976" s="1">
        <f t="shared" si="5065"/>
        <v>227</v>
      </c>
    </row>
    <row r="2977" spans="1:22" x14ac:dyDescent="0.3">
      <c r="A2977" s="1">
        <f t="shared" si="5006"/>
        <v>68228</v>
      </c>
      <c r="B2977" s="87" t="s">
        <v>33</v>
      </c>
      <c r="C2977" s="88"/>
      <c r="D2977" s="88"/>
      <c r="E2977" s="88"/>
      <c r="F2977" s="88"/>
      <c r="G2977" s="88"/>
      <c r="H2977" s="89"/>
      <c r="K2977" s="1">
        <v>8</v>
      </c>
      <c r="L2977" s="1">
        <v>8</v>
      </c>
      <c r="M2977" s="1">
        <v>8</v>
      </c>
      <c r="N2977" s="1">
        <v>8</v>
      </c>
      <c r="O2977" s="1">
        <v>8</v>
      </c>
      <c r="P2977" s="1">
        <v>8</v>
      </c>
      <c r="Q2977" s="1">
        <v>8</v>
      </c>
      <c r="T2977" s="9"/>
      <c r="U2977" s="1">
        <f t="shared" si="5064"/>
        <v>68</v>
      </c>
      <c r="V2977" s="1">
        <f t="shared" si="5065"/>
        <v>228</v>
      </c>
    </row>
    <row r="2978" spans="1:22" x14ac:dyDescent="0.3">
      <c r="A2978" s="1">
        <f t="shared" si="5006"/>
        <v>68229</v>
      </c>
      <c r="B2978" s="90"/>
      <c r="C2978" s="91"/>
      <c r="D2978" s="91"/>
      <c r="E2978" s="91"/>
      <c r="F2978" s="91"/>
      <c r="G2978" s="91"/>
      <c r="H2978" s="92"/>
      <c r="J2978" s="24" t="str">
        <f t="shared" ref="J2978" si="5070">CONCATENATE(K2977,1)</f>
        <v>81</v>
      </c>
      <c r="K2978" s="6" t="e">
        <f t="array" ref="K2978:Q2980">LINEST(B2966:B2973,C2966:C2973^{1,2,3,4,5,6},TRUE,TRUE)</f>
        <v>#VALUE!</v>
      </c>
      <c r="L2978" s="6" t="e">
        <v>#VALUE!</v>
      </c>
      <c r="M2978" s="6" t="e">
        <v>#VALUE!</v>
      </c>
      <c r="N2978" s="6" t="e">
        <v>#VALUE!</v>
      </c>
      <c r="O2978" s="6" t="e">
        <v>#VALUE!</v>
      </c>
      <c r="P2978" s="6" t="e">
        <v>#VALUE!</v>
      </c>
      <c r="Q2978" s="6" t="e">
        <v>#VALUE!</v>
      </c>
      <c r="T2978" s="9"/>
      <c r="U2978" s="1">
        <f t="shared" si="5064"/>
        <v>68</v>
      </c>
      <c r="V2978" s="1">
        <f t="shared" si="5065"/>
        <v>229</v>
      </c>
    </row>
    <row r="2979" spans="1:22" x14ac:dyDescent="0.3">
      <c r="A2979" s="1">
        <f t="shared" si="5006"/>
        <v>68230</v>
      </c>
      <c r="B2979" s="93"/>
      <c r="C2979" s="94"/>
      <c r="D2979" s="94"/>
      <c r="E2979" s="94"/>
      <c r="F2979" s="94"/>
      <c r="G2979" s="94"/>
      <c r="H2979" s="95"/>
      <c r="J2979" s="24" t="str">
        <f t="shared" ref="J2979" si="5071">CONCATENATE(K2977,2)</f>
        <v>82</v>
      </c>
      <c r="K2979" s="6" t="e">
        <v>#VALUE!</v>
      </c>
      <c r="L2979" s="6" t="e">
        <v>#VALUE!</v>
      </c>
      <c r="M2979" s="6" t="e">
        <v>#VALUE!</v>
      </c>
      <c r="N2979" s="6" t="e">
        <v>#VALUE!</v>
      </c>
      <c r="O2979" s="6" t="e">
        <v>#VALUE!</v>
      </c>
      <c r="P2979" s="6" t="e">
        <v>#VALUE!</v>
      </c>
      <c r="Q2979" s="6" t="e">
        <v>#VALUE!</v>
      </c>
      <c r="T2979" s="9"/>
      <c r="U2979" s="1">
        <f t="shared" si="5064"/>
        <v>68</v>
      </c>
      <c r="V2979" s="1">
        <f t="shared" si="5065"/>
        <v>230</v>
      </c>
    </row>
    <row r="2980" spans="1:22" x14ac:dyDescent="0.3">
      <c r="A2980" s="1">
        <f t="shared" si="5006"/>
        <v>68231</v>
      </c>
      <c r="J2980" s="24" t="str">
        <f t="shared" ref="J2980" si="5072">CONCATENATE(K2977,3)</f>
        <v>83</v>
      </c>
      <c r="K2980" s="6" t="e">
        <v>#VALUE!</v>
      </c>
      <c r="L2980" s="6" t="e">
        <v>#VALUE!</v>
      </c>
      <c r="M2980" s="6" t="e">
        <v>#VALUE!</v>
      </c>
      <c r="N2980" s="6" t="e">
        <v>#VALUE!</v>
      </c>
      <c r="O2980" s="6" t="e">
        <v>#VALUE!</v>
      </c>
      <c r="P2980" s="6" t="e">
        <v>#VALUE!</v>
      </c>
      <c r="Q2980" s="6" t="e">
        <v>#VALUE!</v>
      </c>
      <c r="T2980" s="9"/>
      <c r="U2980" s="1">
        <f t="shared" si="5064"/>
        <v>68</v>
      </c>
      <c r="V2980" s="1">
        <f t="shared" si="5065"/>
        <v>231</v>
      </c>
    </row>
    <row r="2981" spans="1:22" ht="15" customHeight="1" x14ac:dyDescent="0.3">
      <c r="A2981" s="1">
        <f t="shared" si="5006"/>
        <v>68232</v>
      </c>
      <c r="B2981" s="10" t="s">
        <v>34</v>
      </c>
      <c r="C2981" s="10" t="s">
        <v>35</v>
      </c>
      <c r="D2981" s="10" t="s">
        <v>36</v>
      </c>
      <c r="E2981" s="74" t="s">
        <v>37</v>
      </c>
      <c r="F2981" s="75"/>
      <c r="G2981" s="76"/>
      <c r="K2981" s="1">
        <v>9</v>
      </c>
      <c r="L2981" s="1">
        <v>9</v>
      </c>
      <c r="M2981" s="1">
        <v>9</v>
      </c>
      <c r="N2981" s="1">
        <v>9</v>
      </c>
      <c r="O2981" s="1">
        <v>9</v>
      </c>
      <c r="P2981" s="1">
        <v>9</v>
      </c>
      <c r="Q2981" s="1">
        <v>9</v>
      </c>
      <c r="R2981" s="1">
        <v>9</v>
      </c>
      <c r="T2981" s="9"/>
      <c r="U2981" s="1">
        <f t="shared" si="5064"/>
        <v>68</v>
      </c>
      <c r="V2981" s="1">
        <f t="shared" si="5065"/>
        <v>232</v>
      </c>
    </row>
    <row r="2982" spans="1:22" x14ac:dyDescent="0.3">
      <c r="A2982" s="1">
        <f t="shared" si="5006"/>
        <v>68233</v>
      </c>
      <c r="B2982" s="12">
        <f t="shared" ref="B2982:B2991" si="5073">C2966-B2966</f>
        <v>2</v>
      </c>
      <c r="C2982" s="13">
        <f t="shared" ref="C2982:C2991" si="5074">H2966-G2966</f>
        <v>0</v>
      </c>
      <c r="D2982" s="10">
        <f t="shared" ref="D2982:D2991" si="5075">C2982-B2982</f>
        <v>-2</v>
      </c>
      <c r="E2982" s="11">
        <f t="shared" ref="E2982" si="5076">IF(D2957="","",MAX(F2982,G2982))</f>
        <v>5</v>
      </c>
      <c r="F2982" s="10">
        <f t="shared" ref="F2982" si="5077">ABS(MIN(D2982:D2991))</f>
        <v>2</v>
      </c>
      <c r="G2982" s="10">
        <f t="shared" ref="G2982" si="5078">ABS(MAX(D2982:D2991))</f>
        <v>5</v>
      </c>
      <c r="J2982" s="24" t="str">
        <f t="shared" ref="J2982" si="5079">CONCATENATE(K2981,1)</f>
        <v>91</v>
      </c>
      <c r="K2982" s="6" t="e">
        <f t="array" ref="K2982:R2984">LINEST(B2966:B2974,C2966:C2974^{1,2,3,4,5,6,7},TRUE,TRUE)</f>
        <v>#VALUE!</v>
      </c>
      <c r="L2982" s="6" t="e">
        <v>#VALUE!</v>
      </c>
      <c r="M2982" s="6" t="e">
        <v>#VALUE!</v>
      </c>
      <c r="N2982" s="6" t="e">
        <v>#VALUE!</v>
      </c>
      <c r="O2982" s="6" t="e">
        <v>#VALUE!</v>
      </c>
      <c r="P2982" s="6" t="e">
        <v>#VALUE!</v>
      </c>
      <c r="Q2982" s="6" t="e">
        <v>#VALUE!</v>
      </c>
      <c r="R2982" s="6" t="e">
        <v>#VALUE!</v>
      </c>
      <c r="T2982" s="9"/>
      <c r="U2982" s="1">
        <f t="shared" si="5064"/>
        <v>68</v>
      </c>
      <c r="V2982" s="1">
        <f t="shared" si="5065"/>
        <v>233</v>
      </c>
    </row>
    <row r="2983" spans="1:22" x14ac:dyDescent="0.3">
      <c r="A2983" s="1">
        <f t="shared" si="5006"/>
        <v>68234</v>
      </c>
      <c r="B2983" s="12">
        <f t="shared" si="5073"/>
        <v>-2</v>
      </c>
      <c r="C2983" s="13">
        <f t="shared" si="5074"/>
        <v>0</v>
      </c>
      <c r="D2983" s="10">
        <f t="shared" si="5075"/>
        <v>2</v>
      </c>
      <c r="E2983" s="74" t="s">
        <v>38</v>
      </c>
      <c r="F2983" s="75"/>
      <c r="G2983" s="76"/>
      <c r="J2983" s="24" t="str">
        <f t="shared" ref="J2983" si="5080">CONCATENATE(K2981,2)</f>
        <v>92</v>
      </c>
      <c r="K2983" s="6" t="e">
        <v>#VALUE!</v>
      </c>
      <c r="L2983" s="6" t="e">
        <v>#VALUE!</v>
      </c>
      <c r="M2983" s="6" t="e">
        <v>#VALUE!</v>
      </c>
      <c r="N2983" s="6" t="e">
        <v>#VALUE!</v>
      </c>
      <c r="O2983" s="6" t="e">
        <v>#VALUE!</v>
      </c>
      <c r="P2983" s="6" t="e">
        <v>#VALUE!</v>
      </c>
      <c r="Q2983" s="6" t="e">
        <v>#VALUE!</v>
      </c>
      <c r="R2983" s="6" t="e">
        <v>#VALUE!</v>
      </c>
      <c r="T2983" s="9"/>
      <c r="U2983" s="1">
        <f t="shared" si="5064"/>
        <v>68</v>
      </c>
      <c r="V2983" s="1">
        <f t="shared" si="5065"/>
        <v>234</v>
      </c>
    </row>
    <row r="2984" spans="1:22" x14ac:dyDescent="0.3">
      <c r="A2984" s="1">
        <f t="shared" si="5006"/>
        <v>68235</v>
      </c>
      <c r="B2984" s="12">
        <f t="shared" si="5073"/>
        <v>-5</v>
      </c>
      <c r="C2984" s="13">
        <f t="shared" si="5074"/>
        <v>0</v>
      </c>
      <c r="D2984" s="10">
        <f t="shared" si="5075"/>
        <v>5</v>
      </c>
      <c r="E2984" s="11">
        <f t="shared" ref="E2984" si="5081">IF(D2957="","",MAX(F2984,G2984))</f>
        <v>5</v>
      </c>
      <c r="F2984" s="10">
        <f t="shared" ref="F2984" si="5082">ABS(MIN(B2982:B2991))</f>
        <v>5</v>
      </c>
      <c r="G2984" s="10">
        <f t="shared" ref="G2984" si="5083">ABS(MAX(B2982:B2991))</f>
        <v>2</v>
      </c>
      <c r="J2984" s="24" t="str">
        <f t="shared" ref="J2984" si="5084">CONCATENATE(K2981,3)</f>
        <v>93</v>
      </c>
      <c r="K2984" s="6" t="e">
        <v>#VALUE!</v>
      </c>
      <c r="L2984" s="6" t="e">
        <v>#VALUE!</v>
      </c>
      <c r="M2984" s="6" t="e">
        <v>#VALUE!</v>
      </c>
      <c r="N2984" s="6" t="e">
        <v>#VALUE!</v>
      </c>
      <c r="O2984" s="6" t="e">
        <v>#VALUE!</v>
      </c>
      <c r="P2984" s="6" t="e">
        <v>#VALUE!</v>
      </c>
      <c r="Q2984" s="6" t="e">
        <v>#VALUE!</v>
      </c>
      <c r="R2984" s="6" t="e">
        <v>#VALUE!</v>
      </c>
      <c r="T2984" s="9"/>
      <c r="U2984" s="1">
        <f t="shared" si="5064"/>
        <v>68</v>
      </c>
      <c r="V2984" s="1">
        <f t="shared" si="5065"/>
        <v>235</v>
      </c>
    </row>
    <row r="2985" spans="1:22" x14ac:dyDescent="0.3">
      <c r="A2985" s="1">
        <f t="shared" si="5006"/>
        <v>68236</v>
      </c>
      <c r="B2985" s="12">
        <f t="shared" si="5073"/>
        <v>0</v>
      </c>
      <c r="C2985" s="13">
        <f t="shared" si="5074"/>
        <v>0</v>
      </c>
      <c r="D2985" s="10">
        <f t="shared" si="5075"/>
        <v>0</v>
      </c>
      <c r="E2985" s="74" t="s">
        <v>39</v>
      </c>
      <c r="F2985" s="75"/>
      <c r="G2985" s="76"/>
      <c r="K2985" s="1">
        <v>10</v>
      </c>
      <c r="L2985" s="1">
        <v>10</v>
      </c>
      <c r="M2985" s="1">
        <v>10</v>
      </c>
      <c r="N2985" s="1">
        <v>10</v>
      </c>
      <c r="O2985" s="1">
        <v>10</v>
      </c>
      <c r="P2985" s="1">
        <v>10</v>
      </c>
      <c r="Q2985" s="1">
        <v>10</v>
      </c>
      <c r="R2985" s="1">
        <v>10</v>
      </c>
      <c r="S2985" s="1">
        <v>10</v>
      </c>
      <c r="T2985" s="9"/>
      <c r="U2985" s="1">
        <f t="shared" si="5064"/>
        <v>68</v>
      </c>
      <c r="V2985" s="1">
        <f t="shared" si="5065"/>
        <v>236</v>
      </c>
    </row>
    <row r="2986" spans="1:22" x14ac:dyDescent="0.3">
      <c r="A2986" s="1">
        <f t="shared" si="5006"/>
        <v>68237</v>
      </c>
      <c r="B2986" s="12">
        <f t="shared" si="5073"/>
        <v>0</v>
      </c>
      <c r="C2986" s="13">
        <f t="shared" si="5074"/>
        <v>0</v>
      </c>
      <c r="D2986" s="10">
        <f t="shared" si="5075"/>
        <v>0</v>
      </c>
      <c r="E2986" s="11">
        <f t="shared" ref="E2986" si="5085">IF(D2957="","",MAX(F2986,G2986))</f>
        <v>2</v>
      </c>
      <c r="F2986" s="10">
        <f t="shared" ref="F2986" si="5086">ABS(MIN(D2966:D2975))</f>
        <v>2</v>
      </c>
      <c r="G2986" s="10">
        <f t="shared" ref="G2986" si="5087">ABS(MAX(D2966:D2975))</f>
        <v>2</v>
      </c>
      <c r="J2986" s="24" t="str">
        <f t="shared" ref="J2986" si="5088">CONCATENATE(K2985,1)</f>
        <v>101</v>
      </c>
      <c r="K2986" s="6" t="e">
        <f t="array" ref="K2986:S2988">LINEST(B2966:B2975,C2966:C2975^{1,2,3,4,5,6,7,8},TRUE,TRUE)</f>
        <v>#VALUE!</v>
      </c>
      <c r="L2986" s="6" t="e">
        <v>#VALUE!</v>
      </c>
      <c r="M2986" s="6" t="e">
        <v>#VALUE!</v>
      </c>
      <c r="N2986" s="6" t="e">
        <v>#VALUE!</v>
      </c>
      <c r="O2986" s="6" t="e">
        <v>#VALUE!</v>
      </c>
      <c r="P2986" s="6" t="e">
        <v>#VALUE!</v>
      </c>
      <c r="Q2986" s="6" t="e">
        <v>#VALUE!</v>
      </c>
      <c r="R2986" s="6" t="e">
        <v>#VALUE!</v>
      </c>
      <c r="S2986" s="6" t="e">
        <v>#VALUE!</v>
      </c>
      <c r="T2986" s="9"/>
      <c r="U2986" s="1">
        <f t="shared" si="5064"/>
        <v>68</v>
      </c>
      <c r="V2986" s="1">
        <f t="shared" si="5065"/>
        <v>237</v>
      </c>
    </row>
    <row r="2987" spans="1:22" x14ac:dyDescent="0.3">
      <c r="A2987" s="1">
        <f t="shared" si="5006"/>
        <v>68238</v>
      </c>
      <c r="B2987" s="12">
        <f t="shared" si="5073"/>
        <v>0</v>
      </c>
      <c r="C2987" s="13">
        <f t="shared" si="5074"/>
        <v>0</v>
      </c>
      <c r="D2987" s="10">
        <f t="shared" si="5075"/>
        <v>0</v>
      </c>
      <c r="J2987" s="24" t="str">
        <f t="shared" ref="J2987" si="5089">CONCATENATE(K2985,2)</f>
        <v>102</v>
      </c>
      <c r="K2987" s="6" t="e">
        <v>#VALUE!</v>
      </c>
      <c r="L2987" s="6" t="e">
        <v>#VALUE!</v>
      </c>
      <c r="M2987" s="6" t="e">
        <v>#VALUE!</v>
      </c>
      <c r="N2987" s="6" t="e">
        <v>#VALUE!</v>
      </c>
      <c r="O2987" s="6" t="e">
        <v>#VALUE!</v>
      </c>
      <c r="P2987" s="6" t="e">
        <v>#VALUE!</v>
      </c>
      <c r="Q2987" s="6" t="e">
        <v>#VALUE!</v>
      </c>
      <c r="R2987" s="6" t="e">
        <v>#VALUE!</v>
      </c>
      <c r="S2987" s="6" t="e">
        <v>#VALUE!</v>
      </c>
      <c r="T2987" s="9"/>
      <c r="U2987" s="1">
        <f t="shared" si="5064"/>
        <v>68</v>
      </c>
      <c r="V2987" s="1">
        <f t="shared" si="5065"/>
        <v>238</v>
      </c>
    </row>
    <row r="2988" spans="1:22" x14ac:dyDescent="0.3">
      <c r="A2988" s="1">
        <f t="shared" si="5006"/>
        <v>68239</v>
      </c>
      <c r="B2988" s="12">
        <f t="shared" si="5073"/>
        <v>0</v>
      </c>
      <c r="C2988" s="13">
        <f t="shared" si="5074"/>
        <v>0</v>
      </c>
      <c r="D2988" s="10">
        <f t="shared" si="5075"/>
        <v>0</v>
      </c>
      <c r="J2988" s="24" t="str">
        <f t="shared" ref="J2988" si="5090">CONCATENATE(K2985,3)</f>
        <v>103</v>
      </c>
      <c r="K2988" s="6" t="e">
        <v>#VALUE!</v>
      </c>
      <c r="L2988" s="6" t="e">
        <v>#VALUE!</v>
      </c>
      <c r="M2988" s="6" t="e">
        <v>#VALUE!</v>
      </c>
      <c r="N2988" s="6" t="e">
        <v>#VALUE!</v>
      </c>
      <c r="O2988" s="6" t="e">
        <v>#VALUE!</v>
      </c>
      <c r="P2988" s="6" t="e">
        <v>#VALUE!</v>
      </c>
      <c r="Q2988" s="6" t="e">
        <v>#VALUE!</v>
      </c>
      <c r="R2988" s="6" t="e">
        <v>#VALUE!</v>
      </c>
      <c r="S2988" s="6" t="e">
        <v>#VALUE!</v>
      </c>
      <c r="T2988" s="9"/>
      <c r="U2988" s="1">
        <f t="shared" si="5064"/>
        <v>68</v>
      </c>
      <c r="V2988" s="1">
        <f t="shared" si="5065"/>
        <v>239</v>
      </c>
    </row>
    <row r="2989" spans="1:22" x14ac:dyDescent="0.3">
      <c r="A2989" s="1">
        <f t="shared" si="5006"/>
        <v>68240</v>
      </c>
      <c r="B2989" s="12">
        <f t="shared" si="5073"/>
        <v>0</v>
      </c>
      <c r="C2989" s="13">
        <f t="shared" si="5074"/>
        <v>0</v>
      </c>
      <c r="D2989" s="10">
        <f t="shared" si="5075"/>
        <v>0</v>
      </c>
      <c r="J2989" s="9"/>
      <c r="K2989" s="9"/>
      <c r="L2989" s="9"/>
      <c r="M2989" s="9"/>
      <c r="N2989" s="9"/>
      <c r="O2989" s="9"/>
      <c r="P2989" s="9"/>
      <c r="Q2989" s="9"/>
      <c r="R2989" s="9"/>
      <c r="S2989" s="9"/>
      <c r="T2989" s="9"/>
      <c r="U2989" s="1">
        <f t="shared" si="5064"/>
        <v>68</v>
      </c>
      <c r="V2989" s="1">
        <f t="shared" si="5065"/>
        <v>240</v>
      </c>
    </row>
    <row r="2990" spans="1:22" x14ac:dyDescent="0.3">
      <c r="A2990" s="1">
        <f t="shared" si="5006"/>
        <v>68241</v>
      </c>
      <c r="B2990" s="12">
        <f t="shared" si="5073"/>
        <v>0</v>
      </c>
      <c r="C2990" s="13">
        <f t="shared" si="5074"/>
        <v>0</v>
      </c>
      <c r="D2990" s="10">
        <f t="shared" si="5075"/>
        <v>0</v>
      </c>
      <c r="J2990" s="9"/>
      <c r="K2990" s="9"/>
      <c r="L2990" s="9"/>
      <c r="M2990" s="9"/>
      <c r="N2990" s="9"/>
      <c r="O2990" s="9"/>
      <c r="P2990" s="9"/>
      <c r="Q2990" s="9"/>
      <c r="R2990" s="9"/>
      <c r="S2990" s="9"/>
      <c r="T2990" s="9"/>
      <c r="U2990" s="1">
        <f t="shared" si="5064"/>
        <v>68</v>
      </c>
      <c r="V2990" s="1">
        <f t="shared" si="5065"/>
        <v>241</v>
      </c>
    </row>
    <row r="2991" spans="1:22" x14ac:dyDescent="0.3">
      <c r="A2991" s="1">
        <f t="shared" si="5006"/>
        <v>68242</v>
      </c>
      <c r="B2991" s="12">
        <f t="shared" si="5073"/>
        <v>0</v>
      </c>
      <c r="C2991" s="13">
        <f t="shared" si="5074"/>
        <v>0</v>
      </c>
      <c r="D2991" s="10">
        <f t="shared" si="5075"/>
        <v>0</v>
      </c>
      <c r="J2991" s="9"/>
      <c r="K2991" s="9"/>
      <c r="L2991" s="9"/>
      <c r="M2991" s="9"/>
      <c r="N2991" s="9"/>
      <c r="O2991" s="9"/>
      <c r="P2991" s="9"/>
      <c r="Q2991" s="9"/>
      <c r="R2991" s="9"/>
      <c r="S2991" s="9"/>
      <c r="T2991" s="9"/>
      <c r="U2991" s="1">
        <f t="shared" si="5064"/>
        <v>68</v>
      </c>
      <c r="V2991" s="1">
        <f t="shared" si="5065"/>
        <v>242</v>
      </c>
    </row>
    <row r="2992" spans="1:22" x14ac:dyDescent="0.3">
      <c r="A2992" s="1">
        <f t="shared" si="5006"/>
        <v>68243</v>
      </c>
      <c r="J2992" s="9"/>
      <c r="K2992" s="9"/>
      <c r="L2992" s="9"/>
      <c r="M2992" s="9"/>
      <c r="N2992" s="9"/>
      <c r="O2992" s="9"/>
      <c r="P2992" s="9"/>
      <c r="Q2992" s="9"/>
      <c r="R2992" s="9"/>
      <c r="S2992" s="9"/>
      <c r="T2992" s="9"/>
      <c r="U2992" s="1">
        <f t="shared" si="5064"/>
        <v>68</v>
      </c>
      <c r="V2992" s="1">
        <f t="shared" si="5065"/>
        <v>243</v>
      </c>
    </row>
    <row r="2993" spans="1:22" s="5" customFormat="1" x14ac:dyDescent="0.3"/>
    <row r="2994" spans="1:22" x14ac:dyDescent="0.3">
      <c r="A2994" s="1">
        <f t="shared" ref="A2994:A3036" si="5091">ROUND(CONCATENATE(U2994,V2994),0)</f>
        <v>69201</v>
      </c>
      <c r="B2994" s="96" t="s">
        <v>0</v>
      </c>
      <c r="C2994" s="97"/>
      <c r="D2994" s="110" t="s">
        <v>46</v>
      </c>
      <c r="E2994" s="111"/>
      <c r="F2994" s="111"/>
      <c r="G2994" s="111"/>
      <c r="H2994" s="112"/>
      <c r="J2994" s="9"/>
      <c r="K2994" s="9"/>
      <c r="L2994" s="9"/>
      <c r="M2994" s="9"/>
      <c r="N2994" s="9"/>
      <c r="O2994" s="9"/>
      <c r="P2994" s="9"/>
      <c r="Q2994" s="9"/>
      <c r="R2994" s="9"/>
      <c r="S2994" s="9"/>
      <c r="T2994" s="9"/>
      <c r="U2994" s="1">
        <f t="shared" ref="U2994" si="5092">U2992+1</f>
        <v>69</v>
      </c>
      <c r="V2994" s="1">
        <v>201</v>
      </c>
    </row>
    <row r="2995" spans="1:22" x14ac:dyDescent="0.3">
      <c r="A2995" s="1">
        <f t="shared" si="5091"/>
        <v>69202</v>
      </c>
      <c r="B2995" s="96" t="s">
        <v>1</v>
      </c>
      <c r="C2995" s="97"/>
      <c r="D2995" s="15">
        <v>20</v>
      </c>
      <c r="E2995" s="16" t="s">
        <v>2</v>
      </c>
      <c r="F2995" s="107"/>
      <c r="G2995" s="108"/>
      <c r="H2995" s="109"/>
      <c r="J2995" s="9"/>
      <c r="K2995" s="9"/>
      <c r="L2995" s="9"/>
      <c r="M2995" s="9"/>
      <c r="N2995" s="9"/>
      <c r="O2995" s="9"/>
      <c r="P2995" s="9"/>
      <c r="Q2995" s="9"/>
      <c r="R2995" s="9"/>
      <c r="S2995" s="9"/>
      <c r="T2995" s="9"/>
      <c r="U2995" s="1">
        <f t="shared" ref="U2995" si="5093">U2994</f>
        <v>69</v>
      </c>
      <c r="V2995" s="1">
        <f t="shared" ref="V2995" si="5094">V2994+1</f>
        <v>202</v>
      </c>
    </row>
    <row r="2996" spans="1:22" x14ac:dyDescent="0.3">
      <c r="A2996" s="1">
        <f t="shared" si="5091"/>
        <v>69203</v>
      </c>
      <c r="B2996" s="96" t="s">
        <v>12</v>
      </c>
      <c r="C2996" s="97"/>
      <c r="D2996" s="110" t="s">
        <v>266</v>
      </c>
      <c r="E2996" s="111"/>
      <c r="F2996" s="111"/>
      <c r="G2996" s="111"/>
      <c r="H2996" s="112"/>
      <c r="K2996" s="1" t="s">
        <v>3</v>
      </c>
      <c r="L2996" s="1" t="s">
        <v>4</v>
      </c>
      <c r="M2996" s="1" t="s">
        <v>5</v>
      </c>
      <c r="N2996" s="1" t="s">
        <v>6</v>
      </c>
      <c r="O2996" s="1" t="s">
        <v>7</v>
      </c>
      <c r="P2996" s="1" t="s">
        <v>8</v>
      </c>
      <c r="Q2996" s="1" t="s">
        <v>9</v>
      </c>
      <c r="R2996" s="1" t="s">
        <v>10</v>
      </c>
      <c r="S2996" s="1" t="s">
        <v>11</v>
      </c>
      <c r="T2996" s="9"/>
      <c r="U2996" s="1">
        <f t="shared" si="5064"/>
        <v>69</v>
      </c>
      <c r="V2996" s="1">
        <f t="shared" si="5065"/>
        <v>203</v>
      </c>
    </row>
    <row r="2997" spans="1:22" x14ac:dyDescent="0.3">
      <c r="A2997" s="1">
        <f t="shared" si="5091"/>
        <v>69204</v>
      </c>
      <c r="B2997" s="96" t="s">
        <v>13</v>
      </c>
      <c r="C2997" s="97"/>
      <c r="D2997" s="110" t="s">
        <v>65</v>
      </c>
      <c r="E2997" s="111"/>
      <c r="F2997" s="111"/>
      <c r="G2997" s="111"/>
      <c r="H2997" s="112"/>
      <c r="J2997" s="1">
        <f t="shared" ref="J2997" si="5095">COUNTA(B3010:B3019)</f>
        <v>3</v>
      </c>
      <c r="K2997" s="1">
        <f t="shared" ref="K2997" si="5096">IF(L2997-1&lt;2,0,L2997-1)</f>
        <v>0</v>
      </c>
      <c r="L2997" s="1">
        <f t="shared" ref="L2997" si="5097">IF(M2997-1&lt;2,0,M2997-1)</f>
        <v>0</v>
      </c>
      <c r="M2997" s="1">
        <f t="shared" ref="M2997" si="5098">IF(N2997-1&lt;2,0,N2997-1)</f>
        <v>0</v>
      </c>
      <c r="N2997" s="1">
        <f t="shared" ref="N2997" si="5099">IF(O2997-1&lt;2,0,O2997-1)</f>
        <v>0</v>
      </c>
      <c r="O2997" s="1">
        <f t="shared" ref="O2997" si="5100">IF(P2997-1&lt;2,0,P2997-1)</f>
        <v>0</v>
      </c>
      <c r="P2997" s="1">
        <f t="shared" ref="P2997" si="5101">IF(Q2997-1&lt;2,0,Q2997-1)</f>
        <v>0</v>
      </c>
      <c r="Q2997" s="1">
        <f t="shared" ref="Q2997" si="5102">IF(R2997-1&lt;2,0,R2997-1)</f>
        <v>0</v>
      </c>
      <c r="R2997" s="1">
        <f t="shared" ref="R2997" si="5103">IF(S2997-1&lt;2,0,S2997-1)</f>
        <v>2</v>
      </c>
      <c r="S2997" s="1">
        <f t="shared" ref="S2997" si="5104">J2997</f>
        <v>3</v>
      </c>
      <c r="T2997" s="9"/>
      <c r="U2997" s="1">
        <f t="shared" si="5064"/>
        <v>69</v>
      </c>
      <c r="V2997" s="1">
        <f t="shared" si="5065"/>
        <v>204</v>
      </c>
    </row>
    <row r="2998" spans="1:22" x14ac:dyDescent="0.3">
      <c r="A2998" s="1">
        <f t="shared" si="5091"/>
        <v>69205</v>
      </c>
      <c r="B2998" s="96" t="s">
        <v>14</v>
      </c>
      <c r="C2998" s="97"/>
      <c r="D2998" s="110" t="s">
        <v>66</v>
      </c>
      <c r="E2998" s="111"/>
      <c r="F2998" s="111"/>
      <c r="G2998" s="111"/>
      <c r="H2998" s="112"/>
      <c r="J2998" s="24" t="str">
        <f t="shared" ref="J2998" si="5105">CONCATENATE(J2997,1)</f>
        <v>31</v>
      </c>
      <c r="K2998" s="25">
        <f t="shared" ref="K2998" si="5106">IF(K2997=0,0,VLOOKUP(J2998,J3002:S3032,K2997,FALSE))</f>
        <v>0</v>
      </c>
      <c r="L2998" s="25">
        <f t="shared" ref="L2998" si="5107">IF(L2997=0,0,VLOOKUP(J2998,J3002:S3032,L2997,FALSE))</f>
        <v>0</v>
      </c>
      <c r="M2998" s="25">
        <f t="shared" ref="M2998" si="5108">IF(M2997=0,0,VLOOKUP(J2998,J3002:S3032,M2997,FALSE))</f>
        <v>0</v>
      </c>
      <c r="N2998" s="25">
        <f t="shared" ref="N2998" si="5109">IF(N2997=0,0,VLOOKUP(J2998,J3002:S3032,N2997,FALSE))</f>
        <v>0</v>
      </c>
      <c r="O2998" s="25">
        <f t="shared" ref="O2998" si="5110">IF(O2997=0,0,VLOOKUP(J2998,J3002:S3032,O2997,FALSE))</f>
        <v>0</v>
      </c>
      <c r="P2998" s="25">
        <f t="shared" ref="P2998" si="5111">IF(P2997=0,0,VLOOKUP(J2998,J3002:S3032,P2997,FALSE))</f>
        <v>0</v>
      </c>
      <c r="Q2998" s="25">
        <f t="shared" ref="Q2998" si="5112">IF(Q2997=0,0,VLOOKUP(J2998,J3002:S3032,Q2997,FALSE))</f>
        <v>0</v>
      </c>
      <c r="R2998" s="25">
        <f t="shared" ref="R2998" si="5113">IF(R2997=0,0,VLOOKUP(J2998,J3002:S3032,R2997,FALSE))</f>
        <v>0.98318899643402946</v>
      </c>
      <c r="S2998" s="25">
        <f t="shared" ref="S2998" si="5114">IF(S2997=0,0,VLOOKUP(J2998,J3002:S3032,S2997,FALSE))</f>
        <v>2.8629648497198232</v>
      </c>
      <c r="T2998" s="9"/>
      <c r="U2998" s="1">
        <f t="shared" si="5064"/>
        <v>69</v>
      </c>
      <c r="V2998" s="1">
        <f t="shared" si="5065"/>
        <v>205</v>
      </c>
    </row>
    <row r="2999" spans="1:22" x14ac:dyDescent="0.3">
      <c r="A2999" s="1">
        <f t="shared" si="5091"/>
        <v>69206</v>
      </c>
      <c r="B2999" s="96" t="s">
        <v>15</v>
      </c>
      <c r="C2999" s="97"/>
      <c r="D2999" s="110" t="s">
        <v>267</v>
      </c>
      <c r="E2999" s="111"/>
      <c r="F2999" s="111"/>
      <c r="G2999" s="111"/>
      <c r="H2999" s="112"/>
      <c r="J2999" s="24" t="str">
        <f t="shared" ref="J2999" si="5115">CONCATENATE(J2997,2)</f>
        <v>32</v>
      </c>
      <c r="K2999" s="6">
        <f t="shared" ref="K2999" si="5116">IF(K2997=0,0,VLOOKUP(J2999,J3002:S3032,K2997,FALSE))</f>
        <v>0</v>
      </c>
      <c r="L2999" s="6">
        <f t="shared" ref="L2999" si="5117">IF(L2997=0,0,VLOOKUP(J2999,J3002:S3032,L2997,FALSE))</f>
        <v>0</v>
      </c>
      <c r="M2999" s="6">
        <f t="shared" ref="M2999" si="5118">IF(M2997=0,0,VLOOKUP(J2999,J3002:S3032,M2997,FALSE))</f>
        <v>0</v>
      </c>
      <c r="N2999" s="6">
        <f t="shared" ref="N2999" si="5119">IF(N2997=0,0,VLOOKUP(J2999,J3002:S3032,N2997,FALSE))</f>
        <v>0</v>
      </c>
      <c r="O2999" s="6">
        <f t="shared" ref="O2999" si="5120">IF(O2997=0,0,VLOOKUP(J2999,J3002:S3032,O2997,FALSE))</f>
        <v>0</v>
      </c>
      <c r="P2999" s="6">
        <f t="shared" ref="P2999" si="5121">IF(P2997=0,0,VLOOKUP(J2999,J3002:S3032,P2997,FALSE))</f>
        <v>0</v>
      </c>
      <c r="Q2999" s="6">
        <f t="shared" ref="Q2999" si="5122">IF(Q2997=0,0,VLOOKUP(J2999,J3002:S3032,Q2997,FALSE))</f>
        <v>0</v>
      </c>
      <c r="R2999" s="6">
        <f t="shared" ref="R2999" si="5123">IF(R2997=0,0,VLOOKUP(J2999,J3002:S3032,R2997,FALSE))</f>
        <v>3.5293954306039411E-2</v>
      </c>
      <c r="S2999" s="6">
        <f t="shared" ref="S2999" si="5124">IF(S2997=0,0,VLOOKUP(J2999,J3002:S3032,S2997,FALSE))</f>
        <v>1.955977234195253</v>
      </c>
      <c r="T2999" s="9"/>
      <c r="U2999" s="1">
        <f t="shared" si="5064"/>
        <v>69</v>
      </c>
      <c r="V2999" s="1">
        <f t="shared" si="5065"/>
        <v>206</v>
      </c>
    </row>
    <row r="3000" spans="1:22" x14ac:dyDescent="0.3">
      <c r="A3000" s="1">
        <f t="shared" si="5091"/>
        <v>69207</v>
      </c>
      <c r="B3000" s="96" t="s">
        <v>16</v>
      </c>
      <c r="C3000" s="97"/>
      <c r="D3000" s="113">
        <v>45733</v>
      </c>
      <c r="E3000" s="114"/>
      <c r="F3000" s="114"/>
      <c r="G3000" s="114"/>
      <c r="H3000" s="115"/>
      <c r="J3000" s="24" t="str">
        <f t="shared" ref="J3000" si="5125">CONCATENATE(J2997,3)</f>
        <v>33</v>
      </c>
      <c r="K3000" s="6"/>
      <c r="L3000" s="6"/>
      <c r="M3000" s="6"/>
      <c r="N3000" s="6" t="s">
        <v>43</v>
      </c>
      <c r="O3000" s="25">
        <f t="shared" ref="O3000" si="5126">J2997-2</f>
        <v>1</v>
      </c>
      <c r="P3000" s="6" t="s">
        <v>44</v>
      </c>
      <c r="Q3000" s="25">
        <f t="shared" ref="Q3000" si="5127">VLOOKUP(J3000,J3002:S3032,3,FALSE)</f>
        <v>1.2767763788340787</v>
      </c>
      <c r="R3000" s="6" t="s">
        <v>45</v>
      </c>
      <c r="S3000" s="6">
        <f t="shared" ref="S3000" si="5128">VLOOKUP(J3000,J3002:S3032,2,FALSE)</f>
        <v>0.99871303321982996</v>
      </c>
      <c r="T3000" s="9"/>
      <c r="U3000" s="1">
        <f t="shared" si="5064"/>
        <v>69</v>
      </c>
      <c r="V3000" s="1">
        <f t="shared" si="5065"/>
        <v>207</v>
      </c>
    </row>
    <row r="3001" spans="1:22" x14ac:dyDescent="0.3">
      <c r="A3001" s="1">
        <f t="shared" si="5091"/>
        <v>69208</v>
      </c>
      <c r="B3001" s="96" t="s">
        <v>17</v>
      </c>
      <c r="C3001" s="97"/>
      <c r="D3001" s="116">
        <v>46111</v>
      </c>
      <c r="E3001" s="117"/>
      <c r="F3001" s="117"/>
      <c r="G3001" s="117"/>
      <c r="H3001" s="118"/>
      <c r="K3001" s="1">
        <v>3</v>
      </c>
      <c r="L3001" s="1">
        <v>3</v>
      </c>
      <c r="Q3001" s="26"/>
      <c r="R3001" s="26"/>
      <c r="S3001" s="26"/>
      <c r="T3001" s="9"/>
      <c r="U3001" s="1">
        <f t="shared" si="5064"/>
        <v>69</v>
      </c>
      <c r="V3001" s="1">
        <f t="shared" si="5065"/>
        <v>208</v>
      </c>
    </row>
    <row r="3002" spans="1:22" x14ac:dyDescent="0.3">
      <c r="A3002" s="1">
        <f t="shared" si="5091"/>
        <v>69209</v>
      </c>
      <c r="B3002" s="77" t="s">
        <v>19</v>
      </c>
      <c r="C3002" s="78"/>
      <c r="D3002" s="17">
        <v>1</v>
      </c>
      <c r="E3002" s="79" t="s">
        <v>40</v>
      </c>
      <c r="F3002" s="80"/>
      <c r="G3002" s="81"/>
      <c r="H3002" s="18" t="s">
        <v>72</v>
      </c>
      <c r="J3002" s="24" t="str">
        <f t="shared" ref="J3002" si="5129">CONCATENATE(K3001,1)</f>
        <v>31</v>
      </c>
      <c r="K3002" s="6">
        <f t="array" ref="K3002:L3004">LINEST(B3010:B3012,C3010:C3012^{1},TRUE,TRUE)</f>
        <v>0.98318899643402946</v>
      </c>
      <c r="L3002" s="6">
        <v>2.8629648497198232</v>
      </c>
      <c r="Q3002" s="9"/>
      <c r="R3002" s="9"/>
      <c r="S3002" s="9"/>
      <c r="T3002" s="9"/>
      <c r="U3002" s="1">
        <f t="shared" si="5064"/>
        <v>69</v>
      </c>
      <c r="V3002" s="1">
        <f t="shared" si="5065"/>
        <v>209</v>
      </c>
    </row>
    <row r="3003" spans="1:22" x14ac:dyDescent="0.3">
      <c r="A3003" s="1">
        <f t="shared" si="5091"/>
        <v>69210</v>
      </c>
      <c r="B3003" s="77" t="s">
        <v>41</v>
      </c>
      <c r="C3003" s="78"/>
      <c r="D3003" s="23">
        <f t="shared" ref="D3003" si="5130">MIN(B3010:B3019)</f>
        <v>30</v>
      </c>
      <c r="E3003" s="20" t="s">
        <v>18</v>
      </c>
      <c r="F3003" s="19">
        <f t="shared" ref="F3003" si="5131">MAX(B3010:B3019)</f>
        <v>80</v>
      </c>
      <c r="G3003" s="21" t="str">
        <f t="shared" ref="G3003" si="5132">IF(H3002="","",H3002)</f>
        <v>%ur</v>
      </c>
      <c r="H3003" s="22"/>
      <c r="J3003" s="24" t="str">
        <f t="shared" ref="J3003" si="5133">CONCATENATE(K3001,2)</f>
        <v>32</v>
      </c>
      <c r="K3003" s="6">
        <v>3.5293954306039411E-2</v>
      </c>
      <c r="L3003" s="6">
        <v>1.955977234195253</v>
      </c>
      <c r="Q3003" s="9"/>
      <c r="R3003" s="9"/>
      <c r="S3003" s="9"/>
      <c r="T3003" s="9"/>
      <c r="U3003" s="1">
        <f t="shared" si="5064"/>
        <v>69</v>
      </c>
      <c r="V3003" s="1">
        <f t="shared" si="5065"/>
        <v>210</v>
      </c>
    </row>
    <row r="3004" spans="1:22" x14ac:dyDescent="0.3">
      <c r="A3004" s="1">
        <f t="shared" si="5091"/>
        <v>69211</v>
      </c>
      <c r="J3004" s="24" t="str">
        <f t="shared" ref="J3004" si="5134">CONCATENATE(K3001,3)</f>
        <v>33</v>
      </c>
      <c r="K3004" s="6">
        <v>0.99871303321982996</v>
      </c>
      <c r="L3004" s="6">
        <v>1.2767763788340787</v>
      </c>
      <c r="Q3004" s="9"/>
      <c r="R3004" s="9"/>
      <c r="S3004" s="9"/>
      <c r="T3004" s="9"/>
      <c r="U3004" s="1">
        <f t="shared" si="5064"/>
        <v>69</v>
      </c>
      <c r="V3004" s="1">
        <f t="shared" si="5065"/>
        <v>211</v>
      </c>
    </row>
    <row r="3005" spans="1:22" x14ac:dyDescent="0.3">
      <c r="A3005" s="1">
        <f t="shared" si="5091"/>
        <v>69212</v>
      </c>
      <c r="B3005" s="82" t="s">
        <v>20</v>
      </c>
      <c r="C3005" s="83"/>
      <c r="D3005" s="83"/>
      <c r="E3005" s="83"/>
      <c r="F3005" s="84"/>
      <c r="G3005" s="85" t="s">
        <v>31</v>
      </c>
      <c r="H3005" s="86"/>
      <c r="K3005" s="1">
        <v>4</v>
      </c>
      <c r="L3005" s="1">
        <v>4</v>
      </c>
      <c r="M3005" s="1">
        <v>4</v>
      </c>
      <c r="Q3005" s="9"/>
      <c r="R3005" s="9"/>
      <c r="S3005" s="9"/>
      <c r="T3005" s="9"/>
      <c r="U3005" s="1">
        <f t="shared" si="5064"/>
        <v>69</v>
      </c>
      <c r="V3005" s="1">
        <f t="shared" si="5065"/>
        <v>212</v>
      </c>
    </row>
    <row r="3006" spans="1:22" x14ac:dyDescent="0.3">
      <c r="A3006" s="1">
        <f t="shared" si="5091"/>
        <v>69213</v>
      </c>
      <c r="B3006" s="82" t="s">
        <v>30</v>
      </c>
      <c r="C3006" s="83"/>
      <c r="D3006" s="84"/>
      <c r="E3006" s="82" t="str">
        <f t="shared" ref="E3006" si="5135">D2999</f>
        <v>E0137/25</v>
      </c>
      <c r="F3006" s="84"/>
      <c r="G3006" s="6" t="s">
        <v>32</v>
      </c>
      <c r="H3006" s="7"/>
      <c r="J3006" s="24" t="str">
        <f t="shared" ref="J3006" si="5136">CONCATENATE(K3005,1)</f>
        <v>41</v>
      </c>
      <c r="K3006" s="6" t="e">
        <f t="array" ref="K3006:M3008">LINEST(B3010:B3013,C3010:C3013^{1,2},TRUE,TRUE)</f>
        <v>#VALUE!</v>
      </c>
      <c r="L3006" s="6" t="e">
        <v>#VALUE!</v>
      </c>
      <c r="M3006" s="6" t="e">
        <v>#VALUE!</v>
      </c>
      <c r="Q3006" s="9"/>
      <c r="R3006" s="9"/>
      <c r="S3006" s="9"/>
      <c r="T3006" s="9"/>
      <c r="U3006" s="1">
        <f t="shared" si="5064"/>
        <v>69</v>
      </c>
      <c r="V3006" s="1">
        <f t="shared" si="5065"/>
        <v>213</v>
      </c>
    </row>
    <row r="3007" spans="1:22" x14ac:dyDescent="0.3">
      <c r="A3007" s="1">
        <f t="shared" si="5091"/>
        <v>69214</v>
      </c>
      <c r="B3007" s="2" t="s">
        <v>21</v>
      </c>
      <c r="C3007" s="2" t="s">
        <v>22</v>
      </c>
      <c r="D3007" s="2" t="s">
        <v>23</v>
      </c>
      <c r="E3007" s="2"/>
      <c r="F3007" s="2" t="s">
        <v>28</v>
      </c>
      <c r="G3007" s="2" t="s">
        <v>21</v>
      </c>
      <c r="H3007" s="2" t="s">
        <v>22</v>
      </c>
      <c r="J3007" s="24" t="str">
        <f t="shared" ref="J3007" si="5137">CONCATENATE(K3005,2)</f>
        <v>42</v>
      </c>
      <c r="K3007" s="6" t="e">
        <v>#VALUE!</v>
      </c>
      <c r="L3007" s="6" t="e">
        <v>#VALUE!</v>
      </c>
      <c r="M3007" s="6" t="e">
        <v>#VALUE!</v>
      </c>
      <c r="Q3007" s="9"/>
      <c r="R3007" s="9"/>
      <c r="S3007" s="9"/>
      <c r="T3007" s="9"/>
      <c r="U3007" s="1">
        <f t="shared" si="5064"/>
        <v>69</v>
      </c>
      <c r="V3007" s="1">
        <f t="shared" si="5065"/>
        <v>214</v>
      </c>
    </row>
    <row r="3008" spans="1:22" x14ac:dyDescent="0.3">
      <c r="A3008" s="1">
        <f t="shared" si="5091"/>
        <v>69215</v>
      </c>
      <c r="B3008" s="2" t="s">
        <v>24</v>
      </c>
      <c r="C3008" s="2" t="s">
        <v>25</v>
      </c>
      <c r="D3008" s="2" t="s">
        <v>26</v>
      </c>
      <c r="E3008" s="2" t="s">
        <v>27</v>
      </c>
      <c r="F3008" s="2" t="s">
        <v>29</v>
      </c>
      <c r="G3008" s="2" t="s">
        <v>24</v>
      </c>
      <c r="H3008" s="2" t="s">
        <v>25</v>
      </c>
      <c r="J3008" s="24" t="str">
        <f t="shared" ref="J3008" si="5138">CONCATENATE(K3005,3)</f>
        <v>43</v>
      </c>
      <c r="K3008" s="6" t="e">
        <v>#VALUE!</v>
      </c>
      <c r="L3008" s="6" t="e">
        <v>#VALUE!</v>
      </c>
      <c r="M3008" s="6" t="e">
        <v>#VALUE!</v>
      </c>
      <c r="Q3008" s="9"/>
      <c r="R3008" s="9"/>
      <c r="S3008" s="9"/>
      <c r="T3008" s="9"/>
      <c r="U3008" s="1">
        <f t="shared" si="5064"/>
        <v>69</v>
      </c>
      <c r="V3008" s="1">
        <f t="shared" si="5065"/>
        <v>215</v>
      </c>
    </row>
    <row r="3009" spans="1:22" x14ac:dyDescent="0.3">
      <c r="A3009" s="1">
        <f t="shared" si="5091"/>
        <v>69216</v>
      </c>
      <c r="B3009" s="3" t="str">
        <f t="shared" ref="B3009" si="5139">H3002</f>
        <v>%ur</v>
      </c>
      <c r="C3009" s="3" t="str">
        <f t="shared" ref="C3009" si="5140">B3009</f>
        <v>%ur</v>
      </c>
      <c r="D3009" s="3" t="str">
        <f t="shared" ref="D3009" si="5141">C3009</f>
        <v>%ur</v>
      </c>
      <c r="E3009" s="3"/>
      <c r="F3009" s="3"/>
      <c r="G3009" s="3" t="str">
        <f t="shared" ref="G3009" si="5142">D3009</f>
        <v>%ur</v>
      </c>
      <c r="H3009" s="3" t="str">
        <f t="shared" ref="H3009" si="5143">G3009</f>
        <v>%ur</v>
      </c>
      <c r="K3009" s="1">
        <v>5</v>
      </c>
      <c r="L3009" s="1">
        <v>5</v>
      </c>
      <c r="M3009" s="1">
        <v>5</v>
      </c>
      <c r="N3009" s="1">
        <v>5</v>
      </c>
      <c r="Q3009" s="9"/>
      <c r="R3009" s="9"/>
      <c r="S3009" s="9"/>
      <c r="T3009" s="9"/>
      <c r="U3009" s="1">
        <f t="shared" si="5064"/>
        <v>69</v>
      </c>
      <c r="V3009" s="1">
        <f t="shared" si="5065"/>
        <v>216</v>
      </c>
    </row>
    <row r="3010" spans="1:22" x14ac:dyDescent="0.3">
      <c r="A3010" s="1">
        <f t="shared" si="5091"/>
        <v>69217</v>
      </c>
      <c r="B3010" s="4">
        <v>30</v>
      </c>
      <c r="C3010" s="4">
        <v>27</v>
      </c>
      <c r="D3010" s="4">
        <v>2</v>
      </c>
      <c r="E3010" s="4">
        <v>2</v>
      </c>
      <c r="F3010" s="14">
        <v>1000000</v>
      </c>
      <c r="G3010" s="8"/>
      <c r="H3010" s="7"/>
      <c r="J3010" s="24" t="str">
        <f t="shared" ref="J3010" si="5144">CONCATENATE(K3009,1)</f>
        <v>51</v>
      </c>
      <c r="K3010" s="6" t="e">
        <f t="array" ref="K3010:N3012">LINEST(B3010:B3014,C3010:C3014^{1,2,3},TRUE,TRUE)</f>
        <v>#VALUE!</v>
      </c>
      <c r="L3010" s="6" t="e">
        <v>#VALUE!</v>
      </c>
      <c r="M3010" s="6" t="e">
        <v>#VALUE!</v>
      </c>
      <c r="N3010" s="6" t="e">
        <v>#VALUE!</v>
      </c>
      <c r="Q3010" s="9"/>
      <c r="R3010" s="9"/>
      <c r="S3010" s="9"/>
      <c r="T3010" s="9"/>
      <c r="U3010" s="1">
        <f t="shared" si="5064"/>
        <v>69</v>
      </c>
      <c r="V3010" s="1">
        <f t="shared" si="5065"/>
        <v>217</v>
      </c>
    </row>
    <row r="3011" spans="1:22" x14ac:dyDescent="0.3">
      <c r="A3011" s="1">
        <f t="shared" si="5091"/>
        <v>69218</v>
      </c>
      <c r="B3011" s="4">
        <v>50</v>
      </c>
      <c r="C3011" s="4">
        <v>49</v>
      </c>
      <c r="D3011" s="4">
        <v>2</v>
      </c>
      <c r="E3011" s="4">
        <v>2</v>
      </c>
      <c r="F3011" s="14">
        <v>1000000</v>
      </c>
      <c r="G3011" s="8"/>
      <c r="H3011" s="7"/>
      <c r="J3011" s="24" t="str">
        <f t="shared" ref="J3011" si="5145">CONCATENATE(K3009,2)</f>
        <v>52</v>
      </c>
      <c r="K3011" s="6" t="e">
        <v>#VALUE!</v>
      </c>
      <c r="L3011" s="6" t="e">
        <v>#VALUE!</v>
      </c>
      <c r="M3011" s="6" t="e">
        <v>#VALUE!</v>
      </c>
      <c r="N3011" s="6" t="e">
        <v>#VALUE!</v>
      </c>
      <c r="T3011" s="9"/>
      <c r="U3011" s="1">
        <f t="shared" si="5064"/>
        <v>69</v>
      </c>
      <c r="V3011" s="1">
        <f t="shared" si="5065"/>
        <v>218</v>
      </c>
    </row>
    <row r="3012" spans="1:22" x14ac:dyDescent="0.3">
      <c r="A3012" s="1">
        <f t="shared" si="5091"/>
        <v>69219</v>
      </c>
      <c r="B3012" s="4">
        <v>80</v>
      </c>
      <c r="C3012" s="4">
        <v>78</v>
      </c>
      <c r="D3012" s="4">
        <v>2</v>
      </c>
      <c r="E3012" s="4">
        <v>2</v>
      </c>
      <c r="F3012" s="14">
        <v>1000000</v>
      </c>
      <c r="G3012" s="8"/>
      <c r="H3012" s="7"/>
      <c r="J3012" s="24" t="str">
        <f t="shared" ref="J3012" si="5146">CONCATENATE(K3009,3)</f>
        <v>53</v>
      </c>
      <c r="K3012" s="6" t="e">
        <v>#VALUE!</v>
      </c>
      <c r="L3012" s="6" t="e">
        <v>#VALUE!</v>
      </c>
      <c r="M3012" s="6" t="e">
        <v>#VALUE!</v>
      </c>
      <c r="N3012" s="6" t="e">
        <v>#VALUE!</v>
      </c>
      <c r="T3012" s="9"/>
      <c r="U3012" s="1">
        <f t="shared" si="5064"/>
        <v>69</v>
      </c>
      <c r="V3012" s="1">
        <f t="shared" si="5065"/>
        <v>219</v>
      </c>
    </row>
    <row r="3013" spans="1:22" x14ac:dyDescent="0.3">
      <c r="A3013" s="1">
        <f t="shared" si="5091"/>
        <v>69220</v>
      </c>
      <c r="B3013" s="4"/>
      <c r="C3013" s="4"/>
      <c r="D3013" s="4"/>
      <c r="E3013" s="4"/>
      <c r="F3013" s="14"/>
      <c r="G3013" s="8"/>
      <c r="H3013" s="7"/>
      <c r="K3013" s="1">
        <v>6</v>
      </c>
      <c r="L3013" s="1">
        <v>6</v>
      </c>
      <c r="M3013" s="1">
        <v>6</v>
      </c>
      <c r="N3013" s="1">
        <v>6</v>
      </c>
      <c r="O3013" s="1">
        <v>6</v>
      </c>
      <c r="T3013" s="9"/>
      <c r="U3013" s="1">
        <f t="shared" si="5064"/>
        <v>69</v>
      </c>
      <c r="V3013" s="1">
        <f t="shared" si="5065"/>
        <v>220</v>
      </c>
    </row>
    <row r="3014" spans="1:22" x14ac:dyDescent="0.3">
      <c r="A3014" s="1">
        <f t="shared" si="5091"/>
        <v>69221</v>
      </c>
      <c r="B3014" s="4"/>
      <c r="C3014" s="4"/>
      <c r="D3014" s="4"/>
      <c r="E3014" s="4"/>
      <c r="F3014" s="14"/>
      <c r="G3014" s="8"/>
      <c r="H3014" s="7"/>
      <c r="J3014" s="24" t="str">
        <f t="shared" ref="J3014" si="5147">CONCATENATE(K3013,1)</f>
        <v>61</v>
      </c>
      <c r="K3014" s="6" t="e">
        <f t="array" ref="K3014:O3016">LINEST(B3010:B3015,C3010:C3015^{1,2,3,4},TRUE,TRUE)</f>
        <v>#VALUE!</v>
      </c>
      <c r="L3014" s="6" t="e">
        <v>#VALUE!</v>
      </c>
      <c r="M3014" s="6" t="e">
        <v>#VALUE!</v>
      </c>
      <c r="N3014" s="6" t="e">
        <v>#VALUE!</v>
      </c>
      <c r="O3014" s="6" t="e">
        <v>#VALUE!</v>
      </c>
      <c r="T3014" s="9"/>
      <c r="U3014" s="1">
        <f t="shared" si="5064"/>
        <v>69</v>
      </c>
      <c r="V3014" s="1">
        <f t="shared" si="5065"/>
        <v>221</v>
      </c>
    </row>
    <row r="3015" spans="1:22" x14ac:dyDescent="0.3">
      <c r="A3015" s="1">
        <f t="shared" si="5091"/>
        <v>69222</v>
      </c>
      <c r="B3015" s="4"/>
      <c r="C3015" s="4"/>
      <c r="D3015" s="4"/>
      <c r="E3015" s="4"/>
      <c r="F3015" s="14"/>
      <c r="G3015" s="8"/>
      <c r="H3015" s="7"/>
      <c r="J3015" s="24" t="str">
        <f t="shared" ref="J3015" si="5148">CONCATENATE(K3013,2)</f>
        <v>62</v>
      </c>
      <c r="K3015" s="6" t="e">
        <v>#VALUE!</v>
      </c>
      <c r="L3015" s="6" t="e">
        <v>#VALUE!</v>
      </c>
      <c r="M3015" s="6" t="e">
        <v>#VALUE!</v>
      </c>
      <c r="N3015" s="6" t="e">
        <v>#VALUE!</v>
      </c>
      <c r="O3015" s="6" t="e">
        <v>#VALUE!</v>
      </c>
      <c r="T3015" s="9"/>
      <c r="U3015" s="1">
        <f t="shared" si="5064"/>
        <v>69</v>
      </c>
      <c r="V3015" s="1">
        <f t="shared" si="5065"/>
        <v>222</v>
      </c>
    </row>
    <row r="3016" spans="1:22" x14ac:dyDescent="0.3">
      <c r="A3016" s="1">
        <f t="shared" si="5091"/>
        <v>69223</v>
      </c>
      <c r="B3016" s="4"/>
      <c r="C3016" s="4"/>
      <c r="D3016" s="4"/>
      <c r="E3016" s="4"/>
      <c r="F3016" s="14"/>
      <c r="G3016" s="8"/>
      <c r="H3016" s="7"/>
      <c r="J3016" s="24" t="str">
        <f t="shared" ref="J3016" si="5149">CONCATENATE(K3013,3)</f>
        <v>63</v>
      </c>
      <c r="K3016" s="6" t="e">
        <v>#VALUE!</v>
      </c>
      <c r="L3016" s="6" t="e">
        <v>#VALUE!</v>
      </c>
      <c r="M3016" s="6" t="e">
        <v>#VALUE!</v>
      </c>
      <c r="N3016" s="6" t="e">
        <v>#VALUE!</v>
      </c>
      <c r="O3016" s="6" t="e">
        <v>#VALUE!</v>
      </c>
      <c r="T3016" s="9"/>
      <c r="U3016" s="1">
        <f t="shared" si="5064"/>
        <v>69</v>
      </c>
      <c r="V3016" s="1">
        <f t="shared" si="5065"/>
        <v>223</v>
      </c>
    </row>
    <row r="3017" spans="1:22" x14ac:dyDescent="0.3">
      <c r="A3017" s="1">
        <f t="shared" si="5091"/>
        <v>69224</v>
      </c>
      <c r="B3017" s="4"/>
      <c r="C3017" s="4"/>
      <c r="D3017" s="4"/>
      <c r="E3017" s="4"/>
      <c r="F3017" s="14"/>
      <c r="G3017" s="8"/>
      <c r="H3017" s="7"/>
      <c r="K3017" s="1">
        <v>7</v>
      </c>
      <c r="L3017" s="1">
        <v>7</v>
      </c>
      <c r="M3017" s="1">
        <v>7</v>
      </c>
      <c r="N3017" s="1">
        <v>7</v>
      </c>
      <c r="O3017" s="1">
        <v>7</v>
      </c>
      <c r="P3017" s="1">
        <v>7</v>
      </c>
      <c r="T3017" s="9"/>
      <c r="U3017" s="1">
        <f t="shared" si="5064"/>
        <v>69</v>
      </c>
      <c r="V3017" s="1">
        <f t="shared" si="5065"/>
        <v>224</v>
      </c>
    </row>
    <row r="3018" spans="1:22" x14ac:dyDescent="0.3">
      <c r="A3018" s="1">
        <f t="shared" si="5091"/>
        <v>69225</v>
      </c>
      <c r="B3018" s="4"/>
      <c r="C3018" s="4"/>
      <c r="D3018" s="4"/>
      <c r="E3018" s="4"/>
      <c r="F3018" s="14"/>
      <c r="G3018" s="8"/>
      <c r="H3018" s="7"/>
      <c r="J3018" s="24" t="str">
        <f t="shared" ref="J3018" si="5150">CONCATENATE(K3017,1)</f>
        <v>71</v>
      </c>
      <c r="K3018" s="6" t="e">
        <f t="array" ref="K3018:P3020">LINEST(B3010:B3016,C3010:C3016^{1,2,3,4,5},TRUE,TRUE)</f>
        <v>#VALUE!</v>
      </c>
      <c r="L3018" s="6" t="e">
        <v>#VALUE!</v>
      </c>
      <c r="M3018" s="6" t="e">
        <v>#VALUE!</v>
      </c>
      <c r="N3018" s="6" t="e">
        <v>#VALUE!</v>
      </c>
      <c r="O3018" s="6" t="e">
        <v>#VALUE!</v>
      </c>
      <c r="P3018" s="6" t="e">
        <v>#VALUE!</v>
      </c>
      <c r="T3018" s="9"/>
      <c r="U3018" s="1">
        <f t="shared" si="5064"/>
        <v>69</v>
      </c>
      <c r="V3018" s="1">
        <f t="shared" si="5065"/>
        <v>225</v>
      </c>
    </row>
    <row r="3019" spans="1:22" x14ac:dyDescent="0.3">
      <c r="A3019" s="1">
        <f t="shared" si="5091"/>
        <v>69226</v>
      </c>
      <c r="B3019" s="4"/>
      <c r="C3019" s="4"/>
      <c r="D3019" s="4"/>
      <c r="E3019" s="4"/>
      <c r="F3019" s="14"/>
      <c r="G3019" s="8"/>
      <c r="H3019" s="7"/>
      <c r="J3019" s="24" t="str">
        <f t="shared" ref="J3019" si="5151">CONCATENATE(K3017,2)</f>
        <v>72</v>
      </c>
      <c r="K3019" s="6" t="e">
        <v>#VALUE!</v>
      </c>
      <c r="L3019" s="6" t="e">
        <v>#VALUE!</v>
      </c>
      <c r="M3019" s="6" t="e">
        <v>#VALUE!</v>
      </c>
      <c r="N3019" s="6" t="e">
        <v>#VALUE!</v>
      </c>
      <c r="O3019" s="6" t="e">
        <v>#VALUE!</v>
      </c>
      <c r="P3019" s="6" t="e">
        <v>#VALUE!</v>
      </c>
      <c r="T3019" s="9"/>
      <c r="U3019" s="1">
        <f t="shared" si="5064"/>
        <v>69</v>
      </c>
      <c r="V3019" s="1">
        <f t="shared" si="5065"/>
        <v>226</v>
      </c>
    </row>
    <row r="3020" spans="1:22" x14ac:dyDescent="0.3">
      <c r="A3020" s="1">
        <f t="shared" si="5091"/>
        <v>69227</v>
      </c>
      <c r="B3020" s="9"/>
      <c r="C3020" s="9"/>
      <c r="D3020" s="9"/>
      <c r="E3020" s="9"/>
      <c r="F3020" s="9"/>
      <c r="G3020" s="9"/>
      <c r="H3020" s="9"/>
      <c r="J3020" s="24" t="str">
        <f t="shared" ref="J3020" si="5152">CONCATENATE(K3017,3)</f>
        <v>73</v>
      </c>
      <c r="K3020" s="6" t="e">
        <v>#VALUE!</v>
      </c>
      <c r="L3020" s="6" t="e">
        <v>#VALUE!</v>
      </c>
      <c r="M3020" s="6" t="e">
        <v>#VALUE!</v>
      </c>
      <c r="N3020" s="6" t="e">
        <v>#VALUE!</v>
      </c>
      <c r="O3020" s="6" t="e">
        <v>#VALUE!</v>
      </c>
      <c r="P3020" s="6" t="e">
        <v>#VALUE!</v>
      </c>
      <c r="T3020" s="9"/>
      <c r="U3020" s="1">
        <f t="shared" si="5064"/>
        <v>69</v>
      </c>
      <c r="V3020" s="1">
        <f t="shared" si="5065"/>
        <v>227</v>
      </c>
    </row>
    <row r="3021" spans="1:22" x14ac:dyDescent="0.3">
      <c r="A3021" s="1">
        <f t="shared" si="5091"/>
        <v>69228</v>
      </c>
      <c r="B3021" s="87" t="s">
        <v>33</v>
      </c>
      <c r="C3021" s="88"/>
      <c r="D3021" s="88"/>
      <c r="E3021" s="88"/>
      <c r="F3021" s="88"/>
      <c r="G3021" s="88"/>
      <c r="H3021" s="89"/>
      <c r="K3021" s="1">
        <v>8</v>
      </c>
      <c r="L3021" s="1">
        <v>8</v>
      </c>
      <c r="M3021" s="1">
        <v>8</v>
      </c>
      <c r="N3021" s="1">
        <v>8</v>
      </c>
      <c r="O3021" s="1">
        <v>8</v>
      </c>
      <c r="P3021" s="1">
        <v>8</v>
      </c>
      <c r="Q3021" s="1">
        <v>8</v>
      </c>
      <c r="T3021" s="9"/>
      <c r="U3021" s="1">
        <f t="shared" si="5064"/>
        <v>69</v>
      </c>
      <c r="V3021" s="1">
        <f t="shared" si="5065"/>
        <v>228</v>
      </c>
    </row>
    <row r="3022" spans="1:22" x14ac:dyDescent="0.3">
      <c r="A3022" s="1">
        <f t="shared" si="5091"/>
        <v>69229</v>
      </c>
      <c r="B3022" s="90"/>
      <c r="C3022" s="91"/>
      <c r="D3022" s="91"/>
      <c r="E3022" s="91"/>
      <c r="F3022" s="91"/>
      <c r="G3022" s="91"/>
      <c r="H3022" s="92"/>
      <c r="J3022" s="24" t="str">
        <f t="shared" ref="J3022" si="5153">CONCATENATE(K3021,1)</f>
        <v>81</v>
      </c>
      <c r="K3022" s="6" t="e">
        <f t="array" ref="K3022:Q3024">LINEST(B3010:B3017,C3010:C3017^{1,2,3,4,5,6},TRUE,TRUE)</f>
        <v>#VALUE!</v>
      </c>
      <c r="L3022" s="6" t="e">
        <v>#VALUE!</v>
      </c>
      <c r="M3022" s="6" t="e">
        <v>#VALUE!</v>
      </c>
      <c r="N3022" s="6" t="e">
        <v>#VALUE!</v>
      </c>
      <c r="O3022" s="6" t="e">
        <v>#VALUE!</v>
      </c>
      <c r="P3022" s="6" t="e">
        <v>#VALUE!</v>
      </c>
      <c r="Q3022" s="6" t="e">
        <v>#VALUE!</v>
      </c>
      <c r="T3022" s="9"/>
      <c r="U3022" s="1">
        <f t="shared" si="5064"/>
        <v>69</v>
      </c>
      <c r="V3022" s="1">
        <f t="shared" si="5065"/>
        <v>229</v>
      </c>
    </row>
    <row r="3023" spans="1:22" x14ac:dyDescent="0.3">
      <c r="A3023" s="1">
        <f t="shared" si="5091"/>
        <v>69230</v>
      </c>
      <c r="B3023" s="93"/>
      <c r="C3023" s="94"/>
      <c r="D3023" s="94"/>
      <c r="E3023" s="94"/>
      <c r="F3023" s="94"/>
      <c r="G3023" s="94"/>
      <c r="H3023" s="95"/>
      <c r="J3023" s="24" t="str">
        <f t="shared" ref="J3023" si="5154">CONCATENATE(K3021,2)</f>
        <v>82</v>
      </c>
      <c r="K3023" s="6" t="e">
        <v>#VALUE!</v>
      </c>
      <c r="L3023" s="6" t="e">
        <v>#VALUE!</v>
      </c>
      <c r="M3023" s="6" t="e">
        <v>#VALUE!</v>
      </c>
      <c r="N3023" s="6" t="e">
        <v>#VALUE!</v>
      </c>
      <c r="O3023" s="6" t="e">
        <v>#VALUE!</v>
      </c>
      <c r="P3023" s="6" t="e">
        <v>#VALUE!</v>
      </c>
      <c r="Q3023" s="6" t="e">
        <v>#VALUE!</v>
      </c>
      <c r="T3023" s="9"/>
      <c r="U3023" s="1">
        <f t="shared" si="5064"/>
        <v>69</v>
      </c>
      <c r="V3023" s="1">
        <f t="shared" si="5065"/>
        <v>230</v>
      </c>
    </row>
    <row r="3024" spans="1:22" x14ac:dyDescent="0.3">
      <c r="A3024" s="1">
        <f t="shared" si="5091"/>
        <v>69231</v>
      </c>
      <c r="J3024" s="24" t="str">
        <f t="shared" ref="J3024" si="5155">CONCATENATE(K3021,3)</f>
        <v>83</v>
      </c>
      <c r="K3024" s="6" t="e">
        <v>#VALUE!</v>
      </c>
      <c r="L3024" s="6" t="e">
        <v>#VALUE!</v>
      </c>
      <c r="M3024" s="6" t="e">
        <v>#VALUE!</v>
      </c>
      <c r="N3024" s="6" t="e">
        <v>#VALUE!</v>
      </c>
      <c r="O3024" s="6" t="e">
        <v>#VALUE!</v>
      </c>
      <c r="P3024" s="6" t="e">
        <v>#VALUE!</v>
      </c>
      <c r="Q3024" s="6" t="e">
        <v>#VALUE!</v>
      </c>
      <c r="T3024" s="9"/>
      <c r="U3024" s="1">
        <f t="shared" si="5064"/>
        <v>69</v>
      </c>
      <c r="V3024" s="1">
        <f t="shared" si="5065"/>
        <v>231</v>
      </c>
    </row>
    <row r="3025" spans="1:22" ht="15" customHeight="1" x14ac:dyDescent="0.3">
      <c r="A3025" s="1">
        <f t="shared" si="5091"/>
        <v>69232</v>
      </c>
      <c r="B3025" s="10" t="s">
        <v>34</v>
      </c>
      <c r="C3025" s="10" t="s">
        <v>35</v>
      </c>
      <c r="D3025" s="10" t="s">
        <v>36</v>
      </c>
      <c r="E3025" s="74" t="s">
        <v>37</v>
      </c>
      <c r="F3025" s="75"/>
      <c r="G3025" s="76"/>
      <c r="K3025" s="1">
        <v>9</v>
      </c>
      <c r="L3025" s="1">
        <v>9</v>
      </c>
      <c r="M3025" s="1">
        <v>9</v>
      </c>
      <c r="N3025" s="1">
        <v>9</v>
      </c>
      <c r="O3025" s="1">
        <v>9</v>
      </c>
      <c r="P3025" s="1">
        <v>9</v>
      </c>
      <c r="Q3025" s="1">
        <v>9</v>
      </c>
      <c r="R3025" s="1">
        <v>9</v>
      </c>
      <c r="T3025" s="9"/>
      <c r="U3025" s="1">
        <f t="shared" si="5064"/>
        <v>69</v>
      </c>
      <c r="V3025" s="1">
        <f t="shared" si="5065"/>
        <v>232</v>
      </c>
    </row>
    <row r="3026" spans="1:22" x14ac:dyDescent="0.3">
      <c r="A3026" s="1">
        <f t="shared" si="5091"/>
        <v>69233</v>
      </c>
      <c r="B3026" s="12">
        <f t="shared" ref="B3026:B3035" si="5156">C3010-B3010</f>
        <v>-3</v>
      </c>
      <c r="C3026" s="13">
        <f t="shared" ref="C3026:C3035" si="5157">H3010-G3010</f>
        <v>0</v>
      </c>
      <c r="D3026" s="10">
        <f t="shared" ref="D3026:D3035" si="5158">C3026-B3026</f>
        <v>3</v>
      </c>
      <c r="E3026" s="11">
        <f t="shared" ref="E3026" si="5159">IF(D3001="","",MAX(F3026,G3026))</f>
        <v>3</v>
      </c>
      <c r="F3026" s="10">
        <f t="shared" ref="F3026" si="5160">ABS(MIN(D3026:D3035))</f>
        <v>0</v>
      </c>
      <c r="G3026" s="10">
        <f t="shared" ref="G3026" si="5161">ABS(MAX(D3026:D3035))</f>
        <v>3</v>
      </c>
      <c r="J3026" s="24" t="str">
        <f t="shared" ref="J3026" si="5162">CONCATENATE(K3025,1)</f>
        <v>91</v>
      </c>
      <c r="K3026" s="6" t="e">
        <f t="array" ref="K3026:R3028">LINEST(B3010:B3018,C3010:C3018^{1,2,3,4,5,6,7},TRUE,TRUE)</f>
        <v>#VALUE!</v>
      </c>
      <c r="L3026" s="6" t="e">
        <v>#VALUE!</v>
      </c>
      <c r="M3026" s="6" t="e">
        <v>#VALUE!</v>
      </c>
      <c r="N3026" s="6" t="e">
        <v>#VALUE!</v>
      </c>
      <c r="O3026" s="6" t="e">
        <v>#VALUE!</v>
      </c>
      <c r="P3026" s="6" t="e">
        <v>#VALUE!</v>
      </c>
      <c r="Q3026" s="6" t="e">
        <v>#VALUE!</v>
      </c>
      <c r="R3026" s="6" t="e">
        <v>#VALUE!</v>
      </c>
      <c r="T3026" s="9"/>
      <c r="U3026" s="1">
        <f t="shared" si="5064"/>
        <v>69</v>
      </c>
      <c r="V3026" s="1">
        <f t="shared" si="5065"/>
        <v>233</v>
      </c>
    </row>
    <row r="3027" spans="1:22" x14ac:dyDescent="0.3">
      <c r="A3027" s="1">
        <f t="shared" si="5091"/>
        <v>69234</v>
      </c>
      <c r="B3027" s="12">
        <f t="shared" si="5156"/>
        <v>-1</v>
      </c>
      <c r="C3027" s="13">
        <f t="shared" si="5157"/>
        <v>0</v>
      </c>
      <c r="D3027" s="10">
        <f t="shared" si="5158"/>
        <v>1</v>
      </c>
      <c r="E3027" s="74" t="s">
        <v>38</v>
      </c>
      <c r="F3027" s="75"/>
      <c r="G3027" s="76"/>
      <c r="J3027" s="24" t="str">
        <f t="shared" ref="J3027" si="5163">CONCATENATE(K3025,2)</f>
        <v>92</v>
      </c>
      <c r="K3027" s="6" t="e">
        <v>#VALUE!</v>
      </c>
      <c r="L3027" s="6" t="e">
        <v>#VALUE!</v>
      </c>
      <c r="M3027" s="6" t="e">
        <v>#VALUE!</v>
      </c>
      <c r="N3027" s="6" t="e">
        <v>#VALUE!</v>
      </c>
      <c r="O3027" s="6" t="e">
        <v>#VALUE!</v>
      </c>
      <c r="P3027" s="6" t="e">
        <v>#VALUE!</v>
      </c>
      <c r="Q3027" s="6" t="e">
        <v>#VALUE!</v>
      </c>
      <c r="R3027" s="6" t="e">
        <v>#VALUE!</v>
      </c>
      <c r="T3027" s="9"/>
      <c r="U3027" s="1">
        <f t="shared" si="5064"/>
        <v>69</v>
      </c>
      <c r="V3027" s="1">
        <f t="shared" si="5065"/>
        <v>234</v>
      </c>
    </row>
    <row r="3028" spans="1:22" x14ac:dyDescent="0.3">
      <c r="A3028" s="1">
        <f t="shared" si="5091"/>
        <v>69235</v>
      </c>
      <c r="B3028" s="12">
        <f t="shared" si="5156"/>
        <v>-2</v>
      </c>
      <c r="C3028" s="13">
        <f t="shared" si="5157"/>
        <v>0</v>
      </c>
      <c r="D3028" s="10">
        <f t="shared" si="5158"/>
        <v>2</v>
      </c>
      <c r="E3028" s="11">
        <f t="shared" ref="E3028" si="5164">IF(D3001="","",MAX(F3028,G3028))</f>
        <v>3</v>
      </c>
      <c r="F3028" s="10">
        <f t="shared" ref="F3028" si="5165">ABS(MIN(B3026:B3035))</f>
        <v>3</v>
      </c>
      <c r="G3028" s="10">
        <f t="shared" ref="G3028" si="5166">ABS(MAX(B3026:B3035))</f>
        <v>0</v>
      </c>
      <c r="J3028" s="24" t="str">
        <f t="shared" ref="J3028" si="5167">CONCATENATE(K3025,3)</f>
        <v>93</v>
      </c>
      <c r="K3028" s="6" t="e">
        <v>#VALUE!</v>
      </c>
      <c r="L3028" s="6" t="e">
        <v>#VALUE!</v>
      </c>
      <c r="M3028" s="6" t="e">
        <v>#VALUE!</v>
      </c>
      <c r="N3028" s="6" t="e">
        <v>#VALUE!</v>
      </c>
      <c r="O3028" s="6" t="e">
        <v>#VALUE!</v>
      </c>
      <c r="P3028" s="6" t="e">
        <v>#VALUE!</v>
      </c>
      <c r="Q3028" s="6" t="e">
        <v>#VALUE!</v>
      </c>
      <c r="R3028" s="6" t="e">
        <v>#VALUE!</v>
      </c>
      <c r="T3028" s="9"/>
      <c r="U3028" s="1">
        <f t="shared" si="5064"/>
        <v>69</v>
      </c>
      <c r="V3028" s="1">
        <f t="shared" si="5065"/>
        <v>235</v>
      </c>
    </row>
    <row r="3029" spans="1:22" x14ac:dyDescent="0.3">
      <c r="A3029" s="1">
        <f t="shared" si="5091"/>
        <v>69236</v>
      </c>
      <c r="B3029" s="12">
        <f t="shared" si="5156"/>
        <v>0</v>
      </c>
      <c r="C3029" s="13">
        <f t="shared" si="5157"/>
        <v>0</v>
      </c>
      <c r="D3029" s="10">
        <f t="shared" si="5158"/>
        <v>0</v>
      </c>
      <c r="E3029" s="74" t="s">
        <v>39</v>
      </c>
      <c r="F3029" s="75"/>
      <c r="G3029" s="76"/>
      <c r="K3029" s="1">
        <v>10</v>
      </c>
      <c r="L3029" s="1">
        <v>10</v>
      </c>
      <c r="M3029" s="1">
        <v>10</v>
      </c>
      <c r="N3029" s="1">
        <v>10</v>
      </c>
      <c r="O3029" s="1">
        <v>10</v>
      </c>
      <c r="P3029" s="1">
        <v>10</v>
      </c>
      <c r="Q3029" s="1">
        <v>10</v>
      </c>
      <c r="R3029" s="1">
        <v>10</v>
      </c>
      <c r="S3029" s="1">
        <v>10</v>
      </c>
      <c r="T3029" s="9"/>
      <c r="U3029" s="1">
        <f t="shared" si="5064"/>
        <v>69</v>
      </c>
      <c r="V3029" s="1">
        <f t="shared" si="5065"/>
        <v>236</v>
      </c>
    </row>
    <row r="3030" spans="1:22" x14ac:dyDescent="0.3">
      <c r="A3030" s="1">
        <f t="shared" si="5091"/>
        <v>69237</v>
      </c>
      <c r="B3030" s="12">
        <f t="shared" si="5156"/>
        <v>0</v>
      </c>
      <c r="C3030" s="13">
        <f t="shared" si="5157"/>
        <v>0</v>
      </c>
      <c r="D3030" s="10">
        <f t="shared" si="5158"/>
        <v>0</v>
      </c>
      <c r="E3030" s="11">
        <f t="shared" ref="E3030" si="5168">IF(D3001="","",MAX(F3030,G3030))</f>
        <v>2</v>
      </c>
      <c r="F3030" s="10">
        <f t="shared" ref="F3030" si="5169">ABS(MIN(D3010:D3019))</f>
        <v>2</v>
      </c>
      <c r="G3030" s="10">
        <f t="shared" ref="G3030" si="5170">ABS(MAX(D3010:D3019))</f>
        <v>2</v>
      </c>
      <c r="J3030" s="24" t="str">
        <f t="shared" ref="J3030" si="5171">CONCATENATE(K3029,1)</f>
        <v>101</v>
      </c>
      <c r="K3030" s="6" t="e">
        <f t="array" ref="K3030:S3032">LINEST(B3010:B3019,C3010:C3019^{1,2,3,4,5,6,7,8},TRUE,TRUE)</f>
        <v>#VALUE!</v>
      </c>
      <c r="L3030" s="6" t="e">
        <v>#VALUE!</v>
      </c>
      <c r="M3030" s="6" t="e">
        <v>#VALUE!</v>
      </c>
      <c r="N3030" s="6" t="e">
        <v>#VALUE!</v>
      </c>
      <c r="O3030" s="6" t="e">
        <v>#VALUE!</v>
      </c>
      <c r="P3030" s="6" t="e">
        <v>#VALUE!</v>
      </c>
      <c r="Q3030" s="6" t="e">
        <v>#VALUE!</v>
      </c>
      <c r="R3030" s="6" t="e">
        <v>#VALUE!</v>
      </c>
      <c r="S3030" s="6" t="e">
        <v>#VALUE!</v>
      </c>
      <c r="T3030" s="9"/>
      <c r="U3030" s="1">
        <f t="shared" si="5064"/>
        <v>69</v>
      </c>
      <c r="V3030" s="1">
        <f t="shared" si="5065"/>
        <v>237</v>
      </c>
    </row>
    <row r="3031" spans="1:22" x14ac:dyDescent="0.3">
      <c r="A3031" s="1">
        <f t="shared" si="5091"/>
        <v>69238</v>
      </c>
      <c r="B3031" s="12">
        <f t="shared" si="5156"/>
        <v>0</v>
      </c>
      <c r="C3031" s="13">
        <f t="shared" si="5157"/>
        <v>0</v>
      </c>
      <c r="D3031" s="10">
        <f t="shared" si="5158"/>
        <v>0</v>
      </c>
      <c r="J3031" s="24" t="str">
        <f t="shared" ref="J3031" si="5172">CONCATENATE(K3029,2)</f>
        <v>102</v>
      </c>
      <c r="K3031" s="6" t="e">
        <v>#VALUE!</v>
      </c>
      <c r="L3031" s="6" t="e">
        <v>#VALUE!</v>
      </c>
      <c r="M3031" s="6" t="e">
        <v>#VALUE!</v>
      </c>
      <c r="N3031" s="6" t="e">
        <v>#VALUE!</v>
      </c>
      <c r="O3031" s="6" t="e">
        <v>#VALUE!</v>
      </c>
      <c r="P3031" s="6" t="e">
        <v>#VALUE!</v>
      </c>
      <c r="Q3031" s="6" t="e">
        <v>#VALUE!</v>
      </c>
      <c r="R3031" s="6" t="e">
        <v>#VALUE!</v>
      </c>
      <c r="S3031" s="6" t="e">
        <v>#VALUE!</v>
      </c>
      <c r="T3031" s="9"/>
      <c r="U3031" s="1">
        <f t="shared" si="5064"/>
        <v>69</v>
      </c>
      <c r="V3031" s="1">
        <f t="shared" si="5065"/>
        <v>238</v>
      </c>
    </row>
    <row r="3032" spans="1:22" x14ac:dyDescent="0.3">
      <c r="A3032" s="1">
        <f t="shared" si="5091"/>
        <v>69239</v>
      </c>
      <c r="B3032" s="12">
        <f t="shared" si="5156"/>
        <v>0</v>
      </c>
      <c r="C3032" s="13">
        <f t="shared" si="5157"/>
        <v>0</v>
      </c>
      <c r="D3032" s="10">
        <f t="shared" si="5158"/>
        <v>0</v>
      </c>
      <c r="J3032" s="24" t="str">
        <f t="shared" ref="J3032" si="5173">CONCATENATE(K3029,3)</f>
        <v>103</v>
      </c>
      <c r="K3032" s="6" t="e">
        <v>#VALUE!</v>
      </c>
      <c r="L3032" s="6" t="e">
        <v>#VALUE!</v>
      </c>
      <c r="M3032" s="6" t="e">
        <v>#VALUE!</v>
      </c>
      <c r="N3032" s="6" t="e">
        <v>#VALUE!</v>
      </c>
      <c r="O3032" s="6" t="e">
        <v>#VALUE!</v>
      </c>
      <c r="P3032" s="6" t="e">
        <v>#VALUE!</v>
      </c>
      <c r="Q3032" s="6" t="e">
        <v>#VALUE!</v>
      </c>
      <c r="R3032" s="6" t="e">
        <v>#VALUE!</v>
      </c>
      <c r="S3032" s="6" t="e">
        <v>#VALUE!</v>
      </c>
      <c r="T3032" s="9"/>
      <c r="U3032" s="1">
        <f t="shared" si="5064"/>
        <v>69</v>
      </c>
      <c r="V3032" s="1">
        <f t="shared" si="5065"/>
        <v>239</v>
      </c>
    </row>
    <row r="3033" spans="1:22" x14ac:dyDescent="0.3">
      <c r="A3033" s="1">
        <f t="shared" si="5091"/>
        <v>69240</v>
      </c>
      <c r="B3033" s="12">
        <f t="shared" si="5156"/>
        <v>0</v>
      </c>
      <c r="C3033" s="13">
        <f t="shared" si="5157"/>
        <v>0</v>
      </c>
      <c r="D3033" s="10">
        <f t="shared" si="5158"/>
        <v>0</v>
      </c>
      <c r="J3033" s="9"/>
      <c r="K3033" s="9"/>
      <c r="L3033" s="9"/>
      <c r="M3033" s="9"/>
      <c r="N3033" s="9"/>
      <c r="O3033" s="9"/>
      <c r="P3033" s="9"/>
      <c r="Q3033" s="9"/>
      <c r="R3033" s="9"/>
      <c r="S3033" s="9"/>
      <c r="T3033" s="9"/>
      <c r="U3033" s="1">
        <f t="shared" si="5064"/>
        <v>69</v>
      </c>
      <c r="V3033" s="1">
        <f t="shared" si="5065"/>
        <v>240</v>
      </c>
    </row>
    <row r="3034" spans="1:22" x14ac:dyDescent="0.3">
      <c r="A3034" s="1">
        <f t="shared" si="5091"/>
        <v>69241</v>
      </c>
      <c r="B3034" s="12">
        <f t="shared" si="5156"/>
        <v>0</v>
      </c>
      <c r="C3034" s="13">
        <f t="shared" si="5157"/>
        <v>0</v>
      </c>
      <c r="D3034" s="10">
        <f t="shared" si="5158"/>
        <v>0</v>
      </c>
      <c r="J3034" s="9"/>
      <c r="K3034" s="9"/>
      <c r="L3034" s="9"/>
      <c r="M3034" s="9"/>
      <c r="N3034" s="9"/>
      <c r="O3034" s="9"/>
      <c r="P3034" s="9"/>
      <c r="Q3034" s="9"/>
      <c r="R3034" s="9"/>
      <c r="S3034" s="9"/>
      <c r="T3034" s="9"/>
      <c r="U3034" s="1">
        <f t="shared" si="5064"/>
        <v>69</v>
      </c>
      <c r="V3034" s="1">
        <f t="shared" si="5065"/>
        <v>241</v>
      </c>
    </row>
    <row r="3035" spans="1:22" x14ac:dyDescent="0.3">
      <c r="A3035" s="1">
        <f t="shared" si="5091"/>
        <v>69242</v>
      </c>
      <c r="B3035" s="12">
        <f t="shared" si="5156"/>
        <v>0</v>
      </c>
      <c r="C3035" s="13">
        <f t="shared" si="5157"/>
        <v>0</v>
      </c>
      <c r="D3035" s="10">
        <f t="shared" si="5158"/>
        <v>0</v>
      </c>
      <c r="J3035" s="9"/>
      <c r="K3035" s="9"/>
      <c r="L3035" s="9"/>
      <c r="M3035" s="9"/>
      <c r="N3035" s="9"/>
      <c r="O3035" s="9"/>
      <c r="P3035" s="9"/>
      <c r="Q3035" s="9"/>
      <c r="R3035" s="9"/>
      <c r="S3035" s="9"/>
      <c r="T3035" s="9"/>
      <c r="U3035" s="1">
        <f t="shared" ref="U3035:U3098" si="5174">U3034</f>
        <v>69</v>
      </c>
      <c r="V3035" s="1">
        <f t="shared" ref="V3035:V3098" si="5175">V3034+1</f>
        <v>242</v>
      </c>
    </row>
    <row r="3036" spans="1:22" x14ac:dyDescent="0.3">
      <c r="A3036" s="1">
        <f t="shared" si="5091"/>
        <v>69243</v>
      </c>
      <c r="J3036" s="9"/>
      <c r="K3036" s="9"/>
      <c r="L3036" s="9"/>
      <c r="M3036" s="9"/>
      <c r="N3036" s="9"/>
      <c r="O3036" s="9"/>
      <c r="P3036" s="9"/>
      <c r="Q3036" s="9"/>
      <c r="R3036" s="9"/>
      <c r="S3036" s="9"/>
      <c r="T3036" s="9"/>
      <c r="U3036" s="1">
        <f t="shared" si="5174"/>
        <v>69</v>
      </c>
      <c r="V3036" s="1">
        <f t="shared" si="5175"/>
        <v>243</v>
      </c>
    </row>
    <row r="3037" spans="1:22" s="5" customFormat="1" x14ac:dyDescent="0.3"/>
    <row r="3038" spans="1:22" x14ac:dyDescent="0.3">
      <c r="A3038" s="1">
        <f t="shared" ref="A3038:A3080" si="5176">ROUND(CONCATENATE(U3038,V3038),0)</f>
        <v>70201</v>
      </c>
      <c r="B3038" s="96" t="s">
        <v>0</v>
      </c>
      <c r="C3038" s="97"/>
      <c r="D3038" s="110" t="s">
        <v>46</v>
      </c>
      <c r="E3038" s="111"/>
      <c r="F3038" s="111"/>
      <c r="G3038" s="111"/>
      <c r="H3038" s="112"/>
      <c r="J3038" s="9"/>
      <c r="K3038" s="9"/>
      <c r="L3038" s="9"/>
      <c r="M3038" s="9"/>
      <c r="N3038" s="9"/>
      <c r="O3038" s="9"/>
      <c r="P3038" s="9"/>
      <c r="Q3038" s="9"/>
      <c r="R3038" s="9"/>
      <c r="S3038" s="9"/>
      <c r="T3038" s="9"/>
      <c r="U3038" s="1">
        <f t="shared" ref="U3038" si="5177">U3036+1</f>
        <v>70</v>
      </c>
      <c r="V3038" s="1">
        <v>201</v>
      </c>
    </row>
    <row r="3039" spans="1:22" x14ac:dyDescent="0.3">
      <c r="A3039" s="1">
        <f t="shared" si="5176"/>
        <v>70202</v>
      </c>
      <c r="B3039" s="96" t="s">
        <v>1</v>
      </c>
      <c r="C3039" s="97"/>
      <c r="D3039" s="15">
        <v>20</v>
      </c>
      <c r="E3039" s="16" t="s">
        <v>2</v>
      </c>
      <c r="F3039" s="107"/>
      <c r="G3039" s="108"/>
      <c r="H3039" s="109"/>
      <c r="J3039" s="9"/>
      <c r="K3039" s="9"/>
      <c r="L3039" s="9"/>
      <c r="M3039" s="9"/>
      <c r="N3039" s="9"/>
      <c r="O3039" s="9"/>
      <c r="P3039" s="9"/>
      <c r="Q3039" s="9"/>
      <c r="R3039" s="9"/>
      <c r="S3039" s="9"/>
      <c r="T3039" s="9"/>
      <c r="U3039" s="1">
        <f t="shared" ref="U3039" si="5178">U3038</f>
        <v>70</v>
      </c>
      <c r="V3039" s="1">
        <f t="shared" ref="V3039" si="5179">V3038+1</f>
        <v>202</v>
      </c>
    </row>
    <row r="3040" spans="1:22" x14ac:dyDescent="0.3">
      <c r="A3040" s="1">
        <f t="shared" si="5176"/>
        <v>70203</v>
      </c>
      <c r="B3040" s="96" t="s">
        <v>12</v>
      </c>
      <c r="C3040" s="97"/>
      <c r="D3040" s="110" t="s">
        <v>268</v>
      </c>
      <c r="E3040" s="111"/>
      <c r="F3040" s="111"/>
      <c r="G3040" s="111"/>
      <c r="H3040" s="112"/>
      <c r="K3040" s="1" t="s">
        <v>3</v>
      </c>
      <c r="L3040" s="1" t="s">
        <v>4</v>
      </c>
      <c r="M3040" s="1" t="s">
        <v>5</v>
      </c>
      <c r="N3040" s="1" t="s">
        <v>6</v>
      </c>
      <c r="O3040" s="1" t="s">
        <v>7</v>
      </c>
      <c r="P3040" s="1" t="s">
        <v>8</v>
      </c>
      <c r="Q3040" s="1" t="s">
        <v>9</v>
      </c>
      <c r="R3040" s="1" t="s">
        <v>10</v>
      </c>
      <c r="S3040" s="1" t="s">
        <v>11</v>
      </c>
      <c r="T3040" s="9"/>
      <c r="U3040" s="1">
        <f t="shared" si="5174"/>
        <v>70</v>
      </c>
      <c r="V3040" s="1">
        <f t="shared" si="5175"/>
        <v>203</v>
      </c>
    </row>
    <row r="3041" spans="1:22" x14ac:dyDescent="0.3">
      <c r="A3041" s="1">
        <f t="shared" si="5176"/>
        <v>70204</v>
      </c>
      <c r="B3041" s="96" t="s">
        <v>13</v>
      </c>
      <c r="C3041" s="97"/>
      <c r="D3041" s="110" t="s">
        <v>65</v>
      </c>
      <c r="E3041" s="111"/>
      <c r="F3041" s="111"/>
      <c r="G3041" s="111"/>
      <c r="H3041" s="112"/>
      <c r="J3041" s="1">
        <f t="shared" ref="J3041" si="5180">COUNTA(B3054:B3063)</f>
        <v>3</v>
      </c>
      <c r="K3041" s="1">
        <f t="shared" ref="K3041" si="5181">IF(L3041-1&lt;2,0,L3041-1)</f>
        <v>0</v>
      </c>
      <c r="L3041" s="1">
        <f t="shared" ref="L3041" si="5182">IF(M3041-1&lt;2,0,M3041-1)</f>
        <v>0</v>
      </c>
      <c r="M3041" s="1">
        <f t="shared" ref="M3041" si="5183">IF(N3041-1&lt;2,0,N3041-1)</f>
        <v>0</v>
      </c>
      <c r="N3041" s="1">
        <f t="shared" ref="N3041" si="5184">IF(O3041-1&lt;2,0,O3041-1)</f>
        <v>0</v>
      </c>
      <c r="O3041" s="1">
        <f t="shared" ref="O3041" si="5185">IF(P3041-1&lt;2,0,P3041-1)</f>
        <v>0</v>
      </c>
      <c r="P3041" s="1">
        <f t="shared" ref="P3041" si="5186">IF(Q3041-1&lt;2,0,Q3041-1)</f>
        <v>0</v>
      </c>
      <c r="Q3041" s="1">
        <f t="shared" ref="Q3041" si="5187">IF(R3041-1&lt;2,0,R3041-1)</f>
        <v>0</v>
      </c>
      <c r="R3041" s="1">
        <f t="shared" ref="R3041" si="5188">IF(S3041-1&lt;2,0,S3041-1)</f>
        <v>2</v>
      </c>
      <c r="S3041" s="1">
        <f t="shared" ref="S3041" si="5189">J3041</f>
        <v>3</v>
      </c>
      <c r="T3041" s="9"/>
      <c r="U3041" s="1">
        <f t="shared" si="5174"/>
        <v>70</v>
      </c>
      <c r="V3041" s="1">
        <f t="shared" si="5175"/>
        <v>204</v>
      </c>
    </row>
    <row r="3042" spans="1:22" x14ac:dyDescent="0.3">
      <c r="A3042" s="1">
        <f t="shared" si="5176"/>
        <v>70205</v>
      </c>
      <c r="B3042" s="96" t="s">
        <v>14</v>
      </c>
      <c r="C3042" s="97"/>
      <c r="D3042" s="110" t="s">
        <v>66</v>
      </c>
      <c r="E3042" s="111"/>
      <c r="F3042" s="111"/>
      <c r="G3042" s="111"/>
      <c r="H3042" s="112"/>
      <c r="J3042" s="24" t="str">
        <f t="shared" ref="J3042" si="5190">CONCATENATE(J3041,1)</f>
        <v>31</v>
      </c>
      <c r="K3042" s="25">
        <f t="shared" ref="K3042" si="5191">IF(K3041=0,0,VLOOKUP(J3042,J3046:S3076,K3041,FALSE))</f>
        <v>0</v>
      </c>
      <c r="L3042" s="25">
        <f t="shared" ref="L3042" si="5192">IF(L3041=0,0,VLOOKUP(J3042,J3046:S3076,L3041,FALSE))</f>
        <v>0</v>
      </c>
      <c r="M3042" s="25">
        <f t="shared" ref="M3042" si="5193">IF(M3041=0,0,VLOOKUP(J3042,J3046:S3076,M3041,FALSE))</f>
        <v>0</v>
      </c>
      <c r="N3042" s="25">
        <f t="shared" ref="N3042" si="5194">IF(N3041=0,0,VLOOKUP(J3042,J3046:S3076,N3041,FALSE))</f>
        <v>0</v>
      </c>
      <c r="O3042" s="25">
        <f t="shared" ref="O3042" si="5195">IF(O3041=0,0,VLOOKUP(J3042,J3046:S3076,O3041,FALSE))</f>
        <v>0</v>
      </c>
      <c r="P3042" s="25">
        <f t="shared" ref="P3042" si="5196">IF(P3041=0,0,VLOOKUP(J3042,J3046:S3076,P3041,FALSE))</f>
        <v>0</v>
      </c>
      <c r="Q3042" s="25">
        <f t="shared" ref="Q3042" si="5197">IF(Q3041=0,0,VLOOKUP(J3042,J3046:S3076,Q3041,FALSE))</f>
        <v>0</v>
      </c>
      <c r="R3042" s="25">
        <f t="shared" ref="R3042" si="5198">IF(R3041=0,0,VLOOKUP(J3042,J3046:S3076,R3041,FALSE))</f>
        <v>0.92879963486992234</v>
      </c>
      <c r="S3042" s="25">
        <f t="shared" ref="S3042" si="5199">IF(S3041=0,0,VLOOKUP(J3042,J3046:S3076,S3041,FALSE))</f>
        <v>5.6549520766773185</v>
      </c>
      <c r="T3042" s="9"/>
      <c r="U3042" s="1">
        <f t="shared" si="5174"/>
        <v>70</v>
      </c>
      <c r="V3042" s="1">
        <f t="shared" si="5175"/>
        <v>205</v>
      </c>
    </row>
    <row r="3043" spans="1:22" x14ac:dyDescent="0.3">
      <c r="A3043" s="1">
        <f t="shared" si="5176"/>
        <v>70206</v>
      </c>
      <c r="B3043" s="96" t="s">
        <v>15</v>
      </c>
      <c r="C3043" s="97"/>
      <c r="D3043" s="110" t="s">
        <v>269</v>
      </c>
      <c r="E3043" s="111"/>
      <c r="F3043" s="111"/>
      <c r="G3043" s="111"/>
      <c r="H3043" s="112"/>
      <c r="J3043" s="24" t="str">
        <f t="shared" ref="J3043" si="5200">CONCATENATE(J3041,2)</f>
        <v>32</v>
      </c>
      <c r="K3043" s="6">
        <f t="shared" ref="K3043" si="5201">IF(K3041=0,0,VLOOKUP(J3043,J3046:S3076,K3041,FALSE))</f>
        <v>0</v>
      </c>
      <c r="L3043" s="6">
        <f t="shared" ref="L3043" si="5202">IF(L3041=0,0,VLOOKUP(J3043,J3046:S3076,L3041,FALSE))</f>
        <v>0</v>
      </c>
      <c r="M3043" s="6">
        <f t="shared" ref="M3043" si="5203">IF(M3041=0,0,VLOOKUP(J3043,J3046:S3076,M3041,FALSE))</f>
        <v>0</v>
      </c>
      <c r="N3043" s="6">
        <f t="shared" ref="N3043" si="5204">IF(N3041=0,0,VLOOKUP(J3043,J3046:S3076,N3041,FALSE))</f>
        <v>0</v>
      </c>
      <c r="O3043" s="6">
        <f t="shared" ref="O3043" si="5205">IF(O3041=0,0,VLOOKUP(J3043,J3046:S3076,O3041,FALSE))</f>
        <v>0</v>
      </c>
      <c r="P3043" s="6">
        <f t="shared" ref="P3043" si="5206">IF(P3041=0,0,VLOOKUP(J3043,J3046:S3076,P3041,FALSE))</f>
        <v>0</v>
      </c>
      <c r="Q3043" s="6">
        <f t="shared" ref="Q3043" si="5207">IF(Q3041=0,0,VLOOKUP(J3043,J3046:S3076,Q3041,FALSE))</f>
        <v>0</v>
      </c>
      <c r="R3043" s="6">
        <f t="shared" ref="R3043" si="5208">IF(R3041=0,0,VLOOKUP(J3043,J3046:S3076,R3041,FALSE))</f>
        <v>6.719503361175462E-2</v>
      </c>
      <c r="S3043" s="6">
        <f t="shared" ref="S3043" si="5209">IF(S3041=0,0,VLOOKUP(J3043,J3046:S3076,S3041,FALSE))</f>
        <v>3.754513107766285</v>
      </c>
      <c r="T3043" s="9"/>
      <c r="U3043" s="1">
        <f t="shared" si="5174"/>
        <v>70</v>
      </c>
      <c r="V3043" s="1">
        <f t="shared" si="5175"/>
        <v>206</v>
      </c>
    </row>
    <row r="3044" spans="1:22" x14ac:dyDescent="0.3">
      <c r="A3044" s="1">
        <f t="shared" si="5176"/>
        <v>70207</v>
      </c>
      <c r="B3044" s="96" t="s">
        <v>16</v>
      </c>
      <c r="C3044" s="97"/>
      <c r="D3044" s="113">
        <v>45733</v>
      </c>
      <c r="E3044" s="114"/>
      <c r="F3044" s="114"/>
      <c r="G3044" s="114"/>
      <c r="H3044" s="115"/>
      <c r="J3044" s="24" t="str">
        <f t="shared" ref="J3044" si="5210">CONCATENATE(J3041,3)</f>
        <v>33</v>
      </c>
      <c r="K3044" s="6"/>
      <c r="L3044" s="6"/>
      <c r="M3044" s="6"/>
      <c r="N3044" s="6" t="s">
        <v>43</v>
      </c>
      <c r="O3044" s="25">
        <f t="shared" ref="O3044" si="5211">J3041-2</f>
        <v>1</v>
      </c>
      <c r="P3044" s="6" t="s">
        <v>44</v>
      </c>
      <c r="Q3044" s="25">
        <f t="shared" ref="Q3044" si="5212">VLOOKUP(J3044,J3046:S3076,3,FALSE)</f>
        <v>2.5681047537964474</v>
      </c>
      <c r="R3044" s="6" t="s">
        <v>45</v>
      </c>
      <c r="S3044" s="6">
        <f t="shared" ref="S3044" si="5213">VLOOKUP(J3044,J3046:S3076,2,FALSE)</f>
        <v>0.99479329313699594</v>
      </c>
      <c r="T3044" s="9"/>
      <c r="U3044" s="1">
        <f t="shared" si="5174"/>
        <v>70</v>
      </c>
      <c r="V3044" s="1">
        <f t="shared" si="5175"/>
        <v>207</v>
      </c>
    </row>
    <row r="3045" spans="1:22" x14ac:dyDescent="0.3">
      <c r="A3045" s="1">
        <f t="shared" si="5176"/>
        <v>70208</v>
      </c>
      <c r="B3045" s="96" t="s">
        <v>17</v>
      </c>
      <c r="C3045" s="97"/>
      <c r="D3045" s="116">
        <v>46111</v>
      </c>
      <c r="E3045" s="117"/>
      <c r="F3045" s="117"/>
      <c r="G3045" s="117"/>
      <c r="H3045" s="118"/>
      <c r="K3045" s="1">
        <v>3</v>
      </c>
      <c r="L3045" s="1">
        <v>3</v>
      </c>
      <c r="Q3045" s="26"/>
      <c r="R3045" s="26"/>
      <c r="S3045" s="26"/>
      <c r="T3045" s="9"/>
      <c r="U3045" s="1">
        <f t="shared" si="5174"/>
        <v>70</v>
      </c>
      <c r="V3045" s="1">
        <f t="shared" si="5175"/>
        <v>208</v>
      </c>
    </row>
    <row r="3046" spans="1:22" x14ac:dyDescent="0.3">
      <c r="A3046" s="1">
        <f t="shared" si="5176"/>
        <v>70209</v>
      </c>
      <c r="B3046" s="77" t="s">
        <v>19</v>
      </c>
      <c r="C3046" s="78"/>
      <c r="D3046" s="17">
        <v>1</v>
      </c>
      <c r="E3046" s="79" t="s">
        <v>40</v>
      </c>
      <c r="F3046" s="80"/>
      <c r="G3046" s="81"/>
      <c r="H3046" s="18" t="s">
        <v>72</v>
      </c>
      <c r="J3046" s="24" t="str">
        <f t="shared" ref="J3046" si="5214">CONCATENATE(K3045,1)</f>
        <v>31</v>
      </c>
      <c r="K3046" s="6">
        <f t="array" ref="K3046:L3048">LINEST(B3054:B3056,C3054:C3056^{1},TRUE,TRUE)</f>
        <v>0.92879963486992234</v>
      </c>
      <c r="L3046" s="6">
        <v>5.6549520766773185</v>
      </c>
      <c r="Q3046" s="9"/>
      <c r="R3046" s="9"/>
      <c r="S3046" s="9"/>
      <c r="T3046" s="9"/>
      <c r="U3046" s="1">
        <f t="shared" si="5174"/>
        <v>70</v>
      </c>
      <c r="V3046" s="1">
        <f t="shared" si="5175"/>
        <v>209</v>
      </c>
    </row>
    <row r="3047" spans="1:22" x14ac:dyDescent="0.3">
      <c r="A3047" s="1">
        <f t="shared" si="5176"/>
        <v>70210</v>
      </c>
      <c r="B3047" s="77" t="s">
        <v>41</v>
      </c>
      <c r="C3047" s="78"/>
      <c r="D3047" s="23">
        <f t="shared" ref="D3047" si="5215">MIN(B3054:B3063)</f>
        <v>30</v>
      </c>
      <c r="E3047" s="20" t="s">
        <v>18</v>
      </c>
      <c r="F3047" s="19">
        <f t="shared" ref="F3047" si="5216">MAX(B3054:B3063)</f>
        <v>80</v>
      </c>
      <c r="G3047" s="21" t="str">
        <f t="shared" ref="G3047" si="5217">IF(H3046="","",H3046)</f>
        <v>%ur</v>
      </c>
      <c r="H3047" s="22"/>
      <c r="J3047" s="24" t="str">
        <f t="shared" ref="J3047" si="5218">CONCATENATE(K3045,2)</f>
        <v>32</v>
      </c>
      <c r="K3047" s="6">
        <v>6.719503361175462E-2</v>
      </c>
      <c r="L3047" s="6">
        <v>3.754513107766285</v>
      </c>
      <c r="Q3047" s="9"/>
      <c r="R3047" s="9"/>
      <c r="S3047" s="9"/>
      <c r="T3047" s="9"/>
      <c r="U3047" s="1">
        <f t="shared" si="5174"/>
        <v>70</v>
      </c>
      <c r="V3047" s="1">
        <f t="shared" si="5175"/>
        <v>210</v>
      </c>
    </row>
    <row r="3048" spans="1:22" x14ac:dyDescent="0.3">
      <c r="A3048" s="1">
        <f t="shared" si="5176"/>
        <v>70211</v>
      </c>
      <c r="J3048" s="24" t="str">
        <f t="shared" ref="J3048" si="5219">CONCATENATE(K3045,3)</f>
        <v>33</v>
      </c>
      <c r="K3048" s="6">
        <v>0.99479329313699594</v>
      </c>
      <c r="L3048" s="6">
        <v>2.5681047537964474</v>
      </c>
      <c r="Q3048" s="9"/>
      <c r="R3048" s="9"/>
      <c r="S3048" s="9"/>
      <c r="T3048" s="9"/>
      <c r="U3048" s="1">
        <f t="shared" si="5174"/>
        <v>70</v>
      </c>
      <c r="V3048" s="1">
        <f t="shared" si="5175"/>
        <v>211</v>
      </c>
    </row>
    <row r="3049" spans="1:22" x14ac:dyDescent="0.3">
      <c r="A3049" s="1">
        <f t="shared" si="5176"/>
        <v>70212</v>
      </c>
      <c r="B3049" s="82" t="s">
        <v>20</v>
      </c>
      <c r="C3049" s="83"/>
      <c r="D3049" s="83"/>
      <c r="E3049" s="83"/>
      <c r="F3049" s="84"/>
      <c r="G3049" s="85" t="s">
        <v>31</v>
      </c>
      <c r="H3049" s="86"/>
      <c r="K3049" s="1">
        <v>4</v>
      </c>
      <c r="L3049" s="1">
        <v>4</v>
      </c>
      <c r="M3049" s="1">
        <v>4</v>
      </c>
      <c r="Q3049" s="9"/>
      <c r="R3049" s="9"/>
      <c r="S3049" s="9"/>
      <c r="T3049" s="9"/>
      <c r="U3049" s="1">
        <f t="shared" si="5174"/>
        <v>70</v>
      </c>
      <c r="V3049" s="1">
        <f t="shared" si="5175"/>
        <v>212</v>
      </c>
    </row>
    <row r="3050" spans="1:22" x14ac:dyDescent="0.3">
      <c r="A3050" s="1">
        <f t="shared" si="5176"/>
        <v>70213</v>
      </c>
      <c r="B3050" s="82" t="s">
        <v>30</v>
      </c>
      <c r="C3050" s="83"/>
      <c r="D3050" s="84"/>
      <c r="E3050" s="82" t="str">
        <f t="shared" ref="E3050" si="5220">D3043</f>
        <v>E0138/25</v>
      </c>
      <c r="F3050" s="84"/>
      <c r="G3050" s="6" t="s">
        <v>32</v>
      </c>
      <c r="H3050" s="7"/>
      <c r="J3050" s="24" t="str">
        <f t="shared" ref="J3050" si="5221">CONCATENATE(K3049,1)</f>
        <v>41</v>
      </c>
      <c r="K3050" s="6" t="e">
        <f t="array" ref="K3050:M3052">LINEST(B3054:B3057,C3054:C3057^{1,2},TRUE,TRUE)</f>
        <v>#VALUE!</v>
      </c>
      <c r="L3050" s="6" t="e">
        <v>#VALUE!</v>
      </c>
      <c r="M3050" s="6" t="e">
        <v>#VALUE!</v>
      </c>
      <c r="Q3050" s="9"/>
      <c r="R3050" s="9"/>
      <c r="S3050" s="9"/>
      <c r="T3050" s="9"/>
      <c r="U3050" s="1">
        <f t="shared" si="5174"/>
        <v>70</v>
      </c>
      <c r="V3050" s="1">
        <f t="shared" si="5175"/>
        <v>213</v>
      </c>
    </row>
    <row r="3051" spans="1:22" x14ac:dyDescent="0.3">
      <c r="A3051" s="1">
        <f t="shared" si="5176"/>
        <v>70214</v>
      </c>
      <c r="B3051" s="2" t="s">
        <v>21</v>
      </c>
      <c r="C3051" s="2" t="s">
        <v>22</v>
      </c>
      <c r="D3051" s="2" t="s">
        <v>23</v>
      </c>
      <c r="E3051" s="2"/>
      <c r="F3051" s="2" t="s">
        <v>28</v>
      </c>
      <c r="G3051" s="2" t="s">
        <v>21</v>
      </c>
      <c r="H3051" s="2" t="s">
        <v>22</v>
      </c>
      <c r="J3051" s="24" t="str">
        <f t="shared" ref="J3051" si="5222">CONCATENATE(K3049,2)</f>
        <v>42</v>
      </c>
      <c r="K3051" s="6" t="e">
        <v>#VALUE!</v>
      </c>
      <c r="L3051" s="6" t="e">
        <v>#VALUE!</v>
      </c>
      <c r="M3051" s="6" t="e">
        <v>#VALUE!</v>
      </c>
      <c r="Q3051" s="9"/>
      <c r="R3051" s="9"/>
      <c r="S3051" s="9"/>
      <c r="T3051" s="9"/>
      <c r="U3051" s="1">
        <f t="shared" si="5174"/>
        <v>70</v>
      </c>
      <c r="V3051" s="1">
        <f t="shared" si="5175"/>
        <v>214</v>
      </c>
    </row>
    <row r="3052" spans="1:22" x14ac:dyDescent="0.3">
      <c r="A3052" s="1">
        <f t="shared" si="5176"/>
        <v>70215</v>
      </c>
      <c r="B3052" s="2" t="s">
        <v>24</v>
      </c>
      <c r="C3052" s="2" t="s">
        <v>25</v>
      </c>
      <c r="D3052" s="2" t="s">
        <v>26</v>
      </c>
      <c r="E3052" s="2" t="s">
        <v>27</v>
      </c>
      <c r="F3052" s="2" t="s">
        <v>29</v>
      </c>
      <c r="G3052" s="2" t="s">
        <v>24</v>
      </c>
      <c r="H3052" s="2" t="s">
        <v>25</v>
      </c>
      <c r="J3052" s="24" t="str">
        <f t="shared" ref="J3052" si="5223">CONCATENATE(K3049,3)</f>
        <v>43</v>
      </c>
      <c r="K3052" s="6" t="e">
        <v>#VALUE!</v>
      </c>
      <c r="L3052" s="6" t="e">
        <v>#VALUE!</v>
      </c>
      <c r="M3052" s="6" t="e">
        <v>#VALUE!</v>
      </c>
      <c r="Q3052" s="9"/>
      <c r="R3052" s="9"/>
      <c r="S3052" s="9"/>
      <c r="T3052" s="9"/>
      <c r="U3052" s="1">
        <f t="shared" si="5174"/>
        <v>70</v>
      </c>
      <c r="V3052" s="1">
        <f t="shared" si="5175"/>
        <v>215</v>
      </c>
    </row>
    <row r="3053" spans="1:22" x14ac:dyDescent="0.3">
      <c r="A3053" s="1">
        <f t="shared" si="5176"/>
        <v>70216</v>
      </c>
      <c r="B3053" s="3" t="str">
        <f t="shared" ref="B3053" si="5224">H3046</f>
        <v>%ur</v>
      </c>
      <c r="C3053" s="3" t="str">
        <f t="shared" ref="C3053" si="5225">B3053</f>
        <v>%ur</v>
      </c>
      <c r="D3053" s="3" t="str">
        <f t="shared" ref="D3053" si="5226">C3053</f>
        <v>%ur</v>
      </c>
      <c r="E3053" s="3"/>
      <c r="F3053" s="3"/>
      <c r="G3053" s="3" t="str">
        <f t="shared" ref="G3053" si="5227">D3053</f>
        <v>%ur</v>
      </c>
      <c r="H3053" s="3" t="str">
        <f t="shared" ref="H3053" si="5228">G3053</f>
        <v>%ur</v>
      </c>
      <c r="K3053" s="1">
        <v>5</v>
      </c>
      <c r="L3053" s="1">
        <v>5</v>
      </c>
      <c r="M3053" s="1">
        <v>5</v>
      </c>
      <c r="N3053" s="1">
        <v>5</v>
      </c>
      <c r="Q3053" s="9"/>
      <c r="R3053" s="9"/>
      <c r="S3053" s="9"/>
      <c r="T3053" s="9"/>
      <c r="U3053" s="1">
        <f t="shared" si="5174"/>
        <v>70</v>
      </c>
      <c r="V3053" s="1">
        <f t="shared" si="5175"/>
        <v>216</v>
      </c>
    </row>
    <row r="3054" spans="1:22" x14ac:dyDescent="0.3">
      <c r="A3054" s="1">
        <f t="shared" si="5176"/>
        <v>70217</v>
      </c>
      <c r="B3054" s="4">
        <v>30</v>
      </c>
      <c r="C3054" s="4">
        <v>25</v>
      </c>
      <c r="D3054" s="4">
        <v>2</v>
      </c>
      <c r="E3054" s="4">
        <v>2</v>
      </c>
      <c r="F3054" s="14">
        <v>1000000</v>
      </c>
      <c r="G3054" s="8"/>
      <c r="H3054" s="7"/>
      <c r="J3054" s="24" t="str">
        <f t="shared" ref="J3054" si="5229">CONCATENATE(K3053,1)</f>
        <v>51</v>
      </c>
      <c r="K3054" s="6" t="e">
        <f t="array" ref="K3054:N3056">LINEST(B3054:B3058,C3054:C3058^{1,2,3},TRUE,TRUE)</f>
        <v>#VALUE!</v>
      </c>
      <c r="L3054" s="6" t="e">
        <v>#VALUE!</v>
      </c>
      <c r="M3054" s="6" t="e">
        <v>#VALUE!</v>
      </c>
      <c r="N3054" s="6" t="e">
        <v>#VALUE!</v>
      </c>
      <c r="Q3054" s="9"/>
      <c r="R3054" s="9"/>
      <c r="S3054" s="9"/>
      <c r="T3054" s="9"/>
      <c r="U3054" s="1">
        <f t="shared" si="5174"/>
        <v>70</v>
      </c>
      <c r="V3054" s="1">
        <f t="shared" si="5175"/>
        <v>217</v>
      </c>
    </row>
    <row r="3055" spans="1:22" x14ac:dyDescent="0.3">
      <c r="A3055" s="1">
        <f t="shared" si="5176"/>
        <v>70218</v>
      </c>
      <c r="B3055" s="4">
        <v>50</v>
      </c>
      <c r="C3055" s="4">
        <v>50</v>
      </c>
      <c r="D3055" s="4">
        <v>2</v>
      </c>
      <c r="E3055" s="4">
        <v>2</v>
      </c>
      <c r="F3055" s="14">
        <v>1000000</v>
      </c>
      <c r="G3055" s="8"/>
      <c r="H3055" s="7"/>
      <c r="J3055" s="24" t="str">
        <f t="shared" ref="J3055" si="5230">CONCATENATE(K3053,2)</f>
        <v>52</v>
      </c>
      <c r="K3055" s="6" t="e">
        <v>#VALUE!</v>
      </c>
      <c r="L3055" s="6" t="e">
        <v>#VALUE!</v>
      </c>
      <c r="M3055" s="6" t="e">
        <v>#VALUE!</v>
      </c>
      <c r="N3055" s="6" t="e">
        <v>#VALUE!</v>
      </c>
      <c r="T3055" s="9"/>
      <c r="U3055" s="1">
        <f t="shared" si="5174"/>
        <v>70</v>
      </c>
      <c r="V3055" s="1">
        <f t="shared" si="5175"/>
        <v>218</v>
      </c>
    </row>
    <row r="3056" spans="1:22" x14ac:dyDescent="0.3">
      <c r="A3056" s="1">
        <f t="shared" si="5176"/>
        <v>70219</v>
      </c>
      <c r="B3056" s="4">
        <v>80</v>
      </c>
      <c r="C3056" s="4">
        <v>79</v>
      </c>
      <c r="D3056" s="4">
        <v>2</v>
      </c>
      <c r="E3056" s="4">
        <v>2</v>
      </c>
      <c r="F3056" s="14">
        <v>1000000</v>
      </c>
      <c r="G3056" s="8"/>
      <c r="H3056" s="7"/>
      <c r="J3056" s="24" t="str">
        <f t="shared" ref="J3056" si="5231">CONCATENATE(K3053,3)</f>
        <v>53</v>
      </c>
      <c r="K3056" s="6" t="e">
        <v>#VALUE!</v>
      </c>
      <c r="L3056" s="6" t="e">
        <v>#VALUE!</v>
      </c>
      <c r="M3056" s="6" t="e">
        <v>#VALUE!</v>
      </c>
      <c r="N3056" s="6" t="e">
        <v>#VALUE!</v>
      </c>
      <c r="T3056" s="9"/>
      <c r="U3056" s="1">
        <f t="shared" si="5174"/>
        <v>70</v>
      </c>
      <c r="V3056" s="1">
        <f t="shared" si="5175"/>
        <v>219</v>
      </c>
    </row>
    <row r="3057" spans="1:22" x14ac:dyDescent="0.3">
      <c r="A3057" s="1">
        <f t="shared" si="5176"/>
        <v>70220</v>
      </c>
      <c r="B3057" s="4"/>
      <c r="C3057" s="4"/>
      <c r="D3057" s="4"/>
      <c r="E3057" s="4"/>
      <c r="F3057" s="14"/>
      <c r="G3057" s="8"/>
      <c r="H3057" s="7"/>
      <c r="K3057" s="1">
        <v>6</v>
      </c>
      <c r="L3057" s="1">
        <v>6</v>
      </c>
      <c r="M3057" s="1">
        <v>6</v>
      </c>
      <c r="N3057" s="1">
        <v>6</v>
      </c>
      <c r="O3057" s="1">
        <v>6</v>
      </c>
      <c r="T3057" s="9"/>
      <c r="U3057" s="1">
        <f t="shared" si="5174"/>
        <v>70</v>
      </c>
      <c r="V3057" s="1">
        <f t="shared" si="5175"/>
        <v>220</v>
      </c>
    </row>
    <row r="3058" spans="1:22" x14ac:dyDescent="0.3">
      <c r="A3058" s="1">
        <f t="shared" si="5176"/>
        <v>70221</v>
      </c>
      <c r="B3058" s="4"/>
      <c r="C3058" s="4"/>
      <c r="D3058" s="4"/>
      <c r="E3058" s="4"/>
      <c r="F3058" s="14"/>
      <c r="G3058" s="8"/>
      <c r="H3058" s="7"/>
      <c r="J3058" s="24" t="str">
        <f t="shared" ref="J3058" si="5232">CONCATENATE(K3057,1)</f>
        <v>61</v>
      </c>
      <c r="K3058" s="6" t="e">
        <f t="array" ref="K3058:O3060">LINEST(B3054:B3059,C3054:C3059^{1,2,3,4},TRUE,TRUE)</f>
        <v>#VALUE!</v>
      </c>
      <c r="L3058" s="6" t="e">
        <v>#VALUE!</v>
      </c>
      <c r="M3058" s="6" t="e">
        <v>#VALUE!</v>
      </c>
      <c r="N3058" s="6" t="e">
        <v>#VALUE!</v>
      </c>
      <c r="O3058" s="6" t="e">
        <v>#VALUE!</v>
      </c>
      <c r="T3058" s="9"/>
      <c r="U3058" s="1">
        <f t="shared" si="5174"/>
        <v>70</v>
      </c>
      <c r="V3058" s="1">
        <f t="shared" si="5175"/>
        <v>221</v>
      </c>
    </row>
    <row r="3059" spans="1:22" x14ac:dyDescent="0.3">
      <c r="A3059" s="1">
        <f t="shared" si="5176"/>
        <v>70222</v>
      </c>
      <c r="B3059" s="4"/>
      <c r="C3059" s="4"/>
      <c r="D3059" s="4"/>
      <c r="E3059" s="4"/>
      <c r="F3059" s="14"/>
      <c r="G3059" s="8"/>
      <c r="H3059" s="7"/>
      <c r="J3059" s="24" t="str">
        <f t="shared" ref="J3059" si="5233">CONCATENATE(K3057,2)</f>
        <v>62</v>
      </c>
      <c r="K3059" s="6" t="e">
        <v>#VALUE!</v>
      </c>
      <c r="L3059" s="6" t="e">
        <v>#VALUE!</v>
      </c>
      <c r="M3059" s="6" t="e">
        <v>#VALUE!</v>
      </c>
      <c r="N3059" s="6" t="e">
        <v>#VALUE!</v>
      </c>
      <c r="O3059" s="6" t="e">
        <v>#VALUE!</v>
      </c>
      <c r="T3059" s="9"/>
      <c r="U3059" s="1">
        <f t="shared" si="5174"/>
        <v>70</v>
      </c>
      <c r="V3059" s="1">
        <f t="shared" si="5175"/>
        <v>222</v>
      </c>
    </row>
    <row r="3060" spans="1:22" x14ac:dyDescent="0.3">
      <c r="A3060" s="1">
        <f t="shared" si="5176"/>
        <v>70223</v>
      </c>
      <c r="B3060" s="4"/>
      <c r="C3060" s="4"/>
      <c r="D3060" s="4"/>
      <c r="E3060" s="4"/>
      <c r="F3060" s="14"/>
      <c r="G3060" s="8"/>
      <c r="H3060" s="7"/>
      <c r="J3060" s="24" t="str">
        <f t="shared" ref="J3060" si="5234">CONCATENATE(K3057,3)</f>
        <v>63</v>
      </c>
      <c r="K3060" s="6" t="e">
        <v>#VALUE!</v>
      </c>
      <c r="L3060" s="6" t="e">
        <v>#VALUE!</v>
      </c>
      <c r="M3060" s="6" t="e">
        <v>#VALUE!</v>
      </c>
      <c r="N3060" s="6" t="e">
        <v>#VALUE!</v>
      </c>
      <c r="O3060" s="6" t="e">
        <v>#VALUE!</v>
      </c>
      <c r="T3060" s="9"/>
      <c r="U3060" s="1">
        <f t="shared" si="5174"/>
        <v>70</v>
      </c>
      <c r="V3060" s="1">
        <f t="shared" si="5175"/>
        <v>223</v>
      </c>
    </row>
    <row r="3061" spans="1:22" x14ac:dyDescent="0.3">
      <c r="A3061" s="1">
        <f t="shared" si="5176"/>
        <v>70224</v>
      </c>
      <c r="B3061" s="4"/>
      <c r="C3061" s="4"/>
      <c r="D3061" s="4"/>
      <c r="E3061" s="4"/>
      <c r="F3061" s="14"/>
      <c r="G3061" s="8"/>
      <c r="H3061" s="7"/>
      <c r="K3061" s="1">
        <v>7</v>
      </c>
      <c r="L3061" s="1">
        <v>7</v>
      </c>
      <c r="M3061" s="1">
        <v>7</v>
      </c>
      <c r="N3061" s="1">
        <v>7</v>
      </c>
      <c r="O3061" s="1">
        <v>7</v>
      </c>
      <c r="P3061" s="1">
        <v>7</v>
      </c>
      <c r="T3061" s="9"/>
      <c r="U3061" s="1">
        <f t="shared" si="5174"/>
        <v>70</v>
      </c>
      <c r="V3061" s="1">
        <f t="shared" si="5175"/>
        <v>224</v>
      </c>
    </row>
    <row r="3062" spans="1:22" x14ac:dyDescent="0.3">
      <c r="A3062" s="1">
        <f t="shared" si="5176"/>
        <v>70225</v>
      </c>
      <c r="B3062" s="4"/>
      <c r="C3062" s="4"/>
      <c r="D3062" s="4"/>
      <c r="E3062" s="4"/>
      <c r="F3062" s="14"/>
      <c r="G3062" s="8"/>
      <c r="H3062" s="7"/>
      <c r="J3062" s="24" t="str">
        <f t="shared" ref="J3062" si="5235">CONCATENATE(K3061,1)</f>
        <v>71</v>
      </c>
      <c r="K3062" s="6" t="e">
        <f t="array" ref="K3062:P3064">LINEST(B3054:B3060,C3054:C3060^{1,2,3,4,5},TRUE,TRUE)</f>
        <v>#VALUE!</v>
      </c>
      <c r="L3062" s="6" t="e">
        <v>#VALUE!</v>
      </c>
      <c r="M3062" s="6" t="e">
        <v>#VALUE!</v>
      </c>
      <c r="N3062" s="6" t="e">
        <v>#VALUE!</v>
      </c>
      <c r="O3062" s="6" t="e">
        <v>#VALUE!</v>
      </c>
      <c r="P3062" s="6" t="e">
        <v>#VALUE!</v>
      </c>
      <c r="T3062" s="9"/>
      <c r="U3062" s="1">
        <f t="shared" si="5174"/>
        <v>70</v>
      </c>
      <c r="V3062" s="1">
        <f t="shared" si="5175"/>
        <v>225</v>
      </c>
    </row>
    <row r="3063" spans="1:22" x14ac:dyDescent="0.3">
      <c r="A3063" s="1">
        <f t="shared" si="5176"/>
        <v>70226</v>
      </c>
      <c r="B3063" s="4"/>
      <c r="C3063" s="4"/>
      <c r="D3063" s="4"/>
      <c r="E3063" s="4"/>
      <c r="F3063" s="14"/>
      <c r="G3063" s="8"/>
      <c r="H3063" s="7"/>
      <c r="J3063" s="24" t="str">
        <f t="shared" ref="J3063" si="5236">CONCATENATE(K3061,2)</f>
        <v>72</v>
      </c>
      <c r="K3063" s="6" t="e">
        <v>#VALUE!</v>
      </c>
      <c r="L3063" s="6" t="e">
        <v>#VALUE!</v>
      </c>
      <c r="M3063" s="6" t="e">
        <v>#VALUE!</v>
      </c>
      <c r="N3063" s="6" t="e">
        <v>#VALUE!</v>
      </c>
      <c r="O3063" s="6" t="e">
        <v>#VALUE!</v>
      </c>
      <c r="P3063" s="6" t="e">
        <v>#VALUE!</v>
      </c>
      <c r="T3063" s="9"/>
      <c r="U3063" s="1">
        <f t="shared" si="5174"/>
        <v>70</v>
      </c>
      <c r="V3063" s="1">
        <f t="shared" si="5175"/>
        <v>226</v>
      </c>
    </row>
    <row r="3064" spans="1:22" x14ac:dyDescent="0.3">
      <c r="A3064" s="1">
        <f t="shared" si="5176"/>
        <v>70227</v>
      </c>
      <c r="B3064" s="9"/>
      <c r="C3064" s="9"/>
      <c r="D3064" s="9"/>
      <c r="E3064" s="9"/>
      <c r="F3064" s="9"/>
      <c r="G3064" s="9"/>
      <c r="H3064" s="9"/>
      <c r="J3064" s="24" t="str">
        <f t="shared" ref="J3064" si="5237">CONCATENATE(K3061,3)</f>
        <v>73</v>
      </c>
      <c r="K3064" s="6" t="e">
        <v>#VALUE!</v>
      </c>
      <c r="L3064" s="6" t="e">
        <v>#VALUE!</v>
      </c>
      <c r="M3064" s="6" t="e">
        <v>#VALUE!</v>
      </c>
      <c r="N3064" s="6" t="e">
        <v>#VALUE!</v>
      </c>
      <c r="O3064" s="6" t="e">
        <v>#VALUE!</v>
      </c>
      <c r="P3064" s="6" t="e">
        <v>#VALUE!</v>
      </c>
      <c r="T3064" s="9"/>
      <c r="U3064" s="1">
        <f t="shared" si="5174"/>
        <v>70</v>
      </c>
      <c r="V3064" s="1">
        <f t="shared" si="5175"/>
        <v>227</v>
      </c>
    </row>
    <row r="3065" spans="1:22" x14ac:dyDescent="0.3">
      <c r="A3065" s="1">
        <f t="shared" si="5176"/>
        <v>70228</v>
      </c>
      <c r="B3065" s="87" t="s">
        <v>33</v>
      </c>
      <c r="C3065" s="88"/>
      <c r="D3065" s="88"/>
      <c r="E3065" s="88"/>
      <c r="F3065" s="88"/>
      <c r="G3065" s="88"/>
      <c r="H3065" s="89"/>
      <c r="K3065" s="1">
        <v>8</v>
      </c>
      <c r="L3065" s="1">
        <v>8</v>
      </c>
      <c r="M3065" s="1">
        <v>8</v>
      </c>
      <c r="N3065" s="1">
        <v>8</v>
      </c>
      <c r="O3065" s="1">
        <v>8</v>
      </c>
      <c r="P3065" s="1">
        <v>8</v>
      </c>
      <c r="Q3065" s="1">
        <v>8</v>
      </c>
      <c r="T3065" s="9"/>
      <c r="U3065" s="1">
        <f t="shared" si="5174"/>
        <v>70</v>
      </c>
      <c r="V3065" s="1">
        <f t="shared" si="5175"/>
        <v>228</v>
      </c>
    </row>
    <row r="3066" spans="1:22" x14ac:dyDescent="0.3">
      <c r="A3066" s="1">
        <f t="shared" si="5176"/>
        <v>70229</v>
      </c>
      <c r="B3066" s="90"/>
      <c r="C3066" s="91"/>
      <c r="D3066" s="91"/>
      <c r="E3066" s="91"/>
      <c r="F3066" s="91"/>
      <c r="G3066" s="91"/>
      <c r="H3066" s="92"/>
      <c r="J3066" s="24" t="str">
        <f t="shared" ref="J3066" si="5238">CONCATENATE(K3065,1)</f>
        <v>81</v>
      </c>
      <c r="K3066" s="6" t="e">
        <f t="array" ref="K3066:Q3068">LINEST(B3054:B3061,C3054:C3061^{1,2,3,4,5,6},TRUE,TRUE)</f>
        <v>#VALUE!</v>
      </c>
      <c r="L3066" s="6" t="e">
        <v>#VALUE!</v>
      </c>
      <c r="M3066" s="6" t="e">
        <v>#VALUE!</v>
      </c>
      <c r="N3066" s="6" t="e">
        <v>#VALUE!</v>
      </c>
      <c r="O3066" s="6" t="e">
        <v>#VALUE!</v>
      </c>
      <c r="P3066" s="6" t="e">
        <v>#VALUE!</v>
      </c>
      <c r="Q3066" s="6" t="e">
        <v>#VALUE!</v>
      </c>
      <c r="T3066" s="9"/>
      <c r="U3066" s="1">
        <f t="shared" si="5174"/>
        <v>70</v>
      </c>
      <c r="V3066" s="1">
        <f t="shared" si="5175"/>
        <v>229</v>
      </c>
    </row>
    <row r="3067" spans="1:22" x14ac:dyDescent="0.3">
      <c r="A3067" s="1">
        <f t="shared" si="5176"/>
        <v>70230</v>
      </c>
      <c r="B3067" s="93"/>
      <c r="C3067" s="94"/>
      <c r="D3067" s="94"/>
      <c r="E3067" s="94"/>
      <c r="F3067" s="94"/>
      <c r="G3067" s="94"/>
      <c r="H3067" s="95"/>
      <c r="J3067" s="24" t="str">
        <f t="shared" ref="J3067" si="5239">CONCATENATE(K3065,2)</f>
        <v>82</v>
      </c>
      <c r="K3067" s="6" t="e">
        <v>#VALUE!</v>
      </c>
      <c r="L3067" s="6" t="e">
        <v>#VALUE!</v>
      </c>
      <c r="M3067" s="6" t="e">
        <v>#VALUE!</v>
      </c>
      <c r="N3067" s="6" t="e">
        <v>#VALUE!</v>
      </c>
      <c r="O3067" s="6" t="e">
        <v>#VALUE!</v>
      </c>
      <c r="P3067" s="6" t="e">
        <v>#VALUE!</v>
      </c>
      <c r="Q3067" s="6" t="e">
        <v>#VALUE!</v>
      </c>
      <c r="T3067" s="9"/>
      <c r="U3067" s="1">
        <f t="shared" si="5174"/>
        <v>70</v>
      </c>
      <c r="V3067" s="1">
        <f t="shared" si="5175"/>
        <v>230</v>
      </c>
    </row>
    <row r="3068" spans="1:22" x14ac:dyDescent="0.3">
      <c r="A3068" s="1">
        <f t="shared" si="5176"/>
        <v>70231</v>
      </c>
      <c r="J3068" s="24" t="str">
        <f t="shared" ref="J3068" si="5240">CONCATENATE(K3065,3)</f>
        <v>83</v>
      </c>
      <c r="K3068" s="6" t="e">
        <v>#VALUE!</v>
      </c>
      <c r="L3068" s="6" t="e">
        <v>#VALUE!</v>
      </c>
      <c r="M3068" s="6" t="e">
        <v>#VALUE!</v>
      </c>
      <c r="N3068" s="6" t="e">
        <v>#VALUE!</v>
      </c>
      <c r="O3068" s="6" t="e">
        <v>#VALUE!</v>
      </c>
      <c r="P3068" s="6" t="e">
        <v>#VALUE!</v>
      </c>
      <c r="Q3068" s="6" t="e">
        <v>#VALUE!</v>
      </c>
      <c r="T3068" s="9"/>
      <c r="U3068" s="1">
        <f t="shared" si="5174"/>
        <v>70</v>
      </c>
      <c r="V3068" s="1">
        <f t="shared" si="5175"/>
        <v>231</v>
      </c>
    </row>
    <row r="3069" spans="1:22" ht="15" customHeight="1" x14ac:dyDescent="0.3">
      <c r="A3069" s="1">
        <f t="shared" si="5176"/>
        <v>70232</v>
      </c>
      <c r="B3069" s="10" t="s">
        <v>34</v>
      </c>
      <c r="C3069" s="10" t="s">
        <v>35</v>
      </c>
      <c r="D3069" s="10" t="s">
        <v>36</v>
      </c>
      <c r="E3069" s="74" t="s">
        <v>37</v>
      </c>
      <c r="F3069" s="75"/>
      <c r="G3069" s="76"/>
      <c r="K3069" s="1">
        <v>9</v>
      </c>
      <c r="L3069" s="1">
        <v>9</v>
      </c>
      <c r="M3069" s="1">
        <v>9</v>
      </c>
      <c r="N3069" s="1">
        <v>9</v>
      </c>
      <c r="O3069" s="1">
        <v>9</v>
      </c>
      <c r="P3069" s="1">
        <v>9</v>
      </c>
      <c r="Q3069" s="1">
        <v>9</v>
      </c>
      <c r="R3069" s="1">
        <v>9</v>
      </c>
      <c r="T3069" s="9"/>
      <c r="U3069" s="1">
        <f t="shared" si="5174"/>
        <v>70</v>
      </c>
      <c r="V3069" s="1">
        <f t="shared" si="5175"/>
        <v>232</v>
      </c>
    </row>
    <row r="3070" spans="1:22" x14ac:dyDescent="0.3">
      <c r="A3070" s="1">
        <f t="shared" si="5176"/>
        <v>70233</v>
      </c>
      <c r="B3070" s="12">
        <f t="shared" ref="B3070:B3079" si="5241">C3054-B3054</f>
        <v>-5</v>
      </c>
      <c r="C3070" s="13">
        <f t="shared" ref="C3070:C3079" si="5242">H3054-G3054</f>
        <v>0</v>
      </c>
      <c r="D3070" s="10">
        <f t="shared" ref="D3070:D3079" si="5243">C3070-B3070</f>
        <v>5</v>
      </c>
      <c r="E3070" s="11">
        <f t="shared" ref="E3070" si="5244">IF(D3045="","",MAX(F3070,G3070))</f>
        <v>5</v>
      </c>
      <c r="F3070" s="10">
        <f t="shared" ref="F3070" si="5245">ABS(MIN(D3070:D3079))</f>
        <v>0</v>
      </c>
      <c r="G3070" s="10">
        <f t="shared" ref="G3070" si="5246">ABS(MAX(D3070:D3079))</f>
        <v>5</v>
      </c>
      <c r="J3070" s="24" t="str">
        <f t="shared" ref="J3070" si="5247">CONCATENATE(K3069,1)</f>
        <v>91</v>
      </c>
      <c r="K3070" s="6" t="e">
        <f t="array" ref="K3070:R3072">LINEST(B3054:B3062,C3054:C3062^{1,2,3,4,5,6,7},TRUE,TRUE)</f>
        <v>#VALUE!</v>
      </c>
      <c r="L3070" s="6" t="e">
        <v>#VALUE!</v>
      </c>
      <c r="M3070" s="6" t="e">
        <v>#VALUE!</v>
      </c>
      <c r="N3070" s="6" t="e">
        <v>#VALUE!</v>
      </c>
      <c r="O3070" s="6" t="e">
        <v>#VALUE!</v>
      </c>
      <c r="P3070" s="6" t="e">
        <v>#VALUE!</v>
      </c>
      <c r="Q3070" s="6" t="e">
        <v>#VALUE!</v>
      </c>
      <c r="R3070" s="6" t="e">
        <v>#VALUE!</v>
      </c>
      <c r="T3070" s="9"/>
      <c r="U3070" s="1">
        <f t="shared" si="5174"/>
        <v>70</v>
      </c>
      <c r="V3070" s="1">
        <f t="shared" si="5175"/>
        <v>233</v>
      </c>
    </row>
    <row r="3071" spans="1:22" x14ac:dyDescent="0.3">
      <c r="A3071" s="1">
        <f t="shared" si="5176"/>
        <v>70234</v>
      </c>
      <c r="B3071" s="12">
        <f t="shared" si="5241"/>
        <v>0</v>
      </c>
      <c r="C3071" s="13">
        <f t="shared" si="5242"/>
        <v>0</v>
      </c>
      <c r="D3071" s="10">
        <f t="shared" si="5243"/>
        <v>0</v>
      </c>
      <c r="E3071" s="74" t="s">
        <v>38</v>
      </c>
      <c r="F3071" s="75"/>
      <c r="G3071" s="76"/>
      <c r="J3071" s="24" t="str">
        <f t="shared" ref="J3071" si="5248">CONCATENATE(K3069,2)</f>
        <v>92</v>
      </c>
      <c r="K3071" s="6" t="e">
        <v>#VALUE!</v>
      </c>
      <c r="L3071" s="6" t="e">
        <v>#VALUE!</v>
      </c>
      <c r="M3071" s="6" t="e">
        <v>#VALUE!</v>
      </c>
      <c r="N3071" s="6" t="e">
        <v>#VALUE!</v>
      </c>
      <c r="O3071" s="6" t="e">
        <v>#VALUE!</v>
      </c>
      <c r="P3071" s="6" t="e">
        <v>#VALUE!</v>
      </c>
      <c r="Q3071" s="6" t="e">
        <v>#VALUE!</v>
      </c>
      <c r="R3071" s="6" t="e">
        <v>#VALUE!</v>
      </c>
      <c r="T3071" s="9"/>
      <c r="U3071" s="1">
        <f t="shared" si="5174"/>
        <v>70</v>
      </c>
      <c r="V3071" s="1">
        <f t="shared" si="5175"/>
        <v>234</v>
      </c>
    </row>
    <row r="3072" spans="1:22" x14ac:dyDescent="0.3">
      <c r="A3072" s="1">
        <f t="shared" si="5176"/>
        <v>70235</v>
      </c>
      <c r="B3072" s="12">
        <f t="shared" si="5241"/>
        <v>-1</v>
      </c>
      <c r="C3072" s="13">
        <f t="shared" si="5242"/>
        <v>0</v>
      </c>
      <c r="D3072" s="10">
        <f t="shared" si="5243"/>
        <v>1</v>
      </c>
      <c r="E3072" s="11">
        <f t="shared" ref="E3072" si="5249">IF(D3045="","",MAX(F3072,G3072))</f>
        <v>5</v>
      </c>
      <c r="F3072" s="10">
        <f t="shared" ref="F3072" si="5250">ABS(MIN(B3070:B3079))</f>
        <v>5</v>
      </c>
      <c r="G3072" s="10">
        <f t="shared" ref="G3072" si="5251">ABS(MAX(B3070:B3079))</f>
        <v>0</v>
      </c>
      <c r="J3072" s="24" t="str">
        <f t="shared" ref="J3072" si="5252">CONCATENATE(K3069,3)</f>
        <v>93</v>
      </c>
      <c r="K3072" s="6" t="e">
        <v>#VALUE!</v>
      </c>
      <c r="L3072" s="6" t="e">
        <v>#VALUE!</v>
      </c>
      <c r="M3072" s="6" t="e">
        <v>#VALUE!</v>
      </c>
      <c r="N3072" s="6" t="e">
        <v>#VALUE!</v>
      </c>
      <c r="O3072" s="6" t="e">
        <v>#VALUE!</v>
      </c>
      <c r="P3072" s="6" t="e">
        <v>#VALUE!</v>
      </c>
      <c r="Q3072" s="6" t="e">
        <v>#VALUE!</v>
      </c>
      <c r="R3072" s="6" t="e">
        <v>#VALUE!</v>
      </c>
      <c r="T3072" s="9"/>
      <c r="U3072" s="1">
        <f t="shared" si="5174"/>
        <v>70</v>
      </c>
      <c r="V3072" s="1">
        <f t="shared" si="5175"/>
        <v>235</v>
      </c>
    </row>
    <row r="3073" spans="1:22" x14ac:dyDescent="0.3">
      <c r="A3073" s="1">
        <f t="shared" si="5176"/>
        <v>70236</v>
      </c>
      <c r="B3073" s="12">
        <f t="shared" si="5241"/>
        <v>0</v>
      </c>
      <c r="C3073" s="13">
        <f t="shared" si="5242"/>
        <v>0</v>
      </c>
      <c r="D3073" s="10">
        <f t="shared" si="5243"/>
        <v>0</v>
      </c>
      <c r="E3073" s="74" t="s">
        <v>39</v>
      </c>
      <c r="F3073" s="75"/>
      <c r="G3073" s="76"/>
      <c r="K3073" s="1">
        <v>10</v>
      </c>
      <c r="L3073" s="1">
        <v>10</v>
      </c>
      <c r="M3073" s="1">
        <v>10</v>
      </c>
      <c r="N3073" s="1">
        <v>10</v>
      </c>
      <c r="O3073" s="1">
        <v>10</v>
      </c>
      <c r="P3073" s="1">
        <v>10</v>
      </c>
      <c r="Q3073" s="1">
        <v>10</v>
      </c>
      <c r="R3073" s="1">
        <v>10</v>
      </c>
      <c r="S3073" s="1">
        <v>10</v>
      </c>
      <c r="T3073" s="9"/>
      <c r="U3073" s="1">
        <f t="shared" si="5174"/>
        <v>70</v>
      </c>
      <c r="V3073" s="1">
        <f t="shared" si="5175"/>
        <v>236</v>
      </c>
    </row>
    <row r="3074" spans="1:22" x14ac:dyDescent="0.3">
      <c r="A3074" s="1">
        <f t="shared" si="5176"/>
        <v>70237</v>
      </c>
      <c r="B3074" s="12">
        <f t="shared" si="5241"/>
        <v>0</v>
      </c>
      <c r="C3074" s="13">
        <f t="shared" si="5242"/>
        <v>0</v>
      </c>
      <c r="D3074" s="10">
        <f t="shared" si="5243"/>
        <v>0</v>
      </c>
      <c r="E3074" s="11">
        <f t="shared" ref="E3074" si="5253">IF(D3045="","",MAX(F3074,G3074))</f>
        <v>2</v>
      </c>
      <c r="F3074" s="10">
        <f t="shared" ref="F3074" si="5254">ABS(MIN(D3054:D3063))</f>
        <v>2</v>
      </c>
      <c r="G3074" s="10">
        <f t="shared" ref="G3074" si="5255">ABS(MAX(D3054:D3063))</f>
        <v>2</v>
      </c>
      <c r="J3074" s="24" t="str">
        <f t="shared" ref="J3074" si="5256">CONCATENATE(K3073,1)</f>
        <v>101</v>
      </c>
      <c r="K3074" s="6" t="e">
        <f t="array" ref="K3074:S3076">LINEST(B3054:B3063,C3054:C3063^{1,2,3,4,5,6,7,8},TRUE,TRUE)</f>
        <v>#VALUE!</v>
      </c>
      <c r="L3074" s="6" t="e">
        <v>#VALUE!</v>
      </c>
      <c r="M3074" s="6" t="e">
        <v>#VALUE!</v>
      </c>
      <c r="N3074" s="6" t="e">
        <v>#VALUE!</v>
      </c>
      <c r="O3074" s="6" t="e">
        <v>#VALUE!</v>
      </c>
      <c r="P3074" s="6" t="e">
        <v>#VALUE!</v>
      </c>
      <c r="Q3074" s="6" t="e">
        <v>#VALUE!</v>
      </c>
      <c r="R3074" s="6" t="e">
        <v>#VALUE!</v>
      </c>
      <c r="S3074" s="6" t="e">
        <v>#VALUE!</v>
      </c>
      <c r="T3074" s="9"/>
      <c r="U3074" s="1">
        <f t="shared" si="5174"/>
        <v>70</v>
      </c>
      <c r="V3074" s="1">
        <f t="shared" si="5175"/>
        <v>237</v>
      </c>
    </row>
    <row r="3075" spans="1:22" x14ac:dyDescent="0.3">
      <c r="A3075" s="1">
        <f t="shared" si="5176"/>
        <v>70238</v>
      </c>
      <c r="B3075" s="12">
        <f t="shared" si="5241"/>
        <v>0</v>
      </c>
      <c r="C3075" s="13">
        <f t="shared" si="5242"/>
        <v>0</v>
      </c>
      <c r="D3075" s="10">
        <f t="shared" si="5243"/>
        <v>0</v>
      </c>
      <c r="J3075" s="24" t="str">
        <f t="shared" ref="J3075" si="5257">CONCATENATE(K3073,2)</f>
        <v>102</v>
      </c>
      <c r="K3075" s="6" t="e">
        <v>#VALUE!</v>
      </c>
      <c r="L3075" s="6" t="e">
        <v>#VALUE!</v>
      </c>
      <c r="M3075" s="6" t="e">
        <v>#VALUE!</v>
      </c>
      <c r="N3075" s="6" t="e">
        <v>#VALUE!</v>
      </c>
      <c r="O3075" s="6" t="e">
        <v>#VALUE!</v>
      </c>
      <c r="P3075" s="6" t="e">
        <v>#VALUE!</v>
      </c>
      <c r="Q3075" s="6" t="e">
        <v>#VALUE!</v>
      </c>
      <c r="R3075" s="6" t="e">
        <v>#VALUE!</v>
      </c>
      <c r="S3075" s="6" t="e">
        <v>#VALUE!</v>
      </c>
      <c r="T3075" s="9"/>
      <c r="U3075" s="1">
        <f t="shared" si="5174"/>
        <v>70</v>
      </c>
      <c r="V3075" s="1">
        <f t="shared" si="5175"/>
        <v>238</v>
      </c>
    </row>
    <row r="3076" spans="1:22" x14ac:dyDescent="0.3">
      <c r="A3076" s="1">
        <f t="shared" si="5176"/>
        <v>70239</v>
      </c>
      <c r="B3076" s="12">
        <f t="shared" si="5241"/>
        <v>0</v>
      </c>
      <c r="C3076" s="13">
        <f t="shared" si="5242"/>
        <v>0</v>
      </c>
      <c r="D3076" s="10">
        <f t="shared" si="5243"/>
        <v>0</v>
      </c>
      <c r="J3076" s="24" t="str">
        <f t="shared" ref="J3076" si="5258">CONCATENATE(K3073,3)</f>
        <v>103</v>
      </c>
      <c r="K3076" s="6" t="e">
        <v>#VALUE!</v>
      </c>
      <c r="L3076" s="6" t="e">
        <v>#VALUE!</v>
      </c>
      <c r="M3076" s="6" t="e">
        <v>#VALUE!</v>
      </c>
      <c r="N3076" s="6" t="e">
        <v>#VALUE!</v>
      </c>
      <c r="O3076" s="6" t="e">
        <v>#VALUE!</v>
      </c>
      <c r="P3076" s="6" t="e">
        <v>#VALUE!</v>
      </c>
      <c r="Q3076" s="6" t="e">
        <v>#VALUE!</v>
      </c>
      <c r="R3076" s="6" t="e">
        <v>#VALUE!</v>
      </c>
      <c r="S3076" s="6" t="e">
        <v>#VALUE!</v>
      </c>
      <c r="T3076" s="9"/>
      <c r="U3076" s="1">
        <f t="shared" si="5174"/>
        <v>70</v>
      </c>
      <c r="V3076" s="1">
        <f t="shared" si="5175"/>
        <v>239</v>
      </c>
    </row>
    <row r="3077" spans="1:22" x14ac:dyDescent="0.3">
      <c r="A3077" s="1">
        <f t="shared" si="5176"/>
        <v>70240</v>
      </c>
      <c r="B3077" s="12">
        <f t="shared" si="5241"/>
        <v>0</v>
      </c>
      <c r="C3077" s="13">
        <f t="shared" si="5242"/>
        <v>0</v>
      </c>
      <c r="D3077" s="10">
        <f t="shared" si="5243"/>
        <v>0</v>
      </c>
      <c r="J3077" s="9"/>
      <c r="K3077" s="9"/>
      <c r="L3077" s="9"/>
      <c r="M3077" s="9"/>
      <c r="N3077" s="9"/>
      <c r="O3077" s="9"/>
      <c r="P3077" s="9"/>
      <c r="Q3077" s="9"/>
      <c r="R3077" s="9"/>
      <c r="S3077" s="9"/>
      <c r="T3077" s="9"/>
      <c r="U3077" s="1">
        <f t="shared" si="5174"/>
        <v>70</v>
      </c>
      <c r="V3077" s="1">
        <f t="shared" si="5175"/>
        <v>240</v>
      </c>
    </row>
    <row r="3078" spans="1:22" x14ac:dyDescent="0.3">
      <c r="A3078" s="1">
        <f t="shared" si="5176"/>
        <v>70241</v>
      </c>
      <c r="B3078" s="12">
        <f t="shared" si="5241"/>
        <v>0</v>
      </c>
      <c r="C3078" s="13">
        <f t="shared" si="5242"/>
        <v>0</v>
      </c>
      <c r="D3078" s="10">
        <f t="shared" si="5243"/>
        <v>0</v>
      </c>
      <c r="J3078" s="9"/>
      <c r="K3078" s="9"/>
      <c r="L3078" s="9"/>
      <c r="M3078" s="9"/>
      <c r="N3078" s="9"/>
      <c r="O3078" s="9"/>
      <c r="P3078" s="9"/>
      <c r="Q3078" s="9"/>
      <c r="R3078" s="9"/>
      <c r="S3078" s="9"/>
      <c r="T3078" s="9"/>
      <c r="U3078" s="1">
        <f t="shared" si="5174"/>
        <v>70</v>
      </c>
      <c r="V3078" s="1">
        <f t="shared" si="5175"/>
        <v>241</v>
      </c>
    </row>
    <row r="3079" spans="1:22" x14ac:dyDescent="0.3">
      <c r="A3079" s="1">
        <f t="shared" si="5176"/>
        <v>70242</v>
      </c>
      <c r="B3079" s="12">
        <f t="shared" si="5241"/>
        <v>0</v>
      </c>
      <c r="C3079" s="13">
        <f t="shared" si="5242"/>
        <v>0</v>
      </c>
      <c r="D3079" s="10">
        <f t="shared" si="5243"/>
        <v>0</v>
      </c>
      <c r="J3079" s="9"/>
      <c r="K3079" s="9"/>
      <c r="L3079" s="9"/>
      <c r="M3079" s="9"/>
      <c r="N3079" s="9"/>
      <c r="O3079" s="9"/>
      <c r="P3079" s="9"/>
      <c r="Q3079" s="9"/>
      <c r="R3079" s="9"/>
      <c r="S3079" s="9"/>
      <c r="T3079" s="9"/>
      <c r="U3079" s="1">
        <f t="shared" si="5174"/>
        <v>70</v>
      </c>
      <c r="V3079" s="1">
        <f t="shared" si="5175"/>
        <v>242</v>
      </c>
    </row>
    <row r="3080" spans="1:22" x14ac:dyDescent="0.3">
      <c r="A3080" s="1">
        <f t="shared" si="5176"/>
        <v>70243</v>
      </c>
      <c r="J3080" s="9"/>
      <c r="K3080" s="9"/>
      <c r="L3080" s="9"/>
      <c r="M3080" s="9"/>
      <c r="N3080" s="9"/>
      <c r="O3080" s="9"/>
      <c r="P3080" s="9"/>
      <c r="Q3080" s="9"/>
      <c r="R3080" s="9"/>
      <c r="S3080" s="9"/>
      <c r="T3080" s="9"/>
      <c r="U3080" s="1">
        <f t="shared" si="5174"/>
        <v>70</v>
      </c>
      <c r="V3080" s="1">
        <f t="shared" si="5175"/>
        <v>243</v>
      </c>
    </row>
    <row r="3081" spans="1:22" s="5" customFormat="1" x14ac:dyDescent="0.3"/>
    <row r="3082" spans="1:22" x14ac:dyDescent="0.3">
      <c r="A3082" s="1">
        <f t="shared" ref="A3082:A3124" si="5259">ROUND(CONCATENATE(U3082,V3082),0)</f>
        <v>71201</v>
      </c>
      <c r="B3082" s="96" t="s">
        <v>0</v>
      </c>
      <c r="C3082" s="97"/>
      <c r="D3082" s="110" t="s">
        <v>46</v>
      </c>
      <c r="E3082" s="111"/>
      <c r="F3082" s="111"/>
      <c r="G3082" s="111"/>
      <c r="H3082" s="112"/>
      <c r="J3082" s="9"/>
      <c r="K3082" s="9"/>
      <c r="L3082" s="9"/>
      <c r="M3082" s="9"/>
      <c r="N3082" s="9"/>
      <c r="O3082" s="9"/>
      <c r="P3082" s="9"/>
      <c r="Q3082" s="9"/>
      <c r="R3082" s="9"/>
      <c r="S3082" s="9"/>
      <c r="T3082" s="9"/>
      <c r="U3082" s="1">
        <f t="shared" ref="U3082" si="5260">U3080+1</f>
        <v>71</v>
      </c>
      <c r="V3082" s="1">
        <v>201</v>
      </c>
    </row>
    <row r="3083" spans="1:22" x14ac:dyDescent="0.3">
      <c r="A3083" s="1">
        <f t="shared" si="5259"/>
        <v>71202</v>
      </c>
      <c r="B3083" s="96" t="s">
        <v>1</v>
      </c>
      <c r="C3083" s="97"/>
      <c r="D3083" s="15">
        <v>20</v>
      </c>
      <c r="E3083" s="16" t="s">
        <v>2</v>
      </c>
      <c r="F3083" s="107"/>
      <c r="G3083" s="108"/>
      <c r="H3083" s="109"/>
      <c r="J3083" s="9"/>
      <c r="K3083" s="9"/>
      <c r="L3083" s="9"/>
      <c r="M3083" s="9"/>
      <c r="N3083" s="9"/>
      <c r="O3083" s="9"/>
      <c r="P3083" s="9"/>
      <c r="Q3083" s="9"/>
      <c r="R3083" s="9"/>
      <c r="S3083" s="9"/>
      <c r="T3083" s="9"/>
      <c r="U3083" s="1">
        <f t="shared" ref="U3083" si="5261">U3082</f>
        <v>71</v>
      </c>
      <c r="V3083" s="1">
        <f t="shared" ref="V3083" si="5262">V3082+1</f>
        <v>202</v>
      </c>
    </row>
    <row r="3084" spans="1:22" x14ac:dyDescent="0.3">
      <c r="A3084" s="1">
        <f t="shared" si="5259"/>
        <v>71203</v>
      </c>
      <c r="B3084" s="96" t="s">
        <v>12</v>
      </c>
      <c r="C3084" s="97"/>
      <c r="D3084" s="110" t="s">
        <v>270</v>
      </c>
      <c r="E3084" s="111"/>
      <c r="F3084" s="111"/>
      <c r="G3084" s="111"/>
      <c r="H3084" s="112"/>
      <c r="K3084" s="1" t="s">
        <v>3</v>
      </c>
      <c r="L3084" s="1" t="s">
        <v>4</v>
      </c>
      <c r="M3084" s="1" t="s">
        <v>5</v>
      </c>
      <c r="N3084" s="1" t="s">
        <v>6</v>
      </c>
      <c r="O3084" s="1" t="s">
        <v>7</v>
      </c>
      <c r="P3084" s="1" t="s">
        <v>8</v>
      </c>
      <c r="Q3084" s="1" t="s">
        <v>9</v>
      </c>
      <c r="R3084" s="1" t="s">
        <v>10</v>
      </c>
      <c r="S3084" s="1" t="s">
        <v>11</v>
      </c>
      <c r="T3084" s="9"/>
      <c r="U3084" s="1">
        <f t="shared" si="5174"/>
        <v>71</v>
      </c>
      <c r="V3084" s="1">
        <f t="shared" si="5175"/>
        <v>203</v>
      </c>
    </row>
    <row r="3085" spans="1:22" x14ac:dyDescent="0.3">
      <c r="A3085" s="1">
        <f t="shared" si="5259"/>
        <v>71204</v>
      </c>
      <c r="B3085" s="96" t="s">
        <v>13</v>
      </c>
      <c r="C3085" s="97"/>
      <c r="D3085" s="110" t="s">
        <v>65</v>
      </c>
      <c r="E3085" s="111"/>
      <c r="F3085" s="111"/>
      <c r="G3085" s="111"/>
      <c r="H3085" s="112"/>
      <c r="J3085" s="1">
        <f t="shared" ref="J3085" si="5263">COUNTA(B3098:B3107)</f>
        <v>3</v>
      </c>
      <c r="K3085" s="1">
        <f t="shared" ref="K3085" si="5264">IF(L3085-1&lt;2,0,L3085-1)</f>
        <v>0</v>
      </c>
      <c r="L3085" s="1">
        <f t="shared" ref="L3085" si="5265">IF(M3085-1&lt;2,0,M3085-1)</f>
        <v>0</v>
      </c>
      <c r="M3085" s="1">
        <f t="shared" ref="M3085" si="5266">IF(N3085-1&lt;2,0,N3085-1)</f>
        <v>0</v>
      </c>
      <c r="N3085" s="1">
        <f t="shared" ref="N3085" si="5267">IF(O3085-1&lt;2,0,O3085-1)</f>
        <v>0</v>
      </c>
      <c r="O3085" s="1">
        <f t="shared" ref="O3085" si="5268">IF(P3085-1&lt;2,0,P3085-1)</f>
        <v>0</v>
      </c>
      <c r="P3085" s="1">
        <f t="shared" ref="P3085" si="5269">IF(Q3085-1&lt;2,0,Q3085-1)</f>
        <v>0</v>
      </c>
      <c r="Q3085" s="1">
        <f t="shared" ref="Q3085" si="5270">IF(R3085-1&lt;2,0,R3085-1)</f>
        <v>0</v>
      </c>
      <c r="R3085" s="1">
        <f t="shared" ref="R3085" si="5271">IF(S3085-1&lt;2,0,S3085-1)</f>
        <v>2</v>
      </c>
      <c r="S3085" s="1">
        <f t="shared" ref="S3085" si="5272">J3085</f>
        <v>3</v>
      </c>
      <c r="T3085" s="9"/>
      <c r="U3085" s="1">
        <f t="shared" si="5174"/>
        <v>71</v>
      </c>
      <c r="V3085" s="1">
        <f t="shared" si="5175"/>
        <v>204</v>
      </c>
    </row>
    <row r="3086" spans="1:22" x14ac:dyDescent="0.3">
      <c r="A3086" s="1">
        <f t="shared" si="5259"/>
        <v>71205</v>
      </c>
      <c r="B3086" s="96" t="s">
        <v>14</v>
      </c>
      <c r="C3086" s="97"/>
      <c r="D3086" s="110" t="s">
        <v>66</v>
      </c>
      <c r="E3086" s="111"/>
      <c r="F3086" s="111"/>
      <c r="G3086" s="111"/>
      <c r="H3086" s="112"/>
      <c r="J3086" s="24" t="str">
        <f t="shared" ref="J3086" si="5273">CONCATENATE(J3085,1)</f>
        <v>31</v>
      </c>
      <c r="K3086" s="25">
        <f t="shared" ref="K3086" si="5274">IF(K3085=0,0,VLOOKUP(J3086,J3090:S3120,K3085,FALSE))</f>
        <v>0</v>
      </c>
      <c r="L3086" s="25">
        <f t="shared" ref="L3086" si="5275">IF(L3085=0,0,VLOOKUP(J3086,J3090:S3120,L3085,FALSE))</f>
        <v>0</v>
      </c>
      <c r="M3086" s="25">
        <f t="shared" ref="M3086" si="5276">IF(M3085=0,0,VLOOKUP(J3086,J3090:S3120,M3085,FALSE))</f>
        <v>0</v>
      </c>
      <c r="N3086" s="25">
        <f t="shared" ref="N3086" si="5277">IF(N3085=0,0,VLOOKUP(J3086,J3090:S3120,N3085,FALSE))</f>
        <v>0</v>
      </c>
      <c r="O3086" s="25">
        <f t="shared" ref="O3086" si="5278">IF(O3085=0,0,VLOOKUP(J3086,J3090:S3120,O3085,FALSE))</f>
        <v>0</v>
      </c>
      <c r="P3086" s="25">
        <f t="shared" ref="P3086" si="5279">IF(P3085=0,0,VLOOKUP(J3086,J3090:S3120,P3085,FALSE))</f>
        <v>0</v>
      </c>
      <c r="Q3086" s="25">
        <f t="shared" ref="Q3086" si="5280">IF(Q3085=0,0,VLOOKUP(J3086,J3090:S3120,Q3085,FALSE))</f>
        <v>0</v>
      </c>
      <c r="R3086" s="25">
        <f t="shared" ref="R3086" si="5281">IF(R3085=0,0,VLOOKUP(J3086,J3090:S3120,R3085,FALSE))</f>
        <v>0.99999999999999978</v>
      </c>
      <c r="S3086" s="25">
        <f t="shared" ref="S3086" si="5282">IF(S3085=0,0,VLOOKUP(J3086,J3090:S3120,S3085,FALSE))</f>
        <v>1.4210854715202004E-14</v>
      </c>
      <c r="T3086" s="9"/>
      <c r="U3086" s="1">
        <f t="shared" si="5174"/>
        <v>71</v>
      </c>
      <c r="V3086" s="1">
        <f t="shared" si="5175"/>
        <v>205</v>
      </c>
    </row>
    <row r="3087" spans="1:22" x14ac:dyDescent="0.3">
      <c r="A3087" s="1">
        <f t="shared" si="5259"/>
        <v>71206</v>
      </c>
      <c r="B3087" s="96" t="s">
        <v>15</v>
      </c>
      <c r="C3087" s="97"/>
      <c r="D3087" s="110" t="s">
        <v>271</v>
      </c>
      <c r="E3087" s="111"/>
      <c r="F3087" s="111"/>
      <c r="G3087" s="111"/>
      <c r="H3087" s="112"/>
      <c r="J3087" s="24" t="str">
        <f t="shared" ref="J3087" si="5283">CONCATENATE(J3085,2)</f>
        <v>32</v>
      </c>
      <c r="K3087" s="6">
        <f t="shared" ref="K3087" si="5284">IF(K3085=0,0,VLOOKUP(J3087,J3090:S3120,K3085,FALSE))</f>
        <v>0</v>
      </c>
      <c r="L3087" s="6">
        <f t="shared" ref="L3087" si="5285">IF(L3085=0,0,VLOOKUP(J3087,J3090:S3120,L3085,FALSE))</f>
        <v>0</v>
      </c>
      <c r="M3087" s="6">
        <f t="shared" ref="M3087" si="5286">IF(M3085=0,0,VLOOKUP(J3087,J3090:S3120,M3085,FALSE))</f>
        <v>0</v>
      </c>
      <c r="N3087" s="6">
        <f t="shared" ref="N3087" si="5287">IF(N3085=0,0,VLOOKUP(J3087,J3090:S3120,N3085,FALSE))</f>
        <v>0</v>
      </c>
      <c r="O3087" s="6">
        <f t="shared" ref="O3087" si="5288">IF(O3085=0,0,VLOOKUP(J3087,J3090:S3120,O3085,FALSE))</f>
        <v>0</v>
      </c>
      <c r="P3087" s="6">
        <f t="shared" ref="P3087" si="5289">IF(P3085=0,0,VLOOKUP(J3087,J3090:S3120,P3085,FALSE))</f>
        <v>0</v>
      </c>
      <c r="Q3087" s="6">
        <f t="shared" ref="Q3087" si="5290">IF(Q3085=0,0,VLOOKUP(J3087,J3090:S3120,Q3085,FALSE))</f>
        <v>0</v>
      </c>
      <c r="R3087" s="6">
        <f t="shared" ref="R3087" si="5291">IF(R3085=0,0,VLOOKUP(J3087,J3090:S3120,R3085,FALSE))</f>
        <v>1.9964527345060516E-16</v>
      </c>
      <c r="S3087" s="6">
        <f t="shared" ref="S3087" si="5292">IF(S3085=0,0,VLOOKUP(J3087,J3090:S3120,S3085,FALSE))</f>
        <v>1.1410677821956004E-14</v>
      </c>
      <c r="T3087" s="9"/>
      <c r="U3087" s="1">
        <f t="shared" si="5174"/>
        <v>71</v>
      </c>
      <c r="V3087" s="1">
        <f t="shared" si="5175"/>
        <v>206</v>
      </c>
    </row>
    <row r="3088" spans="1:22" x14ac:dyDescent="0.3">
      <c r="A3088" s="1">
        <f t="shared" si="5259"/>
        <v>71207</v>
      </c>
      <c r="B3088" s="96" t="s">
        <v>16</v>
      </c>
      <c r="C3088" s="97"/>
      <c r="D3088" s="113">
        <v>45733</v>
      </c>
      <c r="E3088" s="114"/>
      <c r="F3088" s="114"/>
      <c r="G3088" s="114"/>
      <c r="H3088" s="115"/>
      <c r="J3088" s="24" t="str">
        <f t="shared" ref="J3088" si="5293">CONCATENATE(J3085,3)</f>
        <v>33</v>
      </c>
      <c r="K3088" s="6"/>
      <c r="L3088" s="6"/>
      <c r="M3088" s="6"/>
      <c r="N3088" s="6" t="s">
        <v>43</v>
      </c>
      <c r="O3088" s="25">
        <f t="shared" ref="O3088" si="5294">J3085-2</f>
        <v>1</v>
      </c>
      <c r="P3088" s="6" t="s">
        <v>44</v>
      </c>
      <c r="Q3088" s="25">
        <f t="shared" ref="Q3088" si="5295">VLOOKUP(J3088,J3090:S3120,3,FALSE)</f>
        <v>7.1054273576010019E-15</v>
      </c>
      <c r="R3088" s="6" t="s">
        <v>45</v>
      </c>
      <c r="S3088" s="6">
        <f t="shared" ref="S3088" si="5296">VLOOKUP(J3088,J3090:S3120,2,FALSE)</f>
        <v>1</v>
      </c>
      <c r="T3088" s="9"/>
      <c r="U3088" s="1">
        <f t="shared" si="5174"/>
        <v>71</v>
      </c>
      <c r="V3088" s="1">
        <f t="shared" si="5175"/>
        <v>207</v>
      </c>
    </row>
    <row r="3089" spans="1:22" x14ac:dyDescent="0.3">
      <c r="A3089" s="1">
        <f t="shared" si="5259"/>
        <v>71208</v>
      </c>
      <c r="B3089" s="96" t="s">
        <v>17</v>
      </c>
      <c r="C3089" s="97"/>
      <c r="D3089" s="116">
        <v>46111</v>
      </c>
      <c r="E3089" s="117"/>
      <c r="F3089" s="117"/>
      <c r="G3089" s="117"/>
      <c r="H3089" s="118"/>
      <c r="K3089" s="1">
        <v>3</v>
      </c>
      <c r="L3089" s="1">
        <v>3</v>
      </c>
      <c r="Q3089" s="26"/>
      <c r="R3089" s="26"/>
      <c r="S3089" s="26"/>
      <c r="T3089" s="9"/>
      <c r="U3089" s="1">
        <f t="shared" si="5174"/>
        <v>71</v>
      </c>
      <c r="V3089" s="1">
        <f t="shared" si="5175"/>
        <v>208</v>
      </c>
    </row>
    <row r="3090" spans="1:22" x14ac:dyDescent="0.3">
      <c r="A3090" s="1">
        <f t="shared" si="5259"/>
        <v>71209</v>
      </c>
      <c r="B3090" s="77" t="s">
        <v>19</v>
      </c>
      <c r="C3090" s="78"/>
      <c r="D3090" s="17">
        <v>1</v>
      </c>
      <c r="E3090" s="79" t="s">
        <v>40</v>
      </c>
      <c r="F3090" s="80"/>
      <c r="G3090" s="81"/>
      <c r="H3090" s="18" t="s">
        <v>72</v>
      </c>
      <c r="J3090" s="24" t="str">
        <f t="shared" ref="J3090" si="5297">CONCATENATE(K3089,1)</f>
        <v>31</v>
      </c>
      <c r="K3090" s="6">
        <f t="array" ref="K3090:L3092">LINEST(B3098:B3100,C3098:C3100^{1},TRUE,TRUE)</f>
        <v>0.99999999999999978</v>
      </c>
      <c r="L3090" s="6">
        <v>1.4210854715202004E-14</v>
      </c>
      <c r="Q3090" s="9"/>
      <c r="R3090" s="9"/>
      <c r="S3090" s="9"/>
      <c r="T3090" s="9"/>
      <c r="U3090" s="1">
        <f t="shared" si="5174"/>
        <v>71</v>
      </c>
      <c r="V3090" s="1">
        <f t="shared" si="5175"/>
        <v>209</v>
      </c>
    </row>
    <row r="3091" spans="1:22" x14ac:dyDescent="0.3">
      <c r="A3091" s="1">
        <f t="shared" si="5259"/>
        <v>71210</v>
      </c>
      <c r="B3091" s="77" t="s">
        <v>41</v>
      </c>
      <c r="C3091" s="78"/>
      <c r="D3091" s="23">
        <f t="shared" ref="D3091" si="5298">MIN(B3098:B3107)</f>
        <v>30</v>
      </c>
      <c r="E3091" s="20" t="s">
        <v>18</v>
      </c>
      <c r="F3091" s="19">
        <f t="shared" ref="F3091" si="5299">MAX(B3098:B3107)</f>
        <v>80</v>
      </c>
      <c r="G3091" s="21" t="str">
        <f t="shared" ref="G3091" si="5300">IF(H3090="","",H3090)</f>
        <v>%ur</v>
      </c>
      <c r="H3091" s="22"/>
      <c r="J3091" s="24" t="str">
        <f t="shared" ref="J3091" si="5301">CONCATENATE(K3089,2)</f>
        <v>32</v>
      </c>
      <c r="K3091" s="6">
        <v>1.9964527345060516E-16</v>
      </c>
      <c r="L3091" s="6">
        <v>1.1410677821956004E-14</v>
      </c>
      <c r="Q3091" s="9"/>
      <c r="R3091" s="9"/>
      <c r="S3091" s="9"/>
      <c r="T3091" s="9"/>
      <c r="U3091" s="1">
        <f t="shared" si="5174"/>
        <v>71</v>
      </c>
      <c r="V3091" s="1">
        <f t="shared" si="5175"/>
        <v>210</v>
      </c>
    </row>
    <row r="3092" spans="1:22" x14ac:dyDescent="0.3">
      <c r="A3092" s="1">
        <f t="shared" si="5259"/>
        <v>71211</v>
      </c>
      <c r="J3092" s="24" t="str">
        <f t="shared" ref="J3092" si="5302">CONCATENATE(K3089,3)</f>
        <v>33</v>
      </c>
      <c r="K3092" s="6">
        <v>1</v>
      </c>
      <c r="L3092" s="6">
        <v>7.1054273576010019E-15</v>
      </c>
      <c r="Q3092" s="9"/>
      <c r="R3092" s="9"/>
      <c r="S3092" s="9"/>
      <c r="T3092" s="9"/>
      <c r="U3092" s="1">
        <f t="shared" si="5174"/>
        <v>71</v>
      </c>
      <c r="V3092" s="1">
        <f t="shared" si="5175"/>
        <v>211</v>
      </c>
    </row>
    <row r="3093" spans="1:22" x14ac:dyDescent="0.3">
      <c r="A3093" s="1">
        <f t="shared" si="5259"/>
        <v>71212</v>
      </c>
      <c r="B3093" s="82" t="s">
        <v>20</v>
      </c>
      <c r="C3093" s="83"/>
      <c r="D3093" s="83"/>
      <c r="E3093" s="83"/>
      <c r="F3093" s="84"/>
      <c r="G3093" s="85" t="s">
        <v>31</v>
      </c>
      <c r="H3093" s="86"/>
      <c r="K3093" s="1">
        <v>4</v>
      </c>
      <c r="L3093" s="1">
        <v>4</v>
      </c>
      <c r="M3093" s="1">
        <v>4</v>
      </c>
      <c r="Q3093" s="9"/>
      <c r="R3093" s="9"/>
      <c r="S3093" s="9"/>
      <c r="T3093" s="9"/>
      <c r="U3093" s="1">
        <f t="shared" si="5174"/>
        <v>71</v>
      </c>
      <c r="V3093" s="1">
        <f t="shared" si="5175"/>
        <v>212</v>
      </c>
    </row>
    <row r="3094" spans="1:22" x14ac:dyDescent="0.3">
      <c r="A3094" s="1">
        <f t="shared" si="5259"/>
        <v>71213</v>
      </c>
      <c r="B3094" s="82" t="s">
        <v>30</v>
      </c>
      <c r="C3094" s="83"/>
      <c r="D3094" s="84"/>
      <c r="E3094" s="82" t="str">
        <f t="shared" ref="E3094" si="5303">D3087</f>
        <v>E0139/25</v>
      </c>
      <c r="F3094" s="84"/>
      <c r="G3094" s="6" t="s">
        <v>32</v>
      </c>
      <c r="H3094" s="7"/>
      <c r="J3094" s="24" t="str">
        <f t="shared" ref="J3094" si="5304">CONCATENATE(K3093,1)</f>
        <v>41</v>
      </c>
      <c r="K3094" s="6" t="e">
        <f t="array" ref="K3094:M3096">LINEST(B3098:B3101,C3098:C3101^{1,2},TRUE,TRUE)</f>
        <v>#VALUE!</v>
      </c>
      <c r="L3094" s="6" t="e">
        <v>#VALUE!</v>
      </c>
      <c r="M3094" s="6" t="e">
        <v>#VALUE!</v>
      </c>
      <c r="Q3094" s="9"/>
      <c r="R3094" s="9"/>
      <c r="S3094" s="9"/>
      <c r="T3094" s="9"/>
      <c r="U3094" s="1">
        <f t="shared" si="5174"/>
        <v>71</v>
      </c>
      <c r="V3094" s="1">
        <f t="shared" si="5175"/>
        <v>213</v>
      </c>
    </row>
    <row r="3095" spans="1:22" x14ac:dyDescent="0.3">
      <c r="A3095" s="1">
        <f t="shared" si="5259"/>
        <v>71214</v>
      </c>
      <c r="B3095" s="2" t="s">
        <v>21</v>
      </c>
      <c r="C3095" s="2" t="s">
        <v>22</v>
      </c>
      <c r="D3095" s="2" t="s">
        <v>23</v>
      </c>
      <c r="E3095" s="2"/>
      <c r="F3095" s="2" t="s">
        <v>28</v>
      </c>
      <c r="G3095" s="2" t="s">
        <v>21</v>
      </c>
      <c r="H3095" s="2" t="s">
        <v>22</v>
      </c>
      <c r="J3095" s="24" t="str">
        <f t="shared" ref="J3095" si="5305">CONCATENATE(K3093,2)</f>
        <v>42</v>
      </c>
      <c r="K3095" s="6" t="e">
        <v>#VALUE!</v>
      </c>
      <c r="L3095" s="6" t="e">
        <v>#VALUE!</v>
      </c>
      <c r="M3095" s="6" t="e">
        <v>#VALUE!</v>
      </c>
      <c r="Q3095" s="9"/>
      <c r="R3095" s="9"/>
      <c r="S3095" s="9"/>
      <c r="T3095" s="9"/>
      <c r="U3095" s="1">
        <f t="shared" si="5174"/>
        <v>71</v>
      </c>
      <c r="V3095" s="1">
        <f t="shared" si="5175"/>
        <v>214</v>
      </c>
    </row>
    <row r="3096" spans="1:22" x14ac:dyDescent="0.3">
      <c r="A3096" s="1">
        <f t="shared" si="5259"/>
        <v>71215</v>
      </c>
      <c r="B3096" s="2" t="s">
        <v>24</v>
      </c>
      <c r="C3096" s="2" t="s">
        <v>25</v>
      </c>
      <c r="D3096" s="2" t="s">
        <v>26</v>
      </c>
      <c r="E3096" s="2" t="s">
        <v>27</v>
      </c>
      <c r="F3096" s="2" t="s">
        <v>29</v>
      </c>
      <c r="G3096" s="2" t="s">
        <v>24</v>
      </c>
      <c r="H3096" s="2" t="s">
        <v>25</v>
      </c>
      <c r="J3096" s="24" t="str">
        <f t="shared" ref="J3096" si="5306">CONCATENATE(K3093,3)</f>
        <v>43</v>
      </c>
      <c r="K3096" s="6" t="e">
        <v>#VALUE!</v>
      </c>
      <c r="L3096" s="6" t="e">
        <v>#VALUE!</v>
      </c>
      <c r="M3096" s="6" t="e">
        <v>#VALUE!</v>
      </c>
      <c r="Q3096" s="9"/>
      <c r="R3096" s="9"/>
      <c r="S3096" s="9"/>
      <c r="T3096" s="9"/>
      <c r="U3096" s="1">
        <f t="shared" si="5174"/>
        <v>71</v>
      </c>
      <c r="V3096" s="1">
        <f t="shared" si="5175"/>
        <v>215</v>
      </c>
    </row>
    <row r="3097" spans="1:22" x14ac:dyDescent="0.3">
      <c r="A3097" s="1">
        <f t="shared" si="5259"/>
        <v>71216</v>
      </c>
      <c r="B3097" s="3" t="str">
        <f t="shared" ref="B3097" si="5307">H3090</f>
        <v>%ur</v>
      </c>
      <c r="C3097" s="3" t="str">
        <f t="shared" ref="C3097" si="5308">B3097</f>
        <v>%ur</v>
      </c>
      <c r="D3097" s="3" t="str">
        <f t="shared" ref="D3097" si="5309">C3097</f>
        <v>%ur</v>
      </c>
      <c r="E3097" s="3"/>
      <c r="F3097" s="3"/>
      <c r="G3097" s="3" t="str">
        <f t="shared" ref="G3097" si="5310">D3097</f>
        <v>%ur</v>
      </c>
      <c r="H3097" s="3" t="str">
        <f t="shared" ref="H3097" si="5311">G3097</f>
        <v>%ur</v>
      </c>
      <c r="K3097" s="1">
        <v>5</v>
      </c>
      <c r="L3097" s="1">
        <v>5</v>
      </c>
      <c r="M3097" s="1">
        <v>5</v>
      </c>
      <c r="N3097" s="1">
        <v>5</v>
      </c>
      <c r="Q3097" s="9"/>
      <c r="R3097" s="9"/>
      <c r="S3097" s="9"/>
      <c r="T3097" s="9"/>
      <c r="U3097" s="1">
        <f t="shared" si="5174"/>
        <v>71</v>
      </c>
      <c r="V3097" s="1">
        <f t="shared" si="5175"/>
        <v>216</v>
      </c>
    </row>
    <row r="3098" spans="1:22" x14ac:dyDescent="0.3">
      <c r="A3098" s="1">
        <f t="shared" si="5259"/>
        <v>71217</v>
      </c>
      <c r="B3098" s="4">
        <v>30</v>
      </c>
      <c r="C3098" s="4">
        <v>30</v>
      </c>
      <c r="D3098" s="4">
        <v>2</v>
      </c>
      <c r="E3098" s="4">
        <v>2</v>
      </c>
      <c r="F3098" s="14">
        <v>1000000</v>
      </c>
      <c r="G3098" s="8"/>
      <c r="H3098" s="7"/>
      <c r="J3098" s="24" t="str">
        <f t="shared" ref="J3098" si="5312">CONCATENATE(K3097,1)</f>
        <v>51</v>
      </c>
      <c r="K3098" s="6" t="e">
        <f t="array" ref="K3098:N3100">LINEST(B3098:B3102,C3098:C3102^{1,2,3},TRUE,TRUE)</f>
        <v>#VALUE!</v>
      </c>
      <c r="L3098" s="6" t="e">
        <v>#VALUE!</v>
      </c>
      <c r="M3098" s="6" t="e">
        <v>#VALUE!</v>
      </c>
      <c r="N3098" s="6" t="e">
        <v>#VALUE!</v>
      </c>
      <c r="Q3098" s="9"/>
      <c r="R3098" s="9"/>
      <c r="S3098" s="9"/>
      <c r="T3098" s="9"/>
      <c r="U3098" s="1">
        <f t="shared" si="5174"/>
        <v>71</v>
      </c>
      <c r="V3098" s="1">
        <f t="shared" si="5175"/>
        <v>217</v>
      </c>
    </row>
    <row r="3099" spans="1:22" x14ac:dyDescent="0.3">
      <c r="A3099" s="1">
        <f t="shared" si="5259"/>
        <v>71218</v>
      </c>
      <c r="B3099" s="4">
        <v>50</v>
      </c>
      <c r="C3099" s="4">
        <v>50</v>
      </c>
      <c r="D3099" s="4">
        <v>2</v>
      </c>
      <c r="E3099" s="4">
        <v>2</v>
      </c>
      <c r="F3099" s="14">
        <v>1000000</v>
      </c>
      <c r="G3099" s="8"/>
      <c r="H3099" s="7"/>
      <c r="J3099" s="24" t="str">
        <f t="shared" ref="J3099" si="5313">CONCATENATE(K3097,2)</f>
        <v>52</v>
      </c>
      <c r="K3099" s="6" t="e">
        <v>#VALUE!</v>
      </c>
      <c r="L3099" s="6" t="e">
        <v>#VALUE!</v>
      </c>
      <c r="M3099" s="6" t="e">
        <v>#VALUE!</v>
      </c>
      <c r="N3099" s="6" t="e">
        <v>#VALUE!</v>
      </c>
      <c r="T3099" s="9"/>
      <c r="U3099" s="1">
        <f t="shared" ref="U3099:U3162" si="5314">U3098</f>
        <v>71</v>
      </c>
      <c r="V3099" s="1">
        <f t="shared" ref="V3099:V3162" si="5315">V3098+1</f>
        <v>218</v>
      </c>
    </row>
    <row r="3100" spans="1:22" x14ac:dyDescent="0.3">
      <c r="A3100" s="1">
        <f t="shared" si="5259"/>
        <v>71219</v>
      </c>
      <c r="B3100" s="4">
        <v>80</v>
      </c>
      <c r="C3100" s="4">
        <v>80</v>
      </c>
      <c r="D3100" s="4">
        <v>2</v>
      </c>
      <c r="E3100" s="4">
        <v>2</v>
      </c>
      <c r="F3100" s="14">
        <v>1000000</v>
      </c>
      <c r="G3100" s="8"/>
      <c r="H3100" s="7"/>
      <c r="J3100" s="24" t="str">
        <f t="shared" ref="J3100" si="5316">CONCATENATE(K3097,3)</f>
        <v>53</v>
      </c>
      <c r="K3100" s="6" t="e">
        <v>#VALUE!</v>
      </c>
      <c r="L3100" s="6" t="e">
        <v>#VALUE!</v>
      </c>
      <c r="M3100" s="6" t="e">
        <v>#VALUE!</v>
      </c>
      <c r="N3100" s="6" t="e">
        <v>#VALUE!</v>
      </c>
      <c r="T3100" s="9"/>
      <c r="U3100" s="1">
        <f t="shared" si="5314"/>
        <v>71</v>
      </c>
      <c r="V3100" s="1">
        <f t="shared" si="5315"/>
        <v>219</v>
      </c>
    </row>
    <row r="3101" spans="1:22" x14ac:dyDescent="0.3">
      <c r="A3101" s="1">
        <f t="shared" si="5259"/>
        <v>71220</v>
      </c>
      <c r="B3101" s="4"/>
      <c r="C3101" s="4"/>
      <c r="D3101" s="4"/>
      <c r="E3101" s="4"/>
      <c r="F3101" s="14"/>
      <c r="G3101" s="8"/>
      <c r="H3101" s="7"/>
      <c r="K3101" s="1">
        <v>6</v>
      </c>
      <c r="L3101" s="1">
        <v>6</v>
      </c>
      <c r="M3101" s="1">
        <v>6</v>
      </c>
      <c r="N3101" s="1">
        <v>6</v>
      </c>
      <c r="O3101" s="1">
        <v>6</v>
      </c>
      <c r="T3101" s="9"/>
      <c r="U3101" s="1">
        <f t="shared" si="5314"/>
        <v>71</v>
      </c>
      <c r="V3101" s="1">
        <f t="shared" si="5315"/>
        <v>220</v>
      </c>
    </row>
    <row r="3102" spans="1:22" x14ac:dyDescent="0.3">
      <c r="A3102" s="1">
        <f t="shared" si="5259"/>
        <v>71221</v>
      </c>
      <c r="B3102" s="4"/>
      <c r="C3102" s="4"/>
      <c r="D3102" s="4"/>
      <c r="E3102" s="4"/>
      <c r="F3102" s="14"/>
      <c r="G3102" s="8"/>
      <c r="H3102" s="7"/>
      <c r="J3102" s="24" t="str">
        <f t="shared" ref="J3102" si="5317">CONCATENATE(K3101,1)</f>
        <v>61</v>
      </c>
      <c r="K3102" s="6" t="e">
        <f t="array" ref="K3102:O3104">LINEST(B3098:B3103,C3098:C3103^{1,2,3,4},TRUE,TRUE)</f>
        <v>#VALUE!</v>
      </c>
      <c r="L3102" s="6" t="e">
        <v>#VALUE!</v>
      </c>
      <c r="M3102" s="6" t="e">
        <v>#VALUE!</v>
      </c>
      <c r="N3102" s="6" t="e">
        <v>#VALUE!</v>
      </c>
      <c r="O3102" s="6" t="e">
        <v>#VALUE!</v>
      </c>
      <c r="T3102" s="9"/>
      <c r="U3102" s="1">
        <f t="shared" si="5314"/>
        <v>71</v>
      </c>
      <c r="V3102" s="1">
        <f t="shared" si="5315"/>
        <v>221</v>
      </c>
    </row>
    <row r="3103" spans="1:22" x14ac:dyDescent="0.3">
      <c r="A3103" s="1">
        <f t="shared" si="5259"/>
        <v>71222</v>
      </c>
      <c r="B3103" s="4"/>
      <c r="C3103" s="4"/>
      <c r="D3103" s="4"/>
      <c r="E3103" s="4"/>
      <c r="F3103" s="14"/>
      <c r="G3103" s="8"/>
      <c r="H3103" s="7"/>
      <c r="J3103" s="24" t="str">
        <f t="shared" ref="J3103" si="5318">CONCATENATE(K3101,2)</f>
        <v>62</v>
      </c>
      <c r="K3103" s="6" t="e">
        <v>#VALUE!</v>
      </c>
      <c r="L3103" s="6" t="e">
        <v>#VALUE!</v>
      </c>
      <c r="M3103" s="6" t="e">
        <v>#VALUE!</v>
      </c>
      <c r="N3103" s="6" t="e">
        <v>#VALUE!</v>
      </c>
      <c r="O3103" s="6" t="e">
        <v>#VALUE!</v>
      </c>
      <c r="T3103" s="9"/>
      <c r="U3103" s="1">
        <f t="shared" si="5314"/>
        <v>71</v>
      </c>
      <c r="V3103" s="1">
        <f t="shared" si="5315"/>
        <v>222</v>
      </c>
    </row>
    <row r="3104" spans="1:22" x14ac:dyDescent="0.3">
      <c r="A3104" s="1">
        <f t="shared" si="5259"/>
        <v>71223</v>
      </c>
      <c r="B3104" s="4"/>
      <c r="C3104" s="4"/>
      <c r="D3104" s="4"/>
      <c r="E3104" s="4"/>
      <c r="F3104" s="14"/>
      <c r="G3104" s="8"/>
      <c r="H3104" s="7"/>
      <c r="J3104" s="24" t="str">
        <f t="shared" ref="J3104" si="5319">CONCATENATE(K3101,3)</f>
        <v>63</v>
      </c>
      <c r="K3104" s="6" t="e">
        <v>#VALUE!</v>
      </c>
      <c r="L3104" s="6" t="e">
        <v>#VALUE!</v>
      </c>
      <c r="M3104" s="6" t="e">
        <v>#VALUE!</v>
      </c>
      <c r="N3104" s="6" t="e">
        <v>#VALUE!</v>
      </c>
      <c r="O3104" s="6" t="e">
        <v>#VALUE!</v>
      </c>
      <c r="T3104" s="9"/>
      <c r="U3104" s="1">
        <f t="shared" si="5314"/>
        <v>71</v>
      </c>
      <c r="V3104" s="1">
        <f t="shared" si="5315"/>
        <v>223</v>
      </c>
    </row>
    <row r="3105" spans="1:22" x14ac:dyDescent="0.3">
      <c r="A3105" s="1">
        <f t="shared" si="5259"/>
        <v>71224</v>
      </c>
      <c r="B3105" s="4"/>
      <c r="C3105" s="4"/>
      <c r="D3105" s="4"/>
      <c r="E3105" s="4"/>
      <c r="F3105" s="14"/>
      <c r="G3105" s="8"/>
      <c r="H3105" s="7"/>
      <c r="K3105" s="1">
        <v>7</v>
      </c>
      <c r="L3105" s="1">
        <v>7</v>
      </c>
      <c r="M3105" s="1">
        <v>7</v>
      </c>
      <c r="N3105" s="1">
        <v>7</v>
      </c>
      <c r="O3105" s="1">
        <v>7</v>
      </c>
      <c r="P3105" s="1">
        <v>7</v>
      </c>
      <c r="T3105" s="9"/>
      <c r="U3105" s="1">
        <f t="shared" si="5314"/>
        <v>71</v>
      </c>
      <c r="V3105" s="1">
        <f t="shared" si="5315"/>
        <v>224</v>
      </c>
    </row>
    <row r="3106" spans="1:22" x14ac:dyDescent="0.3">
      <c r="A3106" s="1">
        <f t="shared" si="5259"/>
        <v>71225</v>
      </c>
      <c r="B3106" s="4"/>
      <c r="C3106" s="4"/>
      <c r="D3106" s="4"/>
      <c r="E3106" s="4"/>
      <c r="F3106" s="14"/>
      <c r="G3106" s="8"/>
      <c r="H3106" s="7"/>
      <c r="J3106" s="24" t="str">
        <f t="shared" ref="J3106" si="5320">CONCATENATE(K3105,1)</f>
        <v>71</v>
      </c>
      <c r="K3106" s="6" t="e">
        <f t="array" ref="K3106:P3108">LINEST(B3098:B3104,C3098:C3104^{1,2,3,4,5},TRUE,TRUE)</f>
        <v>#VALUE!</v>
      </c>
      <c r="L3106" s="6" t="e">
        <v>#VALUE!</v>
      </c>
      <c r="M3106" s="6" t="e">
        <v>#VALUE!</v>
      </c>
      <c r="N3106" s="6" t="e">
        <v>#VALUE!</v>
      </c>
      <c r="O3106" s="6" t="e">
        <v>#VALUE!</v>
      </c>
      <c r="P3106" s="6" t="e">
        <v>#VALUE!</v>
      </c>
      <c r="T3106" s="9"/>
      <c r="U3106" s="1">
        <f t="shared" si="5314"/>
        <v>71</v>
      </c>
      <c r="V3106" s="1">
        <f t="shared" si="5315"/>
        <v>225</v>
      </c>
    </row>
    <row r="3107" spans="1:22" x14ac:dyDescent="0.3">
      <c r="A3107" s="1">
        <f t="shared" si="5259"/>
        <v>71226</v>
      </c>
      <c r="B3107" s="4"/>
      <c r="C3107" s="4"/>
      <c r="D3107" s="4"/>
      <c r="E3107" s="4"/>
      <c r="F3107" s="14"/>
      <c r="G3107" s="8"/>
      <c r="H3107" s="7"/>
      <c r="J3107" s="24" t="str">
        <f t="shared" ref="J3107" si="5321">CONCATENATE(K3105,2)</f>
        <v>72</v>
      </c>
      <c r="K3107" s="6" t="e">
        <v>#VALUE!</v>
      </c>
      <c r="L3107" s="6" t="e">
        <v>#VALUE!</v>
      </c>
      <c r="M3107" s="6" t="e">
        <v>#VALUE!</v>
      </c>
      <c r="N3107" s="6" t="e">
        <v>#VALUE!</v>
      </c>
      <c r="O3107" s="6" t="e">
        <v>#VALUE!</v>
      </c>
      <c r="P3107" s="6" t="e">
        <v>#VALUE!</v>
      </c>
      <c r="T3107" s="9"/>
      <c r="U3107" s="1">
        <f t="shared" si="5314"/>
        <v>71</v>
      </c>
      <c r="V3107" s="1">
        <f t="shared" si="5315"/>
        <v>226</v>
      </c>
    </row>
    <row r="3108" spans="1:22" x14ac:dyDescent="0.3">
      <c r="A3108" s="1">
        <f t="shared" si="5259"/>
        <v>71227</v>
      </c>
      <c r="B3108" s="9"/>
      <c r="C3108" s="9"/>
      <c r="D3108" s="9"/>
      <c r="E3108" s="9"/>
      <c r="F3108" s="9"/>
      <c r="G3108" s="9"/>
      <c r="H3108" s="9"/>
      <c r="J3108" s="24" t="str">
        <f t="shared" ref="J3108" si="5322">CONCATENATE(K3105,3)</f>
        <v>73</v>
      </c>
      <c r="K3108" s="6" t="e">
        <v>#VALUE!</v>
      </c>
      <c r="L3108" s="6" t="e">
        <v>#VALUE!</v>
      </c>
      <c r="M3108" s="6" t="e">
        <v>#VALUE!</v>
      </c>
      <c r="N3108" s="6" t="e">
        <v>#VALUE!</v>
      </c>
      <c r="O3108" s="6" t="e">
        <v>#VALUE!</v>
      </c>
      <c r="P3108" s="6" t="e">
        <v>#VALUE!</v>
      </c>
      <c r="T3108" s="9"/>
      <c r="U3108" s="1">
        <f t="shared" si="5314"/>
        <v>71</v>
      </c>
      <c r="V3108" s="1">
        <f t="shared" si="5315"/>
        <v>227</v>
      </c>
    </row>
    <row r="3109" spans="1:22" x14ac:dyDescent="0.3">
      <c r="A3109" s="1">
        <f t="shared" si="5259"/>
        <v>71228</v>
      </c>
      <c r="B3109" s="87" t="s">
        <v>33</v>
      </c>
      <c r="C3109" s="88"/>
      <c r="D3109" s="88"/>
      <c r="E3109" s="88"/>
      <c r="F3109" s="88"/>
      <c r="G3109" s="88"/>
      <c r="H3109" s="89"/>
      <c r="K3109" s="1">
        <v>8</v>
      </c>
      <c r="L3109" s="1">
        <v>8</v>
      </c>
      <c r="M3109" s="1">
        <v>8</v>
      </c>
      <c r="N3109" s="1">
        <v>8</v>
      </c>
      <c r="O3109" s="1">
        <v>8</v>
      </c>
      <c r="P3109" s="1">
        <v>8</v>
      </c>
      <c r="Q3109" s="1">
        <v>8</v>
      </c>
      <c r="T3109" s="9"/>
      <c r="U3109" s="1">
        <f t="shared" si="5314"/>
        <v>71</v>
      </c>
      <c r="V3109" s="1">
        <f t="shared" si="5315"/>
        <v>228</v>
      </c>
    </row>
    <row r="3110" spans="1:22" x14ac:dyDescent="0.3">
      <c r="A3110" s="1">
        <f t="shared" si="5259"/>
        <v>71229</v>
      </c>
      <c r="B3110" s="90"/>
      <c r="C3110" s="91"/>
      <c r="D3110" s="91"/>
      <c r="E3110" s="91"/>
      <c r="F3110" s="91"/>
      <c r="G3110" s="91"/>
      <c r="H3110" s="92"/>
      <c r="J3110" s="24" t="str">
        <f t="shared" ref="J3110" si="5323">CONCATENATE(K3109,1)</f>
        <v>81</v>
      </c>
      <c r="K3110" s="6" t="e">
        <f t="array" ref="K3110:Q3112">LINEST(B3098:B3105,C3098:C3105^{1,2,3,4,5,6},TRUE,TRUE)</f>
        <v>#VALUE!</v>
      </c>
      <c r="L3110" s="6" t="e">
        <v>#VALUE!</v>
      </c>
      <c r="M3110" s="6" t="e">
        <v>#VALUE!</v>
      </c>
      <c r="N3110" s="6" t="e">
        <v>#VALUE!</v>
      </c>
      <c r="O3110" s="6" t="e">
        <v>#VALUE!</v>
      </c>
      <c r="P3110" s="6" t="e">
        <v>#VALUE!</v>
      </c>
      <c r="Q3110" s="6" t="e">
        <v>#VALUE!</v>
      </c>
      <c r="T3110" s="9"/>
      <c r="U3110" s="1">
        <f t="shared" si="5314"/>
        <v>71</v>
      </c>
      <c r="V3110" s="1">
        <f t="shared" si="5315"/>
        <v>229</v>
      </c>
    </row>
    <row r="3111" spans="1:22" x14ac:dyDescent="0.3">
      <c r="A3111" s="1">
        <f t="shared" si="5259"/>
        <v>71230</v>
      </c>
      <c r="B3111" s="93"/>
      <c r="C3111" s="94"/>
      <c r="D3111" s="94"/>
      <c r="E3111" s="94"/>
      <c r="F3111" s="94"/>
      <c r="G3111" s="94"/>
      <c r="H3111" s="95"/>
      <c r="J3111" s="24" t="str">
        <f t="shared" ref="J3111" si="5324">CONCATENATE(K3109,2)</f>
        <v>82</v>
      </c>
      <c r="K3111" s="6" t="e">
        <v>#VALUE!</v>
      </c>
      <c r="L3111" s="6" t="e">
        <v>#VALUE!</v>
      </c>
      <c r="M3111" s="6" t="e">
        <v>#VALUE!</v>
      </c>
      <c r="N3111" s="6" t="e">
        <v>#VALUE!</v>
      </c>
      <c r="O3111" s="6" t="e">
        <v>#VALUE!</v>
      </c>
      <c r="P3111" s="6" t="e">
        <v>#VALUE!</v>
      </c>
      <c r="Q3111" s="6" t="e">
        <v>#VALUE!</v>
      </c>
      <c r="T3111" s="9"/>
      <c r="U3111" s="1">
        <f t="shared" si="5314"/>
        <v>71</v>
      </c>
      <c r="V3111" s="1">
        <f t="shared" si="5315"/>
        <v>230</v>
      </c>
    </row>
    <row r="3112" spans="1:22" x14ac:dyDescent="0.3">
      <c r="A3112" s="1">
        <f t="shared" si="5259"/>
        <v>71231</v>
      </c>
      <c r="J3112" s="24" t="str">
        <f t="shared" ref="J3112" si="5325">CONCATENATE(K3109,3)</f>
        <v>83</v>
      </c>
      <c r="K3112" s="6" t="e">
        <v>#VALUE!</v>
      </c>
      <c r="L3112" s="6" t="e">
        <v>#VALUE!</v>
      </c>
      <c r="M3112" s="6" t="e">
        <v>#VALUE!</v>
      </c>
      <c r="N3112" s="6" t="e">
        <v>#VALUE!</v>
      </c>
      <c r="O3112" s="6" t="e">
        <v>#VALUE!</v>
      </c>
      <c r="P3112" s="6" t="e">
        <v>#VALUE!</v>
      </c>
      <c r="Q3112" s="6" t="e">
        <v>#VALUE!</v>
      </c>
      <c r="T3112" s="9"/>
      <c r="U3112" s="1">
        <f t="shared" si="5314"/>
        <v>71</v>
      </c>
      <c r="V3112" s="1">
        <f t="shared" si="5315"/>
        <v>231</v>
      </c>
    </row>
    <row r="3113" spans="1:22" ht="15" customHeight="1" x14ac:dyDescent="0.3">
      <c r="A3113" s="1">
        <f t="shared" si="5259"/>
        <v>71232</v>
      </c>
      <c r="B3113" s="10" t="s">
        <v>34</v>
      </c>
      <c r="C3113" s="10" t="s">
        <v>35</v>
      </c>
      <c r="D3113" s="10" t="s">
        <v>36</v>
      </c>
      <c r="E3113" s="74" t="s">
        <v>37</v>
      </c>
      <c r="F3113" s="75"/>
      <c r="G3113" s="76"/>
      <c r="K3113" s="1">
        <v>9</v>
      </c>
      <c r="L3113" s="1">
        <v>9</v>
      </c>
      <c r="M3113" s="1">
        <v>9</v>
      </c>
      <c r="N3113" s="1">
        <v>9</v>
      </c>
      <c r="O3113" s="1">
        <v>9</v>
      </c>
      <c r="P3113" s="1">
        <v>9</v>
      </c>
      <c r="Q3113" s="1">
        <v>9</v>
      </c>
      <c r="R3113" s="1">
        <v>9</v>
      </c>
      <c r="T3113" s="9"/>
      <c r="U3113" s="1">
        <f t="shared" si="5314"/>
        <v>71</v>
      </c>
      <c r="V3113" s="1">
        <f t="shared" si="5315"/>
        <v>232</v>
      </c>
    </row>
    <row r="3114" spans="1:22" x14ac:dyDescent="0.3">
      <c r="A3114" s="1">
        <f t="shared" si="5259"/>
        <v>71233</v>
      </c>
      <c r="B3114" s="12">
        <f t="shared" ref="B3114:B3123" si="5326">C3098-B3098</f>
        <v>0</v>
      </c>
      <c r="C3114" s="13">
        <f t="shared" ref="C3114:C3123" si="5327">H3098-G3098</f>
        <v>0</v>
      </c>
      <c r="D3114" s="10">
        <f t="shared" ref="D3114:D3123" si="5328">C3114-B3114</f>
        <v>0</v>
      </c>
      <c r="E3114" s="11">
        <f t="shared" ref="E3114" si="5329">IF(D3089="","",MAX(F3114,G3114))</f>
        <v>0</v>
      </c>
      <c r="F3114" s="10">
        <f t="shared" ref="F3114" si="5330">ABS(MIN(D3114:D3123))</f>
        <v>0</v>
      </c>
      <c r="G3114" s="10">
        <f t="shared" ref="G3114" si="5331">ABS(MAX(D3114:D3123))</f>
        <v>0</v>
      </c>
      <c r="J3114" s="24" t="str">
        <f t="shared" ref="J3114" si="5332">CONCATENATE(K3113,1)</f>
        <v>91</v>
      </c>
      <c r="K3114" s="6" t="e">
        <f t="array" ref="K3114:R3116">LINEST(B3098:B3106,C3098:C3106^{1,2,3,4,5,6,7},TRUE,TRUE)</f>
        <v>#VALUE!</v>
      </c>
      <c r="L3114" s="6" t="e">
        <v>#VALUE!</v>
      </c>
      <c r="M3114" s="6" t="e">
        <v>#VALUE!</v>
      </c>
      <c r="N3114" s="6" t="e">
        <v>#VALUE!</v>
      </c>
      <c r="O3114" s="6" t="e">
        <v>#VALUE!</v>
      </c>
      <c r="P3114" s="6" t="e">
        <v>#VALUE!</v>
      </c>
      <c r="Q3114" s="6" t="e">
        <v>#VALUE!</v>
      </c>
      <c r="R3114" s="6" t="e">
        <v>#VALUE!</v>
      </c>
      <c r="T3114" s="9"/>
      <c r="U3114" s="1">
        <f t="shared" si="5314"/>
        <v>71</v>
      </c>
      <c r="V3114" s="1">
        <f t="shared" si="5315"/>
        <v>233</v>
      </c>
    </row>
    <row r="3115" spans="1:22" x14ac:dyDescent="0.3">
      <c r="A3115" s="1">
        <f t="shared" si="5259"/>
        <v>71234</v>
      </c>
      <c r="B3115" s="12">
        <f t="shared" si="5326"/>
        <v>0</v>
      </c>
      <c r="C3115" s="13">
        <f t="shared" si="5327"/>
        <v>0</v>
      </c>
      <c r="D3115" s="10">
        <f t="shared" si="5328"/>
        <v>0</v>
      </c>
      <c r="E3115" s="74" t="s">
        <v>38</v>
      </c>
      <c r="F3115" s="75"/>
      <c r="G3115" s="76"/>
      <c r="J3115" s="24" t="str">
        <f t="shared" ref="J3115" si="5333">CONCATENATE(K3113,2)</f>
        <v>92</v>
      </c>
      <c r="K3115" s="6" t="e">
        <v>#VALUE!</v>
      </c>
      <c r="L3115" s="6" t="e">
        <v>#VALUE!</v>
      </c>
      <c r="M3115" s="6" t="e">
        <v>#VALUE!</v>
      </c>
      <c r="N3115" s="6" t="e">
        <v>#VALUE!</v>
      </c>
      <c r="O3115" s="6" t="e">
        <v>#VALUE!</v>
      </c>
      <c r="P3115" s="6" t="e">
        <v>#VALUE!</v>
      </c>
      <c r="Q3115" s="6" t="e">
        <v>#VALUE!</v>
      </c>
      <c r="R3115" s="6" t="e">
        <v>#VALUE!</v>
      </c>
      <c r="T3115" s="9"/>
      <c r="U3115" s="1">
        <f t="shared" si="5314"/>
        <v>71</v>
      </c>
      <c r="V3115" s="1">
        <f t="shared" si="5315"/>
        <v>234</v>
      </c>
    </row>
    <row r="3116" spans="1:22" x14ac:dyDescent="0.3">
      <c r="A3116" s="1">
        <f t="shared" si="5259"/>
        <v>71235</v>
      </c>
      <c r="B3116" s="12">
        <f t="shared" si="5326"/>
        <v>0</v>
      </c>
      <c r="C3116" s="13">
        <f t="shared" si="5327"/>
        <v>0</v>
      </c>
      <c r="D3116" s="10">
        <f t="shared" si="5328"/>
        <v>0</v>
      </c>
      <c r="E3116" s="11">
        <f t="shared" ref="E3116" si="5334">IF(D3089="","",MAX(F3116,G3116))</f>
        <v>0</v>
      </c>
      <c r="F3116" s="10">
        <f t="shared" ref="F3116" si="5335">ABS(MIN(B3114:B3123))</f>
        <v>0</v>
      </c>
      <c r="G3116" s="10">
        <f t="shared" ref="G3116" si="5336">ABS(MAX(B3114:B3123))</f>
        <v>0</v>
      </c>
      <c r="J3116" s="24" t="str">
        <f t="shared" ref="J3116" si="5337">CONCATENATE(K3113,3)</f>
        <v>93</v>
      </c>
      <c r="K3116" s="6" t="e">
        <v>#VALUE!</v>
      </c>
      <c r="L3116" s="6" t="e">
        <v>#VALUE!</v>
      </c>
      <c r="M3116" s="6" t="e">
        <v>#VALUE!</v>
      </c>
      <c r="N3116" s="6" t="e">
        <v>#VALUE!</v>
      </c>
      <c r="O3116" s="6" t="e">
        <v>#VALUE!</v>
      </c>
      <c r="P3116" s="6" t="e">
        <v>#VALUE!</v>
      </c>
      <c r="Q3116" s="6" t="e">
        <v>#VALUE!</v>
      </c>
      <c r="R3116" s="6" t="e">
        <v>#VALUE!</v>
      </c>
      <c r="T3116" s="9"/>
      <c r="U3116" s="1">
        <f t="shared" si="5314"/>
        <v>71</v>
      </c>
      <c r="V3116" s="1">
        <f t="shared" si="5315"/>
        <v>235</v>
      </c>
    </row>
    <row r="3117" spans="1:22" x14ac:dyDescent="0.3">
      <c r="A3117" s="1">
        <f t="shared" si="5259"/>
        <v>71236</v>
      </c>
      <c r="B3117" s="12">
        <f t="shared" si="5326"/>
        <v>0</v>
      </c>
      <c r="C3117" s="13">
        <f t="shared" si="5327"/>
        <v>0</v>
      </c>
      <c r="D3117" s="10">
        <f t="shared" si="5328"/>
        <v>0</v>
      </c>
      <c r="E3117" s="74" t="s">
        <v>39</v>
      </c>
      <c r="F3117" s="75"/>
      <c r="G3117" s="76"/>
      <c r="K3117" s="1">
        <v>10</v>
      </c>
      <c r="L3117" s="1">
        <v>10</v>
      </c>
      <c r="M3117" s="1">
        <v>10</v>
      </c>
      <c r="N3117" s="1">
        <v>10</v>
      </c>
      <c r="O3117" s="1">
        <v>10</v>
      </c>
      <c r="P3117" s="1">
        <v>10</v>
      </c>
      <c r="Q3117" s="1">
        <v>10</v>
      </c>
      <c r="R3117" s="1">
        <v>10</v>
      </c>
      <c r="S3117" s="1">
        <v>10</v>
      </c>
      <c r="T3117" s="9"/>
      <c r="U3117" s="1">
        <f t="shared" si="5314"/>
        <v>71</v>
      </c>
      <c r="V3117" s="1">
        <f t="shared" si="5315"/>
        <v>236</v>
      </c>
    </row>
    <row r="3118" spans="1:22" x14ac:dyDescent="0.3">
      <c r="A3118" s="1">
        <f t="shared" si="5259"/>
        <v>71237</v>
      </c>
      <c r="B3118" s="12">
        <f t="shared" si="5326"/>
        <v>0</v>
      </c>
      <c r="C3118" s="13">
        <f t="shared" si="5327"/>
        <v>0</v>
      </c>
      <c r="D3118" s="10">
        <f t="shared" si="5328"/>
        <v>0</v>
      </c>
      <c r="E3118" s="11">
        <f t="shared" ref="E3118" si="5338">IF(D3089="","",MAX(F3118,G3118))</f>
        <v>2</v>
      </c>
      <c r="F3118" s="10">
        <f t="shared" ref="F3118" si="5339">ABS(MIN(D3098:D3107))</f>
        <v>2</v>
      </c>
      <c r="G3118" s="10">
        <f t="shared" ref="G3118" si="5340">ABS(MAX(D3098:D3107))</f>
        <v>2</v>
      </c>
      <c r="J3118" s="24" t="str">
        <f t="shared" ref="J3118" si="5341">CONCATENATE(K3117,1)</f>
        <v>101</v>
      </c>
      <c r="K3118" s="6" t="e">
        <f t="array" ref="K3118:S3120">LINEST(B3098:B3107,C3098:C3107^{1,2,3,4,5,6,7,8},TRUE,TRUE)</f>
        <v>#VALUE!</v>
      </c>
      <c r="L3118" s="6" t="e">
        <v>#VALUE!</v>
      </c>
      <c r="M3118" s="6" t="e">
        <v>#VALUE!</v>
      </c>
      <c r="N3118" s="6" t="e">
        <v>#VALUE!</v>
      </c>
      <c r="O3118" s="6" t="e">
        <v>#VALUE!</v>
      </c>
      <c r="P3118" s="6" t="e">
        <v>#VALUE!</v>
      </c>
      <c r="Q3118" s="6" t="e">
        <v>#VALUE!</v>
      </c>
      <c r="R3118" s="6" t="e">
        <v>#VALUE!</v>
      </c>
      <c r="S3118" s="6" t="e">
        <v>#VALUE!</v>
      </c>
      <c r="T3118" s="9"/>
      <c r="U3118" s="1">
        <f t="shared" si="5314"/>
        <v>71</v>
      </c>
      <c r="V3118" s="1">
        <f t="shared" si="5315"/>
        <v>237</v>
      </c>
    </row>
    <row r="3119" spans="1:22" x14ac:dyDescent="0.3">
      <c r="A3119" s="1">
        <f t="shared" si="5259"/>
        <v>71238</v>
      </c>
      <c r="B3119" s="12">
        <f t="shared" si="5326"/>
        <v>0</v>
      </c>
      <c r="C3119" s="13">
        <f t="shared" si="5327"/>
        <v>0</v>
      </c>
      <c r="D3119" s="10">
        <f t="shared" si="5328"/>
        <v>0</v>
      </c>
      <c r="J3119" s="24" t="str">
        <f t="shared" ref="J3119" si="5342">CONCATENATE(K3117,2)</f>
        <v>102</v>
      </c>
      <c r="K3119" s="6" t="e">
        <v>#VALUE!</v>
      </c>
      <c r="L3119" s="6" t="e">
        <v>#VALUE!</v>
      </c>
      <c r="M3119" s="6" t="e">
        <v>#VALUE!</v>
      </c>
      <c r="N3119" s="6" t="e">
        <v>#VALUE!</v>
      </c>
      <c r="O3119" s="6" t="e">
        <v>#VALUE!</v>
      </c>
      <c r="P3119" s="6" t="e">
        <v>#VALUE!</v>
      </c>
      <c r="Q3119" s="6" t="e">
        <v>#VALUE!</v>
      </c>
      <c r="R3119" s="6" t="e">
        <v>#VALUE!</v>
      </c>
      <c r="S3119" s="6" t="e">
        <v>#VALUE!</v>
      </c>
      <c r="T3119" s="9"/>
      <c r="U3119" s="1">
        <f t="shared" si="5314"/>
        <v>71</v>
      </c>
      <c r="V3119" s="1">
        <f t="shared" si="5315"/>
        <v>238</v>
      </c>
    </row>
    <row r="3120" spans="1:22" x14ac:dyDescent="0.3">
      <c r="A3120" s="1">
        <f t="shared" si="5259"/>
        <v>71239</v>
      </c>
      <c r="B3120" s="12">
        <f t="shared" si="5326"/>
        <v>0</v>
      </c>
      <c r="C3120" s="13">
        <f t="shared" si="5327"/>
        <v>0</v>
      </c>
      <c r="D3120" s="10">
        <f t="shared" si="5328"/>
        <v>0</v>
      </c>
      <c r="J3120" s="24" t="str">
        <f t="shared" ref="J3120" si="5343">CONCATENATE(K3117,3)</f>
        <v>103</v>
      </c>
      <c r="K3120" s="6" t="e">
        <v>#VALUE!</v>
      </c>
      <c r="L3120" s="6" t="e">
        <v>#VALUE!</v>
      </c>
      <c r="M3120" s="6" t="e">
        <v>#VALUE!</v>
      </c>
      <c r="N3120" s="6" t="e">
        <v>#VALUE!</v>
      </c>
      <c r="O3120" s="6" t="e">
        <v>#VALUE!</v>
      </c>
      <c r="P3120" s="6" t="e">
        <v>#VALUE!</v>
      </c>
      <c r="Q3120" s="6" t="e">
        <v>#VALUE!</v>
      </c>
      <c r="R3120" s="6" t="e">
        <v>#VALUE!</v>
      </c>
      <c r="S3120" s="6" t="e">
        <v>#VALUE!</v>
      </c>
      <c r="T3120" s="9"/>
      <c r="U3120" s="1">
        <f t="shared" si="5314"/>
        <v>71</v>
      </c>
      <c r="V3120" s="1">
        <f t="shared" si="5315"/>
        <v>239</v>
      </c>
    </row>
    <row r="3121" spans="1:22" x14ac:dyDescent="0.3">
      <c r="A3121" s="1">
        <f t="shared" si="5259"/>
        <v>71240</v>
      </c>
      <c r="B3121" s="12">
        <f t="shared" si="5326"/>
        <v>0</v>
      </c>
      <c r="C3121" s="13">
        <f t="shared" si="5327"/>
        <v>0</v>
      </c>
      <c r="D3121" s="10">
        <f t="shared" si="5328"/>
        <v>0</v>
      </c>
      <c r="J3121" s="9"/>
      <c r="K3121" s="9"/>
      <c r="L3121" s="9"/>
      <c r="M3121" s="9"/>
      <c r="N3121" s="9"/>
      <c r="O3121" s="9"/>
      <c r="P3121" s="9"/>
      <c r="Q3121" s="9"/>
      <c r="R3121" s="9"/>
      <c r="S3121" s="9"/>
      <c r="T3121" s="9"/>
      <c r="U3121" s="1">
        <f t="shared" si="5314"/>
        <v>71</v>
      </c>
      <c r="V3121" s="1">
        <f t="shared" si="5315"/>
        <v>240</v>
      </c>
    </row>
    <row r="3122" spans="1:22" x14ac:dyDescent="0.3">
      <c r="A3122" s="1">
        <f t="shared" si="5259"/>
        <v>71241</v>
      </c>
      <c r="B3122" s="12">
        <f t="shared" si="5326"/>
        <v>0</v>
      </c>
      <c r="C3122" s="13">
        <f t="shared" si="5327"/>
        <v>0</v>
      </c>
      <c r="D3122" s="10">
        <f t="shared" si="5328"/>
        <v>0</v>
      </c>
      <c r="J3122" s="9"/>
      <c r="K3122" s="9"/>
      <c r="L3122" s="9"/>
      <c r="M3122" s="9"/>
      <c r="N3122" s="9"/>
      <c r="O3122" s="9"/>
      <c r="P3122" s="9"/>
      <c r="Q3122" s="9"/>
      <c r="R3122" s="9"/>
      <c r="S3122" s="9"/>
      <c r="T3122" s="9"/>
      <c r="U3122" s="1">
        <f t="shared" si="5314"/>
        <v>71</v>
      </c>
      <c r="V3122" s="1">
        <f t="shared" si="5315"/>
        <v>241</v>
      </c>
    </row>
    <row r="3123" spans="1:22" x14ac:dyDescent="0.3">
      <c r="A3123" s="1">
        <f t="shared" si="5259"/>
        <v>71242</v>
      </c>
      <c r="B3123" s="12">
        <f t="shared" si="5326"/>
        <v>0</v>
      </c>
      <c r="C3123" s="13">
        <f t="shared" si="5327"/>
        <v>0</v>
      </c>
      <c r="D3123" s="10">
        <f t="shared" si="5328"/>
        <v>0</v>
      </c>
      <c r="J3123" s="9"/>
      <c r="K3123" s="9"/>
      <c r="L3123" s="9"/>
      <c r="M3123" s="9"/>
      <c r="N3123" s="9"/>
      <c r="O3123" s="9"/>
      <c r="P3123" s="9"/>
      <c r="Q3123" s="9"/>
      <c r="R3123" s="9"/>
      <c r="S3123" s="9"/>
      <c r="T3123" s="9"/>
      <c r="U3123" s="1">
        <f t="shared" si="5314"/>
        <v>71</v>
      </c>
      <c r="V3123" s="1">
        <f t="shared" si="5315"/>
        <v>242</v>
      </c>
    </row>
    <row r="3124" spans="1:22" x14ac:dyDescent="0.3">
      <c r="A3124" s="1">
        <f t="shared" si="5259"/>
        <v>71243</v>
      </c>
      <c r="J3124" s="9"/>
      <c r="K3124" s="9"/>
      <c r="L3124" s="9"/>
      <c r="M3124" s="9"/>
      <c r="N3124" s="9"/>
      <c r="O3124" s="9"/>
      <c r="P3124" s="9"/>
      <c r="Q3124" s="9"/>
      <c r="R3124" s="9"/>
      <c r="S3124" s="9"/>
      <c r="T3124" s="9"/>
      <c r="U3124" s="1">
        <f t="shared" si="5314"/>
        <v>71</v>
      </c>
      <c r="V3124" s="1">
        <f t="shared" si="5315"/>
        <v>243</v>
      </c>
    </row>
    <row r="3125" spans="1:22" s="5" customFormat="1" x14ac:dyDescent="0.3"/>
    <row r="3126" spans="1:22" x14ac:dyDescent="0.3">
      <c r="A3126" s="1">
        <f t="shared" ref="A3126:A3168" si="5344">ROUND(CONCATENATE(U3126,V3126),0)</f>
        <v>72201</v>
      </c>
      <c r="B3126" s="96" t="s">
        <v>0</v>
      </c>
      <c r="C3126" s="97"/>
      <c r="D3126" s="110" t="s">
        <v>46</v>
      </c>
      <c r="E3126" s="111"/>
      <c r="F3126" s="111"/>
      <c r="G3126" s="111"/>
      <c r="H3126" s="112"/>
      <c r="J3126" s="9"/>
      <c r="K3126" s="9"/>
      <c r="L3126" s="9"/>
      <c r="M3126" s="9"/>
      <c r="N3126" s="9"/>
      <c r="O3126" s="9"/>
      <c r="P3126" s="9"/>
      <c r="Q3126" s="9"/>
      <c r="R3126" s="9"/>
      <c r="S3126" s="9"/>
      <c r="T3126" s="9"/>
      <c r="U3126" s="1">
        <f t="shared" ref="U3126" si="5345">U3124+1</f>
        <v>72</v>
      </c>
      <c r="V3126" s="1">
        <v>201</v>
      </c>
    </row>
    <row r="3127" spans="1:22" x14ac:dyDescent="0.3">
      <c r="A3127" s="1">
        <f t="shared" si="5344"/>
        <v>72202</v>
      </c>
      <c r="B3127" s="96" t="s">
        <v>1</v>
      </c>
      <c r="C3127" s="97"/>
      <c r="D3127" s="15">
        <v>20</v>
      </c>
      <c r="E3127" s="16" t="s">
        <v>2</v>
      </c>
      <c r="F3127" s="107"/>
      <c r="G3127" s="108"/>
      <c r="H3127" s="109"/>
      <c r="J3127" s="9"/>
      <c r="K3127" s="9"/>
      <c r="L3127" s="9"/>
      <c r="M3127" s="9"/>
      <c r="N3127" s="9"/>
      <c r="O3127" s="9"/>
      <c r="P3127" s="9"/>
      <c r="Q3127" s="9"/>
      <c r="R3127" s="9"/>
      <c r="S3127" s="9"/>
      <c r="T3127" s="9"/>
      <c r="U3127" s="1">
        <f t="shared" ref="U3127" si="5346">U3126</f>
        <v>72</v>
      </c>
      <c r="V3127" s="1">
        <f t="shared" ref="V3127" si="5347">V3126+1</f>
        <v>202</v>
      </c>
    </row>
    <row r="3128" spans="1:22" x14ac:dyDescent="0.3">
      <c r="A3128" s="1">
        <f t="shared" si="5344"/>
        <v>72203</v>
      </c>
      <c r="B3128" s="96" t="s">
        <v>12</v>
      </c>
      <c r="C3128" s="97"/>
      <c r="D3128" s="110" t="s">
        <v>272</v>
      </c>
      <c r="E3128" s="111"/>
      <c r="F3128" s="111"/>
      <c r="G3128" s="111"/>
      <c r="H3128" s="112"/>
      <c r="K3128" s="1" t="s">
        <v>3</v>
      </c>
      <c r="L3128" s="1" t="s">
        <v>4</v>
      </c>
      <c r="M3128" s="1" t="s">
        <v>5</v>
      </c>
      <c r="N3128" s="1" t="s">
        <v>6</v>
      </c>
      <c r="O3128" s="1" t="s">
        <v>7</v>
      </c>
      <c r="P3128" s="1" t="s">
        <v>8</v>
      </c>
      <c r="Q3128" s="1" t="s">
        <v>9</v>
      </c>
      <c r="R3128" s="1" t="s">
        <v>10</v>
      </c>
      <c r="S3128" s="1" t="s">
        <v>11</v>
      </c>
      <c r="T3128" s="9"/>
      <c r="U3128" s="1">
        <f t="shared" si="5314"/>
        <v>72</v>
      </c>
      <c r="V3128" s="1">
        <f t="shared" si="5315"/>
        <v>203</v>
      </c>
    </row>
    <row r="3129" spans="1:22" x14ac:dyDescent="0.3">
      <c r="A3129" s="1">
        <f t="shared" si="5344"/>
        <v>72204</v>
      </c>
      <c r="B3129" s="96" t="s">
        <v>13</v>
      </c>
      <c r="C3129" s="97"/>
      <c r="D3129" s="110" t="s">
        <v>65</v>
      </c>
      <c r="E3129" s="111"/>
      <c r="F3129" s="111"/>
      <c r="G3129" s="111"/>
      <c r="H3129" s="112"/>
      <c r="J3129" s="1">
        <f t="shared" ref="J3129" si="5348">COUNTA(B3142:B3151)</f>
        <v>3</v>
      </c>
      <c r="K3129" s="1">
        <f t="shared" ref="K3129" si="5349">IF(L3129-1&lt;2,0,L3129-1)</f>
        <v>0</v>
      </c>
      <c r="L3129" s="1">
        <f t="shared" ref="L3129" si="5350">IF(M3129-1&lt;2,0,M3129-1)</f>
        <v>0</v>
      </c>
      <c r="M3129" s="1">
        <f t="shared" ref="M3129" si="5351">IF(N3129-1&lt;2,0,N3129-1)</f>
        <v>0</v>
      </c>
      <c r="N3129" s="1">
        <f t="shared" ref="N3129" si="5352">IF(O3129-1&lt;2,0,O3129-1)</f>
        <v>0</v>
      </c>
      <c r="O3129" s="1">
        <f t="shared" ref="O3129" si="5353">IF(P3129-1&lt;2,0,P3129-1)</f>
        <v>0</v>
      </c>
      <c r="P3129" s="1">
        <f t="shared" ref="P3129" si="5354">IF(Q3129-1&lt;2,0,Q3129-1)</f>
        <v>0</v>
      </c>
      <c r="Q3129" s="1">
        <f t="shared" ref="Q3129" si="5355">IF(R3129-1&lt;2,0,R3129-1)</f>
        <v>0</v>
      </c>
      <c r="R3129" s="1">
        <f t="shared" ref="R3129" si="5356">IF(S3129-1&lt;2,0,S3129-1)</f>
        <v>2</v>
      </c>
      <c r="S3129" s="1">
        <f t="shared" ref="S3129" si="5357">J3129</f>
        <v>3</v>
      </c>
      <c r="T3129" s="9"/>
      <c r="U3129" s="1">
        <f t="shared" si="5314"/>
        <v>72</v>
      </c>
      <c r="V3129" s="1">
        <f t="shared" si="5315"/>
        <v>204</v>
      </c>
    </row>
    <row r="3130" spans="1:22" x14ac:dyDescent="0.3">
      <c r="A3130" s="1">
        <f t="shared" si="5344"/>
        <v>72205</v>
      </c>
      <c r="B3130" s="96" t="s">
        <v>14</v>
      </c>
      <c r="C3130" s="97"/>
      <c r="D3130" s="110" t="s">
        <v>66</v>
      </c>
      <c r="E3130" s="111"/>
      <c r="F3130" s="111"/>
      <c r="G3130" s="111"/>
      <c r="H3130" s="112"/>
      <c r="J3130" s="24" t="str">
        <f t="shared" ref="J3130" si="5358">CONCATENATE(J3129,1)</f>
        <v>31</v>
      </c>
      <c r="K3130" s="25">
        <f t="shared" ref="K3130" si="5359">IF(K3129=0,0,VLOOKUP(J3130,J3134:S3164,K3129,FALSE))</f>
        <v>0</v>
      </c>
      <c r="L3130" s="25">
        <f t="shared" ref="L3130" si="5360">IF(L3129=0,0,VLOOKUP(J3130,J3134:S3164,L3129,FALSE))</f>
        <v>0</v>
      </c>
      <c r="M3130" s="25">
        <f t="shared" ref="M3130" si="5361">IF(M3129=0,0,VLOOKUP(J3130,J3134:S3164,M3129,FALSE))</f>
        <v>0</v>
      </c>
      <c r="N3130" s="25">
        <f t="shared" ref="N3130" si="5362">IF(N3129=0,0,VLOOKUP(J3130,J3134:S3164,N3129,FALSE))</f>
        <v>0</v>
      </c>
      <c r="O3130" s="25">
        <f t="shared" ref="O3130" si="5363">IF(O3129=0,0,VLOOKUP(J3130,J3134:S3164,O3129,FALSE))</f>
        <v>0</v>
      </c>
      <c r="P3130" s="25">
        <f t="shared" ref="P3130" si="5364">IF(P3129=0,0,VLOOKUP(J3130,J3134:S3164,P3129,FALSE))</f>
        <v>0</v>
      </c>
      <c r="Q3130" s="25">
        <f t="shared" ref="Q3130" si="5365">IF(Q3129=0,0,VLOOKUP(J3130,J3134:S3164,Q3129,FALSE))</f>
        <v>0</v>
      </c>
      <c r="R3130" s="25">
        <f t="shared" ref="R3130" si="5366">IF(R3129=0,0,VLOOKUP(J3130,J3134:S3164,R3129,FALSE))</f>
        <v>0.91087811271297481</v>
      </c>
      <c r="S3130" s="25">
        <f t="shared" ref="S3130" si="5367">IF(S3129=0,0,VLOOKUP(J3130,J3134:S3164,S3129,FALSE))</f>
        <v>4.1459152468326934</v>
      </c>
      <c r="T3130" s="9"/>
      <c r="U3130" s="1">
        <f t="shared" si="5314"/>
        <v>72</v>
      </c>
      <c r="V3130" s="1">
        <f t="shared" si="5315"/>
        <v>205</v>
      </c>
    </row>
    <row r="3131" spans="1:22" x14ac:dyDescent="0.3">
      <c r="A3131" s="1">
        <f t="shared" si="5344"/>
        <v>72206</v>
      </c>
      <c r="B3131" s="96" t="s">
        <v>15</v>
      </c>
      <c r="C3131" s="97"/>
      <c r="D3131" s="110" t="s">
        <v>273</v>
      </c>
      <c r="E3131" s="111"/>
      <c r="F3131" s="111"/>
      <c r="G3131" s="111"/>
      <c r="H3131" s="112"/>
      <c r="J3131" s="24" t="str">
        <f t="shared" ref="J3131" si="5368">CONCATENATE(J3129,2)</f>
        <v>32</v>
      </c>
      <c r="K3131" s="6">
        <f t="shared" ref="K3131" si="5369">IF(K3129=0,0,VLOOKUP(J3131,J3134:S3164,K3129,FALSE))</f>
        <v>0</v>
      </c>
      <c r="L3131" s="6">
        <f t="shared" ref="L3131" si="5370">IF(L3129=0,0,VLOOKUP(J3131,J3134:S3164,L3129,FALSE))</f>
        <v>0</v>
      </c>
      <c r="M3131" s="6">
        <f t="shared" ref="M3131" si="5371">IF(M3129=0,0,VLOOKUP(J3131,J3134:S3164,M3129,FALSE))</f>
        <v>0</v>
      </c>
      <c r="N3131" s="6">
        <f t="shared" ref="N3131" si="5372">IF(N3129=0,0,VLOOKUP(J3131,J3134:S3164,N3129,FALSE))</f>
        <v>0</v>
      </c>
      <c r="O3131" s="6">
        <f t="shared" ref="O3131" si="5373">IF(O3129=0,0,VLOOKUP(J3131,J3134:S3164,O3129,FALSE))</f>
        <v>0</v>
      </c>
      <c r="P3131" s="6">
        <f t="shared" ref="P3131" si="5374">IF(P3129=0,0,VLOOKUP(J3131,J3134:S3164,P3129,FALSE))</f>
        <v>0</v>
      </c>
      <c r="Q3131" s="6">
        <f t="shared" ref="Q3131" si="5375">IF(Q3129=0,0,VLOOKUP(J3131,J3134:S3164,Q3129,FALSE))</f>
        <v>0</v>
      </c>
      <c r="R3131" s="6">
        <f t="shared" ref="R3131" si="5376">IF(R3129=0,0,VLOOKUP(J3131,J3134:S3164,R3129,FALSE))</f>
        <v>1.8917112358769146E-2</v>
      </c>
      <c r="S3131" s="6">
        <f t="shared" ref="S3131" si="5377">IF(S3129=0,0,VLOOKUP(J3131,J3134:S3164,S3129,FALSE))</f>
        <v>1.1070417421069243</v>
      </c>
      <c r="T3131" s="9"/>
      <c r="U3131" s="1">
        <f t="shared" si="5314"/>
        <v>72</v>
      </c>
      <c r="V3131" s="1">
        <f t="shared" si="5315"/>
        <v>206</v>
      </c>
    </row>
    <row r="3132" spans="1:22" x14ac:dyDescent="0.3">
      <c r="A3132" s="1">
        <f t="shared" si="5344"/>
        <v>72207</v>
      </c>
      <c r="B3132" s="96" t="s">
        <v>16</v>
      </c>
      <c r="C3132" s="97"/>
      <c r="D3132" s="113">
        <v>45733</v>
      </c>
      <c r="E3132" s="114"/>
      <c r="F3132" s="114"/>
      <c r="G3132" s="114"/>
      <c r="H3132" s="115"/>
      <c r="J3132" s="24" t="str">
        <f t="shared" ref="J3132" si="5378">CONCATENATE(J3129,3)</f>
        <v>33</v>
      </c>
      <c r="K3132" s="6"/>
      <c r="L3132" s="6"/>
      <c r="M3132" s="6"/>
      <c r="N3132" s="6" t="s">
        <v>43</v>
      </c>
      <c r="O3132" s="25">
        <f t="shared" ref="O3132" si="5379">J3129-2</f>
        <v>1</v>
      </c>
      <c r="P3132" s="6" t="s">
        <v>44</v>
      </c>
      <c r="Q3132" s="25">
        <f t="shared" ref="Q3132" si="5380">VLOOKUP(J3132,J3134:S3164,3,FALSE)</f>
        <v>0.73897902245685998</v>
      </c>
      <c r="R3132" s="6" t="s">
        <v>45</v>
      </c>
      <c r="S3132" s="6">
        <f t="shared" ref="S3132" si="5381">VLOOKUP(J3132,J3134:S3164,2,FALSE)</f>
        <v>0.99956887631923841</v>
      </c>
      <c r="T3132" s="9"/>
      <c r="U3132" s="1">
        <f t="shared" si="5314"/>
        <v>72</v>
      </c>
      <c r="V3132" s="1">
        <f t="shared" si="5315"/>
        <v>207</v>
      </c>
    </row>
    <row r="3133" spans="1:22" x14ac:dyDescent="0.3">
      <c r="A3133" s="1">
        <f t="shared" si="5344"/>
        <v>72208</v>
      </c>
      <c r="B3133" s="96" t="s">
        <v>17</v>
      </c>
      <c r="C3133" s="97"/>
      <c r="D3133" s="116">
        <v>46111</v>
      </c>
      <c r="E3133" s="117"/>
      <c r="F3133" s="117"/>
      <c r="G3133" s="117"/>
      <c r="H3133" s="118"/>
      <c r="K3133" s="1">
        <v>3</v>
      </c>
      <c r="L3133" s="1">
        <v>3</v>
      </c>
      <c r="Q3133" s="26"/>
      <c r="R3133" s="26"/>
      <c r="S3133" s="26"/>
      <c r="T3133" s="9"/>
      <c r="U3133" s="1">
        <f t="shared" si="5314"/>
        <v>72</v>
      </c>
      <c r="V3133" s="1">
        <f t="shared" si="5315"/>
        <v>208</v>
      </c>
    </row>
    <row r="3134" spans="1:22" x14ac:dyDescent="0.3">
      <c r="A3134" s="1">
        <f t="shared" si="5344"/>
        <v>72209</v>
      </c>
      <c r="B3134" s="77" t="s">
        <v>19</v>
      </c>
      <c r="C3134" s="78"/>
      <c r="D3134" s="17">
        <v>1</v>
      </c>
      <c r="E3134" s="79" t="s">
        <v>40</v>
      </c>
      <c r="F3134" s="80"/>
      <c r="G3134" s="81"/>
      <c r="H3134" s="18" t="s">
        <v>72</v>
      </c>
      <c r="J3134" s="24" t="str">
        <f t="shared" ref="J3134" si="5382">CONCATENATE(K3133,1)</f>
        <v>31</v>
      </c>
      <c r="K3134" s="6">
        <f t="array" ref="K3134:L3136">LINEST(B3142:B3144,C3142:C3144^{1},TRUE,TRUE)</f>
        <v>0.91087811271297481</v>
      </c>
      <c r="L3134" s="6">
        <v>4.1459152468326934</v>
      </c>
      <c r="Q3134" s="9"/>
      <c r="R3134" s="9"/>
      <c r="S3134" s="9"/>
      <c r="T3134" s="9"/>
      <c r="U3134" s="1">
        <f t="shared" si="5314"/>
        <v>72</v>
      </c>
      <c r="V3134" s="1">
        <f t="shared" si="5315"/>
        <v>209</v>
      </c>
    </row>
    <row r="3135" spans="1:22" x14ac:dyDescent="0.3">
      <c r="A3135" s="1">
        <f t="shared" si="5344"/>
        <v>72210</v>
      </c>
      <c r="B3135" s="77" t="s">
        <v>41</v>
      </c>
      <c r="C3135" s="78"/>
      <c r="D3135" s="23">
        <f t="shared" ref="D3135" si="5383">MIN(B3142:B3151)</f>
        <v>30</v>
      </c>
      <c r="E3135" s="20" t="s">
        <v>18</v>
      </c>
      <c r="F3135" s="19">
        <f t="shared" ref="F3135" si="5384">MAX(B3142:B3151)</f>
        <v>80</v>
      </c>
      <c r="G3135" s="21" t="str">
        <f t="shared" ref="G3135" si="5385">IF(H3134="","",H3134)</f>
        <v>%ur</v>
      </c>
      <c r="H3135" s="22"/>
      <c r="J3135" s="24" t="str">
        <f t="shared" ref="J3135" si="5386">CONCATENATE(K3133,2)</f>
        <v>32</v>
      </c>
      <c r="K3135" s="6">
        <v>1.8917112358769146E-2</v>
      </c>
      <c r="L3135" s="6">
        <v>1.1070417421069243</v>
      </c>
      <c r="Q3135" s="9"/>
      <c r="R3135" s="9"/>
      <c r="S3135" s="9"/>
      <c r="T3135" s="9"/>
      <c r="U3135" s="1">
        <f t="shared" si="5314"/>
        <v>72</v>
      </c>
      <c r="V3135" s="1">
        <f t="shared" si="5315"/>
        <v>210</v>
      </c>
    </row>
    <row r="3136" spans="1:22" x14ac:dyDescent="0.3">
      <c r="A3136" s="1">
        <f t="shared" si="5344"/>
        <v>72211</v>
      </c>
      <c r="J3136" s="24" t="str">
        <f t="shared" ref="J3136" si="5387">CONCATENATE(K3133,3)</f>
        <v>33</v>
      </c>
      <c r="K3136" s="6">
        <v>0.99956887631923841</v>
      </c>
      <c r="L3136" s="6">
        <v>0.73897902245685998</v>
      </c>
      <c r="Q3136" s="9"/>
      <c r="R3136" s="9"/>
      <c r="S3136" s="9"/>
      <c r="T3136" s="9"/>
      <c r="U3136" s="1">
        <f t="shared" si="5314"/>
        <v>72</v>
      </c>
      <c r="V3136" s="1">
        <f t="shared" si="5315"/>
        <v>211</v>
      </c>
    </row>
    <row r="3137" spans="1:22" x14ac:dyDescent="0.3">
      <c r="A3137" s="1">
        <f t="shared" si="5344"/>
        <v>72212</v>
      </c>
      <c r="B3137" s="82" t="s">
        <v>20</v>
      </c>
      <c r="C3137" s="83"/>
      <c r="D3137" s="83"/>
      <c r="E3137" s="83"/>
      <c r="F3137" s="84"/>
      <c r="G3137" s="85" t="s">
        <v>31</v>
      </c>
      <c r="H3137" s="86"/>
      <c r="K3137" s="1">
        <v>4</v>
      </c>
      <c r="L3137" s="1">
        <v>4</v>
      </c>
      <c r="M3137" s="1">
        <v>4</v>
      </c>
      <c r="Q3137" s="9"/>
      <c r="R3137" s="9"/>
      <c r="S3137" s="9"/>
      <c r="T3137" s="9"/>
      <c r="U3137" s="1">
        <f t="shared" si="5314"/>
        <v>72</v>
      </c>
      <c r="V3137" s="1">
        <f t="shared" si="5315"/>
        <v>212</v>
      </c>
    </row>
    <row r="3138" spans="1:22" x14ac:dyDescent="0.3">
      <c r="A3138" s="1">
        <f t="shared" si="5344"/>
        <v>72213</v>
      </c>
      <c r="B3138" s="82" t="s">
        <v>30</v>
      </c>
      <c r="C3138" s="83"/>
      <c r="D3138" s="84"/>
      <c r="E3138" s="82" t="str">
        <f t="shared" ref="E3138" si="5388">D3131</f>
        <v>E0135/25</v>
      </c>
      <c r="F3138" s="84"/>
      <c r="G3138" s="6" t="s">
        <v>32</v>
      </c>
      <c r="H3138" s="7"/>
      <c r="J3138" s="24" t="str">
        <f t="shared" ref="J3138" si="5389">CONCATENATE(K3137,1)</f>
        <v>41</v>
      </c>
      <c r="K3138" s="6" t="e">
        <f t="array" ref="K3138:M3140">LINEST(B3142:B3145,C3142:C3145^{1,2},TRUE,TRUE)</f>
        <v>#VALUE!</v>
      </c>
      <c r="L3138" s="6" t="e">
        <v>#VALUE!</v>
      </c>
      <c r="M3138" s="6" t="e">
        <v>#VALUE!</v>
      </c>
      <c r="Q3138" s="9"/>
      <c r="R3138" s="9"/>
      <c r="S3138" s="9"/>
      <c r="T3138" s="9"/>
      <c r="U3138" s="1">
        <f t="shared" si="5314"/>
        <v>72</v>
      </c>
      <c r="V3138" s="1">
        <f t="shared" si="5315"/>
        <v>213</v>
      </c>
    </row>
    <row r="3139" spans="1:22" x14ac:dyDescent="0.3">
      <c r="A3139" s="1">
        <f t="shared" si="5344"/>
        <v>72214</v>
      </c>
      <c r="B3139" s="2" t="s">
        <v>21</v>
      </c>
      <c r="C3139" s="2" t="s">
        <v>22</v>
      </c>
      <c r="D3139" s="2" t="s">
        <v>23</v>
      </c>
      <c r="E3139" s="2"/>
      <c r="F3139" s="2" t="s">
        <v>28</v>
      </c>
      <c r="G3139" s="2" t="s">
        <v>21</v>
      </c>
      <c r="H3139" s="2" t="s">
        <v>22</v>
      </c>
      <c r="J3139" s="24" t="str">
        <f t="shared" ref="J3139" si="5390">CONCATENATE(K3137,2)</f>
        <v>42</v>
      </c>
      <c r="K3139" s="6" t="e">
        <v>#VALUE!</v>
      </c>
      <c r="L3139" s="6" t="e">
        <v>#VALUE!</v>
      </c>
      <c r="M3139" s="6" t="e">
        <v>#VALUE!</v>
      </c>
      <c r="Q3139" s="9"/>
      <c r="R3139" s="9"/>
      <c r="S3139" s="9"/>
      <c r="T3139" s="9"/>
      <c r="U3139" s="1">
        <f t="shared" si="5314"/>
        <v>72</v>
      </c>
      <c r="V3139" s="1">
        <f t="shared" si="5315"/>
        <v>214</v>
      </c>
    </row>
    <row r="3140" spans="1:22" x14ac:dyDescent="0.3">
      <c r="A3140" s="1">
        <f t="shared" si="5344"/>
        <v>72215</v>
      </c>
      <c r="B3140" s="2" t="s">
        <v>24</v>
      </c>
      <c r="C3140" s="2" t="s">
        <v>25</v>
      </c>
      <c r="D3140" s="2" t="s">
        <v>26</v>
      </c>
      <c r="E3140" s="2" t="s">
        <v>27</v>
      </c>
      <c r="F3140" s="2" t="s">
        <v>29</v>
      </c>
      <c r="G3140" s="2" t="s">
        <v>24</v>
      </c>
      <c r="H3140" s="2" t="s">
        <v>25</v>
      </c>
      <c r="J3140" s="24" t="str">
        <f t="shared" ref="J3140" si="5391">CONCATENATE(K3137,3)</f>
        <v>43</v>
      </c>
      <c r="K3140" s="6" t="e">
        <v>#VALUE!</v>
      </c>
      <c r="L3140" s="6" t="e">
        <v>#VALUE!</v>
      </c>
      <c r="M3140" s="6" t="e">
        <v>#VALUE!</v>
      </c>
      <c r="Q3140" s="9"/>
      <c r="R3140" s="9"/>
      <c r="S3140" s="9"/>
      <c r="T3140" s="9"/>
      <c r="U3140" s="1">
        <f t="shared" si="5314"/>
        <v>72</v>
      </c>
      <c r="V3140" s="1">
        <f t="shared" si="5315"/>
        <v>215</v>
      </c>
    </row>
    <row r="3141" spans="1:22" x14ac:dyDescent="0.3">
      <c r="A3141" s="1">
        <f t="shared" si="5344"/>
        <v>72216</v>
      </c>
      <c r="B3141" s="3" t="str">
        <f t="shared" ref="B3141" si="5392">H3134</f>
        <v>%ur</v>
      </c>
      <c r="C3141" s="3" t="str">
        <f t="shared" ref="C3141" si="5393">B3141</f>
        <v>%ur</v>
      </c>
      <c r="D3141" s="3" t="str">
        <f t="shared" ref="D3141" si="5394">C3141</f>
        <v>%ur</v>
      </c>
      <c r="E3141" s="3"/>
      <c r="F3141" s="3"/>
      <c r="G3141" s="3" t="str">
        <f t="shared" ref="G3141" si="5395">D3141</f>
        <v>%ur</v>
      </c>
      <c r="H3141" s="3" t="str">
        <f t="shared" ref="H3141" si="5396">G3141</f>
        <v>%ur</v>
      </c>
      <c r="K3141" s="1">
        <v>5</v>
      </c>
      <c r="L3141" s="1">
        <v>5</v>
      </c>
      <c r="M3141" s="1">
        <v>5</v>
      </c>
      <c r="N3141" s="1">
        <v>5</v>
      </c>
      <c r="Q3141" s="9"/>
      <c r="R3141" s="9"/>
      <c r="S3141" s="9"/>
      <c r="T3141" s="9"/>
      <c r="U3141" s="1">
        <f t="shared" si="5314"/>
        <v>72</v>
      </c>
      <c r="V3141" s="1">
        <f t="shared" si="5315"/>
        <v>216</v>
      </c>
    </row>
    <row r="3142" spans="1:22" x14ac:dyDescent="0.3">
      <c r="A3142" s="1">
        <f t="shared" si="5344"/>
        <v>72217</v>
      </c>
      <c r="B3142" s="4">
        <v>30</v>
      </c>
      <c r="C3142" s="4">
        <v>28</v>
      </c>
      <c r="D3142" s="4">
        <v>2</v>
      </c>
      <c r="E3142" s="4">
        <v>2</v>
      </c>
      <c r="F3142" s="14">
        <v>1000000</v>
      </c>
      <c r="G3142" s="8"/>
      <c r="H3142" s="7"/>
      <c r="J3142" s="24" t="str">
        <f t="shared" ref="J3142" si="5397">CONCATENATE(K3141,1)</f>
        <v>51</v>
      </c>
      <c r="K3142" s="6" t="e">
        <f t="array" ref="K3142:N3144">LINEST(B3142:B3146,C3142:C3146^{1,2,3},TRUE,TRUE)</f>
        <v>#VALUE!</v>
      </c>
      <c r="L3142" s="6" t="e">
        <v>#VALUE!</v>
      </c>
      <c r="M3142" s="6" t="e">
        <v>#VALUE!</v>
      </c>
      <c r="N3142" s="6" t="e">
        <v>#VALUE!</v>
      </c>
      <c r="Q3142" s="9"/>
      <c r="R3142" s="9"/>
      <c r="S3142" s="9"/>
      <c r="T3142" s="9"/>
      <c r="U3142" s="1">
        <f t="shared" si="5314"/>
        <v>72</v>
      </c>
      <c r="V3142" s="1">
        <f t="shared" si="5315"/>
        <v>217</v>
      </c>
    </row>
    <row r="3143" spans="1:22" x14ac:dyDescent="0.3">
      <c r="A3143" s="1">
        <f t="shared" si="5344"/>
        <v>72218</v>
      </c>
      <c r="B3143" s="4">
        <v>50</v>
      </c>
      <c r="C3143" s="4">
        <v>51</v>
      </c>
      <c r="D3143" s="4">
        <v>2</v>
      </c>
      <c r="E3143" s="4">
        <v>2</v>
      </c>
      <c r="F3143" s="14">
        <v>1000000</v>
      </c>
      <c r="G3143" s="8"/>
      <c r="H3143" s="7"/>
      <c r="J3143" s="24" t="str">
        <f t="shared" ref="J3143" si="5398">CONCATENATE(K3141,2)</f>
        <v>52</v>
      </c>
      <c r="K3143" s="6" t="e">
        <v>#VALUE!</v>
      </c>
      <c r="L3143" s="6" t="e">
        <v>#VALUE!</v>
      </c>
      <c r="M3143" s="6" t="e">
        <v>#VALUE!</v>
      </c>
      <c r="N3143" s="6" t="e">
        <v>#VALUE!</v>
      </c>
      <c r="T3143" s="9"/>
      <c r="U3143" s="1">
        <f t="shared" si="5314"/>
        <v>72</v>
      </c>
      <c r="V3143" s="1">
        <f t="shared" si="5315"/>
        <v>218</v>
      </c>
    </row>
    <row r="3144" spans="1:22" x14ac:dyDescent="0.3">
      <c r="A3144" s="1">
        <f t="shared" si="5344"/>
        <v>72219</v>
      </c>
      <c r="B3144" s="4">
        <v>80</v>
      </c>
      <c r="C3144" s="4">
        <v>83</v>
      </c>
      <c r="D3144" s="4">
        <v>2</v>
      </c>
      <c r="E3144" s="4">
        <v>2</v>
      </c>
      <c r="F3144" s="14">
        <v>1000000</v>
      </c>
      <c r="G3144" s="8"/>
      <c r="H3144" s="7"/>
      <c r="J3144" s="24" t="str">
        <f t="shared" ref="J3144" si="5399">CONCATENATE(K3141,3)</f>
        <v>53</v>
      </c>
      <c r="K3144" s="6" t="e">
        <v>#VALUE!</v>
      </c>
      <c r="L3144" s="6" t="e">
        <v>#VALUE!</v>
      </c>
      <c r="M3144" s="6" t="e">
        <v>#VALUE!</v>
      </c>
      <c r="N3144" s="6" t="e">
        <v>#VALUE!</v>
      </c>
      <c r="T3144" s="9"/>
      <c r="U3144" s="1">
        <f t="shared" si="5314"/>
        <v>72</v>
      </c>
      <c r="V3144" s="1">
        <f t="shared" si="5315"/>
        <v>219</v>
      </c>
    </row>
    <row r="3145" spans="1:22" x14ac:dyDescent="0.3">
      <c r="A3145" s="1">
        <f t="shared" si="5344"/>
        <v>72220</v>
      </c>
      <c r="B3145" s="4"/>
      <c r="C3145" s="4"/>
      <c r="D3145" s="4"/>
      <c r="E3145" s="4"/>
      <c r="F3145" s="14"/>
      <c r="G3145" s="8"/>
      <c r="H3145" s="7"/>
      <c r="K3145" s="1">
        <v>6</v>
      </c>
      <c r="L3145" s="1">
        <v>6</v>
      </c>
      <c r="M3145" s="1">
        <v>6</v>
      </c>
      <c r="N3145" s="1">
        <v>6</v>
      </c>
      <c r="O3145" s="1">
        <v>6</v>
      </c>
      <c r="T3145" s="9"/>
      <c r="U3145" s="1">
        <f t="shared" si="5314"/>
        <v>72</v>
      </c>
      <c r="V3145" s="1">
        <f t="shared" si="5315"/>
        <v>220</v>
      </c>
    </row>
    <row r="3146" spans="1:22" x14ac:dyDescent="0.3">
      <c r="A3146" s="1">
        <f t="shared" si="5344"/>
        <v>72221</v>
      </c>
      <c r="B3146" s="4"/>
      <c r="C3146" s="4"/>
      <c r="D3146" s="4"/>
      <c r="E3146" s="4"/>
      <c r="F3146" s="14"/>
      <c r="G3146" s="8"/>
      <c r="H3146" s="7"/>
      <c r="J3146" s="24" t="str">
        <f t="shared" ref="J3146" si="5400">CONCATENATE(K3145,1)</f>
        <v>61</v>
      </c>
      <c r="K3146" s="6" t="e">
        <f t="array" ref="K3146:O3148">LINEST(B3142:B3147,C3142:C3147^{1,2,3,4},TRUE,TRUE)</f>
        <v>#VALUE!</v>
      </c>
      <c r="L3146" s="6" t="e">
        <v>#VALUE!</v>
      </c>
      <c r="M3146" s="6" t="e">
        <v>#VALUE!</v>
      </c>
      <c r="N3146" s="6" t="e">
        <v>#VALUE!</v>
      </c>
      <c r="O3146" s="6" t="e">
        <v>#VALUE!</v>
      </c>
      <c r="T3146" s="9"/>
      <c r="U3146" s="1">
        <f t="shared" si="5314"/>
        <v>72</v>
      </c>
      <c r="V3146" s="1">
        <f t="shared" si="5315"/>
        <v>221</v>
      </c>
    </row>
    <row r="3147" spans="1:22" x14ac:dyDescent="0.3">
      <c r="A3147" s="1">
        <f t="shared" si="5344"/>
        <v>72222</v>
      </c>
      <c r="B3147" s="4"/>
      <c r="C3147" s="4"/>
      <c r="D3147" s="4"/>
      <c r="E3147" s="4"/>
      <c r="F3147" s="14"/>
      <c r="G3147" s="8"/>
      <c r="H3147" s="7"/>
      <c r="J3147" s="24" t="str">
        <f t="shared" ref="J3147" si="5401">CONCATENATE(K3145,2)</f>
        <v>62</v>
      </c>
      <c r="K3147" s="6" t="e">
        <v>#VALUE!</v>
      </c>
      <c r="L3147" s="6" t="e">
        <v>#VALUE!</v>
      </c>
      <c r="M3147" s="6" t="e">
        <v>#VALUE!</v>
      </c>
      <c r="N3147" s="6" t="e">
        <v>#VALUE!</v>
      </c>
      <c r="O3147" s="6" t="e">
        <v>#VALUE!</v>
      </c>
      <c r="T3147" s="9"/>
      <c r="U3147" s="1">
        <f t="shared" si="5314"/>
        <v>72</v>
      </c>
      <c r="V3147" s="1">
        <f t="shared" si="5315"/>
        <v>222</v>
      </c>
    </row>
    <row r="3148" spans="1:22" x14ac:dyDescent="0.3">
      <c r="A3148" s="1">
        <f t="shared" si="5344"/>
        <v>72223</v>
      </c>
      <c r="B3148" s="4"/>
      <c r="C3148" s="4"/>
      <c r="D3148" s="4"/>
      <c r="E3148" s="4"/>
      <c r="F3148" s="14"/>
      <c r="G3148" s="8"/>
      <c r="H3148" s="7"/>
      <c r="J3148" s="24" t="str">
        <f t="shared" ref="J3148" si="5402">CONCATENATE(K3145,3)</f>
        <v>63</v>
      </c>
      <c r="K3148" s="6" t="e">
        <v>#VALUE!</v>
      </c>
      <c r="L3148" s="6" t="e">
        <v>#VALUE!</v>
      </c>
      <c r="M3148" s="6" t="e">
        <v>#VALUE!</v>
      </c>
      <c r="N3148" s="6" t="e">
        <v>#VALUE!</v>
      </c>
      <c r="O3148" s="6" t="e">
        <v>#VALUE!</v>
      </c>
      <c r="T3148" s="9"/>
      <c r="U3148" s="1">
        <f t="shared" si="5314"/>
        <v>72</v>
      </c>
      <c r="V3148" s="1">
        <f t="shared" si="5315"/>
        <v>223</v>
      </c>
    </row>
    <row r="3149" spans="1:22" x14ac:dyDescent="0.3">
      <c r="A3149" s="1">
        <f t="shared" si="5344"/>
        <v>72224</v>
      </c>
      <c r="B3149" s="4"/>
      <c r="C3149" s="4"/>
      <c r="D3149" s="4"/>
      <c r="E3149" s="4"/>
      <c r="F3149" s="14"/>
      <c r="G3149" s="8"/>
      <c r="H3149" s="7"/>
      <c r="K3149" s="1">
        <v>7</v>
      </c>
      <c r="L3149" s="1">
        <v>7</v>
      </c>
      <c r="M3149" s="1">
        <v>7</v>
      </c>
      <c r="N3149" s="1">
        <v>7</v>
      </c>
      <c r="O3149" s="1">
        <v>7</v>
      </c>
      <c r="P3149" s="1">
        <v>7</v>
      </c>
      <c r="T3149" s="9"/>
      <c r="U3149" s="1">
        <f t="shared" si="5314"/>
        <v>72</v>
      </c>
      <c r="V3149" s="1">
        <f t="shared" si="5315"/>
        <v>224</v>
      </c>
    </row>
    <row r="3150" spans="1:22" x14ac:dyDescent="0.3">
      <c r="A3150" s="1">
        <f t="shared" si="5344"/>
        <v>72225</v>
      </c>
      <c r="B3150" s="4"/>
      <c r="C3150" s="4"/>
      <c r="D3150" s="4"/>
      <c r="E3150" s="4"/>
      <c r="F3150" s="14"/>
      <c r="G3150" s="8"/>
      <c r="H3150" s="7"/>
      <c r="J3150" s="24" t="str">
        <f t="shared" ref="J3150" si="5403">CONCATENATE(K3149,1)</f>
        <v>71</v>
      </c>
      <c r="K3150" s="6" t="e">
        <f t="array" ref="K3150:P3152">LINEST(B3142:B3148,C3142:C3148^{1,2,3,4,5},TRUE,TRUE)</f>
        <v>#VALUE!</v>
      </c>
      <c r="L3150" s="6" t="e">
        <v>#VALUE!</v>
      </c>
      <c r="M3150" s="6" t="e">
        <v>#VALUE!</v>
      </c>
      <c r="N3150" s="6" t="e">
        <v>#VALUE!</v>
      </c>
      <c r="O3150" s="6" t="e">
        <v>#VALUE!</v>
      </c>
      <c r="P3150" s="6" t="e">
        <v>#VALUE!</v>
      </c>
      <c r="T3150" s="9"/>
      <c r="U3150" s="1">
        <f t="shared" si="5314"/>
        <v>72</v>
      </c>
      <c r="V3150" s="1">
        <f t="shared" si="5315"/>
        <v>225</v>
      </c>
    </row>
    <row r="3151" spans="1:22" x14ac:dyDescent="0.3">
      <c r="A3151" s="1">
        <f t="shared" si="5344"/>
        <v>72226</v>
      </c>
      <c r="B3151" s="4"/>
      <c r="C3151" s="4"/>
      <c r="D3151" s="4"/>
      <c r="E3151" s="4"/>
      <c r="F3151" s="14"/>
      <c r="G3151" s="8"/>
      <c r="H3151" s="7"/>
      <c r="J3151" s="24" t="str">
        <f t="shared" ref="J3151" si="5404">CONCATENATE(K3149,2)</f>
        <v>72</v>
      </c>
      <c r="K3151" s="6" t="e">
        <v>#VALUE!</v>
      </c>
      <c r="L3151" s="6" t="e">
        <v>#VALUE!</v>
      </c>
      <c r="M3151" s="6" t="e">
        <v>#VALUE!</v>
      </c>
      <c r="N3151" s="6" t="e">
        <v>#VALUE!</v>
      </c>
      <c r="O3151" s="6" t="e">
        <v>#VALUE!</v>
      </c>
      <c r="P3151" s="6" t="e">
        <v>#VALUE!</v>
      </c>
      <c r="T3151" s="9"/>
      <c r="U3151" s="1">
        <f t="shared" si="5314"/>
        <v>72</v>
      </c>
      <c r="V3151" s="1">
        <f t="shared" si="5315"/>
        <v>226</v>
      </c>
    </row>
    <row r="3152" spans="1:22" x14ac:dyDescent="0.3">
      <c r="A3152" s="1">
        <f t="shared" si="5344"/>
        <v>72227</v>
      </c>
      <c r="B3152" s="9"/>
      <c r="C3152" s="9"/>
      <c r="D3152" s="9"/>
      <c r="E3152" s="9"/>
      <c r="F3152" s="9"/>
      <c r="G3152" s="9"/>
      <c r="H3152" s="9"/>
      <c r="J3152" s="24" t="str">
        <f t="shared" ref="J3152" si="5405">CONCATENATE(K3149,3)</f>
        <v>73</v>
      </c>
      <c r="K3152" s="6" t="e">
        <v>#VALUE!</v>
      </c>
      <c r="L3152" s="6" t="e">
        <v>#VALUE!</v>
      </c>
      <c r="M3152" s="6" t="e">
        <v>#VALUE!</v>
      </c>
      <c r="N3152" s="6" t="e">
        <v>#VALUE!</v>
      </c>
      <c r="O3152" s="6" t="e">
        <v>#VALUE!</v>
      </c>
      <c r="P3152" s="6" t="e">
        <v>#VALUE!</v>
      </c>
      <c r="T3152" s="9"/>
      <c r="U3152" s="1">
        <f t="shared" si="5314"/>
        <v>72</v>
      </c>
      <c r="V3152" s="1">
        <f t="shared" si="5315"/>
        <v>227</v>
      </c>
    </row>
    <row r="3153" spans="1:22" x14ac:dyDescent="0.3">
      <c r="A3153" s="1">
        <f t="shared" si="5344"/>
        <v>72228</v>
      </c>
      <c r="B3153" s="87" t="s">
        <v>33</v>
      </c>
      <c r="C3153" s="88"/>
      <c r="D3153" s="88"/>
      <c r="E3153" s="88"/>
      <c r="F3153" s="88"/>
      <c r="G3153" s="88"/>
      <c r="H3153" s="89"/>
      <c r="K3153" s="1">
        <v>8</v>
      </c>
      <c r="L3153" s="1">
        <v>8</v>
      </c>
      <c r="M3153" s="1">
        <v>8</v>
      </c>
      <c r="N3153" s="1">
        <v>8</v>
      </c>
      <c r="O3153" s="1">
        <v>8</v>
      </c>
      <c r="P3153" s="1">
        <v>8</v>
      </c>
      <c r="Q3153" s="1">
        <v>8</v>
      </c>
      <c r="T3153" s="9"/>
      <c r="U3153" s="1">
        <f t="shared" si="5314"/>
        <v>72</v>
      </c>
      <c r="V3153" s="1">
        <f t="shared" si="5315"/>
        <v>228</v>
      </c>
    </row>
    <row r="3154" spans="1:22" x14ac:dyDescent="0.3">
      <c r="A3154" s="1">
        <f t="shared" si="5344"/>
        <v>72229</v>
      </c>
      <c r="B3154" s="90"/>
      <c r="C3154" s="91"/>
      <c r="D3154" s="91"/>
      <c r="E3154" s="91"/>
      <c r="F3154" s="91"/>
      <c r="G3154" s="91"/>
      <c r="H3154" s="92"/>
      <c r="J3154" s="24" t="str">
        <f t="shared" ref="J3154" si="5406">CONCATENATE(K3153,1)</f>
        <v>81</v>
      </c>
      <c r="K3154" s="6" t="e">
        <f t="array" ref="K3154:Q3156">LINEST(B3142:B3149,C3142:C3149^{1,2,3,4,5,6},TRUE,TRUE)</f>
        <v>#VALUE!</v>
      </c>
      <c r="L3154" s="6" t="e">
        <v>#VALUE!</v>
      </c>
      <c r="M3154" s="6" t="e">
        <v>#VALUE!</v>
      </c>
      <c r="N3154" s="6" t="e">
        <v>#VALUE!</v>
      </c>
      <c r="O3154" s="6" t="e">
        <v>#VALUE!</v>
      </c>
      <c r="P3154" s="6" t="e">
        <v>#VALUE!</v>
      </c>
      <c r="Q3154" s="6" t="e">
        <v>#VALUE!</v>
      </c>
      <c r="T3154" s="9"/>
      <c r="U3154" s="1">
        <f t="shared" si="5314"/>
        <v>72</v>
      </c>
      <c r="V3154" s="1">
        <f t="shared" si="5315"/>
        <v>229</v>
      </c>
    </row>
    <row r="3155" spans="1:22" x14ac:dyDescent="0.3">
      <c r="A3155" s="1">
        <f t="shared" si="5344"/>
        <v>72230</v>
      </c>
      <c r="B3155" s="93"/>
      <c r="C3155" s="94"/>
      <c r="D3155" s="94"/>
      <c r="E3155" s="94"/>
      <c r="F3155" s="94"/>
      <c r="G3155" s="94"/>
      <c r="H3155" s="95"/>
      <c r="J3155" s="24" t="str">
        <f t="shared" ref="J3155" si="5407">CONCATENATE(K3153,2)</f>
        <v>82</v>
      </c>
      <c r="K3155" s="6" t="e">
        <v>#VALUE!</v>
      </c>
      <c r="L3155" s="6" t="e">
        <v>#VALUE!</v>
      </c>
      <c r="M3155" s="6" t="e">
        <v>#VALUE!</v>
      </c>
      <c r="N3155" s="6" t="e">
        <v>#VALUE!</v>
      </c>
      <c r="O3155" s="6" t="e">
        <v>#VALUE!</v>
      </c>
      <c r="P3155" s="6" t="e">
        <v>#VALUE!</v>
      </c>
      <c r="Q3155" s="6" t="e">
        <v>#VALUE!</v>
      </c>
      <c r="T3155" s="9"/>
      <c r="U3155" s="1">
        <f t="shared" si="5314"/>
        <v>72</v>
      </c>
      <c r="V3155" s="1">
        <f t="shared" si="5315"/>
        <v>230</v>
      </c>
    </row>
    <row r="3156" spans="1:22" x14ac:dyDescent="0.3">
      <c r="A3156" s="1">
        <f t="shared" si="5344"/>
        <v>72231</v>
      </c>
      <c r="J3156" s="24" t="str">
        <f t="shared" ref="J3156" si="5408">CONCATENATE(K3153,3)</f>
        <v>83</v>
      </c>
      <c r="K3156" s="6" t="e">
        <v>#VALUE!</v>
      </c>
      <c r="L3156" s="6" t="e">
        <v>#VALUE!</v>
      </c>
      <c r="M3156" s="6" t="e">
        <v>#VALUE!</v>
      </c>
      <c r="N3156" s="6" t="e">
        <v>#VALUE!</v>
      </c>
      <c r="O3156" s="6" t="e">
        <v>#VALUE!</v>
      </c>
      <c r="P3156" s="6" t="e">
        <v>#VALUE!</v>
      </c>
      <c r="Q3156" s="6" t="e">
        <v>#VALUE!</v>
      </c>
      <c r="T3156" s="9"/>
      <c r="U3156" s="1">
        <f t="shared" si="5314"/>
        <v>72</v>
      </c>
      <c r="V3156" s="1">
        <f t="shared" si="5315"/>
        <v>231</v>
      </c>
    </row>
    <row r="3157" spans="1:22" ht="15" customHeight="1" x14ac:dyDescent="0.3">
      <c r="A3157" s="1">
        <f t="shared" si="5344"/>
        <v>72232</v>
      </c>
      <c r="B3157" s="10" t="s">
        <v>34</v>
      </c>
      <c r="C3157" s="10" t="s">
        <v>35</v>
      </c>
      <c r="D3157" s="10" t="s">
        <v>36</v>
      </c>
      <c r="E3157" s="74" t="s">
        <v>37</v>
      </c>
      <c r="F3157" s="75"/>
      <c r="G3157" s="76"/>
      <c r="K3157" s="1">
        <v>9</v>
      </c>
      <c r="L3157" s="1">
        <v>9</v>
      </c>
      <c r="M3157" s="1">
        <v>9</v>
      </c>
      <c r="N3157" s="1">
        <v>9</v>
      </c>
      <c r="O3157" s="1">
        <v>9</v>
      </c>
      <c r="P3157" s="1">
        <v>9</v>
      </c>
      <c r="Q3157" s="1">
        <v>9</v>
      </c>
      <c r="R3157" s="1">
        <v>9</v>
      </c>
      <c r="T3157" s="9"/>
      <c r="U3157" s="1">
        <f t="shared" si="5314"/>
        <v>72</v>
      </c>
      <c r="V3157" s="1">
        <f t="shared" si="5315"/>
        <v>232</v>
      </c>
    </row>
    <row r="3158" spans="1:22" x14ac:dyDescent="0.3">
      <c r="A3158" s="1">
        <f t="shared" si="5344"/>
        <v>72233</v>
      </c>
      <c r="B3158" s="12">
        <f t="shared" ref="B3158:B3167" si="5409">C3142-B3142</f>
        <v>-2</v>
      </c>
      <c r="C3158" s="13">
        <f t="shared" ref="C3158:C3167" si="5410">H3142-G3142</f>
        <v>0</v>
      </c>
      <c r="D3158" s="10">
        <f t="shared" ref="D3158:D3167" si="5411">C3158-B3158</f>
        <v>2</v>
      </c>
      <c r="E3158" s="11">
        <f t="shared" ref="E3158" si="5412">IF(D3133="","",MAX(F3158,G3158))</f>
        <v>3</v>
      </c>
      <c r="F3158" s="10">
        <f t="shared" ref="F3158" si="5413">ABS(MIN(D3158:D3167))</f>
        <v>3</v>
      </c>
      <c r="G3158" s="10">
        <f t="shared" ref="G3158" si="5414">ABS(MAX(D3158:D3167))</f>
        <v>2</v>
      </c>
      <c r="J3158" s="24" t="str">
        <f t="shared" ref="J3158" si="5415">CONCATENATE(K3157,1)</f>
        <v>91</v>
      </c>
      <c r="K3158" s="6" t="e">
        <f t="array" ref="K3158:R3160">LINEST(B3142:B3150,C3142:C3150^{1,2,3,4,5,6,7},TRUE,TRUE)</f>
        <v>#VALUE!</v>
      </c>
      <c r="L3158" s="6" t="e">
        <v>#VALUE!</v>
      </c>
      <c r="M3158" s="6" t="e">
        <v>#VALUE!</v>
      </c>
      <c r="N3158" s="6" t="e">
        <v>#VALUE!</v>
      </c>
      <c r="O3158" s="6" t="e">
        <v>#VALUE!</v>
      </c>
      <c r="P3158" s="6" t="e">
        <v>#VALUE!</v>
      </c>
      <c r="Q3158" s="6" t="e">
        <v>#VALUE!</v>
      </c>
      <c r="R3158" s="6" t="e">
        <v>#VALUE!</v>
      </c>
      <c r="T3158" s="9"/>
      <c r="U3158" s="1">
        <f t="shared" si="5314"/>
        <v>72</v>
      </c>
      <c r="V3158" s="1">
        <f t="shared" si="5315"/>
        <v>233</v>
      </c>
    </row>
    <row r="3159" spans="1:22" x14ac:dyDescent="0.3">
      <c r="A3159" s="1">
        <f t="shared" si="5344"/>
        <v>72234</v>
      </c>
      <c r="B3159" s="12">
        <f t="shared" si="5409"/>
        <v>1</v>
      </c>
      <c r="C3159" s="13">
        <f t="shared" si="5410"/>
        <v>0</v>
      </c>
      <c r="D3159" s="10">
        <f t="shared" si="5411"/>
        <v>-1</v>
      </c>
      <c r="E3159" s="74" t="s">
        <v>38</v>
      </c>
      <c r="F3159" s="75"/>
      <c r="G3159" s="76"/>
      <c r="J3159" s="24" t="str">
        <f t="shared" ref="J3159" si="5416">CONCATENATE(K3157,2)</f>
        <v>92</v>
      </c>
      <c r="K3159" s="6" t="e">
        <v>#VALUE!</v>
      </c>
      <c r="L3159" s="6" t="e">
        <v>#VALUE!</v>
      </c>
      <c r="M3159" s="6" t="e">
        <v>#VALUE!</v>
      </c>
      <c r="N3159" s="6" t="e">
        <v>#VALUE!</v>
      </c>
      <c r="O3159" s="6" t="e">
        <v>#VALUE!</v>
      </c>
      <c r="P3159" s="6" t="e">
        <v>#VALUE!</v>
      </c>
      <c r="Q3159" s="6" t="e">
        <v>#VALUE!</v>
      </c>
      <c r="R3159" s="6" t="e">
        <v>#VALUE!</v>
      </c>
      <c r="T3159" s="9"/>
      <c r="U3159" s="1">
        <f t="shared" si="5314"/>
        <v>72</v>
      </c>
      <c r="V3159" s="1">
        <f t="shared" si="5315"/>
        <v>234</v>
      </c>
    </row>
    <row r="3160" spans="1:22" x14ac:dyDescent="0.3">
      <c r="A3160" s="1">
        <f t="shared" si="5344"/>
        <v>72235</v>
      </c>
      <c r="B3160" s="12">
        <f t="shared" si="5409"/>
        <v>3</v>
      </c>
      <c r="C3160" s="13">
        <f t="shared" si="5410"/>
        <v>0</v>
      </c>
      <c r="D3160" s="10">
        <f t="shared" si="5411"/>
        <v>-3</v>
      </c>
      <c r="E3160" s="11">
        <f t="shared" ref="E3160" si="5417">IF(D3133="","",MAX(F3160,G3160))</f>
        <v>3</v>
      </c>
      <c r="F3160" s="10">
        <f t="shared" ref="F3160" si="5418">ABS(MIN(B3158:B3167))</f>
        <v>2</v>
      </c>
      <c r="G3160" s="10">
        <f t="shared" ref="G3160" si="5419">ABS(MAX(B3158:B3167))</f>
        <v>3</v>
      </c>
      <c r="J3160" s="24" t="str">
        <f t="shared" ref="J3160" si="5420">CONCATENATE(K3157,3)</f>
        <v>93</v>
      </c>
      <c r="K3160" s="6" t="e">
        <v>#VALUE!</v>
      </c>
      <c r="L3160" s="6" t="e">
        <v>#VALUE!</v>
      </c>
      <c r="M3160" s="6" t="e">
        <v>#VALUE!</v>
      </c>
      <c r="N3160" s="6" t="e">
        <v>#VALUE!</v>
      </c>
      <c r="O3160" s="6" t="e">
        <v>#VALUE!</v>
      </c>
      <c r="P3160" s="6" t="e">
        <v>#VALUE!</v>
      </c>
      <c r="Q3160" s="6" t="e">
        <v>#VALUE!</v>
      </c>
      <c r="R3160" s="6" t="e">
        <v>#VALUE!</v>
      </c>
      <c r="T3160" s="9"/>
      <c r="U3160" s="1">
        <f t="shared" si="5314"/>
        <v>72</v>
      </c>
      <c r="V3160" s="1">
        <f t="shared" si="5315"/>
        <v>235</v>
      </c>
    </row>
    <row r="3161" spans="1:22" x14ac:dyDescent="0.3">
      <c r="A3161" s="1">
        <f t="shared" si="5344"/>
        <v>72236</v>
      </c>
      <c r="B3161" s="12">
        <f t="shared" si="5409"/>
        <v>0</v>
      </c>
      <c r="C3161" s="13">
        <f t="shared" si="5410"/>
        <v>0</v>
      </c>
      <c r="D3161" s="10">
        <f t="shared" si="5411"/>
        <v>0</v>
      </c>
      <c r="E3161" s="74" t="s">
        <v>39</v>
      </c>
      <c r="F3161" s="75"/>
      <c r="G3161" s="76"/>
      <c r="K3161" s="1">
        <v>10</v>
      </c>
      <c r="L3161" s="1">
        <v>10</v>
      </c>
      <c r="M3161" s="1">
        <v>10</v>
      </c>
      <c r="N3161" s="1">
        <v>10</v>
      </c>
      <c r="O3161" s="1">
        <v>10</v>
      </c>
      <c r="P3161" s="1">
        <v>10</v>
      </c>
      <c r="Q3161" s="1">
        <v>10</v>
      </c>
      <c r="R3161" s="1">
        <v>10</v>
      </c>
      <c r="S3161" s="1">
        <v>10</v>
      </c>
      <c r="T3161" s="9"/>
      <c r="U3161" s="1">
        <f t="shared" si="5314"/>
        <v>72</v>
      </c>
      <c r="V3161" s="1">
        <f t="shared" si="5315"/>
        <v>236</v>
      </c>
    </row>
    <row r="3162" spans="1:22" x14ac:dyDescent="0.3">
      <c r="A3162" s="1">
        <f t="shared" si="5344"/>
        <v>72237</v>
      </c>
      <c r="B3162" s="12">
        <f t="shared" si="5409"/>
        <v>0</v>
      </c>
      <c r="C3162" s="13">
        <f t="shared" si="5410"/>
        <v>0</v>
      </c>
      <c r="D3162" s="10">
        <f t="shared" si="5411"/>
        <v>0</v>
      </c>
      <c r="E3162" s="11">
        <f t="shared" ref="E3162" si="5421">IF(D3133="","",MAX(F3162,G3162))</f>
        <v>2</v>
      </c>
      <c r="F3162" s="10">
        <f t="shared" ref="F3162" si="5422">ABS(MIN(D3142:D3151))</f>
        <v>2</v>
      </c>
      <c r="G3162" s="10">
        <f t="shared" ref="G3162" si="5423">ABS(MAX(D3142:D3151))</f>
        <v>2</v>
      </c>
      <c r="J3162" s="24" t="str">
        <f t="shared" ref="J3162" si="5424">CONCATENATE(K3161,1)</f>
        <v>101</v>
      </c>
      <c r="K3162" s="6" t="e">
        <f t="array" ref="K3162:S3164">LINEST(B3142:B3151,C3142:C3151^{1,2,3,4,5,6,7,8},TRUE,TRUE)</f>
        <v>#VALUE!</v>
      </c>
      <c r="L3162" s="6" t="e">
        <v>#VALUE!</v>
      </c>
      <c r="M3162" s="6" t="e">
        <v>#VALUE!</v>
      </c>
      <c r="N3162" s="6" t="e">
        <v>#VALUE!</v>
      </c>
      <c r="O3162" s="6" t="e">
        <v>#VALUE!</v>
      </c>
      <c r="P3162" s="6" t="e">
        <v>#VALUE!</v>
      </c>
      <c r="Q3162" s="6" t="e">
        <v>#VALUE!</v>
      </c>
      <c r="R3162" s="6" t="e">
        <v>#VALUE!</v>
      </c>
      <c r="S3162" s="6" t="e">
        <v>#VALUE!</v>
      </c>
      <c r="T3162" s="9"/>
      <c r="U3162" s="1">
        <f t="shared" si="5314"/>
        <v>72</v>
      </c>
      <c r="V3162" s="1">
        <f t="shared" si="5315"/>
        <v>237</v>
      </c>
    </row>
    <row r="3163" spans="1:22" x14ac:dyDescent="0.3">
      <c r="A3163" s="1">
        <f t="shared" si="5344"/>
        <v>72238</v>
      </c>
      <c r="B3163" s="12">
        <f t="shared" si="5409"/>
        <v>0</v>
      </c>
      <c r="C3163" s="13">
        <f t="shared" si="5410"/>
        <v>0</v>
      </c>
      <c r="D3163" s="10">
        <f t="shared" si="5411"/>
        <v>0</v>
      </c>
      <c r="J3163" s="24" t="str">
        <f t="shared" ref="J3163" si="5425">CONCATENATE(K3161,2)</f>
        <v>102</v>
      </c>
      <c r="K3163" s="6" t="e">
        <v>#VALUE!</v>
      </c>
      <c r="L3163" s="6" t="e">
        <v>#VALUE!</v>
      </c>
      <c r="M3163" s="6" t="e">
        <v>#VALUE!</v>
      </c>
      <c r="N3163" s="6" t="e">
        <v>#VALUE!</v>
      </c>
      <c r="O3163" s="6" t="e">
        <v>#VALUE!</v>
      </c>
      <c r="P3163" s="6" t="e">
        <v>#VALUE!</v>
      </c>
      <c r="Q3163" s="6" t="e">
        <v>#VALUE!</v>
      </c>
      <c r="R3163" s="6" t="e">
        <v>#VALUE!</v>
      </c>
      <c r="S3163" s="6" t="e">
        <v>#VALUE!</v>
      </c>
      <c r="T3163" s="9"/>
      <c r="U3163" s="1">
        <f t="shared" ref="U3163:U3226" si="5426">U3162</f>
        <v>72</v>
      </c>
      <c r="V3163" s="1">
        <f t="shared" ref="V3163:V3226" si="5427">V3162+1</f>
        <v>238</v>
      </c>
    </row>
    <row r="3164" spans="1:22" x14ac:dyDescent="0.3">
      <c r="A3164" s="1">
        <f t="shared" si="5344"/>
        <v>72239</v>
      </c>
      <c r="B3164" s="12">
        <f t="shared" si="5409"/>
        <v>0</v>
      </c>
      <c r="C3164" s="13">
        <f t="shared" si="5410"/>
        <v>0</v>
      </c>
      <c r="D3164" s="10">
        <f t="shared" si="5411"/>
        <v>0</v>
      </c>
      <c r="J3164" s="24" t="str">
        <f t="shared" ref="J3164" si="5428">CONCATENATE(K3161,3)</f>
        <v>103</v>
      </c>
      <c r="K3164" s="6" t="e">
        <v>#VALUE!</v>
      </c>
      <c r="L3164" s="6" t="e">
        <v>#VALUE!</v>
      </c>
      <c r="M3164" s="6" t="e">
        <v>#VALUE!</v>
      </c>
      <c r="N3164" s="6" t="e">
        <v>#VALUE!</v>
      </c>
      <c r="O3164" s="6" t="e">
        <v>#VALUE!</v>
      </c>
      <c r="P3164" s="6" t="e">
        <v>#VALUE!</v>
      </c>
      <c r="Q3164" s="6" t="e">
        <v>#VALUE!</v>
      </c>
      <c r="R3164" s="6" t="e">
        <v>#VALUE!</v>
      </c>
      <c r="S3164" s="6" t="e">
        <v>#VALUE!</v>
      </c>
      <c r="T3164" s="9"/>
      <c r="U3164" s="1">
        <f t="shared" si="5426"/>
        <v>72</v>
      </c>
      <c r="V3164" s="1">
        <f t="shared" si="5427"/>
        <v>239</v>
      </c>
    </row>
    <row r="3165" spans="1:22" x14ac:dyDescent="0.3">
      <c r="A3165" s="1">
        <f t="shared" si="5344"/>
        <v>72240</v>
      </c>
      <c r="B3165" s="12">
        <f t="shared" si="5409"/>
        <v>0</v>
      </c>
      <c r="C3165" s="13">
        <f t="shared" si="5410"/>
        <v>0</v>
      </c>
      <c r="D3165" s="10">
        <f t="shared" si="5411"/>
        <v>0</v>
      </c>
      <c r="J3165" s="9"/>
      <c r="K3165" s="9"/>
      <c r="L3165" s="9"/>
      <c r="M3165" s="9"/>
      <c r="N3165" s="9"/>
      <c r="O3165" s="9"/>
      <c r="P3165" s="9"/>
      <c r="Q3165" s="9"/>
      <c r="R3165" s="9"/>
      <c r="S3165" s="9"/>
      <c r="T3165" s="9"/>
      <c r="U3165" s="1">
        <f t="shared" si="5426"/>
        <v>72</v>
      </c>
      <c r="V3165" s="1">
        <f t="shared" si="5427"/>
        <v>240</v>
      </c>
    </row>
    <row r="3166" spans="1:22" x14ac:dyDescent="0.3">
      <c r="A3166" s="1">
        <f t="shared" si="5344"/>
        <v>72241</v>
      </c>
      <c r="B3166" s="12">
        <f t="shared" si="5409"/>
        <v>0</v>
      </c>
      <c r="C3166" s="13">
        <f t="shared" si="5410"/>
        <v>0</v>
      </c>
      <c r="D3166" s="10">
        <f t="shared" si="5411"/>
        <v>0</v>
      </c>
      <c r="J3166" s="9"/>
      <c r="K3166" s="9"/>
      <c r="L3166" s="9"/>
      <c r="M3166" s="9"/>
      <c r="N3166" s="9"/>
      <c r="O3166" s="9"/>
      <c r="P3166" s="9"/>
      <c r="Q3166" s="9"/>
      <c r="R3166" s="9"/>
      <c r="S3166" s="9"/>
      <c r="T3166" s="9"/>
      <c r="U3166" s="1">
        <f t="shared" si="5426"/>
        <v>72</v>
      </c>
      <c r="V3166" s="1">
        <f t="shared" si="5427"/>
        <v>241</v>
      </c>
    </row>
    <row r="3167" spans="1:22" x14ac:dyDescent="0.3">
      <c r="A3167" s="1">
        <f t="shared" si="5344"/>
        <v>72242</v>
      </c>
      <c r="B3167" s="12">
        <f t="shared" si="5409"/>
        <v>0</v>
      </c>
      <c r="C3167" s="13">
        <f t="shared" si="5410"/>
        <v>0</v>
      </c>
      <c r="D3167" s="10">
        <f t="shared" si="5411"/>
        <v>0</v>
      </c>
      <c r="J3167" s="9"/>
      <c r="K3167" s="9"/>
      <c r="L3167" s="9"/>
      <c r="M3167" s="9"/>
      <c r="N3167" s="9"/>
      <c r="O3167" s="9"/>
      <c r="P3167" s="9"/>
      <c r="Q3167" s="9"/>
      <c r="R3167" s="9"/>
      <c r="S3167" s="9"/>
      <c r="T3167" s="9"/>
      <c r="U3167" s="1">
        <f t="shared" si="5426"/>
        <v>72</v>
      </c>
      <c r="V3167" s="1">
        <f t="shared" si="5427"/>
        <v>242</v>
      </c>
    </row>
    <row r="3168" spans="1:22" x14ac:dyDescent="0.3">
      <c r="A3168" s="1">
        <f t="shared" si="5344"/>
        <v>72243</v>
      </c>
      <c r="J3168" s="9"/>
      <c r="K3168" s="9"/>
      <c r="L3168" s="9"/>
      <c r="M3168" s="9"/>
      <c r="N3168" s="9"/>
      <c r="O3168" s="9"/>
      <c r="P3168" s="9"/>
      <c r="Q3168" s="9"/>
      <c r="R3168" s="9"/>
      <c r="S3168" s="9"/>
      <c r="T3168" s="9"/>
      <c r="U3168" s="1">
        <f t="shared" si="5426"/>
        <v>72</v>
      </c>
      <c r="V3168" s="1">
        <f t="shared" si="5427"/>
        <v>243</v>
      </c>
    </row>
    <row r="3169" spans="1:22" s="5" customFormat="1" x14ac:dyDescent="0.3"/>
    <row r="3170" spans="1:22" x14ac:dyDescent="0.3">
      <c r="A3170" s="1">
        <f t="shared" ref="A3170:A3212" si="5429">ROUND(CONCATENATE(U3170,V3170),0)</f>
        <v>73201</v>
      </c>
      <c r="B3170" s="96" t="s">
        <v>0</v>
      </c>
      <c r="C3170" s="97"/>
      <c r="D3170" s="110" t="s">
        <v>46</v>
      </c>
      <c r="E3170" s="111"/>
      <c r="F3170" s="111"/>
      <c r="G3170" s="111"/>
      <c r="H3170" s="112"/>
      <c r="J3170" s="9"/>
      <c r="K3170" s="9"/>
      <c r="L3170" s="9"/>
      <c r="M3170" s="9"/>
      <c r="N3170" s="9"/>
      <c r="O3170" s="9"/>
      <c r="P3170" s="9"/>
      <c r="Q3170" s="9"/>
      <c r="R3170" s="9"/>
      <c r="S3170" s="9"/>
      <c r="T3170" s="9"/>
      <c r="U3170" s="1">
        <f t="shared" ref="U3170" si="5430">U3168+1</f>
        <v>73</v>
      </c>
      <c r="V3170" s="1">
        <v>201</v>
      </c>
    </row>
    <row r="3171" spans="1:22" x14ac:dyDescent="0.3">
      <c r="A3171" s="1">
        <f t="shared" si="5429"/>
        <v>73202</v>
      </c>
      <c r="B3171" s="96" t="s">
        <v>1</v>
      </c>
      <c r="C3171" s="97"/>
      <c r="D3171" s="15">
        <v>20</v>
      </c>
      <c r="E3171" s="16" t="s">
        <v>2</v>
      </c>
      <c r="F3171" s="107"/>
      <c r="G3171" s="108"/>
      <c r="H3171" s="109"/>
      <c r="J3171" s="9"/>
      <c r="K3171" s="9"/>
      <c r="L3171" s="9"/>
      <c r="M3171" s="9"/>
      <c r="N3171" s="9"/>
      <c r="O3171" s="9"/>
      <c r="P3171" s="9"/>
      <c r="Q3171" s="9"/>
      <c r="R3171" s="9"/>
      <c r="S3171" s="9"/>
      <c r="T3171" s="9"/>
      <c r="U3171" s="1">
        <f t="shared" ref="U3171" si="5431">U3170</f>
        <v>73</v>
      </c>
      <c r="V3171" s="1">
        <f t="shared" ref="V3171" si="5432">V3170+1</f>
        <v>202</v>
      </c>
    </row>
    <row r="3172" spans="1:22" x14ac:dyDescent="0.3">
      <c r="A3172" s="1">
        <f t="shared" si="5429"/>
        <v>73203</v>
      </c>
      <c r="B3172" s="96" t="s">
        <v>12</v>
      </c>
      <c r="C3172" s="97"/>
      <c r="D3172" s="110" t="s">
        <v>285</v>
      </c>
      <c r="E3172" s="111"/>
      <c r="F3172" s="111"/>
      <c r="G3172" s="111"/>
      <c r="H3172" s="112"/>
      <c r="K3172" s="1" t="s">
        <v>3</v>
      </c>
      <c r="L3172" s="1" t="s">
        <v>4</v>
      </c>
      <c r="M3172" s="1" t="s">
        <v>5</v>
      </c>
      <c r="N3172" s="1" t="s">
        <v>6</v>
      </c>
      <c r="O3172" s="1" t="s">
        <v>7</v>
      </c>
      <c r="P3172" s="1" t="s">
        <v>8</v>
      </c>
      <c r="Q3172" s="1" t="s">
        <v>9</v>
      </c>
      <c r="R3172" s="1" t="s">
        <v>10</v>
      </c>
      <c r="S3172" s="1" t="s">
        <v>11</v>
      </c>
      <c r="T3172" s="9"/>
      <c r="U3172" s="1">
        <f t="shared" si="5426"/>
        <v>73</v>
      </c>
      <c r="V3172" s="1">
        <f t="shared" si="5427"/>
        <v>203</v>
      </c>
    </row>
    <row r="3173" spans="1:22" x14ac:dyDescent="0.3">
      <c r="A3173" s="1">
        <f t="shared" si="5429"/>
        <v>73204</v>
      </c>
      <c r="B3173" s="96" t="s">
        <v>13</v>
      </c>
      <c r="C3173" s="97"/>
      <c r="D3173" s="110" t="s">
        <v>65</v>
      </c>
      <c r="E3173" s="111"/>
      <c r="F3173" s="111"/>
      <c r="G3173" s="111"/>
      <c r="H3173" s="112"/>
      <c r="J3173" s="1">
        <f t="shared" ref="J3173" si="5433">COUNTA(B3186:B3195)</f>
        <v>4</v>
      </c>
      <c r="K3173" s="1">
        <f t="shared" ref="K3173" si="5434">IF(L3173-1&lt;2,0,L3173-1)</f>
        <v>0</v>
      </c>
      <c r="L3173" s="1">
        <f t="shared" ref="L3173" si="5435">IF(M3173-1&lt;2,0,M3173-1)</f>
        <v>0</v>
      </c>
      <c r="M3173" s="1">
        <f t="shared" ref="M3173" si="5436">IF(N3173-1&lt;2,0,N3173-1)</f>
        <v>0</v>
      </c>
      <c r="N3173" s="1">
        <f t="shared" ref="N3173" si="5437">IF(O3173-1&lt;2,0,O3173-1)</f>
        <v>0</v>
      </c>
      <c r="O3173" s="1">
        <f t="shared" ref="O3173" si="5438">IF(P3173-1&lt;2,0,P3173-1)</f>
        <v>0</v>
      </c>
      <c r="P3173" s="1">
        <f t="shared" ref="P3173" si="5439">IF(Q3173-1&lt;2,0,Q3173-1)</f>
        <v>0</v>
      </c>
      <c r="Q3173" s="1">
        <f t="shared" ref="Q3173" si="5440">IF(R3173-1&lt;2,0,R3173-1)</f>
        <v>2</v>
      </c>
      <c r="R3173" s="1">
        <f t="shared" ref="R3173" si="5441">IF(S3173-1&lt;2,0,S3173-1)</f>
        <v>3</v>
      </c>
      <c r="S3173" s="1">
        <f t="shared" ref="S3173" si="5442">J3173</f>
        <v>4</v>
      </c>
      <c r="T3173" s="9"/>
      <c r="U3173" s="1">
        <f t="shared" si="5426"/>
        <v>73</v>
      </c>
      <c r="V3173" s="1">
        <f t="shared" si="5427"/>
        <v>204</v>
      </c>
    </row>
    <row r="3174" spans="1:22" x14ac:dyDescent="0.3">
      <c r="A3174" s="1">
        <f t="shared" si="5429"/>
        <v>73205</v>
      </c>
      <c r="B3174" s="96" t="s">
        <v>14</v>
      </c>
      <c r="C3174" s="97"/>
      <c r="D3174" s="110" t="s">
        <v>66</v>
      </c>
      <c r="E3174" s="111"/>
      <c r="F3174" s="111"/>
      <c r="G3174" s="111"/>
      <c r="H3174" s="112"/>
      <c r="J3174" s="24" t="str">
        <f t="shared" ref="J3174" si="5443">CONCATENATE(J3173,1)</f>
        <v>41</v>
      </c>
      <c r="K3174" s="25">
        <f t="shared" ref="K3174" si="5444">IF(K3173=0,0,VLOOKUP(J3174,J3178:S3208,K3173,FALSE))</f>
        <v>0</v>
      </c>
      <c r="L3174" s="25">
        <f t="shared" ref="L3174" si="5445">IF(L3173=0,0,VLOOKUP(J3174,J3178:S3208,L3173,FALSE))</f>
        <v>0</v>
      </c>
      <c r="M3174" s="25">
        <f t="shared" ref="M3174" si="5446">IF(M3173=0,0,VLOOKUP(J3174,J3178:S3208,M3173,FALSE))</f>
        <v>0</v>
      </c>
      <c r="N3174" s="25">
        <f t="shared" ref="N3174" si="5447">IF(N3173=0,0,VLOOKUP(J3174,J3178:S3208,N3173,FALSE))</f>
        <v>0</v>
      </c>
      <c r="O3174" s="25">
        <f t="shared" ref="O3174" si="5448">IF(O3173=0,0,VLOOKUP(J3174,J3178:S3208,O3173,FALSE))</f>
        <v>0</v>
      </c>
      <c r="P3174" s="25">
        <f t="shared" ref="P3174" si="5449">IF(P3173=0,0,VLOOKUP(J3174,J3178:S3208,P3173,FALSE))</f>
        <v>0</v>
      </c>
      <c r="Q3174" s="25">
        <f t="shared" ref="Q3174" si="5450">IF(Q3173=0,0,VLOOKUP(J3174,J3178:S3208,Q3173,FALSE))</f>
        <v>-3.2040581707492807E-3</v>
      </c>
      <c r="R3174" s="25">
        <f t="shared" ref="R3174" si="5451">IF(R3173=0,0,VLOOKUP(J3174,J3178:S3208,R3173,FALSE))</f>
        <v>1.4730940103865267</v>
      </c>
      <c r="S3174" s="25">
        <f t="shared" ref="S3174" si="5452">IF(S3173=0,0,VLOOKUP(J3174,J3178:S3208,S3173,FALSE))</f>
        <v>-14.946605000062808</v>
      </c>
      <c r="T3174" s="9"/>
      <c r="U3174" s="1">
        <f t="shared" si="5426"/>
        <v>73</v>
      </c>
      <c r="V3174" s="1">
        <f t="shared" si="5427"/>
        <v>205</v>
      </c>
    </row>
    <row r="3175" spans="1:22" x14ac:dyDescent="0.3">
      <c r="A3175" s="1">
        <f t="shared" si="5429"/>
        <v>73206</v>
      </c>
      <c r="B3175" s="96" t="s">
        <v>15</v>
      </c>
      <c r="C3175" s="97"/>
      <c r="D3175" s="110" t="s">
        <v>286</v>
      </c>
      <c r="E3175" s="111"/>
      <c r="F3175" s="111"/>
      <c r="G3175" s="111"/>
      <c r="H3175" s="112"/>
      <c r="J3175" s="24" t="str">
        <f t="shared" ref="J3175" si="5453">CONCATENATE(J3173,2)</f>
        <v>42</v>
      </c>
      <c r="K3175" s="6">
        <f t="shared" ref="K3175" si="5454">IF(K3173=0,0,VLOOKUP(J3175,J3178:S3208,K3173,FALSE))</f>
        <v>0</v>
      </c>
      <c r="L3175" s="6">
        <f t="shared" ref="L3175" si="5455">IF(L3173=0,0,VLOOKUP(J3175,J3178:S3208,L3173,FALSE))</f>
        <v>0</v>
      </c>
      <c r="M3175" s="6">
        <f t="shared" ref="M3175" si="5456">IF(M3173=0,0,VLOOKUP(J3175,J3178:S3208,M3173,FALSE))</f>
        <v>0</v>
      </c>
      <c r="N3175" s="6">
        <f t="shared" ref="N3175" si="5457">IF(N3173=0,0,VLOOKUP(J3175,J3178:S3208,N3173,FALSE))</f>
        <v>0</v>
      </c>
      <c r="O3175" s="6">
        <f t="shared" ref="O3175" si="5458">IF(O3173=0,0,VLOOKUP(J3175,J3178:S3208,O3173,FALSE))</f>
        <v>0</v>
      </c>
      <c r="P3175" s="6">
        <f t="shared" ref="P3175" si="5459">IF(P3173=0,0,VLOOKUP(J3175,J3178:S3208,P3173,FALSE))</f>
        <v>0</v>
      </c>
      <c r="Q3175" s="6">
        <f t="shared" ref="Q3175" si="5460">IF(Q3173=0,0,VLOOKUP(J3175,J3178:S3208,Q3173,FALSE))</f>
        <v>9.7998812851413553E-4</v>
      </c>
      <c r="R3175" s="6">
        <f t="shared" ref="R3175" si="5461">IF(R3173=0,0,VLOOKUP(J3175,J3178:S3208,R3173,FALSE))</f>
        <v>0.11997070589295529</v>
      </c>
      <c r="S3175" s="6">
        <f t="shared" ref="S3175" si="5462">IF(S3173=0,0,VLOOKUP(J3175,J3178:S3208,S3173,FALSE))</f>
        <v>3.3423629643224668</v>
      </c>
      <c r="T3175" s="9"/>
      <c r="U3175" s="1">
        <f t="shared" si="5426"/>
        <v>73</v>
      </c>
      <c r="V3175" s="1">
        <f t="shared" si="5427"/>
        <v>206</v>
      </c>
    </row>
    <row r="3176" spans="1:22" x14ac:dyDescent="0.3">
      <c r="A3176" s="1">
        <f t="shared" si="5429"/>
        <v>73207</v>
      </c>
      <c r="B3176" s="96" t="s">
        <v>16</v>
      </c>
      <c r="C3176" s="97"/>
      <c r="D3176" s="113">
        <v>45520</v>
      </c>
      <c r="E3176" s="114"/>
      <c r="F3176" s="114"/>
      <c r="G3176" s="114"/>
      <c r="H3176" s="115"/>
      <c r="J3176" s="24" t="str">
        <f t="shared" ref="J3176" si="5463">CONCATENATE(J3173,3)</f>
        <v>43</v>
      </c>
      <c r="K3176" s="6"/>
      <c r="L3176" s="6"/>
      <c r="M3176" s="6"/>
      <c r="N3176" s="6" t="s">
        <v>43</v>
      </c>
      <c r="O3176" s="25">
        <f t="shared" ref="O3176" si="5464">J3173-2</f>
        <v>2</v>
      </c>
      <c r="P3176" s="6" t="s">
        <v>44</v>
      </c>
      <c r="Q3176" s="25">
        <f t="shared" ref="Q3176" si="5465">VLOOKUP(J3176,J3178:S3208,3,FALSE)</f>
        <v>0.65072867974367377</v>
      </c>
      <c r="R3176" s="6" t="s">
        <v>45</v>
      </c>
      <c r="S3176" s="6">
        <f t="shared" ref="S3176" si="5466">VLOOKUP(J3176,J3178:S3208,2,FALSE)</f>
        <v>0.99978827609267951</v>
      </c>
      <c r="T3176" s="9"/>
      <c r="U3176" s="1">
        <f t="shared" si="5426"/>
        <v>73</v>
      </c>
      <c r="V3176" s="1">
        <f t="shared" si="5427"/>
        <v>207</v>
      </c>
    </row>
    <row r="3177" spans="1:22" x14ac:dyDescent="0.3">
      <c r="A3177" s="1">
        <f t="shared" si="5429"/>
        <v>73208</v>
      </c>
      <c r="B3177" s="96" t="s">
        <v>17</v>
      </c>
      <c r="C3177" s="97"/>
      <c r="D3177" s="116">
        <v>45899</v>
      </c>
      <c r="E3177" s="117"/>
      <c r="F3177" s="117"/>
      <c r="G3177" s="117"/>
      <c r="H3177" s="118"/>
      <c r="K3177" s="1">
        <v>3</v>
      </c>
      <c r="L3177" s="1">
        <v>3</v>
      </c>
      <c r="Q3177" s="26"/>
      <c r="R3177" s="26"/>
      <c r="S3177" s="26"/>
      <c r="T3177" s="9"/>
      <c r="U3177" s="1">
        <f t="shared" si="5426"/>
        <v>73</v>
      </c>
      <c r="V3177" s="1">
        <f t="shared" si="5427"/>
        <v>208</v>
      </c>
    </row>
    <row r="3178" spans="1:22" x14ac:dyDescent="0.3">
      <c r="A3178" s="1">
        <f t="shared" si="5429"/>
        <v>73209</v>
      </c>
      <c r="B3178" s="77" t="s">
        <v>19</v>
      </c>
      <c r="C3178" s="78"/>
      <c r="D3178" s="17">
        <v>1</v>
      </c>
      <c r="E3178" s="79" t="s">
        <v>40</v>
      </c>
      <c r="F3178" s="80"/>
      <c r="G3178" s="81"/>
      <c r="H3178" s="18" t="s">
        <v>72</v>
      </c>
      <c r="J3178" s="24" t="str">
        <f t="shared" ref="J3178" si="5467">CONCATENATE(K3177,1)</f>
        <v>31</v>
      </c>
      <c r="K3178" s="6">
        <f t="array" ref="K3178:L3180">LINEST(B3186:B3188,C3186:C3188^{1},TRUE,TRUE)</f>
        <v>1.1400651465798044</v>
      </c>
      <c r="L3178" s="6">
        <v>-7.0032573289902231</v>
      </c>
      <c r="Q3178" s="9"/>
      <c r="R3178" s="9"/>
      <c r="S3178" s="9"/>
      <c r="T3178" s="9"/>
      <c r="U3178" s="1">
        <f t="shared" si="5426"/>
        <v>73</v>
      </c>
      <c r="V3178" s="1">
        <f t="shared" si="5427"/>
        <v>209</v>
      </c>
    </row>
    <row r="3179" spans="1:22" x14ac:dyDescent="0.3">
      <c r="A3179" s="1">
        <f t="shared" si="5429"/>
        <v>73210</v>
      </c>
      <c r="B3179" s="77" t="s">
        <v>41</v>
      </c>
      <c r="C3179" s="78"/>
      <c r="D3179" s="23">
        <f t="shared" ref="D3179" si="5468">MIN(B3186:B3195)</f>
        <v>30</v>
      </c>
      <c r="E3179" s="20" t="s">
        <v>18</v>
      </c>
      <c r="F3179" s="19">
        <f t="shared" ref="F3179" si="5469">MAX(B3186:B3195)</f>
        <v>90</v>
      </c>
      <c r="G3179" s="21" t="str">
        <f t="shared" ref="G3179" si="5470">IF(H3178="","",H3178)</f>
        <v>%ur</v>
      </c>
      <c r="H3179" s="22"/>
      <c r="J3179" s="24" t="str">
        <f t="shared" ref="J3179" si="5471">CONCATENATE(K3177,2)</f>
        <v>32</v>
      </c>
      <c r="K3179" s="6">
        <v>5.6418593080419258E-2</v>
      </c>
      <c r="L3179" s="6">
        <v>2.9341284755409789</v>
      </c>
      <c r="Q3179" s="9"/>
      <c r="R3179" s="9"/>
      <c r="S3179" s="9"/>
      <c r="T3179" s="9"/>
      <c r="U3179" s="1">
        <f t="shared" si="5426"/>
        <v>73</v>
      </c>
      <c r="V3179" s="1">
        <f t="shared" si="5427"/>
        <v>210</v>
      </c>
    </row>
    <row r="3180" spans="1:22" x14ac:dyDescent="0.3">
      <c r="A3180" s="1">
        <f t="shared" si="5429"/>
        <v>73211</v>
      </c>
      <c r="J3180" s="24" t="str">
        <f t="shared" ref="J3180" si="5472">CONCATENATE(K3177,3)</f>
        <v>33</v>
      </c>
      <c r="K3180" s="6">
        <v>0.99755700325732899</v>
      </c>
      <c r="L3180" s="6">
        <v>1.3979976373859841</v>
      </c>
      <c r="Q3180" s="9"/>
      <c r="R3180" s="9"/>
      <c r="S3180" s="9"/>
      <c r="T3180" s="9"/>
      <c r="U3180" s="1">
        <f t="shared" si="5426"/>
        <v>73</v>
      </c>
      <c r="V3180" s="1">
        <f t="shared" si="5427"/>
        <v>211</v>
      </c>
    </row>
    <row r="3181" spans="1:22" x14ac:dyDescent="0.3">
      <c r="A3181" s="1">
        <f t="shared" si="5429"/>
        <v>73212</v>
      </c>
      <c r="B3181" s="82" t="s">
        <v>20</v>
      </c>
      <c r="C3181" s="83"/>
      <c r="D3181" s="83"/>
      <c r="E3181" s="83"/>
      <c r="F3181" s="84"/>
      <c r="G3181" s="85" t="s">
        <v>31</v>
      </c>
      <c r="H3181" s="86"/>
      <c r="K3181" s="1">
        <v>4</v>
      </c>
      <c r="L3181" s="1">
        <v>4</v>
      </c>
      <c r="M3181" s="1">
        <v>4</v>
      </c>
      <c r="Q3181" s="9"/>
      <c r="R3181" s="9"/>
      <c r="S3181" s="9"/>
      <c r="T3181" s="9"/>
      <c r="U3181" s="1">
        <f t="shared" si="5426"/>
        <v>73</v>
      </c>
      <c r="V3181" s="1">
        <f t="shared" si="5427"/>
        <v>212</v>
      </c>
    </row>
    <row r="3182" spans="1:22" x14ac:dyDescent="0.3">
      <c r="A3182" s="1">
        <f t="shared" si="5429"/>
        <v>73213</v>
      </c>
      <c r="B3182" s="82" t="s">
        <v>30</v>
      </c>
      <c r="C3182" s="83"/>
      <c r="D3182" s="84"/>
      <c r="E3182" s="82" t="str">
        <f t="shared" ref="E3182" si="5473">D3175</f>
        <v>E0307/24</v>
      </c>
      <c r="F3182" s="84"/>
      <c r="G3182" s="6" t="s">
        <v>32</v>
      </c>
      <c r="H3182" s="7"/>
      <c r="J3182" s="24" t="str">
        <f t="shared" ref="J3182" si="5474">CONCATENATE(K3181,1)</f>
        <v>41</v>
      </c>
      <c r="K3182" s="6">
        <f t="array" ref="K3182:M3184">LINEST(B3186:B3189,C3186:C3189^{1,2},TRUE,TRUE)</f>
        <v>-3.2040581707492807E-3</v>
      </c>
      <c r="L3182" s="6">
        <v>1.4730940103865267</v>
      </c>
      <c r="M3182" s="6">
        <v>-14.946605000062808</v>
      </c>
      <c r="Q3182" s="9"/>
      <c r="R3182" s="9"/>
      <c r="S3182" s="9"/>
      <c r="T3182" s="9"/>
      <c r="U3182" s="1">
        <f t="shared" si="5426"/>
        <v>73</v>
      </c>
      <c r="V3182" s="1">
        <f t="shared" si="5427"/>
        <v>213</v>
      </c>
    </row>
    <row r="3183" spans="1:22" x14ac:dyDescent="0.3">
      <c r="A3183" s="1">
        <f t="shared" si="5429"/>
        <v>73214</v>
      </c>
      <c r="B3183" s="2" t="s">
        <v>21</v>
      </c>
      <c r="C3183" s="2" t="s">
        <v>22</v>
      </c>
      <c r="D3183" s="2" t="s">
        <v>23</v>
      </c>
      <c r="E3183" s="2"/>
      <c r="F3183" s="2" t="s">
        <v>28</v>
      </c>
      <c r="G3183" s="2" t="s">
        <v>21</v>
      </c>
      <c r="H3183" s="2" t="s">
        <v>22</v>
      </c>
      <c r="J3183" s="24" t="str">
        <f t="shared" ref="J3183" si="5475">CONCATENATE(K3181,2)</f>
        <v>42</v>
      </c>
      <c r="K3183" s="6">
        <v>9.7998812851413553E-4</v>
      </c>
      <c r="L3183" s="6">
        <v>0.11997070589295529</v>
      </c>
      <c r="M3183" s="6">
        <v>3.3423629643224668</v>
      </c>
      <c r="Q3183" s="9"/>
      <c r="R3183" s="9"/>
      <c r="S3183" s="9"/>
      <c r="T3183" s="9"/>
      <c r="U3183" s="1">
        <f t="shared" si="5426"/>
        <v>73</v>
      </c>
      <c r="V3183" s="1">
        <f t="shared" si="5427"/>
        <v>214</v>
      </c>
    </row>
    <row r="3184" spans="1:22" x14ac:dyDescent="0.3">
      <c r="A3184" s="1">
        <f t="shared" si="5429"/>
        <v>73215</v>
      </c>
      <c r="B3184" s="2" t="s">
        <v>24</v>
      </c>
      <c r="C3184" s="2" t="s">
        <v>25</v>
      </c>
      <c r="D3184" s="2" t="s">
        <v>26</v>
      </c>
      <c r="E3184" s="2" t="s">
        <v>27</v>
      </c>
      <c r="F3184" s="2" t="s">
        <v>29</v>
      </c>
      <c r="G3184" s="2" t="s">
        <v>24</v>
      </c>
      <c r="H3184" s="2" t="s">
        <v>25</v>
      </c>
      <c r="J3184" s="24" t="str">
        <f t="shared" ref="J3184" si="5476">CONCATENATE(K3181,3)</f>
        <v>43</v>
      </c>
      <c r="K3184" s="6">
        <v>0.99978827609267951</v>
      </c>
      <c r="L3184" s="6">
        <v>0.65072867974367377</v>
      </c>
      <c r="M3184" s="6" t="e">
        <v>#N/A</v>
      </c>
      <c r="Q3184" s="9"/>
      <c r="R3184" s="9"/>
      <c r="S3184" s="9"/>
      <c r="T3184" s="9"/>
      <c r="U3184" s="1">
        <f t="shared" si="5426"/>
        <v>73</v>
      </c>
      <c r="V3184" s="1">
        <f t="shared" si="5427"/>
        <v>215</v>
      </c>
    </row>
    <row r="3185" spans="1:22" x14ac:dyDescent="0.3">
      <c r="A3185" s="1">
        <f t="shared" si="5429"/>
        <v>73216</v>
      </c>
      <c r="B3185" s="3" t="str">
        <f t="shared" ref="B3185" si="5477">H3178</f>
        <v>%ur</v>
      </c>
      <c r="C3185" s="3" t="str">
        <f t="shared" ref="C3185" si="5478">B3185</f>
        <v>%ur</v>
      </c>
      <c r="D3185" s="3" t="str">
        <f t="shared" ref="D3185" si="5479">C3185</f>
        <v>%ur</v>
      </c>
      <c r="E3185" s="3"/>
      <c r="F3185" s="3"/>
      <c r="G3185" s="3" t="str">
        <f t="shared" ref="G3185" si="5480">D3185</f>
        <v>%ur</v>
      </c>
      <c r="H3185" s="3" t="str">
        <f t="shared" ref="H3185" si="5481">G3185</f>
        <v>%ur</v>
      </c>
      <c r="K3185" s="1">
        <v>5</v>
      </c>
      <c r="L3185" s="1">
        <v>5</v>
      </c>
      <c r="M3185" s="1">
        <v>5</v>
      </c>
      <c r="N3185" s="1">
        <v>5</v>
      </c>
      <c r="Q3185" s="9"/>
      <c r="R3185" s="9"/>
      <c r="S3185" s="9"/>
      <c r="T3185" s="9"/>
      <c r="U3185" s="1">
        <f t="shared" si="5426"/>
        <v>73</v>
      </c>
      <c r="V3185" s="1">
        <f t="shared" si="5427"/>
        <v>216</v>
      </c>
    </row>
    <row r="3186" spans="1:22" x14ac:dyDescent="0.3">
      <c r="A3186" s="1">
        <f t="shared" si="5429"/>
        <v>73217</v>
      </c>
      <c r="B3186" s="4">
        <v>30</v>
      </c>
      <c r="C3186" s="4">
        <v>33</v>
      </c>
      <c r="D3186" s="4">
        <v>2</v>
      </c>
      <c r="E3186" s="4">
        <v>2</v>
      </c>
      <c r="F3186" s="14">
        <v>1000000</v>
      </c>
      <c r="G3186" s="8"/>
      <c r="H3186" s="7"/>
      <c r="J3186" s="24" t="str">
        <f t="shared" ref="J3186" si="5482">CONCATENATE(K3185,1)</f>
        <v>51</v>
      </c>
      <c r="K3186" s="6" t="e">
        <f t="array" ref="K3186:N3188">LINEST(B3186:B3190,C3186:C3190^{1,2,3},TRUE,TRUE)</f>
        <v>#VALUE!</v>
      </c>
      <c r="L3186" s="6" t="e">
        <v>#VALUE!</v>
      </c>
      <c r="M3186" s="6" t="e">
        <v>#VALUE!</v>
      </c>
      <c r="N3186" s="6" t="e">
        <v>#VALUE!</v>
      </c>
      <c r="Q3186" s="9"/>
      <c r="R3186" s="9"/>
      <c r="S3186" s="9"/>
      <c r="T3186" s="9"/>
      <c r="U3186" s="1">
        <f t="shared" si="5426"/>
        <v>73</v>
      </c>
      <c r="V3186" s="1">
        <f t="shared" si="5427"/>
        <v>217</v>
      </c>
    </row>
    <row r="3187" spans="1:22" x14ac:dyDescent="0.3">
      <c r="A3187" s="1">
        <f t="shared" si="5429"/>
        <v>73218</v>
      </c>
      <c r="B3187" s="4">
        <v>50</v>
      </c>
      <c r="C3187" s="4">
        <v>49</v>
      </c>
      <c r="D3187" s="4">
        <v>2</v>
      </c>
      <c r="E3187" s="4">
        <v>2</v>
      </c>
      <c r="F3187" s="14">
        <v>1000000</v>
      </c>
      <c r="G3187" s="8"/>
      <c r="H3187" s="7"/>
      <c r="J3187" s="24" t="str">
        <f t="shared" ref="J3187" si="5483">CONCATENATE(K3185,2)</f>
        <v>52</v>
      </c>
      <c r="K3187" s="6" t="e">
        <v>#VALUE!</v>
      </c>
      <c r="L3187" s="6" t="e">
        <v>#VALUE!</v>
      </c>
      <c r="M3187" s="6" t="e">
        <v>#VALUE!</v>
      </c>
      <c r="N3187" s="6" t="e">
        <v>#VALUE!</v>
      </c>
      <c r="T3187" s="9"/>
      <c r="U3187" s="1">
        <f t="shared" si="5426"/>
        <v>73</v>
      </c>
      <c r="V3187" s="1">
        <f t="shared" si="5427"/>
        <v>218</v>
      </c>
    </row>
    <row r="3188" spans="1:22" x14ac:dyDescent="0.3">
      <c r="A3188" s="1">
        <f t="shared" si="5429"/>
        <v>73219</v>
      </c>
      <c r="B3188" s="4">
        <v>70</v>
      </c>
      <c r="C3188" s="4">
        <v>68</v>
      </c>
      <c r="D3188" s="4">
        <v>2</v>
      </c>
      <c r="E3188" s="4">
        <v>2</v>
      </c>
      <c r="F3188" s="14">
        <v>1000000</v>
      </c>
      <c r="G3188" s="8"/>
      <c r="H3188" s="7"/>
      <c r="J3188" s="24" t="str">
        <f t="shared" ref="J3188" si="5484">CONCATENATE(K3185,3)</f>
        <v>53</v>
      </c>
      <c r="K3188" s="6" t="e">
        <v>#VALUE!</v>
      </c>
      <c r="L3188" s="6" t="e">
        <v>#VALUE!</v>
      </c>
      <c r="M3188" s="6" t="e">
        <v>#VALUE!</v>
      </c>
      <c r="N3188" s="6" t="e">
        <v>#VALUE!</v>
      </c>
      <c r="T3188" s="9"/>
      <c r="U3188" s="1">
        <f t="shared" si="5426"/>
        <v>73</v>
      </c>
      <c r="V3188" s="1">
        <f t="shared" si="5427"/>
        <v>219</v>
      </c>
    </row>
    <row r="3189" spans="1:22" x14ac:dyDescent="0.3">
      <c r="A3189" s="1">
        <f t="shared" si="5429"/>
        <v>73220</v>
      </c>
      <c r="B3189" s="4">
        <v>90</v>
      </c>
      <c r="C3189" s="4">
        <v>88</v>
      </c>
      <c r="D3189" s="4">
        <v>2</v>
      </c>
      <c r="E3189" s="4">
        <v>2</v>
      </c>
      <c r="F3189" s="14">
        <v>1000000</v>
      </c>
      <c r="G3189" s="8"/>
      <c r="H3189" s="7"/>
      <c r="K3189" s="1">
        <v>6</v>
      </c>
      <c r="L3189" s="1">
        <v>6</v>
      </c>
      <c r="M3189" s="1">
        <v>6</v>
      </c>
      <c r="N3189" s="1">
        <v>6</v>
      </c>
      <c r="O3189" s="1">
        <v>6</v>
      </c>
      <c r="T3189" s="9"/>
      <c r="U3189" s="1">
        <f t="shared" si="5426"/>
        <v>73</v>
      </c>
      <c r="V3189" s="1">
        <f t="shared" si="5427"/>
        <v>220</v>
      </c>
    </row>
    <row r="3190" spans="1:22" x14ac:dyDescent="0.3">
      <c r="A3190" s="1">
        <f t="shared" si="5429"/>
        <v>73221</v>
      </c>
      <c r="B3190" s="4"/>
      <c r="C3190" s="4"/>
      <c r="D3190" s="4"/>
      <c r="E3190" s="4"/>
      <c r="F3190" s="14"/>
      <c r="G3190" s="8"/>
      <c r="H3190" s="7"/>
      <c r="J3190" s="24" t="str">
        <f t="shared" ref="J3190" si="5485">CONCATENATE(K3189,1)</f>
        <v>61</v>
      </c>
      <c r="K3190" s="6" t="e">
        <f t="array" ref="K3190:O3192">LINEST(B3186:B3191,C3186:C3191^{1,2,3,4},TRUE,TRUE)</f>
        <v>#VALUE!</v>
      </c>
      <c r="L3190" s="6" t="e">
        <v>#VALUE!</v>
      </c>
      <c r="M3190" s="6" t="e">
        <v>#VALUE!</v>
      </c>
      <c r="N3190" s="6" t="e">
        <v>#VALUE!</v>
      </c>
      <c r="O3190" s="6" t="e">
        <v>#VALUE!</v>
      </c>
      <c r="T3190" s="9"/>
      <c r="U3190" s="1">
        <f t="shared" si="5426"/>
        <v>73</v>
      </c>
      <c r="V3190" s="1">
        <f t="shared" si="5427"/>
        <v>221</v>
      </c>
    </row>
    <row r="3191" spans="1:22" x14ac:dyDescent="0.3">
      <c r="A3191" s="1">
        <f t="shared" si="5429"/>
        <v>73222</v>
      </c>
      <c r="B3191" s="4"/>
      <c r="C3191" s="4"/>
      <c r="D3191" s="4"/>
      <c r="E3191" s="4"/>
      <c r="F3191" s="14"/>
      <c r="G3191" s="8"/>
      <c r="H3191" s="7"/>
      <c r="J3191" s="24" t="str">
        <f t="shared" ref="J3191" si="5486">CONCATENATE(K3189,2)</f>
        <v>62</v>
      </c>
      <c r="K3191" s="6" t="e">
        <v>#VALUE!</v>
      </c>
      <c r="L3191" s="6" t="e">
        <v>#VALUE!</v>
      </c>
      <c r="M3191" s="6" t="e">
        <v>#VALUE!</v>
      </c>
      <c r="N3191" s="6" t="e">
        <v>#VALUE!</v>
      </c>
      <c r="O3191" s="6" t="e">
        <v>#VALUE!</v>
      </c>
      <c r="T3191" s="9"/>
      <c r="U3191" s="1">
        <f t="shared" si="5426"/>
        <v>73</v>
      </c>
      <c r="V3191" s="1">
        <f t="shared" si="5427"/>
        <v>222</v>
      </c>
    </row>
    <row r="3192" spans="1:22" x14ac:dyDescent="0.3">
      <c r="A3192" s="1">
        <f t="shared" si="5429"/>
        <v>73223</v>
      </c>
      <c r="B3192" s="4"/>
      <c r="C3192" s="4"/>
      <c r="D3192" s="4"/>
      <c r="E3192" s="4"/>
      <c r="F3192" s="14"/>
      <c r="G3192" s="8"/>
      <c r="H3192" s="7"/>
      <c r="J3192" s="24" t="str">
        <f t="shared" ref="J3192" si="5487">CONCATENATE(K3189,3)</f>
        <v>63</v>
      </c>
      <c r="K3192" s="6" t="e">
        <v>#VALUE!</v>
      </c>
      <c r="L3192" s="6" t="e">
        <v>#VALUE!</v>
      </c>
      <c r="M3192" s="6" t="e">
        <v>#VALUE!</v>
      </c>
      <c r="N3192" s="6" t="e">
        <v>#VALUE!</v>
      </c>
      <c r="O3192" s="6" t="e">
        <v>#VALUE!</v>
      </c>
      <c r="T3192" s="9"/>
      <c r="U3192" s="1">
        <f t="shared" si="5426"/>
        <v>73</v>
      </c>
      <c r="V3192" s="1">
        <f t="shared" si="5427"/>
        <v>223</v>
      </c>
    </row>
    <row r="3193" spans="1:22" x14ac:dyDescent="0.3">
      <c r="A3193" s="1">
        <f t="shared" si="5429"/>
        <v>73224</v>
      </c>
      <c r="B3193" s="4"/>
      <c r="C3193" s="4"/>
      <c r="D3193" s="4"/>
      <c r="E3193" s="4"/>
      <c r="F3193" s="14"/>
      <c r="G3193" s="8"/>
      <c r="H3193" s="7"/>
      <c r="K3193" s="1">
        <v>7</v>
      </c>
      <c r="L3193" s="1">
        <v>7</v>
      </c>
      <c r="M3193" s="1">
        <v>7</v>
      </c>
      <c r="N3193" s="1">
        <v>7</v>
      </c>
      <c r="O3193" s="1">
        <v>7</v>
      </c>
      <c r="P3193" s="1">
        <v>7</v>
      </c>
      <c r="T3193" s="9"/>
      <c r="U3193" s="1">
        <f t="shared" si="5426"/>
        <v>73</v>
      </c>
      <c r="V3193" s="1">
        <f t="shared" si="5427"/>
        <v>224</v>
      </c>
    </row>
    <row r="3194" spans="1:22" x14ac:dyDescent="0.3">
      <c r="A3194" s="1">
        <f t="shared" si="5429"/>
        <v>73225</v>
      </c>
      <c r="B3194" s="4"/>
      <c r="C3194" s="4"/>
      <c r="D3194" s="4"/>
      <c r="E3194" s="4"/>
      <c r="F3194" s="14"/>
      <c r="G3194" s="8"/>
      <c r="H3194" s="7"/>
      <c r="J3194" s="24" t="str">
        <f t="shared" ref="J3194" si="5488">CONCATENATE(K3193,1)</f>
        <v>71</v>
      </c>
      <c r="K3194" s="6" t="e">
        <f t="array" ref="K3194:P3196">LINEST(B3186:B3192,C3186:C3192^{1,2,3,4,5},TRUE,TRUE)</f>
        <v>#VALUE!</v>
      </c>
      <c r="L3194" s="6" t="e">
        <v>#VALUE!</v>
      </c>
      <c r="M3194" s="6" t="e">
        <v>#VALUE!</v>
      </c>
      <c r="N3194" s="6" t="e">
        <v>#VALUE!</v>
      </c>
      <c r="O3194" s="6" t="e">
        <v>#VALUE!</v>
      </c>
      <c r="P3194" s="6" t="e">
        <v>#VALUE!</v>
      </c>
      <c r="T3194" s="9"/>
      <c r="U3194" s="1">
        <f t="shared" si="5426"/>
        <v>73</v>
      </c>
      <c r="V3194" s="1">
        <f t="shared" si="5427"/>
        <v>225</v>
      </c>
    </row>
    <row r="3195" spans="1:22" x14ac:dyDescent="0.3">
      <c r="A3195" s="1">
        <f t="shared" si="5429"/>
        <v>73226</v>
      </c>
      <c r="B3195" s="4"/>
      <c r="C3195" s="4"/>
      <c r="D3195" s="4"/>
      <c r="E3195" s="4"/>
      <c r="F3195" s="14"/>
      <c r="G3195" s="8"/>
      <c r="H3195" s="7"/>
      <c r="J3195" s="24" t="str">
        <f t="shared" ref="J3195" si="5489">CONCATENATE(K3193,2)</f>
        <v>72</v>
      </c>
      <c r="K3195" s="6" t="e">
        <v>#VALUE!</v>
      </c>
      <c r="L3195" s="6" t="e">
        <v>#VALUE!</v>
      </c>
      <c r="M3195" s="6" t="e">
        <v>#VALUE!</v>
      </c>
      <c r="N3195" s="6" t="e">
        <v>#VALUE!</v>
      </c>
      <c r="O3195" s="6" t="e">
        <v>#VALUE!</v>
      </c>
      <c r="P3195" s="6" t="e">
        <v>#VALUE!</v>
      </c>
      <c r="T3195" s="9"/>
      <c r="U3195" s="1">
        <f t="shared" si="5426"/>
        <v>73</v>
      </c>
      <c r="V3195" s="1">
        <f t="shared" si="5427"/>
        <v>226</v>
      </c>
    </row>
    <row r="3196" spans="1:22" x14ac:dyDescent="0.3">
      <c r="A3196" s="1">
        <f t="shared" si="5429"/>
        <v>73227</v>
      </c>
      <c r="B3196" s="9"/>
      <c r="C3196" s="9"/>
      <c r="D3196" s="9"/>
      <c r="E3196" s="9"/>
      <c r="F3196" s="9"/>
      <c r="G3196" s="9"/>
      <c r="H3196" s="9"/>
      <c r="J3196" s="24" t="str">
        <f t="shared" ref="J3196" si="5490">CONCATENATE(K3193,3)</f>
        <v>73</v>
      </c>
      <c r="K3196" s="6" t="e">
        <v>#VALUE!</v>
      </c>
      <c r="L3196" s="6" t="e">
        <v>#VALUE!</v>
      </c>
      <c r="M3196" s="6" t="e">
        <v>#VALUE!</v>
      </c>
      <c r="N3196" s="6" t="e">
        <v>#VALUE!</v>
      </c>
      <c r="O3196" s="6" t="e">
        <v>#VALUE!</v>
      </c>
      <c r="P3196" s="6" t="e">
        <v>#VALUE!</v>
      </c>
      <c r="T3196" s="9"/>
      <c r="U3196" s="1">
        <f t="shared" si="5426"/>
        <v>73</v>
      </c>
      <c r="V3196" s="1">
        <f t="shared" si="5427"/>
        <v>227</v>
      </c>
    </row>
    <row r="3197" spans="1:22" x14ac:dyDescent="0.3">
      <c r="A3197" s="1">
        <f t="shared" si="5429"/>
        <v>73228</v>
      </c>
      <c r="B3197" s="87" t="s">
        <v>33</v>
      </c>
      <c r="C3197" s="88"/>
      <c r="D3197" s="88"/>
      <c r="E3197" s="88"/>
      <c r="F3197" s="88"/>
      <c r="G3197" s="88"/>
      <c r="H3197" s="89"/>
      <c r="K3197" s="1">
        <v>8</v>
      </c>
      <c r="L3197" s="1">
        <v>8</v>
      </c>
      <c r="M3197" s="1">
        <v>8</v>
      </c>
      <c r="N3197" s="1">
        <v>8</v>
      </c>
      <c r="O3197" s="1">
        <v>8</v>
      </c>
      <c r="P3197" s="1">
        <v>8</v>
      </c>
      <c r="Q3197" s="1">
        <v>8</v>
      </c>
      <c r="T3197" s="9"/>
      <c r="U3197" s="1">
        <f t="shared" si="5426"/>
        <v>73</v>
      </c>
      <c r="V3197" s="1">
        <f t="shared" si="5427"/>
        <v>228</v>
      </c>
    </row>
    <row r="3198" spans="1:22" x14ac:dyDescent="0.3">
      <c r="A3198" s="1">
        <f t="shared" si="5429"/>
        <v>73229</v>
      </c>
      <c r="B3198" s="90"/>
      <c r="C3198" s="91"/>
      <c r="D3198" s="91"/>
      <c r="E3198" s="91"/>
      <c r="F3198" s="91"/>
      <c r="G3198" s="91"/>
      <c r="H3198" s="92"/>
      <c r="J3198" s="24" t="str">
        <f t="shared" ref="J3198" si="5491">CONCATENATE(K3197,1)</f>
        <v>81</v>
      </c>
      <c r="K3198" s="6" t="e">
        <f t="array" ref="K3198:Q3200">LINEST(B3186:B3193,C3186:C3193^{1,2,3,4,5,6},TRUE,TRUE)</f>
        <v>#VALUE!</v>
      </c>
      <c r="L3198" s="6" t="e">
        <v>#VALUE!</v>
      </c>
      <c r="M3198" s="6" t="e">
        <v>#VALUE!</v>
      </c>
      <c r="N3198" s="6" t="e">
        <v>#VALUE!</v>
      </c>
      <c r="O3198" s="6" t="e">
        <v>#VALUE!</v>
      </c>
      <c r="P3198" s="6" t="e">
        <v>#VALUE!</v>
      </c>
      <c r="Q3198" s="6" t="e">
        <v>#VALUE!</v>
      </c>
      <c r="T3198" s="9"/>
      <c r="U3198" s="1">
        <f t="shared" si="5426"/>
        <v>73</v>
      </c>
      <c r="V3198" s="1">
        <f t="shared" si="5427"/>
        <v>229</v>
      </c>
    </row>
    <row r="3199" spans="1:22" x14ac:dyDescent="0.3">
      <c r="A3199" s="1">
        <f t="shared" si="5429"/>
        <v>73230</v>
      </c>
      <c r="B3199" s="93"/>
      <c r="C3199" s="94"/>
      <c r="D3199" s="94"/>
      <c r="E3199" s="94"/>
      <c r="F3199" s="94"/>
      <c r="G3199" s="94"/>
      <c r="H3199" s="95"/>
      <c r="J3199" s="24" t="str">
        <f t="shared" ref="J3199" si="5492">CONCATENATE(K3197,2)</f>
        <v>82</v>
      </c>
      <c r="K3199" s="6" t="e">
        <v>#VALUE!</v>
      </c>
      <c r="L3199" s="6" t="e">
        <v>#VALUE!</v>
      </c>
      <c r="M3199" s="6" t="e">
        <v>#VALUE!</v>
      </c>
      <c r="N3199" s="6" t="e">
        <v>#VALUE!</v>
      </c>
      <c r="O3199" s="6" t="e">
        <v>#VALUE!</v>
      </c>
      <c r="P3199" s="6" t="e">
        <v>#VALUE!</v>
      </c>
      <c r="Q3199" s="6" t="e">
        <v>#VALUE!</v>
      </c>
      <c r="T3199" s="9"/>
      <c r="U3199" s="1">
        <f t="shared" si="5426"/>
        <v>73</v>
      </c>
      <c r="V3199" s="1">
        <f t="shared" si="5427"/>
        <v>230</v>
      </c>
    </row>
    <row r="3200" spans="1:22" x14ac:dyDescent="0.3">
      <c r="A3200" s="1">
        <f t="shared" si="5429"/>
        <v>73231</v>
      </c>
      <c r="J3200" s="24" t="str">
        <f t="shared" ref="J3200" si="5493">CONCATENATE(K3197,3)</f>
        <v>83</v>
      </c>
      <c r="K3200" s="6" t="e">
        <v>#VALUE!</v>
      </c>
      <c r="L3200" s="6" t="e">
        <v>#VALUE!</v>
      </c>
      <c r="M3200" s="6" t="e">
        <v>#VALUE!</v>
      </c>
      <c r="N3200" s="6" t="e">
        <v>#VALUE!</v>
      </c>
      <c r="O3200" s="6" t="e">
        <v>#VALUE!</v>
      </c>
      <c r="P3200" s="6" t="e">
        <v>#VALUE!</v>
      </c>
      <c r="Q3200" s="6" t="e">
        <v>#VALUE!</v>
      </c>
      <c r="T3200" s="9"/>
      <c r="U3200" s="1">
        <f t="shared" si="5426"/>
        <v>73</v>
      </c>
      <c r="V3200" s="1">
        <f t="shared" si="5427"/>
        <v>231</v>
      </c>
    </row>
    <row r="3201" spans="1:22" ht="15" customHeight="1" x14ac:dyDescent="0.3">
      <c r="A3201" s="1">
        <f t="shared" si="5429"/>
        <v>73232</v>
      </c>
      <c r="B3201" s="10" t="s">
        <v>34</v>
      </c>
      <c r="C3201" s="10" t="s">
        <v>35</v>
      </c>
      <c r="D3201" s="10" t="s">
        <v>36</v>
      </c>
      <c r="E3201" s="74" t="s">
        <v>37</v>
      </c>
      <c r="F3201" s="75"/>
      <c r="G3201" s="76"/>
      <c r="K3201" s="1">
        <v>9</v>
      </c>
      <c r="L3201" s="1">
        <v>9</v>
      </c>
      <c r="M3201" s="1">
        <v>9</v>
      </c>
      <c r="N3201" s="1">
        <v>9</v>
      </c>
      <c r="O3201" s="1">
        <v>9</v>
      </c>
      <c r="P3201" s="1">
        <v>9</v>
      </c>
      <c r="Q3201" s="1">
        <v>9</v>
      </c>
      <c r="R3201" s="1">
        <v>9</v>
      </c>
      <c r="T3201" s="9"/>
      <c r="U3201" s="1">
        <f t="shared" si="5426"/>
        <v>73</v>
      </c>
      <c r="V3201" s="1">
        <f t="shared" si="5427"/>
        <v>232</v>
      </c>
    </row>
    <row r="3202" spans="1:22" x14ac:dyDescent="0.3">
      <c r="A3202" s="1">
        <f t="shared" si="5429"/>
        <v>73233</v>
      </c>
      <c r="B3202" s="12">
        <f t="shared" ref="B3202:B3211" si="5494">C3186-B3186</f>
        <v>3</v>
      </c>
      <c r="C3202" s="13">
        <f t="shared" ref="C3202:C3211" si="5495">H3186-G3186</f>
        <v>0</v>
      </c>
      <c r="D3202" s="10">
        <f t="shared" ref="D3202:D3211" si="5496">C3202-B3202</f>
        <v>-3</v>
      </c>
      <c r="E3202" s="11">
        <f t="shared" ref="E3202" si="5497">IF(D3177="","",MAX(F3202,G3202))</f>
        <v>3</v>
      </c>
      <c r="F3202" s="10">
        <f t="shared" ref="F3202" si="5498">ABS(MIN(D3202:D3211))</f>
        <v>3</v>
      </c>
      <c r="G3202" s="10">
        <f t="shared" ref="G3202" si="5499">ABS(MAX(D3202:D3211))</f>
        <v>2</v>
      </c>
      <c r="J3202" s="24" t="str">
        <f t="shared" ref="J3202" si="5500">CONCATENATE(K3201,1)</f>
        <v>91</v>
      </c>
      <c r="K3202" s="6" t="e">
        <f t="array" ref="K3202:R3204">LINEST(B3186:B3194,C3186:C3194^{1,2,3,4,5,6,7},TRUE,TRUE)</f>
        <v>#VALUE!</v>
      </c>
      <c r="L3202" s="6" t="e">
        <v>#VALUE!</v>
      </c>
      <c r="M3202" s="6" t="e">
        <v>#VALUE!</v>
      </c>
      <c r="N3202" s="6" t="e">
        <v>#VALUE!</v>
      </c>
      <c r="O3202" s="6" t="e">
        <v>#VALUE!</v>
      </c>
      <c r="P3202" s="6" t="e">
        <v>#VALUE!</v>
      </c>
      <c r="Q3202" s="6" t="e">
        <v>#VALUE!</v>
      </c>
      <c r="R3202" s="6" t="e">
        <v>#VALUE!</v>
      </c>
      <c r="T3202" s="9"/>
      <c r="U3202" s="1">
        <f t="shared" si="5426"/>
        <v>73</v>
      </c>
      <c r="V3202" s="1">
        <f t="shared" si="5427"/>
        <v>233</v>
      </c>
    </row>
    <row r="3203" spans="1:22" x14ac:dyDescent="0.3">
      <c r="A3203" s="1">
        <f t="shared" si="5429"/>
        <v>73234</v>
      </c>
      <c r="B3203" s="12">
        <f t="shared" si="5494"/>
        <v>-1</v>
      </c>
      <c r="C3203" s="13">
        <f t="shared" si="5495"/>
        <v>0</v>
      </c>
      <c r="D3203" s="10">
        <f t="shared" si="5496"/>
        <v>1</v>
      </c>
      <c r="E3203" s="74" t="s">
        <v>38</v>
      </c>
      <c r="F3203" s="75"/>
      <c r="G3203" s="76"/>
      <c r="J3203" s="24" t="str">
        <f t="shared" ref="J3203" si="5501">CONCATENATE(K3201,2)</f>
        <v>92</v>
      </c>
      <c r="K3203" s="6" t="e">
        <v>#VALUE!</v>
      </c>
      <c r="L3203" s="6" t="e">
        <v>#VALUE!</v>
      </c>
      <c r="M3203" s="6" t="e">
        <v>#VALUE!</v>
      </c>
      <c r="N3203" s="6" t="e">
        <v>#VALUE!</v>
      </c>
      <c r="O3203" s="6" t="e">
        <v>#VALUE!</v>
      </c>
      <c r="P3203" s="6" t="e">
        <v>#VALUE!</v>
      </c>
      <c r="Q3203" s="6" t="e">
        <v>#VALUE!</v>
      </c>
      <c r="R3203" s="6" t="e">
        <v>#VALUE!</v>
      </c>
      <c r="T3203" s="9"/>
      <c r="U3203" s="1">
        <f t="shared" si="5426"/>
        <v>73</v>
      </c>
      <c r="V3203" s="1">
        <f t="shared" si="5427"/>
        <v>234</v>
      </c>
    </row>
    <row r="3204" spans="1:22" x14ac:dyDescent="0.3">
      <c r="A3204" s="1">
        <f t="shared" si="5429"/>
        <v>73235</v>
      </c>
      <c r="B3204" s="12">
        <f t="shared" si="5494"/>
        <v>-2</v>
      </c>
      <c r="C3204" s="13">
        <f t="shared" si="5495"/>
        <v>0</v>
      </c>
      <c r="D3204" s="10">
        <f t="shared" si="5496"/>
        <v>2</v>
      </c>
      <c r="E3204" s="11">
        <f t="shared" ref="E3204" si="5502">IF(D3177="","",MAX(F3204,G3204))</f>
        <v>3</v>
      </c>
      <c r="F3204" s="10">
        <f t="shared" ref="F3204" si="5503">ABS(MIN(B3202:B3211))</f>
        <v>2</v>
      </c>
      <c r="G3204" s="10">
        <f t="shared" ref="G3204" si="5504">ABS(MAX(B3202:B3211))</f>
        <v>3</v>
      </c>
      <c r="J3204" s="24" t="str">
        <f t="shared" ref="J3204" si="5505">CONCATENATE(K3201,3)</f>
        <v>93</v>
      </c>
      <c r="K3204" s="6" t="e">
        <v>#VALUE!</v>
      </c>
      <c r="L3204" s="6" t="e">
        <v>#VALUE!</v>
      </c>
      <c r="M3204" s="6" t="e">
        <v>#VALUE!</v>
      </c>
      <c r="N3204" s="6" t="e">
        <v>#VALUE!</v>
      </c>
      <c r="O3204" s="6" t="e">
        <v>#VALUE!</v>
      </c>
      <c r="P3204" s="6" t="e">
        <v>#VALUE!</v>
      </c>
      <c r="Q3204" s="6" t="e">
        <v>#VALUE!</v>
      </c>
      <c r="R3204" s="6" t="e">
        <v>#VALUE!</v>
      </c>
      <c r="T3204" s="9"/>
      <c r="U3204" s="1">
        <f t="shared" si="5426"/>
        <v>73</v>
      </c>
      <c r="V3204" s="1">
        <f t="shared" si="5427"/>
        <v>235</v>
      </c>
    </row>
    <row r="3205" spans="1:22" x14ac:dyDescent="0.3">
      <c r="A3205" s="1">
        <f t="shared" si="5429"/>
        <v>73236</v>
      </c>
      <c r="B3205" s="12">
        <f t="shared" si="5494"/>
        <v>-2</v>
      </c>
      <c r="C3205" s="13">
        <f t="shared" si="5495"/>
        <v>0</v>
      </c>
      <c r="D3205" s="10">
        <f t="shared" si="5496"/>
        <v>2</v>
      </c>
      <c r="E3205" s="74" t="s">
        <v>39</v>
      </c>
      <c r="F3205" s="75"/>
      <c r="G3205" s="76"/>
      <c r="K3205" s="1">
        <v>10</v>
      </c>
      <c r="L3205" s="1">
        <v>10</v>
      </c>
      <c r="M3205" s="1">
        <v>10</v>
      </c>
      <c r="N3205" s="1">
        <v>10</v>
      </c>
      <c r="O3205" s="1">
        <v>10</v>
      </c>
      <c r="P3205" s="1">
        <v>10</v>
      </c>
      <c r="Q3205" s="1">
        <v>10</v>
      </c>
      <c r="R3205" s="1">
        <v>10</v>
      </c>
      <c r="S3205" s="1">
        <v>10</v>
      </c>
      <c r="T3205" s="9"/>
      <c r="U3205" s="1">
        <f t="shared" si="5426"/>
        <v>73</v>
      </c>
      <c r="V3205" s="1">
        <f t="shared" si="5427"/>
        <v>236</v>
      </c>
    </row>
    <row r="3206" spans="1:22" x14ac:dyDescent="0.3">
      <c r="A3206" s="1">
        <f t="shared" si="5429"/>
        <v>73237</v>
      </c>
      <c r="B3206" s="12">
        <f t="shared" si="5494"/>
        <v>0</v>
      </c>
      <c r="C3206" s="13">
        <f t="shared" si="5495"/>
        <v>0</v>
      </c>
      <c r="D3206" s="10">
        <f t="shared" si="5496"/>
        <v>0</v>
      </c>
      <c r="E3206" s="11">
        <f t="shared" ref="E3206" si="5506">IF(D3177="","",MAX(F3206,G3206))</f>
        <v>2</v>
      </c>
      <c r="F3206" s="10">
        <f t="shared" ref="F3206" si="5507">ABS(MIN(D3186:D3195))</f>
        <v>2</v>
      </c>
      <c r="G3206" s="10">
        <f t="shared" ref="G3206" si="5508">ABS(MAX(D3186:D3195))</f>
        <v>2</v>
      </c>
      <c r="J3206" s="24" t="str">
        <f t="shared" ref="J3206" si="5509">CONCATENATE(K3205,1)</f>
        <v>101</v>
      </c>
      <c r="K3206" s="6" t="e">
        <f t="array" ref="K3206:S3208">LINEST(B3186:B3195,C3186:C3195^{1,2,3,4,5,6,7,8},TRUE,TRUE)</f>
        <v>#VALUE!</v>
      </c>
      <c r="L3206" s="6" t="e">
        <v>#VALUE!</v>
      </c>
      <c r="M3206" s="6" t="e">
        <v>#VALUE!</v>
      </c>
      <c r="N3206" s="6" t="e">
        <v>#VALUE!</v>
      </c>
      <c r="O3206" s="6" t="e">
        <v>#VALUE!</v>
      </c>
      <c r="P3206" s="6" t="e">
        <v>#VALUE!</v>
      </c>
      <c r="Q3206" s="6" t="e">
        <v>#VALUE!</v>
      </c>
      <c r="R3206" s="6" t="e">
        <v>#VALUE!</v>
      </c>
      <c r="S3206" s="6" t="e">
        <v>#VALUE!</v>
      </c>
      <c r="T3206" s="9"/>
      <c r="U3206" s="1">
        <f t="shared" si="5426"/>
        <v>73</v>
      </c>
      <c r="V3206" s="1">
        <f t="shared" si="5427"/>
        <v>237</v>
      </c>
    </row>
    <row r="3207" spans="1:22" x14ac:dyDescent="0.3">
      <c r="A3207" s="1">
        <f t="shared" si="5429"/>
        <v>73238</v>
      </c>
      <c r="B3207" s="12">
        <f t="shared" si="5494"/>
        <v>0</v>
      </c>
      <c r="C3207" s="13">
        <f t="shared" si="5495"/>
        <v>0</v>
      </c>
      <c r="D3207" s="10">
        <f t="shared" si="5496"/>
        <v>0</v>
      </c>
      <c r="J3207" s="24" t="str">
        <f t="shared" ref="J3207" si="5510">CONCATENATE(K3205,2)</f>
        <v>102</v>
      </c>
      <c r="K3207" s="6" t="e">
        <v>#VALUE!</v>
      </c>
      <c r="L3207" s="6" t="e">
        <v>#VALUE!</v>
      </c>
      <c r="M3207" s="6" t="e">
        <v>#VALUE!</v>
      </c>
      <c r="N3207" s="6" t="e">
        <v>#VALUE!</v>
      </c>
      <c r="O3207" s="6" t="e">
        <v>#VALUE!</v>
      </c>
      <c r="P3207" s="6" t="e">
        <v>#VALUE!</v>
      </c>
      <c r="Q3207" s="6" t="e">
        <v>#VALUE!</v>
      </c>
      <c r="R3207" s="6" t="e">
        <v>#VALUE!</v>
      </c>
      <c r="S3207" s="6" t="e">
        <v>#VALUE!</v>
      </c>
      <c r="T3207" s="9"/>
      <c r="U3207" s="1">
        <f t="shared" si="5426"/>
        <v>73</v>
      </c>
      <c r="V3207" s="1">
        <f t="shared" si="5427"/>
        <v>238</v>
      </c>
    </row>
    <row r="3208" spans="1:22" x14ac:dyDescent="0.3">
      <c r="A3208" s="1">
        <f t="shared" si="5429"/>
        <v>73239</v>
      </c>
      <c r="B3208" s="12">
        <f t="shared" si="5494"/>
        <v>0</v>
      </c>
      <c r="C3208" s="13">
        <f t="shared" si="5495"/>
        <v>0</v>
      </c>
      <c r="D3208" s="10">
        <f t="shared" si="5496"/>
        <v>0</v>
      </c>
      <c r="J3208" s="24" t="str">
        <f t="shared" ref="J3208" si="5511">CONCATENATE(K3205,3)</f>
        <v>103</v>
      </c>
      <c r="K3208" s="6" t="e">
        <v>#VALUE!</v>
      </c>
      <c r="L3208" s="6" t="e">
        <v>#VALUE!</v>
      </c>
      <c r="M3208" s="6" t="e">
        <v>#VALUE!</v>
      </c>
      <c r="N3208" s="6" t="e">
        <v>#VALUE!</v>
      </c>
      <c r="O3208" s="6" t="e">
        <v>#VALUE!</v>
      </c>
      <c r="P3208" s="6" t="e">
        <v>#VALUE!</v>
      </c>
      <c r="Q3208" s="6" t="e">
        <v>#VALUE!</v>
      </c>
      <c r="R3208" s="6" t="e">
        <v>#VALUE!</v>
      </c>
      <c r="S3208" s="6" t="e">
        <v>#VALUE!</v>
      </c>
      <c r="T3208" s="9"/>
      <c r="U3208" s="1">
        <f t="shared" si="5426"/>
        <v>73</v>
      </c>
      <c r="V3208" s="1">
        <f t="shared" si="5427"/>
        <v>239</v>
      </c>
    </row>
    <row r="3209" spans="1:22" x14ac:dyDescent="0.3">
      <c r="A3209" s="1">
        <f t="shared" si="5429"/>
        <v>73240</v>
      </c>
      <c r="B3209" s="12">
        <f t="shared" si="5494"/>
        <v>0</v>
      </c>
      <c r="C3209" s="13">
        <f t="shared" si="5495"/>
        <v>0</v>
      </c>
      <c r="D3209" s="10">
        <f t="shared" si="5496"/>
        <v>0</v>
      </c>
      <c r="J3209" s="9"/>
      <c r="K3209" s="9"/>
      <c r="L3209" s="9"/>
      <c r="M3209" s="9"/>
      <c r="N3209" s="9"/>
      <c r="O3209" s="9"/>
      <c r="P3209" s="9"/>
      <c r="Q3209" s="9"/>
      <c r="R3209" s="9"/>
      <c r="S3209" s="9"/>
      <c r="T3209" s="9"/>
      <c r="U3209" s="1">
        <f t="shared" si="5426"/>
        <v>73</v>
      </c>
      <c r="V3209" s="1">
        <f t="shared" si="5427"/>
        <v>240</v>
      </c>
    </row>
    <row r="3210" spans="1:22" x14ac:dyDescent="0.3">
      <c r="A3210" s="1">
        <f t="shared" si="5429"/>
        <v>73241</v>
      </c>
      <c r="B3210" s="12">
        <f t="shared" si="5494"/>
        <v>0</v>
      </c>
      <c r="C3210" s="13">
        <f t="shared" si="5495"/>
        <v>0</v>
      </c>
      <c r="D3210" s="10">
        <f t="shared" si="5496"/>
        <v>0</v>
      </c>
      <c r="J3210" s="9"/>
      <c r="K3210" s="9"/>
      <c r="L3210" s="9"/>
      <c r="M3210" s="9"/>
      <c r="N3210" s="9"/>
      <c r="O3210" s="9"/>
      <c r="P3210" s="9"/>
      <c r="Q3210" s="9"/>
      <c r="R3210" s="9"/>
      <c r="S3210" s="9"/>
      <c r="T3210" s="9"/>
      <c r="U3210" s="1">
        <f t="shared" si="5426"/>
        <v>73</v>
      </c>
      <c r="V3210" s="1">
        <f t="shared" si="5427"/>
        <v>241</v>
      </c>
    </row>
    <row r="3211" spans="1:22" x14ac:dyDescent="0.3">
      <c r="A3211" s="1">
        <f t="shared" si="5429"/>
        <v>73242</v>
      </c>
      <c r="B3211" s="12">
        <f t="shared" si="5494"/>
        <v>0</v>
      </c>
      <c r="C3211" s="13">
        <f t="shared" si="5495"/>
        <v>0</v>
      </c>
      <c r="D3211" s="10">
        <f t="shared" si="5496"/>
        <v>0</v>
      </c>
      <c r="J3211" s="9"/>
      <c r="K3211" s="9"/>
      <c r="L3211" s="9"/>
      <c r="M3211" s="9"/>
      <c r="N3211" s="9"/>
      <c r="O3211" s="9"/>
      <c r="P3211" s="9"/>
      <c r="Q3211" s="9"/>
      <c r="R3211" s="9"/>
      <c r="S3211" s="9"/>
      <c r="T3211" s="9"/>
      <c r="U3211" s="1">
        <f t="shared" si="5426"/>
        <v>73</v>
      </c>
      <c r="V3211" s="1">
        <f t="shared" si="5427"/>
        <v>242</v>
      </c>
    </row>
    <row r="3212" spans="1:22" x14ac:dyDescent="0.3">
      <c r="A3212" s="1">
        <f t="shared" si="5429"/>
        <v>73243</v>
      </c>
      <c r="J3212" s="9"/>
      <c r="K3212" s="9"/>
      <c r="L3212" s="9"/>
      <c r="M3212" s="9"/>
      <c r="N3212" s="9"/>
      <c r="O3212" s="9"/>
      <c r="P3212" s="9"/>
      <c r="Q3212" s="9"/>
      <c r="R3212" s="9"/>
      <c r="S3212" s="9"/>
      <c r="T3212" s="9"/>
      <c r="U3212" s="1">
        <f t="shared" si="5426"/>
        <v>73</v>
      </c>
      <c r="V3212" s="1">
        <f t="shared" si="5427"/>
        <v>243</v>
      </c>
    </row>
    <row r="3213" spans="1:22" s="5" customFormat="1" x14ac:dyDescent="0.3"/>
    <row r="3214" spans="1:22" x14ac:dyDescent="0.3">
      <c r="A3214" s="1">
        <f t="shared" ref="A3214:A3256" si="5512">ROUND(CONCATENATE(U3214,V3214),0)</f>
        <v>74201</v>
      </c>
      <c r="B3214" s="96" t="s">
        <v>0</v>
      </c>
      <c r="C3214" s="97"/>
      <c r="D3214" s="110" t="s">
        <v>46</v>
      </c>
      <c r="E3214" s="111"/>
      <c r="F3214" s="111"/>
      <c r="G3214" s="111"/>
      <c r="H3214" s="112"/>
      <c r="J3214" s="9"/>
      <c r="K3214" s="9"/>
      <c r="L3214" s="9"/>
      <c r="M3214" s="9"/>
      <c r="N3214" s="9"/>
      <c r="O3214" s="9"/>
      <c r="P3214" s="9"/>
      <c r="Q3214" s="9"/>
      <c r="R3214" s="9"/>
      <c r="S3214" s="9"/>
      <c r="T3214" s="9"/>
      <c r="U3214" s="1">
        <f t="shared" ref="U3214" si="5513">U3212+1</f>
        <v>74</v>
      </c>
      <c r="V3214" s="1">
        <v>201</v>
      </c>
    </row>
    <row r="3215" spans="1:22" x14ac:dyDescent="0.3">
      <c r="A3215" s="1">
        <f t="shared" si="5512"/>
        <v>74202</v>
      </c>
      <c r="B3215" s="96" t="s">
        <v>1</v>
      </c>
      <c r="C3215" s="97"/>
      <c r="D3215" s="15">
        <v>20</v>
      </c>
      <c r="E3215" s="16" t="s">
        <v>2</v>
      </c>
      <c r="F3215" s="107"/>
      <c r="G3215" s="108"/>
      <c r="H3215" s="109"/>
      <c r="J3215" s="9"/>
      <c r="K3215" s="9"/>
      <c r="L3215" s="9"/>
      <c r="M3215" s="9"/>
      <c r="N3215" s="9"/>
      <c r="O3215" s="9"/>
      <c r="P3215" s="9"/>
      <c r="Q3215" s="9"/>
      <c r="R3215" s="9"/>
      <c r="S3215" s="9"/>
      <c r="T3215" s="9"/>
      <c r="U3215" s="1">
        <f t="shared" ref="U3215" si="5514">U3214</f>
        <v>74</v>
      </c>
      <c r="V3215" s="1">
        <f t="shared" ref="V3215" si="5515">V3214+1</f>
        <v>202</v>
      </c>
    </row>
    <row r="3216" spans="1:22" x14ac:dyDescent="0.3">
      <c r="A3216" s="1">
        <f t="shared" si="5512"/>
        <v>74203</v>
      </c>
      <c r="B3216" s="96" t="s">
        <v>12</v>
      </c>
      <c r="C3216" s="97"/>
      <c r="D3216" s="110" t="s">
        <v>287</v>
      </c>
      <c r="E3216" s="111"/>
      <c r="F3216" s="111"/>
      <c r="G3216" s="111"/>
      <c r="H3216" s="112"/>
      <c r="K3216" s="1" t="s">
        <v>3</v>
      </c>
      <c r="L3216" s="1" t="s">
        <v>4</v>
      </c>
      <c r="M3216" s="1" t="s">
        <v>5</v>
      </c>
      <c r="N3216" s="1" t="s">
        <v>6</v>
      </c>
      <c r="O3216" s="1" t="s">
        <v>7</v>
      </c>
      <c r="P3216" s="1" t="s">
        <v>8</v>
      </c>
      <c r="Q3216" s="1" t="s">
        <v>9</v>
      </c>
      <c r="R3216" s="1" t="s">
        <v>10</v>
      </c>
      <c r="S3216" s="1" t="s">
        <v>11</v>
      </c>
      <c r="T3216" s="9"/>
      <c r="U3216" s="1">
        <f t="shared" si="5426"/>
        <v>74</v>
      </c>
      <c r="V3216" s="1">
        <f t="shared" si="5427"/>
        <v>203</v>
      </c>
    </row>
    <row r="3217" spans="1:22" x14ac:dyDescent="0.3">
      <c r="A3217" s="1">
        <f t="shared" si="5512"/>
        <v>74204</v>
      </c>
      <c r="B3217" s="96" t="s">
        <v>13</v>
      </c>
      <c r="C3217" s="97"/>
      <c r="D3217" s="110" t="s">
        <v>65</v>
      </c>
      <c r="E3217" s="111"/>
      <c r="F3217" s="111"/>
      <c r="G3217" s="111"/>
      <c r="H3217" s="112"/>
      <c r="J3217" s="1">
        <f t="shared" ref="J3217" si="5516">COUNTA(B3230:B3239)</f>
        <v>4</v>
      </c>
      <c r="K3217" s="1">
        <f t="shared" ref="K3217" si="5517">IF(L3217-1&lt;2,0,L3217-1)</f>
        <v>0</v>
      </c>
      <c r="L3217" s="1">
        <f t="shared" ref="L3217" si="5518">IF(M3217-1&lt;2,0,M3217-1)</f>
        <v>0</v>
      </c>
      <c r="M3217" s="1">
        <f t="shared" ref="M3217" si="5519">IF(N3217-1&lt;2,0,N3217-1)</f>
        <v>0</v>
      </c>
      <c r="N3217" s="1">
        <f t="shared" ref="N3217" si="5520">IF(O3217-1&lt;2,0,O3217-1)</f>
        <v>0</v>
      </c>
      <c r="O3217" s="1">
        <f t="shared" ref="O3217" si="5521">IF(P3217-1&lt;2,0,P3217-1)</f>
        <v>0</v>
      </c>
      <c r="P3217" s="1">
        <f t="shared" ref="P3217" si="5522">IF(Q3217-1&lt;2,0,Q3217-1)</f>
        <v>0</v>
      </c>
      <c r="Q3217" s="1">
        <f t="shared" ref="Q3217" si="5523">IF(R3217-1&lt;2,0,R3217-1)</f>
        <v>2</v>
      </c>
      <c r="R3217" s="1">
        <f t="shared" ref="R3217" si="5524">IF(S3217-1&lt;2,0,S3217-1)</f>
        <v>3</v>
      </c>
      <c r="S3217" s="1">
        <f t="shared" ref="S3217" si="5525">J3217</f>
        <v>4</v>
      </c>
      <c r="T3217" s="9"/>
      <c r="U3217" s="1">
        <f t="shared" si="5426"/>
        <v>74</v>
      </c>
      <c r="V3217" s="1">
        <f t="shared" si="5427"/>
        <v>204</v>
      </c>
    </row>
    <row r="3218" spans="1:22" x14ac:dyDescent="0.3">
      <c r="A3218" s="1">
        <f t="shared" si="5512"/>
        <v>74205</v>
      </c>
      <c r="B3218" s="96" t="s">
        <v>14</v>
      </c>
      <c r="C3218" s="97"/>
      <c r="D3218" s="110" t="s">
        <v>66</v>
      </c>
      <c r="E3218" s="111"/>
      <c r="F3218" s="111"/>
      <c r="G3218" s="111"/>
      <c r="H3218" s="112"/>
      <c r="J3218" s="24" t="str">
        <f t="shared" ref="J3218" si="5526">CONCATENATE(J3217,1)</f>
        <v>41</v>
      </c>
      <c r="K3218" s="25">
        <f t="shared" ref="K3218" si="5527">IF(K3217=0,0,VLOOKUP(J3218,J3222:S3252,K3217,FALSE))</f>
        <v>0</v>
      </c>
      <c r="L3218" s="25">
        <f t="shared" ref="L3218" si="5528">IF(L3217=0,0,VLOOKUP(J3218,J3222:S3252,L3217,FALSE))</f>
        <v>0</v>
      </c>
      <c r="M3218" s="25">
        <f t="shared" ref="M3218" si="5529">IF(M3217=0,0,VLOOKUP(J3218,J3222:S3252,M3217,FALSE))</f>
        <v>0</v>
      </c>
      <c r="N3218" s="25">
        <f t="shared" ref="N3218" si="5530">IF(N3217=0,0,VLOOKUP(J3218,J3222:S3252,N3217,FALSE))</f>
        <v>0</v>
      </c>
      <c r="O3218" s="25">
        <f t="shared" ref="O3218" si="5531">IF(O3217=0,0,VLOOKUP(J3218,J3222:S3252,O3217,FALSE))</f>
        <v>0</v>
      </c>
      <c r="P3218" s="25">
        <f t="shared" ref="P3218" si="5532">IF(P3217=0,0,VLOOKUP(J3218,J3222:S3252,P3217,FALSE))</f>
        <v>0</v>
      </c>
      <c r="Q3218" s="25">
        <f t="shared" ref="Q3218" si="5533">IF(Q3217=0,0,VLOOKUP(J3218,J3222:S3252,Q3217,FALSE))</f>
        <v>-1.4093750682057991E-3</v>
      </c>
      <c r="R3218" s="25">
        <f t="shared" ref="R3218" si="5534">IF(R3217=0,0,VLOOKUP(J3218,J3222:S3252,R3217,FALSE))</f>
        <v>1.2101077063715087</v>
      </c>
      <c r="S3218" s="25">
        <f t="shared" ref="S3218" si="5535">IF(S3217=0,0,VLOOKUP(J3218,J3222:S3252,S3217,FALSE))</f>
        <v>-6.3617941936792599</v>
      </c>
      <c r="T3218" s="9"/>
      <c r="U3218" s="1">
        <f t="shared" si="5426"/>
        <v>74</v>
      </c>
      <c r="V3218" s="1">
        <f t="shared" si="5427"/>
        <v>205</v>
      </c>
    </row>
    <row r="3219" spans="1:22" x14ac:dyDescent="0.3">
      <c r="A3219" s="1">
        <f t="shared" si="5512"/>
        <v>74206</v>
      </c>
      <c r="B3219" s="96" t="s">
        <v>15</v>
      </c>
      <c r="C3219" s="97"/>
      <c r="D3219" s="110" t="s">
        <v>288</v>
      </c>
      <c r="E3219" s="111"/>
      <c r="F3219" s="111"/>
      <c r="G3219" s="111"/>
      <c r="H3219" s="112"/>
      <c r="J3219" s="24" t="str">
        <f t="shared" ref="J3219" si="5536">CONCATENATE(J3217,2)</f>
        <v>42</v>
      </c>
      <c r="K3219" s="6">
        <f t="shared" ref="K3219" si="5537">IF(K3217=0,0,VLOOKUP(J3219,J3222:S3252,K3217,FALSE))</f>
        <v>0</v>
      </c>
      <c r="L3219" s="6">
        <f t="shared" ref="L3219" si="5538">IF(L3217=0,0,VLOOKUP(J3219,J3222:S3252,L3217,FALSE))</f>
        <v>0</v>
      </c>
      <c r="M3219" s="6">
        <f t="shared" ref="M3219" si="5539">IF(M3217=0,0,VLOOKUP(J3219,J3222:S3252,M3217,FALSE))</f>
        <v>0</v>
      </c>
      <c r="N3219" s="6">
        <f t="shared" ref="N3219" si="5540">IF(N3217=0,0,VLOOKUP(J3219,J3222:S3252,N3217,FALSE))</f>
        <v>0</v>
      </c>
      <c r="O3219" s="6">
        <f t="shared" ref="O3219" si="5541">IF(O3217=0,0,VLOOKUP(J3219,J3222:S3252,O3217,FALSE))</f>
        <v>0</v>
      </c>
      <c r="P3219" s="6">
        <f t="shared" ref="P3219" si="5542">IF(P3217=0,0,VLOOKUP(J3219,J3222:S3252,P3217,FALSE))</f>
        <v>0</v>
      </c>
      <c r="Q3219" s="6">
        <f t="shared" ref="Q3219" si="5543">IF(Q3217=0,0,VLOOKUP(J3219,J3222:S3252,Q3217,FALSE))</f>
        <v>1.1821656492623596E-3</v>
      </c>
      <c r="R3219" s="6">
        <f t="shared" ref="R3219" si="5544">IF(R3217=0,0,VLOOKUP(J3219,J3222:S3252,R3217,FALSE))</f>
        <v>0.1436668146896341</v>
      </c>
      <c r="S3219" s="6">
        <f t="shared" ref="S3219" si="5545">IF(S3217=0,0,VLOOKUP(J3219,J3222:S3252,S3217,FALSE))</f>
        <v>3.9543472924370815</v>
      </c>
      <c r="T3219" s="9"/>
      <c r="U3219" s="1">
        <f t="shared" si="5426"/>
        <v>74</v>
      </c>
      <c r="V3219" s="1">
        <f t="shared" si="5427"/>
        <v>206</v>
      </c>
    </row>
    <row r="3220" spans="1:22" x14ac:dyDescent="0.3">
      <c r="A3220" s="1">
        <f t="shared" si="5512"/>
        <v>74207</v>
      </c>
      <c r="B3220" s="96" t="s">
        <v>16</v>
      </c>
      <c r="C3220" s="97"/>
      <c r="D3220" s="113">
        <v>45520</v>
      </c>
      <c r="E3220" s="114"/>
      <c r="F3220" s="114"/>
      <c r="G3220" s="114"/>
      <c r="H3220" s="115"/>
      <c r="J3220" s="24" t="str">
        <f t="shared" ref="J3220" si="5546">CONCATENATE(J3217,3)</f>
        <v>43</v>
      </c>
      <c r="K3220" s="6"/>
      <c r="L3220" s="6"/>
      <c r="M3220" s="6"/>
      <c r="N3220" s="6" t="s">
        <v>43</v>
      </c>
      <c r="O3220" s="25">
        <f t="shared" ref="O3220" si="5547">J3217-2</f>
        <v>2</v>
      </c>
      <c r="P3220" s="6" t="s">
        <v>44</v>
      </c>
      <c r="Q3220" s="25">
        <f t="shared" ref="Q3220" si="5548">VLOOKUP(J3220,J3222:S3252,3,FALSE)</f>
        <v>0.89768839625197216</v>
      </c>
      <c r="R3220" s="6" t="s">
        <v>45</v>
      </c>
      <c r="S3220" s="6">
        <f t="shared" ref="S3220" si="5549">VLOOKUP(J3220,J3222:S3252,2,FALSE)</f>
        <v>0.99959707777161722</v>
      </c>
      <c r="T3220" s="9"/>
      <c r="U3220" s="1">
        <f t="shared" si="5426"/>
        <v>74</v>
      </c>
      <c r="V3220" s="1">
        <f t="shared" si="5427"/>
        <v>207</v>
      </c>
    </row>
    <row r="3221" spans="1:22" x14ac:dyDescent="0.3">
      <c r="A3221" s="1">
        <f t="shared" si="5512"/>
        <v>74208</v>
      </c>
      <c r="B3221" s="96" t="s">
        <v>17</v>
      </c>
      <c r="C3221" s="97"/>
      <c r="D3221" s="116">
        <v>45899</v>
      </c>
      <c r="E3221" s="117"/>
      <c r="F3221" s="117"/>
      <c r="G3221" s="117"/>
      <c r="H3221" s="118"/>
      <c r="K3221" s="1">
        <v>3</v>
      </c>
      <c r="L3221" s="1">
        <v>3</v>
      </c>
      <c r="Q3221" s="26"/>
      <c r="R3221" s="26"/>
      <c r="S3221" s="26"/>
      <c r="T3221" s="9"/>
      <c r="U3221" s="1">
        <f t="shared" si="5426"/>
        <v>74</v>
      </c>
      <c r="V3221" s="1">
        <f t="shared" si="5427"/>
        <v>208</v>
      </c>
    </row>
    <row r="3222" spans="1:22" x14ac:dyDescent="0.3">
      <c r="A3222" s="1">
        <f t="shared" si="5512"/>
        <v>74209</v>
      </c>
      <c r="B3222" s="77" t="s">
        <v>19</v>
      </c>
      <c r="C3222" s="78"/>
      <c r="D3222" s="17">
        <v>1</v>
      </c>
      <c r="E3222" s="79" t="s">
        <v>40</v>
      </c>
      <c r="F3222" s="80"/>
      <c r="G3222" s="81"/>
      <c r="H3222" s="18" t="s">
        <v>72</v>
      </c>
      <c r="J3222" s="24" t="str">
        <f t="shared" ref="J3222" si="5550">CONCATENATE(K3221,1)</f>
        <v>31</v>
      </c>
      <c r="K3222" s="6">
        <f t="array" ref="K3222:L3224">LINEST(B3230:B3232,C3230:C3232^{1},TRUE,TRUE)</f>
        <v>1.0808179162609541</v>
      </c>
      <c r="L3222" s="6">
        <v>-3.6806231742940554</v>
      </c>
      <c r="Q3222" s="9"/>
      <c r="R3222" s="9"/>
      <c r="S3222" s="9"/>
      <c r="T3222" s="9"/>
      <c r="U3222" s="1">
        <f t="shared" si="5426"/>
        <v>74</v>
      </c>
      <c r="V3222" s="1">
        <f t="shared" si="5427"/>
        <v>209</v>
      </c>
    </row>
    <row r="3223" spans="1:22" x14ac:dyDescent="0.3">
      <c r="A3223" s="1">
        <f t="shared" si="5512"/>
        <v>74210</v>
      </c>
      <c r="B3223" s="77" t="s">
        <v>41</v>
      </c>
      <c r="C3223" s="78"/>
      <c r="D3223" s="23">
        <f t="shared" ref="D3223" si="5551">MIN(B3230:B3239)</f>
        <v>30</v>
      </c>
      <c r="E3223" s="20" t="s">
        <v>18</v>
      </c>
      <c r="F3223" s="19">
        <f t="shared" ref="F3223" si="5552">MAX(B3230:B3239)</f>
        <v>90</v>
      </c>
      <c r="G3223" s="21" t="str">
        <f t="shared" ref="G3223" si="5553">IF(H3222="","",H3222)</f>
        <v>%ur</v>
      </c>
      <c r="H3223" s="22"/>
      <c r="J3223" s="24" t="str">
        <f t="shared" ref="J3223" si="5554">CONCATENATE(K3221,2)</f>
        <v>32</v>
      </c>
      <c r="K3223" s="6">
        <v>1.6865149051303662E-2</v>
      </c>
      <c r="L3223" s="6">
        <v>0.87552705015244758</v>
      </c>
      <c r="Q3223" s="9"/>
      <c r="R3223" s="9"/>
      <c r="S3223" s="9"/>
      <c r="T3223" s="9"/>
      <c r="U3223" s="1">
        <f t="shared" si="5426"/>
        <v>74</v>
      </c>
      <c r="V3223" s="1">
        <f t="shared" si="5427"/>
        <v>210</v>
      </c>
    </row>
    <row r="3224" spans="1:22" x14ac:dyDescent="0.3">
      <c r="A3224" s="1">
        <f t="shared" si="5512"/>
        <v>74211</v>
      </c>
      <c r="J3224" s="24" t="str">
        <f t="shared" ref="J3224" si="5555">CONCATENATE(K3221,3)</f>
        <v>33</v>
      </c>
      <c r="K3224" s="6">
        <v>0.99975657254138273</v>
      </c>
      <c r="L3224" s="6">
        <v>0.44129578164069017</v>
      </c>
      <c r="Q3224" s="9"/>
      <c r="R3224" s="9"/>
      <c r="S3224" s="9"/>
      <c r="T3224" s="9"/>
      <c r="U3224" s="1">
        <f t="shared" si="5426"/>
        <v>74</v>
      </c>
      <c r="V3224" s="1">
        <f t="shared" si="5427"/>
        <v>211</v>
      </c>
    </row>
    <row r="3225" spans="1:22" x14ac:dyDescent="0.3">
      <c r="A3225" s="1">
        <f t="shared" si="5512"/>
        <v>74212</v>
      </c>
      <c r="B3225" s="82" t="s">
        <v>20</v>
      </c>
      <c r="C3225" s="83"/>
      <c r="D3225" s="83"/>
      <c r="E3225" s="83"/>
      <c r="F3225" s="84"/>
      <c r="G3225" s="85" t="s">
        <v>31</v>
      </c>
      <c r="H3225" s="86"/>
      <c r="K3225" s="1">
        <v>4</v>
      </c>
      <c r="L3225" s="1">
        <v>4</v>
      </c>
      <c r="M3225" s="1">
        <v>4</v>
      </c>
      <c r="Q3225" s="9"/>
      <c r="R3225" s="9"/>
      <c r="S3225" s="9"/>
      <c r="T3225" s="9"/>
      <c r="U3225" s="1">
        <f t="shared" si="5426"/>
        <v>74</v>
      </c>
      <c r="V3225" s="1">
        <f t="shared" si="5427"/>
        <v>212</v>
      </c>
    </row>
    <row r="3226" spans="1:22" x14ac:dyDescent="0.3">
      <c r="A3226" s="1">
        <f t="shared" si="5512"/>
        <v>74213</v>
      </c>
      <c r="B3226" s="82" t="s">
        <v>30</v>
      </c>
      <c r="C3226" s="83"/>
      <c r="D3226" s="84"/>
      <c r="E3226" s="82" t="str">
        <f t="shared" ref="E3226" si="5556">D3219</f>
        <v>E0308/24</v>
      </c>
      <c r="F3226" s="84"/>
      <c r="G3226" s="6" t="s">
        <v>32</v>
      </c>
      <c r="H3226" s="7"/>
      <c r="J3226" s="24" t="str">
        <f t="shared" ref="J3226" si="5557">CONCATENATE(K3225,1)</f>
        <v>41</v>
      </c>
      <c r="K3226" s="6">
        <f t="array" ref="K3226:M3228">LINEST(B3230:B3233,C3230:C3233^{1,2},TRUE,TRUE)</f>
        <v>-1.4093750682057991E-3</v>
      </c>
      <c r="L3226" s="6">
        <v>1.2101077063715087</v>
      </c>
      <c r="M3226" s="6">
        <v>-6.3617941936792599</v>
      </c>
      <c r="Q3226" s="9"/>
      <c r="R3226" s="9"/>
      <c r="S3226" s="9"/>
      <c r="T3226" s="9"/>
      <c r="U3226" s="1">
        <f t="shared" si="5426"/>
        <v>74</v>
      </c>
      <c r="V3226" s="1">
        <f t="shared" si="5427"/>
        <v>213</v>
      </c>
    </row>
    <row r="3227" spans="1:22" x14ac:dyDescent="0.3">
      <c r="A3227" s="1">
        <f t="shared" si="5512"/>
        <v>74214</v>
      </c>
      <c r="B3227" s="2" t="s">
        <v>21</v>
      </c>
      <c r="C3227" s="2" t="s">
        <v>22</v>
      </c>
      <c r="D3227" s="2" t="s">
        <v>23</v>
      </c>
      <c r="E3227" s="2"/>
      <c r="F3227" s="2" t="s">
        <v>28</v>
      </c>
      <c r="G3227" s="2" t="s">
        <v>21</v>
      </c>
      <c r="H3227" s="2" t="s">
        <v>22</v>
      </c>
      <c r="J3227" s="24" t="str">
        <f t="shared" ref="J3227" si="5558">CONCATENATE(K3225,2)</f>
        <v>42</v>
      </c>
      <c r="K3227" s="6">
        <v>1.1821656492623596E-3</v>
      </c>
      <c r="L3227" s="6">
        <v>0.1436668146896341</v>
      </c>
      <c r="M3227" s="6">
        <v>3.9543472924370815</v>
      </c>
      <c r="Q3227" s="9"/>
      <c r="R3227" s="9"/>
      <c r="S3227" s="9"/>
      <c r="T3227" s="9"/>
      <c r="U3227" s="1">
        <f t="shared" ref="U3227:U3290" si="5559">U3226</f>
        <v>74</v>
      </c>
      <c r="V3227" s="1">
        <f t="shared" ref="V3227:V3290" si="5560">V3226+1</f>
        <v>214</v>
      </c>
    </row>
    <row r="3228" spans="1:22" x14ac:dyDescent="0.3">
      <c r="A3228" s="1">
        <f t="shared" si="5512"/>
        <v>74215</v>
      </c>
      <c r="B3228" s="2" t="s">
        <v>24</v>
      </c>
      <c r="C3228" s="2" t="s">
        <v>25</v>
      </c>
      <c r="D3228" s="2" t="s">
        <v>26</v>
      </c>
      <c r="E3228" s="2" t="s">
        <v>27</v>
      </c>
      <c r="F3228" s="2" t="s">
        <v>29</v>
      </c>
      <c r="G3228" s="2" t="s">
        <v>24</v>
      </c>
      <c r="H3228" s="2" t="s">
        <v>25</v>
      </c>
      <c r="J3228" s="24" t="str">
        <f t="shared" ref="J3228" si="5561">CONCATENATE(K3225,3)</f>
        <v>43</v>
      </c>
      <c r="K3228" s="6">
        <v>0.99959707777161722</v>
      </c>
      <c r="L3228" s="6">
        <v>0.89768839625197216</v>
      </c>
      <c r="M3228" s="6" t="e">
        <v>#N/A</v>
      </c>
      <c r="Q3228" s="9"/>
      <c r="R3228" s="9"/>
      <c r="S3228" s="9"/>
      <c r="T3228" s="9"/>
      <c r="U3228" s="1">
        <f t="shared" si="5559"/>
        <v>74</v>
      </c>
      <c r="V3228" s="1">
        <f t="shared" si="5560"/>
        <v>215</v>
      </c>
    </row>
    <row r="3229" spans="1:22" x14ac:dyDescent="0.3">
      <c r="A3229" s="1">
        <f t="shared" si="5512"/>
        <v>74216</v>
      </c>
      <c r="B3229" s="3" t="str">
        <f t="shared" ref="B3229" si="5562">H3222</f>
        <v>%ur</v>
      </c>
      <c r="C3229" s="3" t="str">
        <f t="shared" ref="C3229" si="5563">B3229</f>
        <v>%ur</v>
      </c>
      <c r="D3229" s="3" t="str">
        <f t="shared" ref="D3229" si="5564">C3229</f>
        <v>%ur</v>
      </c>
      <c r="E3229" s="3"/>
      <c r="F3229" s="3"/>
      <c r="G3229" s="3" t="str">
        <f t="shared" ref="G3229" si="5565">D3229</f>
        <v>%ur</v>
      </c>
      <c r="H3229" s="3" t="str">
        <f t="shared" ref="H3229" si="5566">G3229</f>
        <v>%ur</v>
      </c>
      <c r="K3229" s="1">
        <v>5</v>
      </c>
      <c r="L3229" s="1">
        <v>5</v>
      </c>
      <c r="M3229" s="1">
        <v>5</v>
      </c>
      <c r="N3229" s="1">
        <v>5</v>
      </c>
      <c r="Q3229" s="9"/>
      <c r="R3229" s="9"/>
      <c r="S3229" s="9"/>
      <c r="T3229" s="9"/>
      <c r="U3229" s="1">
        <f t="shared" si="5559"/>
        <v>74</v>
      </c>
      <c r="V3229" s="1">
        <f t="shared" si="5560"/>
        <v>216</v>
      </c>
    </row>
    <row r="3230" spans="1:22" x14ac:dyDescent="0.3">
      <c r="A3230" s="1">
        <f t="shared" si="5512"/>
        <v>74217</v>
      </c>
      <c r="B3230" s="4">
        <v>30</v>
      </c>
      <c r="C3230" s="4">
        <v>31</v>
      </c>
      <c r="D3230" s="4">
        <v>2</v>
      </c>
      <c r="E3230" s="4">
        <v>2</v>
      </c>
      <c r="F3230" s="14">
        <v>1000000</v>
      </c>
      <c r="G3230" s="8"/>
      <c r="H3230" s="7"/>
      <c r="J3230" s="24" t="str">
        <f t="shared" ref="J3230" si="5567">CONCATENATE(K3229,1)</f>
        <v>51</v>
      </c>
      <c r="K3230" s="6" t="e">
        <f t="array" ref="K3230:N3232">LINEST(B3230:B3234,C3230:C3234^{1,2,3},TRUE,TRUE)</f>
        <v>#VALUE!</v>
      </c>
      <c r="L3230" s="6" t="e">
        <v>#VALUE!</v>
      </c>
      <c r="M3230" s="6" t="e">
        <v>#VALUE!</v>
      </c>
      <c r="N3230" s="6" t="e">
        <v>#VALUE!</v>
      </c>
      <c r="Q3230" s="9"/>
      <c r="R3230" s="9"/>
      <c r="S3230" s="9"/>
      <c r="T3230" s="9"/>
      <c r="U3230" s="1">
        <f t="shared" si="5559"/>
        <v>74</v>
      </c>
      <c r="V3230" s="1">
        <f t="shared" si="5560"/>
        <v>217</v>
      </c>
    </row>
    <row r="3231" spans="1:22" x14ac:dyDescent="0.3">
      <c r="A3231" s="1">
        <f t="shared" si="5512"/>
        <v>74218</v>
      </c>
      <c r="B3231" s="4">
        <v>50</v>
      </c>
      <c r="C3231" s="4">
        <v>50</v>
      </c>
      <c r="D3231" s="4">
        <v>2</v>
      </c>
      <c r="E3231" s="4">
        <v>2</v>
      </c>
      <c r="F3231" s="14">
        <v>1000000</v>
      </c>
      <c r="G3231" s="8"/>
      <c r="H3231" s="7"/>
      <c r="J3231" s="24" t="str">
        <f t="shared" ref="J3231" si="5568">CONCATENATE(K3229,2)</f>
        <v>52</v>
      </c>
      <c r="K3231" s="6" t="e">
        <v>#VALUE!</v>
      </c>
      <c r="L3231" s="6" t="e">
        <v>#VALUE!</v>
      </c>
      <c r="M3231" s="6" t="e">
        <v>#VALUE!</v>
      </c>
      <c r="N3231" s="6" t="e">
        <v>#VALUE!</v>
      </c>
      <c r="T3231" s="9"/>
      <c r="U3231" s="1">
        <f t="shared" si="5559"/>
        <v>74</v>
      </c>
      <c r="V3231" s="1">
        <f t="shared" si="5560"/>
        <v>218</v>
      </c>
    </row>
    <row r="3232" spans="1:22" x14ac:dyDescent="0.3">
      <c r="A3232" s="1">
        <f t="shared" si="5512"/>
        <v>74219</v>
      </c>
      <c r="B3232" s="4">
        <v>70</v>
      </c>
      <c r="C3232" s="4">
        <v>68</v>
      </c>
      <c r="D3232" s="4">
        <v>2</v>
      </c>
      <c r="E3232" s="4">
        <v>2</v>
      </c>
      <c r="F3232" s="14">
        <v>1000000</v>
      </c>
      <c r="G3232" s="8"/>
      <c r="H3232" s="7"/>
      <c r="J3232" s="24" t="str">
        <f t="shared" ref="J3232" si="5569">CONCATENATE(K3229,3)</f>
        <v>53</v>
      </c>
      <c r="K3232" s="6" t="e">
        <v>#VALUE!</v>
      </c>
      <c r="L3232" s="6" t="e">
        <v>#VALUE!</v>
      </c>
      <c r="M3232" s="6" t="e">
        <v>#VALUE!</v>
      </c>
      <c r="N3232" s="6" t="e">
        <v>#VALUE!</v>
      </c>
      <c r="T3232" s="9"/>
      <c r="U3232" s="1">
        <f t="shared" si="5559"/>
        <v>74</v>
      </c>
      <c r="V3232" s="1">
        <f t="shared" si="5560"/>
        <v>219</v>
      </c>
    </row>
    <row r="3233" spans="1:22" x14ac:dyDescent="0.3">
      <c r="A3233" s="1">
        <f t="shared" si="5512"/>
        <v>74220</v>
      </c>
      <c r="B3233" s="4">
        <v>90</v>
      </c>
      <c r="C3233" s="4">
        <v>89</v>
      </c>
      <c r="D3233" s="4">
        <v>2</v>
      </c>
      <c r="E3233" s="4">
        <v>2</v>
      </c>
      <c r="F3233" s="14">
        <v>1000000</v>
      </c>
      <c r="G3233" s="8"/>
      <c r="H3233" s="7"/>
      <c r="K3233" s="1">
        <v>6</v>
      </c>
      <c r="L3233" s="1">
        <v>6</v>
      </c>
      <c r="M3233" s="1">
        <v>6</v>
      </c>
      <c r="N3233" s="1">
        <v>6</v>
      </c>
      <c r="O3233" s="1">
        <v>6</v>
      </c>
      <c r="T3233" s="9"/>
      <c r="U3233" s="1">
        <f t="shared" si="5559"/>
        <v>74</v>
      </c>
      <c r="V3233" s="1">
        <f t="shared" si="5560"/>
        <v>220</v>
      </c>
    </row>
    <row r="3234" spans="1:22" x14ac:dyDescent="0.3">
      <c r="A3234" s="1">
        <f t="shared" si="5512"/>
        <v>74221</v>
      </c>
      <c r="B3234" s="4"/>
      <c r="C3234" s="4"/>
      <c r="D3234" s="4"/>
      <c r="E3234" s="4"/>
      <c r="F3234" s="14"/>
      <c r="G3234" s="8"/>
      <c r="H3234" s="7"/>
      <c r="J3234" s="24" t="str">
        <f t="shared" ref="J3234" si="5570">CONCATENATE(K3233,1)</f>
        <v>61</v>
      </c>
      <c r="K3234" s="6" t="e">
        <f t="array" ref="K3234:O3236">LINEST(B3230:B3235,C3230:C3235^{1,2,3,4},TRUE,TRUE)</f>
        <v>#VALUE!</v>
      </c>
      <c r="L3234" s="6" t="e">
        <v>#VALUE!</v>
      </c>
      <c r="M3234" s="6" t="e">
        <v>#VALUE!</v>
      </c>
      <c r="N3234" s="6" t="e">
        <v>#VALUE!</v>
      </c>
      <c r="O3234" s="6" t="e">
        <v>#VALUE!</v>
      </c>
      <c r="T3234" s="9"/>
      <c r="U3234" s="1">
        <f t="shared" si="5559"/>
        <v>74</v>
      </c>
      <c r="V3234" s="1">
        <f t="shared" si="5560"/>
        <v>221</v>
      </c>
    </row>
    <row r="3235" spans="1:22" x14ac:dyDescent="0.3">
      <c r="A3235" s="1">
        <f t="shared" si="5512"/>
        <v>74222</v>
      </c>
      <c r="B3235" s="4"/>
      <c r="C3235" s="4"/>
      <c r="D3235" s="4"/>
      <c r="E3235" s="4"/>
      <c r="F3235" s="14"/>
      <c r="G3235" s="8"/>
      <c r="H3235" s="7"/>
      <c r="J3235" s="24" t="str">
        <f t="shared" ref="J3235" si="5571">CONCATENATE(K3233,2)</f>
        <v>62</v>
      </c>
      <c r="K3235" s="6" t="e">
        <v>#VALUE!</v>
      </c>
      <c r="L3235" s="6" t="e">
        <v>#VALUE!</v>
      </c>
      <c r="M3235" s="6" t="e">
        <v>#VALUE!</v>
      </c>
      <c r="N3235" s="6" t="e">
        <v>#VALUE!</v>
      </c>
      <c r="O3235" s="6" t="e">
        <v>#VALUE!</v>
      </c>
      <c r="T3235" s="9"/>
      <c r="U3235" s="1">
        <f t="shared" si="5559"/>
        <v>74</v>
      </c>
      <c r="V3235" s="1">
        <f t="shared" si="5560"/>
        <v>222</v>
      </c>
    </row>
    <row r="3236" spans="1:22" x14ac:dyDescent="0.3">
      <c r="A3236" s="1">
        <f t="shared" si="5512"/>
        <v>74223</v>
      </c>
      <c r="B3236" s="4"/>
      <c r="C3236" s="4"/>
      <c r="D3236" s="4"/>
      <c r="E3236" s="4"/>
      <c r="F3236" s="14"/>
      <c r="G3236" s="8"/>
      <c r="H3236" s="7"/>
      <c r="J3236" s="24" t="str">
        <f t="shared" ref="J3236" si="5572">CONCATENATE(K3233,3)</f>
        <v>63</v>
      </c>
      <c r="K3236" s="6" t="e">
        <v>#VALUE!</v>
      </c>
      <c r="L3236" s="6" t="e">
        <v>#VALUE!</v>
      </c>
      <c r="M3236" s="6" t="e">
        <v>#VALUE!</v>
      </c>
      <c r="N3236" s="6" t="e">
        <v>#VALUE!</v>
      </c>
      <c r="O3236" s="6" t="e">
        <v>#VALUE!</v>
      </c>
      <c r="T3236" s="9"/>
      <c r="U3236" s="1">
        <f t="shared" si="5559"/>
        <v>74</v>
      </c>
      <c r="V3236" s="1">
        <f t="shared" si="5560"/>
        <v>223</v>
      </c>
    </row>
    <row r="3237" spans="1:22" x14ac:dyDescent="0.3">
      <c r="A3237" s="1">
        <f t="shared" si="5512"/>
        <v>74224</v>
      </c>
      <c r="B3237" s="4"/>
      <c r="C3237" s="4"/>
      <c r="D3237" s="4"/>
      <c r="E3237" s="4"/>
      <c r="F3237" s="14"/>
      <c r="G3237" s="8"/>
      <c r="H3237" s="7"/>
      <c r="K3237" s="1">
        <v>7</v>
      </c>
      <c r="L3237" s="1">
        <v>7</v>
      </c>
      <c r="M3237" s="1">
        <v>7</v>
      </c>
      <c r="N3237" s="1">
        <v>7</v>
      </c>
      <c r="O3237" s="1">
        <v>7</v>
      </c>
      <c r="P3237" s="1">
        <v>7</v>
      </c>
      <c r="T3237" s="9"/>
      <c r="U3237" s="1">
        <f t="shared" si="5559"/>
        <v>74</v>
      </c>
      <c r="V3237" s="1">
        <f t="shared" si="5560"/>
        <v>224</v>
      </c>
    </row>
    <row r="3238" spans="1:22" x14ac:dyDescent="0.3">
      <c r="A3238" s="1">
        <f t="shared" si="5512"/>
        <v>74225</v>
      </c>
      <c r="B3238" s="4"/>
      <c r="C3238" s="4"/>
      <c r="D3238" s="4"/>
      <c r="E3238" s="4"/>
      <c r="F3238" s="14"/>
      <c r="G3238" s="8"/>
      <c r="H3238" s="7"/>
      <c r="J3238" s="24" t="str">
        <f t="shared" ref="J3238" si="5573">CONCATENATE(K3237,1)</f>
        <v>71</v>
      </c>
      <c r="K3238" s="6" t="e">
        <f t="array" ref="K3238:P3240">LINEST(B3230:B3236,C3230:C3236^{1,2,3,4,5},TRUE,TRUE)</f>
        <v>#VALUE!</v>
      </c>
      <c r="L3238" s="6" t="e">
        <v>#VALUE!</v>
      </c>
      <c r="M3238" s="6" t="e">
        <v>#VALUE!</v>
      </c>
      <c r="N3238" s="6" t="e">
        <v>#VALUE!</v>
      </c>
      <c r="O3238" s="6" t="e">
        <v>#VALUE!</v>
      </c>
      <c r="P3238" s="6" t="e">
        <v>#VALUE!</v>
      </c>
      <c r="T3238" s="9"/>
      <c r="U3238" s="1">
        <f t="shared" si="5559"/>
        <v>74</v>
      </c>
      <c r="V3238" s="1">
        <f t="shared" si="5560"/>
        <v>225</v>
      </c>
    </row>
    <row r="3239" spans="1:22" x14ac:dyDescent="0.3">
      <c r="A3239" s="1">
        <f t="shared" si="5512"/>
        <v>74226</v>
      </c>
      <c r="B3239" s="4"/>
      <c r="C3239" s="4"/>
      <c r="D3239" s="4"/>
      <c r="E3239" s="4"/>
      <c r="F3239" s="14"/>
      <c r="G3239" s="8"/>
      <c r="H3239" s="7"/>
      <c r="J3239" s="24" t="str">
        <f t="shared" ref="J3239" si="5574">CONCATENATE(K3237,2)</f>
        <v>72</v>
      </c>
      <c r="K3239" s="6" t="e">
        <v>#VALUE!</v>
      </c>
      <c r="L3239" s="6" t="e">
        <v>#VALUE!</v>
      </c>
      <c r="M3239" s="6" t="e">
        <v>#VALUE!</v>
      </c>
      <c r="N3239" s="6" t="e">
        <v>#VALUE!</v>
      </c>
      <c r="O3239" s="6" t="e">
        <v>#VALUE!</v>
      </c>
      <c r="P3239" s="6" t="e">
        <v>#VALUE!</v>
      </c>
      <c r="T3239" s="9"/>
      <c r="U3239" s="1">
        <f t="shared" si="5559"/>
        <v>74</v>
      </c>
      <c r="V3239" s="1">
        <f t="shared" si="5560"/>
        <v>226</v>
      </c>
    </row>
    <row r="3240" spans="1:22" x14ac:dyDescent="0.3">
      <c r="A3240" s="1">
        <f t="shared" si="5512"/>
        <v>74227</v>
      </c>
      <c r="B3240" s="9"/>
      <c r="C3240" s="9"/>
      <c r="D3240" s="9"/>
      <c r="E3240" s="9"/>
      <c r="F3240" s="9"/>
      <c r="G3240" s="9"/>
      <c r="H3240" s="9"/>
      <c r="J3240" s="24" t="str">
        <f t="shared" ref="J3240" si="5575">CONCATENATE(K3237,3)</f>
        <v>73</v>
      </c>
      <c r="K3240" s="6" t="e">
        <v>#VALUE!</v>
      </c>
      <c r="L3240" s="6" t="e">
        <v>#VALUE!</v>
      </c>
      <c r="M3240" s="6" t="e">
        <v>#VALUE!</v>
      </c>
      <c r="N3240" s="6" t="e">
        <v>#VALUE!</v>
      </c>
      <c r="O3240" s="6" t="e">
        <v>#VALUE!</v>
      </c>
      <c r="P3240" s="6" t="e">
        <v>#VALUE!</v>
      </c>
      <c r="T3240" s="9"/>
      <c r="U3240" s="1">
        <f t="shared" si="5559"/>
        <v>74</v>
      </c>
      <c r="V3240" s="1">
        <f t="shared" si="5560"/>
        <v>227</v>
      </c>
    </row>
    <row r="3241" spans="1:22" x14ac:dyDescent="0.3">
      <c r="A3241" s="1">
        <f t="shared" si="5512"/>
        <v>74228</v>
      </c>
      <c r="B3241" s="87" t="s">
        <v>33</v>
      </c>
      <c r="C3241" s="88"/>
      <c r="D3241" s="88"/>
      <c r="E3241" s="88"/>
      <c r="F3241" s="88"/>
      <c r="G3241" s="88"/>
      <c r="H3241" s="89"/>
      <c r="K3241" s="1">
        <v>8</v>
      </c>
      <c r="L3241" s="1">
        <v>8</v>
      </c>
      <c r="M3241" s="1">
        <v>8</v>
      </c>
      <c r="N3241" s="1">
        <v>8</v>
      </c>
      <c r="O3241" s="1">
        <v>8</v>
      </c>
      <c r="P3241" s="1">
        <v>8</v>
      </c>
      <c r="Q3241" s="1">
        <v>8</v>
      </c>
      <c r="T3241" s="9"/>
      <c r="U3241" s="1">
        <f t="shared" si="5559"/>
        <v>74</v>
      </c>
      <c r="V3241" s="1">
        <f t="shared" si="5560"/>
        <v>228</v>
      </c>
    </row>
    <row r="3242" spans="1:22" x14ac:dyDescent="0.3">
      <c r="A3242" s="1">
        <f t="shared" si="5512"/>
        <v>74229</v>
      </c>
      <c r="B3242" s="90"/>
      <c r="C3242" s="91"/>
      <c r="D3242" s="91"/>
      <c r="E3242" s="91"/>
      <c r="F3242" s="91"/>
      <c r="G3242" s="91"/>
      <c r="H3242" s="92"/>
      <c r="J3242" s="24" t="str">
        <f t="shared" ref="J3242" si="5576">CONCATENATE(K3241,1)</f>
        <v>81</v>
      </c>
      <c r="K3242" s="6" t="e">
        <f t="array" ref="K3242:Q3244">LINEST(B3230:B3237,C3230:C3237^{1,2,3,4,5,6},TRUE,TRUE)</f>
        <v>#VALUE!</v>
      </c>
      <c r="L3242" s="6" t="e">
        <v>#VALUE!</v>
      </c>
      <c r="M3242" s="6" t="e">
        <v>#VALUE!</v>
      </c>
      <c r="N3242" s="6" t="e">
        <v>#VALUE!</v>
      </c>
      <c r="O3242" s="6" t="e">
        <v>#VALUE!</v>
      </c>
      <c r="P3242" s="6" t="e">
        <v>#VALUE!</v>
      </c>
      <c r="Q3242" s="6" t="e">
        <v>#VALUE!</v>
      </c>
      <c r="T3242" s="9"/>
      <c r="U3242" s="1">
        <f t="shared" si="5559"/>
        <v>74</v>
      </c>
      <c r="V3242" s="1">
        <f t="shared" si="5560"/>
        <v>229</v>
      </c>
    </row>
    <row r="3243" spans="1:22" x14ac:dyDescent="0.3">
      <c r="A3243" s="1">
        <f t="shared" si="5512"/>
        <v>74230</v>
      </c>
      <c r="B3243" s="93"/>
      <c r="C3243" s="94"/>
      <c r="D3243" s="94"/>
      <c r="E3243" s="94"/>
      <c r="F3243" s="94"/>
      <c r="G3243" s="94"/>
      <c r="H3243" s="95"/>
      <c r="J3243" s="24" t="str">
        <f t="shared" ref="J3243" si="5577">CONCATENATE(K3241,2)</f>
        <v>82</v>
      </c>
      <c r="K3243" s="6" t="e">
        <v>#VALUE!</v>
      </c>
      <c r="L3243" s="6" t="e">
        <v>#VALUE!</v>
      </c>
      <c r="M3243" s="6" t="e">
        <v>#VALUE!</v>
      </c>
      <c r="N3243" s="6" t="e">
        <v>#VALUE!</v>
      </c>
      <c r="O3243" s="6" t="e">
        <v>#VALUE!</v>
      </c>
      <c r="P3243" s="6" t="e">
        <v>#VALUE!</v>
      </c>
      <c r="Q3243" s="6" t="e">
        <v>#VALUE!</v>
      </c>
      <c r="T3243" s="9"/>
      <c r="U3243" s="1">
        <f t="shared" si="5559"/>
        <v>74</v>
      </c>
      <c r="V3243" s="1">
        <f t="shared" si="5560"/>
        <v>230</v>
      </c>
    </row>
    <row r="3244" spans="1:22" x14ac:dyDescent="0.3">
      <c r="A3244" s="1">
        <f t="shared" si="5512"/>
        <v>74231</v>
      </c>
      <c r="J3244" s="24" t="str">
        <f t="shared" ref="J3244" si="5578">CONCATENATE(K3241,3)</f>
        <v>83</v>
      </c>
      <c r="K3244" s="6" t="e">
        <v>#VALUE!</v>
      </c>
      <c r="L3244" s="6" t="e">
        <v>#VALUE!</v>
      </c>
      <c r="M3244" s="6" t="e">
        <v>#VALUE!</v>
      </c>
      <c r="N3244" s="6" t="e">
        <v>#VALUE!</v>
      </c>
      <c r="O3244" s="6" t="e">
        <v>#VALUE!</v>
      </c>
      <c r="P3244" s="6" t="e">
        <v>#VALUE!</v>
      </c>
      <c r="Q3244" s="6" t="e">
        <v>#VALUE!</v>
      </c>
      <c r="T3244" s="9"/>
      <c r="U3244" s="1">
        <f t="shared" si="5559"/>
        <v>74</v>
      </c>
      <c r="V3244" s="1">
        <f t="shared" si="5560"/>
        <v>231</v>
      </c>
    </row>
    <row r="3245" spans="1:22" ht="15" customHeight="1" x14ac:dyDescent="0.3">
      <c r="A3245" s="1">
        <f t="shared" si="5512"/>
        <v>74232</v>
      </c>
      <c r="B3245" s="10" t="s">
        <v>34</v>
      </c>
      <c r="C3245" s="10" t="s">
        <v>35</v>
      </c>
      <c r="D3245" s="10" t="s">
        <v>36</v>
      </c>
      <c r="E3245" s="74" t="s">
        <v>37</v>
      </c>
      <c r="F3245" s="75"/>
      <c r="G3245" s="76"/>
      <c r="K3245" s="1">
        <v>9</v>
      </c>
      <c r="L3245" s="1">
        <v>9</v>
      </c>
      <c r="M3245" s="1">
        <v>9</v>
      </c>
      <c r="N3245" s="1">
        <v>9</v>
      </c>
      <c r="O3245" s="1">
        <v>9</v>
      </c>
      <c r="P3245" s="1">
        <v>9</v>
      </c>
      <c r="Q3245" s="1">
        <v>9</v>
      </c>
      <c r="R3245" s="1">
        <v>9</v>
      </c>
      <c r="T3245" s="9"/>
      <c r="U3245" s="1">
        <f t="shared" si="5559"/>
        <v>74</v>
      </c>
      <c r="V3245" s="1">
        <f t="shared" si="5560"/>
        <v>232</v>
      </c>
    </row>
    <row r="3246" spans="1:22" x14ac:dyDescent="0.3">
      <c r="A3246" s="1">
        <f t="shared" si="5512"/>
        <v>74233</v>
      </c>
      <c r="B3246" s="12">
        <f t="shared" ref="B3246:B3255" si="5579">C3230-B3230</f>
        <v>1</v>
      </c>
      <c r="C3246" s="13">
        <f t="shared" ref="C3246:C3255" si="5580">H3230-G3230</f>
        <v>0</v>
      </c>
      <c r="D3246" s="10">
        <f t="shared" ref="D3246:D3255" si="5581">C3246-B3246</f>
        <v>-1</v>
      </c>
      <c r="E3246" s="11">
        <f t="shared" ref="E3246" si="5582">IF(D3221="","",MAX(F3246,G3246))</f>
        <v>2</v>
      </c>
      <c r="F3246" s="10">
        <f t="shared" ref="F3246" si="5583">ABS(MIN(D3246:D3255))</f>
        <v>1</v>
      </c>
      <c r="G3246" s="10">
        <f t="shared" ref="G3246" si="5584">ABS(MAX(D3246:D3255))</f>
        <v>2</v>
      </c>
      <c r="J3246" s="24" t="str">
        <f t="shared" ref="J3246" si="5585">CONCATENATE(K3245,1)</f>
        <v>91</v>
      </c>
      <c r="K3246" s="6" t="e">
        <f t="array" ref="K3246:R3248">LINEST(B3230:B3238,C3230:C3238^{1,2,3,4,5,6,7},TRUE,TRUE)</f>
        <v>#VALUE!</v>
      </c>
      <c r="L3246" s="6" t="e">
        <v>#VALUE!</v>
      </c>
      <c r="M3246" s="6" t="e">
        <v>#VALUE!</v>
      </c>
      <c r="N3246" s="6" t="e">
        <v>#VALUE!</v>
      </c>
      <c r="O3246" s="6" t="e">
        <v>#VALUE!</v>
      </c>
      <c r="P3246" s="6" t="e">
        <v>#VALUE!</v>
      </c>
      <c r="Q3246" s="6" t="e">
        <v>#VALUE!</v>
      </c>
      <c r="R3246" s="6" t="e">
        <v>#VALUE!</v>
      </c>
      <c r="T3246" s="9"/>
      <c r="U3246" s="1">
        <f t="shared" si="5559"/>
        <v>74</v>
      </c>
      <c r="V3246" s="1">
        <f t="shared" si="5560"/>
        <v>233</v>
      </c>
    </row>
    <row r="3247" spans="1:22" x14ac:dyDescent="0.3">
      <c r="A3247" s="1">
        <f t="shared" si="5512"/>
        <v>74234</v>
      </c>
      <c r="B3247" s="12">
        <f t="shared" si="5579"/>
        <v>0</v>
      </c>
      <c r="C3247" s="13">
        <f t="shared" si="5580"/>
        <v>0</v>
      </c>
      <c r="D3247" s="10">
        <f t="shared" si="5581"/>
        <v>0</v>
      </c>
      <c r="E3247" s="74" t="s">
        <v>38</v>
      </c>
      <c r="F3247" s="75"/>
      <c r="G3247" s="76"/>
      <c r="J3247" s="24" t="str">
        <f t="shared" ref="J3247" si="5586">CONCATENATE(K3245,2)</f>
        <v>92</v>
      </c>
      <c r="K3247" s="6" t="e">
        <v>#VALUE!</v>
      </c>
      <c r="L3247" s="6" t="e">
        <v>#VALUE!</v>
      </c>
      <c r="M3247" s="6" t="e">
        <v>#VALUE!</v>
      </c>
      <c r="N3247" s="6" t="e">
        <v>#VALUE!</v>
      </c>
      <c r="O3247" s="6" t="e">
        <v>#VALUE!</v>
      </c>
      <c r="P3247" s="6" t="e">
        <v>#VALUE!</v>
      </c>
      <c r="Q3247" s="6" t="e">
        <v>#VALUE!</v>
      </c>
      <c r="R3247" s="6" t="e">
        <v>#VALUE!</v>
      </c>
      <c r="T3247" s="9"/>
      <c r="U3247" s="1">
        <f t="shared" si="5559"/>
        <v>74</v>
      </c>
      <c r="V3247" s="1">
        <f t="shared" si="5560"/>
        <v>234</v>
      </c>
    </row>
    <row r="3248" spans="1:22" x14ac:dyDescent="0.3">
      <c r="A3248" s="1">
        <f t="shared" si="5512"/>
        <v>74235</v>
      </c>
      <c r="B3248" s="12">
        <f t="shared" si="5579"/>
        <v>-2</v>
      </c>
      <c r="C3248" s="13">
        <f t="shared" si="5580"/>
        <v>0</v>
      </c>
      <c r="D3248" s="10">
        <f t="shared" si="5581"/>
        <v>2</v>
      </c>
      <c r="E3248" s="11">
        <f t="shared" ref="E3248" si="5587">IF(D3221="","",MAX(F3248,G3248))</f>
        <v>2</v>
      </c>
      <c r="F3248" s="10">
        <f t="shared" ref="F3248" si="5588">ABS(MIN(B3246:B3255))</f>
        <v>2</v>
      </c>
      <c r="G3248" s="10">
        <f t="shared" ref="G3248" si="5589">ABS(MAX(B3246:B3255))</f>
        <v>1</v>
      </c>
      <c r="J3248" s="24" t="str">
        <f t="shared" ref="J3248" si="5590">CONCATENATE(K3245,3)</f>
        <v>93</v>
      </c>
      <c r="K3248" s="6" t="e">
        <v>#VALUE!</v>
      </c>
      <c r="L3248" s="6" t="e">
        <v>#VALUE!</v>
      </c>
      <c r="M3248" s="6" t="e">
        <v>#VALUE!</v>
      </c>
      <c r="N3248" s="6" t="e">
        <v>#VALUE!</v>
      </c>
      <c r="O3248" s="6" t="e">
        <v>#VALUE!</v>
      </c>
      <c r="P3248" s="6" t="e">
        <v>#VALUE!</v>
      </c>
      <c r="Q3248" s="6" t="e">
        <v>#VALUE!</v>
      </c>
      <c r="R3248" s="6" t="e">
        <v>#VALUE!</v>
      </c>
      <c r="T3248" s="9"/>
      <c r="U3248" s="1">
        <f t="shared" si="5559"/>
        <v>74</v>
      </c>
      <c r="V3248" s="1">
        <f t="shared" si="5560"/>
        <v>235</v>
      </c>
    </row>
    <row r="3249" spans="1:22" x14ac:dyDescent="0.3">
      <c r="A3249" s="1">
        <f t="shared" si="5512"/>
        <v>74236</v>
      </c>
      <c r="B3249" s="12">
        <f t="shared" si="5579"/>
        <v>-1</v>
      </c>
      <c r="C3249" s="13">
        <f t="shared" si="5580"/>
        <v>0</v>
      </c>
      <c r="D3249" s="10">
        <f t="shared" si="5581"/>
        <v>1</v>
      </c>
      <c r="E3249" s="74" t="s">
        <v>39</v>
      </c>
      <c r="F3249" s="75"/>
      <c r="G3249" s="76"/>
      <c r="K3249" s="1">
        <v>10</v>
      </c>
      <c r="L3249" s="1">
        <v>10</v>
      </c>
      <c r="M3249" s="1">
        <v>10</v>
      </c>
      <c r="N3249" s="1">
        <v>10</v>
      </c>
      <c r="O3249" s="1">
        <v>10</v>
      </c>
      <c r="P3249" s="1">
        <v>10</v>
      </c>
      <c r="Q3249" s="1">
        <v>10</v>
      </c>
      <c r="R3249" s="1">
        <v>10</v>
      </c>
      <c r="S3249" s="1">
        <v>10</v>
      </c>
      <c r="T3249" s="9"/>
      <c r="U3249" s="1">
        <f t="shared" si="5559"/>
        <v>74</v>
      </c>
      <c r="V3249" s="1">
        <f t="shared" si="5560"/>
        <v>236</v>
      </c>
    </row>
    <row r="3250" spans="1:22" x14ac:dyDescent="0.3">
      <c r="A3250" s="1">
        <f t="shared" si="5512"/>
        <v>74237</v>
      </c>
      <c r="B3250" s="12">
        <f t="shared" si="5579"/>
        <v>0</v>
      </c>
      <c r="C3250" s="13">
        <f t="shared" si="5580"/>
        <v>0</v>
      </c>
      <c r="D3250" s="10">
        <f t="shared" si="5581"/>
        <v>0</v>
      </c>
      <c r="E3250" s="11">
        <f t="shared" ref="E3250" si="5591">IF(D3221="","",MAX(F3250,G3250))</f>
        <v>2</v>
      </c>
      <c r="F3250" s="10">
        <f t="shared" ref="F3250" si="5592">ABS(MIN(D3230:D3239))</f>
        <v>2</v>
      </c>
      <c r="G3250" s="10">
        <f t="shared" ref="G3250" si="5593">ABS(MAX(D3230:D3239))</f>
        <v>2</v>
      </c>
      <c r="J3250" s="24" t="str">
        <f t="shared" ref="J3250" si="5594">CONCATENATE(K3249,1)</f>
        <v>101</v>
      </c>
      <c r="K3250" s="6" t="e">
        <f t="array" ref="K3250:S3252">LINEST(B3230:B3239,C3230:C3239^{1,2,3,4,5,6,7,8},TRUE,TRUE)</f>
        <v>#VALUE!</v>
      </c>
      <c r="L3250" s="6" t="e">
        <v>#VALUE!</v>
      </c>
      <c r="M3250" s="6" t="e">
        <v>#VALUE!</v>
      </c>
      <c r="N3250" s="6" t="e">
        <v>#VALUE!</v>
      </c>
      <c r="O3250" s="6" t="e">
        <v>#VALUE!</v>
      </c>
      <c r="P3250" s="6" t="e">
        <v>#VALUE!</v>
      </c>
      <c r="Q3250" s="6" t="e">
        <v>#VALUE!</v>
      </c>
      <c r="R3250" s="6" t="e">
        <v>#VALUE!</v>
      </c>
      <c r="S3250" s="6" t="e">
        <v>#VALUE!</v>
      </c>
      <c r="T3250" s="9"/>
      <c r="U3250" s="1">
        <f t="shared" si="5559"/>
        <v>74</v>
      </c>
      <c r="V3250" s="1">
        <f t="shared" si="5560"/>
        <v>237</v>
      </c>
    </row>
    <row r="3251" spans="1:22" x14ac:dyDescent="0.3">
      <c r="A3251" s="1">
        <f t="shared" si="5512"/>
        <v>74238</v>
      </c>
      <c r="B3251" s="12">
        <f t="shared" si="5579"/>
        <v>0</v>
      </c>
      <c r="C3251" s="13">
        <f t="shared" si="5580"/>
        <v>0</v>
      </c>
      <c r="D3251" s="10">
        <f t="shared" si="5581"/>
        <v>0</v>
      </c>
      <c r="J3251" s="24" t="str">
        <f t="shared" ref="J3251" si="5595">CONCATENATE(K3249,2)</f>
        <v>102</v>
      </c>
      <c r="K3251" s="6" t="e">
        <v>#VALUE!</v>
      </c>
      <c r="L3251" s="6" t="e">
        <v>#VALUE!</v>
      </c>
      <c r="M3251" s="6" t="e">
        <v>#VALUE!</v>
      </c>
      <c r="N3251" s="6" t="e">
        <v>#VALUE!</v>
      </c>
      <c r="O3251" s="6" t="e">
        <v>#VALUE!</v>
      </c>
      <c r="P3251" s="6" t="e">
        <v>#VALUE!</v>
      </c>
      <c r="Q3251" s="6" t="e">
        <v>#VALUE!</v>
      </c>
      <c r="R3251" s="6" t="e">
        <v>#VALUE!</v>
      </c>
      <c r="S3251" s="6" t="e">
        <v>#VALUE!</v>
      </c>
      <c r="T3251" s="9"/>
      <c r="U3251" s="1">
        <f t="shared" si="5559"/>
        <v>74</v>
      </c>
      <c r="V3251" s="1">
        <f t="shared" si="5560"/>
        <v>238</v>
      </c>
    </row>
    <row r="3252" spans="1:22" x14ac:dyDescent="0.3">
      <c r="A3252" s="1">
        <f t="shared" si="5512"/>
        <v>74239</v>
      </c>
      <c r="B3252" s="12">
        <f t="shared" si="5579"/>
        <v>0</v>
      </c>
      <c r="C3252" s="13">
        <f t="shared" si="5580"/>
        <v>0</v>
      </c>
      <c r="D3252" s="10">
        <f t="shared" si="5581"/>
        <v>0</v>
      </c>
      <c r="J3252" s="24" t="str">
        <f t="shared" ref="J3252" si="5596">CONCATENATE(K3249,3)</f>
        <v>103</v>
      </c>
      <c r="K3252" s="6" t="e">
        <v>#VALUE!</v>
      </c>
      <c r="L3252" s="6" t="e">
        <v>#VALUE!</v>
      </c>
      <c r="M3252" s="6" t="e">
        <v>#VALUE!</v>
      </c>
      <c r="N3252" s="6" t="e">
        <v>#VALUE!</v>
      </c>
      <c r="O3252" s="6" t="e">
        <v>#VALUE!</v>
      </c>
      <c r="P3252" s="6" t="e">
        <v>#VALUE!</v>
      </c>
      <c r="Q3252" s="6" t="e">
        <v>#VALUE!</v>
      </c>
      <c r="R3252" s="6" t="e">
        <v>#VALUE!</v>
      </c>
      <c r="S3252" s="6" t="e">
        <v>#VALUE!</v>
      </c>
      <c r="T3252" s="9"/>
      <c r="U3252" s="1">
        <f t="shared" si="5559"/>
        <v>74</v>
      </c>
      <c r="V3252" s="1">
        <f t="shared" si="5560"/>
        <v>239</v>
      </c>
    </row>
    <row r="3253" spans="1:22" x14ac:dyDescent="0.3">
      <c r="A3253" s="1">
        <f t="shared" si="5512"/>
        <v>74240</v>
      </c>
      <c r="B3253" s="12">
        <f t="shared" si="5579"/>
        <v>0</v>
      </c>
      <c r="C3253" s="13">
        <f t="shared" si="5580"/>
        <v>0</v>
      </c>
      <c r="D3253" s="10">
        <f t="shared" si="5581"/>
        <v>0</v>
      </c>
      <c r="J3253" s="9"/>
      <c r="K3253" s="9"/>
      <c r="L3253" s="9"/>
      <c r="M3253" s="9"/>
      <c r="N3253" s="9"/>
      <c r="O3253" s="9"/>
      <c r="P3253" s="9"/>
      <c r="Q3253" s="9"/>
      <c r="R3253" s="9"/>
      <c r="S3253" s="9"/>
      <c r="T3253" s="9"/>
      <c r="U3253" s="1">
        <f t="shared" si="5559"/>
        <v>74</v>
      </c>
      <c r="V3253" s="1">
        <f t="shared" si="5560"/>
        <v>240</v>
      </c>
    </row>
    <row r="3254" spans="1:22" x14ac:dyDescent="0.3">
      <c r="A3254" s="1">
        <f t="shared" si="5512"/>
        <v>74241</v>
      </c>
      <c r="B3254" s="12">
        <f t="shared" si="5579"/>
        <v>0</v>
      </c>
      <c r="C3254" s="13">
        <f t="shared" si="5580"/>
        <v>0</v>
      </c>
      <c r="D3254" s="10">
        <f t="shared" si="5581"/>
        <v>0</v>
      </c>
      <c r="J3254" s="9"/>
      <c r="K3254" s="9"/>
      <c r="L3254" s="9"/>
      <c r="M3254" s="9"/>
      <c r="N3254" s="9"/>
      <c r="O3254" s="9"/>
      <c r="P3254" s="9"/>
      <c r="Q3254" s="9"/>
      <c r="R3254" s="9"/>
      <c r="S3254" s="9"/>
      <c r="T3254" s="9"/>
      <c r="U3254" s="1">
        <f t="shared" si="5559"/>
        <v>74</v>
      </c>
      <c r="V3254" s="1">
        <f t="shared" si="5560"/>
        <v>241</v>
      </c>
    </row>
    <row r="3255" spans="1:22" x14ac:dyDescent="0.3">
      <c r="A3255" s="1">
        <f t="shared" si="5512"/>
        <v>74242</v>
      </c>
      <c r="B3255" s="12">
        <f t="shared" si="5579"/>
        <v>0</v>
      </c>
      <c r="C3255" s="13">
        <f t="shared" si="5580"/>
        <v>0</v>
      </c>
      <c r="D3255" s="10">
        <f t="shared" si="5581"/>
        <v>0</v>
      </c>
      <c r="J3255" s="9"/>
      <c r="K3255" s="9"/>
      <c r="L3255" s="9"/>
      <c r="M3255" s="9"/>
      <c r="N3255" s="9"/>
      <c r="O3255" s="9"/>
      <c r="P3255" s="9"/>
      <c r="Q3255" s="9"/>
      <c r="R3255" s="9"/>
      <c r="S3255" s="9"/>
      <c r="T3255" s="9"/>
      <c r="U3255" s="1">
        <f t="shared" si="5559"/>
        <v>74</v>
      </c>
      <c r="V3255" s="1">
        <f t="shared" si="5560"/>
        <v>242</v>
      </c>
    </row>
    <row r="3256" spans="1:22" x14ac:dyDescent="0.3">
      <c r="A3256" s="1">
        <f t="shared" si="5512"/>
        <v>74243</v>
      </c>
      <c r="J3256" s="9"/>
      <c r="K3256" s="9"/>
      <c r="L3256" s="9"/>
      <c r="M3256" s="9"/>
      <c r="N3256" s="9"/>
      <c r="O3256" s="9"/>
      <c r="P3256" s="9"/>
      <c r="Q3256" s="9"/>
      <c r="R3256" s="9"/>
      <c r="S3256" s="9"/>
      <c r="T3256" s="9"/>
      <c r="U3256" s="1">
        <f t="shared" si="5559"/>
        <v>74</v>
      </c>
      <c r="V3256" s="1">
        <f t="shared" si="5560"/>
        <v>243</v>
      </c>
    </row>
    <row r="3257" spans="1:22" s="5" customFormat="1" x14ac:dyDescent="0.3"/>
    <row r="3258" spans="1:22" x14ac:dyDescent="0.3">
      <c r="A3258" s="1">
        <f t="shared" ref="A3258:A3300" si="5597">ROUND(CONCATENATE(U3258,V3258),0)</f>
        <v>75201</v>
      </c>
      <c r="B3258" s="96" t="s">
        <v>0</v>
      </c>
      <c r="C3258" s="97"/>
      <c r="D3258" s="110" t="s">
        <v>46</v>
      </c>
      <c r="E3258" s="111"/>
      <c r="F3258" s="111"/>
      <c r="G3258" s="111"/>
      <c r="H3258" s="112"/>
      <c r="J3258" s="9"/>
      <c r="K3258" s="9"/>
      <c r="L3258" s="9"/>
      <c r="M3258" s="9"/>
      <c r="N3258" s="9"/>
      <c r="O3258" s="9"/>
      <c r="P3258" s="9"/>
      <c r="Q3258" s="9"/>
      <c r="R3258" s="9"/>
      <c r="S3258" s="9"/>
      <c r="T3258" s="9"/>
      <c r="U3258" s="1">
        <f t="shared" ref="U3258" si="5598">U3256+1</f>
        <v>75</v>
      </c>
      <c r="V3258" s="1">
        <v>201</v>
      </c>
    </row>
    <row r="3259" spans="1:22" x14ac:dyDescent="0.3">
      <c r="A3259" s="1">
        <f t="shared" si="5597"/>
        <v>75202</v>
      </c>
      <c r="B3259" s="96" t="s">
        <v>1</v>
      </c>
      <c r="C3259" s="97"/>
      <c r="D3259" s="15">
        <v>20</v>
      </c>
      <c r="E3259" s="16" t="s">
        <v>2</v>
      </c>
      <c r="F3259" s="107"/>
      <c r="G3259" s="108"/>
      <c r="H3259" s="109"/>
      <c r="J3259" s="9"/>
      <c r="K3259" s="9"/>
      <c r="L3259" s="9"/>
      <c r="M3259" s="9"/>
      <c r="N3259" s="9"/>
      <c r="O3259" s="9"/>
      <c r="P3259" s="9"/>
      <c r="Q3259" s="9"/>
      <c r="R3259" s="9"/>
      <c r="S3259" s="9"/>
      <c r="T3259" s="9"/>
      <c r="U3259" s="1">
        <f t="shared" ref="U3259" si="5599">U3258</f>
        <v>75</v>
      </c>
      <c r="V3259" s="1">
        <f t="shared" ref="V3259" si="5600">V3258+1</f>
        <v>202</v>
      </c>
    </row>
    <row r="3260" spans="1:22" x14ac:dyDescent="0.3">
      <c r="A3260" s="1">
        <f t="shared" si="5597"/>
        <v>75203</v>
      </c>
      <c r="B3260" s="96" t="s">
        <v>12</v>
      </c>
      <c r="C3260" s="97"/>
      <c r="D3260" s="110" t="s">
        <v>289</v>
      </c>
      <c r="E3260" s="111"/>
      <c r="F3260" s="111"/>
      <c r="G3260" s="111"/>
      <c r="H3260" s="112"/>
      <c r="K3260" s="1" t="s">
        <v>3</v>
      </c>
      <c r="L3260" s="1" t="s">
        <v>4</v>
      </c>
      <c r="M3260" s="1" t="s">
        <v>5</v>
      </c>
      <c r="N3260" s="1" t="s">
        <v>6</v>
      </c>
      <c r="O3260" s="1" t="s">
        <v>7</v>
      </c>
      <c r="P3260" s="1" t="s">
        <v>8</v>
      </c>
      <c r="Q3260" s="1" t="s">
        <v>9</v>
      </c>
      <c r="R3260" s="1" t="s">
        <v>10</v>
      </c>
      <c r="S3260" s="1" t="s">
        <v>11</v>
      </c>
      <c r="T3260" s="9"/>
      <c r="U3260" s="1">
        <f t="shared" si="5559"/>
        <v>75</v>
      </c>
      <c r="V3260" s="1">
        <f t="shared" si="5560"/>
        <v>203</v>
      </c>
    </row>
    <row r="3261" spans="1:22" x14ac:dyDescent="0.3">
      <c r="A3261" s="1">
        <f t="shared" si="5597"/>
        <v>75204</v>
      </c>
      <c r="B3261" s="96" t="s">
        <v>13</v>
      </c>
      <c r="C3261" s="97"/>
      <c r="D3261" s="110" t="s">
        <v>65</v>
      </c>
      <c r="E3261" s="111"/>
      <c r="F3261" s="111"/>
      <c r="G3261" s="111"/>
      <c r="H3261" s="112"/>
      <c r="J3261" s="1">
        <f t="shared" ref="J3261" si="5601">COUNTA(B3274:B3283)</f>
        <v>4</v>
      </c>
      <c r="K3261" s="1">
        <f t="shared" ref="K3261" si="5602">IF(L3261-1&lt;2,0,L3261-1)</f>
        <v>0</v>
      </c>
      <c r="L3261" s="1">
        <f t="shared" ref="L3261" si="5603">IF(M3261-1&lt;2,0,M3261-1)</f>
        <v>0</v>
      </c>
      <c r="M3261" s="1">
        <f t="shared" ref="M3261" si="5604">IF(N3261-1&lt;2,0,N3261-1)</f>
        <v>0</v>
      </c>
      <c r="N3261" s="1">
        <f t="shared" ref="N3261" si="5605">IF(O3261-1&lt;2,0,O3261-1)</f>
        <v>0</v>
      </c>
      <c r="O3261" s="1">
        <f t="shared" ref="O3261" si="5606">IF(P3261-1&lt;2,0,P3261-1)</f>
        <v>0</v>
      </c>
      <c r="P3261" s="1">
        <f t="shared" ref="P3261" si="5607">IF(Q3261-1&lt;2,0,Q3261-1)</f>
        <v>0</v>
      </c>
      <c r="Q3261" s="1">
        <f t="shared" ref="Q3261" si="5608">IF(R3261-1&lt;2,0,R3261-1)</f>
        <v>2</v>
      </c>
      <c r="R3261" s="1">
        <f t="shared" ref="R3261" si="5609">IF(S3261-1&lt;2,0,S3261-1)</f>
        <v>3</v>
      </c>
      <c r="S3261" s="1">
        <f t="shared" ref="S3261" si="5610">J3261</f>
        <v>4</v>
      </c>
      <c r="T3261" s="9"/>
      <c r="U3261" s="1">
        <f t="shared" si="5559"/>
        <v>75</v>
      </c>
      <c r="V3261" s="1">
        <f t="shared" si="5560"/>
        <v>204</v>
      </c>
    </row>
    <row r="3262" spans="1:22" x14ac:dyDescent="0.3">
      <c r="A3262" s="1">
        <f t="shared" si="5597"/>
        <v>75205</v>
      </c>
      <c r="B3262" s="96" t="s">
        <v>14</v>
      </c>
      <c r="C3262" s="97"/>
      <c r="D3262" s="110" t="s">
        <v>66</v>
      </c>
      <c r="E3262" s="111"/>
      <c r="F3262" s="111"/>
      <c r="G3262" s="111"/>
      <c r="H3262" s="112"/>
      <c r="J3262" s="24" t="str">
        <f t="shared" ref="J3262" si="5611">CONCATENATE(J3261,1)</f>
        <v>41</v>
      </c>
      <c r="K3262" s="25">
        <f t="shared" ref="K3262" si="5612">IF(K3261=0,0,VLOOKUP(J3262,J3266:S3296,K3261,FALSE))</f>
        <v>0</v>
      </c>
      <c r="L3262" s="25">
        <f t="shared" ref="L3262" si="5613">IF(L3261=0,0,VLOOKUP(J3262,J3266:S3296,L3261,FALSE))</f>
        <v>0</v>
      </c>
      <c r="M3262" s="25">
        <f t="shared" ref="M3262" si="5614">IF(M3261=0,0,VLOOKUP(J3262,J3266:S3296,M3261,FALSE))</f>
        <v>0</v>
      </c>
      <c r="N3262" s="25">
        <f t="shared" ref="N3262" si="5615">IF(N3261=0,0,VLOOKUP(J3262,J3266:S3296,N3261,FALSE))</f>
        <v>0</v>
      </c>
      <c r="O3262" s="25">
        <f t="shared" ref="O3262" si="5616">IF(O3261=0,0,VLOOKUP(J3262,J3266:S3296,O3261,FALSE))</f>
        <v>0</v>
      </c>
      <c r="P3262" s="25">
        <f t="shared" ref="P3262" si="5617">IF(P3261=0,0,VLOOKUP(J3262,J3266:S3296,P3261,FALSE))</f>
        <v>0</v>
      </c>
      <c r="Q3262" s="25">
        <f t="shared" ref="Q3262" si="5618">IF(Q3261=0,0,VLOOKUP(J3262,J3266:S3296,Q3261,FALSE))</f>
        <v>-1.4025954539598113E-3</v>
      </c>
      <c r="R3262" s="25">
        <f t="shared" ref="R3262" si="5619">IF(R3261=0,0,VLOOKUP(J3262,J3266:S3296,R3261,FALSE))</f>
        <v>1.2071930815661953</v>
      </c>
      <c r="S3262" s="25">
        <f t="shared" ref="S3262" si="5620">IF(S3261=0,0,VLOOKUP(J3262,J3266:S3296,S3261,FALSE))</f>
        <v>-5.694659235168972</v>
      </c>
      <c r="T3262" s="9"/>
      <c r="U3262" s="1">
        <f t="shared" si="5559"/>
        <v>75</v>
      </c>
      <c r="V3262" s="1">
        <f t="shared" si="5560"/>
        <v>205</v>
      </c>
    </row>
    <row r="3263" spans="1:22" x14ac:dyDescent="0.3">
      <c r="A3263" s="1">
        <f t="shared" si="5597"/>
        <v>75206</v>
      </c>
      <c r="B3263" s="96" t="s">
        <v>15</v>
      </c>
      <c r="C3263" s="97"/>
      <c r="D3263" s="110" t="s">
        <v>290</v>
      </c>
      <c r="E3263" s="111"/>
      <c r="F3263" s="111"/>
      <c r="G3263" s="111"/>
      <c r="H3263" s="112"/>
      <c r="J3263" s="24" t="str">
        <f t="shared" ref="J3263" si="5621">CONCATENATE(J3261,2)</f>
        <v>42</v>
      </c>
      <c r="K3263" s="6">
        <f t="shared" ref="K3263" si="5622">IF(K3261=0,0,VLOOKUP(J3263,J3266:S3296,K3261,FALSE))</f>
        <v>0</v>
      </c>
      <c r="L3263" s="6">
        <f t="shared" ref="L3263" si="5623">IF(L3261=0,0,VLOOKUP(J3263,J3266:S3296,L3261,FALSE))</f>
        <v>0</v>
      </c>
      <c r="M3263" s="6">
        <f t="shared" ref="M3263" si="5624">IF(M3261=0,0,VLOOKUP(J3263,J3266:S3296,M3261,FALSE))</f>
        <v>0</v>
      </c>
      <c r="N3263" s="6">
        <f t="shared" ref="N3263" si="5625">IF(N3261=0,0,VLOOKUP(J3263,J3266:S3296,N3261,FALSE))</f>
        <v>0</v>
      </c>
      <c r="O3263" s="6">
        <f t="shared" ref="O3263" si="5626">IF(O3261=0,0,VLOOKUP(J3263,J3266:S3296,O3261,FALSE))</f>
        <v>0</v>
      </c>
      <c r="P3263" s="6">
        <f t="shared" ref="P3263" si="5627">IF(P3261=0,0,VLOOKUP(J3263,J3266:S3296,P3261,FALSE))</f>
        <v>0</v>
      </c>
      <c r="Q3263" s="6">
        <f t="shared" ref="Q3263" si="5628">IF(Q3261=0,0,VLOOKUP(J3263,J3266:S3296,Q3261,FALSE))</f>
        <v>2.0482835085505065E-3</v>
      </c>
      <c r="R3263" s="6">
        <f t="shared" ref="R3263" si="5629">IF(R3261=0,0,VLOOKUP(J3263,J3266:S3296,R3261,FALSE))</f>
        <v>0.24631575093667063</v>
      </c>
      <c r="S3263" s="6">
        <f t="shared" ref="S3263" si="5630">IF(S3261=0,0,VLOOKUP(J3263,J3266:S3296,S3261,FALSE))</f>
        <v>6.6623345843764854</v>
      </c>
      <c r="T3263" s="9"/>
      <c r="U3263" s="1">
        <f t="shared" si="5559"/>
        <v>75</v>
      </c>
      <c r="V3263" s="1">
        <f t="shared" si="5560"/>
        <v>206</v>
      </c>
    </row>
    <row r="3264" spans="1:22" x14ac:dyDescent="0.3">
      <c r="A3264" s="1">
        <f t="shared" si="5597"/>
        <v>75207</v>
      </c>
      <c r="B3264" s="96" t="s">
        <v>16</v>
      </c>
      <c r="C3264" s="97"/>
      <c r="D3264" s="113">
        <v>45520</v>
      </c>
      <c r="E3264" s="114"/>
      <c r="F3264" s="114"/>
      <c r="G3264" s="114"/>
      <c r="H3264" s="115"/>
      <c r="J3264" s="24" t="str">
        <f t="shared" ref="J3264" si="5631">CONCATENATE(J3261,3)</f>
        <v>43</v>
      </c>
      <c r="K3264" s="6"/>
      <c r="L3264" s="6"/>
      <c r="M3264" s="6"/>
      <c r="N3264" s="6" t="s">
        <v>43</v>
      </c>
      <c r="O3264" s="25">
        <f t="shared" ref="O3264" si="5632">J3261-2</f>
        <v>2</v>
      </c>
      <c r="P3264" s="6" t="s">
        <v>44</v>
      </c>
      <c r="Q3264" s="25">
        <f t="shared" ref="Q3264" si="5633">VLOOKUP(J3264,J3266:S3296,3,FALSE)</f>
        <v>1.4370812861417965</v>
      </c>
      <c r="R3264" s="6" t="s">
        <v>45</v>
      </c>
      <c r="S3264" s="6">
        <f t="shared" ref="S3264" si="5634">VLOOKUP(J3264,J3266:S3296,2,FALSE)</f>
        <v>0.99896739868851059</v>
      </c>
      <c r="T3264" s="9"/>
      <c r="U3264" s="1">
        <f t="shared" si="5559"/>
        <v>75</v>
      </c>
      <c r="V3264" s="1">
        <f t="shared" si="5560"/>
        <v>207</v>
      </c>
    </row>
    <row r="3265" spans="1:22" x14ac:dyDescent="0.3">
      <c r="A3265" s="1">
        <f t="shared" si="5597"/>
        <v>75208</v>
      </c>
      <c r="B3265" s="96" t="s">
        <v>17</v>
      </c>
      <c r="C3265" s="97"/>
      <c r="D3265" s="116">
        <v>45899</v>
      </c>
      <c r="E3265" s="117"/>
      <c r="F3265" s="117"/>
      <c r="G3265" s="117"/>
      <c r="H3265" s="118"/>
      <c r="K3265" s="1">
        <v>3</v>
      </c>
      <c r="L3265" s="1">
        <v>3</v>
      </c>
      <c r="Q3265" s="26"/>
      <c r="R3265" s="26"/>
      <c r="S3265" s="26"/>
      <c r="T3265" s="9"/>
      <c r="U3265" s="1">
        <f t="shared" si="5559"/>
        <v>75</v>
      </c>
      <c r="V3265" s="1">
        <f t="shared" si="5560"/>
        <v>208</v>
      </c>
    </row>
    <row r="3266" spans="1:22" x14ac:dyDescent="0.3">
      <c r="A3266" s="1">
        <f t="shared" si="5597"/>
        <v>75209</v>
      </c>
      <c r="B3266" s="77" t="s">
        <v>19</v>
      </c>
      <c r="C3266" s="78"/>
      <c r="D3266" s="17">
        <v>1</v>
      </c>
      <c r="E3266" s="79" t="s">
        <v>40</v>
      </c>
      <c r="F3266" s="80"/>
      <c r="G3266" s="81"/>
      <c r="H3266" s="18" t="s">
        <v>72</v>
      </c>
      <c r="J3266" s="24" t="str">
        <f t="shared" ref="J3266" si="5635">CONCATENATE(K3265,1)</f>
        <v>31</v>
      </c>
      <c r="K3266" s="6">
        <f t="array" ref="K3266:L3268">LINEST(B3274:B3276,C3274:C3276^{1},TRUE,TRUE)</f>
        <v>1.0487580496780127</v>
      </c>
      <c r="L3266" s="6">
        <v>-1.7387304507819579</v>
      </c>
      <c r="Q3266" s="9"/>
      <c r="R3266" s="9"/>
      <c r="S3266" s="9"/>
      <c r="T3266" s="9"/>
      <c r="U3266" s="1">
        <f t="shared" si="5559"/>
        <v>75</v>
      </c>
      <c r="V3266" s="1">
        <f t="shared" si="5560"/>
        <v>209</v>
      </c>
    </row>
    <row r="3267" spans="1:22" x14ac:dyDescent="0.3">
      <c r="A3267" s="1">
        <f t="shared" si="5597"/>
        <v>75210</v>
      </c>
      <c r="B3267" s="77" t="s">
        <v>41</v>
      </c>
      <c r="C3267" s="78"/>
      <c r="D3267" s="23">
        <f t="shared" ref="D3267" si="5636">MIN(B3274:B3283)</f>
        <v>30</v>
      </c>
      <c r="E3267" s="20" t="s">
        <v>18</v>
      </c>
      <c r="F3267" s="19">
        <f t="shared" ref="F3267" si="5637">MAX(B3274:B3283)</f>
        <v>90</v>
      </c>
      <c r="G3267" s="21" t="str">
        <f t="shared" ref="G3267" si="5638">IF(H3266="","",H3266)</f>
        <v>%ur</v>
      </c>
      <c r="H3267" s="22"/>
      <c r="J3267" s="24" t="str">
        <f t="shared" ref="J3267" si="5639">CONCATENATE(K3265,2)</f>
        <v>32</v>
      </c>
      <c r="K3267" s="6">
        <v>6.373692024172499E-2</v>
      </c>
      <c r="L3267" s="6">
        <v>3.2967045305501426</v>
      </c>
      <c r="Q3267" s="9"/>
      <c r="R3267" s="9"/>
      <c r="S3267" s="9"/>
      <c r="T3267" s="9"/>
      <c r="U3267" s="1">
        <f t="shared" si="5559"/>
        <v>75</v>
      </c>
      <c r="V3267" s="1">
        <f t="shared" si="5560"/>
        <v>210</v>
      </c>
    </row>
    <row r="3268" spans="1:22" x14ac:dyDescent="0.3">
      <c r="A3268" s="1">
        <f t="shared" si="5597"/>
        <v>75211</v>
      </c>
      <c r="J3268" s="24" t="str">
        <f t="shared" ref="J3268" si="5640">CONCATENATE(K3265,3)</f>
        <v>33</v>
      </c>
      <c r="K3268" s="6">
        <v>0.99632014719411233</v>
      </c>
      <c r="L3268" s="6">
        <v>1.7157745320146844</v>
      </c>
      <c r="Q3268" s="9"/>
      <c r="R3268" s="9"/>
      <c r="S3268" s="9"/>
      <c r="T3268" s="9"/>
      <c r="U3268" s="1">
        <f t="shared" si="5559"/>
        <v>75</v>
      </c>
      <c r="V3268" s="1">
        <f t="shared" si="5560"/>
        <v>211</v>
      </c>
    </row>
    <row r="3269" spans="1:22" x14ac:dyDescent="0.3">
      <c r="A3269" s="1">
        <f t="shared" si="5597"/>
        <v>75212</v>
      </c>
      <c r="B3269" s="82" t="s">
        <v>20</v>
      </c>
      <c r="C3269" s="83"/>
      <c r="D3269" s="83"/>
      <c r="E3269" s="83"/>
      <c r="F3269" s="84"/>
      <c r="G3269" s="85" t="s">
        <v>31</v>
      </c>
      <c r="H3269" s="86"/>
      <c r="K3269" s="1">
        <v>4</v>
      </c>
      <c r="L3269" s="1">
        <v>4</v>
      </c>
      <c r="M3269" s="1">
        <v>4</v>
      </c>
      <c r="Q3269" s="9"/>
      <c r="R3269" s="9"/>
      <c r="S3269" s="9"/>
      <c r="T3269" s="9"/>
      <c r="U3269" s="1">
        <f t="shared" si="5559"/>
        <v>75</v>
      </c>
      <c r="V3269" s="1">
        <f t="shared" si="5560"/>
        <v>212</v>
      </c>
    </row>
    <row r="3270" spans="1:22" x14ac:dyDescent="0.3">
      <c r="A3270" s="1">
        <f t="shared" si="5597"/>
        <v>75213</v>
      </c>
      <c r="B3270" s="82" t="s">
        <v>30</v>
      </c>
      <c r="C3270" s="83"/>
      <c r="D3270" s="84"/>
      <c r="E3270" s="82" t="str">
        <f t="shared" ref="E3270" si="5641">D3263</f>
        <v>E0309/24</v>
      </c>
      <c r="F3270" s="84"/>
      <c r="G3270" s="6" t="s">
        <v>32</v>
      </c>
      <c r="H3270" s="7"/>
      <c r="J3270" s="24" t="str">
        <f t="shared" ref="J3270" si="5642">CONCATENATE(K3269,1)</f>
        <v>41</v>
      </c>
      <c r="K3270" s="6">
        <f t="array" ref="K3270:M3272">LINEST(B3274:B3277,C3274:C3277^{1,2},TRUE,TRUE)</f>
        <v>-1.4025954539598113E-3</v>
      </c>
      <c r="L3270" s="6">
        <v>1.2071930815661953</v>
      </c>
      <c r="M3270" s="6">
        <v>-5.694659235168972</v>
      </c>
      <c r="Q3270" s="9"/>
      <c r="R3270" s="9"/>
      <c r="S3270" s="9"/>
      <c r="T3270" s="9"/>
      <c r="U3270" s="1">
        <f t="shared" si="5559"/>
        <v>75</v>
      </c>
      <c r="V3270" s="1">
        <f t="shared" si="5560"/>
        <v>213</v>
      </c>
    </row>
    <row r="3271" spans="1:22" x14ac:dyDescent="0.3">
      <c r="A3271" s="1">
        <f t="shared" si="5597"/>
        <v>75214</v>
      </c>
      <c r="B3271" s="2" t="s">
        <v>21</v>
      </c>
      <c r="C3271" s="2" t="s">
        <v>22</v>
      </c>
      <c r="D3271" s="2" t="s">
        <v>23</v>
      </c>
      <c r="E3271" s="2"/>
      <c r="F3271" s="2" t="s">
        <v>28</v>
      </c>
      <c r="G3271" s="2" t="s">
        <v>21</v>
      </c>
      <c r="H3271" s="2" t="s">
        <v>22</v>
      </c>
      <c r="J3271" s="24" t="str">
        <f t="shared" ref="J3271" si="5643">CONCATENATE(K3269,2)</f>
        <v>42</v>
      </c>
      <c r="K3271" s="6">
        <v>2.0482835085505065E-3</v>
      </c>
      <c r="L3271" s="6">
        <v>0.24631575093667063</v>
      </c>
      <c r="M3271" s="6">
        <v>6.6623345843764854</v>
      </c>
      <c r="Q3271" s="9"/>
      <c r="R3271" s="9"/>
      <c r="S3271" s="9"/>
      <c r="T3271" s="9"/>
      <c r="U3271" s="1">
        <f t="shared" si="5559"/>
        <v>75</v>
      </c>
      <c r="V3271" s="1">
        <f t="shared" si="5560"/>
        <v>214</v>
      </c>
    </row>
    <row r="3272" spans="1:22" x14ac:dyDescent="0.3">
      <c r="A3272" s="1">
        <f t="shared" si="5597"/>
        <v>75215</v>
      </c>
      <c r="B3272" s="2" t="s">
        <v>24</v>
      </c>
      <c r="C3272" s="2" t="s">
        <v>25</v>
      </c>
      <c r="D3272" s="2" t="s">
        <v>26</v>
      </c>
      <c r="E3272" s="2" t="s">
        <v>27</v>
      </c>
      <c r="F3272" s="2" t="s">
        <v>29</v>
      </c>
      <c r="G3272" s="2" t="s">
        <v>24</v>
      </c>
      <c r="H3272" s="2" t="s">
        <v>25</v>
      </c>
      <c r="J3272" s="24" t="str">
        <f t="shared" ref="J3272" si="5644">CONCATENATE(K3269,3)</f>
        <v>43</v>
      </c>
      <c r="K3272" s="6">
        <v>0.99896739868851059</v>
      </c>
      <c r="L3272" s="6">
        <v>1.4370812861417965</v>
      </c>
      <c r="M3272" s="6" t="e">
        <v>#N/A</v>
      </c>
      <c r="Q3272" s="9"/>
      <c r="R3272" s="9"/>
      <c r="S3272" s="9"/>
      <c r="T3272" s="9"/>
      <c r="U3272" s="1">
        <f t="shared" si="5559"/>
        <v>75</v>
      </c>
      <c r="V3272" s="1">
        <f t="shared" si="5560"/>
        <v>215</v>
      </c>
    </row>
    <row r="3273" spans="1:22" x14ac:dyDescent="0.3">
      <c r="A3273" s="1">
        <f t="shared" si="5597"/>
        <v>75216</v>
      </c>
      <c r="B3273" s="3" t="str">
        <f t="shared" ref="B3273" si="5645">H3266</f>
        <v>%ur</v>
      </c>
      <c r="C3273" s="3" t="str">
        <f t="shared" ref="C3273" si="5646">B3273</f>
        <v>%ur</v>
      </c>
      <c r="D3273" s="3" t="str">
        <f t="shared" ref="D3273" si="5647">C3273</f>
        <v>%ur</v>
      </c>
      <c r="E3273" s="3"/>
      <c r="F3273" s="3"/>
      <c r="G3273" s="3" t="str">
        <f t="shared" ref="G3273" si="5648">D3273</f>
        <v>%ur</v>
      </c>
      <c r="H3273" s="3" t="str">
        <f t="shared" ref="H3273" si="5649">G3273</f>
        <v>%ur</v>
      </c>
      <c r="K3273" s="1">
        <v>5</v>
      </c>
      <c r="L3273" s="1">
        <v>5</v>
      </c>
      <c r="M3273" s="1">
        <v>5</v>
      </c>
      <c r="N3273" s="1">
        <v>5</v>
      </c>
      <c r="Q3273" s="9"/>
      <c r="R3273" s="9"/>
      <c r="S3273" s="9"/>
      <c r="T3273" s="9"/>
      <c r="U3273" s="1">
        <f t="shared" si="5559"/>
        <v>75</v>
      </c>
      <c r="V3273" s="1">
        <f t="shared" si="5560"/>
        <v>216</v>
      </c>
    </row>
    <row r="3274" spans="1:22" x14ac:dyDescent="0.3">
      <c r="A3274" s="1">
        <f t="shared" si="5597"/>
        <v>75217</v>
      </c>
      <c r="B3274" s="4">
        <v>30</v>
      </c>
      <c r="C3274" s="4">
        <v>31</v>
      </c>
      <c r="D3274" s="4">
        <v>2</v>
      </c>
      <c r="E3274" s="4">
        <v>2</v>
      </c>
      <c r="F3274" s="14">
        <v>1000000</v>
      </c>
      <c r="G3274" s="8"/>
      <c r="H3274" s="7"/>
      <c r="J3274" s="24" t="str">
        <f t="shared" ref="J3274" si="5650">CONCATENATE(K3273,1)</f>
        <v>51</v>
      </c>
      <c r="K3274" s="6" t="e">
        <f t="array" ref="K3274:N3276">LINEST(B3274:B3278,C3274:C3278^{1,2,3},TRUE,TRUE)</f>
        <v>#VALUE!</v>
      </c>
      <c r="L3274" s="6" t="e">
        <v>#VALUE!</v>
      </c>
      <c r="M3274" s="6" t="e">
        <v>#VALUE!</v>
      </c>
      <c r="N3274" s="6" t="e">
        <v>#VALUE!</v>
      </c>
      <c r="Q3274" s="9"/>
      <c r="R3274" s="9"/>
      <c r="S3274" s="9"/>
      <c r="T3274" s="9"/>
      <c r="U3274" s="1">
        <f t="shared" si="5559"/>
        <v>75</v>
      </c>
      <c r="V3274" s="1">
        <f t="shared" si="5560"/>
        <v>217</v>
      </c>
    </row>
    <row r="3275" spans="1:22" x14ac:dyDescent="0.3">
      <c r="A3275" s="1">
        <f t="shared" si="5597"/>
        <v>75218</v>
      </c>
      <c r="B3275" s="4">
        <v>50</v>
      </c>
      <c r="C3275" s="4">
        <v>48</v>
      </c>
      <c r="D3275" s="4">
        <v>2</v>
      </c>
      <c r="E3275" s="4">
        <v>2</v>
      </c>
      <c r="F3275" s="14">
        <v>1000000</v>
      </c>
      <c r="G3275" s="8"/>
      <c r="H3275" s="7"/>
      <c r="J3275" s="24" t="str">
        <f t="shared" ref="J3275" si="5651">CONCATENATE(K3273,2)</f>
        <v>52</v>
      </c>
      <c r="K3275" s="6" t="e">
        <v>#VALUE!</v>
      </c>
      <c r="L3275" s="6" t="e">
        <v>#VALUE!</v>
      </c>
      <c r="M3275" s="6" t="e">
        <v>#VALUE!</v>
      </c>
      <c r="N3275" s="6" t="e">
        <v>#VALUE!</v>
      </c>
      <c r="T3275" s="9"/>
      <c r="U3275" s="1">
        <f t="shared" si="5559"/>
        <v>75</v>
      </c>
      <c r="V3275" s="1">
        <f t="shared" si="5560"/>
        <v>218</v>
      </c>
    </row>
    <row r="3276" spans="1:22" x14ac:dyDescent="0.3">
      <c r="A3276" s="1">
        <f t="shared" si="5597"/>
        <v>75219</v>
      </c>
      <c r="B3276" s="4">
        <v>70</v>
      </c>
      <c r="C3276" s="4">
        <v>69</v>
      </c>
      <c r="D3276" s="4">
        <v>2</v>
      </c>
      <c r="E3276" s="4">
        <v>2</v>
      </c>
      <c r="F3276" s="14">
        <v>1000000</v>
      </c>
      <c r="G3276" s="8"/>
      <c r="H3276" s="7"/>
      <c r="J3276" s="24" t="str">
        <f t="shared" ref="J3276" si="5652">CONCATENATE(K3273,3)</f>
        <v>53</v>
      </c>
      <c r="K3276" s="6" t="e">
        <v>#VALUE!</v>
      </c>
      <c r="L3276" s="6" t="e">
        <v>#VALUE!</v>
      </c>
      <c r="M3276" s="6" t="e">
        <v>#VALUE!</v>
      </c>
      <c r="N3276" s="6" t="e">
        <v>#VALUE!</v>
      </c>
      <c r="T3276" s="9"/>
      <c r="U3276" s="1">
        <f t="shared" si="5559"/>
        <v>75</v>
      </c>
      <c r="V3276" s="1">
        <f t="shared" si="5560"/>
        <v>219</v>
      </c>
    </row>
    <row r="3277" spans="1:22" x14ac:dyDescent="0.3">
      <c r="A3277" s="1">
        <f t="shared" si="5597"/>
        <v>75220</v>
      </c>
      <c r="B3277" s="4">
        <v>90</v>
      </c>
      <c r="C3277" s="4">
        <v>88</v>
      </c>
      <c r="D3277" s="4">
        <v>2</v>
      </c>
      <c r="E3277" s="4">
        <v>2</v>
      </c>
      <c r="F3277" s="14">
        <v>1000000</v>
      </c>
      <c r="G3277" s="8"/>
      <c r="H3277" s="7"/>
      <c r="K3277" s="1">
        <v>6</v>
      </c>
      <c r="L3277" s="1">
        <v>6</v>
      </c>
      <c r="M3277" s="1">
        <v>6</v>
      </c>
      <c r="N3277" s="1">
        <v>6</v>
      </c>
      <c r="O3277" s="1">
        <v>6</v>
      </c>
      <c r="T3277" s="9"/>
      <c r="U3277" s="1">
        <f t="shared" si="5559"/>
        <v>75</v>
      </c>
      <c r="V3277" s="1">
        <f t="shared" si="5560"/>
        <v>220</v>
      </c>
    </row>
    <row r="3278" spans="1:22" x14ac:dyDescent="0.3">
      <c r="A3278" s="1">
        <f t="shared" si="5597"/>
        <v>75221</v>
      </c>
      <c r="B3278" s="4"/>
      <c r="C3278" s="4"/>
      <c r="D3278" s="4"/>
      <c r="E3278" s="4"/>
      <c r="F3278" s="14"/>
      <c r="G3278" s="8"/>
      <c r="H3278" s="7"/>
      <c r="J3278" s="24" t="str">
        <f t="shared" ref="J3278" si="5653">CONCATENATE(K3277,1)</f>
        <v>61</v>
      </c>
      <c r="K3278" s="6" t="e">
        <f t="array" ref="K3278:O3280">LINEST(B3274:B3279,C3274:C3279^{1,2,3,4},TRUE,TRUE)</f>
        <v>#VALUE!</v>
      </c>
      <c r="L3278" s="6" t="e">
        <v>#VALUE!</v>
      </c>
      <c r="M3278" s="6" t="e">
        <v>#VALUE!</v>
      </c>
      <c r="N3278" s="6" t="e">
        <v>#VALUE!</v>
      </c>
      <c r="O3278" s="6" t="e">
        <v>#VALUE!</v>
      </c>
      <c r="T3278" s="9"/>
      <c r="U3278" s="1">
        <f t="shared" si="5559"/>
        <v>75</v>
      </c>
      <c r="V3278" s="1">
        <f t="shared" si="5560"/>
        <v>221</v>
      </c>
    </row>
    <row r="3279" spans="1:22" x14ac:dyDescent="0.3">
      <c r="A3279" s="1">
        <f t="shared" si="5597"/>
        <v>75222</v>
      </c>
      <c r="B3279" s="4"/>
      <c r="C3279" s="4"/>
      <c r="D3279" s="4"/>
      <c r="E3279" s="4"/>
      <c r="F3279" s="14"/>
      <c r="G3279" s="8"/>
      <c r="H3279" s="7"/>
      <c r="J3279" s="24" t="str">
        <f t="shared" ref="J3279" si="5654">CONCATENATE(K3277,2)</f>
        <v>62</v>
      </c>
      <c r="K3279" s="6" t="e">
        <v>#VALUE!</v>
      </c>
      <c r="L3279" s="6" t="e">
        <v>#VALUE!</v>
      </c>
      <c r="M3279" s="6" t="e">
        <v>#VALUE!</v>
      </c>
      <c r="N3279" s="6" t="e">
        <v>#VALUE!</v>
      </c>
      <c r="O3279" s="6" t="e">
        <v>#VALUE!</v>
      </c>
      <c r="T3279" s="9"/>
      <c r="U3279" s="1">
        <f t="shared" si="5559"/>
        <v>75</v>
      </c>
      <c r="V3279" s="1">
        <f t="shared" si="5560"/>
        <v>222</v>
      </c>
    </row>
    <row r="3280" spans="1:22" x14ac:dyDescent="0.3">
      <c r="A3280" s="1">
        <f t="shared" si="5597"/>
        <v>75223</v>
      </c>
      <c r="B3280" s="4"/>
      <c r="C3280" s="4"/>
      <c r="D3280" s="4"/>
      <c r="E3280" s="4"/>
      <c r="F3280" s="14"/>
      <c r="G3280" s="8"/>
      <c r="H3280" s="7"/>
      <c r="J3280" s="24" t="str">
        <f t="shared" ref="J3280" si="5655">CONCATENATE(K3277,3)</f>
        <v>63</v>
      </c>
      <c r="K3280" s="6" t="e">
        <v>#VALUE!</v>
      </c>
      <c r="L3280" s="6" t="e">
        <v>#VALUE!</v>
      </c>
      <c r="M3280" s="6" t="e">
        <v>#VALUE!</v>
      </c>
      <c r="N3280" s="6" t="e">
        <v>#VALUE!</v>
      </c>
      <c r="O3280" s="6" t="e">
        <v>#VALUE!</v>
      </c>
      <c r="T3280" s="9"/>
      <c r="U3280" s="1">
        <f t="shared" si="5559"/>
        <v>75</v>
      </c>
      <c r="V3280" s="1">
        <f t="shared" si="5560"/>
        <v>223</v>
      </c>
    </row>
    <row r="3281" spans="1:22" x14ac:dyDescent="0.3">
      <c r="A3281" s="1">
        <f t="shared" si="5597"/>
        <v>75224</v>
      </c>
      <c r="B3281" s="4"/>
      <c r="C3281" s="4"/>
      <c r="D3281" s="4"/>
      <c r="E3281" s="4"/>
      <c r="F3281" s="14"/>
      <c r="G3281" s="8"/>
      <c r="H3281" s="7"/>
      <c r="K3281" s="1">
        <v>7</v>
      </c>
      <c r="L3281" s="1">
        <v>7</v>
      </c>
      <c r="M3281" s="1">
        <v>7</v>
      </c>
      <c r="N3281" s="1">
        <v>7</v>
      </c>
      <c r="O3281" s="1">
        <v>7</v>
      </c>
      <c r="P3281" s="1">
        <v>7</v>
      </c>
      <c r="T3281" s="9"/>
      <c r="U3281" s="1">
        <f t="shared" si="5559"/>
        <v>75</v>
      </c>
      <c r="V3281" s="1">
        <f t="shared" si="5560"/>
        <v>224</v>
      </c>
    </row>
    <row r="3282" spans="1:22" x14ac:dyDescent="0.3">
      <c r="A3282" s="1">
        <f t="shared" si="5597"/>
        <v>75225</v>
      </c>
      <c r="B3282" s="4"/>
      <c r="C3282" s="4"/>
      <c r="D3282" s="4"/>
      <c r="E3282" s="4"/>
      <c r="F3282" s="14"/>
      <c r="G3282" s="8"/>
      <c r="H3282" s="7"/>
      <c r="J3282" s="24" t="str">
        <f t="shared" ref="J3282" si="5656">CONCATENATE(K3281,1)</f>
        <v>71</v>
      </c>
      <c r="K3282" s="6" t="e">
        <f t="array" ref="K3282:P3284">LINEST(B3274:B3280,C3274:C3280^{1,2,3,4,5},TRUE,TRUE)</f>
        <v>#VALUE!</v>
      </c>
      <c r="L3282" s="6" t="e">
        <v>#VALUE!</v>
      </c>
      <c r="M3282" s="6" t="e">
        <v>#VALUE!</v>
      </c>
      <c r="N3282" s="6" t="e">
        <v>#VALUE!</v>
      </c>
      <c r="O3282" s="6" t="e">
        <v>#VALUE!</v>
      </c>
      <c r="P3282" s="6" t="e">
        <v>#VALUE!</v>
      </c>
      <c r="T3282" s="9"/>
      <c r="U3282" s="1">
        <f t="shared" si="5559"/>
        <v>75</v>
      </c>
      <c r="V3282" s="1">
        <f t="shared" si="5560"/>
        <v>225</v>
      </c>
    </row>
    <row r="3283" spans="1:22" x14ac:dyDescent="0.3">
      <c r="A3283" s="1">
        <f t="shared" si="5597"/>
        <v>75226</v>
      </c>
      <c r="B3283" s="4"/>
      <c r="C3283" s="4"/>
      <c r="D3283" s="4"/>
      <c r="E3283" s="4"/>
      <c r="F3283" s="14"/>
      <c r="G3283" s="8"/>
      <c r="H3283" s="7"/>
      <c r="J3283" s="24" t="str">
        <f t="shared" ref="J3283" si="5657">CONCATENATE(K3281,2)</f>
        <v>72</v>
      </c>
      <c r="K3283" s="6" t="e">
        <v>#VALUE!</v>
      </c>
      <c r="L3283" s="6" t="e">
        <v>#VALUE!</v>
      </c>
      <c r="M3283" s="6" t="e">
        <v>#VALUE!</v>
      </c>
      <c r="N3283" s="6" t="e">
        <v>#VALUE!</v>
      </c>
      <c r="O3283" s="6" t="e">
        <v>#VALUE!</v>
      </c>
      <c r="P3283" s="6" t="e">
        <v>#VALUE!</v>
      </c>
      <c r="T3283" s="9"/>
      <c r="U3283" s="1">
        <f t="shared" si="5559"/>
        <v>75</v>
      </c>
      <c r="V3283" s="1">
        <f t="shared" si="5560"/>
        <v>226</v>
      </c>
    </row>
    <row r="3284" spans="1:22" x14ac:dyDescent="0.3">
      <c r="A3284" s="1">
        <f t="shared" si="5597"/>
        <v>75227</v>
      </c>
      <c r="B3284" s="9"/>
      <c r="C3284" s="9"/>
      <c r="D3284" s="9"/>
      <c r="E3284" s="9"/>
      <c r="F3284" s="9"/>
      <c r="G3284" s="9"/>
      <c r="H3284" s="9"/>
      <c r="J3284" s="24" t="str">
        <f t="shared" ref="J3284" si="5658">CONCATENATE(K3281,3)</f>
        <v>73</v>
      </c>
      <c r="K3284" s="6" t="e">
        <v>#VALUE!</v>
      </c>
      <c r="L3284" s="6" t="e">
        <v>#VALUE!</v>
      </c>
      <c r="M3284" s="6" t="e">
        <v>#VALUE!</v>
      </c>
      <c r="N3284" s="6" t="e">
        <v>#VALUE!</v>
      </c>
      <c r="O3284" s="6" t="e">
        <v>#VALUE!</v>
      </c>
      <c r="P3284" s="6" t="e">
        <v>#VALUE!</v>
      </c>
      <c r="T3284" s="9"/>
      <c r="U3284" s="1">
        <f t="shared" si="5559"/>
        <v>75</v>
      </c>
      <c r="V3284" s="1">
        <f t="shared" si="5560"/>
        <v>227</v>
      </c>
    </row>
    <row r="3285" spans="1:22" x14ac:dyDescent="0.3">
      <c r="A3285" s="1">
        <f t="shared" si="5597"/>
        <v>75228</v>
      </c>
      <c r="B3285" s="87" t="s">
        <v>33</v>
      </c>
      <c r="C3285" s="88"/>
      <c r="D3285" s="88"/>
      <c r="E3285" s="88"/>
      <c r="F3285" s="88"/>
      <c r="G3285" s="88"/>
      <c r="H3285" s="89"/>
      <c r="K3285" s="1">
        <v>8</v>
      </c>
      <c r="L3285" s="1">
        <v>8</v>
      </c>
      <c r="M3285" s="1">
        <v>8</v>
      </c>
      <c r="N3285" s="1">
        <v>8</v>
      </c>
      <c r="O3285" s="1">
        <v>8</v>
      </c>
      <c r="P3285" s="1">
        <v>8</v>
      </c>
      <c r="Q3285" s="1">
        <v>8</v>
      </c>
      <c r="T3285" s="9"/>
      <c r="U3285" s="1">
        <f t="shared" si="5559"/>
        <v>75</v>
      </c>
      <c r="V3285" s="1">
        <f t="shared" si="5560"/>
        <v>228</v>
      </c>
    </row>
    <row r="3286" spans="1:22" x14ac:dyDescent="0.3">
      <c r="A3286" s="1">
        <f t="shared" si="5597"/>
        <v>75229</v>
      </c>
      <c r="B3286" s="90"/>
      <c r="C3286" s="91"/>
      <c r="D3286" s="91"/>
      <c r="E3286" s="91"/>
      <c r="F3286" s="91"/>
      <c r="G3286" s="91"/>
      <c r="H3286" s="92"/>
      <c r="J3286" s="24" t="str">
        <f t="shared" ref="J3286" si="5659">CONCATENATE(K3285,1)</f>
        <v>81</v>
      </c>
      <c r="K3286" s="6" t="e">
        <f t="array" ref="K3286:Q3288">LINEST(B3274:B3281,C3274:C3281^{1,2,3,4,5,6},TRUE,TRUE)</f>
        <v>#VALUE!</v>
      </c>
      <c r="L3286" s="6" t="e">
        <v>#VALUE!</v>
      </c>
      <c r="M3286" s="6" t="e">
        <v>#VALUE!</v>
      </c>
      <c r="N3286" s="6" t="e">
        <v>#VALUE!</v>
      </c>
      <c r="O3286" s="6" t="e">
        <v>#VALUE!</v>
      </c>
      <c r="P3286" s="6" t="e">
        <v>#VALUE!</v>
      </c>
      <c r="Q3286" s="6" t="e">
        <v>#VALUE!</v>
      </c>
      <c r="T3286" s="9"/>
      <c r="U3286" s="1">
        <f t="shared" si="5559"/>
        <v>75</v>
      </c>
      <c r="V3286" s="1">
        <f t="shared" si="5560"/>
        <v>229</v>
      </c>
    </row>
    <row r="3287" spans="1:22" x14ac:dyDescent="0.3">
      <c r="A3287" s="1">
        <f t="shared" si="5597"/>
        <v>75230</v>
      </c>
      <c r="B3287" s="93"/>
      <c r="C3287" s="94"/>
      <c r="D3287" s="94"/>
      <c r="E3287" s="94"/>
      <c r="F3287" s="94"/>
      <c r="G3287" s="94"/>
      <c r="H3287" s="95"/>
      <c r="J3287" s="24" t="str">
        <f t="shared" ref="J3287" si="5660">CONCATENATE(K3285,2)</f>
        <v>82</v>
      </c>
      <c r="K3287" s="6" t="e">
        <v>#VALUE!</v>
      </c>
      <c r="L3287" s="6" t="e">
        <v>#VALUE!</v>
      </c>
      <c r="M3287" s="6" t="e">
        <v>#VALUE!</v>
      </c>
      <c r="N3287" s="6" t="e">
        <v>#VALUE!</v>
      </c>
      <c r="O3287" s="6" t="e">
        <v>#VALUE!</v>
      </c>
      <c r="P3287" s="6" t="e">
        <v>#VALUE!</v>
      </c>
      <c r="Q3287" s="6" t="e">
        <v>#VALUE!</v>
      </c>
      <c r="T3287" s="9"/>
      <c r="U3287" s="1">
        <f t="shared" si="5559"/>
        <v>75</v>
      </c>
      <c r="V3287" s="1">
        <f t="shared" si="5560"/>
        <v>230</v>
      </c>
    </row>
    <row r="3288" spans="1:22" x14ac:dyDescent="0.3">
      <c r="A3288" s="1">
        <f t="shared" si="5597"/>
        <v>75231</v>
      </c>
      <c r="J3288" s="24" t="str">
        <f t="shared" ref="J3288" si="5661">CONCATENATE(K3285,3)</f>
        <v>83</v>
      </c>
      <c r="K3288" s="6" t="e">
        <v>#VALUE!</v>
      </c>
      <c r="L3288" s="6" t="e">
        <v>#VALUE!</v>
      </c>
      <c r="M3288" s="6" t="e">
        <v>#VALUE!</v>
      </c>
      <c r="N3288" s="6" t="e">
        <v>#VALUE!</v>
      </c>
      <c r="O3288" s="6" t="e">
        <v>#VALUE!</v>
      </c>
      <c r="P3288" s="6" t="e">
        <v>#VALUE!</v>
      </c>
      <c r="Q3288" s="6" t="e">
        <v>#VALUE!</v>
      </c>
      <c r="T3288" s="9"/>
      <c r="U3288" s="1">
        <f t="shared" si="5559"/>
        <v>75</v>
      </c>
      <c r="V3288" s="1">
        <f t="shared" si="5560"/>
        <v>231</v>
      </c>
    </row>
    <row r="3289" spans="1:22" ht="15" customHeight="1" x14ac:dyDescent="0.3">
      <c r="A3289" s="1">
        <f t="shared" si="5597"/>
        <v>75232</v>
      </c>
      <c r="B3289" s="10" t="s">
        <v>34</v>
      </c>
      <c r="C3289" s="10" t="s">
        <v>35</v>
      </c>
      <c r="D3289" s="10" t="s">
        <v>36</v>
      </c>
      <c r="E3289" s="74" t="s">
        <v>37</v>
      </c>
      <c r="F3289" s="75"/>
      <c r="G3289" s="76"/>
      <c r="K3289" s="1">
        <v>9</v>
      </c>
      <c r="L3289" s="1">
        <v>9</v>
      </c>
      <c r="M3289" s="1">
        <v>9</v>
      </c>
      <c r="N3289" s="1">
        <v>9</v>
      </c>
      <c r="O3289" s="1">
        <v>9</v>
      </c>
      <c r="P3289" s="1">
        <v>9</v>
      </c>
      <c r="Q3289" s="1">
        <v>9</v>
      </c>
      <c r="R3289" s="1">
        <v>9</v>
      </c>
      <c r="T3289" s="9"/>
      <c r="U3289" s="1">
        <f t="shared" si="5559"/>
        <v>75</v>
      </c>
      <c r="V3289" s="1">
        <f t="shared" si="5560"/>
        <v>232</v>
      </c>
    </row>
    <row r="3290" spans="1:22" x14ac:dyDescent="0.3">
      <c r="A3290" s="1">
        <f t="shared" si="5597"/>
        <v>75233</v>
      </c>
      <c r="B3290" s="12">
        <f t="shared" ref="B3290:B3299" si="5662">C3274-B3274</f>
        <v>1</v>
      </c>
      <c r="C3290" s="13">
        <f t="shared" ref="C3290:C3299" si="5663">H3274-G3274</f>
        <v>0</v>
      </c>
      <c r="D3290" s="10">
        <f t="shared" ref="D3290:D3299" si="5664">C3290-B3290</f>
        <v>-1</v>
      </c>
      <c r="E3290" s="11">
        <f t="shared" ref="E3290" si="5665">IF(D3265="","",MAX(F3290,G3290))</f>
        <v>2</v>
      </c>
      <c r="F3290" s="10">
        <f t="shared" ref="F3290" si="5666">ABS(MIN(D3290:D3299))</f>
        <v>1</v>
      </c>
      <c r="G3290" s="10">
        <f t="shared" ref="G3290" si="5667">ABS(MAX(D3290:D3299))</f>
        <v>2</v>
      </c>
      <c r="J3290" s="24" t="str">
        <f t="shared" ref="J3290" si="5668">CONCATENATE(K3289,1)</f>
        <v>91</v>
      </c>
      <c r="K3290" s="6" t="e">
        <f t="array" ref="K3290:R3292">LINEST(B3274:B3282,C3274:C3282^{1,2,3,4,5,6,7},TRUE,TRUE)</f>
        <v>#VALUE!</v>
      </c>
      <c r="L3290" s="6" t="e">
        <v>#VALUE!</v>
      </c>
      <c r="M3290" s="6" t="e">
        <v>#VALUE!</v>
      </c>
      <c r="N3290" s="6" t="e">
        <v>#VALUE!</v>
      </c>
      <c r="O3290" s="6" t="e">
        <v>#VALUE!</v>
      </c>
      <c r="P3290" s="6" t="e">
        <v>#VALUE!</v>
      </c>
      <c r="Q3290" s="6" t="e">
        <v>#VALUE!</v>
      </c>
      <c r="R3290" s="6" t="e">
        <v>#VALUE!</v>
      </c>
      <c r="T3290" s="9"/>
      <c r="U3290" s="1">
        <f t="shared" si="5559"/>
        <v>75</v>
      </c>
      <c r="V3290" s="1">
        <f t="shared" si="5560"/>
        <v>233</v>
      </c>
    </row>
    <row r="3291" spans="1:22" x14ac:dyDescent="0.3">
      <c r="A3291" s="1">
        <f t="shared" si="5597"/>
        <v>75234</v>
      </c>
      <c r="B3291" s="12">
        <f t="shared" si="5662"/>
        <v>-2</v>
      </c>
      <c r="C3291" s="13">
        <f t="shared" si="5663"/>
        <v>0</v>
      </c>
      <c r="D3291" s="10">
        <f t="shared" si="5664"/>
        <v>2</v>
      </c>
      <c r="E3291" s="74" t="s">
        <v>38</v>
      </c>
      <c r="F3291" s="75"/>
      <c r="G3291" s="76"/>
      <c r="J3291" s="24" t="str">
        <f t="shared" ref="J3291" si="5669">CONCATENATE(K3289,2)</f>
        <v>92</v>
      </c>
      <c r="K3291" s="6" t="e">
        <v>#VALUE!</v>
      </c>
      <c r="L3291" s="6" t="e">
        <v>#VALUE!</v>
      </c>
      <c r="M3291" s="6" t="e">
        <v>#VALUE!</v>
      </c>
      <c r="N3291" s="6" t="e">
        <v>#VALUE!</v>
      </c>
      <c r="O3291" s="6" t="e">
        <v>#VALUE!</v>
      </c>
      <c r="P3291" s="6" t="e">
        <v>#VALUE!</v>
      </c>
      <c r="Q3291" s="6" t="e">
        <v>#VALUE!</v>
      </c>
      <c r="R3291" s="6" t="e">
        <v>#VALUE!</v>
      </c>
      <c r="T3291" s="9"/>
      <c r="U3291" s="1">
        <f t="shared" ref="U3291:U3354" si="5670">U3290</f>
        <v>75</v>
      </c>
      <c r="V3291" s="1">
        <f t="shared" ref="V3291:V3354" si="5671">V3290+1</f>
        <v>234</v>
      </c>
    </row>
    <row r="3292" spans="1:22" x14ac:dyDescent="0.3">
      <c r="A3292" s="1">
        <f t="shared" si="5597"/>
        <v>75235</v>
      </c>
      <c r="B3292" s="12">
        <f t="shared" si="5662"/>
        <v>-1</v>
      </c>
      <c r="C3292" s="13">
        <f t="shared" si="5663"/>
        <v>0</v>
      </c>
      <c r="D3292" s="10">
        <f t="shared" si="5664"/>
        <v>1</v>
      </c>
      <c r="E3292" s="11">
        <f t="shared" ref="E3292" si="5672">IF(D3265="","",MAX(F3292,G3292))</f>
        <v>2</v>
      </c>
      <c r="F3292" s="10">
        <f t="shared" ref="F3292" si="5673">ABS(MIN(B3290:B3299))</f>
        <v>2</v>
      </c>
      <c r="G3292" s="10">
        <f t="shared" ref="G3292" si="5674">ABS(MAX(B3290:B3299))</f>
        <v>1</v>
      </c>
      <c r="J3292" s="24" t="str">
        <f t="shared" ref="J3292" si="5675">CONCATENATE(K3289,3)</f>
        <v>93</v>
      </c>
      <c r="K3292" s="6" t="e">
        <v>#VALUE!</v>
      </c>
      <c r="L3292" s="6" t="e">
        <v>#VALUE!</v>
      </c>
      <c r="M3292" s="6" t="e">
        <v>#VALUE!</v>
      </c>
      <c r="N3292" s="6" t="e">
        <v>#VALUE!</v>
      </c>
      <c r="O3292" s="6" t="e">
        <v>#VALUE!</v>
      </c>
      <c r="P3292" s="6" t="e">
        <v>#VALUE!</v>
      </c>
      <c r="Q3292" s="6" t="e">
        <v>#VALUE!</v>
      </c>
      <c r="R3292" s="6" t="e">
        <v>#VALUE!</v>
      </c>
      <c r="T3292" s="9"/>
      <c r="U3292" s="1">
        <f t="shared" si="5670"/>
        <v>75</v>
      </c>
      <c r="V3292" s="1">
        <f t="shared" si="5671"/>
        <v>235</v>
      </c>
    </row>
    <row r="3293" spans="1:22" x14ac:dyDescent="0.3">
      <c r="A3293" s="1">
        <f t="shared" si="5597"/>
        <v>75236</v>
      </c>
      <c r="B3293" s="12">
        <f t="shared" si="5662"/>
        <v>-2</v>
      </c>
      <c r="C3293" s="13">
        <f t="shared" si="5663"/>
        <v>0</v>
      </c>
      <c r="D3293" s="10">
        <f t="shared" si="5664"/>
        <v>2</v>
      </c>
      <c r="E3293" s="74" t="s">
        <v>39</v>
      </c>
      <c r="F3293" s="75"/>
      <c r="G3293" s="76"/>
      <c r="K3293" s="1">
        <v>10</v>
      </c>
      <c r="L3293" s="1">
        <v>10</v>
      </c>
      <c r="M3293" s="1">
        <v>10</v>
      </c>
      <c r="N3293" s="1">
        <v>10</v>
      </c>
      <c r="O3293" s="1">
        <v>10</v>
      </c>
      <c r="P3293" s="1">
        <v>10</v>
      </c>
      <c r="Q3293" s="1">
        <v>10</v>
      </c>
      <c r="R3293" s="1">
        <v>10</v>
      </c>
      <c r="S3293" s="1">
        <v>10</v>
      </c>
      <c r="T3293" s="9"/>
      <c r="U3293" s="1">
        <f t="shared" si="5670"/>
        <v>75</v>
      </c>
      <c r="V3293" s="1">
        <f t="shared" si="5671"/>
        <v>236</v>
      </c>
    </row>
    <row r="3294" spans="1:22" x14ac:dyDescent="0.3">
      <c r="A3294" s="1">
        <f t="shared" si="5597"/>
        <v>75237</v>
      </c>
      <c r="B3294" s="12">
        <f t="shared" si="5662"/>
        <v>0</v>
      </c>
      <c r="C3294" s="13">
        <f t="shared" si="5663"/>
        <v>0</v>
      </c>
      <c r="D3294" s="10">
        <f t="shared" si="5664"/>
        <v>0</v>
      </c>
      <c r="E3294" s="11">
        <f t="shared" ref="E3294" si="5676">IF(D3265="","",MAX(F3294,G3294))</f>
        <v>2</v>
      </c>
      <c r="F3294" s="10">
        <f t="shared" ref="F3294" si="5677">ABS(MIN(D3274:D3283))</f>
        <v>2</v>
      </c>
      <c r="G3294" s="10">
        <f t="shared" ref="G3294" si="5678">ABS(MAX(D3274:D3283))</f>
        <v>2</v>
      </c>
      <c r="J3294" s="24" t="str">
        <f t="shared" ref="J3294" si="5679">CONCATENATE(K3293,1)</f>
        <v>101</v>
      </c>
      <c r="K3294" s="6" t="e">
        <f t="array" ref="K3294:S3296">LINEST(B3274:B3283,C3274:C3283^{1,2,3,4,5,6,7,8},TRUE,TRUE)</f>
        <v>#VALUE!</v>
      </c>
      <c r="L3294" s="6" t="e">
        <v>#VALUE!</v>
      </c>
      <c r="M3294" s="6" t="e">
        <v>#VALUE!</v>
      </c>
      <c r="N3294" s="6" t="e">
        <v>#VALUE!</v>
      </c>
      <c r="O3294" s="6" t="e">
        <v>#VALUE!</v>
      </c>
      <c r="P3294" s="6" t="e">
        <v>#VALUE!</v>
      </c>
      <c r="Q3294" s="6" t="e">
        <v>#VALUE!</v>
      </c>
      <c r="R3294" s="6" t="e">
        <v>#VALUE!</v>
      </c>
      <c r="S3294" s="6" t="e">
        <v>#VALUE!</v>
      </c>
      <c r="T3294" s="9"/>
      <c r="U3294" s="1">
        <f t="shared" si="5670"/>
        <v>75</v>
      </c>
      <c r="V3294" s="1">
        <f t="shared" si="5671"/>
        <v>237</v>
      </c>
    </row>
    <row r="3295" spans="1:22" x14ac:dyDescent="0.3">
      <c r="A3295" s="1">
        <f t="shared" si="5597"/>
        <v>75238</v>
      </c>
      <c r="B3295" s="12">
        <f t="shared" si="5662"/>
        <v>0</v>
      </c>
      <c r="C3295" s="13">
        <f t="shared" si="5663"/>
        <v>0</v>
      </c>
      <c r="D3295" s="10">
        <f t="shared" si="5664"/>
        <v>0</v>
      </c>
      <c r="J3295" s="24" t="str">
        <f t="shared" ref="J3295" si="5680">CONCATENATE(K3293,2)</f>
        <v>102</v>
      </c>
      <c r="K3295" s="6" t="e">
        <v>#VALUE!</v>
      </c>
      <c r="L3295" s="6" t="e">
        <v>#VALUE!</v>
      </c>
      <c r="M3295" s="6" t="e">
        <v>#VALUE!</v>
      </c>
      <c r="N3295" s="6" t="e">
        <v>#VALUE!</v>
      </c>
      <c r="O3295" s="6" t="e">
        <v>#VALUE!</v>
      </c>
      <c r="P3295" s="6" t="e">
        <v>#VALUE!</v>
      </c>
      <c r="Q3295" s="6" t="e">
        <v>#VALUE!</v>
      </c>
      <c r="R3295" s="6" t="e">
        <v>#VALUE!</v>
      </c>
      <c r="S3295" s="6" t="e">
        <v>#VALUE!</v>
      </c>
      <c r="T3295" s="9"/>
      <c r="U3295" s="1">
        <f t="shared" si="5670"/>
        <v>75</v>
      </c>
      <c r="V3295" s="1">
        <f t="shared" si="5671"/>
        <v>238</v>
      </c>
    </row>
    <row r="3296" spans="1:22" x14ac:dyDescent="0.3">
      <c r="A3296" s="1">
        <f t="shared" si="5597"/>
        <v>75239</v>
      </c>
      <c r="B3296" s="12">
        <f t="shared" si="5662"/>
        <v>0</v>
      </c>
      <c r="C3296" s="13">
        <f t="shared" si="5663"/>
        <v>0</v>
      </c>
      <c r="D3296" s="10">
        <f t="shared" si="5664"/>
        <v>0</v>
      </c>
      <c r="J3296" s="24" t="str">
        <f t="shared" ref="J3296" si="5681">CONCATENATE(K3293,3)</f>
        <v>103</v>
      </c>
      <c r="K3296" s="6" t="e">
        <v>#VALUE!</v>
      </c>
      <c r="L3296" s="6" t="e">
        <v>#VALUE!</v>
      </c>
      <c r="M3296" s="6" t="e">
        <v>#VALUE!</v>
      </c>
      <c r="N3296" s="6" t="e">
        <v>#VALUE!</v>
      </c>
      <c r="O3296" s="6" t="e">
        <v>#VALUE!</v>
      </c>
      <c r="P3296" s="6" t="e">
        <v>#VALUE!</v>
      </c>
      <c r="Q3296" s="6" t="e">
        <v>#VALUE!</v>
      </c>
      <c r="R3296" s="6" t="e">
        <v>#VALUE!</v>
      </c>
      <c r="S3296" s="6" t="e">
        <v>#VALUE!</v>
      </c>
      <c r="T3296" s="9"/>
      <c r="U3296" s="1">
        <f t="shared" si="5670"/>
        <v>75</v>
      </c>
      <c r="V3296" s="1">
        <f t="shared" si="5671"/>
        <v>239</v>
      </c>
    </row>
    <row r="3297" spans="1:22" x14ac:dyDescent="0.3">
      <c r="A3297" s="1">
        <f t="shared" si="5597"/>
        <v>75240</v>
      </c>
      <c r="B3297" s="12">
        <f t="shared" si="5662"/>
        <v>0</v>
      </c>
      <c r="C3297" s="13">
        <f t="shared" si="5663"/>
        <v>0</v>
      </c>
      <c r="D3297" s="10">
        <f t="shared" si="5664"/>
        <v>0</v>
      </c>
      <c r="J3297" s="9"/>
      <c r="K3297" s="9"/>
      <c r="L3297" s="9"/>
      <c r="M3297" s="9"/>
      <c r="N3297" s="9"/>
      <c r="O3297" s="9"/>
      <c r="P3297" s="9"/>
      <c r="Q3297" s="9"/>
      <c r="R3297" s="9"/>
      <c r="S3297" s="9"/>
      <c r="T3297" s="9"/>
      <c r="U3297" s="1">
        <f t="shared" si="5670"/>
        <v>75</v>
      </c>
      <c r="V3297" s="1">
        <f t="shared" si="5671"/>
        <v>240</v>
      </c>
    </row>
    <row r="3298" spans="1:22" x14ac:dyDescent="0.3">
      <c r="A3298" s="1">
        <f t="shared" si="5597"/>
        <v>75241</v>
      </c>
      <c r="B3298" s="12">
        <f t="shared" si="5662"/>
        <v>0</v>
      </c>
      <c r="C3298" s="13">
        <f t="shared" si="5663"/>
        <v>0</v>
      </c>
      <c r="D3298" s="10">
        <f t="shared" si="5664"/>
        <v>0</v>
      </c>
      <c r="J3298" s="9"/>
      <c r="K3298" s="9"/>
      <c r="L3298" s="9"/>
      <c r="M3298" s="9"/>
      <c r="N3298" s="9"/>
      <c r="O3298" s="9"/>
      <c r="P3298" s="9"/>
      <c r="Q3298" s="9"/>
      <c r="R3298" s="9"/>
      <c r="S3298" s="9"/>
      <c r="T3298" s="9"/>
      <c r="U3298" s="1">
        <f t="shared" si="5670"/>
        <v>75</v>
      </c>
      <c r="V3298" s="1">
        <f t="shared" si="5671"/>
        <v>241</v>
      </c>
    </row>
    <row r="3299" spans="1:22" x14ac:dyDescent="0.3">
      <c r="A3299" s="1">
        <f t="shared" si="5597"/>
        <v>75242</v>
      </c>
      <c r="B3299" s="12">
        <f t="shared" si="5662"/>
        <v>0</v>
      </c>
      <c r="C3299" s="13">
        <f t="shared" si="5663"/>
        <v>0</v>
      </c>
      <c r="D3299" s="10">
        <f t="shared" si="5664"/>
        <v>0</v>
      </c>
      <c r="J3299" s="9"/>
      <c r="K3299" s="9"/>
      <c r="L3299" s="9"/>
      <c r="M3299" s="9"/>
      <c r="N3299" s="9"/>
      <c r="O3299" s="9"/>
      <c r="P3299" s="9"/>
      <c r="Q3299" s="9"/>
      <c r="R3299" s="9"/>
      <c r="S3299" s="9"/>
      <c r="T3299" s="9"/>
      <c r="U3299" s="1">
        <f t="shared" si="5670"/>
        <v>75</v>
      </c>
      <c r="V3299" s="1">
        <f t="shared" si="5671"/>
        <v>242</v>
      </c>
    </row>
    <row r="3300" spans="1:22" x14ac:dyDescent="0.3">
      <c r="A3300" s="1">
        <f t="shared" si="5597"/>
        <v>75243</v>
      </c>
      <c r="J3300" s="9"/>
      <c r="K3300" s="9"/>
      <c r="L3300" s="9"/>
      <c r="M3300" s="9"/>
      <c r="N3300" s="9"/>
      <c r="O3300" s="9"/>
      <c r="P3300" s="9"/>
      <c r="Q3300" s="9"/>
      <c r="R3300" s="9"/>
      <c r="S3300" s="9"/>
      <c r="T3300" s="9"/>
      <c r="U3300" s="1">
        <f t="shared" si="5670"/>
        <v>75</v>
      </c>
      <c r="V3300" s="1">
        <f t="shared" si="5671"/>
        <v>243</v>
      </c>
    </row>
    <row r="3301" spans="1:22" s="5" customFormat="1" x14ac:dyDescent="0.3"/>
    <row r="3302" spans="1:22" x14ac:dyDescent="0.3">
      <c r="A3302" s="1">
        <f t="shared" ref="A3302:A3344" si="5682">ROUND(CONCATENATE(U3302,V3302),0)</f>
        <v>76201</v>
      </c>
      <c r="B3302" s="96" t="s">
        <v>0</v>
      </c>
      <c r="C3302" s="97"/>
      <c r="D3302" s="110" t="s">
        <v>46</v>
      </c>
      <c r="E3302" s="111"/>
      <c r="F3302" s="111"/>
      <c r="G3302" s="111"/>
      <c r="H3302" s="112"/>
      <c r="J3302" s="9"/>
      <c r="K3302" s="9"/>
      <c r="L3302" s="9"/>
      <c r="M3302" s="9"/>
      <c r="N3302" s="9"/>
      <c r="O3302" s="9"/>
      <c r="P3302" s="9"/>
      <c r="Q3302" s="9"/>
      <c r="R3302" s="9"/>
      <c r="S3302" s="9"/>
      <c r="T3302" s="9"/>
      <c r="U3302" s="1">
        <f t="shared" ref="U3302" si="5683">U3300+1</f>
        <v>76</v>
      </c>
      <c r="V3302" s="1">
        <v>201</v>
      </c>
    </row>
    <row r="3303" spans="1:22" x14ac:dyDescent="0.3">
      <c r="A3303" s="1">
        <f t="shared" si="5682"/>
        <v>76202</v>
      </c>
      <c r="B3303" s="96" t="s">
        <v>1</v>
      </c>
      <c r="C3303" s="97"/>
      <c r="D3303" s="15">
        <v>20</v>
      </c>
      <c r="E3303" s="16" t="s">
        <v>2</v>
      </c>
      <c r="F3303" s="107"/>
      <c r="G3303" s="108"/>
      <c r="H3303" s="109"/>
      <c r="J3303" s="9"/>
      <c r="K3303" s="9"/>
      <c r="L3303" s="9"/>
      <c r="M3303" s="9"/>
      <c r="N3303" s="9"/>
      <c r="O3303" s="9"/>
      <c r="P3303" s="9"/>
      <c r="Q3303" s="9"/>
      <c r="R3303" s="9"/>
      <c r="S3303" s="9"/>
      <c r="T3303" s="9"/>
      <c r="U3303" s="1">
        <f t="shared" ref="U3303" si="5684">U3302</f>
        <v>76</v>
      </c>
      <c r="V3303" s="1">
        <f t="shared" ref="V3303" si="5685">V3302+1</f>
        <v>202</v>
      </c>
    </row>
    <row r="3304" spans="1:22" x14ac:dyDescent="0.3">
      <c r="A3304" s="1">
        <f t="shared" si="5682"/>
        <v>76203</v>
      </c>
      <c r="B3304" s="96" t="s">
        <v>12</v>
      </c>
      <c r="C3304" s="97"/>
      <c r="D3304" s="110" t="s">
        <v>291</v>
      </c>
      <c r="E3304" s="111"/>
      <c r="F3304" s="111"/>
      <c r="G3304" s="111"/>
      <c r="H3304" s="112"/>
      <c r="K3304" s="1" t="s">
        <v>3</v>
      </c>
      <c r="L3304" s="1" t="s">
        <v>4</v>
      </c>
      <c r="M3304" s="1" t="s">
        <v>5</v>
      </c>
      <c r="N3304" s="1" t="s">
        <v>6</v>
      </c>
      <c r="O3304" s="1" t="s">
        <v>7</v>
      </c>
      <c r="P3304" s="1" t="s">
        <v>8</v>
      </c>
      <c r="Q3304" s="1" t="s">
        <v>9</v>
      </c>
      <c r="R3304" s="1" t="s">
        <v>10</v>
      </c>
      <c r="S3304" s="1" t="s">
        <v>11</v>
      </c>
      <c r="T3304" s="9"/>
      <c r="U3304" s="1">
        <f t="shared" si="5670"/>
        <v>76</v>
      </c>
      <c r="V3304" s="1">
        <f t="shared" si="5671"/>
        <v>203</v>
      </c>
    </row>
    <row r="3305" spans="1:22" x14ac:dyDescent="0.3">
      <c r="A3305" s="1">
        <f t="shared" si="5682"/>
        <v>76204</v>
      </c>
      <c r="B3305" s="96" t="s">
        <v>13</v>
      </c>
      <c r="C3305" s="97"/>
      <c r="D3305" s="110" t="s">
        <v>65</v>
      </c>
      <c r="E3305" s="111"/>
      <c r="F3305" s="111"/>
      <c r="G3305" s="111"/>
      <c r="H3305" s="112"/>
      <c r="J3305" s="1">
        <f t="shared" ref="J3305" si="5686">COUNTA(B3318:B3327)</f>
        <v>4</v>
      </c>
      <c r="K3305" s="1">
        <f t="shared" ref="K3305" si="5687">IF(L3305-1&lt;2,0,L3305-1)</f>
        <v>0</v>
      </c>
      <c r="L3305" s="1">
        <f t="shared" ref="L3305" si="5688">IF(M3305-1&lt;2,0,M3305-1)</f>
        <v>0</v>
      </c>
      <c r="M3305" s="1">
        <f t="shared" ref="M3305" si="5689">IF(N3305-1&lt;2,0,N3305-1)</f>
        <v>0</v>
      </c>
      <c r="N3305" s="1">
        <f t="shared" ref="N3305" si="5690">IF(O3305-1&lt;2,0,O3305-1)</f>
        <v>0</v>
      </c>
      <c r="O3305" s="1">
        <f t="shared" ref="O3305" si="5691">IF(P3305-1&lt;2,0,P3305-1)</f>
        <v>0</v>
      </c>
      <c r="P3305" s="1">
        <f t="shared" ref="P3305" si="5692">IF(Q3305-1&lt;2,0,Q3305-1)</f>
        <v>0</v>
      </c>
      <c r="Q3305" s="1">
        <f t="shared" ref="Q3305" si="5693">IF(R3305-1&lt;2,0,R3305-1)</f>
        <v>2</v>
      </c>
      <c r="R3305" s="1">
        <f t="shared" ref="R3305" si="5694">IF(S3305-1&lt;2,0,S3305-1)</f>
        <v>3</v>
      </c>
      <c r="S3305" s="1">
        <f t="shared" ref="S3305" si="5695">J3305</f>
        <v>4</v>
      </c>
      <c r="T3305" s="9"/>
      <c r="U3305" s="1">
        <f t="shared" si="5670"/>
        <v>76</v>
      </c>
      <c r="V3305" s="1">
        <f t="shared" si="5671"/>
        <v>204</v>
      </c>
    </row>
    <row r="3306" spans="1:22" x14ac:dyDescent="0.3">
      <c r="A3306" s="1">
        <f t="shared" si="5682"/>
        <v>76205</v>
      </c>
      <c r="B3306" s="96" t="s">
        <v>14</v>
      </c>
      <c r="C3306" s="97"/>
      <c r="D3306" s="110" t="s">
        <v>66</v>
      </c>
      <c r="E3306" s="111"/>
      <c r="F3306" s="111"/>
      <c r="G3306" s="111"/>
      <c r="H3306" s="112"/>
      <c r="J3306" s="24" t="str">
        <f t="shared" ref="J3306" si="5696">CONCATENATE(J3305,1)</f>
        <v>41</v>
      </c>
      <c r="K3306" s="25">
        <f t="shared" ref="K3306" si="5697">IF(K3305=0,0,VLOOKUP(J3306,J3310:S3340,K3305,FALSE))</f>
        <v>0</v>
      </c>
      <c r="L3306" s="25">
        <f t="shared" ref="L3306" si="5698">IF(L3305=0,0,VLOOKUP(J3306,J3310:S3340,L3305,FALSE))</f>
        <v>0</v>
      </c>
      <c r="M3306" s="25">
        <f t="shared" ref="M3306" si="5699">IF(M3305=0,0,VLOOKUP(J3306,J3310:S3340,M3305,FALSE))</f>
        <v>0</v>
      </c>
      <c r="N3306" s="25">
        <f t="shared" ref="N3306" si="5700">IF(N3305=0,0,VLOOKUP(J3306,J3310:S3340,N3305,FALSE))</f>
        <v>0</v>
      </c>
      <c r="O3306" s="25">
        <f t="shared" ref="O3306" si="5701">IF(O3305=0,0,VLOOKUP(J3306,J3310:S3340,O3305,FALSE))</f>
        <v>0</v>
      </c>
      <c r="P3306" s="25">
        <f t="shared" ref="P3306" si="5702">IF(P3305=0,0,VLOOKUP(J3306,J3310:S3340,P3305,FALSE))</f>
        <v>0</v>
      </c>
      <c r="Q3306" s="25">
        <f t="shared" ref="Q3306" si="5703">IF(Q3305=0,0,VLOOKUP(J3306,J3310:S3340,Q3305,FALSE))</f>
        <v>-6.3361076334152839E-4</v>
      </c>
      <c r="R3306" s="25">
        <f t="shared" ref="R3306" si="5704">IF(R3305=0,0,VLOOKUP(J3306,J3310:S3340,R3305,FALSE))</f>
        <v>1.0807749738999506</v>
      </c>
      <c r="S3306" s="25">
        <f t="shared" ref="S3306" si="5705">IF(S3305=0,0,VLOOKUP(J3306,J3310:S3340,S3305,FALSE))</f>
        <v>-2.0005185348479024</v>
      </c>
      <c r="T3306" s="9"/>
      <c r="U3306" s="1">
        <f t="shared" si="5670"/>
        <v>76</v>
      </c>
      <c r="V3306" s="1">
        <f t="shared" si="5671"/>
        <v>205</v>
      </c>
    </row>
    <row r="3307" spans="1:22" x14ac:dyDescent="0.3">
      <c r="A3307" s="1">
        <f t="shared" si="5682"/>
        <v>76206</v>
      </c>
      <c r="B3307" s="96" t="s">
        <v>15</v>
      </c>
      <c r="C3307" s="97"/>
      <c r="D3307" s="110" t="s">
        <v>292</v>
      </c>
      <c r="E3307" s="111"/>
      <c r="F3307" s="111"/>
      <c r="G3307" s="111"/>
      <c r="H3307" s="112"/>
      <c r="J3307" s="24" t="str">
        <f t="shared" ref="J3307" si="5706">CONCATENATE(J3305,2)</f>
        <v>42</v>
      </c>
      <c r="K3307" s="6">
        <f t="shared" ref="K3307" si="5707">IF(K3305=0,0,VLOOKUP(J3307,J3310:S3340,K3305,FALSE))</f>
        <v>0</v>
      </c>
      <c r="L3307" s="6">
        <f t="shared" ref="L3307" si="5708">IF(L3305=0,0,VLOOKUP(J3307,J3310:S3340,L3305,FALSE))</f>
        <v>0</v>
      </c>
      <c r="M3307" s="6">
        <f t="shared" ref="M3307" si="5709">IF(M3305=0,0,VLOOKUP(J3307,J3310:S3340,M3305,FALSE))</f>
        <v>0</v>
      </c>
      <c r="N3307" s="6">
        <f t="shared" ref="N3307" si="5710">IF(N3305=0,0,VLOOKUP(J3307,J3310:S3340,N3305,FALSE))</f>
        <v>0</v>
      </c>
      <c r="O3307" s="6">
        <f t="shared" ref="O3307" si="5711">IF(O3305=0,0,VLOOKUP(J3307,J3310:S3340,O3305,FALSE))</f>
        <v>0</v>
      </c>
      <c r="P3307" s="6">
        <f t="shared" ref="P3307" si="5712">IF(P3305=0,0,VLOOKUP(J3307,J3310:S3340,P3305,FALSE))</f>
        <v>0</v>
      </c>
      <c r="Q3307" s="6">
        <f t="shared" ref="Q3307" si="5713">IF(Q3305=0,0,VLOOKUP(J3307,J3310:S3340,Q3305,FALSE))</f>
        <v>8.2273489000909408E-4</v>
      </c>
      <c r="R3307" s="6">
        <f t="shared" ref="R3307" si="5714">IF(R3305=0,0,VLOOKUP(J3307,J3310:S3340,R3305,FALSE))</f>
        <v>9.9948210272436874E-2</v>
      </c>
      <c r="S3307" s="6">
        <f t="shared" ref="S3307" si="5715">IF(S3305=0,0,VLOOKUP(J3307,J3310:S3340,S3305,FALSE))</f>
        <v>2.7320181975291189</v>
      </c>
      <c r="T3307" s="9"/>
      <c r="U3307" s="1">
        <f t="shared" si="5670"/>
        <v>76</v>
      </c>
      <c r="V3307" s="1">
        <f t="shared" si="5671"/>
        <v>206</v>
      </c>
    </row>
    <row r="3308" spans="1:22" x14ac:dyDescent="0.3">
      <c r="A3308" s="1">
        <f t="shared" si="5682"/>
        <v>76207</v>
      </c>
      <c r="B3308" s="96" t="s">
        <v>16</v>
      </c>
      <c r="C3308" s="97"/>
      <c r="D3308" s="113">
        <v>45520</v>
      </c>
      <c r="E3308" s="114"/>
      <c r="F3308" s="114"/>
      <c r="G3308" s="114"/>
      <c r="H3308" s="115"/>
      <c r="J3308" s="24" t="str">
        <f t="shared" ref="J3308" si="5716">CONCATENATE(J3305,3)</f>
        <v>43</v>
      </c>
      <c r="K3308" s="6"/>
      <c r="L3308" s="6"/>
      <c r="M3308" s="6"/>
      <c r="N3308" s="6" t="s">
        <v>43</v>
      </c>
      <c r="O3308" s="25">
        <f t="shared" ref="O3308" si="5717">J3305-2</f>
        <v>2</v>
      </c>
      <c r="P3308" s="6" t="s">
        <v>44</v>
      </c>
      <c r="Q3308" s="25">
        <f t="shared" ref="Q3308" si="5718">VLOOKUP(J3308,J3310:S3340,3,FALSE)</f>
        <v>0.66608271259680896</v>
      </c>
      <c r="R3308" s="6" t="s">
        <v>45</v>
      </c>
      <c r="S3308" s="6">
        <f t="shared" ref="S3308" si="5719">VLOOKUP(J3308,J3310:S3340,2,FALSE)</f>
        <v>0.99977816690998988</v>
      </c>
      <c r="T3308" s="9"/>
      <c r="U3308" s="1">
        <f t="shared" si="5670"/>
        <v>76</v>
      </c>
      <c r="V3308" s="1">
        <f t="shared" si="5671"/>
        <v>207</v>
      </c>
    </row>
    <row r="3309" spans="1:22" x14ac:dyDescent="0.3">
      <c r="A3309" s="1">
        <f t="shared" si="5682"/>
        <v>76208</v>
      </c>
      <c r="B3309" s="96" t="s">
        <v>17</v>
      </c>
      <c r="C3309" s="97"/>
      <c r="D3309" s="116">
        <v>45899</v>
      </c>
      <c r="E3309" s="117"/>
      <c r="F3309" s="117"/>
      <c r="G3309" s="117"/>
      <c r="H3309" s="118"/>
      <c r="K3309" s="1">
        <v>3</v>
      </c>
      <c r="L3309" s="1">
        <v>3</v>
      </c>
      <c r="Q3309" s="26"/>
      <c r="R3309" s="26"/>
      <c r="S3309" s="26"/>
      <c r="T3309" s="9"/>
      <c r="U3309" s="1">
        <f t="shared" si="5670"/>
        <v>76</v>
      </c>
      <c r="V3309" s="1">
        <f t="shared" si="5671"/>
        <v>208</v>
      </c>
    </row>
    <row r="3310" spans="1:22" x14ac:dyDescent="0.3">
      <c r="A3310" s="1">
        <f t="shared" si="5682"/>
        <v>76209</v>
      </c>
      <c r="B3310" s="77" t="s">
        <v>19</v>
      </c>
      <c r="C3310" s="78"/>
      <c r="D3310" s="17">
        <v>1</v>
      </c>
      <c r="E3310" s="79" t="s">
        <v>40</v>
      </c>
      <c r="F3310" s="80"/>
      <c r="G3310" s="81"/>
      <c r="H3310" s="18" t="s">
        <v>72</v>
      </c>
      <c r="J3310" s="24" t="str">
        <f t="shared" ref="J3310" si="5720">CONCATENATE(K3309,1)</f>
        <v>31</v>
      </c>
      <c r="K3310" s="6">
        <f t="array" ref="K3310:L3312">LINEST(B3318:B3320,C3318:C3320^{1},TRUE,TRUE)</f>
        <v>1.0254163014899214</v>
      </c>
      <c r="L3310" s="6">
        <v>-0.92900964066609504</v>
      </c>
      <c r="Q3310" s="9"/>
      <c r="R3310" s="9"/>
      <c r="S3310" s="9"/>
      <c r="T3310" s="9"/>
      <c r="U3310" s="1">
        <f t="shared" si="5670"/>
        <v>76</v>
      </c>
      <c r="V3310" s="1">
        <f t="shared" si="5671"/>
        <v>209</v>
      </c>
    </row>
    <row r="3311" spans="1:22" x14ac:dyDescent="0.3">
      <c r="A3311" s="1">
        <f t="shared" si="5682"/>
        <v>76210</v>
      </c>
      <c r="B3311" s="77" t="s">
        <v>41</v>
      </c>
      <c r="C3311" s="78"/>
      <c r="D3311" s="23">
        <f t="shared" ref="D3311" si="5721">MIN(B3318:B3327)</f>
        <v>30</v>
      </c>
      <c r="E3311" s="20" t="s">
        <v>18</v>
      </c>
      <c r="F3311" s="19">
        <f t="shared" ref="F3311" si="5722">MAX(B3318:B3327)</f>
        <v>90</v>
      </c>
      <c r="G3311" s="21" t="str">
        <f t="shared" ref="G3311" si="5723">IF(H3310="","",H3310)</f>
        <v>%ur</v>
      </c>
      <c r="H3311" s="22"/>
      <c r="J3311" s="24" t="str">
        <f t="shared" ref="J3311" si="5724">CONCATENATE(K3309,2)</f>
        <v>32</v>
      </c>
      <c r="K3311" s="6">
        <v>1.518011224863151E-2</v>
      </c>
      <c r="L3311" s="6">
        <v>0.79174630366830434</v>
      </c>
      <c r="Q3311" s="9"/>
      <c r="R3311" s="9"/>
      <c r="S3311" s="9"/>
      <c r="T3311" s="9"/>
      <c r="U3311" s="1">
        <f t="shared" si="5670"/>
        <v>76</v>
      </c>
      <c r="V3311" s="1">
        <f t="shared" si="5671"/>
        <v>210</v>
      </c>
    </row>
    <row r="3312" spans="1:22" x14ac:dyDescent="0.3">
      <c r="A3312" s="1">
        <f t="shared" si="5682"/>
        <v>76211</v>
      </c>
      <c r="J3312" s="24" t="str">
        <f t="shared" ref="J3312" si="5725">CONCATENATE(K3309,3)</f>
        <v>33</v>
      </c>
      <c r="K3312" s="6">
        <v>0.999780893952673</v>
      </c>
      <c r="L3312" s="6">
        <v>0.41867032120932635</v>
      </c>
      <c r="Q3312" s="9"/>
      <c r="R3312" s="9"/>
      <c r="S3312" s="9"/>
      <c r="T3312" s="9"/>
      <c r="U3312" s="1">
        <f t="shared" si="5670"/>
        <v>76</v>
      </c>
      <c r="V3312" s="1">
        <f t="shared" si="5671"/>
        <v>211</v>
      </c>
    </row>
    <row r="3313" spans="1:22" x14ac:dyDescent="0.3">
      <c r="A3313" s="1">
        <f t="shared" si="5682"/>
        <v>76212</v>
      </c>
      <c r="B3313" s="82" t="s">
        <v>20</v>
      </c>
      <c r="C3313" s="83"/>
      <c r="D3313" s="83"/>
      <c r="E3313" s="83"/>
      <c r="F3313" s="84"/>
      <c r="G3313" s="85" t="s">
        <v>31</v>
      </c>
      <c r="H3313" s="86"/>
      <c r="K3313" s="1">
        <v>4</v>
      </c>
      <c r="L3313" s="1">
        <v>4</v>
      </c>
      <c r="M3313" s="1">
        <v>4</v>
      </c>
      <c r="Q3313" s="9"/>
      <c r="R3313" s="9"/>
      <c r="S3313" s="9"/>
      <c r="T3313" s="9"/>
      <c r="U3313" s="1">
        <f t="shared" si="5670"/>
        <v>76</v>
      </c>
      <c r="V3313" s="1">
        <f t="shared" si="5671"/>
        <v>212</v>
      </c>
    </row>
    <row r="3314" spans="1:22" x14ac:dyDescent="0.3">
      <c r="A3314" s="1">
        <f t="shared" si="5682"/>
        <v>76213</v>
      </c>
      <c r="B3314" s="82" t="s">
        <v>30</v>
      </c>
      <c r="C3314" s="83"/>
      <c r="D3314" s="84"/>
      <c r="E3314" s="82" t="str">
        <f t="shared" ref="E3314" si="5726">D3307</f>
        <v>E0310/24</v>
      </c>
      <c r="F3314" s="84"/>
      <c r="G3314" s="6" t="s">
        <v>32</v>
      </c>
      <c r="H3314" s="7"/>
      <c r="J3314" s="24" t="str">
        <f t="shared" ref="J3314" si="5727">CONCATENATE(K3313,1)</f>
        <v>41</v>
      </c>
      <c r="K3314" s="6">
        <f t="array" ref="K3314:M3316">LINEST(B3318:B3321,C3318:C3321^{1,2},TRUE,TRUE)</f>
        <v>-6.3361076334152839E-4</v>
      </c>
      <c r="L3314" s="6">
        <v>1.0807749738999506</v>
      </c>
      <c r="M3314" s="6">
        <v>-2.0005185348479024</v>
      </c>
      <c r="Q3314" s="9"/>
      <c r="R3314" s="9"/>
      <c r="S3314" s="9"/>
      <c r="T3314" s="9"/>
      <c r="U3314" s="1">
        <f t="shared" si="5670"/>
        <v>76</v>
      </c>
      <c r="V3314" s="1">
        <f t="shared" si="5671"/>
        <v>213</v>
      </c>
    </row>
    <row r="3315" spans="1:22" x14ac:dyDescent="0.3">
      <c r="A3315" s="1">
        <f t="shared" si="5682"/>
        <v>76214</v>
      </c>
      <c r="B3315" s="2" t="s">
        <v>21</v>
      </c>
      <c r="C3315" s="2" t="s">
        <v>22</v>
      </c>
      <c r="D3315" s="2" t="s">
        <v>23</v>
      </c>
      <c r="E3315" s="2"/>
      <c r="F3315" s="2" t="s">
        <v>28</v>
      </c>
      <c r="G3315" s="2" t="s">
        <v>21</v>
      </c>
      <c r="H3315" s="2" t="s">
        <v>22</v>
      </c>
      <c r="J3315" s="24" t="str">
        <f t="shared" ref="J3315" si="5728">CONCATENATE(K3313,2)</f>
        <v>42</v>
      </c>
      <c r="K3315" s="6">
        <v>8.2273489000909408E-4</v>
      </c>
      <c r="L3315" s="6">
        <v>9.9948210272436874E-2</v>
      </c>
      <c r="M3315" s="6">
        <v>2.7320181975291189</v>
      </c>
      <c r="Q3315" s="9"/>
      <c r="R3315" s="9"/>
      <c r="S3315" s="9"/>
      <c r="T3315" s="9"/>
      <c r="U3315" s="1">
        <f t="shared" si="5670"/>
        <v>76</v>
      </c>
      <c r="V3315" s="1">
        <f t="shared" si="5671"/>
        <v>214</v>
      </c>
    </row>
    <row r="3316" spans="1:22" x14ac:dyDescent="0.3">
      <c r="A3316" s="1">
        <f t="shared" si="5682"/>
        <v>76215</v>
      </c>
      <c r="B3316" s="2" t="s">
        <v>24</v>
      </c>
      <c r="C3316" s="2" t="s">
        <v>25</v>
      </c>
      <c r="D3316" s="2" t="s">
        <v>26</v>
      </c>
      <c r="E3316" s="2" t="s">
        <v>27</v>
      </c>
      <c r="F3316" s="2" t="s">
        <v>29</v>
      </c>
      <c r="G3316" s="2" t="s">
        <v>24</v>
      </c>
      <c r="H3316" s="2" t="s">
        <v>25</v>
      </c>
      <c r="J3316" s="24" t="str">
        <f t="shared" ref="J3316" si="5729">CONCATENATE(K3313,3)</f>
        <v>43</v>
      </c>
      <c r="K3316" s="6">
        <v>0.99977816690998988</v>
      </c>
      <c r="L3316" s="6">
        <v>0.66608271259680896</v>
      </c>
      <c r="M3316" s="6" t="e">
        <v>#N/A</v>
      </c>
      <c r="Q3316" s="9"/>
      <c r="R3316" s="9"/>
      <c r="S3316" s="9"/>
      <c r="T3316" s="9"/>
      <c r="U3316" s="1">
        <f t="shared" si="5670"/>
        <v>76</v>
      </c>
      <c r="V3316" s="1">
        <f t="shared" si="5671"/>
        <v>215</v>
      </c>
    </row>
    <row r="3317" spans="1:22" x14ac:dyDescent="0.3">
      <c r="A3317" s="1">
        <f t="shared" si="5682"/>
        <v>76216</v>
      </c>
      <c r="B3317" s="3" t="str">
        <f t="shared" ref="B3317" si="5730">H3310</f>
        <v>%ur</v>
      </c>
      <c r="C3317" s="3" t="str">
        <f t="shared" ref="C3317" si="5731">B3317</f>
        <v>%ur</v>
      </c>
      <c r="D3317" s="3" t="str">
        <f t="shared" ref="D3317" si="5732">C3317</f>
        <v>%ur</v>
      </c>
      <c r="E3317" s="3"/>
      <c r="F3317" s="3"/>
      <c r="G3317" s="3" t="str">
        <f t="shared" ref="G3317" si="5733">D3317</f>
        <v>%ur</v>
      </c>
      <c r="H3317" s="3" t="str">
        <f t="shared" ref="H3317" si="5734">G3317</f>
        <v>%ur</v>
      </c>
      <c r="K3317" s="1">
        <v>5</v>
      </c>
      <c r="L3317" s="1">
        <v>5</v>
      </c>
      <c r="M3317" s="1">
        <v>5</v>
      </c>
      <c r="N3317" s="1">
        <v>5</v>
      </c>
      <c r="Q3317" s="9"/>
      <c r="R3317" s="9"/>
      <c r="S3317" s="9"/>
      <c r="T3317" s="9"/>
      <c r="U3317" s="1">
        <f t="shared" si="5670"/>
        <v>76</v>
      </c>
      <c r="V3317" s="1">
        <f t="shared" si="5671"/>
        <v>216</v>
      </c>
    </row>
    <row r="3318" spans="1:22" x14ac:dyDescent="0.3">
      <c r="A3318" s="1">
        <f t="shared" si="5682"/>
        <v>76217</v>
      </c>
      <c r="B3318" s="4">
        <v>30</v>
      </c>
      <c r="C3318" s="4">
        <v>30</v>
      </c>
      <c r="D3318" s="4">
        <v>2</v>
      </c>
      <c r="E3318" s="4">
        <v>2</v>
      </c>
      <c r="F3318" s="14">
        <v>1000000</v>
      </c>
      <c r="G3318" s="8"/>
      <c r="H3318" s="7"/>
      <c r="J3318" s="24" t="str">
        <f t="shared" ref="J3318" si="5735">CONCATENATE(K3317,1)</f>
        <v>51</v>
      </c>
      <c r="K3318" s="6" t="e">
        <f t="array" ref="K3318:N3320">LINEST(B3318:B3322,C3318:C3322^{1,2,3},TRUE,TRUE)</f>
        <v>#VALUE!</v>
      </c>
      <c r="L3318" s="6" t="e">
        <v>#VALUE!</v>
      </c>
      <c r="M3318" s="6" t="e">
        <v>#VALUE!</v>
      </c>
      <c r="N3318" s="6" t="e">
        <v>#VALUE!</v>
      </c>
      <c r="Q3318" s="9"/>
      <c r="R3318" s="9"/>
      <c r="S3318" s="9"/>
      <c r="T3318" s="9"/>
      <c r="U3318" s="1">
        <f t="shared" si="5670"/>
        <v>76</v>
      </c>
      <c r="V3318" s="1">
        <f t="shared" si="5671"/>
        <v>217</v>
      </c>
    </row>
    <row r="3319" spans="1:22" x14ac:dyDescent="0.3">
      <c r="A3319" s="1">
        <f t="shared" si="5682"/>
        <v>76218</v>
      </c>
      <c r="B3319" s="4">
        <v>50</v>
      </c>
      <c r="C3319" s="4">
        <v>50</v>
      </c>
      <c r="D3319" s="4">
        <v>2</v>
      </c>
      <c r="E3319" s="4">
        <v>2</v>
      </c>
      <c r="F3319" s="14">
        <v>1000000</v>
      </c>
      <c r="G3319" s="8"/>
      <c r="H3319" s="7"/>
      <c r="J3319" s="24" t="str">
        <f t="shared" ref="J3319" si="5736">CONCATENATE(K3317,2)</f>
        <v>52</v>
      </c>
      <c r="K3319" s="6" t="e">
        <v>#VALUE!</v>
      </c>
      <c r="L3319" s="6" t="e">
        <v>#VALUE!</v>
      </c>
      <c r="M3319" s="6" t="e">
        <v>#VALUE!</v>
      </c>
      <c r="N3319" s="6" t="e">
        <v>#VALUE!</v>
      </c>
      <c r="T3319" s="9"/>
      <c r="U3319" s="1">
        <f t="shared" si="5670"/>
        <v>76</v>
      </c>
      <c r="V3319" s="1">
        <f t="shared" si="5671"/>
        <v>218</v>
      </c>
    </row>
    <row r="3320" spans="1:22" x14ac:dyDescent="0.3">
      <c r="A3320" s="1">
        <f t="shared" si="5682"/>
        <v>76219</v>
      </c>
      <c r="B3320" s="4">
        <v>70</v>
      </c>
      <c r="C3320" s="4">
        <v>69</v>
      </c>
      <c r="D3320" s="4">
        <v>2</v>
      </c>
      <c r="E3320" s="4">
        <v>2</v>
      </c>
      <c r="F3320" s="14">
        <v>1000000</v>
      </c>
      <c r="G3320" s="8"/>
      <c r="H3320" s="7"/>
      <c r="J3320" s="24" t="str">
        <f t="shared" ref="J3320" si="5737">CONCATENATE(K3317,3)</f>
        <v>53</v>
      </c>
      <c r="K3320" s="6" t="e">
        <v>#VALUE!</v>
      </c>
      <c r="L3320" s="6" t="e">
        <v>#VALUE!</v>
      </c>
      <c r="M3320" s="6" t="e">
        <v>#VALUE!</v>
      </c>
      <c r="N3320" s="6" t="e">
        <v>#VALUE!</v>
      </c>
      <c r="T3320" s="9"/>
      <c r="U3320" s="1">
        <f t="shared" si="5670"/>
        <v>76</v>
      </c>
      <c r="V3320" s="1">
        <f t="shared" si="5671"/>
        <v>219</v>
      </c>
    </row>
    <row r="3321" spans="1:22" x14ac:dyDescent="0.3">
      <c r="A3321" s="1">
        <f t="shared" si="5682"/>
        <v>76220</v>
      </c>
      <c r="B3321" s="4">
        <v>90</v>
      </c>
      <c r="C3321" s="4">
        <v>90</v>
      </c>
      <c r="D3321" s="4">
        <v>2</v>
      </c>
      <c r="E3321" s="4">
        <v>2</v>
      </c>
      <c r="F3321" s="14">
        <v>1000000</v>
      </c>
      <c r="G3321" s="8"/>
      <c r="H3321" s="7"/>
      <c r="K3321" s="1">
        <v>6</v>
      </c>
      <c r="L3321" s="1">
        <v>6</v>
      </c>
      <c r="M3321" s="1">
        <v>6</v>
      </c>
      <c r="N3321" s="1">
        <v>6</v>
      </c>
      <c r="O3321" s="1">
        <v>6</v>
      </c>
      <c r="T3321" s="9"/>
      <c r="U3321" s="1">
        <f t="shared" si="5670"/>
        <v>76</v>
      </c>
      <c r="V3321" s="1">
        <f t="shared" si="5671"/>
        <v>220</v>
      </c>
    </row>
    <row r="3322" spans="1:22" x14ac:dyDescent="0.3">
      <c r="A3322" s="1">
        <f t="shared" si="5682"/>
        <v>76221</v>
      </c>
      <c r="B3322" s="4"/>
      <c r="C3322" s="4"/>
      <c r="D3322" s="4"/>
      <c r="E3322" s="4"/>
      <c r="F3322" s="14"/>
      <c r="G3322" s="8"/>
      <c r="H3322" s="7"/>
      <c r="J3322" s="24" t="str">
        <f t="shared" ref="J3322" si="5738">CONCATENATE(K3321,1)</f>
        <v>61</v>
      </c>
      <c r="K3322" s="6" t="e">
        <f t="array" ref="K3322:O3324">LINEST(B3318:B3323,C3318:C3323^{1,2,3,4},TRUE,TRUE)</f>
        <v>#VALUE!</v>
      </c>
      <c r="L3322" s="6" t="e">
        <v>#VALUE!</v>
      </c>
      <c r="M3322" s="6" t="e">
        <v>#VALUE!</v>
      </c>
      <c r="N3322" s="6" t="e">
        <v>#VALUE!</v>
      </c>
      <c r="O3322" s="6" t="e">
        <v>#VALUE!</v>
      </c>
      <c r="T3322" s="9"/>
      <c r="U3322" s="1">
        <f t="shared" si="5670"/>
        <v>76</v>
      </c>
      <c r="V3322" s="1">
        <f t="shared" si="5671"/>
        <v>221</v>
      </c>
    </row>
    <row r="3323" spans="1:22" x14ac:dyDescent="0.3">
      <c r="A3323" s="1">
        <f t="shared" si="5682"/>
        <v>76222</v>
      </c>
      <c r="B3323" s="4"/>
      <c r="C3323" s="4"/>
      <c r="D3323" s="4"/>
      <c r="E3323" s="4"/>
      <c r="F3323" s="14"/>
      <c r="G3323" s="8"/>
      <c r="H3323" s="7"/>
      <c r="J3323" s="24" t="str">
        <f t="shared" ref="J3323" si="5739">CONCATENATE(K3321,2)</f>
        <v>62</v>
      </c>
      <c r="K3323" s="6" t="e">
        <v>#VALUE!</v>
      </c>
      <c r="L3323" s="6" t="e">
        <v>#VALUE!</v>
      </c>
      <c r="M3323" s="6" t="e">
        <v>#VALUE!</v>
      </c>
      <c r="N3323" s="6" t="e">
        <v>#VALUE!</v>
      </c>
      <c r="O3323" s="6" t="e">
        <v>#VALUE!</v>
      </c>
      <c r="T3323" s="9"/>
      <c r="U3323" s="1">
        <f t="shared" si="5670"/>
        <v>76</v>
      </c>
      <c r="V3323" s="1">
        <f t="shared" si="5671"/>
        <v>222</v>
      </c>
    </row>
    <row r="3324" spans="1:22" x14ac:dyDescent="0.3">
      <c r="A3324" s="1">
        <f t="shared" si="5682"/>
        <v>76223</v>
      </c>
      <c r="B3324" s="4"/>
      <c r="C3324" s="4"/>
      <c r="D3324" s="4"/>
      <c r="E3324" s="4"/>
      <c r="F3324" s="14"/>
      <c r="G3324" s="8"/>
      <c r="H3324" s="7"/>
      <c r="J3324" s="24" t="str">
        <f t="shared" ref="J3324" si="5740">CONCATENATE(K3321,3)</f>
        <v>63</v>
      </c>
      <c r="K3324" s="6" t="e">
        <v>#VALUE!</v>
      </c>
      <c r="L3324" s="6" t="e">
        <v>#VALUE!</v>
      </c>
      <c r="M3324" s="6" t="e">
        <v>#VALUE!</v>
      </c>
      <c r="N3324" s="6" t="e">
        <v>#VALUE!</v>
      </c>
      <c r="O3324" s="6" t="e">
        <v>#VALUE!</v>
      </c>
      <c r="T3324" s="9"/>
      <c r="U3324" s="1">
        <f t="shared" si="5670"/>
        <v>76</v>
      </c>
      <c r="V3324" s="1">
        <f t="shared" si="5671"/>
        <v>223</v>
      </c>
    </row>
    <row r="3325" spans="1:22" x14ac:dyDescent="0.3">
      <c r="A3325" s="1">
        <f t="shared" si="5682"/>
        <v>76224</v>
      </c>
      <c r="B3325" s="4"/>
      <c r="C3325" s="4"/>
      <c r="D3325" s="4"/>
      <c r="E3325" s="4"/>
      <c r="F3325" s="14"/>
      <c r="G3325" s="8"/>
      <c r="H3325" s="7"/>
      <c r="K3325" s="1">
        <v>7</v>
      </c>
      <c r="L3325" s="1">
        <v>7</v>
      </c>
      <c r="M3325" s="1">
        <v>7</v>
      </c>
      <c r="N3325" s="1">
        <v>7</v>
      </c>
      <c r="O3325" s="1">
        <v>7</v>
      </c>
      <c r="P3325" s="1">
        <v>7</v>
      </c>
      <c r="T3325" s="9"/>
      <c r="U3325" s="1">
        <f t="shared" si="5670"/>
        <v>76</v>
      </c>
      <c r="V3325" s="1">
        <f t="shared" si="5671"/>
        <v>224</v>
      </c>
    </row>
    <row r="3326" spans="1:22" x14ac:dyDescent="0.3">
      <c r="A3326" s="1">
        <f t="shared" si="5682"/>
        <v>76225</v>
      </c>
      <c r="B3326" s="4"/>
      <c r="C3326" s="4"/>
      <c r="D3326" s="4"/>
      <c r="E3326" s="4"/>
      <c r="F3326" s="14"/>
      <c r="G3326" s="8"/>
      <c r="H3326" s="7"/>
      <c r="J3326" s="24" t="str">
        <f t="shared" ref="J3326" si="5741">CONCATENATE(K3325,1)</f>
        <v>71</v>
      </c>
      <c r="K3326" s="6" t="e">
        <f t="array" ref="K3326:P3328">LINEST(B3318:B3324,C3318:C3324^{1,2,3,4,5},TRUE,TRUE)</f>
        <v>#VALUE!</v>
      </c>
      <c r="L3326" s="6" t="e">
        <v>#VALUE!</v>
      </c>
      <c r="M3326" s="6" t="e">
        <v>#VALUE!</v>
      </c>
      <c r="N3326" s="6" t="e">
        <v>#VALUE!</v>
      </c>
      <c r="O3326" s="6" t="e">
        <v>#VALUE!</v>
      </c>
      <c r="P3326" s="6" t="e">
        <v>#VALUE!</v>
      </c>
      <c r="T3326" s="9"/>
      <c r="U3326" s="1">
        <f t="shared" si="5670"/>
        <v>76</v>
      </c>
      <c r="V3326" s="1">
        <f t="shared" si="5671"/>
        <v>225</v>
      </c>
    </row>
    <row r="3327" spans="1:22" x14ac:dyDescent="0.3">
      <c r="A3327" s="1">
        <f t="shared" si="5682"/>
        <v>76226</v>
      </c>
      <c r="B3327" s="4"/>
      <c r="C3327" s="4"/>
      <c r="D3327" s="4"/>
      <c r="E3327" s="4"/>
      <c r="F3327" s="14"/>
      <c r="G3327" s="8"/>
      <c r="H3327" s="7"/>
      <c r="J3327" s="24" t="str">
        <f t="shared" ref="J3327" si="5742">CONCATENATE(K3325,2)</f>
        <v>72</v>
      </c>
      <c r="K3327" s="6" t="e">
        <v>#VALUE!</v>
      </c>
      <c r="L3327" s="6" t="e">
        <v>#VALUE!</v>
      </c>
      <c r="M3327" s="6" t="e">
        <v>#VALUE!</v>
      </c>
      <c r="N3327" s="6" t="e">
        <v>#VALUE!</v>
      </c>
      <c r="O3327" s="6" t="e">
        <v>#VALUE!</v>
      </c>
      <c r="P3327" s="6" t="e">
        <v>#VALUE!</v>
      </c>
      <c r="T3327" s="9"/>
      <c r="U3327" s="1">
        <f t="shared" si="5670"/>
        <v>76</v>
      </c>
      <c r="V3327" s="1">
        <f t="shared" si="5671"/>
        <v>226</v>
      </c>
    </row>
    <row r="3328" spans="1:22" x14ac:dyDescent="0.3">
      <c r="A3328" s="1">
        <f t="shared" si="5682"/>
        <v>76227</v>
      </c>
      <c r="B3328" s="9"/>
      <c r="C3328" s="9"/>
      <c r="D3328" s="9"/>
      <c r="E3328" s="9"/>
      <c r="F3328" s="9"/>
      <c r="G3328" s="9"/>
      <c r="H3328" s="9"/>
      <c r="J3328" s="24" t="str">
        <f t="shared" ref="J3328" si="5743">CONCATENATE(K3325,3)</f>
        <v>73</v>
      </c>
      <c r="K3328" s="6" t="e">
        <v>#VALUE!</v>
      </c>
      <c r="L3328" s="6" t="e">
        <v>#VALUE!</v>
      </c>
      <c r="M3328" s="6" t="e">
        <v>#VALUE!</v>
      </c>
      <c r="N3328" s="6" t="e">
        <v>#VALUE!</v>
      </c>
      <c r="O3328" s="6" t="e">
        <v>#VALUE!</v>
      </c>
      <c r="P3328" s="6" t="e">
        <v>#VALUE!</v>
      </c>
      <c r="T3328" s="9"/>
      <c r="U3328" s="1">
        <f t="shared" si="5670"/>
        <v>76</v>
      </c>
      <c r="V3328" s="1">
        <f t="shared" si="5671"/>
        <v>227</v>
      </c>
    </row>
    <row r="3329" spans="1:22" x14ac:dyDescent="0.3">
      <c r="A3329" s="1">
        <f t="shared" si="5682"/>
        <v>76228</v>
      </c>
      <c r="B3329" s="87" t="s">
        <v>33</v>
      </c>
      <c r="C3329" s="88"/>
      <c r="D3329" s="88"/>
      <c r="E3329" s="88"/>
      <c r="F3329" s="88"/>
      <c r="G3329" s="88"/>
      <c r="H3329" s="89"/>
      <c r="K3329" s="1">
        <v>8</v>
      </c>
      <c r="L3329" s="1">
        <v>8</v>
      </c>
      <c r="M3329" s="1">
        <v>8</v>
      </c>
      <c r="N3329" s="1">
        <v>8</v>
      </c>
      <c r="O3329" s="1">
        <v>8</v>
      </c>
      <c r="P3329" s="1">
        <v>8</v>
      </c>
      <c r="Q3329" s="1">
        <v>8</v>
      </c>
      <c r="T3329" s="9"/>
      <c r="U3329" s="1">
        <f t="shared" si="5670"/>
        <v>76</v>
      </c>
      <c r="V3329" s="1">
        <f t="shared" si="5671"/>
        <v>228</v>
      </c>
    </row>
    <row r="3330" spans="1:22" x14ac:dyDescent="0.3">
      <c r="A3330" s="1">
        <f t="shared" si="5682"/>
        <v>76229</v>
      </c>
      <c r="B3330" s="90"/>
      <c r="C3330" s="91"/>
      <c r="D3330" s="91"/>
      <c r="E3330" s="91"/>
      <c r="F3330" s="91"/>
      <c r="G3330" s="91"/>
      <c r="H3330" s="92"/>
      <c r="J3330" s="24" t="str">
        <f t="shared" ref="J3330" si="5744">CONCATENATE(K3329,1)</f>
        <v>81</v>
      </c>
      <c r="K3330" s="6" t="e">
        <f t="array" ref="K3330:Q3332">LINEST(B3318:B3325,C3318:C3325^{1,2,3,4,5,6},TRUE,TRUE)</f>
        <v>#VALUE!</v>
      </c>
      <c r="L3330" s="6" t="e">
        <v>#VALUE!</v>
      </c>
      <c r="M3330" s="6" t="e">
        <v>#VALUE!</v>
      </c>
      <c r="N3330" s="6" t="e">
        <v>#VALUE!</v>
      </c>
      <c r="O3330" s="6" t="e">
        <v>#VALUE!</v>
      </c>
      <c r="P3330" s="6" t="e">
        <v>#VALUE!</v>
      </c>
      <c r="Q3330" s="6" t="e">
        <v>#VALUE!</v>
      </c>
      <c r="T3330" s="9"/>
      <c r="U3330" s="1">
        <f t="shared" si="5670"/>
        <v>76</v>
      </c>
      <c r="V3330" s="1">
        <f t="shared" si="5671"/>
        <v>229</v>
      </c>
    </row>
    <row r="3331" spans="1:22" x14ac:dyDescent="0.3">
      <c r="A3331" s="1">
        <f t="shared" si="5682"/>
        <v>76230</v>
      </c>
      <c r="B3331" s="93"/>
      <c r="C3331" s="94"/>
      <c r="D3331" s="94"/>
      <c r="E3331" s="94"/>
      <c r="F3331" s="94"/>
      <c r="G3331" s="94"/>
      <c r="H3331" s="95"/>
      <c r="J3331" s="24" t="str">
        <f t="shared" ref="J3331" si="5745">CONCATENATE(K3329,2)</f>
        <v>82</v>
      </c>
      <c r="K3331" s="6" t="e">
        <v>#VALUE!</v>
      </c>
      <c r="L3331" s="6" t="e">
        <v>#VALUE!</v>
      </c>
      <c r="M3331" s="6" t="e">
        <v>#VALUE!</v>
      </c>
      <c r="N3331" s="6" t="e">
        <v>#VALUE!</v>
      </c>
      <c r="O3331" s="6" t="e">
        <v>#VALUE!</v>
      </c>
      <c r="P3331" s="6" t="e">
        <v>#VALUE!</v>
      </c>
      <c r="Q3331" s="6" t="e">
        <v>#VALUE!</v>
      </c>
      <c r="T3331" s="9"/>
      <c r="U3331" s="1">
        <f t="shared" si="5670"/>
        <v>76</v>
      </c>
      <c r="V3331" s="1">
        <f t="shared" si="5671"/>
        <v>230</v>
      </c>
    </row>
    <row r="3332" spans="1:22" x14ac:dyDescent="0.3">
      <c r="A3332" s="1">
        <f t="shared" si="5682"/>
        <v>76231</v>
      </c>
      <c r="J3332" s="24" t="str">
        <f t="shared" ref="J3332" si="5746">CONCATENATE(K3329,3)</f>
        <v>83</v>
      </c>
      <c r="K3332" s="6" t="e">
        <v>#VALUE!</v>
      </c>
      <c r="L3332" s="6" t="e">
        <v>#VALUE!</v>
      </c>
      <c r="M3332" s="6" t="e">
        <v>#VALUE!</v>
      </c>
      <c r="N3332" s="6" t="e">
        <v>#VALUE!</v>
      </c>
      <c r="O3332" s="6" t="e">
        <v>#VALUE!</v>
      </c>
      <c r="P3332" s="6" t="e">
        <v>#VALUE!</v>
      </c>
      <c r="Q3332" s="6" t="e">
        <v>#VALUE!</v>
      </c>
      <c r="T3332" s="9"/>
      <c r="U3332" s="1">
        <f t="shared" si="5670"/>
        <v>76</v>
      </c>
      <c r="V3332" s="1">
        <f t="shared" si="5671"/>
        <v>231</v>
      </c>
    </row>
    <row r="3333" spans="1:22" ht="15" customHeight="1" x14ac:dyDescent="0.3">
      <c r="A3333" s="1">
        <f t="shared" si="5682"/>
        <v>76232</v>
      </c>
      <c r="B3333" s="10" t="s">
        <v>34</v>
      </c>
      <c r="C3333" s="10" t="s">
        <v>35</v>
      </c>
      <c r="D3333" s="10" t="s">
        <v>36</v>
      </c>
      <c r="E3333" s="74" t="s">
        <v>37</v>
      </c>
      <c r="F3333" s="75"/>
      <c r="G3333" s="76"/>
      <c r="K3333" s="1">
        <v>9</v>
      </c>
      <c r="L3333" s="1">
        <v>9</v>
      </c>
      <c r="M3333" s="1">
        <v>9</v>
      </c>
      <c r="N3333" s="1">
        <v>9</v>
      </c>
      <c r="O3333" s="1">
        <v>9</v>
      </c>
      <c r="P3333" s="1">
        <v>9</v>
      </c>
      <c r="Q3333" s="1">
        <v>9</v>
      </c>
      <c r="R3333" s="1">
        <v>9</v>
      </c>
      <c r="T3333" s="9"/>
      <c r="U3333" s="1">
        <f t="shared" si="5670"/>
        <v>76</v>
      </c>
      <c r="V3333" s="1">
        <f t="shared" si="5671"/>
        <v>232</v>
      </c>
    </row>
    <row r="3334" spans="1:22" x14ac:dyDescent="0.3">
      <c r="A3334" s="1">
        <f t="shared" si="5682"/>
        <v>76233</v>
      </c>
      <c r="B3334" s="12">
        <f t="shared" ref="B3334:B3343" si="5747">C3318-B3318</f>
        <v>0</v>
      </c>
      <c r="C3334" s="13">
        <f t="shared" ref="C3334:C3343" si="5748">H3318-G3318</f>
        <v>0</v>
      </c>
      <c r="D3334" s="10">
        <f t="shared" ref="D3334:D3343" si="5749">C3334-B3334</f>
        <v>0</v>
      </c>
      <c r="E3334" s="11">
        <f t="shared" ref="E3334" si="5750">IF(D3309="","",MAX(F3334,G3334))</f>
        <v>1</v>
      </c>
      <c r="F3334" s="10">
        <f t="shared" ref="F3334" si="5751">ABS(MIN(D3334:D3343))</f>
        <v>0</v>
      </c>
      <c r="G3334" s="10">
        <f t="shared" ref="G3334" si="5752">ABS(MAX(D3334:D3343))</f>
        <v>1</v>
      </c>
      <c r="J3334" s="24" t="str">
        <f t="shared" ref="J3334" si="5753">CONCATENATE(K3333,1)</f>
        <v>91</v>
      </c>
      <c r="K3334" s="6" t="e">
        <f t="array" ref="K3334:R3336">LINEST(B3318:B3326,C3318:C3326^{1,2,3,4,5,6,7},TRUE,TRUE)</f>
        <v>#VALUE!</v>
      </c>
      <c r="L3334" s="6" t="e">
        <v>#VALUE!</v>
      </c>
      <c r="M3334" s="6" t="e">
        <v>#VALUE!</v>
      </c>
      <c r="N3334" s="6" t="e">
        <v>#VALUE!</v>
      </c>
      <c r="O3334" s="6" t="e">
        <v>#VALUE!</v>
      </c>
      <c r="P3334" s="6" t="e">
        <v>#VALUE!</v>
      </c>
      <c r="Q3334" s="6" t="e">
        <v>#VALUE!</v>
      </c>
      <c r="R3334" s="6" t="e">
        <v>#VALUE!</v>
      </c>
      <c r="T3334" s="9"/>
      <c r="U3334" s="1">
        <f t="shared" si="5670"/>
        <v>76</v>
      </c>
      <c r="V3334" s="1">
        <f t="shared" si="5671"/>
        <v>233</v>
      </c>
    </row>
    <row r="3335" spans="1:22" x14ac:dyDescent="0.3">
      <c r="A3335" s="1">
        <f t="shared" si="5682"/>
        <v>76234</v>
      </c>
      <c r="B3335" s="12">
        <f t="shared" si="5747"/>
        <v>0</v>
      </c>
      <c r="C3335" s="13">
        <f t="shared" si="5748"/>
        <v>0</v>
      </c>
      <c r="D3335" s="10">
        <f t="shared" si="5749"/>
        <v>0</v>
      </c>
      <c r="E3335" s="74" t="s">
        <v>38</v>
      </c>
      <c r="F3335" s="75"/>
      <c r="G3335" s="76"/>
      <c r="J3335" s="24" t="str">
        <f t="shared" ref="J3335" si="5754">CONCATENATE(K3333,2)</f>
        <v>92</v>
      </c>
      <c r="K3335" s="6" t="e">
        <v>#VALUE!</v>
      </c>
      <c r="L3335" s="6" t="e">
        <v>#VALUE!</v>
      </c>
      <c r="M3335" s="6" t="e">
        <v>#VALUE!</v>
      </c>
      <c r="N3335" s="6" t="e">
        <v>#VALUE!</v>
      </c>
      <c r="O3335" s="6" t="e">
        <v>#VALUE!</v>
      </c>
      <c r="P3335" s="6" t="e">
        <v>#VALUE!</v>
      </c>
      <c r="Q3335" s="6" t="e">
        <v>#VALUE!</v>
      </c>
      <c r="R3335" s="6" t="e">
        <v>#VALUE!</v>
      </c>
      <c r="T3335" s="9"/>
      <c r="U3335" s="1">
        <f t="shared" si="5670"/>
        <v>76</v>
      </c>
      <c r="V3335" s="1">
        <f t="shared" si="5671"/>
        <v>234</v>
      </c>
    </row>
    <row r="3336" spans="1:22" x14ac:dyDescent="0.3">
      <c r="A3336" s="1">
        <f t="shared" si="5682"/>
        <v>76235</v>
      </c>
      <c r="B3336" s="12">
        <f t="shared" si="5747"/>
        <v>-1</v>
      </c>
      <c r="C3336" s="13">
        <f t="shared" si="5748"/>
        <v>0</v>
      </c>
      <c r="D3336" s="10">
        <f t="shared" si="5749"/>
        <v>1</v>
      </c>
      <c r="E3336" s="11">
        <f t="shared" ref="E3336" si="5755">IF(D3309="","",MAX(F3336,G3336))</f>
        <v>1</v>
      </c>
      <c r="F3336" s="10">
        <f t="shared" ref="F3336" si="5756">ABS(MIN(B3334:B3343))</f>
        <v>1</v>
      </c>
      <c r="G3336" s="10">
        <f t="shared" ref="G3336" si="5757">ABS(MAX(B3334:B3343))</f>
        <v>0</v>
      </c>
      <c r="J3336" s="24" t="str">
        <f t="shared" ref="J3336" si="5758">CONCATENATE(K3333,3)</f>
        <v>93</v>
      </c>
      <c r="K3336" s="6" t="e">
        <v>#VALUE!</v>
      </c>
      <c r="L3336" s="6" t="e">
        <v>#VALUE!</v>
      </c>
      <c r="M3336" s="6" t="e">
        <v>#VALUE!</v>
      </c>
      <c r="N3336" s="6" t="e">
        <v>#VALUE!</v>
      </c>
      <c r="O3336" s="6" t="e">
        <v>#VALUE!</v>
      </c>
      <c r="P3336" s="6" t="e">
        <v>#VALUE!</v>
      </c>
      <c r="Q3336" s="6" t="e">
        <v>#VALUE!</v>
      </c>
      <c r="R3336" s="6" t="e">
        <v>#VALUE!</v>
      </c>
      <c r="T3336" s="9"/>
      <c r="U3336" s="1">
        <f t="shared" si="5670"/>
        <v>76</v>
      </c>
      <c r="V3336" s="1">
        <f t="shared" si="5671"/>
        <v>235</v>
      </c>
    </row>
    <row r="3337" spans="1:22" x14ac:dyDescent="0.3">
      <c r="A3337" s="1">
        <f t="shared" si="5682"/>
        <v>76236</v>
      </c>
      <c r="B3337" s="12">
        <f t="shared" si="5747"/>
        <v>0</v>
      </c>
      <c r="C3337" s="13">
        <f t="shared" si="5748"/>
        <v>0</v>
      </c>
      <c r="D3337" s="10">
        <f t="shared" si="5749"/>
        <v>0</v>
      </c>
      <c r="E3337" s="74" t="s">
        <v>39</v>
      </c>
      <c r="F3337" s="75"/>
      <c r="G3337" s="76"/>
      <c r="K3337" s="1">
        <v>10</v>
      </c>
      <c r="L3337" s="1">
        <v>10</v>
      </c>
      <c r="M3337" s="1">
        <v>10</v>
      </c>
      <c r="N3337" s="1">
        <v>10</v>
      </c>
      <c r="O3337" s="1">
        <v>10</v>
      </c>
      <c r="P3337" s="1">
        <v>10</v>
      </c>
      <c r="Q3337" s="1">
        <v>10</v>
      </c>
      <c r="R3337" s="1">
        <v>10</v>
      </c>
      <c r="S3337" s="1">
        <v>10</v>
      </c>
      <c r="T3337" s="9"/>
      <c r="U3337" s="1">
        <f t="shared" si="5670"/>
        <v>76</v>
      </c>
      <c r="V3337" s="1">
        <f t="shared" si="5671"/>
        <v>236</v>
      </c>
    </row>
    <row r="3338" spans="1:22" x14ac:dyDescent="0.3">
      <c r="A3338" s="1">
        <f t="shared" si="5682"/>
        <v>76237</v>
      </c>
      <c r="B3338" s="12">
        <f t="shared" si="5747"/>
        <v>0</v>
      </c>
      <c r="C3338" s="13">
        <f t="shared" si="5748"/>
        <v>0</v>
      </c>
      <c r="D3338" s="10">
        <f t="shared" si="5749"/>
        <v>0</v>
      </c>
      <c r="E3338" s="11">
        <f t="shared" ref="E3338" si="5759">IF(D3309="","",MAX(F3338,G3338))</f>
        <v>2</v>
      </c>
      <c r="F3338" s="10">
        <f t="shared" ref="F3338" si="5760">ABS(MIN(D3318:D3327))</f>
        <v>2</v>
      </c>
      <c r="G3338" s="10">
        <f t="shared" ref="G3338" si="5761">ABS(MAX(D3318:D3327))</f>
        <v>2</v>
      </c>
      <c r="J3338" s="24" t="str">
        <f t="shared" ref="J3338" si="5762">CONCATENATE(K3337,1)</f>
        <v>101</v>
      </c>
      <c r="K3338" s="6" t="e">
        <f t="array" ref="K3338:S3340">LINEST(B3318:B3327,C3318:C3327^{1,2,3,4,5,6,7,8},TRUE,TRUE)</f>
        <v>#VALUE!</v>
      </c>
      <c r="L3338" s="6" t="e">
        <v>#VALUE!</v>
      </c>
      <c r="M3338" s="6" t="e">
        <v>#VALUE!</v>
      </c>
      <c r="N3338" s="6" t="e">
        <v>#VALUE!</v>
      </c>
      <c r="O3338" s="6" t="e">
        <v>#VALUE!</v>
      </c>
      <c r="P3338" s="6" t="e">
        <v>#VALUE!</v>
      </c>
      <c r="Q3338" s="6" t="e">
        <v>#VALUE!</v>
      </c>
      <c r="R3338" s="6" t="e">
        <v>#VALUE!</v>
      </c>
      <c r="S3338" s="6" t="e">
        <v>#VALUE!</v>
      </c>
      <c r="T3338" s="9"/>
      <c r="U3338" s="1">
        <f t="shared" si="5670"/>
        <v>76</v>
      </c>
      <c r="V3338" s="1">
        <f t="shared" si="5671"/>
        <v>237</v>
      </c>
    </row>
    <row r="3339" spans="1:22" x14ac:dyDescent="0.3">
      <c r="A3339" s="1">
        <f t="shared" si="5682"/>
        <v>76238</v>
      </c>
      <c r="B3339" s="12">
        <f t="shared" si="5747"/>
        <v>0</v>
      </c>
      <c r="C3339" s="13">
        <f t="shared" si="5748"/>
        <v>0</v>
      </c>
      <c r="D3339" s="10">
        <f t="shared" si="5749"/>
        <v>0</v>
      </c>
      <c r="J3339" s="24" t="str">
        <f t="shared" ref="J3339" si="5763">CONCATENATE(K3337,2)</f>
        <v>102</v>
      </c>
      <c r="K3339" s="6" t="e">
        <v>#VALUE!</v>
      </c>
      <c r="L3339" s="6" t="e">
        <v>#VALUE!</v>
      </c>
      <c r="M3339" s="6" t="e">
        <v>#VALUE!</v>
      </c>
      <c r="N3339" s="6" t="e">
        <v>#VALUE!</v>
      </c>
      <c r="O3339" s="6" t="e">
        <v>#VALUE!</v>
      </c>
      <c r="P3339" s="6" t="e">
        <v>#VALUE!</v>
      </c>
      <c r="Q3339" s="6" t="e">
        <v>#VALUE!</v>
      </c>
      <c r="R3339" s="6" t="e">
        <v>#VALUE!</v>
      </c>
      <c r="S3339" s="6" t="e">
        <v>#VALUE!</v>
      </c>
      <c r="T3339" s="9"/>
      <c r="U3339" s="1">
        <f t="shared" si="5670"/>
        <v>76</v>
      </c>
      <c r="V3339" s="1">
        <f t="shared" si="5671"/>
        <v>238</v>
      </c>
    </row>
    <row r="3340" spans="1:22" x14ac:dyDescent="0.3">
      <c r="A3340" s="1">
        <f t="shared" si="5682"/>
        <v>76239</v>
      </c>
      <c r="B3340" s="12">
        <f t="shared" si="5747"/>
        <v>0</v>
      </c>
      <c r="C3340" s="13">
        <f t="shared" si="5748"/>
        <v>0</v>
      </c>
      <c r="D3340" s="10">
        <f t="shared" si="5749"/>
        <v>0</v>
      </c>
      <c r="J3340" s="24" t="str">
        <f t="shared" ref="J3340" si="5764">CONCATENATE(K3337,3)</f>
        <v>103</v>
      </c>
      <c r="K3340" s="6" t="e">
        <v>#VALUE!</v>
      </c>
      <c r="L3340" s="6" t="e">
        <v>#VALUE!</v>
      </c>
      <c r="M3340" s="6" t="e">
        <v>#VALUE!</v>
      </c>
      <c r="N3340" s="6" t="e">
        <v>#VALUE!</v>
      </c>
      <c r="O3340" s="6" t="e">
        <v>#VALUE!</v>
      </c>
      <c r="P3340" s="6" t="e">
        <v>#VALUE!</v>
      </c>
      <c r="Q3340" s="6" t="e">
        <v>#VALUE!</v>
      </c>
      <c r="R3340" s="6" t="e">
        <v>#VALUE!</v>
      </c>
      <c r="S3340" s="6" t="e">
        <v>#VALUE!</v>
      </c>
      <c r="T3340" s="9"/>
      <c r="U3340" s="1">
        <f t="shared" si="5670"/>
        <v>76</v>
      </c>
      <c r="V3340" s="1">
        <f t="shared" si="5671"/>
        <v>239</v>
      </c>
    </row>
    <row r="3341" spans="1:22" x14ac:dyDescent="0.3">
      <c r="A3341" s="1">
        <f t="shared" si="5682"/>
        <v>76240</v>
      </c>
      <c r="B3341" s="12">
        <f t="shared" si="5747"/>
        <v>0</v>
      </c>
      <c r="C3341" s="13">
        <f t="shared" si="5748"/>
        <v>0</v>
      </c>
      <c r="D3341" s="10">
        <f t="shared" si="5749"/>
        <v>0</v>
      </c>
      <c r="J3341" s="9"/>
      <c r="K3341" s="9"/>
      <c r="L3341" s="9"/>
      <c r="M3341" s="9"/>
      <c r="N3341" s="9"/>
      <c r="O3341" s="9"/>
      <c r="P3341" s="9"/>
      <c r="Q3341" s="9"/>
      <c r="R3341" s="9"/>
      <c r="S3341" s="9"/>
      <c r="T3341" s="9"/>
      <c r="U3341" s="1">
        <f t="shared" si="5670"/>
        <v>76</v>
      </c>
      <c r="V3341" s="1">
        <f t="shared" si="5671"/>
        <v>240</v>
      </c>
    </row>
    <row r="3342" spans="1:22" x14ac:dyDescent="0.3">
      <c r="A3342" s="1">
        <f t="shared" si="5682"/>
        <v>76241</v>
      </c>
      <c r="B3342" s="12">
        <f t="shared" si="5747"/>
        <v>0</v>
      </c>
      <c r="C3342" s="13">
        <f t="shared" si="5748"/>
        <v>0</v>
      </c>
      <c r="D3342" s="10">
        <f t="shared" si="5749"/>
        <v>0</v>
      </c>
      <c r="J3342" s="9"/>
      <c r="K3342" s="9"/>
      <c r="L3342" s="9"/>
      <c r="M3342" s="9"/>
      <c r="N3342" s="9"/>
      <c r="O3342" s="9"/>
      <c r="P3342" s="9"/>
      <c r="Q3342" s="9"/>
      <c r="R3342" s="9"/>
      <c r="S3342" s="9"/>
      <c r="T3342" s="9"/>
      <c r="U3342" s="1">
        <f t="shared" si="5670"/>
        <v>76</v>
      </c>
      <c r="V3342" s="1">
        <f t="shared" si="5671"/>
        <v>241</v>
      </c>
    </row>
    <row r="3343" spans="1:22" x14ac:dyDescent="0.3">
      <c r="A3343" s="1">
        <f t="shared" si="5682"/>
        <v>76242</v>
      </c>
      <c r="B3343" s="12">
        <f t="shared" si="5747"/>
        <v>0</v>
      </c>
      <c r="C3343" s="13">
        <f t="shared" si="5748"/>
        <v>0</v>
      </c>
      <c r="D3343" s="10">
        <f t="shared" si="5749"/>
        <v>0</v>
      </c>
      <c r="J3343" s="9"/>
      <c r="K3343" s="9"/>
      <c r="L3343" s="9"/>
      <c r="M3343" s="9"/>
      <c r="N3343" s="9"/>
      <c r="O3343" s="9"/>
      <c r="P3343" s="9"/>
      <c r="Q3343" s="9"/>
      <c r="R3343" s="9"/>
      <c r="S3343" s="9"/>
      <c r="T3343" s="9"/>
      <c r="U3343" s="1">
        <f t="shared" si="5670"/>
        <v>76</v>
      </c>
      <c r="V3343" s="1">
        <f t="shared" si="5671"/>
        <v>242</v>
      </c>
    </row>
    <row r="3344" spans="1:22" x14ac:dyDescent="0.3">
      <c r="A3344" s="1">
        <f t="shared" si="5682"/>
        <v>76243</v>
      </c>
      <c r="J3344" s="9"/>
      <c r="K3344" s="9"/>
      <c r="L3344" s="9"/>
      <c r="M3344" s="9"/>
      <c r="N3344" s="9"/>
      <c r="O3344" s="9"/>
      <c r="P3344" s="9"/>
      <c r="Q3344" s="9"/>
      <c r="R3344" s="9"/>
      <c r="S3344" s="9"/>
      <c r="T3344" s="9"/>
      <c r="U3344" s="1">
        <f t="shared" si="5670"/>
        <v>76</v>
      </c>
      <c r="V3344" s="1">
        <f t="shared" si="5671"/>
        <v>243</v>
      </c>
    </row>
    <row r="3345" spans="1:22" s="5" customFormat="1" x14ac:dyDescent="0.3"/>
    <row r="3346" spans="1:22" x14ac:dyDescent="0.3">
      <c r="A3346" s="1">
        <f t="shared" ref="A3346:A3388" si="5765">ROUND(CONCATENATE(U3346,V3346),0)</f>
        <v>77201</v>
      </c>
      <c r="B3346" s="96" t="s">
        <v>0</v>
      </c>
      <c r="C3346" s="97"/>
      <c r="D3346" s="110" t="s">
        <v>46</v>
      </c>
      <c r="E3346" s="111"/>
      <c r="F3346" s="111"/>
      <c r="G3346" s="111"/>
      <c r="H3346" s="112"/>
      <c r="J3346" s="9"/>
      <c r="K3346" s="9"/>
      <c r="L3346" s="9"/>
      <c r="M3346" s="9"/>
      <c r="N3346" s="9"/>
      <c r="O3346" s="9"/>
      <c r="P3346" s="9"/>
      <c r="Q3346" s="9"/>
      <c r="R3346" s="9"/>
      <c r="S3346" s="9"/>
      <c r="T3346" s="9"/>
      <c r="U3346" s="1">
        <f t="shared" ref="U3346" si="5766">U3344+1</f>
        <v>77</v>
      </c>
      <c r="V3346" s="1">
        <v>201</v>
      </c>
    </row>
    <row r="3347" spans="1:22" x14ac:dyDescent="0.3">
      <c r="A3347" s="1">
        <f t="shared" si="5765"/>
        <v>77202</v>
      </c>
      <c r="B3347" s="96" t="s">
        <v>1</v>
      </c>
      <c r="C3347" s="97"/>
      <c r="D3347" s="15">
        <v>20</v>
      </c>
      <c r="E3347" s="16" t="s">
        <v>2</v>
      </c>
      <c r="F3347" s="107"/>
      <c r="G3347" s="108"/>
      <c r="H3347" s="109"/>
      <c r="J3347" s="9"/>
      <c r="K3347" s="9"/>
      <c r="L3347" s="9"/>
      <c r="M3347" s="9"/>
      <c r="N3347" s="9"/>
      <c r="O3347" s="9"/>
      <c r="P3347" s="9"/>
      <c r="Q3347" s="9"/>
      <c r="R3347" s="9"/>
      <c r="S3347" s="9"/>
      <c r="T3347" s="9"/>
      <c r="U3347" s="1">
        <f t="shared" ref="U3347" si="5767">U3346</f>
        <v>77</v>
      </c>
      <c r="V3347" s="1">
        <f t="shared" ref="V3347" si="5768">V3346+1</f>
        <v>202</v>
      </c>
    </row>
    <row r="3348" spans="1:22" x14ac:dyDescent="0.3">
      <c r="A3348" s="1">
        <f t="shared" si="5765"/>
        <v>77203</v>
      </c>
      <c r="B3348" s="96" t="s">
        <v>12</v>
      </c>
      <c r="C3348" s="97"/>
      <c r="D3348" s="110" t="s">
        <v>293</v>
      </c>
      <c r="E3348" s="111"/>
      <c r="F3348" s="111"/>
      <c r="G3348" s="111"/>
      <c r="H3348" s="112"/>
      <c r="K3348" s="1" t="s">
        <v>3</v>
      </c>
      <c r="L3348" s="1" t="s">
        <v>4</v>
      </c>
      <c r="M3348" s="1" t="s">
        <v>5</v>
      </c>
      <c r="N3348" s="1" t="s">
        <v>6</v>
      </c>
      <c r="O3348" s="1" t="s">
        <v>7</v>
      </c>
      <c r="P3348" s="1" t="s">
        <v>8</v>
      </c>
      <c r="Q3348" s="1" t="s">
        <v>9</v>
      </c>
      <c r="R3348" s="1" t="s">
        <v>10</v>
      </c>
      <c r="S3348" s="1" t="s">
        <v>11</v>
      </c>
      <c r="T3348" s="9"/>
      <c r="U3348" s="1">
        <f t="shared" si="5670"/>
        <v>77</v>
      </c>
      <c r="V3348" s="1">
        <f t="shared" si="5671"/>
        <v>203</v>
      </c>
    </row>
    <row r="3349" spans="1:22" x14ac:dyDescent="0.3">
      <c r="A3349" s="1">
        <f t="shared" si="5765"/>
        <v>77204</v>
      </c>
      <c r="B3349" s="96" t="s">
        <v>13</v>
      </c>
      <c r="C3349" s="97"/>
      <c r="D3349" s="110" t="s">
        <v>65</v>
      </c>
      <c r="E3349" s="111"/>
      <c r="F3349" s="111"/>
      <c r="G3349" s="111"/>
      <c r="H3349" s="112"/>
      <c r="J3349" s="1">
        <f t="shared" ref="J3349" si="5769">COUNTA(B3362:B3371)</f>
        <v>4</v>
      </c>
      <c r="K3349" s="1">
        <f t="shared" ref="K3349" si="5770">IF(L3349-1&lt;2,0,L3349-1)</f>
        <v>0</v>
      </c>
      <c r="L3349" s="1">
        <f t="shared" ref="L3349" si="5771">IF(M3349-1&lt;2,0,M3349-1)</f>
        <v>0</v>
      </c>
      <c r="M3349" s="1">
        <f t="shared" ref="M3349" si="5772">IF(N3349-1&lt;2,0,N3349-1)</f>
        <v>0</v>
      </c>
      <c r="N3349" s="1">
        <f t="shared" ref="N3349" si="5773">IF(O3349-1&lt;2,0,O3349-1)</f>
        <v>0</v>
      </c>
      <c r="O3349" s="1">
        <f t="shared" ref="O3349" si="5774">IF(P3349-1&lt;2,0,P3349-1)</f>
        <v>0</v>
      </c>
      <c r="P3349" s="1">
        <f t="shared" ref="P3349" si="5775">IF(Q3349-1&lt;2,0,Q3349-1)</f>
        <v>0</v>
      </c>
      <c r="Q3349" s="1">
        <f t="shared" ref="Q3349" si="5776">IF(R3349-1&lt;2,0,R3349-1)</f>
        <v>2</v>
      </c>
      <c r="R3349" s="1">
        <f t="shared" ref="R3349" si="5777">IF(S3349-1&lt;2,0,S3349-1)</f>
        <v>3</v>
      </c>
      <c r="S3349" s="1">
        <f t="shared" ref="S3349" si="5778">J3349</f>
        <v>4</v>
      </c>
      <c r="T3349" s="9"/>
      <c r="U3349" s="1">
        <f t="shared" si="5670"/>
        <v>77</v>
      </c>
      <c r="V3349" s="1">
        <f t="shared" si="5671"/>
        <v>204</v>
      </c>
    </row>
    <row r="3350" spans="1:22" x14ac:dyDescent="0.3">
      <c r="A3350" s="1">
        <f t="shared" si="5765"/>
        <v>77205</v>
      </c>
      <c r="B3350" s="96" t="s">
        <v>14</v>
      </c>
      <c r="C3350" s="97"/>
      <c r="D3350" s="110" t="s">
        <v>66</v>
      </c>
      <c r="E3350" s="111"/>
      <c r="F3350" s="111"/>
      <c r="G3350" s="111"/>
      <c r="H3350" s="112"/>
      <c r="J3350" s="24" t="str">
        <f t="shared" ref="J3350" si="5779">CONCATENATE(J3349,1)</f>
        <v>41</v>
      </c>
      <c r="K3350" s="25">
        <f t="shared" ref="K3350" si="5780">IF(K3349=0,0,VLOOKUP(J3350,J3354:S3384,K3349,FALSE))</f>
        <v>0</v>
      </c>
      <c r="L3350" s="25">
        <f t="shared" ref="L3350" si="5781">IF(L3349=0,0,VLOOKUP(J3350,J3354:S3384,L3349,FALSE))</f>
        <v>0</v>
      </c>
      <c r="M3350" s="25">
        <f t="shared" ref="M3350" si="5782">IF(M3349=0,0,VLOOKUP(J3350,J3354:S3384,M3349,FALSE))</f>
        <v>0</v>
      </c>
      <c r="N3350" s="25">
        <f t="shared" ref="N3350" si="5783">IF(N3349=0,0,VLOOKUP(J3350,J3354:S3384,N3349,FALSE))</f>
        <v>0</v>
      </c>
      <c r="O3350" s="25">
        <f t="shared" ref="O3350" si="5784">IF(O3349=0,0,VLOOKUP(J3350,J3354:S3384,O3349,FALSE))</f>
        <v>0</v>
      </c>
      <c r="P3350" s="25">
        <f t="shared" ref="P3350" si="5785">IF(P3349=0,0,VLOOKUP(J3350,J3354:S3384,P3349,FALSE))</f>
        <v>0</v>
      </c>
      <c r="Q3350" s="25">
        <f t="shared" ref="Q3350" si="5786">IF(Q3349=0,0,VLOOKUP(J3350,J3354:S3384,Q3349,FALSE))</f>
        <v>-2.5655011483406145E-3</v>
      </c>
      <c r="R3350" s="25">
        <f t="shared" ref="R3350" si="5787">IF(R3349=0,0,VLOOKUP(J3350,J3354:S3384,R3349,FALSE))</f>
        <v>1.3240127561178827</v>
      </c>
      <c r="S3350" s="25">
        <f t="shared" ref="S3350" si="5788">IF(S3349=0,0,VLOOKUP(J3350,J3354:S3384,S3349,FALSE))</f>
        <v>-9.4520937277958428</v>
      </c>
      <c r="T3350" s="9"/>
      <c r="U3350" s="1">
        <f t="shared" si="5670"/>
        <v>77</v>
      </c>
      <c r="V3350" s="1">
        <f t="shared" si="5671"/>
        <v>205</v>
      </c>
    </row>
    <row r="3351" spans="1:22" x14ac:dyDescent="0.3">
      <c r="A3351" s="1">
        <f t="shared" si="5765"/>
        <v>77206</v>
      </c>
      <c r="B3351" s="96" t="s">
        <v>15</v>
      </c>
      <c r="C3351" s="97"/>
      <c r="D3351" s="110" t="s">
        <v>294</v>
      </c>
      <c r="E3351" s="111"/>
      <c r="F3351" s="111"/>
      <c r="G3351" s="111"/>
      <c r="H3351" s="112"/>
      <c r="J3351" s="24" t="str">
        <f t="shared" ref="J3351" si="5789">CONCATENATE(J3349,2)</f>
        <v>42</v>
      </c>
      <c r="K3351" s="6">
        <f t="shared" ref="K3351" si="5790">IF(K3349=0,0,VLOOKUP(J3351,J3354:S3384,K3349,FALSE))</f>
        <v>0</v>
      </c>
      <c r="L3351" s="6">
        <f t="shared" ref="L3351" si="5791">IF(L3349=0,0,VLOOKUP(J3351,J3354:S3384,L3349,FALSE))</f>
        <v>0</v>
      </c>
      <c r="M3351" s="6">
        <f t="shared" ref="M3351" si="5792">IF(M3349=0,0,VLOOKUP(J3351,J3354:S3384,M3349,FALSE))</f>
        <v>0</v>
      </c>
      <c r="N3351" s="6">
        <f t="shared" ref="N3351" si="5793">IF(N3349=0,0,VLOOKUP(J3351,J3354:S3384,N3349,FALSE))</f>
        <v>0</v>
      </c>
      <c r="O3351" s="6">
        <f t="shared" ref="O3351" si="5794">IF(O3349=0,0,VLOOKUP(J3351,J3354:S3384,O3349,FALSE))</f>
        <v>0</v>
      </c>
      <c r="P3351" s="6">
        <f t="shared" ref="P3351" si="5795">IF(P3349=0,0,VLOOKUP(J3351,J3354:S3384,P3349,FALSE))</f>
        <v>0</v>
      </c>
      <c r="Q3351" s="6">
        <f t="shared" ref="Q3351" si="5796">IF(Q3349=0,0,VLOOKUP(J3351,J3354:S3384,Q3349,FALSE))</f>
        <v>1.3844704354111421E-3</v>
      </c>
      <c r="R3351" s="6">
        <f t="shared" ref="R3351" si="5797">IF(R3349=0,0,VLOOKUP(J3351,J3354:S3384,R3349,FALSE))</f>
        <v>0.1723680908079403</v>
      </c>
      <c r="S3351" s="6">
        <f t="shared" ref="S3351" si="5798">IF(S3349=0,0,VLOOKUP(J3351,J3354:S3384,S3349,FALSE))</f>
        <v>4.8291297565555098</v>
      </c>
      <c r="T3351" s="9"/>
      <c r="U3351" s="1">
        <f t="shared" si="5670"/>
        <v>77</v>
      </c>
      <c r="V3351" s="1">
        <f t="shared" si="5671"/>
        <v>206</v>
      </c>
    </row>
    <row r="3352" spans="1:22" x14ac:dyDescent="0.3">
      <c r="A3352" s="1">
        <f t="shared" si="5765"/>
        <v>77207</v>
      </c>
      <c r="B3352" s="96" t="s">
        <v>16</v>
      </c>
      <c r="C3352" s="97"/>
      <c r="D3352" s="113">
        <v>45520</v>
      </c>
      <c r="E3352" s="114"/>
      <c r="F3352" s="114"/>
      <c r="G3352" s="114"/>
      <c r="H3352" s="115"/>
      <c r="J3352" s="24" t="str">
        <f t="shared" ref="J3352" si="5799">CONCATENATE(J3349,3)</f>
        <v>43</v>
      </c>
      <c r="K3352" s="6"/>
      <c r="L3352" s="6"/>
      <c r="M3352" s="6"/>
      <c r="N3352" s="6" t="s">
        <v>43</v>
      </c>
      <c r="O3352" s="25">
        <f t="shared" ref="O3352" si="5800">J3349-2</f>
        <v>2</v>
      </c>
      <c r="P3352" s="6" t="s">
        <v>44</v>
      </c>
      <c r="Q3352" s="25">
        <f t="shared" ref="Q3352" si="5801">VLOOKUP(J3352,J3354:S3384,3,FALSE)</f>
        <v>1.0497007139463466</v>
      </c>
      <c r="R3352" s="6" t="s">
        <v>45</v>
      </c>
      <c r="S3352" s="6">
        <f t="shared" ref="S3352" si="5802">VLOOKUP(J3352,J3354:S3384,2,FALSE)</f>
        <v>0.99944906420557023</v>
      </c>
      <c r="T3352" s="9"/>
      <c r="U3352" s="1">
        <f t="shared" si="5670"/>
        <v>77</v>
      </c>
      <c r="V3352" s="1">
        <f t="shared" si="5671"/>
        <v>207</v>
      </c>
    </row>
    <row r="3353" spans="1:22" x14ac:dyDescent="0.3">
      <c r="A3353" s="1">
        <f t="shared" si="5765"/>
        <v>77208</v>
      </c>
      <c r="B3353" s="96" t="s">
        <v>17</v>
      </c>
      <c r="C3353" s="97"/>
      <c r="D3353" s="116">
        <v>45899</v>
      </c>
      <c r="E3353" s="117"/>
      <c r="F3353" s="117"/>
      <c r="G3353" s="117"/>
      <c r="H3353" s="118"/>
      <c r="K3353" s="1">
        <v>3</v>
      </c>
      <c r="L3353" s="1">
        <v>3</v>
      </c>
      <c r="Q3353" s="26"/>
      <c r="R3353" s="26"/>
      <c r="S3353" s="26"/>
      <c r="T3353" s="9"/>
      <c r="U3353" s="1">
        <f t="shared" si="5670"/>
        <v>77</v>
      </c>
      <c r="V3353" s="1">
        <f t="shared" si="5671"/>
        <v>208</v>
      </c>
    </row>
    <row r="3354" spans="1:22" x14ac:dyDescent="0.3">
      <c r="A3354" s="1">
        <f t="shared" si="5765"/>
        <v>77209</v>
      </c>
      <c r="B3354" s="77" t="s">
        <v>19</v>
      </c>
      <c r="C3354" s="78"/>
      <c r="D3354" s="17">
        <v>1</v>
      </c>
      <c r="E3354" s="79" t="s">
        <v>40</v>
      </c>
      <c r="F3354" s="80"/>
      <c r="G3354" s="81"/>
      <c r="H3354" s="18" t="s">
        <v>72</v>
      </c>
      <c r="J3354" s="24" t="str">
        <f t="shared" ref="J3354" si="5803">CONCATENATE(K3353,1)</f>
        <v>31</v>
      </c>
      <c r="K3354" s="6">
        <f t="array" ref="K3354:L3356">LINEST(B3362:B3364,C3362:C3364^{1},TRUE,TRUE)</f>
        <v>1.0487580496780127</v>
      </c>
      <c r="L3354" s="6">
        <v>-2.7874885004599719</v>
      </c>
      <c r="Q3354" s="9"/>
      <c r="R3354" s="9"/>
      <c r="S3354" s="9"/>
      <c r="T3354" s="9"/>
      <c r="U3354" s="1">
        <f t="shared" si="5670"/>
        <v>77</v>
      </c>
      <c r="V3354" s="1">
        <f t="shared" si="5671"/>
        <v>209</v>
      </c>
    </row>
    <row r="3355" spans="1:22" x14ac:dyDescent="0.3">
      <c r="A3355" s="1">
        <f t="shared" si="5765"/>
        <v>77210</v>
      </c>
      <c r="B3355" s="77" t="s">
        <v>41</v>
      </c>
      <c r="C3355" s="78"/>
      <c r="D3355" s="23">
        <f t="shared" ref="D3355" si="5804">MIN(B3362:B3371)</f>
        <v>30</v>
      </c>
      <c r="E3355" s="20" t="s">
        <v>18</v>
      </c>
      <c r="F3355" s="19">
        <f t="shared" ref="F3355" si="5805">MAX(B3362:B3371)</f>
        <v>90</v>
      </c>
      <c r="G3355" s="21" t="str">
        <f t="shared" ref="G3355" si="5806">IF(H3354="","",H3354)</f>
        <v>%ur</v>
      </c>
      <c r="H3355" s="22"/>
      <c r="J3355" s="24" t="str">
        <f t="shared" ref="J3355" si="5807">CONCATENATE(K3353,2)</f>
        <v>32</v>
      </c>
      <c r="K3355" s="6">
        <v>6.373692024172499E-2</v>
      </c>
      <c r="L3355" s="6">
        <v>3.3575506147000285</v>
      </c>
      <c r="Q3355" s="9"/>
      <c r="R3355" s="9"/>
      <c r="S3355" s="9"/>
      <c r="T3355" s="9"/>
      <c r="U3355" s="1">
        <f t="shared" ref="U3355:U3418" si="5808">U3354</f>
        <v>77</v>
      </c>
      <c r="V3355" s="1">
        <f t="shared" ref="V3355:V3418" si="5809">V3354+1</f>
        <v>210</v>
      </c>
    </row>
    <row r="3356" spans="1:22" x14ac:dyDescent="0.3">
      <c r="A3356" s="1">
        <f t="shared" si="5765"/>
        <v>77211</v>
      </c>
      <c r="J3356" s="24" t="str">
        <f t="shared" ref="J3356" si="5810">CONCATENATE(K3353,3)</f>
        <v>33</v>
      </c>
      <c r="K3356" s="6">
        <v>0.99632014719411233</v>
      </c>
      <c r="L3356" s="6">
        <v>1.7157745320146844</v>
      </c>
      <c r="Q3356" s="9"/>
      <c r="R3356" s="9"/>
      <c r="S3356" s="9"/>
      <c r="T3356" s="9"/>
      <c r="U3356" s="1">
        <f t="shared" si="5808"/>
        <v>77</v>
      </c>
      <c r="V3356" s="1">
        <f t="shared" si="5809"/>
        <v>211</v>
      </c>
    </row>
    <row r="3357" spans="1:22" x14ac:dyDescent="0.3">
      <c r="A3357" s="1">
        <f t="shared" si="5765"/>
        <v>77212</v>
      </c>
      <c r="B3357" s="82" t="s">
        <v>20</v>
      </c>
      <c r="C3357" s="83"/>
      <c r="D3357" s="83"/>
      <c r="E3357" s="83"/>
      <c r="F3357" s="84"/>
      <c r="G3357" s="85" t="s">
        <v>31</v>
      </c>
      <c r="H3357" s="86"/>
      <c r="K3357" s="1">
        <v>4</v>
      </c>
      <c r="L3357" s="1">
        <v>4</v>
      </c>
      <c r="M3357" s="1">
        <v>4</v>
      </c>
      <c r="Q3357" s="9"/>
      <c r="R3357" s="9"/>
      <c r="S3357" s="9"/>
      <c r="T3357" s="9"/>
      <c r="U3357" s="1">
        <f t="shared" si="5808"/>
        <v>77</v>
      </c>
      <c r="V3357" s="1">
        <f t="shared" si="5809"/>
        <v>212</v>
      </c>
    </row>
    <row r="3358" spans="1:22" x14ac:dyDescent="0.3">
      <c r="A3358" s="1">
        <f t="shared" si="5765"/>
        <v>77213</v>
      </c>
      <c r="B3358" s="82" t="s">
        <v>30</v>
      </c>
      <c r="C3358" s="83"/>
      <c r="D3358" s="84"/>
      <c r="E3358" s="82" t="str">
        <f t="shared" ref="E3358" si="5811">D3351</f>
        <v>E0311/24</v>
      </c>
      <c r="F3358" s="84"/>
      <c r="G3358" s="6" t="s">
        <v>32</v>
      </c>
      <c r="H3358" s="7"/>
      <c r="J3358" s="24" t="str">
        <f t="shared" ref="J3358" si="5812">CONCATENATE(K3357,1)</f>
        <v>41</v>
      </c>
      <c r="K3358" s="6">
        <f t="array" ref="K3358:M3360">LINEST(B3362:B3365,C3362:C3365^{1,2},TRUE,TRUE)</f>
        <v>-2.5655011483406145E-3</v>
      </c>
      <c r="L3358" s="6">
        <v>1.3240127561178827</v>
      </c>
      <c r="M3358" s="6">
        <v>-9.4520937277958428</v>
      </c>
      <c r="Q3358" s="9"/>
      <c r="R3358" s="9"/>
      <c r="S3358" s="9"/>
      <c r="T3358" s="9"/>
      <c r="U3358" s="1">
        <f t="shared" si="5808"/>
        <v>77</v>
      </c>
      <c r="V3358" s="1">
        <f t="shared" si="5809"/>
        <v>213</v>
      </c>
    </row>
    <row r="3359" spans="1:22" x14ac:dyDescent="0.3">
      <c r="A3359" s="1">
        <f t="shared" si="5765"/>
        <v>77214</v>
      </c>
      <c r="B3359" s="2" t="s">
        <v>21</v>
      </c>
      <c r="C3359" s="2" t="s">
        <v>22</v>
      </c>
      <c r="D3359" s="2" t="s">
        <v>23</v>
      </c>
      <c r="E3359" s="2"/>
      <c r="F3359" s="2" t="s">
        <v>28</v>
      </c>
      <c r="G3359" s="2" t="s">
        <v>21</v>
      </c>
      <c r="H3359" s="2" t="s">
        <v>22</v>
      </c>
      <c r="J3359" s="24" t="str">
        <f t="shared" ref="J3359" si="5813">CONCATENATE(K3357,2)</f>
        <v>42</v>
      </c>
      <c r="K3359" s="6">
        <v>1.3844704354111421E-3</v>
      </c>
      <c r="L3359" s="6">
        <v>0.1723680908079403</v>
      </c>
      <c r="M3359" s="6">
        <v>4.8291297565555098</v>
      </c>
      <c r="Q3359" s="9"/>
      <c r="R3359" s="9"/>
      <c r="S3359" s="9"/>
      <c r="T3359" s="9"/>
      <c r="U3359" s="1">
        <f t="shared" si="5808"/>
        <v>77</v>
      </c>
      <c r="V3359" s="1">
        <f t="shared" si="5809"/>
        <v>214</v>
      </c>
    </row>
    <row r="3360" spans="1:22" x14ac:dyDescent="0.3">
      <c r="A3360" s="1">
        <f t="shared" si="5765"/>
        <v>77215</v>
      </c>
      <c r="B3360" s="2" t="s">
        <v>24</v>
      </c>
      <c r="C3360" s="2" t="s">
        <v>25</v>
      </c>
      <c r="D3360" s="2" t="s">
        <v>26</v>
      </c>
      <c r="E3360" s="2" t="s">
        <v>27</v>
      </c>
      <c r="F3360" s="2" t="s">
        <v>29</v>
      </c>
      <c r="G3360" s="2" t="s">
        <v>24</v>
      </c>
      <c r="H3360" s="2" t="s">
        <v>25</v>
      </c>
      <c r="J3360" s="24" t="str">
        <f t="shared" ref="J3360" si="5814">CONCATENATE(K3357,3)</f>
        <v>43</v>
      </c>
      <c r="K3360" s="6">
        <v>0.99944906420557023</v>
      </c>
      <c r="L3360" s="6">
        <v>1.0497007139463466</v>
      </c>
      <c r="M3360" s="6" t="e">
        <v>#N/A</v>
      </c>
      <c r="Q3360" s="9"/>
      <c r="R3360" s="9"/>
      <c r="S3360" s="9"/>
      <c r="T3360" s="9"/>
      <c r="U3360" s="1">
        <f t="shared" si="5808"/>
        <v>77</v>
      </c>
      <c r="V3360" s="1">
        <f t="shared" si="5809"/>
        <v>215</v>
      </c>
    </row>
    <row r="3361" spans="1:22" x14ac:dyDescent="0.3">
      <c r="A3361" s="1">
        <f t="shared" si="5765"/>
        <v>77216</v>
      </c>
      <c r="B3361" s="3" t="str">
        <f t="shared" ref="B3361" si="5815">H3354</f>
        <v>%ur</v>
      </c>
      <c r="C3361" s="3" t="str">
        <f t="shared" ref="C3361" si="5816">B3361</f>
        <v>%ur</v>
      </c>
      <c r="D3361" s="3" t="str">
        <f t="shared" ref="D3361" si="5817">C3361</f>
        <v>%ur</v>
      </c>
      <c r="E3361" s="3"/>
      <c r="F3361" s="3"/>
      <c r="G3361" s="3" t="str">
        <f t="shared" ref="G3361" si="5818">D3361</f>
        <v>%ur</v>
      </c>
      <c r="H3361" s="3" t="str">
        <f t="shared" ref="H3361" si="5819">G3361</f>
        <v>%ur</v>
      </c>
      <c r="K3361" s="1">
        <v>5</v>
      </c>
      <c r="L3361" s="1">
        <v>5</v>
      </c>
      <c r="M3361" s="1">
        <v>5</v>
      </c>
      <c r="N3361" s="1">
        <v>5</v>
      </c>
      <c r="Q3361" s="9"/>
      <c r="R3361" s="9"/>
      <c r="S3361" s="9"/>
      <c r="T3361" s="9"/>
      <c r="U3361" s="1">
        <f t="shared" si="5808"/>
        <v>77</v>
      </c>
      <c r="V3361" s="1">
        <f t="shared" si="5809"/>
        <v>216</v>
      </c>
    </row>
    <row r="3362" spans="1:22" x14ac:dyDescent="0.3">
      <c r="A3362" s="1">
        <f t="shared" si="5765"/>
        <v>77217</v>
      </c>
      <c r="B3362" s="4">
        <v>30</v>
      </c>
      <c r="C3362" s="4">
        <v>32</v>
      </c>
      <c r="D3362" s="4">
        <v>2</v>
      </c>
      <c r="E3362" s="4">
        <v>2</v>
      </c>
      <c r="F3362" s="14">
        <v>1000000</v>
      </c>
      <c r="G3362" s="8"/>
      <c r="H3362" s="7"/>
      <c r="J3362" s="24" t="str">
        <f t="shared" ref="J3362" si="5820">CONCATENATE(K3361,1)</f>
        <v>51</v>
      </c>
      <c r="K3362" s="6" t="e">
        <f t="array" ref="K3362:N3364">LINEST(B3362:B3366,C3362:C3366^{1,2,3},TRUE,TRUE)</f>
        <v>#VALUE!</v>
      </c>
      <c r="L3362" s="6" t="e">
        <v>#VALUE!</v>
      </c>
      <c r="M3362" s="6" t="e">
        <v>#VALUE!</v>
      </c>
      <c r="N3362" s="6" t="e">
        <v>#VALUE!</v>
      </c>
      <c r="Q3362" s="9"/>
      <c r="R3362" s="9"/>
      <c r="S3362" s="9"/>
      <c r="T3362" s="9"/>
      <c r="U3362" s="1">
        <f t="shared" si="5808"/>
        <v>77</v>
      </c>
      <c r="V3362" s="1">
        <f t="shared" si="5809"/>
        <v>217</v>
      </c>
    </row>
    <row r="3363" spans="1:22" x14ac:dyDescent="0.3">
      <c r="A3363" s="1">
        <f t="shared" si="5765"/>
        <v>77218</v>
      </c>
      <c r="B3363" s="4">
        <v>50</v>
      </c>
      <c r="C3363" s="4">
        <v>49</v>
      </c>
      <c r="D3363" s="4">
        <v>2</v>
      </c>
      <c r="E3363" s="4">
        <v>2</v>
      </c>
      <c r="F3363" s="14">
        <v>1000000</v>
      </c>
      <c r="G3363" s="8"/>
      <c r="H3363" s="7"/>
      <c r="J3363" s="24" t="str">
        <f t="shared" ref="J3363" si="5821">CONCATENATE(K3361,2)</f>
        <v>52</v>
      </c>
      <c r="K3363" s="6" t="e">
        <v>#VALUE!</v>
      </c>
      <c r="L3363" s="6" t="e">
        <v>#VALUE!</v>
      </c>
      <c r="M3363" s="6" t="e">
        <v>#VALUE!</v>
      </c>
      <c r="N3363" s="6" t="e">
        <v>#VALUE!</v>
      </c>
      <c r="T3363" s="9"/>
      <c r="U3363" s="1">
        <f t="shared" si="5808"/>
        <v>77</v>
      </c>
      <c r="V3363" s="1">
        <f t="shared" si="5809"/>
        <v>218</v>
      </c>
    </row>
    <row r="3364" spans="1:22" x14ac:dyDescent="0.3">
      <c r="A3364" s="1">
        <f t="shared" si="5765"/>
        <v>77219</v>
      </c>
      <c r="B3364" s="4">
        <v>70</v>
      </c>
      <c r="C3364" s="4">
        <v>70</v>
      </c>
      <c r="D3364" s="4">
        <v>2</v>
      </c>
      <c r="E3364" s="4">
        <v>2</v>
      </c>
      <c r="F3364" s="14">
        <v>1000000</v>
      </c>
      <c r="G3364" s="8"/>
      <c r="H3364" s="7"/>
      <c r="J3364" s="24" t="str">
        <f t="shared" ref="J3364" si="5822">CONCATENATE(K3361,3)</f>
        <v>53</v>
      </c>
      <c r="K3364" s="6" t="e">
        <v>#VALUE!</v>
      </c>
      <c r="L3364" s="6" t="e">
        <v>#VALUE!</v>
      </c>
      <c r="M3364" s="6" t="e">
        <v>#VALUE!</v>
      </c>
      <c r="N3364" s="6" t="e">
        <v>#VALUE!</v>
      </c>
      <c r="T3364" s="9"/>
      <c r="U3364" s="1">
        <f t="shared" si="5808"/>
        <v>77</v>
      </c>
      <c r="V3364" s="1">
        <f t="shared" si="5809"/>
        <v>219</v>
      </c>
    </row>
    <row r="3365" spans="1:22" x14ac:dyDescent="0.3">
      <c r="A3365" s="1">
        <f t="shared" si="5765"/>
        <v>77220</v>
      </c>
      <c r="B3365" s="4">
        <v>90</v>
      </c>
      <c r="C3365" s="4">
        <v>91</v>
      </c>
      <c r="D3365" s="4">
        <v>2</v>
      </c>
      <c r="E3365" s="4">
        <v>2</v>
      </c>
      <c r="F3365" s="14">
        <v>1000000</v>
      </c>
      <c r="G3365" s="8"/>
      <c r="H3365" s="7"/>
      <c r="K3365" s="1">
        <v>6</v>
      </c>
      <c r="L3365" s="1">
        <v>6</v>
      </c>
      <c r="M3365" s="1">
        <v>6</v>
      </c>
      <c r="N3365" s="1">
        <v>6</v>
      </c>
      <c r="O3365" s="1">
        <v>6</v>
      </c>
      <c r="T3365" s="9"/>
      <c r="U3365" s="1">
        <f t="shared" si="5808"/>
        <v>77</v>
      </c>
      <c r="V3365" s="1">
        <f t="shared" si="5809"/>
        <v>220</v>
      </c>
    </row>
    <row r="3366" spans="1:22" x14ac:dyDescent="0.3">
      <c r="A3366" s="1">
        <f t="shared" si="5765"/>
        <v>77221</v>
      </c>
      <c r="B3366" s="4"/>
      <c r="C3366" s="4"/>
      <c r="D3366" s="4"/>
      <c r="E3366" s="4"/>
      <c r="F3366" s="14"/>
      <c r="G3366" s="8"/>
      <c r="H3366" s="7"/>
      <c r="J3366" s="24" t="str">
        <f t="shared" ref="J3366" si="5823">CONCATENATE(K3365,1)</f>
        <v>61</v>
      </c>
      <c r="K3366" s="6" t="e">
        <f t="array" ref="K3366:O3368">LINEST(B3362:B3367,C3362:C3367^{1,2,3,4},TRUE,TRUE)</f>
        <v>#VALUE!</v>
      </c>
      <c r="L3366" s="6" t="e">
        <v>#VALUE!</v>
      </c>
      <c r="M3366" s="6" t="e">
        <v>#VALUE!</v>
      </c>
      <c r="N3366" s="6" t="e">
        <v>#VALUE!</v>
      </c>
      <c r="O3366" s="6" t="e">
        <v>#VALUE!</v>
      </c>
      <c r="T3366" s="9"/>
      <c r="U3366" s="1">
        <f t="shared" si="5808"/>
        <v>77</v>
      </c>
      <c r="V3366" s="1">
        <f t="shared" si="5809"/>
        <v>221</v>
      </c>
    </row>
    <row r="3367" spans="1:22" x14ac:dyDescent="0.3">
      <c r="A3367" s="1">
        <f t="shared" si="5765"/>
        <v>77222</v>
      </c>
      <c r="B3367" s="4"/>
      <c r="C3367" s="4"/>
      <c r="D3367" s="4"/>
      <c r="E3367" s="4"/>
      <c r="F3367" s="14"/>
      <c r="G3367" s="8"/>
      <c r="H3367" s="7"/>
      <c r="J3367" s="24" t="str">
        <f t="shared" ref="J3367" si="5824">CONCATENATE(K3365,2)</f>
        <v>62</v>
      </c>
      <c r="K3367" s="6" t="e">
        <v>#VALUE!</v>
      </c>
      <c r="L3367" s="6" t="e">
        <v>#VALUE!</v>
      </c>
      <c r="M3367" s="6" t="e">
        <v>#VALUE!</v>
      </c>
      <c r="N3367" s="6" t="e">
        <v>#VALUE!</v>
      </c>
      <c r="O3367" s="6" t="e">
        <v>#VALUE!</v>
      </c>
      <c r="T3367" s="9"/>
      <c r="U3367" s="1">
        <f t="shared" si="5808"/>
        <v>77</v>
      </c>
      <c r="V3367" s="1">
        <f t="shared" si="5809"/>
        <v>222</v>
      </c>
    </row>
    <row r="3368" spans="1:22" x14ac:dyDescent="0.3">
      <c r="A3368" s="1">
        <f t="shared" si="5765"/>
        <v>77223</v>
      </c>
      <c r="B3368" s="4"/>
      <c r="C3368" s="4"/>
      <c r="D3368" s="4"/>
      <c r="E3368" s="4"/>
      <c r="F3368" s="14"/>
      <c r="G3368" s="8"/>
      <c r="H3368" s="7"/>
      <c r="J3368" s="24" t="str">
        <f t="shared" ref="J3368" si="5825">CONCATENATE(K3365,3)</f>
        <v>63</v>
      </c>
      <c r="K3368" s="6" t="e">
        <v>#VALUE!</v>
      </c>
      <c r="L3368" s="6" t="e">
        <v>#VALUE!</v>
      </c>
      <c r="M3368" s="6" t="e">
        <v>#VALUE!</v>
      </c>
      <c r="N3368" s="6" t="e">
        <v>#VALUE!</v>
      </c>
      <c r="O3368" s="6" t="e">
        <v>#VALUE!</v>
      </c>
      <c r="T3368" s="9"/>
      <c r="U3368" s="1">
        <f t="shared" si="5808"/>
        <v>77</v>
      </c>
      <c r="V3368" s="1">
        <f t="shared" si="5809"/>
        <v>223</v>
      </c>
    </row>
    <row r="3369" spans="1:22" x14ac:dyDescent="0.3">
      <c r="A3369" s="1">
        <f t="shared" si="5765"/>
        <v>77224</v>
      </c>
      <c r="B3369" s="4"/>
      <c r="C3369" s="4"/>
      <c r="D3369" s="4"/>
      <c r="E3369" s="4"/>
      <c r="F3369" s="14"/>
      <c r="G3369" s="8"/>
      <c r="H3369" s="7"/>
      <c r="K3369" s="1">
        <v>7</v>
      </c>
      <c r="L3369" s="1">
        <v>7</v>
      </c>
      <c r="M3369" s="1">
        <v>7</v>
      </c>
      <c r="N3369" s="1">
        <v>7</v>
      </c>
      <c r="O3369" s="1">
        <v>7</v>
      </c>
      <c r="P3369" s="1">
        <v>7</v>
      </c>
      <c r="T3369" s="9"/>
      <c r="U3369" s="1">
        <f t="shared" si="5808"/>
        <v>77</v>
      </c>
      <c r="V3369" s="1">
        <f t="shared" si="5809"/>
        <v>224</v>
      </c>
    </row>
    <row r="3370" spans="1:22" x14ac:dyDescent="0.3">
      <c r="A3370" s="1">
        <f t="shared" si="5765"/>
        <v>77225</v>
      </c>
      <c r="B3370" s="4"/>
      <c r="C3370" s="4"/>
      <c r="D3370" s="4"/>
      <c r="E3370" s="4"/>
      <c r="F3370" s="14"/>
      <c r="G3370" s="8"/>
      <c r="H3370" s="7"/>
      <c r="J3370" s="24" t="str">
        <f t="shared" ref="J3370" si="5826">CONCATENATE(K3369,1)</f>
        <v>71</v>
      </c>
      <c r="K3370" s="6" t="e">
        <f t="array" ref="K3370:P3372">LINEST(B3362:B3368,C3362:C3368^{1,2,3,4,5},TRUE,TRUE)</f>
        <v>#VALUE!</v>
      </c>
      <c r="L3370" s="6" t="e">
        <v>#VALUE!</v>
      </c>
      <c r="M3370" s="6" t="e">
        <v>#VALUE!</v>
      </c>
      <c r="N3370" s="6" t="e">
        <v>#VALUE!</v>
      </c>
      <c r="O3370" s="6" t="e">
        <v>#VALUE!</v>
      </c>
      <c r="P3370" s="6" t="e">
        <v>#VALUE!</v>
      </c>
      <c r="T3370" s="9"/>
      <c r="U3370" s="1">
        <f t="shared" si="5808"/>
        <v>77</v>
      </c>
      <c r="V3370" s="1">
        <f t="shared" si="5809"/>
        <v>225</v>
      </c>
    </row>
    <row r="3371" spans="1:22" x14ac:dyDescent="0.3">
      <c r="A3371" s="1">
        <f t="shared" si="5765"/>
        <v>77226</v>
      </c>
      <c r="B3371" s="4"/>
      <c r="C3371" s="4"/>
      <c r="D3371" s="4"/>
      <c r="E3371" s="4"/>
      <c r="F3371" s="14"/>
      <c r="G3371" s="8"/>
      <c r="H3371" s="7"/>
      <c r="J3371" s="24" t="str">
        <f t="shared" ref="J3371" si="5827">CONCATENATE(K3369,2)</f>
        <v>72</v>
      </c>
      <c r="K3371" s="6" t="e">
        <v>#VALUE!</v>
      </c>
      <c r="L3371" s="6" t="e">
        <v>#VALUE!</v>
      </c>
      <c r="M3371" s="6" t="e">
        <v>#VALUE!</v>
      </c>
      <c r="N3371" s="6" t="e">
        <v>#VALUE!</v>
      </c>
      <c r="O3371" s="6" t="e">
        <v>#VALUE!</v>
      </c>
      <c r="P3371" s="6" t="e">
        <v>#VALUE!</v>
      </c>
      <c r="T3371" s="9"/>
      <c r="U3371" s="1">
        <f t="shared" si="5808"/>
        <v>77</v>
      </c>
      <c r="V3371" s="1">
        <f t="shared" si="5809"/>
        <v>226</v>
      </c>
    </row>
    <row r="3372" spans="1:22" x14ac:dyDescent="0.3">
      <c r="A3372" s="1">
        <f t="shared" si="5765"/>
        <v>77227</v>
      </c>
      <c r="B3372" s="9"/>
      <c r="C3372" s="9"/>
      <c r="D3372" s="9"/>
      <c r="E3372" s="9"/>
      <c r="F3372" s="9"/>
      <c r="G3372" s="9"/>
      <c r="H3372" s="9"/>
      <c r="J3372" s="24" t="str">
        <f t="shared" ref="J3372" si="5828">CONCATENATE(K3369,3)</f>
        <v>73</v>
      </c>
      <c r="K3372" s="6" t="e">
        <v>#VALUE!</v>
      </c>
      <c r="L3372" s="6" t="e">
        <v>#VALUE!</v>
      </c>
      <c r="M3372" s="6" t="e">
        <v>#VALUE!</v>
      </c>
      <c r="N3372" s="6" t="e">
        <v>#VALUE!</v>
      </c>
      <c r="O3372" s="6" t="e">
        <v>#VALUE!</v>
      </c>
      <c r="P3372" s="6" t="e">
        <v>#VALUE!</v>
      </c>
      <c r="T3372" s="9"/>
      <c r="U3372" s="1">
        <f t="shared" si="5808"/>
        <v>77</v>
      </c>
      <c r="V3372" s="1">
        <f t="shared" si="5809"/>
        <v>227</v>
      </c>
    </row>
    <row r="3373" spans="1:22" x14ac:dyDescent="0.3">
      <c r="A3373" s="1">
        <f t="shared" si="5765"/>
        <v>77228</v>
      </c>
      <c r="B3373" s="87" t="s">
        <v>33</v>
      </c>
      <c r="C3373" s="88"/>
      <c r="D3373" s="88"/>
      <c r="E3373" s="88"/>
      <c r="F3373" s="88"/>
      <c r="G3373" s="88"/>
      <c r="H3373" s="89"/>
      <c r="K3373" s="1">
        <v>8</v>
      </c>
      <c r="L3373" s="1">
        <v>8</v>
      </c>
      <c r="M3373" s="1">
        <v>8</v>
      </c>
      <c r="N3373" s="1">
        <v>8</v>
      </c>
      <c r="O3373" s="1">
        <v>8</v>
      </c>
      <c r="P3373" s="1">
        <v>8</v>
      </c>
      <c r="Q3373" s="1">
        <v>8</v>
      </c>
      <c r="T3373" s="9"/>
      <c r="U3373" s="1">
        <f t="shared" si="5808"/>
        <v>77</v>
      </c>
      <c r="V3373" s="1">
        <f t="shared" si="5809"/>
        <v>228</v>
      </c>
    </row>
    <row r="3374" spans="1:22" x14ac:dyDescent="0.3">
      <c r="A3374" s="1">
        <f t="shared" si="5765"/>
        <v>77229</v>
      </c>
      <c r="B3374" s="90"/>
      <c r="C3374" s="91"/>
      <c r="D3374" s="91"/>
      <c r="E3374" s="91"/>
      <c r="F3374" s="91"/>
      <c r="G3374" s="91"/>
      <c r="H3374" s="92"/>
      <c r="J3374" s="24" t="str">
        <f t="shared" ref="J3374" si="5829">CONCATENATE(K3373,1)</f>
        <v>81</v>
      </c>
      <c r="K3374" s="6" t="e">
        <f t="array" ref="K3374:Q3376">LINEST(B3362:B3369,C3362:C3369^{1,2,3,4,5,6},TRUE,TRUE)</f>
        <v>#VALUE!</v>
      </c>
      <c r="L3374" s="6" t="e">
        <v>#VALUE!</v>
      </c>
      <c r="M3374" s="6" t="e">
        <v>#VALUE!</v>
      </c>
      <c r="N3374" s="6" t="e">
        <v>#VALUE!</v>
      </c>
      <c r="O3374" s="6" t="e">
        <v>#VALUE!</v>
      </c>
      <c r="P3374" s="6" t="e">
        <v>#VALUE!</v>
      </c>
      <c r="Q3374" s="6" t="e">
        <v>#VALUE!</v>
      </c>
      <c r="T3374" s="9"/>
      <c r="U3374" s="1">
        <f t="shared" si="5808"/>
        <v>77</v>
      </c>
      <c r="V3374" s="1">
        <f t="shared" si="5809"/>
        <v>229</v>
      </c>
    </row>
    <row r="3375" spans="1:22" x14ac:dyDescent="0.3">
      <c r="A3375" s="1">
        <f t="shared" si="5765"/>
        <v>77230</v>
      </c>
      <c r="B3375" s="93"/>
      <c r="C3375" s="94"/>
      <c r="D3375" s="94"/>
      <c r="E3375" s="94"/>
      <c r="F3375" s="94"/>
      <c r="G3375" s="94"/>
      <c r="H3375" s="95"/>
      <c r="J3375" s="24" t="str">
        <f t="shared" ref="J3375" si="5830">CONCATENATE(K3373,2)</f>
        <v>82</v>
      </c>
      <c r="K3375" s="6" t="e">
        <v>#VALUE!</v>
      </c>
      <c r="L3375" s="6" t="e">
        <v>#VALUE!</v>
      </c>
      <c r="M3375" s="6" t="e">
        <v>#VALUE!</v>
      </c>
      <c r="N3375" s="6" t="e">
        <v>#VALUE!</v>
      </c>
      <c r="O3375" s="6" t="e">
        <v>#VALUE!</v>
      </c>
      <c r="P3375" s="6" t="e">
        <v>#VALUE!</v>
      </c>
      <c r="Q3375" s="6" t="e">
        <v>#VALUE!</v>
      </c>
      <c r="T3375" s="9"/>
      <c r="U3375" s="1">
        <f t="shared" si="5808"/>
        <v>77</v>
      </c>
      <c r="V3375" s="1">
        <f t="shared" si="5809"/>
        <v>230</v>
      </c>
    </row>
    <row r="3376" spans="1:22" x14ac:dyDescent="0.3">
      <c r="A3376" s="1">
        <f t="shared" si="5765"/>
        <v>77231</v>
      </c>
      <c r="J3376" s="24" t="str">
        <f t="shared" ref="J3376" si="5831">CONCATENATE(K3373,3)</f>
        <v>83</v>
      </c>
      <c r="K3376" s="6" t="e">
        <v>#VALUE!</v>
      </c>
      <c r="L3376" s="6" t="e">
        <v>#VALUE!</v>
      </c>
      <c r="M3376" s="6" t="e">
        <v>#VALUE!</v>
      </c>
      <c r="N3376" s="6" t="e">
        <v>#VALUE!</v>
      </c>
      <c r="O3376" s="6" t="e">
        <v>#VALUE!</v>
      </c>
      <c r="P3376" s="6" t="e">
        <v>#VALUE!</v>
      </c>
      <c r="Q3376" s="6" t="e">
        <v>#VALUE!</v>
      </c>
      <c r="T3376" s="9"/>
      <c r="U3376" s="1">
        <f t="shared" si="5808"/>
        <v>77</v>
      </c>
      <c r="V3376" s="1">
        <f t="shared" si="5809"/>
        <v>231</v>
      </c>
    </row>
    <row r="3377" spans="1:22" ht="15" customHeight="1" x14ac:dyDescent="0.3">
      <c r="A3377" s="1">
        <f t="shared" si="5765"/>
        <v>77232</v>
      </c>
      <c r="B3377" s="10" t="s">
        <v>34</v>
      </c>
      <c r="C3377" s="10" t="s">
        <v>35</v>
      </c>
      <c r="D3377" s="10" t="s">
        <v>36</v>
      </c>
      <c r="E3377" s="74" t="s">
        <v>37</v>
      </c>
      <c r="F3377" s="75"/>
      <c r="G3377" s="76"/>
      <c r="K3377" s="1">
        <v>9</v>
      </c>
      <c r="L3377" s="1">
        <v>9</v>
      </c>
      <c r="M3377" s="1">
        <v>9</v>
      </c>
      <c r="N3377" s="1">
        <v>9</v>
      </c>
      <c r="O3377" s="1">
        <v>9</v>
      </c>
      <c r="P3377" s="1">
        <v>9</v>
      </c>
      <c r="Q3377" s="1">
        <v>9</v>
      </c>
      <c r="R3377" s="1">
        <v>9</v>
      </c>
      <c r="T3377" s="9"/>
      <c r="U3377" s="1">
        <f t="shared" si="5808"/>
        <v>77</v>
      </c>
      <c r="V3377" s="1">
        <f t="shared" si="5809"/>
        <v>232</v>
      </c>
    </row>
    <row r="3378" spans="1:22" x14ac:dyDescent="0.3">
      <c r="A3378" s="1">
        <f t="shared" si="5765"/>
        <v>77233</v>
      </c>
      <c r="B3378" s="12">
        <f t="shared" ref="B3378:B3387" si="5832">C3362-B3362</f>
        <v>2</v>
      </c>
      <c r="C3378" s="13">
        <f t="shared" ref="C3378:C3387" si="5833">H3362-G3362</f>
        <v>0</v>
      </c>
      <c r="D3378" s="10">
        <f t="shared" ref="D3378:D3387" si="5834">C3378-B3378</f>
        <v>-2</v>
      </c>
      <c r="E3378" s="11">
        <f t="shared" ref="E3378" si="5835">IF(D3353="","",MAX(F3378,G3378))</f>
        <v>2</v>
      </c>
      <c r="F3378" s="10">
        <f t="shared" ref="F3378" si="5836">ABS(MIN(D3378:D3387))</f>
        <v>2</v>
      </c>
      <c r="G3378" s="10">
        <f t="shared" ref="G3378" si="5837">ABS(MAX(D3378:D3387))</f>
        <v>1</v>
      </c>
      <c r="J3378" s="24" t="str">
        <f t="shared" ref="J3378" si="5838">CONCATENATE(K3377,1)</f>
        <v>91</v>
      </c>
      <c r="K3378" s="6" t="e">
        <f t="array" ref="K3378:R3380">LINEST(B3362:B3370,C3362:C3370^{1,2,3,4,5,6,7},TRUE,TRUE)</f>
        <v>#VALUE!</v>
      </c>
      <c r="L3378" s="6" t="e">
        <v>#VALUE!</v>
      </c>
      <c r="M3378" s="6" t="e">
        <v>#VALUE!</v>
      </c>
      <c r="N3378" s="6" t="e">
        <v>#VALUE!</v>
      </c>
      <c r="O3378" s="6" t="e">
        <v>#VALUE!</v>
      </c>
      <c r="P3378" s="6" t="e">
        <v>#VALUE!</v>
      </c>
      <c r="Q3378" s="6" t="e">
        <v>#VALUE!</v>
      </c>
      <c r="R3378" s="6" t="e">
        <v>#VALUE!</v>
      </c>
      <c r="T3378" s="9"/>
      <c r="U3378" s="1">
        <f t="shared" si="5808"/>
        <v>77</v>
      </c>
      <c r="V3378" s="1">
        <f t="shared" si="5809"/>
        <v>233</v>
      </c>
    </row>
    <row r="3379" spans="1:22" x14ac:dyDescent="0.3">
      <c r="A3379" s="1">
        <f t="shared" si="5765"/>
        <v>77234</v>
      </c>
      <c r="B3379" s="12">
        <f t="shared" si="5832"/>
        <v>-1</v>
      </c>
      <c r="C3379" s="13">
        <f t="shared" si="5833"/>
        <v>0</v>
      </c>
      <c r="D3379" s="10">
        <f t="shared" si="5834"/>
        <v>1</v>
      </c>
      <c r="E3379" s="74" t="s">
        <v>38</v>
      </c>
      <c r="F3379" s="75"/>
      <c r="G3379" s="76"/>
      <c r="J3379" s="24" t="str">
        <f t="shared" ref="J3379" si="5839">CONCATENATE(K3377,2)</f>
        <v>92</v>
      </c>
      <c r="K3379" s="6" t="e">
        <v>#VALUE!</v>
      </c>
      <c r="L3379" s="6" t="e">
        <v>#VALUE!</v>
      </c>
      <c r="M3379" s="6" t="e">
        <v>#VALUE!</v>
      </c>
      <c r="N3379" s="6" t="e">
        <v>#VALUE!</v>
      </c>
      <c r="O3379" s="6" t="e">
        <v>#VALUE!</v>
      </c>
      <c r="P3379" s="6" t="e">
        <v>#VALUE!</v>
      </c>
      <c r="Q3379" s="6" t="e">
        <v>#VALUE!</v>
      </c>
      <c r="R3379" s="6" t="e">
        <v>#VALUE!</v>
      </c>
      <c r="T3379" s="9"/>
      <c r="U3379" s="1">
        <f t="shared" si="5808"/>
        <v>77</v>
      </c>
      <c r="V3379" s="1">
        <f t="shared" si="5809"/>
        <v>234</v>
      </c>
    </row>
    <row r="3380" spans="1:22" x14ac:dyDescent="0.3">
      <c r="A3380" s="1">
        <f t="shared" si="5765"/>
        <v>77235</v>
      </c>
      <c r="B3380" s="12">
        <f t="shared" si="5832"/>
        <v>0</v>
      </c>
      <c r="C3380" s="13">
        <f t="shared" si="5833"/>
        <v>0</v>
      </c>
      <c r="D3380" s="10">
        <f t="shared" si="5834"/>
        <v>0</v>
      </c>
      <c r="E3380" s="11">
        <f t="shared" ref="E3380" si="5840">IF(D3353="","",MAX(F3380,G3380))</f>
        <v>2</v>
      </c>
      <c r="F3380" s="10">
        <f t="shared" ref="F3380" si="5841">ABS(MIN(B3378:B3387))</f>
        <v>1</v>
      </c>
      <c r="G3380" s="10">
        <f t="shared" ref="G3380" si="5842">ABS(MAX(B3378:B3387))</f>
        <v>2</v>
      </c>
      <c r="J3380" s="24" t="str">
        <f t="shared" ref="J3380" si="5843">CONCATENATE(K3377,3)</f>
        <v>93</v>
      </c>
      <c r="K3380" s="6" t="e">
        <v>#VALUE!</v>
      </c>
      <c r="L3380" s="6" t="e">
        <v>#VALUE!</v>
      </c>
      <c r="M3380" s="6" t="e">
        <v>#VALUE!</v>
      </c>
      <c r="N3380" s="6" t="e">
        <v>#VALUE!</v>
      </c>
      <c r="O3380" s="6" t="e">
        <v>#VALUE!</v>
      </c>
      <c r="P3380" s="6" t="e">
        <v>#VALUE!</v>
      </c>
      <c r="Q3380" s="6" t="e">
        <v>#VALUE!</v>
      </c>
      <c r="R3380" s="6" t="e">
        <v>#VALUE!</v>
      </c>
      <c r="T3380" s="9"/>
      <c r="U3380" s="1">
        <f t="shared" si="5808"/>
        <v>77</v>
      </c>
      <c r="V3380" s="1">
        <f t="shared" si="5809"/>
        <v>235</v>
      </c>
    </row>
    <row r="3381" spans="1:22" x14ac:dyDescent="0.3">
      <c r="A3381" s="1">
        <f t="shared" si="5765"/>
        <v>77236</v>
      </c>
      <c r="B3381" s="12">
        <f t="shared" si="5832"/>
        <v>1</v>
      </c>
      <c r="C3381" s="13">
        <f t="shared" si="5833"/>
        <v>0</v>
      </c>
      <c r="D3381" s="10">
        <f t="shared" si="5834"/>
        <v>-1</v>
      </c>
      <c r="E3381" s="74" t="s">
        <v>39</v>
      </c>
      <c r="F3381" s="75"/>
      <c r="G3381" s="76"/>
      <c r="K3381" s="1">
        <v>10</v>
      </c>
      <c r="L3381" s="1">
        <v>10</v>
      </c>
      <c r="M3381" s="1">
        <v>10</v>
      </c>
      <c r="N3381" s="1">
        <v>10</v>
      </c>
      <c r="O3381" s="1">
        <v>10</v>
      </c>
      <c r="P3381" s="1">
        <v>10</v>
      </c>
      <c r="Q3381" s="1">
        <v>10</v>
      </c>
      <c r="R3381" s="1">
        <v>10</v>
      </c>
      <c r="S3381" s="1">
        <v>10</v>
      </c>
      <c r="T3381" s="9"/>
      <c r="U3381" s="1">
        <f t="shared" si="5808"/>
        <v>77</v>
      </c>
      <c r="V3381" s="1">
        <f t="shared" si="5809"/>
        <v>236</v>
      </c>
    </row>
    <row r="3382" spans="1:22" x14ac:dyDescent="0.3">
      <c r="A3382" s="1">
        <f t="shared" si="5765"/>
        <v>77237</v>
      </c>
      <c r="B3382" s="12">
        <f t="shared" si="5832"/>
        <v>0</v>
      </c>
      <c r="C3382" s="13">
        <f t="shared" si="5833"/>
        <v>0</v>
      </c>
      <c r="D3382" s="10">
        <f t="shared" si="5834"/>
        <v>0</v>
      </c>
      <c r="E3382" s="11">
        <f t="shared" ref="E3382" si="5844">IF(D3353="","",MAX(F3382,G3382))</f>
        <v>2</v>
      </c>
      <c r="F3382" s="10">
        <f t="shared" ref="F3382" si="5845">ABS(MIN(D3362:D3371))</f>
        <v>2</v>
      </c>
      <c r="G3382" s="10">
        <f t="shared" ref="G3382" si="5846">ABS(MAX(D3362:D3371))</f>
        <v>2</v>
      </c>
      <c r="J3382" s="24" t="str">
        <f t="shared" ref="J3382" si="5847">CONCATENATE(K3381,1)</f>
        <v>101</v>
      </c>
      <c r="K3382" s="6" t="e">
        <f t="array" ref="K3382:S3384">LINEST(B3362:B3371,C3362:C3371^{1,2,3,4,5,6,7,8},TRUE,TRUE)</f>
        <v>#VALUE!</v>
      </c>
      <c r="L3382" s="6" t="e">
        <v>#VALUE!</v>
      </c>
      <c r="M3382" s="6" t="e">
        <v>#VALUE!</v>
      </c>
      <c r="N3382" s="6" t="e">
        <v>#VALUE!</v>
      </c>
      <c r="O3382" s="6" t="e">
        <v>#VALUE!</v>
      </c>
      <c r="P3382" s="6" t="e">
        <v>#VALUE!</v>
      </c>
      <c r="Q3382" s="6" t="e">
        <v>#VALUE!</v>
      </c>
      <c r="R3382" s="6" t="e">
        <v>#VALUE!</v>
      </c>
      <c r="S3382" s="6" t="e">
        <v>#VALUE!</v>
      </c>
      <c r="T3382" s="9"/>
      <c r="U3382" s="1">
        <f t="shared" si="5808"/>
        <v>77</v>
      </c>
      <c r="V3382" s="1">
        <f t="shared" si="5809"/>
        <v>237</v>
      </c>
    </row>
    <row r="3383" spans="1:22" x14ac:dyDescent="0.3">
      <c r="A3383" s="1">
        <f t="shared" si="5765"/>
        <v>77238</v>
      </c>
      <c r="B3383" s="12">
        <f t="shared" si="5832"/>
        <v>0</v>
      </c>
      <c r="C3383" s="13">
        <f t="shared" si="5833"/>
        <v>0</v>
      </c>
      <c r="D3383" s="10">
        <f t="shared" si="5834"/>
        <v>0</v>
      </c>
      <c r="J3383" s="24" t="str">
        <f t="shared" ref="J3383" si="5848">CONCATENATE(K3381,2)</f>
        <v>102</v>
      </c>
      <c r="K3383" s="6" t="e">
        <v>#VALUE!</v>
      </c>
      <c r="L3383" s="6" t="e">
        <v>#VALUE!</v>
      </c>
      <c r="M3383" s="6" t="e">
        <v>#VALUE!</v>
      </c>
      <c r="N3383" s="6" t="e">
        <v>#VALUE!</v>
      </c>
      <c r="O3383" s="6" t="e">
        <v>#VALUE!</v>
      </c>
      <c r="P3383" s="6" t="e">
        <v>#VALUE!</v>
      </c>
      <c r="Q3383" s="6" t="e">
        <v>#VALUE!</v>
      </c>
      <c r="R3383" s="6" t="e">
        <v>#VALUE!</v>
      </c>
      <c r="S3383" s="6" t="e">
        <v>#VALUE!</v>
      </c>
      <c r="T3383" s="9"/>
      <c r="U3383" s="1">
        <f t="shared" si="5808"/>
        <v>77</v>
      </c>
      <c r="V3383" s="1">
        <f t="shared" si="5809"/>
        <v>238</v>
      </c>
    </row>
    <row r="3384" spans="1:22" x14ac:dyDescent="0.3">
      <c r="A3384" s="1">
        <f t="shared" si="5765"/>
        <v>77239</v>
      </c>
      <c r="B3384" s="12">
        <f t="shared" si="5832"/>
        <v>0</v>
      </c>
      <c r="C3384" s="13">
        <f t="shared" si="5833"/>
        <v>0</v>
      </c>
      <c r="D3384" s="10">
        <f t="shared" si="5834"/>
        <v>0</v>
      </c>
      <c r="J3384" s="24" t="str">
        <f t="shared" ref="J3384" si="5849">CONCATENATE(K3381,3)</f>
        <v>103</v>
      </c>
      <c r="K3384" s="6" t="e">
        <v>#VALUE!</v>
      </c>
      <c r="L3384" s="6" t="e">
        <v>#VALUE!</v>
      </c>
      <c r="M3384" s="6" t="e">
        <v>#VALUE!</v>
      </c>
      <c r="N3384" s="6" t="e">
        <v>#VALUE!</v>
      </c>
      <c r="O3384" s="6" t="e">
        <v>#VALUE!</v>
      </c>
      <c r="P3384" s="6" t="e">
        <v>#VALUE!</v>
      </c>
      <c r="Q3384" s="6" t="e">
        <v>#VALUE!</v>
      </c>
      <c r="R3384" s="6" t="e">
        <v>#VALUE!</v>
      </c>
      <c r="S3384" s="6" t="e">
        <v>#VALUE!</v>
      </c>
      <c r="T3384" s="9"/>
      <c r="U3384" s="1">
        <f t="shared" si="5808"/>
        <v>77</v>
      </c>
      <c r="V3384" s="1">
        <f t="shared" si="5809"/>
        <v>239</v>
      </c>
    </row>
    <row r="3385" spans="1:22" x14ac:dyDescent="0.3">
      <c r="A3385" s="1">
        <f t="shared" si="5765"/>
        <v>77240</v>
      </c>
      <c r="B3385" s="12">
        <f t="shared" si="5832"/>
        <v>0</v>
      </c>
      <c r="C3385" s="13">
        <f t="shared" si="5833"/>
        <v>0</v>
      </c>
      <c r="D3385" s="10">
        <f t="shared" si="5834"/>
        <v>0</v>
      </c>
      <c r="J3385" s="9"/>
      <c r="K3385" s="9"/>
      <c r="L3385" s="9"/>
      <c r="M3385" s="9"/>
      <c r="N3385" s="9"/>
      <c r="O3385" s="9"/>
      <c r="P3385" s="9"/>
      <c r="Q3385" s="9"/>
      <c r="R3385" s="9"/>
      <c r="S3385" s="9"/>
      <c r="T3385" s="9"/>
      <c r="U3385" s="1">
        <f t="shared" si="5808"/>
        <v>77</v>
      </c>
      <c r="V3385" s="1">
        <f t="shared" si="5809"/>
        <v>240</v>
      </c>
    </row>
    <row r="3386" spans="1:22" x14ac:dyDescent="0.3">
      <c r="A3386" s="1">
        <f t="shared" si="5765"/>
        <v>77241</v>
      </c>
      <c r="B3386" s="12">
        <f t="shared" si="5832"/>
        <v>0</v>
      </c>
      <c r="C3386" s="13">
        <f t="shared" si="5833"/>
        <v>0</v>
      </c>
      <c r="D3386" s="10">
        <f t="shared" si="5834"/>
        <v>0</v>
      </c>
      <c r="J3386" s="9"/>
      <c r="K3386" s="9"/>
      <c r="L3386" s="9"/>
      <c r="M3386" s="9"/>
      <c r="N3386" s="9"/>
      <c r="O3386" s="9"/>
      <c r="P3386" s="9"/>
      <c r="Q3386" s="9"/>
      <c r="R3386" s="9"/>
      <c r="S3386" s="9"/>
      <c r="T3386" s="9"/>
      <c r="U3386" s="1">
        <f t="shared" si="5808"/>
        <v>77</v>
      </c>
      <c r="V3386" s="1">
        <f t="shared" si="5809"/>
        <v>241</v>
      </c>
    </row>
    <row r="3387" spans="1:22" x14ac:dyDescent="0.3">
      <c r="A3387" s="1">
        <f t="shared" si="5765"/>
        <v>77242</v>
      </c>
      <c r="B3387" s="12">
        <f t="shared" si="5832"/>
        <v>0</v>
      </c>
      <c r="C3387" s="13">
        <f t="shared" si="5833"/>
        <v>0</v>
      </c>
      <c r="D3387" s="10">
        <f t="shared" si="5834"/>
        <v>0</v>
      </c>
      <c r="J3387" s="9"/>
      <c r="K3387" s="9"/>
      <c r="L3387" s="9"/>
      <c r="M3387" s="9"/>
      <c r="N3387" s="9"/>
      <c r="O3387" s="9"/>
      <c r="P3387" s="9"/>
      <c r="Q3387" s="9"/>
      <c r="R3387" s="9"/>
      <c r="S3387" s="9"/>
      <c r="T3387" s="9"/>
      <c r="U3387" s="1">
        <f t="shared" si="5808"/>
        <v>77</v>
      </c>
      <c r="V3387" s="1">
        <f t="shared" si="5809"/>
        <v>242</v>
      </c>
    </row>
    <row r="3388" spans="1:22" x14ac:dyDescent="0.3">
      <c r="A3388" s="1">
        <f t="shared" si="5765"/>
        <v>77243</v>
      </c>
      <c r="J3388" s="9"/>
      <c r="K3388" s="9"/>
      <c r="L3388" s="9"/>
      <c r="M3388" s="9"/>
      <c r="N3388" s="9"/>
      <c r="O3388" s="9"/>
      <c r="P3388" s="9"/>
      <c r="Q3388" s="9"/>
      <c r="R3388" s="9"/>
      <c r="S3388" s="9"/>
      <c r="T3388" s="9"/>
      <c r="U3388" s="1">
        <f t="shared" si="5808"/>
        <v>77</v>
      </c>
      <c r="V3388" s="1">
        <f t="shared" si="5809"/>
        <v>243</v>
      </c>
    </row>
    <row r="3389" spans="1:22" s="5" customFormat="1" x14ac:dyDescent="0.3"/>
    <row r="3390" spans="1:22" x14ac:dyDescent="0.3">
      <c r="A3390" s="1">
        <f t="shared" ref="A3390:A3432" si="5850">ROUND(CONCATENATE(U3390,V3390),0)</f>
        <v>78201</v>
      </c>
      <c r="B3390" s="96" t="s">
        <v>0</v>
      </c>
      <c r="C3390" s="97"/>
      <c r="D3390" s="110" t="s">
        <v>46</v>
      </c>
      <c r="E3390" s="111"/>
      <c r="F3390" s="111"/>
      <c r="G3390" s="111"/>
      <c r="H3390" s="112"/>
      <c r="J3390" s="9"/>
      <c r="K3390" s="9"/>
      <c r="L3390" s="9"/>
      <c r="M3390" s="9"/>
      <c r="N3390" s="9"/>
      <c r="O3390" s="9"/>
      <c r="P3390" s="9"/>
      <c r="Q3390" s="9"/>
      <c r="R3390" s="9"/>
      <c r="S3390" s="9"/>
      <c r="T3390" s="9"/>
      <c r="U3390" s="1">
        <f t="shared" ref="U3390" si="5851">U3388+1</f>
        <v>78</v>
      </c>
      <c r="V3390" s="1">
        <v>201</v>
      </c>
    </row>
    <row r="3391" spans="1:22" x14ac:dyDescent="0.3">
      <c r="A3391" s="1">
        <f t="shared" si="5850"/>
        <v>78202</v>
      </c>
      <c r="B3391" s="96" t="s">
        <v>1</v>
      </c>
      <c r="C3391" s="97"/>
      <c r="D3391" s="15">
        <v>20</v>
      </c>
      <c r="E3391" s="16" t="s">
        <v>2</v>
      </c>
      <c r="F3391" s="107"/>
      <c r="G3391" s="108"/>
      <c r="H3391" s="109"/>
      <c r="J3391" s="9"/>
      <c r="K3391" s="9"/>
      <c r="L3391" s="9"/>
      <c r="M3391" s="9"/>
      <c r="N3391" s="9"/>
      <c r="O3391" s="9"/>
      <c r="P3391" s="9"/>
      <c r="Q3391" s="9"/>
      <c r="R3391" s="9"/>
      <c r="S3391" s="9"/>
      <c r="T3391" s="9"/>
      <c r="U3391" s="1">
        <f t="shared" ref="U3391" si="5852">U3390</f>
        <v>78</v>
      </c>
      <c r="V3391" s="1">
        <f t="shared" ref="V3391" si="5853">V3390+1</f>
        <v>202</v>
      </c>
    </row>
    <row r="3392" spans="1:22" x14ac:dyDescent="0.3">
      <c r="A3392" s="1">
        <f t="shared" si="5850"/>
        <v>78203</v>
      </c>
      <c r="B3392" s="96" t="s">
        <v>12</v>
      </c>
      <c r="C3392" s="97"/>
      <c r="D3392" s="110" t="s">
        <v>295</v>
      </c>
      <c r="E3392" s="111"/>
      <c r="F3392" s="111"/>
      <c r="G3392" s="111"/>
      <c r="H3392" s="112"/>
      <c r="K3392" s="1" t="s">
        <v>3</v>
      </c>
      <c r="L3392" s="1" t="s">
        <v>4</v>
      </c>
      <c r="M3392" s="1" t="s">
        <v>5</v>
      </c>
      <c r="N3392" s="1" t="s">
        <v>6</v>
      </c>
      <c r="O3392" s="1" t="s">
        <v>7</v>
      </c>
      <c r="P3392" s="1" t="s">
        <v>8</v>
      </c>
      <c r="Q3392" s="1" t="s">
        <v>9</v>
      </c>
      <c r="R3392" s="1" t="s">
        <v>10</v>
      </c>
      <c r="S3392" s="1" t="s">
        <v>11</v>
      </c>
      <c r="T3392" s="9"/>
      <c r="U3392" s="1">
        <f t="shared" si="5808"/>
        <v>78</v>
      </c>
      <c r="V3392" s="1">
        <f t="shared" si="5809"/>
        <v>203</v>
      </c>
    </row>
    <row r="3393" spans="1:22" x14ac:dyDescent="0.3">
      <c r="A3393" s="1">
        <f t="shared" si="5850"/>
        <v>78204</v>
      </c>
      <c r="B3393" s="96" t="s">
        <v>13</v>
      </c>
      <c r="C3393" s="97"/>
      <c r="D3393" s="110" t="s">
        <v>65</v>
      </c>
      <c r="E3393" s="111"/>
      <c r="F3393" s="111"/>
      <c r="G3393" s="111"/>
      <c r="H3393" s="112"/>
      <c r="J3393" s="1">
        <f t="shared" ref="J3393" si="5854">COUNTA(B3406:B3415)</f>
        <v>4</v>
      </c>
      <c r="K3393" s="1">
        <f t="shared" ref="K3393" si="5855">IF(L3393-1&lt;2,0,L3393-1)</f>
        <v>0</v>
      </c>
      <c r="L3393" s="1">
        <f t="shared" ref="L3393" si="5856">IF(M3393-1&lt;2,0,M3393-1)</f>
        <v>0</v>
      </c>
      <c r="M3393" s="1">
        <f t="shared" ref="M3393" si="5857">IF(N3393-1&lt;2,0,N3393-1)</f>
        <v>0</v>
      </c>
      <c r="N3393" s="1">
        <f t="shared" ref="N3393" si="5858">IF(O3393-1&lt;2,0,O3393-1)</f>
        <v>0</v>
      </c>
      <c r="O3393" s="1">
        <f t="shared" ref="O3393" si="5859">IF(P3393-1&lt;2,0,P3393-1)</f>
        <v>0</v>
      </c>
      <c r="P3393" s="1">
        <f t="shared" ref="P3393" si="5860">IF(Q3393-1&lt;2,0,Q3393-1)</f>
        <v>0</v>
      </c>
      <c r="Q3393" s="1">
        <f t="shared" ref="Q3393" si="5861">IF(R3393-1&lt;2,0,R3393-1)</f>
        <v>2</v>
      </c>
      <c r="R3393" s="1">
        <f t="shared" ref="R3393" si="5862">IF(S3393-1&lt;2,0,S3393-1)</f>
        <v>3</v>
      </c>
      <c r="S3393" s="1">
        <f t="shared" ref="S3393" si="5863">J3393</f>
        <v>4</v>
      </c>
      <c r="T3393" s="9"/>
      <c r="U3393" s="1">
        <f t="shared" si="5808"/>
        <v>78</v>
      </c>
      <c r="V3393" s="1">
        <f t="shared" si="5809"/>
        <v>204</v>
      </c>
    </row>
    <row r="3394" spans="1:22" x14ac:dyDescent="0.3">
      <c r="A3394" s="1">
        <f t="shared" si="5850"/>
        <v>78205</v>
      </c>
      <c r="B3394" s="96" t="s">
        <v>14</v>
      </c>
      <c r="C3394" s="97"/>
      <c r="D3394" s="110" t="s">
        <v>66</v>
      </c>
      <c r="E3394" s="111"/>
      <c r="F3394" s="111"/>
      <c r="G3394" s="111"/>
      <c r="H3394" s="112"/>
      <c r="J3394" s="24" t="str">
        <f t="shared" ref="J3394" si="5864">CONCATENATE(J3393,1)</f>
        <v>41</v>
      </c>
      <c r="K3394" s="25">
        <f t="shared" ref="K3394" si="5865">IF(K3393=0,0,VLOOKUP(J3394,J3398:S3428,K3393,FALSE))</f>
        <v>0</v>
      </c>
      <c r="L3394" s="25">
        <f t="shared" ref="L3394" si="5866">IF(L3393=0,0,VLOOKUP(J3394,J3398:S3428,L3393,FALSE))</f>
        <v>0</v>
      </c>
      <c r="M3394" s="25">
        <f t="shared" ref="M3394" si="5867">IF(M3393=0,0,VLOOKUP(J3394,J3398:S3428,M3393,FALSE))</f>
        <v>0</v>
      </c>
      <c r="N3394" s="25">
        <f t="shared" ref="N3394" si="5868">IF(N3393=0,0,VLOOKUP(J3394,J3398:S3428,N3393,FALSE))</f>
        <v>0</v>
      </c>
      <c r="O3394" s="25">
        <f t="shared" ref="O3394" si="5869">IF(O3393=0,0,VLOOKUP(J3394,J3398:S3428,O3393,FALSE))</f>
        <v>0</v>
      </c>
      <c r="P3394" s="25">
        <f t="shared" ref="P3394" si="5870">IF(P3393=0,0,VLOOKUP(J3394,J3398:S3428,P3393,FALSE))</f>
        <v>0</v>
      </c>
      <c r="Q3394" s="25">
        <f t="shared" ref="Q3394" si="5871">IF(Q3393=0,0,VLOOKUP(J3394,J3398:S3428,Q3393,FALSE))</f>
        <v>-2.7343363143841285E-3</v>
      </c>
      <c r="R3394" s="25">
        <f t="shared" ref="R3394" si="5872">IF(R3393=0,0,VLOOKUP(J3394,J3398:S3428,R3393,FALSE))</f>
        <v>1.3686668984639578</v>
      </c>
      <c r="S3394" s="25">
        <f t="shared" ref="S3394" si="5873">IF(S3393=0,0,VLOOKUP(J3394,J3398:S3428,S3393,FALSE))</f>
        <v>-12.024975808245973</v>
      </c>
      <c r="T3394" s="9"/>
      <c r="U3394" s="1">
        <f t="shared" si="5808"/>
        <v>78</v>
      </c>
      <c r="V3394" s="1">
        <f t="shared" si="5809"/>
        <v>205</v>
      </c>
    </row>
    <row r="3395" spans="1:22" x14ac:dyDescent="0.3">
      <c r="A3395" s="1">
        <f t="shared" si="5850"/>
        <v>78206</v>
      </c>
      <c r="B3395" s="96" t="s">
        <v>15</v>
      </c>
      <c r="C3395" s="97"/>
      <c r="D3395" s="110" t="s">
        <v>296</v>
      </c>
      <c r="E3395" s="111"/>
      <c r="F3395" s="111"/>
      <c r="G3395" s="111"/>
      <c r="H3395" s="112"/>
      <c r="J3395" s="24" t="str">
        <f t="shared" ref="J3395" si="5874">CONCATENATE(J3393,2)</f>
        <v>42</v>
      </c>
      <c r="K3395" s="6">
        <f t="shared" ref="K3395" si="5875">IF(K3393=0,0,VLOOKUP(J3395,J3398:S3428,K3393,FALSE))</f>
        <v>0</v>
      </c>
      <c r="L3395" s="6">
        <f t="shared" ref="L3395" si="5876">IF(L3393=0,0,VLOOKUP(J3395,J3398:S3428,L3393,FALSE))</f>
        <v>0</v>
      </c>
      <c r="M3395" s="6">
        <f t="shared" ref="M3395" si="5877">IF(M3393=0,0,VLOOKUP(J3395,J3398:S3428,M3393,FALSE))</f>
        <v>0</v>
      </c>
      <c r="N3395" s="6">
        <f t="shared" ref="N3395" si="5878">IF(N3393=0,0,VLOOKUP(J3395,J3398:S3428,N3393,FALSE))</f>
        <v>0</v>
      </c>
      <c r="O3395" s="6">
        <f t="shared" ref="O3395" si="5879">IF(O3393=0,0,VLOOKUP(J3395,J3398:S3428,O3393,FALSE))</f>
        <v>0</v>
      </c>
      <c r="P3395" s="6">
        <f t="shared" ref="P3395" si="5880">IF(P3393=0,0,VLOOKUP(J3395,J3398:S3428,P3393,FALSE))</f>
        <v>0</v>
      </c>
      <c r="Q3395" s="6">
        <f t="shared" ref="Q3395" si="5881">IF(Q3393=0,0,VLOOKUP(J3395,J3398:S3428,Q3393,FALSE))</f>
        <v>8.2387090566935633E-4</v>
      </c>
      <c r="R3395" s="6">
        <f t="shared" ref="R3395" si="5882">IF(R3393=0,0,VLOOKUP(J3395,J3398:S3428,R3393,FALSE))</f>
        <v>0.10340917347685902</v>
      </c>
      <c r="S3395" s="6">
        <f t="shared" ref="S3395" si="5883">IF(S3393=0,0,VLOOKUP(J3395,J3398:S3428,S3393,FALSE))</f>
        <v>2.9393264208852989</v>
      </c>
      <c r="T3395" s="9"/>
      <c r="U3395" s="1">
        <f t="shared" si="5808"/>
        <v>78</v>
      </c>
      <c r="V3395" s="1">
        <f t="shared" si="5809"/>
        <v>206</v>
      </c>
    </row>
    <row r="3396" spans="1:22" x14ac:dyDescent="0.3">
      <c r="A3396" s="1">
        <f t="shared" si="5850"/>
        <v>78207</v>
      </c>
      <c r="B3396" s="96" t="s">
        <v>16</v>
      </c>
      <c r="C3396" s="97"/>
      <c r="D3396" s="113">
        <v>45520</v>
      </c>
      <c r="E3396" s="114"/>
      <c r="F3396" s="114"/>
      <c r="G3396" s="114"/>
      <c r="H3396" s="115"/>
      <c r="J3396" s="24" t="str">
        <f t="shared" ref="J3396" si="5884">CONCATENATE(J3393,3)</f>
        <v>43</v>
      </c>
      <c r="K3396" s="6"/>
      <c r="L3396" s="6"/>
      <c r="M3396" s="6"/>
      <c r="N3396" s="6" t="s">
        <v>43</v>
      </c>
      <c r="O3396" s="25">
        <f t="shared" ref="O3396" si="5885">J3393-2</f>
        <v>2</v>
      </c>
      <c r="P3396" s="6" t="s">
        <v>44</v>
      </c>
      <c r="Q3396" s="25">
        <f t="shared" ref="Q3396" si="5886">VLOOKUP(J3396,J3398:S3428,3,FALSE)</f>
        <v>0.60884457512586243</v>
      </c>
      <c r="R3396" s="6" t="s">
        <v>45</v>
      </c>
      <c r="S3396" s="6">
        <f t="shared" ref="S3396" si="5887">VLOOKUP(J3396,J3398:S3428,2,FALSE)</f>
        <v>0.99981465414166981</v>
      </c>
      <c r="T3396" s="9"/>
      <c r="U3396" s="1">
        <f t="shared" si="5808"/>
        <v>78</v>
      </c>
      <c r="V3396" s="1">
        <f t="shared" si="5809"/>
        <v>207</v>
      </c>
    </row>
    <row r="3397" spans="1:22" x14ac:dyDescent="0.3">
      <c r="A3397" s="1">
        <f t="shared" si="5850"/>
        <v>78208</v>
      </c>
      <c r="B3397" s="96" t="s">
        <v>17</v>
      </c>
      <c r="C3397" s="97"/>
      <c r="D3397" s="116">
        <v>45899</v>
      </c>
      <c r="E3397" s="117"/>
      <c r="F3397" s="117"/>
      <c r="G3397" s="117"/>
      <c r="H3397" s="118"/>
      <c r="K3397" s="1">
        <v>3</v>
      </c>
      <c r="L3397" s="1">
        <v>3</v>
      </c>
      <c r="Q3397" s="26"/>
      <c r="R3397" s="26"/>
      <c r="S3397" s="26"/>
      <c r="T3397" s="9"/>
      <c r="U3397" s="1">
        <f t="shared" si="5808"/>
        <v>78</v>
      </c>
      <c r="V3397" s="1">
        <f t="shared" si="5809"/>
        <v>208</v>
      </c>
    </row>
    <row r="3398" spans="1:22" x14ac:dyDescent="0.3">
      <c r="A3398" s="1">
        <f t="shared" si="5850"/>
        <v>78209</v>
      </c>
      <c r="B3398" s="77" t="s">
        <v>19</v>
      </c>
      <c r="C3398" s="78"/>
      <c r="D3398" s="17">
        <v>1</v>
      </c>
      <c r="E3398" s="79" t="s">
        <v>40</v>
      </c>
      <c r="F3398" s="80"/>
      <c r="G3398" s="81"/>
      <c r="H3398" s="18" t="s">
        <v>72</v>
      </c>
      <c r="J3398" s="24" t="str">
        <f t="shared" ref="J3398" si="5888">CONCATENATE(K3397,1)</f>
        <v>31</v>
      </c>
      <c r="K3398" s="6">
        <f t="array" ref="K3398:L3400">LINEST(B3406:B3408,C3406:C3408^{1},TRUE,TRUE)</f>
        <v>1.0787172011661808</v>
      </c>
      <c r="L3398" s="6">
        <v>-5.0145772594752174</v>
      </c>
      <c r="Q3398" s="9"/>
      <c r="R3398" s="9"/>
      <c r="S3398" s="9"/>
      <c r="T3398" s="9"/>
      <c r="U3398" s="1">
        <f t="shared" si="5808"/>
        <v>78</v>
      </c>
      <c r="V3398" s="1">
        <f t="shared" si="5809"/>
        <v>209</v>
      </c>
    </row>
    <row r="3399" spans="1:22" x14ac:dyDescent="0.3">
      <c r="A3399" s="1">
        <f t="shared" si="5850"/>
        <v>78210</v>
      </c>
      <c r="B3399" s="77" t="s">
        <v>41</v>
      </c>
      <c r="C3399" s="78"/>
      <c r="D3399" s="23">
        <f t="shared" ref="D3399" si="5889">MIN(B3406:B3415)</f>
        <v>30</v>
      </c>
      <c r="E3399" s="20" t="s">
        <v>18</v>
      </c>
      <c r="F3399" s="19">
        <f t="shared" ref="F3399" si="5890">MAX(B3406:B3415)</f>
        <v>90</v>
      </c>
      <c r="G3399" s="21" t="str">
        <f t="shared" ref="G3399" si="5891">IF(H3398="","",H3398)</f>
        <v>%ur</v>
      </c>
      <c r="H3399" s="22"/>
      <c r="J3399" s="24" t="str">
        <f t="shared" ref="J3399" si="5892">CONCATENATE(K3397,2)</f>
        <v>32</v>
      </c>
      <c r="K3399" s="6">
        <v>5.0497108092387104E-2</v>
      </c>
      <c r="L3399" s="6">
        <v>2.6861740345218572</v>
      </c>
      <c r="Q3399" s="9"/>
      <c r="R3399" s="9"/>
      <c r="S3399" s="9"/>
      <c r="T3399" s="9"/>
      <c r="U3399" s="1">
        <f t="shared" si="5808"/>
        <v>78</v>
      </c>
      <c r="V3399" s="1">
        <f t="shared" si="5809"/>
        <v>210</v>
      </c>
    </row>
    <row r="3400" spans="1:22" x14ac:dyDescent="0.3">
      <c r="A3400" s="1">
        <f t="shared" si="5850"/>
        <v>78211</v>
      </c>
      <c r="J3400" s="24" t="str">
        <f t="shared" ref="J3400" si="5893">CONCATENATE(K3397,3)</f>
        <v>33</v>
      </c>
      <c r="K3400" s="6">
        <v>0.99781341107871724</v>
      </c>
      <c r="L3400" s="6">
        <v>1.3226001425322167</v>
      </c>
      <c r="Q3400" s="9"/>
      <c r="R3400" s="9"/>
      <c r="S3400" s="9"/>
      <c r="T3400" s="9"/>
      <c r="U3400" s="1">
        <f t="shared" si="5808"/>
        <v>78</v>
      </c>
      <c r="V3400" s="1">
        <f t="shared" si="5809"/>
        <v>211</v>
      </c>
    </row>
    <row r="3401" spans="1:22" x14ac:dyDescent="0.3">
      <c r="A3401" s="1">
        <f t="shared" si="5850"/>
        <v>78212</v>
      </c>
      <c r="B3401" s="82" t="s">
        <v>20</v>
      </c>
      <c r="C3401" s="83"/>
      <c r="D3401" s="83"/>
      <c r="E3401" s="83"/>
      <c r="F3401" s="84"/>
      <c r="G3401" s="85" t="s">
        <v>31</v>
      </c>
      <c r="H3401" s="86"/>
      <c r="K3401" s="1">
        <v>4</v>
      </c>
      <c r="L3401" s="1">
        <v>4</v>
      </c>
      <c r="M3401" s="1">
        <v>4</v>
      </c>
      <c r="Q3401" s="9"/>
      <c r="R3401" s="9"/>
      <c r="S3401" s="9"/>
      <c r="T3401" s="9"/>
      <c r="U3401" s="1">
        <f t="shared" si="5808"/>
        <v>78</v>
      </c>
      <c r="V3401" s="1">
        <f t="shared" si="5809"/>
        <v>212</v>
      </c>
    </row>
    <row r="3402" spans="1:22" x14ac:dyDescent="0.3">
      <c r="A3402" s="1">
        <f t="shared" si="5850"/>
        <v>78213</v>
      </c>
      <c r="B3402" s="82" t="s">
        <v>30</v>
      </c>
      <c r="C3402" s="83"/>
      <c r="D3402" s="84"/>
      <c r="E3402" s="82" t="str">
        <f t="shared" ref="E3402" si="5894">D3395</f>
        <v>E0312/24</v>
      </c>
      <c r="F3402" s="84"/>
      <c r="G3402" s="6" t="s">
        <v>32</v>
      </c>
      <c r="H3402" s="7"/>
      <c r="J3402" s="24" t="str">
        <f t="shared" ref="J3402" si="5895">CONCATENATE(K3401,1)</f>
        <v>41</v>
      </c>
      <c r="K3402" s="6">
        <f t="array" ref="K3402:M3404">LINEST(B3406:B3409,C3406:C3409^{1,2},TRUE,TRUE)</f>
        <v>-2.7343363143841285E-3</v>
      </c>
      <c r="L3402" s="6">
        <v>1.3686668984639578</v>
      </c>
      <c r="M3402" s="6">
        <v>-12.024975808245973</v>
      </c>
      <c r="Q3402" s="9"/>
      <c r="R3402" s="9"/>
      <c r="S3402" s="9"/>
      <c r="T3402" s="9"/>
      <c r="U3402" s="1">
        <f t="shared" si="5808"/>
        <v>78</v>
      </c>
      <c r="V3402" s="1">
        <f t="shared" si="5809"/>
        <v>213</v>
      </c>
    </row>
    <row r="3403" spans="1:22" x14ac:dyDescent="0.3">
      <c r="A3403" s="1">
        <f t="shared" si="5850"/>
        <v>78214</v>
      </c>
      <c r="B3403" s="2" t="s">
        <v>21</v>
      </c>
      <c r="C3403" s="2" t="s">
        <v>22</v>
      </c>
      <c r="D3403" s="2" t="s">
        <v>23</v>
      </c>
      <c r="E3403" s="2"/>
      <c r="F3403" s="2" t="s">
        <v>28</v>
      </c>
      <c r="G3403" s="2" t="s">
        <v>21</v>
      </c>
      <c r="H3403" s="2" t="s">
        <v>22</v>
      </c>
      <c r="J3403" s="24" t="str">
        <f t="shared" ref="J3403" si="5896">CONCATENATE(K3401,2)</f>
        <v>42</v>
      </c>
      <c r="K3403" s="6">
        <v>8.2387090566935633E-4</v>
      </c>
      <c r="L3403" s="6">
        <v>0.10340917347685902</v>
      </c>
      <c r="M3403" s="6">
        <v>2.9393264208852989</v>
      </c>
      <c r="Q3403" s="9"/>
      <c r="R3403" s="9"/>
      <c r="S3403" s="9"/>
      <c r="T3403" s="9"/>
      <c r="U3403" s="1">
        <f t="shared" si="5808"/>
        <v>78</v>
      </c>
      <c r="V3403" s="1">
        <f t="shared" si="5809"/>
        <v>214</v>
      </c>
    </row>
    <row r="3404" spans="1:22" x14ac:dyDescent="0.3">
      <c r="A3404" s="1">
        <f t="shared" si="5850"/>
        <v>78215</v>
      </c>
      <c r="B3404" s="2" t="s">
        <v>24</v>
      </c>
      <c r="C3404" s="2" t="s">
        <v>25</v>
      </c>
      <c r="D3404" s="2" t="s">
        <v>26</v>
      </c>
      <c r="E3404" s="2" t="s">
        <v>27</v>
      </c>
      <c r="F3404" s="2" t="s">
        <v>29</v>
      </c>
      <c r="G3404" s="2" t="s">
        <v>24</v>
      </c>
      <c r="H3404" s="2" t="s">
        <v>25</v>
      </c>
      <c r="J3404" s="24" t="str">
        <f t="shared" ref="J3404" si="5897">CONCATENATE(K3401,3)</f>
        <v>43</v>
      </c>
      <c r="K3404" s="6">
        <v>0.99981465414166981</v>
      </c>
      <c r="L3404" s="6">
        <v>0.60884457512586243</v>
      </c>
      <c r="M3404" s="6" t="e">
        <v>#N/A</v>
      </c>
      <c r="Q3404" s="9"/>
      <c r="R3404" s="9"/>
      <c r="S3404" s="9"/>
      <c r="T3404" s="9"/>
      <c r="U3404" s="1">
        <f t="shared" si="5808"/>
        <v>78</v>
      </c>
      <c r="V3404" s="1">
        <f t="shared" si="5809"/>
        <v>215</v>
      </c>
    </row>
    <row r="3405" spans="1:22" x14ac:dyDescent="0.3">
      <c r="A3405" s="1">
        <f t="shared" si="5850"/>
        <v>78216</v>
      </c>
      <c r="B3405" s="3" t="str">
        <f t="shared" ref="B3405" si="5898">H3398</f>
        <v>%ur</v>
      </c>
      <c r="C3405" s="3" t="str">
        <f t="shared" ref="C3405" si="5899">B3405</f>
        <v>%ur</v>
      </c>
      <c r="D3405" s="3" t="str">
        <f t="shared" ref="D3405" si="5900">C3405</f>
        <v>%ur</v>
      </c>
      <c r="E3405" s="3"/>
      <c r="F3405" s="3"/>
      <c r="G3405" s="3" t="str">
        <f t="shared" ref="G3405" si="5901">D3405</f>
        <v>%ur</v>
      </c>
      <c r="H3405" s="3" t="str">
        <f t="shared" ref="H3405" si="5902">G3405</f>
        <v>%ur</v>
      </c>
      <c r="K3405" s="1">
        <v>5</v>
      </c>
      <c r="L3405" s="1">
        <v>5</v>
      </c>
      <c r="M3405" s="1">
        <v>5</v>
      </c>
      <c r="N3405" s="1">
        <v>5</v>
      </c>
      <c r="Q3405" s="9"/>
      <c r="R3405" s="9"/>
      <c r="S3405" s="9"/>
      <c r="T3405" s="9"/>
      <c r="U3405" s="1">
        <f t="shared" si="5808"/>
        <v>78</v>
      </c>
      <c r="V3405" s="1">
        <f t="shared" si="5809"/>
        <v>216</v>
      </c>
    </row>
    <row r="3406" spans="1:22" x14ac:dyDescent="0.3">
      <c r="A3406" s="1">
        <f t="shared" si="5850"/>
        <v>78217</v>
      </c>
      <c r="B3406" s="4">
        <v>30</v>
      </c>
      <c r="C3406" s="4">
        <v>33</v>
      </c>
      <c r="D3406" s="4">
        <v>2</v>
      </c>
      <c r="E3406" s="4">
        <v>2</v>
      </c>
      <c r="F3406" s="14">
        <v>1000000</v>
      </c>
      <c r="G3406" s="8"/>
      <c r="H3406" s="7"/>
      <c r="J3406" s="24" t="str">
        <f t="shared" ref="J3406" si="5903">CONCATENATE(K3405,1)</f>
        <v>51</v>
      </c>
      <c r="K3406" s="6" t="e">
        <f t="array" ref="K3406:N3408">LINEST(B3406:B3410,C3406:C3410^{1,2,3},TRUE,TRUE)</f>
        <v>#VALUE!</v>
      </c>
      <c r="L3406" s="6" t="e">
        <v>#VALUE!</v>
      </c>
      <c r="M3406" s="6" t="e">
        <v>#VALUE!</v>
      </c>
      <c r="N3406" s="6" t="e">
        <v>#VALUE!</v>
      </c>
      <c r="Q3406" s="9"/>
      <c r="R3406" s="9"/>
      <c r="S3406" s="9"/>
      <c r="T3406" s="9"/>
      <c r="U3406" s="1">
        <f t="shared" si="5808"/>
        <v>78</v>
      </c>
      <c r="V3406" s="1">
        <f t="shared" si="5809"/>
        <v>217</v>
      </c>
    </row>
    <row r="3407" spans="1:22" x14ac:dyDescent="0.3">
      <c r="A3407" s="1">
        <f t="shared" si="5850"/>
        <v>78218</v>
      </c>
      <c r="B3407" s="4">
        <v>50</v>
      </c>
      <c r="C3407" s="4">
        <v>50</v>
      </c>
      <c r="D3407" s="4">
        <v>2</v>
      </c>
      <c r="E3407" s="4">
        <v>2</v>
      </c>
      <c r="F3407" s="14">
        <v>1000000</v>
      </c>
      <c r="G3407" s="8"/>
      <c r="H3407" s="7"/>
      <c r="J3407" s="24" t="str">
        <f t="shared" ref="J3407" si="5904">CONCATENATE(K3405,2)</f>
        <v>52</v>
      </c>
      <c r="K3407" s="6" t="e">
        <v>#VALUE!</v>
      </c>
      <c r="L3407" s="6" t="e">
        <v>#VALUE!</v>
      </c>
      <c r="M3407" s="6" t="e">
        <v>#VALUE!</v>
      </c>
      <c r="N3407" s="6" t="e">
        <v>#VALUE!</v>
      </c>
      <c r="T3407" s="9"/>
      <c r="U3407" s="1">
        <f t="shared" si="5808"/>
        <v>78</v>
      </c>
      <c r="V3407" s="1">
        <f t="shared" si="5809"/>
        <v>218</v>
      </c>
    </row>
    <row r="3408" spans="1:22" x14ac:dyDescent="0.3">
      <c r="A3408" s="1">
        <f t="shared" si="5850"/>
        <v>78219</v>
      </c>
      <c r="B3408" s="4">
        <v>70</v>
      </c>
      <c r="C3408" s="4">
        <v>70</v>
      </c>
      <c r="D3408" s="4">
        <v>2</v>
      </c>
      <c r="E3408" s="4">
        <v>2</v>
      </c>
      <c r="F3408" s="14">
        <v>1000000</v>
      </c>
      <c r="G3408" s="8"/>
      <c r="H3408" s="7"/>
      <c r="J3408" s="24" t="str">
        <f t="shared" ref="J3408" si="5905">CONCATENATE(K3405,3)</f>
        <v>53</v>
      </c>
      <c r="K3408" s="6" t="e">
        <v>#VALUE!</v>
      </c>
      <c r="L3408" s="6" t="e">
        <v>#VALUE!</v>
      </c>
      <c r="M3408" s="6" t="e">
        <v>#VALUE!</v>
      </c>
      <c r="N3408" s="6" t="e">
        <v>#VALUE!</v>
      </c>
      <c r="T3408" s="9"/>
      <c r="U3408" s="1">
        <f t="shared" si="5808"/>
        <v>78</v>
      </c>
      <c r="V3408" s="1">
        <f t="shared" si="5809"/>
        <v>219</v>
      </c>
    </row>
    <row r="3409" spans="1:22" x14ac:dyDescent="0.3">
      <c r="A3409" s="1">
        <f t="shared" si="5850"/>
        <v>78220</v>
      </c>
      <c r="B3409" s="4">
        <v>90</v>
      </c>
      <c r="C3409" s="4">
        <v>91</v>
      </c>
      <c r="D3409" s="4">
        <v>2</v>
      </c>
      <c r="E3409" s="4">
        <v>2</v>
      </c>
      <c r="F3409" s="14">
        <v>1000000</v>
      </c>
      <c r="G3409" s="8"/>
      <c r="H3409" s="7"/>
      <c r="K3409" s="1">
        <v>6</v>
      </c>
      <c r="L3409" s="1">
        <v>6</v>
      </c>
      <c r="M3409" s="1">
        <v>6</v>
      </c>
      <c r="N3409" s="1">
        <v>6</v>
      </c>
      <c r="O3409" s="1">
        <v>6</v>
      </c>
      <c r="T3409" s="9"/>
      <c r="U3409" s="1">
        <f t="shared" si="5808"/>
        <v>78</v>
      </c>
      <c r="V3409" s="1">
        <f t="shared" si="5809"/>
        <v>220</v>
      </c>
    </row>
    <row r="3410" spans="1:22" x14ac:dyDescent="0.3">
      <c r="A3410" s="1">
        <f t="shared" si="5850"/>
        <v>78221</v>
      </c>
      <c r="B3410" s="4"/>
      <c r="C3410" s="4"/>
      <c r="D3410" s="4"/>
      <c r="E3410" s="4"/>
      <c r="F3410" s="14"/>
      <c r="G3410" s="8"/>
      <c r="H3410" s="7"/>
      <c r="J3410" s="24" t="str">
        <f t="shared" ref="J3410" si="5906">CONCATENATE(K3409,1)</f>
        <v>61</v>
      </c>
      <c r="K3410" s="6" t="e">
        <f t="array" ref="K3410:O3412">LINEST(B3406:B3411,C3406:C3411^{1,2,3,4},TRUE,TRUE)</f>
        <v>#VALUE!</v>
      </c>
      <c r="L3410" s="6" t="e">
        <v>#VALUE!</v>
      </c>
      <c r="M3410" s="6" t="e">
        <v>#VALUE!</v>
      </c>
      <c r="N3410" s="6" t="e">
        <v>#VALUE!</v>
      </c>
      <c r="O3410" s="6" t="e">
        <v>#VALUE!</v>
      </c>
      <c r="T3410" s="9"/>
      <c r="U3410" s="1">
        <f t="shared" si="5808"/>
        <v>78</v>
      </c>
      <c r="V3410" s="1">
        <f t="shared" si="5809"/>
        <v>221</v>
      </c>
    </row>
    <row r="3411" spans="1:22" x14ac:dyDescent="0.3">
      <c r="A3411" s="1">
        <f t="shared" si="5850"/>
        <v>78222</v>
      </c>
      <c r="B3411" s="4"/>
      <c r="C3411" s="4"/>
      <c r="D3411" s="4"/>
      <c r="E3411" s="4"/>
      <c r="F3411" s="14"/>
      <c r="G3411" s="8"/>
      <c r="H3411" s="7"/>
      <c r="J3411" s="24" t="str">
        <f t="shared" ref="J3411" si="5907">CONCATENATE(K3409,2)</f>
        <v>62</v>
      </c>
      <c r="K3411" s="6" t="e">
        <v>#VALUE!</v>
      </c>
      <c r="L3411" s="6" t="e">
        <v>#VALUE!</v>
      </c>
      <c r="M3411" s="6" t="e">
        <v>#VALUE!</v>
      </c>
      <c r="N3411" s="6" t="e">
        <v>#VALUE!</v>
      </c>
      <c r="O3411" s="6" t="e">
        <v>#VALUE!</v>
      </c>
      <c r="T3411" s="9"/>
      <c r="U3411" s="1">
        <f t="shared" si="5808"/>
        <v>78</v>
      </c>
      <c r="V3411" s="1">
        <f t="shared" si="5809"/>
        <v>222</v>
      </c>
    </row>
    <row r="3412" spans="1:22" x14ac:dyDescent="0.3">
      <c r="A3412" s="1">
        <f t="shared" si="5850"/>
        <v>78223</v>
      </c>
      <c r="B3412" s="4"/>
      <c r="C3412" s="4"/>
      <c r="D3412" s="4"/>
      <c r="E3412" s="4"/>
      <c r="F3412" s="14"/>
      <c r="G3412" s="8"/>
      <c r="H3412" s="7"/>
      <c r="J3412" s="24" t="str">
        <f t="shared" ref="J3412" si="5908">CONCATENATE(K3409,3)</f>
        <v>63</v>
      </c>
      <c r="K3412" s="6" t="e">
        <v>#VALUE!</v>
      </c>
      <c r="L3412" s="6" t="e">
        <v>#VALUE!</v>
      </c>
      <c r="M3412" s="6" t="e">
        <v>#VALUE!</v>
      </c>
      <c r="N3412" s="6" t="e">
        <v>#VALUE!</v>
      </c>
      <c r="O3412" s="6" t="e">
        <v>#VALUE!</v>
      </c>
      <c r="T3412" s="9"/>
      <c r="U3412" s="1">
        <f t="shared" si="5808"/>
        <v>78</v>
      </c>
      <c r="V3412" s="1">
        <f t="shared" si="5809"/>
        <v>223</v>
      </c>
    </row>
    <row r="3413" spans="1:22" x14ac:dyDescent="0.3">
      <c r="A3413" s="1">
        <f t="shared" si="5850"/>
        <v>78224</v>
      </c>
      <c r="B3413" s="4"/>
      <c r="C3413" s="4"/>
      <c r="D3413" s="4"/>
      <c r="E3413" s="4"/>
      <c r="F3413" s="14"/>
      <c r="G3413" s="8"/>
      <c r="H3413" s="7"/>
      <c r="K3413" s="1">
        <v>7</v>
      </c>
      <c r="L3413" s="1">
        <v>7</v>
      </c>
      <c r="M3413" s="1">
        <v>7</v>
      </c>
      <c r="N3413" s="1">
        <v>7</v>
      </c>
      <c r="O3413" s="1">
        <v>7</v>
      </c>
      <c r="P3413" s="1">
        <v>7</v>
      </c>
      <c r="T3413" s="9"/>
      <c r="U3413" s="1">
        <f t="shared" si="5808"/>
        <v>78</v>
      </c>
      <c r="V3413" s="1">
        <f t="shared" si="5809"/>
        <v>224</v>
      </c>
    </row>
    <row r="3414" spans="1:22" x14ac:dyDescent="0.3">
      <c r="A3414" s="1">
        <f t="shared" si="5850"/>
        <v>78225</v>
      </c>
      <c r="B3414" s="4"/>
      <c r="C3414" s="4"/>
      <c r="D3414" s="4"/>
      <c r="E3414" s="4"/>
      <c r="F3414" s="14"/>
      <c r="G3414" s="8"/>
      <c r="H3414" s="7"/>
      <c r="J3414" s="24" t="str">
        <f t="shared" ref="J3414" si="5909">CONCATENATE(K3413,1)</f>
        <v>71</v>
      </c>
      <c r="K3414" s="6" t="e">
        <f t="array" ref="K3414:P3416">LINEST(B3406:B3412,C3406:C3412^{1,2,3,4,5},TRUE,TRUE)</f>
        <v>#VALUE!</v>
      </c>
      <c r="L3414" s="6" t="e">
        <v>#VALUE!</v>
      </c>
      <c r="M3414" s="6" t="e">
        <v>#VALUE!</v>
      </c>
      <c r="N3414" s="6" t="e">
        <v>#VALUE!</v>
      </c>
      <c r="O3414" s="6" t="e">
        <v>#VALUE!</v>
      </c>
      <c r="P3414" s="6" t="e">
        <v>#VALUE!</v>
      </c>
      <c r="T3414" s="9"/>
      <c r="U3414" s="1">
        <f t="shared" si="5808"/>
        <v>78</v>
      </c>
      <c r="V3414" s="1">
        <f t="shared" si="5809"/>
        <v>225</v>
      </c>
    </row>
    <row r="3415" spans="1:22" x14ac:dyDescent="0.3">
      <c r="A3415" s="1">
        <f t="shared" si="5850"/>
        <v>78226</v>
      </c>
      <c r="B3415" s="4"/>
      <c r="C3415" s="4"/>
      <c r="D3415" s="4"/>
      <c r="E3415" s="4"/>
      <c r="F3415" s="14"/>
      <c r="G3415" s="8"/>
      <c r="H3415" s="7"/>
      <c r="J3415" s="24" t="str">
        <f t="shared" ref="J3415" si="5910">CONCATENATE(K3413,2)</f>
        <v>72</v>
      </c>
      <c r="K3415" s="6" t="e">
        <v>#VALUE!</v>
      </c>
      <c r="L3415" s="6" t="e">
        <v>#VALUE!</v>
      </c>
      <c r="M3415" s="6" t="e">
        <v>#VALUE!</v>
      </c>
      <c r="N3415" s="6" t="e">
        <v>#VALUE!</v>
      </c>
      <c r="O3415" s="6" t="e">
        <v>#VALUE!</v>
      </c>
      <c r="P3415" s="6" t="e">
        <v>#VALUE!</v>
      </c>
      <c r="T3415" s="9"/>
      <c r="U3415" s="1">
        <f t="shared" si="5808"/>
        <v>78</v>
      </c>
      <c r="V3415" s="1">
        <f t="shared" si="5809"/>
        <v>226</v>
      </c>
    </row>
    <row r="3416" spans="1:22" x14ac:dyDescent="0.3">
      <c r="A3416" s="1">
        <f t="shared" si="5850"/>
        <v>78227</v>
      </c>
      <c r="B3416" s="9"/>
      <c r="C3416" s="9"/>
      <c r="D3416" s="9"/>
      <c r="E3416" s="9"/>
      <c r="F3416" s="9"/>
      <c r="G3416" s="9"/>
      <c r="H3416" s="9"/>
      <c r="J3416" s="24" t="str">
        <f t="shared" ref="J3416" si="5911">CONCATENATE(K3413,3)</f>
        <v>73</v>
      </c>
      <c r="K3416" s="6" t="e">
        <v>#VALUE!</v>
      </c>
      <c r="L3416" s="6" t="e">
        <v>#VALUE!</v>
      </c>
      <c r="M3416" s="6" t="e">
        <v>#VALUE!</v>
      </c>
      <c r="N3416" s="6" t="e">
        <v>#VALUE!</v>
      </c>
      <c r="O3416" s="6" t="e">
        <v>#VALUE!</v>
      </c>
      <c r="P3416" s="6" t="e">
        <v>#VALUE!</v>
      </c>
      <c r="T3416" s="9"/>
      <c r="U3416" s="1">
        <f t="shared" si="5808"/>
        <v>78</v>
      </c>
      <c r="V3416" s="1">
        <f t="shared" si="5809"/>
        <v>227</v>
      </c>
    </row>
    <row r="3417" spans="1:22" x14ac:dyDescent="0.3">
      <c r="A3417" s="1">
        <f t="shared" si="5850"/>
        <v>78228</v>
      </c>
      <c r="B3417" s="87" t="s">
        <v>33</v>
      </c>
      <c r="C3417" s="88"/>
      <c r="D3417" s="88"/>
      <c r="E3417" s="88"/>
      <c r="F3417" s="88"/>
      <c r="G3417" s="88"/>
      <c r="H3417" s="89"/>
      <c r="K3417" s="1">
        <v>8</v>
      </c>
      <c r="L3417" s="1">
        <v>8</v>
      </c>
      <c r="M3417" s="1">
        <v>8</v>
      </c>
      <c r="N3417" s="1">
        <v>8</v>
      </c>
      <c r="O3417" s="1">
        <v>8</v>
      </c>
      <c r="P3417" s="1">
        <v>8</v>
      </c>
      <c r="Q3417" s="1">
        <v>8</v>
      </c>
      <c r="T3417" s="9"/>
      <c r="U3417" s="1">
        <f t="shared" si="5808"/>
        <v>78</v>
      </c>
      <c r="V3417" s="1">
        <f t="shared" si="5809"/>
        <v>228</v>
      </c>
    </row>
    <row r="3418" spans="1:22" x14ac:dyDescent="0.3">
      <c r="A3418" s="1">
        <f t="shared" si="5850"/>
        <v>78229</v>
      </c>
      <c r="B3418" s="90"/>
      <c r="C3418" s="91"/>
      <c r="D3418" s="91"/>
      <c r="E3418" s="91"/>
      <c r="F3418" s="91"/>
      <c r="G3418" s="91"/>
      <c r="H3418" s="92"/>
      <c r="J3418" s="24" t="str">
        <f t="shared" ref="J3418" si="5912">CONCATENATE(K3417,1)</f>
        <v>81</v>
      </c>
      <c r="K3418" s="6" t="e">
        <f t="array" ref="K3418:Q3420">LINEST(B3406:B3413,C3406:C3413^{1,2,3,4,5,6},TRUE,TRUE)</f>
        <v>#VALUE!</v>
      </c>
      <c r="L3418" s="6" t="e">
        <v>#VALUE!</v>
      </c>
      <c r="M3418" s="6" t="e">
        <v>#VALUE!</v>
      </c>
      <c r="N3418" s="6" t="e">
        <v>#VALUE!</v>
      </c>
      <c r="O3418" s="6" t="e">
        <v>#VALUE!</v>
      </c>
      <c r="P3418" s="6" t="e">
        <v>#VALUE!</v>
      </c>
      <c r="Q3418" s="6" t="e">
        <v>#VALUE!</v>
      </c>
      <c r="T3418" s="9"/>
      <c r="U3418" s="1">
        <f t="shared" si="5808"/>
        <v>78</v>
      </c>
      <c r="V3418" s="1">
        <f t="shared" si="5809"/>
        <v>229</v>
      </c>
    </row>
    <row r="3419" spans="1:22" x14ac:dyDescent="0.3">
      <c r="A3419" s="1">
        <f t="shared" si="5850"/>
        <v>78230</v>
      </c>
      <c r="B3419" s="93"/>
      <c r="C3419" s="94"/>
      <c r="D3419" s="94"/>
      <c r="E3419" s="94"/>
      <c r="F3419" s="94"/>
      <c r="G3419" s="94"/>
      <c r="H3419" s="95"/>
      <c r="J3419" s="24" t="str">
        <f t="shared" ref="J3419" si="5913">CONCATENATE(K3417,2)</f>
        <v>82</v>
      </c>
      <c r="K3419" s="6" t="e">
        <v>#VALUE!</v>
      </c>
      <c r="L3419" s="6" t="e">
        <v>#VALUE!</v>
      </c>
      <c r="M3419" s="6" t="e">
        <v>#VALUE!</v>
      </c>
      <c r="N3419" s="6" t="e">
        <v>#VALUE!</v>
      </c>
      <c r="O3419" s="6" t="e">
        <v>#VALUE!</v>
      </c>
      <c r="P3419" s="6" t="e">
        <v>#VALUE!</v>
      </c>
      <c r="Q3419" s="6" t="e">
        <v>#VALUE!</v>
      </c>
      <c r="T3419" s="9"/>
      <c r="U3419" s="1">
        <f t="shared" ref="U3419:U3482" si="5914">U3418</f>
        <v>78</v>
      </c>
      <c r="V3419" s="1">
        <f t="shared" ref="V3419:V3482" si="5915">V3418+1</f>
        <v>230</v>
      </c>
    </row>
    <row r="3420" spans="1:22" x14ac:dyDescent="0.3">
      <c r="A3420" s="1">
        <f t="shared" si="5850"/>
        <v>78231</v>
      </c>
      <c r="J3420" s="24" t="str">
        <f t="shared" ref="J3420" si="5916">CONCATENATE(K3417,3)</f>
        <v>83</v>
      </c>
      <c r="K3420" s="6" t="e">
        <v>#VALUE!</v>
      </c>
      <c r="L3420" s="6" t="e">
        <v>#VALUE!</v>
      </c>
      <c r="M3420" s="6" t="e">
        <v>#VALUE!</v>
      </c>
      <c r="N3420" s="6" t="e">
        <v>#VALUE!</v>
      </c>
      <c r="O3420" s="6" t="e">
        <v>#VALUE!</v>
      </c>
      <c r="P3420" s="6" t="e">
        <v>#VALUE!</v>
      </c>
      <c r="Q3420" s="6" t="e">
        <v>#VALUE!</v>
      </c>
      <c r="T3420" s="9"/>
      <c r="U3420" s="1">
        <f t="shared" si="5914"/>
        <v>78</v>
      </c>
      <c r="V3420" s="1">
        <f t="shared" si="5915"/>
        <v>231</v>
      </c>
    </row>
    <row r="3421" spans="1:22" ht="15" customHeight="1" x14ac:dyDescent="0.3">
      <c r="A3421" s="1">
        <f t="shared" si="5850"/>
        <v>78232</v>
      </c>
      <c r="B3421" s="10" t="s">
        <v>34</v>
      </c>
      <c r="C3421" s="10" t="s">
        <v>35</v>
      </c>
      <c r="D3421" s="10" t="s">
        <v>36</v>
      </c>
      <c r="E3421" s="74" t="s">
        <v>37</v>
      </c>
      <c r="F3421" s="75"/>
      <c r="G3421" s="76"/>
      <c r="K3421" s="1">
        <v>9</v>
      </c>
      <c r="L3421" s="1">
        <v>9</v>
      </c>
      <c r="M3421" s="1">
        <v>9</v>
      </c>
      <c r="N3421" s="1">
        <v>9</v>
      </c>
      <c r="O3421" s="1">
        <v>9</v>
      </c>
      <c r="P3421" s="1">
        <v>9</v>
      </c>
      <c r="Q3421" s="1">
        <v>9</v>
      </c>
      <c r="R3421" s="1">
        <v>9</v>
      </c>
      <c r="T3421" s="9"/>
      <c r="U3421" s="1">
        <f t="shared" si="5914"/>
        <v>78</v>
      </c>
      <c r="V3421" s="1">
        <f t="shared" si="5915"/>
        <v>232</v>
      </c>
    </row>
    <row r="3422" spans="1:22" x14ac:dyDescent="0.3">
      <c r="A3422" s="1">
        <f t="shared" si="5850"/>
        <v>78233</v>
      </c>
      <c r="B3422" s="12">
        <f t="shared" ref="B3422:B3431" si="5917">C3406-B3406</f>
        <v>3</v>
      </c>
      <c r="C3422" s="13">
        <f t="shared" ref="C3422:C3431" si="5918">H3406-G3406</f>
        <v>0</v>
      </c>
      <c r="D3422" s="10">
        <f t="shared" ref="D3422:D3431" si="5919">C3422-B3422</f>
        <v>-3</v>
      </c>
      <c r="E3422" s="11">
        <f t="shared" ref="E3422" si="5920">IF(D3397="","",MAX(F3422,G3422))</f>
        <v>3</v>
      </c>
      <c r="F3422" s="10">
        <f t="shared" ref="F3422" si="5921">ABS(MIN(D3422:D3431))</f>
        <v>3</v>
      </c>
      <c r="G3422" s="10">
        <f t="shared" ref="G3422" si="5922">ABS(MAX(D3422:D3431))</f>
        <v>0</v>
      </c>
      <c r="J3422" s="24" t="str">
        <f t="shared" ref="J3422" si="5923">CONCATENATE(K3421,1)</f>
        <v>91</v>
      </c>
      <c r="K3422" s="6" t="e">
        <f t="array" ref="K3422:R3424">LINEST(B3406:B3414,C3406:C3414^{1,2,3,4,5,6,7},TRUE,TRUE)</f>
        <v>#VALUE!</v>
      </c>
      <c r="L3422" s="6" t="e">
        <v>#VALUE!</v>
      </c>
      <c r="M3422" s="6" t="e">
        <v>#VALUE!</v>
      </c>
      <c r="N3422" s="6" t="e">
        <v>#VALUE!</v>
      </c>
      <c r="O3422" s="6" t="e">
        <v>#VALUE!</v>
      </c>
      <c r="P3422" s="6" t="e">
        <v>#VALUE!</v>
      </c>
      <c r="Q3422" s="6" t="e">
        <v>#VALUE!</v>
      </c>
      <c r="R3422" s="6" t="e">
        <v>#VALUE!</v>
      </c>
      <c r="T3422" s="9"/>
      <c r="U3422" s="1">
        <f t="shared" si="5914"/>
        <v>78</v>
      </c>
      <c r="V3422" s="1">
        <f t="shared" si="5915"/>
        <v>233</v>
      </c>
    </row>
    <row r="3423" spans="1:22" x14ac:dyDescent="0.3">
      <c r="A3423" s="1">
        <f t="shared" si="5850"/>
        <v>78234</v>
      </c>
      <c r="B3423" s="12">
        <f t="shared" si="5917"/>
        <v>0</v>
      </c>
      <c r="C3423" s="13">
        <f t="shared" si="5918"/>
        <v>0</v>
      </c>
      <c r="D3423" s="10">
        <f t="shared" si="5919"/>
        <v>0</v>
      </c>
      <c r="E3423" s="74" t="s">
        <v>38</v>
      </c>
      <c r="F3423" s="75"/>
      <c r="G3423" s="76"/>
      <c r="J3423" s="24" t="str">
        <f t="shared" ref="J3423" si="5924">CONCATENATE(K3421,2)</f>
        <v>92</v>
      </c>
      <c r="K3423" s="6" t="e">
        <v>#VALUE!</v>
      </c>
      <c r="L3423" s="6" t="e">
        <v>#VALUE!</v>
      </c>
      <c r="M3423" s="6" t="e">
        <v>#VALUE!</v>
      </c>
      <c r="N3423" s="6" t="e">
        <v>#VALUE!</v>
      </c>
      <c r="O3423" s="6" t="e">
        <v>#VALUE!</v>
      </c>
      <c r="P3423" s="6" t="e">
        <v>#VALUE!</v>
      </c>
      <c r="Q3423" s="6" t="e">
        <v>#VALUE!</v>
      </c>
      <c r="R3423" s="6" t="e">
        <v>#VALUE!</v>
      </c>
      <c r="T3423" s="9"/>
      <c r="U3423" s="1">
        <f t="shared" si="5914"/>
        <v>78</v>
      </c>
      <c r="V3423" s="1">
        <f t="shared" si="5915"/>
        <v>234</v>
      </c>
    </row>
    <row r="3424" spans="1:22" x14ac:dyDescent="0.3">
      <c r="A3424" s="1">
        <f t="shared" si="5850"/>
        <v>78235</v>
      </c>
      <c r="B3424" s="12">
        <f t="shared" si="5917"/>
        <v>0</v>
      </c>
      <c r="C3424" s="13">
        <f t="shared" si="5918"/>
        <v>0</v>
      </c>
      <c r="D3424" s="10">
        <f t="shared" si="5919"/>
        <v>0</v>
      </c>
      <c r="E3424" s="11">
        <f t="shared" ref="E3424" si="5925">IF(D3397="","",MAX(F3424,G3424))</f>
        <v>3</v>
      </c>
      <c r="F3424" s="10">
        <f t="shared" ref="F3424" si="5926">ABS(MIN(B3422:B3431))</f>
        <v>0</v>
      </c>
      <c r="G3424" s="10">
        <f t="shared" ref="G3424" si="5927">ABS(MAX(B3422:B3431))</f>
        <v>3</v>
      </c>
      <c r="J3424" s="24" t="str">
        <f t="shared" ref="J3424" si="5928">CONCATENATE(K3421,3)</f>
        <v>93</v>
      </c>
      <c r="K3424" s="6" t="e">
        <v>#VALUE!</v>
      </c>
      <c r="L3424" s="6" t="e">
        <v>#VALUE!</v>
      </c>
      <c r="M3424" s="6" t="e">
        <v>#VALUE!</v>
      </c>
      <c r="N3424" s="6" t="e">
        <v>#VALUE!</v>
      </c>
      <c r="O3424" s="6" t="e">
        <v>#VALUE!</v>
      </c>
      <c r="P3424" s="6" t="e">
        <v>#VALUE!</v>
      </c>
      <c r="Q3424" s="6" t="e">
        <v>#VALUE!</v>
      </c>
      <c r="R3424" s="6" t="e">
        <v>#VALUE!</v>
      </c>
      <c r="T3424" s="9"/>
      <c r="U3424" s="1">
        <f t="shared" si="5914"/>
        <v>78</v>
      </c>
      <c r="V3424" s="1">
        <f t="shared" si="5915"/>
        <v>235</v>
      </c>
    </row>
    <row r="3425" spans="1:22" x14ac:dyDescent="0.3">
      <c r="A3425" s="1">
        <f t="shared" si="5850"/>
        <v>78236</v>
      </c>
      <c r="B3425" s="12">
        <f t="shared" si="5917"/>
        <v>1</v>
      </c>
      <c r="C3425" s="13">
        <f t="shared" si="5918"/>
        <v>0</v>
      </c>
      <c r="D3425" s="10">
        <f t="shared" si="5919"/>
        <v>-1</v>
      </c>
      <c r="E3425" s="74" t="s">
        <v>39</v>
      </c>
      <c r="F3425" s="75"/>
      <c r="G3425" s="76"/>
      <c r="K3425" s="1">
        <v>10</v>
      </c>
      <c r="L3425" s="1">
        <v>10</v>
      </c>
      <c r="M3425" s="1">
        <v>10</v>
      </c>
      <c r="N3425" s="1">
        <v>10</v>
      </c>
      <c r="O3425" s="1">
        <v>10</v>
      </c>
      <c r="P3425" s="1">
        <v>10</v>
      </c>
      <c r="Q3425" s="1">
        <v>10</v>
      </c>
      <c r="R3425" s="1">
        <v>10</v>
      </c>
      <c r="S3425" s="1">
        <v>10</v>
      </c>
      <c r="T3425" s="9"/>
      <c r="U3425" s="1">
        <f t="shared" si="5914"/>
        <v>78</v>
      </c>
      <c r="V3425" s="1">
        <f t="shared" si="5915"/>
        <v>236</v>
      </c>
    </row>
    <row r="3426" spans="1:22" x14ac:dyDescent="0.3">
      <c r="A3426" s="1">
        <f t="shared" si="5850"/>
        <v>78237</v>
      </c>
      <c r="B3426" s="12">
        <f t="shared" si="5917"/>
        <v>0</v>
      </c>
      <c r="C3426" s="13">
        <f t="shared" si="5918"/>
        <v>0</v>
      </c>
      <c r="D3426" s="10">
        <f t="shared" si="5919"/>
        <v>0</v>
      </c>
      <c r="E3426" s="11">
        <f t="shared" ref="E3426" si="5929">IF(D3397="","",MAX(F3426,G3426))</f>
        <v>2</v>
      </c>
      <c r="F3426" s="10">
        <f t="shared" ref="F3426" si="5930">ABS(MIN(D3406:D3415))</f>
        <v>2</v>
      </c>
      <c r="G3426" s="10">
        <f t="shared" ref="G3426" si="5931">ABS(MAX(D3406:D3415))</f>
        <v>2</v>
      </c>
      <c r="J3426" s="24" t="str">
        <f t="shared" ref="J3426" si="5932">CONCATENATE(K3425,1)</f>
        <v>101</v>
      </c>
      <c r="K3426" s="6" t="e">
        <f t="array" ref="K3426:S3428">LINEST(B3406:B3415,C3406:C3415^{1,2,3,4,5,6,7,8},TRUE,TRUE)</f>
        <v>#VALUE!</v>
      </c>
      <c r="L3426" s="6" t="e">
        <v>#VALUE!</v>
      </c>
      <c r="M3426" s="6" t="e">
        <v>#VALUE!</v>
      </c>
      <c r="N3426" s="6" t="e">
        <v>#VALUE!</v>
      </c>
      <c r="O3426" s="6" t="e">
        <v>#VALUE!</v>
      </c>
      <c r="P3426" s="6" t="e">
        <v>#VALUE!</v>
      </c>
      <c r="Q3426" s="6" t="e">
        <v>#VALUE!</v>
      </c>
      <c r="R3426" s="6" t="e">
        <v>#VALUE!</v>
      </c>
      <c r="S3426" s="6" t="e">
        <v>#VALUE!</v>
      </c>
      <c r="T3426" s="9"/>
      <c r="U3426" s="1">
        <f t="shared" si="5914"/>
        <v>78</v>
      </c>
      <c r="V3426" s="1">
        <f t="shared" si="5915"/>
        <v>237</v>
      </c>
    </row>
    <row r="3427" spans="1:22" x14ac:dyDescent="0.3">
      <c r="A3427" s="1">
        <f t="shared" si="5850"/>
        <v>78238</v>
      </c>
      <c r="B3427" s="12">
        <f t="shared" si="5917"/>
        <v>0</v>
      </c>
      <c r="C3427" s="13">
        <f t="shared" si="5918"/>
        <v>0</v>
      </c>
      <c r="D3427" s="10">
        <f t="shared" si="5919"/>
        <v>0</v>
      </c>
      <c r="J3427" s="24" t="str">
        <f t="shared" ref="J3427" si="5933">CONCATENATE(K3425,2)</f>
        <v>102</v>
      </c>
      <c r="K3427" s="6" t="e">
        <v>#VALUE!</v>
      </c>
      <c r="L3427" s="6" t="e">
        <v>#VALUE!</v>
      </c>
      <c r="M3427" s="6" t="e">
        <v>#VALUE!</v>
      </c>
      <c r="N3427" s="6" t="e">
        <v>#VALUE!</v>
      </c>
      <c r="O3427" s="6" t="e">
        <v>#VALUE!</v>
      </c>
      <c r="P3427" s="6" t="e">
        <v>#VALUE!</v>
      </c>
      <c r="Q3427" s="6" t="e">
        <v>#VALUE!</v>
      </c>
      <c r="R3427" s="6" t="e">
        <v>#VALUE!</v>
      </c>
      <c r="S3427" s="6" t="e">
        <v>#VALUE!</v>
      </c>
      <c r="T3427" s="9"/>
      <c r="U3427" s="1">
        <f t="shared" si="5914"/>
        <v>78</v>
      </c>
      <c r="V3427" s="1">
        <f t="shared" si="5915"/>
        <v>238</v>
      </c>
    </row>
    <row r="3428" spans="1:22" x14ac:dyDescent="0.3">
      <c r="A3428" s="1">
        <f t="shared" si="5850"/>
        <v>78239</v>
      </c>
      <c r="B3428" s="12">
        <f t="shared" si="5917"/>
        <v>0</v>
      </c>
      <c r="C3428" s="13">
        <f t="shared" si="5918"/>
        <v>0</v>
      </c>
      <c r="D3428" s="10">
        <f t="shared" si="5919"/>
        <v>0</v>
      </c>
      <c r="J3428" s="24" t="str">
        <f t="shared" ref="J3428" si="5934">CONCATENATE(K3425,3)</f>
        <v>103</v>
      </c>
      <c r="K3428" s="6" t="e">
        <v>#VALUE!</v>
      </c>
      <c r="L3428" s="6" t="e">
        <v>#VALUE!</v>
      </c>
      <c r="M3428" s="6" t="e">
        <v>#VALUE!</v>
      </c>
      <c r="N3428" s="6" t="e">
        <v>#VALUE!</v>
      </c>
      <c r="O3428" s="6" t="e">
        <v>#VALUE!</v>
      </c>
      <c r="P3428" s="6" t="e">
        <v>#VALUE!</v>
      </c>
      <c r="Q3428" s="6" t="e">
        <v>#VALUE!</v>
      </c>
      <c r="R3428" s="6" t="e">
        <v>#VALUE!</v>
      </c>
      <c r="S3428" s="6" t="e">
        <v>#VALUE!</v>
      </c>
      <c r="T3428" s="9"/>
      <c r="U3428" s="1">
        <f t="shared" si="5914"/>
        <v>78</v>
      </c>
      <c r="V3428" s="1">
        <f t="shared" si="5915"/>
        <v>239</v>
      </c>
    </row>
    <row r="3429" spans="1:22" x14ac:dyDescent="0.3">
      <c r="A3429" s="1">
        <f t="shared" si="5850"/>
        <v>78240</v>
      </c>
      <c r="B3429" s="12">
        <f t="shared" si="5917"/>
        <v>0</v>
      </c>
      <c r="C3429" s="13">
        <f t="shared" si="5918"/>
        <v>0</v>
      </c>
      <c r="D3429" s="10">
        <f t="shared" si="5919"/>
        <v>0</v>
      </c>
      <c r="J3429" s="9"/>
      <c r="K3429" s="9"/>
      <c r="L3429" s="9"/>
      <c r="M3429" s="9"/>
      <c r="N3429" s="9"/>
      <c r="O3429" s="9"/>
      <c r="P3429" s="9"/>
      <c r="Q3429" s="9"/>
      <c r="R3429" s="9"/>
      <c r="S3429" s="9"/>
      <c r="T3429" s="9"/>
      <c r="U3429" s="1">
        <f t="shared" si="5914"/>
        <v>78</v>
      </c>
      <c r="V3429" s="1">
        <f t="shared" si="5915"/>
        <v>240</v>
      </c>
    </row>
    <row r="3430" spans="1:22" x14ac:dyDescent="0.3">
      <c r="A3430" s="1">
        <f t="shared" si="5850"/>
        <v>78241</v>
      </c>
      <c r="B3430" s="12">
        <f t="shared" si="5917"/>
        <v>0</v>
      </c>
      <c r="C3430" s="13">
        <f t="shared" si="5918"/>
        <v>0</v>
      </c>
      <c r="D3430" s="10">
        <f t="shared" si="5919"/>
        <v>0</v>
      </c>
      <c r="J3430" s="9"/>
      <c r="K3430" s="9"/>
      <c r="L3430" s="9"/>
      <c r="M3430" s="9"/>
      <c r="N3430" s="9"/>
      <c r="O3430" s="9"/>
      <c r="P3430" s="9"/>
      <c r="Q3430" s="9"/>
      <c r="R3430" s="9"/>
      <c r="S3430" s="9"/>
      <c r="T3430" s="9"/>
      <c r="U3430" s="1">
        <f t="shared" si="5914"/>
        <v>78</v>
      </c>
      <c r="V3430" s="1">
        <f t="shared" si="5915"/>
        <v>241</v>
      </c>
    </row>
    <row r="3431" spans="1:22" x14ac:dyDescent="0.3">
      <c r="A3431" s="1">
        <f t="shared" si="5850"/>
        <v>78242</v>
      </c>
      <c r="B3431" s="12">
        <f t="shared" si="5917"/>
        <v>0</v>
      </c>
      <c r="C3431" s="13">
        <f t="shared" si="5918"/>
        <v>0</v>
      </c>
      <c r="D3431" s="10">
        <f t="shared" si="5919"/>
        <v>0</v>
      </c>
      <c r="J3431" s="9"/>
      <c r="K3431" s="9"/>
      <c r="L3431" s="9"/>
      <c r="M3431" s="9"/>
      <c r="N3431" s="9"/>
      <c r="O3431" s="9"/>
      <c r="P3431" s="9"/>
      <c r="Q3431" s="9"/>
      <c r="R3431" s="9"/>
      <c r="S3431" s="9"/>
      <c r="T3431" s="9"/>
      <c r="U3431" s="1">
        <f t="shared" si="5914"/>
        <v>78</v>
      </c>
      <c r="V3431" s="1">
        <f t="shared" si="5915"/>
        <v>242</v>
      </c>
    </row>
    <row r="3432" spans="1:22" x14ac:dyDescent="0.3">
      <c r="A3432" s="1">
        <f t="shared" si="5850"/>
        <v>78243</v>
      </c>
      <c r="J3432" s="9"/>
      <c r="K3432" s="9"/>
      <c r="L3432" s="9"/>
      <c r="M3432" s="9"/>
      <c r="N3432" s="9"/>
      <c r="O3432" s="9"/>
      <c r="P3432" s="9"/>
      <c r="Q3432" s="9"/>
      <c r="R3432" s="9"/>
      <c r="S3432" s="9"/>
      <c r="T3432" s="9"/>
      <c r="U3432" s="1">
        <f t="shared" si="5914"/>
        <v>78</v>
      </c>
      <c r="V3432" s="1">
        <f t="shared" si="5915"/>
        <v>243</v>
      </c>
    </row>
    <row r="3433" spans="1:22" s="5" customFormat="1" x14ac:dyDescent="0.3"/>
    <row r="3434" spans="1:22" x14ac:dyDescent="0.3">
      <c r="A3434" s="1">
        <f t="shared" ref="A3434:A3476" si="5935">ROUND(CONCATENATE(U3434,V3434),0)</f>
        <v>79201</v>
      </c>
      <c r="B3434" s="96" t="s">
        <v>0</v>
      </c>
      <c r="C3434" s="97"/>
      <c r="D3434" s="110" t="s">
        <v>46</v>
      </c>
      <c r="E3434" s="111"/>
      <c r="F3434" s="111"/>
      <c r="G3434" s="111"/>
      <c r="H3434" s="112"/>
      <c r="J3434" s="9"/>
      <c r="K3434" s="9"/>
      <c r="L3434" s="9"/>
      <c r="M3434" s="9"/>
      <c r="N3434" s="9"/>
      <c r="O3434" s="9"/>
      <c r="P3434" s="9"/>
      <c r="Q3434" s="9"/>
      <c r="R3434" s="9"/>
      <c r="S3434" s="9"/>
      <c r="T3434" s="9"/>
      <c r="U3434" s="1">
        <f t="shared" ref="U3434" si="5936">U3432+1</f>
        <v>79</v>
      </c>
      <c r="V3434" s="1">
        <v>201</v>
      </c>
    </row>
    <row r="3435" spans="1:22" x14ac:dyDescent="0.3">
      <c r="A3435" s="1">
        <f t="shared" si="5935"/>
        <v>79202</v>
      </c>
      <c r="B3435" s="96" t="s">
        <v>1</v>
      </c>
      <c r="C3435" s="97"/>
      <c r="D3435" s="15">
        <v>20</v>
      </c>
      <c r="E3435" s="16" t="s">
        <v>2</v>
      </c>
      <c r="F3435" s="107"/>
      <c r="G3435" s="108"/>
      <c r="H3435" s="109"/>
      <c r="J3435" s="9"/>
      <c r="K3435" s="9"/>
      <c r="L3435" s="9"/>
      <c r="M3435" s="9"/>
      <c r="N3435" s="9"/>
      <c r="O3435" s="9"/>
      <c r="P3435" s="9"/>
      <c r="Q3435" s="9"/>
      <c r="R3435" s="9"/>
      <c r="S3435" s="9"/>
      <c r="T3435" s="9"/>
      <c r="U3435" s="1">
        <f t="shared" ref="U3435" si="5937">U3434</f>
        <v>79</v>
      </c>
      <c r="V3435" s="1">
        <f t="shared" ref="V3435" si="5938">V3434+1</f>
        <v>202</v>
      </c>
    </row>
    <row r="3436" spans="1:22" x14ac:dyDescent="0.3">
      <c r="A3436" s="1">
        <f t="shared" si="5935"/>
        <v>79203</v>
      </c>
      <c r="B3436" s="96" t="s">
        <v>12</v>
      </c>
      <c r="C3436" s="97"/>
      <c r="D3436" s="110" t="s">
        <v>297</v>
      </c>
      <c r="E3436" s="111"/>
      <c r="F3436" s="111"/>
      <c r="G3436" s="111"/>
      <c r="H3436" s="112"/>
      <c r="K3436" s="1" t="s">
        <v>3</v>
      </c>
      <c r="L3436" s="1" t="s">
        <v>4</v>
      </c>
      <c r="M3436" s="1" t="s">
        <v>5</v>
      </c>
      <c r="N3436" s="1" t="s">
        <v>6</v>
      </c>
      <c r="O3436" s="1" t="s">
        <v>7</v>
      </c>
      <c r="P3436" s="1" t="s">
        <v>8</v>
      </c>
      <c r="Q3436" s="1" t="s">
        <v>9</v>
      </c>
      <c r="R3436" s="1" t="s">
        <v>10</v>
      </c>
      <c r="S3436" s="1" t="s">
        <v>11</v>
      </c>
      <c r="T3436" s="9"/>
      <c r="U3436" s="1">
        <f t="shared" si="5914"/>
        <v>79</v>
      </c>
      <c r="V3436" s="1">
        <f t="shared" si="5915"/>
        <v>203</v>
      </c>
    </row>
    <row r="3437" spans="1:22" x14ac:dyDescent="0.3">
      <c r="A3437" s="1">
        <f t="shared" si="5935"/>
        <v>79204</v>
      </c>
      <c r="B3437" s="96" t="s">
        <v>13</v>
      </c>
      <c r="C3437" s="97"/>
      <c r="D3437" s="110" t="s">
        <v>65</v>
      </c>
      <c r="E3437" s="111"/>
      <c r="F3437" s="111"/>
      <c r="G3437" s="111"/>
      <c r="H3437" s="112"/>
      <c r="J3437" s="1">
        <f t="shared" ref="J3437" si="5939">COUNTA(B3450:B3459)</f>
        <v>4</v>
      </c>
      <c r="K3437" s="1">
        <f t="shared" ref="K3437" si="5940">IF(L3437-1&lt;2,0,L3437-1)</f>
        <v>0</v>
      </c>
      <c r="L3437" s="1">
        <f t="shared" ref="L3437" si="5941">IF(M3437-1&lt;2,0,M3437-1)</f>
        <v>0</v>
      </c>
      <c r="M3437" s="1">
        <f t="shared" ref="M3437" si="5942">IF(N3437-1&lt;2,0,N3437-1)</f>
        <v>0</v>
      </c>
      <c r="N3437" s="1">
        <f t="shared" ref="N3437" si="5943">IF(O3437-1&lt;2,0,O3437-1)</f>
        <v>0</v>
      </c>
      <c r="O3437" s="1">
        <f t="shared" ref="O3437" si="5944">IF(P3437-1&lt;2,0,P3437-1)</f>
        <v>0</v>
      </c>
      <c r="P3437" s="1">
        <f t="shared" ref="P3437" si="5945">IF(Q3437-1&lt;2,0,Q3437-1)</f>
        <v>0</v>
      </c>
      <c r="Q3437" s="1">
        <f t="shared" ref="Q3437" si="5946">IF(R3437-1&lt;2,0,R3437-1)</f>
        <v>2</v>
      </c>
      <c r="R3437" s="1">
        <f t="shared" ref="R3437" si="5947">IF(S3437-1&lt;2,0,S3437-1)</f>
        <v>3</v>
      </c>
      <c r="S3437" s="1">
        <f t="shared" ref="S3437" si="5948">J3437</f>
        <v>4</v>
      </c>
      <c r="T3437" s="9"/>
      <c r="U3437" s="1">
        <f t="shared" si="5914"/>
        <v>79</v>
      </c>
      <c r="V3437" s="1">
        <f t="shared" si="5915"/>
        <v>204</v>
      </c>
    </row>
    <row r="3438" spans="1:22" x14ac:dyDescent="0.3">
      <c r="A3438" s="1">
        <f t="shared" si="5935"/>
        <v>79205</v>
      </c>
      <c r="B3438" s="96" t="s">
        <v>14</v>
      </c>
      <c r="C3438" s="97"/>
      <c r="D3438" s="110" t="s">
        <v>66</v>
      </c>
      <c r="E3438" s="111"/>
      <c r="F3438" s="111"/>
      <c r="G3438" s="111"/>
      <c r="H3438" s="112"/>
      <c r="J3438" s="24" t="str">
        <f t="shared" ref="J3438" si="5949">CONCATENATE(J3437,1)</f>
        <v>41</v>
      </c>
      <c r="K3438" s="25">
        <f t="shared" ref="K3438" si="5950">IF(K3437=0,0,VLOOKUP(J3438,J3442:S3472,K3437,FALSE))</f>
        <v>0</v>
      </c>
      <c r="L3438" s="25">
        <f t="shared" ref="L3438" si="5951">IF(L3437=0,0,VLOOKUP(J3438,J3442:S3472,L3437,FALSE))</f>
        <v>0</v>
      </c>
      <c r="M3438" s="25">
        <f t="shared" ref="M3438" si="5952">IF(M3437=0,0,VLOOKUP(J3438,J3442:S3472,M3437,FALSE))</f>
        <v>0</v>
      </c>
      <c r="N3438" s="25">
        <f t="shared" ref="N3438" si="5953">IF(N3437=0,0,VLOOKUP(J3438,J3442:S3472,N3437,FALSE))</f>
        <v>0</v>
      </c>
      <c r="O3438" s="25">
        <f t="shared" ref="O3438" si="5954">IF(O3437=0,0,VLOOKUP(J3438,J3442:S3472,O3437,FALSE))</f>
        <v>0</v>
      </c>
      <c r="P3438" s="25">
        <f t="shared" ref="P3438" si="5955">IF(P3437=0,0,VLOOKUP(J3438,J3442:S3472,P3437,FALSE))</f>
        <v>0</v>
      </c>
      <c r="Q3438" s="25">
        <f t="shared" ref="Q3438" si="5956">IF(Q3437=0,0,VLOOKUP(J3438,J3442:S3472,Q3437,FALSE))</f>
        <v>-3.5739557593718902E-3</v>
      </c>
      <c r="R3438" s="25">
        <f t="shared" ref="R3438" si="5957">IF(R3437=0,0,VLOOKUP(J3438,J3442:S3472,R3437,FALSE))</f>
        <v>1.484378246866989</v>
      </c>
      <c r="S3438" s="25">
        <f t="shared" ref="S3438" si="5958">IF(S3437=0,0,VLOOKUP(J3438,J3442:S3472,S3437,FALSE))</f>
        <v>-14.824351718363646</v>
      </c>
      <c r="T3438" s="9"/>
      <c r="U3438" s="1">
        <f t="shared" si="5914"/>
        <v>79</v>
      </c>
      <c r="V3438" s="1">
        <f t="shared" si="5915"/>
        <v>205</v>
      </c>
    </row>
    <row r="3439" spans="1:22" x14ac:dyDescent="0.3">
      <c r="A3439" s="1">
        <f t="shared" si="5935"/>
        <v>79206</v>
      </c>
      <c r="B3439" s="96" t="s">
        <v>15</v>
      </c>
      <c r="C3439" s="97"/>
      <c r="D3439" s="110" t="s">
        <v>298</v>
      </c>
      <c r="E3439" s="111"/>
      <c r="F3439" s="111"/>
      <c r="G3439" s="111"/>
      <c r="H3439" s="112"/>
      <c r="J3439" s="24" t="str">
        <f t="shared" ref="J3439" si="5959">CONCATENATE(J3437,2)</f>
        <v>42</v>
      </c>
      <c r="K3439" s="6">
        <f t="shared" ref="K3439" si="5960">IF(K3437=0,0,VLOOKUP(J3439,J3442:S3472,K3437,FALSE))</f>
        <v>0</v>
      </c>
      <c r="L3439" s="6">
        <f t="shared" ref="L3439" si="5961">IF(L3437=0,0,VLOOKUP(J3439,J3442:S3472,L3437,FALSE))</f>
        <v>0</v>
      </c>
      <c r="M3439" s="6">
        <f t="shared" ref="M3439" si="5962">IF(M3437=0,0,VLOOKUP(J3439,J3442:S3472,M3437,FALSE))</f>
        <v>0</v>
      </c>
      <c r="N3439" s="6">
        <f t="shared" ref="N3439" si="5963">IF(N3437=0,0,VLOOKUP(J3439,J3442:S3472,N3437,FALSE))</f>
        <v>0</v>
      </c>
      <c r="O3439" s="6">
        <f t="shared" ref="O3439" si="5964">IF(O3437=0,0,VLOOKUP(J3439,J3442:S3472,O3437,FALSE))</f>
        <v>0</v>
      </c>
      <c r="P3439" s="6">
        <f t="shared" ref="P3439" si="5965">IF(P3437=0,0,VLOOKUP(J3439,J3442:S3472,P3437,FALSE))</f>
        <v>0</v>
      </c>
      <c r="Q3439" s="6">
        <f t="shared" ref="Q3439" si="5966">IF(Q3437=0,0,VLOOKUP(J3439,J3442:S3472,Q3437,FALSE))</f>
        <v>1.3322821423040344E-3</v>
      </c>
      <c r="R3439" s="6">
        <f t="shared" ref="R3439" si="5967">IF(R3437=0,0,VLOOKUP(J3439,J3442:S3472,R3437,FALSE))</f>
        <v>0.16590407738743587</v>
      </c>
      <c r="S3439" s="6">
        <f t="shared" ref="S3439" si="5968">IF(S3437=0,0,VLOOKUP(J3439,J3442:S3472,S3437,FALSE))</f>
        <v>4.6788822946929072</v>
      </c>
      <c r="T3439" s="9"/>
      <c r="U3439" s="1">
        <f t="shared" si="5914"/>
        <v>79</v>
      </c>
      <c r="V3439" s="1">
        <f t="shared" si="5915"/>
        <v>206</v>
      </c>
    </row>
    <row r="3440" spans="1:22" x14ac:dyDescent="0.3">
      <c r="A3440" s="1">
        <f t="shared" si="5935"/>
        <v>79207</v>
      </c>
      <c r="B3440" s="96" t="s">
        <v>16</v>
      </c>
      <c r="C3440" s="97"/>
      <c r="D3440" s="113">
        <v>45520</v>
      </c>
      <c r="E3440" s="114"/>
      <c r="F3440" s="114"/>
      <c r="G3440" s="114"/>
      <c r="H3440" s="115"/>
      <c r="J3440" s="24" t="str">
        <f t="shared" ref="J3440" si="5969">CONCATENATE(J3437,3)</f>
        <v>43</v>
      </c>
      <c r="K3440" s="6"/>
      <c r="L3440" s="6"/>
      <c r="M3440" s="6"/>
      <c r="N3440" s="6" t="s">
        <v>43</v>
      </c>
      <c r="O3440" s="25">
        <f t="shared" ref="O3440" si="5970">J3437-2</f>
        <v>2</v>
      </c>
      <c r="P3440" s="6" t="s">
        <v>44</v>
      </c>
      <c r="Q3440" s="25">
        <f t="shared" ref="Q3440" si="5971">VLOOKUP(J3440,J3442:S3472,3,FALSE)</f>
        <v>0.94499697032162855</v>
      </c>
      <c r="R3440" s="6" t="s">
        <v>45</v>
      </c>
      <c r="S3440" s="6">
        <f t="shared" ref="S3440" si="5972">VLOOKUP(J3440,J3442:S3472,2,FALSE)</f>
        <v>0.99955349036304142</v>
      </c>
      <c r="T3440" s="9"/>
      <c r="U3440" s="1">
        <f t="shared" si="5914"/>
        <v>79</v>
      </c>
      <c r="V3440" s="1">
        <f t="shared" si="5915"/>
        <v>207</v>
      </c>
    </row>
    <row r="3441" spans="1:22" x14ac:dyDescent="0.3">
      <c r="A3441" s="1">
        <f t="shared" si="5935"/>
        <v>79208</v>
      </c>
      <c r="B3441" s="96" t="s">
        <v>17</v>
      </c>
      <c r="C3441" s="97"/>
      <c r="D3441" s="116">
        <v>45899</v>
      </c>
      <c r="E3441" s="117"/>
      <c r="F3441" s="117"/>
      <c r="G3441" s="117"/>
      <c r="H3441" s="118"/>
      <c r="K3441" s="1">
        <v>3</v>
      </c>
      <c r="L3441" s="1">
        <v>3</v>
      </c>
      <c r="Q3441" s="26"/>
      <c r="R3441" s="26"/>
      <c r="S3441" s="26"/>
      <c r="T3441" s="9"/>
      <c r="U3441" s="1">
        <f t="shared" si="5914"/>
        <v>79</v>
      </c>
      <c r="V3441" s="1">
        <f t="shared" si="5915"/>
        <v>208</v>
      </c>
    </row>
    <row r="3442" spans="1:22" x14ac:dyDescent="0.3">
      <c r="A3442" s="1">
        <f t="shared" si="5935"/>
        <v>79209</v>
      </c>
      <c r="B3442" s="77" t="s">
        <v>19</v>
      </c>
      <c r="C3442" s="78"/>
      <c r="D3442" s="17">
        <v>1</v>
      </c>
      <c r="E3442" s="79" t="s">
        <v>40</v>
      </c>
      <c r="F3442" s="80"/>
      <c r="G3442" s="81"/>
      <c r="H3442" s="18" t="s">
        <v>72</v>
      </c>
      <c r="J3442" s="24" t="str">
        <f t="shared" ref="J3442" si="5973">CONCATENATE(K3441,1)</f>
        <v>31</v>
      </c>
      <c r="K3442" s="6">
        <f t="array" ref="K3442:L3444">LINEST(B3450:B3452,C3450:C3452^{1},TRUE,TRUE)</f>
        <v>1.1065573770491803</v>
      </c>
      <c r="L3442" s="6">
        <v>-5.6967213114754145</v>
      </c>
      <c r="Q3442" s="9"/>
      <c r="R3442" s="9"/>
      <c r="S3442" s="9"/>
      <c r="T3442" s="9"/>
      <c r="U3442" s="1">
        <f t="shared" si="5914"/>
        <v>79</v>
      </c>
      <c r="V3442" s="1">
        <f t="shared" si="5915"/>
        <v>209</v>
      </c>
    </row>
    <row r="3443" spans="1:22" x14ac:dyDescent="0.3">
      <c r="A3443" s="1">
        <f t="shared" si="5935"/>
        <v>79210</v>
      </c>
      <c r="B3443" s="77" t="s">
        <v>41</v>
      </c>
      <c r="C3443" s="78"/>
      <c r="D3443" s="23">
        <f t="shared" ref="D3443" si="5974">MIN(B3450:B3459)</f>
        <v>30</v>
      </c>
      <c r="E3443" s="20" t="s">
        <v>18</v>
      </c>
      <c r="F3443" s="19">
        <f t="shared" ref="F3443" si="5975">MAX(B3450:B3459)</f>
        <v>90</v>
      </c>
      <c r="G3443" s="21" t="str">
        <f t="shared" ref="G3443" si="5976">IF(H3442="","",H3442)</f>
        <v>%ur</v>
      </c>
      <c r="H3443" s="22"/>
      <c r="J3443" s="24" t="str">
        <f t="shared" ref="J3443" si="5977">CONCATENATE(K3441,2)</f>
        <v>32</v>
      </c>
      <c r="K3443" s="6">
        <v>7.0985688834790006E-2</v>
      </c>
      <c r="L3443" s="6">
        <v>3.7227465276617928</v>
      </c>
      <c r="Q3443" s="9"/>
      <c r="R3443" s="9"/>
      <c r="S3443" s="9"/>
      <c r="T3443" s="9"/>
      <c r="U3443" s="1">
        <f t="shared" si="5914"/>
        <v>79</v>
      </c>
      <c r="V3443" s="1">
        <f t="shared" si="5915"/>
        <v>210</v>
      </c>
    </row>
    <row r="3444" spans="1:22" x14ac:dyDescent="0.3">
      <c r="A3444" s="1">
        <f t="shared" si="5935"/>
        <v>79211</v>
      </c>
      <c r="J3444" s="24" t="str">
        <f t="shared" ref="J3444" si="5978">CONCATENATE(K3441,3)</f>
        <v>33</v>
      </c>
      <c r="K3444" s="6">
        <v>0.99590163934426235</v>
      </c>
      <c r="L3444" s="6">
        <v>1.8107149208503692</v>
      </c>
      <c r="Q3444" s="9"/>
      <c r="R3444" s="9"/>
      <c r="S3444" s="9"/>
      <c r="T3444" s="9"/>
      <c r="U3444" s="1">
        <f t="shared" si="5914"/>
        <v>79</v>
      </c>
      <c r="V3444" s="1">
        <f t="shared" si="5915"/>
        <v>211</v>
      </c>
    </row>
    <row r="3445" spans="1:22" x14ac:dyDescent="0.3">
      <c r="A3445" s="1">
        <f t="shared" si="5935"/>
        <v>79212</v>
      </c>
      <c r="B3445" s="82" t="s">
        <v>20</v>
      </c>
      <c r="C3445" s="83"/>
      <c r="D3445" s="83"/>
      <c r="E3445" s="83"/>
      <c r="F3445" s="84"/>
      <c r="G3445" s="85" t="s">
        <v>31</v>
      </c>
      <c r="H3445" s="86"/>
      <c r="K3445" s="1">
        <v>4</v>
      </c>
      <c r="L3445" s="1">
        <v>4</v>
      </c>
      <c r="M3445" s="1">
        <v>4</v>
      </c>
      <c r="Q3445" s="9"/>
      <c r="R3445" s="9"/>
      <c r="S3445" s="9"/>
      <c r="T3445" s="9"/>
      <c r="U3445" s="1">
        <f t="shared" si="5914"/>
        <v>79</v>
      </c>
      <c r="V3445" s="1">
        <f t="shared" si="5915"/>
        <v>212</v>
      </c>
    </row>
    <row r="3446" spans="1:22" x14ac:dyDescent="0.3">
      <c r="A3446" s="1">
        <f t="shared" si="5935"/>
        <v>79213</v>
      </c>
      <c r="B3446" s="82" t="s">
        <v>30</v>
      </c>
      <c r="C3446" s="83"/>
      <c r="D3446" s="84"/>
      <c r="E3446" s="82" t="str">
        <f t="shared" ref="E3446" si="5979">D3439</f>
        <v>E0313/24</v>
      </c>
      <c r="F3446" s="84"/>
      <c r="G3446" s="6" t="s">
        <v>32</v>
      </c>
      <c r="H3446" s="7"/>
      <c r="J3446" s="24" t="str">
        <f t="shared" ref="J3446" si="5980">CONCATENATE(K3445,1)</f>
        <v>41</v>
      </c>
      <c r="K3446" s="6">
        <f t="array" ref="K3446:M3448">LINEST(B3450:B3453,C3450:C3453^{1,2},TRUE,TRUE)</f>
        <v>-3.5739557593718902E-3</v>
      </c>
      <c r="L3446" s="6">
        <v>1.484378246866989</v>
      </c>
      <c r="M3446" s="6">
        <v>-14.824351718363646</v>
      </c>
      <c r="Q3446" s="9"/>
      <c r="R3446" s="9"/>
      <c r="S3446" s="9"/>
      <c r="T3446" s="9"/>
      <c r="U3446" s="1">
        <f t="shared" si="5914"/>
        <v>79</v>
      </c>
      <c r="V3446" s="1">
        <f t="shared" si="5915"/>
        <v>213</v>
      </c>
    </row>
    <row r="3447" spans="1:22" x14ac:dyDescent="0.3">
      <c r="A3447" s="1">
        <f t="shared" si="5935"/>
        <v>79214</v>
      </c>
      <c r="B3447" s="2" t="s">
        <v>21</v>
      </c>
      <c r="C3447" s="2" t="s">
        <v>22</v>
      </c>
      <c r="D3447" s="2" t="s">
        <v>23</v>
      </c>
      <c r="E3447" s="2"/>
      <c r="F3447" s="2" t="s">
        <v>28</v>
      </c>
      <c r="G3447" s="2" t="s">
        <v>21</v>
      </c>
      <c r="H3447" s="2" t="s">
        <v>22</v>
      </c>
      <c r="J3447" s="24" t="str">
        <f t="shared" ref="J3447" si="5981">CONCATENATE(K3445,2)</f>
        <v>42</v>
      </c>
      <c r="K3447" s="6">
        <v>1.3322821423040344E-3</v>
      </c>
      <c r="L3447" s="6">
        <v>0.16590407738743587</v>
      </c>
      <c r="M3447" s="6">
        <v>4.6788822946929072</v>
      </c>
      <c r="Q3447" s="9"/>
      <c r="R3447" s="9"/>
      <c r="S3447" s="9"/>
      <c r="T3447" s="9"/>
      <c r="U3447" s="1">
        <f t="shared" si="5914"/>
        <v>79</v>
      </c>
      <c r="V3447" s="1">
        <f t="shared" si="5915"/>
        <v>214</v>
      </c>
    </row>
    <row r="3448" spans="1:22" x14ac:dyDescent="0.3">
      <c r="A3448" s="1">
        <f t="shared" si="5935"/>
        <v>79215</v>
      </c>
      <c r="B3448" s="2" t="s">
        <v>24</v>
      </c>
      <c r="C3448" s="2" t="s">
        <v>25</v>
      </c>
      <c r="D3448" s="2" t="s">
        <v>26</v>
      </c>
      <c r="E3448" s="2" t="s">
        <v>27</v>
      </c>
      <c r="F3448" s="2" t="s">
        <v>29</v>
      </c>
      <c r="G3448" s="2" t="s">
        <v>24</v>
      </c>
      <c r="H3448" s="2" t="s">
        <v>25</v>
      </c>
      <c r="J3448" s="24" t="str">
        <f t="shared" ref="J3448" si="5982">CONCATENATE(K3445,3)</f>
        <v>43</v>
      </c>
      <c r="K3448" s="6">
        <v>0.99955349036304142</v>
      </c>
      <c r="L3448" s="6">
        <v>0.94499697032162855</v>
      </c>
      <c r="M3448" s="6" t="e">
        <v>#N/A</v>
      </c>
      <c r="Q3448" s="9"/>
      <c r="R3448" s="9"/>
      <c r="S3448" s="9"/>
      <c r="T3448" s="9"/>
      <c r="U3448" s="1">
        <f t="shared" si="5914"/>
        <v>79</v>
      </c>
      <c r="V3448" s="1">
        <f t="shared" si="5915"/>
        <v>215</v>
      </c>
    </row>
    <row r="3449" spans="1:22" x14ac:dyDescent="0.3">
      <c r="A3449" s="1">
        <f t="shared" si="5935"/>
        <v>79216</v>
      </c>
      <c r="B3449" s="3" t="str">
        <f t="shared" ref="B3449" si="5983">H3442</f>
        <v>%ur</v>
      </c>
      <c r="C3449" s="3" t="str">
        <f t="shared" ref="C3449" si="5984">B3449</f>
        <v>%ur</v>
      </c>
      <c r="D3449" s="3" t="str">
        <f t="shared" ref="D3449" si="5985">C3449</f>
        <v>%ur</v>
      </c>
      <c r="E3449" s="3"/>
      <c r="F3449" s="3"/>
      <c r="G3449" s="3" t="str">
        <f t="shared" ref="G3449" si="5986">D3449</f>
        <v>%ur</v>
      </c>
      <c r="H3449" s="3" t="str">
        <f t="shared" ref="H3449" si="5987">G3449</f>
        <v>%ur</v>
      </c>
      <c r="K3449" s="1">
        <v>5</v>
      </c>
      <c r="L3449" s="1">
        <v>5</v>
      </c>
      <c r="M3449" s="1">
        <v>5</v>
      </c>
      <c r="N3449" s="1">
        <v>5</v>
      </c>
      <c r="Q3449" s="9"/>
      <c r="R3449" s="9"/>
      <c r="S3449" s="9"/>
      <c r="T3449" s="9"/>
      <c r="U3449" s="1">
        <f t="shared" si="5914"/>
        <v>79</v>
      </c>
      <c r="V3449" s="1">
        <f t="shared" si="5915"/>
        <v>216</v>
      </c>
    </row>
    <row r="3450" spans="1:22" x14ac:dyDescent="0.3">
      <c r="A3450" s="1">
        <f t="shared" si="5935"/>
        <v>79217</v>
      </c>
      <c r="B3450" s="4">
        <v>30</v>
      </c>
      <c r="C3450" s="4">
        <v>33</v>
      </c>
      <c r="D3450" s="4">
        <v>2</v>
      </c>
      <c r="E3450" s="4">
        <v>2</v>
      </c>
      <c r="F3450" s="14">
        <v>1000000</v>
      </c>
      <c r="G3450" s="8"/>
      <c r="H3450" s="7"/>
      <c r="J3450" s="24" t="str">
        <f t="shared" ref="J3450" si="5988">CONCATENATE(K3449,1)</f>
        <v>51</v>
      </c>
      <c r="K3450" s="6" t="e">
        <f t="array" ref="K3450:N3452">LINEST(B3450:B3454,C3450:C3454^{1,2,3},TRUE,TRUE)</f>
        <v>#VALUE!</v>
      </c>
      <c r="L3450" s="6" t="e">
        <v>#VALUE!</v>
      </c>
      <c r="M3450" s="6" t="e">
        <v>#VALUE!</v>
      </c>
      <c r="N3450" s="6" t="e">
        <v>#VALUE!</v>
      </c>
      <c r="Q3450" s="9"/>
      <c r="R3450" s="9"/>
      <c r="S3450" s="9"/>
      <c r="T3450" s="9"/>
      <c r="U3450" s="1">
        <f t="shared" si="5914"/>
        <v>79</v>
      </c>
      <c r="V3450" s="1">
        <f t="shared" si="5915"/>
        <v>217</v>
      </c>
    </row>
    <row r="3451" spans="1:22" x14ac:dyDescent="0.3">
      <c r="A3451" s="1">
        <f t="shared" si="5935"/>
        <v>79218</v>
      </c>
      <c r="B3451" s="4">
        <v>50</v>
      </c>
      <c r="C3451" s="4">
        <v>49</v>
      </c>
      <c r="D3451" s="4">
        <v>2</v>
      </c>
      <c r="E3451" s="4">
        <v>2</v>
      </c>
      <c r="F3451" s="14">
        <v>1000000</v>
      </c>
      <c r="G3451" s="8"/>
      <c r="H3451" s="7"/>
      <c r="J3451" s="24" t="str">
        <f t="shared" ref="J3451" si="5989">CONCATENATE(K3449,2)</f>
        <v>52</v>
      </c>
      <c r="K3451" s="6" t="e">
        <v>#VALUE!</v>
      </c>
      <c r="L3451" s="6" t="e">
        <v>#VALUE!</v>
      </c>
      <c r="M3451" s="6" t="e">
        <v>#VALUE!</v>
      </c>
      <c r="N3451" s="6" t="e">
        <v>#VALUE!</v>
      </c>
      <c r="T3451" s="9"/>
      <c r="U3451" s="1">
        <f t="shared" si="5914"/>
        <v>79</v>
      </c>
      <c r="V3451" s="1">
        <f t="shared" si="5915"/>
        <v>218</v>
      </c>
    </row>
    <row r="3452" spans="1:22" x14ac:dyDescent="0.3">
      <c r="A3452" s="1">
        <f t="shared" si="5935"/>
        <v>79219</v>
      </c>
      <c r="B3452" s="4">
        <v>70</v>
      </c>
      <c r="C3452" s="4">
        <v>69</v>
      </c>
      <c r="D3452" s="4">
        <v>2</v>
      </c>
      <c r="E3452" s="4">
        <v>2</v>
      </c>
      <c r="F3452" s="14">
        <v>1000000</v>
      </c>
      <c r="G3452" s="8"/>
      <c r="H3452" s="7"/>
      <c r="J3452" s="24" t="str">
        <f t="shared" ref="J3452" si="5990">CONCATENATE(K3449,3)</f>
        <v>53</v>
      </c>
      <c r="K3452" s="6" t="e">
        <v>#VALUE!</v>
      </c>
      <c r="L3452" s="6" t="e">
        <v>#VALUE!</v>
      </c>
      <c r="M3452" s="6" t="e">
        <v>#VALUE!</v>
      </c>
      <c r="N3452" s="6" t="e">
        <v>#VALUE!</v>
      </c>
      <c r="T3452" s="9"/>
      <c r="U3452" s="1">
        <f t="shared" si="5914"/>
        <v>79</v>
      </c>
      <c r="V3452" s="1">
        <f t="shared" si="5915"/>
        <v>219</v>
      </c>
    </row>
    <row r="3453" spans="1:22" x14ac:dyDescent="0.3">
      <c r="A3453" s="1">
        <f t="shared" si="5935"/>
        <v>79220</v>
      </c>
      <c r="B3453" s="4">
        <v>90</v>
      </c>
      <c r="C3453" s="4">
        <v>90</v>
      </c>
      <c r="D3453" s="4">
        <v>2</v>
      </c>
      <c r="E3453" s="4">
        <v>2</v>
      </c>
      <c r="F3453" s="14">
        <v>1000000</v>
      </c>
      <c r="G3453" s="8"/>
      <c r="H3453" s="7"/>
      <c r="K3453" s="1">
        <v>6</v>
      </c>
      <c r="L3453" s="1">
        <v>6</v>
      </c>
      <c r="M3453" s="1">
        <v>6</v>
      </c>
      <c r="N3453" s="1">
        <v>6</v>
      </c>
      <c r="O3453" s="1">
        <v>6</v>
      </c>
      <c r="T3453" s="9"/>
      <c r="U3453" s="1">
        <f t="shared" si="5914"/>
        <v>79</v>
      </c>
      <c r="V3453" s="1">
        <f t="shared" si="5915"/>
        <v>220</v>
      </c>
    </row>
    <row r="3454" spans="1:22" x14ac:dyDescent="0.3">
      <c r="A3454" s="1">
        <f t="shared" si="5935"/>
        <v>79221</v>
      </c>
      <c r="B3454" s="4"/>
      <c r="C3454" s="4"/>
      <c r="D3454" s="4"/>
      <c r="E3454" s="4"/>
      <c r="F3454" s="14"/>
      <c r="G3454" s="8"/>
      <c r="H3454" s="7"/>
      <c r="J3454" s="24" t="str">
        <f t="shared" ref="J3454" si="5991">CONCATENATE(K3453,1)</f>
        <v>61</v>
      </c>
      <c r="K3454" s="6" t="e">
        <f t="array" ref="K3454:O3456">LINEST(B3450:B3455,C3450:C3455^{1,2,3,4},TRUE,TRUE)</f>
        <v>#VALUE!</v>
      </c>
      <c r="L3454" s="6" t="e">
        <v>#VALUE!</v>
      </c>
      <c r="M3454" s="6" t="e">
        <v>#VALUE!</v>
      </c>
      <c r="N3454" s="6" t="e">
        <v>#VALUE!</v>
      </c>
      <c r="O3454" s="6" t="e">
        <v>#VALUE!</v>
      </c>
      <c r="T3454" s="9"/>
      <c r="U3454" s="1">
        <f t="shared" si="5914"/>
        <v>79</v>
      </c>
      <c r="V3454" s="1">
        <f t="shared" si="5915"/>
        <v>221</v>
      </c>
    </row>
    <row r="3455" spans="1:22" x14ac:dyDescent="0.3">
      <c r="A3455" s="1">
        <f t="shared" si="5935"/>
        <v>79222</v>
      </c>
      <c r="B3455" s="4"/>
      <c r="C3455" s="4"/>
      <c r="D3455" s="4"/>
      <c r="E3455" s="4"/>
      <c r="F3455" s="14"/>
      <c r="G3455" s="8"/>
      <c r="H3455" s="7"/>
      <c r="J3455" s="24" t="str">
        <f t="shared" ref="J3455" si="5992">CONCATENATE(K3453,2)</f>
        <v>62</v>
      </c>
      <c r="K3455" s="6" t="e">
        <v>#VALUE!</v>
      </c>
      <c r="L3455" s="6" t="e">
        <v>#VALUE!</v>
      </c>
      <c r="M3455" s="6" t="e">
        <v>#VALUE!</v>
      </c>
      <c r="N3455" s="6" t="e">
        <v>#VALUE!</v>
      </c>
      <c r="O3455" s="6" t="e">
        <v>#VALUE!</v>
      </c>
      <c r="T3455" s="9"/>
      <c r="U3455" s="1">
        <f t="shared" si="5914"/>
        <v>79</v>
      </c>
      <c r="V3455" s="1">
        <f t="shared" si="5915"/>
        <v>222</v>
      </c>
    </row>
    <row r="3456" spans="1:22" x14ac:dyDescent="0.3">
      <c r="A3456" s="1">
        <f t="shared" si="5935"/>
        <v>79223</v>
      </c>
      <c r="B3456" s="4"/>
      <c r="C3456" s="4"/>
      <c r="D3456" s="4"/>
      <c r="E3456" s="4"/>
      <c r="F3456" s="14"/>
      <c r="G3456" s="8"/>
      <c r="H3456" s="7"/>
      <c r="J3456" s="24" t="str">
        <f t="shared" ref="J3456" si="5993">CONCATENATE(K3453,3)</f>
        <v>63</v>
      </c>
      <c r="K3456" s="6" t="e">
        <v>#VALUE!</v>
      </c>
      <c r="L3456" s="6" t="e">
        <v>#VALUE!</v>
      </c>
      <c r="M3456" s="6" t="e">
        <v>#VALUE!</v>
      </c>
      <c r="N3456" s="6" t="e">
        <v>#VALUE!</v>
      </c>
      <c r="O3456" s="6" t="e">
        <v>#VALUE!</v>
      </c>
      <c r="T3456" s="9"/>
      <c r="U3456" s="1">
        <f t="shared" si="5914"/>
        <v>79</v>
      </c>
      <c r="V3456" s="1">
        <f t="shared" si="5915"/>
        <v>223</v>
      </c>
    </row>
    <row r="3457" spans="1:22" x14ac:dyDescent="0.3">
      <c r="A3457" s="1">
        <f t="shared" si="5935"/>
        <v>79224</v>
      </c>
      <c r="B3457" s="4"/>
      <c r="C3457" s="4"/>
      <c r="D3457" s="4"/>
      <c r="E3457" s="4"/>
      <c r="F3457" s="14"/>
      <c r="G3457" s="8"/>
      <c r="H3457" s="7"/>
      <c r="K3457" s="1">
        <v>7</v>
      </c>
      <c r="L3457" s="1">
        <v>7</v>
      </c>
      <c r="M3457" s="1">
        <v>7</v>
      </c>
      <c r="N3457" s="1">
        <v>7</v>
      </c>
      <c r="O3457" s="1">
        <v>7</v>
      </c>
      <c r="P3457" s="1">
        <v>7</v>
      </c>
      <c r="T3457" s="9"/>
      <c r="U3457" s="1">
        <f t="shared" si="5914"/>
        <v>79</v>
      </c>
      <c r="V3457" s="1">
        <f t="shared" si="5915"/>
        <v>224</v>
      </c>
    </row>
    <row r="3458" spans="1:22" x14ac:dyDescent="0.3">
      <c r="A3458" s="1">
        <f t="shared" si="5935"/>
        <v>79225</v>
      </c>
      <c r="B3458" s="4"/>
      <c r="C3458" s="4"/>
      <c r="D3458" s="4"/>
      <c r="E3458" s="4"/>
      <c r="F3458" s="14"/>
      <c r="G3458" s="8"/>
      <c r="H3458" s="7"/>
      <c r="J3458" s="24" t="str">
        <f t="shared" ref="J3458" si="5994">CONCATENATE(K3457,1)</f>
        <v>71</v>
      </c>
      <c r="K3458" s="6" t="e">
        <f t="array" ref="K3458:P3460">LINEST(B3450:B3456,C3450:C3456^{1,2,3,4,5},TRUE,TRUE)</f>
        <v>#VALUE!</v>
      </c>
      <c r="L3458" s="6" t="e">
        <v>#VALUE!</v>
      </c>
      <c r="M3458" s="6" t="e">
        <v>#VALUE!</v>
      </c>
      <c r="N3458" s="6" t="e">
        <v>#VALUE!</v>
      </c>
      <c r="O3458" s="6" t="e">
        <v>#VALUE!</v>
      </c>
      <c r="P3458" s="6" t="e">
        <v>#VALUE!</v>
      </c>
      <c r="T3458" s="9"/>
      <c r="U3458" s="1">
        <f t="shared" si="5914"/>
        <v>79</v>
      </c>
      <c r="V3458" s="1">
        <f t="shared" si="5915"/>
        <v>225</v>
      </c>
    </row>
    <row r="3459" spans="1:22" x14ac:dyDescent="0.3">
      <c r="A3459" s="1">
        <f t="shared" si="5935"/>
        <v>79226</v>
      </c>
      <c r="B3459" s="4"/>
      <c r="C3459" s="4"/>
      <c r="D3459" s="4"/>
      <c r="E3459" s="4"/>
      <c r="F3459" s="14"/>
      <c r="G3459" s="8"/>
      <c r="H3459" s="7"/>
      <c r="J3459" s="24" t="str">
        <f t="shared" ref="J3459" si="5995">CONCATENATE(K3457,2)</f>
        <v>72</v>
      </c>
      <c r="K3459" s="6" t="e">
        <v>#VALUE!</v>
      </c>
      <c r="L3459" s="6" t="e">
        <v>#VALUE!</v>
      </c>
      <c r="M3459" s="6" t="e">
        <v>#VALUE!</v>
      </c>
      <c r="N3459" s="6" t="e">
        <v>#VALUE!</v>
      </c>
      <c r="O3459" s="6" t="e">
        <v>#VALUE!</v>
      </c>
      <c r="P3459" s="6" t="e">
        <v>#VALUE!</v>
      </c>
      <c r="T3459" s="9"/>
      <c r="U3459" s="1">
        <f t="shared" si="5914"/>
        <v>79</v>
      </c>
      <c r="V3459" s="1">
        <f t="shared" si="5915"/>
        <v>226</v>
      </c>
    </row>
    <row r="3460" spans="1:22" x14ac:dyDescent="0.3">
      <c r="A3460" s="1">
        <f t="shared" si="5935"/>
        <v>79227</v>
      </c>
      <c r="B3460" s="9"/>
      <c r="C3460" s="9"/>
      <c r="D3460" s="9"/>
      <c r="E3460" s="9"/>
      <c r="F3460" s="9"/>
      <c r="G3460" s="9"/>
      <c r="H3460" s="9"/>
      <c r="J3460" s="24" t="str">
        <f t="shared" ref="J3460" si="5996">CONCATENATE(K3457,3)</f>
        <v>73</v>
      </c>
      <c r="K3460" s="6" t="e">
        <v>#VALUE!</v>
      </c>
      <c r="L3460" s="6" t="e">
        <v>#VALUE!</v>
      </c>
      <c r="M3460" s="6" t="e">
        <v>#VALUE!</v>
      </c>
      <c r="N3460" s="6" t="e">
        <v>#VALUE!</v>
      </c>
      <c r="O3460" s="6" t="e">
        <v>#VALUE!</v>
      </c>
      <c r="P3460" s="6" t="e">
        <v>#VALUE!</v>
      </c>
      <c r="T3460" s="9"/>
      <c r="U3460" s="1">
        <f t="shared" si="5914"/>
        <v>79</v>
      </c>
      <c r="V3460" s="1">
        <f t="shared" si="5915"/>
        <v>227</v>
      </c>
    </row>
    <row r="3461" spans="1:22" x14ac:dyDescent="0.3">
      <c r="A3461" s="1">
        <f t="shared" si="5935"/>
        <v>79228</v>
      </c>
      <c r="B3461" s="87" t="s">
        <v>33</v>
      </c>
      <c r="C3461" s="88"/>
      <c r="D3461" s="88"/>
      <c r="E3461" s="88"/>
      <c r="F3461" s="88"/>
      <c r="G3461" s="88"/>
      <c r="H3461" s="89"/>
      <c r="K3461" s="1">
        <v>8</v>
      </c>
      <c r="L3461" s="1">
        <v>8</v>
      </c>
      <c r="M3461" s="1">
        <v>8</v>
      </c>
      <c r="N3461" s="1">
        <v>8</v>
      </c>
      <c r="O3461" s="1">
        <v>8</v>
      </c>
      <c r="P3461" s="1">
        <v>8</v>
      </c>
      <c r="Q3461" s="1">
        <v>8</v>
      </c>
      <c r="T3461" s="9"/>
      <c r="U3461" s="1">
        <f t="shared" si="5914"/>
        <v>79</v>
      </c>
      <c r="V3461" s="1">
        <f t="shared" si="5915"/>
        <v>228</v>
      </c>
    </row>
    <row r="3462" spans="1:22" x14ac:dyDescent="0.3">
      <c r="A3462" s="1">
        <f t="shared" si="5935"/>
        <v>79229</v>
      </c>
      <c r="B3462" s="90"/>
      <c r="C3462" s="91"/>
      <c r="D3462" s="91"/>
      <c r="E3462" s="91"/>
      <c r="F3462" s="91"/>
      <c r="G3462" s="91"/>
      <c r="H3462" s="92"/>
      <c r="J3462" s="24" t="str">
        <f t="shared" ref="J3462" si="5997">CONCATENATE(K3461,1)</f>
        <v>81</v>
      </c>
      <c r="K3462" s="6" t="e">
        <f t="array" ref="K3462:Q3464">LINEST(B3450:B3457,C3450:C3457^{1,2,3,4,5,6},TRUE,TRUE)</f>
        <v>#VALUE!</v>
      </c>
      <c r="L3462" s="6" t="e">
        <v>#VALUE!</v>
      </c>
      <c r="M3462" s="6" t="e">
        <v>#VALUE!</v>
      </c>
      <c r="N3462" s="6" t="e">
        <v>#VALUE!</v>
      </c>
      <c r="O3462" s="6" t="e">
        <v>#VALUE!</v>
      </c>
      <c r="P3462" s="6" t="e">
        <v>#VALUE!</v>
      </c>
      <c r="Q3462" s="6" t="e">
        <v>#VALUE!</v>
      </c>
      <c r="T3462" s="9"/>
      <c r="U3462" s="1">
        <f t="shared" si="5914"/>
        <v>79</v>
      </c>
      <c r="V3462" s="1">
        <f t="shared" si="5915"/>
        <v>229</v>
      </c>
    </row>
    <row r="3463" spans="1:22" x14ac:dyDescent="0.3">
      <c r="A3463" s="1">
        <f t="shared" si="5935"/>
        <v>79230</v>
      </c>
      <c r="B3463" s="93"/>
      <c r="C3463" s="94"/>
      <c r="D3463" s="94"/>
      <c r="E3463" s="94"/>
      <c r="F3463" s="94"/>
      <c r="G3463" s="94"/>
      <c r="H3463" s="95"/>
      <c r="J3463" s="24" t="str">
        <f t="shared" ref="J3463" si="5998">CONCATENATE(K3461,2)</f>
        <v>82</v>
      </c>
      <c r="K3463" s="6" t="e">
        <v>#VALUE!</v>
      </c>
      <c r="L3463" s="6" t="e">
        <v>#VALUE!</v>
      </c>
      <c r="M3463" s="6" t="e">
        <v>#VALUE!</v>
      </c>
      <c r="N3463" s="6" t="e">
        <v>#VALUE!</v>
      </c>
      <c r="O3463" s="6" t="e">
        <v>#VALUE!</v>
      </c>
      <c r="P3463" s="6" t="e">
        <v>#VALUE!</v>
      </c>
      <c r="Q3463" s="6" t="e">
        <v>#VALUE!</v>
      </c>
      <c r="T3463" s="9"/>
      <c r="U3463" s="1">
        <f t="shared" si="5914"/>
        <v>79</v>
      </c>
      <c r="V3463" s="1">
        <f t="shared" si="5915"/>
        <v>230</v>
      </c>
    </row>
    <row r="3464" spans="1:22" x14ac:dyDescent="0.3">
      <c r="A3464" s="1">
        <f t="shared" si="5935"/>
        <v>79231</v>
      </c>
      <c r="J3464" s="24" t="str">
        <f t="shared" ref="J3464" si="5999">CONCATENATE(K3461,3)</f>
        <v>83</v>
      </c>
      <c r="K3464" s="6" t="e">
        <v>#VALUE!</v>
      </c>
      <c r="L3464" s="6" t="e">
        <v>#VALUE!</v>
      </c>
      <c r="M3464" s="6" t="e">
        <v>#VALUE!</v>
      </c>
      <c r="N3464" s="6" t="e">
        <v>#VALUE!</v>
      </c>
      <c r="O3464" s="6" t="e">
        <v>#VALUE!</v>
      </c>
      <c r="P3464" s="6" t="e">
        <v>#VALUE!</v>
      </c>
      <c r="Q3464" s="6" t="e">
        <v>#VALUE!</v>
      </c>
      <c r="T3464" s="9"/>
      <c r="U3464" s="1">
        <f t="shared" si="5914"/>
        <v>79</v>
      </c>
      <c r="V3464" s="1">
        <f t="shared" si="5915"/>
        <v>231</v>
      </c>
    </row>
    <row r="3465" spans="1:22" ht="15" customHeight="1" x14ac:dyDescent="0.3">
      <c r="A3465" s="1">
        <f t="shared" si="5935"/>
        <v>79232</v>
      </c>
      <c r="B3465" s="10" t="s">
        <v>34</v>
      </c>
      <c r="C3465" s="10" t="s">
        <v>35</v>
      </c>
      <c r="D3465" s="10" t="s">
        <v>36</v>
      </c>
      <c r="E3465" s="74" t="s">
        <v>37</v>
      </c>
      <c r="F3465" s="75"/>
      <c r="G3465" s="76"/>
      <c r="K3465" s="1">
        <v>9</v>
      </c>
      <c r="L3465" s="1">
        <v>9</v>
      </c>
      <c r="M3465" s="1">
        <v>9</v>
      </c>
      <c r="N3465" s="1">
        <v>9</v>
      </c>
      <c r="O3465" s="1">
        <v>9</v>
      </c>
      <c r="P3465" s="1">
        <v>9</v>
      </c>
      <c r="Q3465" s="1">
        <v>9</v>
      </c>
      <c r="R3465" s="1">
        <v>9</v>
      </c>
      <c r="T3465" s="9"/>
      <c r="U3465" s="1">
        <f t="shared" si="5914"/>
        <v>79</v>
      </c>
      <c r="V3465" s="1">
        <f t="shared" si="5915"/>
        <v>232</v>
      </c>
    </row>
    <row r="3466" spans="1:22" x14ac:dyDescent="0.3">
      <c r="A3466" s="1">
        <f t="shared" si="5935"/>
        <v>79233</v>
      </c>
      <c r="B3466" s="12">
        <f t="shared" ref="B3466:B3475" si="6000">C3450-B3450</f>
        <v>3</v>
      </c>
      <c r="C3466" s="13">
        <f t="shared" ref="C3466:C3475" si="6001">H3450-G3450</f>
        <v>0</v>
      </c>
      <c r="D3466" s="10">
        <f t="shared" ref="D3466:D3475" si="6002">C3466-B3466</f>
        <v>-3</v>
      </c>
      <c r="E3466" s="11">
        <f t="shared" ref="E3466" si="6003">IF(D3441="","",MAX(F3466,G3466))</f>
        <v>3</v>
      </c>
      <c r="F3466" s="10">
        <f t="shared" ref="F3466" si="6004">ABS(MIN(D3466:D3475))</f>
        <v>3</v>
      </c>
      <c r="G3466" s="10">
        <f t="shared" ref="G3466" si="6005">ABS(MAX(D3466:D3475))</f>
        <v>1</v>
      </c>
      <c r="J3466" s="24" t="str">
        <f t="shared" ref="J3466" si="6006">CONCATENATE(K3465,1)</f>
        <v>91</v>
      </c>
      <c r="K3466" s="6" t="e">
        <f t="array" ref="K3466:R3468">LINEST(B3450:B3458,C3450:C3458^{1,2,3,4,5,6,7},TRUE,TRUE)</f>
        <v>#VALUE!</v>
      </c>
      <c r="L3466" s="6" t="e">
        <v>#VALUE!</v>
      </c>
      <c r="M3466" s="6" t="e">
        <v>#VALUE!</v>
      </c>
      <c r="N3466" s="6" t="e">
        <v>#VALUE!</v>
      </c>
      <c r="O3466" s="6" t="e">
        <v>#VALUE!</v>
      </c>
      <c r="P3466" s="6" t="e">
        <v>#VALUE!</v>
      </c>
      <c r="Q3466" s="6" t="e">
        <v>#VALUE!</v>
      </c>
      <c r="R3466" s="6" t="e">
        <v>#VALUE!</v>
      </c>
      <c r="T3466" s="9"/>
      <c r="U3466" s="1">
        <f t="shared" si="5914"/>
        <v>79</v>
      </c>
      <c r="V3466" s="1">
        <f t="shared" si="5915"/>
        <v>233</v>
      </c>
    </row>
    <row r="3467" spans="1:22" x14ac:dyDescent="0.3">
      <c r="A3467" s="1">
        <f t="shared" si="5935"/>
        <v>79234</v>
      </c>
      <c r="B3467" s="12">
        <f t="shared" si="6000"/>
        <v>-1</v>
      </c>
      <c r="C3467" s="13">
        <f t="shared" si="6001"/>
        <v>0</v>
      </c>
      <c r="D3467" s="10">
        <f t="shared" si="6002"/>
        <v>1</v>
      </c>
      <c r="E3467" s="74" t="s">
        <v>38</v>
      </c>
      <c r="F3467" s="75"/>
      <c r="G3467" s="76"/>
      <c r="J3467" s="24" t="str">
        <f t="shared" ref="J3467" si="6007">CONCATENATE(K3465,2)</f>
        <v>92</v>
      </c>
      <c r="K3467" s="6" t="e">
        <v>#VALUE!</v>
      </c>
      <c r="L3467" s="6" t="e">
        <v>#VALUE!</v>
      </c>
      <c r="M3467" s="6" t="e">
        <v>#VALUE!</v>
      </c>
      <c r="N3467" s="6" t="e">
        <v>#VALUE!</v>
      </c>
      <c r="O3467" s="6" t="e">
        <v>#VALUE!</v>
      </c>
      <c r="P3467" s="6" t="e">
        <v>#VALUE!</v>
      </c>
      <c r="Q3467" s="6" t="e">
        <v>#VALUE!</v>
      </c>
      <c r="R3467" s="6" t="e">
        <v>#VALUE!</v>
      </c>
      <c r="T3467" s="9"/>
      <c r="U3467" s="1">
        <f t="shared" si="5914"/>
        <v>79</v>
      </c>
      <c r="V3467" s="1">
        <f t="shared" si="5915"/>
        <v>234</v>
      </c>
    </row>
    <row r="3468" spans="1:22" x14ac:dyDescent="0.3">
      <c r="A3468" s="1">
        <f t="shared" si="5935"/>
        <v>79235</v>
      </c>
      <c r="B3468" s="12">
        <f t="shared" si="6000"/>
        <v>-1</v>
      </c>
      <c r="C3468" s="13">
        <f t="shared" si="6001"/>
        <v>0</v>
      </c>
      <c r="D3468" s="10">
        <f t="shared" si="6002"/>
        <v>1</v>
      </c>
      <c r="E3468" s="11">
        <f t="shared" ref="E3468" si="6008">IF(D3441="","",MAX(F3468,G3468))</f>
        <v>3</v>
      </c>
      <c r="F3468" s="10">
        <f t="shared" ref="F3468" si="6009">ABS(MIN(B3466:B3475))</f>
        <v>1</v>
      </c>
      <c r="G3468" s="10">
        <f t="shared" ref="G3468" si="6010">ABS(MAX(B3466:B3475))</f>
        <v>3</v>
      </c>
      <c r="J3468" s="24" t="str">
        <f t="shared" ref="J3468" si="6011">CONCATENATE(K3465,3)</f>
        <v>93</v>
      </c>
      <c r="K3468" s="6" t="e">
        <v>#VALUE!</v>
      </c>
      <c r="L3468" s="6" t="e">
        <v>#VALUE!</v>
      </c>
      <c r="M3468" s="6" t="e">
        <v>#VALUE!</v>
      </c>
      <c r="N3468" s="6" t="e">
        <v>#VALUE!</v>
      </c>
      <c r="O3468" s="6" t="e">
        <v>#VALUE!</v>
      </c>
      <c r="P3468" s="6" t="e">
        <v>#VALUE!</v>
      </c>
      <c r="Q3468" s="6" t="e">
        <v>#VALUE!</v>
      </c>
      <c r="R3468" s="6" t="e">
        <v>#VALUE!</v>
      </c>
      <c r="T3468" s="9"/>
      <c r="U3468" s="1">
        <f t="shared" si="5914"/>
        <v>79</v>
      </c>
      <c r="V3468" s="1">
        <f t="shared" si="5915"/>
        <v>235</v>
      </c>
    </row>
    <row r="3469" spans="1:22" x14ac:dyDescent="0.3">
      <c r="A3469" s="1">
        <f t="shared" si="5935"/>
        <v>79236</v>
      </c>
      <c r="B3469" s="12">
        <f t="shared" si="6000"/>
        <v>0</v>
      </c>
      <c r="C3469" s="13">
        <f t="shared" si="6001"/>
        <v>0</v>
      </c>
      <c r="D3469" s="10">
        <f t="shared" si="6002"/>
        <v>0</v>
      </c>
      <c r="E3469" s="74" t="s">
        <v>39</v>
      </c>
      <c r="F3469" s="75"/>
      <c r="G3469" s="76"/>
      <c r="K3469" s="1">
        <v>10</v>
      </c>
      <c r="L3469" s="1">
        <v>10</v>
      </c>
      <c r="M3469" s="1">
        <v>10</v>
      </c>
      <c r="N3469" s="1">
        <v>10</v>
      </c>
      <c r="O3469" s="1">
        <v>10</v>
      </c>
      <c r="P3469" s="1">
        <v>10</v>
      </c>
      <c r="Q3469" s="1">
        <v>10</v>
      </c>
      <c r="R3469" s="1">
        <v>10</v>
      </c>
      <c r="S3469" s="1">
        <v>10</v>
      </c>
      <c r="T3469" s="9"/>
      <c r="U3469" s="1">
        <f t="shared" si="5914"/>
        <v>79</v>
      </c>
      <c r="V3469" s="1">
        <f t="shared" si="5915"/>
        <v>236</v>
      </c>
    </row>
    <row r="3470" spans="1:22" x14ac:dyDescent="0.3">
      <c r="A3470" s="1">
        <f t="shared" si="5935"/>
        <v>79237</v>
      </c>
      <c r="B3470" s="12">
        <f t="shared" si="6000"/>
        <v>0</v>
      </c>
      <c r="C3470" s="13">
        <f t="shared" si="6001"/>
        <v>0</v>
      </c>
      <c r="D3470" s="10">
        <f t="shared" si="6002"/>
        <v>0</v>
      </c>
      <c r="E3470" s="11">
        <f t="shared" ref="E3470" si="6012">IF(D3441="","",MAX(F3470,G3470))</f>
        <v>2</v>
      </c>
      <c r="F3470" s="10">
        <f t="shared" ref="F3470" si="6013">ABS(MIN(D3450:D3459))</f>
        <v>2</v>
      </c>
      <c r="G3470" s="10">
        <f t="shared" ref="G3470" si="6014">ABS(MAX(D3450:D3459))</f>
        <v>2</v>
      </c>
      <c r="J3470" s="24" t="str">
        <f t="shared" ref="J3470" si="6015">CONCATENATE(K3469,1)</f>
        <v>101</v>
      </c>
      <c r="K3470" s="6" t="e">
        <f t="array" ref="K3470:S3472">LINEST(B3450:B3459,C3450:C3459^{1,2,3,4,5,6,7,8},TRUE,TRUE)</f>
        <v>#VALUE!</v>
      </c>
      <c r="L3470" s="6" t="e">
        <v>#VALUE!</v>
      </c>
      <c r="M3470" s="6" t="e">
        <v>#VALUE!</v>
      </c>
      <c r="N3470" s="6" t="e">
        <v>#VALUE!</v>
      </c>
      <c r="O3470" s="6" t="e">
        <v>#VALUE!</v>
      </c>
      <c r="P3470" s="6" t="e">
        <v>#VALUE!</v>
      </c>
      <c r="Q3470" s="6" t="e">
        <v>#VALUE!</v>
      </c>
      <c r="R3470" s="6" t="e">
        <v>#VALUE!</v>
      </c>
      <c r="S3470" s="6" t="e">
        <v>#VALUE!</v>
      </c>
      <c r="T3470" s="9"/>
      <c r="U3470" s="1">
        <f t="shared" si="5914"/>
        <v>79</v>
      </c>
      <c r="V3470" s="1">
        <f t="shared" si="5915"/>
        <v>237</v>
      </c>
    </row>
    <row r="3471" spans="1:22" x14ac:dyDescent="0.3">
      <c r="A3471" s="1">
        <f t="shared" si="5935"/>
        <v>79238</v>
      </c>
      <c r="B3471" s="12">
        <f t="shared" si="6000"/>
        <v>0</v>
      </c>
      <c r="C3471" s="13">
        <f t="shared" si="6001"/>
        <v>0</v>
      </c>
      <c r="D3471" s="10">
        <f t="shared" si="6002"/>
        <v>0</v>
      </c>
      <c r="J3471" s="24" t="str">
        <f t="shared" ref="J3471" si="6016">CONCATENATE(K3469,2)</f>
        <v>102</v>
      </c>
      <c r="K3471" s="6" t="e">
        <v>#VALUE!</v>
      </c>
      <c r="L3471" s="6" t="e">
        <v>#VALUE!</v>
      </c>
      <c r="M3471" s="6" t="e">
        <v>#VALUE!</v>
      </c>
      <c r="N3471" s="6" t="e">
        <v>#VALUE!</v>
      </c>
      <c r="O3471" s="6" t="e">
        <v>#VALUE!</v>
      </c>
      <c r="P3471" s="6" t="e">
        <v>#VALUE!</v>
      </c>
      <c r="Q3471" s="6" t="e">
        <v>#VALUE!</v>
      </c>
      <c r="R3471" s="6" t="e">
        <v>#VALUE!</v>
      </c>
      <c r="S3471" s="6" t="e">
        <v>#VALUE!</v>
      </c>
      <c r="T3471" s="9"/>
      <c r="U3471" s="1">
        <f t="shared" si="5914"/>
        <v>79</v>
      </c>
      <c r="V3471" s="1">
        <f t="shared" si="5915"/>
        <v>238</v>
      </c>
    </row>
    <row r="3472" spans="1:22" x14ac:dyDescent="0.3">
      <c r="A3472" s="1">
        <f t="shared" si="5935"/>
        <v>79239</v>
      </c>
      <c r="B3472" s="12">
        <f t="shared" si="6000"/>
        <v>0</v>
      </c>
      <c r="C3472" s="13">
        <f t="shared" si="6001"/>
        <v>0</v>
      </c>
      <c r="D3472" s="10">
        <f t="shared" si="6002"/>
        <v>0</v>
      </c>
      <c r="J3472" s="24" t="str">
        <f t="shared" ref="J3472" si="6017">CONCATENATE(K3469,3)</f>
        <v>103</v>
      </c>
      <c r="K3472" s="6" t="e">
        <v>#VALUE!</v>
      </c>
      <c r="L3472" s="6" t="e">
        <v>#VALUE!</v>
      </c>
      <c r="M3472" s="6" t="e">
        <v>#VALUE!</v>
      </c>
      <c r="N3472" s="6" t="e">
        <v>#VALUE!</v>
      </c>
      <c r="O3472" s="6" t="e">
        <v>#VALUE!</v>
      </c>
      <c r="P3472" s="6" t="e">
        <v>#VALUE!</v>
      </c>
      <c r="Q3472" s="6" t="e">
        <v>#VALUE!</v>
      </c>
      <c r="R3472" s="6" t="e">
        <v>#VALUE!</v>
      </c>
      <c r="S3472" s="6" t="e">
        <v>#VALUE!</v>
      </c>
      <c r="T3472" s="9"/>
      <c r="U3472" s="1">
        <f t="shared" si="5914"/>
        <v>79</v>
      </c>
      <c r="V3472" s="1">
        <f t="shared" si="5915"/>
        <v>239</v>
      </c>
    </row>
    <row r="3473" spans="1:22" x14ac:dyDescent="0.3">
      <c r="A3473" s="1">
        <f t="shared" si="5935"/>
        <v>79240</v>
      </c>
      <c r="B3473" s="12">
        <f t="shared" si="6000"/>
        <v>0</v>
      </c>
      <c r="C3473" s="13">
        <f t="shared" si="6001"/>
        <v>0</v>
      </c>
      <c r="D3473" s="10">
        <f t="shared" si="6002"/>
        <v>0</v>
      </c>
      <c r="J3473" s="9"/>
      <c r="K3473" s="9"/>
      <c r="L3473" s="9"/>
      <c r="M3473" s="9"/>
      <c r="N3473" s="9"/>
      <c r="O3473" s="9"/>
      <c r="P3473" s="9"/>
      <c r="Q3473" s="9"/>
      <c r="R3473" s="9"/>
      <c r="S3473" s="9"/>
      <c r="T3473" s="9"/>
      <c r="U3473" s="1">
        <f t="shared" si="5914"/>
        <v>79</v>
      </c>
      <c r="V3473" s="1">
        <f t="shared" si="5915"/>
        <v>240</v>
      </c>
    </row>
    <row r="3474" spans="1:22" x14ac:dyDescent="0.3">
      <c r="A3474" s="1">
        <f t="shared" si="5935"/>
        <v>79241</v>
      </c>
      <c r="B3474" s="12">
        <f t="shared" si="6000"/>
        <v>0</v>
      </c>
      <c r="C3474" s="13">
        <f t="shared" si="6001"/>
        <v>0</v>
      </c>
      <c r="D3474" s="10">
        <f t="shared" si="6002"/>
        <v>0</v>
      </c>
      <c r="J3474" s="9"/>
      <c r="K3474" s="9"/>
      <c r="L3474" s="9"/>
      <c r="M3474" s="9"/>
      <c r="N3474" s="9"/>
      <c r="O3474" s="9"/>
      <c r="P3474" s="9"/>
      <c r="Q3474" s="9"/>
      <c r="R3474" s="9"/>
      <c r="S3474" s="9"/>
      <c r="T3474" s="9"/>
      <c r="U3474" s="1">
        <f t="shared" si="5914"/>
        <v>79</v>
      </c>
      <c r="V3474" s="1">
        <f t="shared" si="5915"/>
        <v>241</v>
      </c>
    </row>
    <row r="3475" spans="1:22" x14ac:dyDescent="0.3">
      <c r="A3475" s="1">
        <f t="shared" si="5935"/>
        <v>79242</v>
      </c>
      <c r="B3475" s="12">
        <f t="shared" si="6000"/>
        <v>0</v>
      </c>
      <c r="C3475" s="13">
        <f t="shared" si="6001"/>
        <v>0</v>
      </c>
      <c r="D3475" s="10">
        <f t="shared" si="6002"/>
        <v>0</v>
      </c>
      <c r="J3475" s="9"/>
      <c r="K3475" s="9"/>
      <c r="L3475" s="9"/>
      <c r="M3475" s="9"/>
      <c r="N3475" s="9"/>
      <c r="O3475" s="9"/>
      <c r="P3475" s="9"/>
      <c r="Q3475" s="9"/>
      <c r="R3475" s="9"/>
      <c r="S3475" s="9"/>
      <c r="T3475" s="9"/>
      <c r="U3475" s="1">
        <f t="shared" si="5914"/>
        <v>79</v>
      </c>
      <c r="V3475" s="1">
        <f t="shared" si="5915"/>
        <v>242</v>
      </c>
    </row>
    <row r="3476" spans="1:22" x14ac:dyDescent="0.3">
      <c r="A3476" s="1">
        <f t="shared" si="5935"/>
        <v>79243</v>
      </c>
      <c r="J3476" s="9"/>
      <c r="K3476" s="9"/>
      <c r="L3476" s="9"/>
      <c r="M3476" s="9"/>
      <c r="N3476" s="9"/>
      <c r="O3476" s="9"/>
      <c r="P3476" s="9"/>
      <c r="Q3476" s="9"/>
      <c r="R3476" s="9"/>
      <c r="S3476" s="9"/>
      <c r="T3476" s="9"/>
      <c r="U3476" s="1">
        <f t="shared" si="5914"/>
        <v>79</v>
      </c>
      <c r="V3476" s="1">
        <f t="shared" si="5915"/>
        <v>243</v>
      </c>
    </row>
    <row r="3477" spans="1:22" s="5" customFormat="1" x14ac:dyDescent="0.3"/>
    <row r="3478" spans="1:22" x14ac:dyDescent="0.3">
      <c r="A3478" s="1">
        <f t="shared" ref="A3478:A3520" si="6018">ROUND(CONCATENATE(U3478,V3478),0)</f>
        <v>80201</v>
      </c>
      <c r="B3478" s="96" t="s">
        <v>0</v>
      </c>
      <c r="C3478" s="97"/>
      <c r="D3478" s="98"/>
      <c r="E3478" s="99"/>
      <c r="F3478" s="99"/>
      <c r="G3478" s="99"/>
      <c r="H3478" s="100"/>
      <c r="J3478" s="9"/>
      <c r="K3478" s="9"/>
      <c r="L3478" s="9"/>
      <c r="M3478" s="9"/>
      <c r="N3478" s="9"/>
      <c r="O3478" s="9"/>
      <c r="P3478" s="9"/>
      <c r="Q3478" s="9"/>
      <c r="R3478" s="9"/>
      <c r="S3478" s="9"/>
      <c r="T3478" s="9"/>
      <c r="U3478" s="1">
        <f t="shared" ref="U3478" si="6019">U3476+1</f>
        <v>80</v>
      </c>
      <c r="V3478" s="1">
        <v>201</v>
      </c>
    </row>
    <row r="3479" spans="1:22" x14ac:dyDescent="0.3">
      <c r="A3479" s="1">
        <f t="shared" si="6018"/>
        <v>80202</v>
      </c>
      <c r="B3479" s="96" t="s">
        <v>1</v>
      </c>
      <c r="C3479" s="97"/>
      <c r="D3479" s="15"/>
      <c r="E3479" s="16" t="s">
        <v>2</v>
      </c>
      <c r="F3479" s="107"/>
      <c r="G3479" s="108"/>
      <c r="H3479" s="109"/>
      <c r="J3479" s="9"/>
      <c r="K3479" s="9"/>
      <c r="L3479" s="9"/>
      <c r="M3479" s="9"/>
      <c r="N3479" s="9"/>
      <c r="O3479" s="9"/>
      <c r="P3479" s="9"/>
      <c r="Q3479" s="9"/>
      <c r="R3479" s="9"/>
      <c r="S3479" s="9"/>
      <c r="T3479" s="9"/>
      <c r="U3479" s="1">
        <f t="shared" ref="U3479" si="6020">U3478</f>
        <v>80</v>
      </c>
      <c r="V3479" s="1">
        <f t="shared" ref="V3479" si="6021">V3478+1</f>
        <v>202</v>
      </c>
    </row>
    <row r="3480" spans="1:22" x14ac:dyDescent="0.3">
      <c r="A3480" s="1">
        <f t="shared" si="6018"/>
        <v>80203</v>
      </c>
      <c r="B3480" s="96" t="s">
        <v>12</v>
      </c>
      <c r="C3480" s="97"/>
      <c r="D3480" s="98"/>
      <c r="E3480" s="99"/>
      <c r="F3480" s="99"/>
      <c r="G3480" s="99"/>
      <c r="H3480" s="100"/>
      <c r="K3480" s="1" t="s">
        <v>3</v>
      </c>
      <c r="L3480" s="1" t="s">
        <v>4</v>
      </c>
      <c r="M3480" s="1" t="s">
        <v>5</v>
      </c>
      <c r="N3480" s="1" t="s">
        <v>6</v>
      </c>
      <c r="O3480" s="1" t="s">
        <v>7</v>
      </c>
      <c r="P3480" s="1" t="s">
        <v>8</v>
      </c>
      <c r="Q3480" s="1" t="s">
        <v>9</v>
      </c>
      <c r="R3480" s="1" t="s">
        <v>10</v>
      </c>
      <c r="S3480" s="1" t="s">
        <v>11</v>
      </c>
      <c r="T3480" s="9"/>
      <c r="U3480" s="1">
        <f t="shared" si="5914"/>
        <v>80</v>
      </c>
      <c r="V3480" s="1">
        <f t="shared" si="5915"/>
        <v>203</v>
      </c>
    </row>
    <row r="3481" spans="1:22" x14ac:dyDescent="0.3">
      <c r="A3481" s="1">
        <f t="shared" si="6018"/>
        <v>80204</v>
      </c>
      <c r="B3481" s="96" t="s">
        <v>13</v>
      </c>
      <c r="C3481" s="97"/>
      <c r="D3481" s="98"/>
      <c r="E3481" s="99"/>
      <c r="F3481" s="99"/>
      <c r="G3481" s="99"/>
      <c r="H3481" s="100"/>
      <c r="J3481" s="1">
        <f t="shared" ref="J3481" si="6022">COUNTA(B3494:B3503)</f>
        <v>0</v>
      </c>
      <c r="K3481" s="1">
        <f t="shared" ref="K3481" si="6023">IF(L3481-1&lt;2,0,L3481-1)</f>
        <v>0</v>
      </c>
      <c r="L3481" s="1">
        <f t="shared" ref="L3481" si="6024">IF(M3481-1&lt;2,0,M3481-1)</f>
        <v>0</v>
      </c>
      <c r="M3481" s="1">
        <f t="shared" ref="M3481" si="6025">IF(N3481-1&lt;2,0,N3481-1)</f>
        <v>0</v>
      </c>
      <c r="N3481" s="1">
        <f t="shared" ref="N3481" si="6026">IF(O3481-1&lt;2,0,O3481-1)</f>
        <v>0</v>
      </c>
      <c r="O3481" s="1">
        <f t="shared" ref="O3481" si="6027">IF(P3481-1&lt;2,0,P3481-1)</f>
        <v>0</v>
      </c>
      <c r="P3481" s="1">
        <f t="shared" ref="P3481" si="6028">IF(Q3481-1&lt;2,0,Q3481-1)</f>
        <v>0</v>
      </c>
      <c r="Q3481" s="1">
        <f t="shared" ref="Q3481" si="6029">IF(R3481-1&lt;2,0,R3481-1)</f>
        <v>0</v>
      </c>
      <c r="R3481" s="1">
        <f t="shared" ref="R3481" si="6030">IF(S3481-1&lt;2,0,S3481-1)</f>
        <v>0</v>
      </c>
      <c r="S3481" s="1">
        <f t="shared" ref="S3481" si="6031">J3481</f>
        <v>0</v>
      </c>
      <c r="T3481" s="9"/>
      <c r="U3481" s="1">
        <f t="shared" si="5914"/>
        <v>80</v>
      </c>
      <c r="V3481" s="1">
        <f t="shared" si="5915"/>
        <v>204</v>
      </c>
    </row>
    <row r="3482" spans="1:22" x14ac:dyDescent="0.3">
      <c r="A3482" s="1">
        <f t="shared" si="6018"/>
        <v>80205</v>
      </c>
      <c r="B3482" s="96" t="s">
        <v>14</v>
      </c>
      <c r="C3482" s="97"/>
      <c r="D3482" s="98"/>
      <c r="E3482" s="99"/>
      <c r="F3482" s="99"/>
      <c r="G3482" s="99"/>
      <c r="H3482" s="100"/>
      <c r="J3482" s="24" t="str">
        <f t="shared" ref="J3482" si="6032">CONCATENATE(J3481,1)</f>
        <v>01</v>
      </c>
      <c r="K3482" s="25">
        <f t="shared" ref="K3482" si="6033">IF(K3481=0,0,VLOOKUP(J3482,J3486:S3516,K3481,FALSE))</f>
        <v>0</v>
      </c>
      <c r="L3482" s="25">
        <f t="shared" ref="L3482" si="6034">IF(L3481=0,0,VLOOKUP(J3482,J3486:S3516,L3481,FALSE))</f>
        <v>0</v>
      </c>
      <c r="M3482" s="25">
        <f t="shared" ref="M3482" si="6035">IF(M3481=0,0,VLOOKUP(J3482,J3486:S3516,M3481,FALSE))</f>
        <v>0</v>
      </c>
      <c r="N3482" s="25">
        <f t="shared" ref="N3482" si="6036">IF(N3481=0,0,VLOOKUP(J3482,J3486:S3516,N3481,FALSE))</f>
        <v>0</v>
      </c>
      <c r="O3482" s="25">
        <f t="shared" ref="O3482" si="6037">IF(O3481=0,0,VLOOKUP(J3482,J3486:S3516,O3481,FALSE))</f>
        <v>0</v>
      </c>
      <c r="P3482" s="25">
        <f t="shared" ref="P3482" si="6038">IF(P3481=0,0,VLOOKUP(J3482,J3486:S3516,P3481,FALSE))</f>
        <v>0</v>
      </c>
      <c r="Q3482" s="25">
        <f t="shared" ref="Q3482" si="6039">IF(Q3481=0,0,VLOOKUP(J3482,J3486:S3516,Q3481,FALSE))</f>
        <v>0</v>
      </c>
      <c r="R3482" s="25">
        <f t="shared" ref="R3482" si="6040">IF(R3481=0,0,VLOOKUP(J3482,J3486:S3516,R3481,FALSE))</f>
        <v>0</v>
      </c>
      <c r="S3482" s="25">
        <f t="shared" ref="S3482" si="6041">IF(S3481=0,0,VLOOKUP(J3482,J3486:S3516,S3481,FALSE))</f>
        <v>0</v>
      </c>
      <c r="T3482" s="9"/>
      <c r="U3482" s="1">
        <f t="shared" si="5914"/>
        <v>80</v>
      </c>
      <c r="V3482" s="1">
        <f t="shared" si="5915"/>
        <v>205</v>
      </c>
    </row>
    <row r="3483" spans="1:22" x14ac:dyDescent="0.3">
      <c r="A3483" s="1">
        <f t="shared" si="6018"/>
        <v>80206</v>
      </c>
      <c r="B3483" s="96" t="s">
        <v>15</v>
      </c>
      <c r="C3483" s="97"/>
      <c r="D3483" s="98"/>
      <c r="E3483" s="99"/>
      <c r="F3483" s="99"/>
      <c r="G3483" s="99"/>
      <c r="H3483" s="100"/>
      <c r="J3483" s="24" t="str">
        <f t="shared" ref="J3483" si="6042">CONCATENATE(J3481,2)</f>
        <v>02</v>
      </c>
      <c r="K3483" s="6">
        <f t="shared" ref="K3483" si="6043">IF(K3481=0,0,VLOOKUP(J3483,J3486:S3516,K3481,FALSE))</f>
        <v>0</v>
      </c>
      <c r="L3483" s="6">
        <f t="shared" ref="L3483" si="6044">IF(L3481=0,0,VLOOKUP(J3483,J3486:S3516,L3481,FALSE))</f>
        <v>0</v>
      </c>
      <c r="M3483" s="6">
        <f t="shared" ref="M3483" si="6045">IF(M3481=0,0,VLOOKUP(J3483,J3486:S3516,M3481,FALSE))</f>
        <v>0</v>
      </c>
      <c r="N3483" s="6">
        <f t="shared" ref="N3483" si="6046">IF(N3481=0,0,VLOOKUP(J3483,J3486:S3516,N3481,FALSE))</f>
        <v>0</v>
      </c>
      <c r="O3483" s="6">
        <f t="shared" ref="O3483" si="6047">IF(O3481=0,0,VLOOKUP(J3483,J3486:S3516,O3481,FALSE))</f>
        <v>0</v>
      </c>
      <c r="P3483" s="6">
        <f t="shared" ref="P3483" si="6048">IF(P3481=0,0,VLOOKUP(J3483,J3486:S3516,P3481,FALSE))</f>
        <v>0</v>
      </c>
      <c r="Q3483" s="6">
        <f t="shared" ref="Q3483" si="6049">IF(Q3481=0,0,VLOOKUP(J3483,J3486:S3516,Q3481,FALSE))</f>
        <v>0</v>
      </c>
      <c r="R3483" s="6">
        <f t="shared" ref="R3483" si="6050">IF(R3481=0,0,VLOOKUP(J3483,J3486:S3516,R3481,FALSE))</f>
        <v>0</v>
      </c>
      <c r="S3483" s="6">
        <f t="shared" ref="S3483" si="6051">IF(S3481=0,0,VLOOKUP(J3483,J3486:S3516,S3481,FALSE))</f>
        <v>0</v>
      </c>
      <c r="T3483" s="9"/>
      <c r="U3483" s="1">
        <f t="shared" ref="U3483:U3546" si="6052">U3482</f>
        <v>80</v>
      </c>
      <c r="V3483" s="1">
        <f t="shared" ref="V3483:V3546" si="6053">V3482+1</f>
        <v>206</v>
      </c>
    </row>
    <row r="3484" spans="1:22" x14ac:dyDescent="0.3">
      <c r="A3484" s="1">
        <f t="shared" si="6018"/>
        <v>80207</v>
      </c>
      <c r="B3484" s="96" t="s">
        <v>16</v>
      </c>
      <c r="C3484" s="97"/>
      <c r="D3484" s="101"/>
      <c r="E3484" s="102"/>
      <c r="F3484" s="102"/>
      <c r="G3484" s="102"/>
      <c r="H3484" s="103"/>
      <c r="J3484" s="24" t="str">
        <f t="shared" ref="J3484" si="6054">CONCATENATE(J3481,3)</f>
        <v>03</v>
      </c>
      <c r="K3484" s="6"/>
      <c r="L3484" s="6"/>
      <c r="M3484" s="6"/>
      <c r="N3484" s="6" t="s">
        <v>43</v>
      </c>
      <c r="O3484" s="25">
        <f t="shared" ref="O3484" si="6055">J3481-2</f>
        <v>-2</v>
      </c>
      <c r="P3484" s="6" t="s">
        <v>44</v>
      </c>
      <c r="Q3484" s="25" t="e">
        <f t="shared" ref="Q3484" si="6056">VLOOKUP(J3484,J3486:S3516,3,FALSE)</f>
        <v>#N/A</v>
      </c>
      <c r="R3484" s="6" t="s">
        <v>45</v>
      </c>
      <c r="S3484" s="6" t="e">
        <f t="shared" ref="S3484" si="6057">VLOOKUP(J3484,J3486:S3516,2,FALSE)</f>
        <v>#N/A</v>
      </c>
      <c r="T3484" s="9"/>
      <c r="U3484" s="1">
        <f t="shared" si="6052"/>
        <v>80</v>
      </c>
      <c r="V3484" s="1">
        <f t="shared" si="6053"/>
        <v>207</v>
      </c>
    </row>
    <row r="3485" spans="1:22" x14ac:dyDescent="0.3">
      <c r="A3485" s="1">
        <f t="shared" si="6018"/>
        <v>80208</v>
      </c>
      <c r="B3485" s="96" t="s">
        <v>17</v>
      </c>
      <c r="C3485" s="97"/>
      <c r="D3485" s="104"/>
      <c r="E3485" s="105"/>
      <c r="F3485" s="105"/>
      <c r="G3485" s="105"/>
      <c r="H3485" s="106"/>
      <c r="K3485" s="1">
        <v>3</v>
      </c>
      <c r="L3485" s="1">
        <v>3</v>
      </c>
      <c r="Q3485" s="26"/>
      <c r="R3485" s="26"/>
      <c r="S3485" s="26"/>
      <c r="T3485" s="9"/>
      <c r="U3485" s="1">
        <f t="shared" si="6052"/>
        <v>80</v>
      </c>
      <c r="V3485" s="1">
        <f t="shared" si="6053"/>
        <v>208</v>
      </c>
    </row>
    <row r="3486" spans="1:22" x14ac:dyDescent="0.3">
      <c r="A3486" s="1">
        <f t="shared" si="6018"/>
        <v>80209</v>
      </c>
      <c r="B3486" s="77" t="s">
        <v>19</v>
      </c>
      <c r="C3486" s="78"/>
      <c r="D3486" s="17"/>
      <c r="E3486" s="79" t="s">
        <v>40</v>
      </c>
      <c r="F3486" s="80"/>
      <c r="G3486" s="81"/>
      <c r="H3486" s="18" t="s">
        <v>72</v>
      </c>
      <c r="J3486" s="24" t="str">
        <f t="shared" ref="J3486" si="6058">CONCATENATE(K3485,1)</f>
        <v>31</v>
      </c>
      <c r="K3486" s="6" t="e">
        <f t="array" ref="K3486:L3488">LINEST(B3494:B3496,C3494:C3496^{1},TRUE,TRUE)</f>
        <v>#VALUE!</v>
      </c>
      <c r="L3486" s="6" t="e">
        <v>#VALUE!</v>
      </c>
      <c r="Q3486" s="9"/>
      <c r="R3486" s="9"/>
      <c r="S3486" s="9"/>
      <c r="T3486" s="9"/>
      <c r="U3486" s="1">
        <f t="shared" si="6052"/>
        <v>80</v>
      </c>
      <c r="V3486" s="1">
        <f t="shared" si="6053"/>
        <v>209</v>
      </c>
    </row>
    <row r="3487" spans="1:22" x14ac:dyDescent="0.3">
      <c r="A3487" s="1">
        <f t="shared" si="6018"/>
        <v>80210</v>
      </c>
      <c r="B3487" s="77" t="s">
        <v>41</v>
      </c>
      <c r="C3487" s="78"/>
      <c r="D3487" s="23">
        <f t="shared" ref="D3487" si="6059">MIN(B3494:B3503)</f>
        <v>0</v>
      </c>
      <c r="E3487" s="20" t="s">
        <v>18</v>
      </c>
      <c r="F3487" s="19">
        <f t="shared" ref="F3487" si="6060">MAX(B3494:B3503)</f>
        <v>0</v>
      </c>
      <c r="G3487" s="21" t="str">
        <f t="shared" ref="G3487" si="6061">IF(H3486="","",H3486)</f>
        <v>%ur</v>
      </c>
      <c r="H3487" s="22"/>
      <c r="J3487" s="24" t="str">
        <f t="shared" ref="J3487" si="6062">CONCATENATE(K3485,2)</f>
        <v>32</v>
      </c>
      <c r="K3487" s="6" t="e">
        <v>#VALUE!</v>
      </c>
      <c r="L3487" s="6" t="e">
        <v>#VALUE!</v>
      </c>
      <c r="Q3487" s="9"/>
      <c r="R3487" s="9"/>
      <c r="S3487" s="9"/>
      <c r="T3487" s="9"/>
      <c r="U3487" s="1">
        <f t="shared" si="6052"/>
        <v>80</v>
      </c>
      <c r="V3487" s="1">
        <f t="shared" si="6053"/>
        <v>210</v>
      </c>
    </row>
    <row r="3488" spans="1:22" x14ac:dyDescent="0.3">
      <c r="A3488" s="1">
        <f t="shared" si="6018"/>
        <v>80211</v>
      </c>
      <c r="J3488" s="24" t="str">
        <f t="shared" ref="J3488" si="6063">CONCATENATE(K3485,3)</f>
        <v>33</v>
      </c>
      <c r="K3488" s="6" t="e">
        <v>#VALUE!</v>
      </c>
      <c r="L3488" s="6" t="e">
        <v>#VALUE!</v>
      </c>
      <c r="Q3488" s="9"/>
      <c r="R3488" s="9"/>
      <c r="S3488" s="9"/>
      <c r="T3488" s="9"/>
      <c r="U3488" s="1">
        <f t="shared" si="6052"/>
        <v>80</v>
      </c>
      <c r="V3488" s="1">
        <f t="shared" si="6053"/>
        <v>211</v>
      </c>
    </row>
    <row r="3489" spans="1:22" x14ac:dyDescent="0.3">
      <c r="A3489" s="1">
        <f t="shared" si="6018"/>
        <v>80212</v>
      </c>
      <c r="B3489" s="82" t="s">
        <v>20</v>
      </c>
      <c r="C3489" s="83"/>
      <c r="D3489" s="83"/>
      <c r="E3489" s="83"/>
      <c r="F3489" s="84"/>
      <c r="G3489" s="85" t="s">
        <v>31</v>
      </c>
      <c r="H3489" s="86"/>
      <c r="K3489" s="1">
        <v>4</v>
      </c>
      <c r="L3489" s="1">
        <v>4</v>
      </c>
      <c r="M3489" s="1">
        <v>4</v>
      </c>
      <c r="Q3489" s="9"/>
      <c r="R3489" s="9"/>
      <c r="S3489" s="9"/>
      <c r="T3489" s="9"/>
      <c r="U3489" s="1">
        <f t="shared" si="6052"/>
        <v>80</v>
      </c>
      <c r="V3489" s="1">
        <f t="shared" si="6053"/>
        <v>212</v>
      </c>
    </row>
    <row r="3490" spans="1:22" x14ac:dyDescent="0.3">
      <c r="A3490" s="1">
        <f t="shared" si="6018"/>
        <v>80213</v>
      </c>
      <c r="B3490" s="82" t="s">
        <v>30</v>
      </c>
      <c r="C3490" s="83"/>
      <c r="D3490" s="84"/>
      <c r="E3490" s="82">
        <f t="shared" ref="E3490" si="6064">D3483</f>
        <v>0</v>
      </c>
      <c r="F3490" s="84"/>
      <c r="G3490" s="6" t="s">
        <v>32</v>
      </c>
      <c r="H3490" s="7"/>
      <c r="J3490" s="24" t="str">
        <f t="shared" ref="J3490" si="6065">CONCATENATE(K3489,1)</f>
        <v>41</v>
      </c>
      <c r="K3490" s="6" t="e">
        <f t="array" ref="K3490:M3492">LINEST(B3494:B3497,C3494:C3497^{1,2},TRUE,TRUE)</f>
        <v>#VALUE!</v>
      </c>
      <c r="L3490" s="6" t="e">
        <v>#VALUE!</v>
      </c>
      <c r="M3490" s="6" t="e">
        <v>#VALUE!</v>
      </c>
      <c r="Q3490" s="9"/>
      <c r="R3490" s="9"/>
      <c r="S3490" s="9"/>
      <c r="T3490" s="9"/>
      <c r="U3490" s="1">
        <f t="shared" si="6052"/>
        <v>80</v>
      </c>
      <c r="V3490" s="1">
        <f t="shared" si="6053"/>
        <v>213</v>
      </c>
    </row>
    <row r="3491" spans="1:22" x14ac:dyDescent="0.3">
      <c r="A3491" s="1">
        <f t="shared" si="6018"/>
        <v>80214</v>
      </c>
      <c r="B3491" s="2" t="s">
        <v>21</v>
      </c>
      <c r="C3491" s="2" t="s">
        <v>22</v>
      </c>
      <c r="D3491" s="2" t="s">
        <v>23</v>
      </c>
      <c r="E3491" s="2"/>
      <c r="F3491" s="2" t="s">
        <v>28</v>
      </c>
      <c r="G3491" s="2" t="s">
        <v>21</v>
      </c>
      <c r="H3491" s="2" t="s">
        <v>22</v>
      </c>
      <c r="J3491" s="24" t="str">
        <f t="shared" ref="J3491" si="6066">CONCATENATE(K3489,2)</f>
        <v>42</v>
      </c>
      <c r="K3491" s="6" t="e">
        <v>#VALUE!</v>
      </c>
      <c r="L3491" s="6" t="e">
        <v>#VALUE!</v>
      </c>
      <c r="M3491" s="6" t="e">
        <v>#VALUE!</v>
      </c>
      <c r="Q3491" s="9"/>
      <c r="R3491" s="9"/>
      <c r="S3491" s="9"/>
      <c r="T3491" s="9"/>
      <c r="U3491" s="1">
        <f t="shared" si="6052"/>
        <v>80</v>
      </c>
      <c r="V3491" s="1">
        <f t="shared" si="6053"/>
        <v>214</v>
      </c>
    </row>
    <row r="3492" spans="1:22" x14ac:dyDescent="0.3">
      <c r="A3492" s="1">
        <f t="shared" si="6018"/>
        <v>80215</v>
      </c>
      <c r="B3492" s="2" t="s">
        <v>24</v>
      </c>
      <c r="C3492" s="2" t="s">
        <v>25</v>
      </c>
      <c r="D3492" s="2" t="s">
        <v>26</v>
      </c>
      <c r="E3492" s="2" t="s">
        <v>27</v>
      </c>
      <c r="F3492" s="2" t="s">
        <v>29</v>
      </c>
      <c r="G3492" s="2" t="s">
        <v>24</v>
      </c>
      <c r="H3492" s="2" t="s">
        <v>25</v>
      </c>
      <c r="J3492" s="24" t="str">
        <f t="shared" ref="J3492" si="6067">CONCATENATE(K3489,3)</f>
        <v>43</v>
      </c>
      <c r="K3492" s="6" t="e">
        <v>#VALUE!</v>
      </c>
      <c r="L3492" s="6" t="e">
        <v>#VALUE!</v>
      </c>
      <c r="M3492" s="6" t="e">
        <v>#VALUE!</v>
      </c>
      <c r="Q3492" s="9"/>
      <c r="R3492" s="9"/>
      <c r="S3492" s="9"/>
      <c r="T3492" s="9"/>
      <c r="U3492" s="1">
        <f t="shared" si="6052"/>
        <v>80</v>
      </c>
      <c r="V3492" s="1">
        <f t="shared" si="6053"/>
        <v>215</v>
      </c>
    </row>
    <row r="3493" spans="1:22" x14ac:dyDescent="0.3">
      <c r="A3493" s="1">
        <f t="shared" si="6018"/>
        <v>80216</v>
      </c>
      <c r="B3493" s="3" t="str">
        <f t="shared" ref="B3493" si="6068">H3486</f>
        <v>%ur</v>
      </c>
      <c r="C3493" s="3" t="str">
        <f t="shared" ref="C3493" si="6069">B3493</f>
        <v>%ur</v>
      </c>
      <c r="D3493" s="3" t="str">
        <f t="shared" ref="D3493" si="6070">C3493</f>
        <v>%ur</v>
      </c>
      <c r="E3493" s="3"/>
      <c r="F3493" s="3"/>
      <c r="G3493" s="3" t="str">
        <f t="shared" ref="G3493" si="6071">D3493</f>
        <v>%ur</v>
      </c>
      <c r="H3493" s="3" t="str">
        <f t="shared" ref="H3493" si="6072">G3493</f>
        <v>%ur</v>
      </c>
      <c r="K3493" s="1">
        <v>5</v>
      </c>
      <c r="L3493" s="1">
        <v>5</v>
      </c>
      <c r="M3493" s="1">
        <v>5</v>
      </c>
      <c r="N3493" s="1">
        <v>5</v>
      </c>
      <c r="Q3493" s="9"/>
      <c r="R3493" s="9"/>
      <c r="S3493" s="9"/>
      <c r="T3493" s="9"/>
      <c r="U3493" s="1">
        <f t="shared" si="6052"/>
        <v>80</v>
      </c>
      <c r="V3493" s="1">
        <f t="shared" si="6053"/>
        <v>216</v>
      </c>
    </row>
    <row r="3494" spans="1:22" x14ac:dyDescent="0.3">
      <c r="A3494" s="1">
        <f t="shared" si="6018"/>
        <v>80217</v>
      </c>
      <c r="B3494" s="4"/>
      <c r="C3494" s="4"/>
      <c r="D3494" s="4"/>
      <c r="E3494" s="4"/>
      <c r="F3494" s="14"/>
      <c r="G3494" s="8"/>
      <c r="H3494" s="7"/>
      <c r="J3494" s="24" t="str">
        <f t="shared" ref="J3494" si="6073">CONCATENATE(K3493,1)</f>
        <v>51</v>
      </c>
      <c r="K3494" s="6" t="e">
        <f t="array" ref="K3494:N3496">LINEST(B3494:B3498,C3494:C3498^{1,2,3},TRUE,TRUE)</f>
        <v>#VALUE!</v>
      </c>
      <c r="L3494" s="6" t="e">
        <v>#VALUE!</v>
      </c>
      <c r="M3494" s="6" t="e">
        <v>#VALUE!</v>
      </c>
      <c r="N3494" s="6" t="e">
        <v>#VALUE!</v>
      </c>
      <c r="Q3494" s="9"/>
      <c r="R3494" s="9"/>
      <c r="S3494" s="9"/>
      <c r="T3494" s="9"/>
      <c r="U3494" s="1">
        <f t="shared" si="6052"/>
        <v>80</v>
      </c>
      <c r="V3494" s="1">
        <f t="shared" si="6053"/>
        <v>217</v>
      </c>
    </row>
    <row r="3495" spans="1:22" x14ac:dyDescent="0.3">
      <c r="A3495" s="1">
        <f t="shared" si="6018"/>
        <v>80218</v>
      </c>
      <c r="B3495" s="4"/>
      <c r="C3495" s="4"/>
      <c r="D3495" s="4"/>
      <c r="E3495" s="4"/>
      <c r="F3495" s="14"/>
      <c r="G3495" s="8"/>
      <c r="H3495" s="7"/>
      <c r="J3495" s="24" t="str">
        <f t="shared" ref="J3495" si="6074">CONCATENATE(K3493,2)</f>
        <v>52</v>
      </c>
      <c r="K3495" s="6" t="e">
        <v>#VALUE!</v>
      </c>
      <c r="L3495" s="6" t="e">
        <v>#VALUE!</v>
      </c>
      <c r="M3495" s="6" t="e">
        <v>#VALUE!</v>
      </c>
      <c r="N3495" s="6" t="e">
        <v>#VALUE!</v>
      </c>
      <c r="T3495" s="9"/>
      <c r="U3495" s="1">
        <f t="shared" si="6052"/>
        <v>80</v>
      </c>
      <c r="V3495" s="1">
        <f t="shared" si="6053"/>
        <v>218</v>
      </c>
    </row>
    <row r="3496" spans="1:22" x14ac:dyDescent="0.3">
      <c r="A3496" s="1">
        <f t="shared" si="6018"/>
        <v>80219</v>
      </c>
      <c r="B3496" s="4"/>
      <c r="C3496" s="4"/>
      <c r="D3496" s="4"/>
      <c r="E3496" s="4"/>
      <c r="F3496" s="14"/>
      <c r="G3496" s="8"/>
      <c r="H3496" s="7"/>
      <c r="J3496" s="24" t="str">
        <f t="shared" ref="J3496" si="6075">CONCATENATE(K3493,3)</f>
        <v>53</v>
      </c>
      <c r="K3496" s="6" t="e">
        <v>#VALUE!</v>
      </c>
      <c r="L3496" s="6" t="e">
        <v>#VALUE!</v>
      </c>
      <c r="M3496" s="6" t="e">
        <v>#VALUE!</v>
      </c>
      <c r="N3496" s="6" t="e">
        <v>#VALUE!</v>
      </c>
      <c r="T3496" s="9"/>
      <c r="U3496" s="1">
        <f t="shared" si="6052"/>
        <v>80</v>
      </c>
      <c r="V3496" s="1">
        <f t="shared" si="6053"/>
        <v>219</v>
      </c>
    </row>
    <row r="3497" spans="1:22" x14ac:dyDescent="0.3">
      <c r="A3497" s="1">
        <f t="shared" si="6018"/>
        <v>80220</v>
      </c>
      <c r="B3497" s="4"/>
      <c r="C3497" s="4"/>
      <c r="D3497" s="4"/>
      <c r="E3497" s="4"/>
      <c r="F3497" s="14"/>
      <c r="G3497" s="8"/>
      <c r="H3497" s="7"/>
      <c r="K3497" s="1">
        <v>6</v>
      </c>
      <c r="L3497" s="1">
        <v>6</v>
      </c>
      <c r="M3497" s="1">
        <v>6</v>
      </c>
      <c r="N3497" s="1">
        <v>6</v>
      </c>
      <c r="O3497" s="1">
        <v>6</v>
      </c>
      <c r="T3497" s="9"/>
      <c r="U3497" s="1">
        <f t="shared" si="6052"/>
        <v>80</v>
      </c>
      <c r="V3497" s="1">
        <f t="shared" si="6053"/>
        <v>220</v>
      </c>
    </row>
    <row r="3498" spans="1:22" x14ac:dyDescent="0.3">
      <c r="A3498" s="1">
        <f t="shared" si="6018"/>
        <v>80221</v>
      </c>
      <c r="B3498" s="4"/>
      <c r="C3498" s="4"/>
      <c r="D3498" s="4"/>
      <c r="E3498" s="4"/>
      <c r="F3498" s="14"/>
      <c r="G3498" s="8"/>
      <c r="H3498" s="7"/>
      <c r="J3498" s="24" t="str">
        <f t="shared" ref="J3498" si="6076">CONCATENATE(K3497,1)</f>
        <v>61</v>
      </c>
      <c r="K3498" s="6" t="e">
        <f t="array" ref="K3498:O3500">LINEST(B3494:B3499,C3494:C3499^{1,2,3,4},TRUE,TRUE)</f>
        <v>#VALUE!</v>
      </c>
      <c r="L3498" s="6" t="e">
        <v>#VALUE!</v>
      </c>
      <c r="M3498" s="6" t="e">
        <v>#VALUE!</v>
      </c>
      <c r="N3498" s="6" t="e">
        <v>#VALUE!</v>
      </c>
      <c r="O3498" s="6" t="e">
        <v>#VALUE!</v>
      </c>
      <c r="T3498" s="9"/>
      <c r="U3498" s="1">
        <f t="shared" si="6052"/>
        <v>80</v>
      </c>
      <c r="V3498" s="1">
        <f t="shared" si="6053"/>
        <v>221</v>
      </c>
    </row>
    <row r="3499" spans="1:22" x14ac:dyDescent="0.3">
      <c r="A3499" s="1">
        <f t="shared" si="6018"/>
        <v>80222</v>
      </c>
      <c r="B3499" s="4"/>
      <c r="C3499" s="4"/>
      <c r="D3499" s="4"/>
      <c r="E3499" s="4"/>
      <c r="F3499" s="14"/>
      <c r="G3499" s="8"/>
      <c r="H3499" s="7"/>
      <c r="J3499" s="24" t="str">
        <f t="shared" ref="J3499" si="6077">CONCATENATE(K3497,2)</f>
        <v>62</v>
      </c>
      <c r="K3499" s="6" t="e">
        <v>#VALUE!</v>
      </c>
      <c r="L3499" s="6" t="e">
        <v>#VALUE!</v>
      </c>
      <c r="M3499" s="6" t="e">
        <v>#VALUE!</v>
      </c>
      <c r="N3499" s="6" t="e">
        <v>#VALUE!</v>
      </c>
      <c r="O3499" s="6" t="e">
        <v>#VALUE!</v>
      </c>
      <c r="T3499" s="9"/>
      <c r="U3499" s="1">
        <f t="shared" si="6052"/>
        <v>80</v>
      </c>
      <c r="V3499" s="1">
        <f t="shared" si="6053"/>
        <v>222</v>
      </c>
    </row>
    <row r="3500" spans="1:22" x14ac:dyDescent="0.3">
      <c r="A3500" s="1">
        <f t="shared" si="6018"/>
        <v>80223</v>
      </c>
      <c r="B3500" s="4"/>
      <c r="C3500" s="4"/>
      <c r="D3500" s="4"/>
      <c r="E3500" s="4"/>
      <c r="F3500" s="14"/>
      <c r="G3500" s="8"/>
      <c r="H3500" s="7"/>
      <c r="J3500" s="24" t="str">
        <f t="shared" ref="J3500" si="6078">CONCATENATE(K3497,3)</f>
        <v>63</v>
      </c>
      <c r="K3500" s="6" t="e">
        <v>#VALUE!</v>
      </c>
      <c r="L3500" s="6" t="e">
        <v>#VALUE!</v>
      </c>
      <c r="M3500" s="6" t="e">
        <v>#VALUE!</v>
      </c>
      <c r="N3500" s="6" t="e">
        <v>#VALUE!</v>
      </c>
      <c r="O3500" s="6" t="e">
        <v>#VALUE!</v>
      </c>
      <c r="T3500" s="9"/>
      <c r="U3500" s="1">
        <f t="shared" si="6052"/>
        <v>80</v>
      </c>
      <c r="V3500" s="1">
        <f t="shared" si="6053"/>
        <v>223</v>
      </c>
    </row>
    <row r="3501" spans="1:22" x14ac:dyDescent="0.3">
      <c r="A3501" s="1">
        <f t="shared" si="6018"/>
        <v>80224</v>
      </c>
      <c r="B3501" s="4"/>
      <c r="C3501" s="4"/>
      <c r="D3501" s="4"/>
      <c r="E3501" s="4"/>
      <c r="F3501" s="14"/>
      <c r="G3501" s="8"/>
      <c r="H3501" s="7"/>
      <c r="K3501" s="1">
        <v>7</v>
      </c>
      <c r="L3501" s="1">
        <v>7</v>
      </c>
      <c r="M3501" s="1">
        <v>7</v>
      </c>
      <c r="N3501" s="1">
        <v>7</v>
      </c>
      <c r="O3501" s="1">
        <v>7</v>
      </c>
      <c r="P3501" s="1">
        <v>7</v>
      </c>
      <c r="T3501" s="9"/>
      <c r="U3501" s="1">
        <f t="shared" si="6052"/>
        <v>80</v>
      </c>
      <c r="V3501" s="1">
        <f t="shared" si="6053"/>
        <v>224</v>
      </c>
    </row>
    <row r="3502" spans="1:22" x14ac:dyDescent="0.3">
      <c r="A3502" s="1">
        <f t="shared" si="6018"/>
        <v>80225</v>
      </c>
      <c r="B3502" s="4"/>
      <c r="C3502" s="4"/>
      <c r="D3502" s="4"/>
      <c r="E3502" s="4"/>
      <c r="F3502" s="14"/>
      <c r="G3502" s="8"/>
      <c r="H3502" s="7"/>
      <c r="J3502" s="24" t="str">
        <f t="shared" ref="J3502" si="6079">CONCATENATE(K3501,1)</f>
        <v>71</v>
      </c>
      <c r="K3502" s="6" t="e">
        <f t="array" ref="K3502:P3504">LINEST(B3494:B3500,C3494:C3500^{1,2,3,4,5},TRUE,TRUE)</f>
        <v>#VALUE!</v>
      </c>
      <c r="L3502" s="6" t="e">
        <v>#VALUE!</v>
      </c>
      <c r="M3502" s="6" t="e">
        <v>#VALUE!</v>
      </c>
      <c r="N3502" s="6" t="e">
        <v>#VALUE!</v>
      </c>
      <c r="O3502" s="6" t="e">
        <v>#VALUE!</v>
      </c>
      <c r="P3502" s="6" t="e">
        <v>#VALUE!</v>
      </c>
      <c r="T3502" s="9"/>
      <c r="U3502" s="1">
        <f t="shared" si="6052"/>
        <v>80</v>
      </c>
      <c r="V3502" s="1">
        <f t="shared" si="6053"/>
        <v>225</v>
      </c>
    </row>
    <row r="3503" spans="1:22" x14ac:dyDescent="0.3">
      <c r="A3503" s="1">
        <f t="shared" si="6018"/>
        <v>80226</v>
      </c>
      <c r="B3503" s="4"/>
      <c r="C3503" s="4"/>
      <c r="D3503" s="4"/>
      <c r="E3503" s="4"/>
      <c r="F3503" s="14"/>
      <c r="G3503" s="8"/>
      <c r="H3503" s="7"/>
      <c r="J3503" s="24" t="str">
        <f t="shared" ref="J3503" si="6080">CONCATENATE(K3501,2)</f>
        <v>72</v>
      </c>
      <c r="K3503" s="6" t="e">
        <v>#VALUE!</v>
      </c>
      <c r="L3503" s="6" t="e">
        <v>#VALUE!</v>
      </c>
      <c r="M3503" s="6" t="e">
        <v>#VALUE!</v>
      </c>
      <c r="N3503" s="6" t="e">
        <v>#VALUE!</v>
      </c>
      <c r="O3503" s="6" t="e">
        <v>#VALUE!</v>
      </c>
      <c r="P3503" s="6" t="e">
        <v>#VALUE!</v>
      </c>
      <c r="T3503" s="9"/>
      <c r="U3503" s="1">
        <f t="shared" si="6052"/>
        <v>80</v>
      </c>
      <c r="V3503" s="1">
        <f t="shared" si="6053"/>
        <v>226</v>
      </c>
    </row>
    <row r="3504" spans="1:22" x14ac:dyDescent="0.3">
      <c r="A3504" s="1">
        <f t="shared" si="6018"/>
        <v>80227</v>
      </c>
      <c r="B3504" s="9"/>
      <c r="C3504" s="9"/>
      <c r="D3504" s="9"/>
      <c r="E3504" s="9"/>
      <c r="F3504" s="9"/>
      <c r="G3504" s="9"/>
      <c r="H3504" s="9"/>
      <c r="J3504" s="24" t="str">
        <f t="shared" ref="J3504" si="6081">CONCATENATE(K3501,3)</f>
        <v>73</v>
      </c>
      <c r="K3504" s="6" t="e">
        <v>#VALUE!</v>
      </c>
      <c r="L3504" s="6" t="e">
        <v>#VALUE!</v>
      </c>
      <c r="M3504" s="6" t="e">
        <v>#VALUE!</v>
      </c>
      <c r="N3504" s="6" t="e">
        <v>#VALUE!</v>
      </c>
      <c r="O3504" s="6" t="e">
        <v>#VALUE!</v>
      </c>
      <c r="P3504" s="6" t="e">
        <v>#VALUE!</v>
      </c>
      <c r="T3504" s="9"/>
      <c r="U3504" s="1">
        <f t="shared" si="6052"/>
        <v>80</v>
      </c>
      <c r="V3504" s="1">
        <f t="shared" si="6053"/>
        <v>227</v>
      </c>
    </row>
    <row r="3505" spans="1:22" x14ac:dyDescent="0.3">
      <c r="A3505" s="1">
        <f t="shared" si="6018"/>
        <v>80228</v>
      </c>
      <c r="B3505" s="87" t="s">
        <v>33</v>
      </c>
      <c r="C3505" s="88"/>
      <c r="D3505" s="88"/>
      <c r="E3505" s="88"/>
      <c r="F3505" s="88"/>
      <c r="G3505" s="88"/>
      <c r="H3505" s="89"/>
      <c r="K3505" s="1">
        <v>8</v>
      </c>
      <c r="L3505" s="1">
        <v>8</v>
      </c>
      <c r="M3505" s="1">
        <v>8</v>
      </c>
      <c r="N3505" s="1">
        <v>8</v>
      </c>
      <c r="O3505" s="1">
        <v>8</v>
      </c>
      <c r="P3505" s="1">
        <v>8</v>
      </c>
      <c r="Q3505" s="1">
        <v>8</v>
      </c>
      <c r="T3505" s="9"/>
      <c r="U3505" s="1">
        <f t="shared" si="6052"/>
        <v>80</v>
      </c>
      <c r="V3505" s="1">
        <f t="shared" si="6053"/>
        <v>228</v>
      </c>
    </row>
    <row r="3506" spans="1:22" x14ac:dyDescent="0.3">
      <c r="A3506" s="1">
        <f t="shared" si="6018"/>
        <v>80229</v>
      </c>
      <c r="B3506" s="90"/>
      <c r="C3506" s="91"/>
      <c r="D3506" s="91"/>
      <c r="E3506" s="91"/>
      <c r="F3506" s="91"/>
      <c r="G3506" s="91"/>
      <c r="H3506" s="92"/>
      <c r="J3506" s="24" t="str">
        <f t="shared" ref="J3506" si="6082">CONCATENATE(K3505,1)</f>
        <v>81</v>
      </c>
      <c r="K3506" s="6" t="e">
        <f t="array" ref="K3506:Q3508">LINEST(B3494:B3501,C3494:C3501^{1,2,3,4,5,6},TRUE,TRUE)</f>
        <v>#VALUE!</v>
      </c>
      <c r="L3506" s="6" t="e">
        <v>#VALUE!</v>
      </c>
      <c r="M3506" s="6" t="e">
        <v>#VALUE!</v>
      </c>
      <c r="N3506" s="6" t="e">
        <v>#VALUE!</v>
      </c>
      <c r="O3506" s="6" t="e">
        <v>#VALUE!</v>
      </c>
      <c r="P3506" s="6" t="e">
        <v>#VALUE!</v>
      </c>
      <c r="Q3506" s="6" t="e">
        <v>#VALUE!</v>
      </c>
      <c r="T3506" s="9"/>
      <c r="U3506" s="1">
        <f t="shared" si="6052"/>
        <v>80</v>
      </c>
      <c r="V3506" s="1">
        <f t="shared" si="6053"/>
        <v>229</v>
      </c>
    </row>
    <row r="3507" spans="1:22" x14ac:dyDescent="0.3">
      <c r="A3507" s="1">
        <f t="shared" si="6018"/>
        <v>80230</v>
      </c>
      <c r="B3507" s="93"/>
      <c r="C3507" s="94"/>
      <c r="D3507" s="94"/>
      <c r="E3507" s="94"/>
      <c r="F3507" s="94"/>
      <c r="G3507" s="94"/>
      <c r="H3507" s="95"/>
      <c r="J3507" s="24" t="str">
        <f t="shared" ref="J3507" si="6083">CONCATENATE(K3505,2)</f>
        <v>82</v>
      </c>
      <c r="K3507" s="6" t="e">
        <v>#VALUE!</v>
      </c>
      <c r="L3507" s="6" t="e">
        <v>#VALUE!</v>
      </c>
      <c r="M3507" s="6" t="e">
        <v>#VALUE!</v>
      </c>
      <c r="N3507" s="6" t="e">
        <v>#VALUE!</v>
      </c>
      <c r="O3507" s="6" t="e">
        <v>#VALUE!</v>
      </c>
      <c r="P3507" s="6" t="e">
        <v>#VALUE!</v>
      </c>
      <c r="Q3507" s="6" t="e">
        <v>#VALUE!</v>
      </c>
      <c r="T3507" s="9"/>
      <c r="U3507" s="1">
        <f t="shared" si="6052"/>
        <v>80</v>
      </c>
      <c r="V3507" s="1">
        <f t="shared" si="6053"/>
        <v>230</v>
      </c>
    </row>
    <row r="3508" spans="1:22" x14ac:dyDescent="0.3">
      <c r="A3508" s="1">
        <f t="shared" si="6018"/>
        <v>80231</v>
      </c>
      <c r="J3508" s="24" t="str">
        <f t="shared" ref="J3508" si="6084">CONCATENATE(K3505,3)</f>
        <v>83</v>
      </c>
      <c r="K3508" s="6" t="e">
        <v>#VALUE!</v>
      </c>
      <c r="L3508" s="6" t="e">
        <v>#VALUE!</v>
      </c>
      <c r="M3508" s="6" t="e">
        <v>#VALUE!</v>
      </c>
      <c r="N3508" s="6" t="e">
        <v>#VALUE!</v>
      </c>
      <c r="O3508" s="6" t="e">
        <v>#VALUE!</v>
      </c>
      <c r="P3508" s="6" t="e">
        <v>#VALUE!</v>
      </c>
      <c r="Q3508" s="6" t="e">
        <v>#VALUE!</v>
      </c>
      <c r="T3508" s="9"/>
      <c r="U3508" s="1">
        <f t="shared" si="6052"/>
        <v>80</v>
      </c>
      <c r="V3508" s="1">
        <f t="shared" si="6053"/>
        <v>231</v>
      </c>
    </row>
    <row r="3509" spans="1:22" ht="15" customHeight="1" x14ac:dyDescent="0.3">
      <c r="A3509" s="1">
        <f t="shared" si="6018"/>
        <v>80232</v>
      </c>
      <c r="B3509" s="10" t="s">
        <v>34</v>
      </c>
      <c r="C3509" s="10" t="s">
        <v>35</v>
      </c>
      <c r="D3509" s="10" t="s">
        <v>36</v>
      </c>
      <c r="E3509" s="74" t="s">
        <v>37</v>
      </c>
      <c r="F3509" s="75"/>
      <c r="G3509" s="76"/>
      <c r="K3509" s="1">
        <v>9</v>
      </c>
      <c r="L3509" s="1">
        <v>9</v>
      </c>
      <c r="M3509" s="1">
        <v>9</v>
      </c>
      <c r="N3509" s="1">
        <v>9</v>
      </c>
      <c r="O3509" s="1">
        <v>9</v>
      </c>
      <c r="P3509" s="1">
        <v>9</v>
      </c>
      <c r="Q3509" s="1">
        <v>9</v>
      </c>
      <c r="R3509" s="1">
        <v>9</v>
      </c>
      <c r="T3509" s="9"/>
      <c r="U3509" s="1">
        <f t="shared" si="6052"/>
        <v>80</v>
      </c>
      <c r="V3509" s="1">
        <f t="shared" si="6053"/>
        <v>232</v>
      </c>
    </row>
    <row r="3510" spans="1:22" x14ac:dyDescent="0.3">
      <c r="A3510" s="1">
        <f t="shared" si="6018"/>
        <v>80233</v>
      </c>
      <c r="B3510" s="12">
        <f t="shared" ref="B3510:B3519" si="6085">C3494-B3494</f>
        <v>0</v>
      </c>
      <c r="C3510" s="13">
        <f t="shared" ref="C3510:C3519" si="6086">H3494-G3494</f>
        <v>0</v>
      </c>
      <c r="D3510" s="10">
        <f t="shared" ref="D3510:D3519" si="6087">C3510-B3510</f>
        <v>0</v>
      </c>
      <c r="E3510" s="11" t="str">
        <f t="shared" ref="E3510" si="6088">IF(D3485="","",MAX(F3510,G3510))</f>
        <v/>
      </c>
      <c r="F3510" s="10">
        <f t="shared" ref="F3510" si="6089">ABS(MIN(D3510:D3519))</f>
        <v>0</v>
      </c>
      <c r="G3510" s="10">
        <f t="shared" ref="G3510" si="6090">ABS(MAX(D3510:D3519))</f>
        <v>0</v>
      </c>
      <c r="J3510" s="24" t="str">
        <f t="shared" ref="J3510" si="6091">CONCATENATE(K3509,1)</f>
        <v>91</v>
      </c>
      <c r="K3510" s="6" t="e">
        <f t="array" ref="K3510:R3512">LINEST(B3494:B3502,C3494:C3502^{1,2,3,4,5,6,7},TRUE,TRUE)</f>
        <v>#VALUE!</v>
      </c>
      <c r="L3510" s="6" t="e">
        <v>#VALUE!</v>
      </c>
      <c r="M3510" s="6" t="e">
        <v>#VALUE!</v>
      </c>
      <c r="N3510" s="6" t="e">
        <v>#VALUE!</v>
      </c>
      <c r="O3510" s="6" t="e">
        <v>#VALUE!</v>
      </c>
      <c r="P3510" s="6" t="e">
        <v>#VALUE!</v>
      </c>
      <c r="Q3510" s="6" t="e">
        <v>#VALUE!</v>
      </c>
      <c r="R3510" s="6" t="e">
        <v>#VALUE!</v>
      </c>
      <c r="T3510" s="9"/>
      <c r="U3510" s="1">
        <f t="shared" si="6052"/>
        <v>80</v>
      </c>
      <c r="V3510" s="1">
        <f t="shared" si="6053"/>
        <v>233</v>
      </c>
    </row>
    <row r="3511" spans="1:22" x14ac:dyDescent="0.3">
      <c r="A3511" s="1">
        <f t="shared" si="6018"/>
        <v>80234</v>
      </c>
      <c r="B3511" s="12">
        <f t="shared" si="6085"/>
        <v>0</v>
      </c>
      <c r="C3511" s="13">
        <f t="shared" si="6086"/>
        <v>0</v>
      </c>
      <c r="D3511" s="10">
        <f t="shared" si="6087"/>
        <v>0</v>
      </c>
      <c r="E3511" s="74" t="s">
        <v>38</v>
      </c>
      <c r="F3511" s="75"/>
      <c r="G3511" s="76"/>
      <c r="J3511" s="24" t="str">
        <f t="shared" ref="J3511" si="6092">CONCATENATE(K3509,2)</f>
        <v>92</v>
      </c>
      <c r="K3511" s="6" t="e">
        <v>#VALUE!</v>
      </c>
      <c r="L3511" s="6" t="e">
        <v>#VALUE!</v>
      </c>
      <c r="M3511" s="6" t="e">
        <v>#VALUE!</v>
      </c>
      <c r="N3511" s="6" t="e">
        <v>#VALUE!</v>
      </c>
      <c r="O3511" s="6" t="e">
        <v>#VALUE!</v>
      </c>
      <c r="P3511" s="6" t="e">
        <v>#VALUE!</v>
      </c>
      <c r="Q3511" s="6" t="e">
        <v>#VALUE!</v>
      </c>
      <c r="R3511" s="6" t="e">
        <v>#VALUE!</v>
      </c>
      <c r="T3511" s="9"/>
      <c r="U3511" s="1">
        <f t="shared" si="6052"/>
        <v>80</v>
      </c>
      <c r="V3511" s="1">
        <f t="shared" si="6053"/>
        <v>234</v>
      </c>
    </row>
    <row r="3512" spans="1:22" x14ac:dyDescent="0.3">
      <c r="A3512" s="1">
        <f t="shared" si="6018"/>
        <v>80235</v>
      </c>
      <c r="B3512" s="12">
        <f t="shared" si="6085"/>
        <v>0</v>
      </c>
      <c r="C3512" s="13">
        <f t="shared" si="6086"/>
        <v>0</v>
      </c>
      <c r="D3512" s="10">
        <f t="shared" si="6087"/>
        <v>0</v>
      </c>
      <c r="E3512" s="11" t="str">
        <f t="shared" ref="E3512" si="6093">IF(D3485="","",MAX(F3512,G3512))</f>
        <v/>
      </c>
      <c r="F3512" s="10">
        <f t="shared" ref="F3512" si="6094">ABS(MIN(B3510:B3519))</f>
        <v>0</v>
      </c>
      <c r="G3512" s="10">
        <f t="shared" ref="G3512" si="6095">ABS(MAX(B3510:B3519))</f>
        <v>0</v>
      </c>
      <c r="J3512" s="24" t="str">
        <f t="shared" ref="J3512" si="6096">CONCATENATE(K3509,3)</f>
        <v>93</v>
      </c>
      <c r="K3512" s="6" t="e">
        <v>#VALUE!</v>
      </c>
      <c r="L3512" s="6" t="e">
        <v>#VALUE!</v>
      </c>
      <c r="M3512" s="6" t="e">
        <v>#VALUE!</v>
      </c>
      <c r="N3512" s="6" t="e">
        <v>#VALUE!</v>
      </c>
      <c r="O3512" s="6" t="e">
        <v>#VALUE!</v>
      </c>
      <c r="P3512" s="6" t="e">
        <v>#VALUE!</v>
      </c>
      <c r="Q3512" s="6" t="e">
        <v>#VALUE!</v>
      </c>
      <c r="R3512" s="6" t="e">
        <v>#VALUE!</v>
      </c>
      <c r="T3512" s="9"/>
      <c r="U3512" s="1">
        <f t="shared" si="6052"/>
        <v>80</v>
      </c>
      <c r="V3512" s="1">
        <f t="shared" si="6053"/>
        <v>235</v>
      </c>
    </row>
    <row r="3513" spans="1:22" x14ac:dyDescent="0.3">
      <c r="A3513" s="1">
        <f t="shared" si="6018"/>
        <v>80236</v>
      </c>
      <c r="B3513" s="12">
        <f t="shared" si="6085"/>
        <v>0</v>
      </c>
      <c r="C3513" s="13">
        <f t="shared" si="6086"/>
        <v>0</v>
      </c>
      <c r="D3513" s="10">
        <f t="shared" si="6087"/>
        <v>0</v>
      </c>
      <c r="E3513" s="74" t="s">
        <v>39</v>
      </c>
      <c r="F3513" s="75"/>
      <c r="G3513" s="76"/>
      <c r="K3513" s="1">
        <v>10</v>
      </c>
      <c r="L3513" s="1">
        <v>10</v>
      </c>
      <c r="M3513" s="1">
        <v>10</v>
      </c>
      <c r="N3513" s="1">
        <v>10</v>
      </c>
      <c r="O3513" s="1">
        <v>10</v>
      </c>
      <c r="P3513" s="1">
        <v>10</v>
      </c>
      <c r="Q3513" s="1">
        <v>10</v>
      </c>
      <c r="R3513" s="1">
        <v>10</v>
      </c>
      <c r="S3513" s="1">
        <v>10</v>
      </c>
      <c r="T3513" s="9"/>
      <c r="U3513" s="1">
        <f t="shared" si="6052"/>
        <v>80</v>
      </c>
      <c r="V3513" s="1">
        <f t="shared" si="6053"/>
        <v>236</v>
      </c>
    </row>
    <row r="3514" spans="1:22" x14ac:dyDescent="0.3">
      <c r="A3514" s="1">
        <f t="shared" si="6018"/>
        <v>80237</v>
      </c>
      <c r="B3514" s="12">
        <f t="shared" si="6085"/>
        <v>0</v>
      </c>
      <c r="C3514" s="13">
        <f t="shared" si="6086"/>
        <v>0</v>
      </c>
      <c r="D3514" s="10">
        <f t="shared" si="6087"/>
        <v>0</v>
      </c>
      <c r="E3514" s="11" t="str">
        <f t="shared" ref="E3514" si="6097">IF(D3485="","",MAX(F3514,G3514))</f>
        <v/>
      </c>
      <c r="F3514" s="10">
        <f t="shared" ref="F3514" si="6098">ABS(MIN(D3494:D3503))</f>
        <v>0</v>
      </c>
      <c r="G3514" s="10">
        <f t="shared" ref="G3514" si="6099">ABS(MAX(D3494:D3503))</f>
        <v>0</v>
      </c>
      <c r="J3514" s="24" t="str">
        <f t="shared" ref="J3514" si="6100">CONCATENATE(K3513,1)</f>
        <v>101</v>
      </c>
      <c r="K3514" s="6" t="e">
        <f t="array" ref="K3514:S3516">LINEST(B3494:B3503,C3494:C3503^{1,2,3,4,5,6,7,8},TRUE,TRUE)</f>
        <v>#VALUE!</v>
      </c>
      <c r="L3514" s="6" t="e">
        <v>#VALUE!</v>
      </c>
      <c r="M3514" s="6" t="e">
        <v>#VALUE!</v>
      </c>
      <c r="N3514" s="6" t="e">
        <v>#VALUE!</v>
      </c>
      <c r="O3514" s="6" t="e">
        <v>#VALUE!</v>
      </c>
      <c r="P3514" s="6" t="e">
        <v>#VALUE!</v>
      </c>
      <c r="Q3514" s="6" t="e">
        <v>#VALUE!</v>
      </c>
      <c r="R3514" s="6" t="e">
        <v>#VALUE!</v>
      </c>
      <c r="S3514" s="6" t="e">
        <v>#VALUE!</v>
      </c>
      <c r="T3514" s="9"/>
      <c r="U3514" s="1">
        <f t="shared" si="6052"/>
        <v>80</v>
      </c>
      <c r="V3514" s="1">
        <f t="shared" si="6053"/>
        <v>237</v>
      </c>
    </row>
    <row r="3515" spans="1:22" x14ac:dyDescent="0.3">
      <c r="A3515" s="1">
        <f t="shared" si="6018"/>
        <v>80238</v>
      </c>
      <c r="B3515" s="12">
        <f t="shared" si="6085"/>
        <v>0</v>
      </c>
      <c r="C3515" s="13">
        <f t="shared" si="6086"/>
        <v>0</v>
      </c>
      <c r="D3515" s="10">
        <f t="shared" si="6087"/>
        <v>0</v>
      </c>
      <c r="J3515" s="24" t="str">
        <f t="shared" ref="J3515" si="6101">CONCATENATE(K3513,2)</f>
        <v>102</v>
      </c>
      <c r="K3515" s="6" t="e">
        <v>#VALUE!</v>
      </c>
      <c r="L3515" s="6" t="e">
        <v>#VALUE!</v>
      </c>
      <c r="M3515" s="6" t="e">
        <v>#VALUE!</v>
      </c>
      <c r="N3515" s="6" t="e">
        <v>#VALUE!</v>
      </c>
      <c r="O3515" s="6" t="e">
        <v>#VALUE!</v>
      </c>
      <c r="P3515" s="6" t="e">
        <v>#VALUE!</v>
      </c>
      <c r="Q3515" s="6" t="e">
        <v>#VALUE!</v>
      </c>
      <c r="R3515" s="6" t="e">
        <v>#VALUE!</v>
      </c>
      <c r="S3515" s="6" t="e">
        <v>#VALUE!</v>
      </c>
      <c r="T3515" s="9"/>
      <c r="U3515" s="1">
        <f t="shared" si="6052"/>
        <v>80</v>
      </c>
      <c r="V3515" s="1">
        <f t="shared" si="6053"/>
        <v>238</v>
      </c>
    </row>
    <row r="3516" spans="1:22" x14ac:dyDescent="0.3">
      <c r="A3516" s="1">
        <f t="shared" si="6018"/>
        <v>80239</v>
      </c>
      <c r="B3516" s="12">
        <f t="shared" si="6085"/>
        <v>0</v>
      </c>
      <c r="C3516" s="13">
        <f t="shared" si="6086"/>
        <v>0</v>
      </c>
      <c r="D3516" s="10">
        <f t="shared" si="6087"/>
        <v>0</v>
      </c>
      <c r="J3516" s="24" t="str">
        <f t="shared" ref="J3516" si="6102">CONCATENATE(K3513,3)</f>
        <v>103</v>
      </c>
      <c r="K3516" s="6" t="e">
        <v>#VALUE!</v>
      </c>
      <c r="L3516" s="6" t="e">
        <v>#VALUE!</v>
      </c>
      <c r="M3516" s="6" t="e">
        <v>#VALUE!</v>
      </c>
      <c r="N3516" s="6" t="e">
        <v>#VALUE!</v>
      </c>
      <c r="O3516" s="6" t="e">
        <v>#VALUE!</v>
      </c>
      <c r="P3516" s="6" t="e">
        <v>#VALUE!</v>
      </c>
      <c r="Q3516" s="6" t="e">
        <v>#VALUE!</v>
      </c>
      <c r="R3516" s="6" t="e">
        <v>#VALUE!</v>
      </c>
      <c r="S3516" s="6" t="e">
        <v>#VALUE!</v>
      </c>
      <c r="T3516" s="9"/>
      <c r="U3516" s="1">
        <f t="shared" si="6052"/>
        <v>80</v>
      </c>
      <c r="V3516" s="1">
        <f t="shared" si="6053"/>
        <v>239</v>
      </c>
    </row>
    <row r="3517" spans="1:22" x14ac:dyDescent="0.3">
      <c r="A3517" s="1">
        <f t="shared" si="6018"/>
        <v>80240</v>
      </c>
      <c r="B3517" s="12">
        <f t="shared" si="6085"/>
        <v>0</v>
      </c>
      <c r="C3517" s="13">
        <f t="shared" si="6086"/>
        <v>0</v>
      </c>
      <c r="D3517" s="10">
        <f t="shared" si="6087"/>
        <v>0</v>
      </c>
      <c r="J3517" s="9"/>
      <c r="K3517" s="9"/>
      <c r="L3517" s="9"/>
      <c r="M3517" s="9"/>
      <c r="N3517" s="9"/>
      <c r="O3517" s="9"/>
      <c r="P3517" s="9"/>
      <c r="Q3517" s="9"/>
      <c r="R3517" s="9"/>
      <c r="S3517" s="9"/>
      <c r="T3517" s="9"/>
      <c r="U3517" s="1">
        <f t="shared" si="6052"/>
        <v>80</v>
      </c>
      <c r="V3517" s="1">
        <f t="shared" si="6053"/>
        <v>240</v>
      </c>
    </row>
    <row r="3518" spans="1:22" x14ac:dyDescent="0.3">
      <c r="A3518" s="1">
        <f t="shared" si="6018"/>
        <v>80241</v>
      </c>
      <c r="B3518" s="12">
        <f t="shared" si="6085"/>
        <v>0</v>
      </c>
      <c r="C3518" s="13">
        <f t="shared" si="6086"/>
        <v>0</v>
      </c>
      <c r="D3518" s="10">
        <f t="shared" si="6087"/>
        <v>0</v>
      </c>
      <c r="J3518" s="9"/>
      <c r="K3518" s="9"/>
      <c r="L3518" s="9"/>
      <c r="M3518" s="9"/>
      <c r="N3518" s="9"/>
      <c r="O3518" s="9"/>
      <c r="P3518" s="9"/>
      <c r="Q3518" s="9"/>
      <c r="R3518" s="9"/>
      <c r="S3518" s="9"/>
      <c r="T3518" s="9"/>
      <c r="U3518" s="1">
        <f t="shared" si="6052"/>
        <v>80</v>
      </c>
      <c r="V3518" s="1">
        <f t="shared" si="6053"/>
        <v>241</v>
      </c>
    </row>
    <row r="3519" spans="1:22" x14ac:dyDescent="0.3">
      <c r="A3519" s="1">
        <f t="shared" si="6018"/>
        <v>80242</v>
      </c>
      <c r="B3519" s="12">
        <f t="shared" si="6085"/>
        <v>0</v>
      </c>
      <c r="C3519" s="13">
        <f t="shared" si="6086"/>
        <v>0</v>
      </c>
      <c r="D3519" s="10">
        <f t="shared" si="6087"/>
        <v>0</v>
      </c>
      <c r="J3519" s="9"/>
      <c r="K3519" s="9"/>
      <c r="L3519" s="9"/>
      <c r="M3519" s="9"/>
      <c r="N3519" s="9"/>
      <c r="O3519" s="9"/>
      <c r="P3519" s="9"/>
      <c r="Q3519" s="9"/>
      <c r="R3519" s="9"/>
      <c r="S3519" s="9"/>
      <c r="T3519" s="9"/>
      <c r="U3519" s="1">
        <f t="shared" si="6052"/>
        <v>80</v>
      </c>
      <c r="V3519" s="1">
        <f t="shared" si="6053"/>
        <v>242</v>
      </c>
    </row>
    <row r="3520" spans="1:22" x14ac:dyDescent="0.3">
      <c r="A3520" s="1">
        <f t="shared" si="6018"/>
        <v>80243</v>
      </c>
      <c r="J3520" s="9"/>
      <c r="K3520" s="9"/>
      <c r="L3520" s="9"/>
      <c r="M3520" s="9"/>
      <c r="N3520" s="9"/>
      <c r="O3520" s="9"/>
      <c r="P3520" s="9"/>
      <c r="Q3520" s="9"/>
      <c r="R3520" s="9"/>
      <c r="S3520" s="9"/>
      <c r="T3520" s="9"/>
      <c r="U3520" s="1">
        <f t="shared" si="6052"/>
        <v>80</v>
      </c>
      <c r="V3520" s="1">
        <f t="shared" si="6053"/>
        <v>243</v>
      </c>
    </row>
    <row r="3521" spans="1:22" s="5" customFormat="1" x14ac:dyDescent="0.3"/>
    <row r="3522" spans="1:22" x14ac:dyDescent="0.3">
      <c r="A3522" s="1">
        <f t="shared" ref="A3522:A3564" si="6103">ROUND(CONCATENATE(U3522,V3522),0)</f>
        <v>81201</v>
      </c>
      <c r="B3522" s="96" t="s">
        <v>0</v>
      </c>
      <c r="C3522" s="97"/>
      <c r="D3522" s="98"/>
      <c r="E3522" s="99"/>
      <c r="F3522" s="99"/>
      <c r="G3522" s="99"/>
      <c r="H3522" s="100"/>
      <c r="J3522" s="9"/>
      <c r="K3522" s="9"/>
      <c r="L3522" s="9"/>
      <c r="M3522" s="9"/>
      <c r="N3522" s="9"/>
      <c r="O3522" s="9"/>
      <c r="P3522" s="9"/>
      <c r="Q3522" s="9"/>
      <c r="R3522" s="9"/>
      <c r="S3522" s="9"/>
      <c r="T3522" s="9"/>
      <c r="U3522" s="1">
        <f t="shared" ref="U3522" si="6104">U3520+1</f>
        <v>81</v>
      </c>
      <c r="V3522" s="1">
        <v>201</v>
      </c>
    </row>
    <row r="3523" spans="1:22" x14ac:dyDescent="0.3">
      <c r="A3523" s="1">
        <f t="shared" si="6103"/>
        <v>81202</v>
      </c>
      <c r="B3523" s="96" t="s">
        <v>1</v>
      </c>
      <c r="C3523" s="97"/>
      <c r="D3523" s="15"/>
      <c r="E3523" s="16" t="s">
        <v>2</v>
      </c>
      <c r="F3523" s="107"/>
      <c r="G3523" s="108"/>
      <c r="H3523" s="109"/>
      <c r="J3523" s="9"/>
      <c r="K3523" s="9"/>
      <c r="L3523" s="9"/>
      <c r="M3523" s="9"/>
      <c r="N3523" s="9"/>
      <c r="O3523" s="9"/>
      <c r="P3523" s="9"/>
      <c r="Q3523" s="9"/>
      <c r="R3523" s="9"/>
      <c r="S3523" s="9"/>
      <c r="T3523" s="9"/>
      <c r="U3523" s="1">
        <f t="shared" ref="U3523" si="6105">U3522</f>
        <v>81</v>
      </c>
      <c r="V3523" s="1">
        <f t="shared" ref="V3523" si="6106">V3522+1</f>
        <v>202</v>
      </c>
    </row>
    <row r="3524" spans="1:22" x14ac:dyDescent="0.3">
      <c r="A3524" s="1">
        <f t="shared" si="6103"/>
        <v>81203</v>
      </c>
      <c r="B3524" s="96" t="s">
        <v>12</v>
      </c>
      <c r="C3524" s="97"/>
      <c r="D3524" s="98"/>
      <c r="E3524" s="99"/>
      <c r="F3524" s="99"/>
      <c r="G3524" s="99"/>
      <c r="H3524" s="100"/>
      <c r="K3524" s="1" t="s">
        <v>3</v>
      </c>
      <c r="L3524" s="1" t="s">
        <v>4</v>
      </c>
      <c r="M3524" s="1" t="s">
        <v>5</v>
      </c>
      <c r="N3524" s="1" t="s">
        <v>6</v>
      </c>
      <c r="O3524" s="1" t="s">
        <v>7</v>
      </c>
      <c r="P3524" s="1" t="s">
        <v>8</v>
      </c>
      <c r="Q3524" s="1" t="s">
        <v>9</v>
      </c>
      <c r="R3524" s="1" t="s">
        <v>10</v>
      </c>
      <c r="S3524" s="1" t="s">
        <v>11</v>
      </c>
      <c r="T3524" s="9"/>
      <c r="U3524" s="1">
        <f t="shared" si="6052"/>
        <v>81</v>
      </c>
      <c r="V3524" s="1">
        <f t="shared" si="6053"/>
        <v>203</v>
      </c>
    </row>
    <row r="3525" spans="1:22" x14ac:dyDescent="0.3">
      <c r="A3525" s="1">
        <f t="shared" si="6103"/>
        <v>81204</v>
      </c>
      <c r="B3525" s="96" t="s">
        <v>13</v>
      </c>
      <c r="C3525" s="97"/>
      <c r="D3525" s="98"/>
      <c r="E3525" s="99"/>
      <c r="F3525" s="99"/>
      <c r="G3525" s="99"/>
      <c r="H3525" s="100"/>
      <c r="J3525" s="1">
        <f t="shared" ref="J3525" si="6107">COUNTA(B3538:B3547)</f>
        <v>0</v>
      </c>
      <c r="K3525" s="1">
        <f t="shared" ref="K3525" si="6108">IF(L3525-1&lt;2,0,L3525-1)</f>
        <v>0</v>
      </c>
      <c r="L3525" s="1">
        <f t="shared" ref="L3525" si="6109">IF(M3525-1&lt;2,0,M3525-1)</f>
        <v>0</v>
      </c>
      <c r="M3525" s="1">
        <f t="shared" ref="M3525" si="6110">IF(N3525-1&lt;2,0,N3525-1)</f>
        <v>0</v>
      </c>
      <c r="N3525" s="1">
        <f t="shared" ref="N3525" si="6111">IF(O3525-1&lt;2,0,O3525-1)</f>
        <v>0</v>
      </c>
      <c r="O3525" s="1">
        <f t="shared" ref="O3525" si="6112">IF(P3525-1&lt;2,0,P3525-1)</f>
        <v>0</v>
      </c>
      <c r="P3525" s="1">
        <f t="shared" ref="P3525" si="6113">IF(Q3525-1&lt;2,0,Q3525-1)</f>
        <v>0</v>
      </c>
      <c r="Q3525" s="1">
        <f t="shared" ref="Q3525" si="6114">IF(R3525-1&lt;2,0,R3525-1)</f>
        <v>0</v>
      </c>
      <c r="R3525" s="1">
        <f t="shared" ref="R3525" si="6115">IF(S3525-1&lt;2,0,S3525-1)</f>
        <v>0</v>
      </c>
      <c r="S3525" s="1">
        <f t="shared" ref="S3525" si="6116">J3525</f>
        <v>0</v>
      </c>
      <c r="T3525" s="9"/>
      <c r="U3525" s="1">
        <f t="shared" si="6052"/>
        <v>81</v>
      </c>
      <c r="V3525" s="1">
        <f t="shared" si="6053"/>
        <v>204</v>
      </c>
    </row>
    <row r="3526" spans="1:22" x14ac:dyDescent="0.3">
      <c r="A3526" s="1">
        <f t="shared" si="6103"/>
        <v>81205</v>
      </c>
      <c r="B3526" s="96" t="s">
        <v>14</v>
      </c>
      <c r="C3526" s="97"/>
      <c r="D3526" s="98"/>
      <c r="E3526" s="99"/>
      <c r="F3526" s="99"/>
      <c r="G3526" s="99"/>
      <c r="H3526" s="100"/>
      <c r="J3526" s="24" t="str">
        <f t="shared" ref="J3526" si="6117">CONCATENATE(J3525,1)</f>
        <v>01</v>
      </c>
      <c r="K3526" s="25">
        <f t="shared" ref="K3526" si="6118">IF(K3525=0,0,VLOOKUP(J3526,J3530:S3560,K3525,FALSE))</f>
        <v>0</v>
      </c>
      <c r="L3526" s="25">
        <f t="shared" ref="L3526" si="6119">IF(L3525=0,0,VLOOKUP(J3526,J3530:S3560,L3525,FALSE))</f>
        <v>0</v>
      </c>
      <c r="M3526" s="25">
        <f t="shared" ref="M3526" si="6120">IF(M3525=0,0,VLOOKUP(J3526,J3530:S3560,M3525,FALSE))</f>
        <v>0</v>
      </c>
      <c r="N3526" s="25">
        <f t="shared" ref="N3526" si="6121">IF(N3525=0,0,VLOOKUP(J3526,J3530:S3560,N3525,FALSE))</f>
        <v>0</v>
      </c>
      <c r="O3526" s="25">
        <f t="shared" ref="O3526" si="6122">IF(O3525=0,0,VLOOKUP(J3526,J3530:S3560,O3525,FALSE))</f>
        <v>0</v>
      </c>
      <c r="P3526" s="25">
        <f t="shared" ref="P3526" si="6123">IF(P3525=0,0,VLOOKUP(J3526,J3530:S3560,P3525,FALSE))</f>
        <v>0</v>
      </c>
      <c r="Q3526" s="25">
        <f t="shared" ref="Q3526" si="6124">IF(Q3525=0,0,VLOOKUP(J3526,J3530:S3560,Q3525,FALSE))</f>
        <v>0</v>
      </c>
      <c r="R3526" s="25">
        <f t="shared" ref="R3526" si="6125">IF(R3525=0,0,VLOOKUP(J3526,J3530:S3560,R3525,FALSE))</f>
        <v>0</v>
      </c>
      <c r="S3526" s="25">
        <f t="shared" ref="S3526" si="6126">IF(S3525=0,0,VLOOKUP(J3526,J3530:S3560,S3525,FALSE))</f>
        <v>0</v>
      </c>
      <c r="T3526" s="9"/>
      <c r="U3526" s="1">
        <f t="shared" si="6052"/>
        <v>81</v>
      </c>
      <c r="V3526" s="1">
        <f t="shared" si="6053"/>
        <v>205</v>
      </c>
    </row>
    <row r="3527" spans="1:22" x14ac:dyDescent="0.3">
      <c r="A3527" s="1">
        <f t="shared" si="6103"/>
        <v>81206</v>
      </c>
      <c r="B3527" s="96" t="s">
        <v>15</v>
      </c>
      <c r="C3527" s="97"/>
      <c r="D3527" s="98"/>
      <c r="E3527" s="99"/>
      <c r="F3527" s="99"/>
      <c r="G3527" s="99"/>
      <c r="H3527" s="100"/>
      <c r="J3527" s="24" t="str">
        <f t="shared" ref="J3527" si="6127">CONCATENATE(J3525,2)</f>
        <v>02</v>
      </c>
      <c r="K3527" s="6">
        <f t="shared" ref="K3527" si="6128">IF(K3525=0,0,VLOOKUP(J3527,J3530:S3560,K3525,FALSE))</f>
        <v>0</v>
      </c>
      <c r="L3527" s="6">
        <f t="shared" ref="L3527" si="6129">IF(L3525=0,0,VLOOKUP(J3527,J3530:S3560,L3525,FALSE))</f>
        <v>0</v>
      </c>
      <c r="M3527" s="6">
        <f t="shared" ref="M3527" si="6130">IF(M3525=0,0,VLOOKUP(J3527,J3530:S3560,M3525,FALSE))</f>
        <v>0</v>
      </c>
      <c r="N3527" s="6">
        <f t="shared" ref="N3527" si="6131">IF(N3525=0,0,VLOOKUP(J3527,J3530:S3560,N3525,FALSE))</f>
        <v>0</v>
      </c>
      <c r="O3527" s="6">
        <f t="shared" ref="O3527" si="6132">IF(O3525=0,0,VLOOKUP(J3527,J3530:S3560,O3525,FALSE))</f>
        <v>0</v>
      </c>
      <c r="P3527" s="6">
        <f t="shared" ref="P3527" si="6133">IF(P3525=0,0,VLOOKUP(J3527,J3530:S3560,P3525,FALSE))</f>
        <v>0</v>
      </c>
      <c r="Q3527" s="6">
        <f t="shared" ref="Q3527" si="6134">IF(Q3525=0,0,VLOOKUP(J3527,J3530:S3560,Q3525,FALSE))</f>
        <v>0</v>
      </c>
      <c r="R3527" s="6">
        <f t="shared" ref="R3527" si="6135">IF(R3525=0,0,VLOOKUP(J3527,J3530:S3560,R3525,FALSE))</f>
        <v>0</v>
      </c>
      <c r="S3527" s="6">
        <f t="shared" ref="S3527" si="6136">IF(S3525=0,0,VLOOKUP(J3527,J3530:S3560,S3525,FALSE))</f>
        <v>0</v>
      </c>
      <c r="T3527" s="9"/>
      <c r="U3527" s="1">
        <f t="shared" si="6052"/>
        <v>81</v>
      </c>
      <c r="V3527" s="1">
        <f t="shared" si="6053"/>
        <v>206</v>
      </c>
    </row>
    <row r="3528" spans="1:22" x14ac:dyDescent="0.3">
      <c r="A3528" s="1">
        <f t="shared" si="6103"/>
        <v>81207</v>
      </c>
      <c r="B3528" s="96" t="s">
        <v>16</v>
      </c>
      <c r="C3528" s="97"/>
      <c r="D3528" s="101"/>
      <c r="E3528" s="102"/>
      <c r="F3528" s="102"/>
      <c r="G3528" s="102"/>
      <c r="H3528" s="103"/>
      <c r="J3528" s="24" t="str">
        <f t="shared" ref="J3528" si="6137">CONCATENATE(J3525,3)</f>
        <v>03</v>
      </c>
      <c r="K3528" s="6"/>
      <c r="L3528" s="6"/>
      <c r="M3528" s="6"/>
      <c r="N3528" s="6" t="s">
        <v>43</v>
      </c>
      <c r="O3528" s="25">
        <f t="shared" ref="O3528" si="6138">J3525-2</f>
        <v>-2</v>
      </c>
      <c r="P3528" s="6" t="s">
        <v>44</v>
      </c>
      <c r="Q3528" s="25" t="e">
        <f t="shared" ref="Q3528" si="6139">VLOOKUP(J3528,J3530:S3560,3,FALSE)</f>
        <v>#N/A</v>
      </c>
      <c r="R3528" s="6" t="s">
        <v>45</v>
      </c>
      <c r="S3528" s="6" t="e">
        <f t="shared" ref="S3528" si="6140">VLOOKUP(J3528,J3530:S3560,2,FALSE)</f>
        <v>#N/A</v>
      </c>
      <c r="T3528" s="9"/>
      <c r="U3528" s="1">
        <f t="shared" si="6052"/>
        <v>81</v>
      </c>
      <c r="V3528" s="1">
        <f t="shared" si="6053"/>
        <v>207</v>
      </c>
    </row>
    <row r="3529" spans="1:22" x14ac:dyDescent="0.3">
      <c r="A3529" s="1">
        <f t="shared" si="6103"/>
        <v>81208</v>
      </c>
      <c r="B3529" s="96" t="s">
        <v>17</v>
      </c>
      <c r="C3529" s="97"/>
      <c r="D3529" s="104"/>
      <c r="E3529" s="105"/>
      <c r="F3529" s="105"/>
      <c r="G3529" s="105"/>
      <c r="H3529" s="106"/>
      <c r="K3529" s="1">
        <v>3</v>
      </c>
      <c r="L3529" s="1">
        <v>3</v>
      </c>
      <c r="Q3529" s="26"/>
      <c r="R3529" s="26"/>
      <c r="S3529" s="26"/>
      <c r="T3529" s="9"/>
      <c r="U3529" s="1">
        <f t="shared" si="6052"/>
        <v>81</v>
      </c>
      <c r="V3529" s="1">
        <f t="shared" si="6053"/>
        <v>208</v>
      </c>
    </row>
    <row r="3530" spans="1:22" x14ac:dyDescent="0.3">
      <c r="A3530" s="1">
        <f t="shared" si="6103"/>
        <v>81209</v>
      </c>
      <c r="B3530" s="77" t="s">
        <v>19</v>
      </c>
      <c r="C3530" s="78"/>
      <c r="D3530" s="17"/>
      <c r="E3530" s="79" t="s">
        <v>40</v>
      </c>
      <c r="F3530" s="80"/>
      <c r="G3530" s="81"/>
      <c r="H3530" s="18" t="s">
        <v>72</v>
      </c>
      <c r="J3530" s="24" t="str">
        <f t="shared" ref="J3530" si="6141">CONCATENATE(K3529,1)</f>
        <v>31</v>
      </c>
      <c r="K3530" s="6" t="e">
        <f t="array" ref="K3530:L3532">LINEST(B3538:B3540,C3538:C3540^{1},TRUE,TRUE)</f>
        <v>#VALUE!</v>
      </c>
      <c r="L3530" s="6" t="e">
        <v>#VALUE!</v>
      </c>
      <c r="Q3530" s="9"/>
      <c r="R3530" s="9"/>
      <c r="S3530" s="9"/>
      <c r="T3530" s="9"/>
      <c r="U3530" s="1">
        <f t="shared" si="6052"/>
        <v>81</v>
      </c>
      <c r="V3530" s="1">
        <f t="shared" si="6053"/>
        <v>209</v>
      </c>
    </row>
    <row r="3531" spans="1:22" x14ac:dyDescent="0.3">
      <c r="A3531" s="1">
        <f t="shared" si="6103"/>
        <v>81210</v>
      </c>
      <c r="B3531" s="77" t="s">
        <v>41</v>
      </c>
      <c r="C3531" s="78"/>
      <c r="D3531" s="23">
        <f t="shared" ref="D3531" si="6142">MIN(B3538:B3547)</f>
        <v>0</v>
      </c>
      <c r="E3531" s="20" t="s">
        <v>18</v>
      </c>
      <c r="F3531" s="19">
        <f t="shared" ref="F3531" si="6143">MAX(B3538:B3547)</f>
        <v>0</v>
      </c>
      <c r="G3531" s="21" t="str">
        <f t="shared" ref="G3531" si="6144">IF(H3530="","",H3530)</f>
        <v>%ur</v>
      </c>
      <c r="H3531" s="22"/>
      <c r="J3531" s="24" t="str">
        <f t="shared" ref="J3531" si="6145">CONCATENATE(K3529,2)</f>
        <v>32</v>
      </c>
      <c r="K3531" s="6" t="e">
        <v>#VALUE!</v>
      </c>
      <c r="L3531" s="6" t="e">
        <v>#VALUE!</v>
      </c>
      <c r="Q3531" s="9"/>
      <c r="R3531" s="9"/>
      <c r="S3531" s="9"/>
      <c r="T3531" s="9"/>
      <c r="U3531" s="1">
        <f t="shared" si="6052"/>
        <v>81</v>
      </c>
      <c r="V3531" s="1">
        <f t="shared" si="6053"/>
        <v>210</v>
      </c>
    </row>
    <row r="3532" spans="1:22" x14ac:dyDescent="0.3">
      <c r="A3532" s="1">
        <f t="shared" si="6103"/>
        <v>81211</v>
      </c>
      <c r="J3532" s="24" t="str">
        <f t="shared" ref="J3532" si="6146">CONCATENATE(K3529,3)</f>
        <v>33</v>
      </c>
      <c r="K3532" s="6" t="e">
        <v>#VALUE!</v>
      </c>
      <c r="L3532" s="6" t="e">
        <v>#VALUE!</v>
      </c>
      <c r="Q3532" s="9"/>
      <c r="R3532" s="9"/>
      <c r="S3532" s="9"/>
      <c r="T3532" s="9"/>
      <c r="U3532" s="1">
        <f t="shared" si="6052"/>
        <v>81</v>
      </c>
      <c r="V3532" s="1">
        <f t="shared" si="6053"/>
        <v>211</v>
      </c>
    </row>
    <row r="3533" spans="1:22" x14ac:dyDescent="0.3">
      <c r="A3533" s="1">
        <f t="shared" si="6103"/>
        <v>81212</v>
      </c>
      <c r="B3533" s="82" t="s">
        <v>20</v>
      </c>
      <c r="C3533" s="83"/>
      <c r="D3533" s="83"/>
      <c r="E3533" s="83"/>
      <c r="F3533" s="84"/>
      <c r="G3533" s="85" t="s">
        <v>31</v>
      </c>
      <c r="H3533" s="86"/>
      <c r="K3533" s="1">
        <v>4</v>
      </c>
      <c r="L3533" s="1">
        <v>4</v>
      </c>
      <c r="M3533" s="1">
        <v>4</v>
      </c>
      <c r="Q3533" s="9"/>
      <c r="R3533" s="9"/>
      <c r="S3533" s="9"/>
      <c r="T3533" s="9"/>
      <c r="U3533" s="1">
        <f t="shared" si="6052"/>
        <v>81</v>
      </c>
      <c r="V3533" s="1">
        <f t="shared" si="6053"/>
        <v>212</v>
      </c>
    </row>
    <row r="3534" spans="1:22" x14ac:dyDescent="0.3">
      <c r="A3534" s="1">
        <f t="shared" si="6103"/>
        <v>81213</v>
      </c>
      <c r="B3534" s="82" t="s">
        <v>30</v>
      </c>
      <c r="C3534" s="83"/>
      <c r="D3534" s="84"/>
      <c r="E3534" s="82">
        <f t="shared" ref="E3534" si="6147">D3527</f>
        <v>0</v>
      </c>
      <c r="F3534" s="84"/>
      <c r="G3534" s="6" t="s">
        <v>32</v>
      </c>
      <c r="H3534" s="7"/>
      <c r="J3534" s="24" t="str">
        <f t="shared" ref="J3534" si="6148">CONCATENATE(K3533,1)</f>
        <v>41</v>
      </c>
      <c r="K3534" s="6" t="e">
        <f t="array" ref="K3534:M3536">LINEST(B3538:B3541,C3538:C3541^{1,2},TRUE,TRUE)</f>
        <v>#VALUE!</v>
      </c>
      <c r="L3534" s="6" t="e">
        <v>#VALUE!</v>
      </c>
      <c r="M3534" s="6" t="e">
        <v>#VALUE!</v>
      </c>
      <c r="Q3534" s="9"/>
      <c r="R3534" s="9"/>
      <c r="S3534" s="9"/>
      <c r="T3534" s="9"/>
      <c r="U3534" s="1">
        <f t="shared" si="6052"/>
        <v>81</v>
      </c>
      <c r="V3534" s="1">
        <f t="shared" si="6053"/>
        <v>213</v>
      </c>
    </row>
    <row r="3535" spans="1:22" x14ac:dyDescent="0.3">
      <c r="A3535" s="1">
        <f t="shared" si="6103"/>
        <v>81214</v>
      </c>
      <c r="B3535" s="2" t="s">
        <v>21</v>
      </c>
      <c r="C3535" s="2" t="s">
        <v>22</v>
      </c>
      <c r="D3535" s="2" t="s">
        <v>23</v>
      </c>
      <c r="E3535" s="2"/>
      <c r="F3535" s="2" t="s">
        <v>28</v>
      </c>
      <c r="G3535" s="2" t="s">
        <v>21</v>
      </c>
      <c r="H3535" s="2" t="s">
        <v>22</v>
      </c>
      <c r="J3535" s="24" t="str">
        <f t="shared" ref="J3535" si="6149">CONCATENATE(K3533,2)</f>
        <v>42</v>
      </c>
      <c r="K3535" s="6" t="e">
        <v>#VALUE!</v>
      </c>
      <c r="L3535" s="6" t="e">
        <v>#VALUE!</v>
      </c>
      <c r="M3535" s="6" t="e">
        <v>#VALUE!</v>
      </c>
      <c r="Q3535" s="9"/>
      <c r="R3535" s="9"/>
      <c r="S3535" s="9"/>
      <c r="T3535" s="9"/>
      <c r="U3535" s="1">
        <f t="shared" si="6052"/>
        <v>81</v>
      </c>
      <c r="V3535" s="1">
        <f t="shared" si="6053"/>
        <v>214</v>
      </c>
    </row>
    <row r="3536" spans="1:22" x14ac:dyDescent="0.3">
      <c r="A3536" s="1">
        <f t="shared" si="6103"/>
        <v>81215</v>
      </c>
      <c r="B3536" s="2" t="s">
        <v>24</v>
      </c>
      <c r="C3536" s="2" t="s">
        <v>25</v>
      </c>
      <c r="D3536" s="2" t="s">
        <v>26</v>
      </c>
      <c r="E3536" s="2" t="s">
        <v>27</v>
      </c>
      <c r="F3536" s="2" t="s">
        <v>29</v>
      </c>
      <c r="G3536" s="2" t="s">
        <v>24</v>
      </c>
      <c r="H3536" s="2" t="s">
        <v>25</v>
      </c>
      <c r="J3536" s="24" t="str">
        <f t="shared" ref="J3536" si="6150">CONCATENATE(K3533,3)</f>
        <v>43</v>
      </c>
      <c r="K3536" s="6" t="e">
        <v>#VALUE!</v>
      </c>
      <c r="L3536" s="6" t="e">
        <v>#VALUE!</v>
      </c>
      <c r="M3536" s="6" t="e">
        <v>#VALUE!</v>
      </c>
      <c r="Q3536" s="9"/>
      <c r="R3536" s="9"/>
      <c r="S3536" s="9"/>
      <c r="T3536" s="9"/>
      <c r="U3536" s="1">
        <f t="shared" si="6052"/>
        <v>81</v>
      </c>
      <c r="V3536" s="1">
        <f t="shared" si="6053"/>
        <v>215</v>
      </c>
    </row>
    <row r="3537" spans="1:22" x14ac:dyDescent="0.3">
      <c r="A3537" s="1">
        <f t="shared" si="6103"/>
        <v>81216</v>
      </c>
      <c r="B3537" s="3" t="str">
        <f t="shared" ref="B3537" si="6151">H3530</f>
        <v>%ur</v>
      </c>
      <c r="C3537" s="3" t="str">
        <f t="shared" ref="C3537" si="6152">B3537</f>
        <v>%ur</v>
      </c>
      <c r="D3537" s="3" t="str">
        <f t="shared" ref="D3537" si="6153">C3537</f>
        <v>%ur</v>
      </c>
      <c r="E3537" s="3"/>
      <c r="F3537" s="3"/>
      <c r="G3537" s="3" t="str">
        <f t="shared" ref="G3537" si="6154">D3537</f>
        <v>%ur</v>
      </c>
      <c r="H3537" s="3" t="str">
        <f t="shared" ref="H3537" si="6155">G3537</f>
        <v>%ur</v>
      </c>
      <c r="K3537" s="1">
        <v>5</v>
      </c>
      <c r="L3537" s="1">
        <v>5</v>
      </c>
      <c r="M3537" s="1">
        <v>5</v>
      </c>
      <c r="N3537" s="1">
        <v>5</v>
      </c>
      <c r="Q3537" s="9"/>
      <c r="R3537" s="9"/>
      <c r="S3537" s="9"/>
      <c r="T3537" s="9"/>
      <c r="U3537" s="1">
        <f t="shared" si="6052"/>
        <v>81</v>
      </c>
      <c r="V3537" s="1">
        <f t="shared" si="6053"/>
        <v>216</v>
      </c>
    </row>
    <row r="3538" spans="1:22" x14ac:dyDescent="0.3">
      <c r="A3538" s="1">
        <f t="shared" si="6103"/>
        <v>81217</v>
      </c>
      <c r="B3538" s="4"/>
      <c r="C3538" s="4"/>
      <c r="D3538" s="4"/>
      <c r="E3538" s="4"/>
      <c r="F3538" s="14"/>
      <c r="G3538" s="8"/>
      <c r="H3538" s="7"/>
      <c r="J3538" s="24" t="str">
        <f t="shared" ref="J3538" si="6156">CONCATENATE(K3537,1)</f>
        <v>51</v>
      </c>
      <c r="K3538" s="6" t="e">
        <f t="array" ref="K3538:N3540">LINEST(B3538:B3542,C3538:C3542^{1,2,3},TRUE,TRUE)</f>
        <v>#VALUE!</v>
      </c>
      <c r="L3538" s="6" t="e">
        <v>#VALUE!</v>
      </c>
      <c r="M3538" s="6" t="e">
        <v>#VALUE!</v>
      </c>
      <c r="N3538" s="6" t="e">
        <v>#VALUE!</v>
      </c>
      <c r="Q3538" s="9"/>
      <c r="R3538" s="9"/>
      <c r="S3538" s="9"/>
      <c r="T3538" s="9"/>
      <c r="U3538" s="1">
        <f t="shared" si="6052"/>
        <v>81</v>
      </c>
      <c r="V3538" s="1">
        <f t="shared" si="6053"/>
        <v>217</v>
      </c>
    </row>
    <row r="3539" spans="1:22" x14ac:dyDescent="0.3">
      <c r="A3539" s="1">
        <f t="shared" si="6103"/>
        <v>81218</v>
      </c>
      <c r="B3539" s="4"/>
      <c r="C3539" s="4"/>
      <c r="D3539" s="4"/>
      <c r="E3539" s="4"/>
      <c r="F3539" s="14"/>
      <c r="G3539" s="8"/>
      <c r="H3539" s="7"/>
      <c r="J3539" s="24" t="str">
        <f t="shared" ref="J3539" si="6157">CONCATENATE(K3537,2)</f>
        <v>52</v>
      </c>
      <c r="K3539" s="6" t="e">
        <v>#VALUE!</v>
      </c>
      <c r="L3539" s="6" t="e">
        <v>#VALUE!</v>
      </c>
      <c r="M3539" s="6" t="e">
        <v>#VALUE!</v>
      </c>
      <c r="N3539" s="6" t="e">
        <v>#VALUE!</v>
      </c>
      <c r="T3539" s="9"/>
      <c r="U3539" s="1">
        <f t="shared" si="6052"/>
        <v>81</v>
      </c>
      <c r="V3539" s="1">
        <f t="shared" si="6053"/>
        <v>218</v>
      </c>
    </row>
    <row r="3540" spans="1:22" x14ac:dyDescent="0.3">
      <c r="A3540" s="1">
        <f t="shared" si="6103"/>
        <v>81219</v>
      </c>
      <c r="B3540" s="4"/>
      <c r="C3540" s="4"/>
      <c r="D3540" s="4"/>
      <c r="E3540" s="4"/>
      <c r="F3540" s="14"/>
      <c r="G3540" s="8"/>
      <c r="H3540" s="7"/>
      <c r="J3540" s="24" t="str">
        <f t="shared" ref="J3540" si="6158">CONCATENATE(K3537,3)</f>
        <v>53</v>
      </c>
      <c r="K3540" s="6" t="e">
        <v>#VALUE!</v>
      </c>
      <c r="L3540" s="6" t="e">
        <v>#VALUE!</v>
      </c>
      <c r="M3540" s="6" t="e">
        <v>#VALUE!</v>
      </c>
      <c r="N3540" s="6" t="e">
        <v>#VALUE!</v>
      </c>
      <c r="T3540" s="9"/>
      <c r="U3540" s="1">
        <f t="shared" si="6052"/>
        <v>81</v>
      </c>
      <c r="V3540" s="1">
        <f t="shared" si="6053"/>
        <v>219</v>
      </c>
    </row>
    <row r="3541" spans="1:22" x14ac:dyDescent="0.3">
      <c r="A3541" s="1">
        <f t="shared" si="6103"/>
        <v>81220</v>
      </c>
      <c r="B3541" s="4"/>
      <c r="C3541" s="4"/>
      <c r="D3541" s="4"/>
      <c r="E3541" s="4"/>
      <c r="F3541" s="14"/>
      <c r="G3541" s="8"/>
      <c r="H3541" s="7"/>
      <c r="K3541" s="1">
        <v>6</v>
      </c>
      <c r="L3541" s="1">
        <v>6</v>
      </c>
      <c r="M3541" s="1">
        <v>6</v>
      </c>
      <c r="N3541" s="1">
        <v>6</v>
      </c>
      <c r="O3541" s="1">
        <v>6</v>
      </c>
      <c r="T3541" s="9"/>
      <c r="U3541" s="1">
        <f t="shared" si="6052"/>
        <v>81</v>
      </c>
      <c r="V3541" s="1">
        <f t="shared" si="6053"/>
        <v>220</v>
      </c>
    </row>
    <row r="3542" spans="1:22" x14ac:dyDescent="0.3">
      <c r="A3542" s="1">
        <f t="shared" si="6103"/>
        <v>81221</v>
      </c>
      <c r="B3542" s="4"/>
      <c r="C3542" s="4"/>
      <c r="D3542" s="4"/>
      <c r="E3542" s="4"/>
      <c r="F3542" s="14"/>
      <c r="G3542" s="8"/>
      <c r="H3542" s="7"/>
      <c r="J3542" s="24" t="str">
        <f t="shared" ref="J3542" si="6159">CONCATENATE(K3541,1)</f>
        <v>61</v>
      </c>
      <c r="K3542" s="6" t="e">
        <f t="array" ref="K3542:O3544">LINEST(B3538:B3543,C3538:C3543^{1,2,3,4},TRUE,TRUE)</f>
        <v>#VALUE!</v>
      </c>
      <c r="L3542" s="6" t="e">
        <v>#VALUE!</v>
      </c>
      <c r="M3542" s="6" t="e">
        <v>#VALUE!</v>
      </c>
      <c r="N3542" s="6" t="e">
        <v>#VALUE!</v>
      </c>
      <c r="O3542" s="6" t="e">
        <v>#VALUE!</v>
      </c>
      <c r="T3542" s="9"/>
      <c r="U3542" s="1">
        <f t="shared" si="6052"/>
        <v>81</v>
      </c>
      <c r="V3542" s="1">
        <f t="shared" si="6053"/>
        <v>221</v>
      </c>
    </row>
    <row r="3543" spans="1:22" x14ac:dyDescent="0.3">
      <c r="A3543" s="1">
        <f t="shared" si="6103"/>
        <v>81222</v>
      </c>
      <c r="B3543" s="4"/>
      <c r="C3543" s="4"/>
      <c r="D3543" s="4"/>
      <c r="E3543" s="4"/>
      <c r="F3543" s="14"/>
      <c r="G3543" s="8"/>
      <c r="H3543" s="7"/>
      <c r="J3543" s="24" t="str">
        <f t="shared" ref="J3543" si="6160">CONCATENATE(K3541,2)</f>
        <v>62</v>
      </c>
      <c r="K3543" s="6" t="e">
        <v>#VALUE!</v>
      </c>
      <c r="L3543" s="6" t="e">
        <v>#VALUE!</v>
      </c>
      <c r="M3543" s="6" t="e">
        <v>#VALUE!</v>
      </c>
      <c r="N3543" s="6" t="e">
        <v>#VALUE!</v>
      </c>
      <c r="O3543" s="6" t="e">
        <v>#VALUE!</v>
      </c>
      <c r="T3543" s="9"/>
      <c r="U3543" s="1">
        <f t="shared" si="6052"/>
        <v>81</v>
      </c>
      <c r="V3543" s="1">
        <f t="shared" si="6053"/>
        <v>222</v>
      </c>
    </row>
    <row r="3544" spans="1:22" x14ac:dyDescent="0.3">
      <c r="A3544" s="1">
        <f t="shared" si="6103"/>
        <v>81223</v>
      </c>
      <c r="B3544" s="4"/>
      <c r="C3544" s="4"/>
      <c r="D3544" s="4"/>
      <c r="E3544" s="4"/>
      <c r="F3544" s="14"/>
      <c r="G3544" s="8"/>
      <c r="H3544" s="7"/>
      <c r="J3544" s="24" t="str">
        <f t="shared" ref="J3544" si="6161">CONCATENATE(K3541,3)</f>
        <v>63</v>
      </c>
      <c r="K3544" s="6" t="e">
        <v>#VALUE!</v>
      </c>
      <c r="L3544" s="6" t="e">
        <v>#VALUE!</v>
      </c>
      <c r="M3544" s="6" t="e">
        <v>#VALUE!</v>
      </c>
      <c r="N3544" s="6" t="e">
        <v>#VALUE!</v>
      </c>
      <c r="O3544" s="6" t="e">
        <v>#VALUE!</v>
      </c>
      <c r="T3544" s="9"/>
      <c r="U3544" s="1">
        <f t="shared" si="6052"/>
        <v>81</v>
      </c>
      <c r="V3544" s="1">
        <f t="shared" si="6053"/>
        <v>223</v>
      </c>
    </row>
    <row r="3545" spans="1:22" x14ac:dyDescent="0.3">
      <c r="A3545" s="1">
        <f t="shared" si="6103"/>
        <v>81224</v>
      </c>
      <c r="B3545" s="4"/>
      <c r="C3545" s="4"/>
      <c r="D3545" s="4"/>
      <c r="E3545" s="4"/>
      <c r="F3545" s="14"/>
      <c r="G3545" s="8"/>
      <c r="H3545" s="7"/>
      <c r="K3545" s="1">
        <v>7</v>
      </c>
      <c r="L3545" s="1">
        <v>7</v>
      </c>
      <c r="M3545" s="1">
        <v>7</v>
      </c>
      <c r="N3545" s="1">
        <v>7</v>
      </c>
      <c r="O3545" s="1">
        <v>7</v>
      </c>
      <c r="P3545" s="1">
        <v>7</v>
      </c>
      <c r="T3545" s="9"/>
      <c r="U3545" s="1">
        <f t="shared" si="6052"/>
        <v>81</v>
      </c>
      <c r="V3545" s="1">
        <f t="shared" si="6053"/>
        <v>224</v>
      </c>
    </row>
    <row r="3546" spans="1:22" x14ac:dyDescent="0.3">
      <c r="A3546" s="1">
        <f t="shared" si="6103"/>
        <v>81225</v>
      </c>
      <c r="B3546" s="4"/>
      <c r="C3546" s="4"/>
      <c r="D3546" s="4"/>
      <c r="E3546" s="4"/>
      <c r="F3546" s="14"/>
      <c r="G3546" s="8"/>
      <c r="H3546" s="7"/>
      <c r="J3546" s="24" t="str">
        <f t="shared" ref="J3546" si="6162">CONCATENATE(K3545,1)</f>
        <v>71</v>
      </c>
      <c r="K3546" s="6" t="e">
        <f t="array" ref="K3546:P3548">LINEST(B3538:B3544,C3538:C3544^{1,2,3,4,5},TRUE,TRUE)</f>
        <v>#VALUE!</v>
      </c>
      <c r="L3546" s="6" t="e">
        <v>#VALUE!</v>
      </c>
      <c r="M3546" s="6" t="e">
        <v>#VALUE!</v>
      </c>
      <c r="N3546" s="6" t="e">
        <v>#VALUE!</v>
      </c>
      <c r="O3546" s="6" t="e">
        <v>#VALUE!</v>
      </c>
      <c r="P3546" s="6" t="e">
        <v>#VALUE!</v>
      </c>
      <c r="T3546" s="9"/>
      <c r="U3546" s="1">
        <f t="shared" si="6052"/>
        <v>81</v>
      </c>
      <c r="V3546" s="1">
        <f t="shared" si="6053"/>
        <v>225</v>
      </c>
    </row>
    <row r="3547" spans="1:22" x14ac:dyDescent="0.3">
      <c r="A3547" s="1">
        <f t="shared" si="6103"/>
        <v>81226</v>
      </c>
      <c r="B3547" s="4"/>
      <c r="C3547" s="4"/>
      <c r="D3547" s="4"/>
      <c r="E3547" s="4"/>
      <c r="F3547" s="14"/>
      <c r="G3547" s="8"/>
      <c r="H3547" s="7"/>
      <c r="J3547" s="24" t="str">
        <f t="shared" ref="J3547" si="6163">CONCATENATE(K3545,2)</f>
        <v>72</v>
      </c>
      <c r="K3547" s="6" t="e">
        <v>#VALUE!</v>
      </c>
      <c r="L3547" s="6" t="e">
        <v>#VALUE!</v>
      </c>
      <c r="M3547" s="6" t="e">
        <v>#VALUE!</v>
      </c>
      <c r="N3547" s="6" t="e">
        <v>#VALUE!</v>
      </c>
      <c r="O3547" s="6" t="e">
        <v>#VALUE!</v>
      </c>
      <c r="P3547" s="6" t="e">
        <v>#VALUE!</v>
      </c>
      <c r="T3547" s="9"/>
      <c r="U3547" s="1">
        <f t="shared" ref="U3547:U3608" si="6164">U3546</f>
        <v>81</v>
      </c>
      <c r="V3547" s="1">
        <f t="shared" ref="V3547:V3608" si="6165">V3546+1</f>
        <v>226</v>
      </c>
    </row>
    <row r="3548" spans="1:22" x14ac:dyDescent="0.3">
      <c r="A3548" s="1">
        <f t="shared" si="6103"/>
        <v>81227</v>
      </c>
      <c r="B3548" s="9"/>
      <c r="C3548" s="9"/>
      <c r="D3548" s="9"/>
      <c r="E3548" s="9"/>
      <c r="F3548" s="9"/>
      <c r="G3548" s="9"/>
      <c r="H3548" s="9"/>
      <c r="J3548" s="24" t="str">
        <f t="shared" ref="J3548" si="6166">CONCATENATE(K3545,3)</f>
        <v>73</v>
      </c>
      <c r="K3548" s="6" t="e">
        <v>#VALUE!</v>
      </c>
      <c r="L3548" s="6" t="e">
        <v>#VALUE!</v>
      </c>
      <c r="M3548" s="6" t="e">
        <v>#VALUE!</v>
      </c>
      <c r="N3548" s="6" t="e">
        <v>#VALUE!</v>
      </c>
      <c r="O3548" s="6" t="e">
        <v>#VALUE!</v>
      </c>
      <c r="P3548" s="6" t="e">
        <v>#VALUE!</v>
      </c>
      <c r="T3548" s="9"/>
      <c r="U3548" s="1">
        <f t="shared" si="6164"/>
        <v>81</v>
      </c>
      <c r="V3548" s="1">
        <f t="shared" si="6165"/>
        <v>227</v>
      </c>
    </row>
    <row r="3549" spans="1:22" x14ac:dyDescent="0.3">
      <c r="A3549" s="1">
        <f t="shared" si="6103"/>
        <v>81228</v>
      </c>
      <c r="B3549" s="87" t="s">
        <v>33</v>
      </c>
      <c r="C3549" s="88"/>
      <c r="D3549" s="88"/>
      <c r="E3549" s="88"/>
      <c r="F3549" s="88"/>
      <c r="G3549" s="88"/>
      <c r="H3549" s="89"/>
      <c r="K3549" s="1">
        <v>8</v>
      </c>
      <c r="L3549" s="1">
        <v>8</v>
      </c>
      <c r="M3549" s="1">
        <v>8</v>
      </c>
      <c r="N3549" s="1">
        <v>8</v>
      </c>
      <c r="O3549" s="1">
        <v>8</v>
      </c>
      <c r="P3549" s="1">
        <v>8</v>
      </c>
      <c r="Q3549" s="1">
        <v>8</v>
      </c>
      <c r="T3549" s="9"/>
      <c r="U3549" s="1">
        <f t="shared" si="6164"/>
        <v>81</v>
      </c>
      <c r="V3549" s="1">
        <f t="shared" si="6165"/>
        <v>228</v>
      </c>
    </row>
    <row r="3550" spans="1:22" x14ac:dyDescent="0.3">
      <c r="A3550" s="1">
        <f t="shared" si="6103"/>
        <v>81229</v>
      </c>
      <c r="B3550" s="90"/>
      <c r="C3550" s="91"/>
      <c r="D3550" s="91"/>
      <c r="E3550" s="91"/>
      <c r="F3550" s="91"/>
      <c r="G3550" s="91"/>
      <c r="H3550" s="92"/>
      <c r="J3550" s="24" t="str">
        <f t="shared" ref="J3550" si="6167">CONCATENATE(K3549,1)</f>
        <v>81</v>
      </c>
      <c r="K3550" s="6" t="e">
        <f t="array" ref="K3550:Q3552">LINEST(B3538:B3545,C3538:C3545^{1,2,3,4,5,6},TRUE,TRUE)</f>
        <v>#VALUE!</v>
      </c>
      <c r="L3550" s="6" t="e">
        <v>#VALUE!</v>
      </c>
      <c r="M3550" s="6" t="e">
        <v>#VALUE!</v>
      </c>
      <c r="N3550" s="6" t="e">
        <v>#VALUE!</v>
      </c>
      <c r="O3550" s="6" t="e">
        <v>#VALUE!</v>
      </c>
      <c r="P3550" s="6" t="e">
        <v>#VALUE!</v>
      </c>
      <c r="Q3550" s="6" t="e">
        <v>#VALUE!</v>
      </c>
      <c r="T3550" s="9"/>
      <c r="U3550" s="1">
        <f t="shared" si="6164"/>
        <v>81</v>
      </c>
      <c r="V3550" s="1">
        <f t="shared" si="6165"/>
        <v>229</v>
      </c>
    </row>
    <row r="3551" spans="1:22" x14ac:dyDescent="0.3">
      <c r="A3551" s="1">
        <f t="shared" si="6103"/>
        <v>81230</v>
      </c>
      <c r="B3551" s="93"/>
      <c r="C3551" s="94"/>
      <c r="D3551" s="94"/>
      <c r="E3551" s="94"/>
      <c r="F3551" s="94"/>
      <c r="G3551" s="94"/>
      <c r="H3551" s="95"/>
      <c r="J3551" s="24" t="str">
        <f t="shared" ref="J3551" si="6168">CONCATENATE(K3549,2)</f>
        <v>82</v>
      </c>
      <c r="K3551" s="6" t="e">
        <v>#VALUE!</v>
      </c>
      <c r="L3551" s="6" t="e">
        <v>#VALUE!</v>
      </c>
      <c r="M3551" s="6" t="e">
        <v>#VALUE!</v>
      </c>
      <c r="N3551" s="6" t="e">
        <v>#VALUE!</v>
      </c>
      <c r="O3551" s="6" t="e">
        <v>#VALUE!</v>
      </c>
      <c r="P3551" s="6" t="e">
        <v>#VALUE!</v>
      </c>
      <c r="Q3551" s="6" t="e">
        <v>#VALUE!</v>
      </c>
      <c r="T3551" s="9"/>
      <c r="U3551" s="1">
        <f t="shared" si="6164"/>
        <v>81</v>
      </c>
      <c r="V3551" s="1">
        <f t="shared" si="6165"/>
        <v>230</v>
      </c>
    </row>
    <row r="3552" spans="1:22" x14ac:dyDescent="0.3">
      <c r="A3552" s="1">
        <f t="shared" si="6103"/>
        <v>81231</v>
      </c>
      <c r="J3552" s="24" t="str">
        <f t="shared" ref="J3552" si="6169">CONCATENATE(K3549,3)</f>
        <v>83</v>
      </c>
      <c r="K3552" s="6" t="e">
        <v>#VALUE!</v>
      </c>
      <c r="L3552" s="6" t="e">
        <v>#VALUE!</v>
      </c>
      <c r="M3552" s="6" t="e">
        <v>#VALUE!</v>
      </c>
      <c r="N3552" s="6" t="e">
        <v>#VALUE!</v>
      </c>
      <c r="O3552" s="6" t="e">
        <v>#VALUE!</v>
      </c>
      <c r="P3552" s="6" t="e">
        <v>#VALUE!</v>
      </c>
      <c r="Q3552" s="6" t="e">
        <v>#VALUE!</v>
      </c>
      <c r="T3552" s="9"/>
      <c r="U3552" s="1">
        <f t="shared" si="6164"/>
        <v>81</v>
      </c>
      <c r="V3552" s="1">
        <f t="shared" si="6165"/>
        <v>231</v>
      </c>
    </row>
    <row r="3553" spans="1:22" ht="15" customHeight="1" x14ac:dyDescent="0.3">
      <c r="A3553" s="1">
        <f t="shared" si="6103"/>
        <v>81232</v>
      </c>
      <c r="B3553" s="10" t="s">
        <v>34</v>
      </c>
      <c r="C3553" s="10" t="s">
        <v>35</v>
      </c>
      <c r="D3553" s="10" t="s">
        <v>36</v>
      </c>
      <c r="E3553" s="74" t="s">
        <v>37</v>
      </c>
      <c r="F3553" s="75"/>
      <c r="G3553" s="76"/>
      <c r="K3553" s="1">
        <v>9</v>
      </c>
      <c r="L3553" s="1">
        <v>9</v>
      </c>
      <c r="M3553" s="1">
        <v>9</v>
      </c>
      <c r="N3553" s="1">
        <v>9</v>
      </c>
      <c r="O3553" s="1">
        <v>9</v>
      </c>
      <c r="P3553" s="1">
        <v>9</v>
      </c>
      <c r="Q3553" s="1">
        <v>9</v>
      </c>
      <c r="R3553" s="1">
        <v>9</v>
      </c>
      <c r="T3553" s="9"/>
      <c r="U3553" s="1">
        <f t="shared" si="6164"/>
        <v>81</v>
      </c>
      <c r="V3553" s="1">
        <f t="shared" si="6165"/>
        <v>232</v>
      </c>
    </row>
    <row r="3554" spans="1:22" x14ac:dyDescent="0.3">
      <c r="A3554" s="1">
        <f t="shared" si="6103"/>
        <v>81233</v>
      </c>
      <c r="B3554" s="12">
        <f t="shared" ref="B3554:B3563" si="6170">C3538-B3538</f>
        <v>0</v>
      </c>
      <c r="C3554" s="13">
        <f t="shared" ref="C3554:C3563" si="6171">H3538-G3538</f>
        <v>0</v>
      </c>
      <c r="D3554" s="10">
        <f t="shared" ref="D3554:D3563" si="6172">C3554-B3554</f>
        <v>0</v>
      </c>
      <c r="E3554" s="11" t="str">
        <f t="shared" ref="E3554" si="6173">IF(D3529="","",MAX(F3554,G3554))</f>
        <v/>
      </c>
      <c r="F3554" s="10">
        <f t="shared" ref="F3554" si="6174">ABS(MIN(D3554:D3563))</f>
        <v>0</v>
      </c>
      <c r="G3554" s="10">
        <f t="shared" ref="G3554" si="6175">ABS(MAX(D3554:D3563))</f>
        <v>0</v>
      </c>
      <c r="J3554" s="24" t="str">
        <f t="shared" ref="J3554" si="6176">CONCATENATE(K3553,1)</f>
        <v>91</v>
      </c>
      <c r="K3554" s="6" t="e">
        <f t="array" ref="K3554:R3556">LINEST(B3538:B3546,C3538:C3546^{1,2,3,4,5,6,7},TRUE,TRUE)</f>
        <v>#VALUE!</v>
      </c>
      <c r="L3554" s="6" t="e">
        <v>#VALUE!</v>
      </c>
      <c r="M3554" s="6" t="e">
        <v>#VALUE!</v>
      </c>
      <c r="N3554" s="6" t="e">
        <v>#VALUE!</v>
      </c>
      <c r="O3554" s="6" t="e">
        <v>#VALUE!</v>
      </c>
      <c r="P3554" s="6" t="e">
        <v>#VALUE!</v>
      </c>
      <c r="Q3554" s="6" t="e">
        <v>#VALUE!</v>
      </c>
      <c r="R3554" s="6" t="e">
        <v>#VALUE!</v>
      </c>
      <c r="T3554" s="9"/>
      <c r="U3554" s="1">
        <f t="shared" si="6164"/>
        <v>81</v>
      </c>
      <c r="V3554" s="1">
        <f t="shared" si="6165"/>
        <v>233</v>
      </c>
    </row>
    <row r="3555" spans="1:22" x14ac:dyDescent="0.3">
      <c r="A3555" s="1">
        <f t="shared" si="6103"/>
        <v>81234</v>
      </c>
      <c r="B3555" s="12">
        <f t="shared" si="6170"/>
        <v>0</v>
      </c>
      <c r="C3555" s="13">
        <f t="shared" si="6171"/>
        <v>0</v>
      </c>
      <c r="D3555" s="10">
        <f t="shared" si="6172"/>
        <v>0</v>
      </c>
      <c r="E3555" s="74" t="s">
        <v>38</v>
      </c>
      <c r="F3555" s="75"/>
      <c r="G3555" s="76"/>
      <c r="J3555" s="24" t="str">
        <f t="shared" ref="J3555" si="6177">CONCATENATE(K3553,2)</f>
        <v>92</v>
      </c>
      <c r="K3555" s="6" t="e">
        <v>#VALUE!</v>
      </c>
      <c r="L3555" s="6" t="e">
        <v>#VALUE!</v>
      </c>
      <c r="M3555" s="6" t="e">
        <v>#VALUE!</v>
      </c>
      <c r="N3555" s="6" t="e">
        <v>#VALUE!</v>
      </c>
      <c r="O3555" s="6" t="e">
        <v>#VALUE!</v>
      </c>
      <c r="P3555" s="6" t="e">
        <v>#VALUE!</v>
      </c>
      <c r="Q3555" s="6" t="e">
        <v>#VALUE!</v>
      </c>
      <c r="R3555" s="6" t="e">
        <v>#VALUE!</v>
      </c>
      <c r="T3555" s="9"/>
      <c r="U3555" s="1">
        <f t="shared" si="6164"/>
        <v>81</v>
      </c>
      <c r="V3555" s="1">
        <f t="shared" si="6165"/>
        <v>234</v>
      </c>
    </row>
    <row r="3556" spans="1:22" x14ac:dyDescent="0.3">
      <c r="A3556" s="1">
        <f t="shared" si="6103"/>
        <v>81235</v>
      </c>
      <c r="B3556" s="12">
        <f t="shared" si="6170"/>
        <v>0</v>
      </c>
      <c r="C3556" s="13">
        <f t="shared" si="6171"/>
        <v>0</v>
      </c>
      <c r="D3556" s="10">
        <f t="shared" si="6172"/>
        <v>0</v>
      </c>
      <c r="E3556" s="11" t="str">
        <f t="shared" ref="E3556" si="6178">IF(D3529="","",MAX(F3556,G3556))</f>
        <v/>
      </c>
      <c r="F3556" s="10">
        <f t="shared" ref="F3556" si="6179">ABS(MIN(B3554:B3563))</f>
        <v>0</v>
      </c>
      <c r="G3556" s="10">
        <f t="shared" ref="G3556" si="6180">ABS(MAX(B3554:B3563))</f>
        <v>0</v>
      </c>
      <c r="J3556" s="24" t="str">
        <f t="shared" ref="J3556" si="6181">CONCATENATE(K3553,3)</f>
        <v>93</v>
      </c>
      <c r="K3556" s="6" t="e">
        <v>#VALUE!</v>
      </c>
      <c r="L3556" s="6" t="e">
        <v>#VALUE!</v>
      </c>
      <c r="M3556" s="6" t="e">
        <v>#VALUE!</v>
      </c>
      <c r="N3556" s="6" t="e">
        <v>#VALUE!</v>
      </c>
      <c r="O3556" s="6" t="e">
        <v>#VALUE!</v>
      </c>
      <c r="P3556" s="6" t="e">
        <v>#VALUE!</v>
      </c>
      <c r="Q3556" s="6" t="e">
        <v>#VALUE!</v>
      </c>
      <c r="R3556" s="6" t="e">
        <v>#VALUE!</v>
      </c>
      <c r="T3556" s="9"/>
      <c r="U3556" s="1">
        <f t="shared" si="6164"/>
        <v>81</v>
      </c>
      <c r="V3556" s="1">
        <f t="shared" si="6165"/>
        <v>235</v>
      </c>
    </row>
    <row r="3557" spans="1:22" x14ac:dyDescent="0.3">
      <c r="A3557" s="1">
        <f t="shared" si="6103"/>
        <v>81236</v>
      </c>
      <c r="B3557" s="12">
        <f t="shared" si="6170"/>
        <v>0</v>
      </c>
      <c r="C3557" s="13">
        <f t="shared" si="6171"/>
        <v>0</v>
      </c>
      <c r="D3557" s="10">
        <f t="shared" si="6172"/>
        <v>0</v>
      </c>
      <c r="E3557" s="74" t="s">
        <v>39</v>
      </c>
      <c r="F3557" s="75"/>
      <c r="G3557" s="76"/>
      <c r="K3557" s="1">
        <v>10</v>
      </c>
      <c r="L3557" s="1">
        <v>10</v>
      </c>
      <c r="M3557" s="1">
        <v>10</v>
      </c>
      <c r="N3557" s="1">
        <v>10</v>
      </c>
      <c r="O3557" s="1">
        <v>10</v>
      </c>
      <c r="P3557" s="1">
        <v>10</v>
      </c>
      <c r="Q3557" s="1">
        <v>10</v>
      </c>
      <c r="R3557" s="1">
        <v>10</v>
      </c>
      <c r="S3557" s="1">
        <v>10</v>
      </c>
      <c r="T3557" s="9"/>
      <c r="U3557" s="1">
        <f t="shared" si="6164"/>
        <v>81</v>
      </c>
      <c r="V3557" s="1">
        <f t="shared" si="6165"/>
        <v>236</v>
      </c>
    </row>
    <row r="3558" spans="1:22" x14ac:dyDescent="0.3">
      <c r="A3558" s="1">
        <f t="shared" si="6103"/>
        <v>81237</v>
      </c>
      <c r="B3558" s="12">
        <f t="shared" si="6170"/>
        <v>0</v>
      </c>
      <c r="C3558" s="13">
        <f t="shared" si="6171"/>
        <v>0</v>
      </c>
      <c r="D3558" s="10">
        <f t="shared" si="6172"/>
        <v>0</v>
      </c>
      <c r="E3558" s="11" t="str">
        <f t="shared" ref="E3558" si="6182">IF(D3529="","",MAX(F3558,G3558))</f>
        <v/>
      </c>
      <c r="F3558" s="10">
        <f t="shared" ref="F3558" si="6183">ABS(MIN(D3538:D3547))</f>
        <v>0</v>
      </c>
      <c r="G3558" s="10">
        <f t="shared" ref="G3558" si="6184">ABS(MAX(D3538:D3547))</f>
        <v>0</v>
      </c>
      <c r="J3558" s="24" t="str">
        <f t="shared" ref="J3558" si="6185">CONCATENATE(K3557,1)</f>
        <v>101</v>
      </c>
      <c r="K3558" s="6" t="e">
        <f t="array" ref="K3558:S3560">LINEST(B3538:B3547,C3538:C3547^{1,2,3,4,5,6,7,8},TRUE,TRUE)</f>
        <v>#VALUE!</v>
      </c>
      <c r="L3558" s="6" t="e">
        <v>#VALUE!</v>
      </c>
      <c r="M3558" s="6" t="e">
        <v>#VALUE!</v>
      </c>
      <c r="N3558" s="6" t="e">
        <v>#VALUE!</v>
      </c>
      <c r="O3558" s="6" t="e">
        <v>#VALUE!</v>
      </c>
      <c r="P3558" s="6" t="e">
        <v>#VALUE!</v>
      </c>
      <c r="Q3558" s="6" t="e">
        <v>#VALUE!</v>
      </c>
      <c r="R3558" s="6" t="e">
        <v>#VALUE!</v>
      </c>
      <c r="S3558" s="6" t="e">
        <v>#VALUE!</v>
      </c>
      <c r="T3558" s="9"/>
      <c r="U3558" s="1">
        <f t="shared" si="6164"/>
        <v>81</v>
      </c>
      <c r="V3558" s="1">
        <f t="shared" si="6165"/>
        <v>237</v>
      </c>
    </row>
    <row r="3559" spans="1:22" x14ac:dyDescent="0.3">
      <c r="A3559" s="1">
        <f t="shared" si="6103"/>
        <v>81238</v>
      </c>
      <c r="B3559" s="12">
        <f t="shared" si="6170"/>
        <v>0</v>
      </c>
      <c r="C3559" s="13">
        <f t="shared" si="6171"/>
        <v>0</v>
      </c>
      <c r="D3559" s="10">
        <f t="shared" si="6172"/>
        <v>0</v>
      </c>
      <c r="J3559" s="24" t="str">
        <f t="shared" ref="J3559" si="6186">CONCATENATE(K3557,2)</f>
        <v>102</v>
      </c>
      <c r="K3559" s="6" t="e">
        <v>#VALUE!</v>
      </c>
      <c r="L3559" s="6" t="e">
        <v>#VALUE!</v>
      </c>
      <c r="M3559" s="6" t="e">
        <v>#VALUE!</v>
      </c>
      <c r="N3559" s="6" t="e">
        <v>#VALUE!</v>
      </c>
      <c r="O3559" s="6" t="e">
        <v>#VALUE!</v>
      </c>
      <c r="P3559" s="6" t="e">
        <v>#VALUE!</v>
      </c>
      <c r="Q3559" s="6" t="e">
        <v>#VALUE!</v>
      </c>
      <c r="R3559" s="6" t="e">
        <v>#VALUE!</v>
      </c>
      <c r="S3559" s="6" t="e">
        <v>#VALUE!</v>
      </c>
      <c r="T3559" s="9"/>
      <c r="U3559" s="1">
        <f t="shared" si="6164"/>
        <v>81</v>
      </c>
      <c r="V3559" s="1">
        <f t="shared" si="6165"/>
        <v>238</v>
      </c>
    </row>
    <row r="3560" spans="1:22" x14ac:dyDescent="0.3">
      <c r="A3560" s="1">
        <f t="shared" si="6103"/>
        <v>81239</v>
      </c>
      <c r="B3560" s="12">
        <f t="shared" si="6170"/>
        <v>0</v>
      </c>
      <c r="C3560" s="13">
        <f t="shared" si="6171"/>
        <v>0</v>
      </c>
      <c r="D3560" s="10">
        <f t="shared" si="6172"/>
        <v>0</v>
      </c>
      <c r="J3560" s="24" t="str">
        <f t="shared" ref="J3560" si="6187">CONCATENATE(K3557,3)</f>
        <v>103</v>
      </c>
      <c r="K3560" s="6" t="e">
        <v>#VALUE!</v>
      </c>
      <c r="L3560" s="6" t="e">
        <v>#VALUE!</v>
      </c>
      <c r="M3560" s="6" t="e">
        <v>#VALUE!</v>
      </c>
      <c r="N3560" s="6" t="e">
        <v>#VALUE!</v>
      </c>
      <c r="O3560" s="6" t="e">
        <v>#VALUE!</v>
      </c>
      <c r="P3560" s="6" t="e">
        <v>#VALUE!</v>
      </c>
      <c r="Q3560" s="6" t="e">
        <v>#VALUE!</v>
      </c>
      <c r="R3560" s="6" t="e">
        <v>#VALUE!</v>
      </c>
      <c r="S3560" s="6" t="e">
        <v>#VALUE!</v>
      </c>
      <c r="T3560" s="9"/>
      <c r="U3560" s="1">
        <f t="shared" si="6164"/>
        <v>81</v>
      </c>
      <c r="V3560" s="1">
        <f t="shared" si="6165"/>
        <v>239</v>
      </c>
    </row>
    <row r="3561" spans="1:22" x14ac:dyDescent="0.3">
      <c r="A3561" s="1">
        <f t="shared" si="6103"/>
        <v>81240</v>
      </c>
      <c r="B3561" s="12">
        <f t="shared" si="6170"/>
        <v>0</v>
      </c>
      <c r="C3561" s="13">
        <f t="shared" si="6171"/>
        <v>0</v>
      </c>
      <c r="D3561" s="10">
        <f t="shared" si="6172"/>
        <v>0</v>
      </c>
      <c r="J3561" s="9"/>
      <c r="K3561" s="9"/>
      <c r="L3561" s="9"/>
      <c r="M3561" s="9"/>
      <c r="N3561" s="9"/>
      <c r="O3561" s="9"/>
      <c r="P3561" s="9"/>
      <c r="Q3561" s="9"/>
      <c r="R3561" s="9"/>
      <c r="S3561" s="9"/>
      <c r="T3561" s="9"/>
      <c r="U3561" s="1">
        <f t="shared" si="6164"/>
        <v>81</v>
      </c>
      <c r="V3561" s="1">
        <f t="shared" si="6165"/>
        <v>240</v>
      </c>
    </row>
    <row r="3562" spans="1:22" x14ac:dyDescent="0.3">
      <c r="A3562" s="1">
        <f t="shared" si="6103"/>
        <v>81241</v>
      </c>
      <c r="B3562" s="12">
        <f t="shared" si="6170"/>
        <v>0</v>
      </c>
      <c r="C3562" s="13">
        <f t="shared" si="6171"/>
        <v>0</v>
      </c>
      <c r="D3562" s="10">
        <f t="shared" si="6172"/>
        <v>0</v>
      </c>
      <c r="J3562" s="9"/>
      <c r="K3562" s="9"/>
      <c r="L3562" s="9"/>
      <c r="M3562" s="9"/>
      <c r="N3562" s="9"/>
      <c r="O3562" s="9"/>
      <c r="P3562" s="9"/>
      <c r="Q3562" s="9"/>
      <c r="R3562" s="9"/>
      <c r="S3562" s="9"/>
      <c r="T3562" s="9"/>
      <c r="U3562" s="1">
        <f t="shared" si="6164"/>
        <v>81</v>
      </c>
      <c r="V3562" s="1">
        <f t="shared" si="6165"/>
        <v>241</v>
      </c>
    </row>
    <row r="3563" spans="1:22" x14ac:dyDescent="0.3">
      <c r="A3563" s="1">
        <f t="shared" si="6103"/>
        <v>81242</v>
      </c>
      <c r="B3563" s="12">
        <f t="shared" si="6170"/>
        <v>0</v>
      </c>
      <c r="C3563" s="13">
        <f t="shared" si="6171"/>
        <v>0</v>
      </c>
      <c r="D3563" s="10">
        <f t="shared" si="6172"/>
        <v>0</v>
      </c>
      <c r="J3563" s="9"/>
      <c r="K3563" s="9"/>
      <c r="L3563" s="9"/>
      <c r="M3563" s="9"/>
      <c r="N3563" s="9"/>
      <c r="O3563" s="9"/>
      <c r="P3563" s="9"/>
      <c r="Q3563" s="9"/>
      <c r="R3563" s="9"/>
      <c r="S3563" s="9"/>
      <c r="T3563" s="9"/>
      <c r="U3563" s="1">
        <f t="shared" si="6164"/>
        <v>81</v>
      </c>
      <c r="V3563" s="1">
        <f t="shared" si="6165"/>
        <v>242</v>
      </c>
    </row>
    <row r="3564" spans="1:22" x14ac:dyDescent="0.3">
      <c r="A3564" s="1">
        <f t="shared" si="6103"/>
        <v>81243</v>
      </c>
      <c r="J3564" s="9"/>
      <c r="K3564" s="9"/>
      <c r="L3564" s="9"/>
      <c r="M3564" s="9"/>
      <c r="N3564" s="9"/>
      <c r="O3564" s="9"/>
      <c r="P3564" s="9"/>
      <c r="Q3564" s="9"/>
      <c r="R3564" s="9"/>
      <c r="S3564" s="9"/>
      <c r="T3564" s="9"/>
      <c r="U3564" s="1">
        <f t="shared" si="6164"/>
        <v>81</v>
      </c>
      <c r="V3564" s="1">
        <f t="shared" si="6165"/>
        <v>243</v>
      </c>
    </row>
    <row r="3565" spans="1:22" s="5" customFormat="1" x14ac:dyDescent="0.3"/>
    <row r="3566" spans="1:22" x14ac:dyDescent="0.3">
      <c r="A3566" s="1">
        <f t="shared" ref="A3566:A3608" si="6188">ROUND(CONCATENATE(U3566,V3566),0)</f>
        <v>82201</v>
      </c>
      <c r="B3566" s="96" t="s">
        <v>0</v>
      </c>
      <c r="C3566" s="97"/>
      <c r="D3566" s="98"/>
      <c r="E3566" s="99"/>
      <c r="F3566" s="99"/>
      <c r="G3566" s="99"/>
      <c r="H3566" s="100"/>
      <c r="J3566" s="9"/>
      <c r="K3566" s="9"/>
      <c r="L3566" s="9"/>
      <c r="M3566" s="9"/>
      <c r="N3566" s="9"/>
      <c r="O3566" s="9"/>
      <c r="P3566" s="9"/>
      <c r="Q3566" s="9"/>
      <c r="R3566" s="9"/>
      <c r="S3566" s="9"/>
      <c r="T3566" s="9"/>
      <c r="U3566" s="1">
        <f t="shared" ref="U3566" si="6189">U3564+1</f>
        <v>82</v>
      </c>
      <c r="V3566" s="1">
        <v>201</v>
      </c>
    </row>
    <row r="3567" spans="1:22" x14ac:dyDescent="0.3">
      <c r="A3567" s="1">
        <f t="shared" si="6188"/>
        <v>82202</v>
      </c>
      <c r="B3567" s="96" t="s">
        <v>1</v>
      </c>
      <c r="C3567" s="97"/>
      <c r="D3567" s="15"/>
      <c r="E3567" s="16" t="s">
        <v>2</v>
      </c>
      <c r="F3567" s="107"/>
      <c r="G3567" s="108"/>
      <c r="H3567" s="109"/>
      <c r="J3567" s="9"/>
      <c r="K3567" s="9"/>
      <c r="L3567" s="9"/>
      <c r="M3567" s="9"/>
      <c r="N3567" s="9"/>
      <c r="O3567" s="9"/>
      <c r="P3567" s="9"/>
      <c r="Q3567" s="9"/>
      <c r="R3567" s="9"/>
      <c r="S3567" s="9"/>
      <c r="T3567" s="9"/>
      <c r="U3567" s="1">
        <f t="shared" ref="U3567" si="6190">U3566</f>
        <v>82</v>
      </c>
      <c r="V3567" s="1">
        <f t="shared" ref="V3567" si="6191">V3566+1</f>
        <v>202</v>
      </c>
    </row>
    <row r="3568" spans="1:22" x14ac:dyDescent="0.3">
      <c r="A3568" s="1">
        <f t="shared" si="6188"/>
        <v>82203</v>
      </c>
      <c r="B3568" s="96" t="s">
        <v>12</v>
      </c>
      <c r="C3568" s="97"/>
      <c r="D3568" s="98"/>
      <c r="E3568" s="99"/>
      <c r="F3568" s="99"/>
      <c r="G3568" s="99"/>
      <c r="H3568" s="100"/>
      <c r="K3568" s="1" t="s">
        <v>3</v>
      </c>
      <c r="L3568" s="1" t="s">
        <v>4</v>
      </c>
      <c r="M3568" s="1" t="s">
        <v>5</v>
      </c>
      <c r="N3568" s="1" t="s">
        <v>6</v>
      </c>
      <c r="O3568" s="1" t="s">
        <v>7</v>
      </c>
      <c r="P3568" s="1" t="s">
        <v>8</v>
      </c>
      <c r="Q3568" s="1" t="s">
        <v>9</v>
      </c>
      <c r="R3568" s="1" t="s">
        <v>10</v>
      </c>
      <c r="S3568" s="1" t="s">
        <v>11</v>
      </c>
      <c r="T3568" s="9"/>
      <c r="U3568" s="1">
        <f t="shared" si="6164"/>
        <v>82</v>
      </c>
      <c r="V3568" s="1">
        <f t="shared" si="6165"/>
        <v>203</v>
      </c>
    </row>
    <row r="3569" spans="1:22" x14ac:dyDescent="0.3">
      <c r="A3569" s="1">
        <f t="shared" si="6188"/>
        <v>82204</v>
      </c>
      <c r="B3569" s="96" t="s">
        <v>13</v>
      </c>
      <c r="C3569" s="97"/>
      <c r="D3569" s="98"/>
      <c r="E3569" s="99"/>
      <c r="F3569" s="99"/>
      <c r="G3569" s="99"/>
      <c r="H3569" s="100"/>
      <c r="J3569" s="1">
        <f t="shared" ref="J3569" si="6192">COUNTA(B3582:B3591)</f>
        <v>0</v>
      </c>
      <c r="K3569" s="1">
        <f t="shared" ref="K3569" si="6193">IF(L3569-1&lt;2,0,L3569-1)</f>
        <v>0</v>
      </c>
      <c r="L3569" s="1">
        <f t="shared" ref="L3569" si="6194">IF(M3569-1&lt;2,0,M3569-1)</f>
        <v>0</v>
      </c>
      <c r="M3569" s="1">
        <f t="shared" ref="M3569" si="6195">IF(N3569-1&lt;2,0,N3569-1)</f>
        <v>0</v>
      </c>
      <c r="N3569" s="1">
        <f t="shared" ref="N3569" si="6196">IF(O3569-1&lt;2,0,O3569-1)</f>
        <v>0</v>
      </c>
      <c r="O3569" s="1">
        <f t="shared" ref="O3569" si="6197">IF(P3569-1&lt;2,0,P3569-1)</f>
        <v>0</v>
      </c>
      <c r="P3569" s="1">
        <f t="shared" ref="P3569" si="6198">IF(Q3569-1&lt;2,0,Q3569-1)</f>
        <v>0</v>
      </c>
      <c r="Q3569" s="1">
        <f t="shared" ref="Q3569" si="6199">IF(R3569-1&lt;2,0,R3569-1)</f>
        <v>0</v>
      </c>
      <c r="R3569" s="1">
        <f t="shared" ref="R3569" si="6200">IF(S3569-1&lt;2,0,S3569-1)</f>
        <v>0</v>
      </c>
      <c r="S3569" s="1">
        <f t="shared" ref="S3569" si="6201">J3569</f>
        <v>0</v>
      </c>
      <c r="T3569" s="9"/>
      <c r="U3569" s="1">
        <f t="shared" si="6164"/>
        <v>82</v>
      </c>
      <c r="V3569" s="1">
        <f t="shared" si="6165"/>
        <v>204</v>
      </c>
    </row>
    <row r="3570" spans="1:22" x14ac:dyDescent="0.3">
      <c r="A3570" s="1">
        <f t="shared" si="6188"/>
        <v>82205</v>
      </c>
      <c r="B3570" s="96" t="s">
        <v>14</v>
      </c>
      <c r="C3570" s="97"/>
      <c r="D3570" s="98"/>
      <c r="E3570" s="99"/>
      <c r="F3570" s="99"/>
      <c r="G3570" s="99"/>
      <c r="H3570" s="100"/>
      <c r="J3570" s="24" t="str">
        <f t="shared" ref="J3570" si="6202">CONCATENATE(J3569,1)</f>
        <v>01</v>
      </c>
      <c r="K3570" s="25">
        <f t="shared" ref="K3570" si="6203">IF(K3569=0,0,VLOOKUP(J3570,J3574:S3604,K3569,FALSE))</f>
        <v>0</v>
      </c>
      <c r="L3570" s="25">
        <f t="shared" ref="L3570" si="6204">IF(L3569=0,0,VLOOKUP(J3570,J3574:S3604,L3569,FALSE))</f>
        <v>0</v>
      </c>
      <c r="M3570" s="25">
        <f t="shared" ref="M3570" si="6205">IF(M3569=0,0,VLOOKUP(J3570,J3574:S3604,M3569,FALSE))</f>
        <v>0</v>
      </c>
      <c r="N3570" s="25">
        <f t="shared" ref="N3570" si="6206">IF(N3569=0,0,VLOOKUP(J3570,J3574:S3604,N3569,FALSE))</f>
        <v>0</v>
      </c>
      <c r="O3570" s="25">
        <f t="shared" ref="O3570" si="6207">IF(O3569=0,0,VLOOKUP(J3570,J3574:S3604,O3569,FALSE))</f>
        <v>0</v>
      </c>
      <c r="P3570" s="25">
        <f t="shared" ref="P3570" si="6208">IF(P3569=0,0,VLOOKUP(J3570,J3574:S3604,P3569,FALSE))</f>
        <v>0</v>
      </c>
      <c r="Q3570" s="25">
        <f t="shared" ref="Q3570" si="6209">IF(Q3569=0,0,VLOOKUP(J3570,J3574:S3604,Q3569,FALSE))</f>
        <v>0</v>
      </c>
      <c r="R3570" s="25">
        <f t="shared" ref="R3570" si="6210">IF(R3569=0,0,VLOOKUP(J3570,J3574:S3604,R3569,FALSE))</f>
        <v>0</v>
      </c>
      <c r="S3570" s="25">
        <f t="shared" ref="S3570" si="6211">IF(S3569=0,0,VLOOKUP(J3570,J3574:S3604,S3569,FALSE))</f>
        <v>0</v>
      </c>
      <c r="T3570" s="9"/>
      <c r="U3570" s="1">
        <f t="shared" si="6164"/>
        <v>82</v>
      </c>
      <c r="V3570" s="1">
        <f t="shared" si="6165"/>
        <v>205</v>
      </c>
    </row>
    <row r="3571" spans="1:22" x14ac:dyDescent="0.3">
      <c r="A3571" s="1">
        <f t="shared" si="6188"/>
        <v>82206</v>
      </c>
      <c r="B3571" s="96" t="s">
        <v>15</v>
      </c>
      <c r="C3571" s="97"/>
      <c r="D3571" s="98"/>
      <c r="E3571" s="99"/>
      <c r="F3571" s="99"/>
      <c r="G3571" s="99"/>
      <c r="H3571" s="100"/>
      <c r="J3571" s="24" t="str">
        <f t="shared" ref="J3571" si="6212">CONCATENATE(J3569,2)</f>
        <v>02</v>
      </c>
      <c r="K3571" s="6">
        <f t="shared" ref="K3571" si="6213">IF(K3569=0,0,VLOOKUP(J3571,J3574:S3604,K3569,FALSE))</f>
        <v>0</v>
      </c>
      <c r="L3571" s="6">
        <f t="shared" ref="L3571" si="6214">IF(L3569=0,0,VLOOKUP(J3571,J3574:S3604,L3569,FALSE))</f>
        <v>0</v>
      </c>
      <c r="M3571" s="6">
        <f t="shared" ref="M3571" si="6215">IF(M3569=0,0,VLOOKUP(J3571,J3574:S3604,M3569,FALSE))</f>
        <v>0</v>
      </c>
      <c r="N3571" s="6">
        <f t="shared" ref="N3571" si="6216">IF(N3569=0,0,VLOOKUP(J3571,J3574:S3604,N3569,FALSE))</f>
        <v>0</v>
      </c>
      <c r="O3571" s="6">
        <f t="shared" ref="O3571" si="6217">IF(O3569=0,0,VLOOKUP(J3571,J3574:S3604,O3569,FALSE))</f>
        <v>0</v>
      </c>
      <c r="P3571" s="6">
        <f t="shared" ref="P3571" si="6218">IF(P3569=0,0,VLOOKUP(J3571,J3574:S3604,P3569,FALSE))</f>
        <v>0</v>
      </c>
      <c r="Q3571" s="6">
        <f t="shared" ref="Q3571" si="6219">IF(Q3569=0,0,VLOOKUP(J3571,J3574:S3604,Q3569,FALSE))</f>
        <v>0</v>
      </c>
      <c r="R3571" s="6">
        <f t="shared" ref="R3571" si="6220">IF(R3569=0,0,VLOOKUP(J3571,J3574:S3604,R3569,FALSE))</f>
        <v>0</v>
      </c>
      <c r="S3571" s="6">
        <f t="shared" ref="S3571" si="6221">IF(S3569=0,0,VLOOKUP(J3571,J3574:S3604,S3569,FALSE))</f>
        <v>0</v>
      </c>
      <c r="T3571" s="9"/>
      <c r="U3571" s="1">
        <f t="shared" si="6164"/>
        <v>82</v>
      </c>
      <c r="V3571" s="1">
        <f t="shared" si="6165"/>
        <v>206</v>
      </c>
    </row>
    <row r="3572" spans="1:22" x14ac:dyDescent="0.3">
      <c r="A3572" s="1">
        <f t="shared" si="6188"/>
        <v>82207</v>
      </c>
      <c r="B3572" s="96" t="s">
        <v>16</v>
      </c>
      <c r="C3572" s="97"/>
      <c r="D3572" s="101"/>
      <c r="E3572" s="102"/>
      <c r="F3572" s="102"/>
      <c r="G3572" s="102"/>
      <c r="H3572" s="103"/>
      <c r="J3572" s="24" t="str">
        <f t="shared" ref="J3572" si="6222">CONCATENATE(J3569,3)</f>
        <v>03</v>
      </c>
      <c r="K3572" s="6"/>
      <c r="L3572" s="6"/>
      <c r="M3572" s="6"/>
      <c r="N3572" s="6" t="s">
        <v>43</v>
      </c>
      <c r="O3572" s="25">
        <f t="shared" ref="O3572" si="6223">J3569-2</f>
        <v>-2</v>
      </c>
      <c r="P3572" s="6" t="s">
        <v>44</v>
      </c>
      <c r="Q3572" s="25" t="e">
        <f t="shared" ref="Q3572" si="6224">VLOOKUP(J3572,J3574:S3604,3,FALSE)</f>
        <v>#N/A</v>
      </c>
      <c r="R3572" s="6" t="s">
        <v>45</v>
      </c>
      <c r="S3572" s="6" t="e">
        <f t="shared" ref="S3572" si="6225">VLOOKUP(J3572,J3574:S3604,2,FALSE)</f>
        <v>#N/A</v>
      </c>
      <c r="T3572" s="9"/>
      <c r="U3572" s="1">
        <f t="shared" si="6164"/>
        <v>82</v>
      </c>
      <c r="V3572" s="1">
        <f t="shared" si="6165"/>
        <v>207</v>
      </c>
    </row>
    <row r="3573" spans="1:22" x14ac:dyDescent="0.3">
      <c r="A3573" s="1">
        <f t="shared" si="6188"/>
        <v>82208</v>
      </c>
      <c r="B3573" s="96" t="s">
        <v>17</v>
      </c>
      <c r="C3573" s="97"/>
      <c r="D3573" s="104"/>
      <c r="E3573" s="105"/>
      <c r="F3573" s="105"/>
      <c r="G3573" s="105"/>
      <c r="H3573" s="106"/>
      <c r="K3573" s="1">
        <v>3</v>
      </c>
      <c r="L3573" s="1">
        <v>3</v>
      </c>
      <c r="Q3573" s="26"/>
      <c r="R3573" s="26"/>
      <c r="S3573" s="26"/>
      <c r="T3573" s="9"/>
      <c r="U3573" s="1">
        <f t="shared" si="6164"/>
        <v>82</v>
      </c>
      <c r="V3573" s="1">
        <f t="shared" si="6165"/>
        <v>208</v>
      </c>
    </row>
    <row r="3574" spans="1:22" x14ac:dyDescent="0.3">
      <c r="A3574" s="1">
        <f t="shared" si="6188"/>
        <v>82209</v>
      </c>
      <c r="B3574" s="77" t="s">
        <v>19</v>
      </c>
      <c r="C3574" s="78"/>
      <c r="D3574" s="17"/>
      <c r="E3574" s="79" t="s">
        <v>40</v>
      </c>
      <c r="F3574" s="80"/>
      <c r="G3574" s="81"/>
      <c r="H3574" s="18" t="s">
        <v>72</v>
      </c>
      <c r="J3574" s="24" t="str">
        <f t="shared" ref="J3574" si="6226">CONCATENATE(K3573,1)</f>
        <v>31</v>
      </c>
      <c r="K3574" s="6" t="e">
        <f t="array" ref="K3574:L3576">LINEST(B3582:B3584,C3582:C3584^{1},TRUE,TRUE)</f>
        <v>#VALUE!</v>
      </c>
      <c r="L3574" s="6" t="e">
        <v>#VALUE!</v>
      </c>
      <c r="Q3574" s="9"/>
      <c r="R3574" s="9"/>
      <c r="S3574" s="9"/>
      <c r="T3574" s="9"/>
      <c r="U3574" s="1">
        <f t="shared" si="6164"/>
        <v>82</v>
      </c>
      <c r="V3574" s="1">
        <f t="shared" si="6165"/>
        <v>209</v>
      </c>
    </row>
    <row r="3575" spans="1:22" x14ac:dyDescent="0.3">
      <c r="A3575" s="1">
        <f t="shared" si="6188"/>
        <v>82210</v>
      </c>
      <c r="B3575" s="77" t="s">
        <v>41</v>
      </c>
      <c r="C3575" s="78"/>
      <c r="D3575" s="23">
        <f t="shared" ref="D3575" si="6227">MIN(B3582:B3591)</f>
        <v>0</v>
      </c>
      <c r="E3575" s="20" t="s">
        <v>18</v>
      </c>
      <c r="F3575" s="19">
        <f t="shared" ref="F3575" si="6228">MAX(B3582:B3591)</f>
        <v>0</v>
      </c>
      <c r="G3575" s="21" t="str">
        <f t="shared" ref="G3575" si="6229">IF(H3574="","",H3574)</f>
        <v>%ur</v>
      </c>
      <c r="H3575" s="22"/>
      <c r="J3575" s="24" t="str">
        <f t="shared" ref="J3575" si="6230">CONCATENATE(K3573,2)</f>
        <v>32</v>
      </c>
      <c r="K3575" s="6" t="e">
        <v>#VALUE!</v>
      </c>
      <c r="L3575" s="6" t="e">
        <v>#VALUE!</v>
      </c>
      <c r="Q3575" s="9"/>
      <c r="R3575" s="9"/>
      <c r="S3575" s="9"/>
      <c r="T3575" s="9"/>
      <c r="U3575" s="1">
        <f t="shared" si="6164"/>
        <v>82</v>
      </c>
      <c r="V3575" s="1">
        <f t="shared" si="6165"/>
        <v>210</v>
      </c>
    </row>
    <row r="3576" spans="1:22" x14ac:dyDescent="0.3">
      <c r="A3576" s="1">
        <f t="shared" si="6188"/>
        <v>82211</v>
      </c>
      <c r="J3576" s="24" t="str">
        <f t="shared" ref="J3576" si="6231">CONCATENATE(K3573,3)</f>
        <v>33</v>
      </c>
      <c r="K3576" s="6" t="e">
        <v>#VALUE!</v>
      </c>
      <c r="L3576" s="6" t="e">
        <v>#VALUE!</v>
      </c>
      <c r="Q3576" s="9"/>
      <c r="R3576" s="9"/>
      <c r="S3576" s="9"/>
      <c r="T3576" s="9"/>
      <c r="U3576" s="1">
        <f t="shared" si="6164"/>
        <v>82</v>
      </c>
      <c r="V3576" s="1">
        <f t="shared" si="6165"/>
        <v>211</v>
      </c>
    </row>
    <row r="3577" spans="1:22" x14ac:dyDescent="0.3">
      <c r="A3577" s="1">
        <f t="shared" si="6188"/>
        <v>82212</v>
      </c>
      <c r="B3577" s="82" t="s">
        <v>20</v>
      </c>
      <c r="C3577" s="83"/>
      <c r="D3577" s="83"/>
      <c r="E3577" s="83"/>
      <c r="F3577" s="84"/>
      <c r="G3577" s="85" t="s">
        <v>31</v>
      </c>
      <c r="H3577" s="86"/>
      <c r="K3577" s="1">
        <v>4</v>
      </c>
      <c r="L3577" s="1">
        <v>4</v>
      </c>
      <c r="M3577" s="1">
        <v>4</v>
      </c>
      <c r="Q3577" s="9"/>
      <c r="R3577" s="9"/>
      <c r="S3577" s="9"/>
      <c r="T3577" s="9"/>
      <c r="U3577" s="1">
        <f t="shared" si="6164"/>
        <v>82</v>
      </c>
      <c r="V3577" s="1">
        <f t="shared" si="6165"/>
        <v>212</v>
      </c>
    </row>
    <row r="3578" spans="1:22" x14ac:dyDescent="0.3">
      <c r="A3578" s="1">
        <f t="shared" si="6188"/>
        <v>82213</v>
      </c>
      <c r="B3578" s="82" t="s">
        <v>30</v>
      </c>
      <c r="C3578" s="83"/>
      <c r="D3578" s="84"/>
      <c r="E3578" s="82">
        <f t="shared" ref="E3578" si="6232">D3571</f>
        <v>0</v>
      </c>
      <c r="F3578" s="84"/>
      <c r="G3578" s="6" t="s">
        <v>32</v>
      </c>
      <c r="H3578" s="7"/>
      <c r="J3578" s="24" t="str">
        <f t="shared" ref="J3578" si="6233">CONCATENATE(K3577,1)</f>
        <v>41</v>
      </c>
      <c r="K3578" s="6" t="e">
        <f t="array" ref="K3578:M3580">LINEST(B3582:B3585,C3582:C3585^{1,2},TRUE,TRUE)</f>
        <v>#VALUE!</v>
      </c>
      <c r="L3578" s="6" t="e">
        <v>#VALUE!</v>
      </c>
      <c r="M3578" s="6" t="e">
        <v>#VALUE!</v>
      </c>
      <c r="Q3578" s="9"/>
      <c r="R3578" s="9"/>
      <c r="S3578" s="9"/>
      <c r="T3578" s="9"/>
      <c r="U3578" s="1">
        <f t="shared" si="6164"/>
        <v>82</v>
      </c>
      <c r="V3578" s="1">
        <f t="shared" si="6165"/>
        <v>213</v>
      </c>
    </row>
    <row r="3579" spans="1:22" x14ac:dyDescent="0.3">
      <c r="A3579" s="1">
        <f t="shared" si="6188"/>
        <v>82214</v>
      </c>
      <c r="B3579" s="2" t="s">
        <v>21</v>
      </c>
      <c r="C3579" s="2" t="s">
        <v>22</v>
      </c>
      <c r="D3579" s="2" t="s">
        <v>23</v>
      </c>
      <c r="E3579" s="2"/>
      <c r="F3579" s="2" t="s">
        <v>28</v>
      </c>
      <c r="G3579" s="2" t="s">
        <v>21</v>
      </c>
      <c r="H3579" s="2" t="s">
        <v>22</v>
      </c>
      <c r="J3579" s="24" t="str">
        <f t="shared" ref="J3579" si="6234">CONCATENATE(K3577,2)</f>
        <v>42</v>
      </c>
      <c r="K3579" s="6" t="e">
        <v>#VALUE!</v>
      </c>
      <c r="L3579" s="6" t="e">
        <v>#VALUE!</v>
      </c>
      <c r="M3579" s="6" t="e">
        <v>#VALUE!</v>
      </c>
      <c r="Q3579" s="9"/>
      <c r="R3579" s="9"/>
      <c r="S3579" s="9"/>
      <c r="T3579" s="9"/>
      <c r="U3579" s="1">
        <f t="shared" si="6164"/>
        <v>82</v>
      </c>
      <c r="V3579" s="1">
        <f t="shared" si="6165"/>
        <v>214</v>
      </c>
    </row>
    <row r="3580" spans="1:22" x14ac:dyDescent="0.3">
      <c r="A3580" s="1">
        <f t="shared" si="6188"/>
        <v>82215</v>
      </c>
      <c r="B3580" s="2" t="s">
        <v>24</v>
      </c>
      <c r="C3580" s="2" t="s">
        <v>25</v>
      </c>
      <c r="D3580" s="2" t="s">
        <v>26</v>
      </c>
      <c r="E3580" s="2" t="s">
        <v>27</v>
      </c>
      <c r="F3580" s="2" t="s">
        <v>29</v>
      </c>
      <c r="G3580" s="2" t="s">
        <v>24</v>
      </c>
      <c r="H3580" s="2" t="s">
        <v>25</v>
      </c>
      <c r="J3580" s="24" t="str">
        <f t="shared" ref="J3580" si="6235">CONCATENATE(K3577,3)</f>
        <v>43</v>
      </c>
      <c r="K3580" s="6" t="e">
        <v>#VALUE!</v>
      </c>
      <c r="L3580" s="6" t="e">
        <v>#VALUE!</v>
      </c>
      <c r="M3580" s="6" t="e">
        <v>#VALUE!</v>
      </c>
      <c r="Q3580" s="9"/>
      <c r="R3580" s="9"/>
      <c r="S3580" s="9"/>
      <c r="T3580" s="9"/>
      <c r="U3580" s="1">
        <f t="shared" si="6164"/>
        <v>82</v>
      </c>
      <c r="V3580" s="1">
        <f t="shared" si="6165"/>
        <v>215</v>
      </c>
    </row>
    <row r="3581" spans="1:22" x14ac:dyDescent="0.3">
      <c r="A3581" s="1">
        <f t="shared" si="6188"/>
        <v>82216</v>
      </c>
      <c r="B3581" s="3" t="str">
        <f t="shared" ref="B3581" si="6236">H3574</f>
        <v>%ur</v>
      </c>
      <c r="C3581" s="3" t="str">
        <f t="shared" ref="C3581" si="6237">B3581</f>
        <v>%ur</v>
      </c>
      <c r="D3581" s="3" t="str">
        <f t="shared" ref="D3581" si="6238">C3581</f>
        <v>%ur</v>
      </c>
      <c r="E3581" s="3"/>
      <c r="F3581" s="3"/>
      <c r="G3581" s="3" t="str">
        <f t="shared" ref="G3581" si="6239">D3581</f>
        <v>%ur</v>
      </c>
      <c r="H3581" s="3" t="str">
        <f t="shared" ref="H3581" si="6240">G3581</f>
        <v>%ur</v>
      </c>
      <c r="K3581" s="1">
        <v>5</v>
      </c>
      <c r="L3581" s="1">
        <v>5</v>
      </c>
      <c r="M3581" s="1">
        <v>5</v>
      </c>
      <c r="N3581" s="1">
        <v>5</v>
      </c>
      <c r="Q3581" s="9"/>
      <c r="R3581" s="9"/>
      <c r="S3581" s="9"/>
      <c r="T3581" s="9"/>
      <c r="U3581" s="1">
        <f t="shared" si="6164"/>
        <v>82</v>
      </c>
      <c r="V3581" s="1">
        <f t="shared" si="6165"/>
        <v>216</v>
      </c>
    </row>
    <row r="3582" spans="1:22" x14ac:dyDescent="0.3">
      <c r="A3582" s="1">
        <f t="shared" si="6188"/>
        <v>82217</v>
      </c>
      <c r="B3582" s="4"/>
      <c r="C3582" s="4"/>
      <c r="D3582" s="4"/>
      <c r="E3582" s="4"/>
      <c r="F3582" s="14"/>
      <c r="G3582" s="8"/>
      <c r="H3582" s="7"/>
      <c r="J3582" s="24" t="str">
        <f t="shared" ref="J3582" si="6241">CONCATENATE(K3581,1)</f>
        <v>51</v>
      </c>
      <c r="K3582" s="6" t="e">
        <f t="array" ref="K3582:N3584">LINEST(B3582:B3586,C3582:C3586^{1,2,3},TRUE,TRUE)</f>
        <v>#VALUE!</v>
      </c>
      <c r="L3582" s="6" t="e">
        <v>#VALUE!</v>
      </c>
      <c r="M3582" s="6" t="e">
        <v>#VALUE!</v>
      </c>
      <c r="N3582" s="6" t="e">
        <v>#VALUE!</v>
      </c>
      <c r="Q3582" s="9"/>
      <c r="R3582" s="9"/>
      <c r="S3582" s="9"/>
      <c r="T3582" s="9"/>
      <c r="U3582" s="1">
        <f t="shared" si="6164"/>
        <v>82</v>
      </c>
      <c r="V3582" s="1">
        <f t="shared" si="6165"/>
        <v>217</v>
      </c>
    </row>
    <row r="3583" spans="1:22" x14ac:dyDescent="0.3">
      <c r="A3583" s="1">
        <f t="shared" si="6188"/>
        <v>82218</v>
      </c>
      <c r="B3583" s="4"/>
      <c r="C3583" s="4"/>
      <c r="D3583" s="4"/>
      <c r="E3583" s="4"/>
      <c r="F3583" s="14"/>
      <c r="G3583" s="8"/>
      <c r="H3583" s="7"/>
      <c r="J3583" s="24" t="str">
        <f t="shared" ref="J3583" si="6242">CONCATENATE(K3581,2)</f>
        <v>52</v>
      </c>
      <c r="K3583" s="6" t="e">
        <v>#VALUE!</v>
      </c>
      <c r="L3583" s="6" t="e">
        <v>#VALUE!</v>
      </c>
      <c r="M3583" s="6" t="e">
        <v>#VALUE!</v>
      </c>
      <c r="N3583" s="6" t="e">
        <v>#VALUE!</v>
      </c>
      <c r="T3583" s="9"/>
      <c r="U3583" s="1">
        <f t="shared" si="6164"/>
        <v>82</v>
      </c>
      <c r="V3583" s="1">
        <f t="shared" si="6165"/>
        <v>218</v>
      </c>
    </row>
    <row r="3584" spans="1:22" x14ac:dyDescent="0.3">
      <c r="A3584" s="1">
        <f t="shared" si="6188"/>
        <v>82219</v>
      </c>
      <c r="B3584" s="4"/>
      <c r="C3584" s="4"/>
      <c r="D3584" s="4"/>
      <c r="E3584" s="4"/>
      <c r="F3584" s="14"/>
      <c r="G3584" s="8"/>
      <c r="H3584" s="7"/>
      <c r="J3584" s="24" t="str">
        <f t="shared" ref="J3584" si="6243">CONCATENATE(K3581,3)</f>
        <v>53</v>
      </c>
      <c r="K3584" s="6" t="e">
        <v>#VALUE!</v>
      </c>
      <c r="L3584" s="6" t="e">
        <v>#VALUE!</v>
      </c>
      <c r="M3584" s="6" t="e">
        <v>#VALUE!</v>
      </c>
      <c r="N3584" s="6" t="e">
        <v>#VALUE!</v>
      </c>
      <c r="T3584" s="9"/>
      <c r="U3584" s="1">
        <f t="shared" si="6164"/>
        <v>82</v>
      </c>
      <c r="V3584" s="1">
        <f t="shared" si="6165"/>
        <v>219</v>
      </c>
    </row>
    <row r="3585" spans="1:22" x14ac:dyDescent="0.3">
      <c r="A3585" s="1">
        <f t="shared" si="6188"/>
        <v>82220</v>
      </c>
      <c r="B3585" s="4"/>
      <c r="C3585" s="4"/>
      <c r="D3585" s="4"/>
      <c r="E3585" s="4"/>
      <c r="F3585" s="14"/>
      <c r="G3585" s="8"/>
      <c r="H3585" s="7"/>
      <c r="K3585" s="1">
        <v>6</v>
      </c>
      <c r="L3585" s="1">
        <v>6</v>
      </c>
      <c r="M3585" s="1">
        <v>6</v>
      </c>
      <c r="N3585" s="1">
        <v>6</v>
      </c>
      <c r="O3585" s="1">
        <v>6</v>
      </c>
      <c r="T3585" s="9"/>
      <c r="U3585" s="1">
        <f t="shared" si="6164"/>
        <v>82</v>
      </c>
      <c r="V3585" s="1">
        <f t="shared" si="6165"/>
        <v>220</v>
      </c>
    </row>
    <row r="3586" spans="1:22" x14ac:dyDescent="0.3">
      <c r="A3586" s="1">
        <f t="shared" si="6188"/>
        <v>82221</v>
      </c>
      <c r="B3586" s="4"/>
      <c r="C3586" s="4"/>
      <c r="D3586" s="4"/>
      <c r="E3586" s="4"/>
      <c r="F3586" s="14"/>
      <c r="G3586" s="8"/>
      <c r="H3586" s="7"/>
      <c r="J3586" s="24" t="str">
        <f t="shared" ref="J3586" si="6244">CONCATENATE(K3585,1)</f>
        <v>61</v>
      </c>
      <c r="K3586" s="6" t="e">
        <f t="array" ref="K3586:O3588">LINEST(B3582:B3587,C3582:C3587^{1,2,3,4},TRUE,TRUE)</f>
        <v>#VALUE!</v>
      </c>
      <c r="L3586" s="6" t="e">
        <v>#VALUE!</v>
      </c>
      <c r="M3586" s="6" t="e">
        <v>#VALUE!</v>
      </c>
      <c r="N3586" s="6" t="e">
        <v>#VALUE!</v>
      </c>
      <c r="O3586" s="6" t="e">
        <v>#VALUE!</v>
      </c>
      <c r="T3586" s="9"/>
      <c r="U3586" s="1">
        <f t="shared" si="6164"/>
        <v>82</v>
      </c>
      <c r="V3586" s="1">
        <f t="shared" si="6165"/>
        <v>221</v>
      </c>
    </row>
    <row r="3587" spans="1:22" x14ac:dyDescent="0.3">
      <c r="A3587" s="1">
        <f t="shared" si="6188"/>
        <v>82222</v>
      </c>
      <c r="B3587" s="4"/>
      <c r="C3587" s="4"/>
      <c r="D3587" s="4"/>
      <c r="E3587" s="4"/>
      <c r="F3587" s="14"/>
      <c r="G3587" s="8"/>
      <c r="H3587" s="7"/>
      <c r="J3587" s="24" t="str">
        <f t="shared" ref="J3587" si="6245">CONCATENATE(K3585,2)</f>
        <v>62</v>
      </c>
      <c r="K3587" s="6" t="e">
        <v>#VALUE!</v>
      </c>
      <c r="L3587" s="6" t="e">
        <v>#VALUE!</v>
      </c>
      <c r="M3587" s="6" t="e">
        <v>#VALUE!</v>
      </c>
      <c r="N3587" s="6" t="e">
        <v>#VALUE!</v>
      </c>
      <c r="O3587" s="6" t="e">
        <v>#VALUE!</v>
      </c>
      <c r="T3587" s="9"/>
      <c r="U3587" s="1">
        <f t="shared" si="6164"/>
        <v>82</v>
      </c>
      <c r="V3587" s="1">
        <f t="shared" si="6165"/>
        <v>222</v>
      </c>
    </row>
    <row r="3588" spans="1:22" x14ac:dyDescent="0.3">
      <c r="A3588" s="1">
        <f t="shared" si="6188"/>
        <v>82223</v>
      </c>
      <c r="B3588" s="4"/>
      <c r="C3588" s="4"/>
      <c r="D3588" s="4"/>
      <c r="E3588" s="4"/>
      <c r="F3588" s="14"/>
      <c r="G3588" s="8"/>
      <c r="H3588" s="7"/>
      <c r="J3588" s="24" t="str">
        <f t="shared" ref="J3588" si="6246">CONCATENATE(K3585,3)</f>
        <v>63</v>
      </c>
      <c r="K3588" s="6" t="e">
        <v>#VALUE!</v>
      </c>
      <c r="L3588" s="6" t="e">
        <v>#VALUE!</v>
      </c>
      <c r="M3588" s="6" t="e">
        <v>#VALUE!</v>
      </c>
      <c r="N3588" s="6" t="e">
        <v>#VALUE!</v>
      </c>
      <c r="O3588" s="6" t="e">
        <v>#VALUE!</v>
      </c>
      <c r="T3588" s="9"/>
      <c r="U3588" s="1">
        <f t="shared" si="6164"/>
        <v>82</v>
      </c>
      <c r="V3588" s="1">
        <f t="shared" si="6165"/>
        <v>223</v>
      </c>
    </row>
    <row r="3589" spans="1:22" x14ac:dyDescent="0.3">
      <c r="A3589" s="1">
        <f t="shared" si="6188"/>
        <v>82224</v>
      </c>
      <c r="B3589" s="4"/>
      <c r="C3589" s="4"/>
      <c r="D3589" s="4"/>
      <c r="E3589" s="4"/>
      <c r="F3589" s="14"/>
      <c r="G3589" s="8"/>
      <c r="H3589" s="7"/>
      <c r="K3589" s="1">
        <v>7</v>
      </c>
      <c r="L3589" s="1">
        <v>7</v>
      </c>
      <c r="M3589" s="1">
        <v>7</v>
      </c>
      <c r="N3589" s="1">
        <v>7</v>
      </c>
      <c r="O3589" s="1">
        <v>7</v>
      </c>
      <c r="P3589" s="1">
        <v>7</v>
      </c>
      <c r="T3589" s="9"/>
      <c r="U3589" s="1">
        <f t="shared" si="6164"/>
        <v>82</v>
      </c>
      <c r="V3589" s="1">
        <f t="shared" si="6165"/>
        <v>224</v>
      </c>
    </row>
    <row r="3590" spans="1:22" x14ac:dyDescent="0.3">
      <c r="A3590" s="1">
        <f t="shared" si="6188"/>
        <v>82225</v>
      </c>
      <c r="B3590" s="4"/>
      <c r="C3590" s="4"/>
      <c r="D3590" s="4"/>
      <c r="E3590" s="4"/>
      <c r="F3590" s="14"/>
      <c r="G3590" s="8"/>
      <c r="H3590" s="7"/>
      <c r="J3590" s="24" t="str">
        <f t="shared" ref="J3590" si="6247">CONCATENATE(K3589,1)</f>
        <v>71</v>
      </c>
      <c r="K3590" s="6" t="e">
        <f t="array" ref="K3590:P3592">LINEST(B3582:B3588,C3582:C3588^{1,2,3,4,5},TRUE,TRUE)</f>
        <v>#VALUE!</v>
      </c>
      <c r="L3590" s="6" t="e">
        <v>#VALUE!</v>
      </c>
      <c r="M3590" s="6" t="e">
        <v>#VALUE!</v>
      </c>
      <c r="N3590" s="6" t="e">
        <v>#VALUE!</v>
      </c>
      <c r="O3590" s="6" t="e">
        <v>#VALUE!</v>
      </c>
      <c r="P3590" s="6" t="e">
        <v>#VALUE!</v>
      </c>
      <c r="T3590" s="9"/>
      <c r="U3590" s="1">
        <f t="shared" si="6164"/>
        <v>82</v>
      </c>
      <c r="V3590" s="1">
        <f t="shared" si="6165"/>
        <v>225</v>
      </c>
    </row>
    <row r="3591" spans="1:22" x14ac:dyDescent="0.3">
      <c r="A3591" s="1">
        <f t="shared" si="6188"/>
        <v>82226</v>
      </c>
      <c r="B3591" s="4"/>
      <c r="C3591" s="4"/>
      <c r="D3591" s="4"/>
      <c r="E3591" s="4"/>
      <c r="F3591" s="14"/>
      <c r="G3591" s="8"/>
      <c r="H3591" s="7"/>
      <c r="J3591" s="24" t="str">
        <f t="shared" ref="J3591" si="6248">CONCATENATE(K3589,2)</f>
        <v>72</v>
      </c>
      <c r="K3591" s="6" t="e">
        <v>#VALUE!</v>
      </c>
      <c r="L3591" s="6" t="e">
        <v>#VALUE!</v>
      </c>
      <c r="M3591" s="6" t="e">
        <v>#VALUE!</v>
      </c>
      <c r="N3591" s="6" t="e">
        <v>#VALUE!</v>
      </c>
      <c r="O3591" s="6" t="e">
        <v>#VALUE!</v>
      </c>
      <c r="P3591" s="6" t="e">
        <v>#VALUE!</v>
      </c>
      <c r="T3591" s="9"/>
      <c r="U3591" s="1">
        <f t="shared" si="6164"/>
        <v>82</v>
      </c>
      <c r="V3591" s="1">
        <f t="shared" si="6165"/>
        <v>226</v>
      </c>
    </row>
    <row r="3592" spans="1:22" x14ac:dyDescent="0.3">
      <c r="A3592" s="1">
        <f t="shared" si="6188"/>
        <v>82227</v>
      </c>
      <c r="B3592" s="9"/>
      <c r="C3592" s="9"/>
      <c r="D3592" s="9"/>
      <c r="E3592" s="9"/>
      <c r="F3592" s="9"/>
      <c r="G3592" s="9"/>
      <c r="H3592" s="9"/>
      <c r="J3592" s="24" t="str">
        <f t="shared" ref="J3592" si="6249">CONCATENATE(K3589,3)</f>
        <v>73</v>
      </c>
      <c r="K3592" s="6" t="e">
        <v>#VALUE!</v>
      </c>
      <c r="L3592" s="6" t="e">
        <v>#VALUE!</v>
      </c>
      <c r="M3592" s="6" t="e">
        <v>#VALUE!</v>
      </c>
      <c r="N3592" s="6" t="e">
        <v>#VALUE!</v>
      </c>
      <c r="O3592" s="6" t="e">
        <v>#VALUE!</v>
      </c>
      <c r="P3592" s="6" t="e">
        <v>#VALUE!</v>
      </c>
      <c r="T3592" s="9"/>
      <c r="U3592" s="1">
        <f t="shared" si="6164"/>
        <v>82</v>
      </c>
      <c r="V3592" s="1">
        <f t="shared" si="6165"/>
        <v>227</v>
      </c>
    </row>
    <row r="3593" spans="1:22" x14ac:dyDescent="0.3">
      <c r="A3593" s="1">
        <f t="shared" si="6188"/>
        <v>82228</v>
      </c>
      <c r="B3593" s="87" t="s">
        <v>33</v>
      </c>
      <c r="C3593" s="88"/>
      <c r="D3593" s="88"/>
      <c r="E3593" s="88"/>
      <c r="F3593" s="88"/>
      <c r="G3593" s="88"/>
      <c r="H3593" s="89"/>
      <c r="K3593" s="1">
        <v>8</v>
      </c>
      <c r="L3593" s="1">
        <v>8</v>
      </c>
      <c r="M3593" s="1">
        <v>8</v>
      </c>
      <c r="N3593" s="1">
        <v>8</v>
      </c>
      <c r="O3593" s="1">
        <v>8</v>
      </c>
      <c r="P3593" s="1">
        <v>8</v>
      </c>
      <c r="Q3593" s="1">
        <v>8</v>
      </c>
      <c r="T3593" s="9"/>
      <c r="U3593" s="1">
        <f t="shared" si="6164"/>
        <v>82</v>
      </c>
      <c r="V3593" s="1">
        <f t="shared" si="6165"/>
        <v>228</v>
      </c>
    </row>
    <row r="3594" spans="1:22" x14ac:dyDescent="0.3">
      <c r="A3594" s="1">
        <f t="shared" si="6188"/>
        <v>82229</v>
      </c>
      <c r="B3594" s="90"/>
      <c r="C3594" s="91"/>
      <c r="D3594" s="91"/>
      <c r="E3594" s="91"/>
      <c r="F3594" s="91"/>
      <c r="G3594" s="91"/>
      <c r="H3594" s="92"/>
      <c r="J3594" s="24" t="str">
        <f t="shared" ref="J3594" si="6250">CONCATENATE(K3593,1)</f>
        <v>81</v>
      </c>
      <c r="K3594" s="6" t="e">
        <f t="array" ref="K3594:Q3596">LINEST(B3582:B3589,C3582:C3589^{1,2,3,4,5,6},TRUE,TRUE)</f>
        <v>#VALUE!</v>
      </c>
      <c r="L3594" s="6" t="e">
        <v>#VALUE!</v>
      </c>
      <c r="M3594" s="6" t="e">
        <v>#VALUE!</v>
      </c>
      <c r="N3594" s="6" t="e">
        <v>#VALUE!</v>
      </c>
      <c r="O3594" s="6" t="e">
        <v>#VALUE!</v>
      </c>
      <c r="P3594" s="6" t="e">
        <v>#VALUE!</v>
      </c>
      <c r="Q3594" s="6" t="e">
        <v>#VALUE!</v>
      </c>
      <c r="T3594" s="9"/>
      <c r="U3594" s="1">
        <f t="shared" si="6164"/>
        <v>82</v>
      </c>
      <c r="V3594" s="1">
        <f t="shared" si="6165"/>
        <v>229</v>
      </c>
    </row>
    <row r="3595" spans="1:22" x14ac:dyDescent="0.3">
      <c r="A3595" s="1">
        <f t="shared" si="6188"/>
        <v>82230</v>
      </c>
      <c r="B3595" s="93"/>
      <c r="C3595" s="94"/>
      <c r="D3595" s="94"/>
      <c r="E3595" s="94"/>
      <c r="F3595" s="94"/>
      <c r="G3595" s="94"/>
      <c r="H3595" s="95"/>
      <c r="J3595" s="24" t="str">
        <f t="shared" ref="J3595" si="6251">CONCATENATE(K3593,2)</f>
        <v>82</v>
      </c>
      <c r="K3595" s="6" t="e">
        <v>#VALUE!</v>
      </c>
      <c r="L3595" s="6" t="e">
        <v>#VALUE!</v>
      </c>
      <c r="M3595" s="6" t="e">
        <v>#VALUE!</v>
      </c>
      <c r="N3595" s="6" t="e">
        <v>#VALUE!</v>
      </c>
      <c r="O3595" s="6" t="e">
        <v>#VALUE!</v>
      </c>
      <c r="P3595" s="6" t="e">
        <v>#VALUE!</v>
      </c>
      <c r="Q3595" s="6" t="e">
        <v>#VALUE!</v>
      </c>
      <c r="T3595" s="9"/>
      <c r="U3595" s="1">
        <f t="shared" si="6164"/>
        <v>82</v>
      </c>
      <c r="V3595" s="1">
        <f t="shared" si="6165"/>
        <v>230</v>
      </c>
    </row>
    <row r="3596" spans="1:22" x14ac:dyDescent="0.3">
      <c r="A3596" s="1">
        <f t="shared" si="6188"/>
        <v>82231</v>
      </c>
      <c r="J3596" s="24" t="str">
        <f t="shared" ref="J3596" si="6252">CONCATENATE(K3593,3)</f>
        <v>83</v>
      </c>
      <c r="K3596" s="6" t="e">
        <v>#VALUE!</v>
      </c>
      <c r="L3596" s="6" t="e">
        <v>#VALUE!</v>
      </c>
      <c r="M3596" s="6" t="e">
        <v>#VALUE!</v>
      </c>
      <c r="N3596" s="6" t="e">
        <v>#VALUE!</v>
      </c>
      <c r="O3596" s="6" t="e">
        <v>#VALUE!</v>
      </c>
      <c r="P3596" s="6" t="e">
        <v>#VALUE!</v>
      </c>
      <c r="Q3596" s="6" t="e">
        <v>#VALUE!</v>
      </c>
      <c r="T3596" s="9"/>
      <c r="U3596" s="1">
        <f t="shared" si="6164"/>
        <v>82</v>
      </c>
      <c r="V3596" s="1">
        <f t="shared" si="6165"/>
        <v>231</v>
      </c>
    </row>
    <row r="3597" spans="1:22" ht="15" customHeight="1" x14ac:dyDescent="0.3">
      <c r="A3597" s="1">
        <f t="shared" si="6188"/>
        <v>82232</v>
      </c>
      <c r="B3597" s="10" t="s">
        <v>34</v>
      </c>
      <c r="C3597" s="10" t="s">
        <v>35</v>
      </c>
      <c r="D3597" s="10" t="s">
        <v>36</v>
      </c>
      <c r="E3597" s="74" t="s">
        <v>37</v>
      </c>
      <c r="F3597" s="75"/>
      <c r="G3597" s="76"/>
      <c r="K3597" s="1">
        <v>9</v>
      </c>
      <c r="L3597" s="1">
        <v>9</v>
      </c>
      <c r="M3597" s="1">
        <v>9</v>
      </c>
      <c r="N3597" s="1">
        <v>9</v>
      </c>
      <c r="O3597" s="1">
        <v>9</v>
      </c>
      <c r="P3597" s="1">
        <v>9</v>
      </c>
      <c r="Q3597" s="1">
        <v>9</v>
      </c>
      <c r="R3597" s="1">
        <v>9</v>
      </c>
      <c r="T3597" s="9"/>
      <c r="U3597" s="1">
        <f t="shared" si="6164"/>
        <v>82</v>
      </c>
      <c r="V3597" s="1">
        <f t="shared" si="6165"/>
        <v>232</v>
      </c>
    </row>
    <row r="3598" spans="1:22" x14ac:dyDescent="0.3">
      <c r="A3598" s="1">
        <f t="shared" si="6188"/>
        <v>82233</v>
      </c>
      <c r="B3598" s="12">
        <f t="shared" ref="B3598:B3607" si="6253">C3582-B3582</f>
        <v>0</v>
      </c>
      <c r="C3598" s="13">
        <f t="shared" ref="C3598:C3607" si="6254">H3582-G3582</f>
        <v>0</v>
      </c>
      <c r="D3598" s="10">
        <f t="shared" ref="D3598:D3607" si="6255">C3598-B3598</f>
        <v>0</v>
      </c>
      <c r="E3598" s="11" t="str">
        <f t="shared" ref="E3598" si="6256">IF(D3573="","",MAX(F3598,G3598))</f>
        <v/>
      </c>
      <c r="F3598" s="10">
        <f t="shared" ref="F3598" si="6257">ABS(MIN(D3598:D3607))</f>
        <v>0</v>
      </c>
      <c r="G3598" s="10">
        <f t="shared" ref="G3598" si="6258">ABS(MAX(D3598:D3607))</f>
        <v>0</v>
      </c>
      <c r="J3598" s="24" t="str">
        <f t="shared" ref="J3598" si="6259">CONCATENATE(K3597,1)</f>
        <v>91</v>
      </c>
      <c r="K3598" s="6" t="e">
        <f t="array" ref="K3598:R3600">LINEST(B3582:B3590,C3582:C3590^{1,2,3,4,5,6,7},TRUE,TRUE)</f>
        <v>#VALUE!</v>
      </c>
      <c r="L3598" s="6" t="e">
        <v>#VALUE!</v>
      </c>
      <c r="M3598" s="6" t="e">
        <v>#VALUE!</v>
      </c>
      <c r="N3598" s="6" t="e">
        <v>#VALUE!</v>
      </c>
      <c r="O3598" s="6" t="e">
        <v>#VALUE!</v>
      </c>
      <c r="P3598" s="6" t="e">
        <v>#VALUE!</v>
      </c>
      <c r="Q3598" s="6" t="e">
        <v>#VALUE!</v>
      </c>
      <c r="R3598" s="6" t="e">
        <v>#VALUE!</v>
      </c>
      <c r="T3598" s="9"/>
      <c r="U3598" s="1">
        <f t="shared" si="6164"/>
        <v>82</v>
      </c>
      <c r="V3598" s="1">
        <f t="shared" si="6165"/>
        <v>233</v>
      </c>
    </row>
    <row r="3599" spans="1:22" x14ac:dyDescent="0.3">
      <c r="A3599" s="1">
        <f t="shared" si="6188"/>
        <v>82234</v>
      </c>
      <c r="B3599" s="12">
        <f t="shared" si="6253"/>
        <v>0</v>
      </c>
      <c r="C3599" s="13">
        <f t="shared" si="6254"/>
        <v>0</v>
      </c>
      <c r="D3599" s="10">
        <f t="shared" si="6255"/>
        <v>0</v>
      </c>
      <c r="E3599" s="74" t="s">
        <v>38</v>
      </c>
      <c r="F3599" s="75"/>
      <c r="G3599" s="76"/>
      <c r="J3599" s="24" t="str">
        <f t="shared" ref="J3599" si="6260">CONCATENATE(K3597,2)</f>
        <v>92</v>
      </c>
      <c r="K3599" s="6" t="e">
        <v>#VALUE!</v>
      </c>
      <c r="L3599" s="6" t="e">
        <v>#VALUE!</v>
      </c>
      <c r="M3599" s="6" t="e">
        <v>#VALUE!</v>
      </c>
      <c r="N3599" s="6" t="e">
        <v>#VALUE!</v>
      </c>
      <c r="O3599" s="6" t="e">
        <v>#VALUE!</v>
      </c>
      <c r="P3599" s="6" t="e">
        <v>#VALUE!</v>
      </c>
      <c r="Q3599" s="6" t="e">
        <v>#VALUE!</v>
      </c>
      <c r="R3599" s="6" t="e">
        <v>#VALUE!</v>
      </c>
      <c r="T3599" s="9"/>
      <c r="U3599" s="1">
        <f t="shared" si="6164"/>
        <v>82</v>
      </c>
      <c r="V3599" s="1">
        <f t="shared" si="6165"/>
        <v>234</v>
      </c>
    </row>
    <row r="3600" spans="1:22" x14ac:dyDescent="0.3">
      <c r="A3600" s="1">
        <f t="shared" si="6188"/>
        <v>82235</v>
      </c>
      <c r="B3600" s="12">
        <f t="shared" si="6253"/>
        <v>0</v>
      </c>
      <c r="C3600" s="13">
        <f t="shared" si="6254"/>
        <v>0</v>
      </c>
      <c r="D3600" s="10">
        <f t="shared" si="6255"/>
        <v>0</v>
      </c>
      <c r="E3600" s="11" t="str">
        <f t="shared" ref="E3600" si="6261">IF(D3573="","",MAX(F3600,G3600))</f>
        <v/>
      </c>
      <c r="F3600" s="10">
        <f t="shared" ref="F3600" si="6262">ABS(MIN(B3598:B3607))</f>
        <v>0</v>
      </c>
      <c r="G3600" s="10">
        <f t="shared" ref="G3600" si="6263">ABS(MAX(B3598:B3607))</f>
        <v>0</v>
      </c>
      <c r="J3600" s="24" t="str">
        <f t="shared" ref="J3600" si="6264">CONCATENATE(K3597,3)</f>
        <v>93</v>
      </c>
      <c r="K3600" s="6" t="e">
        <v>#VALUE!</v>
      </c>
      <c r="L3600" s="6" t="e">
        <v>#VALUE!</v>
      </c>
      <c r="M3600" s="6" t="e">
        <v>#VALUE!</v>
      </c>
      <c r="N3600" s="6" t="e">
        <v>#VALUE!</v>
      </c>
      <c r="O3600" s="6" t="e">
        <v>#VALUE!</v>
      </c>
      <c r="P3600" s="6" t="e">
        <v>#VALUE!</v>
      </c>
      <c r="Q3600" s="6" t="e">
        <v>#VALUE!</v>
      </c>
      <c r="R3600" s="6" t="e">
        <v>#VALUE!</v>
      </c>
      <c r="T3600" s="9"/>
      <c r="U3600" s="1">
        <f t="shared" si="6164"/>
        <v>82</v>
      </c>
      <c r="V3600" s="1">
        <f t="shared" si="6165"/>
        <v>235</v>
      </c>
    </row>
    <row r="3601" spans="1:22" x14ac:dyDescent="0.3">
      <c r="A3601" s="1">
        <f t="shared" si="6188"/>
        <v>82236</v>
      </c>
      <c r="B3601" s="12">
        <f t="shared" si="6253"/>
        <v>0</v>
      </c>
      <c r="C3601" s="13">
        <f t="shared" si="6254"/>
        <v>0</v>
      </c>
      <c r="D3601" s="10">
        <f t="shared" si="6255"/>
        <v>0</v>
      </c>
      <c r="E3601" s="74" t="s">
        <v>39</v>
      </c>
      <c r="F3601" s="75"/>
      <c r="G3601" s="76"/>
      <c r="K3601" s="1">
        <v>10</v>
      </c>
      <c r="L3601" s="1">
        <v>10</v>
      </c>
      <c r="M3601" s="1">
        <v>10</v>
      </c>
      <c r="N3601" s="1">
        <v>10</v>
      </c>
      <c r="O3601" s="1">
        <v>10</v>
      </c>
      <c r="P3601" s="1">
        <v>10</v>
      </c>
      <c r="Q3601" s="1">
        <v>10</v>
      </c>
      <c r="R3601" s="1">
        <v>10</v>
      </c>
      <c r="S3601" s="1">
        <v>10</v>
      </c>
      <c r="T3601" s="9"/>
      <c r="U3601" s="1">
        <f t="shared" si="6164"/>
        <v>82</v>
      </c>
      <c r="V3601" s="1">
        <f t="shared" si="6165"/>
        <v>236</v>
      </c>
    </row>
    <row r="3602" spans="1:22" x14ac:dyDescent="0.3">
      <c r="A3602" s="1">
        <f t="shared" si="6188"/>
        <v>82237</v>
      </c>
      <c r="B3602" s="12">
        <f t="shared" si="6253"/>
        <v>0</v>
      </c>
      <c r="C3602" s="13">
        <f t="shared" si="6254"/>
        <v>0</v>
      </c>
      <c r="D3602" s="10">
        <f t="shared" si="6255"/>
        <v>0</v>
      </c>
      <c r="E3602" s="11" t="str">
        <f t="shared" ref="E3602" si="6265">IF(D3573="","",MAX(F3602,G3602))</f>
        <v/>
      </c>
      <c r="F3602" s="10">
        <f t="shared" ref="F3602" si="6266">ABS(MIN(D3582:D3591))</f>
        <v>0</v>
      </c>
      <c r="G3602" s="10">
        <f t="shared" ref="G3602" si="6267">ABS(MAX(D3582:D3591))</f>
        <v>0</v>
      </c>
      <c r="J3602" s="24" t="str">
        <f t="shared" ref="J3602" si="6268">CONCATENATE(K3601,1)</f>
        <v>101</v>
      </c>
      <c r="K3602" s="6" t="e">
        <f t="array" ref="K3602:S3604">LINEST(B3582:B3591,C3582:C3591^{1,2,3,4,5,6,7,8},TRUE,TRUE)</f>
        <v>#VALUE!</v>
      </c>
      <c r="L3602" s="6" t="e">
        <v>#VALUE!</v>
      </c>
      <c r="M3602" s="6" t="e">
        <v>#VALUE!</v>
      </c>
      <c r="N3602" s="6" t="e">
        <v>#VALUE!</v>
      </c>
      <c r="O3602" s="6" t="e">
        <v>#VALUE!</v>
      </c>
      <c r="P3602" s="6" t="e">
        <v>#VALUE!</v>
      </c>
      <c r="Q3602" s="6" t="e">
        <v>#VALUE!</v>
      </c>
      <c r="R3602" s="6" t="e">
        <v>#VALUE!</v>
      </c>
      <c r="S3602" s="6" t="e">
        <v>#VALUE!</v>
      </c>
      <c r="T3602" s="9"/>
      <c r="U3602" s="1">
        <f t="shared" si="6164"/>
        <v>82</v>
      </c>
      <c r="V3602" s="1">
        <f t="shared" si="6165"/>
        <v>237</v>
      </c>
    </row>
    <row r="3603" spans="1:22" x14ac:dyDescent="0.3">
      <c r="A3603" s="1">
        <f t="shared" si="6188"/>
        <v>82238</v>
      </c>
      <c r="B3603" s="12">
        <f t="shared" si="6253"/>
        <v>0</v>
      </c>
      <c r="C3603" s="13">
        <f t="shared" si="6254"/>
        <v>0</v>
      </c>
      <c r="D3603" s="10">
        <f t="shared" si="6255"/>
        <v>0</v>
      </c>
      <c r="J3603" s="24" t="str">
        <f t="shared" ref="J3603" si="6269">CONCATENATE(K3601,2)</f>
        <v>102</v>
      </c>
      <c r="K3603" s="6" t="e">
        <v>#VALUE!</v>
      </c>
      <c r="L3603" s="6" t="e">
        <v>#VALUE!</v>
      </c>
      <c r="M3603" s="6" t="e">
        <v>#VALUE!</v>
      </c>
      <c r="N3603" s="6" t="e">
        <v>#VALUE!</v>
      </c>
      <c r="O3603" s="6" t="e">
        <v>#VALUE!</v>
      </c>
      <c r="P3603" s="6" t="e">
        <v>#VALUE!</v>
      </c>
      <c r="Q3603" s="6" t="e">
        <v>#VALUE!</v>
      </c>
      <c r="R3603" s="6" t="e">
        <v>#VALUE!</v>
      </c>
      <c r="S3603" s="6" t="e">
        <v>#VALUE!</v>
      </c>
      <c r="T3603" s="9"/>
      <c r="U3603" s="1">
        <f t="shared" si="6164"/>
        <v>82</v>
      </c>
      <c r="V3603" s="1">
        <f t="shared" si="6165"/>
        <v>238</v>
      </c>
    </row>
    <row r="3604" spans="1:22" x14ac:dyDescent="0.3">
      <c r="A3604" s="1">
        <f t="shared" si="6188"/>
        <v>82239</v>
      </c>
      <c r="B3604" s="12">
        <f t="shared" si="6253"/>
        <v>0</v>
      </c>
      <c r="C3604" s="13">
        <f t="shared" si="6254"/>
        <v>0</v>
      </c>
      <c r="D3604" s="10">
        <f t="shared" si="6255"/>
        <v>0</v>
      </c>
      <c r="J3604" s="24" t="str">
        <f t="shared" ref="J3604" si="6270">CONCATENATE(K3601,3)</f>
        <v>103</v>
      </c>
      <c r="K3604" s="6" t="e">
        <v>#VALUE!</v>
      </c>
      <c r="L3604" s="6" t="e">
        <v>#VALUE!</v>
      </c>
      <c r="M3604" s="6" t="e">
        <v>#VALUE!</v>
      </c>
      <c r="N3604" s="6" t="e">
        <v>#VALUE!</v>
      </c>
      <c r="O3604" s="6" t="e">
        <v>#VALUE!</v>
      </c>
      <c r="P3604" s="6" t="e">
        <v>#VALUE!</v>
      </c>
      <c r="Q3604" s="6" t="e">
        <v>#VALUE!</v>
      </c>
      <c r="R3604" s="6" t="e">
        <v>#VALUE!</v>
      </c>
      <c r="S3604" s="6" t="e">
        <v>#VALUE!</v>
      </c>
      <c r="T3604" s="9"/>
      <c r="U3604" s="1">
        <f t="shared" si="6164"/>
        <v>82</v>
      </c>
      <c r="V3604" s="1">
        <f t="shared" si="6165"/>
        <v>239</v>
      </c>
    </row>
    <row r="3605" spans="1:22" x14ac:dyDescent="0.3">
      <c r="A3605" s="1">
        <f t="shared" si="6188"/>
        <v>82240</v>
      </c>
      <c r="B3605" s="12">
        <f t="shared" si="6253"/>
        <v>0</v>
      </c>
      <c r="C3605" s="13">
        <f t="shared" si="6254"/>
        <v>0</v>
      </c>
      <c r="D3605" s="10">
        <f t="shared" si="6255"/>
        <v>0</v>
      </c>
      <c r="J3605" s="9"/>
      <c r="K3605" s="9"/>
      <c r="L3605" s="9"/>
      <c r="M3605" s="9"/>
      <c r="N3605" s="9"/>
      <c r="O3605" s="9"/>
      <c r="P3605" s="9"/>
      <c r="Q3605" s="9"/>
      <c r="R3605" s="9"/>
      <c r="S3605" s="9"/>
      <c r="T3605" s="9"/>
      <c r="U3605" s="1">
        <f t="shared" si="6164"/>
        <v>82</v>
      </c>
      <c r="V3605" s="1">
        <f t="shared" si="6165"/>
        <v>240</v>
      </c>
    </row>
    <row r="3606" spans="1:22" x14ac:dyDescent="0.3">
      <c r="A3606" s="1">
        <f t="shared" si="6188"/>
        <v>82241</v>
      </c>
      <c r="B3606" s="12">
        <f t="shared" si="6253"/>
        <v>0</v>
      </c>
      <c r="C3606" s="13">
        <f t="shared" si="6254"/>
        <v>0</v>
      </c>
      <c r="D3606" s="10">
        <f t="shared" si="6255"/>
        <v>0</v>
      </c>
      <c r="J3606" s="9"/>
      <c r="K3606" s="9"/>
      <c r="L3606" s="9"/>
      <c r="M3606" s="9"/>
      <c r="N3606" s="9"/>
      <c r="O3606" s="9"/>
      <c r="P3606" s="9"/>
      <c r="Q3606" s="9"/>
      <c r="R3606" s="9"/>
      <c r="S3606" s="9"/>
      <c r="T3606" s="9"/>
      <c r="U3606" s="1">
        <f t="shared" si="6164"/>
        <v>82</v>
      </c>
      <c r="V3606" s="1">
        <f t="shared" si="6165"/>
        <v>241</v>
      </c>
    </row>
    <row r="3607" spans="1:22" x14ac:dyDescent="0.3">
      <c r="A3607" s="1">
        <f t="shared" si="6188"/>
        <v>82242</v>
      </c>
      <c r="B3607" s="12">
        <f t="shared" si="6253"/>
        <v>0</v>
      </c>
      <c r="C3607" s="13">
        <f t="shared" si="6254"/>
        <v>0</v>
      </c>
      <c r="D3607" s="10">
        <f t="shared" si="6255"/>
        <v>0</v>
      </c>
      <c r="J3607" s="9"/>
      <c r="K3607" s="9"/>
      <c r="L3607" s="9"/>
      <c r="M3607" s="9"/>
      <c r="N3607" s="9"/>
      <c r="O3607" s="9"/>
      <c r="P3607" s="9"/>
      <c r="Q3607" s="9"/>
      <c r="R3607" s="9"/>
      <c r="S3607" s="9"/>
      <c r="T3607" s="9"/>
      <c r="U3607" s="1">
        <f t="shared" si="6164"/>
        <v>82</v>
      </c>
      <c r="V3607" s="1">
        <f t="shared" si="6165"/>
        <v>242</v>
      </c>
    </row>
    <row r="3608" spans="1:22" x14ac:dyDescent="0.3">
      <c r="A3608" s="1">
        <f t="shared" si="6188"/>
        <v>82243</v>
      </c>
      <c r="J3608" s="9"/>
      <c r="K3608" s="9"/>
      <c r="L3608" s="9"/>
      <c r="M3608" s="9"/>
      <c r="N3608" s="9"/>
      <c r="O3608" s="9"/>
      <c r="P3608" s="9"/>
      <c r="Q3608" s="9"/>
      <c r="R3608" s="9"/>
      <c r="S3608" s="9"/>
      <c r="T3608" s="9"/>
      <c r="U3608" s="1">
        <f t="shared" si="6164"/>
        <v>82</v>
      </c>
      <c r="V3608" s="1">
        <f t="shared" si="6165"/>
        <v>243</v>
      </c>
    </row>
    <row r="3609" spans="1:22" s="5" customFormat="1" x14ac:dyDescent="0.3"/>
    <row r="3610" spans="1:22" x14ac:dyDescent="0.3">
      <c r="A3610" s="1">
        <f t="shared" ref="A3610:A3652" si="6271">ROUND(CONCATENATE(U3610,V3610),0)</f>
        <v>83201</v>
      </c>
      <c r="B3610" s="96" t="s">
        <v>0</v>
      </c>
      <c r="C3610" s="97"/>
      <c r="D3610" s="98"/>
      <c r="E3610" s="99"/>
      <c r="F3610" s="99"/>
      <c r="G3610" s="99"/>
      <c r="H3610" s="100"/>
      <c r="J3610" s="9"/>
      <c r="K3610" s="9"/>
      <c r="L3610" s="9"/>
      <c r="M3610" s="9"/>
      <c r="N3610" s="9"/>
      <c r="O3610" s="9"/>
      <c r="P3610" s="9"/>
      <c r="Q3610" s="9"/>
      <c r="R3610" s="9"/>
      <c r="S3610" s="9"/>
      <c r="T3610" s="9"/>
      <c r="U3610" s="1">
        <f t="shared" ref="U3610" si="6272">U3608+1</f>
        <v>83</v>
      </c>
      <c r="V3610" s="1">
        <v>201</v>
      </c>
    </row>
    <row r="3611" spans="1:22" x14ac:dyDescent="0.3">
      <c r="A3611" s="1">
        <f t="shared" si="6271"/>
        <v>83202</v>
      </c>
      <c r="B3611" s="96" t="s">
        <v>1</v>
      </c>
      <c r="C3611" s="97"/>
      <c r="D3611" s="15"/>
      <c r="E3611" s="16" t="s">
        <v>2</v>
      </c>
      <c r="F3611" s="107"/>
      <c r="G3611" s="108"/>
      <c r="H3611" s="109"/>
      <c r="J3611" s="9"/>
      <c r="K3611" s="9"/>
      <c r="L3611" s="9"/>
      <c r="M3611" s="9"/>
      <c r="N3611" s="9"/>
      <c r="O3611" s="9"/>
      <c r="P3611" s="9"/>
      <c r="Q3611" s="9"/>
      <c r="R3611" s="9"/>
      <c r="S3611" s="9"/>
      <c r="T3611" s="9"/>
      <c r="U3611" s="1">
        <f t="shared" ref="U3611:U3674" si="6273">U3610</f>
        <v>83</v>
      </c>
      <c r="V3611" s="1">
        <f t="shared" ref="V3611:V3674" si="6274">V3610+1</f>
        <v>202</v>
      </c>
    </row>
    <row r="3612" spans="1:22" x14ac:dyDescent="0.3">
      <c r="A3612" s="1">
        <f t="shared" si="6271"/>
        <v>83203</v>
      </c>
      <c r="B3612" s="96" t="s">
        <v>12</v>
      </c>
      <c r="C3612" s="97"/>
      <c r="D3612" s="98"/>
      <c r="E3612" s="99"/>
      <c r="F3612" s="99"/>
      <c r="G3612" s="99"/>
      <c r="H3612" s="100"/>
      <c r="K3612" s="1" t="s">
        <v>3</v>
      </c>
      <c r="L3612" s="1" t="s">
        <v>4</v>
      </c>
      <c r="M3612" s="1" t="s">
        <v>5</v>
      </c>
      <c r="N3612" s="1" t="s">
        <v>6</v>
      </c>
      <c r="O3612" s="1" t="s">
        <v>7</v>
      </c>
      <c r="P3612" s="1" t="s">
        <v>8</v>
      </c>
      <c r="Q3612" s="1" t="s">
        <v>9</v>
      </c>
      <c r="R3612" s="1" t="s">
        <v>10</v>
      </c>
      <c r="S3612" s="1" t="s">
        <v>11</v>
      </c>
      <c r="T3612" s="9"/>
      <c r="U3612" s="1">
        <f t="shared" si="6273"/>
        <v>83</v>
      </c>
      <c r="V3612" s="1">
        <f t="shared" si="6274"/>
        <v>203</v>
      </c>
    </row>
    <row r="3613" spans="1:22" x14ac:dyDescent="0.3">
      <c r="A3613" s="1">
        <f t="shared" si="6271"/>
        <v>83204</v>
      </c>
      <c r="B3613" s="96" t="s">
        <v>13</v>
      </c>
      <c r="C3613" s="97"/>
      <c r="D3613" s="98"/>
      <c r="E3613" s="99"/>
      <c r="F3613" s="99"/>
      <c r="G3613" s="99"/>
      <c r="H3613" s="100"/>
      <c r="J3613" s="1">
        <f t="shared" ref="J3613" si="6275">COUNTA(B3626:B3635)</f>
        <v>0</v>
      </c>
      <c r="K3613" s="1">
        <f t="shared" ref="K3613" si="6276">IF(L3613-1&lt;2,0,L3613-1)</f>
        <v>0</v>
      </c>
      <c r="L3613" s="1">
        <f t="shared" ref="L3613" si="6277">IF(M3613-1&lt;2,0,M3613-1)</f>
        <v>0</v>
      </c>
      <c r="M3613" s="1">
        <f t="shared" ref="M3613" si="6278">IF(N3613-1&lt;2,0,N3613-1)</f>
        <v>0</v>
      </c>
      <c r="N3613" s="1">
        <f t="shared" ref="N3613" si="6279">IF(O3613-1&lt;2,0,O3613-1)</f>
        <v>0</v>
      </c>
      <c r="O3613" s="1">
        <f t="shared" ref="O3613" si="6280">IF(P3613-1&lt;2,0,P3613-1)</f>
        <v>0</v>
      </c>
      <c r="P3613" s="1">
        <f t="shared" ref="P3613" si="6281">IF(Q3613-1&lt;2,0,Q3613-1)</f>
        <v>0</v>
      </c>
      <c r="Q3613" s="1">
        <f t="shared" ref="Q3613" si="6282">IF(R3613-1&lt;2,0,R3613-1)</f>
        <v>0</v>
      </c>
      <c r="R3613" s="1">
        <f t="shared" ref="R3613" si="6283">IF(S3613-1&lt;2,0,S3613-1)</f>
        <v>0</v>
      </c>
      <c r="S3613" s="1">
        <f t="shared" ref="S3613" si="6284">J3613</f>
        <v>0</v>
      </c>
      <c r="T3613" s="9"/>
      <c r="U3613" s="1">
        <f t="shared" si="6273"/>
        <v>83</v>
      </c>
      <c r="V3613" s="1">
        <f t="shared" si="6274"/>
        <v>204</v>
      </c>
    </row>
    <row r="3614" spans="1:22" x14ac:dyDescent="0.3">
      <c r="A3614" s="1">
        <f t="shared" si="6271"/>
        <v>83205</v>
      </c>
      <c r="B3614" s="96" t="s">
        <v>14</v>
      </c>
      <c r="C3614" s="97"/>
      <c r="D3614" s="98"/>
      <c r="E3614" s="99"/>
      <c r="F3614" s="99"/>
      <c r="G3614" s="99"/>
      <c r="H3614" s="100"/>
      <c r="J3614" s="24" t="str">
        <f t="shared" ref="J3614" si="6285">CONCATENATE(J3613,1)</f>
        <v>01</v>
      </c>
      <c r="K3614" s="25">
        <f t="shared" ref="K3614" si="6286">IF(K3613=0,0,VLOOKUP(J3614,J3618:S3648,K3613,FALSE))</f>
        <v>0</v>
      </c>
      <c r="L3614" s="25">
        <f t="shared" ref="L3614" si="6287">IF(L3613=0,0,VLOOKUP(J3614,J3618:S3648,L3613,FALSE))</f>
        <v>0</v>
      </c>
      <c r="M3614" s="25">
        <f t="shared" ref="M3614" si="6288">IF(M3613=0,0,VLOOKUP(J3614,J3618:S3648,M3613,FALSE))</f>
        <v>0</v>
      </c>
      <c r="N3614" s="25">
        <f t="shared" ref="N3614" si="6289">IF(N3613=0,0,VLOOKUP(J3614,J3618:S3648,N3613,FALSE))</f>
        <v>0</v>
      </c>
      <c r="O3614" s="25">
        <f t="shared" ref="O3614" si="6290">IF(O3613=0,0,VLOOKUP(J3614,J3618:S3648,O3613,FALSE))</f>
        <v>0</v>
      </c>
      <c r="P3614" s="25">
        <f t="shared" ref="P3614" si="6291">IF(P3613=0,0,VLOOKUP(J3614,J3618:S3648,P3613,FALSE))</f>
        <v>0</v>
      </c>
      <c r="Q3614" s="25">
        <f t="shared" ref="Q3614" si="6292">IF(Q3613=0,0,VLOOKUP(J3614,J3618:S3648,Q3613,FALSE))</f>
        <v>0</v>
      </c>
      <c r="R3614" s="25">
        <f t="shared" ref="R3614" si="6293">IF(R3613=0,0,VLOOKUP(J3614,J3618:S3648,R3613,FALSE))</f>
        <v>0</v>
      </c>
      <c r="S3614" s="25">
        <f t="shared" ref="S3614" si="6294">IF(S3613=0,0,VLOOKUP(J3614,J3618:S3648,S3613,FALSE))</f>
        <v>0</v>
      </c>
      <c r="T3614" s="9"/>
      <c r="U3614" s="1">
        <f t="shared" si="6273"/>
        <v>83</v>
      </c>
      <c r="V3614" s="1">
        <f t="shared" si="6274"/>
        <v>205</v>
      </c>
    </row>
    <row r="3615" spans="1:22" x14ac:dyDescent="0.3">
      <c r="A3615" s="1">
        <f t="shared" si="6271"/>
        <v>83206</v>
      </c>
      <c r="B3615" s="96" t="s">
        <v>15</v>
      </c>
      <c r="C3615" s="97"/>
      <c r="D3615" s="98"/>
      <c r="E3615" s="99"/>
      <c r="F3615" s="99"/>
      <c r="G3615" s="99"/>
      <c r="H3615" s="100"/>
      <c r="J3615" s="24" t="str">
        <f t="shared" ref="J3615" si="6295">CONCATENATE(J3613,2)</f>
        <v>02</v>
      </c>
      <c r="K3615" s="6">
        <f t="shared" ref="K3615" si="6296">IF(K3613=0,0,VLOOKUP(J3615,J3618:S3648,K3613,FALSE))</f>
        <v>0</v>
      </c>
      <c r="L3615" s="6">
        <f t="shared" ref="L3615" si="6297">IF(L3613=0,0,VLOOKUP(J3615,J3618:S3648,L3613,FALSE))</f>
        <v>0</v>
      </c>
      <c r="M3615" s="6">
        <f t="shared" ref="M3615" si="6298">IF(M3613=0,0,VLOOKUP(J3615,J3618:S3648,M3613,FALSE))</f>
        <v>0</v>
      </c>
      <c r="N3615" s="6">
        <f t="shared" ref="N3615" si="6299">IF(N3613=0,0,VLOOKUP(J3615,J3618:S3648,N3613,FALSE))</f>
        <v>0</v>
      </c>
      <c r="O3615" s="6">
        <f t="shared" ref="O3615" si="6300">IF(O3613=0,0,VLOOKUP(J3615,J3618:S3648,O3613,FALSE))</f>
        <v>0</v>
      </c>
      <c r="P3615" s="6">
        <f t="shared" ref="P3615" si="6301">IF(P3613=0,0,VLOOKUP(J3615,J3618:S3648,P3613,FALSE))</f>
        <v>0</v>
      </c>
      <c r="Q3615" s="6">
        <f t="shared" ref="Q3615" si="6302">IF(Q3613=0,0,VLOOKUP(J3615,J3618:S3648,Q3613,FALSE))</f>
        <v>0</v>
      </c>
      <c r="R3615" s="6">
        <f t="shared" ref="R3615" si="6303">IF(R3613=0,0,VLOOKUP(J3615,J3618:S3648,R3613,FALSE))</f>
        <v>0</v>
      </c>
      <c r="S3615" s="6">
        <f t="shared" ref="S3615" si="6304">IF(S3613=0,0,VLOOKUP(J3615,J3618:S3648,S3613,FALSE))</f>
        <v>0</v>
      </c>
      <c r="T3615" s="9"/>
      <c r="U3615" s="1">
        <f t="shared" si="6273"/>
        <v>83</v>
      </c>
      <c r="V3615" s="1">
        <f t="shared" si="6274"/>
        <v>206</v>
      </c>
    </row>
    <row r="3616" spans="1:22" x14ac:dyDescent="0.3">
      <c r="A3616" s="1">
        <f t="shared" si="6271"/>
        <v>83207</v>
      </c>
      <c r="B3616" s="96" t="s">
        <v>16</v>
      </c>
      <c r="C3616" s="97"/>
      <c r="D3616" s="101"/>
      <c r="E3616" s="102"/>
      <c r="F3616" s="102"/>
      <c r="G3616" s="102"/>
      <c r="H3616" s="103"/>
      <c r="J3616" s="24" t="str">
        <f t="shared" ref="J3616" si="6305">CONCATENATE(J3613,3)</f>
        <v>03</v>
      </c>
      <c r="K3616" s="6"/>
      <c r="L3616" s="6"/>
      <c r="M3616" s="6"/>
      <c r="N3616" s="6" t="s">
        <v>43</v>
      </c>
      <c r="O3616" s="25">
        <f t="shared" ref="O3616" si="6306">J3613-2</f>
        <v>-2</v>
      </c>
      <c r="P3616" s="6" t="s">
        <v>44</v>
      </c>
      <c r="Q3616" s="25" t="e">
        <f t="shared" ref="Q3616" si="6307">VLOOKUP(J3616,J3618:S3648,3,FALSE)</f>
        <v>#N/A</v>
      </c>
      <c r="R3616" s="6" t="s">
        <v>45</v>
      </c>
      <c r="S3616" s="6" t="e">
        <f t="shared" ref="S3616" si="6308">VLOOKUP(J3616,J3618:S3648,2,FALSE)</f>
        <v>#N/A</v>
      </c>
      <c r="T3616" s="9"/>
      <c r="U3616" s="1">
        <f t="shared" si="6273"/>
        <v>83</v>
      </c>
      <c r="V3616" s="1">
        <f t="shared" si="6274"/>
        <v>207</v>
      </c>
    </row>
    <row r="3617" spans="1:22" x14ac:dyDescent="0.3">
      <c r="A3617" s="1">
        <f t="shared" si="6271"/>
        <v>83208</v>
      </c>
      <c r="B3617" s="96" t="s">
        <v>17</v>
      </c>
      <c r="C3617" s="97"/>
      <c r="D3617" s="104"/>
      <c r="E3617" s="105"/>
      <c r="F3617" s="105"/>
      <c r="G3617" s="105"/>
      <c r="H3617" s="106"/>
      <c r="K3617" s="1">
        <v>3</v>
      </c>
      <c r="L3617" s="1">
        <v>3</v>
      </c>
      <c r="Q3617" s="26"/>
      <c r="R3617" s="26"/>
      <c r="S3617" s="26"/>
      <c r="T3617" s="9"/>
      <c r="U3617" s="1">
        <f t="shared" si="6273"/>
        <v>83</v>
      </c>
      <c r="V3617" s="1">
        <f t="shared" si="6274"/>
        <v>208</v>
      </c>
    </row>
    <row r="3618" spans="1:22" x14ac:dyDescent="0.3">
      <c r="A3618" s="1">
        <f t="shared" si="6271"/>
        <v>83209</v>
      </c>
      <c r="B3618" s="77" t="s">
        <v>19</v>
      </c>
      <c r="C3618" s="78"/>
      <c r="D3618" s="17"/>
      <c r="E3618" s="79" t="s">
        <v>40</v>
      </c>
      <c r="F3618" s="80"/>
      <c r="G3618" s="81"/>
      <c r="H3618" s="18" t="s">
        <v>72</v>
      </c>
      <c r="J3618" s="24" t="str">
        <f t="shared" ref="J3618" si="6309">CONCATENATE(K3617,1)</f>
        <v>31</v>
      </c>
      <c r="K3618" s="6" t="e">
        <f t="array" ref="K3618:L3620">LINEST(B3626:B3628,C3626:C3628^{1},TRUE,TRUE)</f>
        <v>#VALUE!</v>
      </c>
      <c r="L3618" s="6" t="e">
        <v>#VALUE!</v>
      </c>
      <c r="Q3618" s="9"/>
      <c r="R3618" s="9"/>
      <c r="S3618" s="9"/>
      <c r="T3618" s="9"/>
      <c r="U3618" s="1">
        <f t="shared" si="6273"/>
        <v>83</v>
      </c>
      <c r="V3618" s="1">
        <f t="shared" si="6274"/>
        <v>209</v>
      </c>
    </row>
    <row r="3619" spans="1:22" x14ac:dyDescent="0.3">
      <c r="A3619" s="1">
        <f t="shared" si="6271"/>
        <v>83210</v>
      </c>
      <c r="B3619" s="77" t="s">
        <v>41</v>
      </c>
      <c r="C3619" s="78"/>
      <c r="D3619" s="23">
        <f t="shared" ref="D3619" si="6310">MIN(B3626:B3635)</f>
        <v>0</v>
      </c>
      <c r="E3619" s="20" t="s">
        <v>18</v>
      </c>
      <c r="F3619" s="19">
        <f t="shared" ref="F3619" si="6311">MAX(B3626:B3635)</f>
        <v>0</v>
      </c>
      <c r="G3619" s="21" t="str">
        <f t="shared" ref="G3619" si="6312">IF(H3618="","",H3618)</f>
        <v>%ur</v>
      </c>
      <c r="H3619" s="22"/>
      <c r="J3619" s="24" t="str">
        <f t="shared" ref="J3619" si="6313">CONCATENATE(K3617,2)</f>
        <v>32</v>
      </c>
      <c r="K3619" s="6" t="e">
        <v>#VALUE!</v>
      </c>
      <c r="L3619" s="6" t="e">
        <v>#VALUE!</v>
      </c>
      <c r="Q3619" s="9"/>
      <c r="R3619" s="9"/>
      <c r="S3619" s="9"/>
      <c r="T3619" s="9"/>
      <c r="U3619" s="1">
        <f t="shared" si="6273"/>
        <v>83</v>
      </c>
      <c r="V3619" s="1">
        <f t="shared" si="6274"/>
        <v>210</v>
      </c>
    </row>
    <row r="3620" spans="1:22" x14ac:dyDescent="0.3">
      <c r="A3620" s="1">
        <f t="shared" si="6271"/>
        <v>83211</v>
      </c>
      <c r="J3620" s="24" t="str">
        <f t="shared" ref="J3620" si="6314">CONCATENATE(K3617,3)</f>
        <v>33</v>
      </c>
      <c r="K3620" s="6" t="e">
        <v>#VALUE!</v>
      </c>
      <c r="L3620" s="6" t="e">
        <v>#VALUE!</v>
      </c>
      <c r="Q3620" s="9"/>
      <c r="R3620" s="9"/>
      <c r="S3620" s="9"/>
      <c r="T3620" s="9"/>
      <c r="U3620" s="1">
        <f t="shared" si="6273"/>
        <v>83</v>
      </c>
      <c r="V3620" s="1">
        <f t="shared" si="6274"/>
        <v>211</v>
      </c>
    </row>
    <row r="3621" spans="1:22" x14ac:dyDescent="0.3">
      <c r="A3621" s="1">
        <f t="shared" si="6271"/>
        <v>83212</v>
      </c>
      <c r="B3621" s="82" t="s">
        <v>20</v>
      </c>
      <c r="C3621" s="83"/>
      <c r="D3621" s="83"/>
      <c r="E3621" s="83"/>
      <c r="F3621" s="84"/>
      <c r="G3621" s="85" t="s">
        <v>31</v>
      </c>
      <c r="H3621" s="86"/>
      <c r="K3621" s="1">
        <v>4</v>
      </c>
      <c r="L3621" s="1">
        <v>4</v>
      </c>
      <c r="M3621" s="1">
        <v>4</v>
      </c>
      <c r="Q3621" s="9"/>
      <c r="R3621" s="9"/>
      <c r="S3621" s="9"/>
      <c r="T3621" s="9"/>
      <c r="U3621" s="1">
        <f t="shared" si="6273"/>
        <v>83</v>
      </c>
      <c r="V3621" s="1">
        <f t="shared" si="6274"/>
        <v>212</v>
      </c>
    </row>
    <row r="3622" spans="1:22" x14ac:dyDescent="0.3">
      <c r="A3622" s="1">
        <f t="shared" si="6271"/>
        <v>83213</v>
      </c>
      <c r="B3622" s="82" t="s">
        <v>30</v>
      </c>
      <c r="C3622" s="83"/>
      <c r="D3622" s="84"/>
      <c r="E3622" s="82">
        <f t="shared" ref="E3622" si="6315">D3615</f>
        <v>0</v>
      </c>
      <c r="F3622" s="84"/>
      <c r="G3622" s="6" t="s">
        <v>32</v>
      </c>
      <c r="H3622" s="7"/>
      <c r="J3622" s="24" t="str">
        <f t="shared" ref="J3622" si="6316">CONCATENATE(K3621,1)</f>
        <v>41</v>
      </c>
      <c r="K3622" s="6" t="e">
        <f t="array" ref="K3622:M3624">LINEST(B3626:B3629,C3626:C3629^{1,2},TRUE,TRUE)</f>
        <v>#VALUE!</v>
      </c>
      <c r="L3622" s="6" t="e">
        <v>#VALUE!</v>
      </c>
      <c r="M3622" s="6" t="e">
        <v>#VALUE!</v>
      </c>
      <c r="Q3622" s="9"/>
      <c r="R3622" s="9"/>
      <c r="S3622" s="9"/>
      <c r="T3622" s="9"/>
      <c r="U3622" s="1">
        <f t="shared" si="6273"/>
        <v>83</v>
      </c>
      <c r="V3622" s="1">
        <f t="shared" si="6274"/>
        <v>213</v>
      </c>
    </row>
    <row r="3623" spans="1:22" x14ac:dyDescent="0.3">
      <c r="A3623" s="1">
        <f t="shared" si="6271"/>
        <v>83214</v>
      </c>
      <c r="B3623" s="2" t="s">
        <v>21</v>
      </c>
      <c r="C3623" s="2" t="s">
        <v>22</v>
      </c>
      <c r="D3623" s="2" t="s">
        <v>23</v>
      </c>
      <c r="E3623" s="2"/>
      <c r="F3623" s="2" t="s">
        <v>28</v>
      </c>
      <c r="G3623" s="2" t="s">
        <v>21</v>
      </c>
      <c r="H3623" s="2" t="s">
        <v>22</v>
      </c>
      <c r="J3623" s="24" t="str">
        <f t="shared" ref="J3623" si="6317">CONCATENATE(K3621,2)</f>
        <v>42</v>
      </c>
      <c r="K3623" s="6" t="e">
        <v>#VALUE!</v>
      </c>
      <c r="L3623" s="6" t="e">
        <v>#VALUE!</v>
      </c>
      <c r="M3623" s="6" t="e">
        <v>#VALUE!</v>
      </c>
      <c r="Q3623" s="9"/>
      <c r="R3623" s="9"/>
      <c r="S3623" s="9"/>
      <c r="T3623" s="9"/>
      <c r="U3623" s="1">
        <f t="shared" si="6273"/>
        <v>83</v>
      </c>
      <c r="V3623" s="1">
        <f t="shared" si="6274"/>
        <v>214</v>
      </c>
    </row>
    <row r="3624" spans="1:22" x14ac:dyDescent="0.3">
      <c r="A3624" s="1">
        <f t="shared" si="6271"/>
        <v>83215</v>
      </c>
      <c r="B3624" s="2" t="s">
        <v>24</v>
      </c>
      <c r="C3624" s="2" t="s">
        <v>25</v>
      </c>
      <c r="D3624" s="2" t="s">
        <v>26</v>
      </c>
      <c r="E3624" s="2" t="s">
        <v>27</v>
      </c>
      <c r="F3624" s="2" t="s">
        <v>29</v>
      </c>
      <c r="G3624" s="2" t="s">
        <v>24</v>
      </c>
      <c r="H3624" s="2" t="s">
        <v>25</v>
      </c>
      <c r="J3624" s="24" t="str">
        <f t="shared" ref="J3624" si="6318">CONCATENATE(K3621,3)</f>
        <v>43</v>
      </c>
      <c r="K3624" s="6" t="e">
        <v>#VALUE!</v>
      </c>
      <c r="L3624" s="6" t="e">
        <v>#VALUE!</v>
      </c>
      <c r="M3624" s="6" t="e">
        <v>#VALUE!</v>
      </c>
      <c r="Q3624" s="9"/>
      <c r="R3624" s="9"/>
      <c r="S3624" s="9"/>
      <c r="T3624" s="9"/>
      <c r="U3624" s="1">
        <f t="shared" si="6273"/>
        <v>83</v>
      </c>
      <c r="V3624" s="1">
        <f t="shared" si="6274"/>
        <v>215</v>
      </c>
    </row>
    <row r="3625" spans="1:22" x14ac:dyDescent="0.3">
      <c r="A3625" s="1">
        <f t="shared" si="6271"/>
        <v>83216</v>
      </c>
      <c r="B3625" s="3" t="str">
        <f t="shared" ref="B3625" si="6319">H3618</f>
        <v>%ur</v>
      </c>
      <c r="C3625" s="3" t="str">
        <f t="shared" ref="C3625" si="6320">B3625</f>
        <v>%ur</v>
      </c>
      <c r="D3625" s="3" t="str">
        <f t="shared" ref="D3625" si="6321">C3625</f>
        <v>%ur</v>
      </c>
      <c r="E3625" s="3"/>
      <c r="F3625" s="3"/>
      <c r="G3625" s="3" t="str">
        <f t="shared" ref="G3625" si="6322">D3625</f>
        <v>%ur</v>
      </c>
      <c r="H3625" s="3" t="str">
        <f t="shared" ref="H3625" si="6323">G3625</f>
        <v>%ur</v>
      </c>
      <c r="K3625" s="1">
        <v>5</v>
      </c>
      <c r="L3625" s="1">
        <v>5</v>
      </c>
      <c r="M3625" s="1">
        <v>5</v>
      </c>
      <c r="N3625" s="1">
        <v>5</v>
      </c>
      <c r="Q3625" s="9"/>
      <c r="R3625" s="9"/>
      <c r="S3625" s="9"/>
      <c r="T3625" s="9"/>
      <c r="U3625" s="1">
        <f t="shared" si="6273"/>
        <v>83</v>
      </c>
      <c r="V3625" s="1">
        <f t="shared" si="6274"/>
        <v>216</v>
      </c>
    </row>
    <row r="3626" spans="1:22" x14ac:dyDescent="0.3">
      <c r="A3626" s="1">
        <f t="shared" si="6271"/>
        <v>83217</v>
      </c>
      <c r="B3626" s="4"/>
      <c r="C3626" s="4"/>
      <c r="D3626" s="4"/>
      <c r="E3626" s="4"/>
      <c r="F3626" s="14"/>
      <c r="G3626" s="8"/>
      <c r="H3626" s="7"/>
      <c r="J3626" s="24" t="str">
        <f t="shared" ref="J3626" si="6324">CONCATENATE(K3625,1)</f>
        <v>51</v>
      </c>
      <c r="K3626" s="6" t="e">
        <f t="array" ref="K3626:N3628">LINEST(B3626:B3630,C3626:C3630^{1,2,3},TRUE,TRUE)</f>
        <v>#VALUE!</v>
      </c>
      <c r="L3626" s="6" t="e">
        <v>#VALUE!</v>
      </c>
      <c r="M3626" s="6" t="e">
        <v>#VALUE!</v>
      </c>
      <c r="N3626" s="6" t="e">
        <v>#VALUE!</v>
      </c>
      <c r="Q3626" s="9"/>
      <c r="R3626" s="9"/>
      <c r="S3626" s="9"/>
      <c r="T3626" s="9"/>
      <c r="U3626" s="1">
        <f t="shared" si="6273"/>
        <v>83</v>
      </c>
      <c r="V3626" s="1">
        <f t="shared" si="6274"/>
        <v>217</v>
      </c>
    </row>
    <row r="3627" spans="1:22" x14ac:dyDescent="0.3">
      <c r="A3627" s="1">
        <f t="shared" si="6271"/>
        <v>83218</v>
      </c>
      <c r="B3627" s="4"/>
      <c r="C3627" s="4"/>
      <c r="D3627" s="4"/>
      <c r="E3627" s="4"/>
      <c r="F3627" s="14"/>
      <c r="G3627" s="8"/>
      <c r="H3627" s="7"/>
      <c r="J3627" s="24" t="str">
        <f t="shared" ref="J3627" si="6325">CONCATENATE(K3625,2)</f>
        <v>52</v>
      </c>
      <c r="K3627" s="6" t="e">
        <v>#VALUE!</v>
      </c>
      <c r="L3627" s="6" t="e">
        <v>#VALUE!</v>
      </c>
      <c r="M3627" s="6" t="e">
        <v>#VALUE!</v>
      </c>
      <c r="N3627" s="6" t="e">
        <v>#VALUE!</v>
      </c>
      <c r="T3627" s="9"/>
      <c r="U3627" s="1">
        <f t="shared" si="6273"/>
        <v>83</v>
      </c>
      <c r="V3627" s="1">
        <f t="shared" si="6274"/>
        <v>218</v>
      </c>
    </row>
    <row r="3628" spans="1:22" x14ac:dyDescent="0.3">
      <c r="A3628" s="1">
        <f t="shared" si="6271"/>
        <v>83219</v>
      </c>
      <c r="B3628" s="4"/>
      <c r="C3628" s="4"/>
      <c r="D3628" s="4"/>
      <c r="E3628" s="4"/>
      <c r="F3628" s="14"/>
      <c r="G3628" s="8"/>
      <c r="H3628" s="7"/>
      <c r="J3628" s="24" t="str">
        <f t="shared" ref="J3628" si="6326">CONCATENATE(K3625,3)</f>
        <v>53</v>
      </c>
      <c r="K3628" s="6" t="e">
        <v>#VALUE!</v>
      </c>
      <c r="L3628" s="6" t="e">
        <v>#VALUE!</v>
      </c>
      <c r="M3628" s="6" t="e">
        <v>#VALUE!</v>
      </c>
      <c r="N3628" s="6" t="e">
        <v>#VALUE!</v>
      </c>
      <c r="T3628" s="9"/>
      <c r="U3628" s="1">
        <f t="shared" si="6273"/>
        <v>83</v>
      </c>
      <c r="V3628" s="1">
        <f t="shared" si="6274"/>
        <v>219</v>
      </c>
    </row>
    <row r="3629" spans="1:22" x14ac:dyDescent="0.3">
      <c r="A3629" s="1">
        <f t="shared" si="6271"/>
        <v>83220</v>
      </c>
      <c r="B3629" s="4"/>
      <c r="C3629" s="4"/>
      <c r="D3629" s="4"/>
      <c r="E3629" s="4"/>
      <c r="F3629" s="14"/>
      <c r="G3629" s="8"/>
      <c r="H3629" s="7"/>
      <c r="K3629" s="1">
        <v>6</v>
      </c>
      <c r="L3629" s="1">
        <v>6</v>
      </c>
      <c r="M3629" s="1">
        <v>6</v>
      </c>
      <c r="N3629" s="1">
        <v>6</v>
      </c>
      <c r="O3629" s="1">
        <v>6</v>
      </c>
      <c r="T3629" s="9"/>
      <c r="U3629" s="1">
        <f t="shared" si="6273"/>
        <v>83</v>
      </c>
      <c r="V3629" s="1">
        <f t="shared" si="6274"/>
        <v>220</v>
      </c>
    </row>
    <row r="3630" spans="1:22" x14ac:dyDescent="0.3">
      <c r="A3630" s="1">
        <f t="shared" si="6271"/>
        <v>83221</v>
      </c>
      <c r="B3630" s="4"/>
      <c r="C3630" s="4"/>
      <c r="D3630" s="4"/>
      <c r="E3630" s="4"/>
      <c r="F3630" s="14"/>
      <c r="G3630" s="8"/>
      <c r="H3630" s="7"/>
      <c r="J3630" s="24" t="str">
        <f t="shared" ref="J3630" si="6327">CONCATENATE(K3629,1)</f>
        <v>61</v>
      </c>
      <c r="K3630" s="6" t="e">
        <f t="array" ref="K3630:O3632">LINEST(B3626:B3631,C3626:C3631^{1,2,3,4},TRUE,TRUE)</f>
        <v>#VALUE!</v>
      </c>
      <c r="L3630" s="6" t="e">
        <v>#VALUE!</v>
      </c>
      <c r="M3630" s="6" t="e">
        <v>#VALUE!</v>
      </c>
      <c r="N3630" s="6" t="e">
        <v>#VALUE!</v>
      </c>
      <c r="O3630" s="6" t="e">
        <v>#VALUE!</v>
      </c>
      <c r="T3630" s="9"/>
      <c r="U3630" s="1">
        <f t="shared" si="6273"/>
        <v>83</v>
      </c>
      <c r="V3630" s="1">
        <f t="shared" si="6274"/>
        <v>221</v>
      </c>
    </row>
    <row r="3631" spans="1:22" x14ac:dyDescent="0.3">
      <c r="A3631" s="1">
        <f t="shared" si="6271"/>
        <v>83222</v>
      </c>
      <c r="B3631" s="4"/>
      <c r="C3631" s="4"/>
      <c r="D3631" s="4"/>
      <c r="E3631" s="4"/>
      <c r="F3631" s="14"/>
      <c r="G3631" s="8"/>
      <c r="H3631" s="7"/>
      <c r="J3631" s="24" t="str">
        <f t="shared" ref="J3631" si="6328">CONCATENATE(K3629,2)</f>
        <v>62</v>
      </c>
      <c r="K3631" s="6" t="e">
        <v>#VALUE!</v>
      </c>
      <c r="L3631" s="6" t="e">
        <v>#VALUE!</v>
      </c>
      <c r="M3631" s="6" t="e">
        <v>#VALUE!</v>
      </c>
      <c r="N3631" s="6" t="e">
        <v>#VALUE!</v>
      </c>
      <c r="O3631" s="6" t="e">
        <v>#VALUE!</v>
      </c>
      <c r="T3631" s="9"/>
      <c r="U3631" s="1">
        <f t="shared" si="6273"/>
        <v>83</v>
      </c>
      <c r="V3631" s="1">
        <f t="shared" si="6274"/>
        <v>222</v>
      </c>
    </row>
    <row r="3632" spans="1:22" x14ac:dyDescent="0.3">
      <c r="A3632" s="1">
        <f t="shared" si="6271"/>
        <v>83223</v>
      </c>
      <c r="B3632" s="4"/>
      <c r="C3632" s="4"/>
      <c r="D3632" s="4"/>
      <c r="E3632" s="4"/>
      <c r="F3632" s="14"/>
      <c r="G3632" s="8"/>
      <c r="H3632" s="7"/>
      <c r="J3632" s="24" t="str">
        <f t="shared" ref="J3632" si="6329">CONCATENATE(K3629,3)</f>
        <v>63</v>
      </c>
      <c r="K3632" s="6" t="e">
        <v>#VALUE!</v>
      </c>
      <c r="L3632" s="6" t="e">
        <v>#VALUE!</v>
      </c>
      <c r="M3632" s="6" t="e">
        <v>#VALUE!</v>
      </c>
      <c r="N3632" s="6" t="e">
        <v>#VALUE!</v>
      </c>
      <c r="O3632" s="6" t="e">
        <v>#VALUE!</v>
      </c>
      <c r="T3632" s="9"/>
      <c r="U3632" s="1">
        <f t="shared" si="6273"/>
        <v>83</v>
      </c>
      <c r="V3632" s="1">
        <f t="shared" si="6274"/>
        <v>223</v>
      </c>
    </row>
    <row r="3633" spans="1:22" x14ac:dyDescent="0.3">
      <c r="A3633" s="1">
        <f t="shared" si="6271"/>
        <v>83224</v>
      </c>
      <c r="B3633" s="4"/>
      <c r="C3633" s="4"/>
      <c r="D3633" s="4"/>
      <c r="E3633" s="4"/>
      <c r="F3633" s="14"/>
      <c r="G3633" s="8"/>
      <c r="H3633" s="7"/>
      <c r="K3633" s="1">
        <v>7</v>
      </c>
      <c r="L3633" s="1">
        <v>7</v>
      </c>
      <c r="M3633" s="1">
        <v>7</v>
      </c>
      <c r="N3633" s="1">
        <v>7</v>
      </c>
      <c r="O3633" s="1">
        <v>7</v>
      </c>
      <c r="P3633" s="1">
        <v>7</v>
      </c>
      <c r="T3633" s="9"/>
      <c r="U3633" s="1">
        <f t="shared" si="6273"/>
        <v>83</v>
      </c>
      <c r="V3633" s="1">
        <f t="shared" si="6274"/>
        <v>224</v>
      </c>
    </row>
    <row r="3634" spans="1:22" x14ac:dyDescent="0.3">
      <c r="A3634" s="1">
        <f t="shared" si="6271"/>
        <v>83225</v>
      </c>
      <c r="B3634" s="4"/>
      <c r="C3634" s="4"/>
      <c r="D3634" s="4"/>
      <c r="E3634" s="4"/>
      <c r="F3634" s="14"/>
      <c r="G3634" s="8"/>
      <c r="H3634" s="7"/>
      <c r="J3634" s="24" t="str">
        <f t="shared" ref="J3634" si="6330">CONCATENATE(K3633,1)</f>
        <v>71</v>
      </c>
      <c r="K3634" s="6" t="e">
        <f t="array" ref="K3634:P3636">LINEST(B3626:B3632,C3626:C3632^{1,2,3,4,5},TRUE,TRUE)</f>
        <v>#VALUE!</v>
      </c>
      <c r="L3634" s="6" t="e">
        <v>#VALUE!</v>
      </c>
      <c r="M3634" s="6" t="e">
        <v>#VALUE!</v>
      </c>
      <c r="N3634" s="6" t="e">
        <v>#VALUE!</v>
      </c>
      <c r="O3634" s="6" t="e">
        <v>#VALUE!</v>
      </c>
      <c r="P3634" s="6" t="e">
        <v>#VALUE!</v>
      </c>
      <c r="T3634" s="9"/>
      <c r="U3634" s="1">
        <f t="shared" si="6273"/>
        <v>83</v>
      </c>
      <c r="V3634" s="1">
        <f t="shared" si="6274"/>
        <v>225</v>
      </c>
    </row>
    <row r="3635" spans="1:22" x14ac:dyDescent="0.3">
      <c r="A3635" s="1">
        <f t="shared" si="6271"/>
        <v>83226</v>
      </c>
      <c r="B3635" s="4"/>
      <c r="C3635" s="4"/>
      <c r="D3635" s="4"/>
      <c r="E3635" s="4"/>
      <c r="F3635" s="14"/>
      <c r="G3635" s="8"/>
      <c r="H3635" s="7"/>
      <c r="J3635" s="24" t="str">
        <f t="shared" ref="J3635" si="6331">CONCATENATE(K3633,2)</f>
        <v>72</v>
      </c>
      <c r="K3635" s="6" t="e">
        <v>#VALUE!</v>
      </c>
      <c r="L3635" s="6" t="e">
        <v>#VALUE!</v>
      </c>
      <c r="M3635" s="6" t="e">
        <v>#VALUE!</v>
      </c>
      <c r="N3635" s="6" t="e">
        <v>#VALUE!</v>
      </c>
      <c r="O3635" s="6" t="e">
        <v>#VALUE!</v>
      </c>
      <c r="P3635" s="6" t="e">
        <v>#VALUE!</v>
      </c>
      <c r="T3635" s="9"/>
      <c r="U3635" s="1">
        <f t="shared" si="6273"/>
        <v>83</v>
      </c>
      <c r="V3635" s="1">
        <f t="shared" si="6274"/>
        <v>226</v>
      </c>
    </row>
    <row r="3636" spans="1:22" x14ac:dyDescent="0.3">
      <c r="A3636" s="1">
        <f t="shared" si="6271"/>
        <v>83227</v>
      </c>
      <c r="B3636" s="9"/>
      <c r="C3636" s="9"/>
      <c r="D3636" s="9"/>
      <c r="E3636" s="9"/>
      <c r="F3636" s="9"/>
      <c r="G3636" s="9"/>
      <c r="H3636" s="9"/>
      <c r="J3636" s="24" t="str">
        <f t="shared" ref="J3636" si="6332">CONCATENATE(K3633,3)</f>
        <v>73</v>
      </c>
      <c r="K3636" s="6" t="e">
        <v>#VALUE!</v>
      </c>
      <c r="L3636" s="6" t="e">
        <v>#VALUE!</v>
      </c>
      <c r="M3636" s="6" t="e">
        <v>#VALUE!</v>
      </c>
      <c r="N3636" s="6" t="e">
        <v>#VALUE!</v>
      </c>
      <c r="O3636" s="6" t="e">
        <v>#VALUE!</v>
      </c>
      <c r="P3636" s="6" t="e">
        <v>#VALUE!</v>
      </c>
      <c r="T3636" s="9"/>
      <c r="U3636" s="1">
        <f t="shared" si="6273"/>
        <v>83</v>
      </c>
      <c r="V3636" s="1">
        <f t="shared" si="6274"/>
        <v>227</v>
      </c>
    </row>
    <row r="3637" spans="1:22" x14ac:dyDescent="0.3">
      <c r="A3637" s="1">
        <f t="shared" si="6271"/>
        <v>83228</v>
      </c>
      <c r="B3637" s="87" t="s">
        <v>33</v>
      </c>
      <c r="C3637" s="88"/>
      <c r="D3637" s="88"/>
      <c r="E3637" s="88"/>
      <c r="F3637" s="88"/>
      <c r="G3637" s="88"/>
      <c r="H3637" s="89"/>
      <c r="K3637" s="1">
        <v>8</v>
      </c>
      <c r="L3637" s="1">
        <v>8</v>
      </c>
      <c r="M3637" s="1">
        <v>8</v>
      </c>
      <c r="N3637" s="1">
        <v>8</v>
      </c>
      <c r="O3637" s="1">
        <v>8</v>
      </c>
      <c r="P3637" s="1">
        <v>8</v>
      </c>
      <c r="Q3637" s="1">
        <v>8</v>
      </c>
      <c r="T3637" s="9"/>
      <c r="U3637" s="1">
        <f t="shared" si="6273"/>
        <v>83</v>
      </c>
      <c r="V3637" s="1">
        <f t="shared" si="6274"/>
        <v>228</v>
      </c>
    </row>
    <row r="3638" spans="1:22" x14ac:dyDescent="0.3">
      <c r="A3638" s="1">
        <f t="shared" si="6271"/>
        <v>83229</v>
      </c>
      <c r="B3638" s="90"/>
      <c r="C3638" s="91"/>
      <c r="D3638" s="91"/>
      <c r="E3638" s="91"/>
      <c r="F3638" s="91"/>
      <c r="G3638" s="91"/>
      <c r="H3638" s="92"/>
      <c r="J3638" s="24" t="str">
        <f t="shared" ref="J3638" si="6333">CONCATENATE(K3637,1)</f>
        <v>81</v>
      </c>
      <c r="K3638" s="6" t="e">
        <f t="array" ref="K3638:Q3640">LINEST(B3626:B3633,C3626:C3633^{1,2,3,4,5,6},TRUE,TRUE)</f>
        <v>#VALUE!</v>
      </c>
      <c r="L3638" s="6" t="e">
        <v>#VALUE!</v>
      </c>
      <c r="M3638" s="6" t="e">
        <v>#VALUE!</v>
      </c>
      <c r="N3638" s="6" t="e">
        <v>#VALUE!</v>
      </c>
      <c r="O3638" s="6" t="e">
        <v>#VALUE!</v>
      </c>
      <c r="P3638" s="6" t="e">
        <v>#VALUE!</v>
      </c>
      <c r="Q3638" s="6" t="e">
        <v>#VALUE!</v>
      </c>
      <c r="T3638" s="9"/>
      <c r="U3638" s="1">
        <f t="shared" si="6273"/>
        <v>83</v>
      </c>
      <c r="V3638" s="1">
        <f t="shared" si="6274"/>
        <v>229</v>
      </c>
    </row>
    <row r="3639" spans="1:22" x14ac:dyDescent="0.3">
      <c r="A3639" s="1">
        <f t="shared" si="6271"/>
        <v>83230</v>
      </c>
      <c r="B3639" s="93"/>
      <c r="C3639" s="94"/>
      <c r="D3639" s="94"/>
      <c r="E3639" s="94"/>
      <c r="F3639" s="94"/>
      <c r="G3639" s="94"/>
      <c r="H3639" s="95"/>
      <c r="J3639" s="24" t="str">
        <f t="shared" ref="J3639" si="6334">CONCATENATE(K3637,2)</f>
        <v>82</v>
      </c>
      <c r="K3639" s="6" t="e">
        <v>#VALUE!</v>
      </c>
      <c r="L3639" s="6" t="e">
        <v>#VALUE!</v>
      </c>
      <c r="M3639" s="6" t="e">
        <v>#VALUE!</v>
      </c>
      <c r="N3639" s="6" t="e">
        <v>#VALUE!</v>
      </c>
      <c r="O3639" s="6" t="e">
        <v>#VALUE!</v>
      </c>
      <c r="P3639" s="6" t="e">
        <v>#VALUE!</v>
      </c>
      <c r="Q3639" s="6" t="e">
        <v>#VALUE!</v>
      </c>
      <c r="T3639" s="9"/>
      <c r="U3639" s="1">
        <f t="shared" si="6273"/>
        <v>83</v>
      </c>
      <c r="V3639" s="1">
        <f t="shared" si="6274"/>
        <v>230</v>
      </c>
    </row>
    <row r="3640" spans="1:22" x14ac:dyDescent="0.3">
      <c r="A3640" s="1">
        <f t="shared" si="6271"/>
        <v>83231</v>
      </c>
      <c r="J3640" s="24" t="str">
        <f t="shared" ref="J3640" si="6335">CONCATENATE(K3637,3)</f>
        <v>83</v>
      </c>
      <c r="K3640" s="6" t="e">
        <v>#VALUE!</v>
      </c>
      <c r="L3640" s="6" t="e">
        <v>#VALUE!</v>
      </c>
      <c r="M3640" s="6" t="e">
        <v>#VALUE!</v>
      </c>
      <c r="N3640" s="6" t="e">
        <v>#VALUE!</v>
      </c>
      <c r="O3640" s="6" t="e">
        <v>#VALUE!</v>
      </c>
      <c r="P3640" s="6" t="e">
        <v>#VALUE!</v>
      </c>
      <c r="Q3640" s="6" t="e">
        <v>#VALUE!</v>
      </c>
      <c r="T3640" s="9"/>
      <c r="U3640" s="1">
        <f t="shared" si="6273"/>
        <v>83</v>
      </c>
      <c r="V3640" s="1">
        <f t="shared" si="6274"/>
        <v>231</v>
      </c>
    </row>
    <row r="3641" spans="1:22" ht="15" customHeight="1" x14ac:dyDescent="0.3">
      <c r="A3641" s="1">
        <f t="shared" si="6271"/>
        <v>83232</v>
      </c>
      <c r="B3641" s="10" t="s">
        <v>34</v>
      </c>
      <c r="C3641" s="10" t="s">
        <v>35</v>
      </c>
      <c r="D3641" s="10" t="s">
        <v>36</v>
      </c>
      <c r="E3641" s="74" t="s">
        <v>37</v>
      </c>
      <c r="F3641" s="75"/>
      <c r="G3641" s="76"/>
      <c r="K3641" s="1">
        <v>9</v>
      </c>
      <c r="L3641" s="1">
        <v>9</v>
      </c>
      <c r="M3641" s="1">
        <v>9</v>
      </c>
      <c r="N3641" s="1">
        <v>9</v>
      </c>
      <c r="O3641" s="1">
        <v>9</v>
      </c>
      <c r="P3641" s="1">
        <v>9</v>
      </c>
      <c r="Q3641" s="1">
        <v>9</v>
      </c>
      <c r="R3641" s="1">
        <v>9</v>
      </c>
      <c r="T3641" s="9"/>
      <c r="U3641" s="1">
        <f t="shared" si="6273"/>
        <v>83</v>
      </c>
      <c r="V3641" s="1">
        <f t="shared" si="6274"/>
        <v>232</v>
      </c>
    </row>
    <row r="3642" spans="1:22" x14ac:dyDescent="0.3">
      <c r="A3642" s="1">
        <f t="shared" si="6271"/>
        <v>83233</v>
      </c>
      <c r="B3642" s="12">
        <f t="shared" ref="B3642:B3651" si="6336">C3626-B3626</f>
        <v>0</v>
      </c>
      <c r="C3642" s="13">
        <f t="shared" ref="C3642:C3651" si="6337">H3626-G3626</f>
        <v>0</v>
      </c>
      <c r="D3642" s="10">
        <f t="shared" ref="D3642:D3651" si="6338">C3642-B3642</f>
        <v>0</v>
      </c>
      <c r="E3642" s="11" t="str">
        <f t="shared" ref="E3642" si="6339">IF(D3617="","",MAX(F3642,G3642))</f>
        <v/>
      </c>
      <c r="F3642" s="10">
        <f t="shared" ref="F3642" si="6340">ABS(MIN(D3642:D3651))</f>
        <v>0</v>
      </c>
      <c r="G3642" s="10">
        <f t="shared" ref="G3642" si="6341">ABS(MAX(D3642:D3651))</f>
        <v>0</v>
      </c>
      <c r="J3642" s="24" t="str">
        <f t="shared" ref="J3642" si="6342">CONCATENATE(K3641,1)</f>
        <v>91</v>
      </c>
      <c r="K3642" s="6" t="e">
        <f t="array" ref="K3642:R3644">LINEST(B3626:B3634,C3626:C3634^{1,2,3,4,5,6,7},TRUE,TRUE)</f>
        <v>#VALUE!</v>
      </c>
      <c r="L3642" s="6" t="e">
        <v>#VALUE!</v>
      </c>
      <c r="M3642" s="6" t="e">
        <v>#VALUE!</v>
      </c>
      <c r="N3642" s="6" t="e">
        <v>#VALUE!</v>
      </c>
      <c r="O3642" s="6" t="e">
        <v>#VALUE!</v>
      </c>
      <c r="P3642" s="6" t="e">
        <v>#VALUE!</v>
      </c>
      <c r="Q3642" s="6" t="e">
        <v>#VALUE!</v>
      </c>
      <c r="R3642" s="6" t="e">
        <v>#VALUE!</v>
      </c>
      <c r="T3642" s="9"/>
      <c r="U3642" s="1">
        <f t="shared" si="6273"/>
        <v>83</v>
      </c>
      <c r="V3642" s="1">
        <f t="shared" si="6274"/>
        <v>233</v>
      </c>
    </row>
    <row r="3643" spans="1:22" x14ac:dyDescent="0.3">
      <c r="A3643" s="1">
        <f t="shared" si="6271"/>
        <v>83234</v>
      </c>
      <c r="B3643" s="12">
        <f t="shared" si="6336"/>
        <v>0</v>
      </c>
      <c r="C3643" s="13">
        <f t="shared" si="6337"/>
        <v>0</v>
      </c>
      <c r="D3643" s="10">
        <f t="shared" si="6338"/>
        <v>0</v>
      </c>
      <c r="E3643" s="74" t="s">
        <v>38</v>
      </c>
      <c r="F3643" s="75"/>
      <c r="G3643" s="76"/>
      <c r="J3643" s="24" t="str">
        <f t="shared" ref="J3643" si="6343">CONCATENATE(K3641,2)</f>
        <v>92</v>
      </c>
      <c r="K3643" s="6" t="e">
        <v>#VALUE!</v>
      </c>
      <c r="L3643" s="6" t="e">
        <v>#VALUE!</v>
      </c>
      <c r="M3643" s="6" t="e">
        <v>#VALUE!</v>
      </c>
      <c r="N3643" s="6" t="e">
        <v>#VALUE!</v>
      </c>
      <c r="O3643" s="6" t="e">
        <v>#VALUE!</v>
      </c>
      <c r="P3643" s="6" t="e">
        <v>#VALUE!</v>
      </c>
      <c r="Q3643" s="6" t="e">
        <v>#VALUE!</v>
      </c>
      <c r="R3643" s="6" t="e">
        <v>#VALUE!</v>
      </c>
      <c r="T3643" s="9"/>
      <c r="U3643" s="1">
        <f t="shared" si="6273"/>
        <v>83</v>
      </c>
      <c r="V3643" s="1">
        <f t="shared" si="6274"/>
        <v>234</v>
      </c>
    </row>
    <row r="3644" spans="1:22" x14ac:dyDescent="0.3">
      <c r="A3644" s="1">
        <f t="shared" si="6271"/>
        <v>83235</v>
      </c>
      <c r="B3644" s="12">
        <f t="shared" si="6336"/>
        <v>0</v>
      </c>
      <c r="C3644" s="13">
        <f t="shared" si="6337"/>
        <v>0</v>
      </c>
      <c r="D3644" s="10">
        <f t="shared" si="6338"/>
        <v>0</v>
      </c>
      <c r="E3644" s="11" t="str">
        <f t="shared" ref="E3644" si="6344">IF(D3617="","",MAX(F3644,G3644))</f>
        <v/>
      </c>
      <c r="F3644" s="10">
        <f t="shared" ref="F3644" si="6345">ABS(MIN(B3642:B3651))</f>
        <v>0</v>
      </c>
      <c r="G3644" s="10">
        <f t="shared" ref="G3644" si="6346">ABS(MAX(B3642:B3651))</f>
        <v>0</v>
      </c>
      <c r="J3644" s="24" t="str">
        <f t="shared" ref="J3644" si="6347">CONCATENATE(K3641,3)</f>
        <v>93</v>
      </c>
      <c r="K3644" s="6" t="e">
        <v>#VALUE!</v>
      </c>
      <c r="L3644" s="6" t="e">
        <v>#VALUE!</v>
      </c>
      <c r="M3644" s="6" t="e">
        <v>#VALUE!</v>
      </c>
      <c r="N3644" s="6" t="e">
        <v>#VALUE!</v>
      </c>
      <c r="O3644" s="6" t="e">
        <v>#VALUE!</v>
      </c>
      <c r="P3644" s="6" t="e">
        <v>#VALUE!</v>
      </c>
      <c r="Q3644" s="6" t="e">
        <v>#VALUE!</v>
      </c>
      <c r="R3644" s="6" t="e">
        <v>#VALUE!</v>
      </c>
      <c r="T3644" s="9"/>
      <c r="U3644" s="1">
        <f t="shared" si="6273"/>
        <v>83</v>
      </c>
      <c r="V3644" s="1">
        <f t="shared" si="6274"/>
        <v>235</v>
      </c>
    </row>
    <row r="3645" spans="1:22" x14ac:dyDescent="0.3">
      <c r="A3645" s="1">
        <f t="shared" si="6271"/>
        <v>83236</v>
      </c>
      <c r="B3645" s="12">
        <f t="shared" si="6336"/>
        <v>0</v>
      </c>
      <c r="C3645" s="13">
        <f t="shared" si="6337"/>
        <v>0</v>
      </c>
      <c r="D3645" s="10">
        <f t="shared" si="6338"/>
        <v>0</v>
      </c>
      <c r="E3645" s="74" t="s">
        <v>39</v>
      </c>
      <c r="F3645" s="75"/>
      <c r="G3645" s="76"/>
      <c r="K3645" s="1">
        <v>10</v>
      </c>
      <c r="L3645" s="1">
        <v>10</v>
      </c>
      <c r="M3645" s="1">
        <v>10</v>
      </c>
      <c r="N3645" s="1">
        <v>10</v>
      </c>
      <c r="O3645" s="1">
        <v>10</v>
      </c>
      <c r="P3645" s="1">
        <v>10</v>
      </c>
      <c r="Q3645" s="1">
        <v>10</v>
      </c>
      <c r="R3645" s="1">
        <v>10</v>
      </c>
      <c r="S3645" s="1">
        <v>10</v>
      </c>
      <c r="T3645" s="9"/>
      <c r="U3645" s="1">
        <f t="shared" si="6273"/>
        <v>83</v>
      </c>
      <c r="V3645" s="1">
        <f t="shared" si="6274"/>
        <v>236</v>
      </c>
    </row>
    <row r="3646" spans="1:22" x14ac:dyDescent="0.3">
      <c r="A3646" s="1">
        <f t="shared" si="6271"/>
        <v>83237</v>
      </c>
      <c r="B3646" s="12">
        <f t="shared" si="6336"/>
        <v>0</v>
      </c>
      <c r="C3646" s="13">
        <f t="shared" si="6337"/>
        <v>0</v>
      </c>
      <c r="D3646" s="10">
        <f t="shared" si="6338"/>
        <v>0</v>
      </c>
      <c r="E3646" s="11" t="str">
        <f t="shared" ref="E3646" si="6348">IF(D3617="","",MAX(F3646,G3646))</f>
        <v/>
      </c>
      <c r="F3646" s="10">
        <f t="shared" ref="F3646" si="6349">ABS(MIN(D3626:D3635))</f>
        <v>0</v>
      </c>
      <c r="G3646" s="10">
        <f t="shared" ref="G3646" si="6350">ABS(MAX(D3626:D3635))</f>
        <v>0</v>
      </c>
      <c r="J3646" s="24" t="str">
        <f t="shared" ref="J3646" si="6351">CONCATENATE(K3645,1)</f>
        <v>101</v>
      </c>
      <c r="K3646" s="6" t="e">
        <f t="array" ref="K3646:S3648">LINEST(B3626:B3635,C3626:C3635^{1,2,3,4,5,6,7,8},TRUE,TRUE)</f>
        <v>#VALUE!</v>
      </c>
      <c r="L3646" s="6" t="e">
        <v>#VALUE!</v>
      </c>
      <c r="M3646" s="6" t="e">
        <v>#VALUE!</v>
      </c>
      <c r="N3646" s="6" t="e">
        <v>#VALUE!</v>
      </c>
      <c r="O3646" s="6" t="e">
        <v>#VALUE!</v>
      </c>
      <c r="P3646" s="6" t="e">
        <v>#VALUE!</v>
      </c>
      <c r="Q3646" s="6" t="e">
        <v>#VALUE!</v>
      </c>
      <c r="R3646" s="6" t="e">
        <v>#VALUE!</v>
      </c>
      <c r="S3646" s="6" t="e">
        <v>#VALUE!</v>
      </c>
      <c r="T3646" s="9"/>
      <c r="U3646" s="1">
        <f t="shared" si="6273"/>
        <v>83</v>
      </c>
      <c r="V3646" s="1">
        <f t="shared" si="6274"/>
        <v>237</v>
      </c>
    </row>
    <row r="3647" spans="1:22" x14ac:dyDescent="0.3">
      <c r="A3647" s="1">
        <f t="shared" si="6271"/>
        <v>83238</v>
      </c>
      <c r="B3647" s="12">
        <f t="shared" si="6336"/>
        <v>0</v>
      </c>
      <c r="C3647" s="13">
        <f t="shared" si="6337"/>
        <v>0</v>
      </c>
      <c r="D3647" s="10">
        <f t="shared" si="6338"/>
        <v>0</v>
      </c>
      <c r="J3647" s="24" t="str">
        <f t="shared" ref="J3647" si="6352">CONCATENATE(K3645,2)</f>
        <v>102</v>
      </c>
      <c r="K3647" s="6" t="e">
        <v>#VALUE!</v>
      </c>
      <c r="L3647" s="6" t="e">
        <v>#VALUE!</v>
      </c>
      <c r="M3647" s="6" t="e">
        <v>#VALUE!</v>
      </c>
      <c r="N3647" s="6" t="e">
        <v>#VALUE!</v>
      </c>
      <c r="O3647" s="6" t="e">
        <v>#VALUE!</v>
      </c>
      <c r="P3647" s="6" t="e">
        <v>#VALUE!</v>
      </c>
      <c r="Q3647" s="6" t="e">
        <v>#VALUE!</v>
      </c>
      <c r="R3647" s="6" t="e">
        <v>#VALUE!</v>
      </c>
      <c r="S3647" s="6" t="e">
        <v>#VALUE!</v>
      </c>
      <c r="T3647" s="9"/>
      <c r="U3647" s="1">
        <f t="shared" si="6273"/>
        <v>83</v>
      </c>
      <c r="V3647" s="1">
        <f t="shared" si="6274"/>
        <v>238</v>
      </c>
    </row>
    <row r="3648" spans="1:22" x14ac:dyDescent="0.3">
      <c r="A3648" s="1">
        <f t="shared" si="6271"/>
        <v>83239</v>
      </c>
      <c r="B3648" s="12">
        <f t="shared" si="6336"/>
        <v>0</v>
      </c>
      <c r="C3648" s="13">
        <f t="shared" si="6337"/>
        <v>0</v>
      </c>
      <c r="D3648" s="10">
        <f t="shared" si="6338"/>
        <v>0</v>
      </c>
      <c r="J3648" s="24" t="str">
        <f t="shared" ref="J3648" si="6353">CONCATENATE(K3645,3)</f>
        <v>103</v>
      </c>
      <c r="K3648" s="6" t="e">
        <v>#VALUE!</v>
      </c>
      <c r="L3648" s="6" t="e">
        <v>#VALUE!</v>
      </c>
      <c r="M3648" s="6" t="e">
        <v>#VALUE!</v>
      </c>
      <c r="N3648" s="6" t="e">
        <v>#VALUE!</v>
      </c>
      <c r="O3648" s="6" t="e">
        <v>#VALUE!</v>
      </c>
      <c r="P3648" s="6" t="e">
        <v>#VALUE!</v>
      </c>
      <c r="Q3648" s="6" t="e">
        <v>#VALUE!</v>
      </c>
      <c r="R3648" s="6" t="e">
        <v>#VALUE!</v>
      </c>
      <c r="S3648" s="6" t="e">
        <v>#VALUE!</v>
      </c>
      <c r="T3648" s="9"/>
      <c r="U3648" s="1">
        <f t="shared" si="6273"/>
        <v>83</v>
      </c>
      <c r="V3648" s="1">
        <f t="shared" si="6274"/>
        <v>239</v>
      </c>
    </row>
    <row r="3649" spans="1:22" x14ac:dyDescent="0.3">
      <c r="A3649" s="1">
        <f t="shared" si="6271"/>
        <v>83240</v>
      </c>
      <c r="B3649" s="12">
        <f t="shared" si="6336"/>
        <v>0</v>
      </c>
      <c r="C3649" s="13">
        <f t="shared" si="6337"/>
        <v>0</v>
      </c>
      <c r="D3649" s="10">
        <f t="shared" si="6338"/>
        <v>0</v>
      </c>
      <c r="J3649" s="9"/>
      <c r="K3649" s="9"/>
      <c r="L3649" s="9"/>
      <c r="M3649" s="9"/>
      <c r="N3649" s="9"/>
      <c r="O3649" s="9"/>
      <c r="P3649" s="9"/>
      <c r="Q3649" s="9"/>
      <c r="R3649" s="9"/>
      <c r="S3649" s="9"/>
      <c r="T3649" s="9"/>
      <c r="U3649" s="1">
        <f t="shared" si="6273"/>
        <v>83</v>
      </c>
      <c r="V3649" s="1">
        <f t="shared" si="6274"/>
        <v>240</v>
      </c>
    </row>
    <row r="3650" spans="1:22" x14ac:dyDescent="0.3">
      <c r="A3650" s="1">
        <f t="shared" si="6271"/>
        <v>83241</v>
      </c>
      <c r="B3650" s="12">
        <f t="shared" si="6336"/>
        <v>0</v>
      </c>
      <c r="C3650" s="13">
        <f t="shared" si="6337"/>
        <v>0</v>
      </c>
      <c r="D3650" s="10">
        <f t="shared" si="6338"/>
        <v>0</v>
      </c>
      <c r="J3650" s="9"/>
      <c r="K3650" s="9"/>
      <c r="L3650" s="9"/>
      <c r="M3650" s="9"/>
      <c r="N3650" s="9"/>
      <c r="O3650" s="9"/>
      <c r="P3650" s="9"/>
      <c r="Q3650" s="9"/>
      <c r="R3650" s="9"/>
      <c r="S3650" s="9"/>
      <c r="T3650" s="9"/>
      <c r="U3650" s="1">
        <f t="shared" si="6273"/>
        <v>83</v>
      </c>
      <c r="V3650" s="1">
        <f t="shared" si="6274"/>
        <v>241</v>
      </c>
    </row>
    <row r="3651" spans="1:22" x14ac:dyDescent="0.3">
      <c r="A3651" s="1">
        <f t="shared" si="6271"/>
        <v>83242</v>
      </c>
      <c r="B3651" s="12">
        <f t="shared" si="6336"/>
        <v>0</v>
      </c>
      <c r="C3651" s="13">
        <f t="shared" si="6337"/>
        <v>0</v>
      </c>
      <c r="D3651" s="10">
        <f t="shared" si="6338"/>
        <v>0</v>
      </c>
      <c r="J3651" s="9"/>
      <c r="K3651" s="9"/>
      <c r="L3651" s="9"/>
      <c r="M3651" s="9"/>
      <c r="N3651" s="9"/>
      <c r="O3651" s="9"/>
      <c r="P3651" s="9"/>
      <c r="Q3651" s="9"/>
      <c r="R3651" s="9"/>
      <c r="S3651" s="9"/>
      <c r="T3651" s="9"/>
      <c r="U3651" s="1">
        <f t="shared" si="6273"/>
        <v>83</v>
      </c>
      <c r="V3651" s="1">
        <f t="shared" si="6274"/>
        <v>242</v>
      </c>
    </row>
    <row r="3652" spans="1:22" x14ac:dyDescent="0.3">
      <c r="A3652" s="1">
        <f t="shared" si="6271"/>
        <v>83243</v>
      </c>
      <c r="J3652" s="9"/>
      <c r="K3652" s="9"/>
      <c r="L3652" s="9"/>
      <c r="M3652" s="9"/>
      <c r="N3652" s="9"/>
      <c r="O3652" s="9"/>
      <c r="P3652" s="9"/>
      <c r="Q3652" s="9"/>
      <c r="R3652" s="9"/>
      <c r="S3652" s="9"/>
      <c r="T3652" s="9"/>
      <c r="U3652" s="1">
        <f t="shared" si="6273"/>
        <v>83</v>
      </c>
      <c r="V3652" s="1">
        <f t="shared" si="6274"/>
        <v>243</v>
      </c>
    </row>
    <row r="3653" spans="1:22" s="5" customFormat="1" x14ac:dyDescent="0.3"/>
    <row r="3654" spans="1:22" x14ac:dyDescent="0.3">
      <c r="A3654" s="1">
        <f t="shared" ref="A3654:A3696" si="6354">ROUND(CONCATENATE(U3654,V3654),0)</f>
        <v>84201</v>
      </c>
      <c r="B3654" s="96" t="s">
        <v>0</v>
      </c>
      <c r="C3654" s="97"/>
      <c r="D3654" s="98"/>
      <c r="E3654" s="99"/>
      <c r="F3654" s="99"/>
      <c r="G3654" s="99"/>
      <c r="H3654" s="100"/>
      <c r="J3654" s="9"/>
      <c r="K3654" s="9"/>
      <c r="L3654" s="9"/>
      <c r="M3654" s="9"/>
      <c r="N3654" s="9"/>
      <c r="O3654" s="9"/>
      <c r="P3654" s="9"/>
      <c r="Q3654" s="9"/>
      <c r="R3654" s="9"/>
      <c r="S3654" s="9"/>
      <c r="T3654" s="9"/>
      <c r="U3654" s="1">
        <f t="shared" ref="U3654" si="6355">U3652+1</f>
        <v>84</v>
      </c>
      <c r="V3654" s="1">
        <v>201</v>
      </c>
    </row>
    <row r="3655" spans="1:22" x14ac:dyDescent="0.3">
      <c r="A3655" s="1">
        <f t="shared" si="6354"/>
        <v>84202</v>
      </c>
      <c r="B3655" s="96" t="s">
        <v>1</v>
      </c>
      <c r="C3655" s="97"/>
      <c r="D3655" s="15"/>
      <c r="E3655" s="16" t="s">
        <v>2</v>
      </c>
      <c r="F3655" s="107"/>
      <c r="G3655" s="108"/>
      <c r="H3655" s="109"/>
      <c r="J3655" s="9"/>
      <c r="K3655" s="9"/>
      <c r="L3655" s="9"/>
      <c r="M3655" s="9"/>
      <c r="N3655" s="9"/>
      <c r="O3655" s="9"/>
      <c r="P3655" s="9"/>
      <c r="Q3655" s="9"/>
      <c r="R3655" s="9"/>
      <c r="S3655" s="9"/>
      <c r="T3655" s="9"/>
      <c r="U3655" s="1">
        <f t="shared" ref="U3655" si="6356">U3654</f>
        <v>84</v>
      </c>
      <c r="V3655" s="1">
        <f t="shared" ref="V3655" si="6357">V3654+1</f>
        <v>202</v>
      </c>
    </row>
    <row r="3656" spans="1:22" x14ac:dyDescent="0.3">
      <c r="A3656" s="1">
        <f t="shared" si="6354"/>
        <v>84203</v>
      </c>
      <c r="B3656" s="96" t="s">
        <v>12</v>
      </c>
      <c r="C3656" s="97"/>
      <c r="D3656" s="98"/>
      <c r="E3656" s="99"/>
      <c r="F3656" s="99"/>
      <c r="G3656" s="99"/>
      <c r="H3656" s="100"/>
      <c r="K3656" s="1" t="s">
        <v>3</v>
      </c>
      <c r="L3656" s="1" t="s">
        <v>4</v>
      </c>
      <c r="M3656" s="1" t="s">
        <v>5</v>
      </c>
      <c r="N3656" s="1" t="s">
        <v>6</v>
      </c>
      <c r="O3656" s="1" t="s">
        <v>7</v>
      </c>
      <c r="P3656" s="1" t="s">
        <v>8</v>
      </c>
      <c r="Q3656" s="1" t="s">
        <v>9</v>
      </c>
      <c r="R3656" s="1" t="s">
        <v>10</v>
      </c>
      <c r="S3656" s="1" t="s">
        <v>11</v>
      </c>
      <c r="T3656" s="9"/>
      <c r="U3656" s="1">
        <f t="shared" si="6273"/>
        <v>84</v>
      </c>
      <c r="V3656" s="1">
        <f t="shared" si="6274"/>
        <v>203</v>
      </c>
    </row>
    <row r="3657" spans="1:22" x14ac:dyDescent="0.3">
      <c r="A3657" s="1">
        <f t="shared" si="6354"/>
        <v>84204</v>
      </c>
      <c r="B3657" s="96" t="s">
        <v>13</v>
      </c>
      <c r="C3657" s="97"/>
      <c r="D3657" s="98"/>
      <c r="E3657" s="99"/>
      <c r="F3657" s="99"/>
      <c r="G3657" s="99"/>
      <c r="H3657" s="100"/>
      <c r="J3657" s="1">
        <f t="shared" ref="J3657" si="6358">COUNTA(B3670:B3679)</f>
        <v>0</v>
      </c>
      <c r="K3657" s="1">
        <f t="shared" ref="K3657" si="6359">IF(L3657-1&lt;2,0,L3657-1)</f>
        <v>0</v>
      </c>
      <c r="L3657" s="1">
        <f t="shared" ref="L3657" si="6360">IF(M3657-1&lt;2,0,M3657-1)</f>
        <v>0</v>
      </c>
      <c r="M3657" s="1">
        <f t="shared" ref="M3657" si="6361">IF(N3657-1&lt;2,0,N3657-1)</f>
        <v>0</v>
      </c>
      <c r="N3657" s="1">
        <f t="shared" ref="N3657" si="6362">IF(O3657-1&lt;2,0,O3657-1)</f>
        <v>0</v>
      </c>
      <c r="O3657" s="1">
        <f t="shared" ref="O3657" si="6363">IF(P3657-1&lt;2,0,P3657-1)</f>
        <v>0</v>
      </c>
      <c r="P3657" s="1">
        <f t="shared" ref="P3657" si="6364">IF(Q3657-1&lt;2,0,Q3657-1)</f>
        <v>0</v>
      </c>
      <c r="Q3657" s="1">
        <f t="shared" ref="Q3657" si="6365">IF(R3657-1&lt;2,0,R3657-1)</f>
        <v>0</v>
      </c>
      <c r="R3657" s="1">
        <f t="shared" ref="R3657" si="6366">IF(S3657-1&lt;2,0,S3657-1)</f>
        <v>0</v>
      </c>
      <c r="S3657" s="1">
        <f t="shared" ref="S3657" si="6367">J3657</f>
        <v>0</v>
      </c>
      <c r="T3657" s="9"/>
      <c r="U3657" s="1">
        <f t="shared" si="6273"/>
        <v>84</v>
      </c>
      <c r="V3657" s="1">
        <f t="shared" si="6274"/>
        <v>204</v>
      </c>
    </row>
    <row r="3658" spans="1:22" x14ac:dyDescent="0.3">
      <c r="A3658" s="1">
        <f t="shared" si="6354"/>
        <v>84205</v>
      </c>
      <c r="B3658" s="96" t="s">
        <v>14</v>
      </c>
      <c r="C3658" s="97"/>
      <c r="D3658" s="98"/>
      <c r="E3658" s="99"/>
      <c r="F3658" s="99"/>
      <c r="G3658" s="99"/>
      <c r="H3658" s="100"/>
      <c r="J3658" s="24" t="str">
        <f t="shared" ref="J3658" si="6368">CONCATENATE(J3657,1)</f>
        <v>01</v>
      </c>
      <c r="K3658" s="25">
        <f t="shared" ref="K3658" si="6369">IF(K3657=0,0,VLOOKUP(J3658,J3662:S3692,K3657,FALSE))</f>
        <v>0</v>
      </c>
      <c r="L3658" s="25">
        <f t="shared" ref="L3658" si="6370">IF(L3657=0,0,VLOOKUP(J3658,J3662:S3692,L3657,FALSE))</f>
        <v>0</v>
      </c>
      <c r="M3658" s="25">
        <f t="shared" ref="M3658" si="6371">IF(M3657=0,0,VLOOKUP(J3658,J3662:S3692,M3657,FALSE))</f>
        <v>0</v>
      </c>
      <c r="N3658" s="25">
        <f t="shared" ref="N3658" si="6372">IF(N3657=0,0,VLOOKUP(J3658,J3662:S3692,N3657,FALSE))</f>
        <v>0</v>
      </c>
      <c r="O3658" s="25">
        <f t="shared" ref="O3658" si="6373">IF(O3657=0,0,VLOOKUP(J3658,J3662:S3692,O3657,FALSE))</f>
        <v>0</v>
      </c>
      <c r="P3658" s="25">
        <f t="shared" ref="P3658" si="6374">IF(P3657=0,0,VLOOKUP(J3658,J3662:S3692,P3657,FALSE))</f>
        <v>0</v>
      </c>
      <c r="Q3658" s="25">
        <f t="shared" ref="Q3658" si="6375">IF(Q3657=0,0,VLOOKUP(J3658,J3662:S3692,Q3657,FALSE))</f>
        <v>0</v>
      </c>
      <c r="R3658" s="25">
        <f t="shared" ref="R3658" si="6376">IF(R3657=0,0,VLOOKUP(J3658,J3662:S3692,R3657,FALSE))</f>
        <v>0</v>
      </c>
      <c r="S3658" s="25">
        <f t="shared" ref="S3658" si="6377">IF(S3657=0,0,VLOOKUP(J3658,J3662:S3692,S3657,FALSE))</f>
        <v>0</v>
      </c>
      <c r="T3658" s="9"/>
      <c r="U3658" s="1">
        <f t="shared" si="6273"/>
        <v>84</v>
      </c>
      <c r="V3658" s="1">
        <f t="shared" si="6274"/>
        <v>205</v>
      </c>
    </row>
    <row r="3659" spans="1:22" x14ac:dyDescent="0.3">
      <c r="A3659" s="1">
        <f t="shared" si="6354"/>
        <v>84206</v>
      </c>
      <c r="B3659" s="96" t="s">
        <v>15</v>
      </c>
      <c r="C3659" s="97"/>
      <c r="D3659" s="98"/>
      <c r="E3659" s="99"/>
      <c r="F3659" s="99"/>
      <c r="G3659" s="99"/>
      <c r="H3659" s="100"/>
      <c r="J3659" s="24" t="str">
        <f t="shared" ref="J3659" si="6378">CONCATENATE(J3657,2)</f>
        <v>02</v>
      </c>
      <c r="K3659" s="6">
        <f t="shared" ref="K3659" si="6379">IF(K3657=0,0,VLOOKUP(J3659,J3662:S3692,K3657,FALSE))</f>
        <v>0</v>
      </c>
      <c r="L3659" s="6">
        <f t="shared" ref="L3659" si="6380">IF(L3657=0,0,VLOOKUP(J3659,J3662:S3692,L3657,FALSE))</f>
        <v>0</v>
      </c>
      <c r="M3659" s="6">
        <f t="shared" ref="M3659" si="6381">IF(M3657=0,0,VLOOKUP(J3659,J3662:S3692,M3657,FALSE))</f>
        <v>0</v>
      </c>
      <c r="N3659" s="6">
        <f t="shared" ref="N3659" si="6382">IF(N3657=0,0,VLOOKUP(J3659,J3662:S3692,N3657,FALSE))</f>
        <v>0</v>
      </c>
      <c r="O3659" s="6">
        <f t="shared" ref="O3659" si="6383">IF(O3657=0,0,VLOOKUP(J3659,J3662:S3692,O3657,FALSE))</f>
        <v>0</v>
      </c>
      <c r="P3659" s="6">
        <f t="shared" ref="P3659" si="6384">IF(P3657=0,0,VLOOKUP(J3659,J3662:S3692,P3657,FALSE))</f>
        <v>0</v>
      </c>
      <c r="Q3659" s="6">
        <f t="shared" ref="Q3659" si="6385">IF(Q3657=0,0,VLOOKUP(J3659,J3662:S3692,Q3657,FALSE))</f>
        <v>0</v>
      </c>
      <c r="R3659" s="6">
        <f t="shared" ref="R3659" si="6386">IF(R3657=0,0,VLOOKUP(J3659,J3662:S3692,R3657,FALSE))</f>
        <v>0</v>
      </c>
      <c r="S3659" s="6">
        <f t="shared" ref="S3659" si="6387">IF(S3657=0,0,VLOOKUP(J3659,J3662:S3692,S3657,FALSE))</f>
        <v>0</v>
      </c>
      <c r="T3659" s="9"/>
      <c r="U3659" s="1">
        <f t="shared" si="6273"/>
        <v>84</v>
      </c>
      <c r="V3659" s="1">
        <f t="shared" si="6274"/>
        <v>206</v>
      </c>
    </row>
    <row r="3660" spans="1:22" x14ac:dyDescent="0.3">
      <c r="A3660" s="1">
        <f t="shared" si="6354"/>
        <v>84207</v>
      </c>
      <c r="B3660" s="96" t="s">
        <v>16</v>
      </c>
      <c r="C3660" s="97"/>
      <c r="D3660" s="101"/>
      <c r="E3660" s="102"/>
      <c r="F3660" s="102"/>
      <c r="G3660" s="102"/>
      <c r="H3660" s="103"/>
      <c r="J3660" s="24" t="str">
        <f t="shared" ref="J3660" si="6388">CONCATENATE(J3657,3)</f>
        <v>03</v>
      </c>
      <c r="K3660" s="6"/>
      <c r="L3660" s="6"/>
      <c r="M3660" s="6"/>
      <c r="N3660" s="6" t="s">
        <v>43</v>
      </c>
      <c r="O3660" s="25">
        <f t="shared" ref="O3660" si="6389">J3657-2</f>
        <v>-2</v>
      </c>
      <c r="P3660" s="6" t="s">
        <v>44</v>
      </c>
      <c r="Q3660" s="25" t="e">
        <f t="shared" ref="Q3660" si="6390">VLOOKUP(J3660,J3662:S3692,3,FALSE)</f>
        <v>#N/A</v>
      </c>
      <c r="R3660" s="6" t="s">
        <v>45</v>
      </c>
      <c r="S3660" s="6" t="e">
        <f t="shared" ref="S3660" si="6391">VLOOKUP(J3660,J3662:S3692,2,FALSE)</f>
        <v>#N/A</v>
      </c>
      <c r="T3660" s="9"/>
      <c r="U3660" s="1">
        <f t="shared" si="6273"/>
        <v>84</v>
      </c>
      <c r="V3660" s="1">
        <f t="shared" si="6274"/>
        <v>207</v>
      </c>
    </row>
    <row r="3661" spans="1:22" x14ac:dyDescent="0.3">
      <c r="A3661" s="1">
        <f t="shared" si="6354"/>
        <v>84208</v>
      </c>
      <c r="B3661" s="96" t="s">
        <v>17</v>
      </c>
      <c r="C3661" s="97"/>
      <c r="D3661" s="104"/>
      <c r="E3661" s="105"/>
      <c r="F3661" s="105"/>
      <c r="G3661" s="105"/>
      <c r="H3661" s="106"/>
      <c r="K3661" s="1">
        <v>3</v>
      </c>
      <c r="L3661" s="1">
        <v>3</v>
      </c>
      <c r="Q3661" s="26"/>
      <c r="R3661" s="26"/>
      <c r="S3661" s="26"/>
      <c r="T3661" s="9"/>
      <c r="U3661" s="1">
        <f t="shared" si="6273"/>
        <v>84</v>
      </c>
      <c r="V3661" s="1">
        <f t="shared" si="6274"/>
        <v>208</v>
      </c>
    </row>
    <row r="3662" spans="1:22" x14ac:dyDescent="0.3">
      <c r="A3662" s="1">
        <f t="shared" si="6354"/>
        <v>84209</v>
      </c>
      <c r="B3662" s="77" t="s">
        <v>19</v>
      </c>
      <c r="C3662" s="78"/>
      <c r="D3662" s="17"/>
      <c r="E3662" s="79" t="s">
        <v>40</v>
      </c>
      <c r="F3662" s="80"/>
      <c r="G3662" s="81"/>
      <c r="H3662" s="18" t="s">
        <v>72</v>
      </c>
      <c r="J3662" s="24" t="str">
        <f t="shared" ref="J3662" si="6392">CONCATENATE(K3661,1)</f>
        <v>31</v>
      </c>
      <c r="K3662" s="6" t="e">
        <f t="array" ref="K3662:L3664">LINEST(B3670:B3672,C3670:C3672^{1},TRUE,TRUE)</f>
        <v>#VALUE!</v>
      </c>
      <c r="L3662" s="6" t="e">
        <v>#VALUE!</v>
      </c>
      <c r="Q3662" s="9"/>
      <c r="R3662" s="9"/>
      <c r="S3662" s="9"/>
      <c r="T3662" s="9"/>
      <c r="U3662" s="1">
        <f t="shared" si="6273"/>
        <v>84</v>
      </c>
      <c r="V3662" s="1">
        <f t="shared" si="6274"/>
        <v>209</v>
      </c>
    </row>
    <row r="3663" spans="1:22" x14ac:dyDescent="0.3">
      <c r="A3663" s="1">
        <f t="shared" si="6354"/>
        <v>84210</v>
      </c>
      <c r="B3663" s="77" t="s">
        <v>41</v>
      </c>
      <c r="C3663" s="78"/>
      <c r="D3663" s="23">
        <f t="shared" ref="D3663" si="6393">MIN(B3670:B3679)</f>
        <v>0</v>
      </c>
      <c r="E3663" s="20" t="s">
        <v>18</v>
      </c>
      <c r="F3663" s="19">
        <f t="shared" ref="F3663" si="6394">MAX(B3670:B3679)</f>
        <v>0</v>
      </c>
      <c r="G3663" s="21" t="str">
        <f t="shared" ref="G3663" si="6395">IF(H3662="","",H3662)</f>
        <v>%ur</v>
      </c>
      <c r="H3663" s="22"/>
      <c r="J3663" s="24" t="str">
        <f t="shared" ref="J3663" si="6396">CONCATENATE(K3661,2)</f>
        <v>32</v>
      </c>
      <c r="K3663" s="6" t="e">
        <v>#VALUE!</v>
      </c>
      <c r="L3663" s="6" t="e">
        <v>#VALUE!</v>
      </c>
      <c r="Q3663" s="9"/>
      <c r="R3663" s="9"/>
      <c r="S3663" s="9"/>
      <c r="T3663" s="9"/>
      <c r="U3663" s="1">
        <f t="shared" si="6273"/>
        <v>84</v>
      </c>
      <c r="V3663" s="1">
        <f t="shared" si="6274"/>
        <v>210</v>
      </c>
    </row>
    <row r="3664" spans="1:22" x14ac:dyDescent="0.3">
      <c r="A3664" s="1">
        <f t="shared" si="6354"/>
        <v>84211</v>
      </c>
      <c r="J3664" s="24" t="str">
        <f t="shared" ref="J3664" si="6397">CONCATENATE(K3661,3)</f>
        <v>33</v>
      </c>
      <c r="K3664" s="6" t="e">
        <v>#VALUE!</v>
      </c>
      <c r="L3664" s="6" t="e">
        <v>#VALUE!</v>
      </c>
      <c r="Q3664" s="9"/>
      <c r="R3664" s="9"/>
      <c r="S3664" s="9"/>
      <c r="T3664" s="9"/>
      <c r="U3664" s="1">
        <f t="shared" si="6273"/>
        <v>84</v>
      </c>
      <c r="V3664" s="1">
        <f t="shared" si="6274"/>
        <v>211</v>
      </c>
    </row>
    <row r="3665" spans="1:22" x14ac:dyDescent="0.3">
      <c r="A3665" s="1">
        <f t="shared" si="6354"/>
        <v>84212</v>
      </c>
      <c r="B3665" s="82" t="s">
        <v>20</v>
      </c>
      <c r="C3665" s="83"/>
      <c r="D3665" s="83"/>
      <c r="E3665" s="83"/>
      <c r="F3665" s="84"/>
      <c r="G3665" s="85" t="s">
        <v>31</v>
      </c>
      <c r="H3665" s="86"/>
      <c r="K3665" s="1">
        <v>4</v>
      </c>
      <c r="L3665" s="1">
        <v>4</v>
      </c>
      <c r="M3665" s="1">
        <v>4</v>
      </c>
      <c r="Q3665" s="9"/>
      <c r="R3665" s="9"/>
      <c r="S3665" s="9"/>
      <c r="T3665" s="9"/>
      <c r="U3665" s="1">
        <f t="shared" si="6273"/>
        <v>84</v>
      </c>
      <c r="V3665" s="1">
        <f t="shared" si="6274"/>
        <v>212</v>
      </c>
    </row>
    <row r="3666" spans="1:22" x14ac:dyDescent="0.3">
      <c r="A3666" s="1">
        <f t="shared" si="6354"/>
        <v>84213</v>
      </c>
      <c r="B3666" s="82" t="s">
        <v>30</v>
      </c>
      <c r="C3666" s="83"/>
      <c r="D3666" s="84"/>
      <c r="E3666" s="82">
        <f t="shared" ref="E3666" si="6398">D3659</f>
        <v>0</v>
      </c>
      <c r="F3666" s="84"/>
      <c r="G3666" s="6" t="s">
        <v>32</v>
      </c>
      <c r="H3666" s="7"/>
      <c r="J3666" s="24" t="str">
        <f t="shared" ref="J3666" si="6399">CONCATENATE(K3665,1)</f>
        <v>41</v>
      </c>
      <c r="K3666" s="6" t="e">
        <f t="array" ref="K3666:M3668">LINEST(B3670:B3673,C3670:C3673^{1,2},TRUE,TRUE)</f>
        <v>#VALUE!</v>
      </c>
      <c r="L3666" s="6" t="e">
        <v>#VALUE!</v>
      </c>
      <c r="M3666" s="6" t="e">
        <v>#VALUE!</v>
      </c>
      <c r="Q3666" s="9"/>
      <c r="R3666" s="9"/>
      <c r="S3666" s="9"/>
      <c r="T3666" s="9"/>
      <c r="U3666" s="1">
        <f t="shared" si="6273"/>
        <v>84</v>
      </c>
      <c r="V3666" s="1">
        <f t="shared" si="6274"/>
        <v>213</v>
      </c>
    </row>
    <row r="3667" spans="1:22" x14ac:dyDescent="0.3">
      <c r="A3667" s="1">
        <f t="shared" si="6354"/>
        <v>84214</v>
      </c>
      <c r="B3667" s="2" t="s">
        <v>21</v>
      </c>
      <c r="C3667" s="2" t="s">
        <v>22</v>
      </c>
      <c r="D3667" s="2" t="s">
        <v>23</v>
      </c>
      <c r="E3667" s="2"/>
      <c r="F3667" s="2" t="s">
        <v>28</v>
      </c>
      <c r="G3667" s="2" t="s">
        <v>21</v>
      </c>
      <c r="H3667" s="2" t="s">
        <v>22</v>
      </c>
      <c r="J3667" s="24" t="str">
        <f t="shared" ref="J3667" si="6400">CONCATENATE(K3665,2)</f>
        <v>42</v>
      </c>
      <c r="K3667" s="6" t="e">
        <v>#VALUE!</v>
      </c>
      <c r="L3667" s="6" t="e">
        <v>#VALUE!</v>
      </c>
      <c r="M3667" s="6" t="e">
        <v>#VALUE!</v>
      </c>
      <c r="Q3667" s="9"/>
      <c r="R3667" s="9"/>
      <c r="S3667" s="9"/>
      <c r="T3667" s="9"/>
      <c r="U3667" s="1">
        <f t="shared" si="6273"/>
        <v>84</v>
      </c>
      <c r="V3667" s="1">
        <f t="shared" si="6274"/>
        <v>214</v>
      </c>
    </row>
    <row r="3668" spans="1:22" x14ac:dyDescent="0.3">
      <c r="A3668" s="1">
        <f t="shared" si="6354"/>
        <v>84215</v>
      </c>
      <c r="B3668" s="2" t="s">
        <v>24</v>
      </c>
      <c r="C3668" s="2" t="s">
        <v>25</v>
      </c>
      <c r="D3668" s="2" t="s">
        <v>26</v>
      </c>
      <c r="E3668" s="2" t="s">
        <v>27</v>
      </c>
      <c r="F3668" s="2" t="s">
        <v>29</v>
      </c>
      <c r="G3668" s="2" t="s">
        <v>24</v>
      </c>
      <c r="H3668" s="2" t="s">
        <v>25</v>
      </c>
      <c r="J3668" s="24" t="str">
        <f t="shared" ref="J3668" si="6401">CONCATENATE(K3665,3)</f>
        <v>43</v>
      </c>
      <c r="K3668" s="6" t="e">
        <v>#VALUE!</v>
      </c>
      <c r="L3668" s="6" t="e">
        <v>#VALUE!</v>
      </c>
      <c r="M3668" s="6" t="e">
        <v>#VALUE!</v>
      </c>
      <c r="Q3668" s="9"/>
      <c r="R3668" s="9"/>
      <c r="S3668" s="9"/>
      <c r="T3668" s="9"/>
      <c r="U3668" s="1">
        <f t="shared" si="6273"/>
        <v>84</v>
      </c>
      <c r="V3668" s="1">
        <f t="shared" si="6274"/>
        <v>215</v>
      </c>
    </row>
    <row r="3669" spans="1:22" x14ac:dyDescent="0.3">
      <c r="A3669" s="1">
        <f t="shared" si="6354"/>
        <v>84216</v>
      </c>
      <c r="B3669" s="3" t="str">
        <f t="shared" ref="B3669" si="6402">H3662</f>
        <v>%ur</v>
      </c>
      <c r="C3669" s="3" t="str">
        <f t="shared" ref="C3669" si="6403">B3669</f>
        <v>%ur</v>
      </c>
      <c r="D3669" s="3" t="str">
        <f t="shared" ref="D3669" si="6404">C3669</f>
        <v>%ur</v>
      </c>
      <c r="E3669" s="3"/>
      <c r="F3669" s="3"/>
      <c r="G3669" s="3" t="str">
        <f t="shared" ref="G3669" si="6405">D3669</f>
        <v>%ur</v>
      </c>
      <c r="H3669" s="3" t="str">
        <f t="shared" ref="H3669" si="6406">G3669</f>
        <v>%ur</v>
      </c>
      <c r="K3669" s="1">
        <v>5</v>
      </c>
      <c r="L3669" s="1">
        <v>5</v>
      </c>
      <c r="M3669" s="1">
        <v>5</v>
      </c>
      <c r="N3669" s="1">
        <v>5</v>
      </c>
      <c r="Q3669" s="9"/>
      <c r="R3669" s="9"/>
      <c r="S3669" s="9"/>
      <c r="T3669" s="9"/>
      <c r="U3669" s="1">
        <f t="shared" si="6273"/>
        <v>84</v>
      </c>
      <c r="V3669" s="1">
        <f t="shared" si="6274"/>
        <v>216</v>
      </c>
    </row>
    <row r="3670" spans="1:22" x14ac:dyDescent="0.3">
      <c r="A3670" s="1">
        <f t="shared" si="6354"/>
        <v>84217</v>
      </c>
      <c r="B3670" s="4"/>
      <c r="C3670" s="4"/>
      <c r="D3670" s="4"/>
      <c r="E3670" s="4"/>
      <c r="F3670" s="14"/>
      <c r="G3670" s="8"/>
      <c r="H3670" s="7"/>
      <c r="J3670" s="24" t="str">
        <f t="shared" ref="J3670" si="6407">CONCATENATE(K3669,1)</f>
        <v>51</v>
      </c>
      <c r="K3670" s="6" t="e">
        <f t="array" ref="K3670:N3672">LINEST(B3670:B3674,C3670:C3674^{1,2,3},TRUE,TRUE)</f>
        <v>#VALUE!</v>
      </c>
      <c r="L3670" s="6" t="e">
        <v>#VALUE!</v>
      </c>
      <c r="M3670" s="6" t="e">
        <v>#VALUE!</v>
      </c>
      <c r="N3670" s="6" t="e">
        <v>#VALUE!</v>
      </c>
      <c r="Q3670" s="9"/>
      <c r="R3670" s="9"/>
      <c r="S3670" s="9"/>
      <c r="T3670" s="9"/>
      <c r="U3670" s="1">
        <f t="shared" si="6273"/>
        <v>84</v>
      </c>
      <c r="V3670" s="1">
        <f t="shared" si="6274"/>
        <v>217</v>
      </c>
    </row>
    <row r="3671" spans="1:22" x14ac:dyDescent="0.3">
      <c r="A3671" s="1">
        <f t="shared" si="6354"/>
        <v>84218</v>
      </c>
      <c r="B3671" s="4"/>
      <c r="C3671" s="4"/>
      <c r="D3671" s="4"/>
      <c r="E3671" s="4"/>
      <c r="F3671" s="14"/>
      <c r="G3671" s="8"/>
      <c r="H3671" s="7"/>
      <c r="J3671" s="24" t="str">
        <f t="shared" ref="J3671" si="6408">CONCATENATE(K3669,2)</f>
        <v>52</v>
      </c>
      <c r="K3671" s="6" t="e">
        <v>#VALUE!</v>
      </c>
      <c r="L3671" s="6" t="e">
        <v>#VALUE!</v>
      </c>
      <c r="M3671" s="6" t="e">
        <v>#VALUE!</v>
      </c>
      <c r="N3671" s="6" t="e">
        <v>#VALUE!</v>
      </c>
      <c r="T3671" s="9"/>
      <c r="U3671" s="1">
        <f t="shared" si="6273"/>
        <v>84</v>
      </c>
      <c r="V3671" s="1">
        <f t="shared" si="6274"/>
        <v>218</v>
      </c>
    </row>
    <row r="3672" spans="1:22" x14ac:dyDescent="0.3">
      <c r="A3672" s="1">
        <f t="shared" si="6354"/>
        <v>84219</v>
      </c>
      <c r="B3672" s="4"/>
      <c r="C3672" s="4"/>
      <c r="D3672" s="4"/>
      <c r="E3672" s="4"/>
      <c r="F3672" s="14"/>
      <c r="G3672" s="8"/>
      <c r="H3672" s="7"/>
      <c r="J3672" s="24" t="str">
        <f t="shared" ref="J3672" si="6409">CONCATENATE(K3669,3)</f>
        <v>53</v>
      </c>
      <c r="K3672" s="6" t="e">
        <v>#VALUE!</v>
      </c>
      <c r="L3672" s="6" t="e">
        <v>#VALUE!</v>
      </c>
      <c r="M3672" s="6" t="e">
        <v>#VALUE!</v>
      </c>
      <c r="N3672" s="6" t="e">
        <v>#VALUE!</v>
      </c>
      <c r="T3672" s="9"/>
      <c r="U3672" s="1">
        <f t="shared" si="6273"/>
        <v>84</v>
      </c>
      <c r="V3672" s="1">
        <f t="shared" si="6274"/>
        <v>219</v>
      </c>
    </row>
    <row r="3673" spans="1:22" x14ac:dyDescent="0.3">
      <c r="A3673" s="1">
        <f t="shared" si="6354"/>
        <v>84220</v>
      </c>
      <c r="B3673" s="4"/>
      <c r="C3673" s="4"/>
      <c r="D3673" s="4"/>
      <c r="E3673" s="4"/>
      <c r="F3673" s="14"/>
      <c r="G3673" s="8"/>
      <c r="H3673" s="7"/>
      <c r="K3673" s="1">
        <v>6</v>
      </c>
      <c r="L3673" s="1">
        <v>6</v>
      </c>
      <c r="M3673" s="1">
        <v>6</v>
      </c>
      <c r="N3673" s="1">
        <v>6</v>
      </c>
      <c r="O3673" s="1">
        <v>6</v>
      </c>
      <c r="T3673" s="9"/>
      <c r="U3673" s="1">
        <f t="shared" si="6273"/>
        <v>84</v>
      </c>
      <c r="V3673" s="1">
        <f t="shared" si="6274"/>
        <v>220</v>
      </c>
    </row>
    <row r="3674" spans="1:22" x14ac:dyDescent="0.3">
      <c r="A3674" s="1">
        <f t="shared" si="6354"/>
        <v>84221</v>
      </c>
      <c r="B3674" s="4"/>
      <c r="C3674" s="4"/>
      <c r="D3674" s="4"/>
      <c r="E3674" s="4"/>
      <c r="F3674" s="14"/>
      <c r="G3674" s="8"/>
      <c r="H3674" s="7"/>
      <c r="J3674" s="24" t="str">
        <f t="shared" ref="J3674" si="6410">CONCATENATE(K3673,1)</f>
        <v>61</v>
      </c>
      <c r="K3674" s="6" t="e">
        <f t="array" ref="K3674:O3676">LINEST(B3670:B3675,C3670:C3675^{1,2,3,4},TRUE,TRUE)</f>
        <v>#VALUE!</v>
      </c>
      <c r="L3674" s="6" t="e">
        <v>#VALUE!</v>
      </c>
      <c r="M3674" s="6" t="e">
        <v>#VALUE!</v>
      </c>
      <c r="N3674" s="6" t="e">
        <v>#VALUE!</v>
      </c>
      <c r="O3674" s="6" t="e">
        <v>#VALUE!</v>
      </c>
      <c r="T3674" s="9"/>
      <c r="U3674" s="1">
        <f t="shared" si="6273"/>
        <v>84</v>
      </c>
      <c r="V3674" s="1">
        <f t="shared" si="6274"/>
        <v>221</v>
      </c>
    </row>
    <row r="3675" spans="1:22" x14ac:dyDescent="0.3">
      <c r="A3675" s="1">
        <f t="shared" si="6354"/>
        <v>84222</v>
      </c>
      <c r="B3675" s="4"/>
      <c r="C3675" s="4"/>
      <c r="D3675" s="4"/>
      <c r="E3675" s="4"/>
      <c r="F3675" s="14"/>
      <c r="G3675" s="8"/>
      <c r="H3675" s="7"/>
      <c r="J3675" s="24" t="str">
        <f t="shared" ref="J3675" si="6411">CONCATENATE(K3673,2)</f>
        <v>62</v>
      </c>
      <c r="K3675" s="6" t="e">
        <v>#VALUE!</v>
      </c>
      <c r="L3675" s="6" t="e">
        <v>#VALUE!</v>
      </c>
      <c r="M3675" s="6" t="e">
        <v>#VALUE!</v>
      </c>
      <c r="N3675" s="6" t="e">
        <v>#VALUE!</v>
      </c>
      <c r="O3675" s="6" t="e">
        <v>#VALUE!</v>
      </c>
      <c r="T3675" s="9"/>
      <c r="U3675" s="1">
        <f t="shared" ref="U3675:U3738" si="6412">U3674</f>
        <v>84</v>
      </c>
      <c r="V3675" s="1">
        <f t="shared" ref="V3675:V3738" si="6413">V3674+1</f>
        <v>222</v>
      </c>
    </row>
    <row r="3676" spans="1:22" x14ac:dyDescent="0.3">
      <c r="A3676" s="1">
        <f t="shared" si="6354"/>
        <v>84223</v>
      </c>
      <c r="B3676" s="4"/>
      <c r="C3676" s="4"/>
      <c r="D3676" s="4"/>
      <c r="E3676" s="4"/>
      <c r="F3676" s="14"/>
      <c r="G3676" s="8"/>
      <c r="H3676" s="7"/>
      <c r="J3676" s="24" t="str">
        <f t="shared" ref="J3676" si="6414">CONCATENATE(K3673,3)</f>
        <v>63</v>
      </c>
      <c r="K3676" s="6" t="e">
        <v>#VALUE!</v>
      </c>
      <c r="L3676" s="6" t="e">
        <v>#VALUE!</v>
      </c>
      <c r="M3676" s="6" t="e">
        <v>#VALUE!</v>
      </c>
      <c r="N3676" s="6" t="e">
        <v>#VALUE!</v>
      </c>
      <c r="O3676" s="6" t="e">
        <v>#VALUE!</v>
      </c>
      <c r="T3676" s="9"/>
      <c r="U3676" s="1">
        <f t="shared" si="6412"/>
        <v>84</v>
      </c>
      <c r="V3676" s="1">
        <f t="shared" si="6413"/>
        <v>223</v>
      </c>
    </row>
    <row r="3677" spans="1:22" x14ac:dyDescent="0.3">
      <c r="A3677" s="1">
        <f t="shared" si="6354"/>
        <v>84224</v>
      </c>
      <c r="B3677" s="4"/>
      <c r="C3677" s="4"/>
      <c r="D3677" s="4"/>
      <c r="E3677" s="4"/>
      <c r="F3677" s="14"/>
      <c r="G3677" s="8"/>
      <c r="H3677" s="7"/>
      <c r="K3677" s="1">
        <v>7</v>
      </c>
      <c r="L3677" s="1">
        <v>7</v>
      </c>
      <c r="M3677" s="1">
        <v>7</v>
      </c>
      <c r="N3677" s="1">
        <v>7</v>
      </c>
      <c r="O3677" s="1">
        <v>7</v>
      </c>
      <c r="P3677" s="1">
        <v>7</v>
      </c>
      <c r="T3677" s="9"/>
      <c r="U3677" s="1">
        <f t="shared" si="6412"/>
        <v>84</v>
      </c>
      <c r="V3677" s="1">
        <f t="shared" si="6413"/>
        <v>224</v>
      </c>
    </row>
    <row r="3678" spans="1:22" x14ac:dyDescent="0.3">
      <c r="A3678" s="1">
        <f t="shared" si="6354"/>
        <v>84225</v>
      </c>
      <c r="B3678" s="4"/>
      <c r="C3678" s="4"/>
      <c r="D3678" s="4"/>
      <c r="E3678" s="4"/>
      <c r="F3678" s="14"/>
      <c r="G3678" s="8"/>
      <c r="H3678" s="7"/>
      <c r="J3678" s="24" t="str">
        <f t="shared" ref="J3678" si="6415">CONCATENATE(K3677,1)</f>
        <v>71</v>
      </c>
      <c r="K3678" s="6" t="e">
        <f t="array" ref="K3678:P3680">LINEST(B3670:B3676,C3670:C3676^{1,2,3,4,5},TRUE,TRUE)</f>
        <v>#VALUE!</v>
      </c>
      <c r="L3678" s="6" t="e">
        <v>#VALUE!</v>
      </c>
      <c r="M3678" s="6" t="e">
        <v>#VALUE!</v>
      </c>
      <c r="N3678" s="6" t="e">
        <v>#VALUE!</v>
      </c>
      <c r="O3678" s="6" t="e">
        <v>#VALUE!</v>
      </c>
      <c r="P3678" s="6" t="e">
        <v>#VALUE!</v>
      </c>
      <c r="T3678" s="9"/>
      <c r="U3678" s="1">
        <f t="shared" si="6412"/>
        <v>84</v>
      </c>
      <c r="V3678" s="1">
        <f t="shared" si="6413"/>
        <v>225</v>
      </c>
    </row>
    <row r="3679" spans="1:22" x14ac:dyDescent="0.3">
      <c r="A3679" s="1">
        <f t="shared" si="6354"/>
        <v>84226</v>
      </c>
      <c r="B3679" s="4"/>
      <c r="C3679" s="4"/>
      <c r="D3679" s="4"/>
      <c r="E3679" s="4"/>
      <c r="F3679" s="14"/>
      <c r="G3679" s="8"/>
      <c r="H3679" s="7"/>
      <c r="J3679" s="24" t="str">
        <f t="shared" ref="J3679" si="6416">CONCATENATE(K3677,2)</f>
        <v>72</v>
      </c>
      <c r="K3679" s="6" t="e">
        <v>#VALUE!</v>
      </c>
      <c r="L3679" s="6" t="e">
        <v>#VALUE!</v>
      </c>
      <c r="M3679" s="6" t="e">
        <v>#VALUE!</v>
      </c>
      <c r="N3679" s="6" t="e">
        <v>#VALUE!</v>
      </c>
      <c r="O3679" s="6" t="e">
        <v>#VALUE!</v>
      </c>
      <c r="P3679" s="6" t="e">
        <v>#VALUE!</v>
      </c>
      <c r="T3679" s="9"/>
      <c r="U3679" s="1">
        <f t="shared" si="6412"/>
        <v>84</v>
      </c>
      <c r="V3679" s="1">
        <f t="shared" si="6413"/>
        <v>226</v>
      </c>
    </row>
    <row r="3680" spans="1:22" x14ac:dyDescent="0.3">
      <c r="A3680" s="1">
        <f t="shared" si="6354"/>
        <v>84227</v>
      </c>
      <c r="B3680" s="9"/>
      <c r="C3680" s="9"/>
      <c r="D3680" s="9"/>
      <c r="E3680" s="9"/>
      <c r="F3680" s="9"/>
      <c r="G3680" s="9"/>
      <c r="H3680" s="9"/>
      <c r="J3680" s="24" t="str">
        <f t="shared" ref="J3680" si="6417">CONCATENATE(K3677,3)</f>
        <v>73</v>
      </c>
      <c r="K3680" s="6" t="e">
        <v>#VALUE!</v>
      </c>
      <c r="L3680" s="6" t="e">
        <v>#VALUE!</v>
      </c>
      <c r="M3680" s="6" t="e">
        <v>#VALUE!</v>
      </c>
      <c r="N3680" s="6" t="e">
        <v>#VALUE!</v>
      </c>
      <c r="O3680" s="6" t="e">
        <v>#VALUE!</v>
      </c>
      <c r="P3680" s="6" t="e">
        <v>#VALUE!</v>
      </c>
      <c r="T3680" s="9"/>
      <c r="U3680" s="1">
        <f t="shared" si="6412"/>
        <v>84</v>
      </c>
      <c r="V3680" s="1">
        <f t="shared" si="6413"/>
        <v>227</v>
      </c>
    </row>
    <row r="3681" spans="1:22" x14ac:dyDescent="0.3">
      <c r="A3681" s="1">
        <f t="shared" si="6354"/>
        <v>84228</v>
      </c>
      <c r="B3681" s="87" t="s">
        <v>33</v>
      </c>
      <c r="C3681" s="88"/>
      <c r="D3681" s="88"/>
      <c r="E3681" s="88"/>
      <c r="F3681" s="88"/>
      <c r="G3681" s="88"/>
      <c r="H3681" s="89"/>
      <c r="K3681" s="1">
        <v>8</v>
      </c>
      <c r="L3681" s="1">
        <v>8</v>
      </c>
      <c r="M3681" s="1">
        <v>8</v>
      </c>
      <c r="N3681" s="1">
        <v>8</v>
      </c>
      <c r="O3681" s="1">
        <v>8</v>
      </c>
      <c r="P3681" s="1">
        <v>8</v>
      </c>
      <c r="Q3681" s="1">
        <v>8</v>
      </c>
      <c r="T3681" s="9"/>
      <c r="U3681" s="1">
        <f t="shared" si="6412"/>
        <v>84</v>
      </c>
      <c r="V3681" s="1">
        <f t="shared" si="6413"/>
        <v>228</v>
      </c>
    </row>
    <row r="3682" spans="1:22" x14ac:dyDescent="0.3">
      <c r="A3682" s="1">
        <f t="shared" si="6354"/>
        <v>84229</v>
      </c>
      <c r="B3682" s="90"/>
      <c r="C3682" s="91"/>
      <c r="D3682" s="91"/>
      <c r="E3682" s="91"/>
      <c r="F3682" s="91"/>
      <c r="G3682" s="91"/>
      <c r="H3682" s="92"/>
      <c r="J3682" s="24" t="str">
        <f t="shared" ref="J3682" si="6418">CONCATENATE(K3681,1)</f>
        <v>81</v>
      </c>
      <c r="K3682" s="6" t="e">
        <f t="array" ref="K3682:Q3684">LINEST(B3670:B3677,C3670:C3677^{1,2,3,4,5,6},TRUE,TRUE)</f>
        <v>#VALUE!</v>
      </c>
      <c r="L3682" s="6" t="e">
        <v>#VALUE!</v>
      </c>
      <c r="M3682" s="6" t="e">
        <v>#VALUE!</v>
      </c>
      <c r="N3682" s="6" t="e">
        <v>#VALUE!</v>
      </c>
      <c r="O3682" s="6" t="e">
        <v>#VALUE!</v>
      </c>
      <c r="P3682" s="6" t="e">
        <v>#VALUE!</v>
      </c>
      <c r="Q3682" s="6" t="e">
        <v>#VALUE!</v>
      </c>
      <c r="T3682" s="9"/>
      <c r="U3682" s="1">
        <f t="shared" si="6412"/>
        <v>84</v>
      </c>
      <c r="V3682" s="1">
        <f t="shared" si="6413"/>
        <v>229</v>
      </c>
    </row>
    <row r="3683" spans="1:22" x14ac:dyDescent="0.3">
      <c r="A3683" s="1">
        <f t="shared" si="6354"/>
        <v>84230</v>
      </c>
      <c r="B3683" s="93"/>
      <c r="C3683" s="94"/>
      <c r="D3683" s="94"/>
      <c r="E3683" s="94"/>
      <c r="F3683" s="94"/>
      <c r="G3683" s="94"/>
      <c r="H3683" s="95"/>
      <c r="J3683" s="24" t="str">
        <f t="shared" ref="J3683" si="6419">CONCATENATE(K3681,2)</f>
        <v>82</v>
      </c>
      <c r="K3683" s="6" t="e">
        <v>#VALUE!</v>
      </c>
      <c r="L3683" s="6" t="e">
        <v>#VALUE!</v>
      </c>
      <c r="M3683" s="6" t="e">
        <v>#VALUE!</v>
      </c>
      <c r="N3683" s="6" t="e">
        <v>#VALUE!</v>
      </c>
      <c r="O3683" s="6" t="e">
        <v>#VALUE!</v>
      </c>
      <c r="P3683" s="6" t="e">
        <v>#VALUE!</v>
      </c>
      <c r="Q3683" s="6" t="e">
        <v>#VALUE!</v>
      </c>
      <c r="T3683" s="9"/>
      <c r="U3683" s="1">
        <f t="shared" si="6412"/>
        <v>84</v>
      </c>
      <c r="V3683" s="1">
        <f t="shared" si="6413"/>
        <v>230</v>
      </c>
    </row>
    <row r="3684" spans="1:22" x14ac:dyDescent="0.3">
      <c r="A3684" s="1">
        <f t="shared" si="6354"/>
        <v>84231</v>
      </c>
      <c r="J3684" s="24" t="str">
        <f t="shared" ref="J3684" si="6420">CONCATENATE(K3681,3)</f>
        <v>83</v>
      </c>
      <c r="K3684" s="6" t="e">
        <v>#VALUE!</v>
      </c>
      <c r="L3684" s="6" t="e">
        <v>#VALUE!</v>
      </c>
      <c r="M3684" s="6" t="e">
        <v>#VALUE!</v>
      </c>
      <c r="N3684" s="6" t="e">
        <v>#VALUE!</v>
      </c>
      <c r="O3684" s="6" t="e">
        <v>#VALUE!</v>
      </c>
      <c r="P3684" s="6" t="e">
        <v>#VALUE!</v>
      </c>
      <c r="Q3684" s="6" t="e">
        <v>#VALUE!</v>
      </c>
      <c r="T3684" s="9"/>
      <c r="U3684" s="1">
        <f t="shared" si="6412"/>
        <v>84</v>
      </c>
      <c r="V3684" s="1">
        <f t="shared" si="6413"/>
        <v>231</v>
      </c>
    </row>
    <row r="3685" spans="1:22" ht="15" customHeight="1" x14ac:dyDescent="0.3">
      <c r="A3685" s="1">
        <f t="shared" si="6354"/>
        <v>84232</v>
      </c>
      <c r="B3685" s="10" t="s">
        <v>34</v>
      </c>
      <c r="C3685" s="10" t="s">
        <v>35</v>
      </c>
      <c r="D3685" s="10" t="s">
        <v>36</v>
      </c>
      <c r="E3685" s="74" t="s">
        <v>37</v>
      </c>
      <c r="F3685" s="75"/>
      <c r="G3685" s="76"/>
      <c r="K3685" s="1">
        <v>9</v>
      </c>
      <c r="L3685" s="1">
        <v>9</v>
      </c>
      <c r="M3685" s="1">
        <v>9</v>
      </c>
      <c r="N3685" s="1">
        <v>9</v>
      </c>
      <c r="O3685" s="1">
        <v>9</v>
      </c>
      <c r="P3685" s="1">
        <v>9</v>
      </c>
      <c r="Q3685" s="1">
        <v>9</v>
      </c>
      <c r="R3685" s="1">
        <v>9</v>
      </c>
      <c r="T3685" s="9"/>
      <c r="U3685" s="1">
        <f t="shared" si="6412"/>
        <v>84</v>
      </c>
      <c r="V3685" s="1">
        <f t="shared" si="6413"/>
        <v>232</v>
      </c>
    </row>
    <row r="3686" spans="1:22" x14ac:dyDescent="0.3">
      <c r="A3686" s="1">
        <f t="shared" si="6354"/>
        <v>84233</v>
      </c>
      <c r="B3686" s="12">
        <f t="shared" ref="B3686:B3695" si="6421">C3670-B3670</f>
        <v>0</v>
      </c>
      <c r="C3686" s="13">
        <f t="shared" ref="C3686:C3695" si="6422">H3670-G3670</f>
        <v>0</v>
      </c>
      <c r="D3686" s="10">
        <f t="shared" ref="D3686:D3695" si="6423">C3686-B3686</f>
        <v>0</v>
      </c>
      <c r="E3686" s="11" t="str">
        <f t="shared" ref="E3686" si="6424">IF(D3661="","",MAX(F3686,G3686))</f>
        <v/>
      </c>
      <c r="F3686" s="10">
        <f t="shared" ref="F3686" si="6425">ABS(MIN(D3686:D3695))</f>
        <v>0</v>
      </c>
      <c r="G3686" s="10">
        <f t="shared" ref="G3686" si="6426">ABS(MAX(D3686:D3695))</f>
        <v>0</v>
      </c>
      <c r="J3686" s="24" t="str">
        <f t="shared" ref="J3686" si="6427">CONCATENATE(K3685,1)</f>
        <v>91</v>
      </c>
      <c r="K3686" s="6" t="e">
        <f t="array" ref="K3686:R3688">LINEST(B3670:B3678,C3670:C3678^{1,2,3,4,5,6,7},TRUE,TRUE)</f>
        <v>#VALUE!</v>
      </c>
      <c r="L3686" s="6" t="e">
        <v>#VALUE!</v>
      </c>
      <c r="M3686" s="6" t="e">
        <v>#VALUE!</v>
      </c>
      <c r="N3686" s="6" t="e">
        <v>#VALUE!</v>
      </c>
      <c r="O3686" s="6" t="e">
        <v>#VALUE!</v>
      </c>
      <c r="P3686" s="6" t="e">
        <v>#VALUE!</v>
      </c>
      <c r="Q3686" s="6" t="e">
        <v>#VALUE!</v>
      </c>
      <c r="R3686" s="6" t="e">
        <v>#VALUE!</v>
      </c>
      <c r="T3686" s="9"/>
      <c r="U3686" s="1">
        <f t="shared" si="6412"/>
        <v>84</v>
      </c>
      <c r="V3686" s="1">
        <f t="shared" si="6413"/>
        <v>233</v>
      </c>
    </row>
    <row r="3687" spans="1:22" x14ac:dyDescent="0.3">
      <c r="A3687" s="1">
        <f t="shared" si="6354"/>
        <v>84234</v>
      </c>
      <c r="B3687" s="12">
        <f t="shared" si="6421"/>
        <v>0</v>
      </c>
      <c r="C3687" s="13">
        <f t="shared" si="6422"/>
        <v>0</v>
      </c>
      <c r="D3687" s="10">
        <f t="shared" si="6423"/>
        <v>0</v>
      </c>
      <c r="E3687" s="74" t="s">
        <v>38</v>
      </c>
      <c r="F3687" s="75"/>
      <c r="G3687" s="76"/>
      <c r="J3687" s="24" t="str">
        <f t="shared" ref="J3687" si="6428">CONCATENATE(K3685,2)</f>
        <v>92</v>
      </c>
      <c r="K3687" s="6" t="e">
        <v>#VALUE!</v>
      </c>
      <c r="L3687" s="6" t="e">
        <v>#VALUE!</v>
      </c>
      <c r="M3687" s="6" t="e">
        <v>#VALUE!</v>
      </c>
      <c r="N3687" s="6" t="e">
        <v>#VALUE!</v>
      </c>
      <c r="O3687" s="6" t="e">
        <v>#VALUE!</v>
      </c>
      <c r="P3687" s="6" t="e">
        <v>#VALUE!</v>
      </c>
      <c r="Q3687" s="6" t="e">
        <v>#VALUE!</v>
      </c>
      <c r="R3687" s="6" t="e">
        <v>#VALUE!</v>
      </c>
      <c r="T3687" s="9"/>
      <c r="U3687" s="1">
        <f t="shared" si="6412"/>
        <v>84</v>
      </c>
      <c r="V3687" s="1">
        <f t="shared" si="6413"/>
        <v>234</v>
      </c>
    </row>
    <row r="3688" spans="1:22" x14ac:dyDescent="0.3">
      <c r="A3688" s="1">
        <f t="shared" si="6354"/>
        <v>84235</v>
      </c>
      <c r="B3688" s="12">
        <f t="shared" si="6421"/>
        <v>0</v>
      </c>
      <c r="C3688" s="13">
        <f t="shared" si="6422"/>
        <v>0</v>
      </c>
      <c r="D3688" s="10">
        <f t="shared" si="6423"/>
        <v>0</v>
      </c>
      <c r="E3688" s="11" t="str">
        <f t="shared" ref="E3688" si="6429">IF(D3661="","",MAX(F3688,G3688))</f>
        <v/>
      </c>
      <c r="F3688" s="10">
        <f t="shared" ref="F3688" si="6430">ABS(MIN(B3686:B3695))</f>
        <v>0</v>
      </c>
      <c r="G3688" s="10">
        <f t="shared" ref="G3688" si="6431">ABS(MAX(B3686:B3695))</f>
        <v>0</v>
      </c>
      <c r="J3688" s="24" t="str">
        <f t="shared" ref="J3688" si="6432">CONCATENATE(K3685,3)</f>
        <v>93</v>
      </c>
      <c r="K3688" s="6" t="e">
        <v>#VALUE!</v>
      </c>
      <c r="L3688" s="6" t="e">
        <v>#VALUE!</v>
      </c>
      <c r="M3688" s="6" t="e">
        <v>#VALUE!</v>
      </c>
      <c r="N3688" s="6" t="e">
        <v>#VALUE!</v>
      </c>
      <c r="O3688" s="6" t="e">
        <v>#VALUE!</v>
      </c>
      <c r="P3688" s="6" t="e">
        <v>#VALUE!</v>
      </c>
      <c r="Q3688" s="6" t="e">
        <v>#VALUE!</v>
      </c>
      <c r="R3688" s="6" t="e">
        <v>#VALUE!</v>
      </c>
      <c r="T3688" s="9"/>
      <c r="U3688" s="1">
        <f t="shared" si="6412"/>
        <v>84</v>
      </c>
      <c r="V3688" s="1">
        <f t="shared" si="6413"/>
        <v>235</v>
      </c>
    </row>
    <row r="3689" spans="1:22" x14ac:dyDescent="0.3">
      <c r="A3689" s="1">
        <f t="shared" si="6354"/>
        <v>84236</v>
      </c>
      <c r="B3689" s="12">
        <f t="shared" si="6421"/>
        <v>0</v>
      </c>
      <c r="C3689" s="13">
        <f t="shared" si="6422"/>
        <v>0</v>
      </c>
      <c r="D3689" s="10">
        <f t="shared" si="6423"/>
        <v>0</v>
      </c>
      <c r="E3689" s="74" t="s">
        <v>39</v>
      </c>
      <c r="F3689" s="75"/>
      <c r="G3689" s="76"/>
      <c r="K3689" s="1">
        <v>10</v>
      </c>
      <c r="L3689" s="1">
        <v>10</v>
      </c>
      <c r="M3689" s="1">
        <v>10</v>
      </c>
      <c r="N3689" s="1">
        <v>10</v>
      </c>
      <c r="O3689" s="1">
        <v>10</v>
      </c>
      <c r="P3689" s="1">
        <v>10</v>
      </c>
      <c r="Q3689" s="1">
        <v>10</v>
      </c>
      <c r="R3689" s="1">
        <v>10</v>
      </c>
      <c r="S3689" s="1">
        <v>10</v>
      </c>
      <c r="T3689" s="9"/>
      <c r="U3689" s="1">
        <f t="shared" si="6412"/>
        <v>84</v>
      </c>
      <c r="V3689" s="1">
        <f t="shared" si="6413"/>
        <v>236</v>
      </c>
    </row>
    <row r="3690" spans="1:22" x14ac:dyDescent="0.3">
      <c r="A3690" s="1">
        <f t="shared" si="6354"/>
        <v>84237</v>
      </c>
      <c r="B3690" s="12">
        <f t="shared" si="6421"/>
        <v>0</v>
      </c>
      <c r="C3690" s="13">
        <f t="shared" si="6422"/>
        <v>0</v>
      </c>
      <c r="D3690" s="10">
        <f t="shared" si="6423"/>
        <v>0</v>
      </c>
      <c r="E3690" s="11" t="str">
        <f t="shared" ref="E3690" si="6433">IF(D3661="","",MAX(F3690,G3690))</f>
        <v/>
      </c>
      <c r="F3690" s="10">
        <f t="shared" ref="F3690" si="6434">ABS(MIN(D3670:D3679))</f>
        <v>0</v>
      </c>
      <c r="G3690" s="10">
        <f t="shared" ref="G3690" si="6435">ABS(MAX(D3670:D3679))</f>
        <v>0</v>
      </c>
      <c r="J3690" s="24" t="str">
        <f t="shared" ref="J3690" si="6436">CONCATENATE(K3689,1)</f>
        <v>101</v>
      </c>
      <c r="K3690" s="6" t="e">
        <f t="array" ref="K3690:S3692">LINEST(B3670:B3679,C3670:C3679^{1,2,3,4,5,6,7,8},TRUE,TRUE)</f>
        <v>#VALUE!</v>
      </c>
      <c r="L3690" s="6" t="e">
        <v>#VALUE!</v>
      </c>
      <c r="M3690" s="6" t="e">
        <v>#VALUE!</v>
      </c>
      <c r="N3690" s="6" t="e">
        <v>#VALUE!</v>
      </c>
      <c r="O3690" s="6" t="e">
        <v>#VALUE!</v>
      </c>
      <c r="P3690" s="6" t="e">
        <v>#VALUE!</v>
      </c>
      <c r="Q3690" s="6" t="e">
        <v>#VALUE!</v>
      </c>
      <c r="R3690" s="6" t="e">
        <v>#VALUE!</v>
      </c>
      <c r="S3690" s="6" t="e">
        <v>#VALUE!</v>
      </c>
      <c r="T3690" s="9"/>
      <c r="U3690" s="1">
        <f t="shared" si="6412"/>
        <v>84</v>
      </c>
      <c r="V3690" s="1">
        <f t="shared" si="6413"/>
        <v>237</v>
      </c>
    </row>
    <row r="3691" spans="1:22" x14ac:dyDescent="0.3">
      <c r="A3691" s="1">
        <f t="shared" si="6354"/>
        <v>84238</v>
      </c>
      <c r="B3691" s="12">
        <f t="shared" si="6421"/>
        <v>0</v>
      </c>
      <c r="C3691" s="13">
        <f t="shared" si="6422"/>
        <v>0</v>
      </c>
      <c r="D3691" s="10">
        <f t="shared" si="6423"/>
        <v>0</v>
      </c>
      <c r="J3691" s="24" t="str">
        <f t="shared" ref="J3691" si="6437">CONCATENATE(K3689,2)</f>
        <v>102</v>
      </c>
      <c r="K3691" s="6" t="e">
        <v>#VALUE!</v>
      </c>
      <c r="L3691" s="6" t="e">
        <v>#VALUE!</v>
      </c>
      <c r="M3691" s="6" t="e">
        <v>#VALUE!</v>
      </c>
      <c r="N3691" s="6" t="e">
        <v>#VALUE!</v>
      </c>
      <c r="O3691" s="6" t="e">
        <v>#VALUE!</v>
      </c>
      <c r="P3691" s="6" t="e">
        <v>#VALUE!</v>
      </c>
      <c r="Q3691" s="6" t="e">
        <v>#VALUE!</v>
      </c>
      <c r="R3691" s="6" t="e">
        <v>#VALUE!</v>
      </c>
      <c r="S3691" s="6" t="e">
        <v>#VALUE!</v>
      </c>
      <c r="T3691" s="9"/>
      <c r="U3691" s="1">
        <f t="shared" si="6412"/>
        <v>84</v>
      </c>
      <c r="V3691" s="1">
        <f t="shared" si="6413"/>
        <v>238</v>
      </c>
    </row>
    <row r="3692" spans="1:22" x14ac:dyDescent="0.3">
      <c r="A3692" s="1">
        <f t="shared" si="6354"/>
        <v>84239</v>
      </c>
      <c r="B3692" s="12">
        <f t="shared" si="6421"/>
        <v>0</v>
      </c>
      <c r="C3692" s="13">
        <f t="shared" si="6422"/>
        <v>0</v>
      </c>
      <c r="D3692" s="10">
        <f t="shared" si="6423"/>
        <v>0</v>
      </c>
      <c r="J3692" s="24" t="str">
        <f t="shared" ref="J3692" si="6438">CONCATENATE(K3689,3)</f>
        <v>103</v>
      </c>
      <c r="K3692" s="6" t="e">
        <v>#VALUE!</v>
      </c>
      <c r="L3692" s="6" t="e">
        <v>#VALUE!</v>
      </c>
      <c r="M3692" s="6" t="e">
        <v>#VALUE!</v>
      </c>
      <c r="N3692" s="6" t="e">
        <v>#VALUE!</v>
      </c>
      <c r="O3692" s="6" t="e">
        <v>#VALUE!</v>
      </c>
      <c r="P3692" s="6" t="e">
        <v>#VALUE!</v>
      </c>
      <c r="Q3692" s="6" t="e">
        <v>#VALUE!</v>
      </c>
      <c r="R3692" s="6" t="e">
        <v>#VALUE!</v>
      </c>
      <c r="S3692" s="6" t="e">
        <v>#VALUE!</v>
      </c>
      <c r="T3692" s="9"/>
      <c r="U3692" s="1">
        <f t="shared" si="6412"/>
        <v>84</v>
      </c>
      <c r="V3692" s="1">
        <f t="shared" si="6413"/>
        <v>239</v>
      </c>
    </row>
    <row r="3693" spans="1:22" x14ac:dyDescent="0.3">
      <c r="A3693" s="1">
        <f t="shared" si="6354"/>
        <v>84240</v>
      </c>
      <c r="B3693" s="12">
        <f t="shared" si="6421"/>
        <v>0</v>
      </c>
      <c r="C3693" s="13">
        <f t="shared" si="6422"/>
        <v>0</v>
      </c>
      <c r="D3693" s="10">
        <f t="shared" si="6423"/>
        <v>0</v>
      </c>
      <c r="J3693" s="9"/>
      <c r="K3693" s="9"/>
      <c r="L3693" s="9"/>
      <c r="M3693" s="9"/>
      <c r="N3693" s="9"/>
      <c r="O3693" s="9"/>
      <c r="P3693" s="9"/>
      <c r="Q3693" s="9"/>
      <c r="R3693" s="9"/>
      <c r="S3693" s="9"/>
      <c r="T3693" s="9"/>
      <c r="U3693" s="1">
        <f t="shared" si="6412"/>
        <v>84</v>
      </c>
      <c r="V3693" s="1">
        <f t="shared" si="6413"/>
        <v>240</v>
      </c>
    </row>
    <row r="3694" spans="1:22" x14ac:dyDescent="0.3">
      <c r="A3694" s="1">
        <f t="shared" si="6354"/>
        <v>84241</v>
      </c>
      <c r="B3694" s="12">
        <f t="shared" si="6421"/>
        <v>0</v>
      </c>
      <c r="C3694" s="13">
        <f t="shared" si="6422"/>
        <v>0</v>
      </c>
      <c r="D3694" s="10">
        <f t="shared" si="6423"/>
        <v>0</v>
      </c>
      <c r="J3694" s="9"/>
      <c r="K3694" s="9"/>
      <c r="L3694" s="9"/>
      <c r="M3694" s="9"/>
      <c r="N3694" s="9"/>
      <c r="O3694" s="9"/>
      <c r="P3694" s="9"/>
      <c r="Q3694" s="9"/>
      <c r="R3694" s="9"/>
      <c r="S3694" s="9"/>
      <c r="T3694" s="9"/>
      <c r="U3694" s="1">
        <f t="shared" si="6412"/>
        <v>84</v>
      </c>
      <c r="V3694" s="1">
        <f t="shared" si="6413"/>
        <v>241</v>
      </c>
    </row>
    <row r="3695" spans="1:22" x14ac:dyDescent="0.3">
      <c r="A3695" s="1">
        <f t="shared" si="6354"/>
        <v>84242</v>
      </c>
      <c r="B3695" s="12">
        <f t="shared" si="6421"/>
        <v>0</v>
      </c>
      <c r="C3695" s="13">
        <f t="shared" si="6422"/>
        <v>0</v>
      </c>
      <c r="D3695" s="10">
        <f t="shared" si="6423"/>
        <v>0</v>
      </c>
      <c r="J3695" s="9"/>
      <c r="K3695" s="9"/>
      <c r="L3695" s="9"/>
      <c r="M3695" s="9"/>
      <c r="N3695" s="9"/>
      <c r="O3695" s="9"/>
      <c r="P3695" s="9"/>
      <c r="Q3695" s="9"/>
      <c r="R3695" s="9"/>
      <c r="S3695" s="9"/>
      <c r="T3695" s="9"/>
      <c r="U3695" s="1">
        <f t="shared" si="6412"/>
        <v>84</v>
      </c>
      <c r="V3695" s="1">
        <f t="shared" si="6413"/>
        <v>242</v>
      </c>
    </row>
    <row r="3696" spans="1:22" x14ac:dyDescent="0.3">
      <c r="A3696" s="1">
        <f t="shared" si="6354"/>
        <v>84243</v>
      </c>
      <c r="J3696" s="9"/>
      <c r="K3696" s="9"/>
      <c r="L3696" s="9"/>
      <c r="M3696" s="9"/>
      <c r="N3696" s="9"/>
      <c r="O3696" s="9"/>
      <c r="P3696" s="9"/>
      <c r="Q3696" s="9"/>
      <c r="R3696" s="9"/>
      <c r="S3696" s="9"/>
      <c r="T3696" s="9"/>
      <c r="U3696" s="1">
        <f t="shared" si="6412"/>
        <v>84</v>
      </c>
      <c r="V3696" s="1">
        <f t="shared" si="6413"/>
        <v>243</v>
      </c>
    </row>
    <row r="3697" spans="1:22" s="5" customFormat="1" x14ac:dyDescent="0.3"/>
    <row r="3698" spans="1:22" x14ac:dyDescent="0.3">
      <c r="A3698" s="1">
        <f t="shared" ref="A3698:A3740" si="6439">ROUND(CONCATENATE(U3698,V3698),0)</f>
        <v>85201</v>
      </c>
      <c r="B3698" s="96" t="s">
        <v>0</v>
      </c>
      <c r="C3698" s="97"/>
      <c r="D3698" s="98"/>
      <c r="E3698" s="99"/>
      <c r="F3698" s="99"/>
      <c r="G3698" s="99"/>
      <c r="H3698" s="100"/>
      <c r="J3698" s="9"/>
      <c r="K3698" s="9"/>
      <c r="L3698" s="9"/>
      <c r="M3698" s="9"/>
      <c r="N3698" s="9"/>
      <c r="O3698" s="9"/>
      <c r="P3698" s="9"/>
      <c r="Q3698" s="9"/>
      <c r="R3698" s="9"/>
      <c r="S3698" s="9"/>
      <c r="T3698" s="9"/>
      <c r="U3698" s="1">
        <f t="shared" ref="U3698" si="6440">U3696+1</f>
        <v>85</v>
      </c>
      <c r="V3698" s="1">
        <v>201</v>
      </c>
    </row>
    <row r="3699" spans="1:22" x14ac:dyDescent="0.3">
      <c r="A3699" s="1">
        <f t="shared" si="6439"/>
        <v>85202</v>
      </c>
      <c r="B3699" s="96" t="s">
        <v>1</v>
      </c>
      <c r="C3699" s="97"/>
      <c r="D3699" s="15"/>
      <c r="E3699" s="16" t="s">
        <v>2</v>
      </c>
      <c r="F3699" s="107"/>
      <c r="G3699" s="108"/>
      <c r="H3699" s="109"/>
      <c r="J3699" s="9"/>
      <c r="K3699" s="9"/>
      <c r="L3699" s="9"/>
      <c r="M3699" s="9"/>
      <c r="N3699" s="9"/>
      <c r="O3699" s="9"/>
      <c r="P3699" s="9"/>
      <c r="Q3699" s="9"/>
      <c r="R3699" s="9"/>
      <c r="S3699" s="9"/>
      <c r="T3699" s="9"/>
      <c r="U3699" s="1">
        <f t="shared" ref="U3699" si="6441">U3698</f>
        <v>85</v>
      </c>
      <c r="V3699" s="1">
        <f t="shared" ref="V3699" si="6442">V3698+1</f>
        <v>202</v>
      </c>
    </row>
    <row r="3700" spans="1:22" x14ac:dyDescent="0.3">
      <c r="A3700" s="1">
        <f t="shared" si="6439"/>
        <v>85203</v>
      </c>
      <c r="B3700" s="96" t="s">
        <v>12</v>
      </c>
      <c r="C3700" s="97"/>
      <c r="D3700" s="98"/>
      <c r="E3700" s="99"/>
      <c r="F3700" s="99"/>
      <c r="G3700" s="99"/>
      <c r="H3700" s="100"/>
      <c r="K3700" s="1" t="s">
        <v>3</v>
      </c>
      <c r="L3700" s="1" t="s">
        <v>4</v>
      </c>
      <c r="M3700" s="1" t="s">
        <v>5</v>
      </c>
      <c r="N3700" s="1" t="s">
        <v>6</v>
      </c>
      <c r="O3700" s="1" t="s">
        <v>7</v>
      </c>
      <c r="P3700" s="1" t="s">
        <v>8</v>
      </c>
      <c r="Q3700" s="1" t="s">
        <v>9</v>
      </c>
      <c r="R3700" s="1" t="s">
        <v>10</v>
      </c>
      <c r="S3700" s="1" t="s">
        <v>11</v>
      </c>
      <c r="T3700" s="9"/>
      <c r="U3700" s="1">
        <f t="shared" si="6412"/>
        <v>85</v>
      </c>
      <c r="V3700" s="1">
        <f t="shared" si="6413"/>
        <v>203</v>
      </c>
    </row>
    <row r="3701" spans="1:22" x14ac:dyDescent="0.3">
      <c r="A3701" s="1">
        <f t="shared" si="6439"/>
        <v>85204</v>
      </c>
      <c r="B3701" s="96" t="s">
        <v>13</v>
      </c>
      <c r="C3701" s="97"/>
      <c r="D3701" s="98"/>
      <c r="E3701" s="99"/>
      <c r="F3701" s="99"/>
      <c r="G3701" s="99"/>
      <c r="H3701" s="100"/>
      <c r="J3701" s="1">
        <f t="shared" ref="J3701" si="6443">COUNTA(B3714:B3723)</f>
        <v>0</v>
      </c>
      <c r="K3701" s="1">
        <f t="shared" ref="K3701" si="6444">IF(L3701-1&lt;2,0,L3701-1)</f>
        <v>0</v>
      </c>
      <c r="L3701" s="1">
        <f t="shared" ref="L3701" si="6445">IF(M3701-1&lt;2,0,M3701-1)</f>
        <v>0</v>
      </c>
      <c r="M3701" s="1">
        <f t="shared" ref="M3701" si="6446">IF(N3701-1&lt;2,0,N3701-1)</f>
        <v>0</v>
      </c>
      <c r="N3701" s="1">
        <f t="shared" ref="N3701" si="6447">IF(O3701-1&lt;2,0,O3701-1)</f>
        <v>0</v>
      </c>
      <c r="O3701" s="1">
        <f t="shared" ref="O3701" si="6448">IF(P3701-1&lt;2,0,P3701-1)</f>
        <v>0</v>
      </c>
      <c r="P3701" s="1">
        <f t="shared" ref="P3701" si="6449">IF(Q3701-1&lt;2,0,Q3701-1)</f>
        <v>0</v>
      </c>
      <c r="Q3701" s="1">
        <f t="shared" ref="Q3701" si="6450">IF(R3701-1&lt;2,0,R3701-1)</f>
        <v>0</v>
      </c>
      <c r="R3701" s="1">
        <f t="shared" ref="R3701" si="6451">IF(S3701-1&lt;2,0,S3701-1)</f>
        <v>0</v>
      </c>
      <c r="S3701" s="1">
        <f t="shared" ref="S3701" si="6452">J3701</f>
        <v>0</v>
      </c>
      <c r="T3701" s="9"/>
      <c r="U3701" s="1">
        <f t="shared" si="6412"/>
        <v>85</v>
      </c>
      <c r="V3701" s="1">
        <f t="shared" si="6413"/>
        <v>204</v>
      </c>
    </row>
    <row r="3702" spans="1:22" x14ac:dyDescent="0.3">
      <c r="A3702" s="1">
        <f t="shared" si="6439"/>
        <v>85205</v>
      </c>
      <c r="B3702" s="96" t="s">
        <v>14</v>
      </c>
      <c r="C3702" s="97"/>
      <c r="D3702" s="98"/>
      <c r="E3702" s="99"/>
      <c r="F3702" s="99"/>
      <c r="G3702" s="99"/>
      <c r="H3702" s="100"/>
      <c r="J3702" s="24" t="str">
        <f t="shared" ref="J3702" si="6453">CONCATENATE(J3701,1)</f>
        <v>01</v>
      </c>
      <c r="K3702" s="25">
        <f t="shared" ref="K3702" si="6454">IF(K3701=0,0,VLOOKUP(J3702,J3706:S3736,K3701,FALSE))</f>
        <v>0</v>
      </c>
      <c r="L3702" s="25">
        <f t="shared" ref="L3702" si="6455">IF(L3701=0,0,VLOOKUP(J3702,J3706:S3736,L3701,FALSE))</f>
        <v>0</v>
      </c>
      <c r="M3702" s="25">
        <f t="shared" ref="M3702" si="6456">IF(M3701=0,0,VLOOKUP(J3702,J3706:S3736,M3701,FALSE))</f>
        <v>0</v>
      </c>
      <c r="N3702" s="25">
        <f t="shared" ref="N3702" si="6457">IF(N3701=0,0,VLOOKUP(J3702,J3706:S3736,N3701,FALSE))</f>
        <v>0</v>
      </c>
      <c r="O3702" s="25">
        <f t="shared" ref="O3702" si="6458">IF(O3701=0,0,VLOOKUP(J3702,J3706:S3736,O3701,FALSE))</f>
        <v>0</v>
      </c>
      <c r="P3702" s="25">
        <f t="shared" ref="P3702" si="6459">IF(P3701=0,0,VLOOKUP(J3702,J3706:S3736,P3701,FALSE))</f>
        <v>0</v>
      </c>
      <c r="Q3702" s="25">
        <f t="shared" ref="Q3702" si="6460">IF(Q3701=0,0,VLOOKUP(J3702,J3706:S3736,Q3701,FALSE))</f>
        <v>0</v>
      </c>
      <c r="R3702" s="25">
        <f t="shared" ref="R3702" si="6461">IF(R3701=0,0,VLOOKUP(J3702,J3706:S3736,R3701,FALSE))</f>
        <v>0</v>
      </c>
      <c r="S3702" s="25">
        <f t="shared" ref="S3702" si="6462">IF(S3701=0,0,VLOOKUP(J3702,J3706:S3736,S3701,FALSE))</f>
        <v>0</v>
      </c>
      <c r="T3702" s="9"/>
      <c r="U3702" s="1">
        <f t="shared" si="6412"/>
        <v>85</v>
      </c>
      <c r="V3702" s="1">
        <f t="shared" si="6413"/>
        <v>205</v>
      </c>
    </row>
    <row r="3703" spans="1:22" x14ac:dyDescent="0.3">
      <c r="A3703" s="1">
        <f t="shared" si="6439"/>
        <v>85206</v>
      </c>
      <c r="B3703" s="96" t="s">
        <v>15</v>
      </c>
      <c r="C3703" s="97"/>
      <c r="D3703" s="98"/>
      <c r="E3703" s="99"/>
      <c r="F3703" s="99"/>
      <c r="G3703" s="99"/>
      <c r="H3703" s="100"/>
      <c r="J3703" s="24" t="str">
        <f t="shared" ref="J3703" si="6463">CONCATENATE(J3701,2)</f>
        <v>02</v>
      </c>
      <c r="K3703" s="6">
        <f t="shared" ref="K3703" si="6464">IF(K3701=0,0,VLOOKUP(J3703,J3706:S3736,K3701,FALSE))</f>
        <v>0</v>
      </c>
      <c r="L3703" s="6">
        <f t="shared" ref="L3703" si="6465">IF(L3701=0,0,VLOOKUP(J3703,J3706:S3736,L3701,FALSE))</f>
        <v>0</v>
      </c>
      <c r="M3703" s="6">
        <f t="shared" ref="M3703" si="6466">IF(M3701=0,0,VLOOKUP(J3703,J3706:S3736,M3701,FALSE))</f>
        <v>0</v>
      </c>
      <c r="N3703" s="6">
        <f t="shared" ref="N3703" si="6467">IF(N3701=0,0,VLOOKUP(J3703,J3706:S3736,N3701,FALSE))</f>
        <v>0</v>
      </c>
      <c r="O3703" s="6">
        <f t="shared" ref="O3703" si="6468">IF(O3701=0,0,VLOOKUP(J3703,J3706:S3736,O3701,FALSE))</f>
        <v>0</v>
      </c>
      <c r="P3703" s="6">
        <f t="shared" ref="P3703" si="6469">IF(P3701=0,0,VLOOKUP(J3703,J3706:S3736,P3701,FALSE))</f>
        <v>0</v>
      </c>
      <c r="Q3703" s="6">
        <f t="shared" ref="Q3703" si="6470">IF(Q3701=0,0,VLOOKUP(J3703,J3706:S3736,Q3701,FALSE))</f>
        <v>0</v>
      </c>
      <c r="R3703" s="6">
        <f t="shared" ref="R3703" si="6471">IF(R3701=0,0,VLOOKUP(J3703,J3706:S3736,R3701,FALSE))</f>
        <v>0</v>
      </c>
      <c r="S3703" s="6">
        <f t="shared" ref="S3703" si="6472">IF(S3701=0,0,VLOOKUP(J3703,J3706:S3736,S3701,FALSE))</f>
        <v>0</v>
      </c>
      <c r="T3703" s="9"/>
      <c r="U3703" s="1">
        <f t="shared" si="6412"/>
        <v>85</v>
      </c>
      <c r="V3703" s="1">
        <f t="shared" si="6413"/>
        <v>206</v>
      </c>
    </row>
    <row r="3704" spans="1:22" x14ac:dyDescent="0.3">
      <c r="A3704" s="1">
        <f t="shared" si="6439"/>
        <v>85207</v>
      </c>
      <c r="B3704" s="96" t="s">
        <v>16</v>
      </c>
      <c r="C3704" s="97"/>
      <c r="D3704" s="101"/>
      <c r="E3704" s="102"/>
      <c r="F3704" s="102"/>
      <c r="G3704" s="102"/>
      <c r="H3704" s="103"/>
      <c r="J3704" s="24" t="str">
        <f t="shared" ref="J3704" si="6473">CONCATENATE(J3701,3)</f>
        <v>03</v>
      </c>
      <c r="K3704" s="6"/>
      <c r="L3704" s="6"/>
      <c r="M3704" s="6"/>
      <c r="N3704" s="6" t="s">
        <v>43</v>
      </c>
      <c r="O3704" s="25">
        <f t="shared" ref="O3704" si="6474">J3701-2</f>
        <v>-2</v>
      </c>
      <c r="P3704" s="6" t="s">
        <v>44</v>
      </c>
      <c r="Q3704" s="25" t="e">
        <f t="shared" ref="Q3704" si="6475">VLOOKUP(J3704,J3706:S3736,3,FALSE)</f>
        <v>#N/A</v>
      </c>
      <c r="R3704" s="6" t="s">
        <v>45</v>
      </c>
      <c r="S3704" s="6" t="e">
        <f t="shared" ref="S3704" si="6476">VLOOKUP(J3704,J3706:S3736,2,FALSE)</f>
        <v>#N/A</v>
      </c>
      <c r="T3704" s="9"/>
      <c r="U3704" s="1">
        <f t="shared" si="6412"/>
        <v>85</v>
      </c>
      <c r="V3704" s="1">
        <f t="shared" si="6413"/>
        <v>207</v>
      </c>
    </row>
    <row r="3705" spans="1:22" x14ac:dyDescent="0.3">
      <c r="A3705" s="1">
        <f t="shared" si="6439"/>
        <v>85208</v>
      </c>
      <c r="B3705" s="96" t="s">
        <v>17</v>
      </c>
      <c r="C3705" s="97"/>
      <c r="D3705" s="104"/>
      <c r="E3705" s="105"/>
      <c r="F3705" s="105"/>
      <c r="G3705" s="105"/>
      <c r="H3705" s="106"/>
      <c r="K3705" s="1">
        <v>3</v>
      </c>
      <c r="L3705" s="1">
        <v>3</v>
      </c>
      <c r="Q3705" s="26"/>
      <c r="R3705" s="26"/>
      <c r="S3705" s="26"/>
      <c r="T3705" s="9"/>
      <c r="U3705" s="1">
        <f t="shared" si="6412"/>
        <v>85</v>
      </c>
      <c r="V3705" s="1">
        <f t="shared" si="6413"/>
        <v>208</v>
      </c>
    </row>
    <row r="3706" spans="1:22" x14ac:dyDescent="0.3">
      <c r="A3706" s="1">
        <f t="shared" si="6439"/>
        <v>85209</v>
      </c>
      <c r="B3706" s="77" t="s">
        <v>19</v>
      </c>
      <c r="C3706" s="78"/>
      <c r="D3706" s="17"/>
      <c r="E3706" s="79" t="s">
        <v>40</v>
      </c>
      <c r="F3706" s="80"/>
      <c r="G3706" s="81"/>
      <c r="H3706" s="18" t="s">
        <v>72</v>
      </c>
      <c r="J3706" s="24" t="str">
        <f t="shared" ref="J3706" si="6477">CONCATENATE(K3705,1)</f>
        <v>31</v>
      </c>
      <c r="K3706" s="6" t="e">
        <f t="array" ref="K3706:L3708">LINEST(B3714:B3716,C3714:C3716^{1},TRUE,TRUE)</f>
        <v>#VALUE!</v>
      </c>
      <c r="L3706" s="6" t="e">
        <v>#VALUE!</v>
      </c>
      <c r="Q3706" s="9"/>
      <c r="R3706" s="9"/>
      <c r="S3706" s="9"/>
      <c r="T3706" s="9"/>
      <c r="U3706" s="1">
        <f t="shared" si="6412"/>
        <v>85</v>
      </c>
      <c r="V3706" s="1">
        <f t="shared" si="6413"/>
        <v>209</v>
      </c>
    </row>
    <row r="3707" spans="1:22" x14ac:dyDescent="0.3">
      <c r="A3707" s="1">
        <f t="shared" si="6439"/>
        <v>85210</v>
      </c>
      <c r="B3707" s="77" t="s">
        <v>41</v>
      </c>
      <c r="C3707" s="78"/>
      <c r="D3707" s="23">
        <f t="shared" ref="D3707" si="6478">MIN(B3714:B3723)</f>
        <v>0</v>
      </c>
      <c r="E3707" s="20" t="s">
        <v>18</v>
      </c>
      <c r="F3707" s="19">
        <f t="shared" ref="F3707" si="6479">MAX(B3714:B3723)</f>
        <v>0</v>
      </c>
      <c r="G3707" s="21" t="str">
        <f t="shared" ref="G3707" si="6480">IF(H3706="","",H3706)</f>
        <v>%ur</v>
      </c>
      <c r="H3707" s="22"/>
      <c r="J3707" s="24" t="str">
        <f t="shared" ref="J3707" si="6481">CONCATENATE(K3705,2)</f>
        <v>32</v>
      </c>
      <c r="K3707" s="6" t="e">
        <v>#VALUE!</v>
      </c>
      <c r="L3707" s="6" t="e">
        <v>#VALUE!</v>
      </c>
      <c r="Q3707" s="9"/>
      <c r="R3707" s="9"/>
      <c r="S3707" s="9"/>
      <c r="T3707" s="9"/>
      <c r="U3707" s="1">
        <f t="shared" si="6412"/>
        <v>85</v>
      </c>
      <c r="V3707" s="1">
        <f t="shared" si="6413"/>
        <v>210</v>
      </c>
    </row>
    <row r="3708" spans="1:22" x14ac:dyDescent="0.3">
      <c r="A3708" s="1">
        <f t="shared" si="6439"/>
        <v>85211</v>
      </c>
      <c r="J3708" s="24" t="str">
        <f t="shared" ref="J3708" si="6482">CONCATENATE(K3705,3)</f>
        <v>33</v>
      </c>
      <c r="K3708" s="6" t="e">
        <v>#VALUE!</v>
      </c>
      <c r="L3708" s="6" t="e">
        <v>#VALUE!</v>
      </c>
      <c r="Q3708" s="9"/>
      <c r="R3708" s="9"/>
      <c r="S3708" s="9"/>
      <c r="T3708" s="9"/>
      <c r="U3708" s="1">
        <f t="shared" si="6412"/>
        <v>85</v>
      </c>
      <c r="V3708" s="1">
        <f t="shared" si="6413"/>
        <v>211</v>
      </c>
    </row>
    <row r="3709" spans="1:22" x14ac:dyDescent="0.3">
      <c r="A3709" s="1">
        <f t="shared" si="6439"/>
        <v>85212</v>
      </c>
      <c r="B3709" s="82" t="s">
        <v>20</v>
      </c>
      <c r="C3709" s="83"/>
      <c r="D3709" s="83"/>
      <c r="E3709" s="83"/>
      <c r="F3709" s="84"/>
      <c r="G3709" s="85" t="s">
        <v>31</v>
      </c>
      <c r="H3709" s="86"/>
      <c r="K3709" s="1">
        <v>4</v>
      </c>
      <c r="L3709" s="1">
        <v>4</v>
      </c>
      <c r="M3709" s="1">
        <v>4</v>
      </c>
      <c r="Q3709" s="9"/>
      <c r="R3709" s="9"/>
      <c r="S3709" s="9"/>
      <c r="T3709" s="9"/>
      <c r="U3709" s="1">
        <f t="shared" si="6412"/>
        <v>85</v>
      </c>
      <c r="V3709" s="1">
        <f t="shared" si="6413"/>
        <v>212</v>
      </c>
    </row>
    <row r="3710" spans="1:22" x14ac:dyDescent="0.3">
      <c r="A3710" s="1">
        <f t="shared" si="6439"/>
        <v>85213</v>
      </c>
      <c r="B3710" s="82" t="s">
        <v>30</v>
      </c>
      <c r="C3710" s="83"/>
      <c r="D3710" s="84"/>
      <c r="E3710" s="82">
        <f t="shared" ref="E3710" si="6483">D3703</f>
        <v>0</v>
      </c>
      <c r="F3710" s="84"/>
      <c r="G3710" s="6" t="s">
        <v>32</v>
      </c>
      <c r="H3710" s="7"/>
      <c r="J3710" s="24" t="str">
        <f t="shared" ref="J3710" si="6484">CONCATENATE(K3709,1)</f>
        <v>41</v>
      </c>
      <c r="K3710" s="6" t="e">
        <f t="array" ref="K3710:M3712">LINEST(B3714:B3717,C3714:C3717^{1,2},TRUE,TRUE)</f>
        <v>#VALUE!</v>
      </c>
      <c r="L3710" s="6" t="e">
        <v>#VALUE!</v>
      </c>
      <c r="M3710" s="6" t="e">
        <v>#VALUE!</v>
      </c>
      <c r="Q3710" s="9"/>
      <c r="R3710" s="9"/>
      <c r="S3710" s="9"/>
      <c r="T3710" s="9"/>
      <c r="U3710" s="1">
        <f t="shared" si="6412"/>
        <v>85</v>
      </c>
      <c r="V3710" s="1">
        <f t="shared" si="6413"/>
        <v>213</v>
      </c>
    </row>
    <row r="3711" spans="1:22" x14ac:dyDescent="0.3">
      <c r="A3711" s="1">
        <f t="shared" si="6439"/>
        <v>85214</v>
      </c>
      <c r="B3711" s="2" t="s">
        <v>21</v>
      </c>
      <c r="C3711" s="2" t="s">
        <v>22</v>
      </c>
      <c r="D3711" s="2" t="s">
        <v>23</v>
      </c>
      <c r="E3711" s="2"/>
      <c r="F3711" s="2" t="s">
        <v>28</v>
      </c>
      <c r="G3711" s="2" t="s">
        <v>21</v>
      </c>
      <c r="H3711" s="2" t="s">
        <v>22</v>
      </c>
      <c r="J3711" s="24" t="str">
        <f t="shared" ref="J3711" si="6485">CONCATENATE(K3709,2)</f>
        <v>42</v>
      </c>
      <c r="K3711" s="6" t="e">
        <v>#VALUE!</v>
      </c>
      <c r="L3711" s="6" t="e">
        <v>#VALUE!</v>
      </c>
      <c r="M3711" s="6" t="e">
        <v>#VALUE!</v>
      </c>
      <c r="Q3711" s="9"/>
      <c r="R3711" s="9"/>
      <c r="S3711" s="9"/>
      <c r="T3711" s="9"/>
      <c r="U3711" s="1">
        <f t="shared" si="6412"/>
        <v>85</v>
      </c>
      <c r="V3711" s="1">
        <f t="shared" si="6413"/>
        <v>214</v>
      </c>
    </row>
    <row r="3712" spans="1:22" x14ac:dyDescent="0.3">
      <c r="A3712" s="1">
        <f t="shared" si="6439"/>
        <v>85215</v>
      </c>
      <c r="B3712" s="2" t="s">
        <v>24</v>
      </c>
      <c r="C3712" s="2" t="s">
        <v>25</v>
      </c>
      <c r="D3712" s="2" t="s">
        <v>26</v>
      </c>
      <c r="E3712" s="2" t="s">
        <v>27</v>
      </c>
      <c r="F3712" s="2" t="s">
        <v>29</v>
      </c>
      <c r="G3712" s="2" t="s">
        <v>24</v>
      </c>
      <c r="H3712" s="2" t="s">
        <v>25</v>
      </c>
      <c r="J3712" s="24" t="str">
        <f t="shared" ref="J3712" si="6486">CONCATENATE(K3709,3)</f>
        <v>43</v>
      </c>
      <c r="K3712" s="6" t="e">
        <v>#VALUE!</v>
      </c>
      <c r="L3712" s="6" t="e">
        <v>#VALUE!</v>
      </c>
      <c r="M3712" s="6" t="e">
        <v>#VALUE!</v>
      </c>
      <c r="Q3712" s="9"/>
      <c r="R3712" s="9"/>
      <c r="S3712" s="9"/>
      <c r="T3712" s="9"/>
      <c r="U3712" s="1">
        <f t="shared" si="6412"/>
        <v>85</v>
      </c>
      <c r="V3712" s="1">
        <f t="shared" si="6413"/>
        <v>215</v>
      </c>
    </row>
    <row r="3713" spans="1:22" x14ac:dyDescent="0.3">
      <c r="A3713" s="1">
        <f t="shared" si="6439"/>
        <v>85216</v>
      </c>
      <c r="B3713" s="3" t="str">
        <f t="shared" ref="B3713" si="6487">H3706</f>
        <v>%ur</v>
      </c>
      <c r="C3713" s="3" t="str">
        <f t="shared" ref="C3713" si="6488">B3713</f>
        <v>%ur</v>
      </c>
      <c r="D3713" s="3" t="str">
        <f t="shared" ref="D3713" si="6489">C3713</f>
        <v>%ur</v>
      </c>
      <c r="E3713" s="3"/>
      <c r="F3713" s="3"/>
      <c r="G3713" s="3" t="str">
        <f t="shared" ref="G3713" si="6490">D3713</f>
        <v>%ur</v>
      </c>
      <c r="H3713" s="3" t="str">
        <f t="shared" ref="H3713" si="6491">G3713</f>
        <v>%ur</v>
      </c>
      <c r="K3713" s="1">
        <v>5</v>
      </c>
      <c r="L3713" s="1">
        <v>5</v>
      </c>
      <c r="M3713" s="1">
        <v>5</v>
      </c>
      <c r="N3713" s="1">
        <v>5</v>
      </c>
      <c r="Q3713" s="9"/>
      <c r="R3713" s="9"/>
      <c r="S3713" s="9"/>
      <c r="T3713" s="9"/>
      <c r="U3713" s="1">
        <f t="shared" si="6412"/>
        <v>85</v>
      </c>
      <c r="V3713" s="1">
        <f t="shared" si="6413"/>
        <v>216</v>
      </c>
    </row>
    <row r="3714" spans="1:22" x14ac:dyDescent="0.3">
      <c r="A3714" s="1">
        <f t="shared" si="6439"/>
        <v>85217</v>
      </c>
      <c r="B3714" s="4"/>
      <c r="C3714" s="4"/>
      <c r="D3714" s="4"/>
      <c r="E3714" s="4"/>
      <c r="F3714" s="14"/>
      <c r="G3714" s="8"/>
      <c r="H3714" s="7"/>
      <c r="J3714" s="24" t="str">
        <f t="shared" ref="J3714" si="6492">CONCATENATE(K3713,1)</f>
        <v>51</v>
      </c>
      <c r="K3714" s="6" t="e">
        <f t="array" ref="K3714:N3716">LINEST(B3714:B3718,C3714:C3718^{1,2,3},TRUE,TRUE)</f>
        <v>#VALUE!</v>
      </c>
      <c r="L3714" s="6" t="e">
        <v>#VALUE!</v>
      </c>
      <c r="M3714" s="6" t="e">
        <v>#VALUE!</v>
      </c>
      <c r="N3714" s="6" t="e">
        <v>#VALUE!</v>
      </c>
      <c r="Q3714" s="9"/>
      <c r="R3714" s="9"/>
      <c r="S3714" s="9"/>
      <c r="T3714" s="9"/>
      <c r="U3714" s="1">
        <f t="shared" si="6412"/>
        <v>85</v>
      </c>
      <c r="V3714" s="1">
        <f t="shared" si="6413"/>
        <v>217</v>
      </c>
    </row>
    <row r="3715" spans="1:22" x14ac:dyDescent="0.3">
      <c r="A3715" s="1">
        <f t="shared" si="6439"/>
        <v>85218</v>
      </c>
      <c r="B3715" s="4"/>
      <c r="C3715" s="4"/>
      <c r="D3715" s="4"/>
      <c r="E3715" s="4"/>
      <c r="F3715" s="14"/>
      <c r="G3715" s="8"/>
      <c r="H3715" s="7"/>
      <c r="J3715" s="24" t="str">
        <f t="shared" ref="J3715" si="6493">CONCATENATE(K3713,2)</f>
        <v>52</v>
      </c>
      <c r="K3715" s="6" t="e">
        <v>#VALUE!</v>
      </c>
      <c r="L3715" s="6" t="e">
        <v>#VALUE!</v>
      </c>
      <c r="M3715" s="6" t="e">
        <v>#VALUE!</v>
      </c>
      <c r="N3715" s="6" t="e">
        <v>#VALUE!</v>
      </c>
      <c r="T3715" s="9"/>
      <c r="U3715" s="1">
        <f t="shared" si="6412"/>
        <v>85</v>
      </c>
      <c r="V3715" s="1">
        <f t="shared" si="6413"/>
        <v>218</v>
      </c>
    </row>
    <row r="3716" spans="1:22" x14ac:dyDescent="0.3">
      <c r="A3716" s="1">
        <f t="shared" si="6439"/>
        <v>85219</v>
      </c>
      <c r="B3716" s="4"/>
      <c r="C3716" s="4"/>
      <c r="D3716" s="4"/>
      <c r="E3716" s="4"/>
      <c r="F3716" s="14"/>
      <c r="G3716" s="8"/>
      <c r="H3716" s="7"/>
      <c r="J3716" s="24" t="str">
        <f t="shared" ref="J3716" si="6494">CONCATENATE(K3713,3)</f>
        <v>53</v>
      </c>
      <c r="K3716" s="6" t="e">
        <v>#VALUE!</v>
      </c>
      <c r="L3716" s="6" t="e">
        <v>#VALUE!</v>
      </c>
      <c r="M3716" s="6" t="e">
        <v>#VALUE!</v>
      </c>
      <c r="N3716" s="6" t="e">
        <v>#VALUE!</v>
      </c>
      <c r="T3716" s="9"/>
      <c r="U3716" s="1">
        <f t="shared" si="6412"/>
        <v>85</v>
      </c>
      <c r="V3716" s="1">
        <f t="shared" si="6413"/>
        <v>219</v>
      </c>
    </row>
    <row r="3717" spans="1:22" x14ac:dyDescent="0.3">
      <c r="A3717" s="1">
        <f t="shared" si="6439"/>
        <v>85220</v>
      </c>
      <c r="B3717" s="4"/>
      <c r="C3717" s="4"/>
      <c r="D3717" s="4"/>
      <c r="E3717" s="4"/>
      <c r="F3717" s="14"/>
      <c r="G3717" s="8"/>
      <c r="H3717" s="7"/>
      <c r="K3717" s="1">
        <v>6</v>
      </c>
      <c r="L3717" s="1">
        <v>6</v>
      </c>
      <c r="M3717" s="1">
        <v>6</v>
      </c>
      <c r="N3717" s="1">
        <v>6</v>
      </c>
      <c r="O3717" s="1">
        <v>6</v>
      </c>
      <c r="T3717" s="9"/>
      <c r="U3717" s="1">
        <f t="shared" si="6412"/>
        <v>85</v>
      </c>
      <c r="V3717" s="1">
        <f t="shared" si="6413"/>
        <v>220</v>
      </c>
    </row>
    <row r="3718" spans="1:22" x14ac:dyDescent="0.3">
      <c r="A3718" s="1">
        <f t="shared" si="6439"/>
        <v>85221</v>
      </c>
      <c r="B3718" s="4"/>
      <c r="C3718" s="4"/>
      <c r="D3718" s="4"/>
      <c r="E3718" s="4"/>
      <c r="F3718" s="14"/>
      <c r="G3718" s="8"/>
      <c r="H3718" s="7"/>
      <c r="J3718" s="24" t="str">
        <f t="shared" ref="J3718" si="6495">CONCATENATE(K3717,1)</f>
        <v>61</v>
      </c>
      <c r="K3718" s="6" t="e">
        <f t="array" ref="K3718:O3720">LINEST(B3714:B3719,C3714:C3719^{1,2,3,4},TRUE,TRUE)</f>
        <v>#VALUE!</v>
      </c>
      <c r="L3718" s="6" t="e">
        <v>#VALUE!</v>
      </c>
      <c r="M3718" s="6" t="e">
        <v>#VALUE!</v>
      </c>
      <c r="N3718" s="6" t="e">
        <v>#VALUE!</v>
      </c>
      <c r="O3718" s="6" t="e">
        <v>#VALUE!</v>
      </c>
      <c r="T3718" s="9"/>
      <c r="U3718" s="1">
        <f t="shared" si="6412"/>
        <v>85</v>
      </c>
      <c r="V3718" s="1">
        <f t="shared" si="6413"/>
        <v>221</v>
      </c>
    </row>
    <row r="3719" spans="1:22" x14ac:dyDescent="0.3">
      <c r="A3719" s="1">
        <f t="shared" si="6439"/>
        <v>85222</v>
      </c>
      <c r="B3719" s="4"/>
      <c r="C3719" s="4"/>
      <c r="D3719" s="4"/>
      <c r="E3719" s="4"/>
      <c r="F3719" s="14"/>
      <c r="G3719" s="8"/>
      <c r="H3719" s="7"/>
      <c r="J3719" s="24" t="str">
        <f t="shared" ref="J3719" si="6496">CONCATENATE(K3717,2)</f>
        <v>62</v>
      </c>
      <c r="K3719" s="6" t="e">
        <v>#VALUE!</v>
      </c>
      <c r="L3719" s="6" t="e">
        <v>#VALUE!</v>
      </c>
      <c r="M3719" s="6" t="e">
        <v>#VALUE!</v>
      </c>
      <c r="N3719" s="6" t="e">
        <v>#VALUE!</v>
      </c>
      <c r="O3719" s="6" t="e">
        <v>#VALUE!</v>
      </c>
      <c r="T3719" s="9"/>
      <c r="U3719" s="1">
        <f t="shared" si="6412"/>
        <v>85</v>
      </c>
      <c r="V3719" s="1">
        <f t="shared" si="6413"/>
        <v>222</v>
      </c>
    </row>
    <row r="3720" spans="1:22" x14ac:dyDescent="0.3">
      <c r="A3720" s="1">
        <f t="shared" si="6439"/>
        <v>85223</v>
      </c>
      <c r="B3720" s="4"/>
      <c r="C3720" s="4"/>
      <c r="D3720" s="4"/>
      <c r="E3720" s="4"/>
      <c r="F3720" s="14"/>
      <c r="G3720" s="8"/>
      <c r="H3720" s="7"/>
      <c r="J3720" s="24" t="str">
        <f t="shared" ref="J3720" si="6497">CONCATENATE(K3717,3)</f>
        <v>63</v>
      </c>
      <c r="K3720" s="6" t="e">
        <v>#VALUE!</v>
      </c>
      <c r="L3720" s="6" t="e">
        <v>#VALUE!</v>
      </c>
      <c r="M3720" s="6" t="e">
        <v>#VALUE!</v>
      </c>
      <c r="N3720" s="6" t="e">
        <v>#VALUE!</v>
      </c>
      <c r="O3720" s="6" t="e">
        <v>#VALUE!</v>
      </c>
      <c r="T3720" s="9"/>
      <c r="U3720" s="1">
        <f t="shared" si="6412"/>
        <v>85</v>
      </c>
      <c r="V3720" s="1">
        <f t="shared" si="6413"/>
        <v>223</v>
      </c>
    </row>
    <row r="3721" spans="1:22" x14ac:dyDescent="0.3">
      <c r="A3721" s="1">
        <f t="shared" si="6439"/>
        <v>85224</v>
      </c>
      <c r="B3721" s="4"/>
      <c r="C3721" s="4"/>
      <c r="D3721" s="4"/>
      <c r="E3721" s="4"/>
      <c r="F3721" s="14"/>
      <c r="G3721" s="8"/>
      <c r="H3721" s="7"/>
      <c r="K3721" s="1">
        <v>7</v>
      </c>
      <c r="L3721" s="1">
        <v>7</v>
      </c>
      <c r="M3721" s="1">
        <v>7</v>
      </c>
      <c r="N3721" s="1">
        <v>7</v>
      </c>
      <c r="O3721" s="1">
        <v>7</v>
      </c>
      <c r="P3721" s="1">
        <v>7</v>
      </c>
      <c r="T3721" s="9"/>
      <c r="U3721" s="1">
        <f t="shared" si="6412"/>
        <v>85</v>
      </c>
      <c r="V3721" s="1">
        <f t="shared" si="6413"/>
        <v>224</v>
      </c>
    </row>
    <row r="3722" spans="1:22" x14ac:dyDescent="0.3">
      <c r="A3722" s="1">
        <f t="shared" si="6439"/>
        <v>85225</v>
      </c>
      <c r="B3722" s="4"/>
      <c r="C3722" s="4"/>
      <c r="D3722" s="4"/>
      <c r="E3722" s="4"/>
      <c r="F3722" s="14"/>
      <c r="G3722" s="8"/>
      <c r="H3722" s="7"/>
      <c r="J3722" s="24" t="str">
        <f t="shared" ref="J3722" si="6498">CONCATENATE(K3721,1)</f>
        <v>71</v>
      </c>
      <c r="K3722" s="6" t="e">
        <f t="array" ref="K3722:P3724">LINEST(B3714:B3720,C3714:C3720^{1,2,3,4,5},TRUE,TRUE)</f>
        <v>#VALUE!</v>
      </c>
      <c r="L3722" s="6" t="e">
        <v>#VALUE!</v>
      </c>
      <c r="M3722" s="6" t="e">
        <v>#VALUE!</v>
      </c>
      <c r="N3722" s="6" t="e">
        <v>#VALUE!</v>
      </c>
      <c r="O3722" s="6" t="e">
        <v>#VALUE!</v>
      </c>
      <c r="P3722" s="6" t="e">
        <v>#VALUE!</v>
      </c>
      <c r="T3722" s="9"/>
      <c r="U3722" s="1">
        <f t="shared" si="6412"/>
        <v>85</v>
      </c>
      <c r="V3722" s="1">
        <f t="shared" si="6413"/>
        <v>225</v>
      </c>
    </row>
    <row r="3723" spans="1:22" x14ac:dyDescent="0.3">
      <c r="A3723" s="1">
        <f t="shared" si="6439"/>
        <v>85226</v>
      </c>
      <c r="B3723" s="4"/>
      <c r="C3723" s="4"/>
      <c r="D3723" s="4"/>
      <c r="E3723" s="4"/>
      <c r="F3723" s="14"/>
      <c r="G3723" s="8"/>
      <c r="H3723" s="7"/>
      <c r="J3723" s="24" t="str">
        <f t="shared" ref="J3723" si="6499">CONCATENATE(K3721,2)</f>
        <v>72</v>
      </c>
      <c r="K3723" s="6" t="e">
        <v>#VALUE!</v>
      </c>
      <c r="L3723" s="6" t="e">
        <v>#VALUE!</v>
      </c>
      <c r="M3723" s="6" t="e">
        <v>#VALUE!</v>
      </c>
      <c r="N3723" s="6" t="e">
        <v>#VALUE!</v>
      </c>
      <c r="O3723" s="6" t="e">
        <v>#VALUE!</v>
      </c>
      <c r="P3723" s="6" t="e">
        <v>#VALUE!</v>
      </c>
      <c r="T3723" s="9"/>
      <c r="U3723" s="1">
        <f t="shared" si="6412"/>
        <v>85</v>
      </c>
      <c r="V3723" s="1">
        <f t="shared" si="6413"/>
        <v>226</v>
      </c>
    </row>
    <row r="3724" spans="1:22" x14ac:dyDescent="0.3">
      <c r="A3724" s="1">
        <f t="shared" si="6439"/>
        <v>85227</v>
      </c>
      <c r="B3724" s="9"/>
      <c r="C3724" s="9"/>
      <c r="D3724" s="9"/>
      <c r="E3724" s="9"/>
      <c r="F3724" s="9"/>
      <c r="G3724" s="9"/>
      <c r="H3724" s="9"/>
      <c r="J3724" s="24" t="str">
        <f t="shared" ref="J3724" si="6500">CONCATENATE(K3721,3)</f>
        <v>73</v>
      </c>
      <c r="K3724" s="6" t="e">
        <v>#VALUE!</v>
      </c>
      <c r="L3724" s="6" t="e">
        <v>#VALUE!</v>
      </c>
      <c r="M3724" s="6" t="e">
        <v>#VALUE!</v>
      </c>
      <c r="N3724" s="6" t="e">
        <v>#VALUE!</v>
      </c>
      <c r="O3724" s="6" t="e">
        <v>#VALUE!</v>
      </c>
      <c r="P3724" s="6" t="e">
        <v>#VALUE!</v>
      </c>
      <c r="T3724" s="9"/>
      <c r="U3724" s="1">
        <f t="shared" si="6412"/>
        <v>85</v>
      </c>
      <c r="V3724" s="1">
        <f t="shared" si="6413"/>
        <v>227</v>
      </c>
    </row>
    <row r="3725" spans="1:22" x14ac:dyDescent="0.3">
      <c r="A3725" s="1">
        <f t="shared" si="6439"/>
        <v>85228</v>
      </c>
      <c r="B3725" s="87" t="s">
        <v>33</v>
      </c>
      <c r="C3725" s="88"/>
      <c r="D3725" s="88"/>
      <c r="E3725" s="88"/>
      <c r="F3725" s="88"/>
      <c r="G3725" s="88"/>
      <c r="H3725" s="89"/>
      <c r="K3725" s="1">
        <v>8</v>
      </c>
      <c r="L3725" s="1">
        <v>8</v>
      </c>
      <c r="M3725" s="1">
        <v>8</v>
      </c>
      <c r="N3725" s="1">
        <v>8</v>
      </c>
      <c r="O3725" s="1">
        <v>8</v>
      </c>
      <c r="P3725" s="1">
        <v>8</v>
      </c>
      <c r="Q3725" s="1">
        <v>8</v>
      </c>
      <c r="T3725" s="9"/>
      <c r="U3725" s="1">
        <f t="shared" si="6412"/>
        <v>85</v>
      </c>
      <c r="V3725" s="1">
        <f t="shared" si="6413"/>
        <v>228</v>
      </c>
    </row>
    <row r="3726" spans="1:22" x14ac:dyDescent="0.3">
      <c r="A3726" s="1">
        <f t="shared" si="6439"/>
        <v>85229</v>
      </c>
      <c r="B3726" s="90"/>
      <c r="C3726" s="91"/>
      <c r="D3726" s="91"/>
      <c r="E3726" s="91"/>
      <c r="F3726" s="91"/>
      <c r="G3726" s="91"/>
      <c r="H3726" s="92"/>
      <c r="J3726" s="24" t="str">
        <f t="shared" ref="J3726" si="6501">CONCATENATE(K3725,1)</f>
        <v>81</v>
      </c>
      <c r="K3726" s="6" t="e">
        <f t="array" ref="K3726:Q3728">LINEST(B3714:B3721,C3714:C3721^{1,2,3,4,5,6},TRUE,TRUE)</f>
        <v>#VALUE!</v>
      </c>
      <c r="L3726" s="6" t="e">
        <v>#VALUE!</v>
      </c>
      <c r="M3726" s="6" t="e">
        <v>#VALUE!</v>
      </c>
      <c r="N3726" s="6" t="e">
        <v>#VALUE!</v>
      </c>
      <c r="O3726" s="6" t="e">
        <v>#VALUE!</v>
      </c>
      <c r="P3726" s="6" t="e">
        <v>#VALUE!</v>
      </c>
      <c r="Q3726" s="6" t="e">
        <v>#VALUE!</v>
      </c>
      <c r="T3726" s="9"/>
      <c r="U3726" s="1">
        <f t="shared" si="6412"/>
        <v>85</v>
      </c>
      <c r="V3726" s="1">
        <f t="shared" si="6413"/>
        <v>229</v>
      </c>
    </row>
    <row r="3727" spans="1:22" x14ac:dyDescent="0.3">
      <c r="A3727" s="1">
        <f t="shared" si="6439"/>
        <v>85230</v>
      </c>
      <c r="B3727" s="93"/>
      <c r="C3727" s="94"/>
      <c r="D3727" s="94"/>
      <c r="E3727" s="94"/>
      <c r="F3727" s="94"/>
      <c r="G3727" s="94"/>
      <c r="H3727" s="95"/>
      <c r="J3727" s="24" t="str">
        <f t="shared" ref="J3727" si="6502">CONCATENATE(K3725,2)</f>
        <v>82</v>
      </c>
      <c r="K3727" s="6" t="e">
        <v>#VALUE!</v>
      </c>
      <c r="L3727" s="6" t="e">
        <v>#VALUE!</v>
      </c>
      <c r="M3727" s="6" t="e">
        <v>#VALUE!</v>
      </c>
      <c r="N3727" s="6" t="e">
        <v>#VALUE!</v>
      </c>
      <c r="O3727" s="6" t="e">
        <v>#VALUE!</v>
      </c>
      <c r="P3727" s="6" t="e">
        <v>#VALUE!</v>
      </c>
      <c r="Q3727" s="6" t="e">
        <v>#VALUE!</v>
      </c>
      <c r="T3727" s="9"/>
      <c r="U3727" s="1">
        <f t="shared" si="6412"/>
        <v>85</v>
      </c>
      <c r="V3727" s="1">
        <f t="shared" si="6413"/>
        <v>230</v>
      </c>
    </row>
    <row r="3728" spans="1:22" x14ac:dyDescent="0.3">
      <c r="A3728" s="1">
        <f t="shared" si="6439"/>
        <v>85231</v>
      </c>
      <c r="J3728" s="24" t="str">
        <f t="shared" ref="J3728" si="6503">CONCATENATE(K3725,3)</f>
        <v>83</v>
      </c>
      <c r="K3728" s="6" t="e">
        <v>#VALUE!</v>
      </c>
      <c r="L3728" s="6" t="e">
        <v>#VALUE!</v>
      </c>
      <c r="M3728" s="6" t="e">
        <v>#VALUE!</v>
      </c>
      <c r="N3728" s="6" t="e">
        <v>#VALUE!</v>
      </c>
      <c r="O3728" s="6" t="e">
        <v>#VALUE!</v>
      </c>
      <c r="P3728" s="6" t="e">
        <v>#VALUE!</v>
      </c>
      <c r="Q3728" s="6" t="e">
        <v>#VALUE!</v>
      </c>
      <c r="T3728" s="9"/>
      <c r="U3728" s="1">
        <f t="shared" si="6412"/>
        <v>85</v>
      </c>
      <c r="V3728" s="1">
        <f t="shared" si="6413"/>
        <v>231</v>
      </c>
    </row>
    <row r="3729" spans="1:22" ht="15" customHeight="1" x14ac:dyDescent="0.3">
      <c r="A3729" s="1">
        <f t="shared" si="6439"/>
        <v>85232</v>
      </c>
      <c r="B3729" s="10" t="s">
        <v>34</v>
      </c>
      <c r="C3729" s="10" t="s">
        <v>35</v>
      </c>
      <c r="D3729" s="10" t="s">
        <v>36</v>
      </c>
      <c r="E3729" s="74" t="s">
        <v>37</v>
      </c>
      <c r="F3729" s="75"/>
      <c r="G3729" s="76"/>
      <c r="K3729" s="1">
        <v>9</v>
      </c>
      <c r="L3729" s="1">
        <v>9</v>
      </c>
      <c r="M3729" s="1">
        <v>9</v>
      </c>
      <c r="N3729" s="1">
        <v>9</v>
      </c>
      <c r="O3729" s="1">
        <v>9</v>
      </c>
      <c r="P3729" s="1">
        <v>9</v>
      </c>
      <c r="Q3729" s="1">
        <v>9</v>
      </c>
      <c r="R3729" s="1">
        <v>9</v>
      </c>
      <c r="T3729" s="9"/>
      <c r="U3729" s="1">
        <f t="shared" si="6412"/>
        <v>85</v>
      </c>
      <c r="V3729" s="1">
        <f t="shared" si="6413"/>
        <v>232</v>
      </c>
    </row>
    <row r="3730" spans="1:22" x14ac:dyDescent="0.3">
      <c r="A3730" s="1">
        <f t="shared" si="6439"/>
        <v>85233</v>
      </c>
      <c r="B3730" s="12">
        <f t="shared" ref="B3730:B3739" si="6504">C3714-B3714</f>
        <v>0</v>
      </c>
      <c r="C3730" s="13">
        <f t="shared" ref="C3730:C3739" si="6505">H3714-G3714</f>
        <v>0</v>
      </c>
      <c r="D3730" s="10">
        <f t="shared" ref="D3730:D3739" si="6506">C3730-B3730</f>
        <v>0</v>
      </c>
      <c r="E3730" s="11" t="str">
        <f t="shared" ref="E3730" si="6507">IF(D3705="","",MAX(F3730,G3730))</f>
        <v/>
      </c>
      <c r="F3730" s="10">
        <f t="shared" ref="F3730" si="6508">ABS(MIN(D3730:D3739))</f>
        <v>0</v>
      </c>
      <c r="G3730" s="10">
        <f t="shared" ref="G3730" si="6509">ABS(MAX(D3730:D3739))</f>
        <v>0</v>
      </c>
      <c r="J3730" s="24" t="str">
        <f t="shared" ref="J3730" si="6510">CONCATENATE(K3729,1)</f>
        <v>91</v>
      </c>
      <c r="K3730" s="6" t="e">
        <f t="array" ref="K3730:R3732">LINEST(B3714:B3722,C3714:C3722^{1,2,3,4,5,6,7},TRUE,TRUE)</f>
        <v>#VALUE!</v>
      </c>
      <c r="L3730" s="6" t="e">
        <v>#VALUE!</v>
      </c>
      <c r="M3730" s="6" t="e">
        <v>#VALUE!</v>
      </c>
      <c r="N3730" s="6" t="e">
        <v>#VALUE!</v>
      </c>
      <c r="O3730" s="6" t="e">
        <v>#VALUE!</v>
      </c>
      <c r="P3730" s="6" t="e">
        <v>#VALUE!</v>
      </c>
      <c r="Q3730" s="6" t="e">
        <v>#VALUE!</v>
      </c>
      <c r="R3730" s="6" t="e">
        <v>#VALUE!</v>
      </c>
      <c r="T3730" s="9"/>
      <c r="U3730" s="1">
        <f t="shared" si="6412"/>
        <v>85</v>
      </c>
      <c r="V3730" s="1">
        <f t="shared" si="6413"/>
        <v>233</v>
      </c>
    </row>
    <row r="3731" spans="1:22" x14ac:dyDescent="0.3">
      <c r="A3731" s="1">
        <f t="shared" si="6439"/>
        <v>85234</v>
      </c>
      <c r="B3731" s="12">
        <f t="shared" si="6504"/>
        <v>0</v>
      </c>
      <c r="C3731" s="13">
        <f t="shared" si="6505"/>
        <v>0</v>
      </c>
      <c r="D3731" s="10">
        <f t="shared" si="6506"/>
        <v>0</v>
      </c>
      <c r="E3731" s="74" t="s">
        <v>38</v>
      </c>
      <c r="F3731" s="75"/>
      <c r="G3731" s="76"/>
      <c r="J3731" s="24" t="str">
        <f t="shared" ref="J3731" si="6511">CONCATENATE(K3729,2)</f>
        <v>92</v>
      </c>
      <c r="K3731" s="6" t="e">
        <v>#VALUE!</v>
      </c>
      <c r="L3731" s="6" t="e">
        <v>#VALUE!</v>
      </c>
      <c r="M3731" s="6" t="e">
        <v>#VALUE!</v>
      </c>
      <c r="N3731" s="6" t="e">
        <v>#VALUE!</v>
      </c>
      <c r="O3731" s="6" t="e">
        <v>#VALUE!</v>
      </c>
      <c r="P3731" s="6" t="e">
        <v>#VALUE!</v>
      </c>
      <c r="Q3731" s="6" t="e">
        <v>#VALUE!</v>
      </c>
      <c r="R3731" s="6" t="e">
        <v>#VALUE!</v>
      </c>
      <c r="T3731" s="9"/>
      <c r="U3731" s="1">
        <f t="shared" si="6412"/>
        <v>85</v>
      </c>
      <c r="V3731" s="1">
        <f t="shared" si="6413"/>
        <v>234</v>
      </c>
    </row>
    <row r="3732" spans="1:22" x14ac:dyDescent="0.3">
      <c r="A3732" s="1">
        <f t="shared" si="6439"/>
        <v>85235</v>
      </c>
      <c r="B3732" s="12">
        <f t="shared" si="6504"/>
        <v>0</v>
      </c>
      <c r="C3732" s="13">
        <f t="shared" si="6505"/>
        <v>0</v>
      </c>
      <c r="D3732" s="10">
        <f t="shared" si="6506"/>
        <v>0</v>
      </c>
      <c r="E3732" s="11" t="str">
        <f t="shared" ref="E3732" si="6512">IF(D3705="","",MAX(F3732,G3732))</f>
        <v/>
      </c>
      <c r="F3732" s="10">
        <f t="shared" ref="F3732" si="6513">ABS(MIN(B3730:B3739))</f>
        <v>0</v>
      </c>
      <c r="G3732" s="10">
        <f t="shared" ref="G3732" si="6514">ABS(MAX(B3730:B3739))</f>
        <v>0</v>
      </c>
      <c r="J3732" s="24" t="str">
        <f t="shared" ref="J3732" si="6515">CONCATENATE(K3729,3)</f>
        <v>93</v>
      </c>
      <c r="K3732" s="6" t="e">
        <v>#VALUE!</v>
      </c>
      <c r="L3732" s="6" t="e">
        <v>#VALUE!</v>
      </c>
      <c r="M3732" s="6" t="e">
        <v>#VALUE!</v>
      </c>
      <c r="N3732" s="6" t="e">
        <v>#VALUE!</v>
      </c>
      <c r="O3732" s="6" t="e">
        <v>#VALUE!</v>
      </c>
      <c r="P3732" s="6" t="e">
        <v>#VALUE!</v>
      </c>
      <c r="Q3732" s="6" t="e">
        <v>#VALUE!</v>
      </c>
      <c r="R3732" s="6" t="e">
        <v>#VALUE!</v>
      </c>
      <c r="T3732" s="9"/>
      <c r="U3732" s="1">
        <f t="shared" si="6412"/>
        <v>85</v>
      </c>
      <c r="V3732" s="1">
        <f t="shared" si="6413"/>
        <v>235</v>
      </c>
    </row>
    <row r="3733" spans="1:22" x14ac:dyDescent="0.3">
      <c r="A3733" s="1">
        <f t="shared" si="6439"/>
        <v>85236</v>
      </c>
      <c r="B3733" s="12">
        <f t="shared" si="6504"/>
        <v>0</v>
      </c>
      <c r="C3733" s="13">
        <f t="shared" si="6505"/>
        <v>0</v>
      </c>
      <c r="D3733" s="10">
        <f t="shared" si="6506"/>
        <v>0</v>
      </c>
      <c r="E3733" s="74" t="s">
        <v>39</v>
      </c>
      <c r="F3733" s="75"/>
      <c r="G3733" s="76"/>
      <c r="K3733" s="1">
        <v>10</v>
      </c>
      <c r="L3733" s="1">
        <v>10</v>
      </c>
      <c r="M3733" s="1">
        <v>10</v>
      </c>
      <c r="N3733" s="1">
        <v>10</v>
      </c>
      <c r="O3733" s="1">
        <v>10</v>
      </c>
      <c r="P3733" s="1">
        <v>10</v>
      </c>
      <c r="Q3733" s="1">
        <v>10</v>
      </c>
      <c r="R3733" s="1">
        <v>10</v>
      </c>
      <c r="S3733" s="1">
        <v>10</v>
      </c>
      <c r="T3733" s="9"/>
      <c r="U3733" s="1">
        <f t="shared" si="6412"/>
        <v>85</v>
      </c>
      <c r="V3733" s="1">
        <f t="shared" si="6413"/>
        <v>236</v>
      </c>
    </row>
    <row r="3734" spans="1:22" x14ac:dyDescent="0.3">
      <c r="A3734" s="1">
        <f t="shared" si="6439"/>
        <v>85237</v>
      </c>
      <c r="B3734" s="12">
        <f t="shared" si="6504"/>
        <v>0</v>
      </c>
      <c r="C3734" s="13">
        <f t="shared" si="6505"/>
        <v>0</v>
      </c>
      <c r="D3734" s="10">
        <f t="shared" si="6506"/>
        <v>0</v>
      </c>
      <c r="E3734" s="11" t="str">
        <f t="shared" ref="E3734" si="6516">IF(D3705="","",MAX(F3734,G3734))</f>
        <v/>
      </c>
      <c r="F3734" s="10">
        <f t="shared" ref="F3734" si="6517">ABS(MIN(D3714:D3723))</f>
        <v>0</v>
      </c>
      <c r="G3734" s="10">
        <f t="shared" ref="G3734" si="6518">ABS(MAX(D3714:D3723))</f>
        <v>0</v>
      </c>
      <c r="J3734" s="24" t="str">
        <f t="shared" ref="J3734" si="6519">CONCATENATE(K3733,1)</f>
        <v>101</v>
      </c>
      <c r="K3734" s="6" t="e">
        <f t="array" ref="K3734:S3736">LINEST(B3714:B3723,C3714:C3723^{1,2,3,4,5,6,7,8},TRUE,TRUE)</f>
        <v>#VALUE!</v>
      </c>
      <c r="L3734" s="6" t="e">
        <v>#VALUE!</v>
      </c>
      <c r="M3734" s="6" t="e">
        <v>#VALUE!</v>
      </c>
      <c r="N3734" s="6" t="e">
        <v>#VALUE!</v>
      </c>
      <c r="O3734" s="6" t="e">
        <v>#VALUE!</v>
      </c>
      <c r="P3734" s="6" t="e">
        <v>#VALUE!</v>
      </c>
      <c r="Q3734" s="6" t="e">
        <v>#VALUE!</v>
      </c>
      <c r="R3734" s="6" t="e">
        <v>#VALUE!</v>
      </c>
      <c r="S3734" s="6" t="e">
        <v>#VALUE!</v>
      </c>
      <c r="T3734" s="9"/>
      <c r="U3734" s="1">
        <f t="shared" si="6412"/>
        <v>85</v>
      </c>
      <c r="V3734" s="1">
        <f t="shared" si="6413"/>
        <v>237</v>
      </c>
    </row>
    <row r="3735" spans="1:22" x14ac:dyDescent="0.3">
      <c r="A3735" s="1">
        <f t="shared" si="6439"/>
        <v>85238</v>
      </c>
      <c r="B3735" s="12">
        <f t="shared" si="6504"/>
        <v>0</v>
      </c>
      <c r="C3735" s="13">
        <f t="shared" si="6505"/>
        <v>0</v>
      </c>
      <c r="D3735" s="10">
        <f t="shared" si="6506"/>
        <v>0</v>
      </c>
      <c r="J3735" s="24" t="str">
        <f t="shared" ref="J3735" si="6520">CONCATENATE(K3733,2)</f>
        <v>102</v>
      </c>
      <c r="K3735" s="6" t="e">
        <v>#VALUE!</v>
      </c>
      <c r="L3735" s="6" t="e">
        <v>#VALUE!</v>
      </c>
      <c r="M3735" s="6" t="e">
        <v>#VALUE!</v>
      </c>
      <c r="N3735" s="6" t="e">
        <v>#VALUE!</v>
      </c>
      <c r="O3735" s="6" t="e">
        <v>#VALUE!</v>
      </c>
      <c r="P3735" s="6" t="e">
        <v>#VALUE!</v>
      </c>
      <c r="Q3735" s="6" t="e">
        <v>#VALUE!</v>
      </c>
      <c r="R3735" s="6" t="e">
        <v>#VALUE!</v>
      </c>
      <c r="S3735" s="6" t="e">
        <v>#VALUE!</v>
      </c>
      <c r="T3735" s="9"/>
      <c r="U3735" s="1">
        <f t="shared" si="6412"/>
        <v>85</v>
      </c>
      <c r="V3735" s="1">
        <f t="shared" si="6413"/>
        <v>238</v>
      </c>
    </row>
    <row r="3736" spans="1:22" x14ac:dyDescent="0.3">
      <c r="A3736" s="1">
        <f t="shared" si="6439"/>
        <v>85239</v>
      </c>
      <c r="B3736" s="12">
        <f t="shared" si="6504"/>
        <v>0</v>
      </c>
      <c r="C3736" s="13">
        <f t="shared" si="6505"/>
        <v>0</v>
      </c>
      <c r="D3736" s="10">
        <f t="shared" si="6506"/>
        <v>0</v>
      </c>
      <c r="J3736" s="24" t="str">
        <f t="shared" ref="J3736" si="6521">CONCATENATE(K3733,3)</f>
        <v>103</v>
      </c>
      <c r="K3736" s="6" t="e">
        <v>#VALUE!</v>
      </c>
      <c r="L3736" s="6" t="e">
        <v>#VALUE!</v>
      </c>
      <c r="M3736" s="6" t="e">
        <v>#VALUE!</v>
      </c>
      <c r="N3736" s="6" t="e">
        <v>#VALUE!</v>
      </c>
      <c r="O3736" s="6" t="e">
        <v>#VALUE!</v>
      </c>
      <c r="P3736" s="6" t="e">
        <v>#VALUE!</v>
      </c>
      <c r="Q3736" s="6" t="e">
        <v>#VALUE!</v>
      </c>
      <c r="R3736" s="6" t="e">
        <v>#VALUE!</v>
      </c>
      <c r="S3736" s="6" t="e">
        <v>#VALUE!</v>
      </c>
      <c r="T3736" s="9"/>
      <c r="U3736" s="1">
        <f t="shared" si="6412"/>
        <v>85</v>
      </c>
      <c r="V3736" s="1">
        <f t="shared" si="6413"/>
        <v>239</v>
      </c>
    </row>
    <row r="3737" spans="1:22" x14ac:dyDescent="0.3">
      <c r="A3737" s="1">
        <f t="shared" si="6439"/>
        <v>85240</v>
      </c>
      <c r="B3737" s="12">
        <f t="shared" si="6504"/>
        <v>0</v>
      </c>
      <c r="C3737" s="13">
        <f t="shared" si="6505"/>
        <v>0</v>
      </c>
      <c r="D3737" s="10">
        <f t="shared" si="6506"/>
        <v>0</v>
      </c>
      <c r="J3737" s="9"/>
      <c r="K3737" s="9"/>
      <c r="L3737" s="9"/>
      <c r="M3737" s="9"/>
      <c r="N3737" s="9"/>
      <c r="O3737" s="9"/>
      <c r="P3737" s="9"/>
      <c r="Q3737" s="9"/>
      <c r="R3737" s="9"/>
      <c r="S3737" s="9"/>
      <c r="T3737" s="9"/>
      <c r="U3737" s="1">
        <f t="shared" si="6412"/>
        <v>85</v>
      </c>
      <c r="V3737" s="1">
        <f t="shared" si="6413"/>
        <v>240</v>
      </c>
    </row>
    <row r="3738" spans="1:22" x14ac:dyDescent="0.3">
      <c r="A3738" s="1">
        <f t="shared" si="6439"/>
        <v>85241</v>
      </c>
      <c r="B3738" s="12">
        <f t="shared" si="6504"/>
        <v>0</v>
      </c>
      <c r="C3738" s="13">
        <f t="shared" si="6505"/>
        <v>0</v>
      </c>
      <c r="D3738" s="10">
        <f t="shared" si="6506"/>
        <v>0</v>
      </c>
      <c r="J3738" s="9"/>
      <c r="K3738" s="9"/>
      <c r="L3738" s="9"/>
      <c r="M3738" s="9"/>
      <c r="N3738" s="9"/>
      <c r="O3738" s="9"/>
      <c r="P3738" s="9"/>
      <c r="Q3738" s="9"/>
      <c r="R3738" s="9"/>
      <c r="S3738" s="9"/>
      <c r="T3738" s="9"/>
      <c r="U3738" s="1">
        <f t="shared" si="6412"/>
        <v>85</v>
      </c>
      <c r="V3738" s="1">
        <f t="shared" si="6413"/>
        <v>241</v>
      </c>
    </row>
    <row r="3739" spans="1:22" x14ac:dyDescent="0.3">
      <c r="A3739" s="1">
        <f t="shared" si="6439"/>
        <v>85242</v>
      </c>
      <c r="B3739" s="12">
        <f t="shared" si="6504"/>
        <v>0</v>
      </c>
      <c r="C3739" s="13">
        <f t="shared" si="6505"/>
        <v>0</v>
      </c>
      <c r="D3739" s="10">
        <f t="shared" si="6506"/>
        <v>0</v>
      </c>
      <c r="J3739" s="9"/>
      <c r="K3739" s="9"/>
      <c r="L3739" s="9"/>
      <c r="M3739" s="9"/>
      <c r="N3739" s="9"/>
      <c r="O3739" s="9"/>
      <c r="P3739" s="9"/>
      <c r="Q3739" s="9"/>
      <c r="R3739" s="9"/>
      <c r="S3739" s="9"/>
      <c r="T3739" s="9"/>
      <c r="U3739" s="1">
        <f t="shared" ref="U3739:U3802" si="6522">U3738</f>
        <v>85</v>
      </c>
      <c r="V3739" s="1">
        <f t="shared" ref="V3739:V3802" si="6523">V3738+1</f>
        <v>242</v>
      </c>
    </row>
    <row r="3740" spans="1:22" x14ac:dyDescent="0.3">
      <c r="A3740" s="1">
        <f t="shared" si="6439"/>
        <v>85243</v>
      </c>
      <c r="J3740" s="9"/>
      <c r="K3740" s="9"/>
      <c r="L3740" s="9"/>
      <c r="M3740" s="9"/>
      <c r="N3740" s="9"/>
      <c r="O3740" s="9"/>
      <c r="P3740" s="9"/>
      <c r="Q3740" s="9"/>
      <c r="R3740" s="9"/>
      <c r="S3740" s="9"/>
      <c r="T3740" s="9"/>
      <c r="U3740" s="1">
        <f t="shared" si="6522"/>
        <v>85</v>
      </c>
      <c r="V3740" s="1">
        <f t="shared" si="6523"/>
        <v>243</v>
      </c>
    </row>
    <row r="3741" spans="1:22" s="5" customFormat="1" x14ac:dyDescent="0.3"/>
    <row r="3742" spans="1:22" x14ac:dyDescent="0.3">
      <c r="A3742" s="1">
        <f t="shared" ref="A3742:A3784" si="6524">ROUND(CONCATENATE(U3742,V3742),0)</f>
        <v>86201</v>
      </c>
      <c r="B3742" s="96" t="s">
        <v>0</v>
      </c>
      <c r="C3742" s="97"/>
      <c r="D3742" s="98"/>
      <c r="E3742" s="99"/>
      <c r="F3742" s="99"/>
      <c r="G3742" s="99"/>
      <c r="H3742" s="100"/>
      <c r="J3742" s="9"/>
      <c r="K3742" s="9"/>
      <c r="L3742" s="9"/>
      <c r="M3742" s="9"/>
      <c r="N3742" s="9"/>
      <c r="O3742" s="9"/>
      <c r="P3742" s="9"/>
      <c r="Q3742" s="9"/>
      <c r="R3742" s="9"/>
      <c r="S3742" s="9"/>
      <c r="T3742" s="9"/>
      <c r="U3742" s="1">
        <f t="shared" ref="U3742" si="6525">U3740+1</f>
        <v>86</v>
      </c>
      <c r="V3742" s="1">
        <v>201</v>
      </c>
    </row>
    <row r="3743" spans="1:22" x14ac:dyDescent="0.3">
      <c r="A3743" s="1">
        <f t="shared" si="6524"/>
        <v>86202</v>
      </c>
      <c r="B3743" s="96" t="s">
        <v>1</v>
      </c>
      <c r="C3743" s="97"/>
      <c r="D3743" s="15"/>
      <c r="E3743" s="16" t="s">
        <v>2</v>
      </c>
      <c r="F3743" s="107"/>
      <c r="G3743" s="108"/>
      <c r="H3743" s="109"/>
      <c r="J3743" s="9"/>
      <c r="K3743" s="9"/>
      <c r="L3743" s="9"/>
      <c r="M3743" s="9"/>
      <c r="N3743" s="9"/>
      <c r="O3743" s="9"/>
      <c r="P3743" s="9"/>
      <c r="Q3743" s="9"/>
      <c r="R3743" s="9"/>
      <c r="S3743" s="9"/>
      <c r="T3743" s="9"/>
      <c r="U3743" s="1">
        <f t="shared" ref="U3743" si="6526">U3742</f>
        <v>86</v>
      </c>
      <c r="V3743" s="1">
        <f t="shared" ref="V3743" si="6527">V3742+1</f>
        <v>202</v>
      </c>
    </row>
    <row r="3744" spans="1:22" x14ac:dyDescent="0.3">
      <c r="A3744" s="1">
        <f t="shared" si="6524"/>
        <v>86203</v>
      </c>
      <c r="B3744" s="96" t="s">
        <v>12</v>
      </c>
      <c r="C3744" s="97"/>
      <c r="D3744" s="98"/>
      <c r="E3744" s="99"/>
      <c r="F3744" s="99"/>
      <c r="G3744" s="99"/>
      <c r="H3744" s="100"/>
      <c r="K3744" s="1" t="s">
        <v>3</v>
      </c>
      <c r="L3744" s="1" t="s">
        <v>4</v>
      </c>
      <c r="M3744" s="1" t="s">
        <v>5</v>
      </c>
      <c r="N3744" s="1" t="s">
        <v>6</v>
      </c>
      <c r="O3744" s="1" t="s">
        <v>7</v>
      </c>
      <c r="P3744" s="1" t="s">
        <v>8</v>
      </c>
      <c r="Q3744" s="1" t="s">
        <v>9</v>
      </c>
      <c r="R3744" s="1" t="s">
        <v>10</v>
      </c>
      <c r="S3744" s="1" t="s">
        <v>11</v>
      </c>
      <c r="T3744" s="9"/>
      <c r="U3744" s="1">
        <f t="shared" si="6522"/>
        <v>86</v>
      </c>
      <c r="V3744" s="1">
        <f t="shared" si="6523"/>
        <v>203</v>
      </c>
    </row>
    <row r="3745" spans="1:22" x14ac:dyDescent="0.3">
      <c r="A3745" s="1">
        <f t="shared" si="6524"/>
        <v>86204</v>
      </c>
      <c r="B3745" s="96" t="s">
        <v>13</v>
      </c>
      <c r="C3745" s="97"/>
      <c r="D3745" s="98"/>
      <c r="E3745" s="99"/>
      <c r="F3745" s="99"/>
      <c r="G3745" s="99"/>
      <c r="H3745" s="100"/>
      <c r="J3745" s="1">
        <f t="shared" ref="J3745" si="6528">COUNTA(B3758:B3767)</f>
        <v>0</v>
      </c>
      <c r="K3745" s="1">
        <f t="shared" ref="K3745" si="6529">IF(L3745-1&lt;2,0,L3745-1)</f>
        <v>0</v>
      </c>
      <c r="L3745" s="1">
        <f t="shared" ref="L3745" si="6530">IF(M3745-1&lt;2,0,M3745-1)</f>
        <v>0</v>
      </c>
      <c r="M3745" s="1">
        <f t="shared" ref="M3745" si="6531">IF(N3745-1&lt;2,0,N3745-1)</f>
        <v>0</v>
      </c>
      <c r="N3745" s="1">
        <f t="shared" ref="N3745" si="6532">IF(O3745-1&lt;2,0,O3745-1)</f>
        <v>0</v>
      </c>
      <c r="O3745" s="1">
        <f t="shared" ref="O3745" si="6533">IF(P3745-1&lt;2,0,P3745-1)</f>
        <v>0</v>
      </c>
      <c r="P3745" s="1">
        <f t="shared" ref="P3745" si="6534">IF(Q3745-1&lt;2,0,Q3745-1)</f>
        <v>0</v>
      </c>
      <c r="Q3745" s="1">
        <f t="shared" ref="Q3745" si="6535">IF(R3745-1&lt;2,0,R3745-1)</f>
        <v>0</v>
      </c>
      <c r="R3745" s="1">
        <f t="shared" ref="R3745" si="6536">IF(S3745-1&lt;2,0,S3745-1)</f>
        <v>0</v>
      </c>
      <c r="S3745" s="1">
        <f t="shared" ref="S3745" si="6537">J3745</f>
        <v>0</v>
      </c>
      <c r="T3745" s="9"/>
      <c r="U3745" s="1">
        <f t="shared" si="6522"/>
        <v>86</v>
      </c>
      <c r="V3745" s="1">
        <f t="shared" si="6523"/>
        <v>204</v>
      </c>
    </row>
    <row r="3746" spans="1:22" x14ac:dyDescent="0.3">
      <c r="A3746" s="1">
        <f t="shared" si="6524"/>
        <v>86205</v>
      </c>
      <c r="B3746" s="96" t="s">
        <v>14</v>
      </c>
      <c r="C3746" s="97"/>
      <c r="D3746" s="98"/>
      <c r="E3746" s="99"/>
      <c r="F3746" s="99"/>
      <c r="G3746" s="99"/>
      <c r="H3746" s="100"/>
      <c r="J3746" s="24" t="str">
        <f t="shared" ref="J3746" si="6538">CONCATENATE(J3745,1)</f>
        <v>01</v>
      </c>
      <c r="K3746" s="25">
        <f t="shared" ref="K3746" si="6539">IF(K3745=0,0,VLOOKUP(J3746,J3750:S3780,K3745,FALSE))</f>
        <v>0</v>
      </c>
      <c r="L3746" s="25">
        <f t="shared" ref="L3746" si="6540">IF(L3745=0,0,VLOOKUP(J3746,J3750:S3780,L3745,FALSE))</f>
        <v>0</v>
      </c>
      <c r="M3746" s="25">
        <f t="shared" ref="M3746" si="6541">IF(M3745=0,0,VLOOKUP(J3746,J3750:S3780,M3745,FALSE))</f>
        <v>0</v>
      </c>
      <c r="N3746" s="25">
        <f t="shared" ref="N3746" si="6542">IF(N3745=0,0,VLOOKUP(J3746,J3750:S3780,N3745,FALSE))</f>
        <v>0</v>
      </c>
      <c r="O3746" s="25">
        <f t="shared" ref="O3746" si="6543">IF(O3745=0,0,VLOOKUP(J3746,J3750:S3780,O3745,FALSE))</f>
        <v>0</v>
      </c>
      <c r="P3746" s="25">
        <f t="shared" ref="P3746" si="6544">IF(P3745=0,0,VLOOKUP(J3746,J3750:S3780,P3745,FALSE))</f>
        <v>0</v>
      </c>
      <c r="Q3746" s="25">
        <f t="shared" ref="Q3746" si="6545">IF(Q3745=0,0,VLOOKUP(J3746,J3750:S3780,Q3745,FALSE))</f>
        <v>0</v>
      </c>
      <c r="R3746" s="25">
        <f t="shared" ref="R3746" si="6546">IF(R3745=0,0,VLOOKUP(J3746,J3750:S3780,R3745,FALSE))</f>
        <v>0</v>
      </c>
      <c r="S3746" s="25">
        <f t="shared" ref="S3746" si="6547">IF(S3745=0,0,VLOOKUP(J3746,J3750:S3780,S3745,FALSE))</f>
        <v>0</v>
      </c>
      <c r="T3746" s="9"/>
      <c r="U3746" s="1">
        <f t="shared" si="6522"/>
        <v>86</v>
      </c>
      <c r="V3746" s="1">
        <f t="shared" si="6523"/>
        <v>205</v>
      </c>
    </row>
    <row r="3747" spans="1:22" x14ac:dyDescent="0.3">
      <c r="A3747" s="1">
        <f t="shared" si="6524"/>
        <v>86206</v>
      </c>
      <c r="B3747" s="96" t="s">
        <v>15</v>
      </c>
      <c r="C3747" s="97"/>
      <c r="D3747" s="98"/>
      <c r="E3747" s="99"/>
      <c r="F3747" s="99"/>
      <c r="G3747" s="99"/>
      <c r="H3747" s="100"/>
      <c r="J3747" s="24" t="str">
        <f t="shared" ref="J3747" si="6548">CONCATENATE(J3745,2)</f>
        <v>02</v>
      </c>
      <c r="K3747" s="6">
        <f t="shared" ref="K3747" si="6549">IF(K3745=0,0,VLOOKUP(J3747,J3750:S3780,K3745,FALSE))</f>
        <v>0</v>
      </c>
      <c r="L3747" s="6">
        <f t="shared" ref="L3747" si="6550">IF(L3745=0,0,VLOOKUP(J3747,J3750:S3780,L3745,FALSE))</f>
        <v>0</v>
      </c>
      <c r="M3747" s="6">
        <f t="shared" ref="M3747" si="6551">IF(M3745=0,0,VLOOKUP(J3747,J3750:S3780,M3745,FALSE))</f>
        <v>0</v>
      </c>
      <c r="N3747" s="6">
        <f t="shared" ref="N3747" si="6552">IF(N3745=0,0,VLOOKUP(J3747,J3750:S3780,N3745,FALSE))</f>
        <v>0</v>
      </c>
      <c r="O3747" s="6">
        <f t="shared" ref="O3747" si="6553">IF(O3745=0,0,VLOOKUP(J3747,J3750:S3780,O3745,FALSE))</f>
        <v>0</v>
      </c>
      <c r="P3747" s="6">
        <f t="shared" ref="P3747" si="6554">IF(P3745=0,0,VLOOKUP(J3747,J3750:S3780,P3745,FALSE))</f>
        <v>0</v>
      </c>
      <c r="Q3747" s="6">
        <f t="shared" ref="Q3747" si="6555">IF(Q3745=0,0,VLOOKUP(J3747,J3750:S3780,Q3745,FALSE))</f>
        <v>0</v>
      </c>
      <c r="R3747" s="6">
        <f t="shared" ref="R3747" si="6556">IF(R3745=0,0,VLOOKUP(J3747,J3750:S3780,R3745,FALSE))</f>
        <v>0</v>
      </c>
      <c r="S3747" s="6">
        <f t="shared" ref="S3747" si="6557">IF(S3745=0,0,VLOOKUP(J3747,J3750:S3780,S3745,FALSE))</f>
        <v>0</v>
      </c>
      <c r="T3747" s="9"/>
      <c r="U3747" s="1">
        <f t="shared" si="6522"/>
        <v>86</v>
      </c>
      <c r="V3747" s="1">
        <f t="shared" si="6523"/>
        <v>206</v>
      </c>
    </row>
    <row r="3748" spans="1:22" x14ac:dyDescent="0.3">
      <c r="A3748" s="1">
        <f t="shared" si="6524"/>
        <v>86207</v>
      </c>
      <c r="B3748" s="96" t="s">
        <v>16</v>
      </c>
      <c r="C3748" s="97"/>
      <c r="D3748" s="101"/>
      <c r="E3748" s="102"/>
      <c r="F3748" s="102"/>
      <c r="G3748" s="102"/>
      <c r="H3748" s="103"/>
      <c r="J3748" s="24" t="str">
        <f t="shared" ref="J3748" si="6558">CONCATENATE(J3745,3)</f>
        <v>03</v>
      </c>
      <c r="K3748" s="6"/>
      <c r="L3748" s="6"/>
      <c r="M3748" s="6"/>
      <c r="N3748" s="6" t="s">
        <v>43</v>
      </c>
      <c r="O3748" s="25">
        <f t="shared" ref="O3748" si="6559">J3745-2</f>
        <v>-2</v>
      </c>
      <c r="P3748" s="6" t="s">
        <v>44</v>
      </c>
      <c r="Q3748" s="25" t="e">
        <f t="shared" ref="Q3748" si="6560">VLOOKUP(J3748,J3750:S3780,3,FALSE)</f>
        <v>#N/A</v>
      </c>
      <c r="R3748" s="6" t="s">
        <v>45</v>
      </c>
      <c r="S3748" s="6" t="e">
        <f t="shared" ref="S3748" si="6561">VLOOKUP(J3748,J3750:S3780,2,FALSE)</f>
        <v>#N/A</v>
      </c>
      <c r="T3748" s="9"/>
      <c r="U3748" s="1">
        <f t="shared" si="6522"/>
        <v>86</v>
      </c>
      <c r="V3748" s="1">
        <f t="shared" si="6523"/>
        <v>207</v>
      </c>
    </row>
    <row r="3749" spans="1:22" x14ac:dyDescent="0.3">
      <c r="A3749" s="1">
        <f t="shared" si="6524"/>
        <v>86208</v>
      </c>
      <c r="B3749" s="96" t="s">
        <v>17</v>
      </c>
      <c r="C3749" s="97"/>
      <c r="D3749" s="104"/>
      <c r="E3749" s="105"/>
      <c r="F3749" s="105"/>
      <c r="G3749" s="105"/>
      <c r="H3749" s="106"/>
      <c r="K3749" s="1">
        <v>3</v>
      </c>
      <c r="L3749" s="1">
        <v>3</v>
      </c>
      <c r="Q3749" s="26"/>
      <c r="R3749" s="26"/>
      <c r="S3749" s="26"/>
      <c r="T3749" s="9"/>
      <c r="U3749" s="1">
        <f t="shared" si="6522"/>
        <v>86</v>
      </c>
      <c r="V3749" s="1">
        <f t="shared" si="6523"/>
        <v>208</v>
      </c>
    </row>
    <row r="3750" spans="1:22" x14ac:dyDescent="0.3">
      <c r="A3750" s="1">
        <f t="shared" si="6524"/>
        <v>86209</v>
      </c>
      <c r="B3750" s="77" t="s">
        <v>19</v>
      </c>
      <c r="C3750" s="78"/>
      <c r="D3750" s="17"/>
      <c r="E3750" s="79" t="s">
        <v>40</v>
      </c>
      <c r="F3750" s="80"/>
      <c r="G3750" s="81"/>
      <c r="H3750" s="18" t="s">
        <v>72</v>
      </c>
      <c r="J3750" s="24" t="str">
        <f t="shared" ref="J3750" si="6562">CONCATENATE(K3749,1)</f>
        <v>31</v>
      </c>
      <c r="K3750" s="6" t="e">
        <f t="array" ref="K3750:L3752">LINEST(B3758:B3760,C3758:C3760^{1},TRUE,TRUE)</f>
        <v>#VALUE!</v>
      </c>
      <c r="L3750" s="6" t="e">
        <v>#VALUE!</v>
      </c>
      <c r="Q3750" s="9"/>
      <c r="R3750" s="9"/>
      <c r="S3750" s="9"/>
      <c r="T3750" s="9"/>
      <c r="U3750" s="1">
        <f t="shared" si="6522"/>
        <v>86</v>
      </c>
      <c r="V3750" s="1">
        <f t="shared" si="6523"/>
        <v>209</v>
      </c>
    </row>
    <row r="3751" spans="1:22" x14ac:dyDescent="0.3">
      <c r="A3751" s="1">
        <f t="shared" si="6524"/>
        <v>86210</v>
      </c>
      <c r="B3751" s="77" t="s">
        <v>41</v>
      </c>
      <c r="C3751" s="78"/>
      <c r="D3751" s="23">
        <f t="shared" ref="D3751" si="6563">MIN(B3758:B3767)</f>
        <v>0</v>
      </c>
      <c r="E3751" s="20" t="s">
        <v>18</v>
      </c>
      <c r="F3751" s="19">
        <f t="shared" ref="F3751" si="6564">MAX(B3758:B3767)</f>
        <v>0</v>
      </c>
      <c r="G3751" s="21" t="str">
        <f t="shared" ref="G3751" si="6565">IF(H3750="","",H3750)</f>
        <v>%ur</v>
      </c>
      <c r="H3751" s="22"/>
      <c r="J3751" s="24" t="str">
        <f t="shared" ref="J3751" si="6566">CONCATENATE(K3749,2)</f>
        <v>32</v>
      </c>
      <c r="K3751" s="6" t="e">
        <v>#VALUE!</v>
      </c>
      <c r="L3751" s="6" t="e">
        <v>#VALUE!</v>
      </c>
      <c r="Q3751" s="9"/>
      <c r="R3751" s="9"/>
      <c r="S3751" s="9"/>
      <c r="T3751" s="9"/>
      <c r="U3751" s="1">
        <f t="shared" si="6522"/>
        <v>86</v>
      </c>
      <c r="V3751" s="1">
        <f t="shared" si="6523"/>
        <v>210</v>
      </c>
    </row>
    <row r="3752" spans="1:22" x14ac:dyDescent="0.3">
      <c r="A3752" s="1">
        <f t="shared" si="6524"/>
        <v>86211</v>
      </c>
      <c r="J3752" s="24" t="str">
        <f t="shared" ref="J3752" si="6567">CONCATENATE(K3749,3)</f>
        <v>33</v>
      </c>
      <c r="K3752" s="6" t="e">
        <v>#VALUE!</v>
      </c>
      <c r="L3752" s="6" t="e">
        <v>#VALUE!</v>
      </c>
      <c r="Q3752" s="9"/>
      <c r="R3752" s="9"/>
      <c r="S3752" s="9"/>
      <c r="T3752" s="9"/>
      <c r="U3752" s="1">
        <f t="shared" si="6522"/>
        <v>86</v>
      </c>
      <c r="V3752" s="1">
        <f t="shared" si="6523"/>
        <v>211</v>
      </c>
    </row>
    <row r="3753" spans="1:22" x14ac:dyDescent="0.3">
      <c r="A3753" s="1">
        <f t="shared" si="6524"/>
        <v>86212</v>
      </c>
      <c r="B3753" s="82" t="s">
        <v>20</v>
      </c>
      <c r="C3753" s="83"/>
      <c r="D3753" s="83"/>
      <c r="E3753" s="83"/>
      <c r="F3753" s="84"/>
      <c r="G3753" s="85" t="s">
        <v>31</v>
      </c>
      <c r="H3753" s="86"/>
      <c r="K3753" s="1">
        <v>4</v>
      </c>
      <c r="L3753" s="1">
        <v>4</v>
      </c>
      <c r="M3753" s="1">
        <v>4</v>
      </c>
      <c r="Q3753" s="9"/>
      <c r="R3753" s="9"/>
      <c r="S3753" s="9"/>
      <c r="T3753" s="9"/>
      <c r="U3753" s="1">
        <f t="shared" si="6522"/>
        <v>86</v>
      </c>
      <c r="V3753" s="1">
        <f t="shared" si="6523"/>
        <v>212</v>
      </c>
    </row>
    <row r="3754" spans="1:22" x14ac:dyDescent="0.3">
      <c r="A3754" s="1">
        <f t="shared" si="6524"/>
        <v>86213</v>
      </c>
      <c r="B3754" s="82" t="s">
        <v>30</v>
      </c>
      <c r="C3754" s="83"/>
      <c r="D3754" s="84"/>
      <c r="E3754" s="82">
        <f t="shared" ref="E3754" si="6568">D3747</f>
        <v>0</v>
      </c>
      <c r="F3754" s="84"/>
      <c r="G3754" s="6" t="s">
        <v>32</v>
      </c>
      <c r="H3754" s="7"/>
      <c r="J3754" s="24" t="str">
        <f t="shared" ref="J3754" si="6569">CONCATENATE(K3753,1)</f>
        <v>41</v>
      </c>
      <c r="K3754" s="6" t="e">
        <f t="array" ref="K3754:M3756">LINEST(B3758:B3761,C3758:C3761^{1,2},TRUE,TRUE)</f>
        <v>#VALUE!</v>
      </c>
      <c r="L3754" s="6" t="e">
        <v>#VALUE!</v>
      </c>
      <c r="M3754" s="6" t="e">
        <v>#VALUE!</v>
      </c>
      <c r="Q3754" s="9"/>
      <c r="R3754" s="9"/>
      <c r="S3754" s="9"/>
      <c r="T3754" s="9"/>
      <c r="U3754" s="1">
        <f t="shared" si="6522"/>
        <v>86</v>
      </c>
      <c r="V3754" s="1">
        <f t="shared" si="6523"/>
        <v>213</v>
      </c>
    </row>
    <row r="3755" spans="1:22" x14ac:dyDescent="0.3">
      <c r="A3755" s="1">
        <f t="shared" si="6524"/>
        <v>86214</v>
      </c>
      <c r="B3755" s="2" t="s">
        <v>21</v>
      </c>
      <c r="C3755" s="2" t="s">
        <v>22</v>
      </c>
      <c r="D3755" s="2" t="s">
        <v>23</v>
      </c>
      <c r="E3755" s="2"/>
      <c r="F3755" s="2" t="s">
        <v>28</v>
      </c>
      <c r="G3755" s="2" t="s">
        <v>21</v>
      </c>
      <c r="H3755" s="2" t="s">
        <v>22</v>
      </c>
      <c r="J3755" s="24" t="str">
        <f t="shared" ref="J3755" si="6570">CONCATENATE(K3753,2)</f>
        <v>42</v>
      </c>
      <c r="K3755" s="6" t="e">
        <v>#VALUE!</v>
      </c>
      <c r="L3755" s="6" t="e">
        <v>#VALUE!</v>
      </c>
      <c r="M3755" s="6" t="e">
        <v>#VALUE!</v>
      </c>
      <c r="Q3755" s="9"/>
      <c r="R3755" s="9"/>
      <c r="S3755" s="9"/>
      <c r="T3755" s="9"/>
      <c r="U3755" s="1">
        <f t="shared" si="6522"/>
        <v>86</v>
      </c>
      <c r="V3755" s="1">
        <f t="shared" si="6523"/>
        <v>214</v>
      </c>
    </row>
    <row r="3756" spans="1:22" x14ac:dyDescent="0.3">
      <c r="A3756" s="1">
        <f t="shared" si="6524"/>
        <v>86215</v>
      </c>
      <c r="B3756" s="2" t="s">
        <v>24</v>
      </c>
      <c r="C3756" s="2" t="s">
        <v>25</v>
      </c>
      <c r="D3756" s="2" t="s">
        <v>26</v>
      </c>
      <c r="E3756" s="2" t="s">
        <v>27</v>
      </c>
      <c r="F3756" s="2" t="s">
        <v>29</v>
      </c>
      <c r="G3756" s="2" t="s">
        <v>24</v>
      </c>
      <c r="H3756" s="2" t="s">
        <v>25</v>
      </c>
      <c r="J3756" s="24" t="str">
        <f t="shared" ref="J3756" si="6571">CONCATENATE(K3753,3)</f>
        <v>43</v>
      </c>
      <c r="K3756" s="6" t="e">
        <v>#VALUE!</v>
      </c>
      <c r="L3756" s="6" t="e">
        <v>#VALUE!</v>
      </c>
      <c r="M3756" s="6" t="e">
        <v>#VALUE!</v>
      </c>
      <c r="Q3756" s="9"/>
      <c r="R3756" s="9"/>
      <c r="S3756" s="9"/>
      <c r="T3756" s="9"/>
      <c r="U3756" s="1">
        <f t="shared" si="6522"/>
        <v>86</v>
      </c>
      <c r="V3756" s="1">
        <f t="shared" si="6523"/>
        <v>215</v>
      </c>
    </row>
    <row r="3757" spans="1:22" x14ac:dyDescent="0.3">
      <c r="A3757" s="1">
        <f t="shared" si="6524"/>
        <v>86216</v>
      </c>
      <c r="B3757" s="3" t="str">
        <f t="shared" ref="B3757" si="6572">H3750</f>
        <v>%ur</v>
      </c>
      <c r="C3757" s="3" t="str">
        <f t="shared" ref="C3757" si="6573">B3757</f>
        <v>%ur</v>
      </c>
      <c r="D3757" s="3" t="str">
        <f t="shared" ref="D3757" si="6574">C3757</f>
        <v>%ur</v>
      </c>
      <c r="E3757" s="3"/>
      <c r="F3757" s="3"/>
      <c r="G3757" s="3" t="str">
        <f t="shared" ref="G3757" si="6575">D3757</f>
        <v>%ur</v>
      </c>
      <c r="H3757" s="3" t="str">
        <f t="shared" ref="H3757" si="6576">G3757</f>
        <v>%ur</v>
      </c>
      <c r="K3757" s="1">
        <v>5</v>
      </c>
      <c r="L3757" s="1">
        <v>5</v>
      </c>
      <c r="M3757" s="1">
        <v>5</v>
      </c>
      <c r="N3757" s="1">
        <v>5</v>
      </c>
      <c r="Q3757" s="9"/>
      <c r="R3757" s="9"/>
      <c r="S3757" s="9"/>
      <c r="T3757" s="9"/>
      <c r="U3757" s="1">
        <f t="shared" si="6522"/>
        <v>86</v>
      </c>
      <c r="V3757" s="1">
        <f t="shared" si="6523"/>
        <v>216</v>
      </c>
    </row>
    <row r="3758" spans="1:22" x14ac:dyDescent="0.3">
      <c r="A3758" s="1">
        <f t="shared" si="6524"/>
        <v>86217</v>
      </c>
      <c r="B3758" s="4"/>
      <c r="C3758" s="4"/>
      <c r="D3758" s="4"/>
      <c r="E3758" s="4"/>
      <c r="F3758" s="14"/>
      <c r="G3758" s="8"/>
      <c r="H3758" s="7"/>
      <c r="J3758" s="24" t="str">
        <f t="shared" ref="J3758" si="6577">CONCATENATE(K3757,1)</f>
        <v>51</v>
      </c>
      <c r="K3758" s="6" t="e">
        <f t="array" ref="K3758:N3760">LINEST(B3758:B3762,C3758:C3762^{1,2,3},TRUE,TRUE)</f>
        <v>#VALUE!</v>
      </c>
      <c r="L3758" s="6" t="e">
        <v>#VALUE!</v>
      </c>
      <c r="M3758" s="6" t="e">
        <v>#VALUE!</v>
      </c>
      <c r="N3758" s="6" t="e">
        <v>#VALUE!</v>
      </c>
      <c r="Q3758" s="9"/>
      <c r="R3758" s="9"/>
      <c r="S3758" s="9"/>
      <c r="T3758" s="9"/>
      <c r="U3758" s="1">
        <f t="shared" si="6522"/>
        <v>86</v>
      </c>
      <c r="V3758" s="1">
        <f t="shared" si="6523"/>
        <v>217</v>
      </c>
    </row>
    <row r="3759" spans="1:22" x14ac:dyDescent="0.3">
      <c r="A3759" s="1">
        <f t="shared" si="6524"/>
        <v>86218</v>
      </c>
      <c r="B3759" s="4"/>
      <c r="C3759" s="4"/>
      <c r="D3759" s="4"/>
      <c r="E3759" s="4"/>
      <c r="F3759" s="14"/>
      <c r="G3759" s="8"/>
      <c r="H3759" s="7"/>
      <c r="J3759" s="24" t="str">
        <f t="shared" ref="J3759" si="6578">CONCATENATE(K3757,2)</f>
        <v>52</v>
      </c>
      <c r="K3759" s="6" t="e">
        <v>#VALUE!</v>
      </c>
      <c r="L3759" s="6" t="e">
        <v>#VALUE!</v>
      </c>
      <c r="M3759" s="6" t="e">
        <v>#VALUE!</v>
      </c>
      <c r="N3759" s="6" t="e">
        <v>#VALUE!</v>
      </c>
      <c r="T3759" s="9"/>
      <c r="U3759" s="1">
        <f t="shared" si="6522"/>
        <v>86</v>
      </c>
      <c r="V3759" s="1">
        <f t="shared" si="6523"/>
        <v>218</v>
      </c>
    </row>
    <row r="3760" spans="1:22" x14ac:dyDescent="0.3">
      <c r="A3760" s="1">
        <f t="shared" si="6524"/>
        <v>86219</v>
      </c>
      <c r="B3760" s="4"/>
      <c r="C3760" s="4"/>
      <c r="D3760" s="4"/>
      <c r="E3760" s="4"/>
      <c r="F3760" s="14"/>
      <c r="G3760" s="8"/>
      <c r="H3760" s="7"/>
      <c r="J3760" s="24" t="str">
        <f t="shared" ref="J3760" si="6579">CONCATENATE(K3757,3)</f>
        <v>53</v>
      </c>
      <c r="K3760" s="6" t="e">
        <v>#VALUE!</v>
      </c>
      <c r="L3760" s="6" t="e">
        <v>#VALUE!</v>
      </c>
      <c r="M3760" s="6" t="e">
        <v>#VALUE!</v>
      </c>
      <c r="N3760" s="6" t="e">
        <v>#VALUE!</v>
      </c>
      <c r="T3760" s="9"/>
      <c r="U3760" s="1">
        <f t="shared" si="6522"/>
        <v>86</v>
      </c>
      <c r="V3760" s="1">
        <f t="shared" si="6523"/>
        <v>219</v>
      </c>
    </row>
    <row r="3761" spans="1:22" x14ac:dyDescent="0.3">
      <c r="A3761" s="1">
        <f t="shared" si="6524"/>
        <v>86220</v>
      </c>
      <c r="B3761" s="4"/>
      <c r="C3761" s="4"/>
      <c r="D3761" s="4"/>
      <c r="E3761" s="4"/>
      <c r="F3761" s="14"/>
      <c r="G3761" s="8"/>
      <c r="H3761" s="7"/>
      <c r="K3761" s="1">
        <v>6</v>
      </c>
      <c r="L3761" s="1">
        <v>6</v>
      </c>
      <c r="M3761" s="1">
        <v>6</v>
      </c>
      <c r="N3761" s="1">
        <v>6</v>
      </c>
      <c r="O3761" s="1">
        <v>6</v>
      </c>
      <c r="T3761" s="9"/>
      <c r="U3761" s="1">
        <f t="shared" si="6522"/>
        <v>86</v>
      </c>
      <c r="V3761" s="1">
        <f t="shared" si="6523"/>
        <v>220</v>
      </c>
    </row>
    <row r="3762" spans="1:22" x14ac:dyDescent="0.3">
      <c r="A3762" s="1">
        <f t="shared" si="6524"/>
        <v>86221</v>
      </c>
      <c r="B3762" s="4"/>
      <c r="C3762" s="4"/>
      <c r="D3762" s="4"/>
      <c r="E3762" s="4"/>
      <c r="F3762" s="14"/>
      <c r="G3762" s="8"/>
      <c r="H3762" s="7"/>
      <c r="J3762" s="24" t="str">
        <f t="shared" ref="J3762" si="6580">CONCATENATE(K3761,1)</f>
        <v>61</v>
      </c>
      <c r="K3762" s="6" t="e">
        <f t="array" ref="K3762:O3764">LINEST(B3758:B3763,C3758:C3763^{1,2,3,4},TRUE,TRUE)</f>
        <v>#VALUE!</v>
      </c>
      <c r="L3762" s="6" t="e">
        <v>#VALUE!</v>
      </c>
      <c r="M3762" s="6" t="e">
        <v>#VALUE!</v>
      </c>
      <c r="N3762" s="6" t="e">
        <v>#VALUE!</v>
      </c>
      <c r="O3762" s="6" t="e">
        <v>#VALUE!</v>
      </c>
      <c r="T3762" s="9"/>
      <c r="U3762" s="1">
        <f t="shared" si="6522"/>
        <v>86</v>
      </c>
      <c r="V3762" s="1">
        <f t="shared" si="6523"/>
        <v>221</v>
      </c>
    </row>
    <row r="3763" spans="1:22" x14ac:dyDescent="0.3">
      <c r="A3763" s="1">
        <f t="shared" si="6524"/>
        <v>86222</v>
      </c>
      <c r="B3763" s="4"/>
      <c r="C3763" s="4"/>
      <c r="D3763" s="4"/>
      <c r="E3763" s="4"/>
      <c r="F3763" s="14"/>
      <c r="G3763" s="8"/>
      <c r="H3763" s="7"/>
      <c r="J3763" s="24" t="str">
        <f t="shared" ref="J3763" si="6581">CONCATENATE(K3761,2)</f>
        <v>62</v>
      </c>
      <c r="K3763" s="6" t="e">
        <v>#VALUE!</v>
      </c>
      <c r="L3763" s="6" t="e">
        <v>#VALUE!</v>
      </c>
      <c r="M3763" s="6" t="e">
        <v>#VALUE!</v>
      </c>
      <c r="N3763" s="6" t="e">
        <v>#VALUE!</v>
      </c>
      <c r="O3763" s="6" t="e">
        <v>#VALUE!</v>
      </c>
      <c r="T3763" s="9"/>
      <c r="U3763" s="1">
        <f t="shared" si="6522"/>
        <v>86</v>
      </c>
      <c r="V3763" s="1">
        <f t="shared" si="6523"/>
        <v>222</v>
      </c>
    </row>
    <row r="3764" spans="1:22" x14ac:dyDescent="0.3">
      <c r="A3764" s="1">
        <f t="shared" si="6524"/>
        <v>86223</v>
      </c>
      <c r="B3764" s="4"/>
      <c r="C3764" s="4"/>
      <c r="D3764" s="4"/>
      <c r="E3764" s="4"/>
      <c r="F3764" s="14"/>
      <c r="G3764" s="8"/>
      <c r="H3764" s="7"/>
      <c r="J3764" s="24" t="str">
        <f t="shared" ref="J3764" si="6582">CONCATENATE(K3761,3)</f>
        <v>63</v>
      </c>
      <c r="K3764" s="6" t="e">
        <v>#VALUE!</v>
      </c>
      <c r="L3764" s="6" t="e">
        <v>#VALUE!</v>
      </c>
      <c r="M3764" s="6" t="e">
        <v>#VALUE!</v>
      </c>
      <c r="N3764" s="6" t="e">
        <v>#VALUE!</v>
      </c>
      <c r="O3764" s="6" t="e">
        <v>#VALUE!</v>
      </c>
      <c r="T3764" s="9"/>
      <c r="U3764" s="1">
        <f t="shared" si="6522"/>
        <v>86</v>
      </c>
      <c r="V3764" s="1">
        <f t="shared" si="6523"/>
        <v>223</v>
      </c>
    </row>
    <row r="3765" spans="1:22" x14ac:dyDescent="0.3">
      <c r="A3765" s="1">
        <f t="shared" si="6524"/>
        <v>86224</v>
      </c>
      <c r="B3765" s="4"/>
      <c r="C3765" s="4"/>
      <c r="D3765" s="4"/>
      <c r="E3765" s="4"/>
      <c r="F3765" s="14"/>
      <c r="G3765" s="8"/>
      <c r="H3765" s="7"/>
      <c r="K3765" s="1">
        <v>7</v>
      </c>
      <c r="L3765" s="1">
        <v>7</v>
      </c>
      <c r="M3765" s="1">
        <v>7</v>
      </c>
      <c r="N3765" s="1">
        <v>7</v>
      </c>
      <c r="O3765" s="1">
        <v>7</v>
      </c>
      <c r="P3765" s="1">
        <v>7</v>
      </c>
      <c r="T3765" s="9"/>
      <c r="U3765" s="1">
        <f t="shared" si="6522"/>
        <v>86</v>
      </c>
      <c r="V3765" s="1">
        <f t="shared" si="6523"/>
        <v>224</v>
      </c>
    </row>
    <row r="3766" spans="1:22" x14ac:dyDescent="0.3">
      <c r="A3766" s="1">
        <f t="shared" si="6524"/>
        <v>86225</v>
      </c>
      <c r="B3766" s="4"/>
      <c r="C3766" s="4"/>
      <c r="D3766" s="4"/>
      <c r="E3766" s="4"/>
      <c r="F3766" s="14"/>
      <c r="G3766" s="8"/>
      <c r="H3766" s="7"/>
      <c r="J3766" s="24" t="str">
        <f t="shared" ref="J3766" si="6583">CONCATENATE(K3765,1)</f>
        <v>71</v>
      </c>
      <c r="K3766" s="6" t="e">
        <f t="array" ref="K3766:P3768">LINEST(B3758:B3764,C3758:C3764^{1,2,3,4,5},TRUE,TRUE)</f>
        <v>#VALUE!</v>
      </c>
      <c r="L3766" s="6" t="e">
        <v>#VALUE!</v>
      </c>
      <c r="M3766" s="6" t="e">
        <v>#VALUE!</v>
      </c>
      <c r="N3766" s="6" t="e">
        <v>#VALUE!</v>
      </c>
      <c r="O3766" s="6" t="e">
        <v>#VALUE!</v>
      </c>
      <c r="P3766" s="6" t="e">
        <v>#VALUE!</v>
      </c>
      <c r="T3766" s="9"/>
      <c r="U3766" s="1">
        <f t="shared" si="6522"/>
        <v>86</v>
      </c>
      <c r="V3766" s="1">
        <f t="shared" si="6523"/>
        <v>225</v>
      </c>
    </row>
    <row r="3767" spans="1:22" x14ac:dyDescent="0.3">
      <c r="A3767" s="1">
        <f t="shared" si="6524"/>
        <v>86226</v>
      </c>
      <c r="B3767" s="4"/>
      <c r="C3767" s="4"/>
      <c r="D3767" s="4"/>
      <c r="E3767" s="4"/>
      <c r="F3767" s="14"/>
      <c r="G3767" s="8"/>
      <c r="H3767" s="7"/>
      <c r="J3767" s="24" t="str">
        <f t="shared" ref="J3767" si="6584">CONCATENATE(K3765,2)</f>
        <v>72</v>
      </c>
      <c r="K3767" s="6" t="e">
        <v>#VALUE!</v>
      </c>
      <c r="L3767" s="6" t="e">
        <v>#VALUE!</v>
      </c>
      <c r="M3767" s="6" t="e">
        <v>#VALUE!</v>
      </c>
      <c r="N3767" s="6" t="e">
        <v>#VALUE!</v>
      </c>
      <c r="O3767" s="6" t="e">
        <v>#VALUE!</v>
      </c>
      <c r="P3767" s="6" t="e">
        <v>#VALUE!</v>
      </c>
      <c r="T3767" s="9"/>
      <c r="U3767" s="1">
        <f t="shared" si="6522"/>
        <v>86</v>
      </c>
      <c r="V3767" s="1">
        <f t="shared" si="6523"/>
        <v>226</v>
      </c>
    </row>
    <row r="3768" spans="1:22" x14ac:dyDescent="0.3">
      <c r="A3768" s="1">
        <f t="shared" si="6524"/>
        <v>86227</v>
      </c>
      <c r="B3768" s="9"/>
      <c r="C3768" s="9"/>
      <c r="D3768" s="9"/>
      <c r="E3768" s="9"/>
      <c r="F3768" s="9"/>
      <c r="G3768" s="9"/>
      <c r="H3768" s="9"/>
      <c r="J3768" s="24" t="str">
        <f t="shared" ref="J3768" si="6585">CONCATENATE(K3765,3)</f>
        <v>73</v>
      </c>
      <c r="K3768" s="6" t="e">
        <v>#VALUE!</v>
      </c>
      <c r="L3768" s="6" t="e">
        <v>#VALUE!</v>
      </c>
      <c r="M3768" s="6" t="e">
        <v>#VALUE!</v>
      </c>
      <c r="N3768" s="6" t="e">
        <v>#VALUE!</v>
      </c>
      <c r="O3768" s="6" t="e">
        <v>#VALUE!</v>
      </c>
      <c r="P3768" s="6" t="e">
        <v>#VALUE!</v>
      </c>
      <c r="T3768" s="9"/>
      <c r="U3768" s="1">
        <f t="shared" si="6522"/>
        <v>86</v>
      </c>
      <c r="V3768" s="1">
        <f t="shared" si="6523"/>
        <v>227</v>
      </c>
    </row>
    <row r="3769" spans="1:22" x14ac:dyDescent="0.3">
      <c r="A3769" s="1">
        <f t="shared" si="6524"/>
        <v>86228</v>
      </c>
      <c r="B3769" s="87" t="s">
        <v>33</v>
      </c>
      <c r="C3769" s="88"/>
      <c r="D3769" s="88"/>
      <c r="E3769" s="88"/>
      <c r="F3769" s="88"/>
      <c r="G3769" s="88"/>
      <c r="H3769" s="89"/>
      <c r="K3769" s="1">
        <v>8</v>
      </c>
      <c r="L3769" s="1">
        <v>8</v>
      </c>
      <c r="M3769" s="1">
        <v>8</v>
      </c>
      <c r="N3769" s="1">
        <v>8</v>
      </c>
      <c r="O3769" s="1">
        <v>8</v>
      </c>
      <c r="P3769" s="1">
        <v>8</v>
      </c>
      <c r="Q3769" s="1">
        <v>8</v>
      </c>
      <c r="T3769" s="9"/>
      <c r="U3769" s="1">
        <f t="shared" si="6522"/>
        <v>86</v>
      </c>
      <c r="V3769" s="1">
        <f t="shared" si="6523"/>
        <v>228</v>
      </c>
    </row>
    <row r="3770" spans="1:22" x14ac:dyDescent="0.3">
      <c r="A3770" s="1">
        <f t="shared" si="6524"/>
        <v>86229</v>
      </c>
      <c r="B3770" s="90"/>
      <c r="C3770" s="91"/>
      <c r="D3770" s="91"/>
      <c r="E3770" s="91"/>
      <c r="F3770" s="91"/>
      <c r="G3770" s="91"/>
      <c r="H3770" s="92"/>
      <c r="J3770" s="24" t="str">
        <f t="shared" ref="J3770" si="6586">CONCATENATE(K3769,1)</f>
        <v>81</v>
      </c>
      <c r="K3770" s="6" t="e">
        <f t="array" ref="K3770:Q3772">LINEST(B3758:B3765,C3758:C3765^{1,2,3,4,5,6},TRUE,TRUE)</f>
        <v>#VALUE!</v>
      </c>
      <c r="L3770" s="6" t="e">
        <v>#VALUE!</v>
      </c>
      <c r="M3770" s="6" t="e">
        <v>#VALUE!</v>
      </c>
      <c r="N3770" s="6" t="e">
        <v>#VALUE!</v>
      </c>
      <c r="O3770" s="6" t="e">
        <v>#VALUE!</v>
      </c>
      <c r="P3770" s="6" t="e">
        <v>#VALUE!</v>
      </c>
      <c r="Q3770" s="6" t="e">
        <v>#VALUE!</v>
      </c>
      <c r="T3770" s="9"/>
      <c r="U3770" s="1">
        <f t="shared" si="6522"/>
        <v>86</v>
      </c>
      <c r="V3770" s="1">
        <f t="shared" si="6523"/>
        <v>229</v>
      </c>
    </row>
    <row r="3771" spans="1:22" x14ac:dyDescent="0.3">
      <c r="A3771" s="1">
        <f t="shared" si="6524"/>
        <v>86230</v>
      </c>
      <c r="B3771" s="93"/>
      <c r="C3771" s="94"/>
      <c r="D3771" s="94"/>
      <c r="E3771" s="94"/>
      <c r="F3771" s="94"/>
      <c r="G3771" s="94"/>
      <c r="H3771" s="95"/>
      <c r="J3771" s="24" t="str">
        <f t="shared" ref="J3771" si="6587">CONCATENATE(K3769,2)</f>
        <v>82</v>
      </c>
      <c r="K3771" s="6" t="e">
        <v>#VALUE!</v>
      </c>
      <c r="L3771" s="6" t="e">
        <v>#VALUE!</v>
      </c>
      <c r="M3771" s="6" t="e">
        <v>#VALUE!</v>
      </c>
      <c r="N3771" s="6" t="e">
        <v>#VALUE!</v>
      </c>
      <c r="O3771" s="6" t="e">
        <v>#VALUE!</v>
      </c>
      <c r="P3771" s="6" t="e">
        <v>#VALUE!</v>
      </c>
      <c r="Q3771" s="6" t="e">
        <v>#VALUE!</v>
      </c>
      <c r="T3771" s="9"/>
      <c r="U3771" s="1">
        <f t="shared" si="6522"/>
        <v>86</v>
      </c>
      <c r="V3771" s="1">
        <f t="shared" si="6523"/>
        <v>230</v>
      </c>
    </row>
    <row r="3772" spans="1:22" x14ac:dyDescent="0.3">
      <c r="A3772" s="1">
        <f t="shared" si="6524"/>
        <v>86231</v>
      </c>
      <c r="J3772" s="24" t="str">
        <f t="shared" ref="J3772" si="6588">CONCATENATE(K3769,3)</f>
        <v>83</v>
      </c>
      <c r="K3772" s="6" t="e">
        <v>#VALUE!</v>
      </c>
      <c r="L3772" s="6" t="e">
        <v>#VALUE!</v>
      </c>
      <c r="M3772" s="6" t="e">
        <v>#VALUE!</v>
      </c>
      <c r="N3772" s="6" t="e">
        <v>#VALUE!</v>
      </c>
      <c r="O3772" s="6" t="e">
        <v>#VALUE!</v>
      </c>
      <c r="P3772" s="6" t="e">
        <v>#VALUE!</v>
      </c>
      <c r="Q3772" s="6" t="e">
        <v>#VALUE!</v>
      </c>
      <c r="T3772" s="9"/>
      <c r="U3772" s="1">
        <f t="shared" si="6522"/>
        <v>86</v>
      </c>
      <c r="V3772" s="1">
        <f t="shared" si="6523"/>
        <v>231</v>
      </c>
    </row>
    <row r="3773" spans="1:22" ht="15" customHeight="1" x14ac:dyDescent="0.3">
      <c r="A3773" s="1">
        <f t="shared" si="6524"/>
        <v>86232</v>
      </c>
      <c r="B3773" s="10" t="s">
        <v>34</v>
      </c>
      <c r="C3773" s="10" t="s">
        <v>35</v>
      </c>
      <c r="D3773" s="10" t="s">
        <v>36</v>
      </c>
      <c r="E3773" s="74" t="s">
        <v>37</v>
      </c>
      <c r="F3773" s="75"/>
      <c r="G3773" s="76"/>
      <c r="K3773" s="1">
        <v>9</v>
      </c>
      <c r="L3773" s="1">
        <v>9</v>
      </c>
      <c r="M3773" s="1">
        <v>9</v>
      </c>
      <c r="N3773" s="1">
        <v>9</v>
      </c>
      <c r="O3773" s="1">
        <v>9</v>
      </c>
      <c r="P3773" s="1">
        <v>9</v>
      </c>
      <c r="Q3773" s="1">
        <v>9</v>
      </c>
      <c r="R3773" s="1">
        <v>9</v>
      </c>
      <c r="T3773" s="9"/>
      <c r="U3773" s="1">
        <f t="shared" si="6522"/>
        <v>86</v>
      </c>
      <c r="V3773" s="1">
        <f t="shared" si="6523"/>
        <v>232</v>
      </c>
    </row>
    <row r="3774" spans="1:22" x14ac:dyDescent="0.3">
      <c r="A3774" s="1">
        <f t="shared" si="6524"/>
        <v>86233</v>
      </c>
      <c r="B3774" s="12">
        <f t="shared" ref="B3774:B3783" si="6589">C3758-B3758</f>
        <v>0</v>
      </c>
      <c r="C3774" s="13">
        <f t="shared" ref="C3774:C3783" si="6590">H3758-G3758</f>
        <v>0</v>
      </c>
      <c r="D3774" s="10">
        <f t="shared" ref="D3774:D3783" si="6591">C3774-B3774</f>
        <v>0</v>
      </c>
      <c r="E3774" s="11" t="str">
        <f t="shared" ref="E3774" si="6592">IF(D3749="","",MAX(F3774,G3774))</f>
        <v/>
      </c>
      <c r="F3774" s="10">
        <f t="shared" ref="F3774" si="6593">ABS(MIN(D3774:D3783))</f>
        <v>0</v>
      </c>
      <c r="G3774" s="10">
        <f t="shared" ref="G3774" si="6594">ABS(MAX(D3774:D3783))</f>
        <v>0</v>
      </c>
      <c r="J3774" s="24" t="str">
        <f t="shared" ref="J3774" si="6595">CONCATENATE(K3773,1)</f>
        <v>91</v>
      </c>
      <c r="K3774" s="6" t="e">
        <f t="array" ref="K3774:R3776">LINEST(B3758:B3766,C3758:C3766^{1,2,3,4,5,6,7},TRUE,TRUE)</f>
        <v>#VALUE!</v>
      </c>
      <c r="L3774" s="6" t="e">
        <v>#VALUE!</v>
      </c>
      <c r="M3774" s="6" t="e">
        <v>#VALUE!</v>
      </c>
      <c r="N3774" s="6" t="e">
        <v>#VALUE!</v>
      </c>
      <c r="O3774" s="6" t="e">
        <v>#VALUE!</v>
      </c>
      <c r="P3774" s="6" t="e">
        <v>#VALUE!</v>
      </c>
      <c r="Q3774" s="6" t="e">
        <v>#VALUE!</v>
      </c>
      <c r="R3774" s="6" t="e">
        <v>#VALUE!</v>
      </c>
      <c r="T3774" s="9"/>
      <c r="U3774" s="1">
        <f t="shared" si="6522"/>
        <v>86</v>
      </c>
      <c r="V3774" s="1">
        <f t="shared" si="6523"/>
        <v>233</v>
      </c>
    </row>
    <row r="3775" spans="1:22" x14ac:dyDescent="0.3">
      <c r="A3775" s="1">
        <f t="shared" si="6524"/>
        <v>86234</v>
      </c>
      <c r="B3775" s="12">
        <f t="shared" si="6589"/>
        <v>0</v>
      </c>
      <c r="C3775" s="13">
        <f t="shared" si="6590"/>
        <v>0</v>
      </c>
      <c r="D3775" s="10">
        <f t="shared" si="6591"/>
        <v>0</v>
      </c>
      <c r="E3775" s="74" t="s">
        <v>38</v>
      </c>
      <c r="F3775" s="75"/>
      <c r="G3775" s="76"/>
      <c r="J3775" s="24" t="str">
        <f t="shared" ref="J3775" si="6596">CONCATENATE(K3773,2)</f>
        <v>92</v>
      </c>
      <c r="K3775" s="6" t="e">
        <v>#VALUE!</v>
      </c>
      <c r="L3775" s="6" t="e">
        <v>#VALUE!</v>
      </c>
      <c r="M3775" s="6" t="e">
        <v>#VALUE!</v>
      </c>
      <c r="N3775" s="6" t="e">
        <v>#VALUE!</v>
      </c>
      <c r="O3775" s="6" t="e">
        <v>#VALUE!</v>
      </c>
      <c r="P3775" s="6" t="e">
        <v>#VALUE!</v>
      </c>
      <c r="Q3775" s="6" t="e">
        <v>#VALUE!</v>
      </c>
      <c r="R3775" s="6" t="e">
        <v>#VALUE!</v>
      </c>
      <c r="T3775" s="9"/>
      <c r="U3775" s="1">
        <f t="shared" si="6522"/>
        <v>86</v>
      </c>
      <c r="V3775" s="1">
        <f t="shared" si="6523"/>
        <v>234</v>
      </c>
    </row>
    <row r="3776" spans="1:22" x14ac:dyDescent="0.3">
      <c r="A3776" s="1">
        <f t="shared" si="6524"/>
        <v>86235</v>
      </c>
      <c r="B3776" s="12">
        <f t="shared" si="6589"/>
        <v>0</v>
      </c>
      <c r="C3776" s="13">
        <f t="shared" si="6590"/>
        <v>0</v>
      </c>
      <c r="D3776" s="10">
        <f t="shared" si="6591"/>
        <v>0</v>
      </c>
      <c r="E3776" s="11" t="str">
        <f t="shared" ref="E3776" si="6597">IF(D3749="","",MAX(F3776,G3776))</f>
        <v/>
      </c>
      <c r="F3776" s="10">
        <f t="shared" ref="F3776" si="6598">ABS(MIN(B3774:B3783))</f>
        <v>0</v>
      </c>
      <c r="G3776" s="10">
        <f t="shared" ref="G3776" si="6599">ABS(MAX(B3774:B3783))</f>
        <v>0</v>
      </c>
      <c r="J3776" s="24" t="str">
        <f t="shared" ref="J3776" si="6600">CONCATENATE(K3773,3)</f>
        <v>93</v>
      </c>
      <c r="K3776" s="6" t="e">
        <v>#VALUE!</v>
      </c>
      <c r="L3776" s="6" t="e">
        <v>#VALUE!</v>
      </c>
      <c r="M3776" s="6" t="e">
        <v>#VALUE!</v>
      </c>
      <c r="N3776" s="6" t="e">
        <v>#VALUE!</v>
      </c>
      <c r="O3776" s="6" t="e">
        <v>#VALUE!</v>
      </c>
      <c r="P3776" s="6" t="e">
        <v>#VALUE!</v>
      </c>
      <c r="Q3776" s="6" t="e">
        <v>#VALUE!</v>
      </c>
      <c r="R3776" s="6" t="e">
        <v>#VALUE!</v>
      </c>
      <c r="T3776" s="9"/>
      <c r="U3776" s="1">
        <f t="shared" si="6522"/>
        <v>86</v>
      </c>
      <c r="V3776" s="1">
        <f t="shared" si="6523"/>
        <v>235</v>
      </c>
    </row>
    <row r="3777" spans="1:22" x14ac:dyDescent="0.3">
      <c r="A3777" s="1">
        <f t="shared" si="6524"/>
        <v>86236</v>
      </c>
      <c r="B3777" s="12">
        <f t="shared" si="6589"/>
        <v>0</v>
      </c>
      <c r="C3777" s="13">
        <f t="shared" si="6590"/>
        <v>0</v>
      </c>
      <c r="D3777" s="10">
        <f t="shared" si="6591"/>
        <v>0</v>
      </c>
      <c r="E3777" s="74" t="s">
        <v>39</v>
      </c>
      <c r="F3777" s="75"/>
      <c r="G3777" s="76"/>
      <c r="K3777" s="1">
        <v>10</v>
      </c>
      <c r="L3777" s="1">
        <v>10</v>
      </c>
      <c r="M3777" s="1">
        <v>10</v>
      </c>
      <c r="N3777" s="1">
        <v>10</v>
      </c>
      <c r="O3777" s="1">
        <v>10</v>
      </c>
      <c r="P3777" s="1">
        <v>10</v>
      </c>
      <c r="Q3777" s="1">
        <v>10</v>
      </c>
      <c r="R3777" s="1">
        <v>10</v>
      </c>
      <c r="S3777" s="1">
        <v>10</v>
      </c>
      <c r="T3777" s="9"/>
      <c r="U3777" s="1">
        <f t="shared" si="6522"/>
        <v>86</v>
      </c>
      <c r="V3777" s="1">
        <f t="shared" si="6523"/>
        <v>236</v>
      </c>
    </row>
    <row r="3778" spans="1:22" x14ac:dyDescent="0.3">
      <c r="A3778" s="1">
        <f t="shared" si="6524"/>
        <v>86237</v>
      </c>
      <c r="B3778" s="12">
        <f t="shared" si="6589"/>
        <v>0</v>
      </c>
      <c r="C3778" s="13">
        <f t="shared" si="6590"/>
        <v>0</v>
      </c>
      <c r="D3778" s="10">
        <f t="shared" si="6591"/>
        <v>0</v>
      </c>
      <c r="E3778" s="11" t="str">
        <f t="shared" ref="E3778" si="6601">IF(D3749="","",MAX(F3778,G3778))</f>
        <v/>
      </c>
      <c r="F3778" s="10">
        <f t="shared" ref="F3778" si="6602">ABS(MIN(D3758:D3767))</f>
        <v>0</v>
      </c>
      <c r="G3778" s="10">
        <f t="shared" ref="G3778" si="6603">ABS(MAX(D3758:D3767))</f>
        <v>0</v>
      </c>
      <c r="J3778" s="24" t="str">
        <f t="shared" ref="J3778" si="6604">CONCATENATE(K3777,1)</f>
        <v>101</v>
      </c>
      <c r="K3778" s="6" t="e">
        <f t="array" ref="K3778:S3780">LINEST(B3758:B3767,C3758:C3767^{1,2,3,4,5,6,7,8},TRUE,TRUE)</f>
        <v>#VALUE!</v>
      </c>
      <c r="L3778" s="6" t="e">
        <v>#VALUE!</v>
      </c>
      <c r="M3778" s="6" t="e">
        <v>#VALUE!</v>
      </c>
      <c r="N3778" s="6" t="e">
        <v>#VALUE!</v>
      </c>
      <c r="O3778" s="6" t="e">
        <v>#VALUE!</v>
      </c>
      <c r="P3778" s="6" t="e">
        <v>#VALUE!</v>
      </c>
      <c r="Q3778" s="6" t="e">
        <v>#VALUE!</v>
      </c>
      <c r="R3778" s="6" t="e">
        <v>#VALUE!</v>
      </c>
      <c r="S3778" s="6" t="e">
        <v>#VALUE!</v>
      </c>
      <c r="T3778" s="9"/>
      <c r="U3778" s="1">
        <f t="shared" si="6522"/>
        <v>86</v>
      </c>
      <c r="V3778" s="1">
        <f t="shared" si="6523"/>
        <v>237</v>
      </c>
    </row>
    <row r="3779" spans="1:22" x14ac:dyDescent="0.3">
      <c r="A3779" s="1">
        <f t="shared" si="6524"/>
        <v>86238</v>
      </c>
      <c r="B3779" s="12">
        <f t="shared" si="6589"/>
        <v>0</v>
      </c>
      <c r="C3779" s="13">
        <f t="shared" si="6590"/>
        <v>0</v>
      </c>
      <c r="D3779" s="10">
        <f t="shared" si="6591"/>
        <v>0</v>
      </c>
      <c r="J3779" s="24" t="str">
        <f t="shared" ref="J3779" si="6605">CONCATENATE(K3777,2)</f>
        <v>102</v>
      </c>
      <c r="K3779" s="6" t="e">
        <v>#VALUE!</v>
      </c>
      <c r="L3779" s="6" t="e">
        <v>#VALUE!</v>
      </c>
      <c r="M3779" s="6" t="e">
        <v>#VALUE!</v>
      </c>
      <c r="N3779" s="6" t="e">
        <v>#VALUE!</v>
      </c>
      <c r="O3779" s="6" t="e">
        <v>#VALUE!</v>
      </c>
      <c r="P3779" s="6" t="e">
        <v>#VALUE!</v>
      </c>
      <c r="Q3779" s="6" t="e">
        <v>#VALUE!</v>
      </c>
      <c r="R3779" s="6" t="e">
        <v>#VALUE!</v>
      </c>
      <c r="S3779" s="6" t="e">
        <v>#VALUE!</v>
      </c>
      <c r="T3779" s="9"/>
      <c r="U3779" s="1">
        <f t="shared" si="6522"/>
        <v>86</v>
      </c>
      <c r="V3779" s="1">
        <f t="shared" si="6523"/>
        <v>238</v>
      </c>
    </row>
    <row r="3780" spans="1:22" x14ac:dyDescent="0.3">
      <c r="A3780" s="1">
        <f t="shared" si="6524"/>
        <v>86239</v>
      </c>
      <c r="B3780" s="12">
        <f t="shared" si="6589"/>
        <v>0</v>
      </c>
      <c r="C3780" s="13">
        <f t="shared" si="6590"/>
        <v>0</v>
      </c>
      <c r="D3780" s="10">
        <f t="shared" si="6591"/>
        <v>0</v>
      </c>
      <c r="J3780" s="24" t="str">
        <f t="shared" ref="J3780" si="6606">CONCATENATE(K3777,3)</f>
        <v>103</v>
      </c>
      <c r="K3780" s="6" t="e">
        <v>#VALUE!</v>
      </c>
      <c r="L3780" s="6" t="e">
        <v>#VALUE!</v>
      </c>
      <c r="M3780" s="6" t="e">
        <v>#VALUE!</v>
      </c>
      <c r="N3780" s="6" t="e">
        <v>#VALUE!</v>
      </c>
      <c r="O3780" s="6" t="e">
        <v>#VALUE!</v>
      </c>
      <c r="P3780" s="6" t="e">
        <v>#VALUE!</v>
      </c>
      <c r="Q3780" s="6" t="e">
        <v>#VALUE!</v>
      </c>
      <c r="R3780" s="6" t="e">
        <v>#VALUE!</v>
      </c>
      <c r="S3780" s="6" t="e">
        <v>#VALUE!</v>
      </c>
      <c r="T3780" s="9"/>
      <c r="U3780" s="1">
        <f t="shared" si="6522"/>
        <v>86</v>
      </c>
      <c r="V3780" s="1">
        <f t="shared" si="6523"/>
        <v>239</v>
      </c>
    </row>
    <row r="3781" spans="1:22" x14ac:dyDescent="0.3">
      <c r="A3781" s="1">
        <f t="shared" si="6524"/>
        <v>86240</v>
      </c>
      <c r="B3781" s="12">
        <f t="shared" si="6589"/>
        <v>0</v>
      </c>
      <c r="C3781" s="13">
        <f t="shared" si="6590"/>
        <v>0</v>
      </c>
      <c r="D3781" s="10">
        <f t="shared" si="6591"/>
        <v>0</v>
      </c>
      <c r="J3781" s="9"/>
      <c r="K3781" s="9"/>
      <c r="L3781" s="9"/>
      <c r="M3781" s="9"/>
      <c r="N3781" s="9"/>
      <c r="O3781" s="9"/>
      <c r="P3781" s="9"/>
      <c r="Q3781" s="9"/>
      <c r="R3781" s="9"/>
      <c r="S3781" s="9"/>
      <c r="T3781" s="9"/>
      <c r="U3781" s="1">
        <f t="shared" si="6522"/>
        <v>86</v>
      </c>
      <c r="V3781" s="1">
        <f t="shared" si="6523"/>
        <v>240</v>
      </c>
    </row>
    <row r="3782" spans="1:22" x14ac:dyDescent="0.3">
      <c r="A3782" s="1">
        <f t="shared" si="6524"/>
        <v>86241</v>
      </c>
      <c r="B3782" s="12">
        <f t="shared" si="6589"/>
        <v>0</v>
      </c>
      <c r="C3782" s="13">
        <f t="shared" si="6590"/>
        <v>0</v>
      </c>
      <c r="D3782" s="10">
        <f t="shared" si="6591"/>
        <v>0</v>
      </c>
      <c r="J3782" s="9"/>
      <c r="K3782" s="9"/>
      <c r="L3782" s="9"/>
      <c r="M3782" s="9"/>
      <c r="N3782" s="9"/>
      <c r="O3782" s="9"/>
      <c r="P3782" s="9"/>
      <c r="Q3782" s="9"/>
      <c r="R3782" s="9"/>
      <c r="S3782" s="9"/>
      <c r="T3782" s="9"/>
      <c r="U3782" s="1">
        <f t="shared" si="6522"/>
        <v>86</v>
      </c>
      <c r="V3782" s="1">
        <f t="shared" si="6523"/>
        <v>241</v>
      </c>
    </row>
    <row r="3783" spans="1:22" x14ac:dyDescent="0.3">
      <c r="A3783" s="1">
        <f t="shared" si="6524"/>
        <v>86242</v>
      </c>
      <c r="B3783" s="12">
        <f t="shared" si="6589"/>
        <v>0</v>
      </c>
      <c r="C3783" s="13">
        <f t="shared" si="6590"/>
        <v>0</v>
      </c>
      <c r="D3783" s="10">
        <f t="shared" si="6591"/>
        <v>0</v>
      </c>
      <c r="J3783" s="9"/>
      <c r="K3783" s="9"/>
      <c r="L3783" s="9"/>
      <c r="M3783" s="9"/>
      <c r="N3783" s="9"/>
      <c r="O3783" s="9"/>
      <c r="P3783" s="9"/>
      <c r="Q3783" s="9"/>
      <c r="R3783" s="9"/>
      <c r="S3783" s="9"/>
      <c r="T3783" s="9"/>
      <c r="U3783" s="1">
        <f t="shared" si="6522"/>
        <v>86</v>
      </c>
      <c r="V3783" s="1">
        <f t="shared" si="6523"/>
        <v>242</v>
      </c>
    </row>
    <row r="3784" spans="1:22" x14ac:dyDescent="0.3">
      <c r="A3784" s="1">
        <f t="shared" si="6524"/>
        <v>86243</v>
      </c>
      <c r="J3784" s="9"/>
      <c r="K3784" s="9"/>
      <c r="L3784" s="9"/>
      <c r="M3784" s="9"/>
      <c r="N3784" s="9"/>
      <c r="O3784" s="9"/>
      <c r="P3784" s="9"/>
      <c r="Q3784" s="9"/>
      <c r="R3784" s="9"/>
      <c r="S3784" s="9"/>
      <c r="T3784" s="9"/>
      <c r="U3784" s="1">
        <f t="shared" si="6522"/>
        <v>86</v>
      </c>
      <c r="V3784" s="1">
        <f t="shared" si="6523"/>
        <v>243</v>
      </c>
    </row>
    <row r="3785" spans="1:22" s="5" customFormat="1" x14ac:dyDescent="0.3"/>
    <row r="3786" spans="1:22" x14ac:dyDescent="0.3">
      <c r="A3786" s="1">
        <f t="shared" ref="A3786:A3828" si="6607">ROUND(CONCATENATE(U3786,V3786),0)</f>
        <v>87201</v>
      </c>
      <c r="B3786" s="96" t="s">
        <v>0</v>
      </c>
      <c r="C3786" s="97"/>
      <c r="D3786" s="98"/>
      <c r="E3786" s="99"/>
      <c r="F3786" s="99"/>
      <c r="G3786" s="99"/>
      <c r="H3786" s="100"/>
      <c r="J3786" s="9"/>
      <c r="K3786" s="9"/>
      <c r="L3786" s="9"/>
      <c r="M3786" s="9"/>
      <c r="N3786" s="9"/>
      <c r="O3786" s="9"/>
      <c r="P3786" s="9"/>
      <c r="Q3786" s="9"/>
      <c r="R3786" s="9"/>
      <c r="S3786" s="9"/>
      <c r="T3786" s="9"/>
      <c r="U3786" s="1">
        <f t="shared" ref="U3786" si="6608">U3784+1</f>
        <v>87</v>
      </c>
      <c r="V3786" s="1">
        <v>201</v>
      </c>
    </row>
    <row r="3787" spans="1:22" x14ac:dyDescent="0.3">
      <c r="A3787" s="1">
        <f t="shared" si="6607"/>
        <v>87202</v>
      </c>
      <c r="B3787" s="96" t="s">
        <v>1</v>
      </c>
      <c r="C3787" s="97"/>
      <c r="D3787" s="15"/>
      <c r="E3787" s="16" t="s">
        <v>2</v>
      </c>
      <c r="F3787" s="107"/>
      <c r="G3787" s="108"/>
      <c r="H3787" s="109"/>
      <c r="J3787" s="9"/>
      <c r="K3787" s="9"/>
      <c r="L3787" s="9"/>
      <c r="M3787" s="9"/>
      <c r="N3787" s="9"/>
      <c r="O3787" s="9"/>
      <c r="P3787" s="9"/>
      <c r="Q3787" s="9"/>
      <c r="R3787" s="9"/>
      <c r="S3787" s="9"/>
      <c r="T3787" s="9"/>
      <c r="U3787" s="1">
        <f t="shared" ref="U3787" si="6609">U3786</f>
        <v>87</v>
      </c>
      <c r="V3787" s="1">
        <f t="shared" ref="V3787" si="6610">V3786+1</f>
        <v>202</v>
      </c>
    </row>
    <row r="3788" spans="1:22" x14ac:dyDescent="0.3">
      <c r="A3788" s="1">
        <f t="shared" si="6607"/>
        <v>87203</v>
      </c>
      <c r="B3788" s="96" t="s">
        <v>12</v>
      </c>
      <c r="C3788" s="97"/>
      <c r="D3788" s="98"/>
      <c r="E3788" s="99"/>
      <c r="F3788" s="99"/>
      <c r="G3788" s="99"/>
      <c r="H3788" s="100"/>
      <c r="K3788" s="1" t="s">
        <v>3</v>
      </c>
      <c r="L3788" s="1" t="s">
        <v>4</v>
      </c>
      <c r="M3788" s="1" t="s">
        <v>5</v>
      </c>
      <c r="N3788" s="1" t="s">
        <v>6</v>
      </c>
      <c r="O3788" s="1" t="s">
        <v>7</v>
      </c>
      <c r="P3788" s="1" t="s">
        <v>8</v>
      </c>
      <c r="Q3788" s="1" t="s">
        <v>9</v>
      </c>
      <c r="R3788" s="1" t="s">
        <v>10</v>
      </c>
      <c r="S3788" s="1" t="s">
        <v>11</v>
      </c>
      <c r="T3788" s="9"/>
      <c r="U3788" s="1">
        <f t="shared" si="6522"/>
        <v>87</v>
      </c>
      <c r="V3788" s="1">
        <f t="shared" si="6523"/>
        <v>203</v>
      </c>
    </row>
    <row r="3789" spans="1:22" x14ac:dyDescent="0.3">
      <c r="A3789" s="1">
        <f t="shared" si="6607"/>
        <v>87204</v>
      </c>
      <c r="B3789" s="96" t="s">
        <v>13</v>
      </c>
      <c r="C3789" s="97"/>
      <c r="D3789" s="98"/>
      <c r="E3789" s="99"/>
      <c r="F3789" s="99"/>
      <c r="G3789" s="99"/>
      <c r="H3789" s="100"/>
      <c r="J3789" s="1">
        <f t="shared" ref="J3789" si="6611">COUNTA(B3802:B3811)</f>
        <v>0</v>
      </c>
      <c r="K3789" s="1">
        <f t="shared" ref="K3789" si="6612">IF(L3789-1&lt;2,0,L3789-1)</f>
        <v>0</v>
      </c>
      <c r="L3789" s="1">
        <f t="shared" ref="L3789" si="6613">IF(M3789-1&lt;2,0,M3789-1)</f>
        <v>0</v>
      </c>
      <c r="M3789" s="1">
        <f t="shared" ref="M3789" si="6614">IF(N3789-1&lt;2,0,N3789-1)</f>
        <v>0</v>
      </c>
      <c r="N3789" s="1">
        <f t="shared" ref="N3789" si="6615">IF(O3789-1&lt;2,0,O3789-1)</f>
        <v>0</v>
      </c>
      <c r="O3789" s="1">
        <f t="shared" ref="O3789" si="6616">IF(P3789-1&lt;2,0,P3789-1)</f>
        <v>0</v>
      </c>
      <c r="P3789" s="1">
        <f t="shared" ref="P3789" si="6617">IF(Q3789-1&lt;2,0,Q3789-1)</f>
        <v>0</v>
      </c>
      <c r="Q3789" s="1">
        <f t="shared" ref="Q3789" si="6618">IF(R3789-1&lt;2,0,R3789-1)</f>
        <v>0</v>
      </c>
      <c r="R3789" s="1">
        <f t="shared" ref="R3789" si="6619">IF(S3789-1&lt;2,0,S3789-1)</f>
        <v>0</v>
      </c>
      <c r="S3789" s="1">
        <f t="shared" ref="S3789" si="6620">J3789</f>
        <v>0</v>
      </c>
      <c r="T3789" s="9"/>
      <c r="U3789" s="1">
        <f t="shared" si="6522"/>
        <v>87</v>
      </c>
      <c r="V3789" s="1">
        <f t="shared" si="6523"/>
        <v>204</v>
      </c>
    </row>
    <row r="3790" spans="1:22" x14ac:dyDescent="0.3">
      <c r="A3790" s="1">
        <f t="shared" si="6607"/>
        <v>87205</v>
      </c>
      <c r="B3790" s="96" t="s">
        <v>14</v>
      </c>
      <c r="C3790" s="97"/>
      <c r="D3790" s="98"/>
      <c r="E3790" s="99"/>
      <c r="F3790" s="99"/>
      <c r="G3790" s="99"/>
      <c r="H3790" s="100"/>
      <c r="J3790" s="24" t="str">
        <f t="shared" ref="J3790" si="6621">CONCATENATE(J3789,1)</f>
        <v>01</v>
      </c>
      <c r="K3790" s="25">
        <f t="shared" ref="K3790" si="6622">IF(K3789=0,0,VLOOKUP(J3790,J3794:S3824,K3789,FALSE))</f>
        <v>0</v>
      </c>
      <c r="L3790" s="25">
        <f t="shared" ref="L3790" si="6623">IF(L3789=0,0,VLOOKUP(J3790,J3794:S3824,L3789,FALSE))</f>
        <v>0</v>
      </c>
      <c r="M3790" s="25">
        <f t="shared" ref="M3790" si="6624">IF(M3789=0,0,VLOOKUP(J3790,J3794:S3824,M3789,FALSE))</f>
        <v>0</v>
      </c>
      <c r="N3790" s="25">
        <f t="shared" ref="N3790" si="6625">IF(N3789=0,0,VLOOKUP(J3790,J3794:S3824,N3789,FALSE))</f>
        <v>0</v>
      </c>
      <c r="O3790" s="25">
        <f t="shared" ref="O3790" si="6626">IF(O3789=0,0,VLOOKUP(J3790,J3794:S3824,O3789,FALSE))</f>
        <v>0</v>
      </c>
      <c r="P3790" s="25">
        <f t="shared" ref="P3790" si="6627">IF(P3789=0,0,VLOOKUP(J3790,J3794:S3824,P3789,FALSE))</f>
        <v>0</v>
      </c>
      <c r="Q3790" s="25">
        <f t="shared" ref="Q3790" si="6628">IF(Q3789=0,0,VLOOKUP(J3790,J3794:S3824,Q3789,FALSE))</f>
        <v>0</v>
      </c>
      <c r="R3790" s="25">
        <f t="shared" ref="R3790" si="6629">IF(R3789=0,0,VLOOKUP(J3790,J3794:S3824,R3789,FALSE))</f>
        <v>0</v>
      </c>
      <c r="S3790" s="25">
        <f t="shared" ref="S3790" si="6630">IF(S3789=0,0,VLOOKUP(J3790,J3794:S3824,S3789,FALSE))</f>
        <v>0</v>
      </c>
      <c r="T3790" s="9"/>
      <c r="U3790" s="1">
        <f t="shared" si="6522"/>
        <v>87</v>
      </c>
      <c r="V3790" s="1">
        <f t="shared" si="6523"/>
        <v>205</v>
      </c>
    </row>
    <row r="3791" spans="1:22" x14ac:dyDescent="0.3">
      <c r="A3791" s="1">
        <f t="shared" si="6607"/>
        <v>87206</v>
      </c>
      <c r="B3791" s="96" t="s">
        <v>15</v>
      </c>
      <c r="C3791" s="97"/>
      <c r="D3791" s="98"/>
      <c r="E3791" s="99"/>
      <c r="F3791" s="99"/>
      <c r="G3791" s="99"/>
      <c r="H3791" s="100"/>
      <c r="J3791" s="24" t="str">
        <f t="shared" ref="J3791" si="6631">CONCATENATE(J3789,2)</f>
        <v>02</v>
      </c>
      <c r="K3791" s="6">
        <f t="shared" ref="K3791" si="6632">IF(K3789=0,0,VLOOKUP(J3791,J3794:S3824,K3789,FALSE))</f>
        <v>0</v>
      </c>
      <c r="L3791" s="6">
        <f t="shared" ref="L3791" si="6633">IF(L3789=0,0,VLOOKUP(J3791,J3794:S3824,L3789,FALSE))</f>
        <v>0</v>
      </c>
      <c r="M3791" s="6">
        <f t="shared" ref="M3791" si="6634">IF(M3789=0,0,VLOOKUP(J3791,J3794:S3824,M3789,FALSE))</f>
        <v>0</v>
      </c>
      <c r="N3791" s="6">
        <f t="shared" ref="N3791" si="6635">IF(N3789=0,0,VLOOKUP(J3791,J3794:S3824,N3789,FALSE))</f>
        <v>0</v>
      </c>
      <c r="O3791" s="6">
        <f t="shared" ref="O3791" si="6636">IF(O3789=0,0,VLOOKUP(J3791,J3794:S3824,O3789,FALSE))</f>
        <v>0</v>
      </c>
      <c r="P3791" s="6">
        <f t="shared" ref="P3791" si="6637">IF(P3789=0,0,VLOOKUP(J3791,J3794:S3824,P3789,FALSE))</f>
        <v>0</v>
      </c>
      <c r="Q3791" s="6">
        <f t="shared" ref="Q3791" si="6638">IF(Q3789=0,0,VLOOKUP(J3791,J3794:S3824,Q3789,FALSE))</f>
        <v>0</v>
      </c>
      <c r="R3791" s="6">
        <f t="shared" ref="R3791" si="6639">IF(R3789=0,0,VLOOKUP(J3791,J3794:S3824,R3789,FALSE))</f>
        <v>0</v>
      </c>
      <c r="S3791" s="6">
        <f t="shared" ref="S3791" si="6640">IF(S3789=0,0,VLOOKUP(J3791,J3794:S3824,S3789,FALSE))</f>
        <v>0</v>
      </c>
      <c r="T3791" s="9"/>
      <c r="U3791" s="1">
        <f t="shared" si="6522"/>
        <v>87</v>
      </c>
      <c r="V3791" s="1">
        <f t="shared" si="6523"/>
        <v>206</v>
      </c>
    </row>
    <row r="3792" spans="1:22" x14ac:dyDescent="0.3">
      <c r="A3792" s="1">
        <f t="shared" si="6607"/>
        <v>87207</v>
      </c>
      <c r="B3792" s="96" t="s">
        <v>16</v>
      </c>
      <c r="C3792" s="97"/>
      <c r="D3792" s="101"/>
      <c r="E3792" s="102"/>
      <c r="F3792" s="102"/>
      <c r="G3792" s="102"/>
      <c r="H3792" s="103"/>
      <c r="J3792" s="24" t="str">
        <f t="shared" ref="J3792" si="6641">CONCATENATE(J3789,3)</f>
        <v>03</v>
      </c>
      <c r="K3792" s="6"/>
      <c r="L3792" s="6"/>
      <c r="M3792" s="6"/>
      <c r="N3792" s="6" t="s">
        <v>43</v>
      </c>
      <c r="O3792" s="25">
        <f t="shared" ref="O3792" si="6642">J3789-2</f>
        <v>-2</v>
      </c>
      <c r="P3792" s="6" t="s">
        <v>44</v>
      </c>
      <c r="Q3792" s="25" t="e">
        <f t="shared" ref="Q3792" si="6643">VLOOKUP(J3792,J3794:S3824,3,FALSE)</f>
        <v>#N/A</v>
      </c>
      <c r="R3792" s="6" t="s">
        <v>45</v>
      </c>
      <c r="S3792" s="6" t="e">
        <f t="shared" ref="S3792" si="6644">VLOOKUP(J3792,J3794:S3824,2,FALSE)</f>
        <v>#N/A</v>
      </c>
      <c r="T3792" s="9"/>
      <c r="U3792" s="1">
        <f t="shared" si="6522"/>
        <v>87</v>
      </c>
      <c r="V3792" s="1">
        <f t="shared" si="6523"/>
        <v>207</v>
      </c>
    </row>
    <row r="3793" spans="1:22" x14ac:dyDescent="0.3">
      <c r="A3793" s="1">
        <f t="shared" si="6607"/>
        <v>87208</v>
      </c>
      <c r="B3793" s="96" t="s">
        <v>17</v>
      </c>
      <c r="C3793" s="97"/>
      <c r="D3793" s="104"/>
      <c r="E3793" s="105"/>
      <c r="F3793" s="105"/>
      <c r="G3793" s="105"/>
      <c r="H3793" s="106"/>
      <c r="K3793" s="1">
        <v>3</v>
      </c>
      <c r="L3793" s="1">
        <v>3</v>
      </c>
      <c r="Q3793" s="26"/>
      <c r="R3793" s="26"/>
      <c r="S3793" s="26"/>
      <c r="T3793" s="9"/>
      <c r="U3793" s="1">
        <f t="shared" si="6522"/>
        <v>87</v>
      </c>
      <c r="V3793" s="1">
        <f t="shared" si="6523"/>
        <v>208</v>
      </c>
    </row>
    <row r="3794" spans="1:22" x14ac:dyDescent="0.3">
      <c r="A3794" s="1">
        <f t="shared" si="6607"/>
        <v>87209</v>
      </c>
      <c r="B3794" s="77" t="s">
        <v>19</v>
      </c>
      <c r="C3794" s="78"/>
      <c r="D3794" s="17"/>
      <c r="E3794" s="79" t="s">
        <v>40</v>
      </c>
      <c r="F3794" s="80"/>
      <c r="G3794" s="81"/>
      <c r="H3794" s="18" t="s">
        <v>72</v>
      </c>
      <c r="J3794" s="24" t="str">
        <f t="shared" ref="J3794" si="6645">CONCATENATE(K3793,1)</f>
        <v>31</v>
      </c>
      <c r="K3794" s="6" t="e">
        <f t="array" ref="K3794:L3796">LINEST(B3802:B3804,C3802:C3804^{1},TRUE,TRUE)</f>
        <v>#VALUE!</v>
      </c>
      <c r="L3794" s="6" t="e">
        <v>#VALUE!</v>
      </c>
      <c r="Q3794" s="9"/>
      <c r="R3794" s="9"/>
      <c r="S3794" s="9"/>
      <c r="T3794" s="9"/>
      <c r="U3794" s="1">
        <f t="shared" si="6522"/>
        <v>87</v>
      </c>
      <c r="V3794" s="1">
        <f t="shared" si="6523"/>
        <v>209</v>
      </c>
    </row>
    <row r="3795" spans="1:22" x14ac:dyDescent="0.3">
      <c r="A3795" s="1">
        <f t="shared" si="6607"/>
        <v>87210</v>
      </c>
      <c r="B3795" s="77" t="s">
        <v>41</v>
      </c>
      <c r="C3795" s="78"/>
      <c r="D3795" s="23">
        <f t="shared" ref="D3795" si="6646">MIN(B3802:B3811)</f>
        <v>0</v>
      </c>
      <c r="E3795" s="20" t="s">
        <v>18</v>
      </c>
      <c r="F3795" s="19">
        <f t="shared" ref="F3795" si="6647">MAX(B3802:B3811)</f>
        <v>0</v>
      </c>
      <c r="G3795" s="21" t="str">
        <f t="shared" ref="G3795" si="6648">IF(H3794="","",H3794)</f>
        <v>%ur</v>
      </c>
      <c r="H3795" s="22"/>
      <c r="J3795" s="24" t="str">
        <f t="shared" ref="J3795" si="6649">CONCATENATE(K3793,2)</f>
        <v>32</v>
      </c>
      <c r="K3795" s="6" t="e">
        <v>#VALUE!</v>
      </c>
      <c r="L3795" s="6" t="e">
        <v>#VALUE!</v>
      </c>
      <c r="Q3795" s="9"/>
      <c r="R3795" s="9"/>
      <c r="S3795" s="9"/>
      <c r="T3795" s="9"/>
      <c r="U3795" s="1">
        <f t="shared" si="6522"/>
        <v>87</v>
      </c>
      <c r="V3795" s="1">
        <f t="shared" si="6523"/>
        <v>210</v>
      </c>
    </row>
    <row r="3796" spans="1:22" x14ac:dyDescent="0.3">
      <c r="A3796" s="1">
        <f t="shared" si="6607"/>
        <v>87211</v>
      </c>
      <c r="J3796" s="24" t="str">
        <f t="shared" ref="J3796" si="6650">CONCATENATE(K3793,3)</f>
        <v>33</v>
      </c>
      <c r="K3796" s="6" t="e">
        <v>#VALUE!</v>
      </c>
      <c r="L3796" s="6" t="e">
        <v>#VALUE!</v>
      </c>
      <c r="Q3796" s="9"/>
      <c r="R3796" s="9"/>
      <c r="S3796" s="9"/>
      <c r="T3796" s="9"/>
      <c r="U3796" s="1">
        <f t="shared" si="6522"/>
        <v>87</v>
      </c>
      <c r="V3796" s="1">
        <f t="shared" si="6523"/>
        <v>211</v>
      </c>
    </row>
    <row r="3797" spans="1:22" x14ac:dyDescent="0.3">
      <c r="A3797" s="1">
        <f t="shared" si="6607"/>
        <v>87212</v>
      </c>
      <c r="B3797" s="82" t="s">
        <v>20</v>
      </c>
      <c r="C3797" s="83"/>
      <c r="D3797" s="83"/>
      <c r="E3797" s="83"/>
      <c r="F3797" s="84"/>
      <c r="G3797" s="85" t="s">
        <v>31</v>
      </c>
      <c r="H3797" s="86"/>
      <c r="K3797" s="1">
        <v>4</v>
      </c>
      <c r="L3797" s="1">
        <v>4</v>
      </c>
      <c r="M3797" s="1">
        <v>4</v>
      </c>
      <c r="Q3797" s="9"/>
      <c r="R3797" s="9"/>
      <c r="S3797" s="9"/>
      <c r="T3797" s="9"/>
      <c r="U3797" s="1">
        <f t="shared" si="6522"/>
        <v>87</v>
      </c>
      <c r="V3797" s="1">
        <f t="shared" si="6523"/>
        <v>212</v>
      </c>
    </row>
    <row r="3798" spans="1:22" x14ac:dyDescent="0.3">
      <c r="A3798" s="1">
        <f t="shared" si="6607"/>
        <v>87213</v>
      </c>
      <c r="B3798" s="82" t="s">
        <v>30</v>
      </c>
      <c r="C3798" s="83"/>
      <c r="D3798" s="84"/>
      <c r="E3798" s="82">
        <f t="shared" ref="E3798" si="6651">D3791</f>
        <v>0</v>
      </c>
      <c r="F3798" s="84"/>
      <c r="G3798" s="6" t="s">
        <v>32</v>
      </c>
      <c r="H3798" s="7"/>
      <c r="J3798" s="24" t="str">
        <f t="shared" ref="J3798" si="6652">CONCATENATE(K3797,1)</f>
        <v>41</v>
      </c>
      <c r="K3798" s="6" t="e">
        <f t="array" ref="K3798:M3800">LINEST(B3802:B3805,C3802:C3805^{1,2},TRUE,TRUE)</f>
        <v>#VALUE!</v>
      </c>
      <c r="L3798" s="6" t="e">
        <v>#VALUE!</v>
      </c>
      <c r="M3798" s="6" t="e">
        <v>#VALUE!</v>
      </c>
      <c r="Q3798" s="9"/>
      <c r="R3798" s="9"/>
      <c r="S3798" s="9"/>
      <c r="T3798" s="9"/>
      <c r="U3798" s="1">
        <f t="shared" si="6522"/>
        <v>87</v>
      </c>
      <c r="V3798" s="1">
        <f t="shared" si="6523"/>
        <v>213</v>
      </c>
    </row>
    <row r="3799" spans="1:22" x14ac:dyDescent="0.3">
      <c r="A3799" s="1">
        <f t="shared" si="6607"/>
        <v>87214</v>
      </c>
      <c r="B3799" s="2" t="s">
        <v>21</v>
      </c>
      <c r="C3799" s="2" t="s">
        <v>22</v>
      </c>
      <c r="D3799" s="2" t="s">
        <v>23</v>
      </c>
      <c r="E3799" s="2"/>
      <c r="F3799" s="2" t="s">
        <v>28</v>
      </c>
      <c r="G3799" s="2" t="s">
        <v>21</v>
      </c>
      <c r="H3799" s="2" t="s">
        <v>22</v>
      </c>
      <c r="J3799" s="24" t="str">
        <f t="shared" ref="J3799" si="6653">CONCATENATE(K3797,2)</f>
        <v>42</v>
      </c>
      <c r="K3799" s="6" t="e">
        <v>#VALUE!</v>
      </c>
      <c r="L3799" s="6" t="e">
        <v>#VALUE!</v>
      </c>
      <c r="M3799" s="6" t="e">
        <v>#VALUE!</v>
      </c>
      <c r="Q3799" s="9"/>
      <c r="R3799" s="9"/>
      <c r="S3799" s="9"/>
      <c r="T3799" s="9"/>
      <c r="U3799" s="1">
        <f t="shared" si="6522"/>
        <v>87</v>
      </c>
      <c r="V3799" s="1">
        <f t="shared" si="6523"/>
        <v>214</v>
      </c>
    </row>
    <row r="3800" spans="1:22" x14ac:dyDescent="0.3">
      <c r="A3800" s="1">
        <f t="shared" si="6607"/>
        <v>87215</v>
      </c>
      <c r="B3800" s="2" t="s">
        <v>24</v>
      </c>
      <c r="C3800" s="2" t="s">
        <v>25</v>
      </c>
      <c r="D3800" s="2" t="s">
        <v>26</v>
      </c>
      <c r="E3800" s="2" t="s">
        <v>27</v>
      </c>
      <c r="F3800" s="2" t="s">
        <v>29</v>
      </c>
      <c r="G3800" s="2" t="s">
        <v>24</v>
      </c>
      <c r="H3800" s="2" t="s">
        <v>25</v>
      </c>
      <c r="J3800" s="24" t="str">
        <f t="shared" ref="J3800" si="6654">CONCATENATE(K3797,3)</f>
        <v>43</v>
      </c>
      <c r="K3800" s="6" t="e">
        <v>#VALUE!</v>
      </c>
      <c r="L3800" s="6" t="e">
        <v>#VALUE!</v>
      </c>
      <c r="M3800" s="6" t="e">
        <v>#VALUE!</v>
      </c>
      <c r="Q3800" s="9"/>
      <c r="R3800" s="9"/>
      <c r="S3800" s="9"/>
      <c r="T3800" s="9"/>
      <c r="U3800" s="1">
        <f t="shared" si="6522"/>
        <v>87</v>
      </c>
      <c r="V3800" s="1">
        <f t="shared" si="6523"/>
        <v>215</v>
      </c>
    </row>
    <row r="3801" spans="1:22" x14ac:dyDescent="0.3">
      <c r="A3801" s="1">
        <f t="shared" si="6607"/>
        <v>87216</v>
      </c>
      <c r="B3801" s="3" t="str">
        <f t="shared" ref="B3801" si="6655">H3794</f>
        <v>%ur</v>
      </c>
      <c r="C3801" s="3" t="str">
        <f t="shared" ref="C3801" si="6656">B3801</f>
        <v>%ur</v>
      </c>
      <c r="D3801" s="3" t="str">
        <f t="shared" ref="D3801" si="6657">C3801</f>
        <v>%ur</v>
      </c>
      <c r="E3801" s="3"/>
      <c r="F3801" s="3"/>
      <c r="G3801" s="3" t="str">
        <f t="shared" ref="G3801" si="6658">D3801</f>
        <v>%ur</v>
      </c>
      <c r="H3801" s="3" t="str">
        <f t="shared" ref="H3801" si="6659">G3801</f>
        <v>%ur</v>
      </c>
      <c r="K3801" s="1">
        <v>5</v>
      </c>
      <c r="L3801" s="1">
        <v>5</v>
      </c>
      <c r="M3801" s="1">
        <v>5</v>
      </c>
      <c r="N3801" s="1">
        <v>5</v>
      </c>
      <c r="Q3801" s="9"/>
      <c r="R3801" s="9"/>
      <c r="S3801" s="9"/>
      <c r="T3801" s="9"/>
      <c r="U3801" s="1">
        <f t="shared" si="6522"/>
        <v>87</v>
      </c>
      <c r="V3801" s="1">
        <f t="shared" si="6523"/>
        <v>216</v>
      </c>
    </row>
    <row r="3802" spans="1:22" x14ac:dyDescent="0.3">
      <c r="A3802" s="1">
        <f t="shared" si="6607"/>
        <v>87217</v>
      </c>
      <c r="B3802" s="4"/>
      <c r="C3802" s="4"/>
      <c r="D3802" s="4"/>
      <c r="E3802" s="4"/>
      <c r="F3802" s="14"/>
      <c r="G3802" s="8"/>
      <c r="H3802" s="7"/>
      <c r="J3802" s="24" t="str">
        <f t="shared" ref="J3802" si="6660">CONCATENATE(K3801,1)</f>
        <v>51</v>
      </c>
      <c r="K3802" s="6" t="e">
        <f t="array" ref="K3802:N3804">LINEST(B3802:B3806,C3802:C3806^{1,2,3},TRUE,TRUE)</f>
        <v>#VALUE!</v>
      </c>
      <c r="L3802" s="6" t="e">
        <v>#VALUE!</v>
      </c>
      <c r="M3802" s="6" t="e">
        <v>#VALUE!</v>
      </c>
      <c r="N3802" s="6" t="e">
        <v>#VALUE!</v>
      </c>
      <c r="Q3802" s="9"/>
      <c r="R3802" s="9"/>
      <c r="S3802" s="9"/>
      <c r="T3802" s="9"/>
      <c r="U3802" s="1">
        <f t="shared" si="6522"/>
        <v>87</v>
      </c>
      <c r="V3802" s="1">
        <f t="shared" si="6523"/>
        <v>217</v>
      </c>
    </row>
    <row r="3803" spans="1:22" x14ac:dyDescent="0.3">
      <c r="A3803" s="1">
        <f t="shared" si="6607"/>
        <v>87218</v>
      </c>
      <c r="B3803" s="4"/>
      <c r="C3803" s="4"/>
      <c r="D3803" s="4"/>
      <c r="E3803" s="4"/>
      <c r="F3803" s="14"/>
      <c r="G3803" s="8"/>
      <c r="H3803" s="7"/>
      <c r="J3803" s="24" t="str">
        <f t="shared" ref="J3803" si="6661">CONCATENATE(K3801,2)</f>
        <v>52</v>
      </c>
      <c r="K3803" s="6" t="e">
        <v>#VALUE!</v>
      </c>
      <c r="L3803" s="6" t="e">
        <v>#VALUE!</v>
      </c>
      <c r="M3803" s="6" t="e">
        <v>#VALUE!</v>
      </c>
      <c r="N3803" s="6" t="e">
        <v>#VALUE!</v>
      </c>
      <c r="T3803" s="9"/>
      <c r="U3803" s="1">
        <f t="shared" ref="U3803:U3866" si="6662">U3802</f>
        <v>87</v>
      </c>
      <c r="V3803" s="1">
        <f t="shared" ref="V3803:V3866" si="6663">V3802+1</f>
        <v>218</v>
      </c>
    </row>
    <row r="3804" spans="1:22" x14ac:dyDescent="0.3">
      <c r="A3804" s="1">
        <f t="shared" si="6607"/>
        <v>87219</v>
      </c>
      <c r="B3804" s="4"/>
      <c r="C3804" s="4"/>
      <c r="D3804" s="4"/>
      <c r="E3804" s="4"/>
      <c r="F3804" s="14"/>
      <c r="G3804" s="8"/>
      <c r="H3804" s="7"/>
      <c r="J3804" s="24" t="str">
        <f t="shared" ref="J3804" si="6664">CONCATENATE(K3801,3)</f>
        <v>53</v>
      </c>
      <c r="K3804" s="6" t="e">
        <v>#VALUE!</v>
      </c>
      <c r="L3804" s="6" t="e">
        <v>#VALUE!</v>
      </c>
      <c r="M3804" s="6" t="e">
        <v>#VALUE!</v>
      </c>
      <c r="N3804" s="6" t="e">
        <v>#VALUE!</v>
      </c>
      <c r="T3804" s="9"/>
      <c r="U3804" s="1">
        <f t="shared" si="6662"/>
        <v>87</v>
      </c>
      <c r="V3804" s="1">
        <f t="shared" si="6663"/>
        <v>219</v>
      </c>
    </row>
    <row r="3805" spans="1:22" x14ac:dyDescent="0.3">
      <c r="A3805" s="1">
        <f t="shared" si="6607"/>
        <v>87220</v>
      </c>
      <c r="B3805" s="4"/>
      <c r="C3805" s="4"/>
      <c r="D3805" s="4"/>
      <c r="E3805" s="4"/>
      <c r="F3805" s="14"/>
      <c r="G3805" s="8"/>
      <c r="H3805" s="7"/>
      <c r="K3805" s="1">
        <v>6</v>
      </c>
      <c r="L3805" s="1">
        <v>6</v>
      </c>
      <c r="M3805" s="1">
        <v>6</v>
      </c>
      <c r="N3805" s="1">
        <v>6</v>
      </c>
      <c r="O3805" s="1">
        <v>6</v>
      </c>
      <c r="T3805" s="9"/>
      <c r="U3805" s="1">
        <f t="shared" si="6662"/>
        <v>87</v>
      </c>
      <c r="V3805" s="1">
        <f t="shared" si="6663"/>
        <v>220</v>
      </c>
    </row>
    <row r="3806" spans="1:22" x14ac:dyDescent="0.3">
      <c r="A3806" s="1">
        <f t="shared" si="6607"/>
        <v>87221</v>
      </c>
      <c r="B3806" s="4"/>
      <c r="C3806" s="4"/>
      <c r="D3806" s="4"/>
      <c r="E3806" s="4"/>
      <c r="F3806" s="14"/>
      <c r="G3806" s="8"/>
      <c r="H3806" s="7"/>
      <c r="J3806" s="24" t="str">
        <f t="shared" ref="J3806" si="6665">CONCATENATE(K3805,1)</f>
        <v>61</v>
      </c>
      <c r="K3806" s="6" t="e">
        <f t="array" ref="K3806:O3808">LINEST(B3802:B3807,C3802:C3807^{1,2,3,4},TRUE,TRUE)</f>
        <v>#VALUE!</v>
      </c>
      <c r="L3806" s="6" t="e">
        <v>#VALUE!</v>
      </c>
      <c r="M3806" s="6" t="e">
        <v>#VALUE!</v>
      </c>
      <c r="N3806" s="6" t="e">
        <v>#VALUE!</v>
      </c>
      <c r="O3806" s="6" t="e">
        <v>#VALUE!</v>
      </c>
      <c r="T3806" s="9"/>
      <c r="U3806" s="1">
        <f t="shared" si="6662"/>
        <v>87</v>
      </c>
      <c r="V3806" s="1">
        <f t="shared" si="6663"/>
        <v>221</v>
      </c>
    </row>
    <row r="3807" spans="1:22" x14ac:dyDescent="0.3">
      <c r="A3807" s="1">
        <f t="shared" si="6607"/>
        <v>87222</v>
      </c>
      <c r="B3807" s="4"/>
      <c r="C3807" s="4"/>
      <c r="D3807" s="4"/>
      <c r="E3807" s="4"/>
      <c r="F3807" s="14"/>
      <c r="G3807" s="8"/>
      <c r="H3807" s="7"/>
      <c r="J3807" s="24" t="str">
        <f t="shared" ref="J3807" si="6666">CONCATENATE(K3805,2)</f>
        <v>62</v>
      </c>
      <c r="K3807" s="6" t="e">
        <v>#VALUE!</v>
      </c>
      <c r="L3807" s="6" t="e">
        <v>#VALUE!</v>
      </c>
      <c r="M3807" s="6" t="e">
        <v>#VALUE!</v>
      </c>
      <c r="N3807" s="6" t="e">
        <v>#VALUE!</v>
      </c>
      <c r="O3807" s="6" t="e">
        <v>#VALUE!</v>
      </c>
      <c r="T3807" s="9"/>
      <c r="U3807" s="1">
        <f t="shared" si="6662"/>
        <v>87</v>
      </c>
      <c r="V3807" s="1">
        <f t="shared" si="6663"/>
        <v>222</v>
      </c>
    </row>
    <row r="3808" spans="1:22" x14ac:dyDescent="0.3">
      <c r="A3808" s="1">
        <f t="shared" si="6607"/>
        <v>87223</v>
      </c>
      <c r="B3808" s="4"/>
      <c r="C3808" s="4"/>
      <c r="D3808" s="4"/>
      <c r="E3808" s="4"/>
      <c r="F3808" s="14"/>
      <c r="G3808" s="8"/>
      <c r="H3808" s="7"/>
      <c r="J3808" s="24" t="str">
        <f t="shared" ref="J3808" si="6667">CONCATENATE(K3805,3)</f>
        <v>63</v>
      </c>
      <c r="K3808" s="6" t="e">
        <v>#VALUE!</v>
      </c>
      <c r="L3808" s="6" t="e">
        <v>#VALUE!</v>
      </c>
      <c r="M3808" s="6" t="e">
        <v>#VALUE!</v>
      </c>
      <c r="N3808" s="6" t="e">
        <v>#VALUE!</v>
      </c>
      <c r="O3808" s="6" t="e">
        <v>#VALUE!</v>
      </c>
      <c r="T3808" s="9"/>
      <c r="U3808" s="1">
        <f t="shared" si="6662"/>
        <v>87</v>
      </c>
      <c r="V3808" s="1">
        <f t="shared" si="6663"/>
        <v>223</v>
      </c>
    </row>
    <row r="3809" spans="1:22" x14ac:dyDescent="0.3">
      <c r="A3809" s="1">
        <f t="shared" si="6607"/>
        <v>87224</v>
      </c>
      <c r="B3809" s="4"/>
      <c r="C3809" s="4"/>
      <c r="D3809" s="4"/>
      <c r="E3809" s="4"/>
      <c r="F3809" s="14"/>
      <c r="G3809" s="8"/>
      <c r="H3809" s="7"/>
      <c r="K3809" s="1">
        <v>7</v>
      </c>
      <c r="L3809" s="1">
        <v>7</v>
      </c>
      <c r="M3809" s="1">
        <v>7</v>
      </c>
      <c r="N3809" s="1">
        <v>7</v>
      </c>
      <c r="O3809" s="1">
        <v>7</v>
      </c>
      <c r="P3809" s="1">
        <v>7</v>
      </c>
      <c r="T3809" s="9"/>
      <c r="U3809" s="1">
        <f t="shared" si="6662"/>
        <v>87</v>
      </c>
      <c r="V3809" s="1">
        <f t="shared" si="6663"/>
        <v>224</v>
      </c>
    </row>
    <row r="3810" spans="1:22" x14ac:dyDescent="0.3">
      <c r="A3810" s="1">
        <f t="shared" si="6607"/>
        <v>87225</v>
      </c>
      <c r="B3810" s="4"/>
      <c r="C3810" s="4"/>
      <c r="D3810" s="4"/>
      <c r="E3810" s="4"/>
      <c r="F3810" s="14"/>
      <c r="G3810" s="8"/>
      <c r="H3810" s="7"/>
      <c r="J3810" s="24" t="str">
        <f t="shared" ref="J3810" si="6668">CONCATENATE(K3809,1)</f>
        <v>71</v>
      </c>
      <c r="K3810" s="6" t="e">
        <f t="array" ref="K3810:P3812">LINEST(B3802:B3808,C3802:C3808^{1,2,3,4,5},TRUE,TRUE)</f>
        <v>#VALUE!</v>
      </c>
      <c r="L3810" s="6" t="e">
        <v>#VALUE!</v>
      </c>
      <c r="M3810" s="6" t="e">
        <v>#VALUE!</v>
      </c>
      <c r="N3810" s="6" t="e">
        <v>#VALUE!</v>
      </c>
      <c r="O3810" s="6" t="e">
        <v>#VALUE!</v>
      </c>
      <c r="P3810" s="6" t="e">
        <v>#VALUE!</v>
      </c>
      <c r="T3810" s="9"/>
      <c r="U3810" s="1">
        <f t="shared" si="6662"/>
        <v>87</v>
      </c>
      <c r="V3810" s="1">
        <f t="shared" si="6663"/>
        <v>225</v>
      </c>
    </row>
    <row r="3811" spans="1:22" x14ac:dyDescent="0.3">
      <c r="A3811" s="1">
        <f t="shared" si="6607"/>
        <v>87226</v>
      </c>
      <c r="B3811" s="4"/>
      <c r="C3811" s="4"/>
      <c r="D3811" s="4"/>
      <c r="E3811" s="4"/>
      <c r="F3811" s="14"/>
      <c r="G3811" s="8"/>
      <c r="H3811" s="7"/>
      <c r="J3811" s="24" t="str">
        <f t="shared" ref="J3811" si="6669">CONCATENATE(K3809,2)</f>
        <v>72</v>
      </c>
      <c r="K3811" s="6" t="e">
        <v>#VALUE!</v>
      </c>
      <c r="L3811" s="6" t="e">
        <v>#VALUE!</v>
      </c>
      <c r="M3811" s="6" t="e">
        <v>#VALUE!</v>
      </c>
      <c r="N3811" s="6" t="e">
        <v>#VALUE!</v>
      </c>
      <c r="O3811" s="6" t="e">
        <v>#VALUE!</v>
      </c>
      <c r="P3811" s="6" t="e">
        <v>#VALUE!</v>
      </c>
      <c r="T3811" s="9"/>
      <c r="U3811" s="1">
        <f t="shared" si="6662"/>
        <v>87</v>
      </c>
      <c r="V3811" s="1">
        <f t="shared" si="6663"/>
        <v>226</v>
      </c>
    </row>
    <row r="3812" spans="1:22" x14ac:dyDescent="0.3">
      <c r="A3812" s="1">
        <f t="shared" si="6607"/>
        <v>87227</v>
      </c>
      <c r="B3812" s="9"/>
      <c r="C3812" s="9"/>
      <c r="D3812" s="9"/>
      <c r="E3812" s="9"/>
      <c r="F3812" s="9"/>
      <c r="G3812" s="9"/>
      <c r="H3812" s="9"/>
      <c r="J3812" s="24" t="str">
        <f t="shared" ref="J3812" si="6670">CONCATENATE(K3809,3)</f>
        <v>73</v>
      </c>
      <c r="K3812" s="6" t="e">
        <v>#VALUE!</v>
      </c>
      <c r="L3812" s="6" t="e">
        <v>#VALUE!</v>
      </c>
      <c r="M3812" s="6" t="e">
        <v>#VALUE!</v>
      </c>
      <c r="N3812" s="6" t="e">
        <v>#VALUE!</v>
      </c>
      <c r="O3812" s="6" t="e">
        <v>#VALUE!</v>
      </c>
      <c r="P3812" s="6" t="e">
        <v>#VALUE!</v>
      </c>
      <c r="T3812" s="9"/>
      <c r="U3812" s="1">
        <f t="shared" si="6662"/>
        <v>87</v>
      </c>
      <c r="V3812" s="1">
        <f t="shared" si="6663"/>
        <v>227</v>
      </c>
    </row>
    <row r="3813" spans="1:22" x14ac:dyDescent="0.3">
      <c r="A3813" s="1">
        <f t="shared" si="6607"/>
        <v>87228</v>
      </c>
      <c r="B3813" s="87" t="s">
        <v>33</v>
      </c>
      <c r="C3813" s="88"/>
      <c r="D3813" s="88"/>
      <c r="E3813" s="88"/>
      <c r="F3813" s="88"/>
      <c r="G3813" s="88"/>
      <c r="H3813" s="89"/>
      <c r="K3813" s="1">
        <v>8</v>
      </c>
      <c r="L3813" s="1">
        <v>8</v>
      </c>
      <c r="M3813" s="1">
        <v>8</v>
      </c>
      <c r="N3813" s="1">
        <v>8</v>
      </c>
      <c r="O3813" s="1">
        <v>8</v>
      </c>
      <c r="P3813" s="1">
        <v>8</v>
      </c>
      <c r="Q3813" s="1">
        <v>8</v>
      </c>
      <c r="T3813" s="9"/>
      <c r="U3813" s="1">
        <f t="shared" si="6662"/>
        <v>87</v>
      </c>
      <c r="V3813" s="1">
        <f t="shared" si="6663"/>
        <v>228</v>
      </c>
    </row>
    <row r="3814" spans="1:22" x14ac:dyDescent="0.3">
      <c r="A3814" s="1">
        <f t="shared" si="6607"/>
        <v>87229</v>
      </c>
      <c r="B3814" s="90"/>
      <c r="C3814" s="91"/>
      <c r="D3814" s="91"/>
      <c r="E3814" s="91"/>
      <c r="F3814" s="91"/>
      <c r="G3814" s="91"/>
      <c r="H3814" s="92"/>
      <c r="J3814" s="24" t="str">
        <f t="shared" ref="J3814" si="6671">CONCATENATE(K3813,1)</f>
        <v>81</v>
      </c>
      <c r="K3814" s="6" t="e">
        <f t="array" ref="K3814:Q3816">LINEST(B3802:B3809,C3802:C3809^{1,2,3,4,5,6},TRUE,TRUE)</f>
        <v>#VALUE!</v>
      </c>
      <c r="L3814" s="6" t="e">
        <v>#VALUE!</v>
      </c>
      <c r="M3814" s="6" t="e">
        <v>#VALUE!</v>
      </c>
      <c r="N3814" s="6" t="e">
        <v>#VALUE!</v>
      </c>
      <c r="O3814" s="6" t="e">
        <v>#VALUE!</v>
      </c>
      <c r="P3814" s="6" t="e">
        <v>#VALUE!</v>
      </c>
      <c r="Q3814" s="6" t="e">
        <v>#VALUE!</v>
      </c>
      <c r="T3814" s="9"/>
      <c r="U3814" s="1">
        <f t="shared" si="6662"/>
        <v>87</v>
      </c>
      <c r="V3814" s="1">
        <f t="shared" si="6663"/>
        <v>229</v>
      </c>
    </row>
    <row r="3815" spans="1:22" x14ac:dyDescent="0.3">
      <c r="A3815" s="1">
        <f t="shared" si="6607"/>
        <v>87230</v>
      </c>
      <c r="B3815" s="93"/>
      <c r="C3815" s="94"/>
      <c r="D3815" s="94"/>
      <c r="E3815" s="94"/>
      <c r="F3815" s="94"/>
      <c r="G3815" s="94"/>
      <c r="H3815" s="95"/>
      <c r="J3815" s="24" t="str">
        <f t="shared" ref="J3815" si="6672">CONCATENATE(K3813,2)</f>
        <v>82</v>
      </c>
      <c r="K3815" s="6" t="e">
        <v>#VALUE!</v>
      </c>
      <c r="L3815" s="6" t="e">
        <v>#VALUE!</v>
      </c>
      <c r="M3815" s="6" t="e">
        <v>#VALUE!</v>
      </c>
      <c r="N3815" s="6" t="e">
        <v>#VALUE!</v>
      </c>
      <c r="O3815" s="6" t="e">
        <v>#VALUE!</v>
      </c>
      <c r="P3815" s="6" t="e">
        <v>#VALUE!</v>
      </c>
      <c r="Q3815" s="6" t="e">
        <v>#VALUE!</v>
      </c>
      <c r="T3815" s="9"/>
      <c r="U3815" s="1">
        <f t="shared" si="6662"/>
        <v>87</v>
      </c>
      <c r="V3815" s="1">
        <f t="shared" si="6663"/>
        <v>230</v>
      </c>
    </row>
    <row r="3816" spans="1:22" x14ac:dyDescent="0.3">
      <c r="A3816" s="1">
        <f t="shared" si="6607"/>
        <v>87231</v>
      </c>
      <c r="J3816" s="24" t="str">
        <f t="shared" ref="J3816" si="6673">CONCATENATE(K3813,3)</f>
        <v>83</v>
      </c>
      <c r="K3816" s="6" t="e">
        <v>#VALUE!</v>
      </c>
      <c r="L3816" s="6" t="e">
        <v>#VALUE!</v>
      </c>
      <c r="M3816" s="6" t="e">
        <v>#VALUE!</v>
      </c>
      <c r="N3816" s="6" t="e">
        <v>#VALUE!</v>
      </c>
      <c r="O3816" s="6" t="e">
        <v>#VALUE!</v>
      </c>
      <c r="P3816" s="6" t="e">
        <v>#VALUE!</v>
      </c>
      <c r="Q3816" s="6" t="e">
        <v>#VALUE!</v>
      </c>
      <c r="T3816" s="9"/>
      <c r="U3816" s="1">
        <f t="shared" si="6662"/>
        <v>87</v>
      </c>
      <c r="V3816" s="1">
        <f t="shared" si="6663"/>
        <v>231</v>
      </c>
    </row>
    <row r="3817" spans="1:22" ht="15" customHeight="1" x14ac:dyDescent="0.3">
      <c r="A3817" s="1">
        <f t="shared" si="6607"/>
        <v>87232</v>
      </c>
      <c r="B3817" s="10" t="s">
        <v>34</v>
      </c>
      <c r="C3817" s="10" t="s">
        <v>35</v>
      </c>
      <c r="D3817" s="10" t="s">
        <v>36</v>
      </c>
      <c r="E3817" s="74" t="s">
        <v>37</v>
      </c>
      <c r="F3817" s="75"/>
      <c r="G3817" s="76"/>
      <c r="K3817" s="1">
        <v>9</v>
      </c>
      <c r="L3817" s="1">
        <v>9</v>
      </c>
      <c r="M3817" s="1">
        <v>9</v>
      </c>
      <c r="N3817" s="1">
        <v>9</v>
      </c>
      <c r="O3817" s="1">
        <v>9</v>
      </c>
      <c r="P3817" s="1">
        <v>9</v>
      </c>
      <c r="Q3817" s="1">
        <v>9</v>
      </c>
      <c r="R3817" s="1">
        <v>9</v>
      </c>
      <c r="T3817" s="9"/>
      <c r="U3817" s="1">
        <f t="shared" si="6662"/>
        <v>87</v>
      </c>
      <c r="V3817" s="1">
        <f t="shared" si="6663"/>
        <v>232</v>
      </c>
    </row>
    <row r="3818" spans="1:22" x14ac:dyDescent="0.3">
      <c r="A3818" s="1">
        <f t="shared" si="6607"/>
        <v>87233</v>
      </c>
      <c r="B3818" s="12">
        <f t="shared" ref="B3818:B3827" si="6674">C3802-B3802</f>
        <v>0</v>
      </c>
      <c r="C3818" s="13">
        <f t="shared" ref="C3818:C3827" si="6675">H3802-G3802</f>
        <v>0</v>
      </c>
      <c r="D3818" s="10">
        <f t="shared" ref="D3818:D3827" si="6676">C3818-B3818</f>
        <v>0</v>
      </c>
      <c r="E3818" s="11" t="str">
        <f t="shared" ref="E3818" si="6677">IF(D3793="","",MAX(F3818,G3818))</f>
        <v/>
      </c>
      <c r="F3818" s="10">
        <f t="shared" ref="F3818" si="6678">ABS(MIN(D3818:D3827))</f>
        <v>0</v>
      </c>
      <c r="G3818" s="10">
        <f t="shared" ref="G3818" si="6679">ABS(MAX(D3818:D3827))</f>
        <v>0</v>
      </c>
      <c r="J3818" s="24" t="str">
        <f t="shared" ref="J3818" si="6680">CONCATENATE(K3817,1)</f>
        <v>91</v>
      </c>
      <c r="K3818" s="6" t="e">
        <f t="array" ref="K3818:R3820">LINEST(B3802:B3810,C3802:C3810^{1,2,3,4,5,6,7},TRUE,TRUE)</f>
        <v>#VALUE!</v>
      </c>
      <c r="L3818" s="6" t="e">
        <v>#VALUE!</v>
      </c>
      <c r="M3818" s="6" t="e">
        <v>#VALUE!</v>
      </c>
      <c r="N3818" s="6" t="e">
        <v>#VALUE!</v>
      </c>
      <c r="O3818" s="6" t="e">
        <v>#VALUE!</v>
      </c>
      <c r="P3818" s="6" t="e">
        <v>#VALUE!</v>
      </c>
      <c r="Q3818" s="6" t="e">
        <v>#VALUE!</v>
      </c>
      <c r="R3818" s="6" t="e">
        <v>#VALUE!</v>
      </c>
      <c r="T3818" s="9"/>
      <c r="U3818" s="1">
        <f t="shared" si="6662"/>
        <v>87</v>
      </c>
      <c r="V3818" s="1">
        <f t="shared" si="6663"/>
        <v>233</v>
      </c>
    </row>
    <row r="3819" spans="1:22" x14ac:dyDescent="0.3">
      <c r="A3819" s="1">
        <f t="shared" si="6607"/>
        <v>87234</v>
      </c>
      <c r="B3819" s="12">
        <f t="shared" si="6674"/>
        <v>0</v>
      </c>
      <c r="C3819" s="13">
        <f t="shared" si="6675"/>
        <v>0</v>
      </c>
      <c r="D3819" s="10">
        <f t="shared" si="6676"/>
        <v>0</v>
      </c>
      <c r="E3819" s="74" t="s">
        <v>38</v>
      </c>
      <c r="F3819" s="75"/>
      <c r="G3819" s="76"/>
      <c r="J3819" s="24" t="str">
        <f t="shared" ref="J3819" si="6681">CONCATENATE(K3817,2)</f>
        <v>92</v>
      </c>
      <c r="K3819" s="6" t="e">
        <v>#VALUE!</v>
      </c>
      <c r="L3819" s="6" t="e">
        <v>#VALUE!</v>
      </c>
      <c r="M3819" s="6" t="e">
        <v>#VALUE!</v>
      </c>
      <c r="N3819" s="6" t="e">
        <v>#VALUE!</v>
      </c>
      <c r="O3819" s="6" t="e">
        <v>#VALUE!</v>
      </c>
      <c r="P3819" s="6" t="e">
        <v>#VALUE!</v>
      </c>
      <c r="Q3819" s="6" t="e">
        <v>#VALUE!</v>
      </c>
      <c r="R3819" s="6" t="e">
        <v>#VALUE!</v>
      </c>
      <c r="T3819" s="9"/>
      <c r="U3819" s="1">
        <f t="shared" si="6662"/>
        <v>87</v>
      </c>
      <c r="V3819" s="1">
        <f t="shared" si="6663"/>
        <v>234</v>
      </c>
    </row>
    <row r="3820" spans="1:22" x14ac:dyDescent="0.3">
      <c r="A3820" s="1">
        <f t="shared" si="6607"/>
        <v>87235</v>
      </c>
      <c r="B3820" s="12">
        <f t="shared" si="6674"/>
        <v>0</v>
      </c>
      <c r="C3820" s="13">
        <f t="shared" si="6675"/>
        <v>0</v>
      </c>
      <c r="D3820" s="10">
        <f t="shared" si="6676"/>
        <v>0</v>
      </c>
      <c r="E3820" s="11" t="str">
        <f t="shared" ref="E3820" si="6682">IF(D3793="","",MAX(F3820,G3820))</f>
        <v/>
      </c>
      <c r="F3820" s="10">
        <f t="shared" ref="F3820" si="6683">ABS(MIN(B3818:B3827))</f>
        <v>0</v>
      </c>
      <c r="G3820" s="10">
        <f t="shared" ref="G3820" si="6684">ABS(MAX(B3818:B3827))</f>
        <v>0</v>
      </c>
      <c r="J3820" s="24" t="str">
        <f t="shared" ref="J3820" si="6685">CONCATENATE(K3817,3)</f>
        <v>93</v>
      </c>
      <c r="K3820" s="6" t="e">
        <v>#VALUE!</v>
      </c>
      <c r="L3820" s="6" t="e">
        <v>#VALUE!</v>
      </c>
      <c r="M3820" s="6" t="e">
        <v>#VALUE!</v>
      </c>
      <c r="N3820" s="6" t="e">
        <v>#VALUE!</v>
      </c>
      <c r="O3820" s="6" t="e">
        <v>#VALUE!</v>
      </c>
      <c r="P3820" s="6" t="e">
        <v>#VALUE!</v>
      </c>
      <c r="Q3820" s="6" t="e">
        <v>#VALUE!</v>
      </c>
      <c r="R3820" s="6" t="e">
        <v>#VALUE!</v>
      </c>
      <c r="T3820" s="9"/>
      <c r="U3820" s="1">
        <f t="shared" si="6662"/>
        <v>87</v>
      </c>
      <c r="V3820" s="1">
        <f t="shared" si="6663"/>
        <v>235</v>
      </c>
    </row>
    <row r="3821" spans="1:22" x14ac:dyDescent="0.3">
      <c r="A3821" s="1">
        <f t="shared" si="6607"/>
        <v>87236</v>
      </c>
      <c r="B3821" s="12">
        <f t="shared" si="6674"/>
        <v>0</v>
      </c>
      <c r="C3821" s="13">
        <f t="shared" si="6675"/>
        <v>0</v>
      </c>
      <c r="D3821" s="10">
        <f t="shared" si="6676"/>
        <v>0</v>
      </c>
      <c r="E3821" s="74" t="s">
        <v>39</v>
      </c>
      <c r="F3821" s="75"/>
      <c r="G3821" s="76"/>
      <c r="K3821" s="1">
        <v>10</v>
      </c>
      <c r="L3821" s="1">
        <v>10</v>
      </c>
      <c r="M3821" s="1">
        <v>10</v>
      </c>
      <c r="N3821" s="1">
        <v>10</v>
      </c>
      <c r="O3821" s="1">
        <v>10</v>
      </c>
      <c r="P3821" s="1">
        <v>10</v>
      </c>
      <c r="Q3821" s="1">
        <v>10</v>
      </c>
      <c r="R3821" s="1">
        <v>10</v>
      </c>
      <c r="S3821" s="1">
        <v>10</v>
      </c>
      <c r="T3821" s="9"/>
      <c r="U3821" s="1">
        <f t="shared" si="6662"/>
        <v>87</v>
      </c>
      <c r="V3821" s="1">
        <f t="shared" si="6663"/>
        <v>236</v>
      </c>
    </row>
    <row r="3822" spans="1:22" x14ac:dyDescent="0.3">
      <c r="A3822" s="1">
        <f t="shared" si="6607"/>
        <v>87237</v>
      </c>
      <c r="B3822" s="12">
        <f t="shared" si="6674"/>
        <v>0</v>
      </c>
      <c r="C3822" s="13">
        <f t="shared" si="6675"/>
        <v>0</v>
      </c>
      <c r="D3822" s="10">
        <f t="shared" si="6676"/>
        <v>0</v>
      </c>
      <c r="E3822" s="11" t="str">
        <f t="shared" ref="E3822" si="6686">IF(D3793="","",MAX(F3822,G3822))</f>
        <v/>
      </c>
      <c r="F3822" s="10">
        <f t="shared" ref="F3822" si="6687">ABS(MIN(D3802:D3811))</f>
        <v>0</v>
      </c>
      <c r="G3822" s="10">
        <f t="shared" ref="G3822" si="6688">ABS(MAX(D3802:D3811))</f>
        <v>0</v>
      </c>
      <c r="J3822" s="24" t="str">
        <f t="shared" ref="J3822" si="6689">CONCATENATE(K3821,1)</f>
        <v>101</v>
      </c>
      <c r="K3822" s="6" t="e">
        <f t="array" ref="K3822:S3824">LINEST(B3802:B3811,C3802:C3811^{1,2,3,4,5,6,7,8},TRUE,TRUE)</f>
        <v>#VALUE!</v>
      </c>
      <c r="L3822" s="6" t="e">
        <v>#VALUE!</v>
      </c>
      <c r="M3822" s="6" t="e">
        <v>#VALUE!</v>
      </c>
      <c r="N3822" s="6" t="e">
        <v>#VALUE!</v>
      </c>
      <c r="O3822" s="6" t="e">
        <v>#VALUE!</v>
      </c>
      <c r="P3822" s="6" t="e">
        <v>#VALUE!</v>
      </c>
      <c r="Q3822" s="6" t="e">
        <v>#VALUE!</v>
      </c>
      <c r="R3822" s="6" t="e">
        <v>#VALUE!</v>
      </c>
      <c r="S3822" s="6" t="e">
        <v>#VALUE!</v>
      </c>
      <c r="T3822" s="9"/>
      <c r="U3822" s="1">
        <f t="shared" si="6662"/>
        <v>87</v>
      </c>
      <c r="V3822" s="1">
        <f t="shared" si="6663"/>
        <v>237</v>
      </c>
    </row>
    <row r="3823" spans="1:22" x14ac:dyDescent="0.3">
      <c r="A3823" s="1">
        <f t="shared" si="6607"/>
        <v>87238</v>
      </c>
      <c r="B3823" s="12">
        <f t="shared" si="6674"/>
        <v>0</v>
      </c>
      <c r="C3823" s="13">
        <f t="shared" si="6675"/>
        <v>0</v>
      </c>
      <c r="D3823" s="10">
        <f t="shared" si="6676"/>
        <v>0</v>
      </c>
      <c r="J3823" s="24" t="str">
        <f t="shared" ref="J3823" si="6690">CONCATENATE(K3821,2)</f>
        <v>102</v>
      </c>
      <c r="K3823" s="6" t="e">
        <v>#VALUE!</v>
      </c>
      <c r="L3823" s="6" t="e">
        <v>#VALUE!</v>
      </c>
      <c r="M3823" s="6" t="e">
        <v>#VALUE!</v>
      </c>
      <c r="N3823" s="6" t="e">
        <v>#VALUE!</v>
      </c>
      <c r="O3823" s="6" t="e">
        <v>#VALUE!</v>
      </c>
      <c r="P3823" s="6" t="e">
        <v>#VALUE!</v>
      </c>
      <c r="Q3823" s="6" t="e">
        <v>#VALUE!</v>
      </c>
      <c r="R3823" s="6" t="e">
        <v>#VALUE!</v>
      </c>
      <c r="S3823" s="6" t="e">
        <v>#VALUE!</v>
      </c>
      <c r="T3823" s="9"/>
      <c r="U3823" s="1">
        <f t="shared" si="6662"/>
        <v>87</v>
      </c>
      <c r="V3823" s="1">
        <f t="shared" si="6663"/>
        <v>238</v>
      </c>
    </row>
    <row r="3824" spans="1:22" x14ac:dyDescent="0.3">
      <c r="A3824" s="1">
        <f t="shared" si="6607"/>
        <v>87239</v>
      </c>
      <c r="B3824" s="12">
        <f t="shared" si="6674"/>
        <v>0</v>
      </c>
      <c r="C3824" s="13">
        <f t="shared" si="6675"/>
        <v>0</v>
      </c>
      <c r="D3824" s="10">
        <f t="shared" si="6676"/>
        <v>0</v>
      </c>
      <c r="J3824" s="24" t="str">
        <f t="shared" ref="J3824" si="6691">CONCATENATE(K3821,3)</f>
        <v>103</v>
      </c>
      <c r="K3824" s="6" t="e">
        <v>#VALUE!</v>
      </c>
      <c r="L3824" s="6" t="e">
        <v>#VALUE!</v>
      </c>
      <c r="M3824" s="6" t="e">
        <v>#VALUE!</v>
      </c>
      <c r="N3824" s="6" t="e">
        <v>#VALUE!</v>
      </c>
      <c r="O3824" s="6" t="e">
        <v>#VALUE!</v>
      </c>
      <c r="P3824" s="6" t="e">
        <v>#VALUE!</v>
      </c>
      <c r="Q3824" s="6" t="e">
        <v>#VALUE!</v>
      </c>
      <c r="R3824" s="6" t="e">
        <v>#VALUE!</v>
      </c>
      <c r="S3824" s="6" t="e">
        <v>#VALUE!</v>
      </c>
      <c r="T3824" s="9"/>
      <c r="U3824" s="1">
        <f t="shared" si="6662"/>
        <v>87</v>
      </c>
      <c r="V3824" s="1">
        <f t="shared" si="6663"/>
        <v>239</v>
      </c>
    </row>
    <row r="3825" spans="1:22" x14ac:dyDescent="0.3">
      <c r="A3825" s="1">
        <f t="shared" si="6607"/>
        <v>87240</v>
      </c>
      <c r="B3825" s="12">
        <f t="shared" si="6674"/>
        <v>0</v>
      </c>
      <c r="C3825" s="13">
        <f t="shared" si="6675"/>
        <v>0</v>
      </c>
      <c r="D3825" s="10">
        <f t="shared" si="6676"/>
        <v>0</v>
      </c>
      <c r="J3825" s="9"/>
      <c r="K3825" s="9"/>
      <c r="L3825" s="9"/>
      <c r="M3825" s="9"/>
      <c r="N3825" s="9"/>
      <c r="O3825" s="9"/>
      <c r="P3825" s="9"/>
      <c r="Q3825" s="9"/>
      <c r="R3825" s="9"/>
      <c r="S3825" s="9"/>
      <c r="T3825" s="9"/>
      <c r="U3825" s="1">
        <f t="shared" si="6662"/>
        <v>87</v>
      </c>
      <c r="V3825" s="1">
        <f t="shared" si="6663"/>
        <v>240</v>
      </c>
    </row>
    <row r="3826" spans="1:22" x14ac:dyDescent="0.3">
      <c r="A3826" s="1">
        <f t="shared" si="6607"/>
        <v>87241</v>
      </c>
      <c r="B3826" s="12">
        <f t="shared" si="6674"/>
        <v>0</v>
      </c>
      <c r="C3826" s="13">
        <f t="shared" si="6675"/>
        <v>0</v>
      </c>
      <c r="D3826" s="10">
        <f t="shared" si="6676"/>
        <v>0</v>
      </c>
      <c r="J3826" s="9"/>
      <c r="K3826" s="9"/>
      <c r="L3826" s="9"/>
      <c r="M3826" s="9"/>
      <c r="N3826" s="9"/>
      <c r="O3826" s="9"/>
      <c r="P3826" s="9"/>
      <c r="Q3826" s="9"/>
      <c r="R3826" s="9"/>
      <c r="S3826" s="9"/>
      <c r="T3826" s="9"/>
      <c r="U3826" s="1">
        <f t="shared" si="6662"/>
        <v>87</v>
      </c>
      <c r="V3826" s="1">
        <f t="shared" si="6663"/>
        <v>241</v>
      </c>
    </row>
    <row r="3827" spans="1:22" x14ac:dyDescent="0.3">
      <c r="A3827" s="1">
        <f t="shared" si="6607"/>
        <v>87242</v>
      </c>
      <c r="B3827" s="12">
        <f t="shared" si="6674"/>
        <v>0</v>
      </c>
      <c r="C3827" s="13">
        <f t="shared" si="6675"/>
        <v>0</v>
      </c>
      <c r="D3827" s="10">
        <f t="shared" si="6676"/>
        <v>0</v>
      </c>
      <c r="J3827" s="9"/>
      <c r="K3827" s="9"/>
      <c r="L3827" s="9"/>
      <c r="M3827" s="9"/>
      <c r="N3827" s="9"/>
      <c r="O3827" s="9"/>
      <c r="P3827" s="9"/>
      <c r="Q3827" s="9"/>
      <c r="R3827" s="9"/>
      <c r="S3827" s="9"/>
      <c r="T3827" s="9"/>
      <c r="U3827" s="1">
        <f t="shared" si="6662"/>
        <v>87</v>
      </c>
      <c r="V3827" s="1">
        <f t="shared" si="6663"/>
        <v>242</v>
      </c>
    </row>
    <row r="3828" spans="1:22" x14ac:dyDescent="0.3">
      <c r="A3828" s="1">
        <f t="shared" si="6607"/>
        <v>87243</v>
      </c>
      <c r="J3828" s="9"/>
      <c r="K3828" s="9"/>
      <c r="L3828" s="9"/>
      <c r="M3828" s="9"/>
      <c r="N3828" s="9"/>
      <c r="O3828" s="9"/>
      <c r="P3828" s="9"/>
      <c r="Q3828" s="9"/>
      <c r="R3828" s="9"/>
      <c r="S3828" s="9"/>
      <c r="T3828" s="9"/>
      <c r="U3828" s="1">
        <f t="shared" si="6662"/>
        <v>87</v>
      </c>
      <c r="V3828" s="1">
        <f t="shared" si="6663"/>
        <v>243</v>
      </c>
    </row>
    <row r="3829" spans="1:22" s="5" customFormat="1" x14ac:dyDescent="0.3"/>
    <row r="3830" spans="1:22" x14ac:dyDescent="0.3">
      <c r="A3830" s="1">
        <f t="shared" ref="A3830:A3872" si="6692">ROUND(CONCATENATE(U3830,V3830),0)</f>
        <v>88201</v>
      </c>
      <c r="B3830" s="96" t="s">
        <v>0</v>
      </c>
      <c r="C3830" s="97"/>
      <c r="D3830" s="98"/>
      <c r="E3830" s="99"/>
      <c r="F3830" s="99"/>
      <c r="G3830" s="99"/>
      <c r="H3830" s="100"/>
      <c r="J3830" s="9"/>
      <c r="K3830" s="9"/>
      <c r="L3830" s="9"/>
      <c r="M3830" s="9"/>
      <c r="N3830" s="9"/>
      <c r="O3830" s="9"/>
      <c r="P3830" s="9"/>
      <c r="Q3830" s="9"/>
      <c r="R3830" s="9"/>
      <c r="S3830" s="9"/>
      <c r="T3830" s="9"/>
      <c r="U3830" s="1">
        <f t="shared" ref="U3830" si="6693">U3828+1</f>
        <v>88</v>
      </c>
      <c r="V3830" s="1">
        <v>201</v>
      </c>
    </row>
    <row r="3831" spans="1:22" x14ac:dyDescent="0.3">
      <c r="A3831" s="1">
        <f t="shared" si="6692"/>
        <v>88202</v>
      </c>
      <c r="B3831" s="96" t="s">
        <v>1</v>
      </c>
      <c r="C3831" s="97"/>
      <c r="D3831" s="15"/>
      <c r="E3831" s="16" t="s">
        <v>2</v>
      </c>
      <c r="F3831" s="107"/>
      <c r="G3831" s="108"/>
      <c r="H3831" s="109"/>
      <c r="J3831" s="9"/>
      <c r="K3831" s="9"/>
      <c r="L3831" s="9"/>
      <c r="M3831" s="9"/>
      <c r="N3831" s="9"/>
      <c r="O3831" s="9"/>
      <c r="P3831" s="9"/>
      <c r="Q3831" s="9"/>
      <c r="R3831" s="9"/>
      <c r="S3831" s="9"/>
      <c r="T3831" s="9"/>
      <c r="U3831" s="1">
        <f t="shared" ref="U3831" si="6694">U3830</f>
        <v>88</v>
      </c>
      <c r="V3831" s="1">
        <f t="shared" ref="V3831" si="6695">V3830+1</f>
        <v>202</v>
      </c>
    </row>
    <row r="3832" spans="1:22" x14ac:dyDescent="0.3">
      <c r="A3832" s="1">
        <f t="shared" si="6692"/>
        <v>88203</v>
      </c>
      <c r="B3832" s="96" t="s">
        <v>12</v>
      </c>
      <c r="C3832" s="97"/>
      <c r="D3832" s="98"/>
      <c r="E3832" s="99"/>
      <c r="F3832" s="99"/>
      <c r="G3832" s="99"/>
      <c r="H3832" s="100"/>
      <c r="K3832" s="1" t="s">
        <v>3</v>
      </c>
      <c r="L3832" s="1" t="s">
        <v>4</v>
      </c>
      <c r="M3832" s="1" t="s">
        <v>5</v>
      </c>
      <c r="N3832" s="1" t="s">
        <v>6</v>
      </c>
      <c r="O3832" s="1" t="s">
        <v>7</v>
      </c>
      <c r="P3832" s="1" t="s">
        <v>8</v>
      </c>
      <c r="Q3832" s="1" t="s">
        <v>9</v>
      </c>
      <c r="R3832" s="1" t="s">
        <v>10</v>
      </c>
      <c r="S3832" s="1" t="s">
        <v>11</v>
      </c>
      <c r="T3832" s="9"/>
      <c r="U3832" s="1">
        <f t="shared" si="6662"/>
        <v>88</v>
      </c>
      <c r="V3832" s="1">
        <f t="shared" si="6663"/>
        <v>203</v>
      </c>
    </row>
    <row r="3833" spans="1:22" x14ac:dyDescent="0.3">
      <c r="A3833" s="1">
        <f t="shared" si="6692"/>
        <v>88204</v>
      </c>
      <c r="B3833" s="96" t="s">
        <v>13</v>
      </c>
      <c r="C3833" s="97"/>
      <c r="D3833" s="98"/>
      <c r="E3833" s="99"/>
      <c r="F3833" s="99"/>
      <c r="G3833" s="99"/>
      <c r="H3833" s="100"/>
      <c r="J3833" s="1">
        <f t="shared" ref="J3833" si="6696">COUNTA(B3846:B3855)</f>
        <v>0</v>
      </c>
      <c r="K3833" s="1">
        <f t="shared" ref="K3833" si="6697">IF(L3833-1&lt;2,0,L3833-1)</f>
        <v>0</v>
      </c>
      <c r="L3833" s="1">
        <f t="shared" ref="L3833" si="6698">IF(M3833-1&lt;2,0,M3833-1)</f>
        <v>0</v>
      </c>
      <c r="M3833" s="1">
        <f t="shared" ref="M3833" si="6699">IF(N3833-1&lt;2,0,N3833-1)</f>
        <v>0</v>
      </c>
      <c r="N3833" s="1">
        <f t="shared" ref="N3833" si="6700">IF(O3833-1&lt;2,0,O3833-1)</f>
        <v>0</v>
      </c>
      <c r="O3833" s="1">
        <f t="shared" ref="O3833" si="6701">IF(P3833-1&lt;2,0,P3833-1)</f>
        <v>0</v>
      </c>
      <c r="P3833" s="1">
        <f t="shared" ref="P3833" si="6702">IF(Q3833-1&lt;2,0,Q3833-1)</f>
        <v>0</v>
      </c>
      <c r="Q3833" s="1">
        <f t="shared" ref="Q3833" si="6703">IF(R3833-1&lt;2,0,R3833-1)</f>
        <v>0</v>
      </c>
      <c r="R3833" s="1">
        <f t="shared" ref="R3833" si="6704">IF(S3833-1&lt;2,0,S3833-1)</f>
        <v>0</v>
      </c>
      <c r="S3833" s="1">
        <f t="shared" ref="S3833" si="6705">J3833</f>
        <v>0</v>
      </c>
      <c r="T3833" s="9"/>
      <c r="U3833" s="1">
        <f t="shared" si="6662"/>
        <v>88</v>
      </c>
      <c r="V3833" s="1">
        <f t="shared" si="6663"/>
        <v>204</v>
      </c>
    </row>
    <row r="3834" spans="1:22" x14ac:dyDescent="0.3">
      <c r="A3834" s="1">
        <f t="shared" si="6692"/>
        <v>88205</v>
      </c>
      <c r="B3834" s="96" t="s">
        <v>14</v>
      </c>
      <c r="C3834" s="97"/>
      <c r="D3834" s="98"/>
      <c r="E3834" s="99"/>
      <c r="F3834" s="99"/>
      <c r="G3834" s="99"/>
      <c r="H3834" s="100"/>
      <c r="J3834" s="24" t="str">
        <f t="shared" ref="J3834" si="6706">CONCATENATE(J3833,1)</f>
        <v>01</v>
      </c>
      <c r="K3834" s="25">
        <f t="shared" ref="K3834" si="6707">IF(K3833=0,0,VLOOKUP(J3834,J3838:S3868,K3833,FALSE))</f>
        <v>0</v>
      </c>
      <c r="L3834" s="25">
        <f t="shared" ref="L3834" si="6708">IF(L3833=0,0,VLOOKUP(J3834,J3838:S3868,L3833,FALSE))</f>
        <v>0</v>
      </c>
      <c r="M3834" s="25">
        <f t="shared" ref="M3834" si="6709">IF(M3833=0,0,VLOOKUP(J3834,J3838:S3868,M3833,FALSE))</f>
        <v>0</v>
      </c>
      <c r="N3834" s="25">
        <f t="shared" ref="N3834" si="6710">IF(N3833=0,0,VLOOKUP(J3834,J3838:S3868,N3833,FALSE))</f>
        <v>0</v>
      </c>
      <c r="O3834" s="25">
        <f t="shared" ref="O3834" si="6711">IF(O3833=0,0,VLOOKUP(J3834,J3838:S3868,O3833,FALSE))</f>
        <v>0</v>
      </c>
      <c r="P3834" s="25">
        <f t="shared" ref="P3834" si="6712">IF(P3833=0,0,VLOOKUP(J3834,J3838:S3868,P3833,FALSE))</f>
        <v>0</v>
      </c>
      <c r="Q3834" s="25">
        <f t="shared" ref="Q3834" si="6713">IF(Q3833=0,0,VLOOKUP(J3834,J3838:S3868,Q3833,FALSE))</f>
        <v>0</v>
      </c>
      <c r="R3834" s="25">
        <f t="shared" ref="R3834" si="6714">IF(R3833=0,0,VLOOKUP(J3834,J3838:S3868,R3833,FALSE))</f>
        <v>0</v>
      </c>
      <c r="S3834" s="25">
        <f t="shared" ref="S3834" si="6715">IF(S3833=0,0,VLOOKUP(J3834,J3838:S3868,S3833,FALSE))</f>
        <v>0</v>
      </c>
      <c r="T3834" s="9"/>
      <c r="U3834" s="1">
        <f t="shared" si="6662"/>
        <v>88</v>
      </c>
      <c r="V3834" s="1">
        <f t="shared" si="6663"/>
        <v>205</v>
      </c>
    </row>
    <row r="3835" spans="1:22" x14ac:dyDescent="0.3">
      <c r="A3835" s="1">
        <f t="shared" si="6692"/>
        <v>88206</v>
      </c>
      <c r="B3835" s="96" t="s">
        <v>15</v>
      </c>
      <c r="C3835" s="97"/>
      <c r="D3835" s="98"/>
      <c r="E3835" s="99"/>
      <c r="F3835" s="99"/>
      <c r="G3835" s="99"/>
      <c r="H3835" s="100"/>
      <c r="J3835" s="24" t="str">
        <f t="shared" ref="J3835" si="6716">CONCATENATE(J3833,2)</f>
        <v>02</v>
      </c>
      <c r="K3835" s="6">
        <f t="shared" ref="K3835" si="6717">IF(K3833=0,0,VLOOKUP(J3835,J3838:S3868,K3833,FALSE))</f>
        <v>0</v>
      </c>
      <c r="L3835" s="6">
        <f t="shared" ref="L3835" si="6718">IF(L3833=0,0,VLOOKUP(J3835,J3838:S3868,L3833,FALSE))</f>
        <v>0</v>
      </c>
      <c r="M3835" s="6">
        <f t="shared" ref="M3835" si="6719">IF(M3833=0,0,VLOOKUP(J3835,J3838:S3868,M3833,FALSE))</f>
        <v>0</v>
      </c>
      <c r="N3835" s="6">
        <f t="shared" ref="N3835" si="6720">IF(N3833=0,0,VLOOKUP(J3835,J3838:S3868,N3833,FALSE))</f>
        <v>0</v>
      </c>
      <c r="O3835" s="6">
        <f t="shared" ref="O3835" si="6721">IF(O3833=0,0,VLOOKUP(J3835,J3838:S3868,O3833,FALSE))</f>
        <v>0</v>
      </c>
      <c r="P3835" s="6">
        <f t="shared" ref="P3835" si="6722">IF(P3833=0,0,VLOOKUP(J3835,J3838:S3868,P3833,FALSE))</f>
        <v>0</v>
      </c>
      <c r="Q3835" s="6">
        <f t="shared" ref="Q3835" si="6723">IF(Q3833=0,0,VLOOKUP(J3835,J3838:S3868,Q3833,FALSE))</f>
        <v>0</v>
      </c>
      <c r="R3835" s="6">
        <f t="shared" ref="R3835" si="6724">IF(R3833=0,0,VLOOKUP(J3835,J3838:S3868,R3833,FALSE))</f>
        <v>0</v>
      </c>
      <c r="S3835" s="6">
        <f t="shared" ref="S3835" si="6725">IF(S3833=0,0,VLOOKUP(J3835,J3838:S3868,S3833,FALSE))</f>
        <v>0</v>
      </c>
      <c r="T3835" s="9"/>
      <c r="U3835" s="1">
        <f t="shared" si="6662"/>
        <v>88</v>
      </c>
      <c r="V3835" s="1">
        <f t="shared" si="6663"/>
        <v>206</v>
      </c>
    </row>
    <row r="3836" spans="1:22" x14ac:dyDescent="0.3">
      <c r="A3836" s="1">
        <f t="shared" si="6692"/>
        <v>88207</v>
      </c>
      <c r="B3836" s="96" t="s">
        <v>16</v>
      </c>
      <c r="C3836" s="97"/>
      <c r="D3836" s="101"/>
      <c r="E3836" s="102"/>
      <c r="F3836" s="102"/>
      <c r="G3836" s="102"/>
      <c r="H3836" s="103"/>
      <c r="J3836" s="24" t="str">
        <f t="shared" ref="J3836" si="6726">CONCATENATE(J3833,3)</f>
        <v>03</v>
      </c>
      <c r="K3836" s="6"/>
      <c r="L3836" s="6"/>
      <c r="M3836" s="6"/>
      <c r="N3836" s="6" t="s">
        <v>43</v>
      </c>
      <c r="O3836" s="25">
        <f t="shared" ref="O3836" si="6727">J3833-2</f>
        <v>-2</v>
      </c>
      <c r="P3836" s="6" t="s">
        <v>44</v>
      </c>
      <c r="Q3836" s="25" t="e">
        <f t="shared" ref="Q3836" si="6728">VLOOKUP(J3836,J3838:S3868,3,FALSE)</f>
        <v>#N/A</v>
      </c>
      <c r="R3836" s="6" t="s">
        <v>45</v>
      </c>
      <c r="S3836" s="6" t="e">
        <f t="shared" ref="S3836" si="6729">VLOOKUP(J3836,J3838:S3868,2,FALSE)</f>
        <v>#N/A</v>
      </c>
      <c r="T3836" s="9"/>
      <c r="U3836" s="1">
        <f t="shared" si="6662"/>
        <v>88</v>
      </c>
      <c r="V3836" s="1">
        <f t="shared" si="6663"/>
        <v>207</v>
      </c>
    </row>
    <row r="3837" spans="1:22" x14ac:dyDescent="0.3">
      <c r="A3837" s="1">
        <f t="shared" si="6692"/>
        <v>88208</v>
      </c>
      <c r="B3837" s="96" t="s">
        <v>17</v>
      </c>
      <c r="C3837" s="97"/>
      <c r="D3837" s="104"/>
      <c r="E3837" s="105"/>
      <c r="F3837" s="105"/>
      <c r="G3837" s="105"/>
      <c r="H3837" s="106"/>
      <c r="K3837" s="1">
        <v>3</v>
      </c>
      <c r="L3837" s="1">
        <v>3</v>
      </c>
      <c r="Q3837" s="26"/>
      <c r="R3837" s="26"/>
      <c r="S3837" s="26"/>
      <c r="T3837" s="9"/>
      <c r="U3837" s="1">
        <f t="shared" si="6662"/>
        <v>88</v>
      </c>
      <c r="V3837" s="1">
        <f t="shared" si="6663"/>
        <v>208</v>
      </c>
    </row>
    <row r="3838" spans="1:22" x14ac:dyDescent="0.3">
      <c r="A3838" s="1">
        <f t="shared" si="6692"/>
        <v>88209</v>
      </c>
      <c r="B3838" s="77" t="s">
        <v>19</v>
      </c>
      <c r="C3838" s="78"/>
      <c r="D3838" s="17"/>
      <c r="E3838" s="79" t="s">
        <v>40</v>
      </c>
      <c r="F3838" s="80"/>
      <c r="G3838" s="81"/>
      <c r="H3838" s="18" t="s">
        <v>72</v>
      </c>
      <c r="J3838" s="24" t="str">
        <f t="shared" ref="J3838" si="6730">CONCATENATE(K3837,1)</f>
        <v>31</v>
      </c>
      <c r="K3838" s="6" t="e">
        <f t="array" ref="K3838:L3840">LINEST(B3846:B3848,C3846:C3848^{1},TRUE,TRUE)</f>
        <v>#VALUE!</v>
      </c>
      <c r="L3838" s="6" t="e">
        <v>#VALUE!</v>
      </c>
      <c r="Q3838" s="9"/>
      <c r="R3838" s="9"/>
      <c r="S3838" s="9"/>
      <c r="T3838" s="9"/>
      <c r="U3838" s="1">
        <f t="shared" si="6662"/>
        <v>88</v>
      </c>
      <c r="V3838" s="1">
        <f t="shared" si="6663"/>
        <v>209</v>
      </c>
    </row>
    <row r="3839" spans="1:22" x14ac:dyDescent="0.3">
      <c r="A3839" s="1">
        <f t="shared" si="6692"/>
        <v>88210</v>
      </c>
      <c r="B3839" s="77" t="s">
        <v>41</v>
      </c>
      <c r="C3839" s="78"/>
      <c r="D3839" s="23">
        <f t="shared" ref="D3839" si="6731">MIN(B3846:B3855)</f>
        <v>0</v>
      </c>
      <c r="E3839" s="20" t="s">
        <v>18</v>
      </c>
      <c r="F3839" s="19">
        <f t="shared" ref="F3839" si="6732">MAX(B3846:B3855)</f>
        <v>0</v>
      </c>
      <c r="G3839" s="21" t="str">
        <f t="shared" ref="G3839" si="6733">IF(H3838="","",H3838)</f>
        <v>%ur</v>
      </c>
      <c r="H3839" s="22"/>
      <c r="J3839" s="24" t="str">
        <f t="shared" ref="J3839" si="6734">CONCATENATE(K3837,2)</f>
        <v>32</v>
      </c>
      <c r="K3839" s="6" t="e">
        <v>#VALUE!</v>
      </c>
      <c r="L3839" s="6" t="e">
        <v>#VALUE!</v>
      </c>
      <c r="Q3839" s="9"/>
      <c r="R3839" s="9"/>
      <c r="S3839" s="9"/>
      <c r="T3839" s="9"/>
      <c r="U3839" s="1">
        <f t="shared" si="6662"/>
        <v>88</v>
      </c>
      <c r="V3839" s="1">
        <f t="shared" si="6663"/>
        <v>210</v>
      </c>
    </row>
    <row r="3840" spans="1:22" x14ac:dyDescent="0.3">
      <c r="A3840" s="1">
        <f t="shared" si="6692"/>
        <v>88211</v>
      </c>
      <c r="J3840" s="24" t="str">
        <f t="shared" ref="J3840" si="6735">CONCATENATE(K3837,3)</f>
        <v>33</v>
      </c>
      <c r="K3840" s="6" t="e">
        <v>#VALUE!</v>
      </c>
      <c r="L3840" s="6" t="e">
        <v>#VALUE!</v>
      </c>
      <c r="Q3840" s="9"/>
      <c r="R3840" s="9"/>
      <c r="S3840" s="9"/>
      <c r="T3840" s="9"/>
      <c r="U3840" s="1">
        <f t="shared" si="6662"/>
        <v>88</v>
      </c>
      <c r="V3840" s="1">
        <f t="shared" si="6663"/>
        <v>211</v>
      </c>
    </row>
    <row r="3841" spans="1:22" x14ac:dyDescent="0.3">
      <c r="A3841" s="1">
        <f t="shared" si="6692"/>
        <v>88212</v>
      </c>
      <c r="B3841" s="82" t="s">
        <v>20</v>
      </c>
      <c r="C3841" s="83"/>
      <c r="D3841" s="83"/>
      <c r="E3841" s="83"/>
      <c r="F3841" s="84"/>
      <c r="G3841" s="85" t="s">
        <v>31</v>
      </c>
      <c r="H3841" s="86"/>
      <c r="K3841" s="1">
        <v>4</v>
      </c>
      <c r="L3841" s="1">
        <v>4</v>
      </c>
      <c r="M3841" s="1">
        <v>4</v>
      </c>
      <c r="Q3841" s="9"/>
      <c r="R3841" s="9"/>
      <c r="S3841" s="9"/>
      <c r="T3841" s="9"/>
      <c r="U3841" s="1">
        <f t="shared" si="6662"/>
        <v>88</v>
      </c>
      <c r="V3841" s="1">
        <f t="shared" si="6663"/>
        <v>212</v>
      </c>
    </row>
    <row r="3842" spans="1:22" x14ac:dyDescent="0.3">
      <c r="A3842" s="1">
        <f t="shared" si="6692"/>
        <v>88213</v>
      </c>
      <c r="B3842" s="82" t="s">
        <v>30</v>
      </c>
      <c r="C3842" s="83"/>
      <c r="D3842" s="84"/>
      <c r="E3842" s="82">
        <f t="shared" ref="E3842" si="6736">D3835</f>
        <v>0</v>
      </c>
      <c r="F3842" s="84"/>
      <c r="G3842" s="6" t="s">
        <v>32</v>
      </c>
      <c r="H3842" s="7"/>
      <c r="J3842" s="24" t="str">
        <f t="shared" ref="J3842" si="6737">CONCATENATE(K3841,1)</f>
        <v>41</v>
      </c>
      <c r="K3842" s="6" t="e">
        <f t="array" ref="K3842:M3844">LINEST(B3846:B3849,C3846:C3849^{1,2},TRUE,TRUE)</f>
        <v>#VALUE!</v>
      </c>
      <c r="L3842" s="6" t="e">
        <v>#VALUE!</v>
      </c>
      <c r="M3842" s="6" t="e">
        <v>#VALUE!</v>
      </c>
      <c r="Q3842" s="9"/>
      <c r="R3842" s="9"/>
      <c r="S3842" s="9"/>
      <c r="T3842" s="9"/>
      <c r="U3842" s="1">
        <f t="shared" si="6662"/>
        <v>88</v>
      </c>
      <c r="V3842" s="1">
        <f t="shared" si="6663"/>
        <v>213</v>
      </c>
    </row>
    <row r="3843" spans="1:22" x14ac:dyDescent="0.3">
      <c r="A3843" s="1">
        <f t="shared" si="6692"/>
        <v>88214</v>
      </c>
      <c r="B3843" s="2" t="s">
        <v>21</v>
      </c>
      <c r="C3843" s="2" t="s">
        <v>22</v>
      </c>
      <c r="D3843" s="2" t="s">
        <v>23</v>
      </c>
      <c r="E3843" s="2"/>
      <c r="F3843" s="2" t="s">
        <v>28</v>
      </c>
      <c r="G3843" s="2" t="s">
        <v>21</v>
      </c>
      <c r="H3843" s="2" t="s">
        <v>22</v>
      </c>
      <c r="J3843" s="24" t="str">
        <f t="shared" ref="J3843" si="6738">CONCATENATE(K3841,2)</f>
        <v>42</v>
      </c>
      <c r="K3843" s="6" t="e">
        <v>#VALUE!</v>
      </c>
      <c r="L3843" s="6" t="e">
        <v>#VALUE!</v>
      </c>
      <c r="M3843" s="6" t="e">
        <v>#VALUE!</v>
      </c>
      <c r="Q3843" s="9"/>
      <c r="R3843" s="9"/>
      <c r="S3843" s="9"/>
      <c r="T3843" s="9"/>
      <c r="U3843" s="1">
        <f t="shared" si="6662"/>
        <v>88</v>
      </c>
      <c r="V3843" s="1">
        <f t="shared" si="6663"/>
        <v>214</v>
      </c>
    </row>
    <row r="3844" spans="1:22" x14ac:dyDescent="0.3">
      <c r="A3844" s="1">
        <f t="shared" si="6692"/>
        <v>88215</v>
      </c>
      <c r="B3844" s="2" t="s">
        <v>24</v>
      </c>
      <c r="C3844" s="2" t="s">
        <v>25</v>
      </c>
      <c r="D3844" s="2" t="s">
        <v>26</v>
      </c>
      <c r="E3844" s="2" t="s">
        <v>27</v>
      </c>
      <c r="F3844" s="2" t="s">
        <v>29</v>
      </c>
      <c r="G3844" s="2" t="s">
        <v>24</v>
      </c>
      <c r="H3844" s="2" t="s">
        <v>25</v>
      </c>
      <c r="J3844" s="24" t="str">
        <f t="shared" ref="J3844" si="6739">CONCATENATE(K3841,3)</f>
        <v>43</v>
      </c>
      <c r="K3844" s="6" t="e">
        <v>#VALUE!</v>
      </c>
      <c r="L3844" s="6" t="e">
        <v>#VALUE!</v>
      </c>
      <c r="M3844" s="6" t="e">
        <v>#VALUE!</v>
      </c>
      <c r="Q3844" s="9"/>
      <c r="R3844" s="9"/>
      <c r="S3844" s="9"/>
      <c r="T3844" s="9"/>
      <c r="U3844" s="1">
        <f t="shared" si="6662"/>
        <v>88</v>
      </c>
      <c r="V3844" s="1">
        <f t="shared" si="6663"/>
        <v>215</v>
      </c>
    </row>
    <row r="3845" spans="1:22" x14ac:dyDescent="0.3">
      <c r="A3845" s="1">
        <f t="shared" si="6692"/>
        <v>88216</v>
      </c>
      <c r="B3845" s="3" t="str">
        <f t="shared" ref="B3845" si="6740">H3838</f>
        <v>%ur</v>
      </c>
      <c r="C3845" s="3" t="str">
        <f t="shared" ref="C3845" si="6741">B3845</f>
        <v>%ur</v>
      </c>
      <c r="D3845" s="3" t="str">
        <f t="shared" ref="D3845" si="6742">C3845</f>
        <v>%ur</v>
      </c>
      <c r="E3845" s="3"/>
      <c r="F3845" s="3"/>
      <c r="G3845" s="3" t="str">
        <f t="shared" ref="G3845" si="6743">D3845</f>
        <v>%ur</v>
      </c>
      <c r="H3845" s="3" t="str">
        <f t="shared" ref="H3845" si="6744">G3845</f>
        <v>%ur</v>
      </c>
      <c r="K3845" s="1">
        <v>5</v>
      </c>
      <c r="L3845" s="1">
        <v>5</v>
      </c>
      <c r="M3845" s="1">
        <v>5</v>
      </c>
      <c r="N3845" s="1">
        <v>5</v>
      </c>
      <c r="Q3845" s="9"/>
      <c r="R3845" s="9"/>
      <c r="S3845" s="9"/>
      <c r="T3845" s="9"/>
      <c r="U3845" s="1">
        <f t="shared" si="6662"/>
        <v>88</v>
      </c>
      <c r="V3845" s="1">
        <f t="shared" si="6663"/>
        <v>216</v>
      </c>
    </row>
    <row r="3846" spans="1:22" x14ac:dyDescent="0.3">
      <c r="A3846" s="1">
        <f t="shared" si="6692"/>
        <v>88217</v>
      </c>
      <c r="B3846" s="4"/>
      <c r="C3846" s="4"/>
      <c r="D3846" s="4"/>
      <c r="E3846" s="4"/>
      <c r="F3846" s="14"/>
      <c r="G3846" s="8"/>
      <c r="H3846" s="7"/>
      <c r="J3846" s="24" t="str">
        <f t="shared" ref="J3846" si="6745">CONCATENATE(K3845,1)</f>
        <v>51</v>
      </c>
      <c r="K3846" s="6" t="e">
        <f t="array" ref="K3846:N3848">LINEST(B3846:B3850,C3846:C3850^{1,2,3},TRUE,TRUE)</f>
        <v>#VALUE!</v>
      </c>
      <c r="L3846" s="6" t="e">
        <v>#VALUE!</v>
      </c>
      <c r="M3846" s="6" t="e">
        <v>#VALUE!</v>
      </c>
      <c r="N3846" s="6" t="e">
        <v>#VALUE!</v>
      </c>
      <c r="Q3846" s="9"/>
      <c r="R3846" s="9"/>
      <c r="S3846" s="9"/>
      <c r="T3846" s="9"/>
      <c r="U3846" s="1">
        <f t="shared" si="6662"/>
        <v>88</v>
      </c>
      <c r="V3846" s="1">
        <f t="shared" si="6663"/>
        <v>217</v>
      </c>
    </row>
    <row r="3847" spans="1:22" x14ac:dyDescent="0.3">
      <c r="A3847" s="1">
        <f t="shared" si="6692"/>
        <v>88218</v>
      </c>
      <c r="B3847" s="4"/>
      <c r="C3847" s="4"/>
      <c r="D3847" s="4"/>
      <c r="E3847" s="4"/>
      <c r="F3847" s="14"/>
      <c r="G3847" s="8"/>
      <c r="H3847" s="7"/>
      <c r="J3847" s="24" t="str">
        <f t="shared" ref="J3847" si="6746">CONCATENATE(K3845,2)</f>
        <v>52</v>
      </c>
      <c r="K3847" s="6" t="e">
        <v>#VALUE!</v>
      </c>
      <c r="L3847" s="6" t="e">
        <v>#VALUE!</v>
      </c>
      <c r="M3847" s="6" t="e">
        <v>#VALUE!</v>
      </c>
      <c r="N3847" s="6" t="e">
        <v>#VALUE!</v>
      </c>
      <c r="T3847" s="9"/>
      <c r="U3847" s="1">
        <f t="shared" si="6662"/>
        <v>88</v>
      </c>
      <c r="V3847" s="1">
        <f t="shared" si="6663"/>
        <v>218</v>
      </c>
    </row>
    <row r="3848" spans="1:22" x14ac:dyDescent="0.3">
      <c r="A3848" s="1">
        <f t="shared" si="6692"/>
        <v>88219</v>
      </c>
      <c r="B3848" s="4"/>
      <c r="C3848" s="4"/>
      <c r="D3848" s="4"/>
      <c r="E3848" s="4"/>
      <c r="F3848" s="14"/>
      <c r="G3848" s="8"/>
      <c r="H3848" s="7"/>
      <c r="J3848" s="24" t="str">
        <f t="shared" ref="J3848" si="6747">CONCATENATE(K3845,3)</f>
        <v>53</v>
      </c>
      <c r="K3848" s="6" t="e">
        <v>#VALUE!</v>
      </c>
      <c r="L3848" s="6" t="e">
        <v>#VALUE!</v>
      </c>
      <c r="M3848" s="6" t="e">
        <v>#VALUE!</v>
      </c>
      <c r="N3848" s="6" t="e">
        <v>#VALUE!</v>
      </c>
      <c r="T3848" s="9"/>
      <c r="U3848" s="1">
        <f t="shared" si="6662"/>
        <v>88</v>
      </c>
      <c r="V3848" s="1">
        <f t="shared" si="6663"/>
        <v>219</v>
      </c>
    </row>
    <row r="3849" spans="1:22" x14ac:dyDescent="0.3">
      <c r="A3849" s="1">
        <f t="shared" si="6692"/>
        <v>88220</v>
      </c>
      <c r="B3849" s="4"/>
      <c r="C3849" s="4"/>
      <c r="D3849" s="4"/>
      <c r="E3849" s="4"/>
      <c r="F3849" s="14"/>
      <c r="G3849" s="8"/>
      <c r="H3849" s="7"/>
      <c r="K3849" s="1">
        <v>6</v>
      </c>
      <c r="L3849" s="1">
        <v>6</v>
      </c>
      <c r="M3849" s="1">
        <v>6</v>
      </c>
      <c r="N3849" s="1">
        <v>6</v>
      </c>
      <c r="O3849" s="1">
        <v>6</v>
      </c>
      <c r="T3849" s="9"/>
      <c r="U3849" s="1">
        <f t="shared" si="6662"/>
        <v>88</v>
      </c>
      <c r="V3849" s="1">
        <f t="shared" si="6663"/>
        <v>220</v>
      </c>
    </row>
    <row r="3850" spans="1:22" x14ac:dyDescent="0.3">
      <c r="A3850" s="1">
        <f t="shared" si="6692"/>
        <v>88221</v>
      </c>
      <c r="B3850" s="4"/>
      <c r="C3850" s="4"/>
      <c r="D3850" s="4"/>
      <c r="E3850" s="4"/>
      <c r="F3850" s="14"/>
      <c r="G3850" s="8"/>
      <c r="H3850" s="7"/>
      <c r="J3850" s="24" t="str">
        <f t="shared" ref="J3850" si="6748">CONCATENATE(K3849,1)</f>
        <v>61</v>
      </c>
      <c r="K3850" s="6" t="e">
        <f t="array" ref="K3850:O3852">LINEST(B3846:B3851,C3846:C3851^{1,2,3,4},TRUE,TRUE)</f>
        <v>#VALUE!</v>
      </c>
      <c r="L3850" s="6" t="e">
        <v>#VALUE!</v>
      </c>
      <c r="M3850" s="6" t="e">
        <v>#VALUE!</v>
      </c>
      <c r="N3850" s="6" t="e">
        <v>#VALUE!</v>
      </c>
      <c r="O3850" s="6" t="e">
        <v>#VALUE!</v>
      </c>
      <c r="T3850" s="9"/>
      <c r="U3850" s="1">
        <f t="shared" si="6662"/>
        <v>88</v>
      </c>
      <c r="V3850" s="1">
        <f t="shared" si="6663"/>
        <v>221</v>
      </c>
    </row>
    <row r="3851" spans="1:22" x14ac:dyDescent="0.3">
      <c r="A3851" s="1">
        <f t="shared" si="6692"/>
        <v>88222</v>
      </c>
      <c r="B3851" s="4"/>
      <c r="C3851" s="4"/>
      <c r="D3851" s="4"/>
      <c r="E3851" s="4"/>
      <c r="F3851" s="14"/>
      <c r="G3851" s="8"/>
      <c r="H3851" s="7"/>
      <c r="J3851" s="24" t="str">
        <f t="shared" ref="J3851" si="6749">CONCATENATE(K3849,2)</f>
        <v>62</v>
      </c>
      <c r="K3851" s="6" t="e">
        <v>#VALUE!</v>
      </c>
      <c r="L3851" s="6" t="e">
        <v>#VALUE!</v>
      </c>
      <c r="M3851" s="6" t="e">
        <v>#VALUE!</v>
      </c>
      <c r="N3851" s="6" t="e">
        <v>#VALUE!</v>
      </c>
      <c r="O3851" s="6" t="e">
        <v>#VALUE!</v>
      </c>
      <c r="T3851" s="9"/>
      <c r="U3851" s="1">
        <f t="shared" si="6662"/>
        <v>88</v>
      </c>
      <c r="V3851" s="1">
        <f t="shared" si="6663"/>
        <v>222</v>
      </c>
    </row>
    <row r="3852" spans="1:22" x14ac:dyDescent="0.3">
      <c r="A3852" s="1">
        <f t="shared" si="6692"/>
        <v>88223</v>
      </c>
      <c r="B3852" s="4"/>
      <c r="C3852" s="4"/>
      <c r="D3852" s="4"/>
      <c r="E3852" s="4"/>
      <c r="F3852" s="14"/>
      <c r="G3852" s="8"/>
      <c r="H3852" s="7"/>
      <c r="J3852" s="24" t="str">
        <f t="shared" ref="J3852" si="6750">CONCATENATE(K3849,3)</f>
        <v>63</v>
      </c>
      <c r="K3852" s="6" t="e">
        <v>#VALUE!</v>
      </c>
      <c r="L3852" s="6" t="e">
        <v>#VALUE!</v>
      </c>
      <c r="M3852" s="6" t="e">
        <v>#VALUE!</v>
      </c>
      <c r="N3852" s="6" t="e">
        <v>#VALUE!</v>
      </c>
      <c r="O3852" s="6" t="e">
        <v>#VALUE!</v>
      </c>
      <c r="T3852" s="9"/>
      <c r="U3852" s="1">
        <f t="shared" si="6662"/>
        <v>88</v>
      </c>
      <c r="V3852" s="1">
        <f t="shared" si="6663"/>
        <v>223</v>
      </c>
    </row>
    <row r="3853" spans="1:22" x14ac:dyDescent="0.3">
      <c r="A3853" s="1">
        <f t="shared" si="6692"/>
        <v>88224</v>
      </c>
      <c r="B3853" s="4"/>
      <c r="C3853" s="4"/>
      <c r="D3853" s="4"/>
      <c r="E3853" s="4"/>
      <c r="F3853" s="14"/>
      <c r="G3853" s="8"/>
      <c r="H3853" s="7"/>
      <c r="K3853" s="1">
        <v>7</v>
      </c>
      <c r="L3853" s="1">
        <v>7</v>
      </c>
      <c r="M3853" s="1">
        <v>7</v>
      </c>
      <c r="N3853" s="1">
        <v>7</v>
      </c>
      <c r="O3853" s="1">
        <v>7</v>
      </c>
      <c r="P3853" s="1">
        <v>7</v>
      </c>
      <c r="T3853" s="9"/>
      <c r="U3853" s="1">
        <f t="shared" si="6662"/>
        <v>88</v>
      </c>
      <c r="V3853" s="1">
        <f t="shared" si="6663"/>
        <v>224</v>
      </c>
    </row>
    <row r="3854" spans="1:22" x14ac:dyDescent="0.3">
      <c r="A3854" s="1">
        <f t="shared" si="6692"/>
        <v>88225</v>
      </c>
      <c r="B3854" s="4"/>
      <c r="C3854" s="4"/>
      <c r="D3854" s="4"/>
      <c r="E3854" s="4"/>
      <c r="F3854" s="14"/>
      <c r="G3854" s="8"/>
      <c r="H3854" s="7"/>
      <c r="J3854" s="24" t="str">
        <f t="shared" ref="J3854" si="6751">CONCATENATE(K3853,1)</f>
        <v>71</v>
      </c>
      <c r="K3854" s="6" t="e">
        <f t="array" ref="K3854:P3856">LINEST(B3846:B3852,C3846:C3852^{1,2,3,4,5},TRUE,TRUE)</f>
        <v>#VALUE!</v>
      </c>
      <c r="L3854" s="6" t="e">
        <v>#VALUE!</v>
      </c>
      <c r="M3854" s="6" t="e">
        <v>#VALUE!</v>
      </c>
      <c r="N3854" s="6" t="e">
        <v>#VALUE!</v>
      </c>
      <c r="O3854" s="6" t="e">
        <v>#VALUE!</v>
      </c>
      <c r="P3854" s="6" t="e">
        <v>#VALUE!</v>
      </c>
      <c r="T3854" s="9"/>
      <c r="U3854" s="1">
        <f t="shared" si="6662"/>
        <v>88</v>
      </c>
      <c r="V3854" s="1">
        <f t="shared" si="6663"/>
        <v>225</v>
      </c>
    </row>
    <row r="3855" spans="1:22" x14ac:dyDescent="0.3">
      <c r="A3855" s="1">
        <f t="shared" si="6692"/>
        <v>88226</v>
      </c>
      <c r="B3855" s="4"/>
      <c r="C3855" s="4"/>
      <c r="D3855" s="4"/>
      <c r="E3855" s="4"/>
      <c r="F3855" s="14"/>
      <c r="G3855" s="8"/>
      <c r="H3855" s="7"/>
      <c r="J3855" s="24" t="str">
        <f t="shared" ref="J3855" si="6752">CONCATENATE(K3853,2)</f>
        <v>72</v>
      </c>
      <c r="K3855" s="6" t="e">
        <v>#VALUE!</v>
      </c>
      <c r="L3855" s="6" t="e">
        <v>#VALUE!</v>
      </c>
      <c r="M3855" s="6" t="e">
        <v>#VALUE!</v>
      </c>
      <c r="N3855" s="6" t="e">
        <v>#VALUE!</v>
      </c>
      <c r="O3855" s="6" t="e">
        <v>#VALUE!</v>
      </c>
      <c r="P3855" s="6" t="e">
        <v>#VALUE!</v>
      </c>
      <c r="T3855" s="9"/>
      <c r="U3855" s="1">
        <f t="shared" si="6662"/>
        <v>88</v>
      </c>
      <c r="V3855" s="1">
        <f t="shared" si="6663"/>
        <v>226</v>
      </c>
    </row>
    <row r="3856" spans="1:22" x14ac:dyDescent="0.3">
      <c r="A3856" s="1">
        <f t="shared" si="6692"/>
        <v>88227</v>
      </c>
      <c r="B3856" s="9"/>
      <c r="C3856" s="9"/>
      <c r="D3856" s="9"/>
      <c r="E3856" s="9"/>
      <c r="F3856" s="9"/>
      <c r="G3856" s="9"/>
      <c r="H3856" s="9"/>
      <c r="J3856" s="24" t="str">
        <f t="shared" ref="J3856" si="6753">CONCATENATE(K3853,3)</f>
        <v>73</v>
      </c>
      <c r="K3856" s="6" t="e">
        <v>#VALUE!</v>
      </c>
      <c r="L3856" s="6" t="e">
        <v>#VALUE!</v>
      </c>
      <c r="M3856" s="6" t="e">
        <v>#VALUE!</v>
      </c>
      <c r="N3856" s="6" t="e">
        <v>#VALUE!</v>
      </c>
      <c r="O3856" s="6" t="e">
        <v>#VALUE!</v>
      </c>
      <c r="P3856" s="6" t="e">
        <v>#VALUE!</v>
      </c>
      <c r="T3856" s="9"/>
      <c r="U3856" s="1">
        <f t="shared" si="6662"/>
        <v>88</v>
      </c>
      <c r="V3856" s="1">
        <f t="shared" si="6663"/>
        <v>227</v>
      </c>
    </row>
    <row r="3857" spans="1:22" x14ac:dyDescent="0.3">
      <c r="A3857" s="1">
        <f t="shared" si="6692"/>
        <v>88228</v>
      </c>
      <c r="B3857" s="87" t="s">
        <v>33</v>
      </c>
      <c r="C3857" s="88"/>
      <c r="D3857" s="88"/>
      <c r="E3857" s="88"/>
      <c r="F3857" s="88"/>
      <c r="G3857" s="88"/>
      <c r="H3857" s="89"/>
      <c r="K3857" s="1">
        <v>8</v>
      </c>
      <c r="L3857" s="1">
        <v>8</v>
      </c>
      <c r="M3857" s="1">
        <v>8</v>
      </c>
      <c r="N3857" s="1">
        <v>8</v>
      </c>
      <c r="O3857" s="1">
        <v>8</v>
      </c>
      <c r="P3857" s="1">
        <v>8</v>
      </c>
      <c r="Q3857" s="1">
        <v>8</v>
      </c>
      <c r="T3857" s="9"/>
      <c r="U3857" s="1">
        <f t="shared" si="6662"/>
        <v>88</v>
      </c>
      <c r="V3857" s="1">
        <f t="shared" si="6663"/>
        <v>228</v>
      </c>
    </row>
    <row r="3858" spans="1:22" x14ac:dyDescent="0.3">
      <c r="A3858" s="1">
        <f t="shared" si="6692"/>
        <v>88229</v>
      </c>
      <c r="B3858" s="90"/>
      <c r="C3858" s="91"/>
      <c r="D3858" s="91"/>
      <c r="E3858" s="91"/>
      <c r="F3858" s="91"/>
      <c r="G3858" s="91"/>
      <c r="H3858" s="92"/>
      <c r="J3858" s="24" t="str">
        <f t="shared" ref="J3858" si="6754">CONCATENATE(K3857,1)</f>
        <v>81</v>
      </c>
      <c r="K3858" s="6" t="e">
        <f t="array" ref="K3858:Q3860">LINEST(B3846:B3853,C3846:C3853^{1,2,3,4,5,6},TRUE,TRUE)</f>
        <v>#VALUE!</v>
      </c>
      <c r="L3858" s="6" t="e">
        <v>#VALUE!</v>
      </c>
      <c r="M3858" s="6" t="e">
        <v>#VALUE!</v>
      </c>
      <c r="N3858" s="6" t="e">
        <v>#VALUE!</v>
      </c>
      <c r="O3858" s="6" t="e">
        <v>#VALUE!</v>
      </c>
      <c r="P3858" s="6" t="e">
        <v>#VALUE!</v>
      </c>
      <c r="Q3858" s="6" t="e">
        <v>#VALUE!</v>
      </c>
      <c r="T3858" s="9"/>
      <c r="U3858" s="1">
        <f t="shared" si="6662"/>
        <v>88</v>
      </c>
      <c r="V3858" s="1">
        <f t="shared" si="6663"/>
        <v>229</v>
      </c>
    </row>
    <row r="3859" spans="1:22" x14ac:dyDescent="0.3">
      <c r="A3859" s="1">
        <f t="shared" si="6692"/>
        <v>88230</v>
      </c>
      <c r="B3859" s="93"/>
      <c r="C3859" s="94"/>
      <c r="D3859" s="94"/>
      <c r="E3859" s="94"/>
      <c r="F3859" s="94"/>
      <c r="G3859" s="94"/>
      <c r="H3859" s="95"/>
      <c r="J3859" s="24" t="str">
        <f t="shared" ref="J3859" si="6755">CONCATENATE(K3857,2)</f>
        <v>82</v>
      </c>
      <c r="K3859" s="6" t="e">
        <v>#VALUE!</v>
      </c>
      <c r="L3859" s="6" t="e">
        <v>#VALUE!</v>
      </c>
      <c r="M3859" s="6" t="e">
        <v>#VALUE!</v>
      </c>
      <c r="N3859" s="6" t="e">
        <v>#VALUE!</v>
      </c>
      <c r="O3859" s="6" t="e">
        <v>#VALUE!</v>
      </c>
      <c r="P3859" s="6" t="e">
        <v>#VALUE!</v>
      </c>
      <c r="Q3859" s="6" t="e">
        <v>#VALUE!</v>
      </c>
      <c r="T3859" s="9"/>
      <c r="U3859" s="1">
        <f t="shared" si="6662"/>
        <v>88</v>
      </c>
      <c r="V3859" s="1">
        <f t="shared" si="6663"/>
        <v>230</v>
      </c>
    </row>
    <row r="3860" spans="1:22" x14ac:dyDescent="0.3">
      <c r="A3860" s="1">
        <f t="shared" si="6692"/>
        <v>88231</v>
      </c>
      <c r="J3860" s="24" t="str">
        <f t="shared" ref="J3860" si="6756">CONCATENATE(K3857,3)</f>
        <v>83</v>
      </c>
      <c r="K3860" s="6" t="e">
        <v>#VALUE!</v>
      </c>
      <c r="L3860" s="6" t="e">
        <v>#VALUE!</v>
      </c>
      <c r="M3860" s="6" t="e">
        <v>#VALUE!</v>
      </c>
      <c r="N3860" s="6" t="e">
        <v>#VALUE!</v>
      </c>
      <c r="O3860" s="6" t="e">
        <v>#VALUE!</v>
      </c>
      <c r="P3860" s="6" t="e">
        <v>#VALUE!</v>
      </c>
      <c r="Q3860" s="6" t="e">
        <v>#VALUE!</v>
      </c>
      <c r="T3860" s="9"/>
      <c r="U3860" s="1">
        <f t="shared" si="6662"/>
        <v>88</v>
      </c>
      <c r="V3860" s="1">
        <f t="shared" si="6663"/>
        <v>231</v>
      </c>
    </row>
    <row r="3861" spans="1:22" ht="15" customHeight="1" x14ac:dyDescent="0.3">
      <c r="A3861" s="1">
        <f t="shared" si="6692"/>
        <v>88232</v>
      </c>
      <c r="B3861" s="10" t="s">
        <v>34</v>
      </c>
      <c r="C3861" s="10" t="s">
        <v>35</v>
      </c>
      <c r="D3861" s="10" t="s">
        <v>36</v>
      </c>
      <c r="E3861" s="74" t="s">
        <v>37</v>
      </c>
      <c r="F3861" s="75"/>
      <c r="G3861" s="76"/>
      <c r="K3861" s="1">
        <v>9</v>
      </c>
      <c r="L3861" s="1">
        <v>9</v>
      </c>
      <c r="M3861" s="1">
        <v>9</v>
      </c>
      <c r="N3861" s="1">
        <v>9</v>
      </c>
      <c r="O3861" s="1">
        <v>9</v>
      </c>
      <c r="P3861" s="1">
        <v>9</v>
      </c>
      <c r="Q3861" s="1">
        <v>9</v>
      </c>
      <c r="R3861" s="1">
        <v>9</v>
      </c>
      <c r="T3861" s="9"/>
      <c r="U3861" s="1">
        <f t="shared" si="6662"/>
        <v>88</v>
      </c>
      <c r="V3861" s="1">
        <f t="shared" si="6663"/>
        <v>232</v>
      </c>
    </row>
    <row r="3862" spans="1:22" x14ac:dyDescent="0.3">
      <c r="A3862" s="1">
        <f t="shared" si="6692"/>
        <v>88233</v>
      </c>
      <c r="B3862" s="12">
        <f t="shared" ref="B3862:B3871" si="6757">C3846-B3846</f>
        <v>0</v>
      </c>
      <c r="C3862" s="13">
        <f t="shared" ref="C3862:C3871" si="6758">H3846-G3846</f>
        <v>0</v>
      </c>
      <c r="D3862" s="10">
        <f t="shared" ref="D3862:D3871" si="6759">C3862-B3862</f>
        <v>0</v>
      </c>
      <c r="E3862" s="11" t="str">
        <f t="shared" ref="E3862" si="6760">IF(D3837="","",MAX(F3862,G3862))</f>
        <v/>
      </c>
      <c r="F3862" s="10">
        <f t="shared" ref="F3862" si="6761">ABS(MIN(D3862:D3871))</f>
        <v>0</v>
      </c>
      <c r="G3862" s="10">
        <f t="shared" ref="G3862" si="6762">ABS(MAX(D3862:D3871))</f>
        <v>0</v>
      </c>
      <c r="J3862" s="24" t="str">
        <f t="shared" ref="J3862" si="6763">CONCATENATE(K3861,1)</f>
        <v>91</v>
      </c>
      <c r="K3862" s="6" t="e">
        <f t="array" ref="K3862:R3864">LINEST(B3846:B3854,C3846:C3854^{1,2,3,4,5,6,7},TRUE,TRUE)</f>
        <v>#VALUE!</v>
      </c>
      <c r="L3862" s="6" t="e">
        <v>#VALUE!</v>
      </c>
      <c r="M3862" s="6" t="e">
        <v>#VALUE!</v>
      </c>
      <c r="N3862" s="6" t="e">
        <v>#VALUE!</v>
      </c>
      <c r="O3862" s="6" t="e">
        <v>#VALUE!</v>
      </c>
      <c r="P3862" s="6" t="e">
        <v>#VALUE!</v>
      </c>
      <c r="Q3862" s="6" t="e">
        <v>#VALUE!</v>
      </c>
      <c r="R3862" s="6" t="e">
        <v>#VALUE!</v>
      </c>
      <c r="T3862" s="9"/>
      <c r="U3862" s="1">
        <f t="shared" si="6662"/>
        <v>88</v>
      </c>
      <c r="V3862" s="1">
        <f t="shared" si="6663"/>
        <v>233</v>
      </c>
    </row>
    <row r="3863" spans="1:22" x14ac:dyDescent="0.3">
      <c r="A3863" s="1">
        <f t="shared" si="6692"/>
        <v>88234</v>
      </c>
      <c r="B3863" s="12">
        <f t="shared" si="6757"/>
        <v>0</v>
      </c>
      <c r="C3863" s="13">
        <f t="shared" si="6758"/>
        <v>0</v>
      </c>
      <c r="D3863" s="10">
        <f t="shared" si="6759"/>
        <v>0</v>
      </c>
      <c r="E3863" s="74" t="s">
        <v>38</v>
      </c>
      <c r="F3863" s="75"/>
      <c r="G3863" s="76"/>
      <c r="J3863" s="24" t="str">
        <f t="shared" ref="J3863" si="6764">CONCATENATE(K3861,2)</f>
        <v>92</v>
      </c>
      <c r="K3863" s="6" t="e">
        <v>#VALUE!</v>
      </c>
      <c r="L3863" s="6" t="e">
        <v>#VALUE!</v>
      </c>
      <c r="M3863" s="6" t="e">
        <v>#VALUE!</v>
      </c>
      <c r="N3863" s="6" t="e">
        <v>#VALUE!</v>
      </c>
      <c r="O3863" s="6" t="e">
        <v>#VALUE!</v>
      </c>
      <c r="P3863" s="6" t="e">
        <v>#VALUE!</v>
      </c>
      <c r="Q3863" s="6" t="e">
        <v>#VALUE!</v>
      </c>
      <c r="R3863" s="6" t="e">
        <v>#VALUE!</v>
      </c>
      <c r="T3863" s="9"/>
      <c r="U3863" s="1">
        <f t="shared" si="6662"/>
        <v>88</v>
      </c>
      <c r="V3863" s="1">
        <f t="shared" si="6663"/>
        <v>234</v>
      </c>
    </row>
    <row r="3864" spans="1:22" x14ac:dyDescent="0.3">
      <c r="A3864" s="1">
        <f t="shared" si="6692"/>
        <v>88235</v>
      </c>
      <c r="B3864" s="12">
        <f t="shared" si="6757"/>
        <v>0</v>
      </c>
      <c r="C3864" s="13">
        <f t="shared" si="6758"/>
        <v>0</v>
      </c>
      <c r="D3864" s="10">
        <f t="shared" si="6759"/>
        <v>0</v>
      </c>
      <c r="E3864" s="11" t="str">
        <f t="shared" ref="E3864" si="6765">IF(D3837="","",MAX(F3864,G3864))</f>
        <v/>
      </c>
      <c r="F3864" s="10">
        <f t="shared" ref="F3864" si="6766">ABS(MIN(B3862:B3871))</f>
        <v>0</v>
      </c>
      <c r="G3864" s="10">
        <f t="shared" ref="G3864" si="6767">ABS(MAX(B3862:B3871))</f>
        <v>0</v>
      </c>
      <c r="J3864" s="24" t="str">
        <f t="shared" ref="J3864" si="6768">CONCATENATE(K3861,3)</f>
        <v>93</v>
      </c>
      <c r="K3864" s="6" t="e">
        <v>#VALUE!</v>
      </c>
      <c r="L3864" s="6" t="e">
        <v>#VALUE!</v>
      </c>
      <c r="M3864" s="6" t="e">
        <v>#VALUE!</v>
      </c>
      <c r="N3864" s="6" t="e">
        <v>#VALUE!</v>
      </c>
      <c r="O3864" s="6" t="e">
        <v>#VALUE!</v>
      </c>
      <c r="P3864" s="6" t="e">
        <v>#VALUE!</v>
      </c>
      <c r="Q3864" s="6" t="e">
        <v>#VALUE!</v>
      </c>
      <c r="R3864" s="6" t="e">
        <v>#VALUE!</v>
      </c>
      <c r="T3864" s="9"/>
      <c r="U3864" s="1">
        <f t="shared" si="6662"/>
        <v>88</v>
      </c>
      <c r="V3864" s="1">
        <f t="shared" si="6663"/>
        <v>235</v>
      </c>
    </row>
    <row r="3865" spans="1:22" x14ac:dyDescent="0.3">
      <c r="A3865" s="1">
        <f t="shared" si="6692"/>
        <v>88236</v>
      </c>
      <c r="B3865" s="12">
        <f t="shared" si="6757"/>
        <v>0</v>
      </c>
      <c r="C3865" s="13">
        <f t="shared" si="6758"/>
        <v>0</v>
      </c>
      <c r="D3865" s="10">
        <f t="shared" si="6759"/>
        <v>0</v>
      </c>
      <c r="E3865" s="74" t="s">
        <v>39</v>
      </c>
      <c r="F3865" s="75"/>
      <c r="G3865" s="76"/>
      <c r="K3865" s="1">
        <v>10</v>
      </c>
      <c r="L3865" s="1">
        <v>10</v>
      </c>
      <c r="M3865" s="1">
        <v>10</v>
      </c>
      <c r="N3865" s="1">
        <v>10</v>
      </c>
      <c r="O3865" s="1">
        <v>10</v>
      </c>
      <c r="P3865" s="1">
        <v>10</v>
      </c>
      <c r="Q3865" s="1">
        <v>10</v>
      </c>
      <c r="R3865" s="1">
        <v>10</v>
      </c>
      <c r="S3865" s="1">
        <v>10</v>
      </c>
      <c r="T3865" s="9"/>
      <c r="U3865" s="1">
        <f t="shared" si="6662"/>
        <v>88</v>
      </c>
      <c r="V3865" s="1">
        <f t="shared" si="6663"/>
        <v>236</v>
      </c>
    </row>
    <row r="3866" spans="1:22" x14ac:dyDescent="0.3">
      <c r="A3866" s="1">
        <f t="shared" si="6692"/>
        <v>88237</v>
      </c>
      <c r="B3866" s="12">
        <f t="shared" si="6757"/>
        <v>0</v>
      </c>
      <c r="C3866" s="13">
        <f t="shared" si="6758"/>
        <v>0</v>
      </c>
      <c r="D3866" s="10">
        <f t="shared" si="6759"/>
        <v>0</v>
      </c>
      <c r="E3866" s="11" t="str">
        <f t="shared" ref="E3866" si="6769">IF(D3837="","",MAX(F3866,G3866))</f>
        <v/>
      </c>
      <c r="F3866" s="10">
        <f t="shared" ref="F3866" si="6770">ABS(MIN(D3846:D3855))</f>
        <v>0</v>
      </c>
      <c r="G3866" s="10">
        <f t="shared" ref="G3866" si="6771">ABS(MAX(D3846:D3855))</f>
        <v>0</v>
      </c>
      <c r="J3866" s="24" t="str">
        <f t="shared" ref="J3866" si="6772">CONCATENATE(K3865,1)</f>
        <v>101</v>
      </c>
      <c r="K3866" s="6" t="e">
        <f t="array" ref="K3866:S3868">LINEST(B3846:B3855,C3846:C3855^{1,2,3,4,5,6,7,8},TRUE,TRUE)</f>
        <v>#VALUE!</v>
      </c>
      <c r="L3866" s="6" t="e">
        <v>#VALUE!</v>
      </c>
      <c r="M3866" s="6" t="e">
        <v>#VALUE!</v>
      </c>
      <c r="N3866" s="6" t="e">
        <v>#VALUE!</v>
      </c>
      <c r="O3866" s="6" t="e">
        <v>#VALUE!</v>
      </c>
      <c r="P3866" s="6" t="e">
        <v>#VALUE!</v>
      </c>
      <c r="Q3866" s="6" t="e">
        <v>#VALUE!</v>
      </c>
      <c r="R3866" s="6" t="e">
        <v>#VALUE!</v>
      </c>
      <c r="S3866" s="6" t="e">
        <v>#VALUE!</v>
      </c>
      <c r="T3866" s="9"/>
      <c r="U3866" s="1">
        <f t="shared" si="6662"/>
        <v>88</v>
      </c>
      <c r="V3866" s="1">
        <f t="shared" si="6663"/>
        <v>237</v>
      </c>
    </row>
    <row r="3867" spans="1:22" x14ac:dyDescent="0.3">
      <c r="A3867" s="1">
        <f t="shared" si="6692"/>
        <v>88238</v>
      </c>
      <c r="B3867" s="12">
        <f t="shared" si="6757"/>
        <v>0</v>
      </c>
      <c r="C3867" s="13">
        <f t="shared" si="6758"/>
        <v>0</v>
      </c>
      <c r="D3867" s="10">
        <f t="shared" si="6759"/>
        <v>0</v>
      </c>
      <c r="J3867" s="24" t="str">
        <f t="shared" ref="J3867" si="6773">CONCATENATE(K3865,2)</f>
        <v>102</v>
      </c>
      <c r="K3867" s="6" t="e">
        <v>#VALUE!</v>
      </c>
      <c r="L3867" s="6" t="e">
        <v>#VALUE!</v>
      </c>
      <c r="M3867" s="6" t="e">
        <v>#VALUE!</v>
      </c>
      <c r="N3867" s="6" t="e">
        <v>#VALUE!</v>
      </c>
      <c r="O3867" s="6" t="e">
        <v>#VALUE!</v>
      </c>
      <c r="P3867" s="6" t="e">
        <v>#VALUE!</v>
      </c>
      <c r="Q3867" s="6" t="e">
        <v>#VALUE!</v>
      </c>
      <c r="R3867" s="6" t="e">
        <v>#VALUE!</v>
      </c>
      <c r="S3867" s="6" t="e">
        <v>#VALUE!</v>
      </c>
      <c r="T3867" s="9"/>
      <c r="U3867" s="1">
        <f t="shared" ref="U3867:U3930" si="6774">U3866</f>
        <v>88</v>
      </c>
      <c r="V3867" s="1">
        <f t="shared" ref="V3867:V3930" si="6775">V3866+1</f>
        <v>238</v>
      </c>
    </row>
    <row r="3868" spans="1:22" x14ac:dyDescent="0.3">
      <c r="A3868" s="1">
        <f t="shared" si="6692"/>
        <v>88239</v>
      </c>
      <c r="B3868" s="12">
        <f t="shared" si="6757"/>
        <v>0</v>
      </c>
      <c r="C3868" s="13">
        <f t="shared" si="6758"/>
        <v>0</v>
      </c>
      <c r="D3868" s="10">
        <f t="shared" si="6759"/>
        <v>0</v>
      </c>
      <c r="J3868" s="24" t="str">
        <f t="shared" ref="J3868" si="6776">CONCATENATE(K3865,3)</f>
        <v>103</v>
      </c>
      <c r="K3868" s="6" t="e">
        <v>#VALUE!</v>
      </c>
      <c r="L3868" s="6" t="e">
        <v>#VALUE!</v>
      </c>
      <c r="M3868" s="6" t="e">
        <v>#VALUE!</v>
      </c>
      <c r="N3868" s="6" t="e">
        <v>#VALUE!</v>
      </c>
      <c r="O3868" s="6" t="e">
        <v>#VALUE!</v>
      </c>
      <c r="P3868" s="6" t="e">
        <v>#VALUE!</v>
      </c>
      <c r="Q3868" s="6" t="e">
        <v>#VALUE!</v>
      </c>
      <c r="R3868" s="6" t="e">
        <v>#VALUE!</v>
      </c>
      <c r="S3868" s="6" t="e">
        <v>#VALUE!</v>
      </c>
      <c r="T3868" s="9"/>
      <c r="U3868" s="1">
        <f t="shared" si="6774"/>
        <v>88</v>
      </c>
      <c r="V3868" s="1">
        <f t="shared" si="6775"/>
        <v>239</v>
      </c>
    </row>
    <row r="3869" spans="1:22" x14ac:dyDescent="0.3">
      <c r="A3869" s="1">
        <f t="shared" si="6692"/>
        <v>88240</v>
      </c>
      <c r="B3869" s="12">
        <f t="shared" si="6757"/>
        <v>0</v>
      </c>
      <c r="C3869" s="13">
        <f t="shared" si="6758"/>
        <v>0</v>
      </c>
      <c r="D3869" s="10">
        <f t="shared" si="6759"/>
        <v>0</v>
      </c>
      <c r="J3869" s="9"/>
      <c r="K3869" s="9"/>
      <c r="L3869" s="9"/>
      <c r="M3869" s="9"/>
      <c r="N3869" s="9"/>
      <c r="O3869" s="9"/>
      <c r="P3869" s="9"/>
      <c r="Q3869" s="9"/>
      <c r="R3869" s="9"/>
      <c r="S3869" s="9"/>
      <c r="T3869" s="9"/>
      <c r="U3869" s="1">
        <f t="shared" si="6774"/>
        <v>88</v>
      </c>
      <c r="V3869" s="1">
        <f t="shared" si="6775"/>
        <v>240</v>
      </c>
    </row>
    <row r="3870" spans="1:22" x14ac:dyDescent="0.3">
      <c r="A3870" s="1">
        <f t="shared" si="6692"/>
        <v>88241</v>
      </c>
      <c r="B3870" s="12">
        <f t="shared" si="6757"/>
        <v>0</v>
      </c>
      <c r="C3870" s="13">
        <f t="shared" si="6758"/>
        <v>0</v>
      </c>
      <c r="D3870" s="10">
        <f t="shared" si="6759"/>
        <v>0</v>
      </c>
      <c r="J3870" s="9"/>
      <c r="K3870" s="9"/>
      <c r="L3870" s="9"/>
      <c r="M3870" s="9"/>
      <c r="N3870" s="9"/>
      <c r="O3870" s="9"/>
      <c r="P3870" s="9"/>
      <c r="Q3870" s="9"/>
      <c r="R3870" s="9"/>
      <c r="S3870" s="9"/>
      <c r="T3870" s="9"/>
      <c r="U3870" s="1">
        <f t="shared" si="6774"/>
        <v>88</v>
      </c>
      <c r="V3870" s="1">
        <f t="shared" si="6775"/>
        <v>241</v>
      </c>
    </row>
    <row r="3871" spans="1:22" x14ac:dyDescent="0.3">
      <c r="A3871" s="1">
        <f t="shared" si="6692"/>
        <v>88242</v>
      </c>
      <c r="B3871" s="12">
        <f t="shared" si="6757"/>
        <v>0</v>
      </c>
      <c r="C3871" s="13">
        <f t="shared" si="6758"/>
        <v>0</v>
      </c>
      <c r="D3871" s="10">
        <f t="shared" si="6759"/>
        <v>0</v>
      </c>
      <c r="J3871" s="9"/>
      <c r="K3871" s="9"/>
      <c r="L3871" s="9"/>
      <c r="M3871" s="9"/>
      <c r="N3871" s="9"/>
      <c r="O3871" s="9"/>
      <c r="P3871" s="9"/>
      <c r="Q3871" s="9"/>
      <c r="R3871" s="9"/>
      <c r="S3871" s="9"/>
      <c r="T3871" s="9"/>
      <c r="U3871" s="1">
        <f t="shared" si="6774"/>
        <v>88</v>
      </c>
      <c r="V3871" s="1">
        <f t="shared" si="6775"/>
        <v>242</v>
      </c>
    </row>
    <row r="3872" spans="1:22" x14ac:dyDescent="0.3">
      <c r="A3872" s="1">
        <f t="shared" si="6692"/>
        <v>88243</v>
      </c>
      <c r="J3872" s="9"/>
      <c r="K3872" s="9"/>
      <c r="L3872" s="9"/>
      <c r="M3872" s="9"/>
      <c r="N3872" s="9"/>
      <c r="O3872" s="9"/>
      <c r="P3872" s="9"/>
      <c r="Q3872" s="9"/>
      <c r="R3872" s="9"/>
      <c r="S3872" s="9"/>
      <c r="T3872" s="9"/>
      <c r="U3872" s="1">
        <f t="shared" si="6774"/>
        <v>88</v>
      </c>
      <c r="V3872" s="1">
        <f t="shared" si="6775"/>
        <v>243</v>
      </c>
    </row>
    <row r="3873" spans="1:22" s="5" customFormat="1" x14ac:dyDescent="0.3"/>
    <row r="3874" spans="1:22" x14ac:dyDescent="0.3">
      <c r="A3874" s="1">
        <f t="shared" ref="A3874:A3916" si="6777">ROUND(CONCATENATE(U3874,V3874),0)</f>
        <v>89201</v>
      </c>
      <c r="B3874" s="96" t="s">
        <v>0</v>
      </c>
      <c r="C3874" s="97"/>
      <c r="D3874" s="98"/>
      <c r="E3874" s="99"/>
      <c r="F3874" s="99"/>
      <c r="G3874" s="99"/>
      <c r="H3874" s="100"/>
      <c r="J3874" s="9"/>
      <c r="K3874" s="9"/>
      <c r="L3874" s="9"/>
      <c r="M3874" s="9"/>
      <c r="N3874" s="9"/>
      <c r="O3874" s="9"/>
      <c r="P3874" s="9"/>
      <c r="Q3874" s="9"/>
      <c r="R3874" s="9"/>
      <c r="S3874" s="9"/>
      <c r="T3874" s="9"/>
      <c r="U3874" s="1">
        <f t="shared" ref="U3874" si="6778">U3872+1</f>
        <v>89</v>
      </c>
      <c r="V3874" s="1">
        <v>201</v>
      </c>
    </row>
    <row r="3875" spans="1:22" x14ac:dyDescent="0.3">
      <c r="A3875" s="1">
        <f t="shared" si="6777"/>
        <v>89202</v>
      </c>
      <c r="B3875" s="96" t="s">
        <v>1</v>
      </c>
      <c r="C3875" s="97"/>
      <c r="D3875" s="15"/>
      <c r="E3875" s="16" t="s">
        <v>2</v>
      </c>
      <c r="F3875" s="107"/>
      <c r="G3875" s="108"/>
      <c r="H3875" s="109"/>
      <c r="J3875" s="9"/>
      <c r="K3875" s="9"/>
      <c r="L3875" s="9"/>
      <c r="M3875" s="9"/>
      <c r="N3875" s="9"/>
      <c r="O3875" s="9"/>
      <c r="P3875" s="9"/>
      <c r="Q3875" s="9"/>
      <c r="R3875" s="9"/>
      <c r="S3875" s="9"/>
      <c r="T3875" s="9"/>
      <c r="U3875" s="1">
        <f t="shared" ref="U3875" si="6779">U3874</f>
        <v>89</v>
      </c>
      <c r="V3875" s="1">
        <f t="shared" ref="V3875" si="6780">V3874+1</f>
        <v>202</v>
      </c>
    </row>
    <row r="3876" spans="1:22" x14ac:dyDescent="0.3">
      <c r="A3876" s="1">
        <f t="shared" si="6777"/>
        <v>89203</v>
      </c>
      <c r="B3876" s="96" t="s">
        <v>12</v>
      </c>
      <c r="C3876" s="97"/>
      <c r="D3876" s="98"/>
      <c r="E3876" s="99"/>
      <c r="F3876" s="99"/>
      <c r="G3876" s="99"/>
      <c r="H3876" s="100"/>
      <c r="K3876" s="1" t="s">
        <v>3</v>
      </c>
      <c r="L3876" s="1" t="s">
        <v>4</v>
      </c>
      <c r="M3876" s="1" t="s">
        <v>5</v>
      </c>
      <c r="N3876" s="1" t="s">
        <v>6</v>
      </c>
      <c r="O3876" s="1" t="s">
        <v>7</v>
      </c>
      <c r="P3876" s="1" t="s">
        <v>8</v>
      </c>
      <c r="Q3876" s="1" t="s">
        <v>9</v>
      </c>
      <c r="R3876" s="1" t="s">
        <v>10</v>
      </c>
      <c r="S3876" s="1" t="s">
        <v>11</v>
      </c>
      <c r="T3876" s="9"/>
      <c r="U3876" s="1">
        <f t="shared" si="6774"/>
        <v>89</v>
      </c>
      <c r="V3876" s="1">
        <f t="shared" si="6775"/>
        <v>203</v>
      </c>
    </row>
    <row r="3877" spans="1:22" x14ac:dyDescent="0.3">
      <c r="A3877" s="1">
        <f t="shared" si="6777"/>
        <v>89204</v>
      </c>
      <c r="B3877" s="96" t="s">
        <v>13</v>
      </c>
      <c r="C3877" s="97"/>
      <c r="D3877" s="98"/>
      <c r="E3877" s="99"/>
      <c r="F3877" s="99"/>
      <c r="G3877" s="99"/>
      <c r="H3877" s="100"/>
      <c r="J3877" s="1">
        <f t="shared" ref="J3877" si="6781">COUNTA(B3890:B3899)</f>
        <v>0</v>
      </c>
      <c r="K3877" s="1">
        <f t="shared" ref="K3877" si="6782">IF(L3877-1&lt;2,0,L3877-1)</f>
        <v>0</v>
      </c>
      <c r="L3877" s="1">
        <f t="shared" ref="L3877" si="6783">IF(M3877-1&lt;2,0,M3877-1)</f>
        <v>0</v>
      </c>
      <c r="M3877" s="1">
        <f t="shared" ref="M3877" si="6784">IF(N3877-1&lt;2,0,N3877-1)</f>
        <v>0</v>
      </c>
      <c r="N3877" s="1">
        <f t="shared" ref="N3877" si="6785">IF(O3877-1&lt;2,0,O3877-1)</f>
        <v>0</v>
      </c>
      <c r="O3877" s="1">
        <f t="shared" ref="O3877" si="6786">IF(P3877-1&lt;2,0,P3877-1)</f>
        <v>0</v>
      </c>
      <c r="P3877" s="1">
        <f t="shared" ref="P3877" si="6787">IF(Q3877-1&lt;2,0,Q3877-1)</f>
        <v>0</v>
      </c>
      <c r="Q3877" s="1">
        <f t="shared" ref="Q3877" si="6788">IF(R3877-1&lt;2,0,R3877-1)</f>
        <v>0</v>
      </c>
      <c r="R3877" s="1">
        <f t="shared" ref="R3877" si="6789">IF(S3877-1&lt;2,0,S3877-1)</f>
        <v>0</v>
      </c>
      <c r="S3877" s="1">
        <f t="shared" ref="S3877" si="6790">J3877</f>
        <v>0</v>
      </c>
      <c r="T3877" s="9"/>
      <c r="U3877" s="1">
        <f t="shared" si="6774"/>
        <v>89</v>
      </c>
      <c r="V3877" s="1">
        <f t="shared" si="6775"/>
        <v>204</v>
      </c>
    </row>
    <row r="3878" spans="1:22" x14ac:dyDescent="0.3">
      <c r="A3878" s="1">
        <f t="shared" si="6777"/>
        <v>89205</v>
      </c>
      <c r="B3878" s="96" t="s">
        <v>14</v>
      </c>
      <c r="C3878" s="97"/>
      <c r="D3878" s="98"/>
      <c r="E3878" s="99"/>
      <c r="F3878" s="99"/>
      <c r="G3878" s="99"/>
      <c r="H3878" s="100"/>
      <c r="J3878" s="24" t="str">
        <f t="shared" ref="J3878" si="6791">CONCATENATE(J3877,1)</f>
        <v>01</v>
      </c>
      <c r="K3878" s="25">
        <f t="shared" ref="K3878" si="6792">IF(K3877=0,0,VLOOKUP(J3878,J3882:S3912,K3877,FALSE))</f>
        <v>0</v>
      </c>
      <c r="L3878" s="25">
        <f t="shared" ref="L3878" si="6793">IF(L3877=0,0,VLOOKUP(J3878,J3882:S3912,L3877,FALSE))</f>
        <v>0</v>
      </c>
      <c r="M3878" s="25">
        <f t="shared" ref="M3878" si="6794">IF(M3877=0,0,VLOOKUP(J3878,J3882:S3912,M3877,FALSE))</f>
        <v>0</v>
      </c>
      <c r="N3878" s="25">
        <f t="shared" ref="N3878" si="6795">IF(N3877=0,0,VLOOKUP(J3878,J3882:S3912,N3877,FALSE))</f>
        <v>0</v>
      </c>
      <c r="O3878" s="25">
        <f t="shared" ref="O3878" si="6796">IF(O3877=0,0,VLOOKUP(J3878,J3882:S3912,O3877,FALSE))</f>
        <v>0</v>
      </c>
      <c r="P3878" s="25">
        <f t="shared" ref="P3878" si="6797">IF(P3877=0,0,VLOOKUP(J3878,J3882:S3912,P3877,FALSE))</f>
        <v>0</v>
      </c>
      <c r="Q3878" s="25">
        <f t="shared" ref="Q3878" si="6798">IF(Q3877=0,0,VLOOKUP(J3878,J3882:S3912,Q3877,FALSE))</f>
        <v>0</v>
      </c>
      <c r="R3878" s="25">
        <f t="shared" ref="R3878" si="6799">IF(R3877=0,0,VLOOKUP(J3878,J3882:S3912,R3877,FALSE))</f>
        <v>0</v>
      </c>
      <c r="S3878" s="25">
        <f t="shared" ref="S3878" si="6800">IF(S3877=0,0,VLOOKUP(J3878,J3882:S3912,S3877,FALSE))</f>
        <v>0</v>
      </c>
      <c r="T3878" s="9"/>
      <c r="U3878" s="1">
        <f t="shared" si="6774"/>
        <v>89</v>
      </c>
      <c r="V3878" s="1">
        <f t="shared" si="6775"/>
        <v>205</v>
      </c>
    </row>
    <row r="3879" spans="1:22" x14ac:dyDescent="0.3">
      <c r="A3879" s="1">
        <f t="shared" si="6777"/>
        <v>89206</v>
      </c>
      <c r="B3879" s="96" t="s">
        <v>15</v>
      </c>
      <c r="C3879" s="97"/>
      <c r="D3879" s="98"/>
      <c r="E3879" s="99"/>
      <c r="F3879" s="99"/>
      <c r="G3879" s="99"/>
      <c r="H3879" s="100"/>
      <c r="J3879" s="24" t="str">
        <f t="shared" ref="J3879" si="6801">CONCATENATE(J3877,2)</f>
        <v>02</v>
      </c>
      <c r="K3879" s="6">
        <f t="shared" ref="K3879" si="6802">IF(K3877=0,0,VLOOKUP(J3879,J3882:S3912,K3877,FALSE))</f>
        <v>0</v>
      </c>
      <c r="L3879" s="6">
        <f t="shared" ref="L3879" si="6803">IF(L3877=0,0,VLOOKUP(J3879,J3882:S3912,L3877,FALSE))</f>
        <v>0</v>
      </c>
      <c r="M3879" s="6">
        <f t="shared" ref="M3879" si="6804">IF(M3877=0,0,VLOOKUP(J3879,J3882:S3912,M3877,FALSE))</f>
        <v>0</v>
      </c>
      <c r="N3879" s="6">
        <f t="shared" ref="N3879" si="6805">IF(N3877=0,0,VLOOKUP(J3879,J3882:S3912,N3877,FALSE))</f>
        <v>0</v>
      </c>
      <c r="O3879" s="6">
        <f t="shared" ref="O3879" si="6806">IF(O3877=0,0,VLOOKUP(J3879,J3882:S3912,O3877,FALSE))</f>
        <v>0</v>
      </c>
      <c r="P3879" s="6">
        <f t="shared" ref="P3879" si="6807">IF(P3877=0,0,VLOOKUP(J3879,J3882:S3912,P3877,FALSE))</f>
        <v>0</v>
      </c>
      <c r="Q3879" s="6">
        <f t="shared" ref="Q3879" si="6808">IF(Q3877=0,0,VLOOKUP(J3879,J3882:S3912,Q3877,FALSE))</f>
        <v>0</v>
      </c>
      <c r="R3879" s="6">
        <f t="shared" ref="R3879" si="6809">IF(R3877=0,0,VLOOKUP(J3879,J3882:S3912,R3877,FALSE))</f>
        <v>0</v>
      </c>
      <c r="S3879" s="6">
        <f t="shared" ref="S3879" si="6810">IF(S3877=0,0,VLOOKUP(J3879,J3882:S3912,S3877,FALSE))</f>
        <v>0</v>
      </c>
      <c r="T3879" s="9"/>
      <c r="U3879" s="1">
        <f t="shared" si="6774"/>
        <v>89</v>
      </c>
      <c r="V3879" s="1">
        <f t="shared" si="6775"/>
        <v>206</v>
      </c>
    </row>
    <row r="3880" spans="1:22" x14ac:dyDescent="0.3">
      <c r="A3880" s="1">
        <f t="shared" si="6777"/>
        <v>89207</v>
      </c>
      <c r="B3880" s="96" t="s">
        <v>16</v>
      </c>
      <c r="C3880" s="97"/>
      <c r="D3880" s="101"/>
      <c r="E3880" s="102"/>
      <c r="F3880" s="102"/>
      <c r="G3880" s="102"/>
      <c r="H3880" s="103"/>
      <c r="J3880" s="24" t="str">
        <f t="shared" ref="J3880" si="6811">CONCATENATE(J3877,3)</f>
        <v>03</v>
      </c>
      <c r="K3880" s="6"/>
      <c r="L3880" s="6"/>
      <c r="M3880" s="6"/>
      <c r="N3880" s="6" t="s">
        <v>43</v>
      </c>
      <c r="O3880" s="25">
        <f t="shared" ref="O3880" si="6812">J3877-2</f>
        <v>-2</v>
      </c>
      <c r="P3880" s="6" t="s">
        <v>44</v>
      </c>
      <c r="Q3880" s="25" t="e">
        <f t="shared" ref="Q3880" si="6813">VLOOKUP(J3880,J3882:S3912,3,FALSE)</f>
        <v>#N/A</v>
      </c>
      <c r="R3880" s="6" t="s">
        <v>45</v>
      </c>
      <c r="S3880" s="6" t="e">
        <f t="shared" ref="S3880" si="6814">VLOOKUP(J3880,J3882:S3912,2,FALSE)</f>
        <v>#N/A</v>
      </c>
      <c r="T3880" s="9"/>
      <c r="U3880" s="1">
        <f t="shared" si="6774"/>
        <v>89</v>
      </c>
      <c r="V3880" s="1">
        <f t="shared" si="6775"/>
        <v>207</v>
      </c>
    </row>
    <row r="3881" spans="1:22" x14ac:dyDescent="0.3">
      <c r="A3881" s="1">
        <f t="shared" si="6777"/>
        <v>89208</v>
      </c>
      <c r="B3881" s="96" t="s">
        <v>17</v>
      </c>
      <c r="C3881" s="97"/>
      <c r="D3881" s="104"/>
      <c r="E3881" s="105"/>
      <c r="F3881" s="105"/>
      <c r="G3881" s="105"/>
      <c r="H3881" s="106"/>
      <c r="K3881" s="1">
        <v>3</v>
      </c>
      <c r="L3881" s="1">
        <v>3</v>
      </c>
      <c r="Q3881" s="26"/>
      <c r="R3881" s="26"/>
      <c r="S3881" s="26"/>
      <c r="T3881" s="9"/>
      <c r="U3881" s="1">
        <f t="shared" si="6774"/>
        <v>89</v>
      </c>
      <c r="V3881" s="1">
        <f t="shared" si="6775"/>
        <v>208</v>
      </c>
    </row>
    <row r="3882" spans="1:22" x14ac:dyDescent="0.3">
      <c r="A3882" s="1">
        <f t="shared" si="6777"/>
        <v>89209</v>
      </c>
      <c r="B3882" s="77" t="s">
        <v>19</v>
      </c>
      <c r="C3882" s="78"/>
      <c r="D3882" s="17"/>
      <c r="E3882" s="79" t="s">
        <v>40</v>
      </c>
      <c r="F3882" s="80"/>
      <c r="G3882" s="81"/>
      <c r="H3882" s="18" t="s">
        <v>42</v>
      </c>
      <c r="J3882" s="24" t="str">
        <f t="shared" ref="J3882" si="6815">CONCATENATE(K3881,1)</f>
        <v>31</v>
      </c>
      <c r="K3882" s="6" t="e">
        <f t="array" ref="K3882:L3884">LINEST(B3890:B3892,C3890:C3892^{1},TRUE,TRUE)</f>
        <v>#VALUE!</v>
      </c>
      <c r="L3882" s="6" t="e">
        <v>#VALUE!</v>
      </c>
      <c r="Q3882" s="9"/>
      <c r="R3882" s="9"/>
      <c r="S3882" s="9"/>
      <c r="T3882" s="9"/>
      <c r="U3882" s="1">
        <f t="shared" si="6774"/>
        <v>89</v>
      </c>
      <c r="V3882" s="1">
        <f t="shared" si="6775"/>
        <v>209</v>
      </c>
    </row>
    <row r="3883" spans="1:22" x14ac:dyDescent="0.3">
      <c r="A3883" s="1">
        <f t="shared" si="6777"/>
        <v>89210</v>
      </c>
      <c r="B3883" s="77" t="s">
        <v>41</v>
      </c>
      <c r="C3883" s="78"/>
      <c r="D3883" s="23">
        <f t="shared" ref="D3883" si="6816">MIN(B3890:B3899)</f>
        <v>0</v>
      </c>
      <c r="E3883" s="20" t="s">
        <v>18</v>
      </c>
      <c r="F3883" s="19">
        <f t="shared" ref="F3883" si="6817">MAX(B3890:B3899)</f>
        <v>0</v>
      </c>
      <c r="G3883" s="21" t="str">
        <f t="shared" ref="G3883" si="6818">IF(H3882="","",H3882)</f>
        <v>%UR</v>
      </c>
      <c r="H3883" s="22"/>
      <c r="J3883" s="24" t="str">
        <f t="shared" ref="J3883" si="6819">CONCATENATE(K3881,2)</f>
        <v>32</v>
      </c>
      <c r="K3883" s="6" t="e">
        <v>#VALUE!</v>
      </c>
      <c r="L3883" s="6" t="e">
        <v>#VALUE!</v>
      </c>
      <c r="Q3883" s="9"/>
      <c r="R3883" s="9"/>
      <c r="S3883" s="9"/>
      <c r="T3883" s="9"/>
      <c r="U3883" s="1">
        <f t="shared" si="6774"/>
        <v>89</v>
      </c>
      <c r="V3883" s="1">
        <f t="shared" si="6775"/>
        <v>210</v>
      </c>
    </row>
    <row r="3884" spans="1:22" x14ac:dyDescent="0.3">
      <c r="A3884" s="1">
        <f t="shared" si="6777"/>
        <v>89211</v>
      </c>
      <c r="J3884" s="24" t="str">
        <f t="shared" ref="J3884" si="6820">CONCATENATE(K3881,3)</f>
        <v>33</v>
      </c>
      <c r="K3884" s="6" t="e">
        <v>#VALUE!</v>
      </c>
      <c r="L3884" s="6" t="e">
        <v>#VALUE!</v>
      </c>
      <c r="Q3884" s="9"/>
      <c r="R3884" s="9"/>
      <c r="S3884" s="9"/>
      <c r="T3884" s="9"/>
      <c r="U3884" s="1">
        <f t="shared" si="6774"/>
        <v>89</v>
      </c>
      <c r="V3884" s="1">
        <f t="shared" si="6775"/>
        <v>211</v>
      </c>
    </row>
    <row r="3885" spans="1:22" x14ac:dyDescent="0.3">
      <c r="A3885" s="1">
        <f t="shared" si="6777"/>
        <v>89212</v>
      </c>
      <c r="B3885" s="82" t="s">
        <v>20</v>
      </c>
      <c r="C3885" s="83"/>
      <c r="D3885" s="83"/>
      <c r="E3885" s="83"/>
      <c r="F3885" s="84"/>
      <c r="G3885" s="85" t="s">
        <v>31</v>
      </c>
      <c r="H3885" s="86"/>
      <c r="K3885" s="1">
        <v>4</v>
      </c>
      <c r="L3885" s="1">
        <v>4</v>
      </c>
      <c r="M3885" s="1">
        <v>4</v>
      </c>
      <c r="Q3885" s="9"/>
      <c r="R3885" s="9"/>
      <c r="S3885" s="9"/>
      <c r="T3885" s="9"/>
      <c r="U3885" s="1">
        <f t="shared" si="6774"/>
        <v>89</v>
      </c>
      <c r="V3885" s="1">
        <f t="shared" si="6775"/>
        <v>212</v>
      </c>
    </row>
    <row r="3886" spans="1:22" x14ac:dyDescent="0.3">
      <c r="A3886" s="1">
        <f t="shared" si="6777"/>
        <v>89213</v>
      </c>
      <c r="B3886" s="82" t="s">
        <v>30</v>
      </c>
      <c r="C3886" s="83"/>
      <c r="D3886" s="84"/>
      <c r="E3886" s="82">
        <f t="shared" ref="E3886" si="6821">D3879</f>
        <v>0</v>
      </c>
      <c r="F3886" s="84"/>
      <c r="G3886" s="6" t="s">
        <v>32</v>
      </c>
      <c r="H3886" s="7"/>
      <c r="J3886" s="24" t="str">
        <f t="shared" ref="J3886" si="6822">CONCATENATE(K3885,1)</f>
        <v>41</v>
      </c>
      <c r="K3886" s="6" t="e">
        <f t="array" ref="K3886:M3888">LINEST(B3890:B3893,C3890:C3893^{1,2},TRUE,TRUE)</f>
        <v>#VALUE!</v>
      </c>
      <c r="L3886" s="6" t="e">
        <v>#VALUE!</v>
      </c>
      <c r="M3886" s="6" t="e">
        <v>#VALUE!</v>
      </c>
      <c r="Q3886" s="9"/>
      <c r="R3886" s="9"/>
      <c r="S3886" s="9"/>
      <c r="T3886" s="9"/>
      <c r="U3886" s="1">
        <f t="shared" si="6774"/>
        <v>89</v>
      </c>
      <c r="V3886" s="1">
        <f t="shared" si="6775"/>
        <v>213</v>
      </c>
    </row>
    <row r="3887" spans="1:22" x14ac:dyDescent="0.3">
      <c r="A3887" s="1">
        <f t="shared" si="6777"/>
        <v>89214</v>
      </c>
      <c r="B3887" s="2" t="s">
        <v>21</v>
      </c>
      <c r="C3887" s="2" t="s">
        <v>22</v>
      </c>
      <c r="D3887" s="2" t="s">
        <v>23</v>
      </c>
      <c r="E3887" s="2"/>
      <c r="F3887" s="2" t="s">
        <v>28</v>
      </c>
      <c r="G3887" s="2" t="s">
        <v>21</v>
      </c>
      <c r="H3887" s="2" t="s">
        <v>22</v>
      </c>
      <c r="J3887" s="24" t="str">
        <f t="shared" ref="J3887" si="6823">CONCATENATE(K3885,2)</f>
        <v>42</v>
      </c>
      <c r="K3887" s="6" t="e">
        <v>#VALUE!</v>
      </c>
      <c r="L3887" s="6" t="e">
        <v>#VALUE!</v>
      </c>
      <c r="M3887" s="6" t="e">
        <v>#VALUE!</v>
      </c>
      <c r="Q3887" s="9"/>
      <c r="R3887" s="9"/>
      <c r="S3887" s="9"/>
      <c r="T3887" s="9"/>
      <c r="U3887" s="1">
        <f t="shared" si="6774"/>
        <v>89</v>
      </c>
      <c r="V3887" s="1">
        <f t="shared" si="6775"/>
        <v>214</v>
      </c>
    </row>
    <row r="3888" spans="1:22" x14ac:dyDescent="0.3">
      <c r="A3888" s="1">
        <f t="shared" si="6777"/>
        <v>89215</v>
      </c>
      <c r="B3888" s="2" t="s">
        <v>24</v>
      </c>
      <c r="C3888" s="2" t="s">
        <v>25</v>
      </c>
      <c r="D3888" s="2" t="s">
        <v>26</v>
      </c>
      <c r="E3888" s="2" t="s">
        <v>27</v>
      </c>
      <c r="F3888" s="2" t="s">
        <v>29</v>
      </c>
      <c r="G3888" s="2" t="s">
        <v>24</v>
      </c>
      <c r="H3888" s="2" t="s">
        <v>25</v>
      </c>
      <c r="J3888" s="24" t="str">
        <f t="shared" ref="J3888" si="6824">CONCATENATE(K3885,3)</f>
        <v>43</v>
      </c>
      <c r="K3888" s="6" t="e">
        <v>#VALUE!</v>
      </c>
      <c r="L3888" s="6" t="e">
        <v>#VALUE!</v>
      </c>
      <c r="M3888" s="6" t="e">
        <v>#VALUE!</v>
      </c>
      <c r="Q3888" s="9"/>
      <c r="R3888" s="9"/>
      <c r="S3888" s="9"/>
      <c r="T3888" s="9"/>
      <c r="U3888" s="1">
        <f t="shared" si="6774"/>
        <v>89</v>
      </c>
      <c r="V3888" s="1">
        <f t="shared" si="6775"/>
        <v>215</v>
      </c>
    </row>
    <row r="3889" spans="1:22" x14ac:dyDescent="0.3">
      <c r="A3889" s="1">
        <f t="shared" si="6777"/>
        <v>89216</v>
      </c>
      <c r="B3889" s="3" t="str">
        <f t="shared" ref="B3889" si="6825">H3882</f>
        <v>%UR</v>
      </c>
      <c r="C3889" s="3" t="str">
        <f t="shared" ref="C3889" si="6826">B3889</f>
        <v>%UR</v>
      </c>
      <c r="D3889" s="3" t="str">
        <f t="shared" ref="D3889" si="6827">C3889</f>
        <v>%UR</v>
      </c>
      <c r="E3889" s="3"/>
      <c r="F3889" s="3"/>
      <c r="G3889" s="3" t="str">
        <f t="shared" ref="G3889" si="6828">D3889</f>
        <v>%UR</v>
      </c>
      <c r="H3889" s="3" t="str">
        <f t="shared" ref="H3889" si="6829">G3889</f>
        <v>%UR</v>
      </c>
      <c r="K3889" s="1">
        <v>5</v>
      </c>
      <c r="L3889" s="1">
        <v>5</v>
      </c>
      <c r="M3889" s="1">
        <v>5</v>
      </c>
      <c r="N3889" s="1">
        <v>5</v>
      </c>
      <c r="Q3889" s="9"/>
      <c r="R3889" s="9"/>
      <c r="S3889" s="9"/>
      <c r="T3889" s="9"/>
      <c r="U3889" s="1">
        <f t="shared" si="6774"/>
        <v>89</v>
      </c>
      <c r="V3889" s="1">
        <f t="shared" si="6775"/>
        <v>216</v>
      </c>
    </row>
    <row r="3890" spans="1:22" x14ac:dyDescent="0.3">
      <c r="A3890" s="1">
        <f t="shared" si="6777"/>
        <v>89217</v>
      </c>
      <c r="B3890" s="4"/>
      <c r="C3890" s="4"/>
      <c r="D3890" s="4"/>
      <c r="E3890" s="4"/>
      <c r="F3890" s="14"/>
      <c r="G3890" s="8"/>
      <c r="H3890" s="7"/>
      <c r="J3890" s="24" t="str">
        <f t="shared" ref="J3890" si="6830">CONCATENATE(K3889,1)</f>
        <v>51</v>
      </c>
      <c r="K3890" s="6" t="e">
        <f t="array" ref="K3890:N3892">LINEST(B3890:B3894,C3890:C3894^{1,2,3},TRUE,TRUE)</f>
        <v>#VALUE!</v>
      </c>
      <c r="L3890" s="6" t="e">
        <v>#VALUE!</v>
      </c>
      <c r="M3890" s="6" t="e">
        <v>#VALUE!</v>
      </c>
      <c r="N3890" s="6" t="e">
        <v>#VALUE!</v>
      </c>
      <c r="Q3890" s="9"/>
      <c r="R3890" s="9"/>
      <c r="S3890" s="9"/>
      <c r="T3890" s="9"/>
      <c r="U3890" s="1">
        <f t="shared" si="6774"/>
        <v>89</v>
      </c>
      <c r="V3890" s="1">
        <f t="shared" si="6775"/>
        <v>217</v>
      </c>
    </row>
    <row r="3891" spans="1:22" x14ac:dyDescent="0.3">
      <c r="A3891" s="1">
        <f t="shared" si="6777"/>
        <v>89218</v>
      </c>
      <c r="B3891" s="4"/>
      <c r="C3891" s="4"/>
      <c r="D3891" s="4"/>
      <c r="E3891" s="4"/>
      <c r="F3891" s="14"/>
      <c r="G3891" s="8"/>
      <c r="H3891" s="7"/>
      <c r="J3891" s="24" t="str">
        <f t="shared" ref="J3891" si="6831">CONCATENATE(K3889,2)</f>
        <v>52</v>
      </c>
      <c r="K3891" s="6" t="e">
        <v>#VALUE!</v>
      </c>
      <c r="L3891" s="6" t="e">
        <v>#VALUE!</v>
      </c>
      <c r="M3891" s="6" t="e">
        <v>#VALUE!</v>
      </c>
      <c r="N3891" s="6" t="e">
        <v>#VALUE!</v>
      </c>
      <c r="T3891" s="9"/>
      <c r="U3891" s="1">
        <f t="shared" si="6774"/>
        <v>89</v>
      </c>
      <c r="V3891" s="1">
        <f t="shared" si="6775"/>
        <v>218</v>
      </c>
    </row>
    <row r="3892" spans="1:22" x14ac:dyDescent="0.3">
      <c r="A3892" s="1">
        <f t="shared" si="6777"/>
        <v>89219</v>
      </c>
      <c r="B3892" s="4"/>
      <c r="C3892" s="4"/>
      <c r="D3892" s="4"/>
      <c r="E3892" s="4"/>
      <c r="F3892" s="14"/>
      <c r="G3892" s="8"/>
      <c r="H3892" s="7"/>
      <c r="J3892" s="24" t="str">
        <f t="shared" ref="J3892" si="6832">CONCATENATE(K3889,3)</f>
        <v>53</v>
      </c>
      <c r="K3892" s="6" t="e">
        <v>#VALUE!</v>
      </c>
      <c r="L3892" s="6" t="e">
        <v>#VALUE!</v>
      </c>
      <c r="M3892" s="6" t="e">
        <v>#VALUE!</v>
      </c>
      <c r="N3892" s="6" t="e">
        <v>#VALUE!</v>
      </c>
      <c r="T3892" s="9"/>
      <c r="U3892" s="1">
        <f t="shared" si="6774"/>
        <v>89</v>
      </c>
      <c r="V3892" s="1">
        <f t="shared" si="6775"/>
        <v>219</v>
      </c>
    </row>
    <row r="3893" spans="1:22" x14ac:dyDescent="0.3">
      <c r="A3893" s="1">
        <f t="shared" si="6777"/>
        <v>89220</v>
      </c>
      <c r="B3893" s="4"/>
      <c r="C3893" s="4"/>
      <c r="D3893" s="4"/>
      <c r="E3893" s="4"/>
      <c r="F3893" s="14"/>
      <c r="G3893" s="8"/>
      <c r="H3893" s="7"/>
      <c r="K3893" s="1">
        <v>6</v>
      </c>
      <c r="L3893" s="1">
        <v>6</v>
      </c>
      <c r="M3893" s="1">
        <v>6</v>
      </c>
      <c r="N3893" s="1">
        <v>6</v>
      </c>
      <c r="O3893" s="1">
        <v>6</v>
      </c>
      <c r="T3893" s="9"/>
      <c r="U3893" s="1">
        <f t="shared" si="6774"/>
        <v>89</v>
      </c>
      <c r="V3893" s="1">
        <f t="shared" si="6775"/>
        <v>220</v>
      </c>
    </row>
    <row r="3894" spans="1:22" x14ac:dyDescent="0.3">
      <c r="A3894" s="1">
        <f t="shared" si="6777"/>
        <v>89221</v>
      </c>
      <c r="B3894" s="4"/>
      <c r="C3894" s="4"/>
      <c r="D3894" s="4"/>
      <c r="E3894" s="4"/>
      <c r="F3894" s="14"/>
      <c r="G3894" s="8"/>
      <c r="H3894" s="7"/>
      <c r="J3894" s="24" t="str">
        <f t="shared" ref="J3894" si="6833">CONCATENATE(K3893,1)</f>
        <v>61</v>
      </c>
      <c r="K3894" s="6" t="e">
        <f t="array" ref="K3894:O3896">LINEST(B3890:B3895,C3890:C3895^{1,2,3,4},TRUE,TRUE)</f>
        <v>#VALUE!</v>
      </c>
      <c r="L3894" s="6" t="e">
        <v>#VALUE!</v>
      </c>
      <c r="M3894" s="6" t="e">
        <v>#VALUE!</v>
      </c>
      <c r="N3894" s="6" t="e">
        <v>#VALUE!</v>
      </c>
      <c r="O3894" s="6" t="e">
        <v>#VALUE!</v>
      </c>
      <c r="T3894" s="9"/>
      <c r="U3894" s="1">
        <f t="shared" si="6774"/>
        <v>89</v>
      </c>
      <c r="V3894" s="1">
        <f t="shared" si="6775"/>
        <v>221</v>
      </c>
    </row>
    <row r="3895" spans="1:22" x14ac:dyDescent="0.3">
      <c r="A3895" s="1">
        <f t="shared" si="6777"/>
        <v>89222</v>
      </c>
      <c r="B3895" s="4"/>
      <c r="C3895" s="4"/>
      <c r="D3895" s="4"/>
      <c r="E3895" s="4"/>
      <c r="F3895" s="14"/>
      <c r="G3895" s="8"/>
      <c r="H3895" s="7"/>
      <c r="J3895" s="24" t="str">
        <f t="shared" ref="J3895" si="6834">CONCATENATE(K3893,2)</f>
        <v>62</v>
      </c>
      <c r="K3895" s="6" t="e">
        <v>#VALUE!</v>
      </c>
      <c r="L3895" s="6" t="e">
        <v>#VALUE!</v>
      </c>
      <c r="M3895" s="6" t="e">
        <v>#VALUE!</v>
      </c>
      <c r="N3895" s="6" t="e">
        <v>#VALUE!</v>
      </c>
      <c r="O3895" s="6" t="e">
        <v>#VALUE!</v>
      </c>
      <c r="T3895" s="9"/>
      <c r="U3895" s="1">
        <f t="shared" si="6774"/>
        <v>89</v>
      </c>
      <c r="V3895" s="1">
        <f t="shared" si="6775"/>
        <v>222</v>
      </c>
    </row>
    <row r="3896" spans="1:22" x14ac:dyDescent="0.3">
      <c r="A3896" s="1">
        <f t="shared" si="6777"/>
        <v>89223</v>
      </c>
      <c r="B3896" s="4"/>
      <c r="C3896" s="4"/>
      <c r="D3896" s="4"/>
      <c r="E3896" s="4"/>
      <c r="F3896" s="14"/>
      <c r="G3896" s="8"/>
      <c r="H3896" s="7"/>
      <c r="J3896" s="24" t="str">
        <f t="shared" ref="J3896" si="6835">CONCATENATE(K3893,3)</f>
        <v>63</v>
      </c>
      <c r="K3896" s="6" t="e">
        <v>#VALUE!</v>
      </c>
      <c r="L3896" s="6" t="e">
        <v>#VALUE!</v>
      </c>
      <c r="M3896" s="6" t="e">
        <v>#VALUE!</v>
      </c>
      <c r="N3896" s="6" t="e">
        <v>#VALUE!</v>
      </c>
      <c r="O3896" s="6" t="e">
        <v>#VALUE!</v>
      </c>
      <c r="T3896" s="9"/>
      <c r="U3896" s="1">
        <f t="shared" si="6774"/>
        <v>89</v>
      </c>
      <c r="V3896" s="1">
        <f t="shared" si="6775"/>
        <v>223</v>
      </c>
    </row>
    <row r="3897" spans="1:22" x14ac:dyDescent="0.3">
      <c r="A3897" s="1">
        <f t="shared" si="6777"/>
        <v>89224</v>
      </c>
      <c r="B3897" s="4"/>
      <c r="C3897" s="4"/>
      <c r="D3897" s="4"/>
      <c r="E3897" s="4"/>
      <c r="F3897" s="14"/>
      <c r="G3897" s="8"/>
      <c r="H3897" s="7"/>
      <c r="K3897" s="1">
        <v>7</v>
      </c>
      <c r="L3897" s="1">
        <v>7</v>
      </c>
      <c r="M3897" s="1">
        <v>7</v>
      </c>
      <c r="N3897" s="1">
        <v>7</v>
      </c>
      <c r="O3897" s="1">
        <v>7</v>
      </c>
      <c r="P3897" s="1">
        <v>7</v>
      </c>
      <c r="T3897" s="9"/>
      <c r="U3897" s="1">
        <f t="shared" si="6774"/>
        <v>89</v>
      </c>
      <c r="V3897" s="1">
        <f t="shared" si="6775"/>
        <v>224</v>
      </c>
    </row>
    <row r="3898" spans="1:22" x14ac:dyDescent="0.3">
      <c r="A3898" s="1">
        <f t="shared" si="6777"/>
        <v>89225</v>
      </c>
      <c r="B3898" s="4"/>
      <c r="C3898" s="4"/>
      <c r="D3898" s="4"/>
      <c r="E3898" s="4"/>
      <c r="F3898" s="14"/>
      <c r="G3898" s="8"/>
      <c r="H3898" s="7"/>
      <c r="J3898" s="24" t="str">
        <f t="shared" ref="J3898" si="6836">CONCATENATE(K3897,1)</f>
        <v>71</v>
      </c>
      <c r="K3898" s="6" t="e">
        <f t="array" ref="K3898:P3900">LINEST(B3890:B3896,C3890:C3896^{1,2,3,4,5},TRUE,TRUE)</f>
        <v>#VALUE!</v>
      </c>
      <c r="L3898" s="6" t="e">
        <v>#VALUE!</v>
      </c>
      <c r="M3898" s="6" t="e">
        <v>#VALUE!</v>
      </c>
      <c r="N3898" s="6" t="e">
        <v>#VALUE!</v>
      </c>
      <c r="O3898" s="6" t="e">
        <v>#VALUE!</v>
      </c>
      <c r="P3898" s="6" t="e">
        <v>#VALUE!</v>
      </c>
      <c r="T3898" s="9"/>
      <c r="U3898" s="1">
        <f t="shared" si="6774"/>
        <v>89</v>
      </c>
      <c r="V3898" s="1">
        <f t="shared" si="6775"/>
        <v>225</v>
      </c>
    </row>
    <row r="3899" spans="1:22" x14ac:dyDescent="0.3">
      <c r="A3899" s="1">
        <f t="shared" si="6777"/>
        <v>89226</v>
      </c>
      <c r="B3899" s="4"/>
      <c r="C3899" s="4"/>
      <c r="D3899" s="4"/>
      <c r="E3899" s="4"/>
      <c r="F3899" s="14"/>
      <c r="G3899" s="8"/>
      <c r="H3899" s="7"/>
      <c r="J3899" s="24" t="str">
        <f t="shared" ref="J3899" si="6837">CONCATENATE(K3897,2)</f>
        <v>72</v>
      </c>
      <c r="K3899" s="6" t="e">
        <v>#VALUE!</v>
      </c>
      <c r="L3899" s="6" t="e">
        <v>#VALUE!</v>
      </c>
      <c r="M3899" s="6" t="e">
        <v>#VALUE!</v>
      </c>
      <c r="N3899" s="6" t="e">
        <v>#VALUE!</v>
      </c>
      <c r="O3899" s="6" t="e">
        <v>#VALUE!</v>
      </c>
      <c r="P3899" s="6" t="e">
        <v>#VALUE!</v>
      </c>
      <c r="T3899" s="9"/>
      <c r="U3899" s="1">
        <f t="shared" si="6774"/>
        <v>89</v>
      </c>
      <c r="V3899" s="1">
        <f t="shared" si="6775"/>
        <v>226</v>
      </c>
    </row>
    <row r="3900" spans="1:22" x14ac:dyDescent="0.3">
      <c r="A3900" s="1">
        <f t="shared" si="6777"/>
        <v>89227</v>
      </c>
      <c r="B3900" s="9"/>
      <c r="C3900" s="9"/>
      <c r="D3900" s="9"/>
      <c r="E3900" s="9"/>
      <c r="F3900" s="9"/>
      <c r="G3900" s="9"/>
      <c r="H3900" s="9"/>
      <c r="J3900" s="24" t="str">
        <f t="shared" ref="J3900" si="6838">CONCATENATE(K3897,3)</f>
        <v>73</v>
      </c>
      <c r="K3900" s="6" t="e">
        <v>#VALUE!</v>
      </c>
      <c r="L3900" s="6" t="e">
        <v>#VALUE!</v>
      </c>
      <c r="M3900" s="6" t="e">
        <v>#VALUE!</v>
      </c>
      <c r="N3900" s="6" t="e">
        <v>#VALUE!</v>
      </c>
      <c r="O3900" s="6" t="e">
        <v>#VALUE!</v>
      </c>
      <c r="P3900" s="6" t="e">
        <v>#VALUE!</v>
      </c>
      <c r="T3900" s="9"/>
      <c r="U3900" s="1">
        <f t="shared" si="6774"/>
        <v>89</v>
      </c>
      <c r="V3900" s="1">
        <f t="shared" si="6775"/>
        <v>227</v>
      </c>
    </row>
    <row r="3901" spans="1:22" x14ac:dyDescent="0.3">
      <c r="A3901" s="1">
        <f t="shared" si="6777"/>
        <v>89228</v>
      </c>
      <c r="B3901" s="87" t="s">
        <v>33</v>
      </c>
      <c r="C3901" s="88"/>
      <c r="D3901" s="88"/>
      <c r="E3901" s="88"/>
      <c r="F3901" s="88"/>
      <c r="G3901" s="88"/>
      <c r="H3901" s="89"/>
      <c r="K3901" s="1">
        <v>8</v>
      </c>
      <c r="L3901" s="1">
        <v>8</v>
      </c>
      <c r="M3901" s="1">
        <v>8</v>
      </c>
      <c r="N3901" s="1">
        <v>8</v>
      </c>
      <c r="O3901" s="1">
        <v>8</v>
      </c>
      <c r="P3901" s="1">
        <v>8</v>
      </c>
      <c r="Q3901" s="1">
        <v>8</v>
      </c>
      <c r="T3901" s="9"/>
      <c r="U3901" s="1">
        <f t="shared" si="6774"/>
        <v>89</v>
      </c>
      <c r="V3901" s="1">
        <f t="shared" si="6775"/>
        <v>228</v>
      </c>
    </row>
    <row r="3902" spans="1:22" x14ac:dyDescent="0.3">
      <c r="A3902" s="1">
        <f t="shared" si="6777"/>
        <v>89229</v>
      </c>
      <c r="B3902" s="90"/>
      <c r="C3902" s="91"/>
      <c r="D3902" s="91"/>
      <c r="E3902" s="91"/>
      <c r="F3902" s="91"/>
      <c r="G3902" s="91"/>
      <c r="H3902" s="92"/>
      <c r="J3902" s="24" t="str">
        <f t="shared" ref="J3902" si="6839">CONCATENATE(K3901,1)</f>
        <v>81</v>
      </c>
      <c r="K3902" s="6" t="e">
        <f t="array" ref="K3902:Q3904">LINEST(B3890:B3897,C3890:C3897^{1,2,3,4,5,6},TRUE,TRUE)</f>
        <v>#VALUE!</v>
      </c>
      <c r="L3902" s="6" t="e">
        <v>#VALUE!</v>
      </c>
      <c r="M3902" s="6" t="e">
        <v>#VALUE!</v>
      </c>
      <c r="N3902" s="6" t="e">
        <v>#VALUE!</v>
      </c>
      <c r="O3902" s="6" t="e">
        <v>#VALUE!</v>
      </c>
      <c r="P3902" s="6" t="e">
        <v>#VALUE!</v>
      </c>
      <c r="Q3902" s="6" t="e">
        <v>#VALUE!</v>
      </c>
      <c r="T3902" s="9"/>
      <c r="U3902" s="1">
        <f t="shared" si="6774"/>
        <v>89</v>
      </c>
      <c r="V3902" s="1">
        <f t="shared" si="6775"/>
        <v>229</v>
      </c>
    </row>
    <row r="3903" spans="1:22" x14ac:dyDescent="0.3">
      <c r="A3903" s="1">
        <f t="shared" si="6777"/>
        <v>89230</v>
      </c>
      <c r="B3903" s="93"/>
      <c r="C3903" s="94"/>
      <c r="D3903" s="94"/>
      <c r="E3903" s="94"/>
      <c r="F3903" s="94"/>
      <c r="G3903" s="94"/>
      <c r="H3903" s="95"/>
      <c r="J3903" s="24" t="str">
        <f t="shared" ref="J3903" si="6840">CONCATENATE(K3901,2)</f>
        <v>82</v>
      </c>
      <c r="K3903" s="6" t="e">
        <v>#VALUE!</v>
      </c>
      <c r="L3903" s="6" t="e">
        <v>#VALUE!</v>
      </c>
      <c r="M3903" s="6" t="e">
        <v>#VALUE!</v>
      </c>
      <c r="N3903" s="6" t="e">
        <v>#VALUE!</v>
      </c>
      <c r="O3903" s="6" t="e">
        <v>#VALUE!</v>
      </c>
      <c r="P3903" s="6" t="e">
        <v>#VALUE!</v>
      </c>
      <c r="Q3903" s="6" t="e">
        <v>#VALUE!</v>
      </c>
      <c r="T3903" s="9"/>
      <c r="U3903" s="1">
        <f t="shared" si="6774"/>
        <v>89</v>
      </c>
      <c r="V3903" s="1">
        <f t="shared" si="6775"/>
        <v>230</v>
      </c>
    </row>
    <row r="3904" spans="1:22" x14ac:dyDescent="0.3">
      <c r="A3904" s="1">
        <f t="shared" si="6777"/>
        <v>89231</v>
      </c>
      <c r="J3904" s="24" t="str">
        <f t="shared" ref="J3904" si="6841">CONCATENATE(K3901,3)</f>
        <v>83</v>
      </c>
      <c r="K3904" s="6" t="e">
        <v>#VALUE!</v>
      </c>
      <c r="L3904" s="6" t="e">
        <v>#VALUE!</v>
      </c>
      <c r="M3904" s="6" t="e">
        <v>#VALUE!</v>
      </c>
      <c r="N3904" s="6" t="e">
        <v>#VALUE!</v>
      </c>
      <c r="O3904" s="6" t="e">
        <v>#VALUE!</v>
      </c>
      <c r="P3904" s="6" t="e">
        <v>#VALUE!</v>
      </c>
      <c r="Q3904" s="6" t="e">
        <v>#VALUE!</v>
      </c>
      <c r="T3904" s="9"/>
      <c r="U3904" s="1">
        <f t="shared" si="6774"/>
        <v>89</v>
      </c>
      <c r="V3904" s="1">
        <f t="shared" si="6775"/>
        <v>231</v>
      </c>
    </row>
    <row r="3905" spans="1:22" ht="15" customHeight="1" x14ac:dyDescent="0.3">
      <c r="A3905" s="1">
        <f t="shared" si="6777"/>
        <v>89232</v>
      </c>
      <c r="B3905" s="10" t="s">
        <v>34</v>
      </c>
      <c r="C3905" s="10" t="s">
        <v>35</v>
      </c>
      <c r="D3905" s="10" t="s">
        <v>36</v>
      </c>
      <c r="E3905" s="74" t="s">
        <v>37</v>
      </c>
      <c r="F3905" s="75"/>
      <c r="G3905" s="76"/>
      <c r="K3905" s="1">
        <v>9</v>
      </c>
      <c r="L3905" s="1">
        <v>9</v>
      </c>
      <c r="M3905" s="1">
        <v>9</v>
      </c>
      <c r="N3905" s="1">
        <v>9</v>
      </c>
      <c r="O3905" s="1">
        <v>9</v>
      </c>
      <c r="P3905" s="1">
        <v>9</v>
      </c>
      <c r="Q3905" s="1">
        <v>9</v>
      </c>
      <c r="R3905" s="1">
        <v>9</v>
      </c>
      <c r="T3905" s="9"/>
      <c r="U3905" s="1">
        <f t="shared" si="6774"/>
        <v>89</v>
      </c>
      <c r="V3905" s="1">
        <f t="shared" si="6775"/>
        <v>232</v>
      </c>
    </row>
    <row r="3906" spans="1:22" x14ac:dyDescent="0.3">
      <c r="A3906" s="1">
        <f t="shared" si="6777"/>
        <v>89233</v>
      </c>
      <c r="B3906" s="12">
        <f t="shared" ref="B3906:B3915" si="6842">C3890-B3890</f>
        <v>0</v>
      </c>
      <c r="C3906" s="13">
        <f t="shared" ref="C3906:C3915" si="6843">H3890-G3890</f>
        <v>0</v>
      </c>
      <c r="D3906" s="10">
        <f t="shared" ref="D3906:D3915" si="6844">C3906-B3906</f>
        <v>0</v>
      </c>
      <c r="E3906" s="11" t="str">
        <f t="shared" ref="E3906" si="6845">IF(D3881="","",MAX(F3906,G3906))</f>
        <v/>
      </c>
      <c r="F3906" s="10">
        <f t="shared" ref="F3906" si="6846">ABS(MIN(D3906:D3915))</f>
        <v>0</v>
      </c>
      <c r="G3906" s="10">
        <f t="shared" ref="G3906" si="6847">ABS(MAX(D3906:D3915))</f>
        <v>0</v>
      </c>
      <c r="J3906" s="24" t="str">
        <f t="shared" ref="J3906" si="6848">CONCATENATE(K3905,1)</f>
        <v>91</v>
      </c>
      <c r="K3906" s="6" t="e">
        <f t="array" ref="K3906:R3908">LINEST(B3890:B3898,C3890:C3898^{1,2,3,4,5,6,7},TRUE,TRUE)</f>
        <v>#VALUE!</v>
      </c>
      <c r="L3906" s="6" t="e">
        <v>#VALUE!</v>
      </c>
      <c r="M3906" s="6" t="e">
        <v>#VALUE!</v>
      </c>
      <c r="N3906" s="6" t="e">
        <v>#VALUE!</v>
      </c>
      <c r="O3906" s="6" t="e">
        <v>#VALUE!</v>
      </c>
      <c r="P3906" s="6" t="e">
        <v>#VALUE!</v>
      </c>
      <c r="Q3906" s="6" t="e">
        <v>#VALUE!</v>
      </c>
      <c r="R3906" s="6" t="e">
        <v>#VALUE!</v>
      </c>
      <c r="T3906" s="9"/>
      <c r="U3906" s="1">
        <f t="shared" si="6774"/>
        <v>89</v>
      </c>
      <c r="V3906" s="1">
        <f t="shared" si="6775"/>
        <v>233</v>
      </c>
    </row>
    <row r="3907" spans="1:22" x14ac:dyDescent="0.3">
      <c r="A3907" s="1">
        <f t="shared" si="6777"/>
        <v>89234</v>
      </c>
      <c r="B3907" s="12">
        <f t="shared" si="6842"/>
        <v>0</v>
      </c>
      <c r="C3907" s="13">
        <f t="shared" si="6843"/>
        <v>0</v>
      </c>
      <c r="D3907" s="10">
        <f t="shared" si="6844"/>
        <v>0</v>
      </c>
      <c r="E3907" s="74" t="s">
        <v>38</v>
      </c>
      <c r="F3907" s="75"/>
      <c r="G3907" s="76"/>
      <c r="J3907" s="24" t="str">
        <f t="shared" ref="J3907" si="6849">CONCATENATE(K3905,2)</f>
        <v>92</v>
      </c>
      <c r="K3907" s="6" t="e">
        <v>#VALUE!</v>
      </c>
      <c r="L3907" s="6" t="e">
        <v>#VALUE!</v>
      </c>
      <c r="M3907" s="6" t="e">
        <v>#VALUE!</v>
      </c>
      <c r="N3907" s="6" t="e">
        <v>#VALUE!</v>
      </c>
      <c r="O3907" s="6" t="e">
        <v>#VALUE!</v>
      </c>
      <c r="P3907" s="6" t="e">
        <v>#VALUE!</v>
      </c>
      <c r="Q3907" s="6" t="e">
        <v>#VALUE!</v>
      </c>
      <c r="R3907" s="6" t="e">
        <v>#VALUE!</v>
      </c>
      <c r="T3907" s="9"/>
      <c r="U3907" s="1">
        <f t="shared" si="6774"/>
        <v>89</v>
      </c>
      <c r="V3907" s="1">
        <f t="shared" si="6775"/>
        <v>234</v>
      </c>
    </row>
    <row r="3908" spans="1:22" x14ac:dyDescent="0.3">
      <c r="A3908" s="1">
        <f t="shared" si="6777"/>
        <v>89235</v>
      </c>
      <c r="B3908" s="12">
        <f t="shared" si="6842"/>
        <v>0</v>
      </c>
      <c r="C3908" s="13">
        <f t="shared" si="6843"/>
        <v>0</v>
      </c>
      <c r="D3908" s="10">
        <f t="shared" si="6844"/>
        <v>0</v>
      </c>
      <c r="E3908" s="11" t="str">
        <f t="shared" ref="E3908" si="6850">IF(D3881="","",MAX(F3908,G3908))</f>
        <v/>
      </c>
      <c r="F3908" s="10">
        <f t="shared" ref="F3908" si="6851">ABS(MIN(B3906:B3915))</f>
        <v>0</v>
      </c>
      <c r="G3908" s="10">
        <f t="shared" ref="G3908" si="6852">ABS(MAX(B3906:B3915))</f>
        <v>0</v>
      </c>
      <c r="J3908" s="24" t="str">
        <f t="shared" ref="J3908" si="6853">CONCATENATE(K3905,3)</f>
        <v>93</v>
      </c>
      <c r="K3908" s="6" t="e">
        <v>#VALUE!</v>
      </c>
      <c r="L3908" s="6" t="e">
        <v>#VALUE!</v>
      </c>
      <c r="M3908" s="6" t="e">
        <v>#VALUE!</v>
      </c>
      <c r="N3908" s="6" t="e">
        <v>#VALUE!</v>
      </c>
      <c r="O3908" s="6" t="e">
        <v>#VALUE!</v>
      </c>
      <c r="P3908" s="6" t="e">
        <v>#VALUE!</v>
      </c>
      <c r="Q3908" s="6" t="e">
        <v>#VALUE!</v>
      </c>
      <c r="R3908" s="6" t="e">
        <v>#VALUE!</v>
      </c>
      <c r="T3908" s="9"/>
      <c r="U3908" s="1">
        <f t="shared" si="6774"/>
        <v>89</v>
      </c>
      <c r="V3908" s="1">
        <f t="shared" si="6775"/>
        <v>235</v>
      </c>
    </row>
    <row r="3909" spans="1:22" x14ac:dyDescent="0.3">
      <c r="A3909" s="1">
        <f t="shared" si="6777"/>
        <v>89236</v>
      </c>
      <c r="B3909" s="12">
        <f t="shared" si="6842"/>
        <v>0</v>
      </c>
      <c r="C3909" s="13">
        <f t="shared" si="6843"/>
        <v>0</v>
      </c>
      <c r="D3909" s="10">
        <f t="shared" si="6844"/>
        <v>0</v>
      </c>
      <c r="E3909" s="74" t="s">
        <v>39</v>
      </c>
      <c r="F3909" s="75"/>
      <c r="G3909" s="76"/>
      <c r="K3909" s="1">
        <v>10</v>
      </c>
      <c r="L3909" s="1">
        <v>10</v>
      </c>
      <c r="M3909" s="1">
        <v>10</v>
      </c>
      <c r="N3909" s="1">
        <v>10</v>
      </c>
      <c r="O3909" s="1">
        <v>10</v>
      </c>
      <c r="P3909" s="1">
        <v>10</v>
      </c>
      <c r="Q3909" s="1">
        <v>10</v>
      </c>
      <c r="R3909" s="1">
        <v>10</v>
      </c>
      <c r="S3909" s="1">
        <v>10</v>
      </c>
      <c r="T3909" s="9"/>
      <c r="U3909" s="1">
        <f t="shared" si="6774"/>
        <v>89</v>
      </c>
      <c r="V3909" s="1">
        <f t="shared" si="6775"/>
        <v>236</v>
      </c>
    </row>
    <row r="3910" spans="1:22" x14ac:dyDescent="0.3">
      <c r="A3910" s="1">
        <f t="shared" si="6777"/>
        <v>89237</v>
      </c>
      <c r="B3910" s="12">
        <f t="shared" si="6842"/>
        <v>0</v>
      </c>
      <c r="C3910" s="13">
        <f t="shared" si="6843"/>
        <v>0</v>
      </c>
      <c r="D3910" s="10">
        <f t="shared" si="6844"/>
        <v>0</v>
      </c>
      <c r="E3910" s="11" t="str">
        <f t="shared" ref="E3910" si="6854">IF(D3881="","",MAX(F3910,G3910))</f>
        <v/>
      </c>
      <c r="F3910" s="10">
        <f t="shared" ref="F3910" si="6855">ABS(MIN(D3890:D3899))</f>
        <v>0</v>
      </c>
      <c r="G3910" s="10">
        <f t="shared" ref="G3910" si="6856">ABS(MAX(D3890:D3899))</f>
        <v>0</v>
      </c>
      <c r="J3910" s="24" t="str">
        <f t="shared" ref="J3910" si="6857">CONCATENATE(K3909,1)</f>
        <v>101</v>
      </c>
      <c r="K3910" s="6" t="e">
        <f t="array" ref="K3910:S3912">LINEST(B3890:B3899,C3890:C3899^{1,2,3,4,5,6,7,8},TRUE,TRUE)</f>
        <v>#VALUE!</v>
      </c>
      <c r="L3910" s="6" t="e">
        <v>#VALUE!</v>
      </c>
      <c r="M3910" s="6" t="e">
        <v>#VALUE!</v>
      </c>
      <c r="N3910" s="6" t="e">
        <v>#VALUE!</v>
      </c>
      <c r="O3910" s="6" t="e">
        <v>#VALUE!</v>
      </c>
      <c r="P3910" s="6" t="e">
        <v>#VALUE!</v>
      </c>
      <c r="Q3910" s="6" t="e">
        <v>#VALUE!</v>
      </c>
      <c r="R3910" s="6" t="e">
        <v>#VALUE!</v>
      </c>
      <c r="S3910" s="6" t="e">
        <v>#VALUE!</v>
      </c>
      <c r="T3910" s="9"/>
      <c r="U3910" s="1">
        <f t="shared" si="6774"/>
        <v>89</v>
      </c>
      <c r="V3910" s="1">
        <f t="shared" si="6775"/>
        <v>237</v>
      </c>
    </row>
    <row r="3911" spans="1:22" x14ac:dyDescent="0.3">
      <c r="A3911" s="1">
        <f t="shared" si="6777"/>
        <v>89238</v>
      </c>
      <c r="B3911" s="12">
        <f t="shared" si="6842"/>
        <v>0</v>
      </c>
      <c r="C3911" s="13">
        <f t="shared" si="6843"/>
        <v>0</v>
      </c>
      <c r="D3911" s="10">
        <f t="shared" si="6844"/>
        <v>0</v>
      </c>
      <c r="J3911" s="24" t="str">
        <f t="shared" ref="J3911" si="6858">CONCATENATE(K3909,2)</f>
        <v>102</v>
      </c>
      <c r="K3911" s="6" t="e">
        <v>#VALUE!</v>
      </c>
      <c r="L3911" s="6" t="e">
        <v>#VALUE!</v>
      </c>
      <c r="M3911" s="6" t="e">
        <v>#VALUE!</v>
      </c>
      <c r="N3911" s="6" t="e">
        <v>#VALUE!</v>
      </c>
      <c r="O3911" s="6" t="e">
        <v>#VALUE!</v>
      </c>
      <c r="P3911" s="6" t="e">
        <v>#VALUE!</v>
      </c>
      <c r="Q3911" s="6" t="e">
        <v>#VALUE!</v>
      </c>
      <c r="R3911" s="6" t="e">
        <v>#VALUE!</v>
      </c>
      <c r="S3911" s="6" t="e">
        <v>#VALUE!</v>
      </c>
      <c r="T3911" s="9"/>
      <c r="U3911" s="1">
        <f t="shared" si="6774"/>
        <v>89</v>
      </c>
      <c r="V3911" s="1">
        <f t="shared" si="6775"/>
        <v>238</v>
      </c>
    </row>
    <row r="3912" spans="1:22" x14ac:dyDescent="0.3">
      <c r="A3912" s="1">
        <f t="shared" si="6777"/>
        <v>89239</v>
      </c>
      <c r="B3912" s="12">
        <f t="shared" si="6842"/>
        <v>0</v>
      </c>
      <c r="C3912" s="13">
        <f t="shared" si="6843"/>
        <v>0</v>
      </c>
      <c r="D3912" s="10">
        <f t="shared" si="6844"/>
        <v>0</v>
      </c>
      <c r="J3912" s="24" t="str">
        <f t="shared" ref="J3912" si="6859">CONCATENATE(K3909,3)</f>
        <v>103</v>
      </c>
      <c r="K3912" s="6" t="e">
        <v>#VALUE!</v>
      </c>
      <c r="L3912" s="6" t="e">
        <v>#VALUE!</v>
      </c>
      <c r="M3912" s="6" t="e">
        <v>#VALUE!</v>
      </c>
      <c r="N3912" s="6" t="e">
        <v>#VALUE!</v>
      </c>
      <c r="O3912" s="6" t="e">
        <v>#VALUE!</v>
      </c>
      <c r="P3912" s="6" t="e">
        <v>#VALUE!</v>
      </c>
      <c r="Q3912" s="6" t="e">
        <v>#VALUE!</v>
      </c>
      <c r="R3912" s="6" t="e">
        <v>#VALUE!</v>
      </c>
      <c r="S3912" s="6" t="e">
        <v>#VALUE!</v>
      </c>
      <c r="T3912" s="9"/>
      <c r="U3912" s="1">
        <f t="shared" si="6774"/>
        <v>89</v>
      </c>
      <c r="V3912" s="1">
        <f t="shared" si="6775"/>
        <v>239</v>
      </c>
    </row>
    <row r="3913" spans="1:22" x14ac:dyDescent="0.3">
      <c r="A3913" s="1">
        <f t="shared" si="6777"/>
        <v>89240</v>
      </c>
      <c r="B3913" s="12">
        <f t="shared" si="6842"/>
        <v>0</v>
      </c>
      <c r="C3913" s="13">
        <f t="shared" si="6843"/>
        <v>0</v>
      </c>
      <c r="D3913" s="10">
        <f t="shared" si="6844"/>
        <v>0</v>
      </c>
      <c r="J3913" s="9"/>
      <c r="K3913" s="9"/>
      <c r="L3913" s="9"/>
      <c r="M3913" s="9"/>
      <c r="N3913" s="9"/>
      <c r="O3913" s="9"/>
      <c r="P3913" s="9"/>
      <c r="Q3913" s="9"/>
      <c r="R3913" s="9"/>
      <c r="S3913" s="9"/>
      <c r="T3913" s="9"/>
      <c r="U3913" s="1">
        <f t="shared" si="6774"/>
        <v>89</v>
      </c>
      <c r="V3913" s="1">
        <f t="shared" si="6775"/>
        <v>240</v>
      </c>
    </row>
    <row r="3914" spans="1:22" x14ac:dyDescent="0.3">
      <c r="A3914" s="1">
        <f t="shared" si="6777"/>
        <v>89241</v>
      </c>
      <c r="B3914" s="12">
        <f t="shared" si="6842"/>
        <v>0</v>
      </c>
      <c r="C3914" s="13">
        <f t="shared" si="6843"/>
        <v>0</v>
      </c>
      <c r="D3914" s="10">
        <f t="shared" si="6844"/>
        <v>0</v>
      </c>
      <c r="J3914" s="9"/>
      <c r="K3914" s="9"/>
      <c r="L3914" s="9"/>
      <c r="M3914" s="9"/>
      <c r="N3914" s="9"/>
      <c r="O3914" s="9"/>
      <c r="P3914" s="9"/>
      <c r="Q3914" s="9"/>
      <c r="R3914" s="9"/>
      <c r="S3914" s="9"/>
      <c r="T3914" s="9"/>
      <c r="U3914" s="1">
        <f t="shared" si="6774"/>
        <v>89</v>
      </c>
      <c r="V3914" s="1">
        <f t="shared" si="6775"/>
        <v>241</v>
      </c>
    </row>
    <row r="3915" spans="1:22" x14ac:dyDescent="0.3">
      <c r="A3915" s="1">
        <f t="shared" si="6777"/>
        <v>89242</v>
      </c>
      <c r="B3915" s="12">
        <f t="shared" si="6842"/>
        <v>0</v>
      </c>
      <c r="C3915" s="13">
        <f t="shared" si="6843"/>
        <v>0</v>
      </c>
      <c r="D3915" s="10">
        <f t="shared" si="6844"/>
        <v>0</v>
      </c>
      <c r="J3915" s="9"/>
      <c r="K3915" s="9"/>
      <c r="L3915" s="9"/>
      <c r="M3915" s="9"/>
      <c r="N3915" s="9"/>
      <c r="O3915" s="9"/>
      <c r="P3915" s="9"/>
      <c r="Q3915" s="9"/>
      <c r="R3915" s="9"/>
      <c r="S3915" s="9"/>
      <c r="T3915" s="9"/>
      <c r="U3915" s="1">
        <f t="shared" si="6774"/>
        <v>89</v>
      </c>
      <c r="V3915" s="1">
        <f t="shared" si="6775"/>
        <v>242</v>
      </c>
    </row>
    <row r="3916" spans="1:22" x14ac:dyDescent="0.3">
      <c r="A3916" s="1">
        <f t="shared" si="6777"/>
        <v>89243</v>
      </c>
      <c r="J3916" s="9"/>
      <c r="K3916" s="9"/>
      <c r="L3916" s="9"/>
      <c r="M3916" s="9"/>
      <c r="N3916" s="9"/>
      <c r="O3916" s="9"/>
      <c r="P3916" s="9"/>
      <c r="Q3916" s="9"/>
      <c r="R3916" s="9"/>
      <c r="S3916" s="9"/>
      <c r="T3916" s="9"/>
      <c r="U3916" s="1">
        <f t="shared" si="6774"/>
        <v>89</v>
      </c>
      <c r="V3916" s="1">
        <f t="shared" si="6775"/>
        <v>243</v>
      </c>
    </row>
    <row r="3917" spans="1:22" s="5" customFormat="1" x14ac:dyDescent="0.3"/>
    <row r="3918" spans="1:22" x14ac:dyDescent="0.3">
      <c r="A3918" s="1">
        <f t="shared" ref="A3918:A3960" si="6860">ROUND(CONCATENATE(U3918,V3918),0)</f>
        <v>90201</v>
      </c>
      <c r="B3918" s="96" t="s">
        <v>0</v>
      </c>
      <c r="C3918" s="97"/>
      <c r="D3918" s="98"/>
      <c r="E3918" s="99"/>
      <c r="F3918" s="99"/>
      <c r="G3918" s="99"/>
      <c r="H3918" s="100"/>
      <c r="J3918" s="9"/>
      <c r="K3918" s="9"/>
      <c r="L3918" s="9"/>
      <c r="M3918" s="9"/>
      <c r="N3918" s="9"/>
      <c r="O3918" s="9"/>
      <c r="P3918" s="9"/>
      <c r="Q3918" s="9"/>
      <c r="R3918" s="9"/>
      <c r="S3918" s="9"/>
      <c r="T3918" s="9"/>
      <c r="U3918" s="1">
        <f t="shared" ref="U3918" si="6861">U3916+1</f>
        <v>90</v>
      </c>
      <c r="V3918" s="1">
        <v>201</v>
      </c>
    </row>
    <row r="3919" spans="1:22" x14ac:dyDescent="0.3">
      <c r="A3919" s="1">
        <f t="shared" si="6860"/>
        <v>90202</v>
      </c>
      <c r="B3919" s="96" t="s">
        <v>1</v>
      </c>
      <c r="C3919" s="97"/>
      <c r="D3919" s="15"/>
      <c r="E3919" s="16" t="s">
        <v>2</v>
      </c>
      <c r="F3919" s="107"/>
      <c r="G3919" s="108"/>
      <c r="H3919" s="109"/>
      <c r="J3919" s="9"/>
      <c r="K3919" s="9"/>
      <c r="L3919" s="9"/>
      <c r="M3919" s="9"/>
      <c r="N3919" s="9"/>
      <c r="O3919" s="9"/>
      <c r="P3919" s="9"/>
      <c r="Q3919" s="9"/>
      <c r="R3919" s="9"/>
      <c r="S3919" s="9"/>
      <c r="T3919" s="9"/>
      <c r="U3919" s="1">
        <f t="shared" ref="U3919" si="6862">U3918</f>
        <v>90</v>
      </c>
      <c r="V3919" s="1">
        <f t="shared" ref="V3919" si="6863">V3918+1</f>
        <v>202</v>
      </c>
    </row>
    <row r="3920" spans="1:22" x14ac:dyDescent="0.3">
      <c r="A3920" s="1">
        <f t="shared" si="6860"/>
        <v>90203</v>
      </c>
      <c r="B3920" s="96" t="s">
        <v>12</v>
      </c>
      <c r="C3920" s="97"/>
      <c r="D3920" s="98"/>
      <c r="E3920" s="99"/>
      <c r="F3920" s="99"/>
      <c r="G3920" s="99"/>
      <c r="H3920" s="100"/>
      <c r="K3920" s="1" t="s">
        <v>3</v>
      </c>
      <c r="L3920" s="1" t="s">
        <v>4</v>
      </c>
      <c r="M3920" s="1" t="s">
        <v>5</v>
      </c>
      <c r="N3920" s="1" t="s">
        <v>6</v>
      </c>
      <c r="O3920" s="1" t="s">
        <v>7</v>
      </c>
      <c r="P3920" s="1" t="s">
        <v>8</v>
      </c>
      <c r="Q3920" s="1" t="s">
        <v>9</v>
      </c>
      <c r="R3920" s="1" t="s">
        <v>10</v>
      </c>
      <c r="S3920" s="1" t="s">
        <v>11</v>
      </c>
      <c r="T3920" s="9"/>
      <c r="U3920" s="1">
        <f t="shared" si="6774"/>
        <v>90</v>
      </c>
      <c r="V3920" s="1">
        <f t="shared" si="6775"/>
        <v>203</v>
      </c>
    </row>
    <row r="3921" spans="1:22" x14ac:dyDescent="0.3">
      <c r="A3921" s="1">
        <f t="shared" si="6860"/>
        <v>90204</v>
      </c>
      <c r="B3921" s="96" t="s">
        <v>13</v>
      </c>
      <c r="C3921" s="97"/>
      <c r="D3921" s="98"/>
      <c r="E3921" s="99"/>
      <c r="F3921" s="99"/>
      <c r="G3921" s="99"/>
      <c r="H3921" s="100"/>
      <c r="J3921" s="1">
        <f t="shared" ref="J3921" si="6864">COUNTA(B3934:B3943)</f>
        <v>0</v>
      </c>
      <c r="K3921" s="1">
        <f t="shared" ref="K3921" si="6865">IF(L3921-1&lt;2,0,L3921-1)</f>
        <v>0</v>
      </c>
      <c r="L3921" s="1">
        <f t="shared" ref="L3921" si="6866">IF(M3921-1&lt;2,0,M3921-1)</f>
        <v>0</v>
      </c>
      <c r="M3921" s="1">
        <f t="shared" ref="M3921" si="6867">IF(N3921-1&lt;2,0,N3921-1)</f>
        <v>0</v>
      </c>
      <c r="N3921" s="1">
        <f t="shared" ref="N3921" si="6868">IF(O3921-1&lt;2,0,O3921-1)</f>
        <v>0</v>
      </c>
      <c r="O3921" s="1">
        <f t="shared" ref="O3921" si="6869">IF(P3921-1&lt;2,0,P3921-1)</f>
        <v>0</v>
      </c>
      <c r="P3921" s="1">
        <f t="shared" ref="P3921" si="6870">IF(Q3921-1&lt;2,0,Q3921-1)</f>
        <v>0</v>
      </c>
      <c r="Q3921" s="1">
        <f t="shared" ref="Q3921" si="6871">IF(R3921-1&lt;2,0,R3921-1)</f>
        <v>0</v>
      </c>
      <c r="R3921" s="1">
        <f t="shared" ref="R3921" si="6872">IF(S3921-1&lt;2,0,S3921-1)</f>
        <v>0</v>
      </c>
      <c r="S3921" s="1">
        <f t="shared" ref="S3921" si="6873">J3921</f>
        <v>0</v>
      </c>
      <c r="T3921" s="9"/>
      <c r="U3921" s="1">
        <f t="shared" si="6774"/>
        <v>90</v>
      </c>
      <c r="V3921" s="1">
        <f t="shared" si="6775"/>
        <v>204</v>
      </c>
    </row>
    <row r="3922" spans="1:22" x14ac:dyDescent="0.3">
      <c r="A3922" s="1">
        <f t="shared" si="6860"/>
        <v>90205</v>
      </c>
      <c r="B3922" s="96" t="s">
        <v>14</v>
      </c>
      <c r="C3922" s="97"/>
      <c r="D3922" s="98"/>
      <c r="E3922" s="99"/>
      <c r="F3922" s="99"/>
      <c r="G3922" s="99"/>
      <c r="H3922" s="100"/>
      <c r="J3922" s="24" t="str">
        <f t="shared" ref="J3922" si="6874">CONCATENATE(J3921,1)</f>
        <v>01</v>
      </c>
      <c r="K3922" s="25">
        <f t="shared" ref="K3922" si="6875">IF(K3921=0,0,VLOOKUP(J3922,J3926:S3956,K3921,FALSE))</f>
        <v>0</v>
      </c>
      <c r="L3922" s="25">
        <f t="shared" ref="L3922" si="6876">IF(L3921=0,0,VLOOKUP(J3922,J3926:S3956,L3921,FALSE))</f>
        <v>0</v>
      </c>
      <c r="M3922" s="25">
        <f t="shared" ref="M3922" si="6877">IF(M3921=0,0,VLOOKUP(J3922,J3926:S3956,M3921,FALSE))</f>
        <v>0</v>
      </c>
      <c r="N3922" s="25">
        <f t="shared" ref="N3922" si="6878">IF(N3921=0,0,VLOOKUP(J3922,J3926:S3956,N3921,FALSE))</f>
        <v>0</v>
      </c>
      <c r="O3922" s="25">
        <f t="shared" ref="O3922" si="6879">IF(O3921=0,0,VLOOKUP(J3922,J3926:S3956,O3921,FALSE))</f>
        <v>0</v>
      </c>
      <c r="P3922" s="25">
        <f t="shared" ref="P3922" si="6880">IF(P3921=0,0,VLOOKUP(J3922,J3926:S3956,P3921,FALSE))</f>
        <v>0</v>
      </c>
      <c r="Q3922" s="25">
        <f t="shared" ref="Q3922" si="6881">IF(Q3921=0,0,VLOOKUP(J3922,J3926:S3956,Q3921,FALSE))</f>
        <v>0</v>
      </c>
      <c r="R3922" s="25">
        <f t="shared" ref="R3922" si="6882">IF(R3921=0,0,VLOOKUP(J3922,J3926:S3956,R3921,FALSE))</f>
        <v>0</v>
      </c>
      <c r="S3922" s="25">
        <f t="shared" ref="S3922" si="6883">IF(S3921=0,0,VLOOKUP(J3922,J3926:S3956,S3921,FALSE))</f>
        <v>0</v>
      </c>
      <c r="T3922" s="9"/>
      <c r="U3922" s="1">
        <f t="shared" si="6774"/>
        <v>90</v>
      </c>
      <c r="V3922" s="1">
        <f t="shared" si="6775"/>
        <v>205</v>
      </c>
    </row>
    <row r="3923" spans="1:22" x14ac:dyDescent="0.3">
      <c r="A3923" s="1">
        <f t="shared" si="6860"/>
        <v>90206</v>
      </c>
      <c r="B3923" s="96" t="s">
        <v>15</v>
      </c>
      <c r="C3923" s="97"/>
      <c r="D3923" s="98"/>
      <c r="E3923" s="99"/>
      <c r="F3923" s="99"/>
      <c r="G3923" s="99"/>
      <c r="H3923" s="100"/>
      <c r="J3923" s="24" t="str">
        <f t="shared" ref="J3923" si="6884">CONCATENATE(J3921,2)</f>
        <v>02</v>
      </c>
      <c r="K3923" s="6">
        <f t="shared" ref="K3923" si="6885">IF(K3921=0,0,VLOOKUP(J3923,J3926:S3956,K3921,FALSE))</f>
        <v>0</v>
      </c>
      <c r="L3923" s="6">
        <f t="shared" ref="L3923" si="6886">IF(L3921=0,0,VLOOKUP(J3923,J3926:S3956,L3921,FALSE))</f>
        <v>0</v>
      </c>
      <c r="M3923" s="6">
        <f t="shared" ref="M3923" si="6887">IF(M3921=0,0,VLOOKUP(J3923,J3926:S3956,M3921,FALSE))</f>
        <v>0</v>
      </c>
      <c r="N3923" s="6">
        <f t="shared" ref="N3923" si="6888">IF(N3921=0,0,VLOOKUP(J3923,J3926:S3956,N3921,FALSE))</f>
        <v>0</v>
      </c>
      <c r="O3923" s="6">
        <f t="shared" ref="O3923" si="6889">IF(O3921=0,0,VLOOKUP(J3923,J3926:S3956,O3921,FALSE))</f>
        <v>0</v>
      </c>
      <c r="P3923" s="6">
        <f t="shared" ref="P3923" si="6890">IF(P3921=0,0,VLOOKUP(J3923,J3926:S3956,P3921,FALSE))</f>
        <v>0</v>
      </c>
      <c r="Q3923" s="6">
        <f t="shared" ref="Q3923" si="6891">IF(Q3921=0,0,VLOOKUP(J3923,J3926:S3956,Q3921,FALSE))</f>
        <v>0</v>
      </c>
      <c r="R3923" s="6">
        <f t="shared" ref="R3923" si="6892">IF(R3921=0,0,VLOOKUP(J3923,J3926:S3956,R3921,FALSE))</f>
        <v>0</v>
      </c>
      <c r="S3923" s="6">
        <f t="shared" ref="S3923" si="6893">IF(S3921=0,0,VLOOKUP(J3923,J3926:S3956,S3921,FALSE))</f>
        <v>0</v>
      </c>
      <c r="T3923" s="9"/>
      <c r="U3923" s="1">
        <f t="shared" si="6774"/>
        <v>90</v>
      </c>
      <c r="V3923" s="1">
        <f t="shared" si="6775"/>
        <v>206</v>
      </c>
    </row>
    <row r="3924" spans="1:22" x14ac:dyDescent="0.3">
      <c r="A3924" s="1">
        <f t="shared" si="6860"/>
        <v>90207</v>
      </c>
      <c r="B3924" s="96" t="s">
        <v>16</v>
      </c>
      <c r="C3924" s="97"/>
      <c r="D3924" s="101"/>
      <c r="E3924" s="102"/>
      <c r="F3924" s="102"/>
      <c r="G3924" s="102"/>
      <c r="H3924" s="103"/>
      <c r="J3924" s="24" t="str">
        <f t="shared" ref="J3924" si="6894">CONCATENATE(J3921,3)</f>
        <v>03</v>
      </c>
      <c r="K3924" s="6"/>
      <c r="L3924" s="6"/>
      <c r="M3924" s="6"/>
      <c r="N3924" s="6" t="s">
        <v>43</v>
      </c>
      <c r="O3924" s="25">
        <f t="shared" ref="O3924" si="6895">J3921-2</f>
        <v>-2</v>
      </c>
      <c r="P3924" s="6" t="s">
        <v>44</v>
      </c>
      <c r="Q3924" s="25" t="e">
        <f t="shared" ref="Q3924" si="6896">VLOOKUP(J3924,J3926:S3956,3,FALSE)</f>
        <v>#N/A</v>
      </c>
      <c r="R3924" s="6" t="s">
        <v>45</v>
      </c>
      <c r="S3924" s="6" t="e">
        <f t="shared" ref="S3924" si="6897">VLOOKUP(J3924,J3926:S3956,2,FALSE)</f>
        <v>#N/A</v>
      </c>
      <c r="T3924" s="9"/>
      <c r="U3924" s="1">
        <f t="shared" si="6774"/>
        <v>90</v>
      </c>
      <c r="V3924" s="1">
        <f t="shared" si="6775"/>
        <v>207</v>
      </c>
    </row>
    <row r="3925" spans="1:22" x14ac:dyDescent="0.3">
      <c r="A3925" s="1">
        <f t="shared" si="6860"/>
        <v>90208</v>
      </c>
      <c r="B3925" s="96" t="s">
        <v>17</v>
      </c>
      <c r="C3925" s="97"/>
      <c r="D3925" s="104"/>
      <c r="E3925" s="105"/>
      <c r="F3925" s="105"/>
      <c r="G3925" s="105"/>
      <c r="H3925" s="106"/>
      <c r="K3925" s="1">
        <v>3</v>
      </c>
      <c r="L3925" s="1">
        <v>3</v>
      </c>
      <c r="Q3925" s="26"/>
      <c r="R3925" s="26"/>
      <c r="S3925" s="26"/>
      <c r="T3925" s="9"/>
      <c r="U3925" s="1">
        <f t="shared" si="6774"/>
        <v>90</v>
      </c>
      <c r="V3925" s="1">
        <f t="shared" si="6775"/>
        <v>208</v>
      </c>
    </row>
    <row r="3926" spans="1:22" x14ac:dyDescent="0.3">
      <c r="A3926" s="1">
        <f t="shared" si="6860"/>
        <v>90209</v>
      </c>
      <c r="B3926" s="77" t="s">
        <v>19</v>
      </c>
      <c r="C3926" s="78"/>
      <c r="D3926" s="17"/>
      <c r="E3926" s="79" t="s">
        <v>40</v>
      </c>
      <c r="F3926" s="80"/>
      <c r="G3926" s="81"/>
      <c r="H3926" s="18" t="s">
        <v>72</v>
      </c>
      <c r="J3926" s="24" t="str">
        <f t="shared" ref="J3926" si="6898">CONCATENATE(K3925,1)</f>
        <v>31</v>
      </c>
      <c r="K3926" s="6" t="e">
        <f t="array" ref="K3926:L3928">LINEST(B3934:B3936,C3934:C3936^{1},TRUE,TRUE)</f>
        <v>#VALUE!</v>
      </c>
      <c r="L3926" s="6" t="e">
        <v>#VALUE!</v>
      </c>
      <c r="Q3926" s="9"/>
      <c r="R3926" s="9"/>
      <c r="S3926" s="9"/>
      <c r="T3926" s="9"/>
      <c r="U3926" s="1">
        <f t="shared" si="6774"/>
        <v>90</v>
      </c>
      <c r="V3926" s="1">
        <f t="shared" si="6775"/>
        <v>209</v>
      </c>
    </row>
    <row r="3927" spans="1:22" x14ac:dyDescent="0.3">
      <c r="A3927" s="1">
        <f t="shared" si="6860"/>
        <v>90210</v>
      </c>
      <c r="B3927" s="77" t="s">
        <v>41</v>
      </c>
      <c r="C3927" s="78"/>
      <c r="D3927" s="23">
        <f t="shared" ref="D3927" si="6899">MIN(B3934:B3943)</f>
        <v>0</v>
      </c>
      <c r="E3927" s="20" t="s">
        <v>18</v>
      </c>
      <c r="F3927" s="19">
        <f t="shared" ref="F3927" si="6900">MAX(B3934:B3943)</f>
        <v>0</v>
      </c>
      <c r="G3927" s="21" t="str">
        <f t="shared" ref="G3927" si="6901">IF(H3926="","",H3926)</f>
        <v>%ur</v>
      </c>
      <c r="H3927" s="22"/>
      <c r="J3927" s="24" t="str">
        <f t="shared" ref="J3927" si="6902">CONCATENATE(K3925,2)</f>
        <v>32</v>
      </c>
      <c r="K3927" s="6" t="e">
        <v>#VALUE!</v>
      </c>
      <c r="L3927" s="6" t="e">
        <v>#VALUE!</v>
      </c>
      <c r="Q3927" s="9"/>
      <c r="R3927" s="9"/>
      <c r="S3927" s="9"/>
      <c r="T3927" s="9"/>
      <c r="U3927" s="1">
        <f t="shared" si="6774"/>
        <v>90</v>
      </c>
      <c r="V3927" s="1">
        <f t="shared" si="6775"/>
        <v>210</v>
      </c>
    </row>
    <row r="3928" spans="1:22" x14ac:dyDescent="0.3">
      <c r="A3928" s="1">
        <f t="shared" si="6860"/>
        <v>90211</v>
      </c>
      <c r="J3928" s="24" t="str">
        <f t="shared" ref="J3928" si="6903">CONCATENATE(K3925,3)</f>
        <v>33</v>
      </c>
      <c r="K3928" s="6" t="e">
        <v>#VALUE!</v>
      </c>
      <c r="L3928" s="6" t="e">
        <v>#VALUE!</v>
      </c>
      <c r="Q3928" s="9"/>
      <c r="R3928" s="9"/>
      <c r="S3928" s="9"/>
      <c r="T3928" s="9"/>
      <c r="U3928" s="1">
        <f t="shared" si="6774"/>
        <v>90</v>
      </c>
      <c r="V3928" s="1">
        <f t="shared" si="6775"/>
        <v>211</v>
      </c>
    </row>
    <row r="3929" spans="1:22" x14ac:dyDescent="0.3">
      <c r="A3929" s="1">
        <f t="shared" si="6860"/>
        <v>90212</v>
      </c>
      <c r="B3929" s="82" t="s">
        <v>20</v>
      </c>
      <c r="C3929" s="83"/>
      <c r="D3929" s="83"/>
      <c r="E3929" s="83"/>
      <c r="F3929" s="84"/>
      <c r="G3929" s="85" t="s">
        <v>31</v>
      </c>
      <c r="H3929" s="86"/>
      <c r="K3929" s="1">
        <v>4</v>
      </c>
      <c r="L3929" s="1">
        <v>4</v>
      </c>
      <c r="M3929" s="1">
        <v>4</v>
      </c>
      <c r="Q3929" s="9"/>
      <c r="R3929" s="9"/>
      <c r="S3929" s="9"/>
      <c r="T3929" s="9"/>
      <c r="U3929" s="1">
        <f t="shared" si="6774"/>
        <v>90</v>
      </c>
      <c r="V3929" s="1">
        <f t="shared" si="6775"/>
        <v>212</v>
      </c>
    </row>
    <row r="3930" spans="1:22" x14ac:dyDescent="0.3">
      <c r="A3930" s="1">
        <f t="shared" si="6860"/>
        <v>90213</v>
      </c>
      <c r="B3930" s="82" t="s">
        <v>30</v>
      </c>
      <c r="C3930" s="83"/>
      <c r="D3930" s="84"/>
      <c r="E3930" s="82">
        <f t="shared" ref="E3930" si="6904">D3923</f>
        <v>0</v>
      </c>
      <c r="F3930" s="84"/>
      <c r="G3930" s="6" t="s">
        <v>32</v>
      </c>
      <c r="H3930" s="7"/>
      <c r="J3930" s="24" t="str">
        <f t="shared" ref="J3930" si="6905">CONCATENATE(K3929,1)</f>
        <v>41</v>
      </c>
      <c r="K3930" s="6" t="e">
        <f t="array" ref="K3930:M3932">LINEST(B3934:B3937,C3934:C3937^{1,2},TRUE,TRUE)</f>
        <v>#VALUE!</v>
      </c>
      <c r="L3930" s="6" t="e">
        <v>#VALUE!</v>
      </c>
      <c r="M3930" s="6" t="e">
        <v>#VALUE!</v>
      </c>
      <c r="Q3930" s="9"/>
      <c r="R3930" s="9"/>
      <c r="S3930" s="9"/>
      <c r="T3930" s="9"/>
      <c r="U3930" s="1">
        <f t="shared" si="6774"/>
        <v>90</v>
      </c>
      <c r="V3930" s="1">
        <f t="shared" si="6775"/>
        <v>213</v>
      </c>
    </row>
    <row r="3931" spans="1:22" x14ac:dyDescent="0.3">
      <c r="A3931" s="1">
        <f t="shared" si="6860"/>
        <v>90214</v>
      </c>
      <c r="B3931" s="2" t="s">
        <v>21</v>
      </c>
      <c r="C3931" s="2" t="s">
        <v>22</v>
      </c>
      <c r="D3931" s="2" t="s">
        <v>23</v>
      </c>
      <c r="E3931" s="2"/>
      <c r="F3931" s="2" t="s">
        <v>28</v>
      </c>
      <c r="G3931" s="2" t="s">
        <v>21</v>
      </c>
      <c r="H3931" s="2" t="s">
        <v>22</v>
      </c>
      <c r="J3931" s="24" t="str">
        <f t="shared" ref="J3931" si="6906">CONCATENATE(K3929,2)</f>
        <v>42</v>
      </c>
      <c r="K3931" s="6" t="e">
        <v>#VALUE!</v>
      </c>
      <c r="L3931" s="6" t="e">
        <v>#VALUE!</v>
      </c>
      <c r="M3931" s="6" t="e">
        <v>#VALUE!</v>
      </c>
      <c r="Q3931" s="9"/>
      <c r="R3931" s="9"/>
      <c r="S3931" s="9"/>
      <c r="T3931" s="9"/>
      <c r="U3931" s="1">
        <f t="shared" ref="U3931:U3994" si="6907">U3930</f>
        <v>90</v>
      </c>
      <c r="V3931" s="1">
        <f t="shared" ref="V3931:V3994" si="6908">V3930+1</f>
        <v>214</v>
      </c>
    </row>
    <row r="3932" spans="1:22" x14ac:dyDescent="0.3">
      <c r="A3932" s="1">
        <f t="shared" si="6860"/>
        <v>90215</v>
      </c>
      <c r="B3932" s="2" t="s">
        <v>24</v>
      </c>
      <c r="C3932" s="2" t="s">
        <v>25</v>
      </c>
      <c r="D3932" s="2" t="s">
        <v>26</v>
      </c>
      <c r="E3932" s="2" t="s">
        <v>27</v>
      </c>
      <c r="F3932" s="2" t="s">
        <v>29</v>
      </c>
      <c r="G3932" s="2" t="s">
        <v>24</v>
      </c>
      <c r="H3932" s="2" t="s">
        <v>25</v>
      </c>
      <c r="J3932" s="24" t="str">
        <f t="shared" ref="J3932" si="6909">CONCATENATE(K3929,3)</f>
        <v>43</v>
      </c>
      <c r="K3932" s="6" t="e">
        <v>#VALUE!</v>
      </c>
      <c r="L3932" s="6" t="e">
        <v>#VALUE!</v>
      </c>
      <c r="M3932" s="6" t="e">
        <v>#VALUE!</v>
      </c>
      <c r="Q3932" s="9"/>
      <c r="R3932" s="9"/>
      <c r="S3932" s="9"/>
      <c r="T3932" s="9"/>
      <c r="U3932" s="1">
        <f t="shared" si="6907"/>
        <v>90</v>
      </c>
      <c r="V3932" s="1">
        <f t="shared" si="6908"/>
        <v>215</v>
      </c>
    </row>
    <row r="3933" spans="1:22" x14ac:dyDescent="0.3">
      <c r="A3933" s="1">
        <f t="shared" si="6860"/>
        <v>90216</v>
      </c>
      <c r="B3933" s="3" t="str">
        <f t="shared" ref="B3933" si="6910">H3926</f>
        <v>%ur</v>
      </c>
      <c r="C3933" s="3" t="str">
        <f t="shared" ref="C3933" si="6911">B3933</f>
        <v>%ur</v>
      </c>
      <c r="D3933" s="3" t="str">
        <f t="shared" ref="D3933" si="6912">C3933</f>
        <v>%ur</v>
      </c>
      <c r="E3933" s="3"/>
      <c r="F3933" s="3"/>
      <c r="G3933" s="3" t="str">
        <f t="shared" ref="G3933" si="6913">D3933</f>
        <v>%ur</v>
      </c>
      <c r="H3933" s="3" t="str">
        <f t="shared" ref="H3933" si="6914">G3933</f>
        <v>%ur</v>
      </c>
      <c r="K3933" s="1">
        <v>5</v>
      </c>
      <c r="L3933" s="1">
        <v>5</v>
      </c>
      <c r="M3933" s="1">
        <v>5</v>
      </c>
      <c r="N3933" s="1">
        <v>5</v>
      </c>
      <c r="Q3933" s="9"/>
      <c r="R3933" s="9"/>
      <c r="S3933" s="9"/>
      <c r="T3933" s="9"/>
      <c r="U3933" s="1">
        <f t="shared" si="6907"/>
        <v>90</v>
      </c>
      <c r="V3933" s="1">
        <f t="shared" si="6908"/>
        <v>216</v>
      </c>
    </row>
    <row r="3934" spans="1:22" x14ac:dyDescent="0.3">
      <c r="A3934" s="1">
        <f t="shared" si="6860"/>
        <v>90217</v>
      </c>
      <c r="B3934" s="4"/>
      <c r="C3934" s="4"/>
      <c r="D3934" s="4"/>
      <c r="E3934" s="4"/>
      <c r="F3934" s="14"/>
      <c r="G3934" s="8"/>
      <c r="H3934" s="7"/>
      <c r="J3934" s="24" t="str">
        <f t="shared" ref="J3934" si="6915">CONCATENATE(K3933,1)</f>
        <v>51</v>
      </c>
      <c r="K3934" s="6" t="e">
        <f t="array" ref="K3934:N3936">LINEST(B3934:B3938,C3934:C3938^{1,2,3},TRUE,TRUE)</f>
        <v>#VALUE!</v>
      </c>
      <c r="L3934" s="6" t="e">
        <v>#VALUE!</v>
      </c>
      <c r="M3934" s="6" t="e">
        <v>#VALUE!</v>
      </c>
      <c r="N3934" s="6" t="e">
        <v>#VALUE!</v>
      </c>
      <c r="Q3934" s="9"/>
      <c r="R3934" s="9"/>
      <c r="S3934" s="9"/>
      <c r="T3934" s="9"/>
      <c r="U3934" s="1">
        <f t="shared" si="6907"/>
        <v>90</v>
      </c>
      <c r="V3934" s="1">
        <f t="shared" si="6908"/>
        <v>217</v>
      </c>
    </row>
    <row r="3935" spans="1:22" x14ac:dyDescent="0.3">
      <c r="A3935" s="1">
        <f t="shared" si="6860"/>
        <v>90218</v>
      </c>
      <c r="B3935" s="4"/>
      <c r="C3935" s="4"/>
      <c r="D3935" s="4"/>
      <c r="E3935" s="4"/>
      <c r="F3935" s="14"/>
      <c r="G3935" s="8"/>
      <c r="H3935" s="7"/>
      <c r="J3935" s="24" t="str">
        <f t="shared" ref="J3935" si="6916">CONCATENATE(K3933,2)</f>
        <v>52</v>
      </c>
      <c r="K3935" s="6" t="e">
        <v>#VALUE!</v>
      </c>
      <c r="L3935" s="6" t="e">
        <v>#VALUE!</v>
      </c>
      <c r="M3935" s="6" t="e">
        <v>#VALUE!</v>
      </c>
      <c r="N3935" s="6" t="e">
        <v>#VALUE!</v>
      </c>
      <c r="T3935" s="9"/>
      <c r="U3935" s="1">
        <f t="shared" si="6907"/>
        <v>90</v>
      </c>
      <c r="V3935" s="1">
        <f t="shared" si="6908"/>
        <v>218</v>
      </c>
    </row>
    <row r="3936" spans="1:22" x14ac:dyDescent="0.3">
      <c r="A3936" s="1">
        <f t="shared" si="6860"/>
        <v>90219</v>
      </c>
      <c r="B3936" s="4"/>
      <c r="C3936" s="4"/>
      <c r="D3936" s="4"/>
      <c r="E3936" s="4"/>
      <c r="F3936" s="14"/>
      <c r="G3936" s="8"/>
      <c r="H3936" s="7"/>
      <c r="J3936" s="24" t="str">
        <f t="shared" ref="J3936" si="6917">CONCATENATE(K3933,3)</f>
        <v>53</v>
      </c>
      <c r="K3936" s="6" t="e">
        <v>#VALUE!</v>
      </c>
      <c r="L3936" s="6" t="e">
        <v>#VALUE!</v>
      </c>
      <c r="M3936" s="6" t="e">
        <v>#VALUE!</v>
      </c>
      <c r="N3936" s="6" t="e">
        <v>#VALUE!</v>
      </c>
      <c r="T3936" s="9"/>
      <c r="U3936" s="1">
        <f t="shared" si="6907"/>
        <v>90</v>
      </c>
      <c r="V3936" s="1">
        <f t="shared" si="6908"/>
        <v>219</v>
      </c>
    </row>
    <row r="3937" spans="1:22" x14ac:dyDescent="0.3">
      <c r="A3937" s="1">
        <f t="shared" si="6860"/>
        <v>90220</v>
      </c>
      <c r="B3937" s="4"/>
      <c r="C3937" s="4"/>
      <c r="D3937" s="4"/>
      <c r="E3937" s="4"/>
      <c r="F3937" s="14"/>
      <c r="G3937" s="8"/>
      <c r="H3937" s="7"/>
      <c r="K3937" s="1">
        <v>6</v>
      </c>
      <c r="L3937" s="1">
        <v>6</v>
      </c>
      <c r="M3937" s="1">
        <v>6</v>
      </c>
      <c r="N3937" s="1">
        <v>6</v>
      </c>
      <c r="O3937" s="1">
        <v>6</v>
      </c>
      <c r="T3937" s="9"/>
      <c r="U3937" s="1">
        <f t="shared" si="6907"/>
        <v>90</v>
      </c>
      <c r="V3937" s="1">
        <f t="shared" si="6908"/>
        <v>220</v>
      </c>
    </row>
    <row r="3938" spans="1:22" x14ac:dyDescent="0.3">
      <c r="A3938" s="1">
        <f t="shared" si="6860"/>
        <v>90221</v>
      </c>
      <c r="B3938" s="4"/>
      <c r="C3938" s="4"/>
      <c r="D3938" s="4"/>
      <c r="E3938" s="4"/>
      <c r="F3938" s="14"/>
      <c r="G3938" s="8"/>
      <c r="H3938" s="7"/>
      <c r="J3938" s="24" t="str">
        <f t="shared" ref="J3938" si="6918">CONCATENATE(K3937,1)</f>
        <v>61</v>
      </c>
      <c r="K3938" s="6" t="e">
        <f t="array" ref="K3938:O3940">LINEST(B3934:B3939,C3934:C3939^{1,2,3,4},TRUE,TRUE)</f>
        <v>#VALUE!</v>
      </c>
      <c r="L3938" s="6" t="e">
        <v>#VALUE!</v>
      </c>
      <c r="M3938" s="6" t="e">
        <v>#VALUE!</v>
      </c>
      <c r="N3938" s="6" t="e">
        <v>#VALUE!</v>
      </c>
      <c r="O3938" s="6" t="e">
        <v>#VALUE!</v>
      </c>
      <c r="T3938" s="9"/>
      <c r="U3938" s="1">
        <f t="shared" si="6907"/>
        <v>90</v>
      </c>
      <c r="V3938" s="1">
        <f t="shared" si="6908"/>
        <v>221</v>
      </c>
    </row>
    <row r="3939" spans="1:22" x14ac:dyDescent="0.3">
      <c r="A3939" s="1">
        <f t="shared" si="6860"/>
        <v>90222</v>
      </c>
      <c r="B3939" s="4"/>
      <c r="C3939" s="4"/>
      <c r="D3939" s="4"/>
      <c r="E3939" s="4"/>
      <c r="F3939" s="14"/>
      <c r="G3939" s="8"/>
      <c r="H3939" s="7"/>
      <c r="J3939" s="24" t="str">
        <f t="shared" ref="J3939" si="6919">CONCATENATE(K3937,2)</f>
        <v>62</v>
      </c>
      <c r="K3939" s="6" t="e">
        <v>#VALUE!</v>
      </c>
      <c r="L3939" s="6" t="e">
        <v>#VALUE!</v>
      </c>
      <c r="M3939" s="6" t="e">
        <v>#VALUE!</v>
      </c>
      <c r="N3939" s="6" t="e">
        <v>#VALUE!</v>
      </c>
      <c r="O3939" s="6" t="e">
        <v>#VALUE!</v>
      </c>
      <c r="T3939" s="9"/>
      <c r="U3939" s="1">
        <f t="shared" si="6907"/>
        <v>90</v>
      </c>
      <c r="V3939" s="1">
        <f t="shared" si="6908"/>
        <v>222</v>
      </c>
    </row>
    <row r="3940" spans="1:22" x14ac:dyDescent="0.3">
      <c r="A3940" s="1">
        <f t="shared" si="6860"/>
        <v>90223</v>
      </c>
      <c r="B3940" s="4"/>
      <c r="C3940" s="4"/>
      <c r="D3940" s="4"/>
      <c r="E3940" s="4"/>
      <c r="F3940" s="14"/>
      <c r="G3940" s="8"/>
      <c r="H3940" s="7"/>
      <c r="J3940" s="24" t="str">
        <f t="shared" ref="J3940" si="6920">CONCATENATE(K3937,3)</f>
        <v>63</v>
      </c>
      <c r="K3940" s="6" t="e">
        <v>#VALUE!</v>
      </c>
      <c r="L3940" s="6" t="e">
        <v>#VALUE!</v>
      </c>
      <c r="M3940" s="6" t="e">
        <v>#VALUE!</v>
      </c>
      <c r="N3940" s="6" t="e">
        <v>#VALUE!</v>
      </c>
      <c r="O3940" s="6" t="e">
        <v>#VALUE!</v>
      </c>
      <c r="T3940" s="9"/>
      <c r="U3940" s="1">
        <f t="shared" si="6907"/>
        <v>90</v>
      </c>
      <c r="V3940" s="1">
        <f t="shared" si="6908"/>
        <v>223</v>
      </c>
    </row>
    <row r="3941" spans="1:22" x14ac:dyDescent="0.3">
      <c r="A3941" s="1">
        <f t="shared" si="6860"/>
        <v>90224</v>
      </c>
      <c r="B3941" s="4"/>
      <c r="C3941" s="4"/>
      <c r="D3941" s="4"/>
      <c r="E3941" s="4"/>
      <c r="F3941" s="14"/>
      <c r="G3941" s="8"/>
      <c r="H3941" s="7"/>
      <c r="K3941" s="1">
        <v>7</v>
      </c>
      <c r="L3941" s="1">
        <v>7</v>
      </c>
      <c r="M3941" s="1">
        <v>7</v>
      </c>
      <c r="N3941" s="1">
        <v>7</v>
      </c>
      <c r="O3941" s="1">
        <v>7</v>
      </c>
      <c r="P3941" s="1">
        <v>7</v>
      </c>
      <c r="T3941" s="9"/>
      <c r="U3941" s="1">
        <f t="shared" si="6907"/>
        <v>90</v>
      </c>
      <c r="V3941" s="1">
        <f t="shared" si="6908"/>
        <v>224</v>
      </c>
    </row>
    <row r="3942" spans="1:22" x14ac:dyDescent="0.3">
      <c r="A3942" s="1">
        <f t="shared" si="6860"/>
        <v>90225</v>
      </c>
      <c r="B3942" s="4"/>
      <c r="C3942" s="4"/>
      <c r="D3942" s="4"/>
      <c r="E3942" s="4"/>
      <c r="F3942" s="14"/>
      <c r="G3942" s="8"/>
      <c r="H3942" s="7"/>
      <c r="J3942" s="24" t="str">
        <f t="shared" ref="J3942" si="6921">CONCATENATE(K3941,1)</f>
        <v>71</v>
      </c>
      <c r="K3942" s="6" t="e">
        <f t="array" ref="K3942:P3944">LINEST(B3934:B3940,C3934:C3940^{1,2,3,4,5},TRUE,TRUE)</f>
        <v>#VALUE!</v>
      </c>
      <c r="L3942" s="6" t="e">
        <v>#VALUE!</v>
      </c>
      <c r="M3942" s="6" t="e">
        <v>#VALUE!</v>
      </c>
      <c r="N3942" s="6" t="e">
        <v>#VALUE!</v>
      </c>
      <c r="O3942" s="6" t="e">
        <v>#VALUE!</v>
      </c>
      <c r="P3942" s="6" t="e">
        <v>#VALUE!</v>
      </c>
      <c r="T3942" s="9"/>
      <c r="U3942" s="1">
        <f t="shared" si="6907"/>
        <v>90</v>
      </c>
      <c r="V3942" s="1">
        <f t="shared" si="6908"/>
        <v>225</v>
      </c>
    </row>
    <row r="3943" spans="1:22" x14ac:dyDescent="0.3">
      <c r="A3943" s="1">
        <f t="shared" si="6860"/>
        <v>90226</v>
      </c>
      <c r="B3943" s="4"/>
      <c r="C3943" s="4"/>
      <c r="D3943" s="4"/>
      <c r="E3943" s="4"/>
      <c r="F3943" s="14"/>
      <c r="G3943" s="8"/>
      <c r="H3943" s="7"/>
      <c r="J3943" s="24" t="str">
        <f t="shared" ref="J3943" si="6922">CONCATENATE(K3941,2)</f>
        <v>72</v>
      </c>
      <c r="K3943" s="6" t="e">
        <v>#VALUE!</v>
      </c>
      <c r="L3943" s="6" t="e">
        <v>#VALUE!</v>
      </c>
      <c r="M3943" s="6" t="e">
        <v>#VALUE!</v>
      </c>
      <c r="N3943" s="6" t="e">
        <v>#VALUE!</v>
      </c>
      <c r="O3943" s="6" t="e">
        <v>#VALUE!</v>
      </c>
      <c r="P3943" s="6" t="e">
        <v>#VALUE!</v>
      </c>
      <c r="T3943" s="9"/>
      <c r="U3943" s="1">
        <f t="shared" si="6907"/>
        <v>90</v>
      </c>
      <c r="V3943" s="1">
        <f t="shared" si="6908"/>
        <v>226</v>
      </c>
    </row>
    <row r="3944" spans="1:22" x14ac:dyDescent="0.3">
      <c r="A3944" s="1">
        <f t="shared" si="6860"/>
        <v>90227</v>
      </c>
      <c r="B3944" s="9"/>
      <c r="C3944" s="9"/>
      <c r="D3944" s="9"/>
      <c r="E3944" s="9"/>
      <c r="F3944" s="9"/>
      <c r="G3944" s="9"/>
      <c r="H3944" s="9"/>
      <c r="J3944" s="24" t="str">
        <f t="shared" ref="J3944" si="6923">CONCATENATE(K3941,3)</f>
        <v>73</v>
      </c>
      <c r="K3944" s="6" t="e">
        <v>#VALUE!</v>
      </c>
      <c r="L3944" s="6" t="e">
        <v>#VALUE!</v>
      </c>
      <c r="M3944" s="6" t="e">
        <v>#VALUE!</v>
      </c>
      <c r="N3944" s="6" t="e">
        <v>#VALUE!</v>
      </c>
      <c r="O3944" s="6" t="e">
        <v>#VALUE!</v>
      </c>
      <c r="P3944" s="6" t="e">
        <v>#VALUE!</v>
      </c>
      <c r="T3944" s="9"/>
      <c r="U3944" s="1">
        <f t="shared" si="6907"/>
        <v>90</v>
      </c>
      <c r="V3944" s="1">
        <f t="shared" si="6908"/>
        <v>227</v>
      </c>
    </row>
    <row r="3945" spans="1:22" x14ac:dyDescent="0.3">
      <c r="A3945" s="1">
        <f t="shared" si="6860"/>
        <v>90228</v>
      </c>
      <c r="B3945" s="87" t="s">
        <v>33</v>
      </c>
      <c r="C3945" s="88"/>
      <c r="D3945" s="88"/>
      <c r="E3945" s="88"/>
      <c r="F3945" s="88"/>
      <c r="G3945" s="88"/>
      <c r="H3945" s="89"/>
      <c r="K3945" s="1">
        <v>8</v>
      </c>
      <c r="L3945" s="1">
        <v>8</v>
      </c>
      <c r="M3945" s="1">
        <v>8</v>
      </c>
      <c r="N3945" s="1">
        <v>8</v>
      </c>
      <c r="O3945" s="1">
        <v>8</v>
      </c>
      <c r="P3945" s="1">
        <v>8</v>
      </c>
      <c r="Q3945" s="1">
        <v>8</v>
      </c>
      <c r="T3945" s="9"/>
      <c r="U3945" s="1">
        <f t="shared" si="6907"/>
        <v>90</v>
      </c>
      <c r="V3945" s="1">
        <f t="shared" si="6908"/>
        <v>228</v>
      </c>
    </row>
    <row r="3946" spans="1:22" x14ac:dyDescent="0.3">
      <c r="A3946" s="1">
        <f t="shared" si="6860"/>
        <v>90229</v>
      </c>
      <c r="B3946" s="90"/>
      <c r="C3946" s="91"/>
      <c r="D3946" s="91"/>
      <c r="E3946" s="91"/>
      <c r="F3946" s="91"/>
      <c r="G3946" s="91"/>
      <c r="H3946" s="92"/>
      <c r="J3946" s="24" t="str">
        <f t="shared" ref="J3946" si="6924">CONCATENATE(K3945,1)</f>
        <v>81</v>
      </c>
      <c r="K3946" s="6" t="e">
        <f t="array" ref="K3946:Q3948">LINEST(B3934:B3941,C3934:C3941^{1,2,3,4,5,6},TRUE,TRUE)</f>
        <v>#VALUE!</v>
      </c>
      <c r="L3946" s="6" t="e">
        <v>#VALUE!</v>
      </c>
      <c r="M3946" s="6" t="e">
        <v>#VALUE!</v>
      </c>
      <c r="N3946" s="6" t="e">
        <v>#VALUE!</v>
      </c>
      <c r="O3946" s="6" t="e">
        <v>#VALUE!</v>
      </c>
      <c r="P3946" s="6" t="e">
        <v>#VALUE!</v>
      </c>
      <c r="Q3946" s="6" t="e">
        <v>#VALUE!</v>
      </c>
      <c r="T3946" s="9"/>
      <c r="U3946" s="1">
        <f t="shared" si="6907"/>
        <v>90</v>
      </c>
      <c r="V3946" s="1">
        <f t="shared" si="6908"/>
        <v>229</v>
      </c>
    </row>
    <row r="3947" spans="1:22" x14ac:dyDescent="0.3">
      <c r="A3947" s="1">
        <f t="shared" si="6860"/>
        <v>90230</v>
      </c>
      <c r="B3947" s="93"/>
      <c r="C3947" s="94"/>
      <c r="D3947" s="94"/>
      <c r="E3947" s="94"/>
      <c r="F3947" s="94"/>
      <c r="G3947" s="94"/>
      <c r="H3947" s="95"/>
      <c r="J3947" s="24" t="str">
        <f t="shared" ref="J3947" si="6925">CONCATENATE(K3945,2)</f>
        <v>82</v>
      </c>
      <c r="K3947" s="6" t="e">
        <v>#VALUE!</v>
      </c>
      <c r="L3947" s="6" t="e">
        <v>#VALUE!</v>
      </c>
      <c r="M3947" s="6" t="e">
        <v>#VALUE!</v>
      </c>
      <c r="N3947" s="6" t="e">
        <v>#VALUE!</v>
      </c>
      <c r="O3947" s="6" t="e">
        <v>#VALUE!</v>
      </c>
      <c r="P3947" s="6" t="e">
        <v>#VALUE!</v>
      </c>
      <c r="Q3947" s="6" t="e">
        <v>#VALUE!</v>
      </c>
      <c r="T3947" s="9"/>
      <c r="U3947" s="1">
        <f t="shared" si="6907"/>
        <v>90</v>
      </c>
      <c r="V3947" s="1">
        <f t="shared" si="6908"/>
        <v>230</v>
      </c>
    </row>
    <row r="3948" spans="1:22" x14ac:dyDescent="0.3">
      <c r="A3948" s="1">
        <f t="shared" si="6860"/>
        <v>90231</v>
      </c>
      <c r="J3948" s="24" t="str">
        <f t="shared" ref="J3948" si="6926">CONCATENATE(K3945,3)</f>
        <v>83</v>
      </c>
      <c r="K3948" s="6" t="e">
        <v>#VALUE!</v>
      </c>
      <c r="L3948" s="6" t="e">
        <v>#VALUE!</v>
      </c>
      <c r="M3948" s="6" t="e">
        <v>#VALUE!</v>
      </c>
      <c r="N3948" s="6" t="e">
        <v>#VALUE!</v>
      </c>
      <c r="O3948" s="6" t="e">
        <v>#VALUE!</v>
      </c>
      <c r="P3948" s="6" t="e">
        <v>#VALUE!</v>
      </c>
      <c r="Q3948" s="6" t="e">
        <v>#VALUE!</v>
      </c>
      <c r="T3948" s="9"/>
      <c r="U3948" s="1">
        <f t="shared" si="6907"/>
        <v>90</v>
      </c>
      <c r="V3948" s="1">
        <f t="shared" si="6908"/>
        <v>231</v>
      </c>
    </row>
    <row r="3949" spans="1:22" ht="15" customHeight="1" x14ac:dyDescent="0.3">
      <c r="A3949" s="1">
        <f t="shared" si="6860"/>
        <v>90232</v>
      </c>
      <c r="B3949" s="10" t="s">
        <v>34</v>
      </c>
      <c r="C3949" s="10" t="s">
        <v>35</v>
      </c>
      <c r="D3949" s="10" t="s">
        <v>36</v>
      </c>
      <c r="E3949" s="74" t="s">
        <v>37</v>
      </c>
      <c r="F3949" s="75"/>
      <c r="G3949" s="76"/>
      <c r="K3949" s="1">
        <v>9</v>
      </c>
      <c r="L3949" s="1">
        <v>9</v>
      </c>
      <c r="M3949" s="1">
        <v>9</v>
      </c>
      <c r="N3949" s="1">
        <v>9</v>
      </c>
      <c r="O3949" s="1">
        <v>9</v>
      </c>
      <c r="P3949" s="1">
        <v>9</v>
      </c>
      <c r="Q3949" s="1">
        <v>9</v>
      </c>
      <c r="R3949" s="1">
        <v>9</v>
      </c>
      <c r="T3949" s="9"/>
      <c r="U3949" s="1">
        <f t="shared" si="6907"/>
        <v>90</v>
      </c>
      <c r="V3949" s="1">
        <f t="shared" si="6908"/>
        <v>232</v>
      </c>
    </row>
    <row r="3950" spans="1:22" x14ac:dyDescent="0.3">
      <c r="A3950" s="1">
        <f t="shared" si="6860"/>
        <v>90233</v>
      </c>
      <c r="B3950" s="12">
        <f t="shared" ref="B3950:B3959" si="6927">C3934-B3934</f>
        <v>0</v>
      </c>
      <c r="C3950" s="13">
        <f t="shared" ref="C3950:C3959" si="6928">H3934-G3934</f>
        <v>0</v>
      </c>
      <c r="D3950" s="10">
        <f t="shared" ref="D3950:D3959" si="6929">C3950-B3950</f>
        <v>0</v>
      </c>
      <c r="E3950" s="11" t="str">
        <f t="shared" ref="E3950" si="6930">IF(D3925="","",MAX(F3950,G3950))</f>
        <v/>
      </c>
      <c r="F3950" s="10">
        <f t="shared" ref="F3950" si="6931">ABS(MIN(D3950:D3959))</f>
        <v>0</v>
      </c>
      <c r="G3950" s="10">
        <f t="shared" ref="G3950" si="6932">ABS(MAX(D3950:D3959))</f>
        <v>0</v>
      </c>
      <c r="J3950" s="24" t="str">
        <f t="shared" ref="J3950" si="6933">CONCATENATE(K3949,1)</f>
        <v>91</v>
      </c>
      <c r="K3950" s="6" t="e">
        <f t="array" ref="K3950:R3952">LINEST(B3934:B3942,C3934:C3942^{1,2,3,4,5,6,7},TRUE,TRUE)</f>
        <v>#VALUE!</v>
      </c>
      <c r="L3950" s="6" t="e">
        <v>#VALUE!</v>
      </c>
      <c r="M3950" s="6" t="e">
        <v>#VALUE!</v>
      </c>
      <c r="N3950" s="6" t="e">
        <v>#VALUE!</v>
      </c>
      <c r="O3950" s="6" t="e">
        <v>#VALUE!</v>
      </c>
      <c r="P3950" s="6" t="e">
        <v>#VALUE!</v>
      </c>
      <c r="Q3950" s="6" t="e">
        <v>#VALUE!</v>
      </c>
      <c r="R3950" s="6" t="e">
        <v>#VALUE!</v>
      </c>
      <c r="T3950" s="9"/>
      <c r="U3950" s="1">
        <f t="shared" si="6907"/>
        <v>90</v>
      </c>
      <c r="V3950" s="1">
        <f t="shared" si="6908"/>
        <v>233</v>
      </c>
    </row>
    <row r="3951" spans="1:22" x14ac:dyDescent="0.3">
      <c r="A3951" s="1">
        <f t="shared" si="6860"/>
        <v>90234</v>
      </c>
      <c r="B3951" s="12">
        <f t="shared" si="6927"/>
        <v>0</v>
      </c>
      <c r="C3951" s="13">
        <f t="shared" si="6928"/>
        <v>0</v>
      </c>
      <c r="D3951" s="10">
        <f t="shared" si="6929"/>
        <v>0</v>
      </c>
      <c r="E3951" s="74" t="s">
        <v>38</v>
      </c>
      <c r="F3951" s="75"/>
      <c r="G3951" s="76"/>
      <c r="J3951" s="24" t="str">
        <f t="shared" ref="J3951" si="6934">CONCATENATE(K3949,2)</f>
        <v>92</v>
      </c>
      <c r="K3951" s="6" t="e">
        <v>#VALUE!</v>
      </c>
      <c r="L3951" s="6" t="e">
        <v>#VALUE!</v>
      </c>
      <c r="M3951" s="6" t="e">
        <v>#VALUE!</v>
      </c>
      <c r="N3951" s="6" t="e">
        <v>#VALUE!</v>
      </c>
      <c r="O3951" s="6" t="e">
        <v>#VALUE!</v>
      </c>
      <c r="P3951" s="6" t="e">
        <v>#VALUE!</v>
      </c>
      <c r="Q3951" s="6" t="e">
        <v>#VALUE!</v>
      </c>
      <c r="R3951" s="6" t="e">
        <v>#VALUE!</v>
      </c>
      <c r="T3951" s="9"/>
      <c r="U3951" s="1">
        <f t="shared" si="6907"/>
        <v>90</v>
      </c>
      <c r="V3951" s="1">
        <f t="shared" si="6908"/>
        <v>234</v>
      </c>
    </row>
    <row r="3952" spans="1:22" x14ac:dyDescent="0.3">
      <c r="A3952" s="1">
        <f t="shared" si="6860"/>
        <v>90235</v>
      </c>
      <c r="B3952" s="12">
        <f t="shared" si="6927"/>
        <v>0</v>
      </c>
      <c r="C3952" s="13">
        <f t="shared" si="6928"/>
        <v>0</v>
      </c>
      <c r="D3952" s="10">
        <f t="shared" si="6929"/>
        <v>0</v>
      </c>
      <c r="E3952" s="11" t="str">
        <f t="shared" ref="E3952" si="6935">IF(D3925="","",MAX(F3952,G3952))</f>
        <v/>
      </c>
      <c r="F3952" s="10">
        <f t="shared" ref="F3952" si="6936">ABS(MIN(B3950:B3959))</f>
        <v>0</v>
      </c>
      <c r="G3952" s="10">
        <f t="shared" ref="G3952" si="6937">ABS(MAX(B3950:B3959))</f>
        <v>0</v>
      </c>
      <c r="J3952" s="24" t="str">
        <f t="shared" ref="J3952" si="6938">CONCATENATE(K3949,3)</f>
        <v>93</v>
      </c>
      <c r="K3952" s="6" t="e">
        <v>#VALUE!</v>
      </c>
      <c r="L3952" s="6" t="e">
        <v>#VALUE!</v>
      </c>
      <c r="M3952" s="6" t="e">
        <v>#VALUE!</v>
      </c>
      <c r="N3952" s="6" t="e">
        <v>#VALUE!</v>
      </c>
      <c r="O3952" s="6" t="e">
        <v>#VALUE!</v>
      </c>
      <c r="P3952" s="6" t="e">
        <v>#VALUE!</v>
      </c>
      <c r="Q3952" s="6" t="e">
        <v>#VALUE!</v>
      </c>
      <c r="R3952" s="6" t="e">
        <v>#VALUE!</v>
      </c>
      <c r="T3952" s="9"/>
      <c r="U3952" s="1">
        <f t="shared" si="6907"/>
        <v>90</v>
      </c>
      <c r="V3952" s="1">
        <f t="shared" si="6908"/>
        <v>235</v>
      </c>
    </row>
    <row r="3953" spans="1:22" x14ac:dyDescent="0.3">
      <c r="A3953" s="1">
        <f t="shared" si="6860"/>
        <v>90236</v>
      </c>
      <c r="B3953" s="12">
        <f t="shared" si="6927"/>
        <v>0</v>
      </c>
      <c r="C3953" s="13">
        <f t="shared" si="6928"/>
        <v>0</v>
      </c>
      <c r="D3953" s="10">
        <f t="shared" si="6929"/>
        <v>0</v>
      </c>
      <c r="E3953" s="74" t="s">
        <v>39</v>
      </c>
      <c r="F3953" s="75"/>
      <c r="G3953" s="76"/>
      <c r="K3953" s="1">
        <v>10</v>
      </c>
      <c r="L3953" s="1">
        <v>10</v>
      </c>
      <c r="M3953" s="1">
        <v>10</v>
      </c>
      <c r="N3953" s="1">
        <v>10</v>
      </c>
      <c r="O3953" s="1">
        <v>10</v>
      </c>
      <c r="P3953" s="1">
        <v>10</v>
      </c>
      <c r="Q3953" s="1">
        <v>10</v>
      </c>
      <c r="R3953" s="1">
        <v>10</v>
      </c>
      <c r="S3953" s="1">
        <v>10</v>
      </c>
      <c r="T3953" s="9"/>
      <c r="U3953" s="1">
        <f t="shared" si="6907"/>
        <v>90</v>
      </c>
      <c r="V3953" s="1">
        <f t="shared" si="6908"/>
        <v>236</v>
      </c>
    </row>
    <row r="3954" spans="1:22" x14ac:dyDescent="0.3">
      <c r="A3954" s="1">
        <f t="shared" si="6860"/>
        <v>90237</v>
      </c>
      <c r="B3954" s="12">
        <f t="shared" si="6927"/>
        <v>0</v>
      </c>
      <c r="C3954" s="13">
        <f t="shared" si="6928"/>
        <v>0</v>
      </c>
      <c r="D3954" s="10">
        <f t="shared" si="6929"/>
        <v>0</v>
      </c>
      <c r="E3954" s="11" t="str">
        <f t="shared" ref="E3954" si="6939">IF(D3925="","",MAX(F3954,G3954))</f>
        <v/>
      </c>
      <c r="F3954" s="10">
        <f t="shared" ref="F3954" si="6940">ABS(MIN(D3934:D3943))</f>
        <v>0</v>
      </c>
      <c r="G3954" s="10">
        <f t="shared" ref="G3954" si="6941">ABS(MAX(D3934:D3943))</f>
        <v>0</v>
      </c>
      <c r="J3954" s="24" t="str">
        <f t="shared" ref="J3954" si="6942">CONCATENATE(K3953,1)</f>
        <v>101</v>
      </c>
      <c r="K3954" s="6" t="e">
        <f t="array" ref="K3954:S3956">LINEST(B3934:B3943,C3934:C3943^{1,2,3,4,5,6,7,8},TRUE,TRUE)</f>
        <v>#VALUE!</v>
      </c>
      <c r="L3954" s="6" t="e">
        <v>#VALUE!</v>
      </c>
      <c r="M3954" s="6" t="e">
        <v>#VALUE!</v>
      </c>
      <c r="N3954" s="6" t="e">
        <v>#VALUE!</v>
      </c>
      <c r="O3954" s="6" t="e">
        <v>#VALUE!</v>
      </c>
      <c r="P3954" s="6" t="e">
        <v>#VALUE!</v>
      </c>
      <c r="Q3954" s="6" t="e">
        <v>#VALUE!</v>
      </c>
      <c r="R3954" s="6" t="e">
        <v>#VALUE!</v>
      </c>
      <c r="S3954" s="6" t="e">
        <v>#VALUE!</v>
      </c>
      <c r="T3954" s="9"/>
      <c r="U3954" s="1">
        <f t="shared" si="6907"/>
        <v>90</v>
      </c>
      <c r="V3954" s="1">
        <f t="shared" si="6908"/>
        <v>237</v>
      </c>
    </row>
    <row r="3955" spans="1:22" x14ac:dyDescent="0.3">
      <c r="A3955" s="1">
        <f t="shared" si="6860"/>
        <v>90238</v>
      </c>
      <c r="B3955" s="12">
        <f t="shared" si="6927"/>
        <v>0</v>
      </c>
      <c r="C3955" s="13">
        <f t="shared" si="6928"/>
        <v>0</v>
      </c>
      <c r="D3955" s="10">
        <f t="shared" si="6929"/>
        <v>0</v>
      </c>
      <c r="J3955" s="24" t="str">
        <f t="shared" ref="J3955" si="6943">CONCATENATE(K3953,2)</f>
        <v>102</v>
      </c>
      <c r="K3955" s="6" t="e">
        <v>#VALUE!</v>
      </c>
      <c r="L3955" s="6" t="e">
        <v>#VALUE!</v>
      </c>
      <c r="M3955" s="6" t="e">
        <v>#VALUE!</v>
      </c>
      <c r="N3955" s="6" t="e">
        <v>#VALUE!</v>
      </c>
      <c r="O3955" s="6" t="e">
        <v>#VALUE!</v>
      </c>
      <c r="P3955" s="6" t="e">
        <v>#VALUE!</v>
      </c>
      <c r="Q3955" s="6" t="e">
        <v>#VALUE!</v>
      </c>
      <c r="R3955" s="6" t="e">
        <v>#VALUE!</v>
      </c>
      <c r="S3955" s="6" t="e">
        <v>#VALUE!</v>
      </c>
      <c r="T3955" s="9"/>
      <c r="U3955" s="1">
        <f t="shared" si="6907"/>
        <v>90</v>
      </c>
      <c r="V3955" s="1">
        <f t="shared" si="6908"/>
        <v>238</v>
      </c>
    </row>
    <row r="3956" spans="1:22" x14ac:dyDescent="0.3">
      <c r="A3956" s="1">
        <f t="shared" si="6860"/>
        <v>90239</v>
      </c>
      <c r="B3956" s="12">
        <f t="shared" si="6927"/>
        <v>0</v>
      </c>
      <c r="C3956" s="13">
        <f t="shared" si="6928"/>
        <v>0</v>
      </c>
      <c r="D3956" s="10">
        <f t="shared" si="6929"/>
        <v>0</v>
      </c>
      <c r="J3956" s="24" t="str">
        <f t="shared" ref="J3956" si="6944">CONCATENATE(K3953,3)</f>
        <v>103</v>
      </c>
      <c r="K3956" s="6" t="e">
        <v>#VALUE!</v>
      </c>
      <c r="L3956" s="6" t="e">
        <v>#VALUE!</v>
      </c>
      <c r="M3956" s="6" t="e">
        <v>#VALUE!</v>
      </c>
      <c r="N3956" s="6" t="e">
        <v>#VALUE!</v>
      </c>
      <c r="O3956" s="6" t="e">
        <v>#VALUE!</v>
      </c>
      <c r="P3956" s="6" t="e">
        <v>#VALUE!</v>
      </c>
      <c r="Q3956" s="6" t="e">
        <v>#VALUE!</v>
      </c>
      <c r="R3956" s="6" t="e">
        <v>#VALUE!</v>
      </c>
      <c r="S3956" s="6" t="e">
        <v>#VALUE!</v>
      </c>
      <c r="T3956" s="9"/>
      <c r="U3956" s="1">
        <f t="shared" si="6907"/>
        <v>90</v>
      </c>
      <c r="V3956" s="1">
        <f t="shared" si="6908"/>
        <v>239</v>
      </c>
    </row>
    <row r="3957" spans="1:22" x14ac:dyDescent="0.3">
      <c r="A3957" s="1">
        <f t="shared" si="6860"/>
        <v>90240</v>
      </c>
      <c r="B3957" s="12">
        <f t="shared" si="6927"/>
        <v>0</v>
      </c>
      <c r="C3957" s="13">
        <f t="shared" si="6928"/>
        <v>0</v>
      </c>
      <c r="D3957" s="10">
        <f t="shared" si="6929"/>
        <v>0</v>
      </c>
      <c r="J3957" s="9"/>
      <c r="K3957" s="9"/>
      <c r="L3957" s="9"/>
      <c r="M3957" s="9"/>
      <c r="N3957" s="9"/>
      <c r="O3957" s="9"/>
      <c r="P3957" s="9"/>
      <c r="Q3957" s="9"/>
      <c r="R3957" s="9"/>
      <c r="S3957" s="9"/>
      <c r="T3957" s="9"/>
      <c r="U3957" s="1">
        <f t="shared" si="6907"/>
        <v>90</v>
      </c>
      <c r="V3957" s="1">
        <f t="shared" si="6908"/>
        <v>240</v>
      </c>
    </row>
    <row r="3958" spans="1:22" x14ac:dyDescent="0.3">
      <c r="A3958" s="1">
        <f t="shared" si="6860"/>
        <v>90241</v>
      </c>
      <c r="B3958" s="12">
        <f t="shared" si="6927"/>
        <v>0</v>
      </c>
      <c r="C3958" s="13">
        <f t="shared" si="6928"/>
        <v>0</v>
      </c>
      <c r="D3958" s="10">
        <f t="shared" si="6929"/>
        <v>0</v>
      </c>
      <c r="J3958" s="9"/>
      <c r="K3958" s="9"/>
      <c r="L3958" s="9"/>
      <c r="M3958" s="9"/>
      <c r="N3958" s="9"/>
      <c r="O3958" s="9"/>
      <c r="P3958" s="9"/>
      <c r="Q3958" s="9"/>
      <c r="R3958" s="9"/>
      <c r="S3958" s="9"/>
      <c r="T3958" s="9"/>
      <c r="U3958" s="1">
        <f t="shared" si="6907"/>
        <v>90</v>
      </c>
      <c r="V3958" s="1">
        <f t="shared" si="6908"/>
        <v>241</v>
      </c>
    </row>
    <row r="3959" spans="1:22" x14ac:dyDescent="0.3">
      <c r="A3959" s="1">
        <f t="shared" si="6860"/>
        <v>90242</v>
      </c>
      <c r="B3959" s="12">
        <f t="shared" si="6927"/>
        <v>0</v>
      </c>
      <c r="C3959" s="13">
        <f t="shared" si="6928"/>
        <v>0</v>
      </c>
      <c r="D3959" s="10">
        <f t="shared" si="6929"/>
        <v>0</v>
      </c>
      <c r="J3959" s="9"/>
      <c r="K3959" s="9"/>
      <c r="L3959" s="9"/>
      <c r="M3959" s="9"/>
      <c r="N3959" s="9"/>
      <c r="O3959" s="9"/>
      <c r="P3959" s="9"/>
      <c r="Q3959" s="9"/>
      <c r="R3959" s="9"/>
      <c r="S3959" s="9"/>
      <c r="T3959" s="9"/>
      <c r="U3959" s="1">
        <f t="shared" si="6907"/>
        <v>90</v>
      </c>
      <c r="V3959" s="1">
        <f t="shared" si="6908"/>
        <v>242</v>
      </c>
    </row>
    <row r="3960" spans="1:22" x14ac:dyDescent="0.3">
      <c r="A3960" s="1">
        <f t="shared" si="6860"/>
        <v>90243</v>
      </c>
      <c r="J3960" s="9"/>
      <c r="K3960" s="9"/>
      <c r="L3960" s="9"/>
      <c r="M3960" s="9"/>
      <c r="N3960" s="9"/>
      <c r="O3960" s="9"/>
      <c r="P3960" s="9"/>
      <c r="Q3960" s="9"/>
      <c r="R3960" s="9"/>
      <c r="S3960" s="9"/>
      <c r="T3960" s="9"/>
      <c r="U3960" s="1">
        <f t="shared" si="6907"/>
        <v>90</v>
      </c>
      <c r="V3960" s="1">
        <f t="shared" si="6908"/>
        <v>243</v>
      </c>
    </row>
    <row r="3961" spans="1:22" s="5" customFormat="1" x14ac:dyDescent="0.3"/>
    <row r="3962" spans="1:22" x14ac:dyDescent="0.3">
      <c r="A3962" s="1">
        <f t="shared" ref="A3962:A4004" si="6945">ROUND(CONCATENATE(U3962,V3962),0)</f>
        <v>91201</v>
      </c>
      <c r="B3962" s="96" t="s">
        <v>0</v>
      </c>
      <c r="C3962" s="97"/>
      <c r="D3962" s="98"/>
      <c r="E3962" s="99"/>
      <c r="F3962" s="99"/>
      <c r="G3962" s="99"/>
      <c r="H3962" s="100"/>
      <c r="J3962" s="9"/>
      <c r="K3962" s="9"/>
      <c r="L3962" s="9"/>
      <c r="M3962" s="9"/>
      <c r="N3962" s="9"/>
      <c r="O3962" s="9"/>
      <c r="P3962" s="9"/>
      <c r="Q3962" s="9"/>
      <c r="R3962" s="9"/>
      <c r="S3962" s="9"/>
      <c r="T3962" s="9"/>
      <c r="U3962" s="1">
        <f t="shared" ref="U3962" si="6946">U3960+1</f>
        <v>91</v>
      </c>
      <c r="V3962" s="1">
        <v>201</v>
      </c>
    </row>
    <row r="3963" spans="1:22" x14ac:dyDescent="0.3">
      <c r="A3963" s="1">
        <f t="shared" si="6945"/>
        <v>91202</v>
      </c>
      <c r="B3963" s="96" t="s">
        <v>1</v>
      </c>
      <c r="C3963" s="97"/>
      <c r="D3963" s="15"/>
      <c r="E3963" s="16" t="s">
        <v>2</v>
      </c>
      <c r="F3963" s="107"/>
      <c r="G3963" s="108"/>
      <c r="H3963" s="109"/>
      <c r="J3963" s="9"/>
      <c r="K3963" s="9"/>
      <c r="L3963" s="9"/>
      <c r="M3963" s="9"/>
      <c r="N3963" s="9"/>
      <c r="O3963" s="9"/>
      <c r="P3963" s="9"/>
      <c r="Q3963" s="9"/>
      <c r="R3963" s="9"/>
      <c r="S3963" s="9"/>
      <c r="T3963" s="9"/>
      <c r="U3963" s="1">
        <f t="shared" ref="U3963" si="6947">U3962</f>
        <v>91</v>
      </c>
      <c r="V3963" s="1">
        <f t="shared" ref="V3963" si="6948">V3962+1</f>
        <v>202</v>
      </c>
    </row>
    <row r="3964" spans="1:22" x14ac:dyDescent="0.3">
      <c r="A3964" s="1">
        <f t="shared" si="6945"/>
        <v>91203</v>
      </c>
      <c r="B3964" s="96" t="s">
        <v>12</v>
      </c>
      <c r="C3964" s="97"/>
      <c r="D3964" s="98"/>
      <c r="E3964" s="99"/>
      <c r="F3964" s="99"/>
      <c r="G3964" s="99"/>
      <c r="H3964" s="100"/>
      <c r="K3964" s="1" t="s">
        <v>3</v>
      </c>
      <c r="L3964" s="1" t="s">
        <v>4</v>
      </c>
      <c r="M3964" s="1" t="s">
        <v>5</v>
      </c>
      <c r="N3964" s="1" t="s">
        <v>6</v>
      </c>
      <c r="O3964" s="1" t="s">
        <v>7</v>
      </c>
      <c r="P3964" s="1" t="s">
        <v>8</v>
      </c>
      <c r="Q3964" s="1" t="s">
        <v>9</v>
      </c>
      <c r="R3964" s="1" t="s">
        <v>10</v>
      </c>
      <c r="S3964" s="1" t="s">
        <v>11</v>
      </c>
      <c r="T3964" s="9"/>
      <c r="U3964" s="1">
        <f t="shared" si="6907"/>
        <v>91</v>
      </c>
      <c r="V3964" s="1">
        <f t="shared" si="6908"/>
        <v>203</v>
      </c>
    </row>
    <row r="3965" spans="1:22" x14ac:dyDescent="0.3">
      <c r="A3965" s="1">
        <f t="shared" si="6945"/>
        <v>91204</v>
      </c>
      <c r="B3965" s="96" t="s">
        <v>13</v>
      </c>
      <c r="C3965" s="97"/>
      <c r="D3965" s="98"/>
      <c r="E3965" s="99"/>
      <c r="F3965" s="99"/>
      <c r="G3965" s="99"/>
      <c r="H3965" s="100"/>
      <c r="J3965" s="1">
        <f t="shared" ref="J3965" si="6949">COUNTA(B3978:B3987)</f>
        <v>0</v>
      </c>
      <c r="K3965" s="1">
        <f t="shared" ref="K3965" si="6950">IF(L3965-1&lt;2,0,L3965-1)</f>
        <v>0</v>
      </c>
      <c r="L3965" s="1">
        <f t="shared" ref="L3965" si="6951">IF(M3965-1&lt;2,0,M3965-1)</f>
        <v>0</v>
      </c>
      <c r="M3965" s="1">
        <f t="shared" ref="M3965" si="6952">IF(N3965-1&lt;2,0,N3965-1)</f>
        <v>0</v>
      </c>
      <c r="N3965" s="1">
        <f t="shared" ref="N3965" si="6953">IF(O3965-1&lt;2,0,O3965-1)</f>
        <v>0</v>
      </c>
      <c r="O3965" s="1">
        <f t="shared" ref="O3965" si="6954">IF(P3965-1&lt;2,0,P3965-1)</f>
        <v>0</v>
      </c>
      <c r="P3965" s="1">
        <f t="shared" ref="P3965" si="6955">IF(Q3965-1&lt;2,0,Q3965-1)</f>
        <v>0</v>
      </c>
      <c r="Q3965" s="1">
        <f t="shared" ref="Q3965" si="6956">IF(R3965-1&lt;2,0,R3965-1)</f>
        <v>0</v>
      </c>
      <c r="R3965" s="1">
        <f t="shared" ref="R3965" si="6957">IF(S3965-1&lt;2,0,S3965-1)</f>
        <v>0</v>
      </c>
      <c r="S3965" s="1">
        <f t="shared" ref="S3965" si="6958">J3965</f>
        <v>0</v>
      </c>
      <c r="T3965" s="9"/>
      <c r="U3965" s="1">
        <f t="shared" si="6907"/>
        <v>91</v>
      </c>
      <c r="V3965" s="1">
        <f t="shared" si="6908"/>
        <v>204</v>
      </c>
    </row>
    <row r="3966" spans="1:22" x14ac:dyDescent="0.3">
      <c r="A3966" s="1">
        <f t="shared" si="6945"/>
        <v>91205</v>
      </c>
      <c r="B3966" s="96" t="s">
        <v>14</v>
      </c>
      <c r="C3966" s="97"/>
      <c r="D3966" s="98"/>
      <c r="E3966" s="99"/>
      <c r="F3966" s="99"/>
      <c r="G3966" s="99"/>
      <c r="H3966" s="100"/>
      <c r="J3966" s="24" t="str">
        <f t="shared" ref="J3966" si="6959">CONCATENATE(J3965,1)</f>
        <v>01</v>
      </c>
      <c r="K3966" s="25">
        <f t="shared" ref="K3966" si="6960">IF(K3965=0,0,VLOOKUP(J3966,J3970:S4000,K3965,FALSE))</f>
        <v>0</v>
      </c>
      <c r="L3966" s="25">
        <f t="shared" ref="L3966" si="6961">IF(L3965=0,0,VLOOKUP(J3966,J3970:S4000,L3965,FALSE))</f>
        <v>0</v>
      </c>
      <c r="M3966" s="25">
        <f t="shared" ref="M3966" si="6962">IF(M3965=0,0,VLOOKUP(J3966,J3970:S4000,M3965,FALSE))</f>
        <v>0</v>
      </c>
      <c r="N3966" s="25">
        <f t="shared" ref="N3966" si="6963">IF(N3965=0,0,VLOOKUP(J3966,J3970:S4000,N3965,FALSE))</f>
        <v>0</v>
      </c>
      <c r="O3966" s="25">
        <f t="shared" ref="O3966" si="6964">IF(O3965=0,0,VLOOKUP(J3966,J3970:S4000,O3965,FALSE))</f>
        <v>0</v>
      </c>
      <c r="P3966" s="25">
        <f t="shared" ref="P3966" si="6965">IF(P3965=0,0,VLOOKUP(J3966,J3970:S4000,P3965,FALSE))</f>
        <v>0</v>
      </c>
      <c r="Q3966" s="25">
        <f t="shared" ref="Q3966" si="6966">IF(Q3965=0,0,VLOOKUP(J3966,J3970:S4000,Q3965,FALSE))</f>
        <v>0</v>
      </c>
      <c r="R3966" s="25">
        <f t="shared" ref="R3966" si="6967">IF(R3965=0,0,VLOOKUP(J3966,J3970:S4000,R3965,FALSE))</f>
        <v>0</v>
      </c>
      <c r="S3966" s="25">
        <f t="shared" ref="S3966" si="6968">IF(S3965=0,0,VLOOKUP(J3966,J3970:S4000,S3965,FALSE))</f>
        <v>0</v>
      </c>
      <c r="T3966" s="9"/>
      <c r="U3966" s="1">
        <f t="shared" si="6907"/>
        <v>91</v>
      </c>
      <c r="V3966" s="1">
        <f t="shared" si="6908"/>
        <v>205</v>
      </c>
    </row>
    <row r="3967" spans="1:22" x14ac:dyDescent="0.3">
      <c r="A3967" s="1">
        <f t="shared" si="6945"/>
        <v>91206</v>
      </c>
      <c r="B3967" s="96" t="s">
        <v>15</v>
      </c>
      <c r="C3967" s="97"/>
      <c r="D3967" s="98"/>
      <c r="E3967" s="99"/>
      <c r="F3967" s="99"/>
      <c r="G3967" s="99"/>
      <c r="H3967" s="100"/>
      <c r="J3967" s="24" t="str">
        <f t="shared" ref="J3967" si="6969">CONCATENATE(J3965,2)</f>
        <v>02</v>
      </c>
      <c r="K3967" s="6">
        <f t="shared" ref="K3967" si="6970">IF(K3965=0,0,VLOOKUP(J3967,J3970:S4000,K3965,FALSE))</f>
        <v>0</v>
      </c>
      <c r="L3967" s="6">
        <f t="shared" ref="L3967" si="6971">IF(L3965=0,0,VLOOKUP(J3967,J3970:S4000,L3965,FALSE))</f>
        <v>0</v>
      </c>
      <c r="M3967" s="6">
        <f t="shared" ref="M3967" si="6972">IF(M3965=0,0,VLOOKUP(J3967,J3970:S4000,M3965,FALSE))</f>
        <v>0</v>
      </c>
      <c r="N3967" s="6">
        <f t="shared" ref="N3967" si="6973">IF(N3965=0,0,VLOOKUP(J3967,J3970:S4000,N3965,FALSE))</f>
        <v>0</v>
      </c>
      <c r="O3967" s="6">
        <f t="shared" ref="O3967" si="6974">IF(O3965=0,0,VLOOKUP(J3967,J3970:S4000,O3965,FALSE))</f>
        <v>0</v>
      </c>
      <c r="P3967" s="6">
        <f t="shared" ref="P3967" si="6975">IF(P3965=0,0,VLOOKUP(J3967,J3970:S4000,P3965,FALSE))</f>
        <v>0</v>
      </c>
      <c r="Q3967" s="6">
        <f t="shared" ref="Q3967" si="6976">IF(Q3965=0,0,VLOOKUP(J3967,J3970:S4000,Q3965,FALSE))</f>
        <v>0</v>
      </c>
      <c r="R3967" s="6">
        <f t="shared" ref="R3967" si="6977">IF(R3965=0,0,VLOOKUP(J3967,J3970:S4000,R3965,FALSE))</f>
        <v>0</v>
      </c>
      <c r="S3967" s="6">
        <f t="shared" ref="S3967" si="6978">IF(S3965=0,0,VLOOKUP(J3967,J3970:S4000,S3965,FALSE))</f>
        <v>0</v>
      </c>
      <c r="T3967" s="9"/>
      <c r="U3967" s="1">
        <f t="shared" si="6907"/>
        <v>91</v>
      </c>
      <c r="V3967" s="1">
        <f t="shared" si="6908"/>
        <v>206</v>
      </c>
    </row>
    <row r="3968" spans="1:22" x14ac:dyDescent="0.3">
      <c r="A3968" s="1">
        <f t="shared" si="6945"/>
        <v>91207</v>
      </c>
      <c r="B3968" s="96" t="s">
        <v>16</v>
      </c>
      <c r="C3968" s="97"/>
      <c r="D3968" s="101"/>
      <c r="E3968" s="102"/>
      <c r="F3968" s="102"/>
      <c r="G3968" s="102"/>
      <c r="H3968" s="103"/>
      <c r="J3968" s="24" t="str">
        <f t="shared" ref="J3968" si="6979">CONCATENATE(J3965,3)</f>
        <v>03</v>
      </c>
      <c r="K3968" s="6"/>
      <c r="L3968" s="6"/>
      <c r="M3968" s="6"/>
      <c r="N3968" s="6" t="s">
        <v>43</v>
      </c>
      <c r="O3968" s="25">
        <f t="shared" ref="O3968" si="6980">J3965-2</f>
        <v>-2</v>
      </c>
      <c r="P3968" s="6" t="s">
        <v>44</v>
      </c>
      <c r="Q3968" s="25" t="e">
        <f t="shared" ref="Q3968" si="6981">VLOOKUP(J3968,J3970:S4000,3,FALSE)</f>
        <v>#N/A</v>
      </c>
      <c r="R3968" s="6" t="s">
        <v>45</v>
      </c>
      <c r="S3968" s="6" t="e">
        <f t="shared" ref="S3968" si="6982">VLOOKUP(J3968,J3970:S4000,2,FALSE)</f>
        <v>#N/A</v>
      </c>
      <c r="T3968" s="9"/>
      <c r="U3968" s="1">
        <f t="shared" si="6907"/>
        <v>91</v>
      </c>
      <c r="V3968" s="1">
        <f t="shared" si="6908"/>
        <v>207</v>
      </c>
    </row>
    <row r="3969" spans="1:22" x14ac:dyDescent="0.3">
      <c r="A3969" s="1">
        <f t="shared" si="6945"/>
        <v>91208</v>
      </c>
      <c r="B3969" s="96" t="s">
        <v>17</v>
      </c>
      <c r="C3969" s="97"/>
      <c r="D3969" s="104"/>
      <c r="E3969" s="105"/>
      <c r="F3969" s="105"/>
      <c r="G3969" s="105"/>
      <c r="H3969" s="106"/>
      <c r="K3969" s="1">
        <v>3</v>
      </c>
      <c r="L3969" s="1">
        <v>3</v>
      </c>
      <c r="Q3969" s="26"/>
      <c r="R3969" s="26"/>
      <c r="S3969" s="26"/>
      <c r="T3969" s="9"/>
      <c r="U3969" s="1">
        <f t="shared" si="6907"/>
        <v>91</v>
      </c>
      <c r="V3969" s="1">
        <f t="shared" si="6908"/>
        <v>208</v>
      </c>
    </row>
    <row r="3970" spans="1:22" x14ac:dyDescent="0.3">
      <c r="A3970" s="1">
        <f t="shared" si="6945"/>
        <v>91209</v>
      </c>
      <c r="B3970" s="77" t="s">
        <v>19</v>
      </c>
      <c r="C3970" s="78"/>
      <c r="D3970" s="17"/>
      <c r="E3970" s="79" t="s">
        <v>40</v>
      </c>
      <c r="F3970" s="80"/>
      <c r="G3970" s="81"/>
      <c r="H3970" s="18" t="s">
        <v>72</v>
      </c>
      <c r="J3970" s="24" t="str">
        <f t="shared" ref="J3970" si="6983">CONCATENATE(K3969,1)</f>
        <v>31</v>
      </c>
      <c r="K3970" s="6" t="e">
        <f t="array" ref="K3970:L3972">LINEST(B3978:B3980,C3978:C3980^{1},TRUE,TRUE)</f>
        <v>#VALUE!</v>
      </c>
      <c r="L3970" s="6" t="e">
        <v>#VALUE!</v>
      </c>
      <c r="Q3970" s="9"/>
      <c r="R3970" s="9"/>
      <c r="S3970" s="9"/>
      <c r="T3970" s="9"/>
      <c r="U3970" s="1">
        <f t="shared" si="6907"/>
        <v>91</v>
      </c>
      <c r="V3970" s="1">
        <f t="shared" si="6908"/>
        <v>209</v>
      </c>
    </row>
    <row r="3971" spans="1:22" x14ac:dyDescent="0.3">
      <c r="A3971" s="1">
        <f t="shared" si="6945"/>
        <v>91210</v>
      </c>
      <c r="B3971" s="77" t="s">
        <v>41</v>
      </c>
      <c r="C3971" s="78"/>
      <c r="D3971" s="23">
        <f t="shared" ref="D3971" si="6984">MIN(B3978:B3987)</f>
        <v>0</v>
      </c>
      <c r="E3971" s="20" t="s">
        <v>18</v>
      </c>
      <c r="F3971" s="19">
        <f t="shared" ref="F3971" si="6985">MAX(B3978:B3987)</f>
        <v>0</v>
      </c>
      <c r="G3971" s="21" t="str">
        <f t="shared" ref="G3971" si="6986">IF(H3970="","",H3970)</f>
        <v>%ur</v>
      </c>
      <c r="H3971" s="22"/>
      <c r="J3971" s="24" t="str">
        <f t="shared" ref="J3971" si="6987">CONCATENATE(K3969,2)</f>
        <v>32</v>
      </c>
      <c r="K3971" s="6" t="e">
        <v>#VALUE!</v>
      </c>
      <c r="L3971" s="6" t="e">
        <v>#VALUE!</v>
      </c>
      <c r="Q3971" s="9"/>
      <c r="R3971" s="9"/>
      <c r="S3971" s="9"/>
      <c r="T3971" s="9"/>
      <c r="U3971" s="1">
        <f t="shared" si="6907"/>
        <v>91</v>
      </c>
      <c r="V3971" s="1">
        <f t="shared" si="6908"/>
        <v>210</v>
      </c>
    </row>
    <row r="3972" spans="1:22" x14ac:dyDescent="0.3">
      <c r="A3972" s="1">
        <f t="shared" si="6945"/>
        <v>91211</v>
      </c>
      <c r="J3972" s="24" t="str">
        <f t="shared" ref="J3972" si="6988">CONCATENATE(K3969,3)</f>
        <v>33</v>
      </c>
      <c r="K3972" s="6" t="e">
        <v>#VALUE!</v>
      </c>
      <c r="L3972" s="6" t="e">
        <v>#VALUE!</v>
      </c>
      <c r="Q3972" s="9"/>
      <c r="R3972" s="9"/>
      <c r="S3972" s="9"/>
      <c r="T3972" s="9"/>
      <c r="U3972" s="1">
        <f t="shared" si="6907"/>
        <v>91</v>
      </c>
      <c r="V3972" s="1">
        <f t="shared" si="6908"/>
        <v>211</v>
      </c>
    </row>
    <row r="3973" spans="1:22" x14ac:dyDescent="0.3">
      <c r="A3973" s="1">
        <f t="shared" si="6945"/>
        <v>91212</v>
      </c>
      <c r="B3973" s="82" t="s">
        <v>20</v>
      </c>
      <c r="C3973" s="83"/>
      <c r="D3973" s="83"/>
      <c r="E3973" s="83"/>
      <c r="F3973" s="84"/>
      <c r="G3973" s="85" t="s">
        <v>31</v>
      </c>
      <c r="H3973" s="86"/>
      <c r="K3973" s="1">
        <v>4</v>
      </c>
      <c r="L3973" s="1">
        <v>4</v>
      </c>
      <c r="M3973" s="1">
        <v>4</v>
      </c>
      <c r="Q3973" s="9"/>
      <c r="R3973" s="9"/>
      <c r="S3973" s="9"/>
      <c r="T3973" s="9"/>
      <c r="U3973" s="1">
        <f t="shared" si="6907"/>
        <v>91</v>
      </c>
      <c r="V3973" s="1">
        <f t="shared" si="6908"/>
        <v>212</v>
      </c>
    </row>
    <row r="3974" spans="1:22" x14ac:dyDescent="0.3">
      <c r="A3974" s="1">
        <f t="shared" si="6945"/>
        <v>91213</v>
      </c>
      <c r="B3974" s="82" t="s">
        <v>30</v>
      </c>
      <c r="C3974" s="83"/>
      <c r="D3974" s="84"/>
      <c r="E3974" s="82">
        <f t="shared" ref="E3974" si="6989">D3967</f>
        <v>0</v>
      </c>
      <c r="F3974" s="84"/>
      <c r="G3974" s="6" t="s">
        <v>32</v>
      </c>
      <c r="H3974" s="7"/>
      <c r="J3974" s="24" t="str">
        <f t="shared" ref="J3974" si="6990">CONCATENATE(K3973,1)</f>
        <v>41</v>
      </c>
      <c r="K3974" s="6" t="e">
        <f t="array" ref="K3974:M3976">LINEST(B3978:B3981,C3978:C3981^{1,2},TRUE,TRUE)</f>
        <v>#VALUE!</v>
      </c>
      <c r="L3974" s="6" t="e">
        <v>#VALUE!</v>
      </c>
      <c r="M3974" s="6" t="e">
        <v>#VALUE!</v>
      </c>
      <c r="Q3974" s="9"/>
      <c r="R3974" s="9"/>
      <c r="S3974" s="9"/>
      <c r="T3974" s="9"/>
      <c r="U3974" s="1">
        <f t="shared" si="6907"/>
        <v>91</v>
      </c>
      <c r="V3974" s="1">
        <f t="shared" si="6908"/>
        <v>213</v>
      </c>
    </row>
    <row r="3975" spans="1:22" x14ac:dyDescent="0.3">
      <c r="A3975" s="1">
        <f t="shared" si="6945"/>
        <v>91214</v>
      </c>
      <c r="B3975" s="2" t="s">
        <v>21</v>
      </c>
      <c r="C3975" s="2" t="s">
        <v>22</v>
      </c>
      <c r="D3975" s="2" t="s">
        <v>23</v>
      </c>
      <c r="E3975" s="2"/>
      <c r="F3975" s="2" t="s">
        <v>28</v>
      </c>
      <c r="G3975" s="2" t="s">
        <v>21</v>
      </c>
      <c r="H3975" s="2" t="s">
        <v>22</v>
      </c>
      <c r="J3975" s="24" t="str">
        <f t="shared" ref="J3975" si="6991">CONCATENATE(K3973,2)</f>
        <v>42</v>
      </c>
      <c r="K3975" s="6" t="e">
        <v>#VALUE!</v>
      </c>
      <c r="L3975" s="6" t="e">
        <v>#VALUE!</v>
      </c>
      <c r="M3975" s="6" t="e">
        <v>#VALUE!</v>
      </c>
      <c r="Q3975" s="9"/>
      <c r="R3975" s="9"/>
      <c r="S3975" s="9"/>
      <c r="T3975" s="9"/>
      <c r="U3975" s="1">
        <f t="shared" si="6907"/>
        <v>91</v>
      </c>
      <c r="V3975" s="1">
        <f t="shared" si="6908"/>
        <v>214</v>
      </c>
    </row>
    <row r="3976" spans="1:22" x14ac:dyDescent="0.3">
      <c r="A3976" s="1">
        <f t="shared" si="6945"/>
        <v>91215</v>
      </c>
      <c r="B3976" s="2" t="s">
        <v>24</v>
      </c>
      <c r="C3976" s="2" t="s">
        <v>25</v>
      </c>
      <c r="D3976" s="2" t="s">
        <v>26</v>
      </c>
      <c r="E3976" s="2" t="s">
        <v>27</v>
      </c>
      <c r="F3976" s="2" t="s">
        <v>29</v>
      </c>
      <c r="G3976" s="2" t="s">
        <v>24</v>
      </c>
      <c r="H3976" s="2" t="s">
        <v>25</v>
      </c>
      <c r="J3976" s="24" t="str">
        <f t="shared" ref="J3976" si="6992">CONCATENATE(K3973,3)</f>
        <v>43</v>
      </c>
      <c r="K3976" s="6" t="e">
        <v>#VALUE!</v>
      </c>
      <c r="L3976" s="6" t="e">
        <v>#VALUE!</v>
      </c>
      <c r="M3976" s="6" t="e">
        <v>#VALUE!</v>
      </c>
      <c r="Q3976" s="9"/>
      <c r="R3976" s="9"/>
      <c r="S3976" s="9"/>
      <c r="T3976" s="9"/>
      <c r="U3976" s="1">
        <f t="shared" si="6907"/>
        <v>91</v>
      </c>
      <c r="V3976" s="1">
        <f t="shared" si="6908"/>
        <v>215</v>
      </c>
    </row>
    <row r="3977" spans="1:22" x14ac:dyDescent="0.3">
      <c r="A3977" s="1">
        <f t="shared" si="6945"/>
        <v>91216</v>
      </c>
      <c r="B3977" s="3" t="str">
        <f t="shared" ref="B3977" si="6993">H3970</f>
        <v>%ur</v>
      </c>
      <c r="C3977" s="3" t="str">
        <f t="shared" ref="C3977" si="6994">B3977</f>
        <v>%ur</v>
      </c>
      <c r="D3977" s="3" t="str">
        <f t="shared" ref="D3977" si="6995">C3977</f>
        <v>%ur</v>
      </c>
      <c r="E3977" s="3"/>
      <c r="F3977" s="3"/>
      <c r="G3977" s="3" t="str">
        <f t="shared" ref="G3977" si="6996">D3977</f>
        <v>%ur</v>
      </c>
      <c r="H3977" s="3" t="str">
        <f t="shared" ref="H3977" si="6997">G3977</f>
        <v>%ur</v>
      </c>
      <c r="K3977" s="1">
        <v>5</v>
      </c>
      <c r="L3977" s="1">
        <v>5</v>
      </c>
      <c r="M3977" s="1">
        <v>5</v>
      </c>
      <c r="N3977" s="1">
        <v>5</v>
      </c>
      <c r="Q3977" s="9"/>
      <c r="R3977" s="9"/>
      <c r="S3977" s="9"/>
      <c r="T3977" s="9"/>
      <c r="U3977" s="1">
        <f t="shared" si="6907"/>
        <v>91</v>
      </c>
      <c r="V3977" s="1">
        <f t="shared" si="6908"/>
        <v>216</v>
      </c>
    </row>
    <row r="3978" spans="1:22" x14ac:dyDescent="0.3">
      <c r="A3978" s="1">
        <f t="shared" si="6945"/>
        <v>91217</v>
      </c>
      <c r="B3978" s="4"/>
      <c r="C3978" s="4"/>
      <c r="D3978" s="4"/>
      <c r="E3978" s="4"/>
      <c r="F3978" s="14"/>
      <c r="G3978" s="8"/>
      <c r="H3978" s="7"/>
      <c r="J3978" s="24" t="str">
        <f t="shared" ref="J3978" si="6998">CONCATENATE(K3977,1)</f>
        <v>51</v>
      </c>
      <c r="K3978" s="6" t="e">
        <f t="array" ref="K3978:N3980">LINEST(B3978:B3982,C3978:C3982^{1,2,3},TRUE,TRUE)</f>
        <v>#VALUE!</v>
      </c>
      <c r="L3978" s="6" t="e">
        <v>#VALUE!</v>
      </c>
      <c r="M3978" s="6" t="e">
        <v>#VALUE!</v>
      </c>
      <c r="N3978" s="6" t="e">
        <v>#VALUE!</v>
      </c>
      <c r="Q3978" s="9"/>
      <c r="R3978" s="9"/>
      <c r="S3978" s="9"/>
      <c r="T3978" s="9"/>
      <c r="U3978" s="1">
        <f t="shared" si="6907"/>
        <v>91</v>
      </c>
      <c r="V3978" s="1">
        <f t="shared" si="6908"/>
        <v>217</v>
      </c>
    </row>
    <row r="3979" spans="1:22" x14ac:dyDescent="0.3">
      <c r="A3979" s="1">
        <f t="shared" si="6945"/>
        <v>91218</v>
      </c>
      <c r="B3979" s="4"/>
      <c r="C3979" s="4"/>
      <c r="D3979" s="4"/>
      <c r="E3979" s="4"/>
      <c r="F3979" s="14"/>
      <c r="G3979" s="8"/>
      <c r="H3979" s="7"/>
      <c r="J3979" s="24" t="str">
        <f t="shared" ref="J3979" si="6999">CONCATENATE(K3977,2)</f>
        <v>52</v>
      </c>
      <c r="K3979" s="6" t="e">
        <v>#VALUE!</v>
      </c>
      <c r="L3979" s="6" t="e">
        <v>#VALUE!</v>
      </c>
      <c r="M3979" s="6" t="e">
        <v>#VALUE!</v>
      </c>
      <c r="N3979" s="6" t="e">
        <v>#VALUE!</v>
      </c>
      <c r="T3979" s="9"/>
      <c r="U3979" s="1">
        <f t="shared" si="6907"/>
        <v>91</v>
      </c>
      <c r="V3979" s="1">
        <f t="shared" si="6908"/>
        <v>218</v>
      </c>
    </row>
    <row r="3980" spans="1:22" x14ac:dyDescent="0.3">
      <c r="A3980" s="1">
        <f t="shared" si="6945"/>
        <v>91219</v>
      </c>
      <c r="B3980" s="4"/>
      <c r="C3980" s="4"/>
      <c r="D3980" s="4"/>
      <c r="E3980" s="4"/>
      <c r="F3980" s="14"/>
      <c r="G3980" s="8"/>
      <c r="H3980" s="7"/>
      <c r="J3980" s="24" t="str">
        <f t="shared" ref="J3980" si="7000">CONCATENATE(K3977,3)</f>
        <v>53</v>
      </c>
      <c r="K3980" s="6" t="e">
        <v>#VALUE!</v>
      </c>
      <c r="L3980" s="6" t="e">
        <v>#VALUE!</v>
      </c>
      <c r="M3980" s="6" t="e">
        <v>#VALUE!</v>
      </c>
      <c r="N3980" s="6" t="e">
        <v>#VALUE!</v>
      </c>
      <c r="T3980" s="9"/>
      <c r="U3980" s="1">
        <f t="shared" si="6907"/>
        <v>91</v>
      </c>
      <c r="V3980" s="1">
        <f t="shared" si="6908"/>
        <v>219</v>
      </c>
    </row>
    <row r="3981" spans="1:22" x14ac:dyDescent="0.3">
      <c r="A3981" s="1">
        <f t="shared" si="6945"/>
        <v>91220</v>
      </c>
      <c r="B3981" s="4"/>
      <c r="C3981" s="4"/>
      <c r="D3981" s="4"/>
      <c r="E3981" s="4"/>
      <c r="F3981" s="14"/>
      <c r="G3981" s="8"/>
      <c r="H3981" s="7"/>
      <c r="K3981" s="1">
        <v>6</v>
      </c>
      <c r="L3981" s="1">
        <v>6</v>
      </c>
      <c r="M3981" s="1">
        <v>6</v>
      </c>
      <c r="N3981" s="1">
        <v>6</v>
      </c>
      <c r="O3981" s="1">
        <v>6</v>
      </c>
      <c r="T3981" s="9"/>
      <c r="U3981" s="1">
        <f t="shared" si="6907"/>
        <v>91</v>
      </c>
      <c r="V3981" s="1">
        <f t="shared" si="6908"/>
        <v>220</v>
      </c>
    </row>
    <row r="3982" spans="1:22" x14ac:dyDescent="0.3">
      <c r="A3982" s="1">
        <f t="shared" si="6945"/>
        <v>91221</v>
      </c>
      <c r="B3982" s="4"/>
      <c r="C3982" s="4"/>
      <c r="D3982" s="4"/>
      <c r="E3982" s="4"/>
      <c r="F3982" s="14"/>
      <c r="G3982" s="8"/>
      <c r="H3982" s="7"/>
      <c r="J3982" s="24" t="str">
        <f t="shared" ref="J3982" si="7001">CONCATENATE(K3981,1)</f>
        <v>61</v>
      </c>
      <c r="K3982" s="6" t="e">
        <f t="array" ref="K3982:O3984">LINEST(B3978:B3983,C3978:C3983^{1,2,3,4},TRUE,TRUE)</f>
        <v>#VALUE!</v>
      </c>
      <c r="L3982" s="6" t="e">
        <v>#VALUE!</v>
      </c>
      <c r="M3982" s="6" t="e">
        <v>#VALUE!</v>
      </c>
      <c r="N3982" s="6" t="e">
        <v>#VALUE!</v>
      </c>
      <c r="O3982" s="6" t="e">
        <v>#VALUE!</v>
      </c>
      <c r="T3982" s="9"/>
      <c r="U3982" s="1">
        <f t="shared" si="6907"/>
        <v>91</v>
      </c>
      <c r="V3982" s="1">
        <f t="shared" si="6908"/>
        <v>221</v>
      </c>
    </row>
    <row r="3983" spans="1:22" x14ac:dyDescent="0.3">
      <c r="A3983" s="1">
        <f t="shared" si="6945"/>
        <v>91222</v>
      </c>
      <c r="B3983" s="4"/>
      <c r="C3983" s="4"/>
      <c r="D3983" s="4"/>
      <c r="E3983" s="4"/>
      <c r="F3983" s="14"/>
      <c r="G3983" s="8"/>
      <c r="H3983" s="7"/>
      <c r="J3983" s="24" t="str">
        <f t="shared" ref="J3983" si="7002">CONCATENATE(K3981,2)</f>
        <v>62</v>
      </c>
      <c r="K3983" s="6" t="e">
        <v>#VALUE!</v>
      </c>
      <c r="L3983" s="6" t="e">
        <v>#VALUE!</v>
      </c>
      <c r="M3983" s="6" t="e">
        <v>#VALUE!</v>
      </c>
      <c r="N3983" s="6" t="e">
        <v>#VALUE!</v>
      </c>
      <c r="O3983" s="6" t="e">
        <v>#VALUE!</v>
      </c>
      <c r="T3983" s="9"/>
      <c r="U3983" s="1">
        <f t="shared" si="6907"/>
        <v>91</v>
      </c>
      <c r="V3983" s="1">
        <f t="shared" si="6908"/>
        <v>222</v>
      </c>
    </row>
    <row r="3984" spans="1:22" x14ac:dyDescent="0.3">
      <c r="A3984" s="1">
        <f t="shared" si="6945"/>
        <v>91223</v>
      </c>
      <c r="B3984" s="4"/>
      <c r="C3984" s="4"/>
      <c r="D3984" s="4"/>
      <c r="E3984" s="4"/>
      <c r="F3984" s="14"/>
      <c r="G3984" s="8"/>
      <c r="H3984" s="7"/>
      <c r="J3984" s="24" t="str">
        <f t="shared" ref="J3984" si="7003">CONCATENATE(K3981,3)</f>
        <v>63</v>
      </c>
      <c r="K3984" s="6" t="e">
        <v>#VALUE!</v>
      </c>
      <c r="L3984" s="6" t="e">
        <v>#VALUE!</v>
      </c>
      <c r="M3984" s="6" t="e">
        <v>#VALUE!</v>
      </c>
      <c r="N3984" s="6" t="e">
        <v>#VALUE!</v>
      </c>
      <c r="O3984" s="6" t="e">
        <v>#VALUE!</v>
      </c>
      <c r="T3984" s="9"/>
      <c r="U3984" s="1">
        <f t="shared" si="6907"/>
        <v>91</v>
      </c>
      <c r="V3984" s="1">
        <f t="shared" si="6908"/>
        <v>223</v>
      </c>
    </row>
    <row r="3985" spans="1:22" x14ac:dyDescent="0.3">
      <c r="A3985" s="1">
        <f t="shared" si="6945"/>
        <v>91224</v>
      </c>
      <c r="B3985" s="4"/>
      <c r="C3985" s="4"/>
      <c r="D3985" s="4"/>
      <c r="E3985" s="4"/>
      <c r="F3985" s="14"/>
      <c r="G3985" s="8"/>
      <c r="H3985" s="7"/>
      <c r="K3985" s="1">
        <v>7</v>
      </c>
      <c r="L3985" s="1">
        <v>7</v>
      </c>
      <c r="M3985" s="1">
        <v>7</v>
      </c>
      <c r="N3985" s="1">
        <v>7</v>
      </c>
      <c r="O3985" s="1">
        <v>7</v>
      </c>
      <c r="P3985" s="1">
        <v>7</v>
      </c>
      <c r="T3985" s="9"/>
      <c r="U3985" s="1">
        <f t="shared" si="6907"/>
        <v>91</v>
      </c>
      <c r="V3985" s="1">
        <f t="shared" si="6908"/>
        <v>224</v>
      </c>
    </row>
    <row r="3986" spans="1:22" x14ac:dyDescent="0.3">
      <c r="A3986" s="1">
        <f t="shared" si="6945"/>
        <v>91225</v>
      </c>
      <c r="B3986" s="4"/>
      <c r="C3986" s="4"/>
      <c r="D3986" s="4"/>
      <c r="E3986" s="4"/>
      <c r="F3986" s="14"/>
      <c r="G3986" s="8"/>
      <c r="H3986" s="7"/>
      <c r="J3986" s="24" t="str">
        <f t="shared" ref="J3986" si="7004">CONCATENATE(K3985,1)</f>
        <v>71</v>
      </c>
      <c r="K3986" s="6" t="e">
        <f t="array" ref="K3986:P3988">LINEST(B3978:B3984,C3978:C3984^{1,2,3,4,5},TRUE,TRUE)</f>
        <v>#VALUE!</v>
      </c>
      <c r="L3986" s="6" t="e">
        <v>#VALUE!</v>
      </c>
      <c r="M3986" s="6" t="e">
        <v>#VALUE!</v>
      </c>
      <c r="N3986" s="6" t="e">
        <v>#VALUE!</v>
      </c>
      <c r="O3986" s="6" t="e">
        <v>#VALUE!</v>
      </c>
      <c r="P3986" s="6" t="e">
        <v>#VALUE!</v>
      </c>
      <c r="T3986" s="9"/>
      <c r="U3986" s="1">
        <f t="shared" si="6907"/>
        <v>91</v>
      </c>
      <c r="V3986" s="1">
        <f t="shared" si="6908"/>
        <v>225</v>
      </c>
    </row>
    <row r="3987" spans="1:22" x14ac:dyDescent="0.3">
      <c r="A3987" s="1">
        <f t="shared" si="6945"/>
        <v>91226</v>
      </c>
      <c r="B3987" s="4"/>
      <c r="C3987" s="4"/>
      <c r="D3987" s="4"/>
      <c r="E3987" s="4"/>
      <c r="F3987" s="14"/>
      <c r="G3987" s="8"/>
      <c r="H3987" s="7"/>
      <c r="J3987" s="24" t="str">
        <f t="shared" ref="J3987" si="7005">CONCATENATE(K3985,2)</f>
        <v>72</v>
      </c>
      <c r="K3987" s="6" t="e">
        <v>#VALUE!</v>
      </c>
      <c r="L3987" s="6" t="e">
        <v>#VALUE!</v>
      </c>
      <c r="M3987" s="6" t="e">
        <v>#VALUE!</v>
      </c>
      <c r="N3987" s="6" t="e">
        <v>#VALUE!</v>
      </c>
      <c r="O3987" s="6" t="e">
        <v>#VALUE!</v>
      </c>
      <c r="P3987" s="6" t="e">
        <v>#VALUE!</v>
      </c>
      <c r="T3987" s="9"/>
      <c r="U3987" s="1">
        <f t="shared" si="6907"/>
        <v>91</v>
      </c>
      <c r="V3987" s="1">
        <f t="shared" si="6908"/>
        <v>226</v>
      </c>
    </row>
    <row r="3988" spans="1:22" x14ac:dyDescent="0.3">
      <c r="A3988" s="1">
        <f t="shared" si="6945"/>
        <v>91227</v>
      </c>
      <c r="B3988" s="9"/>
      <c r="C3988" s="9"/>
      <c r="D3988" s="9"/>
      <c r="E3988" s="9"/>
      <c r="F3988" s="9"/>
      <c r="G3988" s="9"/>
      <c r="H3988" s="9"/>
      <c r="J3988" s="24" t="str">
        <f t="shared" ref="J3988" si="7006">CONCATENATE(K3985,3)</f>
        <v>73</v>
      </c>
      <c r="K3988" s="6" t="e">
        <v>#VALUE!</v>
      </c>
      <c r="L3988" s="6" t="e">
        <v>#VALUE!</v>
      </c>
      <c r="M3988" s="6" t="e">
        <v>#VALUE!</v>
      </c>
      <c r="N3988" s="6" t="e">
        <v>#VALUE!</v>
      </c>
      <c r="O3988" s="6" t="e">
        <v>#VALUE!</v>
      </c>
      <c r="P3988" s="6" t="e">
        <v>#VALUE!</v>
      </c>
      <c r="T3988" s="9"/>
      <c r="U3988" s="1">
        <f t="shared" si="6907"/>
        <v>91</v>
      </c>
      <c r="V3988" s="1">
        <f t="shared" si="6908"/>
        <v>227</v>
      </c>
    </row>
    <row r="3989" spans="1:22" x14ac:dyDescent="0.3">
      <c r="A3989" s="1">
        <f t="shared" si="6945"/>
        <v>91228</v>
      </c>
      <c r="B3989" s="87" t="s">
        <v>33</v>
      </c>
      <c r="C3989" s="88"/>
      <c r="D3989" s="88"/>
      <c r="E3989" s="88"/>
      <c r="F3989" s="88"/>
      <c r="G3989" s="88"/>
      <c r="H3989" s="89"/>
      <c r="K3989" s="1">
        <v>8</v>
      </c>
      <c r="L3989" s="1">
        <v>8</v>
      </c>
      <c r="M3989" s="1">
        <v>8</v>
      </c>
      <c r="N3989" s="1">
        <v>8</v>
      </c>
      <c r="O3989" s="1">
        <v>8</v>
      </c>
      <c r="P3989" s="1">
        <v>8</v>
      </c>
      <c r="Q3989" s="1">
        <v>8</v>
      </c>
      <c r="T3989" s="9"/>
      <c r="U3989" s="1">
        <f t="shared" si="6907"/>
        <v>91</v>
      </c>
      <c r="V3989" s="1">
        <f t="shared" si="6908"/>
        <v>228</v>
      </c>
    </row>
    <row r="3990" spans="1:22" x14ac:dyDescent="0.3">
      <c r="A3990" s="1">
        <f t="shared" si="6945"/>
        <v>91229</v>
      </c>
      <c r="B3990" s="90"/>
      <c r="C3990" s="91"/>
      <c r="D3990" s="91"/>
      <c r="E3990" s="91"/>
      <c r="F3990" s="91"/>
      <c r="G3990" s="91"/>
      <c r="H3990" s="92"/>
      <c r="J3990" s="24" t="str">
        <f t="shared" ref="J3990" si="7007">CONCATENATE(K3989,1)</f>
        <v>81</v>
      </c>
      <c r="K3990" s="6" t="e">
        <f t="array" ref="K3990:Q3992">LINEST(B3978:B3985,C3978:C3985^{1,2,3,4,5,6},TRUE,TRUE)</f>
        <v>#VALUE!</v>
      </c>
      <c r="L3990" s="6" t="e">
        <v>#VALUE!</v>
      </c>
      <c r="M3990" s="6" t="e">
        <v>#VALUE!</v>
      </c>
      <c r="N3990" s="6" t="e">
        <v>#VALUE!</v>
      </c>
      <c r="O3990" s="6" t="e">
        <v>#VALUE!</v>
      </c>
      <c r="P3990" s="6" t="e">
        <v>#VALUE!</v>
      </c>
      <c r="Q3990" s="6" t="e">
        <v>#VALUE!</v>
      </c>
      <c r="T3990" s="9"/>
      <c r="U3990" s="1">
        <f t="shared" si="6907"/>
        <v>91</v>
      </c>
      <c r="V3990" s="1">
        <f t="shared" si="6908"/>
        <v>229</v>
      </c>
    </row>
    <row r="3991" spans="1:22" x14ac:dyDescent="0.3">
      <c r="A3991" s="1">
        <f t="shared" si="6945"/>
        <v>91230</v>
      </c>
      <c r="B3991" s="93"/>
      <c r="C3991" s="94"/>
      <c r="D3991" s="94"/>
      <c r="E3991" s="94"/>
      <c r="F3991" s="94"/>
      <c r="G3991" s="94"/>
      <c r="H3991" s="95"/>
      <c r="J3991" s="24" t="str">
        <f t="shared" ref="J3991" si="7008">CONCATENATE(K3989,2)</f>
        <v>82</v>
      </c>
      <c r="K3991" s="6" t="e">
        <v>#VALUE!</v>
      </c>
      <c r="L3991" s="6" t="e">
        <v>#VALUE!</v>
      </c>
      <c r="M3991" s="6" t="e">
        <v>#VALUE!</v>
      </c>
      <c r="N3991" s="6" t="e">
        <v>#VALUE!</v>
      </c>
      <c r="O3991" s="6" t="e">
        <v>#VALUE!</v>
      </c>
      <c r="P3991" s="6" t="e">
        <v>#VALUE!</v>
      </c>
      <c r="Q3991" s="6" t="e">
        <v>#VALUE!</v>
      </c>
      <c r="T3991" s="9"/>
      <c r="U3991" s="1">
        <f t="shared" si="6907"/>
        <v>91</v>
      </c>
      <c r="V3991" s="1">
        <f t="shared" si="6908"/>
        <v>230</v>
      </c>
    </row>
    <row r="3992" spans="1:22" x14ac:dyDescent="0.3">
      <c r="A3992" s="1">
        <f t="shared" si="6945"/>
        <v>91231</v>
      </c>
      <c r="J3992" s="24" t="str">
        <f t="shared" ref="J3992" si="7009">CONCATENATE(K3989,3)</f>
        <v>83</v>
      </c>
      <c r="K3992" s="6" t="e">
        <v>#VALUE!</v>
      </c>
      <c r="L3992" s="6" t="e">
        <v>#VALUE!</v>
      </c>
      <c r="M3992" s="6" t="e">
        <v>#VALUE!</v>
      </c>
      <c r="N3992" s="6" t="e">
        <v>#VALUE!</v>
      </c>
      <c r="O3992" s="6" t="e">
        <v>#VALUE!</v>
      </c>
      <c r="P3992" s="6" t="e">
        <v>#VALUE!</v>
      </c>
      <c r="Q3992" s="6" t="e">
        <v>#VALUE!</v>
      </c>
      <c r="T3992" s="9"/>
      <c r="U3992" s="1">
        <f t="shared" si="6907"/>
        <v>91</v>
      </c>
      <c r="V3992" s="1">
        <f t="shared" si="6908"/>
        <v>231</v>
      </c>
    </row>
    <row r="3993" spans="1:22" ht="15" customHeight="1" x14ac:dyDescent="0.3">
      <c r="A3993" s="1">
        <f t="shared" si="6945"/>
        <v>91232</v>
      </c>
      <c r="B3993" s="10" t="s">
        <v>34</v>
      </c>
      <c r="C3993" s="10" t="s">
        <v>35</v>
      </c>
      <c r="D3993" s="10" t="s">
        <v>36</v>
      </c>
      <c r="E3993" s="74" t="s">
        <v>37</v>
      </c>
      <c r="F3993" s="75"/>
      <c r="G3993" s="76"/>
      <c r="K3993" s="1">
        <v>9</v>
      </c>
      <c r="L3993" s="1">
        <v>9</v>
      </c>
      <c r="M3993" s="1">
        <v>9</v>
      </c>
      <c r="N3993" s="1">
        <v>9</v>
      </c>
      <c r="O3993" s="1">
        <v>9</v>
      </c>
      <c r="P3993" s="1">
        <v>9</v>
      </c>
      <c r="Q3993" s="1">
        <v>9</v>
      </c>
      <c r="R3993" s="1">
        <v>9</v>
      </c>
      <c r="T3993" s="9"/>
      <c r="U3993" s="1">
        <f t="shared" si="6907"/>
        <v>91</v>
      </c>
      <c r="V3993" s="1">
        <f t="shared" si="6908"/>
        <v>232</v>
      </c>
    </row>
    <row r="3994" spans="1:22" x14ac:dyDescent="0.3">
      <c r="A3994" s="1">
        <f t="shared" si="6945"/>
        <v>91233</v>
      </c>
      <c r="B3994" s="12">
        <f t="shared" ref="B3994:B4003" si="7010">C3978-B3978</f>
        <v>0</v>
      </c>
      <c r="C3994" s="13">
        <f t="shared" ref="C3994:C4003" si="7011">H3978-G3978</f>
        <v>0</v>
      </c>
      <c r="D3994" s="10">
        <f t="shared" ref="D3994:D4003" si="7012">C3994-B3994</f>
        <v>0</v>
      </c>
      <c r="E3994" s="11" t="str">
        <f t="shared" ref="E3994" si="7013">IF(D3969="","",MAX(F3994,G3994))</f>
        <v/>
      </c>
      <c r="F3994" s="10">
        <f t="shared" ref="F3994" si="7014">ABS(MIN(D3994:D4003))</f>
        <v>0</v>
      </c>
      <c r="G3994" s="10">
        <f t="shared" ref="G3994" si="7015">ABS(MAX(D3994:D4003))</f>
        <v>0</v>
      </c>
      <c r="J3994" s="24" t="str">
        <f t="shared" ref="J3994" si="7016">CONCATENATE(K3993,1)</f>
        <v>91</v>
      </c>
      <c r="K3994" s="6" t="e">
        <f t="array" ref="K3994:R3996">LINEST(B3978:B3986,C3978:C3986^{1,2,3,4,5,6,7},TRUE,TRUE)</f>
        <v>#VALUE!</v>
      </c>
      <c r="L3994" s="6" t="e">
        <v>#VALUE!</v>
      </c>
      <c r="M3994" s="6" t="e">
        <v>#VALUE!</v>
      </c>
      <c r="N3994" s="6" t="e">
        <v>#VALUE!</v>
      </c>
      <c r="O3994" s="6" t="e">
        <v>#VALUE!</v>
      </c>
      <c r="P3994" s="6" t="e">
        <v>#VALUE!</v>
      </c>
      <c r="Q3994" s="6" t="e">
        <v>#VALUE!</v>
      </c>
      <c r="R3994" s="6" t="e">
        <v>#VALUE!</v>
      </c>
      <c r="T3994" s="9"/>
      <c r="U3994" s="1">
        <f t="shared" si="6907"/>
        <v>91</v>
      </c>
      <c r="V3994" s="1">
        <f t="shared" si="6908"/>
        <v>233</v>
      </c>
    </row>
    <row r="3995" spans="1:22" x14ac:dyDescent="0.3">
      <c r="A3995" s="1">
        <f t="shared" si="6945"/>
        <v>91234</v>
      </c>
      <c r="B3995" s="12">
        <f t="shared" si="7010"/>
        <v>0</v>
      </c>
      <c r="C3995" s="13">
        <f t="shared" si="7011"/>
        <v>0</v>
      </c>
      <c r="D3995" s="10">
        <f t="shared" si="7012"/>
        <v>0</v>
      </c>
      <c r="E3995" s="74" t="s">
        <v>38</v>
      </c>
      <c r="F3995" s="75"/>
      <c r="G3995" s="76"/>
      <c r="J3995" s="24" t="str">
        <f t="shared" ref="J3995" si="7017">CONCATENATE(K3993,2)</f>
        <v>92</v>
      </c>
      <c r="K3995" s="6" t="e">
        <v>#VALUE!</v>
      </c>
      <c r="L3995" s="6" t="e">
        <v>#VALUE!</v>
      </c>
      <c r="M3995" s="6" t="e">
        <v>#VALUE!</v>
      </c>
      <c r="N3995" s="6" t="e">
        <v>#VALUE!</v>
      </c>
      <c r="O3995" s="6" t="e">
        <v>#VALUE!</v>
      </c>
      <c r="P3995" s="6" t="e">
        <v>#VALUE!</v>
      </c>
      <c r="Q3995" s="6" t="e">
        <v>#VALUE!</v>
      </c>
      <c r="R3995" s="6" t="e">
        <v>#VALUE!</v>
      </c>
      <c r="T3995" s="9"/>
      <c r="U3995" s="1">
        <f t="shared" ref="U3995:U4058" si="7018">U3994</f>
        <v>91</v>
      </c>
      <c r="V3995" s="1">
        <f t="shared" ref="V3995:V4058" si="7019">V3994+1</f>
        <v>234</v>
      </c>
    </row>
    <row r="3996" spans="1:22" x14ac:dyDescent="0.3">
      <c r="A3996" s="1">
        <f t="shared" si="6945"/>
        <v>91235</v>
      </c>
      <c r="B3996" s="12">
        <f t="shared" si="7010"/>
        <v>0</v>
      </c>
      <c r="C3996" s="13">
        <f t="shared" si="7011"/>
        <v>0</v>
      </c>
      <c r="D3996" s="10">
        <f t="shared" si="7012"/>
        <v>0</v>
      </c>
      <c r="E3996" s="11" t="str">
        <f t="shared" ref="E3996" si="7020">IF(D3969="","",MAX(F3996,G3996))</f>
        <v/>
      </c>
      <c r="F3996" s="10">
        <f t="shared" ref="F3996" si="7021">ABS(MIN(B3994:B4003))</f>
        <v>0</v>
      </c>
      <c r="G3996" s="10">
        <f t="shared" ref="G3996" si="7022">ABS(MAX(B3994:B4003))</f>
        <v>0</v>
      </c>
      <c r="J3996" s="24" t="str">
        <f t="shared" ref="J3996" si="7023">CONCATENATE(K3993,3)</f>
        <v>93</v>
      </c>
      <c r="K3996" s="6" t="e">
        <v>#VALUE!</v>
      </c>
      <c r="L3996" s="6" t="e">
        <v>#VALUE!</v>
      </c>
      <c r="M3996" s="6" t="e">
        <v>#VALUE!</v>
      </c>
      <c r="N3996" s="6" t="e">
        <v>#VALUE!</v>
      </c>
      <c r="O3996" s="6" t="e">
        <v>#VALUE!</v>
      </c>
      <c r="P3996" s="6" t="e">
        <v>#VALUE!</v>
      </c>
      <c r="Q3996" s="6" t="e">
        <v>#VALUE!</v>
      </c>
      <c r="R3996" s="6" t="e">
        <v>#VALUE!</v>
      </c>
      <c r="T3996" s="9"/>
      <c r="U3996" s="1">
        <f t="shared" si="7018"/>
        <v>91</v>
      </c>
      <c r="V3996" s="1">
        <f t="shared" si="7019"/>
        <v>235</v>
      </c>
    </row>
    <row r="3997" spans="1:22" x14ac:dyDescent="0.3">
      <c r="A3997" s="1">
        <f t="shared" si="6945"/>
        <v>91236</v>
      </c>
      <c r="B3997" s="12">
        <f t="shared" si="7010"/>
        <v>0</v>
      </c>
      <c r="C3997" s="13">
        <f t="shared" si="7011"/>
        <v>0</v>
      </c>
      <c r="D3997" s="10">
        <f t="shared" si="7012"/>
        <v>0</v>
      </c>
      <c r="E3997" s="74" t="s">
        <v>39</v>
      </c>
      <c r="F3997" s="75"/>
      <c r="G3997" s="76"/>
      <c r="K3997" s="1">
        <v>10</v>
      </c>
      <c r="L3997" s="1">
        <v>10</v>
      </c>
      <c r="M3997" s="1">
        <v>10</v>
      </c>
      <c r="N3997" s="1">
        <v>10</v>
      </c>
      <c r="O3997" s="1">
        <v>10</v>
      </c>
      <c r="P3997" s="1">
        <v>10</v>
      </c>
      <c r="Q3997" s="1">
        <v>10</v>
      </c>
      <c r="R3997" s="1">
        <v>10</v>
      </c>
      <c r="S3997" s="1">
        <v>10</v>
      </c>
      <c r="T3997" s="9"/>
      <c r="U3997" s="1">
        <f t="shared" si="7018"/>
        <v>91</v>
      </c>
      <c r="V3997" s="1">
        <f t="shared" si="7019"/>
        <v>236</v>
      </c>
    </row>
    <row r="3998" spans="1:22" x14ac:dyDescent="0.3">
      <c r="A3998" s="1">
        <f t="shared" si="6945"/>
        <v>91237</v>
      </c>
      <c r="B3998" s="12">
        <f t="shared" si="7010"/>
        <v>0</v>
      </c>
      <c r="C3998" s="13">
        <f t="shared" si="7011"/>
        <v>0</v>
      </c>
      <c r="D3998" s="10">
        <f t="shared" si="7012"/>
        <v>0</v>
      </c>
      <c r="E3998" s="11" t="str">
        <f t="shared" ref="E3998" si="7024">IF(D3969="","",MAX(F3998,G3998))</f>
        <v/>
      </c>
      <c r="F3998" s="10">
        <f t="shared" ref="F3998" si="7025">ABS(MIN(D3978:D3987))</f>
        <v>0</v>
      </c>
      <c r="G3998" s="10">
        <f t="shared" ref="G3998" si="7026">ABS(MAX(D3978:D3987))</f>
        <v>0</v>
      </c>
      <c r="J3998" s="24" t="str">
        <f t="shared" ref="J3998" si="7027">CONCATENATE(K3997,1)</f>
        <v>101</v>
      </c>
      <c r="K3998" s="6" t="e">
        <f t="array" ref="K3998:S4000">LINEST(B3978:B3987,C3978:C3987^{1,2,3,4,5,6,7,8},TRUE,TRUE)</f>
        <v>#VALUE!</v>
      </c>
      <c r="L3998" s="6" t="e">
        <v>#VALUE!</v>
      </c>
      <c r="M3998" s="6" t="e">
        <v>#VALUE!</v>
      </c>
      <c r="N3998" s="6" t="e">
        <v>#VALUE!</v>
      </c>
      <c r="O3998" s="6" t="e">
        <v>#VALUE!</v>
      </c>
      <c r="P3998" s="6" t="e">
        <v>#VALUE!</v>
      </c>
      <c r="Q3998" s="6" t="e">
        <v>#VALUE!</v>
      </c>
      <c r="R3998" s="6" t="e">
        <v>#VALUE!</v>
      </c>
      <c r="S3998" s="6" t="e">
        <v>#VALUE!</v>
      </c>
      <c r="T3998" s="9"/>
      <c r="U3998" s="1">
        <f t="shared" si="7018"/>
        <v>91</v>
      </c>
      <c r="V3998" s="1">
        <f t="shared" si="7019"/>
        <v>237</v>
      </c>
    </row>
    <row r="3999" spans="1:22" x14ac:dyDescent="0.3">
      <c r="A3999" s="1">
        <f t="shared" si="6945"/>
        <v>91238</v>
      </c>
      <c r="B3999" s="12">
        <f t="shared" si="7010"/>
        <v>0</v>
      </c>
      <c r="C3999" s="13">
        <f t="shared" si="7011"/>
        <v>0</v>
      </c>
      <c r="D3999" s="10">
        <f t="shared" si="7012"/>
        <v>0</v>
      </c>
      <c r="J3999" s="24" t="str">
        <f t="shared" ref="J3999" si="7028">CONCATENATE(K3997,2)</f>
        <v>102</v>
      </c>
      <c r="K3999" s="6" t="e">
        <v>#VALUE!</v>
      </c>
      <c r="L3999" s="6" t="e">
        <v>#VALUE!</v>
      </c>
      <c r="M3999" s="6" t="e">
        <v>#VALUE!</v>
      </c>
      <c r="N3999" s="6" t="e">
        <v>#VALUE!</v>
      </c>
      <c r="O3999" s="6" t="e">
        <v>#VALUE!</v>
      </c>
      <c r="P3999" s="6" t="e">
        <v>#VALUE!</v>
      </c>
      <c r="Q3999" s="6" t="e">
        <v>#VALUE!</v>
      </c>
      <c r="R3999" s="6" t="e">
        <v>#VALUE!</v>
      </c>
      <c r="S3999" s="6" t="e">
        <v>#VALUE!</v>
      </c>
      <c r="T3999" s="9"/>
      <c r="U3999" s="1">
        <f t="shared" si="7018"/>
        <v>91</v>
      </c>
      <c r="V3999" s="1">
        <f t="shared" si="7019"/>
        <v>238</v>
      </c>
    </row>
    <row r="4000" spans="1:22" x14ac:dyDescent="0.3">
      <c r="A4000" s="1">
        <f t="shared" si="6945"/>
        <v>91239</v>
      </c>
      <c r="B4000" s="12">
        <f t="shared" si="7010"/>
        <v>0</v>
      </c>
      <c r="C4000" s="13">
        <f t="shared" si="7011"/>
        <v>0</v>
      </c>
      <c r="D4000" s="10">
        <f t="shared" si="7012"/>
        <v>0</v>
      </c>
      <c r="J4000" s="24" t="str">
        <f t="shared" ref="J4000" si="7029">CONCATENATE(K3997,3)</f>
        <v>103</v>
      </c>
      <c r="K4000" s="6" t="e">
        <v>#VALUE!</v>
      </c>
      <c r="L4000" s="6" t="e">
        <v>#VALUE!</v>
      </c>
      <c r="M4000" s="6" t="e">
        <v>#VALUE!</v>
      </c>
      <c r="N4000" s="6" t="e">
        <v>#VALUE!</v>
      </c>
      <c r="O4000" s="6" t="e">
        <v>#VALUE!</v>
      </c>
      <c r="P4000" s="6" t="e">
        <v>#VALUE!</v>
      </c>
      <c r="Q4000" s="6" t="e">
        <v>#VALUE!</v>
      </c>
      <c r="R4000" s="6" t="e">
        <v>#VALUE!</v>
      </c>
      <c r="S4000" s="6" t="e">
        <v>#VALUE!</v>
      </c>
      <c r="T4000" s="9"/>
      <c r="U4000" s="1">
        <f t="shared" si="7018"/>
        <v>91</v>
      </c>
      <c r="V4000" s="1">
        <f t="shared" si="7019"/>
        <v>239</v>
      </c>
    </row>
    <row r="4001" spans="1:22" x14ac:dyDescent="0.3">
      <c r="A4001" s="1">
        <f t="shared" si="6945"/>
        <v>91240</v>
      </c>
      <c r="B4001" s="12">
        <f t="shared" si="7010"/>
        <v>0</v>
      </c>
      <c r="C4001" s="13">
        <f t="shared" si="7011"/>
        <v>0</v>
      </c>
      <c r="D4001" s="10">
        <f t="shared" si="7012"/>
        <v>0</v>
      </c>
      <c r="J4001" s="9"/>
      <c r="K4001" s="9"/>
      <c r="L4001" s="9"/>
      <c r="M4001" s="9"/>
      <c r="N4001" s="9"/>
      <c r="O4001" s="9"/>
      <c r="P4001" s="9"/>
      <c r="Q4001" s="9"/>
      <c r="R4001" s="9"/>
      <c r="S4001" s="9"/>
      <c r="T4001" s="9"/>
      <c r="U4001" s="1">
        <f t="shared" si="7018"/>
        <v>91</v>
      </c>
      <c r="V4001" s="1">
        <f t="shared" si="7019"/>
        <v>240</v>
      </c>
    </row>
    <row r="4002" spans="1:22" x14ac:dyDescent="0.3">
      <c r="A4002" s="1">
        <f t="shared" si="6945"/>
        <v>91241</v>
      </c>
      <c r="B4002" s="12">
        <f t="shared" si="7010"/>
        <v>0</v>
      </c>
      <c r="C4002" s="13">
        <f t="shared" si="7011"/>
        <v>0</v>
      </c>
      <c r="D4002" s="10">
        <f t="shared" si="7012"/>
        <v>0</v>
      </c>
      <c r="J4002" s="9"/>
      <c r="K4002" s="9"/>
      <c r="L4002" s="9"/>
      <c r="M4002" s="9"/>
      <c r="N4002" s="9"/>
      <c r="O4002" s="9"/>
      <c r="P4002" s="9"/>
      <c r="Q4002" s="9"/>
      <c r="R4002" s="9"/>
      <c r="S4002" s="9"/>
      <c r="T4002" s="9"/>
      <c r="U4002" s="1">
        <f t="shared" si="7018"/>
        <v>91</v>
      </c>
      <c r="V4002" s="1">
        <f t="shared" si="7019"/>
        <v>241</v>
      </c>
    </row>
    <row r="4003" spans="1:22" x14ac:dyDescent="0.3">
      <c r="A4003" s="1">
        <f t="shared" si="6945"/>
        <v>91242</v>
      </c>
      <c r="B4003" s="12">
        <f t="shared" si="7010"/>
        <v>0</v>
      </c>
      <c r="C4003" s="13">
        <f t="shared" si="7011"/>
        <v>0</v>
      </c>
      <c r="D4003" s="10">
        <f t="shared" si="7012"/>
        <v>0</v>
      </c>
      <c r="J4003" s="9"/>
      <c r="K4003" s="9"/>
      <c r="L4003" s="9"/>
      <c r="M4003" s="9"/>
      <c r="N4003" s="9"/>
      <c r="O4003" s="9"/>
      <c r="P4003" s="9"/>
      <c r="Q4003" s="9"/>
      <c r="R4003" s="9"/>
      <c r="S4003" s="9"/>
      <c r="T4003" s="9"/>
      <c r="U4003" s="1">
        <f t="shared" si="7018"/>
        <v>91</v>
      </c>
      <c r="V4003" s="1">
        <f t="shared" si="7019"/>
        <v>242</v>
      </c>
    </row>
    <row r="4004" spans="1:22" x14ac:dyDescent="0.3">
      <c r="A4004" s="1">
        <f t="shared" si="6945"/>
        <v>91243</v>
      </c>
      <c r="J4004" s="9"/>
      <c r="K4004" s="9"/>
      <c r="L4004" s="9"/>
      <c r="M4004" s="9"/>
      <c r="N4004" s="9"/>
      <c r="O4004" s="9"/>
      <c r="P4004" s="9"/>
      <c r="Q4004" s="9"/>
      <c r="R4004" s="9"/>
      <c r="S4004" s="9"/>
      <c r="T4004" s="9"/>
      <c r="U4004" s="1">
        <f t="shared" si="7018"/>
        <v>91</v>
      </c>
      <c r="V4004" s="1">
        <f t="shared" si="7019"/>
        <v>243</v>
      </c>
    </row>
    <row r="4005" spans="1:22" s="5" customFormat="1" x14ac:dyDescent="0.3"/>
    <row r="4006" spans="1:22" x14ac:dyDescent="0.3">
      <c r="A4006" s="1">
        <f t="shared" ref="A4006:A4048" si="7030">ROUND(CONCATENATE(U4006,V4006),0)</f>
        <v>92201</v>
      </c>
      <c r="B4006" s="96" t="s">
        <v>0</v>
      </c>
      <c r="C4006" s="97"/>
      <c r="D4006" s="98"/>
      <c r="E4006" s="99"/>
      <c r="F4006" s="99"/>
      <c r="G4006" s="99"/>
      <c r="H4006" s="100"/>
      <c r="J4006" s="9"/>
      <c r="K4006" s="9"/>
      <c r="L4006" s="9"/>
      <c r="M4006" s="9"/>
      <c r="N4006" s="9"/>
      <c r="O4006" s="9"/>
      <c r="P4006" s="9"/>
      <c r="Q4006" s="9"/>
      <c r="R4006" s="9"/>
      <c r="S4006" s="9"/>
      <c r="T4006" s="9"/>
      <c r="U4006" s="1">
        <f t="shared" ref="U4006" si="7031">U4004+1</f>
        <v>92</v>
      </c>
      <c r="V4006" s="1">
        <v>201</v>
      </c>
    </row>
    <row r="4007" spans="1:22" x14ac:dyDescent="0.3">
      <c r="A4007" s="1">
        <f t="shared" si="7030"/>
        <v>92202</v>
      </c>
      <c r="B4007" s="96" t="s">
        <v>1</v>
      </c>
      <c r="C4007" s="97"/>
      <c r="D4007" s="15"/>
      <c r="E4007" s="16" t="s">
        <v>2</v>
      </c>
      <c r="F4007" s="107"/>
      <c r="G4007" s="108"/>
      <c r="H4007" s="109"/>
      <c r="J4007" s="9"/>
      <c r="K4007" s="9"/>
      <c r="L4007" s="9"/>
      <c r="M4007" s="9"/>
      <c r="N4007" s="9"/>
      <c r="O4007" s="9"/>
      <c r="P4007" s="9"/>
      <c r="Q4007" s="9"/>
      <c r="R4007" s="9"/>
      <c r="S4007" s="9"/>
      <c r="T4007" s="9"/>
      <c r="U4007" s="1">
        <f t="shared" ref="U4007" si="7032">U4006</f>
        <v>92</v>
      </c>
      <c r="V4007" s="1">
        <f t="shared" ref="V4007" si="7033">V4006+1</f>
        <v>202</v>
      </c>
    </row>
    <row r="4008" spans="1:22" x14ac:dyDescent="0.3">
      <c r="A4008" s="1">
        <f t="shared" si="7030"/>
        <v>92203</v>
      </c>
      <c r="B4008" s="96" t="s">
        <v>12</v>
      </c>
      <c r="C4008" s="97"/>
      <c r="D4008" s="98"/>
      <c r="E4008" s="99"/>
      <c r="F4008" s="99"/>
      <c r="G4008" s="99"/>
      <c r="H4008" s="100"/>
      <c r="K4008" s="1" t="s">
        <v>3</v>
      </c>
      <c r="L4008" s="1" t="s">
        <v>4</v>
      </c>
      <c r="M4008" s="1" t="s">
        <v>5</v>
      </c>
      <c r="N4008" s="1" t="s">
        <v>6</v>
      </c>
      <c r="O4008" s="1" t="s">
        <v>7</v>
      </c>
      <c r="P4008" s="1" t="s">
        <v>8</v>
      </c>
      <c r="Q4008" s="1" t="s">
        <v>9</v>
      </c>
      <c r="R4008" s="1" t="s">
        <v>10</v>
      </c>
      <c r="S4008" s="1" t="s">
        <v>11</v>
      </c>
      <c r="T4008" s="9"/>
      <c r="U4008" s="1">
        <f t="shared" si="7018"/>
        <v>92</v>
      </c>
      <c r="V4008" s="1">
        <f t="shared" si="7019"/>
        <v>203</v>
      </c>
    </row>
    <row r="4009" spans="1:22" x14ac:dyDescent="0.3">
      <c r="A4009" s="1">
        <f t="shared" si="7030"/>
        <v>92204</v>
      </c>
      <c r="B4009" s="96" t="s">
        <v>13</v>
      </c>
      <c r="C4009" s="97"/>
      <c r="D4009" s="98"/>
      <c r="E4009" s="99"/>
      <c r="F4009" s="99"/>
      <c r="G4009" s="99"/>
      <c r="H4009" s="100"/>
      <c r="J4009" s="1">
        <f t="shared" ref="J4009" si="7034">COUNTA(B4022:B4031)</f>
        <v>0</v>
      </c>
      <c r="K4009" s="1">
        <f t="shared" ref="K4009" si="7035">IF(L4009-1&lt;2,0,L4009-1)</f>
        <v>0</v>
      </c>
      <c r="L4009" s="1">
        <f t="shared" ref="L4009" si="7036">IF(M4009-1&lt;2,0,M4009-1)</f>
        <v>0</v>
      </c>
      <c r="M4009" s="1">
        <f t="shared" ref="M4009" si="7037">IF(N4009-1&lt;2,0,N4009-1)</f>
        <v>0</v>
      </c>
      <c r="N4009" s="1">
        <f t="shared" ref="N4009" si="7038">IF(O4009-1&lt;2,0,O4009-1)</f>
        <v>0</v>
      </c>
      <c r="O4009" s="1">
        <f t="shared" ref="O4009" si="7039">IF(P4009-1&lt;2,0,P4009-1)</f>
        <v>0</v>
      </c>
      <c r="P4009" s="1">
        <f t="shared" ref="P4009" si="7040">IF(Q4009-1&lt;2,0,Q4009-1)</f>
        <v>0</v>
      </c>
      <c r="Q4009" s="1">
        <f t="shared" ref="Q4009" si="7041">IF(R4009-1&lt;2,0,R4009-1)</f>
        <v>0</v>
      </c>
      <c r="R4009" s="1">
        <f t="shared" ref="R4009" si="7042">IF(S4009-1&lt;2,0,S4009-1)</f>
        <v>0</v>
      </c>
      <c r="S4009" s="1">
        <f t="shared" ref="S4009" si="7043">J4009</f>
        <v>0</v>
      </c>
      <c r="T4009" s="9"/>
      <c r="U4009" s="1">
        <f t="shared" si="7018"/>
        <v>92</v>
      </c>
      <c r="V4009" s="1">
        <f t="shared" si="7019"/>
        <v>204</v>
      </c>
    </row>
    <row r="4010" spans="1:22" x14ac:dyDescent="0.3">
      <c r="A4010" s="1">
        <f t="shared" si="7030"/>
        <v>92205</v>
      </c>
      <c r="B4010" s="96" t="s">
        <v>14</v>
      </c>
      <c r="C4010" s="97"/>
      <c r="D4010" s="98"/>
      <c r="E4010" s="99"/>
      <c r="F4010" s="99"/>
      <c r="G4010" s="99"/>
      <c r="H4010" s="100"/>
      <c r="J4010" s="24" t="str">
        <f t="shared" ref="J4010" si="7044">CONCATENATE(J4009,1)</f>
        <v>01</v>
      </c>
      <c r="K4010" s="25">
        <f t="shared" ref="K4010" si="7045">IF(K4009=0,0,VLOOKUP(J4010,J4014:S4044,K4009,FALSE))</f>
        <v>0</v>
      </c>
      <c r="L4010" s="25">
        <f t="shared" ref="L4010" si="7046">IF(L4009=0,0,VLOOKUP(J4010,J4014:S4044,L4009,FALSE))</f>
        <v>0</v>
      </c>
      <c r="M4010" s="25">
        <f t="shared" ref="M4010" si="7047">IF(M4009=0,0,VLOOKUP(J4010,J4014:S4044,M4009,FALSE))</f>
        <v>0</v>
      </c>
      <c r="N4010" s="25">
        <f t="shared" ref="N4010" si="7048">IF(N4009=0,0,VLOOKUP(J4010,J4014:S4044,N4009,FALSE))</f>
        <v>0</v>
      </c>
      <c r="O4010" s="25">
        <f t="shared" ref="O4010" si="7049">IF(O4009=0,0,VLOOKUP(J4010,J4014:S4044,O4009,FALSE))</f>
        <v>0</v>
      </c>
      <c r="P4010" s="25">
        <f t="shared" ref="P4010" si="7050">IF(P4009=0,0,VLOOKUP(J4010,J4014:S4044,P4009,FALSE))</f>
        <v>0</v>
      </c>
      <c r="Q4010" s="25">
        <f t="shared" ref="Q4010" si="7051">IF(Q4009=0,0,VLOOKUP(J4010,J4014:S4044,Q4009,FALSE))</f>
        <v>0</v>
      </c>
      <c r="R4010" s="25">
        <f t="shared" ref="R4010" si="7052">IF(R4009=0,0,VLOOKUP(J4010,J4014:S4044,R4009,FALSE))</f>
        <v>0</v>
      </c>
      <c r="S4010" s="25">
        <f t="shared" ref="S4010" si="7053">IF(S4009=0,0,VLOOKUP(J4010,J4014:S4044,S4009,FALSE))</f>
        <v>0</v>
      </c>
      <c r="T4010" s="9"/>
      <c r="U4010" s="1">
        <f t="shared" si="7018"/>
        <v>92</v>
      </c>
      <c r="V4010" s="1">
        <f t="shared" si="7019"/>
        <v>205</v>
      </c>
    </row>
    <row r="4011" spans="1:22" x14ac:dyDescent="0.3">
      <c r="A4011" s="1">
        <f t="shared" si="7030"/>
        <v>92206</v>
      </c>
      <c r="B4011" s="96" t="s">
        <v>15</v>
      </c>
      <c r="C4011" s="97"/>
      <c r="D4011" s="98"/>
      <c r="E4011" s="99"/>
      <c r="F4011" s="99"/>
      <c r="G4011" s="99"/>
      <c r="H4011" s="100"/>
      <c r="J4011" s="24" t="str">
        <f t="shared" ref="J4011" si="7054">CONCATENATE(J4009,2)</f>
        <v>02</v>
      </c>
      <c r="K4011" s="6">
        <f t="shared" ref="K4011" si="7055">IF(K4009=0,0,VLOOKUP(J4011,J4014:S4044,K4009,FALSE))</f>
        <v>0</v>
      </c>
      <c r="L4011" s="6">
        <f t="shared" ref="L4011" si="7056">IF(L4009=0,0,VLOOKUP(J4011,J4014:S4044,L4009,FALSE))</f>
        <v>0</v>
      </c>
      <c r="M4011" s="6">
        <f t="shared" ref="M4011" si="7057">IF(M4009=0,0,VLOOKUP(J4011,J4014:S4044,M4009,FALSE))</f>
        <v>0</v>
      </c>
      <c r="N4011" s="6">
        <f t="shared" ref="N4011" si="7058">IF(N4009=0,0,VLOOKUP(J4011,J4014:S4044,N4009,FALSE))</f>
        <v>0</v>
      </c>
      <c r="O4011" s="6">
        <f t="shared" ref="O4011" si="7059">IF(O4009=0,0,VLOOKUP(J4011,J4014:S4044,O4009,FALSE))</f>
        <v>0</v>
      </c>
      <c r="P4011" s="6">
        <f t="shared" ref="P4011" si="7060">IF(P4009=0,0,VLOOKUP(J4011,J4014:S4044,P4009,FALSE))</f>
        <v>0</v>
      </c>
      <c r="Q4011" s="6">
        <f t="shared" ref="Q4011" si="7061">IF(Q4009=0,0,VLOOKUP(J4011,J4014:S4044,Q4009,FALSE))</f>
        <v>0</v>
      </c>
      <c r="R4011" s="6">
        <f t="shared" ref="R4011" si="7062">IF(R4009=0,0,VLOOKUP(J4011,J4014:S4044,R4009,FALSE))</f>
        <v>0</v>
      </c>
      <c r="S4011" s="6">
        <f t="shared" ref="S4011" si="7063">IF(S4009=0,0,VLOOKUP(J4011,J4014:S4044,S4009,FALSE))</f>
        <v>0</v>
      </c>
      <c r="T4011" s="9"/>
      <c r="U4011" s="1">
        <f t="shared" si="7018"/>
        <v>92</v>
      </c>
      <c r="V4011" s="1">
        <f t="shared" si="7019"/>
        <v>206</v>
      </c>
    </row>
    <row r="4012" spans="1:22" x14ac:dyDescent="0.3">
      <c r="A4012" s="1">
        <f t="shared" si="7030"/>
        <v>92207</v>
      </c>
      <c r="B4012" s="96" t="s">
        <v>16</v>
      </c>
      <c r="C4012" s="97"/>
      <c r="D4012" s="101"/>
      <c r="E4012" s="102"/>
      <c r="F4012" s="102"/>
      <c r="G4012" s="102"/>
      <c r="H4012" s="103"/>
      <c r="J4012" s="24" t="str">
        <f t="shared" ref="J4012" si="7064">CONCATENATE(J4009,3)</f>
        <v>03</v>
      </c>
      <c r="K4012" s="6"/>
      <c r="L4012" s="6"/>
      <c r="M4012" s="6"/>
      <c r="N4012" s="6" t="s">
        <v>43</v>
      </c>
      <c r="O4012" s="25">
        <f t="shared" ref="O4012" si="7065">J4009-2</f>
        <v>-2</v>
      </c>
      <c r="P4012" s="6" t="s">
        <v>44</v>
      </c>
      <c r="Q4012" s="25" t="e">
        <f t="shared" ref="Q4012" si="7066">VLOOKUP(J4012,J4014:S4044,3,FALSE)</f>
        <v>#N/A</v>
      </c>
      <c r="R4012" s="6" t="s">
        <v>45</v>
      </c>
      <c r="S4012" s="6" t="e">
        <f t="shared" ref="S4012" si="7067">VLOOKUP(J4012,J4014:S4044,2,FALSE)</f>
        <v>#N/A</v>
      </c>
      <c r="T4012" s="9"/>
      <c r="U4012" s="1">
        <f t="shared" si="7018"/>
        <v>92</v>
      </c>
      <c r="V4012" s="1">
        <f t="shared" si="7019"/>
        <v>207</v>
      </c>
    </row>
    <row r="4013" spans="1:22" x14ac:dyDescent="0.3">
      <c r="A4013" s="1">
        <f t="shared" si="7030"/>
        <v>92208</v>
      </c>
      <c r="B4013" s="96" t="s">
        <v>17</v>
      </c>
      <c r="C4013" s="97"/>
      <c r="D4013" s="104"/>
      <c r="E4013" s="105"/>
      <c r="F4013" s="105"/>
      <c r="G4013" s="105"/>
      <c r="H4013" s="106"/>
      <c r="K4013" s="1">
        <v>3</v>
      </c>
      <c r="L4013" s="1">
        <v>3</v>
      </c>
      <c r="Q4013" s="26"/>
      <c r="R4013" s="26"/>
      <c r="S4013" s="26"/>
      <c r="T4013" s="9"/>
      <c r="U4013" s="1">
        <f t="shared" si="7018"/>
        <v>92</v>
      </c>
      <c r="V4013" s="1">
        <f t="shared" si="7019"/>
        <v>208</v>
      </c>
    </row>
    <row r="4014" spans="1:22" x14ac:dyDescent="0.3">
      <c r="A4014" s="1">
        <f t="shared" si="7030"/>
        <v>92209</v>
      </c>
      <c r="B4014" s="77" t="s">
        <v>19</v>
      </c>
      <c r="C4014" s="78"/>
      <c r="D4014" s="17"/>
      <c r="E4014" s="79" t="s">
        <v>40</v>
      </c>
      <c r="F4014" s="80"/>
      <c r="G4014" s="81"/>
      <c r="H4014" s="18" t="s">
        <v>72</v>
      </c>
      <c r="J4014" s="24" t="str">
        <f t="shared" ref="J4014" si="7068">CONCATENATE(K4013,1)</f>
        <v>31</v>
      </c>
      <c r="K4014" s="6" t="e">
        <f t="array" ref="K4014:L4016">LINEST(B4022:B4024,C4022:C4024^{1},TRUE,TRUE)</f>
        <v>#VALUE!</v>
      </c>
      <c r="L4014" s="6" t="e">
        <v>#VALUE!</v>
      </c>
      <c r="Q4014" s="9"/>
      <c r="R4014" s="9"/>
      <c r="S4014" s="9"/>
      <c r="T4014" s="9"/>
      <c r="U4014" s="1">
        <f t="shared" si="7018"/>
        <v>92</v>
      </c>
      <c r="V4014" s="1">
        <f t="shared" si="7019"/>
        <v>209</v>
      </c>
    </row>
    <row r="4015" spans="1:22" x14ac:dyDescent="0.3">
      <c r="A4015" s="1">
        <f t="shared" si="7030"/>
        <v>92210</v>
      </c>
      <c r="B4015" s="77" t="s">
        <v>41</v>
      </c>
      <c r="C4015" s="78"/>
      <c r="D4015" s="23">
        <f t="shared" ref="D4015" si="7069">MIN(B4022:B4031)</f>
        <v>0</v>
      </c>
      <c r="E4015" s="20" t="s">
        <v>18</v>
      </c>
      <c r="F4015" s="19">
        <f t="shared" ref="F4015" si="7070">MAX(B4022:B4031)</f>
        <v>0</v>
      </c>
      <c r="G4015" s="21" t="str">
        <f t="shared" ref="G4015" si="7071">IF(H4014="","",H4014)</f>
        <v>%ur</v>
      </c>
      <c r="H4015" s="22"/>
      <c r="J4015" s="24" t="str">
        <f t="shared" ref="J4015" si="7072">CONCATENATE(K4013,2)</f>
        <v>32</v>
      </c>
      <c r="K4015" s="6" t="e">
        <v>#VALUE!</v>
      </c>
      <c r="L4015" s="6" t="e">
        <v>#VALUE!</v>
      </c>
      <c r="Q4015" s="9"/>
      <c r="R4015" s="9"/>
      <c r="S4015" s="9"/>
      <c r="T4015" s="9"/>
      <c r="U4015" s="1">
        <f t="shared" si="7018"/>
        <v>92</v>
      </c>
      <c r="V4015" s="1">
        <f t="shared" si="7019"/>
        <v>210</v>
      </c>
    </row>
    <row r="4016" spans="1:22" x14ac:dyDescent="0.3">
      <c r="A4016" s="1">
        <f t="shared" si="7030"/>
        <v>92211</v>
      </c>
      <c r="J4016" s="24" t="str">
        <f t="shared" ref="J4016" si="7073">CONCATENATE(K4013,3)</f>
        <v>33</v>
      </c>
      <c r="K4016" s="6" t="e">
        <v>#VALUE!</v>
      </c>
      <c r="L4016" s="6" t="e">
        <v>#VALUE!</v>
      </c>
      <c r="Q4016" s="9"/>
      <c r="R4016" s="9"/>
      <c r="S4016" s="9"/>
      <c r="T4016" s="9"/>
      <c r="U4016" s="1">
        <f t="shared" si="7018"/>
        <v>92</v>
      </c>
      <c r="V4016" s="1">
        <f t="shared" si="7019"/>
        <v>211</v>
      </c>
    </row>
    <row r="4017" spans="1:22" x14ac:dyDescent="0.3">
      <c r="A4017" s="1">
        <f t="shared" si="7030"/>
        <v>92212</v>
      </c>
      <c r="B4017" s="82" t="s">
        <v>20</v>
      </c>
      <c r="C4017" s="83"/>
      <c r="D4017" s="83"/>
      <c r="E4017" s="83"/>
      <c r="F4017" s="84"/>
      <c r="G4017" s="85" t="s">
        <v>31</v>
      </c>
      <c r="H4017" s="86"/>
      <c r="K4017" s="1">
        <v>4</v>
      </c>
      <c r="L4017" s="1">
        <v>4</v>
      </c>
      <c r="M4017" s="1">
        <v>4</v>
      </c>
      <c r="Q4017" s="9"/>
      <c r="R4017" s="9"/>
      <c r="S4017" s="9"/>
      <c r="T4017" s="9"/>
      <c r="U4017" s="1">
        <f t="shared" si="7018"/>
        <v>92</v>
      </c>
      <c r="V4017" s="1">
        <f t="shared" si="7019"/>
        <v>212</v>
      </c>
    </row>
    <row r="4018" spans="1:22" x14ac:dyDescent="0.3">
      <c r="A4018" s="1">
        <f t="shared" si="7030"/>
        <v>92213</v>
      </c>
      <c r="B4018" s="82" t="s">
        <v>30</v>
      </c>
      <c r="C4018" s="83"/>
      <c r="D4018" s="84"/>
      <c r="E4018" s="82">
        <f t="shared" ref="E4018" si="7074">D4011</f>
        <v>0</v>
      </c>
      <c r="F4018" s="84"/>
      <c r="G4018" s="6" t="s">
        <v>32</v>
      </c>
      <c r="H4018" s="7"/>
      <c r="J4018" s="24" t="str">
        <f t="shared" ref="J4018" si="7075">CONCATENATE(K4017,1)</f>
        <v>41</v>
      </c>
      <c r="K4018" s="6" t="e">
        <f t="array" ref="K4018:M4020">LINEST(B4022:B4025,C4022:C4025^{1,2},TRUE,TRUE)</f>
        <v>#VALUE!</v>
      </c>
      <c r="L4018" s="6" t="e">
        <v>#VALUE!</v>
      </c>
      <c r="M4018" s="6" t="e">
        <v>#VALUE!</v>
      </c>
      <c r="Q4018" s="9"/>
      <c r="R4018" s="9"/>
      <c r="S4018" s="9"/>
      <c r="T4018" s="9"/>
      <c r="U4018" s="1">
        <f t="shared" si="7018"/>
        <v>92</v>
      </c>
      <c r="V4018" s="1">
        <f t="shared" si="7019"/>
        <v>213</v>
      </c>
    </row>
    <row r="4019" spans="1:22" x14ac:dyDescent="0.3">
      <c r="A4019" s="1">
        <f t="shared" si="7030"/>
        <v>92214</v>
      </c>
      <c r="B4019" s="2" t="s">
        <v>21</v>
      </c>
      <c r="C4019" s="2" t="s">
        <v>22</v>
      </c>
      <c r="D4019" s="2" t="s">
        <v>23</v>
      </c>
      <c r="E4019" s="2"/>
      <c r="F4019" s="2" t="s">
        <v>28</v>
      </c>
      <c r="G4019" s="2" t="s">
        <v>21</v>
      </c>
      <c r="H4019" s="2" t="s">
        <v>22</v>
      </c>
      <c r="J4019" s="24" t="str">
        <f t="shared" ref="J4019" si="7076">CONCATENATE(K4017,2)</f>
        <v>42</v>
      </c>
      <c r="K4019" s="6" t="e">
        <v>#VALUE!</v>
      </c>
      <c r="L4019" s="6" t="e">
        <v>#VALUE!</v>
      </c>
      <c r="M4019" s="6" t="e">
        <v>#VALUE!</v>
      </c>
      <c r="Q4019" s="9"/>
      <c r="R4019" s="9"/>
      <c r="S4019" s="9"/>
      <c r="T4019" s="9"/>
      <c r="U4019" s="1">
        <f t="shared" si="7018"/>
        <v>92</v>
      </c>
      <c r="V4019" s="1">
        <f t="shared" si="7019"/>
        <v>214</v>
      </c>
    </row>
    <row r="4020" spans="1:22" x14ac:dyDescent="0.3">
      <c r="A4020" s="1">
        <f t="shared" si="7030"/>
        <v>92215</v>
      </c>
      <c r="B4020" s="2" t="s">
        <v>24</v>
      </c>
      <c r="C4020" s="2" t="s">
        <v>25</v>
      </c>
      <c r="D4020" s="2" t="s">
        <v>26</v>
      </c>
      <c r="E4020" s="2" t="s">
        <v>27</v>
      </c>
      <c r="F4020" s="2" t="s">
        <v>29</v>
      </c>
      <c r="G4020" s="2" t="s">
        <v>24</v>
      </c>
      <c r="H4020" s="2" t="s">
        <v>25</v>
      </c>
      <c r="J4020" s="24" t="str">
        <f t="shared" ref="J4020" si="7077">CONCATENATE(K4017,3)</f>
        <v>43</v>
      </c>
      <c r="K4020" s="6" t="e">
        <v>#VALUE!</v>
      </c>
      <c r="L4020" s="6" t="e">
        <v>#VALUE!</v>
      </c>
      <c r="M4020" s="6" t="e">
        <v>#VALUE!</v>
      </c>
      <c r="Q4020" s="9"/>
      <c r="R4020" s="9"/>
      <c r="S4020" s="9"/>
      <c r="T4020" s="9"/>
      <c r="U4020" s="1">
        <f t="shared" si="7018"/>
        <v>92</v>
      </c>
      <c r="V4020" s="1">
        <f t="shared" si="7019"/>
        <v>215</v>
      </c>
    </row>
    <row r="4021" spans="1:22" x14ac:dyDescent="0.3">
      <c r="A4021" s="1">
        <f t="shared" si="7030"/>
        <v>92216</v>
      </c>
      <c r="B4021" s="3" t="str">
        <f t="shared" ref="B4021" si="7078">H4014</f>
        <v>%ur</v>
      </c>
      <c r="C4021" s="3" t="str">
        <f t="shared" ref="C4021" si="7079">B4021</f>
        <v>%ur</v>
      </c>
      <c r="D4021" s="3" t="str">
        <f t="shared" ref="D4021" si="7080">C4021</f>
        <v>%ur</v>
      </c>
      <c r="E4021" s="3"/>
      <c r="F4021" s="3"/>
      <c r="G4021" s="3" t="str">
        <f t="shared" ref="G4021" si="7081">D4021</f>
        <v>%ur</v>
      </c>
      <c r="H4021" s="3" t="str">
        <f t="shared" ref="H4021" si="7082">G4021</f>
        <v>%ur</v>
      </c>
      <c r="K4021" s="1">
        <v>5</v>
      </c>
      <c r="L4021" s="1">
        <v>5</v>
      </c>
      <c r="M4021" s="1">
        <v>5</v>
      </c>
      <c r="N4021" s="1">
        <v>5</v>
      </c>
      <c r="Q4021" s="9"/>
      <c r="R4021" s="9"/>
      <c r="S4021" s="9"/>
      <c r="T4021" s="9"/>
      <c r="U4021" s="1">
        <f t="shared" si="7018"/>
        <v>92</v>
      </c>
      <c r="V4021" s="1">
        <f t="shared" si="7019"/>
        <v>216</v>
      </c>
    </row>
    <row r="4022" spans="1:22" x14ac:dyDescent="0.3">
      <c r="A4022" s="1">
        <f t="shared" si="7030"/>
        <v>92217</v>
      </c>
      <c r="B4022" s="4"/>
      <c r="C4022" s="4"/>
      <c r="D4022" s="4"/>
      <c r="E4022" s="4"/>
      <c r="F4022" s="14"/>
      <c r="G4022" s="8"/>
      <c r="H4022" s="7"/>
      <c r="J4022" s="24" t="str">
        <f t="shared" ref="J4022" si="7083">CONCATENATE(K4021,1)</f>
        <v>51</v>
      </c>
      <c r="K4022" s="6" t="e">
        <f t="array" ref="K4022:N4024">LINEST(B4022:B4026,C4022:C4026^{1,2,3},TRUE,TRUE)</f>
        <v>#VALUE!</v>
      </c>
      <c r="L4022" s="6" t="e">
        <v>#VALUE!</v>
      </c>
      <c r="M4022" s="6" t="e">
        <v>#VALUE!</v>
      </c>
      <c r="N4022" s="6" t="e">
        <v>#VALUE!</v>
      </c>
      <c r="Q4022" s="9"/>
      <c r="R4022" s="9"/>
      <c r="S4022" s="9"/>
      <c r="T4022" s="9"/>
      <c r="U4022" s="1">
        <f t="shared" si="7018"/>
        <v>92</v>
      </c>
      <c r="V4022" s="1">
        <f t="shared" si="7019"/>
        <v>217</v>
      </c>
    </row>
    <row r="4023" spans="1:22" x14ac:dyDescent="0.3">
      <c r="A4023" s="1">
        <f t="shared" si="7030"/>
        <v>92218</v>
      </c>
      <c r="B4023" s="4"/>
      <c r="C4023" s="4"/>
      <c r="D4023" s="4"/>
      <c r="E4023" s="4"/>
      <c r="F4023" s="14"/>
      <c r="G4023" s="8"/>
      <c r="H4023" s="7"/>
      <c r="J4023" s="24" t="str">
        <f t="shared" ref="J4023" si="7084">CONCATENATE(K4021,2)</f>
        <v>52</v>
      </c>
      <c r="K4023" s="6" t="e">
        <v>#VALUE!</v>
      </c>
      <c r="L4023" s="6" t="e">
        <v>#VALUE!</v>
      </c>
      <c r="M4023" s="6" t="e">
        <v>#VALUE!</v>
      </c>
      <c r="N4023" s="6" t="e">
        <v>#VALUE!</v>
      </c>
      <c r="T4023" s="9"/>
      <c r="U4023" s="1">
        <f t="shared" si="7018"/>
        <v>92</v>
      </c>
      <c r="V4023" s="1">
        <f t="shared" si="7019"/>
        <v>218</v>
      </c>
    </row>
    <row r="4024" spans="1:22" x14ac:dyDescent="0.3">
      <c r="A4024" s="1">
        <f t="shared" si="7030"/>
        <v>92219</v>
      </c>
      <c r="B4024" s="4"/>
      <c r="C4024" s="4"/>
      <c r="D4024" s="4"/>
      <c r="E4024" s="4"/>
      <c r="F4024" s="14"/>
      <c r="G4024" s="8"/>
      <c r="H4024" s="7"/>
      <c r="J4024" s="24" t="str">
        <f t="shared" ref="J4024" si="7085">CONCATENATE(K4021,3)</f>
        <v>53</v>
      </c>
      <c r="K4024" s="6" t="e">
        <v>#VALUE!</v>
      </c>
      <c r="L4024" s="6" t="e">
        <v>#VALUE!</v>
      </c>
      <c r="M4024" s="6" t="e">
        <v>#VALUE!</v>
      </c>
      <c r="N4024" s="6" t="e">
        <v>#VALUE!</v>
      </c>
      <c r="T4024" s="9"/>
      <c r="U4024" s="1">
        <f t="shared" si="7018"/>
        <v>92</v>
      </c>
      <c r="V4024" s="1">
        <f t="shared" si="7019"/>
        <v>219</v>
      </c>
    </row>
    <row r="4025" spans="1:22" x14ac:dyDescent="0.3">
      <c r="A4025" s="1">
        <f t="shared" si="7030"/>
        <v>92220</v>
      </c>
      <c r="B4025" s="4"/>
      <c r="C4025" s="4"/>
      <c r="D4025" s="4"/>
      <c r="E4025" s="4"/>
      <c r="F4025" s="14"/>
      <c r="G4025" s="8"/>
      <c r="H4025" s="7"/>
      <c r="K4025" s="1">
        <v>6</v>
      </c>
      <c r="L4025" s="1">
        <v>6</v>
      </c>
      <c r="M4025" s="1">
        <v>6</v>
      </c>
      <c r="N4025" s="1">
        <v>6</v>
      </c>
      <c r="O4025" s="1">
        <v>6</v>
      </c>
      <c r="T4025" s="9"/>
      <c r="U4025" s="1">
        <f t="shared" si="7018"/>
        <v>92</v>
      </c>
      <c r="V4025" s="1">
        <f t="shared" si="7019"/>
        <v>220</v>
      </c>
    </row>
    <row r="4026" spans="1:22" x14ac:dyDescent="0.3">
      <c r="A4026" s="1">
        <f t="shared" si="7030"/>
        <v>92221</v>
      </c>
      <c r="B4026" s="4"/>
      <c r="C4026" s="4"/>
      <c r="D4026" s="4"/>
      <c r="E4026" s="4"/>
      <c r="F4026" s="14"/>
      <c r="G4026" s="8"/>
      <c r="H4026" s="7"/>
      <c r="J4026" s="24" t="str">
        <f t="shared" ref="J4026" si="7086">CONCATENATE(K4025,1)</f>
        <v>61</v>
      </c>
      <c r="K4026" s="6" t="e">
        <f t="array" ref="K4026:O4028">LINEST(B4022:B4027,C4022:C4027^{1,2,3,4},TRUE,TRUE)</f>
        <v>#VALUE!</v>
      </c>
      <c r="L4026" s="6" t="e">
        <v>#VALUE!</v>
      </c>
      <c r="M4026" s="6" t="e">
        <v>#VALUE!</v>
      </c>
      <c r="N4026" s="6" t="e">
        <v>#VALUE!</v>
      </c>
      <c r="O4026" s="6" t="e">
        <v>#VALUE!</v>
      </c>
      <c r="T4026" s="9"/>
      <c r="U4026" s="1">
        <f t="shared" si="7018"/>
        <v>92</v>
      </c>
      <c r="V4026" s="1">
        <f t="shared" si="7019"/>
        <v>221</v>
      </c>
    </row>
    <row r="4027" spans="1:22" x14ac:dyDescent="0.3">
      <c r="A4027" s="1">
        <f t="shared" si="7030"/>
        <v>92222</v>
      </c>
      <c r="B4027" s="4"/>
      <c r="C4027" s="4"/>
      <c r="D4027" s="4"/>
      <c r="E4027" s="4"/>
      <c r="F4027" s="14"/>
      <c r="G4027" s="8"/>
      <c r="H4027" s="7"/>
      <c r="J4027" s="24" t="str">
        <f t="shared" ref="J4027" si="7087">CONCATENATE(K4025,2)</f>
        <v>62</v>
      </c>
      <c r="K4027" s="6" t="e">
        <v>#VALUE!</v>
      </c>
      <c r="L4027" s="6" t="e">
        <v>#VALUE!</v>
      </c>
      <c r="M4027" s="6" t="e">
        <v>#VALUE!</v>
      </c>
      <c r="N4027" s="6" t="e">
        <v>#VALUE!</v>
      </c>
      <c r="O4027" s="6" t="e">
        <v>#VALUE!</v>
      </c>
      <c r="T4027" s="9"/>
      <c r="U4027" s="1">
        <f t="shared" si="7018"/>
        <v>92</v>
      </c>
      <c r="V4027" s="1">
        <f t="shared" si="7019"/>
        <v>222</v>
      </c>
    </row>
    <row r="4028" spans="1:22" x14ac:dyDescent="0.3">
      <c r="A4028" s="1">
        <f t="shared" si="7030"/>
        <v>92223</v>
      </c>
      <c r="B4028" s="4"/>
      <c r="C4028" s="4"/>
      <c r="D4028" s="4"/>
      <c r="E4028" s="4"/>
      <c r="F4028" s="14"/>
      <c r="G4028" s="8"/>
      <c r="H4028" s="7"/>
      <c r="J4028" s="24" t="str">
        <f t="shared" ref="J4028" si="7088">CONCATENATE(K4025,3)</f>
        <v>63</v>
      </c>
      <c r="K4028" s="6" t="e">
        <v>#VALUE!</v>
      </c>
      <c r="L4028" s="6" t="e">
        <v>#VALUE!</v>
      </c>
      <c r="M4028" s="6" t="e">
        <v>#VALUE!</v>
      </c>
      <c r="N4028" s="6" t="e">
        <v>#VALUE!</v>
      </c>
      <c r="O4028" s="6" t="e">
        <v>#VALUE!</v>
      </c>
      <c r="T4028" s="9"/>
      <c r="U4028" s="1">
        <f t="shared" si="7018"/>
        <v>92</v>
      </c>
      <c r="V4028" s="1">
        <f t="shared" si="7019"/>
        <v>223</v>
      </c>
    </row>
    <row r="4029" spans="1:22" x14ac:dyDescent="0.3">
      <c r="A4029" s="1">
        <f t="shared" si="7030"/>
        <v>92224</v>
      </c>
      <c r="B4029" s="4"/>
      <c r="C4029" s="4"/>
      <c r="D4029" s="4"/>
      <c r="E4029" s="4"/>
      <c r="F4029" s="14"/>
      <c r="G4029" s="8"/>
      <c r="H4029" s="7"/>
      <c r="K4029" s="1">
        <v>7</v>
      </c>
      <c r="L4029" s="1">
        <v>7</v>
      </c>
      <c r="M4029" s="1">
        <v>7</v>
      </c>
      <c r="N4029" s="1">
        <v>7</v>
      </c>
      <c r="O4029" s="1">
        <v>7</v>
      </c>
      <c r="P4029" s="1">
        <v>7</v>
      </c>
      <c r="T4029" s="9"/>
      <c r="U4029" s="1">
        <f t="shared" si="7018"/>
        <v>92</v>
      </c>
      <c r="V4029" s="1">
        <f t="shared" si="7019"/>
        <v>224</v>
      </c>
    </row>
    <row r="4030" spans="1:22" x14ac:dyDescent="0.3">
      <c r="A4030" s="1">
        <f t="shared" si="7030"/>
        <v>92225</v>
      </c>
      <c r="B4030" s="4"/>
      <c r="C4030" s="4"/>
      <c r="D4030" s="4"/>
      <c r="E4030" s="4"/>
      <c r="F4030" s="14"/>
      <c r="G4030" s="8"/>
      <c r="H4030" s="7"/>
      <c r="J4030" s="24" t="str">
        <f t="shared" ref="J4030" si="7089">CONCATENATE(K4029,1)</f>
        <v>71</v>
      </c>
      <c r="K4030" s="6" t="e">
        <f t="array" ref="K4030:P4032">LINEST(B4022:B4028,C4022:C4028^{1,2,3,4,5},TRUE,TRUE)</f>
        <v>#VALUE!</v>
      </c>
      <c r="L4030" s="6" t="e">
        <v>#VALUE!</v>
      </c>
      <c r="M4030" s="6" t="e">
        <v>#VALUE!</v>
      </c>
      <c r="N4030" s="6" t="e">
        <v>#VALUE!</v>
      </c>
      <c r="O4030" s="6" t="e">
        <v>#VALUE!</v>
      </c>
      <c r="P4030" s="6" t="e">
        <v>#VALUE!</v>
      </c>
      <c r="T4030" s="9"/>
      <c r="U4030" s="1">
        <f t="shared" si="7018"/>
        <v>92</v>
      </c>
      <c r="V4030" s="1">
        <f t="shared" si="7019"/>
        <v>225</v>
      </c>
    </row>
    <row r="4031" spans="1:22" x14ac:dyDescent="0.3">
      <c r="A4031" s="1">
        <f t="shared" si="7030"/>
        <v>92226</v>
      </c>
      <c r="B4031" s="4"/>
      <c r="C4031" s="4"/>
      <c r="D4031" s="4"/>
      <c r="E4031" s="4"/>
      <c r="F4031" s="14"/>
      <c r="G4031" s="8"/>
      <c r="H4031" s="7"/>
      <c r="J4031" s="24" t="str">
        <f t="shared" ref="J4031" si="7090">CONCATENATE(K4029,2)</f>
        <v>72</v>
      </c>
      <c r="K4031" s="6" t="e">
        <v>#VALUE!</v>
      </c>
      <c r="L4031" s="6" t="e">
        <v>#VALUE!</v>
      </c>
      <c r="M4031" s="6" t="e">
        <v>#VALUE!</v>
      </c>
      <c r="N4031" s="6" t="e">
        <v>#VALUE!</v>
      </c>
      <c r="O4031" s="6" t="e">
        <v>#VALUE!</v>
      </c>
      <c r="P4031" s="6" t="e">
        <v>#VALUE!</v>
      </c>
      <c r="T4031" s="9"/>
      <c r="U4031" s="1">
        <f t="shared" si="7018"/>
        <v>92</v>
      </c>
      <c r="V4031" s="1">
        <f t="shared" si="7019"/>
        <v>226</v>
      </c>
    </row>
    <row r="4032" spans="1:22" x14ac:dyDescent="0.3">
      <c r="A4032" s="1">
        <f t="shared" si="7030"/>
        <v>92227</v>
      </c>
      <c r="B4032" s="9"/>
      <c r="C4032" s="9"/>
      <c r="D4032" s="9"/>
      <c r="E4032" s="9"/>
      <c r="F4032" s="9"/>
      <c r="G4032" s="9"/>
      <c r="H4032" s="9"/>
      <c r="J4032" s="24" t="str">
        <f t="shared" ref="J4032" si="7091">CONCATENATE(K4029,3)</f>
        <v>73</v>
      </c>
      <c r="K4032" s="6" t="e">
        <v>#VALUE!</v>
      </c>
      <c r="L4032" s="6" t="e">
        <v>#VALUE!</v>
      </c>
      <c r="M4032" s="6" t="e">
        <v>#VALUE!</v>
      </c>
      <c r="N4032" s="6" t="e">
        <v>#VALUE!</v>
      </c>
      <c r="O4032" s="6" t="e">
        <v>#VALUE!</v>
      </c>
      <c r="P4032" s="6" t="e">
        <v>#VALUE!</v>
      </c>
      <c r="T4032" s="9"/>
      <c r="U4032" s="1">
        <f t="shared" si="7018"/>
        <v>92</v>
      </c>
      <c r="V4032" s="1">
        <f t="shared" si="7019"/>
        <v>227</v>
      </c>
    </row>
    <row r="4033" spans="1:22" x14ac:dyDescent="0.3">
      <c r="A4033" s="1">
        <f t="shared" si="7030"/>
        <v>92228</v>
      </c>
      <c r="B4033" s="87" t="s">
        <v>33</v>
      </c>
      <c r="C4033" s="88"/>
      <c r="D4033" s="88"/>
      <c r="E4033" s="88"/>
      <c r="F4033" s="88"/>
      <c r="G4033" s="88"/>
      <c r="H4033" s="89"/>
      <c r="K4033" s="1">
        <v>8</v>
      </c>
      <c r="L4033" s="1">
        <v>8</v>
      </c>
      <c r="M4033" s="1">
        <v>8</v>
      </c>
      <c r="N4033" s="1">
        <v>8</v>
      </c>
      <c r="O4033" s="1">
        <v>8</v>
      </c>
      <c r="P4033" s="1">
        <v>8</v>
      </c>
      <c r="Q4033" s="1">
        <v>8</v>
      </c>
      <c r="T4033" s="9"/>
      <c r="U4033" s="1">
        <f t="shared" si="7018"/>
        <v>92</v>
      </c>
      <c r="V4033" s="1">
        <f t="shared" si="7019"/>
        <v>228</v>
      </c>
    </row>
    <row r="4034" spans="1:22" x14ac:dyDescent="0.3">
      <c r="A4034" s="1">
        <f t="shared" si="7030"/>
        <v>92229</v>
      </c>
      <c r="B4034" s="90"/>
      <c r="C4034" s="91"/>
      <c r="D4034" s="91"/>
      <c r="E4034" s="91"/>
      <c r="F4034" s="91"/>
      <c r="G4034" s="91"/>
      <c r="H4034" s="92"/>
      <c r="J4034" s="24" t="str">
        <f t="shared" ref="J4034" si="7092">CONCATENATE(K4033,1)</f>
        <v>81</v>
      </c>
      <c r="K4034" s="6" t="e">
        <f t="array" ref="K4034:Q4036">LINEST(B4022:B4029,C4022:C4029^{1,2,3,4,5,6},TRUE,TRUE)</f>
        <v>#VALUE!</v>
      </c>
      <c r="L4034" s="6" t="e">
        <v>#VALUE!</v>
      </c>
      <c r="M4034" s="6" t="e">
        <v>#VALUE!</v>
      </c>
      <c r="N4034" s="6" t="e">
        <v>#VALUE!</v>
      </c>
      <c r="O4034" s="6" t="e">
        <v>#VALUE!</v>
      </c>
      <c r="P4034" s="6" t="e">
        <v>#VALUE!</v>
      </c>
      <c r="Q4034" s="6" t="e">
        <v>#VALUE!</v>
      </c>
      <c r="T4034" s="9"/>
      <c r="U4034" s="1">
        <f t="shared" si="7018"/>
        <v>92</v>
      </c>
      <c r="V4034" s="1">
        <f t="shared" si="7019"/>
        <v>229</v>
      </c>
    </row>
    <row r="4035" spans="1:22" x14ac:dyDescent="0.3">
      <c r="A4035" s="1">
        <f t="shared" si="7030"/>
        <v>92230</v>
      </c>
      <c r="B4035" s="93"/>
      <c r="C4035" s="94"/>
      <c r="D4035" s="94"/>
      <c r="E4035" s="94"/>
      <c r="F4035" s="94"/>
      <c r="G4035" s="94"/>
      <c r="H4035" s="95"/>
      <c r="J4035" s="24" t="str">
        <f t="shared" ref="J4035" si="7093">CONCATENATE(K4033,2)</f>
        <v>82</v>
      </c>
      <c r="K4035" s="6" t="e">
        <v>#VALUE!</v>
      </c>
      <c r="L4035" s="6" t="e">
        <v>#VALUE!</v>
      </c>
      <c r="M4035" s="6" t="e">
        <v>#VALUE!</v>
      </c>
      <c r="N4035" s="6" t="e">
        <v>#VALUE!</v>
      </c>
      <c r="O4035" s="6" t="e">
        <v>#VALUE!</v>
      </c>
      <c r="P4035" s="6" t="e">
        <v>#VALUE!</v>
      </c>
      <c r="Q4035" s="6" t="e">
        <v>#VALUE!</v>
      </c>
      <c r="T4035" s="9"/>
      <c r="U4035" s="1">
        <f t="shared" si="7018"/>
        <v>92</v>
      </c>
      <c r="V4035" s="1">
        <f t="shared" si="7019"/>
        <v>230</v>
      </c>
    </row>
    <row r="4036" spans="1:22" x14ac:dyDescent="0.3">
      <c r="A4036" s="1">
        <f t="shared" si="7030"/>
        <v>92231</v>
      </c>
      <c r="J4036" s="24" t="str">
        <f t="shared" ref="J4036" si="7094">CONCATENATE(K4033,3)</f>
        <v>83</v>
      </c>
      <c r="K4036" s="6" t="e">
        <v>#VALUE!</v>
      </c>
      <c r="L4036" s="6" t="e">
        <v>#VALUE!</v>
      </c>
      <c r="M4036" s="6" t="e">
        <v>#VALUE!</v>
      </c>
      <c r="N4036" s="6" t="e">
        <v>#VALUE!</v>
      </c>
      <c r="O4036" s="6" t="e">
        <v>#VALUE!</v>
      </c>
      <c r="P4036" s="6" t="e">
        <v>#VALUE!</v>
      </c>
      <c r="Q4036" s="6" t="e">
        <v>#VALUE!</v>
      </c>
      <c r="T4036" s="9"/>
      <c r="U4036" s="1">
        <f t="shared" si="7018"/>
        <v>92</v>
      </c>
      <c r="V4036" s="1">
        <f t="shared" si="7019"/>
        <v>231</v>
      </c>
    </row>
    <row r="4037" spans="1:22" ht="15" customHeight="1" x14ac:dyDescent="0.3">
      <c r="A4037" s="1">
        <f t="shared" si="7030"/>
        <v>92232</v>
      </c>
      <c r="B4037" s="10" t="s">
        <v>34</v>
      </c>
      <c r="C4037" s="10" t="s">
        <v>35</v>
      </c>
      <c r="D4037" s="10" t="s">
        <v>36</v>
      </c>
      <c r="E4037" s="74" t="s">
        <v>37</v>
      </c>
      <c r="F4037" s="75"/>
      <c r="G4037" s="76"/>
      <c r="K4037" s="1">
        <v>9</v>
      </c>
      <c r="L4037" s="1">
        <v>9</v>
      </c>
      <c r="M4037" s="1">
        <v>9</v>
      </c>
      <c r="N4037" s="1">
        <v>9</v>
      </c>
      <c r="O4037" s="1">
        <v>9</v>
      </c>
      <c r="P4037" s="1">
        <v>9</v>
      </c>
      <c r="Q4037" s="1">
        <v>9</v>
      </c>
      <c r="R4037" s="1">
        <v>9</v>
      </c>
      <c r="T4037" s="9"/>
      <c r="U4037" s="1">
        <f t="shared" si="7018"/>
        <v>92</v>
      </c>
      <c r="V4037" s="1">
        <f t="shared" si="7019"/>
        <v>232</v>
      </c>
    </row>
    <row r="4038" spans="1:22" x14ac:dyDescent="0.3">
      <c r="A4038" s="1">
        <f t="shared" si="7030"/>
        <v>92233</v>
      </c>
      <c r="B4038" s="12">
        <f t="shared" ref="B4038:B4047" si="7095">C4022-B4022</f>
        <v>0</v>
      </c>
      <c r="C4038" s="13">
        <f t="shared" ref="C4038:C4047" si="7096">H4022-G4022</f>
        <v>0</v>
      </c>
      <c r="D4038" s="10">
        <f t="shared" ref="D4038:D4047" si="7097">C4038-B4038</f>
        <v>0</v>
      </c>
      <c r="E4038" s="11" t="str">
        <f t="shared" ref="E4038" si="7098">IF(D4013="","",MAX(F4038,G4038))</f>
        <v/>
      </c>
      <c r="F4038" s="10">
        <f t="shared" ref="F4038" si="7099">ABS(MIN(D4038:D4047))</f>
        <v>0</v>
      </c>
      <c r="G4038" s="10">
        <f t="shared" ref="G4038" si="7100">ABS(MAX(D4038:D4047))</f>
        <v>0</v>
      </c>
      <c r="J4038" s="24" t="str">
        <f t="shared" ref="J4038" si="7101">CONCATENATE(K4037,1)</f>
        <v>91</v>
      </c>
      <c r="K4038" s="6" t="e">
        <f t="array" ref="K4038:R4040">LINEST(B4022:B4030,C4022:C4030^{1,2,3,4,5,6,7},TRUE,TRUE)</f>
        <v>#VALUE!</v>
      </c>
      <c r="L4038" s="6" t="e">
        <v>#VALUE!</v>
      </c>
      <c r="M4038" s="6" t="e">
        <v>#VALUE!</v>
      </c>
      <c r="N4038" s="6" t="e">
        <v>#VALUE!</v>
      </c>
      <c r="O4038" s="6" t="e">
        <v>#VALUE!</v>
      </c>
      <c r="P4038" s="6" t="e">
        <v>#VALUE!</v>
      </c>
      <c r="Q4038" s="6" t="e">
        <v>#VALUE!</v>
      </c>
      <c r="R4038" s="6" t="e">
        <v>#VALUE!</v>
      </c>
      <c r="T4038" s="9"/>
      <c r="U4038" s="1">
        <f t="shared" si="7018"/>
        <v>92</v>
      </c>
      <c r="V4038" s="1">
        <f t="shared" si="7019"/>
        <v>233</v>
      </c>
    </row>
    <row r="4039" spans="1:22" x14ac:dyDescent="0.3">
      <c r="A4039" s="1">
        <f t="shared" si="7030"/>
        <v>92234</v>
      </c>
      <c r="B4039" s="12">
        <f t="shared" si="7095"/>
        <v>0</v>
      </c>
      <c r="C4039" s="13">
        <f t="shared" si="7096"/>
        <v>0</v>
      </c>
      <c r="D4039" s="10">
        <f t="shared" si="7097"/>
        <v>0</v>
      </c>
      <c r="E4039" s="74" t="s">
        <v>38</v>
      </c>
      <c r="F4039" s="75"/>
      <c r="G4039" s="76"/>
      <c r="J4039" s="24" t="str">
        <f t="shared" ref="J4039" si="7102">CONCATENATE(K4037,2)</f>
        <v>92</v>
      </c>
      <c r="K4039" s="6" t="e">
        <v>#VALUE!</v>
      </c>
      <c r="L4039" s="6" t="e">
        <v>#VALUE!</v>
      </c>
      <c r="M4039" s="6" t="e">
        <v>#VALUE!</v>
      </c>
      <c r="N4039" s="6" t="e">
        <v>#VALUE!</v>
      </c>
      <c r="O4039" s="6" t="e">
        <v>#VALUE!</v>
      </c>
      <c r="P4039" s="6" t="e">
        <v>#VALUE!</v>
      </c>
      <c r="Q4039" s="6" t="e">
        <v>#VALUE!</v>
      </c>
      <c r="R4039" s="6" t="e">
        <v>#VALUE!</v>
      </c>
      <c r="T4039" s="9"/>
      <c r="U4039" s="1">
        <f t="shared" si="7018"/>
        <v>92</v>
      </c>
      <c r="V4039" s="1">
        <f t="shared" si="7019"/>
        <v>234</v>
      </c>
    </row>
    <row r="4040" spans="1:22" x14ac:dyDescent="0.3">
      <c r="A4040" s="1">
        <f t="shared" si="7030"/>
        <v>92235</v>
      </c>
      <c r="B4040" s="12">
        <f t="shared" si="7095"/>
        <v>0</v>
      </c>
      <c r="C4040" s="13">
        <f t="shared" si="7096"/>
        <v>0</v>
      </c>
      <c r="D4040" s="10">
        <f t="shared" si="7097"/>
        <v>0</v>
      </c>
      <c r="E4040" s="11" t="str">
        <f t="shared" ref="E4040" si="7103">IF(D4013="","",MAX(F4040,G4040))</f>
        <v/>
      </c>
      <c r="F4040" s="10">
        <f t="shared" ref="F4040" si="7104">ABS(MIN(B4038:B4047))</f>
        <v>0</v>
      </c>
      <c r="G4040" s="10">
        <f t="shared" ref="G4040" si="7105">ABS(MAX(B4038:B4047))</f>
        <v>0</v>
      </c>
      <c r="J4040" s="24" t="str">
        <f t="shared" ref="J4040" si="7106">CONCATENATE(K4037,3)</f>
        <v>93</v>
      </c>
      <c r="K4040" s="6" t="e">
        <v>#VALUE!</v>
      </c>
      <c r="L4040" s="6" t="e">
        <v>#VALUE!</v>
      </c>
      <c r="M4040" s="6" t="e">
        <v>#VALUE!</v>
      </c>
      <c r="N4040" s="6" t="e">
        <v>#VALUE!</v>
      </c>
      <c r="O4040" s="6" t="e">
        <v>#VALUE!</v>
      </c>
      <c r="P4040" s="6" t="e">
        <v>#VALUE!</v>
      </c>
      <c r="Q4040" s="6" t="e">
        <v>#VALUE!</v>
      </c>
      <c r="R4040" s="6" t="e">
        <v>#VALUE!</v>
      </c>
      <c r="T4040" s="9"/>
      <c r="U4040" s="1">
        <f t="shared" si="7018"/>
        <v>92</v>
      </c>
      <c r="V4040" s="1">
        <f t="shared" si="7019"/>
        <v>235</v>
      </c>
    </row>
    <row r="4041" spans="1:22" x14ac:dyDescent="0.3">
      <c r="A4041" s="1">
        <f t="shared" si="7030"/>
        <v>92236</v>
      </c>
      <c r="B4041" s="12">
        <f t="shared" si="7095"/>
        <v>0</v>
      </c>
      <c r="C4041" s="13">
        <f t="shared" si="7096"/>
        <v>0</v>
      </c>
      <c r="D4041" s="10">
        <f t="shared" si="7097"/>
        <v>0</v>
      </c>
      <c r="E4041" s="74" t="s">
        <v>39</v>
      </c>
      <c r="F4041" s="75"/>
      <c r="G4041" s="76"/>
      <c r="K4041" s="1">
        <v>10</v>
      </c>
      <c r="L4041" s="1">
        <v>10</v>
      </c>
      <c r="M4041" s="1">
        <v>10</v>
      </c>
      <c r="N4041" s="1">
        <v>10</v>
      </c>
      <c r="O4041" s="1">
        <v>10</v>
      </c>
      <c r="P4041" s="1">
        <v>10</v>
      </c>
      <c r="Q4041" s="1">
        <v>10</v>
      </c>
      <c r="R4041" s="1">
        <v>10</v>
      </c>
      <c r="S4041" s="1">
        <v>10</v>
      </c>
      <c r="T4041" s="9"/>
      <c r="U4041" s="1">
        <f t="shared" si="7018"/>
        <v>92</v>
      </c>
      <c r="V4041" s="1">
        <f t="shared" si="7019"/>
        <v>236</v>
      </c>
    </row>
    <row r="4042" spans="1:22" x14ac:dyDescent="0.3">
      <c r="A4042" s="1">
        <f t="shared" si="7030"/>
        <v>92237</v>
      </c>
      <c r="B4042" s="12">
        <f t="shared" si="7095"/>
        <v>0</v>
      </c>
      <c r="C4042" s="13">
        <f t="shared" si="7096"/>
        <v>0</v>
      </c>
      <c r="D4042" s="10">
        <f t="shared" si="7097"/>
        <v>0</v>
      </c>
      <c r="E4042" s="11" t="str">
        <f t="shared" ref="E4042" si="7107">IF(D4013="","",MAX(F4042,G4042))</f>
        <v/>
      </c>
      <c r="F4042" s="10">
        <f t="shared" ref="F4042" si="7108">ABS(MIN(D4022:D4031))</f>
        <v>0</v>
      </c>
      <c r="G4042" s="10">
        <f t="shared" ref="G4042" si="7109">ABS(MAX(D4022:D4031))</f>
        <v>0</v>
      </c>
      <c r="J4042" s="24" t="str">
        <f t="shared" ref="J4042" si="7110">CONCATENATE(K4041,1)</f>
        <v>101</v>
      </c>
      <c r="K4042" s="6" t="e">
        <f t="array" ref="K4042:S4044">LINEST(B4022:B4031,C4022:C4031^{1,2,3,4,5,6,7,8},TRUE,TRUE)</f>
        <v>#VALUE!</v>
      </c>
      <c r="L4042" s="6" t="e">
        <v>#VALUE!</v>
      </c>
      <c r="M4042" s="6" t="e">
        <v>#VALUE!</v>
      </c>
      <c r="N4042" s="6" t="e">
        <v>#VALUE!</v>
      </c>
      <c r="O4042" s="6" t="e">
        <v>#VALUE!</v>
      </c>
      <c r="P4042" s="6" t="e">
        <v>#VALUE!</v>
      </c>
      <c r="Q4042" s="6" t="e">
        <v>#VALUE!</v>
      </c>
      <c r="R4042" s="6" t="e">
        <v>#VALUE!</v>
      </c>
      <c r="S4042" s="6" t="e">
        <v>#VALUE!</v>
      </c>
      <c r="T4042" s="9"/>
      <c r="U4042" s="1">
        <f t="shared" si="7018"/>
        <v>92</v>
      </c>
      <c r="V4042" s="1">
        <f t="shared" si="7019"/>
        <v>237</v>
      </c>
    </row>
    <row r="4043" spans="1:22" x14ac:dyDescent="0.3">
      <c r="A4043" s="1">
        <f t="shared" si="7030"/>
        <v>92238</v>
      </c>
      <c r="B4043" s="12">
        <f t="shared" si="7095"/>
        <v>0</v>
      </c>
      <c r="C4043" s="13">
        <f t="shared" si="7096"/>
        <v>0</v>
      </c>
      <c r="D4043" s="10">
        <f t="shared" si="7097"/>
        <v>0</v>
      </c>
      <c r="J4043" s="24" t="str">
        <f t="shared" ref="J4043" si="7111">CONCATENATE(K4041,2)</f>
        <v>102</v>
      </c>
      <c r="K4043" s="6" t="e">
        <v>#VALUE!</v>
      </c>
      <c r="L4043" s="6" t="e">
        <v>#VALUE!</v>
      </c>
      <c r="M4043" s="6" t="e">
        <v>#VALUE!</v>
      </c>
      <c r="N4043" s="6" t="e">
        <v>#VALUE!</v>
      </c>
      <c r="O4043" s="6" t="e">
        <v>#VALUE!</v>
      </c>
      <c r="P4043" s="6" t="e">
        <v>#VALUE!</v>
      </c>
      <c r="Q4043" s="6" t="e">
        <v>#VALUE!</v>
      </c>
      <c r="R4043" s="6" t="e">
        <v>#VALUE!</v>
      </c>
      <c r="S4043" s="6" t="e">
        <v>#VALUE!</v>
      </c>
      <c r="T4043" s="9"/>
      <c r="U4043" s="1">
        <f t="shared" si="7018"/>
        <v>92</v>
      </c>
      <c r="V4043" s="1">
        <f t="shared" si="7019"/>
        <v>238</v>
      </c>
    </row>
    <row r="4044" spans="1:22" x14ac:dyDescent="0.3">
      <c r="A4044" s="1">
        <f t="shared" si="7030"/>
        <v>92239</v>
      </c>
      <c r="B4044" s="12">
        <f t="shared" si="7095"/>
        <v>0</v>
      </c>
      <c r="C4044" s="13">
        <f t="shared" si="7096"/>
        <v>0</v>
      </c>
      <c r="D4044" s="10">
        <f t="shared" si="7097"/>
        <v>0</v>
      </c>
      <c r="J4044" s="24" t="str">
        <f t="shared" ref="J4044" si="7112">CONCATENATE(K4041,3)</f>
        <v>103</v>
      </c>
      <c r="K4044" s="6" t="e">
        <v>#VALUE!</v>
      </c>
      <c r="L4044" s="6" t="e">
        <v>#VALUE!</v>
      </c>
      <c r="M4044" s="6" t="e">
        <v>#VALUE!</v>
      </c>
      <c r="N4044" s="6" t="e">
        <v>#VALUE!</v>
      </c>
      <c r="O4044" s="6" t="e">
        <v>#VALUE!</v>
      </c>
      <c r="P4044" s="6" t="e">
        <v>#VALUE!</v>
      </c>
      <c r="Q4044" s="6" t="e">
        <v>#VALUE!</v>
      </c>
      <c r="R4044" s="6" t="e">
        <v>#VALUE!</v>
      </c>
      <c r="S4044" s="6" t="e">
        <v>#VALUE!</v>
      </c>
      <c r="T4044" s="9"/>
      <c r="U4044" s="1">
        <f t="shared" si="7018"/>
        <v>92</v>
      </c>
      <c r="V4044" s="1">
        <f t="shared" si="7019"/>
        <v>239</v>
      </c>
    </row>
    <row r="4045" spans="1:22" x14ac:dyDescent="0.3">
      <c r="A4045" s="1">
        <f t="shared" si="7030"/>
        <v>92240</v>
      </c>
      <c r="B4045" s="12">
        <f t="shared" si="7095"/>
        <v>0</v>
      </c>
      <c r="C4045" s="13">
        <f t="shared" si="7096"/>
        <v>0</v>
      </c>
      <c r="D4045" s="10">
        <f t="shared" si="7097"/>
        <v>0</v>
      </c>
      <c r="J4045" s="9"/>
      <c r="K4045" s="9"/>
      <c r="L4045" s="9"/>
      <c r="M4045" s="9"/>
      <c r="N4045" s="9"/>
      <c r="O4045" s="9"/>
      <c r="P4045" s="9"/>
      <c r="Q4045" s="9"/>
      <c r="R4045" s="9"/>
      <c r="S4045" s="9"/>
      <c r="T4045" s="9"/>
      <c r="U4045" s="1">
        <f t="shared" si="7018"/>
        <v>92</v>
      </c>
      <c r="V4045" s="1">
        <f t="shared" si="7019"/>
        <v>240</v>
      </c>
    </row>
    <row r="4046" spans="1:22" x14ac:dyDescent="0.3">
      <c r="A4046" s="1">
        <f t="shared" si="7030"/>
        <v>92241</v>
      </c>
      <c r="B4046" s="12">
        <f t="shared" si="7095"/>
        <v>0</v>
      </c>
      <c r="C4046" s="13">
        <f t="shared" si="7096"/>
        <v>0</v>
      </c>
      <c r="D4046" s="10">
        <f t="shared" si="7097"/>
        <v>0</v>
      </c>
      <c r="J4046" s="9"/>
      <c r="K4046" s="9"/>
      <c r="L4046" s="9"/>
      <c r="M4046" s="9"/>
      <c r="N4046" s="9"/>
      <c r="O4046" s="9"/>
      <c r="P4046" s="9"/>
      <c r="Q4046" s="9"/>
      <c r="R4046" s="9"/>
      <c r="S4046" s="9"/>
      <c r="T4046" s="9"/>
      <c r="U4046" s="1">
        <f t="shared" si="7018"/>
        <v>92</v>
      </c>
      <c r="V4046" s="1">
        <f t="shared" si="7019"/>
        <v>241</v>
      </c>
    </row>
    <row r="4047" spans="1:22" x14ac:dyDescent="0.3">
      <c r="A4047" s="1">
        <f t="shared" si="7030"/>
        <v>92242</v>
      </c>
      <c r="B4047" s="12">
        <f t="shared" si="7095"/>
        <v>0</v>
      </c>
      <c r="C4047" s="13">
        <f t="shared" si="7096"/>
        <v>0</v>
      </c>
      <c r="D4047" s="10">
        <f t="shared" si="7097"/>
        <v>0</v>
      </c>
      <c r="J4047" s="9"/>
      <c r="K4047" s="9"/>
      <c r="L4047" s="9"/>
      <c r="M4047" s="9"/>
      <c r="N4047" s="9"/>
      <c r="O4047" s="9"/>
      <c r="P4047" s="9"/>
      <c r="Q4047" s="9"/>
      <c r="R4047" s="9"/>
      <c r="S4047" s="9"/>
      <c r="T4047" s="9"/>
      <c r="U4047" s="1">
        <f t="shared" si="7018"/>
        <v>92</v>
      </c>
      <c r="V4047" s="1">
        <f t="shared" si="7019"/>
        <v>242</v>
      </c>
    </row>
    <row r="4048" spans="1:22" x14ac:dyDescent="0.3">
      <c r="A4048" s="1">
        <f t="shared" si="7030"/>
        <v>92243</v>
      </c>
      <c r="J4048" s="9"/>
      <c r="K4048" s="9"/>
      <c r="L4048" s="9"/>
      <c r="M4048" s="9"/>
      <c r="N4048" s="9"/>
      <c r="O4048" s="9"/>
      <c r="P4048" s="9"/>
      <c r="Q4048" s="9"/>
      <c r="R4048" s="9"/>
      <c r="S4048" s="9"/>
      <c r="T4048" s="9"/>
      <c r="U4048" s="1">
        <f t="shared" si="7018"/>
        <v>92</v>
      </c>
      <c r="V4048" s="1">
        <f t="shared" si="7019"/>
        <v>243</v>
      </c>
    </row>
    <row r="4049" spans="1:22" s="5" customFormat="1" x14ac:dyDescent="0.3"/>
    <row r="4050" spans="1:22" x14ac:dyDescent="0.3">
      <c r="A4050" s="1">
        <f t="shared" ref="A4050:A4092" si="7113">ROUND(CONCATENATE(U4050,V4050),0)</f>
        <v>93201</v>
      </c>
      <c r="B4050" s="96" t="s">
        <v>0</v>
      </c>
      <c r="C4050" s="97"/>
      <c r="D4050" s="98"/>
      <c r="E4050" s="99"/>
      <c r="F4050" s="99"/>
      <c r="G4050" s="99"/>
      <c r="H4050" s="100"/>
      <c r="J4050" s="9"/>
      <c r="K4050" s="9"/>
      <c r="L4050" s="9"/>
      <c r="M4050" s="9"/>
      <c r="N4050" s="9"/>
      <c r="O4050" s="9"/>
      <c r="P4050" s="9"/>
      <c r="Q4050" s="9"/>
      <c r="R4050" s="9"/>
      <c r="S4050" s="9"/>
      <c r="T4050" s="9"/>
      <c r="U4050" s="1">
        <f t="shared" ref="U4050" si="7114">U4048+1</f>
        <v>93</v>
      </c>
      <c r="V4050" s="1">
        <v>201</v>
      </c>
    </row>
    <row r="4051" spans="1:22" x14ac:dyDescent="0.3">
      <c r="A4051" s="1">
        <f t="shared" si="7113"/>
        <v>93202</v>
      </c>
      <c r="B4051" s="96" t="s">
        <v>1</v>
      </c>
      <c r="C4051" s="97"/>
      <c r="D4051" s="15"/>
      <c r="E4051" s="16" t="s">
        <v>2</v>
      </c>
      <c r="F4051" s="107"/>
      <c r="G4051" s="108"/>
      <c r="H4051" s="109"/>
      <c r="J4051" s="9"/>
      <c r="K4051" s="9"/>
      <c r="L4051" s="9"/>
      <c r="M4051" s="9"/>
      <c r="N4051" s="9"/>
      <c r="O4051" s="9"/>
      <c r="P4051" s="9"/>
      <c r="Q4051" s="9"/>
      <c r="R4051" s="9"/>
      <c r="S4051" s="9"/>
      <c r="T4051" s="9"/>
      <c r="U4051" s="1">
        <f t="shared" ref="U4051" si="7115">U4050</f>
        <v>93</v>
      </c>
      <c r="V4051" s="1">
        <f t="shared" ref="V4051" si="7116">V4050+1</f>
        <v>202</v>
      </c>
    </row>
    <row r="4052" spans="1:22" x14ac:dyDescent="0.3">
      <c r="A4052" s="1">
        <f t="shared" si="7113"/>
        <v>93203</v>
      </c>
      <c r="B4052" s="96" t="s">
        <v>12</v>
      </c>
      <c r="C4052" s="97"/>
      <c r="D4052" s="98"/>
      <c r="E4052" s="99"/>
      <c r="F4052" s="99"/>
      <c r="G4052" s="99"/>
      <c r="H4052" s="100"/>
      <c r="K4052" s="1" t="s">
        <v>3</v>
      </c>
      <c r="L4052" s="1" t="s">
        <v>4</v>
      </c>
      <c r="M4052" s="1" t="s">
        <v>5</v>
      </c>
      <c r="N4052" s="1" t="s">
        <v>6</v>
      </c>
      <c r="O4052" s="1" t="s">
        <v>7</v>
      </c>
      <c r="P4052" s="1" t="s">
        <v>8</v>
      </c>
      <c r="Q4052" s="1" t="s">
        <v>9</v>
      </c>
      <c r="R4052" s="1" t="s">
        <v>10</v>
      </c>
      <c r="S4052" s="1" t="s">
        <v>11</v>
      </c>
      <c r="T4052" s="9"/>
      <c r="U4052" s="1">
        <f t="shared" si="7018"/>
        <v>93</v>
      </c>
      <c r="V4052" s="1">
        <f t="shared" si="7019"/>
        <v>203</v>
      </c>
    </row>
    <row r="4053" spans="1:22" x14ac:dyDescent="0.3">
      <c r="A4053" s="1">
        <f t="shared" si="7113"/>
        <v>93204</v>
      </c>
      <c r="B4053" s="96" t="s">
        <v>13</v>
      </c>
      <c r="C4053" s="97"/>
      <c r="D4053" s="98"/>
      <c r="E4053" s="99"/>
      <c r="F4053" s="99"/>
      <c r="G4053" s="99"/>
      <c r="H4053" s="100"/>
      <c r="J4053" s="1">
        <f t="shared" ref="J4053" si="7117">COUNTA(B4066:B4075)</f>
        <v>0</v>
      </c>
      <c r="K4053" s="1">
        <f t="shared" ref="K4053" si="7118">IF(L4053-1&lt;2,0,L4053-1)</f>
        <v>0</v>
      </c>
      <c r="L4053" s="1">
        <f t="shared" ref="L4053" si="7119">IF(M4053-1&lt;2,0,M4053-1)</f>
        <v>0</v>
      </c>
      <c r="M4053" s="1">
        <f t="shared" ref="M4053" si="7120">IF(N4053-1&lt;2,0,N4053-1)</f>
        <v>0</v>
      </c>
      <c r="N4053" s="1">
        <f t="shared" ref="N4053" si="7121">IF(O4053-1&lt;2,0,O4053-1)</f>
        <v>0</v>
      </c>
      <c r="O4053" s="1">
        <f t="shared" ref="O4053" si="7122">IF(P4053-1&lt;2,0,P4053-1)</f>
        <v>0</v>
      </c>
      <c r="P4053" s="1">
        <f t="shared" ref="P4053" si="7123">IF(Q4053-1&lt;2,0,Q4053-1)</f>
        <v>0</v>
      </c>
      <c r="Q4053" s="1">
        <f t="shared" ref="Q4053" si="7124">IF(R4053-1&lt;2,0,R4053-1)</f>
        <v>0</v>
      </c>
      <c r="R4053" s="1">
        <f t="shared" ref="R4053" si="7125">IF(S4053-1&lt;2,0,S4053-1)</f>
        <v>0</v>
      </c>
      <c r="S4053" s="1">
        <f t="shared" ref="S4053" si="7126">J4053</f>
        <v>0</v>
      </c>
      <c r="T4053" s="9"/>
      <c r="U4053" s="1">
        <f t="shared" si="7018"/>
        <v>93</v>
      </c>
      <c r="V4053" s="1">
        <f t="shared" si="7019"/>
        <v>204</v>
      </c>
    </row>
    <row r="4054" spans="1:22" x14ac:dyDescent="0.3">
      <c r="A4054" s="1">
        <f t="shared" si="7113"/>
        <v>93205</v>
      </c>
      <c r="B4054" s="96" t="s">
        <v>14</v>
      </c>
      <c r="C4054" s="97"/>
      <c r="D4054" s="98"/>
      <c r="E4054" s="99"/>
      <c r="F4054" s="99"/>
      <c r="G4054" s="99"/>
      <c r="H4054" s="100"/>
      <c r="J4054" s="24" t="str">
        <f t="shared" ref="J4054" si="7127">CONCATENATE(J4053,1)</f>
        <v>01</v>
      </c>
      <c r="K4054" s="25">
        <f t="shared" ref="K4054" si="7128">IF(K4053=0,0,VLOOKUP(J4054,J4058:S4088,K4053,FALSE))</f>
        <v>0</v>
      </c>
      <c r="L4054" s="25">
        <f t="shared" ref="L4054" si="7129">IF(L4053=0,0,VLOOKUP(J4054,J4058:S4088,L4053,FALSE))</f>
        <v>0</v>
      </c>
      <c r="M4054" s="25">
        <f t="shared" ref="M4054" si="7130">IF(M4053=0,0,VLOOKUP(J4054,J4058:S4088,M4053,FALSE))</f>
        <v>0</v>
      </c>
      <c r="N4054" s="25">
        <f t="shared" ref="N4054" si="7131">IF(N4053=0,0,VLOOKUP(J4054,J4058:S4088,N4053,FALSE))</f>
        <v>0</v>
      </c>
      <c r="O4054" s="25">
        <f t="shared" ref="O4054" si="7132">IF(O4053=0,0,VLOOKUP(J4054,J4058:S4088,O4053,FALSE))</f>
        <v>0</v>
      </c>
      <c r="P4054" s="25">
        <f t="shared" ref="P4054" si="7133">IF(P4053=0,0,VLOOKUP(J4054,J4058:S4088,P4053,FALSE))</f>
        <v>0</v>
      </c>
      <c r="Q4054" s="25">
        <f t="shared" ref="Q4054" si="7134">IF(Q4053=0,0,VLOOKUP(J4054,J4058:S4088,Q4053,FALSE))</f>
        <v>0</v>
      </c>
      <c r="R4054" s="25">
        <f t="shared" ref="R4054" si="7135">IF(R4053=0,0,VLOOKUP(J4054,J4058:S4088,R4053,FALSE))</f>
        <v>0</v>
      </c>
      <c r="S4054" s="25">
        <f t="shared" ref="S4054" si="7136">IF(S4053=0,0,VLOOKUP(J4054,J4058:S4088,S4053,FALSE))</f>
        <v>0</v>
      </c>
      <c r="T4054" s="9"/>
      <c r="U4054" s="1">
        <f t="shared" si="7018"/>
        <v>93</v>
      </c>
      <c r="V4054" s="1">
        <f t="shared" si="7019"/>
        <v>205</v>
      </c>
    </row>
    <row r="4055" spans="1:22" x14ac:dyDescent="0.3">
      <c r="A4055" s="1">
        <f t="shared" si="7113"/>
        <v>93206</v>
      </c>
      <c r="B4055" s="96" t="s">
        <v>15</v>
      </c>
      <c r="C4055" s="97"/>
      <c r="D4055" s="98"/>
      <c r="E4055" s="99"/>
      <c r="F4055" s="99"/>
      <c r="G4055" s="99"/>
      <c r="H4055" s="100"/>
      <c r="J4055" s="24" t="str">
        <f t="shared" ref="J4055" si="7137">CONCATENATE(J4053,2)</f>
        <v>02</v>
      </c>
      <c r="K4055" s="6">
        <f t="shared" ref="K4055" si="7138">IF(K4053=0,0,VLOOKUP(J4055,J4058:S4088,K4053,FALSE))</f>
        <v>0</v>
      </c>
      <c r="L4055" s="6">
        <f t="shared" ref="L4055" si="7139">IF(L4053=0,0,VLOOKUP(J4055,J4058:S4088,L4053,FALSE))</f>
        <v>0</v>
      </c>
      <c r="M4055" s="6">
        <f t="shared" ref="M4055" si="7140">IF(M4053=0,0,VLOOKUP(J4055,J4058:S4088,M4053,FALSE))</f>
        <v>0</v>
      </c>
      <c r="N4055" s="6">
        <f t="shared" ref="N4055" si="7141">IF(N4053=0,0,VLOOKUP(J4055,J4058:S4088,N4053,FALSE))</f>
        <v>0</v>
      </c>
      <c r="O4055" s="6">
        <f t="shared" ref="O4055" si="7142">IF(O4053=0,0,VLOOKUP(J4055,J4058:S4088,O4053,FALSE))</f>
        <v>0</v>
      </c>
      <c r="P4055" s="6">
        <f t="shared" ref="P4055" si="7143">IF(P4053=0,0,VLOOKUP(J4055,J4058:S4088,P4053,FALSE))</f>
        <v>0</v>
      </c>
      <c r="Q4055" s="6">
        <f t="shared" ref="Q4055" si="7144">IF(Q4053=0,0,VLOOKUP(J4055,J4058:S4088,Q4053,FALSE))</f>
        <v>0</v>
      </c>
      <c r="R4055" s="6">
        <f t="shared" ref="R4055" si="7145">IF(R4053=0,0,VLOOKUP(J4055,J4058:S4088,R4053,FALSE))</f>
        <v>0</v>
      </c>
      <c r="S4055" s="6">
        <f t="shared" ref="S4055" si="7146">IF(S4053=0,0,VLOOKUP(J4055,J4058:S4088,S4053,FALSE))</f>
        <v>0</v>
      </c>
      <c r="T4055" s="9"/>
      <c r="U4055" s="1">
        <f t="shared" si="7018"/>
        <v>93</v>
      </c>
      <c r="V4055" s="1">
        <f t="shared" si="7019"/>
        <v>206</v>
      </c>
    </row>
    <row r="4056" spans="1:22" x14ac:dyDescent="0.3">
      <c r="A4056" s="1">
        <f t="shared" si="7113"/>
        <v>93207</v>
      </c>
      <c r="B4056" s="96" t="s">
        <v>16</v>
      </c>
      <c r="C4056" s="97"/>
      <c r="D4056" s="101"/>
      <c r="E4056" s="102"/>
      <c r="F4056" s="102"/>
      <c r="G4056" s="102"/>
      <c r="H4056" s="103"/>
      <c r="J4056" s="24" t="str">
        <f t="shared" ref="J4056" si="7147">CONCATENATE(J4053,3)</f>
        <v>03</v>
      </c>
      <c r="K4056" s="6"/>
      <c r="L4056" s="6"/>
      <c r="M4056" s="6"/>
      <c r="N4056" s="6" t="s">
        <v>43</v>
      </c>
      <c r="O4056" s="25">
        <f t="shared" ref="O4056" si="7148">J4053-2</f>
        <v>-2</v>
      </c>
      <c r="P4056" s="6" t="s">
        <v>44</v>
      </c>
      <c r="Q4056" s="25" t="e">
        <f t="shared" ref="Q4056" si="7149">VLOOKUP(J4056,J4058:S4088,3,FALSE)</f>
        <v>#N/A</v>
      </c>
      <c r="R4056" s="6" t="s">
        <v>45</v>
      </c>
      <c r="S4056" s="6" t="e">
        <f t="shared" ref="S4056" si="7150">VLOOKUP(J4056,J4058:S4088,2,FALSE)</f>
        <v>#N/A</v>
      </c>
      <c r="T4056" s="9"/>
      <c r="U4056" s="1">
        <f t="shared" si="7018"/>
        <v>93</v>
      </c>
      <c r="V4056" s="1">
        <f t="shared" si="7019"/>
        <v>207</v>
      </c>
    </row>
    <row r="4057" spans="1:22" x14ac:dyDescent="0.3">
      <c r="A4057" s="1">
        <f t="shared" si="7113"/>
        <v>93208</v>
      </c>
      <c r="B4057" s="96" t="s">
        <v>17</v>
      </c>
      <c r="C4057" s="97"/>
      <c r="D4057" s="104"/>
      <c r="E4057" s="105"/>
      <c r="F4057" s="105"/>
      <c r="G4057" s="105"/>
      <c r="H4057" s="106"/>
      <c r="K4057" s="1">
        <v>3</v>
      </c>
      <c r="L4057" s="1">
        <v>3</v>
      </c>
      <c r="Q4057" s="26"/>
      <c r="R4057" s="26"/>
      <c r="S4057" s="26"/>
      <c r="T4057" s="9"/>
      <c r="U4057" s="1">
        <f t="shared" si="7018"/>
        <v>93</v>
      </c>
      <c r="V4057" s="1">
        <f t="shared" si="7019"/>
        <v>208</v>
      </c>
    </row>
    <row r="4058" spans="1:22" x14ac:dyDescent="0.3">
      <c r="A4058" s="1">
        <f t="shared" si="7113"/>
        <v>93209</v>
      </c>
      <c r="B4058" s="77" t="s">
        <v>19</v>
      </c>
      <c r="C4058" s="78"/>
      <c r="D4058" s="17"/>
      <c r="E4058" s="79" t="s">
        <v>40</v>
      </c>
      <c r="F4058" s="80"/>
      <c r="G4058" s="81"/>
      <c r="H4058" s="18" t="s">
        <v>72</v>
      </c>
      <c r="J4058" s="24" t="str">
        <f t="shared" ref="J4058" si="7151">CONCATENATE(K4057,1)</f>
        <v>31</v>
      </c>
      <c r="K4058" s="6" t="e">
        <f t="array" ref="K4058:L4060">LINEST(B4066:B4068,C4066:C4068^{1},TRUE,TRUE)</f>
        <v>#VALUE!</v>
      </c>
      <c r="L4058" s="6" t="e">
        <v>#VALUE!</v>
      </c>
      <c r="Q4058" s="9"/>
      <c r="R4058" s="9"/>
      <c r="S4058" s="9"/>
      <c r="T4058" s="9"/>
      <c r="U4058" s="1">
        <f t="shared" si="7018"/>
        <v>93</v>
      </c>
      <c r="V4058" s="1">
        <f t="shared" si="7019"/>
        <v>209</v>
      </c>
    </row>
    <row r="4059" spans="1:22" x14ac:dyDescent="0.3">
      <c r="A4059" s="1">
        <f t="shared" si="7113"/>
        <v>93210</v>
      </c>
      <c r="B4059" s="77" t="s">
        <v>41</v>
      </c>
      <c r="C4059" s="78"/>
      <c r="D4059" s="23">
        <f t="shared" ref="D4059" si="7152">MIN(B4066:B4075)</f>
        <v>0</v>
      </c>
      <c r="E4059" s="20" t="s">
        <v>18</v>
      </c>
      <c r="F4059" s="19">
        <f t="shared" ref="F4059" si="7153">MAX(B4066:B4075)</f>
        <v>0</v>
      </c>
      <c r="G4059" s="21" t="str">
        <f t="shared" ref="G4059" si="7154">IF(H4058="","",H4058)</f>
        <v>%ur</v>
      </c>
      <c r="H4059" s="22"/>
      <c r="J4059" s="24" t="str">
        <f t="shared" ref="J4059" si="7155">CONCATENATE(K4057,2)</f>
        <v>32</v>
      </c>
      <c r="K4059" s="6" t="e">
        <v>#VALUE!</v>
      </c>
      <c r="L4059" s="6" t="e">
        <v>#VALUE!</v>
      </c>
      <c r="Q4059" s="9"/>
      <c r="R4059" s="9"/>
      <c r="S4059" s="9"/>
      <c r="T4059" s="9"/>
      <c r="U4059" s="1">
        <f t="shared" ref="U4059:U4122" si="7156">U4058</f>
        <v>93</v>
      </c>
      <c r="V4059" s="1">
        <f t="shared" ref="V4059:V4122" si="7157">V4058+1</f>
        <v>210</v>
      </c>
    </row>
    <row r="4060" spans="1:22" x14ac:dyDescent="0.3">
      <c r="A4060" s="1">
        <f t="shared" si="7113"/>
        <v>93211</v>
      </c>
      <c r="J4060" s="24" t="str">
        <f t="shared" ref="J4060" si="7158">CONCATENATE(K4057,3)</f>
        <v>33</v>
      </c>
      <c r="K4060" s="6" t="e">
        <v>#VALUE!</v>
      </c>
      <c r="L4060" s="6" t="e">
        <v>#VALUE!</v>
      </c>
      <c r="Q4060" s="9"/>
      <c r="R4060" s="9"/>
      <c r="S4060" s="9"/>
      <c r="T4060" s="9"/>
      <c r="U4060" s="1">
        <f t="shared" si="7156"/>
        <v>93</v>
      </c>
      <c r="V4060" s="1">
        <f t="shared" si="7157"/>
        <v>211</v>
      </c>
    </row>
    <row r="4061" spans="1:22" x14ac:dyDescent="0.3">
      <c r="A4061" s="1">
        <f t="shared" si="7113"/>
        <v>93212</v>
      </c>
      <c r="B4061" s="82" t="s">
        <v>20</v>
      </c>
      <c r="C4061" s="83"/>
      <c r="D4061" s="83"/>
      <c r="E4061" s="83"/>
      <c r="F4061" s="84"/>
      <c r="G4061" s="85" t="s">
        <v>31</v>
      </c>
      <c r="H4061" s="86"/>
      <c r="K4061" s="1">
        <v>4</v>
      </c>
      <c r="L4061" s="1">
        <v>4</v>
      </c>
      <c r="M4061" s="1">
        <v>4</v>
      </c>
      <c r="Q4061" s="9"/>
      <c r="R4061" s="9"/>
      <c r="S4061" s="9"/>
      <c r="T4061" s="9"/>
      <c r="U4061" s="1">
        <f t="shared" si="7156"/>
        <v>93</v>
      </c>
      <c r="V4061" s="1">
        <f t="shared" si="7157"/>
        <v>212</v>
      </c>
    </row>
    <row r="4062" spans="1:22" x14ac:dyDescent="0.3">
      <c r="A4062" s="1">
        <f t="shared" si="7113"/>
        <v>93213</v>
      </c>
      <c r="B4062" s="82" t="s">
        <v>30</v>
      </c>
      <c r="C4062" s="83"/>
      <c r="D4062" s="84"/>
      <c r="E4062" s="82">
        <f t="shared" ref="E4062" si="7159">D4055</f>
        <v>0</v>
      </c>
      <c r="F4062" s="84"/>
      <c r="G4062" s="6" t="s">
        <v>32</v>
      </c>
      <c r="H4062" s="7"/>
      <c r="J4062" s="24" t="str">
        <f t="shared" ref="J4062" si="7160">CONCATENATE(K4061,1)</f>
        <v>41</v>
      </c>
      <c r="K4062" s="6" t="e">
        <f t="array" ref="K4062:M4064">LINEST(B4066:B4069,C4066:C4069^{1,2},TRUE,TRUE)</f>
        <v>#VALUE!</v>
      </c>
      <c r="L4062" s="6" t="e">
        <v>#VALUE!</v>
      </c>
      <c r="M4062" s="6" t="e">
        <v>#VALUE!</v>
      </c>
      <c r="Q4062" s="9"/>
      <c r="R4062" s="9"/>
      <c r="S4062" s="9"/>
      <c r="T4062" s="9"/>
      <c r="U4062" s="1">
        <f t="shared" si="7156"/>
        <v>93</v>
      </c>
      <c r="V4062" s="1">
        <f t="shared" si="7157"/>
        <v>213</v>
      </c>
    </row>
    <row r="4063" spans="1:22" x14ac:dyDescent="0.3">
      <c r="A4063" s="1">
        <f t="shared" si="7113"/>
        <v>93214</v>
      </c>
      <c r="B4063" s="2" t="s">
        <v>21</v>
      </c>
      <c r="C4063" s="2" t="s">
        <v>22</v>
      </c>
      <c r="D4063" s="2" t="s">
        <v>23</v>
      </c>
      <c r="E4063" s="2"/>
      <c r="F4063" s="2" t="s">
        <v>28</v>
      </c>
      <c r="G4063" s="2" t="s">
        <v>21</v>
      </c>
      <c r="H4063" s="2" t="s">
        <v>22</v>
      </c>
      <c r="J4063" s="24" t="str">
        <f t="shared" ref="J4063" si="7161">CONCATENATE(K4061,2)</f>
        <v>42</v>
      </c>
      <c r="K4063" s="6" t="e">
        <v>#VALUE!</v>
      </c>
      <c r="L4063" s="6" t="e">
        <v>#VALUE!</v>
      </c>
      <c r="M4063" s="6" t="e">
        <v>#VALUE!</v>
      </c>
      <c r="Q4063" s="9"/>
      <c r="R4063" s="9"/>
      <c r="S4063" s="9"/>
      <c r="T4063" s="9"/>
      <c r="U4063" s="1">
        <f t="shared" si="7156"/>
        <v>93</v>
      </c>
      <c r="V4063" s="1">
        <f t="shared" si="7157"/>
        <v>214</v>
      </c>
    </row>
    <row r="4064" spans="1:22" x14ac:dyDescent="0.3">
      <c r="A4064" s="1">
        <f t="shared" si="7113"/>
        <v>93215</v>
      </c>
      <c r="B4064" s="2" t="s">
        <v>24</v>
      </c>
      <c r="C4064" s="2" t="s">
        <v>25</v>
      </c>
      <c r="D4064" s="2" t="s">
        <v>26</v>
      </c>
      <c r="E4064" s="2" t="s">
        <v>27</v>
      </c>
      <c r="F4064" s="2" t="s">
        <v>29</v>
      </c>
      <c r="G4064" s="2" t="s">
        <v>24</v>
      </c>
      <c r="H4064" s="2" t="s">
        <v>25</v>
      </c>
      <c r="J4064" s="24" t="str">
        <f t="shared" ref="J4064" si="7162">CONCATENATE(K4061,3)</f>
        <v>43</v>
      </c>
      <c r="K4064" s="6" t="e">
        <v>#VALUE!</v>
      </c>
      <c r="L4064" s="6" t="e">
        <v>#VALUE!</v>
      </c>
      <c r="M4064" s="6" t="e">
        <v>#VALUE!</v>
      </c>
      <c r="Q4064" s="9"/>
      <c r="R4064" s="9"/>
      <c r="S4064" s="9"/>
      <c r="T4064" s="9"/>
      <c r="U4064" s="1">
        <f t="shared" si="7156"/>
        <v>93</v>
      </c>
      <c r="V4064" s="1">
        <f t="shared" si="7157"/>
        <v>215</v>
      </c>
    </row>
    <row r="4065" spans="1:22" x14ac:dyDescent="0.3">
      <c r="A4065" s="1">
        <f t="shared" si="7113"/>
        <v>93216</v>
      </c>
      <c r="B4065" s="3" t="str">
        <f t="shared" ref="B4065" si="7163">H4058</f>
        <v>%ur</v>
      </c>
      <c r="C4065" s="3" t="str">
        <f t="shared" ref="C4065:D4065" si="7164">B4065</f>
        <v>%ur</v>
      </c>
      <c r="D4065" s="3" t="str">
        <f t="shared" si="7164"/>
        <v>%ur</v>
      </c>
      <c r="E4065" s="3"/>
      <c r="F4065" s="3"/>
      <c r="G4065" s="3" t="str">
        <f t="shared" ref="G4065" si="7165">D4065</f>
        <v>%ur</v>
      </c>
      <c r="H4065" s="3" t="str">
        <f t="shared" ref="H4065" si="7166">G4065</f>
        <v>%ur</v>
      </c>
      <c r="K4065" s="1">
        <v>5</v>
      </c>
      <c r="L4065" s="1">
        <v>5</v>
      </c>
      <c r="M4065" s="1">
        <v>5</v>
      </c>
      <c r="N4065" s="1">
        <v>5</v>
      </c>
      <c r="Q4065" s="9"/>
      <c r="R4065" s="9"/>
      <c r="S4065" s="9"/>
      <c r="T4065" s="9"/>
      <c r="U4065" s="1">
        <f t="shared" si="7156"/>
        <v>93</v>
      </c>
      <c r="V4065" s="1">
        <f t="shared" si="7157"/>
        <v>216</v>
      </c>
    </row>
    <row r="4066" spans="1:22" x14ac:dyDescent="0.3">
      <c r="A4066" s="1">
        <f t="shared" si="7113"/>
        <v>93217</v>
      </c>
      <c r="B4066" s="4"/>
      <c r="C4066" s="4"/>
      <c r="D4066" s="4"/>
      <c r="E4066" s="4"/>
      <c r="F4066" s="14"/>
      <c r="G4066" s="8"/>
      <c r="H4066" s="7"/>
      <c r="J4066" s="24" t="str">
        <f t="shared" ref="J4066" si="7167">CONCATENATE(K4065,1)</f>
        <v>51</v>
      </c>
      <c r="K4066" s="6" t="e">
        <f t="array" ref="K4066:N4068">LINEST(B4066:B4070,C4066:C4070^{1,2,3},TRUE,TRUE)</f>
        <v>#VALUE!</v>
      </c>
      <c r="L4066" s="6" t="e">
        <v>#VALUE!</v>
      </c>
      <c r="M4066" s="6" t="e">
        <v>#VALUE!</v>
      </c>
      <c r="N4066" s="6" t="e">
        <v>#VALUE!</v>
      </c>
      <c r="Q4066" s="9"/>
      <c r="R4066" s="9"/>
      <c r="S4066" s="9"/>
      <c r="T4066" s="9"/>
      <c r="U4066" s="1">
        <f t="shared" si="7156"/>
        <v>93</v>
      </c>
      <c r="V4066" s="1">
        <f t="shared" si="7157"/>
        <v>217</v>
      </c>
    </row>
    <row r="4067" spans="1:22" x14ac:dyDescent="0.3">
      <c r="A4067" s="1">
        <f t="shared" si="7113"/>
        <v>93218</v>
      </c>
      <c r="B4067" s="4"/>
      <c r="C4067" s="4"/>
      <c r="D4067" s="4"/>
      <c r="E4067" s="4"/>
      <c r="F4067" s="14"/>
      <c r="G4067" s="8"/>
      <c r="H4067" s="7"/>
      <c r="J4067" s="24" t="str">
        <f t="shared" ref="J4067" si="7168">CONCATENATE(K4065,2)</f>
        <v>52</v>
      </c>
      <c r="K4067" s="6" t="e">
        <v>#VALUE!</v>
      </c>
      <c r="L4067" s="6" t="e">
        <v>#VALUE!</v>
      </c>
      <c r="M4067" s="6" t="e">
        <v>#VALUE!</v>
      </c>
      <c r="N4067" s="6" t="e">
        <v>#VALUE!</v>
      </c>
      <c r="T4067" s="9"/>
      <c r="U4067" s="1">
        <f t="shared" si="7156"/>
        <v>93</v>
      </c>
      <c r="V4067" s="1">
        <f t="shared" si="7157"/>
        <v>218</v>
      </c>
    </row>
    <row r="4068" spans="1:22" x14ac:dyDescent="0.3">
      <c r="A4068" s="1">
        <f t="shared" si="7113"/>
        <v>93219</v>
      </c>
      <c r="B4068" s="4"/>
      <c r="C4068" s="4"/>
      <c r="D4068" s="4"/>
      <c r="E4068" s="4"/>
      <c r="F4068" s="14"/>
      <c r="G4068" s="8"/>
      <c r="H4068" s="7"/>
      <c r="J4068" s="24" t="str">
        <f t="shared" ref="J4068" si="7169">CONCATENATE(K4065,3)</f>
        <v>53</v>
      </c>
      <c r="K4068" s="6" t="e">
        <v>#VALUE!</v>
      </c>
      <c r="L4068" s="6" t="e">
        <v>#VALUE!</v>
      </c>
      <c r="M4068" s="6" t="e">
        <v>#VALUE!</v>
      </c>
      <c r="N4068" s="6" t="e">
        <v>#VALUE!</v>
      </c>
      <c r="T4068" s="9"/>
      <c r="U4068" s="1">
        <f t="shared" si="7156"/>
        <v>93</v>
      </c>
      <c r="V4068" s="1">
        <f t="shared" si="7157"/>
        <v>219</v>
      </c>
    </row>
    <row r="4069" spans="1:22" x14ac:dyDescent="0.3">
      <c r="A4069" s="1">
        <f t="shared" si="7113"/>
        <v>93220</v>
      </c>
      <c r="B4069" s="4"/>
      <c r="C4069" s="4"/>
      <c r="D4069" s="4"/>
      <c r="E4069" s="4"/>
      <c r="F4069" s="14"/>
      <c r="G4069" s="8"/>
      <c r="H4069" s="7"/>
      <c r="K4069" s="1">
        <v>6</v>
      </c>
      <c r="L4069" s="1">
        <v>6</v>
      </c>
      <c r="M4069" s="1">
        <v>6</v>
      </c>
      <c r="N4069" s="1">
        <v>6</v>
      </c>
      <c r="O4069" s="1">
        <v>6</v>
      </c>
      <c r="T4069" s="9"/>
      <c r="U4069" s="1">
        <f t="shared" si="7156"/>
        <v>93</v>
      </c>
      <c r="V4069" s="1">
        <f t="shared" si="7157"/>
        <v>220</v>
      </c>
    </row>
    <row r="4070" spans="1:22" x14ac:dyDescent="0.3">
      <c r="A4070" s="1">
        <f t="shared" si="7113"/>
        <v>93221</v>
      </c>
      <c r="B4070" s="4"/>
      <c r="C4070" s="4"/>
      <c r="D4070" s="4"/>
      <c r="E4070" s="4"/>
      <c r="F4070" s="14"/>
      <c r="G4070" s="8"/>
      <c r="H4070" s="7"/>
      <c r="J4070" s="24" t="str">
        <f t="shared" ref="J4070" si="7170">CONCATENATE(K4069,1)</f>
        <v>61</v>
      </c>
      <c r="K4070" s="6" t="e">
        <f t="array" ref="K4070:O4072">LINEST(B4066:B4071,C4066:C4071^{1,2,3,4},TRUE,TRUE)</f>
        <v>#VALUE!</v>
      </c>
      <c r="L4070" s="6" t="e">
        <v>#VALUE!</v>
      </c>
      <c r="M4070" s="6" t="e">
        <v>#VALUE!</v>
      </c>
      <c r="N4070" s="6" t="e">
        <v>#VALUE!</v>
      </c>
      <c r="O4070" s="6" t="e">
        <v>#VALUE!</v>
      </c>
      <c r="T4070" s="9"/>
      <c r="U4070" s="1">
        <f t="shared" si="7156"/>
        <v>93</v>
      </c>
      <c r="V4070" s="1">
        <f t="shared" si="7157"/>
        <v>221</v>
      </c>
    </row>
    <row r="4071" spans="1:22" x14ac:dyDescent="0.3">
      <c r="A4071" s="1">
        <f t="shared" si="7113"/>
        <v>93222</v>
      </c>
      <c r="B4071" s="4"/>
      <c r="C4071" s="4"/>
      <c r="D4071" s="4"/>
      <c r="E4071" s="4"/>
      <c r="F4071" s="14"/>
      <c r="G4071" s="8"/>
      <c r="H4071" s="7"/>
      <c r="J4071" s="24" t="str">
        <f t="shared" ref="J4071" si="7171">CONCATENATE(K4069,2)</f>
        <v>62</v>
      </c>
      <c r="K4071" s="6" t="e">
        <v>#VALUE!</v>
      </c>
      <c r="L4071" s="6" t="e">
        <v>#VALUE!</v>
      </c>
      <c r="M4071" s="6" t="e">
        <v>#VALUE!</v>
      </c>
      <c r="N4071" s="6" t="e">
        <v>#VALUE!</v>
      </c>
      <c r="O4071" s="6" t="e">
        <v>#VALUE!</v>
      </c>
      <c r="T4071" s="9"/>
      <c r="U4071" s="1">
        <f t="shared" si="7156"/>
        <v>93</v>
      </c>
      <c r="V4071" s="1">
        <f t="shared" si="7157"/>
        <v>222</v>
      </c>
    </row>
    <row r="4072" spans="1:22" x14ac:dyDescent="0.3">
      <c r="A4072" s="1">
        <f t="shared" si="7113"/>
        <v>93223</v>
      </c>
      <c r="B4072" s="4"/>
      <c r="C4072" s="4"/>
      <c r="D4072" s="4"/>
      <c r="E4072" s="4"/>
      <c r="F4072" s="14"/>
      <c r="G4072" s="8"/>
      <c r="H4072" s="7"/>
      <c r="J4072" s="24" t="str">
        <f t="shared" ref="J4072" si="7172">CONCATENATE(K4069,3)</f>
        <v>63</v>
      </c>
      <c r="K4072" s="6" t="e">
        <v>#VALUE!</v>
      </c>
      <c r="L4072" s="6" t="e">
        <v>#VALUE!</v>
      </c>
      <c r="M4072" s="6" t="e">
        <v>#VALUE!</v>
      </c>
      <c r="N4072" s="6" t="e">
        <v>#VALUE!</v>
      </c>
      <c r="O4072" s="6" t="e">
        <v>#VALUE!</v>
      </c>
      <c r="T4072" s="9"/>
      <c r="U4072" s="1">
        <f t="shared" si="7156"/>
        <v>93</v>
      </c>
      <c r="V4072" s="1">
        <f t="shared" si="7157"/>
        <v>223</v>
      </c>
    </row>
    <row r="4073" spans="1:22" x14ac:dyDescent="0.3">
      <c r="A4073" s="1">
        <f t="shared" si="7113"/>
        <v>93224</v>
      </c>
      <c r="B4073" s="4"/>
      <c r="C4073" s="4"/>
      <c r="D4073" s="4"/>
      <c r="E4073" s="4"/>
      <c r="F4073" s="14"/>
      <c r="G4073" s="8"/>
      <c r="H4073" s="7"/>
      <c r="K4073" s="1">
        <v>7</v>
      </c>
      <c r="L4073" s="1">
        <v>7</v>
      </c>
      <c r="M4073" s="1">
        <v>7</v>
      </c>
      <c r="N4073" s="1">
        <v>7</v>
      </c>
      <c r="O4073" s="1">
        <v>7</v>
      </c>
      <c r="P4073" s="1">
        <v>7</v>
      </c>
      <c r="T4073" s="9"/>
      <c r="U4073" s="1">
        <f t="shared" si="7156"/>
        <v>93</v>
      </c>
      <c r="V4073" s="1">
        <f t="shared" si="7157"/>
        <v>224</v>
      </c>
    </row>
    <row r="4074" spans="1:22" x14ac:dyDescent="0.3">
      <c r="A4074" s="1">
        <f t="shared" si="7113"/>
        <v>93225</v>
      </c>
      <c r="B4074" s="4"/>
      <c r="C4074" s="4"/>
      <c r="D4074" s="4"/>
      <c r="E4074" s="4"/>
      <c r="F4074" s="14"/>
      <c r="G4074" s="8"/>
      <c r="H4074" s="7"/>
      <c r="J4074" s="24" t="str">
        <f t="shared" ref="J4074" si="7173">CONCATENATE(K4073,1)</f>
        <v>71</v>
      </c>
      <c r="K4074" s="6" t="e">
        <f t="array" ref="K4074:P4076">LINEST(B4066:B4072,C4066:C4072^{1,2,3,4,5},TRUE,TRUE)</f>
        <v>#VALUE!</v>
      </c>
      <c r="L4074" s="6" t="e">
        <v>#VALUE!</v>
      </c>
      <c r="M4074" s="6" t="e">
        <v>#VALUE!</v>
      </c>
      <c r="N4074" s="6" t="e">
        <v>#VALUE!</v>
      </c>
      <c r="O4074" s="6" t="e">
        <v>#VALUE!</v>
      </c>
      <c r="P4074" s="6" t="e">
        <v>#VALUE!</v>
      </c>
      <c r="T4074" s="9"/>
      <c r="U4074" s="1">
        <f t="shared" si="7156"/>
        <v>93</v>
      </c>
      <c r="V4074" s="1">
        <f t="shared" si="7157"/>
        <v>225</v>
      </c>
    </row>
    <row r="4075" spans="1:22" x14ac:dyDescent="0.3">
      <c r="A4075" s="1">
        <f t="shared" si="7113"/>
        <v>93226</v>
      </c>
      <c r="B4075" s="4"/>
      <c r="C4075" s="4"/>
      <c r="D4075" s="4"/>
      <c r="E4075" s="4"/>
      <c r="F4075" s="14"/>
      <c r="G4075" s="8"/>
      <c r="H4075" s="7"/>
      <c r="J4075" s="24" t="str">
        <f t="shared" ref="J4075" si="7174">CONCATENATE(K4073,2)</f>
        <v>72</v>
      </c>
      <c r="K4075" s="6" t="e">
        <v>#VALUE!</v>
      </c>
      <c r="L4075" s="6" t="e">
        <v>#VALUE!</v>
      </c>
      <c r="M4075" s="6" t="e">
        <v>#VALUE!</v>
      </c>
      <c r="N4075" s="6" t="e">
        <v>#VALUE!</v>
      </c>
      <c r="O4075" s="6" t="e">
        <v>#VALUE!</v>
      </c>
      <c r="P4075" s="6" t="e">
        <v>#VALUE!</v>
      </c>
      <c r="T4075" s="9"/>
      <c r="U4075" s="1">
        <f t="shared" si="7156"/>
        <v>93</v>
      </c>
      <c r="V4075" s="1">
        <f t="shared" si="7157"/>
        <v>226</v>
      </c>
    </row>
    <row r="4076" spans="1:22" x14ac:dyDescent="0.3">
      <c r="A4076" s="1">
        <f t="shared" si="7113"/>
        <v>93227</v>
      </c>
      <c r="B4076" s="9"/>
      <c r="C4076" s="9"/>
      <c r="D4076" s="9"/>
      <c r="E4076" s="9"/>
      <c r="F4076" s="9"/>
      <c r="G4076" s="9"/>
      <c r="H4076" s="9"/>
      <c r="J4076" s="24" t="str">
        <f t="shared" ref="J4076" si="7175">CONCATENATE(K4073,3)</f>
        <v>73</v>
      </c>
      <c r="K4076" s="6" t="e">
        <v>#VALUE!</v>
      </c>
      <c r="L4076" s="6" t="e">
        <v>#VALUE!</v>
      </c>
      <c r="M4076" s="6" t="e">
        <v>#VALUE!</v>
      </c>
      <c r="N4076" s="6" t="e">
        <v>#VALUE!</v>
      </c>
      <c r="O4076" s="6" t="e">
        <v>#VALUE!</v>
      </c>
      <c r="P4076" s="6" t="e">
        <v>#VALUE!</v>
      </c>
      <c r="T4076" s="9"/>
      <c r="U4076" s="1">
        <f t="shared" si="7156"/>
        <v>93</v>
      </c>
      <c r="V4076" s="1">
        <f t="shared" si="7157"/>
        <v>227</v>
      </c>
    </row>
    <row r="4077" spans="1:22" x14ac:dyDescent="0.3">
      <c r="A4077" s="1">
        <f t="shared" si="7113"/>
        <v>93228</v>
      </c>
      <c r="B4077" s="87" t="s">
        <v>33</v>
      </c>
      <c r="C4077" s="88"/>
      <c r="D4077" s="88"/>
      <c r="E4077" s="88"/>
      <c r="F4077" s="88"/>
      <c r="G4077" s="88"/>
      <c r="H4077" s="89"/>
      <c r="K4077" s="1">
        <v>8</v>
      </c>
      <c r="L4077" s="1">
        <v>8</v>
      </c>
      <c r="M4077" s="1">
        <v>8</v>
      </c>
      <c r="N4077" s="1">
        <v>8</v>
      </c>
      <c r="O4077" s="1">
        <v>8</v>
      </c>
      <c r="P4077" s="1">
        <v>8</v>
      </c>
      <c r="Q4077" s="1">
        <v>8</v>
      </c>
      <c r="T4077" s="9"/>
      <c r="U4077" s="1">
        <f t="shared" si="7156"/>
        <v>93</v>
      </c>
      <c r="V4077" s="1">
        <f t="shared" si="7157"/>
        <v>228</v>
      </c>
    </row>
    <row r="4078" spans="1:22" x14ac:dyDescent="0.3">
      <c r="A4078" s="1">
        <f t="shared" si="7113"/>
        <v>93229</v>
      </c>
      <c r="B4078" s="90"/>
      <c r="C4078" s="91"/>
      <c r="D4078" s="91"/>
      <c r="E4078" s="91"/>
      <c r="F4078" s="91"/>
      <c r="G4078" s="91"/>
      <c r="H4078" s="92"/>
      <c r="J4078" s="24" t="str">
        <f t="shared" ref="J4078" si="7176">CONCATENATE(K4077,1)</f>
        <v>81</v>
      </c>
      <c r="K4078" s="6" t="e">
        <f t="array" ref="K4078:Q4080">LINEST(B4066:B4073,C4066:C4073^{1,2,3,4,5,6},TRUE,TRUE)</f>
        <v>#VALUE!</v>
      </c>
      <c r="L4078" s="6" t="e">
        <v>#VALUE!</v>
      </c>
      <c r="M4078" s="6" t="e">
        <v>#VALUE!</v>
      </c>
      <c r="N4078" s="6" t="e">
        <v>#VALUE!</v>
      </c>
      <c r="O4078" s="6" t="e">
        <v>#VALUE!</v>
      </c>
      <c r="P4078" s="6" t="e">
        <v>#VALUE!</v>
      </c>
      <c r="Q4078" s="6" t="e">
        <v>#VALUE!</v>
      </c>
      <c r="T4078" s="9"/>
      <c r="U4078" s="1">
        <f t="shared" si="7156"/>
        <v>93</v>
      </c>
      <c r="V4078" s="1">
        <f t="shared" si="7157"/>
        <v>229</v>
      </c>
    </row>
    <row r="4079" spans="1:22" x14ac:dyDescent="0.3">
      <c r="A4079" s="1">
        <f t="shared" si="7113"/>
        <v>93230</v>
      </c>
      <c r="B4079" s="93"/>
      <c r="C4079" s="94"/>
      <c r="D4079" s="94"/>
      <c r="E4079" s="94"/>
      <c r="F4079" s="94"/>
      <c r="G4079" s="94"/>
      <c r="H4079" s="95"/>
      <c r="J4079" s="24" t="str">
        <f t="shared" ref="J4079" si="7177">CONCATENATE(K4077,2)</f>
        <v>82</v>
      </c>
      <c r="K4079" s="6" t="e">
        <v>#VALUE!</v>
      </c>
      <c r="L4079" s="6" t="e">
        <v>#VALUE!</v>
      </c>
      <c r="M4079" s="6" t="e">
        <v>#VALUE!</v>
      </c>
      <c r="N4079" s="6" t="e">
        <v>#VALUE!</v>
      </c>
      <c r="O4079" s="6" t="e">
        <v>#VALUE!</v>
      </c>
      <c r="P4079" s="6" t="e">
        <v>#VALUE!</v>
      </c>
      <c r="Q4079" s="6" t="e">
        <v>#VALUE!</v>
      </c>
      <c r="T4079" s="9"/>
      <c r="U4079" s="1">
        <f t="shared" si="7156"/>
        <v>93</v>
      </c>
      <c r="V4079" s="1">
        <f t="shared" si="7157"/>
        <v>230</v>
      </c>
    </row>
    <row r="4080" spans="1:22" x14ac:dyDescent="0.3">
      <c r="A4080" s="1">
        <f t="shared" si="7113"/>
        <v>93231</v>
      </c>
      <c r="J4080" s="24" t="str">
        <f t="shared" ref="J4080" si="7178">CONCATENATE(K4077,3)</f>
        <v>83</v>
      </c>
      <c r="K4080" s="6" t="e">
        <v>#VALUE!</v>
      </c>
      <c r="L4080" s="6" t="e">
        <v>#VALUE!</v>
      </c>
      <c r="M4080" s="6" t="e">
        <v>#VALUE!</v>
      </c>
      <c r="N4080" s="6" t="e">
        <v>#VALUE!</v>
      </c>
      <c r="O4080" s="6" t="e">
        <v>#VALUE!</v>
      </c>
      <c r="P4080" s="6" t="e">
        <v>#VALUE!</v>
      </c>
      <c r="Q4080" s="6" t="e">
        <v>#VALUE!</v>
      </c>
      <c r="T4080" s="9"/>
      <c r="U4080" s="1">
        <f t="shared" si="7156"/>
        <v>93</v>
      </c>
      <c r="V4080" s="1">
        <f t="shared" si="7157"/>
        <v>231</v>
      </c>
    </row>
    <row r="4081" spans="1:22" ht="15" customHeight="1" x14ac:dyDescent="0.3">
      <c r="A4081" s="1">
        <f t="shared" si="7113"/>
        <v>93232</v>
      </c>
      <c r="B4081" s="10" t="s">
        <v>34</v>
      </c>
      <c r="C4081" s="10" t="s">
        <v>35</v>
      </c>
      <c r="D4081" s="10" t="s">
        <v>36</v>
      </c>
      <c r="E4081" s="74" t="s">
        <v>37</v>
      </c>
      <c r="F4081" s="75"/>
      <c r="G4081" s="76"/>
      <c r="K4081" s="1">
        <v>9</v>
      </c>
      <c r="L4081" s="1">
        <v>9</v>
      </c>
      <c r="M4081" s="1">
        <v>9</v>
      </c>
      <c r="N4081" s="1">
        <v>9</v>
      </c>
      <c r="O4081" s="1">
        <v>9</v>
      </c>
      <c r="P4081" s="1">
        <v>9</v>
      </c>
      <c r="Q4081" s="1">
        <v>9</v>
      </c>
      <c r="R4081" s="1">
        <v>9</v>
      </c>
      <c r="T4081" s="9"/>
      <c r="U4081" s="1">
        <f t="shared" si="7156"/>
        <v>93</v>
      </c>
      <c r="V4081" s="1">
        <f t="shared" si="7157"/>
        <v>232</v>
      </c>
    </row>
    <row r="4082" spans="1:22" x14ac:dyDescent="0.3">
      <c r="A4082" s="1">
        <f t="shared" si="7113"/>
        <v>93233</v>
      </c>
      <c r="B4082" s="12">
        <f t="shared" ref="B4082:B4091" si="7179">C4066-B4066</f>
        <v>0</v>
      </c>
      <c r="C4082" s="13">
        <f t="shared" ref="C4082:C4091" si="7180">H4066-G4066</f>
        <v>0</v>
      </c>
      <c r="D4082" s="10">
        <f t="shared" ref="D4082:D4091" si="7181">C4082-B4082</f>
        <v>0</v>
      </c>
      <c r="E4082" s="11" t="str">
        <f t="shared" ref="E4082" si="7182">IF(D4057="","",MAX(F4082,G4082))</f>
        <v/>
      </c>
      <c r="F4082" s="10">
        <f t="shared" ref="F4082" si="7183">ABS(MIN(D4082:D4091))</f>
        <v>0</v>
      </c>
      <c r="G4082" s="10">
        <f t="shared" ref="G4082" si="7184">ABS(MAX(D4082:D4091))</f>
        <v>0</v>
      </c>
      <c r="J4082" s="24" t="str">
        <f t="shared" ref="J4082" si="7185">CONCATENATE(K4081,1)</f>
        <v>91</v>
      </c>
      <c r="K4082" s="6" t="e">
        <f t="array" ref="K4082:R4084">LINEST(B4066:B4074,C4066:C4074^{1,2,3,4,5,6,7},TRUE,TRUE)</f>
        <v>#VALUE!</v>
      </c>
      <c r="L4082" s="6" t="e">
        <v>#VALUE!</v>
      </c>
      <c r="M4082" s="6" t="e">
        <v>#VALUE!</v>
      </c>
      <c r="N4082" s="6" t="e">
        <v>#VALUE!</v>
      </c>
      <c r="O4082" s="6" t="e">
        <v>#VALUE!</v>
      </c>
      <c r="P4082" s="6" t="e">
        <v>#VALUE!</v>
      </c>
      <c r="Q4082" s="6" t="e">
        <v>#VALUE!</v>
      </c>
      <c r="R4082" s="6" t="e">
        <v>#VALUE!</v>
      </c>
      <c r="T4082" s="9"/>
      <c r="U4082" s="1">
        <f t="shared" si="7156"/>
        <v>93</v>
      </c>
      <c r="V4082" s="1">
        <f t="shared" si="7157"/>
        <v>233</v>
      </c>
    </row>
    <row r="4083" spans="1:22" x14ac:dyDescent="0.3">
      <c r="A4083" s="1">
        <f t="shared" si="7113"/>
        <v>93234</v>
      </c>
      <c r="B4083" s="12">
        <f t="shared" si="7179"/>
        <v>0</v>
      </c>
      <c r="C4083" s="13">
        <f t="shared" si="7180"/>
        <v>0</v>
      </c>
      <c r="D4083" s="10">
        <f t="shared" si="7181"/>
        <v>0</v>
      </c>
      <c r="E4083" s="74" t="s">
        <v>38</v>
      </c>
      <c r="F4083" s="75"/>
      <c r="G4083" s="76"/>
      <c r="J4083" s="24" t="str">
        <f t="shared" ref="J4083" si="7186">CONCATENATE(K4081,2)</f>
        <v>92</v>
      </c>
      <c r="K4083" s="6" t="e">
        <v>#VALUE!</v>
      </c>
      <c r="L4083" s="6" t="e">
        <v>#VALUE!</v>
      </c>
      <c r="M4083" s="6" t="e">
        <v>#VALUE!</v>
      </c>
      <c r="N4083" s="6" t="e">
        <v>#VALUE!</v>
      </c>
      <c r="O4083" s="6" t="e">
        <v>#VALUE!</v>
      </c>
      <c r="P4083" s="6" t="e">
        <v>#VALUE!</v>
      </c>
      <c r="Q4083" s="6" t="e">
        <v>#VALUE!</v>
      </c>
      <c r="R4083" s="6" t="e">
        <v>#VALUE!</v>
      </c>
      <c r="T4083" s="9"/>
      <c r="U4083" s="1">
        <f t="shared" si="7156"/>
        <v>93</v>
      </c>
      <c r="V4083" s="1">
        <f t="shared" si="7157"/>
        <v>234</v>
      </c>
    </row>
    <row r="4084" spans="1:22" x14ac:dyDescent="0.3">
      <c r="A4084" s="1">
        <f t="shared" si="7113"/>
        <v>93235</v>
      </c>
      <c r="B4084" s="12">
        <f t="shared" si="7179"/>
        <v>0</v>
      </c>
      <c r="C4084" s="13">
        <f t="shared" si="7180"/>
        <v>0</v>
      </c>
      <c r="D4084" s="10">
        <f t="shared" si="7181"/>
        <v>0</v>
      </c>
      <c r="E4084" s="11" t="str">
        <f t="shared" ref="E4084" si="7187">IF(D4057="","",MAX(F4084,G4084))</f>
        <v/>
      </c>
      <c r="F4084" s="10">
        <f t="shared" ref="F4084" si="7188">ABS(MIN(B4082:B4091))</f>
        <v>0</v>
      </c>
      <c r="G4084" s="10">
        <f t="shared" ref="G4084" si="7189">ABS(MAX(B4082:B4091))</f>
        <v>0</v>
      </c>
      <c r="J4084" s="24" t="str">
        <f t="shared" ref="J4084" si="7190">CONCATENATE(K4081,3)</f>
        <v>93</v>
      </c>
      <c r="K4084" s="6" t="e">
        <v>#VALUE!</v>
      </c>
      <c r="L4084" s="6" t="e">
        <v>#VALUE!</v>
      </c>
      <c r="M4084" s="6" t="e">
        <v>#VALUE!</v>
      </c>
      <c r="N4084" s="6" t="e">
        <v>#VALUE!</v>
      </c>
      <c r="O4084" s="6" t="e">
        <v>#VALUE!</v>
      </c>
      <c r="P4084" s="6" t="e">
        <v>#VALUE!</v>
      </c>
      <c r="Q4084" s="6" t="e">
        <v>#VALUE!</v>
      </c>
      <c r="R4084" s="6" t="e">
        <v>#VALUE!</v>
      </c>
      <c r="T4084" s="9"/>
      <c r="U4084" s="1">
        <f t="shared" si="7156"/>
        <v>93</v>
      </c>
      <c r="V4084" s="1">
        <f t="shared" si="7157"/>
        <v>235</v>
      </c>
    </row>
    <row r="4085" spans="1:22" x14ac:dyDescent="0.3">
      <c r="A4085" s="1">
        <f t="shared" si="7113"/>
        <v>93236</v>
      </c>
      <c r="B4085" s="12">
        <f t="shared" si="7179"/>
        <v>0</v>
      </c>
      <c r="C4085" s="13">
        <f t="shared" si="7180"/>
        <v>0</v>
      </c>
      <c r="D4085" s="10">
        <f t="shared" si="7181"/>
        <v>0</v>
      </c>
      <c r="E4085" s="74" t="s">
        <v>39</v>
      </c>
      <c r="F4085" s="75"/>
      <c r="G4085" s="76"/>
      <c r="K4085" s="1">
        <v>10</v>
      </c>
      <c r="L4085" s="1">
        <v>10</v>
      </c>
      <c r="M4085" s="1">
        <v>10</v>
      </c>
      <c r="N4085" s="1">
        <v>10</v>
      </c>
      <c r="O4085" s="1">
        <v>10</v>
      </c>
      <c r="P4085" s="1">
        <v>10</v>
      </c>
      <c r="Q4085" s="1">
        <v>10</v>
      </c>
      <c r="R4085" s="1">
        <v>10</v>
      </c>
      <c r="S4085" s="1">
        <v>10</v>
      </c>
      <c r="T4085" s="9"/>
      <c r="U4085" s="1">
        <f t="shared" si="7156"/>
        <v>93</v>
      </c>
      <c r="V4085" s="1">
        <f t="shared" si="7157"/>
        <v>236</v>
      </c>
    </row>
    <row r="4086" spans="1:22" x14ac:dyDescent="0.3">
      <c r="A4086" s="1">
        <f t="shared" si="7113"/>
        <v>93237</v>
      </c>
      <c r="B4086" s="12">
        <f t="shared" si="7179"/>
        <v>0</v>
      </c>
      <c r="C4086" s="13">
        <f t="shared" si="7180"/>
        <v>0</v>
      </c>
      <c r="D4086" s="10">
        <f t="shared" si="7181"/>
        <v>0</v>
      </c>
      <c r="E4086" s="11" t="str">
        <f t="shared" ref="E4086" si="7191">IF(D4057="","",MAX(F4086,G4086))</f>
        <v/>
      </c>
      <c r="F4086" s="10">
        <f t="shared" ref="F4086" si="7192">ABS(MIN(D4066:D4075))</f>
        <v>0</v>
      </c>
      <c r="G4086" s="10">
        <f t="shared" ref="G4086" si="7193">ABS(MAX(D4066:D4075))</f>
        <v>0</v>
      </c>
      <c r="J4086" s="24" t="str">
        <f t="shared" ref="J4086" si="7194">CONCATENATE(K4085,1)</f>
        <v>101</v>
      </c>
      <c r="K4086" s="6" t="e">
        <f t="array" ref="K4086:S4088">LINEST(B4066:B4075,C4066:C4075^{1,2,3,4,5,6,7,8},TRUE,TRUE)</f>
        <v>#VALUE!</v>
      </c>
      <c r="L4086" s="6" t="e">
        <v>#VALUE!</v>
      </c>
      <c r="M4086" s="6" t="e">
        <v>#VALUE!</v>
      </c>
      <c r="N4086" s="6" t="e">
        <v>#VALUE!</v>
      </c>
      <c r="O4086" s="6" t="e">
        <v>#VALUE!</v>
      </c>
      <c r="P4086" s="6" t="e">
        <v>#VALUE!</v>
      </c>
      <c r="Q4086" s="6" t="e">
        <v>#VALUE!</v>
      </c>
      <c r="R4086" s="6" t="e">
        <v>#VALUE!</v>
      </c>
      <c r="S4086" s="6" t="e">
        <v>#VALUE!</v>
      </c>
      <c r="T4086" s="9"/>
      <c r="U4086" s="1">
        <f t="shared" si="7156"/>
        <v>93</v>
      </c>
      <c r="V4086" s="1">
        <f t="shared" si="7157"/>
        <v>237</v>
      </c>
    </row>
    <row r="4087" spans="1:22" x14ac:dyDescent="0.3">
      <c r="A4087" s="1">
        <f t="shared" si="7113"/>
        <v>93238</v>
      </c>
      <c r="B4087" s="12">
        <f t="shared" si="7179"/>
        <v>0</v>
      </c>
      <c r="C4087" s="13">
        <f t="shared" si="7180"/>
        <v>0</v>
      </c>
      <c r="D4087" s="10">
        <f t="shared" si="7181"/>
        <v>0</v>
      </c>
      <c r="J4087" s="24" t="str">
        <f t="shared" ref="J4087" si="7195">CONCATENATE(K4085,2)</f>
        <v>102</v>
      </c>
      <c r="K4087" s="6" t="e">
        <v>#VALUE!</v>
      </c>
      <c r="L4087" s="6" t="e">
        <v>#VALUE!</v>
      </c>
      <c r="M4087" s="6" t="e">
        <v>#VALUE!</v>
      </c>
      <c r="N4087" s="6" t="e">
        <v>#VALUE!</v>
      </c>
      <c r="O4087" s="6" t="e">
        <v>#VALUE!</v>
      </c>
      <c r="P4087" s="6" t="e">
        <v>#VALUE!</v>
      </c>
      <c r="Q4087" s="6" t="e">
        <v>#VALUE!</v>
      </c>
      <c r="R4087" s="6" t="e">
        <v>#VALUE!</v>
      </c>
      <c r="S4087" s="6" t="e">
        <v>#VALUE!</v>
      </c>
      <c r="T4087" s="9"/>
      <c r="U4087" s="1">
        <f t="shared" si="7156"/>
        <v>93</v>
      </c>
      <c r="V4087" s="1">
        <f t="shared" si="7157"/>
        <v>238</v>
      </c>
    </row>
    <row r="4088" spans="1:22" x14ac:dyDescent="0.3">
      <c r="A4088" s="1">
        <f t="shared" si="7113"/>
        <v>93239</v>
      </c>
      <c r="B4088" s="12">
        <f t="shared" si="7179"/>
        <v>0</v>
      </c>
      <c r="C4088" s="13">
        <f t="shared" si="7180"/>
        <v>0</v>
      </c>
      <c r="D4088" s="10">
        <f t="shared" si="7181"/>
        <v>0</v>
      </c>
      <c r="J4088" s="24" t="str">
        <f t="shared" ref="J4088" si="7196">CONCATENATE(K4085,3)</f>
        <v>103</v>
      </c>
      <c r="K4088" s="6" t="e">
        <v>#VALUE!</v>
      </c>
      <c r="L4088" s="6" t="e">
        <v>#VALUE!</v>
      </c>
      <c r="M4088" s="6" t="e">
        <v>#VALUE!</v>
      </c>
      <c r="N4088" s="6" t="e">
        <v>#VALUE!</v>
      </c>
      <c r="O4088" s="6" t="e">
        <v>#VALUE!</v>
      </c>
      <c r="P4088" s="6" t="e">
        <v>#VALUE!</v>
      </c>
      <c r="Q4088" s="6" t="e">
        <v>#VALUE!</v>
      </c>
      <c r="R4088" s="6" t="e">
        <v>#VALUE!</v>
      </c>
      <c r="S4088" s="6" t="e">
        <v>#VALUE!</v>
      </c>
      <c r="T4088" s="9"/>
      <c r="U4088" s="1">
        <f t="shared" si="7156"/>
        <v>93</v>
      </c>
      <c r="V4088" s="1">
        <f t="shared" si="7157"/>
        <v>239</v>
      </c>
    </row>
    <row r="4089" spans="1:22" x14ac:dyDescent="0.3">
      <c r="A4089" s="1">
        <f t="shared" si="7113"/>
        <v>93240</v>
      </c>
      <c r="B4089" s="12">
        <f t="shared" si="7179"/>
        <v>0</v>
      </c>
      <c r="C4089" s="13">
        <f t="shared" si="7180"/>
        <v>0</v>
      </c>
      <c r="D4089" s="10">
        <f t="shared" si="7181"/>
        <v>0</v>
      </c>
      <c r="J4089" s="9"/>
      <c r="K4089" s="9"/>
      <c r="L4089" s="9"/>
      <c r="M4089" s="9"/>
      <c r="N4089" s="9"/>
      <c r="O4089" s="9"/>
      <c r="P4089" s="9"/>
      <c r="Q4089" s="9"/>
      <c r="R4089" s="9"/>
      <c r="S4089" s="9"/>
      <c r="T4089" s="9"/>
      <c r="U4089" s="1">
        <f t="shared" si="7156"/>
        <v>93</v>
      </c>
      <c r="V4089" s="1">
        <f t="shared" si="7157"/>
        <v>240</v>
      </c>
    </row>
    <row r="4090" spans="1:22" x14ac:dyDescent="0.3">
      <c r="A4090" s="1">
        <f t="shared" si="7113"/>
        <v>93241</v>
      </c>
      <c r="B4090" s="12">
        <f t="shared" si="7179"/>
        <v>0</v>
      </c>
      <c r="C4090" s="13">
        <f t="shared" si="7180"/>
        <v>0</v>
      </c>
      <c r="D4090" s="10">
        <f t="shared" si="7181"/>
        <v>0</v>
      </c>
      <c r="J4090" s="9"/>
      <c r="K4090" s="9"/>
      <c r="L4090" s="9"/>
      <c r="M4090" s="9"/>
      <c r="N4090" s="9"/>
      <c r="O4090" s="9"/>
      <c r="P4090" s="9"/>
      <c r="Q4090" s="9"/>
      <c r="R4090" s="9"/>
      <c r="S4090" s="9"/>
      <c r="T4090" s="9"/>
      <c r="U4090" s="1">
        <f t="shared" si="7156"/>
        <v>93</v>
      </c>
      <c r="V4090" s="1">
        <f t="shared" si="7157"/>
        <v>241</v>
      </c>
    </row>
    <row r="4091" spans="1:22" x14ac:dyDescent="0.3">
      <c r="A4091" s="1">
        <f t="shared" si="7113"/>
        <v>93242</v>
      </c>
      <c r="B4091" s="12">
        <f t="shared" si="7179"/>
        <v>0</v>
      </c>
      <c r="C4091" s="13">
        <f t="shared" si="7180"/>
        <v>0</v>
      </c>
      <c r="D4091" s="10">
        <f t="shared" si="7181"/>
        <v>0</v>
      </c>
      <c r="J4091" s="9"/>
      <c r="K4091" s="9"/>
      <c r="L4091" s="9"/>
      <c r="M4091" s="9"/>
      <c r="N4091" s="9"/>
      <c r="O4091" s="9"/>
      <c r="P4091" s="9"/>
      <c r="Q4091" s="9"/>
      <c r="R4091" s="9"/>
      <c r="S4091" s="9"/>
      <c r="T4091" s="9"/>
      <c r="U4091" s="1">
        <f t="shared" si="7156"/>
        <v>93</v>
      </c>
      <c r="V4091" s="1">
        <f t="shared" si="7157"/>
        <v>242</v>
      </c>
    </row>
    <row r="4092" spans="1:22" x14ac:dyDescent="0.3">
      <c r="A4092" s="1">
        <f t="shared" si="7113"/>
        <v>93243</v>
      </c>
      <c r="J4092" s="9"/>
      <c r="K4092" s="9"/>
      <c r="L4092" s="9"/>
      <c r="M4092" s="9"/>
      <c r="N4092" s="9"/>
      <c r="O4092" s="9"/>
      <c r="P4092" s="9"/>
      <c r="Q4092" s="9"/>
      <c r="R4092" s="9"/>
      <c r="S4092" s="9"/>
      <c r="T4092" s="9"/>
      <c r="U4092" s="1">
        <f t="shared" si="7156"/>
        <v>93</v>
      </c>
      <c r="V4092" s="1">
        <f t="shared" si="7157"/>
        <v>243</v>
      </c>
    </row>
    <row r="4093" spans="1:22" s="5" customFormat="1" x14ac:dyDescent="0.3"/>
    <row r="4094" spans="1:22" x14ac:dyDescent="0.3">
      <c r="A4094" s="1">
        <f t="shared" ref="A4094:A4136" si="7197">ROUND(CONCATENATE(U4094,V4094),0)</f>
        <v>94201</v>
      </c>
      <c r="B4094" s="96" t="s">
        <v>0</v>
      </c>
      <c r="C4094" s="97"/>
      <c r="D4094" s="98"/>
      <c r="E4094" s="99"/>
      <c r="F4094" s="99"/>
      <c r="G4094" s="99"/>
      <c r="H4094" s="100"/>
      <c r="J4094" s="9"/>
      <c r="K4094" s="9"/>
      <c r="L4094" s="9"/>
      <c r="M4094" s="9"/>
      <c r="N4094" s="9"/>
      <c r="O4094" s="9"/>
      <c r="P4094" s="9"/>
      <c r="Q4094" s="9"/>
      <c r="R4094" s="9"/>
      <c r="S4094" s="9"/>
      <c r="T4094" s="9"/>
      <c r="U4094" s="1">
        <f t="shared" ref="U4094" si="7198">U4092+1</f>
        <v>94</v>
      </c>
      <c r="V4094" s="1">
        <v>201</v>
      </c>
    </row>
    <row r="4095" spans="1:22" x14ac:dyDescent="0.3">
      <c r="A4095" s="1">
        <f t="shared" si="7197"/>
        <v>94202</v>
      </c>
      <c r="B4095" s="96" t="s">
        <v>1</v>
      </c>
      <c r="C4095" s="97"/>
      <c r="D4095" s="15"/>
      <c r="E4095" s="16" t="s">
        <v>2</v>
      </c>
      <c r="F4095" s="107"/>
      <c r="G4095" s="108"/>
      <c r="H4095" s="109"/>
      <c r="J4095" s="9"/>
      <c r="K4095" s="9"/>
      <c r="L4095" s="9"/>
      <c r="M4095" s="9"/>
      <c r="N4095" s="9"/>
      <c r="O4095" s="9"/>
      <c r="P4095" s="9"/>
      <c r="Q4095" s="9"/>
      <c r="R4095" s="9"/>
      <c r="S4095" s="9"/>
      <c r="T4095" s="9"/>
      <c r="U4095" s="1">
        <f t="shared" ref="U4095" si="7199">U4094</f>
        <v>94</v>
      </c>
      <c r="V4095" s="1">
        <f t="shared" ref="V4095" si="7200">V4094+1</f>
        <v>202</v>
      </c>
    </row>
    <row r="4096" spans="1:22" x14ac:dyDescent="0.3">
      <c r="A4096" s="1">
        <f t="shared" si="7197"/>
        <v>94203</v>
      </c>
      <c r="B4096" s="96" t="s">
        <v>12</v>
      </c>
      <c r="C4096" s="97"/>
      <c r="D4096" s="98"/>
      <c r="E4096" s="99"/>
      <c r="F4096" s="99"/>
      <c r="G4096" s="99"/>
      <c r="H4096" s="100"/>
      <c r="K4096" s="1" t="s">
        <v>3</v>
      </c>
      <c r="L4096" s="1" t="s">
        <v>4</v>
      </c>
      <c r="M4096" s="1" t="s">
        <v>5</v>
      </c>
      <c r="N4096" s="1" t="s">
        <v>6</v>
      </c>
      <c r="O4096" s="1" t="s">
        <v>7</v>
      </c>
      <c r="P4096" s="1" t="s">
        <v>8</v>
      </c>
      <c r="Q4096" s="1" t="s">
        <v>9</v>
      </c>
      <c r="R4096" s="1" t="s">
        <v>10</v>
      </c>
      <c r="S4096" s="1" t="s">
        <v>11</v>
      </c>
      <c r="T4096" s="9"/>
      <c r="U4096" s="1">
        <f t="shared" si="7156"/>
        <v>94</v>
      </c>
      <c r="V4096" s="1">
        <f t="shared" si="7157"/>
        <v>203</v>
      </c>
    </row>
    <row r="4097" spans="1:22" x14ac:dyDescent="0.3">
      <c r="A4097" s="1">
        <f t="shared" si="7197"/>
        <v>94204</v>
      </c>
      <c r="B4097" s="96" t="s">
        <v>13</v>
      </c>
      <c r="C4097" s="97"/>
      <c r="D4097" s="98"/>
      <c r="E4097" s="99"/>
      <c r="F4097" s="99"/>
      <c r="G4097" s="99"/>
      <c r="H4097" s="100"/>
      <c r="J4097" s="1">
        <f t="shared" ref="J4097" si="7201">COUNTA(B4110:B4119)</f>
        <v>0</v>
      </c>
      <c r="K4097" s="1">
        <f t="shared" ref="K4097" si="7202">IF(L4097-1&lt;2,0,L4097-1)</f>
        <v>0</v>
      </c>
      <c r="L4097" s="1">
        <f t="shared" ref="L4097" si="7203">IF(M4097-1&lt;2,0,M4097-1)</f>
        <v>0</v>
      </c>
      <c r="M4097" s="1">
        <f t="shared" ref="M4097" si="7204">IF(N4097-1&lt;2,0,N4097-1)</f>
        <v>0</v>
      </c>
      <c r="N4097" s="1">
        <f t="shared" ref="N4097" si="7205">IF(O4097-1&lt;2,0,O4097-1)</f>
        <v>0</v>
      </c>
      <c r="O4097" s="1">
        <f t="shared" ref="O4097" si="7206">IF(P4097-1&lt;2,0,P4097-1)</f>
        <v>0</v>
      </c>
      <c r="P4097" s="1">
        <f t="shared" ref="P4097" si="7207">IF(Q4097-1&lt;2,0,Q4097-1)</f>
        <v>0</v>
      </c>
      <c r="Q4097" s="1">
        <f t="shared" ref="Q4097" si="7208">IF(R4097-1&lt;2,0,R4097-1)</f>
        <v>0</v>
      </c>
      <c r="R4097" s="1">
        <f t="shared" ref="R4097" si="7209">IF(S4097-1&lt;2,0,S4097-1)</f>
        <v>0</v>
      </c>
      <c r="S4097" s="1">
        <f t="shared" ref="S4097" si="7210">J4097</f>
        <v>0</v>
      </c>
      <c r="T4097" s="9"/>
      <c r="U4097" s="1">
        <f t="shared" si="7156"/>
        <v>94</v>
      </c>
      <c r="V4097" s="1">
        <f t="shared" si="7157"/>
        <v>204</v>
      </c>
    </row>
    <row r="4098" spans="1:22" x14ac:dyDescent="0.3">
      <c r="A4098" s="1">
        <f t="shared" si="7197"/>
        <v>94205</v>
      </c>
      <c r="B4098" s="96" t="s">
        <v>14</v>
      </c>
      <c r="C4098" s="97"/>
      <c r="D4098" s="98"/>
      <c r="E4098" s="99"/>
      <c r="F4098" s="99"/>
      <c r="G4098" s="99"/>
      <c r="H4098" s="100"/>
      <c r="J4098" s="24" t="str">
        <f t="shared" ref="J4098" si="7211">CONCATENATE(J4097,1)</f>
        <v>01</v>
      </c>
      <c r="K4098" s="25">
        <f t="shared" ref="K4098" si="7212">IF(K4097=0,0,VLOOKUP(J4098,J4102:S4132,K4097,FALSE))</f>
        <v>0</v>
      </c>
      <c r="L4098" s="25">
        <f t="shared" ref="L4098" si="7213">IF(L4097=0,0,VLOOKUP(J4098,J4102:S4132,L4097,FALSE))</f>
        <v>0</v>
      </c>
      <c r="M4098" s="25">
        <f t="shared" ref="M4098" si="7214">IF(M4097=0,0,VLOOKUP(J4098,J4102:S4132,M4097,FALSE))</f>
        <v>0</v>
      </c>
      <c r="N4098" s="25">
        <f t="shared" ref="N4098" si="7215">IF(N4097=0,0,VLOOKUP(J4098,J4102:S4132,N4097,FALSE))</f>
        <v>0</v>
      </c>
      <c r="O4098" s="25">
        <f t="shared" ref="O4098" si="7216">IF(O4097=0,0,VLOOKUP(J4098,J4102:S4132,O4097,FALSE))</f>
        <v>0</v>
      </c>
      <c r="P4098" s="25">
        <f t="shared" ref="P4098" si="7217">IF(P4097=0,0,VLOOKUP(J4098,J4102:S4132,P4097,FALSE))</f>
        <v>0</v>
      </c>
      <c r="Q4098" s="25">
        <f t="shared" ref="Q4098" si="7218">IF(Q4097=0,0,VLOOKUP(J4098,J4102:S4132,Q4097,FALSE))</f>
        <v>0</v>
      </c>
      <c r="R4098" s="25">
        <f t="shared" ref="R4098" si="7219">IF(R4097=0,0,VLOOKUP(J4098,J4102:S4132,R4097,FALSE))</f>
        <v>0</v>
      </c>
      <c r="S4098" s="25">
        <f t="shared" ref="S4098" si="7220">IF(S4097=0,0,VLOOKUP(J4098,J4102:S4132,S4097,FALSE))</f>
        <v>0</v>
      </c>
      <c r="T4098" s="9"/>
      <c r="U4098" s="1">
        <f t="shared" si="7156"/>
        <v>94</v>
      </c>
      <c r="V4098" s="1">
        <f t="shared" si="7157"/>
        <v>205</v>
      </c>
    </row>
    <row r="4099" spans="1:22" x14ac:dyDescent="0.3">
      <c r="A4099" s="1">
        <f t="shared" si="7197"/>
        <v>94206</v>
      </c>
      <c r="B4099" s="96" t="s">
        <v>15</v>
      </c>
      <c r="C4099" s="97"/>
      <c r="D4099" s="98"/>
      <c r="E4099" s="99"/>
      <c r="F4099" s="99"/>
      <c r="G4099" s="99"/>
      <c r="H4099" s="100"/>
      <c r="J4099" s="24" t="str">
        <f t="shared" ref="J4099" si="7221">CONCATENATE(J4097,2)</f>
        <v>02</v>
      </c>
      <c r="K4099" s="6">
        <f t="shared" ref="K4099" si="7222">IF(K4097=0,0,VLOOKUP(J4099,J4102:S4132,K4097,FALSE))</f>
        <v>0</v>
      </c>
      <c r="L4099" s="6">
        <f t="shared" ref="L4099" si="7223">IF(L4097=0,0,VLOOKUP(J4099,J4102:S4132,L4097,FALSE))</f>
        <v>0</v>
      </c>
      <c r="M4099" s="6">
        <f t="shared" ref="M4099" si="7224">IF(M4097=0,0,VLOOKUP(J4099,J4102:S4132,M4097,FALSE))</f>
        <v>0</v>
      </c>
      <c r="N4099" s="6">
        <f t="shared" ref="N4099" si="7225">IF(N4097=0,0,VLOOKUP(J4099,J4102:S4132,N4097,FALSE))</f>
        <v>0</v>
      </c>
      <c r="O4099" s="6">
        <f t="shared" ref="O4099" si="7226">IF(O4097=0,0,VLOOKUP(J4099,J4102:S4132,O4097,FALSE))</f>
        <v>0</v>
      </c>
      <c r="P4099" s="6">
        <f t="shared" ref="P4099" si="7227">IF(P4097=0,0,VLOOKUP(J4099,J4102:S4132,P4097,FALSE))</f>
        <v>0</v>
      </c>
      <c r="Q4099" s="6">
        <f t="shared" ref="Q4099" si="7228">IF(Q4097=0,0,VLOOKUP(J4099,J4102:S4132,Q4097,FALSE))</f>
        <v>0</v>
      </c>
      <c r="R4099" s="6">
        <f t="shared" ref="R4099" si="7229">IF(R4097=0,0,VLOOKUP(J4099,J4102:S4132,R4097,FALSE))</f>
        <v>0</v>
      </c>
      <c r="S4099" s="6">
        <f t="shared" ref="S4099" si="7230">IF(S4097=0,0,VLOOKUP(J4099,J4102:S4132,S4097,FALSE))</f>
        <v>0</v>
      </c>
      <c r="T4099" s="9"/>
      <c r="U4099" s="1">
        <f t="shared" si="7156"/>
        <v>94</v>
      </c>
      <c r="V4099" s="1">
        <f t="shared" si="7157"/>
        <v>206</v>
      </c>
    </row>
    <row r="4100" spans="1:22" x14ac:dyDescent="0.3">
      <c r="A4100" s="1">
        <f t="shared" si="7197"/>
        <v>94207</v>
      </c>
      <c r="B4100" s="96" t="s">
        <v>16</v>
      </c>
      <c r="C4100" s="97"/>
      <c r="D4100" s="101"/>
      <c r="E4100" s="102"/>
      <c r="F4100" s="102"/>
      <c r="G4100" s="102"/>
      <c r="H4100" s="103"/>
      <c r="J4100" s="24" t="str">
        <f t="shared" ref="J4100" si="7231">CONCATENATE(J4097,3)</f>
        <v>03</v>
      </c>
      <c r="K4100" s="6"/>
      <c r="L4100" s="6"/>
      <c r="M4100" s="6"/>
      <c r="N4100" s="6" t="s">
        <v>43</v>
      </c>
      <c r="O4100" s="25">
        <f t="shared" ref="O4100" si="7232">J4097-2</f>
        <v>-2</v>
      </c>
      <c r="P4100" s="6" t="s">
        <v>44</v>
      </c>
      <c r="Q4100" s="25" t="e">
        <f t="shared" ref="Q4100" si="7233">VLOOKUP(J4100,J4102:S4132,3,FALSE)</f>
        <v>#N/A</v>
      </c>
      <c r="R4100" s="6" t="s">
        <v>45</v>
      </c>
      <c r="S4100" s="6" t="e">
        <f t="shared" ref="S4100" si="7234">VLOOKUP(J4100,J4102:S4132,2,FALSE)</f>
        <v>#N/A</v>
      </c>
      <c r="T4100" s="9"/>
      <c r="U4100" s="1">
        <f t="shared" si="7156"/>
        <v>94</v>
      </c>
      <c r="V4100" s="1">
        <f t="shared" si="7157"/>
        <v>207</v>
      </c>
    </row>
    <row r="4101" spans="1:22" x14ac:dyDescent="0.3">
      <c r="A4101" s="1">
        <f t="shared" si="7197"/>
        <v>94208</v>
      </c>
      <c r="B4101" s="96" t="s">
        <v>17</v>
      </c>
      <c r="C4101" s="97"/>
      <c r="D4101" s="104"/>
      <c r="E4101" s="105"/>
      <c r="F4101" s="105"/>
      <c r="G4101" s="105"/>
      <c r="H4101" s="106"/>
      <c r="K4101" s="1">
        <v>3</v>
      </c>
      <c r="L4101" s="1">
        <v>3</v>
      </c>
      <c r="Q4101" s="26"/>
      <c r="R4101" s="26"/>
      <c r="S4101" s="26"/>
      <c r="T4101" s="9"/>
      <c r="U4101" s="1">
        <f t="shared" si="7156"/>
        <v>94</v>
      </c>
      <c r="V4101" s="1">
        <f t="shared" si="7157"/>
        <v>208</v>
      </c>
    </row>
    <row r="4102" spans="1:22" x14ac:dyDescent="0.3">
      <c r="A4102" s="1">
        <f t="shared" si="7197"/>
        <v>94209</v>
      </c>
      <c r="B4102" s="77" t="s">
        <v>19</v>
      </c>
      <c r="C4102" s="78"/>
      <c r="D4102" s="17"/>
      <c r="E4102" s="79" t="s">
        <v>40</v>
      </c>
      <c r="F4102" s="80"/>
      <c r="G4102" s="81"/>
      <c r="H4102" s="18" t="s">
        <v>72</v>
      </c>
      <c r="J4102" s="24" t="str">
        <f t="shared" ref="J4102" si="7235">CONCATENATE(K4101,1)</f>
        <v>31</v>
      </c>
      <c r="K4102" s="6" t="e">
        <f t="array" ref="K4102:L4104">LINEST(B4110:B4112,C4110:C4112^{1},TRUE,TRUE)</f>
        <v>#VALUE!</v>
      </c>
      <c r="L4102" s="6" t="e">
        <v>#VALUE!</v>
      </c>
      <c r="Q4102" s="9"/>
      <c r="R4102" s="9"/>
      <c r="S4102" s="9"/>
      <c r="T4102" s="9"/>
      <c r="U4102" s="1">
        <f t="shared" si="7156"/>
        <v>94</v>
      </c>
      <c r="V4102" s="1">
        <f t="shared" si="7157"/>
        <v>209</v>
      </c>
    </row>
    <row r="4103" spans="1:22" x14ac:dyDescent="0.3">
      <c r="A4103" s="1">
        <f t="shared" si="7197"/>
        <v>94210</v>
      </c>
      <c r="B4103" s="77" t="s">
        <v>41</v>
      </c>
      <c r="C4103" s="78"/>
      <c r="D4103" s="23">
        <f t="shared" ref="D4103" si="7236">MIN(B4110:B4119)</f>
        <v>0</v>
      </c>
      <c r="E4103" s="20" t="s">
        <v>18</v>
      </c>
      <c r="F4103" s="19">
        <f t="shared" ref="F4103" si="7237">MAX(B4110:B4119)</f>
        <v>0</v>
      </c>
      <c r="G4103" s="21" t="str">
        <f t="shared" ref="G4103" si="7238">IF(H4102="","",H4102)</f>
        <v>%ur</v>
      </c>
      <c r="H4103" s="22"/>
      <c r="J4103" s="24" t="str">
        <f t="shared" ref="J4103" si="7239">CONCATENATE(K4101,2)</f>
        <v>32</v>
      </c>
      <c r="K4103" s="6" t="e">
        <v>#VALUE!</v>
      </c>
      <c r="L4103" s="6" t="e">
        <v>#VALUE!</v>
      </c>
      <c r="Q4103" s="9"/>
      <c r="R4103" s="9"/>
      <c r="S4103" s="9"/>
      <c r="T4103" s="9"/>
      <c r="U4103" s="1">
        <f t="shared" si="7156"/>
        <v>94</v>
      </c>
      <c r="V4103" s="1">
        <f t="shared" si="7157"/>
        <v>210</v>
      </c>
    </row>
    <row r="4104" spans="1:22" x14ac:dyDescent="0.3">
      <c r="A4104" s="1">
        <f t="shared" si="7197"/>
        <v>94211</v>
      </c>
      <c r="J4104" s="24" t="str">
        <f t="shared" ref="J4104" si="7240">CONCATENATE(K4101,3)</f>
        <v>33</v>
      </c>
      <c r="K4104" s="6" t="e">
        <v>#VALUE!</v>
      </c>
      <c r="L4104" s="6" t="e">
        <v>#VALUE!</v>
      </c>
      <c r="Q4104" s="9"/>
      <c r="R4104" s="9"/>
      <c r="S4104" s="9"/>
      <c r="T4104" s="9"/>
      <c r="U4104" s="1">
        <f t="shared" si="7156"/>
        <v>94</v>
      </c>
      <c r="V4104" s="1">
        <f t="shared" si="7157"/>
        <v>211</v>
      </c>
    </row>
    <row r="4105" spans="1:22" x14ac:dyDescent="0.3">
      <c r="A4105" s="1">
        <f t="shared" si="7197"/>
        <v>94212</v>
      </c>
      <c r="B4105" s="82" t="s">
        <v>20</v>
      </c>
      <c r="C4105" s="83"/>
      <c r="D4105" s="83"/>
      <c r="E4105" s="83"/>
      <c r="F4105" s="84"/>
      <c r="G4105" s="85" t="s">
        <v>31</v>
      </c>
      <c r="H4105" s="86"/>
      <c r="K4105" s="1">
        <v>4</v>
      </c>
      <c r="L4105" s="1">
        <v>4</v>
      </c>
      <c r="M4105" s="1">
        <v>4</v>
      </c>
      <c r="Q4105" s="9"/>
      <c r="R4105" s="9"/>
      <c r="S4105" s="9"/>
      <c r="T4105" s="9"/>
      <c r="U4105" s="1">
        <f t="shared" si="7156"/>
        <v>94</v>
      </c>
      <c r="V4105" s="1">
        <f t="shared" si="7157"/>
        <v>212</v>
      </c>
    </row>
    <row r="4106" spans="1:22" x14ac:dyDescent="0.3">
      <c r="A4106" s="1">
        <f t="shared" si="7197"/>
        <v>94213</v>
      </c>
      <c r="B4106" s="82" t="s">
        <v>30</v>
      </c>
      <c r="C4106" s="83"/>
      <c r="D4106" s="84"/>
      <c r="E4106" s="82">
        <f t="shared" ref="E4106" si="7241">D4099</f>
        <v>0</v>
      </c>
      <c r="F4106" s="84"/>
      <c r="G4106" s="6" t="s">
        <v>32</v>
      </c>
      <c r="H4106" s="7"/>
      <c r="J4106" s="24" t="str">
        <f t="shared" ref="J4106" si="7242">CONCATENATE(K4105,1)</f>
        <v>41</v>
      </c>
      <c r="K4106" s="6" t="e">
        <f t="array" ref="K4106:M4108">LINEST(B4110:B4113,C4110:C4113^{1,2},TRUE,TRUE)</f>
        <v>#VALUE!</v>
      </c>
      <c r="L4106" s="6" t="e">
        <v>#VALUE!</v>
      </c>
      <c r="M4106" s="6" t="e">
        <v>#VALUE!</v>
      </c>
      <c r="Q4106" s="9"/>
      <c r="R4106" s="9"/>
      <c r="S4106" s="9"/>
      <c r="T4106" s="9"/>
      <c r="U4106" s="1">
        <f t="shared" si="7156"/>
        <v>94</v>
      </c>
      <c r="V4106" s="1">
        <f t="shared" si="7157"/>
        <v>213</v>
      </c>
    </row>
    <row r="4107" spans="1:22" x14ac:dyDescent="0.3">
      <c r="A4107" s="1">
        <f t="shared" si="7197"/>
        <v>94214</v>
      </c>
      <c r="B4107" s="2" t="s">
        <v>21</v>
      </c>
      <c r="C4107" s="2" t="s">
        <v>22</v>
      </c>
      <c r="D4107" s="2" t="s">
        <v>23</v>
      </c>
      <c r="E4107" s="2"/>
      <c r="F4107" s="2" t="s">
        <v>28</v>
      </c>
      <c r="G4107" s="2" t="s">
        <v>21</v>
      </c>
      <c r="H4107" s="2" t="s">
        <v>22</v>
      </c>
      <c r="J4107" s="24" t="str">
        <f t="shared" ref="J4107" si="7243">CONCATENATE(K4105,2)</f>
        <v>42</v>
      </c>
      <c r="K4107" s="6" t="e">
        <v>#VALUE!</v>
      </c>
      <c r="L4107" s="6" t="e">
        <v>#VALUE!</v>
      </c>
      <c r="M4107" s="6" t="e">
        <v>#VALUE!</v>
      </c>
      <c r="Q4107" s="9"/>
      <c r="R4107" s="9"/>
      <c r="S4107" s="9"/>
      <c r="T4107" s="9"/>
      <c r="U4107" s="1">
        <f t="shared" si="7156"/>
        <v>94</v>
      </c>
      <c r="V4107" s="1">
        <f t="shared" si="7157"/>
        <v>214</v>
      </c>
    </row>
    <row r="4108" spans="1:22" x14ac:dyDescent="0.3">
      <c r="A4108" s="1">
        <f t="shared" si="7197"/>
        <v>94215</v>
      </c>
      <c r="B4108" s="2" t="s">
        <v>24</v>
      </c>
      <c r="C4108" s="2" t="s">
        <v>25</v>
      </c>
      <c r="D4108" s="2" t="s">
        <v>26</v>
      </c>
      <c r="E4108" s="2" t="s">
        <v>27</v>
      </c>
      <c r="F4108" s="2" t="s">
        <v>29</v>
      </c>
      <c r="G4108" s="2" t="s">
        <v>24</v>
      </c>
      <c r="H4108" s="2" t="s">
        <v>25</v>
      </c>
      <c r="J4108" s="24" t="str">
        <f t="shared" ref="J4108" si="7244">CONCATENATE(K4105,3)</f>
        <v>43</v>
      </c>
      <c r="K4108" s="6" t="e">
        <v>#VALUE!</v>
      </c>
      <c r="L4108" s="6" t="e">
        <v>#VALUE!</v>
      </c>
      <c r="M4108" s="6" t="e">
        <v>#VALUE!</v>
      </c>
      <c r="Q4108" s="9"/>
      <c r="R4108" s="9"/>
      <c r="S4108" s="9"/>
      <c r="T4108" s="9"/>
      <c r="U4108" s="1">
        <f t="shared" si="7156"/>
        <v>94</v>
      </c>
      <c r="V4108" s="1">
        <f t="shared" si="7157"/>
        <v>215</v>
      </c>
    </row>
    <row r="4109" spans="1:22" x14ac:dyDescent="0.3">
      <c r="A4109" s="1">
        <f t="shared" si="7197"/>
        <v>94216</v>
      </c>
      <c r="B4109" s="3" t="str">
        <f t="shared" ref="B4109" si="7245">H4102</f>
        <v>%ur</v>
      </c>
      <c r="C4109" s="3" t="str">
        <f t="shared" ref="C4109" si="7246">B4109</f>
        <v>%ur</v>
      </c>
      <c r="D4109" s="3" t="str">
        <f t="shared" ref="D4109" si="7247">C4109</f>
        <v>%ur</v>
      </c>
      <c r="E4109" s="3"/>
      <c r="F4109" s="3"/>
      <c r="G4109" s="3" t="str">
        <f t="shared" ref="G4109" si="7248">D4109</f>
        <v>%ur</v>
      </c>
      <c r="H4109" s="3" t="str">
        <f t="shared" ref="H4109" si="7249">G4109</f>
        <v>%ur</v>
      </c>
      <c r="K4109" s="1">
        <v>5</v>
      </c>
      <c r="L4109" s="1">
        <v>5</v>
      </c>
      <c r="M4109" s="1">
        <v>5</v>
      </c>
      <c r="N4109" s="1">
        <v>5</v>
      </c>
      <c r="Q4109" s="9"/>
      <c r="R4109" s="9"/>
      <c r="S4109" s="9"/>
      <c r="T4109" s="9"/>
      <c r="U4109" s="1">
        <f t="shared" si="7156"/>
        <v>94</v>
      </c>
      <c r="V4109" s="1">
        <f t="shared" si="7157"/>
        <v>216</v>
      </c>
    </row>
    <row r="4110" spans="1:22" x14ac:dyDescent="0.3">
      <c r="A4110" s="1">
        <f t="shared" si="7197"/>
        <v>94217</v>
      </c>
      <c r="B4110" s="4"/>
      <c r="C4110" s="4"/>
      <c r="D4110" s="4"/>
      <c r="E4110" s="4"/>
      <c r="F4110" s="14"/>
      <c r="G4110" s="8"/>
      <c r="H4110" s="7"/>
      <c r="J4110" s="24" t="str">
        <f t="shared" ref="J4110" si="7250">CONCATENATE(K4109,1)</f>
        <v>51</v>
      </c>
      <c r="K4110" s="6" t="e">
        <f t="array" ref="K4110:N4112">LINEST(B4110:B4114,C4110:C4114^{1,2,3},TRUE,TRUE)</f>
        <v>#VALUE!</v>
      </c>
      <c r="L4110" s="6" t="e">
        <v>#VALUE!</v>
      </c>
      <c r="M4110" s="6" t="e">
        <v>#VALUE!</v>
      </c>
      <c r="N4110" s="6" t="e">
        <v>#VALUE!</v>
      </c>
      <c r="Q4110" s="9"/>
      <c r="R4110" s="9"/>
      <c r="S4110" s="9"/>
      <c r="T4110" s="9"/>
      <c r="U4110" s="1">
        <f t="shared" si="7156"/>
        <v>94</v>
      </c>
      <c r="V4110" s="1">
        <f t="shared" si="7157"/>
        <v>217</v>
      </c>
    </row>
    <row r="4111" spans="1:22" x14ac:dyDescent="0.3">
      <c r="A4111" s="1">
        <f t="shared" si="7197"/>
        <v>94218</v>
      </c>
      <c r="B4111" s="4"/>
      <c r="C4111" s="4"/>
      <c r="D4111" s="4"/>
      <c r="E4111" s="4"/>
      <c r="F4111" s="14"/>
      <c r="G4111" s="8"/>
      <c r="H4111" s="7"/>
      <c r="J4111" s="24" t="str">
        <f t="shared" ref="J4111" si="7251">CONCATENATE(K4109,2)</f>
        <v>52</v>
      </c>
      <c r="K4111" s="6" t="e">
        <v>#VALUE!</v>
      </c>
      <c r="L4111" s="6" t="e">
        <v>#VALUE!</v>
      </c>
      <c r="M4111" s="6" t="e">
        <v>#VALUE!</v>
      </c>
      <c r="N4111" s="6" t="e">
        <v>#VALUE!</v>
      </c>
      <c r="T4111" s="9"/>
      <c r="U4111" s="1">
        <f t="shared" si="7156"/>
        <v>94</v>
      </c>
      <c r="V4111" s="1">
        <f t="shared" si="7157"/>
        <v>218</v>
      </c>
    </row>
    <row r="4112" spans="1:22" x14ac:dyDescent="0.3">
      <c r="A4112" s="1">
        <f t="shared" si="7197"/>
        <v>94219</v>
      </c>
      <c r="B4112" s="4"/>
      <c r="C4112" s="4"/>
      <c r="D4112" s="4"/>
      <c r="E4112" s="4"/>
      <c r="F4112" s="14"/>
      <c r="G4112" s="8"/>
      <c r="H4112" s="7"/>
      <c r="J4112" s="24" t="str">
        <f t="shared" ref="J4112" si="7252">CONCATENATE(K4109,3)</f>
        <v>53</v>
      </c>
      <c r="K4112" s="6" t="e">
        <v>#VALUE!</v>
      </c>
      <c r="L4112" s="6" t="e">
        <v>#VALUE!</v>
      </c>
      <c r="M4112" s="6" t="e">
        <v>#VALUE!</v>
      </c>
      <c r="N4112" s="6" t="e">
        <v>#VALUE!</v>
      </c>
      <c r="T4112" s="9"/>
      <c r="U4112" s="1">
        <f t="shared" si="7156"/>
        <v>94</v>
      </c>
      <c r="V4112" s="1">
        <f t="shared" si="7157"/>
        <v>219</v>
      </c>
    </row>
    <row r="4113" spans="1:22" x14ac:dyDescent="0.3">
      <c r="A4113" s="1">
        <f t="shared" si="7197"/>
        <v>94220</v>
      </c>
      <c r="B4113" s="4"/>
      <c r="C4113" s="4"/>
      <c r="D4113" s="4"/>
      <c r="E4113" s="4"/>
      <c r="F4113" s="14"/>
      <c r="G4113" s="8"/>
      <c r="H4113" s="7"/>
      <c r="K4113" s="1">
        <v>6</v>
      </c>
      <c r="L4113" s="1">
        <v>6</v>
      </c>
      <c r="M4113" s="1">
        <v>6</v>
      </c>
      <c r="N4113" s="1">
        <v>6</v>
      </c>
      <c r="O4113" s="1">
        <v>6</v>
      </c>
      <c r="T4113" s="9"/>
      <c r="U4113" s="1">
        <f t="shared" si="7156"/>
        <v>94</v>
      </c>
      <c r="V4113" s="1">
        <f t="shared" si="7157"/>
        <v>220</v>
      </c>
    </row>
    <row r="4114" spans="1:22" x14ac:dyDescent="0.3">
      <c r="A4114" s="1">
        <f t="shared" si="7197"/>
        <v>94221</v>
      </c>
      <c r="B4114" s="4"/>
      <c r="C4114" s="4"/>
      <c r="D4114" s="4"/>
      <c r="E4114" s="4"/>
      <c r="F4114" s="14"/>
      <c r="G4114" s="8"/>
      <c r="H4114" s="7"/>
      <c r="J4114" s="24" t="str">
        <f t="shared" ref="J4114" si="7253">CONCATENATE(K4113,1)</f>
        <v>61</v>
      </c>
      <c r="K4114" s="6" t="e">
        <f t="array" ref="K4114:O4116">LINEST(B4110:B4115,C4110:C4115^{1,2,3,4},TRUE,TRUE)</f>
        <v>#VALUE!</v>
      </c>
      <c r="L4114" s="6" t="e">
        <v>#VALUE!</v>
      </c>
      <c r="M4114" s="6" t="e">
        <v>#VALUE!</v>
      </c>
      <c r="N4114" s="6" t="e">
        <v>#VALUE!</v>
      </c>
      <c r="O4114" s="6" t="e">
        <v>#VALUE!</v>
      </c>
      <c r="T4114" s="9"/>
      <c r="U4114" s="1">
        <f t="shared" si="7156"/>
        <v>94</v>
      </c>
      <c r="V4114" s="1">
        <f t="shared" si="7157"/>
        <v>221</v>
      </c>
    </row>
    <row r="4115" spans="1:22" x14ac:dyDescent="0.3">
      <c r="A4115" s="1">
        <f t="shared" si="7197"/>
        <v>94222</v>
      </c>
      <c r="B4115" s="4"/>
      <c r="C4115" s="4"/>
      <c r="D4115" s="4"/>
      <c r="E4115" s="4"/>
      <c r="F4115" s="14"/>
      <c r="G4115" s="8"/>
      <c r="H4115" s="7"/>
      <c r="J4115" s="24" t="str">
        <f t="shared" ref="J4115" si="7254">CONCATENATE(K4113,2)</f>
        <v>62</v>
      </c>
      <c r="K4115" s="6" t="e">
        <v>#VALUE!</v>
      </c>
      <c r="L4115" s="6" t="e">
        <v>#VALUE!</v>
      </c>
      <c r="M4115" s="6" t="e">
        <v>#VALUE!</v>
      </c>
      <c r="N4115" s="6" t="e">
        <v>#VALUE!</v>
      </c>
      <c r="O4115" s="6" t="e">
        <v>#VALUE!</v>
      </c>
      <c r="T4115" s="9"/>
      <c r="U4115" s="1">
        <f t="shared" si="7156"/>
        <v>94</v>
      </c>
      <c r="V4115" s="1">
        <f t="shared" si="7157"/>
        <v>222</v>
      </c>
    </row>
    <row r="4116" spans="1:22" x14ac:dyDescent="0.3">
      <c r="A4116" s="1">
        <f t="shared" si="7197"/>
        <v>94223</v>
      </c>
      <c r="B4116" s="4"/>
      <c r="C4116" s="4"/>
      <c r="D4116" s="4"/>
      <c r="E4116" s="4"/>
      <c r="F4116" s="14"/>
      <c r="G4116" s="8"/>
      <c r="H4116" s="7"/>
      <c r="J4116" s="24" t="str">
        <f t="shared" ref="J4116" si="7255">CONCATENATE(K4113,3)</f>
        <v>63</v>
      </c>
      <c r="K4116" s="6" t="e">
        <v>#VALUE!</v>
      </c>
      <c r="L4116" s="6" t="e">
        <v>#VALUE!</v>
      </c>
      <c r="M4116" s="6" t="e">
        <v>#VALUE!</v>
      </c>
      <c r="N4116" s="6" t="e">
        <v>#VALUE!</v>
      </c>
      <c r="O4116" s="6" t="e">
        <v>#VALUE!</v>
      </c>
      <c r="T4116" s="9"/>
      <c r="U4116" s="1">
        <f t="shared" si="7156"/>
        <v>94</v>
      </c>
      <c r="V4116" s="1">
        <f t="shared" si="7157"/>
        <v>223</v>
      </c>
    </row>
    <row r="4117" spans="1:22" x14ac:dyDescent="0.3">
      <c r="A4117" s="1">
        <f t="shared" si="7197"/>
        <v>94224</v>
      </c>
      <c r="B4117" s="4"/>
      <c r="C4117" s="4"/>
      <c r="D4117" s="4"/>
      <c r="E4117" s="4"/>
      <c r="F4117" s="14"/>
      <c r="G4117" s="8"/>
      <c r="H4117" s="7"/>
      <c r="K4117" s="1">
        <v>7</v>
      </c>
      <c r="L4117" s="1">
        <v>7</v>
      </c>
      <c r="M4117" s="1">
        <v>7</v>
      </c>
      <c r="N4117" s="1">
        <v>7</v>
      </c>
      <c r="O4117" s="1">
        <v>7</v>
      </c>
      <c r="P4117" s="1">
        <v>7</v>
      </c>
      <c r="T4117" s="9"/>
      <c r="U4117" s="1">
        <f t="shared" si="7156"/>
        <v>94</v>
      </c>
      <c r="V4117" s="1">
        <f t="shared" si="7157"/>
        <v>224</v>
      </c>
    </row>
    <row r="4118" spans="1:22" x14ac:dyDescent="0.3">
      <c r="A4118" s="1">
        <f t="shared" si="7197"/>
        <v>94225</v>
      </c>
      <c r="B4118" s="4"/>
      <c r="C4118" s="4"/>
      <c r="D4118" s="4"/>
      <c r="E4118" s="4"/>
      <c r="F4118" s="14"/>
      <c r="G4118" s="8"/>
      <c r="H4118" s="7"/>
      <c r="J4118" s="24" t="str">
        <f t="shared" ref="J4118" si="7256">CONCATENATE(K4117,1)</f>
        <v>71</v>
      </c>
      <c r="K4118" s="6" t="e">
        <f t="array" ref="K4118:P4120">LINEST(B4110:B4116,C4110:C4116^{1,2,3,4,5},TRUE,TRUE)</f>
        <v>#VALUE!</v>
      </c>
      <c r="L4118" s="6" t="e">
        <v>#VALUE!</v>
      </c>
      <c r="M4118" s="6" t="e">
        <v>#VALUE!</v>
      </c>
      <c r="N4118" s="6" t="e">
        <v>#VALUE!</v>
      </c>
      <c r="O4118" s="6" t="e">
        <v>#VALUE!</v>
      </c>
      <c r="P4118" s="6" t="e">
        <v>#VALUE!</v>
      </c>
      <c r="T4118" s="9"/>
      <c r="U4118" s="1">
        <f t="shared" si="7156"/>
        <v>94</v>
      </c>
      <c r="V4118" s="1">
        <f t="shared" si="7157"/>
        <v>225</v>
      </c>
    </row>
    <row r="4119" spans="1:22" x14ac:dyDescent="0.3">
      <c r="A4119" s="1">
        <f t="shared" si="7197"/>
        <v>94226</v>
      </c>
      <c r="B4119" s="4"/>
      <c r="C4119" s="4"/>
      <c r="D4119" s="4"/>
      <c r="E4119" s="4"/>
      <c r="F4119" s="14"/>
      <c r="G4119" s="8"/>
      <c r="H4119" s="7"/>
      <c r="J4119" s="24" t="str">
        <f t="shared" ref="J4119" si="7257">CONCATENATE(K4117,2)</f>
        <v>72</v>
      </c>
      <c r="K4119" s="6" t="e">
        <v>#VALUE!</v>
      </c>
      <c r="L4119" s="6" t="e">
        <v>#VALUE!</v>
      </c>
      <c r="M4119" s="6" t="e">
        <v>#VALUE!</v>
      </c>
      <c r="N4119" s="6" t="e">
        <v>#VALUE!</v>
      </c>
      <c r="O4119" s="6" t="e">
        <v>#VALUE!</v>
      </c>
      <c r="P4119" s="6" t="e">
        <v>#VALUE!</v>
      </c>
      <c r="T4119" s="9"/>
      <c r="U4119" s="1">
        <f t="shared" si="7156"/>
        <v>94</v>
      </c>
      <c r="V4119" s="1">
        <f t="shared" si="7157"/>
        <v>226</v>
      </c>
    </row>
    <row r="4120" spans="1:22" x14ac:dyDescent="0.3">
      <c r="A4120" s="1">
        <f t="shared" si="7197"/>
        <v>94227</v>
      </c>
      <c r="B4120" s="9"/>
      <c r="C4120" s="9"/>
      <c r="D4120" s="9"/>
      <c r="E4120" s="9"/>
      <c r="F4120" s="9"/>
      <c r="G4120" s="9"/>
      <c r="H4120" s="9"/>
      <c r="J4120" s="24" t="str">
        <f t="shared" ref="J4120" si="7258">CONCATENATE(K4117,3)</f>
        <v>73</v>
      </c>
      <c r="K4120" s="6" t="e">
        <v>#VALUE!</v>
      </c>
      <c r="L4120" s="6" t="e">
        <v>#VALUE!</v>
      </c>
      <c r="M4120" s="6" t="e">
        <v>#VALUE!</v>
      </c>
      <c r="N4120" s="6" t="e">
        <v>#VALUE!</v>
      </c>
      <c r="O4120" s="6" t="e">
        <v>#VALUE!</v>
      </c>
      <c r="P4120" s="6" t="e">
        <v>#VALUE!</v>
      </c>
      <c r="T4120" s="9"/>
      <c r="U4120" s="1">
        <f t="shared" si="7156"/>
        <v>94</v>
      </c>
      <c r="V4120" s="1">
        <f t="shared" si="7157"/>
        <v>227</v>
      </c>
    </row>
    <row r="4121" spans="1:22" x14ac:dyDescent="0.3">
      <c r="A4121" s="1">
        <f t="shared" si="7197"/>
        <v>94228</v>
      </c>
      <c r="B4121" s="87" t="s">
        <v>33</v>
      </c>
      <c r="C4121" s="88"/>
      <c r="D4121" s="88"/>
      <c r="E4121" s="88"/>
      <c r="F4121" s="88"/>
      <c r="G4121" s="88"/>
      <c r="H4121" s="89"/>
      <c r="K4121" s="1">
        <v>8</v>
      </c>
      <c r="L4121" s="1">
        <v>8</v>
      </c>
      <c r="M4121" s="1">
        <v>8</v>
      </c>
      <c r="N4121" s="1">
        <v>8</v>
      </c>
      <c r="O4121" s="1">
        <v>8</v>
      </c>
      <c r="P4121" s="1">
        <v>8</v>
      </c>
      <c r="Q4121" s="1">
        <v>8</v>
      </c>
      <c r="T4121" s="9"/>
      <c r="U4121" s="1">
        <f t="shared" si="7156"/>
        <v>94</v>
      </c>
      <c r="V4121" s="1">
        <f t="shared" si="7157"/>
        <v>228</v>
      </c>
    </row>
    <row r="4122" spans="1:22" x14ac:dyDescent="0.3">
      <c r="A4122" s="1">
        <f t="shared" si="7197"/>
        <v>94229</v>
      </c>
      <c r="B4122" s="90"/>
      <c r="C4122" s="91"/>
      <c r="D4122" s="91"/>
      <c r="E4122" s="91"/>
      <c r="F4122" s="91"/>
      <c r="G4122" s="91"/>
      <c r="H4122" s="92"/>
      <c r="J4122" s="24" t="str">
        <f t="shared" ref="J4122" si="7259">CONCATENATE(K4121,1)</f>
        <v>81</v>
      </c>
      <c r="K4122" s="6" t="e">
        <f t="array" ref="K4122:Q4124">LINEST(B4110:B4117,C4110:C4117^{1,2,3,4,5,6},TRUE,TRUE)</f>
        <v>#VALUE!</v>
      </c>
      <c r="L4122" s="6" t="e">
        <v>#VALUE!</v>
      </c>
      <c r="M4122" s="6" t="e">
        <v>#VALUE!</v>
      </c>
      <c r="N4122" s="6" t="e">
        <v>#VALUE!</v>
      </c>
      <c r="O4122" s="6" t="e">
        <v>#VALUE!</v>
      </c>
      <c r="P4122" s="6" t="e">
        <v>#VALUE!</v>
      </c>
      <c r="Q4122" s="6" t="e">
        <v>#VALUE!</v>
      </c>
      <c r="T4122" s="9"/>
      <c r="U4122" s="1">
        <f t="shared" si="7156"/>
        <v>94</v>
      </c>
      <c r="V4122" s="1">
        <f t="shared" si="7157"/>
        <v>229</v>
      </c>
    </row>
    <row r="4123" spans="1:22" x14ac:dyDescent="0.3">
      <c r="A4123" s="1">
        <f t="shared" si="7197"/>
        <v>94230</v>
      </c>
      <c r="B4123" s="93"/>
      <c r="C4123" s="94"/>
      <c r="D4123" s="94"/>
      <c r="E4123" s="94"/>
      <c r="F4123" s="94"/>
      <c r="G4123" s="94"/>
      <c r="H4123" s="95"/>
      <c r="J4123" s="24" t="str">
        <f t="shared" ref="J4123" si="7260">CONCATENATE(K4121,2)</f>
        <v>82</v>
      </c>
      <c r="K4123" s="6" t="e">
        <v>#VALUE!</v>
      </c>
      <c r="L4123" s="6" t="e">
        <v>#VALUE!</v>
      </c>
      <c r="M4123" s="6" t="e">
        <v>#VALUE!</v>
      </c>
      <c r="N4123" s="6" t="e">
        <v>#VALUE!</v>
      </c>
      <c r="O4123" s="6" t="e">
        <v>#VALUE!</v>
      </c>
      <c r="P4123" s="6" t="e">
        <v>#VALUE!</v>
      </c>
      <c r="Q4123" s="6" t="e">
        <v>#VALUE!</v>
      </c>
      <c r="T4123" s="9"/>
      <c r="U4123" s="1">
        <f t="shared" ref="U4123:U4186" si="7261">U4122</f>
        <v>94</v>
      </c>
      <c r="V4123" s="1">
        <f t="shared" ref="V4123:V4186" si="7262">V4122+1</f>
        <v>230</v>
      </c>
    </row>
    <row r="4124" spans="1:22" x14ac:dyDescent="0.3">
      <c r="A4124" s="1">
        <f t="shared" si="7197"/>
        <v>94231</v>
      </c>
      <c r="J4124" s="24" t="str">
        <f t="shared" ref="J4124" si="7263">CONCATENATE(K4121,3)</f>
        <v>83</v>
      </c>
      <c r="K4124" s="6" t="e">
        <v>#VALUE!</v>
      </c>
      <c r="L4124" s="6" t="e">
        <v>#VALUE!</v>
      </c>
      <c r="M4124" s="6" t="e">
        <v>#VALUE!</v>
      </c>
      <c r="N4124" s="6" t="e">
        <v>#VALUE!</v>
      </c>
      <c r="O4124" s="6" t="e">
        <v>#VALUE!</v>
      </c>
      <c r="P4124" s="6" t="e">
        <v>#VALUE!</v>
      </c>
      <c r="Q4124" s="6" t="e">
        <v>#VALUE!</v>
      </c>
      <c r="T4124" s="9"/>
      <c r="U4124" s="1">
        <f t="shared" si="7261"/>
        <v>94</v>
      </c>
      <c r="V4124" s="1">
        <f t="shared" si="7262"/>
        <v>231</v>
      </c>
    </row>
    <row r="4125" spans="1:22" ht="15" customHeight="1" x14ac:dyDescent="0.3">
      <c r="A4125" s="1">
        <f t="shared" si="7197"/>
        <v>94232</v>
      </c>
      <c r="B4125" s="10" t="s">
        <v>34</v>
      </c>
      <c r="C4125" s="10" t="s">
        <v>35</v>
      </c>
      <c r="D4125" s="10" t="s">
        <v>36</v>
      </c>
      <c r="E4125" s="74" t="s">
        <v>37</v>
      </c>
      <c r="F4125" s="75"/>
      <c r="G4125" s="76"/>
      <c r="K4125" s="1">
        <v>9</v>
      </c>
      <c r="L4125" s="1">
        <v>9</v>
      </c>
      <c r="M4125" s="1">
        <v>9</v>
      </c>
      <c r="N4125" s="1">
        <v>9</v>
      </c>
      <c r="O4125" s="1">
        <v>9</v>
      </c>
      <c r="P4125" s="1">
        <v>9</v>
      </c>
      <c r="Q4125" s="1">
        <v>9</v>
      </c>
      <c r="R4125" s="1">
        <v>9</v>
      </c>
      <c r="T4125" s="9"/>
      <c r="U4125" s="1">
        <f t="shared" si="7261"/>
        <v>94</v>
      </c>
      <c r="V4125" s="1">
        <f t="shared" si="7262"/>
        <v>232</v>
      </c>
    </row>
    <row r="4126" spans="1:22" x14ac:dyDescent="0.3">
      <c r="A4126" s="1">
        <f t="shared" si="7197"/>
        <v>94233</v>
      </c>
      <c r="B4126" s="12">
        <f t="shared" ref="B4126:B4135" si="7264">C4110-B4110</f>
        <v>0</v>
      </c>
      <c r="C4126" s="13">
        <f t="shared" ref="C4126:C4135" si="7265">H4110-G4110</f>
        <v>0</v>
      </c>
      <c r="D4126" s="10">
        <f t="shared" ref="D4126:D4135" si="7266">C4126-B4126</f>
        <v>0</v>
      </c>
      <c r="E4126" s="11" t="str">
        <f t="shared" ref="E4126" si="7267">IF(D4101="","",MAX(F4126,G4126))</f>
        <v/>
      </c>
      <c r="F4126" s="10">
        <f t="shared" ref="F4126" si="7268">ABS(MIN(D4126:D4135))</f>
        <v>0</v>
      </c>
      <c r="G4126" s="10">
        <f t="shared" ref="G4126" si="7269">ABS(MAX(D4126:D4135))</f>
        <v>0</v>
      </c>
      <c r="J4126" s="24" t="str">
        <f t="shared" ref="J4126" si="7270">CONCATENATE(K4125,1)</f>
        <v>91</v>
      </c>
      <c r="K4126" s="6" t="e">
        <f t="array" ref="K4126:R4128">LINEST(B4110:B4118,C4110:C4118^{1,2,3,4,5,6,7},TRUE,TRUE)</f>
        <v>#VALUE!</v>
      </c>
      <c r="L4126" s="6" t="e">
        <v>#VALUE!</v>
      </c>
      <c r="M4126" s="6" t="e">
        <v>#VALUE!</v>
      </c>
      <c r="N4126" s="6" t="e">
        <v>#VALUE!</v>
      </c>
      <c r="O4126" s="6" t="e">
        <v>#VALUE!</v>
      </c>
      <c r="P4126" s="6" t="e">
        <v>#VALUE!</v>
      </c>
      <c r="Q4126" s="6" t="e">
        <v>#VALUE!</v>
      </c>
      <c r="R4126" s="6" t="e">
        <v>#VALUE!</v>
      </c>
      <c r="T4126" s="9"/>
      <c r="U4126" s="1">
        <f t="shared" si="7261"/>
        <v>94</v>
      </c>
      <c r="V4126" s="1">
        <f t="shared" si="7262"/>
        <v>233</v>
      </c>
    </row>
    <row r="4127" spans="1:22" x14ac:dyDescent="0.3">
      <c r="A4127" s="1">
        <f t="shared" si="7197"/>
        <v>94234</v>
      </c>
      <c r="B4127" s="12">
        <f t="shared" si="7264"/>
        <v>0</v>
      </c>
      <c r="C4127" s="13">
        <f t="shared" si="7265"/>
        <v>0</v>
      </c>
      <c r="D4127" s="10">
        <f t="shared" si="7266"/>
        <v>0</v>
      </c>
      <c r="E4127" s="74" t="s">
        <v>38</v>
      </c>
      <c r="F4127" s="75"/>
      <c r="G4127" s="76"/>
      <c r="J4127" s="24" t="str">
        <f t="shared" ref="J4127" si="7271">CONCATENATE(K4125,2)</f>
        <v>92</v>
      </c>
      <c r="K4127" s="6" t="e">
        <v>#VALUE!</v>
      </c>
      <c r="L4127" s="6" t="e">
        <v>#VALUE!</v>
      </c>
      <c r="M4127" s="6" t="e">
        <v>#VALUE!</v>
      </c>
      <c r="N4127" s="6" t="e">
        <v>#VALUE!</v>
      </c>
      <c r="O4127" s="6" t="e">
        <v>#VALUE!</v>
      </c>
      <c r="P4127" s="6" t="e">
        <v>#VALUE!</v>
      </c>
      <c r="Q4127" s="6" t="e">
        <v>#VALUE!</v>
      </c>
      <c r="R4127" s="6" t="e">
        <v>#VALUE!</v>
      </c>
      <c r="T4127" s="9"/>
      <c r="U4127" s="1">
        <f t="shared" si="7261"/>
        <v>94</v>
      </c>
      <c r="V4127" s="1">
        <f t="shared" si="7262"/>
        <v>234</v>
      </c>
    </row>
    <row r="4128" spans="1:22" x14ac:dyDescent="0.3">
      <c r="A4128" s="1">
        <f t="shared" si="7197"/>
        <v>94235</v>
      </c>
      <c r="B4128" s="12">
        <f t="shared" si="7264"/>
        <v>0</v>
      </c>
      <c r="C4128" s="13">
        <f t="shared" si="7265"/>
        <v>0</v>
      </c>
      <c r="D4128" s="10">
        <f t="shared" si="7266"/>
        <v>0</v>
      </c>
      <c r="E4128" s="11" t="str">
        <f t="shared" ref="E4128" si="7272">IF(D4101="","",MAX(F4128,G4128))</f>
        <v/>
      </c>
      <c r="F4128" s="10">
        <f t="shared" ref="F4128" si="7273">ABS(MIN(B4126:B4135))</f>
        <v>0</v>
      </c>
      <c r="G4128" s="10">
        <f t="shared" ref="G4128" si="7274">ABS(MAX(B4126:B4135))</f>
        <v>0</v>
      </c>
      <c r="J4128" s="24" t="str">
        <f t="shared" ref="J4128" si="7275">CONCATENATE(K4125,3)</f>
        <v>93</v>
      </c>
      <c r="K4128" s="6" t="e">
        <v>#VALUE!</v>
      </c>
      <c r="L4128" s="6" t="e">
        <v>#VALUE!</v>
      </c>
      <c r="M4128" s="6" t="e">
        <v>#VALUE!</v>
      </c>
      <c r="N4128" s="6" t="e">
        <v>#VALUE!</v>
      </c>
      <c r="O4128" s="6" t="e">
        <v>#VALUE!</v>
      </c>
      <c r="P4128" s="6" t="e">
        <v>#VALUE!</v>
      </c>
      <c r="Q4128" s="6" t="e">
        <v>#VALUE!</v>
      </c>
      <c r="R4128" s="6" t="e">
        <v>#VALUE!</v>
      </c>
      <c r="T4128" s="9"/>
      <c r="U4128" s="1">
        <f t="shared" si="7261"/>
        <v>94</v>
      </c>
      <c r="V4128" s="1">
        <f t="shared" si="7262"/>
        <v>235</v>
      </c>
    </row>
    <row r="4129" spans="1:22" x14ac:dyDescent="0.3">
      <c r="A4129" s="1">
        <f t="shared" si="7197"/>
        <v>94236</v>
      </c>
      <c r="B4129" s="12">
        <f t="shared" si="7264"/>
        <v>0</v>
      </c>
      <c r="C4129" s="13">
        <f t="shared" si="7265"/>
        <v>0</v>
      </c>
      <c r="D4129" s="10">
        <f t="shared" si="7266"/>
        <v>0</v>
      </c>
      <c r="E4129" s="74" t="s">
        <v>39</v>
      </c>
      <c r="F4129" s="75"/>
      <c r="G4129" s="76"/>
      <c r="K4129" s="1">
        <v>10</v>
      </c>
      <c r="L4129" s="1">
        <v>10</v>
      </c>
      <c r="M4129" s="1">
        <v>10</v>
      </c>
      <c r="N4129" s="1">
        <v>10</v>
      </c>
      <c r="O4129" s="1">
        <v>10</v>
      </c>
      <c r="P4129" s="1">
        <v>10</v>
      </c>
      <c r="Q4129" s="1">
        <v>10</v>
      </c>
      <c r="R4129" s="1">
        <v>10</v>
      </c>
      <c r="S4129" s="1">
        <v>10</v>
      </c>
      <c r="T4129" s="9"/>
      <c r="U4129" s="1">
        <f t="shared" si="7261"/>
        <v>94</v>
      </c>
      <c r="V4129" s="1">
        <f t="shared" si="7262"/>
        <v>236</v>
      </c>
    </row>
    <row r="4130" spans="1:22" x14ac:dyDescent="0.3">
      <c r="A4130" s="1">
        <f t="shared" si="7197"/>
        <v>94237</v>
      </c>
      <c r="B4130" s="12">
        <f t="shared" si="7264"/>
        <v>0</v>
      </c>
      <c r="C4130" s="13">
        <f t="shared" si="7265"/>
        <v>0</v>
      </c>
      <c r="D4130" s="10">
        <f t="shared" si="7266"/>
        <v>0</v>
      </c>
      <c r="E4130" s="11" t="str">
        <f t="shared" ref="E4130" si="7276">IF(D4101="","",MAX(F4130,G4130))</f>
        <v/>
      </c>
      <c r="F4130" s="10">
        <f t="shared" ref="F4130" si="7277">ABS(MIN(D4110:D4119))</f>
        <v>0</v>
      </c>
      <c r="G4130" s="10">
        <f t="shared" ref="G4130" si="7278">ABS(MAX(D4110:D4119))</f>
        <v>0</v>
      </c>
      <c r="J4130" s="24" t="str">
        <f t="shared" ref="J4130" si="7279">CONCATENATE(K4129,1)</f>
        <v>101</v>
      </c>
      <c r="K4130" s="6" t="e">
        <f t="array" ref="K4130:S4132">LINEST(B4110:B4119,C4110:C4119^{1,2,3,4,5,6,7,8},TRUE,TRUE)</f>
        <v>#VALUE!</v>
      </c>
      <c r="L4130" s="6" t="e">
        <v>#VALUE!</v>
      </c>
      <c r="M4130" s="6" t="e">
        <v>#VALUE!</v>
      </c>
      <c r="N4130" s="6" t="e">
        <v>#VALUE!</v>
      </c>
      <c r="O4130" s="6" t="e">
        <v>#VALUE!</v>
      </c>
      <c r="P4130" s="6" t="e">
        <v>#VALUE!</v>
      </c>
      <c r="Q4130" s="6" t="e">
        <v>#VALUE!</v>
      </c>
      <c r="R4130" s="6" t="e">
        <v>#VALUE!</v>
      </c>
      <c r="S4130" s="6" t="e">
        <v>#VALUE!</v>
      </c>
      <c r="T4130" s="9"/>
      <c r="U4130" s="1">
        <f t="shared" si="7261"/>
        <v>94</v>
      </c>
      <c r="V4130" s="1">
        <f t="shared" si="7262"/>
        <v>237</v>
      </c>
    </row>
    <row r="4131" spans="1:22" x14ac:dyDescent="0.3">
      <c r="A4131" s="1">
        <f t="shared" si="7197"/>
        <v>94238</v>
      </c>
      <c r="B4131" s="12">
        <f t="shared" si="7264"/>
        <v>0</v>
      </c>
      <c r="C4131" s="13">
        <f t="shared" si="7265"/>
        <v>0</v>
      </c>
      <c r="D4131" s="10">
        <f t="shared" si="7266"/>
        <v>0</v>
      </c>
      <c r="J4131" s="24" t="str">
        <f t="shared" ref="J4131" si="7280">CONCATENATE(K4129,2)</f>
        <v>102</v>
      </c>
      <c r="K4131" s="6" t="e">
        <v>#VALUE!</v>
      </c>
      <c r="L4131" s="6" t="e">
        <v>#VALUE!</v>
      </c>
      <c r="M4131" s="6" t="e">
        <v>#VALUE!</v>
      </c>
      <c r="N4131" s="6" t="e">
        <v>#VALUE!</v>
      </c>
      <c r="O4131" s="6" t="e">
        <v>#VALUE!</v>
      </c>
      <c r="P4131" s="6" t="e">
        <v>#VALUE!</v>
      </c>
      <c r="Q4131" s="6" t="e">
        <v>#VALUE!</v>
      </c>
      <c r="R4131" s="6" t="e">
        <v>#VALUE!</v>
      </c>
      <c r="S4131" s="6" t="e">
        <v>#VALUE!</v>
      </c>
      <c r="T4131" s="9"/>
      <c r="U4131" s="1">
        <f t="shared" si="7261"/>
        <v>94</v>
      </c>
      <c r="V4131" s="1">
        <f t="shared" si="7262"/>
        <v>238</v>
      </c>
    </row>
    <row r="4132" spans="1:22" x14ac:dyDescent="0.3">
      <c r="A4132" s="1">
        <f t="shared" si="7197"/>
        <v>94239</v>
      </c>
      <c r="B4132" s="12">
        <f t="shared" si="7264"/>
        <v>0</v>
      </c>
      <c r="C4132" s="13">
        <f t="shared" si="7265"/>
        <v>0</v>
      </c>
      <c r="D4132" s="10">
        <f t="shared" si="7266"/>
        <v>0</v>
      </c>
      <c r="J4132" s="24" t="str">
        <f t="shared" ref="J4132" si="7281">CONCATENATE(K4129,3)</f>
        <v>103</v>
      </c>
      <c r="K4132" s="6" t="e">
        <v>#VALUE!</v>
      </c>
      <c r="L4132" s="6" t="e">
        <v>#VALUE!</v>
      </c>
      <c r="M4132" s="6" t="e">
        <v>#VALUE!</v>
      </c>
      <c r="N4132" s="6" t="e">
        <v>#VALUE!</v>
      </c>
      <c r="O4132" s="6" t="e">
        <v>#VALUE!</v>
      </c>
      <c r="P4132" s="6" t="e">
        <v>#VALUE!</v>
      </c>
      <c r="Q4132" s="6" t="e">
        <v>#VALUE!</v>
      </c>
      <c r="R4132" s="6" t="e">
        <v>#VALUE!</v>
      </c>
      <c r="S4132" s="6" t="e">
        <v>#VALUE!</v>
      </c>
      <c r="T4132" s="9"/>
      <c r="U4132" s="1">
        <f t="shared" si="7261"/>
        <v>94</v>
      </c>
      <c r="V4132" s="1">
        <f t="shared" si="7262"/>
        <v>239</v>
      </c>
    </row>
    <row r="4133" spans="1:22" x14ac:dyDescent="0.3">
      <c r="A4133" s="1">
        <f t="shared" si="7197"/>
        <v>94240</v>
      </c>
      <c r="B4133" s="12">
        <f t="shared" si="7264"/>
        <v>0</v>
      </c>
      <c r="C4133" s="13">
        <f t="shared" si="7265"/>
        <v>0</v>
      </c>
      <c r="D4133" s="10">
        <f t="shared" si="7266"/>
        <v>0</v>
      </c>
      <c r="J4133" s="9"/>
      <c r="K4133" s="9"/>
      <c r="L4133" s="9"/>
      <c r="M4133" s="9"/>
      <c r="N4133" s="9"/>
      <c r="O4133" s="9"/>
      <c r="P4133" s="9"/>
      <c r="Q4133" s="9"/>
      <c r="R4133" s="9"/>
      <c r="S4133" s="9"/>
      <c r="T4133" s="9"/>
      <c r="U4133" s="1">
        <f t="shared" si="7261"/>
        <v>94</v>
      </c>
      <c r="V4133" s="1">
        <f t="shared" si="7262"/>
        <v>240</v>
      </c>
    </row>
    <row r="4134" spans="1:22" x14ac:dyDescent="0.3">
      <c r="A4134" s="1">
        <f t="shared" si="7197"/>
        <v>94241</v>
      </c>
      <c r="B4134" s="12">
        <f t="shared" si="7264"/>
        <v>0</v>
      </c>
      <c r="C4134" s="13">
        <f t="shared" si="7265"/>
        <v>0</v>
      </c>
      <c r="D4134" s="10">
        <f t="shared" si="7266"/>
        <v>0</v>
      </c>
      <c r="J4134" s="9"/>
      <c r="K4134" s="9"/>
      <c r="L4134" s="9"/>
      <c r="M4134" s="9"/>
      <c r="N4134" s="9"/>
      <c r="O4134" s="9"/>
      <c r="P4134" s="9"/>
      <c r="Q4134" s="9"/>
      <c r="R4134" s="9"/>
      <c r="S4134" s="9"/>
      <c r="T4134" s="9"/>
      <c r="U4134" s="1">
        <f t="shared" si="7261"/>
        <v>94</v>
      </c>
      <c r="V4134" s="1">
        <f t="shared" si="7262"/>
        <v>241</v>
      </c>
    </row>
    <row r="4135" spans="1:22" x14ac:dyDescent="0.3">
      <c r="A4135" s="1">
        <f t="shared" si="7197"/>
        <v>94242</v>
      </c>
      <c r="B4135" s="12">
        <f t="shared" si="7264"/>
        <v>0</v>
      </c>
      <c r="C4135" s="13">
        <f t="shared" si="7265"/>
        <v>0</v>
      </c>
      <c r="D4135" s="10">
        <f t="shared" si="7266"/>
        <v>0</v>
      </c>
      <c r="J4135" s="9"/>
      <c r="K4135" s="9"/>
      <c r="L4135" s="9"/>
      <c r="M4135" s="9"/>
      <c r="N4135" s="9"/>
      <c r="O4135" s="9"/>
      <c r="P4135" s="9"/>
      <c r="Q4135" s="9"/>
      <c r="R4135" s="9"/>
      <c r="S4135" s="9"/>
      <c r="T4135" s="9"/>
      <c r="U4135" s="1">
        <f t="shared" si="7261"/>
        <v>94</v>
      </c>
      <c r="V4135" s="1">
        <f t="shared" si="7262"/>
        <v>242</v>
      </c>
    </row>
    <row r="4136" spans="1:22" x14ac:dyDescent="0.3">
      <c r="A4136" s="1">
        <f t="shared" si="7197"/>
        <v>94243</v>
      </c>
      <c r="J4136" s="9"/>
      <c r="K4136" s="9"/>
      <c r="L4136" s="9"/>
      <c r="M4136" s="9"/>
      <c r="N4136" s="9"/>
      <c r="O4136" s="9"/>
      <c r="P4136" s="9"/>
      <c r="Q4136" s="9"/>
      <c r="R4136" s="9"/>
      <c r="S4136" s="9"/>
      <c r="T4136" s="9"/>
      <c r="U4136" s="1">
        <f t="shared" si="7261"/>
        <v>94</v>
      </c>
      <c r="V4136" s="1">
        <f t="shared" si="7262"/>
        <v>243</v>
      </c>
    </row>
    <row r="4137" spans="1:22" s="5" customFormat="1" x14ac:dyDescent="0.3"/>
    <row r="4138" spans="1:22" x14ac:dyDescent="0.3">
      <c r="A4138" s="1">
        <f t="shared" ref="A4138:A4180" si="7282">ROUND(CONCATENATE(U4138,V4138),0)</f>
        <v>95201</v>
      </c>
      <c r="B4138" s="96" t="s">
        <v>0</v>
      </c>
      <c r="C4138" s="97"/>
      <c r="D4138" s="98"/>
      <c r="E4138" s="99"/>
      <c r="F4138" s="99"/>
      <c r="G4138" s="99"/>
      <c r="H4138" s="100"/>
      <c r="J4138" s="9"/>
      <c r="K4138" s="9"/>
      <c r="L4138" s="9"/>
      <c r="M4138" s="9"/>
      <c r="N4138" s="9"/>
      <c r="O4138" s="9"/>
      <c r="P4138" s="9"/>
      <c r="Q4138" s="9"/>
      <c r="R4138" s="9"/>
      <c r="S4138" s="9"/>
      <c r="T4138" s="9"/>
      <c r="U4138" s="1">
        <f t="shared" ref="U4138" si="7283">U4136+1</f>
        <v>95</v>
      </c>
      <c r="V4138" s="1">
        <v>201</v>
      </c>
    </row>
    <row r="4139" spans="1:22" x14ac:dyDescent="0.3">
      <c r="A4139" s="1">
        <f t="shared" si="7282"/>
        <v>95202</v>
      </c>
      <c r="B4139" s="96" t="s">
        <v>1</v>
      </c>
      <c r="C4139" s="97"/>
      <c r="D4139" s="15"/>
      <c r="E4139" s="16" t="s">
        <v>2</v>
      </c>
      <c r="F4139" s="107"/>
      <c r="G4139" s="108"/>
      <c r="H4139" s="109"/>
      <c r="J4139" s="9"/>
      <c r="K4139" s="9"/>
      <c r="L4139" s="9"/>
      <c r="M4139" s="9"/>
      <c r="N4139" s="9"/>
      <c r="O4139" s="9"/>
      <c r="P4139" s="9"/>
      <c r="Q4139" s="9"/>
      <c r="R4139" s="9"/>
      <c r="S4139" s="9"/>
      <c r="T4139" s="9"/>
      <c r="U4139" s="1">
        <f t="shared" ref="U4139" si="7284">U4138</f>
        <v>95</v>
      </c>
      <c r="V4139" s="1">
        <f t="shared" ref="V4139" si="7285">V4138+1</f>
        <v>202</v>
      </c>
    </row>
    <row r="4140" spans="1:22" x14ac:dyDescent="0.3">
      <c r="A4140" s="1">
        <f t="shared" si="7282"/>
        <v>95203</v>
      </c>
      <c r="B4140" s="96" t="s">
        <v>12</v>
      </c>
      <c r="C4140" s="97"/>
      <c r="D4140" s="98"/>
      <c r="E4140" s="99"/>
      <c r="F4140" s="99"/>
      <c r="G4140" s="99"/>
      <c r="H4140" s="100"/>
      <c r="K4140" s="1" t="s">
        <v>3</v>
      </c>
      <c r="L4140" s="1" t="s">
        <v>4</v>
      </c>
      <c r="M4140" s="1" t="s">
        <v>5</v>
      </c>
      <c r="N4140" s="1" t="s">
        <v>6</v>
      </c>
      <c r="O4140" s="1" t="s">
        <v>7</v>
      </c>
      <c r="P4140" s="1" t="s">
        <v>8</v>
      </c>
      <c r="Q4140" s="1" t="s">
        <v>9</v>
      </c>
      <c r="R4140" s="1" t="s">
        <v>10</v>
      </c>
      <c r="S4140" s="1" t="s">
        <v>11</v>
      </c>
      <c r="T4140" s="9"/>
      <c r="U4140" s="1">
        <f t="shared" si="7261"/>
        <v>95</v>
      </c>
      <c r="V4140" s="1">
        <f t="shared" si="7262"/>
        <v>203</v>
      </c>
    </row>
    <row r="4141" spans="1:22" x14ac:dyDescent="0.3">
      <c r="A4141" s="1">
        <f t="shared" si="7282"/>
        <v>95204</v>
      </c>
      <c r="B4141" s="96" t="s">
        <v>13</v>
      </c>
      <c r="C4141" s="97"/>
      <c r="D4141" s="98"/>
      <c r="E4141" s="99"/>
      <c r="F4141" s="99"/>
      <c r="G4141" s="99"/>
      <c r="H4141" s="100"/>
      <c r="J4141" s="1">
        <f t="shared" ref="J4141" si="7286">COUNTA(B4154:B4163)</f>
        <v>0</v>
      </c>
      <c r="K4141" s="1">
        <f t="shared" ref="K4141" si="7287">IF(L4141-1&lt;2,0,L4141-1)</f>
        <v>0</v>
      </c>
      <c r="L4141" s="1">
        <f t="shared" ref="L4141" si="7288">IF(M4141-1&lt;2,0,M4141-1)</f>
        <v>0</v>
      </c>
      <c r="M4141" s="1">
        <f t="shared" ref="M4141" si="7289">IF(N4141-1&lt;2,0,N4141-1)</f>
        <v>0</v>
      </c>
      <c r="N4141" s="1">
        <f t="shared" ref="N4141" si="7290">IF(O4141-1&lt;2,0,O4141-1)</f>
        <v>0</v>
      </c>
      <c r="O4141" s="1">
        <f t="shared" ref="O4141" si="7291">IF(P4141-1&lt;2,0,P4141-1)</f>
        <v>0</v>
      </c>
      <c r="P4141" s="1">
        <f t="shared" ref="P4141" si="7292">IF(Q4141-1&lt;2,0,Q4141-1)</f>
        <v>0</v>
      </c>
      <c r="Q4141" s="1">
        <f t="shared" ref="Q4141" si="7293">IF(R4141-1&lt;2,0,R4141-1)</f>
        <v>0</v>
      </c>
      <c r="R4141" s="1">
        <f t="shared" ref="R4141" si="7294">IF(S4141-1&lt;2,0,S4141-1)</f>
        <v>0</v>
      </c>
      <c r="S4141" s="1">
        <f t="shared" ref="S4141" si="7295">J4141</f>
        <v>0</v>
      </c>
      <c r="T4141" s="9"/>
      <c r="U4141" s="1">
        <f t="shared" si="7261"/>
        <v>95</v>
      </c>
      <c r="V4141" s="1">
        <f t="shared" si="7262"/>
        <v>204</v>
      </c>
    </row>
    <row r="4142" spans="1:22" x14ac:dyDescent="0.3">
      <c r="A4142" s="1">
        <f t="shared" si="7282"/>
        <v>95205</v>
      </c>
      <c r="B4142" s="96" t="s">
        <v>14</v>
      </c>
      <c r="C4142" s="97"/>
      <c r="D4142" s="98"/>
      <c r="E4142" s="99"/>
      <c r="F4142" s="99"/>
      <c r="G4142" s="99"/>
      <c r="H4142" s="100"/>
      <c r="J4142" s="24" t="str">
        <f t="shared" ref="J4142" si="7296">CONCATENATE(J4141,1)</f>
        <v>01</v>
      </c>
      <c r="K4142" s="25">
        <f t="shared" ref="K4142" si="7297">IF(K4141=0,0,VLOOKUP(J4142,J4146:S4176,K4141,FALSE))</f>
        <v>0</v>
      </c>
      <c r="L4142" s="25">
        <f t="shared" ref="L4142" si="7298">IF(L4141=0,0,VLOOKUP(J4142,J4146:S4176,L4141,FALSE))</f>
        <v>0</v>
      </c>
      <c r="M4142" s="25">
        <f t="shared" ref="M4142" si="7299">IF(M4141=0,0,VLOOKUP(J4142,J4146:S4176,M4141,FALSE))</f>
        <v>0</v>
      </c>
      <c r="N4142" s="25">
        <f t="shared" ref="N4142" si="7300">IF(N4141=0,0,VLOOKUP(J4142,J4146:S4176,N4141,FALSE))</f>
        <v>0</v>
      </c>
      <c r="O4142" s="25">
        <f t="shared" ref="O4142" si="7301">IF(O4141=0,0,VLOOKUP(J4142,J4146:S4176,O4141,FALSE))</f>
        <v>0</v>
      </c>
      <c r="P4142" s="25">
        <f t="shared" ref="P4142" si="7302">IF(P4141=0,0,VLOOKUP(J4142,J4146:S4176,P4141,FALSE))</f>
        <v>0</v>
      </c>
      <c r="Q4142" s="25">
        <f t="shared" ref="Q4142" si="7303">IF(Q4141=0,0,VLOOKUP(J4142,J4146:S4176,Q4141,FALSE))</f>
        <v>0</v>
      </c>
      <c r="R4142" s="25">
        <f t="shared" ref="R4142" si="7304">IF(R4141=0,0,VLOOKUP(J4142,J4146:S4176,R4141,FALSE))</f>
        <v>0</v>
      </c>
      <c r="S4142" s="25">
        <f t="shared" ref="S4142" si="7305">IF(S4141=0,0,VLOOKUP(J4142,J4146:S4176,S4141,FALSE))</f>
        <v>0</v>
      </c>
      <c r="T4142" s="9"/>
      <c r="U4142" s="1">
        <f t="shared" si="7261"/>
        <v>95</v>
      </c>
      <c r="V4142" s="1">
        <f t="shared" si="7262"/>
        <v>205</v>
      </c>
    </row>
    <row r="4143" spans="1:22" x14ac:dyDescent="0.3">
      <c r="A4143" s="1">
        <f t="shared" si="7282"/>
        <v>95206</v>
      </c>
      <c r="B4143" s="96" t="s">
        <v>15</v>
      </c>
      <c r="C4143" s="97"/>
      <c r="D4143" s="98"/>
      <c r="E4143" s="99"/>
      <c r="F4143" s="99"/>
      <c r="G4143" s="99"/>
      <c r="H4143" s="100"/>
      <c r="J4143" s="24" t="str">
        <f t="shared" ref="J4143" si="7306">CONCATENATE(J4141,2)</f>
        <v>02</v>
      </c>
      <c r="K4143" s="6">
        <f t="shared" ref="K4143" si="7307">IF(K4141=0,0,VLOOKUP(J4143,J4146:S4176,K4141,FALSE))</f>
        <v>0</v>
      </c>
      <c r="L4143" s="6">
        <f t="shared" ref="L4143" si="7308">IF(L4141=0,0,VLOOKUP(J4143,J4146:S4176,L4141,FALSE))</f>
        <v>0</v>
      </c>
      <c r="M4143" s="6">
        <f t="shared" ref="M4143" si="7309">IF(M4141=0,0,VLOOKUP(J4143,J4146:S4176,M4141,FALSE))</f>
        <v>0</v>
      </c>
      <c r="N4143" s="6">
        <f t="shared" ref="N4143" si="7310">IF(N4141=0,0,VLOOKUP(J4143,J4146:S4176,N4141,FALSE))</f>
        <v>0</v>
      </c>
      <c r="O4143" s="6">
        <f t="shared" ref="O4143" si="7311">IF(O4141=0,0,VLOOKUP(J4143,J4146:S4176,O4141,FALSE))</f>
        <v>0</v>
      </c>
      <c r="P4143" s="6">
        <f t="shared" ref="P4143" si="7312">IF(P4141=0,0,VLOOKUP(J4143,J4146:S4176,P4141,FALSE))</f>
        <v>0</v>
      </c>
      <c r="Q4143" s="6">
        <f t="shared" ref="Q4143" si="7313">IF(Q4141=0,0,VLOOKUP(J4143,J4146:S4176,Q4141,FALSE))</f>
        <v>0</v>
      </c>
      <c r="R4143" s="6">
        <f t="shared" ref="R4143" si="7314">IF(R4141=0,0,VLOOKUP(J4143,J4146:S4176,R4141,FALSE))</f>
        <v>0</v>
      </c>
      <c r="S4143" s="6">
        <f t="shared" ref="S4143" si="7315">IF(S4141=0,0,VLOOKUP(J4143,J4146:S4176,S4141,FALSE))</f>
        <v>0</v>
      </c>
      <c r="T4143" s="9"/>
      <c r="U4143" s="1">
        <f t="shared" si="7261"/>
        <v>95</v>
      </c>
      <c r="V4143" s="1">
        <f t="shared" si="7262"/>
        <v>206</v>
      </c>
    </row>
    <row r="4144" spans="1:22" x14ac:dyDescent="0.3">
      <c r="A4144" s="1">
        <f t="shared" si="7282"/>
        <v>95207</v>
      </c>
      <c r="B4144" s="96" t="s">
        <v>16</v>
      </c>
      <c r="C4144" s="97"/>
      <c r="D4144" s="101"/>
      <c r="E4144" s="102"/>
      <c r="F4144" s="102"/>
      <c r="G4144" s="102"/>
      <c r="H4144" s="103"/>
      <c r="J4144" s="24" t="str">
        <f t="shared" ref="J4144" si="7316">CONCATENATE(J4141,3)</f>
        <v>03</v>
      </c>
      <c r="K4144" s="6"/>
      <c r="L4144" s="6"/>
      <c r="M4144" s="6"/>
      <c r="N4144" s="6" t="s">
        <v>43</v>
      </c>
      <c r="O4144" s="25">
        <f t="shared" ref="O4144" si="7317">J4141-2</f>
        <v>-2</v>
      </c>
      <c r="P4144" s="6" t="s">
        <v>44</v>
      </c>
      <c r="Q4144" s="25" t="e">
        <f t="shared" ref="Q4144" si="7318">VLOOKUP(J4144,J4146:S4176,3,FALSE)</f>
        <v>#N/A</v>
      </c>
      <c r="R4144" s="6" t="s">
        <v>45</v>
      </c>
      <c r="S4144" s="6" t="e">
        <f t="shared" ref="S4144" si="7319">VLOOKUP(J4144,J4146:S4176,2,FALSE)</f>
        <v>#N/A</v>
      </c>
      <c r="T4144" s="9"/>
      <c r="U4144" s="1">
        <f t="shared" si="7261"/>
        <v>95</v>
      </c>
      <c r="V4144" s="1">
        <f t="shared" si="7262"/>
        <v>207</v>
      </c>
    </row>
    <row r="4145" spans="1:22" x14ac:dyDescent="0.3">
      <c r="A4145" s="1">
        <f t="shared" si="7282"/>
        <v>95208</v>
      </c>
      <c r="B4145" s="96" t="s">
        <v>17</v>
      </c>
      <c r="C4145" s="97"/>
      <c r="D4145" s="104"/>
      <c r="E4145" s="105"/>
      <c r="F4145" s="105"/>
      <c r="G4145" s="105"/>
      <c r="H4145" s="106"/>
      <c r="K4145" s="1">
        <v>3</v>
      </c>
      <c r="L4145" s="1">
        <v>3</v>
      </c>
      <c r="Q4145" s="26"/>
      <c r="R4145" s="26"/>
      <c r="S4145" s="26"/>
      <c r="T4145" s="9"/>
      <c r="U4145" s="1">
        <f t="shared" si="7261"/>
        <v>95</v>
      </c>
      <c r="V4145" s="1">
        <f t="shared" si="7262"/>
        <v>208</v>
      </c>
    </row>
    <row r="4146" spans="1:22" x14ac:dyDescent="0.3">
      <c r="A4146" s="1">
        <f t="shared" si="7282"/>
        <v>95209</v>
      </c>
      <c r="B4146" s="77" t="s">
        <v>19</v>
      </c>
      <c r="C4146" s="78"/>
      <c r="D4146" s="17"/>
      <c r="E4146" s="79" t="s">
        <v>40</v>
      </c>
      <c r="F4146" s="80"/>
      <c r="G4146" s="81"/>
      <c r="H4146" s="18" t="s">
        <v>72</v>
      </c>
      <c r="J4146" s="24" t="str">
        <f t="shared" ref="J4146" si="7320">CONCATENATE(K4145,1)</f>
        <v>31</v>
      </c>
      <c r="K4146" s="6" t="e">
        <f t="array" ref="K4146:L4148">LINEST(B4154:B4156,C4154:C4156^{1},TRUE,TRUE)</f>
        <v>#VALUE!</v>
      </c>
      <c r="L4146" s="6" t="e">
        <v>#VALUE!</v>
      </c>
      <c r="Q4146" s="9"/>
      <c r="R4146" s="9"/>
      <c r="S4146" s="9"/>
      <c r="T4146" s="9"/>
      <c r="U4146" s="1">
        <f t="shared" si="7261"/>
        <v>95</v>
      </c>
      <c r="V4146" s="1">
        <f t="shared" si="7262"/>
        <v>209</v>
      </c>
    </row>
    <row r="4147" spans="1:22" x14ac:dyDescent="0.3">
      <c r="A4147" s="1">
        <f t="shared" si="7282"/>
        <v>95210</v>
      </c>
      <c r="B4147" s="77" t="s">
        <v>41</v>
      </c>
      <c r="C4147" s="78"/>
      <c r="D4147" s="23">
        <f t="shared" ref="D4147" si="7321">MIN(B4154:B4163)</f>
        <v>0</v>
      </c>
      <c r="E4147" s="20" t="s">
        <v>18</v>
      </c>
      <c r="F4147" s="19">
        <f t="shared" ref="F4147" si="7322">MAX(B4154:B4163)</f>
        <v>0</v>
      </c>
      <c r="G4147" s="21" t="str">
        <f t="shared" ref="G4147" si="7323">IF(H4146="","",H4146)</f>
        <v>%ur</v>
      </c>
      <c r="H4147" s="22"/>
      <c r="J4147" s="24" t="str">
        <f t="shared" ref="J4147" si="7324">CONCATENATE(K4145,2)</f>
        <v>32</v>
      </c>
      <c r="K4147" s="6" t="e">
        <v>#VALUE!</v>
      </c>
      <c r="L4147" s="6" t="e">
        <v>#VALUE!</v>
      </c>
      <c r="Q4147" s="9"/>
      <c r="R4147" s="9"/>
      <c r="S4147" s="9"/>
      <c r="T4147" s="9"/>
      <c r="U4147" s="1">
        <f t="shared" si="7261"/>
        <v>95</v>
      </c>
      <c r="V4147" s="1">
        <f t="shared" si="7262"/>
        <v>210</v>
      </c>
    </row>
    <row r="4148" spans="1:22" x14ac:dyDescent="0.3">
      <c r="A4148" s="1">
        <f t="shared" si="7282"/>
        <v>95211</v>
      </c>
      <c r="J4148" s="24" t="str">
        <f t="shared" ref="J4148" si="7325">CONCATENATE(K4145,3)</f>
        <v>33</v>
      </c>
      <c r="K4148" s="6" t="e">
        <v>#VALUE!</v>
      </c>
      <c r="L4148" s="6" t="e">
        <v>#VALUE!</v>
      </c>
      <c r="Q4148" s="9"/>
      <c r="R4148" s="9"/>
      <c r="S4148" s="9"/>
      <c r="T4148" s="9"/>
      <c r="U4148" s="1">
        <f t="shared" si="7261"/>
        <v>95</v>
      </c>
      <c r="V4148" s="1">
        <f t="shared" si="7262"/>
        <v>211</v>
      </c>
    </row>
    <row r="4149" spans="1:22" x14ac:dyDescent="0.3">
      <c r="A4149" s="1">
        <f t="shared" si="7282"/>
        <v>95212</v>
      </c>
      <c r="B4149" s="82" t="s">
        <v>20</v>
      </c>
      <c r="C4149" s="83"/>
      <c r="D4149" s="83"/>
      <c r="E4149" s="83"/>
      <c r="F4149" s="84"/>
      <c r="G4149" s="85" t="s">
        <v>31</v>
      </c>
      <c r="H4149" s="86"/>
      <c r="K4149" s="1">
        <v>4</v>
      </c>
      <c r="L4149" s="1">
        <v>4</v>
      </c>
      <c r="M4149" s="1">
        <v>4</v>
      </c>
      <c r="Q4149" s="9"/>
      <c r="R4149" s="9"/>
      <c r="S4149" s="9"/>
      <c r="T4149" s="9"/>
      <c r="U4149" s="1">
        <f t="shared" si="7261"/>
        <v>95</v>
      </c>
      <c r="V4149" s="1">
        <f t="shared" si="7262"/>
        <v>212</v>
      </c>
    </row>
    <row r="4150" spans="1:22" x14ac:dyDescent="0.3">
      <c r="A4150" s="1">
        <f t="shared" si="7282"/>
        <v>95213</v>
      </c>
      <c r="B4150" s="82" t="s">
        <v>30</v>
      </c>
      <c r="C4150" s="83"/>
      <c r="D4150" s="84"/>
      <c r="E4150" s="82">
        <f t="shared" ref="E4150" si="7326">D4143</f>
        <v>0</v>
      </c>
      <c r="F4150" s="84"/>
      <c r="G4150" s="6" t="s">
        <v>32</v>
      </c>
      <c r="H4150" s="7"/>
      <c r="J4150" s="24" t="str">
        <f t="shared" ref="J4150" si="7327">CONCATENATE(K4149,1)</f>
        <v>41</v>
      </c>
      <c r="K4150" s="6" t="e">
        <f t="array" ref="K4150:M4152">LINEST(B4154:B4157,C4154:C4157^{1,2},TRUE,TRUE)</f>
        <v>#VALUE!</v>
      </c>
      <c r="L4150" s="6" t="e">
        <v>#VALUE!</v>
      </c>
      <c r="M4150" s="6" t="e">
        <v>#VALUE!</v>
      </c>
      <c r="Q4150" s="9"/>
      <c r="R4150" s="9"/>
      <c r="S4150" s="9"/>
      <c r="T4150" s="9"/>
      <c r="U4150" s="1">
        <f t="shared" si="7261"/>
        <v>95</v>
      </c>
      <c r="V4150" s="1">
        <f t="shared" si="7262"/>
        <v>213</v>
      </c>
    </row>
    <row r="4151" spans="1:22" x14ac:dyDescent="0.3">
      <c r="A4151" s="1">
        <f t="shared" si="7282"/>
        <v>95214</v>
      </c>
      <c r="B4151" s="2" t="s">
        <v>21</v>
      </c>
      <c r="C4151" s="2" t="s">
        <v>22</v>
      </c>
      <c r="D4151" s="2" t="s">
        <v>23</v>
      </c>
      <c r="E4151" s="2"/>
      <c r="F4151" s="2" t="s">
        <v>28</v>
      </c>
      <c r="G4151" s="2" t="s">
        <v>21</v>
      </c>
      <c r="H4151" s="2" t="s">
        <v>22</v>
      </c>
      <c r="J4151" s="24" t="str">
        <f t="shared" ref="J4151" si="7328">CONCATENATE(K4149,2)</f>
        <v>42</v>
      </c>
      <c r="K4151" s="6" t="e">
        <v>#VALUE!</v>
      </c>
      <c r="L4151" s="6" t="e">
        <v>#VALUE!</v>
      </c>
      <c r="M4151" s="6" t="e">
        <v>#VALUE!</v>
      </c>
      <c r="Q4151" s="9"/>
      <c r="R4151" s="9"/>
      <c r="S4151" s="9"/>
      <c r="T4151" s="9"/>
      <c r="U4151" s="1">
        <f t="shared" si="7261"/>
        <v>95</v>
      </c>
      <c r="V4151" s="1">
        <f t="shared" si="7262"/>
        <v>214</v>
      </c>
    </row>
    <row r="4152" spans="1:22" x14ac:dyDescent="0.3">
      <c r="A4152" s="1">
        <f t="shared" si="7282"/>
        <v>95215</v>
      </c>
      <c r="B4152" s="2" t="s">
        <v>24</v>
      </c>
      <c r="C4152" s="2" t="s">
        <v>25</v>
      </c>
      <c r="D4152" s="2" t="s">
        <v>26</v>
      </c>
      <c r="E4152" s="2" t="s">
        <v>27</v>
      </c>
      <c r="F4152" s="2" t="s">
        <v>29</v>
      </c>
      <c r="G4152" s="2" t="s">
        <v>24</v>
      </c>
      <c r="H4152" s="2" t="s">
        <v>25</v>
      </c>
      <c r="J4152" s="24" t="str">
        <f t="shared" ref="J4152" si="7329">CONCATENATE(K4149,3)</f>
        <v>43</v>
      </c>
      <c r="K4152" s="6" t="e">
        <v>#VALUE!</v>
      </c>
      <c r="L4152" s="6" t="e">
        <v>#VALUE!</v>
      </c>
      <c r="M4152" s="6" t="e">
        <v>#VALUE!</v>
      </c>
      <c r="Q4152" s="9"/>
      <c r="R4152" s="9"/>
      <c r="S4152" s="9"/>
      <c r="T4152" s="9"/>
      <c r="U4152" s="1">
        <f t="shared" si="7261"/>
        <v>95</v>
      </c>
      <c r="V4152" s="1">
        <f t="shared" si="7262"/>
        <v>215</v>
      </c>
    </row>
    <row r="4153" spans="1:22" x14ac:dyDescent="0.3">
      <c r="A4153" s="1">
        <f t="shared" si="7282"/>
        <v>95216</v>
      </c>
      <c r="B4153" s="3" t="str">
        <f t="shared" ref="B4153" si="7330">H4146</f>
        <v>%ur</v>
      </c>
      <c r="C4153" s="3" t="str">
        <f t="shared" ref="C4153" si="7331">B4153</f>
        <v>%ur</v>
      </c>
      <c r="D4153" s="3" t="str">
        <f t="shared" ref="D4153" si="7332">C4153</f>
        <v>%ur</v>
      </c>
      <c r="E4153" s="3"/>
      <c r="F4153" s="3"/>
      <c r="G4153" s="3" t="str">
        <f t="shared" ref="G4153" si="7333">D4153</f>
        <v>%ur</v>
      </c>
      <c r="H4153" s="3" t="str">
        <f t="shared" ref="H4153" si="7334">G4153</f>
        <v>%ur</v>
      </c>
      <c r="K4153" s="1">
        <v>5</v>
      </c>
      <c r="L4153" s="1">
        <v>5</v>
      </c>
      <c r="M4153" s="1">
        <v>5</v>
      </c>
      <c r="N4153" s="1">
        <v>5</v>
      </c>
      <c r="Q4153" s="9"/>
      <c r="R4153" s="9"/>
      <c r="S4153" s="9"/>
      <c r="T4153" s="9"/>
      <c r="U4153" s="1">
        <f t="shared" si="7261"/>
        <v>95</v>
      </c>
      <c r="V4153" s="1">
        <f t="shared" si="7262"/>
        <v>216</v>
      </c>
    </row>
    <row r="4154" spans="1:22" x14ac:dyDescent="0.3">
      <c r="A4154" s="1">
        <f t="shared" si="7282"/>
        <v>95217</v>
      </c>
      <c r="B4154" s="4"/>
      <c r="C4154" s="4"/>
      <c r="D4154" s="4"/>
      <c r="E4154" s="4"/>
      <c r="F4154" s="14"/>
      <c r="G4154" s="8"/>
      <c r="H4154" s="7"/>
      <c r="J4154" s="24" t="str">
        <f t="shared" ref="J4154" si="7335">CONCATENATE(K4153,1)</f>
        <v>51</v>
      </c>
      <c r="K4154" s="6" t="e">
        <f t="array" ref="K4154:N4156">LINEST(B4154:B4158,C4154:C4158^{1,2,3},TRUE,TRUE)</f>
        <v>#VALUE!</v>
      </c>
      <c r="L4154" s="6" t="e">
        <v>#VALUE!</v>
      </c>
      <c r="M4154" s="6" t="e">
        <v>#VALUE!</v>
      </c>
      <c r="N4154" s="6" t="e">
        <v>#VALUE!</v>
      </c>
      <c r="Q4154" s="9"/>
      <c r="R4154" s="9"/>
      <c r="S4154" s="9"/>
      <c r="T4154" s="9"/>
      <c r="U4154" s="1">
        <f t="shared" si="7261"/>
        <v>95</v>
      </c>
      <c r="V4154" s="1">
        <f t="shared" si="7262"/>
        <v>217</v>
      </c>
    </row>
    <row r="4155" spans="1:22" x14ac:dyDescent="0.3">
      <c r="A4155" s="1">
        <f t="shared" si="7282"/>
        <v>95218</v>
      </c>
      <c r="B4155" s="4"/>
      <c r="C4155" s="4"/>
      <c r="D4155" s="4"/>
      <c r="E4155" s="4"/>
      <c r="F4155" s="14"/>
      <c r="G4155" s="8"/>
      <c r="H4155" s="7"/>
      <c r="J4155" s="24" t="str">
        <f t="shared" ref="J4155" si="7336">CONCATENATE(K4153,2)</f>
        <v>52</v>
      </c>
      <c r="K4155" s="6" t="e">
        <v>#VALUE!</v>
      </c>
      <c r="L4155" s="6" t="e">
        <v>#VALUE!</v>
      </c>
      <c r="M4155" s="6" t="e">
        <v>#VALUE!</v>
      </c>
      <c r="N4155" s="6" t="e">
        <v>#VALUE!</v>
      </c>
      <c r="T4155" s="9"/>
      <c r="U4155" s="1">
        <f t="shared" si="7261"/>
        <v>95</v>
      </c>
      <c r="V4155" s="1">
        <f t="shared" si="7262"/>
        <v>218</v>
      </c>
    </row>
    <row r="4156" spans="1:22" x14ac:dyDescent="0.3">
      <c r="A4156" s="1">
        <f t="shared" si="7282"/>
        <v>95219</v>
      </c>
      <c r="B4156" s="4"/>
      <c r="C4156" s="4"/>
      <c r="D4156" s="4"/>
      <c r="E4156" s="4"/>
      <c r="F4156" s="14"/>
      <c r="G4156" s="8"/>
      <c r="H4156" s="7"/>
      <c r="J4156" s="24" t="str">
        <f t="shared" ref="J4156" si="7337">CONCATENATE(K4153,3)</f>
        <v>53</v>
      </c>
      <c r="K4156" s="6" t="e">
        <v>#VALUE!</v>
      </c>
      <c r="L4156" s="6" t="e">
        <v>#VALUE!</v>
      </c>
      <c r="M4156" s="6" t="e">
        <v>#VALUE!</v>
      </c>
      <c r="N4156" s="6" t="e">
        <v>#VALUE!</v>
      </c>
      <c r="T4156" s="9"/>
      <c r="U4156" s="1">
        <f t="shared" si="7261"/>
        <v>95</v>
      </c>
      <c r="V4156" s="1">
        <f t="shared" si="7262"/>
        <v>219</v>
      </c>
    </row>
    <row r="4157" spans="1:22" x14ac:dyDescent="0.3">
      <c r="A4157" s="1">
        <f t="shared" si="7282"/>
        <v>95220</v>
      </c>
      <c r="B4157" s="4"/>
      <c r="C4157" s="4"/>
      <c r="D4157" s="4"/>
      <c r="E4157" s="4"/>
      <c r="F4157" s="14"/>
      <c r="G4157" s="8"/>
      <c r="H4157" s="7"/>
      <c r="K4157" s="1">
        <v>6</v>
      </c>
      <c r="L4157" s="1">
        <v>6</v>
      </c>
      <c r="M4157" s="1">
        <v>6</v>
      </c>
      <c r="N4157" s="1">
        <v>6</v>
      </c>
      <c r="O4157" s="1">
        <v>6</v>
      </c>
      <c r="T4157" s="9"/>
      <c r="U4157" s="1">
        <f t="shared" si="7261"/>
        <v>95</v>
      </c>
      <c r="V4157" s="1">
        <f t="shared" si="7262"/>
        <v>220</v>
      </c>
    </row>
    <row r="4158" spans="1:22" x14ac:dyDescent="0.3">
      <c r="A4158" s="1">
        <f t="shared" si="7282"/>
        <v>95221</v>
      </c>
      <c r="B4158" s="4"/>
      <c r="C4158" s="4"/>
      <c r="D4158" s="4"/>
      <c r="E4158" s="4"/>
      <c r="F4158" s="14"/>
      <c r="G4158" s="8"/>
      <c r="H4158" s="7"/>
      <c r="J4158" s="24" t="str">
        <f t="shared" ref="J4158" si="7338">CONCATENATE(K4157,1)</f>
        <v>61</v>
      </c>
      <c r="K4158" s="6" t="e">
        <f t="array" ref="K4158:O4160">LINEST(B4154:B4159,C4154:C4159^{1,2,3,4},TRUE,TRUE)</f>
        <v>#VALUE!</v>
      </c>
      <c r="L4158" s="6" t="e">
        <v>#VALUE!</v>
      </c>
      <c r="M4158" s="6" t="e">
        <v>#VALUE!</v>
      </c>
      <c r="N4158" s="6" t="e">
        <v>#VALUE!</v>
      </c>
      <c r="O4158" s="6" t="e">
        <v>#VALUE!</v>
      </c>
      <c r="T4158" s="9"/>
      <c r="U4158" s="1">
        <f t="shared" si="7261"/>
        <v>95</v>
      </c>
      <c r="V4158" s="1">
        <f t="shared" si="7262"/>
        <v>221</v>
      </c>
    </row>
    <row r="4159" spans="1:22" x14ac:dyDescent="0.3">
      <c r="A4159" s="1">
        <f t="shared" si="7282"/>
        <v>95222</v>
      </c>
      <c r="B4159" s="4"/>
      <c r="C4159" s="4"/>
      <c r="D4159" s="4"/>
      <c r="E4159" s="4"/>
      <c r="F4159" s="14"/>
      <c r="G4159" s="8"/>
      <c r="H4159" s="7"/>
      <c r="J4159" s="24" t="str">
        <f t="shared" ref="J4159" si="7339">CONCATENATE(K4157,2)</f>
        <v>62</v>
      </c>
      <c r="K4159" s="6" t="e">
        <v>#VALUE!</v>
      </c>
      <c r="L4159" s="6" t="e">
        <v>#VALUE!</v>
      </c>
      <c r="M4159" s="6" t="e">
        <v>#VALUE!</v>
      </c>
      <c r="N4159" s="6" t="e">
        <v>#VALUE!</v>
      </c>
      <c r="O4159" s="6" t="e">
        <v>#VALUE!</v>
      </c>
      <c r="T4159" s="9"/>
      <c r="U4159" s="1">
        <f t="shared" si="7261"/>
        <v>95</v>
      </c>
      <c r="V4159" s="1">
        <f t="shared" si="7262"/>
        <v>222</v>
      </c>
    </row>
    <row r="4160" spans="1:22" x14ac:dyDescent="0.3">
      <c r="A4160" s="1">
        <f t="shared" si="7282"/>
        <v>95223</v>
      </c>
      <c r="B4160" s="4"/>
      <c r="C4160" s="4"/>
      <c r="D4160" s="4"/>
      <c r="E4160" s="4"/>
      <c r="F4160" s="14"/>
      <c r="G4160" s="8"/>
      <c r="H4160" s="7"/>
      <c r="J4160" s="24" t="str">
        <f t="shared" ref="J4160" si="7340">CONCATENATE(K4157,3)</f>
        <v>63</v>
      </c>
      <c r="K4160" s="6" t="e">
        <v>#VALUE!</v>
      </c>
      <c r="L4160" s="6" t="e">
        <v>#VALUE!</v>
      </c>
      <c r="M4160" s="6" t="e">
        <v>#VALUE!</v>
      </c>
      <c r="N4160" s="6" t="e">
        <v>#VALUE!</v>
      </c>
      <c r="O4160" s="6" t="e">
        <v>#VALUE!</v>
      </c>
      <c r="T4160" s="9"/>
      <c r="U4160" s="1">
        <f t="shared" si="7261"/>
        <v>95</v>
      </c>
      <c r="V4160" s="1">
        <f t="shared" si="7262"/>
        <v>223</v>
      </c>
    </row>
    <row r="4161" spans="1:22" x14ac:dyDescent="0.3">
      <c r="A4161" s="1">
        <f t="shared" si="7282"/>
        <v>95224</v>
      </c>
      <c r="B4161" s="4"/>
      <c r="C4161" s="4"/>
      <c r="D4161" s="4"/>
      <c r="E4161" s="4"/>
      <c r="F4161" s="14"/>
      <c r="G4161" s="8"/>
      <c r="H4161" s="7"/>
      <c r="K4161" s="1">
        <v>7</v>
      </c>
      <c r="L4161" s="1">
        <v>7</v>
      </c>
      <c r="M4161" s="1">
        <v>7</v>
      </c>
      <c r="N4161" s="1">
        <v>7</v>
      </c>
      <c r="O4161" s="1">
        <v>7</v>
      </c>
      <c r="P4161" s="1">
        <v>7</v>
      </c>
      <c r="T4161" s="9"/>
      <c r="U4161" s="1">
        <f t="shared" si="7261"/>
        <v>95</v>
      </c>
      <c r="V4161" s="1">
        <f t="shared" si="7262"/>
        <v>224</v>
      </c>
    </row>
    <row r="4162" spans="1:22" x14ac:dyDescent="0.3">
      <c r="A4162" s="1">
        <f t="shared" si="7282"/>
        <v>95225</v>
      </c>
      <c r="B4162" s="4"/>
      <c r="C4162" s="4"/>
      <c r="D4162" s="4"/>
      <c r="E4162" s="4"/>
      <c r="F4162" s="14"/>
      <c r="G4162" s="8"/>
      <c r="H4162" s="7"/>
      <c r="J4162" s="24" t="str">
        <f t="shared" ref="J4162" si="7341">CONCATENATE(K4161,1)</f>
        <v>71</v>
      </c>
      <c r="K4162" s="6" t="e">
        <f t="array" ref="K4162:P4164">LINEST(B4154:B4160,C4154:C4160^{1,2,3,4,5},TRUE,TRUE)</f>
        <v>#VALUE!</v>
      </c>
      <c r="L4162" s="6" t="e">
        <v>#VALUE!</v>
      </c>
      <c r="M4162" s="6" t="e">
        <v>#VALUE!</v>
      </c>
      <c r="N4162" s="6" t="e">
        <v>#VALUE!</v>
      </c>
      <c r="O4162" s="6" t="e">
        <v>#VALUE!</v>
      </c>
      <c r="P4162" s="6" t="e">
        <v>#VALUE!</v>
      </c>
      <c r="T4162" s="9"/>
      <c r="U4162" s="1">
        <f t="shared" si="7261"/>
        <v>95</v>
      </c>
      <c r="V4162" s="1">
        <f t="shared" si="7262"/>
        <v>225</v>
      </c>
    </row>
    <row r="4163" spans="1:22" x14ac:dyDescent="0.3">
      <c r="A4163" s="1">
        <f t="shared" si="7282"/>
        <v>95226</v>
      </c>
      <c r="B4163" s="4"/>
      <c r="C4163" s="4"/>
      <c r="D4163" s="4"/>
      <c r="E4163" s="4"/>
      <c r="F4163" s="14"/>
      <c r="G4163" s="8"/>
      <c r="H4163" s="7"/>
      <c r="J4163" s="24" t="str">
        <f t="shared" ref="J4163" si="7342">CONCATENATE(K4161,2)</f>
        <v>72</v>
      </c>
      <c r="K4163" s="6" t="e">
        <v>#VALUE!</v>
      </c>
      <c r="L4163" s="6" t="e">
        <v>#VALUE!</v>
      </c>
      <c r="M4163" s="6" t="e">
        <v>#VALUE!</v>
      </c>
      <c r="N4163" s="6" t="e">
        <v>#VALUE!</v>
      </c>
      <c r="O4163" s="6" t="e">
        <v>#VALUE!</v>
      </c>
      <c r="P4163" s="6" t="e">
        <v>#VALUE!</v>
      </c>
      <c r="T4163" s="9"/>
      <c r="U4163" s="1">
        <f t="shared" si="7261"/>
        <v>95</v>
      </c>
      <c r="V4163" s="1">
        <f t="shared" si="7262"/>
        <v>226</v>
      </c>
    </row>
    <row r="4164" spans="1:22" x14ac:dyDescent="0.3">
      <c r="A4164" s="1">
        <f t="shared" si="7282"/>
        <v>95227</v>
      </c>
      <c r="B4164" s="9"/>
      <c r="C4164" s="9"/>
      <c r="D4164" s="9"/>
      <c r="E4164" s="9"/>
      <c r="F4164" s="9"/>
      <c r="G4164" s="9"/>
      <c r="H4164" s="9"/>
      <c r="J4164" s="24" t="str">
        <f t="shared" ref="J4164" si="7343">CONCATENATE(K4161,3)</f>
        <v>73</v>
      </c>
      <c r="K4164" s="6" t="e">
        <v>#VALUE!</v>
      </c>
      <c r="L4164" s="6" t="e">
        <v>#VALUE!</v>
      </c>
      <c r="M4164" s="6" t="e">
        <v>#VALUE!</v>
      </c>
      <c r="N4164" s="6" t="e">
        <v>#VALUE!</v>
      </c>
      <c r="O4164" s="6" t="e">
        <v>#VALUE!</v>
      </c>
      <c r="P4164" s="6" t="e">
        <v>#VALUE!</v>
      </c>
      <c r="T4164" s="9"/>
      <c r="U4164" s="1">
        <f t="shared" si="7261"/>
        <v>95</v>
      </c>
      <c r="V4164" s="1">
        <f t="shared" si="7262"/>
        <v>227</v>
      </c>
    </row>
    <row r="4165" spans="1:22" x14ac:dyDescent="0.3">
      <c r="A4165" s="1">
        <f t="shared" si="7282"/>
        <v>95228</v>
      </c>
      <c r="B4165" s="87" t="s">
        <v>33</v>
      </c>
      <c r="C4165" s="88"/>
      <c r="D4165" s="88"/>
      <c r="E4165" s="88"/>
      <c r="F4165" s="88"/>
      <c r="G4165" s="88"/>
      <c r="H4165" s="89"/>
      <c r="K4165" s="1">
        <v>8</v>
      </c>
      <c r="L4165" s="1">
        <v>8</v>
      </c>
      <c r="M4165" s="1">
        <v>8</v>
      </c>
      <c r="N4165" s="1">
        <v>8</v>
      </c>
      <c r="O4165" s="1">
        <v>8</v>
      </c>
      <c r="P4165" s="1">
        <v>8</v>
      </c>
      <c r="Q4165" s="1">
        <v>8</v>
      </c>
      <c r="T4165" s="9"/>
      <c r="U4165" s="1">
        <f t="shared" si="7261"/>
        <v>95</v>
      </c>
      <c r="V4165" s="1">
        <f t="shared" si="7262"/>
        <v>228</v>
      </c>
    </row>
    <row r="4166" spans="1:22" x14ac:dyDescent="0.3">
      <c r="A4166" s="1">
        <f t="shared" si="7282"/>
        <v>95229</v>
      </c>
      <c r="B4166" s="90"/>
      <c r="C4166" s="91"/>
      <c r="D4166" s="91"/>
      <c r="E4166" s="91"/>
      <c r="F4166" s="91"/>
      <c r="G4166" s="91"/>
      <c r="H4166" s="92"/>
      <c r="J4166" s="24" t="str">
        <f t="shared" ref="J4166" si="7344">CONCATENATE(K4165,1)</f>
        <v>81</v>
      </c>
      <c r="K4166" s="6" t="e">
        <f t="array" ref="K4166:Q4168">LINEST(B4154:B4161,C4154:C4161^{1,2,3,4,5,6},TRUE,TRUE)</f>
        <v>#VALUE!</v>
      </c>
      <c r="L4166" s="6" t="e">
        <v>#VALUE!</v>
      </c>
      <c r="M4166" s="6" t="e">
        <v>#VALUE!</v>
      </c>
      <c r="N4166" s="6" t="e">
        <v>#VALUE!</v>
      </c>
      <c r="O4166" s="6" t="e">
        <v>#VALUE!</v>
      </c>
      <c r="P4166" s="6" t="e">
        <v>#VALUE!</v>
      </c>
      <c r="Q4166" s="6" t="e">
        <v>#VALUE!</v>
      </c>
      <c r="T4166" s="9"/>
      <c r="U4166" s="1">
        <f t="shared" si="7261"/>
        <v>95</v>
      </c>
      <c r="V4166" s="1">
        <f t="shared" si="7262"/>
        <v>229</v>
      </c>
    </row>
    <row r="4167" spans="1:22" x14ac:dyDescent="0.3">
      <c r="A4167" s="1">
        <f t="shared" si="7282"/>
        <v>95230</v>
      </c>
      <c r="B4167" s="93"/>
      <c r="C4167" s="94"/>
      <c r="D4167" s="94"/>
      <c r="E4167" s="94"/>
      <c r="F4167" s="94"/>
      <c r="G4167" s="94"/>
      <c r="H4167" s="95"/>
      <c r="J4167" s="24" t="str">
        <f t="shared" ref="J4167" si="7345">CONCATENATE(K4165,2)</f>
        <v>82</v>
      </c>
      <c r="K4167" s="6" t="e">
        <v>#VALUE!</v>
      </c>
      <c r="L4167" s="6" t="e">
        <v>#VALUE!</v>
      </c>
      <c r="M4167" s="6" t="e">
        <v>#VALUE!</v>
      </c>
      <c r="N4167" s="6" t="e">
        <v>#VALUE!</v>
      </c>
      <c r="O4167" s="6" t="e">
        <v>#VALUE!</v>
      </c>
      <c r="P4167" s="6" t="e">
        <v>#VALUE!</v>
      </c>
      <c r="Q4167" s="6" t="e">
        <v>#VALUE!</v>
      </c>
      <c r="T4167" s="9"/>
      <c r="U4167" s="1">
        <f t="shared" si="7261"/>
        <v>95</v>
      </c>
      <c r="V4167" s="1">
        <f t="shared" si="7262"/>
        <v>230</v>
      </c>
    </row>
    <row r="4168" spans="1:22" x14ac:dyDescent="0.3">
      <c r="A4168" s="1">
        <f t="shared" si="7282"/>
        <v>95231</v>
      </c>
      <c r="J4168" s="24" t="str">
        <f t="shared" ref="J4168" si="7346">CONCATENATE(K4165,3)</f>
        <v>83</v>
      </c>
      <c r="K4168" s="6" t="e">
        <v>#VALUE!</v>
      </c>
      <c r="L4168" s="6" t="e">
        <v>#VALUE!</v>
      </c>
      <c r="M4168" s="6" t="e">
        <v>#VALUE!</v>
      </c>
      <c r="N4168" s="6" t="e">
        <v>#VALUE!</v>
      </c>
      <c r="O4168" s="6" t="e">
        <v>#VALUE!</v>
      </c>
      <c r="P4168" s="6" t="e">
        <v>#VALUE!</v>
      </c>
      <c r="Q4168" s="6" t="e">
        <v>#VALUE!</v>
      </c>
      <c r="T4168" s="9"/>
      <c r="U4168" s="1">
        <f t="shared" si="7261"/>
        <v>95</v>
      </c>
      <c r="V4168" s="1">
        <f t="shared" si="7262"/>
        <v>231</v>
      </c>
    </row>
    <row r="4169" spans="1:22" ht="15" customHeight="1" x14ac:dyDescent="0.3">
      <c r="A4169" s="1">
        <f t="shared" si="7282"/>
        <v>95232</v>
      </c>
      <c r="B4169" s="10" t="s">
        <v>34</v>
      </c>
      <c r="C4169" s="10" t="s">
        <v>35</v>
      </c>
      <c r="D4169" s="10" t="s">
        <v>36</v>
      </c>
      <c r="E4169" s="74" t="s">
        <v>37</v>
      </c>
      <c r="F4169" s="75"/>
      <c r="G4169" s="76"/>
      <c r="K4169" s="1">
        <v>9</v>
      </c>
      <c r="L4169" s="1">
        <v>9</v>
      </c>
      <c r="M4169" s="1">
        <v>9</v>
      </c>
      <c r="N4169" s="1">
        <v>9</v>
      </c>
      <c r="O4169" s="1">
        <v>9</v>
      </c>
      <c r="P4169" s="1">
        <v>9</v>
      </c>
      <c r="Q4169" s="1">
        <v>9</v>
      </c>
      <c r="R4169" s="1">
        <v>9</v>
      </c>
      <c r="T4169" s="9"/>
      <c r="U4169" s="1">
        <f t="shared" si="7261"/>
        <v>95</v>
      </c>
      <c r="V4169" s="1">
        <f t="shared" si="7262"/>
        <v>232</v>
      </c>
    </row>
    <row r="4170" spans="1:22" x14ac:dyDescent="0.3">
      <c r="A4170" s="1">
        <f t="shared" si="7282"/>
        <v>95233</v>
      </c>
      <c r="B4170" s="12">
        <f t="shared" ref="B4170:B4179" si="7347">C4154-B4154</f>
        <v>0</v>
      </c>
      <c r="C4170" s="13">
        <f t="shared" ref="C4170:C4179" si="7348">H4154-G4154</f>
        <v>0</v>
      </c>
      <c r="D4170" s="10">
        <f t="shared" ref="D4170:D4179" si="7349">C4170-B4170</f>
        <v>0</v>
      </c>
      <c r="E4170" s="11" t="str">
        <f t="shared" ref="E4170" si="7350">IF(D4145="","",MAX(F4170,G4170))</f>
        <v/>
      </c>
      <c r="F4170" s="10">
        <f t="shared" ref="F4170" si="7351">ABS(MIN(D4170:D4179))</f>
        <v>0</v>
      </c>
      <c r="G4170" s="10">
        <f t="shared" ref="G4170" si="7352">ABS(MAX(D4170:D4179))</f>
        <v>0</v>
      </c>
      <c r="J4170" s="24" t="str">
        <f t="shared" ref="J4170" si="7353">CONCATENATE(K4169,1)</f>
        <v>91</v>
      </c>
      <c r="K4170" s="6" t="e">
        <f t="array" ref="K4170:R4172">LINEST(B4154:B4162,C4154:C4162^{1,2,3,4,5,6,7},TRUE,TRUE)</f>
        <v>#VALUE!</v>
      </c>
      <c r="L4170" s="6" t="e">
        <v>#VALUE!</v>
      </c>
      <c r="M4170" s="6" t="e">
        <v>#VALUE!</v>
      </c>
      <c r="N4170" s="6" t="e">
        <v>#VALUE!</v>
      </c>
      <c r="O4170" s="6" t="e">
        <v>#VALUE!</v>
      </c>
      <c r="P4170" s="6" t="e">
        <v>#VALUE!</v>
      </c>
      <c r="Q4170" s="6" t="e">
        <v>#VALUE!</v>
      </c>
      <c r="R4170" s="6" t="e">
        <v>#VALUE!</v>
      </c>
      <c r="T4170" s="9"/>
      <c r="U4170" s="1">
        <f t="shared" si="7261"/>
        <v>95</v>
      </c>
      <c r="V4170" s="1">
        <f t="shared" si="7262"/>
        <v>233</v>
      </c>
    </row>
    <row r="4171" spans="1:22" x14ac:dyDescent="0.3">
      <c r="A4171" s="1">
        <f t="shared" si="7282"/>
        <v>95234</v>
      </c>
      <c r="B4171" s="12">
        <f t="shared" si="7347"/>
        <v>0</v>
      </c>
      <c r="C4171" s="13">
        <f t="shared" si="7348"/>
        <v>0</v>
      </c>
      <c r="D4171" s="10">
        <f t="shared" si="7349"/>
        <v>0</v>
      </c>
      <c r="E4171" s="74" t="s">
        <v>38</v>
      </c>
      <c r="F4171" s="75"/>
      <c r="G4171" s="76"/>
      <c r="J4171" s="24" t="str">
        <f t="shared" ref="J4171" si="7354">CONCATENATE(K4169,2)</f>
        <v>92</v>
      </c>
      <c r="K4171" s="6" t="e">
        <v>#VALUE!</v>
      </c>
      <c r="L4171" s="6" t="e">
        <v>#VALUE!</v>
      </c>
      <c r="M4171" s="6" t="e">
        <v>#VALUE!</v>
      </c>
      <c r="N4171" s="6" t="e">
        <v>#VALUE!</v>
      </c>
      <c r="O4171" s="6" t="e">
        <v>#VALUE!</v>
      </c>
      <c r="P4171" s="6" t="e">
        <v>#VALUE!</v>
      </c>
      <c r="Q4171" s="6" t="e">
        <v>#VALUE!</v>
      </c>
      <c r="R4171" s="6" t="e">
        <v>#VALUE!</v>
      </c>
      <c r="T4171" s="9"/>
      <c r="U4171" s="1">
        <f t="shared" si="7261"/>
        <v>95</v>
      </c>
      <c r="V4171" s="1">
        <f t="shared" si="7262"/>
        <v>234</v>
      </c>
    </row>
    <row r="4172" spans="1:22" x14ac:dyDescent="0.3">
      <c r="A4172" s="1">
        <f t="shared" si="7282"/>
        <v>95235</v>
      </c>
      <c r="B4172" s="12">
        <f t="shared" si="7347"/>
        <v>0</v>
      </c>
      <c r="C4172" s="13">
        <f t="shared" si="7348"/>
        <v>0</v>
      </c>
      <c r="D4172" s="10">
        <f t="shared" si="7349"/>
        <v>0</v>
      </c>
      <c r="E4172" s="11" t="str">
        <f t="shared" ref="E4172" si="7355">IF(D4145="","",MAX(F4172,G4172))</f>
        <v/>
      </c>
      <c r="F4172" s="10">
        <f t="shared" ref="F4172" si="7356">ABS(MIN(B4170:B4179))</f>
        <v>0</v>
      </c>
      <c r="G4172" s="10">
        <f t="shared" ref="G4172" si="7357">ABS(MAX(B4170:B4179))</f>
        <v>0</v>
      </c>
      <c r="J4172" s="24" t="str">
        <f t="shared" ref="J4172" si="7358">CONCATENATE(K4169,3)</f>
        <v>93</v>
      </c>
      <c r="K4172" s="6" t="e">
        <v>#VALUE!</v>
      </c>
      <c r="L4172" s="6" t="e">
        <v>#VALUE!</v>
      </c>
      <c r="M4172" s="6" t="e">
        <v>#VALUE!</v>
      </c>
      <c r="N4172" s="6" t="e">
        <v>#VALUE!</v>
      </c>
      <c r="O4172" s="6" t="e">
        <v>#VALUE!</v>
      </c>
      <c r="P4172" s="6" t="e">
        <v>#VALUE!</v>
      </c>
      <c r="Q4172" s="6" t="e">
        <v>#VALUE!</v>
      </c>
      <c r="R4172" s="6" t="e">
        <v>#VALUE!</v>
      </c>
      <c r="T4172" s="9"/>
      <c r="U4172" s="1">
        <f t="shared" si="7261"/>
        <v>95</v>
      </c>
      <c r="V4172" s="1">
        <f t="shared" si="7262"/>
        <v>235</v>
      </c>
    </row>
    <row r="4173" spans="1:22" x14ac:dyDescent="0.3">
      <c r="A4173" s="1">
        <f t="shared" si="7282"/>
        <v>95236</v>
      </c>
      <c r="B4173" s="12">
        <f t="shared" si="7347"/>
        <v>0</v>
      </c>
      <c r="C4173" s="13">
        <f t="shared" si="7348"/>
        <v>0</v>
      </c>
      <c r="D4173" s="10">
        <f t="shared" si="7349"/>
        <v>0</v>
      </c>
      <c r="E4173" s="74" t="s">
        <v>39</v>
      </c>
      <c r="F4173" s="75"/>
      <c r="G4173" s="76"/>
      <c r="K4173" s="1">
        <v>10</v>
      </c>
      <c r="L4173" s="1">
        <v>10</v>
      </c>
      <c r="M4173" s="1">
        <v>10</v>
      </c>
      <c r="N4173" s="1">
        <v>10</v>
      </c>
      <c r="O4173" s="1">
        <v>10</v>
      </c>
      <c r="P4173" s="1">
        <v>10</v>
      </c>
      <c r="Q4173" s="1">
        <v>10</v>
      </c>
      <c r="R4173" s="1">
        <v>10</v>
      </c>
      <c r="S4173" s="1">
        <v>10</v>
      </c>
      <c r="T4173" s="9"/>
      <c r="U4173" s="1">
        <f t="shared" si="7261"/>
        <v>95</v>
      </c>
      <c r="V4173" s="1">
        <f t="shared" si="7262"/>
        <v>236</v>
      </c>
    </row>
    <row r="4174" spans="1:22" x14ac:dyDescent="0.3">
      <c r="A4174" s="1">
        <f t="shared" si="7282"/>
        <v>95237</v>
      </c>
      <c r="B4174" s="12">
        <f t="shared" si="7347"/>
        <v>0</v>
      </c>
      <c r="C4174" s="13">
        <f t="shared" si="7348"/>
        <v>0</v>
      </c>
      <c r="D4174" s="10">
        <f t="shared" si="7349"/>
        <v>0</v>
      </c>
      <c r="E4174" s="11" t="str">
        <f t="shared" ref="E4174" si="7359">IF(D4145="","",MAX(F4174,G4174))</f>
        <v/>
      </c>
      <c r="F4174" s="10">
        <f t="shared" ref="F4174" si="7360">ABS(MIN(D4154:D4163))</f>
        <v>0</v>
      </c>
      <c r="G4174" s="10">
        <f t="shared" ref="G4174" si="7361">ABS(MAX(D4154:D4163))</f>
        <v>0</v>
      </c>
      <c r="J4174" s="24" t="str">
        <f t="shared" ref="J4174" si="7362">CONCATENATE(K4173,1)</f>
        <v>101</v>
      </c>
      <c r="K4174" s="6" t="e">
        <f t="array" ref="K4174:S4176">LINEST(B4154:B4163,C4154:C4163^{1,2,3,4,5,6,7,8},TRUE,TRUE)</f>
        <v>#VALUE!</v>
      </c>
      <c r="L4174" s="6" t="e">
        <v>#VALUE!</v>
      </c>
      <c r="M4174" s="6" t="e">
        <v>#VALUE!</v>
      </c>
      <c r="N4174" s="6" t="e">
        <v>#VALUE!</v>
      </c>
      <c r="O4174" s="6" t="e">
        <v>#VALUE!</v>
      </c>
      <c r="P4174" s="6" t="e">
        <v>#VALUE!</v>
      </c>
      <c r="Q4174" s="6" t="e">
        <v>#VALUE!</v>
      </c>
      <c r="R4174" s="6" t="e">
        <v>#VALUE!</v>
      </c>
      <c r="S4174" s="6" t="e">
        <v>#VALUE!</v>
      </c>
      <c r="T4174" s="9"/>
      <c r="U4174" s="1">
        <f t="shared" si="7261"/>
        <v>95</v>
      </c>
      <c r="V4174" s="1">
        <f t="shared" si="7262"/>
        <v>237</v>
      </c>
    </row>
    <row r="4175" spans="1:22" x14ac:dyDescent="0.3">
      <c r="A4175" s="1">
        <f t="shared" si="7282"/>
        <v>95238</v>
      </c>
      <c r="B4175" s="12">
        <f t="shared" si="7347"/>
        <v>0</v>
      </c>
      <c r="C4175" s="13">
        <f t="shared" si="7348"/>
        <v>0</v>
      </c>
      <c r="D4175" s="10">
        <f t="shared" si="7349"/>
        <v>0</v>
      </c>
      <c r="J4175" s="24" t="str">
        <f t="shared" ref="J4175" si="7363">CONCATENATE(K4173,2)</f>
        <v>102</v>
      </c>
      <c r="K4175" s="6" t="e">
        <v>#VALUE!</v>
      </c>
      <c r="L4175" s="6" t="e">
        <v>#VALUE!</v>
      </c>
      <c r="M4175" s="6" t="e">
        <v>#VALUE!</v>
      </c>
      <c r="N4175" s="6" t="e">
        <v>#VALUE!</v>
      </c>
      <c r="O4175" s="6" t="e">
        <v>#VALUE!</v>
      </c>
      <c r="P4175" s="6" t="e">
        <v>#VALUE!</v>
      </c>
      <c r="Q4175" s="6" t="e">
        <v>#VALUE!</v>
      </c>
      <c r="R4175" s="6" t="e">
        <v>#VALUE!</v>
      </c>
      <c r="S4175" s="6" t="e">
        <v>#VALUE!</v>
      </c>
      <c r="T4175" s="9"/>
      <c r="U4175" s="1">
        <f t="shared" si="7261"/>
        <v>95</v>
      </c>
      <c r="V4175" s="1">
        <f t="shared" si="7262"/>
        <v>238</v>
      </c>
    </row>
    <row r="4176" spans="1:22" x14ac:dyDescent="0.3">
      <c r="A4176" s="1">
        <f t="shared" si="7282"/>
        <v>95239</v>
      </c>
      <c r="B4176" s="12">
        <f t="shared" si="7347"/>
        <v>0</v>
      </c>
      <c r="C4176" s="13">
        <f t="shared" si="7348"/>
        <v>0</v>
      </c>
      <c r="D4176" s="10">
        <f t="shared" si="7349"/>
        <v>0</v>
      </c>
      <c r="J4176" s="24" t="str">
        <f t="shared" ref="J4176" si="7364">CONCATENATE(K4173,3)</f>
        <v>103</v>
      </c>
      <c r="K4176" s="6" t="e">
        <v>#VALUE!</v>
      </c>
      <c r="L4176" s="6" t="e">
        <v>#VALUE!</v>
      </c>
      <c r="M4176" s="6" t="e">
        <v>#VALUE!</v>
      </c>
      <c r="N4176" s="6" t="e">
        <v>#VALUE!</v>
      </c>
      <c r="O4176" s="6" t="e">
        <v>#VALUE!</v>
      </c>
      <c r="P4176" s="6" t="e">
        <v>#VALUE!</v>
      </c>
      <c r="Q4176" s="6" t="e">
        <v>#VALUE!</v>
      </c>
      <c r="R4176" s="6" t="e">
        <v>#VALUE!</v>
      </c>
      <c r="S4176" s="6" t="e">
        <v>#VALUE!</v>
      </c>
      <c r="T4176" s="9"/>
      <c r="U4176" s="1">
        <f t="shared" si="7261"/>
        <v>95</v>
      </c>
      <c r="V4176" s="1">
        <f t="shared" si="7262"/>
        <v>239</v>
      </c>
    </row>
    <row r="4177" spans="1:22" x14ac:dyDescent="0.3">
      <c r="A4177" s="1">
        <f t="shared" si="7282"/>
        <v>95240</v>
      </c>
      <c r="B4177" s="12">
        <f t="shared" si="7347"/>
        <v>0</v>
      </c>
      <c r="C4177" s="13">
        <f t="shared" si="7348"/>
        <v>0</v>
      </c>
      <c r="D4177" s="10">
        <f t="shared" si="7349"/>
        <v>0</v>
      </c>
      <c r="J4177" s="9"/>
      <c r="K4177" s="9"/>
      <c r="L4177" s="9"/>
      <c r="M4177" s="9"/>
      <c r="N4177" s="9"/>
      <c r="O4177" s="9"/>
      <c r="P4177" s="9"/>
      <c r="Q4177" s="9"/>
      <c r="R4177" s="9"/>
      <c r="S4177" s="9"/>
      <c r="T4177" s="9"/>
      <c r="U4177" s="1">
        <f t="shared" si="7261"/>
        <v>95</v>
      </c>
      <c r="V4177" s="1">
        <f t="shared" si="7262"/>
        <v>240</v>
      </c>
    </row>
    <row r="4178" spans="1:22" x14ac:dyDescent="0.3">
      <c r="A4178" s="1">
        <f t="shared" si="7282"/>
        <v>95241</v>
      </c>
      <c r="B4178" s="12">
        <f t="shared" si="7347"/>
        <v>0</v>
      </c>
      <c r="C4178" s="13">
        <f t="shared" si="7348"/>
        <v>0</v>
      </c>
      <c r="D4178" s="10">
        <f t="shared" si="7349"/>
        <v>0</v>
      </c>
      <c r="J4178" s="9"/>
      <c r="K4178" s="9"/>
      <c r="L4178" s="9"/>
      <c r="M4178" s="9"/>
      <c r="N4178" s="9"/>
      <c r="O4178" s="9"/>
      <c r="P4178" s="9"/>
      <c r="Q4178" s="9"/>
      <c r="R4178" s="9"/>
      <c r="S4178" s="9"/>
      <c r="T4178" s="9"/>
      <c r="U4178" s="1">
        <f t="shared" si="7261"/>
        <v>95</v>
      </c>
      <c r="V4178" s="1">
        <f t="shared" si="7262"/>
        <v>241</v>
      </c>
    </row>
    <row r="4179" spans="1:22" x14ac:dyDescent="0.3">
      <c r="A4179" s="1">
        <f t="shared" si="7282"/>
        <v>95242</v>
      </c>
      <c r="B4179" s="12">
        <f t="shared" si="7347"/>
        <v>0</v>
      </c>
      <c r="C4179" s="13">
        <f t="shared" si="7348"/>
        <v>0</v>
      </c>
      <c r="D4179" s="10">
        <f t="shared" si="7349"/>
        <v>0</v>
      </c>
      <c r="J4179" s="9"/>
      <c r="K4179" s="9"/>
      <c r="L4179" s="9"/>
      <c r="M4179" s="9"/>
      <c r="N4179" s="9"/>
      <c r="O4179" s="9"/>
      <c r="P4179" s="9"/>
      <c r="Q4179" s="9"/>
      <c r="R4179" s="9"/>
      <c r="S4179" s="9"/>
      <c r="T4179" s="9"/>
      <c r="U4179" s="1">
        <f t="shared" si="7261"/>
        <v>95</v>
      </c>
      <c r="V4179" s="1">
        <f t="shared" si="7262"/>
        <v>242</v>
      </c>
    </row>
    <row r="4180" spans="1:22" x14ac:dyDescent="0.3">
      <c r="A4180" s="1">
        <f t="shared" si="7282"/>
        <v>95243</v>
      </c>
      <c r="J4180" s="9"/>
      <c r="K4180" s="9"/>
      <c r="L4180" s="9"/>
      <c r="M4180" s="9"/>
      <c r="N4180" s="9"/>
      <c r="O4180" s="9"/>
      <c r="P4180" s="9"/>
      <c r="Q4180" s="9"/>
      <c r="R4180" s="9"/>
      <c r="S4180" s="9"/>
      <c r="T4180" s="9"/>
      <c r="U4180" s="1">
        <f t="shared" si="7261"/>
        <v>95</v>
      </c>
      <c r="V4180" s="1">
        <f t="shared" si="7262"/>
        <v>243</v>
      </c>
    </row>
    <row r="4181" spans="1:22" s="5" customFormat="1" x14ac:dyDescent="0.3"/>
    <row r="4182" spans="1:22" x14ac:dyDescent="0.3">
      <c r="A4182" s="1">
        <f t="shared" ref="A4182:A4224" si="7365">ROUND(CONCATENATE(U4182,V4182),0)</f>
        <v>96201</v>
      </c>
      <c r="B4182" s="96" t="s">
        <v>0</v>
      </c>
      <c r="C4182" s="97"/>
      <c r="D4182" s="98"/>
      <c r="E4182" s="99"/>
      <c r="F4182" s="99"/>
      <c r="G4182" s="99"/>
      <c r="H4182" s="100"/>
      <c r="J4182" s="9"/>
      <c r="K4182" s="9"/>
      <c r="L4182" s="9"/>
      <c r="M4182" s="9"/>
      <c r="N4182" s="9"/>
      <c r="O4182" s="9"/>
      <c r="P4182" s="9"/>
      <c r="Q4182" s="9"/>
      <c r="R4182" s="9"/>
      <c r="S4182" s="9"/>
      <c r="T4182" s="9"/>
      <c r="U4182" s="1">
        <f t="shared" ref="U4182" si="7366">U4180+1</f>
        <v>96</v>
      </c>
      <c r="V4182" s="1">
        <v>201</v>
      </c>
    </row>
    <row r="4183" spans="1:22" x14ac:dyDescent="0.3">
      <c r="A4183" s="1">
        <f t="shared" si="7365"/>
        <v>96202</v>
      </c>
      <c r="B4183" s="96" t="s">
        <v>1</v>
      </c>
      <c r="C4183" s="97"/>
      <c r="D4183" s="15"/>
      <c r="E4183" s="16" t="s">
        <v>2</v>
      </c>
      <c r="F4183" s="107"/>
      <c r="G4183" s="108"/>
      <c r="H4183" s="109"/>
      <c r="J4183" s="9"/>
      <c r="K4183" s="9"/>
      <c r="L4183" s="9"/>
      <c r="M4183" s="9"/>
      <c r="N4183" s="9"/>
      <c r="O4183" s="9"/>
      <c r="P4183" s="9"/>
      <c r="Q4183" s="9"/>
      <c r="R4183" s="9"/>
      <c r="S4183" s="9"/>
      <c r="T4183" s="9"/>
      <c r="U4183" s="1">
        <f t="shared" ref="U4183" si="7367">U4182</f>
        <v>96</v>
      </c>
      <c r="V4183" s="1">
        <f t="shared" ref="V4183" si="7368">V4182+1</f>
        <v>202</v>
      </c>
    </row>
    <row r="4184" spans="1:22" x14ac:dyDescent="0.3">
      <c r="A4184" s="1">
        <f t="shared" si="7365"/>
        <v>96203</v>
      </c>
      <c r="B4184" s="96" t="s">
        <v>12</v>
      </c>
      <c r="C4184" s="97"/>
      <c r="D4184" s="98"/>
      <c r="E4184" s="99"/>
      <c r="F4184" s="99"/>
      <c r="G4184" s="99"/>
      <c r="H4184" s="100"/>
      <c r="K4184" s="1" t="s">
        <v>3</v>
      </c>
      <c r="L4184" s="1" t="s">
        <v>4</v>
      </c>
      <c r="M4184" s="1" t="s">
        <v>5</v>
      </c>
      <c r="N4184" s="1" t="s">
        <v>6</v>
      </c>
      <c r="O4184" s="1" t="s">
        <v>7</v>
      </c>
      <c r="P4184" s="1" t="s">
        <v>8</v>
      </c>
      <c r="Q4184" s="1" t="s">
        <v>9</v>
      </c>
      <c r="R4184" s="1" t="s">
        <v>10</v>
      </c>
      <c r="S4184" s="1" t="s">
        <v>11</v>
      </c>
      <c r="T4184" s="9"/>
      <c r="U4184" s="1">
        <f t="shared" si="7261"/>
        <v>96</v>
      </c>
      <c r="V4184" s="1">
        <f t="shared" si="7262"/>
        <v>203</v>
      </c>
    </row>
    <row r="4185" spans="1:22" x14ac:dyDescent="0.3">
      <c r="A4185" s="1">
        <f t="shared" si="7365"/>
        <v>96204</v>
      </c>
      <c r="B4185" s="96" t="s">
        <v>13</v>
      </c>
      <c r="C4185" s="97"/>
      <c r="D4185" s="98"/>
      <c r="E4185" s="99"/>
      <c r="F4185" s="99"/>
      <c r="G4185" s="99"/>
      <c r="H4185" s="100"/>
      <c r="J4185" s="1">
        <f t="shared" ref="J4185" si="7369">COUNTA(B4198:B4207)</f>
        <v>0</v>
      </c>
      <c r="K4185" s="1">
        <f t="shared" ref="K4185" si="7370">IF(L4185-1&lt;2,0,L4185-1)</f>
        <v>0</v>
      </c>
      <c r="L4185" s="1">
        <f t="shared" ref="L4185" si="7371">IF(M4185-1&lt;2,0,M4185-1)</f>
        <v>0</v>
      </c>
      <c r="M4185" s="1">
        <f t="shared" ref="M4185" si="7372">IF(N4185-1&lt;2,0,N4185-1)</f>
        <v>0</v>
      </c>
      <c r="N4185" s="1">
        <f t="shared" ref="N4185" si="7373">IF(O4185-1&lt;2,0,O4185-1)</f>
        <v>0</v>
      </c>
      <c r="O4185" s="1">
        <f t="shared" ref="O4185" si="7374">IF(P4185-1&lt;2,0,P4185-1)</f>
        <v>0</v>
      </c>
      <c r="P4185" s="1">
        <f t="shared" ref="P4185" si="7375">IF(Q4185-1&lt;2,0,Q4185-1)</f>
        <v>0</v>
      </c>
      <c r="Q4185" s="1">
        <f t="shared" ref="Q4185" si="7376">IF(R4185-1&lt;2,0,R4185-1)</f>
        <v>0</v>
      </c>
      <c r="R4185" s="1">
        <f t="shared" ref="R4185" si="7377">IF(S4185-1&lt;2,0,S4185-1)</f>
        <v>0</v>
      </c>
      <c r="S4185" s="1">
        <f t="shared" ref="S4185" si="7378">J4185</f>
        <v>0</v>
      </c>
      <c r="T4185" s="9"/>
      <c r="U4185" s="1">
        <f t="shared" si="7261"/>
        <v>96</v>
      </c>
      <c r="V4185" s="1">
        <f t="shared" si="7262"/>
        <v>204</v>
      </c>
    </row>
    <row r="4186" spans="1:22" x14ac:dyDescent="0.3">
      <c r="A4186" s="1">
        <f t="shared" si="7365"/>
        <v>96205</v>
      </c>
      <c r="B4186" s="96" t="s">
        <v>14</v>
      </c>
      <c r="C4186" s="97"/>
      <c r="D4186" s="98"/>
      <c r="E4186" s="99"/>
      <c r="F4186" s="99"/>
      <c r="G4186" s="99"/>
      <c r="H4186" s="100"/>
      <c r="J4186" s="24" t="str">
        <f t="shared" ref="J4186" si="7379">CONCATENATE(J4185,1)</f>
        <v>01</v>
      </c>
      <c r="K4186" s="25">
        <f t="shared" ref="K4186" si="7380">IF(K4185=0,0,VLOOKUP(J4186,J4190:S4220,K4185,FALSE))</f>
        <v>0</v>
      </c>
      <c r="L4186" s="25">
        <f t="shared" ref="L4186" si="7381">IF(L4185=0,0,VLOOKUP(J4186,J4190:S4220,L4185,FALSE))</f>
        <v>0</v>
      </c>
      <c r="M4186" s="25">
        <f t="shared" ref="M4186" si="7382">IF(M4185=0,0,VLOOKUP(J4186,J4190:S4220,M4185,FALSE))</f>
        <v>0</v>
      </c>
      <c r="N4186" s="25">
        <f t="shared" ref="N4186" si="7383">IF(N4185=0,0,VLOOKUP(J4186,J4190:S4220,N4185,FALSE))</f>
        <v>0</v>
      </c>
      <c r="O4186" s="25">
        <f t="shared" ref="O4186" si="7384">IF(O4185=0,0,VLOOKUP(J4186,J4190:S4220,O4185,FALSE))</f>
        <v>0</v>
      </c>
      <c r="P4186" s="25">
        <f t="shared" ref="P4186" si="7385">IF(P4185=0,0,VLOOKUP(J4186,J4190:S4220,P4185,FALSE))</f>
        <v>0</v>
      </c>
      <c r="Q4186" s="25">
        <f t="shared" ref="Q4186" si="7386">IF(Q4185=0,0,VLOOKUP(J4186,J4190:S4220,Q4185,FALSE))</f>
        <v>0</v>
      </c>
      <c r="R4186" s="25">
        <f t="shared" ref="R4186" si="7387">IF(R4185=0,0,VLOOKUP(J4186,J4190:S4220,R4185,FALSE))</f>
        <v>0</v>
      </c>
      <c r="S4186" s="25">
        <f t="shared" ref="S4186" si="7388">IF(S4185=0,0,VLOOKUP(J4186,J4190:S4220,S4185,FALSE))</f>
        <v>0</v>
      </c>
      <c r="T4186" s="9"/>
      <c r="U4186" s="1">
        <f t="shared" si="7261"/>
        <v>96</v>
      </c>
      <c r="V4186" s="1">
        <f t="shared" si="7262"/>
        <v>205</v>
      </c>
    </row>
    <row r="4187" spans="1:22" x14ac:dyDescent="0.3">
      <c r="A4187" s="1">
        <f t="shared" si="7365"/>
        <v>96206</v>
      </c>
      <c r="B4187" s="96" t="s">
        <v>15</v>
      </c>
      <c r="C4187" s="97"/>
      <c r="D4187" s="98"/>
      <c r="E4187" s="99"/>
      <c r="F4187" s="99"/>
      <c r="G4187" s="99"/>
      <c r="H4187" s="100"/>
      <c r="J4187" s="24" t="str">
        <f t="shared" ref="J4187" si="7389">CONCATENATE(J4185,2)</f>
        <v>02</v>
      </c>
      <c r="K4187" s="6">
        <f t="shared" ref="K4187" si="7390">IF(K4185=0,0,VLOOKUP(J4187,J4190:S4220,K4185,FALSE))</f>
        <v>0</v>
      </c>
      <c r="L4187" s="6">
        <f t="shared" ref="L4187" si="7391">IF(L4185=0,0,VLOOKUP(J4187,J4190:S4220,L4185,FALSE))</f>
        <v>0</v>
      </c>
      <c r="M4187" s="6">
        <f t="shared" ref="M4187" si="7392">IF(M4185=0,0,VLOOKUP(J4187,J4190:S4220,M4185,FALSE))</f>
        <v>0</v>
      </c>
      <c r="N4187" s="6">
        <f t="shared" ref="N4187" si="7393">IF(N4185=0,0,VLOOKUP(J4187,J4190:S4220,N4185,FALSE))</f>
        <v>0</v>
      </c>
      <c r="O4187" s="6">
        <f t="shared" ref="O4187" si="7394">IF(O4185=0,0,VLOOKUP(J4187,J4190:S4220,O4185,FALSE))</f>
        <v>0</v>
      </c>
      <c r="P4187" s="6">
        <f t="shared" ref="P4187" si="7395">IF(P4185=0,0,VLOOKUP(J4187,J4190:S4220,P4185,FALSE))</f>
        <v>0</v>
      </c>
      <c r="Q4187" s="6">
        <f t="shared" ref="Q4187" si="7396">IF(Q4185=0,0,VLOOKUP(J4187,J4190:S4220,Q4185,FALSE))</f>
        <v>0</v>
      </c>
      <c r="R4187" s="6">
        <f t="shared" ref="R4187" si="7397">IF(R4185=0,0,VLOOKUP(J4187,J4190:S4220,R4185,FALSE))</f>
        <v>0</v>
      </c>
      <c r="S4187" s="6">
        <f t="shared" ref="S4187" si="7398">IF(S4185=0,0,VLOOKUP(J4187,J4190:S4220,S4185,FALSE))</f>
        <v>0</v>
      </c>
      <c r="T4187" s="9"/>
      <c r="U4187" s="1">
        <f t="shared" ref="U4187:U4250" si="7399">U4186</f>
        <v>96</v>
      </c>
      <c r="V4187" s="1">
        <f t="shared" ref="V4187:V4250" si="7400">V4186+1</f>
        <v>206</v>
      </c>
    </row>
    <row r="4188" spans="1:22" x14ac:dyDescent="0.3">
      <c r="A4188" s="1">
        <f t="shared" si="7365"/>
        <v>96207</v>
      </c>
      <c r="B4188" s="96" t="s">
        <v>16</v>
      </c>
      <c r="C4188" s="97"/>
      <c r="D4188" s="101"/>
      <c r="E4188" s="102"/>
      <c r="F4188" s="102"/>
      <c r="G4188" s="102"/>
      <c r="H4188" s="103"/>
      <c r="J4188" s="24" t="str">
        <f t="shared" ref="J4188" si="7401">CONCATENATE(J4185,3)</f>
        <v>03</v>
      </c>
      <c r="K4188" s="6"/>
      <c r="L4188" s="6"/>
      <c r="M4188" s="6"/>
      <c r="N4188" s="6" t="s">
        <v>43</v>
      </c>
      <c r="O4188" s="25">
        <f t="shared" ref="O4188" si="7402">J4185-2</f>
        <v>-2</v>
      </c>
      <c r="P4188" s="6" t="s">
        <v>44</v>
      </c>
      <c r="Q4188" s="25" t="e">
        <f t="shared" ref="Q4188" si="7403">VLOOKUP(J4188,J4190:S4220,3,FALSE)</f>
        <v>#N/A</v>
      </c>
      <c r="R4188" s="6" t="s">
        <v>45</v>
      </c>
      <c r="S4188" s="6" t="e">
        <f t="shared" ref="S4188" si="7404">VLOOKUP(J4188,J4190:S4220,2,FALSE)</f>
        <v>#N/A</v>
      </c>
      <c r="T4188" s="9"/>
      <c r="U4188" s="1">
        <f t="shared" si="7399"/>
        <v>96</v>
      </c>
      <c r="V4188" s="1">
        <f t="shared" si="7400"/>
        <v>207</v>
      </c>
    </row>
    <row r="4189" spans="1:22" x14ac:dyDescent="0.3">
      <c r="A4189" s="1">
        <f t="shared" si="7365"/>
        <v>96208</v>
      </c>
      <c r="B4189" s="96" t="s">
        <v>17</v>
      </c>
      <c r="C4189" s="97"/>
      <c r="D4189" s="104"/>
      <c r="E4189" s="105"/>
      <c r="F4189" s="105"/>
      <c r="G4189" s="105"/>
      <c r="H4189" s="106"/>
      <c r="K4189" s="1">
        <v>3</v>
      </c>
      <c r="L4189" s="1">
        <v>3</v>
      </c>
      <c r="Q4189" s="26"/>
      <c r="R4189" s="26"/>
      <c r="S4189" s="26"/>
      <c r="T4189" s="9"/>
      <c r="U4189" s="1">
        <f t="shared" si="7399"/>
        <v>96</v>
      </c>
      <c r="V4189" s="1">
        <f t="shared" si="7400"/>
        <v>208</v>
      </c>
    </row>
    <row r="4190" spans="1:22" x14ac:dyDescent="0.3">
      <c r="A4190" s="1">
        <f t="shared" si="7365"/>
        <v>96209</v>
      </c>
      <c r="B4190" s="77" t="s">
        <v>19</v>
      </c>
      <c r="C4190" s="78"/>
      <c r="D4190" s="17"/>
      <c r="E4190" s="79" t="s">
        <v>40</v>
      </c>
      <c r="F4190" s="80"/>
      <c r="G4190" s="81"/>
      <c r="H4190" s="18" t="s">
        <v>72</v>
      </c>
      <c r="J4190" s="24" t="str">
        <f t="shared" ref="J4190" si="7405">CONCATENATE(K4189,1)</f>
        <v>31</v>
      </c>
      <c r="K4190" s="6" t="e">
        <f t="array" ref="K4190:L4192">LINEST(B4198:B4200,C4198:C4200^{1},TRUE,TRUE)</f>
        <v>#VALUE!</v>
      </c>
      <c r="L4190" s="6" t="e">
        <v>#VALUE!</v>
      </c>
      <c r="Q4190" s="9"/>
      <c r="R4190" s="9"/>
      <c r="S4190" s="9"/>
      <c r="T4190" s="9"/>
      <c r="U4190" s="1">
        <f t="shared" si="7399"/>
        <v>96</v>
      </c>
      <c r="V4190" s="1">
        <f t="shared" si="7400"/>
        <v>209</v>
      </c>
    </row>
    <row r="4191" spans="1:22" x14ac:dyDescent="0.3">
      <c r="A4191" s="1">
        <f t="shared" si="7365"/>
        <v>96210</v>
      </c>
      <c r="B4191" s="77" t="s">
        <v>41</v>
      </c>
      <c r="C4191" s="78"/>
      <c r="D4191" s="23">
        <f t="shared" ref="D4191" si="7406">MIN(B4198:B4207)</f>
        <v>0</v>
      </c>
      <c r="E4191" s="20" t="s">
        <v>18</v>
      </c>
      <c r="F4191" s="19">
        <f t="shared" ref="F4191" si="7407">MAX(B4198:B4207)</f>
        <v>0</v>
      </c>
      <c r="G4191" s="21" t="str">
        <f t="shared" ref="G4191" si="7408">IF(H4190="","",H4190)</f>
        <v>%ur</v>
      </c>
      <c r="H4191" s="22"/>
      <c r="J4191" s="24" t="str">
        <f t="shared" ref="J4191" si="7409">CONCATENATE(K4189,2)</f>
        <v>32</v>
      </c>
      <c r="K4191" s="6" t="e">
        <v>#VALUE!</v>
      </c>
      <c r="L4191" s="6" t="e">
        <v>#VALUE!</v>
      </c>
      <c r="Q4191" s="9"/>
      <c r="R4191" s="9"/>
      <c r="S4191" s="9"/>
      <c r="T4191" s="9"/>
      <c r="U4191" s="1">
        <f t="shared" si="7399"/>
        <v>96</v>
      </c>
      <c r="V4191" s="1">
        <f t="shared" si="7400"/>
        <v>210</v>
      </c>
    </row>
    <row r="4192" spans="1:22" x14ac:dyDescent="0.3">
      <c r="A4192" s="1">
        <f t="shared" si="7365"/>
        <v>96211</v>
      </c>
      <c r="J4192" s="24" t="str">
        <f t="shared" ref="J4192" si="7410">CONCATENATE(K4189,3)</f>
        <v>33</v>
      </c>
      <c r="K4192" s="6" t="e">
        <v>#VALUE!</v>
      </c>
      <c r="L4192" s="6" t="e">
        <v>#VALUE!</v>
      </c>
      <c r="Q4192" s="9"/>
      <c r="R4192" s="9"/>
      <c r="S4192" s="9"/>
      <c r="T4192" s="9"/>
      <c r="U4192" s="1">
        <f t="shared" si="7399"/>
        <v>96</v>
      </c>
      <c r="V4192" s="1">
        <f t="shared" si="7400"/>
        <v>211</v>
      </c>
    </row>
    <row r="4193" spans="1:22" x14ac:dyDescent="0.3">
      <c r="A4193" s="1">
        <f t="shared" si="7365"/>
        <v>96212</v>
      </c>
      <c r="B4193" s="82" t="s">
        <v>20</v>
      </c>
      <c r="C4193" s="83"/>
      <c r="D4193" s="83"/>
      <c r="E4193" s="83"/>
      <c r="F4193" s="84"/>
      <c r="G4193" s="85" t="s">
        <v>31</v>
      </c>
      <c r="H4193" s="86"/>
      <c r="K4193" s="1">
        <v>4</v>
      </c>
      <c r="L4193" s="1">
        <v>4</v>
      </c>
      <c r="M4193" s="1">
        <v>4</v>
      </c>
      <c r="Q4193" s="9"/>
      <c r="R4193" s="9"/>
      <c r="S4193" s="9"/>
      <c r="T4193" s="9"/>
      <c r="U4193" s="1">
        <f t="shared" si="7399"/>
        <v>96</v>
      </c>
      <c r="V4193" s="1">
        <f t="shared" si="7400"/>
        <v>212</v>
      </c>
    </row>
    <row r="4194" spans="1:22" x14ac:dyDescent="0.3">
      <c r="A4194" s="1">
        <f t="shared" si="7365"/>
        <v>96213</v>
      </c>
      <c r="B4194" s="82" t="s">
        <v>30</v>
      </c>
      <c r="C4194" s="83"/>
      <c r="D4194" s="84"/>
      <c r="E4194" s="82">
        <f t="shared" ref="E4194" si="7411">D4187</f>
        <v>0</v>
      </c>
      <c r="F4194" s="84"/>
      <c r="G4194" s="6" t="s">
        <v>32</v>
      </c>
      <c r="H4194" s="7"/>
      <c r="J4194" s="24" t="str">
        <f t="shared" ref="J4194" si="7412">CONCATENATE(K4193,1)</f>
        <v>41</v>
      </c>
      <c r="K4194" s="6" t="e">
        <f t="array" ref="K4194:M4196">LINEST(B4198:B4201,C4198:C4201^{1,2},TRUE,TRUE)</f>
        <v>#VALUE!</v>
      </c>
      <c r="L4194" s="6" t="e">
        <v>#VALUE!</v>
      </c>
      <c r="M4194" s="6" t="e">
        <v>#VALUE!</v>
      </c>
      <c r="Q4194" s="9"/>
      <c r="R4194" s="9"/>
      <c r="S4194" s="9"/>
      <c r="T4194" s="9"/>
      <c r="U4194" s="1">
        <f t="shared" si="7399"/>
        <v>96</v>
      </c>
      <c r="V4194" s="1">
        <f t="shared" si="7400"/>
        <v>213</v>
      </c>
    </row>
    <row r="4195" spans="1:22" x14ac:dyDescent="0.3">
      <c r="A4195" s="1">
        <f t="shared" si="7365"/>
        <v>96214</v>
      </c>
      <c r="B4195" s="2" t="s">
        <v>21</v>
      </c>
      <c r="C4195" s="2" t="s">
        <v>22</v>
      </c>
      <c r="D4195" s="2" t="s">
        <v>23</v>
      </c>
      <c r="E4195" s="2"/>
      <c r="F4195" s="2" t="s">
        <v>28</v>
      </c>
      <c r="G4195" s="2" t="s">
        <v>21</v>
      </c>
      <c r="H4195" s="2" t="s">
        <v>22</v>
      </c>
      <c r="J4195" s="24" t="str">
        <f t="shared" ref="J4195" si="7413">CONCATENATE(K4193,2)</f>
        <v>42</v>
      </c>
      <c r="K4195" s="6" t="e">
        <v>#VALUE!</v>
      </c>
      <c r="L4195" s="6" t="e">
        <v>#VALUE!</v>
      </c>
      <c r="M4195" s="6" t="e">
        <v>#VALUE!</v>
      </c>
      <c r="Q4195" s="9"/>
      <c r="R4195" s="9"/>
      <c r="S4195" s="9"/>
      <c r="T4195" s="9"/>
      <c r="U4195" s="1">
        <f t="shared" si="7399"/>
        <v>96</v>
      </c>
      <c r="V4195" s="1">
        <f t="shared" si="7400"/>
        <v>214</v>
      </c>
    </row>
    <row r="4196" spans="1:22" x14ac:dyDescent="0.3">
      <c r="A4196" s="1">
        <f t="shared" si="7365"/>
        <v>96215</v>
      </c>
      <c r="B4196" s="2" t="s">
        <v>24</v>
      </c>
      <c r="C4196" s="2" t="s">
        <v>25</v>
      </c>
      <c r="D4196" s="2" t="s">
        <v>26</v>
      </c>
      <c r="E4196" s="2" t="s">
        <v>27</v>
      </c>
      <c r="F4196" s="2" t="s">
        <v>29</v>
      </c>
      <c r="G4196" s="2" t="s">
        <v>24</v>
      </c>
      <c r="H4196" s="2" t="s">
        <v>25</v>
      </c>
      <c r="J4196" s="24" t="str">
        <f t="shared" ref="J4196" si="7414">CONCATENATE(K4193,3)</f>
        <v>43</v>
      </c>
      <c r="K4196" s="6" t="e">
        <v>#VALUE!</v>
      </c>
      <c r="L4196" s="6" t="e">
        <v>#VALUE!</v>
      </c>
      <c r="M4196" s="6" t="e">
        <v>#VALUE!</v>
      </c>
      <c r="Q4196" s="9"/>
      <c r="R4196" s="9"/>
      <c r="S4196" s="9"/>
      <c r="T4196" s="9"/>
      <c r="U4196" s="1">
        <f t="shared" si="7399"/>
        <v>96</v>
      </c>
      <c r="V4196" s="1">
        <f t="shared" si="7400"/>
        <v>215</v>
      </c>
    </row>
    <row r="4197" spans="1:22" x14ac:dyDescent="0.3">
      <c r="A4197" s="1">
        <f t="shared" si="7365"/>
        <v>96216</v>
      </c>
      <c r="B4197" s="3" t="str">
        <f t="shared" ref="B4197" si="7415">H4190</f>
        <v>%ur</v>
      </c>
      <c r="C4197" s="3" t="str">
        <f t="shared" ref="C4197" si="7416">B4197</f>
        <v>%ur</v>
      </c>
      <c r="D4197" s="3" t="str">
        <f t="shared" ref="D4197" si="7417">C4197</f>
        <v>%ur</v>
      </c>
      <c r="E4197" s="3"/>
      <c r="F4197" s="3"/>
      <c r="G4197" s="3" t="str">
        <f t="shared" ref="G4197" si="7418">D4197</f>
        <v>%ur</v>
      </c>
      <c r="H4197" s="3" t="str">
        <f t="shared" ref="H4197" si="7419">G4197</f>
        <v>%ur</v>
      </c>
      <c r="K4197" s="1">
        <v>5</v>
      </c>
      <c r="L4197" s="1">
        <v>5</v>
      </c>
      <c r="M4197" s="1">
        <v>5</v>
      </c>
      <c r="N4197" s="1">
        <v>5</v>
      </c>
      <c r="Q4197" s="9"/>
      <c r="R4197" s="9"/>
      <c r="S4197" s="9"/>
      <c r="T4197" s="9"/>
      <c r="U4197" s="1">
        <f t="shared" si="7399"/>
        <v>96</v>
      </c>
      <c r="V4197" s="1">
        <f t="shared" si="7400"/>
        <v>216</v>
      </c>
    </row>
    <row r="4198" spans="1:22" x14ac:dyDescent="0.3">
      <c r="A4198" s="1">
        <f t="shared" si="7365"/>
        <v>96217</v>
      </c>
      <c r="B4198" s="4"/>
      <c r="C4198" s="4"/>
      <c r="D4198" s="4"/>
      <c r="E4198" s="4"/>
      <c r="F4198" s="14"/>
      <c r="G4198" s="8"/>
      <c r="H4198" s="7"/>
      <c r="J4198" s="24" t="str">
        <f t="shared" ref="J4198" si="7420">CONCATENATE(K4197,1)</f>
        <v>51</v>
      </c>
      <c r="K4198" s="6" t="e">
        <f t="array" ref="K4198:N4200">LINEST(B4198:B4202,C4198:C4202^{1,2,3},TRUE,TRUE)</f>
        <v>#VALUE!</v>
      </c>
      <c r="L4198" s="6" t="e">
        <v>#VALUE!</v>
      </c>
      <c r="M4198" s="6" t="e">
        <v>#VALUE!</v>
      </c>
      <c r="N4198" s="6" t="e">
        <v>#VALUE!</v>
      </c>
      <c r="Q4198" s="9"/>
      <c r="R4198" s="9"/>
      <c r="S4198" s="9"/>
      <c r="T4198" s="9"/>
      <c r="U4198" s="1">
        <f t="shared" si="7399"/>
        <v>96</v>
      </c>
      <c r="V4198" s="1">
        <f t="shared" si="7400"/>
        <v>217</v>
      </c>
    </row>
    <row r="4199" spans="1:22" x14ac:dyDescent="0.3">
      <c r="A4199" s="1">
        <f t="shared" si="7365"/>
        <v>96218</v>
      </c>
      <c r="B4199" s="4"/>
      <c r="C4199" s="4"/>
      <c r="D4199" s="4"/>
      <c r="E4199" s="4"/>
      <c r="F4199" s="14"/>
      <c r="G4199" s="8"/>
      <c r="H4199" s="7"/>
      <c r="J4199" s="24" t="str">
        <f t="shared" ref="J4199" si="7421">CONCATENATE(K4197,2)</f>
        <v>52</v>
      </c>
      <c r="K4199" s="6" t="e">
        <v>#VALUE!</v>
      </c>
      <c r="L4199" s="6" t="e">
        <v>#VALUE!</v>
      </c>
      <c r="M4199" s="6" t="e">
        <v>#VALUE!</v>
      </c>
      <c r="N4199" s="6" t="e">
        <v>#VALUE!</v>
      </c>
      <c r="T4199" s="9"/>
      <c r="U4199" s="1">
        <f t="shared" si="7399"/>
        <v>96</v>
      </c>
      <c r="V4199" s="1">
        <f t="shared" si="7400"/>
        <v>218</v>
      </c>
    </row>
    <row r="4200" spans="1:22" x14ac:dyDescent="0.3">
      <c r="A4200" s="1">
        <f t="shared" si="7365"/>
        <v>96219</v>
      </c>
      <c r="B4200" s="4"/>
      <c r="C4200" s="4"/>
      <c r="D4200" s="4"/>
      <c r="E4200" s="4"/>
      <c r="F4200" s="14"/>
      <c r="G4200" s="8"/>
      <c r="H4200" s="7"/>
      <c r="J4200" s="24" t="str">
        <f t="shared" ref="J4200" si="7422">CONCATENATE(K4197,3)</f>
        <v>53</v>
      </c>
      <c r="K4200" s="6" t="e">
        <v>#VALUE!</v>
      </c>
      <c r="L4200" s="6" t="e">
        <v>#VALUE!</v>
      </c>
      <c r="M4200" s="6" t="e">
        <v>#VALUE!</v>
      </c>
      <c r="N4200" s="6" t="e">
        <v>#VALUE!</v>
      </c>
      <c r="T4200" s="9"/>
      <c r="U4200" s="1">
        <f t="shared" si="7399"/>
        <v>96</v>
      </c>
      <c r="V4200" s="1">
        <f t="shared" si="7400"/>
        <v>219</v>
      </c>
    </row>
    <row r="4201" spans="1:22" x14ac:dyDescent="0.3">
      <c r="A4201" s="1">
        <f t="shared" si="7365"/>
        <v>96220</v>
      </c>
      <c r="B4201" s="4"/>
      <c r="C4201" s="4"/>
      <c r="D4201" s="4"/>
      <c r="E4201" s="4"/>
      <c r="F4201" s="14"/>
      <c r="G4201" s="8"/>
      <c r="H4201" s="7"/>
      <c r="K4201" s="1">
        <v>6</v>
      </c>
      <c r="L4201" s="1">
        <v>6</v>
      </c>
      <c r="M4201" s="1">
        <v>6</v>
      </c>
      <c r="N4201" s="1">
        <v>6</v>
      </c>
      <c r="O4201" s="1">
        <v>6</v>
      </c>
      <c r="T4201" s="9"/>
      <c r="U4201" s="1">
        <f t="shared" si="7399"/>
        <v>96</v>
      </c>
      <c r="V4201" s="1">
        <f t="shared" si="7400"/>
        <v>220</v>
      </c>
    </row>
    <row r="4202" spans="1:22" x14ac:dyDescent="0.3">
      <c r="A4202" s="1">
        <f t="shared" si="7365"/>
        <v>96221</v>
      </c>
      <c r="B4202" s="4"/>
      <c r="C4202" s="4"/>
      <c r="D4202" s="4"/>
      <c r="E4202" s="4"/>
      <c r="F4202" s="14"/>
      <c r="G4202" s="8"/>
      <c r="H4202" s="7"/>
      <c r="J4202" s="24" t="str">
        <f t="shared" ref="J4202" si="7423">CONCATENATE(K4201,1)</f>
        <v>61</v>
      </c>
      <c r="K4202" s="6" t="e">
        <f t="array" ref="K4202:O4204">LINEST(B4198:B4203,C4198:C4203^{1,2,3,4},TRUE,TRUE)</f>
        <v>#VALUE!</v>
      </c>
      <c r="L4202" s="6" t="e">
        <v>#VALUE!</v>
      </c>
      <c r="M4202" s="6" t="e">
        <v>#VALUE!</v>
      </c>
      <c r="N4202" s="6" t="e">
        <v>#VALUE!</v>
      </c>
      <c r="O4202" s="6" t="e">
        <v>#VALUE!</v>
      </c>
      <c r="T4202" s="9"/>
      <c r="U4202" s="1">
        <f t="shared" si="7399"/>
        <v>96</v>
      </c>
      <c r="V4202" s="1">
        <f t="shared" si="7400"/>
        <v>221</v>
      </c>
    </row>
    <row r="4203" spans="1:22" x14ac:dyDescent="0.3">
      <c r="A4203" s="1">
        <f t="shared" si="7365"/>
        <v>96222</v>
      </c>
      <c r="B4203" s="4"/>
      <c r="C4203" s="4"/>
      <c r="D4203" s="4"/>
      <c r="E4203" s="4"/>
      <c r="F4203" s="14"/>
      <c r="G4203" s="8"/>
      <c r="H4203" s="7"/>
      <c r="J4203" s="24" t="str">
        <f t="shared" ref="J4203" si="7424">CONCATENATE(K4201,2)</f>
        <v>62</v>
      </c>
      <c r="K4203" s="6" t="e">
        <v>#VALUE!</v>
      </c>
      <c r="L4203" s="6" t="e">
        <v>#VALUE!</v>
      </c>
      <c r="M4203" s="6" t="e">
        <v>#VALUE!</v>
      </c>
      <c r="N4203" s="6" t="e">
        <v>#VALUE!</v>
      </c>
      <c r="O4203" s="6" t="e">
        <v>#VALUE!</v>
      </c>
      <c r="T4203" s="9"/>
      <c r="U4203" s="1">
        <f t="shared" si="7399"/>
        <v>96</v>
      </c>
      <c r="V4203" s="1">
        <f t="shared" si="7400"/>
        <v>222</v>
      </c>
    </row>
    <row r="4204" spans="1:22" x14ac:dyDescent="0.3">
      <c r="A4204" s="1">
        <f t="shared" si="7365"/>
        <v>96223</v>
      </c>
      <c r="B4204" s="4"/>
      <c r="C4204" s="4"/>
      <c r="D4204" s="4"/>
      <c r="E4204" s="4"/>
      <c r="F4204" s="14"/>
      <c r="G4204" s="8"/>
      <c r="H4204" s="7"/>
      <c r="J4204" s="24" t="str">
        <f t="shared" ref="J4204" si="7425">CONCATENATE(K4201,3)</f>
        <v>63</v>
      </c>
      <c r="K4204" s="6" t="e">
        <v>#VALUE!</v>
      </c>
      <c r="L4204" s="6" t="e">
        <v>#VALUE!</v>
      </c>
      <c r="M4204" s="6" t="e">
        <v>#VALUE!</v>
      </c>
      <c r="N4204" s="6" t="e">
        <v>#VALUE!</v>
      </c>
      <c r="O4204" s="6" t="e">
        <v>#VALUE!</v>
      </c>
      <c r="T4204" s="9"/>
      <c r="U4204" s="1">
        <f t="shared" si="7399"/>
        <v>96</v>
      </c>
      <c r="V4204" s="1">
        <f t="shared" si="7400"/>
        <v>223</v>
      </c>
    </row>
    <row r="4205" spans="1:22" x14ac:dyDescent="0.3">
      <c r="A4205" s="1">
        <f t="shared" si="7365"/>
        <v>96224</v>
      </c>
      <c r="B4205" s="4"/>
      <c r="C4205" s="4"/>
      <c r="D4205" s="4"/>
      <c r="E4205" s="4"/>
      <c r="F4205" s="14"/>
      <c r="G4205" s="8"/>
      <c r="H4205" s="7"/>
      <c r="K4205" s="1">
        <v>7</v>
      </c>
      <c r="L4205" s="1">
        <v>7</v>
      </c>
      <c r="M4205" s="1">
        <v>7</v>
      </c>
      <c r="N4205" s="1">
        <v>7</v>
      </c>
      <c r="O4205" s="1">
        <v>7</v>
      </c>
      <c r="P4205" s="1">
        <v>7</v>
      </c>
      <c r="T4205" s="9"/>
      <c r="U4205" s="1">
        <f t="shared" si="7399"/>
        <v>96</v>
      </c>
      <c r="V4205" s="1">
        <f t="shared" si="7400"/>
        <v>224</v>
      </c>
    </row>
    <row r="4206" spans="1:22" x14ac:dyDescent="0.3">
      <c r="A4206" s="1">
        <f t="shared" si="7365"/>
        <v>96225</v>
      </c>
      <c r="B4206" s="4"/>
      <c r="C4206" s="4"/>
      <c r="D4206" s="4"/>
      <c r="E4206" s="4"/>
      <c r="F4206" s="14"/>
      <c r="G4206" s="8"/>
      <c r="H4206" s="7"/>
      <c r="J4206" s="24" t="str">
        <f t="shared" ref="J4206" si="7426">CONCATENATE(K4205,1)</f>
        <v>71</v>
      </c>
      <c r="K4206" s="6" t="e">
        <f t="array" ref="K4206:P4208">LINEST(B4198:B4204,C4198:C4204^{1,2,3,4,5},TRUE,TRUE)</f>
        <v>#VALUE!</v>
      </c>
      <c r="L4206" s="6" t="e">
        <v>#VALUE!</v>
      </c>
      <c r="M4206" s="6" t="e">
        <v>#VALUE!</v>
      </c>
      <c r="N4206" s="6" t="e">
        <v>#VALUE!</v>
      </c>
      <c r="O4206" s="6" t="e">
        <v>#VALUE!</v>
      </c>
      <c r="P4206" s="6" t="e">
        <v>#VALUE!</v>
      </c>
      <c r="T4206" s="9"/>
      <c r="U4206" s="1">
        <f t="shared" si="7399"/>
        <v>96</v>
      </c>
      <c r="V4206" s="1">
        <f t="shared" si="7400"/>
        <v>225</v>
      </c>
    </row>
    <row r="4207" spans="1:22" x14ac:dyDescent="0.3">
      <c r="A4207" s="1">
        <f t="shared" si="7365"/>
        <v>96226</v>
      </c>
      <c r="B4207" s="4"/>
      <c r="C4207" s="4"/>
      <c r="D4207" s="4"/>
      <c r="E4207" s="4"/>
      <c r="F4207" s="14"/>
      <c r="G4207" s="8"/>
      <c r="H4207" s="7"/>
      <c r="J4207" s="24" t="str">
        <f t="shared" ref="J4207" si="7427">CONCATENATE(K4205,2)</f>
        <v>72</v>
      </c>
      <c r="K4207" s="6" t="e">
        <v>#VALUE!</v>
      </c>
      <c r="L4207" s="6" t="e">
        <v>#VALUE!</v>
      </c>
      <c r="M4207" s="6" t="e">
        <v>#VALUE!</v>
      </c>
      <c r="N4207" s="6" t="e">
        <v>#VALUE!</v>
      </c>
      <c r="O4207" s="6" t="e">
        <v>#VALUE!</v>
      </c>
      <c r="P4207" s="6" t="e">
        <v>#VALUE!</v>
      </c>
      <c r="T4207" s="9"/>
      <c r="U4207" s="1">
        <f t="shared" si="7399"/>
        <v>96</v>
      </c>
      <c r="V4207" s="1">
        <f t="shared" si="7400"/>
        <v>226</v>
      </c>
    </row>
    <row r="4208" spans="1:22" x14ac:dyDescent="0.3">
      <c r="A4208" s="1">
        <f t="shared" si="7365"/>
        <v>96227</v>
      </c>
      <c r="B4208" s="9"/>
      <c r="C4208" s="9"/>
      <c r="D4208" s="9"/>
      <c r="E4208" s="9"/>
      <c r="F4208" s="9"/>
      <c r="G4208" s="9"/>
      <c r="H4208" s="9"/>
      <c r="J4208" s="24" t="str">
        <f t="shared" ref="J4208" si="7428">CONCATENATE(K4205,3)</f>
        <v>73</v>
      </c>
      <c r="K4208" s="6" t="e">
        <v>#VALUE!</v>
      </c>
      <c r="L4208" s="6" t="e">
        <v>#VALUE!</v>
      </c>
      <c r="M4208" s="6" t="e">
        <v>#VALUE!</v>
      </c>
      <c r="N4208" s="6" t="e">
        <v>#VALUE!</v>
      </c>
      <c r="O4208" s="6" t="e">
        <v>#VALUE!</v>
      </c>
      <c r="P4208" s="6" t="e">
        <v>#VALUE!</v>
      </c>
      <c r="T4208" s="9"/>
      <c r="U4208" s="1">
        <f t="shared" si="7399"/>
        <v>96</v>
      </c>
      <c r="V4208" s="1">
        <f t="shared" si="7400"/>
        <v>227</v>
      </c>
    </row>
    <row r="4209" spans="1:22" x14ac:dyDescent="0.3">
      <c r="A4209" s="1">
        <f t="shared" si="7365"/>
        <v>96228</v>
      </c>
      <c r="B4209" s="87" t="s">
        <v>33</v>
      </c>
      <c r="C4209" s="88"/>
      <c r="D4209" s="88"/>
      <c r="E4209" s="88"/>
      <c r="F4209" s="88"/>
      <c r="G4209" s="88"/>
      <c r="H4209" s="89"/>
      <c r="K4209" s="1">
        <v>8</v>
      </c>
      <c r="L4209" s="1">
        <v>8</v>
      </c>
      <c r="M4209" s="1">
        <v>8</v>
      </c>
      <c r="N4209" s="1">
        <v>8</v>
      </c>
      <c r="O4209" s="1">
        <v>8</v>
      </c>
      <c r="P4209" s="1">
        <v>8</v>
      </c>
      <c r="Q4209" s="1">
        <v>8</v>
      </c>
      <c r="T4209" s="9"/>
      <c r="U4209" s="1">
        <f t="shared" si="7399"/>
        <v>96</v>
      </c>
      <c r="V4209" s="1">
        <f t="shared" si="7400"/>
        <v>228</v>
      </c>
    </row>
    <row r="4210" spans="1:22" x14ac:dyDescent="0.3">
      <c r="A4210" s="1">
        <f t="shared" si="7365"/>
        <v>96229</v>
      </c>
      <c r="B4210" s="90"/>
      <c r="C4210" s="91"/>
      <c r="D4210" s="91"/>
      <c r="E4210" s="91"/>
      <c r="F4210" s="91"/>
      <c r="G4210" s="91"/>
      <c r="H4210" s="92"/>
      <c r="J4210" s="24" t="str">
        <f t="shared" ref="J4210" si="7429">CONCATENATE(K4209,1)</f>
        <v>81</v>
      </c>
      <c r="K4210" s="6" t="e">
        <f t="array" ref="K4210:Q4212">LINEST(B4198:B4205,C4198:C4205^{1,2,3,4,5,6},TRUE,TRUE)</f>
        <v>#VALUE!</v>
      </c>
      <c r="L4210" s="6" t="e">
        <v>#VALUE!</v>
      </c>
      <c r="M4210" s="6" t="e">
        <v>#VALUE!</v>
      </c>
      <c r="N4210" s="6" t="e">
        <v>#VALUE!</v>
      </c>
      <c r="O4210" s="6" t="e">
        <v>#VALUE!</v>
      </c>
      <c r="P4210" s="6" t="e">
        <v>#VALUE!</v>
      </c>
      <c r="Q4210" s="6" t="e">
        <v>#VALUE!</v>
      </c>
      <c r="T4210" s="9"/>
      <c r="U4210" s="1">
        <f t="shared" si="7399"/>
        <v>96</v>
      </c>
      <c r="V4210" s="1">
        <f t="shared" si="7400"/>
        <v>229</v>
      </c>
    </row>
    <row r="4211" spans="1:22" x14ac:dyDescent="0.3">
      <c r="A4211" s="1">
        <f t="shared" si="7365"/>
        <v>96230</v>
      </c>
      <c r="B4211" s="93"/>
      <c r="C4211" s="94"/>
      <c r="D4211" s="94"/>
      <c r="E4211" s="94"/>
      <c r="F4211" s="94"/>
      <c r="G4211" s="94"/>
      <c r="H4211" s="95"/>
      <c r="J4211" s="24" t="str">
        <f t="shared" ref="J4211" si="7430">CONCATENATE(K4209,2)</f>
        <v>82</v>
      </c>
      <c r="K4211" s="6" t="e">
        <v>#VALUE!</v>
      </c>
      <c r="L4211" s="6" t="e">
        <v>#VALUE!</v>
      </c>
      <c r="M4211" s="6" t="e">
        <v>#VALUE!</v>
      </c>
      <c r="N4211" s="6" t="e">
        <v>#VALUE!</v>
      </c>
      <c r="O4211" s="6" t="e">
        <v>#VALUE!</v>
      </c>
      <c r="P4211" s="6" t="e">
        <v>#VALUE!</v>
      </c>
      <c r="Q4211" s="6" t="e">
        <v>#VALUE!</v>
      </c>
      <c r="T4211" s="9"/>
      <c r="U4211" s="1">
        <f t="shared" si="7399"/>
        <v>96</v>
      </c>
      <c r="V4211" s="1">
        <f t="shared" si="7400"/>
        <v>230</v>
      </c>
    </row>
    <row r="4212" spans="1:22" x14ac:dyDescent="0.3">
      <c r="A4212" s="1">
        <f t="shared" si="7365"/>
        <v>96231</v>
      </c>
      <c r="J4212" s="24" t="str">
        <f t="shared" ref="J4212" si="7431">CONCATENATE(K4209,3)</f>
        <v>83</v>
      </c>
      <c r="K4212" s="6" t="e">
        <v>#VALUE!</v>
      </c>
      <c r="L4212" s="6" t="e">
        <v>#VALUE!</v>
      </c>
      <c r="M4212" s="6" t="e">
        <v>#VALUE!</v>
      </c>
      <c r="N4212" s="6" t="e">
        <v>#VALUE!</v>
      </c>
      <c r="O4212" s="6" t="e">
        <v>#VALUE!</v>
      </c>
      <c r="P4212" s="6" t="e">
        <v>#VALUE!</v>
      </c>
      <c r="Q4212" s="6" t="e">
        <v>#VALUE!</v>
      </c>
      <c r="T4212" s="9"/>
      <c r="U4212" s="1">
        <f t="shared" si="7399"/>
        <v>96</v>
      </c>
      <c r="V4212" s="1">
        <f t="shared" si="7400"/>
        <v>231</v>
      </c>
    </row>
    <row r="4213" spans="1:22" ht="15" customHeight="1" x14ac:dyDescent="0.3">
      <c r="A4213" s="1">
        <f t="shared" si="7365"/>
        <v>96232</v>
      </c>
      <c r="B4213" s="10" t="s">
        <v>34</v>
      </c>
      <c r="C4213" s="10" t="s">
        <v>35</v>
      </c>
      <c r="D4213" s="10" t="s">
        <v>36</v>
      </c>
      <c r="E4213" s="74" t="s">
        <v>37</v>
      </c>
      <c r="F4213" s="75"/>
      <c r="G4213" s="76"/>
      <c r="K4213" s="1">
        <v>9</v>
      </c>
      <c r="L4213" s="1">
        <v>9</v>
      </c>
      <c r="M4213" s="1">
        <v>9</v>
      </c>
      <c r="N4213" s="1">
        <v>9</v>
      </c>
      <c r="O4213" s="1">
        <v>9</v>
      </c>
      <c r="P4213" s="1">
        <v>9</v>
      </c>
      <c r="Q4213" s="1">
        <v>9</v>
      </c>
      <c r="R4213" s="1">
        <v>9</v>
      </c>
      <c r="T4213" s="9"/>
      <c r="U4213" s="1">
        <f t="shared" si="7399"/>
        <v>96</v>
      </c>
      <c r="V4213" s="1">
        <f t="shared" si="7400"/>
        <v>232</v>
      </c>
    </row>
    <row r="4214" spans="1:22" x14ac:dyDescent="0.3">
      <c r="A4214" s="1">
        <f t="shared" si="7365"/>
        <v>96233</v>
      </c>
      <c r="B4214" s="12">
        <f t="shared" ref="B4214:B4223" si="7432">C4198-B4198</f>
        <v>0</v>
      </c>
      <c r="C4214" s="13">
        <f t="shared" ref="C4214:C4223" si="7433">H4198-G4198</f>
        <v>0</v>
      </c>
      <c r="D4214" s="10">
        <f t="shared" ref="D4214:D4223" si="7434">C4214-B4214</f>
        <v>0</v>
      </c>
      <c r="E4214" s="11" t="str">
        <f t="shared" ref="E4214" si="7435">IF(D4189="","",MAX(F4214,G4214))</f>
        <v/>
      </c>
      <c r="F4214" s="10">
        <f t="shared" ref="F4214" si="7436">ABS(MIN(D4214:D4223))</f>
        <v>0</v>
      </c>
      <c r="G4214" s="10">
        <f t="shared" ref="G4214" si="7437">ABS(MAX(D4214:D4223))</f>
        <v>0</v>
      </c>
      <c r="J4214" s="24" t="str">
        <f t="shared" ref="J4214" si="7438">CONCATENATE(K4213,1)</f>
        <v>91</v>
      </c>
      <c r="K4214" s="6" t="e">
        <f t="array" ref="K4214:R4216">LINEST(B4198:B4206,C4198:C4206^{1,2,3,4,5,6,7},TRUE,TRUE)</f>
        <v>#VALUE!</v>
      </c>
      <c r="L4214" s="6" t="e">
        <v>#VALUE!</v>
      </c>
      <c r="M4214" s="6" t="e">
        <v>#VALUE!</v>
      </c>
      <c r="N4214" s="6" t="e">
        <v>#VALUE!</v>
      </c>
      <c r="O4214" s="6" t="e">
        <v>#VALUE!</v>
      </c>
      <c r="P4214" s="6" t="e">
        <v>#VALUE!</v>
      </c>
      <c r="Q4214" s="6" t="e">
        <v>#VALUE!</v>
      </c>
      <c r="R4214" s="6" t="e">
        <v>#VALUE!</v>
      </c>
      <c r="T4214" s="9"/>
      <c r="U4214" s="1">
        <f t="shared" si="7399"/>
        <v>96</v>
      </c>
      <c r="V4214" s="1">
        <f t="shared" si="7400"/>
        <v>233</v>
      </c>
    </row>
    <row r="4215" spans="1:22" x14ac:dyDescent="0.3">
      <c r="A4215" s="1">
        <f t="shared" si="7365"/>
        <v>96234</v>
      </c>
      <c r="B4215" s="12">
        <f t="shared" si="7432"/>
        <v>0</v>
      </c>
      <c r="C4215" s="13">
        <f t="shared" si="7433"/>
        <v>0</v>
      </c>
      <c r="D4215" s="10">
        <f t="shared" si="7434"/>
        <v>0</v>
      </c>
      <c r="E4215" s="74" t="s">
        <v>38</v>
      </c>
      <c r="F4215" s="75"/>
      <c r="G4215" s="76"/>
      <c r="J4215" s="24" t="str">
        <f t="shared" ref="J4215" si="7439">CONCATENATE(K4213,2)</f>
        <v>92</v>
      </c>
      <c r="K4215" s="6" t="e">
        <v>#VALUE!</v>
      </c>
      <c r="L4215" s="6" t="e">
        <v>#VALUE!</v>
      </c>
      <c r="M4215" s="6" t="e">
        <v>#VALUE!</v>
      </c>
      <c r="N4215" s="6" t="e">
        <v>#VALUE!</v>
      </c>
      <c r="O4215" s="6" t="e">
        <v>#VALUE!</v>
      </c>
      <c r="P4215" s="6" t="e">
        <v>#VALUE!</v>
      </c>
      <c r="Q4215" s="6" t="e">
        <v>#VALUE!</v>
      </c>
      <c r="R4215" s="6" t="e">
        <v>#VALUE!</v>
      </c>
      <c r="T4215" s="9"/>
      <c r="U4215" s="1">
        <f t="shared" si="7399"/>
        <v>96</v>
      </c>
      <c r="V4215" s="1">
        <f t="shared" si="7400"/>
        <v>234</v>
      </c>
    </row>
    <row r="4216" spans="1:22" x14ac:dyDescent="0.3">
      <c r="A4216" s="1">
        <f t="shared" si="7365"/>
        <v>96235</v>
      </c>
      <c r="B4216" s="12">
        <f t="shared" si="7432"/>
        <v>0</v>
      </c>
      <c r="C4216" s="13">
        <f t="shared" si="7433"/>
        <v>0</v>
      </c>
      <c r="D4216" s="10">
        <f t="shared" si="7434"/>
        <v>0</v>
      </c>
      <c r="E4216" s="11" t="str">
        <f t="shared" ref="E4216" si="7440">IF(D4189="","",MAX(F4216,G4216))</f>
        <v/>
      </c>
      <c r="F4216" s="10">
        <f t="shared" ref="F4216" si="7441">ABS(MIN(B4214:B4223))</f>
        <v>0</v>
      </c>
      <c r="G4216" s="10">
        <f t="shared" ref="G4216" si="7442">ABS(MAX(B4214:B4223))</f>
        <v>0</v>
      </c>
      <c r="J4216" s="24" t="str">
        <f t="shared" ref="J4216" si="7443">CONCATENATE(K4213,3)</f>
        <v>93</v>
      </c>
      <c r="K4216" s="6" t="e">
        <v>#VALUE!</v>
      </c>
      <c r="L4216" s="6" t="e">
        <v>#VALUE!</v>
      </c>
      <c r="M4216" s="6" t="e">
        <v>#VALUE!</v>
      </c>
      <c r="N4216" s="6" t="e">
        <v>#VALUE!</v>
      </c>
      <c r="O4216" s="6" t="e">
        <v>#VALUE!</v>
      </c>
      <c r="P4216" s="6" t="e">
        <v>#VALUE!</v>
      </c>
      <c r="Q4216" s="6" t="e">
        <v>#VALUE!</v>
      </c>
      <c r="R4216" s="6" t="e">
        <v>#VALUE!</v>
      </c>
      <c r="T4216" s="9"/>
      <c r="U4216" s="1">
        <f t="shared" si="7399"/>
        <v>96</v>
      </c>
      <c r="V4216" s="1">
        <f t="shared" si="7400"/>
        <v>235</v>
      </c>
    </row>
    <row r="4217" spans="1:22" x14ac:dyDescent="0.3">
      <c r="A4217" s="1">
        <f t="shared" si="7365"/>
        <v>96236</v>
      </c>
      <c r="B4217" s="12">
        <f t="shared" si="7432"/>
        <v>0</v>
      </c>
      <c r="C4217" s="13">
        <f t="shared" si="7433"/>
        <v>0</v>
      </c>
      <c r="D4217" s="10">
        <f t="shared" si="7434"/>
        <v>0</v>
      </c>
      <c r="E4217" s="74" t="s">
        <v>39</v>
      </c>
      <c r="F4217" s="75"/>
      <c r="G4217" s="76"/>
      <c r="K4217" s="1">
        <v>10</v>
      </c>
      <c r="L4217" s="1">
        <v>10</v>
      </c>
      <c r="M4217" s="1">
        <v>10</v>
      </c>
      <c r="N4217" s="1">
        <v>10</v>
      </c>
      <c r="O4217" s="1">
        <v>10</v>
      </c>
      <c r="P4217" s="1">
        <v>10</v>
      </c>
      <c r="Q4217" s="1">
        <v>10</v>
      </c>
      <c r="R4217" s="1">
        <v>10</v>
      </c>
      <c r="S4217" s="1">
        <v>10</v>
      </c>
      <c r="T4217" s="9"/>
      <c r="U4217" s="1">
        <f t="shared" si="7399"/>
        <v>96</v>
      </c>
      <c r="V4217" s="1">
        <f t="shared" si="7400"/>
        <v>236</v>
      </c>
    </row>
    <row r="4218" spans="1:22" x14ac:dyDescent="0.3">
      <c r="A4218" s="1">
        <f t="shared" si="7365"/>
        <v>96237</v>
      </c>
      <c r="B4218" s="12">
        <f t="shared" si="7432"/>
        <v>0</v>
      </c>
      <c r="C4218" s="13">
        <f t="shared" si="7433"/>
        <v>0</v>
      </c>
      <c r="D4218" s="10">
        <f t="shared" si="7434"/>
        <v>0</v>
      </c>
      <c r="E4218" s="11" t="str">
        <f t="shared" ref="E4218" si="7444">IF(D4189="","",MAX(F4218,G4218))</f>
        <v/>
      </c>
      <c r="F4218" s="10">
        <f t="shared" ref="F4218" si="7445">ABS(MIN(D4198:D4207))</f>
        <v>0</v>
      </c>
      <c r="G4218" s="10">
        <f t="shared" ref="G4218" si="7446">ABS(MAX(D4198:D4207))</f>
        <v>0</v>
      </c>
      <c r="J4218" s="24" t="str">
        <f t="shared" ref="J4218" si="7447">CONCATENATE(K4217,1)</f>
        <v>101</v>
      </c>
      <c r="K4218" s="6" t="e">
        <f t="array" ref="K4218:S4220">LINEST(B4198:B4207,C4198:C4207^{1,2,3,4,5,6,7,8},TRUE,TRUE)</f>
        <v>#VALUE!</v>
      </c>
      <c r="L4218" s="6" t="e">
        <v>#VALUE!</v>
      </c>
      <c r="M4218" s="6" t="e">
        <v>#VALUE!</v>
      </c>
      <c r="N4218" s="6" t="e">
        <v>#VALUE!</v>
      </c>
      <c r="O4218" s="6" t="e">
        <v>#VALUE!</v>
      </c>
      <c r="P4218" s="6" t="e">
        <v>#VALUE!</v>
      </c>
      <c r="Q4218" s="6" t="e">
        <v>#VALUE!</v>
      </c>
      <c r="R4218" s="6" t="e">
        <v>#VALUE!</v>
      </c>
      <c r="S4218" s="6" t="e">
        <v>#VALUE!</v>
      </c>
      <c r="T4218" s="9"/>
      <c r="U4218" s="1">
        <f t="shared" si="7399"/>
        <v>96</v>
      </c>
      <c r="V4218" s="1">
        <f t="shared" si="7400"/>
        <v>237</v>
      </c>
    </row>
    <row r="4219" spans="1:22" x14ac:dyDescent="0.3">
      <c r="A4219" s="1">
        <f t="shared" si="7365"/>
        <v>96238</v>
      </c>
      <c r="B4219" s="12">
        <f t="shared" si="7432"/>
        <v>0</v>
      </c>
      <c r="C4219" s="13">
        <f t="shared" si="7433"/>
        <v>0</v>
      </c>
      <c r="D4219" s="10">
        <f t="shared" si="7434"/>
        <v>0</v>
      </c>
      <c r="J4219" s="24" t="str">
        <f t="shared" ref="J4219" si="7448">CONCATENATE(K4217,2)</f>
        <v>102</v>
      </c>
      <c r="K4219" s="6" t="e">
        <v>#VALUE!</v>
      </c>
      <c r="L4219" s="6" t="e">
        <v>#VALUE!</v>
      </c>
      <c r="M4219" s="6" t="e">
        <v>#VALUE!</v>
      </c>
      <c r="N4219" s="6" t="e">
        <v>#VALUE!</v>
      </c>
      <c r="O4219" s="6" t="e">
        <v>#VALUE!</v>
      </c>
      <c r="P4219" s="6" t="e">
        <v>#VALUE!</v>
      </c>
      <c r="Q4219" s="6" t="e">
        <v>#VALUE!</v>
      </c>
      <c r="R4219" s="6" t="e">
        <v>#VALUE!</v>
      </c>
      <c r="S4219" s="6" t="e">
        <v>#VALUE!</v>
      </c>
      <c r="T4219" s="9"/>
      <c r="U4219" s="1">
        <f t="shared" si="7399"/>
        <v>96</v>
      </c>
      <c r="V4219" s="1">
        <f t="shared" si="7400"/>
        <v>238</v>
      </c>
    </row>
    <row r="4220" spans="1:22" x14ac:dyDescent="0.3">
      <c r="A4220" s="1">
        <f t="shared" si="7365"/>
        <v>96239</v>
      </c>
      <c r="B4220" s="12">
        <f t="shared" si="7432"/>
        <v>0</v>
      </c>
      <c r="C4220" s="13">
        <f t="shared" si="7433"/>
        <v>0</v>
      </c>
      <c r="D4220" s="10">
        <f t="shared" si="7434"/>
        <v>0</v>
      </c>
      <c r="J4220" s="24" t="str">
        <f t="shared" ref="J4220" si="7449">CONCATENATE(K4217,3)</f>
        <v>103</v>
      </c>
      <c r="K4220" s="6" t="e">
        <v>#VALUE!</v>
      </c>
      <c r="L4220" s="6" t="e">
        <v>#VALUE!</v>
      </c>
      <c r="M4220" s="6" t="e">
        <v>#VALUE!</v>
      </c>
      <c r="N4220" s="6" t="e">
        <v>#VALUE!</v>
      </c>
      <c r="O4220" s="6" t="e">
        <v>#VALUE!</v>
      </c>
      <c r="P4220" s="6" t="e">
        <v>#VALUE!</v>
      </c>
      <c r="Q4220" s="6" t="e">
        <v>#VALUE!</v>
      </c>
      <c r="R4220" s="6" t="e">
        <v>#VALUE!</v>
      </c>
      <c r="S4220" s="6" t="e">
        <v>#VALUE!</v>
      </c>
      <c r="T4220" s="9"/>
      <c r="U4220" s="1">
        <f t="shared" si="7399"/>
        <v>96</v>
      </c>
      <c r="V4220" s="1">
        <f t="shared" si="7400"/>
        <v>239</v>
      </c>
    </row>
    <row r="4221" spans="1:22" x14ac:dyDescent="0.3">
      <c r="A4221" s="1">
        <f t="shared" si="7365"/>
        <v>96240</v>
      </c>
      <c r="B4221" s="12">
        <f t="shared" si="7432"/>
        <v>0</v>
      </c>
      <c r="C4221" s="13">
        <f t="shared" si="7433"/>
        <v>0</v>
      </c>
      <c r="D4221" s="10">
        <f t="shared" si="7434"/>
        <v>0</v>
      </c>
      <c r="J4221" s="9"/>
      <c r="K4221" s="9"/>
      <c r="L4221" s="9"/>
      <c r="M4221" s="9"/>
      <c r="N4221" s="9"/>
      <c r="O4221" s="9"/>
      <c r="P4221" s="9"/>
      <c r="Q4221" s="9"/>
      <c r="R4221" s="9"/>
      <c r="S4221" s="9"/>
      <c r="T4221" s="9"/>
      <c r="U4221" s="1">
        <f t="shared" si="7399"/>
        <v>96</v>
      </c>
      <c r="V4221" s="1">
        <f t="shared" si="7400"/>
        <v>240</v>
      </c>
    </row>
    <row r="4222" spans="1:22" x14ac:dyDescent="0.3">
      <c r="A4222" s="1">
        <f t="shared" si="7365"/>
        <v>96241</v>
      </c>
      <c r="B4222" s="12">
        <f t="shared" si="7432"/>
        <v>0</v>
      </c>
      <c r="C4222" s="13">
        <f t="shared" si="7433"/>
        <v>0</v>
      </c>
      <c r="D4222" s="10">
        <f t="shared" si="7434"/>
        <v>0</v>
      </c>
      <c r="J4222" s="9"/>
      <c r="K4222" s="9"/>
      <c r="L4222" s="9"/>
      <c r="M4222" s="9"/>
      <c r="N4222" s="9"/>
      <c r="O4222" s="9"/>
      <c r="P4222" s="9"/>
      <c r="Q4222" s="9"/>
      <c r="R4222" s="9"/>
      <c r="S4222" s="9"/>
      <c r="T4222" s="9"/>
      <c r="U4222" s="1">
        <f t="shared" si="7399"/>
        <v>96</v>
      </c>
      <c r="V4222" s="1">
        <f t="shared" si="7400"/>
        <v>241</v>
      </c>
    </row>
    <row r="4223" spans="1:22" x14ac:dyDescent="0.3">
      <c r="A4223" s="1">
        <f t="shared" si="7365"/>
        <v>96242</v>
      </c>
      <c r="B4223" s="12">
        <f t="shared" si="7432"/>
        <v>0</v>
      </c>
      <c r="C4223" s="13">
        <f t="shared" si="7433"/>
        <v>0</v>
      </c>
      <c r="D4223" s="10">
        <f t="shared" si="7434"/>
        <v>0</v>
      </c>
      <c r="J4223" s="9"/>
      <c r="K4223" s="9"/>
      <c r="L4223" s="9"/>
      <c r="M4223" s="9"/>
      <c r="N4223" s="9"/>
      <c r="O4223" s="9"/>
      <c r="P4223" s="9"/>
      <c r="Q4223" s="9"/>
      <c r="R4223" s="9"/>
      <c r="S4223" s="9"/>
      <c r="T4223" s="9"/>
      <c r="U4223" s="1">
        <f t="shared" si="7399"/>
        <v>96</v>
      </c>
      <c r="V4223" s="1">
        <f t="shared" si="7400"/>
        <v>242</v>
      </c>
    </row>
    <row r="4224" spans="1:22" x14ac:dyDescent="0.3">
      <c r="A4224" s="1">
        <f t="shared" si="7365"/>
        <v>96243</v>
      </c>
      <c r="J4224" s="9"/>
      <c r="K4224" s="9"/>
      <c r="L4224" s="9"/>
      <c r="M4224" s="9"/>
      <c r="N4224" s="9"/>
      <c r="O4224" s="9"/>
      <c r="P4224" s="9"/>
      <c r="Q4224" s="9"/>
      <c r="R4224" s="9"/>
      <c r="S4224" s="9"/>
      <c r="T4224" s="9"/>
      <c r="U4224" s="1">
        <f t="shared" si="7399"/>
        <v>96</v>
      </c>
      <c r="V4224" s="1">
        <f t="shared" si="7400"/>
        <v>243</v>
      </c>
    </row>
    <row r="4225" spans="1:22" s="5" customFormat="1" x14ac:dyDescent="0.3"/>
    <row r="4226" spans="1:22" x14ac:dyDescent="0.3">
      <c r="A4226" s="1">
        <f t="shared" ref="A4226:A4268" si="7450">ROUND(CONCATENATE(U4226,V4226),0)</f>
        <v>97201</v>
      </c>
      <c r="B4226" s="96" t="s">
        <v>0</v>
      </c>
      <c r="C4226" s="97"/>
      <c r="D4226" s="98"/>
      <c r="E4226" s="99"/>
      <c r="F4226" s="99"/>
      <c r="G4226" s="99"/>
      <c r="H4226" s="100"/>
      <c r="J4226" s="9"/>
      <c r="K4226" s="9"/>
      <c r="L4226" s="9"/>
      <c r="M4226" s="9"/>
      <c r="N4226" s="9"/>
      <c r="O4226" s="9"/>
      <c r="P4226" s="9"/>
      <c r="Q4226" s="9"/>
      <c r="R4226" s="9"/>
      <c r="S4226" s="9"/>
      <c r="T4226" s="9"/>
      <c r="U4226" s="1">
        <f t="shared" ref="U4226" si="7451">U4224+1</f>
        <v>97</v>
      </c>
      <c r="V4226" s="1">
        <v>201</v>
      </c>
    </row>
    <row r="4227" spans="1:22" x14ac:dyDescent="0.3">
      <c r="A4227" s="1">
        <f t="shared" si="7450"/>
        <v>97202</v>
      </c>
      <c r="B4227" s="96" t="s">
        <v>1</v>
      </c>
      <c r="C4227" s="97"/>
      <c r="D4227" s="15"/>
      <c r="E4227" s="16" t="s">
        <v>2</v>
      </c>
      <c r="F4227" s="107"/>
      <c r="G4227" s="108"/>
      <c r="H4227" s="109"/>
      <c r="J4227" s="9"/>
      <c r="K4227" s="9"/>
      <c r="L4227" s="9"/>
      <c r="M4227" s="9"/>
      <c r="N4227" s="9"/>
      <c r="O4227" s="9"/>
      <c r="P4227" s="9"/>
      <c r="Q4227" s="9"/>
      <c r="R4227" s="9"/>
      <c r="S4227" s="9"/>
      <c r="T4227" s="9"/>
      <c r="U4227" s="1">
        <f t="shared" ref="U4227" si="7452">U4226</f>
        <v>97</v>
      </c>
      <c r="V4227" s="1">
        <f t="shared" ref="V4227" si="7453">V4226+1</f>
        <v>202</v>
      </c>
    </row>
    <row r="4228" spans="1:22" x14ac:dyDescent="0.3">
      <c r="A4228" s="1">
        <f t="shared" si="7450"/>
        <v>97203</v>
      </c>
      <c r="B4228" s="96" t="s">
        <v>12</v>
      </c>
      <c r="C4228" s="97"/>
      <c r="D4228" s="98"/>
      <c r="E4228" s="99"/>
      <c r="F4228" s="99"/>
      <c r="G4228" s="99"/>
      <c r="H4228" s="100"/>
      <c r="K4228" s="1" t="s">
        <v>3</v>
      </c>
      <c r="L4228" s="1" t="s">
        <v>4</v>
      </c>
      <c r="M4228" s="1" t="s">
        <v>5</v>
      </c>
      <c r="N4228" s="1" t="s">
        <v>6</v>
      </c>
      <c r="O4228" s="1" t="s">
        <v>7</v>
      </c>
      <c r="P4228" s="1" t="s">
        <v>8</v>
      </c>
      <c r="Q4228" s="1" t="s">
        <v>9</v>
      </c>
      <c r="R4228" s="1" t="s">
        <v>10</v>
      </c>
      <c r="S4228" s="1" t="s">
        <v>11</v>
      </c>
      <c r="T4228" s="9"/>
      <c r="U4228" s="1">
        <f t="shared" si="7399"/>
        <v>97</v>
      </c>
      <c r="V4228" s="1">
        <f t="shared" si="7400"/>
        <v>203</v>
      </c>
    </row>
    <row r="4229" spans="1:22" x14ac:dyDescent="0.3">
      <c r="A4229" s="1">
        <f t="shared" si="7450"/>
        <v>97204</v>
      </c>
      <c r="B4229" s="96" t="s">
        <v>13</v>
      </c>
      <c r="C4229" s="97"/>
      <c r="D4229" s="98"/>
      <c r="E4229" s="99"/>
      <c r="F4229" s="99"/>
      <c r="G4229" s="99"/>
      <c r="H4229" s="100"/>
      <c r="J4229" s="1">
        <f t="shared" ref="J4229" si="7454">COUNTA(B4242:B4251)</f>
        <v>0</v>
      </c>
      <c r="K4229" s="1">
        <f t="shared" ref="K4229" si="7455">IF(L4229-1&lt;2,0,L4229-1)</f>
        <v>0</v>
      </c>
      <c r="L4229" s="1">
        <f t="shared" ref="L4229" si="7456">IF(M4229-1&lt;2,0,M4229-1)</f>
        <v>0</v>
      </c>
      <c r="M4229" s="1">
        <f t="shared" ref="M4229" si="7457">IF(N4229-1&lt;2,0,N4229-1)</f>
        <v>0</v>
      </c>
      <c r="N4229" s="1">
        <f t="shared" ref="N4229" si="7458">IF(O4229-1&lt;2,0,O4229-1)</f>
        <v>0</v>
      </c>
      <c r="O4229" s="1">
        <f t="shared" ref="O4229" si="7459">IF(P4229-1&lt;2,0,P4229-1)</f>
        <v>0</v>
      </c>
      <c r="P4229" s="1">
        <f t="shared" ref="P4229" si="7460">IF(Q4229-1&lt;2,0,Q4229-1)</f>
        <v>0</v>
      </c>
      <c r="Q4229" s="1">
        <f t="shared" ref="Q4229" si="7461">IF(R4229-1&lt;2,0,R4229-1)</f>
        <v>0</v>
      </c>
      <c r="R4229" s="1">
        <f t="shared" ref="R4229" si="7462">IF(S4229-1&lt;2,0,S4229-1)</f>
        <v>0</v>
      </c>
      <c r="S4229" s="1">
        <f t="shared" ref="S4229" si="7463">J4229</f>
        <v>0</v>
      </c>
      <c r="T4229" s="9"/>
      <c r="U4229" s="1">
        <f t="shared" si="7399"/>
        <v>97</v>
      </c>
      <c r="V4229" s="1">
        <f t="shared" si="7400"/>
        <v>204</v>
      </c>
    </row>
    <row r="4230" spans="1:22" x14ac:dyDescent="0.3">
      <c r="A4230" s="1">
        <f t="shared" si="7450"/>
        <v>97205</v>
      </c>
      <c r="B4230" s="96" t="s">
        <v>14</v>
      </c>
      <c r="C4230" s="97"/>
      <c r="D4230" s="98"/>
      <c r="E4230" s="99"/>
      <c r="F4230" s="99"/>
      <c r="G4230" s="99"/>
      <c r="H4230" s="100"/>
      <c r="J4230" s="24" t="str">
        <f t="shared" ref="J4230" si="7464">CONCATENATE(J4229,1)</f>
        <v>01</v>
      </c>
      <c r="K4230" s="25">
        <f t="shared" ref="K4230" si="7465">IF(K4229=0,0,VLOOKUP(J4230,J4234:S4264,K4229,FALSE))</f>
        <v>0</v>
      </c>
      <c r="L4230" s="25">
        <f t="shared" ref="L4230" si="7466">IF(L4229=0,0,VLOOKUP(J4230,J4234:S4264,L4229,FALSE))</f>
        <v>0</v>
      </c>
      <c r="M4230" s="25">
        <f t="shared" ref="M4230" si="7467">IF(M4229=0,0,VLOOKUP(J4230,J4234:S4264,M4229,FALSE))</f>
        <v>0</v>
      </c>
      <c r="N4230" s="25">
        <f t="shared" ref="N4230" si="7468">IF(N4229=0,0,VLOOKUP(J4230,J4234:S4264,N4229,FALSE))</f>
        <v>0</v>
      </c>
      <c r="O4230" s="25">
        <f t="shared" ref="O4230" si="7469">IF(O4229=0,0,VLOOKUP(J4230,J4234:S4264,O4229,FALSE))</f>
        <v>0</v>
      </c>
      <c r="P4230" s="25">
        <f t="shared" ref="P4230" si="7470">IF(P4229=0,0,VLOOKUP(J4230,J4234:S4264,P4229,FALSE))</f>
        <v>0</v>
      </c>
      <c r="Q4230" s="25">
        <f t="shared" ref="Q4230" si="7471">IF(Q4229=0,0,VLOOKUP(J4230,J4234:S4264,Q4229,FALSE))</f>
        <v>0</v>
      </c>
      <c r="R4230" s="25">
        <f t="shared" ref="R4230" si="7472">IF(R4229=0,0,VLOOKUP(J4230,J4234:S4264,R4229,FALSE))</f>
        <v>0</v>
      </c>
      <c r="S4230" s="25">
        <f t="shared" ref="S4230" si="7473">IF(S4229=0,0,VLOOKUP(J4230,J4234:S4264,S4229,FALSE))</f>
        <v>0</v>
      </c>
      <c r="T4230" s="9"/>
      <c r="U4230" s="1">
        <f t="shared" si="7399"/>
        <v>97</v>
      </c>
      <c r="V4230" s="1">
        <f t="shared" si="7400"/>
        <v>205</v>
      </c>
    </row>
    <row r="4231" spans="1:22" x14ac:dyDescent="0.3">
      <c r="A4231" s="1">
        <f t="shared" si="7450"/>
        <v>97206</v>
      </c>
      <c r="B4231" s="96" t="s">
        <v>15</v>
      </c>
      <c r="C4231" s="97"/>
      <c r="D4231" s="98"/>
      <c r="E4231" s="99"/>
      <c r="F4231" s="99"/>
      <c r="G4231" s="99"/>
      <c r="H4231" s="100"/>
      <c r="J4231" s="24" t="str">
        <f t="shared" ref="J4231" si="7474">CONCATENATE(J4229,2)</f>
        <v>02</v>
      </c>
      <c r="K4231" s="6">
        <f t="shared" ref="K4231" si="7475">IF(K4229=0,0,VLOOKUP(J4231,J4234:S4264,K4229,FALSE))</f>
        <v>0</v>
      </c>
      <c r="L4231" s="6">
        <f t="shared" ref="L4231" si="7476">IF(L4229=0,0,VLOOKUP(J4231,J4234:S4264,L4229,FALSE))</f>
        <v>0</v>
      </c>
      <c r="M4231" s="6">
        <f t="shared" ref="M4231" si="7477">IF(M4229=0,0,VLOOKUP(J4231,J4234:S4264,M4229,FALSE))</f>
        <v>0</v>
      </c>
      <c r="N4231" s="6">
        <f t="shared" ref="N4231" si="7478">IF(N4229=0,0,VLOOKUP(J4231,J4234:S4264,N4229,FALSE))</f>
        <v>0</v>
      </c>
      <c r="O4231" s="6">
        <f t="shared" ref="O4231" si="7479">IF(O4229=0,0,VLOOKUP(J4231,J4234:S4264,O4229,FALSE))</f>
        <v>0</v>
      </c>
      <c r="P4231" s="6">
        <f t="shared" ref="P4231" si="7480">IF(P4229=0,0,VLOOKUP(J4231,J4234:S4264,P4229,FALSE))</f>
        <v>0</v>
      </c>
      <c r="Q4231" s="6">
        <f t="shared" ref="Q4231" si="7481">IF(Q4229=0,0,VLOOKUP(J4231,J4234:S4264,Q4229,FALSE))</f>
        <v>0</v>
      </c>
      <c r="R4231" s="6">
        <f t="shared" ref="R4231" si="7482">IF(R4229=0,0,VLOOKUP(J4231,J4234:S4264,R4229,FALSE))</f>
        <v>0</v>
      </c>
      <c r="S4231" s="6">
        <f t="shared" ref="S4231" si="7483">IF(S4229=0,0,VLOOKUP(J4231,J4234:S4264,S4229,FALSE))</f>
        <v>0</v>
      </c>
      <c r="T4231" s="9"/>
      <c r="U4231" s="1">
        <f t="shared" si="7399"/>
        <v>97</v>
      </c>
      <c r="V4231" s="1">
        <f t="shared" si="7400"/>
        <v>206</v>
      </c>
    </row>
    <row r="4232" spans="1:22" x14ac:dyDescent="0.3">
      <c r="A4232" s="1">
        <f t="shared" si="7450"/>
        <v>97207</v>
      </c>
      <c r="B4232" s="96" t="s">
        <v>16</v>
      </c>
      <c r="C4232" s="97"/>
      <c r="D4232" s="101"/>
      <c r="E4232" s="102"/>
      <c r="F4232" s="102"/>
      <c r="G4232" s="102"/>
      <c r="H4232" s="103"/>
      <c r="J4232" s="24" t="str">
        <f t="shared" ref="J4232" si="7484">CONCATENATE(J4229,3)</f>
        <v>03</v>
      </c>
      <c r="K4232" s="6"/>
      <c r="L4232" s="6"/>
      <c r="M4232" s="6"/>
      <c r="N4232" s="6" t="s">
        <v>43</v>
      </c>
      <c r="O4232" s="25">
        <f t="shared" ref="O4232" si="7485">J4229-2</f>
        <v>-2</v>
      </c>
      <c r="P4232" s="6" t="s">
        <v>44</v>
      </c>
      <c r="Q4232" s="25" t="e">
        <f t="shared" ref="Q4232" si="7486">VLOOKUP(J4232,J4234:S4264,3,FALSE)</f>
        <v>#N/A</v>
      </c>
      <c r="R4232" s="6" t="s">
        <v>45</v>
      </c>
      <c r="S4232" s="6" t="e">
        <f t="shared" ref="S4232" si="7487">VLOOKUP(J4232,J4234:S4264,2,FALSE)</f>
        <v>#N/A</v>
      </c>
      <c r="T4232" s="9"/>
      <c r="U4232" s="1">
        <f t="shared" si="7399"/>
        <v>97</v>
      </c>
      <c r="V4232" s="1">
        <f t="shared" si="7400"/>
        <v>207</v>
      </c>
    </row>
    <row r="4233" spans="1:22" x14ac:dyDescent="0.3">
      <c r="A4233" s="1">
        <f t="shared" si="7450"/>
        <v>97208</v>
      </c>
      <c r="B4233" s="96" t="s">
        <v>17</v>
      </c>
      <c r="C4233" s="97"/>
      <c r="D4233" s="104"/>
      <c r="E4233" s="105"/>
      <c r="F4233" s="105"/>
      <c r="G4233" s="105"/>
      <c r="H4233" s="106"/>
      <c r="K4233" s="1">
        <v>3</v>
      </c>
      <c r="L4233" s="1">
        <v>3</v>
      </c>
      <c r="Q4233" s="26"/>
      <c r="R4233" s="26"/>
      <c r="S4233" s="26"/>
      <c r="T4233" s="9"/>
      <c r="U4233" s="1">
        <f t="shared" si="7399"/>
        <v>97</v>
      </c>
      <c r="V4233" s="1">
        <f t="shared" si="7400"/>
        <v>208</v>
      </c>
    </row>
    <row r="4234" spans="1:22" x14ac:dyDescent="0.3">
      <c r="A4234" s="1">
        <f t="shared" si="7450"/>
        <v>97209</v>
      </c>
      <c r="B4234" s="77" t="s">
        <v>19</v>
      </c>
      <c r="C4234" s="78"/>
      <c r="D4234" s="17"/>
      <c r="E4234" s="79" t="s">
        <v>40</v>
      </c>
      <c r="F4234" s="80"/>
      <c r="G4234" s="81"/>
      <c r="H4234" s="18" t="s">
        <v>72</v>
      </c>
      <c r="J4234" s="24" t="str">
        <f t="shared" ref="J4234" si="7488">CONCATENATE(K4233,1)</f>
        <v>31</v>
      </c>
      <c r="K4234" s="6" t="e">
        <f t="array" ref="K4234:L4236">LINEST(B4242:B4244,C4242:C4244^{1},TRUE,TRUE)</f>
        <v>#VALUE!</v>
      </c>
      <c r="L4234" s="6" t="e">
        <v>#VALUE!</v>
      </c>
      <c r="Q4234" s="9"/>
      <c r="R4234" s="9"/>
      <c r="S4234" s="9"/>
      <c r="T4234" s="9"/>
      <c r="U4234" s="1">
        <f t="shared" si="7399"/>
        <v>97</v>
      </c>
      <c r="V4234" s="1">
        <f t="shared" si="7400"/>
        <v>209</v>
      </c>
    </row>
    <row r="4235" spans="1:22" x14ac:dyDescent="0.3">
      <c r="A4235" s="1">
        <f t="shared" si="7450"/>
        <v>97210</v>
      </c>
      <c r="B4235" s="77" t="s">
        <v>41</v>
      </c>
      <c r="C4235" s="78"/>
      <c r="D4235" s="23">
        <f t="shared" ref="D4235" si="7489">MIN(B4242:B4251)</f>
        <v>0</v>
      </c>
      <c r="E4235" s="20" t="s">
        <v>18</v>
      </c>
      <c r="F4235" s="19">
        <f t="shared" ref="F4235" si="7490">MAX(B4242:B4251)</f>
        <v>0</v>
      </c>
      <c r="G4235" s="21" t="str">
        <f t="shared" ref="G4235" si="7491">IF(H4234="","",H4234)</f>
        <v>%ur</v>
      </c>
      <c r="H4235" s="22"/>
      <c r="J4235" s="24" t="str">
        <f t="shared" ref="J4235" si="7492">CONCATENATE(K4233,2)</f>
        <v>32</v>
      </c>
      <c r="K4235" s="6" t="e">
        <v>#VALUE!</v>
      </c>
      <c r="L4235" s="6" t="e">
        <v>#VALUE!</v>
      </c>
      <c r="Q4235" s="9"/>
      <c r="R4235" s="9"/>
      <c r="S4235" s="9"/>
      <c r="T4235" s="9"/>
      <c r="U4235" s="1">
        <f t="shared" si="7399"/>
        <v>97</v>
      </c>
      <c r="V4235" s="1">
        <f t="shared" si="7400"/>
        <v>210</v>
      </c>
    </row>
    <row r="4236" spans="1:22" x14ac:dyDescent="0.3">
      <c r="A4236" s="1">
        <f t="shared" si="7450"/>
        <v>97211</v>
      </c>
      <c r="J4236" s="24" t="str">
        <f t="shared" ref="J4236" si="7493">CONCATENATE(K4233,3)</f>
        <v>33</v>
      </c>
      <c r="K4236" s="6" t="e">
        <v>#VALUE!</v>
      </c>
      <c r="L4236" s="6" t="e">
        <v>#VALUE!</v>
      </c>
      <c r="Q4236" s="9"/>
      <c r="R4236" s="9"/>
      <c r="S4236" s="9"/>
      <c r="T4236" s="9"/>
      <c r="U4236" s="1">
        <f t="shared" si="7399"/>
        <v>97</v>
      </c>
      <c r="V4236" s="1">
        <f t="shared" si="7400"/>
        <v>211</v>
      </c>
    </row>
    <row r="4237" spans="1:22" x14ac:dyDescent="0.3">
      <c r="A4237" s="1">
        <f t="shared" si="7450"/>
        <v>97212</v>
      </c>
      <c r="B4237" s="82" t="s">
        <v>20</v>
      </c>
      <c r="C4237" s="83"/>
      <c r="D4237" s="83"/>
      <c r="E4237" s="83"/>
      <c r="F4237" s="84"/>
      <c r="G4237" s="85" t="s">
        <v>31</v>
      </c>
      <c r="H4237" s="86"/>
      <c r="K4237" s="1">
        <v>4</v>
      </c>
      <c r="L4237" s="1">
        <v>4</v>
      </c>
      <c r="M4237" s="1">
        <v>4</v>
      </c>
      <c r="Q4237" s="9"/>
      <c r="R4237" s="9"/>
      <c r="S4237" s="9"/>
      <c r="T4237" s="9"/>
      <c r="U4237" s="1">
        <f t="shared" si="7399"/>
        <v>97</v>
      </c>
      <c r="V4237" s="1">
        <f t="shared" si="7400"/>
        <v>212</v>
      </c>
    </row>
    <row r="4238" spans="1:22" x14ac:dyDescent="0.3">
      <c r="A4238" s="1">
        <f t="shared" si="7450"/>
        <v>97213</v>
      </c>
      <c r="B4238" s="82" t="s">
        <v>30</v>
      </c>
      <c r="C4238" s="83"/>
      <c r="D4238" s="84"/>
      <c r="E4238" s="82">
        <f t="shared" ref="E4238" si="7494">D4231</f>
        <v>0</v>
      </c>
      <c r="F4238" s="84"/>
      <c r="G4238" s="6" t="s">
        <v>32</v>
      </c>
      <c r="H4238" s="7"/>
      <c r="J4238" s="24" t="str">
        <f t="shared" ref="J4238" si="7495">CONCATENATE(K4237,1)</f>
        <v>41</v>
      </c>
      <c r="K4238" s="6" t="e">
        <f t="array" ref="K4238:M4240">LINEST(B4242:B4245,C4242:C4245^{1,2},TRUE,TRUE)</f>
        <v>#VALUE!</v>
      </c>
      <c r="L4238" s="6" t="e">
        <v>#VALUE!</v>
      </c>
      <c r="M4238" s="6" t="e">
        <v>#VALUE!</v>
      </c>
      <c r="Q4238" s="9"/>
      <c r="R4238" s="9"/>
      <c r="S4238" s="9"/>
      <c r="T4238" s="9"/>
      <c r="U4238" s="1">
        <f t="shared" si="7399"/>
        <v>97</v>
      </c>
      <c r="V4238" s="1">
        <f t="shared" si="7400"/>
        <v>213</v>
      </c>
    </row>
    <row r="4239" spans="1:22" x14ac:dyDescent="0.3">
      <c r="A4239" s="1">
        <f t="shared" si="7450"/>
        <v>97214</v>
      </c>
      <c r="B4239" s="2" t="s">
        <v>21</v>
      </c>
      <c r="C4239" s="2" t="s">
        <v>22</v>
      </c>
      <c r="D4239" s="2" t="s">
        <v>23</v>
      </c>
      <c r="E4239" s="2"/>
      <c r="F4239" s="2" t="s">
        <v>28</v>
      </c>
      <c r="G4239" s="2" t="s">
        <v>21</v>
      </c>
      <c r="H4239" s="2" t="s">
        <v>22</v>
      </c>
      <c r="J4239" s="24" t="str">
        <f t="shared" ref="J4239" si="7496">CONCATENATE(K4237,2)</f>
        <v>42</v>
      </c>
      <c r="K4239" s="6" t="e">
        <v>#VALUE!</v>
      </c>
      <c r="L4239" s="6" t="e">
        <v>#VALUE!</v>
      </c>
      <c r="M4239" s="6" t="e">
        <v>#VALUE!</v>
      </c>
      <c r="Q4239" s="9"/>
      <c r="R4239" s="9"/>
      <c r="S4239" s="9"/>
      <c r="T4239" s="9"/>
      <c r="U4239" s="1">
        <f t="shared" si="7399"/>
        <v>97</v>
      </c>
      <c r="V4239" s="1">
        <f t="shared" si="7400"/>
        <v>214</v>
      </c>
    </row>
    <row r="4240" spans="1:22" x14ac:dyDescent="0.3">
      <c r="A4240" s="1">
        <f t="shared" si="7450"/>
        <v>97215</v>
      </c>
      <c r="B4240" s="2" t="s">
        <v>24</v>
      </c>
      <c r="C4240" s="2" t="s">
        <v>25</v>
      </c>
      <c r="D4240" s="2" t="s">
        <v>26</v>
      </c>
      <c r="E4240" s="2" t="s">
        <v>27</v>
      </c>
      <c r="F4240" s="2" t="s">
        <v>29</v>
      </c>
      <c r="G4240" s="2" t="s">
        <v>24</v>
      </c>
      <c r="H4240" s="2" t="s">
        <v>25</v>
      </c>
      <c r="J4240" s="24" t="str">
        <f t="shared" ref="J4240" si="7497">CONCATENATE(K4237,3)</f>
        <v>43</v>
      </c>
      <c r="K4240" s="6" t="e">
        <v>#VALUE!</v>
      </c>
      <c r="L4240" s="6" t="e">
        <v>#VALUE!</v>
      </c>
      <c r="M4240" s="6" t="e">
        <v>#VALUE!</v>
      </c>
      <c r="Q4240" s="9"/>
      <c r="R4240" s="9"/>
      <c r="S4240" s="9"/>
      <c r="T4240" s="9"/>
      <c r="U4240" s="1">
        <f t="shared" si="7399"/>
        <v>97</v>
      </c>
      <c r="V4240" s="1">
        <f t="shared" si="7400"/>
        <v>215</v>
      </c>
    </row>
    <row r="4241" spans="1:22" x14ac:dyDescent="0.3">
      <c r="A4241" s="1">
        <f t="shared" si="7450"/>
        <v>97216</v>
      </c>
      <c r="B4241" s="3" t="str">
        <f t="shared" ref="B4241" si="7498">H4234</f>
        <v>%ur</v>
      </c>
      <c r="C4241" s="3" t="str">
        <f t="shared" ref="C4241" si="7499">B4241</f>
        <v>%ur</v>
      </c>
      <c r="D4241" s="3" t="str">
        <f t="shared" ref="D4241" si="7500">C4241</f>
        <v>%ur</v>
      </c>
      <c r="E4241" s="3"/>
      <c r="F4241" s="3"/>
      <c r="G4241" s="3" t="str">
        <f t="shared" ref="G4241" si="7501">D4241</f>
        <v>%ur</v>
      </c>
      <c r="H4241" s="3" t="str">
        <f t="shared" ref="H4241" si="7502">G4241</f>
        <v>%ur</v>
      </c>
      <c r="K4241" s="1">
        <v>5</v>
      </c>
      <c r="L4241" s="1">
        <v>5</v>
      </c>
      <c r="M4241" s="1">
        <v>5</v>
      </c>
      <c r="N4241" s="1">
        <v>5</v>
      </c>
      <c r="Q4241" s="9"/>
      <c r="R4241" s="9"/>
      <c r="S4241" s="9"/>
      <c r="T4241" s="9"/>
      <c r="U4241" s="1">
        <f t="shared" si="7399"/>
        <v>97</v>
      </c>
      <c r="V4241" s="1">
        <f t="shared" si="7400"/>
        <v>216</v>
      </c>
    </row>
    <row r="4242" spans="1:22" x14ac:dyDescent="0.3">
      <c r="A4242" s="1">
        <f t="shared" si="7450"/>
        <v>97217</v>
      </c>
      <c r="B4242" s="4"/>
      <c r="C4242" s="4"/>
      <c r="D4242" s="4"/>
      <c r="E4242" s="4"/>
      <c r="F4242" s="14"/>
      <c r="G4242" s="8"/>
      <c r="H4242" s="7"/>
      <c r="J4242" s="24" t="str">
        <f t="shared" ref="J4242" si="7503">CONCATENATE(K4241,1)</f>
        <v>51</v>
      </c>
      <c r="K4242" s="6" t="e">
        <f t="array" ref="K4242:N4244">LINEST(B4242:B4246,C4242:C4246^{1,2,3},TRUE,TRUE)</f>
        <v>#VALUE!</v>
      </c>
      <c r="L4242" s="6" t="e">
        <v>#VALUE!</v>
      </c>
      <c r="M4242" s="6" t="e">
        <v>#VALUE!</v>
      </c>
      <c r="N4242" s="6" t="e">
        <v>#VALUE!</v>
      </c>
      <c r="Q4242" s="9"/>
      <c r="R4242" s="9"/>
      <c r="S4242" s="9"/>
      <c r="T4242" s="9"/>
      <c r="U4242" s="1">
        <f t="shared" si="7399"/>
        <v>97</v>
      </c>
      <c r="V4242" s="1">
        <f t="shared" si="7400"/>
        <v>217</v>
      </c>
    </row>
    <row r="4243" spans="1:22" x14ac:dyDescent="0.3">
      <c r="A4243" s="1">
        <f t="shared" si="7450"/>
        <v>97218</v>
      </c>
      <c r="B4243" s="4"/>
      <c r="C4243" s="4"/>
      <c r="D4243" s="4"/>
      <c r="E4243" s="4"/>
      <c r="F4243" s="14"/>
      <c r="G4243" s="8"/>
      <c r="H4243" s="7"/>
      <c r="J4243" s="24" t="str">
        <f t="shared" ref="J4243" si="7504">CONCATENATE(K4241,2)</f>
        <v>52</v>
      </c>
      <c r="K4243" s="6" t="e">
        <v>#VALUE!</v>
      </c>
      <c r="L4243" s="6" t="e">
        <v>#VALUE!</v>
      </c>
      <c r="M4243" s="6" t="e">
        <v>#VALUE!</v>
      </c>
      <c r="N4243" s="6" t="e">
        <v>#VALUE!</v>
      </c>
      <c r="T4243" s="9"/>
      <c r="U4243" s="1">
        <f t="shared" si="7399"/>
        <v>97</v>
      </c>
      <c r="V4243" s="1">
        <f t="shared" si="7400"/>
        <v>218</v>
      </c>
    </row>
    <row r="4244" spans="1:22" x14ac:dyDescent="0.3">
      <c r="A4244" s="1">
        <f t="shared" si="7450"/>
        <v>97219</v>
      </c>
      <c r="B4244" s="4"/>
      <c r="C4244" s="4"/>
      <c r="D4244" s="4"/>
      <c r="E4244" s="4"/>
      <c r="F4244" s="14"/>
      <c r="G4244" s="8"/>
      <c r="H4244" s="7"/>
      <c r="J4244" s="24" t="str">
        <f t="shared" ref="J4244" si="7505">CONCATENATE(K4241,3)</f>
        <v>53</v>
      </c>
      <c r="K4244" s="6" t="e">
        <v>#VALUE!</v>
      </c>
      <c r="L4244" s="6" t="e">
        <v>#VALUE!</v>
      </c>
      <c r="M4244" s="6" t="e">
        <v>#VALUE!</v>
      </c>
      <c r="N4244" s="6" t="e">
        <v>#VALUE!</v>
      </c>
      <c r="T4244" s="9"/>
      <c r="U4244" s="1">
        <f t="shared" si="7399"/>
        <v>97</v>
      </c>
      <c r="V4244" s="1">
        <f t="shared" si="7400"/>
        <v>219</v>
      </c>
    </row>
    <row r="4245" spans="1:22" x14ac:dyDescent="0.3">
      <c r="A4245" s="1">
        <f t="shared" si="7450"/>
        <v>97220</v>
      </c>
      <c r="B4245" s="4"/>
      <c r="C4245" s="4"/>
      <c r="D4245" s="4"/>
      <c r="E4245" s="4"/>
      <c r="F4245" s="14"/>
      <c r="G4245" s="8"/>
      <c r="H4245" s="7"/>
      <c r="K4245" s="1">
        <v>6</v>
      </c>
      <c r="L4245" s="1">
        <v>6</v>
      </c>
      <c r="M4245" s="1">
        <v>6</v>
      </c>
      <c r="N4245" s="1">
        <v>6</v>
      </c>
      <c r="O4245" s="1">
        <v>6</v>
      </c>
      <c r="T4245" s="9"/>
      <c r="U4245" s="1">
        <f t="shared" si="7399"/>
        <v>97</v>
      </c>
      <c r="V4245" s="1">
        <f t="shared" si="7400"/>
        <v>220</v>
      </c>
    </row>
    <row r="4246" spans="1:22" x14ac:dyDescent="0.3">
      <c r="A4246" s="1">
        <f t="shared" si="7450"/>
        <v>97221</v>
      </c>
      <c r="B4246" s="4"/>
      <c r="C4246" s="4"/>
      <c r="D4246" s="4"/>
      <c r="E4246" s="4"/>
      <c r="F4246" s="14"/>
      <c r="G4246" s="8"/>
      <c r="H4246" s="7"/>
      <c r="J4246" s="24" t="str">
        <f t="shared" ref="J4246" si="7506">CONCATENATE(K4245,1)</f>
        <v>61</v>
      </c>
      <c r="K4246" s="6" t="e">
        <f t="array" ref="K4246:O4248">LINEST(B4242:B4247,C4242:C4247^{1,2,3,4},TRUE,TRUE)</f>
        <v>#VALUE!</v>
      </c>
      <c r="L4246" s="6" t="e">
        <v>#VALUE!</v>
      </c>
      <c r="M4246" s="6" t="e">
        <v>#VALUE!</v>
      </c>
      <c r="N4246" s="6" t="e">
        <v>#VALUE!</v>
      </c>
      <c r="O4246" s="6" t="e">
        <v>#VALUE!</v>
      </c>
      <c r="T4246" s="9"/>
      <c r="U4246" s="1">
        <f t="shared" si="7399"/>
        <v>97</v>
      </c>
      <c r="V4246" s="1">
        <f t="shared" si="7400"/>
        <v>221</v>
      </c>
    </row>
    <row r="4247" spans="1:22" x14ac:dyDescent="0.3">
      <c r="A4247" s="1">
        <f t="shared" si="7450"/>
        <v>97222</v>
      </c>
      <c r="B4247" s="4"/>
      <c r="C4247" s="4"/>
      <c r="D4247" s="4"/>
      <c r="E4247" s="4"/>
      <c r="F4247" s="14"/>
      <c r="G4247" s="8"/>
      <c r="H4247" s="7"/>
      <c r="J4247" s="24" t="str">
        <f t="shared" ref="J4247" si="7507">CONCATENATE(K4245,2)</f>
        <v>62</v>
      </c>
      <c r="K4247" s="6" t="e">
        <v>#VALUE!</v>
      </c>
      <c r="L4247" s="6" t="e">
        <v>#VALUE!</v>
      </c>
      <c r="M4247" s="6" t="e">
        <v>#VALUE!</v>
      </c>
      <c r="N4247" s="6" t="e">
        <v>#VALUE!</v>
      </c>
      <c r="O4247" s="6" t="e">
        <v>#VALUE!</v>
      </c>
      <c r="T4247" s="9"/>
      <c r="U4247" s="1">
        <f t="shared" si="7399"/>
        <v>97</v>
      </c>
      <c r="V4247" s="1">
        <f t="shared" si="7400"/>
        <v>222</v>
      </c>
    </row>
    <row r="4248" spans="1:22" x14ac:dyDescent="0.3">
      <c r="A4248" s="1">
        <f t="shared" si="7450"/>
        <v>97223</v>
      </c>
      <c r="B4248" s="4"/>
      <c r="C4248" s="4"/>
      <c r="D4248" s="4"/>
      <c r="E4248" s="4"/>
      <c r="F4248" s="14"/>
      <c r="G4248" s="8"/>
      <c r="H4248" s="7"/>
      <c r="J4248" s="24" t="str">
        <f t="shared" ref="J4248" si="7508">CONCATENATE(K4245,3)</f>
        <v>63</v>
      </c>
      <c r="K4248" s="6" t="e">
        <v>#VALUE!</v>
      </c>
      <c r="L4248" s="6" t="e">
        <v>#VALUE!</v>
      </c>
      <c r="M4248" s="6" t="e">
        <v>#VALUE!</v>
      </c>
      <c r="N4248" s="6" t="e">
        <v>#VALUE!</v>
      </c>
      <c r="O4248" s="6" t="e">
        <v>#VALUE!</v>
      </c>
      <c r="T4248" s="9"/>
      <c r="U4248" s="1">
        <f t="shared" si="7399"/>
        <v>97</v>
      </c>
      <c r="V4248" s="1">
        <f t="shared" si="7400"/>
        <v>223</v>
      </c>
    </row>
    <row r="4249" spans="1:22" x14ac:dyDescent="0.3">
      <c r="A4249" s="1">
        <f t="shared" si="7450"/>
        <v>97224</v>
      </c>
      <c r="B4249" s="4"/>
      <c r="C4249" s="4"/>
      <c r="D4249" s="4"/>
      <c r="E4249" s="4"/>
      <c r="F4249" s="14"/>
      <c r="G4249" s="8"/>
      <c r="H4249" s="7"/>
      <c r="K4249" s="1">
        <v>7</v>
      </c>
      <c r="L4249" s="1">
        <v>7</v>
      </c>
      <c r="M4249" s="1">
        <v>7</v>
      </c>
      <c r="N4249" s="1">
        <v>7</v>
      </c>
      <c r="O4249" s="1">
        <v>7</v>
      </c>
      <c r="P4249" s="1">
        <v>7</v>
      </c>
      <c r="T4249" s="9"/>
      <c r="U4249" s="1">
        <f t="shared" si="7399"/>
        <v>97</v>
      </c>
      <c r="V4249" s="1">
        <f t="shared" si="7400"/>
        <v>224</v>
      </c>
    </row>
    <row r="4250" spans="1:22" x14ac:dyDescent="0.3">
      <c r="A4250" s="1">
        <f t="shared" si="7450"/>
        <v>97225</v>
      </c>
      <c r="B4250" s="4"/>
      <c r="C4250" s="4"/>
      <c r="D4250" s="4"/>
      <c r="E4250" s="4"/>
      <c r="F4250" s="14"/>
      <c r="G4250" s="8"/>
      <c r="H4250" s="7"/>
      <c r="J4250" s="24" t="str">
        <f t="shared" ref="J4250" si="7509">CONCATENATE(K4249,1)</f>
        <v>71</v>
      </c>
      <c r="K4250" s="6" t="e">
        <f t="array" ref="K4250:P4252">LINEST(B4242:B4248,C4242:C4248^{1,2,3,4,5},TRUE,TRUE)</f>
        <v>#VALUE!</v>
      </c>
      <c r="L4250" s="6" t="e">
        <v>#VALUE!</v>
      </c>
      <c r="M4250" s="6" t="e">
        <v>#VALUE!</v>
      </c>
      <c r="N4250" s="6" t="e">
        <v>#VALUE!</v>
      </c>
      <c r="O4250" s="6" t="e">
        <v>#VALUE!</v>
      </c>
      <c r="P4250" s="6" t="e">
        <v>#VALUE!</v>
      </c>
      <c r="T4250" s="9"/>
      <c r="U4250" s="1">
        <f t="shared" si="7399"/>
        <v>97</v>
      </c>
      <c r="V4250" s="1">
        <f t="shared" si="7400"/>
        <v>225</v>
      </c>
    </row>
    <row r="4251" spans="1:22" x14ac:dyDescent="0.3">
      <c r="A4251" s="1">
        <f t="shared" si="7450"/>
        <v>97226</v>
      </c>
      <c r="B4251" s="4"/>
      <c r="C4251" s="4"/>
      <c r="D4251" s="4"/>
      <c r="E4251" s="4"/>
      <c r="F4251" s="14"/>
      <c r="G4251" s="8"/>
      <c r="H4251" s="7"/>
      <c r="J4251" s="24" t="str">
        <f t="shared" ref="J4251" si="7510">CONCATENATE(K4249,2)</f>
        <v>72</v>
      </c>
      <c r="K4251" s="6" t="e">
        <v>#VALUE!</v>
      </c>
      <c r="L4251" s="6" t="e">
        <v>#VALUE!</v>
      </c>
      <c r="M4251" s="6" t="e">
        <v>#VALUE!</v>
      </c>
      <c r="N4251" s="6" t="e">
        <v>#VALUE!</v>
      </c>
      <c r="O4251" s="6" t="e">
        <v>#VALUE!</v>
      </c>
      <c r="P4251" s="6" t="e">
        <v>#VALUE!</v>
      </c>
      <c r="T4251" s="9"/>
      <c r="U4251" s="1">
        <f t="shared" ref="U4251:U4312" si="7511">U4250</f>
        <v>97</v>
      </c>
      <c r="V4251" s="1">
        <f t="shared" ref="V4251:V4312" si="7512">V4250+1</f>
        <v>226</v>
      </c>
    </row>
    <row r="4252" spans="1:22" x14ac:dyDescent="0.3">
      <c r="A4252" s="1">
        <f t="shared" si="7450"/>
        <v>97227</v>
      </c>
      <c r="B4252" s="9"/>
      <c r="C4252" s="9"/>
      <c r="D4252" s="9"/>
      <c r="E4252" s="9"/>
      <c r="F4252" s="9"/>
      <c r="G4252" s="9"/>
      <c r="H4252" s="9"/>
      <c r="J4252" s="24" t="str">
        <f t="shared" ref="J4252" si="7513">CONCATENATE(K4249,3)</f>
        <v>73</v>
      </c>
      <c r="K4252" s="6" t="e">
        <v>#VALUE!</v>
      </c>
      <c r="L4252" s="6" t="e">
        <v>#VALUE!</v>
      </c>
      <c r="M4252" s="6" t="e">
        <v>#VALUE!</v>
      </c>
      <c r="N4252" s="6" t="e">
        <v>#VALUE!</v>
      </c>
      <c r="O4252" s="6" t="e">
        <v>#VALUE!</v>
      </c>
      <c r="P4252" s="6" t="e">
        <v>#VALUE!</v>
      </c>
      <c r="T4252" s="9"/>
      <c r="U4252" s="1">
        <f t="shared" si="7511"/>
        <v>97</v>
      </c>
      <c r="V4252" s="1">
        <f t="shared" si="7512"/>
        <v>227</v>
      </c>
    </row>
    <row r="4253" spans="1:22" x14ac:dyDescent="0.3">
      <c r="A4253" s="1">
        <f t="shared" si="7450"/>
        <v>97228</v>
      </c>
      <c r="B4253" s="87" t="s">
        <v>33</v>
      </c>
      <c r="C4253" s="88"/>
      <c r="D4253" s="88"/>
      <c r="E4253" s="88"/>
      <c r="F4253" s="88"/>
      <c r="G4253" s="88"/>
      <c r="H4253" s="89"/>
      <c r="K4253" s="1">
        <v>8</v>
      </c>
      <c r="L4253" s="1">
        <v>8</v>
      </c>
      <c r="M4253" s="1">
        <v>8</v>
      </c>
      <c r="N4253" s="1">
        <v>8</v>
      </c>
      <c r="O4253" s="1">
        <v>8</v>
      </c>
      <c r="P4253" s="1">
        <v>8</v>
      </c>
      <c r="Q4253" s="1">
        <v>8</v>
      </c>
      <c r="T4253" s="9"/>
      <c r="U4253" s="1">
        <f t="shared" si="7511"/>
        <v>97</v>
      </c>
      <c r="V4253" s="1">
        <f t="shared" si="7512"/>
        <v>228</v>
      </c>
    </row>
    <row r="4254" spans="1:22" x14ac:dyDescent="0.3">
      <c r="A4254" s="1">
        <f t="shared" si="7450"/>
        <v>97229</v>
      </c>
      <c r="B4254" s="90"/>
      <c r="C4254" s="91"/>
      <c r="D4254" s="91"/>
      <c r="E4254" s="91"/>
      <c r="F4254" s="91"/>
      <c r="G4254" s="91"/>
      <c r="H4254" s="92"/>
      <c r="J4254" s="24" t="str">
        <f t="shared" ref="J4254" si="7514">CONCATENATE(K4253,1)</f>
        <v>81</v>
      </c>
      <c r="K4254" s="6" t="e">
        <f t="array" ref="K4254:Q4256">LINEST(B4242:B4249,C4242:C4249^{1,2,3,4,5,6},TRUE,TRUE)</f>
        <v>#VALUE!</v>
      </c>
      <c r="L4254" s="6" t="e">
        <v>#VALUE!</v>
      </c>
      <c r="M4254" s="6" t="e">
        <v>#VALUE!</v>
      </c>
      <c r="N4254" s="6" t="e">
        <v>#VALUE!</v>
      </c>
      <c r="O4254" s="6" t="e">
        <v>#VALUE!</v>
      </c>
      <c r="P4254" s="6" t="e">
        <v>#VALUE!</v>
      </c>
      <c r="Q4254" s="6" t="e">
        <v>#VALUE!</v>
      </c>
      <c r="T4254" s="9"/>
      <c r="U4254" s="1">
        <f t="shared" si="7511"/>
        <v>97</v>
      </c>
      <c r="V4254" s="1">
        <f t="shared" si="7512"/>
        <v>229</v>
      </c>
    </row>
    <row r="4255" spans="1:22" x14ac:dyDescent="0.3">
      <c r="A4255" s="1">
        <f t="shared" si="7450"/>
        <v>97230</v>
      </c>
      <c r="B4255" s="93"/>
      <c r="C4255" s="94"/>
      <c r="D4255" s="94"/>
      <c r="E4255" s="94"/>
      <c r="F4255" s="94"/>
      <c r="G4255" s="94"/>
      <c r="H4255" s="95"/>
      <c r="J4255" s="24" t="str">
        <f t="shared" ref="J4255" si="7515">CONCATENATE(K4253,2)</f>
        <v>82</v>
      </c>
      <c r="K4255" s="6" t="e">
        <v>#VALUE!</v>
      </c>
      <c r="L4255" s="6" t="e">
        <v>#VALUE!</v>
      </c>
      <c r="M4255" s="6" t="e">
        <v>#VALUE!</v>
      </c>
      <c r="N4255" s="6" t="e">
        <v>#VALUE!</v>
      </c>
      <c r="O4255" s="6" t="e">
        <v>#VALUE!</v>
      </c>
      <c r="P4255" s="6" t="e">
        <v>#VALUE!</v>
      </c>
      <c r="Q4255" s="6" t="e">
        <v>#VALUE!</v>
      </c>
      <c r="T4255" s="9"/>
      <c r="U4255" s="1">
        <f t="shared" si="7511"/>
        <v>97</v>
      </c>
      <c r="V4255" s="1">
        <f t="shared" si="7512"/>
        <v>230</v>
      </c>
    </row>
    <row r="4256" spans="1:22" x14ac:dyDescent="0.3">
      <c r="A4256" s="1">
        <f t="shared" si="7450"/>
        <v>97231</v>
      </c>
      <c r="J4256" s="24" t="str">
        <f t="shared" ref="J4256" si="7516">CONCATENATE(K4253,3)</f>
        <v>83</v>
      </c>
      <c r="K4256" s="6" t="e">
        <v>#VALUE!</v>
      </c>
      <c r="L4256" s="6" t="e">
        <v>#VALUE!</v>
      </c>
      <c r="M4256" s="6" t="e">
        <v>#VALUE!</v>
      </c>
      <c r="N4256" s="6" t="e">
        <v>#VALUE!</v>
      </c>
      <c r="O4256" s="6" t="e">
        <v>#VALUE!</v>
      </c>
      <c r="P4256" s="6" t="e">
        <v>#VALUE!</v>
      </c>
      <c r="Q4256" s="6" t="e">
        <v>#VALUE!</v>
      </c>
      <c r="T4256" s="9"/>
      <c r="U4256" s="1">
        <f t="shared" si="7511"/>
        <v>97</v>
      </c>
      <c r="V4256" s="1">
        <f t="shared" si="7512"/>
        <v>231</v>
      </c>
    </row>
    <row r="4257" spans="1:22" ht="15" customHeight="1" x14ac:dyDescent="0.3">
      <c r="A4257" s="1">
        <f t="shared" si="7450"/>
        <v>97232</v>
      </c>
      <c r="B4257" s="10" t="s">
        <v>34</v>
      </c>
      <c r="C4257" s="10" t="s">
        <v>35</v>
      </c>
      <c r="D4257" s="10" t="s">
        <v>36</v>
      </c>
      <c r="E4257" s="74" t="s">
        <v>37</v>
      </c>
      <c r="F4257" s="75"/>
      <c r="G4257" s="76"/>
      <c r="K4257" s="1">
        <v>9</v>
      </c>
      <c r="L4257" s="1">
        <v>9</v>
      </c>
      <c r="M4257" s="1">
        <v>9</v>
      </c>
      <c r="N4257" s="1">
        <v>9</v>
      </c>
      <c r="O4257" s="1">
        <v>9</v>
      </c>
      <c r="P4257" s="1">
        <v>9</v>
      </c>
      <c r="Q4257" s="1">
        <v>9</v>
      </c>
      <c r="R4257" s="1">
        <v>9</v>
      </c>
      <c r="T4257" s="9"/>
      <c r="U4257" s="1">
        <f t="shared" si="7511"/>
        <v>97</v>
      </c>
      <c r="V4257" s="1">
        <f t="shared" si="7512"/>
        <v>232</v>
      </c>
    </row>
    <row r="4258" spans="1:22" x14ac:dyDescent="0.3">
      <c r="A4258" s="1">
        <f t="shared" si="7450"/>
        <v>97233</v>
      </c>
      <c r="B4258" s="12">
        <f t="shared" ref="B4258:B4267" si="7517">C4242-B4242</f>
        <v>0</v>
      </c>
      <c r="C4258" s="13">
        <f t="shared" ref="C4258:C4267" si="7518">H4242-G4242</f>
        <v>0</v>
      </c>
      <c r="D4258" s="10">
        <f t="shared" ref="D4258:D4267" si="7519">C4258-B4258</f>
        <v>0</v>
      </c>
      <c r="E4258" s="11" t="str">
        <f t="shared" ref="E4258" si="7520">IF(D4233="","",MAX(F4258,G4258))</f>
        <v/>
      </c>
      <c r="F4258" s="10">
        <f t="shared" ref="F4258" si="7521">ABS(MIN(D4258:D4267))</f>
        <v>0</v>
      </c>
      <c r="G4258" s="10">
        <f t="shared" ref="G4258" si="7522">ABS(MAX(D4258:D4267))</f>
        <v>0</v>
      </c>
      <c r="J4258" s="24" t="str">
        <f t="shared" ref="J4258" si="7523">CONCATENATE(K4257,1)</f>
        <v>91</v>
      </c>
      <c r="K4258" s="6" t="e">
        <f t="array" ref="K4258:R4260">LINEST(B4242:B4250,C4242:C4250^{1,2,3,4,5,6,7},TRUE,TRUE)</f>
        <v>#VALUE!</v>
      </c>
      <c r="L4258" s="6" t="e">
        <v>#VALUE!</v>
      </c>
      <c r="M4258" s="6" t="e">
        <v>#VALUE!</v>
      </c>
      <c r="N4258" s="6" t="e">
        <v>#VALUE!</v>
      </c>
      <c r="O4258" s="6" t="e">
        <v>#VALUE!</v>
      </c>
      <c r="P4258" s="6" t="e">
        <v>#VALUE!</v>
      </c>
      <c r="Q4258" s="6" t="e">
        <v>#VALUE!</v>
      </c>
      <c r="R4258" s="6" t="e">
        <v>#VALUE!</v>
      </c>
      <c r="T4258" s="9"/>
      <c r="U4258" s="1">
        <f t="shared" si="7511"/>
        <v>97</v>
      </c>
      <c r="V4258" s="1">
        <f t="shared" si="7512"/>
        <v>233</v>
      </c>
    </row>
    <row r="4259" spans="1:22" x14ac:dyDescent="0.3">
      <c r="A4259" s="1">
        <f t="shared" si="7450"/>
        <v>97234</v>
      </c>
      <c r="B4259" s="12">
        <f t="shared" si="7517"/>
        <v>0</v>
      </c>
      <c r="C4259" s="13">
        <f t="shared" si="7518"/>
        <v>0</v>
      </c>
      <c r="D4259" s="10">
        <f t="shared" si="7519"/>
        <v>0</v>
      </c>
      <c r="E4259" s="74" t="s">
        <v>38</v>
      </c>
      <c r="F4259" s="75"/>
      <c r="G4259" s="76"/>
      <c r="J4259" s="24" t="str">
        <f t="shared" ref="J4259" si="7524">CONCATENATE(K4257,2)</f>
        <v>92</v>
      </c>
      <c r="K4259" s="6" t="e">
        <v>#VALUE!</v>
      </c>
      <c r="L4259" s="6" t="e">
        <v>#VALUE!</v>
      </c>
      <c r="M4259" s="6" t="e">
        <v>#VALUE!</v>
      </c>
      <c r="N4259" s="6" t="e">
        <v>#VALUE!</v>
      </c>
      <c r="O4259" s="6" t="e">
        <v>#VALUE!</v>
      </c>
      <c r="P4259" s="6" t="e">
        <v>#VALUE!</v>
      </c>
      <c r="Q4259" s="6" t="e">
        <v>#VALUE!</v>
      </c>
      <c r="R4259" s="6" t="e">
        <v>#VALUE!</v>
      </c>
      <c r="T4259" s="9"/>
      <c r="U4259" s="1">
        <f t="shared" si="7511"/>
        <v>97</v>
      </c>
      <c r="V4259" s="1">
        <f t="shared" si="7512"/>
        <v>234</v>
      </c>
    </row>
    <row r="4260" spans="1:22" x14ac:dyDescent="0.3">
      <c r="A4260" s="1">
        <f t="shared" si="7450"/>
        <v>97235</v>
      </c>
      <c r="B4260" s="12">
        <f t="shared" si="7517"/>
        <v>0</v>
      </c>
      <c r="C4260" s="13">
        <f t="shared" si="7518"/>
        <v>0</v>
      </c>
      <c r="D4260" s="10">
        <f t="shared" si="7519"/>
        <v>0</v>
      </c>
      <c r="E4260" s="11" t="str">
        <f t="shared" ref="E4260" si="7525">IF(D4233="","",MAX(F4260,G4260))</f>
        <v/>
      </c>
      <c r="F4260" s="10">
        <f t="shared" ref="F4260" si="7526">ABS(MIN(B4258:B4267))</f>
        <v>0</v>
      </c>
      <c r="G4260" s="10">
        <f t="shared" ref="G4260" si="7527">ABS(MAX(B4258:B4267))</f>
        <v>0</v>
      </c>
      <c r="J4260" s="24" t="str">
        <f t="shared" ref="J4260" si="7528">CONCATENATE(K4257,3)</f>
        <v>93</v>
      </c>
      <c r="K4260" s="6" t="e">
        <v>#VALUE!</v>
      </c>
      <c r="L4260" s="6" t="e">
        <v>#VALUE!</v>
      </c>
      <c r="M4260" s="6" t="e">
        <v>#VALUE!</v>
      </c>
      <c r="N4260" s="6" t="e">
        <v>#VALUE!</v>
      </c>
      <c r="O4260" s="6" t="e">
        <v>#VALUE!</v>
      </c>
      <c r="P4260" s="6" t="e">
        <v>#VALUE!</v>
      </c>
      <c r="Q4260" s="6" t="e">
        <v>#VALUE!</v>
      </c>
      <c r="R4260" s="6" t="e">
        <v>#VALUE!</v>
      </c>
      <c r="T4260" s="9"/>
      <c r="U4260" s="1">
        <f t="shared" si="7511"/>
        <v>97</v>
      </c>
      <c r="V4260" s="1">
        <f t="shared" si="7512"/>
        <v>235</v>
      </c>
    </row>
    <row r="4261" spans="1:22" x14ac:dyDescent="0.3">
      <c r="A4261" s="1">
        <f t="shared" si="7450"/>
        <v>97236</v>
      </c>
      <c r="B4261" s="12">
        <f t="shared" si="7517"/>
        <v>0</v>
      </c>
      <c r="C4261" s="13">
        <f t="shared" si="7518"/>
        <v>0</v>
      </c>
      <c r="D4261" s="10">
        <f t="shared" si="7519"/>
        <v>0</v>
      </c>
      <c r="E4261" s="74" t="s">
        <v>39</v>
      </c>
      <c r="F4261" s="75"/>
      <c r="G4261" s="76"/>
      <c r="K4261" s="1">
        <v>10</v>
      </c>
      <c r="L4261" s="1">
        <v>10</v>
      </c>
      <c r="M4261" s="1">
        <v>10</v>
      </c>
      <c r="N4261" s="1">
        <v>10</v>
      </c>
      <c r="O4261" s="1">
        <v>10</v>
      </c>
      <c r="P4261" s="1">
        <v>10</v>
      </c>
      <c r="Q4261" s="1">
        <v>10</v>
      </c>
      <c r="R4261" s="1">
        <v>10</v>
      </c>
      <c r="S4261" s="1">
        <v>10</v>
      </c>
      <c r="T4261" s="9"/>
      <c r="U4261" s="1">
        <f t="shared" si="7511"/>
        <v>97</v>
      </c>
      <c r="V4261" s="1">
        <f t="shared" si="7512"/>
        <v>236</v>
      </c>
    </row>
    <row r="4262" spans="1:22" x14ac:dyDescent="0.3">
      <c r="A4262" s="1">
        <f t="shared" si="7450"/>
        <v>97237</v>
      </c>
      <c r="B4262" s="12">
        <f t="shared" si="7517"/>
        <v>0</v>
      </c>
      <c r="C4262" s="13">
        <f t="shared" si="7518"/>
        <v>0</v>
      </c>
      <c r="D4262" s="10">
        <f t="shared" si="7519"/>
        <v>0</v>
      </c>
      <c r="E4262" s="11" t="str">
        <f t="shared" ref="E4262" si="7529">IF(D4233="","",MAX(F4262,G4262))</f>
        <v/>
      </c>
      <c r="F4262" s="10">
        <f t="shared" ref="F4262" si="7530">ABS(MIN(D4242:D4251))</f>
        <v>0</v>
      </c>
      <c r="G4262" s="10">
        <f t="shared" ref="G4262" si="7531">ABS(MAX(D4242:D4251))</f>
        <v>0</v>
      </c>
      <c r="J4262" s="24" t="str">
        <f t="shared" ref="J4262" si="7532">CONCATENATE(K4261,1)</f>
        <v>101</v>
      </c>
      <c r="K4262" s="6" t="e">
        <f t="array" ref="K4262:S4264">LINEST(B4242:B4251,C4242:C4251^{1,2,3,4,5,6,7,8},TRUE,TRUE)</f>
        <v>#VALUE!</v>
      </c>
      <c r="L4262" s="6" t="e">
        <v>#VALUE!</v>
      </c>
      <c r="M4262" s="6" t="e">
        <v>#VALUE!</v>
      </c>
      <c r="N4262" s="6" t="e">
        <v>#VALUE!</v>
      </c>
      <c r="O4262" s="6" t="e">
        <v>#VALUE!</v>
      </c>
      <c r="P4262" s="6" t="e">
        <v>#VALUE!</v>
      </c>
      <c r="Q4262" s="6" t="e">
        <v>#VALUE!</v>
      </c>
      <c r="R4262" s="6" t="e">
        <v>#VALUE!</v>
      </c>
      <c r="S4262" s="6" t="e">
        <v>#VALUE!</v>
      </c>
      <c r="T4262" s="9"/>
      <c r="U4262" s="1">
        <f t="shared" si="7511"/>
        <v>97</v>
      </c>
      <c r="V4262" s="1">
        <f t="shared" si="7512"/>
        <v>237</v>
      </c>
    </row>
    <row r="4263" spans="1:22" x14ac:dyDescent="0.3">
      <c r="A4263" s="1">
        <f t="shared" si="7450"/>
        <v>97238</v>
      </c>
      <c r="B4263" s="12">
        <f t="shared" si="7517"/>
        <v>0</v>
      </c>
      <c r="C4263" s="13">
        <f t="shared" si="7518"/>
        <v>0</v>
      </c>
      <c r="D4263" s="10">
        <f t="shared" si="7519"/>
        <v>0</v>
      </c>
      <c r="J4263" s="24" t="str">
        <f t="shared" ref="J4263" si="7533">CONCATENATE(K4261,2)</f>
        <v>102</v>
      </c>
      <c r="K4263" s="6" t="e">
        <v>#VALUE!</v>
      </c>
      <c r="L4263" s="6" t="e">
        <v>#VALUE!</v>
      </c>
      <c r="M4263" s="6" t="e">
        <v>#VALUE!</v>
      </c>
      <c r="N4263" s="6" t="e">
        <v>#VALUE!</v>
      </c>
      <c r="O4263" s="6" t="e">
        <v>#VALUE!</v>
      </c>
      <c r="P4263" s="6" t="e">
        <v>#VALUE!</v>
      </c>
      <c r="Q4263" s="6" t="e">
        <v>#VALUE!</v>
      </c>
      <c r="R4263" s="6" t="e">
        <v>#VALUE!</v>
      </c>
      <c r="S4263" s="6" t="e">
        <v>#VALUE!</v>
      </c>
      <c r="T4263" s="9"/>
      <c r="U4263" s="1">
        <f t="shared" si="7511"/>
        <v>97</v>
      </c>
      <c r="V4263" s="1">
        <f t="shared" si="7512"/>
        <v>238</v>
      </c>
    </row>
    <row r="4264" spans="1:22" x14ac:dyDescent="0.3">
      <c r="A4264" s="1">
        <f t="shared" si="7450"/>
        <v>97239</v>
      </c>
      <c r="B4264" s="12">
        <f t="shared" si="7517"/>
        <v>0</v>
      </c>
      <c r="C4264" s="13">
        <f t="shared" si="7518"/>
        <v>0</v>
      </c>
      <c r="D4264" s="10">
        <f t="shared" si="7519"/>
        <v>0</v>
      </c>
      <c r="J4264" s="24" t="str">
        <f t="shared" ref="J4264" si="7534">CONCATENATE(K4261,3)</f>
        <v>103</v>
      </c>
      <c r="K4264" s="6" t="e">
        <v>#VALUE!</v>
      </c>
      <c r="L4264" s="6" t="e">
        <v>#VALUE!</v>
      </c>
      <c r="M4264" s="6" t="e">
        <v>#VALUE!</v>
      </c>
      <c r="N4264" s="6" t="e">
        <v>#VALUE!</v>
      </c>
      <c r="O4264" s="6" t="e">
        <v>#VALUE!</v>
      </c>
      <c r="P4264" s="6" t="e">
        <v>#VALUE!</v>
      </c>
      <c r="Q4264" s="6" t="e">
        <v>#VALUE!</v>
      </c>
      <c r="R4264" s="6" t="e">
        <v>#VALUE!</v>
      </c>
      <c r="S4264" s="6" t="e">
        <v>#VALUE!</v>
      </c>
      <c r="T4264" s="9"/>
      <c r="U4264" s="1">
        <f t="shared" si="7511"/>
        <v>97</v>
      </c>
      <c r="V4264" s="1">
        <f t="shared" si="7512"/>
        <v>239</v>
      </c>
    </row>
    <row r="4265" spans="1:22" x14ac:dyDescent="0.3">
      <c r="A4265" s="1">
        <f t="shared" si="7450"/>
        <v>97240</v>
      </c>
      <c r="B4265" s="12">
        <f t="shared" si="7517"/>
        <v>0</v>
      </c>
      <c r="C4265" s="13">
        <f t="shared" si="7518"/>
        <v>0</v>
      </c>
      <c r="D4265" s="10">
        <f t="shared" si="7519"/>
        <v>0</v>
      </c>
      <c r="J4265" s="9"/>
      <c r="K4265" s="9"/>
      <c r="L4265" s="9"/>
      <c r="M4265" s="9"/>
      <c r="N4265" s="9"/>
      <c r="O4265" s="9"/>
      <c r="P4265" s="9"/>
      <c r="Q4265" s="9"/>
      <c r="R4265" s="9"/>
      <c r="S4265" s="9"/>
      <c r="T4265" s="9"/>
      <c r="U4265" s="1">
        <f t="shared" si="7511"/>
        <v>97</v>
      </c>
      <c r="V4265" s="1">
        <f t="shared" si="7512"/>
        <v>240</v>
      </c>
    </row>
    <row r="4266" spans="1:22" x14ac:dyDescent="0.3">
      <c r="A4266" s="1">
        <f t="shared" si="7450"/>
        <v>97241</v>
      </c>
      <c r="B4266" s="12">
        <f t="shared" si="7517"/>
        <v>0</v>
      </c>
      <c r="C4266" s="13">
        <f t="shared" si="7518"/>
        <v>0</v>
      </c>
      <c r="D4266" s="10">
        <f t="shared" si="7519"/>
        <v>0</v>
      </c>
      <c r="J4266" s="9"/>
      <c r="K4266" s="9"/>
      <c r="L4266" s="9"/>
      <c r="M4266" s="9"/>
      <c r="N4266" s="9"/>
      <c r="O4266" s="9"/>
      <c r="P4266" s="9"/>
      <c r="Q4266" s="9"/>
      <c r="R4266" s="9"/>
      <c r="S4266" s="9"/>
      <c r="T4266" s="9"/>
      <c r="U4266" s="1">
        <f t="shared" si="7511"/>
        <v>97</v>
      </c>
      <c r="V4266" s="1">
        <f t="shared" si="7512"/>
        <v>241</v>
      </c>
    </row>
    <row r="4267" spans="1:22" x14ac:dyDescent="0.3">
      <c r="A4267" s="1">
        <f t="shared" si="7450"/>
        <v>97242</v>
      </c>
      <c r="B4267" s="12">
        <f t="shared" si="7517"/>
        <v>0</v>
      </c>
      <c r="C4267" s="13">
        <f t="shared" si="7518"/>
        <v>0</v>
      </c>
      <c r="D4267" s="10">
        <f t="shared" si="7519"/>
        <v>0</v>
      </c>
      <c r="J4267" s="9"/>
      <c r="K4267" s="9"/>
      <c r="L4267" s="9"/>
      <c r="M4267" s="9"/>
      <c r="N4267" s="9"/>
      <c r="O4267" s="9"/>
      <c r="P4267" s="9"/>
      <c r="Q4267" s="9"/>
      <c r="R4267" s="9"/>
      <c r="S4267" s="9"/>
      <c r="T4267" s="9"/>
      <c r="U4267" s="1">
        <f t="shared" si="7511"/>
        <v>97</v>
      </c>
      <c r="V4267" s="1">
        <f t="shared" si="7512"/>
        <v>242</v>
      </c>
    </row>
    <row r="4268" spans="1:22" x14ac:dyDescent="0.3">
      <c r="A4268" s="1">
        <f t="shared" si="7450"/>
        <v>97243</v>
      </c>
      <c r="J4268" s="9"/>
      <c r="K4268" s="9"/>
      <c r="L4268" s="9"/>
      <c r="M4268" s="9"/>
      <c r="N4268" s="9"/>
      <c r="O4268" s="9"/>
      <c r="P4268" s="9"/>
      <c r="Q4268" s="9"/>
      <c r="R4268" s="9"/>
      <c r="S4268" s="9"/>
      <c r="T4268" s="9"/>
      <c r="U4268" s="1">
        <f t="shared" si="7511"/>
        <v>97</v>
      </c>
      <c r="V4268" s="1">
        <f t="shared" si="7512"/>
        <v>243</v>
      </c>
    </row>
    <row r="4269" spans="1:22" s="5" customFormat="1" x14ac:dyDescent="0.3"/>
    <row r="4270" spans="1:22" x14ac:dyDescent="0.3">
      <c r="A4270" s="1">
        <f t="shared" ref="A4270:A4312" si="7535">ROUND(CONCATENATE(U4270,V4270),0)</f>
        <v>98201</v>
      </c>
      <c r="B4270" s="96" t="s">
        <v>0</v>
      </c>
      <c r="C4270" s="97"/>
      <c r="D4270" s="98"/>
      <c r="E4270" s="99"/>
      <c r="F4270" s="99"/>
      <c r="G4270" s="99"/>
      <c r="H4270" s="100"/>
      <c r="J4270" s="9"/>
      <c r="K4270" s="9"/>
      <c r="L4270" s="9"/>
      <c r="M4270" s="9"/>
      <c r="N4270" s="9"/>
      <c r="O4270" s="9"/>
      <c r="P4270" s="9"/>
      <c r="Q4270" s="9"/>
      <c r="R4270" s="9"/>
      <c r="S4270" s="9"/>
      <c r="T4270" s="9"/>
      <c r="U4270" s="1">
        <f t="shared" ref="U4270" si="7536">U4268+1</f>
        <v>98</v>
      </c>
      <c r="V4270" s="1">
        <v>201</v>
      </c>
    </row>
    <row r="4271" spans="1:22" x14ac:dyDescent="0.3">
      <c r="A4271" s="1">
        <f t="shared" si="7535"/>
        <v>98202</v>
      </c>
      <c r="B4271" s="96" t="s">
        <v>1</v>
      </c>
      <c r="C4271" s="97"/>
      <c r="D4271" s="15"/>
      <c r="E4271" s="16" t="s">
        <v>2</v>
      </c>
      <c r="F4271" s="107"/>
      <c r="G4271" s="108"/>
      <c r="H4271" s="109"/>
      <c r="J4271" s="9"/>
      <c r="K4271" s="9"/>
      <c r="L4271" s="9"/>
      <c r="M4271" s="9"/>
      <c r="N4271" s="9"/>
      <c r="O4271" s="9"/>
      <c r="P4271" s="9"/>
      <c r="Q4271" s="9"/>
      <c r="R4271" s="9"/>
      <c r="S4271" s="9"/>
      <c r="T4271" s="9"/>
      <c r="U4271" s="1">
        <f t="shared" ref="U4271" si="7537">U4270</f>
        <v>98</v>
      </c>
      <c r="V4271" s="1">
        <f t="shared" ref="V4271" si="7538">V4270+1</f>
        <v>202</v>
      </c>
    </row>
    <row r="4272" spans="1:22" x14ac:dyDescent="0.3">
      <c r="A4272" s="1">
        <f t="shared" si="7535"/>
        <v>98203</v>
      </c>
      <c r="B4272" s="96" t="s">
        <v>12</v>
      </c>
      <c r="C4272" s="97"/>
      <c r="D4272" s="98"/>
      <c r="E4272" s="99"/>
      <c r="F4272" s="99"/>
      <c r="G4272" s="99"/>
      <c r="H4272" s="100"/>
      <c r="K4272" s="1" t="s">
        <v>3</v>
      </c>
      <c r="L4272" s="1" t="s">
        <v>4</v>
      </c>
      <c r="M4272" s="1" t="s">
        <v>5</v>
      </c>
      <c r="N4272" s="1" t="s">
        <v>6</v>
      </c>
      <c r="O4272" s="1" t="s">
        <v>7</v>
      </c>
      <c r="P4272" s="1" t="s">
        <v>8</v>
      </c>
      <c r="Q4272" s="1" t="s">
        <v>9</v>
      </c>
      <c r="R4272" s="1" t="s">
        <v>10</v>
      </c>
      <c r="S4272" s="1" t="s">
        <v>11</v>
      </c>
      <c r="T4272" s="9"/>
      <c r="U4272" s="1">
        <f t="shared" si="7511"/>
        <v>98</v>
      </c>
      <c r="V4272" s="1">
        <f t="shared" si="7512"/>
        <v>203</v>
      </c>
    </row>
    <row r="4273" spans="1:22" x14ac:dyDescent="0.3">
      <c r="A4273" s="1">
        <f t="shared" si="7535"/>
        <v>98204</v>
      </c>
      <c r="B4273" s="96" t="s">
        <v>13</v>
      </c>
      <c r="C4273" s="97"/>
      <c r="D4273" s="98"/>
      <c r="E4273" s="99"/>
      <c r="F4273" s="99"/>
      <c r="G4273" s="99"/>
      <c r="H4273" s="100"/>
      <c r="J4273" s="1">
        <f t="shared" ref="J4273" si="7539">COUNTA(B4286:B4295)</f>
        <v>0</v>
      </c>
      <c r="K4273" s="1">
        <f t="shared" ref="K4273" si="7540">IF(L4273-1&lt;2,0,L4273-1)</f>
        <v>0</v>
      </c>
      <c r="L4273" s="1">
        <f t="shared" ref="L4273" si="7541">IF(M4273-1&lt;2,0,M4273-1)</f>
        <v>0</v>
      </c>
      <c r="M4273" s="1">
        <f t="shared" ref="M4273" si="7542">IF(N4273-1&lt;2,0,N4273-1)</f>
        <v>0</v>
      </c>
      <c r="N4273" s="1">
        <f t="shared" ref="N4273" si="7543">IF(O4273-1&lt;2,0,O4273-1)</f>
        <v>0</v>
      </c>
      <c r="O4273" s="1">
        <f t="shared" ref="O4273" si="7544">IF(P4273-1&lt;2,0,P4273-1)</f>
        <v>0</v>
      </c>
      <c r="P4273" s="1">
        <f t="shared" ref="P4273" si="7545">IF(Q4273-1&lt;2,0,Q4273-1)</f>
        <v>0</v>
      </c>
      <c r="Q4273" s="1">
        <f t="shared" ref="Q4273" si="7546">IF(R4273-1&lt;2,0,R4273-1)</f>
        <v>0</v>
      </c>
      <c r="R4273" s="1">
        <f t="shared" ref="R4273" si="7547">IF(S4273-1&lt;2,0,S4273-1)</f>
        <v>0</v>
      </c>
      <c r="S4273" s="1">
        <f t="shared" ref="S4273" si="7548">J4273</f>
        <v>0</v>
      </c>
      <c r="T4273" s="9"/>
      <c r="U4273" s="1">
        <f t="shared" si="7511"/>
        <v>98</v>
      </c>
      <c r="V4273" s="1">
        <f t="shared" si="7512"/>
        <v>204</v>
      </c>
    </row>
    <row r="4274" spans="1:22" x14ac:dyDescent="0.3">
      <c r="A4274" s="1">
        <f t="shared" si="7535"/>
        <v>98205</v>
      </c>
      <c r="B4274" s="96" t="s">
        <v>14</v>
      </c>
      <c r="C4274" s="97"/>
      <c r="D4274" s="98"/>
      <c r="E4274" s="99"/>
      <c r="F4274" s="99"/>
      <c r="G4274" s="99"/>
      <c r="H4274" s="100"/>
      <c r="J4274" s="24" t="str">
        <f t="shared" ref="J4274" si="7549">CONCATENATE(J4273,1)</f>
        <v>01</v>
      </c>
      <c r="K4274" s="25">
        <f t="shared" ref="K4274" si="7550">IF(K4273=0,0,VLOOKUP(J4274,J4278:S4308,K4273,FALSE))</f>
        <v>0</v>
      </c>
      <c r="L4274" s="25">
        <f t="shared" ref="L4274" si="7551">IF(L4273=0,0,VLOOKUP(J4274,J4278:S4308,L4273,FALSE))</f>
        <v>0</v>
      </c>
      <c r="M4274" s="25">
        <f t="shared" ref="M4274" si="7552">IF(M4273=0,0,VLOOKUP(J4274,J4278:S4308,M4273,FALSE))</f>
        <v>0</v>
      </c>
      <c r="N4274" s="25">
        <f t="shared" ref="N4274" si="7553">IF(N4273=0,0,VLOOKUP(J4274,J4278:S4308,N4273,FALSE))</f>
        <v>0</v>
      </c>
      <c r="O4274" s="25">
        <f t="shared" ref="O4274" si="7554">IF(O4273=0,0,VLOOKUP(J4274,J4278:S4308,O4273,FALSE))</f>
        <v>0</v>
      </c>
      <c r="P4274" s="25">
        <f t="shared" ref="P4274" si="7555">IF(P4273=0,0,VLOOKUP(J4274,J4278:S4308,P4273,FALSE))</f>
        <v>0</v>
      </c>
      <c r="Q4274" s="25">
        <f t="shared" ref="Q4274" si="7556">IF(Q4273=0,0,VLOOKUP(J4274,J4278:S4308,Q4273,FALSE))</f>
        <v>0</v>
      </c>
      <c r="R4274" s="25">
        <f t="shared" ref="R4274" si="7557">IF(R4273=0,0,VLOOKUP(J4274,J4278:S4308,R4273,FALSE))</f>
        <v>0</v>
      </c>
      <c r="S4274" s="25">
        <f t="shared" ref="S4274" si="7558">IF(S4273=0,0,VLOOKUP(J4274,J4278:S4308,S4273,FALSE))</f>
        <v>0</v>
      </c>
      <c r="T4274" s="9"/>
      <c r="U4274" s="1">
        <f t="shared" si="7511"/>
        <v>98</v>
      </c>
      <c r="V4274" s="1">
        <f t="shared" si="7512"/>
        <v>205</v>
      </c>
    </row>
    <row r="4275" spans="1:22" x14ac:dyDescent="0.3">
      <c r="A4275" s="1">
        <f t="shared" si="7535"/>
        <v>98206</v>
      </c>
      <c r="B4275" s="96" t="s">
        <v>15</v>
      </c>
      <c r="C4275" s="97"/>
      <c r="D4275" s="98"/>
      <c r="E4275" s="99"/>
      <c r="F4275" s="99"/>
      <c r="G4275" s="99"/>
      <c r="H4275" s="100"/>
      <c r="J4275" s="24" t="str">
        <f t="shared" ref="J4275" si="7559">CONCATENATE(J4273,2)</f>
        <v>02</v>
      </c>
      <c r="K4275" s="6">
        <f t="shared" ref="K4275" si="7560">IF(K4273=0,0,VLOOKUP(J4275,J4278:S4308,K4273,FALSE))</f>
        <v>0</v>
      </c>
      <c r="L4275" s="6">
        <f t="shared" ref="L4275" si="7561">IF(L4273=0,0,VLOOKUP(J4275,J4278:S4308,L4273,FALSE))</f>
        <v>0</v>
      </c>
      <c r="M4275" s="6">
        <f t="shared" ref="M4275" si="7562">IF(M4273=0,0,VLOOKUP(J4275,J4278:S4308,M4273,FALSE))</f>
        <v>0</v>
      </c>
      <c r="N4275" s="6">
        <f t="shared" ref="N4275" si="7563">IF(N4273=0,0,VLOOKUP(J4275,J4278:S4308,N4273,FALSE))</f>
        <v>0</v>
      </c>
      <c r="O4275" s="6">
        <f t="shared" ref="O4275" si="7564">IF(O4273=0,0,VLOOKUP(J4275,J4278:S4308,O4273,FALSE))</f>
        <v>0</v>
      </c>
      <c r="P4275" s="6">
        <f t="shared" ref="P4275" si="7565">IF(P4273=0,0,VLOOKUP(J4275,J4278:S4308,P4273,FALSE))</f>
        <v>0</v>
      </c>
      <c r="Q4275" s="6">
        <f t="shared" ref="Q4275" si="7566">IF(Q4273=0,0,VLOOKUP(J4275,J4278:S4308,Q4273,FALSE))</f>
        <v>0</v>
      </c>
      <c r="R4275" s="6">
        <f t="shared" ref="R4275" si="7567">IF(R4273=0,0,VLOOKUP(J4275,J4278:S4308,R4273,FALSE))</f>
        <v>0</v>
      </c>
      <c r="S4275" s="6">
        <f t="shared" ref="S4275" si="7568">IF(S4273=0,0,VLOOKUP(J4275,J4278:S4308,S4273,FALSE))</f>
        <v>0</v>
      </c>
      <c r="T4275" s="9"/>
      <c r="U4275" s="1">
        <f t="shared" si="7511"/>
        <v>98</v>
      </c>
      <c r="V4275" s="1">
        <f t="shared" si="7512"/>
        <v>206</v>
      </c>
    </row>
    <row r="4276" spans="1:22" x14ac:dyDescent="0.3">
      <c r="A4276" s="1">
        <f t="shared" si="7535"/>
        <v>98207</v>
      </c>
      <c r="B4276" s="96" t="s">
        <v>16</v>
      </c>
      <c r="C4276" s="97"/>
      <c r="D4276" s="101"/>
      <c r="E4276" s="102"/>
      <c r="F4276" s="102"/>
      <c r="G4276" s="102"/>
      <c r="H4276" s="103"/>
      <c r="J4276" s="24" t="str">
        <f t="shared" ref="J4276" si="7569">CONCATENATE(J4273,3)</f>
        <v>03</v>
      </c>
      <c r="K4276" s="6"/>
      <c r="L4276" s="6"/>
      <c r="M4276" s="6"/>
      <c r="N4276" s="6" t="s">
        <v>43</v>
      </c>
      <c r="O4276" s="25">
        <f t="shared" ref="O4276" si="7570">J4273-2</f>
        <v>-2</v>
      </c>
      <c r="P4276" s="6" t="s">
        <v>44</v>
      </c>
      <c r="Q4276" s="25" t="e">
        <f t="shared" ref="Q4276" si="7571">VLOOKUP(J4276,J4278:S4308,3,FALSE)</f>
        <v>#N/A</v>
      </c>
      <c r="R4276" s="6" t="s">
        <v>45</v>
      </c>
      <c r="S4276" s="6" t="e">
        <f t="shared" ref="S4276" si="7572">VLOOKUP(J4276,J4278:S4308,2,FALSE)</f>
        <v>#N/A</v>
      </c>
      <c r="T4276" s="9"/>
      <c r="U4276" s="1">
        <f t="shared" si="7511"/>
        <v>98</v>
      </c>
      <c r="V4276" s="1">
        <f t="shared" si="7512"/>
        <v>207</v>
      </c>
    </row>
    <row r="4277" spans="1:22" x14ac:dyDescent="0.3">
      <c r="A4277" s="1">
        <f t="shared" si="7535"/>
        <v>98208</v>
      </c>
      <c r="B4277" s="96" t="s">
        <v>17</v>
      </c>
      <c r="C4277" s="97"/>
      <c r="D4277" s="104"/>
      <c r="E4277" s="105"/>
      <c r="F4277" s="105"/>
      <c r="G4277" s="105"/>
      <c r="H4277" s="106"/>
      <c r="K4277" s="1">
        <v>3</v>
      </c>
      <c r="L4277" s="1">
        <v>3</v>
      </c>
      <c r="Q4277" s="26"/>
      <c r="R4277" s="26"/>
      <c r="S4277" s="26"/>
      <c r="T4277" s="9"/>
      <c r="U4277" s="1">
        <f t="shared" si="7511"/>
        <v>98</v>
      </c>
      <c r="V4277" s="1">
        <f t="shared" si="7512"/>
        <v>208</v>
      </c>
    </row>
    <row r="4278" spans="1:22" x14ac:dyDescent="0.3">
      <c r="A4278" s="1">
        <f t="shared" si="7535"/>
        <v>98209</v>
      </c>
      <c r="B4278" s="77" t="s">
        <v>19</v>
      </c>
      <c r="C4278" s="78"/>
      <c r="D4278" s="17"/>
      <c r="E4278" s="79" t="s">
        <v>40</v>
      </c>
      <c r="F4278" s="80"/>
      <c r="G4278" s="81"/>
      <c r="H4278" s="18" t="s">
        <v>72</v>
      </c>
      <c r="J4278" s="24" t="str">
        <f t="shared" ref="J4278" si="7573">CONCATENATE(K4277,1)</f>
        <v>31</v>
      </c>
      <c r="K4278" s="6" t="e">
        <f t="array" ref="K4278:L4280">LINEST(B4286:B4288,C4286:C4288^{1},TRUE,TRUE)</f>
        <v>#VALUE!</v>
      </c>
      <c r="L4278" s="6" t="e">
        <v>#VALUE!</v>
      </c>
      <c r="Q4278" s="9"/>
      <c r="R4278" s="9"/>
      <c r="S4278" s="9"/>
      <c r="T4278" s="9"/>
      <c r="U4278" s="1">
        <f t="shared" si="7511"/>
        <v>98</v>
      </c>
      <c r="V4278" s="1">
        <f t="shared" si="7512"/>
        <v>209</v>
      </c>
    </row>
    <row r="4279" spans="1:22" x14ac:dyDescent="0.3">
      <c r="A4279" s="1">
        <f t="shared" si="7535"/>
        <v>98210</v>
      </c>
      <c r="B4279" s="77" t="s">
        <v>41</v>
      </c>
      <c r="C4279" s="78"/>
      <c r="D4279" s="23">
        <f t="shared" ref="D4279" si="7574">MIN(B4286:B4295)</f>
        <v>0</v>
      </c>
      <c r="E4279" s="20" t="s">
        <v>18</v>
      </c>
      <c r="F4279" s="19">
        <f t="shared" ref="F4279" si="7575">MAX(B4286:B4295)</f>
        <v>0</v>
      </c>
      <c r="G4279" s="21" t="str">
        <f t="shared" ref="G4279" si="7576">IF(H4278="","",H4278)</f>
        <v>%ur</v>
      </c>
      <c r="H4279" s="22"/>
      <c r="J4279" s="24" t="str">
        <f t="shared" ref="J4279" si="7577">CONCATENATE(K4277,2)</f>
        <v>32</v>
      </c>
      <c r="K4279" s="6" t="e">
        <v>#VALUE!</v>
      </c>
      <c r="L4279" s="6" t="e">
        <v>#VALUE!</v>
      </c>
      <c r="Q4279" s="9"/>
      <c r="R4279" s="9"/>
      <c r="S4279" s="9"/>
      <c r="T4279" s="9"/>
      <c r="U4279" s="1">
        <f t="shared" si="7511"/>
        <v>98</v>
      </c>
      <c r="V4279" s="1">
        <f t="shared" si="7512"/>
        <v>210</v>
      </c>
    </row>
    <row r="4280" spans="1:22" x14ac:dyDescent="0.3">
      <c r="A4280" s="1">
        <f t="shared" si="7535"/>
        <v>98211</v>
      </c>
      <c r="J4280" s="24" t="str">
        <f t="shared" ref="J4280" si="7578">CONCATENATE(K4277,3)</f>
        <v>33</v>
      </c>
      <c r="K4280" s="6" t="e">
        <v>#VALUE!</v>
      </c>
      <c r="L4280" s="6" t="e">
        <v>#VALUE!</v>
      </c>
      <c r="Q4280" s="9"/>
      <c r="R4280" s="9"/>
      <c r="S4280" s="9"/>
      <c r="T4280" s="9"/>
      <c r="U4280" s="1">
        <f t="shared" si="7511"/>
        <v>98</v>
      </c>
      <c r="V4280" s="1">
        <f t="shared" si="7512"/>
        <v>211</v>
      </c>
    </row>
    <row r="4281" spans="1:22" x14ac:dyDescent="0.3">
      <c r="A4281" s="1">
        <f t="shared" si="7535"/>
        <v>98212</v>
      </c>
      <c r="B4281" s="82" t="s">
        <v>20</v>
      </c>
      <c r="C4281" s="83"/>
      <c r="D4281" s="83"/>
      <c r="E4281" s="83"/>
      <c r="F4281" s="84"/>
      <c r="G4281" s="85" t="s">
        <v>31</v>
      </c>
      <c r="H4281" s="86"/>
      <c r="K4281" s="1">
        <v>4</v>
      </c>
      <c r="L4281" s="1">
        <v>4</v>
      </c>
      <c r="M4281" s="1">
        <v>4</v>
      </c>
      <c r="Q4281" s="9"/>
      <c r="R4281" s="9"/>
      <c r="S4281" s="9"/>
      <c r="T4281" s="9"/>
      <c r="U4281" s="1">
        <f t="shared" si="7511"/>
        <v>98</v>
      </c>
      <c r="V4281" s="1">
        <f t="shared" si="7512"/>
        <v>212</v>
      </c>
    </row>
    <row r="4282" spans="1:22" x14ac:dyDescent="0.3">
      <c r="A4282" s="1">
        <f t="shared" si="7535"/>
        <v>98213</v>
      </c>
      <c r="B4282" s="82" t="s">
        <v>30</v>
      </c>
      <c r="C4282" s="83"/>
      <c r="D4282" s="84"/>
      <c r="E4282" s="82">
        <f t="shared" ref="E4282" si="7579">D4275</f>
        <v>0</v>
      </c>
      <c r="F4282" s="84"/>
      <c r="G4282" s="6" t="s">
        <v>32</v>
      </c>
      <c r="H4282" s="7"/>
      <c r="J4282" s="24" t="str">
        <f t="shared" ref="J4282" si="7580">CONCATENATE(K4281,1)</f>
        <v>41</v>
      </c>
      <c r="K4282" s="6" t="e">
        <f t="array" ref="K4282:M4284">LINEST(B4286:B4289,C4286:C4289^{1,2},TRUE,TRUE)</f>
        <v>#VALUE!</v>
      </c>
      <c r="L4282" s="6" t="e">
        <v>#VALUE!</v>
      </c>
      <c r="M4282" s="6" t="e">
        <v>#VALUE!</v>
      </c>
      <c r="Q4282" s="9"/>
      <c r="R4282" s="9"/>
      <c r="S4282" s="9"/>
      <c r="T4282" s="9"/>
      <c r="U4282" s="1">
        <f t="shared" si="7511"/>
        <v>98</v>
      </c>
      <c r="V4282" s="1">
        <f t="shared" si="7512"/>
        <v>213</v>
      </c>
    </row>
    <row r="4283" spans="1:22" x14ac:dyDescent="0.3">
      <c r="A4283" s="1">
        <f t="shared" si="7535"/>
        <v>98214</v>
      </c>
      <c r="B4283" s="2" t="s">
        <v>21</v>
      </c>
      <c r="C4283" s="2" t="s">
        <v>22</v>
      </c>
      <c r="D4283" s="2" t="s">
        <v>23</v>
      </c>
      <c r="E4283" s="2"/>
      <c r="F4283" s="2" t="s">
        <v>28</v>
      </c>
      <c r="G4283" s="2" t="s">
        <v>21</v>
      </c>
      <c r="H4283" s="2" t="s">
        <v>22</v>
      </c>
      <c r="J4283" s="24" t="str">
        <f t="shared" ref="J4283" si="7581">CONCATENATE(K4281,2)</f>
        <v>42</v>
      </c>
      <c r="K4283" s="6" t="e">
        <v>#VALUE!</v>
      </c>
      <c r="L4283" s="6" t="e">
        <v>#VALUE!</v>
      </c>
      <c r="M4283" s="6" t="e">
        <v>#VALUE!</v>
      </c>
      <c r="Q4283" s="9"/>
      <c r="R4283" s="9"/>
      <c r="S4283" s="9"/>
      <c r="T4283" s="9"/>
      <c r="U4283" s="1">
        <f t="shared" si="7511"/>
        <v>98</v>
      </c>
      <c r="V4283" s="1">
        <f t="shared" si="7512"/>
        <v>214</v>
      </c>
    </row>
    <row r="4284" spans="1:22" x14ac:dyDescent="0.3">
      <c r="A4284" s="1">
        <f t="shared" si="7535"/>
        <v>98215</v>
      </c>
      <c r="B4284" s="2" t="s">
        <v>24</v>
      </c>
      <c r="C4284" s="2" t="s">
        <v>25</v>
      </c>
      <c r="D4284" s="2" t="s">
        <v>26</v>
      </c>
      <c r="E4284" s="2" t="s">
        <v>27</v>
      </c>
      <c r="F4284" s="2" t="s">
        <v>29</v>
      </c>
      <c r="G4284" s="2" t="s">
        <v>24</v>
      </c>
      <c r="H4284" s="2" t="s">
        <v>25</v>
      </c>
      <c r="J4284" s="24" t="str">
        <f t="shared" ref="J4284" si="7582">CONCATENATE(K4281,3)</f>
        <v>43</v>
      </c>
      <c r="K4284" s="6" t="e">
        <v>#VALUE!</v>
      </c>
      <c r="L4284" s="6" t="e">
        <v>#VALUE!</v>
      </c>
      <c r="M4284" s="6" t="e">
        <v>#VALUE!</v>
      </c>
      <c r="Q4284" s="9"/>
      <c r="R4284" s="9"/>
      <c r="S4284" s="9"/>
      <c r="T4284" s="9"/>
      <c r="U4284" s="1">
        <f t="shared" si="7511"/>
        <v>98</v>
      </c>
      <c r="V4284" s="1">
        <f t="shared" si="7512"/>
        <v>215</v>
      </c>
    </row>
    <row r="4285" spans="1:22" x14ac:dyDescent="0.3">
      <c r="A4285" s="1">
        <f t="shared" si="7535"/>
        <v>98216</v>
      </c>
      <c r="B4285" s="3" t="str">
        <f t="shared" ref="B4285" si="7583">H4278</f>
        <v>%ur</v>
      </c>
      <c r="C4285" s="3" t="str">
        <f t="shared" ref="C4285" si="7584">B4285</f>
        <v>%ur</v>
      </c>
      <c r="D4285" s="3" t="str">
        <f t="shared" ref="D4285" si="7585">C4285</f>
        <v>%ur</v>
      </c>
      <c r="E4285" s="3"/>
      <c r="F4285" s="3"/>
      <c r="G4285" s="3" t="str">
        <f t="shared" ref="G4285" si="7586">D4285</f>
        <v>%ur</v>
      </c>
      <c r="H4285" s="3" t="str">
        <f t="shared" ref="H4285" si="7587">G4285</f>
        <v>%ur</v>
      </c>
      <c r="K4285" s="1">
        <v>5</v>
      </c>
      <c r="L4285" s="1">
        <v>5</v>
      </c>
      <c r="M4285" s="1">
        <v>5</v>
      </c>
      <c r="N4285" s="1">
        <v>5</v>
      </c>
      <c r="Q4285" s="9"/>
      <c r="R4285" s="9"/>
      <c r="S4285" s="9"/>
      <c r="T4285" s="9"/>
      <c r="U4285" s="1">
        <f t="shared" si="7511"/>
        <v>98</v>
      </c>
      <c r="V4285" s="1">
        <f t="shared" si="7512"/>
        <v>216</v>
      </c>
    </row>
    <row r="4286" spans="1:22" x14ac:dyDescent="0.3">
      <c r="A4286" s="1">
        <f t="shared" si="7535"/>
        <v>98217</v>
      </c>
      <c r="B4286" s="4"/>
      <c r="C4286" s="4"/>
      <c r="D4286" s="4"/>
      <c r="E4286" s="4"/>
      <c r="F4286" s="14"/>
      <c r="G4286" s="8"/>
      <c r="H4286" s="7"/>
      <c r="J4286" s="24" t="str">
        <f t="shared" ref="J4286" si="7588">CONCATENATE(K4285,1)</f>
        <v>51</v>
      </c>
      <c r="K4286" s="6" t="e">
        <f t="array" ref="K4286:N4288">LINEST(B4286:B4290,C4286:C4290^{1,2,3},TRUE,TRUE)</f>
        <v>#VALUE!</v>
      </c>
      <c r="L4286" s="6" t="e">
        <v>#VALUE!</v>
      </c>
      <c r="M4286" s="6" t="e">
        <v>#VALUE!</v>
      </c>
      <c r="N4286" s="6" t="e">
        <v>#VALUE!</v>
      </c>
      <c r="Q4286" s="9"/>
      <c r="R4286" s="9"/>
      <c r="S4286" s="9"/>
      <c r="T4286" s="9"/>
      <c r="U4286" s="1">
        <f t="shared" si="7511"/>
        <v>98</v>
      </c>
      <c r="V4286" s="1">
        <f t="shared" si="7512"/>
        <v>217</v>
      </c>
    </row>
    <row r="4287" spans="1:22" x14ac:dyDescent="0.3">
      <c r="A4287" s="1">
        <f t="shared" si="7535"/>
        <v>98218</v>
      </c>
      <c r="B4287" s="4"/>
      <c r="C4287" s="4"/>
      <c r="D4287" s="4"/>
      <c r="E4287" s="4"/>
      <c r="F4287" s="14"/>
      <c r="G4287" s="8"/>
      <c r="H4287" s="7"/>
      <c r="J4287" s="24" t="str">
        <f t="shared" ref="J4287" si="7589">CONCATENATE(K4285,2)</f>
        <v>52</v>
      </c>
      <c r="K4287" s="6" t="e">
        <v>#VALUE!</v>
      </c>
      <c r="L4287" s="6" t="e">
        <v>#VALUE!</v>
      </c>
      <c r="M4287" s="6" t="e">
        <v>#VALUE!</v>
      </c>
      <c r="N4287" s="6" t="e">
        <v>#VALUE!</v>
      </c>
      <c r="T4287" s="9"/>
      <c r="U4287" s="1">
        <f t="shared" si="7511"/>
        <v>98</v>
      </c>
      <c r="V4287" s="1">
        <f t="shared" si="7512"/>
        <v>218</v>
      </c>
    </row>
    <row r="4288" spans="1:22" x14ac:dyDescent="0.3">
      <c r="A4288" s="1">
        <f t="shared" si="7535"/>
        <v>98219</v>
      </c>
      <c r="B4288" s="4"/>
      <c r="C4288" s="4"/>
      <c r="D4288" s="4"/>
      <c r="E4288" s="4"/>
      <c r="F4288" s="14"/>
      <c r="G4288" s="8"/>
      <c r="H4288" s="7"/>
      <c r="J4288" s="24" t="str">
        <f t="shared" ref="J4288" si="7590">CONCATENATE(K4285,3)</f>
        <v>53</v>
      </c>
      <c r="K4288" s="6" t="e">
        <v>#VALUE!</v>
      </c>
      <c r="L4288" s="6" t="e">
        <v>#VALUE!</v>
      </c>
      <c r="M4288" s="6" t="e">
        <v>#VALUE!</v>
      </c>
      <c r="N4288" s="6" t="e">
        <v>#VALUE!</v>
      </c>
      <c r="T4288" s="9"/>
      <c r="U4288" s="1">
        <f t="shared" si="7511"/>
        <v>98</v>
      </c>
      <c r="V4288" s="1">
        <f t="shared" si="7512"/>
        <v>219</v>
      </c>
    </row>
    <row r="4289" spans="1:22" x14ac:dyDescent="0.3">
      <c r="A4289" s="1">
        <f t="shared" si="7535"/>
        <v>98220</v>
      </c>
      <c r="B4289" s="4"/>
      <c r="C4289" s="4"/>
      <c r="D4289" s="4"/>
      <c r="E4289" s="4"/>
      <c r="F4289" s="14"/>
      <c r="G4289" s="8"/>
      <c r="H4289" s="7"/>
      <c r="K4289" s="1">
        <v>6</v>
      </c>
      <c r="L4289" s="1">
        <v>6</v>
      </c>
      <c r="M4289" s="1">
        <v>6</v>
      </c>
      <c r="N4289" s="1">
        <v>6</v>
      </c>
      <c r="O4289" s="1">
        <v>6</v>
      </c>
      <c r="T4289" s="9"/>
      <c r="U4289" s="1">
        <f t="shared" si="7511"/>
        <v>98</v>
      </c>
      <c r="V4289" s="1">
        <f t="shared" si="7512"/>
        <v>220</v>
      </c>
    </row>
    <row r="4290" spans="1:22" x14ac:dyDescent="0.3">
      <c r="A4290" s="1">
        <f t="shared" si="7535"/>
        <v>98221</v>
      </c>
      <c r="B4290" s="4"/>
      <c r="C4290" s="4"/>
      <c r="D4290" s="4"/>
      <c r="E4290" s="4"/>
      <c r="F4290" s="14"/>
      <c r="G4290" s="8"/>
      <c r="H4290" s="7"/>
      <c r="J4290" s="24" t="str">
        <f t="shared" ref="J4290" si="7591">CONCATENATE(K4289,1)</f>
        <v>61</v>
      </c>
      <c r="K4290" s="6" t="e">
        <f t="array" ref="K4290:O4292">LINEST(B4286:B4291,C4286:C4291^{1,2,3,4},TRUE,TRUE)</f>
        <v>#VALUE!</v>
      </c>
      <c r="L4290" s="6" t="e">
        <v>#VALUE!</v>
      </c>
      <c r="M4290" s="6" t="e">
        <v>#VALUE!</v>
      </c>
      <c r="N4290" s="6" t="e">
        <v>#VALUE!</v>
      </c>
      <c r="O4290" s="6" t="e">
        <v>#VALUE!</v>
      </c>
      <c r="T4290" s="9"/>
      <c r="U4290" s="1">
        <f t="shared" si="7511"/>
        <v>98</v>
      </c>
      <c r="V4290" s="1">
        <f t="shared" si="7512"/>
        <v>221</v>
      </c>
    </row>
    <row r="4291" spans="1:22" x14ac:dyDescent="0.3">
      <c r="A4291" s="1">
        <f t="shared" si="7535"/>
        <v>98222</v>
      </c>
      <c r="B4291" s="4"/>
      <c r="C4291" s="4"/>
      <c r="D4291" s="4"/>
      <c r="E4291" s="4"/>
      <c r="F4291" s="14"/>
      <c r="G4291" s="8"/>
      <c r="H4291" s="7"/>
      <c r="J4291" s="24" t="str">
        <f t="shared" ref="J4291" si="7592">CONCATENATE(K4289,2)</f>
        <v>62</v>
      </c>
      <c r="K4291" s="6" t="e">
        <v>#VALUE!</v>
      </c>
      <c r="L4291" s="6" t="e">
        <v>#VALUE!</v>
      </c>
      <c r="M4291" s="6" t="e">
        <v>#VALUE!</v>
      </c>
      <c r="N4291" s="6" t="e">
        <v>#VALUE!</v>
      </c>
      <c r="O4291" s="6" t="e">
        <v>#VALUE!</v>
      </c>
      <c r="T4291" s="9"/>
      <c r="U4291" s="1">
        <f t="shared" si="7511"/>
        <v>98</v>
      </c>
      <c r="V4291" s="1">
        <f t="shared" si="7512"/>
        <v>222</v>
      </c>
    </row>
    <row r="4292" spans="1:22" x14ac:dyDescent="0.3">
      <c r="A4292" s="1">
        <f t="shared" si="7535"/>
        <v>98223</v>
      </c>
      <c r="B4292" s="4"/>
      <c r="C4292" s="4"/>
      <c r="D4292" s="4"/>
      <c r="E4292" s="4"/>
      <c r="F4292" s="14"/>
      <c r="G4292" s="8"/>
      <c r="H4292" s="7"/>
      <c r="J4292" s="24" t="str">
        <f t="shared" ref="J4292" si="7593">CONCATENATE(K4289,3)</f>
        <v>63</v>
      </c>
      <c r="K4292" s="6" t="e">
        <v>#VALUE!</v>
      </c>
      <c r="L4292" s="6" t="e">
        <v>#VALUE!</v>
      </c>
      <c r="M4292" s="6" t="e">
        <v>#VALUE!</v>
      </c>
      <c r="N4292" s="6" t="e">
        <v>#VALUE!</v>
      </c>
      <c r="O4292" s="6" t="e">
        <v>#VALUE!</v>
      </c>
      <c r="T4292" s="9"/>
      <c r="U4292" s="1">
        <f t="shared" si="7511"/>
        <v>98</v>
      </c>
      <c r="V4292" s="1">
        <f t="shared" si="7512"/>
        <v>223</v>
      </c>
    </row>
    <row r="4293" spans="1:22" x14ac:dyDescent="0.3">
      <c r="A4293" s="1">
        <f t="shared" si="7535"/>
        <v>98224</v>
      </c>
      <c r="B4293" s="4"/>
      <c r="C4293" s="4"/>
      <c r="D4293" s="4"/>
      <c r="E4293" s="4"/>
      <c r="F4293" s="14"/>
      <c r="G4293" s="8"/>
      <c r="H4293" s="7"/>
      <c r="K4293" s="1">
        <v>7</v>
      </c>
      <c r="L4293" s="1">
        <v>7</v>
      </c>
      <c r="M4293" s="1">
        <v>7</v>
      </c>
      <c r="N4293" s="1">
        <v>7</v>
      </c>
      <c r="O4293" s="1">
        <v>7</v>
      </c>
      <c r="P4293" s="1">
        <v>7</v>
      </c>
      <c r="T4293" s="9"/>
      <c r="U4293" s="1">
        <f t="shared" si="7511"/>
        <v>98</v>
      </c>
      <c r="V4293" s="1">
        <f t="shared" si="7512"/>
        <v>224</v>
      </c>
    </row>
    <row r="4294" spans="1:22" x14ac:dyDescent="0.3">
      <c r="A4294" s="1">
        <f t="shared" si="7535"/>
        <v>98225</v>
      </c>
      <c r="B4294" s="4"/>
      <c r="C4294" s="4"/>
      <c r="D4294" s="4"/>
      <c r="E4294" s="4"/>
      <c r="F4294" s="14"/>
      <c r="G4294" s="8"/>
      <c r="H4294" s="7"/>
      <c r="J4294" s="24" t="str">
        <f t="shared" ref="J4294" si="7594">CONCATENATE(K4293,1)</f>
        <v>71</v>
      </c>
      <c r="K4294" s="6" t="e">
        <f t="array" ref="K4294:P4296">LINEST(B4286:B4292,C4286:C4292^{1,2,3,4,5},TRUE,TRUE)</f>
        <v>#VALUE!</v>
      </c>
      <c r="L4294" s="6" t="e">
        <v>#VALUE!</v>
      </c>
      <c r="M4294" s="6" t="e">
        <v>#VALUE!</v>
      </c>
      <c r="N4294" s="6" t="e">
        <v>#VALUE!</v>
      </c>
      <c r="O4294" s="6" t="e">
        <v>#VALUE!</v>
      </c>
      <c r="P4294" s="6" t="e">
        <v>#VALUE!</v>
      </c>
      <c r="T4294" s="9"/>
      <c r="U4294" s="1">
        <f t="shared" si="7511"/>
        <v>98</v>
      </c>
      <c r="V4294" s="1">
        <f t="shared" si="7512"/>
        <v>225</v>
      </c>
    </row>
    <row r="4295" spans="1:22" x14ac:dyDescent="0.3">
      <c r="A4295" s="1">
        <f t="shared" si="7535"/>
        <v>98226</v>
      </c>
      <c r="B4295" s="4"/>
      <c r="C4295" s="4"/>
      <c r="D4295" s="4"/>
      <c r="E4295" s="4"/>
      <c r="F4295" s="14"/>
      <c r="G4295" s="8"/>
      <c r="H4295" s="7"/>
      <c r="J4295" s="24" t="str">
        <f t="shared" ref="J4295" si="7595">CONCATENATE(K4293,2)</f>
        <v>72</v>
      </c>
      <c r="K4295" s="6" t="e">
        <v>#VALUE!</v>
      </c>
      <c r="L4295" s="6" t="e">
        <v>#VALUE!</v>
      </c>
      <c r="M4295" s="6" t="e">
        <v>#VALUE!</v>
      </c>
      <c r="N4295" s="6" t="e">
        <v>#VALUE!</v>
      </c>
      <c r="O4295" s="6" t="e">
        <v>#VALUE!</v>
      </c>
      <c r="P4295" s="6" t="e">
        <v>#VALUE!</v>
      </c>
      <c r="T4295" s="9"/>
      <c r="U4295" s="1">
        <f t="shared" si="7511"/>
        <v>98</v>
      </c>
      <c r="V4295" s="1">
        <f t="shared" si="7512"/>
        <v>226</v>
      </c>
    </row>
    <row r="4296" spans="1:22" x14ac:dyDescent="0.3">
      <c r="A4296" s="1">
        <f t="shared" si="7535"/>
        <v>98227</v>
      </c>
      <c r="B4296" s="9"/>
      <c r="C4296" s="9"/>
      <c r="D4296" s="9"/>
      <c r="E4296" s="9"/>
      <c r="F4296" s="9"/>
      <c r="G4296" s="9"/>
      <c r="H4296" s="9"/>
      <c r="J4296" s="24" t="str">
        <f t="shared" ref="J4296" si="7596">CONCATENATE(K4293,3)</f>
        <v>73</v>
      </c>
      <c r="K4296" s="6" t="e">
        <v>#VALUE!</v>
      </c>
      <c r="L4296" s="6" t="e">
        <v>#VALUE!</v>
      </c>
      <c r="M4296" s="6" t="e">
        <v>#VALUE!</v>
      </c>
      <c r="N4296" s="6" t="e">
        <v>#VALUE!</v>
      </c>
      <c r="O4296" s="6" t="e">
        <v>#VALUE!</v>
      </c>
      <c r="P4296" s="6" t="e">
        <v>#VALUE!</v>
      </c>
      <c r="T4296" s="9"/>
      <c r="U4296" s="1">
        <f t="shared" si="7511"/>
        <v>98</v>
      </c>
      <c r="V4296" s="1">
        <f t="shared" si="7512"/>
        <v>227</v>
      </c>
    </row>
    <row r="4297" spans="1:22" x14ac:dyDescent="0.3">
      <c r="A4297" s="1">
        <f t="shared" si="7535"/>
        <v>98228</v>
      </c>
      <c r="B4297" s="87" t="s">
        <v>33</v>
      </c>
      <c r="C4297" s="88"/>
      <c r="D4297" s="88"/>
      <c r="E4297" s="88"/>
      <c r="F4297" s="88"/>
      <c r="G4297" s="88"/>
      <c r="H4297" s="89"/>
      <c r="K4297" s="1">
        <v>8</v>
      </c>
      <c r="L4297" s="1">
        <v>8</v>
      </c>
      <c r="M4297" s="1">
        <v>8</v>
      </c>
      <c r="N4297" s="1">
        <v>8</v>
      </c>
      <c r="O4297" s="1">
        <v>8</v>
      </c>
      <c r="P4297" s="1">
        <v>8</v>
      </c>
      <c r="Q4297" s="1">
        <v>8</v>
      </c>
      <c r="T4297" s="9"/>
      <c r="U4297" s="1">
        <f t="shared" si="7511"/>
        <v>98</v>
      </c>
      <c r="V4297" s="1">
        <f t="shared" si="7512"/>
        <v>228</v>
      </c>
    </row>
    <row r="4298" spans="1:22" x14ac:dyDescent="0.3">
      <c r="A4298" s="1">
        <f t="shared" si="7535"/>
        <v>98229</v>
      </c>
      <c r="B4298" s="90"/>
      <c r="C4298" s="91"/>
      <c r="D4298" s="91"/>
      <c r="E4298" s="91"/>
      <c r="F4298" s="91"/>
      <c r="G4298" s="91"/>
      <c r="H4298" s="92"/>
      <c r="J4298" s="24" t="str">
        <f t="shared" ref="J4298" si="7597">CONCATENATE(K4297,1)</f>
        <v>81</v>
      </c>
      <c r="K4298" s="6" t="e">
        <f t="array" ref="K4298:Q4300">LINEST(B4286:B4293,C4286:C4293^{1,2,3,4,5,6},TRUE,TRUE)</f>
        <v>#VALUE!</v>
      </c>
      <c r="L4298" s="6" t="e">
        <v>#VALUE!</v>
      </c>
      <c r="M4298" s="6" t="e">
        <v>#VALUE!</v>
      </c>
      <c r="N4298" s="6" t="e">
        <v>#VALUE!</v>
      </c>
      <c r="O4298" s="6" t="e">
        <v>#VALUE!</v>
      </c>
      <c r="P4298" s="6" t="e">
        <v>#VALUE!</v>
      </c>
      <c r="Q4298" s="6" t="e">
        <v>#VALUE!</v>
      </c>
      <c r="T4298" s="9"/>
      <c r="U4298" s="1">
        <f t="shared" si="7511"/>
        <v>98</v>
      </c>
      <c r="V4298" s="1">
        <f t="shared" si="7512"/>
        <v>229</v>
      </c>
    </row>
    <row r="4299" spans="1:22" x14ac:dyDescent="0.3">
      <c r="A4299" s="1">
        <f t="shared" si="7535"/>
        <v>98230</v>
      </c>
      <c r="B4299" s="93"/>
      <c r="C4299" s="94"/>
      <c r="D4299" s="94"/>
      <c r="E4299" s="94"/>
      <c r="F4299" s="94"/>
      <c r="G4299" s="94"/>
      <c r="H4299" s="95"/>
      <c r="J4299" s="24" t="str">
        <f t="shared" ref="J4299" si="7598">CONCATENATE(K4297,2)</f>
        <v>82</v>
      </c>
      <c r="K4299" s="6" t="e">
        <v>#VALUE!</v>
      </c>
      <c r="L4299" s="6" t="e">
        <v>#VALUE!</v>
      </c>
      <c r="M4299" s="6" t="e">
        <v>#VALUE!</v>
      </c>
      <c r="N4299" s="6" t="e">
        <v>#VALUE!</v>
      </c>
      <c r="O4299" s="6" t="e">
        <v>#VALUE!</v>
      </c>
      <c r="P4299" s="6" t="e">
        <v>#VALUE!</v>
      </c>
      <c r="Q4299" s="6" t="e">
        <v>#VALUE!</v>
      </c>
      <c r="T4299" s="9"/>
      <c r="U4299" s="1">
        <f t="shared" si="7511"/>
        <v>98</v>
      </c>
      <c r="V4299" s="1">
        <f t="shared" si="7512"/>
        <v>230</v>
      </c>
    </row>
    <row r="4300" spans="1:22" x14ac:dyDescent="0.3">
      <c r="A4300" s="1">
        <f t="shared" si="7535"/>
        <v>98231</v>
      </c>
      <c r="J4300" s="24" t="str">
        <f t="shared" ref="J4300" si="7599">CONCATENATE(K4297,3)</f>
        <v>83</v>
      </c>
      <c r="K4300" s="6" t="e">
        <v>#VALUE!</v>
      </c>
      <c r="L4300" s="6" t="e">
        <v>#VALUE!</v>
      </c>
      <c r="M4300" s="6" t="e">
        <v>#VALUE!</v>
      </c>
      <c r="N4300" s="6" t="e">
        <v>#VALUE!</v>
      </c>
      <c r="O4300" s="6" t="e">
        <v>#VALUE!</v>
      </c>
      <c r="P4300" s="6" t="e">
        <v>#VALUE!</v>
      </c>
      <c r="Q4300" s="6" t="e">
        <v>#VALUE!</v>
      </c>
      <c r="T4300" s="9"/>
      <c r="U4300" s="1">
        <f t="shared" si="7511"/>
        <v>98</v>
      </c>
      <c r="V4300" s="1">
        <f t="shared" si="7512"/>
        <v>231</v>
      </c>
    </row>
    <row r="4301" spans="1:22" ht="15" customHeight="1" x14ac:dyDescent="0.3">
      <c r="A4301" s="1">
        <f t="shared" si="7535"/>
        <v>98232</v>
      </c>
      <c r="B4301" s="10" t="s">
        <v>34</v>
      </c>
      <c r="C4301" s="10" t="s">
        <v>35</v>
      </c>
      <c r="D4301" s="10" t="s">
        <v>36</v>
      </c>
      <c r="E4301" s="74" t="s">
        <v>37</v>
      </c>
      <c r="F4301" s="75"/>
      <c r="G4301" s="76"/>
      <c r="K4301" s="1">
        <v>9</v>
      </c>
      <c r="L4301" s="1">
        <v>9</v>
      </c>
      <c r="M4301" s="1">
        <v>9</v>
      </c>
      <c r="N4301" s="1">
        <v>9</v>
      </c>
      <c r="O4301" s="1">
        <v>9</v>
      </c>
      <c r="P4301" s="1">
        <v>9</v>
      </c>
      <c r="Q4301" s="1">
        <v>9</v>
      </c>
      <c r="R4301" s="1">
        <v>9</v>
      </c>
      <c r="T4301" s="9"/>
      <c r="U4301" s="1">
        <f t="shared" si="7511"/>
        <v>98</v>
      </c>
      <c r="V4301" s="1">
        <f t="shared" si="7512"/>
        <v>232</v>
      </c>
    </row>
    <row r="4302" spans="1:22" x14ac:dyDescent="0.3">
      <c r="A4302" s="1">
        <f t="shared" si="7535"/>
        <v>98233</v>
      </c>
      <c r="B4302" s="12">
        <f t="shared" ref="B4302:B4311" si="7600">C4286-B4286</f>
        <v>0</v>
      </c>
      <c r="C4302" s="13">
        <f t="shared" ref="C4302:C4311" si="7601">H4286-G4286</f>
        <v>0</v>
      </c>
      <c r="D4302" s="10">
        <f t="shared" ref="D4302:D4311" si="7602">C4302-B4302</f>
        <v>0</v>
      </c>
      <c r="E4302" s="11" t="str">
        <f t="shared" ref="E4302" si="7603">IF(D4277="","",MAX(F4302,G4302))</f>
        <v/>
      </c>
      <c r="F4302" s="10">
        <f t="shared" ref="F4302" si="7604">ABS(MIN(D4302:D4311))</f>
        <v>0</v>
      </c>
      <c r="G4302" s="10">
        <f t="shared" ref="G4302" si="7605">ABS(MAX(D4302:D4311))</f>
        <v>0</v>
      </c>
      <c r="J4302" s="24" t="str">
        <f t="shared" ref="J4302" si="7606">CONCATENATE(K4301,1)</f>
        <v>91</v>
      </c>
      <c r="K4302" s="6" t="e">
        <f t="array" ref="K4302:R4304">LINEST(B4286:B4294,C4286:C4294^{1,2,3,4,5,6,7},TRUE,TRUE)</f>
        <v>#VALUE!</v>
      </c>
      <c r="L4302" s="6" t="e">
        <v>#VALUE!</v>
      </c>
      <c r="M4302" s="6" t="e">
        <v>#VALUE!</v>
      </c>
      <c r="N4302" s="6" t="e">
        <v>#VALUE!</v>
      </c>
      <c r="O4302" s="6" t="e">
        <v>#VALUE!</v>
      </c>
      <c r="P4302" s="6" t="e">
        <v>#VALUE!</v>
      </c>
      <c r="Q4302" s="6" t="e">
        <v>#VALUE!</v>
      </c>
      <c r="R4302" s="6" t="e">
        <v>#VALUE!</v>
      </c>
      <c r="T4302" s="9"/>
      <c r="U4302" s="1">
        <f t="shared" si="7511"/>
        <v>98</v>
      </c>
      <c r="V4302" s="1">
        <f t="shared" si="7512"/>
        <v>233</v>
      </c>
    </row>
    <row r="4303" spans="1:22" x14ac:dyDescent="0.3">
      <c r="A4303" s="1">
        <f t="shared" si="7535"/>
        <v>98234</v>
      </c>
      <c r="B4303" s="12">
        <f t="shared" si="7600"/>
        <v>0</v>
      </c>
      <c r="C4303" s="13">
        <f t="shared" si="7601"/>
        <v>0</v>
      </c>
      <c r="D4303" s="10">
        <f t="shared" si="7602"/>
        <v>0</v>
      </c>
      <c r="E4303" s="74" t="s">
        <v>38</v>
      </c>
      <c r="F4303" s="75"/>
      <c r="G4303" s="76"/>
      <c r="J4303" s="24" t="str">
        <f t="shared" ref="J4303" si="7607">CONCATENATE(K4301,2)</f>
        <v>92</v>
      </c>
      <c r="K4303" s="6" t="e">
        <v>#VALUE!</v>
      </c>
      <c r="L4303" s="6" t="e">
        <v>#VALUE!</v>
      </c>
      <c r="M4303" s="6" t="e">
        <v>#VALUE!</v>
      </c>
      <c r="N4303" s="6" t="e">
        <v>#VALUE!</v>
      </c>
      <c r="O4303" s="6" t="e">
        <v>#VALUE!</v>
      </c>
      <c r="P4303" s="6" t="e">
        <v>#VALUE!</v>
      </c>
      <c r="Q4303" s="6" t="e">
        <v>#VALUE!</v>
      </c>
      <c r="R4303" s="6" t="e">
        <v>#VALUE!</v>
      </c>
      <c r="T4303" s="9"/>
      <c r="U4303" s="1">
        <f t="shared" si="7511"/>
        <v>98</v>
      </c>
      <c r="V4303" s="1">
        <f t="shared" si="7512"/>
        <v>234</v>
      </c>
    </row>
    <row r="4304" spans="1:22" x14ac:dyDescent="0.3">
      <c r="A4304" s="1">
        <f t="shared" si="7535"/>
        <v>98235</v>
      </c>
      <c r="B4304" s="12">
        <f t="shared" si="7600"/>
        <v>0</v>
      </c>
      <c r="C4304" s="13">
        <f t="shared" si="7601"/>
        <v>0</v>
      </c>
      <c r="D4304" s="10">
        <f t="shared" si="7602"/>
        <v>0</v>
      </c>
      <c r="E4304" s="11" t="str">
        <f t="shared" ref="E4304" si="7608">IF(D4277="","",MAX(F4304,G4304))</f>
        <v/>
      </c>
      <c r="F4304" s="10">
        <f t="shared" ref="F4304" si="7609">ABS(MIN(B4302:B4311))</f>
        <v>0</v>
      </c>
      <c r="G4304" s="10">
        <f t="shared" ref="G4304" si="7610">ABS(MAX(B4302:B4311))</f>
        <v>0</v>
      </c>
      <c r="J4304" s="24" t="str">
        <f t="shared" ref="J4304" si="7611">CONCATENATE(K4301,3)</f>
        <v>93</v>
      </c>
      <c r="K4304" s="6" t="e">
        <v>#VALUE!</v>
      </c>
      <c r="L4304" s="6" t="e">
        <v>#VALUE!</v>
      </c>
      <c r="M4304" s="6" t="e">
        <v>#VALUE!</v>
      </c>
      <c r="N4304" s="6" t="e">
        <v>#VALUE!</v>
      </c>
      <c r="O4304" s="6" t="e">
        <v>#VALUE!</v>
      </c>
      <c r="P4304" s="6" t="e">
        <v>#VALUE!</v>
      </c>
      <c r="Q4304" s="6" t="e">
        <v>#VALUE!</v>
      </c>
      <c r="R4304" s="6" t="e">
        <v>#VALUE!</v>
      </c>
      <c r="T4304" s="9"/>
      <c r="U4304" s="1">
        <f t="shared" si="7511"/>
        <v>98</v>
      </c>
      <c r="V4304" s="1">
        <f t="shared" si="7512"/>
        <v>235</v>
      </c>
    </row>
    <row r="4305" spans="1:22" x14ac:dyDescent="0.3">
      <c r="A4305" s="1">
        <f t="shared" si="7535"/>
        <v>98236</v>
      </c>
      <c r="B4305" s="12">
        <f t="shared" si="7600"/>
        <v>0</v>
      </c>
      <c r="C4305" s="13">
        <f t="shared" si="7601"/>
        <v>0</v>
      </c>
      <c r="D4305" s="10">
        <f t="shared" si="7602"/>
        <v>0</v>
      </c>
      <c r="E4305" s="74" t="s">
        <v>39</v>
      </c>
      <c r="F4305" s="75"/>
      <c r="G4305" s="76"/>
      <c r="K4305" s="1">
        <v>10</v>
      </c>
      <c r="L4305" s="1">
        <v>10</v>
      </c>
      <c r="M4305" s="1">
        <v>10</v>
      </c>
      <c r="N4305" s="1">
        <v>10</v>
      </c>
      <c r="O4305" s="1">
        <v>10</v>
      </c>
      <c r="P4305" s="1">
        <v>10</v>
      </c>
      <c r="Q4305" s="1">
        <v>10</v>
      </c>
      <c r="R4305" s="1">
        <v>10</v>
      </c>
      <c r="S4305" s="1">
        <v>10</v>
      </c>
      <c r="T4305" s="9"/>
      <c r="U4305" s="1">
        <f t="shared" si="7511"/>
        <v>98</v>
      </c>
      <c r="V4305" s="1">
        <f t="shared" si="7512"/>
        <v>236</v>
      </c>
    </row>
    <row r="4306" spans="1:22" x14ac:dyDescent="0.3">
      <c r="A4306" s="1">
        <f t="shared" si="7535"/>
        <v>98237</v>
      </c>
      <c r="B4306" s="12">
        <f t="shared" si="7600"/>
        <v>0</v>
      </c>
      <c r="C4306" s="13">
        <f t="shared" si="7601"/>
        <v>0</v>
      </c>
      <c r="D4306" s="10">
        <f t="shared" si="7602"/>
        <v>0</v>
      </c>
      <c r="E4306" s="11" t="str">
        <f t="shared" ref="E4306" si="7612">IF(D4277="","",MAX(F4306,G4306))</f>
        <v/>
      </c>
      <c r="F4306" s="10">
        <f t="shared" ref="F4306" si="7613">ABS(MIN(D4286:D4295))</f>
        <v>0</v>
      </c>
      <c r="G4306" s="10">
        <f t="shared" ref="G4306" si="7614">ABS(MAX(D4286:D4295))</f>
        <v>0</v>
      </c>
      <c r="J4306" s="24" t="str">
        <f t="shared" ref="J4306" si="7615">CONCATENATE(K4305,1)</f>
        <v>101</v>
      </c>
      <c r="K4306" s="6" t="e">
        <f t="array" ref="K4306:S4308">LINEST(B4286:B4295,C4286:C4295^{1,2,3,4,5,6,7,8},TRUE,TRUE)</f>
        <v>#VALUE!</v>
      </c>
      <c r="L4306" s="6" t="e">
        <v>#VALUE!</v>
      </c>
      <c r="M4306" s="6" t="e">
        <v>#VALUE!</v>
      </c>
      <c r="N4306" s="6" t="e">
        <v>#VALUE!</v>
      </c>
      <c r="O4306" s="6" t="e">
        <v>#VALUE!</v>
      </c>
      <c r="P4306" s="6" t="e">
        <v>#VALUE!</v>
      </c>
      <c r="Q4306" s="6" t="e">
        <v>#VALUE!</v>
      </c>
      <c r="R4306" s="6" t="e">
        <v>#VALUE!</v>
      </c>
      <c r="S4306" s="6" t="e">
        <v>#VALUE!</v>
      </c>
      <c r="T4306" s="9"/>
      <c r="U4306" s="1">
        <f t="shared" si="7511"/>
        <v>98</v>
      </c>
      <c r="V4306" s="1">
        <f t="shared" si="7512"/>
        <v>237</v>
      </c>
    </row>
    <row r="4307" spans="1:22" x14ac:dyDescent="0.3">
      <c r="A4307" s="1">
        <f t="shared" si="7535"/>
        <v>98238</v>
      </c>
      <c r="B4307" s="12">
        <f t="shared" si="7600"/>
        <v>0</v>
      </c>
      <c r="C4307" s="13">
        <f t="shared" si="7601"/>
        <v>0</v>
      </c>
      <c r="D4307" s="10">
        <f t="shared" si="7602"/>
        <v>0</v>
      </c>
      <c r="J4307" s="24" t="str">
        <f t="shared" ref="J4307" si="7616">CONCATENATE(K4305,2)</f>
        <v>102</v>
      </c>
      <c r="K4307" s="6" t="e">
        <v>#VALUE!</v>
      </c>
      <c r="L4307" s="6" t="e">
        <v>#VALUE!</v>
      </c>
      <c r="M4307" s="6" t="e">
        <v>#VALUE!</v>
      </c>
      <c r="N4307" s="6" t="e">
        <v>#VALUE!</v>
      </c>
      <c r="O4307" s="6" t="e">
        <v>#VALUE!</v>
      </c>
      <c r="P4307" s="6" t="e">
        <v>#VALUE!</v>
      </c>
      <c r="Q4307" s="6" t="e">
        <v>#VALUE!</v>
      </c>
      <c r="R4307" s="6" t="e">
        <v>#VALUE!</v>
      </c>
      <c r="S4307" s="6" t="e">
        <v>#VALUE!</v>
      </c>
      <c r="T4307" s="9"/>
      <c r="U4307" s="1">
        <f t="shared" si="7511"/>
        <v>98</v>
      </c>
      <c r="V4307" s="1">
        <f t="shared" si="7512"/>
        <v>238</v>
      </c>
    </row>
    <row r="4308" spans="1:22" x14ac:dyDescent="0.3">
      <c r="A4308" s="1">
        <f t="shared" si="7535"/>
        <v>98239</v>
      </c>
      <c r="B4308" s="12">
        <f t="shared" si="7600"/>
        <v>0</v>
      </c>
      <c r="C4308" s="13">
        <f t="shared" si="7601"/>
        <v>0</v>
      </c>
      <c r="D4308" s="10">
        <f t="shared" si="7602"/>
        <v>0</v>
      </c>
      <c r="J4308" s="24" t="str">
        <f t="shared" ref="J4308" si="7617">CONCATENATE(K4305,3)</f>
        <v>103</v>
      </c>
      <c r="K4308" s="6" t="e">
        <v>#VALUE!</v>
      </c>
      <c r="L4308" s="6" t="e">
        <v>#VALUE!</v>
      </c>
      <c r="M4308" s="6" t="e">
        <v>#VALUE!</v>
      </c>
      <c r="N4308" s="6" t="e">
        <v>#VALUE!</v>
      </c>
      <c r="O4308" s="6" t="e">
        <v>#VALUE!</v>
      </c>
      <c r="P4308" s="6" t="e">
        <v>#VALUE!</v>
      </c>
      <c r="Q4308" s="6" t="e">
        <v>#VALUE!</v>
      </c>
      <c r="R4308" s="6" t="e">
        <v>#VALUE!</v>
      </c>
      <c r="S4308" s="6" t="e">
        <v>#VALUE!</v>
      </c>
      <c r="T4308" s="9"/>
      <c r="U4308" s="1">
        <f t="shared" si="7511"/>
        <v>98</v>
      </c>
      <c r="V4308" s="1">
        <f t="shared" si="7512"/>
        <v>239</v>
      </c>
    </row>
    <row r="4309" spans="1:22" x14ac:dyDescent="0.3">
      <c r="A4309" s="1">
        <f t="shared" si="7535"/>
        <v>98240</v>
      </c>
      <c r="B4309" s="12">
        <f t="shared" si="7600"/>
        <v>0</v>
      </c>
      <c r="C4309" s="13">
        <f t="shared" si="7601"/>
        <v>0</v>
      </c>
      <c r="D4309" s="10">
        <f t="shared" si="7602"/>
        <v>0</v>
      </c>
      <c r="J4309" s="9"/>
      <c r="K4309" s="9"/>
      <c r="L4309" s="9"/>
      <c r="M4309" s="9"/>
      <c r="N4309" s="9"/>
      <c r="O4309" s="9"/>
      <c r="P4309" s="9"/>
      <c r="Q4309" s="9"/>
      <c r="R4309" s="9"/>
      <c r="S4309" s="9"/>
      <c r="T4309" s="9"/>
      <c r="U4309" s="1">
        <f t="shared" si="7511"/>
        <v>98</v>
      </c>
      <c r="V4309" s="1">
        <f t="shared" si="7512"/>
        <v>240</v>
      </c>
    </row>
    <row r="4310" spans="1:22" x14ac:dyDescent="0.3">
      <c r="A4310" s="1">
        <f t="shared" si="7535"/>
        <v>98241</v>
      </c>
      <c r="B4310" s="12">
        <f t="shared" si="7600"/>
        <v>0</v>
      </c>
      <c r="C4310" s="13">
        <f t="shared" si="7601"/>
        <v>0</v>
      </c>
      <c r="D4310" s="10">
        <f t="shared" si="7602"/>
        <v>0</v>
      </c>
      <c r="J4310" s="9"/>
      <c r="K4310" s="9"/>
      <c r="L4310" s="9"/>
      <c r="M4310" s="9"/>
      <c r="N4310" s="9"/>
      <c r="O4310" s="9"/>
      <c r="P4310" s="9"/>
      <c r="Q4310" s="9"/>
      <c r="R4310" s="9"/>
      <c r="S4310" s="9"/>
      <c r="T4310" s="9"/>
      <c r="U4310" s="1">
        <f t="shared" si="7511"/>
        <v>98</v>
      </c>
      <c r="V4310" s="1">
        <f t="shared" si="7512"/>
        <v>241</v>
      </c>
    </row>
    <row r="4311" spans="1:22" x14ac:dyDescent="0.3">
      <c r="A4311" s="1">
        <f t="shared" si="7535"/>
        <v>98242</v>
      </c>
      <c r="B4311" s="12">
        <f t="shared" si="7600"/>
        <v>0</v>
      </c>
      <c r="C4311" s="13">
        <f t="shared" si="7601"/>
        <v>0</v>
      </c>
      <c r="D4311" s="10">
        <f t="shared" si="7602"/>
        <v>0</v>
      </c>
      <c r="J4311" s="9"/>
      <c r="K4311" s="9"/>
      <c r="L4311" s="9"/>
      <c r="M4311" s="9"/>
      <c r="N4311" s="9"/>
      <c r="O4311" s="9"/>
      <c r="P4311" s="9"/>
      <c r="Q4311" s="9"/>
      <c r="R4311" s="9"/>
      <c r="S4311" s="9"/>
      <c r="T4311" s="9"/>
      <c r="U4311" s="1">
        <f t="shared" si="7511"/>
        <v>98</v>
      </c>
      <c r="V4311" s="1">
        <f t="shared" si="7512"/>
        <v>242</v>
      </c>
    </row>
    <row r="4312" spans="1:22" x14ac:dyDescent="0.3">
      <c r="A4312" s="1">
        <f t="shared" si="7535"/>
        <v>98243</v>
      </c>
      <c r="J4312" s="9"/>
      <c r="K4312" s="9"/>
      <c r="L4312" s="9"/>
      <c r="M4312" s="9"/>
      <c r="N4312" s="9"/>
      <c r="O4312" s="9"/>
      <c r="P4312" s="9"/>
      <c r="Q4312" s="9"/>
      <c r="R4312" s="9"/>
      <c r="S4312" s="9"/>
      <c r="T4312" s="9"/>
      <c r="U4312" s="1">
        <f t="shared" si="7511"/>
        <v>98</v>
      </c>
      <c r="V4312" s="1">
        <f t="shared" si="7512"/>
        <v>243</v>
      </c>
    </row>
    <row r="4313" spans="1:22" s="5" customFormat="1" x14ac:dyDescent="0.3"/>
    <row r="4314" spans="1:22" x14ac:dyDescent="0.3">
      <c r="A4314" s="1">
        <f t="shared" ref="A4314:A4356" si="7618">ROUND(CONCATENATE(U4314,V4314),0)</f>
        <v>99201</v>
      </c>
      <c r="B4314" s="96" t="s">
        <v>0</v>
      </c>
      <c r="C4314" s="97"/>
      <c r="D4314" s="98"/>
      <c r="E4314" s="99"/>
      <c r="F4314" s="99"/>
      <c r="G4314" s="99"/>
      <c r="H4314" s="100"/>
      <c r="J4314" s="9"/>
      <c r="K4314" s="9"/>
      <c r="L4314" s="9"/>
      <c r="M4314" s="9"/>
      <c r="N4314" s="9"/>
      <c r="O4314" s="9"/>
      <c r="P4314" s="9"/>
      <c r="Q4314" s="9"/>
      <c r="R4314" s="9"/>
      <c r="S4314" s="9"/>
      <c r="T4314" s="9"/>
      <c r="U4314" s="1">
        <f t="shared" ref="U4314:U4358" si="7619">U4312+1</f>
        <v>99</v>
      </c>
      <c r="V4314" s="1">
        <v>201</v>
      </c>
    </row>
    <row r="4315" spans="1:22" x14ac:dyDescent="0.3">
      <c r="A4315" s="1">
        <f t="shared" si="7618"/>
        <v>99202</v>
      </c>
      <c r="B4315" s="96" t="s">
        <v>1</v>
      </c>
      <c r="C4315" s="97"/>
      <c r="D4315" s="15"/>
      <c r="E4315" s="16" t="s">
        <v>2</v>
      </c>
      <c r="F4315" s="107"/>
      <c r="G4315" s="108"/>
      <c r="H4315" s="109"/>
      <c r="J4315" s="9"/>
      <c r="K4315" s="9"/>
      <c r="L4315" s="9"/>
      <c r="M4315" s="9"/>
      <c r="N4315" s="9"/>
      <c r="O4315" s="9"/>
      <c r="P4315" s="9"/>
      <c r="Q4315" s="9"/>
      <c r="R4315" s="9"/>
      <c r="S4315" s="9"/>
      <c r="T4315" s="9"/>
      <c r="U4315" s="1">
        <f t="shared" ref="U4315:U4378" si="7620">U4314</f>
        <v>99</v>
      </c>
      <c r="V4315" s="1">
        <f t="shared" ref="V4315:V4378" si="7621">V4314+1</f>
        <v>202</v>
      </c>
    </row>
    <row r="4316" spans="1:22" x14ac:dyDescent="0.3">
      <c r="A4316" s="1">
        <f t="shared" si="7618"/>
        <v>99203</v>
      </c>
      <c r="B4316" s="96" t="s">
        <v>12</v>
      </c>
      <c r="C4316" s="97"/>
      <c r="D4316" s="98"/>
      <c r="E4316" s="99"/>
      <c r="F4316" s="99"/>
      <c r="G4316" s="99"/>
      <c r="H4316" s="100"/>
      <c r="K4316" s="1" t="s">
        <v>3</v>
      </c>
      <c r="L4316" s="1" t="s">
        <v>4</v>
      </c>
      <c r="M4316" s="1" t="s">
        <v>5</v>
      </c>
      <c r="N4316" s="1" t="s">
        <v>6</v>
      </c>
      <c r="O4316" s="1" t="s">
        <v>7</v>
      </c>
      <c r="P4316" s="1" t="s">
        <v>8</v>
      </c>
      <c r="Q4316" s="1" t="s">
        <v>9</v>
      </c>
      <c r="R4316" s="1" t="s">
        <v>10</v>
      </c>
      <c r="S4316" s="1" t="s">
        <v>11</v>
      </c>
      <c r="T4316" s="9"/>
      <c r="U4316" s="1">
        <f t="shared" si="7620"/>
        <v>99</v>
      </c>
      <c r="V4316" s="1">
        <f t="shared" si="7621"/>
        <v>203</v>
      </c>
    </row>
    <row r="4317" spans="1:22" x14ac:dyDescent="0.3">
      <c r="A4317" s="1">
        <f t="shared" si="7618"/>
        <v>99204</v>
      </c>
      <c r="B4317" s="96" t="s">
        <v>13</v>
      </c>
      <c r="C4317" s="97"/>
      <c r="D4317" s="98"/>
      <c r="E4317" s="99"/>
      <c r="F4317" s="99"/>
      <c r="G4317" s="99"/>
      <c r="H4317" s="100"/>
      <c r="J4317" s="1">
        <f t="shared" ref="J4317" si="7622">COUNTA(B4330:B4339)</f>
        <v>0</v>
      </c>
      <c r="K4317" s="1">
        <f t="shared" ref="K4317" si="7623">IF(L4317-1&lt;2,0,L4317-1)</f>
        <v>0</v>
      </c>
      <c r="L4317" s="1">
        <f t="shared" ref="L4317" si="7624">IF(M4317-1&lt;2,0,M4317-1)</f>
        <v>0</v>
      </c>
      <c r="M4317" s="1">
        <f t="shared" ref="M4317" si="7625">IF(N4317-1&lt;2,0,N4317-1)</f>
        <v>0</v>
      </c>
      <c r="N4317" s="1">
        <f t="shared" ref="N4317" si="7626">IF(O4317-1&lt;2,0,O4317-1)</f>
        <v>0</v>
      </c>
      <c r="O4317" s="1">
        <f t="shared" ref="O4317" si="7627">IF(P4317-1&lt;2,0,P4317-1)</f>
        <v>0</v>
      </c>
      <c r="P4317" s="1">
        <f t="shared" ref="P4317" si="7628">IF(Q4317-1&lt;2,0,Q4317-1)</f>
        <v>0</v>
      </c>
      <c r="Q4317" s="1">
        <f t="shared" ref="Q4317" si="7629">IF(R4317-1&lt;2,0,R4317-1)</f>
        <v>0</v>
      </c>
      <c r="R4317" s="1">
        <f t="shared" ref="R4317" si="7630">IF(S4317-1&lt;2,0,S4317-1)</f>
        <v>0</v>
      </c>
      <c r="S4317" s="1">
        <f t="shared" ref="S4317" si="7631">J4317</f>
        <v>0</v>
      </c>
      <c r="T4317" s="9"/>
      <c r="U4317" s="1">
        <f t="shared" si="7620"/>
        <v>99</v>
      </c>
      <c r="V4317" s="1">
        <f t="shared" si="7621"/>
        <v>204</v>
      </c>
    </row>
    <row r="4318" spans="1:22" x14ac:dyDescent="0.3">
      <c r="A4318" s="1">
        <f t="shared" si="7618"/>
        <v>99205</v>
      </c>
      <c r="B4318" s="96" t="s">
        <v>14</v>
      </c>
      <c r="C4318" s="97"/>
      <c r="D4318" s="98"/>
      <c r="E4318" s="99"/>
      <c r="F4318" s="99"/>
      <c r="G4318" s="99"/>
      <c r="H4318" s="100"/>
      <c r="J4318" s="24" t="str">
        <f t="shared" ref="J4318" si="7632">CONCATENATE(J4317,1)</f>
        <v>01</v>
      </c>
      <c r="K4318" s="25">
        <f t="shared" ref="K4318" si="7633">IF(K4317=0,0,VLOOKUP(J4318,J4322:S4352,K4317,FALSE))</f>
        <v>0</v>
      </c>
      <c r="L4318" s="25">
        <f t="shared" ref="L4318" si="7634">IF(L4317=0,0,VLOOKUP(J4318,J4322:S4352,L4317,FALSE))</f>
        <v>0</v>
      </c>
      <c r="M4318" s="25">
        <f t="shared" ref="M4318" si="7635">IF(M4317=0,0,VLOOKUP(J4318,J4322:S4352,M4317,FALSE))</f>
        <v>0</v>
      </c>
      <c r="N4318" s="25">
        <f t="shared" ref="N4318" si="7636">IF(N4317=0,0,VLOOKUP(J4318,J4322:S4352,N4317,FALSE))</f>
        <v>0</v>
      </c>
      <c r="O4318" s="25">
        <f t="shared" ref="O4318" si="7637">IF(O4317=0,0,VLOOKUP(J4318,J4322:S4352,O4317,FALSE))</f>
        <v>0</v>
      </c>
      <c r="P4318" s="25">
        <f t="shared" ref="P4318" si="7638">IF(P4317=0,0,VLOOKUP(J4318,J4322:S4352,P4317,FALSE))</f>
        <v>0</v>
      </c>
      <c r="Q4318" s="25">
        <f t="shared" ref="Q4318" si="7639">IF(Q4317=0,0,VLOOKUP(J4318,J4322:S4352,Q4317,FALSE))</f>
        <v>0</v>
      </c>
      <c r="R4318" s="25">
        <f t="shared" ref="R4318" si="7640">IF(R4317=0,0,VLOOKUP(J4318,J4322:S4352,R4317,FALSE))</f>
        <v>0</v>
      </c>
      <c r="S4318" s="25">
        <f t="shared" ref="S4318" si="7641">IF(S4317=0,0,VLOOKUP(J4318,J4322:S4352,S4317,FALSE))</f>
        <v>0</v>
      </c>
      <c r="T4318" s="9"/>
      <c r="U4318" s="1">
        <f t="shared" si="7620"/>
        <v>99</v>
      </c>
      <c r="V4318" s="1">
        <f t="shared" si="7621"/>
        <v>205</v>
      </c>
    </row>
    <row r="4319" spans="1:22" x14ac:dyDescent="0.3">
      <c r="A4319" s="1">
        <f t="shared" si="7618"/>
        <v>99206</v>
      </c>
      <c r="B4319" s="96" t="s">
        <v>15</v>
      </c>
      <c r="C4319" s="97"/>
      <c r="D4319" s="98"/>
      <c r="E4319" s="99"/>
      <c r="F4319" s="99"/>
      <c r="G4319" s="99"/>
      <c r="H4319" s="100"/>
      <c r="J4319" s="24" t="str">
        <f t="shared" ref="J4319" si="7642">CONCATENATE(J4317,2)</f>
        <v>02</v>
      </c>
      <c r="K4319" s="6">
        <f t="shared" ref="K4319" si="7643">IF(K4317=0,0,VLOOKUP(J4319,J4322:S4352,K4317,FALSE))</f>
        <v>0</v>
      </c>
      <c r="L4319" s="6">
        <f t="shared" ref="L4319" si="7644">IF(L4317=0,0,VLOOKUP(J4319,J4322:S4352,L4317,FALSE))</f>
        <v>0</v>
      </c>
      <c r="M4319" s="6">
        <f t="shared" ref="M4319" si="7645">IF(M4317=0,0,VLOOKUP(J4319,J4322:S4352,M4317,FALSE))</f>
        <v>0</v>
      </c>
      <c r="N4319" s="6">
        <f t="shared" ref="N4319" si="7646">IF(N4317=0,0,VLOOKUP(J4319,J4322:S4352,N4317,FALSE))</f>
        <v>0</v>
      </c>
      <c r="O4319" s="6">
        <f t="shared" ref="O4319" si="7647">IF(O4317=0,0,VLOOKUP(J4319,J4322:S4352,O4317,FALSE))</f>
        <v>0</v>
      </c>
      <c r="P4319" s="6">
        <f t="shared" ref="P4319" si="7648">IF(P4317=0,0,VLOOKUP(J4319,J4322:S4352,P4317,FALSE))</f>
        <v>0</v>
      </c>
      <c r="Q4319" s="6">
        <f t="shared" ref="Q4319" si="7649">IF(Q4317=0,0,VLOOKUP(J4319,J4322:S4352,Q4317,FALSE))</f>
        <v>0</v>
      </c>
      <c r="R4319" s="6">
        <f t="shared" ref="R4319" si="7650">IF(R4317=0,0,VLOOKUP(J4319,J4322:S4352,R4317,FALSE))</f>
        <v>0</v>
      </c>
      <c r="S4319" s="6">
        <f t="shared" ref="S4319" si="7651">IF(S4317=0,0,VLOOKUP(J4319,J4322:S4352,S4317,FALSE))</f>
        <v>0</v>
      </c>
      <c r="T4319" s="9"/>
      <c r="U4319" s="1">
        <f t="shared" si="7620"/>
        <v>99</v>
      </c>
      <c r="V4319" s="1">
        <f t="shared" si="7621"/>
        <v>206</v>
      </c>
    </row>
    <row r="4320" spans="1:22" x14ac:dyDescent="0.3">
      <c r="A4320" s="1">
        <f t="shared" si="7618"/>
        <v>99207</v>
      </c>
      <c r="B4320" s="96" t="s">
        <v>16</v>
      </c>
      <c r="C4320" s="97"/>
      <c r="D4320" s="101"/>
      <c r="E4320" s="102"/>
      <c r="F4320" s="102"/>
      <c r="G4320" s="102"/>
      <c r="H4320" s="103"/>
      <c r="J4320" s="24" t="str">
        <f t="shared" ref="J4320" si="7652">CONCATENATE(J4317,3)</f>
        <v>03</v>
      </c>
      <c r="K4320" s="6"/>
      <c r="L4320" s="6"/>
      <c r="M4320" s="6"/>
      <c r="N4320" s="6" t="s">
        <v>43</v>
      </c>
      <c r="O4320" s="25">
        <f t="shared" ref="O4320" si="7653">J4317-2</f>
        <v>-2</v>
      </c>
      <c r="P4320" s="6" t="s">
        <v>44</v>
      </c>
      <c r="Q4320" s="25" t="e">
        <f t="shared" ref="Q4320" si="7654">VLOOKUP(J4320,J4322:S4352,3,FALSE)</f>
        <v>#N/A</v>
      </c>
      <c r="R4320" s="6" t="s">
        <v>45</v>
      </c>
      <c r="S4320" s="6" t="e">
        <f t="shared" ref="S4320" si="7655">VLOOKUP(J4320,J4322:S4352,2,FALSE)</f>
        <v>#N/A</v>
      </c>
      <c r="T4320" s="9"/>
      <c r="U4320" s="1">
        <f t="shared" si="7620"/>
        <v>99</v>
      </c>
      <c r="V4320" s="1">
        <f t="shared" si="7621"/>
        <v>207</v>
      </c>
    </row>
    <row r="4321" spans="1:22" x14ac:dyDescent="0.3">
      <c r="A4321" s="1">
        <f t="shared" si="7618"/>
        <v>99208</v>
      </c>
      <c r="B4321" s="96" t="s">
        <v>17</v>
      </c>
      <c r="C4321" s="97"/>
      <c r="D4321" s="104"/>
      <c r="E4321" s="105"/>
      <c r="F4321" s="105"/>
      <c r="G4321" s="105"/>
      <c r="H4321" s="106"/>
      <c r="K4321" s="1">
        <v>3</v>
      </c>
      <c r="L4321" s="1">
        <v>3</v>
      </c>
      <c r="Q4321" s="26"/>
      <c r="R4321" s="26"/>
      <c r="S4321" s="26"/>
      <c r="T4321" s="9"/>
      <c r="U4321" s="1">
        <f t="shared" si="7620"/>
        <v>99</v>
      </c>
      <c r="V4321" s="1">
        <f t="shared" si="7621"/>
        <v>208</v>
      </c>
    </row>
    <row r="4322" spans="1:22" x14ac:dyDescent="0.3">
      <c r="A4322" s="1">
        <f t="shared" si="7618"/>
        <v>99209</v>
      </c>
      <c r="B4322" s="77" t="s">
        <v>19</v>
      </c>
      <c r="C4322" s="78"/>
      <c r="D4322" s="17"/>
      <c r="E4322" s="79" t="s">
        <v>40</v>
      </c>
      <c r="F4322" s="80"/>
      <c r="G4322" s="81"/>
      <c r="H4322" s="18" t="s">
        <v>42</v>
      </c>
      <c r="J4322" s="24" t="str">
        <f t="shared" ref="J4322" si="7656">CONCATENATE(K4321,1)</f>
        <v>31</v>
      </c>
      <c r="K4322" s="6" t="e">
        <f t="array" ref="K4322:L4324">LINEST(B4330:B4332,C4330:C4332^{1},TRUE,TRUE)</f>
        <v>#VALUE!</v>
      </c>
      <c r="L4322" s="6" t="e">
        <v>#VALUE!</v>
      </c>
      <c r="Q4322" s="9"/>
      <c r="R4322" s="9"/>
      <c r="S4322" s="9"/>
      <c r="T4322" s="9"/>
      <c r="U4322" s="1">
        <f t="shared" si="7620"/>
        <v>99</v>
      </c>
      <c r="V4322" s="1">
        <f t="shared" si="7621"/>
        <v>209</v>
      </c>
    </row>
    <row r="4323" spans="1:22" x14ac:dyDescent="0.3">
      <c r="A4323" s="1">
        <f t="shared" si="7618"/>
        <v>99210</v>
      </c>
      <c r="B4323" s="77" t="s">
        <v>41</v>
      </c>
      <c r="C4323" s="78"/>
      <c r="D4323" s="23">
        <f t="shared" ref="D4323" si="7657">MIN(B4330:B4339)</f>
        <v>0</v>
      </c>
      <c r="E4323" s="20" t="s">
        <v>18</v>
      </c>
      <c r="F4323" s="19">
        <f t="shared" ref="F4323" si="7658">MAX(B4330:B4339)</f>
        <v>0</v>
      </c>
      <c r="G4323" s="21" t="str">
        <f t="shared" ref="G4323" si="7659">IF(H4322="","",H4322)</f>
        <v>%UR</v>
      </c>
      <c r="H4323" s="22"/>
      <c r="J4323" s="24" t="str">
        <f t="shared" ref="J4323" si="7660">CONCATENATE(K4321,2)</f>
        <v>32</v>
      </c>
      <c r="K4323" s="6" t="e">
        <v>#VALUE!</v>
      </c>
      <c r="L4323" s="6" t="e">
        <v>#VALUE!</v>
      </c>
      <c r="Q4323" s="9"/>
      <c r="R4323" s="9"/>
      <c r="S4323" s="9"/>
      <c r="T4323" s="9"/>
      <c r="U4323" s="1">
        <f t="shared" si="7620"/>
        <v>99</v>
      </c>
      <c r="V4323" s="1">
        <f t="shared" si="7621"/>
        <v>210</v>
      </c>
    </row>
    <row r="4324" spans="1:22" x14ac:dyDescent="0.3">
      <c r="A4324" s="1">
        <f t="shared" si="7618"/>
        <v>99211</v>
      </c>
      <c r="J4324" s="24" t="str">
        <f t="shared" ref="J4324" si="7661">CONCATENATE(K4321,3)</f>
        <v>33</v>
      </c>
      <c r="K4324" s="6" t="e">
        <v>#VALUE!</v>
      </c>
      <c r="L4324" s="6" t="e">
        <v>#VALUE!</v>
      </c>
      <c r="Q4324" s="9"/>
      <c r="R4324" s="9"/>
      <c r="S4324" s="9"/>
      <c r="T4324" s="9"/>
      <c r="U4324" s="1">
        <f t="shared" si="7620"/>
        <v>99</v>
      </c>
      <c r="V4324" s="1">
        <f t="shared" si="7621"/>
        <v>211</v>
      </c>
    </row>
    <row r="4325" spans="1:22" x14ac:dyDescent="0.3">
      <c r="A4325" s="1">
        <f t="shared" si="7618"/>
        <v>99212</v>
      </c>
      <c r="B4325" s="82" t="s">
        <v>20</v>
      </c>
      <c r="C4325" s="83"/>
      <c r="D4325" s="83"/>
      <c r="E4325" s="83"/>
      <c r="F4325" s="84"/>
      <c r="G4325" s="85" t="s">
        <v>31</v>
      </c>
      <c r="H4325" s="86"/>
      <c r="K4325" s="1">
        <v>4</v>
      </c>
      <c r="L4325" s="1">
        <v>4</v>
      </c>
      <c r="M4325" s="1">
        <v>4</v>
      </c>
      <c r="Q4325" s="9"/>
      <c r="R4325" s="9"/>
      <c r="S4325" s="9"/>
      <c r="T4325" s="9"/>
      <c r="U4325" s="1">
        <f t="shared" si="7620"/>
        <v>99</v>
      </c>
      <c r="V4325" s="1">
        <f t="shared" si="7621"/>
        <v>212</v>
      </c>
    </row>
    <row r="4326" spans="1:22" x14ac:dyDescent="0.3">
      <c r="A4326" s="1">
        <f t="shared" si="7618"/>
        <v>99213</v>
      </c>
      <c r="B4326" s="82" t="s">
        <v>30</v>
      </c>
      <c r="C4326" s="83"/>
      <c r="D4326" s="84"/>
      <c r="E4326" s="82">
        <f t="shared" ref="E4326" si="7662">D4319</f>
        <v>0</v>
      </c>
      <c r="F4326" s="84"/>
      <c r="G4326" s="6" t="s">
        <v>32</v>
      </c>
      <c r="H4326" s="7"/>
      <c r="J4326" s="24" t="str">
        <f t="shared" ref="J4326" si="7663">CONCATENATE(K4325,1)</f>
        <v>41</v>
      </c>
      <c r="K4326" s="6" t="e">
        <f t="array" ref="K4326:M4328">LINEST(B4330:B4333,C4330:C4333^{1,2},TRUE,TRUE)</f>
        <v>#VALUE!</v>
      </c>
      <c r="L4326" s="6" t="e">
        <v>#VALUE!</v>
      </c>
      <c r="M4326" s="6" t="e">
        <v>#VALUE!</v>
      </c>
      <c r="Q4326" s="9"/>
      <c r="R4326" s="9"/>
      <c r="S4326" s="9"/>
      <c r="T4326" s="9"/>
      <c r="U4326" s="1">
        <f t="shared" si="7620"/>
        <v>99</v>
      </c>
      <c r="V4326" s="1">
        <f t="shared" si="7621"/>
        <v>213</v>
      </c>
    </row>
    <row r="4327" spans="1:22" x14ac:dyDescent="0.3">
      <c r="A4327" s="1">
        <f t="shared" si="7618"/>
        <v>99214</v>
      </c>
      <c r="B4327" s="2" t="s">
        <v>21</v>
      </c>
      <c r="C4327" s="2" t="s">
        <v>22</v>
      </c>
      <c r="D4327" s="2" t="s">
        <v>23</v>
      </c>
      <c r="E4327" s="2"/>
      <c r="F4327" s="2" t="s">
        <v>28</v>
      </c>
      <c r="G4327" s="2" t="s">
        <v>21</v>
      </c>
      <c r="H4327" s="2" t="s">
        <v>22</v>
      </c>
      <c r="J4327" s="24" t="str">
        <f t="shared" ref="J4327" si="7664">CONCATENATE(K4325,2)</f>
        <v>42</v>
      </c>
      <c r="K4327" s="6" t="e">
        <v>#VALUE!</v>
      </c>
      <c r="L4327" s="6" t="e">
        <v>#VALUE!</v>
      </c>
      <c r="M4327" s="6" t="e">
        <v>#VALUE!</v>
      </c>
      <c r="Q4327" s="9"/>
      <c r="R4327" s="9"/>
      <c r="S4327" s="9"/>
      <c r="T4327" s="9"/>
      <c r="U4327" s="1">
        <f t="shared" si="7620"/>
        <v>99</v>
      </c>
      <c r="V4327" s="1">
        <f t="shared" si="7621"/>
        <v>214</v>
      </c>
    </row>
    <row r="4328" spans="1:22" x14ac:dyDescent="0.3">
      <c r="A4328" s="1">
        <f t="shared" si="7618"/>
        <v>99215</v>
      </c>
      <c r="B4328" s="2" t="s">
        <v>24</v>
      </c>
      <c r="C4328" s="2" t="s">
        <v>25</v>
      </c>
      <c r="D4328" s="2" t="s">
        <v>26</v>
      </c>
      <c r="E4328" s="2" t="s">
        <v>27</v>
      </c>
      <c r="F4328" s="2" t="s">
        <v>29</v>
      </c>
      <c r="G4328" s="2" t="s">
        <v>24</v>
      </c>
      <c r="H4328" s="2" t="s">
        <v>25</v>
      </c>
      <c r="J4328" s="24" t="str">
        <f t="shared" ref="J4328" si="7665">CONCATENATE(K4325,3)</f>
        <v>43</v>
      </c>
      <c r="K4328" s="6" t="e">
        <v>#VALUE!</v>
      </c>
      <c r="L4328" s="6" t="e">
        <v>#VALUE!</v>
      </c>
      <c r="M4328" s="6" t="e">
        <v>#VALUE!</v>
      </c>
      <c r="Q4328" s="9"/>
      <c r="R4328" s="9"/>
      <c r="S4328" s="9"/>
      <c r="T4328" s="9"/>
      <c r="U4328" s="1">
        <f t="shared" si="7620"/>
        <v>99</v>
      </c>
      <c r="V4328" s="1">
        <f t="shared" si="7621"/>
        <v>215</v>
      </c>
    </row>
    <row r="4329" spans="1:22" x14ac:dyDescent="0.3">
      <c r="A4329" s="1">
        <f t="shared" si="7618"/>
        <v>99216</v>
      </c>
      <c r="B4329" s="3" t="str">
        <f t="shared" ref="B4329" si="7666">H4322</f>
        <v>%UR</v>
      </c>
      <c r="C4329" s="3" t="str">
        <f t="shared" ref="C4329" si="7667">B4329</f>
        <v>%UR</v>
      </c>
      <c r="D4329" s="3" t="str">
        <f t="shared" ref="D4329" si="7668">C4329</f>
        <v>%UR</v>
      </c>
      <c r="E4329" s="3"/>
      <c r="F4329" s="3"/>
      <c r="G4329" s="3" t="str">
        <f t="shared" ref="G4329" si="7669">D4329</f>
        <v>%UR</v>
      </c>
      <c r="H4329" s="3" t="str">
        <f t="shared" ref="H4329" si="7670">G4329</f>
        <v>%UR</v>
      </c>
      <c r="K4329" s="1">
        <v>5</v>
      </c>
      <c r="L4329" s="1">
        <v>5</v>
      </c>
      <c r="M4329" s="1">
        <v>5</v>
      </c>
      <c r="N4329" s="1">
        <v>5</v>
      </c>
      <c r="Q4329" s="9"/>
      <c r="R4329" s="9"/>
      <c r="S4329" s="9"/>
      <c r="T4329" s="9"/>
      <c r="U4329" s="1">
        <f t="shared" si="7620"/>
        <v>99</v>
      </c>
      <c r="V4329" s="1">
        <f t="shared" si="7621"/>
        <v>216</v>
      </c>
    </row>
    <row r="4330" spans="1:22" x14ac:dyDescent="0.3">
      <c r="A4330" s="1">
        <f t="shared" si="7618"/>
        <v>99217</v>
      </c>
      <c r="B4330" s="4"/>
      <c r="C4330" s="4"/>
      <c r="D4330" s="4"/>
      <c r="E4330" s="4"/>
      <c r="F4330" s="14"/>
      <c r="G4330" s="8"/>
      <c r="H4330" s="7"/>
      <c r="J4330" s="24" t="str">
        <f t="shared" ref="J4330" si="7671">CONCATENATE(K4329,1)</f>
        <v>51</v>
      </c>
      <c r="K4330" s="6" t="e">
        <f t="array" ref="K4330:N4332">LINEST(B4330:B4334,C4330:C4334^{1,2,3},TRUE,TRUE)</f>
        <v>#VALUE!</v>
      </c>
      <c r="L4330" s="6" t="e">
        <v>#VALUE!</v>
      </c>
      <c r="M4330" s="6" t="e">
        <v>#VALUE!</v>
      </c>
      <c r="N4330" s="6" t="e">
        <v>#VALUE!</v>
      </c>
      <c r="Q4330" s="9"/>
      <c r="R4330" s="9"/>
      <c r="S4330" s="9"/>
      <c r="T4330" s="9"/>
      <c r="U4330" s="1">
        <f t="shared" si="7620"/>
        <v>99</v>
      </c>
      <c r="V4330" s="1">
        <f t="shared" si="7621"/>
        <v>217</v>
      </c>
    </row>
    <row r="4331" spans="1:22" x14ac:dyDescent="0.3">
      <c r="A4331" s="1">
        <f t="shared" si="7618"/>
        <v>99218</v>
      </c>
      <c r="B4331" s="4"/>
      <c r="C4331" s="4"/>
      <c r="D4331" s="4"/>
      <c r="E4331" s="4"/>
      <c r="F4331" s="14"/>
      <c r="G4331" s="8"/>
      <c r="H4331" s="7"/>
      <c r="J4331" s="24" t="str">
        <f t="shared" ref="J4331" si="7672">CONCATENATE(K4329,2)</f>
        <v>52</v>
      </c>
      <c r="K4331" s="6" t="e">
        <v>#VALUE!</v>
      </c>
      <c r="L4331" s="6" t="e">
        <v>#VALUE!</v>
      </c>
      <c r="M4331" s="6" t="e">
        <v>#VALUE!</v>
      </c>
      <c r="N4331" s="6" t="e">
        <v>#VALUE!</v>
      </c>
      <c r="T4331" s="9"/>
      <c r="U4331" s="1">
        <f t="shared" si="7620"/>
        <v>99</v>
      </c>
      <c r="V4331" s="1">
        <f t="shared" si="7621"/>
        <v>218</v>
      </c>
    </row>
    <row r="4332" spans="1:22" x14ac:dyDescent="0.3">
      <c r="A4332" s="1">
        <f t="shared" si="7618"/>
        <v>99219</v>
      </c>
      <c r="B4332" s="4"/>
      <c r="C4332" s="4"/>
      <c r="D4332" s="4"/>
      <c r="E4332" s="4"/>
      <c r="F4332" s="14"/>
      <c r="G4332" s="8"/>
      <c r="H4332" s="7"/>
      <c r="J4332" s="24" t="str">
        <f t="shared" ref="J4332" si="7673">CONCATENATE(K4329,3)</f>
        <v>53</v>
      </c>
      <c r="K4332" s="6" t="e">
        <v>#VALUE!</v>
      </c>
      <c r="L4332" s="6" t="e">
        <v>#VALUE!</v>
      </c>
      <c r="M4332" s="6" t="e">
        <v>#VALUE!</v>
      </c>
      <c r="N4332" s="6" t="e">
        <v>#VALUE!</v>
      </c>
      <c r="T4332" s="9"/>
      <c r="U4332" s="1">
        <f t="shared" si="7620"/>
        <v>99</v>
      </c>
      <c r="V4332" s="1">
        <f t="shared" si="7621"/>
        <v>219</v>
      </c>
    </row>
    <row r="4333" spans="1:22" x14ac:dyDescent="0.3">
      <c r="A4333" s="1">
        <f t="shared" si="7618"/>
        <v>99220</v>
      </c>
      <c r="B4333" s="4"/>
      <c r="C4333" s="4"/>
      <c r="D4333" s="4"/>
      <c r="E4333" s="4"/>
      <c r="F4333" s="14"/>
      <c r="G4333" s="8"/>
      <c r="H4333" s="7"/>
      <c r="K4333" s="1">
        <v>6</v>
      </c>
      <c r="L4333" s="1">
        <v>6</v>
      </c>
      <c r="M4333" s="1">
        <v>6</v>
      </c>
      <c r="N4333" s="1">
        <v>6</v>
      </c>
      <c r="O4333" s="1">
        <v>6</v>
      </c>
      <c r="T4333" s="9"/>
      <c r="U4333" s="1">
        <f t="shared" si="7620"/>
        <v>99</v>
      </c>
      <c r="V4333" s="1">
        <f t="shared" si="7621"/>
        <v>220</v>
      </c>
    </row>
    <row r="4334" spans="1:22" x14ac:dyDescent="0.3">
      <c r="A4334" s="1">
        <f t="shared" si="7618"/>
        <v>99221</v>
      </c>
      <c r="B4334" s="4"/>
      <c r="C4334" s="4"/>
      <c r="D4334" s="4"/>
      <c r="E4334" s="4"/>
      <c r="F4334" s="14"/>
      <c r="G4334" s="8"/>
      <c r="H4334" s="7"/>
      <c r="J4334" s="24" t="str">
        <f t="shared" ref="J4334" si="7674">CONCATENATE(K4333,1)</f>
        <v>61</v>
      </c>
      <c r="K4334" s="6" t="e">
        <f t="array" ref="K4334:O4336">LINEST(B4330:B4335,C4330:C4335^{1,2,3,4},TRUE,TRUE)</f>
        <v>#VALUE!</v>
      </c>
      <c r="L4334" s="6" t="e">
        <v>#VALUE!</v>
      </c>
      <c r="M4334" s="6" t="e">
        <v>#VALUE!</v>
      </c>
      <c r="N4334" s="6" t="e">
        <v>#VALUE!</v>
      </c>
      <c r="O4334" s="6" t="e">
        <v>#VALUE!</v>
      </c>
      <c r="T4334" s="9"/>
      <c r="U4334" s="1">
        <f t="shared" si="7620"/>
        <v>99</v>
      </c>
      <c r="V4334" s="1">
        <f t="shared" si="7621"/>
        <v>221</v>
      </c>
    </row>
    <row r="4335" spans="1:22" x14ac:dyDescent="0.3">
      <c r="A4335" s="1">
        <f t="shared" si="7618"/>
        <v>99222</v>
      </c>
      <c r="B4335" s="4"/>
      <c r="C4335" s="4"/>
      <c r="D4335" s="4"/>
      <c r="E4335" s="4"/>
      <c r="F4335" s="14"/>
      <c r="G4335" s="8"/>
      <c r="H4335" s="7"/>
      <c r="J4335" s="24" t="str">
        <f t="shared" ref="J4335" si="7675">CONCATENATE(K4333,2)</f>
        <v>62</v>
      </c>
      <c r="K4335" s="6" t="e">
        <v>#VALUE!</v>
      </c>
      <c r="L4335" s="6" t="e">
        <v>#VALUE!</v>
      </c>
      <c r="M4335" s="6" t="e">
        <v>#VALUE!</v>
      </c>
      <c r="N4335" s="6" t="e">
        <v>#VALUE!</v>
      </c>
      <c r="O4335" s="6" t="e">
        <v>#VALUE!</v>
      </c>
      <c r="T4335" s="9"/>
      <c r="U4335" s="1">
        <f t="shared" si="7620"/>
        <v>99</v>
      </c>
      <c r="V4335" s="1">
        <f t="shared" si="7621"/>
        <v>222</v>
      </c>
    </row>
    <row r="4336" spans="1:22" x14ac:dyDescent="0.3">
      <c r="A4336" s="1">
        <f t="shared" si="7618"/>
        <v>99223</v>
      </c>
      <c r="B4336" s="4"/>
      <c r="C4336" s="4"/>
      <c r="D4336" s="4"/>
      <c r="E4336" s="4"/>
      <c r="F4336" s="14"/>
      <c r="G4336" s="8"/>
      <c r="H4336" s="7"/>
      <c r="J4336" s="24" t="str">
        <f t="shared" ref="J4336" si="7676">CONCATENATE(K4333,3)</f>
        <v>63</v>
      </c>
      <c r="K4336" s="6" t="e">
        <v>#VALUE!</v>
      </c>
      <c r="L4336" s="6" t="e">
        <v>#VALUE!</v>
      </c>
      <c r="M4336" s="6" t="e">
        <v>#VALUE!</v>
      </c>
      <c r="N4336" s="6" t="e">
        <v>#VALUE!</v>
      </c>
      <c r="O4336" s="6" t="e">
        <v>#VALUE!</v>
      </c>
      <c r="T4336" s="9"/>
      <c r="U4336" s="1">
        <f t="shared" si="7620"/>
        <v>99</v>
      </c>
      <c r="V4336" s="1">
        <f t="shared" si="7621"/>
        <v>223</v>
      </c>
    </row>
    <row r="4337" spans="1:22" x14ac:dyDescent="0.3">
      <c r="A4337" s="1">
        <f t="shared" si="7618"/>
        <v>99224</v>
      </c>
      <c r="B4337" s="4"/>
      <c r="C4337" s="4"/>
      <c r="D4337" s="4"/>
      <c r="E4337" s="4"/>
      <c r="F4337" s="14"/>
      <c r="G4337" s="8"/>
      <c r="H4337" s="7"/>
      <c r="K4337" s="1">
        <v>7</v>
      </c>
      <c r="L4337" s="1">
        <v>7</v>
      </c>
      <c r="M4337" s="1">
        <v>7</v>
      </c>
      <c r="N4337" s="1">
        <v>7</v>
      </c>
      <c r="O4337" s="1">
        <v>7</v>
      </c>
      <c r="P4337" s="1">
        <v>7</v>
      </c>
      <c r="T4337" s="9"/>
      <c r="U4337" s="1">
        <f t="shared" si="7620"/>
        <v>99</v>
      </c>
      <c r="V4337" s="1">
        <f t="shared" si="7621"/>
        <v>224</v>
      </c>
    </row>
    <row r="4338" spans="1:22" x14ac:dyDescent="0.3">
      <c r="A4338" s="1">
        <f t="shared" si="7618"/>
        <v>99225</v>
      </c>
      <c r="B4338" s="4"/>
      <c r="C4338" s="4"/>
      <c r="D4338" s="4"/>
      <c r="E4338" s="4"/>
      <c r="F4338" s="14"/>
      <c r="G4338" s="8"/>
      <c r="H4338" s="7"/>
      <c r="J4338" s="24" t="str">
        <f t="shared" ref="J4338" si="7677">CONCATENATE(K4337,1)</f>
        <v>71</v>
      </c>
      <c r="K4338" s="6" t="e">
        <f t="array" ref="K4338:P4340">LINEST(B4330:B4336,C4330:C4336^{1,2,3,4,5},TRUE,TRUE)</f>
        <v>#VALUE!</v>
      </c>
      <c r="L4338" s="6" t="e">
        <v>#VALUE!</v>
      </c>
      <c r="M4338" s="6" t="e">
        <v>#VALUE!</v>
      </c>
      <c r="N4338" s="6" t="e">
        <v>#VALUE!</v>
      </c>
      <c r="O4338" s="6" t="e">
        <v>#VALUE!</v>
      </c>
      <c r="P4338" s="6" t="e">
        <v>#VALUE!</v>
      </c>
      <c r="T4338" s="9"/>
      <c r="U4338" s="1">
        <f t="shared" si="7620"/>
        <v>99</v>
      </c>
      <c r="V4338" s="1">
        <f t="shared" si="7621"/>
        <v>225</v>
      </c>
    </row>
    <row r="4339" spans="1:22" x14ac:dyDescent="0.3">
      <c r="A4339" s="1">
        <f t="shared" si="7618"/>
        <v>99226</v>
      </c>
      <c r="B4339" s="4"/>
      <c r="C4339" s="4"/>
      <c r="D4339" s="4"/>
      <c r="E4339" s="4"/>
      <c r="F4339" s="14"/>
      <c r="G4339" s="8"/>
      <c r="H4339" s="7"/>
      <c r="J4339" s="24" t="str">
        <f t="shared" ref="J4339" si="7678">CONCATENATE(K4337,2)</f>
        <v>72</v>
      </c>
      <c r="K4339" s="6" t="e">
        <v>#VALUE!</v>
      </c>
      <c r="L4339" s="6" t="e">
        <v>#VALUE!</v>
      </c>
      <c r="M4339" s="6" t="e">
        <v>#VALUE!</v>
      </c>
      <c r="N4339" s="6" t="e">
        <v>#VALUE!</v>
      </c>
      <c r="O4339" s="6" t="e">
        <v>#VALUE!</v>
      </c>
      <c r="P4339" s="6" t="e">
        <v>#VALUE!</v>
      </c>
      <c r="T4339" s="9"/>
      <c r="U4339" s="1">
        <f t="shared" si="7620"/>
        <v>99</v>
      </c>
      <c r="V4339" s="1">
        <f t="shared" si="7621"/>
        <v>226</v>
      </c>
    </row>
    <row r="4340" spans="1:22" x14ac:dyDescent="0.3">
      <c r="A4340" s="1">
        <f t="shared" si="7618"/>
        <v>99227</v>
      </c>
      <c r="B4340" s="9"/>
      <c r="C4340" s="9"/>
      <c r="D4340" s="9"/>
      <c r="E4340" s="9"/>
      <c r="F4340" s="9"/>
      <c r="G4340" s="9"/>
      <c r="H4340" s="9"/>
      <c r="J4340" s="24" t="str">
        <f t="shared" ref="J4340" si="7679">CONCATENATE(K4337,3)</f>
        <v>73</v>
      </c>
      <c r="K4340" s="6" t="e">
        <v>#VALUE!</v>
      </c>
      <c r="L4340" s="6" t="e">
        <v>#VALUE!</v>
      </c>
      <c r="M4340" s="6" t="e">
        <v>#VALUE!</v>
      </c>
      <c r="N4340" s="6" t="e">
        <v>#VALUE!</v>
      </c>
      <c r="O4340" s="6" t="e">
        <v>#VALUE!</v>
      </c>
      <c r="P4340" s="6" t="e">
        <v>#VALUE!</v>
      </c>
      <c r="T4340" s="9"/>
      <c r="U4340" s="1">
        <f t="shared" si="7620"/>
        <v>99</v>
      </c>
      <c r="V4340" s="1">
        <f t="shared" si="7621"/>
        <v>227</v>
      </c>
    </row>
    <row r="4341" spans="1:22" x14ac:dyDescent="0.3">
      <c r="A4341" s="1">
        <f t="shared" si="7618"/>
        <v>99228</v>
      </c>
      <c r="B4341" s="87" t="s">
        <v>33</v>
      </c>
      <c r="C4341" s="88"/>
      <c r="D4341" s="88"/>
      <c r="E4341" s="88"/>
      <c r="F4341" s="88"/>
      <c r="G4341" s="88"/>
      <c r="H4341" s="89"/>
      <c r="K4341" s="1">
        <v>8</v>
      </c>
      <c r="L4341" s="1">
        <v>8</v>
      </c>
      <c r="M4341" s="1">
        <v>8</v>
      </c>
      <c r="N4341" s="1">
        <v>8</v>
      </c>
      <c r="O4341" s="1">
        <v>8</v>
      </c>
      <c r="P4341" s="1">
        <v>8</v>
      </c>
      <c r="Q4341" s="1">
        <v>8</v>
      </c>
      <c r="T4341" s="9"/>
      <c r="U4341" s="1">
        <f t="shared" si="7620"/>
        <v>99</v>
      </c>
      <c r="V4341" s="1">
        <f t="shared" si="7621"/>
        <v>228</v>
      </c>
    </row>
    <row r="4342" spans="1:22" x14ac:dyDescent="0.3">
      <c r="A4342" s="1">
        <f t="shared" si="7618"/>
        <v>99229</v>
      </c>
      <c r="B4342" s="90"/>
      <c r="C4342" s="91"/>
      <c r="D4342" s="91"/>
      <c r="E4342" s="91"/>
      <c r="F4342" s="91"/>
      <c r="G4342" s="91"/>
      <c r="H4342" s="92"/>
      <c r="J4342" s="24" t="str">
        <f t="shared" ref="J4342" si="7680">CONCATENATE(K4341,1)</f>
        <v>81</v>
      </c>
      <c r="K4342" s="6" t="e">
        <f t="array" ref="K4342:Q4344">LINEST(B4330:B4337,C4330:C4337^{1,2,3,4,5,6},TRUE,TRUE)</f>
        <v>#VALUE!</v>
      </c>
      <c r="L4342" s="6" t="e">
        <v>#VALUE!</v>
      </c>
      <c r="M4342" s="6" t="e">
        <v>#VALUE!</v>
      </c>
      <c r="N4342" s="6" t="e">
        <v>#VALUE!</v>
      </c>
      <c r="O4342" s="6" t="e">
        <v>#VALUE!</v>
      </c>
      <c r="P4342" s="6" t="e">
        <v>#VALUE!</v>
      </c>
      <c r="Q4342" s="6" t="e">
        <v>#VALUE!</v>
      </c>
      <c r="T4342" s="9"/>
      <c r="U4342" s="1">
        <f t="shared" si="7620"/>
        <v>99</v>
      </c>
      <c r="V4342" s="1">
        <f t="shared" si="7621"/>
        <v>229</v>
      </c>
    </row>
    <row r="4343" spans="1:22" x14ac:dyDescent="0.3">
      <c r="A4343" s="1">
        <f t="shared" si="7618"/>
        <v>99230</v>
      </c>
      <c r="B4343" s="93"/>
      <c r="C4343" s="94"/>
      <c r="D4343" s="94"/>
      <c r="E4343" s="94"/>
      <c r="F4343" s="94"/>
      <c r="G4343" s="94"/>
      <c r="H4343" s="95"/>
      <c r="J4343" s="24" t="str">
        <f t="shared" ref="J4343" si="7681">CONCATENATE(K4341,2)</f>
        <v>82</v>
      </c>
      <c r="K4343" s="6" t="e">
        <v>#VALUE!</v>
      </c>
      <c r="L4343" s="6" t="e">
        <v>#VALUE!</v>
      </c>
      <c r="M4343" s="6" t="e">
        <v>#VALUE!</v>
      </c>
      <c r="N4343" s="6" t="e">
        <v>#VALUE!</v>
      </c>
      <c r="O4343" s="6" t="e">
        <v>#VALUE!</v>
      </c>
      <c r="P4343" s="6" t="e">
        <v>#VALUE!</v>
      </c>
      <c r="Q4343" s="6" t="e">
        <v>#VALUE!</v>
      </c>
      <c r="T4343" s="9"/>
      <c r="U4343" s="1">
        <f t="shared" si="7620"/>
        <v>99</v>
      </c>
      <c r="V4343" s="1">
        <f t="shared" si="7621"/>
        <v>230</v>
      </c>
    </row>
    <row r="4344" spans="1:22" x14ac:dyDescent="0.3">
      <c r="A4344" s="1">
        <f t="shared" si="7618"/>
        <v>99231</v>
      </c>
      <c r="J4344" s="24" t="str">
        <f t="shared" ref="J4344" si="7682">CONCATENATE(K4341,3)</f>
        <v>83</v>
      </c>
      <c r="K4344" s="6" t="e">
        <v>#VALUE!</v>
      </c>
      <c r="L4344" s="6" t="e">
        <v>#VALUE!</v>
      </c>
      <c r="M4344" s="6" t="e">
        <v>#VALUE!</v>
      </c>
      <c r="N4344" s="6" t="e">
        <v>#VALUE!</v>
      </c>
      <c r="O4344" s="6" t="e">
        <v>#VALUE!</v>
      </c>
      <c r="P4344" s="6" t="e">
        <v>#VALUE!</v>
      </c>
      <c r="Q4344" s="6" t="e">
        <v>#VALUE!</v>
      </c>
      <c r="T4344" s="9"/>
      <c r="U4344" s="1">
        <f t="shared" si="7620"/>
        <v>99</v>
      </c>
      <c r="V4344" s="1">
        <f t="shared" si="7621"/>
        <v>231</v>
      </c>
    </row>
    <row r="4345" spans="1:22" ht="15" customHeight="1" x14ac:dyDescent="0.3">
      <c r="A4345" s="1">
        <f t="shared" si="7618"/>
        <v>99232</v>
      </c>
      <c r="B4345" s="10" t="s">
        <v>34</v>
      </c>
      <c r="C4345" s="10" t="s">
        <v>35</v>
      </c>
      <c r="D4345" s="10" t="s">
        <v>36</v>
      </c>
      <c r="E4345" s="74" t="s">
        <v>37</v>
      </c>
      <c r="F4345" s="75"/>
      <c r="G4345" s="76"/>
      <c r="K4345" s="1">
        <v>9</v>
      </c>
      <c r="L4345" s="1">
        <v>9</v>
      </c>
      <c r="M4345" s="1">
        <v>9</v>
      </c>
      <c r="N4345" s="1">
        <v>9</v>
      </c>
      <c r="O4345" s="1">
        <v>9</v>
      </c>
      <c r="P4345" s="1">
        <v>9</v>
      </c>
      <c r="Q4345" s="1">
        <v>9</v>
      </c>
      <c r="R4345" s="1">
        <v>9</v>
      </c>
      <c r="T4345" s="9"/>
      <c r="U4345" s="1">
        <f t="shared" si="7620"/>
        <v>99</v>
      </c>
      <c r="V4345" s="1">
        <f t="shared" si="7621"/>
        <v>232</v>
      </c>
    </row>
    <row r="4346" spans="1:22" x14ac:dyDescent="0.3">
      <c r="A4346" s="1">
        <f t="shared" si="7618"/>
        <v>99233</v>
      </c>
      <c r="B4346" s="12">
        <f t="shared" ref="B4346:B4355" si="7683">C4330-B4330</f>
        <v>0</v>
      </c>
      <c r="C4346" s="13">
        <f t="shared" ref="C4346:C4355" si="7684">H4330-G4330</f>
        <v>0</v>
      </c>
      <c r="D4346" s="10">
        <f t="shared" ref="D4346:D4355" si="7685">C4346-B4346</f>
        <v>0</v>
      </c>
      <c r="E4346" s="11" t="str">
        <f t="shared" ref="E4346" si="7686">IF(D4321="","",MAX(F4346,G4346))</f>
        <v/>
      </c>
      <c r="F4346" s="10">
        <f t="shared" ref="F4346" si="7687">ABS(MIN(D4346:D4355))</f>
        <v>0</v>
      </c>
      <c r="G4346" s="10">
        <f t="shared" ref="G4346" si="7688">ABS(MAX(D4346:D4355))</f>
        <v>0</v>
      </c>
      <c r="J4346" s="24" t="str">
        <f t="shared" ref="J4346" si="7689">CONCATENATE(K4345,1)</f>
        <v>91</v>
      </c>
      <c r="K4346" s="6" t="e">
        <f t="array" ref="K4346:R4348">LINEST(B4330:B4338,C4330:C4338^{1,2,3,4,5,6,7},TRUE,TRUE)</f>
        <v>#VALUE!</v>
      </c>
      <c r="L4346" s="6" t="e">
        <v>#VALUE!</v>
      </c>
      <c r="M4346" s="6" t="e">
        <v>#VALUE!</v>
      </c>
      <c r="N4346" s="6" t="e">
        <v>#VALUE!</v>
      </c>
      <c r="O4346" s="6" t="e">
        <v>#VALUE!</v>
      </c>
      <c r="P4346" s="6" t="e">
        <v>#VALUE!</v>
      </c>
      <c r="Q4346" s="6" t="e">
        <v>#VALUE!</v>
      </c>
      <c r="R4346" s="6" t="e">
        <v>#VALUE!</v>
      </c>
      <c r="T4346" s="9"/>
      <c r="U4346" s="1">
        <f t="shared" si="7620"/>
        <v>99</v>
      </c>
      <c r="V4346" s="1">
        <f t="shared" si="7621"/>
        <v>233</v>
      </c>
    </row>
    <row r="4347" spans="1:22" x14ac:dyDescent="0.3">
      <c r="A4347" s="1">
        <f t="shared" si="7618"/>
        <v>99234</v>
      </c>
      <c r="B4347" s="12">
        <f t="shared" si="7683"/>
        <v>0</v>
      </c>
      <c r="C4347" s="13">
        <f t="shared" si="7684"/>
        <v>0</v>
      </c>
      <c r="D4347" s="10">
        <f t="shared" si="7685"/>
        <v>0</v>
      </c>
      <c r="E4347" s="74" t="s">
        <v>38</v>
      </c>
      <c r="F4347" s="75"/>
      <c r="G4347" s="76"/>
      <c r="J4347" s="24" t="str">
        <f t="shared" ref="J4347" si="7690">CONCATENATE(K4345,2)</f>
        <v>92</v>
      </c>
      <c r="K4347" s="6" t="e">
        <v>#VALUE!</v>
      </c>
      <c r="L4347" s="6" t="e">
        <v>#VALUE!</v>
      </c>
      <c r="M4347" s="6" t="e">
        <v>#VALUE!</v>
      </c>
      <c r="N4347" s="6" t="e">
        <v>#VALUE!</v>
      </c>
      <c r="O4347" s="6" t="e">
        <v>#VALUE!</v>
      </c>
      <c r="P4347" s="6" t="e">
        <v>#VALUE!</v>
      </c>
      <c r="Q4347" s="6" t="e">
        <v>#VALUE!</v>
      </c>
      <c r="R4347" s="6" t="e">
        <v>#VALUE!</v>
      </c>
      <c r="T4347" s="9"/>
      <c r="U4347" s="1">
        <f t="shared" si="7620"/>
        <v>99</v>
      </c>
      <c r="V4347" s="1">
        <f t="shared" si="7621"/>
        <v>234</v>
      </c>
    </row>
    <row r="4348" spans="1:22" x14ac:dyDescent="0.3">
      <c r="A4348" s="1">
        <f t="shared" si="7618"/>
        <v>99235</v>
      </c>
      <c r="B4348" s="12">
        <f t="shared" si="7683"/>
        <v>0</v>
      </c>
      <c r="C4348" s="13">
        <f t="shared" si="7684"/>
        <v>0</v>
      </c>
      <c r="D4348" s="10">
        <f t="shared" si="7685"/>
        <v>0</v>
      </c>
      <c r="E4348" s="11" t="str">
        <f t="shared" ref="E4348" si="7691">IF(D4321="","",MAX(F4348,G4348))</f>
        <v/>
      </c>
      <c r="F4348" s="10">
        <f t="shared" ref="F4348" si="7692">ABS(MIN(B4346:B4355))</f>
        <v>0</v>
      </c>
      <c r="G4348" s="10">
        <f t="shared" ref="G4348" si="7693">ABS(MAX(B4346:B4355))</f>
        <v>0</v>
      </c>
      <c r="J4348" s="24" t="str">
        <f t="shared" ref="J4348" si="7694">CONCATENATE(K4345,3)</f>
        <v>93</v>
      </c>
      <c r="K4348" s="6" t="e">
        <v>#VALUE!</v>
      </c>
      <c r="L4348" s="6" t="e">
        <v>#VALUE!</v>
      </c>
      <c r="M4348" s="6" t="e">
        <v>#VALUE!</v>
      </c>
      <c r="N4348" s="6" t="e">
        <v>#VALUE!</v>
      </c>
      <c r="O4348" s="6" t="e">
        <v>#VALUE!</v>
      </c>
      <c r="P4348" s="6" t="e">
        <v>#VALUE!</v>
      </c>
      <c r="Q4348" s="6" t="e">
        <v>#VALUE!</v>
      </c>
      <c r="R4348" s="6" t="e">
        <v>#VALUE!</v>
      </c>
      <c r="T4348" s="9"/>
      <c r="U4348" s="1">
        <f t="shared" si="7620"/>
        <v>99</v>
      </c>
      <c r="V4348" s="1">
        <f t="shared" si="7621"/>
        <v>235</v>
      </c>
    </row>
    <row r="4349" spans="1:22" x14ac:dyDescent="0.3">
      <c r="A4349" s="1">
        <f t="shared" si="7618"/>
        <v>99236</v>
      </c>
      <c r="B4349" s="12">
        <f t="shared" si="7683"/>
        <v>0</v>
      </c>
      <c r="C4349" s="13">
        <f t="shared" si="7684"/>
        <v>0</v>
      </c>
      <c r="D4349" s="10">
        <f t="shared" si="7685"/>
        <v>0</v>
      </c>
      <c r="E4349" s="74" t="s">
        <v>39</v>
      </c>
      <c r="F4349" s="75"/>
      <c r="G4349" s="76"/>
      <c r="K4349" s="1">
        <v>10</v>
      </c>
      <c r="L4349" s="1">
        <v>10</v>
      </c>
      <c r="M4349" s="1">
        <v>10</v>
      </c>
      <c r="N4349" s="1">
        <v>10</v>
      </c>
      <c r="O4349" s="1">
        <v>10</v>
      </c>
      <c r="P4349" s="1">
        <v>10</v>
      </c>
      <c r="Q4349" s="1">
        <v>10</v>
      </c>
      <c r="R4349" s="1">
        <v>10</v>
      </c>
      <c r="S4349" s="1">
        <v>10</v>
      </c>
      <c r="T4349" s="9"/>
      <c r="U4349" s="1">
        <f t="shared" si="7620"/>
        <v>99</v>
      </c>
      <c r="V4349" s="1">
        <f t="shared" si="7621"/>
        <v>236</v>
      </c>
    </row>
    <row r="4350" spans="1:22" x14ac:dyDescent="0.3">
      <c r="A4350" s="1">
        <f t="shared" si="7618"/>
        <v>99237</v>
      </c>
      <c r="B4350" s="12">
        <f t="shared" si="7683"/>
        <v>0</v>
      </c>
      <c r="C4350" s="13">
        <f t="shared" si="7684"/>
        <v>0</v>
      </c>
      <c r="D4350" s="10">
        <f t="shared" si="7685"/>
        <v>0</v>
      </c>
      <c r="E4350" s="11" t="str">
        <f t="shared" ref="E4350" si="7695">IF(D4321="","",MAX(F4350,G4350))</f>
        <v/>
      </c>
      <c r="F4350" s="10">
        <f t="shared" ref="F4350" si="7696">ABS(MIN(D4330:D4339))</f>
        <v>0</v>
      </c>
      <c r="G4350" s="10">
        <f t="shared" ref="G4350" si="7697">ABS(MAX(D4330:D4339))</f>
        <v>0</v>
      </c>
      <c r="J4350" s="24" t="str">
        <f t="shared" ref="J4350" si="7698">CONCATENATE(K4349,1)</f>
        <v>101</v>
      </c>
      <c r="K4350" s="6" t="e">
        <f t="array" ref="K4350:S4352">LINEST(B4330:B4339,C4330:C4339^{1,2,3,4,5,6,7,8},TRUE,TRUE)</f>
        <v>#VALUE!</v>
      </c>
      <c r="L4350" s="6" t="e">
        <v>#VALUE!</v>
      </c>
      <c r="M4350" s="6" t="e">
        <v>#VALUE!</v>
      </c>
      <c r="N4350" s="6" t="e">
        <v>#VALUE!</v>
      </c>
      <c r="O4350" s="6" t="e">
        <v>#VALUE!</v>
      </c>
      <c r="P4350" s="6" t="e">
        <v>#VALUE!</v>
      </c>
      <c r="Q4350" s="6" t="e">
        <v>#VALUE!</v>
      </c>
      <c r="R4350" s="6" t="e">
        <v>#VALUE!</v>
      </c>
      <c r="S4350" s="6" t="e">
        <v>#VALUE!</v>
      </c>
      <c r="T4350" s="9"/>
      <c r="U4350" s="1">
        <f t="shared" si="7620"/>
        <v>99</v>
      </c>
      <c r="V4350" s="1">
        <f t="shared" si="7621"/>
        <v>237</v>
      </c>
    </row>
    <row r="4351" spans="1:22" x14ac:dyDescent="0.3">
      <c r="A4351" s="1">
        <f t="shared" si="7618"/>
        <v>99238</v>
      </c>
      <c r="B4351" s="12">
        <f t="shared" si="7683"/>
        <v>0</v>
      </c>
      <c r="C4351" s="13">
        <f t="shared" si="7684"/>
        <v>0</v>
      </c>
      <c r="D4351" s="10">
        <f t="shared" si="7685"/>
        <v>0</v>
      </c>
      <c r="J4351" s="24" t="str">
        <f t="shared" ref="J4351" si="7699">CONCATENATE(K4349,2)</f>
        <v>102</v>
      </c>
      <c r="K4351" s="6" t="e">
        <v>#VALUE!</v>
      </c>
      <c r="L4351" s="6" t="e">
        <v>#VALUE!</v>
      </c>
      <c r="M4351" s="6" t="e">
        <v>#VALUE!</v>
      </c>
      <c r="N4351" s="6" t="e">
        <v>#VALUE!</v>
      </c>
      <c r="O4351" s="6" t="e">
        <v>#VALUE!</v>
      </c>
      <c r="P4351" s="6" t="e">
        <v>#VALUE!</v>
      </c>
      <c r="Q4351" s="6" t="e">
        <v>#VALUE!</v>
      </c>
      <c r="R4351" s="6" t="e">
        <v>#VALUE!</v>
      </c>
      <c r="S4351" s="6" t="e">
        <v>#VALUE!</v>
      </c>
      <c r="T4351" s="9"/>
      <c r="U4351" s="1">
        <f t="shared" si="7620"/>
        <v>99</v>
      </c>
      <c r="V4351" s="1">
        <f t="shared" si="7621"/>
        <v>238</v>
      </c>
    </row>
    <row r="4352" spans="1:22" x14ac:dyDescent="0.3">
      <c r="A4352" s="1">
        <f t="shared" si="7618"/>
        <v>99239</v>
      </c>
      <c r="B4352" s="12">
        <f t="shared" si="7683"/>
        <v>0</v>
      </c>
      <c r="C4352" s="13">
        <f t="shared" si="7684"/>
        <v>0</v>
      </c>
      <c r="D4352" s="10">
        <f t="shared" si="7685"/>
        <v>0</v>
      </c>
      <c r="J4352" s="24" t="str">
        <f t="shared" ref="J4352" si="7700">CONCATENATE(K4349,3)</f>
        <v>103</v>
      </c>
      <c r="K4352" s="6" t="e">
        <v>#VALUE!</v>
      </c>
      <c r="L4352" s="6" t="e">
        <v>#VALUE!</v>
      </c>
      <c r="M4352" s="6" t="e">
        <v>#VALUE!</v>
      </c>
      <c r="N4352" s="6" t="e">
        <v>#VALUE!</v>
      </c>
      <c r="O4352" s="6" t="e">
        <v>#VALUE!</v>
      </c>
      <c r="P4352" s="6" t="e">
        <v>#VALUE!</v>
      </c>
      <c r="Q4352" s="6" t="e">
        <v>#VALUE!</v>
      </c>
      <c r="R4352" s="6" t="e">
        <v>#VALUE!</v>
      </c>
      <c r="S4352" s="6" t="e">
        <v>#VALUE!</v>
      </c>
      <c r="T4352" s="9"/>
      <c r="U4352" s="1">
        <f t="shared" si="7620"/>
        <v>99</v>
      </c>
      <c r="V4352" s="1">
        <f t="shared" si="7621"/>
        <v>239</v>
      </c>
    </row>
    <row r="4353" spans="1:22" x14ac:dyDescent="0.3">
      <c r="A4353" s="1">
        <f t="shared" si="7618"/>
        <v>99240</v>
      </c>
      <c r="B4353" s="12">
        <f t="shared" si="7683"/>
        <v>0</v>
      </c>
      <c r="C4353" s="13">
        <f t="shared" si="7684"/>
        <v>0</v>
      </c>
      <c r="D4353" s="10">
        <f t="shared" si="7685"/>
        <v>0</v>
      </c>
      <c r="J4353" s="9"/>
      <c r="K4353" s="9"/>
      <c r="L4353" s="9"/>
      <c r="M4353" s="9"/>
      <c r="N4353" s="9"/>
      <c r="O4353" s="9"/>
      <c r="P4353" s="9"/>
      <c r="Q4353" s="9"/>
      <c r="R4353" s="9"/>
      <c r="S4353" s="9"/>
      <c r="T4353" s="9"/>
      <c r="U4353" s="1">
        <f t="shared" si="7620"/>
        <v>99</v>
      </c>
      <c r="V4353" s="1">
        <f t="shared" si="7621"/>
        <v>240</v>
      </c>
    </row>
    <row r="4354" spans="1:22" x14ac:dyDescent="0.3">
      <c r="A4354" s="1">
        <f t="shared" si="7618"/>
        <v>99241</v>
      </c>
      <c r="B4354" s="12">
        <f t="shared" si="7683"/>
        <v>0</v>
      </c>
      <c r="C4354" s="13">
        <f t="shared" si="7684"/>
        <v>0</v>
      </c>
      <c r="D4354" s="10">
        <f t="shared" si="7685"/>
        <v>0</v>
      </c>
      <c r="J4354" s="9"/>
      <c r="K4354" s="9"/>
      <c r="L4354" s="9"/>
      <c r="M4354" s="9"/>
      <c r="N4354" s="9"/>
      <c r="O4354" s="9"/>
      <c r="P4354" s="9"/>
      <c r="Q4354" s="9"/>
      <c r="R4354" s="9"/>
      <c r="S4354" s="9"/>
      <c r="T4354" s="9"/>
      <c r="U4354" s="1">
        <f t="shared" si="7620"/>
        <v>99</v>
      </c>
      <c r="V4354" s="1">
        <f t="shared" si="7621"/>
        <v>241</v>
      </c>
    </row>
    <row r="4355" spans="1:22" x14ac:dyDescent="0.3">
      <c r="A4355" s="1">
        <f t="shared" si="7618"/>
        <v>99242</v>
      </c>
      <c r="B4355" s="12">
        <f t="shared" si="7683"/>
        <v>0</v>
      </c>
      <c r="C4355" s="13">
        <f t="shared" si="7684"/>
        <v>0</v>
      </c>
      <c r="D4355" s="10">
        <f t="shared" si="7685"/>
        <v>0</v>
      </c>
      <c r="J4355" s="9"/>
      <c r="K4355" s="9"/>
      <c r="L4355" s="9"/>
      <c r="M4355" s="9"/>
      <c r="N4355" s="9"/>
      <c r="O4355" s="9"/>
      <c r="P4355" s="9"/>
      <c r="Q4355" s="9"/>
      <c r="R4355" s="9"/>
      <c r="S4355" s="9"/>
      <c r="T4355" s="9"/>
      <c r="U4355" s="1">
        <f t="shared" si="7620"/>
        <v>99</v>
      </c>
      <c r="V4355" s="1">
        <f t="shared" si="7621"/>
        <v>242</v>
      </c>
    </row>
    <row r="4356" spans="1:22" x14ac:dyDescent="0.3">
      <c r="A4356" s="1">
        <f t="shared" si="7618"/>
        <v>99243</v>
      </c>
      <c r="J4356" s="9"/>
      <c r="K4356" s="9"/>
      <c r="L4356" s="9"/>
      <c r="M4356" s="9"/>
      <c r="N4356" s="9"/>
      <c r="O4356" s="9"/>
      <c r="P4356" s="9"/>
      <c r="Q4356" s="9"/>
      <c r="R4356" s="9"/>
      <c r="S4356" s="9"/>
      <c r="T4356" s="9"/>
      <c r="U4356" s="1">
        <f t="shared" si="7620"/>
        <v>99</v>
      </c>
      <c r="V4356" s="1">
        <f t="shared" si="7621"/>
        <v>243</v>
      </c>
    </row>
    <row r="4357" spans="1:22" s="5" customFormat="1" x14ac:dyDescent="0.3"/>
    <row r="4358" spans="1:22" x14ac:dyDescent="0.3">
      <c r="A4358" s="1">
        <f t="shared" ref="A4358:A4400" si="7701">ROUND(CONCATENATE(U4358,V4358),0)</f>
        <v>100201</v>
      </c>
      <c r="B4358" s="96" t="s">
        <v>0</v>
      </c>
      <c r="C4358" s="97"/>
      <c r="D4358" s="98"/>
      <c r="E4358" s="99"/>
      <c r="F4358" s="99"/>
      <c r="G4358" s="99"/>
      <c r="H4358" s="100"/>
      <c r="J4358" s="9"/>
      <c r="K4358" s="9"/>
      <c r="L4358" s="9"/>
      <c r="M4358" s="9"/>
      <c r="N4358" s="9"/>
      <c r="O4358" s="9"/>
      <c r="P4358" s="9"/>
      <c r="Q4358" s="9"/>
      <c r="R4358" s="9"/>
      <c r="S4358" s="9"/>
      <c r="T4358" s="9"/>
      <c r="U4358" s="1">
        <f t="shared" si="7619"/>
        <v>100</v>
      </c>
      <c r="V4358" s="1">
        <v>201</v>
      </c>
    </row>
    <row r="4359" spans="1:22" x14ac:dyDescent="0.3">
      <c r="A4359" s="1">
        <f t="shared" si="7701"/>
        <v>100202</v>
      </c>
      <c r="B4359" s="96" t="s">
        <v>1</v>
      </c>
      <c r="C4359" s="97"/>
      <c r="D4359" s="15"/>
      <c r="E4359" s="16" t="s">
        <v>2</v>
      </c>
      <c r="F4359" s="107"/>
      <c r="G4359" s="108"/>
      <c r="H4359" s="109"/>
      <c r="J4359" s="9"/>
      <c r="K4359" s="9"/>
      <c r="L4359" s="9"/>
      <c r="M4359" s="9"/>
      <c r="N4359" s="9"/>
      <c r="O4359" s="9"/>
      <c r="P4359" s="9"/>
      <c r="Q4359" s="9"/>
      <c r="R4359" s="9"/>
      <c r="S4359" s="9"/>
      <c r="T4359" s="9"/>
      <c r="U4359" s="1">
        <f t="shared" ref="U4359" si="7702">U4358</f>
        <v>100</v>
      </c>
      <c r="V4359" s="1">
        <f t="shared" ref="V4359" si="7703">V4358+1</f>
        <v>202</v>
      </c>
    </row>
    <row r="4360" spans="1:22" x14ac:dyDescent="0.3">
      <c r="A4360" s="1">
        <f t="shared" si="7701"/>
        <v>100203</v>
      </c>
      <c r="B4360" s="96" t="s">
        <v>12</v>
      </c>
      <c r="C4360" s="97"/>
      <c r="D4360" s="98"/>
      <c r="E4360" s="99"/>
      <c r="F4360" s="99"/>
      <c r="G4360" s="99"/>
      <c r="H4360" s="100"/>
      <c r="K4360" s="1" t="s">
        <v>3</v>
      </c>
      <c r="L4360" s="1" t="s">
        <v>4</v>
      </c>
      <c r="M4360" s="1" t="s">
        <v>5</v>
      </c>
      <c r="N4360" s="1" t="s">
        <v>6</v>
      </c>
      <c r="O4360" s="1" t="s">
        <v>7</v>
      </c>
      <c r="P4360" s="1" t="s">
        <v>8</v>
      </c>
      <c r="Q4360" s="1" t="s">
        <v>9</v>
      </c>
      <c r="R4360" s="1" t="s">
        <v>10</v>
      </c>
      <c r="S4360" s="1" t="s">
        <v>11</v>
      </c>
      <c r="T4360" s="9"/>
      <c r="U4360" s="1">
        <f t="shared" si="7620"/>
        <v>100</v>
      </c>
      <c r="V4360" s="1">
        <f t="shared" si="7621"/>
        <v>203</v>
      </c>
    </row>
    <row r="4361" spans="1:22" x14ac:dyDescent="0.3">
      <c r="A4361" s="1">
        <f t="shared" si="7701"/>
        <v>100204</v>
      </c>
      <c r="B4361" s="96" t="s">
        <v>13</v>
      </c>
      <c r="C4361" s="97"/>
      <c r="D4361" s="98"/>
      <c r="E4361" s="99"/>
      <c r="F4361" s="99"/>
      <c r="G4361" s="99"/>
      <c r="H4361" s="100"/>
      <c r="J4361" s="1">
        <f t="shared" ref="J4361" si="7704">COUNTA(B4374:B4383)</f>
        <v>0</v>
      </c>
      <c r="K4361" s="1">
        <f t="shared" ref="K4361" si="7705">IF(L4361-1&lt;2,0,L4361-1)</f>
        <v>0</v>
      </c>
      <c r="L4361" s="1">
        <f t="shared" ref="L4361" si="7706">IF(M4361-1&lt;2,0,M4361-1)</f>
        <v>0</v>
      </c>
      <c r="M4361" s="1">
        <f t="shared" ref="M4361" si="7707">IF(N4361-1&lt;2,0,N4361-1)</f>
        <v>0</v>
      </c>
      <c r="N4361" s="1">
        <f t="shared" ref="N4361" si="7708">IF(O4361-1&lt;2,0,O4361-1)</f>
        <v>0</v>
      </c>
      <c r="O4361" s="1">
        <f t="shared" ref="O4361" si="7709">IF(P4361-1&lt;2,0,P4361-1)</f>
        <v>0</v>
      </c>
      <c r="P4361" s="1">
        <f t="shared" ref="P4361" si="7710">IF(Q4361-1&lt;2,0,Q4361-1)</f>
        <v>0</v>
      </c>
      <c r="Q4361" s="1">
        <f t="shared" ref="Q4361" si="7711">IF(R4361-1&lt;2,0,R4361-1)</f>
        <v>0</v>
      </c>
      <c r="R4361" s="1">
        <f t="shared" ref="R4361" si="7712">IF(S4361-1&lt;2,0,S4361-1)</f>
        <v>0</v>
      </c>
      <c r="S4361" s="1">
        <f t="shared" ref="S4361" si="7713">J4361</f>
        <v>0</v>
      </c>
      <c r="T4361" s="9"/>
      <c r="U4361" s="1">
        <f t="shared" si="7620"/>
        <v>100</v>
      </c>
      <c r="V4361" s="1">
        <f t="shared" si="7621"/>
        <v>204</v>
      </c>
    </row>
    <row r="4362" spans="1:22" x14ac:dyDescent="0.3">
      <c r="A4362" s="1">
        <f t="shared" si="7701"/>
        <v>100205</v>
      </c>
      <c r="B4362" s="96" t="s">
        <v>14</v>
      </c>
      <c r="C4362" s="97"/>
      <c r="D4362" s="98"/>
      <c r="E4362" s="99"/>
      <c r="F4362" s="99"/>
      <c r="G4362" s="99"/>
      <c r="H4362" s="100"/>
      <c r="J4362" s="24" t="str">
        <f t="shared" ref="J4362" si="7714">CONCATENATE(J4361,1)</f>
        <v>01</v>
      </c>
      <c r="K4362" s="25">
        <f t="shared" ref="K4362" si="7715">IF(K4361=0,0,VLOOKUP(J4362,J4366:S4396,K4361,FALSE))</f>
        <v>0</v>
      </c>
      <c r="L4362" s="25">
        <f t="shared" ref="L4362" si="7716">IF(L4361=0,0,VLOOKUP(J4362,J4366:S4396,L4361,FALSE))</f>
        <v>0</v>
      </c>
      <c r="M4362" s="25">
        <f t="shared" ref="M4362" si="7717">IF(M4361=0,0,VLOOKUP(J4362,J4366:S4396,M4361,FALSE))</f>
        <v>0</v>
      </c>
      <c r="N4362" s="25">
        <f t="shared" ref="N4362" si="7718">IF(N4361=0,0,VLOOKUP(J4362,J4366:S4396,N4361,FALSE))</f>
        <v>0</v>
      </c>
      <c r="O4362" s="25">
        <f t="shared" ref="O4362" si="7719">IF(O4361=0,0,VLOOKUP(J4362,J4366:S4396,O4361,FALSE))</f>
        <v>0</v>
      </c>
      <c r="P4362" s="25">
        <f t="shared" ref="P4362" si="7720">IF(P4361=0,0,VLOOKUP(J4362,J4366:S4396,P4361,FALSE))</f>
        <v>0</v>
      </c>
      <c r="Q4362" s="25">
        <f t="shared" ref="Q4362" si="7721">IF(Q4361=0,0,VLOOKUP(J4362,J4366:S4396,Q4361,FALSE))</f>
        <v>0</v>
      </c>
      <c r="R4362" s="25">
        <f t="shared" ref="R4362" si="7722">IF(R4361=0,0,VLOOKUP(J4362,J4366:S4396,R4361,FALSE))</f>
        <v>0</v>
      </c>
      <c r="S4362" s="25">
        <f t="shared" ref="S4362" si="7723">IF(S4361=0,0,VLOOKUP(J4362,J4366:S4396,S4361,FALSE))</f>
        <v>0</v>
      </c>
      <c r="T4362" s="9"/>
      <c r="U4362" s="1">
        <f t="shared" si="7620"/>
        <v>100</v>
      </c>
      <c r="V4362" s="1">
        <f t="shared" si="7621"/>
        <v>205</v>
      </c>
    </row>
    <row r="4363" spans="1:22" x14ac:dyDescent="0.3">
      <c r="A4363" s="1">
        <f t="shared" si="7701"/>
        <v>100206</v>
      </c>
      <c r="B4363" s="96" t="s">
        <v>15</v>
      </c>
      <c r="C4363" s="97"/>
      <c r="D4363" s="98"/>
      <c r="E4363" s="99"/>
      <c r="F4363" s="99"/>
      <c r="G4363" s="99"/>
      <c r="H4363" s="100"/>
      <c r="J4363" s="24" t="str">
        <f t="shared" ref="J4363" si="7724">CONCATENATE(J4361,2)</f>
        <v>02</v>
      </c>
      <c r="K4363" s="6">
        <f t="shared" ref="K4363" si="7725">IF(K4361=0,0,VLOOKUP(J4363,J4366:S4396,K4361,FALSE))</f>
        <v>0</v>
      </c>
      <c r="L4363" s="6">
        <f t="shared" ref="L4363" si="7726">IF(L4361=0,0,VLOOKUP(J4363,J4366:S4396,L4361,FALSE))</f>
        <v>0</v>
      </c>
      <c r="M4363" s="6">
        <f t="shared" ref="M4363" si="7727">IF(M4361=0,0,VLOOKUP(J4363,J4366:S4396,M4361,FALSE))</f>
        <v>0</v>
      </c>
      <c r="N4363" s="6">
        <f t="shared" ref="N4363" si="7728">IF(N4361=0,0,VLOOKUP(J4363,J4366:S4396,N4361,FALSE))</f>
        <v>0</v>
      </c>
      <c r="O4363" s="6">
        <f t="shared" ref="O4363" si="7729">IF(O4361=0,0,VLOOKUP(J4363,J4366:S4396,O4361,FALSE))</f>
        <v>0</v>
      </c>
      <c r="P4363" s="6">
        <f t="shared" ref="P4363" si="7730">IF(P4361=0,0,VLOOKUP(J4363,J4366:S4396,P4361,FALSE))</f>
        <v>0</v>
      </c>
      <c r="Q4363" s="6">
        <f t="shared" ref="Q4363" si="7731">IF(Q4361=0,0,VLOOKUP(J4363,J4366:S4396,Q4361,FALSE))</f>
        <v>0</v>
      </c>
      <c r="R4363" s="6">
        <f t="shared" ref="R4363" si="7732">IF(R4361=0,0,VLOOKUP(J4363,J4366:S4396,R4361,FALSE))</f>
        <v>0</v>
      </c>
      <c r="S4363" s="6">
        <f t="shared" ref="S4363" si="7733">IF(S4361=0,0,VLOOKUP(J4363,J4366:S4396,S4361,FALSE))</f>
        <v>0</v>
      </c>
      <c r="T4363" s="9"/>
      <c r="U4363" s="1">
        <f t="shared" si="7620"/>
        <v>100</v>
      </c>
      <c r="V4363" s="1">
        <f t="shared" si="7621"/>
        <v>206</v>
      </c>
    </row>
    <row r="4364" spans="1:22" x14ac:dyDescent="0.3">
      <c r="A4364" s="1">
        <f t="shared" si="7701"/>
        <v>100207</v>
      </c>
      <c r="B4364" s="96" t="s">
        <v>16</v>
      </c>
      <c r="C4364" s="97"/>
      <c r="D4364" s="101"/>
      <c r="E4364" s="102"/>
      <c r="F4364" s="102"/>
      <c r="G4364" s="102"/>
      <c r="H4364" s="103"/>
      <c r="J4364" s="24" t="str">
        <f t="shared" ref="J4364" si="7734">CONCATENATE(J4361,3)</f>
        <v>03</v>
      </c>
      <c r="K4364" s="6"/>
      <c r="L4364" s="6"/>
      <c r="M4364" s="6"/>
      <c r="N4364" s="6" t="s">
        <v>43</v>
      </c>
      <c r="O4364" s="25">
        <f t="shared" ref="O4364" si="7735">J4361-2</f>
        <v>-2</v>
      </c>
      <c r="P4364" s="6" t="s">
        <v>44</v>
      </c>
      <c r="Q4364" s="25" t="e">
        <f t="shared" ref="Q4364" si="7736">VLOOKUP(J4364,J4366:S4396,3,FALSE)</f>
        <v>#N/A</v>
      </c>
      <c r="R4364" s="6" t="s">
        <v>45</v>
      </c>
      <c r="S4364" s="6" t="e">
        <f t="shared" ref="S4364" si="7737">VLOOKUP(J4364,J4366:S4396,2,FALSE)</f>
        <v>#N/A</v>
      </c>
      <c r="T4364" s="9"/>
      <c r="U4364" s="1">
        <f t="shared" si="7620"/>
        <v>100</v>
      </c>
      <c r="V4364" s="1">
        <f t="shared" si="7621"/>
        <v>207</v>
      </c>
    </row>
    <row r="4365" spans="1:22" x14ac:dyDescent="0.3">
      <c r="A4365" s="1">
        <f t="shared" si="7701"/>
        <v>100208</v>
      </c>
      <c r="B4365" s="96" t="s">
        <v>17</v>
      </c>
      <c r="C4365" s="97"/>
      <c r="D4365" s="104"/>
      <c r="E4365" s="105"/>
      <c r="F4365" s="105"/>
      <c r="G4365" s="105"/>
      <c r="H4365" s="106"/>
      <c r="K4365" s="1">
        <v>3</v>
      </c>
      <c r="L4365" s="1">
        <v>3</v>
      </c>
      <c r="Q4365" s="26"/>
      <c r="R4365" s="26"/>
      <c r="S4365" s="26"/>
      <c r="T4365" s="9"/>
      <c r="U4365" s="1">
        <f t="shared" si="7620"/>
        <v>100</v>
      </c>
      <c r="V4365" s="1">
        <f t="shared" si="7621"/>
        <v>208</v>
      </c>
    </row>
    <row r="4366" spans="1:22" x14ac:dyDescent="0.3">
      <c r="A4366" s="1">
        <f t="shared" si="7701"/>
        <v>100209</v>
      </c>
      <c r="B4366" s="77" t="s">
        <v>19</v>
      </c>
      <c r="C4366" s="78"/>
      <c r="D4366" s="17"/>
      <c r="E4366" s="79" t="s">
        <v>40</v>
      </c>
      <c r="F4366" s="80"/>
      <c r="G4366" s="81"/>
      <c r="H4366" s="18" t="s">
        <v>42</v>
      </c>
      <c r="J4366" s="24" t="str">
        <f t="shared" ref="J4366" si="7738">CONCATENATE(K4365,1)</f>
        <v>31</v>
      </c>
      <c r="K4366" s="6" t="e">
        <f t="array" ref="K4366:L4368">LINEST(B4374:B4376,C4374:C4376^{1},TRUE,TRUE)</f>
        <v>#VALUE!</v>
      </c>
      <c r="L4366" s="6" t="e">
        <v>#VALUE!</v>
      </c>
      <c r="Q4366" s="9"/>
      <c r="R4366" s="9"/>
      <c r="S4366" s="9"/>
      <c r="T4366" s="9"/>
      <c r="U4366" s="1">
        <f t="shared" si="7620"/>
        <v>100</v>
      </c>
      <c r="V4366" s="1">
        <f t="shared" si="7621"/>
        <v>209</v>
      </c>
    </row>
    <row r="4367" spans="1:22" x14ac:dyDescent="0.3">
      <c r="A4367" s="1">
        <f t="shared" si="7701"/>
        <v>100210</v>
      </c>
      <c r="B4367" s="77" t="s">
        <v>41</v>
      </c>
      <c r="C4367" s="78"/>
      <c r="D4367" s="23">
        <f t="shared" ref="D4367" si="7739">MIN(B4374:B4383)</f>
        <v>0</v>
      </c>
      <c r="E4367" s="20" t="s">
        <v>18</v>
      </c>
      <c r="F4367" s="19">
        <f t="shared" ref="F4367" si="7740">MAX(B4374:B4383)</f>
        <v>0</v>
      </c>
      <c r="G4367" s="21" t="str">
        <f t="shared" ref="G4367" si="7741">IF(H4366="","",H4366)</f>
        <v>%UR</v>
      </c>
      <c r="H4367" s="22"/>
      <c r="J4367" s="24" t="str">
        <f t="shared" ref="J4367" si="7742">CONCATENATE(K4365,2)</f>
        <v>32</v>
      </c>
      <c r="K4367" s="6" t="e">
        <v>#VALUE!</v>
      </c>
      <c r="L4367" s="6" t="e">
        <v>#VALUE!</v>
      </c>
      <c r="Q4367" s="9"/>
      <c r="R4367" s="9"/>
      <c r="S4367" s="9"/>
      <c r="T4367" s="9"/>
      <c r="U4367" s="1">
        <f t="shared" si="7620"/>
        <v>100</v>
      </c>
      <c r="V4367" s="1">
        <f t="shared" si="7621"/>
        <v>210</v>
      </c>
    </row>
    <row r="4368" spans="1:22" x14ac:dyDescent="0.3">
      <c r="A4368" s="1">
        <f t="shared" si="7701"/>
        <v>100211</v>
      </c>
      <c r="J4368" s="24" t="str">
        <f t="shared" ref="J4368" si="7743">CONCATENATE(K4365,3)</f>
        <v>33</v>
      </c>
      <c r="K4368" s="6" t="e">
        <v>#VALUE!</v>
      </c>
      <c r="L4368" s="6" t="e">
        <v>#VALUE!</v>
      </c>
      <c r="Q4368" s="9"/>
      <c r="R4368" s="9"/>
      <c r="S4368" s="9"/>
      <c r="T4368" s="9"/>
      <c r="U4368" s="1">
        <f t="shared" si="7620"/>
        <v>100</v>
      </c>
      <c r="V4368" s="1">
        <f t="shared" si="7621"/>
        <v>211</v>
      </c>
    </row>
    <row r="4369" spans="1:22" x14ac:dyDescent="0.3">
      <c r="A4369" s="1">
        <f t="shared" si="7701"/>
        <v>100212</v>
      </c>
      <c r="B4369" s="82" t="s">
        <v>20</v>
      </c>
      <c r="C4369" s="83"/>
      <c r="D4369" s="83"/>
      <c r="E4369" s="83"/>
      <c r="F4369" s="84"/>
      <c r="G4369" s="85" t="s">
        <v>31</v>
      </c>
      <c r="H4369" s="86"/>
      <c r="K4369" s="1">
        <v>4</v>
      </c>
      <c r="L4369" s="1">
        <v>4</v>
      </c>
      <c r="M4369" s="1">
        <v>4</v>
      </c>
      <c r="Q4369" s="9"/>
      <c r="R4369" s="9"/>
      <c r="S4369" s="9"/>
      <c r="T4369" s="9"/>
      <c r="U4369" s="1">
        <f t="shared" si="7620"/>
        <v>100</v>
      </c>
      <c r="V4369" s="1">
        <f t="shared" si="7621"/>
        <v>212</v>
      </c>
    </row>
    <row r="4370" spans="1:22" x14ac:dyDescent="0.3">
      <c r="A4370" s="1">
        <f t="shared" si="7701"/>
        <v>100213</v>
      </c>
      <c r="B4370" s="82" t="s">
        <v>30</v>
      </c>
      <c r="C4370" s="83"/>
      <c r="D4370" s="84"/>
      <c r="E4370" s="82">
        <f t="shared" ref="E4370" si="7744">D4363</f>
        <v>0</v>
      </c>
      <c r="F4370" s="84"/>
      <c r="G4370" s="6" t="s">
        <v>32</v>
      </c>
      <c r="H4370" s="7"/>
      <c r="J4370" s="24" t="str">
        <f t="shared" ref="J4370" si="7745">CONCATENATE(K4369,1)</f>
        <v>41</v>
      </c>
      <c r="K4370" s="6" t="e">
        <f t="array" ref="K4370:M4372">LINEST(B4374:B4377,C4374:C4377^{1,2},TRUE,TRUE)</f>
        <v>#VALUE!</v>
      </c>
      <c r="L4370" s="6" t="e">
        <v>#VALUE!</v>
      </c>
      <c r="M4370" s="6" t="e">
        <v>#VALUE!</v>
      </c>
      <c r="Q4370" s="9"/>
      <c r="R4370" s="9"/>
      <c r="S4370" s="9"/>
      <c r="T4370" s="9"/>
      <c r="U4370" s="1">
        <f t="shared" si="7620"/>
        <v>100</v>
      </c>
      <c r="V4370" s="1">
        <f t="shared" si="7621"/>
        <v>213</v>
      </c>
    </row>
    <row r="4371" spans="1:22" x14ac:dyDescent="0.3">
      <c r="A4371" s="1">
        <f t="shared" si="7701"/>
        <v>100214</v>
      </c>
      <c r="B4371" s="2" t="s">
        <v>21</v>
      </c>
      <c r="C4371" s="2" t="s">
        <v>22</v>
      </c>
      <c r="D4371" s="2" t="s">
        <v>23</v>
      </c>
      <c r="E4371" s="2"/>
      <c r="F4371" s="2" t="s">
        <v>28</v>
      </c>
      <c r="G4371" s="2" t="s">
        <v>21</v>
      </c>
      <c r="H4371" s="2" t="s">
        <v>22</v>
      </c>
      <c r="J4371" s="24" t="str">
        <f t="shared" ref="J4371" si="7746">CONCATENATE(K4369,2)</f>
        <v>42</v>
      </c>
      <c r="K4371" s="6" t="e">
        <v>#VALUE!</v>
      </c>
      <c r="L4371" s="6" t="e">
        <v>#VALUE!</v>
      </c>
      <c r="M4371" s="6" t="e">
        <v>#VALUE!</v>
      </c>
      <c r="Q4371" s="9"/>
      <c r="R4371" s="9"/>
      <c r="S4371" s="9"/>
      <c r="T4371" s="9"/>
      <c r="U4371" s="1">
        <f t="shared" si="7620"/>
        <v>100</v>
      </c>
      <c r="V4371" s="1">
        <f t="shared" si="7621"/>
        <v>214</v>
      </c>
    </row>
    <row r="4372" spans="1:22" x14ac:dyDescent="0.3">
      <c r="A4372" s="1">
        <f t="shared" si="7701"/>
        <v>100215</v>
      </c>
      <c r="B4372" s="2" t="s">
        <v>24</v>
      </c>
      <c r="C4372" s="2" t="s">
        <v>25</v>
      </c>
      <c r="D4372" s="2" t="s">
        <v>26</v>
      </c>
      <c r="E4372" s="2" t="s">
        <v>27</v>
      </c>
      <c r="F4372" s="2" t="s">
        <v>29</v>
      </c>
      <c r="G4372" s="2" t="s">
        <v>24</v>
      </c>
      <c r="H4372" s="2" t="s">
        <v>25</v>
      </c>
      <c r="J4372" s="24" t="str">
        <f t="shared" ref="J4372" si="7747">CONCATENATE(K4369,3)</f>
        <v>43</v>
      </c>
      <c r="K4372" s="6" t="e">
        <v>#VALUE!</v>
      </c>
      <c r="L4372" s="6" t="e">
        <v>#VALUE!</v>
      </c>
      <c r="M4372" s="6" t="e">
        <v>#VALUE!</v>
      </c>
      <c r="Q4372" s="9"/>
      <c r="R4372" s="9"/>
      <c r="S4372" s="9"/>
      <c r="T4372" s="9"/>
      <c r="U4372" s="1">
        <f t="shared" si="7620"/>
        <v>100</v>
      </c>
      <c r="V4372" s="1">
        <f t="shared" si="7621"/>
        <v>215</v>
      </c>
    </row>
    <row r="4373" spans="1:22" x14ac:dyDescent="0.3">
      <c r="A4373" s="1">
        <f t="shared" si="7701"/>
        <v>100216</v>
      </c>
      <c r="B4373" s="3" t="str">
        <f t="shared" ref="B4373" si="7748">H4366</f>
        <v>%UR</v>
      </c>
      <c r="C4373" s="3" t="str">
        <f t="shared" ref="C4373:D4373" si="7749">B4373</f>
        <v>%UR</v>
      </c>
      <c r="D4373" s="3" t="str">
        <f t="shared" si="7749"/>
        <v>%UR</v>
      </c>
      <c r="E4373" s="3"/>
      <c r="F4373" s="3"/>
      <c r="G4373" s="3" t="str">
        <f t="shared" ref="G4373" si="7750">D4373</f>
        <v>%UR</v>
      </c>
      <c r="H4373" s="3" t="str">
        <f t="shared" ref="H4373" si="7751">G4373</f>
        <v>%UR</v>
      </c>
      <c r="K4373" s="1">
        <v>5</v>
      </c>
      <c r="L4373" s="1">
        <v>5</v>
      </c>
      <c r="M4373" s="1">
        <v>5</v>
      </c>
      <c r="N4373" s="1">
        <v>5</v>
      </c>
      <c r="Q4373" s="9"/>
      <c r="R4373" s="9"/>
      <c r="S4373" s="9"/>
      <c r="T4373" s="9"/>
      <c r="U4373" s="1">
        <f t="shared" si="7620"/>
        <v>100</v>
      </c>
      <c r="V4373" s="1">
        <f t="shared" si="7621"/>
        <v>216</v>
      </c>
    </row>
    <row r="4374" spans="1:22" x14ac:dyDescent="0.3">
      <c r="A4374" s="1">
        <f t="shared" si="7701"/>
        <v>100217</v>
      </c>
      <c r="B4374" s="4"/>
      <c r="C4374" s="4"/>
      <c r="D4374" s="4"/>
      <c r="E4374" s="4"/>
      <c r="F4374" s="14"/>
      <c r="G4374" s="8"/>
      <c r="H4374" s="7"/>
      <c r="J4374" s="24" t="str">
        <f t="shared" ref="J4374" si="7752">CONCATENATE(K4373,1)</f>
        <v>51</v>
      </c>
      <c r="K4374" s="6" t="e">
        <f t="array" ref="K4374:N4376">LINEST(B4374:B4378,C4374:C4378^{1,2,3},TRUE,TRUE)</f>
        <v>#VALUE!</v>
      </c>
      <c r="L4374" s="6" t="e">
        <v>#VALUE!</v>
      </c>
      <c r="M4374" s="6" t="e">
        <v>#VALUE!</v>
      </c>
      <c r="N4374" s="6" t="e">
        <v>#VALUE!</v>
      </c>
      <c r="Q4374" s="9"/>
      <c r="R4374" s="9"/>
      <c r="S4374" s="9"/>
      <c r="T4374" s="9"/>
      <c r="U4374" s="1">
        <f t="shared" si="7620"/>
        <v>100</v>
      </c>
      <c r="V4374" s="1">
        <f t="shared" si="7621"/>
        <v>217</v>
      </c>
    </row>
    <row r="4375" spans="1:22" x14ac:dyDescent="0.3">
      <c r="A4375" s="1">
        <f t="shared" si="7701"/>
        <v>100218</v>
      </c>
      <c r="B4375" s="4"/>
      <c r="C4375" s="4"/>
      <c r="D4375" s="4"/>
      <c r="E4375" s="4"/>
      <c r="F4375" s="14"/>
      <c r="G4375" s="8"/>
      <c r="H4375" s="7"/>
      <c r="J4375" s="24" t="str">
        <f t="shared" ref="J4375" si="7753">CONCATENATE(K4373,2)</f>
        <v>52</v>
      </c>
      <c r="K4375" s="6" t="e">
        <v>#VALUE!</v>
      </c>
      <c r="L4375" s="6" t="e">
        <v>#VALUE!</v>
      </c>
      <c r="M4375" s="6" t="e">
        <v>#VALUE!</v>
      </c>
      <c r="N4375" s="6" t="e">
        <v>#VALUE!</v>
      </c>
      <c r="T4375" s="9"/>
      <c r="U4375" s="1">
        <f t="shared" si="7620"/>
        <v>100</v>
      </c>
      <c r="V4375" s="1">
        <f t="shared" si="7621"/>
        <v>218</v>
      </c>
    </row>
    <row r="4376" spans="1:22" x14ac:dyDescent="0.3">
      <c r="A4376" s="1">
        <f t="shared" si="7701"/>
        <v>100219</v>
      </c>
      <c r="B4376" s="4"/>
      <c r="C4376" s="4"/>
      <c r="D4376" s="4"/>
      <c r="E4376" s="4"/>
      <c r="F4376" s="14"/>
      <c r="G4376" s="8"/>
      <c r="H4376" s="7"/>
      <c r="J4376" s="24" t="str">
        <f t="shared" ref="J4376" si="7754">CONCATENATE(K4373,3)</f>
        <v>53</v>
      </c>
      <c r="K4376" s="6" t="e">
        <v>#VALUE!</v>
      </c>
      <c r="L4376" s="6" t="e">
        <v>#VALUE!</v>
      </c>
      <c r="M4376" s="6" t="e">
        <v>#VALUE!</v>
      </c>
      <c r="N4376" s="6" t="e">
        <v>#VALUE!</v>
      </c>
      <c r="T4376" s="9"/>
      <c r="U4376" s="1">
        <f t="shared" si="7620"/>
        <v>100</v>
      </c>
      <c r="V4376" s="1">
        <f t="shared" si="7621"/>
        <v>219</v>
      </c>
    </row>
    <row r="4377" spans="1:22" x14ac:dyDescent="0.3">
      <c r="A4377" s="1">
        <f t="shared" si="7701"/>
        <v>100220</v>
      </c>
      <c r="B4377" s="4"/>
      <c r="C4377" s="4"/>
      <c r="D4377" s="4"/>
      <c r="E4377" s="4"/>
      <c r="F4377" s="14"/>
      <c r="G4377" s="8"/>
      <c r="H4377" s="7"/>
      <c r="K4377" s="1">
        <v>6</v>
      </c>
      <c r="L4377" s="1">
        <v>6</v>
      </c>
      <c r="M4377" s="1">
        <v>6</v>
      </c>
      <c r="N4377" s="1">
        <v>6</v>
      </c>
      <c r="O4377" s="1">
        <v>6</v>
      </c>
      <c r="T4377" s="9"/>
      <c r="U4377" s="1">
        <f t="shared" si="7620"/>
        <v>100</v>
      </c>
      <c r="V4377" s="1">
        <f t="shared" si="7621"/>
        <v>220</v>
      </c>
    </row>
    <row r="4378" spans="1:22" x14ac:dyDescent="0.3">
      <c r="A4378" s="1">
        <f t="shared" si="7701"/>
        <v>100221</v>
      </c>
      <c r="B4378" s="4"/>
      <c r="C4378" s="4"/>
      <c r="D4378" s="4"/>
      <c r="E4378" s="4"/>
      <c r="F4378" s="14"/>
      <c r="G4378" s="8"/>
      <c r="H4378" s="7"/>
      <c r="J4378" s="24" t="str">
        <f t="shared" ref="J4378" si="7755">CONCATENATE(K4377,1)</f>
        <v>61</v>
      </c>
      <c r="K4378" s="6" t="e">
        <f t="array" ref="K4378:O4380">LINEST(B4374:B4379,C4374:C4379^{1,2,3,4},TRUE,TRUE)</f>
        <v>#VALUE!</v>
      </c>
      <c r="L4378" s="6" t="e">
        <v>#VALUE!</v>
      </c>
      <c r="M4378" s="6" t="e">
        <v>#VALUE!</v>
      </c>
      <c r="N4378" s="6" t="e">
        <v>#VALUE!</v>
      </c>
      <c r="O4378" s="6" t="e">
        <v>#VALUE!</v>
      </c>
      <c r="T4378" s="9"/>
      <c r="U4378" s="1">
        <f t="shared" si="7620"/>
        <v>100</v>
      </c>
      <c r="V4378" s="1">
        <f t="shared" si="7621"/>
        <v>221</v>
      </c>
    </row>
    <row r="4379" spans="1:22" x14ac:dyDescent="0.3">
      <c r="A4379" s="1">
        <f t="shared" si="7701"/>
        <v>100222</v>
      </c>
      <c r="B4379" s="4"/>
      <c r="C4379" s="4"/>
      <c r="D4379" s="4"/>
      <c r="E4379" s="4"/>
      <c r="F4379" s="14"/>
      <c r="G4379" s="8"/>
      <c r="H4379" s="7"/>
      <c r="J4379" s="24" t="str">
        <f t="shared" ref="J4379" si="7756">CONCATENATE(K4377,2)</f>
        <v>62</v>
      </c>
      <c r="K4379" s="6" t="e">
        <v>#VALUE!</v>
      </c>
      <c r="L4379" s="6" t="e">
        <v>#VALUE!</v>
      </c>
      <c r="M4379" s="6" t="e">
        <v>#VALUE!</v>
      </c>
      <c r="N4379" s="6" t="e">
        <v>#VALUE!</v>
      </c>
      <c r="O4379" s="6" t="e">
        <v>#VALUE!</v>
      </c>
      <c r="T4379" s="9"/>
      <c r="U4379" s="1">
        <f t="shared" ref="U4379:U4400" si="7757">U4378</f>
        <v>100</v>
      </c>
      <c r="V4379" s="1">
        <f t="shared" ref="V4379:V4400" si="7758">V4378+1</f>
        <v>222</v>
      </c>
    </row>
    <row r="4380" spans="1:22" x14ac:dyDescent="0.3">
      <c r="A4380" s="1">
        <f t="shared" si="7701"/>
        <v>100223</v>
      </c>
      <c r="B4380" s="4"/>
      <c r="C4380" s="4"/>
      <c r="D4380" s="4"/>
      <c r="E4380" s="4"/>
      <c r="F4380" s="14"/>
      <c r="G4380" s="8"/>
      <c r="H4380" s="7"/>
      <c r="J4380" s="24" t="str">
        <f t="shared" ref="J4380" si="7759">CONCATENATE(K4377,3)</f>
        <v>63</v>
      </c>
      <c r="K4380" s="6" t="e">
        <v>#VALUE!</v>
      </c>
      <c r="L4380" s="6" t="e">
        <v>#VALUE!</v>
      </c>
      <c r="M4380" s="6" t="e">
        <v>#VALUE!</v>
      </c>
      <c r="N4380" s="6" t="e">
        <v>#VALUE!</v>
      </c>
      <c r="O4380" s="6" t="e">
        <v>#VALUE!</v>
      </c>
      <c r="T4380" s="9"/>
      <c r="U4380" s="1">
        <f t="shared" si="7757"/>
        <v>100</v>
      </c>
      <c r="V4380" s="1">
        <f t="shared" si="7758"/>
        <v>223</v>
      </c>
    </row>
    <row r="4381" spans="1:22" x14ac:dyDescent="0.3">
      <c r="A4381" s="1">
        <f t="shared" si="7701"/>
        <v>100224</v>
      </c>
      <c r="B4381" s="4"/>
      <c r="C4381" s="4"/>
      <c r="D4381" s="4"/>
      <c r="E4381" s="4"/>
      <c r="F4381" s="14"/>
      <c r="G4381" s="8"/>
      <c r="H4381" s="7"/>
      <c r="K4381" s="1">
        <v>7</v>
      </c>
      <c r="L4381" s="1">
        <v>7</v>
      </c>
      <c r="M4381" s="1">
        <v>7</v>
      </c>
      <c r="N4381" s="1">
        <v>7</v>
      </c>
      <c r="O4381" s="1">
        <v>7</v>
      </c>
      <c r="P4381" s="1">
        <v>7</v>
      </c>
      <c r="T4381" s="9"/>
      <c r="U4381" s="1">
        <f t="shared" si="7757"/>
        <v>100</v>
      </c>
      <c r="V4381" s="1">
        <f t="shared" si="7758"/>
        <v>224</v>
      </c>
    </row>
    <row r="4382" spans="1:22" x14ac:dyDescent="0.3">
      <c r="A4382" s="1">
        <f t="shared" si="7701"/>
        <v>100225</v>
      </c>
      <c r="B4382" s="4"/>
      <c r="C4382" s="4"/>
      <c r="D4382" s="4"/>
      <c r="E4382" s="4"/>
      <c r="F4382" s="14"/>
      <c r="G4382" s="8"/>
      <c r="H4382" s="7"/>
      <c r="J4382" s="24" t="str">
        <f t="shared" ref="J4382" si="7760">CONCATENATE(K4381,1)</f>
        <v>71</v>
      </c>
      <c r="K4382" s="6" t="e">
        <f t="array" ref="K4382:P4384">LINEST(B4374:B4380,C4374:C4380^{1,2,3,4,5},TRUE,TRUE)</f>
        <v>#VALUE!</v>
      </c>
      <c r="L4382" s="6" t="e">
        <v>#VALUE!</v>
      </c>
      <c r="M4382" s="6" t="e">
        <v>#VALUE!</v>
      </c>
      <c r="N4382" s="6" t="e">
        <v>#VALUE!</v>
      </c>
      <c r="O4382" s="6" t="e">
        <v>#VALUE!</v>
      </c>
      <c r="P4382" s="6" t="e">
        <v>#VALUE!</v>
      </c>
      <c r="T4382" s="9"/>
      <c r="U4382" s="1">
        <f t="shared" si="7757"/>
        <v>100</v>
      </c>
      <c r="V4382" s="1">
        <f t="shared" si="7758"/>
        <v>225</v>
      </c>
    </row>
    <row r="4383" spans="1:22" x14ac:dyDescent="0.3">
      <c r="A4383" s="1">
        <f t="shared" si="7701"/>
        <v>100226</v>
      </c>
      <c r="B4383" s="4"/>
      <c r="C4383" s="4"/>
      <c r="D4383" s="4"/>
      <c r="E4383" s="4"/>
      <c r="F4383" s="14"/>
      <c r="G4383" s="8"/>
      <c r="H4383" s="7"/>
      <c r="J4383" s="24" t="str">
        <f t="shared" ref="J4383" si="7761">CONCATENATE(K4381,2)</f>
        <v>72</v>
      </c>
      <c r="K4383" s="6" t="e">
        <v>#VALUE!</v>
      </c>
      <c r="L4383" s="6" t="e">
        <v>#VALUE!</v>
      </c>
      <c r="M4383" s="6" t="e">
        <v>#VALUE!</v>
      </c>
      <c r="N4383" s="6" t="e">
        <v>#VALUE!</v>
      </c>
      <c r="O4383" s="6" t="e">
        <v>#VALUE!</v>
      </c>
      <c r="P4383" s="6" t="e">
        <v>#VALUE!</v>
      </c>
      <c r="T4383" s="9"/>
      <c r="U4383" s="1">
        <f t="shared" si="7757"/>
        <v>100</v>
      </c>
      <c r="V4383" s="1">
        <f t="shared" si="7758"/>
        <v>226</v>
      </c>
    </row>
    <row r="4384" spans="1:22" x14ac:dyDescent="0.3">
      <c r="A4384" s="1">
        <f t="shared" si="7701"/>
        <v>100227</v>
      </c>
      <c r="B4384" s="9"/>
      <c r="C4384" s="9"/>
      <c r="D4384" s="9"/>
      <c r="E4384" s="9"/>
      <c r="F4384" s="9"/>
      <c r="G4384" s="9"/>
      <c r="H4384" s="9"/>
      <c r="J4384" s="24" t="str">
        <f t="shared" ref="J4384" si="7762">CONCATENATE(K4381,3)</f>
        <v>73</v>
      </c>
      <c r="K4384" s="6" t="e">
        <v>#VALUE!</v>
      </c>
      <c r="L4384" s="6" t="e">
        <v>#VALUE!</v>
      </c>
      <c r="M4384" s="6" t="e">
        <v>#VALUE!</v>
      </c>
      <c r="N4384" s="6" t="e">
        <v>#VALUE!</v>
      </c>
      <c r="O4384" s="6" t="e">
        <v>#VALUE!</v>
      </c>
      <c r="P4384" s="6" t="e">
        <v>#VALUE!</v>
      </c>
      <c r="T4384" s="9"/>
      <c r="U4384" s="1">
        <f t="shared" si="7757"/>
        <v>100</v>
      </c>
      <c r="V4384" s="1">
        <f t="shared" si="7758"/>
        <v>227</v>
      </c>
    </row>
    <row r="4385" spans="1:22" x14ac:dyDescent="0.3">
      <c r="A4385" s="1">
        <f t="shared" si="7701"/>
        <v>100228</v>
      </c>
      <c r="B4385" s="87" t="s">
        <v>33</v>
      </c>
      <c r="C4385" s="88"/>
      <c r="D4385" s="88"/>
      <c r="E4385" s="88"/>
      <c r="F4385" s="88"/>
      <c r="G4385" s="88"/>
      <c r="H4385" s="89"/>
      <c r="K4385" s="1">
        <v>8</v>
      </c>
      <c r="L4385" s="1">
        <v>8</v>
      </c>
      <c r="M4385" s="1">
        <v>8</v>
      </c>
      <c r="N4385" s="1">
        <v>8</v>
      </c>
      <c r="O4385" s="1">
        <v>8</v>
      </c>
      <c r="P4385" s="1">
        <v>8</v>
      </c>
      <c r="Q4385" s="1">
        <v>8</v>
      </c>
      <c r="T4385" s="9"/>
      <c r="U4385" s="1">
        <f t="shared" si="7757"/>
        <v>100</v>
      </c>
      <c r="V4385" s="1">
        <f t="shared" si="7758"/>
        <v>228</v>
      </c>
    </row>
    <row r="4386" spans="1:22" x14ac:dyDescent="0.3">
      <c r="A4386" s="1">
        <f t="shared" si="7701"/>
        <v>100229</v>
      </c>
      <c r="B4386" s="90"/>
      <c r="C4386" s="91"/>
      <c r="D4386" s="91"/>
      <c r="E4386" s="91"/>
      <c r="F4386" s="91"/>
      <c r="G4386" s="91"/>
      <c r="H4386" s="92"/>
      <c r="J4386" s="24" t="str">
        <f t="shared" ref="J4386" si="7763">CONCATENATE(K4385,1)</f>
        <v>81</v>
      </c>
      <c r="K4386" s="6" t="e">
        <f t="array" ref="K4386:Q4388">LINEST(B4374:B4381,C4374:C4381^{1,2,3,4,5,6},TRUE,TRUE)</f>
        <v>#VALUE!</v>
      </c>
      <c r="L4386" s="6" t="e">
        <v>#VALUE!</v>
      </c>
      <c r="M4386" s="6" t="e">
        <v>#VALUE!</v>
      </c>
      <c r="N4386" s="6" t="e">
        <v>#VALUE!</v>
      </c>
      <c r="O4386" s="6" t="e">
        <v>#VALUE!</v>
      </c>
      <c r="P4386" s="6" t="e">
        <v>#VALUE!</v>
      </c>
      <c r="Q4386" s="6" t="e">
        <v>#VALUE!</v>
      </c>
      <c r="T4386" s="9"/>
      <c r="U4386" s="1">
        <f t="shared" si="7757"/>
        <v>100</v>
      </c>
      <c r="V4386" s="1">
        <f t="shared" si="7758"/>
        <v>229</v>
      </c>
    </row>
    <row r="4387" spans="1:22" x14ac:dyDescent="0.3">
      <c r="A4387" s="1">
        <f t="shared" si="7701"/>
        <v>100230</v>
      </c>
      <c r="B4387" s="93"/>
      <c r="C4387" s="94"/>
      <c r="D4387" s="94"/>
      <c r="E4387" s="94"/>
      <c r="F4387" s="94"/>
      <c r="G4387" s="94"/>
      <c r="H4387" s="95"/>
      <c r="J4387" s="24" t="str">
        <f t="shared" ref="J4387" si="7764">CONCATENATE(K4385,2)</f>
        <v>82</v>
      </c>
      <c r="K4387" s="6" t="e">
        <v>#VALUE!</v>
      </c>
      <c r="L4387" s="6" t="e">
        <v>#VALUE!</v>
      </c>
      <c r="M4387" s="6" t="e">
        <v>#VALUE!</v>
      </c>
      <c r="N4387" s="6" t="e">
        <v>#VALUE!</v>
      </c>
      <c r="O4387" s="6" t="e">
        <v>#VALUE!</v>
      </c>
      <c r="P4387" s="6" t="e">
        <v>#VALUE!</v>
      </c>
      <c r="Q4387" s="6" t="e">
        <v>#VALUE!</v>
      </c>
      <c r="T4387" s="9"/>
      <c r="U4387" s="1">
        <f t="shared" si="7757"/>
        <v>100</v>
      </c>
      <c r="V4387" s="1">
        <f t="shared" si="7758"/>
        <v>230</v>
      </c>
    </row>
    <row r="4388" spans="1:22" x14ac:dyDescent="0.3">
      <c r="A4388" s="1">
        <f t="shared" si="7701"/>
        <v>100231</v>
      </c>
      <c r="J4388" s="24" t="str">
        <f t="shared" ref="J4388" si="7765">CONCATENATE(K4385,3)</f>
        <v>83</v>
      </c>
      <c r="K4388" s="6" t="e">
        <v>#VALUE!</v>
      </c>
      <c r="L4388" s="6" t="e">
        <v>#VALUE!</v>
      </c>
      <c r="M4388" s="6" t="e">
        <v>#VALUE!</v>
      </c>
      <c r="N4388" s="6" t="e">
        <v>#VALUE!</v>
      </c>
      <c r="O4388" s="6" t="e">
        <v>#VALUE!</v>
      </c>
      <c r="P4388" s="6" t="e">
        <v>#VALUE!</v>
      </c>
      <c r="Q4388" s="6" t="e">
        <v>#VALUE!</v>
      </c>
      <c r="T4388" s="9"/>
      <c r="U4388" s="1">
        <f t="shared" si="7757"/>
        <v>100</v>
      </c>
      <c r="V4388" s="1">
        <f t="shared" si="7758"/>
        <v>231</v>
      </c>
    </row>
    <row r="4389" spans="1:22" ht="15" customHeight="1" x14ac:dyDescent="0.3">
      <c r="A4389" s="1">
        <f t="shared" si="7701"/>
        <v>100232</v>
      </c>
      <c r="B4389" s="10" t="s">
        <v>34</v>
      </c>
      <c r="C4389" s="10" t="s">
        <v>35</v>
      </c>
      <c r="D4389" s="10" t="s">
        <v>36</v>
      </c>
      <c r="E4389" s="74" t="s">
        <v>37</v>
      </c>
      <c r="F4389" s="75"/>
      <c r="G4389" s="76"/>
      <c r="K4389" s="1">
        <v>9</v>
      </c>
      <c r="L4389" s="1">
        <v>9</v>
      </c>
      <c r="M4389" s="1">
        <v>9</v>
      </c>
      <c r="N4389" s="1">
        <v>9</v>
      </c>
      <c r="O4389" s="1">
        <v>9</v>
      </c>
      <c r="P4389" s="1">
        <v>9</v>
      </c>
      <c r="Q4389" s="1">
        <v>9</v>
      </c>
      <c r="R4389" s="1">
        <v>9</v>
      </c>
      <c r="T4389" s="9"/>
      <c r="U4389" s="1">
        <f t="shared" si="7757"/>
        <v>100</v>
      </c>
      <c r="V4389" s="1">
        <f t="shared" si="7758"/>
        <v>232</v>
      </c>
    </row>
    <row r="4390" spans="1:22" x14ac:dyDescent="0.3">
      <c r="A4390" s="1">
        <f t="shared" si="7701"/>
        <v>100233</v>
      </c>
      <c r="B4390" s="12">
        <f t="shared" ref="B4390:B4399" si="7766">C4374-B4374</f>
        <v>0</v>
      </c>
      <c r="C4390" s="13">
        <f t="shared" ref="C4390:C4399" si="7767">H4374-G4374</f>
        <v>0</v>
      </c>
      <c r="D4390" s="10">
        <f t="shared" ref="D4390:D4399" si="7768">C4390-B4390</f>
        <v>0</v>
      </c>
      <c r="E4390" s="11" t="str">
        <f t="shared" ref="E4390" si="7769">IF(D4365="","",MAX(F4390,G4390))</f>
        <v/>
      </c>
      <c r="F4390" s="10">
        <f t="shared" ref="F4390" si="7770">ABS(MIN(D4390:D4399))</f>
        <v>0</v>
      </c>
      <c r="G4390" s="10">
        <f t="shared" ref="G4390" si="7771">ABS(MAX(D4390:D4399))</f>
        <v>0</v>
      </c>
      <c r="J4390" s="24" t="str">
        <f t="shared" ref="J4390" si="7772">CONCATENATE(K4389,1)</f>
        <v>91</v>
      </c>
      <c r="K4390" s="6" t="e">
        <f t="array" ref="K4390:R4392">LINEST(B4374:B4382,C4374:C4382^{1,2,3,4,5,6,7},TRUE,TRUE)</f>
        <v>#VALUE!</v>
      </c>
      <c r="L4390" s="6" t="e">
        <v>#VALUE!</v>
      </c>
      <c r="M4390" s="6" t="e">
        <v>#VALUE!</v>
      </c>
      <c r="N4390" s="6" t="e">
        <v>#VALUE!</v>
      </c>
      <c r="O4390" s="6" t="e">
        <v>#VALUE!</v>
      </c>
      <c r="P4390" s="6" t="e">
        <v>#VALUE!</v>
      </c>
      <c r="Q4390" s="6" t="e">
        <v>#VALUE!</v>
      </c>
      <c r="R4390" s="6" t="e">
        <v>#VALUE!</v>
      </c>
      <c r="T4390" s="9"/>
      <c r="U4390" s="1">
        <f t="shared" si="7757"/>
        <v>100</v>
      </c>
      <c r="V4390" s="1">
        <f t="shared" si="7758"/>
        <v>233</v>
      </c>
    </row>
    <row r="4391" spans="1:22" x14ac:dyDescent="0.3">
      <c r="A4391" s="1">
        <f t="shared" si="7701"/>
        <v>100234</v>
      </c>
      <c r="B4391" s="12">
        <f t="shared" si="7766"/>
        <v>0</v>
      </c>
      <c r="C4391" s="13">
        <f t="shared" si="7767"/>
        <v>0</v>
      </c>
      <c r="D4391" s="10">
        <f t="shared" si="7768"/>
        <v>0</v>
      </c>
      <c r="E4391" s="74" t="s">
        <v>38</v>
      </c>
      <c r="F4391" s="75"/>
      <c r="G4391" s="76"/>
      <c r="J4391" s="24" t="str">
        <f t="shared" ref="J4391" si="7773">CONCATENATE(K4389,2)</f>
        <v>92</v>
      </c>
      <c r="K4391" s="6" t="e">
        <v>#VALUE!</v>
      </c>
      <c r="L4391" s="6" t="e">
        <v>#VALUE!</v>
      </c>
      <c r="M4391" s="6" t="e">
        <v>#VALUE!</v>
      </c>
      <c r="N4391" s="6" t="e">
        <v>#VALUE!</v>
      </c>
      <c r="O4391" s="6" t="e">
        <v>#VALUE!</v>
      </c>
      <c r="P4391" s="6" t="e">
        <v>#VALUE!</v>
      </c>
      <c r="Q4391" s="6" t="e">
        <v>#VALUE!</v>
      </c>
      <c r="R4391" s="6" t="e">
        <v>#VALUE!</v>
      </c>
      <c r="T4391" s="9"/>
      <c r="U4391" s="1">
        <f t="shared" si="7757"/>
        <v>100</v>
      </c>
      <c r="V4391" s="1">
        <f t="shared" si="7758"/>
        <v>234</v>
      </c>
    </row>
    <row r="4392" spans="1:22" x14ac:dyDescent="0.3">
      <c r="A4392" s="1">
        <f t="shared" si="7701"/>
        <v>100235</v>
      </c>
      <c r="B4392" s="12">
        <f t="shared" si="7766"/>
        <v>0</v>
      </c>
      <c r="C4392" s="13">
        <f t="shared" si="7767"/>
        <v>0</v>
      </c>
      <c r="D4392" s="10">
        <f t="shared" si="7768"/>
        <v>0</v>
      </c>
      <c r="E4392" s="11" t="str">
        <f t="shared" ref="E4392" si="7774">IF(D4365="","",MAX(F4392,G4392))</f>
        <v/>
      </c>
      <c r="F4392" s="10">
        <f t="shared" ref="F4392" si="7775">ABS(MIN(B4390:B4399))</f>
        <v>0</v>
      </c>
      <c r="G4392" s="10">
        <f t="shared" ref="G4392" si="7776">ABS(MAX(B4390:B4399))</f>
        <v>0</v>
      </c>
      <c r="J4392" s="24" t="str">
        <f t="shared" ref="J4392" si="7777">CONCATENATE(K4389,3)</f>
        <v>93</v>
      </c>
      <c r="K4392" s="6" t="e">
        <v>#VALUE!</v>
      </c>
      <c r="L4392" s="6" t="e">
        <v>#VALUE!</v>
      </c>
      <c r="M4392" s="6" t="e">
        <v>#VALUE!</v>
      </c>
      <c r="N4392" s="6" t="e">
        <v>#VALUE!</v>
      </c>
      <c r="O4392" s="6" t="e">
        <v>#VALUE!</v>
      </c>
      <c r="P4392" s="6" t="e">
        <v>#VALUE!</v>
      </c>
      <c r="Q4392" s="6" t="e">
        <v>#VALUE!</v>
      </c>
      <c r="R4392" s="6" t="e">
        <v>#VALUE!</v>
      </c>
      <c r="T4392" s="9"/>
      <c r="U4392" s="1">
        <f t="shared" si="7757"/>
        <v>100</v>
      </c>
      <c r="V4392" s="1">
        <f t="shared" si="7758"/>
        <v>235</v>
      </c>
    </row>
    <row r="4393" spans="1:22" x14ac:dyDescent="0.3">
      <c r="A4393" s="1">
        <f t="shared" si="7701"/>
        <v>100236</v>
      </c>
      <c r="B4393" s="12">
        <f t="shared" si="7766"/>
        <v>0</v>
      </c>
      <c r="C4393" s="13">
        <f t="shared" si="7767"/>
        <v>0</v>
      </c>
      <c r="D4393" s="10">
        <f t="shared" si="7768"/>
        <v>0</v>
      </c>
      <c r="E4393" s="74" t="s">
        <v>39</v>
      </c>
      <c r="F4393" s="75"/>
      <c r="G4393" s="76"/>
      <c r="K4393" s="1">
        <v>10</v>
      </c>
      <c r="L4393" s="1">
        <v>10</v>
      </c>
      <c r="M4393" s="1">
        <v>10</v>
      </c>
      <c r="N4393" s="1">
        <v>10</v>
      </c>
      <c r="O4393" s="1">
        <v>10</v>
      </c>
      <c r="P4393" s="1">
        <v>10</v>
      </c>
      <c r="Q4393" s="1">
        <v>10</v>
      </c>
      <c r="R4393" s="1">
        <v>10</v>
      </c>
      <c r="S4393" s="1">
        <v>10</v>
      </c>
      <c r="T4393" s="9"/>
      <c r="U4393" s="1">
        <f t="shared" si="7757"/>
        <v>100</v>
      </c>
      <c r="V4393" s="1">
        <f t="shared" si="7758"/>
        <v>236</v>
      </c>
    </row>
    <row r="4394" spans="1:22" x14ac:dyDescent="0.3">
      <c r="A4394" s="1">
        <f t="shared" si="7701"/>
        <v>100237</v>
      </c>
      <c r="B4394" s="12">
        <f t="shared" si="7766"/>
        <v>0</v>
      </c>
      <c r="C4394" s="13">
        <f t="shared" si="7767"/>
        <v>0</v>
      </c>
      <c r="D4394" s="10">
        <f t="shared" si="7768"/>
        <v>0</v>
      </c>
      <c r="E4394" s="11" t="str">
        <f t="shared" ref="E4394" si="7778">IF(D4365="","",MAX(F4394,G4394))</f>
        <v/>
      </c>
      <c r="F4394" s="10">
        <f t="shared" ref="F4394" si="7779">ABS(MIN(D4374:D4383))</f>
        <v>0</v>
      </c>
      <c r="G4394" s="10">
        <f t="shared" ref="G4394" si="7780">ABS(MAX(D4374:D4383))</f>
        <v>0</v>
      </c>
      <c r="J4394" s="24" t="str">
        <f t="shared" ref="J4394" si="7781">CONCATENATE(K4393,1)</f>
        <v>101</v>
      </c>
      <c r="K4394" s="6" t="e">
        <f t="array" ref="K4394:S4396">LINEST(B4374:B4383,C4374:C4383^{1,2,3,4,5,6,7,8},TRUE,TRUE)</f>
        <v>#VALUE!</v>
      </c>
      <c r="L4394" s="6" t="e">
        <v>#VALUE!</v>
      </c>
      <c r="M4394" s="6" t="e">
        <v>#VALUE!</v>
      </c>
      <c r="N4394" s="6" t="e">
        <v>#VALUE!</v>
      </c>
      <c r="O4394" s="6" t="e">
        <v>#VALUE!</v>
      </c>
      <c r="P4394" s="6" t="e">
        <v>#VALUE!</v>
      </c>
      <c r="Q4394" s="6" t="e">
        <v>#VALUE!</v>
      </c>
      <c r="R4394" s="6" t="e">
        <v>#VALUE!</v>
      </c>
      <c r="S4394" s="6" t="e">
        <v>#VALUE!</v>
      </c>
      <c r="T4394" s="9"/>
      <c r="U4394" s="1">
        <f t="shared" si="7757"/>
        <v>100</v>
      </c>
      <c r="V4394" s="1">
        <f t="shared" si="7758"/>
        <v>237</v>
      </c>
    </row>
    <row r="4395" spans="1:22" x14ac:dyDescent="0.3">
      <c r="A4395" s="1">
        <f t="shared" si="7701"/>
        <v>100238</v>
      </c>
      <c r="B4395" s="12">
        <f t="shared" si="7766"/>
        <v>0</v>
      </c>
      <c r="C4395" s="13">
        <f t="shared" si="7767"/>
        <v>0</v>
      </c>
      <c r="D4395" s="10">
        <f t="shared" si="7768"/>
        <v>0</v>
      </c>
      <c r="J4395" s="24" t="str">
        <f t="shared" ref="J4395" si="7782">CONCATENATE(K4393,2)</f>
        <v>102</v>
      </c>
      <c r="K4395" s="6" t="e">
        <v>#VALUE!</v>
      </c>
      <c r="L4395" s="6" t="e">
        <v>#VALUE!</v>
      </c>
      <c r="M4395" s="6" t="e">
        <v>#VALUE!</v>
      </c>
      <c r="N4395" s="6" t="e">
        <v>#VALUE!</v>
      </c>
      <c r="O4395" s="6" t="e">
        <v>#VALUE!</v>
      </c>
      <c r="P4395" s="6" t="e">
        <v>#VALUE!</v>
      </c>
      <c r="Q4395" s="6" t="e">
        <v>#VALUE!</v>
      </c>
      <c r="R4395" s="6" t="e">
        <v>#VALUE!</v>
      </c>
      <c r="S4395" s="6" t="e">
        <v>#VALUE!</v>
      </c>
      <c r="T4395" s="9"/>
      <c r="U4395" s="1">
        <f t="shared" si="7757"/>
        <v>100</v>
      </c>
      <c r="V4395" s="1">
        <f t="shared" si="7758"/>
        <v>238</v>
      </c>
    </row>
    <row r="4396" spans="1:22" x14ac:dyDescent="0.3">
      <c r="A4396" s="1">
        <f t="shared" si="7701"/>
        <v>100239</v>
      </c>
      <c r="B4396" s="12">
        <f t="shared" si="7766"/>
        <v>0</v>
      </c>
      <c r="C4396" s="13">
        <f t="shared" si="7767"/>
        <v>0</v>
      </c>
      <c r="D4396" s="10">
        <f t="shared" si="7768"/>
        <v>0</v>
      </c>
      <c r="J4396" s="24" t="str">
        <f t="shared" ref="J4396" si="7783">CONCATENATE(K4393,3)</f>
        <v>103</v>
      </c>
      <c r="K4396" s="6" t="e">
        <v>#VALUE!</v>
      </c>
      <c r="L4396" s="6" t="e">
        <v>#VALUE!</v>
      </c>
      <c r="M4396" s="6" t="e">
        <v>#VALUE!</v>
      </c>
      <c r="N4396" s="6" t="e">
        <v>#VALUE!</v>
      </c>
      <c r="O4396" s="6" t="e">
        <v>#VALUE!</v>
      </c>
      <c r="P4396" s="6" t="e">
        <v>#VALUE!</v>
      </c>
      <c r="Q4396" s="6" t="e">
        <v>#VALUE!</v>
      </c>
      <c r="R4396" s="6" t="e">
        <v>#VALUE!</v>
      </c>
      <c r="S4396" s="6" t="e">
        <v>#VALUE!</v>
      </c>
      <c r="T4396" s="9"/>
      <c r="U4396" s="1">
        <f t="shared" si="7757"/>
        <v>100</v>
      </c>
      <c r="V4396" s="1">
        <f t="shared" si="7758"/>
        <v>239</v>
      </c>
    </row>
    <row r="4397" spans="1:22" x14ac:dyDescent="0.3">
      <c r="A4397" s="1">
        <f t="shared" si="7701"/>
        <v>100240</v>
      </c>
      <c r="B4397" s="12">
        <f t="shared" si="7766"/>
        <v>0</v>
      </c>
      <c r="C4397" s="13">
        <f t="shared" si="7767"/>
        <v>0</v>
      </c>
      <c r="D4397" s="10">
        <f t="shared" si="7768"/>
        <v>0</v>
      </c>
      <c r="J4397" s="9"/>
      <c r="K4397" s="9"/>
      <c r="L4397" s="9"/>
      <c r="M4397" s="9"/>
      <c r="N4397" s="9"/>
      <c r="O4397" s="9"/>
      <c r="P4397" s="9"/>
      <c r="Q4397" s="9"/>
      <c r="R4397" s="9"/>
      <c r="S4397" s="9"/>
      <c r="T4397" s="9"/>
      <c r="U4397" s="1">
        <f t="shared" si="7757"/>
        <v>100</v>
      </c>
      <c r="V4397" s="1">
        <f t="shared" si="7758"/>
        <v>240</v>
      </c>
    </row>
    <row r="4398" spans="1:22" x14ac:dyDescent="0.3">
      <c r="A4398" s="1">
        <f t="shared" si="7701"/>
        <v>100241</v>
      </c>
      <c r="B4398" s="12">
        <f t="shared" si="7766"/>
        <v>0</v>
      </c>
      <c r="C4398" s="13">
        <f t="shared" si="7767"/>
        <v>0</v>
      </c>
      <c r="D4398" s="10">
        <f t="shared" si="7768"/>
        <v>0</v>
      </c>
      <c r="J4398" s="9"/>
      <c r="K4398" s="9"/>
      <c r="L4398" s="9"/>
      <c r="M4398" s="9"/>
      <c r="N4398" s="9"/>
      <c r="O4398" s="9"/>
      <c r="P4398" s="9"/>
      <c r="Q4398" s="9"/>
      <c r="R4398" s="9"/>
      <c r="S4398" s="9"/>
      <c r="T4398" s="9"/>
      <c r="U4398" s="1">
        <f t="shared" si="7757"/>
        <v>100</v>
      </c>
      <c r="V4398" s="1">
        <f t="shared" si="7758"/>
        <v>241</v>
      </c>
    </row>
    <row r="4399" spans="1:22" x14ac:dyDescent="0.3">
      <c r="A4399" s="1">
        <f t="shared" si="7701"/>
        <v>100242</v>
      </c>
      <c r="B4399" s="12">
        <f t="shared" si="7766"/>
        <v>0</v>
      </c>
      <c r="C4399" s="13">
        <f t="shared" si="7767"/>
        <v>0</v>
      </c>
      <c r="D4399" s="10">
        <f t="shared" si="7768"/>
        <v>0</v>
      </c>
      <c r="J4399" s="9"/>
      <c r="K4399" s="9"/>
      <c r="L4399" s="9"/>
      <c r="M4399" s="9"/>
      <c r="N4399" s="9"/>
      <c r="O4399" s="9"/>
      <c r="P4399" s="9"/>
      <c r="Q4399" s="9"/>
      <c r="R4399" s="9"/>
      <c r="S4399" s="9"/>
      <c r="T4399" s="9"/>
      <c r="U4399" s="1">
        <f t="shared" si="7757"/>
        <v>100</v>
      </c>
      <c r="V4399" s="1">
        <f t="shared" si="7758"/>
        <v>242</v>
      </c>
    </row>
    <row r="4400" spans="1:22" x14ac:dyDescent="0.3">
      <c r="A4400" s="1">
        <f t="shared" si="7701"/>
        <v>100243</v>
      </c>
      <c r="J4400" s="9"/>
      <c r="K4400" s="9"/>
      <c r="L4400" s="9"/>
      <c r="M4400" s="9"/>
      <c r="N4400" s="9"/>
      <c r="O4400" s="9"/>
      <c r="P4400" s="9"/>
      <c r="Q4400" s="9"/>
      <c r="R4400" s="9"/>
      <c r="S4400" s="9"/>
      <c r="T4400" s="9"/>
      <c r="U4400" s="1">
        <f t="shared" si="7757"/>
        <v>100</v>
      </c>
      <c r="V4400" s="1">
        <f t="shared" si="7758"/>
        <v>243</v>
      </c>
    </row>
    <row r="4401" s="5" customFormat="1" x14ac:dyDescent="0.3"/>
  </sheetData>
  <sheetProtection algorithmName="SHA-512" hashValue="gRNMGzE/8snkNUNXhCer5mKt2NDmga8yMgNY5wOlzmPvxttdK9KO0Be3RhmwOekEdPdFUGBiv9J6o5o+So9khg==" saltValue="HPCssKVrDqvkMag14BMCaA==" spinCount="100000" sheet="1" objects="1" scenarios="1"/>
  <mergeCells count="2800">
    <mergeCell ref="E4347:G4347"/>
    <mergeCell ref="E4349:G4349"/>
    <mergeCell ref="E3905:G3905"/>
    <mergeCell ref="E3907:G3907"/>
    <mergeCell ref="E3909:G3909"/>
    <mergeCell ref="B4314:C4314"/>
    <mergeCell ref="D4314:H4314"/>
    <mergeCell ref="B4315:C4315"/>
    <mergeCell ref="F4315:H4315"/>
    <mergeCell ref="B4316:C4316"/>
    <mergeCell ref="D4316:H4316"/>
    <mergeCell ref="B4317:C4317"/>
    <mergeCell ref="D4317:H4317"/>
    <mergeCell ref="B4318:C4318"/>
    <mergeCell ref="D4318:H4318"/>
    <mergeCell ref="B4319:C4319"/>
    <mergeCell ref="D4319:H4319"/>
    <mergeCell ref="B4320:C4320"/>
    <mergeCell ref="D4320:H4320"/>
    <mergeCell ref="B4062:D4062"/>
    <mergeCell ref="E4062:F4062"/>
    <mergeCell ref="B4058:C4058"/>
    <mergeCell ref="E4058:G4058"/>
    <mergeCell ref="B4059:C4059"/>
    <mergeCell ref="B4061:F4061"/>
    <mergeCell ref="G4061:H4061"/>
    <mergeCell ref="B4055:C4055"/>
    <mergeCell ref="D4055:H4055"/>
    <mergeCell ref="B4056:C4056"/>
    <mergeCell ref="D4056:H4056"/>
    <mergeCell ref="B4057:C4057"/>
    <mergeCell ref="D4057:H4057"/>
    <mergeCell ref="B3878:C3878"/>
    <mergeCell ref="D3878:H3878"/>
    <mergeCell ref="B3879:C3879"/>
    <mergeCell ref="D3879:H3879"/>
    <mergeCell ref="B3880:C3880"/>
    <mergeCell ref="D3880:H3880"/>
    <mergeCell ref="B3881:C3881"/>
    <mergeCell ref="D3881:H3881"/>
    <mergeCell ref="B3882:C3882"/>
    <mergeCell ref="E3882:G3882"/>
    <mergeCell ref="B3883:C3883"/>
    <mergeCell ref="B3885:F3885"/>
    <mergeCell ref="G3885:H3885"/>
    <mergeCell ref="B3886:D3886"/>
    <mergeCell ref="E3886:F3886"/>
    <mergeCell ref="B3901:H3901"/>
    <mergeCell ref="B3902:H3903"/>
    <mergeCell ref="B3841:F3841"/>
    <mergeCell ref="G3841:H3841"/>
    <mergeCell ref="B3842:D3842"/>
    <mergeCell ref="E3842:F3842"/>
    <mergeCell ref="B3857:H3857"/>
    <mergeCell ref="B3858:H3859"/>
    <mergeCell ref="E3861:G3861"/>
    <mergeCell ref="E3863:G3863"/>
    <mergeCell ref="E3865:G3865"/>
    <mergeCell ref="B3874:C3874"/>
    <mergeCell ref="D3874:H3874"/>
    <mergeCell ref="B3875:C3875"/>
    <mergeCell ref="F3875:H3875"/>
    <mergeCell ref="B3876:C3876"/>
    <mergeCell ref="D3876:H3876"/>
    <mergeCell ref="B3877:C3877"/>
    <mergeCell ref="D3877:H3877"/>
    <mergeCell ref="B3831:C3831"/>
    <mergeCell ref="F3831:H3831"/>
    <mergeCell ref="B3832:C3832"/>
    <mergeCell ref="D3832:H3832"/>
    <mergeCell ref="B3833:C3833"/>
    <mergeCell ref="D3833:H3833"/>
    <mergeCell ref="B3834:C3834"/>
    <mergeCell ref="D3834:H3834"/>
    <mergeCell ref="B3835:C3835"/>
    <mergeCell ref="D3835:H3835"/>
    <mergeCell ref="B3836:C3836"/>
    <mergeCell ref="D3836:H3836"/>
    <mergeCell ref="B3837:C3837"/>
    <mergeCell ref="D3837:H3837"/>
    <mergeCell ref="B3838:C3838"/>
    <mergeCell ref="E3838:G3838"/>
    <mergeCell ref="B3839:C3839"/>
    <mergeCell ref="B3792:C3792"/>
    <mergeCell ref="D3792:H3792"/>
    <mergeCell ref="B3793:C3793"/>
    <mergeCell ref="D3793:H3793"/>
    <mergeCell ref="B3794:C3794"/>
    <mergeCell ref="E3794:G3794"/>
    <mergeCell ref="B3795:C3795"/>
    <mergeCell ref="B3797:F3797"/>
    <mergeCell ref="G3797:H3797"/>
    <mergeCell ref="B3798:D3798"/>
    <mergeCell ref="E3798:F3798"/>
    <mergeCell ref="B3813:H3813"/>
    <mergeCell ref="B3814:H3815"/>
    <mergeCell ref="E3817:G3817"/>
    <mergeCell ref="E3819:G3819"/>
    <mergeCell ref="E3821:G3821"/>
    <mergeCell ref="B3830:C3830"/>
    <mergeCell ref="D3830:H3830"/>
    <mergeCell ref="B3769:H3769"/>
    <mergeCell ref="B3770:H3771"/>
    <mergeCell ref="E3773:G3773"/>
    <mergeCell ref="E3775:G3775"/>
    <mergeCell ref="E3777:G3777"/>
    <mergeCell ref="B3786:C3786"/>
    <mergeCell ref="D3786:H3786"/>
    <mergeCell ref="B3787:C3787"/>
    <mergeCell ref="F3787:H3787"/>
    <mergeCell ref="B3788:C3788"/>
    <mergeCell ref="D3788:H3788"/>
    <mergeCell ref="B3789:C3789"/>
    <mergeCell ref="D3789:H3789"/>
    <mergeCell ref="B3790:C3790"/>
    <mergeCell ref="D3790:H3790"/>
    <mergeCell ref="B3791:C3791"/>
    <mergeCell ref="D3791:H3791"/>
    <mergeCell ref="B3745:C3745"/>
    <mergeCell ref="D3745:H3745"/>
    <mergeCell ref="B3746:C3746"/>
    <mergeCell ref="D3746:H3746"/>
    <mergeCell ref="B3747:C3747"/>
    <mergeCell ref="D3747:H3747"/>
    <mergeCell ref="B3748:C3748"/>
    <mergeCell ref="D3748:H3748"/>
    <mergeCell ref="B3749:C3749"/>
    <mergeCell ref="D3749:H3749"/>
    <mergeCell ref="B3750:C3750"/>
    <mergeCell ref="E3750:G3750"/>
    <mergeCell ref="B3751:C3751"/>
    <mergeCell ref="B3753:F3753"/>
    <mergeCell ref="G3753:H3753"/>
    <mergeCell ref="B3754:D3754"/>
    <mergeCell ref="E3754:F3754"/>
    <mergeCell ref="B3706:C3706"/>
    <mergeCell ref="E3706:G3706"/>
    <mergeCell ref="B3707:C3707"/>
    <mergeCell ref="B3709:F3709"/>
    <mergeCell ref="G3709:H3709"/>
    <mergeCell ref="B3710:D3710"/>
    <mergeCell ref="E3710:F3710"/>
    <mergeCell ref="B3725:H3725"/>
    <mergeCell ref="B3726:H3727"/>
    <mergeCell ref="E3729:G3729"/>
    <mergeCell ref="E3731:G3731"/>
    <mergeCell ref="E3733:G3733"/>
    <mergeCell ref="B3742:C3742"/>
    <mergeCell ref="D3742:H3742"/>
    <mergeCell ref="B3743:C3743"/>
    <mergeCell ref="F3743:H3743"/>
    <mergeCell ref="B3744:C3744"/>
    <mergeCell ref="D3744:H3744"/>
    <mergeCell ref="E3689:G3689"/>
    <mergeCell ref="B3698:C3698"/>
    <mergeCell ref="D3698:H3698"/>
    <mergeCell ref="B3699:C3699"/>
    <mergeCell ref="F3699:H3699"/>
    <mergeCell ref="B3700:C3700"/>
    <mergeCell ref="D3700:H3700"/>
    <mergeCell ref="B3701:C3701"/>
    <mergeCell ref="D3701:H3701"/>
    <mergeCell ref="B3702:C3702"/>
    <mergeCell ref="D3702:H3702"/>
    <mergeCell ref="B3703:C3703"/>
    <mergeCell ref="D3703:H3703"/>
    <mergeCell ref="B3704:C3704"/>
    <mergeCell ref="D3704:H3704"/>
    <mergeCell ref="B3705:C3705"/>
    <mergeCell ref="D3705:H3705"/>
    <mergeCell ref="B3659:C3659"/>
    <mergeCell ref="D3659:H3659"/>
    <mergeCell ref="B3660:C3660"/>
    <mergeCell ref="D3660:H3660"/>
    <mergeCell ref="B3661:C3661"/>
    <mergeCell ref="D3661:H3661"/>
    <mergeCell ref="B3662:C3662"/>
    <mergeCell ref="E3662:G3662"/>
    <mergeCell ref="B3663:C3663"/>
    <mergeCell ref="B3665:F3665"/>
    <mergeCell ref="G3665:H3665"/>
    <mergeCell ref="B3666:D3666"/>
    <mergeCell ref="E3666:F3666"/>
    <mergeCell ref="B3681:H3681"/>
    <mergeCell ref="B3682:H3683"/>
    <mergeCell ref="E3685:G3685"/>
    <mergeCell ref="E3687:G3687"/>
    <mergeCell ref="B3622:D3622"/>
    <mergeCell ref="E3622:F3622"/>
    <mergeCell ref="B3637:H3637"/>
    <mergeCell ref="B3638:H3639"/>
    <mergeCell ref="E3641:G3641"/>
    <mergeCell ref="E3643:G3643"/>
    <mergeCell ref="E3645:G3645"/>
    <mergeCell ref="B3654:C3654"/>
    <mergeCell ref="D3654:H3654"/>
    <mergeCell ref="B3655:C3655"/>
    <mergeCell ref="F3655:H3655"/>
    <mergeCell ref="B3656:C3656"/>
    <mergeCell ref="D3656:H3656"/>
    <mergeCell ref="B3657:C3657"/>
    <mergeCell ref="D3657:H3657"/>
    <mergeCell ref="B3658:C3658"/>
    <mergeCell ref="D3658:H3658"/>
    <mergeCell ref="B3612:C3612"/>
    <mergeCell ref="D3612:H3612"/>
    <mergeCell ref="B3613:C3613"/>
    <mergeCell ref="D3613:H3613"/>
    <mergeCell ref="B3614:C3614"/>
    <mergeCell ref="D3614:H3614"/>
    <mergeCell ref="B3615:C3615"/>
    <mergeCell ref="D3615:H3615"/>
    <mergeCell ref="B3616:C3616"/>
    <mergeCell ref="D3616:H3616"/>
    <mergeCell ref="B3617:C3617"/>
    <mergeCell ref="D3617:H3617"/>
    <mergeCell ref="B3618:C3618"/>
    <mergeCell ref="E3618:G3618"/>
    <mergeCell ref="B3619:C3619"/>
    <mergeCell ref="B3621:F3621"/>
    <mergeCell ref="G3621:H3621"/>
    <mergeCell ref="B3573:C3573"/>
    <mergeCell ref="D3573:H3573"/>
    <mergeCell ref="B3574:C3574"/>
    <mergeCell ref="E3574:G3574"/>
    <mergeCell ref="B3575:C3575"/>
    <mergeCell ref="B3577:F3577"/>
    <mergeCell ref="G3577:H3577"/>
    <mergeCell ref="B3578:D3578"/>
    <mergeCell ref="E3578:F3578"/>
    <mergeCell ref="B3593:H3593"/>
    <mergeCell ref="B3594:H3595"/>
    <mergeCell ref="E3597:G3597"/>
    <mergeCell ref="E3599:G3599"/>
    <mergeCell ref="E3601:G3601"/>
    <mergeCell ref="B3610:C3610"/>
    <mergeCell ref="D3610:H3610"/>
    <mergeCell ref="B3611:C3611"/>
    <mergeCell ref="F3611:H3611"/>
    <mergeCell ref="E3553:G3553"/>
    <mergeCell ref="E3555:G3555"/>
    <mergeCell ref="E3557:G3557"/>
    <mergeCell ref="B3566:C3566"/>
    <mergeCell ref="D3566:H3566"/>
    <mergeCell ref="B3567:C3567"/>
    <mergeCell ref="F3567:H3567"/>
    <mergeCell ref="B3568:C3568"/>
    <mergeCell ref="D3568:H3568"/>
    <mergeCell ref="B3569:C3569"/>
    <mergeCell ref="D3569:H3569"/>
    <mergeCell ref="B3570:C3570"/>
    <mergeCell ref="D3570:H3570"/>
    <mergeCell ref="B3571:C3571"/>
    <mergeCell ref="D3571:H3571"/>
    <mergeCell ref="B3572:C3572"/>
    <mergeCell ref="D3572:H3572"/>
    <mergeCell ref="B3526:C3526"/>
    <mergeCell ref="D3526:H3526"/>
    <mergeCell ref="B3527:C3527"/>
    <mergeCell ref="D3527:H3527"/>
    <mergeCell ref="B3528:C3528"/>
    <mergeCell ref="D3528:H3528"/>
    <mergeCell ref="B3529:C3529"/>
    <mergeCell ref="D3529:H3529"/>
    <mergeCell ref="B3530:C3530"/>
    <mergeCell ref="E3530:G3530"/>
    <mergeCell ref="B3531:C3531"/>
    <mergeCell ref="B3533:F3533"/>
    <mergeCell ref="G3533:H3533"/>
    <mergeCell ref="B3534:D3534"/>
    <mergeCell ref="E3534:F3534"/>
    <mergeCell ref="B3549:H3549"/>
    <mergeCell ref="B3550:H3551"/>
    <mergeCell ref="B3489:F3489"/>
    <mergeCell ref="G3489:H3489"/>
    <mergeCell ref="B3490:D3490"/>
    <mergeCell ref="E3490:F3490"/>
    <mergeCell ref="B3505:H3505"/>
    <mergeCell ref="B3506:H3507"/>
    <mergeCell ref="E3509:G3509"/>
    <mergeCell ref="E3511:G3511"/>
    <mergeCell ref="E3513:G3513"/>
    <mergeCell ref="B3522:C3522"/>
    <mergeCell ref="D3522:H3522"/>
    <mergeCell ref="B3523:C3523"/>
    <mergeCell ref="F3523:H3523"/>
    <mergeCell ref="B3524:C3524"/>
    <mergeCell ref="D3524:H3524"/>
    <mergeCell ref="B3525:C3525"/>
    <mergeCell ref="D3525:H3525"/>
    <mergeCell ref="B2738:C2738"/>
    <mergeCell ref="E2738:G2738"/>
    <mergeCell ref="B2739:C2739"/>
    <mergeCell ref="B2741:F2741"/>
    <mergeCell ref="G2741:H2741"/>
    <mergeCell ref="B2742:D2742"/>
    <mergeCell ref="E2742:F2742"/>
    <mergeCell ref="B2757:H2757"/>
    <mergeCell ref="B2758:H2759"/>
    <mergeCell ref="E2761:G2761"/>
    <mergeCell ref="E2763:G2763"/>
    <mergeCell ref="E2765:G2765"/>
    <mergeCell ref="B3478:C3478"/>
    <mergeCell ref="D3478:H3478"/>
    <mergeCell ref="B3479:C3479"/>
    <mergeCell ref="F3479:H3479"/>
    <mergeCell ref="B3480:C3480"/>
    <mergeCell ref="D3480:H3480"/>
    <mergeCell ref="B3329:H3329"/>
    <mergeCell ref="B3330:H3331"/>
    <mergeCell ref="E3333:G3333"/>
    <mergeCell ref="E3335:G3335"/>
    <mergeCell ref="E3337:G3337"/>
    <mergeCell ref="B3309:C3309"/>
    <mergeCell ref="D3309:H3309"/>
    <mergeCell ref="B3310:C3310"/>
    <mergeCell ref="E3310:G3310"/>
    <mergeCell ref="B3311:C3311"/>
    <mergeCell ref="B3313:F3313"/>
    <mergeCell ref="G3313:H3313"/>
    <mergeCell ref="B3314:D3314"/>
    <mergeCell ref="E3314:F3314"/>
    <mergeCell ref="E2721:G2721"/>
    <mergeCell ref="B2730:C2730"/>
    <mergeCell ref="D2730:H2730"/>
    <mergeCell ref="B2731:C2731"/>
    <mergeCell ref="F2731:H2731"/>
    <mergeCell ref="B2732:C2732"/>
    <mergeCell ref="D2732:H2732"/>
    <mergeCell ref="B2733:C2733"/>
    <mergeCell ref="D2733:H2733"/>
    <mergeCell ref="B2734:C2734"/>
    <mergeCell ref="D2734:H2734"/>
    <mergeCell ref="B2735:C2735"/>
    <mergeCell ref="D2735:H2735"/>
    <mergeCell ref="B2736:C2736"/>
    <mergeCell ref="D2736:H2736"/>
    <mergeCell ref="B2737:C2737"/>
    <mergeCell ref="D2737:H2737"/>
    <mergeCell ref="B2691:C2691"/>
    <mergeCell ref="D2691:H2691"/>
    <mergeCell ref="B2692:C2692"/>
    <mergeCell ref="D2692:H2692"/>
    <mergeCell ref="B2693:C2693"/>
    <mergeCell ref="D2693:H2693"/>
    <mergeCell ref="B2694:C2694"/>
    <mergeCell ref="E2694:G2694"/>
    <mergeCell ref="B2695:C2695"/>
    <mergeCell ref="B2697:F2697"/>
    <mergeCell ref="G2697:H2697"/>
    <mergeCell ref="B2698:D2698"/>
    <mergeCell ref="E2698:F2698"/>
    <mergeCell ref="B2713:H2713"/>
    <mergeCell ref="B2714:H2715"/>
    <mergeCell ref="E2717:G2717"/>
    <mergeCell ref="E2719:G2719"/>
    <mergeCell ref="B2654:D2654"/>
    <mergeCell ref="E2654:F2654"/>
    <mergeCell ref="B2669:H2669"/>
    <mergeCell ref="B2670:H2671"/>
    <mergeCell ref="E2673:G2673"/>
    <mergeCell ref="E2675:G2675"/>
    <mergeCell ref="E2677:G2677"/>
    <mergeCell ref="B2686:C2686"/>
    <mergeCell ref="D2686:H2686"/>
    <mergeCell ref="B2687:C2687"/>
    <mergeCell ref="F2687:H2687"/>
    <mergeCell ref="B2688:C2688"/>
    <mergeCell ref="D2688:H2688"/>
    <mergeCell ref="B2689:C2689"/>
    <mergeCell ref="D2689:H2689"/>
    <mergeCell ref="B2690:C2690"/>
    <mergeCell ref="D2690:H2690"/>
    <mergeCell ref="B2644:C2644"/>
    <mergeCell ref="D2644:H2644"/>
    <mergeCell ref="B2645:C2645"/>
    <mergeCell ref="D2645:H2645"/>
    <mergeCell ref="B2646:C2646"/>
    <mergeCell ref="D2646:H2646"/>
    <mergeCell ref="B2647:C2647"/>
    <mergeCell ref="D2647:H2647"/>
    <mergeCell ref="B2648:C2648"/>
    <mergeCell ref="D2648:H2648"/>
    <mergeCell ref="B2649:C2649"/>
    <mergeCell ref="D2649:H2649"/>
    <mergeCell ref="B2650:C2650"/>
    <mergeCell ref="E2650:G2650"/>
    <mergeCell ref="B2651:C2651"/>
    <mergeCell ref="B2653:F2653"/>
    <mergeCell ref="G2653:H2653"/>
    <mergeCell ref="B2605:C2605"/>
    <mergeCell ref="D2605:H2605"/>
    <mergeCell ref="B2606:C2606"/>
    <mergeCell ref="E2606:G2606"/>
    <mergeCell ref="B2607:C2607"/>
    <mergeCell ref="B2609:F2609"/>
    <mergeCell ref="G2609:H2609"/>
    <mergeCell ref="B2610:D2610"/>
    <mergeCell ref="E2610:F2610"/>
    <mergeCell ref="B2625:H2625"/>
    <mergeCell ref="B2626:H2627"/>
    <mergeCell ref="E2629:G2629"/>
    <mergeCell ref="E2631:G2631"/>
    <mergeCell ref="E2633:G2633"/>
    <mergeCell ref="B2642:C2642"/>
    <mergeCell ref="D2642:H2642"/>
    <mergeCell ref="B2643:C2643"/>
    <mergeCell ref="F2643:H2643"/>
    <mergeCell ref="E2585:G2585"/>
    <mergeCell ref="E2587:G2587"/>
    <mergeCell ref="E2589:G2589"/>
    <mergeCell ref="B2598:C2598"/>
    <mergeCell ref="D2598:H2598"/>
    <mergeCell ref="B2599:C2599"/>
    <mergeCell ref="F2599:H2599"/>
    <mergeCell ref="B2600:C2600"/>
    <mergeCell ref="D2600:H2600"/>
    <mergeCell ref="B2601:C2601"/>
    <mergeCell ref="D2601:H2601"/>
    <mergeCell ref="B2602:C2602"/>
    <mergeCell ref="D2602:H2602"/>
    <mergeCell ref="B2603:C2603"/>
    <mergeCell ref="D2603:H2603"/>
    <mergeCell ref="B2604:C2604"/>
    <mergeCell ref="D2604:H2604"/>
    <mergeCell ref="B2558:C2558"/>
    <mergeCell ref="D2558:H2558"/>
    <mergeCell ref="B2559:C2559"/>
    <mergeCell ref="D2559:H2559"/>
    <mergeCell ref="B2560:C2560"/>
    <mergeCell ref="D2560:H2560"/>
    <mergeCell ref="B2561:C2561"/>
    <mergeCell ref="D2561:H2561"/>
    <mergeCell ref="B2562:C2562"/>
    <mergeCell ref="E2562:G2562"/>
    <mergeCell ref="B2563:C2563"/>
    <mergeCell ref="B2565:F2565"/>
    <mergeCell ref="G2565:H2565"/>
    <mergeCell ref="B2566:D2566"/>
    <mergeCell ref="E2566:F2566"/>
    <mergeCell ref="B2581:H2581"/>
    <mergeCell ref="B2582:H2583"/>
    <mergeCell ref="B2521:F2521"/>
    <mergeCell ref="G2521:H2521"/>
    <mergeCell ref="B2522:D2522"/>
    <mergeCell ref="E2522:F2522"/>
    <mergeCell ref="B2537:H2537"/>
    <mergeCell ref="B2538:H2539"/>
    <mergeCell ref="E2541:G2541"/>
    <mergeCell ref="E2543:G2543"/>
    <mergeCell ref="E2545:G2545"/>
    <mergeCell ref="B2554:C2554"/>
    <mergeCell ref="D2554:H2554"/>
    <mergeCell ref="B2555:C2555"/>
    <mergeCell ref="F2555:H2555"/>
    <mergeCell ref="B2556:C2556"/>
    <mergeCell ref="D2556:H2556"/>
    <mergeCell ref="B2557:C2557"/>
    <mergeCell ref="D2557:H2557"/>
    <mergeCell ref="B2511:C2511"/>
    <mergeCell ref="F2511:H2511"/>
    <mergeCell ref="B2512:C2512"/>
    <mergeCell ref="D2512:H2512"/>
    <mergeCell ref="B2513:C2513"/>
    <mergeCell ref="D2513:H2513"/>
    <mergeCell ref="B2514:C2514"/>
    <mergeCell ref="D2514:H2514"/>
    <mergeCell ref="B2515:C2515"/>
    <mergeCell ref="D2515:H2515"/>
    <mergeCell ref="B2516:C2516"/>
    <mergeCell ref="D2516:H2516"/>
    <mergeCell ref="B2517:C2517"/>
    <mergeCell ref="D2517:H2517"/>
    <mergeCell ref="B2518:C2518"/>
    <mergeCell ref="E2518:G2518"/>
    <mergeCell ref="B2519:C2519"/>
    <mergeCell ref="B2472:C2472"/>
    <mergeCell ref="D2472:H2472"/>
    <mergeCell ref="B2473:C2473"/>
    <mergeCell ref="D2473:H2473"/>
    <mergeCell ref="B2474:C2474"/>
    <mergeCell ref="E2474:G2474"/>
    <mergeCell ref="B2475:C2475"/>
    <mergeCell ref="B2477:F2477"/>
    <mergeCell ref="G2477:H2477"/>
    <mergeCell ref="B2478:D2478"/>
    <mergeCell ref="E2478:F2478"/>
    <mergeCell ref="B2493:H2493"/>
    <mergeCell ref="B2494:H2495"/>
    <mergeCell ref="E2497:G2497"/>
    <mergeCell ref="E2499:G2499"/>
    <mergeCell ref="E2501:G2501"/>
    <mergeCell ref="B2510:C2510"/>
    <mergeCell ref="D2510:H2510"/>
    <mergeCell ref="B2449:H2449"/>
    <mergeCell ref="B2450:H2451"/>
    <mergeCell ref="E2453:G2453"/>
    <mergeCell ref="E2455:G2455"/>
    <mergeCell ref="E2457:G2457"/>
    <mergeCell ref="B2466:C2466"/>
    <mergeCell ref="D2466:H2466"/>
    <mergeCell ref="B2467:C2467"/>
    <mergeCell ref="F2467:H2467"/>
    <mergeCell ref="B2468:C2468"/>
    <mergeCell ref="D2468:H2468"/>
    <mergeCell ref="B2469:C2469"/>
    <mergeCell ref="D2469:H2469"/>
    <mergeCell ref="B2470:C2470"/>
    <mergeCell ref="D2470:H2470"/>
    <mergeCell ref="B2471:C2471"/>
    <mergeCell ref="D2471:H2471"/>
    <mergeCell ref="B2425:C2425"/>
    <mergeCell ref="D2425:H2425"/>
    <mergeCell ref="B2426:C2426"/>
    <mergeCell ref="D2426:H2426"/>
    <mergeCell ref="B2427:C2427"/>
    <mergeCell ref="D2427:H2427"/>
    <mergeCell ref="B2428:C2428"/>
    <mergeCell ref="D2428:H2428"/>
    <mergeCell ref="B2429:C2429"/>
    <mergeCell ref="D2429:H2429"/>
    <mergeCell ref="B2430:C2430"/>
    <mergeCell ref="E2430:G2430"/>
    <mergeCell ref="B2431:C2431"/>
    <mergeCell ref="B2433:F2433"/>
    <mergeCell ref="G2433:H2433"/>
    <mergeCell ref="B2434:D2434"/>
    <mergeCell ref="E2434:F2434"/>
    <mergeCell ref="B2386:C2386"/>
    <mergeCell ref="E2386:G2386"/>
    <mergeCell ref="B2387:C2387"/>
    <mergeCell ref="B2389:F2389"/>
    <mergeCell ref="G2389:H2389"/>
    <mergeCell ref="B2390:D2390"/>
    <mergeCell ref="E2390:F2390"/>
    <mergeCell ref="B2405:H2405"/>
    <mergeCell ref="B2406:H2407"/>
    <mergeCell ref="E2409:G2409"/>
    <mergeCell ref="E2411:G2411"/>
    <mergeCell ref="E2413:G2413"/>
    <mergeCell ref="B2422:C2422"/>
    <mergeCell ref="D2422:H2422"/>
    <mergeCell ref="B2423:C2423"/>
    <mergeCell ref="F2423:H2423"/>
    <mergeCell ref="B2424:C2424"/>
    <mergeCell ref="D2424:H2424"/>
    <mergeCell ref="E2369:G2369"/>
    <mergeCell ref="B2378:C2378"/>
    <mergeCell ref="D2378:H2378"/>
    <mergeCell ref="B2379:C2379"/>
    <mergeCell ref="F2379:H2379"/>
    <mergeCell ref="B2380:C2380"/>
    <mergeCell ref="D2380:H2380"/>
    <mergeCell ref="B2381:C2381"/>
    <mergeCell ref="D2381:H2381"/>
    <mergeCell ref="B2382:C2382"/>
    <mergeCell ref="D2382:H2382"/>
    <mergeCell ref="B2383:C2383"/>
    <mergeCell ref="D2383:H2383"/>
    <mergeCell ref="B2384:C2384"/>
    <mergeCell ref="D2384:H2384"/>
    <mergeCell ref="B2385:C2385"/>
    <mergeCell ref="D2385:H2385"/>
    <mergeCell ref="B2339:C2339"/>
    <mergeCell ref="D2339:H2339"/>
    <mergeCell ref="B2340:C2340"/>
    <mergeCell ref="D2340:H2340"/>
    <mergeCell ref="B2341:C2341"/>
    <mergeCell ref="D2341:H2341"/>
    <mergeCell ref="B2342:C2342"/>
    <mergeCell ref="E2342:G2342"/>
    <mergeCell ref="B2343:C2343"/>
    <mergeCell ref="B2345:F2345"/>
    <mergeCell ref="G2345:H2345"/>
    <mergeCell ref="B2346:D2346"/>
    <mergeCell ref="E2346:F2346"/>
    <mergeCell ref="B2361:H2361"/>
    <mergeCell ref="B2362:H2363"/>
    <mergeCell ref="E2365:G2365"/>
    <mergeCell ref="E2367:G2367"/>
    <mergeCell ref="B2302:D2302"/>
    <mergeCell ref="E2302:F2302"/>
    <mergeCell ref="B2317:H2317"/>
    <mergeCell ref="B2318:H2319"/>
    <mergeCell ref="E2321:G2321"/>
    <mergeCell ref="E2323:G2323"/>
    <mergeCell ref="E2325:G2325"/>
    <mergeCell ref="B2334:C2334"/>
    <mergeCell ref="D2334:H2334"/>
    <mergeCell ref="B2335:C2335"/>
    <mergeCell ref="F2335:H2335"/>
    <mergeCell ref="B2336:C2336"/>
    <mergeCell ref="D2336:H2336"/>
    <mergeCell ref="B2337:C2337"/>
    <mergeCell ref="D2337:H2337"/>
    <mergeCell ref="B2338:C2338"/>
    <mergeCell ref="D2338:H2338"/>
    <mergeCell ref="B2292:C2292"/>
    <mergeCell ref="D2292:H2292"/>
    <mergeCell ref="B2293:C2293"/>
    <mergeCell ref="D2293:H2293"/>
    <mergeCell ref="B2294:C2294"/>
    <mergeCell ref="D2294:H2294"/>
    <mergeCell ref="B2295:C2295"/>
    <mergeCell ref="D2295:H2295"/>
    <mergeCell ref="B2296:C2296"/>
    <mergeCell ref="D2296:H2296"/>
    <mergeCell ref="B2297:C2297"/>
    <mergeCell ref="D2297:H2297"/>
    <mergeCell ref="B2298:C2298"/>
    <mergeCell ref="E2298:G2298"/>
    <mergeCell ref="B2299:C2299"/>
    <mergeCell ref="B2301:F2301"/>
    <mergeCell ref="G2301:H2301"/>
    <mergeCell ref="B2253:C2253"/>
    <mergeCell ref="D2253:H2253"/>
    <mergeCell ref="B2254:C2254"/>
    <mergeCell ref="E2254:G2254"/>
    <mergeCell ref="B2255:C2255"/>
    <mergeCell ref="B2257:F2257"/>
    <mergeCell ref="G2257:H2257"/>
    <mergeCell ref="B2258:D2258"/>
    <mergeCell ref="E2258:F2258"/>
    <mergeCell ref="B2273:H2273"/>
    <mergeCell ref="B2274:H2275"/>
    <mergeCell ref="E2277:G2277"/>
    <mergeCell ref="E2279:G2279"/>
    <mergeCell ref="E2281:G2281"/>
    <mergeCell ref="B2290:C2290"/>
    <mergeCell ref="D2290:H2290"/>
    <mergeCell ref="B2291:C2291"/>
    <mergeCell ref="F2291:H2291"/>
    <mergeCell ref="E2233:G2233"/>
    <mergeCell ref="E2235:G2235"/>
    <mergeCell ref="E2237:G2237"/>
    <mergeCell ref="B2246:C2246"/>
    <mergeCell ref="D2246:H2246"/>
    <mergeCell ref="B2247:C2247"/>
    <mergeCell ref="F2247:H2247"/>
    <mergeCell ref="B2248:C2248"/>
    <mergeCell ref="D2248:H2248"/>
    <mergeCell ref="B2249:C2249"/>
    <mergeCell ref="D2249:H2249"/>
    <mergeCell ref="B2250:C2250"/>
    <mergeCell ref="D2250:H2250"/>
    <mergeCell ref="B2251:C2251"/>
    <mergeCell ref="D2251:H2251"/>
    <mergeCell ref="B2252:C2252"/>
    <mergeCell ref="D2252:H2252"/>
    <mergeCell ref="B2206:C2206"/>
    <mergeCell ref="D2206:H2206"/>
    <mergeCell ref="B2207:C2207"/>
    <mergeCell ref="D2207:H2207"/>
    <mergeCell ref="B2208:C2208"/>
    <mergeCell ref="D2208:H2208"/>
    <mergeCell ref="B2209:C2209"/>
    <mergeCell ref="D2209:H2209"/>
    <mergeCell ref="B2210:C2210"/>
    <mergeCell ref="E2210:G2210"/>
    <mergeCell ref="B2211:C2211"/>
    <mergeCell ref="B2213:F2213"/>
    <mergeCell ref="G2213:H2213"/>
    <mergeCell ref="B2214:D2214"/>
    <mergeCell ref="E2214:F2214"/>
    <mergeCell ref="B2229:H2229"/>
    <mergeCell ref="B2230:H2231"/>
    <mergeCell ref="B2169:F2169"/>
    <mergeCell ref="G2169:H2169"/>
    <mergeCell ref="B2170:D2170"/>
    <mergeCell ref="E2170:F2170"/>
    <mergeCell ref="B2185:H2185"/>
    <mergeCell ref="B2186:H2187"/>
    <mergeCell ref="E2189:G2189"/>
    <mergeCell ref="E2191:G2191"/>
    <mergeCell ref="E2193:G2193"/>
    <mergeCell ref="B2202:C2202"/>
    <mergeCell ref="D2202:H2202"/>
    <mergeCell ref="B2203:C2203"/>
    <mergeCell ref="F2203:H2203"/>
    <mergeCell ref="B2204:C2204"/>
    <mergeCell ref="D2204:H2204"/>
    <mergeCell ref="B2205:C2205"/>
    <mergeCell ref="D2205:H2205"/>
    <mergeCell ref="B2159:C2159"/>
    <mergeCell ref="F2159:H2159"/>
    <mergeCell ref="B2160:C2160"/>
    <mergeCell ref="D2160:H2160"/>
    <mergeCell ref="B2161:C2161"/>
    <mergeCell ref="D2161:H2161"/>
    <mergeCell ref="B2162:C2162"/>
    <mergeCell ref="D2162:H2162"/>
    <mergeCell ref="B2163:C2163"/>
    <mergeCell ref="D2163:H2163"/>
    <mergeCell ref="B2164:C2164"/>
    <mergeCell ref="D2164:H2164"/>
    <mergeCell ref="B2165:C2165"/>
    <mergeCell ref="D2165:H2165"/>
    <mergeCell ref="B2166:C2166"/>
    <mergeCell ref="E2166:G2166"/>
    <mergeCell ref="B2167:C2167"/>
    <mergeCell ref="B2120:C2120"/>
    <mergeCell ref="D2120:H2120"/>
    <mergeCell ref="B2121:C2121"/>
    <mergeCell ref="D2121:H2121"/>
    <mergeCell ref="B2122:C2122"/>
    <mergeCell ref="E2122:G2122"/>
    <mergeCell ref="B2123:C2123"/>
    <mergeCell ref="B2125:F2125"/>
    <mergeCell ref="G2125:H2125"/>
    <mergeCell ref="B2126:D2126"/>
    <mergeCell ref="E2126:F2126"/>
    <mergeCell ref="B2141:H2141"/>
    <mergeCell ref="B2142:H2143"/>
    <mergeCell ref="E2145:G2145"/>
    <mergeCell ref="E2147:G2147"/>
    <mergeCell ref="E2149:G2149"/>
    <mergeCell ref="B2158:C2158"/>
    <mergeCell ref="D2158:H2158"/>
    <mergeCell ref="B2097:H2097"/>
    <mergeCell ref="B2098:H2099"/>
    <mergeCell ref="E2101:G2101"/>
    <mergeCell ref="E2103:G2103"/>
    <mergeCell ref="E2105:G2105"/>
    <mergeCell ref="B2114:C2114"/>
    <mergeCell ref="D2114:H2114"/>
    <mergeCell ref="B2115:C2115"/>
    <mergeCell ref="F2115:H2115"/>
    <mergeCell ref="B2116:C2116"/>
    <mergeCell ref="D2116:H2116"/>
    <mergeCell ref="B2117:C2117"/>
    <mergeCell ref="D2117:H2117"/>
    <mergeCell ref="B2118:C2118"/>
    <mergeCell ref="D2118:H2118"/>
    <mergeCell ref="B2119:C2119"/>
    <mergeCell ref="D2119:H2119"/>
    <mergeCell ref="B2073:C2073"/>
    <mergeCell ref="D2073:H2073"/>
    <mergeCell ref="B2074:C2074"/>
    <mergeCell ref="D2074:H2074"/>
    <mergeCell ref="B2075:C2075"/>
    <mergeCell ref="D2075:H2075"/>
    <mergeCell ref="B2076:C2076"/>
    <mergeCell ref="D2076:H2076"/>
    <mergeCell ref="B2077:C2077"/>
    <mergeCell ref="D2077:H2077"/>
    <mergeCell ref="B2078:C2078"/>
    <mergeCell ref="E2078:G2078"/>
    <mergeCell ref="B2079:C2079"/>
    <mergeCell ref="B2081:F2081"/>
    <mergeCell ref="G2081:H2081"/>
    <mergeCell ref="B2082:D2082"/>
    <mergeCell ref="E2082:F2082"/>
    <mergeCell ref="B2034:C2034"/>
    <mergeCell ref="E2034:G2034"/>
    <mergeCell ref="B2035:C2035"/>
    <mergeCell ref="B2037:F2037"/>
    <mergeCell ref="G2037:H2037"/>
    <mergeCell ref="B2038:D2038"/>
    <mergeCell ref="E2038:F2038"/>
    <mergeCell ref="B2053:H2053"/>
    <mergeCell ref="B2054:H2055"/>
    <mergeCell ref="E2057:G2057"/>
    <mergeCell ref="E2059:G2059"/>
    <mergeCell ref="E2061:G2061"/>
    <mergeCell ref="B2070:C2070"/>
    <mergeCell ref="D2070:H2070"/>
    <mergeCell ref="B2071:C2071"/>
    <mergeCell ref="F2071:H2071"/>
    <mergeCell ref="B2072:C2072"/>
    <mergeCell ref="D2072:H2072"/>
    <mergeCell ref="E2017:G2017"/>
    <mergeCell ref="B2026:C2026"/>
    <mergeCell ref="D2026:H2026"/>
    <mergeCell ref="B2027:C2027"/>
    <mergeCell ref="F2027:H2027"/>
    <mergeCell ref="B2028:C2028"/>
    <mergeCell ref="D2028:H2028"/>
    <mergeCell ref="B2029:C2029"/>
    <mergeCell ref="D2029:H2029"/>
    <mergeCell ref="B2030:C2030"/>
    <mergeCell ref="D2030:H2030"/>
    <mergeCell ref="B2031:C2031"/>
    <mergeCell ref="D2031:H2031"/>
    <mergeCell ref="B2032:C2032"/>
    <mergeCell ref="D2032:H2032"/>
    <mergeCell ref="B2033:C2033"/>
    <mergeCell ref="D2033:H2033"/>
    <mergeCell ref="B1987:C1987"/>
    <mergeCell ref="D1987:H1987"/>
    <mergeCell ref="B1988:C1988"/>
    <mergeCell ref="D1988:H1988"/>
    <mergeCell ref="B1989:C1989"/>
    <mergeCell ref="D1989:H1989"/>
    <mergeCell ref="B1990:C1990"/>
    <mergeCell ref="E1990:G1990"/>
    <mergeCell ref="B1991:C1991"/>
    <mergeCell ref="B1993:F1993"/>
    <mergeCell ref="G1993:H1993"/>
    <mergeCell ref="B1994:D1994"/>
    <mergeCell ref="E1994:F1994"/>
    <mergeCell ref="B2009:H2009"/>
    <mergeCell ref="B2010:H2011"/>
    <mergeCell ref="E2013:G2013"/>
    <mergeCell ref="E2015:G2015"/>
    <mergeCell ref="B1950:D1950"/>
    <mergeCell ref="E1950:F1950"/>
    <mergeCell ref="B1965:H1965"/>
    <mergeCell ref="B1966:H1967"/>
    <mergeCell ref="E1969:G1969"/>
    <mergeCell ref="E1971:G1971"/>
    <mergeCell ref="E1973:G1973"/>
    <mergeCell ref="B1982:C1982"/>
    <mergeCell ref="D1982:H1982"/>
    <mergeCell ref="B1983:C1983"/>
    <mergeCell ref="F1983:H1983"/>
    <mergeCell ref="B1984:C1984"/>
    <mergeCell ref="D1984:H1984"/>
    <mergeCell ref="B1985:C1985"/>
    <mergeCell ref="D1985:H1985"/>
    <mergeCell ref="B1986:C1986"/>
    <mergeCell ref="D1986:H1986"/>
    <mergeCell ref="B1940:C1940"/>
    <mergeCell ref="D1940:H1940"/>
    <mergeCell ref="B1941:C1941"/>
    <mergeCell ref="D1941:H1941"/>
    <mergeCell ref="B1942:C1942"/>
    <mergeCell ref="D1942:H1942"/>
    <mergeCell ref="B1943:C1943"/>
    <mergeCell ref="D1943:H1943"/>
    <mergeCell ref="B1944:C1944"/>
    <mergeCell ref="D1944:H1944"/>
    <mergeCell ref="B1945:C1945"/>
    <mergeCell ref="D1945:H1945"/>
    <mergeCell ref="B1946:C1946"/>
    <mergeCell ref="E1946:G1946"/>
    <mergeCell ref="B1947:C1947"/>
    <mergeCell ref="B1949:F1949"/>
    <mergeCell ref="G1949:H1949"/>
    <mergeCell ref="B1901:C1901"/>
    <mergeCell ref="D1901:H1901"/>
    <mergeCell ref="B1902:C1902"/>
    <mergeCell ref="E1902:G1902"/>
    <mergeCell ref="B1903:C1903"/>
    <mergeCell ref="B1905:F1905"/>
    <mergeCell ref="G1905:H1905"/>
    <mergeCell ref="B1906:D1906"/>
    <mergeCell ref="E1906:F1906"/>
    <mergeCell ref="B1921:H1921"/>
    <mergeCell ref="B1922:H1923"/>
    <mergeCell ref="E1925:G1925"/>
    <mergeCell ref="E1927:G1927"/>
    <mergeCell ref="E1929:G1929"/>
    <mergeCell ref="B1938:C1938"/>
    <mergeCell ref="D1938:H1938"/>
    <mergeCell ref="B1939:C1939"/>
    <mergeCell ref="F1939:H1939"/>
    <mergeCell ref="E1881:G1881"/>
    <mergeCell ref="E1883:G1883"/>
    <mergeCell ref="E1885:G1885"/>
    <mergeCell ref="B1894:C1894"/>
    <mergeCell ref="D1894:H1894"/>
    <mergeCell ref="B1895:C1895"/>
    <mergeCell ref="F1895:H1895"/>
    <mergeCell ref="B1896:C1896"/>
    <mergeCell ref="D1896:H1896"/>
    <mergeCell ref="B1897:C1897"/>
    <mergeCell ref="D1897:H1897"/>
    <mergeCell ref="B1898:C1898"/>
    <mergeCell ref="D1898:H1898"/>
    <mergeCell ref="B1899:C1899"/>
    <mergeCell ref="D1899:H1899"/>
    <mergeCell ref="B1900:C1900"/>
    <mergeCell ref="D1900:H1900"/>
    <mergeCell ref="B1854:C1854"/>
    <mergeCell ref="D1854:H1854"/>
    <mergeCell ref="B1855:C1855"/>
    <mergeCell ref="D1855:H1855"/>
    <mergeCell ref="B1856:C1856"/>
    <mergeCell ref="D1856:H1856"/>
    <mergeCell ref="B1857:C1857"/>
    <mergeCell ref="D1857:H1857"/>
    <mergeCell ref="B1858:C1858"/>
    <mergeCell ref="E1858:G1858"/>
    <mergeCell ref="B1859:C1859"/>
    <mergeCell ref="B1861:F1861"/>
    <mergeCell ref="G1861:H1861"/>
    <mergeCell ref="B1862:D1862"/>
    <mergeCell ref="E1862:F1862"/>
    <mergeCell ref="B1877:H1877"/>
    <mergeCell ref="B1878:H1879"/>
    <mergeCell ref="B1817:F1817"/>
    <mergeCell ref="G1817:H1817"/>
    <mergeCell ref="B1818:D1818"/>
    <mergeCell ref="E1818:F1818"/>
    <mergeCell ref="B1833:H1833"/>
    <mergeCell ref="B1834:H1835"/>
    <mergeCell ref="E1837:G1837"/>
    <mergeCell ref="E1839:G1839"/>
    <mergeCell ref="E1841:G1841"/>
    <mergeCell ref="B1850:C1850"/>
    <mergeCell ref="D1850:H1850"/>
    <mergeCell ref="B1851:C1851"/>
    <mergeCell ref="F1851:H1851"/>
    <mergeCell ref="B1852:C1852"/>
    <mergeCell ref="D1852:H1852"/>
    <mergeCell ref="B1853:C1853"/>
    <mergeCell ref="D1853:H1853"/>
    <mergeCell ref="B1807:C1807"/>
    <mergeCell ref="F1807:H1807"/>
    <mergeCell ref="B1808:C1808"/>
    <mergeCell ref="D1808:H1808"/>
    <mergeCell ref="B1809:C1809"/>
    <mergeCell ref="D1809:H1809"/>
    <mergeCell ref="B1810:C1810"/>
    <mergeCell ref="D1810:H1810"/>
    <mergeCell ref="B1811:C1811"/>
    <mergeCell ref="D1811:H1811"/>
    <mergeCell ref="B1812:C1812"/>
    <mergeCell ref="D1812:H1812"/>
    <mergeCell ref="B1813:C1813"/>
    <mergeCell ref="D1813:H1813"/>
    <mergeCell ref="B1814:C1814"/>
    <mergeCell ref="E1814:G1814"/>
    <mergeCell ref="B1815:C1815"/>
    <mergeCell ref="B1768:C1768"/>
    <mergeCell ref="D1768:H1768"/>
    <mergeCell ref="B1769:C1769"/>
    <mergeCell ref="D1769:H1769"/>
    <mergeCell ref="B1770:C1770"/>
    <mergeCell ref="E1770:G1770"/>
    <mergeCell ref="B1771:C1771"/>
    <mergeCell ref="B1773:F1773"/>
    <mergeCell ref="G1773:H1773"/>
    <mergeCell ref="B1774:D1774"/>
    <mergeCell ref="E1774:F1774"/>
    <mergeCell ref="B1789:H1789"/>
    <mergeCell ref="B1790:H1791"/>
    <mergeCell ref="E1793:G1793"/>
    <mergeCell ref="E1795:G1795"/>
    <mergeCell ref="E1797:G1797"/>
    <mergeCell ref="B1806:C1806"/>
    <mergeCell ref="D1806:H1806"/>
    <mergeCell ref="B1745:H1745"/>
    <mergeCell ref="B1746:H1747"/>
    <mergeCell ref="E1749:G1749"/>
    <mergeCell ref="E1751:G1751"/>
    <mergeCell ref="E1753:G1753"/>
    <mergeCell ref="B1762:C1762"/>
    <mergeCell ref="D1762:H1762"/>
    <mergeCell ref="B1763:C1763"/>
    <mergeCell ref="F1763:H1763"/>
    <mergeCell ref="B1764:C1764"/>
    <mergeCell ref="D1764:H1764"/>
    <mergeCell ref="B1765:C1765"/>
    <mergeCell ref="D1765:H1765"/>
    <mergeCell ref="B1766:C1766"/>
    <mergeCell ref="D1766:H1766"/>
    <mergeCell ref="B1767:C1767"/>
    <mergeCell ref="D1767:H1767"/>
    <mergeCell ref="B1721:C1721"/>
    <mergeCell ref="D1721:H1721"/>
    <mergeCell ref="B1722:C1722"/>
    <mergeCell ref="D1722:H1722"/>
    <mergeCell ref="B1723:C1723"/>
    <mergeCell ref="D1723:H1723"/>
    <mergeCell ref="B1724:C1724"/>
    <mergeCell ref="D1724:H1724"/>
    <mergeCell ref="B1725:C1725"/>
    <mergeCell ref="D1725:H1725"/>
    <mergeCell ref="B1726:C1726"/>
    <mergeCell ref="E1726:G1726"/>
    <mergeCell ref="B1727:C1727"/>
    <mergeCell ref="B1729:F1729"/>
    <mergeCell ref="G1729:H1729"/>
    <mergeCell ref="B1730:D1730"/>
    <mergeCell ref="E1730:F1730"/>
    <mergeCell ref="B1682:C1682"/>
    <mergeCell ref="E1682:G1682"/>
    <mergeCell ref="B1683:C1683"/>
    <mergeCell ref="B1685:F1685"/>
    <mergeCell ref="G1685:H1685"/>
    <mergeCell ref="B1686:D1686"/>
    <mergeCell ref="E1686:F1686"/>
    <mergeCell ref="B1701:H1701"/>
    <mergeCell ref="B1702:H1703"/>
    <mergeCell ref="E1705:G1705"/>
    <mergeCell ref="E1707:G1707"/>
    <mergeCell ref="E1709:G1709"/>
    <mergeCell ref="B1718:C1718"/>
    <mergeCell ref="D1718:H1718"/>
    <mergeCell ref="B1719:C1719"/>
    <mergeCell ref="F1719:H1719"/>
    <mergeCell ref="B1720:C1720"/>
    <mergeCell ref="D1720:H1720"/>
    <mergeCell ref="E1665:G1665"/>
    <mergeCell ref="B1674:C1674"/>
    <mergeCell ref="D1674:H1674"/>
    <mergeCell ref="B1675:C1675"/>
    <mergeCell ref="F1675:H1675"/>
    <mergeCell ref="B1676:C1676"/>
    <mergeCell ref="D1676:H1676"/>
    <mergeCell ref="B1677:C1677"/>
    <mergeCell ref="D1677:H1677"/>
    <mergeCell ref="B1678:C1678"/>
    <mergeCell ref="D1678:H1678"/>
    <mergeCell ref="B1679:C1679"/>
    <mergeCell ref="D1679:H1679"/>
    <mergeCell ref="B1680:C1680"/>
    <mergeCell ref="D1680:H1680"/>
    <mergeCell ref="B1681:C1681"/>
    <mergeCell ref="D1681:H1681"/>
    <mergeCell ref="B1630:C1630"/>
    <mergeCell ref="D1630:H1630"/>
    <mergeCell ref="B1631:C1631"/>
    <mergeCell ref="F1631:H1631"/>
    <mergeCell ref="B1632:C1632"/>
    <mergeCell ref="D1632:H1632"/>
    <mergeCell ref="B1633:C1633"/>
    <mergeCell ref="D1633:H1633"/>
    <mergeCell ref="B1634:C1634"/>
    <mergeCell ref="D1634:H1634"/>
    <mergeCell ref="B1635:C1635"/>
    <mergeCell ref="D1635:H1635"/>
    <mergeCell ref="B1636:C1636"/>
    <mergeCell ref="D1636:H1636"/>
    <mergeCell ref="B1637:C1637"/>
    <mergeCell ref="D1637:H1637"/>
    <mergeCell ref="B1638:C1638"/>
    <mergeCell ref="E1638:G1638"/>
    <mergeCell ref="B1639:C1639"/>
    <mergeCell ref="B1641:F1641"/>
    <mergeCell ref="G1641:H1641"/>
    <mergeCell ref="B1642:D1642"/>
    <mergeCell ref="E1642:F1642"/>
    <mergeCell ref="B1657:H1657"/>
    <mergeCell ref="B1658:H1659"/>
    <mergeCell ref="E1661:G1661"/>
    <mergeCell ref="E1663:G1663"/>
    <mergeCell ref="B3305:C3305"/>
    <mergeCell ref="D3305:H3305"/>
    <mergeCell ref="B3306:C3306"/>
    <mergeCell ref="D3306:H3306"/>
    <mergeCell ref="B3307:C3307"/>
    <mergeCell ref="D3307:H3307"/>
    <mergeCell ref="B3308:C3308"/>
    <mergeCell ref="D3308:H3308"/>
    <mergeCell ref="B3266:C3266"/>
    <mergeCell ref="E3266:G3266"/>
    <mergeCell ref="B3267:C3267"/>
    <mergeCell ref="B3269:F3269"/>
    <mergeCell ref="G3269:H3269"/>
    <mergeCell ref="B3270:D3270"/>
    <mergeCell ref="E3270:F3270"/>
    <mergeCell ref="B3285:H3285"/>
    <mergeCell ref="B3286:H3287"/>
    <mergeCell ref="E3289:G3289"/>
    <mergeCell ref="E3291:G3291"/>
    <mergeCell ref="E3293:G3293"/>
    <mergeCell ref="B3302:C3302"/>
    <mergeCell ref="D3302:H3302"/>
    <mergeCell ref="B3303:C3303"/>
    <mergeCell ref="F3303:H3303"/>
    <mergeCell ref="B3304:C3304"/>
    <mergeCell ref="D3304:H3304"/>
    <mergeCell ref="E3249:G3249"/>
    <mergeCell ref="B3258:C3258"/>
    <mergeCell ref="D3258:H3258"/>
    <mergeCell ref="B3259:C3259"/>
    <mergeCell ref="F3259:H3259"/>
    <mergeCell ref="B3260:C3260"/>
    <mergeCell ref="D3260:H3260"/>
    <mergeCell ref="B3261:C3261"/>
    <mergeCell ref="D3261:H3261"/>
    <mergeCell ref="B3262:C3262"/>
    <mergeCell ref="D3262:H3262"/>
    <mergeCell ref="B3263:C3263"/>
    <mergeCell ref="D3263:H3263"/>
    <mergeCell ref="B3264:C3264"/>
    <mergeCell ref="D3264:H3264"/>
    <mergeCell ref="B3265:C3265"/>
    <mergeCell ref="D3265:H3265"/>
    <mergeCell ref="B3219:C3219"/>
    <mergeCell ref="D3219:H3219"/>
    <mergeCell ref="B3220:C3220"/>
    <mergeCell ref="D3220:H3220"/>
    <mergeCell ref="B3221:C3221"/>
    <mergeCell ref="D3221:H3221"/>
    <mergeCell ref="B3222:C3222"/>
    <mergeCell ref="E3222:G3222"/>
    <mergeCell ref="B3223:C3223"/>
    <mergeCell ref="B3225:F3225"/>
    <mergeCell ref="G3225:H3225"/>
    <mergeCell ref="B3226:D3226"/>
    <mergeCell ref="E3226:F3226"/>
    <mergeCell ref="B3241:H3241"/>
    <mergeCell ref="B3242:H3243"/>
    <mergeCell ref="E3245:G3245"/>
    <mergeCell ref="E3247:G3247"/>
    <mergeCell ref="B3182:D3182"/>
    <mergeCell ref="E3182:F3182"/>
    <mergeCell ref="B3197:H3197"/>
    <mergeCell ref="B3198:H3199"/>
    <mergeCell ref="E3201:G3201"/>
    <mergeCell ref="E3203:G3203"/>
    <mergeCell ref="E3205:G3205"/>
    <mergeCell ref="B3214:C3214"/>
    <mergeCell ref="D3214:H3214"/>
    <mergeCell ref="B3215:C3215"/>
    <mergeCell ref="F3215:H3215"/>
    <mergeCell ref="B3216:C3216"/>
    <mergeCell ref="D3216:H3216"/>
    <mergeCell ref="B3217:C3217"/>
    <mergeCell ref="D3217:H3217"/>
    <mergeCell ref="B3218:C3218"/>
    <mergeCell ref="D3218:H3218"/>
    <mergeCell ref="B3172:C3172"/>
    <mergeCell ref="D3172:H3172"/>
    <mergeCell ref="B3173:C3173"/>
    <mergeCell ref="D3173:H3173"/>
    <mergeCell ref="B3174:C3174"/>
    <mergeCell ref="D3174:H3174"/>
    <mergeCell ref="B3175:C3175"/>
    <mergeCell ref="D3175:H3175"/>
    <mergeCell ref="B3176:C3176"/>
    <mergeCell ref="D3176:H3176"/>
    <mergeCell ref="B3177:C3177"/>
    <mergeCell ref="D3177:H3177"/>
    <mergeCell ref="B3178:C3178"/>
    <mergeCell ref="E3178:G3178"/>
    <mergeCell ref="B3179:C3179"/>
    <mergeCell ref="B3181:F3181"/>
    <mergeCell ref="G3181:H3181"/>
    <mergeCell ref="B3133:C3133"/>
    <mergeCell ref="D3133:H3133"/>
    <mergeCell ref="B3134:C3134"/>
    <mergeCell ref="E3134:G3134"/>
    <mergeCell ref="B3135:C3135"/>
    <mergeCell ref="B3137:F3137"/>
    <mergeCell ref="G3137:H3137"/>
    <mergeCell ref="B3138:D3138"/>
    <mergeCell ref="E3138:F3138"/>
    <mergeCell ref="B3153:H3153"/>
    <mergeCell ref="B3154:H3155"/>
    <mergeCell ref="E3157:G3157"/>
    <mergeCell ref="E3159:G3159"/>
    <mergeCell ref="E3161:G3161"/>
    <mergeCell ref="B3170:C3170"/>
    <mergeCell ref="D3170:H3170"/>
    <mergeCell ref="B3171:C3171"/>
    <mergeCell ref="F3171:H3171"/>
    <mergeCell ref="E3113:G3113"/>
    <mergeCell ref="E3115:G3115"/>
    <mergeCell ref="E3117:G3117"/>
    <mergeCell ref="B3126:C3126"/>
    <mergeCell ref="D3126:H3126"/>
    <mergeCell ref="B3127:C3127"/>
    <mergeCell ref="F3127:H3127"/>
    <mergeCell ref="B3128:C3128"/>
    <mergeCell ref="D3128:H3128"/>
    <mergeCell ref="B3129:C3129"/>
    <mergeCell ref="D3129:H3129"/>
    <mergeCell ref="B3130:C3130"/>
    <mergeCell ref="D3130:H3130"/>
    <mergeCell ref="B3131:C3131"/>
    <mergeCell ref="D3131:H3131"/>
    <mergeCell ref="B3132:C3132"/>
    <mergeCell ref="D3132:H3132"/>
    <mergeCell ref="B3086:C3086"/>
    <mergeCell ref="D3086:H3086"/>
    <mergeCell ref="B3087:C3087"/>
    <mergeCell ref="D3087:H3087"/>
    <mergeCell ref="B3088:C3088"/>
    <mergeCell ref="D3088:H3088"/>
    <mergeCell ref="B3089:C3089"/>
    <mergeCell ref="D3089:H3089"/>
    <mergeCell ref="B3090:C3090"/>
    <mergeCell ref="E3090:G3090"/>
    <mergeCell ref="B3091:C3091"/>
    <mergeCell ref="B3093:F3093"/>
    <mergeCell ref="G3093:H3093"/>
    <mergeCell ref="B3094:D3094"/>
    <mergeCell ref="E3094:F3094"/>
    <mergeCell ref="B3109:H3109"/>
    <mergeCell ref="B3110:H3111"/>
    <mergeCell ref="B3049:F3049"/>
    <mergeCell ref="G3049:H3049"/>
    <mergeCell ref="B3050:D3050"/>
    <mergeCell ref="E3050:F3050"/>
    <mergeCell ref="B3065:H3065"/>
    <mergeCell ref="B3066:H3067"/>
    <mergeCell ref="E3069:G3069"/>
    <mergeCell ref="E3071:G3071"/>
    <mergeCell ref="E3073:G3073"/>
    <mergeCell ref="B3082:C3082"/>
    <mergeCell ref="D3082:H3082"/>
    <mergeCell ref="B3083:C3083"/>
    <mergeCell ref="F3083:H3083"/>
    <mergeCell ref="B3084:C3084"/>
    <mergeCell ref="D3084:H3084"/>
    <mergeCell ref="B3085:C3085"/>
    <mergeCell ref="D3085:H3085"/>
    <mergeCell ref="B3039:C3039"/>
    <mergeCell ref="F3039:H3039"/>
    <mergeCell ref="B3040:C3040"/>
    <mergeCell ref="D3040:H3040"/>
    <mergeCell ref="B3041:C3041"/>
    <mergeCell ref="D3041:H3041"/>
    <mergeCell ref="B3042:C3042"/>
    <mergeCell ref="D3042:H3042"/>
    <mergeCell ref="B3043:C3043"/>
    <mergeCell ref="D3043:H3043"/>
    <mergeCell ref="B3044:C3044"/>
    <mergeCell ref="D3044:H3044"/>
    <mergeCell ref="B3045:C3045"/>
    <mergeCell ref="D3045:H3045"/>
    <mergeCell ref="B3046:C3046"/>
    <mergeCell ref="E3046:G3046"/>
    <mergeCell ref="B3047:C3047"/>
    <mergeCell ref="B3000:C3000"/>
    <mergeCell ref="D3000:H3000"/>
    <mergeCell ref="B3001:C3001"/>
    <mergeCell ref="D3001:H3001"/>
    <mergeCell ref="B3002:C3002"/>
    <mergeCell ref="E3002:G3002"/>
    <mergeCell ref="B3003:C3003"/>
    <mergeCell ref="B3005:F3005"/>
    <mergeCell ref="G3005:H3005"/>
    <mergeCell ref="B3006:D3006"/>
    <mergeCell ref="E3006:F3006"/>
    <mergeCell ref="B3021:H3021"/>
    <mergeCell ref="B3022:H3023"/>
    <mergeCell ref="E3025:G3025"/>
    <mergeCell ref="E3027:G3027"/>
    <mergeCell ref="E3029:G3029"/>
    <mergeCell ref="B3038:C3038"/>
    <mergeCell ref="D3038:H3038"/>
    <mergeCell ref="B2977:H2977"/>
    <mergeCell ref="B2978:H2979"/>
    <mergeCell ref="E2981:G2981"/>
    <mergeCell ref="E2983:G2983"/>
    <mergeCell ref="E2985:G2985"/>
    <mergeCell ref="B2994:C2994"/>
    <mergeCell ref="D2994:H2994"/>
    <mergeCell ref="B2995:C2995"/>
    <mergeCell ref="F2995:H2995"/>
    <mergeCell ref="B2996:C2996"/>
    <mergeCell ref="D2996:H2996"/>
    <mergeCell ref="B2997:C2997"/>
    <mergeCell ref="D2997:H2997"/>
    <mergeCell ref="B2998:C2998"/>
    <mergeCell ref="D2998:H2998"/>
    <mergeCell ref="B2999:C2999"/>
    <mergeCell ref="D2999:H2999"/>
    <mergeCell ref="B2953:C2953"/>
    <mergeCell ref="D2953:H2953"/>
    <mergeCell ref="B2954:C2954"/>
    <mergeCell ref="D2954:H2954"/>
    <mergeCell ref="B2955:C2955"/>
    <mergeCell ref="D2955:H2955"/>
    <mergeCell ref="B2956:C2956"/>
    <mergeCell ref="D2956:H2956"/>
    <mergeCell ref="B2957:C2957"/>
    <mergeCell ref="D2957:H2957"/>
    <mergeCell ref="B2958:C2958"/>
    <mergeCell ref="E2958:G2958"/>
    <mergeCell ref="B2959:C2959"/>
    <mergeCell ref="B2961:F2961"/>
    <mergeCell ref="G2961:H2961"/>
    <mergeCell ref="B2962:D2962"/>
    <mergeCell ref="E2962:F2962"/>
    <mergeCell ref="B2914:C2914"/>
    <mergeCell ref="E2914:G2914"/>
    <mergeCell ref="B2915:C2915"/>
    <mergeCell ref="B2917:F2917"/>
    <mergeCell ref="G2917:H2917"/>
    <mergeCell ref="B2918:D2918"/>
    <mergeCell ref="E2918:F2918"/>
    <mergeCell ref="B2933:H2933"/>
    <mergeCell ref="B2934:H2935"/>
    <mergeCell ref="E2937:G2937"/>
    <mergeCell ref="E2939:G2939"/>
    <mergeCell ref="E2941:G2941"/>
    <mergeCell ref="B2950:C2950"/>
    <mergeCell ref="D2950:H2950"/>
    <mergeCell ref="B2951:C2951"/>
    <mergeCell ref="F2951:H2951"/>
    <mergeCell ref="B2952:C2952"/>
    <mergeCell ref="D2952:H2952"/>
    <mergeCell ref="E2897:G2897"/>
    <mergeCell ref="B2906:C2906"/>
    <mergeCell ref="D2906:H2906"/>
    <mergeCell ref="B2907:C2907"/>
    <mergeCell ref="F2907:H2907"/>
    <mergeCell ref="B2908:C2908"/>
    <mergeCell ref="D2908:H2908"/>
    <mergeCell ref="B2909:C2909"/>
    <mergeCell ref="D2909:H2909"/>
    <mergeCell ref="B2910:C2910"/>
    <mergeCell ref="D2910:H2910"/>
    <mergeCell ref="B2911:C2911"/>
    <mergeCell ref="D2911:H2911"/>
    <mergeCell ref="B2912:C2912"/>
    <mergeCell ref="D2912:H2912"/>
    <mergeCell ref="B2913:C2913"/>
    <mergeCell ref="D2913:H2913"/>
    <mergeCell ref="B2867:C2867"/>
    <mergeCell ref="D2867:H2867"/>
    <mergeCell ref="B2868:C2868"/>
    <mergeCell ref="D2868:H2868"/>
    <mergeCell ref="B2869:C2869"/>
    <mergeCell ref="D2869:H2869"/>
    <mergeCell ref="B2870:C2870"/>
    <mergeCell ref="E2870:G2870"/>
    <mergeCell ref="B2871:C2871"/>
    <mergeCell ref="B2873:F2873"/>
    <mergeCell ref="G2873:H2873"/>
    <mergeCell ref="B2874:D2874"/>
    <mergeCell ref="E2874:F2874"/>
    <mergeCell ref="B2889:H2889"/>
    <mergeCell ref="B2890:H2891"/>
    <mergeCell ref="E2893:G2893"/>
    <mergeCell ref="E2895:G2895"/>
    <mergeCell ref="B2830:D2830"/>
    <mergeCell ref="E2830:F2830"/>
    <mergeCell ref="B2845:H2845"/>
    <mergeCell ref="B2846:H2847"/>
    <mergeCell ref="E2849:G2849"/>
    <mergeCell ref="E2851:G2851"/>
    <mergeCell ref="E2853:G2853"/>
    <mergeCell ref="B2862:C2862"/>
    <mergeCell ref="D2862:H2862"/>
    <mergeCell ref="B2863:C2863"/>
    <mergeCell ref="F2863:H2863"/>
    <mergeCell ref="B2864:C2864"/>
    <mergeCell ref="D2864:H2864"/>
    <mergeCell ref="B2865:C2865"/>
    <mergeCell ref="D2865:H2865"/>
    <mergeCell ref="B2866:C2866"/>
    <mergeCell ref="D2866:H2866"/>
    <mergeCell ref="B2820:C2820"/>
    <mergeCell ref="D2820:H2820"/>
    <mergeCell ref="B2821:C2821"/>
    <mergeCell ref="D2821:H2821"/>
    <mergeCell ref="B2822:C2822"/>
    <mergeCell ref="D2822:H2822"/>
    <mergeCell ref="B2823:C2823"/>
    <mergeCell ref="D2823:H2823"/>
    <mergeCell ref="B2824:C2824"/>
    <mergeCell ref="D2824:H2824"/>
    <mergeCell ref="B2825:C2825"/>
    <mergeCell ref="D2825:H2825"/>
    <mergeCell ref="B2826:C2826"/>
    <mergeCell ref="E2826:G2826"/>
    <mergeCell ref="B2827:C2827"/>
    <mergeCell ref="B2829:F2829"/>
    <mergeCell ref="G2829:H2829"/>
    <mergeCell ref="B2781:C2781"/>
    <mergeCell ref="D2781:H2781"/>
    <mergeCell ref="B2782:C2782"/>
    <mergeCell ref="E2782:G2782"/>
    <mergeCell ref="B2783:C2783"/>
    <mergeCell ref="B2785:F2785"/>
    <mergeCell ref="G2785:H2785"/>
    <mergeCell ref="B2786:D2786"/>
    <mergeCell ref="E2786:F2786"/>
    <mergeCell ref="B2801:H2801"/>
    <mergeCell ref="B2802:H2803"/>
    <mergeCell ref="E2805:G2805"/>
    <mergeCell ref="E2807:G2807"/>
    <mergeCell ref="E2809:G2809"/>
    <mergeCell ref="B2818:C2818"/>
    <mergeCell ref="D2818:H2818"/>
    <mergeCell ref="B2819:C2819"/>
    <mergeCell ref="F2819:H2819"/>
    <mergeCell ref="B2:C2"/>
    <mergeCell ref="B3:C3"/>
    <mergeCell ref="B4:C4"/>
    <mergeCell ref="B5:C5"/>
    <mergeCell ref="B275:C275"/>
    <mergeCell ref="B277:F277"/>
    <mergeCell ref="G277:H277"/>
    <mergeCell ref="B270:C270"/>
    <mergeCell ref="B11:C11"/>
    <mergeCell ref="B13:F13"/>
    <mergeCell ref="G13:H13"/>
    <mergeCell ref="B6:C6"/>
    <mergeCell ref="B7:C7"/>
    <mergeCell ref="B8:C8"/>
    <mergeCell ref="B46:C46"/>
    <mergeCell ref="D46:H46"/>
    <mergeCell ref="F47:H47"/>
    <mergeCell ref="D48:H48"/>
    <mergeCell ref="E37:G37"/>
    <mergeCell ref="D2:H2"/>
    <mergeCell ref="D4:H4"/>
    <mergeCell ref="D5:H5"/>
    <mergeCell ref="D6:H6"/>
    <mergeCell ref="D7:H7"/>
    <mergeCell ref="D49:H49"/>
    <mergeCell ref="D50:H50"/>
    <mergeCell ref="D51:H51"/>
    <mergeCell ref="D52:H52"/>
    <mergeCell ref="D53:H53"/>
    <mergeCell ref="E54:G54"/>
    <mergeCell ref="B53:C53"/>
    <mergeCell ref="B54:C54"/>
    <mergeCell ref="G717:H717"/>
    <mergeCell ref="B718:D718"/>
    <mergeCell ref="E718:F718"/>
    <mergeCell ref="F751:H751"/>
    <mergeCell ref="B752:C752"/>
    <mergeCell ref="D752:H752"/>
    <mergeCell ref="B753:C753"/>
    <mergeCell ref="E563:G563"/>
    <mergeCell ref="B530:C530"/>
    <mergeCell ref="B539:C539"/>
    <mergeCell ref="B541:F541"/>
    <mergeCell ref="G541:H541"/>
    <mergeCell ref="B536:C536"/>
    <mergeCell ref="B537:C537"/>
    <mergeCell ref="B538:C538"/>
    <mergeCell ref="D537:H537"/>
    <mergeCell ref="E538:G538"/>
    <mergeCell ref="F531:H531"/>
    <mergeCell ref="B542:D542"/>
    <mergeCell ref="E542:F542"/>
    <mergeCell ref="B557:H557"/>
    <mergeCell ref="B558:H559"/>
    <mergeCell ref="E561:G561"/>
    <mergeCell ref="D536:H536"/>
    <mergeCell ref="E565:G565"/>
    <mergeCell ref="B575:C575"/>
    <mergeCell ref="F575:H575"/>
    <mergeCell ref="B576:C576"/>
    <mergeCell ref="D576:H576"/>
    <mergeCell ref="B602:H603"/>
    <mergeCell ref="B574:C574"/>
    <mergeCell ref="D574:H574"/>
    <mergeCell ref="B55:C55"/>
    <mergeCell ref="B50:C50"/>
    <mergeCell ref="B51:C51"/>
    <mergeCell ref="B52:C52"/>
    <mergeCell ref="B49:C49"/>
    <mergeCell ref="D8:H8"/>
    <mergeCell ref="D9:H9"/>
    <mergeCell ref="F3:H3"/>
    <mergeCell ref="E10:G10"/>
    <mergeCell ref="B14:D14"/>
    <mergeCell ref="E14:F14"/>
    <mergeCell ref="B29:H29"/>
    <mergeCell ref="B47:C47"/>
    <mergeCell ref="B48:C48"/>
    <mergeCell ref="B30:H31"/>
    <mergeCell ref="E33:G33"/>
    <mergeCell ref="E35:G35"/>
    <mergeCell ref="B9:C9"/>
    <mergeCell ref="B10:C10"/>
    <mergeCell ref="E213:G213"/>
    <mergeCell ref="B222:C222"/>
    <mergeCell ref="D222:H222"/>
    <mergeCell ref="B230:C230"/>
    <mergeCell ref="B231:C231"/>
    <mergeCell ref="B227:C227"/>
    <mergeCell ref="B228:C228"/>
    <mergeCell ref="B229:C229"/>
    <mergeCell ref="B226:C226"/>
    <mergeCell ref="D226:H226"/>
    <mergeCell ref="D228:H228"/>
    <mergeCell ref="D229:H229"/>
    <mergeCell ref="B223:C223"/>
    <mergeCell ref="F223:H223"/>
    <mergeCell ref="B57:F57"/>
    <mergeCell ref="G57:H57"/>
    <mergeCell ref="B58:D58"/>
    <mergeCell ref="E58:F58"/>
    <mergeCell ref="B94:C94"/>
    <mergeCell ref="D94:H94"/>
    <mergeCell ref="B95:C95"/>
    <mergeCell ref="D95:H95"/>
    <mergeCell ref="B96:C96"/>
    <mergeCell ref="D96:H96"/>
    <mergeCell ref="D90:H90"/>
    <mergeCell ref="B91:C91"/>
    <mergeCell ref="F91:H91"/>
    <mergeCell ref="B92:C92"/>
    <mergeCell ref="D92:H92"/>
    <mergeCell ref="B93:C93"/>
    <mergeCell ref="D93:H93"/>
    <mergeCell ref="B73:H73"/>
    <mergeCell ref="B315:C315"/>
    <mergeCell ref="D315:H315"/>
    <mergeCell ref="E322:F322"/>
    <mergeCell ref="B337:H337"/>
    <mergeCell ref="B338:H339"/>
    <mergeCell ref="E341:G341"/>
    <mergeCell ref="E343:G343"/>
    <mergeCell ref="E345:G345"/>
    <mergeCell ref="B316:C316"/>
    <mergeCell ref="D316:H316"/>
    <mergeCell ref="B317:C317"/>
    <mergeCell ref="D317:H317"/>
    <mergeCell ref="B318:C318"/>
    <mergeCell ref="E318:G318"/>
    <mergeCell ref="B354:C354"/>
    <mergeCell ref="B382:H383"/>
    <mergeCell ref="E389:G389"/>
    <mergeCell ref="B357:C357"/>
    <mergeCell ref="D357:H357"/>
    <mergeCell ref="D358:H358"/>
    <mergeCell ref="D359:H359"/>
    <mergeCell ref="D360:H360"/>
    <mergeCell ref="D361:H361"/>
    <mergeCell ref="B362:C362"/>
    <mergeCell ref="E362:G362"/>
    <mergeCell ref="B358:C358"/>
    <mergeCell ref="B359:C359"/>
    <mergeCell ref="B360:C360"/>
    <mergeCell ref="B361:C361"/>
    <mergeCell ref="B671:C671"/>
    <mergeCell ref="B673:F673"/>
    <mergeCell ref="G673:H673"/>
    <mergeCell ref="B674:D674"/>
    <mergeCell ref="E674:F674"/>
    <mergeCell ref="B622:C622"/>
    <mergeCell ref="D444:H444"/>
    <mergeCell ref="B445:C445"/>
    <mergeCell ref="D445:H445"/>
    <mergeCell ref="B446:C446"/>
    <mergeCell ref="D446:H446"/>
    <mergeCell ref="B355:C355"/>
    <mergeCell ref="D354:H354"/>
    <mergeCell ref="F355:H355"/>
    <mergeCell ref="B319:C319"/>
    <mergeCell ref="B321:F321"/>
    <mergeCell ref="G321:H321"/>
    <mergeCell ref="B322:D322"/>
    <mergeCell ref="B398:C398"/>
    <mergeCell ref="D398:H398"/>
    <mergeCell ref="B399:C399"/>
    <mergeCell ref="F399:H399"/>
    <mergeCell ref="E385:G385"/>
    <mergeCell ref="E387:G387"/>
    <mergeCell ref="B363:C363"/>
    <mergeCell ref="B365:F365"/>
    <mergeCell ref="G365:H365"/>
    <mergeCell ref="B366:D366"/>
    <mergeCell ref="E366:F366"/>
    <mergeCell ref="B381:H381"/>
    <mergeCell ref="B356:C356"/>
    <mergeCell ref="D356:H356"/>
    <mergeCell ref="D970:H970"/>
    <mergeCell ref="B971:C971"/>
    <mergeCell ref="F971:H971"/>
    <mergeCell ref="D885:H885"/>
    <mergeCell ref="D887:H887"/>
    <mergeCell ref="E890:G890"/>
    <mergeCell ref="B580:C580"/>
    <mergeCell ref="D580:H580"/>
    <mergeCell ref="B581:C581"/>
    <mergeCell ref="D581:H581"/>
    <mergeCell ref="B582:C582"/>
    <mergeCell ref="E582:G582"/>
    <mergeCell ref="B577:C577"/>
    <mergeCell ref="D577:H577"/>
    <mergeCell ref="B578:C578"/>
    <mergeCell ref="D578:H578"/>
    <mergeCell ref="B579:C579"/>
    <mergeCell ref="D579:H579"/>
    <mergeCell ref="B689:H689"/>
    <mergeCell ref="B690:H691"/>
    <mergeCell ref="E693:G693"/>
    <mergeCell ref="E695:G695"/>
    <mergeCell ref="B662:C662"/>
    <mergeCell ref="D662:H662"/>
    <mergeCell ref="B663:C663"/>
    <mergeCell ref="F663:H663"/>
    <mergeCell ref="B664:C664"/>
    <mergeCell ref="D664:H664"/>
    <mergeCell ref="B665:C665"/>
    <mergeCell ref="D665:H665"/>
    <mergeCell ref="B666:C666"/>
    <mergeCell ref="D666:H666"/>
    <mergeCell ref="B931:C931"/>
    <mergeCell ref="D931:H931"/>
    <mergeCell ref="B932:C932"/>
    <mergeCell ref="D932:H932"/>
    <mergeCell ref="B933:C933"/>
    <mergeCell ref="D933:H933"/>
    <mergeCell ref="B997:H997"/>
    <mergeCell ref="B843:C843"/>
    <mergeCell ref="D843:H843"/>
    <mergeCell ref="B844:C844"/>
    <mergeCell ref="D844:H844"/>
    <mergeCell ref="B845:C845"/>
    <mergeCell ref="D845:H845"/>
    <mergeCell ref="B883:C883"/>
    <mergeCell ref="F883:H883"/>
    <mergeCell ref="B884:C884"/>
    <mergeCell ref="D884:H884"/>
    <mergeCell ref="E917:G917"/>
    <mergeCell ref="B926:C926"/>
    <mergeCell ref="D926:H926"/>
    <mergeCell ref="B927:C927"/>
    <mergeCell ref="F927:H927"/>
    <mergeCell ref="B887:C887"/>
    <mergeCell ref="B888:C888"/>
    <mergeCell ref="D888:H888"/>
    <mergeCell ref="D886:H886"/>
    <mergeCell ref="B928:C928"/>
    <mergeCell ref="D928:H928"/>
    <mergeCell ref="B885:C885"/>
    <mergeCell ref="E959:G959"/>
    <mergeCell ref="E961:G961"/>
    <mergeCell ref="B970:C970"/>
    <mergeCell ref="E1269:G1269"/>
    <mergeCell ref="B1278:C1278"/>
    <mergeCell ref="D1278:H1278"/>
    <mergeCell ref="B1279:C1279"/>
    <mergeCell ref="F1279:H1279"/>
    <mergeCell ref="B1280:C1280"/>
    <mergeCell ref="B1198:C1198"/>
    <mergeCell ref="E1198:G1198"/>
    <mergeCell ref="B1199:C1199"/>
    <mergeCell ref="B1201:F1201"/>
    <mergeCell ref="B1193:C1193"/>
    <mergeCell ref="D1193:H1193"/>
    <mergeCell ref="B1194:C1194"/>
    <mergeCell ref="B1195:C1195"/>
    <mergeCell ref="B1197:C1197"/>
    <mergeCell ref="D1197:H1197"/>
    <mergeCell ref="G1201:H1201"/>
    <mergeCell ref="B1202:D1202"/>
    <mergeCell ref="E1202:F1202"/>
    <mergeCell ref="B1217:H1217"/>
    <mergeCell ref="B1218:H1219"/>
    <mergeCell ref="E1221:G1221"/>
    <mergeCell ref="B1245:F1245"/>
    <mergeCell ref="G1245:H1245"/>
    <mergeCell ref="B1246:D1246"/>
    <mergeCell ref="E1246:F1246"/>
    <mergeCell ref="B1261:H1261"/>
    <mergeCell ref="B1262:H1263"/>
    <mergeCell ref="E1265:G1265"/>
    <mergeCell ref="E1267:G1267"/>
    <mergeCell ref="B74:H75"/>
    <mergeCell ref="E77:G77"/>
    <mergeCell ref="E79:G79"/>
    <mergeCell ref="E81:G81"/>
    <mergeCell ref="B90:C90"/>
    <mergeCell ref="E125:G125"/>
    <mergeCell ref="B134:C134"/>
    <mergeCell ref="D134:H134"/>
    <mergeCell ref="B135:C135"/>
    <mergeCell ref="F135:H135"/>
    <mergeCell ref="B136:C136"/>
    <mergeCell ref="D136:H136"/>
    <mergeCell ref="B102:D102"/>
    <mergeCell ref="E102:F102"/>
    <mergeCell ref="B117:H117"/>
    <mergeCell ref="B118:H119"/>
    <mergeCell ref="E121:G121"/>
    <mergeCell ref="E123:G123"/>
    <mergeCell ref="B97:C97"/>
    <mergeCell ref="D97:H97"/>
    <mergeCell ref="B98:C98"/>
    <mergeCell ref="E98:G98"/>
    <mergeCell ref="B99:C99"/>
    <mergeCell ref="B101:F101"/>
    <mergeCell ref="G101:H101"/>
    <mergeCell ref="B143:C143"/>
    <mergeCell ref="B145:F145"/>
    <mergeCell ref="G145:H145"/>
    <mergeCell ref="B146:D146"/>
    <mergeCell ref="E146:F146"/>
    <mergeCell ref="B161:H161"/>
    <mergeCell ref="B162:H163"/>
    <mergeCell ref="E165:G165"/>
    <mergeCell ref="E167:G167"/>
    <mergeCell ref="B140:C140"/>
    <mergeCell ref="D140:H140"/>
    <mergeCell ref="B141:C141"/>
    <mergeCell ref="D141:H141"/>
    <mergeCell ref="B142:C142"/>
    <mergeCell ref="E142:G142"/>
    <mergeCell ref="B137:C137"/>
    <mergeCell ref="D137:H137"/>
    <mergeCell ref="B138:C138"/>
    <mergeCell ref="D138:H138"/>
    <mergeCell ref="B139:C139"/>
    <mergeCell ref="D139:H139"/>
    <mergeCell ref="E169:G169"/>
    <mergeCell ref="B190:D190"/>
    <mergeCell ref="E190:F190"/>
    <mergeCell ref="B205:H205"/>
    <mergeCell ref="B206:H207"/>
    <mergeCell ref="E209:G209"/>
    <mergeCell ref="E211:G211"/>
    <mergeCell ref="B185:C185"/>
    <mergeCell ref="D185:H185"/>
    <mergeCell ref="B186:C186"/>
    <mergeCell ref="E186:G186"/>
    <mergeCell ref="B187:C187"/>
    <mergeCell ref="B189:F189"/>
    <mergeCell ref="G189:H189"/>
    <mergeCell ref="B178:C178"/>
    <mergeCell ref="D178:H178"/>
    <mergeCell ref="B179:C179"/>
    <mergeCell ref="F179:H179"/>
    <mergeCell ref="B181:C181"/>
    <mergeCell ref="B180:C180"/>
    <mergeCell ref="D180:H180"/>
    <mergeCell ref="D181:H181"/>
    <mergeCell ref="B182:C182"/>
    <mergeCell ref="D182:H182"/>
    <mergeCell ref="B183:C183"/>
    <mergeCell ref="D183:H183"/>
    <mergeCell ref="B184:C184"/>
    <mergeCell ref="D184:H184"/>
    <mergeCell ref="B224:C224"/>
    <mergeCell ref="D224:H224"/>
    <mergeCell ref="B267:C267"/>
    <mergeCell ref="F267:H267"/>
    <mergeCell ref="B268:C268"/>
    <mergeCell ref="D268:H268"/>
    <mergeCell ref="B269:C269"/>
    <mergeCell ref="D269:H269"/>
    <mergeCell ref="B249:H249"/>
    <mergeCell ref="B250:H251"/>
    <mergeCell ref="E253:G253"/>
    <mergeCell ref="E255:G255"/>
    <mergeCell ref="E257:G257"/>
    <mergeCell ref="B266:C266"/>
    <mergeCell ref="D266:H266"/>
    <mergeCell ref="B234:D234"/>
    <mergeCell ref="E234:F234"/>
    <mergeCell ref="B225:C225"/>
    <mergeCell ref="D225:H225"/>
    <mergeCell ref="D227:H227"/>
    <mergeCell ref="E230:G230"/>
    <mergeCell ref="B233:F233"/>
    <mergeCell ref="G233:H233"/>
    <mergeCell ref="D270:H270"/>
    <mergeCell ref="B271:C271"/>
    <mergeCell ref="D271:H271"/>
    <mergeCell ref="B272:C272"/>
    <mergeCell ref="D272:H272"/>
    <mergeCell ref="B313:C313"/>
    <mergeCell ref="D313:H313"/>
    <mergeCell ref="B314:C314"/>
    <mergeCell ref="D314:H314"/>
    <mergeCell ref="B310:C310"/>
    <mergeCell ref="D310:H310"/>
    <mergeCell ref="B311:C311"/>
    <mergeCell ref="F311:H311"/>
    <mergeCell ref="B312:C312"/>
    <mergeCell ref="D312:H312"/>
    <mergeCell ref="B293:H293"/>
    <mergeCell ref="E299:G299"/>
    <mergeCell ref="E301:G301"/>
    <mergeCell ref="B278:D278"/>
    <mergeCell ref="E278:F278"/>
    <mergeCell ref="B273:C273"/>
    <mergeCell ref="D273:H273"/>
    <mergeCell ref="B274:C274"/>
    <mergeCell ref="E274:G274"/>
    <mergeCell ref="B294:H295"/>
    <mergeCell ref="E297:G297"/>
    <mergeCell ref="B403:C403"/>
    <mergeCell ref="D403:H403"/>
    <mergeCell ref="B404:C404"/>
    <mergeCell ref="D404:H404"/>
    <mergeCell ref="B405:C405"/>
    <mergeCell ref="D405:H405"/>
    <mergeCell ref="B407:C407"/>
    <mergeCell ref="B406:C406"/>
    <mergeCell ref="E406:G406"/>
    <mergeCell ref="B409:F409"/>
    <mergeCell ref="G409:H409"/>
    <mergeCell ref="B400:C400"/>
    <mergeCell ref="D400:H400"/>
    <mergeCell ref="B401:C401"/>
    <mergeCell ref="D401:H401"/>
    <mergeCell ref="B402:C402"/>
    <mergeCell ref="D402:H402"/>
    <mergeCell ref="B450:C450"/>
    <mergeCell ref="E450:G450"/>
    <mergeCell ref="B451:C451"/>
    <mergeCell ref="B453:F453"/>
    <mergeCell ref="G453:H453"/>
    <mergeCell ref="B454:D454"/>
    <mergeCell ref="E454:F454"/>
    <mergeCell ref="E475:G475"/>
    <mergeCell ref="E477:G477"/>
    <mergeCell ref="B486:C486"/>
    <mergeCell ref="D486:H486"/>
    <mergeCell ref="E473:G473"/>
    <mergeCell ref="B469:H469"/>
    <mergeCell ref="B410:D410"/>
    <mergeCell ref="E410:F410"/>
    <mergeCell ref="B425:H425"/>
    <mergeCell ref="B426:H427"/>
    <mergeCell ref="E429:G429"/>
    <mergeCell ref="E431:G431"/>
    <mergeCell ref="E433:G433"/>
    <mergeCell ref="B442:C442"/>
    <mergeCell ref="D442:H442"/>
    <mergeCell ref="B443:C443"/>
    <mergeCell ref="B470:H471"/>
    <mergeCell ref="B447:C447"/>
    <mergeCell ref="D447:H447"/>
    <mergeCell ref="B448:C448"/>
    <mergeCell ref="D448:H448"/>
    <mergeCell ref="B449:C449"/>
    <mergeCell ref="D449:H449"/>
    <mergeCell ref="F443:H443"/>
    <mergeCell ref="B444:C444"/>
    <mergeCell ref="B493:C493"/>
    <mergeCell ref="D493:H493"/>
    <mergeCell ref="B494:C494"/>
    <mergeCell ref="E494:G494"/>
    <mergeCell ref="B495:C495"/>
    <mergeCell ref="B497:F497"/>
    <mergeCell ref="G497:H497"/>
    <mergeCell ref="B490:C490"/>
    <mergeCell ref="D490:H490"/>
    <mergeCell ref="B491:C491"/>
    <mergeCell ref="D491:H491"/>
    <mergeCell ref="B492:C492"/>
    <mergeCell ref="D492:H492"/>
    <mergeCell ref="B487:C487"/>
    <mergeCell ref="F487:H487"/>
    <mergeCell ref="B488:C488"/>
    <mergeCell ref="D488:H488"/>
    <mergeCell ref="B489:C489"/>
    <mergeCell ref="D489:H489"/>
    <mergeCell ref="B498:D498"/>
    <mergeCell ref="E498:F498"/>
    <mergeCell ref="B513:H513"/>
    <mergeCell ref="B514:H515"/>
    <mergeCell ref="E517:G517"/>
    <mergeCell ref="E519:G519"/>
    <mergeCell ref="B534:C534"/>
    <mergeCell ref="B535:C535"/>
    <mergeCell ref="D534:H534"/>
    <mergeCell ref="D535:H535"/>
    <mergeCell ref="D530:H530"/>
    <mergeCell ref="B531:C531"/>
    <mergeCell ref="B532:C532"/>
    <mergeCell ref="D532:H532"/>
    <mergeCell ref="B533:C533"/>
    <mergeCell ref="D533:H533"/>
    <mergeCell ref="E521:G521"/>
    <mergeCell ref="D622:H622"/>
    <mergeCell ref="B623:C623"/>
    <mergeCell ref="D623:H623"/>
    <mergeCell ref="B624:C624"/>
    <mergeCell ref="D624:H624"/>
    <mergeCell ref="E605:G605"/>
    <mergeCell ref="E607:G607"/>
    <mergeCell ref="E609:G609"/>
    <mergeCell ref="B618:C618"/>
    <mergeCell ref="D618:H618"/>
    <mergeCell ref="B619:C619"/>
    <mergeCell ref="F619:H619"/>
    <mergeCell ref="B583:C583"/>
    <mergeCell ref="B585:F585"/>
    <mergeCell ref="G585:H585"/>
    <mergeCell ref="B586:D586"/>
    <mergeCell ref="E586:F586"/>
    <mergeCell ref="B601:H601"/>
    <mergeCell ref="B620:C620"/>
    <mergeCell ref="D620:H620"/>
    <mergeCell ref="B621:C621"/>
    <mergeCell ref="D621:H621"/>
    <mergeCell ref="B630:D630"/>
    <mergeCell ref="E630:F630"/>
    <mergeCell ref="B645:H645"/>
    <mergeCell ref="B646:H647"/>
    <mergeCell ref="E649:G649"/>
    <mergeCell ref="E651:G651"/>
    <mergeCell ref="E653:G653"/>
    <mergeCell ref="B670:C670"/>
    <mergeCell ref="E670:G670"/>
    <mergeCell ref="B667:C667"/>
    <mergeCell ref="D667:H667"/>
    <mergeCell ref="B668:C668"/>
    <mergeCell ref="D668:H668"/>
    <mergeCell ref="B669:C669"/>
    <mergeCell ref="D669:H669"/>
    <mergeCell ref="B625:C625"/>
    <mergeCell ref="D625:H625"/>
    <mergeCell ref="B626:C626"/>
    <mergeCell ref="E626:G626"/>
    <mergeCell ref="B627:C627"/>
    <mergeCell ref="B629:F629"/>
    <mergeCell ref="G629:H629"/>
    <mergeCell ref="D753:H753"/>
    <mergeCell ref="B754:C754"/>
    <mergeCell ref="D754:H754"/>
    <mergeCell ref="E697:G697"/>
    <mergeCell ref="B733:H733"/>
    <mergeCell ref="B734:H735"/>
    <mergeCell ref="E737:G737"/>
    <mergeCell ref="E739:G739"/>
    <mergeCell ref="E741:G741"/>
    <mergeCell ref="B712:C712"/>
    <mergeCell ref="D712:H712"/>
    <mergeCell ref="B713:C713"/>
    <mergeCell ref="D713:H713"/>
    <mergeCell ref="B714:C714"/>
    <mergeCell ref="E714:G714"/>
    <mergeCell ref="B709:C709"/>
    <mergeCell ref="D709:H709"/>
    <mergeCell ref="B710:C710"/>
    <mergeCell ref="D710:H710"/>
    <mergeCell ref="B711:C711"/>
    <mergeCell ref="B706:C706"/>
    <mergeCell ref="D706:H706"/>
    <mergeCell ref="B707:C707"/>
    <mergeCell ref="F707:H707"/>
    <mergeCell ref="B708:C708"/>
    <mergeCell ref="D708:H708"/>
    <mergeCell ref="D711:H711"/>
    <mergeCell ref="B750:C750"/>
    <mergeCell ref="D750:H750"/>
    <mergeCell ref="B751:C751"/>
    <mergeCell ref="B715:C715"/>
    <mergeCell ref="B717:F717"/>
    <mergeCell ref="E781:G781"/>
    <mergeCell ref="E783:G783"/>
    <mergeCell ref="E785:G785"/>
    <mergeCell ref="B794:C794"/>
    <mergeCell ref="D794:H794"/>
    <mergeCell ref="B795:C795"/>
    <mergeCell ref="F795:H795"/>
    <mergeCell ref="B758:C758"/>
    <mergeCell ref="E758:G758"/>
    <mergeCell ref="B759:C759"/>
    <mergeCell ref="B761:F761"/>
    <mergeCell ref="G761:H761"/>
    <mergeCell ref="B762:D762"/>
    <mergeCell ref="E762:F762"/>
    <mergeCell ref="B755:C755"/>
    <mergeCell ref="D755:H755"/>
    <mergeCell ref="B756:C756"/>
    <mergeCell ref="D756:H756"/>
    <mergeCell ref="B757:C757"/>
    <mergeCell ref="D757:H757"/>
    <mergeCell ref="B777:H777"/>
    <mergeCell ref="B778:H779"/>
    <mergeCell ref="B805:F805"/>
    <mergeCell ref="G805:H805"/>
    <mergeCell ref="B806:D806"/>
    <mergeCell ref="E806:F806"/>
    <mergeCell ref="B821:H821"/>
    <mergeCell ref="B822:H823"/>
    <mergeCell ref="D800:H800"/>
    <mergeCell ref="B801:C801"/>
    <mergeCell ref="D801:H801"/>
    <mergeCell ref="B802:C802"/>
    <mergeCell ref="E802:G802"/>
    <mergeCell ref="B803:C803"/>
    <mergeCell ref="B796:C796"/>
    <mergeCell ref="D796:H796"/>
    <mergeCell ref="B797:C797"/>
    <mergeCell ref="D797:H797"/>
    <mergeCell ref="B798:C798"/>
    <mergeCell ref="D798:H798"/>
    <mergeCell ref="B799:C799"/>
    <mergeCell ref="D799:H799"/>
    <mergeCell ref="B800:C800"/>
    <mergeCell ref="E825:G825"/>
    <mergeCell ref="E827:G827"/>
    <mergeCell ref="E829:G829"/>
    <mergeCell ref="D838:H838"/>
    <mergeCell ref="F839:H839"/>
    <mergeCell ref="B840:C840"/>
    <mergeCell ref="D840:H840"/>
    <mergeCell ref="E873:G873"/>
    <mergeCell ref="B882:C882"/>
    <mergeCell ref="D882:H882"/>
    <mergeCell ref="B846:C846"/>
    <mergeCell ref="E846:G846"/>
    <mergeCell ref="B847:C847"/>
    <mergeCell ref="B849:F849"/>
    <mergeCell ref="G849:H849"/>
    <mergeCell ref="B850:D850"/>
    <mergeCell ref="E850:F850"/>
    <mergeCell ref="B865:H865"/>
    <mergeCell ref="B866:H867"/>
    <mergeCell ref="E869:G869"/>
    <mergeCell ref="E871:G871"/>
    <mergeCell ref="B841:C841"/>
    <mergeCell ref="D841:H841"/>
    <mergeCell ref="B842:C842"/>
    <mergeCell ref="D842:H842"/>
    <mergeCell ref="B838:C838"/>
    <mergeCell ref="B839:C839"/>
    <mergeCell ref="B893:F893"/>
    <mergeCell ref="G893:H893"/>
    <mergeCell ref="B909:H909"/>
    <mergeCell ref="B910:H911"/>
    <mergeCell ref="E913:G913"/>
    <mergeCell ref="E915:G915"/>
    <mergeCell ref="B894:D894"/>
    <mergeCell ref="E894:F894"/>
    <mergeCell ref="B889:C889"/>
    <mergeCell ref="D889:H889"/>
    <mergeCell ref="B890:C890"/>
    <mergeCell ref="B891:C891"/>
    <mergeCell ref="B886:C886"/>
    <mergeCell ref="B978:C978"/>
    <mergeCell ref="E978:G978"/>
    <mergeCell ref="B979:C979"/>
    <mergeCell ref="B981:F981"/>
    <mergeCell ref="G981:H981"/>
    <mergeCell ref="B954:H955"/>
    <mergeCell ref="E957:G957"/>
    <mergeCell ref="B953:H953"/>
    <mergeCell ref="B929:C929"/>
    <mergeCell ref="D929:H929"/>
    <mergeCell ref="B930:C930"/>
    <mergeCell ref="B934:C934"/>
    <mergeCell ref="E934:G934"/>
    <mergeCell ref="B935:C935"/>
    <mergeCell ref="B937:F937"/>
    <mergeCell ref="G937:H937"/>
    <mergeCell ref="B938:D938"/>
    <mergeCell ref="E938:F938"/>
    <mergeCell ref="D930:H930"/>
    <mergeCell ref="B982:D982"/>
    <mergeCell ref="E982:F982"/>
    <mergeCell ref="B975:C975"/>
    <mergeCell ref="D975:H975"/>
    <mergeCell ref="B976:C976"/>
    <mergeCell ref="D976:H976"/>
    <mergeCell ref="B977:C977"/>
    <mergeCell ref="D977:H977"/>
    <mergeCell ref="D972:H972"/>
    <mergeCell ref="B973:C973"/>
    <mergeCell ref="D973:H973"/>
    <mergeCell ref="B974:C974"/>
    <mergeCell ref="D974:H974"/>
    <mergeCell ref="B972:C972"/>
    <mergeCell ref="B1020:C1020"/>
    <mergeCell ref="D1020:H1020"/>
    <mergeCell ref="B1021:C1021"/>
    <mergeCell ref="D1021:H1021"/>
    <mergeCell ref="B998:H999"/>
    <mergeCell ref="E1001:G1001"/>
    <mergeCell ref="B1022:C1022"/>
    <mergeCell ref="E1022:G1022"/>
    <mergeCell ref="E1003:G1003"/>
    <mergeCell ref="E1005:G1005"/>
    <mergeCell ref="D1014:H1014"/>
    <mergeCell ref="F1015:H1015"/>
    <mergeCell ref="D1016:H1016"/>
    <mergeCell ref="B1017:C1017"/>
    <mergeCell ref="D1017:H1017"/>
    <mergeCell ref="B1015:C1015"/>
    <mergeCell ref="B1018:C1018"/>
    <mergeCell ref="D1018:H1018"/>
    <mergeCell ref="B1019:C1019"/>
    <mergeCell ref="D1019:H1019"/>
    <mergeCell ref="B1014:C1014"/>
    <mergeCell ref="B1016:C1016"/>
    <mergeCell ref="B1059:C1059"/>
    <mergeCell ref="F1059:H1059"/>
    <mergeCell ref="B1060:C1060"/>
    <mergeCell ref="D1060:H1060"/>
    <mergeCell ref="B1061:C1061"/>
    <mergeCell ref="D1061:H1061"/>
    <mergeCell ref="B1023:C1023"/>
    <mergeCell ref="B1025:F1025"/>
    <mergeCell ref="G1025:H1025"/>
    <mergeCell ref="B1026:D1026"/>
    <mergeCell ref="E1026:F1026"/>
    <mergeCell ref="B1041:H1041"/>
    <mergeCell ref="E1045:G1045"/>
    <mergeCell ref="E1047:G1047"/>
    <mergeCell ref="B1042:H1043"/>
    <mergeCell ref="E1049:G1049"/>
    <mergeCell ref="B1058:C1058"/>
    <mergeCell ref="D1058:H1058"/>
    <mergeCell ref="D1109:H1109"/>
    <mergeCell ref="B1107:C1107"/>
    <mergeCell ref="D1107:H1107"/>
    <mergeCell ref="E1093:G1093"/>
    <mergeCell ref="B1102:C1102"/>
    <mergeCell ref="D1102:H1102"/>
    <mergeCell ref="B1103:C1103"/>
    <mergeCell ref="F1103:H1103"/>
    <mergeCell ref="B1104:C1104"/>
    <mergeCell ref="D1104:H1104"/>
    <mergeCell ref="B1110:C1110"/>
    <mergeCell ref="E1110:G1110"/>
    <mergeCell ref="B1111:C1111"/>
    <mergeCell ref="B1113:F1113"/>
    <mergeCell ref="G1113:H1113"/>
    <mergeCell ref="B1065:C1065"/>
    <mergeCell ref="D1065:H1065"/>
    <mergeCell ref="E1066:G1066"/>
    <mergeCell ref="B1069:F1069"/>
    <mergeCell ref="G1069:H1069"/>
    <mergeCell ref="B1070:D1070"/>
    <mergeCell ref="E1070:F1070"/>
    <mergeCell ref="B1062:C1062"/>
    <mergeCell ref="D1062:H1062"/>
    <mergeCell ref="B1063:C1063"/>
    <mergeCell ref="D1063:H1063"/>
    <mergeCell ref="B1064:C1064"/>
    <mergeCell ref="D1064:H1064"/>
    <mergeCell ref="B1066:C1066"/>
    <mergeCell ref="B1067:C1067"/>
    <mergeCell ref="B1108:C1108"/>
    <mergeCell ref="D1108:H1108"/>
    <mergeCell ref="B1109:C1109"/>
    <mergeCell ref="B1085:H1085"/>
    <mergeCell ref="B1086:H1087"/>
    <mergeCell ref="E1089:G1089"/>
    <mergeCell ref="E1091:G1091"/>
    <mergeCell ref="B1105:C1105"/>
    <mergeCell ref="D1105:H1105"/>
    <mergeCell ref="B1106:C1106"/>
    <mergeCell ref="D1106:H1106"/>
    <mergeCell ref="B1151:C1151"/>
    <mergeCell ref="D1151:H1151"/>
    <mergeCell ref="B1152:C1152"/>
    <mergeCell ref="D1152:H1152"/>
    <mergeCell ref="B1153:C1153"/>
    <mergeCell ref="D1153:H1153"/>
    <mergeCell ref="F1147:H1147"/>
    <mergeCell ref="B1148:C1148"/>
    <mergeCell ref="D1148:H1148"/>
    <mergeCell ref="B1149:C1149"/>
    <mergeCell ref="D1149:H1149"/>
    <mergeCell ref="B1150:C1150"/>
    <mergeCell ref="D1150:H1150"/>
    <mergeCell ref="E1114:F1114"/>
    <mergeCell ref="B1129:H1129"/>
    <mergeCell ref="B1130:H1131"/>
    <mergeCell ref="E1133:G1133"/>
    <mergeCell ref="E1135:G1135"/>
    <mergeCell ref="B1146:C1146"/>
    <mergeCell ref="D1146:H1146"/>
    <mergeCell ref="B1147:C1147"/>
    <mergeCell ref="E1137:G1137"/>
    <mergeCell ref="B1114:D1114"/>
    <mergeCell ref="E1181:G1181"/>
    <mergeCell ref="F1191:H1191"/>
    <mergeCell ref="D1194:H1194"/>
    <mergeCell ref="D1195:H1195"/>
    <mergeCell ref="B1196:C1196"/>
    <mergeCell ref="D1196:H1196"/>
    <mergeCell ref="B1154:C1154"/>
    <mergeCell ref="E1154:G1154"/>
    <mergeCell ref="B1155:C1155"/>
    <mergeCell ref="G1157:H1157"/>
    <mergeCell ref="B1158:D1158"/>
    <mergeCell ref="E1158:F1158"/>
    <mergeCell ref="B1190:C1190"/>
    <mergeCell ref="D1190:H1190"/>
    <mergeCell ref="B1191:C1191"/>
    <mergeCell ref="B1192:C1192"/>
    <mergeCell ref="D1192:H1192"/>
    <mergeCell ref="B1173:H1173"/>
    <mergeCell ref="B1174:H1175"/>
    <mergeCell ref="E1177:G1177"/>
    <mergeCell ref="E1179:G1179"/>
    <mergeCell ref="B1157:F1157"/>
    <mergeCell ref="B4050:C4050"/>
    <mergeCell ref="D4050:H4050"/>
    <mergeCell ref="B4051:C4051"/>
    <mergeCell ref="E1223:G1223"/>
    <mergeCell ref="E1225:G1225"/>
    <mergeCell ref="F4051:H4051"/>
    <mergeCell ref="B4052:C4052"/>
    <mergeCell ref="D4052:H4052"/>
    <mergeCell ref="B1234:C1234"/>
    <mergeCell ref="D1234:H1234"/>
    <mergeCell ref="B1235:C1235"/>
    <mergeCell ref="F1235:H1235"/>
    <mergeCell ref="B1236:C1236"/>
    <mergeCell ref="D1236:H1236"/>
    <mergeCell ref="B1237:C1237"/>
    <mergeCell ref="D1237:H1237"/>
    <mergeCell ref="B1238:C1238"/>
    <mergeCell ref="D1238:H1238"/>
    <mergeCell ref="B1239:C1239"/>
    <mergeCell ref="D1239:H1239"/>
    <mergeCell ref="B1240:C1240"/>
    <mergeCell ref="D1240:H1240"/>
    <mergeCell ref="B1241:C1241"/>
    <mergeCell ref="D1241:H1241"/>
    <mergeCell ref="B1242:C1242"/>
    <mergeCell ref="E1242:G1242"/>
    <mergeCell ref="B1243:C1243"/>
    <mergeCell ref="D1280:H1280"/>
    <mergeCell ref="B1281:C1281"/>
    <mergeCell ref="D1281:H1281"/>
    <mergeCell ref="B1282:C1282"/>
    <mergeCell ref="D1282:H1282"/>
    <mergeCell ref="E4391:G4391"/>
    <mergeCell ref="E4393:G4393"/>
    <mergeCell ref="B4366:C4366"/>
    <mergeCell ref="E4366:G4366"/>
    <mergeCell ref="B4367:C4367"/>
    <mergeCell ref="B4369:F4369"/>
    <mergeCell ref="G4369:H4369"/>
    <mergeCell ref="B4370:D4370"/>
    <mergeCell ref="E4370:F4370"/>
    <mergeCell ref="B4363:C4363"/>
    <mergeCell ref="D4363:H4363"/>
    <mergeCell ref="B4364:C4364"/>
    <mergeCell ref="D4364:H4364"/>
    <mergeCell ref="B4365:C4365"/>
    <mergeCell ref="D4365:H4365"/>
    <mergeCell ref="E4085:G4085"/>
    <mergeCell ref="B4358:C4358"/>
    <mergeCell ref="D4358:H4358"/>
    <mergeCell ref="B4359:C4359"/>
    <mergeCell ref="F4359:H4359"/>
    <mergeCell ref="B4360:C4360"/>
    <mergeCell ref="D4360:H4360"/>
    <mergeCell ref="B4361:C4361"/>
    <mergeCell ref="D4361:H4361"/>
    <mergeCell ref="B4362:C4362"/>
    <mergeCell ref="D4362:H4362"/>
    <mergeCell ref="D4273:H4273"/>
    <mergeCell ref="B4274:C4274"/>
    <mergeCell ref="D4274:H4274"/>
    <mergeCell ref="B4275:C4275"/>
    <mergeCell ref="D4275:H4275"/>
    <mergeCell ref="B4276:C4276"/>
    <mergeCell ref="B4385:H4385"/>
    <mergeCell ref="B4386:H4387"/>
    <mergeCell ref="E4389:G4389"/>
    <mergeCell ref="E4257:G4257"/>
    <mergeCell ref="B4282:D4282"/>
    <mergeCell ref="E4282:F4282"/>
    <mergeCell ref="B4297:H4297"/>
    <mergeCell ref="B4298:H4299"/>
    <mergeCell ref="E4301:G4301"/>
    <mergeCell ref="E4303:G4303"/>
    <mergeCell ref="E4305:G4305"/>
    <mergeCell ref="B4270:C4270"/>
    <mergeCell ref="D4270:H4270"/>
    <mergeCell ref="B4271:C4271"/>
    <mergeCell ref="F4271:H4271"/>
    <mergeCell ref="B4272:C4272"/>
    <mergeCell ref="D4272:H4272"/>
    <mergeCell ref="B4273:C4273"/>
    <mergeCell ref="E4259:G4259"/>
    <mergeCell ref="E4261:G4261"/>
    <mergeCell ref="B4321:C4321"/>
    <mergeCell ref="D4321:H4321"/>
    <mergeCell ref="B4322:C4322"/>
    <mergeCell ref="E4322:G4322"/>
    <mergeCell ref="B4323:C4323"/>
    <mergeCell ref="B4325:F4325"/>
    <mergeCell ref="G4325:H4325"/>
    <mergeCell ref="B4326:D4326"/>
    <mergeCell ref="E4326:F4326"/>
    <mergeCell ref="B4341:H4341"/>
    <mergeCell ref="B4342:H4343"/>
    <mergeCell ref="E4345:G4345"/>
    <mergeCell ref="B4230:C4230"/>
    <mergeCell ref="D4230:H4230"/>
    <mergeCell ref="B4231:C4231"/>
    <mergeCell ref="D4231:H4231"/>
    <mergeCell ref="B4232:C4232"/>
    <mergeCell ref="D4232:H4232"/>
    <mergeCell ref="B4233:C4233"/>
    <mergeCell ref="D4233:H4233"/>
    <mergeCell ref="B4234:C4234"/>
    <mergeCell ref="D4276:H4276"/>
    <mergeCell ref="B4277:C4277"/>
    <mergeCell ref="D4277:H4277"/>
    <mergeCell ref="B4278:C4278"/>
    <mergeCell ref="E4278:G4278"/>
    <mergeCell ref="B4279:C4279"/>
    <mergeCell ref="B4281:F4281"/>
    <mergeCell ref="G4281:H4281"/>
    <mergeCell ref="B4186:C4186"/>
    <mergeCell ref="D4186:H4186"/>
    <mergeCell ref="B4187:C4187"/>
    <mergeCell ref="D4187:H4187"/>
    <mergeCell ref="B4188:C4188"/>
    <mergeCell ref="D4188:H4188"/>
    <mergeCell ref="B4189:C4189"/>
    <mergeCell ref="D4189:H4189"/>
    <mergeCell ref="B4190:C4190"/>
    <mergeCell ref="E4190:G4190"/>
    <mergeCell ref="B4226:C4226"/>
    <mergeCell ref="D4226:H4226"/>
    <mergeCell ref="B4227:C4227"/>
    <mergeCell ref="F4227:H4227"/>
    <mergeCell ref="B4228:C4228"/>
    <mergeCell ref="D4228:H4228"/>
    <mergeCell ref="B4229:C4229"/>
    <mergeCell ref="D4229:H4229"/>
    <mergeCell ref="B4145:C4145"/>
    <mergeCell ref="D4145:H4145"/>
    <mergeCell ref="B4146:C4146"/>
    <mergeCell ref="E4146:G4146"/>
    <mergeCell ref="B4191:C4191"/>
    <mergeCell ref="B4193:F4193"/>
    <mergeCell ref="G4193:H4193"/>
    <mergeCell ref="B4194:D4194"/>
    <mergeCell ref="E4234:G4234"/>
    <mergeCell ref="B4235:C4235"/>
    <mergeCell ref="B4237:F4237"/>
    <mergeCell ref="G4237:H4237"/>
    <mergeCell ref="B4238:D4238"/>
    <mergeCell ref="E4238:F4238"/>
    <mergeCell ref="B4253:H4253"/>
    <mergeCell ref="B4254:H4255"/>
    <mergeCell ref="E4171:G4171"/>
    <mergeCell ref="E4194:F4194"/>
    <mergeCell ref="B4209:H4209"/>
    <mergeCell ref="B4210:H4211"/>
    <mergeCell ref="E4213:G4213"/>
    <mergeCell ref="E4215:G4215"/>
    <mergeCell ref="E4217:G4217"/>
    <mergeCell ref="E4173:G4173"/>
    <mergeCell ref="B4182:C4182"/>
    <mergeCell ref="D4182:H4182"/>
    <mergeCell ref="B4183:C4183"/>
    <mergeCell ref="F4183:H4183"/>
    <mergeCell ref="B4184:C4184"/>
    <mergeCell ref="D4184:H4184"/>
    <mergeCell ref="B4185:C4185"/>
    <mergeCell ref="D4185:H4185"/>
    <mergeCell ref="B4094:C4094"/>
    <mergeCell ref="D4094:H4094"/>
    <mergeCell ref="B4095:C4095"/>
    <mergeCell ref="F4095:H4095"/>
    <mergeCell ref="B4096:C4096"/>
    <mergeCell ref="D4096:H4096"/>
    <mergeCell ref="B4097:C4097"/>
    <mergeCell ref="D4097:H4097"/>
    <mergeCell ref="B4098:C4098"/>
    <mergeCell ref="D4098:H4098"/>
    <mergeCell ref="B4099:C4099"/>
    <mergeCell ref="D4099:H4099"/>
    <mergeCell ref="B4100:C4100"/>
    <mergeCell ref="D4100:H4100"/>
    <mergeCell ref="B4101:C4101"/>
    <mergeCell ref="D4101:H4101"/>
    <mergeCell ref="B4102:C4102"/>
    <mergeCell ref="E4102:G4102"/>
    <mergeCell ref="B4103:C4103"/>
    <mergeCell ref="B4105:F4105"/>
    <mergeCell ref="G4105:H4105"/>
    <mergeCell ref="B4106:D4106"/>
    <mergeCell ref="E4106:F4106"/>
    <mergeCell ref="B4147:C4147"/>
    <mergeCell ref="B4149:F4149"/>
    <mergeCell ref="G4149:H4149"/>
    <mergeCell ref="B4150:D4150"/>
    <mergeCell ref="E4150:F4150"/>
    <mergeCell ref="B4165:H4165"/>
    <mergeCell ref="B4166:H4167"/>
    <mergeCell ref="E4169:G4169"/>
    <mergeCell ref="B4121:H4121"/>
    <mergeCell ref="B4122:H4123"/>
    <mergeCell ref="E4125:G4125"/>
    <mergeCell ref="E4127:G4127"/>
    <mergeCell ref="E4129:G4129"/>
    <mergeCell ref="B4138:C4138"/>
    <mergeCell ref="D4138:H4138"/>
    <mergeCell ref="B4139:C4139"/>
    <mergeCell ref="F4139:H4139"/>
    <mergeCell ref="B4140:C4140"/>
    <mergeCell ref="D4140:H4140"/>
    <mergeCell ref="B4141:C4141"/>
    <mergeCell ref="D4141:H4141"/>
    <mergeCell ref="B4142:C4142"/>
    <mergeCell ref="D4142:H4142"/>
    <mergeCell ref="B4143:C4143"/>
    <mergeCell ref="D4143:H4143"/>
    <mergeCell ref="B4144:C4144"/>
    <mergeCell ref="D4144:H4144"/>
    <mergeCell ref="B4077:H4077"/>
    <mergeCell ref="B4078:H4079"/>
    <mergeCell ref="E4081:G4081"/>
    <mergeCell ref="E4083:G4083"/>
    <mergeCell ref="B4053:C4053"/>
    <mergeCell ref="D4053:H4053"/>
    <mergeCell ref="B4054:C4054"/>
    <mergeCell ref="D4054:H4054"/>
    <mergeCell ref="B1285:C1285"/>
    <mergeCell ref="D1285:H1285"/>
    <mergeCell ref="B1286:C1286"/>
    <mergeCell ref="E1286:G1286"/>
    <mergeCell ref="B1287:C1287"/>
    <mergeCell ref="B1289:F1289"/>
    <mergeCell ref="G1289:H1289"/>
    <mergeCell ref="B1290:D1290"/>
    <mergeCell ref="E1290:F1290"/>
    <mergeCell ref="B1349:H1349"/>
    <mergeCell ref="B1350:H1351"/>
    <mergeCell ref="E1353:G1353"/>
    <mergeCell ref="E1355:G1355"/>
    <mergeCell ref="E1357:G1357"/>
    <mergeCell ref="B1366:C1366"/>
    <mergeCell ref="D1366:H1366"/>
    <mergeCell ref="B1367:C1367"/>
    <mergeCell ref="F1367:H1367"/>
    <mergeCell ref="B1329:C1329"/>
    <mergeCell ref="D1329:H1329"/>
    <mergeCell ref="B1330:C1330"/>
    <mergeCell ref="E1330:G1330"/>
    <mergeCell ref="B1331:C1331"/>
    <mergeCell ref="B1333:F1333"/>
    <mergeCell ref="B1283:C1283"/>
    <mergeCell ref="D1283:H1283"/>
    <mergeCell ref="B1284:C1284"/>
    <mergeCell ref="D1284:H1284"/>
    <mergeCell ref="B1324:C1324"/>
    <mergeCell ref="D1324:H1324"/>
    <mergeCell ref="B1325:C1325"/>
    <mergeCell ref="D1325:H1325"/>
    <mergeCell ref="B1326:C1326"/>
    <mergeCell ref="D1326:H1326"/>
    <mergeCell ref="B1327:C1327"/>
    <mergeCell ref="D1327:H1327"/>
    <mergeCell ref="B1328:C1328"/>
    <mergeCell ref="D1328:H1328"/>
    <mergeCell ref="B1305:H1305"/>
    <mergeCell ref="B1306:H1307"/>
    <mergeCell ref="E1309:G1309"/>
    <mergeCell ref="E1311:G1311"/>
    <mergeCell ref="E1313:G1313"/>
    <mergeCell ref="B1322:C1322"/>
    <mergeCell ref="D1322:H1322"/>
    <mergeCell ref="B1323:C1323"/>
    <mergeCell ref="F1323:H1323"/>
    <mergeCell ref="G1333:H1333"/>
    <mergeCell ref="B1334:D1334"/>
    <mergeCell ref="E1334:F1334"/>
    <mergeCell ref="B1373:C1373"/>
    <mergeCell ref="D1373:H1373"/>
    <mergeCell ref="B1374:C1374"/>
    <mergeCell ref="E1374:G1374"/>
    <mergeCell ref="B1375:C1375"/>
    <mergeCell ref="B1377:F1377"/>
    <mergeCell ref="G1377:H1377"/>
    <mergeCell ref="B1378:D1378"/>
    <mergeCell ref="E1378:F1378"/>
    <mergeCell ref="B1368:C1368"/>
    <mergeCell ref="D1368:H1368"/>
    <mergeCell ref="B1369:C1369"/>
    <mergeCell ref="D1369:H1369"/>
    <mergeCell ref="B1370:C1370"/>
    <mergeCell ref="D1370:H1370"/>
    <mergeCell ref="B1371:C1371"/>
    <mergeCell ref="D1371:H1371"/>
    <mergeCell ref="B1372:C1372"/>
    <mergeCell ref="D1372:H1372"/>
    <mergeCell ref="B1412:C1412"/>
    <mergeCell ref="D1412:H1412"/>
    <mergeCell ref="B1413:C1413"/>
    <mergeCell ref="D1413:H1413"/>
    <mergeCell ref="B1414:C1414"/>
    <mergeCell ref="D1414:H1414"/>
    <mergeCell ref="B1415:C1415"/>
    <mergeCell ref="D1415:H1415"/>
    <mergeCell ref="B1416:C1416"/>
    <mergeCell ref="D1416:H1416"/>
    <mergeCell ref="B1393:H1393"/>
    <mergeCell ref="B1394:H1395"/>
    <mergeCell ref="E1397:G1397"/>
    <mergeCell ref="E1399:G1399"/>
    <mergeCell ref="E1401:G1401"/>
    <mergeCell ref="B1410:C1410"/>
    <mergeCell ref="D1410:H1410"/>
    <mergeCell ref="B1411:C1411"/>
    <mergeCell ref="F1411:H1411"/>
    <mergeCell ref="B1437:H1437"/>
    <mergeCell ref="B1438:H1439"/>
    <mergeCell ref="E1441:G1441"/>
    <mergeCell ref="E1443:G1443"/>
    <mergeCell ref="E1445:G1445"/>
    <mergeCell ref="B1454:C1454"/>
    <mergeCell ref="D1454:H1454"/>
    <mergeCell ref="B1455:C1455"/>
    <mergeCell ref="F1455:H1455"/>
    <mergeCell ref="B1417:C1417"/>
    <mergeCell ref="D1417:H1417"/>
    <mergeCell ref="B1418:C1418"/>
    <mergeCell ref="E1418:G1418"/>
    <mergeCell ref="B1419:C1419"/>
    <mergeCell ref="B1421:F1421"/>
    <mergeCell ref="G1421:H1421"/>
    <mergeCell ref="B1422:D1422"/>
    <mergeCell ref="E1422:F1422"/>
    <mergeCell ref="F1543:H1543"/>
    <mergeCell ref="B1544:C1544"/>
    <mergeCell ref="D1544:H1544"/>
    <mergeCell ref="B1461:C1461"/>
    <mergeCell ref="D1461:H1461"/>
    <mergeCell ref="B1462:C1462"/>
    <mergeCell ref="E1462:G1462"/>
    <mergeCell ref="B1463:C1463"/>
    <mergeCell ref="B1465:F1465"/>
    <mergeCell ref="G1465:H1465"/>
    <mergeCell ref="B1466:D1466"/>
    <mergeCell ref="E1466:F1466"/>
    <mergeCell ref="B1456:C1456"/>
    <mergeCell ref="D1456:H1456"/>
    <mergeCell ref="B1457:C1457"/>
    <mergeCell ref="D1457:H1457"/>
    <mergeCell ref="B1458:C1458"/>
    <mergeCell ref="D1458:H1458"/>
    <mergeCell ref="B1459:C1459"/>
    <mergeCell ref="D1459:H1459"/>
    <mergeCell ref="B1460:C1460"/>
    <mergeCell ref="D1460:H1460"/>
    <mergeCell ref="E4018:F4018"/>
    <mergeCell ref="B4008:C4008"/>
    <mergeCell ref="D4008:H4008"/>
    <mergeCell ref="B4009:C4009"/>
    <mergeCell ref="D4009:H4009"/>
    <mergeCell ref="B4010:C4010"/>
    <mergeCell ref="D4010:H4010"/>
    <mergeCell ref="B4011:C4011"/>
    <mergeCell ref="D4011:H4011"/>
    <mergeCell ref="B4012:C4012"/>
    <mergeCell ref="D4012:H4012"/>
    <mergeCell ref="B1481:H1481"/>
    <mergeCell ref="B1482:H1483"/>
    <mergeCell ref="E1485:G1485"/>
    <mergeCell ref="E1487:G1487"/>
    <mergeCell ref="E1489:G1489"/>
    <mergeCell ref="B4006:C4006"/>
    <mergeCell ref="D4006:H4006"/>
    <mergeCell ref="B4007:C4007"/>
    <mergeCell ref="F4007:H4007"/>
    <mergeCell ref="B1509:F1509"/>
    <mergeCell ref="G1509:H1509"/>
    <mergeCell ref="B1510:D1510"/>
    <mergeCell ref="E1510:F1510"/>
    <mergeCell ref="B1525:H1525"/>
    <mergeCell ref="B1526:H1527"/>
    <mergeCell ref="E1529:G1529"/>
    <mergeCell ref="E1531:G1531"/>
    <mergeCell ref="E1533:G1533"/>
    <mergeCell ref="B1542:C1542"/>
    <mergeCell ref="D1542:H1542"/>
    <mergeCell ref="B1543:C1543"/>
    <mergeCell ref="B4033:H4033"/>
    <mergeCell ref="B4034:H4035"/>
    <mergeCell ref="E4037:G4037"/>
    <mergeCell ref="E4039:G4039"/>
    <mergeCell ref="E4041:G4041"/>
    <mergeCell ref="B1498:C1498"/>
    <mergeCell ref="D1498:H1498"/>
    <mergeCell ref="B1499:C1499"/>
    <mergeCell ref="F1499:H1499"/>
    <mergeCell ref="B1500:C1500"/>
    <mergeCell ref="D1500:H1500"/>
    <mergeCell ref="B1501:C1501"/>
    <mergeCell ref="D1501:H1501"/>
    <mergeCell ref="B1502:C1502"/>
    <mergeCell ref="D1502:H1502"/>
    <mergeCell ref="B1503:C1503"/>
    <mergeCell ref="D1503:H1503"/>
    <mergeCell ref="B1504:C1504"/>
    <mergeCell ref="D1504:H1504"/>
    <mergeCell ref="B1505:C1505"/>
    <mergeCell ref="D1505:H1505"/>
    <mergeCell ref="B1506:C1506"/>
    <mergeCell ref="E1506:G1506"/>
    <mergeCell ref="B1507:C1507"/>
    <mergeCell ref="B4013:C4013"/>
    <mergeCell ref="D4013:H4013"/>
    <mergeCell ref="B4014:C4014"/>
    <mergeCell ref="E4014:G4014"/>
    <mergeCell ref="B4015:C4015"/>
    <mergeCell ref="B4017:F4017"/>
    <mergeCell ref="G4017:H4017"/>
    <mergeCell ref="B4018:D4018"/>
    <mergeCell ref="B1550:C1550"/>
    <mergeCell ref="E1550:G1550"/>
    <mergeCell ref="B1551:C1551"/>
    <mergeCell ref="B1553:F1553"/>
    <mergeCell ref="G1553:H1553"/>
    <mergeCell ref="B1554:D1554"/>
    <mergeCell ref="E1554:F1554"/>
    <mergeCell ref="B1569:H1569"/>
    <mergeCell ref="B1570:H1571"/>
    <mergeCell ref="B1545:C1545"/>
    <mergeCell ref="D1545:H1545"/>
    <mergeCell ref="B1546:C1546"/>
    <mergeCell ref="D1546:H1546"/>
    <mergeCell ref="B1547:C1547"/>
    <mergeCell ref="D1547:H1547"/>
    <mergeCell ref="B1548:C1548"/>
    <mergeCell ref="D1548:H1548"/>
    <mergeCell ref="B1549:C1549"/>
    <mergeCell ref="D1549:H1549"/>
    <mergeCell ref="B1589:C1589"/>
    <mergeCell ref="D1589:H1589"/>
    <mergeCell ref="B1590:C1590"/>
    <mergeCell ref="D1590:H1590"/>
    <mergeCell ref="B1591:C1591"/>
    <mergeCell ref="D1591:H1591"/>
    <mergeCell ref="B1592:C1592"/>
    <mergeCell ref="D1592:H1592"/>
    <mergeCell ref="B1593:C1593"/>
    <mergeCell ref="D1593:H1593"/>
    <mergeCell ref="E1573:G1573"/>
    <mergeCell ref="E1575:G1575"/>
    <mergeCell ref="E1577:G1577"/>
    <mergeCell ref="B1586:C1586"/>
    <mergeCell ref="D1586:H1586"/>
    <mergeCell ref="B1587:C1587"/>
    <mergeCell ref="F1587:H1587"/>
    <mergeCell ref="B1588:C1588"/>
    <mergeCell ref="D1588:H1588"/>
    <mergeCell ref="E1617:G1617"/>
    <mergeCell ref="E1619:G1619"/>
    <mergeCell ref="E1621:G1621"/>
    <mergeCell ref="B3346:C3346"/>
    <mergeCell ref="D3346:H3346"/>
    <mergeCell ref="B3347:C3347"/>
    <mergeCell ref="F3347:H3347"/>
    <mergeCell ref="B3348:C3348"/>
    <mergeCell ref="D3348:H3348"/>
    <mergeCell ref="B1594:C1594"/>
    <mergeCell ref="E1594:G1594"/>
    <mergeCell ref="B1595:C1595"/>
    <mergeCell ref="B1597:F1597"/>
    <mergeCell ref="G1597:H1597"/>
    <mergeCell ref="B1598:D1598"/>
    <mergeCell ref="E1598:F1598"/>
    <mergeCell ref="B1613:H1613"/>
    <mergeCell ref="B1614:H1615"/>
    <mergeCell ref="B2774:C2774"/>
    <mergeCell ref="D2774:H2774"/>
    <mergeCell ref="B2775:C2775"/>
    <mergeCell ref="F2775:H2775"/>
    <mergeCell ref="B2776:C2776"/>
    <mergeCell ref="D2776:H2776"/>
    <mergeCell ref="B2777:C2777"/>
    <mergeCell ref="D2777:H2777"/>
    <mergeCell ref="B2778:C2778"/>
    <mergeCell ref="D2778:H2778"/>
    <mergeCell ref="B2779:C2779"/>
    <mergeCell ref="D2779:H2779"/>
    <mergeCell ref="B2780:C2780"/>
    <mergeCell ref="D2780:H2780"/>
    <mergeCell ref="B3354:C3354"/>
    <mergeCell ref="E3354:G3354"/>
    <mergeCell ref="B3355:C3355"/>
    <mergeCell ref="B3357:F3357"/>
    <mergeCell ref="G3357:H3357"/>
    <mergeCell ref="B3358:D3358"/>
    <mergeCell ref="E3358:F3358"/>
    <mergeCell ref="B3373:H3373"/>
    <mergeCell ref="B3374:H3375"/>
    <mergeCell ref="B3349:C3349"/>
    <mergeCell ref="D3349:H3349"/>
    <mergeCell ref="B3350:C3350"/>
    <mergeCell ref="D3350:H3350"/>
    <mergeCell ref="B3351:C3351"/>
    <mergeCell ref="D3351:H3351"/>
    <mergeCell ref="B3352:C3352"/>
    <mergeCell ref="D3352:H3352"/>
    <mergeCell ref="B3353:C3353"/>
    <mergeCell ref="D3353:H3353"/>
    <mergeCell ref="B3393:C3393"/>
    <mergeCell ref="D3393:H3393"/>
    <mergeCell ref="B3394:C3394"/>
    <mergeCell ref="D3394:H3394"/>
    <mergeCell ref="B3395:C3395"/>
    <mergeCell ref="D3395:H3395"/>
    <mergeCell ref="B3396:C3396"/>
    <mergeCell ref="D3396:H3396"/>
    <mergeCell ref="B3397:C3397"/>
    <mergeCell ref="D3397:H3397"/>
    <mergeCell ref="E3377:G3377"/>
    <mergeCell ref="E3379:G3379"/>
    <mergeCell ref="E3381:G3381"/>
    <mergeCell ref="B3390:C3390"/>
    <mergeCell ref="D3390:H3390"/>
    <mergeCell ref="B3391:C3391"/>
    <mergeCell ref="F3391:H3391"/>
    <mergeCell ref="B3392:C3392"/>
    <mergeCell ref="D3392:H3392"/>
    <mergeCell ref="E3421:G3421"/>
    <mergeCell ref="E3423:G3423"/>
    <mergeCell ref="E3425:G3425"/>
    <mergeCell ref="B3434:C3434"/>
    <mergeCell ref="D3434:H3434"/>
    <mergeCell ref="B3435:C3435"/>
    <mergeCell ref="F3435:H3435"/>
    <mergeCell ref="B3436:C3436"/>
    <mergeCell ref="D3436:H3436"/>
    <mergeCell ref="B3398:C3398"/>
    <mergeCell ref="E3398:G3398"/>
    <mergeCell ref="B3399:C3399"/>
    <mergeCell ref="B3401:F3401"/>
    <mergeCell ref="G3401:H3401"/>
    <mergeCell ref="B3402:D3402"/>
    <mergeCell ref="E3402:F3402"/>
    <mergeCell ref="B3417:H3417"/>
    <mergeCell ref="B3418:H3419"/>
    <mergeCell ref="B3442:C3442"/>
    <mergeCell ref="E3442:G3442"/>
    <mergeCell ref="B3443:C3443"/>
    <mergeCell ref="B3445:F3445"/>
    <mergeCell ref="G3445:H3445"/>
    <mergeCell ref="B3446:D3446"/>
    <mergeCell ref="E3446:F3446"/>
    <mergeCell ref="B3461:H3461"/>
    <mergeCell ref="B3462:H3463"/>
    <mergeCell ref="B3437:C3437"/>
    <mergeCell ref="D3437:H3437"/>
    <mergeCell ref="B3438:C3438"/>
    <mergeCell ref="D3438:H3438"/>
    <mergeCell ref="B3439:C3439"/>
    <mergeCell ref="D3439:H3439"/>
    <mergeCell ref="B3440:C3440"/>
    <mergeCell ref="D3440:H3440"/>
    <mergeCell ref="B3441:C3441"/>
    <mergeCell ref="D3441:H3441"/>
    <mergeCell ref="B3921:C3921"/>
    <mergeCell ref="D3921:H3921"/>
    <mergeCell ref="B3922:C3922"/>
    <mergeCell ref="D3922:H3922"/>
    <mergeCell ref="B3923:C3923"/>
    <mergeCell ref="D3923:H3923"/>
    <mergeCell ref="B3924:C3924"/>
    <mergeCell ref="D3924:H3924"/>
    <mergeCell ref="B3925:C3925"/>
    <mergeCell ref="D3925:H3925"/>
    <mergeCell ref="E3465:G3465"/>
    <mergeCell ref="E3467:G3467"/>
    <mergeCell ref="E3469:G3469"/>
    <mergeCell ref="B3918:C3918"/>
    <mergeCell ref="D3918:H3918"/>
    <mergeCell ref="B3919:C3919"/>
    <mergeCell ref="F3919:H3919"/>
    <mergeCell ref="B3920:C3920"/>
    <mergeCell ref="D3920:H3920"/>
    <mergeCell ref="B3481:C3481"/>
    <mergeCell ref="D3481:H3481"/>
    <mergeCell ref="B3482:C3482"/>
    <mergeCell ref="D3482:H3482"/>
    <mergeCell ref="B3483:C3483"/>
    <mergeCell ref="D3483:H3483"/>
    <mergeCell ref="B3484:C3484"/>
    <mergeCell ref="D3484:H3484"/>
    <mergeCell ref="B3485:C3485"/>
    <mergeCell ref="D3485:H3485"/>
    <mergeCell ref="B3486:C3486"/>
    <mergeCell ref="E3486:G3486"/>
    <mergeCell ref="B3487:C3487"/>
    <mergeCell ref="E3949:G3949"/>
    <mergeCell ref="E3951:G3951"/>
    <mergeCell ref="E3953:G3953"/>
    <mergeCell ref="B3962:C3962"/>
    <mergeCell ref="D3962:H3962"/>
    <mergeCell ref="B3963:C3963"/>
    <mergeCell ref="F3963:H3963"/>
    <mergeCell ref="B3964:C3964"/>
    <mergeCell ref="D3964:H3964"/>
    <mergeCell ref="B3926:C3926"/>
    <mergeCell ref="E3926:G3926"/>
    <mergeCell ref="B3927:C3927"/>
    <mergeCell ref="B3929:F3929"/>
    <mergeCell ref="G3929:H3929"/>
    <mergeCell ref="B3930:D3930"/>
    <mergeCell ref="E3930:F3930"/>
    <mergeCell ref="B3945:H3945"/>
    <mergeCell ref="B3946:H3947"/>
    <mergeCell ref="E3993:G3993"/>
    <mergeCell ref="E3995:G3995"/>
    <mergeCell ref="E3997:G3997"/>
    <mergeCell ref="B3970:C3970"/>
    <mergeCell ref="E3970:G3970"/>
    <mergeCell ref="B3971:C3971"/>
    <mergeCell ref="B3973:F3973"/>
    <mergeCell ref="G3973:H3973"/>
    <mergeCell ref="B3974:D3974"/>
    <mergeCell ref="E3974:F3974"/>
    <mergeCell ref="B3989:H3989"/>
    <mergeCell ref="B3990:H3991"/>
    <mergeCell ref="B3965:C3965"/>
    <mergeCell ref="D3965:H3965"/>
    <mergeCell ref="B3966:C3966"/>
    <mergeCell ref="D3966:H3966"/>
    <mergeCell ref="B3967:C3967"/>
    <mergeCell ref="D3967:H3967"/>
    <mergeCell ref="B3968:C3968"/>
    <mergeCell ref="D3968:H3968"/>
    <mergeCell ref="B3969:C3969"/>
    <mergeCell ref="D3969:H3969"/>
  </mergeCells>
  <dataValidations disablePrompts="1" count="1">
    <dataValidation type="list" allowBlank="1" showInputMessage="1" showErrorMessage="1" sqref="H10 H4366 H54 H98 H142 H186 H3442 H230 H274 H450 H362 H494 H538 H670 H582 H626 H2078 H714 H758 H802 H846 H890 H934 H978 H1022 H1066 H1110 H1154 H4058 H1198 H4278 H4234 H4190 H4146 H4102 H2650 H4014 H1462 H1418 H1374 H1286 H3310 H1330 H3970 H3926 H3398 H3354 H1506 H1550 H1594 H3266 H3002 H3222 H3178 H3134 H3090 H3046 H2958 H1242 H2914 H2870 H2826 H2782 H2738 H2474 H2694 H2606 H2562 H2210 H2518 H2430 H2122 H2386 H2342 H2298 H2254 H2166 H3838 H406 H3794 H3750 H3706 H3662 H3574 H1638 H3530 H3486 H1682 H4322 H3882 H3618 H1726 H1770 H1814 H1858 H1902 H1946 H1990 H2034 H318" xr:uid="{00000000-0002-0000-0100-000000000000}">
      <formula1>$X$3:$X$5</formula1>
    </dataValidation>
  </dataValidation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CF0BB-9A62-4469-AB6D-C9A87950E842}">
  <dimension ref="A1:G83"/>
  <sheetViews>
    <sheetView workbookViewId="0">
      <pane ySplit="7" topLeftCell="A13" activePane="bottomLeft" state="frozen"/>
      <selection pane="bottomLeft" activeCell="E23" sqref="E23"/>
    </sheetView>
  </sheetViews>
  <sheetFormatPr defaultColWidth="9.109375" defaultRowHeight="14.4" x14ac:dyDescent="0.3"/>
  <cols>
    <col min="1" max="1" width="9.109375" style="46"/>
    <col min="2" max="2" width="11.88671875" style="46" customWidth="1"/>
    <col min="3" max="3" width="17.6640625" style="46" customWidth="1"/>
    <col min="4" max="4" width="14.33203125" style="46" bestFit="1" customWidth="1"/>
    <col min="5" max="16384" width="9.109375" style="47"/>
  </cols>
  <sheetData>
    <row r="1" spans="1:7" ht="21" x14ac:dyDescent="0.4">
      <c r="A1" s="45" t="s">
        <v>149</v>
      </c>
    </row>
    <row r="3" spans="1:7" x14ac:dyDescent="0.3">
      <c r="A3" s="142" t="s">
        <v>150</v>
      </c>
      <c r="B3" s="143"/>
      <c r="C3" s="144" t="s">
        <v>164</v>
      </c>
      <c r="D3" s="144"/>
      <c r="E3" s="144"/>
      <c r="F3" s="144"/>
      <c r="G3" s="144"/>
    </row>
    <row r="4" spans="1:7" x14ac:dyDescent="0.3">
      <c r="A4" s="142" t="s">
        <v>151</v>
      </c>
      <c r="B4" s="143"/>
      <c r="C4" s="48">
        <v>0</v>
      </c>
      <c r="D4" s="49">
        <f>B8</f>
        <v>44872</v>
      </c>
      <c r="E4" s="48" t="s">
        <v>152</v>
      </c>
      <c r="F4" s="142" t="s">
        <v>153</v>
      </c>
      <c r="G4" s="143"/>
    </row>
    <row r="5" spans="1:7" x14ac:dyDescent="0.3">
      <c r="A5" s="142" t="s">
        <v>154</v>
      </c>
      <c r="B5" s="143"/>
      <c r="C5" s="48">
        <f>MAX(A8:A82)</f>
        <v>14</v>
      </c>
      <c r="D5" s="49">
        <f>VLOOKUP(C5,A8:C82,2,FALSE)</f>
        <v>46076</v>
      </c>
      <c r="E5" s="48" t="s">
        <v>152</v>
      </c>
      <c r="F5" s="142" t="str">
        <f>VLOOKUP(C5,A8:C82,3,FALSE)</f>
        <v>Caio Cesar</v>
      </c>
      <c r="G5" s="143"/>
    </row>
    <row r="7" spans="1:7" s="51" customFormat="1" x14ac:dyDescent="0.3">
      <c r="A7" s="50" t="s">
        <v>155</v>
      </c>
      <c r="B7" s="48" t="s">
        <v>156</v>
      </c>
      <c r="C7" s="48" t="s">
        <v>157</v>
      </c>
      <c r="D7" s="48" t="s">
        <v>158</v>
      </c>
      <c r="E7" s="51" t="s">
        <v>159</v>
      </c>
    </row>
    <row r="8" spans="1:7" s="55" customFormat="1" x14ac:dyDescent="0.3">
      <c r="A8" s="52">
        <v>0</v>
      </c>
      <c r="B8" s="53">
        <v>44872</v>
      </c>
      <c r="C8" s="53" t="s">
        <v>160</v>
      </c>
      <c r="D8" s="53" t="s">
        <v>161</v>
      </c>
      <c r="E8" s="54" t="s">
        <v>162</v>
      </c>
    </row>
    <row r="9" spans="1:7" s="58" customFormat="1" x14ac:dyDescent="0.3">
      <c r="A9" s="56">
        <f>IF(E9="","",MAX($A$8:A8)+1)</f>
        <v>1</v>
      </c>
      <c r="B9" s="57">
        <v>44872</v>
      </c>
      <c r="C9" s="57" t="s">
        <v>160</v>
      </c>
      <c r="D9" s="57" t="s">
        <v>161</v>
      </c>
      <c r="E9" s="58" t="s">
        <v>163</v>
      </c>
    </row>
    <row r="10" spans="1:7" s="58" customFormat="1" x14ac:dyDescent="0.3">
      <c r="A10" s="56">
        <f>IF(E10="","",MAX($A$8:A9)+1)</f>
        <v>2</v>
      </c>
      <c r="B10" s="57">
        <v>45034</v>
      </c>
      <c r="C10" s="57" t="s">
        <v>160</v>
      </c>
      <c r="D10" s="57" t="s">
        <v>161</v>
      </c>
      <c r="E10" s="58" t="s">
        <v>169</v>
      </c>
    </row>
    <row r="11" spans="1:7" s="58" customFormat="1" x14ac:dyDescent="0.3">
      <c r="A11" s="56">
        <f>IF(E11="","",MAX($A$8:A10)+1)</f>
        <v>3</v>
      </c>
      <c r="B11" s="57">
        <v>45075</v>
      </c>
      <c r="C11" s="57" t="s">
        <v>160</v>
      </c>
      <c r="D11" s="57" t="s">
        <v>161</v>
      </c>
      <c r="E11" s="58" t="s">
        <v>203</v>
      </c>
    </row>
    <row r="12" spans="1:7" s="58" customFormat="1" x14ac:dyDescent="0.3">
      <c r="A12" s="56">
        <f>IF(E12="","",MAX($A$8:A11)+1)</f>
        <v>4</v>
      </c>
      <c r="B12" s="57">
        <v>45107</v>
      </c>
      <c r="C12" s="57" t="s">
        <v>160</v>
      </c>
      <c r="D12" s="57" t="s">
        <v>161</v>
      </c>
      <c r="E12" s="58" t="s">
        <v>206</v>
      </c>
    </row>
    <row r="13" spans="1:7" s="58" customFormat="1" x14ac:dyDescent="0.3">
      <c r="A13" s="56">
        <f>IF(E13="","",MAX($A$8:A12)+1)</f>
        <v>5</v>
      </c>
      <c r="B13" s="57">
        <v>45176</v>
      </c>
      <c r="C13" s="57" t="s">
        <v>160</v>
      </c>
      <c r="D13" s="57" t="s">
        <v>161</v>
      </c>
      <c r="E13" s="58" t="s">
        <v>208</v>
      </c>
    </row>
    <row r="14" spans="1:7" s="58" customFormat="1" x14ac:dyDescent="0.3">
      <c r="A14" s="56">
        <v>6</v>
      </c>
      <c r="B14" s="57">
        <v>45379</v>
      </c>
      <c r="C14" s="57" t="s">
        <v>160</v>
      </c>
      <c r="D14" s="57" t="s">
        <v>161</v>
      </c>
      <c r="E14" s="58" t="s">
        <v>218</v>
      </c>
    </row>
    <row r="15" spans="1:7" s="58" customFormat="1" x14ac:dyDescent="0.3">
      <c r="A15" s="56">
        <f>IF(E15="","",MAX($A$8:A14)+1)</f>
        <v>7</v>
      </c>
      <c r="B15" s="57">
        <v>45453</v>
      </c>
      <c r="C15" s="57" t="s">
        <v>160</v>
      </c>
      <c r="D15" s="57" t="s">
        <v>161</v>
      </c>
      <c r="E15" s="58" t="s">
        <v>226</v>
      </c>
    </row>
    <row r="16" spans="1:7" s="58" customFormat="1" x14ac:dyDescent="0.3">
      <c r="A16" s="56">
        <f>IF(E16="","",MAX($A$8:A15)+1)</f>
        <v>8</v>
      </c>
      <c r="B16" s="57">
        <v>45492</v>
      </c>
      <c r="C16" s="57" t="s">
        <v>160</v>
      </c>
      <c r="D16" s="57" t="s">
        <v>161</v>
      </c>
      <c r="E16" s="58" t="s">
        <v>243</v>
      </c>
    </row>
    <row r="17" spans="1:5" s="58" customFormat="1" x14ac:dyDescent="0.3">
      <c r="A17" s="56">
        <v>9</v>
      </c>
      <c r="B17" s="57">
        <v>45614</v>
      </c>
      <c r="C17" s="57" t="s">
        <v>248</v>
      </c>
      <c r="D17" s="57" t="s">
        <v>161</v>
      </c>
      <c r="E17" s="58" t="s">
        <v>249</v>
      </c>
    </row>
    <row r="18" spans="1:5" s="58" customFormat="1" x14ac:dyDescent="0.3">
      <c r="A18" s="56">
        <f>IF(E18="","",MAX($A$8:A17)+1)</f>
        <v>10</v>
      </c>
      <c r="B18" s="57">
        <v>45716</v>
      </c>
      <c r="C18" s="57" t="s">
        <v>160</v>
      </c>
      <c r="D18" s="57" t="s">
        <v>161</v>
      </c>
      <c r="E18" s="58" t="s">
        <v>253</v>
      </c>
    </row>
    <row r="19" spans="1:5" s="58" customFormat="1" x14ac:dyDescent="0.3">
      <c r="A19" s="56">
        <f>IF(E19="","",MAX($A$8:A18)+1)</f>
        <v>11</v>
      </c>
      <c r="B19" s="57">
        <v>45740</v>
      </c>
      <c r="C19" s="57" t="s">
        <v>160</v>
      </c>
      <c r="D19" s="57" t="s">
        <v>161</v>
      </c>
      <c r="E19" s="58" t="s">
        <v>274</v>
      </c>
    </row>
    <row r="20" spans="1:5" s="58" customFormat="1" x14ac:dyDescent="0.3">
      <c r="A20" s="56">
        <f>IF(E20="","",MAX($A$8:A19)+1)</f>
        <v>12</v>
      </c>
      <c r="B20" s="57">
        <v>46044</v>
      </c>
      <c r="C20" s="57" t="s">
        <v>160</v>
      </c>
      <c r="D20" s="57" t="s">
        <v>161</v>
      </c>
      <c r="E20" s="58" t="s">
        <v>344</v>
      </c>
    </row>
    <row r="21" spans="1:5" s="58" customFormat="1" x14ac:dyDescent="0.3">
      <c r="A21" s="56">
        <f>IF(E21="","",MAX($A$8:A20)+1)</f>
        <v>13</v>
      </c>
      <c r="B21" s="57">
        <v>46058</v>
      </c>
      <c r="C21" s="57" t="s">
        <v>160</v>
      </c>
      <c r="D21" s="57" t="s">
        <v>161</v>
      </c>
      <c r="E21" s="58" t="s">
        <v>253</v>
      </c>
    </row>
    <row r="22" spans="1:5" s="58" customFormat="1" x14ac:dyDescent="0.3">
      <c r="A22" s="56">
        <f>IF(E22="","",MAX($A$8:A21)+1)</f>
        <v>14</v>
      </c>
      <c r="B22" s="57">
        <v>46076</v>
      </c>
      <c r="C22" s="57" t="s">
        <v>160</v>
      </c>
      <c r="D22" s="57" t="s">
        <v>161</v>
      </c>
      <c r="E22" s="58" t="s">
        <v>350</v>
      </c>
    </row>
    <row r="23" spans="1:5" s="58" customFormat="1" x14ac:dyDescent="0.3">
      <c r="A23" s="56" t="str">
        <f>IF(E23="","",MAX($A$8:A22)+1)</f>
        <v/>
      </c>
      <c r="B23" s="57"/>
      <c r="C23" s="57"/>
      <c r="D23" s="57"/>
    </row>
    <row r="24" spans="1:5" s="58" customFormat="1" x14ac:dyDescent="0.3">
      <c r="A24" s="56" t="str">
        <f>IF(E24="","",MAX($A$8:A23)+1)</f>
        <v/>
      </c>
      <c r="B24" s="57"/>
      <c r="C24" s="57"/>
      <c r="D24" s="57"/>
    </row>
    <row r="25" spans="1:5" s="58" customFormat="1" x14ac:dyDescent="0.3">
      <c r="A25" s="56" t="str">
        <f>IF(E25="","",MAX($A$8:A24)+1)</f>
        <v/>
      </c>
      <c r="B25" s="57"/>
      <c r="C25" s="57"/>
      <c r="D25" s="57"/>
    </row>
    <row r="26" spans="1:5" s="58" customFormat="1" x14ac:dyDescent="0.3">
      <c r="A26" s="56" t="str">
        <f>IF(E26="","",MAX($A$8:A25)+1)</f>
        <v/>
      </c>
      <c r="B26" s="57"/>
      <c r="C26" s="57"/>
      <c r="D26" s="57"/>
    </row>
    <row r="27" spans="1:5" s="58" customFormat="1" x14ac:dyDescent="0.3">
      <c r="A27" s="56" t="str">
        <f>IF(E27="","",MAX($A$8:A26)+1)</f>
        <v/>
      </c>
      <c r="B27" s="57"/>
      <c r="C27" s="57"/>
      <c r="D27" s="57"/>
    </row>
    <row r="28" spans="1:5" s="58" customFormat="1" x14ac:dyDescent="0.3">
      <c r="A28" s="56" t="str">
        <f>IF(E28="","",MAX($A$8:A27)+1)</f>
        <v/>
      </c>
      <c r="B28" s="57"/>
      <c r="C28" s="57"/>
      <c r="D28" s="57"/>
    </row>
    <row r="29" spans="1:5" s="58" customFormat="1" x14ac:dyDescent="0.3">
      <c r="A29" s="56" t="str">
        <f>IF(E29="","",MAX($A$8:A28)+1)</f>
        <v/>
      </c>
      <c r="B29" s="57"/>
      <c r="C29" s="57"/>
      <c r="D29" s="57"/>
    </row>
    <row r="30" spans="1:5" s="58" customFormat="1" x14ac:dyDescent="0.3">
      <c r="A30" s="56" t="str">
        <f>IF(E30="","",MAX($A$8:A29)+1)</f>
        <v/>
      </c>
      <c r="B30" s="57"/>
      <c r="C30" s="57"/>
      <c r="D30" s="57"/>
    </row>
    <row r="31" spans="1:5" s="58" customFormat="1" x14ac:dyDescent="0.3">
      <c r="A31" s="56" t="str">
        <f>IF(E31="","",MAX($A$8:A30)+1)</f>
        <v/>
      </c>
      <c r="B31" s="57"/>
      <c r="C31" s="57"/>
      <c r="D31" s="57"/>
    </row>
    <row r="32" spans="1:5" s="58" customFormat="1" x14ac:dyDescent="0.3">
      <c r="A32" s="56" t="str">
        <f>IF(E32="","",MAX($A$8:A31)+1)</f>
        <v/>
      </c>
      <c r="B32" s="57"/>
      <c r="C32" s="57"/>
      <c r="D32" s="57"/>
    </row>
    <row r="33" spans="1:4" s="58" customFormat="1" x14ac:dyDescent="0.3">
      <c r="A33" s="56" t="str">
        <f>IF(E33="","",MAX($A$8:A32)+1)</f>
        <v/>
      </c>
      <c r="B33" s="57"/>
      <c r="C33" s="57"/>
      <c r="D33" s="57"/>
    </row>
    <row r="34" spans="1:4" s="58" customFormat="1" x14ac:dyDescent="0.3">
      <c r="A34" s="56" t="str">
        <f>IF(E34="","",MAX($A$8:A33)+1)</f>
        <v/>
      </c>
      <c r="B34" s="57"/>
      <c r="C34" s="57"/>
      <c r="D34" s="57"/>
    </row>
    <row r="35" spans="1:4" s="58" customFormat="1" x14ac:dyDescent="0.3">
      <c r="A35" s="56" t="str">
        <f>IF(E35="","",MAX($A$8:A34)+1)</f>
        <v/>
      </c>
      <c r="B35" s="57"/>
      <c r="C35" s="57"/>
      <c r="D35" s="57"/>
    </row>
    <row r="36" spans="1:4" s="58" customFormat="1" x14ac:dyDescent="0.3">
      <c r="A36" s="56" t="str">
        <f>IF(E36="","",MAX($A$8:A35)+1)</f>
        <v/>
      </c>
      <c r="B36" s="57"/>
      <c r="C36" s="57"/>
      <c r="D36" s="59"/>
    </row>
    <row r="37" spans="1:4" s="58" customFormat="1" x14ac:dyDescent="0.3">
      <c r="A37" s="56" t="str">
        <f>IF(E37="","",MAX($A$8:A36)+1)</f>
        <v/>
      </c>
      <c r="B37" s="57"/>
      <c r="C37" s="57"/>
      <c r="D37" s="57"/>
    </row>
    <row r="38" spans="1:4" s="58" customFormat="1" x14ac:dyDescent="0.3">
      <c r="A38" s="56" t="str">
        <f>IF(E38="","",MAX($A$8:A37)+1)</f>
        <v/>
      </c>
      <c r="B38" s="57"/>
      <c r="C38" s="57"/>
      <c r="D38" s="57"/>
    </row>
    <row r="39" spans="1:4" s="58" customFormat="1" x14ac:dyDescent="0.3">
      <c r="A39" s="56" t="str">
        <f>IF(E39="","",MAX($A$8:A38)+1)</f>
        <v/>
      </c>
      <c r="B39" s="57"/>
      <c r="C39" s="57"/>
      <c r="D39" s="57"/>
    </row>
    <row r="40" spans="1:4" s="58" customFormat="1" x14ac:dyDescent="0.3">
      <c r="A40" s="56" t="str">
        <f>IF(E40="","",MAX($A$8:A39)+1)</f>
        <v/>
      </c>
      <c r="B40" s="57"/>
      <c r="C40" s="57"/>
      <c r="D40" s="57"/>
    </row>
    <row r="41" spans="1:4" s="58" customFormat="1" x14ac:dyDescent="0.3">
      <c r="A41" s="56" t="str">
        <f>IF(E41="","",MAX($A$8:A40)+1)</f>
        <v/>
      </c>
      <c r="B41" s="57"/>
      <c r="C41" s="57"/>
      <c r="D41" s="57"/>
    </row>
    <row r="42" spans="1:4" s="58" customFormat="1" x14ac:dyDescent="0.3">
      <c r="A42" s="56" t="str">
        <f>IF(E42="","",MAX($A$8:A41)+1)</f>
        <v/>
      </c>
      <c r="B42" s="57"/>
      <c r="C42" s="57"/>
      <c r="D42" s="57"/>
    </row>
    <row r="43" spans="1:4" s="58" customFormat="1" x14ac:dyDescent="0.3">
      <c r="A43" s="56" t="str">
        <f>IF(E43="","",MAX($A$8:A42)+1)</f>
        <v/>
      </c>
      <c r="B43" s="57"/>
      <c r="C43" s="57"/>
      <c r="D43" s="57"/>
    </row>
    <row r="44" spans="1:4" s="58" customFormat="1" x14ac:dyDescent="0.3">
      <c r="A44" s="56" t="str">
        <f>IF(E44="","",MAX($A$8:A43)+1)</f>
        <v/>
      </c>
      <c r="B44" s="57"/>
      <c r="C44" s="57"/>
      <c r="D44" s="57"/>
    </row>
    <row r="45" spans="1:4" s="58" customFormat="1" x14ac:dyDescent="0.3">
      <c r="A45" s="56" t="str">
        <f>IF(E45="","",MAX($A$8:A44)+1)</f>
        <v/>
      </c>
      <c r="B45" s="57"/>
      <c r="C45" s="57"/>
      <c r="D45" s="57"/>
    </row>
    <row r="46" spans="1:4" s="58" customFormat="1" x14ac:dyDescent="0.3">
      <c r="A46" s="56" t="str">
        <f>IF(E46="","",MAX($A$8:A45)+1)</f>
        <v/>
      </c>
      <c r="B46" s="57"/>
      <c r="C46" s="57"/>
      <c r="D46" s="57"/>
    </row>
    <row r="47" spans="1:4" s="58" customFormat="1" x14ac:dyDescent="0.3">
      <c r="A47" s="56" t="str">
        <f>IF(E47="","",MAX($A$8:A46)+1)</f>
        <v/>
      </c>
      <c r="B47" s="57"/>
      <c r="C47" s="57"/>
      <c r="D47" s="57"/>
    </row>
    <row r="48" spans="1:4" s="58" customFormat="1" x14ac:dyDescent="0.3">
      <c r="A48" s="56" t="str">
        <f>IF(E48="","",MAX($A$8:A47)+1)</f>
        <v/>
      </c>
      <c r="B48" s="57"/>
      <c r="C48" s="57"/>
      <c r="D48" s="57"/>
    </row>
    <row r="49" spans="1:4" s="58" customFormat="1" x14ac:dyDescent="0.3">
      <c r="A49" s="56" t="str">
        <f>IF(E49="","",MAX($A$8:A48)+1)</f>
        <v/>
      </c>
      <c r="B49" s="57"/>
      <c r="C49" s="57"/>
      <c r="D49" s="57"/>
    </row>
    <row r="50" spans="1:4" s="58" customFormat="1" x14ac:dyDescent="0.3">
      <c r="A50" s="56" t="str">
        <f>IF(E50="","",MAX($A$8:A49)+1)</f>
        <v/>
      </c>
      <c r="B50" s="57"/>
      <c r="C50" s="57"/>
      <c r="D50" s="57"/>
    </row>
    <row r="51" spans="1:4" s="58" customFormat="1" x14ac:dyDescent="0.3">
      <c r="A51" s="56" t="str">
        <f>IF(E51="","",MAX($A$8:A50)+1)</f>
        <v/>
      </c>
      <c r="B51" s="57"/>
      <c r="C51" s="57"/>
      <c r="D51" s="57"/>
    </row>
    <row r="52" spans="1:4" s="58" customFormat="1" x14ac:dyDescent="0.3">
      <c r="A52" s="56" t="str">
        <f>IF(E52="","",MAX($A$8:A51)+1)</f>
        <v/>
      </c>
      <c r="B52" s="57"/>
      <c r="C52" s="57"/>
      <c r="D52" s="57"/>
    </row>
    <row r="53" spans="1:4" s="58" customFormat="1" x14ac:dyDescent="0.3">
      <c r="A53" s="56" t="str">
        <f>IF(E53="","",MAX($A$8:A52)+1)</f>
        <v/>
      </c>
      <c r="B53" s="57"/>
      <c r="C53" s="57"/>
      <c r="D53" s="57"/>
    </row>
    <row r="54" spans="1:4" s="58" customFormat="1" x14ac:dyDescent="0.3">
      <c r="A54" s="56" t="str">
        <f>IF(E54="","",MAX($A$8:A53)+1)</f>
        <v/>
      </c>
      <c r="B54" s="57"/>
      <c r="C54" s="57"/>
      <c r="D54" s="57"/>
    </row>
    <row r="55" spans="1:4" s="58" customFormat="1" x14ac:dyDescent="0.3">
      <c r="A55" s="56" t="str">
        <f>IF(E55="","",MAX($A$8:A54)+1)</f>
        <v/>
      </c>
      <c r="B55" s="57"/>
      <c r="C55" s="57"/>
      <c r="D55" s="57"/>
    </row>
    <row r="56" spans="1:4" s="58" customFormat="1" x14ac:dyDescent="0.3">
      <c r="A56" s="56" t="str">
        <f>IF(E56="","",MAX($A$8:A55)+1)</f>
        <v/>
      </c>
      <c r="B56" s="57"/>
      <c r="C56" s="57"/>
      <c r="D56" s="57"/>
    </row>
    <row r="57" spans="1:4" s="58" customFormat="1" x14ac:dyDescent="0.3">
      <c r="A57" s="56" t="str">
        <f>IF(E57="","",MAX($A$8:A56)+1)</f>
        <v/>
      </c>
      <c r="B57" s="57"/>
      <c r="C57" s="57"/>
      <c r="D57" s="57"/>
    </row>
    <row r="58" spans="1:4" s="58" customFormat="1" x14ac:dyDescent="0.3">
      <c r="A58" s="56" t="str">
        <f>IF(E58="","",MAX($A$8:A57)+1)</f>
        <v/>
      </c>
      <c r="B58" s="57"/>
      <c r="C58" s="57"/>
      <c r="D58" s="57"/>
    </row>
    <row r="59" spans="1:4" s="58" customFormat="1" x14ac:dyDescent="0.3">
      <c r="A59" s="56" t="str">
        <f>IF(E59="","",MAX($A$8:A58)+1)</f>
        <v/>
      </c>
      <c r="B59" s="57"/>
      <c r="C59" s="57"/>
      <c r="D59" s="57"/>
    </row>
    <row r="60" spans="1:4" s="58" customFormat="1" x14ac:dyDescent="0.3">
      <c r="A60" s="56" t="str">
        <f>IF(E60="","",MAX($A$8:A59)+1)</f>
        <v/>
      </c>
      <c r="B60" s="57"/>
      <c r="C60" s="57"/>
      <c r="D60" s="57"/>
    </row>
    <row r="61" spans="1:4" s="58" customFormat="1" x14ac:dyDescent="0.3">
      <c r="A61" s="56" t="str">
        <f>IF(E61="","",MAX($A$8:A60)+1)</f>
        <v/>
      </c>
      <c r="B61" s="57"/>
      <c r="C61" s="57"/>
      <c r="D61" s="57"/>
    </row>
    <row r="62" spans="1:4" s="58" customFormat="1" x14ac:dyDescent="0.3">
      <c r="A62" s="56" t="str">
        <f>IF(E62="","",MAX($A$8:A61)+1)</f>
        <v/>
      </c>
      <c r="B62" s="57"/>
      <c r="C62" s="57"/>
      <c r="D62" s="57"/>
    </row>
    <row r="63" spans="1:4" s="58" customFormat="1" x14ac:dyDescent="0.3">
      <c r="A63" s="56" t="str">
        <f>IF(E63="","",MAX($A$8:A62)+1)</f>
        <v/>
      </c>
      <c r="B63" s="57"/>
      <c r="C63" s="57"/>
      <c r="D63" s="57"/>
    </row>
    <row r="64" spans="1:4" s="58" customFormat="1" x14ac:dyDescent="0.3">
      <c r="A64" s="56" t="str">
        <f>IF(E64="","",MAX($A$8:A63)+1)</f>
        <v/>
      </c>
      <c r="B64" s="57"/>
      <c r="C64" s="57"/>
      <c r="D64" s="57"/>
    </row>
    <row r="65" spans="1:4" s="58" customFormat="1" x14ac:dyDescent="0.3">
      <c r="A65" s="56" t="str">
        <f>IF(E65="","",MAX($A$8:A64)+1)</f>
        <v/>
      </c>
      <c r="B65" s="57"/>
      <c r="C65" s="57"/>
      <c r="D65" s="57"/>
    </row>
    <row r="66" spans="1:4" s="58" customFormat="1" x14ac:dyDescent="0.3">
      <c r="A66" s="56" t="str">
        <f>IF(E66="","",MAX($A$8:A65)+1)</f>
        <v/>
      </c>
      <c r="B66" s="57"/>
      <c r="C66" s="57"/>
      <c r="D66" s="57"/>
    </row>
    <row r="67" spans="1:4" s="58" customFormat="1" x14ac:dyDescent="0.3">
      <c r="A67" s="56" t="str">
        <f>IF(E67="","",MAX($A$8:A66)+1)</f>
        <v/>
      </c>
      <c r="B67" s="57"/>
      <c r="C67" s="57"/>
      <c r="D67" s="57"/>
    </row>
    <row r="68" spans="1:4" s="58" customFormat="1" x14ac:dyDescent="0.3">
      <c r="A68" s="56" t="str">
        <f>IF(E68="","",MAX($A$8:A67)+1)</f>
        <v/>
      </c>
      <c r="B68" s="57"/>
      <c r="C68" s="57"/>
      <c r="D68" s="57"/>
    </row>
    <row r="69" spans="1:4" s="58" customFormat="1" x14ac:dyDescent="0.3">
      <c r="A69" s="56" t="str">
        <f>IF(E69="","",MAX($A$8:A68)+1)</f>
        <v/>
      </c>
      <c r="B69" s="57"/>
      <c r="C69" s="57"/>
      <c r="D69" s="57"/>
    </row>
    <row r="70" spans="1:4" s="58" customFormat="1" x14ac:dyDescent="0.3">
      <c r="A70" s="56" t="str">
        <f>IF(E70="","",MAX($A$8:A69)+1)</f>
        <v/>
      </c>
      <c r="B70" s="57"/>
      <c r="C70" s="57"/>
      <c r="D70" s="57"/>
    </row>
    <row r="71" spans="1:4" s="58" customFormat="1" x14ac:dyDescent="0.3">
      <c r="A71" s="56" t="str">
        <f>IF(E71="","",MAX($A$8:A70)+1)</f>
        <v/>
      </c>
      <c r="B71" s="57"/>
      <c r="C71" s="57"/>
      <c r="D71" s="57"/>
    </row>
    <row r="72" spans="1:4" s="58" customFormat="1" x14ac:dyDescent="0.3">
      <c r="A72" s="56" t="str">
        <f>IF(E72="","",MAX($A$8:A71)+1)</f>
        <v/>
      </c>
      <c r="B72" s="57"/>
      <c r="C72" s="57"/>
      <c r="D72" s="57"/>
    </row>
    <row r="73" spans="1:4" s="58" customFormat="1" x14ac:dyDescent="0.3">
      <c r="A73" s="56" t="str">
        <f>IF(E73="","",MAX($A$8:A72)+1)</f>
        <v/>
      </c>
      <c r="B73" s="57"/>
      <c r="C73" s="57"/>
      <c r="D73" s="57"/>
    </row>
    <row r="74" spans="1:4" s="58" customFormat="1" x14ac:dyDescent="0.3">
      <c r="A74" s="56" t="str">
        <f>IF(E74="","",MAX($A$8:A73)+1)</f>
        <v/>
      </c>
      <c r="B74" s="57"/>
      <c r="C74" s="57"/>
      <c r="D74" s="57"/>
    </row>
    <row r="75" spans="1:4" s="58" customFormat="1" x14ac:dyDescent="0.3">
      <c r="A75" s="56" t="str">
        <f>IF(E75="","",MAX($A$8:A74)+1)</f>
        <v/>
      </c>
      <c r="B75" s="57"/>
      <c r="C75" s="57"/>
      <c r="D75" s="57"/>
    </row>
    <row r="76" spans="1:4" s="58" customFormat="1" x14ac:dyDescent="0.3">
      <c r="A76" s="56" t="str">
        <f>IF(E76="","",MAX($A$8:A75)+1)</f>
        <v/>
      </c>
      <c r="B76" s="57"/>
      <c r="C76" s="57"/>
      <c r="D76" s="57"/>
    </row>
    <row r="77" spans="1:4" s="58" customFormat="1" x14ac:dyDescent="0.3">
      <c r="A77" s="56" t="str">
        <f>IF(E77="","",MAX($A$8:A76)+1)</f>
        <v/>
      </c>
      <c r="B77" s="57"/>
      <c r="C77" s="57"/>
      <c r="D77" s="57"/>
    </row>
    <row r="78" spans="1:4" s="58" customFormat="1" x14ac:dyDescent="0.3">
      <c r="A78" s="56" t="str">
        <f>IF(E78="","",MAX($A$8:A77)+1)</f>
        <v/>
      </c>
      <c r="B78" s="57"/>
      <c r="C78" s="57"/>
      <c r="D78" s="57"/>
    </row>
    <row r="79" spans="1:4" s="58" customFormat="1" x14ac:dyDescent="0.3">
      <c r="A79" s="56" t="str">
        <f>IF(E79="","",MAX($A$8:A78)+1)</f>
        <v/>
      </c>
      <c r="B79" s="57"/>
      <c r="C79" s="57"/>
      <c r="D79" s="57"/>
    </row>
    <row r="80" spans="1:4" s="58" customFormat="1" x14ac:dyDescent="0.3">
      <c r="A80" s="56" t="str">
        <f>IF(E80="","",MAX($A$8:A79)+1)</f>
        <v/>
      </c>
      <c r="B80" s="57"/>
      <c r="C80" s="57"/>
      <c r="D80" s="57"/>
    </row>
    <row r="81" spans="1:4" s="58" customFormat="1" x14ac:dyDescent="0.3">
      <c r="A81" s="56" t="str">
        <f>IF(E81="","",MAX($A$8:A80)+1)</f>
        <v/>
      </c>
      <c r="B81" s="57"/>
      <c r="C81" s="57"/>
      <c r="D81" s="57"/>
    </row>
    <row r="82" spans="1:4" s="62" customFormat="1" x14ac:dyDescent="0.3">
      <c r="A82" s="56" t="str">
        <f>IF(E82="","",MAX($A$8:A81)+1)</f>
        <v/>
      </c>
      <c r="B82" s="60"/>
      <c r="C82" s="61"/>
      <c r="D82" s="61"/>
    </row>
    <row r="83" spans="1:4" s="64" customFormat="1" x14ac:dyDescent="0.3">
      <c r="A83" s="63"/>
      <c r="B83" s="63"/>
      <c r="C83" s="63"/>
      <c r="D83" s="63"/>
    </row>
  </sheetData>
  <mergeCells count="6">
    <mergeCell ref="A3:B3"/>
    <mergeCell ref="C3:G3"/>
    <mergeCell ref="A4:B4"/>
    <mergeCell ref="F4:G4"/>
    <mergeCell ref="A5:B5"/>
    <mergeCell ref="F5:G5"/>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2:Y35"/>
  <sheetViews>
    <sheetView topLeftCell="B1" workbookViewId="0">
      <selection activeCell="M29" sqref="M29"/>
    </sheetView>
  </sheetViews>
  <sheetFormatPr defaultRowHeight="14.4" x14ac:dyDescent="0.3"/>
  <sheetData>
    <row r="2" spans="5:25" x14ac:dyDescent="0.3">
      <c r="E2" t="s">
        <v>93</v>
      </c>
      <c r="F2" t="s">
        <v>107</v>
      </c>
      <c r="G2" t="s">
        <v>94</v>
      </c>
    </row>
    <row r="3" spans="5:25" x14ac:dyDescent="0.3">
      <c r="E3" t="s">
        <v>95</v>
      </c>
      <c r="F3" t="s">
        <v>108</v>
      </c>
      <c r="G3" t="s">
        <v>96</v>
      </c>
    </row>
    <row r="4" spans="5:25" x14ac:dyDescent="0.3">
      <c r="E4" t="s">
        <v>97</v>
      </c>
      <c r="F4" t="s">
        <v>109</v>
      </c>
      <c r="G4" t="s">
        <v>98</v>
      </c>
    </row>
    <row r="5" spans="5:25" x14ac:dyDescent="0.3">
      <c r="E5" t="s">
        <v>99</v>
      </c>
      <c r="F5" t="s">
        <v>110</v>
      </c>
      <c r="G5" t="s">
        <v>100</v>
      </c>
    </row>
    <row r="6" spans="5:25" x14ac:dyDescent="0.3">
      <c r="E6" t="s">
        <v>101</v>
      </c>
      <c r="F6" t="s">
        <v>111</v>
      </c>
      <c r="G6" t="s">
        <v>102</v>
      </c>
    </row>
    <row r="7" spans="5:25" x14ac:dyDescent="0.3">
      <c r="E7" t="s">
        <v>103</v>
      </c>
      <c r="F7" t="s">
        <v>112</v>
      </c>
      <c r="G7" t="s">
        <v>102</v>
      </c>
    </row>
    <row r="8" spans="5:25" x14ac:dyDescent="0.3">
      <c r="E8" t="s">
        <v>93</v>
      </c>
      <c r="F8" t="s">
        <v>113</v>
      </c>
      <c r="G8" t="s">
        <v>94</v>
      </c>
    </row>
    <row r="9" spans="5:25" x14ac:dyDescent="0.3">
      <c r="E9" t="s">
        <v>104</v>
      </c>
      <c r="F9" t="s">
        <v>114</v>
      </c>
      <c r="G9" t="s">
        <v>96</v>
      </c>
    </row>
    <row r="10" spans="5:25" x14ac:dyDescent="0.3">
      <c r="E10" t="s">
        <v>105</v>
      </c>
      <c r="F10" t="s">
        <v>115</v>
      </c>
      <c r="G10" t="s">
        <v>98</v>
      </c>
    </row>
    <row r="11" spans="5:25" x14ac:dyDescent="0.3">
      <c r="E11" t="s">
        <v>106</v>
      </c>
      <c r="F11" t="s">
        <v>116</v>
      </c>
      <c r="G11" t="s">
        <v>100</v>
      </c>
      <c r="S11" t="s">
        <v>131</v>
      </c>
      <c r="W11" t="s">
        <v>93</v>
      </c>
      <c r="Y11" t="s">
        <v>94</v>
      </c>
    </row>
    <row r="12" spans="5:25" x14ac:dyDescent="0.3">
      <c r="E12" t="s">
        <v>101</v>
      </c>
      <c r="F12" t="s">
        <v>117</v>
      </c>
      <c r="G12" t="s">
        <v>102</v>
      </c>
      <c r="S12" t="s">
        <v>132</v>
      </c>
      <c r="W12" t="s">
        <v>104</v>
      </c>
      <c r="Y12" t="s">
        <v>96</v>
      </c>
    </row>
    <row r="13" spans="5:25" x14ac:dyDescent="0.3">
      <c r="E13" t="s">
        <v>103</v>
      </c>
      <c r="F13" t="s">
        <v>118</v>
      </c>
      <c r="G13" t="s">
        <v>102</v>
      </c>
      <c r="S13" t="s">
        <v>133</v>
      </c>
      <c r="W13" t="s">
        <v>97</v>
      </c>
      <c r="Y13" t="s">
        <v>98</v>
      </c>
    </row>
    <row r="14" spans="5:25" x14ac:dyDescent="0.3">
      <c r="S14" t="s">
        <v>134</v>
      </c>
      <c r="W14" t="s">
        <v>99</v>
      </c>
      <c r="Y14" t="s">
        <v>100</v>
      </c>
    </row>
    <row r="15" spans="5:25" x14ac:dyDescent="0.3">
      <c r="S15" t="s">
        <v>135</v>
      </c>
      <c r="W15" t="s">
        <v>101</v>
      </c>
      <c r="Y15" t="s">
        <v>102</v>
      </c>
    </row>
    <row r="16" spans="5:25" x14ac:dyDescent="0.3">
      <c r="S16" t="s">
        <v>136</v>
      </c>
      <c r="W16" t="s">
        <v>103</v>
      </c>
      <c r="Y16" t="s">
        <v>102</v>
      </c>
    </row>
    <row r="17" spans="5:25" x14ac:dyDescent="0.3">
      <c r="S17" t="s">
        <v>137</v>
      </c>
      <c r="W17" t="s">
        <v>93</v>
      </c>
      <c r="Y17" t="s">
        <v>94</v>
      </c>
    </row>
    <row r="18" spans="5:25" x14ac:dyDescent="0.3">
      <c r="S18" t="s">
        <v>138</v>
      </c>
      <c r="W18" t="s">
        <v>104</v>
      </c>
      <c r="Y18" t="s">
        <v>96</v>
      </c>
    </row>
    <row r="19" spans="5:25" x14ac:dyDescent="0.3">
      <c r="E19">
        <v>5</v>
      </c>
      <c r="F19">
        <v>4.9000000000000004</v>
      </c>
      <c r="G19">
        <v>0.3</v>
      </c>
      <c r="I19">
        <f>F19-E19</f>
        <v>-9.9999999999999645E-2</v>
      </c>
      <c r="K19">
        <f>MIN(I19,I25,I31)</f>
        <v>-0.20000000000000018</v>
      </c>
      <c r="L19">
        <f>MAX(I19,I25,I31)</f>
        <v>-9.9999999999999645E-2</v>
      </c>
      <c r="M19" s="43">
        <f>MAX((M25-L19),M25-K19)</f>
        <v>6.6666666666666735E-2</v>
      </c>
      <c r="S19" t="s">
        <v>139</v>
      </c>
      <c r="W19" t="s">
        <v>105</v>
      </c>
      <c r="Y19" t="s">
        <v>98</v>
      </c>
    </row>
    <row r="20" spans="5:25" x14ac:dyDescent="0.3">
      <c r="E20">
        <v>30</v>
      </c>
      <c r="F20">
        <v>30</v>
      </c>
      <c r="G20">
        <v>0.6</v>
      </c>
      <c r="I20">
        <f t="shared" ref="I20:I23" si="0">F20-E20</f>
        <v>0</v>
      </c>
      <c r="K20">
        <f t="shared" ref="K20:K23" si="1">MIN(I20,I26,I32)</f>
        <v>-0.10000000000000142</v>
      </c>
      <c r="L20">
        <f t="shared" ref="L20:L23" si="2">MAX(I20,I26,I32)</f>
        <v>0</v>
      </c>
      <c r="M20" s="43">
        <f>MAX((M26-L20),M26-K20)</f>
        <v>6.6666666666667623E-2</v>
      </c>
      <c r="S20" t="s">
        <v>140</v>
      </c>
      <c r="W20" t="s">
        <v>106</v>
      </c>
      <c r="Y20" t="s">
        <v>100</v>
      </c>
    </row>
    <row r="21" spans="5:25" x14ac:dyDescent="0.3">
      <c r="E21">
        <v>50</v>
      </c>
      <c r="F21">
        <v>50.1</v>
      </c>
      <c r="G21">
        <v>0.8</v>
      </c>
      <c r="I21">
        <f t="shared" si="0"/>
        <v>0.10000000000000142</v>
      </c>
      <c r="K21">
        <f t="shared" si="1"/>
        <v>-0.10000000000000142</v>
      </c>
      <c r="L21">
        <f t="shared" si="2"/>
        <v>0.10000000000000142</v>
      </c>
      <c r="M21" s="43">
        <f>MAX((M27-L21),M27-K21)</f>
        <v>0.13333333333333522</v>
      </c>
      <c r="S21" t="s">
        <v>141</v>
      </c>
      <c r="W21" t="s">
        <v>101</v>
      </c>
      <c r="Y21" t="s">
        <v>102</v>
      </c>
    </row>
    <row r="22" spans="5:25" x14ac:dyDescent="0.3">
      <c r="E22">
        <v>79.900000000000006</v>
      </c>
      <c r="F22">
        <v>79.900000000000006</v>
      </c>
      <c r="G22">
        <v>1</v>
      </c>
      <c r="I22">
        <f t="shared" si="0"/>
        <v>0</v>
      </c>
      <c r="K22">
        <f t="shared" si="1"/>
        <v>-0.5</v>
      </c>
      <c r="L22">
        <f t="shared" si="2"/>
        <v>0</v>
      </c>
      <c r="M22" s="43">
        <f>MAX((M28-L22),M28-K22)</f>
        <v>0.26666666666666572</v>
      </c>
      <c r="S22" t="s">
        <v>142</v>
      </c>
      <c r="W22" t="s">
        <v>103</v>
      </c>
      <c r="Y22" t="s">
        <v>102</v>
      </c>
    </row>
    <row r="23" spans="5:25" x14ac:dyDescent="0.3">
      <c r="E23">
        <v>97.2</v>
      </c>
      <c r="F23">
        <v>97.4</v>
      </c>
      <c r="G23">
        <v>1.1000000000000001</v>
      </c>
      <c r="I23">
        <f t="shared" si="0"/>
        <v>0.20000000000000284</v>
      </c>
      <c r="K23">
        <f t="shared" si="1"/>
        <v>-0.70000000000000284</v>
      </c>
      <c r="L23">
        <f t="shared" si="2"/>
        <v>0.20000000000000284</v>
      </c>
      <c r="M23" s="43">
        <f>MAX((M29-L23),M29-K23)</f>
        <v>0.5</v>
      </c>
      <c r="R23" s="43"/>
    </row>
    <row r="25" spans="5:25" x14ac:dyDescent="0.3">
      <c r="E25">
        <v>4.9000000000000004</v>
      </c>
      <c r="F25">
        <v>4.8</v>
      </c>
      <c r="G25">
        <v>0.3</v>
      </c>
      <c r="I25">
        <f>F25-E25</f>
        <v>-0.10000000000000053</v>
      </c>
      <c r="K25" s="43">
        <f>AVERAGE(E19,E25,E31)</f>
        <v>4.9333333333333336</v>
      </c>
      <c r="L25" s="43">
        <f>K25+M25</f>
        <v>4.8</v>
      </c>
      <c r="M25" s="43">
        <f>AVERAGE(I19,I25,I31)</f>
        <v>-0.13333333333333344</v>
      </c>
      <c r="N25">
        <f>MAX(G19,G25,G31)</f>
        <v>0.3</v>
      </c>
    </row>
    <row r="26" spans="5:25" x14ac:dyDescent="0.3">
      <c r="E26">
        <v>30</v>
      </c>
      <c r="F26">
        <v>30</v>
      </c>
      <c r="G26">
        <v>0.5</v>
      </c>
      <c r="I26">
        <f t="shared" ref="I26:I29" si="3">F26-E26</f>
        <v>0</v>
      </c>
      <c r="K26" s="43">
        <f>AVERAGE(E20,E26,E32)</f>
        <v>30</v>
      </c>
      <c r="L26" s="43">
        <f t="shared" ref="L26:L29" si="4">K26+M26</f>
        <v>29.966666666666665</v>
      </c>
      <c r="M26" s="43">
        <f>AVERAGE(I20,I26,I32)</f>
        <v>-3.3333333333333805E-2</v>
      </c>
      <c r="N26">
        <f>MAX(G20,G26,G32)</f>
        <v>0.6</v>
      </c>
    </row>
    <row r="27" spans="5:25" x14ac:dyDescent="0.3">
      <c r="E27">
        <v>50</v>
      </c>
      <c r="F27">
        <v>50.1</v>
      </c>
      <c r="G27">
        <v>0.7</v>
      </c>
      <c r="I27">
        <f t="shared" si="3"/>
        <v>0.10000000000000142</v>
      </c>
      <c r="K27" s="43">
        <f>AVERAGE(E21,E27,E33)</f>
        <v>50</v>
      </c>
      <c r="L27" s="43">
        <f t="shared" si="4"/>
        <v>50.033333333333331</v>
      </c>
      <c r="M27" s="43">
        <f>AVERAGE(I21,I27,I33)</f>
        <v>3.3333333333333805E-2</v>
      </c>
      <c r="N27">
        <f>MAX(G21,G27,G33)</f>
        <v>0.8</v>
      </c>
    </row>
    <row r="28" spans="5:25" x14ac:dyDescent="0.3">
      <c r="E28">
        <v>79.7</v>
      </c>
      <c r="F28">
        <v>79.5</v>
      </c>
      <c r="G28">
        <v>0.9</v>
      </c>
      <c r="I28">
        <f t="shared" si="3"/>
        <v>-0.20000000000000284</v>
      </c>
      <c r="K28" s="43">
        <f>AVERAGE(E22,E28,E34)</f>
        <v>79.766666666666666</v>
      </c>
      <c r="L28" s="43">
        <f t="shared" si="4"/>
        <v>79.533333333333331</v>
      </c>
      <c r="M28" s="43">
        <f>AVERAGE(I22,I28,I34)</f>
        <v>-0.23333333333333428</v>
      </c>
      <c r="N28">
        <f>MAX(G22,G28,G34)</f>
        <v>1</v>
      </c>
    </row>
    <row r="29" spans="5:25" x14ac:dyDescent="0.3">
      <c r="E29">
        <v>97.2</v>
      </c>
      <c r="F29">
        <v>97.1</v>
      </c>
      <c r="G29">
        <v>1</v>
      </c>
      <c r="I29">
        <f t="shared" si="3"/>
        <v>-0.10000000000000853</v>
      </c>
      <c r="K29" s="43">
        <f>AVERAGE(E23,E29,E35)</f>
        <v>97.233333333333334</v>
      </c>
      <c r="L29" s="43">
        <f t="shared" si="4"/>
        <v>97.033333333333331</v>
      </c>
      <c r="M29" s="43">
        <f>AVERAGE(I23,I29,I35)</f>
        <v>-0.20000000000000284</v>
      </c>
      <c r="N29">
        <f>MAX(G23,G29,G35)</f>
        <v>1.1000000000000001</v>
      </c>
    </row>
    <row r="31" spans="5:25" x14ac:dyDescent="0.3">
      <c r="E31">
        <v>4.9000000000000004</v>
      </c>
      <c r="F31">
        <v>4.7</v>
      </c>
      <c r="G31">
        <v>0.3</v>
      </c>
      <c r="I31">
        <f>F31-E31</f>
        <v>-0.20000000000000018</v>
      </c>
      <c r="L31" s="43">
        <f>MAX(M19:M23)</f>
        <v>0.5</v>
      </c>
      <c r="M31" t="s">
        <v>126</v>
      </c>
    </row>
    <row r="32" spans="5:25" x14ac:dyDescent="0.3">
      <c r="E32">
        <v>30</v>
      </c>
      <c r="F32">
        <v>29.9</v>
      </c>
      <c r="G32">
        <v>0.5</v>
      </c>
      <c r="I32">
        <f t="shared" ref="I32:I35" si="5">F32-E32</f>
        <v>-0.10000000000000142</v>
      </c>
    </row>
    <row r="33" spans="5:9" x14ac:dyDescent="0.3">
      <c r="E33">
        <v>50</v>
      </c>
      <c r="F33">
        <v>49.9</v>
      </c>
      <c r="G33">
        <v>0.7</v>
      </c>
      <c r="I33">
        <f t="shared" si="5"/>
        <v>-0.10000000000000142</v>
      </c>
    </row>
    <row r="34" spans="5:9" x14ac:dyDescent="0.3">
      <c r="E34">
        <v>79.7</v>
      </c>
      <c r="F34">
        <v>79.2</v>
      </c>
      <c r="G34">
        <v>0.9</v>
      </c>
      <c r="I34">
        <f t="shared" si="5"/>
        <v>-0.5</v>
      </c>
    </row>
    <row r="35" spans="5:9" x14ac:dyDescent="0.3">
      <c r="E35">
        <v>97.3</v>
      </c>
      <c r="F35">
        <v>96.6</v>
      </c>
      <c r="G35">
        <v>0.9</v>
      </c>
      <c r="I35">
        <f t="shared" si="5"/>
        <v>-0.70000000000000284</v>
      </c>
    </row>
  </sheetData>
  <pageMargins left="0.511811024" right="0.511811024" top="0.78740157499999996" bottom="0.78740157499999996" header="0.31496062000000002" footer="0.31496062000000002"/>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6C1A7-F3C5-41C0-AC5F-F4B9B6C70FE5}">
  <dimension ref="D5:J16"/>
  <sheetViews>
    <sheetView topLeftCell="A4" workbookViewId="0">
      <selection activeCell="D26" sqref="D26"/>
    </sheetView>
  </sheetViews>
  <sheetFormatPr defaultRowHeight="14.4" x14ac:dyDescent="0.3"/>
  <sheetData>
    <row r="5" spans="4:10" x14ac:dyDescent="0.3">
      <c r="D5" t="s">
        <v>170</v>
      </c>
      <c r="H5" t="s">
        <v>93</v>
      </c>
      <c r="J5" t="s">
        <v>191</v>
      </c>
    </row>
    <row r="6" spans="4:10" x14ac:dyDescent="0.3">
      <c r="D6" t="s">
        <v>171</v>
      </c>
      <c r="H6" t="s">
        <v>95</v>
      </c>
      <c r="J6" t="s">
        <v>192</v>
      </c>
    </row>
    <row r="7" spans="4:10" x14ac:dyDescent="0.3">
      <c r="D7" t="s">
        <v>172</v>
      </c>
      <c r="H7" t="s">
        <v>173</v>
      </c>
      <c r="J7" t="s">
        <v>193</v>
      </c>
    </row>
    <row r="8" spans="4:10" x14ac:dyDescent="0.3">
      <c r="D8" t="s">
        <v>174</v>
      </c>
      <c r="H8" t="s">
        <v>175</v>
      </c>
      <c r="J8" t="s">
        <v>194</v>
      </c>
    </row>
    <row r="9" spans="4:10" x14ac:dyDescent="0.3">
      <c r="D9" t="s">
        <v>176</v>
      </c>
      <c r="H9" t="s">
        <v>177</v>
      </c>
      <c r="J9" t="s">
        <v>195</v>
      </c>
    </row>
    <row r="10" spans="4:10" x14ac:dyDescent="0.3">
      <c r="D10" t="s">
        <v>178</v>
      </c>
      <c r="H10" t="s">
        <v>179</v>
      </c>
      <c r="J10" t="s">
        <v>196</v>
      </c>
    </row>
    <row r="11" spans="4:10" x14ac:dyDescent="0.3">
      <c r="D11" t="s">
        <v>180</v>
      </c>
      <c r="H11" t="s">
        <v>181</v>
      </c>
      <c r="J11" t="s">
        <v>191</v>
      </c>
    </row>
    <row r="12" spans="4:10" x14ac:dyDescent="0.3">
      <c r="D12" t="s">
        <v>182</v>
      </c>
      <c r="H12" t="s">
        <v>95</v>
      </c>
      <c r="J12" t="s">
        <v>197</v>
      </c>
    </row>
    <row r="13" spans="4:10" x14ac:dyDescent="0.3">
      <c r="D13" t="s">
        <v>183</v>
      </c>
      <c r="H13" t="s">
        <v>184</v>
      </c>
      <c r="J13" t="s">
        <v>198</v>
      </c>
    </row>
    <row r="14" spans="4:10" x14ac:dyDescent="0.3">
      <c r="D14" t="s">
        <v>185</v>
      </c>
      <c r="H14" t="s">
        <v>186</v>
      </c>
      <c r="J14" t="s">
        <v>199</v>
      </c>
    </row>
    <row r="15" spans="4:10" x14ac:dyDescent="0.3">
      <c r="D15" t="s">
        <v>187</v>
      </c>
      <c r="H15" t="s">
        <v>188</v>
      </c>
      <c r="J15" t="s">
        <v>200</v>
      </c>
    </row>
    <row r="16" spans="4:10" x14ac:dyDescent="0.3">
      <c r="D16" t="s">
        <v>189</v>
      </c>
      <c r="H16" t="s">
        <v>190</v>
      </c>
      <c r="J16" t="s">
        <v>201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Planilhas</vt:lpstr>
      </vt:variant>
      <vt:variant>
        <vt:i4>5</vt:i4>
      </vt:variant>
    </vt:vector>
  </HeadingPairs>
  <TitlesOfParts>
    <vt:vector size="5" baseType="lpstr">
      <vt:lpstr>Controle</vt:lpstr>
      <vt:lpstr>Cadastro dos Padrões</vt:lpstr>
      <vt:lpstr>Histórico de revisões</vt:lpstr>
      <vt:lpstr>Planilha1</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Caio Silva</dc:creator>
  <cp:lastModifiedBy>Caio Silva</cp:lastModifiedBy>
  <dcterms:created xsi:type="dcterms:W3CDTF">2016-06-16T17:42:59Z</dcterms:created>
  <dcterms:modified xsi:type="dcterms:W3CDTF">2026-02-23T12:03:10Z</dcterms:modified>
</cp:coreProperties>
</file>