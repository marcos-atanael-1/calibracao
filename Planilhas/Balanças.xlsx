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fileSharing readOnlyRecommended="1" userName="Caio Silva" algorithmName="SHA-512" hashValue="0uJNZspnp+I1OHp2FXsr2jgj1NULwY0LAXthPngKD54n7717uNY6dOi/vENkRPnyZ6rRWhhnkaNZRzWVycA+8g==" saltValue="1bkdfBVB3tytRaaLCbTIog==" spinCount="10000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T:\ELUS\Formulários\Modelo de Certificado Acreditado\Banco de dados de padrões\"/>
    </mc:Choice>
  </mc:AlternateContent>
  <xr:revisionPtr revIDLastSave="0" documentId="13_ncr:10001_{65187CF5-29D1-4D76-9353-AC7825814CEC}" xr6:coauthVersionLast="47" xr6:coauthVersionMax="47" xr10:uidLastSave="{00000000-0000-0000-0000-000000000000}"/>
  <bookViews>
    <workbookView xWindow="-108" yWindow="-108" windowWidth="23256" windowHeight="13896" tabRatio="563" activeTab="1" xr2:uid="{00000000-000D-0000-FFFF-FFFF00000000}"/>
  </bookViews>
  <sheets>
    <sheet name="Cadastro dos Padrões" sheetId="1" r:id="rId1"/>
    <sheet name="Controle" sheetId="3" r:id="rId2"/>
    <sheet name="Histórico de revisões" sheetId="5" r:id="rId3"/>
    <sheet name="Planilha1" sheetId="6" r:id="rId4"/>
  </sheets>
  <externalReferences>
    <externalReference r:id="rId5"/>
    <externalReference r:id="rId6"/>
  </externalReferences>
  <definedNames>
    <definedName name="_Z99999">[1]Cliente!#REF!</definedName>
    <definedName name="_ZZ99">[1]Cliente!#REF!</definedName>
    <definedName name="capacidade">[2]Dados!$F$11</definedName>
    <definedName name="CERTIFICADO">[1]Cliente!$Y$8</definedName>
    <definedName name="data_receb">[2]Dados!$E$7</definedName>
    <definedName name="DATA_RECEBIMENTO">[1]Cliente!#REF!</definedName>
    <definedName name="ENTRADA">[1]Cliente!#REF!</definedName>
    <definedName name="equip">[2]Dados!$C$10</definedName>
    <definedName name="n_cert">[2]Dados!$C$8</definedName>
    <definedName name="n_ident">[2]Dados!$C$13</definedName>
    <definedName name="n_serie">[2]Dados!$C$14</definedName>
    <definedName name="pressão">[2]Dados!$D$27</definedName>
    <definedName name="proced">[2]Dados!$F$13</definedName>
    <definedName name="resolução">[2]Dados!$F$10</definedName>
    <definedName name="solver_adj" hidden="1">[2]Dados!#REF!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[2]Dados!#REF!</definedName>
    <definedName name="solver_lhs2" hidden="1">[2]Dados!#REF!</definedName>
    <definedName name="solver_lin" hidden="1">2</definedName>
    <definedName name="solver_neg" hidden="1">2</definedName>
    <definedName name="solver_num" hidden="1">2</definedName>
    <definedName name="solver_nwt" hidden="1">1</definedName>
    <definedName name="solver_opt" hidden="1">[2]Dados!#REF!</definedName>
    <definedName name="solver_pre" hidden="1">0.000001</definedName>
    <definedName name="solver_rel1" hidden="1">2</definedName>
    <definedName name="solver_rel2" hidden="1">2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temp_ar">[2]Dados!$D$25</definedName>
    <definedName name="temp_carr">#REF!</definedName>
    <definedName name="umid">[2]Dados!#REF!</definedName>
    <definedName name="unid_e">[2]Dados!$D$31</definedName>
    <definedName name="versão">[2]Dados!$F$14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1" i="1" l="1"/>
  <c r="F838" i="1"/>
  <c r="D838" i="1"/>
  <c r="H831" i="1"/>
  <c r="B844" i="1" s="1"/>
  <c r="B798" i="1"/>
  <c r="G798" i="1" s="1"/>
  <c r="H798" i="1" s="1"/>
  <c r="E795" i="1"/>
  <c r="F792" i="1"/>
  <c r="D792" i="1"/>
  <c r="H785" i="1"/>
  <c r="G792" i="1" s="1"/>
  <c r="E749" i="1"/>
  <c r="F746" i="1"/>
  <c r="D746" i="1"/>
  <c r="H739" i="1"/>
  <c r="B752" i="1" s="1"/>
  <c r="E703" i="1"/>
  <c r="G700" i="1"/>
  <c r="F700" i="1"/>
  <c r="D700" i="1"/>
  <c r="H693" i="1"/>
  <c r="B706" i="1" s="1"/>
  <c r="E657" i="1"/>
  <c r="F654" i="1"/>
  <c r="D654" i="1"/>
  <c r="H647" i="1"/>
  <c r="B660" i="1" s="1"/>
  <c r="H601" i="1"/>
  <c r="CA4" i="3"/>
  <c r="BZ5" i="3"/>
  <c r="BZ4" i="3"/>
  <c r="CA3" i="3"/>
  <c r="CA5" i="3" s="1"/>
  <c r="CA2" i="3"/>
  <c r="CB2" i="3" s="1"/>
  <c r="CC2" i="3" s="1"/>
  <c r="CD2" i="3" s="1"/>
  <c r="CE2" i="3" s="1"/>
  <c r="CF2" i="3" s="1"/>
  <c r="CG2" i="3" s="1"/>
  <c r="CH2" i="3" s="1"/>
  <c r="CI2" i="3" s="1"/>
  <c r="BR2" i="3"/>
  <c r="BS2" i="3" s="1"/>
  <c r="BQ2" i="3"/>
  <c r="BP5" i="3"/>
  <c r="BQ3" i="3"/>
  <c r="BQ4" i="3" s="1"/>
  <c r="BP4" i="3"/>
  <c r="CB3" i="3" l="1"/>
  <c r="CC3" i="3" s="1"/>
  <c r="CD3" i="3" s="1"/>
  <c r="BQ5" i="3"/>
  <c r="BR3" i="3"/>
  <c r="BR5" i="3" s="1"/>
  <c r="G844" i="1"/>
  <c r="H844" i="1" s="1"/>
  <c r="C844" i="1"/>
  <c r="D844" i="1" s="1"/>
  <c r="G838" i="1"/>
  <c r="C798" i="1"/>
  <c r="D798" i="1" s="1"/>
  <c r="G752" i="1"/>
  <c r="H752" i="1" s="1"/>
  <c r="C752" i="1"/>
  <c r="D752" i="1" s="1"/>
  <c r="G746" i="1"/>
  <c r="G706" i="1"/>
  <c r="H706" i="1" s="1"/>
  <c r="C706" i="1"/>
  <c r="D706" i="1" s="1"/>
  <c r="G654" i="1"/>
  <c r="G660" i="1"/>
  <c r="H660" i="1" s="1"/>
  <c r="C660" i="1"/>
  <c r="D660" i="1" s="1"/>
  <c r="CC5" i="3"/>
  <c r="CD4" i="3"/>
  <c r="CB5" i="3"/>
  <c r="CC4" i="3"/>
  <c r="CB4" i="3"/>
  <c r="BT2" i="3"/>
  <c r="BR4" i="3"/>
  <c r="F562" i="1"/>
  <c r="E565" i="1"/>
  <c r="D562" i="1"/>
  <c r="H555" i="1"/>
  <c r="B568" i="1" s="1"/>
  <c r="E519" i="1"/>
  <c r="F516" i="1"/>
  <c r="D516" i="1"/>
  <c r="H509" i="1"/>
  <c r="B522" i="1" s="1"/>
  <c r="E473" i="1"/>
  <c r="F470" i="1"/>
  <c r="D470" i="1"/>
  <c r="H463" i="1"/>
  <c r="B476" i="1" s="1"/>
  <c r="E919" i="1"/>
  <c r="C919" i="1"/>
  <c r="B919" i="1"/>
  <c r="H918" i="1"/>
  <c r="G918" i="1"/>
  <c r="E918" i="1"/>
  <c r="C918" i="1"/>
  <c r="B918" i="1"/>
  <c r="H917" i="1"/>
  <c r="G917" i="1"/>
  <c r="E917" i="1"/>
  <c r="C917" i="1"/>
  <c r="B917" i="1"/>
  <c r="H916" i="1"/>
  <c r="G916" i="1"/>
  <c r="E916" i="1"/>
  <c r="C916" i="1"/>
  <c r="B916" i="1"/>
  <c r="E915" i="1"/>
  <c r="C915" i="1"/>
  <c r="B915" i="1"/>
  <c r="J914" i="1"/>
  <c r="F914" i="1"/>
  <c r="E914" i="1"/>
  <c r="C914" i="1"/>
  <c r="D914" i="1" s="1"/>
  <c r="B914" i="1"/>
  <c r="J913" i="1"/>
  <c r="E913" i="1"/>
  <c r="C913" i="1"/>
  <c r="B913" i="1"/>
  <c r="K912" i="1" a="1"/>
  <c r="O914" i="1" s="1"/>
  <c r="J912" i="1"/>
  <c r="F912" i="1"/>
  <c r="E912" i="1"/>
  <c r="C912" i="1"/>
  <c r="B912" i="1"/>
  <c r="E911" i="1"/>
  <c r="C911" i="1"/>
  <c r="B911" i="1"/>
  <c r="J910" i="1"/>
  <c r="F910" i="1"/>
  <c r="E910" i="1"/>
  <c r="C910" i="1"/>
  <c r="D910" i="1" s="1"/>
  <c r="B910" i="1"/>
  <c r="J909" i="1"/>
  <c r="K908" i="1" a="1"/>
  <c r="R910" i="1" s="1"/>
  <c r="J908" i="1"/>
  <c r="J906" i="1"/>
  <c r="J905" i="1"/>
  <c r="K904" i="1" a="1"/>
  <c r="J904" i="1"/>
  <c r="J902" i="1"/>
  <c r="J901" i="1"/>
  <c r="K900" i="1" a="1"/>
  <c r="M902" i="1" s="1"/>
  <c r="J900" i="1"/>
  <c r="J898" i="1"/>
  <c r="J897" i="1"/>
  <c r="O898" i="1"/>
  <c r="K896" i="1" a="1"/>
  <c r="N898" i="1" s="1"/>
  <c r="J896" i="1"/>
  <c r="J894" i="1"/>
  <c r="J893" i="1"/>
  <c r="K892" i="1" a="1"/>
  <c r="L894" i="1" s="1"/>
  <c r="J892" i="1"/>
  <c r="J890" i="1"/>
  <c r="J889" i="1"/>
  <c r="K888" i="1" a="1"/>
  <c r="L890" i="1" s="1"/>
  <c r="J888" i="1"/>
  <c r="E887" i="1"/>
  <c r="J886" i="1"/>
  <c r="J885" i="1"/>
  <c r="K884" i="1" a="1"/>
  <c r="L886" i="1" s="1"/>
  <c r="J884" i="1"/>
  <c r="G884" i="1"/>
  <c r="F884" i="1"/>
  <c r="D884" i="1"/>
  <c r="J881" i="1"/>
  <c r="J879" i="1"/>
  <c r="O882" i="1" s="1"/>
  <c r="V877" i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H877" i="1"/>
  <c r="B890" i="1" s="1"/>
  <c r="G890" i="1" s="1"/>
  <c r="H890" i="1" s="1"/>
  <c r="E873" i="1"/>
  <c r="C873" i="1"/>
  <c r="B873" i="1"/>
  <c r="H872" i="1"/>
  <c r="G872" i="1"/>
  <c r="E872" i="1"/>
  <c r="C872" i="1"/>
  <c r="B872" i="1"/>
  <c r="H871" i="1"/>
  <c r="G871" i="1"/>
  <c r="E871" i="1"/>
  <c r="C871" i="1"/>
  <c r="B871" i="1"/>
  <c r="H870" i="1"/>
  <c r="G870" i="1"/>
  <c r="E870" i="1"/>
  <c r="C870" i="1"/>
  <c r="B870" i="1"/>
  <c r="E869" i="1"/>
  <c r="C869" i="1"/>
  <c r="D869" i="1" s="1"/>
  <c r="B869" i="1"/>
  <c r="J868" i="1"/>
  <c r="E868" i="1"/>
  <c r="C868" i="1"/>
  <c r="B868" i="1"/>
  <c r="J867" i="1"/>
  <c r="E867" i="1"/>
  <c r="C867" i="1"/>
  <c r="B867" i="1"/>
  <c r="K866" i="1" a="1"/>
  <c r="L868" i="1" s="1"/>
  <c r="J866" i="1"/>
  <c r="E866" i="1"/>
  <c r="C866" i="1"/>
  <c r="B866" i="1"/>
  <c r="E865" i="1"/>
  <c r="C865" i="1"/>
  <c r="B865" i="1"/>
  <c r="J864" i="1"/>
  <c r="E864" i="1"/>
  <c r="C864" i="1"/>
  <c r="B864" i="1"/>
  <c r="J863" i="1"/>
  <c r="K862" i="1" a="1"/>
  <c r="R864" i="1" s="1"/>
  <c r="J862" i="1"/>
  <c r="J860" i="1"/>
  <c r="J859" i="1"/>
  <c r="K858" i="1" a="1"/>
  <c r="Q860" i="1" s="1"/>
  <c r="J858" i="1"/>
  <c r="J856" i="1"/>
  <c r="J855" i="1"/>
  <c r="K854" i="1" a="1"/>
  <c r="M856" i="1" s="1"/>
  <c r="J854" i="1"/>
  <c r="J852" i="1"/>
  <c r="J851" i="1"/>
  <c r="K850" i="1" a="1"/>
  <c r="N852" i="1" s="1"/>
  <c r="J850" i="1"/>
  <c r="J848" i="1"/>
  <c r="J847" i="1"/>
  <c r="K846" i="1" a="1"/>
  <c r="L848" i="1" s="1"/>
  <c r="J846" i="1"/>
  <c r="J844" i="1"/>
  <c r="J843" i="1"/>
  <c r="K842" i="1" a="1"/>
  <c r="L844" i="1" s="1"/>
  <c r="J842" i="1"/>
  <c r="J840" i="1"/>
  <c r="J839" i="1"/>
  <c r="K838" i="1" a="1"/>
  <c r="L840" i="1" s="1"/>
  <c r="J838" i="1"/>
  <c r="J833" i="1"/>
  <c r="V832" i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31" i="1"/>
  <c r="E827" i="1"/>
  <c r="C827" i="1"/>
  <c r="B827" i="1"/>
  <c r="H826" i="1"/>
  <c r="G826" i="1"/>
  <c r="E826" i="1"/>
  <c r="C826" i="1"/>
  <c r="B826" i="1"/>
  <c r="H825" i="1"/>
  <c r="G825" i="1"/>
  <c r="E825" i="1"/>
  <c r="C825" i="1"/>
  <c r="B825" i="1"/>
  <c r="D825" i="1" s="1"/>
  <c r="H824" i="1"/>
  <c r="G824" i="1"/>
  <c r="E824" i="1"/>
  <c r="C824" i="1"/>
  <c r="B824" i="1"/>
  <c r="E823" i="1"/>
  <c r="C823" i="1"/>
  <c r="B823" i="1"/>
  <c r="J822" i="1"/>
  <c r="E822" i="1"/>
  <c r="C822" i="1"/>
  <c r="B822" i="1"/>
  <c r="J821" i="1"/>
  <c r="E821" i="1"/>
  <c r="C821" i="1"/>
  <c r="B821" i="1"/>
  <c r="K820" i="1" a="1"/>
  <c r="N822" i="1" s="1"/>
  <c r="J820" i="1"/>
  <c r="E820" i="1"/>
  <c r="C820" i="1"/>
  <c r="B820" i="1"/>
  <c r="E819" i="1"/>
  <c r="C819" i="1"/>
  <c r="B819" i="1"/>
  <c r="J818" i="1"/>
  <c r="E818" i="1"/>
  <c r="C818" i="1"/>
  <c r="B818" i="1"/>
  <c r="J817" i="1"/>
  <c r="K816" i="1" a="1"/>
  <c r="R818" i="1" s="1"/>
  <c r="J816" i="1"/>
  <c r="J814" i="1"/>
  <c r="J813" i="1"/>
  <c r="K812" i="1" a="1"/>
  <c r="O814" i="1" s="1"/>
  <c r="J812" i="1"/>
  <c r="J810" i="1"/>
  <c r="J809" i="1"/>
  <c r="K808" i="1" a="1"/>
  <c r="M810" i="1" s="1"/>
  <c r="J808" i="1"/>
  <c r="J806" i="1"/>
  <c r="J805" i="1"/>
  <c r="K804" i="1" a="1"/>
  <c r="N806" i="1" s="1"/>
  <c r="J804" i="1"/>
  <c r="J802" i="1"/>
  <c r="J801" i="1"/>
  <c r="K800" i="1" a="1"/>
  <c r="N801" i="1" s="1"/>
  <c r="J800" i="1"/>
  <c r="J798" i="1"/>
  <c r="J797" i="1"/>
  <c r="K796" i="1" a="1"/>
  <c r="L798" i="1" s="1"/>
  <c r="J796" i="1"/>
  <c r="J794" i="1"/>
  <c r="J793" i="1"/>
  <c r="K792" i="1" a="1"/>
  <c r="L794" i="1" s="1"/>
  <c r="J792" i="1"/>
  <c r="J787" i="1"/>
  <c r="O790" i="1" s="1"/>
  <c r="V785" i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E781" i="1"/>
  <c r="C781" i="1"/>
  <c r="B781" i="1"/>
  <c r="H780" i="1"/>
  <c r="G780" i="1"/>
  <c r="E780" i="1"/>
  <c r="C780" i="1"/>
  <c r="B780" i="1"/>
  <c r="H779" i="1"/>
  <c r="G779" i="1"/>
  <c r="E779" i="1"/>
  <c r="C779" i="1"/>
  <c r="B779" i="1"/>
  <c r="H778" i="1"/>
  <c r="G778" i="1"/>
  <c r="E778" i="1"/>
  <c r="C778" i="1"/>
  <c r="B778" i="1"/>
  <c r="E777" i="1"/>
  <c r="C777" i="1"/>
  <c r="B777" i="1"/>
  <c r="J776" i="1"/>
  <c r="E776" i="1"/>
  <c r="C776" i="1"/>
  <c r="B776" i="1"/>
  <c r="J775" i="1"/>
  <c r="E775" i="1"/>
  <c r="C775" i="1"/>
  <c r="B775" i="1"/>
  <c r="K774" i="1" a="1"/>
  <c r="N776" i="1" s="1"/>
  <c r="J774" i="1"/>
  <c r="E774" i="1"/>
  <c r="C774" i="1"/>
  <c r="B774" i="1"/>
  <c r="E773" i="1"/>
  <c r="C773" i="1"/>
  <c r="B773" i="1"/>
  <c r="J772" i="1"/>
  <c r="E772" i="1"/>
  <c r="C772" i="1"/>
  <c r="B772" i="1"/>
  <c r="J771" i="1"/>
  <c r="K770" i="1" a="1"/>
  <c r="R772" i="1" s="1"/>
  <c r="J770" i="1"/>
  <c r="J768" i="1"/>
  <c r="J767" i="1"/>
  <c r="K766" i="1" a="1"/>
  <c r="P768" i="1" s="1"/>
  <c r="J766" i="1"/>
  <c r="J764" i="1"/>
  <c r="J763" i="1"/>
  <c r="K762" i="1" a="1"/>
  <c r="M764" i="1" s="1"/>
  <c r="J762" i="1"/>
  <c r="J760" i="1"/>
  <c r="J759" i="1"/>
  <c r="K758" i="1" a="1"/>
  <c r="N760" i="1" s="1"/>
  <c r="J758" i="1"/>
  <c r="J756" i="1"/>
  <c r="J755" i="1"/>
  <c r="K754" i="1" a="1"/>
  <c r="K756" i="1" s="1"/>
  <c r="J754" i="1"/>
  <c r="J752" i="1"/>
  <c r="J751" i="1"/>
  <c r="K750" i="1" a="1"/>
  <c r="L752" i="1" s="1"/>
  <c r="J750" i="1"/>
  <c r="J748" i="1"/>
  <c r="J747" i="1"/>
  <c r="K746" i="1" a="1"/>
  <c r="L748" i="1" s="1"/>
  <c r="J746" i="1"/>
  <c r="J741" i="1"/>
  <c r="V739" i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E735" i="1"/>
  <c r="C735" i="1"/>
  <c r="B735" i="1"/>
  <c r="H734" i="1"/>
  <c r="G734" i="1"/>
  <c r="E734" i="1"/>
  <c r="D734" i="1"/>
  <c r="C734" i="1"/>
  <c r="B734" i="1"/>
  <c r="H733" i="1"/>
  <c r="G733" i="1"/>
  <c r="E733" i="1"/>
  <c r="C733" i="1"/>
  <c r="B733" i="1"/>
  <c r="H732" i="1"/>
  <c r="G732" i="1"/>
  <c r="E732" i="1"/>
  <c r="C732" i="1"/>
  <c r="B732" i="1"/>
  <c r="E731" i="1"/>
  <c r="C731" i="1"/>
  <c r="B731" i="1"/>
  <c r="J730" i="1"/>
  <c r="E730" i="1"/>
  <c r="C730" i="1"/>
  <c r="B730" i="1"/>
  <c r="J729" i="1"/>
  <c r="E729" i="1"/>
  <c r="C729" i="1"/>
  <c r="B729" i="1"/>
  <c r="K728" i="1" a="1"/>
  <c r="J728" i="1"/>
  <c r="E728" i="1"/>
  <c r="C728" i="1"/>
  <c r="B728" i="1"/>
  <c r="E727" i="1"/>
  <c r="C727" i="1"/>
  <c r="B727" i="1"/>
  <c r="J726" i="1"/>
  <c r="E726" i="1"/>
  <c r="C726" i="1"/>
  <c r="B726" i="1"/>
  <c r="J725" i="1"/>
  <c r="K724" i="1" a="1"/>
  <c r="R726" i="1" s="1"/>
  <c r="J724" i="1"/>
  <c r="J722" i="1"/>
  <c r="J721" i="1"/>
  <c r="K720" i="1" a="1"/>
  <c r="P722" i="1" s="1"/>
  <c r="J720" i="1"/>
  <c r="J718" i="1"/>
  <c r="J717" i="1"/>
  <c r="K716" i="1" a="1"/>
  <c r="M718" i="1" s="1"/>
  <c r="J716" i="1"/>
  <c r="J714" i="1"/>
  <c r="J713" i="1"/>
  <c r="K712" i="1" a="1"/>
  <c r="J712" i="1"/>
  <c r="J710" i="1"/>
  <c r="J709" i="1"/>
  <c r="K708" i="1" a="1"/>
  <c r="K710" i="1" s="1"/>
  <c r="J708" i="1"/>
  <c r="J706" i="1"/>
  <c r="J705" i="1"/>
  <c r="K704" i="1" a="1"/>
  <c r="L706" i="1" s="1"/>
  <c r="J704" i="1"/>
  <c r="J702" i="1"/>
  <c r="J701" i="1"/>
  <c r="K700" i="1" a="1"/>
  <c r="L702" i="1" s="1"/>
  <c r="J700" i="1"/>
  <c r="J695" i="1"/>
  <c r="V693" i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E689" i="1"/>
  <c r="C689" i="1"/>
  <c r="B689" i="1"/>
  <c r="H688" i="1"/>
  <c r="G688" i="1"/>
  <c r="E688" i="1"/>
  <c r="C688" i="1"/>
  <c r="B688" i="1"/>
  <c r="H687" i="1"/>
  <c r="G687" i="1"/>
  <c r="E687" i="1"/>
  <c r="C687" i="1"/>
  <c r="B687" i="1"/>
  <c r="H686" i="1"/>
  <c r="G686" i="1"/>
  <c r="E686" i="1"/>
  <c r="C686" i="1"/>
  <c r="B686" i="1"/>
  <c r="E685" i="1"/>
  <c r="C685" i="1"/>
  <c r="B685" i="1"/>
  <c r="J684" i="1"/>
  <c r="E684" i="1"/>
  <c r="C684" i="1"/>
  <c r="B684" i="1"/>
  <c r="J683" i="1"/>
  <c r="E683" i="1"/>
  <c r="C683" i="1"/>
  <c r="B683" i="1"/>
  <c r="K682" i="1" a="1"/>
  <c r="N684" i="1" s="1"/>
  <c r="J682" i="1"/>
  <c r="E682" i="1"/>
  <c r="C682" i="1"/>
  <c r="B682" i="1"/>
  <c r="E681" i="1"/>
  <c r="C681" i="1"/>
  <c r="B681" i="1"/>
  <c r="J680" i="1"/>
  <c r="E680" i="1"/>
  <c r="C680" i="1"/>
  <c r="B680" i="1"/>
  <c r="J679" i="1"/>
  <c r="K678" i="1" a="1"/>
  <c r="R680" i="1" s="1"/>
  <c r="J678" i="1"/>
  <c r="J676" i="1"/>
  <c r="J675" i="1"/>
  <c r="K674" i="1" a="1"/>
  <c r="Q676" i="1" s="1"/>
  <c r="J674" i="1"/>
  <c r="J672" i="1"/>
  <c r="J671" i="1"/>
  <c r="K670" i="1" a="1"/>
  <c r="M672" i="1" s="1"/>
  <c r="J670" i="1"/>
  <c r="J668" i="1"/>
  <c r="J667" i="1"/>
  <c r="K666" i="1" a="1"/>
  <c r="O668" i="1" s="1"/>
  <c r="J666" i="1"/>
  <c r="J664" i="1"/>
  <c r="J663" i="1"/>
  <c r="K662" i="1" a="1"/>
  <c r="J662" i="1"/>
  <c r="J660" i="1"/>
  <c r="J659" i="1"/>
  <c r="K658" i="1" a="1"/>
  <c r="L660" i="1" s="1"/>
  <c r="J658" i="1"/>
  <c r="J656" i="1"/>
  <c r="J655" i="1"/>
  <c r="K654" i="1" a="1"/>
  <c r="J654" i="1"/>
  <c r="J649" i="1"/>
  <c r="J652" i="1" s="1"/>
  <c r="V647" i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E643" i="1"/>
  <c r="C643" i="1"/>
  <c r="B643" i="1"/>
  <c r="H642" i="1"/>
  <c r="G642" i="1"/>
  <c r="E642" i="1"/>
  <c r="C642" i="1"/>
  <c r="D642" i="1" s="1"/>
  <c r="B642" i="1"/>
  <c r="H641" i="1"/>
  <c r="G641" i="1"/>
  <c r="E641" i="1"/>
  <c r="C641" i="1"/>
  <c r="B641" i="1"/>
  <c r="H640" i="1"/>
  <c r="G640" i="1"/>
  <c r="E640" i="1"/>
  <c r="C640" i="1"/>
  <c r="B640" i="1"/>
  <c r="E639" i="1"/>
  <c r="C639" i="1"/>
  <c r="B639" i="1"/>
  <c r="J638" i="1"/>
  <c r="E638" i="1"/>
  <c r="C638" i="1"/>
  <c r="B638" i="1"/>
  <c r="J637" i="1"/>
  <c r="E637" i="1"/>
  <c r="C637" i="1"/>
  <c r="B637" i="1"/>
  <c r="K636" i="1" a="1"/>
  <c r="N638" i="1" s="1"/>
  <c r="J636" i="1"/>
  <c r="E636" i="1"/>
  <c r="C636" i="1"/>
  <c r="B636" i="1"/>
  <c r="E635" i="1"/>
  <c r="C635" i="1"/>
  <c r="B635" i="1"/>
  <c r="J634" i="1"/>
  <c r="E634" i="1"/>
  <c r="C634" i="1"/>
  <c r="B634" i="1"/>
  <c r="J633" i="1"/>
  <c r="K632" i="1" a="1"/>
  <c r="J632" i="1"/>
  <c r="J630" i="1"/>
  <c r="J629" i="1"/>
  <c r="K628" i="1" a="1"/>
  <c r="Q630" i="1" s="1"/>
  <c r="J628" i="1"/>
  <c r="J626" i="1"/>
  <c r="J625" i="1"/>
  <c r="K624" i="1" a="1"/>
  <c r="M626" i="1" s="1"/>
  <c r="J624" i="1"/>
  <c r="J622" i="1"/>
  <c r="J621" i="1"/>
  <c r="K620" i="1" a="1"/>
  <c r="N621" i="1" s="1"/>
  <c r="J620" i="1"/>
  <c r="J618" i="1"/>
  <c r="J617" i="1"/>
  <c r="K616" i="1" a="1"/>
  <c r="K618" i="1" s="1"/>
  <c r="J616" i="1"/>
  <c r="J614" i="1"/>
  <c r="J613" i="1"/>
  <c r="K612" i="1" a="1"/>
  <c r="M614" i="1" s="1"/>
  <c r="J612" i="1"/>
  <c r="E611" i="1"/>
  <c r="J610" i="1"/>
  <c r="J609" i="1"/>
  <c r="K608" i="1" a="1"/>
  <c r="L610" i="1" s="1"/>
  <c r="J608" i="1"/>
  <c r="G608" i="1"/>
  <c r="F608" i="1"/>
  <c r="D608" i="1"/>
  <c r="J603" i="1"/>
  <c r="V602" i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01" i="1"/>
  <c r="B614" i="1"/>
  <c r="G614" i="1" s="1"/>
  <c r="H614" i="1" s="1"/>
  <c r="E597" i="1"/>
  <c r="C597" i="1"/>
  <c r="B597" i="1"/>
  <c r="H596" i="1"/>
  <c r="G596" i="1"/>
  <c r="E596" i="1"/>
  <c r="C596" i="1"/>
  <c r="B596" i="1"/>
  <c r="H595" i="1"/>
  <c r="G595" i="1"/>
  <c r="E595" i="1"/>
  <c r="C595" i="1"/>
  <c r="B595" i="1"/>
  <c r="H594" i="1"/>
  <c r="G594" i="1"/>
  <c r="E594" i="1"/>
  <c r="C594" i="1"/>
  <c r="B594" i="1"/>
  <c r="E593" i="1"/>
  <c r="C593" i="1"/>
  <c r="B593" i="1"/>
  <c r="J592" i="1"/>
  <c r="E592" i="1"/>
  <c r="C592" i="1"/>
  <c r="B592" i="1"/>
  <c r="J591" i="1"/>
  <c r="E591" i="1"/>
  <c r="C591" i="1"/>
  <c r="B591" i="1"/>
  <c r="K590" i="1" a="1"/>
  <c r="N592" i="1" s="1"/>
  <c r="J590" i="1"/>
  <c r="E590" i="1"/>
  <c r="C590" i="1"/>
  <c r="B590" i="1"/>
  <c r="E589" i="1"/>
  <c r="C589" i="1"/>
  <c r="B589" i="1"/>
  <c r="J588" i="1"/>
  <c r="E588" i="1"/>
  <c r="C588" i="1"/>
  <c r="B588" i="1"/>
  <c r="J587" i="1"/>
  <c r="K586" i="1" a="1"/>
  <c r="L588" i="1" s="1"/>
  <c r="J586" i="1"/>
  <c r="J584" i="1"/>
  <c r="J583" i="1"/>
  <c r="K582" i="1" a="1"/>
  <c r="Q584" i="1" s="1"/>
  <c r="J582" i="1"/>
  <c r="J580" i="1"/>
  <c r="J579" i="1"/>
  <c r="K578" i="1" a="1"/>
  <c r="M580" i="1" s="1"/>
  <c r="J578" i="1"/>
  <c r="J576" i="1"/>
  <c r="J575" i="1"/>
  <c r="K574" i="1" a="1"/>
  <c r="N576" i="1" s="1"/>
  <c r="J574" i="1"/>
  <c r="J572" i="1"/>
  <c r="J571" i="1"/>
  <c r="K570" i="1" a="1"/>
  <c r="M572" i="1" s="1"/>
  <c r="J570" i="1"/>
  <c r="J568" i="1"/>
  <c r="J567" i="1"/>
  <c r="K566" i="1" a="1"/>
  <c r="L568" i="1" s="1"/>
  <c r="J566" i="1"/>
  <c r="J564" i="1"/>
  <c r="J563" i="1"/>
  <c r="K562" i="1" a="1"/>
  <c r="L564" i="1" s="1"/>
  <c r="J562" i="1"/>
  <c r="J557" i="1"/>
  <c r="J559" i="1" s="1"/>
  <c r="V555" i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E551" i="1"/>
  <c r="C551" i="1"/>
  <c r="B551" i="1"/>
  <c r="H550" i="1"/>
  <c r="G550" i="1"/>
  <c r="E550" i="1"/>
  <c r="C550" i="1"/>
  <c r="B550" i="1"/>
  <c r="H549" i="1"/>
  <c r="G549" i="1"/>
  <c r="E549" i="1"/>
  <c r="C549" i="1"/>
  <c r="B549" i="1"/>
  <c r="H548" i="1"/>
  <c r="G548" i="1"/>
  <c r="E548" i="1"/>
  <c r="C548" i="1"/>
  <c r="B548" i="1"/>
  <c r="E547" i="1"/>
  <c r="C547" i="1"/>
  <c r="B547" i="1"/>
  <c r="J546" i="1"/>
  <c r="E546" i="1"/>
  <c r="C546" i="1"/>
  <c r="B546" i="1"/>
  <c r="J545" i="1"/>
  <c r="E545" i="1"/>
  <c r="C545" i="1"/>
  <c r="B545" i="1"/>
  <c r="K544" i="1" a="1"/>
  <c r="N546" i="1" s="1"/>
  <c r="J544" i="1"/>
  <c r="E544" i="1"/>
  <c r="C544" i="1"/>
  <c r="B544" i="1"/>
  <c r="E543" i="1"/>
  <c r="C543" i="1"/>
  <c r="B543" i="1"/>
  <c r="J542" i="1"/>
  <c r="E542" i="1"/>
  <c r="C542" i="1"/>
  <c r="B542" i="1"/>
  <c r="J541" i="1"/>
  <c r="K540" i="1" a="1"/>
  <c r="R542" i="1" s="1"/>
  <c r="J540" i="1"/>
  <c r="J538" i="1"/>
  <c r="J537" i="1"/>
  <c r="K536" i="1" a="1"/>
  <c r="Q538" i="1" s="1"/>
  <c r="J536" i="1"/>
  <c r="J534" i="1"/>
  <c r="J533" i="1"/>
  <c r="K532" i="1" a="1"/>
  <c r="M534" i="1" s="1"/>
  <c r="J532" i="1"/>
  <c r="J530" i="1"/>
  <c r="J529" i="1"/>
  <c r="K528" i="1" a="1"/>
  <c r="N530" i="1" s="1"/>
  <c r="J528" i="1"/>
  <c r="J526" i="1"/>
  <c r="J525" i="1"/>
  <c r="K524" i="1" a="1"/>
  <c r="K526" i="1" s="1"/>
  <c r="J524" i="1"/>
  <c r="J522" i="1"/>
  <c r="J521" i="1"/>
  <c r="K520" i="1" a="1"/>
  <c r="L522" i="1" s="1"/>
  <c r="J520" i="1"/>
  <c r="J518" i="1"/>
  <c r="J517" i="1"/>
  <c r="K516" i="1" a="1"/>
  <c r="L518" i="1" s="1"/>
  <c r="J516" i="1"/>
  <c r="J511" i="1"/>
  <c r="O514" i="1" s="1"/>
  <c r="V509" i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E505" i="1"/>
  <c r="C505" i="1"/>
  <c r="D505" i="1" s="1"/>
  <c r="B505" i="1"/>
  <c r="H504" i="1"/>
  <c r="G504" i="1"/>
  <c r="E504" i="1"/>
  <c r="C504" i="1"/>
  <c r="B504" i="1"/>
  <c r="H503" i="1"/>
  <c r="G503" i="1"/>
  <c r="E503" i="1"/>
  <c r="C503" i="1"/>
  <c r="B503" i="1"/>
  <c r="H502" i="1"/>
  <c r="G502" i="1"/>
  <c r="E502" i="1"/>
  <c r="C502" i="1"/>
  <c r="B502" i="1"/>
  <c r="E501" i="1"/>
  <c r="C501" i="1"/>
  <c r="B501" i="1"/>
  <c r="J500" i="1"/>
  <c r="E500" i="1"/>
  <c r="C500" i="1"/>
  <c r="B500" i="1"/>
  <c r="J499" i="1"/>
  <c r="E499" i="1"/>
  <c r="C499" i="1"/>
  <c r="B499" i="1"/>
  <c r="K498" i="1" a="1"/>
  <c r="M500" i="1" s="1"/>
  <c r="J498" i="1"/>
  <c r="E498" i="1"/>
  <c r="C498" i="1"/>
  <c r="B498" i="1"/>
  <c r="E497" i="1"/>
  <c r="C497" i="1"/>
  <c r="B497" i="1"/>
  <c r="J496" i="1"/>
  <c r="E496" i="1"/>
  <c r="C496" i="1"/>
  <c r="B496" i="1"/>
  <c r="J495" i="1"/>
  <c r="K494" i="1" a="1"/>
  <c r="P496" i="1" s="1"/>
  <c r="J494" i="1"/>
  <c r="J492" i="1"/>
  <c r="J491" i="1"/>
  <c r="K490" i="1" a="1"/>
  <c r="O492" i="1" s="1"/>
  <c r="J490" i="1"/>
  <c r="J488" i="1"/>
  <c r="J487" i="1"/>
  <c r="K486" i="1" a="1"/>
  <c r="K488" i="1" s="1"/>
  <c r="J486" i="1"/>
  <c r="J484" i="1"/>
  <c r="J483" i="1"/>
  <c r="K482" i="1" a="1"/>
  <c r="L484" i="1" s="1"/>
  <c r="J482" i="1"/>
  <c r="J480" i="1"/>
  <c r="J479" i="1"/>
  <c r="K478" i="1" a="1"/>
  <c r="N479" i="1" s="1"/>
  <c r="J478" i="1"/>
  <c r="J476" i="1"/>
  <c r="J475" i="1"/>
  <c r="K474" i="1" a="1"/>
  <c r="M475" i="1" s="1"/>
  <c r="J474" i="1"/>
  <c r="J472" i="1"/>
  <c r="J471" i="1"/>
  <c r="K470" i="1" a="1"/>
  <c r="K472" i="1" s="1"/>
  <c r="J470" i="1"/>
  <c r="J465" i="1"/>
  <c r="O468" i="1" s="1"/>
  <c r="V463" i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9" i="5"/>
  <c r="D4" i="5"/>
  <c r="D823" i="1" l="1"/>
  <c r="D871" i="1"/>
  <c r="D913" i="1"/>
  <c r="O896" i="1"/>
  <c r="D641" i="1"/>
  <c r="D643" i="1"/>
  <c r="D727" i="1"/>
  <c r="L888" i="1"/>
  <c r="L897" i="1"/>
  <c r="D911" i="1"/>
  <c r="D919" i="1"/>
  <c r="M889" i="1"/>
  <c r="Q908" i="1"/>
  <c r="D777" i="1"/>
  <c r="P909" i="1"/>
  <c r="D917" i="1"/>
  <c r="BS3" i="3"/>
  <c r="Q910" i="1"/>
  <c r="D915" i="1"/>
  <c r="A10" i="5"/>
  <c r="Q912" i="1"/>
  <c r="CE3" i="3"/>
  <c r="CD5" i="3"/>
  <c r="M842" i="1"/>
  <c r="K850" i="1"/>
  <c r="M862" i="1"/>
  <c r="D865" i="1"/>
  <c r="N850" i="1"/>
  <c r="M864" i="1"/>
  <c r="D872" i="1"/>
  <c r="L852" i="1"/>
  <c r="D867" i="1"/>
  <c r="D864" i="1"/>
  <c r="D866" i="1"/>
  <c r="O852" i="1"/>
  <c r="J789" i="1"/>
  <c r="L805" i="1"/>
  <c r="D819" i="1"/>
  <c r="M806" i="1"/>
  <c r="M798" i="1"/>
  <c r="O813" i="1"/>
  <c r="N821" i="1"/>
  <c r="P813" i="1"/>
  <c r="K816" i="1"/>
  <c r="Q813" i="1"/>
  <c r="K817" i="1"/>
  <c r="P814" i="1"/>
  <c r="N812" i="1"/>
  <c r="Q814" i="1"/>
  <c r="D826" i="1"/>
  <c r="M800" i="1"/>
  <c r="O812" i="1"/>
  <c r="Q818" i="1"/>
  <c r="P812" i="1"/>
  <c r="D818" i="1"/>
  <c r="S787" i="1"/>
  <c r="R787" i="1" s="1"/>
  <c r="K796" i="1"/>
  <c r="Q812" i="1"/>
  <c r="O760" i="1"/>
  <c r="P767" i="1"/>
  <c r="L756" i="1"/>
  <c r="M756" i="1"/>
  <c r="M752" i="1"/>
  <c r="L771" i="1"/>
  <c r="K772" i="1"/>
  <c r="L772" i="1"/>
  <c r="D773" i="1"/>
  <c r="O776" i="1"/>
  <c r="D780" i="1"/>
  <c r="D775" i="1"/>
  <c r="L754" i="1"/>
  <c r="K770" i="1"/>
  <c r="D772" i="1"/>
  <c r="K750" i="1"/>
  <c r="M754" i="1"/>
  <c r="L770" i="1"/>
  <c r="L750" i="1"/>
  <c r="N754" i="1"/>
  <c r="O766" i="1"/>
  <c r="K771" i="1"/>
  <c r="N708" i="1"/>
  <c r="M706" i="1"/>
  <c r="K725" i="1"/>
  <c r="Q720" i="1"/>
  <c r="L726" i="1"/>
  <c r="Q721" i="1"/>
  <c r="K722" i="1"/>
  <c r="D729" i="1"/>
  <c r="M710" i="1"/>
  <c r="O720" i="1"/>
  <c r="L724" i="1"/>
  <c r="D686" i="1"/>
  <c r="D685" i="1"/>
  <c r="D684" i="1"/>
  <c r="D683" i="1"/>
  <c r="K678" i="1"/>
  <c r="K680" i="1"/>
  <c r="D681" i="1"/>
  <c r="L658" i="1"/>
  <c r="M659" i="1"/>
  <c r="L670" i="1"/>
  <c r="M678" i="1"/>
  <c r="D687" i="1"/>
  <c r="M660" i="1"/>
  <c r="K666" i="1"/>
  <c r="K679" i="1"/>
  <c r="L679" i="1"/>
  <c r="K658" i="1"/>
  <c r="M680" i="1"/>
  <c r="R683" i="1"/>
  <c r="D688" i="1"/>
  <c r="D639" i="1"/>
  <c r="D638" i="1"/>
  <c r="N616" i="1"/>
  <c r="L616" i="1"/>
  <c r="H636" i="1"/>
  <c r="L618" i="1"/>
  <c r="O622" i="1"/>
  <c r="M618" i="1"/>
  <c r="N618" i="1"/>
  <c r="K636" i="1"/>
  <c r="M616" i="1"/>
  <c r="S636" i="1"/>
  <c r="P637" i="1"/>
  <c r="K617" i="1"/>
  <c r="Q638" i="1"/>
  <c r="BU2" i="3"/>
  <c r="BT3" i="3"/>
  <c r="BS4" i="3"/>
  <c r="BS5" i="3"/>
  <c r="M579" i="1"/>
  <c r="D591" i="1"/>
  <c r="D593" i="1"/>
  <c r="G568" i="1"/>
  <c r="H568" i="1" s="1"/>
  <c r="C568" i="1"/>
  <c r="D568" i="1" s="1"/>
  <c r="K563" i="1"/>
  <c r="L586" i="1"/>
  <c r="N586" i="1"/>
  <c r="D592" i="1"/>
  <c r="G562" i="1"/>
  <c r="M588" i="1"/>
  <c r="D596" i="1"/>
  <c r="L570" i="1"/>
  <c r="L587" i="1"/>
  <c r="N570" i="1"/>
  <c r="H590" i="1"/>
  <c r="M570" i="1"/>
  <c r="J560" i="1"/>
  <c r="K567" i="1"/>
  <c r="N572" i="1"/>
  <c r="M578" i="1"/>
  <c r="D588" i="1"/>
  <c r="D597" i="1"/>
  <c r="D543" i="1"/>
  <c r="D550" i="1"/>
  <c r="D549" i="1"/>
  <c r="J512" i="1"/>
  <c r="S511" i="1"/>
  <c r="R511" i="1" s="1"/>
  <c r="D546" i="1"/>
  <c r="G522" i="1"/>
  <c r="H522" i="1" s="1"/>
  <c r="C522" i="1"/>
  <c r="D522" i="1" s="1"/>
  <c r="G516" i="1"/>
  <c r="K541" i="1"/>
  <c r="S544" i="1"/>
  <c r="J513" i="1"/>
  <c r="L520" i="1"/>
  <c r="K525" i="1"/>
  <c r="P536" i="1"/>
  <c r="P545" i="1"/>
  <c r="M524" i="1"/>
  <c r="M540" i="1"/>
  <c r="N524" i="1"/>
  <c r="J514" i="1"/>
  <c r="M522" i="1"/>
  <c r="L526" i="1"/>
  <c r="Q537" i="1"/>
  <c r="H544" i="1"/>
  <c r="D545" i="1"/>
  <c r="M526" i="1"/>
  <c r="N526" i="1"/>
  <c r="S833" i="1"/>
  <c r="R833" i="1" s="1"/>
  <c r="J836" i="1"/>
  <c r="J835" i="1"/>
  <c r="J834" i="1"/>
  <c r="D544" i="1"/>
  <c r="S695" i="1"/>
  <c r="R695" i="1" s="1"/>
  <c r="J697" i="1"/>
  <c r="J696" i="1"/>
  <c r="R634" i="1"/>
  <c r="L632" i="1"/>
  <c r="M633" i="1"/>
  <c r="L633" i="1"/>
  <c r="J698" i="1"/>
  <c r="S698" i="1" s="1"/>
  <c r="N906" i="1"/>
  <c r="Q906" i="1"/>
  <c r="Q904" i="1"/>
  <c r="P906" i="1"/>
  <c r="P904" i="1"/>
  <c r="O906" i="1"/>
  <c r="O904" i="1"/>
  <c r="K906" i="1"/>
  <c r="N904" i="1"/>
  <c r="Q905" i="1"/>
  <c r="M904" i="1"/>
  <c r="O905" i="1"/>
  <c r="N905" i="1"/>
  <c r="D503" i="1"/>
  <c r="L541" i="1"/>
  <c r="H546" i="1"/>
  <c r="R545" i="1"/>
  <c r="D548" i="1"/>
  <c r="L571" i="1"/>
  <c r="N579" i="1"/>
  <c r="M587" i="1"/>
  <c r="D590" i="1"/>
  <c r="M612" i="1"/>
  <c r="N622" i="1"/>
  <c r="L621" i="1"/>
  <c r="K632" i="1"/>
  <c r="D634" i="1"/>
  <c r="D636" i="1"/>
  <c r="L664" i="1"/>
  <c r="K663" i="1"/>
  <c r="M662" i="1"/>
  <c r="P905" i="1"/>
  <c r="N730" i="1"/>
  <c r="O730" i="1"/>
  <c r="P729" i="1"/>
  <c r="Q728" i="1"/>
  <c r="D542" i="1"/>
  <c r="K520" i="1"/>
  <c r="L524" i="1"/>
  <c r="M541" i="1"/>
  <c r="O546" i="1"/>
  <c r="L572" i="1"/>
  <c r="O579" i="1"/>
  <c r="N587" i="1"/>
  <c r="H592" i="1"/>
  <c r="D595" i="1"/>
  <c r="K620" i="1"/>
  <c r="M632" i="1"/>
  <c r="M664" i="1"/>
  <c r="O744" i="1"/>
  <c r="J744" i="1"/>
  <c r="S744" i="1" s="1"/>
  <c r="J743" i="1"/>
  <c r="J742" i="1"/>
  <c r="S741" i="1"/>
  <c r="D868" i="1"/>
  <c r="D551" i="1"/>
  <c r="K542" i="1"/>
  <c r="Q546" i="1"/>
  <c r="O606" i="1"/>
  <c r="J606" i="1"/>
  <c r="J604" i="1"/>
  <c r="S603" i="1"/>
  <c r="K633" i="1"/>
  <c r="L656" i="1"/>
  <c r="L654" i="1"/>
  <c r="N868" i="1"/>
  <c r="M867" i="1"/>
  <c r="S866" i="1"/>
  <c r="Q866" i="1"/>
  <c r="Q868" i="1"/>
  <c r="N866" i="1"/>
  <c r="O868" i="1"/>
  <c r="K866" i="1"/>
  <c r="R867" i="1"/>
  <c r="P867" i="1"/>
  <c r="L614" i="1"/>
  <c r="L612" i="1"/>
  <c r="K612" i="1"/>
  <c r="L542" i="1"/>
  <c r="L580" i="1"/>
  <c r="K579" i="1"/>
  <c r="O580" i="1"/>
  <c r="K634" i="1"/>
  <c r="L529" i="1"/>
  <c r="K540" i="1"/>
  <c r="M542" i="1"/>
  <c r="K544" i="1"/>
  <c r="D547" i="1"/>
  <c r="K562" i="1"/>
  <c r="L566" i="1"/>
  <c r="K572" i="1"/>
  <c r="K571" i="1"/>
  <c r="K578" i="1"/>
  <c r="P580" i="1"/>
  <c r="R588" i="1"/>
  <c r="M586" i="1"/>
  <c r="N588" i="1"/>
  <c r="D594" i="1"/>
  <c r="J605" i="1"/>
  <c r="L634" i="1"/>
  <c r="D635" i="1"/>
  <c r="S649" i="1"/>
  <c r="R649" i="1" s="1"/>
  <c r="J651" i="1"/>
  <c r="J650" i="1"/>
  <c r="H682" i="1"/>
  <c r="N714" i="1"/>
  <c r="O714" i="1"/>
  <c r="L713" i="1"/>
  <c r="O530" i="1"/>
  <c r="L540" i="1"/>
  <c r="Q544" i="1"/>
  <c r="L562" i="1"/>
  <c r="M566" i="1"/>
  <c r="L578" i="1"/>
  <c r="M634" i="1"/>
  <c r="N668" i="1"/>
  <c r="N667" i="1"/>
  <c r="L667" i="1"/>
  <c r="F548" i="1"/>
  <c r="F550" i="1" s="1"/>
  <c r="D589" i="1"/>
  <c r="F594" i="1"/>
  <c r="F596" i="1" s="1"/>
  <c r="H638" i="1"/>
  <c r="R637" i="1"/>
  <c r="D640" i="1"/>
  <c r="M658" i="1"/>
  <c r="N671" i="1"/>
  <c r="M679" i="1"/>
  <c r="D680" i="1"/>
  <c r="D682" i="1"/>
  <c r="Q684" i="1"/>
  <c r="D689" i="1"/>
  <c r="K709" i="1"/>
  <c r="Q722" i="1"/>
  <c r="L725" i="1"/>
  <c r="D731" i="1"/>
  <c r="D733" i="1"/>
  <c r="N756" i="1"/>
  <c r="P766" i="1"/>
  <c r="Q774" i="1"/>
  <c r="D776" i="1"/>
  <c r="D778" i="1"/>
  <c r="D781" i="1"/>
  <c r="J788" i="1"/>
  <c r="L796" i="1"/>
  <c r="K800" i="1"/>
  <c r="N802" i="1"/>
  <c r="O806" i="1"/>
  <c r="K814" i="1"/>
  <c r="L816" i="1"/>
  <c r="O820" i="1"/>
  <c r="H822" i="1"/>
  <c r="K842" i="1"/>
  <c r="L851" i="1"/>
  <c r="K862" i="1"/>
  <c r="K864" i="1"/>
  <c r="F870" i="1"/>
  <c r="F872" i="1" s="1"/>
  <c r="K890" i="1"/>
  <c r="M894" i="1"/>
  <c r="L898" i="1"/>
  <c r="K909" i="1"/>
  <c r="N912" i="1"/>
  <c r="O638" i="1"/>
  <c r="P672" i="1"/>
  <c r="P679" i="1"/>
  <c r="H684" i="1"/>
  <c r="L710" i="1"/>
  <c r="K726" i="1"/>
  <c r="Q766" i="1"/>
  <c r="H774" i="1"/>
  <c r="P775" i="1"/>
  <c r="K798" i="1"/>
  <c r="L800" i="1"/>
  <c r="Q816" i="1"/>
  <c r="H820" i="1"/>
  <c r="G822" i="1"/>
  <c r="F822" i="1" s="1"/>
  <c r="Q820" i="1"/>
  <c r="L842" i="1"/>
  <c r="N851" i="1"/>
  <c r="L862" i="1"/>
  <c r="L864" i="1"/>
  <c r="J882" i="1"/>
  <c r="M890" i="1"/>
  <c r="M898" i="1"/>
  <c r="L909" i="1"/>
  <c r="H912" i="1"/>
  <c r="H914" i="1"/>
  <c r="O912" i="1"/>
  <c r="D637" i="1"/>
  <c r="F640" i="1"/>
  <c r="F642" i="1" s="1"/>
  <c r="L678" i="1"/>
  <c r="L680" i="1"/>
  <c r="N710" i="1"/>
  <c r="P720" i="1"/>
  <c r="D730" i="1"/>
  <c r="D732" i="1"/>
  <c r="D735" i="1"/>
  <c r="Q767" i="1"/>
  <c r="H776" i="1"/>
  <c r="D774" i="1"/>
  <c r="F778" i="1"/>
  <c r="F780" i="1" s="1"/>
  <c r="N800" i="1"/>
  <c r="L817" i="1"/>
  <c r="D820" i="1"/>
  <c r="P821" i="1"/>
  <c r="D822" i="1"/>
  <c r="M843" i="1"/>
  <c r="P862" i="1"/>
  <c r="P864" i="1"/>
  <c r="Q909" i="1"/>
  <c r="D912" i="1"/>
  <c r="L914" i="1"/>
  <c r="F686" i="1"/>
  <c r="F688" i="1" s="1"/>
  <c r="H728" i="1"/>
  <c r="H730" i="1"/>
  <c r="K768" i="1"/>
  <c r="J790" i="1"/>
  <c r="K801" i="1"/>
  <c r="Q817" i="1"/>
  <c r="M822" i="1"/>
  <c r="D824" i="1"/>
  <c r="D827" i="1"/>
  <c r="M844" i="1"/>
  <c r="K863" i="1"/>
  <c r="D873" i="1"/>
  <c r="S879" i="1"/>
  <c r="K908" i="1"/>
  <c r="K910" i="1"/>
  <c r="D918" i="1"/>
  <c r="H910" i="1" s="1"/>
  <c r="Q636" i="1"/>
  <c r="P678" i="1"/>
  <c r="P680" i="1"/>
  <c r="K682" i="1"/>
  <c r="K704" i="1"/>
  <c r="L708" i="1"/>
  <c r="P721" i="1"/>
  <c r="K724" i="1"/>
  <c r="D726" i="1"/>
  <c r="D728" i="1"/>
  <c r="K755" i="1"/>
  <c r="L759" i="1"/>
  <c r="Q768" i="1"/>
  <c r="D779" i="1"/>
  <c r="K802" i="1"/>
  <c r="O804" i="1"/>
  <c r="K818" i="1"/>
  <c r="O822" i="1"/>
  <c r="L863" i="1"/>
  <c r="H866" i="1"/>
  <c r="D870" i="1"/>
  <c r="J880" i="1"/>
  <c r="K888" i="1"/>
  <c r="N896" i="1"/>
  <c r="L908" i="1"/>
  <c r="L910" i="1"/>
  <c r="G912" i="1"/>
  <c r="S682" i="1"/>
  <c r="L704" i="1"/>
  <c r="M708" i="1"/>
  <c r="G730" i="1"/>
  <c r="F732" i="1"/>
  <c r="F734" i="1" s="1"/>
  <c r="L802" i="1"/>
  <c r="L818" i="1"/>
  <c r="G820" i="1"/>
  <c r="M863" i="1"/>
  <c r="P908" i="1"/>
  <c r="P910" i="1"/>
  <c r="M802" i="1"/>
  <c r="F824" i="1"/>
  <c r="F826" i="1" s="1"/>
  <c r="P863" i="1"/>
  <c r="H868" i="1"/>
  <c r="M892" i="1"/>
  <c r="N914" i="1"/>
  <c r="M914" i="1"/>
  <c r="P913" i="1"/>
  <c r="N913" i="1"/>
  <c r="M913" i="1"/>
  <c r="F916" i="1"/>
  <c r="F918" i="1" s="1"/>
  <c r="D916" i="1"/>
  <c r="D500" i="1"/>
  <c r="D497" i="1"/>
  <c r="D501" i="1"/>
  <c r="O499" i="1"/>
  <c r="G476" i="1"/>
  <c r="H476" i="1" s="1"/>
  <c r="C476" i="1"/>
  <c r="D476" i="1" s="1"/>
  <c r="S500" i="1"/>
  <c r="D504" i="1"/>
  <c r="G470" i="1"/>
  <c r="S465" i="1"/>
  <c r="R465" i="1" s="1"/>
  <c r="Q465" i="1" s="1"/>
  <c r="G498" i="1"/>
  <c r="J467" i="1"/>
  <c r="K484" i="1"/>
  <c r="J466" i="1"/>
  <c r="N484" i="1"/>
  <c r="L472" i="1"/>
  <c r="M498" i="1"/>
  <c r="L901" i="1"/>
  <c r="K884" i="1"/>
  <c r="C890" i="1"/>
  <c r="D890" i="1" s="1"/>
  <c r="N892" i="1"/>
  <c r="N894" i="1"/>
  <c r="M897" i="1"/>
  <c r="K900" i="1"/>
  <c r="M901" i="1"/>
  <c r="O902" i="1"/>
  <c r="R912" i="1"/>
  <c r="Q913" i="1"/>
  <c r="P914" i="1"/>
  <c r="L884" i="1"/>
  <c r="M888" i="1"/>
  <c r="K893" i="1"/>
  <c r="K896" i="1"/>
  <c r="N897" i="1"/>
  <c r="L900" i="1"/>
  <c r="N901" i="1"/>
  <c r="P902" i="1"/>
  <c r="K905" i="1"/>
  <c r="L906" i="1"/>
  <c r="M908" i="1"/>
  <c r="M909" i="1"/>
  <c r="M910" i="1"/>
  <c r="K912" i="1"/>
  <c r="S912" i="1"/>
  <c r="R913" i="1"/>
  <c r="Q914" i="1"/>
  <c r="K885" i="1"/>
  <c r="K889" i="1"/>
  <c r="L893" i="1"/>
  <c r="L896" i="1"/>
  <c r="O897" i="1"/>
  <c r="M900" i="1"/>
  <c r="O901" i="1"/>
  <c r="K904" i="1"/>
  <c r="L905" i="1"/>
  <c r="M906" i="1"/>
  <c r="N908" i="1"/>
  <c r="N909" i="1"/>
  <c r="N910" i="1"/>
  <c r="L912" i="1"/>
  <c r="K913" i="1"/>
  <c r="S913" i="1"/>
  <c r="R914" i="1"/>
  <c r="N902" i="1"/>
  <c r="L885" i="1"/>
  <c r="L889" i="1"/>
  <c r="M893" i="1"/>
  <c r="M896" i="1"/>
  <c r="K898" i="1"/>
  <c r="N900" i="1"/>
  <c r="P901" i="1"/>
  <c r="L904" i="1"/>
  <c r="M905" i="1"/>
  <c r="O908" i="1"/>
  <c r="O909" i="1"/>
  <c r="O910" i="1"/>
  <c r="M912" i="1"/>
  <c r="L913" i="1"/>
  <c r="K914" i="1"/>
  <c r="S914" i="1"/>
  <c r="K886" i="1"/>
  <c r="N893" i="1"/>
  <c r="O900" i="1"/>
  <c r="K902" i="1"/>
  <c r="G914" i="1"/>
  <c r="K892" i="1"/>
  <c r="K894" i="1"/>
  <c r="P900" i="1"/>
  <c r="L902" i="1"/>
  <c r="L892" i="1"/>
  <c r="K897" i="1"/>
  <c r="K901" i="1"/>
  <c r="R908" i="1"/>
  <c r="R909" i="1"/>
  <c r="P912" i="1"/>
  <c r="O913" i="1"/>
  <c r="L855" i="1"/>
  <c r="N856" i="1"/>
  <c r="P858" i="1"/>
  <c r="Q859" i="1"/>
  <c r="M846" i="1"/>
  <c r="M848" i="1"/>
  <c r="K838" i="1"/>
  <c r="N846" i="1"/>
  <c r="N848" i="1"/>
  <c r="M851" i="1"/>
  <c r="K854" i="1"/>
  <c r="M855" i="1"/>
  <c r="O856" i="1"/>
  <c r="Q858" i="1"/>
  <c r="K860" i="1"/>
  <c r="R866" i="1"/>
  <c r="Q867" i="1"/>
  <c r="P868" i="1"/>
  <c r="L838" i="1"/>
  <c r="K847" i="1"/>
  <c r="L854" i="1"/>
  <c r="N855" i="1"/>
  <c r="P856" i="1"/>
  <c r="K859" i="1"/>
  <c r="O836" i="1"/>
  <c r="K839" i="1"/>
  <c r="K843" i="1"/>
  <c r="L847" i="1"/>
  <c r="L850" i="1"/>
  <c r="O851" i="1"/>
  <c r="M854" i="1"/>
  <c r="O855" i="1"/>
  <c r="K858" i="1"/>
  <c r="L859" i="1"/>
  <c r="M860" i="1"/>
  <c r="N862" i="1"/>
  <c r="N863" i="1"/>
  <c r="N864" i="1"/>
  <c r="L866" i="1"/>
  <c r="K867" i="1"/>
  <c r="S867" i="1"/>
  <c r="R868" i="1"/>
  <c r="L860" i="1"/>
  <c r="L839" i="1"/>
  <c r="L843" i="1"/>
  <c r="M847" i="1"/>
  <c r="M850" i="1"/>
  <c r="K852" i="1"/>
  <c r="N854" i="1"/>
  <c r="P855" i="1"/>
  <c r="L858" i="1"/>
  <c r="M859" i="1"/>
  <c r="N860" i="1"/>
  <c r="O862" i="1"/>
  <c r="O863" i="1"/>
  <c r="O864" i="1"/>
  <c r="M866" i="1"/>
  <c r="L867" i="1"/>
  <c r="K868" i="1"/>
  <c r="S868" i="1"/>
  <c r="N847" i="1"/>
  <c r="O854" i="1"/>
  <c r="K856" i="1"/>
  <c r="O860" i="1"/>
  <c r="G868" i="1"/>
  <c r="K840" i="1"/>
  <c r="N859" i="1"/>
  <c r="K844" i="1"/>
  <c r="K846" i="1"/>
  <c r="K848" i="1"/>
  <c r="O850" i="1"/>
  <c r="M852" i="1"/>
  <c r="P854" i="1"/>
  <c r="L856" i="1"/>
  <c r="N858" i="1"/>
  <c r="O859" i="1"/>
  <c r="P860" i="1"/>
  <c r="Q862" i="1"/>
  <c r="Q863" i="1"/>
  <c r="Q864" i="1"/>
  <c r="G866" i="1"/>
  <c r="O866" i="1"/>
  <c r="N867" i="1"/>
  <c r="M868" i="1"/>
  <c r="M858" i="1"/>
  <c r="L846" i="1"/>
  <c r="K851" i="1"/>
  <c r="K855" i="1"/>
  <c r="O858" i="1"/>
  <c r="P859" i="1"/>
  <c r="R862" i="1"/>
  <c r="R863" i="1"/>
  <c r="P866" i="1"/>
  <c r="O867" i="1"/>
  <c r="Q787" i="1"/>
  <c r="K792" i="1"/>
  <c r="M805" i="1"/>
  <c r="K808" i="1"/>
  <c r="M809" i="1"/>
  <c r="O810" i="1"/>
  <c r="R820" i="1"/>
  <c r="Q821" i="1"/>
  <c r="P822" i="1"/>
  <c r="L809" i="1"/>
  <c r="L792" i="1"/>
  <c r="M796" i="1"/>
  <c r="K804" i="1"/>
  <c r="N805" i="1"/>
  <c r="L808" i="1"/>
  <c r="N809" i="1"/>
  <c r="P810" i="1"/>
  <c r="K813" i="1"/>
  <c r="L814" i="1"/>
  <c r="M816" i="1"/>
  <c r="M817" i="1"/>
  <c r="M818" i="1"/>
  <c r="K820" i="1"/>
  <c r="S820" i="1"/>
  <c r="R821" i="1"/>
  <c r="Q822" i="1"/>
  <c r="D821" i="1"/>
  <c r="K793" i="1"/>
  <c r="K797" i="1"/>
  <c r="L801" i="1"/>
  <c r="L804" i="1"/>
  <c r="O805" i="1"/>
  <c r="M808" i="1"/>
  <c r="O809" i="1"/>
  <c r="K812" i="1"/>
  <c r="L813" i="1"/>
  <c r="M814" i="1"/>
  <c r="N816" i="1"/>
  <c r="N817" i="1"/>
  <c r="N818" i="1"/>
  <c r="L820" i="1"/>
  <c r="K821" i="1"/>
  <c r="S821" i="1"/>
  <c r="R822" i="1"/>
  <c r="N810" i="1"/>
  <c r="L793" i="1"/>
  <c r="L797" i="1"/>
  <c r="M801" i="1"/>
  <c r="M804" i="1"/>
  <c r="K806" i="1"/>
  <c r="N808" i="1"/>
  <c r="P809" i="1"/>
  <c r="L812" i="1"/>
  <c r="M813" i="1"/>
  <c r="N814" i="1"/>
  <c r="O816" i="1"/>
  <c r="O817" i="1"/>
  <c r="O818" i="1"/>
  <c r="M820" i="1"/>
  <c r="L821" i="1"/>
  <c r="K822" i="1"/>
  <c r="S822" i="1"/>
  <c r="K794" i="1"/>
  <c r="M797" i="1"/>
  <c r="N804" i="1"/>
  <c r="L806" i="1"/>
  <c r="O808" i="1"/>
  <c r="K810" i="1"/>
  <c r="M812" i="1"/>
  <c r="N813" i="1"/>
  <c r="P816" i="1"/>
  <c r="P817" i="1"/>
  <c r="P818" i="1"/>
  <c r="N820" i="1"/>
  <c r="M821" i="1"/>
  <c r="L822" i="1"/>
  <c r="P808" i="1"/>
  <c r="L810" i="1"/>
  <c r="K805" i="1"/>
  <c r="K809" i="1"/>
  <c r="R816" i="1"/>
  <c r="R817" i="1"/>
  <c r="P820" i="1"/>
  <c r="O821" i="1"/>
  <c r="K746" i="1"/>
  <c r="M759" i="1"/>
  <c r="K762" i="1"/>
  <c r="M763" i="1"/>
  <c r="O764" i="1"/>
  <c r="R774" i="1"/>
  <c r="Q775" i="1"/>
  <c r="P776" i="1"/>
  <c r="L746" i="1"/>
  <c r="M750" i="1"/>
  <c r="K758" i="1"/>
  <c r="N759" i="1"/>
  <c r="L762" i="1"/>
  <c r="N763" i="1"/>
  <c r="P764" i="1"/>
  <c r="K767" i="1"/>
  <c r="L768" i="1"/>
  <c r="M770" i="1"/>
  <c r="M771" i="1"/>
  <c r="M772" i="1"/>
  <c r="K774" i="1"/>
  <c r="S774" i="1"/>
  <c r="R775" i="1"/>
  <c r="Q776" i="1"/>
  <c r="R741" i="1"/>
  <c r="K747" i="1"/>
  <c r="K751" i="1"/>
  <c r="L755" i="1"/>
  <c r="L758" i="1"/>
  <c r="O759" i="1"/>
  <c r="M762" i="1"/>
  <c r="O763" i="1"/>
  <c r="K766" i="1"/>
  <c r="L767" i="1"/>
  <c r="M768" i="1"/>
  <c r="N770" i="1"/>
  <c r="N771" i="1"/>
  <c r="N772" i="1"/>
  <c r="L774" i="1"/>
  <c r="K775" i="1"/>
  <c r="S775" i="1"/>
  <c r="R776" i="1"/>
  <c r="L747" i="1"/>
  <c r="L751" i="1"/>
  <c r="M755" i="1"/>
  <c r="M758" i="1"/>
  <c r="K760" i="1"/>
  <c r="N762" i="1"/>
  <c r="P763" i="1"/>
  <c r="L766" i="1"/>
  <c r="M767" i="1"/>
  <c r="N768" i="1"/>
  <c r="O770" i="1"/>
  <c r="O771" i="1"/>
  <c r="O772" i="1"/>
  <c r="M774" i="1"/>
  <c r="L775" i="1"/>
  <c r="K776" i="1"/>
  <c r="S776" i="1"/>
  <c r="N764" i="1"/>
  <c r="K748" i="1"/>
  <c r="M751" i="1"/>
  <c r="N755" i="1"/>
  <c r="N758" i="1"/>
  <c r="L760" i="1"/>
  <c r="O762" i="1"/>
  <c r="K764" i="1"/>
  <c r="M766" i="1"/>
  <c r="N767" i="1"/>
  <c r="O768" i="1"/>
  <c r="P770" i="1"/>
  <c r="P771" i="1"/>
  <c r="P772" i="1"/>
  <c r="N774" i="1"/>
  <c r="M775" i="1"/>
  <c r="L776" i="1"/>
  <c r="G776" i="1"/>
  <c r="K752" i="1"/>
  <c r="K754" i="1"/>
  <c r="O758" i="1"/>
  <c r="M760" i="1"/>
  <c r="P762" i="1"/>
  <c r="L764" i="1"/>
  <c r="N766" i="1"/>
  <c r="O767" i="1"/>
  <c r="Q770" i="1"/>
  <c r="Q771" i="1"/>
  <c r="Q772" i="1"/>
  <c r="G774" i="1"/>
  <c r="O774" i="1"/>
  <c r="N775" i="1"/>
  <c r="M776" i="1"/>
  <c r="L763" i="1"/>
  <c r="K759" i="1"/>
  <c r="K763" i="1"/>
  <c r="R770" i="1"/>
  <c r="R771" i="1"/>
  <c r="P774" i="1"/>
  <c r="O775" i="1"/>
  <c r="K700" i="1"/>
  <c r="M713" i="1"/>
  <c r="K716" i="1"/>
  <c r="M717" i="1"/>
  <c r="O718" i="1"/>
  <c r="R728" i="1"/>
  <c r="Q729" i="1"/>
  <c r="P730" i="1"/>
  <c r="N718" i="1"/>
  <c r="L700" i="1"/>
  <c r="M704" i="1"/>
  <c r="K712" i="1"/>
  <c r="N713" i="1"/>
  <c r="L716" i="1"/>
  <c r="N717" i="1"/>
  <c r="P718" i="1"/>
  <c r="K721" i="1"/>
  <c r="L722" i="1"/>
  <c r="M724" i="1"/>
  <c r="M725" i="1"/>
  <c r="M726" i="1"/>
  <c r="K728" i="1"/>
  <c r="S728" i="1"/>
  <c r="R729" i="1"/>
  <c r="Q730" i="1"/>
  <c r="O698" i="1"/>
  <c r="K701" i="1"/>
  <c r="K705" i="1"/>
  <c r="L709" i="1"/>
  <c r="L712" i="1"/>
  <c r="O713" i="1"/>
  <c r="M716" i="1"/>
  <c r="O717" i="1"/>
  <c r="K720" i="1"/>
  <c r="L721" i="1"/>
  <c r="M722" i="1"/>
  <c r="N724" i="1"/>
  <c r="N725" i="1"/>
  <c r="N726" i="1"/>
  <c r="L728" i="1"/>
  <c r="K729" i="1"/>
  <c r="S729" i="1"/>
  <c r="R730" i="1"/>
  <c r="L701" i="1"/>
  <c r="L705" i="1"/>
  <c r="M709" i="1"/>
  <c r="M712" i="1"/>
  <c r="K714" i="1"/>
  <c r="N716" i="1"/>
  <c r="P717" i="1"/>
  <c r="L720" i="1"/>
  <c r="M721" i="1"/>
  <c r="N722" i="1"/>
  <c r="O724" i="1"/>
  <c r="O725" i="1"/>
  <c r="O726" i="1"/>
  <c r="M728" i="1"/>
  <c r="L729" i="1"/>
  <c r="K730" i="1"/>
  <c r="S730" i="1"/>
  <c r="K702" i="1"/>
  <c r="M705" i="1"/>
  <c r="N709" i="1"/>
  <c r="N712" i="1"/>
  <c r="L714" i="1"/>
  <c r="O716" i="1"/>
  <c r="K718" i="1"/>
  <c r="M720" i="1"/>
  <c r="N721" i="1"/>
  <c r="O722" i="1"/>
  <c r="P724" i="1"/>
  <c r="P725" i="1"/>
  <c r="P726" i="1"/>
  <c r="N728" i="1"/>
  <c r="M729" i="1"/>
  <c r="L730" i="1"/>
  <c r="K706" i="1"/>
  <c r="K708" i="1"/>
  <c r="O712" i="1"/>
  <c r="M714" i="1"/>
  <c r="P716" i="1"/>
  <c r="L718" i="1"/>
  <c r="N720" i="1"/>
  <c r="O721" i="1"/>
  <c r="Q724" i="1"/>
  <c r="Q725" i="1"/>
  <c r="Q726" i="1"/>
  <c r="G728" i="1"/>
  <c r="O728" i="1"/>
  <c r="N729" i="1"/>
  <c r="M730" i="1"/>
  <c r="L717" i="1"/>
  <c r="K713" i="1"/>
  <c r="K717" i="1"/>
  <c r="R724" i="1"/>
  <c r="R725" i="1"/>
  <c r="P728" i="1"/>
  <c r="O729" i="1"/>
  <c r="L671" i="1"/>
  <c r="N672" i="1"/>
  <c r="P674" i="1"/>
  <c r="Q675" i="1"/>
  <c r="Q682" i="1"/>
  <c r="P683" i="1"/>
  <c r="O684" i="1"/>
  <c r="K654" i="1"/>
  <c r="N662" i="1"/>
  <c r="N664" i="1"/>
  <c r="M667" i="1"/>
  <c r="K670" i="1"/>
  <c r="M671" i="1"/>
  <c r="O672" i="1"/>
  <c r="Q674" i="1"/>
  <c r="K676" i="1"/>
  <c r="R682" i="1"/>
  <c r="Q683" i="1"/>
  <c r="P684" i="1"/>
  <c r="K675" i="1"/>
  <c r="O652" i="1"/>
  <c r="K655" i="1"/>
  <c r="K659" i="1"/>
  <c r="L663" i="1"/>
  <c r="L666" i="1"/>
  <c r="O667" i="1"/>
  <c r="M670" i="1"/>
  <c r="O671" i="1"/>
  <c r="K674" i="1"/>
  <c r="L675" i="1"/>
  <c r="M676" i="1"/>
  <c r="N678" i="1"/>
  <c r="N679" i="1"/>
  <c r="N680" i="1"/>
  <c r="L682" i="1"/>
  <c r="K683" i="1"/>
  <c r="S683" i="1"/>
  <c r="R684" i="1"/>
  <c r="L676" i="1"/>
  <c r="L655" i="1"/>
  <c r="L659" i="1"/>
  <c r="M663" i="1"/>
  <c r="M666" i="1"/>
  <c r="K668" i="1"/>
  <c r="N670" i="1"/>
  <c r="P671" i="1"/>
  <c r="L674" i="1"/>
  <c r="M675" i="1"/>
  <c r="N676" i="1"/>
  <c r="O678" i="1"/>
  <c r="O679" i="1"/>
  <c r="O680" i="1"/>
  <c r="M682" i="1"/>
  <c r="L683" i="1"/>
  <c r="K684" i="1"/>
  <c r="S684" i="1"/>
  <c r="K656" i="1"/>
  <c r="N663" i="1"/>
  <c r="N666" i="1"/>
  <c r="L668" i="1"/>
  <c r="O670" i="1"/>
  <c r="K672" i="1"/>
  <c r="M674" i="1"/>
  <c r="N675" i="1"/>
  <c r="O676" i="1"/>
  <c r="N682" i="1"/>
  <c r="M683" i="1"/>
  <c r="L684" i="1"/>
  <c r="G684" i="1"/>
  <c r="K660" i="1"/>
  <c r="K662" i="1"/>
  <c r="K664" i="1"/>
  <c r="O666" i="1"/>
  <c r="M668" i="1"/>
  <c r="P670" i="1"/>
  <c r="L672" i="1"/>
  <c r="N674" i="1"/>
  <c r="O675" i="1"/>
  <c r="P676" i="1"/>
  <c r="Q678" i="1"/>
  <c r="Q679" i="1"/>
  <c r="Q680" i="1"/>
  <c r="G682" i="1"/>
  <c r="O682" i="1"/>
  <c r="N683" i="1"/>
  <c r="M684" i="1"/>
  <c r="L662" i="1"/>
  <c r="K667" i="1"/>
  <c r="K671" i="1"/>
  <c r="O674" i="1"/>
  <c r="P675" i="1"/>
  <c r="R678" i="1"/>
  <c r="R679" i="1"/>
  <c r="P682" i="1"/>
  <c r="O683" i="1"/>
  <c r="L625" i="1"/>
  <c r="Q629" i="1"/>
  <c r="K608" i="1"/>
  <c r="C614" i="1"/>
  <c r="D614" i="1" s="1"/>
  <c r="M621" i="1"/>
  <c r="K624" i="1"/>
  <c r="M625" i="1"/>
  <c r="O626" i="1"/>
  <c r="Q628" i="1"/>
  <c r="K630" i="1"/>
  <c r="R636" i="1"/>
  <c r="Q637" i="1"/>
  <c r="P638" i="1"/>
  <c r="L608" i="1"/>
  <c r="N625" i="1"/>
  <c r="K609" i="1"/>
  <c r="K613" i="1"/>
  <c r="L617" i="1"/>
  <c r="L620" i="1"/>
  <c r="O621" i="1"/>
  <c r="M624" i="1"/>
  <c r="O625" i="1"/>
  <c r="K628" i="1"/>
  <c r="L629" i="1"/>
  <c r="M630" i="1"/>
  <c r="N632" i="1"/>
  <c r="N633" i="1"/>
  <c r="N634" i="1"/>
  <c r="L636" i="1"/>
  <c r="K637" i="1"/>
  <c r="S637" i="1"/>
  <c r="R638" i="1"/>
  <c r="L609" i="1"/>
  <c r="L613" i="1"/>
  <c r="M617" i="1"/>
  <c r="M620" i="1"/>
  <c r="K622" i="1"/>
  <c r="N624" i="1"/>
  <c r="P625" i="1"/>
  <c r="L628" i="1"/>
  <c r="M629" i="1"/>
  <c r="N630" i="1"/>
  <c r="O632" i="1"/>
  <c r="O633" i="1"/>
  <c r="O634" i="1"/>
  <c r="M636" i="1"/>
  <c r="L637" i="1"/>
  <c r="K638" i="1"/>
  <c r="S638" i="1"/>
  <c r="P628" i="1"/>
  <c r="K610" i="1"/>
  <c r="M613" i="1"/>
  <c r="N617" i="1"/>
  <c r="N620" i="1"/>
  <c r="L622" i="1"/>
  <c r="O624" i="1"/>
  <c r="K626" i="1"/>
  <c r="M628" i="1"/>
  <c r="N629" i="1"/>
  <c r="O630" i="1"/>
  <c r="P632" i="1"/>
  <c r="P633" i="1"/>
  <c r="P634" i="1"/>
  <c r="N636" i="1"/>
  <c r="M637" i="1"/>
  <c r="L638" i="1"/>
  <c r="G638" i="1"/>
  <c r="P626" i="1"/>
  <c r="L630" i="1"/>
  <c r="K614" i="1"/>
  <c r="K616" i="1"/>
  <c r="O620" i="1"/>
  <c r="M622" i="1"/>
  <c r="P624" i="1"/>
  <c r="L626" i="1"/>
  <c r="N628" i="1"/>
  <c r="O629" i="1"/>
  <c r="P630" i="1"/>
  <c r="Q632" i="1"/>
  <c r="Q633" i="1"/>
  <c r="Q634" i="1"/>
  <c r="G636" i="1"/>
  <c r="O636" i="1"/>
  <c r="N637" i="1"/>
  <c r="M638" i="1"/>
  <c r="N626" i="1"/>
  <c r="L624" i="1"/>
  <c r="K629" i="1"/>
  <c r="K621" i="1"/>
  <c r="K625" i="1"/>
  <c r="O628" i="1"/>
  <c r="P629" i="1"/>
  <c r="R632" i="1"/>
  <c r="R633" i="1"/>
  <c r="P636" i="1"/>
  <c r="O637" i="1"/>
  <c r="N575" i="1"/>
  <c r="K583" i="1"/>
  <c r="S590" i="1"/>
  <c r="Q592" i="1"/>
  <c r="J558" i="1"/>
  <c r="K566" i="1"/>
  <c r="M568" i="1"/>
  <c r="L575" i="1"/>
  <c r="O576" i="1"/>
  <c r="L579" i="1"/>
  <c r="N580" i="1"/>
  <c r="P582" i="1"/>
  <c r="Q583" i="1"/>
  <c r="K586" i="1"/>
  <c r="K587" i="1"/>
  <c r="K588" i="1"/>
  <c r="Q590" i="1"/>
  <c r="P591" i="1"/>
  <c r="O592" i="1"/>
  <c r="Q582" i="1"/>
  <c r="K584" i="1"/>
  <c r="R590" i="1"/>
  <c r="Q591" i="1"/>
  <c r="P592" i="1"/>
  <c r="K574" i="1"/>
  <c r="L584" i="1"/>
  <c r="O575" i="1"/>
  <c r="K582" i="1"/>
  <c r="L583" i="1"/>
  <c r="M584" i="1"/>
  <c r="L590" i="1"/>
  <c r="K591" i="1"/>
  <c r="R592" i="1"/>
  <c r="S557" i="1"/>
  <c r="L563" i="1"/>
  <c r="L567" i="1"/>
  <c r="M571" i="1"/>
  <c r="M574" i="1"/>
  <c r="K576" i="1"/>
  <c r="N578" i="1"/>
  <c r="P579" i="1"/>
  <c r="L582" i="1"/>
  <c r="M583" i="1"/>
  <c r="N584" i="1"/>
  <c r="O586" i="1"/>
  <c r="O587" i="1"/>
  <c r="O588" i="1"/>
  <c r="M590" i="1"/>
  <c r="L591" i="1"/>
  <c r="K592" i="1"/>
  <c r="S592" i="1"/>
  <c r="K590" i="1"/>
  <c r="O560" i="1"/>
  <c r="K564" i="1"/>
  <c r="M567" i="1"/>
  <c r="N571" i="1"/>
  <c r="N574" i="1"/>
  <c r="L576" i="1"/>
  <c r="O578" i="1"/>
  <c r="K580" i="1"/>
  <c r="M582" i="1"/>
  <c r="N583" i="1"/>
  <c r="O584" i="1"/>
  <c r="P586" i="1"/>
  <c r="P587" i="1"/>
  <c r="P588" i="1"/>
  <c r="N590" i="1"/>
  <c r="M591" i="1"/>
  <c r="L592" i="1"/>
  <c r="G592" i="1"/>
  <c r="M575" i="1"/>
  <c r="L574" i="1"/>
  <c r="S591" i="1"/>
  <c r="K568" i="1"/>
  <c r="K570" i="1"/>
  <c r="O574" i="1"/>
  <c r="M576" i="1"/>
  <c r="P578" i="1"/>
  <c r="N582" i="1"/>
  <c r="O583" i="1"/>
  <c r="P584" i="1"/>
  <c r="Q586" i="1"/>
  <c r="Q587" i="1"/>
  <c r="Q588" i="1"/>
  <c r="G590" i="1"/>
  <c r="O590" i="1"/>
  <c r="N591" i="1"/>
  <c r="M592" i="1"/>
  <c r="R591" i="1"/>
  <c r="K575" i="1"/>
  <c r="O582" i="1"/>
  <c r="P583" i="1"/>
  <c r="R586" i="1"/>
  <c r="R587" i="1"/>
  <c r="P590" i="1"/>
  <c r="O591" i="1"/>
  <c r="M529" i="1"/>
  <c r="K532" i="1"/>
  <c r="M533" i="1"/>
  <c r="O534" i="1"/>
  <c r="Q536" i="1"/>
  <c r="K538" i="1"/>
  <c r="R544" i="1"/>
  <c r="Q545" i="1"/>
  <c r="P546" i="1"/>
  <c r="L532" i="1"/>
  <c r="L533" i="1"/>
  <c r="K516" i="1"/>
  <c r="K537" i="1"/>
  <c r="K517" i="1"/>
  <c r="K521" i="1"/>
  <c r="L525" i="1"/>
  <c r="L528" i="1"/>
  <c r="O529" i="1"/>
  <c r="M532" i="1"/>
  <c r="O533" i="1"/>
  <c r="K536" i="1"/>
  <c r="L537" i="1"/>
  <c r="M538" i="1"/>
  <c r="N540" i="1"/>
  <c r="N541" i="1"/>
  <c r="N542" i="1"/>
  <c r="L544" i="1"/>
  <c r="K545" i="1"/>
  <c r="S545" i="1"/>
  <c r="R546" i="1"/>
  <c r="L538" i="1"/>
  <c r="L517" i="1"/>
  <c r="L521" i="1"/>
  <c r="M525" i="1"/>
  <c r="M528" i="1"/>
  <c r="K530" i="1"/>
  <c r="N532" i="1"/>
  <c r="P533" i="1"/>
  <c r="L536" i="1"/>
  <c r="M537" i="1"/>
  <c r="N538" i="1"/>
  <c r="O540" i="1"/>
  <c r="O541" i="1"/>
  <c r="O542" i="1"/>
  <c r="M544" i="1"/>
  <c r="L545" i="1"/>
  <c r="K546" i="1"/>
  <c r="S546" i="1"/>
  <c r="N534" i="1"/>
  <c r="L516" i="1"/>
  <c r="N529" i="1"/>
  <c r="N533" i="1"/>
  <c r="K518" i="1"/>
  <c r="M521" i="1"/>
  <c r="N525" i="1"/>
  <c r="N528" i="1"/>
  <c r="L530" i="1"/>
  <c r="O532" i="1"/>
  <c r="K534" i="1"/>
  <c r="M536" i="1"/>
  <c r="N537" i="1"/>
  <c r="O538" i="1"/>
  <c r="P540" i="1"/>
  <c r="P541" i="1"/>
  <c r="P542" i="1"/>
  <c r="N544" i="1"/>
  <c r="M545" i="1"/>
  <c r="L546" i="1"/>
  <c r="G546" i="1"/>
  <c r="M520" i="1"/>
  <c r="K528" i="1"/>
  <c r="P534" i="1"/>
  <c r="K522" i="1"/>
  <c r="K524" i="1"/>
  <c r="O528" i="1"/>
  <c r="M530" i="1"/>
  <c r="P532" i="1"/>
  <c r="L534" i="1"/>
  <c r="N536" i="1"/>
  <c r="O537" i="1"/>
  <c r="P538" i="1"/>
  <c r="Q540" i="1"/>
  <c r="Q541" i="1"/>
  <c r="Q542" i="1"/>
  <c r="G544" i="1"/>
  <c r="O544" i="1"/>
  <c r="N545" i="1"/>
  <c r="M546" i="1"/>
  <c r="K529" i="1"/>
  <c r="K533" i="1"/>
  <c r="O536" i="1"/>
  <c r="P537" i="1"/>
  <c r="R540" i="1"/>
  <c r="R541" i="1"/>
  <c r="P544" i="1"/>
  <c r="O545" i="1"/>
  <c r="F502" i="1"/>
  <c r="F504" i="1" s="1"/>
  <c r="K478" i="1"/>
  <c r="L478" i="1"/>
  <c r="K490" i="1"/>
  <c r="O491" i="1"/>
  <c r="M478" i="1"/>
  <c r="L490" i="1"/>
  <c r="P491" i="1"/>
  <c r="D499" i="1"/>
  <c r="M479" i="1"/>
  <c r="M482" i="1"/>
  <c r="N490" i="1"/>
  <c r="Q491" i="1"/>
  <c r="K480" i="1"/>
  <c r="O482" i="1"/>
  <c r="P498" i="1"/>
  <c r="O490" i="1"/>
  <c r="K492" i="1"/>
  <c r="L471" i="1"/>
  <c r="L480" i="1"/>
  <c r="K483" i="1"/>
  <c r="P490" i="1"/>
  <c r="M492" i="1"/>
  <c r="G500" i="1"/>
  <c r="L499" i="1"/>
  <c r="M480" i="1"/>
  <c r="Q490" i="1"/>
  <c r="N492" i="1"/>
  <c r="M484" i="1"/>
  <c r="L491" i="1"/>
  <c r="P492" i="1"/>
  <c r="D496" i="1"/>
  <c r="D498" i="1"/>
  <c r="K500" i="1"/>
  <c r="D502" i="1"/>
  <c r="M491" i="1"/>
  <c r="Q492" i="1"/>
  <c r="H500" i="1"/>
  <c r="N500" i="1"/>
  <c r="L487" i="1"/>
  <c r="N488" i="1"/>
  <c r="K494" i="1"/>
  <c r="K495" i="1"/>
  <c r="K496" i="1"/>
  <c r="Q498" i="1"/>
  <c r="P499" i="1"/>
  <c r="O500" i="1"/>
  <c r="L476" i="1"/>
  <c r="K487" i="1"/>
  <c r="M488" i="1"/>
  <c r="R494" i="1"/>
  <c r="R496" i="1"/>
  <c r="M483" i="1"/>
  <c r="K486" i="1"/>
  <c r="M487" i="1"/>
  <c r="O488" i="1"/>
  <c r="L494" i="1"/>
  <c r="L495" i="1"/>
  <c r="L496" i="1"/>
  <c r="R498" i="1"/>
  <c r="Q499" i="1"/>
  <c r="P500" i="1"/>
  <c r="P486" i="1"/>
  <c r="L488" i="1"/>
  <c r="Q494" i="1"/>
  <c r="Q495" i="1"/>
  <c r="K474" i="1"/>
  <c r="L483" i="1"/>
  <c r="O484" i="1"/>
  <c r="K470" i="1"/>
  <c r="L474" i="1"/>
  <c r="N478" i="1"/>
  <c r="N480" i="1"/>
  <c r="J468" i="1"/>
  <c r="L470" i="1"/>
  <c r="M474" i="1"/>
  <c r="K479" i="1"/>
  <c r="K482" i="1"/>
  <c r="N483" i="1"/>
  <c r="L486" i="1"/>
  <c r="N487" i="1"/>
  <c r="P488" i="1"/>
  <c r="K491" i="1"/>
  <c r="L492" i="1"/>
  <c r="M494" i="1"/>
  <c r="M495" i="1"/>
  <c r="M496" i="1"/>
  <c r="K498" i="1"/>
  <c r="S498" i="1"/>
  <c r="R499" i="1"/>
  <c r="Q500" i="1"/>
  <c r="R495" i="1"/>
  <c r="H498" i="1"/>
  <c r="M476" i="1"/>
  <c r="K471" i="1"/>
  <c r="K475" i="1"/>
  <c r="L479" i="1"/>
  <c r="L482" i="1"/>
  <c r="O483" i="1"/>
  <c r="M486" i="1"/>
  <c r="O487" i="1"/>
  <c r="N494" i="1"/>
  <c r="N495" i="1"/>
  <c r="N496" i="1"/>
  <c r="L498" i="1"/>
  <c r="K499" i="1"/>
  <c r="S499" i="1"/>
  <c r="R500" i="1"/>
  <c r="Q496" i="1"/>
  <c r="N486" i="1"/>
  <c r="P487" i="1"/>
  <c r="O494" i="1"/>
  <c r="O495" i="1"/>
  <c r="O496" i="1"/>
  <c r="K476" i="1"/>
  <c r="L475" i="1"/>
  <c r="N482" i="1"/>
  <c r="O486" i="1"/>
  <c r="M490" i="1"/>
  <c r="N491" i="1"/>
  <c r="P494" i="1"/>
  <c r="P495" i="1"/>
  <c r="N498" i="1"/>
  <c r="M499" i="1"/>
  <c r="L500" i="1"/>
  <c r="O498" i="1"/>
  <c r="N499" i="1"/>
  <c r="A11" i="5"/>
  <c r="Q652" i="1" l="1"/>
  <c r="CF3" i="3"/>
  <c r="CE5" i="3"/>
  <c r="CE4" i="3"/>
  <c r="F590" i="1"/>
  <c r="Q836" i="1"/>
  <c r="S835" i="1"/>
  <c r="G910" i="1"/>
  <c r="S467" i="1"/>
  <c r="Q606" i="1"/>
  <c r="S834" i="1"/>
  <c r="R789" i="1"/>
  <c r="F868" i="1"/>
  <c r="H864" i="1"/>
  <c r="F866" i="1"/>
  <c r="S836" i="1"/>
  <c r="G864" i="1"/>
  <c r="S789" i="1"/>
  <c r="Q790" i="1"/>
  <c r="R788" i="1"/>
  <c r="F820" i="1"/>
  <c r="S788" i="1"/>
  <c r="H818" i="1"/>
  <c r="S790" i="1"/>
  <c r="F774" i="1"/>
  <c r="G772" i="1"/>
  <c r="F776" i="1"/>
  <c r="Q744" i="1"/>
  <c r="H772" i="1"/>
  <c r="S696" i="1"/>
  <c r="S697" i="1"/>
  <c r="F730" i="1"/>
  <c r="H726" i="1"/>
  <c r="Q698" i="1"/>
  <c r="G726" i="1"/>
  <c r="F728" i="1"/>
  <c r="F684" i="1"/>
  <c r="S651" i="1"/>
  <c r="S650" i="1"/>
  <c r="S652" i="1"/>
  <c r="F682" i="1"/>
  <c r="G680" i="1"/>
  <c r="H680" i="1"/>
  <c r="F638" i="1"/>
  <c r="F636" i="1"/>
  <c r="S606" i="1"/>
  <c r="H634" i="1"/>
  <c r="BV2" i="3"/>
  <c r="BU3" i="3"/>
  <c r="BT4" i="3"/>
  <c r="BT5" i="3"/>
  <c r="Q560" i="1"/>
  <c r="H588" i="1"/>
  <c r="S560" i="1"/>
  <c r="G588" i="1"/>
  <c r="F592" i="1"/>
  <c r="S514" i="1"/>
  <c r="S513" i="1"/>
  <c r="S512" i="1"/>
  <c r="F544" i="1"/>
  <c r="Q514" i="1"/>
  <c r="F546" i="1"/>
  <c r="H542" i="1"/>
  <c r="G542" i="1"/>
  <c r="G634" i="1"/>
  <c r="Q882" i="1"/>
  <c r="S882" i="1"/>
  <c r="R603" i="1"/>
  <c r="S605" i="1"/>
  <c r="S604" i="1"/>
  <c r="S743" i="1"/>
  <c r="S742" i="1"/>
  <c r="R879" i="1"/>
  <c r="S880" i="1"/>
  <c r="S881" i="1"/>
  <c r="F500" i="1"/>
  <c r="F498" i="1"/>
  <c r="R467" i="1"/>
  <c r="R466" i="1"/>
  <c r="S466" i="1"/>
  <c r="G496" i="1"/>
  <c r="H496" i="1"/>
  <c r="R835" i="1"/>
  <c r="Q833" i="1"/>
  <c r="R834" i="1"/>
  <c r="G818" i="1"/>
  <c r="Q788" i="1"/>
  <c r="Q789" i="1"/>
  <c r="P787" i="1"/>
  <c r="R743" i="1"/>
  <c r="Q741" i="1"/>
  <c r="R742" i="1"/>
  <c r="R697" i="1"/>
  <c r="Q695" i="1"/>
  <c r="R696" i="1"/>
  <c r="Q649" i="1"/>
  <c r="R651" i="1"/>
  <c r="R650" i="1"/>
  <c r="S559" i="1"/>
  <c r="S558" i="1"/>
  <c r="R557" i="1"/>
  <c r="Q511" i="1"/>
  <c r="R513" i="1"/>
  <c r="R512" i="1"/>
  <c r="S468" i="1"/>
  <c r="Q468" i="1"/>
  <c r="Q467" i="1"/>
  <c r="P465" i="1"/>
  <c r="Q466" i="1"/>
  <c r="A12" i="5"/>
  <c r="A13" i="5" s="1"/>
  <c r="CG3" i="3" l="1"/>
  <c r="CF4" i="3"/>
  <c r="CF5" i="3"/>
  <c r="F542" i="1"/>
  <c r="F864" i="1"/>
  <c r="F818" i="1"/>
  <c r="F772" i="1"/>
  <c r="F726" i="1"/>
  <c r="F680" i="1"/>
  <c r="F634" i="1"/>
  <c r="BW2" i="3"/>
  <c r="BV3" i="3"/>
  <c r="BU5" i="3"/>
  <c r="BU4" i="3"/>
  <c r="F588" i="1"/>
  <c r="R605" i="1"/>
  <c r="R604" i="1"/>
  <c r="Q603" i="1"/>
  <c r="R880" i="1"/>
  <c r="Q879" i="1"/>
  <c r="R881" i="1"/>
  <c r="F496" i="1"/>
  <c r="Q834" i="1"/>
  <c r="Q835" i="1"/>
  <c r="P833" i="1"/>
  <c r="P788" i="1"/>
  <c r="O787" i="1"/>
  <c r="P789" i="1"/>
  <c r="Q742" i="1"/>
  <c r="Q743" i="1"/>
  <c r="P741" i="1"/>
  <c r="Q696" i="1"/>
  <c r="Q697" i="1"/>
  <c r="P695" i="1"/>
  <c r="Q650" i="1"/>
  <c r="Q651" i="1"/>
  <c r="P649" i="1"/>
  <c r="R559" i="1"/>
  <c r="Q557" i="1"/>
  <c r="R558" i="1"/>
  <c r="Q512" i="1"/>
  <c r="Q513" i="1"/>
  <c r="P511" i="1"/>
  <c r="P467" i="1"/>
  <c r="O465" i="1"/>
  <c r="P466" i="1"/>
  <c r="A14" i="5"/>
  <c r="A15" i="5" l="1"/>
  <c r="C5" i="5" s="1"/>
  <c r="CH3" i="3"/>
  <c r="CG5" i="3"/>
  <c r="CG4" i="3"/>
  <c r="BX2" i="3"/>
  <c r="BV5" i="3"/>
  <c r="BW3" i="3"/>
  <c r="BV4" i="3"/>
  <c r="Q604" i="1"/>
  <c r="P603" i="1"/>
  <c r="Q605" i="1"/>
  <c r="Q880" i="1"/>
  <c r="Q881" i="1"/>
  <c r="P879" i="1"/>
  <c r="P834" i="1"/>
  <c r="P835" i="1"/>
  <c r="O833" i="1"/>
  <c r="N787" i="1"/>
  <c r="O788" i="1"/>
  <c r="O789" i="1"/>
  <c r="P742" i="1"/>
  <c r="O741" i="1"/>
  <c r="P743" i="1"/>
  <c r="P696" i="1"/>
  <c r="P697" i="1"/>
  <c r="O695" i="1"/>
  <c r="P650" i="1"/>
  <c r="P651" i="1"/>
  <c r="O649" i="1"/>
  <c r="Q558" i="1"/>
  <c r="P557" i="1"/>
  <c r="Q559" i="1"/>
  <c r="P512" i="1"/>
  <c r="P513" i="1"/>
  <c r="O511" i="1"/>
  <c r="O466" i="1"/>
  <c r="O467" i="1"/>
  <c r="N465" i="1"/>
  <c r="D5" i="5" l="1"/>
  <c r="F5" i="5"/>
  <c r="CI3" i="3"/>
  <c r="CH4" i="3"/>
  <c r="CH5" i="3"/>
  <c r="BY2" i="3"/>
  <c r="BX3" i="3"/>
  <c r="BW5" i="3"/>
  <c r="BW4" i="3"/>
  <c r="O879" i="1"/>
  <c r="P881" i="1"/>
  <c r="P880" i="1"/>
  <c r="P604" i="1"/>
  <c r="P605" i="1"/>
  <c r="O603" i="1"/>
  <c r="N833" i="1"/>
  <c r="O834" i="1"/>
  <c r="O835" i="1"/>
  <c r="M787" i="1"/>
  <c r="N788" i="1"/>
  <c r="N789" i="1"/>
  <c r="N741" i="1"/>
  <c r="O742" i="1"/>
  <c r="O743" i="1"/>
  <c r="N695" i="1"/>
  <c r="O696" i="1"/>
  <c r="O697" i="1"/>
  <c r="N649" i="1"/>
  <c r="O651" i="1"/>
  <c r="O650" i="1"/>
  <c r="P558" i="1"/>
  <c r="P559" i="1"/>
  <c r="O557" i="1"/>
  <c r="N511" i="1"/>
  <c r="O513" i="1"/>
  <c r="O512" i="1"/>
  <c r="N466" i="1"/>
  <c r="N467" i="1"/>
  <c r="M465" i="1"/>
  <c r="C317" i="1"/>
  <c r="CI4" i="3" l="1"/>
  <c r="CI5" i="3"/>
  <c r="BX5" i="3"/>
  <c r="BX4" i="3"/>
  <c r="BY3" i="3"/>
  <c r="N603" i="1"/>
  <c r="O604" i="1"/>
  <c r="O605" i="1"/>
  <c r="N879" i="1"/>
  <c r="O880" i="1"/>
  <c r="O881" i="1"/>
  <c r="M833" i="1"/>
  <c r="N834" i="1"/>
  <c r="N835" i="1"/>
  <c r="M789" i="1"/>
  <c r="L787" i="1"/>
  <c r="M788" i="1"/>
  <c r="M741" i="1"/>
  <c r="N742" i="1"/>
  <c r="N743" i="1"/>
  <c r="M695" i="1"/>
  <c r="N696" i="1"/>
  <c r="N697" i="1"/>
  <c r="M649" i="1"/>
  <c r="N650" i="1"/>
  <c r="N651" i="1"/>
  <c r="N557" i="1"/>
  <c r="O558" i="1"/>
  <c r="O559" i="1"/>
  <c r="M511" i="1"/>
  <c r="N512" i="1"/>
  <c r="N513" i="1"/>
  <c r="L465" i="1"/>
  <c r="M466" i="1"/>
  <c r="M467" i="1"/>
  <c r="H3" i="3"/>
  <c r="BY5" i="3" l="1"/>
  <c r="BY4" i="3"/>
  <c r="M879" i="1"/>
  <c r="N880" i="1"/>
  <c r="N881" i="1"/>
  <c r="M603" i="1"/>
  <c r="N605" i="1"/>
  <c r="N604" i="1"/>
  <c r="L833" i="1"/>
  <c r="M834" i="1"/>
  <c r="M835" i="1"/>
  <c r="L789" i="1"/>
  <c r="K787" i="1"/>
  <c r="L788" i="1"/>
  <c r="M743" i="1"/>
  <c r="L741" i="1"/>
  <c r="M742" i="1"/>
  <c r="L695" i="1"/>
  <c r="M696" i="1"/>
  <c r="M697" i="1"/>
  <c r="L649" i="1"/>
  <c r="M650" i="1"/>
  <c r="M651" i="1"/>
  <c r="M557" i="1"/>
  <c r="N558" i="1"/>
  <c r="N559" i="1"/>
  <c r="M513" i="1"/>
  <c r="L511" i="1"/>
  <c r="M512" i="1"/>
  <c r="K465" i="1"/>
  <c r="L466" i="1"/>
  <c r="L467" i="1"/>
  <c r="H233" i="1"/>
  <c r="M604" i="1" l="1"/>
  <c r="M605" i="1"/>
  <c r="L603" i="1"/>
  <c r="M880" i="1"/>
  <c r="M881" i="1"/>
  <c r="L879" i="1"/>
  <c r="L835" i="1"/>
  <c r="K833" i="1"/>
  <c r="L834" i="1"/>
  <c r="K789" i="1"/>
  <c r="K788" i="1"/>
  <c r="L743" i="1"/>
  <c r="K741" i="1"/>
  <c r="L742" i="1"/>
  <c r="L697" i="1"/>
  <c r="K695" i="1"/>
  <c r="L696" i="1"/>
  <c r="L651" i="1"/>
  <c r="L650" i="1"/>
  <c r="K649" i="1"/>
  <c r="L557" i="1"/>
  <c r="M558" i="1"/>
  <c r="M559" i="1"/>
  <c r="L513" i="1"/>
  <c r="K511" i="1"/>
  <c r="L512" i="1"/>
  <c r="K466" i="1"/>
  <c r="K467" i="1"/>
  <c r="B26" i="3"/>
  <c r="C26" i="3" s="1"/>
  <c r="D26" i="3" s="1"/>
  <c r="AB5" i="3"/>
  <c r="AB4" i="3"/>
  <c r="AC3" i="3"/>
  <c r="AC5" i="3" s="1"/>
  <c r="AC2" i="3"/>
  <c r="E459" i="1"/>
  <c r="C459" i="1"/>
  <c r="B459" i="1"/>
  <c r="H458" i="1"/>
  <c r="G458" i="1"/>
  <c r="E458" i="1"/>
  <c r="C458" i="1"/>
  <c r="B458" i="1"/>
  <c r="H457" i="1"/>
  <c r="G457" i="1"/>
  <c r="E457" i="1"/>
  <c r="C457" i="1"/>
  <c r="B457" i="1"/>
  <c r="H456" i="1"/>
  <c r="G456" i="1"/>
  <c r="E456" i="1"/>
  <c r="C456" i="1"/>
  <c r="B456" i="1"/>
  <c r="E455" i="1"/>
  <c r="C455" i="1"/>
  <c r="B455" i="1"/>
  <c r="J454" i="1"/>
  <c r="E454" i="1"/>
  <c r="C454" i="1"/>
  <c r="B454" i="1"/>
  <c r="D454" i="1" s="1"/>
  <c r="J453" i="1"/>
  <c r="E453" i="1"/>
  <c r="C453" i="1"/>
  <c r="B453" i="1"/>
  <c r="K452" i="1" a="1"/>
  <c r="R454" i="1" s="1"/>
  <c r="J452" i="1"/>
  <c r="E452" i="1"/>
  <c r="C452" i="1"/>
  <c r="B452" i="1"/>
  <c r="E451" i="1"/>
  <c r="C451" i="1"/>
  <c r="B451" i="1"/>
  <c r="J450" i="1"/>
  <c r="E450" i="1"/>
  <c r="C450" i="1"/>
  <c r="B450" i="1"/>
  <c r="J449" i="1"/>
  <c r="K448" i="1" a="1"/>
  <c r="R450" i="1" s="1"/>
  <c r="J448" i="1"/>
  <c r="J446" i="1"/>
  <c r="J445" i="1"/>
  <c r="K444" i="1" a="1"/>
  <c r="P446" i="1" s="1"/>
  <c r="J444" i="1"/>
  <c r="J442" i="1"/>
  <c r="J441" i="1"/>
  <c r="K440" i="1" a="1"/>
  <c r="J440" i="1"/>
  <c r="J438" i="1"/>
  <c r="J437" i="1"/>
  <c r="K436" i="1" a="1"/>
  <c r="N438" i="1" s="1"/>
  <c r="J436" i="1"/>
  <c r="J434" i="1"/>
  <c r="J433" i="1"/>
  <c r="K432" i="1" a="1"/>
  <c r="L434" i="1" s="1"/>
  <c r="J432" i="1"/>
  <c r="J430" i="1"/>
  <c r="J429" i="1"/>
  <c r="K428" i="1" a="1"/>
  <c r="L430" i="1" s="1"/>
  <c r="J428" i="1"/>
  <c r="E427" i="1"/>
  <c r="J426" i="1"/>
  <c r="J425" i="1"/>
  <c r="K424" i="1" a="1"/>
  <c r="L425" i="1" s="1"/>
  <c r="J424" i="1"/>
  <c r="F424" i="1"/>
  <c r="D424" i="1"/>
  <c r="J419" i="1"/>
  <c r="O422" i="1" s="1"/>
  <c r="V417" i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H417" i="1"/>
  <c r="B430" i="1" s="1"/>
  <c r="E413" i="1"/>
  <c r="C413" i="1"/>
  <c r="B413" i="1"/>
  <c r="H412" i="1"/>
  <c r="G412" i="1"/>
  <c r="E412" i="1"/>
  <c r="C412" i="1"/>
  <c r="B412" i="1"/>
  <c r="H411" i="1"/>
  <c r="G411" i="1"/>
  <c r="E411" i="1"/>
  <c r="C411" i="1"/>
  <c r="B411" i="1"/>
  <c r="H410" i="1"/>
  <c r="G410" i="1"/>
  <c r="E410" i="1"/>
  <c r="C410" i="1"/>
  <c r="B410" i="1"/>
  <c r="E409" i="1"/>
  <c r="C409" i="1"/>
  <c r="B409" i="1"/>
  <c r="J408" i="1"/>
  <c r="E408" i="1"/>
  <c r="C408" i="1"/>
  <c r="B408" i="1"/>
  <c r="J407" i="1"/>
  <c r="E407" i="1"/>
  <c r="C407" i="1"/>
  <c r="B407" i="1"/>
  <c r="K406" i="1" a="1"/>
  <c r="R408" i="1" s="1"/>
  <c r="J406" i="1"/>
  <c r="E406" i="1"/>
  <c r="C406" i="1"/>
  <c r="B406" i="1"/>
  <c r="E405" i="1"/>
  <c r="C405" i="1"/>
  <c r="B405" i="1"/>
  <c r="J404" i="1"/>
  <c r="E404" i="1"/>
  <c r="C404" i="1"/>
  <c r="B404" i="1"/>
  <c r="J403" i="1"/>
  <c r="K402" i="1" a="1"/>
  <c r="R404" i="1" s="1"/>
  <c r="J402" i="1"/>
  <c r="J400" i="1"/>
  <c r="J399" i="1"/>
  <c r="K398" i="1" a="1"/>
  <c r="P400" i="1" s="1"/>
  <c r="J398" i="1"/>
  <c r="J396" i="1"/>
  <c r="J395" i="1"/>
  <c r="K394" i="1" a="1"/>
  <c r="P395" i="1" s="1"/>
  <c r="J394" i="1"/>
  <c r="J392" i="1"/>
  <c r="J391" i="1"/>
  <c r="K390" i="1" a="1"/>
  <c r="N392" i="1" s="1"/>
  <c r="J390" i="1"/>
  <c r="J388" i="1"/>
  <c r="J387" i="1"/>
  <c r="K386" i="1" a="1"/>
  <c r="L388" i="1" s="1"/>
  <c r="J386" i="1"/>
  <c r="J384" i="1"/>
  <c r="J383" i="1"/>
  <c r="K382" i="1" a="1"/>
  <c r="L384" i="1" s="1"/>
  <c r="J382" i="1"/>
  <c r="E381" i="1"/>
  <c r="J380" i="1"/>
  <c r="J379" i="1"/>
  <c r="K378" i="1" a="1"/>
  <c r="L379" i="1" s="1"/>
  <c r="J378" i="1"/>
  <c r="F378" i="1"/>
  <c r="D378" i="1"/>
  <c r="J373" i="1"/>
  <c r="V371" i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H371" i="1"/>
  <c r="B384" i="1" s="1"/>
  <c r="E367" i="1"/>
  <c r="C367" i="1"/>
  <c r="B367" i="1"/>
  <c r="H366" i="1"/>
  <c r="G366" i="1"/>
  <c r="E366" i="1"/>
  <c r="C366" i="1"/>
  <c r="B366" i="1"/>
  <c r="H365" i="1"/>
  <c r="G365" i="1"/>
  <c r="E365" i="1"/>
  <c r="C365" i="1"/>
  <c r="B365" i="1"/>
  <c r="H364" i="1"/>
  <c r="G364" i="1"/>
  <c r="E364" i="1"/>
  <c r="C364" i="1"/>
  <c r="B364" i="1"/>
  <c r="E363" i="1"/>
  <c r="C363" i="1"/>
  <c r="B363" i="1"/>
  <c r="J362" i="1"/>
  <c r="E362" i="1"/>
  <c r="C362" i="1"/>
  <c r="B362" i="1"/>
  <c r="J361" i="1"/>
  <c r="E361" i="1"/>
  <c r="C361" i="1"/>
  <c r="B361" i="1"/>
  <c r="K360" i="1" a="1"/>
  <c r="R362" i="1" s="1"/>
  <c r="J360" i="1"/>
  <c r="E360" i="1"/>
  <c r="C360" i="1"/>
  <c r="B360" i="1"/>
  <c r="E359" i="1"/>
  <c r="C359" i="1"/>
  <c r="B359" i="1"/>
  <c r="J358" i="1"/>
  <c r="E358" i="1"/>
  <c r="C358" i="1"/>
  <c r="B358" i="1"/>
  <c r="J357" i="1"/>
  <c r="K356" i="1" a="1"/>
  <c r="R358" i="1" s="1"/>
  <c r="J356" i="1"/>
  <c r="J354" i="1"/>
  <c r="J353" i="1"/>
  <c r="K352" i="1" a="1"/>
  <c r="P354" i="1" s="1"/>
  <c r="J352" i="1"/>
  <c r="J350" i="1"/>
  <c r="J349" i="1"/>
  <c r="K348" i="1" a="1"/>
  <c r="M350" i="1" s="1"/>
  <c r="J348" i="1"/>
  <c r="J346" i="1"/>
  <c r="J345" i="1"/>
  <c r="K344" i="1" a="1"/>
  <c r="N346" i="1" s="1"/>
  <c r="J344" i="1"/>
  <c r="J342" i="1"/>
  <c r="J341" i="1"/>
  <c r="K340" i="1" a="1"/>
  <c r="L342" i="1" s="1"/>
  <c r="J340" i="1"/>
  <c r="J338" i="1"/>
  <c r="J337" i="1"/>
  <c r="K336" i="1" a="1"/>
  <c r="L338" i="1" s="1"/>
  <c r="J336" i="1"/>
  <c r="E335" i="1"/>
  <c r="J334" i="1"/>
  <c r="J333" i="1"/>
  <c r="K332" i="1" a="1"/>
  <c r="L334" i="1" s="1"/>
  <c r="J332" i="1"/>
  <c r="F332" i="1"/>
  <c r="D332" i="1"/>
  <c r="J327" i="1"/>
  <c r="V325" i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H325" i="1"/>
  <c r="B338" i="1" s="1"/>
  <c r="E321" i="1"/>
  <c r="C321" i="1"/>
  <c r="B321" i="1"/>
  <c r="H320" i="1"/>
  <c r="G320" i="1"/>
  <c r="E320" i="1"/>
  <c r="C320" i="1"/>
  <c r="B320" i="1"/>
  <c r="H319" i="1"/>
  <c r="G319" i="1"/>
  <c r="E319" i="1"/>
  <c r="C319" i="1"/>
  <c r="B319" i="1"/>
  <c r="H318" i="1"/>
  <c r="G318" i="1"/>
  <c r="E318" i="1"/>
  <c r="C318" i="1"/>
  <c r="B318" i="1"/>
  <c r="E317" i="1"/>
  <c r="B317" i="1"/>
  <c r="J316" i="1"/>
  <c r="E316" i="1"/>
  <c r="C316" i="1"/>
  <c r="B316" i="1"/>
  <c r="J315" i="1"/>
  <c r="E315" i="1"/>
  <c r="C315" i="1"/>
  <c r="B315" i="1"/>
  <c r="K314" i="1" a="1"/>
  <c r="R316" i="1" s="1"/>
  <c r="J314" i="1"/>
  <c r="E314" i="1"/>
  <c r="C314" i="1"/>
  <c r="B314" i="1"/>
  <c r="E313" i="1"/>
  <c r="C313" i="1"/>
  <c r="B313" i="1"/>
  <c r="J312" i="1"/>
  <c r="E312" i="1"/>
  <c r="C312" i="1"/>
  <c r="B312" i="1"/>
  <c r="J311" i="1"/>
  <c r="K310" i="1" a="1"/>
  <c r="R312" i="1" s="1"/>
  <c r="J310" i="1"/>
  <c r="J308" i="1"/>
  <c r="J307" i="1"/>
  <c r="K306" i="1" a="1"/>
  <c r="P308" i="1" s="1"/>
  <c r="J306" i="1"/>
  <c r="J304" i="1"/>
  <c r="J303" i="1"/>
  <c r="K302" i="1" a="1"/>
  <c r="N302" i="1" s="1"/>
  <c r="J302" i="1"/>
  <c r="J300" i="1"/>
  <c r="J299" i="1"/>
  <c r="K298" i="1" a="1"/>
  <c r="O300" i="1" s="1"/>
  <c r="J298" i="1"/>
  <c r="J296" i="1"/>
  <c r="J295" i="1"/>
  <c r="K294" i="1" a="1"/>
  <c r="M294" i="1" s="1"/>
  <c r="J294" i="1"/>
  <c r="J292" i="1"/>
  <c r="J291" i="1"/>
  <c r="K290" i="1" a="1"/>
  <c r="M291" i="1" s="1"/>
  <c r="J290" i="1"/>
  <c r="E289" i="1"/>
  <c r="J288" i="1"/>
  <c r="J287" i="1"/>
  <c r="K286" i="1" a="1"/>
  <c r="L287" i="1" s="1"/>
  <c r="J286" i="1"/>
  <c r="F286" i="1"/>
  <c r="D286" i="1"/>
  <c r="J281" i="1"/>
  <c r="J283" i="1" s="1"/>
  <c r="V279" i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H279" i="1"/>
  <c r="B292" i="1" s="1"/>
  <c r="E275" i="1"/>
  <c r="C275" i="1"/>
  <c r="B275" i="1"/>
  <c r="H274" i="1"/>
  <c r="G274" i="1"/>
  <c r="E274" i="1"/>
  <c r="C274" i="1"/>
  <c r="B274" i="1"/>
  <c r="H273" i="1"/>
  <c r="G273" i="1"/>
  <c r="E273" i="1"/>
  <c r="C273" i="1"/>
  <c r="B273" i="1"/>
  <c r="H272" i="1"/>
  <c r="G272" i="1"/>
  <c r="E272" i="1"/>
  <c r="C272" i="1"/>
  <c r="B272" i="1"/>
  <c r="E271" i="1"/>
  <c r="C271" i="1"/>
  <c r="B271" i="1"/>
  <c r="J270" i="1"/>
  <c r="E270" i="1"/>
  <c r="C270" i="1"/>
  <c r="B270" i="1"/>
  <c r="J269" i="1"/>
  <c r="E269" i="1"/>
  <c r="C269" i="1"/>
  <c r="B269" i="1"/>
  <c r="K268" i="1" a="1"/>
  <c r="R270" i="1" s="1"/>
  <c r="J268" i="1"/>
  <c r="E268" i="1"/>
  <c r="C268" i="1"/>
  <c r="B268" i="1"/>
  <c r="E267" i="1"/>
  <c r="C267" i="1"/>
  <c r="B267" i="1"/>
  <c r="J266" i="1"/>
  <c r="E266" i="1"/>
  <c r="C266" i="1"/>
  <c r="B266" i="1"/>
  <c r="J265" i="1"/>
  <c r="K264" i="1" a="1"/>
  <c r="R266" i="1" s="1"/>
  <c r="J264" i="1"/>
  <c r="J262" i="1"/>
  <c r="J261" i="1"/>
  <c r="K260" i="1" a="1"/>
  <c r="N261" i="1" s="1"/>
  <c r="J260" i="1"/>
  <c r="J258" i="1"/>
  <c r="J257" i="1"/>
  <c r="K256" i="1" a="1"/>
  <c r="M258" i="1" s="1"/>
  <c r="J256" i="1"/>
  <c r="J254" i="1"/>
  <c r="J253" i="1"/>
  <c r="K252" i="1" a="1"/>
  <c r="N254" i="1" s="1"/>
  <c r="J252" i="1"/>
  <c r="J250" i="1"/>
  <c r="J249" i="1"/>
  <c r="K248" i="1" a="1"/>
  <c r="L250" i="1" s="1"/>
  <c r="J248" i="1"/>
  <c r="J246" i="1"/>
  <c r="J245" i="1"/>
  <c r="K244" i="1" a="1"/>
  <c r="L246" i="1" s="1"/>
  <c r="J244" i="1"/>
  <c r="E243" i="1"/>
  <c r="J242" i="1"/>
  <c r="J241" i="1"/>
  <c r="K240" i="1" a="1"/>
  <c r="K241" i="1" s="1"/>
  <c r="J240" i="1"/>
  <c r="G240" i="1"/>
  <c r="F240" i="1"/>
  <c r="D240" i="1"/>
  <c r="J235" i="1"/>
  <c r="O238" i="1" s="1"/>
  <c r="V233" i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B246" i="1"/>
  <c r="E229" i="1"/>
  <c r="C229" i="1"/>
  <c r="B229" i="1"/>
  <c r="H228" i="1"/>
  <c r="G228" i="1"/>
  <c r="E228" i="1"/>
  <c r="C228" i="1"/>
  <c r="B228" i="1"/>
  <c r="H227" i="1"/>
  <c r="G227" i="1"/>
  <c r="E227" i="1"/>
  <c r="C227" i="1"/>
  <c r="B227" i="1"/>
  <c r="H226" i="1"/>
  <c r="G226" i="1"/>
  <c r="E226" i="1"/>
  <c r="C226" i="1"/>
  <c r="B226" i="1"/>
  <c r="E225" i="1"/>
  <c r="C225" i="1"/>
  <c r="B225" i="1"/>
  <c r="J224" i="1"/>
  <c r="E224" i="1"/>
  <c r="C224" i="1"/>
  <c r="B224" i="1"/>
  <c r="J223" i="1"/>
  <c r="E223" i="1"/>
  <c r="C223" i="1"/>
  <c r="B223" i="1"/>
  <c r="K222" i="1" a="1"/>
  <c r="R224" i="1" s="1"/>
  <c r="J222" i="1"/>
  <c r="E222" i="1"/>
  <c r="C222" i="1"/>
  <c r="B222" i="1"/>
  <c r="E221" i="1"/>
  <c r="C221" i="1"/>
  <c r="B221" i="1"/>
  <c r="J220" i="1"/>
  <c r="E220" i="1"/>
  <c r="C220" i="1"/>
  <c r="B220" i="1"/>
  <c r="J219" i="1"/>
  <c r="K218" i="1" a="1"/>
  <c r="R220" i="1" s="1"/>
  <c r="J218" i="1"/>
  <c r="J216" i="1"/>
  <c r="J215" i="1"/>
  <c r="K214" i="1" a="1"/>
  <c r="P216" i="1" s="1"/>
  <c r="J214" i="1"/>
  <c r="J212" i="1"/>
  <c r="J211" i="1"/>
  <c r="K210" i="1" a="1"/>
  <c r="N212" i="1" s="1"/>
  <c r="J210" i="1"/>
  <c r="J208" i="1"/>
  <c r="J207" i="1"/>
  <c r="K206" i="1" a="1"/>
  <c r="N208" i="1" s="1"/>
  <c r="J206" i="1"/>
  <c r="J204" i="1"/>
  <c r="J203" i="1"/>
  <c r="K202" i="1" a="1"/>
  <c r="L204" i="1" s="1"/>
  <c r="J202" i="1"/>
  <c r="J200" i="1"/>
  <c r="J199" i="1"/>
  <c r="K198" i="1" a="1"/>
  <c r="L200" i="1" s="1"/>
  <c r="J198" i="1"/>
  <c r="E197" i="1"/>
  <c r="J196" i="1"/>
  <c r="J195" i="1"/>
  <c r="K194" i="1" a="1"/>
  <c r="L195" i="1" s="1"/>
  <c r="J194" i="1"/>
  <c r="F194" i="1"/>
  <c r="D194" i="1"/>
  <c r="J189" i="1"/>
  <c r="O192" i="1" s="1"/>
  <c r="V187" i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H187" i="1"/>
  <c r="B200" i="1" s="1"/>
  <c r="E183" i="1"/>
  <c r="C183" i="1"/>
  <c r="B183" i="1"/>
  <c r="H182" i="1"/>
  <c r="G182" i="1"/>
  <c r="E182" i="1"/>
  <c r="C182" i="1"/>
  <c r="B182" i="1"/>
  <c r="H181" i="1"/>
  <c r="G181" i="1"/>
  <c r="E181" i="1"/>
  <c r="C181" i="1"/>
  <c r="B181" i="1"/>
  <c r="H180" i="1"/>
  <c r="G180" i="1"/>
  <c r="E180" i="1"/>
  <c r="C180" i="1"/>
  <c r="B180" i="1"/>
  <c r="E179" i="1"/>
  <c r="C179" i="1"/>
  <c r="B179" i="1"/>
  <c r="J178" i="1"/>
  <c r="E178" i="1"/>
  <c r="C178" i="1"/>
  <c r="B178" i="1"/>
  <c r="J177" i="1"/>
  <c r="E177" i="1"/>
  <c r="C177" i="1"/>
  <c r="B177" i="1"/>
  <c r="K176" i="1" a="1"/>
  <c r="O178" i="1" s="1"/>
  <c r="J176" i="1"/>
  <c r="E176" i="1"/>
  <c r="C176" i="1"/>
  <c r="B176" i="1"/>
  <c r="E175" i="1"/>
  <c r="C175" i="1"/>
  <c r="B175" i="1"/>
  <c r="J174" i="1"/>
  <c r="E174" i="1"/>
  <c r="C174" i="1"/>
  <c r="B174" i="1"/>
  <c r="J173" i="1"/>
  <c r="K172" i="1" a="1"/>
  <c r="R174" i="1" s="1"/>
  <c r="J172" i="1"/>
  <c r="J170" i="1"/>
  <c r="J169" i="1"/>
  <c r="K168" i="1" a="1"/>
  <c r="Q170" i="1" s="1"/>
  <c r="J168" i="1"/>
  <c r="J166" i="1"/>
  <c r="J165" i="1"/>
  <c r="K164" i="1" a="1"/>
  <c r="K166" i="1" s="1"/>
  <c r="J164" i="1"/>
  <c r="J162" i="1"/>
  <c r="J161" i="1"/>
  <c r="K160" i="1" a="1"/>
  <c r="M162" i="1" s="1"/>
  <c r="J160" i="1"/>
  <c r="J158" i="1"/>
  <c r="J157" i="1"/>
  <c r="K156" i="1" a="1"/>
  <c r="K158" i="1" s="1"/>
  <c r="J156" i="1"/>
  <c r="J154" i="1"/>
  <c r="J153" i="1"/>
  <c r="K152" i="1" a="1"/>
  <c r="L154" i="1" s="1"/>
  <c r="J152" i="1"/>
  <c r="E151" i="1"/>
  <c r="J150" i="1"/>
  <c r="J149" i="1"/>
  <c r="K148" i="1" a="1"/>
  <c r="K150" i="1" s="1"/>
  <c r="J148" i="1"/>
  <c r="F148" i="1"/>
  <c r="D148" i="1"/>
  <c r="J143" i="1"/>
  <c r="O146" i="1" s="1"/>
  <c r="V141" i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H141" i="1"/>
  <c r="B154" i="1" s="1"/>
  <c r="G154" i="1" s="1"/>
  <c r="H154" i="1" s="1"/>
  <c r="L881" i="1" l="1"/>
  <c r="K879" i="1"/>
  <c r="L880" i="1"/>
  <c r="L604" i="1"/>
  <c r="K603" i="1"/>
  <c r="L605" i="1"/>
  <c r="K835" i="1"/>
  <c r="K834" i="1"/>
  <c r="K743" i="1"/>
  <c r="K742" i="1"/>
  <c r="K697" i="1"/>
  <c r="K696" i="1"/>
  <c r="K651" i="1"/>
  <c r="K650" i="1"/>
  <c r="L559" i="1"/>
  <c r="K557" i="1"/>
  <c r="L558" i="1"/>
  <c r="K513" i="1"/>
  <c r="K512" i="1"/>
  <c r="D453" i="1"/>
  <c r="G378" i="1"/>
  <c r="G424" i="1"/>
  <c r="L398" i="1"/>
  <c r="D404" i="1"/>
  <c r="K438" i="1"/>
  <c r="G332" i="1"/>
  <c r="P399" i="1"/>
  <c r="M354" i="1"/>
  <c r="D313" i="1"/>
  <c r="Q354" i="1"/>
  <c r="M444" i="1"/>
  <c r="D183" i="1"/>
  <c r="G286" i="1"/>
  <c r="P306" i="1"/>
  <c r="K352" i="1"/>
  <c r="F318" i="1"/>
  <c r="F320" i="1" s="1"/>
  <c r="M352" i="1"/>
  <c r="M308" i="1"/>
  <c r="D321" i="1"/>
  <c r="M296" i="1"/>
  <c r="O352" i="1"/>
  <c r="F364" i="1"/>
  <c r="F366" i="1" s="1"/>
  <c r="O448" i="1"/>
  <c r="P353" i="1"/>
  <c r="M314" i="1"/>
  <c r="D365" i="1"/>
  <c r="D410" i="1"/>
  <c r="S419" i="1"/>
  <c r="R419" i="1" s="1"/>
  <c r="L429" i="1"/>
  <c r="O449" i="1"/>
  <c r="D176" i="1"/>
  <c r="D180" i="1"/>
  <c r="K311" i="1"/>
  <c r="D317" i="1"/>
  <c r="K333" i="1"/>
  <c r="L391" i="1"/>
  <c r="L402" i="1"/>
  <c r="J420" i="1"/>
  <c r="N353" i="1"/>
  <c r="D367" i="1"/>
  <c r="N394" i="1"/>
  <c r="O404" i="1"/>
  <c r="D405" i="1"/>
  <c r="L407" i="1"/>
  <c r="D452" i="1"/>
  <c r="M384" i="1"/>
  <c r="L290" i="1"/>
  <c r="M298" i="1"/>
  <c r="Q306" i="1"/>
  <c r="N308" i="1"/>
  <c r="L311" i="1"/>
  <c r="H314" i="1"/>
  <c r="Q314" i="1"/>
  <c r="D318" i="1"/>
  <c r="D319" i="1"/>
  <c r="L336" i="1"/>
  <c r="L357" i="1"/>
  <c r="H362" i="1"/>
  <c r="D359" i="1"/>
  <c r="D361" i="1"/>
  <c r="K382" i="1"/>
  <c r="M386" i="1"/>
  <c r="K392" i="1"/>
  <c r="P398" i="1"/>
  <c r="M400" i="1"/>
  <c r="K403" i="1"/>
  <c r="S408" i="1"/>
  <c r="M433" i="1"/>
  <c r="L445" i="1"/>
  <c r="D450" i="1"/>
  <c r="D456" i="1"/>
  <c r="D182" i="1"/>
  <c r="D273" i="1"/>
  <c r="K306" i="1"/>
  <c r="N307" i="1"/>
  <c r="K310" i="1"/>
  <c r="K312" i="1"/>
  <c r="K316" i="1"/>
  <c r="M337" i="1"/>
  <c r="L382" i="1"/>
  <c r="M387" i="1"/>
  <c r="Q398" i="1"/>
  <c r="N400" i="1"/>
  <c r="L403" i="1"/>
  <c r="D406" i="1"/>
  <c r="D407" i="1"/>
  <c r="D408" i="1"/>
  <c r="M434" i="1"/>
  <c r="Q445" i="1"/>
  <c r="O450" i="1"/>
  <c r="D451" i="1"/>
  <c r="L453" i="1"/>
  <c r="D274" i="1"/>
  <c r="L306" i="1"/>
  <c r="P307" i="1"/>
  <c r="L310" i="1"/>
  <c r="L312" i="1"/>
  <c r="O316" i="1"/>
  <c r="D320" i="1"/>
  <c r="K334" i="1"/>
  <c r="O348" i="1"/>
  <c r="L353" i="1"/>
  <c r="O354" i="1"/>
  <c r="D363" i="1"/>
  <c r="L383" i="1"/>
  <c r="M390" i="1"/>
  <c r="K398" i="1"/>
  <c r="N399" i="1"/>
  <c r="K402" i="1"/>
  <c r="K404" i="1"/>
  <c r="O446" i="1"/>
  <c r="S454" i="1"/>
  <c r="D270" i="1"/>
  <c r="D269" i="1"/>
  <c r="D266" i="1"/>
  <c r="F272" i="1"/>
  <c r="F274" i="1" s="1"/>
  <c r="D267" i="1"/>
  <c r="D272" i="1"/>
  <c r="Q260" i="1"/>
  <c r="P266" i="1"/>
  <c r="L244" i="1"/>
  <c r="L264" i="1"/>
  <c r="K257" i="1"/>
  <c r="K260" i="1"/>
  <c r="K262" i="1"/>
  <c r="L265" i="1"/>
  <c r="M257" i="1"/>
  <c r="M260" i="1"/>
  <c r="M262" i="1"/>
  <c r="L266" i="1"/>
  <c r="J237" i="1"/>
  <c r="L256" i="1"/>
  <c r="L258" i="1"/>
  <c r="M256" i="1"/>
  <c r="P264" i="1"/>
  <c r="H224" i="1"/>
  <c r="D228" i="1"/>
  <c r="K240" i="1"/>
  <c r="M245" i="1"/>
  <c r="N258" i="1"/>
  <c r="O258" i="1"/>
  <c r="O257" i="1"/>
  <c r="O256" i="1"/>
  <c r="N257" i="1"/>
  <c r="P258" i="1"/>
  <c r="P262" i="1"/>
  <c r="Q262" i="1"/>
  <c r="P261" i="1"/>
  <c r="O260" i="1"/>
  <c r="L261" i="1"/>
  <c r="O262" i="1"/>
  <c r="D268" i="1"/>
  <c r="D275" i="1"/>
  <c r="O284" i="1"/>
  <c r="S281" i="1"/>
  <c r="L292" i="1"/>
  <c r="L291" i="1"/>
  <c r="M292" i="1"/>
  <c r="L296" i="1"/>
  <c r="M295" i="1"/>
  <c r="L299" i="1"/>
  <c r="O330" i="1"/>
  <c r="J329" i="1"/>
  <c r="N349" i="1"/>
  <c r="D362" i="1"/>
  <c r="G194" i="1"/>
  <c r="D229" i="1"/>
  <c r="K242" i="1"/>
  <c r="K256" i="1"/>
  <c r="P256" i="1"/>
  <c r="K258" i="1"/>
  <c r="D271" i="1"/>
  <c r="J282" i="1"/>
  <c r="K290" i="1"/>
  <c r="O376" i="1"/>
  <c r="J375" i="1"/>
  <c r="J374" i="1"/>
  <c r="S373" i="1"/>
  <c r="R373" i="1" s="1"/>
  <c r="D221" i="1"/>
  <c r="D224" i="1"/>
  <c r="D227" i="1"/>
  <c r="H270" i="1"/>
  <c r="N300" i="1"/>
  <c r="K300" i="1"/>
  <c r="N350" i="1"/>
  <c r="L350" i="1"/>
  <c r="M349" i="1"/>
  <c r="M348" i="1"/>
  <c r="P350" i="1"/>
  <c r="K350" i="1"/>
  <c r="K349" i="1"/>
  <c r="L348" i="1"/>
  <c r="O350" i="1"/>
  <c r="O349" i="1"/>
  <c r="P348" i="1"/>
  <c r="K348" i="1"/>
  <c r="P357" i="1"/>
  <c r="H360" i="1"/>
  <c r="H408" i="1"/>
  <c r="P407" i="1"/>
  <c r="D412" i="1"/>
  <c r="M429" i="1"/>
  <c r="O438" i="1"/>
  <c r="O444" i="1"/>
  <c r="M445" i="1"/>
  <c r="K446" i="1"/>
  <c r="Q446" i="1"/>
  <c r="P448" i="1"/>
  <c r="P449" i="1"/>
  <c r="P450" i="1"/>
  <c r="H454" i="1"/>
  <c r="P453" i="1"/>
  <c r="D458" i="1"/>
  <c r="P265" i="1"/>
  <c r="H268" i="1"/>
  <c r="M306" i="1"/>
  <c r="L307" i="1"/>
  <c r="Q307" i="1"/>
  <c r="O308" i="1"/>
  <c r="O310" i="1"/>
  <c r="O311" i="1"/>
  <c r="O312" i="1"/>
  <c r="D312" i="1"/>
  <c r="D314" i="1"/>
  <c r="L315" i="1"/>
  <c r="S316" i="1"/>
  <c r="Q352" i="1"/>
  <c r="K354" i="1"/>
  <c r="L356" i="1"/>
  <c r="L358" i="1"/>
  <c r="D360" i="1"/>
  <c r="D364" i="1"/>
  <c r="D366" i="1"/>
  <c r="M383" i="1"/>
  <c r="M388" i="1"/>
  <c r="O392" i="1"/>
  <c r="M398" i="1"/>
  <c r="L399" i="1"/>
  <c r="Q399" i="1"/>
  <c r="O400" i="1"/>
  <c r="O402" i="1"/>
  <c r="O403" i="1"/>
  <c r="M406" i="1"/>
  <c r="K408" i="1"/>
  <c r="F410" i="1"/>
  <c r="F412" i="1" s="1"/>
  <c r="D413" i="1"/>
  <c r="J421" i="1"/>
  <c r="K428" i="1"/>
  <c r="M430" i="1"/>
  <c r="M436" i="1"/>
  <c r="K444" i="1"/>
  <c r="P444" i="1"/>
  <c r="N445" i="1"/>
  <c r="M446" i="1"/>
  <c r="K448" i="1"/>
  <c r="K449" i="1"/>
  <c r="K450" i="1"/>
  <c r="M452" i="1"/>
  <c r="K454" i="1"/>
  <c r="F456" i="1"/>
  <c r="F458" i="1" s="1"/>
  <c r="D459" i="1"/>
  <c r="AD3" i="3"/>
  <c r="AD5" i="3" s="1"/>
  <c r="E26" i="3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BX26" i="3" s="1"/>
  <c r="BY26" i="3" s="1"/>
  <c r="BZ26" i="3" s="1"/>
  <c r="CA26" i="3" s="1"/>
  <c r="CB26" i="3" s="1"/>
  <c r="CC26" i="3" s="1"/>
  <c r="CD26" i="3" s="1"/>
  <c r="CE26" i="3" s="1"/>
  <c r="CF26" i="3" s="1"/>
  <c r="CG26" i="3" s="1"/>
  <c r="CH26" i="3" s="1"/>
  <c r="CI26" i="3" s="1"/>
  <c r="O306" i="1"/>
  <c r="M307" i="1"/>
  <c r="K308" i="1"/>
  <c r="Q308" i="1"/>
  <c r="P310" i="1"/>
  <c r="P311" i="1"/>
  <c r="P312" i="1"/>
  <c r="H316" i="1"/>
  <c r="P315" i="1"/>
  <c r="D315" i="1"/>
  <c r="D316" i="1"/>
  <c r="K332" i="1"/>
  <c r="P356" i="1"/>
  <c r="P358" i="1"/>
  <c r="D358" i="1"/>
  <c r="O398" i="1"/>
  <c r="M399" i="1"/>
  <c r="K400" i="1"/>
  <c r="Q400" i="1"/>
  <c r="P402" i="1"/>
  <c r="P403" i="1"/>
  <c r="H406" i="1"/>
  <c r="Q406" i="1"/>
  <c r="O408" i="1"/>
  <c r="D409" i="1"/>
  <c r="D411" i="1"/>
  <c r="L428" i="1"/>
  <c r="M432" i="1"/>
  <c r="L437" i="1"/>
  <c r="L444" i="1"/>
  <c r="Q444" i="1"/>
  <c r="P445" i="1"/>
  <c r="N446" i="1"/>
  <c r="L448" i="1"/>
  <c r="L449" i="1"/>
  <c r="L450" i="1"/>
  <c r="H452" i="1"/>
  <c r="Q452" i="1"/>
  <c r="O454" i="1"/>
  <c r="D455" i="1"/>
  <c r="D457" i="1"/>
  <c r="D222" i="1"/>
  <c r="D226" i="1"/>
  <c r="F226" i="1"/>
  <c r="F228" i="1" s="1"/>
  <c r="D223" i="1"/>
  <c r="K208" i="1"/>
  <c r="D225" i="1"/>
  <c r="H222" i="1"/>
  <c r="L198" i="1"/>
  <c r="J191" i="1"/>
  <c r="L199" i="1"/>
  <c r="M200" i="1"/>
  <c r="L211" i="1"/>
  <c r="K198" i="1"/>
  <c r="M206" i="1"/>
  <c r="L207" i="1"/>
  <c r="O214" i="1"/>
  <c r="M215" i="1"/>
  <c r="K216" i="1"/>
  <c r="Q216" i="1"/>
  <c r="P218" i="1"/>
  <c r="P219" i="1"/>
  <c r="P220" i="1"/>
  <c r="P223" i="1"/>
  <c r="M202" i="1"/>
  <c r="K214" i="1"/>
  <c r="P214" i="1"/>
  <c r="N215" i="1"/>
  <c r="M216" i="1"/>
  <c r="K218" i="1"/>
  <c r="K219" i="1"/>
  <c r="K220" i="1"/>
  <c r="M222" i="1"/>
  <c r="K224" i="1"/>
  <c r="S189" i="1"/>
  <c r="M203" i="1"/>
  <c r="L214" i="1"/>
  <c r="Q214" i="1"/>
  <c r="P215" i="1"/>
  <c r="N216" i="1"/>
  <c r="L218" i="1"/>
  <c r="L219" i="1"/>
  <c r="L220" i="1"/>
  <c r="Q222" i="1"/>
  <c r="O224" i="1"/>
  <c r="J190" i="1"/>
  <c r="M199" i="1"/>
  <c r="M204" i="1"/>
  <c r="O208" i="1"/>
  <c r="M214" i="1"/>
  <c r="L215" i="1"/>
  <c r="Q215" i="1"/>
  <c r="O216" i="1"/>
  <c r="O218" i="1"/>
  <c r="O219" i="1"/>
  <c r="O220" i="1"/>
  <c r="D220" i="1"/>
  <c r="L223" i="1"/>
  <c r="S224" i="1"/>
  <c r="G178" i="1"/>
  <c r="D179" i="1"/>
  <c r="O162" i="1"/>
  <c r="L172" i="1"/>
  <c r="D175" i="1"/>
  <c r="H176" i="1"/>
  <c r="L174" i="1"/>
  <c r="K152" i="1"/>
  <c r="N156" i="1"/>
  <c r="P168" i="1"/>
  <c r="K173" i="1"/>
  <c r="K154" i="1"/>
  <c r="Q169" i="1"/>
  <c r="L177" i="1"/>
  <c r="S143" i="1"/>
  <c r="R143" i="1" s="1"/>
  <c r="Q143" i="1" s="1"/>
  <c r="P143" i="1" s="1"/>
  <c r="O143" i="1" s="1"/>
  <c r="L152" i="1"/>
  <c r="L173" i="1"/>
  <c r="J145" i="1"/>
  <c r="M153" i="1"/>
  <c r="N160" i="1"/>
  <c r="K172" i="1"/>
  <c r="K174" i="1"/>
  <c r="S178" i="1"/>
  <c r="C154" i="1"/>
  <c r="D154" i="1" s="1"/>
  <c r="AD2" i="3"/>
  <c r="G430" i="1"/>
  <c r="H430" i="1" s="1"/>
  <c r="C430" i="1"/>
  <c r="D430" i="1" s="1"/>
  <c r="M442" i="1"/>
  <c r="O441" i="1"/>
  <c r="K441" i="1"/>
  <c r="M440" i="1"/>
  <c r="P442" i="1"/>
  <c r="L442" i="1"/>
  <c r="N441" i="1"/>
  <c r="P440" i="1"/>
  <c r="L440" i="1"/>
  <c r="O442" i="1"/>
  <c r="K442" i="1"/>
  <c r="M441" i="1"/>
  <c r="O440" i="1"/>
  <c r="K440" i="1"/>
  <c r="N440" i="1"/>
  <c r="N442" i="1"/>
  <c r="L441" i="1"/>
  <c r="K425" i="1"/>
  <c r="L426" i="1"/>
  <c r="L424" i="1"/>
  <c r="K426" i="1"/>
  <c r="K424" i="1"/>
  <c r="P441" i="1"/>
  <c r="N432" i="1"/>
  <c r="N433" i="1"/>
  <c r="N434" i="1"/>
  <c r="N436" i="1"/>
  <c r="M437" i="1"/>
  <c r="L438" i="1"/>
  <c r="N452" i="1"/>
  <c r="R452" i="1"/>
  <c r="M453" i="1"/>
  <c r="Q453" i="1"/>
  <c r="L454" i="1"/>
  <c r="P454" i="1"/>
  <c r="G454" i="1"/>
  <c r="J422" i="1"/>
  <c r="M428" i="1"/>
  <c r="K430" i="1"/>
  <c r="K432" i="1"/>
  <c r="K433" i="1"/>
  <c r="K434" i="1"/>
  <c r="K436" i="1"/>
  <c r="O436" i="1"/>
  <c r="N437" i="1"/>
  <c r="M438" i="1"/>
  <c r="N444" i="1"/>
  <c r="K445" i="1"/>
  <c r="O445" i="1"/>
  <c r="L446" i="1"/>
  <c r="M448" i="1"/>
  <c r="Q448" i="1"/>
  <c r="M449" i="1"/>
  <c r="Q449" i="1"/>
  <c r="M450" i="1"/>
  <c r="Q450" i="1"/>
  <c r="G452" i="1"/>
  <c r="K452" i="1"/>
  <c r="O452" i="1"/>
  <c r="S452" i="1"/>
  <c r="N453" i="1"/>
  <c r="R453" i="1"/>
  <c r="M454" i="1"/>
  <c r="Q454" i="1"/>
  <c r="K429" i="1"/>
  <c r="L432" i="1"/>
  <c r="L433" i="1"/>
  <c r="L436" i="1"/>
  <c r="K437" i="1"/>
  <c r="O437" i="1"/>
  <c r="N448" i="1"/>
  <c r="R448" i="1"/>
  <c r="N449" i="1"/>
  <c r="R449" i="1"/>
  <c r="N450" i="1"/>
  <c r="L452" i="1"/>
  <c r="P452" i="1"/>
  <c r="K453" i="1"/>
  <c r="O453" i="1"/>
  <c r="S453" i="1"/>
  <c r="N454" i="1"/>
  <c r="G384" i="1"/>
  <c r="H384" i="1" s="1"/>
  <c r="C384" i="1"/>
  <c r="D384" i="1" s="1"/>
  <c r="L395" i="1"/>
  <c r="K379" i="1"/>
  <c r="L380" i="1"/>
  <c r="L378" i="1"/>
  <c r="K380" i="1"/>
  <c r="K378" i="1"/>
  <c r="M396" i="1"/>
  <c r="O395" i="1"/>
  <c r="K395" i="1"/>
  <c r="M394" i="1"/>
  <c r="P396" i="1"/>
  <c r="L396" i="1"/>
  <c r="N395" i="1"/>
  <c r="P394" i="1"/>
  <c r="L394" i="1"/>
  <c r="O396" i="1"/>
  <c r="K396" i="1"/>
  <c r="M395" i="1"/>
  <c r="O394" i="1"/>
  <c r="K394" i="1"/>
  <c r="N396" i="1"/>
  <c r="N386" i="1"/>
  <c r="N387" i="1"/>
  <c r="N388" i="1"/>
  <c r="N390" i="1"/>
  <c r="M391" i="1"/>
  <c r="L392" i="1"/>
  <c r="L404" i="1"/>
  <c r="P404" i="1"/>
  <c r="N406" i="1"/>
  <c r="R406" i="1"/>
  <c r="M407" i="1"/>
  <c r="Q407" i="1"/>
  <c r="L408" i="1"/>
  <c r="P408" i="1"/>
  <c r="G408" i="1"/>
  <c r="J376" i="1"/>
  <c r="M382" i="1"/>
  <c r="K384" i="1"/>
  <c r="K386" i="1"/>
  <c r="K387" i="1"/>
  <c r="K388" i="1"/>
  <c r="K390" i="1"/>
  <c r="O390" i="1"/>
  <c r="N391" i="1"/>
  <c r="M392" i="1"/>
  <c r="N398" i="1"/>
  <c r="K399" i="1"/>
  <c r="O399" i="1"/>
  <c r="L400" i="1"/>
  <c r="M402" i="1"/>
  <c r="Q402" i="1"/>
  <c r="M403" i="1"/>
  <c r="Q403" i="1"/>
  <c r="M404" i="1"/>
  <c r="Q404" i="1"/>
  <c r="G406" i="1"/>
  <c r="K406" i="1"/>
  <c r="O406" i="1"/>
  <c r="S406" i="1"/>
  <c r="N407" i="1"/>
  <c r="R407" i="1"/>
  <c r="M408" i="1"/>
  <c r="Q408" i="1"/>
  <c r="K383" i="1"/>
  <c r="L386" i="1"/>
  <c r="L387" i="1"/>
  <c r="L390" i="1"/>
  <c r="K391" i="1"/>
  <c r="O391" i="1"/>
  <c r="N402" i="1"/>
  <c r="R402" i="1"/>
  <c r="N403" i="1"/>
  <c r="R403" i="1"/>
  <c r="N404" i="1"/>
  <c r="L406" i="1"/>
  <c r="P406" i="1"/>
  <c r="K407" i="1"/>
  <c r="O407" i="1"/>
  <c r="S407" i="1"/>
  <c r="N408" i="1"/>
  <c r="G338" i="1"/>
  <c r="H338" i="1" s="1"/>
  <c r="C338" i="1"/>
  <c r="D338" i="1" s="1"/>
  <c r="S327" i="1"/>
  <c r="J328" i="1"/>
  <c r="L333" i="1"/>
  <c r="K336" i="1"/>
  <c r="L337" i="1"/>
  <c r="M338" i="1"/>
  <c r="M340" i="1"/>
  <c r="M341" i="1"/>
  <c r="M342" i="1"/>
  <c r="M344" i="1"/>
  <c r="L345" i="1"/>
  <c r="K346" i="1"/>
  <c r="O346" i="1"/>
  <c r="N348" i="1"/>
  <c r="L349" i="1"/>
  <c r="P349" i="1"/>
  <c r="L352" i="1"/>
  <c r="P352" i="1"/>
  <c r="M353" i="1"/>
  <c r="Q353" i="1"/>
  <c r="N354" i="1"/>
  <c r="K356" i="1"/>
  <c r="O356" i="1"/>
  <c r="K357" i="1"/>
  <c r="O357" i="1"/>
  <c r="K358" i="1"/>
  <c r="O358" i="1"/>
  <c r="M360" i="1"/>
  <c r="Q360" i="1"/>
  <c r="L361" i="1"/>
  <c r="P361" i="1"/>
  <c r="K362" i="1"/>
  <c r="O362" i="1"/>
  <c r="S362" i="1"/>
  <c r="N340" i="1"/>
  <c r="N341" i="1"/>
  <c r="N342" i="1"/>
  <c r="N344" i="1"/>
  <c r="M345" i="1"/>
  <c r="L346" i="1"/>
  <c r="N360" i="1"/>
  <c r="R360" i="1"/>
  <c r="M361" i="1"/>
  <c r="Q361" i="1"/>
  <c r="L362" i="1"/>
  <c r="P362" i="1"/>
  <c r="G362" i="1"/>
  <c r="J330" i="1"/>
  <c r="L332" i="1"/>
  <c r="M336" i="1"/>
  <c r="K338" i="1"/>
  <c r="K340" i="1"/>
  <c r="K341" i="1"/>
  <c r="K342" i="1"/>
  <c r="K344" i="1"/>
  <c r="O344" i="1"/>
  <c r="N345" i="1"/>
  <c r="M346" i="1"/>
  <c r="N352" i="1"/>
  <c r="K353" i="1"/>
  <c r="O353" i="1"/>
  <c r="L354" i="1"/>
  <c r="M356" i="1"/>
  <c r="Q356" i="1"/>
  <c r="M357" i="1"/>
  <c r="Q357" i="1"/>
  <c r="M358" i="1"/>
  <c r="Q358" i="1"/>
  <c r="G360" i="1"/>
  <c r="K360" i="1"/>
  <c r="O360" i="1"/>
  <c r="S360" i="1"/>
  <c r="N361" i="1"/>
  <c r="R361" i="1"/>
  <c r="M362" i="1"/>
  <c r="Q362" i="1"/>
  <c r="K337" i="1"/>
  <c r="L340" i="1"/>
  <c r="L341" i="1"/>
  <c r="L344" i="1"/>
  <c r="K345" i="1"/>
  <c r="O345" i="1"/>
  <c r="N356" i="1"/>
  <c r="R356" i="1"/>
  <c r="N357" i="1"/>
  <c r="R357" i="1"/>
  <c r="N358" i="1"/>
  <c r="L360" i="1"/>
  <c r="P360" i="1"/>
  <c r="K361" i="1"/>
  <c r="O361" i="1"/>
  <c r="S361" i="1"/>
  <c r="N362" i="1"/>
  <c r="G292" i="1"/>
  <c r="H292" i="1" s="1"/>
  <c r="C292" i="1"/>
  <c r="D292" i="1" s="1"/>
  <c r="M304" i="1"/>
  <c r="O303" i="1"/>
  <c r="K303" i="1"/>
  <c r="M302" i="1"/>
  <c r="L303" i="1"/>
  <c r="P304" i="1"/>
  <c r="L304" i="1"/>
  <c r="N303" i="1"/>
  <c r="P302" i="1"/>
  <c r="L302" i="1"/>
  <c r="O304" i="1"/>
  <c r="K304" i="1"/>
  <c r="M303" i="1"/>
  <c r="O302" i="1"/>
  <c r="K302" i="1"/>
  <c r="N304" i="1"/>
  <c r="P303" i="1"/>
  <c r="K287" i="1"/>
  <c r="L288" i="1"/>
  <c r="L286" i="1"/>
  <c r="K288" i="1"/>
  <c r="K286" i="1"/>
  <c r="N294" i="1"/>
  <c r="N295" i="1"/>
  <c r="N296" i="1"/>
  <c r="N298" i="1"/>
  <c r="M299" i="1"/>
  <c r="L300" i="1"/>
  <c r="N314" i="1"/>
  <c r="R314" i="1"/>
  <c r="M315" i="1"/>
  <c r="Q315" i="1"/>
  <c r="L316" i="1"/>
  <c r="P316" i="1"/>
  <c r="G316" i="1"/>
  <c r="J284" i="1"/>
  <c r="M290" i="1"/>
  <c r="K292" i="1"/>
  <c r="K294" i="1"/>
  <c r="K295" i="1"/>
  <c r="K296" i="1"/>
  <c r="K298" i="1"/>
  <c r="O298" i="1"/>
  <c r="N299" i="1"/>
  <c r="M300" i="1"/>
  <c r="N306" i="1"/>
  <c r="K307" i="1"/>
  <c r="O307" i="1"/>
  <c r="L308" i="1"/>
  <c r="M310" i="1"/>
  <c r="Q310" i="1"/>
  <c r="M311" i="1"/>
  <c r="Q311" i="1"/>
  <c r="M312" i="1"/>
  <c r="Q312" i="1"/>
  <c r="G314" i="1"/>
  <c r="K314" i="1"/>
  <c r="O314" i="1"/>
  <c r="S314" i="1"/>
  <c r="N315" i="1"/>
  <c r="R315" i="1"/>
  <c r="M316" i="1"/>
  <c r="Q316" i="1"/>
  <c r="K291" i="1"/>
  <c r="L294" i="1"/>
  <c r="L295" i="1"/>
  <c r="L298" i="1"/>
  <c r="K299" i="1"/>
  <c r="O299" i="1"/>
  <c r="N310" i="1"/>
  <c r="R310" i="1"/>
  <c r="N311" i="1"/>
  <c r="R311" i="1"/>
  <c r="N312" i="1"/>
  <c r="L314" i="1"/>
  <c r="P314" i="1"/>
  <c r="K315" i="1"/>
  <c r="O315" i="1"/>
  <c r="S315" i="1"/>
  <c r="N316" i="1"/>
  <c r="G246" i="1"/>
  <c r="H246" i="1" s="1"/>
  <c r="C246" i="1"/>
  <c r="D246" i="1" s="1"/>
  <c r="S235" i="1"/>
  <c r="J236" i="1"/>
  <c r="L241" i="1"/>
  <c r="K244" i="1"/>
  <c r="L245" i="1"/>
  <c r="M246" i="1"/>
  <c r="M248" i="1"/>
  <c r="M249" i="1"/>
  <c r="M250" i="1"/>
  <c r="M252" i="1"/>
  <c r="L253" i="1"/>
  <c r="K254" i="1"/>
  <c r="O254" i="1"/>
  <c r="N256" i="1"/>
  <c r="L257" i="1"/>
  <c r="P257" i="1"/>
  <c r="L260" i="1"/>
  <c r="P260" i="1"/>
  <c r="M261" i="1"/>
  <c r="Q261" i="1"/>
  <c r="N262" i="1"/>
  <c r="K264" i="1"/>
  <c r="O264" i="1"/>
  <c r="K265" i="1"/>
  <c r="O265" i="1"/>
  <c r="K266" i="1"/>
  <c r="O266" i="1"/>
  <c r="M268" i="1"/>
  <c r="Q268" i="1"/>
  <c r="L269" i="1"/>
  <c r="P269" i="1"/>
  <c r="K270" i="1"/>
  <c r="O270" i="1"/>
  <c r="S270" i="1"/>
  <c r="N248" i="1"/>
  <c r="N249" i="1"/>
  <c r="N250" i="1"/>
  <c r="N252" i="1"/>
  <c r="M253" i="1"/>
  <c r="L254" i="1"/>
  <c r="N268" i="1"/>
  <c r="R268" i="1"/>
  <c r="M269" i="1"/>
  <c r="Q269" i="1"/>
  <c r="L270" i="1"/>
  <c r="P270" i="1"/>
  <c r="G270" i="1"/>
  <c r="J238" i="1"/>
  <c r="L240" i="1"/>
  <c r="L242" i="1"/>
  <c r="M244" i="1"/>
  <c r="K246" i="1"/>
  <c r="K248" i="1"/>
  <c r="K249" i="1"/>
  <c r="K250" i="1"/>
  <c r="K252" i="1"/>
  <c r="O252" i="1"/>
  <c r="N253" i="1"/>
  <c r="M254" i="1"/>
  <c r="N260" i="1"/>
  <c r="K261" i="1"/>
  <c r="O261" i="1"/>
  <c r="L262" i="1"/>
  <c r="M264" i="1"/>
  <c r="Q264" i="1"/>
  <c r="M265" i="1"/>
  <c r="Q265" i="1"/>
  <c r="M266" i="1"/>
  <c r="Q266" i="1"/>
  <c r="G268" i="1"/>
  <c r="K268" i="1"/>
  <c r="O268" i="1"/>
  <c r="S268" i="1"/>
  <c r="N269" i="1"/>
  <c r="R269" i="1"/>
  <c r="M270" i="1"/>
  <c r="Q270" i="1"/>
  <c r="K245" i="1"/>
  <c r="L248" i="1"/>
  <c r="L249" i="1"/>
  <c r="L252" i="1"/>
  <c r="K253" i="1"/>
  <c r="O253" i="1"/>
  <c r="N264" i="1"/>
  <c r="R264" i="1"/>
  <c r="N265" i="1"/>
  <c r="R265" i="1"/>
  <c r="N266" i="1"/>
  <c r="L268" i="1"/>
  <c r="P268" i="1"/>
  <c r="K269" i="1"/>
  <c r="O269" i="1"/>
  <c r="S269" i="1"/>
  <c r="N270" i="1"/>
  <c r="G200" i="1"/>
  <c r="H200" i="1" s="1"/>
  <c r="C200" i="1"/>
  <c r="D200" i="1" s="1"/>
  <c r="K195" i="1"/>
  <c r="L196" i="1"/>
  <c r="L194" i="1"/>
  <c r="K196" i="1"/>
  <c r="K194" i="1"/>
  <c r="M212" i="1"/>
  <c r="O211" i="1"/>
  <c r="K211" i="1"/>
  <c r="M210" i="1"/>
  <c r="P211" i="1"/>
  <c r="P212" i="1"/>
  <c r="L212" i="1"/>
  <c r="N211" i="1"/>
  <c r="P210" i="1"/>
  <c r="L210" i="1"/>
  <c r="O212" i="1"/>
  <c r="K212" i="1"/>
  <c r="M211" i="1"/>
  <c r="O210" i="1"/>
  <c r="K210" i="1"/>
  <c r="N210" i="1"/>
  <c r="N202" i="1"/>
  <c r="N203" i="1"/>
  <c r="N204" i="1"/>
  <c r="N206" i="1"/>
  <c r="M207" i="1"/>
  <c r="L208" i="1"/>
  <c r="N222" i="1"/>
  <c r="R222" i="1"/>
  <c r="M223" i="1"/>
  <c r="Q223" i="1"/>
  <c r="L224" i="1"/>
  <c r="P224" i="1"/>
  <c r="G224" i="1"/>
  <c r="J192" i="1"/>
  <c r="M198" i="1"/>
  <c r="K200" i="1"/>
  <c r="K202" i="1"/>
  <c r="K203" i="1"/>
  <c r="K204" i="1"/>
  <c r="K206" i="1"/>
  <c r="O206" i="1"/>
  <c r="N207" i="1"/>
  <c r="M208" i="1"/>
  <c r="N214" i="1"/>
  <c r="K215" i="1"/>
  <c r="O215" i="1"/>
  <c r="L216" i="1"/>
  <c r="M218" i="1"/>
  <c r="Q218" i="1"/>
  <c r="M219" i="1"/>
  <c r="Q219" i="1"/>
  <c r="M220" i="1"/>
  <c r="Q220" i="1"/>
  <c r="G222" i="1"/>
  <c r="K222" i="1"/>
  <c r="O222" i="1"/>
  <c r="S222" i="1"/>
  <c r="N223" i="1"/>
  <c r="R223" i="1"/>
  <c r="M224" i="1"/>
  <c r="Q224" i="1"/>
  <c r="K199" i="1"/>
  <c r="L202" i="1"/>
  <c r="L203" i="1"/>
  <c r="L206" i="1"/>
  <c r="K207" i="1"/>
  <c r="O207" i="1"/>
  <c r="N218" i="1"/>
  <c r="R218" i="1"/>
  <c r="N219" i="1"/>
  <c r="R219" i="1"/>
  <c r="N220" i="1"/>
  <c r="L222" i="1"/>
  <c r="P222" i="1"/>
  <c r="K223" i="1"/>
  <c r="O223" i="1"/>
  <c r="S223" i="1"/>
  <c r="N224" i="1"/>
  <c r="P164" i="1"/>
  <c r="N166" i="1"/>
  <c r="M161" i="1"/>
  <c r="K164" i="1"/>
  <c r="L165" i="1"/>
  <c r="O166" i="1"/>
  <c r="M177" i="1"/>
  <c r="J144" i="1"/>
  <c r="M152" i="1"/>
  <c r="M154" i="1"/>
  <c r="K160" i="1"/>
  <c r="N161" i="1"/>
  <c r="L164" i="1"/>
  <c r="M165" i="1"/>
  <c r="L168" i="1"/>
  <c r="M169" i="1"/>
  <c r="N170" i="1"/>
  <c r="O172" i="1"/>
  <c r="O173" i="1"/>
  <c r="O174" i="1"/>
  <c r="D174" i="1"/>
  <c r="M176" i="1"/>
  <c r="K178" i="1"/>
  <c r="D178" i="1"/>
  <c r="J146" i="1"/>
  <c r="Q168" i="1"/>
  <c r="K170" i="1"/>
  <c r="L153" i="1"/>
  <c r="M160" i="1"/>
  <c r="N164" i="1"/>
  <c r="M168" i="1"/>
  <c r="N169" i="1"/>
  <c r="O170" i="1"/>
  <c r="P172" i="1"/>
  <c r="P173" i="1"/>
  <c r="P174" i="1"/>
  <c r="N176" i="1"/>
  <c r="L178" i="1"/>
  <c r="K149" i="1"/>
  <c r="L149" i="1"/>
  <c r="L148" i="1"/>
  <c r="L150" i="1"/>
  <c r="K148" i="1"/>
  <c r="L158" i="1"/>
  <c r="L157" i="1"/>
  <c r="L156" i="1"/>
  <c r="K157" i="1"/>
  <c r="M158" i="1"/>
  <c r="D181" i="1"/>
  <c r="G148" i="1"/>
  <c r="K156" i="1"/>
  <c r="M157" i="1"/>
  <c r="N158" i="1"/>
  <c r="N162" i="1"/>
  <c r="O161" i="1"/>
  <c r="K161" i="1"/>
  <c r="L160" i="1"/>
  <c r="O160" i="1"/>
  <c r="K162" i="1"/>
  <c r="M166" i="1"/>
  <c r="O165" i="1"/>
  <c r="K165" i="1"/>
  <c r="M164" i="1"/>
  <c r="P166" i="1"/>
  <c r="L166" i="1"/>
  <c r="N165" i="1"/>
  <c r="O164" i="1"/>
  <c r="P165" i="1"/>
  <c r="Q176" i="1"/>
  <c r="P177" i="1"/>
  <c r="F180" i="1"/>
  <c r="F182" i="1" s="1"/>
  <c r="M156" i="1"/>
  <c r="N157" i="1"/>
  <c r="L161" i="1"/>
  <c r="L162" i="1"/>
  <c r="H178" i="1"/>
  <c r="R178" i="1"/>
  <c r="N178" i="1"/>
  <c r="S177" i="1"/>
  <c r="O177" i="1"/>
  <c r="K177" i="1"/>
  <c r="P176" i="1"/>
  <c r="L176" i="1"/>
  <c r="Q178" i="1"/>
  <c r="M178" i="1"/>
  <c r="R177" i="1"/>
  <c r="N177" i="1"/>
  <c r="S176" i="1"/>
  <c r="O176" i="1"/>
  <c r="K176" i="1"/>
  <c r="R176" i="1"/>
  <c r="Q177" i="1"/>
  <c r="P178" i="1"/>
  <c r="D177" i="1"/>
  <c r="N168" i="1"/>
  <c r="K169" i="1"/>
  <c r="O169" i="1"/>
  <c r="L170" i="1"/>
  <c r="P170" i="1"/>
  <c r="M172" i="1"/>
  <c r="Q172" i="1"/>
  <c r="M173" i="1"/>
  <c r="Q173" i="1"/>
  <c r="M174" i="1"/>
  <c r="Q174" i="1"/>
  <c r="G176" i="1"/>
  <c r="K153" i="1"/>
  <c r="K168" i="1"/>
  <c r="O168" i="1"/>
  <c r="L169" i="1"/>
  <c r="P169" i="1"/>
  <c r="M170" i="1"/>
  <c r="N172" i="1"/>
  <c r="R172" i="1"/>
  <c r="N173" i="1"/>
  <c r="R173" i="1"/>
  <c r="N174" i="1"/>
  <c r="E137" i="1"/>
  <c r="C137" i="1"/>
  <c r="B137" i="1"/>
  <c r="H136" i="1"/>
  <c r="G136" i="1"/>
  <c r="E136" i="1"/>
  <c r="C136" i="1"/>
  <c r="B136" i="1"/>
  <c r="H135" i="1"/>
  <c r="G135" i="1"/>
  <c r="E135" i="1"/>
  <c r="C135" i="1"/>
  <c r="B135" i="1"/>
  <c r="H134" i="1"/>
  <c r="G134" i="1"/>
  <c r="E134" i="1"/>
  <c r="C134" i="1"/>
  <c r="B134" i="1"/>
  <c r="E133" i="1"/>
  <c r="C133" i="1"/>
  <c r="B133" i="1"/>
  <c r="J132" i="1"/>
  <c r="E132" i="1"/>
  <c r="C132" i="1"/>
  <c r="B132" i="1"/>
  <c r="J131" i="1"/>
  <c r="E131" i="1"/>
  <c r="C131" i="1"/>
  <c r="B131" i="1"/>
  <c r="K130" i="1" a="1"/>
  <c r="R132" i="1" s="1"/>
  <c r="J130" i="1"/>
  <c r="E130" i="1"/>
  <c r="C130" i="1"/>
  <c r="B130" i="1"/>
  <c r="E129" i="1"/>
  <c r="C129" i="1"/>
  <c r="B129" i="1"/>
  <c r="J128" i="1"/>
  <c r="E128" i="1"/>
  <c r="C128" i="1"/>
  <c r="B128" i="1"/>
  <c r="J127" i="1"/>
  <c r="K126" i="1" a="1"/>
  <c r="R128" i="1" s="1"/>
  <c r="J126" i="1"/>
  <c r="J124" i="1"/>
  <c r="J123" i="1"/>
  <c r="K122" i="1" a="1"/>
  <c r="P124" i="1" s="1"/>
  <c r="J122" i="1"/>
  <c r="J120" i="1"/>
  <c r="J119" i="1"/>
  <c r="K118" i="1" a="1"/>
  <c r="P120" i="1" s="1"/>
  <c r="J118" i="1"/>
  <c r="J116" i="1"/>
  <c r="J115" i="1"/>
  <c r="K114" i="1" a="1"/>
  <c r="M116" i="1" s="1"/>
  <c r="J114" i="1"/>
  <c r="J112" i="1"/>
  <c r="J111" i="1"/>
  <c r="K110" i="1" a="1"/>
  <c r="K112" i="1" s="1"/>
  <c r="J110" i="1"/>
  <c r="J108" i="1"/>
  <c r="J107" i="1"/>
  <c r="K106" i="1" a="1"/>
  <c r="L107" i="1" s="1"/>
  <c r="J106" i="1"/>
  <c r="E105" i="1"/>
  <c r="J104" i="1"/>
  <c r="J103" i="1"/>
  <c r="K102" i="1" a="1"/>
  <c r="J102" i="1"/>
  <c r="F102" i="1"/>
  <c r="D102" i="1"/>
  <c r="J97" i="1"/>
  <c r="J100" i="1" s="1"/>
  <c r="V95" i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H95" i="1"/>
  <c r="G102" i="1" s="1"/>
  <c r="H90" i="1"/>
  <c r="G90" i="1"/>
  <c r="H89" i="1"/>
  <c r="G89" i="1"/>
  <c r="H88" i="1"/>
  <c r="G88" i="1"/>
  <c r="G44" i="1"/>
  <c r="H44" i="1"/>
  <c r="H43" i="1"/>
  <c r="H42" i="1"/>
  <c r="G43" i="1"/>
  <c r="G42" i="1"/>
  <c r="F270" i="1" l="1"/>
  <c r="K605" i="1"/>
  <c r="K604" i="1"/>
  <c r="K880" i="1"/>
  <c r="K881" i="1"/>
  <c r="D135" i="1"/>
  <c r="K558" i="1"/>
  <c r="K559" i="1"/>
  <c r="F408" i="1"/>
  <c r="F178" i="1"/>
  <c r="H312" i="1"/>
  <c r="G312" i="1"/>
  <c r="D136" i="1"/>
  <c r="F224" i="1"/>
  <c r="F454" i="1"/>
  <c r="S420" i="1"/>
  <c r="F452" i="1"/>
  <c r="S421" i="1"/>
  <c r="F406" i="1"/>
  <c r="S374" i="1"/>
  <c r="S375" i="1"/>
  <c r="AE3" i="3"/>
  <c r="AE5" i="3" s="1"/>
  <c r="H450" i="1"/>
  <c r="F362" i="1"/>
  <c r="F360" i="1"/>
  <c r="S283" i="1"/>
  <c r="F314" i="1"/>
  <c r="F268" i="1"/>
  <c r="F316" i="1"/>
  <c r="R281" i="1"/>
  <c r="R283" i="1" s="1"/>
  <c r="H266" i="1"/>
  <c r="G266" i="1"/>
  <c r="G450" i="1"/>
  <c r="H358" i="1"/>
  <c r="G404" i="1"/>
  <c r="Q144" i="1"/>
  <c r="F88" i="1"/>
  <c r="F90" i="1" s="1"/>
  <c r="D137" i="1"/>
  <c r="G358" i="1"/>
  <c r="S282" i="1"/>
  <c r="H404" i="1"/>
  <c r="G220" i="1"/>
  <c r="H220" i="1"/>
  <c r="F222" i="1"/>
  <c r="S191" i="1"/>
  <c r="R189" i="1"/>
  <c r="Q189" i="1" s="1"/>
  <c r="S190" i="1"/>
  <c r="F42" i="1"/>
  <c r="F44" i="1" s="1"/>
  <c r="F134" i="1"/>
  <c r="F136" i="1" s="1"/>
  <c r="R145" i="1"/>
  <c r="P144" i="1"/>
  <c r="S146" i="1"/>
  <c r="P145" i="1"/>
  <c r="F176" i="1"/>
  <c r="S145" i="1"/>
  <c r="Q145" i="1"/>
  <c r="S144" i="1"/>
  <c r="R144" i="1"/>
  <c r="Q146" i="1"/>
  <c r="AE2" i="3"/>
  <c r="D132" i="1"/>
  <c r="D131" i="1"/>
  <c r="D130" i="1"/>
  <c r="Q419" i="1"/>
  <c r="R421" i="1"/>
  <c r="R420" i="1"/>
  <c r="S422" i="1"/>
  <c r="Q422" i="1"/>
  <c r="S376" i="1"/>
  <c r="Q376" i="1"/>
  <c r="Q373" i="1"/>
  <c r="R375" i="1"/>
  <c r="R374" i="1"/>
  <c r="S330" i="1"/>
  <c r="Q330" i="1"/>
  <c r="R327" i="1"/>
  <c r="S329" i="1"/>
  <c r="S328" i="1"/>
  <c r="S284" i="1"/>
  <c r="Q284" i="1"/>
  <c r="S238" i="1"/>
  <c r="Q238" i="1"/>
  <c r="R235" i="1"/>
  <c r="S237" i="1"/>
  <c r="S236" i="1"/>
  <c r="S192" i="1"/>
  <c r="Q192" i="1"/>
  <c r="H174" i="1"/>
  <c r="N143" i="1"/>
  <c r="O145" i="1"/>
  <c r="O144" i="1"/>
  <c r="G174" i="1"/>
  <c r="H132" i="1"/>
  <c r="Q124" i="1"/>
  <c r="K116" i="1"/>
  <c r="K119" i="1"/>
  <c r="H130" i="1"/>
  <c r="O122" i="1"/>
  <c r="D128" i="1"/>
  <c r="M114" i="1"/>
  <c r="P127" i="1"/>
  <c r="L110" i="1"/>
  <c r="L112" i="1"/>
  <c r="K115" i="1"/>
  <c r="N116" i="1"/>
  <c r="O119" i="1"/>
  <c r="L123" i="1"/>
  <c r="L126" i="1"/>
  <c r="L128" i="1"/>
  <c r="D134" i="1"/>
  <c r="M120" i="1"/>
  <c r="P123" i="1"/>
  <c r="P126" i="1"/>
  <c r="P128" i="1"/>
  <c r="D129" i="1"/>
  <c r="D133" i="1"/>
  <c r="M111" i="1"/>
  <c r="M110" i="1"/>
  <c r="M112" i="1"/>
  <c r="L115" i="1"/>
  <c r="O116" i="1"/>
  <c r="L111" i="1"/>
  <c r="L114" i="1"/>
  <c r="O115" i="1"/>
  <c r="M118" i="1"/>
  <c r="K122" i="1"/>
  <c r="M124" i="1"/>
  <c r="L127" i="1"/>
  <c r="L104" i="1"/>
  <c r="L102" i="1"/>
  <c r="K104" i="1"/>
  <c r="K108" i="1"/>
  <c r="M106" i="1"/>
  <c r="M107" i="1"/>
  <c r="L106" i="1"/>
  <c r="L108" i="1"/>
  <c r="K102" i="1"/>
  <c r="J98" i="1"/>
  <c r="O100" i="1"/>
  <c r="K103" i="1"/>
  <c r="K106" i="1"/>
  <c r="M108" i="1"/>
  <c r="B108" i="1"/>
  <c r="J99" i="1"/>
  <c r="S97" i="1"/>
  <c r="L103" i="1"/>
  <c r="K107" i="1"/>
  <c r="N118" i="1"/>
  <c r="L119" i="1"/>
  <c r="P119" i="1"/>
  <c r="N120" i="1"/>
  <c r="L122" i="1"/>
  <c r="P122" i="1"/>
  <c r="M123" i="1"/>
  <c r="Q123" i="1"/>
  <c r="N124" i="1"/>
  <c r="K126" i="1"/>
  <c r="O126" i="1"/>
  <c r="K127" i="1"/>
  <c r="O127" i="1"/>
  <c r="K128" i="1"/>
  <c r="O128" i="1"/>
  <c r="M130" i="1"/>
  <c r="Q130" i="1"/>
  <c r="L131" i="1"/>
  <c r="P131" i="1"/>
  <c r="K132" i="1"/>
  <c r="O132" i="1"/>
  <c r="S132" i="1"/>
  <c r="N110" i="1"/>
  <c r="N111" i="1"/>
  <c r="N112" i="1"/>
  <c r="N114" i="1"/>
  <c r="M115" i="1"/>
  <c r="L116" i="1"/>
  <c r="K118" i="1"/>
  <c r="O118" i="1"/>
  <c r="M119" i="1"/>
  <c r="K120" i="1"/>
  <c r="S100" i="1" s="1"/>
  <c r="O120" i="1"/>
  <c r="M122" i="1"/>
  <c r="Q122" i="1"/>
  <c r="N123" i="1"/>
  <c r="K124" i="1"/>
  <c r="O124" i="1"/>
  <c r="N130" i="1"/>
  <c r="R130" i="1"/>
  <c r="M131" i="1"/>
  <c r="Q131" i="1"/>
  <c r="L132" i="1"/>
  <c r="P132" i="1"/>
  <c r="G132" i="1"/>
  <c r="K110" i="1"/>
  <c r="K111" i="1"/>
  <c r="K114" i="1"/>
  <c r="O114" i="1"/>
  <c r="N115" i="1"/>
  <c r="L118" i="1"/>
  <c r="P118" i="1"/>
  <c r="N119" i="1"/>
  <c r="L120" i="1"/>
  <c r="N122" i="1"/>
  <c r="K123" i="1"/>
  <c r="O123" i="1"/>
  <c r="L124" i="1"/>
  <c r="M126" i="1"/>
  <c r="Q126" i="1"/>
  <c r="M127" i="1"/>
  <c r="Q127" i="1"/>
  <c r="M128" i="1"/>
  <c r="Q128" i="1"/>
  <c r="G130" i="1"/>
  <c r="K130" i="1"/>
  <c r="O130" i="1"/>
  <c r="S130" i="1"/>
  <c r="N131" i="1"/>
  <c r="R131" i="1"/>
  <c r="M132" i="1"/>
  <c r="Q132" i="1"/>
  <c r="N126" i="1"/>
  <c r="R126" i="1"/>
  <c r="N127" i="1"/>
  <c r="R127" i="1"/>
  <c r="N128" i="1"/>
  <c r="L130" i="1"/>
  <c r="P130" i="1"/>
  <c r="K131" i="1"/>
  <c r="O131" i="1"/>
  <c r="S131" i="1"/>
  <c r="N132" i="1"/>
  <c r="Q281" i="1" l="1"/>
  <c r="P281" i="1" s="1"/>
  <c r="AF3" i="3"/>
  <c r="AF5" i="3" s="1"/>
  <c r="F312" i="1"/>
  <c r="F450" i="1"/>
  <c r="F404" i="1"/>
  <c r="F358" i="1"/>
  <c r="R282" i="1"/>
  <c r="F266" i="1"/>
  <c r="Q100" i="1"/>
  <c r="F220" i="1"/>
  <c r="F132" i="1"/>
  <c r="F130" i="1"/>
  <c r="R190" i="1"/>
  <c r="R191" i="1"/>
  <c r="F174" i="1"/>
  <c r="AF4" i="3"/>
  <c r="AF2" i="3"/>
  <c r="Q420" i="1"/>
  <c r="P419" i="1"/>
  <c r="Q421" i="1"/>
  <c r="Q374" i="1"/>
  <c r="P373" i="1"/>
  <c r="Q375" i="1"/>
  <c r="Q327" i="1"/>
  <c r="R329" i="1"/>
  <c r="R328" i="1"/>
  <c r="Q282" i="1"/>
  <c r="Q235" i="1"/>
  <c r="R237" i="1"/>
  <c r="R236" i="1"/>
  <c r="Q190" i="1"/>
  <c r="P189" i="1"/>
  <c r="Q191" i="1"/>
  <c r="N145" i="1"/>
  <c r="M143" i="1"/>
  <c r="N144" i="1"/>
  <c r="H128" i="1"/>
  <c r="G128" i="1"/>
  <c r="C108" i="1"/>
  <c r="D108" i="1" s="1"/>
  <c r="G108" i="1"/>
  <c r="H108" i="1" s="1"/>
  <c r="S99" i="1"/>
  <c r="R97" i="1"/>
  <c r="S98" i="1"/>
  <c r="Q283" i="1" l="1"/>
  <c r="AG3" i="3"/>
  <c r="AG2" i="3"/>
  <c r="AH3" i="3"/>
  <c r="AG5" i="3"/>
  <c r="F128" i="1"/>
  <c r="P421" i="1"/>
  <c r="P420" i="1"/>
  <c r="O419" i="1"/>
  <c r="P375" i="1"/>
  <c r="P374" i="1"/>
  <c r="O373" i="1"/>
  <c r="Q328" i="1"/>
  <c r="P327" i="1"/>
  <c r="Q329" i="1"/>
  <c r="P283" i="1"/>
  <c r="P282" i="1"/>
  <c r="O281" i="1"/>
  <c r="Q236" i="1"/>
  <c r="P235" i="1"/>
  <c r="Q237" i="1"/>
  <c r="P191" i="1"/>
  <c r="P190" i="1"/>
  <c r="O189" i="1"/>
  <c r="M144" i="1"/>
  <c r="M145" i="1"/>
  <c r="L143" i="1"/>
  <c r="Q97" i="1"/>
  <c r="R98" i="1"/>
  <c r="R99" i="1"/>
  <c r="AH5" i="3" l="1"/>
  <c r="AI3" i="3"/>
  <c r="AH2" i="3"/>
  <c r="N419" i="1"/>
  <c r="O421" i="1"/>
  <c r="O420" i="1"/>
  <c r="N373" i="1"/>
  <c r="O375" i="1"/>
  <c r="O374" i="1"/>
  <c r="P329" i="1"/>
  <c r="P328" i="1"/>
  <c r="O327" i="1"/>
  <c r="N281" i="1"/>
  <c r="O283" i="1"/>
  <c r="O282" i="1"/>
  <c r="P237" i="1"/>
  <c r="P236" i="1"/>
  <c r="O235" i="1"/>
  <c r="N189" i="1"/>
  <c r="O191" i="1"/>
  <c r="O190" i="1"/>
  <c r="L145" i="1"/>
  <c r="L144" i="1"/>
  <c r="K143" i="1"/>
  <c r="Q98" i="1"/>
  <c r="Q99" i="1"/>
  <c r="P97" i="1"/>
  <c r="AI5" i="3" l="1"/>
  <c r="AJ3" i="3"/>
  <c r="AI2" i="3"/>
  <c r="M419" i="1"/>
  <c r="N421" i="1"/>
  <c r="N420" i="1"/>
  <c r="M373" i="1"/>
  <c r="N375" i="1"/>
  <c r="N374" i="1"/>
  <c r="N327" i="1"/>
  <c r="O329" i="1"/>
  <c r="O328" i="1"/>
  <c r="M281" i="1"/>
  <c r="N283" i="1"/>
  <c r="N282" i="1"/>
  <c r="N235" i="1"/>
  <c r="O237" i="1"/>
  <c r="O236" i="1"/>
  <c r="M189" i="1"/>
  <c r="N191" i="1"/>
  <c r="N190" i="1"/>
  <c r="K144" i="1"/>
  <c r="K145" i="1"/>
  <c r="P98" i="1"/>
  <c r="P99" i="1"/>
  <c r="O97" i="1"/>
  <c r="AJ2" i="3" l="1"/>
  <c r="AJ5" i="3"/>
  <c r="AJ4" i="3"/>
  <c r="AK3" i="3"/>
  <c r="M420" i="1"/>
  <c r="L419" i="1"/>
  <c r="M421" i="1"/>
  <c r="M374" i="1"/>
  <c r="L373" i="1"/>
  <c r="M375" i="1"/>
  <c r="M327" i="1"/>
  <c r="N329" i="1"/>
  <c r="N328" i="1"/>
  <c r="M282" i="1"/>
  <c r="L281" i="1"/>
  <c r="M283" i="1"/>
  <c r="M235" i="1"/>
  <c r="N237" i="1"/>
  <c r="N236" i="1"/>
  <c r="M190" i="1"/>
  <c r="L189" i="1"/>
  <c r="M191" i="1"/>
  <c r="O99" i="1"/>
  <c r="N97" i="1"/>
  <c r="O98" i="1"/>
  <c r="AL3" i="3" l="1"/>
  <c r="AK5" i="3"/>
  <c r="AK2" i="3"/>
  <c r="L421" i="1"/>
  <c r="L420" i="1"/>
  <c r="K419" i="1"/>
  <c r="L375" i="1"/>
  <c r="L374" i="1"/>
  <c r="K373" i="1"/>
  <c r="M328" i="1"/>
  <c r="L327" i="1"/>
  <c r="M329" i="1"/>
  <c r="L283" i="1"/>
  <c r="L282" i="1"/>
  <c r="K281" i="1"/>
  <c r="M236" i="1"/>
  <c r="L235" i="1"/>
  <c r="M237" i="1"/>
  <c r="L191" i="1"/>
  <c r="L190" i="1"/>
  <c r="K189" i="1"/>
  <c r="M97" i="1"/>
  <c r="N99" i="1"/>
  <c r="N98" i="1"/>
  <c r="AL2" i="3" l="1"/>
  <c r="AL5" i="3"/>
  <c r="AM3" i="3"/>
  <c r="K421" i="1"/>
  <c r="K420" i="1"/>
  <c r="K375" i="1"/>
  <c r="K374" i="1"/>
  <c r="L329" i="1"/>
  <c r="L328" i="1"/>
  <c r="K327" i="1"/>
  <c r="K283" i="1"/>
  <c r="K282" i="1"/>
  <c r="L237" i="1"/>
  <c r="L236" i="1"/>
  <c r="K235" i="1"/>
  <c r="K191" i="1"/>
  <c r="K190" i="1"/>
  <c r="M98" i="1"/>
  <c r="M99" i="1"/>
  <c r="L97" i="1"/>
  <c r="AM5" i="3" l="1"/>
  <c r="AN3" i="3"/>
  <c r="AM2" i="3"/>
  <c r="K329" i="1"/>
  <c r="K328" i="1"/>
  <c r="K237" i="1"/>
  <c r="K236" i="1"/>
  <c r="L98" i="1"/>
  <c r="K97" i="1"/>
  <c r="L99" i="1"/>
  <c r="AN2" i="3" l="1"/>
  <c r="AN5" i="3"/>
  <c r="AO3" i="3"/>
  <c r="AN4" i="3"/>
  <c r="K99" i="1"/>
  <c r="K98" i="1"/>
  <c r="AP3" i="3" l="1"/>
  <c r="AO5" i="3"/>
  <c r="AO2" i="3"/>
  <c r="AP2" i="3" l="1"/>
  <c r="AP5" i="3"/>
  <c r="AQ3" i="3"/>
  <c r="AQ5" i="3" l="1"/>
  <c r="AR3" i="3"/>
  <c r="AQ2" i="3"/>
  <c r="AR2" i="3" l="1"/>
  <c r="AR5" i="3"/>
  <c r="AS3" i="3"/>
  <c r="AR4" i="3"/>
  <c r="AT3" i="3" l="1"/>
  <c r="AS5" i="3"/>
  <c r="AS2" i="3"/>
  <c r="AT2" i="3" l="1"/>
  <c r="AT5" i="3"/>
  <c r="AU3" i="3"/>
  <c r="AU5" i="3" l="1"/>
  <c r="AV3" i="3"/>
  <c r="AU2" i="3"/>
  <c r="AV5" i="3" l="1"/>
  <c r="AV4" i="3"/>
  <c r="AW3" i="3"/>
  <c r="AV2" i="3"/>
  <c r="AW2" i="3" l="1"/>
  <c r="AX3" i="3"/>
  <c r="AW5" i="3"/>
  <c r="AX5" i="3" l="1"/>
  <c r="AY3" i="3"/>
  <c r="AX2" i="3"/>
  <c r="AY5" i="3" l="1"/>
  <c r="AZ3" i="3"/>
  <c r="AY2" i="3"/>
  <c r="AZ2" i="3" l="1"/>
  <c r="AZ5" i="3"/>
  <c r="AZ4" i="3"/>
  <c r="BA3" i="3"/>
  <c r="BB3" i="3" l="1"/>
  <c r="BA5" i="3"/>
  <c r="BA2" i="3"/>
  <c r="BB2" i="3" l="1"/>
  <c r="BB5" i="3"/>
  <c r="BC3" i="3"/>
  <c r="BC5" i="3" l="1"/>
  <c r="BD3" i="3"/>
  <c r="BC2" i="3"/>
  <c r="BD2" i="3" l="1"/>
  <c r="BD5" i="3"/>
  <c r="BE3" i="3"/>
  <c r="BD4" i="3"/>
  <c r="BF3" i="3" l="1"/>
  <c r="BE5" i="3"/>
  <c r="BE2" i="3"/>
  <c r="BF2" i="3" l="1"/>
  <c r="BF5" i="3"/>
  <c r="BG3" i="3"/>
  <c r="BG5" i="3" l="1"/>
  <c r="BH3" i="3"/>
  <c r="BG2" i="3"/>
  <c r="BH2" i="3" l="1"/>
  <c r="BH5" i="3"/>
  <c r="BI3" i="3"/>
  <c r="BH4" i="3"/>
  <c r="BJ3" i="3" l="1"/>
  <c r="BI5" i="3"/>
  <c r="BI2" i="3"/>
  <c r="BJ2" i="3" l="1"/>
  <c r="BJ5" i="3"/>
  <c r="BK3" i="3"/>
  <c r="BK2" i="3" l="1"/>
  <c r="BK5" i="3"/>
  <c r="BL3" i="3"/>
  <c r="BL2" i="3" l="1"/>
  <c r="BL5" i="3"/>
  <c r="BL4" i="3"/>
  <c r="BM3" i="3"/>
  <c r="BM2" i="3" l="1"/>
  <c r="BN3" i="3"/>
  <c r="BM5" i="3"/>
  <c r="BN5" i="3" l="1"/>
  <c r="BO3" i="3"/>
  <c r="BO5" i="3" s="1"/>
  <c r="BN2" i="3"/>
  <c r="BO2" i="3" l="1"/>
  <c r="E91" i="1" l="1"/>
  <c r="C91" i="1"/>
  <c r="B91" i="1"/>
  <c r="E90" i="1"/>
  <c r="C90" i="1"/>
  <c r="B90" i="1"/>
  <c r="E89" i="1"/>
  <c r="C89" i="1"/>
  <c r="B89" i="1"/>
  <c r="E88" i="1"/>
  <c r="C88" i="1"/>
  <c r="B88" i="1"/>
  <c r="J86" i="1"/>
  <c r="E87" i="1"/>
  <c r="C87" i="1"/>
  <c r="B87" i="1"/>
  <c r="J85" i="1"/>
  <c r="E86" i="1"/>
  <c r="C86" i="1"/>
  <c r="B86" i="1"/>
  <c r="K84" i="1" a="1"/>
  <c r="R86" i="1" s="1"/>
  <c r="J84" i="1"/>
  <c r="E85" i="1"/>
  <c r="C85" i="1"/>
  <c r="B85" i="1"/>
  <c r="E84" i="1"/>
  <c r="C84" i="1"/>
  <c r="B84" i="1"/>
  <c r="J82" i="1"/>
  <c r="E83" i="1"/>
  <c r="C83" i="1"/>
  <c r="B83" i="1"/>
  <c r="J81" i="1"/>
  <c r="E82" i="1"/>
  <c r="C82" i="1"/>
  <c r="B82" i="1"/>
  <c r="K80" i="1" a="1"/>
  <c r="R82" i="1" s="1"/>
  <c r="J80" i="1"/>
  <c r="J78" i="1"/>
  <c r="J77" i="1"/>
  <c r="K76" i="1" a="1"/>
  <c r="P78" i="1" s="1"/>
  <c r="J76" i="1"/>
  <c r="J74" i="1"/>
  <c r="J73" i="1"/>
  <c r="K72" i="1" a="1"/>
  <c r="M74" i="1" s="1"/>
  <c r="J72" i="1"/>
  <c r="J70" i="1"/>
  <c r="J69" i="1"/>
  <c r="K68" i="1" a="1"/>
  <c r="O70" i="1" s="1"/>
  <c r="J68" i="1"/>
  <c r="J66" i="1"/>
  <c r="J65" i="1"/>
  <c r="K64" i="1" a="1"/>
  <c r="M65" i="1" s="1"/>
  <c r="J64" i="1"/>
  <c r="J62" i="1"/>
  <c r="J61" i="1"/>
  <c r="K60" i="1" a="1"/>
  <c r="L62" i="1" s="1"/>
  <c r="J60" i="1"/>
  <c r="E59" i="1"/>
  <c r="J58" i="1"/>
  <c r="J57" i="1"/>
  <c r="K56" i="1" a="1"/>
  <c r="K56" i="1" s="1"/>
  <c r="J56" i="1"/>
  <c r="F56" i="1"/>
  <c r="D56" i="1"/>
  <c r="J51" i="1"/>
  <c r="J54" i="1" s="1"/>
  <c r="V49" i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H49" i="1"/>
  <c r="G56" i="1" s="1"/>
  <c r="E37" i="1"/>
  <c r="E38" i="1"/>
  <c r="E39" i="1"/>
  <c r="E40" i="1"/>
  <c r="E41" i="1"/>
  <c r="E42" i="1"/>
  <c r="E43" i="1"/>
  <c r="E44" i="1"/>
  <c r="E45" i="1"/>
  <c r="E36" i="1"/>
  <c r="D91" i="1" l="1"/>
  <c r="D89" i="1"/>
  <c r="D90" i="1"/>
  <c r="D84" i="1"/>
  <c r="O54" i="1"/>
  <c r="P77" i="1"/>
  <c r="L60" i="1"/>
  <c r="P80" i="1"/>
  <c r="J52" i="1"/>
  <c r="P82" i="1"/>
  <c r="M76" i="1"/>
  <c r="O76" i="1"/>
  <c r="M78" i="1"/>
  <c r="L81" i="1"/>
  <c r="H86" i="1"/>
  <c r="L57" i="1"/>
  <c r="O72" i="1"/>
  <c r="L77" i="1"/>
  <c r="O78" i="1"/>
  <c r="K76" i="1"/>
  <c r="N77" i="1"/>
  <c r="Q78" i="1"/>
  <c r="G84" i="1"/>
  <c r="K58" i="1"/>
  <c r="L61" i="1"/>
  <c r="M68" i="1"/>
  <c r="M73" i="1"/>
  <c r="K74" i="1"/>
  <c r="P81" i="1"/>
  <c r="H84" i="1"/>
  <c r="D85" i="1"/>
  <c r="M61" i="1"/>
  <c r="K70" i="1"/>
  <c r="S51" i="1"/>
  <c r="R51" i="1" s="1"/>
  <c r="Q51" i="1" s="1"/>
  <c r="K60" i="1"/>
  <c r="M62" i="1"/>
  <c r="K72" i="1"/>
  <c r="O74" i="1"/>
  <c r="Q76" i="1"/>
  <c r="K78" i="1"/>
  <c r="L80" i="1"/>
  <c r="L82" i="1"/>
  <c r="D82" i="1"/>
  <c r="D86" i="1"/>
  <c r="D87" i="1"/>
  <c r="D88" i="1"/>
  <c r="L66" i="1"/>
  <c r="L65" i="1"/>
  <c r="L64" i="1"/>
  <c r="K66" i="1"/>
  <c r="K65" i="1"/>
  <c r="K64" i="1"/>
  <c r="N65" i="1"/>
  <c r="N68" i="1"/>
  <c r="L70" i="1"/>
  <c r="J53" i="1"/>
  <c r="K57" i="1"/>
  <c r="L58" i="1"/>
  <c r="L56" i="1"/>
  <c r="M64" i="1"/>
  <c r="M66" i="1"/>
  <c r="L69" i="1"/>
  <c r="B62" i="1"/>
  <c r="N64" i="1"/>
  <c r="N66" i="1"/>
  <c r="N70" i="1"/>
  <c r="O69" i="1"/>
  <c r="K69" i="1"/>
  <c r="L68" i="1"/>
  <c r="M70" i="1"/>
  <c r="N69" i="1"/>
  <c r="O68" i="1"/>
  <c r="K68" i="1"/>
  <c r="M69" i="1"/>
  <c r="N72" i="1"/>
  <c r="L73" i="1"/>
  <c r="P73" i="1"/>
  <c r="N74" i="1"/>
  <c r="L76" i="1"/>
  <c r="P76" i="1"/>
  <c r="M77" i="1"/>
  <c r="Q77" i="1"/>
  <c r="N78" i="1"/>
  <c r="K80" i="1"/>
  <c r="O80" i="1"/>
  <c r="K81" i="1"/>
  <c r="O81" i="1"/>
  <c r="K82" i="1"/>
  <c r="O82" i="1"/>
  <c r="D83" i="1"/>
  <c r="M84" i="1"/>
  <c r="Q84" i="1"/>
  <c r="L85" i="1"/>
  <c r="P85" i="1"/>
  <c r="K86" i="1"/>
  <c r="O86" i="1"/>
  <c r="S86" i="1"/>
  <c r="N84" i="1"/>
  <c r="R84" i="1"/>
  <c r="M85" i="1"/>
  <c r="Q85" i="1"/>
  <c r="L86" i="1"/>
  <c r="P86" i="1"/>
  <c r="G86" i="1"/>
  <c r="M60" i="1"/>
  <c r="K62" i="1"/>
  <c r="L72" i="1"/>
  <c r="P72" i="1"/>
  <c r="N73" i="1"/>
  <c r="L74" i="1"/>
  <c r="Q54" i="1" s="1"/>
  <c r="P74" i="1"/>
  <c r="N76" i="1"/>
  <c r="K77" i="1"/>
  <c r="O77" i="1"/>
  <c r="L78" i="1"/>
  <c r="M80" i="1"/>
  <c r="Q80" i="1"/>
  <c r="M81" i="1"/>
  <c r="Q81" i="1"/>
  <c r="M82" i="1"/>
  <c r="Q82" i="1"/>
  <c r="K84" i="1"/>
  <c r="O84" i="1"/>
  <c r="S84" i="1"/>
  <c r="N85" i="1"/>
  <c r="R85" i="1"/>
  <c r="M86" i="1"/>
  <c r="Q86" i="1"/>
  <c r="K61" i="1"/>
  <c r="M72" i="1"/>
  <c r="K73" i="1"/>
  <c r="O73" i="1"/>
  <c r="N80" i="1"/>
  <c r="R80" i="1"/>
  <c r="N81" i="1"/>
  <c r="R81" i="1"/>
  <c r="N82" i="1"/>
  <c r="L84" i="1"/>
  <c r="P84" i="1"/>
  <c r="K85" i="1"/>
  <c r="O85" i="1"/>
  <c r="S85" i="1"/>
  <c r="N86" i="1"/>
  <c r="H3" i="1"/>
  <c r="G10" i="1" s="1"/>
  <c r="F10" i="1"/>
  <c r="D10" i="1"/>
  <c r="C45" i="1"/>
  <c r="B45" i="1"/>
  <c r="C44" i="1"/>
  <c r="B44" i="1"/>
  <c r="C43" i="1"/>
  <c r="B43" i="1"/>
  <c r="C42" i="1"/>
  <c r="B42" i="1"/>
  <c r="J40" i="1"/>
  <c r="C41" i="1"/>
  <c r="B41" i="1"/>
  <c r="J39" i="1"/>
  <c r="C40" i="1"/>
  <c r="B40" i="1"/>
  <c r="K38" i="1" a="1"/>
  <c r="R40" i="1" s="1"/>
  <c r="J38" i="1"/>
  <c r="C39" i="1"/>
  <c r="B39" i="1"/>
  <c r="C38" i="1"/>
  <c r="B38" i="1"/>
  <c r="J36" i="1"/>
  <c r="C37" i="1"/>
  <c r="B37" i="1"/>
  <c r="J35" i="1"/>
  <c r="C36" i="1"/>
  <c r="B36" i="1"/>
  <c r="K34" i="1" a="1"/>
  <c r="R36" i="1" s="1"/>
  <c r="J34" i="1"/>
  <c r="J32" i="1"/>
  <c r="J31" i="1"/>
  <c r="K30" i="1" a="1"/>
  <c r="P32" i="1" s="1"/>
  <c r="J30" i="1"/>
  <c r="J28" i="1"/>
  <c r="J27" i="1"/>
  <c r="K26" i="1" a="1"/>
  <c r="P27" i="1" s="1"/>
  <c r="J26" i="1"/>
  <c r="J24" i="1"/>
  <c r="J23" i="1"/>
  <c r="K22" i="1" a="1"/>
  <c r="N24" i="1" s="1"/>
  <c r="J22" i="1"/>
  <c r="J20" i="1"/>
  <c r="J19" i="1"/>
  <c r="K18" i="1" a="1"/>
  <c r="N20" i="1" s="1"/>
  <c r="J18" i="1"/>
  <c r="J16" i="1"/>
  <c r="J15" i="1"/>
  <c r="K14" i="1" a="1"/>
  <c r="L16" i="1" s="1"/>
  <c r="J14" i="1"/>
  <c r="E13" i="1"/>
  <c r="J12" i="1"/>
  <c r="J11" i="1"/>
  <c r="K10" i="1" a="1"/>
  <c r="L11" i="1" s="1"/>
  <c r="J10" i="1"/>
  <c r="J5" i="1"/>
  <c r="J8" i="1" s="1"/>
  <c r="V3" i="1"/>
  <c r="V4" i="1" s="1"/>
  <c r="V5" i="1" s="1"/>
  <c r="U3" i="1"/>
  <c r="U4" i="1" s="1"/>
  <c r="U5" i="1" s="1"/>
  <c r="U6" i="1" s="1"/>
  <c r="U7" i="1" s="1"/>
  <c r="A2" i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C6" i="3" l="1"/>
  <c r="D45" i="1"/>
  <c r="A4" i="1"/>
  <c r="D44" i="1"/>
  <c r="D43" i="1"/>
  <c r="S54" i="1"/>
  <c r="Q52" i="1"/>
  <c r="F84" i="1"/>
  <c r="F86" i="1"/>
  <c r="R52" i="1"/>
  <c r="S52" i="1"/>
  <c r="H82" i="1"/>
  <c r="P51" i="1"/>
  <c r="P52" i="1" s="1"/>
  <c r="Q53" i="1"/>
  <c r="R53" i="1"/>
  <c r="S53" i="1"/>
  <c r="G82" i="1"/>
  <c r="G62" i="1"/>
  <c r="H62" i="1" s="1"/>
  <c r="C62" i="1"/>
  <c r="D62" i="1" s="1"/>
  <c r="D38" i="1"/>
  <c r="D42" i="1"/>
  <c r="L36" i="1"/>
  <c r="D41" i="1"/>
  <c r="H40" i="1"/>
  <c r="D37" i="1"/>
  <c r="P31" i="1"/>
  <c r="K24" i="1"/>
  <c r="D36" i="1"/>
  <c r="K19" i="1"/>
  <c r="B16" i="1"/>
  <c r="G16" i="1" s="1"/>
  <c r="H16" i="1" s="1"/>
  <c r="L14" i="1"/>
  <c r="N32" i="1"/>
  <c r="K16" i="1"/>
  <c r="L30" i="1"/>
  <c r="L34" i="1"/>
  <c r="Q30" i="1"/>
  <c r="L35" i="1"/>
  <c r="P39" i="1"/>
  <c r="K10" i="1"/>
  <c r="M14" i="1"/>
  <c r="M16" i="1"/>
  <c r="K20" i="1"/>
  <c r="O24" i="1"/>
  <c r="M30" i="1"/>
  <c r="L31" i="1"/>
  <c r="Q31" i="1"/>
  <c r="O32" i="1"/>
  <c r="O34" i="1"/>
  <c r="O35" i="1"/>
  <c r="O36" i="1"/>
  <c r="M38" i="1"/>
  <c r="K40" i="1"/>
  <c r="L15" i="1"/>
  <c r="M22" i="1"/>
  <c r="P34" i="1"/>
  <c r="P35" i="1"/>
  <c r="P36" i="1"/>
  <c r="Q38" i="1"/>
  <c r="O40" i="1"/>
  <c r="H38" i="1"/>
  <c r="K12" i="1"/>
  <c r="O30" i="1"/>
  <c r="M31" i="1"/>
  <c r="K32" i="1"/>
  <c r="Q32" i="1"/>
  <c r="K14" i="1"/>
  <c r="M15" i="1"/>
  <c r="K18" i="1"/>
  <c r="L23" i="1"/>
  <c r="K30" i="1"/>
  <c r="P30" i="1"/>
  <c r="N31" i="1"/>
  <c r="M32" i="1"/>
  <c r="K34" i="1"/>
  <c r="K35" i="1"/>
  <c r="K36" i="1"/>
  <c r="L39" i="1"/>
  <c r="S40" i="1"/>
  <c r="V6" i="1"/>
  <c r="A5" i="1"/>
  <c r="M28" i="1"/>
  <c r="O27" i="1"/>
  <c r="K27" i="1"/>
  <c r="M26" i="1"/>
  <c r="P28" i="1"/>
  <c r="L28" i="1"/>
  <c r="N27" i="1"/>
  <c r="P26" i="1"/>
  <c r="L26" i="1"/>
  <c r="O28" i="1"/>
  <c r="K28" i="1"/>
  <c r="S8" i="1" s="1"/>
  <c r="M27" i="1"/>
  <c r="O26" i="1"/>
  <c r="K26" i="1"/>
  <c r="N28" i="1"/>
  <c r="D39" i="1"/>
  <c r="D40" i="1"/>
  <c r="J7" i="1"/>
  <c r="J6" i="1"/>
  <c r="S5" i="1"/>
  <c r="O8" i="1"/>
  <c r="N26" i="1"/>
  <c r="U8" i="1"/>
  <c r="L27" i="1"/>
  <c r="G38" i="1"/>
  <c r="A3" i="1"/>
  <c r="L10" i="1"/>
  <c r="L12" i="1"/>
  <c r="L18" i="1"/>
  <c r="L19" i="1"/>
  <c r="L20" i="1"/>
  <c r="N22" i="1"/>
  <c r="M23" i="1"/>
  <c r="L24" i="1"/>
  <c r="N38" i="1"/>
  <c r="R38" i="1"/>
  <c r="M39" i="1"/>
  <c r="Q39" i="1"/>
  <c r="L40" i="1"/>
  <c r="P40" i="1"/>
  <c r="G40" i="1"/>
  <c r="K11" i="1"/>
  <c r="K15" i="1"/>
  <c r="M18" i="1"/>
  <c r="M19" i="1"/>
  <c r="M20" i="1"/>
  <c r="K22" i="1"/>
  <c r="O22" i="1"/>
  <c r="N23" i="1"/>
  <c r="M24" i="1"/>
  <c r="N30" i="1"/>
  <c r="K31" i="1"/>
  <c r="O31" i="1"/>
  <c r="L32" i="1"/>
  <c r="M34" i="1"/>
  <c r="Q34" i="1"/>
  <c r="M35" i="1"/>
  <c r="Q35" i="1"/>
  <c r="M36" i="1"/>
  <c r="Q36" i="1"/>
  <c r="K38" i="1"/>
  <c r="O38" i="1"/>
  <c r="S38" i="1"/>
  <c r="N39" i="1"/>
  <c r="R39" i="1"/>
  <c r="M40" i="1"/>
  <c r="Q40" i="1"/>
  <c r="N18" i="1"/>
  <c r="N19" i="1"/>
  <c r="L22" i="1"/>
  <c r="K23" i="1"/>
  <c r="O23" i="1"/>
  <c r="N34" i="1"/>
  <c r="R34" i="1"/>
  <c r="N35" i="1"/>
  <c r="R35" i="1"/>
  <c r="N36" i="1"/>
  <c r="L38" i="1"/>
  <c r="P38" i="1"/>
  <c r="K39" i="1"/>
  <c r="O39" i="1"/>
  <c r="S39" i="1"/>
  <c r="N40" i="1"/>
  <c r="L6" i="3" l="1"/>
  <c r="D6" i="3"/>
  <c r="I6" i="3"/>
  <c r="B6" i="3"/>
  <c r="C16" i="1"/>
  <c r="D16" i="1" s="1"/>
  <c r="F38" i="1"/>
  <c r="F40" i="1"/>
  <c r="F82" i="1"/>
  <c r="O51" i="1"/>
  <c r="O52" i="1" s="1"/>
  <c r="P53" i="1"/>
  <c r="Q8" i="1"/>
  <c r="H36" i="1"/>
  <c r="G36" i="1"/>
  <c r="U9" i="1"/>
  <c r="S6" i="1"/>
  <c r="S7" i="1"/>
  <c r="R5" i="1"/>
  <c r="V7" i="1"/>
  <c r="A6" i="1"/>
  <c r="AA6" i="3" l="1"/>
  <c r="E6" i="3"/>
  <c r="O53" i="1"/>
  <c r="N51" i="1"/>
  <c r="N53" i="1" s="1"/>
  <c r="F36" i="1"/>
  <c r="V8" i="1"/>
  <c r="A7" i="1"/>
  <c r="R7" i="1"/>
  <c r="R6" i="1"/>
  <c r="Z6" i="3" s="1"/>
  <c r="Q5" i="1"/>
  <c r="U10" i="1"/>
  <c r="F6" i="3" l="1"/>
  <c r="N52" i="1"/>
  <c r="M51" i="1"/>
  <c r="M53" i="1" s="1"/>
  <c r="U11" i="1"/>
  <c r="P5" i="1"/>
  <c r="Q7" i="1"/>
  <c r="Q6" i="1"/>
  <c r="Y6" i="3" s="1"/>
  <c r="V9" i="1"/>
  <c r="A8" i="1"/>
  <c r="R6" i="3" l="1"/>
  <c r="Q6" i="3"/>
  <c r="G6" i="3"/>
  <c r="M52" i="1"/>
  <c r="L51" i="1"/>
  <c r="K51" i="1" s="1"/>
  <c r="V10" i="1"/>
  <c r="A9" i="1"/>
  <c r="U12" i="1"/>
  <c r="O5" i="1"/>
  <c r="P6" i="1"/>
  <c r="X6" i="3" s="1"/>
  <c r="P7" i="1"/>
  <c r="L53" i="1" l="1"/>
  <c r="L52" i="1"/>
  <c r="K53" i="1"/>
  <c r="K52" i="1"/>
  <c r="U13" i="1"/>
  <c r="O6" i="1"/>
  <c r="W6" i="3" s="1"/>
  <c r="O7" i="1"/>
  <c r="N5" i="1"/>
  <c r="V11" i="1"/>
  <c r="A10" i="1"/>
  <c r="V12" i="1" l="1"/>
  <c r="A11" i="1"/>
  <c r="N7" i="1"/>
  <c r="N6" i="1"/>
  <c r="V6" i="3" s="1"/>
  <c r="M5" i="1"/>
  <c r="U14" i="1"/>
  <c r="U15" i="1" l="1"/>
  <c r="L5" i="1"/>
  <c r="M7" i="1"/>
  <c r="M6" i="1"/>
  <c r="U6" i="3" s="1"/>
  <c r="V13" i="1"/>
  <c r="A12" i="1"/>
  <c r="K5" i="1" l="1"/>
  <c r="L7" i="1"/>
  <c r="L6" i="1"/>
  <c r="T6" i="3" s="1"/>
  <c r="U16" i="1"/>
  <c r="V14" i="1"/>
  <c r="A13" i="1"/>
  <c r="U17" i="1" l="1"/>
  <c r="V15" i="1"/>
  <c r="A14" i="1"/>
  <c r="K6" i="1"/>
  <c r="S6" i="3" s="1"/>
  <c r="K7" i="1"/>
  <c r="V16" i="1" l="1"/>
  <c r="A15" i="1"/>
  <c r="U18" i="1"/>
  <c r="U19" i="1" l="1"/>
  <c r="V17" i="1"/>
  <c r="A16" i="1"/>
  <c r="V18" i="1" l="1"/>
  <c r="A17" i="1"/>
  <c r="U20" i="1"/>
  <c r="U21" i="1" l="1"/>
  <c r="V19" i="1"/>
  <c r="A18" i="1"/>
  <c r="V20" i="1" l="1"/>
  <c r="A19" i="1"/>
  <c r="U22" i="1"/>
  <c r="U23" i="1" l="1"/>
  <c r="V21" i="1"/>
  <c r="A20" i="1"/>
  <c r="V22" i="1" l="1"/>
  <c r="A21" i="1"/>
  <c r="U24" i="1"/>
  <c r="U25" i="1" l="1"/>
  <c r="V23" i="1"/>
  <c r="A22" i="1"/>
  <c r="V24" i="1" l="1"/>
  <c r="A23" i="1"/>
  <c r="U26" i="1"/>
  <c r="U27" i="1" l="1"/>
  <c r="V25" i="1"/>
  <c r="A24" i="1"/>
  <c r="V26" i="1" l="1"/>
  <c r="A25" i="1"/>
  <c r="U28" i="1"/>
  <c r="U29" i="1" l="1"/>
  <c r="V27" i="1"/>
  <c r="A26" i="1"/>
  <c r="V28" i="1" l="1"/>
  <c r="A27" i="1"/>
  <c r="U30" i="1"/>
  <c r="U31" i="1" l="1"/>
  <c r="V29" i="1"/>
  <c r="A28" i="1"/>
  <c r="V30" i="1" l="1"/>
  <c r="A29" i="1"/>
  <c r="U32" i="1"/>
  <c r="U33" i="1" l="1"/>
  <c r="V31" i="1"/>
  <c r="A30" i="1"/>
  <c r="V32" i="1" l="1"/>
  <c r="A31" i="1"/>
  <c r="U34" i="1"/>
  <c r="U35" i="1" l="1"/>
  <c r="V33" i="1"/>
  <c r="A32" i="1"/>
  <c r="V34" i="1" l="1"/>
  <c r="A33" i="1"/>
  <c r="U36" i="1"/>
  <c r="U37" i="1" l="1"/>
  <c r="V35" i="1"/>
  <c r="A34" i="1"/>
  <c r="V36" i="1" l="1"/>
  <c r="A35" i="1"/>
  <c r="U38" i="1"/>
  <c r="U39" i="1" l="1"/>
  <c r="V37" i="1"/>
  <c r="A36" i="1"/>
  <c r="V38" i="1" l="1"/>
  <c r="A37" i="1"/>
  <c r="U40" i="1"/>
  <c r="U41" i="1" l="1"/>
  <c r="V39" i="1"/>
  <c r="A38" i="1"/>
  <c r="V40" i="1" l="1"/>
  <c r="A39" i="1"/>
  <c r="U42" i="1"/>
  <c r="U43" i="1" l="1"/>
  <c r="V41" i="1"/>
  <c r="A40" i="1"/>
  <c r="V42" i="1" l="1"/>
  <c r="A41" i="1"/>
  <c r="U44" i="1"/>
  <c r="U45" i="1" l="1"/>
  <c r="V43" i="1"/>
  <c r="A42" i="1"/>
  <c r="V44" i="1" l="1"/>
  <c r="A43" i="1"/>
  <c r="U46" i="1"/>
  <c r="U48" i="1" s="1"/>
  <c r="A48" i="1" l="1"/>
  <c r="U49" i="1"/>
  <c r="V45" i="1"/>
  <c r="A44" i="1"/>
  <c r="U50" i="1" l="1"/>
  <c r="A49" i="1"/>
  <c r="V46" i="1"/>
  <c r="A46" i="1" s="1"/>
  <c r="A45" i="1"/>
  <c r="A50" i="1" l="1"/>
  <c r="U51" i="1"/>
  <c r="U52" i="1" l="1"/>
  <c r="A51" i="1"/>
  <c r="A52" i="1" l="1"/>
  <c r="U53" i="1"/>
  <c r="A53" i="1" l="1"/>
  <c r="U54" i="1"/>
  <c r="U55" i="1" l="1"/>
  <c r="A54" i="1"/>
  <c r="U56" i="1" l="1"/>
  <c r="A55" i="1"/>
  <c r="U57" i="1" l="1"/>
  <c r="A56" i="1"/>
  <c r="U58" i="1" l="1"/>
  <c r="A57" i="1"/>
  <c r="U59" i="1" l="1"/>
  <c r="A58" i="1"/>
  <c r="A59" i="1" l="1"/>
  <c r="U60" i="1"/>
  <c r="U61" i="1" l="1"/>
  <c r="A60" i="1"/>
  <c r="A61" i="1" l="1"/>
  <c r="U62" i="1"/>
  <c r="A62" i="1" l="1"/>
  <c r="U63" i="1"/>
  <c r="A63" i="1" l="1"/>
  <c r="U64" i="1"/>
  <c r="A64" i="1" l="1"/>
  <c r="U65" i="1"/>
  <c r="U66" i="1" l="1"/>
  <c r="A65" i="1"/>
  <c r="A66" i="1" l="1"/>
  <c r="U67" i="1"/>
  <c r="U68" i="1" l="1"/>
  <c r="A67" i="1"/>
  <c r="A68" i="1" l="1"/>
  <c r="U69" i="1"/>
  <c r="A69" i="1" l="1"/>
  <c r="U70" i="1"/>
  <c r="A70" i="1" l="1"/>
  <c r="U71" i="1"/>
  <c r="U72" i="1" l="1"/>
  <c r="A71" i="1"/>
  <c r="U73" i="1" l="1"/>
  <c r="A72" i="1"/>
  <c r="U74" i="1" l="1"/>
  <c r="A73" i="1"/>
  <c r="U75" i="1" l="1"/>
  <c r="A74" i="1"/>
  <c r="U76" i="1" l="1"/>
  <c r="A75" i="1"/>
  <c r="U77" i="1" l="1"/>
  <c r="A76" i="1"/>
  <c r="A77" i="1" l="1"/>
  <c r="U78" i="1"/>
  <c r="U79" i="1" l="1"/>
  <c r="A78" i="1"/>
  <c r="A79" i="1" l="1"/>
  <c r="U80" i="1"/>
  <c r="U81" i="1" l="1"/>
  <c r="A80" i="1"/>
  <c r="U82" i="1" l="1"/>
  <c r="A81" i="1"/>
  <c r="U83" i="1" l="1"/>
  <c r="A82" i="1"/>
  <c r="A83" i="1" l="1"/>
  <c r="U84" i="1"/>
  <c r="A84" i="1" l="1"/>
  <c r="U85" i="1"/>
  <c r="A85" i="1" l="1"/>
  <c r="U86" i="1"/>
  <c r="U87" i="1" l="1"/>
  <c r="A86" i="1"/>
  <c r="U88" i="1" l="1"/>
  <c r="A87" i="1"/>
  <c r="U89" i="1" l="1"/>
  <c r="A88" i="1"/>
  <c r="U90" i="1" l="1"/>
  <c r="A89" i="1"/>
  <c r="U91" i="1" l="1"/>
  <c r="A90" i="1"/>
  <c r="U92" i="1" l="1"/>
  <c r="A91" i="1"/>
  <c r="A92" i="1" l="1"/>
  <c r="U94" i="1"/>
  <c r="U95" i="1" l="1"/>
  <c r="A94" i="1"/>
  <c r="U96" i="1" l="1"/>
  <c r="A95" i="1"/>
  <c r="U97" i="1" l="1"/>
  <c r="A96" i="1"/>
  <c r="U98" i="1" l="1"/>
  <c r="A97" i="1"/>
  <c r="U99" i="1" l="1"/>
  <c r="A98" i="1"/>
  <c r="U100" i="1" l="1"/>
  <c r="A99" i="1"/>
  <c r="U101" i="1" l="1"/>
  <c r="A100" i="1"/>
  <c r="U102" i="1" l="1"/>
  <c r="A101" i="1"/>
  <c r="A102" i="1" l="1"/>
  <c r="U103" i="1"/>
  <c r="A103" i="1" l="1"/>
  <c r="U104" i="1"/>
  <c r="A104" i="1" l="1"/>
  <c r="U105" i="1"/>
  <c r="U106" i="1" l="1"/>
  <c r="A105" i="1"/>
  <c r="U107" i="1" l="1"/>
  <c r="A106" i="1"/>
  <c r="A107" i="1" l="1"/>
  <c r="U108" i="1"/>
  <c r="A108" i="1" l="1"/>
  <c r="U109" i="1"/>
  <c r="U110" i="1" l="1"/>
  <c r="A109" i="1"/>
  <c r="A110" i="1" l="1"/>
  <c r="U111" i="1"/>
  <c r="A111" i="1" l="1"/>
  <c r="U112" i="1"/>
  <c r="A112" i="1" l="1"/>
  <c r="U113" i="1"/>
  <c r="U114" i="1" l="1"/>
  <c r="A113" i="1"/>
  <c r="U115" i="1" l="1"/>
  <c r="A114" i="1"/>
  <c r="A115" i="1" l="1"/>
  <c r="U116" i="1"/>
  <c r="U117" i="1" l="1"/>
  <c r="A116" i="1"/>
  <c r="U118" i="1" l="1"/>
  <c r="A117" i="1"/>
  <c r="A118" i="1" l="1"/>
  <c r="U119" i="1"/>
  <c r="A119" i="1" l="1"/>
  <c r="U120" i="1"/>
  <c r="A120" i="1" l="1"/>
  <c r="U121" i="1"/>
  <c r="A121" i="1" l="1"/>
  <c r="U122" i="1"/>
  <c r="A122" i="1" l="1"/>
  <c r="U123" i="1"/>
  <c r="U124" i="1" l="1"/>
  <c r="A123" i="1"/>
  <c r="U125" i="1" l="1"/>
  <c r="A124" i="1"/>
  <c r="A125" i="1" l="1"/>
  <c r="U126" i="1"/>
  <c r="U127" i="1" l="1"/>
  <c r="A126" i="1"/>
  <c r="A127" i="1" l="1"/>
  <c r="U128" i="1"/>
  <c r="A128" i="1" l="1"/>
  <c r="U129" i="1"/>
  <c r="A129" i="1" l="1"/>
  <c r="U130" i="1"/>
  <c r="A130" i="1" l="1"/>
  <c r="U131" i="1"/>
  <c r="U132" i="1" l="1"/>
  <c r="A131" i="1"/>
  <c r="U133" i="1" l="1"/>
  <c r="A132" i="1"/>
  <c r="A133" i="1" l="1"/>
  <c r="U134" i="1"/>
  <c r="U135" i="1" l="1"/>
  <c r="A134" i="1"/>
  <c r="A135" i="1" l="1"/>
  <c r="U136" i="1"/>
  <c r="U137" i="1" l="1"/>
  <c r="A136" i="1"/>
  <c r="U138" i="1" l="1"/>
  <c r="A137" i="1"/>
  <c r="A138" i="1" l="1"/>
  <c r="U140" i="1"/>
  <c r="A140" i="1" l="1"/>
  <c r="U141" i="1"/>
  <c r="A141" i="1" l="1"/>
  <c r="U142" i="1"/>
  <c r="A142" i="1" l="1"/>
  <c r="U143" i="1"/>
  <c r="A143" i="1" l="1"/>
  <c r="U144" i="1"/>
  <c r="A144" i="1" l="1"/>
  <c r="U145" i="1"/>
  <c r="A145" i="1" l="1"/>
  <c r="U146" i="1"/>
  <c r="A146" i="1" l="1"/>
  <c r="U147" i="1"/>
  <c r="U148" i="1" l="1"/>
  <c r="A147" i="1"/>
  <c r="A148" i="1" l="1"/>
  <c r="U149" i="1"/>
  <c r="A149" i="1" l="1"/>
  <c r="U150" i="1"/>
  <c r="U151" i="1" l="1"/>
  <c r="A150" i="1"/>
  <c r="U152" i="1" l="1"/>
  <c r="A151" i="1"/>
  <c r="U153" i="1" l="1"/>
  <c r="A152" i="1"/>
  <c r="U154" i="1" l="1"/>
  <c r="A153" i="1"/>
  <c r="A154" i="1" l="1"/>
  <c r="U155" i="1"/>
  <c r="U156" i="1" l="1"/>
  <c r="A155" i="1"/>
  <c r="U157" i="1" l="1"/>
  <c r="A156" i="1"/>
  <c r="U158" i="1" l="1"/>
  <c r="A157" i="1"/>
  <c r="U159" i="1" l="1"/>
  <c r="A158" i="1"/>
  <c r="A159" i="1" l="1"/>
  <c r="U160" i="1"/>
  <c r="U161" i="1" l="1"/>
  <c r="A160" i="1"/>
  <c r="U162" i="1" l="1"/>
  <c r="A161" i="1"/>
  <c r="A162" i="1" l="1"/>
  <c r="U163" i="1"/>
  <c r="U164" i="1" l="1"/>
  <c r="A163" i="1"/>
  <c r="U165" i="1" l="1"/>
  <c r="A164" i="1"/>
  <c r="U166" i="1" l="1"/>
  <c r="A165" i="1"/>
  <c r="U167" i="1" l="1"/>
  <c r="A166" i="1"/>
  <c r="U168" i="1" l="1"/>
  <c r="A167" i="1"/>
  <c r="U169" i="1" l="1"/>
  <c r="A168" i="1"/>
  <c r="A169" i="1" l="1"/>
  <c r="U170" i="1"/>
  <c r="U171" i="1" l="1"/>
  <c r="A170" i="1"/>
  <c r="U172" i="1" l="1"/>
  <c r="A171" i="1"/>
  <c r="U173" i="1" l="1"/>
  <c r="A172" i="1"/>
  <c r="U174" i="1" l="1"/>
  <c r="A173" i="1"/>
  <c r="U175" i="1" l="1"/>
  <c r="A174" i="1"/>
  <c r="U176" i="1" l="1"/>
  <c r="A175" i="1"/>
  <c r="U177" i="1" l="1"/>
  <c r="A176" i="1"/>
  <c r="U178" i="1" l="1"/>
  <c r="A177" i="1"/>
  <c r="U179" i="1" l="1"/>
  <c r="A178" i="1"/>
  <c r="A179" i="1" l="1"/>
  <c r="U180" i="1"/>
  <c r="U181" i="1" l="1"/>
  <c r="A180" i="1"/>
  <c r="A181" i="1" l="1"/>
  <c r="U182" i="1"/>
  <c r="U183" i="1" l="1"/>
  <c r="A182" i="1"/>
  <c r="U184" i="1" l="1"/>
  <c r="A183" i="1"/>
  <c r="A184" i="1" l="1"/>
  <c r="U186" i="1"/>
  <c r="U187" i="1" l="1"/>
  <c r="A186" i="1"/>
  <c r="A187" i="1" l="1"/>
  <c r="U188" i="1"/>
  <c r="U189" i="1" l="1"/>
  <c r="A188" i="1"/>
  <c r="A189" i="1" l="1"/>
  <c r="U190" i="1"/>
  <c r="A190" i="1" l="1"/>
  <c r="U191" i="1"/>
  <c r="A191" i="1" l="1"/>
  <c r="U192" i="1"/>
  <c r="U193" i="1" l="1"/>
  <c r="A192" i="1"/>
  <c r="U194" i="1" l="1"/>
  <c r="A193" i="1"/>
  <c r="U195" i="1" l="1"/>
  <c r="A194" i="1"/>
  <c r="A195" i="1" l="1"/>
  <c r="U196" i="1"/>
  <c r="A196" i="1" l="1"/>
  <c r="U197" i="1"/>
  <c r="A197" i="1" l="1"/>
  <c r="U198" i="1"/>
  <c r="U199" i="1" l="1"/>
  <c r="A198" i="1"/>
  <c r="A199" i="1" l="1"/>
  <c r="U200" i="1"/>
  <c r="U201" i="1" l="1"/>
  <c r="A200" i="1"/>
  <c r="A201" i="1" l="1"/>
  <c r="U202" i="1"/>
  <c r="A202" i="1" l="1"/>
  <c r="U203" i="1"/>
  <c r="A203" i="1" l="1"/>
  <c r="U204" i="1"/>
  <c r="U205" i="1" l="1"/>
  <c r="A204" i="1"/>
  <c r="U206" i="1" l="1"/>
  <c r="A205" i="1"/>
  <c r="A206" i="1" l="1"/>
  <c r="U207" i="1"/>
  <c r="A207" i="1" l="1"/>
  <c r="U208" i="1"/>
  <c r="A208" i="1" l="1"/>
  <c r="U209" i="1"/>
  <c r="U210" i="1" l="1"/>
  <c r="A209" i="1"/>
  <c r="U211" i="1" l="1"/>
  <c r="A210" i="1"/>
  <c r="A211" i="1" l="1"/>
  <c r="U212" i="1"/>
  <c r="A212" i="1" l="1"/>
  <c r="U213" i="1"/>
  <c r="A213" i="1" l="1"/>
  <c r="U214" i="1"/>
  <c r="U215" i="1" l="1"/>
  <c r="A214" i="1"/>
  <c r="U216" i="1" l="1"/>
  <c r="A215" i="1"/>
  <c r="A216" i="1" l="1"/>
  <c r="U217" i="1"/>
  <c r="U218" i="1" l="1"/>
  <c r="A217" i="1"/>
  <c r="U219" i="1" l="1"/>
  <c r="A218" i="1"/>
  <c r="A219" i="1" l="1"/>
  <c r="U220" i="1"/>
  <c r="A220" i="1" l="1"/>
  <c r="U221" i="1"/>
  <c r="A221" i="1" l="1"/>
  <c r="U222" i="1"/>
  <c r="U223" i="1" l="1"/>
  <c r="A222" i="1"/>
  <c r="A223" i="1" l="1"/>
  <c r="U224" i="1"/>
  <c r="A224" i="1" l="1"/>
  <c r="U225" i="1"/>
  <c r="U226" i="1" l="1"/>
  <c r="A225" i="1"/>
  <c r="U227" i="1" l="1"/>
  <c r="A226" i="1"/>
  <c r="A227" i="1" l="1"/>
  <c r="U228" i="1"/>
  <c r="U229" i="1" l="1"/>
  <c r="A228" i="1"/>
  <c r="U230" i="1" l="1"/>
  <c r="A229" i="1"/>
  <c r="A230" i="1" l="1"/>
  <c r="U232" i="1"/>
  <c r="U233" i="1" l="1"/>
  <c r="A232" i="1"/>
  <c r="A233" i="1" l="1"/>
  <c r="U234" i="1"/>
  <c r="A234" i="1" l="1"/>
  <c r="U235" i="1"/>
  <c r="U236" i="1" l="1"/>
  <c r="A235" i="1"/>
  <c r="A236" i="1" l="1"/>
  <c r="U237" i="1"/>
  <c r="U238" i="1" l="1"/>
  <c r="A237" i="1"/>
  <c r="A238" i="1" l="1"/>
  <c r="U239" i="1"/>
  <c r="U240" i="1" l="1"/>
  <c r="A239" i="1"/>
  <c r="U241" i="1" l="1"/>
  <c r="A240" i="1"/>
  <c r="A241" i="1" l="1"/>
  <c r="U242" i="1"/>
  <c r="A242" i="1" l="1"/>
  <c r="U243" i="1"/>
  <c r="U244" i="1" l="1"/>
  <c r="A243" i="1"/>
  <c r="U245" i="1" l="1"/>
  <c r="A244" i="1"/>
  <c r="A245" i="1" l="1"/>
  <c r="U246" i="1"/>
  <c r="A246" i="1" l="1"/>
  <c r="U247" i="1"/>
  <c r="U248" i="1" l="1"/>
  <c r="A247" i="1"/>
  <c r="A248" i="1" l="1"/>
  <c r="U249" i="1"/>
  <c r="U250" i="1" l="1"/>
  <c r="A249" i="1"/>
  <c r="U251" i="1" l="1"/>
  <c r="A250" i="1"/>
  <c r="U252" i="1" l="1"/>
  <c r="A251" i="1"/>
  <c r="A252" i="1" l="1"/>
  <c r="U253" i="1"/>
  <c r="U254" i="1" l="1"/>
  <c r="A253" i="1"/>
  <c r="A254" i="1" l="1"/>
  <c r="U255" i="1"/>
  <c r="U256" i="1" l="1"/>
  <c r="A255" i="1"/>
  <c r="U257" i="1" l="1"/>
  <c r="A256" i="1"/>
  <c r="A257" i="1" l="1"/>
  <c r="U258" i="1"/>
  <c r="U259" i="1" l="1"/>
  <c r="A258" i="1"/>
  <c r="A259" i="1" l="1"/>
  <c r="U260" i="1"/>
  <c r="U261" i="1" l="1"/>
  <c r="A260" i="1"/>
  <c r="A261" i="1" l="1"/>
  <c r="U262" i="1"/>
  <c r="U263" i="1" l="1"/>
  <c r="A262" i="1"/>
  <c r="A263" i="1" l="1"/>
  <c r="U264" i="1"/>
  <c r="A264" i="1" l="1"/>
  <c r="U265" i="1"/>
  <c r="U266" i="1" l="1"/>
  <c r="A265" i="1"/>
  <c r="U267" i="1" l="1"/>
  <c r="A266" i="1"/>
  <c r="U268" i="1" l="1"/>
  <c r="A267" i="1"/>
  <c r="U269" i="1" l="1"/>
  <c r="A268" i="1"/>
  <c r="A269" i="1" l="1"/>
  <c r="U270" i="1"/>
  <c r="A270" i="1" l="1"/>
  <c r="U271" i="1"/>
  <c r="A271" i="1" l="1"/>
  <c r="U272" i="1"/>
  <c r="U273" i="1" l="1"/>
  <c r="A272" i="1"/>
  <c r="A273" i="1" l="1"/>
  <c r="U274" i="1"/>
  <c r="U275" i="1" l="1"/>
  <c r="A274" i="1"/>
  <c r="A275" i="1" l="1"/>
  <c r="U276" i="1"/>
  <c r="A276" i="1" l="1"/>
  <c r="U278" i="1"/>
  <c r="A278" i="1" l="1"/>
  <c r="U279" i="1"/>
  <c r="A279" i="1" l="1"/>
  <c r="U280" i="1"/>
  <c r="A280" i="1" l="1"/>
  <c r="U281" i="1"/>
  <c r="U282" i="1" l="1"/>
  <c r="A281" i="1"/>
  <c r="U283" i="1" l="1"/>
  <c r="A282" i="1"/>
  <c r="U284" i="1" l="1"/>
  <c r="A283" i="1"/>
  <c r="U285" i="1" l="1"/>
  <c r="A284" i="1"/>
  <c r="A285" i="1" l="1"/>
  <c r="U286" i="1"/>
  <c r="U287" i="1" l="1"/>
  <c r="A286" i="1"/>
  <c r="U288" i="1" l="1"/>
  <c r="A287" i="1"/>
  <c r="A288" i="1" l="1"/>
  <c r="U289" i="1"/>
  <c r="A289" i="1" l="1"/>
  <c r="U290" i="1"/>
  <c r="U291" i="1" l="1"/>
  <c r="A290" i="1"/>
  <c r="A291" i="1" l="1"/>
  <c r="U292" i="1"/>
  <c r="U293" i="1" l="1"/>
  <c r="A292" i="1"/>
  <c r="A293" i="1" l="1"/>
  <c r="U294" i="1"/>
  <c r="A294" i="1" l="1"/>
  <c r="U295" i="1"/>
  <c r="A295" i="1" l="1"/>
  <c r="U296" i="1"/>
  <c r="U297" i="1" l="1"/>
  <c r="A296" i="1"/>
  <c r="A297" i="1" l="1"/>
  <c r="U298" i="1"/>
  <c r="A298" i="1" l="1"/>
  <c r="U299" i="1"/>
  <c r="U300" i="1" l="1"/>
  <c r="A299" i="1"/>
  <c r="U301" i="1" l="1"/>
  <c r="A300" i="1"/>
  <c r="A301" i="1" l="1"/>
  <c r="U302" i="1"/>
  <c r="A302" i="1" l="1"/>
  <c r="U303" i="1"/>
  <c r="A303" i="1" l="1"/>
  <c r="U304" i="1"/>
  <c r="A304" i="1" l="1"/>
  <c r="U305" i="1"/>
  <c r="A305" i="1" l="1"/>
  <c r="U306" i="1"/>
  <c r="A306" i="1" l="1"/>
  <c r="U307" i="1"/>
  <c r="A307" i="1" l="1"/>
  <c r="U308" i="1"/>
  <c r="A308" i="1" l="1"/>
  <c r="U309" i="1"/>
  <c r="U310" i="1" l="1"/>
  <c r="A309" i="1"/>
  <c r="U311" i="1" l="1"/>
  <c r="A310" i="1"/>
  <c r="A311" i="1" l="1"/>
  <c r="U312" i="1"/>
  <c r="A312" i="1" l="1"/>
  <c r="U313" i="1"/>
  <c r="A313" i="1" l="1"/>
  <c r="U314" i="1"/>
  <c r="A314" i="1" l="1"/>
  <c r="U315" i="1"/>
  <c r="U316" i="1" l="1"/>
  <c r="A315" i="1"/>
  <c r="A316" i="1" l="1"/>
  <c r="U317" i="1"/>
  <c r="A317" i="1" l="1"/>
  <c r="U318" i="1"/>
  <c r="U319" i="1" l="1"/>
  <c r="A318" i="1"/>
  <c r="A319" i="1" l="1"/>
  <c r="U320" i="1"/>
  <c r="A320" i="1" l="1"/>
  <c r="U321" i="1"/>
  <c r="U322" i="1" l="1"/>
  <c r="A321" i="1"/>
  <c r="A322" i="1" l="1"/>
  <c r="U324" i="1"/>
  <c r="A324" i="1" l="1"/>
  <c r="U325" i="1"/>
  <c r="A325" i="1" l="1"/>
  <c r="U326" i="1"/>
  <c r="A326" i="1" l="1"/>
  <c r="U327" i="1"/>
  <c r="U328" i="1" l="1"/>
  <c r="A327" i="1"/>
  <c r="U329" i="1" l="1"/>
  <c r="A328" i="1"/>
  <c r="A329" i="1" l="1"/>
  <c r="U330" i="1"/>
  <c r="U331" i="1" l="1"/>
  <c r="A330" i="1"/>
  <c r="A331" i="1" l="1"/>
  <c r="U332" i="1"/>
  <c r="U333" i="1" l="1"/>
  <c r="A332" i="1"/>
  <c r="U334" i="1" l="1"/>
  <c r="A333" i="1"/>
  <c r="A334" i="1" l="1"/>
  <c r="U335" i="1"/>
  <c r="U336" i="1" l="1"/>
  <c r="A335" i="1"/>
  <c r="U337" i="1" l="1"/>
  <c r="A336" i="1"/>
  <c r="A337" i="1" l="1"/>
  <c r="U338" i="1"/>
  <c r="A338" i="1" l="1"/>
  <c r="U339" i="1"/>
  <c r="U340" i="1" l="1"/>
  <c r="A339" i="1"/>
  <c r="A340" i="1" l="1"/>
  <c r="U341" i="1"/>
  <c r="U342" i="1" l="1"/>
  <c r="A341" i="1"/>
  <c r="U343" i="1" l="1"/>
  <c r="A342" i="1"/>
  <c r="U344" i="1" l="1"/>
  <c r="A343" i="1"/>
  <c r="A344" i="1" l="1"/>
  <c r="U345" i="1"/>
  <c r="A345" i="1" l="1"/>
  <c r="U346" i="1"/>
  <c r="A346" i="1" l="1"/>
  <c r="U347" i="1"/>
  <c r="U348" i="1" l="1"/>
  <c r="A347" i="1"/>
  <c r="U349" i="1" l="1"/>
  <c r="A348" i="1"/>
  <c r="U350" i="1" l="1"/>
  <c r="A349" i="1"/>
  <c r="U351" i="1" l="1"/>
  <c r="A350" i="1"/>
  <c r="A351" i="1" l="1"/>
  <c r="U352" i="1"/>
  <c r="U353" i="1" l="1"/>
  <c r="A352" i="1"/>
  <c r="A353" i="1" l="1"/>
  <c r="U354" i="1"/>
  <c r="U355" i="1" l="1"/>
  <c r="A354" i="1"/>
  <c r="A355" i="1" l="1"/>
  <c r="U356" i="1"/>
  <c r="A356" i="1" l="1"/>
  <c r="U357" i="1"/>
  <c r="U358" i="1" l="1"/>
  <c r="A357" i="1"/>
  <c r="U359" i="1" l="1"/>
  <c r="A358" i="1"/>
  <c r="U360" i="1" l="1"/>
  <c r="A359" i="1"/>
  <c r="U361" i="1" l="1"/>
  <c r="A360" i="1"/>
  <c r="A361" i="1" l="1"/>
  <c r="U362" i="1"/>
  <c r="A362" i="1" l="1"/>
  <c r="U363" i="1"/>
  <c r="A363" i="1" l="1"/>
  <c r="U364" i="1"/>
  <c r="U365" i="1" l="1"/>
  <c r="A364" i="1"/>
  <c r="A365" i="1" l="1"/>
  <c r="U366" i="1"/>
  <c r="U367" i="1" l="1"/>
  <c r="A366" i="1"/>
  <c r="U368" i="1" l="1"/>
  <c r="A367" i="1"/>
  <c r="A368" i="1" l="1"/>
  <c r="U370" i="1"/>
  <c r="A370" i="1" l="1"/>
  <c r="U371" i="1"/>
  <c r="A371" i="1" l="1"/>
  <c r="U372" i="1"/>
  <c r="U373" i="1" l="1"/>
  <c r="A372" i="1"/>
  <c r="U374" i="1" l="1"/>
  <c r="A373" i="1"/>
  <c r="U375" i="1" l="1"/>
  <c r="A374" i="1"/>
  <c r="U376" i="1" l="1"/>
  <c r="A375" i="1"/>
  <c r="U377" i="1" l="1"/>
  <c r="A376" i="1"/>
  <c r="U378" i="1" l="1"/>
  <c r="A377" i="1"/>
  <c r="U379" i="1" l="1"/>
  <c r="A378" i="1"/>
  <c r="U380" i="1" l="1"/>
  <c r="A379" i="1"/>
  <c r="A380" i="1" l="1"/>
  <c r="U381" i="1"/>
  <c r="U382" i="1" l="1"/>
  <c r="A381" i="1"/>
  <c r="U383" i="1" l="1"/>
  <c r="A382" i="1"/>
  <c r="A383" i="1" l="1"/>
  <c r="U384" i="1"/>
  <c r="U385" i="1" l="1"/>
  <c r="A384" i="1"/>
  <c r="A385" i="1" l="1"/>
  <c r="U386" i="1"/>
  <c r="A386" i="1" l="1"/>
  <c r="U387" i="1"/>
  <c r="A387" i="1" l="1"/>
  <c r="U388" i="1"/>
  <c r="A388" i="1" l="1"/>
  <c r="U389" i="1"/>
  <c r="A389" i="1" l="1"/>
  <c r="U390" i="1"/>
  <c r="A390" i="1" l="1"/>
  <c r="U391" i="1"/>
  <c r="A391" i="1" l="1"/>
  <c r="U392" i="1"/>
  <c r="U393" i="1" l="1"/>
  <c r="A392" i="1"/>
  <c r="A393" i="1" l="1"/>
  <c r="U394" i="1"/>
  <c r="A394" i="1" l="1"/>
  <c r="U395" i="1"/>
  <c r="A395" i="1" l="1"/>
  <c r="U396" i="1"/>
  <c r="A396" i="1" l="1"/>
  <c r="U397" i="1"/>
  <c r="U398" i="1" l="1"/>
  <c r="A397" i="1"/>
  <c r="U399" i="1" l="1"/>
  <c r="A398" i="1"/>
  <c r="U400" i="1" l="1"/>
  <c r="A399" i="1"/>
  <c r="A400" i="1" l="1"/>
  <c r="U401" i="1"/>
  <c r="U402" i="1" l="1"/>
  <c r="A401" i="1"/>
  <c r="A402" i="1" l="1"/>
  <c r="U403" i="1"/>
  <c r="A403" i="1" l="1"/>
  <c r="U404" i="1"/>
  <c r="A404" i="1" l="1"/>
  <c r="U405" i="1"/>
  <c r="A405" i="1" l="1"/>
  <c r="U406" i="1"/>
  <c r="U407" i="1" l="1"/>
  <c r="A406" i="1"/>
  <c r="A407" i="1" l="1"/>
  <c r="U408" i="1"/>
  <c r="A408" i="1" l="1"/>
  <c r="U409" i="1"/>
  <c r="U410" i="1" l="1"/>
  <c r="A409" i="1"/>
  <c r="U411" i="1" l="1"/>
  <c r="A410" i="1"/>
  <c r="A411" i="1" l="1"/>
  <c r="U412" i="1"/>
  <c r="U413" i="1" l="1"/>
  <c r="A412" i="1"/>
  <c r="U414" i="1" l="1"/>
  <c r="A413" i="1"/>
  <c r="A414" i="1" l="1"/>
  <c r="U416" i="1"/>
  <c r="U417" i="1" l="1"/>
  <c r="A416" i="1"/>
  <c r="A417" i="1" l="1"/>
  <c r="U418" i="1"/>
  <c r="A418" i="1" l="1"/>
  <c r="U419" i="1"/>
  <c r="U420" i="1" l="1"/>
  <c r="A419" i="1"/>
  <c r="U421" i="1" l="1"/>
  <c r="A420" i="1"/>
  <c r="A421" i="1" l="1"/>
  <c r="U422" i="1"/>
  <c r="U423" i="1" l="1"/>
  <c r="A422" i="1"/>
  <c r="A423" i="1" l="1"/>
  <c r="U424" i="1"/>
  <c r="A424" i="1" l="1"/>
  <c r="U425" i="1"/>
  <c r="U426" i="1" l="1"/>
  <c r="A425" i="1"/>
  <c r="U427" i="1" l="1"/>
  <c r="A426" i="1"/>
  <c r="A427" i="1" l="1"/>
  <c r="U428" i="1"/>
  <c r="U429" i="1" l="1"/>
  <c r="A428" i="1"/>
  <c r="A429" i="1" l="1"/>
  <c r="U430" i="1"/>
  <c r="A430" i="1" l="1"/>
  <c r="U431" i="1"/>
  <c r="U432" i="1" l="1"/>
  <c r="A431" i="1"/>
  <c r="A432" i="1" l="1"/>
  <c r="U433" i="1"/>
  <c r="U434" i="1" l="1"/>
  <c r="A433" i="1"/>
  <c r="U435" i="1" l="1"/>
  <c r="A434" i="1"/>
  <c r="U436" i="1" l="1"/>
  <c r="A435" i="1"/>
  <c r="A436" i="1" l="1"/>
  <c r="U437" i="1"/>
  <c r="A437" i="1" l="1"/>
  <c r="U438" i="1"/>
  <c r="A438" i="1" l="1"/>
  <c r="U439" i="1"/>
  <c r="U440" i="1" l="1"/>
  <c r="A439" i="1"/>
  <c r="U441" i="1" l="1"/>
  <c r="A440" i="1"/>
  <c r="U442" i="1" l="1"/>
  <c r="A441" i="1"/>
  <c r="U443" i="1" l="1"/>
  <c r="A442" i="1"/>
  <c r="A443" i="1" l="1"/>
  <c r="U444" i="1"/>
  <c r="U445" i="1" l="1"/>
  <c r="A444" i="1"/>
  <c r="U446" i="1" l="1"/>
  <c r="A445" i="1"/>
  <c r="U447" i="1" l="1"/>
  <c r="A446" i="1"/>
  <c r="A447" i="1" l="1"/>
  <c r="U448" i="1"/>
  <c r="A448" i="1" l="1"/>
  <c r="U449" i="1"/>
  <c r="U450" i="1" l="1"/>
  <c r="A449" i="1"/>
  <c r="U451" i="1" l="1"/>
  <c r="A450" i="1"/>
  <c r="U452" i="1" l="1"/>
  <c r="A451" i="1"/>
  <c r="A452" i="1" l="1"/>
  <c r="U453" i="1"/>
  <c r="A453" i="1" l="1"/>
  <c r="U454" i="1"/>
  <c r="U455" i="1" l="1"/>
  <c r="A454" i="1"/>
  <c r="U456" i="1" l="1"/>
  <c r="A455" i="1"/>
  <c r="U457" i="1" l="1"/>
  <c r="A456" i="1"/>
  <c r="A457" i="1" l="1"/>
  <c r="U458" i="1"/>
  <c r="U459" i="1" l="1"/>
  <c r="A458" i="1"/>
  <c r="U460" i="1" l="1"/>
  <c r="U462" i="1" s="1"/>
  <c r="A459" i="1"/>
  <c r="U463" i="1" l="1"/>
  <c r="A462" i="1"/>
  <c r="A460" i="1"/>
  <c r="A463" i="1" l="1"/>
  <c r="U464" i="1"/>
  <c r="A464" i="1" l="1"/>
  <c r="U465" i="1"/>
  <c r="A465" i="1" l="1"/>
  <c r="U466" i="1"/>
  <c r="U467" i="1" l="1"/>
  <c r="A466" i="1"/>
  <c r="A467" i="1" l="1"/>
  <c r="U468" i="1"/>
  <c r="A468" i="1" l="1"/>
  <c r="U469" i="1"/>
  <c r="U470" i="1" l="1"/>
  <c r="A469" i="1"/>
  <c r="U471" i="1" l="1"/>
  <c r="A470" i="1"/>
  <c r="A471" i="1" l="1"/>
  <c r="U472" i="1"/>
  <c r="A472" i="1" l="1"/>
  <c r="U473" i="1"/>
  <c r="A473" i="1" l="1"/>
  <c r="U474" i="1"/>
  <c r="U475" i="1" l="1"/>
  <c r="A474" i="1"/>
  <c r="U476" i="1" l="1"/>
  <c r="A475" i="1"/>
  <c r="U477" i="1" l="1"/>
  <c r="A476" i="1"/>
  <c r="U478" i="1" l="1"/>
  <c r="A477" i="1"/>
  <c r="U479" i="1" l="1"/>
  <c r="A478" i="1"/>
  <c r="A479" i="1" l="1"/>
  <c r="U480" i="1"/>
  <c r="U481" i="1" l="1"/>
  <c r="A480" i="1"/>
  <c r="U482" i="1" l="1"/>
  <c r="A481" i="1"/>
  <c r="U483" i="1" l="1"/>
  <c r="A482" i="1"/>
  <c r="A483" i="1" l="1"/>
  <c r="U484" i="1"/>
  <c r="A484" i="1" l="1"/>
  <c r="U485" i="1"/>
  <c r="U486" i="1" l="1"/>
  <c r="A485" i="1"/>
  <c r="U487" i="1" l="1"/>
  <c r="A486" i="1"/>
  <c r="A487" i="1" l="1"/>
  <c r="U488" i="1"/>
  <c r="U489" i="1" l="1"/>
  <c r="A488" i="1"/>
  <c r="A489" i="1" l="1"/>
  <c r="U490" i="1"/>
  <c r="U491" i="1" l="1"/>
  <c r="A490" i="1"/>
  <c r="A491" i="1" l="1"/>
  <c r="U492" i="1"/>
  <c r="U493" i="1" l="1"/>
  <c r="A492" i="1"/>
  <c r="A493" i="1" l="1"/>
  <c r="U494" i="1"/>
  <c r="U495" i="1" l="1"/>
  <c r="A494" i="1"/>
  <c r="A495" i="1" l="1"/>
  <c r="U496" i="1"/>
  <c r="A496" i="1" l="1"/>
  <c r="U497" i="1"/>
  <c r="U498" i="1" l="1"/>
  <c r="A497" i="1"/>
  <c r="U499" i="1" l="1"/>
  <c r="A498" i="1"/>
  <c r="A499" i="1" l="1"/>
  <c r="U500" i="1"/>
  <c r="U501" i="1" l="1"/>
  <c r="A500" i="1"/>
  <c r="A501" i="1" l="1"/>
  <c r="U502" i="1"/>
  <c r="U503" i="1" l="1"/>
  <c r="A502" i="1"/>
  <c r="U504" i="1" l="1"/>
  <c r="A503" i="1"/>
  <c r="A504" i="1" l="1"/>
  <c r="U505" i="1"/>
  <c r="U506" i="1" l="1"/>
  <c r="A505" i="1"/>
  <c r="A506" i="1" l="1"/>
  <c r="U508" i="1"/>
  <c r="U509" i="1" l="1"/>
  <c r="A508" i="1"/>
  <c r="U510" i="1" l="1"/>
  <c r="A509" i="1"/>
  <c r="A510" i="1" l="1"/>
  <c r="U511" i="1"/>
  <c r="U512" i="1" l="1"/>
  <c r="A511" i="1"/>
  <c r="U513" i="1" l="1"/>
  <c r="A512" i="1"/>
  <c r="U514" i="1" l="1"/>
  <c r="A513" i="1"/>
  <c r="U515" i="1" l="1"/>
  <c r="A514" i="1"/>
  <c r="A515" i="1" l="1"/>
  <c r="U516" i="1"/>
  <c r="A516" i="1" l="1"/>
  <c r="U517" i="1"/>
  <c r="U518" i="1" l="1"/>
  <c r="A517" i="1"/>
  <c r="A518" i="1" l="1"/>
  <c r="U519" i="1"/>
  <c r="U520" i="1" l="1"/>
  <c r="A519" i="1"/>
  <c r="A520" i="1" l="1"/>
  <c r="U521" i="1"/>
  <c r="U522" i="1" l="1"/>
  <c r="A521" i="1"/>
  <c r="A522" i="1" l="1"/>
  <c r="U523" i="1"/>
  <c r="U524" i="1" l="1"/>
  <c r="A523" i="1"/>
  <c r="U525" i="1" l="1"/>
  <c r="A524" i="1"/>
  <c r="U526" i="1" l="1"/>
  <c r="A525" i="1"/>
  <c r="U527" i="1" l="1"/>
  <c r="A526" i="1"/>
  <c r="A527" i="1" l="1"/>
  <c r="U528" i="1"/>
  <c r="A528" i="1" l="1"/>
  <c r="U529" i="1"/>
  <c r="A529" i="1" l="1"/>
  <c r="U530" i="1"/>
  <c r="U531" i="1" l="1"/>
  <c r="A530" i="1"/>
  <c r="A531" i="1" l="1"/>
  <c r="U532" i="1"/>
  <c r="A532" i="1" l="1"/>
  <c r="U533" i="1"/>
  <c r="A533" i="1" l="1"/>
  <c r="U534" i="1"/>
  <c r="U535" i="1" l="1"/>
  <c r="A534" i="1"/>
  <c r="A535" i="1" l="1"/>
  <c r="U536" i="1"/>
  <c r="U537" i="1" l="1"/>
  <c r="A536" i="1"/>
  <c r="A537" i="1" l="1"/>
  <c r="U538" i="1"/>
  <c r="U539" i="1" l="1"/>
  <c r="A538" i="1"/>
  <c r="U540" i="1" l="1"/>
  <c r="A539" i="1"/>
  <c r="A540" i="1" l="1"/>
  <c r="U541" i="1"/>
  <c r="U542" i="1" l="1"/>
  <c r="A541" i="1"/>
  <c r="U543" i="1" l="1"/>
  <c r="A542" i="1"/>
  <c r="U544" i="1" l="1"/>
  <c r="A543" i="1"/>
  <c r="U545" i="1" l="1"/>
  <c r="A544" i="1"/>
  <c r="A545" i="1" l="1"/>
  <c r="U546" i="1"/>
  <c r="U547" i="1" l="1"/>
  <c r="A546" i="1"/>
  <c r="U548" i="1" l="1"/>
  <c r="A547" i="1"/>
  <c r="U549" i="1" l="1"/>
  <c r="A548" i="1"/>
  <c r="U550" i="1" l="1"/>
  <c r="A549" i="1"/>
  <c r="A550" i="1" l="1"/>
  <c r="U551" i="1"/>
  <c r="U552" i="1" l="1"/>
  <c r="A551" i="1"/>
  <c r="A552" i="1" l="1"/>
  <c r="U554" i="1"/>
  <c r="U555" i="1" l="1"/>
  <c r="A554" i="1"/>
  <c r="A555" i="1" l="1"/>
  <c r="U556" i="1"/>
  <c r="A556" i="1" l="1"/>
  <c r="U557" i="1"/>
  <c r="U558" i="1" l="1"/>
  <c r="A557" i="1"/>
  <c r="A558" i="1" l="1"/>
  <c r="U559" i="1"/>
  <c r="U560" i="1" l="1"/>
  <c r="A559" i="1"/>
  <c r="U561" i="1" l="1"/>
  <c r="A560" i="1"/>
  <c r="A561" i="1" l="1"/>
  <c r="U562" i="1"/>
  <c r="U563" i="1" l="1"/>
  <c r="A562" i="1"/>
  <c r="U564" i="1" l="1"/>
  <c r="A563" i="1"/>
  <c r="A564" i="1" l="1"/>
  <c r="U565" i="1"/>
  <c r="U566" i="1" l="1"/>
  <c r="A565" i="1"/>
  <c r="U567" i="1" l="1"/>
  <c r="A566" i="1"/>
  <c r="U568" i="1" l="1"/>
  <c r="A567" i="1"/>
  <c r="A568" i="1" l="1"/>
  <c r="U569" i="1"/>
  <c r="A569" i="1" l="1"/>
  <c r="U570" i="1"/>
  <c r="U571" i="1" l="1"/>
  <c r="A570" i="1"/>
  <c r="A571" i="1" l="1"/>
  <c r="U572" i="1"/>
  <c r="U573" i="1" l="1"/>
  <c r="A572" i="1"/>
  <c r="U574" i="1" l="1"/>
  <c r="A573" i="1"/>
  <c r="A574" i="1" l="1"/>
  <c r="U575" i="1"/>
  <c r="A575" i="1" l="1"/>
  <c r="U576" i="1"/>
  <c r="A576" i="1" l="1"/>
  <c r="U577" i="1"/>
  <c r="U578" i="1" l="1"/>
  <c r="A577" i="1"/>
  <c r="U579" i="1" l="1"/>
  <c r="A578" i="1"/>
  <c r="A579" i="1" l="1"/>
  <c r="U580" i="1"/>
  <c r="U581" i="1" l="1"/>
  <c r="A580" i="1"/>
  <c r="U582" i="1" l="1"/>
  <c r="A581" i="1"/>
  <c r="U583" i="1" l="1"/>
  <c r="A582" i="1"/>
  <c r="A583" i="1" l="1"/>
  <c r="U584" i="1"/>
  <c r="A584" i="1" l="1"/>
  <c r="U585" i="1"/>
  <c r="A585" i="1" l="1"/>
  <c r="U586" i="1"/>
  <c r="A586" i="1" l="1"/>
  <c r="U587" i="1"/>
  <c r="U588" i="1" l="1"/>
  <c r="A587" i="1"/>
  <c r="A588" i="1" l="1"/>
  <c r="U589" i="1"/>
  <c r="U590" i="1" l="1"/>
  <c r="A589" i="1"/>
  <c r="U591" i="1" l="1"/>
  <c r="A590" i="1"/>
  <c r="A591" i="1" l="1"/>
  <c r="U592" i="1"/>
  <c r="A592" i="1" l="1"/>
  <c r="U593" i="1"/>
  <c r="U594" i="1" l="1"/>
  <c r="A593" i="1"/>
  <c r="A594" i="1" l="1"/>
  <c r="U595" i="1"/>
  <c r="U596" i="1" l="1"/>
  <c r="A595" i="1"/>
  <c r="A596" i="1" l="1"/>
  <c r="U597" i="1"/>
  <c r="U598" i="1" l="1"/>
  <c r="A597" i="1"/>
  <c r="A598" i="1" l="1"/>
  <c r="U600" i="1"/>
  <c r="U601" i="1" l="1"/>
  <c r="A600" i="1"/>
  <c r="U602" i="1" l="1"/>
  <c r="A601" i="1"/>
  <c r="U603" i="1" l="1"/>
  <c r="A602" i="1"/>
  <c r="A603" i="1" l="1"/>
  <c r="U604" i="1"/>
  <c r="A604" i="1" l="1"/>
  <c r="U605" i="1"/>
  <c r="U606" i="1" l="1"/>
  <c r="A605" i="1"/>
  <c r="U607" i="1" l="1"/>
  <c r="A606" i="1"/>
  <c r="A607" i="1" l="1"/>
  <c r="U608" i="1"/>
  <c r="U609" i="1" l="1"/>
  <c r="A608" i="1"/>
  <c r="A609" i="1" l="1"/>
  <c r="U610" i="1"/>
  <c r="A610" i="1" l="1"/>
  <c r="U611" i="1"/>
  <c r="U612" i="1" l="1"/>
  <c r="A611" i="1"/>
  <c r="U613" i="1" l="1"/>
  <c r="A612" i="1"/>
  <c r="U614" i="1" l="1"/>
  <c r="A613" i="1"/>
  <c r="A614" i="1" l="1"/>
  <c r="U615" i="1"/>
  <c r="U616" i="1" l="1"/>
  <c r="A615" i="1"/>
  <c r="U617" i="1" l="1"/>
  <c r="A616" i="1"/>
  <c r="U618" i="1" l="1"/>
  <c r="A617" i="1"/>
  <c r="U619" i="1" l="1"/>
  <c r="A618" i="1"/>
  <c r="A619" i="1" l="1"/>
  <c r="U620" i="1"/>
  <c r="A620" i="1" l="1"/>
  <c r="U621" i="1"/>
  <c r="A621" i="1" l="1"/>
  <c r="U622" i="1"/>
  <c r="A622" i="1" l="1"/>
  <c r="U623" i="1"/>
  <c r="U624" i="1" l="1"/>
  <c r="A623" i="1"/>
  <c r="U625" i="1" l="1"/>
  <c r="A624" i="1"/>
  <c r="A625" i="1" l="1"/>
  <c r="U626" i="1"/>
  <c r="U627" i="1" l="1"/>
  <c r="A626" i="1"/>
  <c r="A627" i="1" l="1"/>
  <c r="U628" i="1"/>
  <c r="U629" i="1" l="1"/>
  <c r="A628" i="1"/>
  <c r="A629" i="1" l="1"/>
  <c r="U630" i="1"/>
  <c r="A630" i="1" l="1"/>
  <c r="U631" i="1"/>
  <c r="A631" i="1" l="1"/>
  <c r="U632" i="1"/>
  <c r="A632" i="1" l="1"/>
  <c r="U633" i="1"/>
  <c r="U634" i="1" l="1"/>
  <c r="A633" i="1"/>
  <c r="U635" i="1" l="1"/>
  <c r="A634" i="1"/>
  <c r="U636" i="1" l="1"/>
  <c r="A635" i="1"/>
  <c r="U637" i="1" l="1"/>
  <c r="A636" i="1"/>
  <c r="A637" i="1" l="1"/>
  <c r="U638" i="1"/>
  <c r="U639" i="1" l="1"/>
  <c r="A638" i="1"/>
  <c r="A639" i="1" l="1"/>
  <c r="U640" i="1"/>
  <c r="U641" i="1" l="1"/>
  <c r="A640" i="1"/>
  <c r="U642" i="1" l="1"/>
  <c r="A641" i="1"/>
  <c r="A642" i="1" l="1"/>
  <c r="U643" i="1"/>
  <c r="U644" i="1" l="1"/>
  <c r="A643" i="1"/>
  <c r="A644" i="1" l="1"/>
  <c r="U646" i="1"/>
  <c r="U647" i="1" l="1"/>
  <c r="A646" i="1"/>
  <c r="A647" i="1" l="1"/>
  <c r="U648" i="1"/>
  <c r="A648" i="1" l="1"/>
  <c r="U649" i="1"/>
  <c r="U650" i="1" l="1"/>
  <c r="A649" i="1"/>
  <c r="U651" i="1" l="1"/>
  <c r="A650" i="1"/>
  <c r="U652" i="1" l="1"/>
  <c r="A651" i="1"/>
  <c r="U653" i="1" l="1"/>
  <c r="A652" i="1"/>
  <c r="U654" i="1" l="1"/>
  <c r="A653" i="1"/>
  <c r="U655" i="1" l="1"/>
  <c r="A654" i="1"/>
  <c r="U656" i="1" l="1"/>
  <c r="A655" i="1"/>
  <c r="A656" i="1" l="1"/>
  <c r="U657" i="1"/>
  <c r="A657" i="1" l="1"/>
  <c r="U658" i="1"/>
  <c r="U659" i="1" l="1"/>
  <c r="A658" i="1"/>
  <c r="U660" i="1" l="1"/>
  <c r="A659" i="1"/>
  <c r="A660" i="1" l="1"/>
  <c r="U661" i="1"/>
  <c r="U662" i="1" l="1"/>
  <c r="A661" i="1"/>
  <c r="U663" i="1" l="1"/>
  <c r="A662" i="1"/>
  <c r="A663" i="1" l="1"/>
  <c r="U664" i="1"/>
  <c r="A664" i="1" l="1"/>
  <c r="U665" i="1"/>
  <c r="U666" i="1" l="1"/>
  <c r="A665" i="1"/>
  <c r="A666" i="1" l="1"/>
  <c r="U667" i="1"/>
  <c r="U668" i="1" l="1"/>
  <c r="A667" i="1"/>
  <c r="A668" i="1" l="1"/>
  <c r="U669" i="1"/>
  <c r="A669" i="1" l="1"/>
  <c r="U670" i="1"/>
  <c r="U671" i="1" l="1"/>
  <c r="A670" i="1"/>
  <c r="A671" i="1" l="1"/>
  <c r="U672" i="1"/>
  <c r="U673" i="1" l="1"/>
  <c r="A672" i="1"/>
  <c r="A673" i="1" l="1"/>
  <c r="U674" i="1"/>
  <c r="U675" i="1" l="1"/>
  <c r="A674" i="1"/>
  <c r="A675" i="1" l="1"/>
  <c r="U676" i="1"/>
  <c r="A676" i="1" l="1"/>
  <c r="U677" i="1"/>
  <c r="A677" i="1" l="1"/>
  <c r="U678" i="1"/>
  <c r="U679" i="1" l="1"/>
  <c r="A678" i="1"/>
  <c r="U680" i="1" l="1"/>
  <c r="A679" i="1"/>
  <c r="A680" i="1" l="1"/>
  <c r="U681" i="1"/>
  <c r="U682" i="1" l="1"/>
  <c r="A681" i="1"/>
  <c r="A682" i="1" l="1"/>
  <c r="U683" i="1"/>
  <c r="A683" i="1" l="1"/>
  <c r="U684" i="1"/>
  <c r="U685" i="1" l="1"/>
  <c r="A684" i="1"/>
  <c r="A685" i="1" l="1"/>
  <c r="U686" i="1"/>
  <c r="U687" i="1" l="1"/>
  <c r="A686" i="1"/>
  <c r="A687" i="1" l="1"/>
  <c r="U688" i="1"/>
  <c r="U689" i="1" l="1"/>
  <c r="A688" i="1"/>
  <c r="A689" i="1" l="1"/>
  <c r="U690" i="1"/>
  <c r="A690" i="1" l="1"/>
  <c r="U692" i="1"/>
  <c r="U693" i="1" l="1"/>
  <c r="A692" i="1"/>
  <c r="U694" i="1" l="1"/>
  <c r="A693" i="1"/>
  <c r="A694" i="1" l="1"/>
  <c r="U695" i="1"/>
  <c r="U696" i="1" l="1"/>
  <c r="A695" i="1"/>
  <c r="U697" i="1" l="1"/>
  <c r="A696" i="1"/>
  <c r="A697" i="1" l="1"/>
  <c r="U698" i="1"/>
  <c r="U699" i="1" l="1"/>
  <c r="A698" i="1"/>
  <c r="U700" i="1" l="1"/>
  <c r="A699" i="1"/>
  <c r="U701" i="1" l="1"/>
  <c r="A700" i="1"/>
  <c r="U702" i="1" l="1"/>
  <c r="A701" i="1"/>
  <c r="A702" i="1" l="1"/>
  <c r="U703" i="1"/>
  <c r="U704" i="1" l="1"/>
  <c r="A703" i="1"/>
  <c r="U705" i="1" l="1"/>
  <c r="A704" i="1"/>
  <c r="U706" i="1" l="1"/>
  <c r="A705" i="1"/>
  <c r="A706" i="1" l="1"/>
  <c r="U707" i="1"/>
  <c r="A707" i="1" l="1"/>
  <c r="U708" i="1"/>
  <c r="U709" i="1" l="1"/>
  <c r="A708" i="1"/>
  <c r="A709" i="1" l="1"/>
  <c r="U710" i="1"/>
  <c r="U711" i="1" l="1"/>
  <c r="A710" i="1"/>
  <c r="A711" i="1" l="1"/>
  <c r="U712" i="1"/>
  <c r="A712" i="1" l="1"/>
  <c r="U713" i="1"/>
  <c r="A713" i="1" l="1"/>
  <c r="U714" i="1"/>
  <c r="A714" i="1" l="1"/>
  <c r="U715" i="1"/>
  <c r="U716" i="1" l="1"/>
  <c r="A715" i="1"/>
  <c r="A716" i="1" l="1"/>
  <c r="U717" i="1"/>
  <c r="A717" i="1" l="1"/>
  <c r="U718" i="1"/>
  <c r="A718" i="1" l="1"/>
  <c r="U719" i="1"/>
  <c r="A719" i="1" l="1"/>
  <c r="U720" i="1"/>
  <c r="U721" i="1" l="1"/>
  <c r="A720" i="1"/>
  <c r="U722" i="1" l="1"/>
  <c r="A721" i="1"/>
  <c r="A722" i="1" l="1"/>
  <c r="U723" i="1"/>
  <c r="U724" i="1" l="1"/>
  <c r="A723" i="1"/>
  <c r="A724" i="1" l="1"/>
  <c r="U725" i="1"/>
  <c r="U726" i="1" l="1"/>
  <c r="A725" i="1"/>
  <c r="A726" i="1" l="1"/>
  <c r="U727" i="1"/>
  <c r="U728" i="1" l="1"/>
  <c r="A727" i="1"/>
  <c r="A728" i="1" l="1"/>
  <c r="U729" i="1"/>
  <c r="A729" i="1" l="1"/>
  <c r="U730" i="1"/>
  <c r="U731" i="1" l="1"/>
  <c r="A730" i="1"/>
  <c r="A731" i="1" l="1"/>
  <c r="U732" i="1"/>
  <c r="U733" i="1" l="1"/>
  <c r="A732" i="1"/>
  <c r="U734" i="1" l="1"/>
  <c r="A733" i="1"/>
  <c r="A734" i="1" l="1"/>
  <c r="U735" i="1"/>
  <c r="A735" i="1" l="1"/>
  <c r="U736" i="1"/>
  <c r="A736" i="1" l="1"/>
  <c r="U738" i="1"/>
  <c r="U739" i="1" l="1"/>
  <c r="A738" i="1"/>
  <c r="A739" i="1" l="1"/>
  <c r="U740" i="1"/>
  <c r="U741" i="1" l="1"/>
  <c r="A740" i="1"/>
  <c r="U742" i="1" l="1"/>
  <c r="A741" i="1"/>
  <c r="U743" i="1" l="1"/>
  <c r="A742" i="1"/>
  <c r="A743" i="1" l="1"/>
  <c r="U744" i="1"/>
  <c r="U745" i="1" l="1"/>
  <c r="A744" i="1"/>
  <c r="U746" i="1" l="1"/>
  <c r="A745" i="1"/>
  <c r="A746" i="1" l="1"/>
  <c r="U747" i="1"/>
  <c r="U748" i="1" l="1"/>
  <c r="A747" i="1"/>
  <c r="U749" i="1" l="1"/>
  <c r="A748" i="1"/>
  <c r="U750" i="1" l="1"/>
  <c r="A749" i="1"/>
  <c r="U751" i="1" l="1"/>
  <c r="A750" i="1"/>
  <c r="U752" i="1" l="1"/>
  <c r="A751" i="1"/>
  <c r="A752" i="1" l="1"/>
  <c r="U753" i="1"/>
  <c r="U754" i="1" l="1"/>
  <c r="A753" i="1"/>
  <c r="U755" i="1" l="1"/>
  <c r="A754" i="1"/>
  <c r="A755" i="1" l="1"/>
  <c r="U756" i="1"/>
  <c r="A756" i="1" l="1"/>
  <c r="U757" i="1"/>
  <c r="A757" i="1" l="1"/>
  <c r="U758" i="1"/>
  <c r="A758" i="1" l="1"/>
  <c r="U759" i="1"/>
  <c r="A759" i="1" l="1"/>
  <c r="U760" i="1"/>
  <c r="A760" i="1" l="1"/>
  <c r="U761" i="1"/>
  <c r="U762" i="1" l="1"/>
  <c r="A761" i="1"/>
  <c r="A762" i="1" l="1"/>
  <c r="U763" i="1"/>
  <c r="A763" i="1" l="1"/>
  <c r="U764" i="1"/>
  <c r="U765" i="1" l="1"/>
  <c r="A764" i="1"/>
  <c r="A765" i="1" l="1"/>
  <c r="U766" i="1"/>
  <c r="U767" i="1" l="1"/>
  <c r="A766" i="1"/>
  <c r="A767" i="1" l="1"/>
  <c r="U768" i="1"/>
  <c r="U769" i="1" l="1"/>
  <c r="A768" i="1"/>
  <c r="U770" i="1" l="1"/>
  <c r="A769" i="1"/>
  <c r="A770" i="1" l="1"/>
  <c r="U771" i="1"/>
  <c r="U772" i="1" l="1"/>
  <c r="A771" i="1"/>
  <c r="U773" i="1" l="1"/>
  <c r="A772" i="1"/>
  <c r="U774" i="1" l="1"/>
  <c r="A773" i="1"/>
  <c r="A774" i="1" l="1"/>
  <c r="U775" i="1"/>
  <c r="A775" i="1" l="1"/>
  <c r="U776" i="1"/>
  <c r="U777" i="1" l="1"/>
  <c r="A776" i="1"/>
  <c r="A777" i="1" l="1"/>
  <c r="U778" i="1"/>
  <c r="U779" i="1" l="1"/>
  <c r="A778" i="1"/>
  <c r="U780" i="1" l="1"/>
  <c r="A779" i="1"/>
  <c r="A780" i="1" l="1"/>
  <c r="U781" i="1"/>
  <c r="U782" i="1" l="1"/>
  <c r="A781" i="1"/>
  <c r="A782" i="1" l="1"/>
  <c r="U784" i="1"/>
  <c r="U785" i="1" l="1"/>
  <c r="A784" i="1"/>
  <c r="U786" i="1" l="1"/>
  <c r="A785" i="1"/>
  <c r="U787" i="1" l="1"/>
  <c r="A786" i="1"/>
  <c r="A787" i="1" l="1"/>
  <c r="U788" i="1"/>
  <c r="U789" i="1" l="1"/>
  <c r="A788" i="1"/>
  <c r="U790" i="1" l="1"/>
  <c r="A789" i="1"/>
  <c r="A790" i="1" l="1"/>
  <c r="U791" i="1"/>
  <c r="U792" i="1" l="1"/>
  <c r="A791" i="1"/>
  <c r="U793" i="1" l="1"/>
  <c r="A792" i="1"/>
  <c r="U794" i="1" l="1"/>
  <c r="A793" i="1"/>
  <c r="A794" i="1" l="1"/>
  <c r="U795" i="1"/>
  <c r="U796" i="1" l="1"/>
  <c r="A795" i="1"/>
  <c r="U797" i="1" l="1"/>
  <c r="A796" i="1"/>
  <c r="U798" i="1" l="1"/>
  <c r="A797" i="1"/>
  <c r="A798" i="1" l="1"/>
  <c r="U799" i="1"/>
  <c r="A799" i="1" l="1"/>
  <c r="U800" i="1"/>
  <c r="U801" i="1" l="1"/>
  <c r="A800" i="1"/>
  <c r="A801" i="1" l="1"/>
  <c r="U802" i="1"/>
  <c r="U803" i="1" l="1"/>
  <c r="A802" i="1"/>
  <c r="A803" i="1" l="1"/>
  <c r="U804" i="1"/>
  <c r="A804" i="1" l="1"/>
  <c r="U805" i="1"/>
  <c r="A805" i="1" l="1"/>
  <c r="U806" i="1"/>
  <c r="A806" i="1" l="1"/>
  <c r="U807" i="1"/>
  <c r="U808" i="1" l="1"/>
  <c r="A807" i="1"/>
  <c r="U809" i="1" l="1"/>
  <c r="A808" i="1"/>
  <c r="A809" i="1" l="1"/>
  <c r="U810" i="1"/>
  <c r="U811" i="1" l="1"/>
  <c r="A810" i="1"/>
  <c r="A811" i="1" l="1"/>
  <c r="U812" i="1"/>
  <c r="U813" i="1" l="1"/>
  <c r="A812" i="1"/>
  <c r="U814" i="1" l="1"/>
  <c r="A813" i="1"/>
  <c r="A814" i="1" l="1"/>
  <c r="U815" i="1"/>
  <c r="U816" i="1" l="1"/>
  <c r="A815" i="1"/>
  <c r="A816" i="1" l="1"/>
  <c r="U817" i="1"/>
  <c r="U818" i="1" l="1"/>
  <c r="A817" i="1"/>
  <c r="U819" i="1" l="1"/>
  <c r="A818" i="1"/>
  <c r="U820" i="1" l="1"/>
  <c r="A819" i="1"/>
  <c r="U821" i="1" l="1"/>
  <c r="A820" i="1"/>
  <c r="A821" i="1" l="1"/>
  <c r="U822" i="1"/>
  <c r="U823" i="1" l="1"/>
  <c r="A822" i="1"/>
  <c r="A823" i="1" l="1"/>
  <c r="U824" i="1"/>
  <c r="U825" i="1" l="1"/>
  <c r="A824" i="1"/>
  <c r="U826" i="1" l="1"/>
  <c r="A825" i="1"/>
  <c r="A826" i="1" l="1"/>
  <c r="U827" i="1"/>
  <c r="U828" i="1" l="1"/>
  <c r="A827" i="1"/>
  <c r="A828" i="1" l="1"/>
  <c r="U830" i="1"/>
  <c r="U831" i="1" l="1"/>
  <c r="A830" i="1"/>
  <c r="U832" i="1" l="1"/>
  <c r="A831" i="1"/>
  <c r="U833" i="1" l="1"/>
  <c r="A832" i="1"/>
  <c r="A833" i="1" l="1"/>
  <c r="U834" i="1"/>
  <c r="U835" i="1" l="1"/>
  <c r="A834" i="1"/>
  <c r="A835" i="1" l="1"/>
  <c r="U836" i="1"/>
  <c r="U837" i="1" l="1"/>
  <c r="A836" i="1"/>
  <c r="A837" i="1" l="1"/>
  <c r="U838" i="1"/>
  <c r="U839" i="1" l="1"/>
  <c r="A838" i="1"/>
  <c r="A839" i="1" l="1"/>
  <c r="U840" i="1"/>
  <c r="A840" i="1" l="1"/>
  <c r="U841" i="1"/>
  <c r="A841" i="1" l="1"/>
  <c r="U842" i="1"/>
  <c r="U843" i="1" l="1"/>
  <c r="A842" i="1"/>
  <c r="U844" i="1" l="1"/>
  <c r="A843" i="1"/>
  <c r="A844" i="1" l="1"/>
  <c r="U845" i="1"/>
  <c r="U846" i="1" l="1"/>
  <c r="A845" i="1"/>
  <c r="U847" i="1" l="1"/>
  <c r="A846" i="1"/>
  <c r="A847" i="1" l="1"/>
  <c r="U848" i="1"/>
  <c r="U849" i="1" l="1"/>
  <c r="A848" i="1"/>
  <c r="A849" i="1" l="1"/>
  <c r="U850" i="1"/>
  <c r="A850" i="1" l="1"/>
  <c r="U851" i="1"/>
  <c r="A851" i="1" l="1"/>
  <c r="U852" i="1"/>
  <c r="A852" i="1" l="1"/>
  <c r="U853" i="1"/>
  <c r="U854" i="1" l="1"/>
  <c r="A853" i="1"/>
  <c r="U855" i="1" l="1"/>
  <c r="A854" i="1"/>
  <c r="A855" i="1" l="1"/>
  <c r="U856" i="1"/>
  <c r="U857" i="1" l="1"/>
  <c r="A856" i="1"/>
  <c r="A857" i="1" l="1"/>
  <c r="U858" i="1"/>
  <c r="U859" i="1" l="1"/>
  <c r="A858" i="1"/>
  <c r="A859" i="1" l="1"/>
  <c r="U860" i="1"/>
  <c r="A860" i="1" l="1"/>
  <c r="U861" i="1"/>
  <c r="A861" i="1" l="1"/>
  <c r="U862" i="1"/>
  <c r="A862" i="1" l="1"/>
  <c r="U863" i="1"/>
  <c r="U864" i="1" l="1"/>
  <c r="A863" i="1"/>
  <c r="U865" i="1" l="1"/>
  <c r="A864" i="1"/>
  <c r="U866" i="1" l="1"/>
  <c r="A865" i="1"/>
  <c r="U867" i="1" l="1"/>
  <c r="A866" i="1"/>
  <c r="A867" i="1" l="1"/>
  <c r="U868" i="1"/>
  <c r="U869" i="1" l="1"/>
  <c r="A868" i="1"/>
  <c r="A869" i="1" l="1"/>
  <c r="U870" i="1"/>
  <c r="U871" i="1" l="1"/>
  <c r="A870" i="1"/>
  <c r="U872" i="1" l="1"/>
  <c r="A871" i="1"/>
  <c r="A872" i="1" l="1"/>
  <c r="U873" i="1"/>
  <c r="U874" i="1" l="1"/>
  <c r="A873" i="1"/>
  <c r="A874" i="1" l="1"/>
  <c r="U876" i="1"/>
  <c r="A876" i="1" l="1"/>
  <c r="U877" i="1"/>
  <c r="U878" i="1" l="1"/>
  <c r="A877" i="1"/>
  <c r="A878" i="1" l="1"/>
  <c r="U879" i="1"/>
  <c r="A879" i="1" l="1"/>
  <c r="U880" i="1"/>
  <c r="U881" i="1" l="1"/>
  <c r="A880" i="1"/>
  <c r="U882" i="1" l="1"/>
  <c r="A881" i="1"/>
  <c r="A882" i="1" l="1"/>
  <c r="U883" i="1"/>
  <c r="U884" i="1" l="1"/>
  <c r="A883" i="1"/>
  <c r="A884" i="1" l="1"/>
  <c r="U885" i="1"/>
  <c r="U886" i="1" l="1"/>
  <c r="A885" i="1"/>
  <c r="A886" i="1" l="1"/>
  <c r="U887" i="1"/>
  <c r="U888" i="1" l="1"/>
  <c r="A887" i="1"/>
  <c r="U889" i="1" l="1"/>
  <c r="A888" i="1"/>
  <c r="U890" i="1" l="1"/>
  <c r="A889" i="1"/>
  <c r="A890" i="1" l="1"/>
  <c r="U891" i="1"/>
  <c r="A891" i="1" l="1"/>
  <c r="U892" i="1"/>
  <c r="U893" i="1" l="1"/>
  <c r="A892" i="1"/>
  <c r="A893" i="1" l="1"/>
  <c r="U894" i="1"/>
  <c r="U895" i="1" l="1"/>
  <c r="A894" i="1"/>
  <c r="A895" i="1" l="1"/>
  <c r="U896" i="1"/>
  <c r="A896" i="1" l="1"/>
  <c r="U897" i="1"/>
  <c r="A897" i="1" l="1"/>
  <c r="U898" i="1"/>
  <c r="A898" i="1" l="1"/>
  <c r="U899" i="1"/>
  <c r="U900" i="1" l="1"/>
  <c r="A899" i="1"/>
  <c r="U901" i="1" l="1"/>
  <c r="A900" i="1"/>
  <c r="A901" i="1" l="1"/>
  <c r="U902" i="1"/>
  <c r="U903" i="1" l="1"/>
  <c r="A902" i="1"/>
  <c r="A903" i="1" l="1"/>
  <c r="U904" i="1"/>
  <c r="U905" i="1" l="1"/>
  <c r="A904" i="1"/>
  <c r="A905" i="1" l="1"/>
  <c r="U906" i="1"/>
  <c r="U907" i="1" l="1"/>
  <c r="A906" i="1"/>
  <c r="A907" i="1" l="1"/>
  <c r="U908" i="1"/>
  <c r="A908" i="1" l="1"/>
  <c r="U909" i="1"/>
  <c r="U910" i="1" l="1"/>
  <c r="A909" i="1"/>
  <c r="U911" i="1" l="1"/>
  <c r="A910" i="1"/>
  <c r="U912" i="1" l="1"/>
  <c r="A911" i="1"/>
  <c r="U913" i="1" l="1"/>
  <c r="A912" i="1"/>
  <c r="A913" i="1" l="1"/>
  <c r="U914" i="1"/>
  <c r="U915" i="1" l="1"/>
  <c r="A914" i="1"/>
  <c r="U916" i="1" l="1"/>
  <c r="A915" i="1"/>
  <c r="U917" i="1" l="1"/>
  <c r="A916" i="1"/>
  <c r="U918" i="1" l="1"/>
  <c r="A917" i="1"/>
  <c r="A918" i="1" l="1"/>
  <c r="U919" i="1"/>
  <c r="U920" i="1" l="1"/>
  <c r="A919" i="1"/>
  <c r="BQ9" i="3" l="1"/>
  <c r="BU10" i="3"/>
  <c r="CI7" i="3"/>
  <c r="BZ11" i="3"/>
  <c r="CA25" i="3"/>
  <c r="BR19" i="3"/>
  <c r="CD16" i="3"/>
  <c r="CB22" i="3"/>
  <c r="BQ14" i="3"/>
  <c r="CD10" i="3"/>
  <c r="BQ13" i="3"/>
  <c r="CD25" i="3"/>
  <c r="CE19" i="3"/>
  <c r="BR22" i="3"/>
  <c r="CG9" i="3"/>
  <c r="CE9" i="3"/>
  <c r="CH23" i="3"/>
  <c r="CF19" i="3"/>
  <c r="CG13" i="3"/>
  <c r="CH12" i="3"/>
  <c r="BS22" i="3"/>
  <c r="BP24" i="3"/>
  <c r="CE24" i="3"/>
  <c r="CD8" i="3"/>
  <c r="CA10" i="3"/>
  <c r="CH17" i="3"/>
  <c r="CA21" i="3"/>
  <c r="BQ6" i="3"/>
  <c r="CI15" i="3"/>
  <c r="CD6" i="3"/>
  <c r="CI25" i="3"/>
  <c r="BZ22" i="3"/>
  <c r="CI10" i="3"/>
  <c r="CH11" i="3"/>
  <c r="CG8" i="3"/>
  <c r="BS24" i="3"/>
  <c r="CA7" i="3"/>
  <c r="CB16" i="3"/>
  <c r="CF12" i="3"/>
  <c r="CB18" i="3"/>
  <c r="CI6" i="3"/>
  <c r="CC21" i="3"/>
  <c r="BR21" i="3"/>
  <c r="CD21" i="3"/>
  <c r="CD20" i="3"/>
  <c r="CH13" i="3"/>
  <c r="CF24" i="3"/>
  <c r="CB10" i="3"/>
  <c r="CI13" i="3"/>
  <c r="BS19" i="3"/>
  <c r="CG15" i="3"/>
  <c r="CI9" i="3"/>
  <c r="CD14" i="3"/>
  <c r="BZ24" i="3"/>
  <c r="CC20" i="3"/>
  <c r="CG19" i="3"/>
  <c r="CE8" i="3"/>
  <c r="CI22" i="3"/>
  <c r="CB21" i="3"/>
  <c r="BZ21" i="3"/>
  <c r="BP10" i="3"/>
  <c r="CF10" i="3"/>
  <c r="CE20" i="3"/>
  <c r="CF20" i="3"/>
  <c r="BQ23" i="3"/>
  <c r="CE23" i="3"/>
  <c r="CF11" i="3"/>
  <c r="CB20" i="3"/>
  <c r="CH10" i="3"/>
  <c r="CE21" i="3"/>
  <c r="CB8" i="3"/>
  <c r="CA6" i="3"/>
  <c r="CE22" i="3"/>
  <c r="CC25" i="3"/>
  <c r="CB25" i="3"/>
  <c r="CE17" i="3"/>
  <c r="BZ10" i="3"/>
  <c r="CD18" i="3"/>
  <c r="CE10" i="3"/>
  <c r="CB23" i="3"/>
  <c r="BZ20" i="3"/>
  <c r="BP23" i="3"/>
  <c r="CI16" i="3"/>
  <c r="CF25" i="3"/>
  <c r="CC9" i="3"/>
  <c r="CC13" i="3"/>
  <c r="CD24" i="3"/>
  <c r="CI19" i="3"/>
  <c r="CB11" i="3"/>
  <c r="CC7" i="3"/>
  <c r="CB9" i="3"/>
  <c r="CA12" i="3"/>
  <c r="BQ17" i="3"/>
  <c r="CI23" i="3"/>
  <c r="CC24" i="3"/>
  <c r="CG24" i="3"/>
  <c r="BW13" i="3"/>
  <c r="BS10" i="3"/>
  <c r="CC22" i="3"/>
  <c r="CC8" i="3"/>
  <c r="CE7" i="3"/>
  <c r="CH15" i="3"/>
  <c r="CA8" i="3"/>
  <c r="CF23" i="3"/>
  <c r="CH14" i="3"/>
  <c r="CF16" i="3"/>
  <c r="CD13" i="3"/>
  <c r="BS21" i="3"/>
  <c r="CA18" i="3"/>
  <c r="CB24" i="3"/>
  <c r="CB7" i="3"/>
  <c r="CD23" i="3"/>
  <c r="CI8" i="3"/>
  <c r="CA22" i="3"/>
  <c r="CF17" i="3"/>
  <c r="CG7" i="3"/>
  <c r="BQ15" i="3"/>
  <c r="CB12" i="3"/>
  <c r="CA16" i="3"/>
  <c r="CE11" i="3"/>
  <c r="BS23" i="3"/>
  <c r="CC19" i="3"/>
  <c r="CH18" i="3"/>
  <c r="BZ23" i="3"/>
  <c r="CG14" i="3"/>
  <c r="CH7" i="3"/>
  <c r="BQ19" i="3"/>
  <c r="BQ10" i="3"/>
  <c r="CH20" i="3"/>
  <c r="CC10" i="3"/>
  <c r="CG20" i="3"/>
  <c r="CB15" i="3"/>
  <c r="CG25" i="3"/>
  <c r="BR23" i="3"/>
  <c r="CE25" i="3"/>
  <c r="CI20" i="3"/>
  <c r="BV10" i="3"/>
  <c r="CC17" i="3"/>
  <c r="CB19" i="3"/>
  <c r="BS20" i="3"/>
  <c r="CA15" i="3"/>
  <c r="CG12" i="3"/>
  <c r="BQ21" i="3"/>
  <c r="CF14" i="3"/>
  <c r="CI21" i="3"/>
  <c r="CF22" i="3"/>
  <c r="CE12" i="3"/>
  <c r="CD9" i="3"/>
  <c r="BP21" i="3"/>
  <c r="CF13" i="3"/>
  <c r="CC11" i="3"/>
  <c r="CH22" i="3"/>
  <c r="CG22" i="3"/>
  <c r="CA24" i="3"/>
  <c r="CA17" i="3"/>
  <c r="CH21" i="3"/>
  <c r="BP20" i="3"/>
  <c r="CD17" i="3"/>
  <c r="CF15" i="3"/>
  <c r="CH16" i="3"/>
  <c r="CC18" i="3"/>
  <c r="BQ12" i="3"/>
  <c r="CE18" i="3"/>
  <c r="CD12" i="3"/>
  <c r="CF18" i="3"/>
  <c r="CB17" i="3"/>
  <c r="BZ19" i="3"/>
  <c r="BP22" i="3"/>
  <c r="CH24" i="3"/>
  <c r="CB13" i="3"/>
  <c r="CE14" i="3"/>
  <c r="CC16" i="3"/>
  <c r="CF9" i="3"/>
  <c r="BT10" i="3"/>
  <c r="CG21" i="3"/>
  <c r="BQ22" i="3"/>
  <c r="BQ16" i="3"/>
  <c r="BR10" i="3"/>
  <c r="CE13" i="3"/>
  <c r="CD11" i="3"/>
  <c r="CD19" i="3"/>
  <c r="CA23" i="3"/>
  <c r="CC12" i="3"/>
  <c r="BR20" i="3"/>
  <c r="BR24" i="3"/>
  <c r="CF6" i="3"/>
  <c r="CG23" i="3"/>
  <c r="CB14" i="3"/>
  <c r="CA9" i="3"/>
  <c r="CA20" i="3"/>
  <c r="CA11" i="3"/>
  <c r="BQ11" i="3"/>
  <c r="CG18" i="3"/>
  <c r="CI14" i="3"/>
  <c r="CD15" i="3"/>
  <c r="CI24" i="3"/>
  <c r="BW10" i="3"/>
  <c r="BP6" i="3"/>
  <c r="BP19" i="3"/>
  <c r="BY22" i="3"/>
  <c r="BU20" i="3"/>
  <c r="CG11" i="3"/>
  <c r="CF8" i="3"/>
  <c r="BY19" i="3"/>
  <c r="BR8" i="3"/>
  <c r="BX13" i="3"/>
  <c r="BQ18" i="3"/>
  <c r="BU11" i="3"/>
  <c r="BV12" i="3"/>
  <c r="BS15" i="3"/>
  <c r="BU12" i="3"/>
  <c r="BP17" i="3"/>
  <c r="BW7" i="3"/>
  <c r="CG6" i="3"/>
  <c r="BR18" i="3"/>
  <c r="BX10" i="3"/>
  <c r="BR9" i="3"/>
  <c r="BR14" i="3"/>
  <c r="CG10" i="3"/>
  <c r="BZ25" i="3"/>
  <c r="BT14" i="3"/>
  <c r="BS12" i="3"/>
  <c r="BY20" i="3"/>
  <c r="BT15" i="3"/>
  <c r="BR11" i="3"/>
  <c r="CA14" i="3"/>
  <c r="BW25" i="3"/>
  <c r="CC6" i="3"/>
  <c r="BP18" i="3"/>
  <c r="BY24" i="3"/>
  <c r="BS11" i="3"/>
  <c r="BS13" i="3"/>
  <c r="BW23" i="3"/>
  <c r="CE16" i="3"/>
  <c r="BV25" i="3"/>
  <c r="BP13" i="3"/>
  <c r="BZ18" i="3"/>
  <c r="CC15" i="3"/>
  <c r="BY7" i="3"/>
  <c r="BR25" i="3"/>
  <c r="BV9" i="3"/>
  <c r="BW15" i="3"/>
  <c r="BW17" i="3"/>
  <c r="BX15" i="3"/>
  <c r="BV23" i="3"/>
  <c r="BV17" i="3"/>
  <c r="BU13" i="3"/>
  <c r="BU14" i="3"/>
  <c r="BS7" i="3"/>
  <c r="BV15" i="3"/>
  <c r="BT8" i="3"/>
  <c r="BX9" i="3"/>
  <c r="BX23" i="3"/>
  <c r="BT17" i="3"/>
  <c r="BZ13" i="3"/>
  <c r="BP16" i="3"/>
  <c r="CD7" i="3"/>
  <c r="BV18" i="3"/>
  <c r="BU7" i="3"/>
  <c r="BP11" i="3"/>
  <c r="BY16" i="3"/>
  <c r="CB6" i="3"/>
  <c r="BT18" i="3"/>
  <c r="BS18" i="3"/>
  <c r="BY6" i="3"/>
  <c r="BU25" i="3"/>
  <c r="BQ25" i="3"/>
  <c r="BP14" i="3"/>
  <c r="BQ24" i="3"/>
  <c r="BU16" i="3"/>
  <c r="BV13" i="3"/>
  <c r="BY9" i="3"/>
  <c r="BZ6" i="3"/>
  <c r="CH9" i="3"/>
  <c r="BX11" i="3"/>
  <c r="BV19" i="3"/>
  <c r="BV6" i="3"/>
  <c r="BY14" i="3"/>
  <c r="BY12" i="3"/>
  <c r="BW19" i="3"/>
  <c r="BP9" i="3"/>
  <c r="CC23" i="3"/>
  <c r="BW9" i="3"/>
  <c r="BQ20" i="3"/>
  <c r="BT20" i="3"/>
  <c r="BX21" i="3"/>
  <c r="CE15" i="3"/>
  <c r="BW6" i="3"/>
  <c r="BR13" i="3"/>
  <c r="BX8" i="3"/>
  <c r="CF7" i="3"/>
  <c r="BX14" i="3"/>
  <c r="BQ8" i="3"/>
  <c r="BS16" i="3"/>
  <c r="BT16" i="3"/>
  <c r="BX7" i="3"/>
  <c r="BU17" i="3"/>
  <c r="BT19" i="3"/>
  <c r="CC14" i="3"/>
  <c r="BU24" i="3"/>
  <c r="BX18" i="3"/>
  <c r="BS25" i="3"/>
  <c r="BZ8" i="3"/>
  <c r="BX24" i="3"/>
  <c r="BY10" i="3"/>
  <c r="BP8" i="3"/>
  <c r="BX17" i="3"/>
  <c r="BW21" i="3"/>
  <c r="BX19" i="3"/>
  <c r="BV24" i="3"/>
  <c r="BV11" i="3"/>
  <c r="BT24" i="3"/>
  <c r="BT7" i="3"/>
  <c r="BT22" i="3"/>
  <c r="CI12" i="3"/>
  <c r="BW22" i="3"/>
  <c r="BV7" i="3"/>
  <c r="BT11" i="3"/>
  <c r="BV14" i="3"/>
  <c r="BU15" i="3"/>
  <c r="BW8" i="3"/>
  <c r="BZ7" i="3"/>
  <c r="CH25" i="3"/>
  <c r="BW14" i="3"/>
  <c r="BV22" i="3"/>
  <c r="BP25" i="3"/>
  <c r="CH8" i="3"/>
  <c r="BT23" i="3"/>
  <c r="BX16" i="3"/>
  <c r="BT9" i="3"/>
  <c r="BR16" i="3"/>
  <c r="BY21" i="3"/>
  <c r="BX20" i="3"/>
  <c r="BX12" i="3"/>
  <c r="BT25" i="3"/>
  <c r="BR7" i="3"/>
  <c r="BS6" i="3"/>
  <c r="BY18" i="3"/>
  <c r="BY17" i="3"/>
  <c r="BW24" i="3"/>
  <c r="BU6" i="3"/>
  <c r="BU19" i="3"/>
  <c r="BP12" i="3"/>
  <c r="BU9" i="3"/>
  <c r="BT21" i="3"/>
  <c r="BR6" i="3"/>
  <c r="BT12" i="3"/>
  <c r="BW16" i="3"/>
  <c r="BT13" i="3"/>
  <c r="BY13" i="3"/>
  <c r="BY23" i="3"/>
  <c r="CH19" i="3"/>
  <c r="BZ14" i="3"/>
  <c r="BX22" i="3"/>
  <c r="BY8" i="3"/>
  <c r="BS17" i="3"/>
  <c r="BX6" i="3"/>
  <c r="BR17" i="3"/>
  <c r="CD22" i="3"/>
  <c r="BX25" i="3"/>
  <c r="CA13" i="3"/>
  <c r="BP15" i="3"/>
  <c r="BV8" i="3"/>
  <c r="BW12" i="3"/>
  <c r="BS9" i="3"/>
  <c r="CI11" i="3"/>
  <c r="BV16" i="3"/>
  <c r="CI17" i="3"/>
  <c r="BU21" i="3"/>
  <c r="CG16" i="3"/>
  <c r="BR12" i="3"/>
  <c r="BS14" i="3"/>
  <c r="BZ16" i="3"/>
  <c r="BU22" i="3"/>
  <c r="BP7" i="3"/>
  <c r="BW18" i="3"/>
  <c r="BY11" i="3"/>
  <c r="BY15" i="3"/>
  <c r="BR15" i="3"/>
  <c r="BT6" i="3"/>
  <c r="BU23" i="3"/>
  <c r="BW20" i="3"/>
  <c r="BQ7" i="3"/>
  <c r="CG17" i="3"/>
  <c r="BV20" i="3"/>
  <c r="BV21" i="3"/>
  <c r="BW11" i="3"/>
  <c r="BY25" i="3"/>
  <c r="CA19" i="3"/>
  <c r="BS8" i="3"/>
  <c r="CF21" i="3"/>
  <c r="BZ12" i="3"/>
  <c r="BU18" i="3"/>
  <c r="CH6" i="3"/>
  <c r="BZ17" i="3"/>
  <c r="CI18" i="3"/>
  <c r="BU8" i="3"/>
  <c r="BZ15" i="3"/>
  <c r="BZ9" i="3"/>
  <c r="CE6" i="3"/>
  <c r="A920" i="1"/>
  <c r="AT18" i="3"/>
  <c r="AW9" i="3"/>
  <c r="AK12" i="3"/>
  <c r="BG8" i="3"/>
  <c r="AI22" i="3"/>
  <c r="BL25" i="3"/>
  <c r="BG17" i="3"/>
  <c r="BB10" i="3"/>
  <c r="AL18" i="3"/>
  <c r="BA12" i="3"/>
  <c r="AO14" i="3"/>
  <c r="AT23" i="3"/>
  <c r="AL9" i="3"/>
  <c r="AY24" i="3"/>
  <c r="BE21" i="3"/>
  <c r="AM8" i="3"/>
  <c r="AZ24" i="3"/>
  <c r="AF10" i="3"/>
  <c r="AH15" i="3"/>
  <c r="BI22" i="3"/>
  <c r="AY11" i="3"/>
  <c r="AH11" i="3"/>
  <c r="AN8" i="3"/>
  <c r="BA18" i="3"/>
  <c r="AM24" i="3"/>
  <c r="BD7" i="3"/>
  <c r="AY14" i="3"/>
  <c r="BN22" i="3"/>
  <c r="AO25" i="3"/>
  <c r="BL12" i="3"/>
  <c r="AR16" i="3"/>
  <c r="AE18" i="3"/>
  <c r="AK18" i="3"/>
  <c r="BD8" i="3"/>
  <c r="BB8" i="3"/>
  <c r="AW18" i="3"/>
  <c r="AS7" i="3"/>
  <c r="BL20" i="3"/>
  <c r="M16" i="3"/>
  <c r="BJ15" i="3"/>
  <c r="AF14" i="3"/>
  <c r="AJ18" i="3"/>
  <c r="O16" i="3"/>
  <c r="AH6" i="3"/>
  <c r="BF15" i="3"/>
  <c r="AV21" i="3"/>
  <c r="AW20" i="3"/>
  <c r="AT12" i="3"/>
  <c r="BH9" i="3"/>
  <c r="BN17" i="3"/>
  <c r="BE25" i="3"/>
  <c r="AZ16" i="3"/>
  <c r="AP20" i="3"/>
  <c r="BO11" i="3"/>
  <c r="BM14" i="3"/>
  <c r="N16" i="3"/>
  <c r="AE19" i="3"/>
  <c r="BM9" i="3"/>
  <c r="BC23" i="3"/>
  <c r="AD25" i="3"/>
  <c r="BN24" i="3"/>
  <c r="BI25" i="3"/>
  <c r="BD10" i="3"/>
  <c r="AF18" i="3"/>
  <c r="BB24" i="3"/>
  <c r="AH7" i="3"/>
  <c r="BD24" i="3"/>
  <c r="AU15" i="3"/>
  <c r="BG21" i="3"/>
  <c r="BL17" i="3"/>
  <c r="AO21" i="3"/>
  <c r="BF7" i="3"/>
  <c r="AI17" i="3"/>
  <c r="BA14" i="3"/>
  <c r="AY9" i="3"/>
  <c r="BC8" i="3"/>
  <c r="AW10" i="3"/>
  <c r="BG23" i="3"/>
  <c r="AJ8" i="3"/>
  <c r="BA24" i="3"/>
  <c r="AE11" i="3"/>
  <c r="AS11" i="3"/>
  <c r="AC25" i="3"/>
  <c r="BB20" i="3"/>
  <c r="BF10" i="3"/>
  <c r="AO12" i="3"/>
  <c r="BH12" i="3"/>
  <c r="BG9" i="3"/>
  <c r="AK7" i="3"/>
  <c r="BH16" i="3"/>
  <c r="BJ22" i="3"/>
  <c r="BL16" i="3"/>
  <c r="AK8" i="3"/>
  <c r="AR19" i="3"/>
  <c r="AW22" i="3"/>
  <c r="BL11" i="3"/>
  <c r="AU7" i="3"/>
  <c r="AX7" i="3"/>
  <c r="BG22" i="3"/>
  <c r="AN6" i="3"/>
  <c r="AT11" i="3"/>
  <c r="BM20" i="3"/>
  <c r="AT13" i="3"/>
  <c r="AX10" i="3"/>
  <c r="AH14" i="3"/>
  <c r="BM12" i="3"/>
  <c r="AC9" i="3"/>
  <c r="BH22" i="3"/>
  <c r="AV18" i="3"/>
  <c r="BF23" i="3"/>
  <c r="AU22" i="3"/>
  <c r="BE23" i="3"/>
  <c r="BJ9" i="3"/>
  <c r="BE9" i="3"/>
  <c r="AP12" i="3"/>
  <c r="AZ18" i="3"/>
  <c r="AD15" i="3"/>
  <c r="AC18" i="3"/>
  <c r="AI12" i="3"/>
  <c r="BC18" i="3"/>
  <c r="AQ14" i="3"/>
  <c r="AK16" i="3"/>
  <c r="BJ18" i="3"/>
  <c r="AM12" i="3"/>
  <c r="BE12" i="3"/>
  <c r="AE17" i="3"/>
  <c r="AZ10" i="3"/>
  <c r="AX18" i="3"/>
  <c r="AZ14" i="3"/>
  <c r="AN11" i="3"/>
  <c r="AS23" i="3"/>
  <c r="AH21" i="3"/>
  <c r="AJ15" i="3"/>
  <c r="BH23" i="3"/>
  <c r="BB21" i="3"/>
  <c r="AW14" i="3"/>
  <c r="AL7" i="3"/>
  <c r="BO15" i="3"/>
  <c r="AO8" i="3"/>
  <c r="AX22" i="3"/>
  <c r="AL13" i="3"/>
  <c r="AP16" i="3"/>
  <c r="AE12" i="3"/>
  <c r="AK17" i="3"/>
  <c r="AL23" i="3"/>
  <c r="BC13" i="3"/>
  <c r="AM15" i="3"/>
  <c r="BJ17" i="3"/>
  <c r="AZ13" i="3"/>
  <c r="BK16" i="3"/>
  <c r="BF8" i="3"/>
  <c r="AZ9" i="3"/>
  <c r="AI15" i="3"/>
  <c r="AX25" i="3"/>
  <c r="AU21" i="3"/>
  <c r="BI15" i="3"/>
  <c r="AD19" i="3"/>
  <c r="BJ14" i="3"/>
  <c r="AM6" i="3"/>
  <c r="BA17" i="3"/>
  <c r="AC22" i="3"/>
  <c r="BN15" i="3"/>
  <c r="BI19" i="3"/>
  <c r="AN17" i="3"/>
  <c r="BG16" i="3"/>
  <c r="AR12" i="3"/>
  <c r="BI18" i="3"/>
  <c r="BM17" i="3"/>
  <c r="AW16" i="3"/>
  <c r="BL13" i="3"/>
  <c r="AQ16" i="3"/>
  <c r="BG11" i="3"/>
  <c r="P16" i="3"/>
  <c r="BE11" i="3"/>
  <c r="AE15" i="3"/>
  <c r="BG19" i="3"/>
  <c r="BH21" i="3"/>
  <c r="BM11" i="3"/>
  <c r="BA20" i="3"/>
  <c r="BM6" i="3"/>
  <c r="BK11" i="3"/>
  <c r="AU17" i="3"/>
  <c r="BG20" i="3"/>
  <c r="BH18" i="3"/>
  <c r="AK21" i="3"/>
  <c r="AT6" i="3"/>
  <c r="AF21" i="3"/>
  <c r="AV16" i="3"/>
  <c r="AF15" i="3"/>
  <c r="AK22" i="3"/>
  <c r="BM7" i="3"/>
  <c r="AH19" i="3"/>
  <c r="AU19" i="3"/>
  <c r="AW15" i="3"/>
  <c r="AF12" i="3"/>
  <c r="AU9" i="3"/>
  <c r="BN9" i="3"/>
  <c r="BF16" i="3"/>
  <c r="BL6" i="3"/>
  <c r="AQ8" i="3"/>
  <c r="BD17" i="3"/>
  <c r="AS21" i="3"/>
  <c r="AX19" i="3"/>
  <c r="AK13" i="3"/>
  <c r="BM18" i="3"/>
  <c r="BK21" i="3"/>
  <c r="BN19" i="3"/>
  <c r="AZ8" i="3"/>
  <c r="AG12" i="3"/>
  <c r="BJ12" i="3"/>
  <c r="AE13" i="3"/>
  <c r="AU10" i="3"/>
  <c r="BJ20" i="3"/>
  <c r="BE14" i="3"/>
  <c r="AI10" i="3"/>
  <c r="BD20" i="3"/>
  <c r="AL14" i="3"/>
  <c r="AQ21" i="3"/>
  <c r="AI13" i="3"/>
  <c r="AT19" i="3"/>
  <c r="BK25" i="3"/>
  <c r="AP22" i="3"/>
  <c r="BE7" i="3"/>
  <c r="BC22" i="3"/>
  <c r="BE16" i="3"/>
  <c r="AT7" i="3"/>
  <c r="BM22" i="3"/>
  <c r="AJ24" i="3"/>
  <c r="BH7" i="3"/>
  <c r="BC14" i="3"/>
  <c r="AT14" i="3"/>
  <c r="BA8" i="3"/>
  <c r="BC7" i="3"/>
  <c r="AU13" i="3"/>
  <c r="AN19" i="3"/>
  <c r="AS6" i="3"/>
  <c r="BL21" i="3"/>
  <c r="AX13" i="3"/>
  <c r="AD21" i="3"/>
  <c r="AG7" i="3"/>
  <c r="BG25" i="3"/>
  <c r="AG6" i="3"/>
  <c r="AX9" i="3"/>
  <c r="AG10" i="3"/>
  <c r="BK12" i="3"/>
  <c r="BF19" i="3"/>
  <c r="AQ11" i="3"/>
  <c r="BD22" i="3"/>
  <c r="AD10" i="3"/>
  <c r="BF12" i="3"/>
  <c r="AH8" i="3"/>
  <c r="AL15" i="3"/>
  <c r="AQ23" i="3"/>
  <c r="AJ10" i="3"/>
  <c r="AM19" i="3"/>
  <c r="BA11" i="3"/>
  <c r="AF24" i="3"/>
  <c r="BO24" i="3"/>
  <c r="BM15" i="3"/>
  <c r="BO12" i="3"/>
  <c r="AD22" i="3"/>
  <c r="AI6" i="3"/>
  <c r="AJ21" i="3"/>
  <c r="BD12" i="3"/>
  <c r="AX15" i="3"/>
  <c r="BL19" i="3"/>
  <c r="AK24" i="3"/>
  <c r="BJ11" i="3"/>
  <c r="AO13" i="3"/>
  <c r="BM10" i="3"/>
  <c r="AU8" i="3"/>
  <c r="BE18" i="3"/>
  <c r="AV22" i="3"/>
  <c r="BA19" i="3"/>
  <c r="AG19" i="3"/>
  <c r="AL24" i="3"/>
  <c r="AO9" i="3"/>
  <c r="AF23" i="3"/>
  <c r="AZ11" i="3"/>
  <c r="AG21" i="3"/>
  <c r="BJ25" i="3"/>
  <c r="BG24" i="3"/>
  <c r="AK15" i="3"/>
  <c r="BE8" i="3"/>
  <c r="BO23" i="3"/>
  <c r="BB13" i="3"/>
  <c r="AL16" i="3"/>
  <c r="AR24" i="3"/>
  <c r="AO22" i="3"/>
  <c r="AQ19" i="3"/>
  <c r="BB22" i="3"/>
  <c r="AY22" i="3"/>
  <c r="AW6" i="3"/>
  <c r="AT20" i="3"/>
  <c r="AE24" i="3"/>
  <c r="AX6" i="3"/>
  <c r="AY15" i="3"/>
  <c r="AD24" i="3"/>
  <c r="AC24" i="3"/>
  <c r="AD7" i="3"/>
  <c r="BK15" i="3"/>
  <c r="BD23" i="3"/>
  <c r="AV24" i="3"/>
  <c r="AY12" i="3"/>
  <c r="AD12" i="3"/>
  <c r="AW8" i="3"/>
  <c r="AH17" i="3"/>
  <c r="AY16" i="3"/>
  <c r="AK10" i="3"/>
  <c r="AQ25" i="3"/>
  <c r="AW17" i="3"/>
  <c r="AQ9" i="3"/>
  <c r="BA10" i="3"/>
  <c r="AE8" i="3"/>
  <c r="AV11" i="3"/>
  <c r="BK9" i="3"/>
  <c r="AR15" i="3"/>
  <c r="BI6" i="3"/>
  <c r="AU16" i="3"/>
  <c r="AR21" i="3"/>
  <c r="BL7" i="3"/>
  <c r="AE23" i="3"/>
  <c r="AT16" i="3"/>
  <c r="BK7" i="3"/>
  <c r="AI16" i="3"/>
  <c r="BI7" i="3"/>
  <c r="AJ17" i="3"/>
  <c r="BK8" i="3"/>
  <c r="BO20" i="3"/>
  <c r="AQ20" i="3"/>
  <c r="AS16" i="3"/>
  <c r="BN21" i="3"/>
  <c r="AM10" i="3"/>
  <c r="BH10" i="3"/>
  <c r="BF17" i="3"/>
  <c r="BH15" i="3"/>
  <c r="AZ17" i="3"/>
  <c r="AO6" i="3"/>
  <c r="BC6" i="3"/>
  <c r="AK25" i="3"/>
  <c r="AO17" i="3"/>
  <c r="AD14" i="3"/>
  <c r="AQ12" i="3"/>
  <c r="AN15" i="3"/>
  <c r="AP7" i="3"/>
  <c r="AX23" i="3"/>
  <c r="AI19" i="3"/>
  <c r="BL8" i="3"/>
  <c r="BJ6" i="3"/>
  <c r="AK19" i="3"/>
  <c r="AQ10" i="3"/>
  <c r="AV13" i="3"/>
  <c r="AP19" i="3"/>
  <c r="AJ7" i="3"/>
  <c r="AP10" i="3"/>
  <c r="BH25" i="3"/>
  <c r="AY21" i="3"/>
  <c r="AZ19" i="3"/>
  <c r="AN14" i="3"/>
  <c r="AY7" i="3"/>
  <c r="AN7" i="3"/>
  <c r="AR13" i="3"/>
  <c r="AG14" i="3"/>
  <c r="AJ12" i="3"/>
  <c r="BE17" i="3"/>
  <c r="AC10" i="3"/>
  <c r="AX16" i="3"/>
  <c r="AV20" i="3"/>
  <c r="AV9" i="3"/>
  <c r="AX24" i="3"/>
  <c r="BD11" i="3"/>
  <c r="BD9" i="3"/>
  <c r="BD19" i="3"/>
  <c r="AH24" i="3"/>
  <c r="BH11" i="3"/>
  <c r="BI14" i="3"/>
  <c r="AK11" i="3"/>
  <c r="BN18" i="3"/>
  <c r="AJ20" i="3"/>
  <c r="AE20" i="3"/>
  <c r="BJ16" i="3"/>
  <c r="AN25" i="3"/>
  <c r="AN12" i="3"/>
  <c r="BO10" i="3"/>
  <c r="AH12" i="3"/>
  <c r="AS20" i="3"/>
  <c r="AM25" i="3"/>
  <c r="BO18" i="3"/>
  <c r="AS10" i="3"/>
  <c r="AY6" i="3"/>
  <c r="BI20" i="3"/>
  <c r="AS8" i="3"/>
  <c r="BJ19" i="3"/>
  <c r="AV12" i="3"/>
  <c r="AQ15" i="3"/>
  <c r="BB17" i="3"/>
  <c r="AG17" i="3"/>
  <c r="BE22" i="3"/>
  <c r="AG11" i="3"/>
  <c r="AL8" i="3"/>
  <c r="AC23" i="3"/>
  <c r="BK19" i="3"/>
  <c r="BE19" i="3"/>
  <c r="AO11" i="3"/>
  <c r="BB11" i="3"/>
  <c r="AQ22" i="3"/>
  <c r="BD6" i="3"/>
  <c r="AT21" i="3"/>
  <c r="AN16" i="3"/>
  <c r="BG13" i="3"/>
  <c r="AP25" i="3"/>
  <c r="BB16" i="3"/>
  <c r="AH13" i="3"/>
  <c r="AV25" i="3"/>
  <c r="BN7" i="3"/>
  <c r="AW11" i="3"/>
  <c r="AJ19" i="3"/>
  <c r="AW21" i="3"/>
  <c r="AJ16" i="3"/>
  <c r="BC20" i="3"/>
  <c r="AE10" i="3"/>
  <c r="AM11" i="3"/>
  <c r="AS13" i="3"/>
  <c r="BO21" i="3"/>
  <c r="AU24" i="3"/>
  <c r="AV19" i="3"/>
  <c r="AG25" i="3"/>
  <c r="AZ12" i="3"/>
  <c r="AP8" i="3"/>
  <c r="BN12" i="3"/>
  <c r="AF20" i="3"/>
  <c r="BL22" i="3"/>
  <c r="AG22" i="3"/>
  <c r="BN23" i="3"/>
  <c r="AE9" i="3"/>
  <c r="BF20" i="3"/>
  <c r="BO9" i="3"/>
  <c r="AH18" i="3"/>
  <c r="BN25" i="3"/>
  <c r="AT25" i="3"/>
  <c r="AT10" i="3"/>
  <c r="AT17" i="3"/>
  <c r="AM13" i="3"/>
  <c r="AS17" i="3"/>
  <c r="BB7" i="3"/>
  <c r="AC6" i="3"/>
  <c r="BO7" i="3"/>
  <c r="BL18" i="3"/>
  <c r="AM17" i="3"/>
  <c r="BA6" i="3"/>
  <c r="BL23" i="3"/>
  <c r="AS19" i="3"/>
  <c r="AC21" i="3"/>
  <c r="AI25" i="3"/>
  <c r="AV10" i="3"/>
  <c r="AL25" i="3"/>
  <c r="BF11" i="3"/>
  <c r="BD16" i="3"/>
  <c r="AM22" i="3"/>
  <c r="AR17" i="3"/>
  <c r="AG13" i="3"/>
  <c r="AM16" i="3"/>
  <c r="BK18" i="3"/>
  <c r="BB23" i="3"/>
  <c r="BD21" i="3"/>
  <c r="AU11" i="3"/>
  <c r="BO16" i="3"/>
  <c r="AN20" i="3"/>
  <c r="BL14" i="3"/>
  <c r="AO23" i="3"/>
  <c r="AG16" i="3"/>
  <c r="BK24" i="3"/>
  <c r="AH25" i="3"/>
  <c r="AG8" i="3"/>
  <c r="BM21" i="3"/>
  <c r="AH22" i="3"/>
  <c r="AX8" i="3"/>
  <c r="AN13" i="3"/>
  <c r="BO14" i="3"/>
  <c r="AV14" i="3"/>
  <c r="AE14" i="3"/>
  <c r="AR11" i="3"/>
  <c r="BC17" i="3"/>
  <c r="BB15" i="3"/>
  <c r="AQ24" i="3"/>
  <c r="BC15" i="3"/>
  <c r="AU20" i="3"/>
  <c r="AZ25" i="3"/>
  <c r="AQ17" i="3"/>
  <c r="AO24" i="3"/>
  <c r="BD18" i="3"/>
  <c r="BG6" i="3"/>
  <c r="AU14" i="3"/>
  <c r="AC7" i="3"/>
  <c r="BJ23" i="3"/>
  <c r="AQ13" i="3"/>
  <c r="BK17" i="3"/>
  <c r="AP15" i="3"/>
  <c r="AV8" i="3"/>
  <c r="AG23" i="3"/>
  <c r="AK20" i="3"/>
  <c r="AF13" i="3"/>
  <c r="AS18" i="3"/>
  <c r="BH13" i="3"/>
  <c r="BJ8" i="3"/>
  <c r="BN14" i="3"/>
  <c r="BG18" i="3"/>
  <c r="AS9" i="3"/>
  <c r="BB9" i="3"/>
  <c r="AZ6" i="3"/>
  <c r="AE21" i="3"/>
  <c r="BB6" i="3"/>
  <c r="AS24" i="3"/>
  <c r="BB19" i="3"/>
  <c r="AT24" i="3"/>
  <c r="BH6" i="3"/>
  <c r="AJ13" i="3"/>
  <c r="BC11" i="3"/>
  <c r="AC11" i="3"/>
  <c r="AE25" i="3"/>
  <c r="BL10" i="3"/>
  <c r="BB18" i="3"/>
  <c r="AO16" i="3"/>
  <c r="BF18" i="3"/>
  <c r="AG20" i="3"/>
  <c r="BF22" i="3"/>
  <c r="AJ23" i="3"/>
  <c r="AO18" i="3"/>
  <c r="AY20" i="3"/>
  <c r="AR18" i="3"/>
  <c r="AZ23" i="3"/>
  <c r="AM7" i="3"/>
  <c r="BK20" i="3"/>
  <c r="AH20" i="3"/>
  <c r="AZ22" i="3"/>
  <c r="AG9" i="3"/>
  <c r="AZ7" i="3"/>
  <c r="AP13" i="3"/>
  <c r="AX12" i="3"/>
  <c r="BI16" i="3"/>
  <c r="AF17" i="3"/>
  <c r="AL17" i="3"/>
  <c r="BE24" i="3"/>
  <c r="BI23" i="3"/>
  <c r="AH9" i="3"/>
  <c r="BF25" i="3"/>
  <c r="AJ25" i="3"/>
  <c r="AW25" i="3"/>
  <c r="BM8" i="3"/>
  <c r="AL22" i="3"/>
  <c r="AQ6" i="3"/>
  <c r="AP21" i="3"/>
  <c r="AU12" i="3"/>
  <c r="BL15" i="3"/>
  <c r="BJ24" i="3"/>
  <c r="BO19" i="3"/>
  <c r="AP23" i="3"/>
  <c r="AQ18" i="3"/>
  <c r="AF7" i="3"/>
  <c r="AY25" i="3"/>
  <c r="AI20" i="3"/>
  <c r="BI10" i="3"/>
  <c r="AY18" i="3"/>
  <c r="AI9" i="3"/>
  <c r="AZ21" i="3"/>
  <c r="BN6" i="3"/>
  <c r="BA9" i="3"/>
  <c r="AD6" i="3"/>
  <c r="AC8" i="3"/>
  <c r="BC19" i="3"/>
  <c r="AC12" i="3"/>
  <c r="AU23" i="3"/>
  <c r="AC19" i="3"/>
  <c r="AY17" i="3"/>
  <c r="AW7" i="3"/>
  <c r="BE15" i="3"/>
  <c r="AH23" i="3"/>
  <c r="AO15" i="3"/>
  <c r="AJ9" i="3"/>
  <c r="AN24" i="3"/>
  <c r="BE10" i="3"/>
  <c r="BD14" i="3"/>
  <c r="BB25" i="3"/>
  <c r="AN22" i="3"/>
  <c r="AI8" i="3"/>
  <c r="AL19" i="3"/>
  <c r="AR7" i="3"/>
  <c r="AR23" i="3"/>
  <c r="AM14" i="3"/>
  <c r="AV7" i="3"/>
  <c r="BA15" i="3"/>
  <c r="AP24" i="3"/>
  <c r="AW19" i="3"/>
  <c r="AJ11" i="3"/>
  <c r="AK6" i="3"/>
  <c r="BE20" i="3"/>
  <c r="AU6" i="3"/>
  <c r="AD18" i="3"/>
  <c r="BI13" i="3"/>
  <c r="AD11" i="3"/>
  <c r="AI21" i="3"/>
  <c r="BN16" i="3"/>
  <c r="BH17" i="3"/>
  <c r="AL20" i="3"/>
  <c r="BF21" i="3"/>
  <c r="AM18" i="3"/>
  <c r="BH20" i="3"/>
  <c r="AK14" i="3"/>
  <c r="BH8" i="3"/>
  <c r="BM16" i="3"/>
  <c r="AS14" i="3"/>
  <c r="BH14" i="3"/>
  <c r="AL11" i="3"/>
  <c r="BC24" i="3"/>
  <c r="AE16" i="3"/>
  <c r="BF9" i="3"/>
  <c r="BK22" i="3"/>
  <c r="AP17" i="3"/>
  <c r="BK10" i="3"/>
  <c r="AF6" i="3"/>
  <c r="BF13" i="3"/>
  <c r="AS25" i="3"/>
  <c r="BO25" i="3"/>
  <c r="BE13" i="3"/>
  <c r="AW23" i="3"/>
  <c r="AP6" i="3"/>
  <c r="BE6" i="3"/>
  <c r="BA13" i="3"/>
  <c r="BI11" i="3"/>
  <c r="AD17" i="3"/>
  <c r="BC21" i="3"/>
  <c r="AD23" i="3"/>
  <c r="BN13" i="3"/>
  <c r="AC20" i="3"/>
  <c r="BI21" i="3"/>
  <c r="AP9" i="3"/>
  <c r="AS15" i="3"/>
  <c r="AR20" i="3"/>
  <c r="AW13" i="3"/>
  <c r="AI11" i="3"/>
  <c r="BL9" i="3"/>
  <c r="AR9" i="3"/>
  <c r="BC10" i="3"/>
  <c r="AJ22" i="3"/>
  <c r="AX20" i="3"/>
  <c r="AC13" i="3"/>
  <c r="BM24" i="3"/>
  <c r="BO8" i="3"/>
  <c r="AF19" i="3"/>
  <c r="BO13" i="3"/>
  <c r="AG15" i="3"/>
  <c r="AZ15" i="3"/>
  <c r="AU25" i="3"/>
  <c r="AI14" i="3"/>
  <c r="AN10" i="3"/>
  <c r="AL12" i="3"/>
  <c r="AR8" i="3"/>
  <c r="BO6" i="3"/>
  <c r="BG14" i="3"/>
  <c r="AE7" i="3"/>
  <c r="AD16" i="3"/>
  <c r="BD13" i="3"/>
  <c r="AC16" i="3"/>
  <c r="AT8" i="3"/>
  <c r="AT22" i="3"/>
  <c r="BM23" i="3"/>
  <c r="AH10" i="3"/>
  <c r="BJ7" i="3"/>
  <c r="BH24" i="3"/>
  <c r="BK6" i="3"/>
  <c r="BA23" i="3"/>
  <c r="AI18" i="3"/>
  <c r="AV17" i="3"/>
  <c r="AP18" i="3"/>
  <c r="BD25" i="3"/>
  <c r="BM19" i="3"/>
  <c r="AI24" i="3"/>
  <c r="BM13" i="3"/>
  <c r="AO7" i="3"/>
  <c r="AC15" i="3"/>
  <c r="BJ10" i="3"/>
  <c r="AR14" i="3"/>
  <c r="AK23" i="3"/>
  <c r="AT9" i="3"/>
  <c r="BI8" i="3"/>
  <c r="AN23" i="3"/>
  <c r="AS22" i="3"/>
  <c r="BB12" i="3"/>
  <c r="BG15" i="3"/>
  <c r="BB14" i="3"/>
  <c r="AS12" i="3"/>
  <c r="AW24" i="3"/>
  <c r="AC17" i="3"/>
  <c r="AG18" i="3"/>
  <c r="AF9" i="3"/>
  <c r="AL6" i="3"/>
  <c r="AY8" i="3"/>
  <c r="AN18" i="3"/>
  <c r="BN8" i="3"/>
  <c r="AM20" i="3"/>
  <c r="AY19" i="3"/>
  <c r="AD9" i="3"/>
  <c r="AH16" i="3"/>
  <c r="AC14" i="3"/>
  <c r="AP11" i="3"/>
  <c r="BK23" i="3"/>
  <c r="BM25" i="3"/>
  <c r="BC16" i="3"/>
  <c r="AD20" i="3"/>
  <c r="BN10" i="3"/>
  <c r="K16" i="3"/>
  <c r="AY23" i="3"/>
  <c r="BN20" i="3"/>
  <c r="BI24" i="3"/>
  <c r="AF11" i="3"/>
  <c r="BG7" i="3"/>
  <c r="AI23" i="3"/>
  <c r="AM23" i="3"/>
  <c r="BG12" i="3"/>
  <c r="AW12" i="3"/>
  <c r="AV6" i="3"/>
  <c r="AP14" i="3"/>
  <c r="BK13" i="3"/>
  <c r="AI7" i="3"/>
  <c r="BG10" i="3"/>
  <c r="BI17" i="3"/>
  <c r="BC25" i="3"/>
  <c r="BK14" i="3"/>
  <c r="BF6" i="3"/>
  <c r="AU18" i="3"/>
  <c r="BC9" i="3"/>
  <c r="AL10" i="3"/>
  <c r="BI12" i="3"/>
  <c r="AM21" i="3"/>
  <c r="AZ20" i="3"/>
  <c r="AM9" i="3"/>
  <c r="BO22" i="3"/>
  <c r="AF22" i="3"/>
  <c r="BJ13" i="3"/>
  <c r="AJ14" i="3"/>
  <c r="BN11" i="3"/>
  <c r="AT15" i="3"/>
  <c r="AX21" i="3"/>
  <c r="BH19" i="3"/>
  <c r="AR6" i="3"/>
  <c r="BC12" i="3"/>
  <c r="AL21" i="3"/>
  <c r="AX11" i="3"/>
  <c r="AV23" i="3"/>
  <c r="AD8" i="3"/>
  <c r="AQ7" i="3"/>
  <c r="BA22" i="3"/>
  <c r="AO10" i="3"/>
  <c r="BF24" i="3"/>
  <c r="AF25" i="3"/>
  <c r="BA7" i="3"/>
  <c r="AV15" i="3"/>
  <c r="AR10" i="3"/>
  <c r="AR25" i="3"/>
  <c r="BO17" i="3"/>
  <c r="AE22" i="3"/>
  <c r="AO19" i="3"/>
  <c r="BL24" i="3"/>
  <c r="AY13" i="3"/>
  <c r="AX17" i="3"/>
  <c r="AE6" i="3"/>
  <c r="BA25" i="3"/>
  <c r="AK9" i="3"/>
  <c r="BA16" i="3"/>
  <c r="AX14" i="3"/>
  <c r="AD13" i="3"/>
  <c r="AJ6" i="3"/>
  <c r="AG24" i="3"/>
  <c r="AN21" i="3"/>
  <c r="BF14" i="3"/>
  <c r="AR22" i="3"/>
  <c r="AF8" i="3"/>
  <c r="BD15" i="3"/>
  <c r="AN9" i="3"/>
  <c r="BA21" i="3"/>
  <c r="BI9" i="3"/>
  <c r="AY10" i="3"/>
  <c r="AO20" i="3"/>
  <c r="AF16" i="3"/>
  <c r="BJ21" i="3"/>
  <c r="F10" i="3"/>
  <c r="L20" i="3"/>
  <c r="J9" i="3"/>
  <c r="I7" i="3"/>
  <c r="AB23" i="3"/>
  <c r="B17" i="3"/>
  <c r="E13" i="3"/>
  <c r="E22" i="3"/>
  <c r="E7" i="3"/>
  <c r="C17" i="3"/>
  <c r="L25" i="3"/>
  <c r="G13" i="3"/>
  <c r="J8" i="3"/>
  <c r="AB20" i="3"/>
  <c r="M8" i="3"/>
  <c r="D21" i="3"/>
  <c r="I8" i="3"/>
  <c r="E8" i="3"/>
  <c r="O20" i="3"/>
  <c r="C23" i="3"/>
  <c r="N6" i="3"/>
  <c r="H6" i="3"/>
  <c r="I11" i="3"/>
  <c r="O18" i="3"/>
  <c r="O12" i="3"/>
  <c r="F9" i="3"/>
  <c r="O11" i="3"/>
  <c r="P21" i="3"/>
  <c r="F16" i="3"/>
  <c r="C10" i="3"/>
  <c r="P15" i="3"/>
  <c r="AB16" i="3"/>
  <c r="K10" i="3"/>
  <c r="J25" i="3"/>
  <c r="B15" i="3"/>
  <c r="J10" i="3"/>
  <c r="O24" i="3"/>
  <c r="C24" i="3"/>
  <c r="K13" i="3"/>
  <c r="N7" i="3"/>
  <c r="N17" i="3"/>
  <c r="J18" i="3"/>
  <c r="B18" i="3"/>
  <c r="K24" i="3"/>
  <c r="O10" i="3"/>
  <c r="L11" i="3"/>
  <c r="C9" i="3"/>
  <c r="M9" i="3"/>
  <c r="H10" i="3"/>
  <c r="M25" i="3"/>
  <c r="M21" i="3"/>
  <c r="G11" i="3"/>
  <c r="G19" i="3"/>
  <c r="E11" i="3"/>
  <c r="H11" i="3"/>
  <c r="H7" i="3"/>
  <c r="AB19" i="3"/>
  <c r="H13" i="3"/>
  <c r="N13" i="3"/>
  <c r="N15" i="3"/>
  <c r="O9" i="3"/>
  <c r="E14" i="3"/>
  <c r="H17" i="3"/>
  <c r="AB10" i="3"/>
  <c r="L16" i="3"/>
  <c r="K15" i="3"/>
  <c r="G7" i="3"/>
  <c r="K8" i="3"/>
  <c r="C12" i="3"/>
  <c r="AB7" i="3"/>
  <c r="D13" i="3"/>
  <c r="M7" i="3"/>
  <c r="P19" i="3"/>
  <c r="M22" i="3"/>
  <c r="G17" i="3"/>
  <c r="E16" i="3"/>
  <c r="P7" i="3"/>
  <c r="F21" i="3"/>
  <c r="I21" i="3"/>
  <c r="E21" i="3"/>
  <c r="O7" i="3"/>
  <c r="H8" i="3"/>
  <c r="M20" i="3"/>
  <c r="AB18" i="3"/>
  <c r="M15" i="3"/>
  <c r="H20" i="3"/>
  <c r="C14" i="3"/>
  <c r="F13" i="3"/>
  <c r="D23" i="3"/>
  <c r="P17" i="3"/>
  <c r="L22" i="3"/>
  <c r="G25" i="3"/>
  <c r="E25" i="3"/>
  <c r="H19" i="3"/>
  <c r="O25" i="3"/>
  <c r="O21" i="3"/>
  <c r="AB17" i="3"/>
  <c r="F7" i="3"/>
  <c r="D17" i="3"/>
  <c r="D19" i="3"/>
  <c r="C11" i="3"/>
  <c r="B11" i="3"/>
  <c r="G8" i="3"/>
  <c r="D24" i="3"/>
  <c r="L10" i="3"/>
  <c r="L23" i="3"/>
  <c r="N20" i="3"/>
  <c r="D10" i="3"/>
  <c r="O15" i="3"/>
  <c r="G16" i="3"/>
  <c r="F19" i="3"/>
  <c r="G21" i="3"/>
  <c r="P11" i="3"/>
  <c r="J23" i="3"/>
  <c r="J13" i="3"/>
  <c r="P14" i="3"/>
  <c r="B16" i="3"/>
  <c r="L13" i="3"/>
  <c r="I22" i="3"/>
  <c r="L9" i="3"/>
  <c r="N22" i="3"/>
  <c r="AB15" i="3"/>
  <c r="M19" i="3"/>
  <c r="D22" i="3"/>
  <c r="K19" i="3"/>
  <c r="N11" i="3"/>
  <c r="M23" i="3"/>
  <c r="N23" i="3"/>
  <c r="D14" i="3"/>
  <c r="K25" i="3"/>
  <c r="G10" i="3"/>
  <c r="D8" i="3"/>
  <c r="I18" i="3"/>
  <c r="H22" i="3"/>
  <c r="K21" i="3"/>
  <c r="N10" i="3"/>
  <c r="C21" i="3"/>
  <c r="N12" i="3"/>
  <c r="D18" i="3"/>
  <c r="F22" i="3"/>
  <c r="P18" i="3"/>
  <c r="K17" i="3"/>
  <c r="P9" i="3"/>
  <c r="AB24" i="3"/>
  <c r="E12" i="3"/>
  <c r="K18" i="3"/>
  <c r="P10" i="3"/>
  <c r="C19" i="3"/>
  <c r="H12" i="3"/>
  <c r="AB9" i="3"/>
  <c r="E20" i="3"/>
  <c r="AB25" i="3"/>
  <c r="L24" i="3"/>
  <c r="L14" i="3"/>
  <c r="N24" i="3"/>
  <c r="C25" i="3"/>
  <c r="B19" i="3"/>
  <c r="F24" i="3"/>
  <c r="N9" i="3"/>
  <c r="M24" i="3"/>
  <c r="AB22" i="3"/>
  <c r="L21" i="3"/>
  <c r="P12" i="3"/>
  <c r="B20" i="3"/>
  <c r="AB14" i="3"/>
  <c r="I9" i="3"/>
  <c r="I10" i="3"/>
  <c r="P8" i="3"/>
  <c r="N14" i="3"/>
  <c r="B22" i="3"/>
  <c r="P22" i="3"/>
  <c r="B14" i="3"/>
  <c r="F17" i="3"/>
  <c r="O17" i="3"/>
  <c r="I13" i="3"/>
  <c r="I19" i="3"/>
  <c r="O19" i="3"/>
  <c r="B8" i="3"/>
  <c r="P20" i="3"/>
  <c r="F11" i="3"/>
  <c r="J24" i="3"/>
  <c r="H24" i="3"/>
  <c r="E24" i="3"/>
  <c r="I24" i="3"/>
  <c r="C18" i="3"/>
  <c r="F12" i="3"/>
  <c r="D20" i="3"/>
  <c r="O6" i="3"/>
  <c r="N21" i="3"/>
  <c r="F25" i="3"/>
  <c r="E19" i="3"/>
  <c r="C13" i="3"/>
  <c r="I23" i="3"/>
  <c r="P25" i="3"/>
  <c r="F8" i="3"/>
  <c r="P24" i="3"/>
  <c r="AB12" i="3"/>
  <c r="G9" i="3"/>
  <c r="C22" i="3"/>
  <c r="D25" i="3"/>
  <c r="G23" i="3"/>
  <c r="G18" i="3"/>
  <c r="B25" i="3"/>
  <c r="J7" i="3"/>
  <c r="F20" i="3"/>
  <c r="M10" i="3"/>
  <c r="D11" i="3"/>
  <c r="D15" i="3"/>
  <c r="M12" i="3"/>
  <c r="H21" i="3"/>
  <c r="H9" i="3"/>
  <c r="C16" i="3"/>
  <c r="G15" i="3"/>
  <c r="C7" i="3"/>
  <c r="G14" i="3"/>
  <c r="F18" i="3"/>
  <c r="K9" i="3"/>
  <c r="E17" i="3"/>
  <c r="O23" i="3"/>
  <c r="O8" i="3"/>
  <c r="H23" i="3"/>
  <c r="J19" i="3"/>
  <c r="M18" i="3"/>
  <c r="C8" i="3"/>
  <c r="M6" i="3"/>
  <c r="K23" i="3"/>
  <c r="P13" i="3"/>
  <c r="J17" i="3"/>
  <c r="L18" i="3"/>
  <c r="B12" i="3"/>
  <c r="L17" i="3"/>
  <c r="I25" i="3"/>
  <c r="I12" i="3"/>
  <c r="AB8" i="3"/>
  <c r="J16" i="3"/>
  <c r="B23" i="3"/>
  <c r="B21" i="3"/>
  <c r="H18" i="3"/>
  <c r="I14" i="3"/>
  <c r="K6" i="3"/>
  <c r="F14" i="3"/>
  <c r="D12" i="3"/>
  <c r="M17" i="3"/>
  <c r="J22" i="3"/>
  <c r="AB6" i="3"/>
  <c r="AB13" i="3"/>
  <c r="J15" i="3"/>
  <c r="K14" i="3"/>
  <c r="O13" i="3"/>
  <c r="H25" i="3"/>
  <c r="E10" i="3"/>
  <c r="L7" i="3"/>
  <c r="J14" i="3"/>
  <c r="N25" i="3"/>
  <c r="D9" i="3"/>
  <c r="H14" i="3"/>
  <c r="K7" i="3"/>
  <c r="I20" i="3"/>
  <c r="B13" i="3"/>
  <c r="E9" i="3"/>
  <c r="M13" i="3"/>
  <c r="L19" i="3"/>
  <c r="I17" i="3"/>
  <c r="C20" i="3"/>
  <c r="G24" i="3"/>
  <c r="F23" i="3"/>
  <c r="C15" i="3"/>
  <c r="B9" i="3"/>
  <c r="N19" i="3"/>
  <c r="L8" i="3"/>
  <c r="AB11" i="3"/>
  <c r="AB21" i="3"/>
  <c r="H16" i="3"/>
  <c r="K22" i="3"/>
  <c r="I15" i="3"/>
  <c r="L12" i="3"/>
  <c r="K20" i="3"/>
  <c r="F15" i="3"/>
  <c r="G12" i="3"/>
  <c r="M11" i="3"/>
  <c r="O14" i="3"/>
  <c r="B7" i="3"/>
  <c r="E18" i="3"/>
  <c r="J20" i="3"/>
  <c r="B10" i="3"/>
  <c r="E23" i="3"/>
  <c r="J11" i="3"/>
  <c r="J6" i="3"/>
  <c r="L15" i="3"/>
  <c r="D16" i="3"/>
  <c r="G20" i="3"/>
  <c r="O22" i="3"/>
  <c r="N8" i="3"/>
  <c r="K11" i="3"/>
  <c r="J21" i="3"/>
  <c r="M14" i="3"/>
  <c r="K12" i="3"/>
  <c r="N18" i="3"/>
  <c r="J12" i="3"/>
  <c r="P23" i="3"/>
  <c r="H15" i="3"/>
  <c r="B24" i="3"/>
  <c r="G22" i="3"/>
  <c r="D7" i="3"/>
  <c r="I16" i="3"/>
  <c r="E15" i="3"/>
  <c r="P6" i="3"/>
  <c r="U12" i="3" l="1"/>
  <c r="Y12" i="3"/>
  <c r="Z12" i="3"/>
  <c r="Q12" i="3"/>
  <c r="T12" i="3"/>
  <c r="V12" i="3"/>
  <c r="R12" i="3"/>
  <c r="S12" i="3"/>
  <c r="W12" i="3"/>
  <c r="X12" i="3"/>
  <c r="AA12" i="3"/>
  <c r="W11" i="3"/>
  <c r="Y11" i="3"/>
  <c r="R11" i="3"/>
  <c r="Z11" i="3"/>
  <c r="T11" i="3"/>
  <c r="U11" i="3"/>
  <c r="Q11" i="3"/>
  <c r="V11" i="3"/>
  <c r="X11" i="3"/>
  <c r="S11" i="3"/>
  <c r="AA11" i="3"/>
  <c r="AA17" i="3"/>
  <c r="U17" i="3"/>
  <c r="X17" i="3"/>
  <c r="Q17" i="3"/>
  <c r="R17" i="3"/>
  <c r="T17" i="3"/>
  <c r="Y17" i="3"/>
  <c r="Z17" i="3"/>
  <c r="W17" i="3"/>
  <c r="S17" i="3"/>
  <c r="V17" i="3"/>
  <c r="U24" i="3"/>
  <c r="V24" i="3"/>
  <c r="R24" i="3"/>
  <c r="W24" i="3"/>
  <c r="Z24" i="3"/>
  <c r="S24" i="3"/>
  <c r="AA24" i="3"/>
  <c r="Q24" i="3"/>
  <c r="T24" i="3"/>
  <c r="X24" i="3"/>
  <c r="Y24" i="3"/>
  <c r="Y10" i="3"/>
  <c r="T10" i="3"/>
  <c r="V10" i="3"/>
  <c r="W10" i="3"/>
  <c r="U10" i="3"/>
  <c r="Q10" i="3"/>
  <c r="S10" i="3"/>
  <c r="R10" i="3"/>
  <c r="X10" i="3"/>
  <c r="AA10" i="3"/>
  <c r="Z10" i="3"/>
  <c r="AA21" i="3"/>
  <c r="W21" i="3"/>
  <c r="S21" i="3"/>
  <c r="Z21" i="3"/>
  <c r="V21" i="3"/>
  <c r="U21" i="3"/>
  <c r="R21" i="3"/>
  <c r="X21" i="3"/>
  <c r="Q21" i="3"/>
  <c r="T21" i="3"/>
  <c r="Y21" i="3"/>
  <c r="W19" i="3"/>
  <c r="Y19" i="3"/>
  <c r="R19" i="3"/>
  <c r="Z19" i="3"/>
  <c r="V19" i="3"/>
  <c r="T19" i="3"/>
  <c r="X19" i="3"/>
  <c r="S19" i="3"/>
  <c r="U19" i="3"/>
  <c r="Q19" i="3"/>
  <c r="AA19" i="3"/>
  <c r="R16" i="3"/>
  <c r="Y16" i="3"/>
  <c r="Z16" i="3"/>
  <c r="Q16" i="3"/>
  <c r="AA16" i="3"/>
  <c r="X16" i="3"/>
  <c r="W16" i="3"/>
  <c r="V16" i="3"/>
  <c r="U16" i="3"/>
  <c r="T16" i="3"/>
  <c r="S16" i="3"/>
  <c r="AA9" i="3"/>
  <c r="Q9" i="3"/>
  <c r="X9" i="3"/>
  <c r="Y9" i="3"/>
  <c r="S9" i="3"/>
  <c r="U9" i="3"/>
  <c r="T9" i="3"/>
  <c r="W9" i="3"/>
  <c r="R9" i="3"/>
  <c r="V9" i="3"/>
  <c r="Z9" i="3"/>
  <c r="W23" i="3"/>
  <c r="T23" i="3"/>
  <c r="V23" i="3"/>
  <c r="U23" i="3"/>
  <c r="X23" i="3"/>
  <c r="S23" i="3"/>
  <c r="AA23" i="3"/>
  <c r="Q23" i="3"/>
  <c r="Y23" i="3"/>
  <c r="Z23" i="3"/>
  <c r="R23" i="3"/>
  <c r="Y14" i="3"/>
  <c r="R14" i="3"/>
  <c r="W14" i="3"/>
  <c r="Z14" i="3"/>
  <c r="U14" i="3"/>
  <c r="T14" i="3"/>
  <c r="Q14" i="3"/>
  <c r="S14" i="3"/>
  <c r="X14" i="3"/>
  <c r="AA14" i="3"/>
  <c r="V14" i="3"/>
  <c r="Z20" i="3"/>
  <c r="U20" i="3"/>
  <c r="T20" i="3"/>
  <c r="AA20" i="3"/>
  <c r="V20" i="3"/>
  <c r="W20" i="3"/>
  <c r="X20" i="3"/>
  <c r="Y20" i="3"/>
  <c r="R20" i="3"/>
  <c r="S20" i="3"/>
  <c r="Q20" i="3"/>
  <c r="AA13" i="3"/>
  <c r="W13" i="3"/>
  <c r="R13" i="3"/>
  <c r="Z13" i="3"/>
  <c r="V13" i="3"/>
  <c r="S13" i="3"/>
  <c r="U13" i="3"/>
  <c r="X13" i="3"/>
  <c r="Q13" i="3"/>
  <c r="T13" i="3"/>
  <c r="Y13" i="3"/>
  <c r="AA25" i="3"/>
  <c r="V25" i="3"/>
  <c r="Z25" i="3"/>
  <c r="S25" i="3"/>
  <c r="T25" i="3"/>
  <c r="X25" i="3"/>
  <c r="W25" i="3"/>
  <c r="Q25" i="3"/>
  <c r="U25" i="3"/>
  <c r="R25" i="3"/>
  <c r="Y25" i="3"/>
  <c r="Y18" i="3"/>
  <c r="T18" i="3"/>
  <c r="S18" i="3"/>
  <c r="X18" i="3"/>
  <c r="AA18" i="3"/>
  <c r="V18" i="3"/>
  <c r="U18" i="3"/>
  <c r="R18" i="3"/>
  <c r="W18" i="3"/>
  <c r="Q18" i="3"/>
  <c r="Z18" i="3"/>
  <c r="W15" i="3"/>
  <c r="Q15" i="3"/>
  <c r="T15" i="3"/>
  <c r="R15" i="3"/>
  <c r="U15" i="3"/>
  <c r="V15" i="3"/>
  <c r="Y15" i="3"/>
  <c r="X15" i="3"/>
  <c r="S15" i="3"/>
  <c r="AA15" i="3"/>
  <c r="Z15" i="3"/>
  <c r="W7" i="3"/>
  <c r="Q7" i="3"/>
  <c r="X7" i="3"/>
  <c r="S7" i="3"/>
  <c r="U7" i="3"/>
  <c r="AA7" i="3"/>
  <c r="V7" i="3"/>
  <c r="Y7" i="3"/>
  <c r="R7" i="3"/>
  <c r="Z7" i="3"/>
  <c r="T7" i="3"/>
  <c r="U8" i="3"/>
  <c r="V8" i="3"/>
  <c r="Z8" i="3"/>
  <c r="W8" i="3"/>
  <c r="Y8" i="3"/>
  <c r="Q8" i="3"/>
  <c r="X8" i="3"/>
  <c r="S8" i="3"/>
  <c r="T8" i="3"/>
  <c r="R8" i="3"/>
  <c r="AA8" i="3"/>
  <c r="Y22" i="3"/>
  <c r="R22" i="3"/>
  <c r="W22" i="3"/>
  <c r="Z22" i="3"/>
  <c r="U22" i="3"/>
  <c r="Q22" i="3"/>
  <c r="S22" i="3"/>
  <c r="T22" i="3"/>
  <c r="AA22" i="3"/>
  <c r="X22" i="3"/>
  <c r="V22" i="3"/>
</calcChain>
</file>

<file path=xl/sharedStrings.xml><?xml version="1.0" encoding="utf-8"?>
<sst xmlns="http://schemas.openxmlformats.org/spreadsheetml/2006/main" count="1293" uniqueCount="180">
  <si>
    <t>Padrão :</t>
  </si>
  <si>
    <t>Identificação :</t>
  </si>
  <si>
    <t>X8</t>
  </si>
  <si>
    <t>X7</t>
  </si>
  <si>
    <t>X6</t>
  </si>
  <si>
    <t>X5</t>
  </si>
  <si>
    <t>X4</t>
  </si>
  <si>
    <t>X3</t>
  </si>
  <si>
    <t>X2</t>
  </si>
  <si>
    <t>X1</t>
  </si>
  <si>
    <t>X0</t>
  </si>
  <si>
    <t>Orgão Calibrador :</t>
  </si>
  <si>
    <t>Rastreabilidade :</t>
  </si>
  <si>
    <t>N° do certificado :</t>
  </si>
  <si>
    <t>Data da Calibração :</t>
  </si>
  <si>
    <t>Veff curva =</t>
  </si>
  <si>
    <t>Residuo =</t>
  </si>
  <si>
    <t>R² =</t>
  </si>
  <si>
    <t>Vencimento da Calibração :</t>
  </si>
  <si>
    <t>Faixa calibrada :</t>
  </si>
  <si>
    <t>~</t>
  </si>
  <si>
    <t>Valores da Calibração Atual</t>
  </si>
  <si>
    <t>Calibração Anterior</t>
  </si>
  <si>
    <t>Certificado de calibração :</t>
  </si>
  <si>
    <t>Certificado :</t>
  </si>
  <si>
    <t>Valor de referência</t>
  </si>
  <si>
    <t>Indicação do instrumento</t>
  </si>
  <si>
    <t>Incerteza de medição</t>
  </si>
  <si>
    <t>k</t>
  </si>
  <si>
    <t>Veff</t>
  </si>
  <si>
    <t>Observações (particularidades para utilização)</t>
  </si>
  <si>
    <t>Erro Atual</t>
  </si>
  <si>
    <t>Erro Anterior</t>
  </si>
  <si>
    <t>Diferença</t>
  </si>
  <si>
    <t>Incerteza (un)</t>
  </si>
  <si>
    <t>Maior Deriva</t>
  </si>
  <si>
    <t>Desvio Máximo</t>
  </si>
  <si>
    <t>Maior incerteza (em unidade)</t>
  </si>
  <si>
    <t>Balança Eletrônica</t>
  </si>
  <si>
    <t>Resolução :</t>
  </si>
  <si>
    <t>Unidade de calibrada :</t>
  </si>
  <si>
    <t>g</t>
  </si>
  <si>
    <t>Elus</t>
  </si>
  <si>
    <t>RBC - CAL 0439</t>
  </si>
  <si>
    <t>Excentricidade</t>
  </si>
  <si>
    <t>Valor de ref.</t>
  </si>
  <si>
    <t>M</t>
  </si>
  <si>
    <t>A</t>
  </si>
  <si>
    <t>B</t>
  </si>
  <si>
    <t>C</t>
  </si>
  <si>
    <t>D</t>
  </si>
  <si>
    <t>Desvio na excentricidade</t>
  </si>
  <si>
    <t>Valor %</t>
  </si>
  <si>
    <t>mg</t>
  </si>
  <si>
    <t>kg</t>
  </si>
  <si>
    <t>t</t>
  </si>
  <si>
    <t>Polinômio da Curva</t>
  </si>
  <si>
    <t>TAG</t>
  </si>
  <si>
    <t>Padrão</t>
  </si>
  <si>
    <t>Calibrado por</t>
  </si>
  <si>
    <t>Rastreabilidade</t>
  </si>
  <si>
    <t>n° do certificado</t>
  </si>
  <si>
    <t>Data da Calibração</t>
  </si>
  <si>
    <t>Vencimento</t>
  </si>
  <si>
    <t>Unidade calibrada</t>
  </si>
  <si>
    <t>Faixa mínima</t>
  </si>
  <si>
    <t>Faixa máxima</t>
  </si>
  <si>
    <t>Resolução</t>
  </si>
  <si>
    <t>Maior desvio</t>
  </si>
  <si>
    <t>Maior Incerteza</t>
  </si>
  <si>
    <t>Deriva</t>
  </si>
  <si>
    <t>Residuo</t>
  </si>
  <si>
    <t>Maior desvio Exc.(%)</t>
  </si>
  <si>
    <t>Balança Analítica</t>
  </si>
  <si>
    <t xml:space="preserve">Balança Analítica </t>
  </si>
  <si>
    <t xml:space="preserve">Elus </t>
  </si>
  <si>
    <t>Balança eletrônica</t>
  </si>
  <si>
    <t>Histórico de revisões do Formulário:</t>
  </si>
  <si>
    <t>N° do documento</t>
  </si>
  <si>
    <t>1ª Revisão</t>
  </si>
  <si>
    <t>por :</t>
  </si>
  <si>
    <t>Caio C.</t>
  </si>
  <si>
    <t>Ultima Revisão</t>
  </si>
  <si>
    <t>Revisão</t>
  </si>
  <si>
    <t>Data</t>
  </si>
  <si>
    <t>Revisado por:</t>
  </si>
  <si>
    <t>Verificado por:</t>
  </si>
  <si>
    <t>Descrição das alterações:</t>
  </si>
  <si>
    <t>Caio Cesar</t>
  </si>
  <si>
    <t>-</t>
  </si>
  <si>
    <t>Criação da aba de controle de atualização.</t>
  </si>
  <si>
    <t>Julio Cesar</t>
  </si>
  <si>
    <t>Atualização dos padrões EL-039/049/070/111/179/625/917/965/1027.</t>
  </si>
  <si>
    <t>Banco de dados - Balanças</t>
  </si>
  <si>
    <t>E.MS.LV-001</t>
  </si>
  <si>
    <t>7243/24</t>
  </si>
  <si>
    <t>Inclusão do padrão E.MS.LV-001.</t>
  </si>
  <si>
    <t>E.MS.LQ-003</t>
  </si>
  <si>
    <t>R0011/25</t>
  </si>
  <si>
    <t>E.MS.LQ-004</t>
  </si>
  <si>
    <t>R0012/25</t>
  </si>
  <si>
    <t>E.MS.LQ-005</t>
  </si>
  <si>
    <t>R0013/25</t>
  </si>
  <si>
    <t>E.MS.LV-002</t>
  </si>
  <si>
    <t>R0016/25</t>
  </si>
  <si>
    <t>E.MS.PMR-001</t>
  </si>
  <si>
    <t>R0018/25</t>
  </si>
  <si>
    <t>E.MS.PMR-002</t>
  </si>
  <si>
    <t>R0019/25</t>
  </si>
  <si>
    <t>R0020/25</t>
  </si>
  <si>
    <t>E.MS.PMR-003</t>
  </si>
  <si>
    <t>E.MS.LV-003</t>
  </si>
  <si>
    <t>R0017/25</t>
  </si>
  <si>
    <t>Atualização dos padrões.</t>
  </si>
  <si>
    <t>E.MS.LQ-007</t>
  </si>
  <si>
    <t>R0015/25</t>
  </si>
  <si>
    <t>E.MS.LQ-006</t>
  </si>
  <si>
    <t>R0014/25</t>
  </si>
  <si>
    <t>Balança Digital</t>
  </si>
  <si>
    <t>X.MS.LM-001</t>
  </si>
  <si>
    <t>E0233/24</t>
  </si>
  <si>
    <t>E12591/23</t>
  </si>
  <si>
    <t>E.MS.LM-001</t>
  </si>
  <si>
    <t>0,005000</t>
  </si>
  <si>
    <t>0,005002</t>
  </si>
  <si>
    <t>0,000002</t>
  </si>
  <si>
    <t>0,000000</t>
  </si>
  <si>
    <t>0,000003</t>
  </si>
  <si>
    <t>0,020000</t>
  </si>
  <si>
    <t>0,020004</t>
  </si>
  <si>
    <t>0,000004</t>
  </si>
  <si>
    <t>0,000005</t>
  </si>
  <si>
    <t>0,050000</t>
  </si>
  <si>
    <t>0,050005</t>
  </si>
  <si>
    <t>0,100000</t>
  </si>
  <si>
    <t>0,100002</t>
  </si>
  <si>
    <t>0,000006</t>
  </si>
  <si>
    <t>0,200000</t>
  </si>
  <si>
    <t>0,000008</t>
  </si>
  <si>
    <t>0,500000</t>
  </si>
  <si>
    <t>0,500001</t>
  </si>
  <si>
    <t>0,000001</t>
  </si>
  <si>
    <t>0,000011</t>
  </si>
  <si>
    <t>1,000000</t>
  </si>
  <si>
    <t>1,000005</t>
  </si>
  <si>
    <t>E.MS.LQ-001</t>
  </si>
  <si>
    <t>E0248/24</t>
  </si>
  <si>
    <t>M.MS.LM-005</t>
  </si>
  <si>
    <t>Metrolab</t>
  </si>
  <si>
    <t>RBC - CAL 0215</t>
  </si>
  <si>
    <t>M0045/24</t>
  </si>
  <si>
    <t>M.MS.LM-006</t>
  </si>
  <si>
    <t>M0046/24</t>
  </si>
  <si>
    <t>M.MS.LM-010</t>
  </si>
  <si>
    <t>M0019/25</t>
  </si>
  <si>
    <t>M.MS.LM-014</t>
  </si>
  <si>
    <t>M0024/25</t>
  </si>
  <si>
    <t>E.MS.LQ-009</t>
  </si>
  <si>
    <t>E0848/25</t>
  </si>
  <si>
    <t>Inclusão do padrão E.MS.LQ-009.</t>
  </si>
  <si>
    <t>E0498/25</t>
  </si>
  <si>
    <t>Atualização do padrão E.MS.LQ-001.</t>
  </si>
  <si>
    <t>M0075/25</t>
  </si>
  <si>
    <t>Atualização do padrão E.MS.LV-001.</t>
  </si>
  <si>
    <t>M0063/25</t>
  </si>
  <si>
    <t>M0064/25</t>
  </si>
  <si>
    <t>M0066/25</t>
  </si>
  <si>
    <t>Atualização do padrão M.MS.LM-005/006/014.</t>
  </si>
  <si>
    <t>Robson C.</t>
  </si>
  <si>
    <t>E0011/26</t>
  </si>
  <si>
    <t>E0012/26</t>
  </si>
  <si>
    <t>E0013/26</t>
  </si>
  <si>
    <t>E0014/26</t>
  </si>
  <si>
    <t>E0015/26</t>
  </si>
  <si>
    <t>E0016/26</t>
  </si>
  <si>
    <t>E0017/26</t>
  </si>
  <si>
    <t>E0018/26</t>
  </si>
  <si>
    <t>E0019/26</t>
  </si>
  <si>
    <t>E0020/26</t>
  </si>
  <si>
    <t>E.MS.LQ-003/004/005/006/007, E.MS.LV-002/003 e E.MS.PMR-001/002/003.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</si>
</sst>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6]mmmm\-yy;@"/>
    <numFmt numFmtId="165" formatCode="0.000"/>
    <numFmt numFmtId="166" formatCode="0.000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/>
    <xf numFmtId="0" fontId="2" fillId="0" borderId="0"/>
  </cellStyleXfs>
  <cellXfs count="91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1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1" applyNumberFormat="1" applyFill="1" applyBorder="1" applyAlignment="1">
      <alignment horizontal="center"/>
    </xf>
    <xf numFmtId="0" fontId="1" fillId="2" borderId="1" xfId="1" quotePrefix="1" applyNumberFormat="1" applyFill="1" applyBorder="1" applyAlignment="1">
      <alignment horizontal="center"/>
    </xf>
    <xf numFmtId="0" fontId="1" fillId="2" borderId="3" xfId="1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NumberFormat="1" applyFill="1" applyBorder="1" applyAlignment="1">
      <alignment horizontal="center"/>
    </xf>
    <xf numFmtId="0" fontId="0" fillId="2" borderId="2" xfId="1" applyNumberFormat="1" applyFont="1" applyFill="1" applyBorder="1"/>
    <xf numFmtId="0" fontId="0" fillId="2" borderId="3" xfId="1" applyNumberFormat="1" applyFont="1" applyFill="1" applyBorder="1"/>
    <xf numFmtId="0" fontId="0" fillId="2" borderId="4" xfId="1" applyNumberFormat="1" applyFont="1" applyFill="1" applyBorder="1"/>
    <xf numFmtId="0" fontId="0" fillId="2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0" fillId="2" borderId="0" xfId="0" applyFill="1"/>
    <xf numFmtId="0" fontId="0" fillId="3" borderId="3" xfId="1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3" borderId="2" xfId="0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1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6" borderId="1" xfId="0" quotePrefix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3" fillId="2" borderId="0" xfId="2" applyFont="1" applyFill="1" applyAlignment="1" applyProtection="1">
      <alignment horizontal="left"/>
      <protection hidden="1"/>
    </xf>
    <xf numFmtId="0" fontId="4" fillId="2" borderId="0" xfId="2" applyFont="1" applyFill="1" applyAlignment="1" applyProtection="1">
      <alignment horizontal="center"/>
      <protection hidden="1"/>
    </xf>
    <xf numFmtId="0" fontId="4" fillId="2" borderId="0" xfId="2" applyFont="1" applyFill="1" applyAlignment="1" applyProtection="1">
      <alignment horizontal="left"/>
      <protection hidden="1"/>
    </xf>
    <xf numFmtId="0" fontId="4" fillId="2" borderId="1" xfId="2" applyFont="1" applyFill="1" applyBorder="1" applyAlignment="1" applyProtection="1">
      <alignment horizontal="center"/>
      <protection hidden="1"/>
    </xf>
    <xf numFmtId="14" fontId="4" fillId="2" borderId="1" xfId="2" applyNumberFormat="1" applyFont="1" applyFill="1" applyBorder="1" applyAlignment="1" applyProtection="1">
      <alignment horizontal="center"/>
      <protection hidden="1"/>
    </xf>
    <xf numFmtId="0" fontId="4" fillId="2" borderId="1" xfId="2" quotePrefix="1" applyFont="1" applyFill="1" applyBorder="1" applyAlignment="1" applyProtection="1">
      <alignment horizontal="center"/>
      <protection hidden="1"/>
    </xf>
    <xf numFmtId="0" fontId="4" fillId="2" borderId="3" xfId="2" applyFont="1" applyFill="1" applyBorder="1" applyAlignment="1" applyProtection="1">
      <alignment horizontal="left"/>
      <protection hidden="1"/>
    </xf>
    <xf numFmtId="0" fontId="4" fillId="2" borderId="8" xfId="2" applyFont="1" applyFill="1" applyBorder="1" applyAlignment="1" applyProtection="1">
      <alignment horizontal="center"/>
      <protection hidden="1"/>
    </xf>
    <xf numFmtId="14" fontId="4" fillId="2" borderId="8" xfId="2" quotePrefix="1" applyNumberFormat="1" applyFont="1" applyFill="1" applyBorder="1" applyAlignment="1" applyProtection="1">
      <alignment horizontal="center"/>
      <protection hidden="1"/>
    </xf>
    <xf numFmtId="0" fontId="4" fillId="2" borderId="9" xfId="2" quotePrefix="1" applyFont="1" applyFill="1" applyBorder="1" applyAlignment="1" applyProtection="1">
      <alignment horizontal="left"/>
      <protection hidden="1"/>
    </xf>
    <xf numFmtId="0" fontId="4" fillId="2" borderId="9" xfId="2" applyFont="1" applyFill="1" applyBorder="1" applyAlignment="1" applyProtection="1">
      <alignment horizontal="left"/>
      <protection hidden="1"/>
    </xf>
    <xf numFmtId="0" fontId="4" fillId="2" borderId="10" xfId="2" applyFont="1" applyFill="1" applyBorder="1" applyAlignment="1" applyProtection="1">
      <alignment horizontal="center"/>
      <protection hidden="1"/>
    </xf>
    <xf numFmtId="14" fontId="4" fillId="2" borderId="10" xfId="2" applyNumberFormat="1" applyFont="1" applyFill="1" applyBorder="1" applyAlignment="1" applyProtection="1">
      <alignment horizontal="center"/>
      <protection hidden="1"/>
    </xf>
    <xf numFmtId="0" fontId="4" fillId="2" borderId="11" xfId="2" applyFont="1" applyFill="1" applyBorder="1" applyAlignment="1" applyProtection="1">
      <alignment horizontal="left"/>
      <protection hidden="1"/>
    </xf>
    <xf numFmtId="14" fontId="4" fillId="2" borderId="10" xfId="2" quotePrefix="1" applyNumberFormat="1" applyFont="1" applyFill="1" applyBorder="1" applyAlignment="1" applyProtection="1">
      <alignment horizontal="center"/>
      <protection hidden="1"/>
    </xf>
    <xf numFmtId="14" fontId="4" fillId="2" borderId="12" xfId="2" applyNumberFormat="1" applyFont="1" applyFill="1" applyBorder="1" applyAlignment="1" applyProtection="1">
      <alignment horizontal="center"/>
      <protection hidden="1"/>
    </xf>
    <xf numFmtId="14" fontId="4" fillId="2" borderId="13" xfId="2" applyNumberFormat="1" applyFont="1" applyFill="1" applyBorder="1" applyAlignment="1" applyProtection="1">
      <alignment horizontal="center"/>
      <protection hidden="1"/>
    </xf>
    <xf numFmtId="0" fontId="4" fillId="2" borderId="14" xfId="2" applyFont="1" applyFill="1" applyBorder="1" applyAlignment="1" applyProtection="1">
      <alignment horizontal="left"/>
      <protection hidden="1"/>
    </xf>
    <xf numFmtId="0" fontId="4" fillId="2" borderId="15" xfId="2" applyFont="1" applyFill="1" applyBorder="1" applyAlignment="1" applyProtection="1">
      <alignment horizontal="center"/>
      <protection hidden="1"/>
    </xf>
    <xf numFmtId="0" fontId="4" fillId="2" borderId="15" xfId="2" applyFont="1" applyFill="1" applyBorder="1" applyAlignment="1" applyProtection="1">
      <alignment horizontal="left"/>
      <protection hidden="1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 vertical="center"/>
      <protection hidden="1"/>
    </xf>
    <xf numFmtId="0" fontId="0" fillId="2" borderId="1" xfId="1" applyNumberFormat="1" applyFont="1" applyFill="1" applyBorder="1" applyAlignment="1">
      <alignment horizontal="center"/>
    </xf>
    <xf numFmtId="0" fontId="1" fillId="2" borderId="1" xfId="1" applyNumberFormat="1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3" borderId="1" xfId="1" applyNumberFormat="1" applyFill="1" applyBorder="1" applyAlignment="1">
      <alignment horizontal="center" vertical="top" wrapText="1"/>
    </xf>
    <xf numFmtId="0" fontId="1" fillId="2" borderId="1" xfId="1" applyNumberFormat="1" applyFill="1" applyBorder="1" applyAlignment="1">
      <alignment horizontal="left"/>
    </xf>
    <xf numFmtId="164" fontId="0" fillId="3" borderId="2" xfId="1" applyFont="1" applyFill="1" applyBorder="1" applyAlignment="1">
      <alignment horizontal="left" vertical="top"/>
    </xf>
    <xf numFmtId="164" fontId="1" fillId="3" borderId="3" xfId="1" applyFill="1" applyBorder="1" applyAlignment="1">
      <alignment horizontal="left" vertical="top"/>
    </xf>
    <xf numFmtId="164" fontId="1" fillId="3" borderId="4" xfId="1" applyFill="1" applyBorder="1" applyAlignment="1">
      <alignment horizontal="left" vertical="top"/>
    </xf>
    <xf numFmtId="0" fontId="0" fillId="2" borderId="1" xfId="1" applyNumberFormat="1" applyFont="1" applyFill="1" applyBorder="1" applyAlignment="1">
      <alignment horizontal="left"/>
    </xf>
    <xf numFmtId="0" fontId="1" fillId="4" borderId="1" xfId="1" applyNumberFormat="1" applyFill="1" applyBorder="1" applyAlignment="1">
      <alignment horizontal="center"/>
    </xf>
    <xf numFmtId="0" fontId="0" fillId="5" borderId="2" xfId="1" applyNumberFormat="1" applyFont="1" applyFill="1" applyBorder="1" applyAlignment="1">
      <alignment horizontal="center"/>
    </xf>
    <xf numFmtId="0" fontId="1" fillId="5" borderId="4" xfId="1" applyNumberFormat="1" applyFill="1" applyBorder="1" applyAlignment="1">
      <alignment horizontal="center"/>
    </xf>
    <xf numFmtId="0" fontId="0" fillId="3" borderId="2" xfId="1" applyNumberFormat="1" applyFont="1" applyFill="1" applyBorder="1" applyAlignment="1">
      <alignment horizontal="left" vertical="top"/>
    </xf>
    <xf numFmtId="0" fontId="1" fillId="3" borderId="3" xfId="1" applyNumberFormat="1" applyFill="1" applyBorder="1" applyAlignment="1">
      <alignment horizontal="left" vertical="top"/>
    </xf>
    <xf numFmtId="0" fontId="1" fillId="3" borderId="4" xfId="1" applyNumberFormat="1" applyFill="1" applyBorder="1" applyAlignment="1">
      <alignment horizontal="left" vertical="top"/>
    </xf>
    <xf numFmtId="0" fontId="0" fillId="3" borderId="2" xfId="1" quotePrefix="1" applyNumberFormat="1" applyFont="1" applyFill="1" applyBorder="1" applyAlignment="1">
      <alignment horizontal="left" vertical="top"/>
    </xf>
    <xf numFmtId="14" fontId="1" fillId="3" borderId="2" xfId="1" quotePrefix="1" applyNumberFormat="1" applyFill="1" applyBorder="1" applyAlignment="1">
      <alignment horizontal="left" vertical="top"/>
    </xf>
    <xf numFmtId="14" fontId="1" fillId="3" borderId="3" xfId="1" applyNumberFormat="1" applyFill="1" applyBorder="1" applyAlignment="1">
      <alignment horizontal="left" vertical="top"/>
    </xf>
    <xf numFmtId="14" fontId="1" fillId="3" borderId="4" xfId="1" applyNumberFormat="1" applyFill="1" applyBorder="1" applyAlignment="1">
      <alignment horizontal="left" vertical="top"/>
    </xf>
    <xf numFmtId="164" fontId="0" fillId="3" borderId="2" xfId="1" quotePrefix="1" applyFont="1" applyFill="1" applyBorder="1" applyAlignment="1">
      <alignment horizontal="left" vertical="top"/>
    </xf>
    <xf numFmtId="14" fontId="0" fillId="3" borderId="2" xfId="1" quotePrefix="1" applyNumberFormat="1" applyFont="1" applyFill="1" applyBorder="1" applyAlignment="1">
      <alignment horizontal="left" vertical="top"/>
    </xf>
    <xf numFmtId="164" fontId="1" fillId="3" borderId="2" xfId="1" applyFill="1" applyBorder="1" applyAlignment="1">
      <alignment horizontal="left" vertical="top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4" fillId="2" borderId="2" xfId="2" applyFont="1" applyFill="1" applyBorder="1" applyAlignment="1" applyProtection="1">
      <alignment horizontal="left"/>
      <protection hidden="1"/>
    </xf>
    <xf numFmtId="0" fontId="4" fillId="2" borderId="4" xfId="2" applyFont="1" applyFill="1" applyBorder="1" applyAlignment="1" applyProtection="1">
      <alignment horizontal="left"/>
      <protection hidden="1"/>
    </xf>
    <xf numFmtId="0" fontId="4" fillId="2" borderId="1" xfId="2" applyFont="1" applyFill="1" applyBorder="1" applyAlignment="1" applyProtection="1">
      <alignment horizontal="center"/>
      <protection hidden="1"/>
    </xf>
  </cellXfs>
  <cellStyles count="3">
    <cellStyle name="Normal" xfId="0" builtinId="0"/>
    <cellStyle name="Normal 2" xfId="1" xr:uid="{00000000-0005-0000-0000-000001000000}"/>
    <cellStyle name="Normal 2 2" xfId="2" xr:uid="{0C1C61AE-AB14-4308-A1BE-F82C540B62F7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silva\AppData\Local\Microsoft\Windows\INetCache\Content.Outlook\SVRDFPQ7\E014152-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utros\volume%20versao%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"/>
      <sheetName val="pAr"/>
      <sheetName val="Instrumento"/>
      <sheetName val="Ponto1"/>
      <sheetName val="Ponto2"/>
      <sheetName val="Ponto3"/>
      <sheetName val="Ponto4"/>
      <sheetName val="Ponto5"/>
      <sheetName val="Ponto6"/>
      <sheetName val="Ponto7"/>
      <sheetName val="Excentricidade"/>
      <sheetName val="Certificado."/>
      <sheetName val=" Padrão"/>
      <sheetName val="IM=1ºPonto "/>
      <sheetName val="IM=2ºPonto"/>
      <sheetName val="IM=3ºPonto"/>
      <sheetName val="IM=4ºPonto "/>
      <sheetName val="IM=5ºPonto "/>
      <sheetName val="IM=6ºPonto "/>
      <sheetName val="IM=7ºPonto"/>
      <sheetName val="IM=Excentricidade"/>
      <sheetName val="Certificado"/>
      <sheetName val="Validaçao do BD"/>
      <sheetName val="Plan1"/>
      <sheetName val="Matriz Certificados"/>
      <sheetName val="Planilha1"/>
    </sheetNames>
    <sheetDataSet>
      <sheetData sheetId="0">
        <row r="8">
          <cell r="Y8" t="str">
            <v>014152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ados"/>
      <sheetName val="FichaVolume"/>
      <sheetName val="FichaPicno"/>
      <sheetName val="CERTIFICADO RBC"/>
      <sheetName val="CERTIFICADO ISO"/>
      <sheetName val="TemplateInformation"/>
      <sheetName val="Cliente"/>
      <sheetName val="Instrumento"/>
      <sheetName val="BuretaTitulador"/>
      <sheetName val="pAr"/>
      <sheetName val="pÁgua"/>
      <sheetName val="Calibração -1"/>
      <sheetName val="Calibração -2"/>
      <sheetName val="Calibração -3"/>
      <sheetName val="Ficha de Calibração"/>
      <sheetName val="cert. 1 ponto"/>
      <sheetName val="cert. 3 pontos"/>
      <sheetName val="calculos"/>
      <sheetName val="Planilhas"/>
      <sheetName val="Padrões"/>
      <sheetName val="Verificação"/>
      <sheetName val="Descrição Padroes"/>
      <sheetName val="Certificado"/>
      <sheetName val="Validaçao do BD"/>
    </sheetNames>
    <sheetDataSet>
      <sheetData sheetId="0" refreshError="1"/>
      <sheetData sheetId="1" refreshError="1">
        <row r="7">
          <cell r="E7">
            <v>36347</v>
          </cell>
        </row>
        <row r="8">
          <cell r="C8">
            <v>23</v>
          </cell>
        </row>
        <row r="10">
          <cell r="C10" t="str">
            <v>PROVETA</v>
          </cell>
          <cell r="F10" t="str">
            <v>10 ml</v>
          </cell>
        </row>
        <row r="11">
          <cell r="F11" t="str">
            <v>100 ml</v>
          </cell>
        </row>
        <row r="13">
          <cell r="C13" t="str">
            <v>teste 01</v>
          </cell>
          <cell r="F13" t="str">
            <v>SE 077</v>
          </cell>
        </row>
        <row r="14">
          <cell r="C14" t="str">
            <v>9999/99</v>
          </cell>
          <cell r="F14" t="str">
            <v>02</v>
          </cell>
        </row>
        <row r="25">
          <cell r="D25">
            <v>20</v>
          </cell>
        </row>
        <row r="27">
          <cell r="D27">
            <v>933</v>
          </cell>
        </row>
        <row r="31">
          <cell r="D31" t="str">
            <v>ml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X921"/>
  <sheetViews>
    <sheetView workbookViewId="0"/>
  </sheetViews>
  <sheetFormatPr defaultColWidth="12.88671875" defaultRowHeight="14.4" x14ac:dyDescent="0.3"/>
  <cols>
    <col min="1" max="1" width="6" style="17" bestFit="1" customWidth="1"/>
    <col min="2" max="16384" width="12.88671875" style="17"/>
  </cols>
  <sheetData>
    <row r="1" spans="1:24" x14ac:dyDescent="0.3">
      <c r="A1" s="1">
        <v>1</v>
      </c>
      <c r="B1" s="1">
        <f>A1+1</f>
        <v>2</v>
      </c>
      <c r="C1" s="1">
        <f>B1+1</f>
        <v>3</v>
      </c>
      <c r="D1" s="1">
        <f t="shared" ref="D1:V1" si="0">C1+1</f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>T1+1</f>
        <v>21</v>
      </c>
      <c r="V1" s="1">
        <f t="shared" si="0"/>
        <v>22</v>
      </c>
    </row>
    <row r="2" spans="1:24" x14ac:dyDescent="0.3">
      <c r="A2" s="2">
        <f>ROUND(CONCATENATE(U2,V2),0)</f>
        <v>1201</v>
      </c>
      <c r="B2" s="63" t="s">
        <v>0</v>
      </c>
      <c r="C2" s="63"/>
      <c r="D2" s="71" t="s">
        <v>38</v>
      </c>
      <c r="E2" s="72"/>
      <c r="F2" s="72"/>
      <c r="G2" s="72"/>
      <c r="H2" s="7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>
        <v>1</v>
      </c>
      <c r="V2" s="2">
        <v>201</v>
      </c>
    </row>
    <row r="3" spans="1:24" x14ac:dyDescent="0.3">
      <c r="A3" s="2">
        <f t="shared" ref="A3:A46" si="1">ROUND(CONCATENATE(U3,V3),0)</f>
        <v>1202</v>
      </c>
      <c r="B3" s="12" t="s">
        <v>40</v>
      </c>
      <c r="C3" s="13"/>
      <c r="D3" s="16" t="s">
        <v>41</v>
      </c>
      <c r="E3" s="57" t="s">
        <v>39</v>
      </c>
      <c r="F3" s="57"/>
      <c r="G3" s="18">
        <v>0.01</v>
      </c>
      <c r="H3" s="15" t="str">
        <f>IF(D4="","",D3)</f>
        <v>g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>
        <f>U2</f>
        <v>1</v>
      </c>
      <c r="V3" s="2">
        <f>V2+1</f>
        <v>202</v>
      </c>
    </row>
    <row r="4" spans="1:24" x14ac:dyDescent="0.3">
      <c r="A4" s="2">
        <f t="shared" si="1"/>
        <v>1203</v>
      </c>
      <c r="B4" s="63" t="s">
        <v>1</v>
      </c>
      <c r="C4" s="63"/>
      <c r="D4" s="71" t="s">
        <v>97</v>
      </c>
      <c r="E4" s="72"/>
      <c r="F4" s="72"/>
      <c r="G4" s="72"/>
      <c r="H4" s="73"/>
      <c r="I4" s="1"/>
      <c r="J4" s="1"/>
      <c r="K4" s="1" t="s">
        <v>2</v>
      </c>
      <c r="L4" s="1" t="s">
        <v>3</v>
      </c>
      <c r="M4" s="1" t="s">
        <v>4</v>
      </c>
      <c r="N4" s="1" t="s">
        <v>5</v>
      </c>
      <c r="O4" s="1" t="s">
        <v>6</v>
      </c>
      <c r="P4" s="1" t="s">
        <v>7</v>
      </c>
      <c r="Q4" s="1" t="s">
        <v>8</v>
      </c>
      <c r="R4" s="1" t="s">
        <v>9</v>
      </c>
      <c r="S4" s="1" t="s">
        <v>10</v>
      </c>
      <c r="T4" s="1"/>
      <c r="U4" s="2">
        <f t="shared" ref="U4:U46" si="2">U3</f>
        <v>1</v>
      </c>
      <c r="V4" s="2">
        <f t="shared" ref="V4:V46" si="3">V3+1</f>
        <v>203</v>
      </c>
      <c r="X4" s="17" t="s">
        <v>53</v>
      </c>
    </row>
    <row r="5" spans="1:24" x14ac:dyDescent="0.3">
      <c r="A5" s="2">
        <f t="shared" si="1"/>
        <v>1204</v>
      </c>
      <c r="B5" s="63" t="s">
        <v>11</v>
      </c>
      <c r="C5" s="63"/>
      <c r="D5" s="71" t="s">
        <v>42</v>
      </c>
      <c r="E5" s="72"/>
      <c r="F5" s="72"/>
      <c r="G5" s="72"/>
      <c r="H5" s="73"/>
      <c r="I5" s="1"/>
      <c r="J5" s="1">
        <f>COUNTA(B17:B26)</f>
        <v>7</v>
      </c>
      <c r="K5" s="1">
        <f t="shared" ref="K5:Q5" si="4">IF(L5-1&lt;2,0,L5-1)</f>
        <v>0</v>
      </c>
      <c r="L5" s="1">
        <f t="shared" si="4"/>
        <v>0</v>
      </c>
      <c r="M5" s="1">
        <f t="shared" si="4"/>
        <v>0</v>
      </c>
      <c r="N5" s="1">
        <f t="shared" si="4"/>
        <v>2</v>
      </c>
      <c r="O5" s="1">
        <f t="shared" si="4"/>
        <v>3</v>
      </c>
      <c r="P5" s="1">
        <f t="shared" si="4"/>
        <v>4</v>
      </c>
      <c r="Q5" s="1">
        <f t="shared" si="4"/>
        <v>5</v>
      </c>
      <c r="R5" s="1">
        <f>IF(S5-1&lt;2,0,S5-1)</f>
        <v>6</v>
      </c>
      <c r="S5" s="1">
        <f>J5</f>
        <v>7</v>
      </c>
      <c r="T5" s="1"/>
      <c r="U5" s="2">
        <f t="shared" si="2"/>
        <v>1</v>
      </c>
      <c r="V5" s="2">
        <f t="shared" si="3"/>
        <v>204</v>
      </c>
      <c r="X5" s="17" t="s">
        <v>41</v>
      </c>
    </row>
    <row r="6" spans="1:24" x14ac:dyDescent="0.3">
      <c r="A6" s="2">
        <f t="shared" si="1"/>
        <v>1205</v>
      </c>
      <c r="B6" s="63" t="s">
        <v>12</v>
      </c>
      <c r="C6" s="63"/>
      <c r="D6" s="71" t="s">
        <v>43</v>
      </c>
      <c r="E6" s="72"/>
      <c r="F6" s="72"/>
      <c r="G6" s="72"/>
      <c r="H6" s="73"/>
      <c r="I6" s="1"/>
      <c r="J6" s="2" t="str">
        <f>CONCATENATE(J5,1)</f>
        <v>71</v>
      </c>
      <c r="K6" s="3">
        <f>IF(K5=0,0,VLOOKUP(J6,J10:S40,K5,FALSE))</f>
        <v>0</v>
      </c>
      <c r="L6" s="3">
        <f>IF(L5=0,0,VLOOKUP(J6,J10:S40,L5,FALSE))</f>
        <v>0</v>
      </c>
      <c r="M6" s="3">
        <f>IF(M5=0,0,VLOOKUP(J6,J10:S40,M5,FALSE))</f>
        <v>0</v>
      </c>
      <c r="N6" s="3">
        <f>IF(N5=0,0,VLOOKUP(J6,J10:S40,N5,FALSE))</f>
        <v>-2.1946623841346573E-17</v>
      </c>
      <c r="O6" s="3">
        <f>IF(O5=0,0,VLOOKUP(J6,J10:S40,O5,FALSE))</f>
        <v>1.435668068304213E-13</v>
      </c>
      <c r="P6" s="3">
        <f>IF(P5=0,0,VLOOKUP(J6,J10:S40,P5,FALSE))</f>
        <v>-3.21167452306003E-10</v>
      </c>
      <c r="Q6" s="3">
        <f>IF(Q5=0,0,VLOOKUP(J6,J10:S40,Q5,FALSE))</f>
        <v>3.1307290236240752E-7</v>
      </c>
      <c r="R6" s="3">
        <f>IF(R5=0,0,VLOOKUP(J6,J10:S40,R5,FALSE))</f>
        <v>0.99986579442207157</v>
      </c>
      <c r="S6" s="3">
        <f>IF(S5=0,0,VLOOKUP(J6,J10:S40,S5,FALSE))</f>
        <v>6.8337237960630626E-4</v>
      </c>
      <c r="T6" s="1"/>
      <c r="U6" s="2">
        <f t="shared" si="2"/>
        <v>1</v>
      </c>
      <c r="V6" s="2">
        <f t="shared" si="3"/>
        <v>205</v>
      </c>
      <c r="X6" s="17" t="s">
        <v>54</v>
      </c>
    </row>
    <row r="7" spans="1:24" x14ac:dyDescent="0.3">
      <c r="A7" s="2">
        <f t="shared" si="1"/>
        <v>1206</v>
      </c>
      <c r="B7" s="63" t="s">
        <v>13</v>
      </c>
      <c r="C7" s="63"/>
      <c r="D7" s="74" t="s">
        <v>169</v>
      </c>
      <c r="E7" s="72"/>
      <c r="F7" s="72"/>
      <c r="G7" s="72"/>
      <c r="H7" s="73"/>
      <c r="I7" s="1"/>
      <c r="J7" s="2" t="str">
        <f>CONCATENATE(J5,2)</f>
        <v>72</v>
      </c>
      <c r="K7" s="4">
        <f>IF(K5=0,0,VLOOKUP(J7,J10:S40,K5,FALSE))</f>
        <v>0</v>
      </c>
      <c r="L7" s="4">
        <f>IF(L5=0,0,VLOOKUP(J7,J10:S40,L5,FALSE))</f>
        <v>0</v>
      </c>
      <c r="M7" s="4">
        <f>IF(M5=0,0,VLOOKUP(J7,J10:S40,M5,FALSE))</f>
        <v>0</v>
      </c>
      <c r="N7" s="4">
        <f>IF(N5=0,0,VLOOKUP(J7,J10:S40,N5,FALSE))</f>
        <v>1.2284160604466631E-17</v>
      </c>
      <c r="O7" s="4">
        <f>IF(O5=0,0,VLOOKUP(J7,J10:S40,O5,FALSE))</f>
        <v>5.9398575523135585E-14</v>
      </c>
      <c r="P7" s="4">
        <f>IF(P5=0,0,VLOOKUP(J7,J10:S40,P5,FALSE))</f>
        <v>1.0002140405462742E-10</v>
      </c>
      <c r="Q7" s="4">
        <f>IF(Q5=0,0,VLOOKUP(J7,J10:S40,Q5,FALSE))</f>
        <v>6.8955531727232119E-8</v>
      </c>
      <c r="R7" s="4">
        <f>IF(R5=0,0,VLOOKUP(J7,J10:S40,R5,FALSE))</f>
        <v>1.6840578914078803E-5</v>
      </c>
      <c r="S7" s="4">
        <f>IF(S5=0,0,VLOOKUP(J7,J10:S40,S5,FALSE))</f>
        <v>6.4401317323235254E-4</v>
      </c>
      <c r="T7" s="1"/>
      <c r="U7" s="2">
        <f t="shared" si="2"/>
        <v>1</v>
      </c>
      <c r="V7" s="2">
        <f t="shared" si="3"/>
        <v>206</v>
      </c>
      <c r="X7" s="17" t="s">
        <v>55</v>
      </c>
    </row>
    <row r="8" spans="1:24" x14ac:dyDescent="0.3">
      <c r="A8" s="2">
        <f t="shared" si="1"/>
        <v>1207</v>
      </c>
      <c r="B8" s="63" t="s">
        <v>14</v>
      </c>
      <c r="C8" s="63"/>
      <c r="D8" s="75">
        <v>46031</v>
      </c>
      <c r="E8" s="76"/>
      <c r="F8" s="76"/>
      <c r="G8" s="76"/>
      <c r="H8" s="77"/>
      <c r="I8" s="1"/>
      <c r="J8" s="2" t="str">
        <f>CONCATENATE(J5,3)</f>
        <v>73</v>
      </c>
      <c r="K8" s="4"/>
      <c r="L8" s="4"/>
      <c r="M8" s="4"/>
      <c r="N8" s="4" t="s">
        <v>15</v>
      </c>
      <c r="O8" s="3">
        <f>J5-2</f>
        <v>5</v>
      </c>
      <c r="P8" s="4" t="s">
        <v>16</v>
      </c>
      <c r="Q8" s="3">
        <f>VLOOKUP(J8,J10:S40,3,FALSE)</f>
        <v>8.3868147318000297E-4</v>
      </c>
      <c r="R8" s="4" t="s">
        <v>17</v>
      </c>
      <c r="S8" s="4">
        <f>VLOOKUP(J8,J10:S40,2,FALSE)</f>
        <v>0.99999999999981382</v>
      </c>
      <c r="T8" s="1"/>
      <c r="U8" s="2">
        <f t="shared" si="2"/>
        <v>1</v>
      </c>
      <c r="V8" s="2">
        <f t="shared" si="3"/>
        <v>207</v>
      </c>
    </row>
    <row r="9" spans="1:24" x14ac:dyDescent="0.3">
      <c r="A9" s="2">
        <f t="shared" si="1"/>
        <v>1208</v>
      </c>
      <c r="B9" s="63" t="s">
        <v>18</v>
      </c>
      <c r="C9" s="63"/>
      <c r="D9" s="80">
        <v>46417</v>
      </c>
      <c r="E9" s="65"/>
      <c r="F9" s="65"/>
      <c r="G9" s="65"/>
      <c r="H9" s="66"/>
      <c r="I9" s="1"/>
      <c r="J9" s="1"/>
      <c r="K9" s="1">
        <v>3</v>
      </c>
      <c r="L9" s="1">
        <v>3</v>
      </c>
      <c r="M9" s="1"/>
      <c r="N9" s="1"/>
      <c r="O9" s="1"/>
      <c r="P9" s="1"/>
      <c r="Q9" s="1"/>
      <c r="R9" s="1"/>
      <c r="S9" s="1"/>
      <c r="T9" s="1"/>
      <c r="U9" s="2">
        <f t="shared" si="2"/>
        <v>1</v>
      </c>
      <c r="V9" s="2">
        <f t="shared" si="3"/>
        <v>208</v>
      </c>
    </row>
    <row r="10" spans="1:24" x14ac:dyDescent="0.3">
      <c r="A10" s="2">
        <f t="shared" si="1"/>
        <v>1209</v>
      </c>
      <c r="B10" s="67" t="s">
        <v>19</v>
      </c>
      <c r="C10" s="63"/>
      <c r="D10" s="5">
        <f>IF(D3="","",MIN(B17:B26))</f>
        <v>1</v>
      </c>
      <c r="E10" s="6" t="s">
        <v>20</v>
      </c>
      <c r="F10" s="5">
        <f>IF(D3="","",MAX(B17:B26))</f>
        <v>2000</v>
      </c>
      <c r="G10" s="7" t="str">
        <f>IF(D4="","",H3)</f>
        <v>g</v>
      </c>
      <c r="H10" s="14"/>
      <c r="I10" s="1"/>
      <c r="J10" s="2" t="str">
        <f>CONCATENATE(K9,1)</f>
        <v>31</v>
      </c>
      <c r="K10" s="4">
        <f t="array" ref="K10:L12">LINEST(B17:B19,C17:C19^{1},TRUE,TRUE)</f>
        <v>0.99989490586569052</v>
      </c>
      <c r="L10" s="4">
        <v>5.5549994989689822E-4</v>
      </c>
      <c r="M10" s="1"/>
      <c r="N10" s="1"/>
      <c r="O10" s="1"/>
      <c r="P10" s="1"/>
      <c r="Q10" s="1"/>
      <c r="R10" s="1"/>
      <c r="S10" s="1"/>
      <c r="T10" s="1"/>
      <c r="U10" s="2">
        <f t="shared" si="2"/>
        <v>1</v>
      </c>
      <c r="V10" s="2">
        <f t="shared" si="3"/>
        <v>209</v>
      </c>
    </row>
    <row r="11" spans="1:24" x14ac:dyDescent="0.3">
      <c r="A11" s="2">
        <f t="shared" si="1"/>
        <v>1210</v>
      </c>
      <c r="B11" s="1"/>
      <c r="C11" s="1"/>
      <c r="D11" s="1"/>
      <c r="E11" s="1"/>
      <c r="F11" s="1"/>
      <c r="G11" s="1"/>
      <c r="H11" s="1"/>
      <c r="I11" s="1"/>
      <c r="J11" s="2" t="str">
        <f>CONCATENATE(K9,2)</f>
        <v>32</v>
      </c>
      <c r="K11" s="4">
        <v>8.6671009511686639E-6</v>
      </c>
      <c r="L11" s="4">
        <v>5.0296574313294273E-4</v>
      </c>
      <c r="M11" s="1"/>
      <c r="N11" s="1"/>
      <c r="O11" s="1"/>
      <c r="P11" s="1"/>
      <c r="Q11" s="1"/>
      <c r="R11" s="1"/>
      <c r="S11" s="1"/>
      <c r="T11" s="1"/>
      <c r="U11" s="2">
        <f t="shared" si="2"/>
        <v>1</v>
      </c>
      <c r="V11" s="2">
        <f t="shared" si="3"/>
        <v>210</v>
      </c>
    </row>
    <row r="12" spans="1:24" x14ac:dyDescent="0.3">
      <c r="A12" s="2">
        <f t="shared" si="1"/>
        <v>1211</v>
      </c>
      <c r="B12" s="68" t="s">
        <v>21</v>
      </c>
      <c r="C12" s="68"/>
      <c r="D12" s="68"/>
      <c r="E12" s="68"/>
      <c r="F12" s="68"/>
      <c r="G12" s="69" t="s">
        <v>22</v>
      </c>
      <c r="H12" s="70"/>
      <c r="I12" s="1"/>
      <c r="J12" s="2" t="str">
        <f>CONCATENATE(K9,3)</f>
        <v>33</v>
      </c>
      <c r="K12" s="4">
        <v>0.99999999992486566</v>
      </c>
      <c r="L12" s="4">
        <v>6.7108552066486027E-4</v>
      </c>
      <c r="M12" s="1"/>
      <c r="N12" s="1"/>
      <c r="O12" s="1"/>
      <c r="P12" s="1"/>
      <c r="Q12" s="1"/>
      <c r="R12" s="1"/>
      <c r="S12" s="1"/>
      <c r="T12" s="1"/>
      <c r="U12" s="2">
        <f t="shared" si="2"/>
        <v>1</v>
      </c>
      <c r="V12" s="2">
        <f t="shared" si="3"/>
        <v>211</v>
      </c>
    </row>
    <row r="13" spans="1:24" x14ac:dyDescent="0.3">
      <c r="A13" s="2">
        <f t="shared" si="1"/>
        <v>1212</v>
      </c>
      <c r="B13" s="61" t="s">
        <v>23</v>
      </c>
      <c r="C13" s="61"/>
      <c r="D13" s="61"/>
      <c r="E13" s="61" t="str">
        <f>D7</f>
        <v>E0011/26</v>
      </c>
      <c r="F13" s="61"/>
      <c r="G13" s="4" t="s">
        <v>24</v>
      </c>
      <c r="H13" s="31" t="s">
        <v>98</v>
      </c>
      <c r="I13" s="1"/>
      <c r="J13" s="1"/>
      <c r="K13" s="1">
        <v>4</v>
      </c>
      <c r="L13" s="1">
        <v>4</v>
      </c>
      <c r="M13" s="1">
        <v>4</v>
      </c>
      <c r="N13" s="1"/>
      <c r="O13" s="1"/>
      <c r="P13" s="1"/>
      <c r="Q13" s="1"/>
      <c r="R13" s="1"/>
      <c r="S13" s="1"/>
      <c r="T13" s="1"/>
      <c r="U13" s="2">
        <f t="shared" si="2"/>
        <v>1</v>
      </c>
      <c r="V13" s="2">
        <f t="shared" si="3"/>
        <v>212</v>
      </c>
    </row>
    <row r="14" spans="1:24" x14ac:dyDescent="0.3">
      <c r="A14" s="2">
        <f t="shared" si="1"/>
        <v>1213</v>
      </c>
      <c r="B14" s="59" t="s">
        <v>25</v>
      </c>
      <c r="C14" s="59" t="s">
        <v>26</v>
      </c>
      <c r="D14" s="59" t="s">
        <v>27</v>
      </c>
      <c r="E14" s="59" t="s">
        <v>28</v>
      </c>
      <c r="F14" s="59" t="s">
        <v>29</v>
      </c>
      <c r="G14" s="59" t="s">
        <v>25</v>
      </c>
      <c r="H14" s="59" t="s">
        <v>26</v>
      </c>
      <c r="I14" s="1"/>
      <c r="J14" s="2" t="str">
        <f t="shared" ref="J14" si="5">CONCATENATE(K13,1)</f>
        <v>41</v>
      </c>
      <c r="K14" s="4">
        <f t="array" ref="K14:M16">LINEST(B17:B20,C17:C20^{1,2},TRUE,TRUE)</f>
        <v>1.6099298491703782E-7</v>
      </c>
      <c r="L14" s="4">
        <v>0.99987823537763287</v>
      </c>
      <c r="M14" s="4">
        <v>6.3096472722892066E-4</v>
      </c>
      <c r="N14" s="1"/>
      <c r="O14" s="1"/>
      <c r="P14" s="1"/>
      <c r="Q14" s="1"/>
      <c r="R14" s="1"/>
      <c r="S14" s="1"/>
      <c r="T14" s="1"/>
      <c r="U14" s="2">
        <f t="shared" si="2"/>
        <v>1</v>
      </c>
      <c r="V14" s="2">
        <f t="shared" si="3"/>
        <v>213</v>
      </c>
    </row>
    <row r="15" spans="1:24" x14ac:dyDescent="0.3">
      <c r="A15" s="2">
        <f t="shared" si="1"/>
        <v>1214</v>
      </c>
      <c r="B15" s="60"/>
      <c r="C15" s="60"/>
      <c r="D15" s="60"/>
      <c r="E15" s="60"/>
      <c r="F15" s="60"/>
      <c r="G15" s="60"/>
      <c r="H15" s="60"/>
      <c r="I15" s="1"/>
      <c r="J15" s="2" t="str">
        <f t="shared" ref="J15" si="6">CONCATENATE(K13,2)</f>
        <v>42</v>
      </c>
      <c r="K15" s="4">
        <v>2.3580716939317514E-8</v>
      </c>
      <c r="L15" s="4">
        <v>1.2342701067484759E-5</v>
      </c>
      <c r="M15" s="4">
        <v>5.8186669056350005E-4</v>
      </c>
      <c r="N15" s="1"/>
      <c r="O15" s="1"/>
      <c r="P15" s="1"/>
      <c r="Q15" s="1"/>
      <c r="R15" s="1"/>
      <c r="S15" s="1"/>
      <c r="T15" s="1"/>
      <c r="U15" s="2">
        <f t="shared" si="2"/>
        <v>1</v>
      </c>
      <c r="V15" s="2">
        <f t="shared" si="3"/>
        <v>214</v>
      </c>
    </row>
    <row r="16" spans="1:24" x14ac:dyDescent="0.3">
      <c r="A16" s="2">
        <f t="shared" si="1"/>
        <v>1215</v>
      </c>
      <c r="B16" s="9" t="str">
        <f>CONCATENATE("(",H3,")")</f>
        <v>(g)</v>
      </c>
      <c r="C16" s="9" t="str">
        <f>B16</f>
        <v>(g)</v>
      </c>
      <c r="D16" s="9" t="str">
        <f>C16</f>
        <v>(g)</v>
      </c>
      <c r="E16" s="9"/>
      <c r="F16" s="9"/>
      <c r="G16" s="9" t="str">
        <f>B16</f>
        <v>(g)</v>
      </c>
      <c r="H16" s="9" t="str">
        <f>G16</f>
        <v>(g)</v>
      </c>
      <c r="I16" s="1"/>
      <c r="J16" s="2" t="str">
        <f t="shared" ref="J16" si="7">CONCATENATE(K13,3)</f>
        <v>43</v>
      </c>
      <c r="K16" s="4">
        <v>0.99999999999646783</v>
      </c>
      <c r="L16" s="4">
        <v>7.6749921583518788E-4</v>
      </c>
      <c r="M16" s="4" t="e">
        <v>#N/A</v>
      </c>
      <c r="N16" s="1"/>
      <c r="O16" s="1"/>
      <c r="P16" s="1"/>
      <c r="Q16" s="1"/>
      <c r="R16" s="1"/>
      <c r="S16" s="1"/>
      <c r="T16" s="1"/>
      <c r="U16" s="2">
        <f t="shared" si="2"/>
        <v>1</v>
      </c>
      <c r="V16" s="2">
        <f t="shared" si="3"/>
        <v>215</v>
      </c>
    </row>
    <row r="17" spans="1:22" x14ac:dyDescent="0.3">
      <c r="A17" s="2">
        <f t="shared" si="1"/>
        <v>1216</v>
      </c>
      <c r="B17" s="10">
        <v>1</v>
      </c>
      <c r="C17" s="10">
        <v>1</v>
      </c>
      <c r="D17" s="10">
        <v>0.02</v>
      </c>
      <c r="E17" s="10">
        <v>2</v>
      </c>
      <c r="F17" s="10">
        <v>1000000</v>
      </c>
      <c r="G17" s="8">
        <v>1</v>
      </c>
      <c r="H17" s="8">
        <v>1</v>
      </c>
      <c r="I17" s="1"/>
      <c r="J17" s="1"/>
      <c r="K17" s="1">
        <v>5</v>
      </c>
      <c r="L17" s="1">
        <v>5</v>
      </c>
      <c r="M17" s="1">
        <v>5</v>
      </c>
      <c r="N17" s="1">
        <v>5</v>
      </c>
      <c r="O17" s="1"/>
      <c r="P17" s="1"/>
      <c r="Q17" s="1"/>
      <c r="R17" s="1"/>
      <c r="S17" s="1"/>
      <c r="T17" s="1"/>
      <c r="U17" s="2">
        <f t="shared" si="2"/>
        <v>1</v>
      </c>
      <c r="V17" s="2">
        <f t="shared" si="3"/>
        <v>216</v>
      </c>
    </row>
    <row r="18" spans="1:22" x14ac:dyDescent="0.3">
      <c r="A18" s="2">
        <f t="shared" si="1"/>
        <v>1217</v>
      </c>
      <c r="B18" s="10">
        <v>10</v>
      </c>
      <c r="C18" s="10">
        <v>10</v>
      </c>
      <c r="D18" s="10">
        <v>0.02</v>
      </c>
      <c r="E18" s="10">
        <v>2</v>
      </c>
      <c r="F18" s="10">
        <v>1000000</v>
      </c>
      <c r="G18" s="8">
        <v>10</v>
      </c>
      <c r="H18" s="8">
        <v>10</v>
      </c>
      <c r="I18" s="1"/>
      <c r="J18" s="2" t="str">
        <f t="shared" ref="J18" si="8">CONCATENATE(K17,1)</f>
        <v>51</v>
      </c>
      <c r="K18" s="4">
        <f t="array" ref="K18:N20">LINEST(B17:B21,C17:C21^{1,2,3},TRUE,TRUE)</f>
        <v>-1.3331321946463963E-10</v>
      </c>
      <c r="L18" s="4">
        <v>2.4131470729752584E-7</v>
      </c>
      <c r="M18" s="4">
        <v>0.99987133915330628</v>
      </c>
      <c r="N18" s="4">
        <v>6.6080972994608453E-4</v>
      </c>
      <c r="O18" s="1"/>
      <c r="P18" s="1"/>
      <c r="Q18" s="1"/>
      <c r="R18" s="1"/>
      <c r="S18" s="1"/>
      <c r="T18" s="1"/>
      <c r="U18" s="2">
        <f t="shared" si="2"/>
        <v>1</v>
      </c>
      <c r="V18" s="2">
        <f t="shared" si="3"/>
        <v>217</v>
      </c>
    </row>
    <row r="19" spans="1:22" x14ac:dyDescent="0.3">
      <c r="A19" s="2">
        <f t="shared" si="1"/>
        <v>1218</v>
      </c>
      <c r="B19" s="10">
        <v>100</v>
      </c>
      <c r="C19" s="10">
        <v>100.01</v>
      </c>
      <c r="D19" s="10">
        <v>0.02</v>
      </c>
      <c r="E19" s="10">
        <v>2</v>
      </c>
      <c r="F19" s="10">
        <v>1000000</v>
      </c>
      <c r="G19" s="8">
        <v>100</v>
      </c>
      <c r="H19" s="8">
        <v>100.02</v>
      </c>
      <c r="I19" s="1"/>
      <c r="J19" s="2" t="str">
        <f t="shared" ref="J19" si="9">CONCATENATE(K17,2)</f>
        <v>52</v>
      </c>
      <c r="K19" s="4">
        <v>2.7804464016069604E-11</v>
      </c>
      <c r="L19" s="4">
        <v>4.1476257905424917E-8</v>
      </c>
      <c r="M19" s="4">
        <v>1.4382454196018039E-5</v>
      </c>
      <c r="N19" s="4">
        <v>6.1529876019187366E-4</v>
      </c>
      <c r="O19" s="1"/>
      <c r="P19" s="1"/>
      <c r="Q19" s="1"/>
      <c r="R19" s="1"/>
      <c r="S19" s="1"/>
      <c r="T19" s="1"/>
      <c r="U19" s="2">
        <f t="shared" si="2"/>
        <v>1</v>
      </c>
      <c r="V19" s="2">
        <f t="shared" si="3"/>
        <v>218</v>
      </c>
    </row>
    <row r="20" spans="1:22" x14ac:dyDescent="0.3">
      <c r="A20" s="2">
        <f t="shared" si="1"/>
        <v>1219</v>
      </c>
      <c r="B20" s="10">
        <v>500</v>
      </c>
      <c r="C20" s="10">
        <v>500.02</v>
      </c>
      <c r="D20" s="10">
        <v>0.02</v>
      </c>
      <c r="E20" s="10">
        <v>2</v>
      </c>
      <c r="F20" s="10">
        <v>1000000</v>
      </c>
      <c r="G20" s="8">
        <v>500</v>
      </c>
      <c r="H20" s="8">
        <v>500.02</v>
      </c>
      <c r="I20" s="1"/>
      <c r="J20" s="2" t="str">
        <f t="shared" ref="J20" si="10">CONCATENATE(K17,3)</f>
        <v>53</v>
      </c>
      <c r="K20" s="4">
        <v>0.99999999999912137</v>
      </c>
      <c r="L20" s="4">
        <v>8.0688331336098429E-4</v>
      </c>
      <c r="M20" s="4" t="e">
        <v>#N/A</v>
      </c>
      <c r="N20" s="4" t="e">
        <v>#N/A</v>
      </c>
      <c r="O20" s="1"/>
      <c r="P20" s="1"/>
      <c r="Q20" s="1"/>
      <c r="R20" s="1"/>
      <c r="S20" s="1"/>
      <c r="T20" s="1"/>
      <c r="U20" s="2">
        <f t="shared" si="2"/>
        <v>1</v>
      </c>
      <c r="V20" s="2">
        <f t="shared" si="3"/>
        <v>219</v>
      </c>
    </row>
    <row r="21" spans="1:22" x14ac:dyDescent="0.3">
      <c r="A21" s="2">
        <f t="shared" si="1"/>
        <v>1220</v>
      </c>
      <c r="B21" s="10">
        <v>1000</v>
      </c>
      <c r="C21" s="10">
        <v>1000.02</v>
      </c>
      <c r="D21" s="10">
        <v>0.03</v>
      </c>
      <c r="E21" s="10">
        <v>2</v>
      </c>
      <c r="F21" s="10">
        <v>574</v>
      </c>
      <c r="G21" s="8">
        <v>1000</v>
      </c>
      <c r="H21" s="8">
        <v>1000.02</v>
      </c>
      <c r="I21" s="1"/>
      <c r="J21" s="1"/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/>
      <c r="Q21" s="1"/>
      <c r="R21" s="1"/>
      <c r="S21" s="1"/>
      <c r="T21" s="1"/>
      <c r="U21" s="2">
        <f t="shared" si="2"/>
        <v>1</v>
      </c>
      <c r="V21" s="2">
        <f t="shared" si="3"/>
        <v>220</v>
      </c>
    </row>
    <row r="22" spans="1:22" x14ac:dyDescent="0.3">
      <c r="A22" s="2">
        <f t="shared" si="1"/>
        <v>1221</v>
      </c>
      <c r="B22" s="10">
        <v>1500</v>
      </c>
      <c r="C22" s="10">
        <v>1500.02</v>
      </c>
      <c r="D22" s="10">
        <v>0.04</v>
      </c>
      <c r="E22" s="10">
        <v>2</v>
      </c>
      <c r="F22" s="10">
        <v>1000000</v>
      </c>
      <c r="G22" s="8">
        <v>1500</v>
      </c>
      <c r="H22" s="8">
        <v>1500.01</v>
      </c>
      <c r="I22" s="1"/>
      <c r="J22" s="2" t="str">
        <f t="shared" ref="J22" si="11">CONCATENATE(K21,1)</f>
        <v>61</v>
      </c>
      <c r="K22" s="4">
        <f t="array" ref="K22:O24">LINEST(B17:B22,C17:C22^{1,2,3,4},TRUE,TRUE)</f>
        <v>7.557859177220636E-14</v>
      </c>
      <c r="L22" s="4">
        <v>-2.543442661690892E-10</v>
      </c>
      <c r="M22" s="4">
        <v>2.9064189875800583E-7</v>
      </c>
      <c r="N22" s="4">
        <v>0.99986744854034415</v>
      </c>
      <c r="O22" s="4">
        <v>6.7710540109315598E-4</v>
      </c>
      <c r="P22" s="1"/>
      <c r="Q22" s="1"/>
      <c r="R22" s="1"/>
      <c r="S22" s="1"/>
      <c r="T22" s="1"/>
      <c r="U22" s="2">
        <f t="shared" si="2"/>
        <v>1</v>
      </c>
      <c r="V22" s="2">
        <f t="shared" si="3"/>
        <v>221</v>
      </c>
    </row>
    <row r="23" spans="1:22" x14ac:dyDescent="0.3">
      <c r="A23" s="2">
        <f t="shared" si="1"/>
        <v>1222</v>
      </c>
      <c r="B23" s="10">
        <v>2000</v>
      </c>
      <c r="C23" s="10">
        <v>1999.99</v>
      </c>
      <c r="D23" s="10">
        <v>0.05</v>
      </c>
      <c r="E23" s="10">
        <v>2</v>
      </c>
      <c r="F23" s="10">
        <v>1000000</v>
      </c>
      <c r="G23" s="8">
        <v>2000</v>
      </c>
      <c r="H23" s="8">
        <v>2000</v>
      </c>
      <c r="I23" s="1"/>
      <c r="J23" s="2" t="str">
        <f t="shared" ref="J23" si="12">CONCATENATE(K21,2)</f>
        <v>62</v>
      </c>
      <c r="K23" s="4">
        <v>2.12769655560773E-14</v>
      </c>
      <c r="L23" s="4">
        <v>6.2493041924165949E-11</v>
      </c>
      <c r="M23" s="4">
        <v>5.6261885318157352E-8</v>
      </c>
      <c r="N23" s="4">
        <v>1.5814432834729858E-5</v>
      </c>
      <c r="O23" s="4">
        <v>6.3470968845794214E-4</v>
      </c>
      <c r="P23" s="1"/>
      <c r="Q23" s="1"/>
      <c r="R23" s="1"/>
      <c r="S23" s="1"/>
      <c r="T23" s="1"/>
      <c r="U23" s="2">
        <f t="shared" si="2"/>
        <v>1</v>
      </c>
      <c r="V23" s="2">
        <f t="shared" si="3"/>
        <v>222</v>
      </c>
    </row>
    <row r="24" spans="1:22" x14ac:dyDescent="0.3">
      <c r="A24" s="2">
        <f t="shared" si="1"/>
        <v>1223</v>
      </c>
      <c r="B24" s="10"/>
      <c r="C24" s="10"/>
      <c r="D24" s="10"/>
      <c r="E24" s="10"/>
      <c r="F24" s="10"/>
      <c r="G24" s="8"/>
      <c r="H24" s="8"/>
      <c r="I24" s="1"/>
      <c r="J24" s="2" t="str">
        <f t="shared" ref="J24" si="13">CONCATENATE(K21,3)</f>
        <v>63</v>
      </c>
      <c r="K24" s="4">
        <v>0.99999999999963773</v>
      </c>
      <c r="L24" s="4">
        <v>8.2905972760549673E-4</v>
      </c>
      <c r="M24" s="4" t="e">
        <v>#N/A</v>
      </c>
      <c r="N24" s="4" t="e">
        <v>#N/A</v>
      </c>
      <c r="O24" s="4" t="e">
        <v>#N/A</v>
      </c>
      <c r="P24" s="1"/>
      <c r="Q24" s="1"/>
      <c r="R24" s="1"/>
      <c r="S24" s="1"/>
      <c r="T24" s="1"/>
      <c r="U24" s="2">
        <f t="shared" si="2"/>
        <v>1</v>
      </c>
      <c r="V24" s="2">
        <f t="shared" si="3"/>
        <v>223</v>
      </c>
    </row>
    <row r="25" spans="1:22" x14ac:dyDescent="0.3">
      <c r="A25" s="2">
        <f t="shared" si="1"/>
        <v>1224</v>
      </c>
      <c r="B25" s="10"/>
      <c r="C25" s="10"/>
      <c r="D25" s="10"/>
      <c r="E25" s="10"/>
      <c r="F25" s="10"/>
      <c r="G25" s="8"/>
      <c r="H25" s="8"/>
      <c r="I25" s="1"/>
      <c r="J25" s="1"/>
      <c r="K25" s="1">
        <v>7</v>
      </c>
      <c r="L25" s="1">
        <v>7</v>
      </c>
      <c r="M25" s="1">
        <v>7</v>
      </c>
      <c r="N25" s="1">
        <v>7</v>
      </c>
      <c r="O25" s="1">
        <v>7</v>
      </c>
      <c r="P25" s="1">
        <v>7</v>
      </c>
      <c r="Q25" s="1"/>
      <c r="R25" s="1"/>
      <c r="S25" s="1"/>
      <c r="T25" s="1"/>
      <c r="U25" s="2">
        <f t="shared" si="2"/>
        <v>1</v>
      </c>
      <c r="V25" s="2">
        <f t="shared" si="3"/>
        <v>224</v>
      </c>
    </row>
    <row r="26" spans="1:22" x14ac:dyDescent="0.3">
      <c r="A26" s="2">
        <f t="shared" si="1"/>
        <v>1225</v>
      </c>
      <c r="B26" s="10"/>
      <c r="C26" s="10"/>
      <c r="D26" s="10"/>
      <c r="E26" s="10"/>
      <c r="F26" s="10"/>
      <c r="G26" s="8"/>
      <c r="H26" s="8"/>
      <c r="I26" s="1"/>
      <c r="J26" s="2" t="str">
        <f t="shared" ref="J26" si="14">CONCATENATE(K25,1)</f>
        <v>71</v>
      </c>
      <c r="K26" s="4">
        <f t="array" ref="K26:P28">LINEST(B17:B23,C17:C23^{1,2,3,4,5},TRUE,TRUE)</f>
        <v>-2.1946623841346573E-17</v>
      </c>
      <c r="L26" s="4">
        <v>1.435668068304213E-13</v>
      </c>
      <c r="M26" s="4">
        <v>-3.21167452306003E-10</v>
      </c>
      <c r="N26" s="4">
        <v>3.1307290236240752E-7</v>
      </c>
      <c r="O26" s="4">
        <v>0.99986579442207157</v>
      </c>
      <c r="P26" s="4">
        <v>6.8337237960630626E-4</v>
      </c>
      <c r="Q26" s="1"/>
      <c r="R26" s="1"/>
      <c r="S26" s="1"/>
      <c r="T26" s="1"/>
      <c r="U26" s="2">
        <f t="shared" si="2"/>
        <v>1</v>
      </c>
      <c r="V26" s="2">
        <f t="shared" si="3"/>
        <v>225</v>
      </c>
    </row>
    <row r="27" spans="1:22" x14ac:dyDescent="0.3">
      <c r="A27" s="2">
        <f t="shared" si="1"/>
        <v>1226</v>
      </c>
      <c r="B27" s="61" t="s">
        <v>44</v>
      </c>
      <c r="C27" s="61"/>
      <c r="D27" s="61"/>
      <c r="E27" s="61"/>
      <c r="F27" s="61"/>
      <c r="G27" s="61"/>
      <c r="H27" s="61"/>
      <c r="I27" s="1"/>
      <c r="J27" s="2" t="str">
        <f t="shared" ref="J27" si="15">CONCATENATE(K25,2)</f>
        <v>72</v>
      </c>
      <c r="K27" s="4">
        <v>1.2284160604466631E-17</v>
      </c>
      <c r="L27" s="4">
        <v>5.9398575523135585E-14</v>
      </c>
      <c r="M27" s="4">
        <v>1.0002140405462742E-10</v>
      </c>
      <c r="N27" s="4">
        <v>6.8955531727232119E-8</v>
      </c>
      <c r="O27" s="4">
        <v>1.6840578914078803E-5</v>
      </c>
      <c r="P27" s="4">
        <v>6.4401317323235254E-4</v>
      </c>
      <c r="Q27" s="1"/>
      <c r="R27" s="1"/>
      <c r="S27" s="1"/>
      <c r="T27" s="1"/>
      <c r="U27" s="2">
        <f t="shared" si="2"/>
        <v>1</v>
      </c>
      <c r="V27" s="2">
        <f t="shared" si="3"/>
        <v>226</v>
      </c>
    </row>
    <row r="28" spans="1:22" x14ac:dyDescent="0.3">
      <c r="A28" s="2">
        <f t="shared" si="1"/>
        <v>1227</v>
      </c>
      <c r="B28" s="4" t="s">
        <v>45</v>
      </c>
      <c r="C28" s="4" t="s">
        <v>46</v>
      </c>
      <c r="D28" s="4" t="s">
        <v>47</v>
      </c>
      <c r="E28" s="4" t="s">
        <v>48</v>
      </c>
      <c r="F28" s="4" t="s">
        <v>49</v>
      </c>
      <c r="G28" s="4" t="s">
        <v>50</v>
      </c>
      <c r="H28" s="4" t="s">
        <v>46</v>
      </c>
      <c r="I28" s="1"/>
      <c r="J28" s="2" t="str">
        <f t="shared" ref="J28" si="16">CONCATENATE(K25,3)</f>
        <v>73</v>
      </c>
      <c r="K28" s="4">
        <v>0.99999999999981382</v>
      </c>
      <c r="L28" s="4">
        <v>8.3868147318000297E-4</v>
      </c>
      <c r="M28" s="4" t="e">
        <v>#N/A</v>
      </c>
      <c r="N28" s="4" t="e">
        <v>#N/A</v>
      </c>
      <c r="O28" s="4" t="e">
        <v>#N/A</v>
      </c>
      <c r="P28" s="4" t="e">
        <v>#N/A</v>
      </c>
      <c r="Q28" s="1"/>
      <c r="R28" s="1"/>
      <c r="S28" s="1"/>
      <c r="T28" s="1"/>
      <c r="U28" s="2">
        <f t="shared" si="2"/>
        <v>1</v>
      </c>
      <c r="V28" s="2">
        <f t="shared" si="3"/>
        <v>227</v>
      </c>
    </row>
    <row r="29" spans="1:22" x14ac:dyDescent="0.3">
      <c r="A29" s="2">
        <f t="shared" si="1"/>
        <v>1228</v>
      </c>
      <c r="B29" s="10">
        <v>500</v>
      </c>
      <c r="C29" s="10">
        <v>500.02</v>
      </c>
      <c r="D29" s="10">
        <v>500.01</v>
      </c>
      <c r="E29" s="10">
        <v>500.01</v>
      </c>
      <c r="F29" s="10">
        <v>500.02</v>
      </c>
      <c r="G29" s="10">
        <v>499.99</v>
      </c>
      <c r="H29" s="10">
        <v>500.02</v>
      </c>
      <c r="I29" s="1"/>
      <c r="J29" s="1"/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  <c r="R29" s="1"/>
      <c r="S29" s="1"/>
      <c r="T29" s="1"/>
      <c r="U29" s="2">
        <f t="shared" si="2"/>
        <v>1</v>
      </c>
      <c r="V29" s="2">
        <f t="shared" si="3"/>
        <v>228</v>
      </c>
    </row>
    <row r="30" spans="1:22" x14ac:dyDescent="0.3">
      <c r="A30" s="2">
        <f t="shared" si="1"/>
        <v>1229</v>
      </c>
      <c r="I30" s="1"/>
      <c r="J30" s="2" t="str">
        <f t="shared" ref="J30" si="17">CONCATENATE(K29,1)</f>
        <v>81</v>
      </c>
      <c r="K30" s="4" t="e">
        <f t="array" ref="K30:Q32">LINEST(B17:B24,C17:C24^{1,2,3,4,5,6},TRUE,TRUE)</f>
        <v>#VALUE!</v>
      </c>
      <c r="L30" s="4" t="e">
        <v>#VALUE!</v>
      </c>
      <c r="M30" s="4" t="e">
        <v>#VALUE!</v>
      </c>
      <c r="N30" s="4" t="e">
        <v>#VALUE!</v>
      </c>
      <c r="O30" s="4" t="e">
        <v>#VALUE!</v>
      </c>
      <c r="P30" s="4" t="e">
        <v>#VALUE!</v>
      </c>
      <c r="Q30" s="4" t="e">
        <v>#VALUE!</v>
      </c>
      <c r="R30" s="1"/>
      <c r="S30" s="1"/>
      <c r="T30" s="1"/>
      <c r="U30" s="2">
        <f t="shared" si="2"/>
        <v>1</v>
      </c>
      <c r="V30" s="2">
        <f t="shared" si="3"/>
        <v>229</v>
      </c>
    </row>
    <row r="31" spans="1:22" x14ac:dyDescent="0.3">
      <c r="A31" s="2">
        <f t="shared" si="1"/>
        <v>1230</v>
      </c>
      <c r="B31" s="58" t="s">
        <v>30</v>
      </c>
      <c r="C31" s="58"/>
      <c r="D31" s="58"/>
      <c r="E31" s="58"/>
      <c r="F31" s="58"/>
      <c r="G31" s="58"/>
      <c r="H31" s="58"/>
      <c r="I31" s="1"/>
      <c r="J31" s="2" t="str">
        <f t="shared" ref="J31" si="18">CONCATENATE(K29,2)</f>
        <v>82</v>
      </c>
      <c r="K31" s="4" t="e">
        <v>#VALUE!</v>
      </c>
      <c r="L31" s="4" t="e">
        <v>#VALUE!</v>
      </c>
      <c r="M31" s="4" t="e">
        <v>#VALUE!</v>
      </c>
      <c r="N31" s="4" t="e">
        <v>#VALUE!</v>
      </c>
      <c r="O31" s="4" t="e">
        <v>#VALUE!</v>
      </c>
      <c r="P31" s="4" t="e">
        <v>#VALUE!</v>
      </c>
      <c r="Q31" s="4" t="e">
        <v>#VALUE!</v>
      </c>
      <c r="R31" s="1"/>
      <c r="S31" s="1"/>
      <c r="T31" s="1"/>
      <c r="U31" s="2">
        <f t="shared" si="2"/>
        <v>1</v>
      </c>
      <c r="V31" s="2">
        <f t="shared" si="3"/>
        <v>230</v>
      </c>
    </row>
    <row r="32" spans="1:22" x14ac:dyDescent="0.3">
      <c r="A32" s="2">
        <f t="shared" si="1"/>
        <v>1231</v>
      </c>
      <c r="B32" s="62"/>
      <c r="C32" s="62"/>
      <c r="D32" s="62"/>
      <c r="E32" s="62"/>
      <c r="F32" s="62"/>
      <c r="G32" s="62"/>
      <c r="H32" s="62"/>
      <c r="I32" s="1"/>
      <c r="J32" s="2" t="str">
        <f t="shared" ref="J32" si="19">CONCATENATE(K29,3)</f>
        <v>83</v>
      </c>
      <c r="K32" s="4" t="e">
        <v>#VALUE!</v>
      </c>
      <c r="L32" s="4" t="e">
        <v>#VALUE!</v>
      </c>
      <c r="M32" s="4" t="e">
        <v>#VALUE!</v>
      </c>
      <c r="N32" s="4" t="e">
        <v>#VALUE!</v>
      </c>
      <c r="O32" s="4" t="e">
        <v>#VALUE!</v>
      </c>
      <c r="P32" s="4" t="e">
        <v>#VALUE!</v>
      </c>
      <c r="Q32" s="4" t="e">
        <v>#VALUE!</v>
      </c>
      <c r="R32" s="1"/>
      <c r="S32" s="1"/>
      <c r="T32" s="1"/>
      <c r="U32" s="2">
        <f t="shared" si="2"/>
        <v>1</v>
      </c>
      <c r="V32" s="2">
        <f t="shared" si="3"/>
        <v>231</v>
      </c>
    </row>
    <row r="33" spans="1:22" x14ac:dyDescent="0.3">
      <c r="A33" s="2">
        <f t="shared" si="1"/>
        <v>1232</v>
      </c>
      <c r="B33" s="62"/>
      <c r="C33" s="62"/>
      <c r="D33" s="62"/>
      <c r="E33" s="62"/>
      <c r="F33" s="62"/>
      <c r="G33" s="62"/>
      <c r="H33" s="62"/>
      <c r="I33" s="1"/>
      <c r="J33" s="1"/>
      <c r="K33" s="1">
        <v>9</v>
      </c>
      <c r="L33" s="1">
        <v>9</v>
      </c>
      <c r="M33" s="1">
        <v>9</v>
      </c>
      <c r="N33" s="1">
        <v>9</v>
      </c>
      <c r="O33" s="1">
        <v>9</v>
      </c>
      <c r="P33" s="1">
        <v>9</v>
      </c>
      <c r="Q33" s="1">
        <v>9</v>
      </c>
      <c r="R33" s="1">
        <v>9</v>
      </c>
      <c r="S33" s="1"/>
      <c r="T33" s="1"/>
      <c r="U33" s="2">
        <f t="shared" si="2"/>
        <v>1</v>
      </c>
      <c r="V33" s="2">
        <f t="shared" si="3"/>
        <v>232</v>
      </c>
    </row>
    <row r="34" spans="1:22" x14ac:dyDescent="0.3">
      <c r="A34" s="2">
        <f t="shared" si="1"/>
        <v>1233</v>
      </c>
      <c r="B34" s="1"/>
      <c r="C34" s="1"/>
      <c r="D34" s="1"/>
      <c r="E34" s="1"/>
      <c r="F34" s="1"/>
      <c r="G34" s="1"/>
      <c r="H34" s="1"/>
      <c r="I34" s="1"/>
      <c r="J34" s="2" t="str">
        <f t="shared" ref="J34" si="20">CONCATENATE(K33,1)</f>
        <v>91</v>
      </c>
      <c r="K34" s="4" t="e">
        <f t="array" ref="K34:R36">LINEST(B17:B25,C17:C25^{1,2,3,4,5,6,7},TRUE,TRUE)</f>
        <v>#VALUE!</v>
      </c>
      <c r="L34" s="4" t="e">
        <v>#VALUE!</v>
      </c>
      <c r="M34" s="4" t="e">
        <v>#VALUE!</v>
      </c>
      <c r="N34" s="4" t="e">
        <v>#VALUE!</v>
      </c>
      <c r="O34" s="4" t="e">
        <v>#VALUE!</v>
      </c>
      <c r="P34" s="4" t="e">
        <v>#VALUE!</v>
      </c>
      <c r="Q34" s="4" t="e">
        <v>#VALUE!</v>
      </c>
      <c r="R34" s="4" t="e">
        <v>#VALUE!</v>
      </c>
      <c r="S34" s="1"/>
      <c r="T34" s="1"/>
      <c r="U34" s="2">
        <f t="shared" si="2"/>
        <v>1</v>
      </c>
      <c r="V34" s="2">
        <f t="shared" si="3"/>
        <v>233</v>
      </c>
    </row>
    <row r="35" spans="1:22" x14ac:dyDescent="0.3">
      <c r="A35" s="2">
        <f t="shared" si="1"/>
        <v>1234</v>
      </c>
      <c r="B35" s="5" t="s">
        <v>31</v>
      </c>
      <c r="C35" s="5" t="s">
        <v>32</v>
      </c>
      <c r="D35" s="5" t="s">
        <v>33</v>
      </c>
      <c r="E35" s="4" t="s">
        <v>34</v>
      </c>
      <c r="F35" s="57" t="s">
        <v>35</v>
      </c>
      <c r="G35" s="58"/>
      <c r="H35" s="58"/>
      <c r="I35" s="1"/>
      <c r="J35" s="2" t="str">
        <f t="shared" ref="J35" si="21">CONCATENATE(K33,2)</f>
        <v>92</v>
      </c>
      <c r="K35" s="4" t="e">
        <v>#VALUE!</v>
      </c>
      <c r="L35" s="4" t="e">
        <v>#VALUE!</v>
      </c>
      <c r="M35" s="4" t="e">
        <v>#VALUE!</v>
      </c>
      <c r="N35" s="4" t="e">
        <v>#VALUE!</v>
      </c>
      <c r="O35" s="4" t="e">
        <v>#VALUE!</v>
      </c>
      <c r="P35" s="4" t="e">
        <v>#VALUE!</v>
      </c>
      <c r="Q35" s="4" t="e">
        <v>#VALUE!</v>
      </c>
      <c r="R35" s="4" t="e">
        <v>#VALUE!</v>
      </c>
      <c r="S35" s="1"/>
      <c r="T35" s="1"/>
      <c r="U35" s="2">
        <f t="shared" si="2"/>
        <v>1</v>
      </c>
      <c r="V35" s="2">
        <f t="shared" si="3"/>
        <v>234</v>
      </c>
    </row>
    <row r="36" spans="1:22" x14ac:dyDescent="0.3">
      <c r="A36" s="2">
        <f t="shared" si="1"/>
        <v>1235</v>
      </c>
      <c r="B36" s="5">
        <f t="shared" ref="B36:B45" si="22">C17-B17</f>
        <v>0</v>
      </c>
      <c r="C36" s="5">
        <f t="shared" ref="C36:C45" si="23">H17-G17</f>
        <v>0</v>
      </c>
      <c r="D36" s="5">
        <f>C36-B36</f>
        <v>0</v>
      </c>
      <c r="E36" s="4">
        <f t="shared" ref="E36:E45" si="24">D17</f>
        <v>0.02</v>
      </c>
      <c r="F36" s="11">
        <f>IF(D4="","",MAX(G36,H36))</f>
        <v>9.9999999999909051E-3</v>
      </c>
      <c r="G36" s="5">
        <f>ABS(MIN(D36:D45))</f>
        <v>9.9999999999909051E-3</v>
      </c>
      <c r="H36" s="5">
        <f>ABS(MAX(D36:D45))</f>
        <v>9.9999999999909051E-3</v>
      </c>
      <c r="I36" s="1"/>
      <c r="J36" s="2" t="str">
        <f t="shared" ref="J36" si="25">CONCATENATE(K33,3)</f>
        <v>93</v>
      </c>
      <c r="K36" s="4" t="e">
        <v>#VALUE!</v>
      </c>
      <c r="L36" s="4" t="e">
        <v>#VALUE!</v>
      </c>
      <c r="M36" s="4" t="e">
        <v>#VALUE!</v>
      </c>
      <c r="N36" s="4" t="e">
        <v>#VALUE!</v>
      </c>
      <c r="O36" s="4" t="e">
        <v>#VALUE!</v>
      </c>
      <c r="P36" s="4" t="e">
        <v>#VALUE!</v>
      </c>
      <c r="Q36" s="4" t="e">
        <v>#VALUE!</v>
      </c>
      <c r="R36" s="4" t="e">
        <v>#VALUE!</v>
      </c>
      <c r="S36" s="1"/>
      <c r="T36" s="1"/>
      <c r="U36" s="2">
        <f t="shared" si="2"/>
        <v>1</v>
      </c>
      <c r="V36" s="2">
        <f t="shared" si="3"/>
        <v>235</v>
      </c>
    </row>
    <row r="37" spans="1:22" x14ac:dyDescent="0.3">
      <c r="A37" s="2">
        <f t="shared" si="1"/>
        <v>1236</v>
      </c>
      <c r="B37" s="5">
        <f t="shared" si="22"/>
        <v>0</v>
      </c>
      <c r="C37" s="5">
        <f t="shared" si="23"/>
        <v>0</v>
      </c>
      <c r="D37" s="5">
        <f t="shared" ref="D37:D45" si="26">C37-B37</f>
        <v>0</v>
      </c>
      <c r="E37" s="4">
        <f t="shared" si="24"/>
        <v>0.02</v>
      </c>
      <c r="F37" s="57" t="s">
        <v>36</v>
      </c>
      <c r="G37" s="58"/>
      <c r="H37" s="58"/>
      <c r="I37" s="1"/>
      <c r="J37" s="1"/>
      <c r="K37" s="1">
        <v>10</v>
      </c>
      <c r="L37" s="1">
        <v>10</v>
      </c>
      <c r="M37" s="1">
        <v>10</v>
      </c>
      <c r="N37" s="1">
        <v>10</v>
      </c>
      <c r="O37" s="1">
        <v>10</v>
      </c>
      <c r="P37" s="1">
        <v>10</v>
      </c>
      <c r="Q37" s="1">
        <v>10</v>
      </c>
      <c r="R37" s="1">
        <v>10</v>
      </c>
      <c r="S37" s="1">
        <v>10</v>
      </c>
      <c r="T37" s="1"/>
      <c r="U37" s="2">
        <f t="shared" si="2"/>
        <v>1</v>
      </c>
      <c r="V37" s="2">
        <f t="shared" si="3"/>
        <v>236</v>
      </c>
    </row>
    <row r="38" spans="1:22" x14ac:dyDescent="0.3">
      <c r="A38" s="2">
        <f t="shared" si="1"/>
        <v>1237</v>
      </c>
      <c r="B38" s="5">
        <f t="shared" si="22"/>
        <v>1.0000000000005116E-2</v>
      </c>
      <c r="C38" s="5">
        <f t="shared" si="23"/>
        <v>1.9999999999996021E-2</v>
      </c>
      <c r="D38" s="5">
        <f t="shared" si="26"/>
        <v>9.9999999999909051E-3</v>
      </c>
      <c r="E38" s="4">
        <f t="shared" si="24"/>
        <v>0.02</v>
      </c>
      <c r="F38" s="11">
        <f>IF(D4="","",MAX(G38,H38))</f>
        <v>1.999999999998181E-2</v>
      </c>
      <c r="G38" s="5">
        <f>ABS(MIN(B36:B45))</f>
        <v>9.9999999999909051E-3</v>
      </c>
      <c r="H38" s="5">
        <f>ABS(MAX(B36:B45))</f>
        <v>1.999999999998181E-2</v>
      </c>
      <c r="I38" s="1"/>
      <c r="J38" s="2" t="str">
        <f t="shared" ref="J38" si="27">CONCATENATE(K37,1)</f>
        <v>101</v>
      </c>
      <c r="K38" s="4" t="e">
        <f t="array" ref="K38:S40">LINEST(B17:B26,C17:C26^{1,2,3,4,5,6,7,8},TRUE,TRUE)</f>
        <v>#VALUE!</v>
      </c>
      <c r="L38" s="4" t="e">
        <v>#VALUE!</v>
      </c>
      <c r="M38" s="4" t="e">
        <v>#VALUE!</v>
      </c>
      <c r="N38" s="4" t="e">
        <v>#VALUE!</v>
      </c>
      <c r="O38" s="4" t="e">
        <v>#VALUE!</v>
      </c>
      <c r="P38" s="4" t="e">
        <v>#VALUE!</v>
      </c>
      <c r="Q38" s="4" t="e">
        <v>#VALUE!</v>
      </c>
      <c r="R38" s="4" t="e">
        <v>#VALUE!</v>
      </c>
      <c r="S38" s="4" t="e">
        <v>#VALUE!</v>
      </c>
      <c r="T38" s="1"/>
      <c r="U38" s="2">
        <f t="shared" si="2"/>
        <v>1</v>
      </c>
      <c r="V38" s="2">
        <f t="shared" si="3"/>
        <v>237</v>
      </c>
    </row>
    <row r="39" spans="1:22" x14ac:dyDescent="0.3">
      <c r="A39" s="2">
        <f t="shared" si="1"/>
        <v>1238</v>
      </c>
      <c r="B39" s="5">
        <f t="shared" si="22"/>
        <v>1.999999999998181E-2</v>
      </c>
      <c r="C39" s="5">
        <f t="shared" si="23"/>
        <v>1.999999999998181E-2</v>
      </c>
      <c r="D39" s="5">
        <f t="shared" si="26"/>
        <v>0</v>
      </c>
      <c r="E39" s="4">
        <f t="shared" si="24"/>
        <v>0.02</v>
      </c>
      <c r="F39" s="57" t="s">
        <v>37</v>
      </c>
      <c r="G39" s="58"/>
      <c r="H39" s="58"/>
      <c r="I39" s="1"/>
      <c r="J39" s="2" t="str">
        <f t="shared" ref="J39" si="28">CONCATENATE(K37,2)</f>
        <v>102</v>
      </c>
      <c r="K39" s="4" t="e">
        <v>#VALUE!</v>
      </c>
      <c r="L39" s="4" t="e">
        <v>#VALUE!</v>
      </c>
      <c r="M39" s="4" t="e">
        <v>#VALUE!</v>
      </c>
      <c r="N39" s="4" t="e">
        <v>#VALUE!</v>
      </c>
      <c r="O39" s="4" t="e">
        <v>#VALUE!</v>
      </c>
      <c r="P39" s="4" t="e">
        <v>#VALUE!</v>
      </c>
      <c r="Q39" s="4" t="e">
        <v>#VALUE!</v>
      </c>
      <c r="R39" s="4" t="e">
        <v>#VALUE!</v>
      </c>
      <c r="S39" s="4" t="e">
        <v>#VALUE!</v>
      </c>
      <c r="T39" s="1"/>
      <c r="U39" s="2">
        <f t="shared" si="2"/>
        <v>1</v>
      </c>
      <c r="V39" s="2">
        <f t="shared" si="3"/>
        <v>238</v>
      </c>
    </row>
    <row r="40" spans="1:22" x14ac:dyDescent="0.3">
      <c r="A40" s="2">
        <f t="shared" si="1"/>
        <v>1239</v>
      </c>
      <c r="B40" s="5">
        <f t="shared" si="22"/>
        <v>1.999999999998181E-2</v>
      </c>
      <c r="C40" s="5">
        <f t="shared" si="23"/>
        <v>1.999999999998181E-2</v>
      </c>
      <c r="D40" s="5">
        <f t="shared" si="26"/>
        <v>0</v>
      </c>
      <c r="E40" s="4">
        <f t="shared" si="24"/>
        <v>0.03</v>
      </c>
      <c r="F40" s="11">
        <f>IF(D4="","",MAX(G40,H40))</f>
        <v>0.05</v>
      </c>
      <c r="G40" s="5">
        <f>ABS(MIN(E36:E45))</f>
        <v>0</v>
      </c>
      <c r="H40" s="5">
        <f>ABS(MAX(E36:E45))</f>
        <v>0.05</v>
      </c>
      <c r="I40" s="1"/>
      <c r="J40" s="2" t="str">
        <f t="shared" ref="J40" si="29">CONCATENATE(K37,3)</f>
        <v>103</v>
      </c>
      <c r="K40" s="4" t="e">
        <v>#VALUE!</v>
      </c>
      <c r="L40" s="4" t="e">
        <v>#VALUE!</v>
      </c>
      <c r="M40" s="4" t="e">
        <v>#VALUE!</v>
      </c>
      <c r="N40" s="4" t="e">
        <v>#VALUE!</v>
      </c>
      <c r="O40" s="4" t="e">
        <v>#VALUE!</v>
      </c>
      <c r="P40" s="4" t="e">
        <v>#VALUE!</v>
      </c>
      <c r="Q40" s="4" t="e">
        <v>#VALUE!</v>
      </c>
      <c r="R40" s="4" t="e">
        <v>#VALUE!</v>
      </c>
      <c r="S40" s="4" t="e">
        <v>#VALUE!</v>
      </c>
      <c r="T40" s="1"/>
      <c r="U40" s="2">
        <f t="shared" si="2"/>
        <v>1</v>
      </c>
      <c r="V40" s="2">
        <f t="shared" si="3"/>
        <v>239</v>
      </c>
    </row>
    <row r="41" spans="1:22" x14ac:dyDescent="0.3">
      <c r="A41" s="2">
        <f t="shared" si="1"/>
        <v>1240</v>
      </c>
      <c r="B41" s="5">
        <f t="shared" si="22"/>
        <v>1.999999999998181E-2</v>
      </c>
      <c r="C41" s="5">
        <f t="shared" si="23"/>
        <v>9.9999999999909051E-3</v>
      </c>
      <c r="D41" s="5">
        <f t="shared" si="26"/>
        <v>-9.9999999999909051E-3</v>
      </c>
      <c r="E41" s="4">
        <f t="shared" si="24"/>
        <v>0.04</v>
      </c>
      <c r="F41" s="57" t="s">
        <v>51</v>
      </c>
      <c r="G41" s="58"/>
      <c r="H41" s="5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2">
        <f t="shared" si="2"/>
        <v>1</v>
      </c>
      <c r="V41" s="2">
        <f t="shared" si="3"/>
        <v>240</v>
      </c>
    </row>
    <row r="42" spans="1:22" x14ac:dyDescent="0.3">
      <c r="A42" s="2">
        <f t="shared" si="1"/>
        <v>1241</v>
      </c>
      <c r="B42" s="5">
        <f t="shared" si="22"/>
        <v>-9.9999999999909051E-3</v>
      </c>
      <c r="C42" s="5">
        <f t="shared" si="23"/>
        <v>0</v>
      </c>
      <c r="D42" s="5">
        <f t="shared" si="26"/>
        <v>9.9999999999909051E-3</v>
      </c>
      <c r="E42" s="4">
        <f t="shared" si="24"/>
        <v>0.05</v>
      </c>
      <c r="F42" s="21">
        <f>MAX(G42:H44)</f>
        <v>1.999999999998181E-2</v>
      </c>
      <c r="G42" s="4">
        <f>IF(C29="",0,ABS(C29-B29))</f>
        <v>1.999999999998181E-2</v>
      </c>
      <c r="H42" s="4">
        <f>IF(F29="",0,ABS(F29-B29))</f>
        <v>1.999999999998181E-2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2">
        <f t="shared" si="2"/>
        <v>1</v>
      </c>
      <c r="V42" s="2">
        <f t="shared" si="3"/>
        <v>241</v>
      </c>
    </row>
    <row r="43" spans="1:22" x14ac:dyDescent="0.3">
      <c r="A43" s="2">
        <f t="shared" si="1"/>
        <v>1242</v>
      </c>
      <c r="B43" s="5">
        <f t="shared" si="22"/>
        <v>0</v>
      </c>
      <c r="C43" s="5">
        <f t="shared" si="23"/>
        <v>0</v>
      </c>
      <c r="D43" s="5">
        <f t="shared" si="26"/>
        <v>0</v>
      </c>
      <c r="E43" s="4">
        <f t="shared" si="24"/>
        <v>0</v>
      </c>
      <c r="F43" s="4" t="s">
        <v>52</v>
      </c>
      <c r="G43" s="4">
        <f>IF(D29="",0,ABS(D29-B29))</f>
        <v>9.9999999999909051E-3</v>
      </c>
      <c r="H43" s="4">
        <f>IF(G29="",0,ABS(G29-B29))</f>
        <v>9.9999999999909051E-3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>
        <f t="shared" si="2"/>
        <v>1</v>
      </c>
      <c r="V43" s="2">
        <f t="shared" si="3"/>
        <v>242</v>
      </c>
    </row>
    <row r="44" spans="1:22" x14ac:dyDescent="0.3">
      <c r="A44" s="2">
        <f t="shared" si="1"/>
        <v>1243</v>
      </c>
      <c r="B44" s="5">
        <f t="shared" si="22"/>
        <v>0</v>
      </c>
      <c r="C44" s="5">
        <f t="shared" si="23"/>
        <v>0</v>
      </c>
      <c r="D44" s="5">
        <f t="shared" si="26"/>
        <v>0</v>
      </c>
      <c r="E44" s="4">
        <f t="shared" si="24"/>
        <v>0</v>
      </c>
      <c r="F44" s="22">
        <f>IF(F42=0,0,F42/B29%)</f>
        <v>3.9999999999963624E-3</v>
      </c>
      <c r="G44" s="4">
        <f>IF(G29="",0,ABS(G29-B29))</f>
        <v>9.9999999999909051E-3</v>
      </c>
      <c r="H44" s="4">
        <f>IF(H29="",0,ABS(H29-B29))</f>
        <v>1.999999999998181E-2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>
        <f t="shared" si="2"/>
        <v>1</v>
      </c>
      <c r="V44" s="2">
        <f t="shared" si="3"/>
        <v>243</v>
      </c>
    </row>
    <row r="45" spans="1:22" x14ac:dyDescent="0.3">
      <c r="A45" s="2">
        <f t="shared" si="1"/>
        <v>1244</v>
      </c>
      <c r="B45" s="5">
        <f t="shared" si="22"/>
        <v>0</v>
      </c>
      <c r="C45" s="5">
        <f t="shared" si="23"/>
        <v>0</v>
      </c>
      <c r="D45" s="5">
        <f t="shared" si="26"/>
        <v>0</v>
      </c>
      <c r="E45" s="4">
        <f t="shared" si="24"/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2">
        <f t="shared" si="2"/>
        <v>1</v>
      </c>
      <c r="V45" s="2">
        <f t="shared" si="3"/>
        <v>244</v>
      </c>
    </row>
    <row r="46" spans="1:22" x14ac:dyDescent="0.3">
      <c r="A46" s="2">
        <f t="shared" si="1"/>
        <v>1245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2">
        <f t="shared" si="2"/>
        <v>1</v>
      </c>
      <c r="V46" s="2">
        <f t="shared" si="3"/>
        <v>245</v>
      </c>
    </row>
    <row r="47" spans="1:22" s="20" customFormat="1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x14ac:dyDescent="0.3">
      <c r="A48" s="2">
        <f>ROUND(CONCATENATE(U48,V48),0)</f>
        <v>2201</v>
      </c>
      <c r="B48" s="63" t="s">
        <v>0</v>
      </c>
      <c r="C48" s="63"/>
      <c r="D48" s="71" t="s">
        <v>38</v>
      </c>
      <c r="E48" s="72"/>
      <c r="F48" s="72"/>
      <c r="G48" s="72"/>
      <c r="H48" s="7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">
        <f>U46+1</f>
        <v>2</v>
      </c>
      <c r="V48" s="2">
        <v>201</v>
      </c>
    </row>
    <row r="49" spans="1:22" x14ac:dyDescent="0.3">
      <c r="A49" s="2">
        <f t="shared" ref="A49:A92" si="30">ROUND(CONCATENATE(U49,V49),0)</f>
        <v>2202</v>
      </c>
      <c r="B49" s="12" t="s">
        <v>40</v>
      </c>
      <c r="C49" s="13"/>
      <c r="D49" s="16" t="s">
        <v>41</v>
      </c>
      <c r="E49" s="57" t="s">
        <v>39</v>
      </c>
      <c r="F49" s="57"/>
      <c r="G49" s="18">
        <v>0.1</v>
      </c>
      <c r="H49" s="15" t="str">
        <f>IF(D50="","",D49)</f>
        <v>g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">
        <f>U48</f>
        <v>2</v>
      </c>
      <c r="V49" s="2">
        <f>V48+1</f>
        <v>202</v>
      </c>
    </row>
    <row r="50" spans="1:22" x14ac:dyDescent="0.3">
      <c r="A50" s="2">
        <f t="shared" si="30"/>
        <v>2203</v>
      </c>
      <c r="B50" s="63" t="s">
        <v>1</v>
      </c>
      <c r="C50" s="63"/>
      <c r="D50" s="71" t="s">
        <v>111</v>
      </c>
      <c r="E50" s="72"/>
      <c r="F50" s="72"/>
      <c r="G50" s="72"/>
      <c r="H50" s="73"/>
      <c r="I50" s="1"/>
      <c r="J50" s="1"/>
      <c r="K50" s="1" t="s">
        <v>2</v>
      </c>
      <c r="L50" s="1" t="s">
        <v>3</v>
      </c>
      <c r="M50" s="1" t="s">
        <v>4</v>
      </c>
      <c r="N50" s="1" t="s">
        <v>5</v>
      </c>
      <c r="O50" s="1" t="s">
        <v>6</v>
      </c>
      <c r="P50" s="1" t="s">
        <v>7</v>
      </c>
      <c r="Q50" s="1" t="s">
        <v>8</v>
      </c>
      <c r="R50" s="1" t="s">
        <v>9</v>
      </c>
      <c r="S50" s="1" t="s">
        <v>10</v>
      </c>
      <c r="T50" s="1"/>
      <c r="U50" s="2">
        <f t="shared" ref="U50:U92" si="31">U49</f>
        <v>2</v>
      </c>
      <c r="V50" s="2">
        <f t="shared" ref="V50:V92" si="32">V49+1</f>
        <v>203</v>
      </c>
    </row>
    <row r="51" spans="1:22" x14ac:dyDescent="0.3">
      <c r="A51" s="2">
        <f t="shared" si="30"/>
        <v>2204</v>
      </c>
      <c r="B51" s="63" t="s">
        <v>11</v>
      </c>
      <c r="C51" s="63"/>
      <c r="D51" s="71" t="s">
        <v>42</v>
      </c>
      <c r="E51" s="72"/>
      <c r="F51" s="72"/>
      <c r="G51" s="72"/>
      <c r="H51" s="73"/>
      <c r="I51" s="1"/>
      <c r="J51" s="1">
        <f>COUNTA(B63:B72)</f>
        <v>7</v>
      </c>
      <c r="K51" s="1">
        <f t="shared" ref="K51" si="33">IF(L51-1&lt;2,0,L51-1)</f>
        <v>0</v>
      </c>
      <c r="L51" s="1">
        <f t="shared" ref="L51" si="34">IF(M51-1&lt;2,0,M51-1)</f>
        <v>0</v>
      </c>
      <c r="M51" s="1">
        <f t="shared" ref="M51" si="35">IF(N51-1&lt;2,0,N51-1)</f>
        <v>0</v>
      </c>
      <c r="N51" s="1">
        <f t="shared" ref="N51" si="36">IF(O51-1&lt;2,0,O51-1)</f>
        <v>2</v>
      </c>
      <c r="O51" s="1">
        <f t="shared" ref="O51" si="37">IF(P51-1&lt;2,0,P51-1)</f>
        <v>3</v>
      </c>
      <c r="P51" s="1">
        <f t="shared" ref="P51" si="38">IF(Q51-1&lt;2,0,Q51-1)</f>
        <v>4</v>
      </c>
      <c r="Q51" s="1">
        <f t="shared" ref="Q51" si="39">IF(R51-1&lt;2,0,R51-1)</f>
        <v>5</v>
      </c>
      <c r="R51" s="1">
        <f>IF(S51-1&lt;2,0,S51-1)</f>
        <v>6</v>
      </c>
      <c r="S51" s="1">
        <f>J51</f>
        <v>7</v>
      </c>
      <c r="T51" s="1"/>
      <c r="U51" s="2">
        <f t="shared" si="31"/>
        <v>2</v>
      </c>
      <c r="V51" s="2">
        <f t="shared" si="32"/>
        <v>204</v>
      </c>
    </row>
    <row r="52" spans="1:22" x14ac:dyDescent="0.3">
      <c r="A52" s="2">
        <f t="shared" si="30"/>
        <v>2205</v>
      </c>
      <c r="B52" s="63" t="s">
        <v>12</v>
      </c>
      <c r="C52" s="63"/>
      <c r="D52" s="71" t="s">
        <v>43</v>
      </c>
      <c r="E52" s="72"/>
      <c r="F52" s="72"/>
      <c r="G52" s="72"/>
      <c r="H52" s="73"/>
      <c r="I52" s="1"/>
      <c r="J52" s="2" t="str">
        <f>CONCATENATE(J51,1)</f>
        <v>71</v>
      </c>
      <c r="K52" s="3">
        <f>IF(K51=0,0,VLOOKUP(J52,J56:S86,K51,FALSE))</f>
        <v>0</v>
      </c>
      <c r="L52" s="3">
        <f>IF(L51=0,0,VLOOKUP(J52,J56:S86,L51,FALSE))</f>
        <v>0</v>
      </c>
      <c r="M52" s="3">
        <f>IF(M51=0,0,VLOOKUP(J52,J56:S86,M51,FALSE))</f>
        <v>0</v>
      </c>
      <c r="N52" s="3">
        <f>IF(N51=0,0,VLOOKUP(J52,J56:S86,N51,FALSE))</f>
        <v>-8.4933571278960088E-26</v>
      </c>
      <c r="O52" s="3">
        <f>IF(O51=0,0,VLOOKUP(J52,J56:S86,O51,FALSE))</f>
        <v>9.1690581063248635E-23</v>
      </c>
      <c r="P52" s="3">
        <f>IF(P51=0,0,VLOOKUP(J52,J56:S86,P51,FALSE))</f>
        <v>-3.2533344481417852E-20</v>
      </c>
      <c r="Q52" s="3">
        <f>IF(Q51=0,0,VLOOKUP(J52,J56:S86,Q51,FALSE))</f>
        <v>4.4010147553346896E-18</v>
      </c>
      <c r="R52" s="3">
        <f>IF(R51=0,0,VLOOKUP(J52,J56:S86,R51,FALSE))</f>
        <v>0.99999999999999989</v>
      </c>
      <c r="S52" s="3">
        <f>IF(S51=0,0,VLOOKUP(J52,J56:S86,S51,FALSE))</f>
        <v>-1.1641814564574626E-14</v>
      </c>
      <c r="T52" s="1"/>
      <c r="U52" s="2">
        <f t="shared" si="31"/>
        <v>2</v>
      </c>
      <c r="V52" s="2">
        <f t="shared" si="32"/>
        <v>205</v>
      </c>
    </row>
    <row r="53" spans="1:22" x14ac:dyDescent="0.3">
      <c r="A53" s="2">
        <f t="shared" si="30"/>
        <v>2206</v>
      </c>
      <c r="B53" s="63" t="s">
        <v>13</v>
      </c>
      <c r="C53" s="63"/>
      <c r="D53" s="74" t="s">
        <v>175</v>
      </c>
      <c r="E53" s="72"/>
      <c r="F53" s="72"/>
      <c r="G53" s="72"/>
      <c r="H53" s="73"/>
      <c r="I53" s="1"/>
      <c r="J53" s="2" t="str">
        <f>CONCATENATE(J51,2)</f>
        <v>72</v>
      </c>
      <c r="K53" s="4">
        <f>IF(K51=0,0,VLOOKUP(J53,J56:S86,K51,FALSE))</f>
        <v>0</v>
      </c>
      <c r="L53" s="4">
        <f>IF(L51=0,0,VLOOKUP(J53,J56:S86,L51,FALSE))</f>
        <v>0</v>
      </c>
      <c r="M53" s="4">
        <f>IF(M51=0,0,VLOOKUP(J53,J56:S86,M51,FALSE))</f>
        <v>0</v>
      </c>
      <c r="N53" s="4">
        <f>IF(N51=0,0,VLOOKUP(J53,J56:S86,N51,FALSE))</f>
        <v>1.081581000961578E-25</v>
      </c>
      <c r="O53" s="4">
        <f>IF(O51=0,0,VLOOKUP(J53,J56:S86,O51,FALSE))</f>
        <v>9.1817393084067139E-23</v>
      </c>
      <c r="P53" s="4">
        <f>IF(P51=0,0,VLOOKUP(J53,J56:S86,P51,FALSE))</f>
        <v>2.4805944903522665E-20</v>
      </c>
      <c r="Q53" s="4">
        <f>IF(Q51=0,0,VLOOKUP(J53,J56:S86,Q51,FALSE))</f>
        <v>2.3206810755704438E-18</v>
      </c>
      <c r="R53" s="4">
        <f>IF(R51=0,0,VLOOKUP(J53,J56:S86,R51,FALSE))</f>
        <v>6.6571041178802098E-17</v>
      </c>
      <c r="S53" s="4">
        <f>IF(S51=0,0,VLOOKUP(J53,J56:S86,S51,FALSE))</f>
        <v>1.6081786185030533E-16</v>
      </c>
      <c r="T53" s="1"/>
      <c r="U53" s="2">
        <f t="shared" si="31"/>
        <v>2</v>
      </c>
      <c r="V53" s="2">
        <f t="shared" si="32"/>
        <v>206</v>
      </c>
    </row>
    <row r="54" spans="1:22" x14ac:dyDescent="0.3">
      <c r="A54" s="2">
        <f t="shared" si="30"/>
        <v>2207</v>
      </c>
      <c r="B54" s="63" t="s">
        <v>14</v>
      </c>
      <c r="C54" s="63"/>
      <c r="D54" s="75">
        <v>46031</v>
      </c>
      <c r="E54" s="76"/>
      <c r="F54" s="76"/>
      <c r="G54" s="76"/>
      <c r="H54" s="77"/>
      <c r="I54" s="1"/>
      <c r="J54" s="2" t="str">
        <f>CONCATENATE(J51,3)</f>
        <v>73</v>
      </c>
      <c r="K54" s="4"/>
      <c r="L54" s="4"/>
      <c r="M54" s="4"/>
      <c r="N54" s="4" t="s">
        <v>15</v>
      </c>
      <c r="O54" s="3">
        <f>J51-2</f>
        <v>5</v>
      </c>
      <c r="P54" s="4" t="s">
        <v>16</v>
      </c>
      <c r="Q54" s="3">
        <f>VLOOKUP(J54,J56:S86,3,FALSE)</f>
        <v>2.2204460492503131E-16</v>
      </c>
      <c r="R54" s="4" t="s">
        <v>17</v>
      </c>
      <c r="S54" s="4">
        <f>VLOOKUP(J54,J56:S86,2,FALSE)</f>
        <v>1</v>
      </c>
      <c r="T54" s="1"/>
      <c r="U54" s="2">
        <f t="shared" si="31"/>
        <v>2</v>
      </c>
      <c r="V54" s="2">
        <f t="shared" si="32"/>
        <v>207</v>
      </c>
    </row>
    <row r="55" spans="1:22" x14ac:dyDescent="0.3">
      <c r="A55" s="2">
        <f t="shared" si="30"/>
        <v>2208</v>
      </c>
      <c r="B55" s="63" t="s">
        <v>18</v>
      </c>
      <c r="C55" s="63"/>
      <c r="D55" s="80">
        <v>46417</v>
      </c>
      <c r="E55" s="65"/>
      <c r="F55" s="65"/>
      <c r="G55" s="65"/>
      <c r="H55" s="66"/>
      <c r="I55" s="1"/>
      <c r="J55" s="1"/>
      <c r="K55" s="1">
        <v>3</v>
      </c>
      <c r="L55" s="1">
        <v>3</v>
      </c>
      <c r="M55" s="1"/>
      <c r="N55" s="1"/>
      <c r="O55" s="1"/>
      <c r="P55" s="1"/>
      <c r="Q55" s="1"/>
      <c r="R55" s="1"/>
      <c r="S55" s="1"/>
      <c r="T55" s="1"/>
      <c r="U55" s="2">
        <f t="shared" si="31"/>
        <v>2</v>
      </c>
      <c r="V55" s="2">
        <f t="shared" si="32"/>
        <v>208</v>
      </c>
    </row>
    <row r="56" spans="1:22" x14ac:dyDescent="0.3">
      <c r="A56" s="2">
        <f t="shared" si="30"/>
        <v>2209</v>
      </c>
      <c r="B56" s="67" t="s">
        <v>19</v>
      </c>
      <c r="C56" s="63"/>
      <c r="D56" s="5">
        <f>IF(D49="","",MIN(B63:B72))</f>
        <v>0</v>
      </c>
      <c r="E56" s="6" t="s">
        <v>20</v>
      </c>
      <c r="F56" s="5">
        <f>IF(D49="","",MAX(B63:B72))</f>
        <v>400</v>
      </c>
      <c r="G56" s="7" t="str">
        <f>IF(D50="","",H49)</f>
        <v>g</v>
      </c>
      <c r="H56" s="14"/>
      <c r="I56" s="1"/>
      <c r="J56" s="2" t="str">
        <f>CONCATENATE(K55,1)</f>
        <v>31</v>
      </c>
      <c r="K56" s="4">
        <f t="array" ref="K56:L58">LINEST(B63:B65,C63:C65^{1},TRUE,TRUE)</f>
        <v>1</v>
      </c>
      <c r="L56" s="4">
        <v>0</v>
      </c>
      <c r="M56" s="1"/>
      <c r="N56" s="1"/>
      <c r="O56" s="1"/>
      <c r="P56" s="1"/>
      <c r="Q56" s="1"/>
      <c r="R56" s="1"/>
      <c r="S56" s="1"/>
      <c r="T56" s="1"/>
      <c r="U56" s="2">
        <f t="shared" si="31"/>
        <v>2</v>
      </c>
      <c r="V56" s="2">
        <f t="shared" si="32"/>
        <v>209</v>
      </c>
    </row>
    <row r="57" spans="1:22" x14ac:dyDescent="0.3">
      <c r="A57" s="2">
        <f t="shared" si="30"/>
        <v>2210</v>
      </c>
      <c r="B57" s="1"/>
      <c r="C57" s="1"/>
      <c r="D57" s="1"/>
      <c r="E57" s="1"/>
      <c r="F57" s="1"/>
      <c r="G57" s="1"/>
      <c r="H57" s="1"/>
      <c r="I57" s="1"/>
      <c r="J57" s="2" t="str">
        <f>CONCATENATE(K55,2)</f>
        <v>32</v>
      </c>
      <c r="K57" s="4">
        <v>2.218597987299466E-16</v>
      </c>
      <c r="L57" s="4">
        <v>6.4096623107201999E-16</v>
      </c>
      <c r="M57" s="1"/>
      <c r="N57" s="1"/>
      <c r="O57" s="1"/>
      <c r="P57" s="1"/>
      <c r="Q57" s="1"/>
      <c r="R57" s="1"/>
      <c r="S57" s="1"/>
      <c r="T57" s="1"/>
      <c r="U57" s="2">
        <f t="shared" si="31"/>
        <v>2</v>
      </c>
      <c r="V57" s="2">
        <f t="shared" si="32"/>
        <v>210</v>
      </c>
    </row>
    <row r="58" spans="1:22" x14ac:dyDescent="0.3">
      <c r="A58" s="2">
        <f t="shared" si="30"/>
        <v>2211</v>
      </c>
      <c r="B58" s="68" t="s">
        <v>21</v>
      </c>
      <c r="C58" s="68"/>
      <c r="D58" s="68"/>
      <c r="E58" s="68"/>
      <c r="F58" s="68"/>
      <c r="G58" s="69" t="s">
        <v>22</v>
      </c>
      <c r="H58" s="70"/>
      <c r="I58" s="1"/>
      <c r="J58" s="2" t="str">
        <f>CONCATENATE(K55,3)</f>
        <v>33</v>
      </c>
      <c r="K58" s="4">
        <v>1</v>
      </c>
      <c r="L58" s="4">
        <v>8.8817841970012523E-16</v>
      </c>
      <c r="M58" s="1"/>
      <c r="N58" s="1"/>
      <c r="O58" s="1"/>
      <c r="P58" s="1"/>
      <c r="Q58" s="1"/>
      <c r="R58" s="1"/>
      <c r="S58" s="1"/>
      <c r="T58" s="1"/>
      <c r="U58" s="2">
        <f t="shared" si="31"/>
        <v>2</v>
      </c>
      <c r="V58" s="2">
        <f t="shared" si="32"/>
        <v>211</v>
      </c>
    </row>
    <row r="59" spans="1:22" x14ac:dyDescent="0.3">
      <c r="A59" s="2">
        <f t="shared" si="30"/>
        <v>2212</v>
      </c>
      <c r="B59" s="61" t="s">
        <v>23</v>
      </c>
      <c r="C59" s="61"/>
      <c r="D59" s="61"/>
      <c r="E59" s="61" t="str">
        <f>D53</f>
        <v>E0017/26</v>
      </c>
      <c r="F59" s="61"/>
      <c r="G59" s="4" t="s">
        <v>24</v>
      </c>
      <c r="H59" s="31" t="s">
        <v>112</v>
      </c>
      <c r="I59" s="1"/>
      <c r="J59" s="1"/>
      <c r="K59" s="1">
        <v>4</v>
      </c>
      <c r="L59" s="1">
        <v>4</v>
      </c>
      <c r="M59" s="1">
        <v>4</v>
      </c>
      <c r="N59" s="1"/>
      <c r="O59" s="1"/>
      <c r="P59" s="1"/>
      <c r="Q59" s="1"/>
      <c r="R59" s="1"/>
      <c r="S59" s="1"/>
      <c r="T59" s="1"/>
      <c r="U59" s="2">
        <f t="shared" si="31"/>
        <v>2</v>
      </c>
      <c r="V59" s="2">
        <f t="shared" si="32"/>
        <v>212</v>
      </c>
    </row>
    <row r="60" spans="1:22" x14ac:dyDescent="0.3">
      <c r="A60" s="2">
        <f t="shared" si="30"/>
        <v>2213</v>
      </c>
      <c r="B60" s="59" t="s">
        <v>25</v>
      </c>
      <c r="C60" s="59" t="s">
        <v>26</v>
      </c>
      <c r="D60" s="59" t="s">
        <v>27</v>
      </c>
      <c r="E60" s="59" t="s">
        <v>28</v>
      </c>
      <c r="F60" s="59" t="s">
        <v>29</v>
      </c>
      <c r="G60" s="59" t="s">
        <v>25</v>
      </c>
      <c r="H60" s="59" t="s">
        <v>26</v>
      </c>
      <c r="I60" s="1"/>
      <c r="J60" s="2" t="str">
        <f t="shared" ref="J60" si="40">CONCATENATE(K59,1)</f>
        <v>41</v>
      </c>
      <c r="K60" s="4">
        <f t="array" ref="K60:M62">LINEST(B63:B66,C63:C66^{1,2},TRUE,TRUE)</f>
        <v>0</v>
      </c>
      <c r="L60" s="4">
        <v>1</v>
      </c>
      <c r="M60" s="4">
        <v>0</v>
      </c>
      <c r="N60" s="1"/>
      <c r="O60" s="1"/>
      <c r="P60" s="1"/>
      <c r="Q60" s="1"/>
      <c r="R60" s="1"/>
      <c r="S60" s="1"/>
      <c r="T60" s="1"/>
      <c r="U60" s="2">
        <f t="shared" si="31"/>
        <v>2</v>
      </c>
      <c r="V60" s="2">
        <f t="shared" si="32"/>
        <v>213</v>
      </c>
    </row>
    <row r="61" spans="1:22" x14ac:dyDescent="0.3">
      <c r="A61" s="2">
        <f t="shared" si="30"/>
        <v>2214</v>
      </c>
      <c r="B61" s="60"/>
      <c r="C61" s="60"/>
      <c r="D61" s="60"/>
      <c r="E61" s="60"/>
      <c r="F61" s="60"/>
      <c r="G61" s="60"/>
      <c r="H61" s="60"/>
      <c r="I61" s="1"/>
      <c r="J61" s="2" t="str">
        <f t="shared" ref="J61" si="41">CONCATENATE(K59,2)</f>
        <v>42</v>
      </c>
      <c r="K61" s="4">
        <v>0</v>
      </c>
      <c r="L61" s="4">
        <v>0</v>
      </c>
      <c r="M61" s="4">
        <v>0</v>
      </c>
      <c r="N61" s="1"/>
      <c r="O61" s="1"/>
      <c r="P61" s="1"/>
      <c r="Q61" s="1"/>
      <c r="R61" s="1"/>
      <c r="S61" s="1"/>
      <c r="T61" s="1"/>
      <c r="U61" s="2">
        <f t="shared" si="31"/>
        <v>2</v>
      </c>
      <c r="V61" s="2">
        <f t="shared" si="32"/>
        <v>214</v>
      </c>
    </row>
    <row r="62" spans="1:22" x14ac:dyDescent="0.3">
      <c r="A62" s="2">
        <f t="shared" si="30"/>
        <v>2215</v>
      </c>
      <c r="B62" s="9" t="str">
        <f>CONCATENATE("(",H49,")")</f>
        <v>(g)</v>
      </c>
      <c r="C62" s="9" t="str">
        <f>B62</f>
        <v>(g)</v>
      </c>
      <c r="D62" s="9" t="str">
        <f>C62</f>
        <v>(g)</v>
      </c>
      <c r="E62" s="9"/>
      <c r="F62" s="9"/>
      <c r="G62" s="9" t="str">
        <f>B62</f>
        <v>(g)</v>
      </c>
      <c r="H62" s="9" t="str">
        <f>G62</f>
        <v>(g)</v>
      </c>
      <c r="I62" s="1"/>
      <c r="J62" s="2" t="str">
        <f t="shared" ref="J62" si="42">CONCATENATE(K59,3)</f>
        <v>43</v>
      </c>
      <c r="K62" s="4">
        <v>1</v>
      </c>
      <c r="L62" s="4">
        <v>0</v>
      </c>
      <c r="M62" s="4" t="e">
        <v>#N/A</v>
      </c>
      <c r="N62" s="1"/>
      <c r="O62" s="1"/>
      <c r="P62" s="1"/>
      <c r="Q62" s="1"/>
      <c r="R62" s="1"/>
      <c r="S62" s="1"/>
      <c r="T62" s="1"/>
      <c r="U62" s="2">
        <f t="shared" si="31"/>
        <v>2</v>
      </c>
      <c r="V62" s="2">
        <f t="shared" si="32"/>
        <v>215</v>
      </c>
    </row>
    <row r="63" spans="1:22" x14ac:dyDescent="0.3">
      <c r="A63" s="2">
        <f t="shared" si="30"/>
        <v>2216</v>
      </c>
      <c r="B63" s="10">
        <v>0</v>
      </c>
      <c r="C63" s="10">
        <v>0</v>
      </c>
      <c r="D63" s="10">
        <v>0.2</v>
      </c>
      <c r="E63" s="10">
        <v>2</v>
      </c>
      <c r="F63" s="10">
        <v>1000000</v>
      </c>
      <c r="G63" s="8">
        <v>0</v>
      </c>
      <c r="H63" s="8">
        <v>0</v>
      </c>
      <c r="I63" s="1"/>
      <c r="J63" s="1"/>
      <c r="K63" s="1">
        <v>5</v>
      </c>
      <c r="L63" s="1">
        <v>5</v>
      </c>
      <c r="M63" s="1">
        <v>5</v>
      </c>
      <c r="N63" s="1">
        <v>5</v>
      </c>
      <c r="O63" s="1"/>
      <c r="P63" s="1"/>
      <c r="Q63" s="1"/>
      <c r="R63" s="1"/>
      <c r="S63" s="1"/>
      <c r="T63" s="1"/>
      <c r="U63" s="2">
        <f t="shared" si="31"/>
        <v>2</v>
      </c>
      <c r="V63" s="2">
        <f t="shared" si="32"/>
        <v>216</v>
      </c>
    </row>
    <row r="64" spans="1:22" x14ac:dyDescent="0.3">
      <c r="A64" s="2">
        <f t="shared" si="30"/>
        <v>2217</v>
      </c>
      <c r="B64" s="10">
        <v>0.2</v>
      </c>
      <c r="C64" s="10">
        <v>0.2</v>
      </c>
      <c r="D64" s="10">
        <v>0.2</v>
      </c>
      <c r="E64" s="10">
        <v>2</v>
      </c>
      <c r="F64" s="10">
        <v>1000000</v>
      </c>
      <c r="G64" s="8">
        <v>0.2</v>
      </c>
      <c r="H64" s="8">
        <v>0.2</v>
      </c>
      <c r="I64" s="1"/>
      <c r="J64" s="2" t="str">
        <f t="shared" ref="J64" si="43">CONCATENATE(K63,1)</f>
        <v>51</v>
      </c>
      <c r="K64" s="4">
        <f t="array" ref="K64:N66">LINEST(B63:B67,C63:C67^{1,2,3},TRUE,TRUE)</f>
        <v>8.1374118475837261E-20</v>
      </c>
      <c r="L64" s="4">
        <v>-1.2885669378445912E-17</v>
      </c>
      <c r="M64" s="4">
        <v>1.0000000000000004</v>
      </c>
      <c r="N64" s="4">
        <v>-2.4336097706382963E-16</v>
      </c>
      <c r="O64" s="1"/>
      <c r="P64" s="1"/>
      <c r="Q64" s="1"/>
      <c r="R64" s="1"/>
      <c r="S64" s="1"/>
      <c r="T64" s="1"/>
      <c r="U64" s="2">
        <f t="shared" si="31"/>
        <v>2</v>
      </c>
      <c r="V64" s="2">
        <f t="shared" si="32"/>
        <v>217</v>
      </c>
    </row>
    <row r="65" spans="1:22" x14ac:dyDescent="0.3">
      <c r="A65" s="2">
        <f t="shared" si="30"/>
        <v>2218</v>
      </c>
      <c r="B65" s="10">
        <v>5</v>
      </c>
      <c r="C65" s="10">
        <v>5</v>
      </c>
      <c r="D65" s="10">
        <v>0.2</v>
      </c>
      <c r="E65" s="10">
        <v>2</v>
      </c>
      <c r="F65" s="10">
        <v>1000000</v>
      </c>
      <c r="G65" s="8">
        <v>5</v>
      </c>
      <c r="H65" s="8">
        <v>5</v>
      </c>
      <c r="I65" s="1"/>
      <c r="J65" s="2" t="str">
        <f t="shared" ref="J65" si="44">CONCATENATE(K63,2)</f>
        <v>52</v>
      </c>
      <c r="K65" s="4">
        <v>1.2551121452879094E-20</v>
      </c>
      <c r="L65" s="4">
        <v>1.8872282678243972E-18</v>
      </c>
      <c r="M65" s="4">
        <v>6.469443045481211E-17</v>
      </c>
      <c r="N65" s="4">
        <v>1.6072378336062909E-16</v>
      </c>
      <c r="O65" s="1"/>
      <c r="P65" s="1"/>
      <c r="Q65" s="1"/>
      <c r="R65" s="1"/>
      <c r="S65" s="1"/>
      <c r="T65" s="1"/>
      <c r="U65" s="2">
        <f t="shared" si="31"/>
        <v>2</v>
      </c>
      <c r="V65" s="2">
        <f t="shared" si="32"/>
        <v>218</v>
      </c>
    </row>
    <row r="66" spans="1:22" x14ac:dyDescent="0.3">
      <c r="A66" s="2">
        <f t="shared" si="30"/>
        <v>2219</v>
      </c>
      <c r="B66" s="10">
        <v>50</v>
      </c>
      <c r="C66" s="10">
        <v>50</v>
      </c>
      <c r="D66" s="10">
        <v>0.2</v>
      </c>
      <c r="E66" s="10">
        <v>2</v>
      </c>
      <c r="F66" s="10">
        <v>1000000</v>
      </c>
      <c r="G66" s="8">
        <v>50</v>
      </c>
      <c r="H66" s="8">
        <v>50</v>
      </c>
      <c r="I66" s="1"/>
      <c r="J66" s="2" t="str">
        <f t="shared" ref="J66" si="45">CONCATENATE(K63,3)</f>
        <v>53</v>
      </c>
      <c r="K66" s="4">
        <v>1</v>
      </c>
      <c r="L66" s="4">
        <v>2.2204460492503131E-16</v>
      </c>
      <c r="M66" s="4" t="e">
        <v>#N/A</v>
      </c>
      <c r="N66" s="4" t="e">
        <v>#N/A</v>
      </c>
      <c r="O66" s="1"/>
      <c r="P66" s="1"/>
      <c r="Q66" s="1"/>
      <c r="R66" s="1"/>
      <c r="S66" s="1"/>
      <c r="T66" s="1"/>
      <c r="U66" s="2">
        <f t="shared" si="31"/>
        <v>2</v>
      </c>
      <c r="V66" s="2">
        <f t="shared" si="32"/>
        <v>219</v>
      </c>
    </row>
    <row r="67" spans="1:22" x14ac:dyDescent="0.3">
      <c r="A67" s="2">
        <f t="shared" si="30"/>
        <v>2220</v>
      </c>
      <c r="B67" s="10">
        <v>100</v>
      </c>
      <c r="C67" s="10">
        <v>100</v>
      </c>
      <c r="D67" s="10">
        <v>0.2</v>
      </c>
      <c r="E67" s="10">
        <v>2</v>
      </c>
      <c r="F67" s="10">
        <v>1000000</v>
      </c>
      <c r="G67" s="8">
        <v>100</v>
      </c>
      <c r="H67" s="8">
        <v>100</v>
      </c>
      <c r="I67" s="1"/>
      <c r="J67" s="1"/>
      <c r="K67" s="1">
        <v>6</v>
      </c>
      <c r="L67" s="1">
        <v>6</v>
      </c>
      <c r="M67" s="1">
        <v>6</v>
      </c>
      <c r="N67" s="1">
        <v>6</v>
      </c>
      <c r="O67" s="1">
        <v>6</v>
      </c>
      <c r="P67" s="1"/>
      <c r="Q67" s="1"/>
      <c r="R67" s="1"/>
      <c r="S67" s="1"/>
      <c r="T67" s="1"/>
      <c r="U67" s="2">
        <f t="shared" si="31"/>
        <v>2</v>
      </c>
      <c r="V67" s="2">
        <f t="shared" si="32"/>
        <v>220</v>
      </c>
    </row>
    <row r="68" spans="1:22" x14ac:dyDescent="0.3">
      <c r="A68" s="2">
        <f t="shared" si="30"/>
        <v>2221</v>
      </c>
      <c r="B68" s="10">
        <v>300</v>
      </c>
      <c r="C68" s="10">
        <v>300</v>
      </c>
      <c r="D68" s="10">
        <v>0.2</v>
      </c>
      <c r="E68" s="10">
        <v>2</v>
      </c>
      <c r="F68" s="10">
        <v>1000000</v>
      </c>
      <c r="G68" s="8">
        <v>300</v>
      </c>
      <c r="H68" s="8">
        <v>300</v>
      </c>
      <c r="I68" s="1"/>
      <c r="J68" s="2" t="str">
        <f t="shared" ref="J68" si="46">CONCATENATE(K67,1)</f>
        <v>61</v>
      </c>
      <c r="K68" s="4">
        <f t="array" ref="K68:O70">LINEST(B63:B68,C63:C68^{1,2,3,4},TRUE,TRUE)</f>
        <v>0</v>
      </c>
      <c r="L68" s="4">
        <v>0</v>
      </c>
      <c r="M68" s="4">
        <v>0</v>
      </c>
      <c r="N68" s="4">
        <v>1</v>
      </c>
      <c r="O68" s="4">
        <v>0</v>
      </c>
      <c r="P68" s="1"/>
      <c r="Q68" s="1"/>
      <c r="R68" s="1"/>
      <c r="S68" s="1"/>
      <c r="T68" s="1"/>
      <c r="U68" s="2">
        <f t="shared" si="31"/>
        <v>2</v>
      </c>
      <c r="V68" s="2">
        <f t="shared" si="32"/>
        <v>221</v>
      </c>
    </row>
    <row r="69" spans="1:22" x14ac:dyDescent="0.3">
      <c r="A69" s="2">
        <f t="shared" si="30"/>
        <v>2222</v>
      </c>
      <c r="B69" s="10">
        <v>400</v>
      </c>
      <c r="C69" s="10">
        <v>400</v>
      </c>
      <c r="D69" s="10">
        <v>0.2</v>
      </c>
      <c r="E69" s="10">
        <v>2</v>
      </c>
      <c r="F69" s="10">
        <v>1000000</v>
      </c>
      <c r="G69" s="8">
        <v>400</v>
      </c>
      <c r="H69" s="8">
        <v>400</v>
      </c>
      <c r="I69" s="1"/>
      <c r="J69" s="2" t="str">
        <f t="shared" ref="J69" si="47">CONCATENATE(K67,2)</f>
        <v>62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1"/>
      <c r="Q69" s="1"/>
      <c r="R69" s="1"/>
      <c r="S69" s="1"/>
      <c r="T69" s="1"/>
      <c r="U69" s="2">
        <f t="shared" si="31"/>
        <v>2</v>
      </c>
      <c r="V69" s="2">
        <f t="shared" si="32"/>
        <v>222</v>
      </c>
    </row>
    <row r="70" spans="1:22" x14ac:dyDescent="0.3">
      <c r="A70" s="2">
        <f t="shared" si="30"/>
        <v>2223</v>
      </c>
      <c r="B70" s="10"/>
      <c r="C70" s="10"/>
      <c r="D70" s="10"/>
      <c r="E70" s="10"/>
      <c r="F70" s="10"/>
      <c r="G70" s="8"/>
      <c r="H70" s="8"/>
      <c r="I70" s="1"/>
      <c r="J70" s="2" t="str">
        <f t="shared" ref="J70" si="48">CONCATENATE(K67,3)</f>
        <v>63</v>
      </c>
      <c r="K70" s="4">
        <v>1</v>
      </c>
      <c r="L70" s="4">
        <v>0</v>
      </c>
      <c r="M70" s="4" t="e">
        <v>#N/A</v>
      </c>
      <c r="N70" s="4" t="e">
        <v>#N/A</v>
      </c>
      <c r="O70" s="4" t="e">
        <v>#N/A</v>
      </c>
      <c r="P70" s="1"/>
      <c r="Q70" s="1"/>
      <c r="R70" s="1"/>
      <c r="S70" s="1"/>
      <c r="T70" s="1"/>
      <c r="U70" s="2">
        <f t="shared" si="31"/>
        <v>2</v>
      </c>
      <c r="V70" s="2">
        <f t="shared" si="32"/>
        <v>223</v>
      </c>
    </row>
    <row r="71" spans="1:22" x14ac:dyDescent="0.3">
      <c r="A71" s="2">
        <f t="shared" si="30"/>
        <v>2224</v>
      </c>
      <c r="B71" s="10"/>
      <c r="C71" s="10"/>
      <c r="D71" s="10"/>
      <c r="E71" s="10"/>
      <c r="F71" s="10"/>
      <c r="G71" s="8"/>
      <c r="H71" s="8"/>
      <c r="I71" s="1"/>
      <c r="J71" s="1"/>
      <c r="K71" s="1">
        <v>7</v>
      </c>
      <c r="L71" s="1">
        <v>7</v>
      </c>
      <c r="M71" s="1">
        <v>7</v>
      </c>
      <c r="N71" s="1">
        <v>7</v>
      </c>
      <c r="O71" s="1">
        <v>7</v>
      </c>
      <c r="P71" s="1">
        <v>7</v>
      </c>
      <c r="Q71" s="1"/>
      <c r="R71" s="1"/>
      <c r="S71" s="1"/>
      <c r="T71" s="1"/>
      <c r="U71" s="2">
        <f t="shared" si="31"/>
        <v>2</v>
      </c>
      <c r="V71" s="2">
        <f t="shared" si="32"/>
        <v>224</v>
      </c>
    </row>
    <row r="72" spans="1:22" x14ac:dyDescent="0.3">
      <c r="A72" s="2">
        <f t="shared" si="30"/>
        <v>2225</v>
      </c>
      <c r="B72" s="10"/>
      <c r="C72" s="10"/>
      <c r="D72" s="10"/>
      <c r="E72" s="10"/>
      <c r="F72" s="10"/>
      <c r="G72" s="8"/>
      <c r="H72" s="8"/>
      <c r="I72" s="1"/>
      <c r="J72" s="2" t="str">
        <f t="shared" ref="J72" si="49">CONCATENATE(K71,1)</f>
        <v>71</v>
      </c>
      <c r="K72" s="4">
        <f t="array" ref="K72:P74">LINEST(B63:B69,C63:C69^{1,2,3,4,5},TRUE,TRUE)</f>
        <v>-8.4933571278960088E-26</v>
      </c>
      <c r="L72" s="4">
        <v>9.1690581063248635E-23</v>
      </c>
      <c r="M72" s="4">
        <v>-3.2533344481417852E-20</v>
      </c>
      <c r="N72" s="4">
        <v>4.4010147553346896E-18</v>
      </c>
      <c r="O72" s="4">
        <v>0.99999999999999989</v>
      </c>
      <c r="P72" s="4">
        <v>-1.1641814564574626E-14</v>
      </c>
      <c r="Q72" s="1"/>
      <c r="R72" s="1"/>
      <c r="S72" s="1"/>
      <c r="T72" s="1"/>
      <c r="U72" s="2">
        <f t="shared" si="31"/>
        <v>2</v>
      </c>
      <c r="V72" s="2">
        <f t="shared" si="32"/>
        <v>225</v>
      </c>
    </row>
    <row r="73" spans="1:22" x14ac:dyDescent="0.3">
      <c r="A73" s="2">
        <f t="shared" si="30"/>
        <v>2226</v>
      </c>
      <c r="B73" s="61" t="s">
        <v>44</v>
      </c>
      <c r="C73" s="61"/>
      <c r="D73" s="61"/>
      <c r="E73" s="61"/>
      <c r="F73" s="61"/>
      <c r="G73" s="61"/>
      <c r="H73" s="61"/>
      <c r="I73" s="1"/>
      <c r="J73" s="2" t="str">
        <f t="shared" ref="J73" si="50">CONCATENATE(K71,2)</f>
        <v>72</v>
      </c>
      <c r="K73" s="4">
        <v>1.081581000961578E-25</v>
      </c>
      <c r="L73" s="4">
        <v>9.1817393084067139E-23</v>
      </c>
      <c r="M73" s="4">
        <v>2.4805944903522665E-20</v>
      </c>
      <c r="N73" s="4">
        <v>2.3206810755704438E-18</v>
      </c>
      <c r="O73" s="4">
        <v>6.6571041178802098E-17</v>
      </c>
      <c r="P73" s="4">
        <v>1.6081786185030533E-16</v>
      </c>
      <c r="Q73" s="1"/>
      <c r="R73" s="1"/>
      <c r="S73" s="1"/>
      <c r="T73" s="1"/>
      <c r="U73" s="2">
        <f t="shared" si="31"/>
        <v>2</v>
      </c>
      <c r="V73" s="2">
        <f t="shared" si="32"/>
        <v>226</v>
      </c>
    </row>
    <row r="74" spans="1:22" x14ac:dyDescent="0.3">
      <c r="A74" s="2">
        <f t="shared" si="30"/>
        <v>2227</v>
      </c>
      <c r="B74" s="4" t="s">
        <v>45</v>
      </c>
      <c r="C74" s="4" t="s">
        <v>46</v>
      </c>
      <c r="D74" s="4" t="s">
        <v>47</v>
      </c>
      <c r="E74" s="4" t="s">
        <v>48</v>
      </c>
      <c r="F74" s="4" t="s">
        <v>49</v>
      </c>
      <c r="G74" s="4" t="s">
        <v>50</v>
      </c>
      <c r="H74" s="4" t="s">
        <v>46</v>
      </c>
      <c r="I74" s="1"/>
      <c r="J74" s="2" t="str">
        <f t="shared" ref="J74" si="51">CONCATENATE(K71,3)</f>
        <v>73</v>
      </c>
      <c r="K74" s="4">
        <v>1</v>
      </c>
      <c r="L74" s="4">
        <v>2.2204460492503131E-16</v>
      </c>
      <c r="M74" s="4" t="e">
        <v>#N/A</v>
      </c>
      <c r="N74" s="4" t="e">
        <v>#N/A</v>
      </c>
      <c r="O74" s="4" t="e">
        <v>#N/A</v>
      </c>
      <c r="P74" s="4" t="e">
        <v>#N/A</v>
      </c>
      <c r="Q74" s="1"/>
      <c r="R74" s="1"/>
      <c r="S74" s="1"/>
      <c r="T74" s="1"/>
      <c r="U74" s="2">
        <f t="shared" si="31"/>
        <v>2</v>
      </c>
      <c r="V74" s="2">
        <f t="shared" si="32"/>
        <v>227</v>
      </c>
    </row>
    <row r="75" spans="1:22" x14ac:dyDescent="0.3">
      <c r="A75" s="2">
        <f t="shared" si="30"/>
        <v>2228</v>
      </c>
      <c r="B75" s="10">
        <v>150</v>
      </c>
      <c r="C75" s="10">
        <v>150</v>
      </c>
      <c r="D75" s="10">
        <v>150</v>
      </c>
      <c r="E75" s="10">
        <v>150</v>
      </c>
      <c r="F75" s="10">
        <v>150</v>
      </c>
      <c r="G75" s="10">
        <v>150</v>
      </c>
      <c r="H75" s="10">
        <v>150</v>
      </c>
      <c r="I75" s="1"/>
      <c r="J75" s="1"/>
      <c r="K75" s="1">
        <v>8</v>
      </c>
      <c r="L75" s="1">
        <v>8</v>
      </c>
      <c r="M75" s="1">
        <v>8</v>
      </c>
      <c r="N75" s="1">
        <v>8</v>
      </c>
      <c r="O75" s="1">
        <v>8</v>
      </c>
      <c r="P75" s="1">
        <v>8</v>
      </c>
      <c r="Q75" s="1">
        <v>8</v>
      </c>
      <c r="R75" s="1"/>
      <c r="S75" s="1"/>
      <c r="T75" s="1"/>
      <c r="U75" s="2">
        <f t="shared" si="31"/>
        <v>2</v>
      </c>
      <c r="V75" s="2">
        <f t="shared" si="32"/>
        <v>228</v>
      </c>
    </row>
    <row r="76" spans="1:22" x14ac:dyDescent="0.3">
      <c r="A76" s="2">
        <f t="shared" si="30"/>
        <v>2229</v>
      </c>
      <c r="I76" s="1"/>
      <c r="J76" s="2" t="str">
        <f t="shared" ref="J76" si="52">CONCATENATE(K75,1)</f>
        <v>81</v>
      </c>
      <c r="K76" s="4" t="e">
        <f t="array" ref="K76:Q78">LINEST(B63:B70,C63:C70^{1,2,3,4,5,6},TRUE,TRUE)</f>
        <v>#VALUE!</v>
      </c>
      <c r="L76" s="4" t="e">
        <v>#VALUE!</v>
      </c>
      <c r="M76" s="4" t="e">
        <v>#VALUE!</v>
      </c>
      <c r="N76" s="4" t="e">
        <v>#VALUE!</v>
      </c>
      <c r="O76" s="4" t="e">
        <v>#VALUE!</v>
      </c>
      <c r="P76" s="4" t="e">
        <v>#VALUE!</v>
      </c>
      <c r="Q76" s="4" t="e">
        <v>#VALUE!</v>
      </c>
      <c r="R76" s="1"/>
      <c r="S76" s="1"/>
      <c r="T76" s="1"/>
      <c r="U76" s="2">
        <f t="shared" si="31"/>
        <v>2</v>
      </c>
      <c r="V76" s="2">
        <f t="shared" si="32"/>
        <v>229</v>
      </c>
    </row>
    <row r="77" spans="1:22" x14ac:dyDescent="0.3">
      <c r="A77" s="2">
        <f t="shared" si="30"/>
        <v>2230</v>
      </c>
      <c r="B77" s="58" t="s">
        <v>30</v>
      </c>
      <c r="C77" s="58"/>
      <c r="D77" s="58"/>
      <c r="E77" s="58"/>
      <c r="F77" s="58"/>
      <c r="G77" s="58"/>
      <c r="H77" s="58"/>
      <c r="I77" s="1"/>
      <c r="J77" s="2" t="str">
        <f t="shared" ref="J77" si="53">CONCATENATE(K75,2)</f>
        <v>82</v>
      </c>
      <c r="K77" s="4" t="e">
        <v>#VALUE!</v>
      </c>
      <c r="L77" s="4" t="e">
        <v>#VALUE!</v>
      </c>
      <c r="M77" s="4" t="e">
        <v>#VALUE!</v>
      </c>
      <c r="N77" s="4" t="e">
        <v>#VALUE!</v>
      </c>
      <c r="O77" s="4" t="e">
        <v>#VALUE!</v>
      </c>
      <c r="P77" s="4" t="e">
        <v>#VALUE!</v>
      </c>
      <c r="Q77" s="4" t="e">
        <v>#VALUE!</v>
      </c>
      <c r="R77" s="1"/>
      <c r="S77" s="1"/>
      <c r="T77" s="1"/>
      <c r="U77" s="2">
        <f t="shared" si="31"/>
        <v>2</v>
      </c>
      <c r="V77" s="2">
        <f t="shared" si="32"/>
        <v>230</v>
      </c>
    </row>
    <row r="78" spans="1:22" x14ac:dyDescent="0.3">
      <c r="A78" s="2">
        <f t="shared" si="30"/>
        <v>2231</v>
      </c>
      <c r="B78" s="62"/>
      <c r="C78" s="62"/>
      <c r="D78" s="62"/>
      <c r="E78" s="62"/>
      <c r="F78" s="62"/>
      <c r="G78" s="62"/>
      <c r="H78" s="62"/>
      <c r="I78" s="1"/>
      <c r="J78" s="2" t="str">
        <f t="shared" ref="J78" si="54">CONCATENATE(K75,3)</f>
        <v>83</v>
      </c>
      <c r="K78" s="4" t="e">
        <v>#VALUE!</v>
      </c>
      <c r="L78" s="4" t="e">
        <v>#VALUE!</v>
      </c>
      <c r="M78" s="4" t="e">
        <v>#VALUE!</v>
      </c>
      <c r="N78" s="4" t="e">
        <v>#VALUE!</v>
      </c>
      <c r="O78" s="4" t="e">
        <v>#VALUE!</v>
      </c>
      <c r="P78" s="4" t="e">
        <v>#VALUE!</v>
      </c>
      <c r="Q78" s="4" t="e">
        <v>#VALUE!</v>
      </c>
      <c r="R78" s="1"/>
      <c r="S78" s="1"/>
      <c r="T78" s="1"/>
      <c r="U78" s="2">
        <f t="shared" si="31"/>
        <v>2</v>
      </c>
      <c r="V78" s="2">
        <f t="shared" si="32"/>
        <v>231</v>
      </c>
    </row>
    <row r="79" spans="1:22" x14ac:dyDescent="0.3">
      <c r="A79" s="2">
        <f t="shared" si="30"/>
        <v>2232</v>
      </c>
      <c r="B79" s="62"/>
      <c r="C79" s="62"/>
      <c r="D79" s="62"/>
      <c r="E79" s="62"/>
      <c r="F79" s="62"/>
      <c r="G79" s="62"/>
      <c r="H79" s="62"/>
      <c r="I79" s="1"/>
      <c r="J79" s="1"/>
      <c r="K79" s="1">
        <v>9</v>
      </c>
      <c r="L79" s="1">
        <v>9</v>
      </c>
      <c r="M79" s="1">
        <v>9</v>
      </c>
      <c r="N79" s="1">
        <v>9</v>
      </c>
      <c r="O79" s="1">
        <v>9</v>
      </c>
      <c r="P79" s="1">
        <v>9</v>
      </c>
      <c r="Q79" s="1">
        <v>9</v>
      </c>
      <c r="R79" s="1">
        <v>9</v>
      </c>
      <c r="S79" s="1"/>
      <c r="T79" s="1"/>
      <c r="U79" s="2">
        <f t="shared" si="31"/>
        <v>2</v>
      </c>
      <c r="V79" s="2">
        <f t="shared" si="32"/>
        <v>232</v>
      </c>
    </row>
    <row r="80" spans="1:22" x14ac:dyDescent="0.3">
      <c r="A80" s="2">
        <f t="shared" si="30"/>
        <v>2233</v>
      </c>
      <c r="B80" s="1"/>
      <c r="C80" s="1"/>
      <c r="D80" s="1"/>
      <c r="E80" s="1"/>
      <c r="F80" s="1"/>
      <c r="G80" s="1"/>
      <c r="H80" s="1"/>
      <c r="I80" s="1"/>
      <c r="J80" s="2" t="str">
        <f t="shared" ref="J80" si="55">CONCATENATE(K79,1)</f>
        <v>91</v>
      </c>
      <c r="K80" s="4" t="e">
        <f t="array" ref="K80:R82">LINEST(B63:B71,C63:C71^{1,2,3,4,5,6,7},TRUE,TRUE)</f>
        <v>#VALUE!</v>
      </c>
      <c r="L80" s="4" t="e">
        <v>#VALUE!</v>
      </c>
      <c r="M80" s="4" t="e">
        <v>#VALUE!</v>
      </c>
      <c r="N80" s="4" t="e">
        <v>#VALUE!</v>
      </c>
      <c r="O80" s="4" t="e">
        <v>#VALUE!</v>
      </c>
      <c r="P80" s="4" t="e">
        <v>#VALUE!</v>
      </c>
      <c r="Q80" s="4" t="e">
        <v>#VALUE!</v>
      </c>
      <c r="R80" s="4" t="e">
        <v>#VALUE!</v>
      </c>
      <c r="S80" s="1"/>
      <c r="T80" s="1"/>
      <c r="U80" s="2">
        <f t="shared" si="31"/>
        <v>2</v>
      </c>
      <c r="V80" s="2">
        <f t="shared" si="32"/>
        <v>233</v>
      </c>
    </row>
    <row r="81" spans="1:22" x14ac:dyDescent="0.3">
      <c r="A81" s="2">
        <f t="shared" si="30"/>
        <v>2234</v>
      </c>
      <c r="B81" s="5" t="s">
        <v>31</v>
      </c>
      <c r="C81" s="5" t="s">
        <v>32</v>
      </c>
      <c r="D81" s="5" t="s">
        <v>33</v>
      </c>
      <c r="E81" s="4" t="s">
        <v>34</v>
      </c>
      <c r="F81" s="57" t="s">
        <v>35</v>
      </c>
      <c r="G81" s="58"/>
      <c r="H81" s="58"/>
      <c r="I81" s="1"/>
      <c r="J81" s="2" t="str">
        <f t="shared" ref="J81" si="56">CONCATENATE(K79,2)</f>
        <v>92</v>
      </c>
      <c r="K81" s="4" t="e">
        <v>#VALUE!</v>
      </c>
      <c r="L81" s="4" t="e">
        <v>#VALUE!</v>
      </c>
      <c r="M81" s="4" t="e">
        <v>#VALUE!</v>
      </c>
      <c r="N81" s="4" t="e">
        <v>#VALUE!</v>
      </c>
      <c r="O81" s="4" t="e">
        <v>#VALUE!</v>
      </c>
      <c r="P81" s="4" t="e">
        <v>#VALUE!</v>
      </c>
      <c r="Q81" s="4" t="e">
        <v>#VALUE!</v>
      </c>
      <c r="R81" s="4" t="e">
        <v>#VALUE!</v>
      </c>
      <c r="S81" s="1"/>
      <c r="T81" s="1"/>
      <c r="U81" s="2">
        <f t="shared" si="31"/>
        <v>2</v>
      </c>
      <c r="V81" s="2">
        <f t="shared" si="32"/>
        <v>234</v>
      </c>
    </row>
    <row r="82" spans="1:22" x14ac:dyDescent="0.3">
      <c r="A82" s="2">
        <f t="shared" si="30"/>
        <v>2235</v>
      </c>
      <c r="B82" s="5">
        <f t="shared" ref="B82:B91" si="57">C63-B63</f>
        <v>0</v>
      </c>
      <c r="C82" s="5">
        <f t="shared" ref="C82:C91" si="58">H63-G63</f>
        <v>0</v>
      </c>
      <c r="D82" s="5">
        <f>C82-B82</f>
        <v>0</v>
      </c>
      <c r="E82" s="4">
        <f t="shared" ref="E82:E91" si="59">D63</f>
        <v>0.2</v>
      </c>
      <c r="F82" s="11">
        <f>IF(D50="","",MAX(G82,H82))</f>
        <v>0</v>
      </c>
      <c r="G82" s="5">
        <f>ABS(MIN(D82:D91))</f>
        <v>0</v>
      </c>
      <c r="H82" s="5">
        <f>ABS(MAX(D82:D91))</f>
        <v>0</v>
      </c>
      <c r="I82" s="1"/>
      <c r="J82" s="2" t="str">
        <f t="shared" ref="J82" si="60">CONCATENATE(K79,3)</f>
        <v>93</v>
      </c>
      <c r="K82" s="4" t="e">
        <v>#VALUE!</v>
      </c>
      <c r="L82" s="4" t="e">
        <v>#VALUE!</v>
      </c>
      <c r="M82" s="4" t="e">
        <v>#VALUE!</v>
      </c>
      <c r="N82" s="4" t="e">
        <v>#VALUE!</v>
      </c>
      <c r="O82" s="4" t="e">
        <v>#VALUE!</v>
      </c>
      <c r="P82" s="4" t="e">
        <v>#VALUE!</v>
      </c>
      <c r="Q82" s="4" t="e">
        <v>#VALUE!</v>
      </c>
      <c r="R82" s="4" t="e">
        <v>#VALUE!</v>
      </c>
      <c r="S82" s="1"/>
      <c r="T82" s="1"/>
      <c r="U82" s="2">
        <f t="shared" si="31"/>
        <v>2</v>
      </c>
      <c r="V82" s="2">
        <f t="shared" si="32"/>
        <v>235</v>
      </c>
    </row>
    <row r="83" spans="1:22" x14ac:dyDescent="0.3">
      <c r="A83" s="2">
        <f t="shared" si="30"/>
        <v>2236</v>
      </c>
      <c r="B83" s="5">
        <f t="shared" si="57"/>
        <v>0</v>
      </c>
      <c r="C83" s="5">
        <f t="shared" si="58"/>
        <v>0</v>
      </c>
      <c r="D83" s="5">
        <f t="shared" ref="D83:D91" si="61">C83-B83</f>
        <v>0</v>
      </c>
      <c r="E83" s="4">
        <f t="shared" si="59"/>
        <v>0.2</v>
      </c>
      <c r="F83" s="57" t="s">
        <v>36</v>
      </c>
      <c r="G83" s="58"/>
      <c r="H83" s="58"/>
      <c r="I83" s="1"/>
      <c r="J83" s="1"/>
      <c r="K83" s="1">
        <v>10</v>
      </c>
      <c r="L83" s="1">
        <v>10</v>
      </c>
      <c r="M83" s="1">
        <v>10</v>
      </c>
      <c r="N83" s="1">
        <v>10</v>
      </c>
      <c r="O83" s="1">
        <v>10</v>
      </c>
      <c r="P83" s="1">
        <v>10</v>
      </c>
      <c r="Q83" s="1">
        <v>10</v>
      </c>
      <c r="R83" s="1">
        <v>10</v>
      </c>
      <c r="S83" s="1">
        <v>10</v>
      </c>
      <c r="T83" s="1"/>
      <c r="U83" s="2">
        <f t="shared" si="31"/>
        <v>2</v>
      </c>
      <c r="V83" s="2">
        <f t="shared" si="32"/>
        <v>236</v>
      </c>
    </row>
    <row r="84" spans="1:22" x14ac:dyDescent="0.3">
      <c r="A84" s="2">
        <f t="shared" si="30"/>
        <v>2237</v>
      </c>
      <c r="B84" s="5">
        <f t="shared" si="57"/>
        <v>0</v>
      </c>
      <c r="C84" s="5">
        <f t="shared" si="58"/>
        <v>0</v>
      </c>
      <c r="D84" s="5">
        <f t="shared" si="61"/>
        <v>0</v>
      </c>
      <c r="E84" s="4">
        <f t="shared" si="59"/>
        <v>0.2</v>
      </c>
      <c r="F84" s="11">
        <f>IF(D50="","",MAX(G84,H84))</f>
        <v>0</v>
      </c>
      <c r="G84" s="5">
        <f>ABS(MIN(B82:B91))</f>
        <v>0</v>
      </c>
      <c r="H84" s="5">
        <f>ABS(MAX(B82:B91))</f>
        <v>0</v>
      </c>
      <c r="I84" s="1"/>
      <c r="J84" s="2" t="str">
        <f t="shared" ref="J84" si="62">CONCATENATE(K83,1)</f>
        <v>101</v>
      </c>
      <c r="K84" s="4" t="e">
        <f t="array" ref="K84:S86">LINEST(B63:B72,C63:C72^{1,2,3,4,5,6,7,8},TRUE,TRUE)</f>
        <v>#VALUE!</v>
      </c>
      <c r="L84" s="4" t="e">
        <v>#VALUE!</v>
      </c>
      <c r="M84" s="4" t="e">
        <v>#VALUE!</v>
      </c>
      <c r="N84" s="4" t="e">
        <v>#VALUE!</v>
      </c>
      <c r="O84" s="4" t="e">
        <v>#VALUE!</v>
      </c>
      <c r="P84" s="4" t="e">
        <v>#VALUE!</v>
      </c>
      <c r="Q84" s="4" t="e">
        <v>#VALUE!</v>
      </c>
      <c r="R84" s="4" t="e">
        <v>#VALUE!</v>
      </c>
      <c r="S84" s="4" t="e">
        <v>#VALUE!</v>
      </c>
      <c r="T84" s="1"/>
      <c r="U84" s="2">
        <f t="shared" si="31"/>
        <v>2</v>
      </c>
      <c r="V84" s="2">
        <f t="shared" si="32"/>
        <v>237</v>
      </c>
    </row>
    <row r="85" spans="1:22" x14ac:dyDescent="0.3">
      <c r="A85" s="2">
        <f t="shared" si="30"/>
        <v>2238</v>
      </c>
      <c r="B85" s="5">
        <f t="shared" si="57"/>
        <v>0</v>
      </c>
      <c r="C85" s="5">
        <f t="shared" si="58"/>
        <v>0</v>
      </c>
      <c r="D85" s="5">
        <f t="shared" si="61"/>
        <v>0</v>
      </c>
      <c r="E85" s="4">
        <f t="shared" si="59"/>
        <v>0.2</v>
      </c>
      <c r="F85" s="57" t="s">
        <v>37</v>
      </c>
      <c r="G85" s="58"/>
      <c r="H85" s="58"/>
      <c r="I85" s="1"/>
      <c r="J85" s="2" t="str">
        <f t="shared" ref="J85" si="63">CONCATENATE(K83,2)</f>
        <v>102</v>
      </c>
      <c r="K85" s="4" t="e">
        <v>#VALUE!</v>
      </c>
      <c r="L85" s="4" t="e">
        <v>#VALUE!</v>
      </c>
      <c r="M85" s="4" t="e">
        <v>#VALUE!</v>
      </c>
      <c r="N85" s="4" t="e">
        <v>#VALUE!</v>
      </c>
      <c r="O85" s="4" t="e">
        <v>#VALUE!</v>
      </c>
      <c r="P85" s="4" t="e">
        <v>#VALUE!</v>
      </c>
      <c r="Q85" s="4" t="e">
        <v>#VALUE!</v>
      </c>
      <c r="R85" s="4" t="e">
        <v>#VALUE!</v>
      </c>
      <c r="S85" s="4" t="e">
        <v>#VALUE!</v>
      </c>
      <c r="T85" s="1"/>
      <c r="U85" s="2">
        <f t="shared" si="31"/>
        <v>2</v>
      </c>
      <c r="V85" s="2">
        <f t="shared" si="32"/>
        <v>238</v>
      </c>
    </row>
    <row r="86" spans="1:22" x14ac:dyDescent="0.3">
      <c r="A86" s="2">
        <f t="shared" si="30"/>
        <v>2239</v>
      </c>
      <c r="B86" s="5">
        <f t="shared" si="57"/>
        <v>0</v>
      </c>
      <c r="C86" s="5">
        <f t="shared" si="58"/>
        <v>0</v>
      </c>
      <c r="D86" s="5">
        <f t="shared" si="61"/>
        <v>0</v>
      </c>
      <c r="E86" s="4">
        <f t="shared" si="59"/>
        <v>0.2</v>
      </c>
      <c r="F86" s="11">
        <f>IF(D50="","",MAX(G86,H86))</f>
        <v>0.2</v>
      </c>
      <c r="G86" s="5">
        <f>ABS(MIN(E82:E91))</f>
        <v>0</v>
      </c>
      <c r="H86" s="5">
        <f>ABS(MAX(E82:E91))</f>
        <v>0.2</v>
      </c>
      <c r="I86" s="1"/>
      <c r="J86" s="2" t="str">
        <f t="shared" ref="J86" si="64">CONCATENATE(K83,3)</f>
        <v>103</v>
      </c>
      <c r="K86" s="4" t="e">
        <v>#VALUE!</v>
      </c>
      <c r="L86" s="4" t="e">
        <v>#VALUE!</v>
      </c>
      <c r="M86" s="4" t="e">
        <v>#VALUE!</v>
      </c>
      <c r="N86" s="4" t="e">
        <v>#VALUE!</v>
      </c>
      <c r="O86" s="4" t="e">
        <v>#VALUE!</v>
      </c>
      <c r="P86" s="4" t="e">
        <v>#VALUE!</v>
      </c>
      <c r="Q86" s="4" t="e">
        <v>#VALUE!</v>
      </c>
      <c r="R86" s="4" t="e">
        <v>#VALUE!</v>
      </c>
      <c r="S86" s="4" t="e">
        <v>#VALUE!</v>
      </c>
      <c r="T86" s="1"/>
      <c r="U86" s="2">
        <f t="shared" si="31"/>
        <v>2</v>
      </c>
      <c r="V86" s="2">
        <f t="shared" si="32"/>
        <v>239</v>
      </c>
    </row>
    <row r="87" spans="1:22" x14ac:dyDescent="0.3">
      <c r="A87" s="2">
        <f t="shared" si="30"/>
        <v>2240</v>
      </c>
      <c r="B87" s="5">
        <f t="shared" si="57"/>
        <v>0</v>
      </c>
      <c r="C87" s="5">
        <f t="shared" si="58"/>
        <v>0</v>
      </c>
      <c r="D87" s="5">
        <f t="shared" si="61"/>
        <v>0</v>
      </c>
      <c r="E87" s="4">
        <f t="shared" si="59"/>
        <v>0.2</v>
      </c>
      <c r="F87" s="57" t="s">
        <v>51</v>
      </c>
      <c r="G87" s="58"/>
      <c r="H87" s="5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2">
        <f t="shared" si="31"/>
        <v>2</v>
      </c>
      <c r="V87" s="2">
        <f t="shared" si="32"/>
        <v>240</v>
      </c>
    </row>
    <row r="88" spans="1:22" x14ac:dyDescent="0.3">
      <c r="A88" s="2">
        <f t="shared" si="30"/>
        <v>2241</v>
      </c>
      <c r="B88" s="5">
        <f t="shared" si="57"/>
        <v>0</v>
      </c>
      <c r="C88" s="5">
        <f t="shared" si="58"/>
        <v>0</v>
      </c>
      <c r="D88" s="5">
        <f t="shared" si="61"/>
        <v>0</v>
      </c>
      <c r="E88" s="4">
        <f t="shared" si="59"/>
        <v>0.2</v>
      </c>
      <c r="F88" s="21">
        <f>MAX(G88:H90)</f>
        <v>0</v>
      </c>
      <c r="G88" s="4">
        <f>IF(C75="",0,ABS(C75-B75))</f>
        <v>0</v>
      </c>
      <c r="H88" s="4">
        <f>IF(F75="",0,ABS(F75-B75))</f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2">
        <f t="shared" si="31"/>
        <v>2</v>
      </c>
      <c r="V88" s="2">
        <f t="shared" si="32"/>
        <v>241</v>
      </c>
    </row>
    <row r="89" spans="1:22" x14ac:dyDescent="0.3">
      <c r="A89" s="2">
        <f t="shared" si="30"/>
        <v>2242</v>
      </c>
      <c r="B89" s="5">
        <f t="shared" si="57"/>
        <v>0</v>
      </c>
      <c r="C89" s="5">
        <f t="shared" si="58"/>
        <v>0</v>
      </c>
      <c r="D89" s="5">
        <f t="shared" si="61"/>
        <v>0</v>
      </c>
      <c r="E89" s="4">
        <f t="shared" si="59"/>
        <v>0</v>
      </c>
      <c r="F89" s="4" t="s">
        <v>52</v>
      </c>
      <c r="G89" s="4">
        <f>IF(D75="",0,ABS(D75-B75))</f>
        <v>0</v>
      </c>
      <c r="H89" s="4">
        <f>IF(G75="",0,ABS(G75-B75))</f>
        <v>0</v>
      </c>
      <c r="I89" s="1"/>
      <c r="J89" s="1"/>
      <c r="R89" s="1"/>
      <c r="S89" s="1"/>
      <c r="T89" s="1"/>
      <c r="U89" s="2">
        <f t="shared" si="31"/>
        <v>2</v>
      </c>
      <c r="V89" s="2">
        <f t="shared" si="32"/>
        <v>242</v>
      </c>
    </row>
    <row r="90" spans="1:22" x14ac:dyDescent="0.3">
      <c r="A90" s="2">
        <f t="shared" si="30"/>
        <v>2243</v>
      </c>
      <c r="B90" s="5">
        <f t="shared" si="57"/>
        <v>0</v>
      </c>
      <c r="C90" s="5">
        <f t="shared" si="58"/>
        <v>0</v>
      </c>
      <c r="D90" s="5">
        <f t="shared" si="61"/>
        <v>0</v>
      </c>
      <c r="E90" s="4">
        <f t="shared" si="59"/>
        <v>0</v>
      </c>
      <c r="F90" s="22">
        <f>IF(F88=0,0,F88/B75%)</f>
        <v>0</v>
      </c>
      <c r="G90" s="4">
        <f>IF(G75="",0,ABS(G75-B75))</f>
        <v>0</v>
      </c>
      <c r="H90" s="4">
        <f>IF(H75="",0,ABS(H75-B75))</f>
        <v>0</v>
      </c>
      <c r="I90" s="1"/>
      <c r="J90" s="1"/>
      <c r="R90" s="1"/>
      <c r="S90" s="1"/>
      <c r="T90" s="1"/>
      <c r="U90" s="2">
        <f t="shared" si="31"/>
        <v>2</v>
      </c>
      <c r="V90" s="2">
        <f t="shared" si="32"/>
        <v>243</v>
      </c>
    </row>
    <row r="91" spans="1:22" x14ac:dyDescent="0.3">
      <c r="A91" s="2">
        <f t="shared" si="30"/>
        <v>2244</v>
      </c>
      <c r="B91" s="5">
        <f t="shared" si="57"/>
        <v>0</v>
      </c>
      <c r="C91" s="5">
        <f t="shared" si="58"/>
        <v>0</v>
      </c>
      <c r="D91" s="5">
        <f t="shared" si="61"/>
        <v>0</v>
      </c>
      <c r="E91" s="4">
        <f t="shared" si="59"/>
        <v>0</v>
      </c>
      <c r="F91" s="1"/>
      <c r="G91" s="1"/>
      <c r="H91" s="1"/>
      <c r="I91" s="1"/>
      <c r="J91" s="1"/>
      <c r="R91" s="1"/>
      <c r="S91" s="1"/>
      <c r="T91" s="1"/>
      <c r="U91" s="2">
        <f t="shared" si="31"/>
        <v>2</v>
      </c>
      <c r="V91" s="2">
        <f t="shared" si="32"/>
        <v>244</v>
      </c>
    </row>
    <row r="92" spans="1:22" x14ac:dyDescent="0.3">
      <c r="A92" s="2">
        <f t="shared" si="30"/>
        <v>2245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2">
        <f t="shared" si="31"/>
        <v>2</v>
      </c>
      <c r="V92" s="2">
        <f t="shared" si="32"/>
        <v>245</v>
      </c>
    </row>
    <row r="93" spans="1:22" s="20" customFormat="1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x14ac:dyDescent="0.3">
      <c r="A94" s="2">
        <f>ROUND(CONCATENATE(U94,V94),0)</f>
        <v>3201</v>
      </c>
      <c r="B94" s="63" t="s">
        <v>0</v>
      </c>
      <c r="C94" s="63"/>
      <c r="D94" s="71" t="s">
        <v>38</v>
      </c>
      <c r="E94" s="72"/>
      <c r="F94" s="72"/>
      <c r="G94" s="72"/>
      <c r="H94" s="7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2">
        <f>U92+1</f>
        <v>3</v>
      </c>
      <c r="V94" s="2">
        <v>201</v>
      </c>
    </row>
    <row r="95" spans="1:22" x14ac:dyDescent="0.3">
      <c r="A95" s="2">
        <f t="shared" ref="A95:A138" si="65">ROUND(CONCATENATE(U95,V95),0)</f>
        <v>3202</v>
      </c>
      <c r="B95" s="12" t="s">
        <v>40</v>
      </c>
      <c r="C95" s="13"/>
      <c r="D95" s="16" t="s">
        <v>54</v>
      </c>
      <c r="E95" s="57" t="s">
        <v>39</v>
      </c>
      <c r="F95" s="57"/>
      <c r="G95" s="18">
        <v>1E-3</v>
      </c>
      <c r="H95" s="15" t="str">
        <f>IF(D96="","",D95)</f>
        <v>kg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2">
        <f>U94</f>
        <v>3</v>
      </c>
      <c r="V95" s="2">
        <f>V94+1</f>
        <v>202</v>
      </c>
    </row>
    <row r="96" spans="1:22" x14ac:dyDescent="0.3">
      <c r="A96" s="2">
        <f t="shared" si="65"/>
        <v>3203</v>
      </c>
      <c r="B96" s="63" t="s">
        <v>1</v>
      </c>
      <c r="C96" s="63"/>
      <c r="D96" s="71" t="s">
        <v>103</v>
      </c>
      <c r="E96" s="72"/>
      <c r="F96" s="72"/>
      <c r="G96" s="72"/>
      <c r="H96" s="73"/>
      <c r="I96" s="1"/>
      <c r="J96" s="1"/>
      <c r="K96" s="1" t="s">
        <v>2</v>
      </c>
      <c r="L96" s="1" t="s">
        <v>3</v>
      </c>
      <c r="M96" s="1" t="s">
        <v>4</v>
      </c>
      <c r="N96" s="1" t="s">
        <v>5</v>
      </c>
      <c r="O96" s="1" t="s">
        <v>6</v>
      </c>
      <c r="P96" s="1" t="s">
        <v>7</v>
      </c>
      <c r="Q96" s="1" t="s">
        <v>8</v>
      </c>
      <c r="R96" s="1" t="s">
        <v>9</v>
      </c>
      <c r="S96" s="1" t="s">
        <v>10</v>
      </c>
      <c r="T96" s="1"/>
      <c r="U96" s="2">
        <f t="shared" ref="U96:U138" si="66">U95</f>
        <v>3</v>
      </c>
      <c r="V96" s="2">
        <f t="shared" ref="V96:V138" si="67">V95+1</f>
        <v>203</v>
      </c>
    </row>
    <row r="97" spans="1:22" x14ac:dyDescent="0.3">
      <c r="A97" s="2">
        <f t="shared" si="65"/>
        <v>3204</v>
      </c>
      <c r="B97" s="63" t="s">
        <v>11</v>
      </c>
      <c r="C97" s="63"/>
      <c r="D97" s="71" t="s">
        <v>42</v>
      </c>
      <c r="E97" s="72"/>
      <c r="F97" s="72"/>
      <c r="G97" s="72"/>
      <c r="H97" s="73"/>
      <c r="I97" s="1"/>
      <c r="J97" s="1">
        <f>COUNTA(B109:B118)</f>
        <v>5</v>
      </c>
      <c r="K97" s="1">
        <f t="shared" ref="K97" si="68">IF(L97-1&lt;2,0,L97-1)</f>
        <v>0</v>
      </c>
      <c r="L97" s="1">
        <f t="shared" ref="L97" si="69">IF(M97-1&lt;2,0,M97-1)</f>
        <v>0</v>
      </c>
      <c r="M97" s="1">
        <f t="shared" ref="M97" si="70">IF(N97-1&lt;2,0,N97-1)</f>
        <v>0</v>
      </c>
      <c r="N97" s="1">
        <f t="shared" ref="N97" si="71">IF(O97-1&lt;2,0,O97-1)</f>
        <v>0</v>
      </c>
      <c r="O97" s="1">
        <f t="shared" ref="O97" si="72">IF(P97-1&lt;2,0,P97-1)</f>
        <v>0</v>
      </c>
      <c r="P97" s="1">
        <f t="shared" ref="P97" si="73">IF(Q97-1&lt;2,0,Q97-1)</f>
        <v>2</v>
      </c>
      <c r="Q97" s="1">
        <f t="shared" ref="Q97" si="74">IF(R97-1&lt;2,0,R97-1)</f>
        <v>3</v>
      </c>
      <c r="R97" s="1">
        <f>IF(S97-1&lt;2,0,S97-1)</f>
        <v>4</v>
      </c>
      <c r="S97" s="1">
        <f>J97</f>
        <v>5</v>
      </c>
      <c r="T97" s="1"/>
      <c r="U97" s="2">
        <f t="shared" si="66"/>
        <v>3</v>
      </c>
      <c r="V97" s="2">
        <f t="shared" si="67"/>
        <v>204</v>
      </c>
    </row>
    <row r="98" spans="1:22" x14ac:dyDescent="0.3">
      <c r="A98" s="2">
        <f t="shared" si="65"/>
        <v>3205</v>
      </c>
      <c r="B98" s="63" t="s">
        <v>12</v>
      </c>
      <c r="C98" s="63"/>
      <c r="D98" s="71" t="s">
        <v>43</v>
      </c>
      <c r="E98" s="72"/>
      <c r="F98" s="72"/>
      <c r="G98" s="72"/>
      <c r="H98" s="73"/>
      <c r="I98" s="1"/>
      <c r="J98" s="2" t="str">
        <f>CONCATENATE(J97,1)</f>
        <v>51</v>
      </c>
      <c r="K98" s="3">
        <f>IF(K97=0,0,VLOOKUP(J98,J102:S132,K97,FALSE))</f>
        <v>0</v>
      </c>
      <c r="L98" s="3">
        <f>IF(L97=0,0,VLOOKUP(J98,J102:S132,L97,FALSE))</f>
        <v>0</v>
      </c>
      <c r="M98" s="3">
        <f>IF(M97=0,0,VLOOKUP(J98,J102:S132,M97,FALSE))</f>
        <v>0</v>
      </c>
      <c r="N98" s="3">
        <f>IF(N97=0,0,VLOOKUP(J98,J102:S132,N97,FALSE))</f>
        <v>0</v>
      </c>
      <c r="O98" s="3">
        <f>IF(O97=0,0,VLOOKUP(J98,J102:S132,O97,FALSE))</f>
        <v>0</v>
      </c>
      <c r="P98" s="3">
        <f>IF(P97=0,0,VLOOKUP(J98,J102:S132,P97,FALSE))</f>
        <v>2.0540732034428424E-11</v>
      </c>
      <c r="Q98" s="3">
        <f>IF(Q97=0,0,VLOOKUP(J98,J102:S132,Q97,FALSE))</f>
        <v>-1.1037249574251975E-8</v>
      </c>
      <c r="R98" s="3">
        <f>IF(R97=0,0,VLOOKUP(J98,J102:S132,R97,FALSE))</f>
        <v>1.0000086953519802</v>
      </c>
      <c r="S98" s="3">
        <f>IF(S97=0,0,VLOOKUP(J98,J102:S132,S97,FALSE))</f>
        <v>-1.5767507148904583E-4</v>
      </c>
      <c r="T98" s="1"/>
      <c r="U98" s="2">
        <f t="shared" si="66"/>
        <v>3</v>
      </c>
      <c r="V98" s="2">
        <f t="shared" si="67"/>
        <v>205</v>
      </c>
    </row>
    <row r="99" spans="1:22" x14ac:dyDescent="0.3">
      <c r="A99" s="2">
        <f t="shared" si="65"/>
        <v>3206</v>
      </c>
      <c r="B99" s="63" t="s">
        <v>13</v>
      </c>
      <c r="C99" s="63"/>
      <c r="D99" s="74" t="s">
        <v>174</v>
      </c>
      <c r="E99" s="72"/>
      <c r="F99" s="72"/>
      <c r="G99" s="72"/>
      <c r="H99" s="73"/>
      <c r="I99" s="1"/>
      <c r="J99" s="2" t="str">
        <f>CONCATENATE(J97,2)</f>
        <v>52</v>
      </c>
      <c r="K99" s="4">
        <f>IF(K97=0,0,VLOOKUP(J99,J102:S132,K97,FALSE))</f>
        <v>0</v>
      </c>
      <c r="L99" s="4">
        <f>IF(L97=0,0,VLOOKUP(J99,J102:S132,L97,FALSE))</f>
        <v>0</v>
      </c>
      <c r="M99" s="4">
        <f>IF(M97=0,0,VLOOKUP(J99,J102:S132,M97,FALSE))</f>
        <v>0</v>
      </c>
      <c r="N99" s="4">
        <f>IF(N97=0,0,VLOOKUP(J99,J102:S132,N97,FALSE))</f>
        <v>0</v>
      </c>
      <c r="O99" s="4">
        <f>IF(O97=0,0,VLOOKUP(J99,J102:S132,O97,FALSE))</f>
        <v>0</v>
      </c>
      <c r="P99" s="4">
        <f>IF(P97=0,0,VLOOKUP(J99,J102:S132,P97,FALSE))</f>
        <v>2.2955068278706316E-11</v>
      </c>
      <c r="Q99" s="4">
        <f>IF(Q97=0,0,VLOOKUP(J99,J102:S132,Q97,FALSE))</f>
        <v>1.7532961824143407E-8</v>
      </c>
      <c r="R99" s="4">
        <f>IF(R97=0,0,VLOOKUP(J99,J102:S132,R97,FALSE))</f>
        <v>3.3363006686255834E-6</v>
      </c>
      <c r="S99" s="4">
        <f>IF(S97=0,0,VLOOKUP(J99,J102:S132,S97,FALSE))</f>
        <v>1.2135386441448181E-4</v>
      </c>
      <c r="T99" s="1"/>
      <c r="U99" s="2">
        <f t="shared" si="66"/>
        <v>3</v>
      </c>
      <c r="V99" s="2">
        <f t="shared" si="67"/>
        <v>206</v>
      </c>
    </row>
    <row r="100" spans="1:22" x14ac:dyDescent="0.3">
      <c r="A100" s="2">
        <f t="shared" si="65"/>
        <v>3207</v>
      </c>
      <c r="B100" s="63" t="s">
        <v>14</v>
      </c>
      <c r="C100" s="63"/>
      <c r="D100" s="75">
        <v>46031</v>
      </c>
      <c r="E100" s="76"/>
      <c r="F100" s="76"/>
      <c r="G100" s="76"/>
      <c r="H100" s="77"/>
      <c r="I100" s="1"/>
      <c r="J100" s="2" t="str">
        <f>CONCATENATE(J97,3)</f>
        <v>53</v>
      </c>
      <c r="K100" s="4"/>
      <c r="L100" s="4"/>
      <c r="M100" s="4"/>
      <c r="N100" s="4" t="s">
        <v>15</v>
      </c>
      <c r="O100" s="3">
        <f>J97-2</f>
        <v>3</v>
      </c>
      <c r="P100" s="4" t="s">
        <v>16</v>
      </c>
      <c r="Q100" s="3">
        <f>VLOOKUP(J100,J102:S132,3,FALSE)</f>
        <v>1.2310936059023447E-4</v>
      </c>
      <c r="R100" s="4" t="s">
        <v>17</v>
      </c>
      <c r="S100" s="4">
        <f>VLOOKUP(J100,J102:S132,2,FALSE)</f>
        <v>0.99999999999990952</v>
      </c>
      <c r="T100" s="1"/>
      <c r="U100" s="2">
        <f t="shared" si="66"/>
        <v>3</v>
      </c>
      <c r="V100" s="2">
        <f t="shared" si="67"/>
        <v>207</v>
      </c>
    </row>
    <row r="101" spans="1:22" x14ac:dyDescent="0.3">
      <c r="A101" s="2">
        <f t="shared" si="65"/>
        <v>3208</v>
      </c>
      <c r="B101" s="63" t="s">
        <v>18</v>
      </c>
      <c r="C101" s="63"/>
      <c r="D101" s="64">
        <v>46417</v>
      </c>
      <c r="E101" s="65"/>
      <c r="F101" s="65"/>
      <c r="G101" s="65"/>
      <c r="H101" s="66"/>
      <c r="I101" s="1"/>
      <c r="J101" s="1"/>
      <c r="K101" s="1">
        <v>3</v>
      </c>
      <c r="L101" s="1">
        <v>3</v>
      </c>
      <c r="M101" s="1"/>
      <c r="N101" s="1"/>
      <c r="O101" s="1"/>
      <c r="P101" s="1"/>
      <c r="Q101" s="1"/>
      <c r="R101" s="1"/>
      <c r="S101" s="1"/>
      <c r="T101" s="1"/>
      <c r="U101" s="2">
        <f t="shared" si="66"/>
        <v>3</v>
      </c>
      <c r="V101" s="2">
        <f t="shared" si="67"/>
        <v>208</v>
      </c>
    </row>
    <row r="102" spans="1:22" x14ac:dyDescent="0.3">
      <c r="A102" s="2">
        <f t="shared" si="65"/>
        <v>3209</v>
      </c>
      <c r="B102" s="67" t="s">
        <v>19</v>
      </c>
      <c r="C102" s="63"/>
      <c r="D102" s="5">
        <f>IF(D95="","",MIN(B109:B118))</f>
        <v>10</v>
      </c>
      <c r="E102" s="6" t="s">
        <v>20</v>
      </c>
      <c r="F102" s="5">
        <f>IF(D95="","",MAX(B109:B118))</f>
        <v>500</v>
      </c>
      <c r="G102" s="7" t="str">
        <f>IF(D96="","",H95)</f>
        <v>kg</v>
      </c>
      <c r="H102" s="14"/>
      <c r="I102" s="1"/>
      <c r="J102" s="2" t="str">
        <f>CONCATENATE(K101,1)</f>
        <v>31</v>
      </c>
      <c r="K102" s="4">
        <f t="array" ref="K102:L104">LINEST(B109:B111,C109:C111^{1},TRUE,TRUE)</f>
        <v>1.0000075581956467</v>
      </c>
      <c r="L102" s="4">
        <v>-1.4534987155201406E-4</v>
      </c>
      <c r="M102" s="1"/>
      <c r="N102" s="1"/>
      <c r="O102" s="1"/>
      <c r="P102" s="1"/>
      <c r="Q102" s="1"/>
      <c r="R102" s="1"/>
      <c r="S102" s="1"/>
      <c r="T102" s="1"/>
      <c r="U102" s="2">
        <f t="shared" si="66"/>
        <v>3</v>
      </c>
      <c r="V102" s="2">
        <f t="shared" si="67"/>
        <v>209</v>
      </c>
    </row>
    <row r="103" spans="1:22" x14ac:dyDescent="0.3">
      <c r="A103" s="2">
        <f t="shared" si="65"/>
        <v>3210</v>
      </c>
      <c r="B103" s="1"/>
      <c r="C103" s="1"/>
      <c r="D103" s="1"/>
      <c r="E103" s="1"/>
      <c r="F103" s="1"/>
      <c r="G103" s="1"/>
      <c r="H103" s="1"/>
      <c r="I103" s="1"/>
      <c r="J103" s="2" t="str">
        <f>CONCATENATE(K101,2)</f>
        <v>32</v>
      </c>
      <c r="K103" s="4">
        <v>1.0070215058905192E-6</v>
      </c>
      <c r="L103" s="4">
        <v>8.9126997661541569E-5</v>
      </c>
      <c r="M103" s="1"/>
      <c r="N103" s="1"/>
      <c r="O103" s="1"/>
      <c r="P103" s="1"/>
      <c r="Q103" s="1"/>
      <c r="R103" s="1"/>
      <c r="S103" s="1"/>
      <c r="T103" s="1"/>
      <c r="U103" s="2">
        <f t="shared" si="66"/>
        <v>3</v>
      </c>
      <c r="V103" s="2">
        <f t="shared" si="67"/>
        <v>210</v>
      </c>
    </row>
    <row r="104" spans="1:22" x14ac:dyDescent="0.3">
      <c r="A104" s="2">
        <f t="shared" si="65"/>
        <v>3211</v>
      </c>
      <c r="B104" s="68" t="s">
        <v>21</v>
      </c>
      <c r="C104" s="68"/>
      <c r="D104" s="68"/>
      <c r="E104" s="68"/>
      <c r="F104" s="68"/>
      <c r="G104" s="69" t="s">
        <v>22</v>
      </c>
      <c r="H104" s="70"/>
      <c r="I104" s="1"/>
      <c r="J104" s="2" t="str">
        <f>CONCATENATE(K101,3)</f>
        <v>33</v>
      </c>
      <c r="K104" s="4">
        <v>0.99999999999898581</v>
      </c>
      <c r="L104" s="4">
        <v>1.078335882311876E-4</v>
      </c>
      <c r="M104" s="1"/>
      <c r="N104" s="1"/>
      <c r="O104" s="1"/>
      <c r="P104" s="1"/>
      <c r="Q104" s="1"/>
      <c r="R104" s="1"/>
      <c r="S104" s="1"/>
      <c r="T104" s="1"/>
      <c r="U104" s="2">
        <f t="shared" si="66"/>
        <v>3</v>
      </c>
      <c r="V104" s="2">
        <f t="shared" si="67"/>
        <v>211</v>
      </c>
    </row>
    <row r="105" spans="1:22" x14ac:dyDescent="0.3">
      <c r="A105" s="2">
        <f t="shared" si="65"/>
        <v>3212</v>
      </c>
      <c r="B105" s="61" t="s">
        <v>23</v>
      </c>
      <c r="C105" s="61"/>
      <c r="D105" s="61"/>
      <c r="E105" s="61" t="str">
        <f>D99</f>
        <v>E0016/26</v>
      </c>
      <c r="F105" s="61"/>
      <c r="G105" s="4" t="s">
        <v>24</v>
      </c>
      <c r="H105" s="31" t="s">
        <v>104</v>
      </c>
      <c r="I105" s="1"/>
      <c r="J105" s="1"/>
      <c r="K105" s="1">
        <v>4</v>
      </c>
      <c r="L105" s="1">
        <v>4</v>
      </c>
      <c r="M105" s="1">
        <v>4</v>
      </c>
      <c r="N105" s="1"/>
      <c r="O105" s="1"/>
      <c r="P105" s="1"/>
      <c r="Q105" s="1"/>
      <c r="R105" s="1"/>
      <c r="S105" s="1"/>
      <c r="T105" s="1"/>
      <c r="U105" s="2">
        <f t="shared" si="66"/>
        <v>3</v>
      </c>
      <c r="V105" s="2">
        <f t="shared" si="67"/>
        <v>212</v>
      </c>
    </row>
    <row r="106" spans="1:22" x14ac:dyDescent="0.3">
      <c r="A106" s="2">
        <f t="shared" si="65"/>
        <v>3213</v>
      </c>
      <c r="B106" s="59" t="s">
        <v>25</v>
      </c>
      <c r="C106" s="59" t="s">
        <v>26</v>
      </c>
      <c r="D106" s="59" t="s">
        <v>27</v>
      </c>
      <c r="E106" s="59" t="s">
        <v>28</v>
      </c>
      <c r="F106" s="59" t="s">
        <v>29</v>
      </c>
      <c r="G106" s="59" t="s">
        <v>25</v>
      </c>
      <c r="H106" s="59" t="s">
        <v>26</v>
      </c>
      <c r="I106" s="1"/>
      <c r="J106" s="2" t="str">
        <f t="shared" ref="J106" si="75">CONCATENATE(K105,1)</f>
        <v>41</v>
      </c>
      <c r="K106" s="4">
        <f t="array" ref="K106:M108">LINEST(B109:B112,C109:C112^{1,2},TRUE,TRUE)</f>
        <v>-2.1706315095821165E-9</v>
      </c>
      <c r="L106" s="4">
        <v>1.0000078226515421</v>
      </c>
      <c r="M106" s="4">
        <v>-1.4667809180599731E-4</v>
      </c>
      <c r="N106" s="1"/>
      <c r="O106" s="1"/>
      <c r="P106" s="1"/>
      <c r="Q106" s="1"/>
      <c r="R106" s="1"/>
      <c r="S106" s="1"/>
      <c r="T106" s="1"/>
      <c r="U106" s="2">
        <f t="shared" si="66"/>
        <v>3</v>
      </c>
      <c r="V106" s="2">
        <f t="shared" si="67"/>
        <v>213</v>
      </c>
    </row>
    <row r="107" spans="1:22" x14ac:dyDescent="0.3">
      <c r="A107" s="2">
        <f t="shared" si="65"/>
        <v>3214</v>
      </c>
      <c r="B107" s="60"/>
      <c r="C107" s="60"/>
      <c r="D107" s="60"/>
      <c r="E107" s="60"/>
      <c r="F107" s="60"/>
      <c r="G107" s="60"/>
      <c r="H107" s="60"/>
      <c r="I107" s="1"/>
      <c r="J107" s="2" t="str">
        <f t="shared" ref="J107" si="76">CONCATENATE(K105,2)</f>
        <v>42</v>
      </c>
      <c r="K107" s="4">
        <v>6.5348284533102802E-9</v>
      </c>
      <c r="L107" s="4">
        <v>2.0740046004801632E-6</v>
      </c>
      <c r="M107" s="4">
        <v>1.0243571197039531E-4</v>
      </c>
      <c r="N107" s="1"/>
      <c r="O107" s="1"/>
      <c r="P107" s="1"/>
      <c r="Q107" s="1"/>
      <c r="R107" s="1"/>
      <c r="S107" s="1"/>
      <c r="T107" s="1"/>
      <c r="U107" s="2">
        <f t="shared" si="66"/>
        <v>3</v>
      </c>
      <c r="V107" s="2">
        <f t="shared" si="67"/>
        <v>214</v>
      </c>
    </row>
    <row r="108" spans="1:22" x14ac:dyDescent="0.3">
      <c r="A108" s="2">
        <f t="shared" si="65"/>
        <v>3215</v>
      </c>
      <c r="B108" s="9" t="str">
        <f>CONCATENATE("(",H95,")")</f>
        <v>(kg)</v>
      </c>
      <c r="C108" s="9" t="str">
        <f>B108</f>
        <v>(kg)</v>
      </c>
      <c r="D108" s="9" t="str">
        <f>C108</f>
        <v>(kg)</v>
      </c>
      <c r="E108" s="9"/>
      <c r="F108" s="9"/>
      <c r="G108" s="9" t="str">
        <f>B108</f>
        <v>(kg)</v>
      </c>
      <c r="H108" s="9" t="str">
        <f>G108</f>
        <v>(kg)</v>
      </c>
      <c r="I108" s="1"/>
      <c r="J108" s="2" t="str">
        <f t="shared" ref="J108" si="77">CONCATENATE(K105,3)</f>
        <v>43</v>
      </c>
      <c r="K108" s="4">
        <v>0.99999999999976374</v>
      </c>
      <c r="L108" s="4">
        <v>1.1239106781602004E-4</v>
      </c>
      <c r="M108" s="4" t="e">
        <v>#N/A</v>
      </c>
      <c r="N108" s="1"/>
      <c r="O108" s="1"/>
      <c r="P108" s="1"/>
      <c r="Q108" s="1"/>
      <c r="R108" s="1"/>
      <c r="S108" s="1"/>
      <c r="T108" s="1"/>
      <c r="U108" s="2">
        <f t="shared" si="66"/>
        <v>3</v>
      </c>
      <c r="V108" s="2">
        <f t="shared" si="67"/>
        <v>215</v>
      </c>
    </row>
    <row r="109" spans="1:22" x14ac:dyDescent="0.3">
      <c r="A109" s="2">
        <f t="shared" si="65"/>
        <v>3216</v>
      </c>
      <c r="B109" s="10">
        <v>10</v>
      </c>
      <c r="C109" s="10">
        <v>10</v>
      </c>
      <c r="D109" s="10">
        <v>2E-3</v>
      </c>
      <c r="E109" s="10">
        <v>2</v>
      </c>
      <c r="F109" s="10">
        <v>1000000</v>
      </c>
      <c r="G109" s="8">
        <v>10</v>
      </c>
      <c r="H109" s="8">
        <v>9.9979999999999993</v>
      </c>
      <c r="I109" s="1"/>
      <c r="J109" s="1"/>
      <c r="K109" s="1">
        <v>5</v>
      </c>
      <c r="L109" s="1">
        <v>5</v>
      </c>
      <c r="M109" s="1">
        <v>5</v>
      </c>
      <c r="N109" s="1">
        <v>5</v>
      </c>
      <c r="O109" s="1"/>
      <c r="P109" s="1"/>
      <c r="Q109" s="1"/>
      <c r="R109" s="1"/>
      <c r="S109" s="1"/>
      <c r="T109" s="1"/>
      <c r="U109" s="2">
        <f t="shared" si="66"/>
        <v>3</v>
      </c>
      <c r="V109" s="2">
        <f t="shared" si="67"/>
        <v>216</v>
      </c>
    </row>
    <row r="110" spans="1:22" x14ac:dyDescent="0.3">
      <c r="A110" s="2">
        <f t="shared" si="65"/>
        <v>3217</v>
      </c>
      <c r="B110" s="10">
        <v>30</v>
      </c>
      <c r="C110" s="10">
        <v>30</v>
      </c>
      <c r="D110" s="10">
        <v>2E-3</v>
      </c>
      <c r="E110" s="10">
        <v>2</v>
      </c>
      <c r="F110" s="10">
        <v>1000000</v>
      </c>
      <c r="G110" s="8">
        <v>30</v>
      </c>
      <c r="H110" s="8">
        <v>29.995999999999999</v>
      </c>
      <c r="I110" s="1"/>
      <c r="J110" s="2" t="str">
        <f t="shared" ref="J110" si="78">CONCATENATE(K109,1)</f>
        <v>51</v>
      </c>
      <c r="K110" s="4">
        <f t="array" ref="K110:N112">LINEST(B109:B113,C109:C113^{1,2,3},TRUE,TRUE)</f>
        <v>2.0540732034428424E-11</v>
      </c>
      <c r="L110" s="4">
        <v>-1.1037249574251975E-8</v>
      </c>
      <c r="M110" s="4">
        <v>1.0000086953519802</v>
      </c>
      <c r="N110" s="4">
        <v>-1.5767507148904583E-4</v>
      </c>
      <c r="O110" s="1"/>
      <c r="P110" s="1"/>
      <c r="Q110" s="1"/>
      <c r="R110" s="1"/>
      <c r="S110" s="1"/>
      <c r="T110" s="1"/>
      <c r="U110" s="2">
        <f t="shared" si="66"/>
        <v>3</v>
      </c>
      <c r="V110" s="2">
        <f t="shared" si="67"/>
        <v>217</v>
      </c>
    </row>
    <row r="111" spans="1:22" x14ac:dyDescent="0.3">
      <c r="A111" s="2">
        <f t="shared" si="65"/>
        <v>3218</v>
      </c>
      <c r="B111" s="10">
        <v>150</v>
      </c>
      <c r="C111" s="10">
        <v>149.999</v>
      </c>
      <c r="D111" s="10">
        <v>3.0000000000000001E-3</v>
      </c>
      <c r="E111" s="10">
        <v>2</v>
      </c>
      <c r="F111" s="10">
        <v>1000000</v>
      </c>
      <c r="G111" s="8">
        <v>150</v>
      </c>
      <c r="H111" s="8">
        <v>150.01900000000001</v>
      </c>
      <c r="I111" s="1"/>
      <c r="J111" s="2" t="str">
        <f t="shared" ref="J111" si="79">CONCATENATE(K109,2)</f>
        <v>52</v>
      </c>
      <c r="K111" s="4">
        <v>2.2955068278706316E-11</v>
      </c>
      <c r="L111" s="4">
        <v>1.7532961824143407E-8</v>
      </c>
      <c r="M111" s="4">
        <v>3.3363006686255834E-6</v>
      </c>
      <c r="N111" s="4">
        <v>1.2135386441448181E-4</v>
      </c>
      <c r="O111" s="1"/>
      <c r="P111" s="1"/>
      <c r="Q111" s="1"/>
      <c r="R111" s="1"/>
      <c r="S111" s="1"/>
      <c r="T111" s="1"/>
      <c r="U111" s="2">
        <f t="shared" si="66"/>
        <v>3</v>
      </c>
      <c r="V111" s="2">
        <f t="shared" si="67"/>
        <v>218</v>
      </c>
    </row>
    <row r="112" spans="1:22" x14ac:dyDescent="0.3">
      <c r="A112" s="2">
        <f t="shared" si="65"/>
        <v>3219</v>
      </c>
      <c r="B112" s="10">
        <v>300</v>
      </c>
      <c r="C112" s="10">
        <v>299.99799999999999</v>
      </c>
      <c r="D112" s="10">
        <v>8.0000000000000002E-3</v>
      </c>
      <c r="E112" s="10">
        <v>2</v>
      </c>
      <c r="F112" s="10">
        <v>1000000</v>
      </c>
      <c r="G112" s="8">
        <v>300</v>
      </c>
      <c r="H112" s="8">
        <v>300.01799999999997</v>
      </c>
      <c r="I112" s="1"/>
      <c r="J112" s="2" t="str">
        <f t="shared" ref="J112" si="80">CONCATENATE(K109,3)</f>
        <v>53</v>
      </c>
      <c r="K112" s="4">
        <v>0.99999999999990952</v>
      </c>
      <c r="L112" s="4">
        <v>1.2310936059023447E-4</v>
      </c>
      <c r="M112" s="4" t="e">
        <v>#N/A</v>
      </c>
      <c r="N112" s="4" t="e">
        <v>#N/A</v>
      </c>
      <c r="O112" s="1"/>
      <c r="P112" s="1"/>
      <c r="Q112" s="1"/>
      <c r="R112" s="1"/>
      <c r="S112" s="1"/>
      <c r="T112" s="1"/>
      <c r="U112" s="2">
        <f t="shared" si="66"/>
        <v>3</v>
      </c>
      <c r="V112" s="2">
        <f t="shared" si="67"/>
        <v>219</v>
      </c>
    </row>
    <row r="113" spans="1:22" x14ac:dyDescent="0.3">
      <c r="A113" s="2">
        <f t="shared" si="65"/>
        <v>3220</v>
      </c>
      <c r="B113" s="10">
        <v>500</v>
      </c>
      <c r="C113" s="10">
        <v>499.99599999999998</v>
      </c>
      <c r="D113" s="10">
        <v>1.0999999999999999E-2</v>
      </c>
      <c r="E113" s="10">
        <v>2</v>
      </c>
      <c r="F113" s="10">
        <v>1000000</v>
      </c>
      <c r="G113" s="8">
        <v>500</v>
      </c>
      <c r="H113" s="8">
        <v>499.97199999999998</v>
      </c>
      <c r="I113" s="1"/>
      <c r="J113" s="1"/>
      <c r="K113" s="1">
        <v>6</v>
      </c>
      <c r="L113" s="1">
        <v>6</v>
      </c>
      <c r="M113" s="1">
        <v>6</v>
      </c>
      <c r="N113" s="1">
        <v>6</v>
      </c>
      <c r="O113" s="1">
        <v>6</v>
      </c>
      <c r="P113" s="1"/>
      <c r="Q113" s="1"/>
      <c r="R113" s="1"/>
      <c r="S113" s="1"/>
      <c r="T113" s="1"/>
      <c r="U113" s="2">
        <f t="shared" si="66"/>
        <v>3</v>
      </c>
      <c r="V113" s="2">
        <f t="shared" si="67"/>
        <v>220</v>
      </c>
    </row>
    <row r="114" spans="1:22" x14ac:dyDescent="0.3">
      <c r="A114" s="2">
        <f t="shared" si="65"/>
        <v>3221</v>
      </c>
      <c r="B114" s="10"/>
      <c r="C114" s="10"/>
      <c r="D114" s="10"/>
      <c r="E114" s="10"/>
      <c r="F114" s="10"/>
      <c r="G114" s="8"/>
      <c r="H114" s="8"/>
      <c r="I114" s="1"/>
      <c r="J114" s="2" t="str">
        <f t="shared" ref="J114" si="81">CONCATENATE(K113,1)</f>
        <v>61</v>
      </c>
      <c r="K114" s="4" t="e">
        <f t="array" ref="K114:O116">LINEST(B109:B114,C109:C114^{1,2,3,4},TRUE,TRUE)</f>
        <v>#VALUE!</v>
      </c>
      <c r="L114" s="4" t="e">
        <v>#VALUE!</v>
      </c>
      <c r="M114" s="4" t="e">
        <v>#VALUE!</v>
      </c>
      <c r="N114" s="4" t="e">
        <v>#VALUE!</v>
      </c>
      <c r="O114" s="4" t="e">
        <v>#VALUE!</v>
      </c>
      <c r="P114" s="1"/>
      <c r="Q114" s="1"/>
      <c r="R114" s="1"/>
      <c r="S114" s="1"/>
      <c r="T114" s="1"/>
      <c r="U114" s="2">
        <f t="shared" si="66"/>
        <v>3</v>
      </c>
      <c r="V114" s="2">
        <f t="shared" si="67"/>
        <v>221</v>
      </c>
    </row>
    <row r="115" spans="1:22" x14ac:dyDescent="0.3">
      <c r="A115" s="2">
        <f t="shared" si="65"/>
        <v>3222</v>
      </c>
      <c r="B115" s="10"/>
      <c r="C115" s="10"/>
      <c r="D115" s="10"/>
      <c r="E115" s="10"/>
      <c r="F115" s="10"/>
      <c r="G115" s="8"/>
      <c r="H115" s="8"/>
      <c r="I115" s="1"/>
      <c r="J115" s="2" t="str">
        <f t="shared" ref="J115" si="82">CONCATENATE(K113,2)</f>
        <v>62</v>
      </c>
      <c r="K115" s="4" t="e">
        <v>#VALUE!</v>
      </c>
      <c r="L115" s="4" t="e">
        <v>#VALUE!</v>
      </c>
      <c r="M115" s="4" t="e">
        <v>#VALUE!</v>
      </c>
      <c r="N115" s="4" t="e">
        <v>#VALUE!</v>
      </c>
      <c r="O115" s="4" t="e">
        <v>#VALUE!</v>
      </c>
      <c r="P115" s="1"/>
      <c r="Q115" s="1"/>
      <c r="R115" s="1"/>
      <c r="S115" s="1"/>
      <c r="T115" s="1"/>
      <c r="U115" s="2">
        <f t="shared" si="66"/>
        <v>3</v>
      </c>
      <c r="V115" s="2">
        <f t="shared" si="67"/>
        <v>222</v>
      </c>
    </row>
    <row r="116" spans="1:22" x14ac:dyDescent="0.3">
      <c r="A116" s="2">
        <f t="shared" si="65"/>
        <v>3223</v>
      </c>
      <c r="B116" s="10"/>
      <c r="C116" s="10"/>
      <c r="D116" s="10"/>
      <c r="E116" s="10"/>
      <c r="F116" s="10"/>
      <c r="G116" s="8"/>
      <c r="H116" s="8"/>
      <c r="I116" s="1"/>
      <c r="J116" s="2" t="str">
        <f t="shared" ref="J116" si="83">CONCATENATE(K113,3)</f>
        <v>63</v>
      </c>
      <c r="K116" s="4" t="e">
        <v>#VALUE!</v>
      </c>
      <c r="L116" s="4" t="e">
        <v>#VALUE!</v>
      </c>
      <c r="M116" s="4" t="e">
        <v>#VALUE!</v>
      </c>
      <c r="N116" s="4" t="e">
        <v>#VALUE!</v>
      </c>
      <c r="O116" s="4" t="e">
        <v>#VALUE!</v>
      </c>
      <c r="P116" s="1"/>
      <c r="Q116" s="1"/>
      <c r="R116" s="1"/>
      <c r="S116" s="1"/>
      <c r="T116" s="1"/>
      <c r="U116" s="2">
        <f t="shared" si="66"/>
        <v>3</v>
      </c>
      <c r="V116" s="2">
        <f t="shared" si="67"/>
        <v>223</v>
      </c>
    </row>
    <row r="117" spans="1:22" x14ac:dyDescent="0.3">
      <c r="A117" s="2">
        <f t="shared" si="65"/>
        <v>3224</v>
      </c>
      <c r="B117" s="10"/>
      <c r="C117" s="10"/>
      <c r="D117" s="10"/>
      <c r="E117" s="10"/>
      <c r="F117" s="10"/>
      <c r="G117" s="8"/>
      <c r="H117" s="8"/>
      <c r="I117" s="1"/>
      <c r="J117" s="1"/>
      <c r="K117" s="1">
        <v>7</v>
      </c>
      <c r="L117" s="1">
        <v>7</v>
      </c>
      <c r="M117" s="1">
        <v>7</v>
      </c>
      <c r="N117" s="1">
        <v>7</v>
      </c>
      <c r="O117" s="1">
        <v>7</v>
      </c>
      <c r="P117" s="1">
        <v>7</v>
      </c>
      <c r="Q117" s="1"/>
      <c r="R117" s="1"/>
      <c r="S117" s="1"/>
      <c r="T117" s="1"/>
      <c r="U117" s="2">
        <f t="shared" si="66"/>
        <v>3</v>
      </c>
      <c r="V117" s="2">
        <f t="shared" si="67"/>
        <v>224</v>
      </c>
    </row>
    <row r="118" spans="1:22" x14ac:dyDescent="0.3">
      <c r="A118" s="2">
        <f t="shared" si="65"/>
        <v>3225</v>
      </c>
      <c r="B118" s="10"/>
      <c r="C118" s="10"/>
      <c r="D118" s="10"/>
      <c r="E118" s="10"/>
      <c r="F118" s="10"/>
      <c r="G118" s="8"/>
      <c r="H118" s="8"/>
      <c r="I118" s="1"/>
      <c r="J118" s="2" t="str">
        <f t="shared" ref="J118" si="84">CONCATENATE(K117,1)</f>
        <v>71</v>
      </c>
      <c r="K118" s="4" t="e">
        <f t="array" ref="K118:P120">LINEST(B109:B115,C109:C115^{1,2,3,4,5},TRUE,TRUE)</f>
        <v>#VALUE!</v>
      </c>
      <c r="L118" s="4" t="e">
        <v>#VALUE!</v>
      </c>
      <c r="M118" s="4" t="e">
        <v>#VALUE!</v>
      </c>
      <c r="N118" s="4" t="e">
        <v>#VALUE!</v>
      </c>
      <c r="O118" s="4" t="e">
        <v>#VALUE!</v>
      </c>
      <c r="P118" s="4" t="e">
        <v>#VALUE!</v>
      </c>
      <c r="Q118" s="1"/>
      <c r="R118" s="1"/>
      <c r="S118" s="1"/>
      <c r="T118" s="1"/>
      <c r="U118" s="2">
        <f t="shared" si="66"/>
        <v>3</v>
      </c>
      <c r="V118" s="2">
        <f t="shared" si="67"/>
        <v>225</v>
      </c>
    </row>
    <row r="119" spans="1:22" x14ac:dyDescent="0.3">
      <c r="A119" s="2">
        <f t="shared" si="65"/>
        <v>3226</v>
      </c>
      <c r="B119" s="61" t="s">
        <v>44</v>
      </c>
      <c r="C119" s="61"/>
      <c r="D119" s="61"/>
      <c r="E119" s="61"/>
      <c r="F119" s="61"/>
      <c r="G119" s="61"/>
      <c r="H119" s="61"/>
      <c r="I119" s="1"/>
      <c r="J119" s="2" t="str">
        <f t="shared" ref="J119" si="85">CONCATENATE(K117,2)</f>
        <v>72</v>
      </c>
      <c r="K119" s="4" t="e">
        <v>#VALUE!</v>
      </c>
      <c r="L119" s="4" t="e">
        <v>#VALUE!</v>
      </c>
      <c r="M119" s="4" t="e">
        <v>#VALUE!</v>
      </c>
      <c r="N119" s="4" t="e">
        <v>#VALUE!</v>
      </c>
      <c r="O119" s="4" t="e">
        <v>#VALUE!</v>
      </c>
      <c r="P119" s="4" t="e">
        <v>#VALUE!</v>
      </c>
      <c r="Q119" s="1"/>
      <c r="R119" s="1"/>
      <c r="S119" s="1"/>
      <c r="T119" s="1"/>
      <c r="U119" s="2">
        <f t="shared" si="66"/>
        <v>3</v>
      </c>
      <c r="V119" s="2">
        <f t="shared" si="67"/>
        <v>226</v>
      </c>
    </row>
    <row r="120" spans="1:22" x14ac:dyDescent="0.3">
      <c r="A120" s="2">
        <f t="shared" si="65"/>
        <v>3227</v>
      </c>
      <c r="B120" s="4" t="s">
        <v>45</v>
      </c>
      <c r="C120" s="4" t="s">
        <v>46</v>
      </c>
      <c r="D120" s="4" t="s">
        <v>47</v>
      </c>
      <c r="E120" s="4" t="s">
        <v>48</v>
      </c>
      <c r="F120" s="4" t="s">
        <v>49</v>
      </c>
      <c r="G120" s="4" t="s">
        <v>50</v>
      </c>
      <c r="H120" s="4" t="s">
        <v>46</v>
      </c>
      <c r="I120" s="1"/>
      <c r="J120" s="2" t="str">
        <f t="shared" ref="J120" si="86">CONCATENATE(K117,3)</f>
        <v>73</v>
      </c>
      <c r="K120" s="4" t="e">
        <v>#VALUE!</v>
      </c>
      <c r="L120" s="4" t="e">
        <v>#VALUE!</v>
      </c>
      <c r="M120" s="4" t="e">
        <v>#VALUE!</v>
      </c>
      <c r="N120" s="4" t="e">
        <v>#VALUE!</v>
      </c>
      <c r="O120" s="4" t="e">
        <v>#VALUE!</v>
      </c>
      <c r="P120" s="4" t="e">
        <v>#VALUE!</v>
      </c>
      <c r="Q120" s="1"/>
      <c r="R120" s="1"/>
      <c r="S120" s="1"/>
      <c r="T120" s="1"/>
      <c r="U120" s="2">
        <f t="shared" si="66"/>
        <v>3</v>
      </c>
      <c r="V120" s="2">
        <f t="shared" si="67"/>
        <v>227</v>
      </c>
    </row>
    <row r="121" spans="1:22" x14ac:dyDescent="0.3">
      <c r="A121" s="2">
        <f t="shared" si="65"/>
        <v>3228</v>
      </c>
      <c r="B121" s="10">
        <v>160</v>
      </c>
      <c r="C121" s="10">
        <v>160</v>
      </c>
      <c r="D121" s="10">
        <v>159.999</v>
      </c>
      <c r="E121" s="10">
        <v>160</v>
      </c>
      <c r="F121" s="10">
        <v>159.999</v>
      </c>
      <c r="G121" s="10">
        <v>160</v>
      </c>
      <c r="H121" s="10">
        <v>160</v>
      </c>
      <c r="I121" s="1"/>
      <c r="J121" s="1"/>
      <c r="K121" s="1">
        <v>8</v>
      </c>
      <c r="L121" s="1">
        <v>8</v>
      </c>
      <c r="M121" s="1">
        <v>8</v>
      </c>
      <c r="N121" s="1">
        <v>8</v>
      </c>
      <c r="O121" s="1">
        <v>8</v>
      </c>
      <c r="P121" s="1">
        <v>8</v>
      </c>
      <c r="Q121" s="1">
        <v>8</v>
      </c>
      <c r="R121" s="1"/>
      <c r="S121" s="1"/>
      <c r="T121" s="1"/>
      <c r="U121" s="2">
        <f t="shared" si="66"/>
        <v>3</v>
      </c>
      <c r="V121" s="2">
        <f t="shared" si="67"/>
        <v>228</v>
      </c>
    </row>
    <row r="122" spans="1:22" x14ac:dyDescent="0.3">
      <c r="A122" s="2">
        <f t="shared" si="65"/>
        <v>3229</v>
      </c>
      <c r="I122" s="1"/>
      <c r="J122" s="2" t="str">
        <f t="shared" ref="J122" si="87">CONCATENATE(K121,1)</f>
        <v>81</v>
      </c>
      <c r="K122" s="4" t="e">
        <f t="array" ref="K122:Q124">LINEST(B109:B116,C109:C116^{1,2,3,4,5,6},TRUE,TRUE)</f>
        <v>#VALUE!</v>
      </c>
      <c r="L122" s="4" t="e">
        <v>#VALUE!</v>
      </c>
      <c r="M122" s="4" t="e">
        <v>#VALUE!</v>
      </c>
      <c r="N122" s="4" t="e">
        <v>#VALUE!</v>
      </c>
      <c r="O122" s="4" t="e">
        <v>#VALUE!</v>
      </c>
      <c r="P122" s="4" t="e">
        <v>#VALUE!</v>
      </c>
      <c r="Q122" s="4" t="e">
        <v>#VALUE!</v>
      </c>
      <c r="R122" s="1"/>
      <c r="S122" s="1"/>
      <c r="T122" s="1"/>
      <c r="U122" s="2">
        <f t="shared" si="66"/>
        <v>3</v>
      </c>
      <c r="V122" s="2">
        <f t="shared" si="67"/>
        <v>229</v>
      </c>
    </row>
    <row r="123" spans="1:22" x14ac:dyDescent="0.3">
      <c r="A123" s="2">
        <f t="shared" si="65"/>
        <v>3230</v>
      </c>
      <c r="B123" s="58" t="s">
        <v>30</v>
      </c>
      <c r="C123" s="58"/>
      <c r="D123" s="58"/>
      <c r="E123" s="58"/>
      <c r="F123" s="58"/>
      <c r="G123" s="58"/>
      <c r="H123" s="58"/>
      <c r="I123" s="1"/>
      <c r="J123" s="2" t="str">
        <f t="shared" ref="J123" si="88">CONCATENATE(K121,2)</f>
        <v>82</v>
      </c>
      <c r="K123" s="4" t="e">
        <v>#VALUE!</v>
      </c>
      <c r="L123" s="4" t="e">
        <v>#VALUE!</v>
      </c>
      <c r="M123" s="4" t="e">
        <v>#VALUE!</v>
      </c>
      <c r="N123" s="4" t="e">
        <v>#VALUE!</v>
      </c>
      <c r="O123" s="4" t="e">
        <v>#VALUE!</v>
      </c>
      <c r="P123" s="4" t="e">
        <v>#VALUE!</v>
      </c>
      <c r="Q123" s="4" t="e">
        <v>#VALUE!</v>
      </c>
      <c r="R123" s="1"/>
      <c r="S123" s="1"/>
      <c r="T123" s="1"/>
      <c r="U123" s="2">
        <f t="shared" si="66"/>
        <v>3</v>
      </c>
      <c r="V123" s="2">
        <f t="shared" si="67"/>
        <v>230</v>
      </c>
    </row>
    <row r="124" spans="1:22" x14ac:dyDescent="0.3">
      <c r="A124" s="2">
        <f t="shared" si="65"/>
        <v>3231</v>
      </c>
      <c r="B124" s="62"/>
      <c r="C124" s="62"/>
      <c r="D124" s="62"/>
      <c r="E124" s="62"/>
      <c r="F124" s="62"/>
      <c r="G124" s="62"/>
      <c r="H124" s="62"/>
      <c r="I124" s="1"/>
      <c r="J124" s="2" t="str">
        <f t="shared" ref="J124" si="89">CONCATENATE(K121,3)</f>
        <v>83</v>
      </c>
      <c r="K124" s="4" t="e">
        <v>#VALUE!</v>
      </c>
      <c r="L124" s="4" t="e">
        <v>#VALUE!</v>
      </c>
      <c r="M124" s="4" t="e">
        <v>#VALUE!</v>
      </c>
      <c r="N124" s="4" t="e">
        <v>#VALUE!</v>
      </c>
      <c r="O124" s="4" t="e">
        <v>#VALUE!</v>
      </c>
      <c r="P124" s="4" t="e">
        <v>#VALUE!</v>
      </c>
      <c r="Q124" s="4" t="e">
        <v>#VALUE!</v>
      </c>
      <c r="R124" s="1"/>
      <c r="S124" s="1"/>
      <c r="T124" s="1"/>
      <c r="U124" s="2">
        <f t="shared" si="66"/>
        <v>3</v>
      </c>
      <c r="V124" s="2">
        <f t="shared" si="67"/>
        <v>231</v>
      </c>
    </row>
    <row r="125" spans="1:22" x14ac:dyDescent="0.3">
      <c r="A125" s="2">
        <f t="shared" si="65"/>
        <v>3232</v>
      </c>
      <c r="B125" s="62"/>
      <c r="C125" s="62"/>
      <c r="D125" s="62"/>
      <c r="E125" s="62"/>
      <c r="F125" s="62"/>
      <c r="G125" s="62"/>
      <c r="H125" s="62"/>
      <c r="I125" s="1"/>
      <c r="J125" s="1"/>
      <c r="K125" s="1">
        <v>9</v>
      </c>
      <c r="L125" s="1">
        <v>9</v>
      </c>
      <c r="M125" s="1">
        <v>9</v>
      </c>
      <c r="N125" s="1">
        <v>9</v>
      </c>
      <c r="O125" s="1">
        <v>9</v>
      </c>
      <c r="P125" s="1">
        <v>9</v>
      </c>
      <c r="Q125" s="1">
        <v>9</v>
      </c>
      <c r="R125" s="1">
        <v>9</v>
      </c>
      <c r="S125" s="1"/>
      <c r="T125" s="1"/>
      <c r="U125" s="2">
        <f t="shared" si="66"/>
        <v>3</v>
      </c>
      <c r="V125" s="2">
        <f t="shared" si="67"/>
        <v>232</v>
      </c>
    </row>
    <row r="126" spans="1:22" x14ac:dyDescent="0.3">
      <c r="A126" s="2">
        <f t="shared" si="65"/>
        <v>3233</v>
      </c>
      <c r="B126" s="1"/>
      <c r="C126" s="1"/>
      <c r="D126" s="1"/>
      <c r="E126" s="1"/>
      <c r="F126" s="1"/>
      <c r="G126" s="1"/>
      <c r="H126" s="1"/>
      <c r="I126" s="1"/>
      <c r="J126" s="2" t="str">
        <f t="shared" ref="J126" si="90">CONCATENATE(K125,1)</f>
        <v>91</v>
      </c>
      <c r="K126" s="4" t="e">
        <f t="array" ref="K126:R128">LINEST(B109:B117,C109:C117^{1,2,3,4,5,6,7},TRUE,TRUE)</f>
        <v>#VALUE!</v>
      </c>
      <c r="L126" s="4" t="e">
        <v>#VALUE!</v>
      </c>
      <c r="M126" s="4" t="e">
        <v>#VALUE!</v>
      </c>
      <c r="N126" s="4" t="e">
        <v>#VALUE!</v>
      </c>
      <c r="O126" s="4" t="e">
        <v>#VALUE!</v>
      </c>
      <c r="P126" s="4" t="e">
        <v>#VALUE!</v>
      </c>
      <c r="Q126" s="4" t="e">
        <v>#VALUE!</v>
      </c>
      <c r="R126" s="4" t="e">
        <v>#VALUE!</v>
      </c>
      <c r="S126" s="1"/>
      <c r="T126" s="1"/>
      <c r="U126" s="2">
        <f t="shared" si="66"/>
        <v>3</v>
      </c>
      <c r="V126" s="2">
        <f t="shared" si="67"/>
        <v>233</v>
      </c>
    </row>
    <row r="127" spans="1:22" x14ac:dyDescent="0.3">
      <c r="A127" s="2">
        <f t="shared" si="65"/>
        <v>3234</v>
      </c>
      <c r="B127" s="5" t="s">
        <v>31</v>
      </c>
      <c r="C127" s="5" t="s">
        <v>32</v>
      </c>
      <c r="D127" s="5" t="s">
        <v>33</v>
      </c>
      <c r="E127" s="4" t="s">
        <v>34</v>
      </c>
      <c r="F127" s="57" t="s">
        <v>35</v>
      </c>
      <c r="G127" s="58"/>
      <c r="H127" s="58"/>
      <c r="I127" s="1"/>
      <c r="J127" s="2" t="str">
        <f t="shared" ref="J127" si="91">CONCATENATE(K125,2)</f>
        <v>92</v>
      </c>
      <c r="K127" s="4" t="e">
        <v>#VALUE!</v>
      </c>
      <c r="L127" s="4" t="e">
        <v>#VALUE!</v>
      </c>
      <c r="M127" s="4" t="e">
        <v>#VALUE!</v>
      </c>
      <c r="N127" s="4" t="e">
        <v>#VALUE!</v>
      </c>
      <c r="O127" s="4" t="e">
        <v>#VALUE!</v>
      </c>
      <c r="P127" s="4" t="e">
        <v>#VALUE!</v>
      </c>
      <c r="Q127" s="4" t="e">
        <v>#VALUE!</v>
      </c>
      <c r="R127" s="4" t="e">
        <v>#VALUE!</v>
      </c>
      <c r="S127" s="1"/>
      <c r="T127" s="1"/>
      <c r="U127" s="2">
        <f t="shared" si="66"/>
        <v>3</v>
      </c>
      <c r="V127" s="2">
        <f t="shared" si="67"/>
        <v>234</v>
      </c>
    </row>
    <row r="128" spans="1:22" x14ac:dyDescent="0.3">
      <c r="A128" s="2">
        <f t="shared" si="65"/>
        <v>3235</v>
      </c>
      <c r="B128" s="5">
        <f t="shared" ref="B128:B137" si="92">C109-B109</f>
        <v>0</v>
      </c>
      <c r="C128" s="5">
        <f t="shared" ref="C128:C137" si="93">H109-G109</f>
        <v>-2.0000000000006679E-3</v>
      </c>
      <c r="D128" s="5">
        <f>C128-B128</f>
        <v>-2.0000000000006679E-3</v>
      </c>
      <c r="E128" s="4">
        <f t="shared" ref="E128:E137" si="94">D109</f>
        <v>2E-3</v>
      </c>
      <c r="F128" s="11">
        <f>IF(D96="","",MAX(G128,H128))</f>
        <v>2.4000000000000909E-2</v>
      </c>
      <c r="G128" s="5">
        <f>ABS(MIN(D128:D137))</f>
        <v>2.4000000000000909E-2</v>
      </c>
      <c r="H128" s="5">
        <f>ABS(MAX(D128:D137))</f>
        <v>2.0000000000010232E-2</v>
      </c>
      <c r="I128" s="1"/>
      <c r="J128" s="2" t="str">
        <f t="shared" ref="J128" si="95">CONCATENATE(K125,3)</f>
        <v>93</v>
      </c>
      <c r="K128" s="4" t="e">
        <v>#VALUE!</v>
      </c>
      <c r="L128" s="4" t="e">
        <v>#VALUE!</v>
      </c>
      <c r="M128" s="4" t="e">
        <v>#VALUE!</v>
      </c>
      <c r="N128" s="4" t="e">
        <v>#VALUE!</v>
      </c>
      <c r="O128" s="4" t="e">
        <v>#VALUE!</v>
      </c>
      <c r="P128" s="4" t="e">
        <v>#VALUE!</v>
      </c>
      <c r="Q128" s="4" t="e">
        <v>#VALUE!</v>
      </c>
      <c r="R128" s="4" t="e">
        <v>#VALUE!</v>
      </c>
      <c r="S128" s="1"/>
      <c r="T128" s="1"/>
      <c r="U128" s="2">
        <f t="shared" si="66"/>
        <v>3</v>
      </c>
      <c r="V128" s="2">
        <f t="shared" si="67"/>
        <v>235</v>
      </c>
    </row>
    <row r="129" spans="1:22" x14ac:dyDescent="0.3">
      <c r="A129" s="2">
        <f t="shared" si="65"/>
        <v>3236</v>
      </c>
      <c r="B129" s="5">
        <f t="shared" si="92"/>
        <v>0</v>
      </c>
      <c r="C129" s="5">
        <f t="shared" si="93"/>
        <v>-4.0000000000013358E-3</v>
      </c>
      <c r="D129" s="5">
        <f t="shared" ref="D129:D137" si="96">C129-B129</f>
        <v>-4.0000000000013358E-3</v>
      </c>
      <c r="E129" s="4">
        <f t="shared" si="94"/>
        <v>2E-3</v>
      </c>
      <c r="F129" s="57" t="s">
        <v>36</v>
      </c>
      <c r="G129" s="58"/>
      <c r="H129" s="58"/>
      <c r="I129" s="1"/>
      <c r="J129" s="1"/>
      <c r="K129" s="1">
        <v>10</v>
      </c>
      <c r="L129" s="1">
        <v>10</v>
      </c>
      <c r="M129" s="1">
        <v>10</v>
      </c>
      <c r="N129" s="1">
        <v>10</v>
      </c>
      <c r="O129" s="1">
        <v>10</v>
      </c>
      <c r="P129" s="1">
        <v>10</v>
      </c>
      <c r="Q129" s="1">
        <v>10</v>
      </c>
      <c r="R129" s="1">
        <v>10</v>
      </c>
      <c r="S129" s="1">
        <v>10</v>
      </c>
      <c r="T129" s="1"/>
      <c r="U129" s="2">
        <f t="shared" si="66"/>
        <v>3</v>
      </c>
      <c r="V129" s="2">
        <f t="shared" si="67"/>
        <v>236</v>
      </c>
    </row>
    <row r="130" spans="1:22" x14ac:dyDescent="0.3">
      <c r="A130" s="2">
        <f t="shared" si="65"/>
        <v>3237</v>
      </c>
      <c r="B130" s="5">
        <f t="shared" si="92"/>
        <v>-1.0000000000047748E-3</v>
      </c>
      <c r="C130" s="5">
        <f t="shared" si="93"/>
        <v>1.9000000000005457E-2</v>
      </c>
      <c r="D130" s="5">
        <f t="shared" si="96"/>
        <v>2.0000000000010232E-2</v>
      </c>
      <c r="E130" s="4">
        <f t="shared" si="94"/>
        <v>3.0000000000000001E-3</v>
      </c>
      <c r="F130" s="11">
        <f>IF(D96="","",MAX(G130,H130))</f>
        <v>4.0000000000190994E-3</v>
      </c>
      <c r="G130" s="5">
        <f>ABS(MIN(B128:B137))</f>
        <v>4.0000000000190994E-3</v>
      </c>
      <c r="H130" s="5">
        <f>ABS(MAX(B128:B137))</f>
        <v>0</v>
      </c>
      <c r="I130" s="1"/>
      <c r="J130" s="2" t="str">
        <f t="shared" ref="J130" si="97">CONCATENATE(K129,1)</f>
        <v>101</v>
      </c>
      <c r="K130" s="4" t="e">
        <f t="array" ref="K130:S132">LINEST(B109:B118,C109:C118^{1,2,3,4,5,6,7,8},TRUE,TRUE)</f>
        <v>#VALUE!</v>
      </c>
      <c r="L130" s="4" t="e">
        <v>#VALUE!</v>
      </c>
      <c r="M130" s="4" t="e">
        <v>#VALUE!</v>
      </c>
      <c r="N130" s="4" t="e">
        <v>#VALUE!</v>
      </c>
      <c r="O130" s="4" t="e">
        <v>#VALUE!</v>
      </c>
      <c r="P130" s="4" t="e">
        <v>#VALUE!</v>
      </c>
      <c r="Q130" s="4" t="e">
        <v>#VALUE!</v>
      </c>
      <c r="R130" s="4" t="e">
        <v>#VALUE!</v>
      </c>
      <c r="S130" s="4" t="e">
        <v>#VALUE!</v>
      </c>
      <c r="T130" s="1"/>
      <c r="U130" s="2">
        <f t="shared" si="66"/>
        <v>3</v>
      </c>
      <c r="V130" s="2">
        <f t="shared" si="67"/>
        <v>237</v>
      </c>
    </row>
    <row r="131" spans="1:22" x14ac:dyDescent="0.3">
      <c r="A131" s="2">
        <f t="shared" si="65"/>
        <v>3238</v>
      </c>
      <c r="B131" s="5">
        <f t="shared" si="92"/>
        <v>-2.0000000000095497E-3</v>
      </c>
      <c r="C131" s="5">
        <f t="shared" si="93"/>
        <v>1.799999999997226E-2</v>
      </c>
      <c r="D131" s="5">
        <f t="shared" si="96"/>
        <v>1.999999999998181E-2</v>
      </c>
      <c r="E131" s="4">
        <f t="shared" si="94"/>
        <v>8.0000000000000002E-3</v>
      </c>
      <c r="F131" s="57" t="s">
        <v>37</v>
      </c>
      <c r="G131" s="58"/>
      <c r="H131" s="58"/>
      <c r="I131" s="1"/>
      <c r="J131" s="2" t="str">
        <f t="shared" ref="J131" si="98">CONCATENATE(K129,2)</f>
        <v>102</v>
      </c>
      <c r="K131" s="4" t="e">
        <v>#VALUE!</v>
      </c>
      <c r="L131" s="4" t="e">
        <v>#VALUE!</v>
      </c>
      <c r="M131" s="4" t="e">
        <v>#VALUE!</v>
      </c>
      <c r="N131" s="4" t="e">
        <v>#VALUE!</v>
      </c>
      <c r="O131" s="4" t="e">
        <v>#VALUE!</v>
      </c>
      <c r="P131" s="4" t="e">
        <v>#VALUE!</v>
      </c>
      <c r="Q131" s="4" t="e">
        <v>#VALUE!</v>
      </c>
      <c r="R131" s="4" t="e">
        <v>#VALUE!</v>
      </c>
      <c r="S131" s="4" t="e">
        <v>#VALUE!</v>
      </c>
      <c r="T131" s="1"/>
      <c r="U131" s="2">
        <f t="shared" si="66"/>
        <v>3</v>
      </c>
      <c r="V131" s="2">
        <f t="shared" si="67"/>
        <v>238</v>
      </c>
    </row>
    <row r="132" spans="1:22" x14ac:dyDescent="0.3">
      <c r="A132" s="2">
        <f t="shared" si="65"/>
        <v>3239</v>
      </c>
      <c r="B132" s="5">
        <f t="shared" si="92"/>
        <v>-4.0000000000190994E-3</v>
      </c>
      <c r="C132" s="5">
        <f t="shared" si="93"/>
        <v>-2.8000000000020009E-2</v>
      </c>
      <c r="D132" s="5">
        <f t="shared" si="96"/>
        <v>-2.4000000000000909E-2</v>
      </c>
      <c r="E132" s="4">
        <f t="shared" si="94"/>
        <v>1.0999999999999999E-2</v>
      </c>
      <c r="F132" s="11">
        <f>IF(D96="","",MAX(G132,H132))</f>
        <v>1.0999999999999999E-2</v>
      </c>
      <c r="G132" s="5">
        <f>ABS(MIN(E128:E137))</f>
        <v>0</v>
      </c>
      <c r="H132" s="5">
        <f>ABS(MAX(E128:E137))</f>
        <v>1.0999999999999999E-2</v>
      </c>
      <c r="I132" s="1"/>
      <c r="J132" s="2" t="str">
        <f t="shared" ref="J132" si="99">CONCATENATE(K129,3)</f>
        <v>103</v>
      </c>
      <c r="K132" s="4" t="e">
        <v>#VALUE!</v>
      </c>
      <c r="L132" s="4" t="e">
        <v>#VALUE!</v>
      </c>
      <c r="M132" s="4" t="e">
        <v>#VALUE!</v>
      </c>
      <c r="N132" s="4" t="e">
        <v>#VALUE!</v>
      </c>
      <c r="O132" s="4" t="e">
        <v>#VALUE!</v>
      </c>
      <c r="P132" s="4" t="e">
        <v>#VALUE!</v>
      </c>
      <c r="Q132" s="4" t="e">
        <v>#VALUE!</v>
      </c>
      <c r="R132" s="4" t="e">
        <v>#VALUE!</v>
      </c>
      <c r="S132" s="4" t="e">
        <v>#VALUE!</v>
      </c>
      <c r="T132" s="1"/>
      <c r="U132" s="2">
        <f t="shared" si="66"/>
        <v>3</v>
      </c>
      <c r="V132" s="2">
        <f t="shared" si="67"/>
        <v>239</v>
      </c>
    </row>
    <row r="133" spans="1:22" x14ac:dyDescent="0.3">
      <c r="A133" s="2">
        <f t="shared" si="65"/>
        <v>3240</v>
      </c>
      <c r="B133" s="5">
        <f t="shared" si="92"/>
        <v>0</v>
      </c>
      <c r="C133" s="5">
        <f t="shared" si="93"/>
        <v>0</v>
      </c>
      <c r="D133" s="5">
        <f t="shared" si="96"/>
        <v>0</v>
      </c>
      <c r="E133" s="4">
        <f t="shared" si="94"/>
        <v>0</v>
      </c>
      <c r="F133" s="57" t="s">
        <v>51</v>
      </c>
      <c r="G133" s="58"/>
      <c r="H133" s="5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">
        <f t="shared" si="66"/>
        <v>3</v>
      </c>
      <c r="V133" s="2">
        <f t="shared" si="67"/>
        <v>240</v>
      </c>
    </row>
    <row r="134" spans="1:22" x14ac:dyDescent="0.3">
      <c r="A134" s="2">
        <f t="shared" si="65"/>
        <v>3241</v>
      </c>
      <c r="B134" s="5">
        <f t="shared" si="92"/>
        <v>0</v>
      </c>
      <c r="C134" s="5">
        <f t="shared" si="93"/>
        <v>0</v>
      </c>
      <c r="D134" s="5">
        <f t="shared" si="96"/>
        <v>0</v>
      </c>
      <c r="E134" s="4">
        <f t="shared" si="94"/>
        <v>0</v>
      </c>
      <c r="F134" s="21">
        <f>MAX(G134:H136)</f>
        <v>1.0000000000047748E-3</v>
      </c>
      <c r="G134" s="4">
        <f>IF(C121="",0,ABS(C121-B121))</f>
        <v>0</v>
      </c>
      <c r="H134" s="4">
        <f>IF(F121="",0,ABS(F121-B121))</f>
        <v>1.0000000000047748E-3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">
        <f t="shared" si="66"/>
        <v>3</v>
      </c>
      <c r="V134" s="2">
        <f t="shared" si="67"/>
        <v>241</v>
      </c>
    </row>
    <row r="135" spans="1:22" x14ac:dyDescent="0.3">
      <c r="A135" s="2">
        <f t="shared" si="65"/>
        <v>3242</v>
      </c>
      <c r="B135" s="5">
        <f t="shared" si="92"/>
        <v>0</v>
      </c>
      <c r="C135" s="5">
        <f t="shared" si="93"/>
        <v>0</v>
      </c>
      <c r="D135" s="5">
        <f t="shared" si="96"/>
        <v>0</v>
      </c>
      <c r="E135" s="4">
        <f t="shared" si="94"/>
        <v>0</v>
      </c>
      <c r="F135" s="4" t="s">
        <v>52</v>
      </c>
      <c r="G135" s="4">
        <f>IF(D121="",0,ABS(D121-B121))</f>
        <v>1.0000000000047748E-3</v>
      </c>
      <c r="H135" s="4">
        <f>IF(G121="",0,ABS(G121-B121))</f>
        <v>0</v>
      </c>
      <c r="I135" s="1"/>
      <c r="J135" s="1"/>
      <c r="R135" s="1"/>
      <c r="S135" s="1"/>
      <c r="T135" s="1"/>
      <c r="U135" s="2">
        <f t="shared" si="66"/>
        <v>3</v>
      </c>
      <c r="V135" s="2">
        <f t="shared" si="67"/>
        <v>242</v>
      </c>
    </row>
    <row r="136" spans="1:22" x14ac:dyDescent="0.3">
      <c r="A136" s="2">
        <f t="shared" si="65"/>
        <v>3243</v>
      </c>
      <c r="B136" s="5">
        <f t="shared" si="92"/>
        <v>0</v>
      </c>
      <c r="C136" s="5">
        <f t="shared" si="93"/>
        <v>0</v>
      </c>
      <c r="D136" s="5">
        <f t="shared" si="96"/>
        <v>0</v>
      </c>
      <c r="E136" s="4">
        <f t="shared" si="94"/>
        <v>0</v>
      </c>
      <c r="F136" s="22">
        <f>IF(F134=0,0,F134/B121%)</f>
        <v>6.2500000000298428E-4</v>
      </c>
      <c r="G136" s="4">
        <f>IF(G121="",0,ABS(G121-B121))</f>
        <v>0</v>
      </c>
      <c r="H136" s="4">
        <f>IF(H121="",0,ABS(H121-B121))</f>
        <v>0</v>
      </c>
      <c r="I136" s="1"/>
      <c r="J136" s="1"/>
      <c r="R136" s="1"/>
      <c r="S136" s="1"/>
      <c r="T136" s="1"/>
      <c r="U136" s="2">
        <f t="shared" si="66"/>
        <v>3</v>
      </c>
      <c r="V136" s="2">
        <f t="shared" si="67"/>
        <v>243</v>
      </c>
    </row>
    <row r="137" spans="1:22" x14ac:dyDescent="0.3">
      <c r="A137" s="2">
        <f t="shared" si="65"/>
        <v>3244</v>
      </c>
      <c r="B137" s="5">
        <f t="shared" si="92"/>
        <v>0</v>
      </c>
      <c r="C137" s="5">
        <f t="shared" si="93"/>
        <v>0</v>
      </c>
      <c r="D137" s="5">
        <f t="shared" si="96"/>
        <v>0</v>
      </c>
      <c r="E137" s="4">
        <f t="shared" si="94"/>
        <v>0</v>
      </c>
      <c r="F137" s="1"/>
      <c r="G137" s="1"/>
      <c r="H137" s="1"/>
      <c r="I137" s="1"/>
      <c r="J137" s="1"/>
      <c r="R137" s="1"/>
      <c r="S137" s="1"/>
      <c r="T137" s="1"/>
      <c r="U137" s="2">
        <f t="shared" si="66"/>
        <v>3</v>
      </c>
      <c r="V137" s="2">
        <f t="shared" si="67"/>
        <v>244</v>
      </c>
    </row>
    <row r="138" spans="1:22" x14ac:dyDescent="0.3">
      <c r="A138" s="2">
        <f t="shared" si="65"/>
        <v>3245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">
        <f t="shared" si="66"/>
        <v>3</v>
      </c>
      <c r="V138" s="2">
        <f t="shared" si="67"/>
        <v>245</v>
      </c>
    </row>
    <row r="139" spans="1:22" s="20" customForma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x14ac:dyDescent="0.3">
      <c r="A140" s="2">
        <f>ROUND(CONCATENATE(U140,V140),0)</f>
        <v>4201</v>
      </c>
      <c r="B140" s="63" t="s">
        <v>0</v>
      </c>
      <c r="C140" s="63"/>
      <c r="D140" s="71" t="s">
        <v>38</v>
      </c>
      <c r="E140" s="72"/>
      <c r="F140" s="72"/>
      <c r="G140" s="72"/>
      <c r="H140" s="7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">
        <f>U138+1</f>
        <v>4</v>
      </c>
      <c r="V140" s="2">
        <v>201</v>
      </c>
    </row>
    <row r="141" spans="1:22" x14ac:dyDescent="0.3">
      <c r="A141" s="2">
        <f t="shared" ref="A141:A184" si="100">ROUND(CONCATENATE(U141,V141),0)</f>
        <v>4202</v>
      </c>
      <c r="B141" s="12" t="s">
        <v>40</v>
      </c>
      <c r="C141" s="13"/>
      <c r="D141" s="16" t="s">
        <v>41</v>
      </c>
      <c r="E141" s="57" t="s">
        <v>39</v>
      </c>
      <c r="F141" s="57"/>
      <c r="G141" s="18">
        <v>0.1</v>
      </c>
      <c r="H141" s="15" t="str">
        <f>IF(D142="","",D141)</f>
        <v>g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>
        <f>U140</f>
        <v>4</v>
      </c>
      <c r="V141" s="2">
        <f>V140+1</f>
        <v>202</v>
      </c>
    </row>
    <row r="142" spans="1:22" x14ac:dyDescent="0.3">
      <c r="A142" s="2">
        <f t="shared" si="100"/>
        <v>4203</v>
      </c>
      <c r="B142" s="63" t="s">
        <v>1</v>
      </c>
      <c r="C142" s="63"/>
      <c r="D142" s="71" t="s">
        <v>107</v>
      </c>
      <c r="E142" s="72"/>
      <c r="F142" s="72"/>
      <c r="G142" s="72"/>
      <c r="H142" s="73"/>
      <c r="I142" s="1"/>
      <c r="J142" s="1"/>
      <c r="K142" s="1" t="s">
        <v>2</v>
      </c>
      <c r="L142" s="1" t="s">
        <v>3</v>
      </c>
      <c r="M142" s="1" t="s">
        <v>4</v>
      </c>
      <c r="N142" s="1" t="s">
        <v>5</v>
      </c>
      <c r="O142" s="1" t="s">
        <v>6</v>
      </c>
      <c r="P142" s="1" t="s">
        <v>7</v>
      </c>
      <c r="Q142" s="1" t="s">
        <v>8</v>
      </c>
      <c r="R142" s="1" t="s">
        <v>9</v>
      </c>
      <c r="S142" s="1" t="s">
        <v>10</v>
      </c>
      <c r="T142" s="1"/>
      <c r="U142" s="2">
        <f t="shared" ref="U142:U184" si="101">U141</f>
        <v>4</v>
      </c>
      <c r="V142" s="2">
        <f t="shared" ref="V142:V184" si="102">V141+1</f>
        <v>203</v>
      </c>
    </row>
    <row r="143" spans="1:22" x14ac:dyDescent="0.3">
      <c r="A143" s="2">
        <f t="shared" si="100"/>
        <v>4204</v>
      </c>
      <c r="B143" s="63" t="s">
        <v>11</v>
      </c>
      <c r="C143" s="63"/>
      <c r="D143" s="71" t="s">
        <v>42</v>
      </c>
      <c r="E143" s="72"/>
      <c r="F143" s="72"/>
      <c r="G143" s="72"/>
      <c r="H143" s="73"/>
      <c r="I143" s="1"/>
      <c r="J143" s="1">
        <f>COUNTA(B155:B164)</f>
        <v>7</v>
      </c>
      <c r="K143" s="1">
        <f t="shared" ref="K143" si="103">IF(L143-1&lt;2,0,L143-1)</f>
        <v>0</v>
      </c>
      <c r="L143" s="1">
        <f t="shared" ref="L143" si="104">IF(M143-1&lt;2,0,M143-1)</f>
        <v>0</v>
      </c>
      <c r="M143" s="1">
        <f t="shared" ref="M143" si="105">IF(N143-1&lt;2,0,N143-1)</f>
        <v>0</v>
      </c>
      <c r="N143" s="1">
        <f t="shared" ref="N143" si="106">IF(O143-1&lt;2,0,O143-1)</f>
        <v>2</v>
      </c>
      <c r="O143" s="1">
        <f t="shared" ref="O143" si="107">IF(P143-1&lt;2,0,P143-1)</f>
        <v>3</v>
      </c>
      <c r="P143" s="1">
        <f t="shared" ref="P143" si="108">IF(Q143-1&lt;2,0,Q143-1)</f>
        <v>4</v>
      </c>
      <c r="Q143" s="1">
        <f t="shared" ref="Q143" si="109">IF(R143-1&lt;2,0,R143-1)</f>
        <v>5</v>
      </c>
      <c r="R143" s="1">
        <f>IF(S143-1&lt;2,0,S143-1)</f>
        <v>6</v>
      </c>
      <c r="S143" s="1">
        <f>J143</f>
        <v>7</v>
      </c>
      <c r="T143" s="1"/>
      <c r="U143" s="2">
        <f t="shared" si="101"/>
        <v>4</v>
      </c>
      <c r="V143" s="2">
        <f t="shared" si="102"/>
        <v>204</v>
      </c>
    </row>
    <row r="144" spans="1:22" x14ac:dyDescent="0.3">
      <c r="A144" s="2">
        <f t="shared" si="100"/>
        <v>4205</v>
      </c>
      <c r="B144" s="63" t="s">
        <v>12</v>
      </c>
      <c r="C144" s="63"/>
      <c r="D144" s="71" t="s">
        <v>43</v>
      </c>
      <c r="E144" s="72"/>
      <c r="F144" s="72"/>
      <c r="G144" s="72"/>
      <c r="H144" s="73"/>
      <c r="I144" s="1"/>
      <c r="J144" s="2" t="str">
        <f>CONCATENATE(J143,1)</f>
        <v>71</v>
      </c>
      <c r="K144" s="3">
        <f>IF(K143=0,0,VLOOKUP(J144,J148:S178,K143,FALSE))</f>
        <v>0</v>
      </c>
      <c r="L144" s="3">
        <f>IF(L143=0,0,VLOOKUP(J144,J148:S178,L143,FALSE))</f>
        <v>0</v>
      </c>
      <c r="M144" s="3">
        <f>IF(M143=0,0,VLOOKUP(J144,J148:S178,M143,FALSE))</f>
        <v>0</v>
      </c>
      <c r="N144" s="3">
        <f>IF(N143=0,0,VLOOKUP(J144,J148:S178,N143,FALSE))</f>
        <v>-7.2974851831902944E-23</v>
      </c>
      <c r="O144" s="3">
        <f>IF(O143=0,0,VLOOKUP(J144,J148:S178,O143,FALSE))</f>
        <v>6.6650732363596578E-18</v>
      </c>
      <c r="P144" s="3">
        <f>IF(P143=0,0,VLOOKUP(J144,J148:S178,P143,FALSE))</f>
        <v>-2.5448840515727437E-13</v>
      </c>
      <c r="Q144" s="3">
        <f>IF(Q143=0,0,VLOOKUP(J144,J148:S178,Q143,FALSE))</f>
        <v>4.6578151843851313E-9</v>
      </c>
      <c r="R144" s="3">
        <f>IF(R143=0,0,VLOOKUP(J144,J148:S178,R143,FALSE))</f>
        <v>0.9999614680477944</v>
      </c>
      <c r="S144" s="3">
        <f>IF(S143=0,0,VLOOKUP(J144,J148:S178,S143,FALSE))</f>
        <v>9.7308650930569285E-3</v>
      </c>
      <c r="T144" s="1"/>
      <c r="U144" s="2">
        <f t="shared" si="101"/>
        <v>4</v>
      </c>
      <c r="V144" s="2">
        <f t="shared" si="102"/>
        <v>205</v>
      </c>
    </row>
    <row r="145" spans="1:22" x14ac:dyDescent="0.3">
      <c r="A145" s="2">
        <f t="shared" si="100"/>
        <v>4206</v>
      </c>
      <c r="B145" s="63" t="s">
        <v>13</v>
      </c>
      <c r="C145" s="63"/>
      <c r="D145" s="74" t="s">
        <v>177</v>
      </c>
      <c r="E145" s="72"/>
      <c r="F145" s="72"/>
      <c r="G145" s="72"/>
      <c r="H145" s="73"/>
      <c r="I145" s="1"/>
      <c r="J145" s="2" t="str">
        <f>CONCATENATE(J143,2)</f>
        <v>72</v>
      </c>
      <c r="K145" s="4">
        <f>IF(K143=0,0,VLOOKUP(J145,J148:S178,K143,FALSE))</f>
        <v>0</v>
      </c>
      <c r="L145" s="4">
        <f>IF(L143=0,0,VLOOKUP(J145,J148:S178,L143,FALSE))</f>
        <v>0</v>
      </c>
      <c r="M145" s="4">
        <f>IF(M143=0,0,VLOOKUP(J145,J148:S178,M143,FALSE))</f>
        <v>0</v>
      </c>
      <c r="N145" s="4">
        <f>IF(N143=0,0,VLOOKUP(J145,J148:S178,N143,FALSE))</f>
        <v>4.6078050027493878E-22</v>
      </c>
      <c r="O145" s="4">
        <f>IF(O143=0,0,VLOOKUP(J145,J148:S178,O143,FALSE))</f>
        <v>3.1544258097483417E-17</v>
      </c>
      <c r="P145" s="4">
        <f>IF(P143=0,0,VLOOKUP(J145,J148:S178,P143,FALSE))</f>
        <v>7.4331456484956291E-13</v>
      </c>
      <c r="Q145" s="4">
        <f>IF(Q143=0,0,VLOOKUP(J145,J148:S178,Q143,FALSE))</f>
        <v>7.1396981609572028E-9</v>
      </c>
      <c r="R145" s="4">
        <f>IF(R143=0,0,VLOOKUP(J145,J148:S178,R143,FALSE))</f>
        <v>2.4305183114532426E-5</v>
      </c>
      <c r="S145" s="4">
        <f>IF(S143=0,0,VLOOKUP(J145,J148:S178,S143,FALSE))</f>
        <v>1.4546372650320397E-2</v>
      </c>
      <c r="T145" s="1"/>
      <c r="U145" s="2">
        <f t="shared" si="101"/>
        <v>4</v>
      </c>
      <c r="V145" s="2">
        <f t="shared" si="102"/>
        <v>206</v>
      </c>
    </row>
    <row r="146" spans="1:22" x14ac:dyDescent="0.3">
      <c r="A146" s="2">
        <f t="shared" si="100"/>
        <v>4207</v>
      </c>
      <c r="B146" s="63" t="s">
        <v>14</v>
      </c>
      <c r="C146" s="63"/>
      <c r="D146" s="79">
        <v>46031</v>
      </c>
      <c r="E146" s="76"/>
      <c r="F146" s="76"/>
      <c r="G146" s="76"/>
      <c r="H146" s="77"/>
      <c r="I146" s="1"/>
      <c r="J146" s="2" t="str">
        <f>CONCATENATE(J143,3)</f>
        <v>73</v>
      </c>
      <c r="K146" s="4"/>
      <c r="L146" s="4"/>
      <c r="M146" s="4"/>
      <c r="N146" s="4" t="s">
        <v>15</v>
      </c>
      <c r="O146" s="3">
        <f>J143-2</f>
        <v>5</v>
      </c>
      <c r="P146" s="4" t="s">
        <v>16</v>
      </c>
      <c r="Q146" s="3">
        <f>VLOOKUP(J146,J148:S178,3,FALSE)</f>
        <v>1.6848098131049483E-2</v>
      </c>
      <c r="R146" s="4" t="s">
        <v>17</v>
      </c>
      <c r="S146" s="4">
        <f>VLOOKUP(J146,J148:S178,2,FALSE)</f>
        <v>0.99999999999960676</v>
      </c>
      <c r="T146" s="1"/>
      <c r="U146" s="2">
        <f t="shared" si="101"/>
        <v>4</v>
      </c>
      <c r="V146" s="2">
        <f t="shared" si="102"/>
        <v>207</v>
      </c>
    </row>
    <row r="147" spans="1:22" x14ac:dyDescent="0.3">
      <c r="A147" s="2">
        <f t="shared" si="100"/>
        <v>4208</v>
      </c>
      <c r="B147" s="63" t="s">
        <v>18</v>
      </c>
      <c r="C147" s="63"/>
      <c r="D147" s="64">
        <v>46417</v>
      </c>
      <c r="E147" s="65"/>
      <c r="F147" s="65"/>
      <c r="G147" s="65"/>
      <c r="H147" s="66"/>
      <c r="I147" s="1"/>
      <c r="J147" s="1"/>
      <c r="K147" s="1">
        <v>3</v>
      </c>
      <c r="L147" s="1">
        <v>3</v>
      </c>
      <c r="M147" s="1"/>
      <c r="N147" s="1"/>
      <c r="O147" s="1"/>
      <c r="P147" s="1"/>
      <c r="Q147" s="1"/>
      <c r="R147" s="1"/>
      <c r="S147" s="1"/>
      <c r="T147" s="1"/>
      <c r="U147" s="2">
        <f t="shared" si="101"/>
        <v>4</v>
      </c>
      <c r="V147" s="2">
        <f t="shared" si="102"/>
        <v>208</v>
      </c>
    </row>
    <row r="148" spans="1:22" x14ac:dyDescent="0.3">
      <c r="A148" s="2">
        <f t="shared" si="100"/>
        <v>4209</v>
      </c>
      <c r="B148" s="67" t="s">
        <v>19</v>
      </c>
      <c r="C148" s="63"/>
      <c r="D148" s="5">
        <f>IF(D141="","",MIN(B155:B164))</f>
        <v>20</v>
      </c>
      <c r="E148" s="6" t="s">
        <v>20</v>
      </c>
      <c r="F148" s="5">
        <f>IF(D141="","",MAX(B155:B164))</f>
        <v>30000</v>
      </c>
      <c r="G148" s="7" t="str">
        <f>IF(D142="","",H141)</f>
        <v>g</v>
      </c>
      <c r="H148" s="14"/>
      <c r="I148" s="1"/>
      <c r="J148" s="2" t="str">
        <f>CONCATENATE(K147,1)</f>
        <v>31</v>
      </c>
      <c r="K148" s="4">
        <f t="array" ref="K148:L150">LINEST(B155:B157,C155:C157^{1},TRUE,TRUE)</f>
        <v>0.99997892027170487</v>
      </c>
      <c r="L148" s="4">
        <v>6.1567269970055349E-3</v>
      </c>
      <c r="M148" s="1"/>
      <c r="N148" s="1"/>
      <c r="O148" s="1"/>
      <c r="P148" s="1"/>
      <c r="Q148" s="1"/>
      <c r="R148" s="1"/>
      <c r="S148" s="1"/>
      <c r="T148" s="1"/>
      <c r="U148" s="2">
        <f t="shared" si="101"/>
        <v>4</v>
      </c>
      <c r="V148" s="2">
        <f t="shared" si="102"/>
        <v>209</v>
      </c>
    </row>
    <row r="149" spans="1:22" x14ac:dyDescent="0.3">
      <c r="A149" s="2">
        <f t="shared" si="100"/>
        <v>4210</v>
      </c>
      <c r="B149" s="1"/>
      <c r="C149" s="1"/>
      <c r="D149" s="1"/>
      <c r="E149" s="1"/>
      <c r="F149" s="1"/>
      <c r="G149" s="1"/>
      <c r="H149" s="1"/>
      <c r="I149" s="1"/>
      <c r="J149" s="2" t="str">
        <f>CONCATENATE(K147,2)</f>
        <v>32</v>
      </c>
      <c r="K149" s="4">
        <v>2.2575715912108775E-6</v>
      </c>
      <c r="L149" s="4">
        <v>6.5639840337128382E-3</v>
      </c>
      <c r="M149" s="1"/>
      <c r="N149" s="1"/>
      <c r="O149" s="1"/>
      <c r="P149" s="1"/>
      <c r="Q149" s="1"/>
      <c r="R149" s="1"/>
      <c r="S149" s="1"/>
      <c r="T149" s="1"/>
      <c r="U149" s="2">
        <f t="shared" si="101"/>
        <v>4</v>
      </c>
      <c r="V149" s="2">
        <f t="shared" si="102"/>
        <v>210</v>
      </c>
    </row>
    <row r="150" spans="1:22" x14ac:dyDescent="0.3">
      <c r="A150" s="2">
        <f t="shared" si="100"/>
        <v>4211</v>
      </c>
      <c r="B150" s="68" t="s">
        <v>21</v>
      </c>
      <c r="C150" s="68"/>
      <c r="D150" s="68"/>
      <c r="E150" s="68"/>
      <c r="F150" s="68"/>
      <c r="G150" s="69" t="s">
        <v>22</v>
      </c>
      <c r="H150" s="70"/>
      <c r="I150" s="1"/>
      <c r="J150" s="2" t="str">
        <f>CONCATENATE(K147,3)</f>
        <v>33</v>
      </c>
      <c r="K150" s="4">
        <v>0.99999999999490319</v>
      </c>
      <c r="L150" s="4">
        <v>8.6946969363452808E-3</v>
      </c>
      <c r="M150" s="1"/>
      <c r="N150" s="1"/>
      <c r="O150" s="1"/>
      <c r="P150" s="1"/>
      <c r="Q150" s="1"/>
      <c r="R150" s="1"/>
      <c r="S150" s="1"/>
      <c r="T150" s="1"/>
      <c r="U150" s="2">
        <f t="shared" si="101"/>
        <v>4</v>
      </c>
      <c r="V150" s="2">
        <f t="shared" si="102"/>
        <v>211</v>
      </c>
    </row>
    <row r="151" spans="1:22" x14ac:dyDescent="0.3">
      <c r="A151" s="2">
        <f t="shared" si="100"/>
        <v>4212</v>
      </c>
      <c r="B151" s="61" t="s">
        <v>23</v>
      </c>
      <c r="C151" s="61"/>
      <c r="D151" s="61"/>
      <c r="E151" s="61" t="str">
        <f>D145</f>
        <v>E0019/26</v>
      </c>
      <c r="F151" s="61"/>
      <c r="G151" s="4" t="s">
        <v>24</v>
      </c>
      <c r="H151" s="31" t="s">
        <v>108</v>
      </c>
      <c r="I151" s="1"/>
      <c r="J151" s="1"/>
      <c r="K151" s="1">
        <v>4</v>
      </c>
      <c r="L151" s="1">
        <v>4</v>
      </c>
      <c r="M151" s="1">
        <v>4</v>
      </c>
      <c r="N151" s="1"/>
      <c r="O151" s="1"/>
      <c r="P151" s="1"/>
      <c r="Q151" s="1"/>
      <c r="R151" s="1"/>
      <c r="S151" s="1"/>
      <c r="T151" s="1"/>
      <c r="U151" s="2">
        <f t="shared" si="101"/>
        <v>4</v>
      </c>
      <c r="V151" s="2">
        <f t="shared" si="102"/>
        <v>212</v>
      </c>
    </row>
    <row r="152" spans="1:22" x14ac:dyDescent="0.3">
      <c r="A152" s="2">
        <f t="shared" si="100"/>
        <v>4213</v>
      </c>
      <c r="B152" s="59" t="s">
        <v>25</v>
      </c>
      <c r="C152" s="59" t="s">
        <v>26</v>
      </c>
      <c r="D152" s="59" t="s">
        <v>27</v>
      </c>
      <c r="E152" s="59" t="s">
        <v>28</v>
      </c>
      <c r="F152" s="59" t="s">
        <v>29</v>
      </c>
      <c r="G152" s="59" t="s">
        <v>25</v>
      </c>
      <c r="H152" s="59" t="s">
        <v>26</v>
      </c>
      <c r="I152" s="1"/>
      <c r="J152" s="2" t="str">
        <f t="shared" ref="J152" si="110">CONCATENATE(K151,1)</f>
        <v>41</v>
      </c>
      <c r="K152" s="4">
        <f t="array" ref="K152:M154">LINEST(B155:B158,C155:C158^{1,2},TRUE,TRUE)</f>
        <v>2.078669305486153E-9</v>
      </c>
      <c r="L152" s="4">
        <v>0.99996829949106714</v>
      </c>
      <c r="M152" s="4">
        <v>8.6448094949569121E-3</v>
      </c>
      <c r="N152" s="1"/>
      <c r="O152" s="1"/>
      <c r="P152" s="1"/>
      <c r="Q152" s="1"/>
      <c r="R152" s="1"/>
      <c r="S152" s="1"/>
      <c r="T152" s="1"/>
      <c r="U152" s="2">
        <f t="shared" si="101"/>
        <v>4</v>
      </c>
      <c r="V152" s="2">
        <f t="shared" si="102"/>
        <v>213</v>
      </c>
    </row>
    <row r="153" spans="1:22" x14ac:dyDescent="0.3">
      <c r="A153" s="2">
        <f t="shared" si="100"/>
        <v>4214</v>
      </c>
      <c r="B153" s="60"/>
      <c r="C153" s="60"/>
      <c r="D153" s="60"/>
      <c r="E153" s="60"/>
      <c r="F153" s="60"/>
      <c r="G153" s="60"/>
      <c r="H153" s="60"/>
      <c r="I153" s="1"/>
      <c r="J153" s="2" t="str">
        <f t="shared" ref="J153" si="111">CONCATENATE(K151,2)</f>
        <v>42</v>
      </c>
      <c r="K153" s="4">
        <v>6.2160324657450581E-10</v>
      </c>
      <c r="L153" s="4">
        <v>6.3403401954636069E-6</v>
      </c>
      <c r="M153" s="4">
        <v>9.9420911210330708E-3</v>
      </c>
      <c r="N153" s="1"/>
      <c r="O153" s="1"/>
      <c r="P153" s="1"/>
      <c r="Q153" s="1"/>
      <c r="R153" s="1"/>
      <c r="S153" s="1"/>
      <c r="T153" s="1"/>
      <c r="U153" s="2">
        <f t="shared" si="101"/>
        <v>4</v>
      </c>
      <c r="V153" s="2">
        <f t="shared" si="102"/>
        <v>214</v>
      </c>
    </row>
    <row r="154" spans="1:22" x14ac:dyDescent="0.3">
      <c r="A154" s="2">
        <f t="shared" si="100"/>
        <v>4215</v>
      </c>
      <c r="B154" s="9" t="str">
        <f>CONCATENATE("(",H141,")")</f>
        <v>(g)</v>
      </c>
      <c r="C154" s="9" t="str">
        <f>B154</f>
        <v>(g)</v>
      </c>
      <c r="D154" s="9" t="str">
        <f>C154</f>
        <v>(g)</v>
      </c>
      <c r="E154" s="9"/>
      <c r="F154" s="9"/>
      <c r="G154" s="9" t="str">
        <f>B154</f>
        <v>(g)</v>
      </c>
      <c r="H154" s="9" t="str">
        <f>G154</f>
        <v>(g)</v>
      </c>
      <c r="I154" s="1"/>
      <c r="J154" s="2" t="str">
        <f t="shared" ref="J154" si="112">CONCATENATE(K151,3)</f>
        <v>43</v>
      </c>
      <c r="K154" s="4">
        <v>0.99999999999749001</v>
      </c>
      <c r="L154" s="4">
        <v>1.2710405702250682E-2</v>
      </c>
      <c r="M154" s="4" t="e">
        <v>#N/A</v>
      </c>
      <c r="N154" s="1"/>
      <c r="O154" s="1"/>
      <c r="P154" s="1"/>
      <c r="Q154" s="1"/>
      <c r="R154" s="1"/>
      <c r="S154" s="1"/>
      <c r="T154" s="1"/>
      <c r="U154" s="2">
        <f t="shared" si="101"/>
        <v>4</v>
      </c>
      <c r="V154" s="2">
        <f t="shared" si="102"/>
        <v>215</v>
      </c>
    </row>
    <row r="155" spans="1:22" x14ac:dyDescent="0.3">
      <c r="A155" s="2">
        <f t="shared" si="100"/>
        <v>4216</v>
      </c>
      <c r="B155" s="10">
        <v>20</v>
      </c>
      <c r="C155" s="10">
        <v>20</v>
      </c>
      <c r="D155" s="10">
        <v>0.2</v>
      </c>
      <c r="E155" s="10">
        <v>2</v>
      </c>
      <c r="F155" s="10">
        <v>1000000</v>
      </c>
      <c r="G155" s="8">
        <v>20</v>
      </c>
      <c r="H155" s="8">
        <v>20</v>
      </c>
      <c r="I155" s="1"/>
      <c r="J155" s="1"/>
      <c r="K155" s="1">
        <v>5</v>
      </c>
      <c r="L155" s="1">
        <v>5</v>
      </c>
      <c r="M155" s="1">
        <v>5</v>
      </c>
      <c r="N155" s="1">
        <v>5</v>
      </c>
      <c r="O155" s="1"/>
      <c r="P155" s="1"/>
      <c r="Q155" s="1"/>
      <c r="R155" s="1"/>
      <c r="S155" s="1"/>
      <c r="T155" s="1"/>
      <c r="U155" s="2">
        <f t="shared" si="101"/>
        <v>4</v>
      </c>
      <c r="V155" s="2">
        <f t="shared" si="102"/>
        <v>216</v>
      </c>
    </row>
    <row r="156" spans="1:22" x14ac:dyDescent="0.3">
      <c r="A156" s="2">
        <f t="shared" si="100"/>
        <v>4217</v>
      </c>
      <c r="B156" s="10">
        <v>600</v>
      </c>
      <c r="C156" s="10">
        <v>600</v>
      </c>
      <c r="D156" s="10">
        <v>0.2</v>
      </c>
      <c r="E156" s="10">
        <v>2</v>
      </c>
      <c r="F156" s="10">
        <v>1000000</v>
      </c>
      <c r="G156" s="8">
        <v>600</v>
      </c>
      <c r="H156" s="8">
        <v>599.9</v>
      </c>
      <c r="I156" s="1"/>
      <c r="J156" s="2" t="str">
        <f t="shared" ref="J156" si="113">CONCATENATE(K155,1)</f>
        <v>51</v>
      </c>
      <c r="K156" s="4">
        <f t="array" ref="K156:N158">LINEST(B155:B159,C155:C159^{1,2,3},TRUE,TRUE)</f>
        <v>-1.2494717532223395E-13</v>
      </c>
      <c r="L156" s="4">
        <v>3.8941919098076332E-9</v>
      </c>
      <c r="M156" s="4">
        <v>0.99996240239992717</v>
      </c>
      <c r="N156" s="4">
        <v>9.8316382298103688E-3</v>
      </c>
      <c r="O156" s="1"/>
      <c r="P156" s="1"/>
      <c r="Q156" s="1"/>
      <c r="R156" s="1"/>
      <c r="S156" s="1"/>
      <c r="T156" s="1"/>
      <c r="U156" s="2">
        <f t="shared" si="101"/>
        <v>4</v>
      </c>
      <c r="V156" s="2">
        <f t="shared" si="102"/>
        <v>217</v>
      </c>
    </row>
    <row r="157" spans="1:22" x14ac:dyDescent="0.3">
      <c r="A157" s="2">
        <f t="shared" si="100"/>
        <v>4218</v>
      </c>
      <c r="B157" s="10">
        <v>5000</v>
      </c>
      <c r="C157" s="10">
        <v>5000.1000000000004</v>
      </c>
      <c r="D157" s="10">
        <v>0.2</v>
      </c>
      <c r="E157" s="10">
        <v>2.02</v>
      </c>
      <c r="F157" s="10">
        <v>102</v>
      </c>
      <c r="G157" s="8">
        <v>5000</v>
      </c>
      <c r="H157" s="8">
        <v>4999.6000000000004</v>
      </c>
      <c r="I157" s="1"/>
      <c r="J157" s="2" t="str">
        <f t="shared" ref="J157" si="114">CONCATENATE(K155,2)</f>
        <v>52</v>
      </c>
      <c r="K157" s="4">
        <v>8.964784465898287E-14</v>
      </c>
      <c r="L157" s="4">
        <v>2.0485111668333459E-9</v>
      </c>
      <c r="M157" s="4">
        <v>1.1630165379083507E-5</v>
      </c>
      <c r="N157" s="4">
        <v>1.2155947975138678E-2</v>
      </c>
      <c r="O157" s="1"/>
      <c r="P157" s="1"/>
      <c r="Q157" s="1"/>
      <c r="R157" s="1"/>
      <c r="S157" s="1"/>
      <c r="T157" s="1"/>
      <c r="U157" s="2">
        <f t="shared" si="101"/>
        <v>4</v>
      </c>
      <c r="V157" s="2">
        <f t="shared" si="102"/>
        <v>218</v>
      </c>
    </row>
    <row r="158" spans="1:22" x14ac:dyDescent="0.3">
      <c r="A158" s="2">
        <f t="shared" si="100"/>
        <v>4219</v>
      </c>
      <c r="B158" s="10">
        <v>10000</v>
      </c>
      <c r="C158" s="10">
        <v>10000.1</v>
      </c>
      <c r="D158" s="10">
        <v>0.2</v>
      </c>
      <c r="E158" s="10">
        <v>2</v>
      </c>
      <c r="F158" s="10">
        <v>1000000</v>
      </c>
      <c r="G158" s="8">
        <v>10000</v>
      </c>
      <c r="H158" s="8">
        <v>9999.4</v>
      </c>
      <c r="I158" s="1"/>
      <c r="J158" s="2" t="str">
        <f t="shared" ref="J158" si="115">CONCATENATE(K155,3)</f>
        <v>53</v>
      </c>
      <c r="K158" s="4">
        <v>0.99999999999860567</v>
      </c>
      <c r="L158" s="4">
        <v>1.5069035835722389E-2</v>
      </c>
      <c r="M158" s="4" t="e">
        <v>#N/A</v>
      </c>
      <c r="N158" s="4" t="e">
        <v>#N/A</v>
      </c>
      <c r="O158" s="1"/>
      <c r="P158" s="1"/>
      <c r="Q158" s="1"/>
      <c r="R158" s="1"/>
      <c r="S158" s="1"/>
      <c r="T158" s="1"/>
      <c r="U158" s="2">
        <f t="shared" si="101"/>
        <v>4</v>
      </c>
      <c r="V158" s="2">
        <f t="shared" si="102"/>
        <v>219</v>
      </c>
    </row>
    <row r="159" spans="1:22" x14ac:dyDescent="0.3">
      <c r="A159" s="2">
        <f t="shared" si="100"/>
        <v>4220</v>
      </c>
      <c r="B159" s="10">
        <v>15000</v>
      </c>
      <c r="C159" s="10">
        <v>15000.1</v>
      </c>
      <c r="D159" s="10">
        <v>0.2</v>
      </c>
      <c r="E159" s="10">
        <v>2</v>
      </c>
      <c r="F159" s="10">
        <v>1000000</v>
      </c>
      <c r="G159" s="8">
        <v>15000</v>
      </c>
      <c r="H159" s="8">
        <v>14999.2</v>
      </c>
      <c r="I159" s="1"/>
      <c r="J159" s="1"/>
      <c r="K159" s="1">
        <v>6</v>
      </c>
      <c r="L159" s="1">
        <v>6</v>
      </c>
      <c r="M159" s="1">
        <v>6</v>
      </c>
      <c r="N159" s="1">
        <v>6</v>
      </c>
      <c r="O159" s="1">
        <v>6</v>
      </c>
      <c r="P159" s="1"/>
      <c r="Q159" s="1"/>
      <c r="R159" s="1"/>
      <c r="S159" s="1"/>
      <c r="T159" s="1"/>
      <c r="U159" s="2">
        <f t="shared" si="101"/>
        <v>4</v>
      </c>
      <c r="V159" s="2">
        <f t="shared" si="102"/>
        <v>220</v>
      </c>
    </row>
    <row r="160" spans="1:22" x14ac:dyDescent="0.3">
      <c r="A160" s="2">
        <f t="shared" si="100"/>
        <v>4221</v>
      </c>
      <c r="B160" s="10">
        <v>20000</v>
      </c>
      <c r="C160" s="10">
        <v>20000.099999999999</v>
      </c>
      <c r="D160" s="10">
        <v>0.3</v>
      </c>
      <c r="E160" s="10">
        <v>2.0099999999999998</v>
      </c>
      <c r="F160" s="10">
        <v>279</v>
      </c>
      <c r="G160" s="8">
        <v>20000</v>
      </c>
      <c r="H160" s="8">
        <v>19999.2</v>
      </c>
      <c r="I160" s="1"/>
      <c r="J160" s="2" t="str">
        <f t="shared" ref="J160" si="116">CONCATENATE(K159,1)</f>
        <v>61</v>
      </c>
      <c r="K160" s="4">
        <f t="array" ref="K160:O162">LINEST(B155:B160,C155:C160^{1,2,3,4},TRUE,TRUE)</f>
        <v>4.2567287556254673E-18</v>
      </c>
      <c r="L160" s="4">
        <v>-2.393157339991593E-13</v>
      </c>
      <c r="M160" s="4">
        <v>4.78292548747588E-9</v>
      </c>
      <c r="N160" s="4">
        <v>0.9999604964101545</v>
      </c>
      <c r="O160" s="4">
        <v>1.0075158469928958E-2</v>
      </c>
      <c r="P160" s="1"/>
      <c r="Q160" s="1"/>
      <c r="R160" s="1"/>
      <c r="S160" s="1"/>
      <c r="T160" s="1"/>
      <c r="U160" s="2">
        <f t="shared" si="101"/>
        <v>4</v>
      </c>
      <c r="V160" s="2">
        <f t="shared" si="102"/>
        <v>221</v>
      </c>
    </row>
    <row r="161" spans="1:22" x14ac:dyDescent="0.3">
      <c r="A161" s="2">
        <f t="shared" si="100"/>
        <v>4222</v>
      </c>
      <c r="B161" s="10">
        <v>30000</v>
      </c>
      <c r="C161" s="10">
        <v>30000.2</v>
      </c>
      <c r="D161" s="10">
        <v>0.3</v>
      </c>
      <c r="E161" s="10">
        <v>2.0099999999999998</v>
      </c>
      <c r="F161" s="10">
        <v>433</v>
      </c>
      <c r="G161" s="8">
        <v>30000</v>
      </c>
      <c r="H161" s="8">
        <v>29999</v>
      </c>
      <c r="I161" s="1"/>
      <c r="J161" s="2" t="str">
        <f t="shared" ref="J161" si="117">CONCATENATE(K159,2)</f>
        <v>62</v>
      </c>
      <c r="K161" s="4">
        <v>8.7954991195359031E-18</v>
      </c>
      <c r="L161" s="4">
        <v>3.542804537227845E-13</v>
      </c>
      <c r="M161" s="4">
        <v>4.4677353853342365E-9</v>
      </c>
      <c r="N161" s="4">
        <v>1.8226536716947478E-5</v>
      </c>
      <c r="O161" s="4">
        <v>1.3645883323304736E-2</v>
      </c>
      <c r="P161" s="1"/>
      <c r="Q161" s="1"/>
      <c r="R161" s="1"/>
      <c r="S161" s="1"/>
      <c r="T161" s="1"/>
      <c r="U161" s="2">
        <f t="shared" si="101"/>
        <v>4</v>
      </c>
      <c r="V161" s="2">
        <f t="shared" si="102"/>
        <v>222</v>
      </c>
    </row>
    <row r="162" spans="1:22" x14ac:dyDescent="0.3">
      <c r="A162" s="2">
        <f t="shared" si="100"/>
        <v>4223</v>
      </c>
      <c r="B162" s="10"/>
      <c r="C162" s="10"/>
      <c r="D162" s="10"/>
      <c r="E162" s="10"/>
      <c r="F162" s="10"/>
      <c r="G162" s="8"/>
      <c r="H162" s="8"/>
      <c r="I162" s="1"/>
      <c r="J162" s="2" t="str">
        <f t="shared" ref="J162" si="118">CONCATENATE(K159,3)</f>
        <v>63</v>
      </c>
      <c r="K162" s="4">
        <v>0.99999999999917444</v>
      </c>
      <c r="L162" s="4">
        <v>1.6337946178353491E-2</v>
      </c>
      <c r="M162" s="4" t="e">
        <v>#N/A</v>
      </c>
      <c r="N162" s="4" t="e">
        <v>#N/A</v>
      </c>
      <c r="O162" s="4" t="e">
        <v>#N/A</v>
      </c>
      <c r="P162" s="1"/>
      <c r="Q162" s="1"/>
      <c r="R162" s="1"/>
      <c r="S162" s="1"/>
      <c r="T162" s="1"/>
      <c r="U162" s="2">
        <f t="shared" si="101"/>
        <v>4</v>
      </c>
      <c r="V162" s="2">
        <f t="shared" si="102"/>
        <v>223</v>
      </c>
    </row>
    <row r="163" spans="1:22" x14ac:dyDescent="0.3">
      <c r="A163" s="2">
        <f t="shared" si="100"/>
        <v>4224</v>
      </c>
      <c r="B163" s="10"/>
      <c r="C163" s="10"/>
      <c r="D163" s="10"/>
      <c r="E163" s="10"/>
      <c r="F163" s="10"/>
      <c r="G163" s="8"/>
      <c r="H163" s="8"/>
      <c r="I163" s="1"/>
      <c r="J163" s="1"/>
      <c r="K163" s="1">
        <v>7</v>
      </c>
      <c r="L163" s="1">
        <v>7</v>
      </c>
      <c r="M163" s="1">
        <v>7</v>
      </c>
      <c r="N163" s="1">
        <v>7</v>
      </c>
      <c r="O163" s="1">
        <v>7</v>
      </c>
      <c r="P163" s="1">
        <v>7</v>
      </c>
      <c r="Q163" s="1"/>
      <c r="R163" s="1"/>
      <c r="S163" s="1"/>
      <c r="T163" s="1"/>
      <c r="U163" s="2">
        <f t="shared" si="101"/>
        <v>4</v>
      </c>
      <c r="V163" s="2">
        <f t="shared" si="102"/>
        <v>224</v>
      </c>
    </row>
    <row r="164" spans="1:22" x14ac:dyDescent="0.3">
      <c r="A164" s="2">
        <f t="shared" si="100"/>
        <v>4225</v>
      </c>
      <c r="B164" s="10"/>
      <c r="C164" s="10"/>
      <c r="D164" s="10"/>
      <c r="E164" s="10"/>
      <c r="F164" s="10"/>
      <c r="G164" s="8"/>
      <c r="H164" s="8"/>
      <c r="I164" s="1"/>
      <c r="J164" s="2" t="str">
        <f t="shared" ref="J164" si="119">CONCATENATE(K163,1)</f>
        <v>71</v>
      </c>
      <c r="K164" s="4">
        <f t="array" ref="K164:P166">LINEST(B155:B161,C155:C161^{1,2,3,4,5},TRUE,TRUE)</f>
        <v>-7.2974851831902944E-23</v>
      </c>
      <c r="L164" s="4">
        <v>6.6650732363596578E-18</v>
      </c>
      <c r="M164" s="4">
        <v>-2.5448840515727437E-13</v>
      </c>
      <c r="N164" s="4">
        <v>4.6578151843851313E-9</v>
      </c>
      <c r="O164" s="4">
        <v>0.9999614680477944</v>
      </c>
      <c r="P164" s="4">
        <v>9.7308650930569285E-3</v>
      </c>
      <c r="Q164" s="1"/>
      <c r="R164" s="1"/>
      <c r="S164" s="1"/>
      <c r="T164" s="1"/>
      <c r="U164" s="2">
        <f t="shared" si="101"/>
        <v>4</v>
      </c>
      <c r="V164" s="2">
        <f t="shared" si="102"/>
        <v>225</v>
      </c>
    </row>
    <row r="165" spans="1:22" x14ac:dyDescent="0.3">
      <c r="A165" s="2">
        <f t="shared" si="100"/>
        <v>4226</v>
      </c>
      <c r="B165" s="61" t="s">
        <v>44</v>
      </c>
      <c r="C165" s="61"/>
      <c r="D165" s="61"/>
      <c r="E165" s="61"/>
      <c r="F165" s="61"/>
      <c r="G165" s="61"/>
      <c r="H165" s="61"/>
      <c r="I165" s="1"/>
      <c r="J165" s="2" t="str">
        <f t="shared" ref="J165" si="120">CONCATENATE(K163,2)</f>
        <v>72</v>
      </c>
      <c r="K165" s="4">
        <v>4.6078050027493878E-22</v>
      </c>
      <c r="L165" s="4">
        <v>3.1544258097483417E-17</v>
      </c>
      <c r="M165" s="4">
        <v>7.4331456484956291E-13</v>
      </c>
      <c r="N165" s="4">
        <v>7.1396981609572028E-9</v>
      </c>
      <c r="O165" s="4">
        <v>2.4305183114532426E-5</v>
      </c>
      <c r="P165" s="4">
        <v>1.4546372650320397E-2</v>
      </c>
      <c r="Q165" s="1"/>
      <c r="R165" s="1"/>
      <c r="S165" s="1"/>
      <c r="T165" s="1"/>
      <c r="U165" s="2">
        <f t="shared" si="101"/>
        <v>4</v>
      </c>
      <c r="V165" s="2">
        <f t="shared" si="102"/>
        <v>226</v>
      </c>
    </row>
    <row r="166" spans="1:22" x14ac:dyDescent="0.3">
      <c r="A166" s="2">
        <f t="shared" si="100"/>
        <v>4227</v>
      </c>
      <c r="B166" s="4" t="s">
        <v>45</v>
      </c>
      <c r="C166" s="4" t="s">
        <v>46</v>
      </c>
      <c r="D166" s="4" t="s">
        <v>47</v>
      </c>
      <c r="E166" s="4" t="s">
        <v>48</v>
      </c>
      <c r="F166" s="4" t="s">
        <v>49</v>
      </c>
      <c r="G166" s="4" t="s">
        <v>50</v>
      </c>
      <c r="H166" s="4" t="s">
        <v>46</v>
      </c>
      <c r="I166" s="1"/>
      <c r="J166" s="2" t="str">
        <f t="shared" ref="J166" si="121">CONCATENATE(K163,3)</f>
        <v>73</v>
      </c>
      <c r="K166" s="4">
        <v>0.99999999999960676</v>
      </c>
      <c r="L166" s="4">
        <v>1.6848098131049483E-2</v>
      </c>
      <c r="M166" s="4" t="e">
        <v>#N/A</v>
      </c>
      <c r="N166" s="4" t="e">
        <v>#N/A</v>
      </c>
      <c r="O166" s="4" t="e">
        <v>#N/A</v>
      </c>
      <c r="P166" s="4" t="e">
        <v>#N/A</v>
      </c>
      <c r="Q166" s="1"/>
      <c r="R166" s="1"/>
      <c r="S166" s="1"/>
      <c r="T166" s="1"/>
      <c r="U166" s="2">
        <f t="shared" si="101"/>
        <v>4</v>
      </c>
      <c r="V166" s="2">
        <f t="shared" si="102"/>
        <v>227</v>
      </c>
    </row>
    <row r="167" spans="1:22" x14ac:dyDescent="0.3">
      <c r="A167" s="2">
        <f t="shared" si="100"/>
        <v>4228</v>
      </c>
      <c r="B167" s="10">
        <v>10000</v>
      </c>
      <c r="C167" s="10">
        <v>10000</v>
      </c>
      <c r="D167" s="10">
        <v>10000</v>
      </c>
      <c r="E167" s="10">
        <v>9999.9</v>
      </c>
      <c r="F167" s="10">
        <v>9999.9</v>
      </c>
      <c r="G167" s="10">
        <v>10000</v>
      </c>
      <c r="H167" s="10">
        <v>10000.1</v>
      </c>
      <c r="I167" s="1"/>
      <c r="J167" s="1"/>
      <c r="K167" s="1">
        <v>8</v>
      </c>
      <c r="L167" s="1">
        <v>8</v>
      </c>
      <c r="M167" s="1">
        <v>8</v>
      </c>
      <c r="N167" s="1">
        <v>8</v>
      </c>
      <c r="O167" s="1">
        <v>8</v>
      </c>
      <c r="P167" s="1">
        <v>8</v>
      </c>
      <c r="Q167" s="1">
        <v>8</v>
      </c>
      <c r="R167" s="1"/>
      <c r="S167" s="1"/>
      <c r="T167" s="1"/>
      <c r="U167" s="2">
        <f t="shared" si="101"/>
        <v>4</v>
      </c>
      <c r="V167" s="2">
        <f t="shared" si="102"/>
        <v>228</v>
      </c>
    </row>
    <row r="168" spans="1:22" x14ac:dyDescent="0.3">
      <c r="A168" s="2">
        <f t="shared" si="100"/>
        <v>4229</v>
      </c>
      <c r="I168" s="1"/>
      <c r="J168" s="2" t="str">
        <f t="shared" ref="J168" si="122">CONCATENATE(K167,1)</f>
        <v>81</v>
      </c>
      <c r="K168" s="4" t="e">
        <f t="array" ref="K168:Q170">LINEST(B155:B162,C155:C162^{1,2,3,4,5,6},TRUE,TRUE)</f>
        <v>#VALUE!</v>
      </c>
      <c r="L168" s="4" t="e">
        <v>#VALUE!</v>
      </c>
      <c r="M168" s="4" t="e">
        <v>#VALUE!</v>
      </c>
      <c r="N168" s="4" t="e">
        <v>#VALUE!</v>
      </c>
      <c r="O168" s="4" t="e">
        <v>#VALUE!</v>
      </c>
      <c r="P168" s="4" t="e">
        <v>#VALUE!</v>
      </c>
      <c r="Q168" s="4" t="e">
        <v>#VALUE!</v>
      </c>
      <c r="R168" s="1"/>
      <c r="S168" s="1"/>
      <c r="T168" s="1"/>
      <c r="U168" s="2">
        <f t="shared" si="101"/>
        <v>4</v>
      </c>
      <c r="V168" s="2">
        <f t="shared" si="102"/>
        <v>229</v>
      </c>
    </row>
    <row r="169" spans="1:22" x14ac:dyDescent="0.3">
      <c r="A169" s="2">
        <f t="shared" si="100"/>
        <v>4230</v>
      </c>
      <c r="B169" s="58" t="s">
        <v>30</v>
      </c>
      <c r="C169" s="58"/>
      <c r="D169" s="58"/>
      <c r="E169" s="58"/>
      <c r="F169" s="58"/>
      <c r="G169" s="58"/>
      <c r="H169" s="58"/>
      <c r="I169" s="1"/>
      <c r="J169" s="2" t="str">
        <f t="shared" ref="J169" si="123">CONCATENATE(K167,2)</f>
        <v>82</v>
      </c>
      <c r="K169" s="4" t="e">
        <v>#VALUE!</v>
      </c>
      <c r="L169" s="4" t="e">
        <v>#VALUE!</v>
      </c>
      <c r="M169" s="4" t="e">
        <v>#VALUE!</v>
      </c>
      <c r="N169" s="4" t="e">
        <v>#VALUE!</v>
      </c>
      <c r="O169" s="4" t="e">
        <v>#VALUE!</v>
      </c>
      <c r="P169" s="4" t="e">
        <v>#VALUE!</v>
      </c>
      <c r="Q169" s="4" t="e">
        <v>#VALUE!</v>
      </c>
      <c r="R169" s="1"/>
      <c r="S169" s="1"/>
      <c r="T169" s="1"/>
      <c r="U169" s="2">
        <f t="shared" si="101"/>
        <v>4</v>
      </c>
      <c r="V169" s="2">
        <f t="shared" si="102"/>
        <v>230</v>
      </c>
    </row>
    <row r="170" spans="1:22" x14ac:dyDescent="0.3">
      <c r="A170" s="2">
        <f t="shared" si="100"/>
        <v>4231</v>
      </c>
      <c r="B170" s="62"/>
      <c r="C170" s="62"/>
      <c r="D170" s="62"/>
      <c r="E170" s="62"/>
      <c r="F170" s="62"/>
      <c r="G170" s="62"/>
      <c r="H170" s="62"/>
      <c r="I170" s="1"/>
      <c r="J170" s="2" t="str">
        <f t="shared" ref="J170" si="124">CONCATENATE(K167,3)</f>
        <v>83</v>
      </c>
      <c r="K170" s="4" t="e">
        <v>#VALUE!</v>
      </c>
      <c r="L170" s="4" t="e">
        <v>#VALUE!</v>
      </c>
      <c r="M170" s="4" t="e">
        <v>#VALUE!</v>
      </c>
      <c r="N170" s="4" t="e">
        <v>#VALUE!</v>
      </c>
      <c r="O170" s="4" t="e">
        <v>#VALUE!</v>
      </c>
      <c r="P170" s="4" t="e">
        <v>#VALUE!</v>
      </c>
      <c r="Q170" s="4" t="e">
        <v>#VALUE!</v>
      </c>
      <c r="R170" s="1"/>
      <c r="S170" s="1"/>
      <c r="T170" s="1"/>
      <c r="U170" s="2">
        <f t="shared" si="101"/>
        <v>4</v>
      </c>
      <c r="V170" s="2">
        <f t="shared" si="102"/>
        <v>231</v>
      </c>
    </row>
    <row r="171" spans="1:22" x14ac:dyDescent="0.3">
      <c r="A171" s="2">
        <f t="shared" si="100"/>
        <v>4232</v>
      </c>
      <c r="B171" s="62"/>
      <c r="C171" s="62"/>
      <c r="D171" s="62"/>
      <c r="E171" s="62"/>
      <c r="F171" s="62"/>
      <c r="G171" s="62"/>
      <c r="H171" s="62"/>
      <c r="I171" s="1"/>
      <c r="J171" s="1"/>
      <c r="K171" s="1">
        <v>9</v>
      </c>
      <c r="L171" s="1">
        <v>9</v>
      </c>
      <c r="M171" s="1">
        <v>9</v>
      </c>
      <c r="N171" s="1">
        <v>9</v>
      </c>
      <c r="O171" s="1">
        <v>9</v>
      </c>
      <c r="P171" s="1">
        <v>9</v>
      </c>
      <c r="Q171" s="1">
        <v>9</v>
      </c>
      <c r="R171" s="1">
        <v>9</v>
      </c>
      <c r="S171" s="1"/>
      <c r="T171" s="1"/>
      <c r="U171" s="2">
        <f t="shared" si="101"/>
        <v>4</v>
      </c>
      <c r="V171" s="2">
        <f t="shared" si="102"/>
        <v>232</v>
      </c>
    </row>
    <row r="172" spans="1:22" x14ac:dyDescent="0.3">
      <c r="A172" s="2">
        <f t="shared" si="100"/>
        <v>4233</v>
      </c>
      <c r="B172" s="1"/>
      <c r="C172" s="1"/>
      <c r="D172" s="1"/>
      <c r="E172" s="1"/>
      <c r="F172" s="1"/>
      <c r="G172" s="1"/>
      <c r="H172" s="1"/>
      <c r="I172" s="1"/>
      <c r="J172" s="2" t="str">
        <f t="shared" ref="J172" si="125">CONCATENATE(K171,1)</f>
        <v>91</v>
      </c>
      <c r="K172" s="4" t="e">
        <f t="array" ref="K172:R174">LINEST(B155:B163,C155:C163^{1,2,3,4,5,6,7},TRUE,TRUE)</f>
        <v>#VALUE!</v>
      </c>
      <c r="L172" s="4" t="e">
        <v>#VALUE!</v>
      </c>
      <c r="M172" s="4" t="e">
        <v>#VALUE!</v>
      </c>
      <c r="N172" s="4" t="e">
        <v>#VALUE!</v>
      </c>
      <c r="O172" s="4" t="e">
        <v>#VALUE!</v>
      </c>
      <c r="P172" s="4" t="e">
        <v>#VALUE!</v>
      </c>
      <c r="Q172" s="4" t="e">
        <v>#VALUE!</v>
      </c>
      <c r="R172" s="4" t="e">
        <v>#VALUE!</v>
      </c>
      <c r="S172" s="1"/>
      <c r="T172" s="1"/>
      <c r="U172" s="2">
        <f t="shared" si="101"/>
        <v>4</v>
      </c>
      <c r="V172" s="2">
        <f t="shared" si="102"/>
        <v>233</v>
      </c>
    </row>
    <row r="173" spans="1:22" x14ac:dyDescent="0.3">
      <c r="A173" s="2">
        <f t="shared" si="100"/>
        <v>4234</v>
      </c>
      <c r="B173" s="5" t="s">
        <v>31</v>
      </c>
      <c r="C173" s="5" t="s">
        <v>32</v>
      </c>
      <c r="D173" s="5" t="s">
        <v>33</v>
      </c>
      <c r="E173" s="4" t="s">
        <v>34</v>
      </c>
      <c r="F173" s="57" t="s">
        <v>35</v>
      </c>
      <c r="G173" s="58"/>
      <c r="H173" s="58"/>
      <c r="I173" s="1"/>
      <c r="J173" s="2" t="str">
        <f t="shared" ref="J173" si="126">CONCATENATE(K171,2)</f>
        <v>92</v>
      </c>
      <c r="K173" s="4" t="e">
        <v>#VALUE!</v>
      </c>
      <c r="L173" s="4" t="e">
        <v>#VALUE!</v>
      </c>
      <c r="M173" s="4" t="e">
        <v>#VALUE!</v>
      </c>
      <c r="N173" s="4" t="e">
        <v>#VALUE!</v>
      </c>
      <c r="O173" s="4" t="e">
        <v>#VALUE!</v>
      </c>
      <c r="P173" s="4" t="e">
        <v>#VALUE!</v>
      </c>
      <c r="Q173" s="4" t="e">
        <v>#VALUE!</v>
      </c>
      <c r="R173" s="4" t="e">
        <v>#VALUE!</v>
      </c>
      <c r="S173" s="1"/>
      <c r="T173" s="1"/>
      <c r="U173" s="2">
        <f t="shared" si="101"/>
        <v>4</v>
      </c>
      <c r="V173" s="2">
        <f t="shared" si="102"/>
        <v>234</v>
      </c>
    </row>
    <row r="174" spans="1:22" x14ac:dyDescent="0.3">
      <c r="A174" s="2">
        <f t="shared" si="100"/>
        <v>4235</v>
      </c>
      <c r="B174" s="5">
        <f t="shared" ref="B174:B183" si="127">C155-B155</f>
        <v>0</v>
      </c>
      <c r="C174" s="5">
        <f t="shared" ref="C174:C183" si="128">H155-G155</f>
        <v>0</v>
      </c>
      <c r="D174" s="5">
        <f>C174-B174</f>
        <v>0</v>
      </c>
      <c r="E174" s="4">
        <f t="shared" ref="E174:E183" si="129">D155</f>
        <v>0.2</v>
      </c>
      <c r="F174" s="11">
        <f>IF(D142="","",MAX(G174,H174))</f>
        <v>1.2000000000007276</v>
      </c>
      <c r="G174" s="5">
        <f>ABS(MIN(D174:D183))</f>
        <v>1.2000000000007276</v>
      </c>
      <c r="H174" s="5">
        <f>ABS(MAX(D174:D183))</f>
        <v>0</v>
      </c>
      <c r="I174" s="1"/>
      <c r="J174" s="2" t="str">
        <f t="shared" ref="J174" si="130">CONCATENATE(K171,3)</f>
        <v>93</v>
      </c>
      <c r="K174" s="4" t="e">
        <v>#VALUE!</v>
      </c>
      <c r="L174" s="4" t="e">
        <v>#VALUE!</v>
      </c>
      <c r="M174" s="4" t="e">
        <v>#VALUE!</v>
      </c>
      <c r="N174" s="4" t="e">
        <v>#VALUE!</v>
      </c>
      <c r="O174" s="4" t="e">
        <v>#VALUE!</v>
      </c>
      <c r="P174" s="4" t="e">
        <v>#VALUE!</v>
      </c>
      <c r="Q174" s="4" t="e">
        <v>#VALUE!</v>
      </c>
      <c r="R174" s="4" t="e">
        <v>#VALUE!</v>
      </c>
      <c r="S174" s="1"/>
      <c r="T174" s="1"/>
      <c r="U174" s="2">
        <f t="shared" si="101"/>
        <v>4</v>
      </c>
      <c r="V174" s="2">
        <f t="shared" si="102"/>
        <v>235</v>
      </c>
    </row>
    <row r="175" spans="1:22" x14ac:dyDescent="0.3">
      <c r="A175" s="2">
        <f t="shared" si="100"/>
        <v>4236</v>
      </c>
      <c r="B175" s="5">
        <f t="shared" si="127"/>
        <v>0</v>
      </c>
      <c r="C175" s="5">
        <f t="shared" si="128"/>
        <v>-0.10000000000002274</v>
      </c>
      <c r="D175" s="5">
        <f t="shared" ref="D175:D183" si="131">C175-B175</f>
        <v>-0.10000000000002274</v>
      </c>
      <c r="E175" s="4">
        <f t="shared" si="129"/>
        <v>0.2</v>
      </c>
      <c r="F175" s="57" t="s">
        <v>36</v>
      </c>
      <c r="G175" s="58"/>
      <c r="H175" s="58"/>
      <c r="I175" s="1"/>
      <c r="J175" s="1"/>
      <c r="K175" s="1">
        <v>10</v>
      </c>
      <c r="L175" s="1">
        <v>10</v>
      </c>
      <c r="M175" s="1">
        <v>10</v>
      </c>
      <c r="N175" s="1">
        <v>10</v>
      </c>
      <c r="O175" s="1">
        <v>10</v>
      </c>
      <c r="P175" s="1">
        <v>10</v>
      </c>
      <c r="Q175" s="1">
        <v>10</v>
      </c>
      <c r="R175" s="1">
        <v>10</v>
      </c>
      <c r="S175" s="1">
        <v>10</v>
      </c>
      <c r="T175" s="1"/>
      <c r="U175" s="2">
        <f t="shared" si="101"/>
        <v>4</v>
      </c>
      <c r="V175" s="2">
        <f t="shared" si="102"/>
        <v>236</v>
      </c>
    </row>
    <row r="176" spans="1:22" x14ac:dyDescent="0.3">
      <c r="A176" s="2">
        <f t="shared" si="100"/>
        <v>4237</v>
      </c>
      <c r="B176" s="5">
        <f t="shared" si="127"/>
        <v>0.1000000000003638</v>
      </c>
      <c r="C176" s="5">
        <f t="shared" si="128"/>
        <v>-0.3999999999996362</v>
      </c>
      <c r="D176" s="5">
        <f t="shared" si="131"/>
        <v>-0.5</v>
      </c>
      <c r="E176" s="4">
        <f t="shared" si="129"/>
        <v>0.2</v>
      </c>
      <c r="F176" s="11">
        <f>IF(D142="","",MAX(G176,H176))</f>
        <v>0.2000000000007276</v>
      </c>
      <c r="G176" s="5">
        <f>ABS(MIN(B174:B183))</f>
        <v>0</v>
      </c>
      <c r="H176" s="5">
        <f>ABS(MAX(B174:B183))</f>
        <v>0.2000000000007276</v>
      </c>
      <c r="I176" s="1"/>
      <c r="J176" s="2" t="str">
        <f t="shared" ref="J176" si="132">CONCATENATE(K175,1)</f>
        <v>101</v>
      </c>
      <c r="K176" s="4" t="e">
        <f t="array" ref="K176:S178">LINEST(B155:B164,C155:C164^{1,2,3,4,5,6,7,8},TRUE,TRUE)</f>
        <v>#VALUE!</v>
      </c>
      <c r="L176" s="4" t="e">
        <v>#VALUE!</v>
      </c>
      <c r="M176" s="4" t="e">
        <v>#VALUE!</v>
      </c>
      <c r="N176" s="4" t="e">
        <v>#VALUE!</v>
      </c>
      <c r="O176" s="4" t="e">
        <v>#VALUE!</v>
      </c>
      <c r="P176" s="4" t="e">
        <v>#VALUE!</v>
      </c>
      <c r="Q176" s="4" t="e">
        <v>#VALUE!</v>
      </c>
      <c r="R176" s="4" t="e">
        <v>#VALUE!</v>
      </c>
      <c r="S176" s="4" t="e">
        <v>#VALUE!</v>
      </c>
      <c r="T176" s="1"/>
      <c r="U176" s="2">
        <f t="shared" si="101"/>
        <v>4</v>
      </c>
      <c r="V176" s="2">
        <f t="shared" si="102"/>
        <v>237</v>
      </c>
    </row>
    <row r="177" spans="1:22" x14ac:dyDescent="0.3">
      <c r="A177" s="2">
        <f t="shared" si="100"/>
        <v>4238</v>
      </c>
      <c r="B177" s="5">
        <f t="shared" si="127"/>
        <v>0.1000000000003638</v>
      </c>
      <c r="C177" s="5">
        <f t="shared" si="128"/>
        <v>-0.6000000000003638</v>
      </c>
      <c r="D177" s="5">
        <f t="shared" si="131"/>
        <v>-0.7000000000007276</v>
      </c>
      <c r="E177" s="4">
        <f t="shared" si="129"/>
        <v>0.2</v>
      </c>
      <c r="F177" s="57" t="s">
        <v>37</v>
      </c>
      <c r="G177" s="58"/>
      <c r="H177" s="58"/>
      <c r="I177" s="1"/>
      <c r="J177" s="2" t="str">
        <f t="shared" ref="J177" si="133">CONCATENATE(K175,2)</f>
        <v>102</v>
      </c>
      <c r="K177" s="4" t="e">
        <v>#VALUE!</v>
      </c>
      <c r="L177" s="4" t="e">
        <v>#VALUE!</v>
      </c>
      <c r="M177" s="4" t="e">
        <v>#VALUE!</v>
      </c>
      <c r="N177" s="4" t="e">
        <v>#VALUE!</v>
      </c>
      <c r="O177" s="4" t="e">
        <v>#VALUE!</v>
      </c>
      <c r="P177" s="4" t="e">
        <v>#VALUE!</v>
      </c>
      <c r="Q177" s="4" t="e">
        <v>#VALUE!</v>
      </c>
      <c r="R177" s="4" t="e">
        <v>#VALUE!</v>
      </c>
      <c r="S177" s="4" t="e">
        <v>#VALUE!</v>
      </c>
      <c r="T177" s="1"/>
      <c r="U177" s="2">
        <f t="shared" si="101"/>
        <v>4</v>
      </c>
      <c r="V177" s="2">
        <f t="shared" si="102"/>
        <v>238</v>
      </c>
    </row>
    <row r="178" spans="1:22" x14ac:dyDescent="0.3">
      <c r="A178" s="2">
        <f t="shared" si="100"/>
        <v>4239</v>
      </c>
      <c r="B178" s="5">
        <f t="shared" si="127"/>
        <v>0.1000000000003638</v>
      </c>
      <c r="C178" s="5">
        <f t="shared" si="128"/>
        <v>-0.7999999999992724</v>
      </c>
      <c r="D178" s="5">
        <f t="shared" si="131"/>
        <v>-0.8999999999996362</v>
      </c>
      <c r="E178" s="4">
        <f t="shared" si="129"/>
        <v>0.2</v>
      </c>
      <c r="F178" s="11">
        <f>IF(D142="","",MAX(G178,H178))</f>
        <v>0.3</v>
      </c>
      <c r="G178" s="5">
        <f>ABS(MIN(E174:E183))</f>
        <v>0</v>
      </c>
      <c r="H178" s="5">
        <f>ABS(MAX(E174:E183))</f>
        <v>0.3</v>
      </c>
      <c r="I178" s="1"/>
      <c r="J178" s="2" t="str">
        <f t="shared" ref="J178" si="134">CONCATENATE(K175,3)</f>
        <v>103</v>
      </c>
      <c r="K178" s="4" t="e">
        <v>#VALUE!</v>
      </c>
      <c r="L178" s="4" t="e">
        <v>#VALUE!</v>
      </c>
      <c r="M178" s="4" t="e">
        <v>#VALUE!</v>
      </c>
      <c r="N178" s="4" t="e">
        <v>#VALUE!</v>
      </c>
      <c r="O178" s="4" t="e">
        <v>#VALUE!</v>
      </c>
      <c r="P178" s="4" t="e">
        <v>#VALUE!</v>
      </c>
      <c r="Q178" s="4" t="e">
        <v>#VALUE!</v>
      </c>
      <c r="R178" s="4" t="e">
        <v>#VALUE!</v>
      </c>
      <c r="S178" s="4" t="e">
        <v>#VALUE!</v>
      </c>
      <c r="T178" s="1"/>
      <c r="U178" s="2">
        <f t="shared" si="101"/>
        <v>4</v>
      </c>
      <c r="V178" s="2">
        <f t="shared" si="102"/>
        <v>239</v>
      </c>
    </row>
    <row r="179" spans="1:22" x14ac:dyDescent="0.3">
      <c r="A179" s="2">
        <f t="shared" si="100"/>
        <v>4240</v>
      </c>
      <c r="B179" s="5">
        <f t="shared" si="127"/>
        <v>9.9999999998544808E-2</v>
      </c>
      <c r="C179" s="5">
        <f t="shared" si="128"/>
        <v>-0.7999999999992724</v>
      </c>
      <c r="D179" s="5">
        <f t="shared" si="131"/>
        <v>-0.89999999999781721</v>
      </c>
      <c r="E179" s="4">
        <f t="shared" si="129"/>
        <v>0.3</v>
      </c>
      <c r="F179" s="57" t="s">
        <v>51</v>
      </c>
      <c r="G179" s="58"/>
      <c r="H179" s="5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>
        <f t="shared" si="101"/>
        <v>4</v>
      </c>
      <c r="V179" s="2">
        <f t="shared" si="102"/>
        <v>240</v>
      </c>
    </row>
    <row r="180" spans="1:22" x14ac:dyDescent="0.3">
      <c r="A180" s="2">
        <f t="shared" si="100"/>
        <v>4241</v>
      </c>
      <c r="B180" s="5">
        <f t="shared" si="127"/>
        <v>0.2000000000007276</v>
      </c>
      <c r="C180" s="5">
        <f t="shared" si="128"/>
        <v>-1</v>
      </c>
      <c r="D180" s="5">
        <f t="shared" si="131"/>
        <v>-1.2000000000007276</v>
      </c>
      <c r="E180" s="4">
        <f t="shared" si="129"/>
        <v>0.3</v>
      </c>
      <c r="F180" s="21">
        <f>MAX(G180:H182)</f>
        <v>0.1000000000003638</v>
      </c>
      <c r="G180" s="4">
        <f>IF(C167="",0,ABS(C167-B167))</f>
        <v>0</v>
      </c>
      <c r="H180" s="4">
        <f>IF(F167="",0,ABS(F167-B167))</f>
        <v>0.1000000000003638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>
        <f t="shared" si="101"/>
        <v>4</v>
      </c>
      <c r="V180" s="2">
        <f t="shared" si="102"/>
        <v>241</v>
      </c>
    </row>
    <row r="181" spans="1:22" x14ac:dyDescent="0.3">
      <c r="A181" s="2">
        <f t="shared" si="100"/>
        <v>4242</v>
      </c>
      <c r="B181" s="5">
        <f t="shared" si="127"/>
        <v>0</v>
      </c>
      <c r="C181" s="5">
        <f t="shared" si="128"/>
        <v>0</v>
      </c>
      <c r="D181" s="5">
        <f t="shared" si="131"/>
        <v>0</v>
      </c>
      <c r="E181" s="4">
        <f t="shared" si="129"/>
        <v>0</v>
      </c>
      <c r="F181" s="4" t="s">
        <v>52</v>
      </c>
      <c r="G181" s="4">
        <f>IF(D167="",0,ABS(D167-B167))</f>
        <v>0</v>
      </c>
      <c r="H181" s="4">
        <f>IF(G167="",0,ABS(G167-B167))</f>
        <v>0</v>
      </c>
      <c r="I181" s="1"/>
      <c r="J181" s="1"/>
      <c r="R181" s="1"/>
      <c r="S181" s="1"/>
      <c r="T181" s="1"/>
      <c r="U181" s="2">
        <f t="shared" si="101"/>
        <v>4</v>
      </c>
      <c r="V181" s="2">
        <f t="shared" si="102"/>
        <v>242</v>
      </c>
    </row>
    <row r="182" spans="1:22" x14ac:dyDescent="0.3">
      <c r="A182" s="2">
        <f t="shared" si="100"/>
        <v>4243</v>
      </c>
      <c r="B182" s="5">
        <f t="shared" si="127"/>
        <v>0</v>
      </c>
      <c r="C182" s="5">
        <f t="shared" si="128"/>
        <v>0</v>
      </c>
      <c r="D182" s="5">
        <f t="shared" si="131"/>
        <v>0</v>
      </c>
      <c r="E182" s="4">
        <f t="shared" si="129"/>
        <v>0</v>
      </c>
      <c r="F182" s="22">
        <f>IF(F180=0,0,F180/B167%)</f>
        <v>1.000000000003638E-3</v>
      </c>
      <c r="G182" s="4">
        <f>IF(G167="",0,ABS(G167-B167))</f>
        <v>0</v>
      </c>
      <c r="H182" s="4">
        <f>IF(H167="",0,ABS(H167-B167))</f>
        <v>0.1000000000003638</v>
      </c>
      <c r="I182" s="1"/>
      <c r="J182" s="1"/>
      <c r="R182" s="1"/>
      <c r="S182" s="1"/>
      <c r="T182" s="1"/>
      <c r="U182" s="2">
        <f t="shared" si="101"/>
        <v>4</v>
      </c>
      <c r="V182" s="2">
        <f t="shared" si="102"/>
        <v>243</v>
      </c>
    </row>
    <row r="183" spans="1:22" x14ac:dyDescent="0.3">
      <c r="A183" s="2">
        <f t="shared" si="100"/>
        <v>4244</v>
      </c>
      <c r="B183" s="5">
        <f t="shared" si="127"/>
        <v>0</v>
      </c>
      <c r="C183" s="5">
        <f t="shared" si="128"/>
        <v>0</v>
      </c>
      <c r="D183" s="5">
        <f t="shared" si="131"/>
        <v>0</v>
      </c>
      <c r="E183" s="4">
        <f t="shared" si="129"/>
        <v>0</v>
      </c>
      <c r="F183" s="1"/>
      <c r="G183" s="1"/>
      <c r="H183" s="1"/>
      <c r="I183" s="1"/>
      <c r="J183" s="1"/>
      <c r="R183" s="1"/>
      <c r="S183" s="1"/>
      <c r="T183" s="1"/>
      <c r="U183" s="2">
        <f t="shared" si="101"/>
        <v>4</v>
      </c>
      <c r="V183" s="2">
        <f t="shared" si="102"/>
        <v>244</v>
      </c>
    </row>
    <row r="184" spans="1:22" x14ac:dyDescent="0.3">
      <c r="A184" s="2">
        <f t="shared" si="100"/>
        <v>4245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>
        <f t="shared" si="101"/>
        <v>4</v>
      </c>
      <c r="V184" s="2">
        <f t="shared" si="102"/>
        <v>245</v>
      </c>
    </row>
    <row r="185" spans="1:22" s="20" customForma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 x14ac:dyDescent="0.3">
      <c r="A186" s="2">
        <f>ROUND(CONCATENATE(U186,V186),0)</f>
        <v>5201</v>
      </c>
      <c r="B186" s="63" t="s">
        <v>0</v>
      </c>
      <c r="C186" s="63"/>
      <c r="D186" s="71" t="s">
        <v>38</v>
      </c>
      <c r="E186" s="72"/>
      <c r="F186" s="72"/>
      <c r="G186" s="72"/>
      <c r="H186" s="7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>
        <f>U184+1</f>
        <v>5</v>
      </c>
      <c r="V186" s="2">
        <v>201</v>
      </c>
    </row>
    <row r="187" spans="1:22" x14ac:dyDescent="0.3">
      <c r="A187" s="2">
        <f t="shared" ref="A187:A230" si="135">ROUND(CONCATENATE(U187,V187),0)</f>
        <v>5202</v>
      </c>
      <c r="B187" s="12" t="s">
        <v>40</v>
      </c>
      <c r="C187" s="13"/>
      <c r="D187" s="16" t="s">
        <v>54</v>
      </c>
      <c r="E187" s="57" t="s">
        <v>39</v>
      </c>
      <c r="F187" s="57"/>
      <c r="G187" s="18">
        <v>0.1</v>
      </c>
      <c r="H187" s="15" t="str">
        <f>IF(D188="","",D187)</f>
        <v>kg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>
        <f>U186</f>
        <v>5</v>
      </c>
      <c r="V187" s="2">
        <f>V186+1</f>
        <v>202</v>
      </c>
    </row>
    <row r="188" spans="1:22" x14ac:dyDescent="0.3">
      <c r="A188" s="2">
        <f t="shared" si="135"/>
        <v>5203</v>
      </c>
      <c r="B188" s="63" t="s">
        <v>1</v>
      </c>
      <c r="C188" s="63"/>
      <c r="D188" s="71" t="s">
        <v>94</v>
      </c>
      <c r="E188" s="72"/>
      <c r="F188" s="72"/>
      <c r="G188" s="72"/>
      <c r="H188" s="73"/>
      <c r="I188" s="1"/>
      <c r="J188" s="1"/>
      <c r="K188" s="1" t="s">
        <v>2</v>
      </c>
      <c r="L188" s="1" t="s">
        <v>3</v>
      </c>
      <c r="M188" s="1" t="s">
        <v>4</v>
      </c>
      <c r="N188" s="1" t="s">
        <v>5</v>
      </c>
      <c r="O188" s="1" t="s">
        <v>6</v>
      </c>
      <c r="P188" s="1" t="s">
        <v>7</v>
      </c>
      <c r="Q188" s="1" t="s">
        <v>8</v>
      </c>
      <c r="R188" s="1" t="s">
        <v>9</v>
      </c>
      <c r="S188" s="1" t="s">
        <v>10</v>
      </c>
      <c r="T188" s="1"/>
      <c r="U188" s="2">
        <f t="shared" ref="U188:U230" si="136">U187</f>
        <v>5</v>
      </c>
      <c r="V188" s="2">
        <f t="shared" ref="V188:V230" si="137">V187+1</f>
        <v>203</v>
      </c>
    </row>
    <row r="189" spans="1:22" x14ac:dyDescent="0.3">
      <c r="A189" s="2">
        <f t="shared" si="135"/>
        <v>5204</v>
      </c>
      <c r="B189" s="63" t="s">
        <v>11</v>
      </c>
      <c r="C189" s="63"/>
      <c r="D189" s="71" t="s">
        <v>148</v>
      </c>
      <c r="E189" s="72"/>
      <c r="F189" s="72"/>
      <c r="G189" s="72"/>
      <c r="H189" s="73"/>
      <c r="I189" s="1"/>
      <c r="J189" s="1">
        <f>COUNTA(B201:B210)</f>
        <v>7</v>
      </c>
      <c r="K189" s="1">
        <f t="shared" ref="K189" si="138">IF(L189-1&lt;2,0,L189-1)</f>
        <v>0</v>
      </c>
      <c r="L189" s="1">
        <f t="shared" ref="L189" si="139">IF(M189-1&lt;2,0,M189-1)</f>
        <v>0</v>
      </c>
      <c r="M189" s="1">
        <f t="shared" ref="M189" si="140">IF(N189-1&lt;2,0,N189-1)</f>
        <v>0</v>
      </c>
      <c r="N189" s="1">
        <f t="shared" ref="N189" si="141">IF(O189-1&lt;2,0,O189-1)</f>
        <v>2</v>
      </c>
      <c r="O189" s="1">
        <f t="shared" ref="O189" si="142">IF(P189-1&lt;2,0,P189-1)</f>
        <v>3</v>
      </c>
      <c r="P189" s="1">
        <f t="shared" ref="P189" si="143">IF(Q189-1&lt;2,0,Q189-1)</f>
        <v>4</v>
      </c>
      <c r="Q189" s="1">
        <f t="shared" ref="Q189" si="144">IF(R189-1&lt;2,0,R189-1)</f>
        <v>5</v>
      </c>
      <c r="R189" s="1">
        <f>IF(S189-1&lt;2,0,S189-1)</f>
        <v>6</v>
      </c>
      <c r="S189" s="1">
        <f>J189</f>
        <v>7</v>
      </c>
      <c r="T189" s="1"/>
      <c r="U189" s="2">
        <f t="shared" si="136"/>
        <v>5</v>
      </c>
      <c r="V189" s="2">
        <f t="shared" si="137"/>
        <v>204</v>
      </c>
    </row>
    <row r="190" spans="1:22" x14ac:dyDescent="0.3">
      <c r="A190" s="2">
        <f t="shared" si="135"/>
        <v>5205</v>
      </c>
      <c r="B190" s="63" t="s">
        <v>12</v>
      </c>
      <c r="C190" s="63"/>
      <c r="D190" s="71" t="s">
        <v>149</v>
      </c>
      <c r="E190" s="72"/>
      <c r="F190" s="72"/>
      <c r="G190" s="72"/>
      <c r="H190" s="73"/>
      <c r="I190" s="1"/>
      <c r="J190" s="2" t="str">
        <f>CONCATENATE(J189,1)</f>
        <v>71</v>
      </c>
      <c r="K190" s="3">
        <f>IF(K189=0,0,VLOOKUP(J190,J194:S224,K189,FALSE))</f>
        <v>0</v>
      </c>
      <c r="L190" s="3">
        <f>IF(L189=0,0,VLOOKUP(J190,J194:S224,L189,FALSE))</f>
        <v>0</v>
      </c>
      <c r="M190" s="3">
        <f>IF(M189=0,0,VLOOKUP(J190,J194:S224,M189,FALSE))</f>
        <v>0</v>
      </c>
      <c r="N190" s="3">
        <f>IF(N189=0,0,VLOOKUP(J190,J194:S224,N189,FALSE))</f>
        <v>-2.8908590285271261E-28</v>
      </c>
      <c r="O190" s="3">
        <f>IF(O189=0,0,VLOOKUP(J190,J194:S224,O189,FALSE))</f>
        <v>1.449314614905316E-24</v>
      </c>
      <c r="P190" s="3">
        <f>IF(P189=0,0,VLOOKUP(J190,J194:S224,P189,FALSE))</f>
        <v>-2.681199227547383E-21</v>
      </c>
      <c r="Q190" s="3">
        <f>IF(Q189=0,0,VLOOKUP(J190,J194:S224,Q189,FALSE))</f>
        <v>2.1455088288790807E-18</v>
      </c>
      <c r="R190" s="3">
        <f>IF(R189=0,0,VLOOKUP(J190,J194:S224,R189,FALSE))</f>
        <v>0.99999999999999944</v>
      </c>
      <c r="S190" s="3">
        <f>IF(S189=0,0,VLOOKUP(J190,J194:S224,S189,FALSE))</f>
        <v>3.797116544932212E-14</v>
      </c>
      <c r="T190" s="1"/>
      <c r="U190" s="2">
        <f t="shared" si="136"/>
        <v>5</v>
      </c>
      <c r="V190" s="2">
        <f t="shared" si="137"/>
        <v>205</v>
      </c>
    </row>
    <row r="191" spans="1:22" x14ac:dyDescent="0.3">
      <c r="A191" s="2">
        <f t="shared" si="135"/>
        <v>5206</v>
      </c>
      <c r="B191" s="63" t="s">
        <v>13</v>
      </c>
      <c r="C191" s="63"/>
      <c r="D191" s="74" t="s">
        <v>162</v>
      </c>
      <c r="E191" s="72"/>
      <c r="F191" s="72"/>
      <c r="G191" s="72"/>
      <c r="H191" s="73"/>
      <c r="I191" s="1"/>
      <c r="J191" s="2" t="str">
        <f>CONCATENATE(J189,2)</f>
        <v>72</v>
      </c>
      <c r="K191" s="4">
        <f>IF(K189=0,0,VLOOKUP(J191,J194:S224,K189,FALSE))</f>
        <v>0</v>
      </c>
      <c r="L191" s="4">
        <f>IF(L189=0,0,VLOOKUP(J191,J194:S224,L189,FALSE))</f>
        <v>0</v>
      </c>
      <c r="M191" s="4">
        <f>IF(M189=0,0,VLOOKUP(J191,J194:S224,M189,FALSE))</f>
        <v>0</v>
      </c>
      <c r="N191" s="4">
        <f>IF(N189=0,0,VLOOKUP(J191,J194:S224,N189,FALSE))</f>
        <v>5.2325714284553222E-29</v>
      </c>
      <c r="O191" s="4">
        <f>IF(O189=0,0,VLOOKUP(J191,J194:S224,O189,FALSE))</f>
        <v>2.5312867050887943E-25</v>
      </c>
      <c r="P191" s="4">
        <f>IF(P189=0,0,VLOOKUP(J191,J194:S224,P189,FALSE))</f>
        <v>4.2651776050133978E-22</v>
      </c>
      <c r="Q191" s="4">
        <f>IF(Q189=0,0,VLOOKUP(J191,J194:S224,Q189,FALSE))</f>
        <v>2.943267535891274E-19</v>
      </c>
      <c r="R191" s="4">
        <f>IF(R189=0,0,VLOOKUP(J191,J194:S224,R189,FALSE))</f>
        <v>7.1997238339159087E-17</v>
      </c>
      <c r="S191" s="4">
        <f>IF(S189=0,0,VLOOKUP(J191,J194:S224,S189,FALSE))</f>
        <v>2.7541495458811218E-15</v>
      </c>
      <c r="T191" s="1"/>
      <c r="U191" s="2">
        <f t="shared" si="136"/>
        <v>5</v>
      </c>
      <c r="V191" s="2">
        <f t="shared" si="137"/>
        <v>206</v>
      </c>
    </row>
    <row r="192" spans="1:22" x14ac:dyDescent="0.3">
      <c r="A192" s="2">
        <f t="shared" si="135"/>
        <v>5207</v>
      </c>
      <c r="B192" s="63" t="s">
        <v>14</v>
      </c>
      <c r="C192" s="63"/>
      <c r="D192" s="75">
        <v>45876</v>
      </c>
      <c r="E192" s="76"/>
      <c r="F192" s="76"/>
      <c r="G192" s="76"/>
      <c r="H192" s="77"/>
      <c r="I192" s="1"/>
      <c r="J192" s="2" t="str">
        <f>CONCATENATE(J189,3)</f>
        <v>73</v>
      </c>
      <c r="K192" s="4"/>
      <c r="L192" s="4"/>
      <c r="M192" s="4"/>
      <c r="N192" s="4" t="s">
        <v>15</v>
      </c>
      <c r="O192" s="3">
        <f>J189-2</f>
        <v>5</v>
      </c>
      <c r="P192" s="4" t="s">
        <v>16</v>
      </c>
      <c r="Q192" s="3">
        <f>VLOOKUP(J192,J194:S224,3,FALSE)</f>
        <v>3.5527136788005009E-15</v>
      </c>
      <c r="R192" s="4" t="s">
        <v>17</v>
      </c>
      <c r="S192" s="4">
        <f>VLOOKUP(J192,J194:S224,2,FALSE)</f>
        <v>1</v>
      </c>
      <c r="T192" s="1"/>
      <c r="U192" s="2">
        <f t="shared" si="136"/>
        <v>5</v>
      </c>
      <c r="V192" s="2">
        <f t="shared" si="137"/>
        <v>207</v>
      </c>
    </row>
    <row r="193" spans="1:22" x14ac:dyDescent="0.3">
      <c r="A193" s="2">
        <f t="shared" si="135"/>
        <v>5208</v>
      </c>
      <c r="B193" s="63" t="s">
        <v>18</v>
      </c>
      <c r="C193" s="63"/>
      <c r="D193" s="64">
        <v>46264</v>
      </c>
      <c r="E193" s="65"/>
      <c r="F193" s="65"/>
      <c r="G193" s="65"/>
      <c r="H193" s="66"/>
      <c r="I193" s="1"/>
      <c r="J193" s="1"/>
      <c r="K193" s="1">
        <v>3</v>
      </c>
      <c r="L193" s="1">
        <v>3</v>
      </c>
      <c r="M193" s="1"/>
      <c r="N193" s="1"/>
      <c r="O193" s="1"/>
      <c r="P193" s="1"/>
      <c r="Q193" s="1"/>
      <c r="R193" s="1"/>
      <c r="S193" s="1"/>
      <c r="T193" s="1"/>
      <c r="U193" s="2">
        <f t="shared" si="136"/>
        <v>5</v>
      </c>
      <c r="V193" s="2">
        <f t="shared" si="137"/>
        <v>208</v>
      </c>
    </row>
    <row r="194" spans="1:22" x14ac:dyDescent="0.3">
      <c r="A194" s="2">
        <f t="shared" si="135"/>
        <v>5209</v>
      </c>
      <c r="B194" s="67" t="s">
        <v>19</v>
      </c>
      <c r="C194" s="63"/>
      <c r="D194" s="5">
        <f>IF(D187="","",MIN(B201:B210))</f>
        <v>2</v>
      </c>
      <c r="E194" s="6" t="s">
        <v>20</v>
      </c>
      <c r="F194" s="5">
        <f>IF(D187="","",MAX(B201:B210))</f>
        <v>2000</v>
      </c>
      <c r="G194" s="7" t="str">
        <f>IF(D188="","",H187)</f>
        <v>kg</v>
      </c>
      <c r="H194" s="14"/>
      <c r="I194" s="1"/>
      <c r="J194" s="2" t="str">
        <f>CONCATENATE(K193,1)</f>
        <v>31</v>
      </c>
      <c r="K194" s="4">
        <f t="array" ref="K194:L196">LINEST(B201:B203,C201:C203^{1},TRUE,TRUE)</f>
        <v>1.0000000000000002</v>
      </c>
      <c r="L194" s="4">
        <v>-7.1054273576010019E-15</v>
      </c>
      <c r="M194" s="1"/>
      <c r="N194" s="1"/>
      <c r="O194" s="1"/>
      <c r="P194" s="1"/>
      <c r="Q194" s="1"/>
      <c r="R194" s="1"/>
      <c r="S194" s="1"/>
      <c r="T194" s="1"/>
      <c r="U194" s="2">
        <f t="shared" si="136"/>
        <v>5</v>
      </c>
      <c r="V194" s="2">
        <f t="shared" si="137"/>
        <v>209</v>
      </c>
    </row>
    <row r="195" spans="1:22" x14ac:dyDescent="0.3">
      <c r="A195" s="2">
        <f t="shared" si="135"/>
        <v>5210</v>
      </c>
      <c r="B195" s="1"/>
      <c r="C195" s="1"/>
      <c r="D195" s="1"/>
      <c r="E195" s="1"/>
      <c r="F195" s="1"/>
      <c r="G195" s="1"/>
      <c r="H195" s="1"/>
      <c r="I195" s="1"/>
      <c r="J195" s="2" t="str">
        <f>CONCATENATE(K193,2)</f>
        <v>32</v>
      </c>
      <c r="K195" s="4">
        <v>1.8465520505840892E-16</v>
      </c>
      <c r="L195" s="4">
        <v>1.0716367422563915E-14</v>
      </c>
      <c r="M195" s="1"/>
      <c r="N195" s="1"/>
      <c r="O195" s="1"/>
      <c r="P195" s="1"/>
      <c r="Q195" s="1"/>
      <c r="R195" s="1"/>
      <c r="S195" s="1"/>
      <c r="T195" s="1"/>
      <c r="U195" s="2">
        <f t="shared" si="136"/>
        <v>5</v>
      </c>
      <c r="V195" s="2">
        <f t="shared" si="137"/>
        <v>210</v>
      </c>
    </row>
    <row r="196" spans="1:22" x14ac:dyDescent="0.3">
      <c r="A196" s="2">
        <f t="shared" si="135"/>
        <v>5211</v>
      </c>
      <c r="B196" s="68" t="s">
        <v>21</v>
      </c>
      <c r="C196" s="68"/>
      <c r="D196" s="68"/>
      <c r="E196" s="68"/>
      <c r="F196" s="68"/>
      <c r="G196" s="69" t="s">
        <v>22</v>
      </c>
      <c r="H196" s="70"/>
      <c r="I196" s="1"/>
      <c r="J196" s="2" t="str">
        <f>CONCATENATE(K193,3)</f>
        <v>33</v>
      </c>
      <c r="K196" s="4">
        <v>1</v>
      </c>
      <c r="L196" s="4">
        <v>1.4210854715202004E-14</v>
      </c>
      <c r="M196" s="1"/>
      <c r="N196" s="1"/>
      <c r="O196" s="1"/>
      <c r="P196" s="1"/>
      <c r="Q196" s="1"/>
      <c r="R196" s="1"/>
      <c r="S196" s="1"/>
      <c r="T196" s="1"/>
      <c r="U196" s="2">
        <f t="shared" si="136"/>
        <v>5</v>
      </c>
      <c r="V196" s="2">
        <f t="shared" si="137"/>
        <v>211</v>
      </c>
    </row>
    <row r="197" spans="1:22" x14ac:dyDescent="0.3">
      <c r="A197" s="2">
        <f t="shared" si="135"/>
        <v>5212</v>
      </c>
      <c r="B197" s="61" t="s">
        <v>23</v>
      </c>
      <c r="C197" s="61"/>
      <c r="D197" s="61"/>
      <c r="E197" s="61" t="str">
        <f>D191</f>
        <v>M0075/25</v>
      </c>
      <c r="F197" s="61"/>
      <c r="G197" s="4" t="s">
        <v>24</v>
      </c>
      <c r="H197" s="31" t="s">
        <v>95</v>
      </c>
      <c r="I197" s="1"/>
      <c r="J197" s="1"/>
      <c r="K197" s="1">
        <v>4</v>
      </c>
      <c r="L197" s="1">
        <v>4</v>
      </c>
      <c r="M197" s="1">
        <v>4</v>
      </c>
      <c r="N197" s="1"/>
      <c r="O197" s="1"/>
      <c r="P197" s="1"/>
      <c r="Q197" s="1"/>
      <c r="R197" s="1"/>
      <c r="S197" s="1"/>
      <c r="T197" s="1"/>
      <c r="U197" s="2">
        <f t="shared" si="136"/>
        <v>5</v>
      </c>
      <c r="V197" s="2">
        <f t="shared" si="137"/>
        <v>212</v>
      </c>
    </row>
    <row r="198" spans="1:22" x14ac:dyDescent="0.3">
      <c r="A198" s="2">
        <f t="shared" si="135"/>
        <v>5213</v>
      </c>
      <c r="B198" s="59" t="s">
        <v>25</v>
      </c>
      <c r="C198" s="59" t="s">
        <v>26</v>
      </c>
      <c r="D198" s="59" t="s">
        <v>27</v>
      </c>
      <c r="E198" s="59" t="s">
        <v>28</v>
      </c>
      <c r="F198" s="59" t="s">
        <v>29</v>
      </c>
      <c r="G198" s="59" t="s">
        <v>25</v>
      </c>
      <c r="H198" s="59" t="s">
        <v>26</v>
      </c>
      <c r="I198" s="1"/>
      <c r="J198" s="2" t="str">
        <f t="shared" ref="J198" si="145">CONCATENATE(K197,1)</f>
        <v>41</v>
      </c>
      <c r="K198" s="4">
        <f t="array" ref="K198:M200">LINEST(B201:B204,C201:C204^{1,2},TRUE,TRUE)</f>
        <v>-7.978248543284114E-19</v>
      </c>
      <c r="L198" s="4">
        <v>1.0000000000000004</v>
      </c>
      <c r="M198" s="4">
        <v>-4.9640598832487371E-15</v>
      </c>
      <c r="N198" s="1"/>
      <c r="O198" s="1"/>
      <c r="P198" s="1"/>
      <c r="Q198" s="1"/>
      <c r="R198" s="1"/>
      <c r="S198" s="1"/>
      <c r="T198" s="1"/>
      <c r="U198" s="2">
        <f t="shared" si="136"/>
        <v>5</v>
      </c>
      <c r="V198" s="2">
        <f t="shared" si="137"/>
        <v>213</v>
      </c>
    </row>
    <row r="199" spans="1:22" x14ac:dyDescent="0.3">
      <c r="A199" s="2">
        <f t="shared" si="135"/>
        <v>5214</v>
      </c>
      <c r="B199" s="60"/>
      <c r="C199" s="60"/>
      <c r="D199" s="60"/>
      <c r="E199" s="60"/>
      <c r="F199" s="60"/>
      <c r="G199" s="60"/>
      <c r="H199" s="60"/>
      <c r="I199" s="1"/>
      <c r="J199" s="2" t="str">
        <f t="shared" ref="J199" si="146">CONCATENATE(K197,2)</f>
        <v>42</v>
      </c>
      <c r="K199" s="4">
        <v>6.8676243449124427E-21</v>
      </c>
      <c r="L199" s="4">
        <v>3.5977835726511009E-18</v>
      </c>
      <c r="M199" s="4">
        <v>1.6963389970880291E-16</v>
      </c>
      <c r="N199" s="1"/>
      <c r="O199" s="1"/>
      <c r="P199" s="1"/>
      <c r="Q199" s="1"/>
      <c r="R199" s="1"/>
      <c r="S199" s="1"/>
      <c r="T199" s="1"/>
      <c r="U199" s="2">
        <f t="shared" si="136"/>
        <v>5</v>
      </c>
      <c r="V199" s="2">
        <f t="shared" si="137"/>
        <v>214</v>
      </c>
    </row>
    <row r="200" spans="1:22" x14ac:dyDescent="0.3">
      <c r="A200" s="2">
        <f t="shared" si="135"/>
        <v>5215</v>
      </c>
      <c r="B200" s="9" t="str">
        <f>CONCATENATE("(",H187,")")</f>
        <v>(kg)</v>
      </c>
      <c r="C200" s="9" t="str">
        <f>B200</f>
        <v>(kg)</v>
      </c>
      <c r="D200" s="9" t="str">
        <f>C200</f>
        <v>(kg)</v>
      </c>
      <c r="E200" s="9"/>
      <c r="F200" s="9"/>
      <c r="G200" s="9" t="str">
        <f>B200</f>
        <v>(kg)</v>
      </c>
      <c r="H200" s="9" t="str">
        <f>G200</f>
        <v>(kg)</v>
      </c>
      <c r="I200" s="1"/>
      <c r="J200" s="2" t="str">
        <f t="shared" ref="J200" si="147">CONCATENATE(K197,3)</f>
        <v>43</v>
      </c>
      <c r="K200" s="4">
        <v>1</v>
      </c>
      <c r="L200" s="4">
        <v>2.2204460492503131E-16</v>
      </c>
      <c r="M200" s="4" t="e">
        <v>#N/A</v>
      </c>
      <c r="N200" s="1"/>
      <c r="O200" s="1"/>
      <c r="P200" s="1"/>
      <c r="Q200" s="1"/>
      <c r="R200" s="1"/>
      <c r="S200" s="1"/>
      <c r="T200" s="1"/>
      <c r="U200" s="2">
        <f t="shared" si="136"/>
        <v>5</v>
      </c>
      <c r="V200" s="2">
        <f t="shared" si="137"/>
        <v>215</v>
      </c>
    </row>
    <row r="201" spans="1:22" x14ac:dyDescent="0.3">
      <c r="A201" s="2">
        <f t="shared" si="135"/>
        <v>5216</v>
      </c>
      <c r="B201" s="10">
        <v>2</v>
      </c>
      <c r="C201" s="10">
        <v>2</v>
      </c>
      <c r="D201" s="10">
        <v>0.1</v>
      </c>
      <c r="E201" s="10">
        <v>2</v>
      </c>
      <c r="F201" s="10">
        <v>1000000</v>
      </c>
      <c r="G201" s="8">
        <v>2</v>
      </c>
      <c r="H201" s="8">
        <v>2</v>
      </c>
      <c r="I201" s="1"/>
      <c r="J201" s="1"/>
      <c r="K201" s="1">
        <v>5</v>
      </c>
      <c r="L201" s="1">
        <v>5</v>
      </c>
      <c r="M201" s="1">
        <v>5</v>
      </c>
      <c r="N201" s="1">
        <v>5</v>
      </c>
      <c r="O201" s="1"/>
      <c r="P201" s="1"/>
      <c r="Q201" s="1"/>
      <c r="R201" s="1"/>
      <c r="S201" s="1"/>
      <c r="T201" s="1"/>
      <c r="U201" s="2">
        <f t="shared" si="136"/>
        <v>5</v>
      </c>
      <c r="V201" s="2">
        <f t="shared" si="137"/>
        <v>216</v>
      </c>
    </row>
    <row r="202" spans="1:22" x14ac:dyDescent="0.3">
      <c r="A202" s="2">
        <f t="shared" si="135"/>
        <v>5217</v>
      </c>
      <c r="B202" s="10">
        <v>10</v>
      </c>
      <c r="C202" s="10">
        <v>10</v>
      </c>
      <c r="D202" s="10">
        <v>0.1</v>
      </c>
      <c r="E202" s="10">
        <v>2</v>
      </c>
      <c r="F202" s="10">
        <v>1000000</v>
      </c>
      <c r="G202" s="8">
        <v>10</v>
      </c>
      <c r="H202" s="8">
        <v>10</v>
      </c>
      <c r="I202" s="1"/>
      <c r="J202" s="2" t="str">
        <f t="shared" ref="J202" si="148">CONCATENATE(K201,1)</f>
        <v>51</v>
      </c>
      <c r="K202" s="4">
        <f t="array" ref="K202:N204">LINEST(B201:B205,C201:C205^{1,2,3},TRUE,TRUE)</f>
        <v>6.5116096556314521E-22</v>
      </c>
      <c r="L202" s="4">
        <v>-1.045205937109696E-18</v>
      </c>
      <c r="M202" s="4">
        <v>1.0000000000000004</v>
      </c>
      <c r="N202" s="4">
        <v>-5.3758200866159768E-14</v>
      </c>
      <c r="O202" s="1"/>
      <c r="P202" s="1"/>
      <c r="Q202" s="1"/>
      <c r="R202" s="1"/>
      <c r="S202" s="1"/>
      <c r="T202" s="1"/>
      <c r="U202" s="2">
        <f t="shared" si="136"/>
        <v>5</v>
      </c>
      <c r="V202" s="2">
        <f t="shared" si="137"/>
        <v>217</v>
      </c>
    </row>
    <row r="203" spans="1:22" x14ac:dyDescent="0.3">
      <c r="A203" s="2">
        <f t="shared" si="135"/>
        <v>5218</v>
      </c>
      <c r="B203" s="10">
        <v>100</v>
      </c>
      <c r="C203" s="10">
        <v>100</v>
      </c>
      <c r="D203" s="10">
        <v>0.1</v>
      </c>
      <c r="E203" s="10">
        <v>2</v>
      </c>
      <c r="F203" s="10">
        <v>1000000</v>
      </c>
      <c r="G203" s="8">
        <v>500</v>
      </c>
      <c r="H203" s="8">
        <v>500</v>
      </c>
      <c r="I203" s="1"/>
      <c r="J203" s="2" t="str">
        <f t="shared" ref="J203" si="149">CONCATENATE(K201,2)</f>
        <v>52</v>
      </c>
      <c r="K203" s="4">
        <v>6.1618353615038694E-23</v>
      </c>
      <c r="L203" s="4">
        <v>9.1965020656872539E-20</v>
      </c>
      <c r="M203" s="4">
        <v>3.1925880099569239E-17</v>
      </c>
      <c r="N203" s="4">
        <v>1.3661180058033767E-15</v>
      </c>
      <c r="O203" s="1"/>
      <c r="P203" s="1"/>
      <c r="Q203" s="1"/>
      <c r="R203" s="1"/>
      <c r="S203" s="1"/>
      <c r="T203" s="1"/>
      <c r="U203" s="2">
        <f t="shared" si="136"/>
        <v>5</v>
      </c>
      <c r="V203" s="2">
        <f t="shared" si="137"/>
        <v>218</v>
      </c>
    </row>
    <row r="204" spans="1:22" x14ac:dyDescent="0.3">
      <c r="A204" s="2">
        <f t="shared" si="135"/>
        <v>5219</v>
      </c>
      <c r="B204" s="10">
        <v>500</v>
      </c>
      <c r="C204" s="10">
        <v>500</v>
      </c>
      <c r="D204" s="10">
        <v>0.1</v>
      </c>
      <c r="E204" s="10">
        <v>2</v>
      </c>
      <c r="F204" s="10">
        <v>1000000</v>
      </c>
      <c r="G204" s="8">
        <v>1000</v>
      </c>
      <c r="H204" s="8">
        <v>1000</v>
      </c>
      <c r="I204" s="1"/>
      <c r="J204" s="2" t="str">
        <f t="shared" ref="J204" si="150">CONCATENATE(K201,3)</f>
        <v>53</v>
      </c>
      <c r="K204" s="4">
        <v>1</v>
      </c>
      <c r="L204" s="4">
        <v>1.7763568394002505E-15</v>
      </c>
      <c r="M204" s="4" t="e">
        <v>#N/A</v>
      </c>
      <c r="N204" s="4" t="e">
        <v>#N/A</v>
      </c>
      <c r="O204" s="1"/>
      <c r="P204" s="1"/>
      <c r="Q204" s="1"/>
      <c r="R204" s="1"/>
      <c r="S204" s="1"/>
      <c r="T204" s="1"/>
      <c r="U204" s="2">
        <f t="shared" si="136"/>
        <v>5</v>
      </c>
      <c r="V204" s="2">
        <f t="shared" si="137"/>
        <v>219</v>
      </c>
    </row>
    <row r="205" spans="1:22" x14ac:dyDescent="0.3">
      <c r="A205" s="2">
        <f t="shared" si="135"/>
        <v>5220</v>
      </c>
      <c r="B205" s="10">
        <v>1000</v>
      </c>
      <c r="C205" s="10">
        <v>1000</v>
      </c>
      <c r="D205" s="10">
        <v>0.1</v>
      </c>
      <c r="E205" s="10">
        <v>2</v>
      </c>
      <c r="F205" s="10">
        <v>1000000</v>
      </c>
      <c r="G205" s="8">
        <v>1500</v>
      </c>
      <c r="H205" s="8">
        <v>1500</v>
      </c>
      <c r="I205" s="1"/>
      <c r="J205" s="1"/>
      <c r="K205" s="1">
        <v>6</v>
      </c>
      <c r="L205" s="1">
        <v>6</v>
      </c>
      <c r="M205" s="1">
        <v>6</v>
      </c>
      <c r="N205" s="1">
        <v>6</v>
      </c>
      <c r="O205" s="1">
        <v>6</v>
      </c>
      <c r="P205" s="1"/>
      <c r="Q205" s="1"/>
      <c r="R205" s="1"/>
      <c r="S205" s="1"/>
      <c r="T205" s="1"/>
      <c r="U205" s="2">
        <f t="shared" si="136"/>
        <v>5</v>
      </c>
      <c r="V205" s="2">
        <f t="shared" si="137"/>
        <v>220</v>
      </c>
    </row>
    <row r="206" spans="1:22" x14ac:dyDescent="0.3">
      <c r="A206" s="2">
        <f t="shared" si="135"/>
        <v>5221</v>
      </c>
      <c r="B206" s="10">
        <v>1500</v>
      </c>
      <c r="C206" s="10">
        <v>1500</v>
      </c>
      <c r="D206" s="10">
        <v>0.2</v>
      </c>
      <c r="E206" s="10">
        <v>2</v>
      </c>
      <c r="F206" s="10">
        <v>1000000</v>
      </c>
      <c r="G206" s="8">
        <v>2000</v>
      </c>
      <c r="H206" s="8">
        <v>2000</v>
      </c>
      <c r="I206" s="1"/>
      <c r="J206" s="2" t="str">
        <f t="shared" ref="J206" si="151">CONCATENATE(K205,1)</f>
        <v>61</v>
      </c>
      <c r="K206" s="4">
        <f t="array" ref="K206:O208">LINEST(B201:B206,C201:C206^{1,2,3,4},TRUE,TRUE)</f>
        <v>1.5109820418082194E-25</v>
      </c>
      <c r="L206" s="4">
        <v>-3.8190960107219343E-22</v>
      </c>
      <c r="M206" s="4">
        <v>3.9321855813461819E-19</v>
      </c>
      <c r="N206" s="4">
        <v>0.99999999999999989</v>
      </c>
      <c r="O206" s="4">
        <v>1.5894479999434744E-14</v>
      </c>
      <c r="P206" s="1"/>
      <c r="Q206" s="1"/>
      <c r="R206" s="1"/>
      <c r="S206" s="1"/>
      <c r="T206" s="1"/>
      <c r="U206" s="2">
        <f t="shared" si="136"/>
        <v>5</v>
      </c>
      <c r="V206" s="2">
        <f t="shared" si="137"/>
        <v>221</v>
      </c>
    </row>
    <row r="207" spans="1:22" x14ac:dyDescent="0.3">
      <c r="A207" s="2">
        <f t="shared" si="135"/>
        <v>5222</v>
      </c>
      <c r="B207" s="10">
        <v>2000</v>
      </c>
      <c r="C207" s="10">
        <v>2000</v>
      </c>
      <c r="D207" s="10">
        <v>0.2</v>
      </c>
      <c r="E207" s="10">
        <v>2</v>
      </c>
      <c r="F207" s="10">
        <v>1000000</v>
      </c>
      <c r="G207" s="8">
        <v>3000</v>
      </c>
      <c r="H207" s="8">
        <v>3000.1</v>
      </c>
      <c r="I207" s="1"/>
      <c r="J207" s="2" t="str">
        <f t="shared" ref="J207" si="152">CONCATENATE(K205,2)</f>
        <v>62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1"/>
      <c r="Q207" s="1"/>
      <c r="R207" s="1"/>
      <c r="S207" s="1"/>
      <c r="T207" s="1"/>
      <c r="U207" s="2">
        <f t="shared" si="136"/>
        <v>5</v>
      </c>
      <c r="V207" s="2">
        <f t="shared" si="137"/>
        <v>222</v>
      </c>
    </row>
    <row r="208" spans="1:22" x14ac:dyDescent="0.3">
      <c r="A208" s="2">
        <f t="shared" si="135"/>
        <v>5223</v>
      </c>
      <c r="B208" s="10"/>
      <c r="C208" s="10"/>
      <c r="D208" s="10"/>
      <c r="E208" s="10"/>
      <c r="F208" s="10"/>
      <c r="G208" s="8"/>
      <c r="H208" s="8"/>
      <c r="I208" s="1"/>
      <c r="J208" s="2" t="str">
        <f t="shared" ref="J208" si="153">CONCATENATE(K205,3)</f>
        <v>63</v>
      </c>
      <c r="K208" s="4">
        <v>1</v>
      </c>
      <c r="L208" s="4">
        <v>0</v>
      </c>
      <c r="M208" s="4" t="e">
        <v>#N/A</v>
      </c>
      <c r="N208" s="4" t="e">
        <v>#N/A</v>
      </c>
      <c r="O208" s="4" t="e">
        <v>#N/A</v>
      </c>
      <c r="P208" s="1"/>
      <c r="Q208" s="1"/>
      <c r="R208" s="1"/>
      <c r="S208" s="1"/>
      <c r="T208" s="1"/>
      <c r="U208" s="2">
        <f t="shared" si="136"/>
        <v>5</v>
      </c>
      <c r="V208" s="2">
        <f t="shared" si="137"/>
        <v>223</v>
      </c>
    </row>
    <row r="209" spans="1:22" x14ac:dyDescent="0.3">
      <c r="A209" s="2">
        <f t="shared" si="135"/>
        <v>5224</v>
      </c>
      <c r="B209" s="10"/>
      <c r="C209" s="10"/>
      <c r="D209" s="10"/>
      <c r="E209" s="10"/>
      <c r="F209" s="10"/>
      <c r="G209" s="8"/>
      <c r="H209" s="8"/>
      <c r="I209" s="1"/>
      <c r="J209" s="1"/>
      <c r="K209" s="1">
        <v>7</v>
      </c>
      <c r="L209" s="1">
        <v>7</v>
      </c>
      <c r="M209" s="1">
        <v>7</v>
      </c>
      <c r="N209" s="1">
        <v>7</v>
      </c>
      <c r="O209" s="1">
        <v>7</v>
      </c>
      <c r="P209" s="1">
        <v>7</v>
      </c>
      <c r="Q209" s="1"/>
      <c r="R209" s="1"/>
      <c r="S209" s="1"/>
      <c r="T209" s="1"/>
      <c r="U209" s="2">
        <f t="shared" si="136"/>
        <v>5</v>
      </c>
      <c r="V209" s="2">
        <f t="shared" si="137"/>
        <v>224</v>
      </c>
    </row>
    <row r="210" spans="1:22" x14ac:dyDescent="0.3">
      <c r="A210" s="2">
        <f t="shared" si="135"/>
        <v>5225</v>
      </c>
      <c r="B210" s="10"/>
      <c r="C210" s="10"/>
      <c r="D210" s="10"/>
      <c r="E210" s="10"/>
      <c r="F210" s="10"/>
      <c r="G210" s="8"/>
      <c r="H210" s="8"/>
      <c r="I210" s="1"/>
      <c r="J210" s="2" t="str">
        <f t="shared" ref="J210" si="154">CONCATENATE(K209,1)</f>
        <v>71</v>
      </c>
      <c r="K210" s="4">
        <f t="array" ref="K210:P212">LINEST(B201:B207,C201:C207^{1,2,3,4,5},TRUE,TRUE)</f>
        <v>-2.8908590285271261E-28</v>
      </c>
      <c r="L210" s="4">
        <v>1.449314614905316E-24</v>
      </c>
      <c r="M210" s="4">
        <v>-2.681199227547383E-21</v>
      </c>
      <c r="N210" s="4">
        <v>2.1455088288790807E-18</v>
      </c>
      <c r="O210" s="4">
        <v>0.99999999999999944</v>
      </c>
      <c r="P210" s="4">
        <v>3.797116544932212E-14</v>
      </c>
      <c r="Q210" s="1"/>
      <c r="R210" s="1"/>
      <c r="S210" s="1"/>
      <c r="T210" s="1"/>
      <c r="U210" s="2">
        <f t="shared" si="136"/>
        <v>5</v>
      </c>
      <c r="V210" s="2">
        <f t="shared" si="137"/>
        <v>225</v>
      </c>
    </row>
    <row r="211" spans="1:22" x14ac:dyDescent="0.3">
      <c r="A211" s="2">
        <f t="shared" si="135"/>
        <v>5226</v>
      </c>
      <c r="B211" s="61" t="s">
        <v>44</v>
      </c>
      <c r="C211" s="61"/>
      <c r="D211" s="61"/>
      <c r="E211" s="61"/>
      <c r="F211" s="61"/>
      <c r="G211" s="61"/>
      <c r="H211" s="61"/>
      <c r="I211" s="1"/>
      <c r="J211" s="2" t="str">
        <f t="shared" ref="J211" si="155">CONCATENATE(K209,2)</f>
        <v>72</v>
      </c>
      <c r="K211" s="4">
        <v>5.2325714284553222E-29</v>
      </c>
      <c r="L211" s="4">
        <v>2.5312867050887943E-25</v>
      </c>
      <c r="M211" s="4">
        <v>4.2651776050133978E-22</v>
      </c>
      <c r="N211" s="4">
        <v>2.943267535891274E-19</v>
      </c>
      <c r="O211" s="4">
        <v>7.1997238339159087E-17</v>
      </c>
      <c r="P211" s="4">
        <v>2.7541495458811218E-15</v>
      </c>
      <c r="Q211" s="1"/>
      <c r="R211" s="1"/>
      <c r="S211" s="1"/>
      <c r="T211" s="1"/>
      <c r="U211" s="2">
        <f t="shared" si="136"/>
        <v>5</v>
      </c>
      <c r="V211" s="2">
        <f t="shared" si="137"/>
        <v>226</v>
      </c>
    </row>
    <row r="212" spans="1:22" x14ac:dyDescent="0.3">
      <c r="A212" s="2">
        <f t="shared" si="135"/>
        <v>5227</v>
      </c>
      <c r="B212" s="4" t="s">
        <v>45</v>
      </c>
      <c r="C212" s="4" t="s">
        <v>46</v>
      </c>
      <c r="D212" s="4" t="s">
        <v>47</v>
      </c>
      <c r="E212" s="4" t="s">
        <v>48</v>
      </c>
      <c r="F212" s="4" t="s">
        <v>49</v>
      </c>
      <c r="G212" s="4" t="s">
        <v>50</v>
      </c>
      <c r="H212" s="4" t="s">
        <v>46</v>
      </c>
      <c r="I212" s="1"/>
      <c r="J212" s="2" t="str">
        <f t="shared" ref="J212" si="156">CONCATENATE(K209,3)</f>
        <v>73</v>
      </c>
      <c r="K212" s="4">
        <v>1</v>
      </c>
      <c r="L212" s="4">
        <v>3.5527136788005009E-15</v>
      </c>
      <c r="M212" s="4" t="e">
        <v>#N/A</v>
      </c>
      <c r="N212" s="4" t="e">
        <v>#N/A</v>
      </c>
      <c r="O212" s="4" t="e">
        <v>#N/A</v>
      </c>
      <c r="P212" s="4" t="e">
        <v>#N/A</v>
      </c>
      <c r="Q212" s="1"/>
      <c r="R212" s="1"/>
      <c r="S212" s="1"/>
      <c r="T212" s="1"/>
      <c r="U212" s="2">
        <f t="shared" si="136"/>
        <v>5</v>
      </c>
      <c r="V212" s="2">
        <f t="shared" si="137"/>
        <v>227</v>
      </c>
    </row>
    <row r="213" spans="1:22" x14ac:dyDescent="0.3">
      <c r="A213" s="2">
        <f t="shared" si="135"/>
        <v>5228</v>
      </c>
      <c r="B213" s="10">
        <v>700</v>
      </c>
      <c r="C213" s="10">
        <v>700</v>
      </c>
      <c r="D213" s="10">
        <v>700</v>
      </c>
      <c r="E213" s="10">
        <v>700</v>
      </c>
      <c r="F213" s="10">
        <v>700</v>
      </c>
      <c r="G213" s="10">
        <v>700</v>
      </c>
      <c r="H213" s="10">
        <v>700</v>
      </c>
      <c r="I213" s="1"/>
      <c r="J213" s="1"/>
      <c r="K213" s="1">
        <v>8</v>
      </c>
      <c r="L213" s="1">
        <v>8</v>
      </c>
      <c r="M213" s="1">
        <v>8</v>
      </c>
      <c r="N213" s="1">
        <v>8</v>
      </c>
      <c r="O213" s="1">
        <v>8</v>
      </c>
      <c r="P213" s="1">
        <v>8</v>
      </c>
      <c r="Q213" s="1">
        <v>8</v>
      </c>
      <c r="R213" s="1"/>
      <c r="S213" s="1"/>
      <c r="T213" s="1"/>
      <c r="U213" s="2">
        <f t="shared" si="136"/>
        <v>5</v>
      </c>
      <c r="V213" s="2">
        <f t="shared" si="137"/>
        <v>228</v>
      </c>
    </row>
    <row r="214" spans="1:22" x14ac:dyDescent="0.3">
      <c r="A214" s="2">
        <f t="shared" si="135"/>
        <v>5229</v>
      </c>
      <c r="I214" s="1"/>
      <c r="J214" s="2" t="str">
        <f t="shared" ref="J214" si="157">CONCATENATE(K213,1)</f>
        <v>81</v>
      </c>
      <c r="K214" s="4" t="e">
        <f t="array" ref="K214:Q216">LINEST(B201:B208,C201:C208^{1,2,3,4,5,6},TRUE,TRUE)</f>
        <v>#VALUE!</v>
      </c>
      <c r="L214" s="4" t="e">
        <v>#VALUE!</v>
      </c>
      <c r="M214" s="4" t="e">
        <v>#VALUE!</v>
      </c>
      <c r="N214" s="4" t="e">
        <v>#VALUE!</v>
      </c>
      <c r="O214" s="4" t="e">
        <v>#VALUE!</v>
      </c>
      <c r="P214" s="4" t="e">
        <v>#VALUE!</v>
      </c>
      <c r="Q214" s="4" t="e">
        <v>#VALUE!</v>
      </c>
      <c r="R214" s="1"/>
      <c r="S214" s="1"/>
      <c r="T214" s="1"/>
      <c r="U214" s="2">
        <f t="shared" si="136"/>
        <v>5</v>
      </c>
      <c r="V214" s="2">
        <f t="shared" si="137"/>
        <v>229</v>
      </c>
    </row>
    <row r="215" spans="1:22" x14ac:dyDescent="0.3">
      <c r="A215" s="2">
        <f t="shared" si="135"/>
        <v>5230</v>
      </c>
      <c r="B215" s="58" t="s">
        <v>30</v>
      </c>
      <c r="C215" s="58"/>
      <c r="D215" s="58"/>
      <c r="E215" s="58"/>
      <c r="F215" s="58"/>
      <c r="G215" s="58"/>
      <c r="H215" s="58"/>
      <c r="I215" s="1"/>
      <c r="J215" s="2" t="str">
        <f t="shared" ref="J215" si="158">CONCATENATE(K213,2)</f>
        <v>82</v>
      </c>
      <c r="K215" s="4" t="e">
        <v>#VALUE!</v>
      </c>
      <c r="L215" s="4" t="e">
        <v>#VALUE!</v>
      </c>
      <c r="M215" s="4" t="e">
        <v>#VALUE!</v>
      </c>
      <c r="N215" s="4" t="e">
        <v>#VALUE!</v>
      </c>
      <c r="O215" s="4" t="e">
        <v>#VALUE!</v>
      </c>
      <c r="P215" s="4" t="e">
        <v>#VALUE!</v>
      </c>
      <c r="Q215" s="4" t="e">
        <v>#VALUE!</v>
      </c>
      <c r="R215" s="1"/>
      <c r="S215" s="1"/>
      <c r="T215" s="1"/>
      <c r="U215" s="2">
        <f t="shared" si="136"/>
        <v>5</v>
      </c>
      <c r="V215" s="2">
        <f t="shared" si="137"/>
        <v>230</v>
      </c>
    </row>
    <row r="216" spans="1:22" x14ac:dyDescent="0.3">
      <c r="A216" s="2">
        <f t="shared" si="135"/>
        <v>5231</v>
      </c>
      <c r="B216" s="62"/>
      <c r="C216" s="62"/>
      <c r="D216" s="62"/>
      <c r="E216" s="62"/>
      <c r="F216" s="62"/>
      <c r="G216" s="62"/>
      <c r="H216" s="62"/>
      <c r="I216" s="1"/>
      <c r="J216" s="2" t="str">
        <f t="shared" ref="J216" si="159">CONCATENATE(K213,3)</f>
        <v>83</v>
      </c>
      <c r="K216" s="4" t="e">
        <v>#VALUE!</v>
      </c>
      <c r="L216" s="4" t="e">
        <v>#VALUE!</v>
      </c>
      <c r="M216" s="4" t="e">
        <v>#VALUE!</v>
      </c>
      <c r="N216" s="4" t="e">
        <v>#VALUE!</v>
      </c>
      <c r="O216" s="4" t="e">
        <v>#VALUE!</v>
      </c>
      <c r="P216" s="4" t="e">
        <v>#VALUE!</v>
      </c>
      <c r="Q216" s="4" t="e">
        <v>#VALUE!</v>
      </c>
      <c r="R216" s="1"/>
      <c r="S216" s="1"/>
      <c r="T216" s="1"/>
      <c r="U216" s="2">
        <f t="shared" si="136"/>
        <v>5</v>
      </c>
      <c r="V216" s="2">
        <f t="shared" si="137"/>
        <v>231</v>
      </c>
    </row>
    <row r="217" spans="1:22" x14ac:dyDescent="0.3">
      <c r="A217" s="2">
        <f t="shared" si="135"/>
        <v>5232</v>
      </c>
      <c r="B217" s="62"/>
      <c r="C217" s="62"/>
      <c r="D217" s="62"/>
      <c r="E217" s="62"/>
      <c r="F217" s="62"/>
      <c r="G217" s="62"/>
      <c r="H217" s="62"/>
      <c r="I217" s="1"/>
      <c r="J217" s="1"/>
      <c r="K217" s="1">
        <v>9</v>
      </c>
      <c r="L217" s="1">
        <v>9</v>
      </c>
      <c r="M217" s="1">
        <v>9</v>
      </c>
      <c r="N217" s="1">
        <v>9</v>
      </c>
      <c r="O217" s="1">
        <v>9</v>
      </c>
      <c r="P217" s="1">
        <v>9</v>
      </c>
      <c r="Q217" s="1">
        <v>9</v>
      </c>
      <c r="R217" s="1">
        <v>9</v>
      </c>
      <c r="S217" s="1"/>
      <c r="T217" s="1"/>
      <c r="U217" s="2">
        <f t="shared" si="136"/>
        <v>5</v>
      </c>
      <c r="V217" s="2">
        <f t="shared" si="137"/>
        <v>232</v>
      </c>
    </row>
    <row r="218" spans="1:22" x14ac:dyDescent="0.3">
      <c r="A218" s="2">
        <f t="shared" si="135"/>
        <v>5233</v>
      </c>
      <c r="B218" s="1"/>
      <c r="C218" s="1"/>
      <c r="D218" s="1"/>
      <c r="E218" s="1"/>
      <c r="F218" s="1"/>
      <c r="G218" s="1"/>
      <c r="H218" s="1"/>
      <c r="I218" s="1"/>
      <c r="J218" s="2" t="str">
        <f t="shared" ref="J218" si="160">CONCATENATE(K217,1)</f>
        <v>91</v>
      </c>
      <c r="K218" s="4" t="e">
        <f t="array" ref="K218:R220">LINEST(B201:B209,C201:C209^{1,2,3,4,5,6,7},TRUE,TRUE)</f>
        <v>#VALUE!</v>
      </c>
      <c r="L218" s="4" t="e">
        <v>#VALUE!</v>
      </c>
      <c r="M218" s="4" t="e">
        <v>#VALUE!</v>
      </c>
      <c r="N218" s="4" t="e">
        <v>#VALUE!</v>
      </c>
      <c r="O218" s="4" t="e">
        <v>#VALUE!</v>
      </c>
      <c r="P218" s="4" t="e">
        <v>#VALUE!</v>
      </c>
      <c r="Q218" s="4" t="e">
        <v>#VALUE!</v>
      </c>
      <c r="R218" s="4" t="e">
        <v>#VALUE!</v>
      </c>
      <c r="S218" s="1"/>
      <c r="T218" s="1"/>
      <c r="U218" s="2">
        <f t="shared" si="136"/>
        <v>5</v>
      </c>
      <c r="V218" s="2">
        <f t="shared" si="137"/>
        <v>233</v>
      </c>
    </row>
    <row r="219" spans="1:22" x14ac:dyDescent="0.3">
      <c r="A219" s="2">
        <f t="shared" si="135"/>
        <v>5234</v>
      </c>
      <c r="B219" s="5" t="s">
        <v>31</v>
      </c>
      <c r="C219" s="5" t="s">
        <v>32</v>
      </c>
      <c r="D219" s="5" t="s">
        <v>33</v>
      </c>
      <c r="E219" s="4" t="s">
        <v>34</v>
      </c>
      <c r="F219" s="57" t="s">
        <v>35</v>
      </c>
      <c r="G219" s="58"/>
      <c r="H219" s="58"/>
      <c r="I219" s="1"/>
      <c r="J219" s="2" t="str">
        <f t="shared" ref="J219" si="161">CONCATENATE(K217,2)</f>
        <v>92</v>
      </c>
      <c r="K219" s="4" t="e">
        <v>#VALUE!</v>
      </c>
      <c r="L219" s="4" t="e">
        <v>#VALUE!</v>
      </c>
      <c r="M219" s="4" t="e">
        <v>#VALUE!</v>
      </c>
      <c r="N219" s="4" t="e">
        <v>#VALUE!</v>
      </c>
      <c r="O219" s="4" t="e">
        <v>#VALUE!</v>
      </c>
      <c r="P219" s="4" t="e">
        <v>#VALUE!</v>
      </c>
      <c r="Q219" s="4" t="e">
        <v>#VALUE!</v>
      </c>
      <c r="R219" s="4" t="e">
        <v>#VALUE!</v>
      </c>
      <c r="S219" s="1"/>
      <c r="T219" s="1"/>
      <c r="U219" s="2">
        <f t="shared" si="136"/>
        <v>5</v>
      </c>
      <c r="V219" s="2">
        <f t="shared" si="137"/>
        <v>234</v>
      </c>
    </row>
    <row r="220" spans="1:22" x14ac:dyDescent="0.3">
      <c r="A220" s="2">
        <f t="shared" si="135"/>
        <v>5235</v>
      </c>
      <c r="B220" s="5">
        <f t="shared" ref="B220:B229" si="162">C201-B201</f>
        <v>0</v>
      </c>
      <c r="C220" s="5">
        <f t="shared" ref="C220:C229" si="163">H201-G201</f>
        <v>0</v>
      </c>
      <c r="D220" s="5">
        <f>C220-B220</f>
        <v>0</v>
      </c>
      <c r="E220" s="4">
        <f t="shared" ref="E220:E229" si="164">D201</f>
        <v>0.1</v>
      </c>
      <c r="F220" s="11">
        <f>IF(D188="","",MAX(G220,H220))</f>
        <v>9.9999999999909051E-2</v>
      </c>
      <c r="G220" s="5">
        <f>ABS(MIN(D220:D229))</f>
        <v>0</v>
      </c>
      <c r="H220" s="5">
        <f>ABS(MAX(D220:D229))</f>
        <v>9.9999999999909051E-2</v>
      </c>
      <c r="I220" s="1"/>
      <c r="J220" s="2" t="str">
        <f t="shared" ref="J220" si="165">CONCATENATE(K217,3)</f>
        <v>93</v>
      </c>
      <c r="K220" s="4" t="e">
        <v>#VALUE!</v>
      </c>
      <c r="L220" s="4" t="e">
        <v>#VALUE!</v>
      </c>
      <c r="M220" s="4" t="e">
        <v>#VALUE!</v>
      </c>
      <c r="N220" s="4" t="e">
        <v>#VALUE!</v>
      </c>
      <c r="O220" s="4" t="e">
        <v>#VALUE!</v>
      </c>
      <c r="P220" s="4" t="e">
        <v>#VALUE!</v>
      </c>
      <c r="Q220" s="4" t="e">
        <v>#VALUE!</v>
      </c>
      <c r="R220" s="4" t="e">
        <v>#VALUE!</v>
      </c>
      <c r="S220" s="1"/>
      <c r="T220" s="1"/>
      <c r="U220" s="2">
        <f t="shared" si="136"/>
        <v>5</v>
      </c>
      <c r="V220" s="2">
        <f t="shared" si="137"/>
        <v>235</v>
      </c>
    </row>
    <row r="221" spans="1:22" x14ac:dyDescent="0.3">
      <c r="A221" s="2">
        <f t="shared" si="135"/>
        <v>5236</v>
      </c>
      <c r="B221" s="5">
        <f t="shared" si="162"/>
        <v>0</v>
      </c>
      <c r="C221" s="5">
        <f t="shared" si="163"/>
        <v>0</v>
      </c>
      <c r="D221" s="5">
        <f t="shared" ref="D221:D229" si="166">C221-B221</f>
        <v>0</v>
      </c>
      <c r="E221" s="4">
        <f t="shared" si="164"/>
        <v>0.1</v>
      </c>
      <c r="F221" s="57" t="s">
        <v>36</v>
      </c>
      <c r="G221" s="58"/>
      <c r="H221" s="58"/>
      <c r="I221" s="1"/>
      <c r="J221" s="1"/>
      <c r="K221" s="1">
        <v>10</v>
      </c>
      <c r="L221" s="1">
        <v>10</v>
      </c>
      <c r="M221" s="1">
        <v>10</v>
      </c>
      <c r="N221" s="1">
        <v>10</v>
      </c>
      <c r="O221" s="1">
        <v>10</v>
      </c>
      <c r="P221" s="1">
        <v>10</v>
      </c>
      <c r="Q221" s="1">
        <v>10</v>
      </c>
      <c r="R221" s="1">
        <v>10</v>
      </c>
      <c r="S221" s="1">
        <v>10</v>
      </c>
      <c r="T221" s="1"/>
      <c r="U221" s="2">
        <f t="shared" si="136"/>
        <v>5</v>
      </c>
      <c r="V221" s="2">
        <f t="shared" si="137"/>
        <v>236</v>
      </c>
    </row>
    <row r="222" spans="1:22" x14ac:dyDescent="0.3">
      <c r="A222" s="2">
        <f t="shared" si="135"/>
        <v>5237</v>
      </c>
      <c r="B222" s="5">
        <f t="shared" si="162"/>
        <v>0</v>
      </c>
      <c r="C222" s="5">
        <f t="shared" si="163"/>
        <v>0</v>
      </c>
      <c r="D222" s="5">
        <f t="shared" si="166"/>
        <v>0</v>
      </c>
      <c r="E222" s="4">
        <f t="shared" si="164"/>
        <v>0.1</v>
      </c>
      <c r="F222" s="11">
        <f>IF(D188="","",MAX(G222,H222))</f>
        <v>0</v>
      </c>
      <c r="G222" s="5">
        <f>ABS(MIN(B220:B229))</f>
        <v>0</v>
      </c>
      <c r="H222" s="5">
        <f>ABS(MAX(B220:B229))</f>
        <v>0</v>
      </c>
      <c r="I222" s="1"/>
      <c r="J222" s="2" t="str">
        <f t="shared" ref="J222" si="167">CONCATENATE(K221,1)</f>
        <v>101</v>
      </c>
      <c r="K222" s="4" t="e">
        <f t="array" ref="K222:S224">LINEST(B201:B210,C201:C210^{1,2,3,4,5,6,7,8},TRUE,TRUE)</f>
        <v>#VALUE!</v>
      </c>
      <c r="L222" s="4" t="e">
        <v>#VALUE!</v>
      </c>
      <c r="M222" s="4" t="e">
        <v>#VALUE!</v>
      </c>
      <c r="N222" s="4" t="e">
        <v>#VALUE!</v>
      </c>
      <c r="O222" s="4" t="e">
        <v>#VALUE!</v>
      </c>
      <c r="P222" s="4" t="e">
        <v>#VALUE!</v>
      </c>
      <c r="Q222" s="4" t="e">
        <v>#VALUE!</v>
      </c>
      <c r="R222" s="4" t="e">
        <v>#VALUE!</v>
      </c>
      <c r="S222" s="4" t="e">
        <v>#VALUE!</v>
      </c>
      <c r="T222" s="1"/>
      <c r="U222" s="2">
        <f t="shared" si="136"/>
        <v>5</v>
      </c>
      <c r="V222" s="2">
        <f t="shared" si="137"/>
        <v>237</v>
      </c>
    </row>
    <row r="223" spans="1:22" x14ac:dyDescent="0.3">
      <c r="A223" s="2">
        <f t="shared" si="135"/>
        <v>5238</v>
      </c>
      <c r="B223" s="5">
        <f t="shared" si="162"/>
        <v>0</v>
      </c>
      <c r="C223" s="5">
        <f t="shared" si="163"/>
        <v>0</v>
      </c>
      <c r="D223" s="5">
        <f t="shared" si="166"/>
        <v>0</v>
      </c>
      <c r="E223" s="4">
        <f t="shared" si="164"/>
        <v>0.1</v>
      </c>
      <c r="F223" s="57" t="s">
        <v>37</v>
      </c>
      <c r="G223" s="58"/>
      <c r="H223" s="58"/>
      <c r="I223" s="1"/>
      <c r="J223" s="2" t="str">
        <f t="shared" ref="J223" si="168">CONCATENATE(K221,2)</f>
        <v>102</v>
      </c>
      <c r="K223" s="4" t="e">
        <v>#VALUE!</v>
      </c>
      <c r="L223" s="4" t="e">
        <v>#VALUE!</v>
      </c>
      <c r="M223" s="4" t="e">
        <v>#VALUE!</v>
      </c>
      <c r="N223" s="4" t="e">
        <v>#VALUE!</v>
      </c>
      <c r="O223" s="4" t="e">
        <v>#VALUE!</v>
      </c>
      <c r="P223" s="4" t="e">
        <v>#VALUE!</v>
      </c>
      <c r="Q223" s="4" t="e">
        <v>#VALUE!</v>
      </c>
      <c r="R223" s="4" t="e">
        <v>#VALUE!</v>
      </c>
      <c r="S223" s="4" t="e">
        <v>#VALUE!</v>
      </c>
      <c r="T223" s="1"/>
      <c r="U223" s="2">
        <f t="shared" si="136"/>
        <v>5</v>
      </c>
      <c r="V223" s="2">
        <f t="shared" si="137"/>
        <v>238</v>
      </c>
    </row>
    <row r="224" spans="1:22" x14ac:dyDescent="0.3">
      <c r="A224" s="2">
        <f t="shared" si="135"/>
        <v>5239</v>
      </c>
      <c r="B224" s="5">
        <f t="shared" si="162"/>
        <v>0</v>
      </c>
      <c r="C224" s="5">
        <f t="shared" si="163"/>
        <v>0</v>
      </c>
      <c r="D224" s="5">
        <f t="shared" si="166"/>
        <v>0</v>
      </c>
      <c r="E224" s="4">
        <f t="shared" si="164"/>
        <v>0.1</v>
      </c>
      <c r="F224" s="11">
        <f>IF(D188="","",MAX(G224,H224))</f>
        <v>0.2</v>
      </c>
      <c r="G224" s="5">
        <f>ABS(MIN(E220:E229))</f>
        <v>0</v>
      </c>
      <c r="H224" s="5">
        <f>ABS(MAX(E220:E229))</f>
        <v>0.2</v>
      </c>
      <c r="I224" s="1"/>
      <c r="J224" s="2" t="str">
        <f t="shared" ref="J224" si="169">CONCATENATE(K221,3)</f>
        <v>103</v>
      </c>
      <c r="K224" s="4" t="e">
        <v>#VALUE!</v>
      </c>
      <c r="L224" s="4" t="e">
        <v>#VALUE!</v>
      </c>
      <c r="M224" s="4" t="e">
        <v>#VALUE!</v>
      </c>
      <c r="N224" s="4" t="e">
        <v>#VALUE!</v>
      </c>
      <c r="O224" s="4" t="e">
        <v>#VALUE!</v>
      </c>
      <c r="P224" s="4" t="e">
        <v>#VALUE!</v>
      </c>
      <c r="Q224" s="4" t="e">
        <v>#VALUE!</v>
      </c>
      <c r="R224" s="4" t="e">
        <v>#VALUE!</v>
      </c>
      <c r="S224" s="4" t="e">
        <v>#VALUE!</v>
      </c>
      <c r="T224" s="1"/>
      <c r="U224" s="2">
        <f t="shared" si="136"/>
        <v>5</v>
      </c>
      <c r="V224" s="2">
        <f t="shared" si="137"/>
        <v>239</v>
      </c>
    </row>
    <row r="225" spans="1:22" x14ac:dyDescent="0.3">
      <c r="A225" s="2">
        <f t="shared" si="135"/>
        <v>5240</v>
      </c>
      <c r="B225" s="5">
        <f t="shared" si="162"/>
        <v>0</v>
      </c>
      <c r="C225" s="5">
        <f t="shared" si="163"/>
        <v>0</v>
      </c>
      <c r="D225" s="5">
        <f t="shared" si="166"/>
        <v>0</v>
      </c>
      <c r="E225" s="4">
        <f t="shared" si="164"/>
        <v>0.2</v>
      </c>
      <c r="F225" s="57" t="s">
        <v>51</v>
      </c>
      <c r="G225" s="58"/>
      <c r="H225" s="5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>
        <f t="shared" si="136"/>
        <v>5</v>
      </c>
      <c r="V225" s="2">
        <f t="shared" si="137"/>
        <v>240</v>
      </c>
    </row>
    <row r="226" spans="1:22" x14ac:dyDescent="0.3">
      <c r="A226" s="2">
        <f t="shared" si="135"/>
        <v>5241</v>
      </c>
      <c r="B226" s="5">
        <f t="shared" si="162"/>
        <v>0</v>
      </c>
      <c r="C226" s="5">
        <f t="shared" si="163"/>
        <v>9.9999999999909051E-2</v>
      </c>
      <c r="D226" s="5">
        <f t="shared" si="166"/>
        <v>9.9999999999909051E-2</v>
      </c>
      <c r="E226" s="4">
        <f t="shared" si="164"/>
        <v>0.2</v>
      </c>
      <c r="F226" s="21">
        <f>MAX(G226:H228)</f>
        <v>0</v>
      </c>
      <c r="G226" s="4">
        <f>IF(C213="",0,ABS(C213-B213))</f>
        <v>0</v>
      </c>
      <c r="H226" s="4">
        <f>IF(F213="",0,ABS(F213-B213))</f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">
        <f t="shared" si="136"/>
        <v>5</v>
      </c>
      <c r="V226" s="2">
        <f t="shared" si="137"/>
        <v>241</v>
      </c>
    </row>
    <row r="227" spans="1:22" x14ac:dyDescent="0.3">
      <c r="A227" s="2">
        <f t="shared" si="135"/>
        <v>5242</v>
      </c>
      <c r="B227" s="5">
        <f t="shared" si="162"/>
        <v>0</v>
      </c>
      <c r="C227" s="5">
        <f t="shared" si="163"/>
        <v>0</v>
      </c>
      <c r="D227" s="5">
        <f t="shared" si="166"/>
        <v>0</v>
      </c>
      <c r="E227" s="4">
        <f t="shared" si="164"/>
        <v>0</v>
      </c>
      <c r="F227" s="4" t="s">
        <v>52</v>
      </c>
      <c r="G227" s="4">
        <f>IF(D213="",0,ABS(D213-B213))</f>
        <v>0</v>
      </c>
      <c r="H227" s="4">
        <f>IF(G213="",0,ABS(G213-B213))</f>
        <v>0</v>
      </c>
      <c r="I227" s="1"/>
      <c r="J227" s="1"/>
      <c r="R227" s="1"/>
      <c r="S227" s="1"/>
      <c r="T227" s="1"/>
      <c r="U227" s="2">
        <f t="shared" si="136"/>
        <v>5</v>
      </c>
      <c r="V227" s="2">
        <f t="shared" si="137"/>
        <v>242</v>
      </c>
    </row>
    <row r="228" spans="1:22" x14ac:dyDescent="0.3">
      <c r="A228" s="2">
        <f t="shared" si="135"/>
        <v>5243</v>
      </c>
      <c r="B228" s="5">
        <f t="shared" si="162"/>
        <v>0</v>
      </c>
      <c r="C228" s="5">
        <f t="shared" si="163"/>
        <v>0</v>
      </c>
      <c r="D228" s="5">
        <f t="shared" si="166"/>
        <v>0</v>
      </c>
      <c r="E228" s="4">
        <f t="shared" si="164"/>
        <v>0</v>
      </c>
      <c r="F228" s="22">
        <f>IF(F226=0,0,F226/B213%)</f>
        <v>0</v>
      </c>
      <c r="G228" s="4">
        <f>IF(G213="",0,ABS(G213-B213))</f>
        <v>0</v>
      </c>
      <c r="H228" s="4">
        <f>IF(H213="",0,ABS(H213-B213))</f>
        <v>0</v>
      </c>
      <c r="I228" s="1"/>
      <c r="J228" s="1"/>
      <c r="R228" s="1"/>
      <c r="S228" s="1"/>
      <c r="T228" s="1"/>
      <c r="U228" s="2">
        <f t="shared" si="136"/>
        <v>5</v>
      </c>
      <c r="V228" s="2">
        <f t="shared" si="137"/>
        <v>243</v>
      </c>
    </row>
    <row r="229" spans="1:22" x14ac:dyDescent="0.3">
      <c r="A229" s="2">
        <f t="shared" si="135"/>
        <v>5244</v>
      </c>
      <c r="B229" s="5">
        <f t="shared" si="162"/>
        <v>0</v>
      </c>
      <c r="C229" s="5">
        <f t="shared" si="163"/>
        <v>0</v>
      </c>
      <c r="D229" s="5">
        <f t="shared" si="166"/>
        <v>0</v>
      </c>
      <c r="E229" s="4">
        <f t="shared" si="164"/>
        <v>0</v>
      </c>
      <c r="F229" s="1"/>
      <c r="G229" s="1"/>
      <c r="H229" s="1"/>
      <c r="I229" s="1"/>
      <c r="J229" s="1"/>
      <c r="R229" s="1"/>
      <c r="S229" s="1"/>
      <c r="T229" s="1"/>
      <c r="U229" s="2">
        <f t="shared" si="136"/>
        <v>5</v>
      </c>
      <c r="V229" s="2">
        <f t="shared" si="137"/>
        <v>244</v>
      </c>
    </row>
    <row r="230" spans="1:22" x14ac:dyDescent="0.3">
      <c r="A230" s="2">
        <f t="shared" si="135"/>
        <v>5245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">
        <f t="shared" si="136"/>
        <v>5</v>
      </c>
      <c r="V230" s="2">
        <f t="shared" si="137"/>
        <v>245</v>
      </c>
    </row>
    <row r="231" spans="1:22" s="20" customForma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 x14ac:dyDescent="0.3">
      <c r="A232" s="2">
        <f>ROUND(CONCATENATE(U232,V232),0)</f>
        <v>6201</v>
      </c>
      <c r="B232" s="63" t="s">
        <v>0</v>
      </c>
      <c r="C232" s="63"/>
      <c r="D232" s="71" t="s">
        <v>73</v>
      </c>
      <c r="E232" s="72"/>
      <c r="F232" s="72"/>
      <c r="G232" s="72"/>
      <c r="H232" s="7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">
        <f>U230+1</f>
        <v>6</v>
      </c>
      <c r="V232" s="2">
        <v>201</v>
      </c>
    </row>
    <row r="233" spans="1:22" x14ac:dyDescent="0.3">
      <c r="A233" s="2">
        <f t="shared" ref="A233:A276" si="170">ROUND(CONCATENATE(U233,V233),0)</f>
        <v>6202</v>
      </c>
      <c r="B233" s="12" t="s">
        <v>40</v>
      </c>
      <c r="C233" s="13"/>
      <c r="D233" s="16" t="s">
        <v>41</v>
      </c>
      <c r="E233" s="57" t="s">
        <v>39</v>
      </c>
      <c r="F233" s="57"/>
      <c r="G233" s="18">
        <v>1E-4</v>
      </c>
      <c r="H233" s="15" t="str">
        <f>IF(D234="","",D233)</f>
        <v>g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>
        <f>U232</f>
        <v>6</v>
      </c>
      <c r="V233" s="2">
        <f>V232+1</f>
        <v>202</v>
      </c>
    </row>
    <row r="234" spans="1:22" x14ac:dyDescent="0.3">
      <c r="A234" s="2">
        <f t="shared" si="170"/>
        <v>6203</v>
      </c>
      <c r="B234" s="63" t="s">
        <v>1</v>
      </c>
      <c r="C234" s="63"/>
      <c r="D234" s="71" t="s">
        <v>99</v>
      </c>
      <c r="E234" s="72"/>
      <c r="F234" s="72"/>
      <c r="G234" s="72"/>
      <c r="H234" s="73"/>
      <c r="I234" s="1"/>
      <c r="J234" s="1"/>
      <c r="K234" s="1" t="s">
        <v>2</v>
      </c>
      <c r="L234" s="1" t="s">
        <v>3</v>
      </c>
      <c r="M234" s="1" t="s">
        <v>4</v>
      </c>
      <c r="N234" s="1" t="s">
        <v>5</v>
      </c>
      <c r="O234" s="1" t="s">
        <v>6</v>
      </c>
      <c r="P234" s="1" t="s">
        <v>7</v>
      </c>
      <c r="Q234" s="1" t="s">
        <v>8</v>
      </c>
      <c r="R234" s="1" t="s">
        <v>9</v>
      </c>
      <c r="S234" s="1" t="s">
        <v>10</v>
      </c>
      <c r="T234" s="1"/>
      <c r="U234" s="2">
        <f t="shared" ref="U234:U276" si="171">U233</f>
        <v>6</v>
      </c>
      <c r="V234" s="2">
        <f t="shared" ref="V234:V276" si="172">V233+1</f>
        <v>203</v>
      </c>
    </row>
    <row r="235" spans="1:22" x14ac:dyDescent="0.3">
      <c r="A235" s="2">
        <f t="shared" si="170"/>
        <v>6204</v>
      </c>
      <c r="B235" s="63" t="s">
        <v>11</v>
      </c>
      <c r="C235" s="63"/>
      <c r="D235" s="71" t="s">
        <v>42</v>
      </c>
      <c r="E235" s="72"/>
      <c r="F235" s="72"/>
      <c r="G235" s="72"/>
      <c r="H235" s="73"/>
      <c r="I235" s="1"/>
      <c r="J235" s="1">
        <f>COUNTA(B247:B256)</f>
        <v>7</v>
      </c>
      <c r="K235" s="1">
        <f t="shared" ref="K235" si="173">IF(L235-1&lt;2,0,L235-1)</f>
        <v>0</v>
      </c>
      <c r="L235" s="1">
        <f t="shared" ref="L235" si="174">IF(M235-1&lt;2,0,M235-1)</f>
        <v>0</v>
      </c>
      <c r="M235" s="1">
        <f t="shared" ref="M235" si="175">IF(N235-1&lt;2,0,N235-1)</f>
        <v>0</v>
      </c>
      <c r="N235" s="1">
        <f t="shared" ref="N235" si="176">IF(O235-1&lt;2,0,O235-1)</f>
        <v>2</v>
      </c>
      <c r="O235" s="1">
        <f t="shared" ref="O235" si="177">IF(P235-1&lt;2,0,P235-1)</f>
        <v>3</v>
      </c>
      <c r="P235" s="1">
        <f t="shared" ref="P235" si="178">IF(Q235-1&lt;2,0,Q235-1)</f>
        <v>4</v>
      </c>
      <c r="Q235" s="1">
        <f t="shared" ref="Q235" si="179">IF(R235-1&lt;2,0,R235-1)</f>
        <v>5</v>
      </c>
      <c r="R235" s="1">
        <f>IF(S235-1&lt;2,0,S235-1)</f>
        <v>6</v>
      </c>
      <c r="S235" s="1">
        <f>J235</f>
        <v>7</v>
      </c>
      <c r="T235" s="1"/>
      <c r="U235" s="2">
        <f t="shared" si="171"/>
        <v>6</v>
      </c>
      <c r="V235" s="2">
        <f t="shared" si="172"/>
        <v>204</v>
      </c>
    </row>
    <row r="236" spans="1:22" x14ac:dyDescent="0.3">
      <c r="A236" s="2">
        <f t="shared" si="170"/>
        <v>6205</v>
      </c>
      <c r="B236" s="63" t="s">
        <v>12</v>
      </c>
      <c r="C236" s="63"/>
      <c r="D236" s="71" t="s">
        <v>43</v>
      </c>
      <c r="E236" s="72"/>
      <c r="F236" s="72"/>
      <c r="G236" s="72"/>
      <c r="H236" s="73"/>
      <c r="I236" s="1"/>
      <c r="J236" s="2" t="str">
        <f>CONCATENATE(J235,1)</f>
        <v>71</v>
      </c>
      <c r="K236" s="3">
        <f>IF(K235=0,0,VLOOKUP(J236,J240:S270,K235,FALSE))</f>
        <v>0</v>
      </c>
      <c r="L236" s="3">
        <f>IF(L235=0,0,VLOOKUP(J236,J240:S270,L235,FALSE))</f>
        <v>0</v>
      </c>
      <c r="M236" s="3">
        <f>IF(M235=0,0,VLOOKUP(J236,J240:S270,M235,FALSE))</f>
        <v>0</v>
      </c>
      <c r="N236" s="3">
        <f>IF(N235=0,0,VLOOKUP(J236,J240:S270,N235,FALSE))</f>
        <v>-1.3753099726219241E-13</v>
      </c>
      <c r="O236" s="3">
        <f>IF(O235=0,0,VLOOKUP(J236,J240:S270,O235,FALSE))</f>
        <v>4.2669812831905786E-11</v>
      </c>
      <c r="P236" s="3">
        <f>IF(P235=0,0,VLOOKUP(J236,J240:S270,P235,FALSE))</f>
        <v>-3.2004747853589508E-9</v>
      </c>
      <c r="Q236" s="3">
        <f>IF(Q235=0,0,VLOOKUP(J236,J240:S270,Q235,FALSE))</f>
        <v>3.122138520800993E-8</v>
      </c>
      <c r="R236" s="3">
        <f>IF(R235=0,0,VLOOKUP(J236,J240:S270,R235,FALSE))</f>
        <v>0.99999996582486339</v>
      </c>
      <c r="S236" s="3">
        <f>IF(S235=0,0,VLOOKUP(J236,J240:S270,S235,FALSE))</f>
        <v>7.1363804353755111E-9</v>
      </c>
      <c r="T236" s="1"/>
      <c r="U236" s="2">
        <f t="shared" si="171"/>
        <v>6</v>
      </c>
      <c r="V236" s="2">
        <f t="shared" si="172"/>
        <v>205</v>
      </c>
    </row>
    <row r="237" spans="1:22" x14ac:dyDescent="0.3">
      <c r="A237" s="2">
        <f t="shared" si="170"/>
        <v>6206</v>
      </c>
      <c r="B237" s="63" t="s">
        <v>13</v>
      </c>
      <c r="C237" s="63"/>
      <c r="D237" s="74" t="s">
        <v>170</v>
      </c>
      <c r="E237" s="72"/>
      <c r="F237" s="72"/>
      <c r="G237" s="72"/>
      <c r="H237" s="73"/>
      <c r="I237" s="1"/>
      <c r="J237" s="2" t="str">
        <f>CONCATENATE(J235,2)</f>
        <v>72</v>
      </c>
      <c r="K237" s="4">
        <f>IF(K235=0,0,VLOOKUP(J237,J240:S270,K235,FALSE))</f>
        <v>0</v>
      </c>
      <c r="L237" s="4">
        <f>IF(L235=0,0,VLOOKUP(J237,J240:S270,L235,FALSE))</f>
        <v>0</v>
      </c>
      <c r="M237" s="4">
        <f>IF(M235=0,0,VLOOKUP(J237,J240:S270,M235,FALSE))</f>
        <v>0</v>
      </c>
      <c r="N237" s="4">
        <f>IF(N235=0,0,VLOOKUP(J237,J240:S270,N235,FALSE))</f>
        <v>6.0542197297756192E-16</v>
      </c>
      <c r="O237" s="4">
        <f>IF(O235=0,0,VLOOKUP(J237,J240:S270,O235,FALSE))</f>
        <v>2.1823409557080687E-13</v>
      </c>
      <c r="P237" s="4">
        <f>IF(P235=0,0,VLOOKUP(J237,J240:S270,P235,FALSE))</f>
        <v>2.3411347553317764E-11</v>
      </c>
      <c r="Q237" s="4">
        <f>IF(Q235=0,0,VLOOKUP(J237,J240:S270,Q235,FALSE))</f>
        <v>8.2853961801683911E-10</v>
      </c>
      <c r="R237" s="4">
        <f>IF(R235=0,0,VLOOKUP(J237,J240:S270,R235,FALSE))</f>
        <v>6.4739854104412685E-9</v>
      </c>
      <c r="S237" s="4">
        <f>IF(S235=0,0,VLOOKUP(J237,J240:S270,S235,FALSE))</f>
        <v>3.7798896878476681E-9</v>
      </c>
      <c r="T237" s="1"/>
      <c r="U237" s="2">
        <f t="shared" si="171"/>
        <v>6</v>
      </c>
      <c r="V237" s="2">
        <f t="shared" si="172"/>
        <v>206</v>
      </c>
    </row>
    <row r="238" spans="1:22" x14ac:dyDescent="0.3">
      <c r="A238" s="2">
        <f t="shared" si="170"/>
        <v>6207</v>
      </c>
      <c r="B238" s="63" t="s">
        <v>14</v>
      </c>
      <c r="C238" s="63"/>
      <c r="D238" s="75">
        <v>46031</v>
      </c>
      <c r="E238" s="76"/>
      <c r="F238" s="76"/>
      <c r="G238" s="76"/>
      <c r="H238" s="77"/>
      <c r="I238" s="1"/>
      <c r="J238" s="2" t="str">
        <f>CONCATENATE(J235,3)</f>
        <v>73</v>
      </c>
      <c r="K238" s="4"/>
      <c r="L238" s="4"/>
      <c r="M238" s="4"/>
      <c r="N238" s="4" t="s">
        <v>15</v>
      </c>
      <c r="O238" s="3">
        <f>J235-2</f>
        <v>5</v>
      </c>
      <c r="P238" s="4" t="s">
        <v>16</v>
      </c>
      <c r="Q238" s="3">
        <f>VLOOKUP(J238,J240:S270,3,FALSE)</f>
        <v>3.1373603714968112E-9</v>
      </c>
      <c r="R238" s="4" t="s">
        <v>17</v>
      </c>
      <c r="S238" s="4">
        <f>VLOOKUP(J238,J240:S270,2,FALSE)</f>
        <v>1</v>
      </c>
      <c r="T238" s="1"/>
      <c r="U238" s="2">
        <f t="shared" si="171"/>
        <v>6</v>
      </c>
      <c r="V238" s="2">
        <f t="shared" si="172"/>
        <v>207</v>
      </c>
    </row>
    <row r="239" spans="1:22" x14ac:dyDescent="0.3">
      <c r="A239" s="2">
        <f t="shared" si="170"/>
        <v>6208</v>
      </c>
      <c r="B239" s="63" t="s">
        <v>18</v>
      </c>
      <c r="C239" s="63"/>
      <c r="D239" s="64">
        <v>46417</v>
      </c>
      <c r="E239" s="65"/>
      <c r="F239" s="65"/>
      <c r="G239" s="65"/>
      <c r="H239" s="66"/>
      <c r="I239" s="1"/>
      <c r="J239" s="1"/>
      <c r="K239" s="1">
        <v>3</v>
      </c>
      <c r="L239" s="1">
        <v>3</v>
      </c>
      <c r="M239" s="1"/>
      <c r="N239" s="1"/>
      <c r="O239" s="1"/>
      <c r="P239" s="1"/>
      <c r="Q239" s="1"/>
      <c r="R239" s="1"/>
      <c r="S239" s="1"/>
      <c r="T239" s="1"/>
      <c r="U239" s="2">
        <f t="shared" si="171"/>
        <v>6</v>
      </c>
      <c r="V239" s="2">
        <f t="shared" si="172"/>
        <v>208</v>
      </c>
    </row>
    <row r="240" spans="1:22" x14ac:dyDescent="0.3">
      <c r="A240" s="2">
        <f t="shared" si="170"/>
        <v>6209</v>
      </c>
      <c r="B240" s="67" t="s">
        <v>19</v>
      </c>
      <c r="C240" s="63"/>
      <c r="D240" s="5">
        <f>IF(D233="","",MIN(B247:B256))</f>
        <v>0.2</v>
      </c>
      <c r="E240" s="6" t="s">
        <v>20</v>
      </c>
      <c r="F240" s="5">
        <f>IF(D233="","",MAX(B247:B256))</f>
        <v>200</v>
      </c>
      <c r="G240" s="7" t="str">
        <f>IF(D234="","",H233)</f>
        <v>g</v>
      </c>
      <c r="H240" s="14"/>
      <c r="I240" s="1"/>
      <c r="J240" s="2" t="str">
        <f>CONCATENATE(K239,1)</f>
        <v>31</v>
      </c>
      <c r="K240" s="4">
        <f t="array" ref="K240:L242">LINEST(B247:B249,C247:C249^{1},TRUE,TRUE)</f>
        <v>1</v>
      </c>
      <c r="L240" s="4">
        <v>0</v>
      </c>
      <c r="M240" s="1"/>
      <c r="N240" s="1"/>
      <c r="O240" s="1"/>
      <c r="P240" s="1"/>
      <c r="Q240" s="1"/>
      <c r="R240" s="1"/>
      <c r="S240" s="1"/>
      <c r="T240" s="1"/>
      <c r="U240" s="2">
        <f t="shared" si="171"/>
        <v>6</v>
      </c>
      <c r="V240" s="2">
        <f t="shared" si="172"/>
        <v>209</v>
      </c>
    </row>
    <row r="241" spans="1:22" x14ac:dyDescent="0.3">
      <c r="A241" s="2">
        <f t="shared" si="170"/>
        <v>6210</v>
      </c>
      <c r="B241" s="1"/>
      <c r="C241" s="1"/>
      <c r="D241" s="1"/>
      <c r="E241" s="1"/>
      <c r="F241" s="1"/>
      <c r="G241" s="1"/>
      <c r="H241" s="1"/>
      <c r="I241" s="1"/>
      <c r="J241" s="2" t="str">
        <f>CONCATENATE(K239,2)</f>
        <v>32</v>
      </c>
      <c r="K241" s="4">
        <v>1.9424856507293116E-16</v>
      </c>
      <c r="L241" s="4">
        <v>1.2737730238996229E-16</v>
      </c>
      <c r="M241" s="1"/>
      <c r="N241" s="1"/>
      <c r="O241" s="1"/>
      <c r="P241" s="1"/>
      <c r="Q241" s="1"/>
      <c r="R241" s="1"/>
      <c r="S241" s="1"/>
      <c r="T241" s="1"/>
      <c r="U241" s="2">
        <f t="shared" si="171"/>
        <v>6</v>
      </c>
      <c r="V241" s="2">
        <f t="shared" si="172"/>
        <v>210</v>
      </c>
    </row>
    <row r="242" spans="1:22" x14ac:dyDescent="0.3">
      <c r="A242" s="2">
        <f t="shared" si="170"/>
        <v>6211</v>
      </c>
      <c r="B242" s="68" t="s">
        <v>21</v>
      </c>
      <c r="C242" s="68"/>
      <c r="D242" s="68"/>
      <c r="E242" s="68"/>
      <c r="F242" s="68"/>
      <c r="G242" s="69" t="s">
        <v>22</v>
      </c>
      <c r="H242" s="70"/>
      <c r="I242" s="1"/>
      <c r="J242" s="2" t="str">
        <f>CONCATENATE(K239,3)</f>
        <v>33</v>
      </c>
      <c r="K242" s="4">
        <v>1</v>
      </c>
      <c r="L242" s="4">
        <v>1.1102230246251565E-16</v>
      </c>
      <c r="M242" s="1"/>
      <c r="N242" s="1"/>
      <c r="O242" s="1"/>
      <c r="P242" s="1"/>
      <c r="Q242" s="1"/>
      <c r="R242" s="1"/>
      <c r="S242" s="1"/>
      <c r="T242" s="1"/>
      <c r="U242" s="2">
        <f t="shared" si="171"/>
        <v>6</v>
      </c>
      <c r="V242" s="2">
        <f t="shared" si="172"/>
        <v>211</v>
      </c>
    </row>
    <row r="243" spans="1:22" x14ac:dyDescent="0.3">
      <c r="A243" s="2">
        <f t="shared" si="170"/>
        <v>6212</v>
      </c>
      <c r="B243" s="61" t="s">
        <v>23</v>
      </c>
      <c r="C243" s="61"/>
      <c r="D243" s="61"/>
      <c r="E243" s="61" t="str">
        <f>D237</f>
        <v>E0012/26</v>
      </c>
      <c r="F243" s="61"/>
      <c r="G243" s="4" t="s">
        <v>24</v>
      </c>
      <c r="H243" s="31" t="s">
        <v>100</v>
      </c>
      <c r="I243" s="1"/>
      <c r="J243" s="1"/>
      <c r="K243" s="1">
        <v>4</v>
      </c>
      <c r="L243" s="1">
        <v>4</v>
      </c>
      <c r="M243" s="1">
        <v>4</v>
      </c>
      <c r="N243" s="1"/>
      <c r="O243" s="1"/>
      <c r="P243" s="1"/>
      <c r="Q243" s="1"/>
      <c r="R243" s="1"/>
      <c r="S243" s="1"/>
      <c r="T243" s="1"/>
      <c r="U243" s="2">
        <f t="shared" si="171"/>
        <v>6</v>
      </c>
      <c r="V243" s="2">
        <f t="shared" si="172"/>
        <v>212</v>
      </c>
    </row>
    <row r="244" spans="1:22" x14ac:dyDescent="0.3">
      <c r="A244" s="2">
        <f t="shared" si="170"/>
        <v>6213</v>
      </c>
      <c r="B244" s="59" t="s">
        <v>25</v>
      </c>
      <c r="C244" s="59" t="s">
        <v>26</v>
      </c>
      <c r="D244" s="59" t="s">
        <v>27</v>
      </c>
      <c r="E244" s="59" t="s">
        <v>28</v>
      </c>
      <c r="F244" s="59" t="s">
        <v>29</v>
      </c>
      <c r="G244" s="59" t="s">
        <v>25</v>
      </c>
      <c r="H244" s="59" t="s">
        <v>26</v>
      </c>
      <c r="I244" s="1"/>
      <c r="J244" s="2" t="str">
        <f t="shared" ref="J244" si="180">CONCATENATE(K243,1)</f>
        <v>41</v>
      </c>
      <c r="K244" s="4">
        <f t="array" ref="K244:M246">LINEST(B247:B250,C247:C250^{1,2},TRUE,TRUE)</f>
        <v>0</v>
      </c>
      <c r="L244" s="4">
        <v>1</v>
      </c>
      <c r="M244" s="4">
        <v>0</v>
      </c>
      <c r="N244" s="1"/>
      <c r="O244" s="1"/>
      <c r="P244" s="1"/>
      <c r="Q244" s="1"/>
      <c r="R244" s="1"/>
      <c r="S244" s="1"/>
      <c r="T244" s="1"/>
      <c r="U244" s="2">
        <f t="shared" si="171"/>
        <v>6</v>
      </c>
      <c r="V244" s="2">
        <f t="shared" si="172"/>
        <v>213</v>
      </c>
    </row>
    <row r="245" spans="1:22" x14ac:dyDescent="0.3">
      <c r="A245" s="2">
        <f t="shared" si="170"/>
        <v>6214</v>
      </c>
      <c r="B245" s="60"/>
      <c r="C245" s="60"/>
      <c r="D245" s="60"/>
      <c r="E245" s="60"/>
      <c r="F245" s="60"/>
      <c r="G245" s="60"/>
      <c r="H245" s="60"/>
      <c r="I245" s="1"/>
      <c r="J245" s="2" t="str">
        <f t="shared" ref="J245" si="181">CONCATENATE(K243,2)</f>
        <v>42</v>
      </c>
      <c r="K245" s="4">
        <v>0</v>
      </c>
      <c r="L245" s="4">
        <v>0</v>
      </c>
      <c r="M245" s="4">
        <v>0</v>
      </c>
      <c r="N245" s="1"/>
      <c r="O245" s="1"/>
      <c r="P245" s="1"/>
      <c r="Q245" s="1"/>
      <c r="R245" s="1"/>
      <c r="S245" s="1"/>
      <c r="T245" s="1"/>
      <c r="U245" s="2">
        <f t="shared" si="171"/>
        <v>6</v>
      </c>
      <c r="V245" s="2">
        <f t="shared" si="172"/>
        <v>214</v>
      </c>
    </row>
    <row r="246" spans="1:22" x14ac:dyDescent="0.3">
      <c r="A246" s="2">
        <f t="shared" si="170"/>
        <v>6215</v>
      </c>
      <c r="B246" s="9" t="str">
        <f>CONCATENATE("(",H233,")")</f>
        <v>(g)</v>
      </c>
      <c r="C246" s="9" t="str">
        <f>B246</f>
        <v>(g)</v>
      </c>
      <c r="D246" s="9" t="str">
        <f>C246</f>
        <v>(g)</v>
      </c>
      <c r="E246" s="9"/>
      <c r="F246" s="9"/>
      <c r="G246" s="9" t="str">
        <f>B246</f>
        <v>(g)</v>
      </c>
      <c r="H246" s="9" t="str">
        <f>G246</f>
        <v>(g)</v>
      </c>
      <c r="I246" s="1"/>
      <c r="J246" s="2" t="str">
        <f t="shared" ref="J246" si="182">CONCATENATE(K243,3)</f>
        <v>43</v>
      </c>
      <c r="K246" s="4">
        <v>1</v>
      </c>
      <c r="L246" s="4">
        <v>0</v>
      </c>
      <c r="M246" s="4" t="e">
        <v>#N/A</v>
      </c>
      <c r="N246" s="1"/>
      <c r="O246" s="1"/>
      <c r="P246" s="1"/>
      <c r="Q246" s="1"/>
      <c r="R246" s="1"/>
      <c r="S246" s="1"/>
      <c r="T246" s="1"/>
      <c r="U246" s="2">
        <f t="shared" si="171"/>
        <v>6</v>
      </c>
      <c r="V246" s="2">
        <f t="shared" si="172"/>
        <v>215</v>
      </c>
    </row>
    <row r="247" spans="1:22" x14ac:dyDescent="0.3">
      <c r="A247" s="2">
        <f t="shared" si="170"/>
        <v>6216</v>
      </c>
      <c r="B247" s="10">
        <v>0.2</v>
      </c>
      <c r="C247" s="10">
        <v>0.2</v>
      </c>
      <c r="D247" s="10">
        <v>2.0000000000000001E-4</v>
      </c>
      <c r="E247" s="10">
        <v>2</v>
      </c>
      <c r="F247" s="10">
        <v>1000000</v>
      </c>
      <c r="G247" s="8">
        <v>0.2</v>
      </c>
      <c r="H247" s="8">
        <v>0.2</v>
      </c>
      <c r="I247" s="1"/>
      <c r="J247" s="1"/>
      <c r="K247" s="1">
        <v>5</v>
      </c>
      <c r="L247" s="1">
        <v>5</v>
      </c>
      <c r="M247" s="1">
        <v>5</v>
      </c>
      <c r="N247" s="1">
        <v>5</v>
      </c>
      <c r="O247" s="1"/>
      <c r="P247" s="1"/>
      <c r="Q247" s="1"/>
      <c r="R247" s="1"/>
      <c r="S247" s="1"/>
      <c r="T247" s="1"/>
      <c r="U247" s="2">
        <f t="shared" si="171"/>
        <v>6</v>
      </c>
      <c r="V247" s="2">
        <f t="shared" si="172"/>
        <v>216</v>
      </c>
    </row>
    <row r="248" spans="1:22" x14ac:dyDescent="0.3">
      <c r="A248" s="2">
        <f t="shared" si="170"/>
        <v>6217</v>
      </c>
      <c r="B248" s="10">
        <v>0.5</v>
      </c>
      <c r="C248" s="10">
        <v>0.5</v>
      </c>
      <c r="D248" s="10">
        <v>2.0000000000000001E-4</v>
      </c>
      <c r="E248" s="10">
        <v>2</v>
      </c>
      <c r="F248" s="10">
        <v>1000000</v>
      </c>
      <c r="G248" s="8">
        <v>0.5</v>
      </c>
      <c r="H248" s="8">
        <v>0.50009999999999999</v>
      </c>
      <c r="I248" s="1"/>
      <c r="J248" s="2" t="str">
        <f t="shared" ref="J248" si="183">CONCATENATE(K247,1)</f>
        <v>51</v>
      </c>
      <c r="K248" s="4">
        <f t="array" ref="K248:N250">LINEST(B247:B251,C247:C251^{1,2,3},TRUE,TRUE)</f>
        <v>-1.024891071034074E-9</v>
      </c>
      <c r="L248" s="4">
        <v>1.1499156369099753E-8</v>
      </c>
      <c r="M248" s="4">
        <v>0.99999998722936256</v>
      </c>
      <c r="N248" s="4">
        <v>2.6797922701276558E-9</v>
      </c>
      <c r="O248" s="1"/>
      <c r="P248" s="1"/>
      <c r="Q248" s="1"/>
      <c r="R248" s="1"/>
      <c r="S248" s="1"/>
      <c r="T248" s="1"/>
      <c r="U248" s="2">
        <f t="shared" si="171"/>
        <v>6</v>
      </c>
      <c r="V248" s="2">
        <f t="shared" si="172"/>
        <v>217</v>
      </c>
    </row>
    <row r="249" spans="1:22" x14ac:dyDescent="0.3">
      <c r="A249" s="2">
        <f t="shared" si="170"/>
        <v>6218</v>
      </c>
      <c r="B249" s="10">
        <v>1</v>
      </c>
      <c r="C249" s="10">
        <v>1</v>
      </c>
      <c r="D249" s="10">
        <v>2.0000000000000001E-4</v>
      </c>
      <c r="E249" s="10">
        <v>2</v>
      </c>
      <c r="F249" s="10">
        <v>1000000</v>
      </c>
      <c r="G249" s="8">
        <v>1</v>
      </c>
      <c r="H249" s="8">
        <v>1.0001</v>
      </c>
      <c r="I249" s="1"/>
      <c r="J249" s="2" t="str">
        <f t="shared" ref="J249" si="184">CONCATENATE(K247,2)</f>
        <v>52</v>
      </c>
      <c r="K249" s="4">
        <v>4.5154137016981216E-12</v>
      </c>
      <c r="L249" s="4">
        <v>2.7314892234749172E-10</v>
      </c>
      <c r="M249" s="4">
        <v>2.3988810010812163E-9</v>
      </c>
      <c r="N249" s="4">
        <v>1.4178671105526726E-9</v>
      </c>
      <c r="O249" s="1"/>
      <c r="P249" s="1"/>
      <c r="Q249" s="1"/>
      <c r="R249" s="1"/>
      <c r="S249" s="1"/>
      <c r="T249" s="1"/>
      <c r="U249" s="2">
        <f t="shared" si="171"/>
        <v>6</v>
      </c>
      <c r="V249" s="2">
        <f t="shared" si="172"/>
        <v>218</v>
      </c>
    </row>
    <row r="250" spans="1:22" x14ac:dyDescent="0.3">
      <c r="A250" s="2">
        <f t="shared" si="170"/>
        <v>6219</v>
      </c>
      <c r="B250" s="10">
        <v>10</v>
      </c>
      <c r="C250" s="10">
        <v>10</v>
      </c>
      <c r="D250" s="10">
        <v>2.0000000000000001E-4</v>
      </c>
      <c r="E250" s="10">
        <v>2</v>
      </c>
      <c r="F250" s="10">
        <v>1000000</v>
      </c>
      <c r="G250" s="8">
        <v>10</v>
      </c>
      <c r="H250" s="8">
        <v>10.0001</v>
      </c>
      <c r="I250" s="1"/>
      <c r="J250" s="2" t="str">
        <f t="shared" ref="J250" si="185">CONCATENATE(K247,3)</f>
        <v>53</v>
      </c>
      <c r="K250" s="4">
        <v>1</v>
      </c>
      <c r="L250" s="4">
        <v>1.1831520069227608E-9</v>
      </c>
      <c r="M250" s="4" t="e">
        <v>#N/A</v>
      </c>
      <c r="N250" s="4" t="e">
        <v>#N/A</v>
      </c>
      <c r="O250" s="1"/>
      <c r="P250" s="1"/>
      <c r="Q250" s="1"/>
      <c r="R250" s="1"/>
      <c r="S250" s="1"/>
      <c r="T250" s="1"/>
      <c r="U250" s="2">
        <f t="shared" si="171"/>
        <v>6</v>
      </c>
      <c r="V250" s="2">
        <f t="shared" si="172"/>
        <v>219</v>
      </c>
    </row>
    <row r="251" spans="1:22" x14ac:dyDescent="0.3">
      <c r="A251" s="2">
        <f t="shared" si="170"/>
        <v>6220</v>
      </c>
      <c r="B251" s="10">
        <v>50</v>
      </c>
      <c r="C251" s="10">
        <v>50.000100000000003</v>
      </c>
      <c r="D251" s="10">
        <v>2.9999999999999997E-4</v>
      </c>
      <c r="E251" s="10">
        <v>2</v>
      </c>
      <c r="F251" s="10">
        <v>1000000</v>
      </c>
      <c r="G251" s="8">
        <v>50</v>
      </c>
      <c r="H251" s="8">
        <v>50.000100000000003</v>
      </c>
      <c r="I251" s="1"/>
      <c r="J251" s="1"/>
      <c r="K251" s="1">
        <v>6</v>
      </c>
      <c r="L251" s="1">
        <v>6</v>
      </c>
      <c r="M251" s="1">
        <v>6</v>
      </c>
      <c r="N251" s="1">
        <v>6</v>
      </c>
      <c r="O251" s="1">
        <v>6</v>
      </c>
      <c r="P251" s="1"/>
      <c r="Q251" s="1"/>
      <c r="R251" s="1"/>
      <c r="S251" s="1"/>
      <c r="T251" s="1"/>
      <c r="U251" s="2">
        <f t="shared" si="171"/>
        <v>6</v>
      </c>
      <c r="V251" s="2">
        <f t="shared" si="172"/>
        <v>220</v>
      </c>
    </row>
    <row r="252" spans="1:22" x14ac:dyDescent="0.3">
      <c r="A252" s="2">
        <f t="shared" si="170"/>
        <v>6221</v>
      </c>
      <c r="B252" s="10">
        <v>100</v>
      </c>
      <c r="C252" s="10">
        <v>100</v>
      </c>
      <c r="D252" s="10">
        <v>4.0000000000000002E-4</v>
      </c>
      <c r="E252" s="10">
        <v>2</v>
      </c>
      <c r="F252" s="10">
        <v>1000000</v>
      </c>
      <c r="G252" s="8">
        <v>100</v>
      </c>
      <c r="H252" s="8">
        <v>100</v>
      </c>
      <c r="I252" s="1"/>
      <c r="J252" s="2" t="str">
        <f t="shared" ref="J252" si="186">CONCATENATE(K251,1)</f>
        <v>61</v>
      </c>
      <c r="K252" s="4">
        <f t="array" ref="K252:O254">LINEST(B247:B252,C247:C252^{1,2,3,4},TRUE,TRUE)</f>
        <v>2.0497465762519187E-11</v>
      </c>
      <c r="L252" s="4">
        <v>-2.2797061755285881E-9</v>
      </c>
      <c r="M252" s="4">
        <v>2.3251163272673683E-8</v>
      </c>
      <c r="N252" s="4">
        <v>0.99999997442617528</v>
      </c>
      <c r="O252" s="4">
        <v>5.3489948781057506E-9</v>
      </c>
      <c r="P252" s="1"/>
      <c r="Q252" s="1"/>
      <c r="R252" s="1"/>
      <c r="S252" s="1"/>
      <c r="T252" s="1"/>
      <c r="U252" s="2">
        <f t="shared" si="171"/>
        <v>6</v>
      </c>
      <c r="V252" s="2">
        <f t="shared" si="172"/>
        <v>221</v>
      </c>
    </row>
    <row r="253" spans="1:22" x14ac:dyDescent="0.3">
      <c r="A253" s="2">
        <f t="shared" si="170"/>
        <v>6222</v>
      </c>
      <c r="B253" s="10">
        <v>200</v>
      </c>
      <c r="C253" s="10">
        <v>200.0001</v>
      </c>
      <c r="D253" s="10">
        <v>6.9999999999999999E-4</v>
      </c>
      <c r="E253" s="10">
        <v>2</v>
      </c>
      <c r="F253" s="10">
        <v>1000000</v>
      </c>
      <c r="G253" s="8">
        <v>200</v>
      </c>
      <c r="H253" s="8">
        <v>200.0001</v>
      </c>
      <c r="I253" s="1"/>
      <c r="J253" s="2" t="str">
        <f t="shared" ref="J253" si="187">CONCATENATE(K251,2)</f>
        <v>62</v>
      </c>
      <c r="K253" s="4">
        <v>9.0544857293647995E-14</v>
      </c>
      <c r="L253" s="4">
        <v>1.4530241427173798E-11</v>
      </c>
      <c r="M253" s="4">
        <v>5.9557233858385617E-10</v>
      </c>
      <c r="N253" s="4">
        <v>4.8310465790997064E-9</v>
      </c>
      <c r="O253" s="4">
        <v>2.8321453218656536E-9</v>
      </c>
      <c r="P253" s="1"/>
      <c r="Q253" s="1"/>
      <c r="R253" s="1"/>
      <c r="S253" s="1"/>
      <c r="T253" s="1"/>
      <c r="U253" s="2">
        <f t="shared" si="171"/>
        <v>6</v>
      </c>
      <c r="V253" s="2">
        <f t="shared" si="172"/>
        <v>222</v>
      </c>
    </row>
    <row r="254" spans="1:22" x14ac:dyDescent="0.3">
      <c r="A254" s="2">
        <f t="shared" si="170"/>
        <v>6223</v>
      </c>
      <c r="B254" s="10"/>
      <c r="C254" s="10"/>
      <c r="D254" s="10"/>
      <c r="E254" s="10"/>
      <c r="F254" s="10"/>
      <c r="G254" s="8"/>
      <c r="H254" s="8"/>
      <c r="I254" s="1"/>
      <c r="J254" s="2" t="str">
        <f t="shared" ref="J254" si="188">CONCATENATE(K251,3)</f>
        <v>63</v>
      </c>
      <c r="K254" s="4">
        <v>1</v>
      </c>
      <c r="L254" s="4">
        <v>2.3549059091632074E-9</v>
      </c>
      <c r="M254" s="4" t="e">
        <v>#N/A</v>
      </c>
      <c r="N254" s="4" t="e">
        <v>#N/A</v>
      </c>
      <c r="O254" s="4" t="e">
        <v>#N/A</v>
      </c>
      <c r="P254" s="1"/>
      <c r="Q254" s="1"/>
      <c r="R254" s="1"/>
      <c r="S254" s="1"/>
      <c r="T254" s="1"/>
      <c r="U254" s="2">
        <f t="shared" si="171"/>
        <v>6</v>
      </c>
      <c r="V254" s="2">
        <f t="shared" si="172"/>
        <v>223</v>
      </c>
    </row>
    <row r="255" spans="1:22" x14ac:dyDescent="0.3">
      <c r="A255" s="2">
        <f t="shared" si="170"/>
        <v>6224</v>
      </c>
      <c r="B255" s="10"/>
      <c r="C255" s="10"/>
      <c r="D255" s="10"/>
      <c r="E255" s="10"/>
      <c r="F255" s="10"/>
      <c r="G255" s="8"/>
      <c r="H255" s="8"/>
      <c r="I255" s="1"/>
      <c r="J255" s="1"/>
      <c r="K255" s="1">
        <v>7</v>
      </c>
      <c r="L255" s="1">
        <v>7</v>
      </c>
      <c r="M255" s="1">
        <v>7</v>
      </c>
      <c r="N255" s="1">
        <v>7</v>
      </c>
      <c r="O255" s="1">
        <v>7</v>
      </c>
      <c r="P255" s="1">
        <v>7</v>
      </c>
      <c r="Q255" s="1"/>
      <c r="R255" s="1"/>
      <c r="S255" s="1"/>
      <c r="T255" s="1"/>
      <c r="U255" s="2">
        <f t="shared" si="171"/>
        <v>6</v>
      </c>
      <c r="V255" s="2">
        <f t="shared" si="172"/>
        <v>224</v>
      </c>
    </row>
    <row r="256" spans="1:22" x14ac:dyDescent="0.3">
      <c r="A256" s="2">
        <f t="shared" si="170"/>
        <v>6225</v>
      </c>
      <c r="B256" s="10"/>
      <c r="C256" s="10"/>
      <c r="D256" s="10"/>
      <c r="E256" s="10"/>
      <c r="F256" s="10"/>
      <c r="G256" s="8"/>
      <c r="H256" s="8"/>
      <c r="I256" s="1"/>
      <c r="J256" s="2" t="str">
        <f t="shared" ref="J256" si="189">CONCATENATE(K255,1)</f>
        <v>71</v>
      </c>
      <c r="K256" s="4">
        <f t="array" ref="K256:P258">LINEST(B247:B253,C247:C253^{1,2,3,4,5},TRUE,TRUE)</f>
        <v>-1.3753099726219241E-13</v>
      </c>
      <c r="L256" s="4">
        <v>4.2669812831905786E-11</v>
      </c>
      <c r="M256" s="4">
        <v>-3.2004747853589508E-9</v>
      </c>
      <c r="N256" s="4">
        <v>3.122138520800993E-8</v>
      </c>
      <c r="O256" s="4">
        <v>0.99999996582486339</v>
      </c>
      <c r="P256" s="4">
        <v>7.1363804353755111E-9</v>
      </c>
      <c r="Q256" s="1"/>
      <c r="R256" s="1"/>
      <c r="S256" s="1"/>
      <c r="T256" s="1"/>
      <c r="U256" s="2">
        <f t="shared" si="171"/>
        <v>6</v>
      </c>
      <c r="V256" s="2">
        <f t="shared" si="172"/>
        <v>225</v>
      </c>
    </row>
    <row r="257" spans="1:22" x14ac:dyDescent="0.3">
      <c r="A257" s="2">
        <f t="shared" si="170"/>
        <v>6226</v>
      </c>
      <c r="B257" s="61" t="s">
        <v>44</v>
      </c>
      <c r="C257" s="61"/>
      <c r="D257" s="61"/>
      <c r="E257" s="61"/>
      <c r="F257" s="61"/>
      <c r="G257" s="61"/>
      <c r="H257" s="61"/>
      <c r="I257" s="1"/>
      <c r="J257" s="2" t="str">
        <f t="shared" ref="J257" si="190">CONCATENATE(K255,2)</f>
        <v>72</v>
      </c>
      <c r="K257" s="4">
        <v>6.0542197297756192E-16</v>
      </c>
      <c r="L257" s="4">
        <v>2.1823409557080687E-13</v>
      </c>
      <c r="M257" s="4">
        <v>2.3411347553317764E-11</v>
      </c>
      <c r="N257" s="4">
        <v>8.2853961801683911E-10</v>
      </c>
      <c r="O257" s="4">
        <v>6.4739854104412685E-9</v>
      </c>
      <c r="P257" s="4">
        <v>3.7798896878476681E-9</v>
      </c>
      <c r="Q257" s="1"/>
      <c r="R257" s="1"/>
      <c r="S257" s="1"/>
      <c r="T257" s="1"/>
      <c r="U257" s="2">
        <f t="shared" si="171"/>
        <v>6</v>
      </c>
      <c r="V257" s="2">
        <f t="shared" si="172"/>
        <v>226</v>
      </c>
    </row>
    <row r="258" spans="1:22" x14ac:dyDescent="0.3">
      <c r="A258" s="2">
        <f t="shared" si="170"/>
        <v>6227</v>
      </c>
      <c r="B258" s="4" t="s">
        <v>45</v>
      </c>
      <c r="C258" s="4" t="s">
        <v>46</v>
      </c>
      <c r="D258" s="4" t="s">
        <v>47</v>
      </c>
      <c r="E258" s="4" t="s">
        <v>48</v>
      </c>
      <c r="F258" s="4" t="s">
        <v>49</v>
      </c>
      <c r="G258" s="4" t="s">
        <v>50</v>
      </c>
      <c r="H258" s="4" t="s">
        <v>46</v>
      </c>
      <c r="I258" s="1"/>
      <c r="J258" s="2" t="str">
        <f t="shared" ref="J258" si="191">CONCATENATE(K255,3)</f>
        <v>73</v>
      </c>
      <c r="K258" s="4">
        <v>1</v>
      </c>
      <c r="L258" s="4">
        <v>3.1373603714968112E-9</v>
      </c>
      <c r="M258" s="4" t="e">
        <v>#N/A</v>
      </c>
      <c r="N258" s="4" t="e">
        <v>#N/A</v>
      </c>
      <c r="O258" s="4" t="e">
        <v>#N/A</v>
      </c>
      <c r="P258" s="4" t="e">
        <v>#N/A</v>
      </c>
      <c r="Q258" s="1"/>
      <c r="R258" s="1"/>
      <c r="S258" s="1"/>
      <c r="T258" s="1"/>
      <c r="U258" s="2">
        <f t="shared" si="171"/>
        <v>6</v>
      </c>
      <c r="V258" s="2">
        <f t="shared" si="172"/>
        <v>227</v>
      </c>
    </row>
    <row r="259" spans="1:22" x14ac:dyDescent="0.3">
      <c r="A259" s="2">
        <f t="shared" si="170"/>
        <v>6228</v>
      </c>
      <c r="B259" s="10">
        <v>70</v>
      </c>
      <c r="C259" s="10">
        <v>70</v>
      </c>
      <c r="D259" s="10">
        <v>70</v>
      </c>
      <c r="E259" s="10">
        <v>69.999899999999997</v>
      </c>
      <c r="F259" s="10">
        <v>70.000100000000003</v>
      </c>
      <c r="G259" s="10">
        <v>70</v>
      </c>
      <c r="H259" s="10">
        <v>70</v>
      </c>
      <c r="I259" s="1"/>
      <c r="J259" s="1"/>
      <c r="K259" s="1">
        <v>8</v>
      </c>
      <c r="L259" s="1">
        <v>8</v>
      </c>
      <c r="M259" s="1">
        <v>8</v>
      </c>
      <c r="N259" s="1">
        <v>8</v>
      </c>
      <c r="O259" s="1">
        <v>8</v>
      </c>
      <c r="P259" s="1">
        <v>8</v>
      </c>
      <c r="Q259" s="1">
        <v>8</v>
      </c>
      <c r="R259" s="1"/>
      <c r="S259" s="1"/>
      <c r="T259" s="1"/>
      <c r="U259" s="2">
        <f t="shared" si="171"/>
        <v>6</v>
      </c>
      <c r="V259" s="2">
        <f t="shared" si="172"/>
        <v>228</v>
      </c>
    </row>
    <row r="260" spans="1:22" x14ac:dyDescent="0.3">
      <c r="A260" s="2">
        <f t="shared" si="170"/>
        <v>6229</v>
      </c>
      <c r="I260" s="1"/>
      <c r="J260" s="2" t="str">
        <f t="shared" ref="J260" si="192">CONCATENATE(K259,1)</f>
        <v>81</v>
      </c>
      <c r="K260" s="4" t="e">
        <f t="array" ref="K260:Q262">LINEST(B247:B254,C247:C254^{1,2,3,4,5,6},TRUE,TRUE)</f>
        <v>#VALUE!</v>
      </c>
      <c r="L260" s="4" t="e">
        <v>#VALUE!</v>
      </c>
      <c r="M260" s="4" t="e">
        <v>#VALUE!</v>
      </c>
      <c r="N260" s="4" t="e">
        <v>#VALUE!</v>
      </c>
      <c r="O260" s="4" t="e">
        <v>#VALUE!</v>
      </c>
      <c r="P260" s="4" t="e">
        <v>#VALUE!</v>
      </c>
      <c r="Q260" s="4" t="e">
        <v>#VALUE!</v>
      </c>
      <c r="R260" s="1"/>
      <c r="S260" s="1"/>
      <c r="T260" s="1"/>
      <c r="U260" s="2">
        <f t="shared" si="171"/>
        <v>6</v>
      </c>
      <c r="V260" s="2">
        <f t="shared" si="172"/>
        <v>229</v>
      </c>
    </row>
    <row r="261" spans="1:22" x14ac:dyDescent="0.3">
      <c r="A261" s="2">
        <f t="shared" si="170"/>
        <v>6230</v>
      </c>
      <c r="B261" s="58" t="s">
        <v>30</v>
      </c>
      <c r="C261" s="58"/>
      <c r="D261" s="58"/>
      <c r="E261" s="58"/>
      <c r="F261" s="58"/>
      <c r="G261" s="58"/>
      <c r="H261" s="58"/>
      <c r="I261" s="1"/>
      <c r="J261" s="2" t="str">
        <f t="shared" ref="J261" si="193">CONCATENATE(K259,2)</f>
        <v>82</v>
      </c>
      <c r="K261" s="4" t="e">
        <v>#VALUE!</v>
      </c>
      <c r="L261" s="4" t="e">
        <v>#VALUE!</v>
      </c>
      <c r="M261" s="4" t="e">
        <v>#VALUE!</v>
      </c>
      <c r="N261" s="4" t="e">
        <v>#VALUE!</v>
      </c>
      <c r="O261" s="4" t="e">
        <v>#VALUE!</v>
      </c>
      <c r="P261" s="4" t="e">
        <v>#VALUE!</v>
      </c>
      <c r="Q261" s="4" t="e">
        <v>#VALUE!</v>
      </c>
      <c r="R261" s="1"/>
      <c r="S261" s="1"/>
      <c r="T261" s="1"/>
      <c r="U261" s="2">
        <f t="shared" si="171"/>
        <v>6</v>
      </c>
      <c r="V261" s="2">
        <f t="shared" si="172"/>
        <v>230</v>
      </c>
    </row>
    <row r="262" spans="1:22" x14ac:dyDescent="0.3">
      <c r="A262" s="2">
        <f t="shared" si="170"/>
        <v>6231</v>
      </c>
      <c r="B262" s="62"/>
      <c r="C262" s="62"/>
      <c r="D262" s="62"/>
      <c r="E262" s="62"/>
      <c r="F262" s="62"/>
      <c r="G262" s="62"/>
      <c r="H262" s="62"/>
      <c r="I262" s="1"/>
      <c r="J262" s="2" t="str">
        <f t="shared" ref="J262" si="194">CONCATENATE(K259,3)</f>
        <v>83</v>
      </c>
      <c r="K262" s="4" t="e">
        <v>#VALUE!</v>
      </c>
      <c r="L262" s="4" t="e">
        <v>#VALUE!</v>
      </c>
      <c r="M262" s="4" t="e">
        <v>#VALUE!</v>
      </c>
      <c r="N262" s="4" t="e">
        <v>#VALUE!</v>
      </c>
      <c r="O262" s="4" t="e">
        <v>#VALUE!</v>
      </c>
      <c r="P262" s="4" t="e">
        <v>#VALUE!</v>
      </c>
      <c r="Q262" s="4" t="e">
        <v>#VALUE!</v>
      </c>
      <c r="R262" s="1"/>
      <c r="S262" s="1"/>
      <c r="T262" s="1"/>
      <c r="U262" s="2">
        <f t="shared" si="171"/>
        <v>6</v>
      </c>
      <c r="V262" s="2">
        <f t="shared" si="172"/>
        <v>231</v>
      </c>
    </row>
    <row r="263" spans="1:22" x14ac:dyDescent="0.3">
      <c r="A263" s="2">
        <f t="shared" si="170"/>
        <v>6232</v>
      </c>
      <c r="B263" s="62"/>
      <c r="C263" s="62"/>
      <c r="D263" s="62"/>
      <c r="E263" s="62"/>
      <c r="F263" s="62"/>
      <c r="G263" s="62"/>
      <c r="H263" s="62"/>
      <c r="I263" s="1"/>
      <c r="J263" s="1"/>
      <c r="K263" s="1">
        <v>9</v>
      </c>
      <c r="L263" s="1">
        <v>9</v>
      </c>
      <c r="M263" s="1">
        <v>9</v>
      </c>
      <c r="N263" s="1">
        <v>9</v>
      </c>
      <c r="O263" s="1">
        <v>9</v>
      </c>
      <c r="P263" s="1">
        <v>9</v>
      </c>
      <c r="Q263" s="1">
        <v>9</v>
      </c>
      <c r="R263" s="1">
        <v>9</v>
      </c>
      <c r="S263" s="1"/>
      <c r="T263" s="1"/>
      <c r="U263" s="2">
        <f t="shared" si="171"/>
        <v>6</v>
      </c>
      <c r="V263" s="2">
        <f t="shared" si="172"/>
        <v>232</v>
      </c>
    </row>
    <row r="264" spans="1:22" x14ac:dyDescent="0.3">
      <c r="A264" s="2">
        <f t="shared" si="170"/>
        <v>6233</v>
      </c>
      <c r="B264" s="1"/>
      <c r="C264" s="1"/>
      <c r="D264" s="1"/>
      <c r="E264" s="1"/>
      <c r="F264" s="1"/>
      <c r="G264" s="1"/>
      <c r="H264" s="1"/>
      <c r="I264" s="1"/>
      <c r="J264" s="2" t="str">
        <f t="shared" ref="J264" si="195">CONCATENATE(K263,1)</f>
        <v>91</v>
      </c>
      <c r="K264" s="4" t="e">
        <f t="array" ref="K264:R266">LINEST(B247:B255,C247:C255^{1,2,3,4,5,6,7},TRUE,TRUE)</f>
        <v>#VALUE!</v>
      </c>
      <c r="L264" s="4" t="e">
        <v>#VALUE!</v>
      </c>
      <c r="M264" s="4" t="e">
        <v>#VALUE!</v>
      </c>
      <c r="N264" s="4" t="e">
        <v>#VALUE!</v>
      </c>
      <c r="O264" s="4" t="e">
        <v>#VALUE!</v>
      </c>
      <c r="P264" s="4" t="e">
        <v>#VALUE!</v>
      </c>
      <c r="Q264" s="4" t="e">
        <v>#VALUE!</v>
      </c>
      <c r="R264" s="4" t="e">
        <v>#VALUE!</v>
      </c>
      <c r="S264" s="1"/>
      <c r="T264" s="1"/>
      <c r="U264" s="2">
        <f t="shared" si="171"/>
        <v>6</v>
      </c>
      <c r="V264" s="2">
        <f t="shared" si="172"/>
        <v>233</v>
      </c>
    </row>
    <row r="265" spans="1:22" x14ac:dyDescent="0.3">
      <c r="A265" s="2">
        <f t="shared" si="170"/>
        <v>6234</v>
      </c>
      <c r="B265" s="5" t="s">
        <v>31</v>
      </c>
      <c r="C265" s="5" t="s">
        <v>32</v>
      </c>
      <c r="D265" s="5" t="s">
        <v>33</v>
      </c>
      <c r="E265" s="4" t="s">
        <v>34</v>
      </c>
      <c r="F265" s="57" t="s">
        <v>35</v>
      </c>
      <c r="G265" s="58"/>
      <c r="H265" s="58"/>
      <c r="I265" s="1"/>
      <c r="J265" s="2" t="str">
        <f t="shared" ref="J265" si="196">CONCATENATE(K263,2)</f>
        <v>92</v>
      </c>
      <c r="K265" s="4" t="e">
        <v>#VALUE!</v>
      </c>
      <c r="L265" s="4" t="e">
        <v>#VALUE!</v>
      </c>
      <c r="M265" s="4" t="e">
        <v>#VALUE!</v>
      </c>
      <c r="N265" s="4" t="e">
        <v>#VALUE!</v>
      </c>
      <c r="O265" s="4" t="e">
        <v>#VALUE!</v>
      </c>
      <c r="P265" s="4" t="e">
        <v>#VALUE!</v>
      </c>
      <c r="Q265" s="4" t="e">
        <v>#VALUE!</v>
      </c>
      <c r="R265" s="4" t="e">
        <v>#VALUE!</v>
      </c>
      <c r="S265" s="1"/>
      <c r="T265" s="1"/>
      <c r="U265" s="2">
        <f t="shared" si="171"/>
        <v>6</v>
      </c>
      <c r="V265" s="2">
        <f t="shared" si="172"/>
        <v>234</v>
      </c>
    </row>
    <row r="266" spans="1:22" x14ac:dyDescent="0.3">
      <c r="A266" s="2">
        <f t="shared" si="170"/>
        <v>6235</v>
      </c>
      <c r="B266" s="5">
        <f t="shared" ref="B266:B275" si="197">C247-B247</f>
        <v>0</v>
      </c>
      <c r="C266" s="5">
        <f t="shared" ref="C266:C275" si="198">H247-G247</f>
        <v>0</v>
      </c>
      <c r="D266" s="5">
        <f>C266-B266</f>
        <v>0</v>
      </c>
      <c r="E266" s="4">
        <f t="shared" ref="E266:E275" si="199">D247</f>
        <v>2.0000000000000001E-4</v>
      </c>
      <c r="F266" s="11">
        <f>IF(D234="","",MAX(G266,H266))</f>
        <v>9.9999999999988987E-5</v>
      </c>
      <c r="G266" s="5">
        <f>ABS(MIN(D266:D275))</f>
        <v>0</v>
      </c>
      <c r="H266" s="5">
        <f>ABS(MAX(D266:D275))</f>
        <v>9.9999999999988987E-5</v>
      </c>
      <c r="I266" s="1"/>
      <c r="J266" s="2" t="str">
        <f t="shared" ref="J266" si="200">CONCATENATE(K263,3)</f>
        <v>93</v>
      </c>
      <c r="K266" s="4" t="e">
        <v>#VALUE!</v>
      </c>
      <c r="L266" s="4" t="e">
        <v>#VALUE!</v>
      </c>
      <c r="M266" s="4" t="e">
        <v>#VALUE!</v>
      </c>
      <c r="N266" s="4" t="e">
        <v>#VALUE!</v>
      </c>
      <c r="O266" s="4" t="e">
        <v>#VALUE!</v>
      </c>
      <c r="P266" s="4" t="e">
        <v>#VALUE!</v>
      </c>
      <c r="Q266" s="4" t="e">
        <v>#VALUE!</v>
      </c>
      <c r="R266" s="4" t="e">
        <v>#VALUE!</v>
      </c>
      <c r="S266" s="1"/>
      <c r="T266" s="1"/>
      <c r="U266" s="2">
        <f t="shared" si="171"/>
        <v>6</v>
      </c>
      <c r="V266" s="2">
        <f t="shared" si="172"/>
        <v>235</v>
      </c>
    </row>
    <row r="267" spans="1:22" x14ac:dyDescent="0.3">
      <c r="A267" s="2">
        <f t="shared" si="170"/>
        <v>6236</v>
      </c>
      <c r="B267" s="5">
        <f t="shared" si="197"/>
        <v>0</v>
      </c>
      <c r="C267" s="5">
        <f t="shared" si="198"/>
        <v>9.9999999999988987E-5</v>
      </c>
      <c r="D267" s="5">
        <f t="shared" ref="D267:D275" si="201">C267-B267</f>
        <v>9.9999999999988987E-5</v>
      </c>
      <c r="E267" s="4">
        <f t="shared" si="199"/>
        <v>2.0000000000000001E-4</v>
      </c>
      <c r="F267" s="57" t="s">
        <v>36</v>
      </c>
      <c r="G267" s="58"/>
      <c r="H267" s="58"/>
      <c r="I267" s="1"/>
      <c r="J267" s="1"/>
      <c r="K267" s="1">
        <v>10</v>
      </c>
      <c r="L267" s="1">
        <v>10</v>
      </c>
      <c r="M267" s="1">
        <v>10</v>
      </c>
      <c r="N267" s="1">
        <v>10</v>
      </c>
      <c r="O267" s="1">
        <v>10</v>
      </c>
      <c r="P267" s="1">
        <v>10</v>
      </c>
      <c r="Q267" s="1">
        <v>10</v>
      </c>
      <c r="R267" s="1">
        <v>10</v>
      </c>
      <c r="S267" s="1">
        <v>10</v>
      </c>
      <c r="T267" s="1"/>
      <c r="U267" s="2">
        <f t="shared" si="171"/>
        <v>6</v>
      </c>
      <c r="V267" s="2">
        <f t="shared" si="172"/>
        <v>236</v>
      </c>
    </row>
    <row r="268" spans="1:22" x14ac:dyDescent="0.3">
      <c r="A268" s="2">
        <f t="shared" si="170"/>
        <v>6237</v>
      </c>
      <c r="B268" s="5">
        <f t="shared" si="197"/>
        <v>0</v>
      </c>
      <c r="C268" s="5">
        <f t="shared" si="198"/>
        <v>9.9999999999988987E-5</v>
      </c>
      <c r="D268" s="5">
        <f t="shared" si="201"/>
        <v>9.9999999999988987E-5</v>
      </c>
      <c r="E268" s="4">
        <f t="shared" si="199"/>
        <v>2.0000000000000001E-4</v>
      </c>
      <c r="F268" s="11">
        <f>IF(D234="","",MAX(G268,H268))</f>
        <v>1.0000000000331966E-4</v>
      </c>
      <c r="G268" s="5">
        <f>ABS(MIN(B266:B275))</f>
        <v>0</v>
      </c>
      <c r="H268" s="5">
        <f>ABS(MAX(B266:B275))</f>
        <v>1.0000000000331966E-4</v>
      </c>
      <c r="I268" s="1"/>
      <c r="J268" s="2" t="str">
        <f t="shared" ref="J268" si="202">CONCATENATE(K267,1)</f>
        <v>101</v>
      </c>
      <c r="K268" s="4" t="e">
        <f t="array" ref="K268:S270">LINEST(B247:B256,C247:C256^{1,2,3,4,5,6,7,8},TRUE,TRUE)</f>
        <v>#VALUE!</v>
      </c>
      <c r="L268" s="4" t="e">
        <v>#VALUE!</v>
      </c>
      <c r="M268" s="4" t="e">
        <v>#VALUE!</v>
      </c>
      <c r="N268" s="4" t="e">
        <v>#VALUE!</v>
      </c>
      <c r="O268" s="4" t="e">
        <v>#VALUE!</v>
      </c>
      <c r="P268" s="4" t="e">
        <v>#VALUE!</v>
      </c>
      <c r="Q268" s="4" t="e">
        <v>#VALUE!</v>
      </c>
      <c r="R268" s="4" t="e">
        <v>#VALUE!</v>
      </c>
      <c r="S268" s="4" t="e">
        <v>#VALUE!</v>
      </c>
      <c r="T268" s="1"/>
      <c r="U268" s="2">
        <f t="shared" si="171"/>
        <v>6</v>
      </c>
      <c r="V268" s="2">
        <f t="shared" si="172"/>
        <v>237</v>
      </c>
    </row>
    <row r="269" spans="1:22" x14ac:dyDescent="0.3">
      <c r="A269" s="2">
        <f t="shared" si="170"/>
        <v>6238</v>
      </c>
      <c r="B269" s="5">
        <f t="shared" si="197"/>
        <v>0</v>
      </c>
      <c r="C269" s="5">
        <f t="shared" si="198"/>
        <v>9.9999999999766942E-5</v>
      </c>
      <c r="D269" s="5">
        <f t="shared" si="201"/>
        <v>9.9999999999766942E-5</v>
      </c>
      <c r="E269" s="4">
        <f t="shared" si="199"/>
        <v>2.0000000000000001E-4</v>
      </c>
      <c r="F269" s="57" t="s">
        <v>37</v>
      </c>
      <c r="G269" s="58"/>
      <c r="H269" s="58"/>
      <c r="I269" s="1"/>
      <c r="J269" s="2" t="str">
        <f t="shared" ref="J269" si="203">CONCATENATE(K267,2)</f>
        <v>102</v>
      </c>
      <c r="K269" s="4" t="e">
        <v>#VALUE!</v>
      </c>
      <c r="L269" s="4" t="e">
        <v>#VALUE!</v>
      </c>
      <c r="M269" s="4" t="e">
        <v>#VALUE!</v>
      </c>
      <c r="N269" s="4" t="e">
        <v>#VALUE!</v>
      </c>
      <c r="O269" s="4" t="e">
        <v>#VALUE!</v>
      </c>
      <c r="P269" s="4" t="e">
        <v>#VALUE!</v>
      </c>
      <c r="Q269" s="4" t="e">
        <v>#VALUE!</v>
      </c>
      <c r="R269" s="4" t="e">
        <v>#VALUE!</v>
      </c>
      <c r="S269" s="4" t="e">
        <v>#VALUE!</v>
      </c>
      <c r="T269" s="1"/>
      <c r="U269" s="2">
        <f t="shared" si="171"/>
        <v>6</v>
      </c>
      <c r="V269" s="2">
        <f t="shared" si="172"/>
        <v>238</v>
      </c>
    </row>
    <row r="270" spans="1:22" x14ac:dyDescent="0.3">
      <c r="A270" s="2">
        <f t="shared" si="170"/>
        <v>6239</v>
      </c>
      <c r="B270" s="5">
        <f t="shared" si="197"/>
        <v>1.0000000000331966E-4</v>
      </c>
      <c r="C270" s="5">
        <f t="shared" si="198"/>
        <v>1.0000000000331966E-4</v>
      </c>
      <c r="D270" s="5">
        <f t="shared" si="201"/>
        <v>0</v>
      </c>
      <c r="E270" s="4">
        <f t="shared" si="199"/>
        <v>2.9999999999999997E-4</v>
      </c>
      <c r="F270" s="11">
        <f>IF(D234="","",MAX(G270,H270))</f>
        <v>6.9999999999999999E-4</v>
      </c>
      <c r="G270" s="5">
        <f>ABS(MIN(E266:E275))</f>
        <v>0</v>
      </c>
      <c r="H270" s="5">
        <f>ABS(MAX(E266:E275))</f>
        <v>6.9999999999999999E-4</v>
      </c>
      <c r="I270" s="1"/>
      <c r="J270" s="2" t="str">
        <f t="shared" ref="J270" si="204">CONCATENATE(K267,3)</f>
        <v>103</v>
      </c>
      <c r="K270" s="4" t="e">
        <v>#VALUE!</v>
      </c>
      <c r="L270" s="4" t="e">
        <v>#VALUE!</v>
      </c>
      <c r="M270" s="4" t="e">
        <v>#VALUE!</v>
      </c>
      <c r="N270" s="4" t="e">
        <v>#VALUE!</v>
      </c>
      <c r="O270" s="4" t="e">
        <v>#VALUE!</v>
      </c>
      <c r="P270" s="4" t="e">
        <v>#VALUE!</v>
      </c>
      <c r="Q270" s="4" t="e">
        <v>#VALUE!</v>
      </c>
      <c r="R270" s="4" t="e">
        <v>#VALUE!</v>
      </c>
      <c r="S270" s="4" t="e">
        <v>#VALUE!</v>
      </c>
      <c r="T270" s="1"/>
      <c r="U270" s="2">
        <f t="shared" si="171"/>
        <v>6</v>
      </c>
      <c r="V270" s="2">
        <f t="shared" si="172"/>
        <v>239</v>
      </c>
    </row>
    <row r="271" spans="1:22" x14ac:dyDescent="0.3">
      <c r="A271" s="2">
        <f t="shared" si="170"/>
        <v>6240</v>
      </c>
      <c r="B271" s="5">
        <f t="shared" si="197"/>
        <v>0</v>
      </c>
      <c r="C271" s="5">
        <f t="shared" si="198"/>
        <v>0</v>
      </c>
      <c r="D271" s="5">
        <f t="shared" si="201"/>
        <v>0</v>
      </c>
      <c r="E271" s="4">
        <f t="shared" si="199"/>
        <v>4.0000000000000002E-4</v>
      </c>
      <c r="F271" s="57" t="s">
        <v>51</v>
      </c>
      <c r="G271" s="58"/>
      <c r="H271" s="5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">
        <f t="shared" si="171"/>
        <v>6</v>
      </c>
      <c r="V271" s="2">
        <f t="shared" si="172"/>
        <v>240</v>
      </c>
    </row>
    <row r="272" spans="1:22" x14ac:dyDescent="0.3">
      <c r="A272" s="2">
        <f t="shared" si="170"/>
        <v>6241</v>
      </c>
      <c r="B272" s="5">
        <f t="shared" si="197"/>
        <v>1.0000000000331966E-4</v>
      </c>
      <c r="C272" s="5">
        <f t="shared" si="198"/>
        <v>1.0000000000331966E-4</v>
      </c>
      <c r="D272" s="5">
        <f t="shared" si="201"/>
        <v>0</v>
      </c>
      <c r="E272" s="4">
        <f t="shared" si="199"/>
        <v>6.9999999999999999E-4</v>
      </c>
      <c r="F272" s="21">
        <f>MAX(G272:H274)</f>
        <v>1.0000000000331966E-4</v>
      </c>
      <c r="G272" s="4">
        <f>IF(C259="",0,ABS(C259-B259))</f>
        <v>0</v>
      </c>
      <c r="H272" s="4">
        <f>IF(F259="",0,ABS(F259-B259))</f>
        <v>1.0000000000331966E-4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">
        <f t="shared" si="171"/>
        <v>6</v>
      </c>
      <c r="V272" s="2">
        <f t="shared" si="172"/>
        <v>241</v>
      </c>
    </row>
    <row r="273" spans="1:22" x14ac:dyDescent="0.3">
      <c r="A273" s="2">
        <f t="shared" si="170"/>
        <v>6242</v>
      </c>
      <c r="B273" s="5">
        <f t="shared" si="197"/>
        <v>0</v>
      </c>
      <c r="C273" s="5">
        <f t="shared" si="198"/>
        <v>0</v>
      </c>
      <c r="D273" s="5">
        <f t="shared" si="201"/>
        <v>0</v>
      </c>
      <c r="E273" s="4">
        <f t="shared" si="199"/>
        <v>0</v>
      </c>
      <c r="F273" s="4" t="s">
        <v>52</v>
      </c>
      <c r="G273" s="4">
        <f>IF(D259="",0,ABS(D259-B259))</f>
        <v>0</v>
      </c>
      <c r="H273" s="4">
        <f>IF(G259="",0,ABS(G259-B259))</f>
        <v>0</v>
      </c>
      <c r="I273" s="1"/>
      <c r="J273" s="1"/>
      <c r="R273" s="1"/>
      <c r="S273" s="1"/>
      <c r="T273" s="1"/>
      <c r="U273" s="2">
        <f t="shared" si="171"/>
        <v>6</v>
      </c>
      <c r="V273" s="2">
        <f t="shared" si="172"/>
        <v>242</v>
      </c>
    </row>
    <row r="274" spans="1:22" x14ac:dyDescent="0.3">
      <c r="A274" s="2">
        <f t="shared" si="170"/>
        <v>6243</v>
      </c>
      <c r="B274" s="5">
        <f t="shared" si="197"/>
        <v>0</v>
      </c>
      <c r="C274" s="5">
        <f t="shared" si="198"/>
        <v>0</v>
      </c>
      <c r="D274" s="5">
        <f t="shared" si="201"/>
        <v>0</v>
      </c>
      <c r="E274" s="4">
        <f t="shared" si="199"/>
        <v>0</v>
      </c>
      <c r="F274" s="22">
        <f>IF(F272=0,0,F272/B259%)</f>
        <v>1.4285714286188522E-4</v>
      </c>
      <c r="G274" s="4">
        <f>IF(G259="",0,ABS(G259-B259))</f>
        <v>0</v>
      </c>
      <c r="H274" s="4">
        <f>IF(H259="",0,ABS(H259-B259))</f>
        <v>0</v>
      </c>
      <c r="I274" s="1"/>
      <c r="J274" s="1"/>
      <c r="R274" s="1"/>
      <c r="S274" s="1"/>
      <c r="T274" s="1"/>
      <c r="U274" s="2">
        <f t="shared" si="171"/>
        <v>6</v>
      </c>
      <c r="V274" s="2">
        <f t="shared" si="172"/>
        <v>243</v>
      </c>
    </row>
    <row r="275" spans="1:22" x14ac:dyDescent="0.3">
      <c r="A275" s="2">
        <f t="shared" si="170"/>
        <v>6244</v>
      </c>
      <c r="B275" s="5">
        <f t="shared" si="197"/>
        <v>0</v>
      </c>
      <c r="C275" s="5">
        <f t="shared" si="198"/>
        <v>0</v>
      </c>
      <c r="D275" s="5">
        <f t="shared" si="201"/>
        <v>0</v>
      </c>
      <c r="E275" s="4">
        <f t="shared" si="199"/>
        <v>0</v>
      </c>
      <c r="F275" s="1"/>
      <c r="G275" s="1"/>
      <c r="H275" s="1"/>
      <c r="I275" s="1"/>
      <c r="J275" s="1"/>
      <c r="R275" s="1"/>
      <c r="S275" s="1"/>
      <c r="T275" s="1"/>
      <c r="U275" s="2">
        <f t="shared" si="171"/>
        <v>6</v>
      </c>
      <c r="V275" s="2">
        <f t="shared" si="172"/>
        <v>244</v>
      </c>
    </row>
    <row r="276" spans="1:22" x14ac:dyDescent="0.3">
      <c r="A276" s="2">
        <f t="shared" si="170"/>
        <v>6245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">
        <f t="shared" si="171"/>
        <v>6</v>
      </c>
      <c r="V276" s="2">
        <f t="shared" si="172"/>
        <v>245</v>
      </c>
    </row>
    <row r="277" spans="1:22" s="20" customForma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 x14ac:dyDescent="0.3">
      <c r="A278" s="2">
        <f>ROUND(CONCATENATE(U278,V278),0)</f>
        <v>7201</v>
      </c>
      <c r="B278" s="63" t="s">
        <v>0</v>
      </c>
      <c r="C278" s="63"/>
      <c r="D278" s="71" t="s">
        <v>74</v>
      </c>
      <c r="E278" s="72"/>
      <c r="F278" s="72"/>
      <c r="G278" s="72"/>
      <c r="H278" s="7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">
        <f>U276+1</f>
        <v>7</v>
      </c>
      <c r="V278" s="2">
        <v>201</v>
      </c>
    </row>
    <row r="279" spans="1:22" x14ac:dyDescent="0.3">
      <c r="A279" s="2">
        <f t="shared" ref="A279:A322" si="205">ROUND(CONCATENATE(U279,V279),0)</f>
        <v>7202</v>
      </c>
      <c r="B279" s="12" t="s">
        <v>40</v>
      </c>
      <c r="C279" s="13"/>
      <c r="D279" s="16" t="s">
        <v>41</v>
      </c>
      <c r="E279" s="57" t="s">
        <v>39</v>
      </c>
      <c r="F279" s="57"/>
      <c r="G279" s="18">
        <v>1.0000000000000001E-5</v>
      </c>
      <c r="H279" s="15" t="str">
        <f>IF(D280="","",D279)</f>
        <v>g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">
        <f>U278</f>
        <v>7</v>
      </c>
      <c r="V279" s="2">
        <f>V278+1</f>
        <v>202</v>
      </c>
    </row>
    <row r="280" spans="1:22" x14ac:dyDescent="0.3">
      <c r="A280" s="2">
        <f t="shared" si="205"/>
        <v>7203</v>
      </c>
      <c r="B280" s="63" t="s">
        <v>1</v>
      </c>
      <c r="C280" s="63"/>
      <c r="D280" s="71" t="s">
        <v>105</v>
      </c>
      <c r="E280" s="72"/>
      <c r="F280" s="72"/>
      <c r="G280" s="72"/>
      <c r="H280" s="73"/>
      <c r="I280" s="1"/>
      <c r="J280" s="1"/>
      <c r="K280" s="1" t="s">
        <v>2</v>
      </c>
      <c r="L280" s="1" t="s">
        <v>3</v>
      </c>
      <c r="M280" s="1" t="s">
        <v>4</v>
      </c>
      <c r="N280" s="1" t="s">
        <v>5</v>
      </c>
      <c r="O280" s="1" t="s">
        <v>6</v>
      </c>
      <c r="P280" s="1" t="s">
        <v>7</v>
      </c>
      <c r="Q280" s="1" t="s">
        <v>8</v>
      </c>
      <c r="R280" s="1" t="s">
        <v>9</v>
      </c>
      <c r="S280" s="1" t="s">
        <v>10</v>
      </c>
      <c r="T280" s="1"/>
      <c r="U280" s="2">
        <f t="shared" ref="U280:U322" si="206">U279</f>
        <v>7</v>
      </c>
      <c r="V280" s="2">
        <f t="shared" ref="V280:V322" si="207">V279+1</f>
        <v>203</v>
      </c>
    </row>
    <row r="281" spans="1:22" x14ac:dyDescent="0.3">
      <c r="A281" s="2">
        <f t="shared" si="205"/>
        <v>7204</v>
      </c>
      <c r="B281" s="63" t="s">
        <v>11</v>
      </c>
      <c r="C281" s="63"/>
      <c r="D281" s="71" t="s">
        <v>75</v>
      </c>
      <c r="E281" s="72"/>
      <c r="F281" s="72"/>
      <c r="G281" s="72"/>
      <c r="H281" s="73"/>
      <c r="I281" s="1"/>
      <c r="J281" s="1">
        <f>COUNTA(B293:B302)</f>
        <v>10</v>
      </c>
      <c r="K281" s="1">
        <f t="shared" ref="K281" si="208">IF(L281-1&lt;2,0,L281-1)</f>
        <v>2</v>
      </c>
      <c r="L281" s="1">
        <f t="shared" ref="L281" si="209">IF(M281-1&lt;2,0,M281-1)</f>
        <v>3</v>
      </c>
      <c r="M281" s="1">
        <f t="shared" ref="M281" si="210">IF(N281-1&lt;2,0,N281-1)</f>
        <v>4</v>
      </c>
      <c r="N281" s="1">
        <f t="shared" ref="N281" si="211">IF(O281-1&lt;2,0,O281-1)</f>
        <v>5</v>
      </c>
      <c r="O281" s="1">
        <f t="shared" ref="O281" si="212">IF(P281-1&lt;2,0,P281-1)</f>
        <v>6</v>
      </c>
      <c r="P281" s="1">
        <f t="shared" ref="P281" si="213">IF(Q281-1&lt;2,0,Q281-1)</f>
        <v>7</v>
      </c>
      <c r="Q281" s="1">
        <f t="shared" ref="Q281" si="214">IF(R281-1&lt;2,0,R281-1)</f>
        <v>8</v>
      </c>
      <c r="R281" s="1">
        <f>IF(S281-1&lt;2,0,S281-1)</f>
        <v>9</v>
      </c>
      <c r="S281" s="1">
        <f>J281</f>
        <v>10</v>
      </c>
      <c r="T281" s="1"/>
      <c r="U281" s="2">
        <f t="shared" si="206"/>
        <v>7</v>
      </c>
      <c r="V281" s="2">
        <f t="shared" si="207"/>
        <v>204</v>
      </c>
    </row>
    <row r="282" spans="1:22" x14ac:dyDescent="0.3">
      <c r="A282" s="2">
        <f t="shared" si="205"/>
        <v>7205</v>
      </c>
      <c r="B282" s="63" t="s">
        <v>12</v>
      </c>
      <c r="C282" s="63"/>
      <c r="D282" s="71" t="s">
        <v>43</v>
      </c>
      <c r="E282" s="72"/>
      <c r="F282" s="72"/>
      <c r="G282" s="72"/>
      <c r="H282" s="73"/>
      <c r="I282" s="1"/>
      <c r="J282" s="2" t="str">
        <f>CONCATENATE(J281,1)</f>
        <v>101</v>
      </c>
      <c r="K282" s="3">
        <f>IF(K281=0,0,VLOOKUP(J282,J286:S316,K281,FALSE))</f>
        <v>-7.3930558340861964E-15</v>
      </c>
      <c r="L282" s="3">
        <f>IF(L281=0,0,VLOOKUP(J282,J286:S316,L281,FALSE))</f>
        <v>1.3808070691209158E-12</v>
      </c>
      <c r="M282" s="3">
        <f>IF(M281=0,0,VLOOKUP(J282,J286:S316,M281,FALSE))</f>
        <v>-8.0311926920757997E-11</v>
      </c>
      <c r="N282" s="3">
        <f>IF(N281=0,0,VLOOKUP(J282,J286:S316,N281,FALSE))</f>
        <v>1.7448544254946536E-9</v>
      </c>
      <c r="O282" s="3">
        <f>IF(O281=0,0,VLOOKUP(J282,J286:S316,O281,FALSE))</f>
        <v>-1.2867425078348879E-8</v>
      </c>
      <c r="P282" s="3">
        <f>IF(P281=0,0,VLOOKUP(J282,J286:S316,P281,FALSE))</f>
        <v>0</v>
      </c>
      <c r="Q282" s="3">
        <f>IF(Q281=0,0,VLOOKUP(J282,J286:S316,Q281,FALSE))</f>
        <v>0</v>
      </c>
      <c r="R282" s="3">
        <f>IF(R281=0,0,VLOOKUP(J282,J286:S316,R281,FALSE))</f>
        <v>1.0000005612557945</v>
      </c>
      <c r="S282" s="3">
        <f>IF(S281=0,0,VLOOKUP(J282,J286:S316,S281,FALSE))</f>
        <v>-4.1782269599721644E-6</v>
      </c>
      <c r="T282" s="1"/>
      <c r="U282" s="2">
        <f t="shared" si="206"/>
        <v>7</v>
      </c>
      <c r="V282" s="2">
        <f t="shared" si="207"/>
        <v>205</v>
      </c>
    </row>
    <row r="283" spans="1:22" x14ac:dyDescent="0.3">
      <c r="A283" s="2">
        <f t="shared" si="205"/>
        <v>7206</v>
      </c>
      <c r="B283" s="63" t="s">
        <v>13</v>
      </c>
      <c r="C283" s="63"/>
      <c r="D283" s="74" t="s">
        <v>176</v>
      </c>
      <c r="E283" s="72"/>
      <c r="F283" s="72"/>
      <c r="G283" s="72"/>
      <c r="H283" s="73"/>
      <c r="I283" s="1"/>
      <c r="J283" s="2" t="str">
        <f>CONCATENATE(J281,2)</f>
        <v>102</v>
      </c>
      <c r="K283" s="4">
        <f>IF(K281=0,0,VLOOKUP(J283,J286:S316,K281,FALSE))</f>
        <v>1.8827756322940085E-14</v>
      </c>
      <c r="L283" s="4">
        <f>IF(L281=0,0,VLOOKUP(J283,J286:S316,L281,FALSE))</f>
        <v>3.5499939267582485E-12</v>
      </c>
      <c r="M283" s="4">
        <f>IF(M281=0,0,VLOOKUP(J283,J286:S316,M281,FALSE))</f>
        <v>2.1035038718101377E-10</v>
      </c>
      <c r="N283" s="4">
        <f>IF(N281=0,0,VLOOKUP(J283,J286:S316,N281,FALSE))</f>
        <v>4.7304485560688842E-9</v>
      </c>
      <c r="O283" s="4">
        <f>IF(O281=0,0,VLOOKUP(J283,J286:S316,O281,FALSE))</f>
        <v>3.6766101686411395E-8</v>
      </c>
      <c r="P283" s="4">
        <f>IF(P281=0,0,VLOOKUP(J283,J286:S316,P281,FALSE))</f>
        <v>0</v>
      </c>
      <c r="Q283" s="4">
        <f>IF(Q281=0,0,VLOOKUP(J283,J286:S316,Q281,FALSE))</f>
        <v>0</v>
      </c>
      <c r="R283" s="4">
        <f>IF(R281=0,0,VLOOKUP(J283,J286:S316,R281,FALSE))</f>
        <v>7.355858144014236E-6</v>
      </c>
      <c r="S283" s="4">
        <f>IF(S281=0,0,VLOOKUP(J283,J286:S316,S281,FALSE))</f>
        <v>3.6626557101325926E-6</v>
      </c>
      <c r="T283" s="1"/>
      <c r="U283" s="2">
        <f t="shared" si="206"/>
        <v>7</v>
      </c>
      <c r="V283" s="2">
        <f t="shared" si="207"/>
        <v>206</v>
      </c>
    </row>
    <row r="284" spans="1:22" x14ac:dyDescent="0.3">
      <c r="A284" s="2">
        <f t="shared" si="205"/>
        <v>7207</v>
      </c>
      <c r="B284" s="63" t="s">
        <v>14</v>
      </c>
      <c r="C284" s="63"/>
      <c r="D284" s="75">
        <v>46031</v>
      </c>
      <c r="E284" s="76"/>
      <c r="F284" s="76"/>
      <c r="G284" s="76"/>
      <c r="H284" s="77"/>
      <c r="I284" s="1"/>
      <c r="J284" s="2" t="str">
        <f>CONCATENATE(J281,3)</f>
        <v>103</v>
      </c>
      <c r="K284" s="4"/>
      <c r="L284" s="4"/>
      <c r="M284" s="4"/>
      <c r="N284" s="4" t="s">
        <v>15</v>
      </c>
      <c r="O284" s="3">
        <f>J281-2</f>
        <v>8</v>
      </c>
      <c r="P284" s="4" t="s">
        <v>16</v>
      </c>
      <c r="Q284" s="3">
        <f>VLOOKUP(J284,J286:S316,3,FALSE)</f>
        <v>6.3200900668900936E-6</v>
      </c>
      <c r="R284" s="4" t="s">
        <v>17</v>
      </c>
      <c r="S284" s="4">
        <f>VLOOKUP(J284,J286:S316,2,FALSE)</f>
        <v>0.99999999999998712</v>
      </c>
      <c r="T284" s="1"/>
      <c r="U284" s="2">
        <f t="shared" si="206"/>
        <v>7</v>
      </c>
      <c r="V284" s="2">
        <f t="shared" si="207"/>
        <v>207</v>
      </c>
    </row>
    <row r="285" spans="1:22" x14ac:dyDescent="0.3">
      <c r="A285" s="2">
        <f t="shared" si="205"/>
        <v>7208</v>
      </c>
      <c r="B285" s="63" t="s">
        <v>18</v>
      </c>
      <c r="C285" s="63"/>
      <c r="D285" s="78">
        <v>46417</v>
      </c>
      <c r="E285" s="65"/>
      <c r="F285" s="65"/>
      <c r="G285" s="65"/>
      <c r="H285" s="66"/>
      <c r="I285" s="1"/>
      <c r="J285" s="1"/>
      <c r="K285" s="1">
        <v>3</v>
      </c>
      <c r="L285" s="1">
        <v>3</v>
      </c>
      <c r="M285" s="1"/>
      <c r="N285" s="1"/>
      <c r="O285" s="1"/>
      <c r="P285" s="1"/>
      <c r="Q285" s="1"/>
      <c r="R285" s="1"/>
      <c r="S285" s="1"/>
      <c r="T285" s="1"/>
      <c r="U285" s="2">
        <f t="shared" si="206"/>
        <v>7</v>
      </c>
      <c r="V285" s="2">
        <f t="shared" si="207"/>
        <v>208</v>
      </c>
    </row>
    <row r="286" spans="1:22" x14ac:dyDescent="0.3">
      <c r="A286" s="2">
        <f t="shared" si="205"/>
        <v>7209</v>
      </c>
      <c r="B286" s="67" t="s">
        <v>19</v>
      </c>
      <c r="C286" s="63"/>
      <c r="D286" s="5">
        <f>IF(D279="","",MIN(B293:B302))</f>
        <v>1E-3</v>
      </c>
      <c r="E286" s="6" t="s">
        <v>20</v>
      </c>
      <c r="F286" s="5">
        <f>IF(D279="","",MAX(B293:B302))</f>
        <v>100</v>
      </c>
      <c r="G286" s="7" t="str">
        <f>IF(D280="","",H279)</f>
        <v>g</v>
      </c>
      <c r="H286" s="14"/>
      <c r="I286" s="1"/>
      <c r="J286" s="2" t="str">
        <f>CONCATENATE(K285,1)</f>
        <v>31</v>
      </c>
      <c r="K286" s="4">
        <f t="array" ref="K286:L288">LINEST(B293:B295,C293:C295^{1},TRUE,TRUE)</f>
        <v>0.9998970491173983</v>
      </c>
      <c r="L286" s="4">
        <v>3.0460768819795536E-7</v>
      </c>
      <c r="M286" s="1"/>
      <c r="N286" s="1"/>
      <c r="O286" s="1"/>
      <c r="P286" s="1"/>
      <c r="Q286" s="1"/>
      <c r="R286" s="1"/>
      <c r="S286" s="1"/>
      <c r="T286" s="1"/>
      <c r="U286" s="2">
        <f t="shared" si="206"/>
        <v>7</v>
      </c>
      <c r="V286" s="2">
        <f t="shared" si="207"/>
        <v>209</v>
      </c>
    </row>
    <row r="287" spans="1:22" x14ac:dyDescent="0.3">
      <c r="A287" s="2">
        <f t="shared" si="205"/>
        <v>7210</v>
      </c>
      <c r="B287" s="1"/>
      <c r="C287" s="1"/>
      <c r="D287" s="1"/>
      <c r="E287" s="1"/>
      <c r="F287" s="1"/>
      <c r="G287" s="1"/>
      <c r="H287" s="1"/>
      <c r="I287" s="1"/>
      <c r="J287" s="2" t="str">
        <f>CONCATENATE(K285,2)</f>
        <v>32</v>
      </c>
      <c r="K287" s="4">
        <v>3.6762428482215826E-6</v>
      </c>
      <c r="L287" s="4">
        <v>2.1254492032187324E-7</v>
      </c>
      <c r="M287" s="1"/>
      <c r="N287" s="1"/>
      <c r="O287" s="1"/>
      <c r="P287" s="1"/>
      <c r="Q287" s="1"/>
      <c r="R287" s="1"/>
      <c r="S287" s="1"/>
      <c r="T287" s="1"/>
      <c r="U287" s="2">
        <f t="shared" si="206"/>
        <v>7</v>
      </c>
      <c r="V287" s="2">
        <f t="shared" si="207"/>
        <v>210</v>
      </c>
    </row>
    <row r="288" spans="1:22" x14ac:dyDescent="0.3">
      <c r="A288" s="2">
        <f t="shared" si="205"/>
        <v>7211</v>
      </c>
      <c r="B288" s="68" t="s">
        <v>21</v>
      </c>
      <c r="C288" s="68"/>
      <c r="D288" s="68"/>
      <c r="E288" s="68"/>
      <c r="F288" s="68"/>
      <c r="G288" s="69" t="s">
        <v>22</v>
      </c>
      <c r="H288" s="70"/>
      <c r="I288" s="1"/>
      <c r="J288" s="2" t="str">
        <f>CONCATENATE(K285,3)</f>
        <v>33</v>
      </c>
      <c r="K288" s="4">
        <v>0.99999999998648248</v>
      </c>
      <c r="L288" s="4">
        <v>2.9137465902551174E-7</v>
      </c>
      <c r="M288" s="1"/>
      <c r="N288" s="1"/>
      <c r="O288" s="1"/>
      <c r="P288" s="1"/>
      <c r="Q288" s="1"/>
      <c r="R288" s="1"/>
      <c r="S288" s="1"/>
      <c r="T288" s="1"/>
      <c r="U288" s="2">
        <f t="shared" si="206"/>
        <v>7</v>
      </c>
      <c r="V288" s="2">
        <f t="shared" si="207"/>
        <v>211</v>
      </c>
    </row>
    <row r="289" spans="1:22" x14ac:dyDescent="0.3">
      <c r="A289" s="2">
        <f t="shared" si="205"/>
        <v>7212</v>
      </c>
      <c r="B289" s="61" t="s">
        <v>23</v>
      </c>
      <c r="C289" s="61"/>
      <c r="D289" s="61"/>
      <c r="E289" s="61" t="str">
        <f>D283</f>
        <v>E0018/26</v>
      </c>
      <c r="F289" s="61"/>
      <c r="G289" s="4" t="s">
        <v>24</v>
      </c>
      <c r="H289" s="31" t="s">
        <v>106</v>
      </c>
      <c r="I289" s="1"/>
      <c r="J289" s="1"/>
      <c r="K289" s="1">
        <v>4</v>
      </c>
      <c r="L289" s="1">
        <v>4</v>
      </c>
      <c r="M289" s="1">
        <v>4</v>
      </c>
      <c r="N289" s="1"/>
      <c r="O289" s="1"/>
      <c r="P289" s="1"/>
      <c r="Q289" s="1"/>
      <c r="R289" s="1"/>
      <c r="S289" s="1"/>
      <c r="T289" s="1"/>
      <c r="U289" s="2">
        <f t="shared" si="206"/>
        <v>7</v>
      </c>
      <c r="V289" s="2">
        <f t="shared" si="207"/>
        <v>212</v>
      </c>
    </row>
    <row r="290" spans="1:22" x14ac:dyDescent="0.3">
      <c r="A290" s="2">
        <f t="shared" si="205"/>
        <v>7213</v>
      </c>
      <c r="B290" s="59" t="s">
        <v>25</v>
      </c>
      <c r="C290" s="59" t="s">
        <v>26</v>
      </c>
      <c r="D290" s="59" t="s">
        <v>27</v>
      </c>
      <c r="E290" s="59" t="s">
        <v>28</v>
      </c>
      <c r="F290" s="59" t="s">
        <v>29</v>
      </c>
      <c r="G290" s="59" t="s">
        <v>25</v>
      </c>
      <c r="H290" s="59" t="s">
        <v>26</v>
      </c>
      <c r="I290" s="1"/>
      <c r="J290" s="2" t="str">
        <f t="shared" ref="J290" si="215">CONCATENATE(K289,1)</f>
        <v>41</v>
      </c>
      <c r="K290" s="4">
        <f t="array" ref="K290:M292">LINEST(B293:B296,C293:C296^{1,2},TRUE,TRUE)</f>
        <v>2.0693470218678119E-4</v>
      </c>
      <c r="L290" s="4">
        <v>0.99987580234680318</v>
      </c>
      <c r="M290" s="4">
        <v>3.6384391541919319E-7</v>
      </c>
      <c r="N290" s="1"/>
      <c r="O290" s="1"/>
      <c r="P290" s="1"/>
      <c r="Q290" s="1"/>
      <c r="R290" s="1"/>
      <c r="S290" s="1"/>
      <c r="T290" s="1"/>
      <c r="U290" s="2">
        <f t="shared" si="206"/>
        <v>7</v>
      </c>
      <c r="V290" s="2">
        <f t="shared" si="207"/>
        <v>213</v>
      </c>
    </row>
    <row r="291" spans="1:22" x14ac:dyDescent="0.3">
      <c r="A291" s="2">
        <f t="shared" si="205"/>
        <v>7214</v>
      </c>
      <c r="B291" s="60"/>
      <c r="C291" s="60"/>
      <c r="D291" s="60"/>
      <c r="E291" s="60"/>
      <c r="F291" s="60"/>
      <c r="G291" s="60"/>
      <c r="H291" s="60"/>
      <c r="I291" s="1"/>
      <c r="J291" s="2" t="str">
        <f t="shared" ref="J291" si="216">CONCATENATE(K289,2)</f>
        <v>42</v>
      </c>
      <c r="K291" s="4">
        <v>1.0458630860587418E-5</v>
      </c>
      <c r="L291" s="4">
        <v>5.4511835079289503E-6</v>
      </c>
      <c r="M291" s="4">
        <v>2.5553412189637249E-7</v>
      </c>
      <c r="N291" s="1"/>
      <c r="O291" s="1"/>
      <c r="P291" s="1"/>
      <c r="Q291" s="1"/>
      <c r="R291" s="1"/>
      <c r="S291" s="1"/>
      <c r="T291" s="1"/>
      <c r="U291" s="2">
        <f t="shared" si="206"/>
        <v>7</v>
      </c>
      <c r="V291" s="2">
        <f t="shared" si="207"/>
        <v>214</v>
      </c>
    </row>
    <row r="292" spans="1:22" x14ac:dyDescent="0.3">
      <c r="A292" s="2">
        <f t="shared" si="205"/>
        <v>7215</v>
      </c>
      <c r="B292" s="9" t="str">
        <f>CONCATENATE("(",H279,")")</f>
        <v>(g)</v>
      </c>
      <c r="C292" s="9" t="str">
        <f>B292</f>
        <v>(g)</v>
      </c>
      <c r="D292" s="9" t="str">
        <f>C292</f>
        <v>(g)</v>
      </c>
      <c r="E292" s="9"/>
      <c r="F292" s="9"/>
      <c r="G292" s="9" t="str">
        <f>B292</f>
        <v>(g)</v>
      </c>
      <c r="H292" s="9" t="str">
        <f>G292</f>
        <v>(g)</v>
      </c>
      <c r="I292" s="1"/>
      <c r="J292" s="2" t="str">
        <f t="shared" ref="J292" si="217">CONCATENATE(K289,3)</f>
        <v>43</v>
      </c>
      <c r="K292" s="4">
        <v>0.99999999999927958</v>
      </c>
      <c r="L292" s="4">
        <v>3.4810610494946953E-7</v>
      </c>
      <c r="M292" s="4" t="e">
        <v>#N/A</v>
      </c>
      <c r="N292" s="1"/>
      <c r="O292" s="1"/>
      <c r="P292" s="1"/>
      <c r="Q292" s="1"/>
      <c r="R292" s="1"/>
      <c r="S292" s="1"/>
      <c r="T292" s="1"/>
      <c r="U292" s="2">
        <f t="shared" si="206"/>
        <v>7</v>
      </c>
      <c r="V292" s="2">
        <f t="shared" si="207"/>
        <v>215</v>
      </c>
    </row>
    <row r="293" spans="1:22" x14ac:dyDescent="0.3">
      <c r="A293" s="2">
        <f t="shared" si="205"/>
        <v>7216</v>
      </c>
      <c r="B293" s="32">
        <v>1E-3</v>
      </c>
      <c r="C293" s="32">
        <v>1E-3</v>
      </c>
      <c r="D293" s="32">
        <v>2.0000000000000002E-5</v>
      </c>
      <c r="E293" s="10">
        <v>2</v>
      </c>
      <c r="F293" s="10">
        <v>1000000</v>
      </c>
      <c r="G293" s="8">
        <v>1E-3</v>
      </c>
      <c r="H293" s="8">
        <v>1E-3</v>
      </c>
      <c r="I293" s="1"/>
      <c r="J293" s="1"/>
      <c r="K293" s="1">
        <v>5</v>
      </c>
      <c r="L293" s="1">
        <v>5</v>
      </c>
      <c r="M293" s="1">
        <v>5</v>
      </c>
      <c r="N293" s="1">
        <v>5</v>
      </c>
      <c r="O293" s="1"/>
      <c r="P293" s="1"/>
      <c r="Q293" s="1"/>
      <c r="R293" s="1"/>
      <c r="S293" s="1"/>
      <c r="T293" s="1"/>
      <c r="U293" s="2">
        <f t="shared" si="206"/>
        <v>7</v>
      </c>
      <c r="V293" s="2">
        <f t="shared" si="207"/>
        <v>216</v>
      </c>
    </row>
    <row r="294" spans="1:22" x14ac:dyDescent="0.3">
      <c r="A294" s="2">
        <f t="shared" si="205"/>
        <v>7217</v>
      </c>
      <c r="B294" s="32">
        <v>5.0000000000000001E-3</v>
      </c>
      <c r="C294" s="32">
        <v>5.0000000000000001E-3</v>
      </c>
      <c r="D294" s="32">
        <v>2.0000000000000002E-5</v>
      </c>
      <c r="E294" s="10">
        <v>2</v>
      </c>
      <c r="F294" s="10">
        <v>1000000</v>
      </c>
      <c r="G294" s="8">
        <v>5.0000000000000001E-3</v>
      </c>
      <c r="H294" s="8">
        <v>5.0000000000000001E-3</v>
      </c>
      <c r="I294" s="1"/>
      <c r="J294" s="2" t="str">
        <f t="shared" ref="J294" si="218">CONCATENATE(K293,1)</f>
        <v>51</v>
      </c>
      <c r="K294" s="4">
        <f t="array" ref="K294:N296">LINEST(B293:B297,C293:C297^{1,2,3},TRUE,TRUE)</f>
        <v>-1.8512738645822774E-4</v>
      </c>
      <c r="L294" s="4">
        <v>3.1847737715976323E-4</v>
      </c>
      <c r="M294" s="4">
        <v>0.99986626005628187</v>
      </c>
      <c r="N294" s="4">
        <v>3.9006629798073785E-7</v>
      </c>
      <c r="O294" s="1"/>
      <c r="P294" s="1"/>
      <c r="Q294" s="1"/>
      <c r="R294" s="1"/>
      <c r="S294" s="1"/>
      <c r="T294" s="1"/>
      <c r="U294" s="2">
        <f t="shared" si="206"/>
        <v>7</v>
      </c>
      <c r="V294" s="2">
        <f t="shared" si="207"/>
        <v>217</v>
      </c>
    </row>
    <row r="295" spans="1:22" x14ac:dyDescent="0.3">
      <c r="A295" s="2">
        <f t="shared" si="205"/>
        <v>7218</v>
      </c>
      <c r="B295" s="32">
        <v>0.1</v>
      </c>
      <c r="C295" s="32">
        <v>0.10001</v>
      </c>
      <c r="D295" s="32">
        <v>2.0000000000000002E-5</v>
      </c>
      <c r="E295" s="10">
        <v>2.0099999999999998</v>
      </c>
      <c r="F295" s="10">
        <v>181</v>
      </c>
      <c r="G295" s="8">
        <v>0.1</v>
      </c>
      <c r="H295" s="8">
        <v>9.9989999999999996E-2</v>
      </c>
      <c r="I295" s="1"/>
      <c r="J295" s="2" t="str">
        <f t="shared" ref="J295" si="219">CONCATENATE(K293,2)</f>
        <v>52</v>
      </c>
      <c r="K295" s="4">
        <v>1.2603275332294947E-5</v>
      </c>
      <c r="L295" s="4">
        <v>1.8758216308072144E-5</v>
      </c>
      <c r="M295" s="4">
        <v>6.4706441278745124E-6</v>
      </c>
      <c r="N295" s="4">
        <v>2.7492111930076341E-7</v>
      </c>
      <c r="O295" s="1"/>
      <c r="P295" s="1"/>
      <c r="Q295" s="1"/>
      <c r="R295" s="1"/>
      <c r="S295" s="1"/>
      <c r="T295" s="1"/>
      <c r="U295" s="2">
        <f t="shared" si="206"/>
        <v>7</v>
      </c>
      <c r="V295" s="2">
        <f t="shared" si="207"/>
        <v>218</v>
      </c>
    </row>
    <row r="296" spans="1:22" x14ac:dyDescent="0.3">
      <c r="A296" s="2">
        <f t="shared" si="205"/>
        <v>7219</v>
      </c>
      <c r="B296" s="32">
        <v>0.5</v>
      </c>
      <c r="C296" s="32">
        <v>0.50000999999999995</v>
      </c>
      <c r="D296" s="32">
        <v>2.0000000000000002E-5</v>
      </c>
      <c r="E296" s="10">
        <v>2.0099999999999998</v>
      </c>
      <c r="F296" s="10">
        <v>182</v>
      </c>
      <c r="G296" s="8">
        <v>0.5</v>
      </c>
      <c r="H296" s="8">
        <v>0.49998999999999999</v>
      </c>
      <c r="I296" s="1"/>
      <c r="J296" s="2" t="str">
        <f t="shared" ref="J296" si="220">CONCATENATE(K293,3)</f>
        <v>53</v>
      </c>
      <c r="K296" s="4">
        <v>0.99999999999981282</v>
      </c>
      <c r="L296" s="4">
        <v>3.7331888866714284E-7</v>
      </c>
      <c r="M296" s="4" t="e">
        <v>#N/A</v>
      </c>
      <c r="N296" s="4" t="e">
        <v>#N/A</v>
      </c>
      <c r="O296" s="1"/>
      <c r="P296" s="1"/>
      <c r="Q296" s="1"/>
      <c r="R296" s="1"/>
      <c r="S296" s="1"/>
      <c r="T296" s="1"/>
      <c r="U296" s="2">
        <f t="shared" si="206"/>
        <v>7</v>
      </c>
      <c r="V296" s="2">
        <f t="shared" si="207"/>
        <v>219</v>
      </c>
    </row>
    <row r="297" spans="1:22" x14ac:dyDescent="0.3">
      <c r="A297" s="2">
        <f t="shared" si="205"/>
        <v>7220</v>
      </c>
      <c r="B297" s="32">
        <v>1</v>
      </c>
      <c r="C297" s="32">
        <v>1</v>
      </c>
      <c r="D297" s="32">
        <v>4.0000000000000003E-5</v>
      </c>
      <c r="E297" s="10">
        <v>2</v>
      </c>
      <c r="F297" s="10">
        <v>1000000</v>
      </c>
      <c r="G297" s="8">
        <v>1</v>
      </c>
      <c r="H297" s="8">
        <v>1.0000100000000001</v>
      </c>
      <c r="I297" s="1"/>
      <c r="J297" s="1"/>
      <c r="K297" s="1">
        <v>6</v>
      </c>
      <c r="L297" s="1">
        <v>6</v>
      </c>
      <c r="M297" s="1">
        <v>6</v>
      </c>
      <c r="N297" s="1">
        <v>6</v>
      </c>
      <c r="O297" s="1">
        <v>6</v>
      </c>
      <c r="P297" s="1"/>
      <c r="Q297" s="1"/>
      <c r="R297" s="1"/>
      <c r="S297" s="1"/>
      <c r="T297" s="1"/>
      <c r="U297" s="2">
        <f t="shared" si="206"/>
        <v>7</v>
      </c>
      <c r="V297" s="2">
        <f t="shared" si="207"/>
        <v>220</v>
      </c>
    </row>
    <row r="298" spans="1:22" x14ac:dyDescent="0.3">
      <c r="A298" s="2">
        <f t="shared" si="205"/>
        <v>7221</v>
      </c>
      <c r="B298" s="32">
        <v>10</v>
      </c>
      <c r="C298" s="32">
        <v>10.000019999999999</v>
      </c>
      <c r="D298" s="32">
        <v>8.0000000000000007E-5</v>
      </c>
      <c r="E298" s="10">
        <v>2</v>
      </c>
      <c r="F298" s="10">
        <v>1000000</v>
      </c>
      <c r="G298" s="8">
        <v>10</v>
      </c>
      <c r="H298" s="8">
        <v>10.000030000000001</v>
      </c>
      <c r="I298" s="1"/>
      <c r="J298" s="2" t="str">
        <f t="shared" ref="J298" si="221">CONCATENATE(K297,1)</f>
        <v>61</v>
      </c>
      <c r="K298" s="4">
        <f t="array" ref="K298:O300">LINEST(B293:B298,C293:C298^{1,2,3,4},TRUE,TRUE)</f>
        <v>1.826851899097269E-5</v>
      </c>
      <c r="L298" s="4">
        <v>-2.1440144268657283E-4</v>
      </c>
      <c r="M298" s="4">
        <v>3.3042390575480248E-4</v>
      </c>
      <c r="N298" s="4">
        <v>0.99986531650067312</v>
      </c>
      <c r="O298" s="4">
        <v>3.9264393000143505E-7</v>
      </c>
      <c r="P298" s="1"/>
      <c r="Q298" s="1"/>
      <c r="R298" s="1"/>
      <c r="S298" s="1"/>
      <c r="T298" s="1"/>
      <c r="U298" s="2">
        <f t="shared" si="206"/>
        <v>7</v>
      </c>
      <c r="V298" s="2">
        <f t="shared" si="207"/>
        <v>221</v>
      </c>
    </row>
    <row r="299" spans="1:22" x14ac:dyDescent="0.3">
      <c r="A299" s="2">
        <f t="shared" si="205"/>
        <v>7222</v>
      </c>
      <c r="B299" s="32">
        <v>15</v>
      </c>
      <c r="C299" s="32">
        <v>15.000019999999999</v>
      </c>
      <c r="D299" s="32">
        <v>8.0000000000000007E-5</v>
      </c>
      <c r="E299" s="10">
        <v>2</v>
      </c>
      <c r="F299" s="10">
        <v>1000000</v>
      </c>
      <c r="G299" s="8">
        <v>15</v>
      </c>
      <c r="H299" s="8">
        <v>15.00009</v>
      </c>
      <c r="I299" s="1"/>
      <c r="J299" s="2" t="str">
        <f t="shared" ref="J299" si="222">CONCATENATE(K297,2)</f>
        <v>62</v>
      </c>
      <c r="K299" s="4">
        <v>1.2846095185478329E-6</v>
      </c>
      <c r="L299" s="4">
        <v>1.4745709362786705E-5</v>
      </c>
      <c r="M299" s="4">
        <v>1.9718828937285705E-5</v>
      </c>
      <c r="N299" s="4">
        <v>6.5774861075093267E-6</v>
      </c>
      <c r="O299" s="4">
        <v>2.7683605448246051E-7</v>
      </c>
      <c r="P299" s="1"/>
      <c r="Q299" s="1"/>
      <c r="R299" s="1"/>
      <c r="S299" s="1"/>
      <c r="T299" s="1"/>
      <c r="U299" s="2">
        <f t="shared" si="206"/>
        <v>7</v>
      </c>
      <c r="V299" s="2">
        <f t="shared" si="207"/>
        <v>222</v>
      </c>
    </row>
    <row r="300" spans="1:22" x14ac:dyDescent="0.3">
      <c r="A300" s="2">
        <f t="shared" si="205"/>
        <v>7223</v>
      </c>
      <c r="B300" s="32">
        <v>20</v>
      </c>
      <c r="C300" s="32">
        <v>20.000029999999999</v>
      </c>
      <c r="D300" s="32">
        <v>9.0000000000000006E-5</v>
      </c>
      <c r="E300" s="10">
        <v>2</v>
      </c>
      <c r="F300" s="10">
        <v>1000000</v>
      </c>
      <c r="G300" s="8">
        <v>20</v>
      </c>
      <c r="H300" s="8">
        <v>20.000039999999998</v>
      </c>
      <c r="I300" s="1"/>
      <c r="J300" s="2" t="str">
        <f t="shared" ref="J300" si="223">CONCATENATE(K297,3)</f>
        <v>63</v>
      </c>
      <c r="K300" s="4">
        <v>0.99999999999999822</v>
      </c>
      <c r="L300" s="4">
        <v>3.757984588208972E-7</v>
      </c>
      <c r="M300" s="4" t="e">
        <v>#N/A</v>
      </c>
      <c r="N300" s="4" t="e">
        <v>#N/A</v>
      </c>
      <c r="O300" s="4" t="e">
        <v>#N/A</v>
      </c>
      <c r="P300" s="1"/>
      <c r="Q300" s="1"/>
      <c r="R300" s="1"/>
      <c r="S300" s="1"/>
      <c r="T300" s="1"/>
      <c r="U300" s="2">
        <f t="shared" si="206"/>
        <v>7</v>
      </c>
      <c r="V300" s="2">
        <f t="shared" si="207"/>
        <v>223</v>
      </c>
    </row>
    <row r="301" spans="1:22" x14ac:dyDescent="0.3">
      <c r="A301" s="2">
        <f t="shared" si="205"/>
        <v>7224</v>
      </c>
      <c r="B301" s="32">
        <v>50</v>
      </c>
      <c r="C301" s="32">
        <v>50.000039999999998</v>
      </c>
      <c r="D301" s="32">
        <v>1.6000000000000001E-4</v>
      </c>
      <c r="E301" s="10">
        <v>2</v>
      </c>
      <c r="F301" s="10">
        <v>1000000</v>
      </c>
      <c r="G301" s="8">
        <v>50</v>
      </c>
      <c r="H301" s="8">
        <v>50.000100000000003</v>
      </c>
      <c r="I301" s="1"/>
      <c r="J301" s="1"/>
      <c r="K301" s="1">
        <v>7</v>
      </c>
      <c r="L301" s="1">
        <v>7</v>
      </c>
      <c r="M301" s="1">
        <v>7</v>
      </c>
      <c r="N301" s="1">
        <v>7</v>
      </c>
      <c r="O301" s="1">
        <v>7</v>
      </c>
      <c r="P301" s="1">
        <v>7</v>
      </c>
      <c r="Q301" s="1"/>
      <c r="R301" s="1"/>
      <c r="S301" s="1"/>
      <c r="T301" s="1"/>
      <c r="U301" s="2">
        <f t="shared" si="206"/>
        <v>7</v>
      </c>
      <c r="V301" s="2">
        <f t="shared" si="207"/>
        <v>224</v>
      </c>
    </row>
    <row r="302" spans="1:22" x14ac:dyDescent="0.3">
      <c r="A302" s="2">
        <f t="shared" si="205"/>
        <v>7225</v>
      </c>
      <c r="B302" s="32">
        <v>100</v>
      </c>
      <c r="C302" s="32">
        <v>99.999899999999997</v>
      </c>
      <c r="D302" s="32">
        <v>4.0000000000000002E-4</v>
      </c>
      <c r="E302" s="10">
        <v>2</v>
      </c>
      <c r="F302" s="10">
        <v>1000000</v>
      </c>
      <c r="G302" s="8">
        <v>100</v>
      </c>
      <c r="H302" s="8">
        <v>100.0004</v>
      </c>
      <c r="I302" s="1"/>
      <c r="J302" s="2" t="str">
        <f t="shared" ref="J302" si="224">CONCATENATE(K301,1)</f>
        <v>71</v>
      </c>
      <c r="K302" s="4">
        <f t="array" ref="K302:P304">LINEST(B293:B299,C293:C299^{1,2,3,4,5},TRUE,TRUE)</f>
        <v>-1.2061985984199386E-6</v>
      </c>
      <c r="L302" s="4">
        <v>3.2263361241494426E-5</v>
      </c>
      <c r="M302" s="4">
        <v>-2.3451855864130424E-4</v>
      </c>
      <c r="N302" s="4">
        <v>3.3837377161045651E-4</v>
      </c>
      <c r="O302" s="4">
        <v>0.99986469341600714</v>
      </c>
      <c r="P302" s="4">
        <v>3.9434465320953294E-7</v>
      </c>
      <c r="Q302" s="1"/>
      <c r="R302" s="1"/>
      <c r="S302" s="1"/>
      <c r="T302" s="1"/>
      <c r="U302" s="2">
        <f t="shared" si="206"/>
        <v>7</v>
      </c>
      <c r="V302" s="2">
        <f t="shared" si="207"/>
        <v>225</v>
      </c>
    </row>
    <row r="303" spans="1:22" x14ac:dyDescent="0.3">
      <c r="A303" s="2">
        <f t="shared" si="205"/>
        <v>7226</v>
      </c>
      <c r="B303" s="61" t="s">
        <v>44</v>
      </c>
      <c r="C303" s="61"/>
      <c r="D303" s="61"/>
      <c r="E303" s="61"/>
      <c r="F303" s="61"/>
      <c r="G303" s="61"/>
      <c r="H303" s="61"/>
      <c r="I303" s="1"/>
      <c r="J303" s="2" t="str">
        <f t="shared" ref="J303" si="225">CONCATENATE(K301,2)</f>
        <v>72</v>
      </c>
      <c r="K303" s="4">
        <v>8.6748480259236972E-8</v>
      </c>
      <c r="L303" s="4">
        <v>2.2966986765816658E-6</v>
      </c>
      <c r="M303" s="4">
        <v>1.6256726794909979E-5</v>
      </c>
      <c r="N303" s="4">
        <v>2.0373352201042564E-5</v>
      </c>
      <c r="O303" s="4">
        <v>6.6491771619632309E-6</v>
      </c>
      <c r="P303" s="4">
        <v>2.7810165763948082E-7</v>
      </c>
      <c r="Q303" s="1"/>
      <c r="R303" s="1"/>
      <c r="S303" s="1"/>
      <c r="T303" s="1"/>
      <c r="U303" s="2">
        <f t="shared" si="206"/>
        <v>7</v>
      </c>
      <c r="V303" s="2">
        <f t="shared" si="207"/>
        <v>226</v>
      </c>
    </row>
    <row r="304" spans="1:22" x14ac:dyDescent="0.3">
      <c r="A304" s="2">
        <f t="shared" si="205"/>
        <v>7227</v>
      </c>
      <c r="B304" s="4" t="s">
        <v>45</v>
      </c>
      <c r="C304" s="4" t="s">
        <v>46</v>
      </c>
      <c r="D304" s="4" t="s">
        <v>47</v>
      </c>
      <c r="E304" s="4" t="s">
        <v>48</v>
      </c>
      <c r="F304" s="4" t="s">
        <v>49</v>
      </c>
      <c r="G304" s="4" t="s">
        <v>50</v>
      </c>
      <c r="H304" s="4" t="s">
        <v>46</v>
      </c>
      <c r="I304" s="1"/>
      <c r="J304" s="2" t="str">
        <f t="shared" ref="J304" si="226">CONCATENATE(K301,3)</f>
        <v>73</v>
      </c>
      <c r="K304" s="4">
        <v>0.99999999999999933</v>
      </c>
      <c r="L304" s="4">
        <v>3.7743508224197632E-7</v>
      </c>
      <c r="M304" s="4" t="e">
        <v>#N/A</v>
      </c>
      <c r="N304" s="4" t="e">
        <v>#N/A</v>
      </c>
      <c r="O304" s="4" t="e">
        <v>#N/A</v>
      </c>
      <c r="P304" s="4" t="e">
        <v>#N/A</v>
      </c>
      <c r="Q304" s="1"/>
      <c r="R304" s="1"/>
      <c r="S304" s="1"/>
      <c r="T304" s="1"/>
      <c r="U304" s="2">
        <f t="shared" si="206"/>
        <v>7</v>
      </c>
      <c r="V304" s="2">
        <f t="shared" si="207"/>
        <v>227</v>
      </c>
    </row>
    <row r="305" spans="1:22" x14ac:dyDescent="0.3">
      <c r="A305" s="2">
        <f t="shared" si="205"/>
        <v>7228</v>
      </c>
      <c r="B305" s="10">
        <v>50</v>
      </c>
      <c r="C305" s="10">
        <v>49.999969999999998</v>
      </c>
      <c r="D305" s="10">
        <v>49.999969999999998</v>
      </c>
      <c r="E305" s="10">
        <v>49.999969999999998</v>
      </c>
      <c r="F305" s="10">
        <v>50.000070000000001</v>
      </c>
      <c r="G305" s="10">
        <v>50.000070000000001</v>
      </c>
      <c r="H305" s="10">
        <v>50.000369999999997</v>
      </c>
      <c r="I305" s="1"/>
      <c r="J305" s="1"/>
      <c r="K305" s="1">
        <v>8</v>
      </c>
      <c r="L305" s="1">
        <v>8</v>
      </c>
      <c r="M305" s="1">
        <v>8</v>
      </c>
      <c r="N305" s="1">
        <v>8</v>
      </c>
      <c r="O305" s="1">
        <v>8</v>
      </c>
      <c r="P305" s="1">
        <v>8</v>
      </c>
      <c r="Q305" s="1">
        <v>8</v>
      </c>
      <c r="R305" s="1"/>
      <c r="S305" s="1"/>
      <c r="T305" s="1"/>
      <c r="U305" s="2">
        <f t="shared" si="206"/>
        <v>7</v>
      </c>
      <c r="V305" s="2">
        <f t="shared" si="207"/>
        <v>228</v>
      </c>
    </row>
    <row r="306" spans="1:22" x14ac:dyDescent="0.3">
      <c r="A306" s="2">
        <f t="shared" si="205"/>
        <v>7229</v>
      </c>
      <c r="I306" s="1"/>
      <c r="J306" s="2" t="str">
        <f t="shared" ref="J306" si="227">CONCATENATE(K305,1)</f>
        <v>81</v>
      </c>
      <c r="K306" s="4">
        <f t="array" ref="K306:Q308">LINEST(B293:B300,C293:C300^{1,2,3,4,5,6},TRUE,TRUE)</f>
        <v>5.9844077511735714E-8</v>
      </c>
      <c r="L306" s="4">
        <v>-2.7981973528293908E-6</v>
      </c>
      <c r="M306" s="4">
        <v>4.367649938899042E-5</v>
      </c>
      <c r="N306" s="4">
        <v>-2.4988416659043841E-4</v>
      </c>
      <c r="O306" s="4">
        <v>3.4432088395394532E-4</v>
      </c>
      <c r="P306" s="4">
        <v>0.99986422967071165</v>
      </c>
      <c r="Q306" s="4">
        <v>3.9560969444796257E-7</v>
      </c>
      <c r="R306" s="1"/>
      <c r="S306" s="1"/>
      <c r="T306" s="1"/>
      <c r="U306" s="2">
        <f t="shared" si="206"/>
        <v>7</v>
      </c>
      <c r="V306" s="2">
        <f t="shared" si="207"/>
        <v>229</v>
      </c>
    </row>
    <row r="307" spans="1:22" x14ac:dyDescent="0.3">
      <c r="A307" s="2">
        <f t="shared" si="205"/>
        <v>7230</v>
      </c>
      <c r="B307" s="58" t="s">
        <v>30</v>
      </c>
      <c r="C307" s="58"/>
      <c r="D307" s="58"/>
      <c r="E307" s="58"/>
      <c r="F307" s="58"/>
      <c r="G307" s="58"/>
      <c r="H307" s="58"/>
      <c r="I307" s="1"/>
      <c r="J307" s="2" t="str">
        <f t="shared" ref="J307" si="228">CONCATENATE(K305,2)</f>
        <v>82</v>
      </c>
      <c r="K307" s="4">
        <v>4.3797748644562306E-9</v>
      </c>
      <c r="L307" s="4">
        <v>2.0354113325420064E-7</v>
      </c>
      <c r="M307" s="4">
        <v>3.1393817707786127E-6</v>
      </c>
      <c r="N307" s="4">
        <v>1.7433595542748546E-5</v>
      </c>
      <c r="O307" s="4">
        <v>2.0871748619675569E-5</v>
      </c>
      <c r="P307" s="4">
        <v>6.7031789982001309E-6</v>
      </c>
      <c r="Q307" s="4">
        <v>2.7903021171027159E-7</v>
      </c>
      <c r="R307" s="1"/>
      <c r="S307" s="1"/>
      <c r="T307" s="1"/>
      <c r="U307" s="2">
        <f t="shared" si="206"/>
        <v>7</v>
      </c>
      <c r="V307" s="2">
        <f t="shared" si="207"/>
        <v>230</v>
      </c>
    </row>
    <row r="308" spans="1:22" x14ac:dyDescent="0.3">
      <c r="A308" s="2">
        <f t="shared" si="205"/>
        <v>7231</v>
      </c>
      <c r="B308" s="62"/>
      <c r="C308" s="62"/>
      <c r="D308" s="62"/>
      <c r="E308" s="62"/>
      <c r="F308" s="62"/>
      <c r="G308" s="62"/>
      <c r="H308" s="62"/>
      <c r="I308" s="1"/>
      <c r="J308" s="2" t="str">
        <f t="shared" ref="J308" si="229">CONCATENATE(K305,3)</f>
        <v>83</v>
      </c>
      <c r="K308" s="4">
        <v>0.99999999999999967</v>
      </c>
      <c r="L308" s="4">
        <v>3.7865280189705793E-7</v>
      </c>
      <c r="M308" s="4" t="e">
        <v>#N/A</v>
      </c>
      <c r="N308" s="4" t="e">
        <v>#N/A</v>
      </c>
      <c r="O308" s="4" t="e">
        <v>#N/A</v>
      </c>
      <c r="P308" s="4" t="e">
        <v>#N/A</v>
      </c>
      <c r="Q308" s="4" t="e">
        <v>#N/A</v>
      </c>
      <c r="R308" s="1"/>
      <c r="S308" s="1"/>
      <c r="T308" s="1"/>
      <c r="U308" s="2">
        <f t="shared" si="206"/>
        <v>7</v>
      </c>
      <c r="V308" s="2">
        <f t="shared" si="207"/>
        <v>231</v>
      </c>
    </row>
    <row r="309" spans="1:22" x14ac:dyDescent="0.3">
      <c r="A309" s="2">
        <f t="shared" si="205"/>
        <v>7232</v>
      </c>
      <c r="B309" s="62"/>
      <c r="C309" s="62"/>
      <c r="D309" s="62"/>
      <c r="E309" s="62"/>
      <c r="F309" s="62"/>
      <c r="G309" s="62"/>
      <c r="H309" s="62"/>
      <c r="I309" s="1"/>
      <c r="J309" s="1"/>
      <c r="K309" s="1">
        <v>9</v>
      </c>
      <c r="L309" s="1">
        <v>9</v>
      </c>
      <c r="M309" s="1">
        <v>9</v>
      </c>
      <c r="N309" s="1">
        <v>9</v>
      </c>
      <c r="O309" s="1">
        <v>9</v>
      </c>
      <c r="P309" s="1">
        <v>9</v>
      </c>
      <c r="Q309" s="1">
        <v>9</v>
      </c>
      <c r="R309" s="1">
        <v>9</v>
      </c>
      <c r="S309" s="1"/>
      <c r="T309" s="1"/>
      <c r="U309" s="2">
        <f t="shared" si="206"/>
        <v>7</v>
      </c>
      <c r="V309" s="2">
        <f t="shared" si="207"/>
        <v>232</v>
      </c>
    </row>
    <row r="310" spans="1:22" x14ac:dyDescent="0.3">
      <c r="A310" s="2">
        <f t="shared" si="205"/>
        <v>7233</v>
      </c>
      <c r="B310" s="1"/>
      <c r="C310" s="1"/>
      <c r="D310" s="1"/>
      <c r="E310" s="1"/>
      <c r="F310" s="1"/>
      <c r="G310" s="1"/>
      <c r="H310" s="1"/>
      <c r="I310" s="1"/>
      <c r="J310" s="2" t="str">
        <f t="shared" ref="J310" si="230">CONCATENATE(K309,1)</f>
        <v>91</v>
      </c>
      <c r="K310" s="4">
        <f t="array" ref="K310:R312">LINEST(B293:B301,C293:C301^{1,2,3,4,5,6,7},TRUE,TRUE)</f>
        <v>-1.1930630073426541E-9</v>
      </c>
      <c r="L310" s="4">
        <v>1.1544375732680162E-7</v>
      </c>
      <c r="M310" s="4">
        <v>-3.6605002657150546E-6</v>
      </c>
      <c r="N310" s="4">
        <v>4.8533521986665044E-5</v>
      </c>
      <c r="O310" s="4">
        <v>-2.5612933880980472E-4</v>
      </c>
      <c r="P310" s="4">
        <v>3.4670134988725121E-4</v>
      </c>
      <c r="Q310" s="4">
        <v>0.99986404474953872</v>
      </c>
      <c r="R310" s="4">
        <v>3.9611397539829341E-7</v>
      </c>
      <c r="S310" s="1"/>
      <c r="T310" s="1"/>
      <c r="U310" s="2">
        <f t="shared" si="206"/>
        <v>7</v>
      </c>
      <c r="V310" s="2">
        <f t="shared" si="207"/>
        <v>233</v>
      </c>
    </row>
    <row r="311" spans="1:22" x14ac:dyDescent="0.3">
      <c r="A311" s="2">
        <f t="shared" si="205"/>
        <v>7234</v>
      </c>
      <c r="B311" s="5" t="s">
        <v>31</v>
      </c>
      <c r="C311" s="5" t="s">
        <v>32</v>
      </c>
      <c r="D311" s="5" t="s">
        <v>33</v>
      </c>
      <c r="E311" s="4" t="s">
        <v>34</v>
      </c>
      <c r="F311" s="57" t="s">
        <v>35</v>
      </c>
      <c r="G311" s="58"/>
      <c r="H311" s="58"/>
      <c r="I311" s="1"/>
      <c r="J311" s="2" t="str">
        <f t="shared" ref="J311" si="231">CONCATENATE(K309,2)</f>
        <v>92</v>
      </c>
      <c r="K311" s="4">
        <v>8.7937806882419665E-11</v>
      </c>
      <c r="L311" s="4">
        <v>8.4835322538556732E-9</v>
      </c>
      <c r="M311" s="4">
        <v>2.6736094847348854E-7</v>
      </c>
      <c r="N311" s="4">
        <v>3.5014039724874705E-6</v>
      </c>
      <c r="O311" s="4">
        <v>1.7916202988444927E-5</v>
      </c>
      <c r="P311" s="4">
        <v>2.1072914701971793E-5</v>
      </c>
      <c r="Q311" s="4">
        <v>6.7248419626297401E-6</v>
      </c>
      <c r="R311" s="4">
        <v>1.6858739431620738E-7</v>
      </c>
      <c r="S311" s="1"/>
      <c r="T311" s="1"/>
      <c r="U311" s="2">
        <f t="shared" si="206"/>
        <v>7</v>
      </c>
      <c r="V311" s="2">
        <f t="shared" si="207"/>
        <v>234</v>
      </c>
    </row>
    <row r="312" spans="1:22" x14ac:dyDescent="0.3">
      <c r="A312" s="2">
        <f t="shared" si="205"/>
        <v>7235</v>
      </c>
      <c r="B312" s="5">
        <f t="shared" ref="B312:B321" si="232">C293-B293</f>
        <v>0</v>
      </c>
      <c r="C312" s="5">
        <f t="shared" ref="C312:C321" si="233">H293-G293</f>
        <v>0</v>
      </c>
      <c r="D312" s="5">
        <f>C312-B312</f>
        <v>0</v>
      </c>
      <c r="E312" s="4">
        <f t="shared" ref="E312:E321" si="234">D293</f>
        <v>2.0000000000000002E-5</v>
      </c>
      <c r="F312" s="11">
        <f>IF(D280="","",MAX(G312,H312))</f>
        <v>5.0000000000238742E-4</v>
      </c>
      <c r="G312" s="5">
        <f>ABS(MIN(D312:D321))</f>
        <v>2.0000000000006124E-5</v>
      </c>
      <c r="H312" s="5">
        <f>ABS(MAX(D312:D321))</f>
        <v>5.0000000000238742E-4</v>
      </c>
      <c r="I312" s="1"/>
      <c r="J312" s="2" t="str">
        <f t="shared" ref="J312" si="235">CONCATENATE(K309,3)</f>
        <v>93</v>
      </c>
      <c r="K312" s="4">
        <v>1</v>
      </c>
      <c r="L312" s="4">
        <v>3.7913850402215829E-7</v>
      </c>
      <c r="M312" s="4" t="e">
        <v>#N/A</v>
      </c>
      <c r="N312" s="4" t="e">
        <v>#N/A</v>
      </c>
      <c r="O312" s="4" t="e">
        <v>#N/A</v>
      </c>
      <c r="P312" s="4" t="e">
        <v>#N/A</v>
      </c>
      <c r="Q312" s="4" t="e">
        <v>#N/A</v>
      </c>
      <c r="R312" s="4" t="e">
        <v>#N/A</v>
      </c>
      <c r="S312" s="1"/>
      <c r="T312" s="1"/>
      <c r="U312" s="2">
        <f t="shared" si="206"/>
        <v>7</v>
      </c>
      <c r="V312" s="2">
        <f t="shared" si="207"/>
        <v>235</v>
      </c>
    </row>
    <row r="313" spans="1:22" x14ac:dyDescent="0.3">
      <c r="A313" s="2">
        <f t="shared" si="205"/>
        <v>7236</v>
      </c>
      <c r="B313" s="5">
        <f t="shared" si="232"/>
        <v>0</v>
      </c>
      <c r="C313" s="5">
        <f t="shared" si="233"/>
        <v>0</v>
      </c>
      <c r="D313" s="5">
        <f t="shared" ref="D313:D321" si="236">C313-B313</f>
        <v>0</v>
      </c>
      <c r="E313" s="4">
        <f t="shared" si="234"/>
        <v>2.0000000000000002E-5</v>
      </c>
      <c r="F313" s="57" t="s">
        <v>36</v>
      </c>
      <c r="G313" s="58"/>
      <c r="H313" s="58"/>
      <c r="I313" s="1"/>
      <c r="J313" s="1"/>
      <c r="K313" s="1">
        <v>10</v>
      </c>
      <c r="L313" s="1">
        <v>10</v>
      </c>
      <c r="M313" s="1">
        <v>10</v>
      </c>
      <c r="N313" s="1">
        <v>10</v>
      </c>
      <c r="O313" s="1">
        <v>10</v>
      </c>
      <c r="P313" s="1">
        <v>10</v>
      </c>
      <c r="Q313" s="1">
        <v>10</v>
      </c>
      <c r="R313" s="1">
        <v>10</v>
      </c>
      <c r="S313" s="1">
        <v>10</v>
      </c>
      <c r="T313" s="1"/>
      <c r="U313" s="2">
        <f t="shared" si="206"/>
        <v>7</v>
      </c>
      <c r="V313" s="2">
        <f t="shared" si="207"/>
        <v>236</v>
      </c>
    </row>
    <row r="314" spans="1:22" x14ac:dyDescent="0.3">
      <c r="A314" s="2">
        <f t="shared" si="205"/>
        <v>7237</v>
      </c>
      <c r="B314" s="5">
        <f t="shared" si="232"/>
        <v>9.9999999999961231E-6</v>
      </c>
      <c r="C314" s="5">
        <f t="shared" si="233"/>
        <v>-1.0000000000010001E-5</v>
      </c>
      <c r="D314" s="5">
        <f t="shared" si="236"/>
        <v>-2.0000000000006124E-5</v>
      </c>
      <c r="E314" s="4">
        <f t="shared" si="234"/>
        <v>2.0000000000000002E-5</v>
      </c>
      <c r="F314" s="11">
        <f>IF(D280="","",MAX(G314,H314))</f>
        <v>1.0000000000331966E-4</v>
      </c>
      <c r="G314" s="5">
        <f>ABS(MIN(B312:B321))</f>
        <v>1.0000000000331966E-4</v>
      </c>
      <c r="H314" s="5">
        <f>ABS(MAX(B312:B321))</f>
        <v>3.9999999998485691E-5</v>
      </c>
      <c r="I314" s="1"/>
      <c r="J314" s="2" t="str">
        <f t="shared" ref="J314" si="237">CONCATENATE(K313,1)</f>
        <v>101</v>
      </c>
      <c r="K314" s="4">
        <f t="array" ref="K314:S316">LINEST(B293:B302,C293:C302^{1,2,3,4,5,6,7,8},TRUE,TRUE)</f>
        <v>-7.3930558340861964E-15</v>
      </c>
      <c r="L314" s="4">
        <v>1.3808070691209158E-12</v>
      </c>
      <c r="M314" s="4">
        <v>-8.0311926920757997E-11</v>
      </c>
      <c r="N314" s="4">
        <v>1.7448544254946536E-9</v>
      </c>
      <c r="O314" s="4">
        <v>-1.2867425078348879E-8</v>
      </c>
      <c r="P314" s="4">
        <v>0</v>
      </c>
      <c r="Q314" s="4">
        <v>0</v>
      </c>
      <c r="R314" s="4">
        <v>1.0000005612557945</v>
      </c>
      <c r="S314" s="4">
        <v>-4.1782269599721644E-6</v>
      </c>
      <c r="T314" s="1"/>
      <c r="U314" s="2">
        <f t="shared" si="206"/>
        <v>7</v>
      </c>
      <c r="V314" s="2">
        <f t="shared" si="207"/>
        <v>237</v>
      </c>
    </row>
    <row r="315" spans="1:22" x14ac:dyDescent="0.3">
      <c r="A315" s="2">
        <f t="shared" si="205"/>
        <v>7238</v>
      </c>
      <c r="B315" s="5">
        <f t="shared" si="232"/>
        <v>9.9999999999544897E-6</v>
      </c>
      <c r="C315" s="5">
        <f t="shared" si="233"/>
        <v>-1.0000000000010001E-5</v>
      </c>
      <c r="D315" s="5">
        <f t="shared" si="236"/>
        <v>-1.9999999999964491E-5</v>
      </c>
      <c r="E315" s="4">
        <f t="shared" si="234"/>
        <v>2.0000000000000002E-5</v>
      </c>
      <c r="F315" s="57" t="s">
        <v>37</v>
      </c>
      <c r="G315" s="58"/>
      <c r="H315" s="58"/>
      <c r="I315" s="1"/>
      <c r="J315" s="2" t="str">
        <f t="shared" ref="J315" si="238">CONCATENATE(K313,2)</f>
        <v>102</v>
      </c>
      <c r="K315" s="4">
        <v>1.8827756322940085E-14</v>
      </c>
      <c r="L315" s="4">
        <v>3.5499939267582485E-12</v>
      </c>
      <c r="M315" s="4">
        <v>2.1035038718101377E-10</v>
      </c>
      <c r="N315" s="4">
        <v>4.7304485560688842E-9</v>
      </c>
      <c r="O315" s="4">
        <v>3.6766101686411395E-8</v>
      </c>
      <c r="P315" s="4">
        <v>0</v>
      </c>
      <c r="Q315" s="4">
        <v>0</v>
      </c>
      <c r="R315" s="4">
        <v>7.355858144014236E-6</v>
      </c>
      <c r="S315" s="4">
        <v>3.6626557101325926E-6</v>
      </c>
      <c r="T315" s="1"/>
      <c r="U315" s="2">
        <f t="shared" si="206"/>
        <v>7</v>
      </c>
      <c r="V315" s="2">
        <f t="shared" si="207"/>
        <v>238</v>
      </c>
    </row>
    <row r="316" spans="1:22" x14ac:dyDescent="0.3">
      <c r="A316" s="2">
        <f t="shared" si="205"/>
        <v>7239</v>
      </c>
      <c r="B316" s="5">
        <f t="shared" si="232"/>
        <v>0</v>
      </c>
      <c r="C316" s="5">
        <f t="shared" si="233"/>
        <v>1.0000000000065512E-5</v>
      </c>
      <c r="D316" s="5">
        <f t="shared" si="236"/>
        <v>1.0000000000065512E-5</v>
      </c>
      <c r="E316" s="4">
        <f t="shared" si="234"/>
        <v>4.0000000000000003E-5</v>
      </c>
      <c r="F316" s="11">
        <f>IF(D280="","",MAX(G316,H316))</f>
        <v>4.0000000000000002E-4</v>
      </c>
      <c r="G316" s="5">
        <f>ABS(MIN(E312:E321))</f>
        <v>2.0000000000000002E-5</v>
      </c>
      <c r="H316" s="5">
        <f>ABS(MAX(E312:E321))</f>
        <v>4.0000000000000002E-4</v>
      </c>
      <c r="I316" s="1"/>
      <c r="J316" s="2" t="str">
        <f t="shared" ref="J316" si="239">CONCATENATE(K313,3)</f>
        <v>103</v>
      </c>
      <c r="K316" s="4">
        <v>0.99999999999998712</v>
      </c>
      <c r="L316" s="4">
        <v>6.3200900668900936E-6</v>
      </c>
      <c r="M316" s="4" t="e">
        <v>#N/A</v>
      </c>
      <c r="N316" s="4" t="e">
        <v>#N/A</v>
      </c>
      <c r="O316" s="4" t="e">
        <v>#N/A</v>
      </c>
      <c r="P316" s="4" t="e">
        <v>#N/A</v>
      </c>
      <c r="Q316" s="4" t="e">
        <v>#N/A</v>
      </c>
      <c r="R316" s="4" t="e">
        <v>#N/A</v>
      </c>
      <c r="S316" s="4" t="e">
        <v>#N/A</v>
      </c>
      <c r="T316" s="1"/>
      <c r="U316" s="2">
        <f t="shared" si="206"/>
        <v>7</v>
      </c>
      <c r="V316" s="2">
        <f t="shared" si="207"/>
        <v>239</v>
      </c>
    </row>
    <row r="317" spans="1:22" x14ac:dyDescent="0.3">
      <c r="A317" s="2">
        <f t="shared" si="205"/>
        <v>7240</v>
      </c>
      <c r="B317" s="5">
        <f t="shared" si="232"/>
        <v>1.9999999999242846E-5</v>
      </c>
      <c r="C317" s="5">
        <f>H298-G298</f>
        <v>3.0000000000640625E-5</v>
      </c>
      <c r="D317" s="5">
        <f t="shared" si="236"/>
        <v>1.000000000139778E-5</v>
      </c>
      <c r="E317" s="4">
        <f t="shared" si="234"/>
        <v>8.0000000000000007E-5</v>
      </c>
      <c r="F317" s="57" t="s">
        <v>51</v>
      </c>
      <c r="G317" s="58"/>
      <c r="H317" s="5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">
        <f t="shared" si="206"/>
        <v>7</v>
      </c>
      <c r="V317" s="2">
        <f t="shared" si="207"/>
        <v>240</v>
      </c>
    </row>
    <row r="318" spans="1:22" x14ac:dyDescent="0.3">
      <c r="A318" s="2">
        <f t="shared" si="205"/>
        <v>7241</v>
      </c>
      <c r="B318" s="5">
        <f t="shared" si="232"/>
        <v>1.9999999999242846E-5</v>
      </c>
      <c r="C318" s="5">
        <f t="shared" si="233"/>
        <v>9.0000000000145519E-5</v>
      </c>
      <c r="D318" s="5">
        <f t="shared" si="236"/>
        <v>7.0000000000902673E-5</v>
      </c>
      <c r="E318" s="4">
        <f t="shared" si="234"/>
        <v>8.0000000000000007E-5</v>
      </c>
      <c r="F318" s="21">
        <f>MAX(G318:H320)</f>
        <v>3.6999999999665079E-4</v>
      </c>
      <c r="G318" s="4">
        <f>IF(C305="",0,ABS(C305-B305))</f>
        <v>3.0000000002416982E-5</v>
      </c>
      <c r="H318" s="4">
        <f>IF(F305="",0,ABS(F305-B305))</f>
        <v>7.0000000000902673E-5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">
        <f t="shared" si="206"/>
        <v>7</v>
      </c>
      <c r="V318" s="2">
        <f t="shared" si="207"/>
        <v>241</v>
      </c>
    </row>
    <row r="319" spans="1:22" x14ac:dyDescent="0.3">
      <c r="A319" s="2">
        <f t="shared" si="205"/>
        <v>7242</v>
      </c>
      <c r="B319" s="5">
        <f t="shared" si="232"/>
        <v>2.9999999998864268E-5</v>
      </c>
      <c r="C319" s="5">
        <f t="shared" si="233"/>
        <v>3.9999999998485691E-5</v>
      </c>
      <c r="D319" s="5">
        <f t="shared" si="236"/>
        <v>9.9999999996214228E-6</v>
      </c>
      <c r="E319" s="4">
        <f t="shared" si="234"/>
        <v>9.0000000000000006E-5</v>
      </c>
      <c r="F319" s="4" t="s">
        <v>52</v>
      </c>
      <c r="G319" s="4">
        <f>IF(D305="",0,ABS(D305-B305))</f>
        <v>3.0000000002416982E-5</v>
      </c>
      <c r="H319" s="4">
        <f>IF(G305="",0,ABS(G305-B305))</f>
        <v>7.0000000000902673E-5</v>
      </c>
      <c r="I319" s="1"/>
      <c r="J319" s="1"/>
      <c r="R319" s="1"/>
      <c r="S319" s="1"/>
      <c r="T319" s="1"/>
      <c r="U319" s="2">
        <f t="shared" si="206"/>
        <v>7</v>
      </c>
      <c r="V319" s="2">
        <f t="shared" si="207"/>
        <v>242</v>
      </c>
    </row>
    <row r="320" spans="1:22" x14ac:dyDescent="0.3">
      <c r="A320" s="2">
        <f t="shared" si="205"/>
        <v>7243</v>
      </c>
      <c r="B320" s="5">
        <f t="shared" si="232"/>
        <v>3.9999999998485691E-5</v>
      </c>
      <c r="C320" s="5">
        <f t="shared" si="233"/>
        <v>1.0000000000331966E-4</v>
      </c>
      <c r="D320" s="5">
        <f t="shared" si="236"/>
        <v>6.0000000004833964E-5</v>
      </c>
      <c r="E320" s="4">
        <f t="shared" si="234"/>
        <v>1.6000000000000001E-4</v>
      </c>
      <c r="F320" s="22">
        <f>IF(F318=0,0,F318/B305%)</f>
        <v>7.3999999999330157E-4</v>
      </c>
      <c r="G320" s="4">
        <f>IF(G305="",0,ABS(G305-B305))</f>
        <v>7.0000000000902673E-5</v>
      </c>
      <c r="H320" s="4">
        <f>IF(H305="",0,ABS(H305-B305))</f>
        <v>3.6999999999665079E-4</v>
      </c>
      <c r="I320" s="1"/>
      <c r="J320" s="1"/>
      <c r="R320" s="1"/>
      <c r="S320" s="1"/>
      <c r="T320" s="1"/>
      <c r="U320" s="2">
        <f t="shared" si="206"/>
        <v>7</v>
      </c>
      <c r="V320" s="2">
        <f t="shared" si="207"/>
        <v>243</v>
      </c>
    </row>
    <row r="321" spans="1:22" x14ac:dyDescent="0.3">
      <c r="A321" s="2">
        <f t="shared" si="205"/>
        <v>7244</v>
      </c>
      <c r="B321" s="5">
        <f t="shared" si="232"/>
        <v>-1.0000000000331966E-4</v>
      </c>
      <c r="C321" s="5">
        <f t="shared" si="233"/>
        <v>3.9999999999906777E-4</v>
      </c>
      <c r="D321" s="5">
        <f t="shared" si="236"/>
        <v>5.0000000000238742E-4</v>
      </c>
      <c r="E321" s="4">
        <f t="shared" si="234"/>
        <v>4.0000000000000002E-4</v>
      </c>
      <c r="F321" s="1"/>
      <c r="G321" s="1"/>
      <c r="H321" s="1"/>
      <c r="I321" s="1"/>
      <c r="J321" s="1"/>
      <c r="R321" s="1"/>
      <c r="S321" s="1"/>
      <c r="T321" s="1"/>
      <c r="U321" s="2">
        <f t="shared" si="206"/>
        <v>7</v>
      </c>
      <c r="V321" s="2">
        <f t="shared" si="207"/>
        <v>244</v>
      </c>
    </row>
    <row r="322" spans="1:22" x14ac:dyDescent="0.3">
      <c r="A322" s="2">
        <f t="shared" si="205"/>
        <v>7245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">
        <f t="shared" si="206"/>
        <v>7</v>
      </c>
      <c r="V322" s="2">
        <f t="shared" si="207"/>
        <v>245</v>
      </c>
    </row>
    <row r="323" spans="1:22" s="20" customForma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 x14ac:dyDescent="0.3">
      <c r="A324" s="2">
        <f>ROUND(CONCATENATE(U324,V324),0)</f>
        <v>8201</v>
      </c>
      <c r="B324" s="63" t="s">
        <v>0</v>
      </c>
      <c r="C324" s="63"/>
      <c r="D324" s="71" t="s">
        <v>76</v>
      </c>
      <c r="E324" s="72"/>
      <c r="F324" s="72"/>
      <c r="G324" s="72"/>
      <c r="H324" s="7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">
        <f>U322+1</f>
        <v>8</v>
      </c>
      <c r="V324" s="2">
        <v>201</v>
      </c>
    </row>
    <row r="325" spans="1:22" x14ac:dyDescent="0.3">
      <c r="A325" s="2">
        <f t="shared" ref="A325:A368" si="240">ROUND(CONCATENATE(U325,V325),0)</f>
        <v>8202</v>
      </c>
      <c r="B325" s="12" t="s">
        <v>40</v>
      </c>
      <c r="C325" s="13"/>
      <c r="D325" s="16" t="s">
        <v>54</v>
      </c>
      <c r="E325" s="57" t="s">
        <v>39</v>
      </c>
      <c r="F325" s="57"/>
      <c r="G325" s="18">
        <v>1E-3</v>
      </c>
      <c r="H325" s="15" t="str">
        <f>IF(D326="","",D325)</f>
        <v>kg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">
        <f>U324</f>
        <v>8</v>
      </c>
      <c r="V325" s="2">
        <f>V324+1</f>
        <v>202</v>
      </c>
    </row>
    <row r="326" spans="1:22" x14ac:dyDescent="0.3">
      <c r="A326" s="2">
        <f t="shared" si="240"/>
        <v>8203</v>
      </c>
      <c r="B326" s="63" t="s">
        <v>1</v>
      </c>
      <c r="C326" s="63"/>
      <c r="D326" s="71" t="s">
        <v>110</v>
      </c>
      <c r="E326" s="72"/>
      <c r="F326" s="72"/>
      <c r="G326" s="72"/>
      <c r="H326" s="73"/>
      <c r="I326" s="1"/>
      <c r="J326" s="1"/>
      <c r="K326" s="1" t="s">
        <v>2</v>
      </c>
      <c r="L326" s="1" t="s">
        <v>3</v>
      </c>
      <c r="M326" s="1" t="s">
        <v>4</v>
      </c>
      <c r="N326" s="1" t="s">
        <v>5</v>
      </c>
      <c r="O326" s="1" t="s">
        <v>6</v>
      </c>
      <c r="P326" s="1" t="s">
        <v>7</v>
      </c>
      <c r="Q326" s="1" t="s">
        <v>8</v>
      </c>
      <c r="R326" s="1" t="s">
        <v>9</v>
      </c>
      <c r="S326" s="1" t="s">
        <v>10</v>
      </c>
      <c r="T326" s="1"/>
      <c r="U326" s="2">
        <f t="shared" ref="U326:U368" si="241">U325</f>
        <v>8</v>
      </c>
      <c r="V326" s="2">
        <f t="shared" ref="V326:V368" si="242">V325+1</f>
        <v>203</v>
      </c>
    </row>
    <row r="327" spans="1:22" x14ac:dyDescent="0.3">
      <c r="A327" s="2">
        <f t="shared" si="240"/>
        <v>8204</v>
      </c>
      <c r="B327" s="63" t="s">
        <v>11</v>
      </c>
      <c r="C327" s="63"/>
      <c r="D327" s="71" t="s">
        <v>75</v>
      </c>
      <c r="E327" s="72"/>
      <c r="F327" s="72"/>
      <c r="G327" s="72"/>
      <c r="H327" s="73"/>
      <c r="I327" s="1"/>
      <c r="J327" s="1">
        <f>COUNTA(B339:B348)</f>
        <v>7</v>
      </c>
      <c r="K327" s="1">
        <f t="shared" ref="K327" si="243">IF(L327-1&lt;2,0,L327-1)</f>
        <v>0</v>
      </c>
      <c r="L327" s="1">
        <f t="shared" ref="L327" si="244">IF(M327-1&lt;2,0,M327-1)</f>
        <v>0</v>
      </c>
      <c r="M327" s="1">
        <f t="shared" ref="M327" si="245">IF(N327-1&lt;2,0,N327-1)</f>
        <v>0</v>
      </c>
      <c r="N327" s="1">
        <f t="shared" ref="N327" si="246">IF(O327-1&lt;2,0,O327-1)</f>
        <v>2</v>
      </c>
      <c r="O327" s="1">
        <f t="shared" ref="O327" si="247">IF(P327-1&lt;2,0,P327-1)</f>
        <v>3</v>
      </c>
      <c r="P327" s="1">
        <f t="shared" ref="P327" si="248">IF(Q327-1&lt;2,0,Q327-1)</f>
        <v>4</v>
      </c>
      <c r="Q327" s="1">
        <f t="shared" ref="Q327" si="249">IF(R327-1&lt;2,0,R327-1)</f>
        <v>5</v>
      </c>
      <c r="R327" s="1">
        <f>IF(S327-1&lt;2,0,S327-1)</f>
        <v>6</v>
      </c>
      <c r="S327" s="1">
        <f>J327</f>
        <v>7</v>
      </c>
      <c r="T327" s="1"/>
      <c r="U327" s="2">
        <f t="shared" si="241"/>
        <v>8</v>
      </c>
      <c r="V327" s="2">
        <f t="shared" si="242"/>
        <v>204</v>
      </c>
    </row>
    <row r="328" spans="1:22" x14ac:dyDescent="0.3">
      <c r="A328" s="2">
        <f t="shared" si="240"/>
        <v>8205</v>
      </c>
      <c r="B328" s="63" t="s">
        <v>12</v>
      </c>
      <c r="C328" s="63"/>
      <c r="D328" s="71" t="s">
        <v>43</v>
      </c>
      <c r="E328" s="72"/>
      <c r="F328" s="72"/>
      <c r="G328" s="72"/>
      <c r="H328" s="73"/>
      <c r="I328" s="1"/>
      <c r="J328" s="2" t="str">
        <f>CONCATENATE(J327,1)</f>
        <v>71</v>
      </c>
      <c r="K328" s="3">
        <f>IF(K327=0,0,VLOOKUP(J328,J332:S362,K327,FALSE))</f>
        <v>0</v>
      </c>
      <c r="L328" s="3">
        <f>IF(L327=0,0,VLOOKUP(J328,J332:S362,L327,FALSE))</f>
        <v>0</v>
      </c>
      <c r="M328" s="3">
        <f>IF(M327=0,0,VLOOKUP(J328,J332:S362,M327,FALSE))</f>
        <v>0</v>
      </c>
      <c r="N328" s="3">
        <f>IF(N327=0,0,VLOOKUP(J328,J332:S362,N327,FALSE))</f>
        <v>-3.9706870565736047E-11</v>
      </c>
      <c r="O328" s="3">
        <f>IF(O327=0,0,VLOOKUP(J328,J332:S362,O327,FALSE))</f>
        <v>3.2691647659282339E-9</v>
      </c>
      <c r="P328" s="3">
        <f>IF(P327=0,0,VLOOKUP(J328,J332:S362,P327,FALSE))</f>
        <v>-1.566910709068572E-8</v>
      </c>
      <c r="Q328" s="3">
        <f>IF(Q327=0,0,VLOOKUP(J328,J332:S362,Q327,FALSE))</f>
        <v>-2.1325971783988338E-6</v>
      </c>
      <c r="R328" s="3">
        <f>IF(R327=0,0,VLOOKUP(J328,J332:S362,R327,FALSE))</f>
        <v>1.0000265852051524</v>
      </c>
      <c r="S328" s="3">
        <f>IF(S327=0,0,VLOOKUP(J328,J332:S362,S327,FALSE))</f>
        <v>-3.1110532056293112E-5</v>
      </c>
      <c r="T328" s="1"/>
      <c r="U328" s="2">
        <f t="shared" si="241"/>
        <v>8</v>
      </c>
      <c r="V328" s="2">
        <f t="shared" si="242"/>
        <v>205</v>
      </c>
    </row>
    <row r="329" spans="1:22" x14ac:dyDescent="0.3">
      <c r="A329" s="2">
        <f t="shared" si="240"/>
        <v>8206</v>
      </c>
      <c r="B329" s="63" t="s">
        <v>13</v>
      </c>
      <c r="C329" s="63"/>
      <c r="D329" s="74" t="s">
        <v>178</v>
      </c>
      <c r="E329" s="72"/>
      <c r="F329" s="72"/>
      <c r="G329" s="72"/>
      <c r="H329" s="73"/>
      <c r="I329" s="1"/>
      <c r="J329" s="2" t="str">
        <f>CONCATENATE(J327,2)</f>
        <v>72</v>
      </c>
      <c r="K329" s="4">
        <f>IF(K327=0,0,VLOOKUP(J329,J332:S362,K327,FALSE))</f>
        <v>0</v>
      </c>
      <c r="L329" s="4">
        <f>IF(L327=0,0,VLOOKUP(J329,J332:S362,L327,FALSE))</f>
        <v>0</v>
      </c>
      <c r="M329" s="4">
        <f>IF(M327=0,0,VLOOKUP(J329,J332:S362,M327,FALSE))</f>
        <v>0</v>
      </c>
      <c r="N329" s="4">
        <f>IF(N327=0,0,VLOOKUP(J329,J332:S362,N327,FALSE))</f>
        <v>6.576681643041359E-11</v>
      </c>
      <c r="O329" s="4">
        <f>IF(O327=0,0,VLOOKUP(J329,J332:S362,O327,FALSE))</f>
        <v>1.0008863140145791E-8</v>
      </c>
      <c r="P329" s="4">
        <f>IF(P327=0,0,VLOOKUP(J329,J332:S362,P327,FALSE))</f>
        <v>5.4020256021955348E-7</v>
      </c>
      <c r="Q329" s="4">
        <f>IF(Q327=0,0,VLOOKUP(J329,J332:S362,Q327,FALSE))</f>
        <v>1.2260122410810668E-5</v>
      </c>
      <c r="R329" s="4">
        <f>IF(R327=0,0,VLOOKUP(J329,J332:S362,R327,FALSE))</f>
        <v>1.0479909838322268E-4</v>
      </c>
      <c r="S329" s="4">
        <f>IF(S327=0,0,VLOOKUP(J329,J332:S362,S327,FALSE))</f>
        <v>2.1970948678344174E-4</v>
      </c>
      <c r="T329" s="1"/>
      <c r="U329" s="2">
        <f t="shared" si="241"/>
        <v>8</v>
      </c>
      <c r="V329" s="2">
        <f t="shared" si="242"/>
        <v>206</v>
      </c>
    </row>
    <row r="330" spans="1:22" x14ac:dyDescent="0.3">
      <c r="A330" s="2">
        <f t="shared" si="240"/>
        <v>8207</v>
      </c>
      <c r="B330" s="63" t="s">
        <v>14</v>
      </c>
      <c r="C330" s="63"/>
      <c r="D330" s="75">
        <v>46031</v>
      </c>
      <c r="E330" s="76"/>
      <c r="F330" s="76"/>
      <c r="G330" s="76"/>
      <c r="H330" s="77"/>
      <c r="I330" s="1"/>
      <c r="J330" s="2" t="str">
        <f>CONCATENATE(J327,3)</f>
        <v>73</v>
      </c>
      <c r="K330" s="4"/>
      <c r="L330" s="4"/>
      <c r="M330" s="4"/>
      <c r="N330" s="4" t="s">
        <v>15</v>
      </c>
      <c r="O330" s="3">
        <f>J327-2</f>
        <v>5</v>
      </c>
      <c r="P330" s="4" t="s">
        <v>16</v>
      </c>
      <c r="Q330" s="3">
        <f>VLOOKUP(J330,J332:S362,3,FALSE)</f>
        <v>1.6372153820354285E-4</v>
      </c>
      <c r="R330" s="4" t="s">
        <v>17</v>
      </c>
      <c r="S330" s="4">
        <f>VLOOKUP(J330,J332:S362,2,FALSE)</f>
        <v>0.99999999999022038</v>
      </c>
      <c r="T330" s="1"/>
      <c r="U330" s="2">
        <f t="shared" si="241"/>
        <v>8</v>
      </c>
      <c r="V330" s="2">
        <f t="shared" si="242"/>
        <v>207</v>
      </c>
    </row>
    <row r="331" spans="1:22" x14ac:dyDescent="0.3">
      <c r="A331" s="2">
        <f t="shared" si="240"/>
        <v>8208</v>
      </c>
      <c r="B331" s="63" t="s">
        <v>18</v>
      </c>
      <c r="C331" s="63"/>
      <c r="D331" s="78">
        <v>46417</v>
      </c>
      <c r="E331" s="65"/>
      <c r="F331" s="65"/>
      <c r="G331" s="65"/>
      <c r="H331" s="66"/>
      <c r="I331" s="1"/>
      <c r="J331" s="1"/>
      <c r="K331" s="1">
        <v>3</v>
      </c>
      <c r="L331" s="1">
        <v>3</v>
      </c>
      <c r="M331" s="1"/>
      <c r="N331" s="1"/>
      <c r="O331" s="1"/>
      <c r="P331" s="1"/>
      <c r="Q331" s="1"/>
      <c r="R331" s="1"/>
      <c r="S331" s="1"/>
      <c r="T331" s="1"/>
      <c r="U331" s="2">
        <f t="shared" si="241"/>
        <v>8</v>
      </c>
      <c r="V331" s="2">
        <f t="shared" si="242"/>
        <v>208</v>
      </c>
    </row>
    <row r="332" spans="1:22" x14ac:dyDescent="0.3">
      <c r="A332" s="2">
        <f t="shared" si="240"/>
        <v>8209</v>
      </c>
      <c r="B332" s="67" t="s">
        <v>19</v>
      </c>
      <c r="C332" s="63"/>
      <c r="D332" s="5">
        <f>IF(D325="","",MIN(B339:B348))</f>
        <v>1</v>
      </c>
      <c r="E332" s="6" t="s">
        <v>20</v>
      </c>
      <c r="F332" s="5">
        <f>IF(D325="","",MAX(B339:B348))</f>
        <v>60</v>
      </c>
      <c r="G332" s="7" t="str">
        <f>IF(D326="","",H325)</f>
        <v>kg</v>
      </c>
      <c r="H332" s="14"/>
      <c r="I332" s="1"/>
      <c r="J332" s="2" t="str">
        <f>CONCATENATE(K331,1)</f>
        <v>31</v>
      </c>
      <c r="K332" s="4">
        <f t="array" ref="K332:L334">LINEST(B339:B341,C339:C341^{1},TRUE,TRUE)</f>
        <v>1.0000000000000002</v>
      </c>
      <c r="L332" s="4">
        <v>-1.7763568394002505E-15</v>
      </c>
      <c r="M332" s="1"/>
      <c r="N332" s="1"/>
      <c r="O332" s="1"/>
      <c r="P332" s="1"/>
      <c r="Q332" s="1"/>
      <c r="R332" s="1"/>
      <c r="S332" s="1"/>
      <c r="T332" s="1"/>
      <c r="U332" s="2">
        <f t="shared" si="241"/>
        <v>8</v>
      </c>
      <c r="V332" s="2">
        <f t="shared" si="242"/>
        <v>209</v>
      </c>
    </row>
    <row r="333" spans="1:22" x14ac:dyDescent="0.3">
      <c r="A333" s="2">
        <f t="shared" si="240"/>
        <v>8210</v>
      </c>
      <c r="B333" s="1"/>
      <c r="C333" s="1"/>
      <c r="D333" s="1"/>
      <c r="E333" s="1"/>
      <c r="F333" s="1"/>
      <c r="G333" s="1"/>
      <c r="H333" s="1"/>
      <c r="I333" s="1"/>
      <c r="J333" s="2" t="str">
        <f>CONCATENATE(K331,2)</f>
        <v>32</v>
      </c>
      <c r="K333" s="4">
        <v>0</v>
      </c>
      <c r="L333" s="4">
        <v>0</v>
      </c>
      <c r="M333" s="1"/>
      <c r="N333" s="1"/>
      <c r="O333" s="1"/>
      <c r="P333" s="1"/>
      <c r="Q333" s="1"/>
      <c r="R333" s="1"/>
      <c r="S333" s="1"/>
      <c r="T333" s="1"/>
      <c r="U333" s="2">
        <f t="shared" si="241"/>
        <v>8</v>
      </c>
      <c r="V333" s="2">
        <f t="shared" si="242"/>
        <v>210</v>
      </c>
    </row>
    <row r="334" spans="1:22" x14ac:dyDescent="0.3">
      <c r="A334" s="2">
        <f t="shared" si="240"/>
        <v>8211</v>
      </c>
      <c r="B334" s="68" t="s">
        <v>21</v>
      </c>
      <c r="C334" s="68"/>
      <c r="D334" s="68"/>
      <c r="E334" s="68"/>
      <c r="F334" s="68"/>
      <c r="G334" s="69" t="s">
        <v>22</v>
      </c>
      <c r="H334" s="70"/>
      <c r="I334" s="1"/>
      <c r="J334" s="2" t="str">
        <f>CONCATENATE(K331,3)</f>
        <v>33</v>
      </c>
      <c r="K334" s="4">
        <v>1</v>
      </c>
      <c r="L334" s="4">
        <v>0</v>
      </c>
      <c r="M334" s="1"/>
      <c r="N334" s="1"/>
      <c r="O334" s="1"/>
      <c r="P334" s="1"/>
      <c r="Q334" s="1"/>
      <c r="R334" s="1"/>
      <c r="S334" s="1"/>
      <c r="T334" s="1"/>
      <c r="U334" s="2">
        <f t="shared" si="241"/>
        <v>8</v>
      </c>
      <c r="V334" s="2">
        <f t="shared" si="242"/>
        <v>211</v>
      </c>
    </row>
    <row r="335" spans="1:22" x14ac:dyDescent="0.3">
      <c r="A335" s="2">
        <f t="shared" si="240"/>
        <v>8212</v>
      </c>
      <c r="B335" s="61" t="s">
        <v>23</v>
      </c>
      <c r="C335" s="61"/>
      <c r="D335" s="61"/>
      <c r="E335" s="61" t="str">
        <f>D329</f>
        <v>E0020/26</v>
      </c>
      <c r="F335" s="61"/>
      <c r="G335" s="4" t="s">
        <v>24</v>
      </c>
      <c r="H335" s="31" t="s">
        <v>109</v>
      </c>
      <c r="I335" s="1"/>
      <c r="J335" s="1"/>
      <c r="K335" s="1">
        <v>4</v>
      </c>
      <c r="L335" s="1">
        <v>4</v>
      </c>
      <c r="M335" s="1">
        <v>4</v>
      </c>
      <c r="N335" s="1"/>
      <c r="O335" s="1"/>
      <c r="P335" s="1"/>
      <c r="Q335" s="1"/>
      <c r="R335" s="1"/>
      <c r="S335" s="1"/>
      <c r="T335" s="1"/>
      <c r="U335" s="2">
        <f t="shared" si="241"/>
        <v>8</v>
      </c>
      <c r="V335" s="2">
        <f t="shared" si="242"/>
        <v>212</v>
      </c>
    </row>
    <row r="336" spans="1:22" x14ac:dyDescent="0.3">
      <c r="A336" s="2">
        <f t="shared" si="240"/>
        <v>8213</v>
      </c>
      <c r="B336" s="59" t="s">
        <v>25</v>
      </c>
      <c r="C336" s="59" t="s">
        <v>26</v>
      </c>
      <c r="D336" s="59" t="s">
        <v>27</v>
      </c>
      <c r="E336" s="59" t="s">
        <v>28</v>
      </c>
      <c r="F336" s="59" t="s">
        <v>29</v>
      </c>
      <c r="G336" s="59" t="s">
        <v>25</v>
      </c>
      <c r="H336" s="59" t="s">
        <v>26</v>
      </c>
      <c r="I336" s="1"/>
      <c r="J336" s="2" t="str">
        <f t="shared" ref="J336" si="250">CONCATENATE(K335,1)</f>
        <v>41</v>
      </c>
      <c r="K336" s="4">
        <f t="array" ref="K336:M338">LINEST(B339:B342,C339:C342^{1,2},TRUE,TRUE)</f>
        <v>5.078930469765052E-18</v>
      </c>
      <c r="L336" s="4">
        <v>0.99999999999999989</v>
      </c>
      <c r="M336" s="4">
        <v>-2.5385576349588179E-18</v>
      </c>
      <c r="N336" s="1"/>
      <c r="O336" s="1"/>
      <c r="P336" s="1"/>
      <c r="Q336" s="1"/>
      <c r="R336" s="1"/>
      <c r="S336" s="1"/>
      <c r="T336" s="1"/>
      <c r="U336" s="2">
        <f t="shared" si="241"/>
        <v>8</v>
      </c>
      <c r="V336" s="2">
        <f t="shared" si="242"/>
        <v>213</v>
      </c>
    </row>
    <row r="337" spans="1:22" x14ac:dyDescent="0.3">
      <c r="A337" s="2">
        <f t="shared" si="240"/>
        <v>8214</v>
      </c>
      <c r="B337" s="60"/>
      <c r="C337" s="60"/>
      <c r="D337" s="60"/>
      <c r="E337" s="60"/>
      <c r="F337" s="60"/>
      <c r="G337" s="60"/>
      <c r="H337" s="60"/>
      <c r="I337" s="1"/>
      <c r="J337" s="2" t="str">
        <f t="shared" ref="J337" si="251">CONCATENATE(K335,2)</f>
        <v>42</v>
      </c>
      <c r="K337" s="4">
        <v>2.3988649535062898E-18</v>
      </c>
      <c r="L337" s="4">
        <v>7.7339004218067509E-17</v>
      </c>
      <c r="M337" s="4">
        <v>4.8480864027952589E-16</v>
      </c>
      <c r="N337" s="1"/>
      <c r="O337" s="1"/>
      <c r="P337" s="1"/>
      <c r="Q337" s="1"/>
      <c r="R337" s="1"/>
      <c r="S337" s="1"/>
      <c r="T337" s="1"/>
      <c r="U337" s="2">
        <f t="shared" si="241"/>
        <v>8</v>
      </c>
      <c r="V337" s="2">
        <f t="shared" si="242"/>
        <v>214</v>
      </c>
    </row>
    <row r="338" spans="1:22" x14ac:dyDescent="0.3">
      <c r="A338" s="2">
        <f t="shared" si="240"/>
        <v>8215</v>
      </c>
      <c r="B338" s="9" t="str">
        <f>CONCATENATE("(",H325,")")</f>
        <v>(kg)</v>
      </c>
      <c r="C338" s="9" t="str">
        <f>B338</f>
        <v>(kg)</v>
      </c>
      <c r="D338" s="9" t="str">
        <f>C338</f>
        <v>(kg)</v>
      </c>
      <c r="E338" s="9"/>
      <c r="F338" s="9"/>
      <c r="G338" s="9" t="str">
        <f>B338</f>
        <v>(kg)</v>
      </c>
      <c r="H338" s="9" t="str">
        <f>G338</f>
        <v>(kg)</v>
      </c>
      <c r="I338" s="1"/>
      <c r="J338" s="2" t="str">
        <f t="shared" ref="J338" si="252">CONCATENATE(K335,3)</f>
        <v>43</v>
      </c>
      <c r="K338" s="4">
        <v>1</v>
      </c>
      <c r="L338" s="4">
        <v>4.4408920985006262E-16</v>
      </c>
      <c r="M338" s="4" t="e">
        <v>#N/A</v>
      </c>
      <c r="N338" s="1"/>
      <c r="O338" s="1"/>
      <c r="P338" s="1"/>
      <c r="Q338" s="1"/>
      <c r="R338" s="1"/>
      <c r="S338" s="1"/>
      <c r="T338" s="1"/>
      <c r="U338" s="2">
        <f t="shared" si="241"/>
        <v>8</v>
      </c>
      <c r="V338" s="2">
        <f t="shared" si="242"/>
        <v>215</v>
      </c>
    </row>
    <row r="339" spans="1:22" x14ac:dyDescent="0.3">
      <c r="A339" s="2">
        <f t="shared" si="240"/>
        <v>8216</v>
      </c>
      <c r="B339" s="10">
        <v>1</v>
      </c>
      <c r="C339" s="10">
        <v>1</v>
      </c>
      <c r="D339" s="10">
        <v>2E-3</v>
      </c>
      <c r="E339" s="10">
        <v>2</v>
      </c>
      <c r="F339" s="10">
        <v>1000000</v>
      </c>
      <c r="G339" s="8">
        <v>1</v>
      </c>
      <c r="H339" s="8">
        <v>1</v>
      </c>
      <c r="I339" s="1"/>
      <c r="J339" s="1"/>
      <c r="K339" s="1">
        <v>5</v>
      </c>
      <c r="L339" s="1">
        <v>5</v>
      </c>
      <c r="M339" s="1">
        <v>5</v>
      </c>
      <c r="N339" s="1">
        <v>5</v>
      </c>
      <c r="O339" s="1"/>
      <c r="P339" s="1"/>
      <c r="Q339" s="1"/>
      <c r="R339" s="1"/>
      <c r="S339" s="1"/>
      <c r="T339" s="1"/>
      <c r="U339" s="2">
        <f t="shared" si="241"/>
        <v>8</v>
      </c>
      <c r="V339" s="2">
        <f t="shared" si="242"/>
        <v>216</v>
      </c>
    </row>
    <row r="340" spans="1:22" x14ac:dyDescent="0.3">
      <c r="A340" s="2">
        <f t="shared" si="240"/>
        <v>8217</v>
      </c>
      <c r="B340" s="10">
        <v>10</v>
      </c>
      <c r="C340" s="10">
        <v>10</v>
      </c>
      <c r="D340" s="10">
        <v>2E-3</v>
      </c>
      <c r="E340" s="10">
        <v>2</v>
      </c>
      <c r="F340" s="10">
        <v>1000000</v>
      </c>
      <c r="G340" s="8">
        <v>10</v>
      </c>
      <c r="H340" s="8">
        <v>9.9990000000000006</v>
      </c>
      <c r="I340" s="1"/>
      <c r="J340" s="2" t="str">
        <f t="shared" ref="J340" si="253">CONCATENATE(K339,1)</f>
        <v>51</v>
      </c>
      <c r="K340" s="4">
        <f t="array" ref="K340:N342">LINEST(B339:B343,C339:C343^{1,2,3},TRUE,TRUE)</f>
        <v>8.7341680332602925E-8</v>
      </c>
      <c r="L340" s="4">
        <v>-3.8694033715953483E-6</v>
      </c>
      <c r="M340" s="4">
        <v>1.0000410340279478</v>
      </c>
      <c r="N340" s="4">
        <v>-5.3292392860849677E-5</v>
      </c>
      <c r="O340" s="1"/>
      <c r="P340" s="1"/>
      <c r="Q340" s="1"/>
      <c r="R340" s="1"/>
      <c r="S340" s="1"/>
      <c r="T340" s="1"/>
      <c r="U340" s="2">
        <f t="shared" si="241"/>
        <v>8</v>
      </c>
      <c r="V340" s="2">
        <f t="shared" si="242"/>
        <v>217</v>
      </c>
    </row>
    <row r="341" spans="1:22" x14ac:dyDescent="0.3">
      <c r="A341" s="2">
        <f t="shared" si="240"/>
        <v>8218</v>
      </c>
      <c r="B341" s="10">
        <v>20</v>
      </c>
      <c r="C341" s="10">
        <v>20</v>
      </c>
      <c r="D341" s="10">
        <v>2E-3</v>
      </c>
      <c r="E341" s="10">
        <v>2</v>
      </c>
      <c r="F341" s="10">
        <v>1000000</v>
      </c>
      <c r="G341" s="8">
        <v>20</v>
      </c>
      <c r="H341" s="8">
        <v>19.998999999999999</v>
      </c>
      <c r="I341" s="1"/>
      <c r="J341" s="2" t="str">
        <f t="shared" ref="J341" si="254">CONCATENATE(K339,2)</f>
        <v>52</v>
      </c>
      <c r="K341" s="4">
        <v>3.2717446093628895E-8</v>
      </c>
      <c r="L341" s="4">
        <v>2.0412745554469593E-6</v>
      </c>
      <c r="M341" s="4">
        <v>3.3811260268514333E-5</v>
      </c>
      <c r="N341" s="4">
        <v>1.3561266381685027E-4</v>
      </c>
      <c r="O341" s="1"/>
      <c r="P341" s="1"/>
      <c r="Q341" s="1"/>
      <c r="R341" s="1"/>
      <c r="S341" s="1"/>
      <c r="T341" s="1"/>
      <c r="U341" s="2">
        <f t="shared" si="241"/>
        <v>8</v>
      </c>
      <c r="V341" s="2">
        <f t="shared" si="242"/>
        <v>218</v>
      </c>
    </row>
    <row r="342" spans="1:22" x14ac:dyDescent="0.3">
      <c r="A342" s="2">
        <f t="shared" si="240"/>
        <v>8219</v>
      </c>
      <c r="B342" s="10">
        <v>30</v>
      </c>
      <c r="C342" s="10">
        <v>30</v>
      </c>
      <c r="D342" s="10">
        <v>2E-3</v>
      </c>
      <c r="E342" s="10">
        <v>2</v>
      </c>
      <c r="F342" s="10">
        <v>1000000</v>
      </c>
      <c r="G342" s="8">
        <v>30</v>
      </c>
      <c r="H342" s="8">
        <v>29.998000000000001</v>
      </c>
      <c r="I342" s="1"/>
      <c r="J342" s="2" t="str">
        <f t="shared" ref="J342" si="255">CONCATENATE(K339,3)</f>
        <v>53</v>
      </c>
      <c r="K342" s="4">
        <v>0.99999999998619915</v>
      </c>
      <c r="L342" s="4">
        <v>1.1515139349205228E-4</v>
      </c>
      <c r="M342" s="4" t="e">
        <v>#N/A</v>
      </c>
      <c r="N342" s="4" t="e">
        <v>#N/A</v>
      </c>
      <c r="O342" s="1"/>
      <c r="P342" s="1"/>
      <c r="Q342" s="1"/>
      <c r="R342" s="1"/>
      <c r="S342" s="1"/>
      <c r="T342" s="1"/>
      <c r="U342" s="2">
        <f t="shared" si="241"/>
        <v>8</v>
      </c>
      <c r="V342" s="2">
        <f t="shared" si="242"/>
        <v>219</v>
      </c>
    </row>
    <row r="343" spans="1:22" x14ac:dyDescent="0.3">
      <c r="A343" s="2">
        <f t="shared" si="240"/>
        <v>8220</v>
      </c>
      <c r="B343" s="10">
        <v>40</v>
      </c>
      <c r="C343" s="10">
        <v>39.999000000000002</v>
      </c>
      <c r="D343" s="10">
        <v>3.0000000000000001E-3</v>
      </c>
      <c r="E343" s="10">
        <v>2</v>
      </c>
      <c r="F343" s="10">
        <v>1000000</v>
      </c>
      <c r="G343" s="8">
        <v>40</v>
      </c>
      <c r="H343" s="8">
        <v>39.997999999999998</v>
      </c>
      <c r="I343" s="1"/>
      <c r="J343" s="1"/>
      <c r="K343" s="1">
        <v>6</v>
      </c>
      <c r="L343" s="1">
        <v>6</v>
      </c>
      <c r="M343" s="1">
        <v>6</v>
      </c>
      <c r="N343" s="1">
        <v>6</v>
      </c>
      <c r="O343" s="1">
        <v>6</v>
      </c>
      <c r="P343" s="1"/>
      <c r="Q343" s="1"/>
      <c r="R343" s="1"/>
      <c r="S343" s="1"/>
      <c r="T343" s="1"/>
      <c r="U343" s="2">
        <f t="shared" si="241"/>
        <v>8</v>
      </c>
      <c r="V343" s="2">
        <f t="shared" si="242"/>
        <v>220</v>
      </c>
    </row>
    <row r="344" spans="1:22" x14ac:dyDescent="0.3">
      <c r="A344" s="2">
        <f t="shared" si="240"/>
        <v>8221</v>
      </c>
      <c r="B344" s="10">
        <v>50</v>
      </c>
      <c r="C344" s="10">
        <v>49.997999999999998</v>
      </c>
      <c r="D344" s="10">
        <v>3.0000000000000001E-3</v>
      </c>
      <c r="E344" s="10">
        <v>2</v>
      </c>
      <c r="F344" s="10">
        <v>1000000</v>
      </c>
      <c r="G344" s="8">
        <v>50</v>
      </c>
      <c r="H344" s="8">
        <v>49.997</v>
      </c>
      <c r="I344" s="1"/>
      <c r="J344" s="2" t="str">
        <f t="shared" ref="J344" si="256">CONCATENATE(K343,1)</f>
        <v>61</v>
      </c>
      <c r="K344" s="4">
        <f t="array" ref="K344:O346">LINEST(B339:B344,C339:C344^{1,2,3,4},TRUE,TRUE)</f>
        <v>-2.2512633206188889E-9</v>
      </c>
      <c r="L344" s="4">
        <v>2.5594301298130468E-7</v>
      </c>
      <c r="M344" s="4">
        <v>-7.673538266721091E-6</v>
      </c>
      <c r="N344" s="4">
        <v>1.0000669298998817</v>
      </c>
      <c r="O344" s="4">
        <v>-7.3592047645798259E-5</v>
      </c>
      <c r="P344" s="1"/>
      <c r="Q344" s="1"/>
      <c r="R344" s="1"/>
      <c r="S344" s="1"/>
      <c r="T344" s="1"/>
      <c r="U344" s="2">
        <f t="shared" si="241"/>
        <v>8</v>
      </c>
      <c r="V344" s="2">
        <f t="shared" si="242"/>
        <v>221</v>
      </c>
    </row>
    <row r="345" spans="1:22" x14ac:dyDescent="0.3">
      <c r="A345" s="2">
        <f t="shared" si="240"/>
        <v>8222</v>
      </c>
      <c r="B345" s="10">
        <v>60</v>
      </c>
      <c r="C345" s="10">
        <v>59.997999999999998</v>
      </c>
      <c r="D345" s="10">
        <v>3.0000000000000001E-3</v>
      </c>
      <c r="E345" s="10">
        <v>2</v>
      </c>
      <c r="F345" s="10">
        <v>1000000</v>
      </c>
      <c r="G345" s="8">
        <v>60</v>
      </c>
      <c r="H345" s="8">
        <v>59.997</v>
      </c>
      <c r="I345" s="1"/>
      <c r="J345" s="2" t="str">
        <f t="shared" ref="J345" si="257">CONCATENATE(K343,2)</f>
        <v>62</v>
      </c>
      <c r="K345" s="4">
        <v>2.1758555177988019E-9</v>
      </c>
      <c r="L345" s="4">
        <v>2.2271827564675107E-7</v>
      </c>
      <c r="M345" s="4">
        <v>7.2838480614687889E-6</v>
      </c>
      <c r="N345" s="4">
        <v>8.1819016376864393E-5</v>
      </c>
      <c r="O345" s="4">
        <v>2.3220774266339932E-4</v>
      </c>
      <c r="P345" s="1"/>
      <c r="Q345" s="1"/>
      <c r="R345" s="1"/>
      <c r="S345" s="1"/>
      <c r="T345" s="1"/>
      <c r="U345" s="2">
        <f t="shared" si="241"/>
        <v>8</v>
      </c>
      <c r="V345" s="2">
        <f t="shared" si="242"/>
        <v>222</v>
      </c>
    </row>
    <row r="346" spans="1:22" x14ac:dyDescent="0.3">
      <c r="A346" s="2">
        <f t="shared" si="240"/>
        <v>8223</v>
      </c>
      <c r="B346" s="10"/>
      <c r="C346" s="10"/>
      <c r="D346" s="10"/>
      <c r="E346" s="10"/>
      <c r="F346" s="10"/>
      <c r="G346" s="8"/>
      <c r="H346" s="8"/>
      <c r="I346" s="1"/>
      <c r="J346" s="2" t="str">
        <f t="shared" ref="J346" si="258">CONCATENATE(K343,3)</f>
        <v>63</v>
      </c>
      <c r="K346" s="4">
        <v>0.99999999997980893</v>
      </c>
      <c r="L346" s="4">
        <v>1.8531484879158455E-4</v>
      </c>
      <c r="M346" s="4" t="e">
        <v>#N/A</v>
      </c>
      <c r="N346" s="4" t="e">
        <v>#N/A</v>
      </c>
      <c r="O346" s="4" t="e">
        <v>#N/A</v>
      </c>
      <c r="P346" s="1"/>
      <c r="Q346" s="1"/>
      <c r="R346" s="1"/>
      <c r="S346" s="1"/>
      <c r="T346" s="1"/>
      <c r="U346" s="2">
        <f t="shared" si="241"/>
        <v>8</v>
      </c>
      <c r="V346" s="2">
        <f t="shared" si="242"/>
        <v>223</v>
      </c>
    </row>
    <row r="347" spans="1:22" x14ac:dyDescent="0.3">
      <c r="A347" s="2">
        <f t="shared" si="240"/>
        <v>8224</v>
      </c>
      <c r="B347" s="10"/>
      <c r="C347" s="10"/>
      <c r="D347" s="10"/>
      <c r="E347" s="10"/>
      <c r="F347" s="10"/>
      <c r="G347" s="8"/>
      <c r="H347" s="8"/>
      <c r="I347" s="1"/>
      <c r="J347" s="1"/>
      <c r="K347" s="1">
        <v>7</v>
      </c>
      <c r="L347" s="1">
        <v>7</v>
      </c>
      <c r="M347" s="1">
        <v>7</v>
      </c>
      <c r="N347" s="1">
        <v>7</v>
      </c>
      <c r="O347" s="1">
        <v>7</v>
      </c>
      <c r="P347" s="1">
        <v>7</v>
      </c>
      <c r="Q347" s="1"/>
      <c r="R347" s="1"/>
      <c r="S347" s="1"/>
      <c r="T347" s="1"/>
      <c r="U347" s="2">
        <f t="shared" si="241"/>
        <v>8</v>
      </c>
      <c r="V347" s="2">
        <f t="shared" si="242"/>
        <v>224</v>
      </c>
    </row>
    <row r="348" spans="1:22" x14ac:dyDescent="0.3">
      <c r="A348" s="2">
        <f t="shared" si="240"/>
        <v>8225</v>
      </c>
      <c r="B348" s="10"/>
      <c r="C348" s="10"/>
      <c r="D348" s="10"/>
      <c r="E348" s="10"/>
      <c r="F348" s="10"/>
      <c r="G348" s="8"/>
      <c r="H348" s="8"/>
      <c r="I348" s="1"/>
      <c r="J348" s="2" t="str">
        <f t="shared" ref="J348" si="259">CONCATENATE(K347,1)</f>
        <v>71</v>
      </c>
      <c r="K348" s="4">
        <f t="array" ref="K348:P350">LINEST(B339:B345,C339:C345^{1,2,3,4,5},TRUE,TRUE)</f>
        <v>-3.9706870565736047E-11</v>
      </c>
      <c r="L348" s="4">
        <v>3.2691647659282339E-9</v>
      </c>
      <c r="M348" s="4">
        <v>-1.566910709068572E-8</v>
      </c>
      <c r="N348" s="4">
        <v>-2.1325971783988338E-6</v>
      </c>
      <c r="O348" s="4">
        <v>1.0000265852051524</v>
      </c>
      <c r="P348" s="4">
        <v>-3.1110532056293112E-5</v>
      </c>
      <c r="Q348" s="1"/>
      <c r="R348" s="1"/>
      <c r="S348" s="1"/>
      <c r="T348" s="1"/>
      <c r="U348" s="2">
        <f t="shared" si="241"/>
        <v>8</v>
      </c>
      <c r="V348" s="2">
        <f t="shared" si="242"/>
        <v>225</v>
      </c>
    </row>
    <row r="349" spans="1:22" x14ac:dyDescent="0.3">
      <c r="A349" s="2">
        <f t="shared" si="240"/>
        <v>8226</v>
      </c>
      <c r="B349" s="61" t="s">
        <v>44</v>
      </c>
      <c r="C349" s="61"/>
      <c r="D349" s="61"/>
      <c r="E349" s="61"/>
      <c r="F349" s="61"/>
      <c r="G349" s="61"/>
      <c r="H349" s="61"/>
      <c r="I349" s="1"/>
      <c r="J349" s="2" t="str">
        <f t="shared" ref="J349" si="260">CONCATENATE(K347,2)</f>
        <v>72</v>
      </c>
      <c r="K349" s="4">
        <v>6.576681643041359E-11</v>
      </c>
      <c r="L349" s="4">
        <v>1.0008863140145791E-8</v>
      </c>
      <c r="M349" s="4">
        <v>5.4020256021955348E-7</v>
      </c>
      <c r="N349" s="4">
        <v>1.2260122410810668E-5</v>
      </c>
      <c r="O349" s="4">
        <v>1.0479909838322268E-4</v>
      </c>
      <c r="P349" s="4">
        <v>2.1970948678344174E-4</v>
      </c>
      <c r="Q349" s="1"/>
      <c r="R349" s="1"/>
      <c r="S349" s="1"/>
      <c r="T349" s="1"/>
      <c r="U349" s="2">
        <f t="shared" si="241"/>
        <v>8</v>
      </c>
      <c r="V349" s="2">
        <f t="shared" si="242"/>
        <v>226</v>
      </c>
    </row>
    <row r="350" spans="1:22" x14ac:dyDescent="0.3">
      <c r="A350" s="2">
        <f t="shared" si="240"/>
        <v>8227</v>
      </c>
      <c r="B350" s="4" t="s">
        <v>45</v>
      </c>
      <c r="C350" s="4" t="s">
        <v>46</v>
      </c>
      <c r="D350" s="4" t="s">
        <v>47</v>
      </c>
      <c r="E350" s="4" t="s">
        <v>48</v>
      </c>
      <c r="F350" s="4" t="s">
        <v>49</v>
      </c>
      <c r="G350" s="4" t="s">
        <v>50</v>
      </c>
      <c r="H350" s="4" t="s">
        <v>46</v>
      </c>
      <c r="I350" s="1"/>
      <c r="J350" s="2" t="str">
        <f t="shared" ref="J350" si="261">CONCATENATE(K347,3)</f>
        <v>73</v>
      </c>
      <c r="K350" s="4">
        <v>0.99999999999022038</v>
      </c>
      <c r="L350" s="4">
        <v>1.6372153820354285E-4</v>
      </c>
      <c r="M350" s="4" t="e">
        <v>#N/A</v>
      </c>
      <c r="N350" s="4" t="e">
        <v>#N/A</v>
      </c>
      <c r="O350" s="4" t="e">
        <v>#N/A</v>
      </c>
      <c r="P350" s="4" t="e">
        <v>#N/A</v>
      </c>
      <c r="Q350" s="1"/>
      <c r="R350" s="1"/>
      <c r="S350" s="1"/>
      <c r="T350" s="1"/>
      <c r="U350" s="2">
        <f t="shared" si="241"/>
        <v>8</v>
      </c>
      <c r="V350" s="2">
        <f t="shared" si="242"/>
        <v>227</v>
      </c>
    </row>
    <row r="351" spans="1:22" x14ac:dyDescent="0.3">
      <c r="A351" s="2">
        <f t="shared" si="240"/>
        <v>8228</v>
      </c>
      <c r="B351" s="10">
        <v>20</v>
      </c>
      <c r="C351" s="10">
        <v>20</v>
      </c>
      <c r="D351" s="10">
        <v>19.998999999999999</v>
      </c>
      <c r="E351" s="10">
        <v>20.001000000000001</v>
      </c>
      <c r="F351" s="10">
        <v>20.001000000000001</v>
      </c>
      <c r="G351" s="10">
        <v>19.998999999999999</v>
      </c>
      <c r="H351" s="10">
        <v>20</v>
      </c>
      <c r="I351" s="1"/>
      <c r="J351" s="1"/>
      <c r="K351" s="1">
        <v>8</v>
      </c>
      <c r="L351" s="1">
        <v>8</v>
      </c>
      <c r="M351" s="1">
        <v>8</v>
      </c>
      <c r="N351" s="1">
        <v>8</v>
      </c>
      <c r="O351" s="1">
        <v>8</v>
      </c>
      <c r="P351" s="1">
        <v>8</v>
      </c>
      <c r="Q351" s="1">
        <v>8</v>
      </c>
      <c r="R351" s="1"/>
      <c r="S351" s="1"/>
      <c r="T351" s="1"/>
      <c r="U351" s="2">
        <f t="shared" si="241"/>
        <v>8</v>
      </c>
      <c r="V351" s="2">
        <f t="shared" si="242"/>
        <v>228</v>
      </c>
    </row>
    <row r="352" spans="1:22" x14ac:dyDescent="0.3">
      <c r="A352" s="2">
        <f t="shared" si="240"/>
        <v>8229</v>
      </c>
      <c r="I352" s="1"/>
      <c r="J352" s="2" t="str">
        <f t="shared" ref="J352" si="262">CONCATENATE(K351,1)</f>
        <v>81</v>
      </c>
      <c r="K352" s="4" t="e">
        <f t="array" ref="K352:Q354">LINEST(B339:B346,C339:C346^{1,2,3,4,5,6},TRUE,TRUE)</f>
        <v>#VALUE!</v>
      </c>
      <c r="L352" s="4" t="e">
        <v>#VALUE!</v>
      </c>
      <c r="M352" s="4" t="e">
        <v>#VALUE!</v>
      </c>
      <c r="N352" s="4" t="e">
        <v>#VALUE!</v>
      </c>
      <c r="O352" s="4" t="e">
        <v>#VALUE!</v>
      </c>
      <c r="P352" s="4" t="e">
        <v>#VALUE!</v>
      </c>
      <c r="Q352" s="4" t="e">
        <v>#VALUE!</v>
      </c>
      <c r="R352" s="1"/>
      <c r="S352" s="1"/>
      <c r="T352" s="1"/>
      <c r="U352" s="2">
        <f t="shared" si="241"/>
        <v>8</v>
      </c>
      <c r="V352" s="2">
        <f t="shared" si="242"/>
        <v>229</v>
      </c>
    </row>
    <row r="353" spans="1:22" x14ac:dyDescent="0.3">
      <c r="A353" s="2">
        <f t="shared" si="240"/>
        <v>8230</v>
      </c>
      <c r="B353" s="58" t="s">
        <v>30</v>
      </c>
      <c r="C353" s="58"/>
      <c r="D353" s="58"/>
      <c r="E353" s="58"/>
      <c r="F353" s="58"/>
      <c r="G353" s="58"/>
      <c r="H353" s="58"/>
      <c r="I353" s="1"/>
      <c r="J353" s="2" t="str">
        <f t="shared" ref="J353" si="263">CONCATENATE(K351,2)</f>
        <v>82</v>
      </c>
      <c r="K353" s="4" t="e">
        <v>#VALUE!</v>
      </c>
      <c r="L353" s="4" t="e">
        <v>#VALUE!</v>
      </c>
      <c r="M353" s="4" t="e">
        <v>#VALUE!</v>
      </c>
      <c r="N353" s="4" t="e">
        <v>#VALUE!</v>
      </c>
      <c r="O353" s="4" t="e">
        <v>#VALUE!</v>
      </c>
      <c r="P353" s="4" t="e">
        <v>#VALUE!</v>
      </c>
      <c r="Q353" s="4" t="e">
        <v>#VALUE!</v>
      </c>
      <c r="R353" s="1"/>
      <c r="S353" s="1"/>
      <c r="T353" s="1"/>
      <c r="U353" s="2">
        <f t="shared" si="241"/>
        <v>8</v>
      </c>
      <c r="V353" s="2">
        <f t="shared" si="242"/>
        <v>230</v>
      </c>
    </row>
    <row r="354" spans="1:22" x14ac:dyDescent="0.3">
      <c r="A354" s="2">
        <f t="shared" si="240"/>
        <v>8231</v>
      </c>
      <c r="B354" s="62"/>
      <c r="C354" s="62"/>
      <c r="D354" s="62"/>
      <c r="E354" s="62"/>
      <c r="F354" s="62"/>
      <c r="G354" s="62"/>
      <c r="H354" s="62"/>
      <c r="I354" s="1"/>
      <c r="J354" s="2" t="str">
        <f t="shared" ref="J354" si="264">CONCATENATE(K351,3)</f>
        <v>83</v>
      </c>
      <c r="K354" s="4" t="e">
        <v>#VALUE!</v>
      </c>
      <c r="L354" s="4" t="e">
        <v>#VALUE!</v>
      </c>
      <c r="M354" s="4" t="e">
        <v>#VALUE!</v>
      </c>
      <c r="N354" s="4" t="e">
        <v>#VALUE!</v>
      </c>
      <c r="O354" s="4" t="e">
        <v>#VALUE!</v>
      </c>
      <c r="P354" s="4" t="e">
        <v>#VALUE!</v>
      </c>
      <c r="Q354" s="4" t="e">
        <v>#VALUE!</v>
      </c>
      <c r="R354" s="1"/>
      <c r="S354" s="1"/>
      <c r="T354" s="1"/>
      <c r="U354" s="2">
        <f t="shared" si="241"/>
        <v>8</v>
      </c>
      <c r="V354" s="2">
        <f t="shared" si="242"/>
        <v>231</v>
      </c>
    </row>
    <row r="355" spans="1:22" x14ac:dyDescent="0.3">
      <c r="A355" s="2">
        <f t="shared" si="240"/>
        <v>8232</v>
      </c>
      <c r="B355" s="62"/>
      <c r="C355" s="62"/>
      <c r="D355" s="62"/>
      <c r="E355" s="62"/>
      <c r="F355" s="62"/>
      <c r="G355" s="62"/>
      <c r="H355" s="62"/>
      <c r="I355" s="1"/>
      <c r="J355" s="1"/>
      <c r="K355" s="1">
        <v>9</v>
      </c>
      <c r="L355" s="1">
        <v>9</v>
      </c>
      <c r="M355" s="1">
        <v>9</v>
      </c>
      <c r="N355" s="1">
        <v>9</v>
      </c>
      <c r="O355" s="1">
        <v>9</v>
      </c>
      <c r="P355" s="1">
        <v>9</v>
      </c>
      <c r="Q355" s="1">
        <v>9</v>
      </c>
      <c r="R355" s="1">
        <v>9</v>
      </c>
      <c r="S355" s="1"/>
      <c r="T355" s="1"/>
      <c r="U355" s="2">
        <f t="shared" si="241"/>
        <v>8</v>
      </c>
      <c r="V355" s="2">
        <f t="shared" si="242"/>
        <v>232</v>
      </c>
    </row>
    <row r="356" spans="1:22" x14ac:dyDescent="0.3">
      <c r="A356" s="2">
        <f t="shared" si="240"/>
        <v>8233</v>
      </c>
      <c r="B356" s="1"/>
      <c r="C356" s="1"/>
      <c r="D356" s="1"/>
      <c r="E356" s="1"/>
      <c r="F356" s="1"/>
      <c r="G356" s="1"/>
      <c r="H356" s="1"/>
      <c r="I356" s="1"/>
      <c r="J356" s="2" t="str">
        <f t="shared" ref="J356" si="265">CONCATENATE(K355,1)</f>
        <v>91</v>
      </c>
      <c r="K356" s="4" t="e">
        <f t="array" ref="K356:R358">LINEST(B339:B347,C339:C347^{1,2,3,4,5,6,7},TRUE,TRUE)</f>
        <v>#VALUE!</v>
      </c>
      <c r="L356" s="4" t="e">
        <v>#VALUE!</v>
      </c>
      <c r="M356" s="4" t="e">
        <v>#VALUE!</v>
      </c>
      <c r="N356" s="4" t="e">
        <v>#VALUE!</v>
      </c>
      <c r="O356" s="4" t="e">
        <v>#VALUE!</v>
      </c>
      <c r="P356" s="4" t="e">
        <v>#VALUE!</v>
      </c>
      <c r="Q356" s="4" t="e">
        <v>#VALUE!</v>
      </c>
      <c r="R356" s="4" t="e">
        <v>#VALUE!</v>
      </c>
      <c r="S356" s="1"/>
      <c r="T356" s="1"/>
      <c r="U356" s="2">
        <f t="shared" si="241"/>
        <v>8</v>
      </c>
      <c r="V356" s="2">
        <f t="shared" si="242"/>
        <v>233</v>
      </c>
    </row>
    <row r="357" spans="1:22" x14ac:dyDescent="0.3">
      <c r="A357" s="2">
        <f t="shared" si="240"/>
        <v>8234</v>
      </c>
      <c r="B357" s="5" t="s">
        <v>31</v>
      </c>
      <c r="C357" s="5" t="s">
        <v>32</v>
      </c>
      <c r="D357" s="5" t="s">
        <v>33</v>
      </c>
      <c r="E357" s="4" t="s">
        <v>34</v>
      </c>
      <c r="F357" s="57" t="s">
        <v>35</v>
      </c>
      <c r="G357" s="58"/>
      <c r="H357" s="58"/>
      <c r="I357" s="1"/>
      <c r="J357" s="2" t="str">
        <f t="shared" ref="J357" si="266">CONCATENATE(K355,2)</f>
        <v>92</v>
      </c>
      <c r="K357" s="4" t="e">
        <v>#VALUE!</v>
      </c>
      <c r="L357" s="4" t="e">
        <v>#VALUE!</v>
      </c>
      <c r="M357" s="4" t="e">
        <v>#VALUE!</v>
      </c>
      <c r="N357" s="4" t="e">
        <v>#VALUE!</v>
      </c>
      <c r="O357" s="4" t="e">
        <v>#VALUE!</v>
      </c>
      <c r="P357" s="4" t="e">
        <v>#VALUE!</v>
      </c>
      <c r="Q357" s="4" t="e">
        <v>#VALUE!</v>
      </c>
      <c r="R357" s="4" t="e">
        <v>#VALUE!</v>
      </c>
      <c r="S357" s="1"/>
      <c r="T357" s="1"/>
      <c r="U357" s="2">
        <f t="shared" si="241"/>
        <v>8</v>
      </c>
      <c r="V357" s="2">
        <f t="shared" si="242"/>
        <v>234</v>
      </c>
    </row>
    <row r="358" spans="1:22" x14ac:dyDescent="0.3">
      <c r="A358" s="2">
        <f t="shared" si="240"/>
        <v>8235</v>
      </c>
      <c r="B358" s="5">
        <f t="shared" ref="B358:B367" si="267">C339-B339</f>
        <v>0</v>
      </c>
      <c r="C358" s="5">
        <f t="shared" ref="C358:C367" si="268">H339-G339</f>
        <v>0</v>
      </c>
      <c r="D358" s="5">
        <f>C358-B358</f>
        <v>0</v>
      </c>
      <c r="E358" s="4">
        <f t="shared" ref="E358:E367" si="269">D339</f>
        <v>2E-3</v>
      </c>
      <c r="F358" s="11">
        <f>IF(D326="","",MAX(G358,H358))</f>
        <v>1.9999999999988916E-3</v>
      </c>
      <c r="G358" s="5">
        <f>ABS(MIN(D358:D367))</f>
        <v>1.9999999999988916E-3</v>
      </c>
      <c r="H358" s="5">
        <f>ABS(MAX(D358:D367))</f>
        <v>0</v>
      </c>
      <c r="I358" s="1"/>
      <c r="J358" s="2" t="str">
        <f t="shared" ref="J358" si="270">CONCATENATE(K355,3)</f>
        <v>93</v>
      </c>
      <c r="K358" s="4" t="e">
        <v>#VALUE!</v>
      </c>
      <c r="L358" s="4" t="e">
        <v>#VALUE!</v>
      </c>
      <c r="M358" s="4" t="e">
        <v>#VALUE!</v>
      </c>
      <c r="N358" s="4" t="e">
        <v>#VALUE!</v>
      </c>
      <c r="O358" s="4" t="e">
        <v>#VALUE!</v>
      </c>
      <c r="P358" s="4" t="e">
        <v>#VALUE!</v>
      </c>
      <c r="Q358" s="4" t="e">
        <v>#VALUE!</v>
      </c>
      <c r="R358" s="4" t="e">
        <v>#VALUE!</v>
      </c>
      <c r="S358" s="1"/>
      <c r="T358" s="1"/>
      <c r="U358" s="2">
        <f t="shared" si="241"/>
        <v>8</v>
      </c>
      <c r="V358" s="2">
        <f t="shared" si="242"/>
        <v>235</v>
      </c>
    </row>
    <row r="359" spans="1:22" x14ac:dyDescent="0.3">
      <c r="A359" s="2">
        <f t="shared" si="240"/>
        <v>8236</v>
      </c>
      <c r="B359" s="5">
        <f t="shared" si="267"/>
        <v>0</v>
      </c>
      <c r="C359" s="5">
        <f t="shared" si="268"/>
        <v>-9.9999999999944578E-4</v>
      </c>
      <c r="D359" s="5">
        <f t="shared" ref="D359:D367" si="271">C359-B359</f>
        <v>-9.9999999999944578E-4</v>
      </c>
      <c r="E359" s="4">
        <f t="shared" si="269"/>
        <v>2E-3</v>
      </c>
      <c r="F359" s="57" t="s">
        <v>36</v>
      </c>
      <c r="G359" s="58"/>
      <c r="H359" s="58"/>
      <c r="I359" s="1"/>
      <c r="J359" s="1"/>
      <c r="K359" s="1">
        <v>10</v>
      </c>
      <c r="L359" s="1">
        <v>10</v>
      </c>
      <c r="M359" s="1">
        <v>10</v>
      </c>
      <c r="N359" s="1">
        <v>10</v>
      </c>
      <c r="O359" s="1">
        <v>10</v>
      </c>
      <c r="P359" s="1">
        <v>10</v>
      </c>
      <c r="Q359" s="1">
        <v>10</v>
      </c>
      <c r="R359" s="1">
        <v>10</v>
      </c>
      <c r="S359" s="1">
        <v>10</v>
      </c>
      <c r="T359" s="1"/>
      <c r="U359" s="2">
        <f t="shared" si="241"/>
        <v>8</v>
      </c>
      <c r="V359" s="2">
        <f t="shared" si="242"/>
        <v>236</v>
      </c>
    </row>
    <row r="360" spans="1:22" x14ac:dyDescent="0.3">
      <c r="A360" s="2">
        <f t="shared" si="240"/>
        <v>8237</v>
      </c>
      <c r="B360" s="5">
        <f t="shared" si="267"/>
        <v>0</v>
      </c>
      <c r="C360" s="5">
        <f t="shared" si="268"/>
        <v>-1.0000000000012221E-3</v>
      </c>
      <c r="D360" s="5">
        <f t="shared" si="271"/>
        <v>-1.0000000000012221E-3</v>
      </c>
      <c r="E360" s="4">
        <f t="shared" si="269"/>
        <v>2E-3</v>
      </c>
      <c r="F360" s="11">
        <f>IF(D326="","",MAX(G360,H360))</f>
        <v>2.0000000000024443E-3</v>
      </c>
      <c r="G360" s="5">
        <f>ABS(MIN(B358:B367))</f>
        <v>2.0000000000024443E-3</v>
      </c>
      <c r="H360" s="5">
        <f>ABS(MAX(B358:B367))</f>
        <v>0</v>
      </c>
      <c r="I360" s="1"/>
      <c r="J360" s="2" t="str">
        <f t="shared" ref="J360" si="272">CONCATENATE(K359,1)</f>
        <v>101</v>
      </c>
      <c r="K360" s="4" t="e">
        <f t="array" ref="K360:S362">LINEST(B339:B348,C339:C348^{1,2,3,4,5,6,7,8},TRUE,TRUE)</f>
        <v>#VALUE!</v>
      </c>
      <c r="L360" s="4" t="e">
        <v>#VALUE!</v>
      </c>
      <c r="M360" s="4" t="e">
        <v>#VALUE!</v>
      </c>
      <c r="N360" s="4" t="e">
        <v>#VALUE!</v>
      </c>
      <c r="O360" s="4" t="e">
        <v>#VALUE!</v>
      </c>
      <c r="P360" s="4" t="e">
        <v>#VALUE!</v>
      </c>
      <c r="Q360" s="4" t="e">
        <v>#VALUE!</v>
      </c>
      <c r="R360" s="4" t="e">
        <v>#VALUE!</v>
      </c>
      <c r="S360" s="4" t="e">
        <v>#VALUE!</v>
      </c>
      <c r="T360" s="1"/>
      <c r="U360" s="2">
        <f t="shared" si="241"/>
        <v>8</v>
      </c>
      <c r="V360" s="2">
        <f t="shared" si="242"/>
        <v>237</v>
      </c>
    </row>
    <row r="361" spans="1:22" x14ac:dyDescent="0.3">
      <c r="A361" s="2">
        <f t="shared" si="240"/>
        <v>8238</v>
      </c>
      <c r="B361" s="5">
        <f t="shared" si="267"/>
        <v>0</v>
      </c>
      <c r="C361" s="5">
        <f t="shared" si="268"/>
        <v>-1.9999999999988916E-3</v>
      </c>
      <c r="D361" s="5">
        <f t="shared" si="271"/>
        <v>-1.9999999999988916E-3</v>
      </c>
      <c r="E361" s="4">
        <f t="shared" si="269"/>
        <v>2E-3</v>
      </c>
      <c r="F361" s="57" t="s">
        <v>37</v>
      </c>
      <c r="G361" s="58"/>
      <c r="H361" s="58"/>
      <c r="I361" s="1"/>
      <c r="J361" s="2" t="str">
        <f t="shared" ref="J361" si="273">CONCATENATE(K359,2)</f>
        <v>102</v>
      </c>
      <c r="K361" s="4" t="e">
        <v>#VALUE!</v>
      </c>
      <c r="L361" s="4" t="e">
        <v>#VALUE!</v>
      </c>
      <c r="M361" s="4" t="e">
        <v>#VALUE!</v>
      </c>
      <c r="N361" s="4" t="e">
        <v>#VALUE!</v>
      </c>
      <c r="O361" s="4" t="e">
        <v>#VALUE!</v>
      </c>
      <c r="P361" s="4" t="e">
        <v>#VALUE!</v>
      </c>
      <c r="Q361" s="4" t="e">
        <v>#VALUE!</v>
      </c>
      <c r="R361" s="4" t="e">
        <v>#VALUE!</v>
      </c>
      <c r="S361" s="4" t="e">
        <v>#VALUE!</v>
      </c>
      <c r="T361" s="1"/>
      <c r="U361" s="2">
        <f t="shared" si="241"/>
        <v>8</v>
      </c>
      <c r="V361" s="2">
        <f t="shared" si="242"/>
        <v>238</v>
      </c>
    </row>
    <row r="362" spans="1:22" x14ac:dyDescent="0.3">
      <c r="A362" s="2">
        <f t="shared" si="240"/>
        <v>8239</v>
      </c>
      <c r="B362" s="5">
        <f t="shared" si="267"/>
        <v>-9.9999999999766942E-4</v>
      </c>
      <c r="C362" s="5">
        <f t="shared" si="268"/>
        <v>-2.0000000000024443E-3</v>
      </c>
      <c r="D362" s="5">
        <f t="shared" si="271"/>
        <v>-1.0000000000047748E-3</v>
      </c>
      <c r="E362" s="4">
        <f t="shared" si="269"/>
        <v>3.0000000000000001E-3</v>
      </c>
      <c r="F362" s="11">
        <f>IF(D326="","",MAX(G362,H362))</f>
        <v>3.0000000000000001E-3</v>
      </c>
      <c r="G362" s="5">
        <f>ABS(MIN(E358:E367))</f>
        <v>0</v>
      </c>
      <c r="H362" s="5">
        <f>ABS(MAX(E358:E367))</f>
        <v>3.0000000000000001E-3</v>
      </c>
      <c r="I362" s="1"/>
      <c r="J362" s="2" t="str">
        <f t="shared" ref="J362" si="274">CONCATENATE(K359,3)</f>
        <v>103</v>
      </c>
      <c r="K362" s="4" t="e">
        <v>#VALUE!</v>
      </c>
      <c r="L362" s="4" t="e">
        <v>#VALUE!</v>
      </c>
      <c r="M362" s="4" t="e">
        <v>#VALUE!</v>
      </c>
      <c r="N362" s="4" t="e">
        <v>#VALUE!</v>
      </c>
      <c r="O362" s="4" t="e">
        <v>#VALUE!</v>
      </c>
      <c r="P362" s="4" t="e">
        <v>#VALUE!</v>
      </c>
      <c r="Q362" s="4" t="e">
        <v>#VALUE!</v>
      </c>
      <c r="R362" s="4" t="e">
        <v>#VALUE!</v>
      </c>
      <c r="S362" s="4" t="e">
        <v>#VALUE!</v>
      </c>
      <c r="T362" s="1"/>
      <c r="U362" s="2">
        <f t="shared" si="241"/>
        <v>8</v>
      </c>
      <c r="V362" s="2">
        <f t="shared" si="242"/>
        <v>239</v>
      </c>
    </row>
    <row r="363" spans="1:22" x14ac:dyDescent="0.3">
      <c r="A363" s="2">
        <f t="shared" si="240"/>
        <v>8240</v>
      </c>
      <c r="B363" s="5">
        <f t="shared" si="267"/>
        <v>-2.0000000000024443E-3</v>
      </c>
      <c r="C363" s="5">
        <f t="shared" si="268"/>
        <v>-3.0000000000001137E-3</v>
      </c>
      <c r="D363" s="5">
        <f t="shared" si="271"/>
        <v>-9.9999999999766942E-4</v>
      </c>
      <c r="E363" s="4">
        <f t="shared" si="269"/>
        <v>3.0000000000000001E-3</v>
      </c>
      <c r="F363" s="57" t="s">
        <v>51</v>
      </c>
      <c r="G363" s="58"/>
      <c r="H363" s="5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">
        <f t="shared" si="241"/>
        <v>8</v>
      </c>
      <c r="V363" s="2">
        <f t="shared" si="242"/>
        <v>240</v>
      </c>
    </row>
    <row r="364" spans="1:22" x14ac:dyDescent="0.3">
      <c r="A364" s="2">
        <f t="shared" si="240"/>
        <v>8241</v>
      </c>
      <c r="B364" s="5">
        <f t="shared" si="267"/>
        <v>-2.0000000000024443E-3</v>
      </c>
      <c r="C364" s="5">
        <f t="shared" si="268"/>
        <v>-3.0000000000001137E-3</v>
      </c>
      <c r="D364" s="5">
        <f t="shared" si="271"/>
        <v>-9.9999999999766942E-4</v>
      </c>
      <c r="E364" s="4">
        <f t="shared" si="269"/>
        <v>3.0000000000000001E-3</v>
      </c>
      <c r="F364" s="21">
        <f>MAX(G364:H366)</f>
        <v>1.0000000000012221E-3</v>
      </c>
      <c r="G364" s="4">
        <f>IF(C351="",0,ABS(C351-B351))</f>
        <v>0</v>
      </c>
      <c r="H364" s="4">
        <f>IF(F351="",0,ABS(F351-B351))</f>
        <v>1.0000000000012221E-3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">
        <f t="shared" si="241"/>
        <v>8</v>
      </c>
      <c r="V364" s="2">
        <f t="shared" si="242"/>
        <v>241</v>
      </c>
    </row>
    <row r="365" spans="1:22" x14ac:dyDescent="0.3">
      <c r="A365" s="2">
        <f t="shared" si="240"/>
        <v>8242</v>
      </c>
      <c r="B365" s="5">
        <f t="shared" si="267"/>
        <v>0</v>
      </c>
      <c r="C365" s="5">
        <f t="shared" si="268"/>
        <v>0</v>
      </c>
      <c r="D365" s="5">
        <f t="shared" si="271"/>
        <v>0</v>
      </c>
      <c r="E365" s="4">
        <f t="shared" si="269"/>
        <v>0</v>
      </c>
      <c r="F365" s="4" t="s">
        <v>52</v>
      </c>
      <c r="G365" s="4">
        <f>IF(D351="",0,ABS(D351-B351))</f>
        <v>1.0000000000012221E-3</v>
      </c>
      <c r="H365" s="4">
        <f>IF(G351="",0,ABS(G351-B351))</f>
        <v>1.0000000000012221E-3</v>
      </c>
      <c r="I365" s="1"/>
      <c r="J365" s="1"/>
      <c r="R365" s="1"/>
      <c r="S365" s="1"/>
      <c r="T365" s="1"/>
      <c r="U365" s="2">
        <f t="shared" si="241"/>
        <v>8</v>
      </c>
      <c r="V365" s="2">
        <f t="shared" si="242"/>
        <v>242</v>
      </c>
    </row>
    <row r="366" spans="1:22" x14ac:dyDescent="0.3">
      <c r="A366" s="2">
        <f t="shared" si="240"/>
        <v>8243</v>
      </c>
      <c r="B366" s="5">
        <f t="shared" si="267"/>
        <v>0</v>
      </c>
      <c r="C366" s="5">
        <f t="shared" si="268"/>
        <v>0</v>
      </c>
      <c r="D366" s="5">
        <f t="shared" si="271"/>
        <v>0</v>
      </c>
      <c r="E366" s="4">
        <f t="shared" si="269"/>
        <v>0</v>
      </c>
      <c r="F366" s="22">
        <f>IF(F364=0,0,F364/B351%)</f>
        <v>5.0000000000061107E-3</v>
      </c>
      <c r="G366" s="4">
        <f>IF(G351="",0,ABS(G351-B351))</f>
        <v>1.0000000000012221E-3</v>
      </c>
      <c r="H366" s="4">
        <f>IF(H351="",0,ABS(H351-B351))</f>
        <v>0</v>
      </c>
      <c r="I366" s="1"/>
      <c r="J366" s="1"/>
      <c r="R366" s="1"/>
      <c r="S366" s="1"/>
      <c r="T366" s="1"/>
      <c r="U366" s="2">
        <f t="shared" si="241"/>
        <v>8</v>
      </c>
      <c r="V366" s="2">
        <f t="shared" si="242"/>
        <v>243</v>
      </c>
    </row>
    <row r="367" spans="1:22" x14ac:dyDescent="0.3">
      <c r="A367" s="2">
        <f t="shared" si="240"/>
        <v>8244</v>
      </c>
      <c r="B367" s="5">
        <f t="shared" si="267"/>
        <v>0</v>
      </c>
      <c r="C367" s="5">
        <f t="shared" si="268"/>
        <v>0</v>
      </c>
      <c r="D367" s="5">
        <f t="shared" si="271"/>
        <v>0</v>
      </c>
      <c r="E367" s="4">
        <f t="shared" si="269"/>
        <v>0</v>
      </c>
      <c r="F367" s="1"/>
      <c r="G367" s="1"/>
      <c r="H367" s="1"/>
      <c r="I367" s="1"/>
      <c r="J367" s="1"/>
      <c r="R367" s="1"/>
      <c r="S367" s="1"/>
      <c r="T367" s="1"/>
      <c r="U367" s="2">
        <f t="shared" si="241"/>
        <v>8</v>
      </c>
      <c r="V367" s="2">
        <f t="shared" si="242"/>
        <v>244</v>
      </c>
    </row>
    <row r="368" spans="1:22" x14ac:dyDescent="0.3">
      <c r="A368" s="2">
        <f t="shared" si="240"/>
        <v>8245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">
        <f t="shared" si="241"/>
        <v>8</v>
      </c>
      <c r="V368" s="2">
        <f t="shared" si="242"/>
        <v>245</v>
      </c>
    </row>
    <row r="369" spans="1:22" s="20" customForma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 x14ac:dyDescent="0.3">
      <c r="A370" s="2">
        <f>ROUND(CONCATENATE(U370,V370),0)</f>
        <v>9201</v>
      </c>
      <c r="B370" s="63" t="s">
        <v>0</v>
      </c>
      <c r="C370" s="63"/>
      <c r="D370" s="71" t="s">
        <v>73</v>
      </c>
      <c r="E370" s="72"/>
      <c r="F370" s="72"/>
      <c r="G370" s="72"/>
      <c r="H370" s="7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">
        <f>U368+1</f>
        <v>9</v>
      </c>
      <c r="V370" s="2">
        <v>201</v>
      </c>
    </row>
    <row r="371" spans="1:22" x14ac:dyDescent="0.3">
      <c r="A371" s="2">
        <f t="shared" ref="A371:A414" si="275">ROUND(CONCATENATE(U371,V371),0)</f>
        <v>9202</v>
      </c>
      <c r="B371" s="12" t="s">
        <v>40</v>
      </c>
      <c r="C371" s="13"/>
      <c r="D371" s="16" t="s">
        <v>41</v>
      </c>
      <c r="E371" s="57" t="s">
        <v>39</v>
      </c>
      <c r="F371" s="57"/>
      <c r="G371" s="18">
        <v>1.0000000000000001E-5</v>
      </c>
      <c r="H371" s="15" t="str">
        <f>IF(D372="","",D371)</f>
        <v>g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">
        <f>U370</f>
        <v>9</v>
      </c>
      <c r="V371" s="2">
        <f>V370+1</f>
        <v>202</v>
      </c>
    </row>
    <row r="372" spans="1:22" x14ac:dyDescent="0.3">
      <c r="A372" s="2">
        <f t="shared" si="275"/>
        <v>9203</v>
      </c>
      <c r="B372" s="63" t="s">
        <v>1</v>
      </c>
      <c r="C372" s="63"/>
      <c r="D372" s="71" t="s">
        <v>116</v>
      </c>
      <c r="E372" s="72"/>
      <c r="F372" s="72"/>
      <c r="G372" s="72"/>
      <c r="H372" s="73"/>
      <c r="I372" s="1"/>
      <c r="J372" s="1"/>
      <c r="K372" s="1" t="s">
        <v>2</v>
      </c>
      <c r="L372" s="1" t="s">
        <v>3</v>
      </c>
      <c r="M372" s="1" t="s">
        <v>4</v>
      </c>
      <c r="N372" s="1" t="s">
        <v>5</v>
      </c>
      <c r="O372" s="1" t="s">
        <v>6</v>
      </c>
      <c r="P372" s="1" t="s">
        <v>7</v>
      </c>
      <c r="Q372" s="1" t="s">
        <v>8</v>
      </c>
      <c r="R372" s="1" t="s">
        <v>9</v>
      </c>
      <c r="S372" s="1" t="s">
        <v>10</v>
      </c>
      <c r="T372" s="1"/>
      <c r="U372" s="2">
        <f t="shared" ref="U372:U414" si="276">U371</f>
        <v>9</v>
      </c>
      <c r="V372" s="2">
        <f t="shared" ref="V372:V414" si="277">V371+1</f>
        <v>203</v>
      </c>
    </row>
    <row r="373" spans="1:22" x14ac:dyDescent="0.3">
      <c r="A373" s="2">
        <f t="shared" si="275"/>
        <v>9204</v>
      </c>
      <c r="B373" s="63" t="s">
        <v>11</v>
      </c>
      <c r="C373" s="63"/>
      <c r="D373" s="71" t="s">
        <v>75</v>
      </c>
      <c r="E373" s="72"/>
      <c r="F373" s="72"/>
      <c r="G373" s="72"/>
      <c r="H373" s="73"/>
      <c r="I373" s="1"/>
      <c r="J373" s="1">
        <f>COUNTA(B385:B394)</f>
        <v>7</v>
      </c>
      <c r="K373" s="1">
        <f t="shared" ref="K373" si="278">IF(L373-1&lt;2,0,L373-1)</f>
        <v>0</v>
      </c>
      <c r="L373" s="1">
        <f t="shared" ref="L373" si="279">IF(M373-1&lt;2,0,M373-1)</f>
        <v>0</v>
      </c>
      <c r="M373" s="1">
        <f t="shared" ref="M373" si="280">IF(N373-1&lt;2,0,N373-1)</f>
        <v>0</v>
      </c>
      <c r="N373" s="1">
        <f t="shared" ref="N373" si="281">IF(O373-1&lt;2,0,O373-1)</f>
        <v>2</v>
      </c>
      <c r="O373" s="1">
        <f t="shared" ref="O373" si="282">IF(P373-1&lt;2,0,P373-1)</f>
        <v>3</v>
      </c>
      <c r="P373" s="1">
        <f t="shared" ref="P373" si="283">IF(Q373-1&lt;2,0,Q373-1)</f>
        <v>4</v>
      </c>
      <c r="Q373" s="1">
        <f t="shared" ref="Q373" si="284">IF(R373-1&lt;2,0,R373-1)</f>
        <v>5</v>
      </c>
      <c r="R373" s="1">
        <f>IF(S373-1&lt;2,0,S373-1)</f>
        <v>6</v>
      </c>
      <c r="S373" s="1">
        <f>J373</f>
        <v>7</v>
      </c>
      <c r="T373" s="1"/>
      <c r="U373" s="2">
        <f t="shared" si="276"/>
        <v>9</v>
      </c>
      <c r="V373" s="2">
        <f t="shared" si="277"/>
        <v>204</v>
      </c>
    </row>
    <row r="374" spans="1:22" x14ac:dyDescent="0.3">
      <c r="A374" s="2">
        <f t="shared" si="275"/>
        <v>9205</v>
      </c>
      <c r="B374" s="63" t="s">
        <v>12</v>
      </c>
      <c r="C374" s="63"/>
      <c r="D374" s="71" t="s">
        <v>43</v>
      </c>
      <c r="E374" s="72"/>
      <c r="F374" s="72"/>
      <c r="G374" s="72"/>
      <c r="H374" s="73"/>
      <c r="I374" s="1"/>
      <c r="J374" s="2" t="str">
        <f>CONCATENATE(J373,1)</f>
        <v>71</v>
      </c>
      <c r="K374" s="3">
        <f>IF(K373=0,0,VLOOKUP(J374,J378:S408,K373,FALSE))</f>
        <v>0</v>
      </c>
      <c r="L374" s="3">
        <f>IF(L373=0,0,VLOOKUP(J374,J378:S408,L373,FALSE))</f>
        <v>0</v>
      </c>
      <c r="M374" s="3">
        <f>IF(M373=0,0,VLOOKUP(J374,J378:S408,M373,FALSE))</f>
        <v>0</v>
      </c>
      <c r="N374" s="3">
        <f>IF(N373=0,0,VLOOKUP(J374,J378:S408,N373,FALSE))</f>
        <v>9.2046017820784507E-15</v>
      </c>
      <c r="O374" s="3">
        <f>IF(O373=0,0,VLOOKUP(J374,J378:S408,O373,FALSE))</f>
        <v>-3.7590928263780877E-12</v>
      </c>
      <c r="P374" s="3">
        <f>IF(P373=0,0,VLOOKUP(J374,J378:S408,P373,FALSE))</f>
        <v>2.4576369888003372E-10</v>
      </c>
      <c r="Q374" s="3">
        <f>IF(Q373=0,0,VLOOKUP(J374,J378:S408,Q373,FALSE))</f>
        <v>3.5662296261772284E-8</v>
      </c>
      <c r="R374" s="3">
        <f>IF(R373=0,0,VLOOKUP(J374,J378:S408,R373,FALSE))</f>
        <v>0.99999781470238691</v>
      </c>
      <c r="S374" s="3">
        <f>IF(S373=0,0,VLOOKUP(J374,J378:S408,S373,FALSE))</f>
        <v>6.5532818904496387E-9</v>
      </c>
      <c r="T374" s="1"/>
      <c r="U374" s="2">
        <f t="shared" si="276"/>
        <v>9</v>
      </c>
      <c r="V374" s="2">
        <f t="shared" si="277"/>
        <v>205</v>
      </c>
    </row>
    <row r="375" spans="1:22" x14ac:dyDescent="0.3">
      <c r="A375" s="2">
        <f t="shared" si="275"/>
        <v>9206</v>
      </c>
      <c r="B375" s="63" t="s">
        <v>13</v>
      </c>
      <c r="C375" s="63"/>
      <c r="D375" s="74" t="s">
        <v>172</v>
      </c>
      <c r="E375" s="72"/>
      <c r="F375" s="72"/>
      <c r="G375" s="72"/>
      <c r="H375" s="73"/>
      <c r="I375" s="1"/>
      <c r="J375" s="2" t="str">
        <f>CONCATENATE(J373,2)</f>
        <v>72</v>
      </c>
      <c r="K375" s="4">
        <f>IF(K373=0,0,VLOOKUP(J375,J378:S408,K373,FALSE))</f>
        <v>0</v>
      </c>
      <c r="L375" s="4">
        <f>IF(L373=0,0,VLOOKUP(J375,J378:S408,L373,FALSE))</f>
        <v>0</v>
      </c>
      <c r="M375" s="4">
        <f>IF(M373=0,0,VLOOKUP(J375,J378:S408,M373,FALSE))</f>
        <v>0</v>
      </c>
      <c r="N375" s="4">
        <f>IF(N373=0,0,VLOOKUP(J375,J378:S408,N373,FALSE))</f>
        <v>1.140338071340153E-17</v>
      </c>
      <c r="O375" s="4">
        <f>IF(O373=0,0,VLOOKUP(J375,J378:S408,O373,FALSE))</f>
        <v>5.8593779383358188E-15</v>
      </c>
      <c r="P375" s="4">
        <f>IF(P373=0,0,VLOOKUP(J375,J378:S408,P373,FALSE))</f>
        <v>1.0400372725682054E-12</v>
      </c>
      <c r="Q375" s="4">
        <f>IF(Q373=0,0,VLOOKUP(J375,J378:S408,Q373,FALSE))</f>
        <v>7.4994385615203621E-11</v>
      </c>
      <c r="R375" s="4">
        <f>IF(R373=0,0,VLOOKUP(J375,J378:S408,R373,FALSE))</f>
        <v>1.8604419454973214E-9</v>
      </c>
      <c r="S375" s="4">
        <f>IF(S373=0,0,VLOOKUP(J375,J378:S408,S373,FALSE))</f>
        <v>4.3733077339050292E-9</v>
      </c>
      <c r="T375" s="1"/>
      <c r="U375" s="2">
        <f t="shared" si="276"/>
        <v>9</v>
      </c>
      <c r="V375" s="2">
        <f t="shared" si="277"/>
        <v>206</v>
      </c>
    </row>
    <row r="376" spans="1:22" x14ac:dyDescent="0.3">
      <c r="A376" s="2">
        <f t="shared" si="275"/>
        <v>9207</v>
      </c>
      <c r="B376" s="63" t="s">
        <v>14</v>
      </c>
      <c r="C376" s="63"/>
      <c r="D376" s="75">
        <v>46031</v>
      </c>
      <c r="E376" s="76"/>
      <c r="F376" s="76"/>
      <c r="G376" s="76"/>
      <c r="H376" s="77"/>
      <c r="I376" s="1"/>
      <c r="J376" s="2" t="str">
        <f>CONCATENATE(J373,3)</f>
        <v>73</v>
      </c>
      <c r="K376" s="4"/>
      <c r="L376" s="4"/>
      <c r="M376" s="4"/>
      <c r="N376" s="4" t="s">
        <v>15</v>
      </c>
      <c r="O376" s="3">
        <f>J373-2</f>
        <v>5</v>
      </c>
      <c r="P376" s="4" t="s">
        <v>16</v>
      </c>
      <c r="Q376" s="3">
        <f>VLOOKUP(J376,J378:S408,3,FALSE)</f>
        <v>6.1803135942284371E-9</v>
      </c>
      <c r="R376" s="4" t="s">
        <v>17</v>
      </c>
      <c r="S376" s="4">
        <f>VLOOKUP(J376,J378:S408,2,FALSE)</f>
        <v>1</v>
      </c>
      <c r="T376" s="1"/>
      <c r="U376" s="2">
        <f t="shared" si="276"/>
        <v>9</v>
      </c>
      <c r="V376" s="2">
        <f t="shared" si="277"/>
        <v>207</v>
      </c>
    </row>
    <row r="377" spans="1:22" x14ac:dyDescent="0.3">
      <c r="A377" s="2">
        <f t="shared" si="275"/>
        <v>9208</v>
      </c>
      <c r="B377" s="63" t="s">
        <v>18</v>
      </c>
      <c r="C377" s="63"/>
      <c r="D377" s="64">
        <v>46417</v>
      </c>
      <c r="E377" s="65"/>
      <c r="F377" s="65"/>
      <c r="G377" s="65"/>
      <c r="H377" s="66"/>
      <c r="I377" s="1"/>
      <c r="J377" s="1"/>
      <c r="K377" s="1">
        <v>3</v>
      </c>
      <c r="L377" s="1">
        <v>3</v>
      </c>
      <c r="M377" s="1"/>
      <c r="N377" s="1"/>
      <c r="O377" s="1"/>
      <c r="P377" s="1"/>
      <c r="Q377" s="1"/>
      <c r="R377" s="1"/>
      <c r="S377" s="1"/>
      <c r="T377" s="1"/>
      <c r="U377" s="2">
        <f t="shared" si="276"/>
        <v>9</v>
      </c>
      <c r="V377" s="2">
        <f t="shared" si="277"/>
        <v>208</v>
      </c>
    </row>
    <row r="378" spans="1:22" x14ac:dyDescent="0.3">
      <c r="A378" s="2">
        <f t="shared" si="275"/>
        <v>9209</v>
      </c>
      <c r="B378" s="67" t="s">
        <v>19</v>
      </c>
      <c r="C378" s="63"/>
      <c r="D378" s="5">
        <f>IF(D371="","",MIN(B385:B394))</f>
        <v>1E-3</v>
      </c>
      <c r="E378" s="6" t="s">
        <v>20</v>
      </c>
      <c r="F378" s="5">
        <f>IF(D371="","",MAX(B385:B394))</f>
        <v>220</v>
      </c>
      <c r="G378" s="7" t="str">
        <f>IF(D372="","",H371)</f>
        <v>g</v>
      </c>
      <c r="H378" s="14"/>
      <c r="I378" s="1"/>
      <c r="J378" s="2" t="str">
        <f>CONCATENATE(K377,1)</f>
        <v>31</v>
      </c>
      <c r="K378" s="4">
        <f t="array" ref="K378:L380">LINEST(B385:B387,C385:C387^{1},TRUE,TRUE)</f>
        <v>0.99999799880424634</v>
      </c>
      <c r="L378" s="4">
        <v>6.0019851311210459E-9</v>
      </c>
      <c r="M378" s="1"/>
      <c r="N378" s="1"/>
      <c r="O378" s="1"/>
      <c r="P378" s="1"/>
      <c r="Q378" s="1"/>
      <c r="R378" s="1"/>
      <c r="S378" s="1"/>
      <c r="T378" s="1"/>
      <c r="U378" s="2">
        <f t="shared" si="276"/>
        <v>9</v>
      </c>
      <c r="V378" s="2">
        <f t="shared" si="277"/>
        <v>209</v>
      </c>
    </row>
    <row r="379" spans="1:22" x14ac:dyDescent="0.3">
      <c r="A379" s="2">
        <f t="shared" si="275"/>
        <v>9210</v>
      </c>
      <c r="B379" s="1"/>
      <c r="C379" s="1"/>
      <c r="D379" s="1"/>
      <c r="E379" s="1"/>
      <c r="F379" s="1"/>
      <c r="G379" s="1"/>
      <c r="H379" s="1"/>
      <c r="I379" s="1"/>
      <c r="J379" s="2" t="str">
        <f>CONCATENATE(K377,2)</f>
        <v>32</v>
      </c>
      <c r="K379" s="4">
        <v>1.3872986686713559E-9</v>
      </c>
      <c r="L379" s="4">
        <v>4.0047963910758509E-9</v>
      </c>
      <c r="M379" s="1"/>
      <c r="N379" s="1"/>
      <c r="O379" s="1"/>
      <c r="P379" s="1"/>
      <c r="Q379" s="1"/>
      <c r="R379" s="1"/>
      <c r="S379" s="1"/>
      <c r="T379" s="1"/>
      <c r="U379" s="2">
        <f t="shared" si="276"/>
        <v>9</v>
      </c>
      <c r="V379" s="2">
        <f t="shared" si="277"/>
        <v>210</v>
      </c>
    </row>
    <row r="380" spans="1:22" x14ac:dyDescent="0.3">
      <c r="A380" s="2">
        <f t="shared" si="275"/>
        <v>9211</v>
      </c>
      <c r="B380" s="68" t="s">
        <v>21</v>
      </c>
      <c r="C380" s="68"/>
      <c r="D380" s="68"/>
      <c r="E380" s="68"/>
      <c r="F380" s="68"/>
      <c r="G380" s="69" t="s">
        <v>22</v>
      </c>
      <c r="H380" s="70"/>
      <c r="I380" s="1"/>
      <c r="J380" s="2" t="str">
        <f>CONCATENATE(K377,3)</f>
        <v>33</v>
      </c>
      <c r="K380" s="4">
        <v>1</v>
      </c>
      <c r="L380" s="4">
        <v>5.6602376119485598E-9</v>
      </c>
      <c r="M380" s="1"/>
      <c r="N380" s="1"/>
      <c r="O380" s="1"/>
      <c r="P380" s="1"/>
      <c r="Q380" s="1"/>
      <c r="R380" s="1"/>
      <c r="S380" s="1"/>
      <c r="T380" s="1"/>
      <c r="U380" s="2">
        <f t="shared" si="276"/>
        <v>9</v>
      </c>
      <c r="V380" s="2">
        <f t="shared" si="277"/>
        <v>211</v>
      </c>
    </row>
    <row r="381" spans="1:22" x14ac:dyDescent="0.3">
      <c r="A381" s="2">
        <f t="shared" si="275"/>
        <v>9212</v>
      </c>
      <c r="B381" s="61" t="s">
        <v>23</v>
      </c>
      <c r="C381" s="61"/>
      <c r="D381" s="61"/>
      <c r="E381" s="61" t="str">
        <f>D375</f>
        <v>E0014/26</v>
      </c>
      <c r="F381" s="61"/>
      <c r="G381" s="4" t="s">
        <v>24</v>
      </c>
      <c r="H381" s="31" t="s">
        <v>117</v>
      </c>
      <c r="I381" s="1"/>
      <c r="J381" s="1"/>
      <c r="K381" s="1">
        <v>4</v>
      </c>
      <c r="L381" s="1">
        <v>4</v>
      </c>
      <c r="M381" s="1">
        <v>4</v>
      </c>
      <c r="N381" s="1"/>
      <c r="O381" s="1"/>
      <c r="P381" s="1"/>
      <c r="Q381" s="1"/>
      <c r="R381" s="1"/>
      <c r="S381" s="1"/>
      <c r="T381" s="1"/>
      <c r="U381" s="2">
        <f t="shared" si="276"/>
        <v>9</v>
      </c>
      <c r="V381" s="2">
        <f t="shared" si="277"/>
        <v>212</v>
      </c>
    </row>
    <row r="382" spans="1:22" x14ac:dyDescent="0.3">
      <c r="A382" s="2">
        <f t="shared" si="275"/>
        <v>9213</v>
      </c>
      <c r="B382" s="59" t="s">
        <v>25</v>
      </c>
      <c r="C382" s="59" t="s">
        <v>26</v>
      </c>
      <c r="D382" s="59" t="s">
        <v>27</v>
      </c>
      <c r="E382" s="59" t="s">
        <v>28</v>
      </c>
      <c r="F382" s="59" t="s">
        <v>29</v>
      </c>
      <c r="G382" s="59" t="s">
        <v>25</v>
      </c>
      <c r="H382" s="59" t="s">
        <v>26</v>
      </c>
      <c r="I382" s="1"/>
      <c r="J382" s="2" t="str">
        <f t="shared" ref="J382" si="285">CONCATENATE(K381,1)</f>
        <v>41</v>
      </c>
      <c r="K382" s="4">
        <f t="array" ref="K382:M384">LINEST(B385:B388,C385:C388^{1,2},TRUE,TRUE)</f>
        <v>4.0026302053512909E-8</v>
      </c>
      <c r="L382" s="4">
        <v>0.99999779855249826</v>
      </c>
      <c r="M382" s="4">
        <v>6.6018863752427212E-9</v>
      </c>
      <c r="N382" s="1"/>
      <c r="O382" s="1"/>
      <c r="P382" s="1"/>
      <c r="Q382" s="1"/>
      <c r="R382" s="1"/>
      <c r="S382" s="1"/>
      <c r="T382" s="1"/>
      <c r="U382" s="2">
        <f t="shared" si="276"/>
        <v>9</v>
      </c>
      <c r="V382" s="2">
        <f t="shared" si="277"/>
        <v>213</v>
      </c>
    </row>
    <row r="383" spans="1:22" x14ac:dyDescent="0.3">
      <c r="A383" s="2">
        <f t="shared" si="275"/>
        <v>9214</v>
      </c>
      <c r="B383" s="60"/>
      <c r="C383" s="60"/>
      <c r="D383" s="60"/>
      <c r="E383" s="60"/>
      <c r="F383" s="60"/>
      <c r="G383" s="60"/>
      <c r="H383" s="60"/>
      <c r="I383" s="1"/>
      <c r="J383" s="2" t="str">
        <f t="shared" ref="J383" si="286">CONCATENATE(K381,2)</f>
        <v>42</v>
      </c>
      <c r="K383" s="4">
        <v>3.2935753775406295E-11</v>
      </c>
      <c r="L383" s="4">
        <v>1.6900312709202331E-9</v>
      </c>
      <c r="M383" s="4">
        <v>4.4053288169380957E-9</v>
      </c>
      <c r="N383" s="1"/>
      <c r="O383" s="1"/>
      <c r="P383" s="1"/>
      <c r="Q383" s="1"/>
      <c r="R383" s="1"/>
      <c r="S383" s="1"/>
      <c r="T383" s="1"/>
      <c r="U383" s="2">
        <f t="shared" si="276"/>
        <v>9</v>
      </c>
      <c r="V383" s="2">
        <f t="shared" si="277"/>
        <v>214</v>
      </c>
    </row>
    <row r="384" spans="1:22" x14ac:dyDescent="0.3">
      <c r="A384" s="2">
        <f t="shared" si="275"/>
        <v>9215</v>
      </c>
      <c r="B384" s="9" t="str">
        <f>CONCATENATE("(",H371,")")</f>
        <v>(g)</v>
      </c>
      <c r="C384" s="9" t="str">
        <f>B384</f>
        <v>(g)</v>
      </c>
      <c r="D384" s="9" t="str">
        <f>C384</f>
        <v>(g)</v>
      </c>
      <c r="E384" s="9"/>
      <c r="F384" s="9"/>
      <c r="G384" s="9" t="str">
        <f>B384</f>
        <v>(g)</v>
      </c>
      <c r="H384" s="9" t="str">
        <f>G384</f>
        <v>(g)</v>
      </c>
      <c r="I384" s="1"/>
      <c r="J384" s="2" t="str">
        <f t="shared" ref="J384" si="287">CONCATENATE(K381,3)</f>
        <v>43</v>
      </c>
      <c r="K384" s="4">
        <v>1</v>
      </c>
      <c r="L384" s="4">
        <v>6.2259620792204373E-9</v>
      </c>
      <c r="M384" s="4" t="e">
        <v>#N/A</v>
      </c>
      <c r="N384" s="1"/>
      <c r="O384" s="1"/>
      <c r="P384" s="1"/>
      <c r="Q384" s="1"/>
      <c r="R384" s="1"/>
      <c r="S384" s="1"/>
      <c r="T384" s="1"/>
      <c r="U384" s="2">
        <f t="shared" si="276"/>
        <v>9</v>
      </c>
      <c r="V384" s="2">
        <f t="shared" si="277"/>
        <v>215</v>
      </c>
    </row>
    <row r="385" spans="1:22" x14ac:dyDescent="0.3">
      <c r="A385" s="2">
        <f t="shared" si="275"/>
        <v>9216</v>
      </c>
      <c r="B385" s="10">
        <v>1E-3</v>
      </c>
      <c r="C385" s="10">
        <v>1E-3</v>
      </c>
      <c r="D385" s="10">
        <v>2.0000000000000002E-5</v>
      </c>
      <c r="E385" s="10">
        <v>2.02</v>
      </c>
      <c r="F385" s="10">
        <v>142</v>
      </c>
      <c r="G385" s="8">
        <v>1E-3</v>
      </c>
      <c r="H385" s="8">
        <v>1E-3</v>
      </c>
      <c r="I385" s="1"/>
      <c r="J385" s="1"/>
      <c r="K385" s="1">
        <v>5</v>
      </c>
      <c r="L385" s="1">
        <v>5</v>
      </c>
      <c r="M385" s="1">
        <v>5</v>
      </c>
      <c r="N385" s="1">
        <v>5</v>
      </c>
      <c r="O385" s="1"/>
      <c r="P385" s="1"/>
      <c r="Q385" s="1"/>
      <c r="R385" s="1"/>
      <c r="S385" s="1"/>
      <c r="T385" s="1"/>
      <c r="U385" s="2">
        <f t="shared" si="276"/>
        <v>9</v>
      </c>
      <c r="V385" s="2">
        <f t="shared" si="277"/>
        <v>216</v>
      </c>
    </row>
    <row r="386" spans="1:22" x14ac:dyDescent="0.3">
      <c r="A386" s="2">
        <f t="shared" si="275"/>
        <v>9217</v>
      </c>
      <c r="B386" s="10">
        <v>5.0000000000000001E-3</v>
      </c>
      <c r="C386" s="10">
        <v>5.0000000000000001E-3</v>
      </c>
      <c r="D386" s="10">
        <v>2.0000000000000002E-5</v>
      </c>
      <c r="E386" s="10">
        <v>2</v>
      </c>
      <c r="F386" s="10">
        <v>1000000</v>
      </c>
      <c r="G386" s="8">
        <v>5.0000000000000001E-3</v>
      </c>
      <c r="H386" s="8">
        <v>5.0000000000000001E-3</v>
      </c>
      <c r="I386" s="1"/>
      <c r="J386" s="2" t="str">
        <f t="shared" ref="J386" si="288">CONCATENATE(K385,1)</f>
        <v>51</v>
      </c>
      <c r="K386" s="4">
        <f t="array" ref="K386:N388">LINEST(B385:B389,C385:C389^{1,2,3},TRUE,TRUE)</f>
        <v>-1.686884952089503E-10</v>
      </c>
      <c r="L386" s="4">
        <v>4.9304676783861667E-8</v>
      </c>
      <c r="M386" s="4">
        <v>0.99999775635254806</v>
      </c>
      <c r="N386" s="4">
        <v>6.7282361275824466E-9</v>
      </c>
      <c r="O386" s="1"/>
      <c r="P386" s="1"/>
      <c r="Q386" s="1"/>
      <c r="R386" s="1"/>
      <c r="S386" s="1"/>
      <c r="T386" s="1"/>
      <c r="U386" s="2">
        <f t="shared" si="276"/>
        <v>9</v>
      </c>
      <c r="V386" s="2">
        <f t="shared" si="277"/>
        <v>217</v>
      </c>
    </row>
    <row r="387" spans="1:22" x14ac:dyDescent="0.3">
      <c r="A387" s="2">
        <f t="shared" si="275"/>
        <v>9218</v>
      </c>
      <c r="B387" s="10">
        <v>5</v>
      </c>
      <c r="C387" s="10">
        <v>5.0000099999999996</v>
      </c>
      <c r="D387" s="10">
        <v>3.0000000000000001E-5</v>
      </c>
      <c r="E387" s="10">
        <v>2</v>
      </c>
      <c r="F387" s="10">
        <v>1000000</v>
      </c>
      <c r="G387" s="8">
        <v>5</v>
      </c>
      <c r="H387" s="8">
        <v>5</v>
      </c>
      <c r="I387" s="1"/>
      <c r="J387" s="2" t="str">
        <f t="shared" ref="J387" si="289">CONCATENATE(K385,2)</f>
        <v>52</v>
      </c>
      <c r="K387" s="4">
        <v>3.5190730749269278E-13</v>
      </c>
      <c r="L387" s="4">
        <v>5.2873935739407629E-11</v>
      </c>
      <c r="M387" s="4">
        <v>1.8092019197480848E-9</v>
      </c>
      <c r="N387" s="4">
        <v>4.4898093612288102E-9</v>
      </c>
      <c r="O387" s="1"/>
      <c r="P387" s="1"/>
      <c r="Q387" s="1"/>
      <c r="R387" s="1"/>
      <c r="S387" s="1"/>
      <c r="T387" s="1"/>
      <c r="U387" s="2">
        <f t="shared" si="276"/>
        <v>9</v>
      </c>
      <c r="V387" s="2">
        <f t="shared" si="277"/>
        <v>218</v>
      </c>
    </row>
    <row r="388" spans="1:22" x14ac:dyDescent="0.3">
      <c r="A388" s="2">
        <f t="shared" si="275"/>
        <v>9219</v>
      </c>
      <c r="B388" s="10">
        <v>50</v>
      </c>
      <c r="C388" s="10">
        <v>50.000010000000003</v>
      </c>
      <c r="D388" s="10">
        <v>1.4999999999999999E-4</v>
      </c>
      <c r="E388" s="10">
        <v>2</v>
      </c>
      <c r="F388" s="10">
        <v>1000000</v>
      </c>
      <c r="G388" s="8">
        <v>50</v>
      </c>
      <c r="H388" s="8">
        <v>50.000010000000003</v>
      </c>
      <c r="I388" s="1"/>
      <c r="J388" s="2" t="str">
        <f t="shared" ref="J388" si="290">CONCATENATE(K385,3)</f>
        <v>53</v>
      </c>
      <c r="K388" s="4">
        <v>1</v>
      </c>
      <c r="L388" s="4">
        <v>6.3451661702629281E-9</v>
      </c>
      <c r="M388" s="4" t="e">
        <v>#N/A</v>
      </c>
      <c r="N388" s="4" t="e">
        <v>#N/A</v>
      </c>
      <c r="O388" s="1"/>
      <c r="P388" s="1"/>
      <c r="Q388" s="1"/>
      <c r="R388" s="1"/>
      <c r="S388" s="1"/>
      <c r="T388" s="1"/>
      <c r="U388" s="2">
        <f t="shared" si="276"/>
        <v>9</v>
      </c>
      <c r="V388" s="2">
        <f t="shared" si="277"/>
        <v>219</v>
      </c>
    </row>
    <row r="389" spans="1:22" x14ac:dyDescent="0.3">
      <c r="A389" s="2">
        <f t="shared" si="275"/>
        <v>9220</v>
      </c>
      <c r="B389" s="10">
        <v>100</v>
      </c>
      <c r="C389" s="10">
        <v>99.999899999999997</v>
      </c>
      <c r="D389" s="10">
        <v>4.0000000000000002E-4</v>
      </c>
      <c r="E389" s="10">
        <v>2</v>
      </c>
      <c r="F389" s="10">
        <v>1000000</v>
      </c>
      <c r="G389" s="8">
        <v>100</v>
      </c>
      <c r="H389" s="8">
        <v>100</v>
      </c>
      <c r="I389" s="1"/>
      <c r="J389" s="1"/>
      <c r="K389" s="1">
        <v>6</v>
      </c>
      <c r="L389" s="1">
        <v>6</v>
      </c>
      <c r="M389" s="1">
        <v>6</v>
      </c>
      <c r="N389" s="1">
        <v>6</v>
      </c>
      <c r="O389" s="1">
        <v>6</v>
      </c>
      <c r="P389" s="1"/>
      <c r="Q389" s="1"/>
      <c r="R389" s="1"/>
      <c r="S389" s="1"/>
      <c r="T389" s="1"/>
      <c r="U389" s="2">
        <f t="shared" si="276"/>
        <v>9</v>
      </c>
      <c r="V389" s="2">
        <f t="shared" si="277"/>
        <v>220</v>
      </c>
    </row>
    <row r="390" spans="1:22" x14ac:dyDescent="0.3">
      <c r="A390" s="2">
        <f t="shared" si="275"/>
        <v>9221</v>
      </c>
      <c r="B390" s="10">
        <v>150</v>
      </c>
      <c r="C390" s="10">
        <v>149.9999</v>
      </c>
      <c r="D390" s="10">
        <v>5.0000000000000001E-4</v>
      </c>
      <c r="E390" s="10">
        <v>2</v>
      </c>
      <c r="F390" s="10">
        <v>1000000</v>
      </c>
      <c r="G390" s="8">
        <v>150</v>
      </c>
      <c r="H390" s="8">
        <v>150</v>
      </c>
      <c r="I390" s="1"/>
      <c r="J390" s="2" t="str">
        <f t="shared" ref="J390" si="291">CONCATENATE(K389,1)</f>
        <v>61</v>
      </c>
      <c r="K390" s="4">
        <f t="array" ref="K390:O392">LINEST(B385:B390,C385:C390^{1,2,3,4},TRUE,TRUE)</f>
        <v>-9.5166332231510795E-13</v>
      </c>
      <c r="L390" s="4">
        <v>-2.1177895644534934E-11</v>
      </c>
      <c r="M390" s="4">
        <v>4.3832172119774006E-8</v>
      </c>
      <c r="N390" s="4">
        <v>0.99999778016060314</v>
      </c>
      <c r="O390" s="4">
        <v>6.6568411188623437E-9</v>
      </c>
      <c r="P390" s="1"/>
      <c r="Q390" s="1"/>
      <c r="R390" s="1"/>
      <c r="S390" s="1"/>
      <c r="T390" s="1"/>
      <c r="U390" s="2">
        <f t="shared" si="276"/>
        <v>9</v>
      </c>
      <c r="V390" s="2">
        <f t="shared" si="277"/>
        <v>221</v>
      </c>
    </row>
    <row r="391" spans="1:22" x14ac:dyDescent="0.3">
      <c r="A391" s="2">
        <f t="shared" si="275"/>
        <v>9222</v>
      </c>
      <c r="B391" s="10">
        <v>220</v>
      </c>
      <c r="C391" s="10">
        <v>220.00020000000001</v>
      </c>
      <c r="D391" s="10">
        <v>8.0000000000000004E-4</v>
      </c>
      <c r="E391" s="10">
        <v>2</v>
      </c>
      <c r="F391" s="10">
        <v>1000000</v>
      </c>
      <c r="G391" s="8">
        <v>220</v>
      </c>
      <c r="H391" s="8">
        <v>220.00030000000001</v>
      </c>
      <c r="I391" s="1"/>
      <c r="J391" s="2" t="str">
        <f t="shared" ref="J391" si="292">CONCATENATE(K389,2)</f>
        <v>62</v>
      </c>
      <c r="K391" s="4">
        <v>2.4281203347909401E-15</v>
      </c>
      <c r="L391" s="4">
        <v>7.2354741935629038E-13</v>
      </c>
      <c r="M391" s="4">
        <v>6.6138578113446797E-11</v>
      </c>
      <c r="N391" s="4">
        <v>1.8488702308136796E-9</v>
      </c>
      <c r="O391" s="4">
        <v>4.4423329646445474E-9</v>
      </c>
      <c r="P391" s="1"/>
      <c r="Q391" s="1"/>
      <c r="R391" s="1"/>
      <c r="S391" s="1"/>
      <c r="T391" s="1"/>
      <c r="U391" s="2">
        <f t="shared" si="276"/>
        <v>9</v>
      </c>
      <c r="V391" s="2">
        <f t="shared" si="277"/>
        <v>222</v>
      </c>
    </row>
    <row r="392" spans="1:22" x14ac:dyDescent="0.3">
      <c r="A392" s="2">
        <f t="shared" si="275"/>
        <v>9223</v>
      </c>
      <c r="B392" s="10"/>
      <c r="C392" s="10"/>
      <c r="D392" s="10"/>
      <c r="E392" s="10"/>
      <c r="F392" s="10"/>
      <c r="G392" s="8"/>
      <c r="H392" s="8"/>
      <c r="I392" s="1"/>
      <c r="J392" s="2" t="str">
        <f t="shared" ref="J392" si="293">CONCATENATE(K389,3)</f>
        <v>63</v>
      </c>
      <c r="K392" s="4">
        <v>1</v>
      </c>
      <c r="L392" s="4">
        <v>6.2779450527017389E-9</v>
      </c>
      <c r="M392" s="4" t="e">
        <v>#N/A</v>
      </c>
      <c r="N392" s="4" t="e">
        <v>#N/A</v>
      </c>
      <c r="O392" s="4" t="e">
        <v>#N/A</v>
      </c>
      <c r="P392" s="1"/>
      <c r="Q392" s="1"/>
      <c r="R392" s="1"/>
      <c r="S392" s="1"/>
      <c r="T392" s="1"/>
      <c r="U392" s="2">
        <f t="shared" si="276"/>
        <v>9</v>
      </c>
      <c r="V392" s="2">
        <f t="shared" si="277"/>
        <v>223</v>
      </c>
    </row>
    <row r="393" spans="1:22" x14ac:dyDescent="0.3">
      <c r="A393" s="2">
        <f t="shared" si="275"/>
        <v>9224</v>
      </c>
      <c r="B393" s="10"/>
      <c r="C393" s="10"/>
      <c r="D393" s="10"/>
      <c r="E393" s="10"/>
      <c r="F393" s="10"/>
      <c r="G393" s="8"/>
      <c r="H393" s="8"/>
      <c r="I393" s="1"/>
      <c r="J393" s="1"/>
      <c r="K393" s="1">
        <v>7</v>
      </c>
      <c r="L393" s="1">
        <v>7</v>
      </c>
      <c r="M393" s="1">
        <v>7</v>
      </c>
      <c r="N393" s="1">
        <v>7</v>
      </c>
      <c r="O393" s="1">
        <v>7</v>
      </c>
      <c r="P393" s="1">
        <v>7</v>
      </c>
      <c r="Q393" s="1"/>
      <c r="R393" s="1"/>
      <c r="S393" s="1"/>
      <c r="T393" s="1"/>
      <c r="U393" s="2">
        <f t="shared" si="276"/>
        <v>9</v>
      </c>
      <c r="V393" s="2">
        <f t="shared" si="277"/>
        <v>224</v>
      </c>
    </row>
    <row r="394" spans="1:22" x14ac:dyDescent="0.3">
      <c r="A394" s="2">
        <f t="shared" si="275"/>
        <v>9225</v>
      </c>
      <c r="B394" s="10"/>
      <c r="C394" s="10"/>
      <c r="D394" s="10"/>
      <c r="E394" s="10"/>
      <c r="F394" s="10"/>
      <c r="G394" s="8"/>
      <c r="H394" s="8"/>
      <c r="I394" s="1"/>
      <c r="J394" s="2" t="str">
        <f t="shared" ref="J394" si="294">CONCATENATE(K393,1)</f>
        <v>71</v>
      </c>
      <c r="K394" s="4">
        <f t="array" ref="K394:P396">LINEST(B385:B391,C385:C391^{1,2,3,4,5},TRUE,TRUE)</f>
        <v>9.2046017820784507E-15</v>
      </c>
      <c r="L394" s="4">
        <v>-3.7590928263780877E-12</v>
      </c>
      <c r="M394" s="4">
        <v>2.4576369888003372E-10</v>
      </c>
      <c r="N394" s="4">
        <v>3.5662296261772284E-8</v>
      </c>
      <c r="O394" s="4">
        <v>0.99999781470238691</v>
      </c>
      <c r="P394" s="4">
        <v>6.5532818904496387E-9</v>
      </c>
      <c r="Q394" s="1"/>
      <c r="R394" s="1"/>
      <c r="S394" s="1"/>
      <c r="T394" s="1"/>
      <c r="U394" s="2">
        <f t="shared" si="276"/>
        <v>9</v>
      </c>
      <c r="V394" s="2">
        <f t="shared" si="277"/>
        <v>225</v>
      </c>
    </row>
    <row r="395" spans="1:22" x14ac:dyDescent="0.3">
      <c r="A395" s="2">
        <f t="shared" si="275"/>
        <v>9226</v>
      </c>
      <c r="B395" s="61" t="s">
        <v>44</v>
      </c>
      <c r="C395" s="61"/>
      <c r="D395" s="61"/>
      <c r="E395" s="61"/>
      <c r="F395" s="61"/>
      <c r="G395" s="61"/>
      <c r="H395" s="61"/>
      <c r="I395" s="1"/>
      <c r="J395" s="2" t="str">
        <f t="shared" ref="J395" si="295">CONCATENATE(K393,2)</f>
        <v>72</v>
      </c>
      <c r="K395" s="4">
        <v>1.140338071340153E-17</v>
      </c>
      <c r="L395" s="4">
        <v>5.8593779383358188E-15</v>
      </c>
      <c r="M395" s="4">
        <v>1.0400372725682054E-12</v>
      </c>
      <c r="N395" s="4">
        <v>7.4994385615203621E-11</v>
      </c>
      <c r="O395" s="4">
        <v>1.8604419454973214E-9</v>
      </c>
      <c r="P395" s="4">
        <v>4.3733077339050292E-9</v>
      </c>
      <c r="Q395" s="1"/>
      <c r="R395" s="1"/>
      <c r="S395" s="1"/>
      <c r="T395" s="1"/>
      <c r="U395" s="2">
        <f t="shared" si="276"/>
        <v>9</v>
      </c>
      <c r="V395" s="2">
        <f t="shared" si="277"/>
        <v>226</v>
      </c>
    </row>
    <row r="396" spans="1:22" x14ac:dyDescent="0.3">
      <c r="A396" s="2">
        <f t="shared" si="275"/>
        <v>9227</v>
      </c>
      <c r="B396" s="4" t="s">
        <v>45</v>
      </c>
      <c r="C396" s="4" t="s">
        <v>46</v>
      </c>
      <c r="D396" s="4" t="s">
        <v>47</v>
      </c>
      <c r="E396" s="4" t="s">
        <v>48</v>
      </c>
      <c r="F396" s="4" t="s">
        <v>49</v>
      </c>
      <c r="G396" s="4" t="s">
        <v>50</v>
      </c>
      <c r="H396" s="4" t="s">
        <v>46</v>
      </c>
      <c r="I396" s="1"/>
      <c r="J396" s="2" t="str">
        <f t="shared" ref="J396" si="296">CONCATENATE(K393,3)</f>
        <v>73</v>
      </c>
      <c r="K396" s="4">
        <v>1</v>
      </c>
      <c r="L396" s="4">
        <v>6.1803135942284371E-9</v>
      </c>
      <c r="M396" s="4" t="e">
        <v>#N/A</v>
      </c>
      <c r="N396" s="4" t="e">
        <v>#N/A</v>
      </c>
      <c r="O396" s="4" t="e">
        <v>#N/A</v>
      </c>
      <c r="P396" s="4" t="e">
        <v>#N/A</v>
      </c>
      <c r="Q396" s="1"/>
      <c r="R396" s="1"/>
      <c r="S396" s="1"/>
      <c r="T396" s="1"/>
      <c r="U396" s="2">
        <f t="shared" si="276"/>
        <v>9</v>
      </c>
      <c r="V396" s="2">
        <f t="shared" si="277"/>
        <v>227</v>
      </c>
    </row>
    <row r="397" spans="1:22" x14ac:dyDescent="0.3">
      <c r="A397" s="2">
        <f t="shared" si="275"/>
        <v>9228</v>
      </c>
      <c r="B397" s="10">
        <v>100</v>
      </c>
      <c r="C397" s="10">
        <v>100</v>
      </c>
      <c r="D397" s="10">
        <v>99.999899999999997</v>
      </c>
      <c r="E397" s="10">
        <v>99.999899999999997</v>
      </c>
      <c r="F397" s="10">
        <v>99.999899999999997</v>
      </c>
      <c r="G397" s="10">
        <v>100.0001</v>
      </c>
      <c r="H397" s="10">
        <v>99.999899999999997</v>
      </c>
      <c r="I397" s="1"/>
      <c r="J397" s="1"/>
      <c r="K397" s="1">
        <v>8</v>
      </c>
      <c r="L397" s="1">
        <v>8</v>
      </c>
      <c r="M397" s="1">
        <v>8</v>
      </c>
      <c r="N397" s="1">
        <v>8</v>
      </c>
      <c r="O397" s="1">
        <v>8</v>
      </c>
      <c r="P397" s="1">
        <v>8</v>
      </c>
      <c r="Q397" s="1">
        <v>8</v>
      </c>
      <c r="R397" s="1"/>
      <c r="S397" s="1"/>
      <c r="T397" s="1"/>
      <c r="U397" s="2">
        <f t="shared" si="276"/>
        <v>9</v>
      </c>
      <c r="V397" s="2">
        <f t="shared" si="277"/>
        <v>228</v>
      </c>
    </row>
    <row r="398" spans="1:22" x14ac:dyDescent="0.3">
      <c r="A398" s="2">
        <f t="shared" si="275"/>
        <v>9229</v>
      </c>
      <c r="I398" s="1"/>
      <c r="J398" s="2" t="str">
        <f t="shared" ref="J398" si="297">CONCATENATE(K397,1)</f>
        <v>81</v>
      </c>
      <c r="K398" s="4" t="e">
        <f t="array" ref="K398:Q400">LINEST(B385:B392,C385:C392^{1,2,3,4,5,6},TRUE,TRUE)</f>
        <v>#VALUE!</v>
      </c>
      <c r="L398" s="4" t="e">
        <v>#VALUE!</v>
      </c>
      <c r="M398" s="4" t="e">
        <v>#VALUE!</v>
      </c>
      <c r="N398" s="4" t="e">
        <v>#VALUE!</v>
      </c>
      <c r="O398" s="4" t="e">
        <v>#VALUE!</v>
      </c>
      <c r="P398" s="4" t="e">
        <v>#VALUE!</v>
      </c>
      <c r="Q398" s="4" t="e">
        <v>#VALUE!</v>
      </c>
      <c r="R398" s="1"/>
      <c r="S398" s="1"/>
      <c r="T398" s="1"/>
      <c r="U398" s="2">
        <f t="shared" si="276"/>
        <v>9</v>
      </c>
      <c r="V398" s="2">
        <f t="shared" si="277"/>
        <v>229</v>
      </c>
    </row>
    <row r="399" spans="1:22" x14ac:dyDescent="0.3">
      <c r="A399" s="2">
        <f t="shared" si="275"/>
        <v>9230</v>
      </c>
      <c r="B399" s="58" t="s">
        <v>30</v>
      </c>
      <c r="C399" s="58"/>
      <c r="D399" s="58"/>
      <c r="E399" s="58"/>
      <c r="F399" s="58"/>
      <c r="G399" s="58"/>
      <c r="H399" s="58"/>
      <c r="I399" s="1"/>
      <c r="J399" s="2" t="str">
        <f t="shared" ref="J399" si="298">CONCATENATE(K397,2)</f>
        <v>82</v>
      </c>
      <c r="K399" s="4" t="e">
        <v>#VALUE!</v>
      </c>
      <c r="L399" s="4" t="e">
        <v>#VALUE!</v>
      </c>
      <c r="M399" s="4" t="e">
        <v>#VALUE!</v>
      </c>
      <c r="N399" s="4" t="e">
        <v>#VALUE!</v>
      </c>
      <c r="O399" s="4" t="e">
        <v>#VALUE!</v>
      </c>
      <c r="P399" s="4" t="e">
        <v>#VALUE!</v>
      </c>
      <c r="Q399" s="4" t="e">
        <v>#VALUE!</v>
      </c>
      <c r="R399" s="1"/>
      <c r="S399" s="1"/>
      <c r="T399" s="1"/>
      <c r="U399" s="2">
        <f t="shared" si="276"/>
        <v>9</v>
      </c>
      <c r="V399" s="2">
        <f t="shared" si="277"/>
        <v>230</v>
      </c>
    </row>
    <row r="400" spans="1:22" x14ac:dyDescent="0.3">
      <c r="A400" s="2">
        <f t="shared" si="275"/>
        <v>9231</v>
      </c>
      <c r="B400" s="62"/>
      <c r="C400" s="62"/>
      <c r="D400" s="62"/>
      <c r="E400" s="62"/>
      <c r="F400" s="62"/>
      <c r="G400" s="62"/>
      <c r="H400" s="62"/>
      <c r="I400" s="1"/>
      <c r="J400" s="2" t="str">
        <f t="shared" ref="J400" si="299">CONCATENATE(K397,3)</f>
        <v>83</v>
      </c>
      <c r="K400" s="4" t="e">
        <v>#VALUE!</v>
      </c>
      <c r="L400" s="4" t="e">
        <v>#VALUE!</v>
      </c>
      <c r="M400" s="4" t="e">
        <v>#VALUE!</v>
      </c>
      <c r="N400" s="4" t="e">
        <v>#VALUE!</v>
      </c>
      <c r="O400" s="4" t="e">
        <v>#VALUE!</v>
      </c>
      <c r="P400" s="4" t="e">
        <v>#VALUE!</v>
      </c>
      <c r="Q400" s="4" t="e">
        <v>#VALUE!</v>
      </c>
      <c r="R400" s="1"/>
      <c r="S400" s="1"/>
      <c r="T400" s="1"/>
      <c r="U400" s="2">
        <f t="shared" si="276"/>
        <v>9</v>
      </c>
      <c r="V400" s="2">
        <f t="shared" si="277"/>
        <v>231</v>
      </c>
    </row>
    <row r="401" spans="1:22" x14ac:dyDescent="0.3">
      <c r="A401" s="2">
        <f t="shared" si="275"/>
        <v>9232</v>
      </c>
      <c r="B401" s="62"/>
      <c r="C401" s="62"/>
      <c r="D401" s="62"/>
      <c r="E401" s="62"/>
      <c r="F401" s="62"/>
      <c r="G401" s="62"/>
      <c r="H401" s="62"/>
      <c r="I401" s="1"/>
      <c r="J401" s="1"/>
      <c r="K401" s="1">
        <v>9</v>
      </c>
      <c r="L401" s="1">
        <v>9</v>
      </c>
      <c r="M401" s="1">
        <v>9</v>
      </c>
      <c r="N401" s="1">
        <v>9</v>
      </c>
      <c r="O401" s="1">
        <v>9</v>
      </c>
      <c r="P401" s="1">
        <v>9</v>
      </c>
      <c r="Q401" s="1">
        <v>9</v>
      </c>
      <c r="R401" s="1">
        <v>9</v>
      </c>
      <c r="S401" s="1"/>
      <c r="T401" s="1"/>
      <c r="U401" s="2">
        <f t="shared" si="276"/>
        <v>9</v>
      </c>
      <c r="V401" s="2">
        <f t="shared" si="277"/>
        <v>232</v>
      </c>
    </row>
    <row r="402" spans="1:22" x14ac:dyDescent="0.3">
      <c r="A402" s="2">
        <f t="shared" si="275"/>
        <v>9233</v>
      </c>
      <c r="B402" s="1"/>
      <c r="C402" s="1"/>
      <c r="D402" s="1"/>
      <c r="E402" s="1"/>
      <c r="F402" s="1"/>
      <c r="G402" s="1"/>
      <c r="H402" s="1"/>
      <c r="I402" s="1"/>
      <c r="J402" s="2" t="str">
        <f t="shared" ref="J402" si="300">CONCATENATE(K401,1)</f>
        <v>91</v>
      </c>
      <c r="K402" s="4" t="e">
        <f t="array" ref="K402:R404">LINEST(B385:B393,C385:C393^{1,2,3,4,5,6,7},TRUE,TRUE)</f>
        <v>#VALUE!</v>
      </c>
      <c r="L402" s="4" t="e">
        <v>#VALUE!</v>
      </c>
      <c r="M402" s="4" t="e">
        <v>#VALUE!</v>
      </c>
      <c r="N402" s="4" t="e">
        <v>#VALUE!</v>
      </c>
      <c r="O402" s="4" t="e">
        <v>#VALUE!</v>
      </c>
      <c r="P402" s="4" t="e">
        <v>#VALUE!</v>
      </c>
      <c r="Q402" s="4" t="e">
        <v>#VALUE!</v>
      </c>
      <c r="R402" s="4" t="e">
        <v>#VALUE!</v>
      </c>
      <c r="S402" s="1"/>
      <c r="T402" s="1"/>
      <c r="U402" s="2">
        <f t="shared" si="276"/>
        <v>9</v>
      </c>
      <c r="V402" s="2">
        <f t="shared" si="277"/>
        <v>233</v>
      </c>
    </row>
    <row r="403" spans="1:22" x14ac:dyDescent="0.3">
      <c r="A403" s="2">
        <f t="shared" si="275"/>
        <v>9234</v>
      </c>
      <c r="B403" s="5" t="s">
        <v>31</v>
      </c>
      <c r="C403" s="5" t="s">
        <v>32</v>
      </c>
      <c r="D403" s="5" t="s">
        <v>33</v>
      </c>
      <c r="E403" s="4" t="s">
        <v>34</v>
      </c>
      <c r="F403" s="57" t="s">
        <v>35</v>
      </c>
      <c r="G403" s="58"/>
      <c r="H403" s="58"/>
      <c r="I403" s="1"/>
      <c r="J403" s="2" t="str">
        <f t="shared" ref="J403" si="301">CONCATENATE(K401,2)</f>
        <v>92</v>
      </c>
      <c r="K403" s="4" t="e">
        <v>#VALUE!</v>
      </c>
      <c r="L403" s="4" t="e">
        <v>#VALUE!</v>
      </c>
      <c r="M403" s="4" t="e">
        <v>#VALUE!</v>
      </c>
      <c r="N403" s="4" t="e">
        <v>#VALUE!</v>
      </c>
      <c r="O403" s="4" t="e">
        <v>#VALUE!</v>
      </c>
      <c r="P403" s="4" t="e">
        <v>#VALUE!</v>
      </c>
      <c r="Q403" s="4" t="e">
        <v>#VALUE!</v>
      </c>
      <c r="R403" s="4" t="e">
        <v>#VALUE!</v>
      </c>
      <c r="S403" s="1"/>
      <c r="T403" s="1"/>
      <c r="U403" s="2">
        <f t="shared" si="276"/>
        <v>9</v>
      </c>
      <c r="V403" s="2">
        <f t="shared" si="277"/>
        <v>234</v>
      </c>
    </row>
    <row r="404" spans="1:22" x14ac:dyDescent="0.3">
      <c r="A404" s="2">
        <f t="shared" si="275"/>
        <v>9235</v>
      </c>
      <c r="B404" s="5">
        <f t="shared" ref="B404:B413" si="302">C385-B385</f>
        <v>0</v>
      </c>
      <c r="C404" s="5">
        <f t="shared" ref="C404:C413" si="303">H385-G385</f>
        <v>0</v>
      </c>
      <c r="D404" s="5">
        <f>C404-B404</f>
        <v>0</v>
      </c>
      <c r="E404" s="4">
        <f t="shared" ref="E404:E413" si="304">D385</f>
        <v>2.0000000000000002E-5</v>
      </c>
      <c r="F404" s="11">
        <f>IF(D372="","",MAX(G404,H404))</f>
        <v>1.0000000000331966E-4</v>
      </c>
      <c r="G404" s="5">
        <f>ABS(MIN(D404:D413))</f>
        <v>9.9999999996214228E-6</v>
      </c>
      <c r="H404" s="5">
        <f>ABS(MAX(D404:D413))</f>
        <v>1.0000000000331966E-4</v>
      </c>
      <c r="I404" s="1"/>
      <c r="J404" s="2" t="str">
        <f t="shared" ref="J404" si="305">CONCATENATE(K401,3)</f>
        <v>93</v>
      </c>
      <c r="K404" s="4" t="e">
        <v>#VALUE!</v>
      </c>
      <c r="L404" s="4" t="e">
        <v>#VALUE!</v>
      </c>
      <c r="M404" s="4" t="e">
        <v>#VALUE!</v>
      </c>
      <c r="N404" s="4" t="e">
        <v>#VALUE!</v>
      </c>
      <c r="O404" s="4" t="e">
        <v>#VALUE!</v>
      </c>
      <c r="P404" s="4" t="e">
        <v>#VALUE!</v>
      </c>
      <c r="Q404" s="4" t="e">
        <v>#VALUE!</v>
      </c>
      <c r="R404" s="4" t="e">
        <v>#VALUE!</v>
      </c>
      <c r="S404" s="1"/>
      <c r="T404" s="1"/>
      <c r="U404" s="2">
        <f t="shared" si="276"/>
        <v>9</v>
      </c>
      <c r="V404" s="2">
        <f t="shared" si="277"/>
        <v>235</v>
      </c>
    </row>
    <row r="405" spans="1:22" x14ac:dyDescent="0.3">
      <c r="A405" s="2">
        <f t="shared" si="275"/>
        <v>9236</v>
      </c>
      <c r="B405" s="5">
        <f t="shared" si="302"/>
        <v>0</v>
      </c>
      <c r="C405" s="5">
        <f t="shared" si="303"/>
        <v>0</v>
      </c>
      <c r="D405" s="5">
        <f t="shared" ref="D405:D413" si="306">C405-B405</f>
        <v>0</v>
      </c>
      <c r="E405" s="4">
        <f t="shared" si="304"/>
        <v>2.0000000000000002E-5</v>
      </c>
      <c r="F405" s="57" t="s">
        <v>36</v>
      </c>
      <c r="G405" s="58"/>
      <c r="H405" s="58"/>
      <c r="I405" s="1"/>
      <c r="J405" s="1"/>
      <c r="K405" s="1">
        <v>10</v>
      </c>
      <c r="L405" s="1">
        <v>10</v>
      </c>
      <c r="M405" s="1">
        <v>10</v>
      </c>
      <c r="N405" s="1">
        <v>10</v>
      </c>
      <c r="O405" s="1">
        <v>10</v>
      </c>
      <c r="P405" s="1">
        <v>10</v>
      </c>
      <c r="Q405" s="1">
        <v>10</v>
      </c>
      <c r="R405" s="1">
        <v>10</v>
      </c>
      <c r="S405" s="1">
        <v>10</v>
      </c>
      <c r="T405" s="1"/>
      <c r="U405" s="2">
        <f t="shared" si="276"/>
        <v>9</v>
      </c>
      <c r="V405" s="2">
        <f t="shared" si="277"/>
        <v>236</v>
      </c>
    </row>
    <row r="406" spans="1:22" x14ac:dyDescent="0.3">
      <c r="A406" s="2">
        <f t="shared" si="275"/>
        <v>9237</v>
      </c>
      <c r="B406" s="5">
        <f t="shared" si="302"/>
        <v>9.9999999996214228E-6</v>
      </c>
      <c r="C406" s="5">
        <f t="shared" si="303"/>
        <v>0</v>
      </c>
      <c r="D406" s="5">
        <f t="shared" si="306"/>
        <v>-9.9999999996214228E-6</v>
      </c>
      <c r="E406" s="4">
        <f t="shared" si="304"/>
        <v>3.0000000000000001E-5</v>
      </c>
      <c r="F406" s="11">
        <f>IF(D372="","",MAX(G406,H406))</f>
        <v>2.0000000000663931E-4</v>
      </c>
      <c r="G406" s="5">
        <f>ABS(MIN(B404:B413))</f>
        <v>1.0000000000331966E-4</v>
      </c>
      <c r="H406" s="5">
        <f>ABS(MAX(B404:B413))</f>
        <v>2.0000000000663931E-4</v>
      </c>
      <c r="I406" s="1"/>
      <c r="J406" s="2" t="str">
        <f t="shared" ref="J406" si="307">CONCATENATE(K405,1)</f>
        <v>101</v>
      </c>
      <c r="K406" s="4" t="e">
        <f t="array" ref="K406:S408">LINEST(B385:B394,C385:C394^{1,2,3,4,5,6,7,8},TRUE,TRUE)</f>
        <v>#VALUE!</v>
      </c>
      <c r="L406" s="4" t="e">
        <v>#VALUE!</v>
      </c>
      <c r="M406" s="4" t="e">
        <v>#VALUE!</v>
      </c>
      <c r="N406" s="4" t="e">
        <v>#VALUE!</v>
      </c>
      <c r="O406" s="4" t="e">
        <v>#VALUE!</v>
      </c>
      <c r="P406" s="4" t="e">
        <v>#VALUE!</v>
      </c>
      <c r="Q406" s="4" t="e">
        <v>#VALUE!</v>
      </c>
      <c r="R406" s="4" t="e">
        <v>#VALUE!</v>
      </c>
      <c r="S406" s="4" t="e">
        <v>#VALUE!</v>
      </c>
      <c r="T406" s="1"/>
      <c r="U406" s="2">
        <f t="shared" si="276"/>
        <v>9</v>
      </c>
      <c r="V406" s="2">
        <f t="shared" si="277"/>
        <v>237</v>
      </c>
    </row>
    <row r="407" spans="1:22" x14ac:dyDescent="0.3">
      <c r="A407" s="2">
        <f t="shared" si="275"/>
        <v>9238</v>
      </c>
      <c r="B407" s="5">
        <f t="shared" si="302"/>
        <v>1.0000000003174137E-5</v>
      </c>
      <c r="C407" s="5">
        <f t="shared" si="303"/>
        <v>1.0000000003174137E-5</v>
      </c>
      <c r="D407" s="5">
        <f t="shared" si="306"/>
        <v>0</v>
      </c>
      <c r="E407" s="4">
        <f t="shared" si="304"/>
        <v>1.4999999999999999E-4</v>
      </c>
      <c r="F407" s="57" t="s">
        <v>37</v>
      </c>
      <c r="G407" s="58"/>
      <c r="H407" s="58"/>
      <c r="I407" s="1"/>
      <c r="J407" s="2" t="str">
        <f t="shared" ref="J407" si="308">CONCATENATE(K405,2)</f>
        <v>102</v>
      </c>
      <c r="K407" s="4" t="e">
        <v>#VALUE!</v>
      </c>
      <c r="L407" s="4" t="e">
        <v>#VALUE!</v>
      </c>
      <c r="M407" s="4" t="e">
        <v>#VALUE!</v>
      </c>
      <c r="N407" s="4" t="e">
        <v>#VALUE!</v>
      </c>
      <c r="O407" s="4" t="e">
        <v>#VALUE!</v>
      </c>
      <c r="P407" s="4" t="e">
        <v>#VALUE!</v>
      </c>
      <c r="Q407" s="4" t="e">
        <v>#VALUE!</v>
      </c>
      <c r="R407" s="4" t="e">
        <v>#VALUE!</v>
      </c>
      <c r="S407" s="4" t="e">
        <v>#VALUE!</v>
      </c>
      <c r="T407" s="1"/>
      <c r="U407" s="2">
        <f t="shared" si="276"/>
        <v>9</v>
      </c>
      <c r="V407" s="2">
        <f t="shared" si="277"/>
        <v>238</v>
      </c>
    </row>
    <row r="408" spans="1:22" x14ac:dyDescent="0.3">
      <c r="A408" s="2">
        <f t="shared" si="275"/>
        <v>9239</v>
      </c>
      <c r="B408" s="5">
        <f t="shared" si="302"/>
        <v>-1.0000000000331966E-4</v>
      </c>
      <c r="C408" s="5">
        <f t="shared" si="303"/>
        <v>0</v>
      </c>
      <c r="D408" s="5">
        <f t="shared" si="306"/>
        <v>1.0000000000331966E-4</v>
      </c>
      <c r="E408" s="4">
        <f t="shared" si="304"/>
        <v>4.0000000000000002E-4</v>
      </c>
      <c r="F408" s="11">
        <f>IF(D372="","",MAX(G408,H408))</f>
        <v>8.0000000000000004E-4</v>
      </c>
      <c r="G408" s="5">
        <f>ABS(MIN(E404:E413))</f>
        <v>0</v>
      </c>
      <c r="H408" s="5">
        <f>ABS(MAX(E404:E413))</f>
        <v>8.0000000000000004E-4</v>
      </c>
      <c r="I408" s="1"/>
      <c r="J408" s="2" t="str">
        <f t="shared" ref="J408" si="309">CONCATENATE(K405,3)</f>
        <v>103</v>
      </c>
      <c r="K408" s="4" t="e">
        <v>#VALUE!</v>
      </c>
      <c r="L408" s="4" t="e">
        <v>#VALUE!</v>
      </c>
      <c r="M408" s="4" t="e">
        <v>#VALUE!</v>
      </c>
      <c r="N408" s="4" t="e">
        <v>#VALUE!</v>
      </c>
      <c r="O408" s="4" t="e">
        <v>#VALUE!</v>
      </c>
      <c r="P408" s="4" t="e">
        <v>#VALUE!</v>
      </c>
      <c r="Q408" s="4" t="e">
        <v>#VALUE!</v>
      </c>
      <c r="R408" s="4" t="e">
        <v>#VALUE!</v>
      </c>
      <c r="S408" s="4" t="e">
        <v>#VALUE!</v>
      </c>
      <c r="T408" s="1"/>
      <c r="U408" s="2">
        <f t="shared" si="276"/>
        <v>9</v>
      </c>
      <c r="V408" s="2">
        <f t="shared" si="277"/>
        <v>239</v>
      </c>
    </row>
    <row r="409" spans="1:22" x14ac:dyDescent="0.3">
      <c r="A409" s="2">
        <f t="shared" si="275"/>
        <v>9240</v>
      </c>
      <c r="B409" s="5">
        <f t="shared" si="302"/>
        <v>-1.0000000000331966E-4</v>
      </c>
      <c r="C409" s="5">
        <f t="shared" si="303"/>
        <v>0</v>
      </c>
      <c r="D409" s="5">
        <f t="shared" si="306"/>
        <v>1.0000000000331966E-4</v>
      </c>
      <c r="E409" s="4">
        <f t="shared" si="304"/>
        <v>5.0000000000000001E-4</v>
      </c>
      <c r="F409" s="57" t="s">
        <v>51</v>
      </c>
      <c r="G409" s="58"/>
      <c r="H409" s="5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">
        <f t="shared" si="276"/>
        <v>9</v>
      </c>
      <c r="V409" s="2">
        <f t="shared" si="277"/>
        <v>240</v>
      </c>
    </row>
    <row r="410" spans="1:22" x14ac:dyDescent="0.3">
      <c r="A410" s="2">
        <f t="shared" si="275"/>
        <v>9241</v>
      </c>
      <c r="B410" s="5">
        <f t="shared" si="302"/>
        <v>2.0000000000663931E-4</v>
      </c>
      <c r="C410" s="5">
        <f t="shared" si="303"/>
        <v>3.0000000000995897E-4</v>
      </c>
      <c r="D410" s="5">
        <f t="shared" si="306"/>
        <v>1.0000000000331966E-4</v>
      </c>
      <c r="E410" s="4">
        <f t="shared" si="304"/>
        <v>8.0000000000000004E-4</v>
      </c>
      <c r="F410" s="21">
        <f>MAX(G410:H412)</f>
        <v>1.0000000000331966E-4</v>
      </c>
      <c r="G410" s="4">
        <f>IF(C397="",0,ABS(C397-B397))</f>
        <v>0</v>
      </c>
      <c r="H410" s="4">
        <f>IF(F397="",0,ABS(F397-B397))</f>
        <v>1.0000000000331966E-4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">
        <f t="shared" si="276"/>
        <v>9</v>
      </c>
      <c r="V410" s="2">
        <f t="shared" si="277"/>
        <v>241</v>
      </c>
    </row>
    <row r="411" spans="1:22" x14ac:dyDescent="0.3">
      <c r="A411" s="2">
        <f t="shared" si="275"/>
        <v>9242</v>
      </c>
      <c r="B411" s="5">
        <f t="shared" si="302"/>
        <v>0</v>
      </c>
      <c r="C411" s="5">
        <f t="shared" si="303"/>
        <v>0</v>
      </c>
      <c r="D411" s="5">
        <f t="shared" si="306"/>
        <v>0</v>
      </c>
      <c r="E411" s="4">
        <f t="shared" si="304"/>
        <v>0</v>
      </c>
      <c r="F411" s="4" t="s">
        <v>52</v>
      </c>
      <c r="G411" s="4">
        <f>IF(D397="",0,ABS(D397-B397))</f>
        <v>1.0000000000331966E-4</v>
      </c>
      <c r="H411" s="4">
        <f>IF(G397="",0,ABS(G397-B397))</f>
        <v>1.0000000000331966E-4</v>
      </c>
      <c r="I411" s="1"/>
      <c r="J411" s="1"/>
      <c r="R411" s="1"/>
      <c r="S411" s="1"/>
      <c r="T411" s="1"/>
      <c r="U411" s="2">
        <f t="shared" si="276"/>
        <v>9</v>
      </c>
      <c r="V411" s="2">
        <f t="shared" si="277"/>
        <v>242</v>
      </c>
    </row>
    <row r="412" spans="1:22" x14ac:dyDescent="0.3">
      <c r="A412" s="2">
        <f t="shared" si="275"/>
        <v>9243</v>
      </c>
      <c r="B412" s="5">
        <f t="shared" si="302"/>
        <v>0</v>
      </c>
      <c r="C412" s="5">
        <f t="shared" si="303"/>
        <v>0</v>
      </c>
      <c r="D412" s="5">
        <f t="shared" si="306"/>
        <v>0</v>
      </c>
      <c r="E412" s="4">
        <f t="shared" si="304"/>
        <v>0</v>
      </c>
      <c r="F412" s="22">
        <f>IF(F410=0,0,F410/B397%)</f>
        <v>1.0000000000331966E-4</v>
      </c>
      <c r="G412" s="4">
        <f>IF(G397="",0,ABS(G397-B397))</f>
        <v>1.0000000000331966E-4</v>
      </c>
      <c r="H412" s="4">
        <f>IF(H397="",0,ABS(H397-B397))</f>
        <v>1.0000000000331966E-4</v>
      </c>
      <c r="I412" s="1"/>
      <c r="J412" s="1"/>
      <c r="R412" s="1"/>
      <c r="S412" s="1"/>
      <c r="T412" s="1"/>
      <c r="U412" s="2">
        <f t="shared" si="276"/>
        <v>9</v>
      </c>
      <c r="V412" s="2">
        <f t="shared" si="277"/>
        <v>243</v>
      </c>
    </row>
    <row r="413" spans="1:22" x14ac:dyDescent="0.3">
      <c r="A413" s="2">
        <f t="shared" si="275"/>
        <v>9244</v>
      </c>
      <c r="B413" s="5">
        <f t="shared" si="302"/>
        <v>0</v>
      </c>
      <c r="C413" s="5">
        <f t="shared" si="303"/>
        <v>0</v>
      </c>
      <c r="D413" s="5">
        <f t="shared" si="306"/>
        <v>0</v>
      </c>
      <c r="E413" s="4">
        <f t="shared" si="304"/>
        <v>0</v>
      </c>
      <c r="F413" s="1"/>
      <c r="G413" s="1"/>
      <c r="H413" s="1"/>
      <c r="I413" s="1"/>
      <c r="J413" s="1"/>
      <c r="R413" s="1"/>
      <c r="S413" s="1"/>
      <c r="T413" s="1"/>
      <c r="U413" s="2">
        <f t="shared" si="276"/>
        <v>9</v>
      </c>
      <c r="V413" s="2">
        <f t="shared" si="277"/>
        <v>244</v>
      </c>
    </row>
    <row r="414" spans="1:22" x14ac:dyDescent="0.3">
      <c r="A414" s="2">
        <f t="shared" si="275"/>
        <v>9245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">
        <f t="shared" si="276"/>
        <v>9</v>
      </c>
      <c r="V414" s="2">
        <f t="shared" si="277"/>
        <v>245</v>
      </c>
    </row>
    <row r="415" spans="1:22" s="20" customForma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 x14ac:dyDescent="0.3">
      <c r="A416" s="2">
        <f>ROUND(CONCATENATE(U416,V416),0)</f>
        <v>10201</v>
      </c>
      <c r="B416" s="63" t="s">
        <v>0</v>
      </c>
      <c r="C416" s="63"/>
      <c r="D416" s="71" t="s">
        <v>73</v>
      </c>
      <c r="E416" s="72"/>
      <c r="F416" s="72"/>
      <c r="G416" s="72"/>
      <c r="H416" s="7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">
        <f>U414+1</f>
        <v>10</v>
      </c>
      <c r="V416" s="2">
        <v>201</v>
      </c>
    </row>
    <row r="417" spans="1:22" x14ac:dyDescent="0.3">
      <c r="A417" s="2">
        <f t="shared" ref="A417:A460" si="310">ROUND(CONCATENATE(U417,V417),0)</f>
        <v>10202</v>
      </c>
      <c r="B417" s="12" t="s">
        <v>40</v>
      </c>
      <c r="C417" s="13"/>
      <c r="D417" s="16" t="s">
        <v>41</v>
      </c>
      <c r="E417" s="57" t="s">
        <v>39</v>
      </c>
      <c r="F417" s="57"/>
      <c r="G417" s="18">
        <v>1.0000000000000001E-5</v>
      </c>
      <c r="H417" s="15" t="str">
        <f>IF(D418="","",D417)</f>
        <v>g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">
        <f>U416</f>
        <v>10</v>
      </c>
      <c r="V417" s="2">
        <f>V416+1</f>
        <v>202</v>
      </c>
    </row>
    <row r="418" spans="1:22" x14ac:dyDescent="0.3">
      <c r="A418" s="2">
        <f t="shared" si="310"/>
        <v>10203</v>
      </c>
      <c r="B418" s="63" t="s">
        <v>1</v>
      </c>
      <c r="C418" s="63"/>
      <c r="D418" s="71" t="s">
        <v>101</v>
      </c>
      <c r="E418" s="72"/>
      <c r="F418" s="72"/>
      <c r="G418" s="72"/>
      <c r="H418" s="73"/>
      <c r="I418" s="1"/>
      <c r="J418" s="1"/>
      <c r="K418" s="1" t="s">
        <v>2</v>
      </c>
      <c r="L418" s="1" t="s">
        <v>3</v>
      </c>
      <c r="M418" s="1" t="s">
        <v>4</v>
      </c>
      <c r="N418" s="1" t="s">
        <v>5</v>
      </c>
      <c r="O418" s="1" t="s">
        <v>6</v>
      </c>
      <c r="P418" s="1" t="s">
        <v>7</v>
      </c>
      <c r="Q418" s="1" t="s">
        <v>8</v>
      </c>
      <c r="R418" s="1" t="s">
        <v>9</v>
      </c>
      <c r="S418" s="1" t="s">
        <v>10</v>
      </c>
      <c r="T418" s="1"/>
      <c r="U418" s="2">
        <f t="shared" ref="U418:U460" si="311">U417</f>
        <v>10</v>
      </c>
      <c r="V418" s="2">
        <f t="shared" ref="V418:V460" si="312">V417+1</f>
        <v>203</v>
      </c>
    </row>
    <row r="419" spans="1:22" x14ac:dyDescent="0.3">
      <c r="A419" s="2">
        <f t="shared" si="310"/>
        <v>10204</v>
      </c>
      <c r="B419" s="63" t="s">
        <v>11</v>
      </c>
      <c r="C419" s="63"/>
      <c r="D419" s="71" t="s">
        <v>75</v>
      </c>
      <c r="E419" s="72"/>
      <c r="F419" s="72"/>
      <c r="G419" s="72"/>
      <c r="H419" s="73"/>
      <c r="I419" s="1"/>
      <c r="J419" s="1">
        <f>COUNTA(B431:B440)</f>
        <v>7</v>
      </c>
      <c r="K419" s="1">
        <f t="shared" ref="K419" si="313">IF(L419-1&lt;2,0,L419-1)</f>
        <v>0</v>
      </c>
      <c r="L419" s="1">
        <f t="shared" ref="L419" si="314">IF(M419-1&lt;2,0,M419-1)</f>
        <v>0</v>
      </c>
      <c r="M419" s="1">
        <f t="shared" ref="M419" si="315">IF(N419-1&lt;2,0,N419-1)</f>
        <v>0</v>
      </c>
      <c r="N419" s="1">
        <f t="shared" ref="N419" si="316">IF(O419-1&lt;2,0,O419-1)</f>
        <v>2</v>
      </c>
      <c r="O419" s="1">
        <f t="shared" ref="O419" si="317">IF(P419-1&lt;2,0,P419-1)</f>
        <v>3</v>
      </c>
      <c r="P419" s="1">
        <f t="shared" ref="P419" si="318">IF(Q419-1&lt;2,0,Q419-1)</f>
        <v>4</v>
      </c>
      <c r="Q419" s="1">
        <f t="shared" ref="Q419" si="319">IF(R419-1&lt;2,0,R419-1)</f>
        <v>5</v>
      </c>
      <c r="R419" s="1">
        <f>IF(S419-1&lt;2,0,S419-1)</f>
        <v>6</v>
      </c>
      <c r="S419" s="1">
        <f>J419</f>
        <v>7</v>
      </c>
      <c r="T419" s="1"/>
      <c r="U419" s="2">
        <f t="shared" si="311"/>
        <v>10</v>
      </c>
      <c r="V419" s="2">
        <f t="shared" si="312"/>
        <v>204</v>
      </c>
    </row>
    <row r="420" spans="1:22" x14ac:dyDescent="0.3">
      <c r="A420" s="2">
        <f t="shared" si="310"/>
        <v>10205</v>
      </c>
      <c r="B420" s="63" t="s">
        <v>12</v>
      </c>
      <c r="C420" s="63"/>
      <c r="D420" s="71" t="s">
        <v>43</v>
      </c>
      <c r="E420" s="72"/>
      <c r="F420" s="72"/>
      <c r="G420" s="72"/>
      <c r="H420" s="73"/>
      <c r="I420" s="1"/>
      <c r="J420" s="2" t="str">
        <f>CONCATENATE(J419,1)</f>
        <v>71</v>
      </c>
      <c r="K420" s="3">
        <f>IF(K419=0,0,VLOOKUP(J420,J424:S454,K419,FALSE))</f>
        <v>0</v>
      </c>
      <c r="L420" s="3">
        <f>IF(L419=0,0,VLOOKUP(J420,J424:S454,L419,FALSE))</f>
        <v>0</v>
      </c>
      <c r="M420" s="3">
        <f>IF(M419=0,0,VLOOKUP(J420,J424:S454,M419,FALSE))</f>
        <v>0</v>
      </c>
      <c r="N420" s="3">
        <f>IF(N419=0,0,VLOOKUP(J420,J424:S454,N419,FALSE))</f>
        <v>-5.212734296335124E-15</v>
      </c>
      <c r="O420" s="3">
        <f>IF(O419=0,0,VLOOKUP(J420,J424:S454,O419,FALSE))</f>
        <v>2.5973353895409455E-12</v>
      </c>
      <c r="P420" s="3">
        <f>IF(P419=0,0,VLOOKUP(J420,J424:S454,P419,FALSE))</f>
        <v>-4.8674512694499971E-10</v>
      </c>
      <c r="Q420" s="3">
        <f>IF(Q419=0,0,VLOOKUP(J420,J424:S454,Q419,FALSE))</f>
        <v>4.033339705586922E-8</v>
      </c>
      <c r="R420" s="3">
        <f>IF(R419=0,0,VLOOKUP(J420,J424:S454,R419,FALSE))</f>
        <v>0.99999880798902774</v>
      </c>
      <c r="S420" s="3">
        <f>IF(S419=0,0,VLOOKUP(J420,J424:S454,S419,FALSE))</f>
        <v>-4.9940003418139523E-6</v>
      </c>
      <c r="T420" s="1"/>
      <c r="U420" s="2">
        <f t="shared" si="311"/>
        <v>10</v>
      </c>
      <c r="V420" s="2">
        <f t="shared" si="312"/>
        <v>205</v>
      </c>
    </row>
    <row r="421" spans="1:22" x14ac:dyDescent="0.3">
      <c r="A421" s="2">
        <f t="shared" si="310"/>
        <v>10206</v>
      </c>
      <c r="B421" s="63" t="s">
        <v>13</v>
      </c>
      <c r="C421" s="63"/>
      <c r="D421" s="74" t="s">
        <v>171</v>
      </c>
      <c r="E421" s="72"/>
      <c r="F421" s="72"/>
      <c r="G421" s="72"/>
      <c r="H421" s="73"/>
      <c r="I421" s="1"/>
      <c r="J421" s="2" t="str">
        <f>CONCATENATE(J419,2)</f>
        <v>72</v>
      </c>
      <c r="K421" s="4">
        <f>IF(K419=0,0,VLOOKUP(J421,J424:S454,K419,FALSE))</f>
        <v>0</v>
      </c>
      <c r="L421" s="4">
        <f>IF(L419=0,0,VLOOKUP(J421,J424:S454,L419,FALSE))</f>
        <v>0</v>
      </c>
      <c r="M421" s="4">
        <f>IF(M419=0,0,VLOOKUP(J421,J424:S454,M419,FALSE))</f>
        <v>0</v>
      </c>
      <c r="N421" s="4">
        <f>IF(N419=0,0,VLOOKUP(J421,J424:S454,N419,FALSE))</f>
        <v>1.3040687170708474E-14</v>
      </c>
      <c r="O421" s="4">
        <f>IF(O419=0,0,VLOOKUP(J421,J424:S454,O419,FALSE))</f>
        <v>6.7006737039970212E-12</v>
      </c>
      <c r="P421" s="4">
        <f>IF(P419=0,0,VLOOKUP(J421,J424:S454,P419,FALSE))</f>
        <v>1.1893674289346364E-9</v>
      </c>
      <c r="Q421" s="4">
        <f>IF(Q419=0,0,VLOOKUP(J421,J424:S454,Q419,FALSE))</f>
        <v>8.5762237702093642E-8</v>
      </c>
      <c r="R421" s="4">
        <f>IF(R419=0,0,VLOOKUP(J421,J424:S454,R419,FALSE))</f>
        <v>2.1275690729159126E-6</v>
      </c>
      <c r="S421" s="4">
        <f>IF(S419=0,0,VLOOKUP(J421,J424:S454,S419,FALSE))</f>
        <v>5.0012390378134478E-6</v>
      </c>
      <c r="T421" s="1"/>
      <c r="U421" s="2">
        <f t="shared" si="311"/>
        <v>10</v>
      </c>
      <c r="V421" s="2">
        <f t="shared" si="312"/>
        <v>206</v>
      </c>
    </row>
    <row r="422" spans="1:22" x14ac:dyDescent="0.3">
      <c r="A422" s="2">
        <f t="shared" si="310"/>
        <v>10207</v>
      </c>
      <c r="B422" s="63" t="s">
        <v>14</v>
      </c>
      <c r="C422" s="63"/>
      <c r="D422" s="75">
        <v>46031</v>
      </c>
      <c r="E422" s="76"/>
      <c r="F422" s="76"/>
      <c r="G422" s="76"/>
      <c r="H422" s="77"/>
      <c r="I422" s="1"/>
      <c r="J422" s="2" t="str">
        <f>CONCATENATE(J419,3)</f>
        <v>73</v>
      </c>
      <c r="K422" s="4"/>
      <c r="L422" s="4"/>
      <c r="M422" s="4"/>
      <c r="N422" s="4" t="s">
        <v>15</v>
      </c>
      <c r="O422" s="3">
        <f>J419-2</f>
        <v>5</v>
      </c>
      <c r="P422" s="4" t="s">
        <v>16</v>
      </c>
      <c r="Q422" s="3">
        <f>VLOOKUP(J422,J424:S454,3,FALSE)</f>
        <v>7.067691130346887E-6</v>
      </c>
      <c r="R422" s="4" t="s">
        <v>17</v>
      </c>
      <c r="S422" s="4">
        <f>VLOOKUP(J422,J424:S454,2,FALSE)</f>
        <v>0.99999999999999889</v>
      </c>
      <c r="T422" s="1"/>
      <c r="U422" s="2">
        <f t="shared" si="311"/>
        <v>10</v>
      </c>
      <c r="V422" s="2">
        <f t="shared" si="312"/>
        <v>207</v>
      </c>
    </row>
    <row r="423" spans="1:22" x14ac:dyDescent="0.3">
      <c r="A423" s="2">
        <f t="shared" si="310"/>
        <v>10208</v>
      </c>
      <c r="B423" s="63" t="s">
        <v>18</v>
      </c>
      <c r="C423" s="63"/>
      <c r="D423" s="64">
        <v>46417</v>
      </c>
      <c r="E423" s="65"/>
      <c r="F423" s="65"/>
      <c r="G423" s="65"/>
      <c r="H423" s="66"/>
      <c r="I423" s="1"/>
      <c r="J423" s="1"/>
      <c r="K423" s="1">
        <v>3</v>
      </c>
      <c r="L423" s="1">
        <v>3</v>
      </c>
      <c r="M423" s="1"/>
      <c r="N423" s="1"/>
      <c r="O423" s="1"/>
      <c r="P423" s="1"/>
      <c r="Q423" s="1"/>
      <c r="R423" s="1"/>
      <c r="S423" s="1"/>
      <c r="T423" s="1"/>
      <c r="U423" s="2">
        <f t="shared" si="311"/>
        <v>10</v>
      </c>
      <c r="V423" s="2">
        <f t="shared" si="312"/>
        <v>208</v>
      </c>
    </row>
    <row r="424" spans="1:22" x14ac:dyDescent="0.3">
      <c r="A424" s="2">
        <f t="shared" si="310"/>
        <v>10209</v>
      </c>
      <c r="B424" s="67" t="s">
        <v>19</v>
      </c>
      <c r="C424" s="63"/>
      <c r="D424" s="5">
        <f>IF(D417="","",MIN(B431:B440))</f>
        <v>1E-3</v>
      </c>
      <c r="E424" s="6" t="s">
        <v>20</v>
      </c>
      <c r="F424" s="5">
        <f>IF(D417="","",MAX(B431:B440))</f>
        <v>220</v>
      </c>
      <c r="G424" s="7" t="str">
        <f>IF(D418="","",H417)</f>
        <v>g</v>
      </c>
      <c r="H424" s="14"/>
      <c r="I424" s="1"/>
      <c r="J424" s="2" t="str">
        <f>CONCATENATE(K423,1)</f>
        <v>31</v>
      </c>
      <c r="K424" s="4">
        <f t="array" ref="K424:L426">LINEST(B431:B433,C431:C433^{1},TRUE,TRUE)</f>
        <v>0.99999899819668248</v>
      </c>
      <c r="L424" s="4">
        <v>-4.9949841853802468E-6</v>
      </c>
      <c r="M424" s="1"/>
      <c r="N424" s="1"/>
      <c r="O424" s="1"/>
      <c r="P424" s="1"/>
      <c r="Q424" s="1"/>
      <c r="R424" s="1"/>
      <c r="S424" s="1"/>
      <c r="T424" s="1"/>
      <c r="U424" s="2">
        <f t="shared" si="311"/>
        <v>10</v>
      </c>
      <c r="V424" s="2">
        <f t="shared" si="312"/>
        <v>209</v>
      </c>
    </row>
    <row r="425" spans="1:22" x14ac:dyDescent="0.3">
      <c r="A425" s="2">
        <f t="shared" si="310"/>
        <v>10210</v>
      </c>
      <c r="B425" s="1"/>
      <c r="C425" s="1"/>
      <c r="D425" s="1"/>
      <c r="E425" s="1"/>
      <c r="F425" s="1"/>
      <c r="G425" s="1"/>
      <c r="H425" s="1"/>
      <c r="I425" s="1"/>
      <c r="J425" s="2" t="str">
        <f>CONCATENATE(K423,2)</f>
        <v>32</v>
      </c>
      <c r="K425" s="4">
        <v>1.7323927058731459E-6</v>
      </c>
      <c r="L425" s="4">
        <v>5.0009995878832762E-6</v>
      </c>
      <c r="M425" s="1"/>
      <c r="N425" s="1"/>
      <c r="O425" s="1"/>
      <c r="P425" s="1"/>
      <c r="Q425" s="1"/>
      <c r="R425" s="1"/>
      <c r="S425" s="1"/>
      <c r="T425" s="1"/>
      <c r="U425" s="2">
        <f t="shared" si="311"/>
        <v>10</v>
      </c>
      <c r="V425" s="2">
        <f t="shared" si="312"/>
        <v>210</v>
      </c>
    </row>
    <row r="426" spans="1:22" x14ac:dyDescent="0.3">
      <c r="A426" s="2">
        <f t="shared" si="310"/>
        <v>10211</v>
      </c>
      <c r="B426" s="68" t="s">
        <v>21</v>
      </c>
      <c r="C426" s="68"/>
      <c r="D426" s="68"/>
      <c r="E426" s="68"/>
      <c r="F426" s="68"/>
      <c r="G426" s="69" t="s">
        <v>22</v>
      </c>
      <c r="H426" s="70"/>
      <c r="I426" s="1"/>
      <c r="J426" s="2" t="str">
        <f>CONCATENATE(K423,3)</f>
        <v>33</v>
      </c>
      <c r="K426" s="4">
        <v>0.99999999999699896</v>
      </c>
      <c r="L426" s="4">
        <v>7.0682289070589377E-6</v>
      </c>
      <c r="M426" s="1"/>
      <c r="N426" s="1"/>
      <c r="O426" s="1"/>
      <c r="P426" s="1"/>
      <c r="Q426" s="1"/>
      <c r="R426" s="1"/>
      <c r="S426" s="1"/>
      <c r="T426" s="1"/>
      <c r="U426" s="2">
        <f t="shared" si="311"/>
        <v>10</v>
      </c>
      <c r="V426" s="2">
        <f t="shared" si="312"/>
        <v>211</v>
      </c>
    </row>
    <row r="427" spans="1:22" x14ac:dyDescent="0.3">
      <c r="A427" s="2">
        <f t="shared" si="310"/>
        <v>10212</v>
      </c>
      <c r="B427" s="61" t="s">
        <v>23</v>
      </c>
      <c r="C427" s="61"/>
      <c r="D427" s="61"/>
      <c r="E427" s="61" t="str">
        <f>D421</f>
        <v>E0013/26</v>
      </c>
      <c r="F427" s="61"/>
      <c r="G427" s="4" t="s">
        <v>24</v>
      </c>
      <c r="H427" s="31" t="s">
        <v>102</v>
      </c>
      <c r="I427" s="1"/>
      <c r="J427" s="1"/>
      <c r="K427" s="1">
        <v>4</v>
      </c>
      <c r="L427" s="1">
        <v>4</v>
      </c>
      <c r="M427" s="1">
        <v>4</v>
      </c>
      <c r="N427" s="1"/>
      <c r="O427" s="1"/>
      <c r="P427" s="1"/>
      <c r="Q427" s="1"/>
      <c r="R427" s="1"/>
      <c r="S427" s="1"/>
      <c r="T427" s="1"/>
      <c r="U427" s="2">
        <f t="shared" si="311"/>
        <v>10</v>
      </c>
      <c r="V427" s="2">
        <f t="shared" si="312"/>
        <v>212</v>
      </c>
    </row>
    <row r="428" spans="1:22" x14ac:dyDescent="0.3">
      <c r="A428" s="2">
        <f t="shared" si="310"/>
        <v>10213</v>
      </c>
      <c r="B428" s="59" t="s">
        <v>25</v>
      </c>
      <c r="C428" s="59" t="s">
        <v>26</v>
      </c>
      <c r="D428" s="59" t="s">
        <v>27</v>
      </c>
      <c r="E428" s="59" t="s">
        <v>28</v>
      </c>
      <c r="F428" s="59" t="s">
        <v>29</v>
      </c>
      <c r="G428" s="59" t="s">
        <v>25</v>
      </c>
      <c r="H428" s="59" t="s">
        <v>26</v>
      </c>
      <c r="I428" s="1"/>
      <c r="J428" s="2" t="str">
        <f t="shared" ref="J428" si="320">CONCATENATE(K427,1)</f>
        <v>41</v>
      </c>
      <c r="K428" s="4">
        <f t="array" ref="K428:M430">LINEST(B431:B434,C431:C434^{1,2},TRUE,TRUE)</f>
        <v>2.0041850480845897E-8</v>
      </c>
      <c r="L428" s="4">
        <v>0.99999889779783402</v>
      </c>
      <c r="M428" s="4">
        <v>-4.9944824071312126E-6</v>
      </c>
      <c r="N428" s="1"/>
      <c r="O428" s="1"/>
      <c r="P428" s="1"/>
      <c r="Q428" s="1"/>
      <c r="R428" s="1"/>
      <c r="S428" s="1"/>
      <c r="T428" s="1"/>
      <c r="U428" s="2">
        <f t="shared" si="311"/>
        <v>10</v>
      </c>
      <c r="V428" s="2">
        <f t="shared" si="312"/>
        <v>213</v>
      </c>
    </row>
    <row r="429" spans="1:22" x14ac:dyDescent="0.3">
      <c r="A429" s="2">
        <f t="shared" si="310"/>
        <v>10214</v>
      </c>
      <c r="B429" s="60"/>
      <c r="C429" s="60"/>
      <c r="D429" s="60"/>
      <c r="E429" s="60"/>
      <c r="F429" s="60"/>
      <c r="G429" s="60"/>
      <c r="H429" s="60"/>
      <c r="I429" s="1"/>
      <c r="J429" s="2" t="str">
        <f t="shared" ref="J429" si="321">CONCATENATE(K427,2)</f>
        <v>42</v>
      </c>
      <c r="K429" s="4">
        <v>3.7389937405694579E-8</v>
      </c>
      <c r="L429" s="4">
        <v>1.918588800940651E-6</v>
      </c>
      <c r="M429" s="4">
        <v>5.0010995057131844E-6</v>
      </c>
      <c r="N429" s="1"/>
      <c r="O429" s="1"/>
      <c r="P429" s="1"/>
      <c r="Q429" s="1"/>
      <c r="R429" s="1"/>
      <c r="S429" s="1"/>
      <c r="T429" s="1"/>
      <c r="U429" s="2">
        <f t="shared" si="311"/>
        <v>10</v>
      </c>
      <c r="V429" s="2">
        <f t="shared" si="312"/>
        <v>214</v>
      </c>
    </row>
    <row r="430" spans="1:22" x14ac:dyDescent="0.3">
      <c r="A430" s="2">
        <f t="shared" si="310"/>
        <v>10215</v>
      </c>
      <c r="B430" s="9" t="str">
        <f>CONCATENATE("(",H417,")")</f>
        <v>(g)</v>
      </c>
      <c r="C430" s="9" t="str">
        <f>B430</f>
        <v>(g)</v>
      </c>
      <c r="D430" s="9" t="str">
        <f>C430</f>
        <v>(g)</v>
      </c>
      <c r="E430" s="9"/>
      <c r="F430" s="9"/>
      <c r="G430" s="9" t="str">
        <f>B430</f>
        <v>(g)</v>
      </c>
      <c r="H430" s="9" t="str">
        <f>G430</f>
        <v>(g)</v>
      </c>
      <c r="I430" s="1"/>
      <c r="J430" s="2" t="str">
        <f t="shared" ref="J430" si="322">CONCATENATE(K427,3)</f>
        <v>43</v>
      </c>
      <c r="K430" s="4">
        <v>0.99999999999997169</v>
      </c>
      <c r="L430" s="4">
        <v>7.0679449533095351E-6</v>
      </c>
      <c r="M430" s="4" t="e">
        <v>#N/A</v>
      </c>
      <c r="N430" s="1"/>
      <c r="O430" s="1"/>
      <c r="P430" s="1"/>
      <c r="Q430" s="1"/>
      <c r="R430" s="1"/>
      <c r="S430" s="1"/>
      <c r="T430" s="1"/>
      <c r="U430" s="2">
        <f t="shared" si="311"/>
        <v>10</v>
      </c>
      <c r="V430" s="2">
        <f t="shared" si="312"/>
        <v>215</v>
      </c>
    </row>
    <row r="431" spans="1:22" x14ac:dyDescent="0.3">
      <c r="A431" s="2">
        <f t="shared" si="310"/>
        <v>10216</v>
      </c>
      <c r="B431" s="10">
        <v>1E-3</v>
      </c>
      <c r="C431" s="10">
        <v>1E-3</v>
      </c>
      <c r="D431" s="10">
        <v>2.0000000000000002E-5</v>
      </c>
      <c r="E431" s="10">
        <v>2.02</v>
      </c>
      <c r="F431" s="10">
        <v>142</v>
      </c>
      <c r="G431" s="8">
        <v>1E-3</v>
      </c>
      <c r="H431" s="8">
        <v>1.01E-3</v>
      </c>
      <c r="I431" s="1"/>
      <c r="J431" s="1"/>
      <c r="K431" s="1">
        <v>5</v>
      </c>
      <c r="L431" s="1">
        <v>5</v>
      </c>
      <c r="M431" s="1">
        <v>5</v>
      </c>
      <c r="N431" s="1">
        <v>5</v>
      </c>
      <c r="O431" s="1"/>
      <c r="P431" s="1"/>
      <c r="Q431" s="1"/>
      <c r="R431" s="1"/>
      <c r="S431" s="1"/>
      <c r="T431" s="1"/>
      <c r="U431" s="2">
        <f t="shared" si="311"/>
        <v>10</v>
      </c>
      <c r="V431" s="2">
        <f t="shared" si="312"/>
        <v>216</v>
      </c>
    </row>
    <row r="432" spans="1:22" x14ac:dyDescent="0.3">
      <c r="A432" s="2">
        <f t="shared" si="310"/>
        <v>10217</v>
      </c>
      <c r="B432" s="10">
        <v>5.0000000000000001E-3</v>
      </c>
      <c r="C432" s="10">
        <v>5.0099999999999997E-3</v>
      </c>
      <c r="D432" s="10">
        <v>2.0000000000000002E-5</v>
      </c>
      <c r="E432" s="10">
        <v>2.02</v>
      </c>
      <c r="F432" s="10">
        <v>141</v>
      </c>
      <c r="G432" s="8">
        <v>5.0000000000000001E-3</v>
      </c>
      <c r="H432" s="8">
        <v>5.0099999999999997E-3</v>
      </c>
      <c r="I432" s="1"/>
      <c r="J432" s="2" t="str">
        <f t="shared" ref="J432" si="323">CONCATENATE(K431,1)</f>
        <v>51</v>
      </c>
      <c r="K432" s="4">
        <f t="array" ref="K432:N434">LINEST(B431:B435,C431:C435^{1,2,3},TRUE,TRUE)</f>
        <v>-1.7939727140917017E-10</v>
      </c>
      <c r="L432" s="4">
        <v>2.99107055361673E-8</v>
      </c>
      <c r="M432" s="4">
        <v>0.99999885284452839</v>
      </c>
      <c r="N432" s="4">
        <v>-4.9942473023090699E-6</v>
      </c>
      <c r="O432" s="1"/>
      <c r="P432" s="1"/>
      <c r="Q432" s="1"/>
      <c r="R432" s="1"/>
      <c r="S432" s="1"/>
      <c r="T432" s="1"/>
      <c r="U432" s="2">
        <f t="shared" si="311"/>
        <v>10</v>
      </c>
      <c r="V432" s="2">
        <f t="shared" si="312"/>
        <v>217</v>
      </c>
    </row>
    <row r="433" spans="1:22" x14ac:dyDescent="0.3">
      <c r="A433" s="2">
        <f t="shared" si="310"/>
        <v>10218</v>
      </c>
      <c r="B433" s="10">
        <v>5</v>
      </c>
      <c r="C433" s="10">
        <v>5.0000099999999996</v>
      </c>
      <c r="D433" s="10">
        <v>3.0000000000000001E-5</v>
      </c>
      <c r="E433" s="10">
        <v>2</v>
      </c>
      <c r="F433" s="10">
        <v>880</v>
      </c>
      <c r="G433" s="8">
        <v>5</v>
      </c>
      <c r="H433" s="8">
        <v>5</v>
      </c>
      <c r="I433" s="1"/>
      <c r="J433" s="2" t="str">
        <f t="shared" ref="J433" si="324">CONCATENATE(K431,2)</f>
        <v>52</v>
      </c>
      <c r="K433" s="4">
        <v>3.9198605070415636E-10</v>
      </c>
      <c r="L433" s="4">
        <v>5.8895793744774667E-8</v>
      </c>
      <c r="M433" s="4">
        <v>2.0152543526882299E-6</v>
      </c>
      <c r="N433" s="4">
        <v>5.0011600339541833E-6</v>
      </c>
      <c r="O433" s="1"/>
      <c r="P433" s="1"/>
      <c r="Q433" s="1"/>
      <c r="R433" s="1"/>
      <c r="S433" s="1"/>
      <c r="T433" s="1"/>
      <c r="U433" s="2">
        <f t="shared" si="311"/>
        <v>10</v>
      </c>
      <c r="V433" s="2">
        <f t="shared" si="312"/>
        <v>218</v>
      </c>
    </row>
    <row r="434" spans="1:22" x14ac:dyDescent="0.3">
      <c r="A434" s="2">
        <f t="shared" si="310"/>
        <v>10219</v>
      </c>
      <c r="B434" s="10">
        <v>50</v>
      </c>
      <c r="C434" s="10">
        <v>50.000010000000003</v>
      </c>
      <c r="D434" s="10">
        <v>1.4999999999999999E-4</v>
      </c>
      <c r="E434" s="10">
        <v>2</v>
      </c>
      <c r="F434" s="10">
        <v>1000000</v>
      </c>
      <c r="G434" s="8">
        <v>50</v>
      </c>
      <c r="H434" s="8">
        <v>50.000019999999999</v>
      </c>
      <c r="I434" s="1"/>
      <c r="J434" s="2" t="str">
        <f t="shared" ref="J434" si="325">CONCATENATE(K431,3)</f>
        <v>53</v>
      </c>
      <c r="K434" s="4">
        <v>0.99999999999999356</v>
      </c>
      <c r="L434" s="4">
        <v>7.0678178879512998E-6</v>
      </c>
      <c r="M434" s="4" t="e">
        <v>#N/A</v>
      </c>
      <c r="N434" s="4" t="e">
        <v>#N/A</v>
      </c>
      <c r="O434" s="1"/>
      <c r="P434" s="1"/>
      <c r="Q434" s="1"/>
      <c r="R434" s="1"/>
      <c r="S434" s="1"/>
      <c r="T434" s="1"/>
      <c r="U434" s="2">
        <f t="shared" si="311"/>
        <v>10</v>
      </c>
      <c r="V434" s="2">
        <f t="shared" si="312"/>
        <v>219</v>
      </c>
    </row>
    <row r="435" spans="1:22" x14ac:dyDescent="0.3">
      <c r="A435" s="2">
        <f t="shared" si="310"/>
        <v>10220</v>
      </c>
      <c r="B435" s="10">
        <v>100</v>
      </c>
      <c r="C435" s="10">
        <v>100</v>
      </c>
      <c r="D435" s="10">
        <v>4.0000000000000002E-4</v>
      </c>
      <c r="E435" s="10">
        <v>2</v>
      </c>
      <c r="F435" s="10">
        <v>1000000</v>
      </c>
      <c r="G435" s="8">
        <v>100</v>
      </c>
      <c r="H435" s="8">
        <v>100</v>
      </c>
      <c r="I435" s="1"/>
      <c r="J435" s="1"/>
      <c r="K435" s="1">
        <v>6</v>
      </c>
      <c r="L435" s="1">
        <v>6</v>
      </c>
      <c r="M435" s="1">
        <v>6</v>
      </c>
      <c r="N435" s="1">
        <v>6</v>
      </c>
      <c r="O435" s="1">
        <v>6</v>
      </c>
      <c r="P435" s="1"/>
      <c r="Q435" s="1"/>
      <c r="R435" s="1"/>
      <c r="S435" s="1"/>
      <c r="T435" s="1"/>
      <c r="U435" s="2">
        <f t="shared" si="311"/>
        <v>10</v>
      </c>
      <c r="V435" s="2">
        <f t="shared" si="312"/>
        <v>220</v>
      </c>
    </row>
    <row r="436" spans="1:22" x14ac:dyDescent="0.3">
      <c r="A436" s="2">
        <f t="shared" si="310"/>
        <v>10221</v>
      </c>
      <c r="B436" s="10">
        <v>150</v>
      </c>
      <c r="C436" s="10">
        <v>150</v>
      </c>
      <c r="D436" s="10">
        <v>5.0000000000000001E-4</v>
      </c>
      <c r="E436" s="10">
        <v>2</v>
      </c>
      <c r="F436" s="10">
        <v>1000000</v>
      </c>
      <c r="G436" s="8">
        <v>150</v>
      </c>
      <c r="H436" s="8">
        <v>149.9999</v>
      </c>
      <c r="I436" s="1"/>
      <c r="J436" s="2" t="str">
        <f t="shared" ref="J436" si="326">CONCATENATE(K435,1)</f>
        <v>61</v>
      </c>
      <c r="K436" s="4">
        <f t="array" ref="K436:O438">LINEST(B431:B436,C431:C436^{1,2,3,4},TRUE,TRUE)</f>
        <v>1.0073824385680332E-12</v>
      </c>
      <c r="L436" s="4">
        <v>-3.3555527399707553E-10</v>
      </c>
      <c r="M436" s="4">
        <v>3.5705219293732386E-8</v>
      </c>
      <c r="N436" s="4">
        <v>0.99999882758910275</v>
      </c>
      <c r="O436" s="4">
        <v>-4.9941047002560605E-6</v>
      </c>
      <c r="P436" s="1"/>
      <c r="Q436" s="1"/>
      <c r="R436" s="1"/>
      <c r="S436" s="1"/>
      <c r="T436" s="1"/>
      <c r="U436" s="2">
        <f t="shared" si="311"/>
        <v>10</v>
      </c>
      <c r="V436" s="2">
        <f t="shared" si="312"/>
        <v>221</v>
      </c>
    </row>
    <row r="437" spans="1:22" x14ac:dyDescent="0.3">
      <c r="A437" s="2">
        <f t="shared" si="310"/>
        <v>10222</v>
      </c>
      <c r="B437" s="10">
        <v>220</v>
      </c>
      <c r="C437" s="10">
        <v>220.0001</v>
      </c>
      <c r="D437" s="10">
        <v>8.0000000000000004E-4</v>
      </c>
      <c r="E437" s="10">
        <v>2</v>
      </c>
      <c r="F437" s="10">
        <v>1000000</v>
      </c>
      <c r="G437" s="8">
        <v>220</v>
      </c>
      <c r="H437" s="8">
        <v>219.9999</v>
      </c>
      <c r="I437" s="1"/>
      <c r="J437" s="2" t="str">
        <f t="shared" ref="J437" si="327">CONCATENATE(K435,2)</f>
        <v>62</v>
      </c>
      <c r="K437" s="4">
        <v>2.7335894938144589E-12</v>
      </c>
      <c r="L437" s="4">
        <v>8.1457374595279321E-10</v>
      </c>
      <c r="M437" s="4">
        <v>7.4459234056378652E-8</v>
      </c>
      <c r="N437" s="4">
        <v>2.0814710044435896E-6</v>
      </c>
      <c r="O437" s="4">
        <v>5.001209816546363E-6</v>
      </c>
      <c r="P437" s="1"/>
      <c r="Q437" s="1"/>
      <c r="R437" s="1"/>
      <c r="S437" s="1"/>
      <c r="T437" s="1"/>
      <c r="U437" s="2">
        <f t="shared" si="311"/>
        <v>10</v>
      </c>
      <c r="V437" s="2">
        <f t="shared" si="312"/>
        <v>222</v>
      </c>
    </row>
    <row r="438" spans="1:22" x14ac:dyDescent="0.3">
      <c r="A438" s="2">
        <f t="shared" si="310"/>
        <v>10223</v>
      </c>
      <c r="B438" s="10"/>
      <c r="C438" s="10"/>
      <c r="D438" s="10"/>
      <c r="E438" s="10"/>
      <c r="F438" s="10"/>
      <c r="G438" s="8"/>
      <c r="H438" s="8"/>
      <c r="I438" s="1"/>
      <c r="J438" s="2" t="str">
        <f t="shared" ref="J438" si="328">CONCATENATE(K435,3)</f>
        <v>63</v>
      </c>
      <c r="K438" s="4">
        <v>0.99999999999999734</v>
      </c>
      <c r="L438" s="4">
        <v>7.0677464907298315E-6</v>
      </c>
      <c r="M438" s="4" t="e">
        <v>#N/A</v>
      </c>
      <c r="N438" s="4" t="e">
        <v>#N/A</v>
      </c>
      <c r="O438" s="4" t="e">
        <v>#N/A</v>
      </c>
      <c r="P438" s="1"/>
      <c r="Q438" s="1"/>
      <c r="R438" s="1"/>
      <c r="S438" s="1"/>
      <c r="T438" s="1"/>
      <c r="U438" s="2">
        <f t="shared" si="311"/>
        <v>10</v>
      </c>
      <c r="V438" s="2">
        <f t="shared" si="312"/>
        <v>223</v>
      </c>
    </row>
    <row r="439" spans="1:22" x14ac:dyDescent="0.3">
      <c r="A439" s="2">
        <f t="shared" si="310"/>
        <v>10224</v>
      </c>
      <c r="B439" s="10"/>
      <c r="C439" s="10"/>
      <c r="D439" s="10"/>
      <c r="E439" s="10"/>
      <c r="F439" s="10"/>
      <c r="G439" s="8"/>
      <c r="H439" s="8"/>
      <c r="I439" s="1"/>
      <c r="J439" s="1"/>
      <c r="K439" s="1">
        <v>7</v>
      </c>
      <c r="L439" s="1">
        <v>7</v>
      </c>
      <c r="M439" s="1">
        <v>7</v>
      </c>
      <c r="N439" s="1">
        <v>7</v>
      </c>
      <c r="O439" s="1">
        <v>7</v>
      </c>
      <c r="P439" s="1">
        <v>7</v>
      </c>
      <c r="Q439" s="1"/>
      <c r="R439" s="1"/>
      <c r="S439" s="1"/>
      <c r="T439" s="1"/>
      <c r="U439" s="2">
        <f t="shared" si="311"/>
        <v>10</v>
      </c>
      <c r="V439" s="2">
        <f t="shared" si="312"/>
        <v>224</v>
      </c>
    </row>
    <row r="440" spans="1:22" x14ac:dyDescent="0.3">
      <c r="A440" s="2">
        <f t="shared" si="310"/>
        <v>10225</v>
      </c>
      <c r="B440" s="10"/>
      <c r="C440" s="10"/>
      <c r="D440" s="10"/>
      <c r="E440" s="10"/>
      <c r="F440" s="10"/>
      <c r="G440" s="8"/>
      <c r="H440" s="8"/>
      <c r="I440" s="1"/>
      <c r="J440" s="2" t="str">
        <f t="shared" ref="J440" si="329">CONCATENATE(K439,1)</f>
        <v>71</v>
      </c>
      <c r="K440" s="4">
        <f t="array" ref="K440:P442">LINEST(B431:B437,C431:C437^{1,2,3,4,5},TRUE,TRUE)</f>
        <v>-5.212734296335124E-15</v>
      </c>
      <c r="L440" s="4">
        <v>2.5973353895409455E-12</v>
      </c>
      <c r="M440" s="4">
        <v>-4.8674512694499971E-10</v>
      </c>
      <c r="N440" s="4">
        <v>4.033339705586922E-8</v>
      </c>
      <c r="O440" s="4">
        <v>0.99999880798902774</v>
      </c>
      <c r="P440" s="4">
        <v>-4.9940003418139523E-6</v>
      </c>
      <c r="Q440" s="1"/>
      <c r="R440" s="1"/>
      <c r="S440" s="1"/>
      <c r="T440" s="1"/>
      <c r="U440" s="2">
        <f t="shared" si="311"/>
        <v>10</v>
      </c>
      <c r="V440" s="2">
        <f t="shared" si="312"/>
        <v>225</v>
      </c>
    </row>
    <row r="441" spans="1:22" x14ac:dyDescent="0.3">
      <c r="A441" s="2">
        <f t="shared" si="310"/>
        <v>10226</v>
      </c>
      <c r="B441" s="61" t="s">
        <v>44</v>
      </c>
      <c r="C441" s="61"/>
      <c r="D441" s="61"/>
      <c r="E441" s="61"/>
      <c r="F441" s="61"/>
      <c r="G441" s="61"/>
      <c r="H441" s="61"/>
      <c r="I441" s="1"/>
      <c r="J441" s="2" t="str">
        <f t="shared" ref="J441" si="330">CONCATENATE(K439,2)</f>
        <v>72</v>
      </c>
      <c r="K441" s="4">
        <v>1.3040687170708474E-14</v>
      </c>
      <c r="L441" s="4">
        <v>6.7006737039970212E-12</v>
      </c>
      <c r="M441" s="4">
        <v>1.1893674289346364E-9</v>
      </c>
      <c r="N441" s="4">
        <v>8.5762237702093642E-8</v>
      </c>
      <c r="O441" s="4">
        <v>2.1275690729159126E-6</v>
      </c>
      <c r="P441" s="4">
        <v>5.0012390378134478E-6</v>
      </c>
      <c r="Q441" s="1"/>
      <c r="R441" s="1"/>
      <c r="S441" s="1"/>
      <c r="T441" s="1"/>
      <c r="U441" s="2">
        <f t="shared" si="311"/>
        <v>10</v>
      </c>
      <c r="V441" s="2">
        <f t="shared" si="312"/>
        <v>226</v>
      </c>
    </row>
    <row r="442" spans="1:22" x14ac:dyDescent="0.3">
      <c r="A442" s="2">
        <f t="shared" si="310"/>
        <v>10227</v>
      </c>
      <c r="B442" s="4" t="s">
        <v>45</v>
      </c>
      <c r="C442" s="4" t="s">
        <v>46</v>
      </c>
      <c r="D442" s="4" t="s">
        <v>47</v>
      </c>
      <c r="E442" s="4" t="s">
        <v>48</v>
      </c>
      <c r="F442" s="4" t="s">
        <v>49</v>
      </c>
      <c r="G442" s="4" t="s">
        <v>50</v>
      </c>
      <c r="H442" s="4" t="s">
        <v>46</v>
      </c>
      <c r="I442" s="1"/>
      <c r="J442" s="2" t="str">
        <f t="shared" ref="J442" si="331">CONCATENATE(K439,3)</f>
        <v>73</v>
      </c>
      <c r="K442" s="4">
        <v>0.99999999999999889</v>
      </c>
      <c r="L442" s="4">
        <v>7.067691130346887E-6</v>
      </c>
      <c r="M442" s="4" t="e">
        <v>#N/A</v>
      </c>
      <c r="N442" s="4" t="e">
        <v>#N/A</v>
      </c>
      <c r="O442" s="4" t="e">
        <v>#N/A</v>
      </c>
      <c r="P442" s="4" t="e">
        <v>#N/A</v>
      </c>
      <c r="Q442" s="1"/>
      <c r="R442" s="1"/>
      <c r="S442" s="1"/>
      <c r="T442" s="1"/>
      <c r="U442" s="2">
        <f t="shared" si="311"/>
        <v>10</v>
      </c>
      <c r="V442" s="2">
        <f t="shared" si="312"/>
        <v>227</v>
      </c>
    </row>
    <row r="443" spans="1:22" x14ac:dyDescent="0.3">
      <c r="A443" s="2">
        <f t="shared" si="310"/>
        <v>10228</v>
      </c>
      <c r="B443" s="10">
        <v>100</v>
      </c>
      <c r="C443" s="10">
        <v>100</v>
      </c>
      <c r="D443" s="10">
        <v>100</v>
      </c>
      <c r="E443" s="10">
        <v>100</v>
      </c>
      <c r="F443" s="10">
        <v>100</v>
      </c>
      <c r="G443" s="10">
        <v>100</v>
      </c>
      <c r="H443" s="10">
        <v>100</v>
      </c>
      <c r="I443" s="1"/>
      <c r="J443" s="1"/>
      <c r="K443" s="1">
        <v>8</v>
      </c>
      <c r="L443" s="1">
        <v>8</v>
      </c>
      <c r="M443" s="1">
        <v>8</v>
      </c>
      <c r="N443" s="1">
        <v>8</v>
      </c>
      <c r="O443" s="1">
        <v>8</v>
      </c>
      <c r="P443" s="1">
        <v>8</v>
      </c>
      <c r="Q443" s="1">
        <v>8</v>
      </c>
      <c r="R443" s="1"/>
      <c r="S443" s="1"/>
      <c r="T443" s="1"/>
      <c r="U443" s="2">
        <f t="shared" si="311"/>
        <v>10</v>
      </c>
      <c r="V443" s="2">
        <f t="shared" si="312"/>
        <v>228</v>
      </c>
    </row>
    <row r="444" spans="1:22" x14ac:dyDescent="0.3">
      <c r="A444" s="2">
        <f t="shared" si="310"/>
        <v>10229</v>
      </c>
      <c r="I444" s="1"/>
      <c r="J444" s="2" t="str">
        <f t="shared" ref="J444" si="332">CONCATENATE(K443,1)</f>
        <v>81</v>
      </c>
      <c r="K444" s="4" t="e">
        <f t="array" ref="K444:Q446">LINEST(B431:B438,C431:C438^{1,2,3,4,5,6},TRUE,TRUE)</f>
        <v>#VALUE!</v>
      </c>
      <c r="L444" s="4" t="e">
        <v>#VALUE!</v>
      </c>
      <c r="M444" s="4" t="e">
        <v>#VALUE!</v>
      </c>
      <c r="N444" s="4" t="e">
        <v>#VALUE!</v>
      </c>
      <c r="O444" s="4" t="e">
        <v>#VALUE!</v>
      </c>
      <c r="P444" s="4" t="e">
        <v>#VALUE!</v>
      </c>
      <c r="Q444" s="4" t="e">
        <v>#VALUE!</v>
      </c>
      <c r="R444" s="1"/>
      <c r="S444" s="1"/>
      <c r="T444" s="1"/>
      <c r="U444" s="2">
        <f t="shared" si="311"/>
        <v>10</v>
      </c>
      <c r="V444" s="2">
        <f t="shared" si="312"/>
        <v>229</v>
      </c>
    </row>
    <row r="445" spans="1:22" x14ac:dyDescent="0.3">
      <c r="A445" s="2">
        <f t="shared" si="310"/>
        <v>10230</v>
      </c>
      <c r="B445" s="58" t="s">
        <v>30</v>
      </c>
      <c r="C445" s="58"/>
      <c r="D445" s="58"/>
      <c r="E445" s="58"/>
      <c r="F445" s="58"/>
      <c r="G445" s="58"/>
      <c r="H445" s="58"/>
      <c r="I445" s="1"/>
      <c r="J445" s="2" t="str">
        <f t="shared" ref="J445" si="333">CONCATENATE(K443,2)</f>
        <v>82</v>
      </c>
      <c r="K445" s="4" t="e">
        <v>#VALUE!</v>
      </c>
      <c r="L445" s="4" t="e">
        <v>#VALUE!</v>
      </c>
      <c r="M445" s="4" t="e">
        <v>#VALUE!</v>
      </c>
      <c r="N445" s="4" t="e">
        <v>#VALUE!</v>
      </c>
      <c r="O445" s="4" t="e">
        <v>#VALUE!</v>
      </c>
      <c r="P445" s="4" t="e">
        <v>#VALUE!</v>
      </c>
      <c r="Q445" s="4" t="e">
        <v>#VALUE!</v>
      </c>
      <c r="R445" s="1"/>
      <c r="S445" s="1"/>
      <c r="T445" s="1"/>
      <c r="U445" s="2">
        <f t="shared" si="311"/>
        <v>10</v>
      </c>
      <c r="V445" s="2">
        <f t="shared" si="312"/>
        <v>230</v>
      </c>
    </row>
    <row r="446" spans="1:22" x14ac:dyDescent="0.3">
      <c r="A446" s="2">
        <f t="shared" si="310"/>
        <v>10231</v>
      </c>
      <c r="B446" s="62"/>
      <c r="C446" s="62"/>
      <c r="D446" s="62"/>
      <c r="E446" s="62"/>
      <c r="F446" s="62"/>
      <c r="G446" s="62"/>
      <c r="H446" s="62"/>
      <c r="I446" s="1"/>
      <c r="J446" s="2" t="str">
        <f t="shared" ref="J446" si="334">CONCATENATE(K443,3)</f>
        <v>83</v>
      </c>
      <c r="K446" s="4" t="e">
        <v>#VALUE!</v>
      </c>
      <c r="L446" s="4" t="e">
        <v>#VALUE!</v>
      </c>
      <c r="M446" s="4" t="e">
        <v>#VALUE!</v>
      </c>
      <c r="N446" s="4" t="e">
        <v>#VALUE!</v>
      </c>
      <c r="O446" s="4" t="e">
        <v>#VALUE!</v>
      </c>
      <c r="P446" s="4" t="e">
        <v>#VALUE!</v>
      </c>
      <c r="Q446" s="4" t="e">
        <v>#VALUE!</v>
      </c>
      <c r="R446" s="1"/>
      <c r="S446" s="1"/>
      <c r="T446" s="1"/>
      <c r="U446" s="2">
        <f t="shared" si="311"/>
        <v>10</v>
      </c>
      <c r="V446" s="2">
        <f t="shared" si="312"/>
        <v>231</v>
      </c>
    </row>
    <row r="447" spans="1:22" x14ac:dyDescent="0.3">
      <c r="A447" s="2">
        <f t="shared" si="310"/>
        <v>10232</v>
      </c>
      <c r="B447" s="62"/>
      <c r="C447" s="62"/>
      <c r="D447" s="62"/>
      <c r="E447" s="62"/>
      <c r="F447" s="62"/>
      <c r="G447" s="62"/>
      <c r="H447" s="62"/>
      <c r="I447" s="1"/>
      <c r="J447" s="1"/>
      <c r="K447" s="1">
        <v>9</v>
      </c>
      <c r="L447" s="1">
        <v>9</v>
      </c>
      <c r="M447" s="1">
        <v>9</v>
      </c>
      <c r="N447" s="1">
        <v>9</v>
      </c>
      <c r="O447" s="1">
        <v>9</v>
      </c>
      <c r="P447" s="1">
        <v>9</v>
      </c>
      <c r="Q447" s="1">
        <v>9</v>
      </c>
      <c r="R447" s="1">
        <v>9</v>
      </c>
      <c r="S447" s="1"/>
      <c r="T447" s="1"/>
      <c r="U447" s="2">
        <f t="shared" si="311"/>
        <v>10</v>
      </c>
      <c r="V447" s="2">
        <f t="shared" si="312"/>
        <v>232</v>
      </c>
    </row>
    <row r="448" spans="1:22" x14ac:dyDescent="0.3">
      <c r="A448" s="2">
        <f t="shared" si="310"/>
        <v>10233</v>
      </c>
      <c r="B448" s="1"/>
      <c r="C448" s="1"/>
      <c r="D448" s="1"/>
      <c r="E448" s="1"/>
      <c r="F448" s="1"/>
      <c r="G448" s="1"/>
      <c r="H448" s="1"/>
      <c r="I448" s="1"/>
      <c r="J448" s="2" t="str">
        <f t="shared" ref="J448" si="335">CONCATENATE(K447,1)</f>
        <v>91</v>
      </c>
      <c r="K448" s="4" t="e">
        <f t="array" ref="K448:R450">LINEST(B431:B439,C431:C439^{1,2,3,4,5,6,7},TRUE,TRUE)</f>
        <v>#VALUE!</v>
      </c>
      <c r="L448" s="4" t="e">
        <v>#VALUE!</v>
      </c>
      <c r="M448" s="4" t="e">
        <v>#VALUE!</v>
      </c>
      <c r="N448" s="4" t="e">
        <v>#VALUE!</v>
      </c>
      <c r="O448" s="4" t="e">
        <v>#VALUE!</v>
      </c>
      <c r="P448" s="4" t="e">
        <v>#VALUE!</v>
      </c>
      <c r="Q448" s="4" t="e">
        <v>#VALUE!</v>
      </c>
      <c r="R448" s="4" t="e">
        <v>#VALUE!</v>
      </c>
      <c r="S448" s="1"/>
      <c r="T448" s="1"/>
      <c r="U448" s="2">
        <f t="shared" si="311"/>
        <v>10</v>
      </c>
      <c r="V448" s="2">
        <f t="shared" si="312"/>
        <v>233</v>
      </c>
    </row>
    <row r="449" spans="1:22" x14ac:dyDescent="0.3">
      <c r="A449" s="2">
        <f t="shared" si="310"/>
        <v>10234</v>
      </c>
      <c r="B449" s="5" t="s">
        <v>31</v>
      </c>
      <c r="C449" s="5" t="s">
        <v>32</v>
      </c>
      <c r="D449" s="5" t="s">
        <v>33</v>
      </c>
      <c r="E449" s="4" t="s">
        <v>34</v>
      </c>
      <c r="F449" s="57" t="s">
        <v>35</v>
      </c>
      <c r="G449" s="58"/>
      <c r="H449" s="58"/>
      <c r="I449" s="1"/>
      <c r="J449" s="2" t="str">
        <f t="shared" ref="J449" si="336">CONCATENATE(K447,2)</f>
        <v>92</v>
      </c>
      <c r="K449" s="4" t="e">
        <v>#VALUE!</v>
      </c>
      <c r="L449" s="4" t="e">
        <v>#VALUE!</v>
      </c>
      <c r="M449" s="4" t="e">
        <v>#VALUE!</v>
      </c>
      <c r="N449" s="4" t="e">
        <v>#VALUE!</v>
      </c>
      <c r="O449" s="4" t="e">
        <v>#VALUE!</v>
      </c>
      <c r="P449" s="4" t="e">
        <v>#VALUE!</v>
      </c>
      <c r="Q449" s="4" t="e">
        <v>#VALUE!</v>
      </c>
      <c r="R449" s="4" t="e">
        <v>#VALUE!</v>
      </c>
      <c r="S449" s="1"/>
      <c r="T449" s="1"/>
      <c r="U449" s="2">
        <f t="shared" si="311"/>
        <v>10</v>
      </c>
      <c r="V449" s="2">
        <f t="shared" si="312"/>
        <v>234</v>
      </c>
    </row>
    <row r="450" spans="1:22" x14ac:dyDescent="0.3">
      <c r="A450" s="2">
        <f t="shared" si="310"/>
        <v>10235</v>
      </c>
      <c r="B450" s="5">
        <f t="shared" ref="B450:B459" si="337">C431-B431</f>
        <v>0</v>
      </c>
      <c r="C450" s="5">
        <f t="shared" ref="C450:C459" si="338">H431-G431</f>
        <v>1.0000000000000026E-5</v>
      </c>
      <c r="D450" s="5">
        <f>C450-B450</f>
        <v>1.0000000000000026E-5</v>
      </c>
      <c r="E450" s="4">
        <f t="shared" ref="E450:E459" si="339">D431</f>
        <v>2.0000000000000002E-5</v>
      </c>
      <c r="F450" s="11">
        <f>IF(D418="","",MAX(G450,H450))</f>
        <v>2.0000000000663931E-4</v>
      </c>
      <c r="G450" s="5">
        <f>ABS(MIN(D450:D459))</f>
        <v>2.0000000000663931E-4</v>
      </c>
      <c r="H450" s="5">
        <f>ABS(MAX(D450:D459))</f>
        <v>1.0000000000000026E-5</v>
      </c>
      <c r="I450" s="1"/>
      <c r="J450" s="2" t="str">
        <f t="shared" ref="J450" si="340">CONCATENATE(K447,3)</f>
        <v>93</v>
      </c>
      <c r="K450" s="4" t="e">
        <v>#VALUE!</v>
      </c>
      <c r="L450" s="4" t="e">
        <v>#VALUE!</v>
      </c>
      <c r="M450" s="4" t="e">
        <v>#VALUE!</v>
      </c>
      <c r="N450" s="4" t="e">
        <v>#VALUE!</v>
      </c>
      <c r="O450" s="4" t="e">
        <v>#VALUE!</v>
      </c>
      <c r="P450" s="4" t="e">
        <v>#VALUE!</v>
      </c>
      <c r="Q450" s="4" t="e">
        <v>#VALUE!</v>
      </c>
      <c r="R450" s="4" t="e">
        <v>#VALUE!</v>
      </c>
      <c r="S450" s="1"/>
      <c r="T450" s="1"/>
      <c r="U450" s="2">
        <f t="shared" si="311"/>
        <v>10</v>
      </c>
      <c r="V450" s="2">
        <f t="shared" si="312"/>
        <v>235</v>
      </c>
    </row>
    <row r="451" spans="1:22" x14ac:dyDescent="0.3">
      <c r="A451" s="2">
        <f t="shared" si="310"/>
        <v>10236</v>
      </c>
      <c r="B451" s="5">
        <f t="shared" si="337"/>
        <v>9.9999999999995925E-6</v>
      </c>
      <c r="C451" s="5">
        <f t="shared" si="338"/>
        <v>9.9999999999995925E-6</v>
      </c>
      <c r="D451" s="5">
        <f t="shared" ref="D451:D459" si="341">C451-B451</f>
        <v>0</v>
      </c>
      <c r="E451" s="4">
        <f t="shared" si="339"/>
        <v>2.0000000000000002E-5</v>
      </c>
      <c r="F451" s="57" t="s">
        <v>36</v>
      </c>
      <c r="G451" s="58"/>
      <c r="H451" s="58"/>
      <c r="I451" s="1"/>
      <c r="J451" s="1"/>
      <c r="K451" s="1">
        <v>10</v>
      </c>
      <c r="L451" s="1">
        <v>10</v>
      </c>
      <c r="M451" s="1">
        <v>10</v>
      </c>
      <c r="N451" s="1">
        <v>10</v>
      </c>
      <c r="O451" s="1">
        <v>10</v>
      </c>
      <c r="P451" s="1">
        <v>10</v>
      </c>
      <c r="Q451" s="1">
        <v>10</v>
      </c>
      <c r="R451" s="1">
        <v>10</v>
      </c>
      <c r="S451" s="1">
        <v>10</v>
      </c>
      <c r="T451" s="1"/>
      <c r="U451" s="2">
        <f t="shared" si="311"/>
        <v>10</v>
      </c>
      <c r="V451" s="2">
        <f t="shared" si="312"/>
        <v>236</v>
      </c>
    </row>
    <row r="452" spans="1:22" x14ac:dyDescent="0.3">
      <c r="A452" s="2">
        <f t="shared" si="310"/>
        <v>10237</v>
      </c>
      <c r="B452" s="5">
        <f t="shared" si="337"/>
        <v>9.9999999996214228E-6</v>
      </c>
      <c r="C452" s="5">
        <f t="shared" si="338"/>
        <v>0</v>
      </c>
      <c r="D452" s="5">
        <f t="shared" si="341"/>
        <v>-9.9999999996214228E-6</v>
      </c>
      <c r="E452" s="4">
        <f t="shared" si="339"/>
        <v>3.0000000000000001E-5</v>
      </c>
      <c r="F452" s="11">
        <f>IF(D418="","",MAX(G452,H452))</f>
        <v>1.0000000000331966E-4</v>
      </c>
      <c r="G452" s="5">
        <f>ABS(MIN(B450:B459))</f>
        <v>0</v>
      </c>
      <c r="H452" s="5">
        <f>ABS(MAX(B450:B459))</f>
        <v>1.0000000000331966E-4</v>
      </c>
      <c r="I452" s="1"/>
      <c r="J452" s="2" t="str">
        <f t="shared" ref="J452" si="342">CONCATENATE(K451,1)</f>
        <v>101</v>
      </c>
      <c r="K452" s="4" t="e">
        <f t="array" ref="K452:S454">LINEST(B431:B440,C431:C440^{1,2,3,4,5,6,7,8},TRUE,TRUE)</f>
        <v>#VALUE!</v>
      </c>
      <c r="L452" s="4" t="e">
        <v>#VALUE!</v>
      </c>
      <c r="M452" s="4" t="e">
        <v>#VALUE!</v>
      </c>
      <c r="N452" s="4" t="e">
        <v>#VALUE!</v>
      </c>
      <c r="O452" s="4" t="e">
        <v>#VALUE!</v>
      </c>
      <c r="P452" s="4" t="e">
        <v>#VALUE!</v>
      </c>
      <c r="Q452" s="4" t="e">
        <v>#VALUE!</v>
      </c>
      <c r="R452" s="4" t="e">
        <v>#VALUE!</v>
      </c>
      <c r="S452" s="4" t="e">
        <v>#VALUE!</v>
      </c>
      <c r="T452" s="1"/>
      <c r="U452" s="2">
        <f t="shared" si="311"/>
        <v>10</v>
      </c>
      <c r="V452" s="2">
        <f t="shared" si="312"/>
        <v>237</v>
      </c>
    </row>
    <row r="453" spans="1:22" x14ac:dyDescent="0.3">
      <c r="A453" s="2">
        <f t="shared" si="310"/>
        <v>10238</v>
      </c>
      <c r="B453" s="5">
        <f t="shared" si="337"/>
        <v>1.0000000003174137E-5</v>
      </c>
      <c r="C453" s="5">
        <f t="shared" si="338"/>
        <v>1.9999999999242846E-5</v>
      </c>
      <c r="D453" s="5">
        <f t="shared" si="341"/>
        <v>9.9999999960687092E-6</v>
      </c>
      <c r="E453" s="4">
        <f t="shared" si="339"/>
        <v>1.4999999999999999E-4</v>
      </c>
      <c r="F453" s="57" t="s">
        <v>37</v>
      </c>
      <c r="G453" s="58"/>
      <c r="H453" s="58"/>
      <c r="I453" s="1"/>
      <c r="J453" s="2" t="str">
        <f t="shared" ref="J453" si="343">CONCATENATE(K451,2)</f>
        <v>102</v>
      </c>
      <c r="K453" s="4" t="e">
        <v>#VALUE!</v>
      </c>
      <c r="L453" s="4" t="e">
        <v>#VALUE!</v>
      </c>
      <c r="M453" s="4" t="e">
        <v>#VALUE!</v>
      </c>
      <c r="N453" s="4" t="e">
        <v>#VALUE!</v>
      </c>
      <c r="O453" s="4" t="e">
        <v>#VALUE!</v>
      </c>
      <c r="P453" s="4" t="e">
        <v>#VALUE!</v>
      </c>
      <c r="Q453" s="4" t="e">
        <v>#VALUE!</v>
      </c>
      <c r="R453" s="4" t="e">
        <v>#VALUE!</v>
      </c>
      <c r="S453" s="4" t="e">
        <v>#VALUE!</v>
      </c>
      <c r="T453" s="1"/>
      <c r="U453" s="2">
        <f t="shared" si="311"/>
        <v>10</v>
      </c>
      <c r="V453" s="2">
        <f t="shared" si="312"/>
        <v>238</v>
      </c>
    </row>
    <row r="454" spans="1:22" x14ac:dyDescent="0.3">
      <c r="A454" s="2">
        <f t="shared" si="310"/>
        <v>10239</v>
      </c>
      <c r="B454" s="5">
        <f t="shared" si="337"/>
        <v>0</v>
      </c>
      <c r="C454" s="5">
        <f t="shared" si="338"/>
        <v>0</v>
      </c>
      <c r="D454" s="5">
        <f t="shared" si="341"/>
        <v>0</v>
      </c>
      <c r="E454" s="4">
        <f t="shared" si="339"/>
        <v>4.0000000000000002E-4</v>
      </c>
      <c r="F454" s="11">
        <f>IF(D418="","",MAX(G454,H454))</f>
        <v>8.0000000000000004E-4</v>
      </c>
      <c r="G454" s="5">
        <f>ABS(MIN(E450:E459))</f>
        <v>0</v>
      </c>
      <c r="H454" s="5">
        <f>ABS(MAX(E450:E459))</f>
        <v>8.0000000000000004E-4</v>
      </c>
      <c r="I454" s="1"/>
      <c r="J454" s="2" t="str">
        <f t="shared" ref="J454" si="344">CONCATENATE(K451,3)</f>
        <v>103</v>
      </c>
      <c r="K454" s="4" t="e">
        <v>#VALUE!</v>
      </c>
      <c r="L454" s="4" t="e">
        <v>#VALUE!</v>
      </c>
      <c r="M454" s="4" t="e">
        <v>#VALUE!</v>
      </c>
      <c r="N454" s="4" t="e">
        <v>#VALUE!</v>
      </c>
      <c r="O454" s="4" t="e">
        <v>#VALUE!</v>
      </c>
      <c r="P454" s="4" t="e">
        <v>#VALUE!</v>
      </c>
      <c r="Q454" s="4" t="e">
        <v>#VALUE!</v>
      </c>
      <c r="R454" s="4" t="e">
        <v>#VALUE!</v>
      </c>
      <c r="S454" s="4" t="e">
        <v>#VALUE!</v>
      </c>
      <c r="T454" s="1"/>
      <c r="U454" s="2">
        <f t="shared" si="311"/>
        <v>10</v>
      </c>
      <c r="V454" s="2">
        <f t="shared" si="312"/>
        <v>239</v>
      </c>
    </row>
    <row r="455" spans="1:22" x14ac:dyDescent="0.3">
      <c r="A455" s="2">
        <f t="shared" si="310"/>
        <v>10240</v>
      </c>
      <c r="B455" s="5">
        <f t="shared" si="337"/>
        <v>0</v>
      </c>
      <c r="C455" s="5">
        <f t="shared" si="338"/>
        <v>-1.0000000000331966E-4</v>
      </c>
      <c r="D455" s="5">
        <f t="shared" si="341"/>
        <v>-1.0000000000331966E-4</v>
      </c>
      <c r="E455" s="4">
        <f t="shared" si="339"/>
        <v>5.0000000000000001E-4</v>
      </c>
      <c r="F455" s="57" t="s">
        <v>51</v>
      </c>
      <c r="G455" s="58"/>
      <c r="H455" s="5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">
        <f t="shared" si="311"/>
        <v>10</v>
      </c>
      <c r="V455" s="2">
        <f t="shared" si="312"/>
        <v>240</v>
      </c>
    </row>
    <row r="456" spans="1:22" x14ac:dyDescent="0.3">
      <c r="A456" s="2">
        <f t="shared" si="310"/>
        <v>10241</v>
      </c>
      <c r="B456" s="5">
        <f t="shared" si="337"/>
        <v>1.0000000000331966E-4</v>
      </c>
      <c r="C456" s="5">
        <f t="shared" si="338"/>
        <v>-1.0000000000331966E-4</v>
      </c>
      <c r="D456" s="5">
        <f t="shared" si="341"/>
        <v>-2.0000000000663931E-4</v>
      </c>
      <c r="E456" s="4">
        <f t="shared" si="339"/>
        <v>8.0000000000000004E-4</v>
      </c>
      <c r="F456" s="21">
        <f>MAX(G456:H458)</f>
        <v>0</v>
      </c>
      <c r="G456" s="4">
        <f>IF(C443="",0,ABS(C443-B443))</f>
        <v>0</v>
      </c>
      <c r="H456" s="4">
        <f>IF(F443="",0,ABS(F443-B443))</f>
        <v>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">
        <f t="shared" si="311"/>
        <v>10</v>
      </c>
      <c r="V456" s="2">
        <f t="shared" si="312"/>
        <v>241</v>
      </c>
    </row>
    <row r="457" spans="1:22" x14ac:dyDescent="0.3">
      <c r="A457" s="2">
        <f t="shared" si="310"/>
        <v>10242</v>
      </c>
      <c r="B457" s="5">
        <f t="shared" si="337"/>
        <v>0</v>
      </c>
      <c r="C457" s="5">
        <f t="shared" si="338"/>
        <v>0</v>
      </c>
      <c r="D457" s="5">
        <f t="shared" si="341"/>
        <v>0</v>
      </c>
      <c r="E457" s="4">
        <f t="shared" si="339"/>
        <v>0</v>
      </c>
      <c r="F457" s="4" t="s">
        <v>52</v>
      </c>
      <c r="G457" s="4">
        <f>IF(D443="",0,ABS(D443-B443))</f>
        <v>0</v>
      </c>
      <c r="H457" s="4">
        <f>IF(G443="",0,ABS(G443-B443))</f>
        <v>0</v>
      </c>
      <c r="I457" s="1"/>
      <c r="J457" s="1"/>
      <c r="R457" s="1"/>
      <c r="S457" s="1"/>
      <c r="T457" s="1"/>
      <c r="U457" s="2">
        <f t="shared" si="311"/>
        <v>10</v>
      </c>
      <c r="V457" s="2">
        <f t="shared" si="312"/>
        <v>242</v>
      </c>
    </row>
    <row r="458" spans="1:22" x14ac:dyDescent="0.3">
      <c r="A458" s="2">
        <f t="shared" si="310"/>
        <v>10243</v>
      </c>
      <c r="B458" s="5">
        <f t="shared" si="337"/>
        <v>0</v>
      </c>
      <c r="C458" s="5">
        <f t="shared" si="338"/>
        <v>0</v>
      </c>
      <c r="D458" s="5">
        <f t="shared" si="341"/>
        <v>0</v>
      </c>
      <c r="E458" s="4">
        <f t="shared" si="339"/>
        <v>0</v>
      </c>
      <c r="F458" s="22">
        <f>IF(F456=0,0,F456/B443%)</f>
        <v>0</v>
      </c>
      <c r="G458" s="4">
        <f>IF(G443="",0,ABS(G443-B443))</f>
        <v>0</v>
      </c>
      <c r="H458" s="4">
        <f>IF(H443="",0,ABS(H443-B443))</f>
        <v>0</v>
      </c>
      <c r="I458" s="1"/>
      <c r="J458" s="1"/>
      <c r="R458" s="1"/>
      <c r="S458" s="1"/>
      <c r="T458" s="1"/>
      <c r="U458" s="2">
        <f t="shared" si="311"/>
        <v>10</v>
      </c>
      <c r="V458" s="2">
        <f t="shared" si="312"/>
        <v>243</v>
      </c>
    </row>
    <row r="459" spans="1:22" x14ac:dyDescent="0.3">
      <c r="A459" s="2">
        <f t="shared" si="310"/>
        <v>10244</v>
      </c>
      <c r="B459" s="5">
        <f t="shared" si="337"/>
        <v>0</v>
      </c>
      <c r="C459" s="5">
        <f t="shared" si="338"/>
        <v>0</v>
      </c>
      <c r="D459" s="5">
        <f t="shared" si="341"/>
        <v>0</v>
      </c>
      <c r="E459" s="4">
        <f t="shared" si="339"/>
        <v>0</v>
      </c>
      <c r="F459" s="1"/>
      <c r="G459" s="1"/>
      <c r="H459" s="1"/>
      <c r="I459" s="1"/>
      <c r="J459" s="1"/>
      <c r="R459" s="1"/>
      <c r="S459" s="1"/>
      <c r="T459" s="1"/>
      <c r="U459" s="2">
        <f t="shared" si="311"/>
        <v>10</v>
      </c>
      <c r="V459" s="2">
        <f t="shared" si="312"/>
        <v>244</v>
      </c>
    </row>
    <row r="460" spans="1:22" x14ac:dyDescent="0.3">
      <c r="A460" s="2">
        <f t="shared" si="310"/>
        <v>10245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">
        <f t="shared" si="311"/>
        <v>10</v>
      </c>
      <c r="V460" s="2">
        <f t="shared" si="312"/>
        <v>245</v>
      </c>
    </row>
    <row r="461" spans="1:22" s="20" customForma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 x14ac:dyDescent="0.3">
      <c r="A462" s="2">
        <f>ROUND(CONCATENATE(U462,V462),0)</f>
        <v>11201</v>
      </c>
      <c r="B462" s="63" t="s">
        <v>0</v>
      </c>
      <c r="C462" s="63"/>
      <c r="D462" s="71" t="s">
        <v>118</v>
      </c>
      <c r="E462" s="72"/>
      <c r="F462" s="72"/>
      <c r="G462" s="72"/>
      <c r="H462" s="7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">
        <f>U460+1</f>
        <v>11</v>
      </c>
      <c r="V462" s="2">
        <v>201</v>
      </c>
    </row>
    <row r="463" spans="1:22" x14ac:dyDescent="0.3">
      <c r="A463" s="2">
        <f t="shared" ref="A463:A506" si="345">ROUND(CONCATENATE(U463,V463),0)</f>
        <v>11202</v>
      </c>
      <c r="B463" s="12" t="s">
        <v>40</v>
      </c>
      <c r="C463" s="13"/>
      <c r="D463" s="16" t="s">
        <v>41</v>
      </c>
      <c r="E463" s="57" t="s">
        <v>39</v>
      </c>
      <c r="F463" s="57"/>
      <c r="G463" s="18">
        <v>0.01</v>
      </c>
      <c r="H463" s="15" t="str">
        <f>IF(D464="","",D463)</f>
        <v>g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">
        <f>U462</f>
        <v>11</v>
      </c>
      <c r="V463" s="2">
        <f>V462+1</f>
        <v>202</v>
      </c>
    </row>
    <row r="464" spans="1:22" x14ac:dyDescent="0.3">
      <c r="A464" s="2">
        <f t="shared" si="345"/>
        <v>11203</v>
      </c>
      <c r="B464" s="63" t="s">
        <v>1</v>
      </c>
      <c r="C464" s="63"/>
      <c r="D464" s="71" t="s">
        <v>114</v>
      </c>
      <c r="E464" s="72"/>
      <c r="F464" s="72"/>
      <c r="G464" s="72"/>
      <c r="H464" s="73"/>
      <c r="I464" s="1"/>
      <c r="J464" s="1"/>
      <c r="K464" s="1" t="s">
        <v>2</v>
      </c>
      <c r="L464" s="1" t="s">
        <v>3</v>
      </c>
      <c r="M464" s="1" t="s">
        <v>4</v>
      </c>
      <c r="N464" s="1" t="s">
        <v>5</v>
      </c>
      <c r="O464" s="1" t="s">
        <v>6</v>
      </c>
      <c r="P464" s="1" t="s">
        <v>7</v>
      </c>
      <c r="Q464" s="1" t="s">
        <v>8</v>
      </c>
      <c r="R464" s="1" t="s">
        <v>9</v>
      </c>
      <c r="S464" s="1" t="s">
        <v>10</v>
      </c>
      <c r="T464" s="1"/>
      <c r="U464" s="2">
        <f t="shared" ref="U464:U506" si="346">U463</f>
        <v>11</v>
      </c>
      <c r="V464" s="2">
        <f t="shared" ref="V464:V506" si="347">V463+1</f>
        <v>203</v>
      </c>
    </row>
    <row r="465" spans="1:22" x14ac:dyDescent="0.3">
      <c r="A465" s="2">
        <f t="shared" si="345"/>
        <v>11204</v>
      </c>
      <c r="B465" s="63" t="s">
        <v>11</v>
      </c>
      <c r="C465" s="63"/>
      <c r="D465" s="71" t="s">
        <v>75</v>
      </c>
      <c r="E465" s="72"/>
      <c r="F465" s="72"/>
      <c r="G465" s="72"/>
      <c r="H465" s="73"/>
      <c r="I465" s="1"/>
      <c r="J465" s="1">
        <f>COUNTA(B477:B486)</f>
        <v>7</v>
      </c>
      <c r="K465" s="1">
        <f t="shared" ref="K465" si="348">IF(L465-1&lt;2,0,L465-1)</f>
        <v>0</v>
      </c>
      <c r="L465" s="1">
        <f t="shared" ref="L465" si="349">IF(M465-1&lt;2,0,M465-1)</f>
        <v>0</v>
      </c>
      <c r="M465" s="1">
        <f t="shared" ref="M465" si="350">IF(N465-1&lt;2,0,N465-1)</f>
        <v>0</v>
      </c>
      <c r="N465" s="1">
        <f t="shared" ref="N465" si="351">IF(O465-1&lt;2,0,O465-1)</f>
        <v>2</v>
      </c>
      <c r="O465" s="1">
        <f t="shared" ref="O465" si="352">IF(P465-1&lt;2,0,P465-1)</f>
        <v>3</v>
      </c>
      <c r="P465" s="1">
        <f t="shared" ref="P465" si="353">IF(Q465-1&lt;2,0,Q465-1)</f>
        <v>4</v>
      </c>
      <c r="Q465" s="1">
        <f t="shared" ref="Q465" si="354">IF(R465-1&lt;2,0,R465-1)</f>
        <v>5</v>
      </c>
      <c r="R465" s="1">
        <f>IF(S465-1&lt;2,0,S465-1)</f>
        <v>6</v>
      </c>
      <c r="S465" s="1">
        <f>J465</f>
        <v>7</v>
      </c>
      <c r="T465" s="1"/>
      <c r="U465" s="2">
        <f t="shared" si="346"/>
        <v>11</v>
      </c>
      <c r="V465" s="2">
        <f t="shared" si="347"/>
        <v>204</v>
      </c>
    </row>
    <row r="466" spans="1:22" x14ac:dyDescent="0.3">
      <c r="A466" s="2">
        <f t="shared" si="345"/>
        <v>11205</v>
      </c>
      <c r="B466" s="63" t="s">
        <v>12</v>
      </c>
      <c r="C466" s="63"/>
      <c r="D466" s="71" t="s">
        <v>43</v>
      </c>
      <c r="E466" s="72"/>
      <c r="F466" s="72"/>
      <c r="G466" s="72"/>
      <c r="H466" s="73"/>
      <c r="I466" s="1"/>
      <c r="J466" s="2" t="str">
        <f>CONCATENATE(J465,1)</f>
        <v>71</v>
      </c>
      <c r="K466" s="3">
        <f>IF(K465=0,0,VLOOKUP(J466,J470:S500,K465,FALSE))</f>
        <v>0</v>
      </c>
      <c r="L466" s="3">
        <f>IF(L465=0,0,VLOOKUP(J466,J470:S500,L465,FALSE))</f>
        <v>0</v>
      </c>
      <c r="M466" s="3">
        <f>IF(M465=0,0,VLOOKUP(J466,J470:S500,M465,FALSE))</f>
        <v>0</v>
      </c>
      <c r="N466" s="3">
        <f>IF(N465=0,0,VLOOKUP(J466,J470:S500,N465,FALSE))</f>
        <v>-1.5008736051078918E-18</v>
      </c>
      <c r="O466" s="3">
        <f>IF(O465=0,0,VLOOKUP(J466,J470:S500,O465,FALSE))</f>
        <v>1.9878244117221645E-14</v>
      </c>
      <c r="P466" s="3">
        <f>IF(P465=0,0,VLOOKUP(J466,J470:S500,P465,FALSE))</f>
        <v>-8.8153370138416508E-11</v>
      </c>
      <c r="Q466" s="3">
        <f>IF(Q465=0,0,VLOOKUP(J466,J470:S500,Q465,FALSE))</f>
        <v>1.5064393921489811E-7</v>
      </c>
      <c r="R466" s="3">
        <f>IF(R465=0,0,VLOOKUP(J466,J470:S500,R465,FALSE))</f>
        <v>0.99992347691789241</v>
      </c>
      <c r="S466" s="3">
        <f>IF(S465=0,0,VLOOKUP(J466,J470:S500,S465,FALSE))</f>
        <v>-4.3300173080658144E-3</v>
      </c>
      <c r="T466" s="1"/>
      <c r="U466" s="2">
        <f t="shared" si="346"/>
        <v>11</v>
      </c>
      <c r="V466" s="2">
        <f t="shared" si="347"/>
        <v>205</v>
      </c>
    </row>
    <row r="467" spans="1:22" x14ac:dyDescent="0.3">
      <c r="A467" s="2">
        <f t="shared" si="345"/>
        <v>11206</v>
      </c>
      <c r="B467" s="63" t="s">
        <v>13</v>
      </c>
      <c r="C467" s="63"/>
      <c r="D467" s="74" t="s">
        <v>173</v>
      </c>
      <c r="E467" s="72"/>
      <c r="F467" s="72"/>
      <c r="G467" s="72"/>
      <c r="H467" s="73"/>
      <c r="I467" s="1"/>
      <c r="J467" s="2" t="str">
        <f>CONCATENATE(J465,2)</f>
        <v>72</v>
      </c>
      <c r="K467" s="4">
        <f>IF(K465=0,0,VLOOKUP(J467,J470:S500,K465,FALSE))</f>
        <v>0</v>
      </c>
      <c r="L467" s="4">
        <f>IF(L465=0,0,VLOOKUP(J467,J470:S500,L465,FALSE))</f>
        <v>0</v>
      </c>
      <c r="M467" s="4">
        <f>IF(M465=0,0,VLOOKUP(J467,J470:S500,M465,FALSE))</f>
        <v>0</v>
      </c>
      <c r="N467" s="4">
        <f>IF(N465=0,0,VLOOKUP(J467,J470:S500,N465,FALSE))</f>
        <v>2.1101033093223027E-18</v>
      </c>
      <c r="O467" s="4">
        <f>IF(O465=0,0,VLOOKUP(J467,J470:S500,O465,FALSE))</f>
        <v>2.7348992145829212E-14</v>
      </c>
      <c r="P467" s="4">
        <f>IF(P465=0,0,VLOOKUP(J467,J470:S500,P465,FALSE))</f>
        <v>1.1741787641152298E-10</v>
      </c>
      <c r="Q467" s="4">
        <f>IF(Q465=0,0,VLOOKUP(J467,J470:S500,Q465,FALSE))</f>
        <v>1.9295061023477853E-7</v>
      </c>
      <c r="R467" s="4">
        <f>IF(R465=0,0,VLOOKUP(J467,J470:S500,R465,FALSE))</f>
        <v>1.0377141978021201E-4</v>
      </c>
      <c r="S467" s="4">
        <f>IF(S465=0,0,VLOOKUP(J467,J470:S500,S465,FALSE))</f>
        <v>4.9839361444500782E-3</v>
      </c>
      <c r="T467" s="1"/>
      <c r="U467" s="2">
        <f t="shared" si="346"/>
        <v>11</v>
      </c>
      <c r="V467" s="2">
        <f t="shared" si="347"/>
        <v>206</v>
      </c>
    </row>
    <row r="468" spans="1:22" x14ac:dyDescent="0.3">
      <c r="A468" s="2">
        <f t="shared" si="345"/>
        <v>11207</v>
      </c>
      <c r="B468" s="63" t="s">
        <v>14</v>
      </c>
      <c r="C468" s="63"/>
      <c r="D468" s="75">
        <v>46031</v>
      </c>
      <c r="E468" s="76"/>
      <c r="F468" s="76"/>
      <c r="G468" s="76"/>
      <c r="H468" s="77"/>
      <c r="I468" s="1"/>
      <c r="J468" s="2" t="str">
        <f>CONCATENATE(J465,3)</f>
        <v>73</v>
      </c>
      <c r="K468" s="4"/>
      <c r="L468" s="4"/>
      <c r="M468" s="4"/>
      <c r="N468" s="4" t="s">
        <v>15</v>
      </c>
      <c r="O468" s="3">
        <f>J465-2</f>
        <v>5</v>
      </c>
      <c r="P468" s="4" t="s">
        <v>16</v>
      </c>
      <c r="Q468" s="3">
        <f>VLOOKUP(J468,J470:S500,3,FALSE)</f>
        <v>6.6026300443766672E-3</v>
      </c>
      <c r="R468" s="4" t="s">
        <v>17</v>
      </c>
      <c r="S468" s="4">
        <f>VLOOKUP(J468,J470:S500,2,FALSE)</f>
        <v>0.99999999999865685</v>
      </c>
      <c r="T468" s="1"/>
      <c r="U468" s="2">
        <f t="shared" si="346"/>
        <v>11</v>
      </c>
      <c r="V468" s="2">
        <f t="shared" si="347"/>
        <v>207</v>
      </c>
    </row>
    <row r="469" spans="1:22" x14ac:dyDescent="0.3">
      <c r="A469" s="2">
        <f t="shared" si="345"/>
        <v>11208</v>
      </c>
      <c r="B469" s="63" t="s">
        <v>18</v>
      </c>
      <c r="C469" s="63"/>
      <c r="D469" s="64">
        <v>46417</v>
      </c>
      <c r="E469" s="65"/>
      <c r="F469" s="65"/>
      <c r="G469" s="65"/>
      <c r="H469" s="66"/>
      <c r="I469" s="1"/>
      <c r="J469" s="1"/>
      <c r="K469" s="1">
        <v>3</v>
      </c>
      <c r="L469" s="1">
        <v>3</v>
      </c>
      <c r="M469" s="1"/>
      <c r="N469" s="1"/>
      <c r="O469" s="1"/>
      <c r="P469" s="1"/>
      <c r="Q469" s="1"/>
      <c r="R469" s="1"/>
      <c r="S469" s="1"/>
      <c r="T469" s="1"/>
      <c r="U469" s="2">
        <f t="shared" si="346"/>
        <v>11</v>
      </c>
      <c r="V469" s="2">
        <f t="shared" si="347"/>
        <v>208</v>
      </c>
    </row>
    <row r="470" spans="1:22" x14ac:dyDescent="0.3">
      <c r="A470" s="2">
        <f t="shared" si="345"/>
        <v>11209</v>
      </c>
      <c r="B470" s="67" t="s">
        <v>19</v>
      </c>
      <c r="C470" s="63"/>
      <c r="D470" s="5">
        <f>IF(D463="","",MIN(B477:B486))</f>
        <v>0.5</v>
      </c>
      <c r="E470" s="6" t="s">
        <v>20</v>
      </c>
      <c r="F470" s="5">
        <f>IF(D463="","",MAX(B477:B486))</f>
        <v>6000</v>
      </c>
      <c r="G470" s="7" t="str">
        <f>IF(D464="","",H463)</f>
        <v>g</v>
      </c>
      <c r="H470" s="14"/>
      <c r="I470" s="1"/>
      <c r="J470" s="2" t="str">
        <f>CONCATENATE(K469,1)</f>
        <v>31</v>
      </c>
      <c r="K470" s="4">
        <f t="array" ref="K470:L472">LINEST(B477:B479,C477:C479^{1},TRUE,TRUE)</f>
        <v>0.9999397435875752</v>
      </c>
      <c r="L470" s="4">
        <v>-4.4468204329390915E-3</v>
      </c>
      <c r="M470" s="1"/>
      <c r="N470" s="1"/>
      <c r="O470" s="1"/>
      <c r="P470" s="1"/>
      <c r="Q470" s="1"/>
      <c r="R470" s="1"/>
      <c r="S470" s="1"/>
      <c r="T470" s="1"/>
      <c r="U470" s="2">
        <f t="shared" si="346"/>
        <v>11</v>
      </c>
      <c r="V470" s="2">
        <f t="shared" si="347"/>
        <v>209</v>
      </c>
    </row>
    <row r="471" spans="1:22" x14ac:dyDescent="0.3">
      <c r="A471" s="2">
        <f t="shared" si="345"/>
        <v>11210</v>
      </c>
      <c r="B471" s="1"/>
      <c r="C471" s="1"/>
      <c r="D471" s="1"/>
      <c r="E471" s="1"/>
      <c r="F471" s="1"/>
      <c r="G471" s="1"/>
      <c r="H471" s="1"/>
      <c r="I471" s="1"/>
      <c r="J471" s="2" t="str">
        <f>CONCATENATE(K469,2)</f>
        <v>32</v>
      </c>
      <c r="K471" s="4">
        <v>8.6158916731926953E-5</v>
      </c>
      <c r="L471" s="4">
        <v>4.9998037938666275E-3</v>
      </c>
      <c r="M471" s="1"/>
      <c r="N471" s="1"/>
      <c r="O471" s="1"/>
      <c r="P471" s="1"/>
      <c r="Q471" s="1"/>
      <c r="R471" s="1"/>
      <c r="S471" s="1"/>
      <c r="T471" s="1"/>
      <c r="U471" s="2">
        <f t="shared" si="346"/>
        <v>11</v>
      </c>
      <c r="V471" s="2">
        <f t="shared" si="347"/>
        <v>210</v>
      </c>
    </row>
    <row r="472" spans="1:22" x14ac:dyDescent="0.3">
      <c r="A472" s="2">
        <f t="shared" si="345"/>
        <v>11211</v>
      </c>
      <c r="B472" s="68" t="s">
        <v>21</v>
      </c>
      <c r="C472" s="68"/>
      <c r="D472" s="68"/>
      <c r="E472" s="68"/>
      <c r="F472" s="68"/>
      <c r="G472" s="69" t="s">
        <v>22</v>
      </c>
      <c r="H472" s="70"/>
      <c r="I472" s="1"/>
      <c r="J472" s="2" t="str">
        <f>CONCATENATE(K469,3)</f>
        <v>33</v>
      </c>
      <c r="K472" s="4">
        <v>0.99999999257574645</v>
      </c>
      <c r="L472" s="4">
        <v>6.6910004028812864E-3</v>
      </c>
      <c r="M472" s="1"/>
      <c r="N472" s="1"/>
      <c r="O472" s="1"/>
      <c r="P472" s="1"/>
      <c r="Q472" s="1"/>
      <c r="R472" s="1"/>
      <c r="S472" s="1"/>
      <c r="T472" s="1"/>
      <c r="U472" s="2">
        <f t="shared" si="346"/>
        <v>11</v>
      </c>
      <c r="V472" s="2">
        <f t="shared" si="347"/>
        <v>211</v>
      </c>
    </row>
    <row r="473" spans="1:22" x14ac:dyDescent="0.3">
      <c r="A473" s="2">
        <f t="shared" si="345"/>
        <v>11212</v>
      </c>
      <c r="B473" s="61" t="s">
        <v>23</v>
      </c>
      <c r="C473" s="61"/>
      <c r="D473" s="61"/>
      <c r="E473" s="61" t="str">
        <f>D467</f>
        <v>E0015/26</v>
      </c>
      <c r="F473" s="61"/>
      <c r="G473" s="4" t="s">
        <v>24</v>
      </c>
      <c r="H473" s="31" t="s">
        <v>115</v>
      </c>
      <c r="I473" s="1"/>
      <c r="J473" s="1"/>
      <c r="K473" s="1">
        <v>4</v>
      </c>
      <c r="L473" s="1">
        <v>4</v>
      </c>
      <c r="M473" s="1">
        <v>4</v>
      </c>
      <c r="N473" s="1"/>
      <c r="O473" s="1"/>
      <c r="P473" s="1"/>
      <c r="Q473" s="1"/>
      <c r="R473" s="1"/>
      <c r="S473" s="1"/>
      <c r="T473" s="1"/>
      <c r="U473" s="2">
        <f t="shared" si="346"/>
        <v>11</v>
      </c>
      <c r="V473" s="2">
        <f t="shared" si="347"/>
        <v>212</v>
      </c>
    </row>
    <row r="474" spans="1:22" ht="15" customHeight="1" x14ac:dyDescent="0.3">
      <c r="A474" s="2">
        <f t="shared" si="345"/>
        <v>11213</v>
      </c>
      <c r="B474" s="59" t="s">
        <v>25</v>
      </c>
      <c r="C474" s="59" t="s">
        <v>26</v>
      </c>
      <c r="D474" s="59" t="s">
        <v>27</v>
      </c>
      <c r="E474" s="59" t="s">
        <v>28</v>
      </c>
      <c r="F474" s="59" t="s">
        <v>29</v>
      </c>
      <c r="G474" s="59" t="s">
        <v>25</v>
      </c>
      <c r="H474" s="59" t="s">
        <v>26</v>
      </c>
      <c r="I474" s="1"/>
      <c r="J474" s="2" t="str">
        <f t="shared" ref="J474" si="355">CONCATENATE(K473,1)</f>
        <v>41</v>
      </c>
      <c r="K474" s="4">
        <f t="array" ref="K474:M476">LINEST(B477:B480,C477:C480^{1,2},TRUE,TRUE)</f>
        <v>7.301356095855484E-8</v>
      </c>
      <c r="L474" s="4">
        <v>0.99993137717267555</v>
      </c>
      <c r="M474" s="4">
        <v>-4.3860386554166395E-3</v>
      </c>
      <c r="N474" s="1"/>
      <c r="O474" s="1"/>
      <c r="P474" s="1"/>
      <c r="Q474" s="1"/>
      <c r="R474" s="1"/>
      <c r="S474" s="1"/>
      <c r="T474" s="1"/>
      <c r="U474" s="2">
        <f t="shared" si="346"/>
        <v>11</v>
      </c>
      <c r="V474" s="2">
        <f t="shared" si="347"/>
        <v>213</v>
      </c>
    </row>
    <row r="475" spans="1:22" x14ac:dyDescent="0.3">
      <c r="A475" s="2">
        <f t="shared" si="345"/>
        <v>11214</v>
      </c>
      <c r="B475" s="60"/>
      <c r="C475" s="60"/>
      <c r="D475" s="60"/>
      <c r="E475" s="60"/>
      <c r="F475" s="60"/>
      <c r="G475" s="60"/>
      <c r="H475" s="60"/>
      <c r="I475" s="1"/>
      <c r="J475" s="2" t="str">
        <f t="shared" ref="J475" si="356">CONCATENATE(K473,2)</f>
        <v>42</v>
      </c>
      <c r="K475" s="4">
        <v>9.2358543799922758E-8</v>
      </c>
      <c r="L475" s="4">
        <v>9.5160955983703878E-5</v>
      </c>
      <c r="M475" s="4">
        <v>4.9916968573211901E-3</v>
      </c>
      <c r="N475" s="1"/>
      <c r="O475" s="1"/>
      <c r="P475" s="1"/>
      <c r="Q475" s="1"/>
      <c r="R475" s="1"/>
      <c r="S475" s="1"/>
      <c r="T475" s="1"/>
      <c r="U475" s="2">
        <f t="shared" si="346"/>
        <v>11</v>
      </c>
      <c r="V475" s="2">
        <f t="shared" si="347"/>
        <v>214</v>
      </c>
    </row>
    <row r="476" spans="1:22" x14ac:dyDescent="0.3">
      <c r="A476" s="2">
        <f t="shared" si="345"/>
        <v>11215</v>
      </c>
      <c r="B476" s="9" t="str">
        <f>CONCATENATE("(",H463,")")</f>
        <v>(g)</v>
      </c>
      <c r="C476" s="9" t="str">
        <f>B476</f>
        <v>(g)</v>
      </c>
      <c r="D476" s="9" t="str">
        <f>C476</f>
        <v>(g)</v>
      </c>
      <c r="E476" s="9"/>
      <c r="F476" s="9"/>
      <c r="G476" s="9" t="str">
        <f>B476</f>
        <v>(g)</v>
      </c>
      <c r="H476" s="9" t="str">
        <f>G476</f>
        <v>(g)</v>
      </c>
      <c r="I476" s="1"/>
      <c r="J476" s="2" t="str">
        <f t="shared" ref="J476" si="357">CONCATENATE(K473,3)</f>
        <v>43</v>
      </c>
      <c r="K476" s="4">
        <v>0.99999999993708111</v>
      </c>
      <c r="L476" s="4">
        <v>6.6450258366993475E-3</v>
      </c>
      <c r="M476" s="4" t="e">
        <v>#N/A</v>
      </c>
      <c r="N476" s="1"/>
      <c r="O476" s="1"/>
      <c r="P476" s="1"/>
      <c r="Q476" s="1"/>
      <c r="R476" s="1"/>
      <c r="S476" s="1"/>
      <c r="T476" s="1"/>
      <c r="U476" s="2">
        <f t="shared" si="346"/>
        <v>11</v>
      </c>
      <c r="V476" s="2">
        <f t="shared" si="347"/>
        <v>215</v>
      </c>
    </row>
    <row r="477" spans="1:22" x14ac:dyDescent="0.3">
      <c r="A477" s="2">
        <f t="shared" si="345"/>
        <v>11216</v>
      </c>
      <c r="B477" s="10">
        <v>0.5</v>
      </c>
      <c r="C477" s="10">
        <v>0.5</v>
      </c>
      <c r="D477" s="10">
        <v>0.02</v>
      </c>
      <c r="E477" s="10">
        <v>2</v>
      </c>
      <c r="F477" s="10">
        <v>1000000</v>
      </c>
      <c r="G477" s="8">
        <v>0.5</v>
      </c>
      <c r="H477" s="8">
        <v>0.5</v>
      </c>
      <c r="I477" s="1"/>
      <c r="J477" s="1"/>
      <c r="K477" s="1">
        <v>5</v>
      </c>
      <c r="L477" s="1">
        <v>5</v>
      </c>
      <c r="M477" s="1">
        <v>5</v>
      </c>
      <c r="N477" s="1">
        <v>5</v>
      </c>
      <c r="O477" s="1"/>
      <c r="P477" s="1"/>
      <c r="Q477" s="1"/>
      <c r="R477" s="1"/>
      <c r="S477" s="1"/>
      <c r="T477" s="1"/>
      <c r="U477" s="2">
        <f t="shared" si="346"/>
        <v>11</v>
      </c>
      <c r="V477" s="2">
        <f t="shared" si="347"/>
        <v>216</v>
      </c>
    </row>
    <row r="478" spans="1:22" x14ac:dyDescent="0.3">
      <c r="A478" s="2">
        <f t="shared" si="345"/>
        <v>11217</v>
      </c>
      <c r="B478" s="10">
        <v>10</v>
      </c>
      <c r="C478" s="10">
        <v>10.01</v>
      </c>
      <c r="D478" s="10">
        <v>0.02</v>
      </c>
      <c r="E478" s="10">
        <v>2</v>
      </c>
      <c r="F478" s="10">
        <v>1000000</v>
      </c>
      <c r="G478" s="8">
        <v>10</v>
      </c>
      <c r="H478" s="8">
        <v>10</v>
      </c>
      <c r="I478" s="1"/>
      <c r="J478" s="2" t="str">
        <f t="shared" ref="J478" si="358">CONCATENATE(K477,1)</f>
        <v>51</v>
      </c>
      <c r="K478" s="4">
        <f t="array" ref="K478:N480">LINEST(B477:B481,C477:C481^{1,2,3},TRUE,TRUE)</f>
        <v>-3.7250917670430171E-11</v>
      </c>
      <c r="L478" s="4">
        <v>1.1456490929786816E-7</v>
      </c>
      <c r="M478" s="4">
        <v>0.99992705065312704</v>
      </c>
      <c r="N478" s="4">
        <v>-4.3553177692375877E-3</v>
      </c>
      <c r="O478" s="1"/>
      <c r="P478" s="1"/>
      <c r="Q478" s="1"/>
      <c r="R478" s="1"/>
      <c r="S478" s="1"/>
      <c r="T478" s="1"/>
      <c r="U478" s="2">
        <f t="shared" si="346"/>
        <v>11</v>
      </c>
      <c r="V478" s="2">
        <f t="shared" si="347"/>
        <v>217</v>
      </c>
    </row>
    <row r="479" spans="1:22" x14ac:dyDescent="0.3">
      <c r="A479" s="2">
        <f t="shared" si="345"/>
        <v>11218</v>
      </c>
      <c r="B479" s="10">
        <v>100</v>
      </c>
      <c r="C479" s="10">
        <v>100.01</v>
      </c>
      <c r="D479" s="10">
        <v>0.02</v>
      </c>
      <c r="E479" s="10">
        <v>2</v>
      </c>
      <c r="F479" s="10">
        <v>1000000</v>
      </c>
      <c r="G479" s="8">
        <v>100</v>
      </c>
      <c r="H479" s="8">
        <v>100.01</v>
      </c>
      <c r="I479" s="1"/>
      <c r="J479" s="2" t="str">
        <f t="shared" ref="J479" si="359">CONCATENATE(K477,2)</f>
        <v>52</v>
      </c>
      <c r="K479" s="4">
        <v>4.820338652347068E-11</v>
      </c>
      <c r="L479" s="4">
        <v>1.4513602419177969E-7</v>
      </c>
      <c r="M479" s="4">
        <v>9.9805745574855934E-5</v>
      </c>
      <c r="N479" s="4">
        <v>4.9872925506007906E-3</v>
      </c>
      <c r="O479" s="1"/>
      <c r="P479" s="1"/>
      <c r="Q479" s="1"/>
      <c r="R479" s="1"/>
      <c r="S479" s="1"/>
      <c r="T479" s="1"/>
      <c r="U479" s="2">
        <f t="shared" si="346"/>
        <v>11</v>
      </c>
      <c r="V479" s="2">
        <f t="shared" si="347"/>
        <v>218</v>
      </c>
    </row>
    <row r="480" spans="1:22" x14ac:dyDescent="0.3">
      <c r="A480" s="2">
        <f t="shared" si="345"/>
        <v>11219</v>
      </c>
      <c r="B480" s="10">
        <v>1000</v>
      </c>
      <c r="C480" s="10">
        <v>1000</v>
      </c>
      <c r="D480" s="10">
        <v>0.02</v>
      </c>
      <c r="E480" s="10">
        <v>2</v>
      </c>
      <c r="F480" s="10">
        <v>1000000</v>
      </c>
      <c r="G480" s="8">
        <v>1000</v>
      </c>
      <c r="H480" s="8">
        <v>1000</v>
      </c>
      <c r="I480" s="1"/>
      <c r="J480" s="2" t="str">
        <f t="shared" ref="J480" si="360">CONCATENATE(K477,3)</f>
        <v>53</v>
      </c>
      <c r="K480" s="4">
        <v>0.99999999998574129</v>
      </c>
      <c r="L480" s="4">
        <v>6.6216570455956969E-3</v>
      </c>
      <c r="M480" s="4" t="e">
        <v>#N/A</v>
      </c>
      <c r="N480" s="4" t="e">
        <v>#N/A</v>
      </c>
      <c r="O480" s="1"/>
      <c r="P480" s="1"/>
      <c r="Q480" s="1"/>
      <c r="R480" s="1"/>
      <c r="S480" s="1"/>
      <c r="T480" s="1"/>
      <c r="U480" s="2">
        <f t="shared" si="346"/>
        <v>11</v>
      </c>
      <c r="V480" s="2">
        <f t="shared" si="347"/>
        <v>219</v>
      </c>
    </row>
    <row r="481" spans="1:22" x14ac:dyDescent="0.3">
      <c r="A481" s="2">
        <f t="shared" si="345"/>
        <v>11220</v>
      </c>
      <c r="B481" s="10">
        <v>2000</v>
      </c>
      <c r="C481" s="10">
        <v>1999.99</v>
      </c>
      <c r="D481" s="10">
        <v>0.03</v>
      </c>
      <c r="E481" s="10">
        <v>2</v>
      </c>
      <c r="F481" s="10">
        <v>1000000</v>
      </c>
      <c r="G481" s="8">
        <v>2000</v>
      </c>
      <c r="H481" s="8">
        <v>2000</v>
      </c>
      <c r="I481" s="1"/>
      <c r="J481" s="1"/>
      <c r="K481" s="1">
        <v>6</v>
      </c>
      <c r="L481" s="1">
        <v>6</v>
      </c>
      <c r="M481" s="1">
        <v>6</v>
      </c>
      <c r="N481" s="1">
        <v>6</v>
      </c>
      <c r="O481" s="1">
        <v>6</v>
      </c>
      <c r="P481" s="1"/>
      <c r="Q481" s="1"/>
      <c r="R481" s="1"/>
      <c r="S481" s="1"/>
      <c r="T481" s="1"/>
      <c r="U481" s="2">
        <f t="shared" si="346"/>
        <v>11</v>
      </c>
      <c r="V481" s="2">
        <f t="shared" si="347"/>
        <v>220</v>
      </c>
    </row>
    <row r="482" spans="1:22" x14ac:dyDescent="0.3">
      <c r="A482" s="2">
        <f t="shared" si="345"/>
        <v>11221</v>
      </c>
      <c r="B482" s="10">
        <v>4000</v>
      </c>
      <c r="C482" s="10">
        <v>3999.99</v>
      </c>
      <c r="D482" s="10">
        <v>0.04</v>
      </c>
      <c r="E482" s="10">
        <v>2</v>
      </c>
      <c r="F482" s="10">
        <v>1000000</v>
      </c>
      <c r="G482" s="8">
        <v>4000</v>
      </c>
      <c r="H482" s="8">
        <v>3999.99</v>
      </c>
      <c r="I482" s="1"/>
      <c r="J482" s="2" t="str">
        <f t="shared" ref="J482" si="361">CONCATENATE(K481,1)</f>
        <v>61</v>
      </c>
      <c r="K482" s="4">
        <f t="array" ref="K482:O484">LINEST(B477:B482,C477:C482^{1,2,3,4},TRUE,TRUE)</f>
        <v>9.1962279973462738E-15</v>
      </c>
      <c r="L482" s="4">
        <v>-6.5909585222777453E-11</v>
      </c>
      <c r="M482" s="4">
        <v>1.3617150120764359E-7</v>
      </c>
      <c r="N482" s="4">
        <v>0.99992489431811982</v>
      </c>
      <c r="O482" s="4">
        <v>-4.3400678056901842E-3</v>
      </c>
      <c r="P482" s="1"/>
      <c r="Q482" s="1"/>
      <c r="R482" s="1"/>
      <c r="S482" s="1"/>
      <c r="T482" s="1"/>
      <c r="U482" s="2">
        <f t="shared" si="346"/>
        <v>11</v>
      </c>
      <c r="V482" s="2">
        <f t="shared" si="347"/>
        <v>221</v>
      </c>
    </row>
    <row r="483" spans="1:22" x14ac:dyDescent="0.3">
      <c r="A483" s="2">
        <f t="shared" si="345"/>
        <v>11222</v>
      </c>
      <c r="B483" s="10">
        <v>6000</v>
      </c>
      <c r="C483" s="10">
        <v>5999.99</v>
      </c>
      <c r="D483" s="10">
        <v>0.05</v>
      </c>
      <c r="E483" s="10">
        <v>2</v>
      </c>
      <c r="F483" s="10">
        <v>1000000</v>
      </c>
      <c r="G483" s="8">
        <v>6000</v>
      </c>
      <c r="H483" s="8">
        <v>5999.99</v>
      </c>
      <c r="I483" s="1"/>
      <c r="J483" s="2" t="str">
        <f t="shared" ref="J483" si="362">CONCATENATE(K481,2)</f>
        <v>62</v>
      </c>
      <c r="K483" s="4">
        <v>1.2381413955958858E-14</v>
      </c>
      <c r="L483" s="4">
        <v>8.6515311898397222E-11</v>
      </c>
      <c r="M483" s="4">
        <v>1.7336821311779671E-7</v>
      </c>
      <c r="N483" s="4">
        <v>1.0217151280681891E-4</v>
      </c>
      <c r="O483" s="4">
        <v>4.9852031953337428E-3</v>
      </c>
      <c r="P483" s="1"/>
      <c r="Q483" s="1"/>
      <c r="R483" s="1"/>
      <c r="S483" s="1"/>
      <c r="T483" s="1"/>
      <c r="U483" s="2">
        <f t="shared" si="346"/>
        <v>11</v>
      </c>
      <c r="V483" s="2">
        <f t="shared" si="347"/>
        <v>222</v>
      </c>
    </row>
    <row r="484" spans="1:22" x14ac:dyDescent="0.3">
      <c r="A484" s="2">
        <f t="shared" si="345"/>
        <v>11223</v>
      </c>
      <c r="B484" s="10"/>
      <c r="C484" s="10"/>
      <c r="D484" s="10"/>
      <c r="E484" s="10"/>
      <c r="F484" s="10"/>
      <c r="G484" s="8"/>
      <c r="H484" s="8"/>
      <c r="I484" s="1"/>
      <c r="J484" s="2" t="str">
        <f t="shared" ref="J484" si="363">CONCATENATE(K481,3)</f>
        <v>63</v>
      </c>
      <c r="K484" s="4">
        <v>0.99999999999652767</v>
      </c>
      <c r="L484" s="4">
        <v>6.610139926443992E-3</v>
      </c>
      <c r="M484" s="4" t="e">
        <v>#N/A</v>
      </c>
      <c r="N484" s="4" t="e">
        <v>#N/A</v>
      </c>
      <c r="O484" s="4" t="e">
        <v>#N/A</v>
      </c>
      <c r="P484" s="1"/>
      <c r="Q484" s="1"/>
      <c r="R484" s="1"/>
      <c r="S484" s="1"/>
      <c r="T484" s="1"/>
      <c r="U484" s="2">
        <f t="shared" si="346"/>
        <v>11</v>
      </c>
      <c r="V484" s="2">
        <f t="shared" si="347"/>
        <v>223</v>
      </c>
    </row>
    <row r="485" spans="1:22" x14ac:dyDescent="0.3">
      <c r="A485" s="2">
        <f t="shared" si="345"/>
        <v>11224</v>
      </c>
      <c r="B485" s="10"/>
      <c r="C485" s="10"/>
      <c r="D485" s="10"/>
      <c r="E485" s="10"/>
      <c r="F485" s="10"/>
      <c r="G485" s="8"/>
      <c r="H485" s="8"/>
      <c r="I485" s="1"/>
      <c r="J485" s="1"/>
      <c r="K485" s="1">
        <v>7</v>
      </c>
      <c r="L485" s="1">
        <v>7</v>
      </c>
      <c r="M485" s="1">
        <v>7</v>
      </c>
      <c r="N485" s="1">
        <v>7</v>
      </c>
      <c r="O485" s="1">
        <v>7</v>
      </c>
      <c r="P485" s="1">
        <v>7</v>
      </c>
      <c r="Q485" s="1"/>
      <c r="R485" s="1"/>
      <c r="S485" s="1"/>
      <c r="T485" s="1"/>
      <c r="U485" s="2">
        <f t="shared" si="346"/>
        <v>11</v>
      </c>
      <c r="V485" s="2">
        <f t="shared" si="347"/>
        <v>224</v>
      </c>
    </row>
    <row r="486" spans="1:22" x14ac:dyDescent="0.3">
      <c r="A486" s="2">
        <f t="shared" si="345"/>
        <v>11225</v>
      </c>
      <c r="B486" s="10"/>
      <c r="C486" s="10"/>
      <c r="D486" s="10"/>
      <c r="E486" s="10"/>
      <c r="F486" s="10"/>
      <c r="G486" s="8"/>
      <c r="H486" s="8"/>
      <c r="I486" s="1"/>
      <c r="J486" s="2" t="str">
        <f t="shared" ref="J486" si="364">CONCATENATE(K485,1)</f>
        <v>71</v>
      </c>
      <c r="K486" s="4">
        <f t="array" ref="K486:P488">LINEST(B477:B483,C477:C483^{1,2,3,4,5},TRUE,TRUE)</f>
        <v>-1.5008736051078918E-18</v>
      </c>
      <c r="L486" s="4">
        <v>1.9878244117221645E-14</v>
      </c>
      <c r="M486" s="4">
        <v>-8.8153370138416508E-11</v>
      </c>
      <c r="N486" s="4">
        <v>1.5064393921489811E-7</v>
      </c>
      <c r="O486" s="4">
        <v>0.99992347691789241</v>
      </c>
      <c r="P486" s="4">
        <v>-4.3300173080658144E-3</v>
      </c>
      <c r="Q486" s="1"/>
      <c r="R486" s="1"/>
      <c r="S486" s="1"/>
      <c r="T486" s="1"/>
      <c r="U486" s="2">
        <f t="shared" si="346"/>
        <v>11</v>
      </c>
      <c r="V486" s="2">
        <f t="shared" si="347"/>
        <v>225</v>
      </c>
    </row>
    <row r="487" spans="1:22" x14ac:dyDescent="0.3">
      <c r="A487" s="2">
        <f t="shared" si="345"/>
        <v>11226</v>
      </c>
      <c r="B487" s="61" t="s">
        <v>44</v>
      </c>
      <c r="C487" s="61"/>
      <c r="D487" s="61"/>
      <c r="E487" s="61"/>
      <c r="F487" s="61"/>
      <c r="G487" s="61"/>
      <c r="H487" s="61"/>
      <c r="I487" s="1"/>
      <c r="J487" s="2" t="str">
        <f t="shared" ref="J487" si="365">CONCATENATE(K485,2)</f>
        <v>72</v>
      </c>
      <c r="K487" s="4">
        <v>2.1101033093223027E-18</v>
      </c>
      <c r="L487" s="4">
        <v>2.7348992145829212E-14</v>
      </c>
      <c r="M487" s="4">
        <v>1.1741787641152298E-10</v>
      </c>
      <c r="N487" s="4">
        <v>1.9295061023477853E-7</v>
      </c>
      <c r="O487" s="4">
        <v>1.0377141978021201E-4</v>
      </c>
      <c r="P487" s="4">
        <v>4.9839361444500782E-3</v>
      </c>
      <c r="Q487" s="1"/>
      <c r="R487" s="1"/>
      <c r="S487" s="1"/>
      <c r="T487" s="1"/>
      <c r="U487" s="2">
        <f t="shared" si="346"/>
        <v>11</v>
      </c>
      <c r="V487" s="2">
        <f t="shared" si="347"/>
        <v>226</v>
      </c>
    </row>
    <row r="488" spans="1:22" x14ac:dyDescent="0.3">
      <c r="A488" s="2">
        <f t="shared" si="345"/>
        <v>11227</v>
      </c>
      <c r="B488" s="4" t="s">
        <v>45</v>
      </c>
      <c r="C488" s="4" t="s">
        <v>46</v>
      </c>
      <c r="D488" s="4" t="s">
        <v>47</v>
      </c>
      <c r="E488" s="4" t="s">
        <v>48</v>
      </c>
      <c r="F488" s="4" t="s">
        <v>49</v>
      </c>
      <c r="G488" s="4" t="s">
        <v>50</v>
      </c>
      <c r="H488" s="4" t="s">
        <v>46</v>
      </c>
      <c r="I488" s="1"/>
      <c r="J488" s="2" t="str">
        <f t="shared" ref="J488" si="366">CONCATENATE(K485,3)</f>
        <v>73</v>
      </c>
      <c r="K488" s="4">
        <v>0.99999999999865685</v>
      </c>
      <c r="L488" s="4">
        <v>6.6026300443766672E-3</v>
      </c>
      <c r="M488" s="4" t="e">
        <v>#N/A</v>
      </c>
      <c r="N488" s="4" t="e">
        <v>#N/A</v>
      </c>
      <c r="O488" s="4" t="e">
        <v>#N/A</v>
      </c>
      <c r="P488" s="4" t="e">
        <v>#N/A</v>
      </c>
      <c r="Q488" s="1"/>
      <c r="R488" s="1"/>
      <c r="S488" s="1"/>
      <c r="T488" s="1"/>
      <c r="U488" s="2">
        <f t="shared" si="346"/>
        <v>11</v>
      </c>
      <c r="V488" s="2">
        <f t="shared" si="347"/>
        <v>227</v>
      </c>
    </row>
    <row r="489" spans="1:22" x14ac:dyDescent="0.3">
      <c r="A489" s="2">
        <f t="shared" si="345"/>
        <v>11228</v>
      </c>
      <c r="B489" s="10">
        <v>500</v>
      </c>
      <c r="C489" s="10">
        <v>499.99</v>
      </c>
      <c r="D489" s="10">
        <v>499.98</v>
      </c>
      <c r="E489" s="10">
        <v>499.99</v>
      </c>
      <c r="F489" s="10">
        <v>500</v>
      </c>
      <c r="G489" s="10">
        <v>499.99</v>
      </c>
      <c r="H489" s="10">
        <v>500</v>
      </c>
      <c r="I489" s="1"/>
      <c r="J489" s="1"/>
      <c r="K489" s="1">
        <v>8</v>
      </c>
      <c r="L489" s="1">
        <v>8</v>
      </c>
      <c r="M489" s="1">
        <v>8</v>
      </c>
      <c r="N489" s="1">
        <v>8</v>
      </c>
      <c r="O489" s="1">
        <v>8</v>
      </c>
      <c r="P489" s="1">
        <v>8</v>
      </c>
      <c r="Q489" s="1">
        <v>8</v>
      </c>
      <c r="R489" s="1"/>
      <c r="S489" s="1"/>
      <c r="T489" s="1"/>
      <c r="U489" s="2">
        <f t="shared" si="346"/>
        <v>11</v>
      </c>
      <c r="V489" s="2">
        <f t="shared" si="347"/>
        <v>228</v>
      </c>
    </row>
    <row r="490" spans="1:22" x14ac:dyDescent="0.3">
      <c r="A490" s="2">
        <f t="shared" si="345"/>
        <v>11229</v>
      </c>
      <c r="I490" s="1"/>
      <c r="J490" s="2" t="str">
        <f t="shared" ref="J490" si="367">CONCATENATE(K489,1)</f>
        <v>81</v>
      </c>
      <c r="K490" s="4" t="e">
        <f t="array" ref="K490:Q492">LINEST(B477:B484,C477:C484^{1,2,3,4,5,6},TRUE,TRUE)</f>
        <v>#VALUE!</v>
      </c>
      <c r="L490" s="4" t="e">
        <v>#VALUE!</v>
      </c>
      <c r="M490" s="4" t="e">
        <v>#VALUE!</v>
      </c>
      <c r="N490" s="4" t="e">
        <v>#VALUE!</v>
      </c>
      <c r="O490" s="4" t="e">
        <v>#VALUE!</v>
      </c>
      <c r="P490" s="4" t="e">
        <v>#VALUE!</v>
      </c>
      <c r="Q490" s="4" t="e">
        <v>#VALUE!</v>
      </c>
      <c r="R490" s="1"/>
      <c r="S490" s="1"/>
      <c r="T490" s="1"/>
      <c r="U490" s="2">
        <f t="shared" si="346"/>
        <v>11</v>
      </c>
      <c r="V490" s="2">
        <f t="shared" si="347"/>
        <v>229</v>
      </c>
    </row>
    <row r="491" spans="1:22" x14ac:dyDescent="0.3">
      <c r="A491" s="2">
        <f t="shared" si="345"/>
        <v>11230</v>
      </c>
      <c r="B491" s="58" t="s">
        <v>30</v>
      </c>
      <c r="C491" s="58"/>
      <c r="D491" s="58"/>
      <c r="E491" s="58"/>
      <c r="F491" s="58"/>
      <c r="G491" s="58"/>
      <c r="H491" s="58"/>
      <c r="I491" s="1"/>
      <c r="J491" s="2" t="str">
        <f t="shared" ref="J491" si="368">CONCATENATE(K489,2)</f>
        <v>82</v>
      </c>
      <c r="K491" s="4" t="e">
        <v>#VALUE!</v>
      </c>
      <c r="L491" s="4" t="e">
        <v>#VALUE!</v>
      </c>
      <c r="M491" s="4" t="e">
        <v>#VALUE!</v>
      </c>
      <c r="N491" s="4" t="e">
        <v>#VALUE!</v>
      </c>
      <c r="O491" s="4" t="e">
        <v>#VALUE!</v>
      </c>
      <c r="P491" s="4" t="e">
        <v>#VALUE!</v>
      </c>
      <c r="Q491" s="4" t="e">
        <v>#VALUE!</v>
      </c>
      <c r="R491" s="1"/>
      <c r="S491" s="1"/>
      <c r="T491" s="1"/>
      <c r="U491" s="2">
        <f t="shared" si="346"/>
        <v>11</v>
      </c>
      <c r="V491" s="2">
        <f t="shared" si="347"/>
        <v>230</v>
      </c>
    </row>
    <row r="492" spans="1:22" x14ac:dyDescent="0.3">
      <c r="A492" s="2">
        <f t="shared" si="345"/>
        <v>11231</v>
      </c>
      <c r="B492" s="62"/>
      <c r="C492" s="62"/>
      <c r="D492" s="62"/>
      <c r="E492" s="62"/>
      <c r="F492" s="62"/>
      <c r="G492" s="62"/>
      <c r="H492" s="62"/>
      <c r="I492" s="1"/>
      <c r="J492" s="2" t="str">
        <f t="shared" ref="J492" si="369">CONCATENATE(K489,3)</f>
        <v>83</v>
      </c>
      <c r="K492" s="4" t="e">
        <v>#VALUE!</v>
      </c>
      <c r="L492" s="4" t="e">
        <v>#VALUE!</v>
      </c>
      <c r="M492" s="4" t="e">
        <v>#VALUE!</v>
      </c>
      <c r="N492" s="4" t="e">
        <v>#VALUE!</v>
      </c>
      <c r="O492" s="4" t="e">
        <v>#VALUE!</v>
      </c>
      <c r="P492" s="4" t="e">
        <v>#VALUE!</v>
      </c>
      <c r="Q492" s="4" t="e">
        <v>#VALUE!</v>
      </c>
      <c r="R492" s="1"/>
      <c r="S492" s="1"/>
      <c r="T492" s="1"/>
      <c r="U492" s="2">
        <f t="shared" si="346"/>
        <v>11</v>
      </c>
      <c r="V492" s="2">
        <f t="shared" si="347"/>
        <v>231</v>
      </c>
    </row>
    <row r="493" spans="1:22" x14ac:dyDescent="0.3">
      <c r="A493" s="2">
        <f t="shared" si="345"/>
        <v>11232</v>
      </c>
      <c r="B493" s="62"/>
      <c r="C493" s="62"/>
      <c r="D493" s="62"/>
      <c r="E493" s="62"/>
      <c r="F493" s="62"/>
      <c r="G493" s="62"/>
      <c r="H493" s="62"/>
      <c r="I493" s="1"/>
      <c r="J493" s="1"/>
      <c r="K493" s="1">
        <v>9</v>
      </c>
      <c r="L493" s="1">
        <v>9</v>
      </c>
      <c r="M493" s="1">
        <v>9</v>
      </c>
      <c r="N493" s="1">
        <v>9</v>
      </c>
      <c r="O493" s="1">
        <v>9</v>
      </c>
      <c r="P493" s="1">
        <v>9</v>
      </c>
      <c r="Q493" s="1">
        <v>9</v>
      </c>
      <c r="R493" s="1">
        <v>9</v>
      </c>
      <c r="S493" s="1"/>
      <c r="T493" s="1"/>
      <c r="U493" s="2">
        <f t="shared" si="346"/>
        <v>11</v>
      </c>
      <c r="V493" s="2">
        <f t="shared" si="347"/>
        <v>232</v>
      </c>
    </row>
    <row r="494" spans="1:22" x14ac:dyDescent="0.3">
      <c r="A494" s="2">
        <f t="shared" si="345"/>
        <v>11233</v>
      </c>
      <c r="B494" s="1"/>
      <c r="C494" s="1"/>
      <c r="D494" s="1"/>
      <c r="E494" s="1"/>
      <c r="F494" s="1"/>
      <c r="G494" s="1"/>
      <c r="H494" s="1"/>
      <c r="I494" s="1"/>
      <c r="J494" s="2" t="str">
        <f t="shared" ref="J494" si="370">CONCATENATE(K493,1)</f>
        <v>91</v>
      </c>
      <c r="K494" s="4" t="e">
        <f t="array" ref="K494:R496">LINEST(B477:B485,C477:C485^{1,2,3,4,5,6,7},TRUE,TRUE)</f>
        <v>#VALUE!</v>
      </c>
      <c r="L494" s="4" t="e">
        <v>#VALUE!</v>
      </c>
      <c r="M494" s="4" t="e">
        <v>#VALUE!</v>
      </c>
      <c r="N494" s="4" t="e">
        <v>#VALUE!</v>
      </c>
      <c r="O494" s="4" t="e">
        <v>#VALUE!</v>
      </c>
      <c r="P494" s="4" t="e">
        <v>#VALUE!</v>
      </c>
      <c r="Q494" s="4" t="e">
        <v>#VALUE!</v>
      </c>
      <c r="R494" s="4" t="e">
        <v>#VALUE!</v>
      </c>
      <c r="S494" s="1"/>
      <c r="T494" s="1"/>
      <c r="U494" s="2">
        <f t="shared" si="346"/>
        <v>11</v>
      </c>
      <c r="V494" s="2">
        <f t="shared" si="347"/>
        <v>233</v>
      </c>
    </row>
    <row r="495" spans="1:22" x14ac:dyDescent="0.3">
      <c r="A495" s="2">
        <f t="shared" si="345"/>
        <v>11234</v>
      </c>
      <c r="B495" s="5" t="s">
        <v>31</v>
      </c>
      <c r="C495" s="5" t="s">
        <v>32</v>
      </c>
      <c r="D495" s="5" t="s">
        <v>33</v>
      </c>
      <c r="E495" s="4" t="s">
        <v>34</v>
      </c>
      <c r="F495" s="57" t="s">
        <v>35</v>
      </c>
      <c r="G495" s="58"/>
      <c r="H495" s="58"/>
      <c r="I495" s="1"/>
      <c r="J495" s="2" t="str">
        <f t="shared" ref="J495" si="371">CONCATENATE(K493,2)</f>
        <v>92</v>
      </c>
      <c r="K495" s="4" t="e">
        <v>#VALUE!</v>
      </c>
      <c r="L495" s="4" t="e">
        <v>#VALUE!</v>
      </c>
      <c r="M495" s="4" t="e">
        <v>#VALUE!</v>
      </c>
      <c r="N495" s="4" t="e">
        <v>#VALUE!</v>
      </c>
      <c r="O495" s="4" t="e">
        <v>#VALUE!</v>
      </c>
      <c r="P495" s="4" t="e">
        <v>#VALUE!</v>
      </c>
      <c r="Q495" s="4" t="e">
        <v>#VALUE!</v>
      </c>
      <c r="R495" s="4" t="e">
        <v>#VALUE!</v>
      </c>
      <c r="S495" s="1"/>
      <c r="T495" s="1"/>
      <c r="U495" s="2">
        <f t="shared" si="346"/>
        <v>11</v>
      </c>
      <c r="V495" s="2">
        <f t="shared" si="347"/>
        <v>234</v>
      </c>
    </row>
    <row r="496" spans="1:22" x14ac:dyDescent="0.3">
      <c r="A496" s="2">
        <f t="shared" si="345"/>
        <v>11235</v>
      </c>
      <c r="B496" s="5">
        <f t="shared" ref="B496:B505" si="372">C477-B477</f>
        <v>0</v>
      </c>
      <c r="C496" s="5">
        <f t="shared" ref="C496:C505" si="373">H477-G477</f>
        <v>0</v>
      </c>
      <c r="D496" s="5">
        <f>C496-B496</f>
        <v>0</v>
      </c>
      <c r="E496" s="4">
        <f t="shared" ref="E496:E505" si="374">D477</f>
        <v>0.02</v>
      </c>
      <c r="F496" s="11">
        <f>IF(D464="","",MAX(G496,H496))</f>
        <v>9.9999999999997868E-3</v>
      </c>
      <c r="G496" s="5">
        <f>ABS(MIN(D496:D505))</f>
        <v>9.9999999999997868E-3</v>
      </c>
      <c r="H496" s="5">
        <f>ABS(MAX(D496:D505))</f>
        <v>9.9999999999909051E-3</v>
      </c>
      <c r="I496" s="1"/>
      <c r="J496" s="2" t="str">
        <f t="shared" ref="J496" si="375">CONCATENATE(K493,3)</f>
        <v>93</v>
      </c>
      <c r="K496" s="4" t="e">
        <v>#VALUE!</v>
      </c>
      <c r="L496" s="4" t="e">
        <v>#VALUE!</v>
      </c>
      <c r="M496" s="4" t="e">
        <v>#VALUE!</v>
      </c>
      <c r="N496" s="4" t="e">
        <v>#VALUE!</v>
      </c>
      <c r="O496" s="4" t="e">
        <v>#VALUE!</v>
      </c>
      <c r="P496" s="4" t="e">
        <v>#VALUE!</v>
      </c>
      <c r="Q496" s="4" t="e">
        <v>#VALUE!</v>
      </c>
      <c r="R496" s="4" t="e">
        <v>#VALUE!</v>
      </c>
      <c r="S496" s="1"/>
      <c r="T496" s="1"/>
      <c r="U496" s="2">
        <f t="shared" si="346"/>
        <v>11</v>
      </c>
      <c r="V496" s="2">
        <f t="shared" si="347"/>
        <v>235</v>
      </c>
    </row>
    <row r="497" spans="1:22" x14ac:dyDescent="0.3">
      <c r="A497" s="2">
        <f t="shared" si="345"/>
        <v>11236</v>
      </c>
      <c r="B497" s="5">
        <f t="shared" si="372"/>
        <v>9.9999999999997868E-3</v>
      </c>
      <c r="C497" s="5">
        <f t="shared" si="373"/>
        <v>0</v>
      </c>
      <c r="D497" s="5">
        <f t="shared" ref="D497:D505" si="376">C497-B497</f>
        <v>-9.9999999999997868E-3</v>
      </c>
      <c r="E497" s="4">
        <f t="shared" si="374"/>
        <v>0.02</v>
      </c>
      <c r="F497" s="57" t="s">
        <v>36</v>
      </c>
      <c r="G497" s="58"/>
      <c r="H497" s="58"/>
      <c r="I497" s="1"/>
      <c r="J497" s="1"/>
      <c r="K497" s="1">
        <v>10</v>
      </c>
      <c r="L497" s="1">
        <v>10</v>
      </c>
      <c r="M497" s="1">
        <v>10</v>
      </c>
      <c r="N497" s="1">
        <v>10</v>
      </c>
      <c r="O497" s="1">
        <v>10</v>
      </c>
      <c r="P497" s="1">
        <v>10</v>
      </c>
      <c r="Q497" s="1">
        <v>10</v>
      </c>
      <c r="R497" s="1">
        <v>10</v>
      </c>
      <c r="S497" s="1">
        <v>10</v>
      </c>
      <c r="T497" s="1"/>
      <c r="U497" s="2">
        <f t="shared" si="346"/>
        <v>11</v>
      </c>
      <c r="V497" s="2">
        <f t="shared" si="347"/>
        <v>236</v>
      </c>
    </row>
    <row r="498" spans="1:22" x14ac:dyDescent="0.3">
      <c r="A498" s="2">
        <f t="shared" si="345"/>
        <v>11237</v>
      </c>
      <c r="B498" s="5">
        <f t="shared" si="372"/>
        <v>1.0000000000005116E-2</v>
      </c>
      <c r="C498" s="5">
        <f t="shared" si="373"/>
        <v>1.0000000000005116E-2</v>
      </c>
      <c r="D498" s="5">
        <f t="shared" si="376"/>
        <v>0</v>
      </c>
      <c r="E498" s="4">
        <f t="shared" si="374"/>
        <v>0.02</v>
      </c>
      <c r="F498" s="11">
        <f>IF(D464="","",MAX(G498,H498))</f>
        <v>1.0000000000218279E-2</v>
      </c>
      <c r="G498" s="5">
        <f>ABS(MIN(B496:B505))</f>
        <v>1.0000000000218279E-2</v>
      </c>
      <c r="H498" s="5">
        <f>ABS(MAX(B496:B505))</f>
        <v>1.0000000000005116E-2</v>
      </c>
      <c r="I498" s="1"/>
      <c r="J498" s="2" t="str">
        <f t="shared" ref="J498" si="377">CONCATENATE(K497,1)</f>
        <v>101</v>
      </c>
      <c r="K498" s="4" t="e">
        <f t="array" ref="K498:S500">LINEST(B477:B486,C477:C486^{1,2,3,4,5,6,7,8},TRUE,TRUE)</f>
        <v>#VALUE!</v>
      </c>
      <c r="L498" s="4" t="e">
        <v>#VALUE!</v>
      </c>
      <c r="M498" s="4" t="e">
        <v>#VALUE!</v>
      </c>
      <c r="N498" s="4" t="e">
        <v>#VALUE!</v>
      </c>
      <c r="O498" s="4" t="e">
        <v>#VALUE!</v>
      </c>
      <c r="P498" s="4" t="e">
        <v>#VALUE!</v>
      </c>
      <c r="Q498" s="4" t="e">
        <v>#VALUE!</v>
      </c>
      <c r="R498" s="4" t="e">
        <v>#VALUE!</v>
      </c>
      <c r="S498" s="4" t="e">
        <v>#VALUE!</v>
      </c>
      <c r="T498" s="1"/>
      <c r="U498" s="2">
        <f t="shared" si="346"/>
        <v>11</v>
      </c>
      <c r="V498" s="2">
        <f t="shared" si="347"/>
        <v>237</v>
      </c>
    </row>
    <row r="499" spans="1:22" x14ac:dyDescent="0.3">
      <c r="A499" s="2">
        <f t="shared" si="345"/>
        <v>11238</v>
      </c>
      <c r="B499" s="5">
        <f t="shared" si="372"/>
        <v>0</v>
      </c>
      <c r="C499" s="5">
        <f t="shared" si="373"/>
        <v>0</v>
      </c>
      <c r="D499" s="5">
        <f t="shared" si="376"/>
        <v>0</v>
      </c>
      <c r="E499" s="4">
        <f t="shared" si="374"/>
        <v>0.02</v>
      </c>
      <c r="F499" s="57" t="s">
        <v>37</v>
      </c>
      <c r="G499" s="58"/>
      <c r="H499" s="58"/>
      <c r="I499" s="1"/>
      <c r="J499" s="2" t="str">
        <f t="shared" ref="J499" si="378">CONCATENATE(K497,2)</f>
        <v>102</v>
      </c>
      <c r="K499" s="4" t="e">
        <v>#VALUE!</v>
      </c>
      <c r="L499" s="4" t="e">
        <v>#VALUE!</v>
      </c>
      <c r="M499" s="4" t="e">
        <v>#VALUE!</v>
      </c>
      <c r="N499" s="4" t="e">
        <v>#VALUE!</v>
      </c>
      <c r="O499" s="4" t="e">
        <v>#VALUE!</v>
      </c>
      <c r="P499" s="4" t="e">
        <v>#VALUE!</v>
      </c>
      <c r="Q499" s="4" t="e">
        <v>#VALUE!</v>
      </c>
      <c r="R499" s="4" t="e">
        <v>#VALUE!</v>
      </c>
      <c r="S499" s="4" t="e">
        <v>#VALUE!</v>
      </c>
      <c r="T499" s="1"/>
      <c r="U499" s="2">
        <f t="shared" si="346"/>
        <v>11</v>
      </c>
      <c r="V499" s="2">
        <f t="shared" si="347"/>
        <v>238</v>
      </c>
    </row>
    <row r="500" spans="1:22" x14ac:dyDescent="0.3">
      <c r="A500" s="2">
        <f t="shared" si="345"/>
        <v>11239</v>
      </c>
      <c r="B500" s="5">
        <f t="shared" si="372"/>
        <v>-9.9999999999909051E-3</v>
      </c>
      <c r="C500" s="5">
        <f t="shared" si="373"/>
        <v>0</v>
      </c>
      <c r="D500" s="5">
        <f t="shared" si="376"/>
        <v>9.9999999999909051E-3</v>
      </c>
      <c r="E500" s="4">
        <f t="shared" si="374"/>
        <v>0.03</v>
      </c>
      <c r="F500" s="11">
        <f>IF(D464="","",MAX(G500,H500))</f>
        <v>0.05</v>
      </c>
      <c r="G500" s="5">
        <f>ABS(MIN(E496:E505))</f>
        <v>0</v>
      </c>
      <c r="H500" s="5">
        <f>ABS(MAX(E496:E505))</f>
        <v>0.05</v>
      </c>
      <c r="I500" s="1"/>
      <c r="J500" s="2" t="str">
        <f t="shared" ref="J500" si="379">CONCATENATE(K497,3)</f>
        <v>103</v>
      </c>
      <c r="K500" s="4" t="e">
        <v>#VALUE!</v>
      </c>
      <c r="L500" s="4" t="e">
        <v>#VALUE!</v>
      </c>
      <c r="M500" s="4" t="e">
        <v>#VALUE!</v>
      </c>
      <c r="N500" s="4" t="e">
        <v>#VALUE!</v>
      </c>
      <c r="O500" s="4" t="e">
        <v>#VALUE!</v>
      </c>
      <c r="P500" s="4" t="e">
        <v>#VALUE!</v>
      </c>
      <c r="Q500" s="4" t="e">
        <v>#VALUE!</v>
      </c>
      <c r="R500" s="4" t="e">
        <v>#VALUE!</v>
      </c>
      <c r="S500" s="4" t="e">
        <v>#VALUE!</v>
      </c>
      <c r="T500" s="1"/>
      <c r="U500" s="2">
        <f t="shared" si="346"/>
        <v>11</v>
      </c>
      <c r="V500" s="2">
        <f t="shared" si="347"/>
        <v>239</v>
      </c>
    </row>
    <row r="501" spans="1:22" x14ac:dyDescent="0.3">
      <c r="A501" s="2">
        <f t="shared" si="345"/>
        <v>11240</v>
      </c>
      <c r="B501" s="5">
        <f t="shared" si="372"/>
        <v>-1.0000000000218279E-2</v>
      </c>
      <c r="C501" s="5">
        <f t="shared" si="373"/>
        <v>-1.0000000000218279E-2</v>
      </c>
      <c r="D501" s="5">
        <f t="shared" si="376"/>
        <v>0</v>
      </c>
      <c r="E501" s="4">
        <f t="shared" si="374"/>
        <v>0.04</v>
      </c>
      <c r="F501" s="57" t="s">
        <v>51</v>
      </c>
      <c r="G501" s="58"/>
      <c r="H501" s="5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">
        <f t="shared" si="346"/>
        <v>11</v>
      </c>
      <c r="V501" s="2">
        <f t="shared" si="347"/>
        <v>240</v>
      </c>
    </row>
    <row r="502" spans="1:22" x14ac:dyDescent="0.3">
      <c r="A502" s="2">
        <f t="shared" si="345"/>
        <v>11241</v>
      </c>
      <c r="B502" s="5">
        <f t="shared" si="372"/>
        <v>-1.0000000000218279E-2</v>
      </c>
      <c r="C502" s="5">
        <f t="shared" si="373"/>
        <v>-1.0000000000218279E-2</v>
      </c>
      <c r="D502" s="5">
        <f t="shared" si="376"/>
        <v>0</v>
      </c>
      <c r="E502" s="4">
        <f t="shared" si="374"/>
        <v>0.05</v>
      </c>
      <c r="F502" s="21">
        <f>MAX(G502:H504)</f>
        <v>1.999999999998181E-2</v>
      </c>
      <c r="G502" s="4">
        <f>IF(C489="",0,ABS(C489-B489))</f>
        <v>9.9999999999909051E-3</v>
      </c>
      <c r="H502" s="4">
        <f>IF(F489="",0,ABS(F489-B489))</f>
        <v>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">
        <f t="shared" si="346"/>
        <v>11</v>
      </c>
      <c r="V502" s="2">
        <f t="shared" si="347"/>
        <v>241</v>
      </c>
    </row>
    <row r="503" spans="1:22" x14ac:dyDescent="0.3">
      <c r="A503" s="2">
        <f t="shared" si="345"/>
        <v>11242</v>
      </c>
      <c r="B503" s="5">
        <f t="shared" si="372"/>
        <v>0</v>
      </c>
      <c r="C503" s="5">
        <f t="shared" si="373"/>
        <v>0</v>
      </c>
      <c r="D503" s="5">
        <f t="shared" si="376"/>
        <v>0</v>
      </c>
      <c r="E503" s="4">
        <f t="shared" si="374"/>
        <v>0</v>
      </c>
      <c r="F503" s="4" t="s">
        <v>52</v>
      </c>
      <c r="G503" s="4">
        <f>IF(D489="",0,ABS(D489-B489))</f>
        <v>1.999999999998181E-2</v>
      </c>
      <c r="H503" s="4">
        <f>IF(G489="",0,ABS(G489-B489))</f>
        <v>9.9999999999909051E-3</v>
      </c>
      <c r="I503" s="1"/>
      <c r="J503" s="1"/>
      <c r="R503" s="1"/>
      <c r="S503" s="1"/>
      <c r="T503" s="1"/>
      <c r="U503" s="2">
        <f t="shared" si="346"/>
        <v>11</v>
      </c>
      <c r="V503" s="2">
        <f t="shared" si="347"/>
        <v>242</v>
      </c>
    </row>
    <row r="504" spans="1:22" x14ac:dyDescent="0.3">
      <c r="A504" s="2">
        <f t="shared" si="345"/>
        <v>11243</v>
      </c>
      <c r="B504" s="5">
        <f t="shared" si="372"/>
        <v>0</v>
      </c>
      <c r="C504" s="5">
        <f t="shared" si="373"/>
        <v>0</v>
      </c>
      <c r="D504" s="5">
        <f t="shared" si="376"/>
        <v>0</v>
      </c>
      <c r="E504" s="4">
        <f t="shared" si="374"/>
        <v>0</v>
      </c>
      <c r="F504" s="22">
        <f>IF(F502=0,0,F502/B489%)</f>
        <v>3.9999999999963624E-3</v>
      </c>
      <c r="G504" s="4">
        <f>IF(G489="",0,ABS(G489-B489))</f>
        <v>9.9999999999909051E-3</v>
      </c>
      <c r="H504" s="4">
        <f>IF(H489="",0,ABS(H489-B489))</f>
        <v>0</v>
      </c>
      <c r="I504" s="1"/>
      <c r="J504" s="1"/>
      <c r="R504" s="1"/>
      <c r="S504" s="1"/>
      <c r="T504" s="1"/>
      <c r="U504" s="2">
        <f t="shared" si="346"/>
        <v>11</v>
      </c>
      <c r="V504" s="2">
        <f t="shared" si="347"/>
        <v>243</v>
      </c>
    </row>
    <row r="505" spans="1:22" x14ac:dyDescent="0.3">
      <c r="A505" s="2">
        <f t="shared" si="345"/>
        <v>11244</v>
      </c>
      <c r="B505" s="5">
        <f t="shared" si="372"/>
        <v>0</v>
      </c>
      <c r="C505" s="5">
        <f t="shared" si="373"/>
        <v>0</v>
      </c>
      <c r="D505" s="5">
        <f t="shared" si="376"/>
        <v>0</v>
      </c>
      <c r="E505" s="4">
        <f t="shared" si="374"/>
        <v>0</v>
      </c>
      <c r="F505" s="1"/>
      <c r="G505" s="1"/>
      <c r="H505" s="1"/>
      <c r="I505" s="1"/>
      <c r="J505" s="1"/>
      <c r="R505" s="1"/>
      <c r="S505" s="1"/>
      <c r="T505" s="1"/>
      <c r="U505" s="2">
        <f t="shared" si="346"/>
        <v>11</v>
      </c>
      <c r="V505" s="2">
        <f t="shared" si="347"/>
        <v>244</v>
      </c>
    </row>
    <row r="506" spans="1:22" x14ac:dyDescent="0.3">
      <c r="A506" s="2">
        <f t="shared" si="345"/>
        <v>11245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">
        <f t="shared" si="346"/>
        <v>11</v>
      </c>
      <c r="V506" s="2">
        <f t="shared" si="347"/>
        <v>245</v>
      </c>
    </row>
    <row r="507" spans="1:22" s="20" customForma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 x14ac:dyDescent="0.3">
      <c r="A508" s="2">
        <f>ROUND(CONCATENATE(U508,V508),0)</f>
        <v>12201</v>
      </c>
      <c r="B508" s="63" t="s">
        <v>0</v>
      </c>
      <c r="C508" s="63"/>
      <c r="D508" s="71" t="s">
        <v>73</v>
      </c>
      <c r="E508" s="72"/>
      <c r="F508" s="72"/>
      <c r="G508" s="72"/>
      <c r="H508" s="7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">
        <f>U506+1</f>
        <v>12</v>
      </c>
      <c r="V508" s="2">
        <v>201</v>
      </c>
    </row>
    <row r="509" spans="1:22" x14ac:dyDescent="0.3">
      <c r="A509" s="2">
        <f t="shared" ref="A509:A552" si="380">ROUND(CONCATENATE(U509,V509),0)</f>
        <v>12202</v>
      </c>
      <c r="B509" s="12" t="s">
        <v>40</v>
      </c>
      <c r="C509" s="13"/>
      <c r="D509" s="16" t="s">
        <v>41</v>
      </c>
      <c r="E509" s="57" t="s">
        <v>39</v>
      </c>
      <c r="F509" s="57"/>
      <c r="G509" s="18">
        <v>9.9999999999999995E-7</v>
      </c>
      <c r="H509" s="15" t="str">
        <f>IF(D510="","",D509)</f>
        <v>g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">
        <f>U508</f>
        <v>12</v>
      </c>
      <c r="V509" s="2">
        <f>V508+1</f>
        <v>202</v>
      </c>
    </row>
    <row r="510" spans="1:22" x14ac:dyDescent="0.3">
      <c r="A510" s="2">
        <f t="shared" si="380"/>
        <v>12203</v>
      </c>
      <c r="B510" s="63" t="s">
        <v>1</v>
      </c>
      <c r="C510" s="63"/>
      <c r="D510" s="71" t="s">
        <v>119</v>
      </c>
      <c r="E510" s="72"/>
      <c r="F510" s="72"/>
      <c r="G510" s="72"/>
      <c r="H510" s="73"/>
      <c r="I510" s="1"/>
      <c r="J510" s="1"/>
      <c r="K510" s="1" t="s">
        <v>2</v>
      </c>
      <c r="L510" s="1" t="s">
        <v>3</v>
      </c>
      <c r="M510" s="1" t="s">
        <v>4</v>
      </c>
      <c r="N510" s="1" t="s">
        <v>5</v>
      </c>
      <c r="O510" s="1" t="s">
        <v>6</v>
      </c>
      <c r="P510" s="1" t="s">
        <v>7</v>
      </c>
      <c r="Q510" s="1" t="s">
        <v>8</v>
      </c>
      <c r="R510" s="1" t="s">
        <v>9</v>
      </c>
      <c r="S510" s="1" t="s">
        <v>10</v>
      </c>
      <c r="T510" s="1"/>
      <c r="U510" s="2">
        <f t="shared" ref="U510:U552" si="381">U509</f>
        <v>12</v>
      </c>
      <c r="V510" s="2">
        <f t="shared" ref="V510:V552" si="382">V509+1</f>
        <v>203</v>
      </c>
    </row>
    <row r="511" spans="1:22" x14ac:dyDescent="0.3">
      <c r="A511" s="2">
        <f t="shared" si="380"/>
        <v>12204</v>
      </c>
      <c r="B511" s="63" t="s">
        <v>11</v>
      </c>
      <c r="C511" s="63"/>
      <c r="D511" s="71" t="s">
        <v>75</v>
      </c>
      <c r="E511" s="72"/>
      <c r="F511" s="72"/>
      <c r="G511" s="72"/>
      <c r="H511" s="73"/>
      <c r="I511" s="1"/>
      <c r="J511" s="1">
        <f>COUNTA(B523:B532)</f>
        <v>9</v>
      </c>
      <c r="K511" s="1">
        <f t="shared" ref="K511" si="383">IF(L511-1&lt;2,0,L511-1)</f>
        <v>0</v>
      </c>
      <c r="L511" s="1">
        <f t="shared" ref="L511" si="384">IF(M511-1&lt;2,0,M511-1)</f>
        <v>2</v>
      </c>
      <c r="M511" s="1">
        <f t="shared" ref="M511" si="385">IF(N511-1&lt;2,0,N511-1)</f>
        <v>3</v>
      </c>
      <c r="N511" s="1">
        <f t="shared" ref="N511" si="386">IF(O511-1&lt;2,0,O511-1)</f>
        <v>4</v>
      </c>
      <c r="O511" s="1">
        <f t="shared" ref="O511" si="387">IF(P511-1&lt;2,0,P511-1)</f>
        <v>5</v>
      </c>
      <c r="P511" s="1">
        <f t="shared" ref="P511" si="388">IF(Q511-1&lt;2,0,Q511-1)</f>
        <v>6</v>
      </c>
      <c r="Q511" s="1">
        <f t="shared" ref="Q511" si="389">IF(R511-1&lt;2,0,R511-1)</f>
        <v>7</v>
      </c>
      <c r="R511" s="1">
        <f>IF(S511-1&lt;2,0,S511-1)</f>
        <v>8</v>
      </c>
      <c r="S511" s="1">
        <f>J511</f>
        <v>9</v>
      </c>
      <c r="T511" s="1"/>
      <c r="U511" s="2">
        <f t="shared" si="381"/>
        <v>12</v>
      </c>
      <c r="V511" s="2">
        <f t="shared" si="382"/>
        <v>204</v>
      </c>
    </row>
    <row r="512" spans="1:22" x14ac:dyDescent="0.3">
      <c r="A512" s="2">
        <f t="shared" si="380"/>
        <v>12205</v>
      </c>
      <c r="B512" s="63" t="s">
        <v>12</v>
      </c>
      <c r="C512" s="63"/>
      <c r="D512" s="71" t="s">
        <v>43</v>
      </c>
      <c r="E512" s="72"/>
      <c r="F512" s="72"/>
      <c r="G512" s="72"/>
      <c r="H512" s="73"/>
      <c r="I512" s="1"/>
      <c r="J512" s="2" t="str">
        <f>CONCATENATE(J511,1)</f>
        <v>91</v>
      </c>
      <c r="K512" s="3">
        <f>IF(K511=0,0,VLOOKUP(J512,J516:S546,K511,FALSE))</f>
        <v>0</v>
      </c>
      <c r="L512" s="3">
        <f>IF(L511=0,0,VLOOKUP(J512,J516:S546,L511,FALSE))</f>
        <v>-1.3902387276167041E-8</v>
      </c>
      <c r="M512" s="3">
        <f>IF(M511=0,0,VLOOKUP(J512,J516:S546,M511,FALSE))</f>
        <v>5.4258377978662005E-7</v>
      </c>
      <c r="N512" s="3">
        <f>IF(N511=0,0,VLOOKUP(J512,J516:S546,N511,FALSE))</f>
        <v>-6.8908456576051509E-6</v>
      </c>
      <c r="O512" s="3">
        <f>IF(O511=0,0,VLOOKUP(J512,J516:S546,O511,FALSE))</f>
        <v>3.5807745157331792E-5</v>
      </c>
      <c r="P512" s="3">
        <f>IF(P511=0,0,VLOOKUP(J512,J516:S546,P511,FALSE))</f>
        <v>-7.9793346809568097E-5</v>
      </c>
      <c r="Q512" s="3">
        <f>IF(Q511=0,0,VLOOKUP(J512,J516:S546,Q511,FALSE))</f>
        <v>7.5215045022309669E-5</v>
      </c>
      <c r="R512" s="3">
        <f>IF(R511=0,0,VLOOKUP(J512,J516:S546,R511,FALSE))</f>
        <v>0.99997199071055853</v>
      </c>
      <c r="S512" s="3">
        <f>IF(S511=0,0,VLOOKUP(J512,J516:S546,S511,FALSE))</f>
        <v>-8.5763600110588811E-7</v>
      </c>
      <c r="T512" s="1"/>
      <c r="U512" s="2">
        <f t="shared" si="381"/>
        <v>12</v>
      </c>
      <c r="V512" s="2">
        <f t="shared" si="382"/>
        <v>205</v>
      </c>
    </row>
    <row r="513" spans="1:22" x14ac:dyDescent="0.3">
      <c r="A513" s="2">
        <f t="shared" si="380"/>
        <v>12206</v>
      </c>
      <c r="B513" s="63" t="s">
        <v>13</v>
      </c>
      <c r="C513" s="63"/>
      <c r="D513" s="74" t="s">
        <v>120</v>
      </c>
      <c r="E513" s="72"/>
      <c r="F513" s="72"/>
      <c r="G513" s="72"/>
      <c r="H513" s="73"/>
      <c r="I513" s="1"/>
      <c r="J513" s="2" t="str">
        <f>CONCATENATE(J511,2)</f>
        <v>92</v>
      </c>
      <c r="K513" s="4">
        <f>IF(K511=0,0,VLOOKUP(J513,J516:S546,K511,FALSE))</f>
        <v>0</v>
      </c>
      <c r="L513" s="4">
        <f>IF(L511=0,0,VLOOKUP(J513,J516:S546,L511,FALSE))</f>
        <v>3.4246697219246672E-9</v>
      </c>
      <c r="M513" s="4">
        <f>IF(M511=0,0,VLOOKUP(J513,J516:S546,M511,FALSE))</f>
        <v>1.3159934282896879E-7</v>
      </c>
      <c r="N513" s="4">
        <f>IF(N511=0,0,VLOOKUP(J513,J516:S546,N511,FALSE))</f>
        <v>1.6208657318713764E-6</v>
      </c>
      <c r="O513" s="4">
        <f>IF(O511=0,0,VLOOKUP(J513,J516:S546,O511,FALSE))</f>
        <v>7.9372529586588062E-6</v>
      </c>
      <c r="P513" s="4">
        <f>IF(P511=0,0,VLOOKUP(J513,J516:S546,P511,FALSE))</f>
        <v>1.5870441045493071E-5</v>
      </c>
      <c r="Q513" s="4">
        <f>IF(Q511=0,0,VLOOKUP(J513,J516:S546,Q511,FALSE))</f>
        <v>1.2642117000616769E-5</v>
      </c>
      <c r="R513" s="4">
        <f>IF(R511=0,0,VLOOKUP(J513,J516:S546,R511,FALSE))</f>
        <v>3.3826794999164254E-6</v>
      </c>
      <c r="S513" s="4">
        <f>IF(S511=0,0,VLOOKUP(J513,J516:S546,S511,FALSE))</f>
        <v>1.3452373502379867E-7</v>
      </c>
      <c r="T513" s="1"/>
      <c r="U513" s="2">
        <f t="shared" si="381"/>
        <v>12</v>
      </c>
      <c r="V513" s="2">
        <f t="shared" si="382"/>
        <v>206</v>
      </c>
    </row>
    <row r="514" spans="1:22" x14ac:dyDescent="0.3">
      <c r="A514" s="2">
        <f t="shared" si="380"/>
        <v>12207</v>
      </c>
      <c r="B514" s="63" t="s">
        <v>14</v>
      </c>
      <c r="C514" s="63"/>
      <c r="D514" s="75">
        <v>45471</v>
      </c>
      <c r="E514" s="76"/>
      <c r="F514" s="76"/>
      <c r="G514" s="76"/>
      <c r="H514" s="77"/>
      <c r="I514" s="1"/>
      <c r="J514" s="2" t="str">
        <f>CONCATENATE(J511,3)</f>
        <v>93</v>
      </c>
      <c r="K514" s="4"/>
      <c r="L514" s="4"/>
      <c r="M514" s="4"/>
      <c r="N514" s="4" t="s">
        <v>15</v>
      </c>
      <c r="O514" s="3">
        <f>J511-2</f>
        <v>7</v>
      </c>
      <c r="P514" s="4" t="s">
        <v>16</v>
      </c>
      <c r="Q514" s="3">
        <f>VLOOKUP(J514,J516:S546,3,FALSE)</f>
        <v>1.7427025734753864E-7</v>
      </c>
      <c r="R514" s="4" t="s">
        <v>17</v>
      </c>
      <c r="S514" s="4">
        <f>VLOOKUP(J514,J516:S546,2,FALSE)</f>
        <v>0.99999999999999989</v>
      </c>
      <c r="T514" s="1"/>
      <c r="U514" s="2">
        <f t="shared" si="381"/>
        <v>12</v>
      </c>
      <c r="V514" s="2">
        <f t="shared" si="382"/>
        <v>207</v>
      </c>
    </row>
    <row r="515" spans="1:22" x14ac:dyDescent="0.3">
      <c r="A515" s="2">
        <f t="shared" si="380"/>
        <v>12208</v>
      </c>
      <c r="B515" s="63" t="s">
        <v>18</v>
      </c>
      <c r="C515" s="63"/>
      <c r="D515" s="64">
        <v>45838</v>
      </c>
      <c r="E515" s="65"/>
      <c r="F515" s="65"/>
      <c r="G515" s="65"/>
      <c r="H515" s="66"/>
      <c r="I515" s="1"/>
      <c r="J515" s="1"/>
      <c r="K515" s="1">
        <v>3</v>
      </c>
      <c r="L515" s="1">
        <v>3</v>
      </c>
      <c r="M515" s="1"/>
      <c r="N515" s="1"/>
      <c r="O515" s="1"/>
      <c r="P515" s="1"/>
      <c r="Q515" s="1"/>
      <c r="R515" s="1"/>
      <c r="S515" s="1"/>
      <c r="T515" s="1"/>
      <c r="U515" s="2">
        <f t="shared" si="381"/>
        <v>12</v>
      </c>
      <c r="V515" s="2">
        <f t="shared" si="382"/>
        <v>208</v>
      </c>
    </row>
    <row r="516" spans="1:22" x14ac:dyDescent="0.3">
      <c r="A516" s="2">
        <f t="shared" si="380"/>
        <v>12209</v>
      </c>
      <c r="B516" s="67" t="s">
        <v>19</v>
      </c>
      <c r="C516" s="63"/>
      <c r="D516" s="5">
        <f>IF(D509="","",MIN(B523:B532))</f>
        <v>1E-3</v>
      </c>
      <c r="E516" s="6" t="s">
        <v>20</v>
      </c>
      <c r="F516" s="5">
        <f>IF(D509="","",MAX(B523:B532))</f>
        <v>20</v>
      </c>
      <c r="G516" s="7" t="str">
        <f>IF(D510="","",H509)</f>
        <v>g</v>
      </c>
      <c r="H516" s="14"/>
      <c r="I516" s="1"/>
      <c r="J516" s="2" t="str">
        <f>CONCATENATE(K515,1)</f>
        <v>31</v>
      </c>
      <c r="K516" s="4">
        <f t="array" ref="K516:L518">LINEST(B523:B525,C523:C525^{1},TRUE,TRUE)</f>
        <v>0.9999789794178473</v>
      </c>
      <c r="L516" s="4">
        <v>-8.8887009271065853E-7</v>
      </c>
      <c r="M516" s="1"/>
      <c r="N516" s="1"/>
      <c r="O516" s="1"/>
      <c r="P516" s="1"/>
      <c r="Q516" s="1"/>
      <c r="R516" s="1"/>
      <c r="S516" s="1"/>
      <c r="T516" s="1"/>
      <c r="U516" s="2">
        <f t="shared" si="381"/>
        <v>12</v>
      </c>
      <c r="V516" s="2">
        <f t="shared" si="382"/>
        <v>209</v>
      </c>
    </row>
    <row r="517" spans="1:22" x14ac:dyDescent="0.3">
      <c r="A517" s="2">
        <f t="shared" si="380"/>
        <v>12210</v>
      </c>
      <c r="B517" s="1"/>
      <c r="C517" s="1"/>
      <c r="D517" s="1"/>
      <c r="E517" s="1"/>
      <c r="F517" s="1"/>
      <c r="G517" s="1"/>
      <c r="H517" s="1"/>
      <c r="I517" s="1"/>
      <c r="J517" s="2" t="str">
        <f>CONCATENATE(K515,2)</f>
        <v>32</v>
      </c>
      <c r="K517" s="4">
        <v>1.7337117023338154E-6</v>
      </c>
      <c r="L517" s="4">
        <v>1.0060320350184539E-7</v>
      </c>
      <c r="M517" s="1"/>
      <c r="N517" s="1"/>
      <c r="O517" s="1"/>
      <c r="P517" s="1"/>
      <c r="Q517" s="1"/>
      <c r="R517" s="1"/>
      <c r="S517" s="1"/>
      <c r="T517" s="1"/>
      <c r="U517" s="2">
        <f t="shared" si="381"/>
        <v>12</v>
      </c>
      <c r="V517" s="2">
        <f t="shared" si="382"/>
        <v>210</v>
      </c>
    </row>
    <row r="518" spans="1:22" x14ac:dyDescent="0.3">
      <c r="A518" s="2">
        <f t="shared" si="380"/>
        <v>12211</v>
      </c>
      <c r="B518" s="68" t="s">
        <v>21</v>
      </c>
      <c r="C518" s="68"/>
      <c r="D518" s="68"/>
      <c r="E518" s="68"/>
      <c r="F518" s="68"/>
      <c r="G518" s="69" t="s">
        <v>22</v>
      </c>
      <c r="H518" s="70"/>
      <c r="I518" s="1"/>
      <c r="J518" s="2" t="str">
        <f>CONCATENATE(K515,3)</f>
        <v>33</v>
      </c>
      <c r="K518" s="4">
        <v>0.99999999999699418</v>
      </c>
      <c r="L518" s="4">
        <v>1.3422838940346793E-7</v>
      </c>
      <c r="M518" s="1"/>
      <c r="N518" s="1"/>
      <c r="O518" s="1"/>
      <c r="P518" s="1"/>
      <c r="Q518" s="1"/>
      <c r="R518" s="1"/>
      <c r="S518" s="1"/>
      <c r="T518" s="1"/>
      <c r="U518" s="2">
        <f t="shared" si="381"/>
        <v>12</v>
      </c>
      <c r="V518" s="2">
        <f t="shared" si="382"/>
        <v>211</v>
      </c>
    </row>
    <row r="519" spans="1:22" x14ac:dyDescent="0.3">
      <c r="A519" s="2">
        <f t="shared" si="380"/>
        <v>12212</v>
      </c>
      <c r="B519" s="61" t="s">
        <v>23</v>
      </c>
      <c r="C519" s="61"/>
      <c r="D519" s="61"/>
      <c r="E519" s="61" t="str">
        <f>D513</f>
        <v>E0233/24</v>
      </c>
      <c r="F519" s="61"/>
      <c r="G519" s="4" t="s">
        <v>24</v>
      </c>
      <c r="H519" s="31" t="s">
        <v>121</v>
      </c>
      <c r="I519" s="1"/>
      <c r="J519" s="1"/>
      <c r="K519" s="1">
        <v>4</v>
      </c>
      <c r="L519" s="1">
        <v>4</v>
      </c>
      <c r="M519" s="1">
        <v>4</v>
      </c>
      <c r="N519" s="1"/>
      <c r="O519" s="1"/>
      <c r="P519" s="1"/>
      <c r="Q519" s="1"/>
      <c r="R519" s="1"/>
      <c r="S519" s="1"/>
      <c r="T519" s="1"/>
      <c r="U519" s="2">
        <f t="shared" si="381"/>
        <v>12</v>
      </c>
      <c r="V519" s="2">
        <f t="shared" si="382"/>
        <v>212</v>
      </c>
    </row>
    <row r="520" spans="1:22" ht="15" customHeight="1" x14ac:dyDescent="0.3">
      <c r="A520" s="2">
        <f t="shared" si="380"/>
        <v>12213</v>
      </c>
      <c r="B520" s="59" t="s">
        <v>25</v>
      </c>
      <c r="C520" s="59" t="s">
        <v>26</v>
      </c>
      <c r="D520" s="59" t="s">
        <v>27</v>
      </c>
      <c r="E520" s="59" t="s">
        <v>28</v>
      </c>
      <c r="F520" s="59" t="s">
        <v>29</v>
      </c>
      <c r="G520" s="59" t="s">
        <v>25</v>
      </c>
      <c r="H520" s="59" t="s">
        <v>26</v>
      </c>
      <c r="I520" s="1"/>
      <c r="J520" s="2" t="str">
        <f t="shared" ref="J520" si="390">CONCATENATE(K519,1)</f>
        <v>41</v>
      </c>
      <c r="K520" s="4">
        <f t="array" ref="K520:M522">LINEST(B523:B526,C523:C526^{1,2},TRUE,TRUE)</f>
        <v>3.7247142746697273E-5</v>
      </c>
      <c r="L520" s="4">
        <v>0.99997511788173177</v>
      </c>
      <c r="M520" s="4">
        <v>-8.7124825799390025E-7</v>
      </c>
      <c r="N520" s="1"/>
      <c r="O520" s="1"/>
      <c r="P520" s="1"/>
      <c r="Q520" s="1"/>
      <c r="R520" s="1"/>
      <c r="S520" s="1"/>
      <c r="T520" s="1"/>
      <c r="U520" s="2">
        <f t="shared" si="381"/>
        <v>12</v>
      </c>
      <c r="V520" s="2">
        <f t="shared" si="382"/>
        <v>213</v>
      </c>
    </row>
    <row r="521" spans="1:22" x14ac:dyDescent="0.3">
      <c r="A521" s="2">
        <f t="shared" si="380"/>
        <v>12214</v>
      </c>
      <c r="B521" s="60"/>
      <c r="C521" s="60"/>
      <c r="D521" s="60"/>
      <c r="E521" s="60"/>
      <c r="F521" s="60"/>
      <c r="G521" s="60"/>
      <c r="H521" s="60"/>
      <c r="I521" s="1"/>
      <c r="J521" s="2" t="str">
        <f t="shared" ref="J521" si="391">CONCATENATE(K519,2)</f>
        <v>42</v>
      </c>
      <c r="K521" s="4">
        <v>4.8097329682974035E-6</v>
      </c>
      <c r="L521" s="4">
        <v>2.5174510256078077E-6</v>
      </c>
      <c r="M521" s="4">
        <v>1.1867213270449804E-7</v>
      </c>
      <c r="N521" s="1"/>
      <c r="O521" s="1"/>
      <c r="P521" s="1"/>
      <c r="Q521" s="1"/>
      <c r="R521" s="1"/>
      <c r="S521" s="1"/>
      <c r="T521" s="1"/>
      <c r="U521" s="2">
        <f t="shared" si="381"/>
        <v>12</v>
      </c>
      <c r="V521" s="2">
        <f t="shared" si="382"/>
        <v>214</v>
      </c>
    </row>
    <row r="522" spans="1:22" x14ac:dyDescent="0.3">
      <c r="A522" s="2">
        <f t="shared" si="380"/>
        <v>12215</v>
      </c>
      <c r="B522" s="9" t="str">
        <f>CONCATENATE("(",H509,")")</f>
        <v>(g)</v>
      </c>
      <c r="C522" s="9" t="str">
        <f>B522</f>
        <v>(g)</v>
      </c>
      <c r="D522" s="9" t="str">
        <f>C522</f>
        <v>(g)</v>
      </c>
      <c r="E522" s="9"/>
      <c r="F522" s="9"/>
      <c r="G522" s="9" t="str">
        <f>B522</f>
        <v>(g)</v>
      </c>
      <c r="H522" s="9" t="str">
        <f>G522</f>
        <v>(g)</v>
      </c>
      <c r="I522" s="1"/>
      <c r="J522" s="2" t="str">
        <f t="shared" ref="J522" si="392">CONCATENATE(K519,3)</f>
        <v>43</v>
      </c>
      <c r="K522" s="4">
        <v>0.99999999999985301</v>
      </c>
      <c r="L522" s="4">
        <v>1.5652908774815507E-7</v>
      </c>
      <c r="M522" s="4" t="e">
        <v>#N/A</v>
      </c>
      <c r="N522" s="1"/>
      <c r="O522" s="1"/>
      <c r="P522" s="1"/>
      <c r="Q522" s="1"/>
      <c r="R522" s="1"/>
      <c r="S522" s="1"/>
      <c r="T522" s="1"/>
      <c r="U522" s="2">
        <f t="shared" si="381"/>
        <v>12</v>
      </c>
      <c r="V522" s="2">
        <f t="shared" si="382"/>
        <v>215</v>
      </c>
    </row>
    <row r="523" spans="1:22" x14ac:dyDescent="0.3">
      <c r="A523" s="2">
        <f t="shared" si="380"/>
        <v>12216</v>
      </c>
      <c r="B523" s="10">
        <v>1E-3</v>
      </c>
      <c r="C523" s="10">
        <v>1.0009999999999999E-3</v>
      </c>
      <c r="D523" s="10">
        <v>3.9999999999999998E-6</v>
      </c>
      <c r="E523" s="10">
        <v>2</v>
      </c>
      <c r="F523" s="10">
        <v>1000000</v>
      </c>
      <c r="G523" s="10">
        <v>1E-3</v>
      </c>
      <c r="H523" s="8">
        <v>1.003E-3</v>
      </c>
      <c r="I523" s="1"/>
      <c r="J523" s="1"/>
      <c r="K523" s="1">
        <v>5</v>
      </c>
      <c r="L523" s="1">
        <v>5</v>
      </c>
      <c r="M523" s="1">
        <v>5</v>
      </c>
      <c r="N523" s="1">
        <v>5</v>
      </c>
      <c r="O523" s="1"/>
      <c r="P523" s="1"/>
      <c r="Q523" s="1"/>
      <c r="R523" s="1"/>
      <c r="S523" s="1"/>
      <c r="T523" s="1"/>
      <c r="U523" s="2">
        <f t="shared" si="381"/>
        <v>12</v>
      </c>
      <c r="V523" s="2">
        <f t="shared" si="382"/>
        <v>216</v>
      </c>
    </row>
    <row r="524" spans="1:22" x14ac:dyDescent="0.3">
      <c r="A524" s="2">
        <f t="shared" si="380"/>
        <v>12217</v>
      </c>
      <c r="B524" s="10">
        <v>0.01</v>
      </c>
      <c r="C524" s="10">
        <v>1.0000999999999999E-2</v>
      </c>
      <c r="D524" s="10">
        <v>7.9999999999999996E-6</v>
      </c>
      <c r="E524" s="10">
        <v>2</v>
      </c>
      <c r="F524" s="10">
        <v>1000000</v>
      </c>
      <c r="G524" s="10">
        <v>0.01</v>
      </c>
      <c r="H524" s="8">
        <v>1.0003E-2</v>
      </c>
      <c r="I524" s="1"/>
      <c r="J524" s="2" t="str">
        <f t="shared" ref="J524" si="393">CONCATENATE(K523,1)</f>
        <v>51</v>
      </c>
      <c r="K524" s="4">
        <f t="array" ref="K524:N526">LINEST(B523:B527,C523:C527^{1,2,3},TRUE,TRUE)</f>
        <v>-3.4520141491655538E-5</v>
      </c>
      <c r="L524" s="4">
        <v>5.8057925943994564E-5</v>
      </c>
      <c r="M524" s="4">
        <v>0.99997332573350473</v>
      </c>
      <c r="N524" s="4">
        <v>-8.6335169275468662E-7</v>
      </c>
      <c r="O524" s="1"/>
      <c r="P524" s="1"/>
      <c r="Q524" s="1"/>
      <c r="R524" s="1"/>
      <c r="S524" s="1"/>
      <c r="T524" s="1"/>
      <c r="U524" s="2">
        <f t="shared" si="381"/>
        <v>12</v>
      </c>
      <c r="V524" s="2">
        <f t="shared" si="382"/>
        <v>217</v>
      </c>
    </row>
    <row r="525" spans="1:22" x14ac:dyDescent="0.3">
      <c r="A525" s="2">
        <f t="shared" si="380"/>
        <v>12218</v>
      </c>
      <c r="B525" s="10">
        <v>0.1</v>
      </c>
      <c r="C525" s="10">
        <v>0.10000299999999999</v>
      </c>
      <c r="D525" s="10">
        <v>7.9999999999999996E-6</v>
      </c>
      <c r="E525" s="10">
        <v>2</v>
      </c>
      <c r="F525" s="10">
        <v>1000000</v>
      </c>
      <c r="G525" s="10">
        <v>0.1</v>
      </c>
      <c r="H525" s="8">
        <v>0.10000299999999999</v>
      </c>
      <c r="I525" s="1"/>
      <c r="J525" s="2" t="str">
        <f t="shared" ref="J525" si="394">CONCATENATE(K523,2)</f>
        <v>52</v>
      </c>
      <c r="K525" s="4">
        <v>5.7458078853747746E-6</v>
      </c>
      <c r="L525" s="4">
        <v>8.5709352907623079E-6</v>
      </c>
      <c r="M525" s="4">
        <v>2.9720190398887771E-6</v>
      </c>
      <c r="N525" s="4">
        <v>1.2713983877567257E-7</v>
      </c>
      <c r="O525" s="1"/>
      <c r="P525" s="1"/>
      <c r="Q525" s="1"/>
      <c r="R525" s="1"/>
      <c r="S525" s="1"/>
      <c r="T525" s="1"/>
      <c r="U525" s="2">
        <f t="shared" si="381"/>
        <v>12</v>
      </c>
      <c r="V525" s="2">
        <f t="shared" si="382"/>
        <v>218</v>
      </c>
    </row>
    <row r="526" spans="1:22" x14ac:dyDescent="0.3">
      <c r="A526" s="2">
        <f t="shared" si="380"/>
        <v>12219</v>
      </c>
      <c r="B526" s="10">
        <v>0.5</v>
      </c>
      <c r="C526" s="10">
        <v>0.500004</v>
      </c>
      <c r="D526" s="10">
        <v>3.0000000000000001E-5</v>
      </c>
      <c r="E526" s="10">
        <v>2</v>
      </c>
      <c r="F526" s="10">
        <v>1000000</v>
      </c>
      <c r="G526" s="10">
        <v>0.5</v>
      </c>
      <c r="H526" s="8">
        <v>0.50000299999999998</v>
      </c>
      <c r="I526" s="1"/>
      <c r="J526" s="2" t="str">
        <f t="shared" ref="J526" si="395">CONCATENATE(K523,3)</f>
        <v>53</v>
      </c>
      <c r="K526" s="4">
        <v>0.99999999999996259</v>
      </c>
      <c r="L526" s="4">
        <v>1.6672380349399213E-7</v>
      </c>
      <c r="M526" s="4" t="e">
        <v>#N/A</v>
      </c>
      <c r="N526" s="4" t="e">
        <v>#N/A</v>
      </c>
      <c r="O526" s="1"/>
      <c r="P526" s="1"/>
      <c r="Q526" s="1"/>
      <c r="R526" s="1"/>
      <c r="S526" s="1"/>
      <c r="T526" s="1"/>
      <c r="U526" s="2">
        <f t="shared" si="381"/>
        <v>12</v>
      </c>
      <c r="V526" s="2">
        <f t="shared" si="382"/>
        <v>219</v>
      </c>
    </row>
    <row r="527" spans="1:22" x14ac:dyDescent="0.3">
      <c r="A527" s="2">
        <f t="shared" si="380"/>
        <v>12220</v>
      </c>
      <c r="B527" s="10">
        <v>1</v>
      </c>
      <c r="C527" s="10">
        <v>1.0000039999999999</v>
      </c>
      <c r="D527" s="10">
        <v>1.1E-5</v>
      </c>
      <c r="E527" s="10">
        <v>2</v>
      </c>
      <c r="F527" s="10">
        <v>1000000</v>
      </c>
      <c r="G527" s="10">
        <v>1</v>
      </c>
      <c r="H527" s="8">
        <v>1</v>
      </c>
      <c r="I527" s="1"/>
      <c r="J527" s="1"/>
      <c r="K527" s="1">
        <v>6</v>
      </c>
      <c r="L527" s="1">
        <v>6</v>
      </c>
      <c r="M527" s="1">
        <v>6</v>
      </c>
      <c r="N527" s="1">
        <v>6</v>
      </c>
      <c r="O527" s="1">
        <v>6</v>
      </c>
      <c r="P527" s="1"/>
      <c r="Q527" s="1"/>
      <c r="R527" s="1"/>
      <c r="S527" s="1"/>
      <c r="T527" s="1"/>
      <c r="U527" s="2">
        <f t="shared" si="381"/>
        <v>12</v>
      </c>
      <c r="V527" s="2">
        <f t="shared" si="382"/>
        <v>220</v>
      </c>
    </row>
    <row r="528" spans="1:22" x14ac:dyDescent="0.3">
      <c r="A528" s="2">
        <f t="shared" si="380"/>
        <v>12221</v>
      </c>
      <c r="B528" s="10">
        <v>2</v>
      </c>
      <c r="C528" s="10">
        <v>2.0000089999999999</v>
      </c>
      <c r="D528" s="10">
        <v>1.4E-5</v>
      </c>
      <c r="E528" s="10">
        <v>2</v>
      </c>
      <c r="F528" s="10">
        <v>1000000</v>
      </c>
      <c r="G528" s="10">
        <v>2</v>
      </c>
      <c r="H528" s="8">
        <v>2.0000040000000001</v>
      </c>
      <c r="I528" s="1"/>
      <c r="J528" s="2" t="str">
        <f t="shared" ref="J528" si="396">CONCATENATE(K527,1)</f>
        <v>61</v>
      </c>
      <c r="K528" s="4">
        <f t="array" ref="K528:O530">LINEST(B523:B528,C523:C528^{1,2,3,4},TRUE,TRUE)</f>
        <v>1.5653824362487565E-5</v>
      </c>
      <c r="L528" s="4">
        <v>-5.9599478414356257E-5</v>
      </c>
      <c r="M528" s="4">
        <v>6.8291337390314621E-5</v>
      </c>
      <c r="N528" s="4">
        <v>0.99997251442660029</v>
      </c>
      <c r="O528" s="4">
        <v>-8.5985675554653949E-7</v>
      </c>
      <c r="P528" s="1"/>
      <c r="Q528" s="1"/>
      <c r="R528" s="1"/>
      <c r="S528" s="1"/>
      <c r="T528" s="1"/>
      <c r="U528" s="2">
        <f t="shared" si="381"/>
        <v>12</v>
      </c>
      <c r="V528" s="2">
        <f t="shared" si="382"/>
        <v>221</v>
      </c>
    </row>
    <row r="529" spans="1:22" x14ac:dyDescent="0.3">
      <c r="A529" s="2">
        <f t="shared" si="380"/>
        <v>12222</v>
      </c>
      <c r="B529" s="10">
        <v>5</v>
      </c>
      <c r="C529" s="10">
        <v>4.9999969999999996</v>
      </c>
      <c r="D529" s="10">
        <v>2.1999999999999999E-5</v>
      </c>
      <c r="E529" s="10">
        <v>2</v>
      </c>
      <c r="F529" s="10">
        <v>1000000</v>
      </c>
      <c r="G529" s="10">
        <v>5</v>
      </c>
      <c r="H529" s="8">
        <v>4.9999979999999997</v>
      </c>
      <c r="I529" s="1"/>
      <c r="J529" s="2" t="str">
        <f t="shared" ref="J529" si="397">CONCATENATE(K527,2)</f>
        <v>62</v>
      </c>
      <c r="K529" s="4">
        <v>3.1746545541081589E-6</v>
      </c>
      <c r="L529" s="4">
        <v>1.0983784178873019E-5</v>
      </c>
      <c r="M529" s="4">
        <v>1.0862287031608922E-5</v>
      </c>
      <c r="N529" s="4">
        <v>3.2114951295816911E-6</v>
      </c>
      <c r="O529" s="4">
        <v>1.3102552190327507E-7</v>
      </c>
      <c r="P529" s="1"/>
      <c r="Q529" s="1"/>
      <c r="R529" s="1"/>
      <c r="S529" s="1"/>
      <c r="T529" s="1"/>
      <c r="U529" s="2">
        <f t="shared" si="381"/>
        <v>12</v>
      </c>
      <c r="V529" s="2">
        <f t="shared" si="382"/>
        <v>222</v>
      </c>
    </row>
    <row r="530" spans="1:22" x14ac:dyDescent="0.3">
      <c r="A530" s="2">
        <f t="shared" si="380"/>
        <v>12223</v>
      </c>
      <c r="B530" s="10">
        <v>10</v>
      </c>
      <c r="C530" s="10">
        <v>10</v>
      </c>
      <c r="D530" s="10">
        <v>3.6999999999999998E-5</v>
      </c>
      <c r="E530" s="10">
        <v>2</v>
      </c>
      <c r="F530" s="10">
        <v>1000000</v>
      </c>
      <c r="G530" s="10">
        <v>10</v>
      </c>
      <c r="H530" s="8">
        <v>10</v>
      </c>
      <c r="I530" s="1"/>
      <c r="J530" s="2" t="str">
        <f t="shared" ref="J530" si="398">CONCATENATE(K527,3)</f>
        <v>63</v>
      </c>
      <c r="K530" s="4">
        <v>0.99999999999999045</v>
      </c>
      <c r="L530" s="4">
        <v>1.7131401635464224E-7</v>
      </c>
      <c r="M530" s="4" t="e">
        <v>#N/A</v>
      </c>
      <c r="N530" s="4" t="e">
        <v>#N/A</v>
      </c>
      <c r="O530" s="4" t="e">
        <v>#N/A</v>
      </c>
      <c r="P530" s="1"/>
      <c r="Q530" s="1"/>
      <c r="R530" s="1"/>
      <c r="S530" s="1"/>
      <c r="T530" s="1"/>
      <c r="U530" s="2">
        <f t="shared" si="381"/>
        <v>12</v>
      </c>
      <c r="V530" s="2">
        <f t="shared" si="382"/>
        <v>223</v>
      </c>
    </row>
    <row r="531" spans="1:22" x14ac:dyDescent="0.3">
      <c r="A531" s="2">
        <f t="shared" si="380"/>
        <v>12224</v>
      </c>
      <c r="B531" s="10">
        <v>20</v>
      </c>
      <c r="C531" s="10">
        <v>19.999976</v>
      </c>
      <c r="D531" s="10">
        <v>7.3999999999999996E-5</v>
      </c>
      <c r="E531" s="10">
        <v>2</v>
      </c>
      <c r="F531" s="10">
        <v>1000000</v>
      </c>
      <c r="G531" s="10">
        <v>20</v>
      </c>
      <c r="H531" s="8">
        <v>19.999995999999999</v>
      </c>
      <c r="I531" s="1"/>
      <c r="J531" s="1"/>
      <c r="K531" s="1">
        <v>7</v>
      </c>
      <c r="L531" s="1">
        <v>7</v>
      </c>
      <c r="M531" s="1">
        <v>7</v>
      </c>
      <c r="N531" s="1">
        <v>7</v>
      </c>
      <c r="O531" s="1">
        <v>7</v>
      </c>
      <c r="P531" s="1">
        <v>7</v>
      </c>
      <c r="Q531" s="1"/>
      <c r="R531" s="1"/>
      <c r="S531" s="1"/>
      <c r="T531" s="1"/>
      <c r="U531" s="2">
        <f t="shared" si="381"/>
        <v>12</v>
      </c>
      <c r="V531" s="2">
        <f t="shared" si="382"/>
        <v>224</v>
      </c>
    </row>
    <row r="532" spans="1:22" x14ac:dyDescent="0.3">
      <c r="A532" s="2">
        <f t="shared" si="380"/>
        <v>12225</v>
      </c>
      <c r="B532" s="10"/>
      <c r="C532" s="10"/>
      <c r="D532" s="10"/>
      <c r="E532" s="10"/>
      <c r="F532" s="10"/>
      <c r="G532" s="8"/>
      <c r="H532" s="8"/>
      <c r="I532" s="1"/>
      <c r="J532" s="2" t="str">
        <f t="shared" ref="J532" si="399">CONCATENATE(K531,1)</f>
        <v>71</v>
      </c>
      <c r="K532" s="4">
        <f t="array" ref="K532:P534">LINEST(B523:B529,C523:C529^{1,2,3,4,5},TRUE,TRUE)</f>
        <v>-2.9485251867913493E-6</v>
      </c>
      <c r="L532" s="4">
        <v>2.6273309768140362E-5</v>
      </c>
      <c r="M532" s="4">
        <v>-7.0969872726202576E-5</v>
      </c>
      <c r="N532" s="4">
        <v>7.2294668560830946E-5</v>
      </c>
      <c r="O532" s="4">
        <v>0.99997220928478936</v>
      </c>
      <c r="P532" s="4">
        <v>-8.5855868620305156E-7</v>
      </c>
      <c r="Q532" s="1"/>
      <c r="R532" s="1"/>
      <c r="S532" s="1"/>
      <c r="T532" s="1"/>
      <c r="U532" s="2">
        <f t="shared" si="381"/>
        <v>12</v>
      </c>
      <c r="V532" s="2">
        <f t="shared" si="382"/>
        <v>225</v>
      </c>
    </row>
    <row r="533" spans="1:22" x14ac:dyDescent="0.3">
      <c r="A533" s="2">
        <f t="shared" si="380"/>
        <v>12226</v>
      </c>
      <c r="B533" s="61" t="s">
        <v>44</v>
      </c>
      <c r="C533" s="61"/>
      <c r="D533" s="61"/>
      <c r="E533" s="61"/>
      <c r="F533" s="61"/>
      <c r="G533" s="61"/>
      <c r="H533" s="61"/>
      <c r="I533" s="1"/>
      <c r="J533" s="2" t="str">
        <f t="shared" ref="J533" si="400">CONCATENATE(K531,2)</f>
        <v>72</v>
      </c>
      <c r="K533" s="4">
        <v>6.6256416722923787E-7</v>
      </c>
      <c r="L533" s="4">
        <v>5.5933297373502956E-6</v>
      </c>
      <c r="M533" s="4">
        <v>1.3645807949784672E-5</v>
      </c>
      <c r="N533" s="4">
        <v>1.1861146269327553E-5</v>
      </c>
      <c r="O533" s="4">
        <v>3.3090677986959651E-6</v>
      </c>
      <c r="P533" s="4">
        <v>1.3249988008495996E-7</v>
      </c>
      <c r="Q533" s="1"/>
      <c r="R533" s="1"/>
      <c r="S533" s="1"/>
      <c r="T533" s="1"/>
      <c r="U533" s="2">
        <f t="shared" si="381"/>
        <v>12</v>
      </c>
      <c r="V533" s="2">
        <f t="shared" si="382"/>
        <v>226</v>
      </c>
    </row>
    <row r="534" spans="1:22" x14ac:dyDescent="0.3">
      <c r="A534" s="2">
        <f t="shared" si="380"/>
        <v>12227</v>
      </c>
      <c r="B534" s="4" t="s">
        <v>45</v>
      </c>
      <c r="C534" s="4" t="s">
        <v>46</v>
      </c>
      <c r="D534" s="4" t="s">
        <v>47</v>
      </c>
      <c r="E534" s="4" t="s">
        <v>48</v>
      </c>
      <c r="F534" s="4" t="s">
        <v>49</v>
      </c>
      <c r="G534" s="4" t="s">
        <v>50</v>
      </c>
      <c r="H534" s="4" t="s">
        <v>46</v>
      </c>
      <c r="I534" s="1"/>
      <c r="J534" s="2" t="str">
        <f t="shared" ref="J534" si="401">CONCATENATE(K531,3)</f>
        <v>73</v>
      </c>
      <c r="K534" s="4">
        <v>0.99999999999999856</v>
      </c>
      <c r="L534" s="4">
        <v>1.7303671937776664E-7</v>
      </c>
      <c r="M534" s="4" t="e">
        <v>#N/A</v>
      </c>
      <c r="N534" s="4" t="e">
        <v>#N/A</v>
      </c>
      <c r="O534" s="4" t="e">
        <v>#N/A</v>
      </c>
      <c r="P534" s="4" t="e">
        <v>#N/A</v>
      </c>
      <c r="Q534" s="1"/>
      <c r="R534" s="1"/>
      <c r="S534" s="1"/>
      <c r="T534" s="1"/>
      <c r="U534" s="2">
        <f t="shared" si="381"/>
        <v>12</v>
      </c>
      <c r="V534" s="2">
        <f t="shared" si="382"/>
        <v>227</v>
      </c>
    </row>
    <row r="535" spans="1:22" x14ac:dyDescent="0.3">
      <c r="A535" s="2">
        <f t="shared" si="380"/>
        <v>12228</v>
      </c>
      <c r="B535" s="10">
        <v>10</v>
      </c>
      <c r="C535" s="10">
        <v>10</v>
      </c>
      <c r="D535" s="10">
        <v>10.000026999999999</v>
      </c>
      <c r="E535" s="10">
        <v>10.000030000000001</v>
      </c>
      <c r="F535" s="10">
        <v>10.000037000000001</v>
      </c>
      <c r="G535" s="10">
        <v>10.000042000000001</v>
      </c>
      <c r="H535" s="10">
        <v>10.000042000000001</v>
      </c>
      <c r="I535" s="1"/>
      <c r="J535" s="1"/>
      <c r="K535" s="1">
        <v>8</v>
      </c>
      <c r="L535" s="1">
        <v>8</v>
      </c>
      <c r="M535" s="1">
        <v>8</v>
      </c>
      <c r="N535" s="1">
        <v>8</v>
      </c>
      <c r="O535" s="1">
        <v>8</v>
      </c>
      <c r="P535" s="1">
        <v>8</v>
      </c>
      <c r="Q535" s="1">
        <v>8</v>
      </c>
      <c r="R535" s="1"/>
      <c r="S535" s="1"/>
      <c r="T535" s="1"/>
      <c r="U535" s="2">
        <f t="shared" si="381"/>
        <v>12</v>
      </c>
      <c r="V535" s="2">
        <f t="shared" si="382"/>
        <v>228</v>
      </c>
    </row>
    <row r="536" spans="1:22" x14ac:dyDescent="0.3">
      <c r="A536" s="2">
        <f t="shared" si="380"/>
        <v>12229</v>
      </c>
      <c r="I536" s="1"/>
      <c r="J536" s="2" t="str">
        <f t="shared" ref="J536" si="402">CONCATENATE(K535,1)</f>
        <v>81</v>
      </c>
      <c r="K536" s="4">
        <f t="array" ref="K536:Q538">LINEST(B523:B530,C523:C530^{1,2,3,4,5,6},TRUE,TRUE)</f>
        <v>2.8398294172609745E-7</v>
      </c>
      <c r="L536" s="4">
        <v>-5.3911594258667856E-6</v>
      </c>
      <c r="M536" s="4">
        <v>3.248176532883987E-5</v>
      </c>
      <c r="N536" s="4">
        <v>-7.6829485620205228E-5</v>
      </c>
      <c r="O536" s="4">
        <v>7.4250660073651962E-5</v>
      </c>
      <c r="P536" s="4">
        <v>0.99997206251234039</v>
      </c>
      <c r="Q536" s="4">
        <v>-8.5793838068559669E-7</v>
      </c>
      <c r="R536" s="1"/>
      <c r="S536" s="1"/>
      <c r="T536" s="1"/>
      <c r="U536" s="2">
        <f t="shared" si="381"/>
        <v>12</v>
      </c>
      <c r="V536" s="2">
        <f t="shared" si="382"/>
        <v>229</v>
      </c>
    </row>
    <row r="537" spans="1:22" x14ac:dyDescent="0.3">
      <c r="A537" s="2">
        <f t="shared" si="380"/>
        <v>12230</v>
      </c>
      <c r="B537" s="58" t="s">
        <v>30</v>
      </c>
      <c r="C537" s="58"/>
      <c r="D537" s="58"/>
      <c r="E537" s="58"/>
      <c r="F537" s="58"/>
      <c r="G537" s="58"/>
      <c r="H537" s="58"/>
      <c r="I537" s="1"/>
      <c r="J537" s="2" t="str">
        <f t="shared" ref="J537" si="403">CONCATENATE(K535,2)</f>
        <v>82</v>
      </c>
      <c r="K537" s="4">
        <v>6.7730950934563602E-8</v>
      </c>
      <c r="L537" s="4">
        <v>1.2484223146886137E-6</v>
      </c>
      <c r="M537" s="4">
        <v>7.1011803032621195E-6</v>
      </c>
      <c r="N537" s="4">
        <v>1.5106401461219924E-5</v>
      </c>
      <c r="O537" s="4">
        <v>1.2378740018684747E-5</v>
      </c>
      <c r="P537" s="4">
        <v>3.3581094057467745E-6</v>
      </c>
      <c r="Q537" s="4">
        <v>1.3321331569318595E-7</v>
      </c>
      <c r="R537" s="1"/>
      <c r="S537" s="1"/>
      <c r="T537" s="1"/>
      <c r="U537" s="2">
        <f t="shared" si="381"/>
        <v>12</v>
      </c>
      <c r="V537" s="2">
        <f t="shared" si="382"/>
        <v>230</v>
      </c>
    </row>
    <row r="538" spans="1:22" x14ac:dyDescent="0.3">
      <c r="A538" s="2">
        <f t="shared" si="380"/>
        <v>12231</v>
      </c>
      <c r="B538" s="62"/>
      <c r="C538" s="62"/>
      <c r="D538" s="62"/>
      <c r="E538" s="62"/>
      <c r="F538" s="62"/>
      <c r="G538" s="62"/>
      <c r="H538" s="62"/>
      <c r="I538" s="1"/>
      <c r="J538" s="2" t="str">
        <f t="shared" ref="J538" si="404">CONCATENATE(K535,3)</f>
        <v>83</v>
      </c>
      <c r="K538" s="4">
        <v>0.99999999999999967</v>
      </c>
      <c r="L538" s="4">
        <v>1.7386505962459964E-7</v>
      </c>
      <c r="M538" s="4" t="e">
        <v>#N/A</v>
      </c>
      <c r="N538" s="4" t="e">
        <v>#N/A</v>
      </c>
      <c r="O538" s="4" t="e">
        <v>#N/A</v>
      </c>
      <c r="P538" s="4" t="e">
        <v>#N/A</v>
      </c>
      <c r="Q538" s="4" t="e">
        <v>#N/A</v>
      </c>
      <c r="R538" s="1"/>
      <c r="S538" s="1"/>
      <c r="T538" s="1"/>
      <c r="U538" s="2">
        <f t="shared" si="381"/>
        <v>12</v>
      </c>
      <c r="V538" s="2">
        <f t="shared" si="382"/>
        <v>231</v>
      </c>
    </row>
    <row r="539" spans="1:22" x14ac:dyDescent="0.3">
      <c r="A539" s="2">
        <f t="shared" si="380"/>
        <v>12232</v>
      </c>
      <c r="B539" s="62"/>
      <c r="C539" s="62"/>
      <c r="D539" s="62"/>
      <c r="E539" s="62"/>
      <c r="F539" s="62"/>
      <c r="G539" s="62"/>
      <c r="H539" s="62"/>
      <c r="I539" s="1"/>
      <c r="J539" s="1"/>
      <c r="K539" s="1">
        <v>9</v>
      </c>
      <c r="L539" s="1">
        <v>9</v>
      </c>
      <c r="M539" s="1">
        <v>9</v>
      </c>
      <c r="N539" s="1">
        <v>9</v>
      </c>
      <c r="O539" s="1">
        <v>9</v>
      </c>
      <c r="P539" s="1">
        <v>9</v>
      </c>
      <c r="Q539" s="1">
        <v>9</v>
      </c>
      <c r="R539" s="1">
        <v>9</v>
      </c>
      <c r="S539" s="1"/>
      <c r="T539" s="1"/>
      <c r="U539" s="2">
        <f t="shared" si="381"/>
        <v>12</v>
      </c>
      <c r="V539" s="2">
        <f t="shared" si="382"/>
        <v>232</v>
      </c>
    </row>
    <row r="540" spans="1:22" x14ac:dyDescent="0.3">
      <c r="A540" s="2">
        <f t="shared" si="380"/>
        <v>12233</v>
      </c>
      <c r="B540" s="1"/>
      <c r="C540" s="1"/>
      <c r="D540" s="1"/>
      <c r="E540" s="1"/>
      <c r="F540" s="1"/>
      <c r="G540" s="1"/>
      <c r="H540" s="1"/>
      <c r="I540" s="1"/>
      <c r="J540" s="2" t="str">
        <f t="shared" ref="J540" si="405">CONCATENATE(K539,1)</f>
        <v>91</v>
      </c>
      <c r="K540" s="4">
        <f t="array" ref="K540:R542">LINEST(B523:B531,C523:C531^{1,2,3,4,5,6,7},TRUE,TRUE)</f>
        <v>-1.3902387276167041E-8</v>
      </c>
      <c r="L540" s="4">
        <v>5.4258377978662005E-7</v>
      </c>
      <c r="M540" s="4">
        <v>-6.8908456576051509E-6</v>
      </c>
      <c r="N540" s="4">
        <v>3.5807745157331792E-5</v>
      </c>
      <c r="O540" s="4">
        <v>-7.9793346809568097E-5</v>
      </c>
      <c r="P540" s="4">
        <v>7.5215045022309669E-5</v>
      </c>
      <c r="Q540" s="4">
        <v>0.99997199071055853</v>
      </c>
      <c r="R540" s="4">
        <v>-8.5763600110588811E-7</v>
      </c>
      <c r="S540" s="1"/>
      <c r="T540" s="1"/>
      <c r="U540" s="2">
        <f t="shared" si="381"/>
        <v>12</v>
      </c>
      <c r="V540" s="2">
        <f t="shared" si="382"/>
        <v>233</v>
      </c>
    </row>
    <row r="541" spans="1:22" x14ac:dyDescent="0.3">
      <c r="A541" s="2">
        <f t="shared" si="380"/>
        <v>12234</v>
      </c>
      <c r="B541" s="5" t="s">
        <v>31</v>
      </c>
      <c r="C541" s="5" t="s">
        <v>32</v>
      </c>
      <c r="D541" s="5" t="s">
        <v>33</v>
      </c>
      <c r="E541" s="4" t="s">
        <v>34</v>
      </c>
      <c r="F541" s="57" t="s">
        <v>35</v>
      </c>
      <c r="G541" s="58"/>
      <c r="H541" s="58"/>
      <c r="I541" s="1"/>
      <c r="J541" s="2" t="str">
        <f t="shared" ref="J541" si="406">CONCATENATE(K539,2)</f>
        <v>92</v>
      </c>
      <c r="K541" s="4">
        <v>3.4246697219246672E-9</v>
      </c>
      <c r="L541" s="4">
        <v>1.3159934282896879E-7</v>
      </c>
      <c r="M541" s="4">
        <v>1.6208657318713764E-6</v>
      </c>
      <c r="N541" s="4">
        <v>7.9372529586588062E-6</v>
      </c>
      <c r="O541" s="4">
        <v>1.5870441045493071E-5</v>
      </c>
      <c r="P541" s="4">
        <v>1.2642117000616769E-5</v>
      </c>
      <c r="Q541" s="4">
        <v>3.3826794999164254E-6</v>
      </c>
      <c r="R541" s="4">
        <v>1.3452373502379867E-7</v>
      </c>
      <c r="S541" s="1"/>
      <c r="T541" s="1"/>
      <c r="U541" s="2">
        <f t="shared" si="381"/>
        <v>12</v>
      </c>
      <c r="V541" s="2">
        <f t="shared" si="382"/>
        <v>234</v>
      </c>
    </row>
    <row r="542" spans="1:22" x14ac:dyDescent="0.3">
      <c r="A542" s="2">
        <f t="shared" si="380"/>
        <v>12235</v>
      </c>
      <c r="B542" s="5">
        <f t="shared" ref="B542:B551" si="407">C523-B523</f>
        <v>9.9999999999991589E-7</v>
      </c>
      <c r="C542" s="5">
        <f t="shared" ref="C542:C551" si="408">H523-G523</f>
        <v>2.9999999999999645E-6</v>
      </c>
      <c r="D542" s="5">
        <f>C542-B542</f>
        <v>2.0000000000000486E-6</v>
      </c>
      <c r="E542" s="4">
        <f t="shared" ref="E542:E551" si="409">D523</f>
        <v>3.9999999999999998E-6</v>
      </c>
      <c r="F542" s="11">
        <f>IF(D510="","",MAX(G542,H542))</f>
        <v>1.9999999999242846E-5</v>
      </c>
      <c r="G542" s="5">
        <f>ABS(MIN(D542:D551))</f>
        <v>4.9999999998107114E-6</v>
      </c>
      <c r="H542" s="5">
        <f>ABS(MAX(D542:D551))</f>
        <v>1.9999999999242846E-5</v>
      </c>
      <c r="I542" s="1"/>
      <c r="J542" s="2" t="str">
        <f t="shared" ref="J542" si="410">CONCATENATE(K539,3)</f>
        <v>93</v>
      </c>
      <c r="K542" s="4">
        <v>0.99999999999999989</v>
      </c>
      <c r="L542" s="4">
        <v>1.7427025734753864E-7</v>
      </c>
      <c r="M542" s="4" t="e">
        <v>#N/A</v>
      </c>
      <c r="N542" s="4" t="e">
        <v>#N/A</v>
      </c>
      <c r="O542" s="4" t="e">
        <v>#N/A</v>
      </c>
      <c r="P542" s="4" t="e">
        <v>#N/A</v>
      </c>
      <c r="Q542" s="4" t="e">
        <v>#N/A</v>
      </c>
      <c r="R542" s="4" t="e">
        <v>#N/A</v>
      </c>
      <c r="S542" s="1"/>
      <c r="T542" s="1"/>
      <c r="U542" s="2">
        <f t="shared" si="381"/>
        <v>12</v>
      </c>
      <c r="V542" s="2">
        <f t="shared" si="382"/>
        <v>235</v>
      </c>
    </row>
    <row r="543" spans="1:22" x14ac:dyDescent="0.3">
      <c r="A543" s="2">
        <f t="shared" si="380"/>
        <v>12236</v>
      </c>
      <c r="B543" s="5">
        <f t="shared" si="407"/>
        <v>9.9999999999926537E-7</v>
      </c>
      <c r="C543" s="5">
        <f t="shared" si="408"/>
        <v>2.9999999999995308E-6</v>
      </c>
      <c r="D543" s="5">
        <f t="shared" ref="D543:D551" si="411">C543-B543</f>
        <v>2.0000000000002655E-6</v>
      </c>
      <c r="E543" s="4">
        <f t="shared" si="409"/>
        <v>7.9999999999999996E-6</v>
      </c>
      <c r="F543" s="57" t="s">
        <v>36</v>
      </c>
      <c r="G543" s="58"/>
      <c r="H543" s="58"/>
      <c r="I543" s="1"/>
      <c r="J543" s="1"/>
      <c r="K543" s="1">
        <v>10</v>
      </c>
      <c r="L543" s="1">
        <v>10</v>
      </c>
      <c r="M543" s="1">
        <v>10</v>
      </c>
      <c r="N543" s="1">
        <v>10</v>
      </c>
      <c r="O543" s="1">
        <v>10</v>
      </c>
      <c r="P543" s="1">
        <v>10</v>
      </c>
      <c r="Q543" s="1">
        <v>10</v>
      </c>
      <c r="R543" s="1">
        <v>10</v>
      </c>
      <c r="S543" s="1">
        <v>10</v>
      </c>
      <c r="T543" s="1"/>
      <c r="U543" s="2">
        <f t="shared" si="381"/>
        <v>12</v>
      </c>
      <c r="V543" s="2">
        <f t="shared" si="382"/>
        <v>236</v>
      </c>
    </row>
    <row r="544" spans="1:22" x14ac:dyDescent="0.3">
      <c r="A544" s="2">
        <f t="shared" si="380"/>
        <v>12237</v>
      </c>
      <c r="B544" s="5">
        <f t="shared" si="407"/>
        <v>2.9999999999891225E-6</v>
      </c>
      <c r="C544" s="5">
        <f t="shared" si="408"/>
        <v>2.9999999999891225E-6</v>
      </c>
      <c r="D544" s="5">
        <f t="shared" si="411"/>
        <v>0</v>
      </c>
      <c r="E544" s="4">
        <f t="shared" si="409"/>
        <v>7.9999999999999996E-6</v>
      </c>
      <c r="F544" s="11">
        <f>IF(D510="","",MAX(G544,H544))</f>
        <v>2.3999999999801958E-5</v>
      </c>
      <c r="G544" s="5">
        <f>ABS(MIN(B542:B551))</f>
        <v>2.3999999999801958E-5</v>
      </c>
      <c r="H544" s="5">
        <f>ABS(MAX(B542:B551))</f>
        <v>8.9999999999257341E-6</v>
      </c>
      <c r="I544" s="1"/>
      <c r="J544" s="2" t="str">
        <f t="shared" ref="J544" si="412">CONCATENATE(K543,1)</f>
        <v>101</v>
      </c>
      <c r="K544" s="4" t="e">
        <f t="array" ref="K544:S546">LINEST(B523:B532,C523:C532^{1,2,3,4,5,6,7,8},TRUE,TRUE)</f>
        <v>#VALUE!</v>
      </c>
      <c r="L544" s="4" t="e">
        <v>#VALUE!</v>
      </c>
      <c r="M544" s="4" t="e">
        <v>#VALUE!</v>
      </c>
      <c r="N544" s="4" t="e">
        <v>#VALUE!</v>
      </c>
      <c r="O544" s="4" t="e">
        <v>#VALUE!</v>
      </c>
      <c r="P544" s="4" t="e">
        <v>#VALUE!</v>
      </c>
      <c r="Q544" s="4" t="e">
        <v>#VALUE!</v>
      </c>
      <c r="R544" s="4" t="e">
        <v>#VALUE!</v>
      </c>
      <c r="S544" s="4" t="e">
        <v>#VALUE!</v>
      </c>
      <c r="T544" s="1"/>
      <c r="U544" s="2">
        <f t="shared" si="381"/>
        <v>12</v>
      </c>
      <c r="V544" s="2">
        <f t="shared" si="382"/>
        <v>237</v>
      </c>
    </row>
    <row r="545" spans="1:22" x14ac:dyDescent="0.3">
      <c r="A545" s="2">
        <f t="shared" si="380"/>
        <v>12238</v>
      </c>
      <c r="B545" s="5">
        <f t="shared" si="407"/>
        <v>4.0000000000040004E-6</v>
      </c>
      <c r="C545" s="5">
        <f t="shared" si="408"/>
        <v>2.9999999999752447E-6</v>
      </c>
      <c r="D545" s="5">
        <f t="shared" si="411"/>
        <v>-1.0000000000287557E-6</v>
      </c>
      <c r="E545" s="4">
        <f t="shared" si="409"/>
        <v>3.0000000000000001E-5</v>
      </c>
      <c r="F545" s="57" t="s">
        <v>37</v>
      </c>
      <c r="G545" s="58"/>
      <c r="H545" s="58"/>
      <c r="I545" s="1"/>
      <c r="J545" s="2" t="str">
        <f t="shared" ref="J545" si="413">CONCATENATE(K543,2)</f>
        <v>102</v>
      </c>
      <c r="K545" s="4" t="e">
        <v>#VALUE!</v>
      </c>
      <c r="L545" s="4" t="e">
        <v>#VALUE!</v>
      </c>
      <c r="M545" s="4" t="e">
        <v>#VALUE!</v>
      </c>
      <c r="N545" s="4" t="e">
        <v>#VALUE!</v>
      </c>
      <c r="O545" s="4" t="e">
        <v>#VALUE!</v>
      </c>
      <c r="P545" s="4" t="e">
        <v>#VALUE!</v>
      </c>
      <c r="Q545" s="4" t="e">
        <v>#VALUE!</v>
      </c>
      <c r="R545" s="4" t="e">
        <v>#VALUE!</v>
      </c>
      <c r="S545" s="4" t="e">
        <v>#VALUE!</v>
      </c>
      <c r="T545" s="1"/>
      <c r="U545" s="2">
        <f t="shared" si="381"/>
        <v>12</v>
      </c>
      <c r="V545" s="2">
        <f t="shared" si="382"/>
        <v>238</v>
      </c>
    </row>
    <row r="546" spans="1:22" x14ac:dyDescent="0.3">
      <c r="A546" s="2">
        <f t="shared" si="380"/>
        <v>12239</v>
      </c>
      <c r="B546" s="5">
        <f t="shared" si="407"/>
        <v>3.9999999998929781E-6</v>
      </c>
      <c r="C546" s="5">
        <f t="shared" si="408"/>
        <v>0</v>
      </c>
      <c r="D546" s="5">
        <f t="shared" si="411"/>
        <v>-3.9999999998929781E-6</v>
      </c>
      <c r="E546" s="4">
        <f t="shared" si="409"/>
        <v>1.1E-5</v>
      </c>
      <c r="F546" s="11">
        <f>IF(D510="","",MAX(G546,H546))</f>
        <v>7.3999999999999996E-5</v>
      </c>
      <c r="G546" s="5">
        <f>ABS(MIN(E542:E551))</f>
        <v>0</v>
      </c>
      <c r="H546" s="5">
        <f>ABS(MAX(E542:E551))</f>
        <v>7.3999999999999996E-5</v>
      </c>
      <c r="I546" s="1"/>
      <c r="J546" s="2" t="str">
        <f t="shared" ref="J546" si="414">CONCATENATE(K543,3)</f>
        <v>103</v>
      </c>
      <c r="K546" s="4" t="e">
        <v>#VALUE!</v>
      </c>
      <c r="L546" s="4" t="e">
        <v>#VALUE!</v>
      </c>
      <c r="M546" s="4" t="e">
        <v>#VALUE!</v>
      </c>
      <c r="N546" s="4" t="e">
        <v>#VALUE!</v>
      </c>
      <c r="O546" s="4" t="e">
        <v>#VALUE!</v>
      </c>
      <c r="P546" s="4" t="e">
        <v>#VALUE!</v>
      </c>
      <c r="Q546" s="4" t="e">
        <v>#VALUE!</v>
      </c>
      <c r="R546" s="4" t="e">
        <v>#VALUE!</v>
      </c>
      <c r="S546" s="4" t="e">
        <v>#VALUE!</v>
      </c>
      <c r="T546" s="1"/>
      <c r="U546" s="2">
        <f t="shared" si="381"/>
        <v>12</v>
      </c>
      <c r="V546" s="2">
        <f t="shared" si="382"/>
        <v>239</v>
      </c>
    </row>
    <row r="547" spans="1:22" x14ac:dyDescent="0.3">
      <c r="A547" s="2">
        <f t="shared" si="380"/>
        <v>12240</v>
      </c>
      <c r="B547" s="5">
        <f t="shared" si="407"/>
        <v>8.9999999999257341E-6</v>
      </c>
      <c r="C547" s="5">
        <f t="shared" si="408"/>
        <v>4.0000000001150227E-6</v>
      </c>
      <c r="D547" s="5">
        <f t="shared" si="411"/>
        <v>-4.9999999998107114E-6</v>
      </c>
      <c r="E547" s="4">
        <f t="shared" si="409"/>
        <v>1.4E-5</v>
      </c>
      <c r="F547" s="57" t="s">
        <v>51</v>
      </c>
      <c r="G547" s="58"/>
      <c r="H547" s="5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2">
        <f t="shared" si="381"/>
        <v>12</v>
      </c>
      <c r="V547" s="2">
        <f t="shared" si="382"/>
        <v>240</v>
      </c>
    </row>
    <row r="548" spans="1:22" x14ac:dyDescent="0.3">
      <c r="A548" s="2">
        <f t="shared" si="380"/>
        <v>12241</v>
      </c>
      <c r="B548" s="5">
        <f t="shared" si="407"/>
        <v>-3.0000000004193339E-6</v>
      </c>
      <c r="C548" s="5">
        <f t="shared" si="408"/>
        <v>-2.0000000002795559E-6</v>
      </c>
      <c r="D548" s="5">
        <f t="shared" si="411"/>
        <v>1.000000000139778E-6</v>
      </c>
      <c r="E548" s="4">
        <f t="shared" si="409"/>
        <v>2.1999999999999999E-5</v>
      </c>
      <c r="F548" s="21">
        <f>MAX(G548:H550)</f>
        <v>4.2000000000541604E-5</v>
      </c>
      <c r="G548" s="4">
        <f>IF(C535="",0,ABS(C535-B535))</f>
        <v>0</v>
      </c>
      <c r="H548" s="4">
        <f>IF(F535="",0,ABS(F535-B535))</f>
        <v>3.7000000000730893E-5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2">
        <f t="shared" si="381"/>
        <v>12</v>
      </c>
      <c r="V548" s="2">
        <f t="shared" si="382"/>
        <v>241</v>
      </c>
    </row>
    <row r="549" spans="1:22" x14ac:dyDescent="0.3">
      <c r="A549" s="2">
        <f t="shared" si="380"/>
        <v>12242</v>
      </c>
      <c r="B549" s="5">
        <f t="shared" si="407"/>
        <v>0</v>
      </c>
      <c r="C549" s="5">
        <f t="shared" si="408"/>
        <v>0</v>
      </c>
      <c r="D549" s="5">
        <f t="shared" si="411"/>
        <v>0</v>
      </c>
      <c r="E549" s="4">
        <f t="shared" si="409"/>
        <v>3.6999999999999998E-5</v>
      </c>
      <c r="F549" s="4" t="s">
        <v>52</v>
      </c>
      <c r="G549" s="4">
        <f>IF(D535="",0,ABS(D535-B535))</f>
        <v>2.6999999999333113E-5</v>
      </c>
      <c r="H549" s="4">
        <f>IF(G535="",0,ABS(G535-B535))</f>
        <v>4.2000000000541604E-5</v>
      </c>
      <c r="I549" s="1"/>
      <c r="J549" s="1"/>
      <c r="R549" s="1"/>
      <c r="S549" s="1"/>
      <c r="T549" s="1"/>
      <c r="U549" s="2">
        <f t="shared" si="381"/>
        <v>12</v>
      </c>
      <c r="V549" s="2">
        <f t="shared" si="382"/>
        <v>242</v>
      </c>
    </row>
    <row r="550" spans="1:22" x14ac:dyDescent="0.3">
      <c r="A550" s="2">
        <f t="shared" si="380"/>
        <v>12243</v>
      </c>
      <c r="B550" s="5">
        <f t="shared" si="407"/>
        <v>-2.3999999999801958E-5</v>
      </c>
      <c r="C550" s="5">
        <f t="shared" si="408"/>
        <v>-4.0000000005591119E-6</v>
      </c>
      <c r="D550" s="5">
        <f t="shared" si="411"/>
        <v>1.9999999999242846E-5</v>
      </c>
      <c r="E550" s="4">
        <f t="shared" si="409"/>
        <v>7.3999999999999996E-5</v>
      </c>
      <c r="F550" s="22">
        <f>IF(F548=0,0,F548/B535%)</f>
        <v>4.2000000000541604E-4</v>
      </c>
      <c r="G550" s="4">
        <f>IF(G535="",0,ABS(G535-B535))</f>
        <v>4.2000000000541604E-5</v>
      </c>
      <c r="H550" s="4">
        <f>IF(H535="",0,ABS(H535-B535))</f>
        <v>4.2000000000541604E-5</v>
      </c>
      <c r="I550" s="1"/>
      <c r="J550" s="1"/>
      <c r="R550" s="1"/>
      <c r="S550" s="1"/>
      <c r="T550" s="1"/>
      <c r="U550" s="2">
        <f t="shared" si="381"/>
        <v>12</v>
      </c>
      <c r="V550" s="2">
        <f t="shared" si="382"/>
        <v>243</v>
      </c>
    </row>
    <row r="551" spans="1:22" x14ac:dyDescent="0.3">
      <c r="A551" s="2">
        <f t="shared" si="380"/>
        <v>12244</v>
      </c>
      <c r="B551" s="5">
        <f t="shared" si="407"/>
        <v>0</v>
      </c>
      <c r="C551" s="5">
        <f t="shared" si="408"/>
        <v>0</v>
      </c>
      <c r="D551" s="5">
        <f t="shared" si="411"/>
        <v>0</v>
      </c>
      <c r="E551" s="4">
        <f t="shared" si="409"/>
        <v>0</v>
      </c>
      <c r="F551" s="1"/>
      <c r="G551" s="1"/>
      <c r="H551" s="1"/>
      <c r="I551" s="1"/>
      <c r="J551" s="1"/>
      <c r="R551" s="1"/>
      <c r="S551" s="1"/>
      <c r="T551" s="1"/>
      <c r="U551" s="2">
        <f t="shared" si="381"/>
        <v>12</v>
      </c>
      <c r="V551" s="2">
        <f t="shared" si="382"/>
        <v>244</v>
      </c>
    </row>
    <row r="552" spans="1:22" x14ac:dyDescent="0.3">
      <c r="A552" s="2">
        <f t="shared" si="380"/>
        <v>12245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">
        <f t="shared" si="381"/>
        <v>12</v>
      </c>
      <c r="V552" s="2">
        <f t="shared" si="382"/>
        <v>245</v>
      </c>
    </row>
    <row r="553" spans="1:22" s="20" customForma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 x14ac:dyDescent="0.3">
      <c r="A554" s="2">
        <f>ROUND(CONCATENATE(U554,V554),0)</f>
        <v>13201</v>
      </c>
      <c r="B554" s="63" t="s">
        <v>0</v>
      </c>
      <c r="C554" s="63"/>
      <c r="D554" s="71" t="s">
        <v>73</v>
      </c>
      <c r="E554" s="72"/>
      <c r="F554" s="72"/>
      <c r="G554" s="72"/>
      <c r="H554" s="7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2">
        <f>U552+1</f>
        <v>13</v>
      </c>
      <c r="V554" s="2">
        <v>201</v>
      </c>
    </row>
    <row r="555" spans="1:22" x14ac:dyDescent="0.3">
      <c r="A555" s="2">
        <f t="shared" ref="A555:A598" si="415">ROUND(CONCATENATE(U555,V555),0)</f>
        <v>13202</v>
      </c>
      <c r="B555" s="12" t="s">
        <v>40</v>
      </c>
      <c r="C555" s="13"/>
      <c r="D555" s="16" t="s">
        <v>41</v>
      </c>
      <c r="E555" s="57" t="s">
        <v>39</v>
      </c>
      <c r="F555" s="57"/>
      <c r="G555" s="18">
        <v>9.9999999999999995E-7</v>
      </c>
      <c r="H555" s="15" t="str">
        <f>IF(D556="","",D555)</f>
        <v>g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2">
        <f>U554</f>
        <v>13</v>
      </c>
      <c r="V555" s="2">
        <f>V554+1</f>
        <v>202</v>
      </c>
    </row>
    <row r="556" spans="1:22" x14ac:dyDescent="0.3">
      <c r="A556" s="2">
        <f t="shared" si="415"/>
        <v>13203</v>
      </c>
      <c r="B556" s="63" t="s">
        <v>1</v>
      </c>
      <c r="C556" s="63"/>
      <c r="D556" s="71" t="s">
        <v>122</v>
      </c>
      <c r="E556" s="72"/>
      <c r="F556" s="72"/>
      <c r="G556" s="72"/>
      <c r="H556" s="73"/>
      <c r="I556" s="1"/>
      <c r="J556" s="1"/>
      <c r="K556" s="1" t="s">
        <v>2</v>
      </c>
      <c r="L556" s="1" t="s">
        <v>3</v>
      </c>
      <c r="M556" s="1" t="s">
        <v>4</v>
      </c>
      <c r="N556" s="1" t="s">
        <v>5</v>
      </c>
      <c r="O556" s="1" t="s">
        <v>6</v>
      </c>
      <c r="P556" s="1" t="s">
        <v>7</v>
      </c>
      <c r="Q556" s="1" t="s">
        <v>8</v>
      </c>
      <c r="R556" s="1" t="s">
        <v>9</v>
      </c>
      <c r="S556" s="1" t="s">
        <v>10</v>
      </c>
      <c r="T556" s="1"/>
      <c r="U556" s="2">
        <f t="shared" ref="U556:U598" si="416">U555</f>
        <v>13</v>
      </c>
      <c r="V556" s="2">
        <f t="shared" ref="V556:V598" si="417">V555+1</f>
        <v>203</v>
      </c>
    </row>
    <row r="557" spans="1:22" x14ac:dyDescent="0.3">
      <c r="A557" s="2">
        <f t="shared" si="415"/>
        <v>13204</v>
      </c>
      <c r="B557" s="63" t="s">
        <v>11</v>
      </c>
      <c r="C557" s="63"/>
      <c r="D557" s="71" t="s">
        <v>75</v>
      </c>
      <c r="E557" s="72"/>
      <c r="F557" s="72"/>
      <c r="G557" s="72"/>
      <c r="H557" s="73"/>
      <c r="I557" s="1"/>
      <c r="J557" s="1">
        <f>COUNTA(B569:B578)</f>
        <v>7</v>
      </c>
      <c r="K557" s="1">
        <f t="shared" ref="K557" si="418">IF(L557-1&lt;2,0,L557-1)</f>
        <v>0</v>
      </c>
      <c r="L557" s="1">
        <f t="shared" ref="L557" si="419">IF(M557-1&lt;2,0,M557-1)</f>
        <v>0</v>
      </c>
      <c r="M557" s="1">
        <f t="shared" ref="M557" si="420">IF(N557-1&lt;2,0,N557-1)</f>
        <v>0</v>
      </c>
      <c r="N557" s="1">
        <f t="shared" ref="N557" si="421">IF(O557-1&lt;2,0,O557-1)</f>
        <v>2</v>
      </c>
      <c r="O557" s="1">
        <f t="shared" ref="O557" si="422">IF(P557-1&lt;2,0,P557-1)</f>
        <v>3</v>
      </c>
      <c r="P557" s="1">
        <f t="shared" ref="P557" si="423">IF(Q557-1&lt;2,0,Q557-1)</f>
        <v>4</v>
      </c>
      <c r="Q557" s="1">
        <f t="shared" ref="Q557" si="424">IF(R557-1&lt;2,0,R557-1)</f>
        <v>5</v>
      </c>
      <c r="R557" s="1">
        <f>IF(S557-1&lt;2,0,S557-1)</f>
        <v>6</v>
      </c>
      <c r="S557" s="1">
        <f>J557</f>
        <v>7</v>
      </c>
      <c r="T557" s="1"/>
      <c r="U557" s="2">
        <f t="shared" si="416"/>
        <v>13</v>
      </c>
      <c r="V557" s="2">
        <f t="shared" si="417"/>
        <v>204</v>
      </c>
    </row>
    <row r="558" spans="1:22" x14ac:dyDescent="0.3">
      <c r="A558" s="2">
        <f t="shared" si="415"/>
        <v>13205</v>
      </c>
      <c r="B558" s="63" t="s">
        <v>12</v>
      </c>
      <c r="C558" s="63"/>
      <c r="D558" s="71" t="s">
        <v>43</v>
      </c>
      <c r="E558" s="72"/>
      <c r="F558" s="72"/>
      <c r="G558" s="72"/>
      <c r="H558" s="73"/>
      <c r="I558" s="1"/>
      <c r="J558" s="2" t="str">
        <f>CONCATENATE(J557,1)</f>
        <v>71</v>
      </c>
      <c r="K558" s="3">
        <f>IF(K557=0,0,VLOOKUP(J558,J562:S592,K557,FALSE))</f>
        <v>0</v>
      </c>
      <c r="L558" s="3">
        <f>IF(L557=0,0,VLOOKUP(J558,J562:S592,L557,FALSE))</f>
        <v>0</v>
      </c>
      <c r="M558" s="3">
        <f>IF(M557=0,0,VLOOKUP(J558,J562:S592,M557,FALSE))</f>
        <v>0</v>
      </c>
      <c r="N558" s="3">
        <f>IF(N557=0,0,VLOOKUP(J558,J562:S592,N557,FALSE))</f>
        <v>-1.7845521092903979E-2</v>
      </c>
      <c r="O558" s="3">
        <f>IF(O557=0,0,VLOOKUP(J558,J562:S592,O557,FALSE))</f>
        <v>3.2601190869599263E-2</v>
      </c>
      <c r="P558" s="3">
        <f>IF(P557=0,0,VLOOKUP(J558,J562:S592,P557,FALSE))</f>
        <v>-1.81141162050708E-2</v>
      </c>
      <c r="Q558" s="3">
        <f>IF(Q557=0,0,VLOOKUP(J558,J562:S592,Q557,FALSE))</f>
        <v>3.57154021436087E-3</v>
      </c>
      <c r="R558" s="3">
        <f>IF(R557=0,0,VLOOKUP(J558,J562:S592,R557,FALSE))</f>
        <v>0.99978292068864727</v>
      </c>
      <c r="S558" s="3">
        <f>IF(S557=0,0,VLOOKUP(J558,J562:S592,S557,FALSE))</f>
        <v>-9.8327751226314278E-7</v>
      </c>
      <c r="T558" s="1"/>
      <c r="U558" s="2">
        <f t="shared" si="416"/>
        <v>13</v>
      </c>
      <c r="V558" s="2">
        <f t="shared" si="417"/>
        <v>205</v>
      </c>
    </row>
    <row r="559" spans="1:22" x14ac:dyDescent="0.3">
      <c r="A559" s="2">
        <f t="shared" si="415"/>
        <v>13206</v>
      </c>
      <c r="B559" s="63" t="s">
        <v>13</v>
      </c>
      <c r="C559" s="63"/>
      <c r="D559" s="74" t="s">
        <v>120</v>
      </c>
      <c r="E559" s="72"/>
      <c r="F559" s="72"/>
      <c r="G559" s="72"/>
      <c r="H559" s="73"/>
      <c r="I559" s="1"/>
      <c r="J559" s="2" t="str">
        <f>CONCATENATE(J557,2)</f>
        <v>72</v>
      </c>
      <c r="K559" s="4">
        <f>IF(K557=0,0,VLOOKUP(J559,J562:S592,K557,FALSE))</f>
        <v>0</v>
      </c>
      <c r="L559" s="4">
        <f>IF(L557=0,0,VLOOKUP(J559,J562:S592,L557,FALSE))</f>
        <v>0</v>
      </c>
      <c r="M559" s="4">
        <f>IF(M557=0,0,VLOOKUP(J559,J562:S592,M557,FALSE))</f>
        <v>0</v>
      </c>
      <c r="N559" s="4">
        <f>IF(N557=0,0,VLOOKUP(J559,J562:S592,N557,FALSE))</f>
        <v>4.2496983420307167E-4</v>
      </c>
      <c r="O559" s="4">
        <f>IF(O557=0,0,VLOOKUP(J559,J562:S592,O557,FALSE))</f>
        <v>7.5942833255822958E-4</v>
      </c>
      <c r="P559" s="4">
        <f>IF(P557=0,0,VLOOKUP(J559,J562:S592,P557,FALSE))</f>
        <v>4.0402113719766074E-4</v>
      </c>
      <c r="Q559" s="4">
        <f>IF(Q557=0,0,VLOOKUP(J559,J562:S592,Q557,FALSE))</f>
        <v>7.3943244980136607E-5</v>
      </c>
      <c r="R559" s="4">
        <f>IF(R557=0,0,VLOOKUP(J559,J562:S592,R557,FALSE))</f>
        <v>4.4036255000645713E-6</v>
      </c>
      <c r="S559" s="4">
        <f>IF(S557=0,0,VLOOKUP(J559,J562:S592,S557,FALSE))</f>
        <v>6.0931940415496329E-8</v>
      </c>
      <c r="T559" s="1"/>
      <c r="U559" s="2">
        <f t="shared" si="416"/>
        <v>13</v>
      </c>
      <c r="V559" s="2">
        <f t="shared" si="417"/>
        <v>206</v>
      </c>
    </row>
    <row r="560" spans="1:22" x14ac:dyDescent="0.3">
      <c r="A560" s="2">
        <f t="shared" si="415"/>
        <v>13207</v>
      </c>
      <c r="B560" s="63" t="s">
        <v>14</v>
      </c>
      <c r="C560" s="63"/>
      <c r="D560" s="75">
        <v>45471</v>
      </c>
      <c r="E560" s="76"/>
      <c r="F560" s="76"/>
      <c r="G560" s="76"/>
      <c r="H560" s="77"/>
      <c r="I560" s="1"/>
      <c r="J560" s="2" t="str">
        <f>CONCATENATE(J557,3)</f>
        <v>73</v>
      </c>
      <c r="K560" s="4"/>
      <c r="L560" s="4"/>
      <c r="M560" s="4"/>
      <c r="N560" s="4" t="s">
        <v>15</v>
      </c>
      <c r="O560" s="3">
        <f>J557-2</f>
        <v>5</v>
      </c>
      <c r="P560" s="4" t="s">
        <v>16</v>
      </c>
      <c r="Q560" s="3">
        <f>VLOOKUP(J560,J562:S592,3,FALSE)</f>
        <v>4.8691375920418829E-8</v>
      </c>
      <c r="R560" s="4" t="s">
        <v>17</v>
      </c>
      <c r="S560" s="4">
        <f>VLOOKUP(J560,J562:S592,2,FALSE)</f>
        <v>0.99999999999999711</v>
      </c>
      <c r="T560" s="1"/>
      <c r="U560" s="2">
        <f t="shared" si="416"/>
        <v>13</v>
      </c>
      <c r="V560" s="2">
        <f t="shared" si="417"/>
        <v>207</v>
      </c>
    </row>
    <row r="561" spans="1:22" x14ac:dyDescent="0.3">
      <c r="A561" s="2">
        <f t="shared" si="415"/>
        <v>13208</v>
      </c>
      <c r="B561" s="63" t="s">
        <v>18</v>
      </c>
      <c r="C561" s="63"/>
      <c r="D561" s="64">
        <v>45838</v>
      </c>
      <c r="E561" s="65"/>
      <c r="F561" s="65"/>
      <c r="G561" s="65"/>
      <c r="H561" s="66"/>
      <c r="I561" s="1"/>
      <c r="J561" s="1"/>
      <c r="K561" s="1">
        <v>3</v>
      </c>
      <c r="L561" s="1">
        <v>3</v>
      </c>
      <c r="M561" s="1"/>
      <c r="N561" s="1"/>
      <c r="O561" s="1"/>
      <c r="P561" s="1"/>
      <c r="Q561" s="1"/>
      <c r="R561" s="1"/>
      <c r="S561" s="1"/>
      <c r="T561" s="1"/>
      <c r="U561" s="2">
        <f t="shared" si="416"/>
        <v>13</v>
      </c>
      <c r="V561" s="2">
        <f t="shared" si="417"/>
        <v>208</v>
      </c>
    </row>
    <row r="562" spans="1:22" x14ac:dyDescent="0.3">
      <c r="A562" s="2">
        <f t="shared" si="415"/>
        <v>13209</v>
      </c>
      <c r="B562" s="67" t="s">
        <v>19</v>
      </c>
      <c r="C562" s="63"/>
      <c r="D562" s="5">
        <f>IF(D555="","",MIN(B569:B578))</f>
        <v>5.0000000000000001E-3</v>
      </c>
      <c r="E562" s="6" t="s">
        <v>20</v>
      </c>
      <c r="F562" s="5">
        <f>IF(D555="","",MAX(B569:B578))</f>
        <v>1</v>
      </c>
      <c r="G562" s="7" t="str">
        <f>IF(D556="","",H555)</f>
        <v>g</v>
      </c>
      <c r="H562" s="14"/>
      <c r="I562" s="1"/>
      <c r="J562" s="2" t="str">
        <f>CONCATENATE(K561,1)</f>
        <v>31</v>
      </c>
      <c r="K562" s="4">
        <f t="array" ref="K562:L564">LINEST(B569:B571,C569:C571^{1},TRUE,TRUE)</f>
        <v>0.99993809845792636</v>
      </c>
      <c r="L562" s="4">
        <v>-2.1189011424962989E-6</v>
      </c>
      <c r="M562" s="1"/>
      <c r="N562" s="1"/>
      <c r="O562" s="1"/>
      <c r="P562" s="1"/>
      <c r="Q562" s="1"/>
      <c r="R562" s="1"/>
      <c r="S562" s="1"/>
      <c r="T562" s="1"/>
      <c r="U562" s="2">
        <f t="shared" si="416"/>
        <v>13</v>
      </c>
      <c r="V562" s="2">
        <f t="shared" si="417"/>
        <v>209</v>
      </c>
    </row>
    <row r="563" spans="1:22" x14ac:dyDescent="0.3">
      <c r="A563" s="2">
        <f t="shared" si="415"/>
        <v>13210</v>
      </c>
      <c r="B563" s="1"/>
      <c r="C563" s="1"/>
      <c r="D563" s="1"/>
      <c r="E563" s="1"/>
      <c r="F563" s="1"/>
      <c r="G563" s="1"/>
      <c r="H563" s="1"/>
      <c r="I563" s="1"/>
      <c r="J563" s="2" t="str">
        <f>CONCATENATE(K561,2)</f>
        <v>32</v>
      </c>
      <c r="K563" s="4">
        <v>2.4740519743403894E-5</v>
      </c>
      <c r="L563" s="4">
        <v>7.7261227959287996E-7</v>
      </c>
      <c r="M563" s="1"/>
      <c r="N563" s="1"/>
      <c r="O563" s="1"/>
      <c r="P563" s="1"/>
      <c r="Q563" s="1"/>
      <c r="R563" s="1"/>
      <c r="S563" s="1"/>
      <c r="T563" s="1"/>
      <c r="U563" s="2">
        <f t="shared" si="416"/>
        <v>13</v>
      </c>
      <c r="V563" s="2">
        <f t="shared" si="417"/>
        <v>210</v>
      </c>
    </row>
    <row r="564" spans="1:22" x14ac:dyDescent="0.3">
      <c r="A564" s="2">
        <f t="shared" si="415"/>
        <v>13211</v>
      </c>
      <c r="B564" s="68" t="s">
        <v>21</v>
      </c>
      <c r="C564" s="68"/>
      <c r="D564" s="68"/>
      <c r="E564" s="68"/>
      <c r="F564" s="68"/>
      <c r="G564" s="69" t="s">
        <v>22</v>
      </c>
      <c r="H564" s="70"/>
      <c r="I564" s="1"/>
      <c r="J564" s="2" t="str">
        <f>CONCATENATE(K561,3)</f>
        <v>33</v>
      </c>
      <c r="K564" s="4">
        <v>0.99999999938783091</v>
      </c>
      <c r="L564" s="4">
        <v>8.0173409433559328E-7</v>
      </c>
      <c r="M564" s="1"/>
      <c r="N564" s="1"/>
      <c r="O564" s="1"/>
      <c r="P564" s="1"/>
      <c r="Q564" s="1"/>
      <c r="R564" s="1"/>
      <c r="S564" s="1"/>
      <c r="T564" s="1"/>
      <c r="U564" s="2">
        <f t="shared" si="416"/>
        <v>13</v>
      </c>
      <c r="V564" s="2">
        <f t="shared" si="417"/>
        <v>211</v>
      </c>
    </row>
    <row r="565" spans="1:22" x14ac:dyDescent="0.3">
      <c r="A565" s="2">
        <f t="shared" si="415"/>
        <v>13212</v>
      </c>
      <c r="B565" s="61" t="s">
        <v>23</v>
      </c>
      <c r="C565" s="61"/>
      <c r="D565" s="61"/>
      <c r="E565" s="61" t="str">
        <f>D559</f>
        <v>E0233/24</v>
      </c>
      <c r="F565" s="61"/>
      <c r="G565" s="4" t="s">
        <v>24</v>
      </c>
      <c r="H565" s="31"/>
      <c r="I565" s="1"/>
      <c r="J565" s="1"/>
      <c r="K565" s="1">
        <v>4</v>
      </c>
      <c r="L565" s="1">
        <v>4</v>
      </c>
      <c r="M565" s="1">
        <v>4</v>
      </c>
      <c r="N565" s="1"/>
      <c r="O565" s="1"/>
      <c r="P565" s="1"/>
      <c r="Q565" s="1"/>
      <c r="R565" s="1"/>
      <c r="S565" s="1"/>
      <c r="T565" s="1"/>
      <c r="U565" s="2">
        <f t="shared" si="416"/>
        <v>13</v>
      </c>
      <c r="V565" s="2">
        <f t="shared" si="417"/>
        <v>212</v>
      </c>
    </row>
    <row r="566" spans="1:22" ht="15" customHeight="1" x14ac:dyDescent="0.3">
      <c r="A566" s="2">
        <f t="shared" si="415"/>
        <v>13213</v>
      </c>
      <c r="B566" s="59" t="s">
        <v>25</v>
      </c>
      <c r="C566" s="59" t="s">
        <v>26</v>
      </c>
      <c r="D566" s="59" t="s">
        <v>27</v>
      </c>
      <c r="E566" s="59" t="s">
        <v>28</v>
      </c>
      <c r="F566" s="59" t="s">
        <v>29</v>
      </c>
      <c r="G566" s="59" t="s">
        <v>25</v>
      </c>
      <c r="H566" s="59" t="s">
        <v>26</v>
      </c>
      <c r="I566" s="1"/>
      <c r="J566" s="2" t="str">
        <f t="shared" ref="J566" si="425">CONCATENATE(K565,1)</f>
        <v>41</v>
      </c>
      <c r="K566" s="4">
        <f t="array" ref="K566:M568">LINEST(B569:B572,C569:C572^{1,2},TRUE,TRUE)</f>
        <v>1.3645693235196667E-3</v>
      </c>
      <c r="L566" s="4">
        <v>0.99985843146884801</v>
      </c>
      <c r="M566" s="4">
        <v>-1.4655497414214638E-6</v>
      </c>
      <c r="N566" s="1"/>
      <c r="O566" s="1"/>
      <c r="P566" s="1"/>
      <c r="Q566" s="1"/>
      <c r="R566" s="1"/>
      <c r="S566" s="1"/>
      <c r="T566" s="1"/>
      <c r="U566" s="2">
        <f t="shared" si="416"/>
        <v>13</v>
      </c>
      <c r="V566" s="2">
        <f t="shared" si="417"/>
        <v>213</v>
      </c>
    </row>
    <row r="567" spans="1:22" x14ac:dyDescent="0.3">
      <c r="A567" s="2">
        <f t="shared" si="415"/>
        <v>13214</v>
      </c>
      <c r="B567" s="60"/>
      <c r="C567" s="60"/>
      <c r="D567" s="60"/>
      <c r="E567" s="60"/>
      <c r="F567" s="60"/>
      <c r="G567" s="60"/>
      <c r="H567" s="60"/>
      <c r="I567" s="1"/>
      <c r="J567" s="2" t="str">
        <f t="shared" ref="J567" si="426">CONCATENATE(K565,2)</f>
        <v>42</v>
      </c>
      <c r="K567" s="4">
        <v>1.6881175055595928E-4</v>
      </c>
      <c r="L567" s="4">
        <v>1.8699790829994462E-5</v>
      </c>
      <c r="M567" s="4">
        <v>3.5156584665134736E-7</v>
      </c>
      <c r="N567" s="1"/>
      <c r="O567" s="1"/>
      <c r="P567" s="1"/>
      <c r="Q567" s="1"/>
      <c r="R567" s="1"/>
      <c r="S567" s="1"/>
      <c r="T567" s="1"/>
      <c r="U567" s="2">
        <f t="shared" si="416"/>
        <v>13</v>
      </c>
      <c r="V567" s="2">
        <f t="shared" si="417"/>
        <v>214</v>
      </c>
    </row>
    <row r="568" spans="1:22" x14ac:dyDescent="0.3">
      <c r="A568" s="2">
        <f t="shared" si="415"/>
        <v>13215</v>
      </c>
      <c r="B568" s="9" t="str">
        <f>CONCATENATE("(",H555,")")</f>
        <v>(g)</v>
      </c>
      <c r="C568" s="9" t="str">
        <f>B568</f>
        <v>(g)</v>
      </c>
      <c r="D568" s="9" t="str">
        <f>C568</f>
        <v>(g)</v>
      </c>
      <c r="E568" s="9"/>
      <c r="F568" s="9"/>
      <c r="G568" s="9" t="str">
        <f>B568</f>
        <v>(g)</v>
      </c>
      <c r="H568" s="9" t="str">
        <f>G568</f>
        <v>(g)</v>
      </c>
      <c r="I568" s="1"/>
      <c r="J568" s="2" t="str">
        <f t="shared" ref="J568" si="427">CONCATENATE(K565,3)</f>
        <v>43</v>
      </c>
      <c r="K568" s="4">
        <v>0.9999999999811372</v>
      </c>
      <c r="L568" s="4">
        <v>3.1525124133732925E-7</v>
      </c>
      <c r="M568" s="4" t="e">
        <v>#N/A</v>
      </c>
      <c r="N568" s="1"/>
      <c r="O568" s="1"/>
      <c r="P568" s="1"/>
      <c r="Q568" s="1"/>
      <c r="R568" s="1"/>
      <c r="S568" s="1"/>
      <c r="T568" s="1"/>
      <c r="U568" s="2">
        <f t="shared" si="416"/>
        <v>13</v>
      </c>
      <c r="V568" s="2">
        <f t="shared" si="417"/>
        <v>215</v>
      </c>
    </row>
    <row r="569" spans="1:22" x14ac:dyDescent="0.3">
      <c r="A569" s="2">
        <f t="shared" si="415"/>
        <v>13216</v>
      </c>
      <c r="B569" s="10">
        <v>5.0000000000000001E-3</v>
      </c>
      <c r="C569" s="10">
        <v>5.0020000000000004E-3</v>
      </c>
      <c r="D569" s="10">
        <v>3.0000000000000001E-6</v>
      </c>
      <c r="E569" s="10">
        <v>2</v>
      </c>
      <c r="F569" s="10">
        <v>1000000</v>
      </c>
      <c r="G569" s="8" t="s">
        <v>123</v>
      </c>
      <c r="H569" s="8" t="s">
        <v>123</v>
      </c>
      <c r="I569" s="1"/>
      <c r="J569" s="1"/>
      <c r="K569" s="1">
        <v>5</v>
      </c>
      <c r="L569" s="1">
        <v>5</v>
      </c>
      <c r="M569" s="1">
        <v>5</v>
      </c>
      <c r="N569" s="1">
        <v>5</v>
      </c>
      <c r="O569" s="1"/>
      <c r="P569" s="1"/>
      <c r="Q569" s="1"/>
      <c r="R569" s="1"/>
      <c r="S569" s="1"/>
      <c r="T569" s="1"/>
      <c r="U569" s="2">
        <f t="shared" si="416"/>
        <v>13</v>
      </c>
      <c r="V569" s="2">
        <f t="shared" si="417"/>
        <v>216</v>
      </c>
    </row>
    <row r="570" spans="1:22" x14ac:dyDescent="0.3">
      <c r="A570" s="2">
        <f t="shared" si="415"/>
        <v>13217</v>
      </c>
      <c r="B570" s="10">
        <v>0.02</v>
      </c>
      <c r="C570" s="10">
        <v>2.0004000000000001E-2</v>
      </c>
      <c r="D570" s="10">
        <v>5.0000000000000004E-6</v>
      </c>
      <c r="E570" s="10">
        <v>2</v>
      </c>
      <c r="F570" s="10">
        <v>1000000</v>
      </c>
      <c r="G570" s="8" t="s">
        <v>128</v>
      </c>
      <c r="H570" s="8" t="s">
        <v>128</v>
      </c>
      <c r="I570" s="1"/>
      <c r="J570" s="2" t="str">
        <f t="shared" ref="J570" si="428">CONCATENATE(K569,1)</f>
        <v>51</v>
      </c>
      <c r="K570" s="4">
        <f t="array" ref="K570:N572">LINEST(B569:B573,C569:C573^{1,2,3},TRUE,TRUE)</f>
        <v>-8.3054984711527051E-3</v>
      </c>
      <c r="L570" s="4">
        <v>2.6329306093061272E-3</v>
      </c>
      <c r="M570" s="4">
        <v>0.99981139566565869</v>
      </c>
      <c r="N570" s="4">
        <v>-1.1531224570050912E-6</v>
      </c>
      <c r="O570" s="1"/>
      <c r="P570" s="1"/>
      <c r="Q570" s="1"/>
      <c r="R570" s="1"/>
      <c r="S570" s="1"/>
      <c r="T570" s="1"/>
      <c r="U570" s="2">
        <f t="shared" si="416"/>
        <v>13</v>
      </c>
      <c r="V570" s="2">
        <f t="shared" si="417"/>
        <v>217</v>
      </c>
    </row>
    <row r="571" spans="1:22" x14ac:dyDescent="0.3">
      <c r="A571" s="2">
        <f t="shared" si="415"/>
        <v>13218</v>
      </c>
      <c r="B571" s="10">
        <v>0.05</v>
      </c>
      <c r="C571" s="10">
        <v>5.0005000000000001E-2</v>
      </c>
      <c r="D571" s="10">
        <v>5.0000000000000004E-6</v>
      </c>
      <c r="E571" s="10">
        <v>2</v>
      </c>
      <c r="F571" s="10">
        <v>1000000</v>
      </c>
      <c r="G571" s="8" t="s">
        <v>132</v>
      </c>
      <c r="H571" s="8" t="s">
        <v>132</v>
      </c>
      <c r="I571" s="1"/>
      <c r="J571" s="2" t="str">
        <f t="shared" ref="J571" si="429">CONCATENATE(K569,2)</f>
        <v>52</v>
      </c>
      <c r="K571" s="4">
        <v>2.9024676934618607E-4</v>
      </c>
      <c r="L571" s="4">
        <v>8.6195853269917475E-5</v>
      </c>
      <c r="M571" s="4">
        <v>6.227234811887237E-6</v>
      </c>
      <c r="N571" s="4">
        <v>9.5809545640289013E-8</v>
      </c>
      <c r="O571" s="1"/>
      <c r="P571" s="1"/>
      <c r="Q571" s="1"/>
      <c r="R571" s="1"/>
      <c r="S571" s="1"/>
      <c r="T571" s="1"/>
      <c r="U571" s="2">
        <f t="shared" si="416"/>
        <v>13</v>
      </c>
      <c r="V571" s="2">
        <f t="shared" si="417"/>
        <v>218</v>
      </c>
    </row>
    <row r="572" spans="1:22" x14ac:dyDescent="0.3">
      <c r="A572" s="2">
        <f t="shared" si="415"/>
        <v>13219</v>
      </c>
      <c r="B572" s="10">
        <v>0.1</v>
      </c>
      <c r="C572" s="10">
        <v>0.10000199999999999</v>
      </c>
      <c r="D572" s="10">
        <v>6.0000000000000002E-6</v>
      </c>
      <c r="E572" s="10">
        <v>2</v>
      </c>
      <c r="F572" s="10">
        <v>1000000</v>
      </c>
      <c r="G572" s="8" t="s">
        <v>134</v>
      </c>
      <c r="H572" s="8" t="s">
        <v>134</v>
      </c>
      <c r="I572" s="1"/>
      <c r="J572" s="2" t="str">
        <f t="shared" ref="J572" si="430">CONCATENATE(K569,3)</f>
        <v>53</v>
      </c>
      <c r="K572" s="4">
        <v>0.99999999999974254</v>
      </c>
      <c r="L572" s="4">
        <v>7.9899278254392789E-8</v>
      </c>
      <c r="M572" s="4" t="e">
        <v>#N/A</v>
      </c>
      <c r="N572" s="4" t="e">
        <v>#N/A</v>
      </c>
      <c r="O572" s="1"/>
      <c r="P572" s="1"/>
      <c r="Q572" s="1"/>
      <c r="R572" s="1"/>
      <c r="S572" s="1"/>
      <c r="T572" s="1"/>
      <c r="U572" s="2">
        <f t="shared" si="416"/>
        <v>13</v>
      </c>
      <c r="V572" s="2">
        <f t="shared" si="417"/>
        <v>219</v>
      </c>
    </row>
    <row r="573" spans="1:22" x14ac:dyDescent="0.3">
      <c r="A573" s="2">
        <f t="shared" si="415"/>
        <v>13220</v>
      </c>
      <c r="B573" s="10">
        <v>0.2</v>
      </c>
      <c r="C573" s="10">
        <v>0.2</v>
      </c>
      <c r="D573" s="10">
        <v>7.9999999999999996E-6</v>
      </c>
      <c r="E573" s="10">
        <v>2</v>
      </c>
      <c r="F573" s="10">
        <v>1000000</v>
      </c>
      <c r="G573" s="8" t="s">
        <v>137</v>
      </c>
      <c r="H573" s="8" t="s">
        <v>137</v>
      </c>
      <c r="I573" s="1"/>
      <c r="J573" s="1"/>
      <c r="K573" s="1">
        <v>6</v>
      </c>
      <c r="L573" s="1">
        <v>6</v>
      </c>
      <c r="M573" s="1">
        <v>6</v>
      </c>
      <c r="N573" s="1">
        <v>6</v>
      </c>
      <c r="O573" s="1">
        <v>6</v>
      </c>
      <c r="P573" s="1"/>
      <c r="Q573" s="1"/>
      <c r="R573" s="1"/>
      <c r="S573" s="1"/>
      <c r="T573" s="1"/>
      <c r="U573" s="2">
        <f t="shared" si="416"/>
        <v>13</v>
      </c>
      <c r="V573" s="2">
        <f t="shared" si="417"/>
        <v>220</v>
      </c>
    </row>
    <row r="574" spans="1:22" x14ac:dyDescent="0.3">
      <c r="A574" s="2">
        <f t="shared" si="415"/>
        <v>13221</v>
      </c>
      <c r="B574" s="10">
        <v>0.5</v>
      </c>
      <c r="C574" s="10">
        <v>0.50000100000000003</v>
      </c>
      <c r="D574" s="10">
        <v>1.1E-5</v>
      </c>
      <c r="E574" s="10">
        <v>2</v>
      </c>
      <c r="F574" s="10">
        <v>1000000</v>
      </c>
      <c r="G574" s="8" t="s">
        <v>139</v>
      </c>
      <c r="H574" s="8" t="s">
        <v>139</v>
      </c>
      <c r="I574" s="1"/>
      <c r="J574" s="2" t="str">
        <f t="shared" ref="J574" si="431">CONCATENATE(K573,1)</f>
        <v>61</v>
      </c>
      <c r="K574" s="4">
        <f t="array" ref="K574:O576">LINEST(B569:B574,C569:C574^{1,2,3,4},TRUE,TRUE)</f>
        <v>1.7489270931744405E-2</v>
      </c>
      <c r="L574" s="4">
        <v>-1.4404583155232468E-2</v>
      </c>
      <c r="M574" s="4">
        <v>3.2453339288473831E-3</v>
      </c>
      <c r="N574" s="4">
        <v>0.99979239474180126</v>
      </c>
      <c r="O574" s="4">
        <v>-1.0383721282043084E-6</v>
      </c>
      <c r="P574" s="1"/>
      <c r="Q574" s="1"/>
      <c r="R574" s="1"/>
      <c r="S574" s="1"/>
      <c r="T574" s="1"/>
      <c r="U574" s="2">
        <f t="shared" si="416"/>
        <v>13</v>
      </c>
      <c r="V574" s="2">
        <f t="shared" si="417"/>
        <v>221</v>
      </c>
    </row>
    <row r="575" spans="1:22" x14ac:dyDescent="0.3">
      <c r="A575" s="2">
        <f t="shared" si="415"/>
        <v>13222</v>
      </c>
      <c r="B575" s="10">
        <v>1</v>
      </c>
      <c r="C575" s="10">
        <v>1.000005</v>
      </c>
      <c r="D575" s="10">
        <v>1.1E-5</v>
      </c>
      <c r="E575" s="10">
        <v>2</v>
      </c>
      <c r="F575" s="10">
        <v>1000000</v>
      </c>
      <c r="G575" s="8" t="s">
        <v>143</v>
      </c>
      <c r="H575" s="8" t="s">
        <v>143</v>
      </c>
      <c r="I575" s="1"/>
      <c r="J575" s="2" t="str">
        <f t="shared" ref="J575" si="432">CONCATENATE(K573,2)</f>
        <v>62</v>
      </c>
      <c r="K575" s="4">
        <v>5.6195561074413208E-5</v>
      </c>
      <c r="L575" s="4">
        <v>4.4417985506805216E-5</v>
      </c>
      <c r="M575" s="4">
        <v>9.3214728886934095E-6</v>
      </c>
      <c r="N575" s="4">
        <v>5.8986557216012682E-7</v>
      </c>
      <c r="O575" s="4">
        <v>8.4480403893664529E-9</v>
      </c>
      <c r="P575" s="1"/>
      <c r="Q575" s="1"/>
      <c r="R575" s="1"/>
      <c r="S575" s="1"/>
      <c r="T575" s="1"/>
      <c r="U575" s="2">
        <f t="shared" si="416"/>
        <v>13</v>
      </c>
      <c r="V575" s="2">
        <f t="shared" si="417"/>
        <v>222</v>
      </c>
    </row>
    <row r="576" spans="1:22" x14ac:dyDescent="0.3">
      <c r="A576" s="2">
        <f t="shared" si="415"/>
        <v>13223</v>
      </c>
      <c r="B576" s="10"/>
      <c r="C576" s="10"/>
      <c r="D576" s="10"/>
      <c r="E576" s="10"/>
      <c r="F576" s="10"/>
      <c r="G576" s="8"/>
      <c r="H576" s="8"/>
      <c r="I576" s="1"/>
      <c r="J576" s="2" t="str">
        <f t="shared" ref="J576" si="433">CONCATENATE(K573,3)</f>
        <v>63</v>
      </c>
      <c r="K576" s="4">
        <v>0.99999999999999967</v>
      </c>
      <c r="L576" s="4">
        <v>6.8474533344555754E-9</v>
      </c>
      <c r="M576" s="4" t="e">
        <v>#N/A</v>
      </c>
      <c r="N576" s="4" t="e">
        <v>#N/A</v>
      </c>
      <c r="O576" s="4" t="e">
        <v>#N/A</v>
      </c>
      <c r="P576" s="1"/>
      <c r="Q576" s="1"/>
      <c r="R576" s="1"/>
      <c r="S576" s="1"/>
      <c r="T576" s="1"/>
      <c r="U576" s="2">
        <f t="shared" si="416"/>
        <v>13</v>
      </c>
      <c r="V576" s="2">
        <f t="shared" si="417"/>
        <v>223</v>
      </c>
    </row>
    <row r="577" spans="1:22" x14ac:dyDescent="0.3">
      <c r="A577" s="2">
        <f t="shared" si="415"/>
        <v>13224</v>
      </c>
      <c r="B577" s="10"/>
      <c r="C577" s="10"/>
      <c r="D577" s="10"/>
      <c r="E577" s="10"/>
      <c r="F577" s="10"/>
      <c r="G577" s="8"/>
      <c r="H577" s="8"/>
      <c r="I577" s="1"/>
      <c r="J577" s="1"/>
      <c r="K577" s="1">
        <v>7</v>
      </c>
      <c r="L577" s="1">
        <v>7</v>
      </c>
      <c r="M577" s="1">
        <v>7</v>
      </c>
      <c r="N577" s="1">
        <v>7</v>
      </c>
      <c r="O577" s="1">
        <v>7</v>
      </c>
      <c r="P577" s="1">
        <v>7</v>
      </c>
      <c r="Q577" s="1"/>
      <c r="R577" s="1"/>
      <c r="S577" s="1"/>
      <c r="T577" s="1"/>
      <c r="U577" s="2">
        <f t="shared" si="416"/>
        <v>13</v>
      </c>
      <c r="V577" s="2">
        <f t="shared" si="417"/>
        <v>224</v>
      </c>
    </row>
    <row r="578" spans="1:22" x14ac:dyDescent="0.3">
      <c r="A578" s="2">
        <f t="shared" si="415"/>
        <v>13225</v>
      </c>
      <c r="B578" s="10"/>
      <c r="C578" s="10"/>
      <c r="D578" s="10"/>
      <c r="E578" s="10"/>
      <c r="F578" s="10"/>
      <c r="G578" s="8"/>
      <c r="H578" s="8"/>
      <c r="I578" s="1"/>
      <c r="J578" s="2" t="str">
        <f t="shared" ref="J578" si="434">CONCATENATE(K577,1)</f>
        <v>71</v>
      </c>
      <c r="K578" s="4">
        <f t="array" ref="K578:P580">LINEST(B569:B575,C569:C575^{1,2,3,4,5},TRUE,TRUE)</f>
        <v>-1.7845521092903979E-2</v>
      </c>
      <c r="L578" s="4">
        <v>3.2601190869599263E-2</v>
      </c>
      <c r="M578" s="4">
        <v>-1.81141162050708E-2</v>
      </c>
      <c r="N578" s="4">
        <v>3.57154021436087E-3</v>
      </c>
      <c r="O578" s="4">
        <v>0.99978292068864727</v>
      </c>
      <c r="P578" s="4">
        <v>-9.8327751226314278E-7</v>
      </c>
      <c r="Q578" s="1"/>
      <c r="R578" s="1"/>
      <c r="S578" s="1"/>
      <c r="T578" s="1"/>
      <c r="U578" s="2">
        <f t="shared" si="416"/>
        <v>13</v>
      </c>
      <c r="V578" s="2">
        <f t="shared" si="417"/>
        <v>225</v>
      </c>
    </row>
    <row r="579" spans="1:22" x14ac:dyDescent="0.3">
      <c r="A579" s="2">
        <f t="shared" si="415"/>
        <v>13226</v>
      </c>
      <c r="B579" s="61" t="s">
        <v>44</v>
      </c>
      <c r="C579" s="61"/>
      <c r="D579" s="61"/>
      <c r="E579" s="61"/>
      <c r="F579" s="61"/>
      <c r="G579" s="61"/>
      <c r="H579" s="61"/>
      <c r="I579" s="1"/>
      <c r="J579" s="2" t="str">
        <f t="shared" ref="J579" si="435">CONCATENATE(K577,2)</f>
        <v>72</v>
      </c>
      <c r="K579" s="4">
        <v>4.2496983420307167E-4</v>
      </c>
      <c r="L579" s="4">
        <v>7.5942833255822958E-4</v>
      </c>
      <c r="M579" s="4">
        <v>4.0402113719766074E-4</v>
      </c>
      <c r="N579" s="4">
        <v>7.3943244980136607E-5</v>
      </c>
      <c r="O579" s="4">
        <v>4.4036255000645713E-6</v>
      </c>
      <c r="P579" s="4">
        <v>6.0931940415496329E-8</v>
      </c>
      <c r="Q579" s="1"/>
      <c r="R579" s="1"/>
      <c r="S579" s="1"/>
      <c r="T579" s="1"/>
      <c r="U579" s="2">
        <f t="shared" si="416"/>
        <v>13</v>
      </c>
      <c r="V579" s="2">
        <f t="shared" si="417"/>
        <v>226</v>
      </c>
    </row>
    <row r="580" spans="1:22" x14ac:dyDescent="0.3">
      <c r="A580" s="2">
        <f t="shared" si="415"/>
        <v>13227</v>
      </c>
      <c r="B580" s="4" t="s">
        <v>45</v>
      </c>
      <c r="C580" s="4" t="s">
        <v>46</v>
      </c>
      <c r="D580" s="4" t="s">
        <v>47</v>
      </c>
      <c r="E580" s="4" t="s">
        <v>48</v>
      </c>
      <c r="F580" s="4" t="s">
        <v>49</v>
      </c>
      <c r="G580" s="4" t="s">
        <v>50</v>
      </c>
      <c r="H580" s="4" t="s">
        <v>46</v>
      </c>
      <c r="I580" s="1"/>
      <c r="J580" s="2" t="str">
        <f t="shared" ref="J580" si="436">CONCATENATE(K577,3)</f>
        <v>73</v>
      </c>
      <c r="K580" s="4">
        <v>0.99999999999999711</v>
      </c>
      <c r="L580" s="4">
        <v>4.8691375920418829E-8</v>
      </c>
      <c r="M580" s="4" t="e">
        <v>#N/A</v>
      </c>
      <c r="N580" s="4" t="e">
        <v>#N/A</v>
      </c>
      <c r="O580" s="4" t="e">
        <v>#N/A</v>
      </c>
      <c r="P580" s="4" t="e">
        <v>#N/A</v>
      </c>
      <c r="Q580" s="1"/>
      <c r="R580" s="1"/>
      <c r="S580" s="1"/>
      <c r="T580" s="1"/>
      <c r="U580" s="2">
        <f t="shared" si="416"/>
        <v>13</v>
      </c>
      <c r="V580" s="2">
        <f t="shared" si="417"/>
        <v>227</v>
      </c>
    </row>
    <row r="581" spans="1:22" x14ac:dyDescent="0.3">
      <c r="A581" s="2">
        <f t="shared" si="415"/>
        <v>13228</v>
      </c>
      <c r="B581" s="10"/>
      <c r="C581" s="10"/>
      <c r="D581" s="10"/>
      <c r="E581" s="10"/>
      <c r="F581" s="10"/>
      <c r="G581" s="10"/>
      <c r="H581" s="10"/>
      <c r="I581" s="1"/>
      <c r="J581" s="1"/>
      <c r="K581" s="1">
        <v>8</v>
      </c>
      <c r="L581" s="1">
        <v>8</v>
      </c>
      <c r="M581" s="1">
        <v>8</v>
      </c>
      <c r="N581" s="1">
        <v>8</v>
      </c>
      <c r="O581" s="1">
        <v>8</v>
      </c>
      <c r="P581" s="1">
        <v>8</v>
      </c>
      <c r="Q581" s="1">
        <v>8</v>
      </c>
      <c r="R581" s="1"/>
      <c r="S581" s="1"/>
      <c r="T581" s="1"/>
      <c r="U581" s="2">
        <f t="shared" si="416"/>
        <v>13</v>
      </c>
      <c r="V581" s="2">
        <f t="shared" si="417"/>
        <v>228</v>
      </c>
    </row>
    <row r="582" spans="1:22" x14ac:dyDescent="0.3">
      <c r="A582" s="2">
        <f t="shared" si="415"/>
        <v>13229</v>
      </c>
      <c r="I582" s="1"/>
      <c r="J582" s="2" t="str">
        <f t="shared" ref="J582" si="437">CONCATENATE(K581,1)</f>
        <v>81</v>
      </c>
      <c r="K582" s="4" t="e">
        <f t="array" ref="K582:Q584">LINEST(B569:B576,C569:C576^{1,2,3,4,5,6},TRUE,TRUE)</f>
        <v>#VALUE!</v>
      </c>
      <c r="L582" s="4" t="e">
        <v>#VALUE!</v>
      </c>
      <c r="M582" s="4" t="e">
        <v>#VALUE!</v>
      </c>
      <c r="N582" s="4" t="e">
        <v>#VALUE!</v>
      </c>
      <c r="O582" s="4" t="e">
        <v>#VALUE!</v>
      </c>
      <c r="P582" s="4" t="e">
        <v>#VALUE!</v>
      </c>
      <c r="Q582" s="4" t="e">
        <v>#VALUE!</v>
      </c>
      <c r="R582" s="1"/>
      <c r="S582" s="1"/>
      <c r="T582" s="1"/>
      <c r="U582" s="2">
        <f t="shared" si="416"/>
        <v>13</v>
      </c>
      <c r="V582" s="2">
        <f t="shared" si="417"/>
        <v>229</v>
      </c>
    </row>
    <row r="583" spans="1:22" x14ac:dyDescent="0.3">
      <c r="A583" s="2">
        <f t="shared" si="415"/>
        <v>13230</v>
      </c>
      <c r="B583" s="58" t="s">
        <v>30</v>
      </c>
      <c r="C583" s="58"/>
      <c r="D583" s="58"/>
      <c r="E583" s="58"/>
      <c r="F583" s="58"/>
      <c r="G583" s="58"/>
      <c r="H583" s="58"/>
      <c r="I583" s="1"/>
      <c r="J583" s="2" t="str">
        <f t="shared" ref="J583" si="438">CONCATENATE(K581,2)</f>
        <v>82</v>
      </c>
      <c r="K583" s="4" t="e">
        <v>#VALUE!</v>
      </c>
      <c r="L583" s="4" t="e">
        <v>#VALUE!</v>
      </c>
      <c r="M583" s="4" t="e">
        <v>#VALUE!</v>
      </c>
      <c r="N583" s="4" t="e">
        <v>#VALUE!</v>
      </c>
      <c r="O583" s="4" t="e">
        <v>#VALUE!</v>
      </c>
      <c r="P583" s="4" t="e">
        <v>#VALUE!</v>
      </c>
      <c r="Q583" s="4" t="e">
        <v>#VALUE!</v>
      </c>
      <c r="R583" s="1"/>
      <c r="S583" s="1"/>
      <c r="T583" s="1"/>
      <c r="U583" s="2">
        <f t="shared" si="416"/>
        <v>13</v>
      </c>
      <c r="V583" s="2">
        <f t="shared" si="417"/>
        <v>230</v>
      </c>
    </row>
    <row r="584" spans="1:22" x14ac:dyDescent="0.3">
      <c r="A584" s="2">
        <f t="shared" si="415"/>
        <v>13231</v>
      </c>
      <c r="B584" s="62"/>
      <c r="C584" s="62"/>
      <c r="D584" s="62"/>
      <c r="E584" s="62"/>
      <c r="F584" s="62"/>
      <c r="G584" s="62"/>
      <c r="H584" s="62"/>
      <c r="I584" s="1"/>
      <c r="J584" s="2" t="str">
        <f t="shared" ref="J584" si="439">CONCATENATE(K581,3)</f>
        <v>83</v>
      </c>
      <c r="K584" s="4" t="e">
        <v>#VALUE!</v>
      </c>
      <c r="L584" s="4" t="e">
        <v>#VALUE!</v>
      </c>
      <c r="M584" s="4" t="e">
        <v>#VALUE!</v>
      </c>
      <c r="N584" s="4" t="e">
        <v>#VALUE!</v>
      </c>
      <c r="O584" s="4" t="e">
        <v>#VALUE!</v>
      </c>
      <c r="P584" s="4" t="e">
        <v>#VALUE!</v>
      </c>
      <c r="Q584" s="4" t="e">
        <v>#VALUE!</v>
      </c>
      <c r="R584" s="1"/>
      <c r="S584" s="1"/>
      <c r="T584" s="1"/>
      <c r="U584" s="2">
        <f t="shared" si="416"/>
        <v>13</v>
      </c>
      <c r="V584" s="2">
        <f t="shared" si="417"/>
        <v>231</v>
      </c>
    </row>
    <row r="585" spans="1:22" x14ac:dyDescent="0.3">
      <c r="A585" s="2">
        <f t="shared" si="415"/>
        <v>13232</v>
      </c>
      <c r="B585" s="62"/>
      <c r="C585" s="62"/>
      <c r="D585" s="62"/>
      <c r="E585" s="62"/>
      <c r="F585" s="62"/>
      <c r="G585" s="62"/>
      <c r="H585" s="62"/>
      <c r="I585" s="1"/>
      <c r="J585" s="1"/>
      <c r="K585" s="1">
        <v>9</v>
      </c>
      <c r="L585" s="1">
        <v>9</v>
      </c>
      <c r="M585" s="1">
        <v>9</v>
      </c>
      <c r="N585" s="1">
        <v>9</v>
      </c>
      <c r="O585" s="1">
        <v>9</v>
      </c>
      <c r="P585" s="1">
        <v>9</v>
      </c>
      <c r="Q585" s="1">
        <v>9</v>
      </c>
      <c r="R585" s="1">
        <v>9</v>
      </c>
      <c r="S585" s="1"/>
      <c r="T585" s="1"/>
      <c r="U585" s="2">
        <f t="shared" si="416"/>
        <v>13</v>
      </c>
      <c r="V585" s="2">
        <f t="shared" si="417"/>
        <v>232</v>
      </c>
    </row>
    <row r="586" spans="1:22" x14ac:dyDescent="0.3">
      <c r="A586" s="2">
        <f t="shared" si="415"/>
        <v>13233</v>
      </c>
      <c r="B586" s="1"/>
      <c r="C586" s="1"/>
      <c r="D586" s="1"/>
      <c r="E586" s="1"/>
      <c r="F586" s="1"/>
      <c r="G586" s="1"/>
      <c r="H586" s="1"/>
      <c r="I586" s="1"/>
      <c r="J586" s="2" t="str">
        <f t="shared" ref="J586" si="440">CONCATENATE(K585,1)</f>
        <v>91</v>
      </c>
      <c r="K586" s="4" t="e">
        <f t="array" ref="K586:R588">LINEST(B569:B577,C569:C577^{1,2,3,4,5,6,7},TRUE,TRUE)</f>
        <v>#VALUE!</v>
      </c>
      <c r="L586" s="4" t="e">
        <v>#VALUE!</v>
      </c>
      <c r="M586" s="4" t="e">
        <v>#VALUE!</v>
      </c>
      <c r="N586" s="4" t="e">
        <v>#VALUE!</v>
      </c>
      <c r="O586" s="4" t="e">
        <v>#VALUE!</v>
      </c>
      <c r="P586" s="4" t="e">
        <v>#VALUE!</v>
      </c>
      <c r="Q586" s="4" t="e">
        <v>#VALUE!</v>
      </c>
      <c r="R586" s="4" t="e">
        <v>#VALUE!</v>
      </c>
      <c r="S586" s="1"/>
      <c r="T586" s="1"/>
      <c r="U586" s="2">
        <f t="shared" si="416"/>
        <v>13</v>
      </c>
      <c r="V586" s="2">
        <f t="shared" si="417"/>
        <v>233</v>
      </c>
    </row>
    <row r="587" spans="1:22" x14ac:dyDescent="0.3">
      <c r="A587" s="2">
        <f t="shared" si="415"/>
        <v>13234</v>
      </c>
      <c r="B587" s="5" t="s">
        <v>31</v>
      </c>
      <c r="C587" s="5" t="s">
        <v>32</v>
      </c>
      <c r="D587" s="5" t="s">
        <v>33</v>
      </c>
      <c r="E587" s="4" t="s">
        <v>34</v>
      </c>
      <c r="F587" s="57" t="s">
        <v>35</v>
      </c>
      <c r="G587" s="58"/>
      <c r="H587" s="58"/>
      <c r="I587" s="1"/>
      <c r="J587" s="2" t="str">
        <f t="shared" ref="J587" si="441">CONCATENATE(K585,2)</f>
        <v>92</v>
      </c>
      <c r="K587" s="4" t="e">
        <v>#VALUE!</v>
      </c>
      <c r="L587" s="4" t="e">
        <v>#VALUE!</v>
      </c>
      <c r="M587" s="4" t="e">
        <v>#VALUE!</v>
      </c>
      <c r="N587" s="4" t="e">
        <v>#VALUE!</v>
      </c>
      <c r="O587" s="4" t="e">
        <v>#VALUE!</v>
      </c>
      <c r="P587" s="4" t="e">
        <v>#VALUE!</v>
      </c>
      <c r="Q587" s="4" t="e">
        <v>#VALUE!</v>
      </c>
      <c r="R587" s="4" t="e">
        <v>#VALUE!</v>
      </c>
      <c r="S587" s="1"/>
      <c r="T587" s="1"/>
      <c r="U587" s="2">
        <f t="shared" si="416"/>
        <v>13</v>
      </c>
      <c r="V587" s="2">
        <f t="shared" si="417"/>
        <v>234</v>
      </c>
    </row>
    <row r="588" spans="1:22" x14ac:dyDescent="0.3">
      <c r="A588" s="2">
        <f t="shared" si="415"/>
        <v>13235</v>
      </c>
      <c r="B588" s="5">
        <f t="shared" ref="B588:B597" si="442">C569-B569</f>
        <v>2.0000000000002655E-6</v>
      </c>
      <c r="C588" s="5">
        <f t="shared" ref="C588:C597" si="443">H569-G569</f>
        <v>0</v>
      </c>
      <c r="D588" s="5">
        <f>C588-B588</f>
        <v>-2.0000000000002655E-6</v>
      </c>
      <c r="E588" s="4">
        <f t="shared" ref="E588:E597" si="444">D569</f>
        <v>3.0000000000000001E-6</v>
      </c>
      <c r="F588" s="11">
        <f>IF(D556="","",MAX(G588,H588))</f>
        <v>5.000000000032756E-6</v>
      </c>
      <c r="G588" s="5">
        <f>ABS(MIN(D588:D597))</f>
        <v>5.000000000032756E-6</v>
      </c>
      <c r="H588" s="5">
        <f>ABS(MAX(D588:D597))</f>
        <v>0</v>
      </c>
      <c r="I588" s="1"/>
      <c r="J588" s="2" t="str">
        <f t="shared" ref="J588" si="445">CONCATENATE(K585,3)</f>
        <v>93</v>
      </c>
      <c r="K588" s="4" t="e">
        <v>#VALUE!</v>
      </c>
      <c r="L588" s="4" t="e">
        <v>#VALUE!</v>
      </c>
      <c r="M588" s="4" t="e">
        <v>#VALUE!</v>
      </c>
      <c r="N588" s="4" t="e">
        <v>#VALUE!</v>
      </c>
      <c r="O588" s="4" t="e">
        <v>#VALUE!</v>
      </c>
      <c r="P588" s="4" t="e">
        <v>#VALUE!</v>
      </c>
      <c r="Q588" s="4" t="e">
        <v>#VALUE!</v>
      </c>
      <c r="R588" s="4" t="e">
        <v>#VALUE!</v>
      </c>
      <c r="S588" s="1"/>
      <c r="T588" s="1"/>
      <c r="U588" s="2">
        <f t="shared" si="416"/>
        <v>13</v>
      </c>
      <c r="V588" s="2">
        <f t="shared" si="417"/>
        <v>235</v>
      </c>
    </row>
    <row r="589" spans="1:22" x14ac:dyDescent="0.3">
      <c r="A589" s="2">
        <f t="shared" si="415"/>
        <v>13236</v>
      </c>
      <c r="B589" s="5">
        <f t="shared" si="442"/>
        <v>4.0000000000005309E-6</v>
      </c>
      <c r="C589" s="5">
        <f t="shared" si="443"/>
        <v>0</v>
      </c>
      <c r="D589" s="5">
        <f t="shared" ref="D589:D597" si="446">C589-B589</f>
        <v>-4.0000000000005309E-6</v>
      </c>
      <c r="E589" s="4">
        <f t="shared" si="444"/>
        <v>5.0000000000000004E-6</v>
      </c>
      <c r="F589" s="57" t="s">
        <v>36</v>
      </c>
      <c r="G589" s="58"/>
      <c r="H589" s="58"/>
      <c r="I589" s="1"/>
      <c r="J589" s="1"/>
      <c r="K589" s="1">
        <v>10</v>
      </c>
      <c r="L589" s="1">
        <v>10</v>
      </c>
      <c r="M589" s="1">
        <v>10</v>
      </c>
      <c r="N589" s="1">
        <v>10</v>
      </c>
      <c r="O589" s="1">
        <v>10</v>
      </c>
      <c r="P589" s="1">
        <v>10</v>
      </c>
      <c r="Q589" s="1">
        <v>10</v>
      </c>
      <c r="R589" s="1">
        <v>10</v>
      </c>
      <c r="S589" s="1">
        <v>10</v>
      </c>
      <c r="T589" s="1"/>
      <c r="U589" s="2">
        <f t="shared" si="416"/>
        <v>13</v>
      </c>
      <c r="V589" s="2">
        <f t="shared" si="417"/>
        <v>236</v>
      </c>
    </row>
    <row r="590" spans="1:22" x14ac:dyDescent="0.3">
      <c r="A590" s="2">
        <f t="shared" si="415"/>
        <v>13237</v>
      </c>
      <c r="B590" s="5">
        <f t="shared" si="442"/>
        <v>4.9999999999980616E-6</v>
      </c>
      <c r="C590" s="5">
        <f t="shared" si="443"/>
        <v>0</v>
      </c>
      <c r="D590" s="5">
        <f t="shared" si="446"/>
        <v>-4.9999999999980616E-6</v>
      </c>
      <c r="E590" s="4">
        <f t="shared" si="444"/>
        <v>5.0000000000000004E-6</v>
      </c>
      <c r="F590" s="11">
        <f>IF(D556="","",MAX(G590,H590))</f>
        <v>5.000000000032756E-6</v>
      </c>
      <c r="G590" s="5">
        <f>ABS(MIN(B588:B597))</f>
        <v>0</v>
      </c>
      <c r="H590" s="5">
        <f>ABS(MAX(B588:B597))</f>
        <v>5.000000000032756E-6</v>
      </c>
      <c r="I590" s="1"/>
      <c r="J590" s="2" t="str">
        <f t="shared" ref="J590" si="447">CONCATENATE(K589,1)</f>
        <v>101</v>
      </c>
      <c r="K590" s="4" t="e">
        <f t="array" ref="K590:S592">LINEST(B569:B578,C569:C578^{1,2,3,4,5,6,7,8},TRUE,TRUE)</f>
        <v>#VALUE!</v>
      </c>
      <c r="L590" s="4" t="e">
        <v>#VALUE!</v>
      </c>
      <c r="M590" s="4" t="e">
        <v>#VALUE!</v>
      </c>
      <c r="N590" s="4" t="e">
        <v>#VALUE!</v>
      </c>
      <c r="O590" s="4" t="e">
        <v>#VALUE!</v>
      </c>
      <c r="P590" s="4" t="e">
        <v>#VALUE!</v>
      </c>
      <c r="Q590" s="4" t="e">
        <v>#VALUE!</v>
      </c>
      <c r="R590" s="4" t="e">
        <v>#VALUE!</v>
      </c>
      <c r="S590" s="4" t="e">
        <v>#VALUE!</v>
      </c>
      <c r="T590" s="1"/>
      <c r="U590" s="2">
        <f t="shared" si="416"/>
        <v>13</v>
      </c>
      <c r="V590" s="2">
        <f t="shared" si="417"/>
        <v>237</v>
      </c>
    </row>
    <row r="591" spans="1:22" x14ac:dyDescent="0.3">
      <c r="A591" s="2">
        <f t="shared" si="415"/>
        <v>13238</v>
      </c>
      <c r="B591" s="5">
        <f t="shared" si="442"/>
        <v>1.9999999999881224E-6</v>
      </c>
      <c r="C591" s="5">
        <f t="shared" si="443"/>
        <v>0</v>
      </c>
      <c r="D591" s="5">
        <f t="shared" si="446"/>
        <v>-1.9999999999881224E-6</v>
      </c>
      <c r="E591" s="4">
        <f t="shared" si="444"/>
        <v>6.0000000000000002E-6</v>
      </c>
      <c r="F591" s="57" t="s">
        <v>37</v>
      </c>
      <c r="G591" s="58"/>
      <c r="H591" s="58"/>
      <c r="I591" s="1"/>
      <c r="J591" s="2" t="str">
        <f t="shared" ref="J591" si="448">CONCATENATE(K589,2)</f>
        <v>102</v>
      </c>
      <c r="K591" s="4" t="e">
        <v>#VALUE!</v>
      </c>
      <c r="L591" s="4" t="e">
        <v>#VALUE!</v>
      </c>
      <c r="M591" s="4" t="e">
        <v>#VALUE!</v>
      </c>
      <c r="N591" s="4" t="e">
        <v>#VALUE!</v>
      </c>
      <c r="O591" s="4" t="e">
        <v>#VALUE!</v>
      </c>
      <c r="P591" s="4" t="e">
        <v>#VALUE!</v>
      </c>
      <c r="Q591" s="4" t="e">
        <v>#VALUE!</v>
      </c>
      <c r="R591" s="4" t="e">
        <v>#VALUE!</v>
      </c>
      <c r="S591" s="4" t="e">
        <v>#VALUE!</v>
      </c>
      <c r="T591" s="1"/>
      <c r="U591" s="2">
        <f t="shared" si="416"/>
        <v>13</v>
      </c>
      <c r="V591" s="2">
        <f t="shared" si="417"/>
        <v>238</v>
      </c>
    </row>
    <row r="592" spans="1:22" x14ac:dyDescent="0.3">
      <c r="A592" s="2">
        <f t="shared" si="415"/>
        <v>13239</v>
      </c>
      <c r="B592" s="5">
        <f t="shared" si="442"/>
        <v>0</v>
      </c>
      <c r="C592" s="5">
        <f t="shared" si="443"/>
        <v>0</v>
      </c>
      <c r="D592" s="5">
        <f t="shared" si="446"/>
        <v>0</v>
      </c>
      <c r="E592" s="4">
        <f t="shared" si="444"/>
        <v>7.9999999999999996E-6</v>
      </c>
      <c r="F592" s="11">
        <f>IF(D556="","",MAX(G592,H592))</f>
        <v>1.1E-5</v>
      </c>
      <c r="G592" s="5">
        <f>ABS(MIN(E588:E597))</f>
        <v>0</v>
      </c>
      <c r="H592" s="5">
        <f>ABS(MAX(E588:E597))</f>
        <v>1.1E-5</v>
      </c>
      <c r="I592" s="1"/>
      <c r="J592" s="2" t="str">
        <f t="shared" ref="J592" si="449">CONCATENATE(K589,3)</f>
        <v>103</v>
      </c>
      <c r="K592" s="4" t="e">
        <v>#VALUE!</v>
      </c>
      <c r="L592" s="4" t="e">
        <v>#VALUE!</v>
      </c>
      <c r="M592" s="4" t="e">
        <v>#VALUE!</v>
      </c>
      <c r="N592" s="4" t="e">
        <v>#VALUE!</v>
      </c>
      <c r="O592" s="4" t="e">
        <v>#VALUE!</v>
      </c>
      <c r="P592" s="4" t="e">
        <v>#VALUE!</v>
      </c>
      <c r="Q592" s="4" t="e">
        <v>#VALUE!</v>
      </c>
      <c r="R592" s="4" t="e">
        <v>#VALUE!</v>
      </c>
      <c r="S592" s="4" t="e">
        <v>#VALUE!</v>
      </c>
      <c r="T592" s="1"/>
      <c r="U592" s="2">
        <f t="shared" si="416"/>
        <v>13</v>
      </c>
      <c r="V592" s="2">
        <f t="shared" si="417"/>
        <v>239</v>
      </c>
    </row>
    <row r="593" spans="1:22" x14ac:dyDescent="0.3">
      <c r="A593" s="2">
        <f t="shared" si="415"/>
        <v>13240</v>
      </c>
      <c r="B593" s="5">
        <f t="shared" si="442"/>
        <v>1.0000000000287557E-6</v>
      </c>
      <c r="C593" s="5">
        <f t="shared" si="443"/>
        <v>0</v>
      </c>
      <c r="D593" s="5">
        <f t="shared" si="446"/>
        <v>-1.0000000000287557E-6</v>
      </c>
      <c r="E593" s="4">
        <f t="shared" si="444"/>
        <v>1.1E-5</v>
      </c>
      <c r="F593" s="57" t="s">
        <v>51</v>
      </c>
      <c r="G593" s="58"/>
      <c r="H593" s="5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2">
        <f t="shared" si="416"/>
        <v>13</v>
      </c>
      <c r="V593" s="2">
        <f t="shared" si="417"/>
        <v>240</v>
      </c>
    </row>
    <row r="594" spans="1:22" x14ac:dyDescent="0.3">
      <c r="A594" s="2">
        <f t="shared" si="415"/>
        <v>13241</v>
      </c>
      <c r="B594" s="5">
        <f t="shared" si="442"/>
        <v>5.000000000032756E-6</v>
      </c>
      <c r="C594" s="5">
        <f t="shared" si="443"/>
        <v>0</v>
      </c>
      <c r="D594" s="5">
        <f t="shared" si="446"/>
        <v>-5.000000000032756E-6</v>
      </c>
      <c r="E594" s="4">
        <f t="shared" si="444"/>
        <v>1.1E-5</v>
      </c>
      <c r="F594" s="21">
        <f>MAX(G594:H596)</f>
        <v>0</v>
      </c>
      <c r="G594" s="4">
        <f>IF(C581="",0,ABS(C581-B581))</f>
        <v>0</v>
      </c>
      <c r="H594" s="4">
        <f>IF(F581="",0,ABS(F581-B581))</f>
        <v>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2">
        <f t="shared" si="416"/>
        <v>13</v>
      </c>
      <c r="V594" s="2">
        <f t="shared" si="417"/>
        <v>241</v>
      </c>
    </row>
    <row r="595" spans="1:22" x14ac:dyDescent="0.3">
      <c r="A595" s="2">
        <f t="shared" si="415"/>
        <v>13242</v>
      </c>
      <c r="B595" s="5">
        <f t="shared" si="442"/>
        <v>0</v>
      </c>
      <c r="C595" s="5">
        <f t="shared" si="443"/>
        <v>0</v>
      </c>
      <c r="D595" s="5">
        <f t="shared" si="446"/>
        <v>0</v>
      </c>
      <c r="E595" s="4">
        <f t="shared" si="444"/>
        <v>0</v>
      </c>
      <c r="F595" s="4" t="s">
        <v>52</v>
      </c>
      <c r="G595" s="4">
        <f>IF(D581="",0,ABS(D581-B581))</f>
        <v>0</v>
      </c>
      <c r="H595" s="4">
        <f>IF(G581="",0,ABS(G581-B581))</f>
        <v>0</v>
      </c>
      <c r="I595" s="1"/>
      <c r="J595" s="1"/>
      <c r="R595" s="1"/>
      <c r="S595" s="1"/>
      <c r="T595" s="1"/>
      <c r="U595" s="2">
        <f t="shared" si="416"/>
        <v>13</v>
      </c>
      <c r="V595" s="2">
        <f t="shared" si="417"/>
        <v>242</v>
      </c>
    </row>
    <row r="596" spans="1:22" x14ac:dyDescent="0.3">
      <c r="A596" s="2">
        <f t="shared" si="415"/>
        <v>13243</v>
      </c>
      <c r="B596" s="5">
        <f t="shared" si="442"/>
        <v>0</v>
      </c>
      <c r="C596" s="5">
        <f t="shared" si="443"/>
        <v>0</v>
      </c>
      <c r="D596" s="5">
        <f t="shared" si="446"/>
        <v>0</v>
      </c>
      <c r="E596" s="4">
        <f t="shared" si="444"/>
        <v>0</v>
      </c>
      <c r="F596" s="22">
        <f>IF(F594=0,0,F594/B581%)</f>
        <v>0</v>
      </c>
      <c r="G596" s="4">
        <f>IF(G581="",0,ABS(G581-B581))</f>
        <v>0</v>
      </c>
      <c r="H596" s="4">
        <f>IF(H581="",0,ABS(H581-B581))</f>
        <v>0</v>
      </c>
      <c r="I596" s="1"/>
      <c r="J596" s="1"/>
      <c r="R596" s="1"/>
      <c r="S596" s="1"/>
      <c r="T596" s="1"/>
      <c r="U596" s="2">
        <f t="shared" si="416"/>
        <v>13</v>
      </c>
      <c r="V596" s="2">
        <f t="shared" si="417"/>
        <v>243</v>
      </c>
    </row>
    <row r="597" spans="1:22" x14ac:dyDescent="0.3">
      <c r="A597" s="2">
        <f t="shared" si="415"/>
        <v>13244</v>
      </c>
      <c r="B597" s="5">
        <f t="shared" si="442"/>
        <v>0</v>
      </c>
      <c r="C597" s="5">
        <f t="shared" si="443"/>
        <v>0</v>
      </c>
      <c r="D597" s="5">
        <f t="shared" si="446"/>
        <v>0</v>
      </c>
      <c r="E597" s="4">
        <f t="shared" si="444"/>
        <v>0</v>
      </c>
      <c r="F597" s="1"/>
      <c r="G597" s="1"/>
      <c r="H597" s="1"/>
      <c r="I597" s="1"/>
      <c r="J597" s="1"/>
      <c r="R597" s="1"/>
      <c r="S597" s="1"/>
      <c r="T597" s="1"/>
      <c r="U597" s="2">
        <f t="shared" si="416"/>
        <v>13</v>
      </c>
      <c r="V597" s="2">
        <f t="shared" si="417"/>
        <v>244</v>
      </c>
    </row>
    <row r="598" spans="1:22" x14ac:dyDescent="0.3">
      <c r="A598" s="2">
        <f t="shared" si="415"/>
        <v>13245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">
        <f t="shared" si="416"/>
        <v>13</v>
      </c>
      <c r="V598" s="2">
        <f t="shared" si="417"/>
        <v>245</v>
      </c>
    </row>
    <row r="599" spans="1:22" s="20" customForma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 x14ac:dyDescent="0.3">
      <c r="A600" s="2">
        <f>ROUND(CONCATENATE(U600,V600),0)</f>
        <v>14201</v>
      </c>
      <c r="B600" s="63" t="s">
        <v>0</v>
      </c>
      <c r="C600" s="63"/>
      <c r="D600" s="71" t="s">
        <v>73</v>
      </c>
      <c r="E600" s="72"/>
      <c r="F600" s="72"/>
      <c r="G600" s="72"/>
      <c r="H600" s="7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2">
        <f>U598+1</f>
        <v>14</v>
      </c>
      <c r="V600" s="2">
        <v>201</v>
      </c>
    </row>
    <row r="601" spans="1:22" x14ac:dyDescent="0.3">
      <c r="A601" s="2">
        <f t="shared" ref="A601:A644" si="450">ROUND(CONCATENATE(U601,V601),0)</f>
        <v>14202</v>
      </c>
      <c r="B601" s="12" t="s">
        <v>40</v>
      </c>
      <c r="C601" s="13"/>
      <c r="D601" s="16" t="s">
        <v>41</v>
      </c>
      <c r="E601" s="57" t="s">
        <v>39</v>
      </c>
      <c r="F601" s="57"/>
      <c r="G601" s="18">
        <v>0.1</v>
      </c>
      <c r="H601" s="15" t="str">
        <f>IF(D602="","",D601)</f>
        <v>g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2">
        <f>U600</f>
        <v>14</v>
      </c>
      <c r="V601" s="2">
        <f>V600+1</f>
        <v>202</v>
      </c>
    </row>
    <row r="602" spans="1:22" x14ac:dyDescent="0.3">
      <c r="A602" s="2">
        <f t="shared" si="450"/>
        <v>14203</v>
      </c>
      <c r="B602" s="63" t="s">
        <v>1</v>
      </c>
      <c r="C602" s="63"/>
      <c r="D602" s="71" t="s">
        <v>145</v>
      </c>
      <c r="E602" s="72"/>
      <c r="F602" s="72"/>
      <c r="G602" s="72"/>
      <c r="H602" s="73"/>
      <c r="I602" s="1"/>
      <c r="J602" s="1"/>
      <c r="K602" s="1" t="s">
        <v>2</v>
      </c>
      <c r="L602" s="1" t="s">
        <v>3</v>
      </c>
      <c r="M602" s="1" t="s">
        <v>4</v>
      </c>
      <c r="N602" s="1" t="s">
        <v>5</v>
      </c>
      <c r="O602" s="1" t="s">
        <v>6</v>
      </c>
      <c r="P602" s="1" t="s">
        <v>7</v>
      </c>
      <c r="Q602" s="1" t="s">
        <v>8</v>
      </c>
      <c r="R602" s="1" t="s">
        <v>9</v>
      </c>
      <c r="S602" s="1" t="s">
        <v>10</v>
      </c>
      <c r="T602" s="1"/>
      <c r="U602" s="2">
        <f t="shared" ref="U602:U644" si="451">U601</f>
        <v>14</v>
      </c>
      <c r="V602" s="2">
        <f t="shared" ref="V602:V644" si="452">V601+1</f>
        <v>203</v>
      </c>
    </row>
    <row r="603" spans="1:22" x14ac:dyDescent="0.3">
      <c r="A603" s="2">
        <f t="shared" si="450"/>
        <v>14204</v>
      </c>
      <c r="B603" s="63" t="s">
        <v>11</v>
      </c>
      <c r="C603" s="63"/>
      <c r="D603" s="71" t="s">
        <v>75</v>
      </c>
      <c r="E603" s="72"/>
      <c r="F603" s="72"/>
      <c r="G603" s="72"/>
      <c r="H603" s="73"/>
      <c r="I603" s="1"/>
      <c r="J603" s="1">
        <f>COUNTA(B615:B624)</f>
        <v>7</v>
      </c>
      <c r="K603" s="1">
        <f t="shared" ref="K603" si="453">IF(L603-1&lt;2,0,L603-1)</f>
        <v>0</v>
      </c>
      <c r="L603" s="1">
        <f t="shared" ref="L603" si="454">IF(M603-1&lt;2,0,M603-1)</f>
        <v>0</v>
      </c>
      <c r="M603" s="1">
        <f t="shared" ref="M603" si="455">IF(N603-1&lt;2,0,N603-1)</f>
        <v>0</v>
      </c>
      <c r="N603" s="1">
        <f t="shared" ref="N603" si="456">IF(O603-1&lt;2,0,O603-1)</f>
        <v>2</v>
      </c>
      <c r="O603" s="1">
        <f t="shared" ref="O603" si="457">IF(P603-1&lt;2,0,P603-1)</f>
        <v>3</v>
      </c>
      <c r="P603" s="1">
        <f t="shared" ref="P603" si="458">IF(Q603-1&lt;2,0,Q603-1)</f>
        <v>4</v>
      </c>
      <c r="Q603" s="1">
        <f t="shared" ref="Q603" si="459">IF(R603-1&lt;2,0,R603-1)</f>
        <v>5</v>
      </c>
      <c r="R603" s="1">
        <f>IF(S603-1&lt;2,0,S603-1)</f>
        <v>6</v>
      </c>
      <c r="S603" s="1">
        <f>J603</f>
        <v>7</v>
      </c>
      <c r="T603" s="1"/>
      <c r="U603" s="2">
        <f t="shared" si="451"/>
        <v>14</v>
      </c>
      <c r="V603" s="2">
        <f t="shared" si="452"/>
        <v>204</v>
      </c>
    </row>
    <row r="604" spans="1:22" x14ac:dyDescent="0.3">
      <c r="A604" s="2">
        <f t="shared" si="450"/>
        <v>14205</v>
      </c>
      <c r="B604" s="63" t="s">
        <v>12</v>
      </c>
      <c r="C604" s="63"/>
      <c r="D604" s="71" t="s">
        <v>43</v>
      </c>
      <c r="E604" s="72"/>
      <c r="F604" s="72"/>
      <c r="G604" s="72"/>
      <c r="H604" s="73"/>
      <c r="I604" s="1"/>
      <c r="J604" s="2" t="str">
        <f>CONCATENATE(J603,1)</f>
        <v>71</v>
      </c>
      <c r="K604" s="3">
        <f>IF(K603=0,0,VLOOKUP(J604,J608:S638,K603,FALSE))</f>
        <v>0</v>
      </c>
      <c r="L604" s="3">
        <f>IF(L603=0,0,VLOOKUP(J604,J608:S638,L603,FALSE))</f>
        <v>0</v>
      </c>
      <c r="M604" s="3">
        <f>IF(M603=0,0,VLOOKUP(J604,J608:S638,M603,FALSE))</f>
        <v>0</v>
      </c>
      <c r="N604" s="3">
        <f>IF(N603=0,0,VLOOKUP(J604,J608:S638,N603,FALSE))</f>
        <v>1.0393305689147921E-19</v>
      </c>
      <c r="O604" s="3">
        <f>IF(O603=0,0,VLOOKUP(J604,J608:S638,O603,FALSE))</f>
        <v>-2.2832890181026651E-15</v>
      </c>
      <c r="P604" s="3">
        <f>IF(P603=0,0,VLOOKUP(J604,J608:S638,P603,FALSE))</f>
        <v>1.5919498419661782E-11</v>
      </c>
      <c r="Q604" s="3">
        <f>IF(Q603=0,0,VLOOKUP(J604,J608:S638,Q603,FALSE))</f>
        <v>-3.6143265162539399E-8</v>
      </c>
      <c r="R604" s="3">
        <f>IF(R603=0,0,VLOOKUP(J604,J608:S638,R603,FALSE))</f>
        <v>1.0000237187205856</v>
      </c>
      <c r="S604" s="3">
        <f>IF(S603=0,0,VLOOKUP(J604,J608:S638,S603,FALSE))</f>
        <v>-2.7634804119944789E-3</v>
      </c>
      <c r="T604" s="1"/>
      <c r="U604" s="2">
        <f t="shared" si="451"/>
        <v>14</v>
      </c>
      <c r="V604" s="2">
        <f t="shared" si="452"/>
        <v>205</v>
      </c>
    </row>
    <row r="605" spans="1:22" x14ac:dyDescent="0.3">
      <c r="A605" s="2">
        <f t="shared" si="450"/>
        <v>14206</v>
      </c>
      <c r="B605" s="63" t="s">
        <v>13</v>
      </c>
      <c r="C605" s="63"/>
      <c r="D605" s="74" t="s">
        <v>160</v>
      </c>
      <c r="E605" s="72"/>
      <c r="F605" s="72"/>
      <c r="G605" s="72"/>
      <c r="H605" s="73"/>
      <c r="I605" s="1"/>
      <c r="J605" s="2" t="str">
        <f>CONCATENATE(J603,2)</f>
        <v>72</v>
      </c>
      <c r="K605" s="4">
        <f>IF(K603=0,0,VLOOKUP(J605,J608:S638,K603,FALSE))</f>
        <v>0</v>
      </c>
      <c r="L605" s="4">
        <f>IF(L603=0,0,VLOOKUP(J605,J608:S638,L603,FALSE))</f>
        <v>0</v>
      </c>
      <c r="M605" s="4">
        <f>IF(M603=0,0,VLOOKUP(J605,J608:S638,M603,FALSE))</f>
        <v>0</v>
      </c>
      <c r="N605" s="4">
        <f>IF(N603=0,0,VLOOKUP(J605,J608:S638,N603,FALSE))</f>
        <v>1.1328964449671003E-20</v>
      </c>
      <c r="O605" s="4">
        <f>IF(O603=0,0,VLOOKUP(J605,J608:S638,O603,FALSE))</f>
        <v>2.7193245794091912E-16</v>
      </c>
      <c r="P605" s="4">
        <f>IF(P603=0,0,VLOOKUP(J605,J608:S638,P603,FALSE))</f>
        <v>2.2683848040260702E-12</v>
      </c>
      <c r="Q605" s="4">
        <f>IF(Q603=0,0,VLOOKUP(J605,J608:S638,Q603,FALSE))</f>
        <v>7.7647619595927819E-9</v>
      </c>
      <c r="R605" s="4">
        <f>IF(R603=0,0,VLOOKUP(J605,J608:S638,R603,FALSE))</f>
        <v>9.8429962951346455E-6</v>
      </c>
      <c r="S605" s="4">
        <f>IF(S603=0,0,VLOOKUP(J605,J608:S638,S603,FALSE))</f>
        <v>3.1379719973304724E-3</v>
      </c>
      <c r="T605" s="1"/>
      <c r="U605" s="2">
        <f t="shared" si="451"/>
        <v>14</v>
      </c>
      <c r="V605" s="2">
        <f t="shared" si="452"/>
        <v>206</v>
      </c>
    </row>
    <row r="606" spans="1:22" x14ac:dyDescent="0.3">
      <c r="A606" s="2">
        <f t="shared" si="450"/>
        <v>14207</v>
      </c>
      <c r="B606" s="63" t="s">
        <v>14</v>
      </c>
      <c r="C606" s="63"/>
      <c r="D606" s="75">
        <v>45873</v>
      </c>
      <c r="E606" s="76"/>
      <c r="F606" s="76"/>
      <c r="G606" s="76"/>
      <c r="H606" s="77"/>
      <c r="I606" s="1"/>
      <c r="J606" s="2" t="str">
        <f>CONCATENATE(J603,3)</f>
        <v>73</v>
      </c>
      <c r="K606" s="4"/>
      <c r="L606" s="4"/>
      <c r="M606" s="4"/>
      <c r="N606" s="4" t="s">
        <v>15</v>
      </c>
      <c r="O606" s="3">
        <f>J603-2</f>
        <v>5</v>
      </c>
      <c r="P606" s="4" t="s">
        <v>16</v>
      </c>
      <c r="Q606" s="3">
        <f>VLOOKUP(J606,J608:S638,3,FALSE)</f>
        <v>2.5322681510147049E-3</v>
      </c>
      <c r="R606" s="4" t="s">
        <v>17</v>
      </c>
      <c r="S606" s="4">
        <f>VLOOKUP(J606,J608:S638,2,FALSE)</f>
        <v>0.99999999999992695</v>
      </c>
      <c r="T606" s="1"/>
      <c r="U606" s="2">
        <f t="shared" si="451"/>
        <v>14</v>
      </c>
      <c r="V606" s="2">
        <f t="shared" si="452"/>
        <v>207</v>
      </c>
    </row>
    <row r="607" spans="1:22" x14ac:dyDescent="0.3">
      <c r="A607" s="2">
        <f t="shared" si="450"/>
        <v>14208</v>
      </c>
      <c r="B607" s="63" t="s">
        <v>18</v>
      </c>
      <c r="C607" s="63"/>
      <c r="D607" s="64">
        <v>46264</v>
      </c>
      <c r="E607" s="65"/>
      <c r="F607" s="65"/>
      <c r="G607" s="65"/>
      <c r="H607" s="66"/>
      <c r="I607" s="1"/>
      <c r="J607" s="1"/>
      <c r="K607" s="1">
        <v>3</v>
      </c>
      <c r="L607" s="1">
        <v>3</v>
      </c>
      <c r="M607" s="1"/>
      <c r="N607" s="1"/>
      <c r="O607" s="1"/>
      <c r="P607" s="1"/>
      <c r="Q607" s="1"/>
      <c r="R607" s="1"/>
      <c r="S607" s="1"/>
      <c r="T607" s="1"/>
      <c r="U607" s="2">
        <f t="shared" si="451"/>
        <v>14</v>
      </c>
      <c r="V607" s="2">
        <f t="shared" si="452"/>
        <v>208</v>
      </c>
    </row>
    <row r="608" spans="1:22" x14ac:dyDescent="0.3">
      <c r="A608" s="2">
        <f t="shared" si="450"/>
        <v>14209</v>
      </c>
      <c r="B608" s="67" t="s">
        <v>19</v>
      </c>
      <c r="C608" s="63"/>
      <c r="D608" s="5">
        <f>IF(D601="","",MIN(B615:B624))</f>
        <v>100</v>
      </c>
      <c r="E608" s="6" t="s">
        <v>20</v>
      </c>
      <c r="F608" s="5">
        <f>IF(D601="","",MAX(B615:B624))</f>
        <v>10000</v>
      </c>
      <c r="G608" s="7" t="str">
        <f>IF(D602="","",H601)</f>
        <v>g</v>
      </c>
      <c r="H608" s="14"/>
      <c r="I608" s="1"/>
      <c r="J608" s="2" t="str">
        <f>CONCATENATE(K607,1)</f>
        <v>31</v>
      </c>
      <c r="K608" s="4">
        <f t="array" ref="K608:L610">LINEST(B615:B617,C615:C617^{1},TRUE,TRUE)</f>
        <v>1</v>
      </c>
      <c r="L608" s="4">
        <v>0</v>
      </c>
      <c r="M608" s="1"/>
      <c r="N608" s="1"/>
      <c r="O608" s="1"/>
      <c r="P608" s="1"/>
      <c r="Q608" s="1"/>
      <c r="R608" s="1"/>
      <c r="S608" s="1"/>
      <c r="T608" s="1"/>
      <c r="U608" s="2">
        <f t="shared" si="451"/>
        <v>14</v>
      </c>
      <c r="V608" s="2">
        <f t="shared" si="452"/>
        <v>209</v>
      </c>
    </row>
    <row r="609" spans="1:22" x14ac:dyDescent="0.3">
      <c r="A609" s="2">
        <f t="shared" si="450"/>
        <v>14210</v>
      </c>
      <c r="B609" s="1"/>
      <c r="C609" s="1"/>
      <c r="D609" s="1"/>
      <c r="E609" s="1"/>
      <c r="F609" s="1"/>
      <c r="G609" s="1"/>
      <c r="H609" s="1"/>
      <c r="I609" s="1"/>
      <c r="J609" s="2" t="str">
        <f>CONCATENATE(K607,2)</f>
        <v>32</v>
      </c>
      <c r="K609" s="4">
        <v>0</v>
      </c>
      <c r="L609" s="4">
        <v>0</v>
      </c>
      <c r="M609" s="1"/>
      <c r="N609" s="1"/>
      <c r="O609" s="1"/>
      <c r="P609" s="1"/>
      <c r="Q609" s="1"/>
      <c r="R609" s="1"/>
      <c r="S609" s="1"/>
      <c r="T609" s="1"/>
      <c r="U609" s="2">
        <f t="shared" si="451"/>
        <v>14</v>
      </c>
      <c r="V609" s="2">
        <f t="shared" si="452"/>
        <v>210</v>
      </c>
    </row>
    <row r="610" spans="1:22" x14ac:dyDescent="0.3">
      <c r="A610" s="2">
        <f t="shared" si="450"/>
        <v>14211</v>
      </c>
      <c r="B610" s="68" t="s">
        <v>21</v>
      </c>
      <c r="C610" s="68"/>
      <c r="D610" s="68"/>
      <c r="E610" s="68"/>
      <c r="F610" s="68"/>
      <c r="G610" s="69" t="s">
        <v>22</v>
      </c>
      <c r="H610" s="70"/>
      <c r="I610" s="1"/>
      <c r="J610" s="2" t="str">
        <f>CONCATENATE(K607,3)</f>
        <v>33</v>
      </c>
      <c r="K610" s="4">
        <v>1</v>
      </c>
      <c r="L610" s="4">
        <v>0</v>
      </c>
      <c r="M610" s="1"/>
      <c r="N610" s="1"/>
      <c r="O610" s="1"/>
      <c r="P610" s="1"/>
      <c r="Q610" s="1"/>
      <c r="R610" s="1"/>
      <c r="S610" s="1"/>
      <c r="T610" s="1"/>
      <c r="U610" s="2">
        <f t="shared" si="451"/>
        <v>14</v>
      </c>
      <c r="V610" s="2">
        <f t="shared" si="452"/>
        <v>211</v>
      </c>
    </row>
    <row r="611" spans="1:22" x14ac:dyDescent="0.3">
      <c r="A611" s="2">
        <f t="shared" si="450"/>
        <v>14212</v>
      </c>
      <c r="B611" s="61" t="s">
        <v>23</v>
      </c>
      <c r="C611" s="61"/>
      <c r="D611" s="61"/>
      <c r="E611" s="61" t="str">
        <f>D605</f>
        <v>E0498/25</v>
      </c>
      <c r="F611" s="61"/>
      <c r="G611" s="4" t="s">
        <v>24</v>
      </c>
      <c r="H611" s="31" t="s">
        <v>146</v>
      </c>
      <c r="I611" s="1"/>
      <c r="J611" s="1"/>
      <c r="K611" s="1">
        <v>4</v>
      </c>
      <c r="L611" s="1">
        <v>4</v>
      </c>
      <c r="M611" s="1">
        <v>4</v>
      </c>
      <c r="N611" s="1"/>
      <c r="O611" s="1"/>
      <c r="P611" s="1"/>
      <c r="Q611" s="1"/>
      <c r="R611" s="1"/>
      <c r="S611" s="1"/>
      <c r="T611" s="1"/>
      <c r="U611" s="2">
        <f t="shared" si="451"/>
        <v>14</v>
      </c>
      <c r="V611" s="2">
        <f t="shared" si="452"/>
        <v>212</v>
      </c>
    </row>
    <row r="612" spans="1:22" x14ac:dyDescent="0.3">
      <c r="A612" s="2">
        <f t="shared" si="450"/>
        <v>14213</v>
      </c>
      <c r="B612" s="59" t="s">
        <v>25</v>
      </c>
      <c r="C612" s="59" t="s">
        <v>26</v>
      </c>
      <c r="D612" s="59" t="s">
        <v>27</v>
      </c>
      <c r="E612" s="59" t="s">
        <v>28</v>
      </c>
      <c r="F612" s="59" t="s">
        <v>29</v>
      </c>
      <c r="G612" s="59" t="s">
        <v>25</v>
      </c>
      <c r="H612" s="59" t="s">
        <v>26</v>
      </c>
      <c r="I612" s="1"/>
      <c r="J612" s="2" t="str">
        <f t="shared" ref="J612" si="460">CONCATENATE(K611,1)</f>
        <v>41</v>
      </c>
      <c r="K612" s="4">
        <f t="array" ref="K612:M614">LINEST(B615:B618,C615:C618^{1,2},TRUE,TRUE)</f>
        <v>-8.9140318788732978E-20</v>
      </c>
      <c r="L612" s="4">
        <v>1.0000000000000002</v>
      </c>
      <c r="M612" s="4">
        <v>-6.0012726917385901E-14</v>
      </c>
      <c r="N612" s="1"/>
      <c r="O612" s="1"/>
      <c r="P612" s="1"/>
      <c r="Q612" s="1"/>
      <c r="R612" s="1"/>
      <c r="S612" s="1"/>
      <c r="T612" s="1"/>
      <c r="U612" s="2">
        <f t="shared" si="451"/>
        <v>14</v>
      </c>
      <c r="V612" s="2">
        <f t="shared" si="452"/>
        <v>213</v>
      </c>
    </row>
    <row r="613" spans="1:22" x14ac:dyDescent="0.3">
      <c r="A613" s="2">
        <f t="shared" si="450"/>
        <v>14214</v>
      </c>
      <c r="B613" s="60"/>
      <c r="C613" s="60"/>
      <c r="D613" s="60"/>
      <c r="E613" s="60"/>
      <c r="F613" s="60"/>
      <c r="G613" s="60"/>
      <c r="H613" s="60"/>
      <c r="I613" s="1"/>
      <c r="J613" s="2" t="str">
        <f t="shared" ref="J613" si="461">CONCATENATE(K611,2)</f>
        <v>42</v>
      </c>
      <c r="K613" s="4">
        <v>2.5475973396347591E-20</v>
      </c>
      <c r="L613" s="4">
        <v>7.1462277846465543E-17</v>
      </c>
      <c r="M613" s="4">
        <v>3.1900088097916645E-14</v>
      </c>
      <c r="N613" s="1"/>
      <c r="O613" s="1"/>
      <c r="P613" s="1"/>
      <c r="Q613" s="1"/>
      <c r="R613" s="1"/>
      <c r="S613" s="1"/>
      <c r="T613" s="1"/>
      <c r="U613" s="2">
        <f t="shared" si="451"/>
        <v>14</v>
      </c>
      <c r="V613" s="2">
        <f t="shared" si="452"/>
        <v>214</v>
      </c>
    </row>
    <row r="614" spans="1:22" x14ac:dyDescent="0.3">
      <c r="A614" s="2">
        <f t="shared" si="450"/>
        <v>14215</v>
      </c>
      <c r="B614" s="9" t="str">
        <f>CONCATENATE("(",H601,")")</f>
        <v>(g)</v>
      </c>
      <c r="C614" s="9" t="str">
        <f>B614</f>
        <v>(g)</v>
      </c>
      <c r="D614" s="9" t="str">
        <f>C614</f>
        <v>(g)</v>
      </c>
      <c r="E614" s="9"/>
      <c r="F614" s="9"/>
      <c r="G614" s="9" t="str">
        <f>B614</f>
        <v>(g)</v>
      </c>
      <c r="H614" s="9" t="str">
        <f>G614</f>
        <v>(g)</v>
      </c>
      <c r="I614" s="1"/>
      <c r="J614" s="2" t="str">
        <f t="shared" ref="J614" si="462">CONCATENATE(K611,3)</f>
        <v>43</v>
      </c>
      <c r="K614" s="4">
        <v>1</v>
      </c>
      <c r="L614" s="4">
        <v>2.8421709430404007E-14</v>
      </c>
      <c r="M614" s="4" t="e">
        <v>#N/A</v>
      </c>
      <c r="N614" s="1"/>
      <c r="O614" s="1"/>
      <c r="P614" s="1"/>
      <c r="Q614" s="1"/>
      <c r="R614" s="1"/>
      <c r="S614" s="1"/>
      <c r="T614" s="1"/>
      <c r="U614" s="2">
        <f t="shared" si="451"/>
        <v>14</v>
      </c>
      <c r="V614" s="2">
        <f t="shared" si="452"/>
        <v>215</v>
      </c>
    </row>
    <row r="615" spans="1:22" x14ac:dyDescent="0.3">
      <c r="A615" s="2">
        <f t="shared" si="450"/>
        <v>14216</v>
      </c>
      <c r="B615" s="10">
        <v>100</v>
      </c>
      <c r="C615" s="10">
        <v>100</v>
      </c>
      <c r="D615" s="10">
        <v>0.2</v>
      </c>
      <c r="E615" s="10">
        <v>2</v>
      </c>
      <c r="F615" s="10">
        <v>1000000</v>
      </c>
      <c r="G615" s="8">
        <v>100</v>
      </c>
      <c r="H615" s="8">
        <v>100</v>
      </c>
      <c r="I615" s="1"/>
      <c r="J615" s="1"/>
      <c r="K615" s="1">
        <v>5</v>
      </c>
      <c r="L615" s="1">
        <v>5</v>
      </c>
      <c r="M615" s="1">
        <v>5</v>
      </c>
      <c r="N615" s="1">
        <v>5</v>
      </c>
      <c r="O615" s="1"/>
      <c r="P615" s="1"/>
      <c r="Q615" s="1"/>
      <c r="R615" s="1"/>
      <c r="S615" s="1"/>
      <c r="T615" s="1"/>
      <c r="U615" s="2">
        <f t="shared" si="451"/>
        <v>14</v>
      </c>
      <c r="V615" s="2">
        <f t="shared" si="452"/>
        <v>216</v>
      </c>
    </row>
    <row r="616" spans="1:22" x14ac:dyDescent="0.3">
      <c r="A616" s="2">
        <f t="shared" si="450"/>
        <v>14217</v>
      </c>
      <c r="B616" s="10">
        <v>500</v>
      </c>
      <c r="C616" s="10">
        <v>500</v>
      </c>
      <c r="D616" s="10">
        <v>0.2</v>
      </c>
      <c r="E616" s="10">
        <v>2</v>
      </c>
      <c r="F616" s="10">
        <v>1000000</v>
      </c>
      <c r="G616" s="8">
        <v>500</v>
      </c>
      <c r="H616" s="8">
        <v>500</v>
      </c>
      <c r="I616" s="1"/>
      <c r="J616" s="2" t="str">
        <f t="shared" ref="J616" si="463">CONCATENATE(K615,1)</f>
        <v>51</v>
      </c>
      <c r="K616" s="4">
        <f t="array" ref="K616:N618">LINEST(B615:B619,C615:C619^{1,2,3},TRUE,TRUE)</f>
        <v>1.9937792298768468E-12</v>
      </c>
      <c r="L616" s="4">
        <v>-7.0154679362873718E-9</v>
      </c>
      <c r="M616" s="4">
        <v>1.0000053699578693</v>
      </c>
      <c r="N616" s="4">
        <v>-6.8109579456212405E-4</v>
      </c>
      <c r="O616" s="1"/>
      <c r="P616" s="1"/>
      <c r="Q616" s="1"/>
      <c r="R616" s="1"/>
      <c r="S616" s="1"/>
      <c r="T616" s="1"/>
      <c r="U616" s="2">
        <f t="shared" si="451"/>
        <v>14</v>
      </c>
      <c r="V616" s="2">
        <f t="shared" si="452"/>
        <v>217</v>
      </c>
    </row>
    <row r="617" spans="1:22" x14ac:dyDescent="0.3">
      <c r="A617" s="2">
        <f t="shared" si="450"/>
        <v>14218</v>
      </c>
      <c r="B617" s="10">
        <v>1000</v>
      </c>
      <c r="C617" s="10">
        <v>1000</v>
      </c>
      <c r="D617" s="10">
        <v>0.2</v>
      </c>
      <c r="E617" s="10">
        <v>2</v>
      </c>
      <c r="F617" s="10">
        <v>1000000</v>
      </c>
      <c r="G617" s="8">
        <v>1000</v>
      </c>
      <c r="H617" s="8">
        <v>1000</v>
      </c>
      <c r="I617" s="1"/>
      <c r="J617" s="2" t="str">
        <f t="shared" ref="J617" si="464">CONCATENATE(K615,2)</f>
        <v>52</v>
      </c>
      <c r="K617" s="4">
        <v>1.4349062993622629E-13</v>
      </c>
      <c r="L617" s="4">
        <v>1.0720898668677199E-9</v>
      </c>
      <c r="M617" s="4">
        <v>1.9669179125546223E-6</v>
      </c>
      <c r="N617" s="4">
        <v>7.4994558217206491E-4</v>
      </c>
      <c r="O617" s="1"/>
      <c r="P617" s="1"/>
      <c r="Q617" s="1"/>
      <c r="R617" s="1"/>
      <c r="S617" s="1"/>
      <c r="T617" s="1"/>
      <c r="U617" s="2">
        <f t="shared" si="451"/>
        <v>14</v>
      </c>
      <c r="V617" s="2">
        <f t="shared" si="452"/>
        <v>218</v>
      </c>
    </row>
    <row r="618" spans="1:22" x14ac:dyDescent="0.3">
      <c r="A618" s="2">
        <f t="shared" si="450"/>
        <v>14219</v>
      </c>
      <c r="B618" s="10">
        <v>2500</v>
      </c>
      <c r="C618" s="10">
        <v>2500</v>
      </c>
      <c r="D618" s="10">
        <v>0.2</v>
      </c>
      <c r="E618" s="10">
        <v>2</v>
      </c>
      <c r="F618" s="10">
        <v>1000000</v>
      </c>
      <c r="G618" s="8">
        <v>2500</v>
      </c>
      <c r="H618" s="8">
        <v>2500</v>
      </c>
      <c r="I618" s="1"/>
      <c r="J618" s="2" t="str">
        <f t="shared" ref="J618" si="465">CONCATENATE(K615,3)</f>
        <v>53</v>
      </c>
      <c r="K618" s="4">
        <v>0.99999999999997446</v>
      </c>
      <c r="L618" s="4">
        <v>6.3841717647505902E-4</v>
      </c>
      <c r="M618" s="4" t="e">
        <v>#N/A</v>
      </c>
      <c r="N618" s="4" t="e">
        <v>#N/A</v>
      </c>
      <c r="O618" s="1"/>
      <c r="P618" s="1"/>
      <c r="Q618" s="1"/>
      <c r="R618" s="1"/>
      <c r="S618" s="1"/>
      <c r="T618" s="1"/>
      <c r="U618" s="2">
        <f t="shared" si="451"/>
        <v>14</v>
      </c>
      <c r="V618" s="2">
        <f t="shared" si="452"/>
        <v>219</v>
      </c>
    </row>
    <row r="619" spans="1:22" x14ac:dyDescent="0.3">
      <c r="A619" s="2">
        <f t="shared" si="450"/>
        <v>14220</v>
      </c>
      <c r="B619" s="10">
        <v>5000</v>
      </c>
      <c r="C619" s="10">
        <v>4999.8999999999996</v>
      </c>
      <c r="D619" s="10">
        <v>0.2</v>
      </c>
      <c r="E619" s="10">
        <v>2.02</v>
      </c>
      <c r="F619" s="10">
        <v>120</v>
      </c>
      <c r="G619" s="8">
        <v>5000</v>
      </c>
      <c r="H619" s="8">
        <v>4999.8999999999996</v>
      </c>
      <c r="I619" s="1"/>
      <c r="J619" s="1"/>
      <c r="K619" s="1">
        <v>6</v>
      </c>
      <c r="L619" s="1">
        <v>6</v>
      </c>
      <c r="M619" s="1">
        <v>6</v>
      </c>
      <c r="N619" s="1">
        <v>6</v>
      </c>
      <c r="O619" s="1">
        <v>6</v>
      </c>
      <c r="P619" s="1"/>
      <c r="Q619" s="1"/>
      <c r="R619" s="1"/>
      <c r="S619" s="1"/>
      <c r="T619" s="1"/>
      <c r="U619" s="2">
        <f t="shared" si="451"/>
        <v>14</v>
      </c>
      <c r="V619" s="2">
        <f t="shared" si="452"/>
        <v>220</v>
      </c>
    </row>
    <row r="620" spans="1:22" x14ac:dyDescent="0.3">
      <c r="A620" s="2">
        <f t="shared" si="450"/>
        <v>14221</v>
      </c>
      <c r="B620" s="10">
        <v>7500</v>
      </c>
      <c r="C620" s="10">
        <v>7499.9</v>
      </c>
      <c r="D620" s="10">
        <v>0.2</v>
      </c>
      <c r="E620" s="10">
        <v>2.02</v>
      </c>
      <c r="F620" s="10">
        <v>153</v>
      </c>
      <c r="G620" s="8">
        <v>7500</v>
      </c>
      <c r="H620" s="8">
        <v>7499.9</v>
      </c>
      <c r="I620" s="1"/>
      <c r="J620" s="2" t="str">
        <f t="shared" ref="J620" si="466">CONCATENATE(K619,1)</f>
        <v>61</v>
      </c>
      <c r="K620" s="4">
        <f t="array" ref="K620:O622">LINEST(B615:B620,C615:C620^{1,2,3,4},TRUE,TRUE)</f>
        <v>-6.2827241278533376E-16</v>
      </c>
      <c r="L620" s="4">
        <v>7.3141843763687185E-12</v>
      </c>
      <c r="M620" s="4">
        <v>-1.9529218447579349E-8</v>
      </c>
      <c r="N620" s="4">
        <v>1.000013650787495</v>
      </c>
      <c r="O620" s="4">
        <v>-1.6477395649011628E-3</v>
      </c>
      <c r="P620" s="1"/>
      <c r="Q620" s="1"/>
      <c r="R620" s="1"/>
      <c r="S620" s="1"/>
      <c r="T620" s="1"/>
      <c r="U620" s="2">
        <f t="shared" si="451"/>
        <v>14</v>
      </c>
      <c r="V620" s="2">
        <f t="shared" si="452"/>
        <v>221</v>
      </c>
    </row>
    <row r="621" spans="1:22" x14ac:dyDescent="0.3">
      <c r="A621" s="2">
        <f t="shared" si="450"/>
        <v>14222</v>
      </c>
      <c r="B621" s="10">
        <v>10000</v>
      </c>
      <c r="C621" s="10">
        <v>9999.9</v>
      </c>
      <c r="D621" s="10">
        <v>0.3</v>
      </c>
      <c r="E621" s="10">
        <v>2</v>
      </c>
      <c r="F621" s="10">
        <v>1000000</v>
      </c>
      <c r="G621" s="8">
        <v>10000</v>
      </c>
      <c r="H621" s="8">
        <v>9999.9</v>
      </c>
      <c r="I621" s="1"/>
      <c r="J621" s="2" t="str">
        <f t="shared" ref="J621" si="467">CONCATENATE(K619,2)</f>
        <v>62</v>
      </c>
      <c r="K621" s="4">
        <v>5.5685193422018705E-17</v>
      </c>
      <c r="L621" s="4">
        <v>8.1152267714202134E-13</v>
      </c>
      <c r="M621" s="4">
        <v>3.6410803756958919E-9</v>
      </c>
      <c r="N621" s="4">
        <v>5.3599969531129847E-6</v>
      </c>
      <c r="O621" s="4">
        <v>1.8460938034563867E-3</v>
      </c>
      <c r="P621" s="1"/>
      <c r="Q621" s="1"/>
      <c r="R621" s="1"/>
      <c r="S621" s="1"/>
      <c r="T621" s="1"/>
      <c r="U621" s="2">
        <f t="shared" si="451"/>
        <v>14</v>
      </c>
      <c r="V621" s="2">
        <f t="shared" si="452"/>
        <v>222</v>
      </c>
    </row>
    <row r="622" spans="1:22" x14ac:dyDescent="0.3">
      <c r="A622" s="2">
        <f t="shared" si="450"/>
        <v>14223</v>
      </c>
      <c r="B622" s="10"/>
      <c r="C622" s="10"/>
      <c r="D622" s="10"/>
      <c r="E622" s="10"/>
      <c r="F622" s="10"/>
      <c r="G622" s="8"/>
      <c r="H622" s="8"/>
      <c r="I622" s="1"/>
      <c r="J622" s="2" t="str">
        <f t="shared" ref="J622" si="468">CONCATENATE(K619,3)</f>
        <v>63</v>
      </c>
      <c r="K622" s="4">
        <v>0.99999999999994571</v>
      </c>
      <c r="L622" s="4">
        <v>1.5247631581587484E-3</v>
      </c>
      <c r="M622" s="4" t="e">
        <v>#N/A</v>
      </c>
      <c r="N622" s="4" t="e">
        <v>#N/A</v>
      </c>
      <c r="O622" s="4" t="e">
        <v>#N/A</v>
      </c>
      <c r="P622" s="1"/>
      <c r="Q622" s="1"/>
      <c r="R622" s="1"/>
      <c r="S622" s="1"/>
      <c r="T622" s="1"/>
      <c r="U622" s="2">
        <f t="shared" si="451"/>
        <v>14</v>
      </c>
      <c r="V622" s="2">
        <f t="shared" si="452"/>
        <v>223</v>
      </c>
    </row>
    <row r="623" spans="1:22" x14ac:dyDescent="0.3">
      <c r="A623" s="2">
        <f t="shared" si="450"/>
        <v>14224</v>
      </c>
      <c r="B623" s="10"/>
      <c r="C623" s="10"/>
      <c r="D623" s="10"/>
      <c r="E623" s="10"/>
      <c r="F623" s="10"/>
      <c r="G623" s="8"/>
      <c r="H623" s="8"/>
      <c r="I623" s="1"/>
      <c r="J623" s="1"/>
      <c r="K623" s="1">
        <v>7</v>
      </c>
      <c r="L623" s="1">
        <v>7</v>
      </c>
      <c r="M623" s="1">
        <v>7</v>
      </c>
      <c r="N623" s="1">
        <v>7</v>
      </c>
      <c r="O623" s="1">
        <v>7</v>
      </c>
      <c r="P623" s="1">
        <v>7</v>
      </c>
      <c r="Q623" s="1"/>
      <c r="R623" s="1"/>
      <c r="S623" s="1"/>
      <c r="T623" s="1"/>
      <c r="U623" s="2">
        <f t="shared" si="451"/>
        <v>14</v>
      </c>
      <c r="V623" s="2">
        <f t="shared" si="452"/>
        <v>224</v>
      </c>
    </row>
    <row r="624" spans="1:22" x14ac:dyDescent="0.3">
      <c r="A624" s="2">
        <f t="shared" si="450"/>
        <v>14225</v>
      </c>
      <c r="B624" s="10"/>
      <c r="C624" s="10"/>
      <c r="D624" s="10"/>
      <c r="E624" s="10"/>
      <c r="F624" s="10"/>
      <c r="G624" s="8"/>
      <c r="H624" s="8"/>
      <c r="I624" s="1"/>
      <c r="J624" s="2" t="str">
        <f t="shared" ref="J624" si="469">CONCATENATE(K623,1)</f>
        <v>71</v>
      </c>
      <c r="K624" s="4">
        <f t="array" ref="K624:P626">LINEST(B615:B621,C615:C621^{1,2,3,4,5},TRUE,TRUE)</f>
        <v>1.0393305689147921E-19</v>
      </c>
      <c r="L624" s="4">
        <v>-2.2832890181026651E-15</v>
      </c>
      <c r="M624" s="4">
        <v>1.5919498419661782E-11</v>
      </c>
      <c r="N624" s="4">
        <v>-3.6143265162539399E-8</v>
      </c>
      <c r="O624" s="4">
        <v>1.0000237187205856</v>
      </c>
      <c r="P624" s="4">
        <v>-2.7634804119944789E-3</v>
      </c>
      <c r="Q624" s="1"/>
      <c r="R624" s="1"/>
      <c r="S624" s="1"/>
      <c r="T624" s="1"/>
      <c r="U624" s="2">
        <f t="shared" si="451"/>
        <v>14</v>
      </c>
      <c r="V624" s="2">
        <f t="shared" si="452"/>
        <v>225</v>
      </c>
    </row>
    <row r="625" spans="1:22" x14ac:dyDescent="0.3">
      <c r="A625" s="2">
        <f t="shared" si="450"/>
        <v>14226</v>
      </c>
      <c r="B625" s="61" t="s">
        <v>44</v>
      </c>
      <c r="C625" s="61"/>
      <c r="D625" s="61"/>
      <c r="E625" s="61"/>
      <c r="F625" s="61"/>
      <c r="G625" s="61"/>
      <c r="H625" s="61"/>
      <c r="I625" s="1"/>
      <c r="J625" s="2" t="str">
        <f t="shared" ref="J625" si="470">CONCATENATE(K623,2)</f>
        <v>72</v>
      </c>
      <c r="K625" s="4">
        <v>1.1328964449671003E-20</v>
      </c>
      <c r="L625" s="4">
        <v>2.7193245794091912E-16</v>
      </c>
      <c r="M625" s="4">
        <v>2.2683848040260702E-12</v>
      </c>
      <c r="N625" s="4">
        <v>7.7647619595927819E-9</v>
      </c>
      <c r="O625" s="4">
        <v>9.8429962951346455E-6</v>
      </c>
      <c r="P625" s="4">
        <v>3.1379719973304724E-3</v>
      </c>
      <c r="Q625" s="1"/>
      <c r="R625" s="1"/>
      <c r="S625" s="1"/>
      <c r="T625" s="1"/>
      <c r="U625" s="2">
        <f t="shared" si="451"/>
        <v>14</v>
      </c>
      <c r="V625" s="2">
        <f t="shared" si="452"/>
        <v>226</v>
      </c>
    </row>
    <row r="626" spans="1:22" x14ac:dyDescent="0.3">
      <c r="A626" s="2">
        <f t="shared" si="450"/>
        <v>14227</v>
      </c>
      <c r="B626" s="4" t="s">
        <v>45</v>
      </c>
      <c r="C626" s="4" t="s">
        <v>46</v>
      </c>
      <c r="D626" s="4" t="s">
        <v>47</v>
      </c>
      <c r="E626" s="4" t="s">
        <v>48</v>
      </c>
      <c r="F626" s="4" t="s">
        <v>49</v>
      </c>
      <c r="G626" s="4" t="s">
        <v>50</v>
      </c>
      <c r="H626" s="4" t="s">
        <v>46</v>
      </c>
      <c r="I626" s="1"/>
      <c r="J626" s="2" t="str">
        <f t="shared" ref="J626" si="471">CONCATENATE(K623,3)</f>
        <v>73</v>
      </c>
      <c r="K626" s="4">
        <v>0.99999999999992695</v>
      </c>
      <c r="L626" s="4">
        <v>2.5322681510147049E-3</v>
      </c>
      <c r="M626" s="4" t="e">
        <v>#N/A</v>
      </c>
      <c r="N626" s="4" t="e">
        <v>#N/A</v>
      </c>
      <c r="O626" s="4" t="e">
        <v>#N/A</v>
      </c>
      <c r="P626" s="4" t="e">
        <v>#N/A</v>
      </c>
      <c r="Q626" s="1"/>
      <c r="R626" s="1"/>
      <c r="S626" s="1"/>
      <c r="T626" s="1"/>
      <c r="U626" s="2">
        <f t="shared" si="451"/>
        <v>14</v>
      </c>
      <c r="V626" s="2">
        <f t="shared" si="452"/>
        <v>227</v>
      </c>
    </row>
    <row r="627" spans="1:22" x14ac:dyDescent="0.3">
      <c r="A627" s="2">
        <f t="shared" si="450"/>
        <v>14228</v>
      </c>
      <c r="B627" s="10">
        <v>3000</v>
      </c>
      <c r="C627" s="10">
        <v>3000</v>
      </c>
      <c r="D627" s="10">
        <v>2999.9</v>
      </c>
      <c r="E627" s="10">
        <v>3000</v>
      </c>
      <c r="F627" s="10">
        <v>3000</v>
      </c>
      <c r="G627" s="10">
        <v>2999.9</v>
      </c>
      <c r="H627" s="10">
        <v>3000</v>
      </c>
      <c r="I627" s="1"/>
      <c r="J627" s="1"/>
      <c r="K627" s="1">
        <v>8</v>
      </c>
      <c r="L627" s="1">
        <v>8</v>
      </c>
      <c r="M627" s="1">
        <v>8</v>
      </c>
      <c r="N627" s="1">
        <v>8</v>
      </c>
      <c r="O627" s="1">
        <v>8</v>
      </c>
      <c r="P627" s="1">
        <v>8</v>
      </c>
      <c r="Q627" s="1">
        <v>8</v>
      </c>
      <c r="R627" s="1"/>
      <c r="S627" s="1"/>
      <c r="T627" s="1"/>
      <c r="U627" s="2">
        <f t="shared" si="451"/>
        <v>14</v>
      </c>
      <c r="V627" s="2">
        <f t="shared" si="452"/>
        <v>228</v>
      </c>
    </row>
    <row r="628" spans="1:22" x14ac:dyDescent="0.3">
      <c r="A628" s="2">
        <f t="shared" si="450"/>
        <v>14229</v>
      </c>
      <c r="I628" s="1"/>
      <c r="J628" s="2" t="str">
        <f t="shared" ref="J628" si="472">CONCATENATE(K627,1)</f>
        <v>81</v>
      </c>
      <c r="K628" s="4" t="e">
        <f t="array" ref="K628:Q630">LINEST(B615:B622,C615:C622^{1,2,3,4,5,6},TRUE,TRUE)</f>
        <v>#VALUE!</v>
      </c>
      <c r="L628" s="4" t="e">
        <v>#VALUE!</v>
      </c>
      <c r="M628" s="4" t="e">
        <v>#VALUE!</v>
      </c>
      <c r="N628" s="4" t="e">
        <v>#VALUE!</v>
      </c>
      <c r="O628" s="4" t="e">
        <v>#VALUE!</v>
      </c>
      <c r="P628" s="4" t="e">
        <v>#VALUE!</v>
      </c>
      <c r="Q628" s="4" t="e">
        <v>#VALUE!</v>
      </c>
      <c r="R628" s="1"/>
      <c r="S628" s="1"/>
      <c r="T628" s="1"/>
      <c r="U628" s="2">
        <f t="shared" si="451"/>
        <v>14</v>
      </c>
      <c r="V628" s="2">
        <f t="shared" si="452"/>
        <v>229</v>
      </c>
    </row>
    <row r="629" spans="1:22" x14ac:dyDescent="0.3">
      <c r="A629" s="2">
        <f t="shared" si="450"/>
        <v>14230</v>
      </c>
      <c r="B629" s="58" t="s">
        <v>30</v>
      </c>
      <c r="C629" s="58"/>
      <c r="D629" s="58"/>
      <c r="E629" s="58"/>
      <c r="F629" s="58"/>
      <c r="G629" s="58"/>
      <c r="H629" s="58"/>
      <c r="I629" s="1"/>
      <c r="J629" s="2" t="str">
        <f t="shared" ref="J629" si="473">CONCATENATE(K627,2)</f>
        <v>82</v>
      </c>
      <c r="K629" s="4" t="e">
        <v>#VALUE!</v>
      </c>
      <c r="L629" s="4" t="e">
        <v>#VALUE!</v>
      </c>
      <c r="M629" s="4" t="e">
        <v>#VALUE!</v>
      </c>
      <c r="N629" s="4" t="e">
        <v>#VALUE!</v>
      </c>
      <c r="O629" s="4" t="e">
        <v>#VALUE!</v>
      </c>
      <c r="P629" s="4" t="e">
        <v>#VALUE!</v>
      </c>
      <c r="Q629" s="4" t="e">
        <v>#VALUE!</v>
      </c>
      <c r="R629" s="1"/>
      <c r="S629" s="1"/>
      <c r="T629" s="1"/>
      <c r="U629" s="2">
        <f t="shared" si="451"/>
        <v>14</v>
      </c>
      <c r="V629" s="2">
        <f t="shared" si="452"/>
        <v>230</v>
      </c>
    </row>
    <row r="630" spans="1:22" x14ac:dyDescent="0.3">
      <c r="A630" s="2">
        <f t="shared" si="450"/>
        <v>14231</v>
      </c>
      <c r="B630" s="62"/>
      <c r="C630" s="62"/>
      <c r="D630" s="62"/>
      <c r="E630" s="62"/>
      <c r="F630" s="62"/>
      <c r="G630" s="62"/>
      <c r="H630" s="62"/>
      <c r="I630" s="1"/>
      <c r="J630" s="2" t="str">
        <f t="shared" ref="J630" si="474">CONCATENATE(K627,3)</f>
        <v>83</v>
      </c>
      <c r="K630" s="4" t="e">
        <v>#VALUE!</v>
      </c>
      <c r="L630" s="4" t="e">
        <v>#VALUE!</v>
      </c>
      <c r="M630" s="4" t="e">
        <v>#VALUE!</v>
      </c>
      <c r="N630" s="4" t="e">
        <v>#VALUE!</v>
      </c>
      <c r="O630" s="4" t="e">
        <v>#VALUE!</v>
      </c>
      <c r="P630" s="4" t="e">
        <v>#VALUE!</v>
      </c>
      <c r="Q630" s="4" t="e">
        <v>#VALUE!</v>
      </c>
      <c r="R630" s="1"/>
      <c r="S630" s="1"/>
      <c r="T630" s="1"/>
      <c r="U630" s="2">
        <f t="shared" si="451"/>
        <v>14</v>
      </c>
      <c r="V630" s="2">
        <f t="shared" si="452"/>
        <v>231</v>
      </c>
    </row>
    <row r="631" spans="1:22" x14ac:dyDescent="0.3">
      <c r="A631" s="2">
        <f t="shared" si="450"/>
        <v>14232</v>
      </c>
      <c r="B631" s="62"/>
      <c r="C631" s="62"/>
      <c r="D631" s="62"/>
      <c r="E631" s="62"/>
      <c r="F631" s="62"/>
      <c r="G631" s="62"/>
      <c r="H631" s="62"/>
      <c r="I631" s="1"/>
      <c r="J631" s="1"/>
      <c r="K631" s="1">
        <v>9</v>
      </c>
      <c r="L631" s="1">
        <v>9</v>
      </c>
      <c r="M631" s="1">
        <v>9</v>
      </c>
      <c r="N631" s="1">
        <v>9</v>
      </c>
      <c r="O631" s="1">
        <v>9</v>
      </c>
      <c r="P631" s="1">
        <v>9</v>
      </c>
      <c r="Q631" s="1">
        <v>9</v>
      </c>
      <c r="R631" s="1">
        <v>9</v>
      </c>
      <c r="S631" s="1"/>
      <c r="T631" s="1"/>
      <c r="U631" s="2">
        <f t="shared" si="451"/>
        <v>14</v>
      </c>
      <c r="V631" s="2">
        <f t="shared" si="452"/>
        <v>232</v>
      </c>
    </row>
    <row r="632" spans="1:22" x14ac:dyDescent="0.3">
      <c r="A632" s="2">
        <f t="shared" si="450"/>
        <v>14233</v>
      </c>
      <c r="B632" s="1"/>
      <c r="C632" s="1"/>
      <c r="D632" s="1"/>
      <c r="E632" s="1"/>
      <c r="F632" s="1"/>
      <c r="G632" s="1"/>
      <c r="H632" s="1"/>
      <c r="I632" s="1"/>
      <c r="J632" s="2" t="str">
        <f t="shared" ref="J632" si="475">CONCATENATE(K631,1)</f>
        <v>91</v>
      </c>
      <c r="K632" s="4" t="e">
        <f t="array" ref="K632:R634">LINEST(B615:B623,C615:C623^{1,2,3,4,5,6,7},TRUE,TRUE)</f>
        <v>#VALUE!</v>
      </c>
      <c r="L632" s="4" t="e">
        <v>#VALUE!</v>
      </c>
      <c r="M632" s="4" t="e">
        <v>#VALUE!</v>
      </c>
      <c r="N632" s="4" t="e">
        <v>#VALUE!</v>
      </c>
      <c r="O632" s="4" t="e">
        <v>#VALUE!</v>
      </c>
      <c r="P632" s="4" t="e">
        <v>#VALUE!</v>
      </c>
      <c r="Q632" s="4" t="e">
        <v>#VALUE!</v>
      </c>
      <c r="R632" s="4" t="e">
        <v>#VALUE!</v>
      </c>
      <c r="S632" s="1"/>
      <c r="T632" s="1"/>
      <c r="U632" s="2">
        <f t="shared" si="451"/>
        <v>14</v>
      </c>
      <c r="V632" s="2">
        <f t="shared" si="452"/>
        <v>233</v>
      </c>
    </row>
    <row r="633" spans="1:22" x14ac:dyDescent="0.3">
      <c r="A633" s="2">
        <f t="shared" si="450"/>
        <v>14234</v>
      </c>
      <c r="B633" s="5" t="s">
        <v>31</v>
      </c>
      <c r="C633" s="5" t="s">
        <v>32</v>
      </c>
      <c r="D633" s="5" t="s">
        <v>33</v>
      </c>
      <c r="E633" s="4" t="s">
        <v>34</v>
      </c>
      <c r="F633" s="57" t="s">
        <v>35</v>
      </c>
      <c r="G633" s="58"/>
      <c r="H633" s="58"/>
      <c r="I633" s="1"/>
      <c r="J633" s="2" t="str">
        <f t="shared" ref="J633" si="476">CONCATENATE(K631,2)</f>
        <v>92</v>
      </c>
      <c r="K633" s="4" t="e">
        <v>#VALUE!</v>
      </c>
      <c r="L633" s="4" t="e">
        <v>#VALUE!</v>
      </c>
      <c r="M633" s="4" t="e">
        <v>#VALUE!</v>
      </c>
      <c r="N633" s="4" t="e">
        <v>#VALUE!</v>
      </c>
      <c r="O633" s="4" t="e">
        <v>#VALUE!</v>
      </c>
      <c r="P633" s="4" t="e">
        <v>#VALUE!</v>
      </c>
      <c r="Q633" s="4" t="e">
        <v>#VALUE!</v>
      </c>
      <c r="R633" s="4" t="e">
        <v>#VALUE!</v>
      </c>
      <c r="S633" s="1"/>
      <c r="T633" s="1"/>
      <c r="U633" s="2">
        <f t="shared" si="451"/>
        <v>14</v>
      </c>
      <c r="V633" s="2">
        <f t="shared" si="452"/>
        <v>234</v>
      </c>
    </row>
    <row r="634" spans="1:22" x14ac:dyDescent="0.3">
      <c r="A634" s="2">
        <f t="shared" si="450"/>
        <v>14235</v>
      </c>
      <c r="B634" s="5">
        <f t="shared" ref="B634:B643" si="477">C615-B615</f>
        <v>0</v>
      </c>
      <c r="C634" s="5">
        <f t="shared" ref="C634:C643" si="478">H615-G615</f>
        <v>0</v>
      </c>
      <c r="D634" s="5">
        <f>C634-B634</f>
        <v>0</v>
      </c>
      <c r="E634" s="4">
        <f t="shared" ref="E634:E643" si="479">D615</f>
        <v>0.2</v>
      </c>
      <c r="F634" s="11">
        <f>IF(D602="","",MAX(G634,H634))</f>
        <v>0</v>
      </c>
      <c r="G634" s="5">
        <f>ABS(MIN(D634:D643))</f>
        <v>0</v>
      </c>
      <c r="H634" s="5">
        <f>ABS(MAX(D634:D643))</f>
        <v>0</v>
      </c>
      <c r="I634" s="1"/>
      <c r="J634" s="2" t="str">
        <f t="shared" ref="J634" si="480">CONCATENATE(K631,3)</f>
        <v>93</v>
      </c>
      <c r="K634" s="4" t="e">
        <v>#VALUE!</v>
      </c>
      <c r="L634" s="4" t="e">
        <v>#VALUE!</v>
      </c>
      <c r="M634" s="4" t="e">
        <v>#VALUE!</v>
      </c>
      <c r="N634" s="4" t="e">
        <v>#VALUE!</v>
      </c>
      <c r="O634" s="4" t="e">
        <v>#VALUE!</v>
      </c>
      <c r="P634" s="4" t="e">
        <v>#VALUE!</v>
      </c>
      <c r="Q634" s="4" t="e">
        <v>#VALUE!</v>
      </c>
      <c r="R634" s="4" t="e">
        <v>#VALUE!</v>
      </c>
      <c r="S634" s="1"/>
      <c r="T634" s="1"/>
      <c r="U634" s="2">
        <f t="shared" si="451"/>
        <v>14</v>
      </c>
      <c r="V634" s="2">
        <f t="shared" si="452"/>
        <v>235</v>
      </c>
    </row>
    <row r="635" spans="1:22" x14ac:dyDescent="0.3">
      <c r="A635" s="2">
        <f t="shared" si="450"/>
        <v>14236</v>
      </c>
      <c r="B635" s="5">
        <f t="shared" si="477"/>
        <v>0</v>
      </c>
      <c r="C635" s="5">
        <f t="shared" si="478"/>
        <v>0</v>
      </c>
      <c r="D635" s="5">
        <f t="shared" ref="D635:D643" si="481">C635-B635</f>
        <v>0</v>
      </c>
      <c r="E635" s="4">
        <f t="shared" si="479"/>
        <v>0.2</v>
      </c>
      <c r="F635" s="57" t="s">
        <v>36</v>
      </c>
      <c r="G635" s="58"/>
      <c r="H635" s="58"/>
      <c r="I635" s="1"/>
      <c r="J635" s="1"/>
      <c r="K635" s="1">
        <v>10</v>
      </c>
      <c r="L635" s="1">
        <v>10</v>
      </c>
      <c r="M635" s="1">
        <v>10</v>
      </c>
      <c r="N635" s="1">
        <v>10</v>
      </c>
      <c r="O635" s="1">
        <v>10</v>
      </c>
      <c r="P635" s="1">
        <v>10</v>
      </c>
      <c r="Q635" s="1">
        <v>10</v>
      </c>
      <c r="R635" s="1">
        <v>10</v>
      </c>
      <c r="S635" s="1">
        <v>10</v>
      </c>
      <c r="T635" s="1"/>
      <c r="U635" s="2">
        <f t="shared" si="451"/>
        <v>14</v>
      </c>
      <c r="V635" s="2">
        <f t="shared" si="452"/>
        <v>236</v>
      </c>
    </row>
    <row r="636" spans="1:22" x14ac:dyDescent="0.3">
      <c r="A636" s="2">
        <f t="shared" si="450"/>
        <v>14237</v>
      </c>
      <c r="B636" s="5">
        <f t="shared" si="477"/>
        <v>0</v>
      </c>
      <c r="C636" s="5">
        <f t="shared" si="478"/>
        <v>0</v>
      </c>
      <c r="D636" s="5">
        <f t="shared" si="481"/>
        <v>0</v>
      </c>
      <c r="E636" s="4">
        <f t="shared" si="479"/>
        <v>0.2</v>
      </c>
      <c r="F636" s="11">
        <f>IF(D602="","",MAX(G636,H636))</f>
        <v>0.1000000000003638</v>
      </c>
      <c r="G636" s="5">
        <f>ABS(MIN(B634:B643))</f>
        <v>0.1000000000003638</v>
      </c>
      <c r="H636" s="5">
        <f>ABS(MAX(B634:B643))</f>
        <v>0</v>
      </c>
      <c r="I636" s="1"/>
      <c r="J636" s="2" t="str">
        <f t="shared" ref="J636" si="482">CONCATENATE(K635,1)</f>
        <v>101</v>
      </c>
      <c r="K636" s="4" t="e">
        <f t="array" ref="K636:S638">LINEST(B615:B624,C615:C624^{1,2,3,4,5,6,7,8},TRUE,TRUE)</f>
        <v>#VALUE!</v>
      </c>
      <c r="L636" s="4" t="e">
        <v>#VALUE!</v>
      </c>
      <c r="M636" s="4" t="e">
        <v>#VALUE!</v>
      </c>
      <c r="N636" s="4" t="e">
        <v>#VALUE!</v>
      </c>
      <c r="O636" s="4" t="e">
        <v>#VALUE!</v>
      </c>
      <c r="P636" s="4" t="e">
        <v>#VALUE!</v>
      </c>
      <c r="Q636" s="4" t="e">
        <v>#VALUE!</v>
      </c>
      <c r="R636" s="4" t="e">
        <v>#VALUE!</v>
      </c>
      <c r="S636" s="4" t="e">
        <v>#VALUE!</v>
      </c>
      <c r="T636" s="1"/>
      <c r="U636" s="2">
        <f t="shared" si="451"/>
        <v>14</v>
      </c>
      <c r="V636" s="2">
        <f t="shared" si="452"/>
        <v>237</v>
      </c>
    </row>
    <row r="637" spans="1:22" x14ac:dyDescent="0.3">
      <c r="A637" s="2">
        <f t="shared" si="450"/>
        <v>14238</v>
      </c>
      <c r="B637" s="5">
        <f t="shared" si="477"/>
        <v>0</v>
      </c>
      <c r="C637" s="5">
        <f t="shared" si="478"/>
        <v>0</v>
      </c>
      <c r="D637" s="5">
        <f t="shared" si="481"/>
        <v>0</v>
      </c>
      <c r="E637" s="4">
        <f t="shared" si="479"/>
        <v>0.2</v>
      </c>
      <c r="F637" s="57" t="s">
        <v>37</v>
      </c>
      <c r="G637" s="58"/>
      <c r="H637" s="58"/>
      <c r="I637" s="1"/>
      <c r="J637" s="2" t="str">
        <f t="shared" ref="J637" si="483">CONCATENATE(K635,2)</f>
        <v>102</v>
      </c>
      <c r="K637" s="4" t="e">
        <v>#VALUE!</v>
      </c>
      <c r="L637" s="4" t="e">
        <v>#VALUE!</v>
      </c>
      <c r="M637" s="4" t="e">
        <v>#VALUE!</v>
      </c>
      <c r="N637" s="4" t="e">
        <v>#VALUE!</v>
      </c>
      <c r="O637" s="4" t="e">
        <v>#VALUE!</v>
      </c>
      <c r="P637" s="4" t="e">
        <v>#VALUE!</v>
      </c>
      <c r="Q637" s="4" t="e">
        <v>#VALUE!</v>
      </c>
      <c r="R637" s="4" t="e">
        <v>#VALUE!</v>
      </c>
      <c r="S637" s="4" t="e">
        <v>#VALUE!</v>
      </c>
      <c r="T637" s="1"/>
      <c r="U637" s="2">
        <f t="shared" si="451"/>
        <v>14</v>
      </c>
      <c r="V637" s="2">
        <f t="shared" si="452"/>
        <v>238</v>
      </c>
    </row>
    <row r="638" spans="1:22" x14ac:dyDescent="0.3">
      <c r="A638" s="2">
        <f t="shared" si="450"/>
        <v>14239</v>
      </c>
      <c r="B638" s="5">
        <f t="shared" si="477"/>
        <v>-0.1000000000003638</v>
      </c>
      <c r="C638" s="5">
        <f t="shared" si="478"/>
        <v>-0.1000000000003638</v>
      </c>
      <c r="D638" s="5">
        <f t="shared" si="481"/>
        <v>0</v>
      </c>
      <c r="E638" s="4">
        <f t="shared" si="479"/>
        <v>0.2</v>
      </c>
      <c r="F638" s="11">
        <f>IF(D602="","",MAX(G638,H638))</f>
        <v>0.3</v>
      </c>
      <c r="G638" s="5">
        <f>ABS(MIN(E634:E643))</f>
        <v>0</v>
      </c>
      <c r="H638" s="5">
        <f>ABS(MAX(E634:E643))</f>
        <v>0.3</v>
      </c>
      <c r="I638" s="1"/>
      <c r="J638" s="2" t="str">
        <f t="shared" ref="J638" si="484">CONCATENATE(K635,3)</f>
        <v>103</v>
      </c>
      <c r="K638" s="4" t="e">
        <v>#VALUE!</v>
      </c>
      <c r="L638" s="4" t="e">
        <v>#VALUE!</v>
      </c>
      <c r="M638" s="4" t="e">
        <v>#VALUE!</v>
      </c>
      <c r="N638" s="4" t="e">
        <v>#VALUE!</v>
      </c>
      <c r="O638" s="4" t="e">
        <v>#VALUE!</v>
      </c>
      <c r="P638" s="4" t="e">
        <v>#VALUE!</v>
      </c>
      <c r="Q638" s="4" t="e">
        <v>#VALUE!</v>
      </c>
      <c r="R638" s="4" t="e">
        <v>#VALUE!</v>
      </c>
      <c r="S638" s="4" t="e">
        <v>#VALUE!</v>
      </c>
      <c r="T638" s="1"/>
      <c r="U638" s="2">
        <f t="shared" si="451"/>
        <v>14</v>
      </c>
      <c r="V638" s="2">
        <f t="shared" si="452"/>
        <v>239</v>
      </c>
    </row>
    <row r="639" spans="1:22" x14ac:dyDescent="0.3">
      <c r="A639" s="2">
        <f t="shared" si="450"/>
        <v>14240</v>
      </c>
      <c r="B639" s="5">
        <f t="shared" si="477"/>
        <v>-0.1000000000003638</v>
      </c>
      <c r="C639" s="5">
        <f t="shared" si="478"/>
        <v>-0.1000000000003638</v>
      </c>
      <c r="D639" s="5">
        <f t="shared" si="481"/>
        <v>0</v>
      </c>
      <c r="E639" s="4">
        <f t="shared" si="479"/>
        <v>0.2</v>
      </c>
      <c r="F639" s="57" t="s">
        <v>51</v>
      </c>
      <c r="G639" s="58"/>
      <c r="H639" s="5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2">
        <f t="shared" si="451"/>
        <v>14</v>
      </c>
      <c r="V639" s="2">
        <f t="shared" si="452"/>
        <v>240</v>
      </c>
    </row>
    <row r="640" spans="1:22" x14ac:dyDescent="0.3">
      <c r="A640" s="2">
        <f t="shared" si="450"/>
        <v>14241</v>
      </c>
      <c r="B640" s="5">
        <f t="shared" si="477"/>
        <v>-0.1000000000003638</v>
      </c>
      <c r="C640" s="5">
        <f t="shared" si="478"/>
        <v>-0.1000000000003638</v>
      </c>
      <c r="D640" s="5">
        <f t="shared" si="481"/>
        <v>0</v>
      </c>
      <c r="E640" s="4">
        <f t="shared" si="479"/>
        <v>0.3</v>
      </c>
      <c r="F640" s="21">
        <f>MAX(G640:H642)</f>
        <v>9.9999999999909051E-2</v>
      </c>
      <c r="G640" s="4">
        <f>IF(C627="",0,ABS(C627-B627))</f>
        <v>0</v>
      </c>
      <c r="H640" s="4">
        <f>IF(F627="",0,ABS(F627-B627))</f>
        <v>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2">
        <f t="shared" si="451"/>
        <v>14</v>
      </c>
      <c r="V640" s="2">
        <f t="shared" si="452"/>
        <v>241</v>
      </c>
    </row>
    <row r="641" spans="1:22" x14ac:dyDescent="0.3">
      <c r="A641" s="2">
        <f t="shared" si="450"/>
        <v>14242</v>
      </c>
      <c r="B641" s="5">
        <f t="shared" si="477"/>
        <v>0</v>
      </c>
      <c r="C641" s="5">
        <f t="shared" si="478"/>
        <v>0</v>
      </c>
      <c r="D641" s="5">
        <f t="shared" si="481"/>
        <v>0</v>
      </c>
      <c r="E641" s="4">
        <f t="shared" si="479"/>
        <v>0</v>
      </c>
      <c r="F641" s="4" t="s">
        <v>52</v>
      </c>
      <c r="G641" s="4">
        <f>IF(D627="",0,ABS(D627-B627))</f>
        <v>9.9999999999909051E-2</v>
      </c>
      <c r="H641" s="4">
        <f>IF(G627="",0,ABS(G627-B627))</f>
        <v>9.9999999999909051E-2</v>
      </c>
      <c r="I641" s="1"/>
      <c r="J641" s="1"/>
      <c r="R641" s="1"/>
      <c r="S641" s="1"/>
      <c r="T641" s="1"/>
      <c r="U641" s="2">
        <f t="shared" si="451"/>
        <v>14</v>
      </c>
      <c r="V641" s="2">
        <f t="shared" si="452"/>
        <v>242</v>
      </c>
    </row>
    <row r="642" spans="1:22" x14ac:dyDescent="0.3">
      <c r="A642" s="2">
        <f t="shared" si="450"/>
        <v>14243</v>
      </c>
      <c r="B642" s="5">
        <f t="shared" si="477"/>
        <v>0</v>
      </c>
      <c r="C642" s="5">
        <f t="shared" si="478"/>
        <v>0</v>
      </c>
      <c r="D642" s="5">
        <f t="shared" si="481"/>
        <v>0</v>
      </c>
      <c r="E642" s="4">
        <f t="shared" si="479"/>
        <v>0</v>
      </c>
      <c r="F642" s="22">
        <f>IF(F640=0,0,F640/B627%)</f>
        <v>3.3333333333303017E-3</v>
      </c>
      <c r="G642" s="4">
        <f>IF(G627="",0,ABS(G627-B627))</f>
        <v>9.9999999999909051E-2</v>
      </c>
      <c r="H642" s="4">
        <f>IF(H627="",0,ABS(H627-B627))</f>
        <v>0</v>
      </c>
      <c r="I642" s="1"/>
      <c r="J642" s="1"/>
      <c r="R642" s="1"/>
      <c r="S642" s="1"/>
      <c r="T642" s="1"/>
      <c r="U642" s="2">
        <f t="shared" si="451"/>
        <v>14</v>
      </c>
      <c r="V642" s="2">
        <f t="shared" si="452"/>
        <v>243</v>
      </c>
    </row>
    <row r="643" spans="1:22" x14ac:dyDescent="0.3">
      <c r="A643" s="2">
        <f t="shared" si="450"/>
        <v>14244</v>
      </c>
      <c r="B643" s="5">
        <f t="shared" si="477"/>
        <v>0</v>
      </c>
      <c r="C643" s="5">
        <f t="shared" si="478"/>
        <v>0</v>
      </c>
      <c r="D643" s="5">
        <f t="shared" si="481"/>
        <v>0</v>
      </c>
      <c r="E643" s="4">
        <f t="shared" si="479"/>
        <v>0</v>
      </c>
      <c r="F643" s="1"/>
      <c r="G643" s="1"/>
      <c r="H643" s="1"/>
      <c r="I643" s="1"/>
      <c r="J643" s="1"/>
      <c r="R643" s="1"/>
      <c r="S643" s="1"/>
      <c r="T643" s="1"/>
      <c r="U643" s="2">
        <f t="shared" si="451"/>
        <v>14</v>
      </c>
      <c r="V643" s="2">
        <f t="shared" si="452"/>
        <v>244</v>
      </c>
    </row>
    <row r="644" spans="1:22" x14ac:dyDescent="0.3">
      <c r="A644" s="2">
        <f t="shared" si="450"/>
        <v>14245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2">
        <f t="shared" si="451"/>
        <v>14</v>
      </c>
      <c r="V644" s="2">
        <f t="shared" si="452"/>
        <v>245</v>
      </c>
    </row>
    <row r="645" spans="1:22" s="20" customForma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 x14ac:dyDescent="0.3">
      <c r="A646" s="2">
        <f>ROUND(CONCATENATE(U646,V646),0)</f>
        <v>15201</v>
      </c>
      <c r="B646" s="63" t="s">
        <v>0</v>
      </c>
      <c r="C646" s="63"/>
      <c r="D646" s="71" t="s">
        <v>38</v>
      </c>
      <c r="E646" s="72"/>
      <c r="F646" s="72"/>
      <c r="G646" s="72"/>
      <c r="H646" s="7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">
        <f>U644+1</f>
        <v>15</v>
      </c>
      <c r="V646" s="2">
        <v>201</v>
      </c>
    </row>
    <row r="647" spans="1:22" x14ac:dyDescent="0.3">
      <c r="A647" s="2">
        <f t="shared" ref="A647:A690" si="485">ROUND(CONCATENATE(U647,V647),0)</f>
        <v>15202</v>
      </c>
      <c r="B647" s="12" t="s">
        <v>40</v>
      </c>
      <c r="C647" s="13"/>
      <c r="D647" s="16" t="s">
        <v>41</v>
      </c>
      <c r="E647" s="57" t="s">
        <v>39</v>
      </c>
      <c r="F647" s="57"/>
      <c r="G647" s="18">
        <v>1E-3</v>
      </c>
      <c r="H647" s="15" t="str">
        <f>IF(D648="","",D647)</f>
        <v>g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">
        <f>U646</f>
        <v>15</v>
      </c>
      <c r="V647" s="2">
        <f>V646+1</f>
        <v>202</v>
      </c>
    </row>
    <row r="648" spans="1:22" x14ac:dyDescent="0.3">
      <c r="A648" s="2">
        <f t="shared" si="485"/>
        <v>15203</v>
      </c>
      <c r="B648" s="63" t="s">
        <v>1</v>
      </c>
      <c r="C648" s="63"/>
      <c r="D648" s="71" t="s">
        <v>147</v>
      </c>
      <c r="E648" s="72"/>
      <c r="F648" s="72"/>
      <c r="G648" s="72"/>
      <c r="H648" s="73"/>
      <c r="I648" s="1"/>
      <c r="J648" s="1"/>
      <c r="K648" s="1" t="s">
        <v>2</v>
      </c>
      <c r="L648" s="1" t="s">
        <v>3</v>
      </c>
      <c r="M648" s="1" t="s">
        <v>4</v>
      </c>
      <c r="N648" s="1" t="s">
        <v>5</v>
      </c>
      <c r="O648" s="1" t="s">
        <v>6</v>
      </c>
      <c r="P648" s="1" t="s">
        <v>7</v>
      </c>
      <c r="Q648" s="1" t="s">
        <v>8</v>
      </c>
      <c r="R648" s="1" t="s">
        <v>9</v>
      </c>
      <c r="S648" s="1" t="s">
        <v>10</v>
      </c>
      <c r="T648" s="1"/>
      <c r="U648" s="2">
        <f t="shared" ref="U648:U690" si="486">U647</f>
        <v>15</v>
      </c>
      <c r="V648" s="2">
        <f t="shared" ref="V648:V690" si="487">V647+1</f>
        <v>203</v>
      </c>
    </row>
    <row r="649" spans="1:22" x14ac:dyDescent="0.3">
      <c r="A649" s="2">
        <f t="shared" si="485"/>
        <v>15204</v>
      </c>
      <c r="B649" s="63" t="s">
        <v>11</v>
      </c>
      <c r="C649" s="63"/>
      <c r="D649" s="71" t="s">
        <v>148</v>
      </c>
      <c r="E649" s="72"/>
      <c r="F649" s="72"/>
      <c r="G649" s="72"/>
      <c r="H649" s="73"/>
      <c r="I649" s="1"/>
      <c r="J649" s="1">
        <f>COUNTA(B661:B670)</f>
        <v>7</v>
      </c>
      <c r="K649" s="1">
        <f t="shared" ref="K649" si="488">IF(L649-1&lt;2,0,L649-1)</f>
        <v>0</v>
      </c>
      <c r="L649" s="1">
        <f t="shared" ref="L649" si="489">IF(M649-1&lt;2,0,M649-1)</f>
        <v>0</v>
      </c>
      <c r="M649" s="1">
        <f t="shared" ref="M649" si="490">IF(N649-1&lt;2,0,N649-1)</f>
        <v>0</v>
      </c>
      <c r="N649" s="1">
        <f t="shared" ref="N649" si="491">IF(O649-1&lt;2,0,O649-1)</f>
        <v>2</v>
      </c>
      <c r="O649" s="1">
        <f t="shared" ref="O649" si="492">IF(P649-1&lt;2,0,P649-1)</f>
        <v>3</v>
      </c>
      <c r="P649" s="1">
        <f t="shared" ref="P649" si="493">IF(Q649-1&lt;2,0,Q649-1)</f>
        <v>4</v>
      </c>
      <c r="Q649" s="1">
        <f t="shared" ref="Q649" si="494">IF(R649-1&lt;2,0,R649-1)</f>
        <v>5</v>
      </c>
      <c r="R649" s="1">
        <f>IF(S649-1&lt;2,0,S649-1)</f>
        <v>6</v>
      </c>
      <c r="S649" s="1">
        <f>J649</f>
        <v>7</v>
      </c>
      <c r="T649" s="1"/>
      <c r="U649" s="2">
        <f t="shared" si="486"/>
        <v>15</v>
      </c>
      <c r="V649" s="2">
        <f t="shared" si="487"/>
        <v>204</v>
      </c>
    </row>
    <row r="650" spans="1:22" x14ac:dyDescent="0.3">
      <c r="A650" s="2">
        <f t="shared" si="485"/>
        <v>15205</v>
      </c>
      <c r="B650" s="63" t="s">
        <v>12</v>
      </c>
      <c r="C650" s="63"/>
      <c r="D650" s="71" t="s">
        <v>149</v>
      </c>
      <c r="E650" s="72"/>
      <c r="F650" s="72"/>
      <c r="G650" s="72"/>
      <c r="H650" s="73"/>
      <c r="I650" s="1"/>
      <c r="J650" s="2" t="str">
        <f>CONCATENATE(J649,1)</f>
        <v>71</v>
      </c>
      <c r="K650" s="3">
        <f>IF(K649=0,0,VLOOKUP(J650,J654:S684,K649,FALSE))</f>
        <v>0</v>
      </c>
      <c r="L650" s="3">
        <f>IF(L649=0,0,VLOOKUP(J650,J654:S684,L649,FALSE))</f>
        <v>0</v>
      </c>
      <c r="M650" s="3">
        <f>IF(M649=0,0,VLOOKUP(J650,J654:S684,M649,FALSE))</f>
        <v>0</v>
      </c>
      <c r="N650" s="3">
        <f>IF(N649=0,0,VLOOKUP(J650,J654:S684,N649,FALSE))</f>
        <v>1.8234193130665115E-15</v>
      </c>
      <c r="O650" s="3">
        <f>IF(O649=0,0,VLOOKUP(J650,J654:S684,O649,FALSE))</f>
        <v>-1.7878289013572689E-12</v>
      </c>
      <c r="P650" s="3">
        <f>IF(P649=0,0,VLOOKUP(J650,J654:S684,P649,FALSE))</f>
        <v>5.267097679273311E-10</v>
      </c>
      <c r="Q650" s="3">
        <f>IF(Q649=0,0,VLOOKUP(J650,J654:S684,Q649,FALSE))</f>
        <v>-5.1321351189067656E-8</v>
      </c>
      <c r="R650" s="3">
        <f>IF(R649=0,0,VLOOKUP(J650,J654:S684,R649,FALSE))</f>
        <v>1.0000015041251415</v>
      </c>
      <c r="S650" s="3">
        <f>IF(S649=0,0,VLOOKUP(J650,J654:S684,S649,FALSE))</f>
        <v>-3.0184463320065413E-6</v>
      </c>
      <c r="T650" s="1"/>
      <c r="U650" s="2">
        <f t="shared" si="486"/>
        <v>15</v>
      </c>
      <c r="V650" s="2">
        <f t="shared" si="487"/>
        <v>205</v>
      </c>
    </row>
    <row r="651" spans="1:22" x14ac:dyDescent="0.3">
      <c r="A651" s="2">
        <f t="shared" si="485"/>
        <v>15206</v>
      </c>
      <c r="B651" s="63" t="s">
        <v>13</v>
      </c>
      <c r="C651" s="63"/>
      <c r="D651" s="74" t="s">
        <v>164</v>
      </c>
      <c r="E651" s="72"/>
      <c r="F651" s="72"/>
      <c r="G651" s="72"/>
      <c r="H651" s="73"/>
      <c r="I651" s="1"/>
      <c r="J651" s="2" t="str">
        <f>CONCATENATE(J649,2)</f>
        <v>72</v>
      </c>
      <c r="K651" s="4">
        <f>IF(K649=0,0,VLOOKUP(J651,J654:S684,K649,FALSE))</f>
        <v>0</v>
      </c>
      <c r="L651" s="4">
        <f>IF(L649=0,0,VLOOKUP(J651,J654:S684,L649,FALSE))</f>
        <v>0</v>
      </c>
      <c r="M651" s="4">
        <f>IF(M649=0,0,VLOOKUP(J651,J654:S684,M649,FALSE))</f>
        <v>0</v>
      </c>
      <c r="N651" s="4">
        <f>IF(N649=0,0,VLOOKUP(J651,J654:S684,N649,FALSE))</f>
        <v>6.2028458570339358E-17</v>
      </c>
      <c r="O651" s="4">
        <f>IF(O649=0,0,VLOOKUP(J651,J654:S684,O649,FALSE))</f>
        <v>7.8434704686420323E-14</v>
      </c>
      <c r="P651" s="4">
        <f>IF(P649=0,0,VLOOKUP(J651,J654:S684,P649,FALSE))</f>
        <v>3.4495411341568283E-11</v>
      </c>
      <c r="Q651" s="4">
        <f>IF(Q649=0,0,VLOOKUP(J651,J654:S684,Q649,FALSE))</f>
        <v>6.0338563435585843E-9</v>
      </c>
      <c r="R651" s="4">
        <f>IF(R649=0,0,VLOOKUP(J651,J654:S684,R649,FALSE))</f>
        <v>3.322531105036878E-7</v>
      </c>
      <c r="S651" s="4">
        <f>IF(S649=0,0,VLOOKUP(J651,J654:S684,S649,FALSE))</f>
        <v>3.4538857147162614E-6</v>
      </c>
      <c r="T651" s="1"/>
      <c r="U651" s="2">
        <f t="shared" si="486"/>
        <v>15</v>
      </c>
      <c r="V651" s="2">
        <f t="shared" si="487"/>
        <v>206</v>
      </c>
    </row>
    <row r="652" spans="1:22" x14ac:dyDescent="0.3">
      <c r="A652" s="2">
        <f t="shared" si="485"/>
        <v>15207</v>
      </c>
      <c r="B652" s="63" t="s">
        <v>14</v>
      </c>
      <c r="C652" s="63"/>
      <c r="D652" s="75">
        <v>45887</v>
      </c>
      <c r="E652" s="76"/>
      <c r="F652" s="76"/>
      <c r="G652" s="76"/>
      <c r="H652" s="77"/>
      <c r="I652" s="1"/>
      <c r="J652" s="2" t="str">
        <f>CONCATENATE(J649,3)</f>
        <v>73</v>
      </c>
      <c r="K652" s="4"/>
      <c r="L652" s="4"/>
      <c r="M652" s="4"/>
      <c r="N652" s="4" t="s">
        <v>15</v>
      </c>
      <c r="O652" s="3">
        <f>J649-2</f>
        <v>5</v>
      </c>
      <c r="P652" s="4" t="s">
        <v>16</v>
      </c>
      <c r="Q652" s="3">
        <f>VLOOKUP(J652,J654:S684,3,FALSE)</f>
        <v>4.3675761203232355E-6</v>
      </c>
      <c r="R652" s="4" t="s">
        <v>17</v>
      </c>
      <c r="S652" s="4">
        <f>VLOOKUP(J652,J654:S684,2,FALSE)</f>
        <v>0.99999999999999989</v>
      </c>
      <c r="T652" s="1"/>
      <c r="U652" s="2">
        <f t="shared" si="486"/>
        <v>15</v>
      </c>
      <c r="V652" s="2">
        <f t="shared" si="487"/>
        <v>207</v>
      </c>
    </row>
    <row r="653" spans="1:22" x14ac:dyDescent="0.3">
      <c r="A653" s="2">
        <f t="shared" si="485"/>
        <v>15208</v>
      </c>
      <c r="B653" s="63" t="s">
        <v>18</v>
      </c>
      <c r="C653" s="63"/>
      <c r="D653" s="64">
        <v>46264</v>
      </c>
      <c r="E653" s="65"/>
      <c r="F653" s="65"/>
      <c r="G653" s="65"/>
      <c r="H653" s="66"/>
      <c r="I653" s="1"/>
      <c r="J653" s="1"/>
      <c r="K653" s="1">
        <v>3</v>
      </c>
      <c r="L653" s="1">
        <v>3</v>
      </c>
      <c r="M653" s="1"/>
      <c r="N653" s="1"/>
      <c r="O653" s="1"/>
      <c r="P653" s="1"/>
      <c r="Q653" s="1"/>
      <c r="R653" s="1"/>
      <c r="S653" s="1"/>
      <c r="T653" s="1"/>
      <c r="U653" s="2">
        <f t="shared" si="486"/>
        <v>15</v>
      </c>
      <c r="V653" s="2">
        <f t="shared" si="487"/>
        <v>208</v>
      </c>
    </row>
    <row r="654" spans="1:22" x14ac:dyDescent="0.3">
      <c r="A654" s="2">
        <f t="shared" si="485"/>
        <v>15209</v>
      </c>
      <c r="B654" s="67" t="s">
        <v>19</v>
      </c>
      <c r="C654" s="63"/>
      <c r="D654" s="5">
        <f>IF(D647="","",MIN(B661:B670))</f>
        <v>0.2</v>
      </c>
      <c r="E654" s="6" t="s">
        <v>20</v>
      </c>
      <c r="F654" s="5">
        <f>IF(D647="","",MAX(B661:B670))</f>
        <v>500</v>
      </c>
      <c r="G654" s="7" t="str">
        <f>IF(D648="","",H647)</f>
        <v>g</v>
      </c>
      <c r="H654" s="14"/>
      <c r="I654" s="1"/>
      <c r="J654" s="2" t="str">
        <f>CONCATENATE(K653,1)</f>
        <v>31</v>
      </c>
      <c r="K654" s="4">
        <f t="array" ref="K654:L656">LINEST(B661:B663,C661:C663^{1},TRUE,TRUE)</f>
        <v>1.0000000000000002</v>
      </c>
      <c r="L654" s="4">
        <v>-3.5527136788005009E-15</v>
      </c>
      <c r="M654" s="1"/>
      <c r="N654" s="1"/>
      <c r="O654" s="1"/>
      <c r="P654" s="1"/>
      <c r="Q654" s="1"/>
      <c r="R654" s="1"/>
      <c r="S654" s="1"/>
      <c r="T654" s="1"/>
      <c r="U654" s="2">
        <f t="shared" si="486"/>
        <v>15</v>
      </c>
      <c r="V654" s="2">
        <f t="shared" si="487"/>
        <v>209</v>
      </c>
    </row>
    <row r="655" spans="1:22" x14ac:dyDescent="0.3">
      <c r="A655" s="2">
        <f t="shared" si="485"/>
        <v>15210</v>
      </c>
      <c r="B655" s="1"/>
      <c r="C655" s="1"/>
      <c r="D655" s="1"/>
      <c r="E655" s="1"/>
      <c r="F655" s="1"/>
      <c r="G655" s="1"/>
      <c r="H655" s="1"/>
      <c r="I655" s="1"/>
      <c r="J655" s="2" t="str">
        <f>CONCATENATE(K653,2)</f>
        <v>32</v>
      </c>
      <c r="K655" s="4">
        <v>1.8289161106813909E-16</v>
      </c>
      <c r="L655" s="4">
        <v>5.3060005341871235E-15</v>
      </c>
      <c r="M655" s="1"/>
      <c r="N655" s="1"/>
      <c r="O655" s="1"/>
      <c r="P655" s="1"/>
      <c r="Q655" s="1"/>
      <c r="R655" s="1"/>
      <c r="S655" s="1"/>
      <c r="T655" s="1"/>
      <c r="U655" s="2">
        <f t="shared" si="486"/>
        <v>15</v>
      </c>
      <c r="V655" s="2">
        <f t="shared" si="487"/>
        <v>210</v>
      </c>
    </row>
    <row r="656" spans="1:22" x14ac:dyDescent="0.3">
      <c r="A656" s="2">
        <f t="shared" si="485"/>
        <v>15211</v>
      </c>
      <c r="B656" s="68" t="s">
        <v>21</v>
      </c>
      <c r="C656" s="68"/>
      <c r="D656" s="68"/>
      <c r="E656" s="68"/>
      <c r="F656" s="68"/>
      <c r="G656" s="69" t="s">
        <v>22</v>
      </c>
      <c r="H656" s="70"/>
      <c r="I656" s="1"/>
      <c r="J656" s="2" t="str">
        <f>CONCATENATE(K653,3)</f>
        <v>33</v>
      </c>
      <c r="K656" s="4">
        <v>1</v>
      </c>
      <c r="L656" s="4">
        <v>7.1054273576010019E-15</v>
      </c>
      <c r="M656" s="1"/>
      <c r="N656" s="1"/>
      <c r="O656" s="1"/>
      <c r="P656" s="1"/>
      <c r="Q656" s="1"/>
      <c r="R656" s="1"/>
      <c r="S656" s="1"/>
      <c r="T656" s="1"/>
      <c r="U656" s="2">
        <f t="shared" si="486"/>
        <v>15</v>
      </c>
      <c r="V656" s="2">
        <f t="shared" si="487"/>
        <v>211</v>
      </c>
    </row>
    <row r="657" spans="1:22" x14ac:dyDescent="0.3">
      <c r="A657" s="2">
        <f t="shared" si="485"/>
        <v>15212</v>
      </c>
      <c r="B657" s="61" t="s">
        <v>23</v>
      </c>
      <c r="C657" s="61"/>
      <c r="D657" s="61"/>
      <c r="E657" s="61" t="str">
        <f>D651</f>
        <v>M0063/25</v>
      </c>
      <c r="F657" s="61"/>
      <c r="G657" s="4" t="s">
        <v>24</v>
      </c>
      <c r="H657" s="31" t="s">
        <v>150</v>
      </c>
      <c r="I657" s="1"/>
      <c r="J657" s="1"/>
      <c r="K657" s="1">
        <v>4</v>
      </c>
      <c r="L657" s="1">
        <v>4</v>
      </c>
      <c r="M657" s="1">
        <v>4</v>
      </c>
      <c r="N657" s="1"/>
      <c r="O657" s="1"/>
      <c r="P657" s="1"/>
      <c r="Q657" s="1"/>
      <c r="R657" s="1"/>
      <c r="S657" s="1"/>
      <c r="T657" s="1"/>
      <c r="U657" s="2">
        <f t="shared" si="486"/>
        <v>15</v>
      </c>
      <c r="V657" s="2">
        <f t="shared" si="487"/>
        <v>212</v>
      </c>
    </row>
    <row r="658" spans="1:22" ht="15" customHeight="1" x14ac:dyDescent="0.3">
      <c r="A658" s="2">
        <f t="shared" si="485"/>
        <v>15213</v>
      </c>
      <c r="B658" s="59" t="s">
        <v>25</v>
      </c>
      <c r="C658" s="59" t="s">
        <v>26</v>
      </c>
      <c r="D658" s="59" t="s">
        <v>27</v>
      </c>
      <c r="E658" s="59" t="s">
        <v>28</v>
      </c>
      <c r="F658" s="59" t="s">
        <v>29</v>
      </c>
      <c r="G658" s="59" t="s">
        <v>25</v>
      </c>
      <c r="H658" s="59" t="s">
        <v>26</v>
      </c>
      <c r="I658" s="1"/>
      <c r="J658" s="2" t="str">
        <f t="shared" ref="J658" si="495">CONCATENATE(K657,1)</f>
        <v>41</v>
      </c>
      <c r="K658" s="4">
        <f t="array" ref="K658:M660">LINEST(B661:B664,C661:C664^{1,2},TRUE,TRUE)</f>
        <v>0</v>
      </c>
      <c r="L658" s="4">
        <v>1</v>
      </c>
      <c r="M658" s="4">
        <v>0</v>
      </c>
      <c r="N658" s="1"/>
      <c r="O658" s="1"/>
      <c r="P658" s="1"/>
      <c r="Q658" s="1"/>
      <c r="R658" s="1"/>
      <c r="S658" s="1"/>
      <c r="T658" s="1"/>
      <c r="U658" s="2">
        <f t="shared" si="486"/>
        <v>15</v>
      </c>
      <c r="V658" s="2">
        <f t="shared" si="487"/>
        <v>213</v>
      </c>
    </row>
    <row r="659" spans="1:22" x14ac:dyDescent="0.3">
      <c r="A659" s="2">
        <f t="shared" si="485"/>
        <v>15214</v>
      </c>
      <c r="B659" s="60"/>
      <c r="C659" s="60"/>
      <c r="D659" s="60"/>
      <c r="E659" s="60"/>
      <c r="F659" s="60"/>
      <c r="G659" s="60"/>
      <c r="H659" s="60"/>
      <c r="I659" s="1"/>
      <c r="J659" s="2" t="str">
        <f t="shared" ref="J659" si="496">CONCATENATE(K657,2)</f>
        <v>42</v>
      </c>
      <c r="K659" s="4">
        <v>0</v>
      </c>
      <c r="L659" s="4">
        <v>0</v>
      </c>
      <c r="M659" s="4">
        <v>0</v>
      </c>
      <c r="N659" s="1"/>
      <c r="O659" s="1"/>
      <c r="P659" s="1"/>
      <c r="Q659" s="1"/>
      <c r="R659" s="1"/>
      <c r="S659" s="1"/>
      <c r="T659" s="1"/>
      <c r="U659" s="2">
        <f t="shared" si="486"/>
        <v>15</v>
      </c>
      <c r="V659" s="2">
        <f t="shared" si="487"/>
        <v>214</v>
      </c>
    </row>
    <row r="660" spans="1:22" x14ac:dyDescent="0.3">
      <c r="A660" s="2">
        <f t="shared" si="485"/>
        <v>15215</v>
      </c>
      <c r="B660" s="9" t="str">
        <f>CONCATENATE("(",H647,")")</f>
        <v>(g)</v>
      </c>
      <c r="C660" s="9" t="str">
        <f>B660</f>
        <v>(g)</v>
      </c>
      <c r="D660" s="9" t="str">
        <f>C660</f>
        <v>(g)</v>
      </c>
      <c r="E660" s="9"/>
      <c r="F660" s="9"/>
      <c r="G660" s="9" t="str">
        <f>B660</f>
        <v>(g)</v>
      </c>
      <c r="H660" s="9" t="str">
        <f>G660</f>
        <v>(g)</v>
      </c>
      <c r="I660" s="1"/>
      <c r="J660" s="2" t="str">
        <f t="shared" ref="J660" si="497">CONCATENATE(K657,3)</f>
        <v>43</v>
      </c>
      <c r="K660" s="4">
        <v>1</v>
      </c>
      <c r="L660" s="4">
        <v>0</v>
      </c>
      <c r="M660" s="4" t="e">
        <v>#N/A</v>
      </c>
      <c r="N660" s="1"/>
      <c r="O660" s="1"/>
      <c r="P660" s="1"/>
      <c r="Q660" s="1"/>
      <c r="R660" s="1"/>
      <c r="S660" s="1"/>
      <c r="T660" s="1"/>
      <c r="U660" s="2">
        <f t="shared" si="486"/>
        <v>15</v>
      </c>
      <c r="V660" s="2">
        <f t="shared" si="487"/>
        <v>215</v>
      </c>
    </row>
    <row r="661" spans="1:22" x14ac:dyDescent="0.3">
      <c r="A661" s="2">
        <f t="shared" si="485"/>
        <v>15216</v>
      </c>
      <c r="B661" s="10">
        <v>0.2</v>
      </c>
      <c r="C661" s="10">
        <v>0.2</v>
      </c>
      <c r="D661" s="10">
        <v>2E-3</v>
      </c>
      <c r="E661" s="10">
        <v>2</v>
      </c>
      <c r="F661" s="10">
        <v>1000000</v>
      </c>
      <c r="G661" s="8">
        <v>2.5000000000000001E-2</v>
      </c>
      <c r="H661" s="8">
        <v>2.5000000000000001E-2</v>
      </c>
      <c r="I661" s="1"/>
      <c r="J661" s="1"/>
      <c r="K661" s="1">
        <v>5</v>
      </c>
      <c r="L661" s="1">
        <v>5</v>
      </c>
      <c r="M661" s="1">
        <v>5</v>
      </c>
      <c r="N661" s="1">
        <v>5</v>
      </c>
      <c r="O661" s="1"/>
      <c r="P661" s="1"/>
      <c r="Q661" s="1"/>
      <c r="R661" s="1"/>
      <c r="S661" s="1"/>
      <c r="T661" s="1"/>
      <c r="U661" s="2">
        <f t="shared" si="486"/>
        <v>15</v>
      </c>
      <c r="V661" s="2">
        <f t="shared" si="487"/>
        <v>216</v>
      </c>
    </row>
    <row r="662" spans="1:22" x14ac:dyDescent="0.3">
      <c r="A662" s="2">
        <f t="shared" si="485"/>
        <v>15217</v>
      </c>
      <c r="B662" s="10">
        <v>5</v>
      </c>
      <c r="C662" s="10">
        <v>5</v>
      </c>
      <c r="D662" s="10">
        <v>2E-3</v>
      </c>
      <c r="E662" s="10">
        <v>2</v>
      </c>
      <c r="F662" s="10">
        <v>1000000</v>
      </c>
      <c r="G662" s="8"/>
      <c r="H662" s="8"/>
      <c r="I662" s="1"/>
      <c r="J662" s="2" t="str">
        <f t="shared" ref="J662" si="498">CONCATENATE(K661,1)</f>
        <v>51</v>
      </c>
      <c r="K662" s="4">
        <f t="array" ref="K662:N664">LINEST(B661:B665,C661:C665^{1,2,3},TRUE,TRUE)</f>
        <v>-5.9428382649695374E-21</v>
      </c>
      <c r="L662" s="4">
        <v>2.5843026966626779E-18</v>
      </c>
      <c r="M662" s="4">
        <v>0.99999999999999978</v>
      </c>
      <c r="N662" s="4">
        <v>-5.3516789333689753E-15</v>
      </c>
      <c r="O662" s="1"/>
      <c r="P662" s="1"/>
      <c r="Q662" s="1"/>
      <c r="R662" s="1"/>
      <c r="S662" s="1"/>
      <c r="T662" s="1"/>
      <c r="U662" s="2">
        <f t="shared" si="486"/>
        <v>15</v>
      </c>
      <c r="V662" s="2">
        <f t="shared" si="487"/>
        <v>217</v>
      </c>
    </row>
    <row r="663" spans="1:22" x14ac:dyDescent="0.3">
      <c r="A663" s="2">
        <f t="shared" si="485"/>
        <v>15218</v>
      </c>
      <c r="B663" s="10">
        <v>50</v>
      </c>
      <c r="C663" s="10">
        <v>50</v>
      </c>
      <c r="D663" s="10">
        <v>2E-3</v>
      </c>
      <c r="E663" s="10">
        <v>2</v>
      </c>
      <c r="F663" s="10">
        <v>1000000</v>
      </c>
      <c r="G663" s="8"/>
      <c r="H663" s="8"/>
      <c r="I663" s="1"/>
      <c r="J663" s="2" t="str">
        <f t="shared" ref="J663" si="499">CONCATENATE(K661,2)</f>
        <v>52</v>
      </c>
      <c r="K663" s="4">
        <v>1.7820249724077289E-21</v>
      </c>
      <c r="L663" s="4">
        <v>7.0088639151560729E-19</v>
      </c>
      <c r="M663" s="4">
        <v>5.2737728843429583E-17</v>
      </c>
      <c r="N663" s="4">
        <v>6.9078718025751136E-16</v>
      </c>
      <c r="O663" s="1"/>
      <c r="P663" s="1"/>
      <c r="Q663" s="1"/>
      <c r="R663" s="1"/>
      <c r="S663" s="1"/>
      <c r="T663" s="1"/>
      <c r="U663" s="2">
        <f t="shared" si="486"/>
        <v>15</v>
      </c>
      <c r="V663" s="2">
        <f t="shared" si="487"/>
        <v>218</v>
      </c>
    </row>
    <row r="664" spans="1:22" x14ac:dyDescent="0.3">
      <c r="A664" s="2">
        <f t="shared" si="485"/>
        <v>15219</v>
      </c>
      <c r="B664" s="10">
        <v>100</v>
      </c>
      <c r="C664" s="10">
        <v>100</v>
      </c>
      <c r="D664" s="10">
        <v>2E-3</v>
      </c>
      <c r="E664" s="10">
        <v>2</v>
      </c>
      <c r="F664" s="10">
        <v>1000000</v>
      </c>
      <c r="G664" s="8">
        <v>125</v>
      </c>
      <c r="H664" s="8">
        <v>125</v>
      </c>
      <c r="I664" s="1"/>
      <c r="J664" s="2" t="str">
        <f t="shared" ref="J664" si="500">CONCATENATE(K661,3)</f>
        <v>53</v>
      </c>
      <c r="K664" s="4">
        <v>1</v>
      </c>
      <c r="L664" s="4">
        <v>8.8817841970012523E-16</v>
      </c>
      <c r="M664" s="4" t="e">
        <v>#N/A</v>
      </c>
      <c r="N664" s="4" t="e">
        <v>#N/A</v>
      </c>
      <c r="O664" s="1"/>
      <c r="P664" s="1"/>
      <c r="Q664" s="1"/>
      <c r="R664" s="1"/>
      <c r="S664" s="1"/>
      <c r="T664" s="1"/>
      <c r="U664" s="2">
        <f t="shared" si="486"/>
        <v>15</v>
      </c>
      <c r="V664" s="2">
        <f t="shared" si="487"/>
        <v>219</v>
      </c>
    </row>
    <row r="665" spans="1:22" x14ac:dyDescent="0.3">
      <c r="A665" s="2">
        <f t="shared" si="485"/>
        <v>15220</v>
      </c>
      <c r="B665" s="10">
        <v>300</v>
      </c>
      <c r="C665" s="10">
        <v>300</v>
      </c>
      <c r="D665" s="10">
        <v>2E-3</v>
      </c>
      <c r="E665" s="10">
        <v>2</v>
      </c>
      <c r="F665" s="10">
        <v>1000000</v>
      </c>
      <c r="G665" s="8">
        <v>250</v>
      </c>
      <c r="H665" s="8">
        <v>250</v>
      </c>
      <c r="I665" s="1"/>
      <c r="J665" s="1"/>
      <c r="K665" s="1">
        <v>6</v>
      </c>
      <c r="L665" s="1">
        <v>6</v>
      </c>
      <c r="M665" s="1">
        <v>6</v>
      </c>
      <c r="N665" s="1">
        <v>6</v>
      </c>
      <c r="O665" s="1">
        <v>6</v>
      </c>
      <c r="P665" s="1"/>
      <c r="Q665" s="1"/>
      <c r="R665" s="1"/>
      <c r="S665" s="1"/>
      <c r="T665" s="1"/>
      <c r="U665" s="2">
        <f t="shared" si="486"/>
        <v>15</v>
      </c>
      <c r="V665" s="2">
        <f t="shared" si="487"/>
        <v>220</v>
      </c>
    </row>
    <row r="666" spans="1:22" x14ac:dyDescent="0.3">
      <c r="A666" s="2">
        <f t="shared" si="485"/>
        <v>15221</v>
      </c>
      <c r="B666" s="10">
        <v>400</v>
      </c>
      <c r="C666" s="10">
        <v>400.00099999999998</v>
      </c>
      <c r="D666" s="10">
        <v>3.0000000000000001E-3</v>
      </c>
      <c r="E666" s="10">
        <v>2</v>
      </c>
      <c r="F666" s="10">
        <v>1000000</v>
      </c>
      <c r="G666" s="8">
        <v>380</v>
      </c>
      <c r="H666" s="8">
        <v>380</v>
      </c>
      <c r="I666" s="1"/>
      <c r="J666" s="2" t="str">
        <f t="shared" ref="J666" si="501">CONCATENATE(K665,1)</f>
        <v>61</v>
      </c>
      <c r="K666" s="4">
        <f t="array" ref="K666:O668">LINEST(B661:B666,C661:C666^{1,2,3,4},TRUE,TRUE)</f>
        <v>-2.3820960679900228E-13</v>
      </c>
      <c r="L666" s="4">
        <v>1.0731124879266878E-10</v>
      </c>
      <c r="M666" s="4">
        <v>-1.1985982172874933E-8</v>
      </c>
      <c r="N666" s="4">
        <v>1.0000003719494803</v>
      </c>
      <c r="O666" s="4">
        <v>-7.5676633769510178E-7</v>
      </c>
      <c r="P666" s="1"/>
      <c r="Q666" s="1"/>
      <c r="R666" s="1"/>
      <c r="S666" s="1"/>
      <c r="T666" s="1"/>
      <c r="U666" s="2">
        <f t="shared" si="486"/>
        <v>15</v>
      </c>
      <c r="V666" s="2">
        <f t="shared" si="487"/>
        <v>221</v>
      </c>
    </row>
    <row r="667" spans="1:22" x14ac:dyDescent="0.3">
      <c r="A667" s="2">
        <f t="shared" si="485"/>
        <v>15222</v>
      </c>
      <c r="B667" s="10">
        <v>500</v>
      </c>
      <c r="C667" s="10">
        <v>500.00099999999998</v>
      </c>
      <c r="D667" s="10">
        <v>3.0000000000000001E-3</v>
      </c>
      <c r="E667" s="10">
        <v>2</v>
      </c>
      <c r="F667" s="10">
        <v>1000000</v>
      </c>
      <c r="G667" s="8">
        <v>500</v>
      </c>
      <c r="H667" s="8">
        <v>499.99900000000002</v>
      </c>
      <c r="I667" s="1"/>
      <c r="J667" s="2" t="str">
        <f t="shared" ref="J667" si="502">CONCATENATE(K665,2)</f>
        <v>62</v>
      </c>
      <c r="K667" s="4">
        <v>6.4691952126938499E-15</v>
      </c>
      <c r="L667" s="4">
        <v>5.083426442226776E-12</v>
      </c>
      <c r="M667" s="4">
        <v>1.1782171176636655E-9</v>
      </c>
      <c r="N667" s="4">
        <v>7.3881304541258635E-8</v>
      </c>
      <c r="O667" s="4">
        <v>8.5150509916964322E-7</v>
      </c>
      <c r="P667" s="1"/>
      <c r="Q667" s="1"/>
      <c r="R667" s="1"/>
      <c r="S667" s="1"/>
      <c r="T667" s="1"/>
      <c r="U667" s="2">
        <f t="shared" si="486"/>
        <v>15</v>
      </c>
      <c r="V667" s="2">
        <f t="shared" si="487"/>
        <v>222</v>
      </c>
    </row>
    <row r="668" spans="1:22" x14ac:dyDescent="0.3">
      <c r="A668" s="2">
        <f t="shared" si="485"/>
        <v>15223</v>
      </c>
      <c r="B668" s="10"/>
      <c r="C668" s="10"/>
      <c r="D668" s="10"/>
      <c r="E668" s="10"/>
      <c r="F668" s="10"/>
      <c r="G668" s="8"/>
      <c r="H668" s="8"/>
      <c r="I668" s="1"/>
      <c r="J668" s="2" t="str">
        <f t="shared" ref="J668" si="503">CONCATENATE(K665,3)</f>
        <v>63</v>
      </c>
      <c r="K668" s="4">
        <v>1</v>
      </c>
      <c r="L668" s="4">
        <v>1.0851339338202592E-6</v>
      </c>
      <c r="M668" s="4" t="e">
        <v>#N/A</v>
      </c>
      <c r="N668" s="4" t="e">
        <v>#N/A</v>
      </c>
      <c r="O668" s="4" t="e">
        <v>#N/A</v>
      </c>
      <c r="P668" s="1"/>
      <c r="Q668" s="1"/>
      <c r="R668" s="1"/>
      <c r="S668" s="1"/>
      <c r="T668" s="1"/>
      <c r="U668" s="2">
        <f t="shared" si="486"/>
        <v>15</v>
      </c>
      <c r="V668" s="2">
        <f t="shared" si="487"/>
        <v>223</v>
      </c>
    </row>
    <row r="669" spans="1:22" x14ac:dyDescent="0.3">
      <c r="A669" s="2">
        <f t="shared" si="485"/>
        <v>15224</v>
      </c>
      <c r="B669" s="10"/>
      <c r="C669" s="10"/>
      <c r="D669" s="10"/>
      <c r="E669" s="10"/>
      <c r="F669" s="10"/>
      <c r="G669" s="8"/>
      <c r="H669" s="8"/>
      <c r="I669" s="1"/>
      <c r="J669" s="1"/>
      <c r="K669" s="1">
        <v>7</v>
      </c>
      <c r="L669" s="1">
        <v>7</v>
      </c>
      <c r="M669" s="1">
        <v>7</v>
      </c>
      <c r="N669" s="1">
        <v>7</v>
      </c>
      <c r="O669" s="1">
        <v>7</v>
      </c>
      <c r="P669" s="1">
        <v>7</v>
      </c>
      <c r="Q669" s="1"/>
      <c r="R669" s="1"/>
      <c r="S669" s="1"/>
      <c r="T669" s="1"/>
      <c r="U669" s="2">
        <f t="shared" si="486"/>
        <v>15</v>
      </c>
      <c r="V669" s="2">
        <f t="shared" si="487"/>
        <v>224</v>
      </c>
    </row>
    <row r="670" spans="1:22" x14ac:dyDescent="0.3">
      <c r="A670" s="2">
        <f t="shared" si="485"/>
        <v>15225</v>
      </c>
      <c r="B670" s="10"/>
      <c r="C670" s="10"/>
      <c r="D670" s="10"/>
      <c r="E670" s="10"/>
      <c r="F670" s="10"/>
      <c r="G670" s="8"/>
      <c r="H670" s="8"/>
      <c r="I670" s="1"/>
      <c r="J670" s="2" t="str">
        <f t="shared" ref="J670" si="504">CONCATENATE(K669,1)</f>
        <v>71</v>
      </c>
      <c r="K670" s="4">
        <f t="array" ref="K670:P672">LINEST(B661:B667,C661:C667^{1,2,3,4,5},TRUE,TRUE)</f>
        <v>1.8234193130665115E-15</v>
      </c>
      <c r="L670" s="4">
        <v>-1.7878289013572689E-12</v>
      </c>
      <c r="M670" s="4">
        <v>5.267097679273311E-10</v>
      </c>
      <c r="N670" s="4">
        <v>-5.1321351189067656E-8</v>
      </c>
      <c r="O670" s="4">
        <v>1.0000015041251415</v>
      </c>
      <c r="P670" s="4">
        <v>-3.0184463320065413E-6</v>
      </c>
      <c r="Q670" s="1"/>
      <c r="R670" s="1"/>
      <c r="S670" s="1"/>
      <c r="T670" s="1"/>
      <c r="U670" s="2">
        <f t="shared" si="486"/>
        <v>15</v>
      </c>
      <c r="V670" s="2">
        <f t="shared" si="487"/>
        <v>225</v>
      </c>
    </row>
    <row r="671" spans="1:22" x14ac:dyDescent="0.3">
      <c r="A671" s="2">
        <f t="shared" si="485"/>
        <v>15226</v>
      </c>
      <c r="B671" s="61" t="s">
        <v>44</v>
      </c>
      <c r="C671" s="61"/>
      <c r="D671" s="61"/>
      <c r="E671" s="61"/>
      <c r="F671" s="61"/>
      <c r="G671" s="61"/>
      <c r="H671" s="61"/>
      <c r="I671" s="1"/>
      <c r="J671" s="2" t="str">
        <f t="shared" ref="J671" si="505">CONCATENATE(K669,2)</f>
        <v>72</v>
      </c>
      <c r="K671" s="4">
        <v>6.2028458570339358E-17</v>
      </c>
      <c r="L671" s="4">
        <v>7.8434704686420323E-14</v>
      </c>
      <c r="M671" s="4">
        <v>3.4495411341568283E-11</v>
      </c>
      <c r="N671" s="4">
        <v>6.0338563435585843E-9</v>
      </c>
      <c r="O671" s="4">
        <v>3.322531105036878E-7</v>
      </c>
      <c r="P671" s="4">
        <v>3.4538857147162614E-6</v>
      </c>
      <c r="Q671" s="1"/>
      <c r="R671" s="1"/>
      <c r="S671" s="1"/>
      <c r="T671" s="1"/>
      <c r="U671" s="2">
        <f t="shared" si="486"/>
        <v>15</v>
      </c>
      <c r="V671" s="2">
        <f t="shared" si="487"/>
        <v>226</v>
      </c>
    </row>
    <row r="672" spans="1:22" x14ac:dyDescent="0.3">
      <c r="A672" s="2">
        <f t="shared" si="485"/>
        <v>15227</v>
      </c>
      <c r="B672" s="4" t="s">
        <v>45</v>
      </c>
      <c r="C672" s="4" t="s">
        <v>46</v>
      </c>
      <c r="D672" s="4" t="s">
        <v>47</v>
      </c>
      <c r="E672" s="4" t="s">
        <v>48</v>
      </c>
      <c r="F672" s="4" t="s">
        <v>49</v>
      </c>
      <c r="G672" s="4" t="s">
        <v>50</v>
      </c>
      <c r="H672" s="4" t="s">
        <v>46</v>
      </c>
      <c r="I672" s="1"/>
      <c r="J672" s="2" t="str">
        <f t="shared" ref="J672" si="506">CONCATENATE(K669,3)</f>
        <v>73</v>
      </c>
      <c r="K672" s="4">
        <v>0.99999999999999989</v>
      </c>
      <c r="L672" s="4">
        <v>4.3675761203232355E-6</v>
      </c>
      <c r="M672" s="4" t="e">
        <v>#N/A</v>
      </c>
      <c r="N672" s="4" t="e">
        <v>#N/A</v>
      </c>
      <c r="O672" s="4" t="e">
        <v>#N/A</v>
      </c>
      <c r="P672" s="4" t="e">
        <v>#N/A</v>
      </c>
      <c r="Q672" s="1"/>
      <c r="R672" s="1"/>
      <c r="S672" s="1"/>
      <c r="T672" s="1"/>
      <c r="U672" s="2">
        <f t="shared" si="486"/>
        <v>15</v>
      </c>
      <c r="V672" s="2">
        <f t="shared" si="487"/>
        <v>227</v>
      </c>
    </row>
    <row r="673" spans="1:22" x14ac:dyDescent="0.3">
      <c r="A673" s="2">
        <f t="shared" si="485"/>
        <v>15228</v>
      </c>
      <c r="B673" s="10">
        <v>200</v>
      </c>
      <c r="C673" s="10">
        <v>200</v>
      </c>
      <c r="D673" s="10">
        <v>199.999</v>
      </c>
      <c r="E673" s="10">
        <v>199.999</v>
      </c>
      <c r="F673" s="10">
        <v>200</v>
      </c>
      <c r="G673" s="10">
        <v>200</v>
      </c>
      <c r="H673" s="10">
        <v>200</v>
      </c>
      <c r="I673" s="1"/>
      <c r="J673" s="1"/>
      <c r="K673" s="1">
        <v>8</v>
      </c>
      <c r="L673" s="1">
        <v>8</v>
      </c>
      <c r="M673" s="1">
        <v>8</v>
      </c>
      <c r="N673" s="1">
        <v>8</v>
      </c>
      <c r="O673" s="1">
        <v>8</v>
      </c>
      <c r="P673" s="1">
        <v>8</v>
      </c>
      <c r="Q673" s="1">
        <v>8</v>
      </c>
      <c r="R673" s="1"/>
      <c r="S673" s="1"/>
      <c r="T673" s="1"/>
      <c r="U673" s="2">
        <f t="shared" si="486"/>
        <v>15</v>
      </c>
      <c r="V673" s="2">
        <f t="shared" si="487"/>
        <v>228</v>
      </c>
    </row>
    <row r="674" spans="1:22" x14ac:dyDescent="0.3">
      <c r="A674" s="2">
        <f t="shared" si="485"/>
        <v>15229</v>
      </c>
      <c r="I674" s="1"/>
      <c r="J674" s="2" t="str">
        <f t="shared" ref="J674" si="507">CONCATENATE(K673,1)</f>
        <v>81</v>
      </c>
      <c r="K674" s="4" t="e">
        <f t="array" ref="K674:Q676">LINEST(B661:B668,C661:C668^{1,2,3,4,5,6},TRUE,TRUE)</f>
        <v>#VALUE!</v>
      </c>
      <c r="L674" s="4" t="e">
        <v>#VALUE!</v>
      </c>
      <c r="M674" s="4" t="e">
        <v>#VALUE!</v>
      </c>
      <c r="N674" s="4" t="e">
        <v>#VALUE!</v>
      </c>
      <c r="O674" s="4" t="e">
        <v>#VALUE!</v>
      </c>
      <c r="P674" s="4" t="e">
        <v>#VALUE!</v>
      </c>
      <c r="Q674" s="4" t="e">
        <v>#VALUE!</v>
      </c>
      <c r="R674" s="1"/>
      <c r="S674" s="1"/>
      <c r="T674" s="1"/>
      <c r="U674" s="2">
        <f t="shared" si="486"/>
        <v>15</v>
      </c>
      <c r="V674" s="2">
        <f t="shared" si="487"/>
        <v>229</v>
      </c>
    </row>
    <row r="675" spans="1:22" x14ac:dyDescent="0.3">
      <c r="A675" s="2">
        <f t="shared" si="485"/>
        <v>15230</v>
      </c>
      <c r="B675" s="58" t="s">
        <v>30</v>
      </c>
      <c r="C675" s="58"/>
      <c r="D675" s="58"/>
      <c r="E675" s="58"/>
      <c r="F675" s="58"/>
      <c r="G675" s="58"/>
      <c r="H675" s="58"/>
      <c r="I675" s="1"/>
      <c r="J675" s="2" t="str">
        <f t="shared" ref="J675" si="508">CONCATENATE(K673,2)</f>
        <v>82</v>
      </c>
      <c r="K675" s="4" t="e">
        <v>#VALUE!</v>
      </c>
      <c r="L675" s="4" t="e">
        <v>#VALUE!</v>
      </c>
      <c r="M675" s="4" t="e">
        <v>#VALUE!</v>
      </c>
      <c r="N675" s="4" t="e">
        <v>#VALUE!</v>
      </c>
      <c r="O675" s="4" t="e">
        <v>#VALUE!</v>
      </c>
      <c r="P675" s="4" t="e">
        <v>#VALUE!</v>
      </c>
      <c r="Q675" s="4" t="e">
        <v>#VALUE!</v>
      </c>
      <c r="R675" s="1"/>
      <c r="S675" s="1"/>
      <c r="T675" s="1"/>
      <c r="U675" s="2">
        <f t="shared" si="486"/>
        <v>15</v>
      </c>
      <c r="V675" s="2">
        <f t="shared" si="487"/>
        <v>230</v>
      </c>
    </row>
    <row r="676" spans="1:22" x14ac:dyDescent="0.3">
      <c r="A676" s="2">
        <f t="shared" si="485"/>
        <v>15231</v>
      </c>
      <c r="B676" s="62"/>
      <c r="C676" s="62"/>
      <c r="D676" s="62"/>
      <c r="E676" s="62"/>
      <c r="F676" s="62"/>
      <c r="G676" s="62"/>
      <c r="H676" s="62"/>
      <c r="I676" s="1"/>
      <c r="J676" s="2" t="str">
        <f t="shared" ref="J676" si="509">CONCATENATE(K673,3)</f>
        <v>83</v>
      </c>
      <c r="K676" s="4" t="e">
        <v>#VALUE!</v>
      </c>
      <c r="L676" s="4" t="e">
        <v>#VALUE!</v>
      </c>
      <c r="M676" s="4" t="e">
        <v>#VALUE!</v>
      </c>
      <c r="N676" s="4" t="e">
        <v>#VALUE!</v>
      </c>
      <c r="O676" s="4" t="e">
        <v>#VALUE!</v>
      </c>
      <c r="P676" s="4" t="e">
        <v>#VALUE!</v>
      </c>
      <c r="Q676" s="4" t="e">
        <v>#VALUE!</v>
      </c>
      <c r="R676" s="1"/>
      <c r="S676" s="1"/>
      <c r="T676" s="1"/>
      <c r="U676" s="2">
        <f t="shared" si="486"/>
        <v>15</v>
      </c>
      <c r="V676" s="2">
        <f t="shared" si="487"/>
        <v>231</v>
      </c>
    </row>
    <row r="677" spans="1:22" x14ac:dyDescent="0.3">
      <c r="A677" s="2">
        <f t="shared" si="485"/>
        <v>15232</v>
      </c>
      <c r="B677" s="62"/>
      <c r="C677" s="62"/>
      <c r="D677" s="62"/>
      <c r="E677" s="62"/>
      <c r="F677" s="62"/>
      <c r="G677" s="62"/>
      <c r="H677" s="62"/>
      <c r="I677" s="1"/>
      <c r="J677" s="1"/>
      <c r="K677" s="1">
        <v>9</v>
      </c>
      <c r="L677" s="1">
        <v>9</v>
      </c>
      <c r="M677" s="1">
        <v>9</v>
      </c>
      <c r="N677" s="1">
        <v>9</v>
      </c>
      <c r="O677" s="1">
        <v>9</v>
      </c>
      <c r="P677" s="1">
        <v>9</v>
      </c>
      <c r="Q677" s="1">
        <v>9</v>
      </c>
      <c r="R677" s="1">
        <v>9</v>
      </c>
      <c r="S677" s="1"/>
      <c r="T677" s="1"/>
      <c r="U677" s="2">
        <f t="shared" si="486"/>
        <v>15</v>
      </c>
      <c r="V677" s="2">
        <f t="shared" si="487"/>
        <v>232</v>
      </c>
    </row>
    <row r="678" spans="1:22" x14ac:dyDescent="0.3">
      <c r="A678" s="2">
        <f t="shared" si="485"/>
        <v>15233</v>
      </c>
      <c r="B678" s="1"/>
      <c r="C678" s="1"/>
      <c r="D678" s="1"/>
      <c r="E678" s="1"/>
      <c r="F678" s="1"/>
      <c r="G678" s="1"/>
      <c r="H678" s="1"/>
      <c r="I678" s="1"/>
      <c r="J678" s="2" t="str">
        <f t="shared" ref="J678" si="510">CONCATENATE(K677,1)</f>
        <v>91</v>
      </c>
      <c r="K678" s="4" t="e">
        <f t="array" ref="K678:R680">LINEST(B661:B669,C661:C669^{1,2,3,4,5,6,7},TRUE,TRUE)</f>
        <v>#VALUE!</v>
      </c>
      <c r="L678" s="4" t="e">
        <v>#VALUE!</v>
      </c>
      <c r="M678" s="4" t="e">
        <v>#VALUE!</v>
      </c>
      <c r="N678" s="4" t="e">
        <v>#VALUE!</v>
      </c>
      <c r="O678" s="4" t="e">
        <v>#VALUE!</v>
      </c>
      <c r="P678" s="4" t="e">
        <v>#VALUE!</v>
      </c>
      <c r="Q678" s="4" t="e">
        <v>#VALUE!</v>
      </c>
      <c r="R678" s="4" t="e">
        <v>#VALUE!</v>
      </c>
      <c r="S678" s="1"/>
      <c r="T678" s="1"/>
      <c r="U678" s="2">
        <f t="shared" si="486"/>
        <v>15</v>
      </c>
      <c r="V678" s="2">
        <f t="shared" si="487"/>
        <v>233</v>
      </c>
    </row>
    <row r="679" spans="1:22" x14ac:dyDescent="0.3">
      <c r="A679" s="2">
        <f t="shared" si="485"/>
        <v>15234</v>
      </c>
      <c r="B679" s="5" t="s">
        <v>31</v>
      </c>
      <c r="C679" s="5" t="s">
        <v>32</v>
      </c>
      <c r="D679" s="5" t="s">
        <v>33</v>
      </c>
      <c r="E679" s="4" t="s">
        <v>34</v>
      </c>
      <c r="F679" s="57" t="s">
        <v>35</v>
      </c>
      <c r="G679" s="58"/>
      <c r="H679" s="58"/>
      <c r="I679" s="1"/>
      <c r="J679" s="2" t="str">
        <f t="shared" ref="J679" si="511">CONCATENATE(K677,2)</f>
        <v>92</v>
      </c>
      <c r="K679" s="4" t="e">
        <v>#VALUE!</v>
      </c>
      <c r="L679" s="4" t="e">
        <v>#VALUE!</v>
      </c>
      <c r="M679" s="4" t="e">
        <v>#VALUE!</v>
      </c>
      <c r="N679" s="4" t="e">
        <v>#VALUE!</v>
      </c>
      <c r="O679" s="4" t="e">
        <v>#VALUE!</v>
      </c>
      <c r="P679" s="4" t="e">
        <v>#VALUE!</v>
      </c>
      <c r="Q679" s="4" t="e">
        <v>#VALUE!</v>
      </c>
      <c r="R679" s="4" t="e">
        <v>#VALUE!</v>
      </c>
      <c r="S679" s="1"/>
      <c r="T679" s="1"/>
      <c r="U679" s="2">
        <f t="shared" si="486"/>
        <v>15</v>
      </c>
      <c r="V679" s="2">
        <f t="shared" si="487"/>
        <v>234</v>
      </c>
    </row>
    <row r="680" spans="1:22" x14ac:dyDescent="0.3">
      <c r="A680" s="2">
        <f t="shared" si="485"/>
        <v>15235</v>
      </c>
      <c r="B680" s="5">
        <f t="shared" ref="B680:B689" si="512">C661-B661</f>
        <v>0</v>
      </c>
      <c r="C680" s="5">
        <f t="shared" ref="C680:C689" si="513">H661-G661</f>
        <v>0</v>
      </c>
      <c r="D680" s="5">
        <f>C680-B680</f>
        <v>0</v>
      </c>
      <c r="E680" s="4">
        <f t="shared" ref="E680:E689" si="514">D661</f>
        <v>2E-3</v>
      </c>
      <c r="F680" s="11">
        <f>IF(D648="","",MAX(G680,H680))</f>
        <v>1.9999999999527063E-3</v>
      </c>
      <c r="G680" s="5">
        <f>ABS(MIN(D680:D689))</f>
        <v>1.9999999999527063E-3</v>
      </c>
      <c r="H680" s="5">
        <f>ABS(MAX(D680:D689))</f>
        <v>0</v>
      </c>
      <c r="I680" s="1"/>
      <c r="J680" s="2" t="str">
        <f t="shared" ref="J680" si="515">CONCATENATE(K677,3)</f>
        <v>93</v>
      </c>
      <c r="K680" s="4" t="e">
        <v>#VALUE!</v>
      </c>
      <c r="L680" s="4" t="e">
        <v>#VALUE!</v>
      </c>
      <c r="M680" s="4" t="e">
        <v>#VALUE!</v>
      </c>
      <c r="N680" s="4" t="e">
        <v>#VALUE!</v>
      </c>
      <c r="O680" s="4" t="e">
        <v>#VALUE!</v>
      </c>
      <c r="P680" s="4" t="e">
        <v>#VALUE!</v>
      </c>
      <c r="Q680" s="4" t="e">
        <v>#VALUE!</v>
      </c>
      <c r="R680" s="4" t="e">
        <v>#VALUE!</v>
      </c>
      <c r="S680" s="1"/>
      <c r="T680" s="1"/>
      <c r="U680" s="2">
        <f t="shared" si="486"/>
        <v>15</v>
      </c>
      <c r="V680" s="2">
        <f t="shared" si="487"/>
        <v>235</v>
      </c>
    </row>
    <row r="681" spans="1:22" x14ac:dyDescent="0.3">
      <c r="A681" s="2">
        <f t="shared" si="485"/>
        <v>15236</v>
      </c>
      <c r="B681" s="5">
        <f t="shared" si="512"/>
        <v>0</v>
      </c>
      <c r="C681" s="5">
        <f t="shared" si="513"/>
        <v>0</v>
      </c>
      <c r="D681" s="5">
        <f t="shared" ref="D681:D689" si="516">C681-B681</f>
        <v>0</v>
      </c>
      <c r="E681" s="4">
        <f t="shared" si="514"/>
        <v>2E-3</v>
      </c>
      <c r="F681" s="57" t="s">
        <v>36</v>
      </c>
      <c r="G681" s="58"/>
      <c r="H681" s="58"/>
      <c r="I681" s="1"/>
      <c r="J681" s="1"/>
      <c r="K681" s="1">
        <v>10</v>
      </c>
      <c r="L681" s="1">
        <v>10</v>
      </c>
      <c r="M681" s="1">
        <v>10</v>
      </c>
      <c r="N681" s="1">
        <v>10</v>
      </c>
      <c r="O681" s="1">
        <v>10</v>
      </c>
      <c r="P681" s="1">
        <v>10</v>
      </c>
      <c r="Q681" s="1">
        <v>10</v>
      </c>
      <c r="R681" s="1">
        <v>10</v>
      </c>
      <c r="S681" s="1">
        <v>10</v>
      </c>
      <c r="T681" s="1"/>
      <c r="U681" s="2">
        <f t="shared" si="486"/>
        <v>15</v>
      </c>
      <c r="V681" s="2">
        <f t="shared" si="487"/>
        <v>236</v>
      </c>
    </row>
    <row r="682" spans="1:22" x14ac:dyDescent="0.3">
      <c r="A682" s="2">
        <f t="shared" si="485"/>
        <v>15237</v>
      </c>
      <c r="B682" s="5">
        <f t="shared" si="512"/>
        <v>0</v>
      </c>
      <c r="C682" s="5">
        <f t="shared" si="513"/>
        <v>0</v>
      </c>
      <c r="D682" s="5">
        <f t="shared" si="516"/>
        <v>0</v>
      </c>
      <c r="E682" s="4">
        <f t="shared" si="514"/>
        <v>2E-3</v>
      </c>
      <c r="F682" s="11">
        <f>IF(D648="","",MAX(G682,H682))</f>
        <v>9.9999999997635314E-4</v>
      </c>
      <c r="G682" s="5">
        <f>ABS(MIN(B680:B689))</f>
        <v>0</v>
      </c>
      <c r="H682" s="5">
        <f>ABS(MAX(B680:B689))</f>
        <v>9.9999999997635314E-4</v>
      </c>
      <c r="I682" s="1"/>
      <c r="J682" s="2" t="str">
        <f t="shared" ref="J682" si="517">CONCATENATE(K681,1)</f>
        <v>101</v>
      </c>
      <c r="K682" s="4" t="e">
        <f t="array" ref="K682:S684">LINEST(B661:B670,C661:C670^{1,2,3,4,5,6,7,8},TRUE,TRUE)</f>
        <v>#VALUE!</v>
      </c>
      <c r="L682" s="4" t="e">
        <v>#VALUE!</v>
      </c>
      <c r="M682" s="4" t="e">
        <v>#VALUE!</v>
      </c>
      <c r="N682" s="4" t="e">
        <v>#VALUE!</v>
      </c>
      <c r="O682" s="4" t="e">
        <v>#VALUE!</v>
      </c>
      <c r="P682" s="4" t="e">
        <v>#VALUE!</v>
      </c>
      <c r="Q682" s="4" t="e">
        <v>#VALUE!</v>
      </c>
      <c r="R682" s="4" t="e">
        <v>#VALUE!</v>
      </c>
      <c r="S682" s="4" t="e">
        <v>#VALUE!</v>
      </c>
      <c r="T682" s="1"/>
      <c r="U682" s="2">
        <f t="shared" si="486"/>
        <v>15</v>
      </c>
      <c r="V682" s="2">
        <f t="shared" si="487"/>
        <v>237</v>
      </c>
    </row>
    <row r="683" spans="1:22" x14ac:dyDescent="0.3">
      <c r="A683" s="2">
        <f t="shared" si="485"/>
        <v>15238</v>
      </c>
      <c r="B683" s="5">
        <f t="shared" si="512"/>
        <v>0</v>
      </c>
      <c r="C683" s="5">
        <f t="shared" si="513"/>
        <v>0</v>
      </c>
      <c r="D683" s="5">
        <f t="shared" si="516"/>
        <v>0</v>
      </c>
      <c r="E683" s="4">
        <f t="shared" si="514"/>
        <v>2E-3</v>
      </c>
      <c r="F683" s="57" t="s">
        <v>37</v>
      </c>
      <c r="G683" s="58"/>
      <c r="H683" s="58"/>
      <c r="I683" s="1"/>
      <c r="J683" s="2" t="str">
        <f t="shared" ref="J683" si="518">CONCATENATE(K681,2)</f>
        <v>102</v>
      </c>
      <c r="K683" s="4" t="e">
        <v>#VALUE!</v>
      </c>
      <c r="L683" s="4" t="e">
        <v>#VALUE!</v>
      </c>
      <c r="M683" s="4" t="e">
        <v>#VALUE!</v>
      </c>
      <c r="N683" s="4" t="e">
        <v>#VALUE!</v>
      </c>
      <c r="O683" s="4" t="e">
        <v>#VALUE!</v>
      </c>
      <c r="P683" s="4" t="e">
        <v>#VALUE!</v>
      </c>
      <c r="Q683" s="4" t="e">
        <v>#VALUE!</v>
      </c>
      <c r="R683" s="4" t="e">
        <v>#VALUE!</v>
      </c>
      <c r="S683" s="4" t="e">
        <v>#VALUE!</v>
      </c>
      <c r="T683" s="1"/>
      <c r="U683" s="2">
        <f t="shared" si="486"/>
        <v>15</v>
      </c>
      <c r="V683" s="2">
        <f t="shared" si="487"/>
        <v>238</v>
      </c>
    </row>
    <row r="684" spans="1:22" x14ac:dyDescent="0.3">
      <c r="A684" s="2">
        <f t="shared" si="485"/>
        <v>15239</v>
      </c>
      <c r="B684" s="5">
        <f t="shared" si="512"/>
        <v>0</v>
      </c>
      <c r="C684" s="5">
        <f t="shared" si="513"/>
        <v>0</v>
      </c>
      <c r="D684" s="5">
        <f t="shared" si="516"/>
        <v>0</v>
      </c>
      <c r="E684" s="4">
        <f t="shared" si="514"/>
        <v>2E-3</v>
      </c>
      <c r="F684" s="11">
        <f>IF(D648="","",MAX(G684,H684))</f>
        <v>3.0000000000000001E-3</v>
      </c>
      <c r="G684" s="5">
        <f>ABS(MIN(E680:E689))</f>
        <v>0</v>
      </c>
      <c r="H684" s="5">
        <f>ABS(MAX(E680:E689))</f>
        <v>3.0000000000000001E-3</v>
      </c>
      <c r="I684" s="1"/>
      <c r="J684" s="2" t="str">
        <f t="shared" ref="J684" si="519">CONCATENATE(K681,3)</f>
        <v>103</v>
      </c>
      <c r="K684" s="4" t="e">
        <v>#VALUE!</v>
      </c>
      <c r="L684" s="4" t="e">
        <v>#VALUE!</v>
      </c>
      <c r="M684" s="4" t="e">
        <v>#VALUE!</v>
      </c>
      <c r="N684" s="4" t="e">
        <v>#VALUE!</v>
      </c>
      <c r="O684" s="4" t="e">
        <v>#VALUE!</v>
      </c>
      <c r="P684" s="4" t="e">
        <v>#VALUE!</v>
      </c>
      <c r="Q684" s="4" t="e">
        <v>#VALUE!</v>
      </c>
      <c r="R684" s="4" t="e">
        <v>#VALUE!</v>
      </c>
      <c r="S684" s="4" t="e">
        <v>#VALUE!</v>
      </c>
      <c r="T684" s="1"/>
      <c r="U684" s="2">
        <f t="shared" si="486"/>
        <v>15</v>
      </c>
      <c r="V684" s="2">
        <f t="shared" si="487"/>
        <v>239</v>
      </c>
    </row>
    <row r="685" spans="1:22" x14ac:dyDescent="0.3">
      <c r="A685" s="2">
        <f t="shared" si="485"/>
        <v>15240</v>
      </c>
      <c r="B685" s="5">
        <f t="shared" si="512"/>
        <v>9.9999999997635314E-4</v>
      </c>
      <c r="C685" s="5">
        <f t="shared" si="513"/>
        <v>0</v>
      </c>
      <c r="D685" s="5">
        <f t="shared" si="516"/>
        <v>-9.9999999997635314E-4</v>
      </c>
      <c r="E685" s="4">
        <f t="shared" si="514"/>
        <v>3.0000000000000001E-3</v>
      </c>
      <c r="F685" s="57" t="s">
        <v>51</v>
      </c>
      <c r="G685" s="58"/>
      <c r="H685" s="5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2">
        <f t="shared" si="486"/>
        <v>15</v>
      </c>
      <c r="V685" s="2">
        <f t="shared" si="487"/>
        <v>240</v>
      </c>
    </row>
    <row r="686" spans="1:22" x14ac:dyDescent="0.3">
      <c r="A686" s="2">
        <f t="shared" si="485"/>
        <v>15241</v>
      </c>
      <c r="B686" s="5">
        <f t="shared" si="512"/>
        <v>9.9999999997635314E-4</v>
      </c>
      <c r="C686" s="5">
        <f t="shared" si="513"/>
        <v>-9.9999999997635314E-4</v>
      </c>
      <c r="D686" s="5">
        <f t="shared" si="516"/>
        <v>-1.9999999999527063E-3</v>
      </c>
      <c r="E686" s="4">
        <f t="shared" si="514"/>
        <v>3.0000000000000001E-3</v>
      </c>
      <c r="F686" s="21">
        <f>MAX(G686:H688)</f>
        <v>1.0000000000047748E-3</v>
      </c>
      <c r="G686" s="4">
        <f>IF(C673="",0,ABS(C673-B673))</f>
        <v>0</v>
      </c>
      <c r="H686" s="4">
        <f>IF(F673="",0,ABS(F673-B673))</f>
        <v>0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2">
        <f t="shared" si="486"/>
        <v>15</v>
      </c>
      <c r="V686" s="2">
        <f t="shared" si="487"/>
        <v>241</v>
      </c>
    </row>
    <row r="687" spans="1:22" x14ac:dyDescent="0.3">
      <c r="A687" s="2">
        <f t="shared" si="485"/>
        <v>15242</v>
      </c>
      <c r="B687" s="5">
        <f t="shared" si="512"/>
        <v>0</v>
      </c>
      <c r="C687" s="5">
        <f t="shared" si="513"/>
        <v>0</v>
      </c>
      <c r="D687" s="5">
        <f t="shared" si="516"/>
        <v>0</v>
      </c>
      <c r="E687" s="4">
        <f t="shared" si="514"/>
        <v>0</v>
      </c>
      <c r="F687" s="4" t="s">
        <v>52</v>
      </c>
      <c r="G687" s="4">
        <f>IF(D673="",0,ABS(D673-B673))</f>
        <v>1.0000000000047748E-3</v>
      </c>
      <c r="H687" s="4">
        <f>IF(G673="",0,ABS(G673-B673))</f>
        <v>0</v>
      </c>
      <c r="I687" s="1"/>
      <c r="J687" s="1"/>
      <c r="R687" s="1"/>
      <c r="S687" s="1"/>
      <c r="T687" s="1"/>
      <c r="U687" s="2">
        <f t="shared" si="486"/>
        <v>15</v>
      </c>
      <c r="V687" s="2">
        <f t="shared" si="487"/>
        <v>242</v>
      </c>
    </row>
    <row r="688" spans="1:22" x14ac:dyDescent="0.3">
      <c r="A688" s="2">
        <f t="shared" si="485"/>
        <v>15243</v>
      </c>
      <c r="B688" s="5">
        <f t="shared" si="512"/>
        <v>0</v>
      </c>
      <c r="C688" s="5">
        <f t="shared" si="513"/>
        <v>0</v>
      </c>
      <c r="D688" s="5">
        <f t="shared" si="516"/>
        <v>0</v>
      </c>
      <c r="E688" s="4">
        <f t="shared" si="514"/>
        <v>0</v>
      </c>
      <c r="F688" s="22">
        <f>IF(F686=0,0,F686/B673%)</f>
        <v>5.0000000000238742E-4</v>
      </c>
      <c r="G688" s="4">
        <f>IF(G673="",0,ABS(G673-B673))</f>
        <v>0</v>
      </c>
      <c r="H688" s="4">
        <f>IF(H673="",0,ABS(H673-B673))</f>
        <v>0</v>
      </c>
      <c r="I688" s="1"/>
      <c r="J688" s="1"/>
      <c r="R688" s="1"/>
      <c r="S688" s="1"/>
      <c r="T688" s="1"/>
      <c r="U688" s="2">
        <f t="shared" si="486"/>
        <v>15</v>
      </c>
      <c r="V688" s="2">
        <f t="shared" si="487"/>
        <v>243</v>
      </c>
    </row>
    <row r="689" spans="1:22" x14ac:dyDescent="0.3">
      <c r="A689" s="2">
        <f t="shared" si="485"/>
        <v>15244</v>
      </c>
      <c r="B689" s="5">
        <f t="shared" si="512"/>
        <v>0</v>
      </c>
      <c r="C689" s="5">
        <f t="shared" si="513"/>
        <v>0</v>
      </c>
      <c r="D689" s="5">
        <f t="shared" si="516"/>
        <v>0</v>
      </c>
      <c r="E689" s="4">
        <f t="shared" si="514"/>
        <v>0</v>
      </c>
      <c r="F689" s="1"/>
      <c r="G689" s="1"/>
      <c r="H689" s="1"/>
      <c r="I689" s="1"/>
      <c r="J689" s="1"/>
      <c r="R689" s="1"/>
      <c r="S689" s="1"/>
      <c r="T689" s="1"/>
      <c r="U689" s="2">
        <f t="shared" si="486"/>
        <v>15</v>
      </c>
      <c r="V689" s="2">
        <f t="shared" si="487"/>
        <v>244</v>
      </c>
    </row>
    <row r="690" spans="1:22" x14ac:dyDescent="0.3">
      <c r="A690" s="2">
        <f t="shared" si="485"/>
        <v>15245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2">
        <f t="shared" si="486"/>
        <v>15</v>
      </c>
      <c r="V690" s="2">
        <f t="shared" si="487"/>
        <v>245</v>
      </c>
    </row>
    <row r="691" spans="1:22" s="20" customForma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 x14ac:dyDescent="0.3">
      <c r="A692" s="2">
        <f>ROUND(CONCATENATE(U692,V692),0)</f>
        <v>16201</v>
      </c>
      <c r="B692" s="63" t="s">
        <v>0</v>
      </c>
      <c r="C692" s="63"/>
      <c r="D692" s="71" t="s">
        <v>38</v>
      </c>
      <c r="E692" s="72"/>
      <c r="F692" s="72"/>
      <c r="G692" s="72"/>
      <c r="H692" s="7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2">
        <f>U690+1</f>
        <v>16</v>
      </c>
      <c r="V692" s="2">
        <v>201</v>
      </c>
    </row>
    <row r="693" spans="1:22" x14ac:dyDescent="0.3">
      <c r="A693" s="2">
        <f t="shared" ref="A693:A736" si="520">ROUND(CONCATENATE(U693,V693),0)</f>
        <v>16202</v>
      </c>
      <c r="B693" s="12" t="s">
        <v>40</v>
      </c>
      <c r="C693" s="13"/>
      <c r="D693" s="16" t="s">
        <v>41</v>
      </c>
      <c r="E693" s="57" t="s">
        <v>39</v>
      </c>
      <c r="F693" s="57"/>
      <c r="G693" s="18">
        <v>0.01</v>
      </c>
      <c r="H693" s="15" t="str">
        <f>IF(D694="","",D693)</f>
        <v>g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2">
        <f>U692</f>
        <v>16</v>
      </c>
      <c r="V693" s="2">
        <f>V692+1</f>
        <v>202</v>
      </c>
    </row>
    <row r="694" spans="1:22" x14ac:dyDescent="0.3">
      <c r="A694" s="2">
        <f t="shared" si="520"/>
        <v>16203</v>
      </c>
      <c r="B694" s="63" t="s">
        <v>1</v>
      </c>
      <c r="C694" s="63"/>
      <c r="D694" s="71" t="s">
        <v>151</v>
      </c>
      <c r="E694" s="72"/>
      <c r="F694" s="72"/>
      <c r="G694" s="72"/>
      <c r="H694" s="73"/>
      <c r="I694" s="1"/>
      <c r="J694" s="1"/>
      <c r="K694" s="1" t="s">
        <v>2</v>
      </c>
      <c r="L694" s="1" t="s">
        <v>3</v>
      </c>
      <c r="M694" s="1" t="s">
        <v>4</v>
      </c>
      <c r="N694" s="1" t="s">
        <v>5</v>
      </c>
      <c r="O694" s="1" t="s">
        <v>6</v>
      </c>
      <c r="P694" s="1" t="s">
        <v>7</v>
      </c>
      <c r="Q694" s="1" t="s">
        <v>8</v>
      </c>
      <c r="R694" s="1" t="s">
        <v>9</v>
      </c>
      <c r="S694" s="1" t="s">
        <v>10</v>
      </c>
      <c r="T694" s="1"/>
      <c r="U694" s="2">
        <f t="shared" ref="U694:U736" si="521">U693</f>
        <v>16</v>
      </c>
      <c r="V694" s="2">
        <f t="shared" ref="V694:V736" si="522">V693+1</f>
        <v>203</v>
      </c>
    </row>
    <row r="695" spans="1:22" x14ac:dyDescent="0.3">
      <c r="A695" s="2">
        <f t="shared" si="520"/>
        <v>16204</v>
      </c>
      <c r="B695" s="63" t="s">
        <v>11</v>
      </c>
      <c r="C695" s="63"/>
      <c r="D695" s="71" t="s">
        <v>148</v>
      </c>
      <c r="E695" s="72"/>
      <c r="F695" s="72"/>
      <c r="G695" s="72"/>
      <c r="H695" s="73"/>
      <c r="I695" s="1"/>
      <c r="J695" s="1">
        <f>COUNTA(B707:B716)</f>
        <v>7</v>
      </c>
      <c r="K695" s="1">
        <f t="shared" ref="K695" si="523">IF(L695-1&lt;2,0,L695-1)</f>
        <v>0</v>
      </c>
      <c r="L695" s="1">
        <f t="shared" ref="L695" si="524">IF(M695-1&lt;2,0,M695-1)</f>
        <v>0</v>
      </c>
      <c r="M695" s="1">
        <f t="shared" ref="M695" si="525">IF(N695-1&lt;2,0,N695-1)</f>
        <v>0</v>
      </c>
      <c r="N695" s="1">
        <f t="shared" ref="N695" si="526">IF(O695-1&lt;2,0,O695-1)</f>
        <v>2</v>
      </c>
      <c r="O695" s="1">
        <f t="shared" ref="O695" si="527">IF(P695-1&lt;2,0,P695-1)</f>
        <v>3</v>
      </c>
      <c r="P695" s="1">
        <f t="shared" ref="P695" si="528">IF(Q695-1&lt;2,0,Q695-1)</f>
        <v>4</v>
      </c>
      <c r="Q695" s="1">
        <f t="shared" ref="Q695" si="529">IF(R695-1&lt;2,0,R695-1)</f>
        <v>5</v>
      </c>
      <c r="R695" s="1">
        <f>IF(S695-1&lt;2,0,S695-1)</f>
        <v>6</v>
      </c>
      <c r="S695" s="1">
        <f>J695</f>
        <v>7</v>
      </c>
      <c r="T695" s="1"/>
      <c r="U695" s="2">
        <f t="shared" si="521"/>
        <v>16</v>
      </c>
      <c r="V695" s="2">
        <f t="shared" si="522"/>
        <v>204</v>
      </c>
    </row>
    <row r="696" spans="1:22" x14ac:dyDescent="0.3">
      <c r="A696" s="2">
        <f t="shared" si="520"/>
        <v>16205</v>
      </c>
      <c r="B696" s="63" t="s">
        <v>12</v>
      </c>
      <c r="C696" s="63"/>
      <c r="D696" s="71" t="s">
        <v>149</v>
      </c>
      <c r="E696" s="72"/>
      <c r="F696" s="72"/>
      <c r="G696" s="72"/>
      <c r="H696" s="73"/>
      <c r="I696" s="1"/>
      <c r="J696" s="2" t="str">
        <f>CONCATENATE(J695,1)</f>
        <v>71</v>
      </c>
      <c r="K696" s="3">
        <f>IF(K695=0,0,VLOOKUP(J696,J700:S730,K695,FALSE))</f>
        <v>0</v>
      </c>
      <c r="L696" s="3">
        <f>IF(L695=0,0,VLOOKUP(J696,J700:S730,L695,FALSE))</f>
        <v>0</v>
      </c>
      <c r="M696" s="3">
        <f>IF(M695=0,0,VLOOKUP(J696,J700:S730,M695,FALSE))</f>
        <v>0</v>
      </c>
      <c r="N696" s="3">
        <f>IF(N695=0,0,VLOOKUP(J696,J700:S730,N695,FALSE))</f>
        <v>4.6697931588906474E-17</v>
      </c>
      <c r="O696" s="3">
        <f>IF(O695=0,0,VLOOKUP(J696,J700:S730,O695,FALSE))</f>
        <v>-2.2021610792121316E-13</v>
      </c>
      <c r="P696" s="3">
        <f>IF(P695=0,0,VLOOKUP(J696,J700:S730,P695,FALSE))</f>
        <v>3.4223244945612163E-10</v>
      </c>
      <c r="Q696" s="3">
        <f>IF(Q695=0,0,VLOOKUP(J696,J700:S730,Q695,FALSE))</f>
        <v>-1.9569339302521538E-7</v>
      </c>
      <c r="R696" s="3">
        <f>IF(R695=0,0,VLOOKUP(J696,J700:S730,R695,FALSE))</f>
        <v>1.0000170582331884</v>
      </c>
      <c r="S696" s="3">
        <f>IF(S695=0,0,VLOOKUP(J696,J700:S730,S695,FALSE))</f>
        <v>9.9205111556049941E-3</v>
      </c>
      <c r="T696" s="1"/>
      <c r="U696" s="2">
        <f t="shared" si="521"/>
        <v>16</v>
      </c>
      <c r="V696" s="2">
        <f t="shared" si="522"/>
        <v>205</v>
      </c>
    </row>
    <row r="697" spans="1:22" x14ac:dyDescent="0.3">
      <c r="A697" s="2">
        <f t="shared" si="520"/>
        <v>16206</v>
      </c>
      <c r="B697" s="63" t="s">
        <v>13</v>
      </c>
      <c r="C697" s="63"/>
      <c r="D697" s="74" t="s">
        <v>165</v>
      </c>
      <c r="E697" s="72"/>
      <c r="F697" s="72"/>
      <c r="G697" s="72"/>
      <c r="H697" s="73"/>
      <c r="I697" s="1"/>
      <c r="J697" s="2" t="str">
        <f>CONCATENATE(J695,2)</f>
        <v>72</v>
      </c>
      <c r="K697" s="4">
        <f>IF(K695=0,0,VLOOKUP(J697,J700:S730,K695,FALSE))</f>
        <v>0</v>
      </c>
      <c r="L697" s="4">
        <f>IF(L695=0,0,VLOOKUP(J697,J700:S730,L695,FALSE))</f>
        <v>0</v>
      </c>
      <c r="M697" s="4">
        <f>IF(M695=0,0,VLOOKUP(J697,J700:S730,M695,FALSE))</f>
        <v>0</v>
      </c>
      <c r="N697" s="4">
        <f>IF(N695=0,0,VLOOKUP(J697,J700:S730,N695,FALSE))</f>
        <v>1.4038502672673035E-18</v>
      </c>
      <c r="O697" s="4">
        <f>IF(O695=0,0,VLOOKUP(J697,J700:S730,O695,FALSE))</f>
        <v>6.7881703743279031E-15</v>
      </c>
      <c r="P697" s="4">
        <f>IF(P695=0,0,VLOOKUP(J697,J700:S730,P695,FALSE))</f>
        <v>1.143058015743809E-11</v>
      </c>
      <c r="Q697" s="4">
        <f>IF(Q695=0,0,VLOOKUP(J697,J700:S730,Q695,FALSE))</f>
        <v>7.88022700095628E-9</v>
      </c>
      <c r="R697" s="4">
        <f>IF(R695=0,0,VLOOKUP(J697,J700:S730,R695,FALSE))</f>
        <v>1.9244662990764407E-6</v>
      </c>
      <c r="S697" s="4">
        <f>IF(S695=0,0,VLOOKUP(J697,J700:S730,S695,FALSE))</f>
        <v>7.3584491128929658E-5</v>
      </c>
      <c r="T697" s="1"/>
      <c r="U697" s="2">
        <f t="shared" si="521"/>
        <v>16</v>
      </c>
      <c r="V697" s="2">
        <f t="shared" si="522"/>
        <v>206</v>
      </c>
    </row>
    <row r="698" spans="1:22" x14ac:dyDescent="0.3">
      <c r="A698" s="2">
        <f t="shared" si="520"/>
        <v>16207</v>
      </c>
      <c r="B698" s="63" t="s">
        <v>14</v>
      </c>
      <c r="C698" s="63"/>
      <c r="D698" s="75">
        <v>45887</v>
      </c>
      <c r="E698" s="76"/>
      <c r="F698" s="76"/>
      <c r="G698" s="76"/>
      <c r="H698" s="77"/>
      <c r="I698" s="1"/>
      <c r="J698" s="2" t="str">
        <f>CONCATENATE(J695,3)</f>
        <v>73</v>
      </c>
      <c r="K698" s="4"/>
      <c r="L698" s="4"/>
      <c r="M698" s="4"/>
      <c r="N698" s="4" t="s">
        <v>15</v>
      </c>
      <c r="O698" s="3">
        <f>J695-2</f>
        <v>5</v>
      </c>
      <c r="P698" s="4" t="s">
        <v>16</v>
      </c>
      <c r="Q698" s="3">
        <f>VLOOKUP(J698,J700:S730,3,FALSE)</f>
        <v>9.5842302412663116E-5</v>
      </c>
      <c r="R698" s="4" t="s">
        <v>17</v>
      </c>
      <c r="S698" s="4">
        <f>VLOOKUP(J698,J700:S730,2,FALSE)</f>
        <v>0.99999999999999756</v>
      </c>
      <c r="T698" s="1"/>
      <c r="U698" s="2">
        <f t="shared" si="521"/>
        <v>16</v>
      </c>
      <c r="V698" s="2">
        <f t="shared" si="522"/>
        <v>207</v>
      </c>
    </row>
    <row r="699" spans="1:22" x14ac:dyDescent="0.3">
      <c r="A699" s="2">
        <f t="shared" si="520"/>
        <v>16208</v>
      </c>
      <c r="B699" s="63" t="s">
        <v>18</v>
      </c>
      <c r="C699" s="63"/>
      <c r="D699" s="64">
        <v>46264</v>
      </c>
      <c r="E699" s="65"/>
      <c r="F699" s="65"/>
      <c r="G699" s="65"/>
      <c r="H699" s="66"/>
      <c r="I699" s="1"/>
      <c r="J699" s="1"/>
      <c r="K699" s="1">
        <v>3</v>
      </c>
      <c r="L699" s="1">
        <v>3</v>
      </c>
      <c r="M699" s="1"/>
      <c r="N699" s="1"/>
      <c r="O699" s="1"/>
      <c r="P699" s="1"/>
      <c r="Q699" s="1"/>
      <c r="R699" s="1"/>
      <c r="S699" s="1"/>
      <c r="T699" s="1"/>
      <c r="U699" s="2">
        <f t="shared" si="521"/>
        <v>16</v>
      </c>
      <c r="V699" s="2">
        <f t="shared" si="522"/>
        <v>208</v>
      </c>
    </row>
    <row r="700" spans="1:22" x14ac:dyDescent="0.3">
      <c r="A700" s="2">
        <f t="shared" si="520"/>
        <v>16209</v>
      </c>
      <c r="B700" s="67" t="s">
        <v>19</v>
      </c>
      <c r="C700" s="63"/>
      <c r="D700" s="5">
        <f>IF(D693="","",MIN(B707:B716))</f>
        <v>1</v>
      </c>
      <c r="E700" s="6" t="s">
        <v>20</v>
      </c>
      <c r="F700" s="5">
        <f>IF(D693="","",MAX(B707:B716))</f>
        <v>2000</v>
      </c>
      <c r="G700" s="7" t="str">
        <f>IF(D694="","",H693)</f>
        <v>g</v>
      </c>
      <c r="H700" s="14"/>
      <c r="I700" s="1"/>
      <c r="J700" s="2" t="str">
        <f>CONCATENATE(K699,1)</f>
        <v>31</v>
      </c>
      <c r="K700" s="4">
        <f t="array" ref="K700:L702">LINEST(B707:B709,C707:C709^{1},TRUE,TRUE)</f>
        <v>1</v>
      </c>
      <c r="L700" s="4">
        <v>9.9999999999980105E-3</v>
      </c>
      <c r="M700" s="1"/>
      <c r="N700" s="1"/>
      <c r="O700" s="1"/>
      <c r="P700" s="1"/>
      <c r="Q700" s="1"/>
      <c r="R700" s="1"/>
      <c r="S700" s="1"/>
      <c r="T700" s="1"/>
      <c r="U700" s="2">
        <f t="shared" si="521"/>
        <v>16</v>
      </c>
      <c r="V700" s="2">
        <f t="shared" si="522"/>
        <v>209</v>
      </c>
    </row>
    <row r="701" spans="1:22" x14ac:dyDescent="0.3">
      <c r="A701" s="2">
        <f t="shared" si="520"/>
        <v>16210</v>
      </c>
      <c r="B701" s="1"/>
      <c r="C701" s="1"/>
      <c r="D701" s="1"/>
      <c r="E701" s="1"/>
      <c r="F701" s="1"/>
      <c r="G701" s="1"/>
      <c r="H701" s="1"/>
      <c r="I701" s="1"/>
      <c r="J701" s="2" t="str">
        <f>CONCATENATE(K699,2)</f>
        <v>32</v>
      </c>
      <c r="K701" s="4">
        <v>0</v>
      </c>
      <c r="L701" s="4">
        <v>0</v>
      </c>
      <c r="M701" s="1"/>
      <c r="N701" s="1"/>
      <c r="O701" s="1"/>
      <c r="P701" s="1"/>
      <c r="Q701" s="1"/>
      <c r="R701" s="1"/>
      <c r="S701" s="1"/>
      <c r="T701" s="1"/>
      <c r="U701" s="2">
        <f t="shared" si="521"/>
        <v>16</v>
      </c>
      <c r="V701" s="2">
        <f t="shared" si="522"/>
        <v>210</v>
      </c>
    </row>
    <row r="702" spans="1:22" x14ac:dyDescent="0.3">
      <c r="A702" s="2">
        <f t="shared" si="520"/>
        <v>16211</v>
      </c>
      <c r="B702" s="68" t="s">
        <v>21</v>
      </c>
      <c r="C702" s="68"/>
      <c r="D702" s="68"/>
      <c r="E702" s="68"/>
      <c r="F702" s="68"/>
      <c r="G702" s="69" t="s">
        <v>22</v>
      </c>
      <c r="H702" s="70"/>
      <c r="I702" s="1"/>
      <c r="J702" s="2" t="str">
        <f>CONCATENATE(K699,3)</f>
        <v>33</v>
      </c>
      <c r="K702" s="4">
        <v>1</v>
      </c>
      <c r="L702" s="4">
        <v>0</v>
      </c>
      <c r="M702" s="1"/>
      <c r="N702" s="1"/>
      <c r="O702" s="1"/>
      <c r="P702" s="1"/>
      <c r="Q702" s="1"/>
      <c r="R702" s="1"/>
      <c r="S702" s="1"/>
      <c r="T702" s="1"/>
      <c r="U702" s="2">
        <f t="shared" si="521"/>
        <v>16</v>
      </c>
      <c r="V702" s="2">
        <f t="shared" si="522"/>
        <v>211</v>
      </c>
    </row>
    <row r="703" spans="1:22" x14ac:dyDescent="0.3">
      <c r="A703" s="2">
        <f t="shared" si="520"/>
        <v>16212</v>
      </c>
      <c r="B703" s="61" t="s">
        <v>23</v>
      </c>
      <c r="C703" s="61"/>
      <c r="D703" s="61"/>
      <c r="E703" s="61" t="str">
        <f>D697</f>
        <v>M0064/25</v>
      </c>
      <c r="F703" s="61"/>
      <c r="G703" s="4" t="s">
        <v>24</v>
      </c>
      <c r="H703" s="31" t="s">
        <v>152</v>
      </c>
      <c r="I703" s="1"/>
      <c r="J703" s="1"/>
      <c r="K703" s="1">
        <v>4</v>
      </c>
      <c r="L703" s="1">
        <v>4</v>
      </c>
      <c r="M703" s="1">
        <v>4</v>
      </c>
      <c r="N703" s="1"/>
      <c r="O703" s="1"/>
      <c r="P703" s="1"/>
      <c r="Q703" s="1"/>
      <c r="R703" s="1"/>
      <c r="S703" s="1"/>
      <c r="T703" s="1"/>
      <c r="U703" s="2">
        <f t="shared" si="521"/>
        <v>16</v>
      </c>
      <c r="V703" s="2">
        <f t="shared" si="522"/>
        <v>212</v>
      </c>
    </row>
    <row r="704" spans="1:22" ht="15" customHeight="1" x14ac:dyDescent="0.3">
      <c r="A704" s="2">
        <f t="shared" si="520"/>
        <v>16213</v>
      </c>
      <c r="B704" s="59" t="s">
        <v>25</v>
      </c>
      <c r="C704" s="59" t="s">
        <v>26</v>
      </c>
      <c r="D704" s="59" t="s">
        <v>27</v>
      </c>
      <c r="E704" s="59" t="s">
        <v>28</v>
      </c>
      <c r="F704" s="59" t="s">
        <v>29</v>
      </c>
      <c r="G704" s="59" t="s">
        <v>25</v>
      </c>
      <c r="H704" s="59" t="s">
        <v>26</v>
      </c>
      <c r="I704" s="1"/>
      <c r="J704" s="2" t="str">
        <f t="shared" ref="J704" si="530">CONCATENATE(K703,1)</f>
        <v>41</v>
      </c>
      <c r="K704" s="4">
        <f t="array" ref="K704:M706">LINEST(B707:B710,C707:C710^{1,2},TRUE,TRUE)</f>
        <v>-5.0439690694415313E-8</v>
      </c>
      <c r="L704" s="4">
        <v>1.0000052704064777</v>
      </c>
      <c r="M704" s="4">
        <v>9.9748104456581239E-3</v>
      </c>
      <c r="N704" s="1"/>
      <c r="O704" s="1"/>
      <c r="P704" s="1"/>
      <c r="Q704" s="1"/>
      <c r="R704" s="1"/>
      <c r="S704" s="1"/>
      <c r="T704" s="1"/>
      <c r="U704" s="2">
        <f t="shared" si="521"/>
        <v>16</v>
      </c>
      <c r="V704" s="2">
        <f t="shared" si="522"/>
        <v>213</v>
      </c>
    </row>
    <row r="705" spans="1:22" x14ac:dyDescent="0.3">
      <c r="A705" s="2">
        <f t="shared" si="520"/>
        <v>16214</v>
      </c>
      <c r="B705" s="60"/>
      <c r="C705" s="60"/>
      <c r="D705" s="60"/>
      <c r="E705" s="60"/>
      <c r="F705" s="60"/>
      <c r="G705" s="60"/>
      <c r="H705" s="60"/>
      <c r="I705" s="1"/>
      <c r="J705" s="2" t="str">
        <f t="shared" ref="J705" si="531">CONCATENATE(K703,2)</f>
        <v>42</v>
      </c>
      <c r="K705" s="4">
        <v>9.269849623306155E-10</v>
      </c>
      <c r="L705" s="4">
        <v>4.8517746976537435E-7</v>
      </c>
      <c r="M705" s="4">
        <v>2.286844808589896E-5</v>
      </c>
      <c r="N705" s="1"/>
      <c r="O705" s="1"/>
      <c r="P705" s="1"/>
      <c r="Q705" s="1"/>
      <c r="R705" s="1"/>
      <c r="S705" s="1"/>
      <c r="T705" s="1"/>
      <c r="U705" s="2">
        <f t="shared" si="521"/>
        <v>16</v>
      </c>
      <c r="V705" s="2">
        <f t="shared" si="522"/>
        <v>214</v>
      </c>
    </row>
    <row r="706" spans="1:22" x14ac:dyDescent="0.3">
      <c r="A706" s="2">
        <f t="shared" si="520"/>
        <v>16215</v>
      </c>
      <c r="B706" s="9" t="str">
        <f>CONCATENATE("(",H693,")")</f>
        <v>(g)</v>
      </c>
      <c r="C706" s="9" t="str">
        <f>B706</f>
        <v>(g)</v>
      </c>
      <c r="D706" s="9" t="str">
        <f>C706</f>
        <v>(g)</v>
      </c>
      <c r="E706" s="9"/>
      <c r="F706" s="9"/>
      <c r="G706" s="9" t="str">
        <f>B706</f>
        <v>(g)</v>
      </c>
      <c r="H706" s="9" t="str">
        <f>G706</f>
        <v>(g)</v>
      </c>
      <c r="I706" s="1"/>
      <c r="J706" s="2" t="str">
        <f t="shared" ref="J706" si="532">CONCATENATE(K703,3)</f>
        <v>43</v>
      </c>
      <c r="K706" s="4">
        <v>0.99999999999999456</v>
      </c>
      <c r="L706" s="4">
        <v>3.0168030717203642E-5</v>
      </c>
      <c r="M706" s="4" t="e">
        <v>#N/A</v>
      </c>
      <c r="N706" s="1"/>
      <c r="O706" s="1"/>
      <c r="P706" s="1"/>
      <c r="Q706" s="1"/>
      <c r="R706" s="1"/>
      <c r="S706" s="1"/>
      <c r="T706" s="1"/>
      <c r="U706" s="2">
        <f t="shared" si="521"/>
        <v>16</v>
      </c>
      <c r="V706" s="2">
        <f t="shared" si="522"/>
        <v>215</v>
      </c>
    </row>
    <row r="707" spans="1:22" x14ac:dyDescent="0.3">
      <c r="A707" s="2">
        <f t="shared" si="520"/>
        <v>16216</v>
      </c>
      <c r="B707" s="10">
        <v>1</v>
      </c>
      <c r="C707" s="10">
        <v>0.99</v>
      </c>
      <c r="D707" s="10">
        <v>0.02</v>
      </c>
      <c r="E707" s="10">
        <v>2</v>
      </c>
      <c r="F707" s="10">
        <v>1000000</v>
      </c>
      <c r="G707" s="8">
        <v>0.5</v>
      </c>
      <c r="H707" s="8">
        <v>0.5</v>
      </c>
      <c r="I707" s="1"/>
      <c r="J707" s="1"/>
      <c r="K707" s="1">
        <v>5</v>
      </c>
      <c r="L707" s="1">
        <v>5</v>
      </c>
      <c r="M707" s="1">
        <v>5</v>
      </c>
      <c r="N707" s="1">
        <v>5</v>
      </c>
      <c r="O707" s="1"/>
      <c r="P707" s="1"/>
      <c r="Q707" s="1"/>
      <c r="R707" s="1"/>
      <c r="S707" s="1"/>
      <c r="T707" s="1"/>
      <c r="U707" s="2">
        <f t="shared" si="521"/>
        <v>16</v>
      </c>
      <c r="V707" s="2">
        <f t="shared" si="522"/>
        <v>216</v>
      </c>
    </row>
    <row r="708" spans="1:22" x14ac:dyDescent="0.3">
      <c r="A708" s="2">
        <f t="shared" si="520"/>
        <v>16217</v>
      </c>
      <c r="B708" s="10">
        <v>10</v>
      </c>
      <c r="C708" s="10">
        <v>9.99</v>
      </c>
      <c r="D708" s="10">
        <v>0.02</v>
      </c>
      <c r="E708" s="10">
        <v>2</v>
      </c>
      <c r="F708" s="10">
        <v>1000000</v>
      </c>
      <c r="G708" s="8"/>
      <c r="H708" s="8"/>
      <c r="I708" s="1"/>
      <c r="J708" s="2" t="str">
        <f t="shared" ref="J708" si="533">CONCATENATE(K707,1)</f>
        <v>51</v>
      </c>
      <c r="K708" s="4">
        <f t="array" ref="K708:N710">LINEST(B707:B711,C707:C711^{1,2,3},TRUE,TRUE)</f>
        <v>7.8525000175638744E-11</v>
      </c>
      <c r="L708" s="4">
        <v>-9.7877653673571899E-8</v>
      </c>
      <c r="M708" s="4">
        <v>1.000009397020641</v>
      </c>
      <c r="N708" s="4">
        <v>9.9555977324383149E-3</v>
      </c>
      <c r="O708" s="1"/>
      <c r="P708" s="1"/>
      <c r="Q708" s="1"/>
      <c r="R708" s="1"/>
      <c r="S708" s="1"/>
      <c r="T708" s="1"/>
      <c r="U708" s="2">
        <f t="shared" si="521"/>
        <v>16</v>
      </c>
      <c r="V708" s="2">
        <f t="shared" si="522"/>
        <v>217</v>
      </c>
    </row>
    <row r="709" spans="1:22" x14ac:dyDescent="0.3">
      <c r="A709" s="2">
        <f t="shared" si="520"/>
        <v>16218</v>
      </c>
      <c r="B709" s="10">
        <v>100</v>
      </c>
      <c r="C709" s="10">
        <v>99.99</v>
      </c>
      <c r="D709" s="10">
        <v>0.02</v>
      </c>
      <c r="E709" s="10">
        <v>2</v>
      </c>
      <c r="F709" s="10">
        <v>1000000</v>
      </c>
      <c r="G709" s="8"/>
      <c r="H709" s="8"/>
      <c r="I709" s="1"/>
      <c r="J709" s="2" t="str">
        <f t="shared" ref="J709" si="534">CONCATENATE(K707,2)</f>
        <v>52</v>
      </c>
      <c r="K709" s="4">
        <v>1.8382898256564382E-12</v>
      </c>
      <c r="L709" s="4">
        <v>2.7421163152294655E-9</v>
      </c>
      <c r="M709" s="4">
        <v>9.508168371199612E-7</v>
      </c>
      <c r="N709" s="4">
        <v>4.0670476093822415E-5</v>
      </c>
      <c r="O709" s="1"/>
      <c r="P709" s="1"/>
      <c r="Q709" s="1"/>
      <c r="R709" s="1"/>
      <c r="S709" s="1"/>
      <c r="T709" s="1"/>
      <c r="U709" s="2">
        <f t="shared" si="521"/>
        <v>16</v>
      </c>
      <c r="V709" s="2">
        <f t="shared" si="522"/>
        <v>218</v>
      </c>
    </row>
    <row r="710" spans="1:22" x14ac:dyDescent="0.3">
      <c r="A710" s="2">
        <f t="shared" si="520"/>
        <v>16219</v>
      </c>
      <c r="B710" s="10">
        <v>500</v>
      </c>
      <c r="C710" s="10">
        <v>500</v>
      </c>
      <c r="D710" s="10">
        <v>0.02</v>
      </c>
      <c r="E710" s="10">
        <v>2</v>
      </c>
      <c r="F710" s="10">
        <v>1000000</v>
      </c>
      <c r="G710" s="8">
        <v>500</v>
      </c>
      <c r="H710" s="8">
        <v>499.99</v>
      </c>
      <c r="I710" s="1"/>
      <c r="J710" s="2" t="str">
        <f t="shared" ref="J710" si="535">CONCATENATE(K707,3)</f>
        <v>53</v>
      </c>
      <c r="K710" s="4">
        <v>0.99999999999999623</v>
      </c>
      <c r="L710" s="4">
        <v>5.334153111569151E-5</v>
      </c>
      <c r="M710" s="4" t="e">
        <v>#N/A</v>
      </c>
      <c r="N710" s="4" t="e">
        <v>#N/A</v>
      </c>
      <c r="O710" s="1"/>
      <c r="P710" s="1"/>
      <c r="Q710" s="1"/>
      <c r="R710" s="1"/>
      <c r="S710" s="1"/>
      <c r="T710" s="1"/>
      <c r="U710" s="2">
        <f t="shared" si="521"/>
        <v>16</v>
      </c>
      <c r="V710" s="2">
        <f t="shared" si="522"/>
        <v>219</v>
      </c>
    </row>
    <row r="711" spans="1:22" x14ac:dyDescent="0.3">
      <c r="A711" s="2">
        <f t="shared" si="520"/>
        <v>16220</v>
      </c>
      <c r="B711" s="10">
        <v>1000</v>
      </c>
      <c r="C711" s="10">
        <v>1000</v>
      </c>
      <c r="D711" s="10">
        <v>0.03</v>
      </c>
      <c r="E711" s="10">
        <v>2</v>
      </c>
      <c r="F711" s="10">
        <v>1000000</v>
      </c>
      <c r="G711" s="8">
        <v>1000</v>
      </c>
      <c r="H711" s="8">
        <v>999.99</v>
      </c>
      <c r="I711" s="1"/>
      <c r="J711" s="1"/>
      <c r="K711" s="1">
        <v>6</v>
      </c>
      <c r="L711" s="1">
        <v>6</v>
      </c>
      <c r="M711" s="1">
        <v>6</v>
      </c>
      <c r="N711" s="1">
        <v>6</v>
      </c>
      <c r="O711" s="1">
        <v>6</v>
      </c>
      <c r="P711" s="1"/>
      <c r="Q711" s="1"/>
      <c r="R711" s="1"/>
      <c r="S711" s="1"/>
      <c r="T711" s="1"/>
      <c r="U711" s="2">
        <f t="shared" si="521"/>
        <v>16</v>
      </c>
      <c r="V711" s="2">
        <f t="shared" si="522"/>
        <v>220</v>
      </c>
    </row>
    <row r="712" spans="1:22" x14ac:dyDescent="0.3">
      <c r="A712" s="2">
        <f t="shared" si="520"/>
        <v>16221</v>
      </c>
      <c r="B712" s="10">
        <v>1500</v>
      </c>
      <c r="C712" s="10">
        <v>1500.01</v>
      </c>
      <c r="D712" s="10">
        <v>0.03</v>
      </c>
      <c r="E712" s="10">
        <v>2</v>
      </c>
      <c r="F712" s="10">
        <v>1000000</v>
      </c>
      <c r="G712" s="8">
        <v>1500</v>
      </c>
      <c r="H712" s="8">
        <v>1499.99</v>
      </c>
      <c r="I712" s="1"/>
      <c r="J712" s="2" t="str">
        <f t="shared" ref="J712" si="536">CONCATENATE(K711,1)</f>
        <v>61</v>
      </c>
      <c r="K712" s="4">
        <f t="array" ref="K712:O714">LINEST(B707:B712,C707:C712^{1,2,3,4},TRUE,TRUE)</f>
        <v>-7.5282166389461207E-14</v>
      </c>
      <c r="L712" s="4">
        <v>1.9926800384685049E-10</v>
      </c>
      <c r="M712" s="4">
        <v>-1.4728649197566453E-7</v>
      </c>
      <c r="N712" s="4">
        <v>1.0000133631473103</v>
      </c>
      <c r="O712" s="4">
        <v>9.9373589382161648E-3</v>
      </c>
      <c r="P712" s="1"/>
      <c r="Q712" s="1"/>
      <c r="R712" s="1"/>
      <c r="S712" s="1"/>
      <c r="T712" s="1"/>
      <c r="U712" s="2">
        <f t="shared" si="521"/>
        <v>16</v>
      </c>
      <c r="V712" s="2">
        <f t="shared" si="522"/>
        <v>221</v>
      </c>
    </row>
    <row r="713" spans="1:22" x14ac:dyDescent="0.3">
      <c r="A713" s="2">
        <f t="shared" si="520"/>
        <v>16222</v>
      </c>
      <c r="B713" s="10">
        <v>2000</v>
      </c>
      <c r="C713" s="10">
        <v>2000.03</v>
      </c>
      <c r="D713" s="10">
        <v>0.04</v>
      </c>
      <c r="E713" s="10">
        <v>2</v>
      </c>
      <c r="F713" s="10">
        <v>1000000</v>
      </c>
      <c r="G713" s="8">
        <v>2000</v>
      </c>
      <c r="H713" s="8">
        <v>1999.98</v>
      </c>
      <c r="I713" s="1"/>
      <c r="J713" s="2" t="str">
        <f t="shared" ref="J713" si="537">CONCATENATE(K711,2)</f>
        <v>62</v>
      </c>
      <c r="K713" s="4">
        <v>1.9354027262573486E-15</v>
      </c>
      <c r="L713" s="4">
        <v>5.6844246850419492E-12</v>
      </c>
      <c r="M713" s="4">
        <v>5.1175115262962757E-9</v>
      </c>
      <c r="N713" s="4">
        <v>1.438395177093273E-6</v>
      </c>
      <c r="O713" s="4">
        <v>5.7720985078939606E-5</v>
      </c>
      <c r="P713" s="1"/>
      <c r="Q713" s="1"/>
      <c r="R713" s="1"/>
      <c r="S713" s="1"/>
      <c r="T713" s="1"/>
      <c r="U713" s="2">
        <f t="shared" si="521"/>
        <v>16</v>
      </c>
      <c r="V713" s="2">
        <f t="shared" si="522"/>
        <v>222</v>
      </c>
    </row>
    <row r="714" spans="1:22" x14ac:dyDescent="0.3">
      <c r="A714" s="2">
        <f t="shared" si="520"/>
        <v>16223</v>
      </c>
      <c r="B714" s="10"/>
      <c r="C714" s="10"/>
      <c r="D714" s="10"/>
      <c r="E714" s="10"/>
      <c r="F714" s="10"/>
      <c r="G714" s="8"/>
      <c r="H714" s="8"/>
      <c r="I714" s="1"/>
      <c r="J714" s="2" t="str">
        <f t="shared" ref="J714" si="538">CONCATENATE(K711,3)</f>
        <v>63</v>
      </c>
      <c r="K714" s="4">
        <v>0.999999999999997</v>
      </c>
      <c r="L714" s="4">
        <v>7.5406699901137131E-5</v>
      </c>
      <c r="M714" s="4" t="e">
        <v>#N/A</v>
      </c>
      <c r="N714" s="4" t="e">
        <v>#N/A</v>
      </c>
      <c r="O714" s="4" t="e">
        <v>#N/A</v>
      </c>
      <c r="P714" s="1"/>
      <c r="Q714" s="1"/>
      <c r="R714" s="1"/>
      <c r="S714" s="1"/>
      <c r="T714" s="1"/>
      <c r="U714" s="2">
        <f t="shared" si="521"/>
        <v>16</v>
      </c>
      <c r="V714" s="2">
        <f t="shared" si="522"/>
        <v>223</v>
      </c>
    </row>
    <row r="715" spans="1:22" x14ac:dyDescent="0.3">
      <c r="A715" s="2">
        <f t="shared" si="520"/>
        <v>16224</v>
      </c>
      <c r="B715" s="10"/>
      <c r="C715" s="10"/>
      <c r="D715" s="10"/>
      <c r="E715" s="10"/>
      <c r="F715" s="10"/>
      <c r="G715" s="8"/>
      <c r="H715" s="8"/>
      <c r="I715" s="1"/>
      <c r="J715" s="1"/>
      <c r="K715" s="1">
        <v>7</v>
      </c>
      <c r="L715" s="1">
        <v>7</v>
      </c>
      <c r="M715" s="1">
        <v>7</v>
      </c>
      <c r="N715" s="1">
        <v>7</v>
      </c>
      <c r="O715" s="1">
        <v>7</v>
      </c>
      <c r="P715" s="1">
        <v>7</v>
      </c>
      <c r="Q715" s="1"/>
      <c r="R715" s="1"/>
      <c r="S715" s="1"/>
      <c r="T715" s="1"/>
      <c r="U715" s="2">
        <f t="shared" si="521"/>
        <v>16</v>
      </c>
      <c r="V715" s="2">
        <f t="shared" si="522"/>
        <v>224</v>
      </c>
    </row>
    <row r="716" spans="1:22" x14ac:dyDescent="0.3">
      <c r="A716" s="2">
        <f t="shared" si="520"/>
        <v>16225</v>
      </c>
      <c r="B716" s="10"/>
      <c r="C716" s="10"/>
      <c r="D716" s="10"/>
      <c r="E716" s="10"/>
      <c r="F716" s="10"/>
      <c r="G716" s="8"/>
      <c r="H716" s="8"/>
      <c r="I716" s="1"/>
      <c r="J716" s="2" t="str">
        <f t="shared" ref="J716" si="539">CONCATENATE(K715,1)</f>
        <v>71</v>
      </c>
      <c r="K716" s="4">
        <f t="array" ref="K716:P718">LINEST(B707:B713,C707:C713^{1,2,3,4,5},TRUE,TRUE)</f>
        <v>4.6697931588906474E-17</v>
      </c>
      <c r="L716" s="4">
        <v>-2.2021610792121316E-13</v>
      </c>
      <c r="M716" s="4">
        <v>3.4223244945612163E-10</v>
      </c>
      <c r="N716" s="4">
        <v>-1.9569339302521538E-7</v>
      </c>
      <c r="O716" s="4">
        <v>1.0000170582331884</v>
      </c>
      <c r="P716" s="4">
        <v>9.9205111556049941E-3</v>
      </c>
      <c r="Q716" s="1"/>
      <c r="R716" s="1"/>
      <c r="S716" s="1"/>
      <c r="T716" s="1"/>
      <c r="U716" s="2">
        <f t="shared" si="521"/>
        <v>16</v>
      </c>
      <c r="V716" s="2">
        <f t="shared" si="522"/>
        <v>225</v>
      </c>
    </row>
    <row r="717" spans="1:22" x14ac:dyDescent="0.3">
      <c r="A717" s="2">
        <f t="shared" si="520"/>
        <v>16226</v>
      </c>
      <c r="B717" s="61" t="s">
        <v>44</v>
      </c>
      <c r="C717" s="61"/>
      <c r="D717" s="61"/>
      <c r="E717" s="61"/>
      <c r="F717" s="61"/>
      <c r="G717" s="61"/>
      <c r="H717" s="61"/>
      <c r="I717" s="1"/>
      <c r="J717" s="2" t="str">
        <f t="shared" ref="J717" si="540">CONCATENATE(K715,2)</f>
        <v>72</v>
      </c>
      <c r="K717" s="4">
        <v>1.4038502672673035E-18</v>
      </c>
      <c r="L717" s="4">
        <v>6.7881703743279031E-15</v>
      </c>
      <c r="M717" s="4">
        <v>1.143058015743809E-11</v>
      </c>
      <c r="N717" s="4">
        <v>7.88022700095628E-9</v>
      </c>
      <c r="O717" s="4">
        <v>1.9244662990764407E-6</v>
      </c>
      <c r="P717" s="4">
        <v>7.3584491128929658E-5</v>
      </c>
      <c r="Q717" s="1"/>
      <c r="R717" s="1"/>
      <c r="S717" s="1"/>
      <c r="T717" s="1"/>
      <c r="U717" s="2">
        <f t="shared" si="521"/>
        <v>16</v>
      </c>
      <c r="V717" s="2">
        <f t="shared" si="522"/>
        <v>226</v>
      </c>
    </row>
    <row r="718" spans="1:22" x14ac:dyDescent="0.3">
      <c r="A718" s="2">
        <f t="shared" si="520"/>
        <v>16227</v>
      </c>
      <c r="B718" s="4" t="s">
        <v>45</v>
      </c>
      <c r="C718" s="4" t="s">
        <v>46</v>
      </c>
      <c r="D718" s="4" t="s">
        <v>47</v>
      </c>
      <c r="E718" s="4" t="s">
        <v>48</v>
      </c>
      <c r="F718" s="4" t="s">
        <v>49</v>
      </c>
      <c r="G718" s="4" t="s">
        <v>50</v>
      </c>
      <c r="H718" s="4" t="s">
        <v>46</v>
      </c>
      <c r="I718" s="1"/>
      <c r="J718" s="2" t="str">
        <f t="shared" ref="J718" si="541">CONCATENATE(K715,3)</f>
        <v>73</v>
      </c>
      <c r="K718" s="4">
        <v>0.99999999999999756</v>
      </c>
      <c r="L718" s="4">
        <v>9.5842302412663116E-5</v>
      </c>
      <c r="M718" s="4" t="e">
        <v>#N/A</v>
      </c>
      <c r="N718" s="4" t="e">
        <v>#N/A</v>
      </c>
      <c r="O718" s="4" t="e">
        <v>#N/A</v>
      </c>
      <c r="P718" s="4" t="e">
        <v>#N/A</v>
      </c>
      <c r="Q718" s="1"/>
      <c r="R718" s="1"/>
      <c r="S718" s="1"/>
      <c r="T718" s="1"/>
      <c r="U718" s="2">
        <f t="shared" si="521"/>
        <v>16</v>
      </c>
      <c r="V718" s="2">
        <f t="shared" si="522"/>
        <v>227</v>
      </c>
    </row>
    <row r="719" spans="1:22" x14ac:dyDescent="0.3">
      <c r="A719" s="2">
        <f t="shared" si="520"/>
        <v>16228</v>
      </c>
      <c r="B719" s="10">
        <v>600</v>
      </c>
      <c r="C719" s="10">
        <v>600</v>
      </c>
      <c r="D719" s="10">
        <v>599.99</v>
      </c>
      <c r="E719" s="10">
        <v>599.99</v>
      </c>
      <c r="F719" s="10">
        <v>599.97</v>
      </c>
      <c r="G719" s="10">
        <v>599.97</v>
      </c>
      <c r="H719" s="10">
        <v>600</v>
      </c>
      <c r="I719" s="1"/>
      <c r="J719" s="1"/>
      <c r="K719" s="1">
        <v>8</v>
      </c>
      <c r="L719" s="1">
        <v>8</v>
      </c>
      <c r="M719" s="1">
        <v>8</v>
      </c>
      <c r="N719" s="1">
        <v>8</v>
      </c>
      <c r="O719" s="1">
        <v>8</v>
      </c>
      <c r="P719" s="1">
        <v>8</v>
      </c>
      <c r="Q719" s="1">
        <v>8</v>
      </c>
      <c r="R719" s="1"/>
      <c r="S719" s="1"/>
      <c r="T719" s="1"/>
      <c r="U719" s="2">
        <f t="shared" si="521"/>
        <v>16</v>
      </c>
      <c r="V719" s="2">
        <f t="shared" si="522"/>
        <v>228</v>
      </c>
    </row>
    <row r="720" spans="1:22" x14ac:dyDescent="0.3">
      <c r="A720" s="2">
        <f t="shared" si="520"/>
        <v>16229</v>
      </c>
      <c r="I720" s="1"/>
      <c r="J720" s="2" t="str">
        <f t="shared" ref="J720" si="542">CONCATENATE(K719,1)</f>
        <v>81</v>
      </c>
      <c r="K720" s="4" t="e">
        <f t="array" ref="K720:Q722">LINEST(B707:B714,C707:C714^{1,2,3,4,5,6},TRUE,TRUE)</f>
        <v>#VALUE!</v>
      </c>
      <c r="L720" s="4" t="e">
        <v>#VALUE!</v>
      </c>
      <c r="M720" s="4" t="e">
        <v>#VALUE!</v>
      </c>
      <c r="N720" s="4" t="e">
        <v>#VALUE!</v>
      </c>
      <c r="O720" s="4" t="e">
        <v>#VALUE!</v>
      </c>
      <c r="P720" s="4" t="e">
        <v>#VALUE!</v>
      </c>
      <c r="Q720" s="4" t="e">
        <v>#VALUE!</v>
      </c>
      <c r="R720" s="1"/>
      <c r="S720" s="1"/>
      <c r="T720" s="1"/>
      <c r="U720" s="2">
        <f t="shared" si="521"/>
        <v>16</v>
      </c>
      <c r="V720" s="2">
        <f t="shared" si="522"/>
        <v>229</v>
      </c>
    </row>
    <row r="721" spans="1:22" x14ac:dyDescent="0.3">
      <c r="A721" s="2">
        <f t="shared" si="520"/>
        <v>16230</v>
      </c>
      <c r="B721" s="58" t="s">
        <v>30</v>
      </c>
      <c r="C721" s="58"/>
      <c r="D721" s="58"/>
      <c r="E721" s="58"/>
      <c r="F721" s="58"/>
      <c r="G721" s="58"/>
      <c r="H721" s="58"/>
      <c r="I721" s="1"/>
      <c r="J721" s="2" t="str">
        <f t="shared" ref="J721" si="543">CONCATENATE(K719,2)</f>
        <v>82</v>
      </c>
      <c r="K721" s="4" t="e">
        <v>#VALUE!</v>
      </c>
      <c r="L721" s="4" t="e">
        <v>#VALUE!</v>
      </c>
      <c r="M721" s="4" t="e">
        <v>#VALUE!</v>
      </c>
      <c r="N721" s="4" t="e">
        <v>#VALUE!</v>
      </c>
      <c r="O721" s="4" t="e">
        <v>#VALUE!</v>
      </c>
      <c r="P721" s="4" t="e">
        <v>#VALUE!</v>
      </c>
      <c r="Q721" s="4" t="e">
        <v>#VALUE!</v>
      </c>
      <c r="R721" s="1"/>
      <c r="S721" s="1"/>
      <c r="T721" s="1"/>
      <c r="U721" s="2">
        <f t="shared" si="521"/>
        <v>16</v>
      </c>
      <c r="V721" s="2">
        <f t="shared" si="522"/>
        <v>230</v>
      </c>
    </row>
    <row r="722" spans="1:22" x14ac:dyDescent="0.3">
      <c r="A722" s="2">
        <f t="shared" si="520"/>
        <v>16231</v>
      </c>
      <c r="B722" s="62"/>
      <c r="C722" s="62"/>
      <c r="D722" s="62"/>
      <c r="E722" s="62"/>
      <c r="F722" s="62"/>
      <c r="G722" s="62"/>
      <c r="H722" s="62"/>
      <c r="I722" s="1"/>
      <c r="J722" s="2" t="str">
        <f t="shared" ref="J722" si="544">CONCATENATE(K719,3)</f>
        <v>83</v>
      </c>
      <c r="K722" s="4" t="e">
        <v>#VALUE!</v>
      </c>
      <c r="L722" s="4" t="e">
        <v>#VALUE!</v>
      </c>
      <c r="M722" s="4" t="e">
        <v>#VALUE!</v>
      </c>
      <c r="N722" s="4" t="e">
        <v>#VALUE!</v>
      </c>
      <c r="O722" s="4" t="e">
        <v>#VALUE!</v>
      </c>
      <c r="P722" s="4" t="e">
        <v>#VALUE!</v>
      </c>
      <c r="Q722" s="4" t="e">
        <v>#VALUE!</v>
      </c>
      <c r="R722" s="1"/>
      <c r="S722" s="1"/>
      <c r="T722" s="1"/>
      <c r="U722" s="2">
        <f t="shared" si="521"/>
        <v>16</v>
      </c>
      <c r="V722" s="2">
        <f t="shared" si="522"/>
        <v>231</v>
      </c>
    </row>
    <row r="723" spans="1:22" x14ac:dyDescent="0.3">
      <c r="A723" s="2">
        <f t="shared" si="520"/>
        <v>16232</v>
      </c>
      <c r="B723" s="62"/>
      <c r="C723" s="62"/>
      <c r="D723" s="62"/>
      <c r="E723" s="62"/>
      <c r="F723" s="62"/>
      <c r="G723" s="62"/>
      <c r="H723" s="62"/>
      <c r="I723" s="1"/>
      <c r="J723" s="1"/>
      <c r="K723" s="1">
        <v>9</v>
      </c>
      <c r="L723" s="1">
        <v>9</v>
      </c>
      <c r="M723" s="1">
        <v>9</v>
      </c>
      <c r="N723" s="1">
        <v>9</v>
      </c>
      <c r="O723" s="1">
        <v>9</v>
      </c>
      <c r="P723" s="1">
        <v>9</v>
      </c>
      <c r="Q723" s="1">
        <v>9</v>
      </c>
      <c r="R723" s="1">
        <v>9</v>
      </c>
      <c r="S723" s="1"/>
      <c r="T723" s="1"/>
      <c r="U723" s="2">
        <f t="shared" si="521"/>
        <v>16</v>
      </c>
      <c r="V723" s="2">
        <f t="shared" si="522"/>
        <v>232</v>
      </c>
    </row>
    <row r="724" spans="1:22" x14ac:dyDescent="0.3">
      <c r="A724" s="2">
        <f t="shared" si="520"/>
        <v>16233</v>
      </c>
      <c r="B724" s="1"/>
      <c r="C724" s="1"/>
      <c r="D724" s="1"/>
      <c r="E724" s="1"/>
      <c r="F724" s="1"/>
      <c r="G724" s="1"/>
      <c r="H724" s="1"/>
      <c r="I724" s="1"/>
      <c r="J724" s="2" t="str">
        <f t="shared" ref="J724" si="545">CONCATENATE(K723,1)</f>
        <v>91</v>
      </c>
      <c r="K724" s="4" t="e">
        <f t="array" ref="K724:R726">LINEST(B707:B715,C707:C715^{1,2,3,4,5,6,7},TRUE,TRUE)</f>
        <v>#VALUE!</v>
      </c>
      <c r="L724" s="4" t="e">
        <v>#VALUE!</v>
      </c>
      <c r="M724" s="4" t="e">
        <v>#VALUE!</v>
      </c>
      <c r="N724" s="4" t="e">
        <v>#VALUE!</v>
      </c>
      <c r="O724" s="4" t="e">
        <v>#VALUE!</v>
      </c>
      <c r="P724" s="4" t="e">
        <v>#VALUE!</v>
      </c>
      <c r="Q724" s="4" t="e">
        <v>#VALUE!</v>
      </c>
      <c r="R724" s="4" t="e">
        <v>#VALUE!</v>
      </c>
      <c r="S724" s="1"/>
      <c r="T724" s="1"/>
      <c r="U724" s="2">
        <f t="shared" si="521"/>
        <v>16</v>
      </c>
      <c r="V724" s="2">
        <f t="shared" si="522"/>
        <v>233</v>
      </c>
    </row>
    <row r="725" spans="1:22" x14ac:dyDescent="0.3">
      <c r="A725" s="2">
        <f t="shared" si="520"/>
        <v>16234</v>
      </c>
      <c r="B725" s="5" t="s">
        <v>31</v>
      </c>
      <c r="C725" s="5" t="s">
        <v>32</v>
      </c>
      <c r="D725" s="5" t="s">
        <v>33</v>
      </c>
      <c r="E725" s="4" t="s">
        <v>34</v>
      </c>
      <c r="F725" s="57" t="s">
        <v>35</v>
      </c>
      <c r="G725" s="58"/>
      <c r="H725" s="58"/>
      <c r="I725" s="1"/>
      <c r="J725" s="2" t="str">
        <f t="shared" ref="J725" si="546">CONCATENATE(K723,2)</f>
        <v>92</v>
      </c>
      <c r="K725" s="4" t="e">
        <v>#VALUE!</v>
      </c>
      <c r="L725" s="4" t="e">
        <v>#VALUE!</v>
      </c>
      <c r="M725" s="4" t="e">
        <v>#VALUE!</v>
      </c>
      <c r="N725" s="4" t="e">
        <v>#VALUE!</v>
      </c>
      <c r="O725" s="4" t="e">
        <v>#VALUE!</v>
      </c>
      <c r="P725" s="4" t="e">
        <v>#VALUE!</v>
      </c>
      <c r="Q725" s="4" t="e">
        <v>#VALUE!</v>
      </c>
      <c r="R725" s="4" t="e">
        <v>#VALUE!</v>
      </c>
      <c r="S725" s="1"/>
      <c r="T725" s="1"/>
      <c r="U725" s="2">
        <f t="shared" si="521"/>
        <v>16</v>
      </c>
      <c r="V725" s="2">
        <f t="shared" si="522"/>
        <v>234</v>
      </c>
    </row>
    <row r="726" spans="1:22" x14ac:dyDescent="0.3">
      <c r="A726" s="2">
        <f t="shared" si="520"/>
        <v>16235</v>
      </c>
      <c r="B726" s="5">
        <f t="shared" ref="B726:B735" si="547">C707-B707</f>
        <v>-1.0000000000000009E-2</v>
      </c>
      <c r="C726" s="5">
        <f t="shared" ref="C726:C735" si="548">H707-G707</f>
        <v>0</v>
      </c>
      <c r="D726" s="5">
        <f>C726-B726</f>
        <v>1.0000000000000009E-2</v>
      </c>
      <c r="E726" s="4">
        <f t="shared" ref="E726:E735" si="549">D707</f>
        <v>0.02</v>
      </c>
      <c r="F726" s="11">
        <f>IF(D694="","",MAX(G726,H726))</f>
        <v>4.9999999999954525E-2</v>
      </c>
      <c r="G726" s="5">
        <f>ABS(MIN(D726:D735))</f>
        <v>4.9999999999954525E-2</v>
      </c>
      <c r="H726" s="5">
        <f>ABS(MAX(D726:D735))</f>
        <v>1.0000000000005116E-2</v>
      </c>
      <c r="I726" s="1"/>
      <c r="J726" s="2" t="str">
        <f t="shared" ref="J726" si="550">CONCATENATE(K723,3)</f>
        <v>93</v>
      </c>
      <c r="K726" s="4" t="e">
        <v>#VALUE!</v>
      </c>
      <c r="L726" s="4" t="e">
        <v>#VALUE!</v>
      </c>
      <c r="M726" s="4" t="e">
        <v>#VALUE!</v>
      </c>
      <c r="N726" s="4" t="e">
        <v>#VALUE!</v>
      </c>
      <c r="O726" s="4" t="e">
        <v>#VALUE!</v>
      </c>
      <c r="P726" s="4" t="e">
        <v>#VALUE!</v>
      </c>
      <c r="Q726" s="4" t="e">
        <v>#VALUE!</v>
      </c>
      <c r="R726" s="4" t="e">
        <v>#VALUE!</v>
      </c>
      <c r="S726" s="1"/>
      <c r="T726" s="1"/>
      <c r="U726" s="2">
        <f t="shared" si="521"/>
        <v>16</v>
      </c>
      <c r="V726" s="2">
        <f t="shared" si="522"/>
        <v>235</v>
      </c>
    </row>
    <row r="727" spans="1:22" x14ac:dyDescent="0.3">
      <c r="A727" s="2">
        <f t="shared" si="520"/>
        <v>16236</v>
      </c>
      <c r="B727" s="5">
        <f t="shared" si="547"/>
        <v>-9.9999999999997868E-3</v>
      </c>
      <c r="C727" s="5">
        <f t="shared" si="548"/>
        <v>0</v>
      </c>
      <c r="D727" s="5">
        <f t="shared" ref="D727:D735" si="551">C727-B727</f>
        <v>9.9999999999997868E-3</v>
      </c>
      <c r="E727" s="4">
        <f t="shared" si="549"/>
        <v>0.02</v>
      </c>
      <c r="F727" s="57" t="s">
        <v>36</v>
      </c>
      <c r="G727" s="58"/>
      <c r="H727" s="58"/>
      <c r="I727" s="1"/>
      <c r="J727" s="1"/>
      <c r="K727" s="1">
        <v>10</v>
      </c>
      <c r="L727" s="1">
        <v>10</v>
      </c>
      <c r="M727" s="1">
        <v>10</v>
      </c>
      <c r="N727" s="1">
        <v>10</v>
      </c>
      <c r="O727" s="1">
        <v>10</v>
      </c>
      <c r="P727" s="1">
        <v>10</v>
      </c>
      <c r="Q727" s="1">
        <v>10</v>
      </c>
      <c r="R727" s="1">
        <v>10</v>
      </c>
      <c r="S727" s="1">
        <v>10</v>
      </c>
      <c r="T727" s="1"/>
      <c r="U727" s="2">
        <f t="shared" si="521"/>
        <v>16</v>
      </c>
      <c r="V727" s="2">
        <f t="shared" si="522"/>
        <v>236</v>
      </c>
    </row>
    <row r="728" spans="1:22" x14ac:dyDescent="0.3">
      <c r="A728" s="2">
        <f t="shared" si="520"/>
        <v>16237</v>
      </c>
      <c r="B728" s="5">
        <f t="shared" si="547"/>
        <v>-1.0000000000005116E-2</v>
      </c>
      <c r="C728" s="5">
        <f t="shared" si="548"/>
        <v>0</v>
      </c>
      <c r="D728" s="5">
        <f t="shared" si="551"/>
        <v>1.0000000000005116E-2</v>
      </c>
      <c r="E728" s="4">
        <f t="shared" si="549"/>
        <v>0.02</v>
      </c>
      <c r="F728" s="11">
        <f>IF(D694="","",MAX(G728,H728))</f>
        <v>2.9999999999972715E-2</v>
      </c>
      <c r="G728" s="5">
        <f>ABS(MIN(B726:B735))</f>
        <v>1.0000000000005116E-2</v>
      </c>
      <c r="H728" s="5">
        <f>ABS(MAX(B726:B735))</f>
        <v>2.9999999999972715E-2</v>
      </c>
      <c r="I728" s="1"/>
      <c r="J728" s="2" t="str">
        <f t="shared" ref="J728" si="552">CONCATENATE(K727,1)</f>
        <v>101</v>
      </c>
      <c r="K728" s="4" t="e">
        <f t="array" ref="K728:S730">LINEST(B707:B716,C707:C716^{1,2,3,4,5,6,7,8},TRUE,TRUE)</f>
        <v>#VALUE!</v>
      </c>
      <c r="L728" s="4" t="e">
        <v>#VALUE!</v>
      </c>
      <c r="M728" s="4" t="e">
        <v>#VALUE!</v>
      </c>
      <c r="N728" s="4" t="e">
        <v>#VALUE!</v>
      </c>
      <c r="O728" s="4" t="e">
        <v>#VALUE!</v>
      </c>
      <c r="P728" s="4" t="e">
        <v>#VALUE!</v>
      </c>
      <c r="Q728" s="4" t="e">
        <v>#VALUE!</v>
      </c>
      <c r="R728" s="4" t="e">
        <v>#VALUE!</v>
      </c>
      <c r="S728" s="4" t="e">
        <v>#VALUE!</v>
      </c>
      <c r="T728" s="1"/>
      <c r="U728" s="2">
        <f t="shared" si="521"/>
        <v>16</v>
      </c>
      <c r="V728" s="2">
        <f t="shared" si="522"/>
        <v>237</v>
      </c>
    </row>
    <row r="729" spans="1:22" x14ac:dyDescent="0.3">
      <c r="A729" s="2">
        <f t="shared" si="520"/>
        <v>16238</v>
      </c>
      <c r="B729" s="5">
        <f t="shared" si="547"/>
        <v>0</v>
      </c>
      <c r="C729" s="5">
        <f t="shared" si="548"/>
        <v>-9.9999999999909051E-3</v>
      </c>
      <c r="D729" s="5">
        <f t="shared" si="551"/>
        <v>-9.9999999999909051E-3</v>
      </c>
      <c r="E729" s="4">
        <f t="shared" si="549"/>
        <v>0.02</v>
      </c>
      <c r="F729" s="57" t="s">
        <v>37</v>
      </c>
      <c r="G729" s="58"/>
      <c r="H729" s="58"/>
      <c r="I729" s="1"/>
      <c r="J729" s="2" t="str">
        <f t="shared" ref="J729" si="553">CONCATENATE(K727,2)</f>
        <v>102</v>
      </c>
      <c r="K729" s="4" t="e">
        <v>#VALUE!</v>
      </c>
      <c r="L729" s="4" t="e">
        <v>#VALUE!</v>
      </c>
      <c r="M729" s="4" t="e">
        <v>#VALUE!</v>
      </c>
      <c r="N729" s="4" t="e">
        <v>#VALUE!</v>
      </c>
      <c r="O729" s="4" t="e">
        <v>#VALUE!</v>
      </c>
      <c r="P729" s="4" t="e">
        <v>#VALUE!</v>
      </c>
      <c r="Q729" s="4" t="e">
        <v>#VALUE!</v>
      </c>
      <c r="R729" s="4" t="e">
        <v>#VALUE!</v>
      </c>
      <c r="S729" s="4" t="e">
        <v>#VALUE!</v>
      </c>
      <c r="T729" s="1"/>
      <c r="U729" s="2">
        <f t="shared" si="521"/>
        <v>16</v>
      </c>
      <c r="V729" s="2">
        <f t="shared" si="522"/>
        <v>238</v>
      </c>
    </row>
    <row r="730" spans="1:22" x14ac:dyDescent="0.3">
      <c r="A730" s="2">
        <f t="shared" si="520"/>
        <v>16239</v>
      </c>
      <c r="B730" s="5">
        <f t="shared" si="547"/>
        <v>0</v>
      </c>
      <c r="C730" s="5">
        <f t="shared" si="548"/>
        <v>-9.9999999999909051E-3</v>
      </c>
      <c r="D730" s="5">
        <f t="shared" si="551"/>
        <v>-9.9999999999909051E-3</v>
      </c>
      <c r="E730" s="4">
        <f t="shared" si="549"/>
        <v>0.03</v>
      </c>
      <c r="F730" s="11">
        <f>IF(D694="","",MAX(G730,H730))</f>
        <v>0.04</v>
      </c>
      <c r="G730" s="5">
        <f>ABS(MIN(E726:E735))</f>
        <v>0</v>
      </c>
      <c r="H730" s="5">
        <f>ABS(MAX(E726:E735))</f>
        <v>0.04</v>
      </c>
      <c r="I730" s="1"/>
      <c r="J730" s="2" t="str">
        <f t="shared" ref="J730" si="554">CONCATENATE(K727,3)</f>
        <v>103</v>
      </c>
      <c r="K730" s="4" t="e">
        <v>#VALUE!</v>
      </c>
      <c r="L730" s="4" t="e">
        <v>#VALUE!</v>
      </c>
      <c r="M730" s="4" t="e">
        <v>#VALUE!</v>
      </c>
      <c r="N730" s="4" t="e">
        <v>#VALUE!</v>
      </c>
      <c r="O730" s="4" t="e">
        <v>#VALUE!</v>
      </c>
      <c r="P730" s="4" t="e">
        <v>#VALUE!</v>
      </c>
      <c r="Q730" s="4" t="e">
        <v>#VALUE!</v>
      </c>
      <c r="R730" s="4" t="e">
        <v>#VALUE!</v>
      </c>
      <c r="S730" s="4" t="e">
        <v>#VALUE!</v>
      </c>
      <c r="T730" s="1"/>
      <c r="U730" s="2">
        <f t="shared" si="521"/>
        <v>16</v>
      </c>
      <c r="V730" s="2">
        <f t="shared" si="522"/>
        <v>239</v>
      </c>
    </row>
    <row r="731" spans="1:22" x14ac:dyDescent="0.3">
      <c r="A731" s="2">
        <f t="shared" si="520"/>
        <v>16240</v>
      </c>
      <c r="B731" s="5">
        <f t="shared" si="547"/>
        <v>9.9999999999909051E-3</v>
      </c>
      <c r="C731" s="5">
        <f t="shared" si="548"/>
        <v>-9.9999999999909051E-3</v>
      </c>
      <c r="D731" s="5">
        <f t="shared" si="551"/>
        <v>-1.999999999998181E-2</v>
      </c>
      <c r="E731" s="4">
        <f t="shared" si="549"/>
        <v>0.03</v>
      </c>
      <c r="F731" s="57" t="s">
        <v>51</v>
      </c>
      <c r="G731" s="58"/>
      <c r="H731" s="5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2">
        <f t="shared" si="521"/>
        <v>16</v>
      </c>
      <c r="V731" s="2">
        <f t="shared" si="522"/>
        <v>240</v>
      </c>
    </row>
    <row r="732" spans="1:22" x14ac:dyDescent="0.3">
      <c r="A732" s="2">
        <f t="shared" si="520"/>
        <v>16241</v>
      </c>
      <c r="B732" s="5">
        <f t="shared" si="547"/>
        <v>2.9999999999972715E-2</v>
      </c>
      <c r="C732" s="5">
        <f t="shared" si="548"/>
        <v>-1.999999999998181E-2</v>
      </c>
      <c r="D732" s="5">
        <f t="shared" si="551"/>
        <v>-4.9999999999954525E-2</v>
      </c>
      <c r="E732" s="4">
        <f t="shared" si="549"/>
        <v>0.04</v>
      </c>
      <c r="F732" s="21">
        <f>MAX(G732:H734)</f>
        <v>2.9999999999972715E-2</v>
      </c>
      <c r="G732" s="4">
        <f>IF(C719="",0,ABS(C719-B719))</f>
        <v>0</v>
      </c>
      <c r="H732" s="4">
        <f>IF(F719="",0,ABS(F719-B719))</f>
        <v>2.9999999999972715E-2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2">
        <f t="shared" si="521"/>
        <v>16</v>
      </c>
      <c r="V732" s="2">
        <f t="shared" si="522"/>
        <v>241</v>
      </c>
    </row>
    <row r="733" spans="1:22" x14ac:dyDescent="0.3">
      <c r="A733" s="2">
        <f t="shared" si="520"/>
        <v>16242</v>
      </c>
      <c r="B733" s="5">
        <f t="shared" si="547"/>
        <v>0</v>
      </c>
      <c r="C733" s="5">
        <f t="shared" si="548"/>
        <v>0</v>
      </c>
      <c r="D733" s="5">
        <f t="shared" si="551"/>
        <v>0</v>
      </c>
      <c r="E733" s="4">
        <f t="shared" si="549"/>
        <v>0</v>
      </c>
      <c r="F733" s="4" t="s">
        <v>52</v>
      </c>
      <c r="G733" s="4">
        <f>IF(D719="",0,ABS(D719-B719))</f>
        <v>9.9999999999909051E-3</v>
      </c>
      <c r="H733" s="4">
        <f>IF(G719="",0,ABS(G719-B719))</f>
        <v>2.9999999999972715E-2</v>
      </c>
      <c r="I733" s="1"/>
      <c r="J733" s="1"/>
      <c r="R733" s="1"/>
      <c r="S733" s="1"/>
      <c r="T733" s="1"/>
      <c r="U733" s="2">
        <f t="shared" si="521"/>
        <v>16</v>
      </c>
      <c r="V733" s="2">
        <f t="shared" si="522"/>
        <v>242</v>
      </c>
    </row>
    <row r="734" spans="1:22" x14ac:dyDescent="0.3">
      <c r="A734" s="2">
        <f t="shared" si="520"/>
        <v>16243</v>
      </c>
      <c r="B734" s="5">
        <f t="shared" si="547"/>
        <v>0</v>
      </c>
      <c r="C734" s="5">
        <f t="shared" si="548"/>
        <v>0</v>
      </c>
      <c r="D734" s="5">
        <f t="shared" si="551"/>
        <v>0</v>
      </c>
      <c r="E734" s="4">
        <f t="shared" si="549"/>
        <v>0</v>
      </c>
      <c r="F734" s="22">
        <f>IF(F732=0,0,F732/B719%)</f>
        <v>4.9999999999954525E-3</v>
      </c>
      <c r="G734" s="4">
        <f>IF(G719="",0,ABS(G719-B719))</f>
        <v>2.9999999999972715E-2</v>
      </c>
      <c r="H734" s="4">
        <f>IF(H719="",0,ABS(H719-B719))</f>
        <v>0</v>
      </c>
      <c r="I734" s="1"/>
      <c r="J734" s="1"/>
      <c r="R734" s="1"/>
      <c r="S734" s="1"/>
      <c r="T734" s="1"/>
      <c r="U734" s="2">
        <f t="shared" si="521"/>
        <v>16</v>
      </c>
      <c r="V734" s="2">
        <f t="shared" si="522"/>
        <v>243</v>
      </c>
    </row>
    <row r="735" spans="1:22" x14ac:dyDescent="0.3">
      <c r="A735" s="2">
        <f t="shared" si="520"/>
        <v>16244</v>
      </c>
      <c r="B735" s="5">
        <f t="shared" si="547"/>
        <v>0</v>
      </c>
      <c r="C735" s="5">
        <f t="shared" si="548"/>
        <v>0</v>
      </c>
      <c r="D735" s="5">
        <f t="shared" si="551"/>
        <v>0</v>
      </c>
      <c r="E735" s="4">
        <f t="shared" si="549"/>
        <v>0</v>
      </c>
      <c r="F735" s="1"/>
      <c r="G735" s="1"/>
      <c r="H735" s="1"/>
      <c r="I735" s="1"/>
      <c r="J735" s="1"/>
      <c r="R735" s="1"/>
      <c r="S735" s="1"/>
      <c r="T735" s="1"/>
      <c r="U735" s="2">
        <f t="shared" si="521"/>
        <v>16</v>
      </c>
      <c r="V735" s="2">
        <f t="shared" si="522"/>
        <v>244</v>
      </c>
    </row>
    <row r="736" spans="1:22" x14ac:dyDescent="0.3">
      <c r="A736" s="2">
        <f t="shared" si="520"/>
        <v>16245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2">
        <f t="shared" si="521"/>
        <v>16</v>
      </c>
      <c r="V736" s="2">
        <f t="shared" si="522"/>
        <v>245</v>
      </c>
    </row>
    <row r="737" spans="1:22" s="20" customForma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 x14ac:dyDescent="0.3">
      <c r="A738" s="2">
        <f>ROUND(CONCATENATE(U738,V738),0)</f>
        <v>17201</v>
      </c>
      <c r="B738" s="63" t="s">
        <v>0</v>
      </c>
      <c r="C738" s="63"/>
      <c r="D738" s="71" t="s">
        <v>38</v>
      </c>
      <c r="E738" s="72"/>
      <c r="F738" s="72"/>
      <c r="G738" s="72"/>
      <c r="H738" s="7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">
        <f>U736+1</f>
        <v>17</v>
      </c>
      <c r="V738" s="2">
        <v>201</v>
      </c>
    </row>
    <row r="739" spans="1:22" x14ac:dyDescent="0.3">
      <c r="A739" s="2">
        <f t="shared" ref="A739:A782" si="555">ROUND(CONCATENATE(U739,V739),0)</f>
        <v>17202</v>
      </c>
      <c r="B739" s="12" t="s">
        <v>40</v>
      </c>
      <c r="C739" s="13"/>
      <c r="D739" s="16" t="s">
        <v>41</v>
      </c>
      <c r="E739" s="57" t="s">
        <v>39</v>
      </c>
      <c r="F739" s="57"/>
      <c r="G739" s="18">
        <v>0.1</v>
      </c>
      <c r="H739" s="15" t="str">
        <f>IF(D740="","",D739)</f>
        <v>g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2">
        <f>U738</f>
        <v>17</v>
      </c>
      <c r="V739" s="2">
        <f>V738+1</f>
        <v>202</v>
      </c>
    </row>
    <row r="740" spans="1:22" x14ac:dyDescent="0.3">
      <c r="A740" s="2">
        <f t="shared" si="555"/>
        <v>17203</v>
      </c>
      <c r="B740" s="63" t="s">
        <v>1</v>
      </c>
      <c r="C740" s="63"/>
      <c r="D740" s="71" t="s">
        <v>153</v>
      </c>
      <c r="E740" s="72"/>
      <c r="F740" s="72"/>
      <c r="G740" s="72"/>
      <c r="H740" s="73"/>
      <c r="I740" s="1"/>
      <c r="J740" s="1"/>
      <c r="K740" s="1" t="s">
        <v>2</v>
      </c>
      <c r="L740" s="1" t="s">
        <v>3</v>
      </c>
      <c r="M740" s="1" t="s">
        <v>4</v>
      </c>
      <c r="N740" s="1" t="s">
        <v>5</v>
      </c>
      <c r="O740" s="1" t="s">
        <v>6</v>
      </c>
      <c r="P740" s="1" t="s">
        <v>7</v>
      </c>
      <c r="Q740" s="1" t="s">
        <v>8</v>
      </c>
      <c r="R740" s="1" t="s">
        <v>9</v>
      </c>
      <c r="S740" s="1" t="s">
        <v>10</v>
      </c>
      <c r="T740" s="1"/>
      <c r="U740" s="2">
        <f t="shared" ref="U740:U782" si="556">U739</f>
        <v>17</v>
      </c>
      <c r="V740" s="2">
        <f t="shared" ref="V740:V782" si="557">V739+1</f>
        <v>203</v>
      </c>
    </row>
    <row r="741" spans="1:22" x14ac:dyDescent="0.3">
      <c r="A741" s="2">
        <f t="shared" si="555"/>
        <v>17204</v>
      </c>
      <c r="B741" s="63" t="s">
        <v>11</v>
      </c>
      <c r="C741" s="63"/>
      <c r="D741" s="71" t="s">
        <v>148</v>
      </c>
      <c r="E741" s="72"/>
      <c r="F741" s="72"/>
      <c r="G741" s="72"/>
      <c r="H741" s="73"/>
      <c r="I741" s="1"/>
      <c r="J741" s="1">
        <f>COUNTA(B753:B762)</f>
        <v>5</v>
      </c>
      <c r="K741" s="1">
        <f t="shared" ref="K741" si="558">IF(L741-1&lt;2,0,L741-1)</f>
        <v>0</v>
      </c>
      <c r="L741" s="1">
        <f t="shared" ref="L741" si="559">IF(M741-1&lt;2,0,M741-1)</f>
        <v>0</v>
      </c>
      <c r="M741" s="1">
        <f t="shared" ref="M741" si="560">IF(N741-1&lt;2,0,N741-1)</f>
        <v>0</v>
      </c>
      <c r="N741" s="1">
        <f t="shared" ref="N741" si="561">IF(O741-1&lt;2,0,O741-1)</f>
        <v>0</v>
      </c>
      <c r="O741" s="1">
        <f t="shared" ref="O741" si="562">IF(P741-1&lt;2,0,P741-1)</f>
        <v>0</v>
      </c>
      <c r="P741" s="1">
        <f t="shared" ref="P741" si="563">IF(Q741-1&lt;2,0,Q741-1)</f>
        <v>2</v>
      </c>
      <c r="Q741" s="1">
        <f t="shared" ref="Q741" si="564">IF(R741-1&lt;2,0,R741-1)</f>
        <v>3</v>
      </c>
      <c r="R741" s="1">
        <f>IF(S741-1&lt;2,0,S741-1)</f>
        <v>4</v>
      </c>
      <c r="S741" s="1">
        <f>J741</f>
        <v>5</v>
      </c>
      <c r="T741" s="1"/>
      <c r="U741" s="2">
        <f t="shared" si="556"/>
        <v>17</v>
      </c>
      <c r="V741" s="2">
        <f t="shared" si="557"/>
        <v>204</v>
      </c>
    </row>
    <row r="742" spans="1:22" x14ac:dyDescent="0.3">
      <c r="A742" s="2">
        <f t="shared" si="555"/>
        <v>17205</v>
      </c>
      <c r="B742" s="63" t="s">
        <v>12</v>
      </c>
      <c r="C742" s="63"/>
      <c r="D742" s="71" t="s">
        <v>149</v>
      </c>
      <c r="E742" s="72"/>
      <c r="F742" s="72"/>
      <c r="G742" s="72"/>
      <c r="H742" s="73"/>
      <c r="I742" s="1"/>
      <c r="J742" s="2" t="str">
        <f>CONCATENATE(J741,1)</f>
        <v>51</v>
      </c>
      <c r="K742" s="3">
        <f>IF(K741=0,0,VLOOKUP(J742,J746:S776,K741,FALSE))</f>
        <v>0</v>
      </c>
      <c r="L742" s="3">
        <f>IF(L741=0,0,VLOOKUP(J742,J746:S776,L741,FALSE))</f>
        <v>0</v>
      </c>
      <c r="M742" s="3">
        <f>IF(M741=0,0,VLOOKUP(J742,J746:S776,M741,FALSE))</f>
        <v>0</v>
      </c>
      <c r="N742" s="3">
        <f>IF(N741=0,0,VLOOKUP(J742,J746:S776,N741,FALSE))</f>
        <v>0</v>
      </c>
      <c r="O742" s="3">
        <f>IF(O741=0,0,VLOOKUP(J742,J746:S776,O741,FALSE))</f>
        <v>0</v>
      </c>
      <c r="P742" s="3">
        <f>IF(P741=0,0,VLOOKUP(J742,J746:S776,P741,FALSE))</f>
        <v>6.6667161767437331E-14</v>
      </c>
      <c r="Q742" s="3">
        <f>IF(Q741=0,0,VLOOKUP(J742,J746:S776,Q741,FALSE))</f>
        <v>-5.7133016302399202E-10</v>
      </c>
      <c r="R742" s="3">
        <f>IF(R741=0,0,VLOOKUP(J742,J746:S776,R741,FALSE))</f>
        <v>0.99999976040643024</v>
      </c>
      <c r="S742" s="3">
        <f>IF(S741=0,0,VLOOKUP(J742,J746:S776,S741,FALSE))</f>
        <v>1.431764997089191E-3</v>
      </c>
      <c r="T742" s="1"/>
      <c r="U742" s="2">
        <f t="shared" si="556"/>
        <v>17</v>
      </c>
      <c r="V742" s="2">
        <f t="shared" si="557"/>
        <v>205</v>
      </c>
    </row>
    <row r="743" spans="1:22" x14ac:dyDescent="0.3">
      <c r="A743" s="2">
        <f t="shared" si="555"/>
        <v>17206</v>
      </c>
      <c r="B743" s="63" t="s">
        <v>13</v>
      </c>
      <c r="C743" s="63"/>
      <c r="D743" s="74" t="s">
        <v>154</v>
      </c>
      <c r="E743" s="72"/>
      <c r="F743" s="72"/>
      <c r="G743" s="72"/>
      <c r="H743" s="73"/>
      <c r="I743" s="1"/>
      <c r="J743" s="2" t="str">
        <f>CONCATENATE(J741,2)</f>
        <v>52</v>
      </c>
      <c r="K743" s="4">
        <f>IF(K741=0,0,VLOOKUP(J743,J746:S776,K741,FALSE))</f>
        <v>0</v>
      </c>
      <c r="L743" s="4">
        <f>IF(L741=0,0,VLOOKUP(J743,J746:S776,L741,FALSE))</f>
        <v>0</v>
      </c>
      <c r="M743" s="4">
        <f>IF(M741=0,0,VLOOKUP(J743,J746:S776,M741,FALSE))</f>
        <v>0</v>
      </c>
      <c r="N743" s="4">
        <f>IF(N741=0,0,VLOOKUP(J743,J746:S776,N741,FALSE))</f>
        <v>0</v>
      </c>
      <c r="O743" s="4">
        <f>IF(O741=0,0,VLOOKUP(J743,J746:S776,O741,FALSE))</f>
        <v>0</v>
      </c>
      <c r="P743" s="4">
        <f>IF(P741=0,0,VLOOKUP(J743,J746:S776,P741,FALSE))</f>
        <v>2.521499910802015E-14</v>
      </c>
      <c r="Q743" s="4">
        <f>IF(Q741=0,0,VLOOKUP(J743,J746:S776,Q741,FALSE))</f>
        <v>7.6736135472956443E-10</v>
      </c>
      <c r="R743" s="4">
        <f>IF(R741=0,0,VLOOKUP(J743,J746:S776,R741,FALSE))</f>
        <v>6.0461361144067206E-6</v>
      </c>
      <c r="S743" s="4">
        <f>IF(S741=0,0,VLOOKUP(J743,J746:S776,S741,FALSE))</f>
        <v>1.1883452719925481E-2</v>
      </c>
      <c r="T743" s="1"/>
      <c r="U743" s="2">
        <f t="shared" si="556"/>
        <v>17</v>
      </c>
      <c r="V743" s="2">
        <f t="shared" si="557"/>
        <v>206</v>
      </c>
    </row>
    <row r="744" spans="1:22" x14ac:dyDescent="0.3">
      <c r="A744" s="2">
        <f t="shared" si="555"/>
        <v>17207</v>
      </c>
      <c r="B744" s="63" t="s">
        <v>14</v>
      </c>
      <c r="C744" s="63"/>
      <c r="D744" s="75">
        <v>45750</v>
      </c>
      <c r="E744" s="76"/>
      <c r="F744" s="76"/>
      <c r="G744" s="76"/>
      <c r="H744" s="77"/>
      <c r="I744" s="1"/>
      <c r="J744" s="2" t="str">
        <f>CONCATENATE(J741,3)</f>
        <v>53</v>
      </c>
      <c r="K744" s="4"/>
      <c r="L744" s="4"/>
      <c r="M744" s="4"/>
      <c r="N744" s="4" t="s">
        <v>15</v>
      </c>
      <c r="O744" s="3">
        <f>J741-2</f>
        <v>3</v>
      </c>
      <c r="P744" s="4" t="s">
        <v>16</v>
      </c>
      <c r="Q744" s="3">
        <f>VLOOKUP(J744,J746:S776,3,FALSE)</f>
        <v>1.1951421719459177E-2</v>
      </c>
      <c r="R744" s="4" t="s">
        <v>17</v>
      </c>
      <c r="S744" s="4">
        <f>VLOOKUP(J744,J746:S776,2,FALSE)</f>
        <v>0.99999999999942835</v>
      </c>
      <c r="T744" s="1"/>
      <c r="U744" s="2">
        <f t="shared" si="556"/>
        <v>17</v>
      </c>
      <c r="V744" s="2">
        <f t="shared" si="557"/>
        <v>207</v>
      </c>
    </row>
    <row r="745" spans="1:22" x14ac:dyDescent="0.3">
      <c r="A745" s="2">
        <f t="shared" si="555"/>
        <v>17208</v>
      </c>
      <c r="B745" s="63" t="s">
        <v>18</v>
      </c>
      <c r="C745" s="63"/>
      <c r="D745" s="64">
        <v>46142</v>
      </c>
      <c r="E745" s="65"/>
      <c r="F745" s="65"/>
      <c r="G745" s="65"/>
      <c r="H745" s="66"/>
      <c r="I745" s="1"/>
      <c r="J745" s="1"/>
      <c r="K745" s="1">
        <v>3</v>
      </c>
      <c r="L745" s="1">
        <v>3</v>
      </c>
      <c r="M745" s="1"/>
      <c r="N745" s="1"/>
      <c r="O745" s="1"/>
      <c r="P745" s="1"/>
      <c r="Q745" s="1"/>
      <c r="R745" s="1"/>
      <c r="S745" s="1"/>
      <c r="T745" s="1"/>
      <c r="U745" s="2">
        <f t="shared" si="556"/>
        <v>17</v>
      </c>
      <c r="V745" s="2">
        <f t="shared" si="557"/>
        <v>208</v>
      </c>
    </row>
    <row r="746" spans="1:22" x14ac:dyDescent="0.3">
      <c r="A746" s="2">
        <f t="shared" si="555"/>
        <v>17209</v>
      </c>
      <c r="B746" s="67" t="s">
        <v>19</v>
      </c>
      <c r="C746" s="63"/>
      <c r="D746" s="5">
        <f>IF(D739="","",MIN(B753:B762))</f>
        <v>5</v>
      </c>
      <c r="E746" s="6" t="s">
        <v>20</v>
      </c>
      <c r="F746" s="5">
        <f>IF(D739="","",MAX(B753:B762))</f>
        <v>20000</v>
      </c>
      <c r="G746" s="7" t="str">
        <f>IF(D740="","",H739)</f>
        <v>g</v>
      </c>
      <c r="H746" s="14"/>
      <c r="I746" s="1"/>
      <c r="J746" s="2" t="str">
        <f>CONCATENATE(K745,1)</f>
        <v>31</v>
      </c>
      <c r="K746" s="4">
        <f t="array" ref="K746:L748">LINEST(B753:B755,C753:C755^{1},TRUE,TRUE)</f>
        <v>1.0000000000000002</v>
      </c>
      <c r="L746" s="4">
        <v>-9.0949470177292824E-13</v>
      </c>
      <c r="M746" s="1"/>
      <c r="N746" s="1"/>
      <c r="O746" s="1"/>
      <c r="P746" s="1"/>
      <c r="Q746" s="1"/>
      <c r="R746" s="1"/>
      <c r="S746" s="1"/>
      <c r="T746" s="1"/>
      <c r="U746" s="2">
        <f t="shared" si="556"/>
        <v>17</v>
      </c>
      <c r="V746" s="2">
        <f t="shared" si="557"/>
        <v>209</v>
      </c>
    </row>
    <row r="747" spans="1:22" x14ac:dyDescent="0.3">
      <c r="A747" s="2">
        <f t="shared" si="555"/>
        <v>17210</v>
      </c>
      <c r="B747" s="1"/>
      <c r="C747" s="1"/>
      <c r="D747" s="1"/>
      <c r="E747" s="1"/>
      <c r="F747" s="1"/>
      <c r="G747" s="1"/>
      <c r="H747" s="1"/>
      <c r="I747" s="1"/>
      <c r="J747" s="2" t="str">
        <f>CONCATENATE(K745,2)</f>
        <v>32</v>
      </c>
      <c r="K747" s="4">
        <v>2.5737262401353279E-16</v>
      </c>
      <c r="L747" s="4">
        <v>1.6613333104234988E-12</v>
      </c>
      <c r="M747" s="1"/>
      <c r="N747" s="1"/>
      <c r="O747" s="1"/>
      <c r="P747" s="1"/>
      <c r="Q747" s="1"/>
      <c r="R747" s="1"/>
      <c r="S747" s="1"/>
      <c r="T747" s="1"/>
      <c r="U747" s="2">
        <f t="shared" si="556"/>
        <v>17</v>
      </c>
      <c r="V747" s="2">
        <f t="shared" si="557"/>
        <v>210</v>
      </c>
    </row>
    <row r="748" spans="1:22" x14ac:dyDescent="0.3">
      <c r="A748" s="2">
        <f t="shared" si="555"/>
        <v>17211</v>
      </c>
      <c r="B748" s="68" t="s">
        <v>21</v>
      </c>
      <c r="C748" s="68"/>
      <c r="D748" s="68"/>
      <c r="E748" s="68"/>
      <c r="F748" s="68"/>
      <c r="G748" s="69" t="s">
        <v>22</v>
      </c>
      <c r="H748" s="70"/>
      <c r="I748" s="1"/>
      <c r="J748" s="2" t="str">
        <f>CONCATENATE(K745,3)</f>
        <v>33</v>
      </c>
      <c r="K748" s="4">
        <v>1</v>
      </c>
      <c r="L748" s="4">
        <v>1.8189894035458565E-12</v>
      </c>
      <c r="M748" s="1"/>
      <c r="N748" s="1"/>
      <c r="O748" s="1"/>
      <c r="P748" s="1"/>
      <c r="Q748" s="1"/>
      <c r="R748" s="1"/>
      <c r="S748" s="1"/>
      <c r="T748" s="1"/>
      <c r="U748" s="2">
        <f t="shared" si="556"/>
        <v>17</v>
      </c>
      <c r="V748" s="2">
        <f t="shared" si="557"/>
        <v>211</v>
      </c>
    </row>
    <row r="749" spans="1:22" x14ac:dyDescent="0.3">
      <c r="A749" s="2">
        <f t="shared" si="555"/>
        <v>17212</v>
      </c>
      <c r="B749" s="61" t="s">
        <v>23</v>
      </c>
      <c r="C749" s="61"/>
      <c r="D749" s="61"/>
      <c r="E749" s="61" t="str">
        <f>D743</f>
        <v>M0019/25</v>
      </c>
      <c r="F749" s="61"/>
      <c r="G749" s="4" t="s">
        <v>24</v>
      </c>
      <c r="H749" s="31"/>
      <c r="I749" s="1"/>
      <c r="J749" s="1"/>
      <c r="K749" s="1">
        <v>4</v>
      </c>
      <c r="L749" s="1">
        <v>4</v>
      </c>
      <c r="M749" s="1">
        <v>4</v>
      </c>
      <c r="N749" s="1"/>
      <c r="O749" s="1"/>
      <c r="P749" s="1"/>
      <c r="Q749" s="1"/>
      <c r="R749" s="1"/>
      <c r="S749" s="1"/>
      <c r="T749" s="1"/>
      <c r="U749" s="2">
        <f t="shared" si="556"/>
        <v>17</v>
      </c>
      <c r="V749" s="2">
        <f t="shared" si="557"/>
        <v>212</v>
      </c>
    </row>
    <row r="750" spans="1:22" ht="15" customHeight="1" x14ac:dyDescent="0.3">
      <c r="A750" s="2">
        <f t="shared" si="555"/>
        <v>17213</v>
      </c>
      <c r="B750" s="59" t="s">
        <v>25</v>
      </c>
      <c r="C750" s="59" t="s">
        <v>26</v>
      </c>
      <c r="D750" s="59" t="s">
        <v>27</v>
      </c>
      <c r="E750" s="59" t="s">
        <v>28</v>
      </c>
      <c r="F750" s="59" t="s">
        <v>29</v>
      </c>
      <c r="G750" s="59" t="s">
        <v>25</v>
      </c>
      <c r="H750" s="59" t="s">
        <v>26</v>
      </c>
      <c r="I750" s="1"/>
      <c r="J750" s="2" t="str">
        <f t="shared" ref="J750" si="565">CONCATENATE(K749,1)</f>
        <v>41</v>
      </c>
      <c r="K750" s="4">
        <f t="array" ref="K750:M752">LINEST(B753:B756,C753:C756^{1,2},TRUE,TRUE)</f>
        <v>1.0006184033968607E-9</v>
      </c>
      <c r="L750" s="4">
        <v>0.99999098794375263</v>
      </c>
      <c r="M750" s="4">
        <v>5.0480955336276445E-3</v>
      </c>
      <c r="N750" s="1"/>
      <c r="O750" s="1"/>
      <c r="P750" s="1"/>
      <c r="Q750" s="1"/>
      <c r="R750" s="1"/>
      <c r="S750" s="1"/>
      <c r="T750" s="1"/>
      <c r="U750" s="2">
        <f t="shared" si="556"/>
        <v>17</v>
      </c>
      <c r="V750" s="2">
        <f t="shared" si="557"/>
        <v>213</v>
      </c>
    </row>
    <row r="751" spans="1:22" x14ac:dyDescent="0.3">
      <c r="A751" s="2">
        <f t="shared" si="555"/>
        <v>17214</v>
      </c>
      <c r="B751" s="60"/>
      <c r="C751" s="60"/>
      <c r="D751" s="60"/>
      <c r="E751" s="60"/>
      <c r="F751" s="60"/>
      <c r="G751" s="60"/>
      <c r="H751" s="60"/>
      <c r="I751" s="1"/>
      <c r="J751" s="2" t="str">
        <f t="shared" ref="J751" si="566">CONCATENATE(K749,2)</f>
        <v>42</v>
      </c>
      <c r="K751" s="4">
        <v>4.473638171938089E-10</v>
      </c>
      <c r="L751" s="4">
        <v>7.0043996659517518E-6</v>
      </c>
      <c r="M751" s="4">
        <v>2.1808054782704821E-2</v>
      </c>
      <c r="N751" s="1"/>
      <c r="O751" s="1"/>
      <c r="P751" s="1"/>
      <c r="Q751" s="1"/>
      <c r="R751" s="1"/>
      <c r="S751" s="1"/>
      <c r="T751" s="1"/>
      <c r="U751" s="2">
        <f t="shared" si="556"/>
        <v>17</v>
      </c>
      <c r="V751" s="2">
        <f t="shared" si="557"/>
        <v>214</v>
      </c>
    </row>
    <row r="752" spans="1:22" x14ac:dyDescent="0.3">
      <c r="A752" s="2">
        <f t="shared" si="555"/>
        <v>17215</v>
      </c>
      <c r="B752" s="9" t="str">
        <f>CONCATENATE("(",H739,")")</f>
        <v>(g)</v>
      </c>
      <c r="C752" s="9" t="str">
        <f>B752</f>
        <v>(g)</v>
      </c>
      <c r="D752" s="9" t="str">
        <f>C752</f>
        <v>(g)</v>
      </c>
      <c r="E752" s="9"/>
      <c r="F752" s="9"/>
      <c r="G752" s="9" t="str">
        <f>B752</f>
        <v>(g)</v>
      </c>
      <c r="H752" s="9" t="str">
        <f>G752</f>
        <v>(g)</v>
      </c>
      <c r="I752" s="1"/>
      <c r="J752" s="2" t="str">
        <f t="shared" ref="J752" si="567">CONCATENATE(K749,3)</f>
        <v>43</v>
      </c>
      <c r="K752" s="4">
        <v>0.99999999999600098</v>
      </c>
      <c r="L752" s="4">
        <v>2.2351080627004194E-2</v>
      </c>
      <c r="M752" s="4" t="e">
        <v>#N/A</v>
      </c>
      <c r="N752" s="1"/>
      <c r="O752" s="1"/>
      <c r="P752" s="1"/>
      <c r="Q752" s="1"/>
      <c r="R752" s="1"/>
      <c r="S752" s="1"/>
      <c r="T752" s="1"/>
      <c r="U752" s="2">
        <f t="shared" si="556"/>
        <v>17</v>
      </c>
      <c r="V752" s="2">
        <f t="shared" si="557"/>
        <v>215</v>
      </c>
    </row>
    <row r="753" spans="1:22" x14ac:dyDescent="0.3">
      <c r="A753" s="2">
        <f t="shared" si="555"/>
        <v>17216</v>
      </c>
      <c r="B753" s="10">
        <v>5</v>
      </c>
      <c r="C753" s="10">
        <v>5</v>
      </c>
      <c r="D753" s="10">
        <v>0.2</v>
      </c>
      <c r="E753" s="10">
        <v>2</v>
      </c>
      <c r="F753" s="10">
        <v>1000000</v>
      </c>
      <c r="G753" s="8"/>
      <c r="H753" s="8"/>
      <c r="I753" s="1"/>
      <c r="J753" s="1"/>
      <c r="K753" s="1">
        <v>5</v>
      </c>
      <c r="L753" s="1">
        <v>5</v>
      </c>
      <c r="M753" s="1">
        <v>5</v>
      </c>
      <c r="N753" s="1">
        <v>5</v>
      </c>
      <c r="O753" s="1"/>
      <c r="P753" s="1"/>
      <c r="Q753" s="1"/>
      <c r="R753" s="1"/>
      <c r="S753" s="1"/>
      <c r="T753" s="1"/>
      <c r="U753" s="2">
        <f t="shared" si="556"/>
        <v>17</v>
      </c>
      <c r="V753" s="2">
        <f t="shared" si="557"/>
        <v>216</v>
      </c>
    </row>
    <row r="754" spans="1:22" x14ac:dyDescent="0.3">
      <c r="A754" s="2">
        <f t="shared" si="555"/>
        <v>17217</v>
      </c>
      <c r="B754" s="10">
        <v>5000</v>
      </c>
      <c r="C754" s="10">
        <v>5000</v>
      </c>
      <c r="D754" s="10">
        <v>0.2</v>
      </c>
      <c r="E754" s="10">
        <v>2</v>
      </c>
      <c r="F754" s="10">
        <v>1000000</v>
      </c>
      <c r="G754" s="8"/>
      <c r="H754" s="8"/>
      <c r="I754" s="1"/>
      <c r="J754" s="2" t="str">
        <f t="shared" ref="J754" si="568">CONCATENATE(K753,1)</f>
        <v>51</v>
      </c>
      <c r="K754" s="4">
        <f t="array" ref="K754:N756">LINEST(B753:B757,C753:C757^{1,2,3},TRUE,TRUE)</f>
        <v>6.6667161767437331E-14</v>
      </c>
      <c r="L754" s="4">
        <v>-5.7133016302399202E-10</v>
      </c>
      <c r="M754" s="4">
        <v>0.99999976040643024</v>
      </c>
      <c r="N754" s="4">
        <v>1.431764997089191E-3</v>
      </c>
      <c r="O754" s="1"/>
      <c r="P754" s="1"/>
      <c r="Q754" s="1"/>
      <c r="R754" s="1"/>
      <c r="S754" s="1"/>
      <c r="T754" s="1"/>
      <c r="U754" s="2">
        <f t="shared" si="556"/>
        <v>17</v>
      </c>
      <c r="V754" s="2">
        <f t="shared" si="557"/>
        <v>217</v>
      </c>
    </row>
    <row r="755" spans="1:22" x14ac:dyDescent="0.3">
      <c r="A755" s="2">
        <f t="shared" si="555"/>
        <v>17218</v>
      </c>
      <c r="B755" s="10">
        <v>10000</v>
      </c>
      <c r="C755" s="10">
        <v>10000</v>
      </c>
      <c r="D755" s="10">
        <v>0.2</v>
      </c>
      <c r="E755" s="10">
        <v>2</v>
      </c>
      <c r="F755" s="10">
        <v>1000000</v>
      </c>
      <c r="G755" s="8"/>
      <c r="H755" s="8"/>
      <c r="I755" s="1"/>
      <c r="J755" s="2" t="str">
        <f t="shared" ref="J755" si="569">CONCATENATE(K753,2)</f>
        <v>52</v>
      </c>
      <c r="K755" s="4">
        <v>2.521499910802015E-14</v>
      </c>
      <c r="L755" s="4">
        <v>7.6736135472956443E-10</v>
      </c>
      <c r="M755" s="4">
        <v>6.0461361144067206E-6</v>
      </c>
      <c r="N755" s="4">
        <v>1.1883452719925481E-2</v>
      </c>
      <c r="O755" s="1"/>
      <c r="P755" s="1"/>
      <c r="Q755" s="1"/>
      <c r="R755" s="1"/>
      <c r="S755" s="1"/>
      <c r="T755" s="1"/>
      <c r="U755" s="2">
        <f t="shared" si="556"/>
        <v>17</v>
      </c>
      <c r="V755" s="2">
        <f t="shared" si="557"/>
        <v>218</v>
      </c>
    </row>
    <row r="756" spans="1:22" x14ac:dyDescent="0.3">
      <c r="A756" s="2">
        <f t="shared" si="555"/>
        <v>17219</v>
      </c>
      <c r="B756" s="10">
        <v>15000</v>
      </c>
      <c r="C756" s="10">
        <v>14999.9</v>
      </c>
      <c r="D756" s="10">
        <v>0.2</v>
      </c>
      <c r="E756" s="10">
        <v>2</v>
      </c>
      <c r="F756" s="10">
        <v>1000000</v>
      </c>
      <c r="G756" s="8"/>
      <c r="H756" s="8"/>
      <c r="I756" s="1"/>
      <c r="J756" s="2" t="str">
        <f t="shared" ref="J756" si="570">CONCATENATE(K753,3)</f>
        <v>53</v>
      </c>
      <c r="K756" s="4">
        <v>0.99999999999942835</v>
      </c>
      <c r="L756" s="4">
        <v>1.1951421719459177E-2</v>
      </c>
      <c r="M756" s="4" t="e">
        <v>#N/A</v>
      </c>
      <c r="N756" s="4" t="e">
        <v>#N/A</v>
      </c>
      <c r="O756" s="1"/>
      <c r="P756" s="1"/>
      <c r="Q756" s="1"/>
      <c r="R756" s="1"/>
      <c r="S756" s="1"/>
      <c r="T756" s="1"/>
      <c r="U756" s="2">
        <f t="shared" si="556"/>
        <v>17</v>
      </c>
      <c r="V756" s="2">
        <f t="shared" si="557"/>
        <v>219</v>
      </c>
    </row>
    <row r="757" spans="1:22" x14ac:dyDescent="0.3">
      <c r="A757" s="2">
        <f t="shared" si="555"/>
        <v>17220</v>
      </c>
      <c r="B757" s="10">
        <v>20000</v>
      </c>
      <c r="C757" s="10">
        <v>19999.7</v>
      </c>
      <c r="D757" s="10">
        <v>0.3</v>
      </c>
      <c r="E757" s="10">
        <v>2</v>
      </c>
      <c r="F757" s="10">
        <v>1000000</v>
      </c>
      <c r="G757" s="8"/>
      <c r="H757" s="8"/>
      <c r="I757" s="1"/>
      <c r="J757" s="1"/>
      <c r="K757" s="1">
        <v>6</v>
      </c>
      <c r="L757" s="1">
        <v>6</v>
      </c>
      <c r="M757" s="1">
        <v>6</v>
      </c>
      <c r="N757" s="1">
        <v>6</v>
      </c>
      <c r="O757" s="1">
        <v>6</v>
      </c>
      <c r="P757" s="1"/>
      <c r="Q757" s="1"/>
      <c r="R757" s="1"/>
      <c r="S757" s="1"/>
      <c r="T757" s="1"/>
      <c r="U757" s="2">
        <f t="shared" si="556"/>
        <v>17</v>
      </c>
      <c r="V757" s="2">
        <f t="shared" si="557"/>
        <v>220</v>
      </c>
    </row>
    <row r="758" spans="1:22" x14ac:dyDescent="0.3">
      <c r="A758" s="2">
        <f t="shared" si="555"/>
        <v>17221</v>
      </c>
      <c r="B758" s="10"/>
      <c r="C758" s="10"/>
      <c r="D758" s="10"/>
      <c r="E758" s="10"/>
      <c r="F758" s="10"/>
      <c r="G758" s="8"/>
      <c r="H758" s="8"/>
      <c r="I758" s="1"/>
      <c r="J758" s="2" t="str">
        <f t="shared" ref="J758" si="571">CONCATENATE(K757,1)</f>
        <v>61</v>
      </c>
      <c r="K758" s="4" t="e">
        <f t="array" ref="K758:O760">LINEST(B753:B758,C753:C758^{1,2,3,4},TRUE,TRUE)</f>
        <v>#VALUE!</v>
      </c>
      <c r="L758" s="4" t="e">
        <v>#VALUE!</v>
      </c>
      <c r="M758" s="4" t="e">
        <v>#VALUE!</v>
      </c>
      <c r="N758" s="4" t="e">
        <v>#VALUE!</v>
      </c>
      <c r="O758" s="4" t="e">
        <v>#VALUE!</v>
      </c>
      <c r="P758" s="1"/>
      <c r="Q758" s="1"/>
      <c r="R758" s="1"/>
      <c r="S758" s="1"/>
      <c r="T758" s="1"/>
      <c r="U758" s="2">
        <f t="shared" si="556"/>
        <v>17</v>
      </c>
      <c r="V758" s="2">
        <f t="shared" si="557"/>
        <v>221</v>
      </c>
    </row>
    <row r="759" spans="1:22" x14ac:dyDescent="0.3">
      <c r="A759" s="2">
        <f t="shared" si="555"/>
        <v>17222</v>
      </c>
      <c r="B759" s="10"/>
      <c r="C759" s="10"/>
      <c r="D759" s="10"/>
      <c r="E759" s="10"/>
      <c r="F759" s="10"/>
      <c r="G759" s="8"/>
      <c r="H759" s="8"/>
      <c r="I759" s="1"/>
      <c r="J759" s="2" t="str">
        <f t="shared" ref="J759" si="572">CONCATENATE(K757,2)</f>
        <v>62</v>
      </c>
      <c r="K759" s="4" t="e">
        <v>#VALUE!</v>
      </c>
      <c r="L759" s="4" t="e">
        <v>#VALUE!</v>
      </c>
      <c r="M759" s="4" t="e">
        <v>#VALUE!</v>
      </c>
      <c r="N759" s="4" t="e">
        <v>#VALUE!</v>
      </c>
      <c r="O759" s="4" t="e">
        <v>#VALUE!</v>
      </c>
      <c r="P759" s="1"/>
      <c r="Q759" s="1"/>
      <c r="R759" s="1"/>
      <c r="S759" s="1"/>
      <c r="T759" s="1"/>
      <c r="U759" s="2">
        <f t="shared" si="556"/>
        <v>17</v>
      </c>
      <c r="V759" s="2">
        <f t="shared" si="557"/>
        <v>222</v>
      </c>
    </row>
    <row r="760" spans="1:22" x14ac:dyDescent="0.3">
      <c r="A760" s="2">
        <f t="shared" si="555"/>
        <v>17223</v>
      </c>
      <c r="B760" s="10"/>
      <c r="C760" s="10"/>
      <c r="D760" s="10"/>
      <c r="E760" s="10"/>
      <c r="F760" s="10"/>
      <c r="G760" s="8"/>
      <c r="H760" s="8"/>
      <c r="I760" s="1"/>
      <c r="J760" s="2" t="str">
        <f t="shared" ref="J760" si="573">CONCATENATE(K757,3)</f>
        <v>63</v>
      </c>
      <c r="K760" s="4" t="e">
        <v>#VALUE!</v>
      </c>
      <c r="L760" s="4" t="e">
        <v>#VALUE!</v>
      </c>
      <c r="M760" s="4" t="e">
        <v>#VALUE!</v>
      </c>
      <c r="N760" s="4" t="e">
        <v>#VALUE!</v>
      </c>
      <c r="O760" s="4" t="e">
        <v>#VALUE!</v>
      </c>
      <c r="P760" s="1"/>
      <c r="Q760" s="1"/>
      <c r="R760" s="1"/>
      <c r="S760" s="1"/>
      <c r="T760" s="1"/>
      <c r="U760" s="2">
        <f t="shared" si="556"/>
        <v>17</v>
      </c>
      <c r="V760" s="2">
        <f t="shared" si="557"/>
        <v>223</v>
      </c>
    </row>
    <row r="761" spans="1:22" x14ac:dyDescent="0.3">
      <c r="A761" s="2">
        <f t="shared" si="555"/>
        <v>17224</v>
      </c>
      <c r="B761" s="10"/>
      <c r="C761" s="10"/>
      <c r="D761" s="10"/>
      <c r="E761" s="10"/>
      <c r="F761" s="10"/>
      <c r="G761" s="8"/>
      <c r="H761" s="8"/>
      <c r="I761" s="1"/>
      <c r="J761" s="1"/>
      <c r="K761" s="1">
        <v>7</v>
      </c>
      <c r="L761" s="1">
        <v>7</v>
      </c>
      <c r="M761" s="1">
        <v>7</v>
      </c>
      <c r="N761" s="1">
        <v>7</v>
      </c>
      <c r="O761" s="1">
        <v>7</v>
      </c>
      <c r="P761" s="1">
        <v>7</v>
      </c>
      <c r="Q761" s="1"/>
      <c r="R761" s="1"/>
      <c r="S761" s="1"/>
      <c r="T761" s="1"/>
      <c r="U761" s="2">
        <f t="shared" si="556"/>
        <v>17</v>
      </c>
      <c r="V761" s="2">
        <f t="shared" si="557"/>
        <v>224</v>
      </c>
    </row>
    <row r="762" spans="1:22" x14ac:dyDescent="0.3">
      <c r="A762" s="2">
        <f t="shared" si="555"/>
        <v>17225</v>
      </c>
      <c r="B762" s="10"/>
      <c r="C762" s="10"/>
      <c r="D762" s="10"/>
      <c r="E762" s="10"/>
      <c r="F762" s="10"/>
      <c r="G762" s="8"/>
      <c r="H762" s="8"/>
      <c r="I762" s="1"/>
      <c r="J762" s="2" t="str">
        <f t="shared" ref="J762" si="574">CONCATENATE(K761,1)</f>
        <v>71</v>
      </c>
      <c r="K762" s="4" t="e">
        <f t="array" ref="K762:P764">LINEST(B753:B759,C753:C759^{1,2,3,4,5},TRUE,TRUE)</f>
        <v>#VALUE!</v>
      </c>
      <c r="L762" s="4" t="e">
        <v>#VALUE!</v>
      </c>
      <c r="M762" s="4" t="e">
        <v>#VALUE!</v>
      </c>
      <c r="N762" s="4" t="e">
        <v>#VALUE!</v>
      </c>
      <c r="O762" s="4" t="e">
        <v>#VALUE!</v>
      </c>
      <c r="P762" s="4" t="e">
        <v>#VALUE!</v>
      </c>
      <c r="Q762" s="1"/>
      <c r="R762" s="1"/>
      <c r="S762" s="1"/>
      <c r="T762" s="1"/>
      <c r="U762" s="2">
        <f t="shared" si="556"/>
        <v>17</v>
      </c>
      <c r="V762" s="2">
        <f t="shared" si="557"/>
        <v>225</v>
      </c>
    </row>
    <row r="763" spans="1:22" x14ac:dyDescent="0.3">
      <c r="A763" s="2">
        <f t="shared" si="555"/>
        <v>17226</v>
      </c>
      <c r="B763" s="61" t="s">
        <v>44</v>
      </c>
      <c r="C763" s="61"/>
      <c r="D763" s="61"/>
      <c r="E763" s="61"/>
      <c r="F763" s="61"/>
      <c r="G763" s="61"/>
      <c r="H763" s="61"/>
      <c r="I763" s="1"/>
      <c r="J763" s="2" t="str">
        <f t="shared" ref="J763" si="575">CONCATENATE(K761,2)</f>
        <v>72</v>
      </c>
      <c r="K763" s="4" t="e">
        <v>#VALUE!</v>
      </c>
      <c r="L763" s="4" t="e">
        <v>#VALUE!</v>
      </c>
      <c r="M763" s="4" t="e">
        <v>#VALUE!</v>
      </c>
      <c r="N763" s="4" t="e">
        <v>#VALUE!</v>
      </c>
      <c r="O763" s="4" t="e">
        <v>#VALUE!</v>
      </c>
      <c r="P763" s="4" t="e">
        <v>#VALUE!</v>
      </c>
      <c r="Q763" s="1"/>
      <c r="R763" s="1"/>
      <c r="S763" s="1"/>
      <c r="T763" s="1"/>
      <c r="U763" s="2">
        <f t="shared" si="556"/>
        <v>17</v>
      </c>
      <c r="V763" s="2">
        <f t="shared" si="557"/>
        <v>226</v>
      </c>
    </row>
    <row r="764" spans="1:22" x14ac:dyDescent="0.3">
      <c r="A764" s="2">
        <f t="shared" si="555"/>
        <v>17227</v>
      </c>
      <c r="B764" s="4" t="s">
        <v>45</v>
      </c>
      <c r="C764" s="4" t="s">
        <v>46</v>
      </c>
      <c r="D764" s="4" t="s">
        <v>47</v>
      </c>
      <c r="E764" s="4" t="s">
        <v>48</v>
      </c>
      <c r="F764" s="4" t="s">
        <v>49</v>
      </c>
      <c r="G764" s="4" t="s">
        <v>50</v>
      </c>
      <c r="H764" s="4" t="s">
        <v>46</v>
      </c>
      <c r="I764" s="1"/>
      <c r="J764" s="2" t="str">
        <f t="shared" ref="J764" si="576">CONCATENATE(K761,3)</f>
        <v>73</v>
      </c>
      <c r="K764" s="4" t="e">
        <v>#VALUE!</v>
      </c>
      <c r="L764" s="4" t="e">
        <v>#VALUE!</v>
      </c>
      <c r="M764" s="4" t="e">
        <v>#VALUE!</v>
      </c>
      <c r="N764" s="4" t="e">
        <v>#VALUE!</v>
      </c>
      <c r="O764" s="4" t="e">
        <v>#VALUE!</v>
      </c>
      <c r="P764" s="4" t="e">
        <v>#VALUE!</v>
      </c>
      <c r="Q764" s="1"/>
      <c r="R764" s="1"/>
      <c r="S764" s="1"/>
      <c r="T764" s="1"/>
      <c r="U764" s="2">
        <f t="shared" si="556"/>
        <v>17</v>
      </c>
      <c r="V764" s="2">
        <f t="shared" si="557"/>
        <v>227</v>
      </c>
    </row>
    <row r="765" spans="1:22" x14ac:dyDescent="0.3">
      <c r="A765" s="2">
        <f t="shared" si="555"/>
        <v>17228</v>
      </c>
      <c r="B765" s="10">
        <v>7000</v>
      </c>
      <c r="C765" s="10">
        <v>7000</v>
      </c>
      <c r="D765" s="10">
        <v>7000</v>
      </c>
      <c r="E765" s="10">
        <v>7000</v>
      </c>
      <c r="F765" s="10">
        <v>6999.9</v>
      </c>
      <c r="G765" s="10">
        <v>7000</v>
      </c>
      <c r="H765" s="10">
        <v>7000</v>
      </c>
      <c r="I765" s="1"/>
      <c r="J765" s="1"/>
      <c r="K765" s="1">
        <v>8</v>
      </c>
      <c r="L765" s="1">
        <v>8</v>
      </c>
      <c r="M765" s="1">
        <v>8</v>
      </c>
      <c r="N765" s="1">
        <v>8</v>
      </c>
      <c r="O765" s="1">
        <v>8</v>
      </c>
      <c r="P765" s="1">
        <v>8</v>
      </c>
      <c r="Q765" s="1">
        <v>8</v>
      </c>
      <c r="R765" s="1"/>
      <c r="S765" s="1"/>
      <c r="T765" s="1"/>
      <c r="U765" s="2">
        <f t="shared" si="556"/>
        <v>17</v>
      </c>
      <c r="V765" s="2">
        <f t="shared" si="557"/>
        <v>228</v>
      </c>
    </row>
    <row r="766" spans="1:22" x14ac:dyDescent="0.3">
      <c r="A766" s="2">
        <f t="shared" si="555"/>
        <v>17229</v>
      </c>
      <c r="I766" s="1"/>
      <c r="J766" s="2" t="str">
        <f t="shared" ref="J766" si="577">CONCATENATE(K765,1)</f>
        <v>81</v>
      </c>
      <c r="K766" s="4" t="e">
        <f t="array" ref="K766:Q768">LINEST(B753:B760,C753:C760^{1,2,3,4,5,6},TRUE,TRUE)</f>
        <v>#VALUE!</v>
      </c>
      <c r="L766" s="4" t="e">
        <v>#VALUE!</v>
      </c>
      <c r="M766" s="4" t="e">
        <v>#VALUE!</v>
      </c>
      <c r="N766" s="4" t="e">
        <v>#VALUE!</v>
      </c>
      <c r="O766" s="4" t="e">
        <v>#VALUE!</v>
      </c>
      <c r="P766" s="4" t="e">
        <v>#VALUE!</v>
      </c>
      <c r="Q766" s="4" t="e">
        <v>#VALUE!</v>
      </c>
      <c r="R766" s="1"/>
      <c r="S766" s="1"/>
      <c r="T766" s="1"/>
      <c r="U766" s="2">
        <f t="shared" si="556"/>
        <v>17</v>
      </c>
      <c r="V766" s="2">
        <f t="shared" si="557"/>
        <v>229</v>
      </c>
    </row>
    <row r="767" spans="1:22" x14ac:dyDescent="0.3">
      <c r="A767" s="2">
        <f t="shared" si="555"/>
        <v>17230</v>
      </c>
      <c r="B767" s="58" t="s">
        <v>30</v>
      </c>
      <c r="C767" s="58"/>
      <c r="D767" s="58"/>
      <c r="E767" s="58"/>
      <c r="F767" s="58"/>
      <c r="G767" s="58"/>
      <c r="H767" s="58"/>
      <c r="I767" s="1"/>
      <c r="J767" s="2" t="str">
        <f t="shared" ref="J767" si="578">CONCATENATE(K765,2)</f>
        <v>82</v>
      </c>
      <c r="K767" s="4" t="e">
        <v>#VALUE!</v>
      </c>
      <c r="L767" s="4" t="e">
        <v>#VALUE!</v>
      </c>
      <c r="M767" s="4" t="e">
        <v>#VALUE!</v>
      </c>
      <c r="N767" s="4" t="e">
        <v>#VALUE!</v>
      </c>
      <c r="O767" s="4" t="e">
        <v>#VALUE!</v>
      </c>
      <c r="P767" s="4" t="e">
        <v>#VALUE!</v>
      </c>
      <c r="Q767" s="4" t="e">
        <v>#VALUE!</v>
      </c>
      <c r="R767" s="1"/>
      <c r="S767" s="1"/>
      <c r="T767" s="1"/>
      <c r="U767" s="2">
        <f t="shared" si="556"/>
        <v>17</v>
      </c>
      <c r="V767" s="2">
        <f t="shared" si="557"/>
        <v>230</v>
      </c>
    </row>
    <row r="768" spans="1:22" x14ac:dyDescent="0.3">
      <c r="A768" s="2">
        <f t="shared" si="555"/>
        <v>17231</v>
      </c>
      <c r="B768" s="62"/>
      <c r="C768" s="62"/>
      <c r="D768" s="62"/>
      <c r="E768" s="62"/>
      <c r="F768" s="62"/>
      <c r="G768" s="62"/>
      <c r="H768" s="62"/>
      <c r="I768" s="1"/>
      <c r="J768" s="2" t="str">
        <f t="shared" ref="J768" si="579">CONCATENATE(K765,3)</f>
        <v>83</v>
      </c>
      <c r="K768" s="4" t="e">
        <v>#VALUE!</v>
      </c>
      <c r="L768" s="4" t="e">
        <v>#VALUE!</v>
      </c>
      <c r="M768" s="4" t="e">
        <v>#VALUE!</v>
      </c>
      <c r="N768" s="4" t="e">
        <v>#VALUE!</v>
      </c>
      <c r="O768" s="4" t="e">
        <v>#VALUE!</v>
      </c>
      <c r="P768" s="4" t="e">
        <v>#VALUE!</v>
      </c>
      <c r="Q768" s="4" t="e">
        <v>#VALUE!</v>
      </c>
      <c r="R768" s="1"/>
      <c r="S768" s="1"/>
      <c r="T768" s="1"/>
      <c r="U768" s="2">
        <f t="shared" si="556"/>
        <v>17</v>
      </c>
      <c r="V768" s="2">
        <f t="shared" si="557"/>
        <v>231</v>
      </c>
    </row>
    <row r="769" spans="1:22" x14ac:dyDescent="0.3">
      <c r="A769" s="2">
        <f t="shared" si="555"/>
        <v>17232</v>
      </c>
      <c r="B769" s="62"/>
      <c r="C769" s="62"/>
      <c r="D769" s="62"/>
      <c r="E769" s="62"/>
      <c r="F769" s="62"/>
      <c r="G769" s="62"/>
      <c r="H769" s="62"/>
      <c r="I769" s="1"/>
      <c r="J769" s="1"/>
      <c r="K769" s="1">
        <v>9</v>
      </c>
      <c r="L769" s="1">
        <v>9</v>
      </c>
      <c r="M769" s="1">
        <v>9</v>
      </c>
      <c r="N769" s="1">
        <v>9</v>
      </c>
      <c r="O769" s="1">
        <v>9</v>
      </c>
      <c r="P769" s="1">
        <v>9</v>
      </c>
      <c r="Q769" s="1">
        <v>9</v>
      </c>
      <c r="R769" s="1">
        <v>9</v>
      </c>
      <c r="S769" s="1"/>
      <c r="T769" s="1"/>
      <c r="U769" s="2">
        <f t="shared" si="556"/>
        <v>17</v>
      </c>
      <c r="V769" s="2">
        <f t="shared" si="557"/>
        <v>232</v>
      </c>
    </row>
    <row r="770" spans="1:22" x14ac:dyDescent="0.3">
      <c r="A770" s="2">
        <f t="shared" si="555"/>
        <v>17233</v>
      </c>
      <c r="B770" s="1"/>
      <c r="C770" s="1"/>
      <c r="D770" s="1"/>
      <c r="E770" s="1"/>
      <c r="F770" s="1"/>
      <c r="G770" s="1"/>
      <c r="H770" s="1"/>
      <c r="I770" s="1"/>
      <c r="J770" s="2" t="str">
        <f t="shared" ref="J770" si="580">CONCATENATE(K769,1)</f>
        <v>91</v>
      </c>
      <c r="K770" s="4" t="e">
        <f t="array" ref="K770:R772">LINEST(B753:B761,C753:C761^{1,2,3,4,5,6,7},TRUE,TRUE)</f>
        <v>#VALUE!</v>
      </c>
      <c r="L770" s="4" t="e">
        <v>#VALUE!</v>
      </c>
      <c r="M770" s="4" t="e">
        <v>#VALUE!</v>
      </c>
      <c r="N770" s="4" t="e">
        <v>#VALUE!</v>
      </c>
      <c r="O770" s="4" t="e">
        <v>#VALUE!</v>
      </c>
      <c r="P770" s="4" t="e">
        <v>#VALUE!</v>
      </c>
      <c r="Q770" s="4" t="e">
        <v>#VALUE!</v>
      </c>
      <c r="R770" s="4" t="e">
        <v>#VALUE!</v>
      </c>
      <c r="S770" s="1"/>
      <c r="T770" s="1"/>
      <c r="U770" s="2">
        <f t="shared" si="556"/>
        <v>17</v>
      </c>
      <c r="V770" s="2">
        <f t="shared" si="557"/>
        <v>233</v>
      </c>
    </row>
    <row r="771" spans="1:22" x14ac:dyDescent="0.3">
      <c r="A771" s="2">
        <f t="shared" si="555"/>
        <v>17234</v>
      </c>
      <c r="B771" s="5" t="s">
        <v>31</v>
      </c>
      <c r="C771" s="5" t="s">
        <v>32</v>
      </c>
      <c r="D771" s="5" t="s">
        <v>33</v>
      </c>
      <c r="E771" s="4" t="s">
        <v>34</v>
      </c>
      <c r="F771" s="57" t="s">
        <v>35</v>
      </c>
      <c r="G771" s="58"/>
      <c r="H771" s="58"/>
      <c r="I771" s="1"/>
      <c r="J771" s="2" t="str">
        <f t="shared" ref="J771" si="581">CONCATENATE(K769,2)</f>
        <v>92</v>
      </c>
      <c r="K771" s="4" t="e">
        <v>#VALUE!</v>
      </c>
      <c r="L771" s="4" t="e">
        <v>#VALUE!</v>
      </c>
      <c r="M771" s="4" t="e">
        <v>#VALUE!</v>
      </c>
      <c r="N771" s="4" t="e">
        <v>#VALUE!</v>
      </c>
      <c r="O771" s="4" t="e">
        <v>#VALUE!</v>
      </c>
      <c r="P771" s="4" t="e">
        <v>#VALUE!</v>
      </c>
      <c r="Q771" s="4" t="e">
        <v>#VALUE!</v>
      </c>
      <c r="R771" s="4" t="e">
        <v>#VALUE!</v>
      </c>
      <c r="S771" s="1"/>
      <c r="T771" s="1"/>
      <c r="U771" s="2">
        <f t="shared" si="556"/>
        <v>17</v>
      </c>
      <c r="V771" s="2">
        <f t="shared" si="557"/>
        <v>234</v>
      </c>
    </row>
    <row r="772" spans="1:22" x14ac:dyDescent="0.3">
      <c r="A772" s="2">
        <f t="shared" si="555"/>
        <v>17235</v>
      </c>
      <c r="B772" s="5">
        <f t="shared" ref="B772:B781" si="582">C753-B753</f>
        <v>0</v>
      </c>
      <c r="C772" s="5">
        <f t="shared" ref="C772:C781" si="583">H753-G753</f>
        <v>0</v>
      </c>
      <c r="D772" s="5">
        <f>C772-B772</f>
        <v>0</v>
      </c>
      <c r="E772" s="4">
        <f t="shared" ref="E772:E781" si="584">D753</f>
        <v>0.2</v>
      </c>
      <c r="F772" s="11">
        <f>IF(D740="","",MAX(G772,H772))</f>
        <v>0.2999999999992724</v>
      </c>
      <c r="G772" s="5">
        <f>ABS(MIN(D772:D781))</f>
        <v>0</v>
      </c>
      <c r="H772" s="5">
        <f>ABS(MAX(D772:D781))</f>
        <v>0.2999999999992724</v>
      </c>
      <c r="I772" s="1"/>
      <c r="J772" s="2" t="str">
        <f t="shared" ref="J772" si="585">CONCATENATE(K769,3)</f>
        <v>93</v>
      </c>
      <c r="K772" s="4" t="e">
        <v>#VALUE!</v>
      </c>
      <c r="L772" s="4" t="e">
        <v>#VALUE!</v>
      </c>
      <c r="M772" s="4" t="e">
        <v>#VALUE!</v>
      </c>
      <c r="N772" s="4" t="e">
        <v>#VALUE!</v>
      </c>
      <c r="O772" s="4" t="e">
        <v>#VALUE!</v>
      </c>
      <c r="P772" s="4" t="e">
        <v>#VALUE!</v>
      </c>
      <c r="Q772" s="4" t="e">
        <v>#VALUE!</v>
      </c>
      <c r="R772" s="4" t="e">
        <v>#VALUE!</v>
      </c>
      <c r="S772" s="1"/>
      <c r="T772" s="1"/>
      <c r="U772" s="2">
        <f t="shared" si="556"/>
        <v>17</v>
      </c>
      <c r="V772" s="2">
        <f t="shared" si="557"/>
        <v>235</v>
      </c>
    </row>
    <row r="773" spans="1:22" x14ac:dyDescent="0.3">
      <c r="A773" s="2">
        <f t="shared" si="555"/>
        <v>17236</v>
      </c>
      <c r="B773" s="5">
        <f t="shared" si="582"/>
        <v>0</v>
      </c>
      <c r="C773" s="5">
        <f t="shared" si="583"/>
        <v>0</v>
      </c>
      <c r="D773" s="5">
        <f t="shared" ref="D773:D781" si="586">C773-B773</f>
        <v>0</v>
      </c>
      <c r="E773" s="4">
        <f t="shared" si="584"/>
        <v>0.2</v>
      </c>
      <c r="F773" s="57" t="s">
        <v>36</v>
      </c>
      <c r="G773" s="58"/>
      <c r="H773" s="58"/>
      <c r="I773" s="1"/>
      <c r="J773" s="1"/>
      <c r="K773" s="1">
        <v>10</v>
      </c>
      <c r="L773" s="1">
        <v>10</v>
      </c>
      <c r="M773" s="1">
        <v>10</v>
      </c>
      <c r="N773" s="1">
        <v>10</v>
      </c>
      <c r="O773" s="1">
        <v>10</v>
      </c>
      <c r="P773" s="1">
        <v>10</v>
      </c>
      <c r="Q773" s="1">
        <v>10</v>
      </c>
      <c r="R773" s="1">
        <v>10</v>
      </c>
      <c r="S773" s="1">
        <v>10</v>
      </c>
      <c r="T773" s="1"/>
      <c r="U773" s="2">
        <f t="shared" si="556"/>
        <v>17</v>
      </c>
      <c r="V773" s="2">
        <f t="shared" si="557"/>
        <v>236</v>
      </c>
    </row>
    <row r="774" spans="1:22" x14ac:dyDescent="0.3">
      <c r="A774" s="2">
        <f t="shared" si="555"/>
        <v>17237</v>
      </c>
      <c r="B774" s="5">
        <f t="shared" si="582"/>
        <v>0</v>
      </c>
      <c r="C774" s="5">
        <f t="shared" si="583"/>
        <v>0</v>
      </c>
      <c r="D774" s="5">
        <f t="shared" si="586"/>
        <v>0</v>
      </c>
      <c r="E774" s="4">
        <f t="shared" si="584"/>
        <v>0.2</v>
      </c>
      <c r="F774" s="11">
        <f>IF(D740="","",MAX(G774,H774))</f>
        <v>0.2999999999992724</v>
      </c>
      <c r="G774" s="5">
        <f>ABS(MIN(B772:B781))</f>
        <v>0.2999999999992724</v>
      </c>
      <c r="H774" s="5">
        <f>ABS(MAX(B772:B781))</f>
        <v>0</v>
      </c>
      <c r="I774" s="1"/>
      <c r="J774" s="2" t="str">
        <f t="shared" ref="J774" si="587">CONCATENATE(K773,1)</f>
        <v>101</v>
      </c>
      <c r="K774" s="4" t="e">
        <f t="array" ref="K774:S776">LINEST(B753:B762,C753:C762^{1,2,3,4,5,6,7,8},TRUE,TRUE)</f>
        <v>#VALUE!</v>
      </c>
      <c r="L774" s="4" t="e">
        <v>#VALUE!</v>
      </c>
      <c r="M774" s="4" t="e">
        <v>#VALUE!</v>
      </c>
      <c r="N774" s="4" t="e">
        <v>#VALUE!</v>
      </c>
      <c r="O774" s="4" t="e">
        <v>#VALUE!</v>
      </c>
      <c r="P774" s="4" t="e">
        <v>#VALUE!</v>
      </c>
      <c r="Q774" s="4" t="e">
        <v>#VALUE!</v>
      </c>
      <c r="R774" s="4" t="e">
        <v>#VALUE!</v>
      </c>
      <c r="S774" s="4" t="e">
        <v>#VALUE!</v>
      </c>
      <c r="T774" s="1"/>
      <c r="U774" s="2">
        <f t="shared" si="556"/>
        <v>17</v>
      </c>
      <c r="V774" s="2">
        <f t="shared" si="557"/>
        <v>237</v>
      </c>
    </row>
    <row r="775" spans="1:22" x14ac:dyDescent="0.3">
      <c r="A775" s="2">
        <f t="shared" si="555"/>
        <v>17238</v>
      </c>
      <c r="B775" s="5">
        <f t="shared" si="582"/>
        <v>-0.1000000000003638</v>
      </c>
      <c r="C775" s="5">
        <f t="shared" si="583"/>
        <v>0</v>
      </c>
      <c r="D775" s="5">
        <f t="shared" si="586"/>
        <v>0.1000000000003638</v>
      </c>
      <c r="E775" s="4">
        <f t="shared" si="584"/>
        <v>0.2</v>
      </c>
      <c r="F775" s="57" t="s">
        <v>37</v>
      </c>
      <c r="G775" s="58"/>
      <c r="H775" s="58"/>
      <c r="I775" s="1"/>
      <c r="J775" s="2" t="str">
        <f t="shared" ref="J775" si="588">CONCATENATE(K773,2)</f>
        <v>102</v>
      </c>
      <c r="K775" s="4" t="e">
        <v>#VALUE!</v>
      </c>
      <c r="L775" s="4" t="e">
        <v>#VALUE!</v>
      </c>
      <c r="M775" s="4" t="e">
        <v>#VALUE!</v>
      </c>
      <c r="N775" s="4" t="e">
        <v>#VALUE!</v>
      </c>
      <c r="O775" s="4" t="e">
        <v>#VALUE!</v>
      </c>
      <c r="P775" s="4" t="e">
        <v>#VALUE!</v>
      </c>
      <c r="Q775" s="4" t="e">
        <v>#VALUE!</v>
      </c>
      <c r="R775" s="4" t="e">
        <v>#VALUE!</v>
      </c>
      <c r="S775" s="4" t="e">
        <v>#VALUE!</v>
      </c>
      <c r="T775" s="1"/>
      <c r="U775" s="2">
        <f t="shared" si="556"/>
        <v>17</v>
      </c>
      <c r="V775" s="2">
        <f t="shared" si="557"/>
        <v>238</v>
      </c>
    </row>
    <row r="776" spans="1:22" x14ac:dyDescent="0.3">
      <c r="A776" s="2">
        <f t="shared" si="555"/>
        <v>17239</v>
      </c>
      <c r="B776" s="5">
        <f t="shared" si="582"/>
        <v>-0.2999999999992724</v>
      </c>
      <c r="C776" s="5">
        <f t="shared" si="583"/>
        <v>0</v>
      </c>
      <c r="D776" s="5">
        <f t="shared" si="586"/>
        <v>0.2999999999992724</v>
      </c>
      <c r="E776" s="4">
        <f t="shared" si="584"/>
        <v>0.3</v>
      </c>
      <c r="F776" s="11">
        <f>IF(D740="","",MAX(G776,H776))</f>
        <v>0.3</v>
      </c>
      <c r="G776" s="5">
        <f>ABS(MIN(E772:E781))</f>
        <v>0</v>
      </c>
      <c r="H776" s="5">
        <f>ABS(MAX(E772:E781))</f>
        <v>0.3</v>
      </c>
      <c r="I776" s="1"/>
      <c r="J776" s="2" t="str">
        <f t="shared" ref="J776" si="589">CONCATENATE(K773,3)</f>
        <v>103</v>
      </c>
      <c r="K776" s="4" t="e">
        <v>#VALUE!</v>
      </c>
      <c r="L776" s="4" t="e">
        <v>#VALUE!</v>
      </c>
      <c r="M776" s="4" t="e">
        <v>#VALUE!</v>
      </c>
      <c r="N776" s="4" t="e">
        <v>#VALUE!</v>
      </c>
      <c r="O776" s="4" t="e">
        <v>#VALUE!</v>
      </c>
      <c r="P776" s="4" t="e">
        <v>#VALUE!</v>
      </c>
      <c r="Q776" s="4" t="e">
        <v>#VALUE!</v>
      </c>
      <c r="R776" s="4" t="e">
        <v>#VALUE!</v>
      </c>
      <c r="S776" s="4" t="e">
        <v>#VALUE!</v>
      </c>
      <c r="T776" s="1"/>
      <c r="U776" s="2">
        <f t="shared" si="556"/>
        <v>17</v>
      </c>
      <c r="V776" s="2">
        <f t="shared" si="557"/>
        <v>239</v>
      </c>
    </row>
    <row r="777" spans="1:22" x14ac:dyDescent="0.3">
      <c r="A777" s="2">
        <f t="shared" si="555"/>
        <v>17240</v>
      </c>
      <c r="B777" s="5">
        <f t="shared" si="582"/>
        <v>0</v>
      </c>
      <c r="C777" s="5">
        <f t="shared" si="583"/>
        <v>0</v>
      </c>
      <c r="D777" s="5">
        <f t="shared" si="586"/>
        <v>0</v>
      </c>
      <c r="E777" s="4">
        <f t="shared" si="584"/>
        <v>0</v>
      </c>
      <c r="F777" s="57" t="s">
        <v>51</v>
      </c>
      <c r="G777" s="58"/>
      <c r="H777" s="5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2">
        <f t="shared" si="556"/>
        <v>17</v>
      </c>
      <c r="V777" s="2">
        <f t="shared" si="557"/>
        <v>240</v>
      </c>
    </row>
    <row r="778" spans="1:22" x14ac:dyDescent="0.3">
      <c r="A778" s="2">
        <f t="shared" si="555"/>
        <v>17241</v>
      </c>
      <c r="B778" s="5">
        <f t="shared" si="582"/>
        <v>0</v>
      </c>
      <c r="C778" s="5">
        <f t="shared" si="583"/>
        <v>0</v>
      </c>
      <c r="D778" s="5">
        <f t="shared" si="586"/>
        <v>0</v>
      </c>
      <c r="E778" s="4">
        <f t="shared" si="584"/>
        <v>0</v>
      </c>
      <c r="F778" s="21">
        <f>MAX(G778:H780)</f>
        <v>0.1000000000003638</v>
      </c>
      <c r="G778" s="4">
        <f>IF(C765="",0,ABS(C765-B765))</f>
        <v>0</v>
      </c>
      <c r="H778" s="4">
        <f>IF(F765="",0,ABS(F765-B765))</f>
        <v>0.1000000000003638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">
        <f t="shared" si="556"/>
        <v>17</v>
      </c>
      <c r="V778" s="2">
        <f t="shared" si="557"/>
        <v>241</v>
      </c>
    </row>
    <row r="779" spans="1:22" x14ac:dyDescent="0.3">
      <c r="A779" s="2">
        <f t="shared" si="555"/>
        <v>17242</v>
      </c>
      <c r="B779" s="5">
        <f t="shared" si="582"/>
        <v>0</v>
      </c>
      <c r="C779" s="5">
        <f t="shared" si="583"/>
        <v>0</v>
      </c>
      <c r="D779" s="5">
        <f t="shared" si="586"/>
        <v>0</v>
      </c>
      <c r="E779" s="4">
        <f t="shared" si="584"/>
        <v>0</v>
      </c>
      <c r="F779" s="4" t="s">
        <v>52</v>
      </c>
      <c r="G779" s="4">
        <f>IF(D765="",0,ABS(D765-B765))</f>
        <v>0</v>
      </c>
      <c r="H779" s="4">
        <f>IF(G765="",0,ABS(G765-B765))</f>
        <v>0</v>
      </c>
      <c r="I779" s="1"/>
      <c r="J779" s="1"/>
      <c r="R779" s="1"/>
      <c r="S779" s="1"/>
      <c r="T779" s="1"/>
      <c r="U779" s="2">
        <f t="shared" si="556"/>
        <v>17</v>
      </c>
      <c r="V779" s="2">
        <f t="shared" si="557"/>
        <v>242</v>
      </c>
    </row>
    <row r="780" spans="1:22" x14ac:dyDescent="0.3">
      <c r="A780" s="2">
        <f t="shared" si="555"/>
        <v>17243</v>
      </c>
      <c r="B780" s="5">
        <f t="shared" si="582"/>
        <v>0</v>
      </c>
      <c r="C780" s="5">
        <f t="shared" si="583"/>
        <v>0</v>
      </c>
      <c r="D780" s="5">
        <f t="shared" si="586"/>
        <v>0</v>
      </c>
      <c r="E780" s="4">
        <f t="shared" si="584"/>
        <v>0</v>
      </c>
      <c r="F780" s="22">
        <f>IF(F778=0,0,F778/B765%)</f>
        <v>1.4285714285766256E-3</v>
      </c>
      <c r="G780" s="4">
        <f>IF(G765="",0,ABS(G765-B765))</f>
        <v>0</v>
      </c>
      <c r="H780" s="4">
        <f>IF(H765="",0,ABS(H765-B765))</f>
        <v>0</v>
      </c>
      <c r="I780" s="1"/>
      <c r="J780" s="1"/>
      <c r="R780" s="1"/>
      <c r="S780" s="1"/>
      <c r="T780" s="1"/>
      <c r="U780" s="2">
        <f t="shared" si="556"/>
        <v>17</v>
      </c>
      <c r="V780" s="2">
        <f t="shared" si="557"/>
        <v>243</v>
      </c>
    </row>
    <row r="781" spans="1:22" x14ac:dyDescent="0.3">
      <c r="A781" s="2">
        <f t="shared" si="555"/>
        <v>17244</v>
      </c>
      <c r="B781" s="5">
        <f t="shared" si="582"/>
        <v>0</v>
      </c>
      <c r="C781" s="5">
        <f t="shared" si="583"/>
        <v>0</v>
      </c>
      <c r="D781" s="5">
        <f t="shared" si="586"/>
        <v>0</v>
      </c>
      <c r="E781" s="4">
        <f t="shared" si="584"/>
        <v>0</v>
      </c>
      <c r="F781" s="1"/>
      <c r="G781" s="1"/>
      <c r="H781" s="1"/>
      <c r="I781" s="1"/>
      <c r="J781" s="1"/>
      <c r="R781" s="1"/>
      <c r="S781" s="1"/>
      <c r="T781" s="1"/>
      <c r="U781" s="2">
        <f t="shared" si="556"/>
        <v>17</v>
      </c>
      <c r="V781" s="2">
        <f t="shared" si="557"/>
        <v>244</v>
      </c>
    </row>
    <row r="782" spans="1:22" x14ac:dyDescent="0.3">
      <c r="A782" s="2">
        <f t="shared" si="555"/>
        <v>17245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2">
        <f t="shared" si="556"/>
        <v>17</v>
      </c>
      <c r="V782" s="2">
        <f t="shared" si="557"/>
        <v>245</v>
      </c>
    </row>
    <row r="783" spans="1:22" s="20" customForma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x14ac:dyDescent="0.3">
      <c r="A784" s="2">
        <f>ROUND(CONCATENATE(U784,V784),0)</f>
        <v>18201</v>
      </c>
      <c r="B784" s="63" t="s">
        <v>0</v>
      </c>
      <c r="C784" s="63"/>
      <c r="D784" s="71" t="s">
        <v>73</v>
      </c>
      <c r="E784" s="72"/>
      <c r="F784" s="72"/>
      <c r="G784" s="72"/>
      <c r="H784" s="7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2">
        <f>U782+1</f>
        <v>18</v>
      </c>
      <c r="V784" s="2">
        <v>201</v>
      </c>
    </row>
    <row r="785" spans="1:22" x14ac:dyDescent="0.3">
      <c r="A785" s="2">
        <f t="shared" ref="A785:A828" si="590">ROUND(CONCATENATE(U785,V785),0)</f>
        <v>18202</v>
      </c>
      <c r="B785" s="12" t="s">
        <v>40</v>
      </c>
      <c r="C785" s="13"/>
      <c r="D785" s="16" t="s">
        <v>41</v>
      </c>
      <c r="E785" s="57" t="s">
        <v>39</v>
      </c>
      <c r="F785" s="57"/>
      <c r="G785" s="18">
        <v>1.0000000000000001E-5</v>
      </c>
      <c r="H785" s="15" t="str">
        <f>IF(D786="","",D785)</f>
        <v>g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2">
        <f>U784</f>
        <v>18</v>
      </c>
      <c r="V785" s="2">
        <f>V784+1</f>
        <v>202</v>
      </c>
    </row>
    <row r="786" spans="1:22" x14ac:dyDescent="0.3">
      <c r="A786" s="2">
        <f t="shared" si="590"/>
        <v>18203</v>
      </c>
      <c r="B786" s="63" t="s">
        <v>1</v>
      </c>
      <c r="C786" s="63"/>
      <c r="D786" s="71" t="s">
        <v>155</v>
      </c>
      <c r="E786" s="72"/>
      <c r="F786" s="72"/>
      <c r="G786" s="72"/>
      <c r="H786" s="73"/>
      <c r="I786" s="1"/>
      <c r="J786" s="1"/>
      <c r="K786" s="1" t="s">
        <v>2</v>
      </c>
      <c r="L786" s="1" t="s">
        <v>3</v>
      </c>
      <c r="M786" s="1" t="s">
        <v>4</v>
      </c>
      <c r="N786" s="1" t="s">
        <v>5</v>
      </c>
      <c r="O786" s="1" t="s">
        <v>6</v>
      </c>
      <c r="P786" s="1" t="s">
        <v>7</v>
      </c>
      <c r="Q786" s="1" t="s">
        <v>8</v>
      </c>
      <c r="R786" s="1" t="s">
        <v>9</v>
      </c>
      <c r="S786" s="1" t="s">
        <v>10</v>
      </c>
      <c r="T786" s="1"/>
      <c r="U786" s="2">
        <f t="shared" ref="U786:U828" si="591">U785</f>
        <v>18</v>
      </c>
      <c r="V786" s="2">
        <f t="shared" ref="V786:V828" si="592">V785+1</f>
        <v>203</v>
      </c>
    </row>
    <row r="787" spans="1:22" x14ac:dyDescent="0.3">
      <c r="A787" s="2">
        <f t="shared" si="590"/>
        <v>18204</v>
      </c>
      <c r="B787" s="63" t="s">
        <v>11</v>
      </c>
      <c r="C787" s="63"/>
      <c r="D787" s="71" t="s">
        <v>148</v>
      </c>
      <c r="E787" s="72"/>
      <c r="F787" s="72"/>
      <c r="G787" s="72"/>
      <c r="H787" s="73"/>
      <c r="I787" s="1"/>
      <c r="J787" s="1">
        <f>COUNTA(B799:B808)</f>
        <v>7</v>
      </c>
      <c r="K787" s="1">
        <f t="shared" ref="K787" si="593">IF(L787-1&lt;2,0,L787-1)</f>
        <v>0</v>
      </c>
      <c r="L787" s="1">
        <f t="shared" ref="L787" si="594">IF(M787-1&lt;2,0,M787-1)</f>
        <v>0</v>
      </c>
      <c r="M787" s="1">
        <f t="shared" ref="M787" si="595">IF(N787-1&lt;2,0,N787-1)</f>
        <v>0</v>
      </c>
      <c r="N787" s="1">
        <f t="shared" ref="N787" si="596">IF(O787-1&lt;2,0,O787-1)</f>
        <v>2</v>
      </c>
      <c r="O787" s="1">
        <f t="shared" ref="O787" si="597">IF(P787-1&lt;2,0,P787-1)</f>
        <v>3</v>
      </c>
      <c r="P787" s="1">
        <f t="shared" ref="P787" si="598">IF(Q787-1&lt;2,0,Q787-1)</f>
        <v>4</v>
      </c>
      <c r="Q787" s="1">
        <f t="shared" ref="Q787" si="599">IF(R787-1&lt;2,0,R787-1)</f>
        <v>5</v>
      </c>
      <c r="R787" s="1">
        <f>IF(S787-1&lt;2,0,S787-1)</f>
        <v>6</v>
      </c>
      <c r="S787" s="1">
        <f>J787</f>
        <v>7</v>
      </c>
      <c r="T787" s="1"/>
      <c r="U787" s="2">
        <f t="shared" si="591"/>
        <v>18</v>
      </c>
      <c r="V787" s="2">
        <f t="shared" si="592"/>
        <v>204</v>
      </c>
    </row>
    <row r="788" spans="1:22" x14ac:dyDescent="0.3">
      <c r="A788" s="2">
        <f t="shared" si="590"/>
        <v>18205</v>
      </c>
      <c r="B788" s="63" t="s">
        <v>12</v>
      </c>
      <c r="C788" s="63"/>
      <c r="D788" s="71" t="s">
        <v>149</v>
      </c>
      <c r="E788" s="72"/>
      <c r="F788" s="72"/>
      <c r="G788" s="72"/>
      <c r="H788" s="73"/>
      <c r="I788" s="1"/>
      <c r="J788" s="2" t="str">
        <f>CONCATENATE(J787,1)</f>
        <v>71</v>
      </c>
      <c r="K788" s="3">
        <f>IF(K787=0,0,VLOOKUP(J788,J792:S822,K787,FALSE))</f>
        <v>0</v>
      </c>
      <c r="L788" s="3">
        <f>IF(L787=0,0,VLOOKUP(J788,J792:S822,L787,FALSE))</f>
        <v>0</v>
      </c>
      <c r="M788" s="3">
        <f>IF(M787=0,0,VLOOKUP(J788,J792:S822,M787,FALSE))</f>
        <v>0</v>
      </c>
      <c r="N788" s="3">
        <f>IF(N787=0,0,VLOOKUP(J788,J792:S822,N787,FALSE))</f>
        <v>-1.2669366368724902E-13</v>
      </c>
      <c r="O788" s="3">
        <f>IF(O787=0,0,VLOOKUP(J788,J792:S822,O787,FALSE))</f>
        <v>6.3587209678476281E-11</v>
      </c>
      <c r="P788" s="3">
        <f>IF(P787=0,0,VLOOKUP(J788,J792:S822,P787,FALSE))</f>
        <v>-1.0937872269495578E-8</v>
      </c>
      <c r="Q788" s="3">
        <f>IF(Q787=0,0,VLOOKUP(J788,J792:S822,Q787,FALSE))</f>
        <v>7.7846591125403296E-7</v>
      </c>
      <c r="R788" s="3">
        <f>IF(R787=0,0,VLOOKUP(J788,J792:S822,R787,FALSE))</f>
        <v>0.99998136375868762</v>
      </c>
      <c r="S788" s="3">
        <f>IF(S787=0,0,VLOOKUP(J788,J792:S822,S787,FALSE))</f>
        <v>2.5053007670854111E-5</v>
      </c>
      <c r="T788" s="1"/>
      <c r="U788" s="2">
        <f t="shared" si="591"/>
        <v>18</v>
      </c>
      <c r="V788" s="2">
        <f t="shared" si="592"/>
        <v>205</v>
      </c>
    </row>
    <row r="789" spans="1:22" x14ac:dyDescent="0.3">
      <c r="A789" s="2">
        <f t="shared" si="590"/>
        <v>18206</v>
      </c>
      <c r="B789" s="63" t="s">
        <v>13</v>
      </c>
      <c r="C789" s="63"/>
      <c r="D789" s="74" t="s">
        <v>166</v>
      </c>
      <c r="E789" s="72"/>
      <c r="F789" s="72"/>
      <c r="G789" s="72"/>
      <c r="H789" s="73"/>
      <c r="I789" s="1"/>
      <c r="J789" s="2" t="str">
        <f>CONCATENATE(J787,2)</f>
        <v>72</v>
      </c>
      <c r="K789" s="4">
        <f>IF(K787=0,0,VLOOKUP(J789,J792:S822,K787,FALSE))</f>
        <v>0</v>
      </c>
      <c r="L789" s="4">
        <f>IF(L787=0,0,VLOOKUP(J789,J792:S822,L787,FALSE))</f>
        <v>0</v>
      </c>
      <c r="M789" s="4">
        <f>IF(M787=0,0,VLOOKUP(J789,J792:S822,M787,FALSE))</f>
        <v>0</v>
      </c>
      <c r="N789" s="4">
        <f>IF(N787=0,0,VLOOKUP(J789,J792:S822,N787,FALSE))</f>
        <v>1.3143886788391257E-14</v>
      </c>
      <c r="O789" s="4">
        <f>IF(O787=0,0,VLOOKUP(J789,J792:S822,O787,FALSE))</f>
        <v>6.7536783165401353E-12</v>
      </c>
      <c r="P789" s="4">
        <f>IF(P787=0,0,VLOOKUP(J789,J792:S822,P787,FALSE))</f>
        <v>1.1987721442979097E-9</v>
      </c>
      <c r="Q789" s="4">
        <f>IF(Q787=0,0,VLOOKUP(J789,J792:S822,Q787,FALSE))</f>
        <v>8.6440157788775304E-8</v>
      </c>
      <c r="R789" s="4">
        <f>IF(R787=0,0,VLOOKUP(J789,J792:S822,R787,FALSE))</f>
        <v>2.1443817938179561E-6</v>
      </c>
      <c r="S789" s="4">
        <f>IF(S787=0,0,VLOOKUP(J789,J792:S822,S787,FALSE))</f>
        <v>5.04079075340385E-6</v>
      </c>
      <c r="T789" s="1"/>
      <c r="U789" s="2">
        <f t="shared" si="591"/>
        <v>18</v>
      </c>
      <c r="V789" s="2">
        <f t="shared" si="592"/>
        <v>206</v>
      </c>
    </row>
    <row r="790" spans="1:22" x14ac:dyDescent="0.3">
      <c r="A790" s="2">
        <f t="shared" si="590"/>
        <v>18207</v>
      </c>
      <c r="B790" s="63" t="s">
        <v>14</v>
      </c>
      <c r="C790" s="63"/>
      <c r="D790" s="75">
        <v>45887</v>
      </c>
      <c r="E790" s="76"/>
      <c r="F790" s="76"/>
      <c r="G790" s="76"/>
      <c r="H790" s="77"/>
      <c r="I790" s="1"/>
      <c r="J790" s="2" t="str">
        <f>CONCATENATE(J787,3)</f>
        <v>73</v>
      </c>
      <c r="K790" s="4"/>
      <c r="L790" s="4"/>
      <c r="M790" s="4"/>
      <c r="N790" s="4" t="s">
        <v>15</v>
      </c>
      <c r="O790" s="3">
        <f>J787-2</f>
        <v>5</v>
      </c>
      <c r="P790" s="4" t="s">
        <v>16</v>
      </c>
      <c r="Q790" s="3">
        <f>VLOOKUP(J790,J792:S822,3,FALSE)</f>
        <v>7.1236368177629572E-6</v>
      </c>
      <c r="R790" s="4" t="s">
        <v>17</v>
      </c>
      <c r="S790" s="4">
        <f>VLOOKUP(J790,J792:S822,2,FALSE)</f>
        <v>0.99999999999999889</v>
      </c>
      <c r="T790" s="1"/>
      <c r="U790" s="2">
        <f t="shared" si="591"/>
        <v>18</v>
      </c>
      <c r="V790" s="2">
        <f t="shared" si="592"/>
        <v>207</v>
      </c>
    </row>
    <row r="791" spans="1:22" x14ac:dyDescent="0.3">
      <c r="A791" s="2">
        <f t="shared" si="590"/>
        <v>18208</v>
      </c>
      <c r="B791" s="63" t="s">
        <v>18</v>
      </c>
      <c r="C791" s="63"/>
      <c r="D791" s="64">
        <v>46264</v>
      </c>
      <c r="E791" s="65"/>
      <c r="F791" s="65"/>
      <c r="G791" s="65"/>
      <c r="H791" s="66"/>
      <c r="I791" s="1"/>
      <c r="J791" s="1"/>
      <c r="K791" s="1">
        <v>3</v>
      </c>
      <c r="L791" s="1">
        <v>3</v>
      </c>
      <c r="M791" s="1"/>
      <c r="N791" s="1"/>
      <c r="O791" s="1"/>
      <c r="P791" s="1"/>
      <c r="Q791" s="1"/>
      <c r="R791" s="1"/>
      <c r="S791" s="1"/>
      <c r="T791" s="1"/>
      <c r="U791" s="2">
        <f t="shared" si="591"/>
        <v>18</v>
      </c>
      <c r="V791" s="2">
        <f t="shared" si="592"/>
        <v>208</v>
      </c>
    </row>
    <row r="792" spans="1:22" x14ac:dyDescent="0.3">
      <c r="A792" s="2">
        <f t="shared" si="590"/>
        <v>18209</v>
      </c>
      <c r="B792" s="67" t="s">
        <v>19</v>
      </c>
      <c r="C792" s="63"/>
      <c r="D792" s="5">
        <f>IF(D785="","",MIN(B799:B808))</f>
        <v>1E-3</v>
      </c>
      <c r="E792" s="6" t="s">
        <v>20</v>
      </c>
      <c r="F792" s="5">
        <f>IF(D785="","",MAX(B799:B808))</f>
        <v>220</v>
      </c>
      <c r="G792" s="7" t="str">
        <f>IF(D786="","",H785)</f>
        <v>g</v>
      </c>
      <c r="H792" s="14"/>
      <c r="I792" s="1"/>
      <c r="J792" s="2" t="str">
        <f>CONCATENATE(K791,1)</f>
        <v>31</v>
      </c>
      <c r="K792" s="4">
        <f t="array" ref="K792:L794">LINEST(B799:B801,C799:C801^{1},TRUE,TRUE)</f>
        <v>0.99998499242544159</v>
      </c>
      <c r="L792" s="4">
        <v>2.504263941305318E-5</v>
      </c>
      <c r="M792" s="1"/>
      <c r="N792" s="1"/>
      <c r="O792" s="1"/>
      <c r="P792" s="1"/>
      <c r="Q792" s="1"/>
      <c r="R792" s="1"/>
      <c r="S792" s="1"/>
      <c r="T792" s="1"/>
      <c r="U792" s="2">
        <f t="shared" si="591"/>
        <v>18</v>
      </c>
      <c r="V792" s="2">
        <f t="shared" si="592"/>
        <v>209</v>
      </c>
    </row>
    <row r="793" spans="1:22" x14ac:dyDescent="0.3">
      <c r="A793" s="2">
        <f t="shared" si="590"/>
        <v>18210</v>
      </c>
      <c r="B793" s="1"/>
      <c r="C793" s="1"/>
      <c r="D793" s="1"/>
      <c r="E793" s="1"/>
      <c r="F793" s="1"/>
      <c r="G793" s="1"/>
      <c r="H793" s="1"/>
      <c r="I793" s="1"/>
      <c r="J793" s="2" t="str">
        <f>CONCATENATE(K791,2)</f>
        <v>32</v>
      </c>
      <c r="K793" s="4">
        <v>1.7434422799975798E-6</v>
      </c>
      <c r="L793" s="4">
        <v>5.0329372601899816E-6</v>
      </c>
      <c r="M793" s="1"/>
      <c r="N793" s="1"/>
      <c r="O793" s="1"/>
      <c r="P793" s="1"/>
      <c r="Q793" s="1"/>
      <c r="R793" s="1"/>
      <c r="S793" s="1"/>
      <c r="T793" s="1"/>
      <c r="U793" s="2">
        <f t="shared" si="591"/>
        <v>18</v>
      </c>
      <c r="V793" s="2">
        <f t="shared" si="592"/>
        <v>210</v>
      </c>
    </row>
    <row r="794" spans="1:22" x14ac:dyDescent="0.3">
      <c r="A794" s="2">
        <f t="shared" si="590"/>
        <v>18211</v>
      </c>
      <c r="B794" s="68" t="s">
        <v>21</v>
      </c>
      <c r="C794" s="68"/>
      <c r="D794" s="68"/>
      <c r="E794" s="68"/>
      <c r="F794" s="68"/>
      <c r="G794" s="69" t="s">
        <v>22</v>
      </c>
      <c r="H794" s="70"/>
      <c r="I794" s="1"/>
      <c r="J794" s="2" t="str">
        <f>CONCATENATE(K791,3)</f>
        <v>33</v>
      </c>
      <c r="K794" s="4">
        <v>0.99999999999696032</v>
      </c>
      <c r="L794" s="4">
        <v>7.1134112236137526E-6</v>
      </c>
      <c r="M794" s="1"/>
      <c r="N794" s="1"/>
      <c r="O794" s="1"/>
      <c r="P794" s="1"/>
      <c r="Q794" s="1"/>
      <c r="R794" s="1"/>
      <c r="S794" s="1"/>
      <c r="T794" s="1"/>
      <c r="U794" s="2">
        <f t="shared" si="591"/>
        <v>18</v>
      </c>
      <c r="V794" s="2">
        <f t="shared" si="592"/>
        <v>211</v>
      </c>
    </row>
    <row r="795" spans="1:22" x14ac:dyDescent="0.3">
      <c r="A795" s="2">
        <f t="shared" si="590"/>
        <v>18212</v>
      </c>
      <c r="B795" s="61" t="s">
        <v>23</v>
      </c>
      <c r="C795" s="61"/>
      <c r="D795" s="61"/>
      <c r="E795" s="61" t="str">
        <f>D789</f>
        <v>M0066/25</v>
      </c>
      <c r="F795" s="61"/>
      <c r="G795" s="4" t="s">
        <v>24</v>
      </c>
      <c r="H795" s="31" t="s">
        <v>156</v>
      </c>
      <c r="I795" s="1"/>
      <c r="J795" s="1"/>
      <c r="K795" s="1">
        <v>4</v>
      </c>
      <c r="L795" s="1">
        <v>4</v>
      </c>
      <c r="M795" s="1">
        <v>4</v>
      </c>
      <c r="N795" s="1"/>
      <c r="O795" s="1"/>
      <c r="P795" s="1"/>
      <c r="Q795" s="1"/>
      <c r="R795" s="1"/>
      <c r="S795" s="1"/>
      <c r="T795" s="1"/>
      <c r="U795" s="2">
        <f t="shared" si="591"/>
        <v>18</v>
      </c>
      <c r="V795" s="2">
        <f t="shared" si="592"/>
        <v>212</v>
      </c>
    </row>
    <row r="796" spans="1:22" ht="15" customHeight="1" x14ac:dyDescent="0.3">
      <c r="A796" s="2">
        <f t="shared" si="590"/>
        <v>18213</v>
      </c>
      <c r="B796" s="59" t="s">
        <v>25</v>
      </c>
      <c r="C796" s="59" t="s">
        <v>26</v>
      </c>
      <c r="D796" s="59" t="s">
        <v>27</v>
      </c>
      <c r="E796" s="59" t="s">
        <v>28</v>
      </c>
      <c r="F796" s="59" t="s">
        <v>29</v>
      </c>
      <c r="G796" s="59" t="s">
        <v>25</v>
      </c>
      <c r="H796" s="59" t="s">
        <v>26</v>
      </c>
      <c r="I796" s="1"/>
      <c r="J796" s="2" t="str">
        <f t="shared" ref="J796" si="600">CONCATENATE(K795,1)</f>
        <v>41</v>
      </c>
      <c r="K796" s="4">
        <f t="array" ref="K796:M798">LINEST(B799:B802,C799:C802^{1,2},TRUE,TRUE)</f>
        <v>3.3572267108935662E-7</v>
      </c>
      <c r="L796" s="4">
        <v>0.99998331292709597</v>
      </c>
      <c r="M796" s="4">
        <v>2.5047429435107014E-5</v>
      </c>
      <c r="N796" s="1"/>
      <c r="O796" s="1"/>
      <c r="P796" s="1"/>
      <c r="Q796" s="1"/>
      <c r="R796" s="1"/>
      <c r="S796" s="1"/>
      <c r="T796" s="1"/>
      <c r="U796" s="2">
        <f t="shared" si="591"/>
        <v>18</v>
      </c>
      <c r="V796" s="2">
        <f t="shared" si="592"/>
        <v>213</v>
      </c>
    </row>
    <row r="797" spans="1:22" x14ac:dyDescent="0.3">
      <c r="A797" s="2">
        <f t="shared" si="590"/>
        <v>18214</v>
      </c>
      <c r="B797" s="60"/>
      <c r="C797" s="60"/>
      <c r="D797" s="60"/>
      <c r="E797" s="60"/>
      <c r="F797" s="60"/>
      <c r="G797" s="60"/>
      <c r="H797" s="60"/>
      <c r="I797" s="1"/>
      <c r="J797" s="2" t="str">
        <f t="shared" ref="J797" si="601">CONCATENATE(K795,2)</f>
        <v>42</v>
      </c>
      <c r="K797" s="4">
        <v>3.7655022617740853E-8</v>
      </c>
      <c r="L797" s="4">
        <v>1.9321889741931522E-6</v>
      </c>
      <c r="M797" s="4">
        <v>5.0365860695230771E-6</v>
      </c>
      <c r="N797" s="1"/>
      <c r="O797" s="1"/>
      <c r="P797" s="1"/>
      <c r="Q797" s="1"/>
      <c r="R797" s="1"/>
      <c r="S797" s="1"/>
      <c r="T797" s="1"/>
      <c r="U797" s="2">
        <f t="shared" si="591"/>
        <v>18</v>
      </c>
      <c r="V797" s="2">
        <f t="shared" si="592"/>
        <v>214</v>
      </c>
    </row>
    <row r="798" spans="1:22" x14ac:dyDescent="0.3">
      <c r="A798" s="2">
        <f t="shared" si="590"/>
        <v>18215</v>
      </c>
      <c r="B798" s="9" t="str">
        <f>CONCATENATE("(",H785,")")</f>
        <v>(g)</v>
      </c>
      <c r="C798" s="9" t="str">
        <f>B798</f>
        <v>(g)</v>
      </c>
      <c r="D798" s="9" t="str">
        <f>C798</f>
        <v>(g)</v>
      </c>
      <c r="E798" s="9"/>
      <c r="F798" s="9"/>
      <c r="G798" s="9" t="str">
        <f>B798</f>
        <v>(g)</v>
      </c>
      <c r="H798" s="9" t="str">
        <f>G798</f>
        <v>(g)</v>
      </c>
      <c r="I798" s="1"/>
      <c r="J798" s="2" t="str">
        <f t="shared" ref="J798" si="602">CONCATENATE(K795,3)</f>
        <v>43</v>
      </c>
      <c r="K798" s="4">
        <v>0.99999999999997136</v>
      </c>
      <c r="L798" s="4">
        <v>7.1181444345480571E-6</v>
      </c>
      <c r="M798" s="4" t="e">
        <v>#N/A</v>
      </c>
      <c r="N798" s="1"/>
      <c r="O798" s="1"/>
      <c r="P798" s="1"/>
      <c r="Q798" s="1"/>
      <c r="R798" s="1"/>
      <c r="S798" s="1"/>
      <c r="T798" s="1"/>
      <c r="U798" s="2">
        <f t="shared" si="591"/>
        <v>18</v>
      </c>
      <c r="V798" s="2">
        <f t="shared" si="592"/>
        <v>215</v>
      </c>
    </row>
    <row r="799" spans="1:22" x14ac:dyDescent="0.3">
      <c r="A799" s="2">
        <f t="shared" si="590"/>
        <v>18216</v>
      </c>
      <c r="B799" s="10">
        <v>1E-3</v>
      </c>
      <c r="C799" s="10">
        <v>9.7999999999999997E-4</v>
      </c>
      <c r="D799" s="10">
        <v>2.0000000000000002E-5</v>
      </c>
      <c r="E799" s="10">
        <v>2</v>
      </c>
      <c r="F799" s="10">
        <v>1000000</v>
      </c>
      <c r="G799" s="8">
        <v>1E-3</v>
      </c>
      <c r="H799" s="8">
        <v>1E-3</v>
      </c>
      <c r="I799" s="1"/>
      <c r="J799" s="1"/>
      <c r="K799" s="1">
        <v>5</v>
      </c>
      <c r="L799" s="1">
        <v>5</v>
      </c>
      <c r="M799" s="1">
        <v>5</v>
      </c>
      <c r="N799" s="1">
        <v>5</v>
      </c>
      <c r="O799" s="1"/>
      <c r="P799" s="1"/>
      <c r="Q799" s="1"/>
      <c r="R799" s="1"/>
      <c r="S799" s="1"/>
      <c r="T799" s="1"/>
      <c r="U799" s="2">
        <f t="shared" si="591"/>
        <v>18</v>
      </c>
      <c r="V799" s="2">
        <f t="shared" si="592"/>
        <v>216</v>
      </c>
    </row>
    <row r="800" spans="1:22" x14ac:dyDescent="0.3">
      <c r="A800" s="2">
        <f t="shared" si="590"/>
        <v>18217</v>
      </c>
      <c r="B800" s="10">
        <v>5.0000000000000001E-3</v>
      </c>
      <c r="C800" s="10">
        <v>4.9699999999999996E-3</v>
      </c>
      <c r="D800" s="10">
        <v>2.0000000000000002E-5</v>
      </c>
      <c r="E800" s="10">
        <v>2</v>
      </c>
      <c r="F800" s="10">
        <v>1000000</v>
      </c>
      <c r="G800" s="8">
        <v>5.0000000000000001E-3</v>
      </c>
      <c r="H800" s="8">
        <v>4.9800000000000001E-3</v>
      </c>
      <c r="I800" s="1"/>
      <c r="J800" s="2" t="str">
        <f t="shared" ref="J800" si="603">CONCATENATE(K799,1)</f>
        <v>51</v>
      </c>
      <c r="K800" s="4">
        <f t="array" ref="K800:N802">LINEST(B799:B803,C799:C803^{1,2,3},TRUE,TRUE)</f>
        <v>-3.3970712308922152E-9</v>
      </c>
      <c r="L800" s="4">
        <v>5.2257028361224544E-7</v>
      </c>
      <c r="M800" s="4">
        <v>0.99998246317058004</v>
      </c>
      <c r="N800" s="4">
        <v>2.5049853862643429E-5</v>
      </c>
      <c r="O800" s="1"/>
      <c r="P800" s="1"/>
      <c r="Q800" s="1"/>
      <c r="R800" s="1"/>
      <c r="S800" s="1"/>
      <c r="T800" s="1"/>
      <c r="U800" s="2">
        <f t="shared" si="591"/>
        <v>18</v>
      </c>
      <c r="V800" s="2">
        <f t="shared" si="592"/>
        <v>217</v>
      </c>
    </row>
    <row r="801" spans="1:22" x14ac:dyDescent="0.3">
      <c r="A801" s="2">
        <f t="shared" si="590"/>
        <v>18218</v>
      </c>
      <c r="B801" s="10">
        <v>5</v>
      </c>
      <c r="C801" s="10">
        <v>5.0000499999999999</v>
      </c>
      <c r="D801" s="10">
        <v>3.0000000000000001E-5</v>
      </c>
      <c r="E801" s="10">
        <v>2</v>
      </c>
      <c r="F801" s="10">
        <v>1000000</v>
      </c>
      <c r="G801" s="8">
        <v>5</v>
      </c>
      <c r="H801" s="8">
        <v>5.00007</v>
      </c>
      <c r="I801" s="1"/>
      <c r="J801" s="2" t="str">
        <f t="shared" ref="J801" si="604">CONCATENATE(K799,2)</f>
        <v>52</v>
      </c>
      <c r="K801" s="4">
        <v>3.9490566006215811E-10</v>
      </c>
      <c r="L801" s="4">
        <v>5.9334390980626572E-8</v>
      </c>
      <c r="M801" s="4">
        <v>2.0302592746573761E-6</v>
      </c>
      <c r="N801" s="4">
        <v>5.0384304243834757E-6</v>
      </c>
      <c r="O801" s="1"/>
      <c r="P801" s="1"/>
      <c r="Q801" s="1"/>
      <c r="R801" s="1"/>
      <c r="S801" s="1"/>
      <c r="T801" s="1"/>
      <c r="U801" s="2">
        <f t="shared" si="591"/>
        <v>18</v>
      </c>
      <c r="V801" s="2">
        <f t="shared" si="592"/>
        <v>218</v>
      </c>
    </row>
    <row r="802" spans="1:22" x14ac:dyDescent="0.3">
      <c r="A802" s="2">
        <f t="shared" si="590"/>
        <v>18219</v>
      </c>
      <c r="B802" s="10">
        <v>50</v>
      </c>
      <c r="C802" s="10">
        <v>49.999969999999998</v>
      </c>
      <c r="D802" s="10">
        <v>1.4999999999999999E-4</v>
      </c>
      <c r="E802" s="10">
        <v>2</v>
      </c>
      <c r="F802" s="10">
        <v>1000000</v>
      </c>
      <c r="G802" s="8">
        <v>50</v>
      </c>
      <c r="H802" s="8">
        <v>50.00009</v>
      </c>
      <c r="I802" s="1"/>
      <c r="J802" s="2" t="str">
        <f t="shared" ref="J802" si="605">CONCATENATE(K799,3)</f>
        <v>53</v>
      </c>
      <c r="K802" s="4">
        <v>0.99999999999999345</v>
      </c>
      <c r="L802" s="4">
        <v>7.1205389854389622E-6</v>
      </c>
      <c r="M802" s="4" t="e">
        <v>#N/A</v>
      </c>
      <c r="N802" s="4" t="e">
        <v>#N/A</v>
      </c>
      <c r="O802" s="1"/>
      <c r="P802" s="1"/>
      <c r="Q802" s="1"/>
      <c r="R802" s="1"/>
      <c r="S802" s="1"/>
      <c r="T802" s="1"/>
      <c r="U802" s="2">
        <f t="shared" si="591"/>
        <v>18</v>
      </c>
      <c r="V802" s="2">
        <f t="shared" si="592"/>
        <v>219</v>
      </c>
    </row>
    <row r="803" spans="1:22" x14ac:dyDescent="0.3">
      <c r="A803" s="2">
        <f t="shared" si="590"/>
        <v>18220</v>
      </c>
      <c r="B803" s="10">
        <v>100</v>
      </c>
      <c r="C803" s="10">
        <v>99.999899999999997</v>
      </c>
      <c r="D803" s="10">
        <v>4.0000000000000002E-4</v>
      </c>
      <c r="E803" s="10">
        <v>2</v>
      </c>
      <c r="F803" s="10">
        <v>1000000</v>
      </c>
      <c r="G803" s="8">
        <v>100</v>
      </c>
      <c r="H803" s="8">
        <v>99.999899999999997</v>
      </c>
      <c r="I803" s="1"/>
      <c r="J803" s="1"/>
      <c r="K803" s="1">
        <v>6</v>
      </c>
      <c r="L803" s="1">
        <v>6</v>
      </c>
      <c r="M803" s="1">
        <v>6</v>
      </c>
      <c r="N803" s="1">
        <v>6</v>
      </c>
      <c r="O803" s="1">
        <v>6</v>
      </c>
      <c r="P803" s="1"/>
      <c r="Q803" s="1"/>
      <c r="R803" s="1"/>
      <c r="S803" s="1"/>
      <c r="T803" s="1"/>
      <c r="U803" s="2">
        <f t="shared" si="591"/>
        <v>18</v>
      </c>
      <c r="V803" s="2">
        <f t="shared" si="592"/>
        <v>220</v>
      </c>
    </row>
    <row r="804" spans="1:22" x14ac:dyDescent="0.3">
      <c r="A804" s="2">
        <f t="shared" si="590"/>
        <v>18221</v>
      </c>
      <c r="B804" s="10">
        <v>150</v>
      </c>
      <c r="C804" s="10">
        <v>149.99959999999999</v>
      </c>
      <c r="D804" s="10">
        <v>5.0000000000000001E-4</v>
      </c>
      <c r="E804" s="10">
        <v>2</v>
      </c>
      <c r="F804" s="10">
        <v>1000000</v>
      </c>
      <c r="G804" s="8">
        <v>150</v>
      </c>
      <c r="H804" s="8">
        <v>150</v>
      </c>
      <c r="I804" s="1"/>
      <c r="J804" s="2" t="str">
        <f t="shared" ref="J804" si="606">CONCATENATE(K803,1)</f>
        <v>61</v>
      </c>
      <c r="K804" s="4">
        <f t="array" ref="K804:O806">LINEST(B799:B804,C799:C804^{1,2,3,4},TRUE,TRUE)</f>
        <v>2.4945380093700687E-11</v>
      </c>
      <c r="L804" s="4">
        <v>-7.2636665531049152E-9</v>
      </c>
      <c r="M804" s="4">
        <v>6.6601608045604291E-7</v>
      </c>
      <c r="N804" s="4">
        <v>0.99998183915821359</v>
      </c>
      <c r="O804" s="4">
        <v>2.505164092116716E-5</v>
      </c>
      <c r="P804" s="1"/>
      <c r="Q804" s="1"/>
      <c r="R804" s="1"/>
      <c r="S804" s="1"/>
      <c r="T804" s="1"/>
      <c r="U804" s="2">
        <f t="shared" si="591"/>
        <v>18</v>
      </c>
      <c r="V804" s="2">
        <f t="shared" si="592"/>
        <v>221</v>
      </c>
    </row>
    <row r="805" spans="1:22" x14ac:dyDescent="0.3">
      <c r="A805" s="2">
        <f t="shared" si="590"/>
        <v>18222</v>
      </c>
      <c r="B805" s="10">
        <v>220</v>
      </c>
      <c r="C805" s="10">
        <v>219.9992</v>
      </c>
      <c r="D805" s="10">
        <v>6.9999999999999999E-4</v>
      </c>
      <c r="E805" s="10">
        <v>2</v>
      </c>
      <c r="F805" s="10">
        <v>1000000</v>
      </c>
      <c r="G805" s="8">
        <v>220</v>
      </c>
      <c r="H805" s="8">
        <v>219.99940000000001</v>
      </c>
      <c r="I805" s="1"/>
      <c r="J805" s="2" t="str">
        <f t="shared" ref="J805" si="607">CONCATENATE(K803,2)</f>
        <v>62</v>
      </c>
      <c r="K805" s="4">
        <v>2.7546676305313081E-12</v>
      </c>
      <c r="L805" s="4">
        <v>8.2085295523498572E-10</v>
      </c>
      <c r="M805" s="4">
        <v>7.5033061786382269E-8</v>
      </c>
      <c r="N805" s="4">
        <v>2.0975082680863552E-6</v>
      </c>
      <c r="O805" s="4">
        <v>5.0397746855439552E-6</v>
      </c>
      <c r="P805" s="1"/>
      <c r="Q805" s="1"/>
      <c r="R805" s="1"/>
      <c r="S805" s="1"/>
      <c r="T805" s="1"/>
      <c r="U805" s="2">
        <f t="shared" si="591"/>
        <v>18</v>
      </c>
      <c r="V805" s="2">
        <f t="shared" si="592"/>
        <v>222</v>
      </c>
    </row>
    <row r="806" spans="1:22" x14ac:dyDescent="0.3">
      <c r="A806" s="2">
        <f t="shared" si="590"/>
        <v>18223</v>
      </c>
      <c r="B806" s="10"/>
      <c r="C806" s="10"/>
      <c r="D806" s="10"/>
      <c r="E806" s="10"/>
      <c r="F806" s="10"/>
      <c r="G806" s="8"/>
      <c r="H806" s="8"/>
      <c r="I806" s="1"/>
      <c r="J806" s="2" t="str">
        <f t="shared" ref="J806" si="608">CONCATENATE(K803,3)</f>
        <v>63</v>
      </c>
      <c r="K806" s="4">
        <v>0.99999999999999734</v>
      </c>
      <c r="L806" s="4">
        <v>7.1222973387907729E-6</v>
      </c>
      <c r="M806" s="4" t="e">
        <v>#N/A</v>
      </c>
      <c r="N806" s="4" t="e">
        <v>#N/A</v>
      </c>
      <c r="O806" s="4" t="e">
        <v>#N/A</v>
      </c>
      <c r="P806" s="1"/>
      <c r="Q806" s="1"/>
      <c r="R806" s="1"/>
      <c r="S806" s="1"/>
      <c r="T806" s="1"/>
      <c r="U806" s="2">
        <f t="shared" si="591"/>
        <v>18</v>
      </c>
      <c r="V806" s="2">
        <f t="shared" si="592"/>
        <v>223</v>
      </c>
    </row>
    <row r="807" spans="1:22" x14ac:dyDescent="0.3">
      <c r="A807" s="2">
        <f t="shared" si="590"/>
        <v>18224</v>
      </c>
      <c r="B807" s="10"/>
      <c r="C807" s="10"/>
      <c r="D807" s="10"/>
      <c r="E807" s="10"/>
      <c r="F807" s="10"/>
      <c r="G807" s="8"/>
      <c r="H807" s="8"/>
      <c r="I807" s="1"/>
      <c r="J807" s="1"/>
      <c r="K807" s="1">
        <v>7</v>
      </c>
      <c r="L807" s="1">
        <v>7</v>
      </c>
      <c r="M807" s="1">
        <v>7</v>
      </c>
      <c r="N807" s="1">
        <v>7</v>
      </c>
      <c r="O807" s="1">
        <v>7</v>
      </c>
      <c r="P807" s="1">
        <v>7</v>
      </c>
      <c r="Q807" s="1"/>
      <c r="R807" s="1"/>
      <c r="S807" s="1"/>
      <c r="T807" s="1"/>
      <c r="U807" s="2">
        <f t="shared" si="591"/>
        <v>18</v>
      </c>
      <c r="V807" s="2">
        <f t="shared" si="592"/>
        <v>224</v>
      </c>
    </row>
    <row r="808" spans="1:22" x14ac:dyDescent="0.3">
      <c r="A808" s="2">
        <f t="shared" si="590"/>
        <v>18225</v>
      </c>
      <c r="B808" s="10"/>
      <c r="C808" s="10"/>
      <c r="D808" s="10"/>
      <c r="E808" s="10"/>
      <c r="F808" s="10"/>
      <c r="G808" s="8"/>
      <c r="H808" s="8"/>
      <c r="I808" s="1"/>
      <c r="J808" s="2" t="str">
        <f t="shared" ref="J808" si="609">CONCATENATE(K807,1)</f>
        <v>71</v>
      </c>
      <c r="K808" s="4">
        <f t="array" ref="K808:P810">LINEST(B799:B805,C799:C805^{1,2,3,4,5},TRUE,TRUE)</f>
        <v>-1.2669366368724902E-13</v>
      </c>
      <c r="L808" s="4">
        <v>6.3587209678476281E-11</v>
      </c>
      <c r="M808" s="4">
        <v>-1.0937872269495578E-8</v>
      </c>
      <c r="N808" s="4">
        <v>7.7846591125403296E-7</v>
      </c>
      <c r="O808" s="4">
        <v>0.99998136375868762</v>
      </c>
      <c r="P808" s="4">
        <v>2.5053007670854111E-5</v>
      </c>
      <c r="Q808" s="1"/>
      <c r="R808" s="1"/>
      <c r="S808" s="1"/>
      <c r="T808" s="1"/>
      <c r="U808" s="2">
        <f t="shared" si="591"/>
        <v>18</v>
      </c>
      <c r="V808" s="2">
        <f t="shared" si="592"/>
        <v>225</v>
      </c>
    </row>
    <row r="809" spans="1:22" x14ac:dyDescent="0.3">
      <c r="A809" s="2">
        <f t="shared" si="590"/>
        <v>18226</v>
      </c>
      <c r="B809" s="61" t="s">
        <v>44</v>
      </c>
      <c r="C809" s="61"/>
      <c r="D809" s="61"/>
      <c r="E809" s="61"/>
      <c r="F809" s="61"/>
      <c r="G809" s="61"/>
      <c r="H809" s="61"/>
      <c r="I809" s="1"/>
      <c r="J809" s="2" t="str">
        <f t="shared" ref="J809" si="610">CONCATENATE(K807,2)</f>
        <v>72</v>
      </c>
      <c r="K809" s="4">
        <v>1.3143886788391257E-14</v>
      </c>
      <c r="L809" s="4">
        <v>6.7536783165401353E-12</v>
      </c>
      <c r="M809" s="4">
        <v>1.1987721442979097E-9</v>
      </c>
      <c r="N809" s="4">
        <v>8.6440157788775304E-8</v>
      </c>
      <c r="O809" s="4">
        <v>2.1443817938179561E-6</v>
      </c>
      <c r="P809" s="4">
        <v>5.04079075340385E-6</v>
      </c>
      <c r="Q809" s="1"/>
      <c r="R809" s="1"/>
      <c r="S809" s="1"/>
      <c r="T809" s="1"/>
      <c r="U809" s="2">
        <f t="shared" si="591"/>
        <v>18</v>
      </c>
      <c r="V809" s="2">
        <f t="shared" si="592"/>
        <v>226</v>
      </c>
    </row>
    <row r="810" spans="1:22" x14ac:dyDescent="0.3">
      <c r="A810" s="2">
        <f t="shared" si="590"/>
        <v>18227</v>
      </c>
      <c r="B810" s="4" t="s">
        <v>45</v>
      </c>
      <c r="C810" s="4" t="s">
        <v>46</v>
      </c>
      <c r="D810" s="4" t="s">
        <v>47</v>
      </c>
      <c r="E810" s="4" t="s">
        <v>48</v>
      </c>
      <c r="F810" s="4" t="s">
        <v>49</v>
      </c>
      <c r="G810" s="4" t="s">
        <v>50</v>
      </c>
      <c r="H810" s="4" t="s">
        <v>46</v>
      </c>
      <c r="I810" s="1"/>
      <c r="J810" s="2" t="str">
        <f t="shared" ref="J810" si="611">CONCATENATE(K807,3)</f>
        <v>73</v>
      </c>
      <c r="K810" s="4">
        <v>0.99999999999999889</v>
      </c>
      <c r="L810" s="4">
        <v>7.1236368177629572E-6</v>
      </c>
      <c r="M810" s="4" t="e">
        <v>#N/A</v>
      </c>
      <c r="N810" s="4" t="e">
        <v>#N/A</v>
      </c>
      <c r="O810" s="4" t="e">
        <v>#N/A</v>
      </c>
      <c r="P810" s="4" t="e">
        <v>#N/A</v>
      </c>
      <c r="Q810" s="1"/>
      <c r="R810" s="1"/>
      <c r="S810" s="1"/>
      <c r="T810" s="1"/>
      <c r="U810" s="2">
        <f t="shared" si="591"/>
        <v>18</v>
      </c>
      <c r="V810" s="2">
        <f t="shared" si="592"/>
        <v>227</v>
      </c>
    </row>
    <row r="811" spans="1:22" x14ac:dyDescent="0.3">
      <c r="A811" s="2">
        <f t="shared" si="590"/>
        <v>18228</v>
      </c>
      <c r="B811" s="10">
        <v>70</v>
      </c>
      <c r="C811" s="10">
        <v>69.999970000000005</v>
      </c>
      <c r="D811" s="10">
        <v>69.999930000000006</v>
      </c>
      <c r="E811" s="10">
        <v>69.999979999999994</v>
      </c>
      <c r="F811" s="10">
        <v>69.999939999999995</v>
      </c>
      <c r="G811" s="10">
        <v>70.000020000000006</v>
      </c>
      <c r="H811" s="10">
        <v>69.999970000000005</v>
      </c>
      <c r="I811" s="1"/>
      <c r="J811" s="1"/>
      <c r="K811" s="1">
        <v>8</v>
      </c>
      <c r="L811" s="1">
        <v>8</v>
      </c>
      <c r="M811" s="1">
        <v>8</v>
      </c>
      <c r="N811" s="1">
        <v>8</v>
      </c>
      <c r="O811" s="1">
        <v>8</v>
      </c>
      <c r="P811" s="1">
        <v>8</v>
      </c>
      <c r="Q811" s="1">
        <v>8</v>
      </c>
      <c r="R811" s="1"/>
      <c r="S811" s="1"/>
      <c r="T811" s="1"/>
      <c r="U811" s="2">
        <f t="shared" si="591"/>
        <v>18</v>
      </c>
      <c r="V811" s="2">
        <f t="shared" si="592"/>
        <v>228</v>
      </c>
    </row>
    <row r="812" spans="1:22" x14ac:dyDescent="0.3">
      <c r="A812" s="2">
        <f t="shared" si="590"/>
        <v>18229</v>
      </c>
      <c r="I812" s="1"/>
      <c r="J812" s="2" t="str">
        <f t="shared" ref="J812" si="612">CONCATENATE(K811,1)</f>
        <v>81</v>
      </c>
      <c r="K812" s="4" t="e">
        <f t="array" ref="K812:Q814">LINEST(B799:B806,C799:C806^{1,2,3,4,5,6},TRUE,TRUE)</f>
        <v>#VALUE!</v>
      </c>
      <c r="L812" s="4" t="e">
        <v>#VALUE!</v>
      </c>
      <c r="M812" s="4" t="e">
        <v>#VALUE!</v>
      </c>
      <c r="N812" s="4" t="e">
        <v>#VALUE!</v>
      </c>
      <c r="O812" s="4" t="e">
        <v>#VALUE!</v>
      </c>
      <c r="P812" s="4" t="e">
        <v>#VALUE!</v>
      </c>
      <c r="Q812" s="4" t="e">
        <v>#VALUE!</v>
      </c>
      <c r="R812" s="1"/>
      <c r="S812" s="1"/>
      <c r="T812" s="1"/>
      <c r="U812" s="2">
        <f t="shared" si="591"/>
        <v>18</v>
      </c>
      <c r="V812" s="2">
        <f t="shared" si="592"/>
        <v>229</v>
      </c>
    </row>
    <row r="813" spans="1:22" x14ac:dyDescent="0.3">
      <c r="A813" s="2">
        <f t="shared" si="590"/>
        <v>18230</v>
      </c>
      <c r="B813" s="58" t="s">
        <v>30</v>
      </c>
      <c r="C813" s="58"/>
      <c r="D813" s="58"/>
      <c r="E813" s="58"/>
      <c r="F813" s="58"/>
      <c r="G813" s="58"/>
      <c r="H813" s="58"/>
      <c r="I813" s="1"/>
      <c r="J813" s="2" t="str">
        <f t="shared" ref="J813" si="613">CONCATENATE(K811,2)</f>
        <v>82</v>
      </c>
      <c r="K813" s="4" t="e">
        <v>#VALUE!</v>
      </c>
      <c r="L813" s="4" t="e">
        <v>#VALUE!</v>
      </c>
      <c r="M813" s="4" t="e">
        <v>#VALUE!</v>
      </c>
      <c r="N813" s="4" t="e">
        <v>#VALUE!</v>
      </c>
      <c r="O813" s="4" t="e">
        <v>#VALUE!</v>
      </c>
      <c r="P813" s="4" t="e">
        <v>#VALUE!</v>
      </c>
      <c r="Q813" s="4" t="e">
        <v>#VALUE!</v>
      </c>
      <c r="R813" s="1"/>
      <c r="S813" s="1"/>
      <c r="T813" s="1"/>
      <c r="U813" s="2">
        <f t="shared" si="591"/>
        <v>18</v>
      </c>
      <c r="V813" s="2">
        <f t="shared" si="592"/>
        <v>230</v>
      </c>
    </row>
    <row r="814" spans="1:22" x14ac:dyDescent="0.3">
      <c r="A814" s="2">
        <f t="shared" si="590"/>
        <v>18231</v>
      </c>
      <c r="B814" s="62"/>
      <c r="C814" s="62"/>
      <c r="D814" s="62"/>
      <c r="E814" s="62"/>
      <c r="F814" s="62"/>
      <c r="G814" s="62"/>
      <c r="H814" s="62"/>
      <c r="I814" s="1"/>
      <c r="J814" s="2" t="str">
        <f t="shared" ref="J814" si="614">CONCATENATE(K811,3)</f>
        <v>83</v>
      </c>
      <c r="K814" s="4" t="e">
        <v>#VALUE!</v>
      </c>
      <c r="L814" s="4" t="e">
        <v>#VALUE!</v>
      </c>
      <c r="M814" s="4" t="e">
        <v>#VALUE!</v>
      </c>
      <c r="N814" s="4" t="e">
        <v>#VALUE!</v>
      </c>
      <c r="O814" s="4" t="e">
        <v>#VALUE!</v>
      </c>
      <c r="P814" s="4" t="e">
        <v>#VALUE!</v>
      </c>
      <c r="Q814" s="4" t="e">
        <v>#VALUE!</v>
      </c>
      <c r="R814" s="1"/>
      <c r="S814" s="1"/>
      <c r="T814" s="1"/>
      <c r="U814" s="2">
        <f t="shared" si="591"/>
        <v>18</v>
      </c>
      <c r="V814" s="2">
        <f t="shared" si="592"/>
        <v>231</v>
      </c>
    </row>
    <row r="815" spans="1:22" x14ac:dyDescent="0.3">
      <c r="A815" s="2">
        <f t="shared" si="590"/>
        <v>18232</v>
      </c>
      <c r="B815" s="62"/>
      <c r="C815" s="62"/>
      <c r="D815" s="62"/>
      <c r="E815" s="62"/>
      <c r="F815" s="62"/>
      <c r="G815" s="62"/>
      <c r="H815" s="62"/>
      <c r="I815" s="1"/>
      <c r="J815" s="1"/>
      <c r="K815" s="1">
        <v>9</v>
      </c>
      <c r="L815" s="1">
        <v>9</v>
      </c>
      <c r="M815" s="1">
        <v>9</v>
      </c>
      <c r="N815" s="1">
        <v>9</v>
      </c>
      <c r="O815" s="1">
        <v>9</v>
      </c>
      <c r="P815" s="1">
        <v>9</v>
      </c>
      <c r="Q815" s="1">
        <v>9</v>
      </c>
      <c r="R815" s="1">
        <v>9</v>
      </c>
      <c r="S815" s="1"/>
      <c r="T815" s="1"/>
      <c r="U815" s="2">
        <f t="shared" si="591"/>
        <v>18</v>
      </c>
      <c r="V815" s="2">
        <f t="shared" si="592"/>
        <v>232</v>
      </c>
    </row>
    <row r="816" spans="1:22" x14ac:dyDescent="0.3">
      <c r="A816" s="2">
        <f t="shared" si="590"/>
        <v>18233</v>
      </c>
      <c r="B816" s="1"/>
      <c r="C816" s="1"/>
      <c r="D816" s="1"/>
      <c r="E816" s="1"/>
      <c r="F816" s="1"/>
      <c r="G816" s="1"/>
      <c r="H816" s="1"/>
      <c r="I816" s="1"/>
      <c r="J816" s="2" t="str">
        <f t="shared" ref="J816" si="615">CONCATENATE(K815,1)</f>
        <v>91</v>
      </c>
      <c r="K816" s="4" t="e">
        <f t="array" ref="K816:R818">LINEST(B799:B807,C799:C807^{1,2,3,4,5,6,7},TRUE,TRUE)</f>
        <v>#VALUE!</v>
      </c>
      <c r="L816" s="4" t="e">
        <v>#VALUE!</v>
      </c>
      <c r="M816" s="4" t="e">
        <v>#VALUE!</v>
      </c>
      <c r="N816" s="4" t="e">
        <v>#VALUE!</v>
      </c>
      <c r="O816" s="4" t="e">
        <v>#VALUE!</v>
      </c>
      <c r="P816" s="4" t="e">
        <v>#VALUE!</v>
      </c>
      <c r="Q816" s="4" t="e">
        <v>#VALUE!</v>
      </c>
      <c r="R816" s="4" t="e">
        <v>#VALUE!</v>
      </c>
      <c r="S816" s="1"/>
      <c r="T816" s="1"/>
      <c r="U816" s="2">
        <f t="shared" si="591"/>
        <v>18</v>
      </c>
      <c r="V816" s="2">
        <f t="shared" si="592"/>
        <v>233</v>
      </c>
    </row>
    <row r="817" spans="1:22" x14ac:dyDescent="0.3">
      <c r="A817" s="2">
        <f t="shared" si="590"/>
        <v>18234</v>
      </c>
      <c r="B817" s="5" t="s">
        <v>31</v>
      </c>
      <c r="C817" s="5" t="s">
        <v>32</v>
      </c>
      <c r="D817" s="5" t="s">
        <v>33</v>
      </c>
      <c r="E817" s="4" t="s">
        <v>34</v>
      </c>
      <c r="F817" s="57" t="s">
        <v>35</v>
      </c>
      <c r="G817" s="58"/>
      <c r="H817" s="58"/>
      <c r="I817" s="1"/>
      <c r="J817" s="2" t="str">
        <f t="shared" ref="J817" si="616">CONCATENATE(K815,2)</f>
        <v>92</v>
      </c>
      <c r="K817" s="4" t="e">
        <v>#VALUE!</v>
      </c>
      <c r="L817" s="4" t="e">
        <v>#VALUE!</v>
      </c>
      <c r="M817" s="4" t="e">
        <v>#VALUE!</v>
      </c>
      <c r="N817" s="4" t="e">
        <v>#VALUE!</v>
      </c>
      <c r="O817" s="4" t="e">
        <v>#VALUE!</v>
      </c>
      <c r="P817" s="4" t="e">
        <v>#VALUE!</v>
      </c>
      <c r="Q817" s="4" t="e">
        <v>#VALUE!</v>
      </c>
      <c r="R817" s="4" t="e">
        <v>#VALUE!</v>
      </c>
      <c r="S817" s="1"/>
      <c r="T817" s="1"/>
      <c r="U817" s="2">
        <f t="shared" si="591"/>
        <v>18</v>
      </c>
      <c r="V817" s="2">
        <f t="shared" si="592"/>
        <v>234</v>
      </c>
    </row>
    <row r="818" spans="1:22" x14ac:dyDescent="0.3">
      <c r="A818" s="2">
        <f t="shared" si="590"/>
        <v>18235</v>
      </c>
      <c r="B818" s="5">
        <f t="shared" ref="B818:B827" si="617">C799-B799</f>
        <v>-2.0000000000000052E-5</v>
      </c>
      <c r="C818" s="5">
        <f t="shared" ref="C818:C827" si="618">H799-G799</f>
        <v>0</v>
      </c>
      <c r="D818" s="5">
        <f>C818-B818</f>
        <v>2.0000000000000052E-5</v>
      </c>
      <c r="E818" s="4">
        <f t="shared" ref="E818:E827" si="619">D799</f>
        <v>2.0000000000000002E-5</v>
      </c>
      <c r="F818" s="11">
        <f>IF(D786="","",MAX(G818,H818))</f>
        <v>4.0000000001327862E-4</v>
      </c>
      <c r="G818" s="5">
        <f>ABS(MIN(D818:D827))</f>
        <v>0</v>
      </c>
      <c r="H818" s="5">
        <f>ABS(MAX(D818:D827))</f>
        <v>4.0000000001327862E-4</v>
      </c>
      <c r="I818" s="1"/>
      <c r="J818" s="2" t="str">
        <f t="shared" ref="J818" si="620">CONCATENATE(K815,3)</f>
        <v>93</v>
      </c>
      <c r="K818" s="4" t="e">
        <v>#VALUE!</v>
      </c>
      <c r="L818" s="4" t="e">
        <v>#VALUE!</v>
      </c>
      <c r="M818" s="4" t="e">
        <v>#VALUE!</v>
      </c>
      <c r="N818" s="4" t="e">
        <v>#VALUE!</v>
      </c>
      <c r="O818" s="4" t="e">
        <v>#VALUE!</v>
      </c>
      <c r="P818" s="4" t="e">
        <v>#VALUE!</v>
      </c>
      <c r="Q818" s="4" t="e">
        <v>#VALUE!</v>
      </c>
      <c r="R818" s="4" t="e">
        <v>#VALUE!</v>
      </c>
      <c r="S818" s="1"/>
      <c r="T818" s="1"/>
      <c r="U818" s="2">
        <f t="shared" si="591"/>
        <v>18</v>
      </c>
      <c r="V818" s="2">
        <f t="shared" si="592"/>
        <v>235</v>
      </c>
    </row>
    <row r="819" spans="1:22" x14ac:dyDescent="0.3">
      <c r="A819" s="2">
        <f t="shared" si="590"/>
        <v>18236</v>
      </c>
      <c r="B819" s="5">
        <f t="shared" si="617"/>
        <v>-3.0000000000000512E-5</v>
      </c>
      <c r="C819" s="5">
        <f t="shared" si="618"/>
        <v>-2.0000000000000052E-5</v>
      </c>
      <c r="D819" s="5">
        <f t="shared" ref="D819:D827" si="621">C819-B819</f>
        <v>1.000000000000046E-5</v>
      </c>
      <c r="E819" s="4">
        <f t="shared" si="619"/>
        <v>2.0000000000000002E-5</v>
      </c>
      <c r="F819" s="57" t="s">
        <v>36</v>
      </c>
      <c r="G819" s="58"/>
      <c r="H819" s="58"/>
      <c r="I819" s="1"/>
      <c r="J819" s="1"/>
      <c r="K819" s="1">
        <v>10</v>
      </c>
      <c r="L819" s="1">
        <v>10</v>
      </c>
      <c r="M819" s="1">
        <v>10</v>
      </c>
      <c r="N819" s="1">
        <v>10</v>
      </c>
      <c r="O819" s="1">
        <v>10</v>
      </c>
      <c r="P819" s="1">
        <v>10</v>
      </c>
      <c r="Q819" s="1">
        <v>10</v>
      </c>
      <c r="R819" s="1">
        <v>10</v>
      </c>
      <c r="S819" s="1">
        <v>10</v>
      </c>
      <c r="T819" s="1"/>
      <c r="U819" s="2">
        <f t="shared" si="591"/>
        <v>18</v>
      </c>
      <c r="V819" s="2">
        <f t="shared" si="592"/>
        <v>236</v>
      </c>
    </row>
    <row r="820" spans="1:22" x14ac:dyDescent="0.3">
      <c r="A820" s="2">
        <f t="shared" si="590"/>
        <v>18237</v>
      </c>
      <c r="B820" s="5">
        <f t="shared" si="617"/>
        <v>4.9999999999883471E-5</v>
      </c>
      <c r="C820" s="5">
        <f t="shared" si="618"/>
        <v>7.0000000000014495E-5</v>
      </c>
      <c r="D820" s="5">
        <f t="shared" si="621"/>
        <v>2.0000000000131024E-5</v>
      </c>
      <c r="E820" s="4">
        <f t="shared" si="619"/>
        <v>3.0000000000000001E-5</v>
      </c>
      <c r="F820" s="11">
        <f>IF(D786="","",MAX(G820,H820))</f>
        <v>7.9999999999813554E-4</v>
      </c>
      <c r="G820" s="5">
        <f>ABS(MIN(B818:B827))</f>
        <v>7.9999999999813554E-4</v>
      </c>
      <c r="H820" s="5">
        <f>ABS(MAX(B818:B827))</f>
        <v>4.9999999999883471E-5</v>
      </c>
      <c r="I820" s="1"/>
      <c r="J820" s="2" t="str">
        <f t="shared" ref="J820" si="622">CONCATENATE(K819,1)</f>
        <v>101</v>
      </c>
      <c r="K820" s="4" t="e">
        <f t="array" ref="K820:S822">LINEST(B799:B808,C799:C808^{1,2,3,4,5,6,7,8},TRUE,TRUE)</f>
        <v>#VALUE!</v>
      </c>
      <c r="L820" s="4" t="e">
        <v>#VALUE!</v>
      </c>
      <c r="M820" s="4" t="e">
        <v>#VALUE!</v>
      </c>
      <c r="N820" s="4" t="e">
        <v>#VALUE!</v>
      </c>
      <c r="O820" s="4" t="e">
        <v>#VALUE!</v>
      </c>
      <c r="P820" s="4" t="e">
        <v>#VALUE!</v>
      </c>
      <c r="Q820" s="4" t="e">
        <v>#VALUE!</v>
      </c>
      <c r="R820" s="4" t="e">
        <v>#VALUE!</v>
      </c>
      <c r="S820" s="4" t="e">
        <v>#VALUE!</v>
      </c>
      <c r="T820" s="1"/>
      <c r="U820" s="2">
        <f t="shared" si="591"/>
        <v>18</v>
      </c>
      <c r="V820" s="2">
        <f t="shared" si="592"/>
        <v>237</v>
      </c>
    </row>
    <row r="821" spans="1:22" x14ac:dyDescent="0.3">
      <c r="A821" s="2">
        <f t="shared" si="590"/>
        <v>18238</v>
      </c>
      <c r="B821" s="5">
        <f t="shared" si="617"/>
        <v>-3.0000000002416982E-5</v>
      </c>
      <c r="C821" s="5">
        <f t="shared" si="618"/>
        <v>9.0000000000145519E-5</v>
      </c>
      <c r="D821" s="5">
        <f t="shared" si="621"/>
        <v>1.200000000025625E-4</v>
      </c>
      <c r="E821" s="4">
        <f t="shared" si="619"/>
        <v>1.4999999999999999E-4</v>
      </c>
      <c r="F821" s="57" t="s">
        <v>37</v>
      </c>
      <c r="G821" s="58"/>
      <c r="H821" s="58"/>
      <c r="I821" s="1"/>
      <c r="J821" s="2" t="str">
        <f t="shared" ref="J821" si="623">CONCATENATE(K819,2)</f>
        <v>102</v>
      </c>
      <c r="K821" s="4" t="e">
        <v>#VALUE!</v>
      </c>
      <c r="L821" s="4" t="e">
        <v>#VALUE!</v>
      </c>
      <c r="M821" s="4" t="e">
        <v>#VALUE!</v>
      </c>
      <c r="N821" s="4" t="e">
        <v>#VALUE!</v>
      </c>
      <c r="O821" s="4" t="e">
        <v>#VALUE!</v>
      </c>
      <c r="P821" s="4" t="e">
        <v>#VALUE!</v>
      </c>
      <c r="Q821" s="4" t="e">
        <v>#VALUE!</v>
      </c>
      <c r="R821" s="4" t="e">
        <v>#VALUE!</v>
      </c>
      <c r="S821" s="4" t="e">
        <v>#VALUE!</v>
      </c>
      <c r="T821" s="1"/>
      <c r="U821" s="2">
        <f t="shared" si="591"/>
        <v>18</v>
      </c>
      <c r="V821" s="2">
        <f t="shared" si="592"/>
        <v>238</v>
      </c>
    </row>
    <row r="822" spans="1:22" x14ac:dyDescent="0.3">
      <c r="A822" s="2">
        <f t="shared" si="590"/>
        <v>18239</v>
      </c>
      <c r="B822" s="5">
        <f t="shared" si="617"/>
        <v>-1.0000000000331966E-4</v>
      </c>
      <c r="C822" s="5">
        <f t="shared" si="618"/>
        <v>-1.0000000000331966E-4</v>
      </c>
      <c r="D822" s="5">
        <f t="shared" si="621"/>
        <v>0</v>
      </c>
      <c r="E822" s="4">
        <f t="shared" si="619"/>
        <v>4.0000000000000002E-4</v>
      </c>
      <c r="F822" s="11">
        <f>IF(D786="","",MAX(G822,H822))</f>
        <v>6.9999999999999999E-4</v>
      </c>
      <c r="G822" s="5">
        <f>ABS(MIN(E818:E827))</f>
        <v>0</v>
      </c>
      <c r="H822" s="5">
        <f>ABS(MAX(E818:E827))</f>
        <v>6.9999999999999999E-4</v>
      </c>
      <c r="I822" s="1"/>
      <c r="J822" s="2" t="str">
        <f t="shared" ref="J822" si="624">CONCATENATE(K819,3)</f>
        <v>103</v>
      </c>
      <c r="K822" s="4" t="e">
        <v>#VALUE!</v>
      </c>
      <c r="L822" s="4" t="e">
        <v>#VALUE!</v>
      </c>
      <c r="M822" s="4" t="e">
        <v>#VALUE!</v>
      </c>
      <c r="N822" s="4" t="e">
        <v>#VALUE!</v>
      </c>
      <c r="O822" s="4" t="e">
        <v>#VALUE!</v>
      </c>
      <c r="P822" s="4" t="e">
        <v>#VALUE!</v>
      </c>
      <c r="Q822" s="4" t="e">
        <v>#VALUE!</v>
      </c>
      <c r="R822" s="4" t="e">
        <v>#VALUE!</v>
      </c>
      <c r="S822" s="4" t="e">
        <v>#VALUE!</v>
      </c>
      <c r="T822" s="1"/>
      <c r="U822" s="2">
        <f t="shared" si="591"/>
        <v>18</v>
      </c>
      <c r="V822" s="2">
        <f t="shared" si="592"/>
        <v>239</v>
      </c>
    </row>
    <row r="823" spans="1:22" x14ac:dyDescent="0.3">
      <c r="A823" s="2">
        <f t="shared" si="590"/>
        <v>18240</v>
      </c>
      <c r="B823" s="5">
        <f t="shared" si="617"/>
        <v>-4.0000000001327862E-4</v>
      </c>
      <c r="C823" s="5">
        <f t="shared" si="618"/>
        <v>0</v>
      </c>
      <c r="D823" s="5">
        <f t="shared" si="621"/>
        <v>4.0000000001327862E-4</v>
      </c>
      <c r="E823" s="4">
        <f t="shared" si="619"/>
        <v>5.0000000000000001E-4</v>
      </c>
      <c r="F823" s="57" t="s">
        <v>51</v>
      </c>
      <c r="G823" s="58"/>
      <c r="H823" s="5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2">
        <f t="shared" si="591"/>
        <v>18</v>
      </c>
      <c r="V823" s="2">
        <f t="shared" si="592"/>
        <v>240</v>
      </c>
    </row>
    <row r="824" spans="1:22" x14ac:dyDescent="0.3">
      <c r="A824" s="2">
        <f t="shared" si="590"/>
        <v>18241</v>
      </c>
      <c r="B824" s="5">
        <f t="shared" si="617"/>
        <v>-7.9999999999813554E-4</v>
      </c>
      <c r="C824" s="5">
        <f t="shared" si="618"/>
        <v>-5.9999999999149622E-4</v>
      </c>
      <c r="D824" s="5">
        <f t="shared" si="621"/>
        <v>2.0000000000663931E-4</v>
      </c>
      <c r="E824" s="4">
        <f t="shared" si="619"/>
        <v>6.9999999999999999E-4</v>
      </c>
      <c r="F824" s="21">
        <f>MAX(G824:H826)</f>
        <v>6.9999999993797246E-5</v>
      </c>
      <c r="G824" s="4">
        <f>IF(C811="",0,ABS(C811-B811))</f>
        <v>2.9999999995311555E-5</v>
      </c>
      <c r="H824" s="4">
        <f>IF(F811="",0,ABS(F811-B811))</f>
        <v>6.0000000004833964E-5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2">
        <f t="shared" si="591"/>
        <v>18</v>
      </c>
      <c r="V824" s="2">
        <f t="shared" si="592"/>
        <v>241</v>
      </c>
    </row>
    <row r="825" spans="1:22" x14ac:dyDescent="0.3">
      <c r="A825" s="2">
        <f t="shared" si="590"/>
        <v>18242</v>
      </c>
      <c r="B825" s="5">
        <f t="shared" si="617"/>
        <v>0</v>
      </c>
      <c r="C825" s="5">
        <f t="shared" si="618"/>
        <v>0</v>
      </c>
      <c r="D825" s="5">
        <f t="shared" si="621"/>
        <v>0</v>
      </c>
      <c r="E825" s="4">
        <f t="shared" si="619"/>
        <v>0</v>
      </c>
      <c r="F825" s="4" t="s">
        <v>52</v>
      </c>
      <c r="G825" s="4">
        <f>IF(D811="",0,ABS(D811-B811))</f>
        <v>6.9999999993797246E-5</v>
      </c>
      <c r="H825" s="4">
        <f>IF(G811="",0,ABS(G811-B811))</f>
        <v>2.0000000006348273E-5</v>
      </c>
      <c r="I825" s="1"/>
      <c r="J825" s="1"/>
      <c r="R825" s="1"/>
      <c r="S825" s="1"/>
      <c r="T825" s="1"/>
      <c r="U825" s="2">
        <f t="shared" si="591"/>
        <v>18</v>
      </c>
      <c r="V825" s="2">
        <f t="shared" si="592"/>
        <v>242</v>
      </c>
    </row>
    <row r="826" spans="1:22" x14ac:dyDescent="0.3">
      <c r="A826" s="2">
        <f t="shared" si="590"/>
        <v>18243</v>
      </c>
      <c r="B826" s="5">
        <f t="shared" si="617"/>
        <v>0</v>
      </c>
      <c r="C826" s="5">
        <f t="shared" si="618"/>
        <v>0</v>
      </c>
      <c r="D826" s="5">
        <f t="shared" si="621"/>
        <v>0</v>
      </c>
      <c r="E826" s="4">
        <f t="shared" si="619"/>
        <v>0</v>
      </c>
      <c r="F826" s="22">
        <f>IF(F824=0,0,F824/B811%)</f>
        <v>9.9999999991138929E-5</v>
      </c>
      <c r="G826" s="4">
        <f>IF(G811="",0,ABS(G811-B811))</f>
        <v>2.0000000006348273E-5</v>
      </c>
      <c r="H826" s="4">
        <f>IF(H811="",0,ABS(H811-B811))</f>
        <v>2.9999999995311555E-5</v>
      </c>
      <c r="I826" s="1"/>
      <c r="J826" s="1"/>
      <c r="R826" s="1"/>
      <c r="S826" s="1"/>
      <c r="T826" s="1"/>
      <c r="U826" s="2">
        <f t="shared" si="591"/>
        <v>18</v>
      </c>
      <c r="V826" s="2">
        <f t="shared" si="592"/>
        <v>243</v>
      </c>
    </row>
    <row r="827" spans="1:22" x14ac:dyDescent="0.3">
      <c r="A827" s="2">
        <f t="shared" si="590"/>
        <v>18244</v>
      </c>
      <c r="B827" s="5">
        <f t="shared" si="617"/>
        <v>0</v>
      </c>
      <c r="C827" s="5">
        <f t="shared" si="618"/>
        <v>0</v>
      </c>
      <c r="D827" s="5">
        <f t="shared" si="621"/>
        <v>0</v>
      </c>
      <c r="E827" s="4">
        <f t="shared" si="619"/>
        <v>0</v>
      </c>
      <c r="F827" s="1"/>
      <c r="G827" s="1"/>
      <c r="H827" s="1"/>
      <c r="I827" s="1"/>
      <c r="J827" s="1"/>
      <c r="R827" s="1"/>
      <c r="S827" s="1"/>
      <c r="T827" s="1"/>
      <c r="U827" s="2">
        <f t="shared" si="591"/>
        <v>18</v>
      </c>
      <c r="V827" s="2">
        <f t="shared" si="592"/>
        <v>244</v>
      </c>
    </row>
    <row r="828" spans="1:22" x14ac:dyDescent="0.3">
      <c r="A828" s="2">
        <f t="shared" si="590"/>
        <v>18245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2">
        <f t="shared" si="591"/>
        <v>18</v>
      </c>
      <c r="V828" s="2">
        <f t="shared" si="592"/>
        <v>245</v>
      </c>
    </row>
    <row r="829" spans="1:22" s="20" customForma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 x14ac:dyDescent="0.3">
      <c r="A830" s="2">
        <f>ROUND(CONCATENATE(U830,V830),0)</f>
        <v>19201</v>
      </c>
      <c r="B830" s="63" t="s">
        <v>0</v>
      </c>
      <c r="C830" s="63"/>
      <c r="D830" s="71" t="s">
        <v>73</v>
      </c>
      <c r="E830" s="72"/>
      <c r="F830" s="72"/>
      <c r="G830" s="72"/>
      <c r="H830" s="7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2">
        <f>U828+1</f>
        <v>19</v>
      </c>
      <c r="V830" s="2">
        <v>201</v>
      </c>
    </row>
    <row r="831" spans="1:22" x14ac:dyDescent="0.3">
      <c r="A831" s="2">
        <f t="shared" ref="A831:A874" si="625">ROUND(CONCATENATE(U831,V831),0)</f>
        <v>19202</v>
      </c>
      <c r="B831" s="12" t="s">
        <v>40</v>
      </c>
      <c r="C831" s="13"/>
      <c r="D831" s="16" t="s">
        <v>41</v>
      </c>
      <c r="E831" s="57" t="s">
        <v>39</v>
      </c>
      <c r="F831" s="57"/>
      <c r="G831" s="18">
        <v>1.0000000000000001E-5</v>
      </c>
      <c r="H831" s="15" t="str">
        <f>IF(D832="","",D831)</f>
        <v>g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2">
        <f>U830</f>
        <v>19</v>
      </c>
      <c r="V831" s="2">
        <f>V830+1</f>
        <v>202</v>
      </c>
    </row>
    <row r="832" spans="1:22" x14ac:dyDescent="0.3">
      <c r="A832" s="2">
        <f t="shared" si="625"/>
        <v>19203</v>
      </c>
      <c r="B832" s="63" t="s">
        <v>1</v>
      </c>
      <c r="C832" s="63"/>
      <c r="D832" s="71" t="s">
        <v>157</v>
      </c>
      <c r="E832" s="72"/>
      <c r="F832" s="72"/>
      <c r="G832" s="72"/>
      <c r="H832" s="73"/>
      <c r="I832" s="1"/>
      <c r="J832" s="1"/>
      <c r="K832" s="1" t="s">
        <v>2</v>
      </c>
      <c r="L832" s="1" t="s">
        <v>3</v>
      </c>
      <c r="M832" s="1" t="s">
        <v>4</v>
      </c>
      <c r="N832" s="1" t="s">
        <v>5</v>
      </c>
      <c r="O832" s="1" t="s">
        <v>6</v>
      </c>
      <c r="P832" s="1" t="s">
        <v>7</v>
      </c>
      <c r="Q832" s="1" t="s">
        <v>8</v>
      </c>
      <c r="R832" s="1" t="s">
        <v>9</v>
      </c>
      <c r="S832" s="1" t="s">
        <v>10</v>
      </c>
      <c r="T832" s="1"/>
      <c r="U832" s="2">
        <f t="shared" ref="U832:U874" si="626">U831</f>
        <v>19</v>
      </c>
      <c r="V832" s="2">
        <f t="shared" ref="V832:V874" si="627">V831+1</f>
        <v>203</v>
      </c>
    </row>
    <row r="833" spans="1:22" x14ac:dyDescent="0.3">
      <c r="A833" s="2">
        <f t="shared" si="625"/>
        <v>19204</v>
      </c>
      <c r="B833" s="63" t="s">
        <v>11</v>
      </c>
      <c r="C833" s="63"/>
      <c r="D833" s="71" t="s">
        <v>75</v>
      </c>
      <c r="E833" s="72"/>
      <c r="F833" s="72"/>
      <c r="G833" s="72"/>
      <c r="H833" s="73"/>
      <c r="I833" s="1"/>
      <c r="J833" s="1">
        <f>COUNTA(B845:B854)</f>
        <v>7</v>
      </c>
      <c r="K833" s="1">
        <f t="shared" ref="K833" si="628">IF(L833-1&lt;2,0,L833-1)</f>
        <v>0</v>
      </c>
      <c r="L833" s="1">
        <f t="shared" ref="L833" si="629">IF(M833-1&lt;2,0,M833-1)</f>
        <v>0</v>
      </c>
      <c r="M833" s="1">
        <f t="shared" ref="M833" si="630">IF(N833-1&lt;2,0,N833-1)</f>
        <v>0</v>
      </c>
      <c r="N833" s="1">
        <f t="shared" ref="N833" si="631">IF(O833-1&lt;2,0,O833-1)</f>
        <v>2</v>
      </c>
      <c r="O833" s="1">
        <f t="shared" ref="O833" si="632">IF(P833-1&lt;2,0,P833-1)</f>
        <v>3</v>
      </c>
      <c r="P833" s="1">
        <f t="shared" ref="P833" si="633">IF(Q833-1&lt;2,0,Q833-1)</f>
        <v>4</v>
      </c>
      <c r="Q833" s="1">
        <f t="shared" ref="Q833" si="634">IF(R833-1&lt;2,0,R833-1)</f>
        <v>5</v>
      </c>
      <c r="R833" s="1">
        <f>IF(S833-1&lt;2,0,S833-1)</f>
        <v>6</v>
      </c>
      <c r="S833" s="1">
        <f>J833</f>
        <v>7</v>
      </c>
      <c r="T833" s="1"/>
      <c r="U833" s="2">
        <f t="shared" si="626"/>
        <v>19</v>
      </c>
      <c r="V833" s="2">
        <f t="shared" si="627"/>
        <v>204</v>
      </c>
    </row>
    <row r="834" spans="1:22" x14ac:dyDescent="0.3">
      <c r="A834" s="2">
        <f t="shared" si="625"/>
        <v>19205</v>
      </c>
      <c r="B834" s="63" t="s">
        <v>12</v>
      </c>
      <c r="C834" s="63"/>
      <c r="D834" s="71" t="s">
        <v>43</v>
      </c>
      <c r="E834" s="72"/>
      <c r="F834" s="72"/>
      <c r="G834" s="72"/>
      <c r="H834" s="73"/>
      <c r="I834" s="1"/>
      <c r="J834" s="2" t="str">
        <f>CONCATENATE(J833,1)</f>
        <v>71</v>
      </c>
      <c r="K834" s="3">
        <f>IF(K833=0,0,VLOOKUP(J834,J838:S868,K833,FALSE))</f>
        <v>0</v>
      </c>
      <c r="L834" s="3">
        <f>IF(L833=0,0,VLOOKUP(J834,J838:S868,L833,FALSE))</f>
        <v>0</v>
      </c>
      <c r="M834" s="3">
        <f>IF(M833=0,0,VLOOKUP(J834,J838:S868,M833,FALSE))</f>
        <v>0</v>
      </c>
      <c r="N834" s="3">
        <f>IF(N833=0,0,VLOOKUP(J834,J838:S868,N833,FALSE))</f>
        <v>-1.1559172615534684E-14</v>
      </c>
      <c r="O834" s="3">
        <f>IF(O833=0,0,VLOOKUP(J834,J838:S868,O833,FALSE))</f>
        <v>8.3974391316719149E-12</v>
      </c>
      <c r="P834" s="3">
        <f>IF(P833=0,0,VLOOKUP(J834,J838:S868,P833,FALSE))</f>
        <v>-2.250138112949817E-9</v>
      </c>
      <c r="Q834" s="3">
        <f>IF(Q833=0,0,VLOOKUP(J834,J838:S868,Q833,FALSE))</f>
        <v>2.4424173114031842E-7</v>
      </c>
      <c r="R834" s="3">
        <f>IF(R833=0,0,VLOOKUP(J834,J838:S868,R833,FALSE))</f>
        <v>0.99999283557315244</v>
      </c>
      <c r="S834" s="3">
        <f>IF(S833=0,0,VLOOKUP(J834,J838:S868,S833,FALSE))</f>
        <v>1.1926576278659118E-8</v>
      </c>
      <c r="T834" s="1"/>
      <c r="U834" s="2">
        <f t="shared" si="626"/>
        <v>19</v>
      </c>
      <c r="V834" s="2">
        <f t="shared" si="627"/>
        <v>205</v>
      </c>
    </row>
    <row r="835" spans="1:22" x14ac:dyDescent="0.3">
      <c r="A835" s="2">
        <f t="shared" si="625"/>
        <v>19206</v>
      </c>
      <c r="B835" s="63" t="s">
        <v>13</v>
      </c>
      <c r="C835" s="63"/>
      <c r="D835" s="74" t="s">
        <v>158</v>
      </c>
      <c r="E835" s="72"/>
      <c r="F835" s="72"/>
      <c r="G835" s="72"/>
      <c r="H835" s="73"/>
      <c r="I835" s="1"/>
      <c r="J835" s="2" t="str">
        <f>CONCATENATE(J833,2)</f>
        <v>72</v>
      </c>
      <c r="K835" s="4">
        <f>IF(K833=0,0,VLOOKUP(J835,J838:S868,K833,FALSE))</f>
        <v>0</v>
      </c>
      <c r="L835" s="4">
        <f>IF(L833=0,0,VLOOKUP(J835,J838:S868,L833,FALSE))</f>
        <v>0</v>
      </c>
      <c r="M835" s="4">
        <f>IF(M833=0,0,VLOOKUP(J835,J838:S868,M833,FALSE))</f>
        <v>0</v>
      </c>
      <c r="N835" s="4">
        <f>IF(N833=0,0,VLOOKUP(J835,J838:S868,N833,FALSE))</f>
        <v>5.2224748710500178E-14</v>
      </c>
      <c r="O835" s="4">
        <f>IF(O833=0,0,VLOOKUP(J835,J838:S868,O833,FALSE))</f>
        <v>2.6834520630460178E-11</v>
      </c>
      <c r="P835" s="4">
        <f>IF(P833=0,0,VLOOKUP(J835,J838:S868,P833,FALSE))</f>
        <v>4.7631123422686518E-9</v>
      </c>
      <c r="Q835" s="4">
        <f>IF(Q833=0,0,VLOOKUP(J835,J838:S868,Q833,FALSE))</f>
        <v>3.4345533648088146E-7</v>
      </c>
      <c r="R835" s="4">
        <f>IF(R833=0,0,VLOOKUP(J835,J838:S868,R833,FALSE))</f>
        <v>8.5203475993125483E-6</v>
      </c>
      <c r="S835" s="4">
        <f>IF(S833=0,0,VLOOKUP(J835,J838:S868,S833,FALSE))</f>
        <v>2.0028689663301886E-5</v>
      </c>
      <c r="T835" s="1"/>
      <c r="U835" s="2">
        <f t="shared" si="626"/>
        <v>19</v>
      </c>
      <c r="V835" s="2">
        <f t="shared" si="627"/>
        <v>206</v>
      </c>
    </row>
    <row r="836" spans="1:22" x14ac:dyDescent="0.3">
      <c r="A836" s="2">
        <f t="shared" si="625"/>
        <v>19207</v>
      </c>
      <c r="B836" s="63" t="s">
        <v>14</v>
      </c>
      <c r="C836" s="63"/>
      <c r="D836" s="75">
        <v>45868</v>
      </c>
      <c r="E836" s="76"/>
      <c r="F836" s="76"/>
      <c r="G836" s="76"/>
      <c r="H836" s="77"/>
      <c r="I836" s="1"/>
      <c r="J836" s="2" t="str">
        <f>CONCATENATE(J833,3)</f>
        <v>73</v>
      </c>
      <c r="K836" s="4"/>
      <c r="L836" s="4"/>
      <c r="M836" s="4"/>
      <c r="N836" s="4" t="s">
        <v>15</v>
      </c>
      <c r="O836" s="3">
        <f>J833-2</f>
        <v>5</v>
      </c>
      <c r="P836" s="4" t="s">
        <v>16</v>
      </c>
      <c r="Q836" s="3">
        <f>VLOOKUP(J836,J838:S868,3,FALSE)</f>
        <v>2.830433860290249E-5</v>
      </c>
      <c r="R836" s="4" t="s">
        <v>17</v>
      </c>
      <c r="S836" s="4">
        <f>VLOOKUP(J836,J838:S868,2,FALSE)</f>
        <v>0.99999999999998179</v>
      </c>
      <c r="T836" s="1"/>
      <c r="U836" s="2">
        <f t="shared" si="626"/>
        <v>19</v>
      </c>
      <c r="V836" s="2">
        <f t="shared" si="627"/>
        <v>207</v>
      </c>
    </row>
    <row r="837" spans="1:22" x14ac:dyDescent="0.3">
      <c r="A837" s="2">
        <f t="shared" si="625"/>
        <v>19208</v>
      </c>
      <c r="B837" s="63" t="s">
        <v>18</v>
      </c>
      <c r="C837" s="63"/>
      <c r="D837" s="64">
        <v>46233</v>
      </c>
      <c r="E837" s="65"/>
      <c r="F837" s="65"/>
      <c r="G837" s="65"/>
      <c r="H837" s="66"/>
      <c r="I837" s="1"/>
      <c r="J837" s="1"/>
      <c r="K837" s="1">
        <v>3</v>
      </c>
      <c r="L837" s="1">
        <v>3</v>
      </c>
      <c r="M837" s="1"/>
      <c r="N837" s="1"/>
      <c r="O837" s="1"/>
      <c r="P837" s="1"/>
      <c r="Q837" s="1"/>
      <c r="R837" s="1"/>
      <c r="S837" s="1"/>
      <c r="T837" s="1"/>
      <c r="U837" s="2">
        <f t="shared" si="626"/>
        <v>19</v>
      </c>
      <c r="V837" s="2">
        <f t="shared" si="627"/>
        <v>208</v>
      </c>
    </row>
    <row r="838" spans="1:22" x14ac:dyDescent="0.3">
      <c r="A838" s="2">
        <f t="shared" si="625"/>
        <v>19209</v>
      </c>
      <c r="B838" s="67" t="s">
        <v>19</v>
      </c>
      <c r="C838" s="63"/>
      <c r="D838" s="5">
        <f>IF(D831="","",MIN(B845:B854))</f>
        <v>1E-3</v>
      </c>
      <c r="E838" s="6" t="s">
        <v>20</v>
      </c>
      <c r="F838" s="5">
        <f>IF(D831="","",MAX(B845:B854))</f>
        <v>220</v>
      </c>
      <c r="G838" s="7" t="str">
        <f>IF(D832="","",H831)</f>
        <v>g</v>
      </c>
      <c r="H838" s="14"/>
      <c r="I838" s="1"/>
      <c r="J838" s="2" t="str">
        <f>CONCATENATE(K837,1)</f>
        <v>31</v>
      </c>
      <c r="K838" s="4">
        <f t="array" ref="K838:L840">LINEST(B845:B847,C845:C847^{1},TRUE,TRUE)</f>
        <v>0.99999400119435777</v>
      </c>
      <c r="L838" s="4">
        <v>1.0067003231029048E-8</v>
      </c>
      <c r="M838" s="1"/>
      <c r="N838" s="1"/>
      <c r="O838" s="1"/>
      <c r="P838" s="1"/>
      <c r="Q838" s="1"/>
      <c r="R838" s="1"/>
      <c r="S838" s="1"/>
      <c r="T838" s="1"/>
      <c r="U838" s="2">
        <f t="shared" si="626"/>
        <v>19</v>
      </c>
      <c r="V838" s="2">
        <f t="shared" si="627"/>
        <v>209</v>
      </c>
    </row>
    <row r="839" spans="1:22" x14ac:dyDescent="0.3">
      <c r="A839" s="2">
        <f t="shared" si="625"/>
        <v>19210</v>
      </c>
      <c r="B839" s="1"/>
      <c r="C839" s="1"/>
      <c r="D839" s="1"/>
      <c r="E839" s="1"/>
      <c r="F839" s="1"/>
      <c r="G839" s="1"/>
      <c r="H839" s="1"/>
      <c r="I839" s="1"/>
      <c r="J839" s="2" t="str">
        <f>CONCATENATE(K837,2)</f>
        <v>32</v>
      </c>
      <c r="K839" s="4">
        <v>6.9364380082323716E-6</v>
      </c>
      <c r="L839" s="4">
        <v>2.0023902247521955E-5</v>
      </c>
      <c r="M839" s="1"/>
      <c r="N839" s="1"/>
      <c r="O839" s="1"/>
      <c r="P839" s="1"/>
      <c r="Q839" s="1"/>
      <c r="R839" s="1"/>
      <c r="S839" s="1"/>
      <c r="T839" s="1"/>
      <c r="U839" s="2">
        <f t="shared" si="626"/>
        <v>19</v>
      </c>
      <c r="V839" s="2">
        <f t="shared" si="627"/>
        <v>210</v>
      </c>
    </row>
    <row r="840" spans="1:22" x14ac:dyDescent="0.3">
      <c r="A840" s="2">
        <f t="shared" si="625"/>
        <v>19211</v>
      </c>
      <c r="B840" s="68" t="s">
        <v>21</v>
      </c>
      <c r="C840" s="68"/>
      <c r="D840" s="68"/>
      <c r="E840" s="68"/>
      <c r="F840" s="68"/>
      <c r="G840" s="69" t="s">
        <v>22</v>
      </c>
      <c r="H840" s="70"/>
      <c r="I840" s="1"/>
      <c r="J840" s="2" t="str">
        <f>CONCATENATE(K837,3)</f>
        <v>33</v>
      </c>
      <c r="K840" s="4">
        <v>0.99999999995188515</v>
      </c>
      <c r="L840" s="4">
        <v>2.8301075426284683E-5</v>
      </c>
      <c r="M840" s="1"/>
      <c r="N840" s="1"/>
      <c r="O840" s="1"/>
      <c r="P840" s="1"/>
      <c r="Q840" s="1"/>
      <c r="R840" s="1"/>
      <c r="S840" s="1"/>
      <c r="T840" s="1"/>
      <c r="U840" s="2">
        <f t="shared" si="626"/>
        <v>19</v>
      </c>
      <c r="V840" s="2">
        <f t="shared" si="627"/>
        <v>211</v>
      </c>
    </row>
    <row r="841" spans="1:22" x14ac:dyDescent="0.3">
      <c r="A841" s="2">
        <f t="shared" si="625"/>
        <v>19212</v>
      </c>
      <c r="B841" s="61" t="s">
        <v>23</v>
      </c>
      <c r="C841" s="61"/>
      <c r="D841" s="61"/>
      <c r="E841" s="61" t="str">
        <f>D835</f>
        <v>E0848/25</v>
      </c>
      <c r="F841" s="61"/>
      <c r="G841" s="4" t="s">
        <v>24</v>
      </c>
      <c r="H841" s="31"/>
      <c r="I841" s="1"/>
      <c r="J841" s="1"/>
      <c r="K841" s="1">
        <v>4</v>
      </c>
      <c r="L841" s="1">
        <v>4</v>
      </c>
      <c r="M841" s="1">
        <v>4</v>
      </c>
      <c r="N841" s="1"/>
      <c r="O841" s="1"/>
      <c r="P841" s="1"/>
      <c r="Q841" s="1"/>
      <c r="R841" s="1"/>
      <c r="S841" s="1"/>
      <c r="T841" s="1"/>
      <c r="U841" s="2">
        <f t="shared" si="626"/>
        <v>19</v>
      </c>
      <c r="V841" s="2">
        <f t="shared" si="627"/>
        <v>212</v>
      </c>
    </row>
    <row r="842" spans="1:22" ht="15" customHeight="1" x14ac:dyDescent="0.3">
      <c r="A842" s="2">
        <f t="shared" si="625"/>
        <v>19213</v>
      </c>
      <c r="B842" s="59" t="s">
        <v>25</v>
      </c>
      <c r="C842" s="59" t="s">
        <v>26</v>
      </c>
      <c r="D842" s="59" t="s">
        <v>27</v>
      </c>
      <c r="E842" s="59" t="s">
        <v>28</v>
      </c>
      <c r="F842" s="59" t="s">
        <v>29</v>
      </c>
      <c r="G842" s="59" t="s">
        <v>25</v>
      </c>
      <c r="H842" s="59" t="s">
        <v>26</v>
      </c>
      <c r="I842" s="1"/>
      <c r="J842" s="2" t="str">
        <f t="shared" ref="J842" si="635">CONCATENATE(K841,1)</f>
        <v>41</v>
      </c>
      <c r="K842" s="4">
        <f t="array" ref="K842:M844">LINEST(B845:B848,C845:C848^{1,2},TRUE,TRUE)</f>
        <v>1.4218880814864425E-7</v>
      </c>
      <c r="L842" s="4">
        <v>0.99999329033098316</v>
      </c>
      <c r="M842" s="4">
        <v>1.1404626749502247E-8</v>
      </c>
      <c r="N842" s="1"/>
      <c r="O842" s="1"/>
      <c r="P842" s="1"/>
      <c r="Q842" s="1"/>
      <c r="R842" s="1"/>
      <c r="S842" s="1"/>
      <c r="T842" s="1"/>
      <c r="U842" s="2">
        <f t="shared" si="626"/>
        <v>19</v>
      </c>
      <c r="V842" s="2">
        <f t="shared" si="627"/>
        <v>213</v>
      </c>
    </row>
    <row r="843" spans="1:22" x14ac:dyDescent="0.3">
      <c r="A843" s="2">
        <f t="shared" si="625"/>
        <v>19214</v>
      </c>
      <c r="B843" s="60"/>
      <c r="C843" s="60"/>
      <c r="D843" s="60"/>
      <c r="E843" s="60"/>
      <c r="F843" s="60"/>
      <c r="G843" s="60"/>
      <c r="H843" s="60"/>
      <c r="I843" s="1"/>
      <c r="J843" s="2" t="str">
        <f t="shared" ref="J843" si="636">CONCATENATE(K841,2)</f>
        <v>42</v>
      </c>
      <c r="K843" s="4">
        <v>1.4972464893798869E-7</v>
      </c>
      <c r="L843" s="4">
        <v>7.6828121159876383E-6</v>
      </c>
      <c r="M843" s="4">
        <v>2.0026512617720747E-5</v>
      </c>
      <c r="N843" s="1"/>
      <c r="O843" s="1"/>
      <c r="P843" s="1"/>
      <c r="Q843" s="1"/>
      <c r="R843" s="1"/>
      <c r="S843" s="1"/>
      <c r="T843" s="1"/>
      <c r="U843" s="2">
        <f t="shared" si="626"/>
        <v>19</v>
      </c>
      <c r="V843" s="2">
        <f t="shared" si="627"/>
        <v>214</v>
      </c>
    </row>
    <row r="844" spans="1:22" x14ac:dyDescent="0.3">
      <c r="A844" s="2">
        <f t="shared" si="625"/>
        <v>19215</v>
      </c>
      <c r="B844" s="9" t="str">
        <f>CONCATENATE("(",H831,")")</f>
        <v>(g)</v>
      </c>
      <c r="C844" s="9" t="str">
        <f>B844</f>
        <v>(g)</v>
      </c>
      <c r="D844" s="9" t="str">
        <f>C844</f>
        <v>(g)</v>
      </c>
      <c r="E844" s="9"/>
      <c r="F844" s="9"/>
      <c r="G844" s="9" t="str">
        <f>B844</f>
        <v>(g)</v>
      </c>
      <c r="H844" s="9" t="str">
        <f>G844</f>
        <v>(g)</v>
      </c>
      <c r="I844" s="1"/>
      <c r="J844" s="2" t="str">
        <f t="shared" ref="J844" si="637">CONCATENATE(K841,3)</f>
        <v>43</v>
      </c>
      <c r="K844" s="4">
        <v>0.99999999999954703</v>
      </c>
      <c r="L844" s="4">
        <v>2.8303065067902811E-5</v>
      </c>
      <c r="M844" s="4" t="e">
        <v>#N/A</v>
      </c>
      <c r="N844" s="1"/>
      <c r="O844" s="1"/>
      <c r="P844" s="1"/>
      <c r="Q844" s="1"/>
      <c r="R844" s="1"/>
      <c r="S844" s="1"/>
      <c r="T844" s="1"/>
      <c r="U844" s="2">
        <f t="shared" si="626"/>
        <v>19</v>
      </c>
      <c r="V844" s="2">
        <f t="shared" si="627"/>
        <v>215</v>
      </c>
    </row>
    <row r="845" spans="1:22" x14ac:dyDescent="0.3">
      <c r="A845" s="2">
        <f t="shared" si="625"/>
        <v>19216</v>
      </c>
      <c r="B845" s="10">
        <v>1E-3</v>
      </c>
      <c r="C845" s="10">
        <v>1.0200000000000001E-3</v>
      </c>
      <c r="D845" s="10">
        <v>2.0000000000000002E-5</v>
      </c>
      <c r="E845" s="10">
        <v>2</v>
      </c>
      <c r="F845" s="10">
        <v>1000000</v>
      </c>
      <c r="G845" s="8"/>
      <c r="H845" s="8"/>
      <c r="I845" s="1"/>
      <c r="J845" s="1"/>
      <c r="K845" s="1">
        <v>5</v>
      </c>
      <c r="L845" s="1">
        <v>5</v>
      </c>
      <c r="M845" s="1">
        <v>5</v>
      </c>
      <c r="N845" s="1">
        <v>5</v>
      </c>
      <c r="O845" s="1"/>
      <c r="P845" s="1"/>
      <c r="Q845" s="1"/>
      <c r="R845" s="1"/>
      <c r="S845" s="1"/>
      <c r="T845" s="1"/>
      <c r="U845" s="2">
        <f t="shared" si="626"/>
        <v>19</v>
      </c>
      <c r="V845" s="2">
        <f t="shared" si="627"/>
        <v>216</v>
      </c>
    </row>
    <row r="846" spans="1:22" x14ac:dyDescent="0.3">
      <c r="A846" s="2">
        <f t="shared" si="625"/>
        <v>19217</v>
      </c>
      <c r="B846" s="10">
        <v>5.0000000000000001E-3</v>
      </c>
      <c r="C846" s="10">
        <v>4.9800000000000001E-3</v>
      </c>
      <c r="D846" s="10">
        <v>2.0000000000000002E-5</v>
      </c>
      <c r="E846" s="10">
        <v>2</v>
      </c>
      <c r="F846" s="10">
        <v>1000000</v>
      </c>
      <c r="G846" s="8"/>
      <c r="H846" s="8"/>
      <c r="I846" s="1"/>
      <c r="J846" s="2" t="str">
        <f t="shared" ref="J846" si="638">CONCATENATE(K845,1)</f>
        <v>51</v>
      </c>
      <c r="K846" s="4">
        <f t="array" ref="K846:N848">LINEST(B845:B849,C845:C849^{1,2,3},TRUE,TRUE)</f>
        <v>-1.1598320748109102E-9</v>
      </c>
      <c r="L846" s="4">
        <v>2.0597727258892533E-7</v>
      </c>
      <c r="M846" s="4">
        <v>0.9999930004739398</v>
      </c>
      <c r="N846" s="4">
        <v>1.187683133969681E-8</v>
      </c>
      <c r="O846" s="1"/>
      <c r="P846" s="1"/>
      <c r="Q846" s="1"/>
      <c r="R846" s="1"/>
      <c r="S846" s="1"/>
      <c r="T846" s="1"/>
      <c r="U846" s="2">
        <f t="shared" si="626"/>
        <v>19</v>
      </c>
      <c r="V846" s="2">
        <f t="shared" si="627"/>
        <v>217</v>
      </c>
    </row>
    <row r="847" spans="1:22" x14ac:dyDescent="0.3">
      <c r="A847" s="2">
        <f t="shared" si="625"/>
        <v>19218</v>
      </c>
      <c r="B847" s="10">
        <v>5</v>
      </c>
      <c r="C847" s="10">
        <v>5.0000299999999998</v>
      </c>
      <c r="D847" s="10">
        <v>3.0000000000000001E-5</v>
      </c>
      <c r="E847" s="10">
        <v>2</v>
      </c>
      <c r="F847" s="10">
        <v>1000000</v>
      </c>
      <c r="G847" s="8"/>
      <c r="H847" s="8"/>
      <c r="I847" s="1"/>
      <c r="J847" s="2" t="str">
        <f t="shared" ref="J847" si="639">CONCATENATE(K845,2)</f>
        <v>52</v>
      </c>
      <c r="K847" s="4">
        <v>1.5697499212436108E-9</v>
      </c>
      <c r="L847" s="4">
        <v>2.3585410053132469E-7</v>
      </c>
      <c r="M847" s="4">
        <v>8.0702788319910425E-6</v>
      </c>
      <c r="N847" s="4">
        <v>2.0027688198760105E-5</v>
      </c>
      <c r="O847" s="1"/>
      <c r="P847" s="1"/>
      <c r="Q847" s="1"/>
      <c r="R847" s="1"/>
      <c r="S847" s="1"/>
      <c r="T847" s="1"/>
      <c r="U847" s="2">
        <f t="shared" si="626"/>
        <v>19</v>
      </c>
      <c r="V847" s="2">
        <f t="shared" si="627"/>
        <v>218</v>
      </c>
    </row>
    <row r="848" spans="1:22" x14ac:dyDescent="0.3">
      <c r="A848" s="2">
        <f t="shared" si="625"/>
        <v>19219</v>
      </c>
      <c r="B848" s="10">
        <v>50</v>
      </c>
      <c r="C848" s="10">
        <v>49.999980000000001</v>
      </c>
      <c r="D848" s="10">
        <v>1.4999999999999999E-4</v>
      </c>
      <c r="E848" s="10">
        <v>2</v>
      </c>
      <c r="F848" s="10">
        <v>1000000</v>
      </c>
      <c r="G848" s="8"/>
      <c r="H848" s="8"/>
      <c r="I848" s="1"/>
      <c r="J848" s="2" t="str">
        <f t="shared" ref="J848" si="640">CONCATENATE(K845,3)</f>
        <v>53</v>
      </c>
      <c r="K848" s="4">
        <v>0.99999999999989619</v>
      </c>
      <c r="L848" s="4">
        <v>2.8303876483115609E-5</v>
      </c>
      <c r="M848" s="4" t="e">
        <v>#N/A</v>
      </c>
      <c r="N848" s="4" t="e">
        <v>#N/A</v>
      </c>
      <c r="O848" s="1"/>
      <c r="P848" s="1"/>
      <c r="Q848" s="1"/>
      <c r="R848" s="1"/>
      <c r="S848" s="1"/>
      <c r="T848" s="1"/>
      <c r="U848" s="2">
        <f t="shared" si="626"/>
        <v>19</v>
      </c>
      <c r="V848" s="2">
        <f t="shared" si="627"/>
        <v>219</v>
      </c>
    </row>
    <row r="849" spans="1:22" x14ac:dyDescent="0.3">
      <c r="A849" s="2">
        <f t="shared" si="625"/>
        <v>19220</v>
      </c>
      <c r="B849" s="10">
        <v>100</v>
      </c>
      <c r="C849" s="10">
        <v>99.999799999999993</v>
      </c>
      <c r="D849" s="10">
        <v>4.0000000000000002E-4</v>
      </c>
      <c r="E849" s="10">
        <v>2</v>
      </c>
      <c r="F849" s="10">
        <v>1000000</v>
      </c>
      <c r="G849" s="8"/>
      <c r="H849" s="8"/>
      <c r="I849" s="1"/>
      <c r="J849" s="1"/>
      <c r="K849" s="1">
        <v>6</v>
      </c>
      <c r="L849" s="1">
        <v>6</v>
      </c>
      <c r="M849" s="1">
        <v>6</v>
      </c>
      <c r="N849" s="1">
        <v>6</v>
      </c>
      <c r="O849" s="1">
        <v>6</v>
      </c>
      <c r="P849" s="1"/>
      <c r="Q849" s="1"/>
      <c r="R849" s="1"/>
      <c r="S849" s="1"/>
      <c r="T849" s="1"/>
      <c r="U849" s="2">
        <f t="shared" si="626"/>
        <v>19</v>
      </c>
      <c r="V849" s="2">
        <f t="shared" si="627"/>
        <v>220</v>
      </c>
    </row>
    <row r="850" spans="1:22" x14ac:dyDescent="0.3">
      <c r="A850" s="2">
        <f t="shared" si="625"/>
        <v>19221</v>
      </c>
      <c r="B850" s="10">
        <v>150</v>
      </c>
      <c r="C850" s="10">
        <v>149.99979999999999</v>
      </c>
      <c r="D850" s="10">
        <v>6.9999999999999999E-4</v>
      </c>
      <c r="E850" s="10">
        <v>2</v>
      </c>
      <c r="F850" s="10">
        <v>1000000</v>
      </c>
      <c r="G850" s="8"/>
      <c r="H850" s="8"/>
      <c r="I850" s="1"/>
      <c r="J850" s="2" t="str">
        <f t="shared" ref="J850" si="641">CONCATENATE(K849,1)</f>
        <v>61</v>
      </c>
      <c r="K850" s="4">
        <f t="array" ref="K850:O852">LINEST(B845:B850,C845:C850^{1,2,3,4},TRUE,TRUE)</f>
        <v>4.8720719557445098E-12</v>
      </c>
      <c r="L850" s="4">
        <v>-1.9149746606367055E-9</v>
      </c>
      <c r="M850" s="4">
        <v>2.3398760535181846E-7</v>
      </c>
      <c r="N850" s="4">
        <v>0.99999287879902499</v>
      </c>
      <c r="O850" s="4">
        <v>1.1977170251138529E-8</v>
      </c>
      <c r="P850" s="1"/>
      <c r="Q850" s="1"/>
      <c r="R850" s="1"/>
      <c r="S850" s="1"/>
      <c r="T850" s="1"/>
      <c r="U850" s="2">
        <f t="shared" si="626"/>
        <v>19</v>
      </c>
      <c r="V850" s="2">
        <f t="shared" si="627"/>
        <v>221</v>
      </c>
    </row>
    <row r="851" spans="1:22" x14ac:dyDescent="0.3">
      <c r="A851" s="2">
        <f t="shared" si="625"/>
        <v>19222</v>
      </c>
      <c r="B851" s="10">
        <v>220</v>
      </c>
      <c r="C851" s="10">
        <v>220</v>
      </c>
      <c r="D851" s="10">
        <v>8.0000000000000004E-4</v>
      </c>
      <c r="E851" s="10">
        <v>2</v>
      </c>
      <c r="F851" s="10">
        <v>1000000</v>
      </c>
      <c r="G851" s="8"/>
      <c r="H851" s="8"/>
      <c r="I851" s="1"/>
      <c r="J851" s="2" t="str">
        <f t="shared" ref="J851" si="642">CONCATENATE(K849,2)</f>
        <v>62</v>
      </c>
      <c r="K851" s="4">
        <v>1.0947212138423696E-11</v>
      </c>
      <c r="L851" s="4">
        <v>3.262120192024961E-9</v>
      </c>
      <c r="M851" s="4">
        <v>2.981861309060948E-7</v>
      </c>
      <c r="N851" s="4">
        <v>8.3356354768580798E-6</v>
      </c>
      <c r="O851" s="4">
        <v>2.0028330388443365E-5</v>
      </c>
      <c r="P851" s="1"/>
      <c r="Q851" s="1"/>
      <c r="R851" s="1"/>
      <c r="S851" s="1"/>
      <c r="T851" s="1"/>
      <c r="U851" s="2">
        <f t="shared" si="626"/>
        <v>19</v>
      </c>
      <c r="V851" s="2">
        <f t="shared" si="627"/>
        <v>222</v>
      </c>
    </row>
    <row r="852" spans="1:22" x14ac:dyDescent="0.3">
      <c r="A852" s="2">
        <f t="shared" si="625"/>
        <v>19223</v>
      </c>
      <c r="B852" s="10"/>
      <c r="C852" s="10"/>
      <c r="D852" s="10"/>
      <c r="E852" s="10"/>
      <c r="F852" s="10"/>
      <c r="G852" s="8"/>
      <c r="H852" s="8"/>
      <c r="I852" s="1"/>
      <c r="J852" s="2" t="str">
        <f t="shared" ref="J852" si="643">CONCATENATE(K849,3)</f>
        <v>63</v>
      </c>
      <c r="K852" s="4">
        <v>0.99999999999995903</v>
      </c>
      <c r="L852" s="4">
        <v>2.8304217313257496E-5</v>
      </c>
      <c r="M852" s="4" t="e">
        <v>#N/A</v>
      </c>
      <c r="N852" s="4" t="e">
        <v>#N/A</v>
      </c>
      <c r="O852" s="4" t="e">
        <v>#N/A</v>
      </c>
      <c r="P852" s="1"/>
      <c r="Q852" s="1"/>
      <c r="R852" s="1"/>
      <c r="S852" s="1"/>
      <c r="T852" s="1"/>
      <c r="U852" s="2">
        <f t="shared" si="626"/>
        <v>19</v>
      </c>
      <c r="V852" s="2">
        <f t="shared" si="627"/>
        <v>223</v>
      </c>
    </row>
    <row r="853" spans="1:22" x14ac:dyDescent="0.3">
      <c r="A853" s="2">
        <f t="shared" si="625"/>
        <v>19224</v>
      </c>
      <c r="B853" s="10"/>
      <c r="C853" s="10"/>
      <c r="D853" s="10"/>
      <c r="E853" s="10"/>
      <c r="F853" s="10"/>
      <c r="G853" s="8"/>
      <c r="H853" s="8"/>
      <c r="I853" s="1"/>
      <c r="J853" s="1"/>
      <c r="K853" s="1">
        <v>7</v>
      </c>
      <c r="L853" s="1">
        <v>7</v>
      </c>
      <c r="M853" s="1">
        <v>7</v>
      </c>
      <c r="N853" s="1">
        <v>7</v>
      </c>
      <c r="O853" s="1">
        <v>7</v>
      </c>
      <c r="P853" s="1">
        <v>7</v>
      </c>
      <c r="Q853" s="1"/>
      <c r="R853" s="1"/>
      <c r="S853" s="1"/>
      <c r="T853" s="1"/>
      <c r="U853" s="2">
        <f t="shared" si="626"/>
        <v>19</v>
      </c>
      <c r="V853" s="2">
        <f t="shared" si="627"/>
        <v>224</v>
      </c>
    </row>
    <row r="854" spans="1:22" x14ac:dyDescent="0.3">
      <c r="A854" s="2">
        <f t="shared" si="625"/>
        <v>19225</v>
      </c>
      <c r="B854" s="10"/>
      <c r="C854" s="10"/>
      <c r="D854" s="10"/>
      <c r="E854" s="10"/>
      <c r="F854" s="10"/>
      <c r="G854" s="8"/>
      <c r="H854" s="8"/>
      <c r="I854" s="1"/>
      <c r="J854" s="2" t="str">
        <f t="shared" ref="J854" si="644">CONCATENATE(K853,1)</f>
        <v>71</v>
      </c>
      <c r="K854" s="4">
        <f t="array" ref="K854:P856">LINEST(B845:B851,C845:C851^{1,2,3,4,5},TRUE,TRUE)</f>
        <v>-1.1559172615534684E-14</v>
      </c>
      <c r="L854" s="4">
        <v>8.3974391316719149E-12</v>
      </c>
      <c r="M854" s="4">
        <v>-2.250138112949817E-9</v>
      </c>
      <c r="N854" s="4">
        <v>2.4424173114031842E-7</v>
      </c>
      <c r="O854" s="4">
        <v>0.99999283557315244</v>
      </c>
      <c r="P854" s="4">
        <v>1.1926576278659118E-8</v>
      </c>
      <c r="Q854" s="1"/>
      <c r="R854" s="1"/>
      <c r="S854" s="1"/>
      <c r="T854" s="1"/>
      <c r="U854" s="2">
        <f t="shared" si="626"/>
        <v>19</v>
      </c>
      <c r="V854" s="2">
        <f t="shared" si="627"/>
        <v>225</v>
      </c>
    </row>
    <row r="855" spans="1:22" x14ac:dyDescent="0.3">
      <c r="A855" s="2">
        <f t="shared" si="625"/>
        <v>19226</v>
      </c>
      <c r="B855" s="61" t="s">
        <v>44</v>
      </c>
      <c r="C855" s="61"/>
      <c r="D855" s="61"/>
      <c r="E855" s="61"/>
      <c r="F855" s="61"/>
      <c r="G855" s="61"/>
      <c r="H855" s="61"/>
      <c r="I855" s="1"/>
      <c r="J855" s="2" t="str">
        <f t="shared" ref="J855" si="645">CONCATENATE(K853,2)</f>
        <v>72</v>
      </c>
      <c r="K855" s="4">
        <v>5.2224748710500178E-14</v>
      </c>
      <c r="L855" s="4">
        <v>2.6834520630460178E-11</v>
      </c>
      <c r="M855" s="4">
        <v>4.7631123422686518E-9</v>
      </c>
      <c r="N855" s="4">
        <v>3.4345533648088146E-7</v>
      </c>
      <c r="O855" s="4">
        <v>8.5203475993125483E-6</v>
      </c>
      <c r="P855" s="4">
        <v>2.0028689663301886E-5</v>
      </c>
      <c r="Q855" s="1"/>
      <c r="R855" s="1"/>
      <c r="S855" s="1"/>
      <c r="T855" s="1"/>
      <c r="U855" s="2">
        <f t="shared" si="626"/>
        <v>19</v>
      </c>
      <c r="V855" s="2">
        <f t="shared" si="627"/>
        <v>226</v>
      </c>
    </row>
    <row r="856" spans="1:22" x14ac:dyDescent="0.3">
      <c r="A856" s="2">
        <f t="shared" si="625"/>
        <v>19227</v>
      </c>
      <c r="B856" s="4" t="s">
        <v>45</v>
      </c>
      <c r="C856" s="4" t="s">
        <v>46</v>
      </c>
      <c r="D856" s="4" t="s">
        <v>47</v>
      </c>
      <c r="E856" s="4" t="s">
        <v>48</v>
      </c>
      <c r="F856" s="4" t="s">
        <v>49</v>
      </c>
      <c r="G856" s="4" t="s">
        <v>50</v>
      </c>
      <c r="H856" s="4" t="s">
        <v>46</v>
      </c>
      <c r="I856" s="1"/>
      <c r="J856" s="2" t="str">
        <f t="shared" ref="J856" si="646">CONCATENATE(K853,3)</f>
        <v>73</v>
      </c>
      <c r="K856" s="4">
        <v>0.99999999999998179</v>
      </c>
      <c r="L856" s="4">
        <v>2.830433860290249E-5</v>
      </c>
      <c r="M856" s="4" t="e">
        <v>#N/A</v>
      </c>
      <c r="N856" s="4" t="e">
        <v>#N/A</v>
      </c>
      <c r="O856" s="4" t="e">
        <v>#N/A</v>
      </c>
      <c r="P856" s="4" t="e">
        <v>#N/A</v>
      </c>
      <c r="Q856" s="1"/>
      <c r="R856" s="1"/>
      <c r="S856" s="1"/>
      <c r="T856" s="1"/>
      <c r="U856" s="2">
        <f t="shared" si="626"/>
        <v>19</v>
      </c>
      <c r="V856" s="2">
        <f t="shared" si="627"/>
        <v>227</v>
      </c>
    </row>
    <row r="857" spans="1:22" x14ac:dyDescent="0.3">
      <c r="A857" s="2">
        <f t="shared" si="625"/>
        <v>19228</v>
      </c>
      <c r="B857" s="10">
        <v>100</v>
      </c>
      <c r="C857" s="10">
        <v>99.999799999999993</v>
      </c>
      <c r="D857" s="10">
        <v>99.999799999999993</v>
      </c>
      <c r="E857" s="10">
        <v>99.999899999999997</v>
      </c>
      <c r="F857" s="10">
        <v>99.999899999999997</v>
      </c>
      <c r="G857" s="10">
        <v>99.999799999999993</v>
      </c>
      <c r="H857" s="10">
        <v>99.999799999999993</v>
      </c>
      <c r="I857" s="1"/>
      <c r="J857" s="1"/>
      <c r="K857" s="1">
        <v>8</v>
      </c>
      <c r="L857" s="1">
        <v>8</v>
      </c>
      <c r="M857" s="1">
        <v>8</v>
      </c>
      <c r="N857" s="1">
        <v>8</v>
      </c>
      <c r="O857" s="1">
        <v>8</v>
      </c>
      <c r="P857" s="1">
        <v>8</v>
      </c>
      <c r="Q857" s="1">
        <v>8</v>
      </c>
      <c r="R857" s="1"/>
      <c r="S857" s="1"/>
      <c r="T857" s="1"/>
      <c r="U857" s="2">
        <f t="shared" si="626"/>
        <v>19</v>
      </c>
      <c r="V857" s="2">
        <f t="shared" si="627"/>
        <v>228</v>
      </c>
    </row>
    <row r="858" spans="1:22" x14ac:dyDescent="0.3">
      <c r="A858" s="2">
        <f t="shared" si="625"/>
        <v>19229</v>
      </c>
      <c r="I858" s="1"/>
      <c r="J858" s="2" t="str">
        <f t="shared" ref="J858" si="647">CONCATENATE(K857,1)</f>
        <v>81</v>
      </c>
      <c r="K858" s="4" t="e">
        <f t="array" ref="K858:Q860">LINEST(B845:B852,C845:C852^{1,2,3,4,5,6},TRUE,TRUE)</f>
        <v>#VALUE!</v>
      </c>
      <c r="L858" s="4" t="e">
        <v>#VALUE!</v>
      </c>
      <c r="M858" s="4" t="e">
        <v>#VALUE!</v>
      </c>
      <c r="N858" s="4" t="e">
        <v>#VALUE!</v>
      </c>
      <c r="O858" s="4" t="e">
        <v>#VALUE!</v>
      </c>
      <c r="P858" s="4" t="e">
        <v>#VALUE!</v>
      </c>
      <c r="Q858" s="4" t="e">
        <v>#VALUE!</v>
      </c>
      <c r="R858" s="1"/>
      <c r="S858" s="1"/>
      <c r="T858" s="1"/>
      <c r="U858" s="2">
        <f t="shared" si="626"/>
        <v>19</v>
      </c>
      <c r="V858" s="2">
        <f t="shared" si="627"/>
        <v>229</v>
      </c>
    </row>
    <row r="859" spans="1:22" x14ac:dyDescent="0.3">
      <c r="A859" s="2">
        <f t="shared" si="625"/>
        <v>19230</v>
      </c>
      <c r="B859" s="58" t="s">
        <v>30</v>
      </c>
      <c r="C859" s="58"/>
      <c r="D859" s="58"/>
      <c r="E859" s="58"/>
      <c r="F859" s="58"/>
      <c r="G859" s="58"/>
      <c r="H859" s="58"/>
      <c r="I859" s="1"/>
      <c r="J859" s="2" t="str">
        <f t="shared" ref="J859" si="648">CONCATENATE(K857,2)</f>
        <v>82</v>
      </c>
      <c r="K859" s="4" t="e">
        <v>#VALUE!</v>
      </c>
      <c r="L859" s="4" t="e">
        <v>#VALUE!</v>
      </c>
      <c r="M859" s="4" t="e">
        <v>#VALUE!</v>
      </c>
      <c r="N859" s="4" t="e">
        <v>#VALUE!</v>
      </c>
      <c r="O859" s="4" t="e">
        <v>#VALUE!</v>
      </c>
      <c r="P859" s="4" t="e">
        <v>#VALUE!</v>
      </c>
      <c r="Q859" s="4" t="e">
        <v>#VALUE!</v>
      </c>
      <c r="R859" s="1"/>
      <c r="S859" s="1"/>
      <c r="T859" s="1"/>
      <c r="U859" s="2">
        <f t="shared" si="626"/>
        <v>19</v>
      </c>
      <c r="V859" s="2">
        <f t="shared" si="627"/>
        <v>230</v>
      </c>
    </row>
    <row r="860" spans="1:22" x14ac:dyDescent="0.3">
      <c r="A860" s="2">
        <f t="shared" si="625"/>
        <v>19231</v>
      </c>
      <c r="B860" s="62"/>
      <c r="C860" s="62"/>
      <c r="D860" s="62"/>
      <c r="E860" s="62"/>
      <c r="F860" s="62"/>
      <c r="G860" s="62"/>
      <c r="H860" s="62"/>
      <c r="I860" s="1"/>
      <c r="J860" s="2" t="str">
        <f t="shared" ref="J860" si="649">CONCATENATE(K857,3)</f>
        <v>83</v>
      </c>
      <c r="K860" s="4" t="e">
        <v>#VALUE!</v>
      </c>
      <c r="L860" s="4" t="e">
        <v>#VALUE!</v>
      </c>
      <c r="M860" s="4" t="e">
        <v>#VALUE!</v>
      </c>
      <c r="N860" s="4" t="e">
        <v>#VALUE!</v>
      </c>
      <c r="O860" s="4" t="e">
        <v>#VALUE!</v>
      </c>
      <c r="P860" s="4" t="e">
        <v>#VALUE!</v>
      </c>
      <c r="Q860" s="4" t="e">
        <v>#VALUE!</v>
      </c>
      <c r="R860" s="1"/>
      <c r="S860" s="1"/>
      <c r="T860" s="1"/>
      <c r="U860" s="2">
        <f t="shared" si="626"/>
        <v>19</v>
      </c>
      <c r="V860" s="2">
        <f t="shared" si="627"/>
        <v>231</v>
      </c>
    </row>
    <row r="861" spans="1:22" x14ac:dyDescent="0.3">
      <c r="A861" s="2">
        <f t="shared" si="625"/>
        <v>19232</v>
      </c>
      <c r="B861" s="62"/>
      <c r="C861" s="62"/>
      <c r="D861" s="62"/>
      <c r="E861" s="62"/>
      <c r="F861" s="62"/>
      <c r="G861" s="62"/>
      <c r="H861" s="62"/>
      <c r="I861" s="1"/>
      <c r="J861" s="1"/>
      <c r="K861" s="1">
        <v>9</v>
      </c>
      <c r="L861" s="1">
        <v>9</v>
      </c>
      <c r="M861" s="1">
        <v>9</v>
      </c>
      <c r="N861" s="1">
        <v>9</v>
      </c>
      <c r="O861" s="1">
        <v>9</v>
      </c>
      <c r="P861" s="1">
        <v>9</v>
      </c>
      <c r="Q861" s="1">
        <v>9</v>
      </c>
      <c r="R861" s="1">
        <v>9</v>
      </c>
      <c r="S861" s="1"/>
      <c r="T861" s="1"/>
      <c r="U861" s="2">
        <f t="shared" si="626"/>
        <v>19</v>
      </c>
      <c r="V861" s="2">
        <f t="shared" si="627"/>
        <v>232</v>
      </c>
    </row>
    <row r="862" spans="1:22" x14ac:dyDescent="0.3">
      <c r="A862" s="2">
        <f t="shared" si="625"/>
        <v>19233</v>
      </c>
      <c r="B862" s="1"/>
      <c r="C862" s="1"/>
      <c r="D862" s="1"/>
      <c r="E862" s="1"/>
      <c r="F862" s="1"/>
      <c r="G862" s="1"/>
      <c r="H862" s="1"/>
      <c r="I862" s="1"/>
      <c r="J862" s="2" t="str">
        <f t="shared" ref="J862" si="650">CONCATENATE(K861,1)</f>
        <v>91</v>
      </c>
      <c r="K862" s="4" t="e">
        <f t="array" ref="K862:R864">LINEST(B845:B853,C845:C853^{1,2,3,4,5,6,7},TRUE,TRUE)</f>
        <v>#VALUE!</v>
      </c>
      <c r="L862" s="4" t="e">
        <v>#VALUE!</v>
      </c>
      <c r="M862" s="4" t="e">
        <v>#VALUE!</v>
      </c>
      <c r="N862" s="4" t="e">
        <v>#VALUE!</v>
      </c>
      <c r="O862" s="4" t="e">
        <v>#VALUE!</v>
      </c>
      <c r="P862" s="4" t="e">
        <v>#VALUE!</v>
      </c>
      <c r="Q862" s="4" t="e">
        <v>#VALUE!</v>
      </c>
      <c r="R862" s="4" t="e">
        <v>#VALUE!</v>
      </c>
      <c r="S862" s="1"/>
      <c r="T862" s="1"/>
      <c r="U862" s="2">
        <f t="shared" si="626"/>
        <v>19</v>
      </c>
      <c r="V862" s="2">
        <f t="shared" si="627"/>
        <v>233</v>
      </c>
    </row>
    <row r="863" spans="1:22" x14ac:dyDescent="0.3">
      <c r="A863" s="2">
        <f t="shared" si="625"/>
        <v>19234</v>
      </c>
      <c r="B863" s="5" t="s">
        <v>31</v>
      </c>
      <c r="C863" s="5" t="s">
        <v>32</v>
      </c>
      <c r="D863" s="5" t="s">
        <v>33</v>
      </c>
      <c r="E863" s="4" t="s">
        <v>34</v>
      </c>
      <c r="F863" s="57" t="s">
        <v>35</v>
      </c>
      <c r="G863" s="58"/>
      <c r="H863" s="58"/>
      <c r="I863" s="1"/>
      <c r="J863" s="2" t="str">
        <f t="shared" ref="J863" si="651">CONCATENATE(K861,2)</f>
        <v>92</v>
      </c>
      <c r="K863" s="4" t="e">
        <v>#VALUE!</v>
      </c>
      <c r="L863" s="4" t="e">
        <v>#VALUE!</v>
      </c>
      <c r="M863" s="4" t="e">
        <v>#VALUE!</v>
      </c>
      <c r="N863" s="4" t="e">
        <v>#VALUE!</v>
      </c>
      <c r="O863" s="4" t="e">
        <v>#VALUE!</v>
      </c>
      <c r="P863" s="4" t="e">
        <v>#VALUE!</v>
      </c>
      <c r="Q863" s="4" t="e">
        <v>#VALUE!</v>
      </c>
      <c r="R863" s="4" t="e">
        <v>#VALUE!</v>
      </c>
      <c r="S863" s="1"/>
      <c r="T863" s="1"/>
      <c r="U863" s="2">
        <f t="shared" si="626"/>
        <v>19</v>
      </c>
      <c r="V863" s="2">
        <f t="shared" si="627"/>
        <v>234</v>
      </c>
    </row>
    <row r="864" spans="1:22" x14ac:dyDescent="0.3">
      <c r="A864" s="2">
        <f t="shared" si="625"/>
        <v>19235</v>
      </c>
      <c r="B864" s="5">
        <f t="shared" ref="B864:B873" si="652">C845-B845</f>
        <v>2.0000000000000052E-5</v>
      </c>
      <c r="C864" s="5">
        <f t="shared" ref="C864:C873" si="653">H845-G845</f>
        <v>0</v>
      </c>
      <c r="D864" s="5">
        <f>C864-B864</f>
        <v>-2.0000000000000052E-5</v>
      </c>
      <c r="E864" s="4">
        <f t="shared" ref="E864:E873" si="654">D845</f>
        <v>2.0000000000000002E-5</v>
      </c>
      <c r="F864" s="11">
        <f>IF(D832="","",MAX(G864,H864))</f>
        <v>2.0000000000663931E-4</v>
      </c>
      <c r="G864" s="5">
        <f>ABS(MIN(D864:D873))</f>
        <v>2.9999999999752447E-5</v>
      </c>
      <c r="H864" s="5">
        <f>ABS(MAX(D864:D873))</f>
        <v>2.0000000000663931E-4</v>
      </c>
      <c r="I864" s="1"/>
      <c r="J864" s="2" t="str">
        <f t="shared" ref="J864" si="655">CONCATENATE(K861,3)</f>
        <v>93</v>
      </c>
      <c r="K864" s="4" t="e">
        <v>#VALUE!</v>
      </c>
      <c r="L864" s="4" t="e">
        <v>#VALUE!</v>
      </c>
      <c r="M864" s="4" t="e">
        <v>#VALUE!</v>
      </c>
      <c r="N864" s="4" t="e">
        <v>#VALUE!</v>
      </c>
      <c r="O864" s="4" t="e">
        <v>#VALUE!</v>
      </c>
      <c r="P864" s="4" t="e">
        <v>#VALUE!</v>
      </c>
      <c r="Q864" s="4" t="e">
        <v>#VALUE!</v>
      </c>
      <c r="R864" s="4" t="e">
        <v>#VALUE!</v>
      </c>
      <c r="S864" s="1"/>
      <c r="T864" s="1"/>
      <c r="U864" s="2">
        <f t="shared" si="626"/>
        <v>19</v>
      </c>
      <c r="V864" s="2">
        <f t="shared" si="627"/>
        <v>235</v>
      </c>
    </row>
    <row r="865" spans="1:22" x14ac:dyDescent="0.3">
      <c r="A865" s="2">
        <f t="shared" si="625"/>
        <v>19236</v>
      </c>
      <c r="B865" s="5">
        <f t="shared" si="652"/>
        <v>-2.0000000000000052E-5</v>
      </c>
      <c r="C865" s="5">
        <f t="shared" si="653"/>
        <v>0</v>
      </c>
      <c r="D865" s="5">
        <f t="shared" ref="D865:D873" si="656">C865-B865</f>
        <v>2.0000000000000052E-5</v>
      </c>
      <c r="E865" s="4">
        <f t="shared" si="654"/>
        <v>2.0000000000000002E-5</v>
      </c>
      <c r="F865" s="57" t="s">
        <v>36</v>
      </c>
      <c r="G865" s="58"/>
      <c r="H865" s="58"/>
      <c r="I865" s="1"/>
      <c r="J865" s="1"/>
      <c r="K865" s="1">
        <v>10</v>
      </c>
      <c r="L865" s="1">
        <v>10</v>
      </c>
      <c r="M865" s="1">
        <v>10</v>
      </c>
      <c r="N865" s="1">
        <v>10</v>
      </c>
      <c r="O865" s="1">
        <v>10</v>
      </c>
      <c r="P865" s="1">
        <v>10</v>
      </c>
      <c r="Q865" s="1">
        <v>10</v>
      </c>
      <c r="R865" s="1">
        <v>10</v>
      </c>
      <c r="S865" s="1">
        <v>10</v>
      </c>
      <c r="T865" s="1"/>
      <c r="U865" s="2">
        <f t="shared" si="626"/>
        <v>19</v>
      </c>
      <c r="V865" s="2">
        <f t="shared" si="627"/>
        <v>236</v>
      </c>
    </row>
    <row r="866" spans="1:22" x14ac:dyDescent="0.3">
      <c r="A866" s="2">
        <f t="shared" si="625"/>
        <v>19237</v>
      </c>
      <c r="B866" s="5">
        <f t="shared" si="652"/>
        <v>2.9999999999752447E-5</v>
      </c>
      <c r="C866" s="5">
        <f t="shared" si="653"/>
        <v>0</v>
      </c>
      <c r="D866" s="5">
        <f t="shared" si="656"/>
        <v>-2.9999999999752447E-5</v>
      </c>
      <c r="E866" s="4">
        <f t="shared" si="654"/>
        <v>3.0000000000000001E-5</v>
      </c>
      <c r="F866" s="11">
        <f>IF(D832="","",MAX(G866,H866))</f>
        <v>2.0000000000663931E-4</v>
      </c>
      <c r="G866" s="5">
        <f>ABS(MIN(B864:B873))</f>
        <v>2.0000000000663931E-4</v>
      </c>
      <c r="H866" s="5">
        <f>ABS(MAX(B864:B873))</f>
        <v>2.9999999999752447E-5</v>
      </c>
      <c r="I866" s="1"/>
      <c r="J866" s="2" t="str">
        <f t="shared" ref="J866" si="657">CONCATENATE(K865,1)</f>
        <v>101</v>
      </c>
      <c r="K866" s="4" t="e">
        <f t="array" ref="K866:S868">LINEST(B845:B854,C845:C854^{1,2,3,4,5,6,7,8},TRUE,TRUE)</f>
        <v>#VALUE!</v>
      </c>
      <c r="L866" s="4" t="e">
        <v>#VALUE!</v>
      </c>
      <c r="M866" s="4" t="e">
        <v>#VALUE!</v>
      </c>
      <c r="N866" s="4" t="e">
        <v>#VALUE!</v>
      </c>
      <c r="O866" s="4" t="e">
        <v>#VALUE!</v>
      </c>
      <c r="P866" s="4" t="e">
        <v>#VALUE!</v>
      </c>
      <c r="Q866" s="4" t="e">
        <v>#VALUE!</v>
      </c>
      <c r="R866" s="4" t="e">
        <v>#VALUE!</v>
      </c>
      <c r="S866" s="4" t="e">
        <v>#VALUE!</v>
      </c>
      <c r="T866" s="1"/>
      <c r="U866" s="2">
        <f t="shared" si="626"/>
        <v>19</v>
      </c>
      <c r="V866" s="2">
        <f t="shared" si="627"/>
        <v>237</v>
      </c>
    </row>
    <row r="867" spans="1:22" x14ac:dyDescent="0.3">
      <c r="A867" s="2">
        <f t="shared" si="625"/>
        <v>19238</v>
      </c>
      <c r="B867" s="5">
        <f t="shared" si="652"/>
        <v>-1.9999999999242846E-5</v>
      </c>
      <c r="C867" s="5">
        <f t="shared" si="653"/>
        <v>0</v>
      </c>
      <c r="D867" s="5">
        <f t="shared" si="656"/>
        <v>1.9999999999242846E-5</v>
      </c>
      <c r="E867" s="4">
        <f t="shared" si="654"/>
        <v>1.4999999999999999E-4</v>
      </c>
      <c r="F867" s="57" t="s">
        <v>37</v>
      </c>
      <c r="G867" s="58"/>
      <c r="H867" s="58"/>
      <c r="I867" s="1"/>
      <c r="J867" s="2" t="str">
        <f t="shared" ref="J867" si="658">CONCATENATE(K865,2)</f>
        <v>102</v>
      </c>
      <c r="K867" s="4" t="e">
        <v>#VALUE!</v>
      </c>
      <c r="L867" s="4" t="e">
        <v>#VALUE!</v>
      </c>
      <c r="M867" s="4" t="e">
        <v>#VALUE!</v>
      </c>
      <c r="N867" s="4" t="e">
        <v>#VALUE!</v>
      </c>
      <c r="O867" s="4" t="e">
        <v>#VALUE!</v>
      </c>
      <c r="P867" s="4" t="e">
        <v>#VALUE!</v>
      </c>
      <c r="Q867" s="4" t="e">
        <v>#VALUE!</v>
      </c>
      <c r="R867" s="4" t="e">
        <v>#VALUE!</v>
      </c>
      <c r="S867" s="4" t="e">
        <v>#VALUE!</v>
      </c>
      <c r="T867" s="1"/>
      <c r="U867" s="2">
        <f t="shared" si="626"/>
        <v>19</v>
      </c>
      <c r="V867" s="2">
        <f t="shared" si="627"/>
        <v>238</v>
      </c>
    </row>
    <row r="868" spans="1:22" x14ac:dyDescent="0.3">
      <c r="A868" s="2">
        <f t="shared" si="625"/>
        <v>19239</v>
      </c>
      <c r="B868" s="5">
        <f t="shared" si="652"/>
        <v>-2.0000000000663931E-4</v>
      </c>
      <c r="C868" s="5">
        <f t="shared" si="653"/>
        <v>0</v>
      </c>
      <c r="D868" s="5">
        <f t="shared" si="656"/>
        <v>2.0000000000663931E-4</v>
      </c>
      <c r="E868" s="4">
        <f t="shared" si="654"/>
        <v>4.0000000000000002E-4</v>
      </c>
      <c r="F868" s="11">
        <f>IF(D832="","",MAX(G868,H868))</f>
        <v>8.0000000000000004E-4</v>
      </c>
      <c r="G868" s="5">
        <f>ABS(MIN(E864:E873))</f>
        <v>0</v>
      </c>
      <c r="H868" s="5">
        <f>ABS(MAX(E864:E873))</f>
        <v>8.0000000000000004E-4</v>
      </c>
      <c r="I868" s="1"/>
      <c r="J868" s="2" t="str">
        <f t="shared" ref="J868" si="659">CONCATENATE(K865,3)</f>
        <v>103</v>
      </c>
      <c r="K868" s="4" t="e">
        <v>#VALUE!</v>
      </c>
      <c r="L868" s="4" t="e">
        <v>#VALUE!</v>
      </c>
      <c r="M868" s="4" t="e">
        <v>#VALUE!</v>
      </c>
      <c r="N868" s="4" t="e">
        <v>#VALUE!</v>
      </c>
      <c r="O868" s="4" t="e">
        <v>#VALUE!</v>
      </c>
      <c r="P868" s="4" t="e">
        <v>#VALUE!</v>
      </c>
      <c r="Q868" s="4" t="e">
        <v>#VALUE!</v>
      </c>
      <c r="R868" s="4" t="e">
        <v>#VALUE!</v>
      </c>
      <c r="S868" s="4" t="e">
        <v>#VALUE!</v>
      </c>
      <c r="T868" s="1"/>
      <c r="U868" s="2">
        <f t="shared" si="626"/>
        <v>19</v>
      </c>
      <c r="V868" s="2">
        <f t="shared" si="627"/>
        <v>239</v>
      </c>
    </row>
    <row r="869" spans="1:22" x14ac:dyDescent="0.3">
      <c r="A869" s="2">
        <f t="shared" si="625"/>
        <v>19240</v>
      </c>
      <c r="B869" s="5">
        <f t="shared" si="652"/>
        <v>-2.0000000000663931E-4</v>
      </c>
      <c r="C869" s="5">
        <f t="shared" si="653"/>
        <v>0</v>
      </c>
      <c r="D869" s="5">
        <f t="shared" si="656"/>
        <v>2.0000000000663931E-4</v>
      </c>
      <c r="E869" s="4">
        <f t="shared" si="654"/>
        <v>6.9999999999999999E-4</v>
      </c>
      <c r="F869" s="57" t="s">
        <v>51</v>
      </c>
      <c r="G869" s="58"/>
      <c r="H869" s="5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2">
        <f t="shared" si="626"/>
        <v>19</v>
      </c>
      <c r="V869" s="2">
        <f t="shared" si="627"/>
        <v>240</v>
      </c>
    </row>
    <row r="870" spans="1:22" x14ac:dyDescent="0.3">
      <c r="A870" s="2">
        <f t="shared" si="625"/>
        <v>19241</v>
      </c>
      <c r="B870" s="5">
        <f t="shared" si="652"/>
        <v>0</v>
      </c>
      <c r="C870" s="5">
        <f t="shared" si="653"/>
        <v>0</v>
      </c>
      <c r="D870" s="5">
        <f t="shared" si="656"/>
        <v>0</v>
      </c>
      <c r="E870" s="4">
        <f t="shared" si="654"/>
        <v>8.0000000000000004E-4</v>
      </c>
      <c r="F870" s="21">
        <f>MAX(G870:H872)</f>
        <v>2.0000000000663931E-4</v>
      </c>
      <c r="G870" s="4">
        <f>IF(C857="",0,ABS(C857-B857))</f>
        <v>2.0000000000663931E-4</v>
      </c>
      <c r="H870" s="4">
        <f>IF(F857="",0,ABS(F857-B857))</f>
        <v>1.0000000000331966E-4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">
        <f t="shared" si="626"/>
        <v>19</v>
      </c>
      <c r="V870" s="2">
        <f t="shared" si="627"/>
        <v>241</v>
      </c>
    </row>
    <row r="871" spans="1:22" x14ac:dyDescent="0.3">
      <c r="A871" s="2">
        <f t="shared" si="625"/>
        <v>19242</v>
      </c>
      <c r="B871" s="5">
        <f t="shared" si="652"/>
        <v>0</v>
      </c>
      <c r="C871" s="5">
        <f t="shared" si="653"/>
        <v>0</v>
      </c>
      <c r="D871" s="5">
        <f t="shared" si="656"/>
        <v>0</v>
      </c>
      <c r="E871" s="4">
        <f t="shared" si="654"/>
        <v>0</v>
      </c>
      <c r="F871" s="4" t="s">
        <v>52</v>
      </c>
      <c r="G871" s="4">
        <f>IF(D857="",0,ABS(D857-B857))</f>
        <v>2.0000000000663931E-4</v>
      </c>
      <c r="H871" s="4">
        <f>IF(G857="",0,ABS(G857-B857))</f>
        <v>2.0000000000663931E-4</v>
      </c>
      <c r="I871" s="1"/>
      <c r="J871" s="1"/>
      <c r="R871" s="1"/>
      <c r="S871" s="1"/>
      <c r="T871" s="1"/>
      <c r="U871" s="2">
        <f t="shared" si="626"/>
        <v>19</v>
      </c>
      <c r="V871" s="2">
        <f t="shared" si="627"/>
        <v>242</v>
      </c>
    </row>
    <row r="872" spans="1:22" x14ac:dyDescent="0.3">
      <c r="A872" s="2">
        <f t="shared" si="625"/>
        <v>19243</v>
      </c>
      <c r="B872" s="5">
        <f t="shared" si="652"/>
        <v>0</v>
      </c>
      <c r="C872" s="5">
        <f t="shared" si="653"/>
        <v>0</v>
      </c>
      <c r="D872" s="5">
        <f t="shared" si="656"/>
        <v>0</v>
      </c>
      <c r="E872" s="4">
        <f t="shared" si="654"/>
        <v>0</v>
      </c>
      <c r="F872" s="22">
        <f>IF(F870=0,0,F870/B857%)</f>
        <v>2.0000000000663931E-4</v>
      </c>
      <c r="G872" s="4">
        <f>IF(G857="",0,ABS(G857-B857))</f>
        <v>2.0000000000663931E-4</v>
      </c>
      <c r="H872" s="4">
        <f>IF(H857="",0,ABS(H857-B857))</f>
        <v>2.0000000000663931E-4</v>
      </c>
      <c r="I872" s="1"/>
      <c r="J872" s="1"/>
      <c r="R872" s="1"/>
      <c r="S872" s="1"/>
      <c r="T872" s="1"/>
      <c r="U872" s="2">
        <f t="shared" si="626"/>
        <v>19</v>
      </c>
      <c r="V872" s="2">
        <f t="shared" si="627"/>
        <v>243</v>
      </c>
    </row>
    <row r="873" spans="1:22" x14ac:dyDescent="0.3">
      <c r="A873" s="2">
        <f t="shared" si="625"/>
        <v>19244</v>
      </c>
      <c r="B873" s="5">
        <f t="shared" si="652"/>
        <v>0</v>
      </c>
      <c r="C873" s="5">
        <f t="shared" si="653"/>
        <v>0</v>
      </c>
      <c r="D873" s="5">
        <f t="shared" si="656"/>
        <v>0</v>
      </c>
      <c r="E873" s="4">
        <f t="shared" si="654"/>
        <v>0</v>
      </c>
      <c r="F873" s="1"/>
      <c r="G873" s="1"/>
      <c r="H873" s="1"/>
      <c r="I873" s="1"/>
      <c r="J873" s="1"/>
      <c r="R873" s="1"/>
      <c r="S873" s="1"/>
      <c r="T873" s="1"/>
      <c r="U873" s="2">
        <f t="shared" si="626"/>
        <v>19</v>
      </c>
      <c r="V873" s="2">
        <f t="shared" si="627"/>
        <v>244</v>
      </c>
    </row>
    <row r="874" spans="1:22" x14ac:dyDescent="0.3">
      <c r="A874" s="2">
        <f t="shared" si="625"/>
        <v>19245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2">
        <f t="shared" si="626"/>
        <v>19</v>
      </c>
      <c r="V874" s="2">
        <f t="shared" si="627"/>
        <v>245</v>
      </c>
    </row>
    <row r="875" spans="1:22" s="20" customForma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 x14ac:dyDescent="0.3">
      <c r="A876" s="2">
        <f>ROUND(CONCATENATE(U876,V876),0)</f>
        <v>20201</v>
      </c>
      <c r="B876" s="63" t="s">
        <v>0</v>
      </c>
      <c r="C876" s="63"/>
      <c r="D876" s="71"/>
      <c r="E876" s="72"/>
      <c r="F876" s="72"/>
      <c r="G876" s="72"/>
      <c r="H876" s="7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2">
        <f>U874+1</f>
        <v>20</v>
      </c>
      <c r="V876" s="2">
        <v>201</v>
      </c>
    </row>
    <row r="877" spans="1:22" x14ac:dyDescent="0.3">
      <c r="A877" s="2">
        <f t="shared" ref="A877:A920" si="660">ROUND(CONCATENATE(U877,V877),0)</f>
        <v>20202</v>
      </c>
      <c r="B877" s="12" t="s">
        <v>40</v>
      </c>
      <c r="C877" s="13"/>
      <c r="D877" s="16"/>
      <c r="E877" s="57" t="s">
        <v>39</v>
      </c>
      <c r="F877" s="57"/>
      <c r="G877" s="18"/>
      <c r="H877" s="15" t="str">
        <f>IF(D878="","",D877)</f>
        <v/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2">
        <f>U876</f>
        <v>20</v>
      </c>
      <c r="V877" s="2">
        <f>V876+1</f>
        <v>202</v>
      </c>
    </row>
    <row r="878" spans="1:22" x14ac:dyDescent="0.3">
      <c r="A878" s="2">
        <f t="shared" si="660"/>
        <v>20203</v>
      </c>
      <c r="B878" s="63" t="s">
        <v>1</v>
      </c>
      <c r="C878" s="63"/>
      <c r="D878" s="71"/>
      <c r="E878" s="72"/>
      <c r="F878" s="72"/>
      <c r="G878" s="72"/>
      <c r="H878" s="73"/>
      <c r="I878" s="1"/>
      <c r="J878" s="1"/>
      <c r="K878" s="1" t="s">
        <v>2</v>
      </c>
      <c r="L878" s="1" t="s">
        <v>3</v>
      </c>
      <c r="M878" s="1" t="s">
        <v>4</v>
      </c>
      <c r="N878" s="1" t="s">
        <v>5</v>
      </c>
      <c r="O878" s="1" t="s">
        <v>6</v>
      </c>
      <c r="P878" s="1" t="s">
        <v>7</v>
      </c>
      <c r="Q878" s="1" t="s">
        <v>8</v>
      </c>
      <c r="R878" s="1" t="s">
        <v>9</v>
      </c>
      <c r="S878" s="1" t="s">
        <v>10</v>
      </c>
      <c r="T878" s="1"/>
      <c r="U878" s="2">
        <f t="shared" ref="U878:U920" si="661">U877</f>
        <v>20</v>
      </c>
      <c r="V878" s="2">
        <f t="shared" ref="V878:V920" si="662">V877+1</f>
        <v>203</v>
      </c>
    </row>
    <row r="879" spans="1:22" x14ac:dyDescent="0.3">
      <c r="A879" s="2">
        <f t="shared" si="660"/>
        <v>20204</v>
      </c>
      <c r="B879" s="63" t="s">
        <v>11</v>
      </c>
      <c r="C879" s="63"/>
      <c r="D879" s="71"/>
      <c r="E879" s="72"/>
      <c r="F879" s="72"/>
      <c r="G879" s="72"/>
      <c r="H879" s="73"/>
      <c r="I879" s="1"/>
      <c r="J879" s="1">
        <f>COUNTA(B891:B900)</f>
        <v>0</v>
      </c>
      <c r="K879" s="1">
        <f t="shared" ref="K879" si="663">IF(L879-1&lt;2,0,L879-1)</f>
        <v>0</v>
      </c>
      <c r="L879" s="1">
        <f t="shared" ref="L879" si="664">IF(M879-1&lt;2,0,M879-1)</f>
        <v>0</v>
      </c>
      <c r="M879" s="1">
        <f t="shared" ref="M879" si="665">IF(N879-1&lt;2,0,N879-1)</f>
        <v>0</v>
      </c>
      <c r="N879" s="1">
        <f t="shared" ref="N879" si="666">IF(O879-1&lt;2,0,O879-1)</f>
        <v>0</v>
      </c>
      <c r="O879" s="1">
        <f t="shared" ref="O879" si="667">IF(P879-1&lt;2,0,P879-1)</f>
        <v>0</v>
      </c>
      <c r="P879" s="1">
        <f t="shared" ref="P879" si="668">IF(Q879-1&lt;2,0,Q879-1)</f>
        <v>0</v>
      </c>
      <c r="Q879" s="1">
        <f t="shared" ref="Q879" si="669">IF(R879-1&lt;2,0,R879-1)</f>
        <v>0</v>
      </c>
      <c r="R879" s="1">
        <f>IF(S879-1&lt;2,0,S879-1)</f>
        <v>0</v>
      </c>
      <c r="S879" s="1">
        <f>J879</f>
        <v>0</v>
      </c>
      <c r="T879" s="1"/>
      <c r="U879" s="2">
        <f t="shared" si="661"/>
        <v>20</v>
      </c>
      <c r="V879" s="2">
        <f t="shared" si="662"/>
        <v>204</v>
      </c>
    </row>
    <row r="880" spans="1:22" x14ac:dyDescent="0.3">
      <c r="A880" s="2">
        <f t="shared" si="660"/>
        <v>20205</v>
      </c>
      <c r="B880" s="63" t="s">
        <v>12</v>
      </c>
      <c r="C880" s="63"/>
      <c r="D880" s="71"/>
      <c r="E880" s="72"/>
      <c r="F880" s="72"/>
      <c r="G880" s="72"/>
      <c r="H880" s="73"/>
      <c r="I880" s="1"/>
      <c r="J880" s="2" t="str">
        <f>CONCATENATE(J879,1)</f>
        <v>01</v>
      </c>
      <c r="K880" s="3">
        <f>IF(K879=0,0,VLOOKUP(J880,J884:S914,K879,FALSE))</f>
        <v>0</v>
      </c>
      <c r="L880" s="3">
        <f>IF(L879=0,0,VLOOKUP(J880,J884:S914,L879,FALSE))</f>
        <v>0</v>
      </c>
      <c r="M880" s="3">
        <f>IF(M879=0,0,VLOOKUP(J880,J884:S914,M879,FALSE))</f>
        <v>0</v>
      </c>
      <c r="N880" s="3">
        <f>IF(N879=0,0,VLOOKUP(J880,J884:S914,N879,FALSE))</f>
        <v>0</v>
      </c>
      <c r="O880" s="3">
        <f>IF(O879=0,0,VLOOKUP(J880,J884:S914,O879,FALSE))</f>
        <v>0</v>
      </c>
      <c r="P880" s="3">
        <f>IF(P879=0,0,VLOOKUP(J880,J884:S914,P879,FALSE))</f>
        <v>0</v>
      </c>
      <c r="Q880" s="3">
        <f>IF(Q879=0,0,VLOOKUP(J880,J884:S914,Q879,FALSE))</f>
        <v>0</v>
      </c>
      <c r="R880" s="3">
        <f>IF(R879=0,0,VLOOKUP(J880,J884:S914,R879,FALSE))</f>
        <v>0</v>
      </c>
      <c r="S880" s="3">
        <f>IF(S879=0,0,VLOOKUP(J880,J884:S914,S879,FALSE))</f>
        <v>0</v>
      </c>
      <c r="T880" s="1"/>
      <c r="U880" s="2">
        <f t="shared" si="661"/>
        <v>20</v>
      </c>
      <c r="V880" s="2">
        <f t="shared" si="662"/>
        <v>205</v>
      </c>
    </row>
    <row r="881" spans="1:22" x14ac:dyDescent="0.3">
      <c r="A881" s="2">
        <f t="shared" si="660"/>
        <v>20206</v>
      </c>
      <c r="B881" s="63" t="s">
        <v>13</v>
      </c>
      <c r="C881" s="63"/>
      <c r="D881" s="74"/>
      <c r="E881" s="72"/>
      <c r="F881" s="72"/>
      <c r="G881" s="72"/>
      <c r="H881" s="73"/>
      <c r="I881" s="1"/>
      <c r="J881" s="2" t="str">
        <f>CONCATENATE(J879,2)</f>
        <v>02</v>
      </c>
      <c r="K881" s="4">
        <f>IF(K879=0,0,VLOOKUP(J881,J884:S914,K879,FALSE))</f>
        <v>0</v>
      </c>
      <c r="L881" s="4">
        <f>IF(L879=0,0,VLOOKUP(J881,J884:S914,L879,FALSE))</f>
        <v>0</v>
      </c>
      <c r="M881" s="4">
        <f>IF(M879=0,0,VLOOKUP(J881,J884:S914,M879,FALSE))</f>
        <v>0</v>
      </c>
      <c r="N881" s="4">
        <f>IF(N879=0,0,VLOOKUP(J881,J884:S914,N879,FALSE))</f>
        <v>0</v>
      </c>
      <c r="O881" s="4">
        <f>IF(O879=0,0,VLOOKUP(J881,J884:S914,O879,FALSE))</f>
        <v>0</v>
      </c>
      <c r="P881" s="4">
        <f>IF(P879=0,0,VLOOKUP(J881,J884:S914,P879,FALSE))</f>
        <v>0</v>
      </c>
      <c r="Q881" s="4">
        <f>IF(Q879=0,0,VLOOKUP(J881,J884:S914,Q879,FALSE))</f>
        <v>0</v>
      </c>
      <c r="R881" s="4">
        <f>IF(R879=0,0,VLOOKUP(J881,J884:S914,R879,FALSE))</f>
        <v>0</v>
      </c>
      <c r="S881" s="4">
        <f>IF(S879=0,0,VLOOKUP(J881,J884:S914,S879,FALSE))</f>
        <v>0</v>
      </c>
      <c r="T881" s="1"/>
      <c r="U881" s="2">
        <f t="shared" si="661"/>
        <v>20</v>
      </c>
      <c r="V881" s="2">
        <f t="shared" si="662"/>
        <v>206</v>
      </c>
    </row>
    <row r="882" spans="1:22" x14ac:dyDescent="0.3">
      <c r="A882" s="2">
        <f t="shared" si="660"/>
        <v>20207</v>
      </c>
      <c r="B882" s="63" t="s">
        <v>14</v>
      </c>
      <c r="C882" s="63"/>
      <c r="D882" s="75"/>
      <c r="E882" s="76"/>
      <c r="F882" s="76"/>
      <c r="G882" s="76"/>
      <c r="H882" s="77"/>
      <c r="I882" s="1"/>
      <c r="J882" s="2" t="str">
        <f>CONCATENATE(J879,3)</f>
        <v>03</v>
      </c>
      <c r="K882" s="4"/>
      <c r="L882" s="4"/>
      <c r="M882" s="4"/>
      <c r="N882" s="4" t="s">
        <v>15</v>
      </c>
      <c r="O882" s="3">
        <f>J879-2</f>
        <v>-2</v>
      </c>
      <c r="P882" s="4" t="s">
        <v>16</v>
      </c>
      <c r="Q882" s="3" t="e">
        <f>VLOOKUP(J882,J884:S914,3,FALSE)</f>
        <v>#N/A</v>
      </c>
      <c r="R882" s="4" t="s">
        <v>17</v>
      </c>
      <c r="S882" s="4" t="e">
        <f>VLOOKUP(J882,J884:S914,2,FALSE)</f>
        <v>#N/A</v>
      </c>
      <c r="T882" s="1"/>
      <c r="U882" s="2">
        <f t="shared" si="661"/>
        <v>20</v>
      </c>
      <c r="V882" s="2">
        <f t="shared" si="662"/>
        <v>207</v>
      </c>
    </row>
    <row r="883" spans="1:22" x14ac:dyDescent="0.3">
      <c r="A883" s="2">
        <f t="shared" si="660"/>
        <v>20208</v>
      </c>
      <c r="B883" s="63" t="s">
        <v>18</v>
      </c>
      <c r="C883" s="63"/>
      <c r="D883" s="64"/>
      <c r="E883" s="65"/>
      <c r="F883" s="65"/>
      <c r="G883" s="65"/>
      <c r="H883" s="66"/>
      <c r="I883" s="1"/>
      <c r="J883" s="1"/>
      <c r="K883" s="1">
        <v>3</v>
      </c>
      <c r="L883" s="1">
        <v>3</v>
      </c>
      <c r="M883" s="1"/>
      <c r="N883" s="1"/>
      <c r="O883" s="1"/>
      <c r="P883" s="1"/>
      <c r="Q883" s="1"/>
      <c r="R883" s="1"/>
      <c r="S883" s="1"/>
      <c r="T883" s="1"/>
      <c r="U883" s="2">
        <f t="shared" si="661"/>
        <v>20</v>
      </c>
      <c r="V883" s="2">
        <f t="shared" si="662"/>
        <v>208</v>
      </c>
    </row>
    <row r="884" spans="1:22" x14ac:dyDescent="0.3">
      <c r="A884" s="2">
        <f t="shared" si="660"/>
        <v>20209</v>
      </c>
      <c r="B884" s="67" t="s">
        <v>19</v>
      </c>
      <c r="C884" s="63"/>
      <c r="D884" s="5" t="str">
        <f>IF(D877="","",MIN(B891:B900))</f>
        <v/>
      </c>
      <c r="E884" s="6" t="s">
        <v>20</v>
      </c>
      <c r="F884" s="5" t="str">
        <f>IF(D877="","",MAX(B891:B900))</f>
        <v/>
      </c>
      <c r="G884" s="7" t="str">
        <f>IF(D878="","",H877)</f>
        <v/>
      </c>
      <c r="H884" s="14"/>
      <c r="I884" s="1"/>
      <c r="J884" s="2" t="str">
        <f>CONCATENATE(K883,1)</f>
        <v>31</v>
      </c>
      <c r="K884" s="4" t="e">
        <f t="array" ref="K884:L886">LINEST(B891:B893,C891:C893^{1},TRUE,TRUE)</f>
        <v>#VALUE!</v>
      </c>
      <c r="L884" s="4" t="e">
        <v>#VALUE!</v>
      </c>
      <c r="M884" s="1"/>
      <c r="N884" s="1"/>
      <c r="O884" s="1"/>
      <c r="P884" s="1"/>
      <c r="Q884" s="1"/>
      <c r="R884" s="1"/>
      <c r="S884" s="1"/>
      <c r="T884" s="1"/>
      <c r="U884" s="2">
        <f t="shared" si="661"/>
        <v>20</v>
      </c>
      <c r="V884" s="2">
        <f t="shared" si="662"/>
        <v>209</v>
      </c>
    </row>
    <row r="885" spans="1:22" x14ac:dyDescent="0.3">
      <c r="A885" s="2">
        <f t="shared" si="660"/>
        <v>20210</v>
      </c>
      <c r="B885" s="1"/>
      <c r="C885" s="1"/>
      <c r="D885" s="1"/>
      <c r="E885" s="1"/>
      <c r="F885" s="1"/>
      <c r="G885" s="1"/>
      <c r="H885" s="1"/>
      <c r="I885" s="1"/>
      <c r="J885" s="2" t="str">
        <f>CONCATENATE(K883,2)</f>
        <v>32</v>
      </c>
      <c r="K885" s="4" t="e">
        <v>#VALUE!</v>
      </c>
      <c r="L885" s="4" t="e">
        <v>#VALUE!</v>
      </c>
      <c r="M885" s="1"/>
      <c r="N885" s="1"/>
      <c r="O885" s="1"/>
      <c r="P885" s="1"/>
      <c r="Q885" s="1"/>
      <c r="R885" s="1"/>
      <c r="S885" s="1"/>
      <c r="T885" s="1"/>
      <c r="U885" s="2">
        <f t="shared" si="661"/>
        <v>20</v>
      </c>
      <c r="V885" s="2">
        <f t="shared" si="662"/>
        <v>210</v>
      </c>
    </row>
    <row r="886" spans="1:22" x14ac:dyDescent="0.3">
      <c r="A886" s="2">
        <f t="shared" si="660"/>
        <v>20211</v>
      </c>
      <c r="B886" s="68" t="s">
        <v>21</v>
      </c>
      <c r="C886" s="68"/>
      <c r="D886" s="68"/>
      <c r="E886" s="68"/>
      <c r="F886" s="68"/>
      <c r="G886" s="69" t="s">
        <v>22</v>
      </c>
      <c r="H886" s="70"/>
      <c r="I886" s="1"/>
      <c r="J886" s="2" t="str">
        <f>CONCATENATE(K883,3)</f>
        <v>33</v>
      </c>
      <c r="K886" s="4" t="e">
        <v>#VALUE!</v>
      </c>
      <c r="L886" s="4" t="e">
        <v>#VALUE!</v>
      </c>
      <c r="M886" s="1"/>
      <c r="N886" s="1"/>
      <c r="O886" s="1"/>
      <c r="P886" s="1"/>
      <c r="Q886" s="1"/>
      <c r="R886" s="1"/>
      <c r="S886" s="1"/>
      <c r="T886" s="1"/>
      <c r="U886" s="2">
        <f t="shared" si="661"/>
        <v>20</v>
      </c>
      <c r="V886" s="2">
        <f t="shared" si="662"/>
        <v>211</v>
      </c>
    </row>
    <row r="887" spans="1:22" x14ac:dyDescent="0.3">
      <c r="A887" s="2">
        <f t="shared" si="660"/>
        <v>20212</v>
      </c>
      <c r="B887" s="61" t="s">
        <v>23</v>
      </c>
      <c r="C887" s="61"/>
      <c r="D887" s="61"/>
      <c r="E887" s="61">
        <f>D881</f>
        <v>0</v>
      </c>
      <c r="F887" s="61"/>
      <c r="G887" s="4" t="s">
        <v>24</v>
      </c>
      <c r="H887" s="31"/>
      <c r="I887" s="1"/>
      <c r="J887" s="1"/>
      <c r="K887" s="1">
        <v>4</v>
      </c>
      <c r="L887" s="1">
        <v>4</v>
      </c>
      <c r="M887" s="1">
        <v>4</v>
      </c>
      <c r="N887" s="1"/>
      <c r="O887" s="1"/>
      <c r="P887" s="1"/>
      <c r="Q887" s="1"/>
      <c r="R887" s="1"/>
      <c r="S887" s="1"/>
      <c r="T887" s="1"/>
      <c r="U887" s="2">
        <f t="shared" si="661"/>
        <v>20</v>
      </c>
      <c r="V887" s="2">
        <f t="shared" si="662"/>
        <v>212</v>
      </c>
    </row>
    <row r="888" spans="1:22" x14ac:dyDescent="0.3">
      <c r="A888" s="2">
        <f t="shared" si="660"/>
        <v>20213</v>
      </c>
      <c r="B888" s="59" t="s">
        <v>25</v>
      </c>
      <c r="C888" s="59" t="s">
        <v>26</v>
      </c>
      <c r="D888" s="59" t="s">
        <v>27</v>
      </c>
      <c r="E888" s="59" t="s">
        <v>28</v>
      </c>
      <c r="F888" s="59" t="s">
        <v>29</v>
      </c>
      <c r="G888" s="59" t="s">
        <v>25</v>
      </c>
      <c r="H888" s="59" t="s">
        <v>26</v>
      </c>
      <c r="I888" s="1"/>
      <c r="J888" s="2" t="str">
        <f t="shared" ref="J888" si="670">CONCATENATE(K887,1)</f>
        <v>41</v>
      </c>
      <c r="K888" s="4" t="e">
        <f t="array" ref="K888:M890">LINEST(B891:B894,C891:C894^{1,2},TRUE,TRUE)</f>
        <v>#VALUE!</v>
      </c>
      <c r="L888" s="4" t="e">
        <v>#VALUE!</v>
      </c>
      <c r="M888" s="4" t="e">
        <v>#VALUE!</v>
      </c>
      <c r="N888" s="1"/>
      <c r="O888" s="1"/>
      <c r="P888" s="1"/>
      <c r="Q888" s="1"/>
      <c r="R888" s="1"/>
      <c r="S888" s="1"/>
      <c r="T888" s="1"/>
      <c r="U888" s="2">
        <f t="shared" si="661"/>
        <v>20</v>
      </c>
      <c r="V888" s="2">
        <f t="shared" si="662"/>
        <v>213</v>
      </c>
    </row>
    <row r="889" spans="1:22" x14ac:dyDescent="0.3">
      <c r="A889" s="2">
        <f t="shared" si="660"/>
        <v>20214</v>
      </c>
      <c r="B889" s="60"/>
      <c r="C889" s="60"/>
      <c r="D889" s="60"/>
      <c r="E889" s="60"/>
      <c r="F889" s="60"/>
      <c r="G889" s="60"/>
      <c r="H889" s="60"/>
      <c r="I889" s="1"/>
      <c r="J889" s="2" t="str">
        <f t="shared" ref="J889" si="671">CONCATENATE(K887,2)</f>
        <v>42</v>
      </c>
      <c r="K889" s="4" t="e">
        <v>#VALUE!</v>
      </c>
      <c r="L889" s="4" t="e">
        <v>#VALUE!</v>
      </c>
      <c r="M889" s="4" t="e">
        <v>#VALUE!</v>
      </c>
      <c r="N889" s="1"/>
      <c r="O889" s="1"/>
      <c r="P889" s="1"/>
      <c r="Q889" s="1"/>
      <c r="R889" s="1"/>
      <c r="S889" s="1"/>
      <c r="T889" s="1"/>
      <c r="U889" s="2">
        <f t="shared" si="661"/>
        <v>20</v>
      </c>
      <c r="V889" s="2">
        <f t="shared" si="662"/>
        <v>214</v>
      </c>
    </row>
    <row r="890" spans="1:22" x14ac:dyDescent="0.3">
      <c r="A890" s="2">
        <f t="shared" si="660"/>
        <v>20215</v>
      </c>
      <c r="B890" s="9" t="str">
        <f>CONCATENATE("(",H877,")")</f>
        <v>()</v>
      </c>
      <c r="C890" s="9" t="str">
        <f>B890</f>
        <v>()</v>
      </c>
      <c r="D890" s="9" t="str">
        <f>C890</f>
        <v>()</v>
      </c>
      <c r="E890" s="9"/>
      <c r="F890" s="9"/>
      <c r="G890" s="9" t="str">
        <f>B890</f>
        <v>()</v>
      </c>
      <c r="H890" s="9" t="str">
        <f>G890</f>
        <v>()</v>
      </c>
      <c r="I890" s="1"/>
      <c r="J890" s="2" t="str">
        <f t="shared" ref="J890" si="672">CONCATENATE(K887,3)</f>
        <v>43</v>
      </c>
      <c r="K890" s="4" t="e">
        <v>#VALUE!</v>
      </c>
      <c r="L890" s="4" t="e">
        <v>#VALUE!</v>
      </c>
      <c r="M890" s="4" t="e">
        <v>#VALUE!</v>
      </c>
      <c r="N890" s="1"/>
      <c r="O890" s="1"/>
      <c r="P890" s="1"/>
      <c r="Q890" s="1"/>
      <c r="R890" s="1"/>
      <c r="S890" s="1"/>
      <c r="T890" s="1"/>
      <c r="U890" s="2">
        <f t="shared" si="661"/>
        <v>20</v>
      </c>
      <c r="V890" s="2">
        <f t="shared" si="662"/>
        <v>215</v>
      </c>
    </row>
    <row r="891" spans="1:22" x14ac:dyDescent="0.3">
      <c r="A891" s="2">
        <f t="shared" si="660"/>
        <v>20216</v>
      </c>
      <c r="B891" s="10"/>
      <c r="C891" s="10"/>
      <c r="D891" s="10"/>
      <c r="E891" s="10"/>
      <c r="F891" s="10"/>
      <c r="G891" s="8"/>
      <c r="H891" s="8"/>
      <c r="I891" s="1"/>
      <c r="J891" s="1"/>
      <c r="K891" s="1">
        <v>5</v>
      </c>
      <c r="L891" s="1">
        <v>5</v>
      </c>
      <c r="M891" s="1">
        <v>5</v>
      </c>
      <c r="N891" s="1">
        <v>5</v>
      </c>
      <c r="O891" s="1"/>
      <c r="P891" s="1"/>
      <c r="Q891" s="1"/>
      <c r="R891" s="1"/>
      <c r="S891" s="1"/>
      <c r="T891" s="1"/>
      <c r="U891" s="2">
        <f t="shared" si="661"/>
        <v>20</v>
      </c>
      <c r="V891" s="2">
        <f t="shared" si="662"/>
        <v>216</v>
      </c>
    </row>
    <row r="892" spans="1:22" x14ac:dyDescent="0.3">
      <c r="A892" s="2">
        <f t="shared" si="660"/>
        <v>20217</v>
      </c>
      <c r="B892" s="10"/>
      <c r="C892" s="10"/>
      <c r="D892" s="10"/>
      <c r="E892" s="10"/>
      <c r="F892" s="10"/>
      <c r="G892" s="8"/>
      <c r="H892" s="8"/>
      <c r="I892" s="1"/>
      <c r="J892" s="2" t="str">
        <f t="shared" ref="J892" si="673">CONCATENATE(K891,1)</f>
        <v>51</v>
      </c>
      <c r="K892" s="4" t="e">
        <f t="array" ref="K892:N894">LINEST(B891:B895,C891:C895^{1,2,3},TRUE,TRUE)</f>
        <v>#VALUE!</v>
      </c>
      <c r="L892" s="4" t="e">
        <v>#VALUE!</v>
      </c>
      <c r="M892" s="4" t="e">
        <v>#VALUE!</v>
      </c>
      <c r="N892" s="4" t="e">
        <v>#VALUE!</v>
      </c>
      <c r="O892" s="1"/>
      <c r="P892" s="1"/>
      <c r="Q892" s="1"/>
      <c r="R892" s="1"/>
      <c r="S892" s="1"/>
      <c r="T892" s="1"/>
      <c r="U892" s="2">
        <f t="shared" si="661"/>
        <v>20</v>
      </c>
      <c r="V892" s="2">
        <f t="shared" si="662"/>
        <v>217</v>
      </c>
    </row>
    <row r="893" spans="1:22" x14ac:dyDescent="0.3">
      <c r="A893" s="2">
        <f t="shared" si="660"/>
        <v>20218</v>
      </c>
      <c r="B893" s="10"/>
      <c r="C893" s="10"/>
      <c r="D893" s="10"/>
      <c r="E893" s="10"/>
      <c r="F893" s="10"/>
      <c r="G893" s="8"/>
      <c r="H893" s="8"/>
      <c r="I893" s="1"/>
      <c r="J893" s="2" t="str">
        <f t="shared" ref="J893" si="674">CONCATENATE(K891,2)</f>
        <v>52</v>
      </c>
      <c r="K893" s="4" t="e">
        <v>#VALUE!</v>
      </c>
      <c r="L893" s="4" t="e">
        <v>#VALUE!</v>
      </c>
      <c r="M893" s="4" t="e">
        <v>#VALUE!</v>
      </c>
      <c r="N893" s="4" t="e">
        <v>#VALUE!</v>
      </c>
      <c r="O893" s="1"/>
      <c r="P893" s="1"/>
      <c r="Q893" s="1"/>
      <c r="R893" s="1"/>
      <c r="S893" s="1"/>
      <c r="T893" s="1"/>
      <c r="U893" s="2">
        <f t="shared" si="661"/>
        <v>20</v>
      </c>
      <c r="V893" s="2">
        <f t="shared" si="662"/>
        <v>218</v>
      </c>
    </row>
    <row r="894" spans="1:22" x14ac:dyDescent="0.3">
      <c r="A894" s="2">
        <f t="shared" si="660"/>
        <v>20219</v>
      </c>
      <c r="B894" s="10"/>
      <c r="C894" s="10"/>
      <c r="D894" s="10"/>
      <c r="E894" s="10"/>
      <c r="F894" s="10"/>
      <c r="G894" s="8"/>
      <c r="H894" s="8"/>
      <c r="I894" s="1"/>
      <c r="J894" s="2" t="str">
        <f t="shared" ref="J894" si="675">CONCATENATE(K891,3)</f>
        <v>53</v>
      </c>
      <c r="K894" s="4" t="e">
        <v>#VALUE!</v>
      </c>
      <c r="L894" s="4" t="e">
        <v>#VALUE!</v>
      </c>
      <c r="M894" s="4" t="e">
        <v>#VALUE!</v>
      </c>
      <c r="N894" s="4" t="e">
        <v>#VALUE!</v>
      </c>
      <c r="O894" s="1"/>
      <c r="P894" s="1"/>
      <c r="Q894" s="1"/>
      <c r="R894" s="1"/>
      <c r="S894" s="1"/>
      <c r="T894" s="1"/>
      <c r="U894" s="2">
        <f t="shared" si="661"/>
        <v>20</v>
      </c>
      <c r="V894" s="2">
        <f t="shared" si="662"/>
        <v>219</v>
      </c>
    </row>
    <row r="895" spans="1:22" x14ac:dyDescent="0.3">
      <c r="A895" s="2">
        <f t="shared" si="660"/>
        <v>20220</v>
      </c>
      <c r="B895" s="10"/>
      <c r="C895" s="10"/>
      <c r="D895" s="10"/>
      <c r="E895" s="10"/>
      <c r="F895" s="10"/>
      <c r="G895" s="8"/>
      <c r="H895" s="8"/>
      <c r="I895" s="1"/>
      <c r="J895" s="1"/>
      <c r="K895" s="1">
        <v>6</v>
      </c>
      <c r="L895" s="1">
        <v>6</v>
      </c>
      <c r="M895" s="1">
        <v>6</v>
      </c>
      <c r="N895" s="1">
        <v>6</v>
      </c>
      <c r="O895" s="1">
        <v>6</v>
      </c>
      <c r="P895" s="1"/>
      <c r="Q895" s="1"/>
      <c r="R895" s="1"/>
      <c r="S895" s="1"/>
      <c r="T895" s="1"/>
      <c r="U895" s="2">
        <f t="shared" si="661"/>
        <v>20</v>
      </c>
      <c r="V895" s="2">
        <f t="shared" si="662"/>
        <v>220</v>
      </c>
    </row>
    <row r="896" spans="1:22" x14ac:dyDescent="0.3">
      <c r="A896" s="2">
        <f t="shared" si="660"/>
        <v>20221</v>
      </c>
      <c r="B896" s="10"/>
      <c r="C896" s="10"/>
      <c r="D896" s="10"/>
      <c r="E896" s="10"/>
      <c r="F896" s="10"/>
      <c r="G896" s="8"/>
      <c r="H896" s="8"/>
      <c r="I896" s="1"/>
      <c r="J896" s="2" t="str">
        <f t="shared" ref="J896" si="676">CONCATENATE(K895,1)</f>
        <v>61</v>
      </c>
      <c r="K896" s="4" t="e">
        <f t="array" ref="K896:O898">LINEST(B891:B896,C891:C896^{1,2,3,4},TRUE,TRUE)</f>
        <v>#VALUE!</v>
      </c>
      <c r="L896" s="4" t="e">
        <v>#VALUE!</v>
      </c>
      <c r="M896" s="4" t="e">
        <v>#VALUE!</v>
      </c>
      <c r="N896" s="4" t="e">
        <v>#VALUE!</v>
      </c>
      <c r="O896" s="4" t="e">
        <v>#VALUE!</v>
      </c>
      <c r="P896" s="1"/>
      <c r="Q896" s="1"/>
      <c r="R896" s="1"/>
      <c r="S896" s="1"/>
      <c r="T896" s="1"/>
      <c r="U896" s="2">
        <f t="shared" si="661"/>
        <v>20</v>
      </c>
      <c r="V896" s="2">
        <f t="shared" si="662"/>
        <v>221</v>
      </c>
    </row>
    <row r="897" spans="1:22" x14ac:dyDescent="0.3">
      <c r="A897" s="2">
        <f t="shared" si="660"/>
        <v>20222</v>
      </c>
      <c r="B897" s="10"/>
      <c r="C897" s="10"/>
      <c r="D897" s="10"/>
      <c r="E897" s="10"/>
      <c r="F897" s="10"/>
      <c r="G897" s="8"/>
      <c r="H897" s="8"/>
      <c r="I897" s="1"/>
      <c r="J897" s="2" t="str">
        <f t="shared" ref="J897" si="677">CONCATENATE(K895,2)</f>
        <v>62</v>
      </c>
      <c r="K897" s="4" t="e">
        <v>#VALUE!</v>
      </c>
      <c r="L897" s="4" t="e">
        <v>#VALUE!</v>
      </c>
      <c r="M897" s="4" t="e">
        <v>#VALUE!</v>
      </c>
      <c r="N897" s="4" t="e">
        <v>#VALUE!</v>
      </c>
      <c r="O897" s="4" t="e">
        <v>#VALUE!</v>
      </c>
      <c r="P897" s="1"/>
      <c r="Q897" s="1"/>
      <c r="R897" s="1"/>
      <c r="S897" s="1"/>
      <c r="T897" s="1"/>
      <c r="U897" s="2">
        <f t="shared" si="661"/>
        <v>20</v>
      </c>
      <c r="V897" s="2">
        <f t="shared" si="662"/>
        <v>222</v>
      </c>
    </row>
    <row r="898" spans="1:22" x14ac:dyDescent="0.3">
      <c r="A898" s="2">
        <f t="shared" si="660"/>
        <v>20223</v>
      </c>
      <c r="B898" s="10"/>
      <c r="C898" s="10"/>
      <c r="D898" s="10"/>
      <c r="E898" s="10"/>
      <c r="F898" s="10"/>
      <c r="G898" s="8"/>
      <c r="H898" s="8"/>
      <c r="I898" s="1"/>
      <c r="J898" s="2" t="str">
        <f t="shared" ref="J898" si="678">CONCATENATE(K895,3)</f>
        <v>63</v>
      </c>
      <c r="K898" s="4" t="e">
        <v>#VALUE!</v>
      </c>
      <c r="L898" s="4" t="e">
        <v>#VALUE!</v>
      </c>
      <c r="M898" s="4" t="e">
        <v>#VALUE!</v>
      </c>
      <c r="N898" s="4" t="e">
        <v>#VALUE!</v>
      </c>
      <c r="O898" s="4" t="e">
        <v>#VALUE!</v>
      </c>
      <c r="P898" s="1"/>
      <c r="Q898" s="1"/>
      <c r="R898" s="1"/>
      <c r="S898" s="1"/>
      <c r="T898" s="1"/>
      <c r="U898" s="2">
        <f t="shared" si="661"/>
        <v>20</v>
      </c>
      <c r="V898" s="2">
        <f t="shared" si="662"/>
        <v>223</v>
      </c>
    </row>
    <row r="899" spans="1:22" x14ac:dyDescent="0.3">
      <c r="A899" s="2">
        <f t="shared" si="660"/>
        <v>20224</v>
      </c>
      <c r="B899" s="10"/>
      <c r="C899" s="10"/>
      <c r="D899" s="10"/>
      <c r="E899" s="10"/>
      <c r="F899" s="10"/>
      <c r="G899" s="8"/>
      <c r="H899" s="8"/>
      <c r="I899" s="1"/>
      <c r="J899" s="1"/>
      <c r="K899" s="1">
        <v>7</v>
      </c>
      <c r="L899" s="1">
        <v>7</v>
      </c>
      <c r="M899" s="1">
        <v>7</v>
      </c>
      <c r="N899" s="1">
        <v>7</v>
      </c>
      <c r="O899" s="1">
        <v>7</v>
      </c>
      <c r="P899" s="1">
        <v>7</v>
      </c>
      <c r="Q899" s="1"/>
      <c r="R899" s="1"/>
      <c r="S899" s="1"/>
      <c r="T899" s="1"/>
      <c r="U899" s="2">
        <f t="shared" si="661"/>
        <v>20</v>
      </c>
      <c r="V899" s="2">
        <f t="shared" si="662"/>
        <v>224</v>
      </c>
    </row>
    <row r="900" spans="1:22" x14ac:dyDescent="0.3">
      <c r="A900" s="2">
        <f t="shared" si="660"/>
        <v>20225</v>
      </c>
      <c r="B900" s="10"/>
      <c r="C900" s="10"/>
      <c r="D900" s="10"/>
      <c r="E900" s="10"/>
      <c r="F900" s="10"/>
      <c r="G900" s="8"/>
      <c r="H900" s="8"/>
      <c r="I900" s="1"/>
      <c r="J900" s="2" t="str">
        <f t="shared" ref="J900" si="679">CONCATENATE(K899,1)</f>
        <v>71</v>
      </c>
      <c r="K900" s="4" t="e">
        <f t="array" ref="K900:P902">LINEST(B891:B897,C891:C897^{1,2,3,4,5},TRUE,TRUE)</f>
        <v>#VALUE!</v>
      </c>
      <c r="L900" s="4" t="e">
        <v>#VALUE!</v>
      </c>
      <c r="M900" s="4" t="e">
        <v>#VALUE!</v>
      </c>
      <c r="N900" s="4" t="e">
        <v>#VALUE!</v>
      </c>
      <c r="O900" s="4" t="e">
        <v>#VALUE!</v>
      </c>
      <c r="P900" s="4" t="e">
        <v>#VALUE!</v>
      </c>
      <c r="Q900" s="1"/>
      <c r="R900" s="1"/>
      <c r="S900" s="1"/>
      <c r="T900" s="1"/>
      <c r="U900" s="2">
        <f t="shared" si="661"/>
        <v>20</v>
      </c>
      <c r="V900" s="2">
        <f t="shared" si="662"/>
        <v>225</v>
      </c>
    </row>
    <row r="901" spans="1:22" x14ac:dyDescent="0.3">
      <c r="A901" s="2">
        <f t="shared" si="660"/>
        <v>20226</v>
      </c>
      <c r="B901" s="61" t="s">
        <v>44</v>
      </c>
      <c r="C901" s="61"/>
      <c r="D901" s="61"/>
      <c r="E901" s="61"/>
      <c r="F901" s="61"/>
      <c r="G901" s="61"/>
      <c r="H901" s="61"/>
      <c r="I901" s="1"/>
      <c r="J901" s="2" t="str">
        <f t="shared" ref="J901" si="680">CONCATENATE(K899,2)</f>
        <v>72</v>
      </c>
      <c r="K901" s="4" t="e">
        <v>#VALUE!</v>
      </c>
      <c r="L901" s="4" t="e">
        <v>#VALUE!</v>
      </c>
      <c r="M901" s="4" t="e">
        <v>#VALUE!</v>
      </c>
      <c r="N901" s="4" t="e">
        <v>#VALUE!</v>
      </c>
      <c r="O901" s="4" t="e">
        <v>#VALUE!</v>
      </c>
      <c r="P901" s="4" t="e">
        <v>#VALUE!</v>
      </c>
      <c r="Q901" s="1"/>
      <c r="R901" s="1"/>
      <c r="S901" s="1"/>
      <c r="T901" s="1"/>
      <c r="U901" s="2">
        <f t="shared" si="661"/>
        <v>20</v>
      </c>
      <c r="V901" s="2">
        <f t="shared" si="662"/>
        <v>226</v>
      </c>
    </row>
    <row r="902" spans="1:22" x14ac:dyDescent="0.3">
      <c r="A902" s="2">
        <f t="shared" si="660"/>
        <v>20227</v>
      </c>
      <c r="B902" s="4" t="s">
        <v>45</v>
      </c>
      <c r="C902" s="4" t="s">
        <v>46</v>
      </c>
      <c r="D902" s="4" t="s">
        <v>47</v>
      </c>
      <c r="E902" s="4" t="s">
        <v>48</v>
      </c>
      <c r="F902" s="4" t="s">
        <v>49</v>
      </c>
      <c r="G902" s="4" t="s">
        <v>50</v>
      </c>
      <c r="H902" s="4" t="s">
        <v>46</v>
      </c>
      <c r="I902" s="1"/>
      <c r="J902" s="2" t="str">
        <f t="shared" ref="J902" si="681">CONCATENATE(K899,3)</f>
        <v>73</v>
      </c>
      <c r="K902" s="4" t="e">
        <v>#VALUE!</v>
      </c>
      <c r="L902" s="4" t="e">
        <v>#VALUE!</v>
      </c>
      <c r="M902" s="4" t="e">
        <v>#VALUE!</v>
      </c>
      <c r="N902" s="4" t="e">
        <v>#VALUE!</v>
      </c>
      <c r="O902" s="4" t="e">
        <v>#VALUE!</v>
      </c>
      <c r="P902" s="4" t="e">
        <v>#VALUE!</v>
      </c>
      <c r="Q902" s="1"/>
      <c r="R902" s="1"/>
      <c r="S902" s="1"/>
      <c r="T902" s="1"/>
      <c r="U902" s="2">
        <f t="shared" si="661"/>
        <v>20</v>
      </c>
      <c r="V902" s="2">
        <f t="shared" si="662"/>
        <v>227</v>
      </c>
    </row>
    <row r="903" spans="1:22" x14ac:dyDescent="0.3">
      <c r="A903" s="2">
        <f t="shared" si="660"/>
        <v>20228</v>
      </c>
      <c r="B903" s="10"/>
      <c r="C903" s="10"/>
      <c r="D903" s="10"/>
      <c r="E903" s="10"/>
      <c r="F903" s="10"/>
      <c r="G903" s="10"/>
      <c r="H903" s="10"/>
      <c r="I903" s="1"/>
      <c r="J903" s="1"/>
      <c r="K903" s="1">
        <v>8</v>
      </c>
      <c r="L903" s="1">
        <v>8</v>
      </c>
      <c r="M903" s="1">
        <v>8</v>
      </c>
      <c r="N903" s="1">
        <v>8</v>
      </c>
      <c r="O903" s="1">
        <v>8</v>
      </c>
      <c r="P903" s="1">
        <v>8</v>
      </c>
      <c r="Q903" s="1">
        <v>8</v>
      </c>
      <c r="R903" s="1"/>
      <c r="S903" s="1"/>
      <c r="T903" s="1"/>
      <c r="U903" s="2">
        <f t="shared" si="661"/>
        <v>20</v>
      </c>
      <c r="V903" s="2">
        <f t="shared" si="662"/>
        <v>228</v>
      </c>
    </row>
    <row r="904" spans="1:22" x14ac:dyDescent="0.3">
      <c r="A904" s="2">
        <f t="shared" si="660"/>
        <v>20229</v>
      </c>
      <c r="I904" s="1"/>
      <c r="J904" s="2" t="str">
        <f t="shared" ref="J904" si="682">CONCATENATE(K903,1)</f>
        <v>81</v>
      </c>
      <c r="K904" s="4" t="e">
        <f t="array" ref="K904:Q906">LINEST(B891:B898,C891:C898^{1,2,3,4,5,6},TRUE,TRUE)</f>
        <v>#VALUE!</v>
      </c>
      <c r="L904" s="4" t="e">
        <v>#VALUE!</v>
      </c>
      <c r="M904" s="4" t="e">
        <v>#VALUE!</v>
      </c>
      <c r="N904" s="4" t="e">
        <v>#VALUE!</v>
      </c>
      <c r="O904" s="4" t="e">
        <v>#VALUE!</v>
      </c>
      <c r="P904" s="4" t="e">
        <v>#VALUE!</v>
      </c>
      <c r="Q904" s="4" t="e">
        <v>#VALUE!</v>
      </c>
      <c r="R904" s="1"/>
      <c r="S904" s="1"/>
      <c r="T904" s="1"/>
      <c r="U904" s="2">
        <f t="shared" si="661"/>
        <v>20</v>
      </c>
      <c r="V904" s="2">
        <f t="shared" si="662"/>
        <v>229</v>
      </c>
    </row>
    <row r="905" spans="1:22" x14ac:dyDescent="0.3">
      <c r="A905" s="2">
        <f t="shared" si="660"/>
        <v>20230</v>
      </c>
      <c r="B905" s="58" t="s">
        <v>30</v>
      </c>
      <c r="C905" s="58"/>
      <c r="D905" s="58"/>
      <c r="E905" s="58"/>
      <c r="F905" s="58"/>
      <c r="G905" s="58"/>
      <c r="H905" s="58"/>
      <c r="I905" s="1"/>
      <c r="J905" s="2" t="str">
        <f t="shared" ref="J905" si="683">CONCATENATE(K903,2)</f>
        <v>82</v>
      </c>
      <c r="K905" s="4" t="e">
        <v>#VALUE!</v>
      </c>
      <c r="L905" s="4" t="e">
        <v>#VALUE!</v>
      </c>
      <c r="M905" s="4" t="e">
        <v>#VALUE!</v>
      </c>
      <c r="N905" s="4" t="e">
        <v>#VALUE!</v>
      </c>
      <c r="O905" s="4" t="e">
        <v>#VALUE!</v>
      </c>
      <c r="P905" s="4" t="e">
        <v>#VALUE!</v>
      </c>
      <c r="Q905" s="4" t="e">
        <v>#VALUE!</v>
      </c>
      <c r="R905" s="1"/>
      <c r="S905" s="1"/>
      <c r="T905" s="1"/>
      <c r="U905" s="2">
        <f t="shared" si="661"/>
        <v>20</v>
      </c>
      <c r="V905" s="2">
        <f t="shared" si="662"/>
        <v>230</v>
      </c>
    </row>
    <row r="906" spans="1:22" x14ac:dyDescent="0.3">
      <c r="A906" s="2">
        <f t="shared" si="660"/>
        <v>20231</v>
      </c>
      <c r="B906" s="62"/>
      <c r="C906" s="62"/>
      <c r="D906" s="62"/>
      <c r="E906" s="62"/>
      <c r="F906" s="62"/>
      <c r="G906" s="62"/>
      <c r="H906" s="62"/>
      <c r="I906" s="1"/>
      <c r="J906" s="2" t="str">
        <f t="shared" ref="J906" si="684">CONCATENATE(K903,3)</f>
        <v>83</v>
      </c>
      <c r="K906" s="4" t="e">
        <v>#VALUE!</v>
      </c>
      <c r="L906" s="4" t="e">
        <v>#VALUE!</v>
      </c>
      <c r="M906" s="4" t="e">
        <v>#VALUE!</v>
      </c>
      <c r="N906" s="4" t="e">
        <v>#VALUE!</v>
      </c>
      <c r="O906" s="4" t="e">
        <v>#VALUE!</v>
      </c>
      <c r="P906" s="4" t="e">
        <v>#VALUE!</v>
      </c>
      <c r="Q906" s="4" t="e">
        <v>#VALUE!</v>
      </c>
      <c r="R906" s="1"/>
      <c r="S906" s="1"/>
      <c r="T906" s="1"/>
      <c r="U906" s="2">
        <f t="shared" si="661"/>
        <v>20</v>
      </c>
      <c r="V906" s="2">
        <f t="shared" si="662"/>
        <v>231</v>
      </c>
    </row>
    <row r="907" spans="1:22" x14ac:dyDescent="0.3">
      <c r="A907" s="2">
        <f t="shared" si="660"/>
        <v>20232</v>
      </c>
      <c r="B907" s="62"/>
      <c r="C907" s="62"/>
      <c r="D907" s="62"/>
      <c r="E907" s="62"/>
      <c r="F907" s="62"/>
      <c r="G907" s="62"/>
      <c r="H907" s="62"/>
      <c r="I907" s="1"/>
      <c r="J907" s="1"/>
      <c r="K907" s="1">
        <v>9</v>
      </c>
      <c r="L907" s="1">
        <v>9</v>
      </c>
      <c r="M907" s="1">
        <v>9</v>
      </c>
      <c r="N907" s="1">
        <v>9</v>
      </c>
      <c r="O907" s="1">
        <v>9</v>
      </c>
      <c r="P907" s="1">
        <v>9</v>
      </c>
      <c r="Q907" s="1">
        <v>9</v>
      </c>
      <c r="R907" s="1">
        <v>9</v>
      </c>
      <c r="S907" s="1"/>
      <c r="T907" s="1"/>
      <c r="U907" s="2">
        <f t="shared" si="661"/>
        <v>20</v>
      </c>
      <c r="V907" s="2">
        <f t="shared" si="662"/>
        <v>232</v>
      </c>
    </row>
    <row r="908" spans="1:22" x14ac:dyDescent="0.3">
      <c r="A908" s="2">
        <f t="shared" si="660"/>
        <v>20233</v>
      </c>
      <c r="B908" s="1"/>
      <c r="C908" s="1"/>
      <c r="D908" s="1"/>
      <c r="E908" s="1"/>
      <c r="F908" s="1"/>
      <c r="G908" s="1"/>
      <c r="H908" s="1"/>
      <c r="I908" s="1"/>
      <c r="J908" s="2" t="str">
        <f t="shared" ref="J908" si="685">CONCATENATE(K907,1)</f>
        <v>91</v>
      </c>
      <c r="K908" s="4" t="e">
        <f t="array" ref="K908:R910">LINEST(B891:B899,C891:C899^{1,2,3,4,5,6,7},TRUE,TRUE)</f>
        <v>#VALUE!</v>
      </c>
      <c r="L908" s="4" t="e">
        <v>#VALUE!</v>
      </c>
      <c r="M908" s="4" t="e">
        <v>#VALUE!</v>
      </c>
      <c r="N908" s="4" t="e">
        <v>#VALUE!</v>
      </c>
      <c r="O908" s="4" t="e">
        <v>#VALUE!</v>
      </c>
      <c r="P908" s="4" t="e">
        <v>#VALUE!</v>
      </c>
      <c r="Q908" s="4" t="e">
        <v>#VALUE!</v>
      </c>
      <c r="R908" s="4" t="e">
        <v>#VALUE!</v>
      </c>
      <c r="S908" s="1"/>
      <c r="T908" s="1"/>
      <c r="U908" s="2">
        <f t="shared" si="661"/>
        <v>20</v>
      </c>
      <c r="V908" s="2">
        <f t="shared" si="662"/>
        <v>233</v>
      </c>
    </row>
    <row r="909" spans="1:22" x14ac:dyDescent="0.3">
      <c r="A909" s="2">
        <f t="shared" si="660"/>
        <v>20234</v>
      </c>
      <c r="B909" s="5" t="s">
        <v>31</v>
      </c>
      <c r="C909" s="5" t="s">
        <v>32</v>
      </c>
      <c r="D909" s="5" t="s">
        <v>33</v>
      </c>
      <c r="E909" s="4" t="s">
        <v>34</v>
      </c>
      <c r="F909" s="57" t="s">
        <v>35</v>
      </c>
      <c r="G909" s="58"/>
      <c r="H909" s="58"/>
      <c r="I909" s="1"/>
      <c r="J909" s="2" t="str">
        <f t="shared" ref="J909" si="686">CONCATENATE(K907,2)</f>
        <v>92</v>
      </c>
      <c r="K909" s="4" t="e">
        <v>#VALUE!</v>
      </c>
      <c r="L909" s="4" t="e">
        <v>#VALUE!</v>
      </c>
      <c r="M909" s="4" t="e">
        <v>#VALUE!</v>
      </c>
      <c r="N909" s="4" t="e">
        <v>#VALUE!</v>
      </c>
      <c r="O909" s="4" t="e">
        <v>#VALUE!</v>
      </c>
      <c r="P909" s="4" t="e">
        <v>#VALUE!</v>
      </c>
      <c r="Q909" s="4" t="e">
        <v>#VALUE!</v>
      </c>
      <c r="R909" s="4" t="e">
        <v>#VALUE!</v>
      </c>
      <c r="S909" s="1"/>
      <c r="T909" s="1"/>
      <c r="U909" s="2">
        <f t="shared" si="661"/>
        <v>20</v>
      </c>
      <c r="V909" s="2">
        <f t="shared" si="662"/>
        <v>234</v>
      </c>
    </row>
    <row r="910" spans="1:22" x14ac:dyDescent="0.3">
      <c r="A910" s="2">
        <f t="shared" si="660"/>
        <v>20235</v>
      </c>
      <c r="B910" s="5">
        <f t="shared" ref="B910:B919" si="687">C891-B891</f>
        <v>0</v>
      </c>
      <c r="C910" s="5">
        <f t="shared" ref="C910:C919" si="688">H891-G891</f>
        <v>0</v>
      </c>
      <c r="D910" s="5">
        <f>C910-B910</f>
        <v>0</v>
      </c>
      <c r="E910" s="4">
        <f t="shared" ref="E910:E919" si="689">D891</f>
        <v>0</v>
      </c>
      <c r="F910" s="11" t="str">
        <f>IF(D878="","",MAX(G910,H910))</f>
        <v/>
      </c>
      <c r="G910" s="5">
        <f>ABS(MIN(D910:D919))</f>
        <v>0</v>
      </c>
      <c r="H910" s="5">
        <f>ABS(MAX(D910:D919))</f>
        <v>0</v>
      </c>
      <c r="I910" s="1"/>
      <c r="J910" s="2" t="str">
        <f t="shared" ref="J910" si="690">CONCATENATE(K907,3)</f>
        <v>93</v>
      </c>
      <c r="K910" s="4" t="e">
        <v>#VALUE!</v>
      </c>
      <c r="L910" s="4" t="e">
        <v>#VALUE!</v>
      </c>
      <c r="M910" s="4" t="e">
        <v>#VALUE!</v>
      </c>
      <c r="N910" s="4" t="e">
        <v>#VALUE!</v>
      </c>
      <c r="O910" s="4" t="e">
        <v>#VALUE!</v>
      </c>
      <c r="P910" s="4" t="e">
        <v>#VALUE!</v>
      </c>
      <c r="Q910" s="4" t="e">
        <v>#VALUE!</v>
      </c>
      <c r="R910" s="4" t="e">
        <v>#VALUE!</v>
      </c>
      <c r="S910" s="1"/>
      <c r="T910" s="1"/>
      <c r="U910" s="2">
        <f t="shared" si="661"/>
        <v>20</v>
      </c>
      <c r="V910" s="2">
        <f t="shared" si="662"/>
        <v>235</v>
      </c>
    </row>
    <row r="911" spans="1:22" x14ac:dyDescent="0.3">
      <c r="A911" s="2">
        <f t="shared" si="660"/>
        <v>20236</v>
      </c>
      <c r="B911" s="5">
        <f t="shared" si="687"/>
        <v>0</v>
      </c>
      <c r="C911" s="5">
        <f t="shared" si="688"/>
        <v>0</v>
      </c>
      <c r="D911" s="5">
        <f t="shared" ref="D911:D919" si="691">C911-B911</f>
        <v>0</v>
      </c>
      <c r="E911" s="4">
        <f t="shared" si="689"/>
        <v>0</v>
      </c>
      <c r="F911" s="57" t="s">
        <v>36</v>
      </c>
      <c r="G911" s="58"/>
      <c r="H911" s="58"/>
      <c r="I911" s="1"/>
      <c r="J911" s="1"/>
      <c r="K911" s="1">
        <v>10</v>
      </c>
      <c r="L911" s="1">
        <v>10</v>
      </c>
      <c r="M911" s="1">
        <v>10</v>
      </c>
      <c r="N911" s="1">
        <v>10</v>
      </c>
      <c r="O911" s="1">
        <v>10</v>
      </c>
      <c r="P911" s="1">
        <v>10</v>
      </c>
      <c r="Q911" s="1">
        <v>10</v>
      </c>
      <c r="R911" s="1">
        <v>10</v>
      </c>
      <c r="S911" s="1">
        <v>10</v>
      </c>
      <c r="T911" s="1"/>
      <c r="U911" s="2">
        <f t="shared" si="661"/>
        <v>20</v>
      </c>
      <c r="V911" s="2">
        <f t="shared" si="662"/>
        <v>236</v>
      </c>
    </row>
    <row r="912" spans="1:22" x14ac:dyDescent="0.3">
      <c r="A912" s="2">
        <f t="shared" si="660"/>
        <v>20237</v>
      </c>
      <c r="B912" s="5">
        <f t="shared" si="687"/>
        <v>0</v>
      </c>
      <c r="C912" s="5">
        <f t="shared" si="688"/>
        <v>0</v>
      </c>
      <c r="D912" s="5">
        <f t="shared" si="691"/>
        <v>0</v>
      </c>
      <c r="E912" s="4">
        <f t="shared" si="689"/>
        <v>0</v>
      </c>
      <c r="F912" s="11" t="str">
        <f>IF(D878="","",MAX(G912,H912))</f>
        <v/>
      </c>
      <c r="G912" s="5">
        <f>ABS(MIN(B910:B919))</f>
        <v>0</v>
      </c>
      <c r="H912" s="5">
        <f>ABS(MAX(B910:B919))</f>
        <v>0</v>
      </c>
      <c r="I912" s="1"/>
      <c r="J912" s="2" t="str">
        <f t="shared" ref="J912" si="692">CONCATENATE(K911,1)</f>
        <v>101</v>
      </c>
      <c r="K912" s="4" t="e">
        <f t="array" ref="K912:S914">LINEST(B891:B900,C891:C900^{1,2,3,4,5,6,7,8},TRUE,TRUE)</f>
        <v>#VALUE!</v>
      </c>
      <c r="L912" s="4" t="e">
        <v>#VALUE!</v>
      </c>
      <c r="M912" s="4" t="e">
        <v>#VALUE!</v>
      </c>
      <c r="N912" s="4" t="e">
        <v>#VALUE!</v>
      </c>
      <c r="O912" s="4" t="e">
        <v>#VALUE!</v>
      </c>
      <c r="P912" s="4" t="e">
        <v>#VALUE!</v>
      </c>
      <c r="Q912" s="4" t="e">
        <v>#VALUE!</v>
      </c>
      <c r="R912" s="4" t="e">
        <v>#VALUE!</v>
      </c>
      <c r="S912" s="4" t="e">
        <v>#VALUE!</v>
      </c>
      <c r="T912" s="1"/>
      <c r="U912" s="2">
        <f t="shared" si="661"/>
        <v>20</v>
      </c>
      <c r="V912" s="2">
        <f t="shared" si="662"/>
        <v>237</v>
      </c>
    </row>
    <row r="913" spans="1:22" x14ac:dyDescent="0.3">
      <c r="A913" s="2">
        <f t="shared" si="660"/>
        <v>20238</v>
      </c>
      <c r="B913" s="5">
        <f t="shared" si="687"/>
        <v>0</v>
      </c>
      <c r="C913" s="5">
        <f t="shared" si="688"/>
        <v>0</v>
      </c>
      <c r="D913" s="5">
        <f t="shared" si="691"/>
        <v>0</v>
      </c>
      <c r="E913" s="4">
        <f t="shared" si="689"/>
        <v>0</v>
      </c>
      <c r="F913" s="57" t="s">
        <v>37</v>
      </c>
      <c r="G913" s="58"/>
      <c r="H913" s="58"/>
      <c r="I913" s="1"/>
      <c r="J913" s="2" t="str">
        <f t="shared" ref="J913" si="693">CONCATENATE(K911,2)</f>
        <v>102</v>
      </c>
      <c r="K913" s="4" t="e">
        <v>#VALUE!</v>
      </c>
      <c r="L913" s="4" t="e">
        <v>#VALUE!</v>
      </c>
      <c r="M913" s="4" t="e">
        <v>#VALUE!</v>
      </c>
      <c r="N913" s="4" t="e">
        <v>#VALUE!</v>
      </c>
      <c r="O913" s="4" t="e">
        <v>#VALUE!</v>
      </c>
      <c r="P913" s="4" t="e">
        <v>#VALUE!</v>
      </c>
      <c r="Q913" s="4" t="e">
        <v>#VALUE!</v>
      </c>
      <c r="R913" s="4" t="e">
        <v>#VALUE!</v>
      </c>
      <c r="S913" s="4" t="e">
        <v>#VALUE!</v>
      </c>
      <c r="T913" s="1"/>
      <c r="U913" s="2">
        <f t="shared" si="661"/>
        <v>20</v>
      </c>
      <c r="V913" s="2">
        <f t="shared" si="662"/>
        <v>238</v>
      </c>
    </row>
    <row r="914" spans="1:22" x14ac:dyDescent="0.3">
      <c r="A914" s="2">
        <f t="shared" si="660"/>
        <v>20239</v>
      </c>
      <c r="B914" s="5">
        <f t="shared" si="687"/>
        <v>0</v>
      </c>
      <c r="C914" s="5">
        <f t="shared" si="688"/>
        <v>0</v>
      </c>
      <c r="D914" s="5">
        <f t="shared" si="691"/>
        <v>0</v>
      </c>
      <c r="E914" s="4">
        <f t="shared" si="689"/>
        <v>0</v>
      </c>
      <c r="F914" s="11" t="str">
        <f>IF(D878="","",MAX(G914,H914))</f>
        <v/>
      </c>
      <c r="G914" s="5">
        <f>ABS(MIN(E910:E919))</f>
        <v>0</v>
      </c>
      <c r="H914" s="5">
        <f>ABS(MAX(E910:E919))</f>
        <v>0</v>
      </c>
      <c r="I914" s="1"/>
      <c r="J914" s="2" t="str">
        <f t="shared" ref="J914" si="694">CONCATENATE(K911,3)</f>
        <v>103</v>
      </c>
      <c r="K914" s="4" t="e">
        <v>#VALUE!</v>
      </c>
      <c r="L914" s="4" t="e">
        <v>#VALUE!</v>
      </c>
      <c r="M914" s="4" t="e">
        <v>#VALUE!</v>
      </c>
      <c r="N914" s="4" t="e">
        <v>#VALUE!</v>
      </c>
      <c r="O914" s="4" t="e">
        <v>#VALUE!</v>
      </c>
      <c r="P914" s="4" t="e">
        <v>#VALUE!</v>
      </c>
      <c r="Q914" s="4" t="e">
        <v>#VALUE!</v>
      </c>
      <c r="R914" s="4" t="e">
        <v>#VALUE!</v>
      </c>
      <c r="S914" s="4" t="e">
        <v>#VALUE!</v>
      </c>
      <c r="T914" s="1"/>
      <c r="U914" s="2">
        <f t="shared" si="661"/>
        <v>20</v>
      </c>
      <c r="V914" s="2">
        <f t="shared" si="662"/>
        <v>239</v>
      </c>
    </row>
    <row r="915" spans="1:22" x14ac:dyDescent="0.3">
      <c r="A915" s="2">
        <f t="shared" si="660"/>
        <v>20240</v>
      </c>
      <c r="B915" s="5">
        <f t="shared" si="687"/>
        <v>0</v>
      </c>
      <c r="C915" s="5">
        <f t="shared" si="688"/>
        <v>0</v>
      </c>
      <c r="D915" s="5">
        <f t="shared" si="691"/>
        <v>0</v>
      </c>
      <c r="E915" s="4">
        <f t="shared" si="689"/>
        <v>0</v>
      </c>
      <c r="F915" s="57" t="s">
        <v>51</v>
      </c>
      <c r="G915" s="58"/>
      <c r="H915" s="5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2">
        <f t="shared" si="661"/>
        <v>20</v>
      </c>
      <c r="V915" s="2">
        <f t="shared" si="662"/>
        <v>240</v>
      </c>
    </row>
    <row r="916" spans="1:22" x14ac:dyDescent="0.3">
      <c r="A916" s="2">
        <f t="shared" si="660"/>
        <v>20241</v>
      </c>
      <c r="B916" s="5">
        <f t="shared" si="687"/>
        <v>0</v>
      </c>
      <c r="C916" s="5">
        <f t="shared" si="688"/>
        <v>0</v>
      </c>
      <c r="D916" s="5">
        <f t="shared" si="691"/>
        <v>0</v>
      </c>
      <c r="E916" s="4">
        <f t="shared" si="689"/>
        <v>0</v>
      </c>
      <c r="F916" s="21">
        <f>MAX(G916:H918)</f>
        <v>0</v>
      </c>
      <c r="G916" s="4">
        <f>IF(C903="",0,ABS(C903-B903))</f>
        <v>0</v>
      </c>
      <c r="H916" s="4">
        <f>IF(F903="",0,ABS(F903-B903))</f>
        <v>0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2">
        <f t="shared" si="661"/>
        <v>20</v>
      </c>
      <c r="V916" s="2">
        <f t="shared" si="662"/>
        <v>241</v>
      </c>
    </row>
    <row r="917" spans="1:22" x14ac:dyDescent="0.3">
      <c r="A917" s="2">
        <f t="shared" si="660"/>
        <v>20242</v>
      </c>
      <c r="B917" s="5">
        <f t="shared" si="687"/>
        <v>0</v>
      </c>
      <c r="C917" s="5">
        <f t="shared" si="688"/>
        <v>0</v>
      </c>
      <c r="D917" s="5">
        <f t="shared" si="691"/>
        <v>0</v>
      </c>
      <c r="E917" s="4">
        <f t="shared" si="689"/>
        <v>0</v>
      </c>
      <c r="F917" s="4" t="s">
        <v>52</v>
      </c>
      <c r="G917" s="4">
        <f>IF(D903="",0,ABS(D903-B903))</f>
        <v>0</v>
      </c>
      <c r="H917" s="4">
        <f>IF(G903="",0,ABS(G903-B903))</f>
        <v>0</v>
      </c>
      <c r="I917" s="1"/>
      <c r="J917" s="1"/>
      <c r="R917" s="1"/>
      <c r="S917" s="1"/>
      <c r="T917" s="1"/>
      <c r="U917" s="2">
        <f t="shared" si="661"/>
        <v>20</v>
      </c>
      <c r="V917" s="2">
        <f t="shared" si="662"/>
        <v>242</v>
      </c>
    </row>
    <row r="918" spans="1:22" x14ac:dyDescent="0.3">
      <c r="A918" s="2">
        <f t="shared" si="660"/>
        <v>20243</v>
      </c>
      <c r="B918" s="5">
        <f t="shared" si="687"/>
        <v>0</v>
      </c>
      <c r="C918" s="5">
        <f t="shared" si="688"/>
        <v>0</v>
      </c>
      <c r="D918" s="5">
        <f t="shared" si="691"/>
        <v>0</v>
      </c>
      <c r="E918" s="4">
        <f t="shared" si="689"/>
        <v>0</v>
      </c>
      <c r="F918" s="22">
        <f>IF(F916=0,0,F916/B903%)</f>
        <v>0</v>
      </c>
      <c r="G918" s="4">
        <f>IF(G903="",0,ABS(G903-B903))</f>
        <v>0</v>
      </c>
      <c r="H918" s="4">
        <f>IF(H903="",0,ABS(H903-B903))</f>
        <v>0</v>
      </c>
      <c r="I918" s="1"/>
      <c r="J918" s="1"/>
      <c r="R918" s="1"/>
      <c r="S918" s="1"/>
      <c r="T918" s="1"/>
      <c r="U918" s="2">
        <f t="shared" si="661"/>
        <v>20</v>
      </c>
      <c r="V918" s="2">
        <f t="shared" si="662"/>
        <v>243</v>
      </c>
    </row>
    <row r="919" spans="1:22" x14ac:dyDescent="0.3">
      <c r="A919" s="2">
        <f t="shared" si="660"/>
        <v>20244</v>
      </c>
      <c r="B919" s="5">
        <f t="shared" si="687"/>
        <v>0</v>
      </c>
      <c r="C919" s="5">
        <f t="shared" si="688"/>
        <v>0</v>
      </c>
      <c r="D919" s="5">
        <f t="shared" si="691"/>
        <v>0</v>
      </c>
      <c r="E919" s="4">
        <f t="shared" si="689"/>
        <v>0</v>
      </c>
      <c r="F919" s="1"/>
      <c r="G919" s="1"/>
      <c r="H919" s="1"/>
      <c r="I919" s="1"/>
      <c r="J919" s="1"/>
      <c r="R919" s="1"/>
      <c r="S919" s="1"/>
      <c r="T919" s="1"/>
      <c r="U919" s="2">
        <f t="shared" si="661"/>
        <v>20</v>
      </c>
      <c r="V919" s="2">
        <f t="shared" si="662"/>
        <v>244</v>
      </c>
    </row>
    <row r="920" spans="1:22" x14ac:dyDescent="0.3">
      <c r="A920" s="2">
        <f t="shared" si="660"/>
        <v>20245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2">
        <f t="shared" si="661"/>
        <v>20</v>
      </c>
      <c r="V920" s="2">
        <f t="shared" si="662"/>
        <v>245</v>
      </c>
    </row>
    <row r="921" spans="1:22" s="20" customForma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</sheetData>
  <sheetProtection algorithmName="SHA-512" hashValue="GHuMGXjzAtXNwy8sOIQCN91eM6Nue3KVJk7SukcotqQOftjUQwKlZSyynWBz2q3G4u9oVRshuERhOi9snMWlCg==" saltValue="PnEC4iV9kDgTtwmWq4JAjw==" spinCount="100000" sheet="1" objects="1" scenarios="1"/>
  <mergeCells count="680">
    <mergeCell ref="B901:H901"/>
    <mergeCell ref="B905:H905"/>
    <mergeCell ref="B906:H907"/>
    <mergeCell ref="F909:H909"/>
    <mergeCell ref="F911:H911"/>
    <mergeCell ref="F913:H913"/>
    <mergeCell ref="F915:H915"/>
    <mergeCell ref="B883:C883"/>
    <mergeCell ref="D883:H883"/>
    <mergeCell ref="B884:C884"/>
    <mergeCell ref="B886:F886"/>
    <mergeCell ref="G886:H886"/>
    <mergeCell ref="B887:D887"/>
    <mergeCell ref="E887:F887"/>
    <mergeCell ref="B888:B889"/>
    <mergeCell ref="C888:C889"/>
    <mergeCell ref="D888:D889"/>
    <mergeCell ref="E888:E889"/>
    <mergeCell ref="F888:F889"/>
    <mergeCell ref="G888:G889"/>
    <mergeCell ref="H888:H889"/>
    <mergeCell ref="B878:C878"/>
    <mergeCell ref="D878:H878"/>
    <mergeCell ref="B879:C879"/>
    <mergeCell ref="D879:H879"/>
    <mergeCell ref="B880:C880"/>
    <mergeCell ref="D880:H880"/>
    <mergeCell ref="B881:C881"/>
    <mergeCell ref="D881:H881"/>
    <mergeCell ref="B882:C882"/>
    <mergeCell ref="D882:H882"/>
    <mergeCell ref="B859:H859"/>
    <mergeCell ref="B860:H861"/>
    <mergeCell ref="F863:H863"/>
    <mergeCell ref="F865:H865"/>
    <mergeCell ref="F867:H867"/>
    <mergeCell ref="F869:H869"/>
    <mergeCell ref="B876:C876"/>
    <mergeCell ref="D876:H876"/>
    <mergeCell ref="E877:F877"/>
    <mergeCell ref="B830:C830"/>
    <mergeCell ref="D830:H830"/>
    <mergeCell ref="E831:F831"/>
    <mergeCell ref="D837:H837"/>
    <mergeCell ref="B838:C838"/>
    <mergeCell ref="B840:F840"/>
    <mergeCell ref="G840:H840"/>
    <mergeCell ref="B841:D841"/>
    <mergeCell ref="E841:F841"/>
    <mergeCell ref="B832:C832"/>
    <mergeCell ref="D832:H832"/>
    <mergeCell ref="B833:C833"/>
    <mergeCell ref="D833:H833"/>
    <mergeCell ref="B834:C834"/>
    <mergeCell ref="D834:H834"/>
    <mergeCell ref="B835:C835"/>
    <mergeCell ref="D835:H835"/>
    <mergeCell ref="B836:C836"/>
    <mergeCell ref="D836:H836"/>
    <mergeCell ref="B842:B843"/>
    <mergeCell ref="C842:C843"/>
    <mergeCell ref="D842:D843"/>
    <mergeCell ref="E842:E843"/>
    <mergeCell ref="F842:F843"/>
    <mergeCell ref="G842:G843"/>
    <mergeCell ref="H842:H843"/>
    <mergeCell ref="B855:H855"/>
    <mergeCell ref="B837:C837"/>
    <mergeCell ref="B814:H815"/>
    <mergeCell ref="F817:H817"/>
    <mergeCell ref="F819:H819"/>
    <mergeCell ref="F821:H821"/>
    <mergeCell ref="F823:H823"/>
    <mergeCell ref="B796:B797"/>
    <mergeCell ref="C796:C797"/>
    <mergeCell ref="D796:D797"/>
    <mergeCell ref="E796:E797"/>
    <mergeCell ref="F796:F797"/>
    <mergeCell ref="G796:G797"/>
    <mergeCell ref="H796:H797"/>
    <mergeCell ref="B809:H809"/>
    <mergeCell ref="B813:H813"/>
    <mergeCell ref="B790:C790"/>
    <mergeCell ref="D790:H790"/>
    <mergeCell ref="B791:C791"/>
    <mergeCell ref="D791:H791"/>
    <mergeCell ref="B792:C792"/>
    <mergeCell ref="B794:F794"/>
    <mergeCell ref="G794:H794"/>
    <mergeCell ref="B795:D795"/>
    <mergeCell ref="E795:F795"/>
    <mergeCell ref="E785:F785"/>
    <mergeCell ref="B786:C786"/>
    <mergeCell ref="D786:H786"/>
    <mergeCell ref="B787:C787"/>
    <mergeCell ref="D787:H787"/>
    <mergeCell ref="B788:C788"/>
    <mergeCell ref="D788:H788"/>
    <mergeCell ref="B789:C789"/>
    <mergeCell ref="D789:H789"/>
    <mergeCell ref="B763:H763"/>
    <mergeCell ref="B767:H767"/>
    <mergeCell ref="B768:H769"/>
    <mergeCell ref="F771:H771"/>
    <mergeCell ref="F773:H773"/>
    <mergeCell ref="F775:H775"/>
    <mergeCell ref="F777:H777"/>
    <mergeCell ref="B784:C784"/>
    <mergeCell ref="D784:H784"/>
    <mergeCell ref="B746:C746"/>
    <mergeCell ref="B748:F748"/>
    <mergeCell ref="G748:H748"/>
    <mergeCell ref="B749:D749"/>
    <mergeCell ref="E749:F749"/>
    <mergeCell ref="B750:B751"/>
    <mergeCell ref="C750:C751"/>
    <mergeCell ref="D750:D751"/>
    <mergeCell ref="E750:E751"/>
    <mergeCell ref="F750:F751"/>
    <mergeCell ref="G750:G751"/>
    <mergeCell ref="H750:H751"/>
    <mergeCell ref="B741:C741"/>
    <mergeCell ref="D741:H741"/>
    <mergeCell ref="B742:C742"/>
    <mergeCell ref="D742:H742"/>
    <mergeCell ref="B743:C743"/>
    <mergeCell ref="D743:H743"/>
    <mergeCell ref="B744:C744"/>
    <mergeCell ref="D744:H744"/>
    <mergeCell ref="B745:C745"/>
    <mergeCell ref="D745:H745"/>
    <mergeCell ref="B722:H723"/>
    <mergeCell ref="F725:H725"/>
    <mergeCell ref="F727:H727"/>
    <mergeCell ref="F729:H729"/>
    <mergeCell ref="F731:H731"/>
    <mergeCell ref="B738:C738"/>
    <mergeCell ref="D738:H738"/>
    <mergeCell ref="E739:F739"/>
    <mergeCell ref="B740:C740"/>
    <mergeCell ref="D740:H740"/>
    <mergeCell ref="B704:B705"/>
    <mergeCell ref="C704:C705"/>
    <mergeCell ref="D704:D705"/>
    <mergeCell ref="E704:E705"/>
    <mergeCell ref="F704:F705"/>
    <mergeCell ref="G704:G705"/>
    <mergeCell ref="H704:H705"/>
    <mergeCell ref="B717:H717"/>
    <mergeCell ref="B721:H721"/>
    <mergeCell ref="B698:C698"/>
    <mergeCell ref="D698:H698"/>
    <mergeCell ref="B699:C699"/>
    <mergeCell ref="D699:H699"/>
    <mergeCell ref="B700:C700"/>
    <mergeCell ref="B702:F702"/>
    <mergeCell ref="G702:H702"/>
    <mergeCell ref="B703:D703"/>
    <mergeCell ref="E703:F703"/>
    <mergeCell ref="E693:F693"/>
    <mergeCell ref="B694:C694"/>
    <mergeCell ref="D694:H694"/>
    <mergeCell ref="B695:C695"/>
    <mergeCell ref="D695:H695"/>
    <mergeCell ref="B696:C696"/>
    <mergeCell ref="D696:H696"/>
    <mergeCell ref="B697:C697"/>
    <mergeCell ref="D697:H697"/>
    <mergeCell ref="B671:H671"/>
    <mergeCell ref="B675:H675"/>
    <mergeCell ref="B676:H677"/>
    <mergeCell ref="F679:H679"/>
    <mergeCell ref="F681:H681"/>
    <mergeCell ref="F683:H683"/>
    <mergeCell ref="F685:H685"/>
    <mergeCell ref="B692:C692"/>
    <mergeCell ref="D692:H692"/>
    <mergeCell ref="B654:C654"/>
    <mergeCell ref="B656:F656"/>
    <mergeCell ref="G656:H656"/>
    <mergeCell ref="B657:D657"/>
    <mergeCell ref="E657:F657"/>
    <mergeCell ref="B658:B659"/>
    <mergeCell ref="C658:C659"/>
    <mergeCell ref="D658:D659"/>
    <mergeCell ref="E658:E659"/>
    <mergeCell ref="F658:F659"/>
    <mergeCell ref="G658:G659"/>
    <mergeCell ref="H658:H659"/>
    <mergeCell ref="B649:C649"/>
    <mergeCell ref="D649:H649"/>
    <mergeCell ref="B650:C650"/>
    <mergeCell ref="D650:H650"/>
    <mergeCell ref="B651:C651"/>
    <mergeCell ref="D651:H651"/>
    <mergeCell ref="B652:C652"/>
    <mergeCell ref="D652:H652"/>
    <mergeCell ref="B653:C653"/>
    <mergeCell ref="D653:H653"/>
    <mergeCell ref="B630:H631"/>
    <mergeCell ref="F633:H633"/>
    <mergeCell ref="F635:H635"/>
    <mergeCell ref="F637:H637"/>
    <mergeCell ref="F639:H639"/>
    <mergeCell ref="B646:C646"/>
    <mergeCell ref="D646:H646"/>
    <mergeCell ref="E647:F647"/>
    <mergeCell ref="B648:C648"/>
    <mergeCell ref="D648:H648"/>
    <mergeCell ref="B612:B613"/>
    <mergeCell ref="C612:C613"/>
    <mergeCell ref="D612:D613"/>
    <mergeCell ref="E612:E613"/>
    <mergeCell ref="F612:F613"/>
    <mergeCell ref="G612:G613"/>
    <mergeCell ref="H612:H613"/>
    <mergeCell ref="B625:H625"/>
    <mergeCell ref="B629:H629"/>
    <mergeCell ref="B606:C606"/>
    <mergeCell ref="D606:H606"/>
    <mergeCell ref="B607:C607"/>
    <mergeCell ref="D607:H607"/>
    <mergeCell ref="B608:C608"/>
    <mergeCell ref="B610:F610"/>
    <mergeCell ref="G610:H610"/>
    <mergeCell ref="B611:D611"/>
    <mergeCell ref="E611:F611"/>
    <mergeCell ref="E601:F601"/>
    <mergeCell ref="B602:C602"/>
    <mergeCell ref="D602:H602"/>
    <mergeCell ref="B603:C603"/>
    <mergeCell ref="D603:H603"/>
    <mergeCell ref="B604:C604"/>
    <mergeCell ref="D604:H604"/>
    <mergeCell ref="B605:C605"/>
    <mergeCell ref="D605:H605"/>
    <mergeCell ref="B579:H579"/>
    <mergeCell ref="B583:H583"/>
    <mergeCell ref="B584:H585"/>
    <mergeCell ref="F587:H587"/>
    <mergeCell ref="F589:H589"/>
    <mergeCell ref="F591:H591"/>
    <mergeCell ref="F593:H593"/>
    <mergeCell ref="B600:C600"/>
    <mergeCell ref="D600:H600"/>
    <mergeCell ref="B562:C562"/>
    <mergeCell ref="B564:F564"/>
    <mergeCell ref="G564:H564"/>
    <mergeCell ref="B565:D565"/>
    <mergeCell ref="E565:F565"/>
    <mergeCell ref="B566:B567"/>
    <mergeCell ref="C566:C567"/>
    <mergeCell ref="D566:D567"/>
    <mergeCell ref="E566:E567"/>
    <mergeCell ref="F566:F567"/>
    <mergeCell ref="G566:G567"/>
    <mergeCell ref="H566:H567"/>
    <mergeCell ref="B557:C557"/>
    <mergeCell ref="D557:H557"/>
    <mergeCell ref="B558:C558"/>
    <mergeCell ref="D558:H558"/>
    <mergeCell ref="B559:C559"/>
    <mergeCell ref="D559:H559"/>
    <mergeCell ref="B560:C560"/>
    <mergeCell ref="D560:H560"/>
    <mergeCell ref="B561:C561"/>
    <mergeCell ref="D561:H561"/>
    <mergeCell ref="B538:H539"/>
    <mergeCell ref="F541:H541"/>
    <mergeCell ref="F543:H543"/>
    <mergeCell ref="F545:H545"/>
    <mergeCell ref="F547:H547"/>
    <mergeCell ref="B554:C554"/>
    <mergeCell ref="D554:H554"/>
    <mergeCell ref="E555:F555"/>
    <mergeCell ref="B556:C556"/>
    <mergeCell ref="D556:H556"/>
    <mergeCell ref="B520:B521"/>
    <mergeCell ref="C520:C521"/>
    <mergeCell ref="D520:D521"/>
    <mergeCell ref="E520:E521"/>
    <mergeCell ref="F520:F521"/>
    <mergeCell ref="G520:G521"/>
    <mergeCell ref="H520:H521"/>
    <mergeCell ref="B533:H533"/>
    <mergeCell ref="B537:H537"/>
    <mergeCell ref="B514:C514"/>
    <mergeCell ref="D514:H514"/>
    <mergeCell ref="B515:C515"/>
    <mergeCell ref="D515:H515"/>
    <mergeCell ref="B516:C516"/>
    <mergeCell ref="B518:F518"/>
    <mergeCell ref="G518:H518"/>
    <mergeCell ref="B519:D519"/>
    <mergeCell ref="E519:F519"/>
    <mergeCell ref="E509:F509"/>
    <mergeCell ref="B510:C510"/>
    <mergeCell ref="D510:H510"/>
    <mergeCell ref="B511:C511"/>
    <mergeCell ref="D511:H511"/>
    <mergeCell ref="B512:C512"/>
    <mergeCell ref="D512:H512"/>
    <mergeCell ref="B513:C513"/>
    <mergeCell ref="D513:H513"/>
    <mergeCell ref="B487:H487"/>
    <mergeCell ref="B491:H491"/>
    <mergeCell ref="B492:H493"/>
    <mergeCell ref="F495:H495"/>
    <mergeCell ref="F497:H497"/>
    <mergeCell ref="F499:H499"/>
    <mergeCell ref="F501:H501"/>
    <mergeCell ref="B508:C508"/>
    <mergeCell ref="D508:H508"/>
    <mergeCell ref="B473:D473"/>
    <mergeCell ref="E473:F473"/>
    <mergeCell ref="B474:B475"/>
    <mergeCell ref="C474:C475"/>
    <mergeCell ref="D474:D475"/>
    <mergeCell ref="E474:E475"/>
    <mergeCell ref="F474:F475"/>
    <mergeCell ref="G474:G475"/>
    <mergeCell ref="H474:H475"/>
    <mergeCell ref="B467:C467"/>
    <mergeCell ref="D467:H467"/>
    <mergeCell ref="B468:C468"/>
    <mergeCell ref="D468:H468"/>
    <mergeCell ref="B469:C469"/>
    <mergeCell ref="D469:H469"/>
    <mergeCell ref="B470:C470"/>
    <mergeCell ref="B472:F472"/>
    <mergeCell ref="G472:H472"/>
    <mergeCell ref="B462:C462"/>
    <mergeCell ref="D462:H462"/>
    <mergeCell ref="E463:F463"/>
    <mergeCell ref="B464:C464"/>
    <mergeCell ref="D464:H464"/>
    <mergeCell ref="B465:C465"/>
    <mergeCell ref="D465:H465"/>
    <mergeCell ref="B466:C466"/>
    <mergeCell ref="D466:H466"/>
    <mergeCell ref="B13:D13"/>
    <mergeCell ref="E13:F13"/>
    <mergeCell ref="B14:B15"/>
    <mergeCell ref="C14:C15"/>
    <mergeCell ref="D14:D15"/>
    <mergeCell ref="E14:E15"/>
    <mergeCell ref="F14:F15"/>
    <mergeCell ref="F39:H39"/>
    <mergeCell ref="G14:G15"/>
    <mergeCell ref="H14:H15"/>
    <mergeCell ref="B31:H31"/>
    <mergeCell ref="B32:H33"/>
    <mergeCell ref="F35:H35"/>
    <mergeCell ref="F37:H37"/>
    <mergeCell ref="B27:H27"/>
    <mergeCell ref="B7:C7"/>
    <mergeCell ref="D7:H7"/>
    <mergeCell ref="B8:C8"/>
    <mergeCell ref="D8:H8"/>
    <mergeCell ref="B9:C9"/>
    <mergeCell ref="D9:H9"/>
    <mergeCell ref="B10:C10"/>
    <mergeCell ref="B12:F12"/>
    <mergeCell ref="G12:H12"/>
    <mergeCell ref="B2:C2"/>
    <mergeCell ref="D2:H2"/>
    <mergeCell ref="E3:F3"/>
    <mergeCell ref="B4:C4"/>
    <mergeCell ref="D4:H4"/>
    <mergeCell ref="B5:C5"/>
    <mergeCell ref="D5:H5"/>
    <mergeCell ref="B6:C6"/>
    <mergeCell ref="D6:H6"/>
    <mergeCell ref="D55:H55"/>
    <mergeCell ref="B56:C56"/>
    <mergeCell ref="B51:C51"/>
    <mergeCell ref="D51:H51"/>
    <mergeCell ref="B52:C52"/>
    <mergeCell ref="D52:H52"/>
    <mergeCell ref="B53:C53"/>
    <mergeCell ref="D53:H53"/>
    <mergeCell ref="B48:C48"/>
    <mergeCell ref="D48:H48"/>
    <mergeCell ref="E49:F49"/>
    <mergeCell ref="B50:C50"/>
    <mergeCell ref="D50:H50"/>
    <mergeCell ref="B73:H73"/>
    <mergeCell ref="F41:H41"/>
    <mergeCell ref="F87:H87"/>
    <mergeCell ref="B94:C94"/>
    <mergeCell ref="D94:H94"/>
    <mergeCell ref="B77:H77"/>
    <mergeCell ref="B78:H79"/>
    <mergeCell ref="F81:H81"/>
    <mergeCell ref="F83:H83"/>
    <mergeCell ref="F85:H85"/>
    <mergeCell ref="B58:F58"/>
    <mergeCell ref="G58:H58"/>
    <mergeCell ref="B59:D59"/>
    <mergeCell ref="E59:F59"/>
    <mergeCell ref="B60:B61"/>
    <mergeCell ref="C60:C61"/>
    <mergeCell ref="D60:D61"/>
    <mergeCell ref="E60:E61"/>
    <mergeCell ref="F60:F61"/>
    <mergeCell ref="G60:G61"/>
    <mergeCell ref="H60:H61"/>
    <mergeCell ref="B54:C54"/>
    <mergeCell ref="D54:H54"/>
    <mergeCell ref="B55:C55"/>
    <mergeCell ref="B98:C98"/>
    <mergeCell ref="D98:H98"/>
    <mergeCell ref="B99:C99"/>
    <mergeCell ref="D99:H99"/>
    <mergeCell ref="B100:C100"/>
    <mergeCell ref="D100:H100"/>
    <mergeCell ref="E95:F95"/>
    <mergeCell ref="B96:C96"/>
    <mergeCell ref="D96:H96"/>
    <mergeCell ref="B97:C97"/>
    <mergeCell ref="D97:H97"/>
    <mergeCell ref="B105:D105"/>
    <mergeCell ref="E105:F105"/>
    <mergeCell ref="B106:B107"/>
    <mergeCell ref="C106:C107"/>
    <mergeCell ref="D106:D107"/>
    <mergeCell ref="E106:E107"/>
    <mergeCell ref="F106:F107"/>
    <mergeCell ref="B101:C101"/>
    <mergeCell ref="D101:H101"/>
    <mergeCell ref="B102:C102"/>
    <mergeCell ref="B104:F104"/>
    <mergeCell ref="G104:H104"/>
    <mergeCell ref="F127:H127"/>
    <mergeCell ref="F129:H129"/>
    <mergeCell ref="F131:H131"/>
    <mergeCell ref="F133:H133"/>
    <mergeCell ref="B140:C140"/>
    <mergeCell ref="D140:H140"/>
    <mergeCell ref="G106:G107"/>
    <mergeCell ref="H106:H107"/>
    <mergeCell ref="B119:H119"/>
    <mergeCell ref="B123:H123"/>
    <mergeCell ref="B124:H125"/>
    <mergeCell ref="B144:C144"/>
    <mergeCell ref="D144:H144"/>
    <mergeCell ref="B145:C145"/>
    <mergeCell ref="D145:H145"/>
    <mergeCell ref="B146:C146"/>
    <mergeCell ref="D146:H146"/>
    <mergeCell ref="E141:F141"/>
    <mergeCell ref="B142:C142"/>
    <mergeCell ref="D142:H142"/>
    <mergeCell ref="B143:C143"/>
    <mergeCell ref="D143:H143"/>
    <mergeCell ref="B151:D151"/>
    <mergeCell ref="E151:F151"/>
    <mergeCell ref="B152:B153"/>
    <mergeCell ref="C152:C153"/>
    <mergeCell ref="D152:D153"/>
    <mergeCell ref="E152:E153"/>
    <mergeCell ref="F152:F153"/>
    <mergeCell ref="B147:C147"/>
    <mergeCell ref="D147:H147"/>
    <mergeCell ref="B148:C148"/>
    <mergeCell ref="B150:F150"/>
    <mergeCell ref="G150:H150"/>
    <mergeCell ref="F173:H173"/>
    <mergeCell ref="F175:H175"/>
    <mergeCell ref="F177:H177"/>
    <mergeCell ref="F179:H179"/>
    <mergeCell ref="B186:C186"/>
    <mergeCell ref="D186:H186"/>
    <mergeCell ref="G152:G153"/>
    <mergeCell ref="H152:H153"/>
    <mergeCell ref="B165:H165"/>
    <mergeCell ref="B169:H169"/>
    <mergeCell ref="B170:H171"/>
    <mergeCell ref="B190:C190"/>
    <mergeCell ref="D190:H190"/>
    <mergeCell ref="B191:C191"/>
    <mergeCell ref="D191:H191"/>
    <mergeCell ref="B192:C192"/>
    <mergeCell ref="D192:H192"/>
    <mergeCell ref="E187:F187"/>
    <mergeCell ref="B188:C188"/>
    <mergeCell ref="D188:H188"/>
    <mergeCell ref="B189:C189"/>
    <mergeCell ref="D189:H189"/>
    <mergeCell ref="B197:D197"/>
    <mergeCell ref="E197:F197"/>
    <mergeCell ref="B198:B199"/>
    <mergeCell ref="C198:C199"/>
    <mergeCell ref="D198:D199"/>
    <mergeCell ref="E198:E199"/>
    <mergeCell ref="F198:F199"/>
    <mergeCell ref="B193:C193"/>
    <mergeCell ref="D193:H193"/>
    <mergeCell ref="B194:C194"/>
    <mergeCell ref="B196:F196"/>
    <mergeCell ref="G196:H196"/>
    <mergeCell ref="F219:H219"/>
    <mergeCell ref="F221:H221"/>
    <mergeCell ref="F223:H223"/>
    <mergeCell ref="F225:H225"/>
    <mergeCell ref="B232:C232"/>
    <mergeCell ref="D232:H232"/>
    <mergeCell ref="G198:G199"/>
    <mergeCell ref="H198:H199"/>
    <mergeCell ref="B211:H211"/>
    <mergeCell ref="B215:H215"/>
    <mergeCell ref="B216:H217"/>
    <mergeCell ref="B236:C236"/>
    <mergeCell ref="D236:H236"/>
    <mergeCell ref="B237:C237"/>
    <mergeCell ref="D237:H237"/>
    <mergeCell ref="B238:C238"/>
    <mergeCell ref="D238:H238"/>
    <mergeCell ref="E233:F233"/>
    <mergeCell ref="B234:C234"/>
    <mergeCell ref="D234:H234"/>
    <mergeCell ref="B235:C235"/>
    <mergeCell ref="D235:H235"/>
    <mergeCell ref="B243:D243"/>
    <mergeCell ref="E243:F243"/>
    <mergeCell ref="B244:B245"/>
    <mergeCell ref="C244:C245"/>
    <mergeCell ref="D244:D245"/>
    <mergeCell ref="E244:E245"/>
    <mergeCell ref="F244:F245"/>
    <mergeCell ref="B239:C239"/>
    <mergeCell ref="D239:H239"/>
    <mergeCell ref="B240:C240"/>
    <mergeCell ref="B242:F242"/>
    <mergeCell ref="G242:H242"/>
    <mergeCell ref="F265:H265"/>
    <mergeCell ref="F267:H267"/>
    <mergeCell ref="F269:H269"/>
    <mergeCell ref="F271:H271"/>
    <mergeCell ref="B278:C278"/>
    <mergeCell ref="D278:H278"/>
    <mergeCell ref="G244:G245"/>
    <mergeCell ref="H244:H245"/>
    <mergeCell ref="B257:H257"/>
    <mergeCell ref="B261:H261"/>
    <mergeCell ref="B262:H263"/>
    <mergeCell ref="B282:C282"/>
    <mergeCell ref="D282:H282"/>
    <mergeCell ref="B283:C283"/>
    <mergeCell ref="D283:H283"/>
    <mergeCell ref="B284:C284"/>
    <mergeCell ref="D284:H284"/>
    <mergeCell ref="E279:F279"/>
    <mergeCell ref="B280:C280"/>
    <mergeCell ref="D280:H280"/>
    <mergeCell ref="B281:C281"/>
    <mergeCell ref="D281:H281"/>
    <mergeCell ref="B289:D289"/>
    <mergeCell ref="E289:F289"/>
    <mergeCell ref="B290:B291"/>
    <mergeCell ref="C290:C291"/>
    <mergeCell ref="D290:D291"/>
    <mergeCell ref="E290:E291"/>
    <mergeCell ref="F290:F291"/>
    <mergeCell ref="B285:C285"/>
    <mergeCell ref="D285:H285"/>
    <mergeCell ref="B286:C286"/>
    <mergeCell ref="B288:F288"/>
    <mergeCell ref="G288:H288"/>
    <mergeCell ref="F311:H311"/>
    <mergeCell ref="F313:H313"/>
    <mergeCell ref="F315:H315"/>
    <mergeCell ref="F317:H317"/>
    <mergeCell ref="B324:C324"/>
    <mergeCell ref="D324:H324"/>
    <mergeCell ref="G290:G291"/>
    <mergeCell ref="H290:H291"/>
    <mergeCell ref="B303:H303"/>
    <mergeCell ref="B307:H307"/>
    <mergeCell ref="B308:H309"/>
    <mergeCell ref="B328:C328"/>
    <mergeCell ref="D328:H328"/>
    <mergeCell ref="B329:C329"/>
    <mergeCell ref="D329:H329"/>
    <mergeCell ref="B330:C330"/>
    <mergeCell ref="D330:H330"/>
    <mergeCell ref="E325:F325"/>
    <mergeCell ref="B326:C326"/>
    <mergeCell ref="D326:H326"/>
    <mergeCell ref="B327:C327"/>
    <mergeCell ref="D327:H327"/>
    <mergeCell ref="B335:D335"/>
    <mergeCell ref="E335:F335"/>
    <mergeCell ref="B336:B337"/>
    <mergeCell ref="C336:C337"/>
    <mergeCell ref="D336:D337"/>
    <mergeCell ref="E336:E337"/>
    <mergeCell ref="F336:F337"/>
    <mergeCell ref="B331:C331"/>
    <mergeCell ref="D331:H331"/>
    <mergeCell ref="B332:C332"/>
    <mergeCell ref="B334:F334"/>
    <mergeCell ref="G334:H334"/>
    <mergeCell ref="F357:H357"/>
    <mergeCell ref="F359:H359"/>
    <mergeCell ref="F361:H361"/>
    <mergeCell ref="F363:H363"/>
    <mergeCell ref="B370:C370"/>
    <mergeCell ref="D370:H370"/>
    <mergeCell ref="G336:G337"/>
    <mergeCell ref="H336:H337"/>
    <mergeCell ref="B349:H349"/>
    <mergeCell ref="B353:H353"/>
    <mergeCell ref="B354:H355"/>
    <mergeCell ref="B374:C374"/>
    <mergeCell ref="D374:H374"/>
    <mergeCell ref="B375:C375"/>
    <mergeCell ref="D375:H375"/>
    <mergeCell ref="B376:C376"/>
    <mergeCell ref="D376:H376"/>
    <mergeCell ref="E371:F371"/>
    <mergeCell ref="B372:C372"/>
    <mergeCell ref="D372:H372"/>
    <mergeCell ref="B373:C373"/>
    <mergeCell ref="D373:H373"/>
    <mergeCell ref="B381:D381"/>
    <mergeCell ref="E381:F381"/>
    <mergeCell ref="B382:B383"/>
    <mergeCell ref="C382:C383"/>
    <mergeCell ref="D382:D383"/>
    <mergeCell ref="E382:E383"/>
    <mergeCell ref="F382:F383"/>
    <mergeCell ref="B377:C377"/>
    <mergeCell ref="D377:H377"/>
    <mergeCell ref="B378:C378"/>
    <mergeCell ref="B380:F380"/>
    <mergeCell ref="G380:H380"/>
    <mergeCell ref="F403:H403"/>
    <mergeCell ref="F405:H405"/>
    <mergeCell ref="F407:H407"/>
    <mergeCell ref="F409:H409"/>
    <mergeCell ref="B416:C416"/>
    <mergeCell ref="D416:H416"/>
    <mergeCell ref="G382:G383"/>
    <mergeCell ref="H382:H383"/>
    <mergeCell ref="B395:H395"/>
    <mergeCell ref="B399:H399"/>
    <mergeCell ref="B400:H401"/>
    <mergeCell ref="B420:C420"/>
    <mergeCell ref="D420:H420"/>
    <mergeCell ref="B421:C421"/>
    <mergeCell ref="D421:H421"/>
    <mergeCell ref="B422:C422"/>
    <mergeCell ref="D422:H422"/>
    <mergeCell ref="E417:F417"/>
    <mergeCell ref="B418:C418"/>
    <mergeCell ref="D418:H418"/>
    <mergeCell ref="B419:C419"/>
    <mergeCell ref="D419:H419"/>
    <mergeCell ref="B427:D427"/>
    <mergeCell ref="E427:F427"/>
    <mergeCell ref="B428:B429"/>
    <mergeCell ref="C428:C429"/>
    <mergeCell ref="D428:D429"/>
    <mergeCell ref="E428:E429"/>
    <mergeCell ref="F428:F429"/>
    <mergeCell ref="B423:C423"/>
    <mergeCell ref="D423:H423"/>
    <mergeCell ref="B424:C424"/>
    <mergeCell ref="B426:F426"/>
    <mergeCell ref="G426:H426"/>
    <mergeCell ref="F449:H449"/>
    <mergeCell ref="F451:H451"/>
    <mergeCell ref="F453:H453"/>
    <mergeCell ref="F455:H455"/>
    <mergeCell ref="G428:G429"/>
    <mergeCell ref="H428:H429"/>
    <mergeCell ref="B441:H441"/>
    <mergeCell ref="B445:H445"/>
    <mergeCell ref="B446:H447"/>
  </mergeCells>
  <dataValidations disablePrompts="1" count="1">
    <dataValidation type="list" allowBlank="1" showInputMessage="1" showErrorMessage="1" sqref="D3 D49 D95 D141 D187 D417 D279 D325 D371 D233 D877 D463 D509 D555 D601 D647 D693 D739 D785 D831" xr:uid="{00000000-0002-0000-0000-000000000000}">
      <formula1>$X$4:$X$7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CI26"/>
  <sheetViews>
    <sheetView tabSelected="1" workbookViewId="0"/>
  </sheetViews>
  <sheetFormatPr defaultColWidth="21.5546875" defaultRowHeight="14.4" x14ac:dyDescent="0.3"/>
  <cols>
    <col min="1" max="1" width="3" style="1" bestFit="1" customWidth="1"/>
    <col min="2" max="2" width="13.6640625" style="1" bestFit="1" customWidth="1"/>
    <col min="3" max="3" width="43.109375" style="1" customWidth="1"/>
    <col min="4" max="15" width="17.5546875" style="1" customWidth="1"/>
    <col min="16" max="16" width="18.6640625" style="1" customWidth="1"/>
    <col min="17" max="77" width="8.5546875" style="1" customWidth="1"/>
    <col min="78" max="86" width="9.33203125" style="1" bestFit="1" customWidth="1"/>
    <col min="87" max="87" width="10.33203125" style="1" bestFit="1" customWidth="1"/>
    <col min="88" max="16384" width="21.5546875" style="1"/>
  </cols>
  <sheetData>
    <row r="1" spans="1:87" x14ac:dyDescent="0.3">
      <c r="B1" s="1">
        <v>4</v>
      </c>
      <c r="C1" s="1">
        <v>4</v>
      </c>
      <c r="D1" s="1">
        <v>4</v>
      </c>
      <c r="E1" s="1">
        <v>4</v>
      </c>
      <c r="F1" s="1">
        <v>4</v>
      </c>
      <c r="G1" s="1">
        <v>4</v>
      </c>
      <c r="H1" s="1">
        <v>4</v>
      </c>
      <c r="I1" s="1">
        <v>4</v>
      </c>
      <c r="J1" s="1">
        <v>4</v>
      </c>
      <c r="K1" s="1">
        <v>6</v>
      </c>
      <c r="L1" s="1">
        <v>7</v>
      </c>
      <c r="M1" s="1">
        <v>6</v>
      </c>
      <c r="N1" s="1">
        <v>6</v>
      </c>
      <c r="O1" s="1">
        <v>6</v>
      </c>
      <c r="P1" s="1">
        <v>6</v>
      </c>
      <c r="Q1" s="1">
        <v>17</v>
      </c>
      <c r="R1" s="1">
        <v>15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</v>
      </c>
      <c r="AC1" s="1">
        <v>4</v>
      </c>
      <c r="AD1" s="1">
        <v>5</v>
      </c>
      <c r="AE1" s="1">
        <v>6</v>
      </c>
      <c r="AF1" s="1">
        <v>2</v>
      </c>
      <c r="AG1" s="1">
        <v>4</v>
      </c>
      <c r="AH1" s="1">
        <v>5</v>
      </c>
      <c r="AI1" s="1">
        <v>6</v>
      </c>
      <c r="AJ1" s="1">
        <v>2</v>
      </c>
      <c r="AK1" s="1">
        <v>4</v>
      </c>
      <c r="AL1" s="1">
        <v>5</v>
      </c>
      <c r="AM1" s="1">
        <v>6</v>
      </c>
      <c r="AN1" s="1">
        <v>2</v>
      </c>
      <c r="AO1" s="1">
        <v>4</v>
      </c>
      <c r="AP1" s="1">
        <v>5</v>
      </c>
      <c r="AQ1" s="1">
        <v>6</v>
      </c>
      <c r="AR1" s="1">
        <v>2</v>
      </c>
      <c r="AS1" s="1">
        <v>4</v>
      </c>
      <c r="AT1" s="1">
        <v>5</v>
      </c>
      <c r="AU1" s="1">
        <v>6</v>
      </c>
      <c r="AV1" s="1">
        <v>2</v>
      </c>
      <c r="AW1" s="1">
        <v>4</v>
      </c>
      <c r="AX1" s="1">
        <v>5</v>
      </c>
      <c r="AY1" s="1">
        <v>6</v>
      </c>
      <c r="AZ1" s="1">
        <v>2</v>
      </c>
      <c r="BA1" s="1">
        <v>4</v>
      </c>
      <c r="BB1" s="1">
        <v>5</v>
      </c>
      <c r="BC1" s="1">
        <v>6</v>
      </c>
      <c r="BD1" s="1">
        <v>2</v>
      </c>
      <c r="BE1" s="1">
        <v>4</v>
      </c>
      <c r="BF1" s="1">
        <v>5</v>
      </c>
      <c r="BG1" s="1">
        <v>6</v>
      </c>
      <c r="BH1" s="1">
        <v>2</v>
      </c>
      <c r="BI1" s="1">
        <v>4</v>
      </c>
      <c r="BJ1" s="1">
        <v>5</v>
      </c>
      <c r="BK1" s="1">
        <v>6</v>
      </c>
      <c r="BL1" s="1">
        <v>2</v>
      </c>
      <c r="BM1" s="1">
        <v>4</v>
      </c>
      <c r="BN1" s="1">
        <v>5</v>
      </c>
      <c r="BO1" s="1">
        <v>6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  <c r="BX1" s="1">
        <v>2</v>
      </c>
      <c r="BY1" s="1">
        <v>2</v>
      </c>
      <c r="BZ1" s="1">
        <v>4</v>
      </c>
      <c r="CA1" s="1">
        <v>4</v>
      </c>
      <c r="CB1" s="1">
        <v>4</v>
      </c>
      <c r="CC1" s="1">
        <v>4</v>
      </c>
      <c r="CD1" s="1">
        <v>4</v>
      </c>
      <c r="CE1" s="1">
        <v>4</v>
      </c>
      <c r="CF1" s="1">
        <v>4</v>
      </c>
      <c r="CG1" s="1">
        <v>4</v>
      </c>
      <c r="CH1" s="1">
        <v>4</v>
      </c>
      <c r="CI1" s="1">
        <v>4</v>
      </c>
    </row>
    <row r="2" spans="1:87" x14ac:dyDescent="0.3">
      <c r="B2" s="1">
        <v>203</v>
      </c>
      <c r="C2" s="1">
        <v>201</v>
      </c>
      <c r="D2" s="1">
        <v>204</v>
      </c>
      <c r="E2" s="1">
        <v>205</v>
      </c>
      <c r="F2" s="1">
        <v>206</v>
      </c>
      <c r="G2" s="1">
        <v>207</v>
      </c>
      <c r="H2" s="1">
        <v>208</v>
      </c>
      <c r="I2" s="1">
        <v>202</v>
      </c>
      <c r="J2" s="1">
        <v>209</v>
      </c>
      <c r="K2" s="1">
        <v>209</v>
      </c>
      <c r="L2" s="1">
        <v>202</v>
      </c>
      <c r="M2" s="1">
        <v>237</v>
      </c>
      <c r="N2" s="1">
        <v>239</v>
      </c>
      <c r="O2" s="1">
        <v>235</v>
      </c>
      <c r="P2" s="1">
        <v>243</v>
      </c>
      <c r="Q2" s="1">
        <v>207</v>
      </c>
      <c r="R2" s="1">
        <v>207</v>
      </c>
      <c r="S2" s="1">
        <v>205</v>
      </c>
      <c r="T2" s="1">
        <v>205</v>
      </c>
      <c r="U2" s="1">
        <v>205</v>
      </c>
      <c r="V2" s="1">
        <v>205</v>
      </c>
      <c r="W2" s="1">
        <v>205</v>
      </c>
      <c r="X2" s="1">
        <v>205</v>
      </c>
      <c r="Y2" s="1">
        <v>205</v>
      </c>
      <c r="Z2" s="1">
        <v>205</v>
      </c>
      <c r="AA2" s="1">
        <v>205</v>
      </c>
      <c r="AB2" s="1">
        <v>216</v>
      </c>
      <c r="AC2" s="1">
        <f t="shared" ref="AC2:AE3" si="0">AB2</f>
        <v>216</v>
      </c>
      <c r="AD2" s="1">
        <f t="shared" si="0"/>
        <v>216</v>
      </c>
      <c r="AE2" s="1">
        <f t="shared" si="0"/>
        <v>216</v>
      </c>
      <c r="AF2" s="1">
        <f>AE2+1</f>
        <v>217</v>
      </c>
      <c r="AG2" s="1">
        <f>AF2</f>
        <v>217</v>
      </c>
      <c r="AH2" s="1">
        <f>AG2</f>
        <v>217</v>
      </c>
      <c r="AI2" s="1">
        <f t="shared" ref="AI2:AU3" si="1">AH2</f>
        <v>217</v>
      </c>
      <c r="AJ2" s="1">
        <f>AI2+1</f>
        <v>218</v>
      </c>
      <c r="AK2" s="1">
        <f>AJ2</f>
        <v>218</v>
      </c>
      <c r="AL2" s="1">
        <f>AK2</f>
        <v>218</v>
      </c>
      <c r="AM2" s="1">
        <f t="shared" si="1"/>
        <v>218</v>
      </c>
      <c r="AN2" s="1">
        <f>AM2+1</f>
        <v>219</v>
      </c>
      <c r="AO2" s="1">
        <f>AN2</f>
        <v>219</v>
      </c>
      <c r="AP2" s="1">
        <f>AO2</f>
        <v>219</v>
      </c>
      <c r="AQ2" s="1">
        <f t="shared" si="1"/>
        <v>219</v>
      </c>
      <c r="AR2" s="1">
        <f>AQ2+1</f>
        <v>220</v>
      </c>
      <c r="AS2" s="1">
        <f>AR2</f>
        <v>220</v>
      </c>
      <c r="AT2" s="1">
        <f>AS2</f>
        <v>220</v>
      </c>
      <c r="AU2" s="1">
        <f t="shared" si="1"/>
        <v>220</v>
      </c>
      <c r="AV2" s="1">
        <f>AU2+1</f>
        <v>221</v>
      </c>
      <c r="AW2" s="1">
        <f>AV2</f>
        <v>221</v>
      </c>
      <c r="AX2" s="1">
        <f>AW2</f>
        <v>221</v>
      </c>
      <c r="AY2" s="1">
        <f t="shared" ref="AY2:AY3" si="2">AX2</f>
        <v>221</v>
      </c>
      <c r="AZ2" s="1">
        <f>AY2+1</f>
        <v>222</v>
      </c>
      <c r="BA2" s="1">
        <f>AZ2</f>
        <v>222</v>
      </c>
      <c r="BB2" s="1">
        <f>BA2</f>
        <v>222</v>
      </c>
      <c r="BC2" s="1">
        <f t="shared" ref="BC2:BC3" si="3">BB2</f>
        <v>222</v>
      </c>
      <c r="BD2" s="1">
        <f>BC2+1</f>
        <v>223</v>
      </c>
      <c r="BE2" s="1">
        <f>BD2</f>
        <v>223</v>
      </c>
      <c r="BF2" s="1">
        <f>BE2</f>
        <v>223</v>
      </c>
      <c r="BG2" s="1">
        <f t="shared" ref="BG2:BG3" si="4">BF2</f>
        <v>223</v>
      </c>
      <c r="BH2" s="1">
        <f>BG2+1</f>
        <v>224</v>
      </c>
      <c r="BI2" s="1">
        <f>BH2</f>
        <v>224</v>
      </c>
      <c r="BJ2" s="1">
        <f>BI2</f>
        <v>224</v>
      </c>
      <c r="BK2" s="1">
        <f t="shared" ref="BK2:BK3" si="5">BJ2</f>
        <v>224</v>
      </c>
      <c r="BL2" s="1">
        <f>BK2+1</f>
        <v>225</v>
      </c>
      <c r="BM2" s="1">
        <f>BL2</f>
        <v>225</v>
      </c>
      <c r="BN2" s="1">
        <f>BM2</f>
        <v>225</v>
      </c>
      <c r="BO2" s="1">
        <f t="shared" ref="BO2:BO3" si="6">BN2</f>
        <v>225</v>
      </c>
      <c r="BP2" s="1">
        <v>235</v>
      </c>
      <c r="BQ2" s="1">
        <f>BP2+1</f>
        <v>236</v>
      </c>
      <c r="BR2" s="1">
        <f t="shared" ref="BR2:BY2" si="7">BQ2+1</f>
        <v>237</v>
      </c>
      <c r="BS2" s="1">
        <f t="shared" si="7"/>
        <v>238</v>
      </c>
      <c r="BT2" s="1">
        <f t="shared" si="7"/>
        <v>239</v>
      </c>
      <c r="BU2" s="1">
        <f t="shared" si="7"/>
        <v>240</v>
      </c>
      <c r="BV2" s="1">
        <f t="shared" si="7"/>
        <v>241</v>
      </c>
      <c r="BW2" s="1">
        <f t="shared" si="7"/>
        <v>242</v>
      </c>
      <c r="BX2" s="1">
        <f t="shared" si="7"/>
        <v>243</v>
      </c>
      <c r="BY2" s="1">
        <f t="shared" si="7"/>
        <v>244</v>
      </c>
      <c r="BZ2" s="1">
        <v>235</v>
      </c>
      <c r="CA2" s="1">
        <f>BZ2+1</f>
        <v>236</v>
      </c>
      <c r="CB2" s="1">
        <f t="shared" ref="CB2:CI2" si="8">CA2+1</f>
        <v>237</v>
      </c>
      <c r="CC2" s="1">
        <f t="shared" si="8"/>
        <v>238</v>
      </c>
      <c r="CD2" s="1">
        <f t="shared" si="8"/>
        <v>239</v>
      </c>
      <c r="CE2" s="1">
        <f t="shared" si="8"/>
        <v>240</v>
      </c>
      <c r="CF2" s="1">
        <f t="shared" si="8"/>
        <v>241</v>
      </c>
      <c r="CG2" s="1">
        <f t="shared" si="8"/>
        <v>242</v>
      </c>
      <c r="CH2" s="1">
        <f t="shared" si="8"/>
        <v>243</v>
      </c>
      <c r="CI2" s="1">
        <f t="shared" si="8"/>
        <v>244</v>
      </c>
    </row>
    <row r="3" spans="1:87" x14ac:dyDescent="0.3">
      <c r="H3" s="30">
        <f ca="1">TODAY()</f>
        <v>46036</v>
      </c>
      <c r="AB3" s="1">
        <v>1</v>
      </c>
      <c r="AC3" s="1">
        <f t="shared" si="0"/>
        <v>1</v>
      </c>
      <c r="AD3" s="1">
        <f t="shared" si="0"/>
        <v>1</v>
      </c>
      <c r="AE3" s="1">
        <f t="shared" si="0"/>
        <v>1</v>
      </c>
      <c r="AF3" s="1">
        <f>AE3+1</f>
        <v>2</v>
      </c>
      <c r="AG3" s="1">
        <f>AF3</f>
        <v>2</v>
      </c>
      <c r="AH3" s="1">
        <f>AG3</f>
        <v>2</v>
      </c>
      <c r="AI3" s="1">
        <f t="shared" si="1"/>
        <v>2</v>
      </c>
      <c r="AJ3" s="1">
        <f>AI3+1</f>
        <v>3</v>
      </c>
      <c r="AK3" s="1">
        <f>AJ3</f>
        <v>3</v>
      </c>
      <c r="AL3" s="1">
        <f>AK3</f>
        <v>3</v>
      </c>
      <c r="AM3" s="1">
        <f t="shared" si="1"/>
        <v>3</v>
      </c>
      <c r="AN3" s="1">
        <f>AM3+1</f>
        <v>4</v>
      </c>
      <c r="AO3" s="1">
        <f>AN3</f>
        <v>4</v>
      </c>
      <c r="AP3" s="1">
        <f>AO3</f>
        <v>4</v>
      </c>
      <c r="AQ3" s="1">
        <f t="shared" si="1"/>
        <v>4</v>
      </c>
      <c r="AR3" s="1">
        <f>AQ3+1</f>
        <v>5</v>
      </c>
      <c r="AS3" s="1">
        <f>AR3</f>
        <v>5</v>
      </c>
      <c r="AT3" s="1">
        <f>AS3</f>
        <v>5</v>
      </c>
      <c r="AU3" s="1">
        <f t="shared" si="1"/>
        <v>5</v>
      </c>
      <c r="AV3" s="1">
        <f>AU3+1</f>
        <v>6</v>
      </c>
      <c r="AW3" s="1">
        <f>AV3</f>
        <v>6</v>
      </c>
      <c r="AX3" s="1">
        <f>AW3</f>
        <v>6</v>
      </c>
      <c r="AY3" s="1">
        <f t="shared" si="2"/>
        <v>6</v>
      </c>
      <c r="AZ3" s="1">
        <f>AY3+1</f>
        <v>7</v>
      </c>
      <c r="BA3" s="1">
        <f>AZ3</f>
        <v>7</v>
      </c>
      <c r="BB3" s="1">
        <f>BA3</f>
        <v>7</v>
      </c>
      <c r="BC3" s="1">
        <f t="shared" si="3"/>
        <v>7</v>
      </c>
      <c r="BD3" s="1">
        <f>BC3+1</f>
        <v>8</v>
      </c>
      <c r="BE3" s="1">
        <f>BD3</f>
        <v>8</v>
      </c>
      <c r="BF3" s="1">
        <f>BE3</f>
        <v>8</v>
      </c>
      <c r="BG3" s="1">
        <f t="shared" si="4"/>
        <v>8</v>
      </c>
      <c r="BH3" s="1">
        <f>BG3+1</f>
        <v>9</v>
      </c>
      <c r="BI3" s="1">
        <f>BH3</f>
        <v>9</v>
      </c>
      <c r="BJ3" s="1">
        <f>BI3</f>
        <v>9</v>
      </c>
      <c r="BK3" s="1">
        <f t="shared" si="5"/>
        <v>9</v>
      </c>
      <c r="BL3" s="1">
        <f>BK3+1</f>
        <v>10</v>
      </c>
      <c r="BM3" s="1">
        <f>BL3</f>
        <v>10</v>
      </c>
      <c r="BN3" s="1">
        <f>BM3</f>
        <v>10</v>
      </c>
      <c r="BO3" s="1">
        <f t="shared" si="6"/>
        <v>10</v>
      </c>
      <c r="BP3" s="1">
        <v>1</v>
      </c>
      <c r="BQ3" s="1">
        <f>BP3+1</f>
        <v>2</v>
      </c>
      <c r="BR3" s="1">
        <f t="shared" ref="BR3:BY3" si="9">BQ3+1</f>
        <v>3</v>
      </c>
      <c r="BS3" s="1">
        <f t="shared" si="9"/>
        <v>4</v>
      </c>
      <c r="BT3" s="1">
        <f t="shared" si="9"/>
        <v>5</v>
      </c>
      <c r="BU3" s="1">
        <f t="shared" si="9"/>
        <v>6</v>
      </c>
      <c r="BV3" s="1">
        <f t="shared" si="9"/>
        <v>7</v>
      </c>
      <c r="BW3" s="1">
        <f t="shared" si="9"/>
        <v>8</v>
      </c>
      <c r="BX3" s="1">
        <f t="shared" si="9"/>
        <v>9</v>
      </c>
      <c r="BY3" s="1">
        <f t="shared" si="9"/>
        <v>10</v>
      </c>
      <c r="BZ3" s="1">
        <v>1</v>
      </c>
      <c r="CA3" s="1">
        <f>BZ3+1</f>
        <v>2</v>
      </c>
      <c r="CB3" s="1">
        <f t="shared" ref="CB3:CI3" si="10">CA3+1</f>
        <v>3</v>
      </c>
      <c r="CC3" s="1">
        <f t="shared" si="10"/>
        <v>4</v>
      </c>
      <c r="CD3" s="1">
        <f t="shared" si="10"/>
        <v>5</v>
      </c>
      <c r="CE3" s="1">
        <f t="shared" si="10"/>
        <v>6</v>
      </c>
      <c r="CF3" s="1">
        <f t="shared" si="10"/>
        <v>7</v>
      </c>
      <c r="CG3" s="1">
        <f t="shared" si="10"/>
        <v>8</v>
      </c>
      <c r="CH3" s="1">
        <f t="shared" si="10"/>
        <v>9</v>
      </c>
      <c r="CI3" s="1">
        <f t="shared" si="10"/>
        <v>10</v>
      </c>
    </row>
    <row r="4" spans="1:87" x14ac:dyDescent="0.3">
      <c r="Q4" s="84" t="s">
        <v>56</v>
      </c>
      <c r="R4" s="84"/>
      <c r="S4" s="84"/>
      <c r="T4" s="84"/>
      <c r="U4" s="84"/>
      <c r="V4" s="84"/>
      <c r="W4" s="84"/>
      <c r="X4" s="84"/>
      <c r="Y4" s="84"/>
      <c r="Z4" s="84"/>
      <c r="AA4" s="84"/>
      <c r="AB4" s="85" t="str">
        <f>CONCATENATE(AB3,"º Ponto")</f>
        <v>1º Ponto</v>
      </c>
      <c r="AC4" s="86"/>
      <c r="AD4" s="86"/>
      <c r="AE4" s="87"/>
      <c r="AF4" s="81" t="str">
        <f t="shared" ref="AF4" si="11">CONCATENATE(AF3,"º Ponto")</f>
        <v>2º Ponto</v>
      </c>
      <c r="AG4" s="82"/>
      <c r="AH4" s="82"/>
      <c r="AI4" s="83"/>
      <c r="AJ4" s="85" t="str">
        <f t="shared" ref="AJ4" si="12">CONCATENATE(AJ3,"º Ponto")</f>
        <v>3º Ponto</v>
      </c>
      <c r="AK4" s="86"/>
      <c r="AL4" s="86"/>
      <c r="AM4" s="87"/>
      <c r="AN4" s="81" t="str">
        <f t="shared" ref="AN4" si="13">CONCATENATE(AN3,"º Ponto")</f>
        <v>4º Ponto</v>
      </c>
      <c r="AO4" s="82"/>
      <c r="AP4" s="82"/>
      <c r="AQ4" s="83"/>
      <c r="AR4" s="85" t="str">
        <f t="shared" ref="AR4" si="14">CONCATENATE(AR3,"º Ponto")</f>
        <v>5º Ponto</v>
      </c>
      <c r="AS4" s="86"/>
      <c r="AT4" s="86"/>
      <c r="AU4" s="87"/>
      <c r="AV4" s="81" t="str">
        <f t="shared" ref="AV4" si="15">CONCATENATE(AV3,"º Ponto")</f>
        <v>6º Ponto</v>
      </c>
      <c r="AW4" s="82"/>
      <c r="AX4" s="82"/>
      <c r="AY4" s="83"/>
      <c r="AZ4" s="85" t="str">
        <f t="shared" ref="AZ4" si="16">CONCATENATE(AZ3,"º Ponto")</f>
        <v>7º Ponto</v>
      </c>
      <c r="BA4" s="86"/>
      <c r="BB4" s="86"/>
      <c r="BC4" s="87"/>
      <c r="BD4" s="81" t="str">
        <f t="shared" ref="BD4" si="17">CONCATENATE(BD3,"º Ponto")</f>
        <v>8º Ponto</v>
      </c>
      <c r="BE4" s="82"/>
      <c r="BF4" s="82"/>
      <c r="BG4" s="83"/>
      <c r="BH4" s="85" t="str">
        <f t="shared" ref="BH4" si="18">CONCATENATE(BH3,"º Ponto")</f>
        <v>9º Ponto</v>
      </c>
      <c r="BI4" s="86"/>
      <c r="BJ4" s="86"/>
      <c r="BK4" s="87"/>
      <c r="BL4" s="81" t="str">
        <f t="shared" ref="BL4" si="19">CONCATENATE(BL3,"º Ponto")</f>
        <v>10º Ponto</v>
      </c>
      <c r="BM4" s="82"/>
      <c r="BN4" s="82"/>
      <c r="BO4" s="83"/>
      <c r="BP4" s="53" t="str">
        <f>CONCATENATE(BP3," - Erro")</f>
        <v>1 - Erro</v>
      </c>
      <c r="BQ4" s="53" t="str">
        <f>CONCATENATE(BQ3," - Erro")</f>
        <v>2 - Erro</v>
      </c>
      <c r="BR4" s="53" t="str">
        <f t="shared" ref="BR4:BY4" si="20">CONCATENATE(BR3," - Erro")</f>
        <v>3 - Erro</v>
      </c>
      <c r="BS4" s="53" t="str">
        <f t="shared" si="20"/>
        <v>4 - Erro</v>
      </c>
      <c r="BT4" s="53" t="str">
        <f t="shared" si="20"/>
        <v>5 - Erro</v>
      </c>
      <c r="BU4" s="53" t="str">
        <f t="shared" si="20"/>
        <v>6 - Erro</v>
      </c>
      <c r="BV4" s="53" t="str">
        <f t="shared" si="20"/>
        <v>7 - Erro</v>
      </c>
      <c r="BW4" s="53" t="str">
        <f t="shared" si="20"/>
        <v>8 - Erro</v>
      </c>
      <c r="BX4" s="53" t="str">
        <f t="shared" si="20"/>
        <v>9 - Erro</v>
      </c>
      <c r="BY4" s="53" t="str">
        <f t="shared" si="20"/>
        <v>10 - Erro</v>
      </c>
      <c r="BZ4" s="55" t="str">
        <f>CONCATENATE(BZ3," - Deriva")</f>
        <v>1 - Deriva</v>
      </c>
      <c r="CA4" s="55" t="str">
        <f t="shared" ref="CA4:CI4" si="21">CONCATENATE(CA3," - Deriva")</f>
        <v>2 - Deriva</v>
      </c>
      <c r="CB4" s="55" t="str">
        <f t="shared" si="21"/>
        <v>3 - Deriva</v>
      </c>
      <c r="CC4" s="55" t="str">
        <f t="shared" si="21"/>
        <v>4 - Deriva</v>
      </c>
      <c r="CD4" s="55" t="str">
        <f t="shared" si="21"/>
        <v>5 - Deriva</v>
      </c>
      <c r="CE4" s="55" t="str">
        <f t="shared" si="21"/>
        <v>6 - Deriva</v>
      </c>
      <c r="CF4" s="55" t="str">
        <f t="shared" si="21"/>
        <v>7 - Deriva</v>
      </c>
      <c r="CG4" s="55" t="str">
        <f t="shared" si="21"/>
        <v>8 - Deriva</v>
      </c>
      <c r="CH4" s="55" t="str">
        <f t="shared" si="21"/>
        <v>9 - Deriva</v>
      </c>
      <c r="CI4" s="55" t="str">
        <f t="shared" si="21"/>
        <v>10 - Deriva</v>
      </c>
    </row>
    <row r="5" spans="1:87" x14ac:dyDescent="0.3">
      <c r="B5" s="23" t="s">
        <v>57</v>
      </c>
      <c r="C5" s="23" t="s">
        <v>58</v>
      </c>
      <c r="D5" s="23" t="s">
        <v>59</v>
      </c>
      <c r="E5" s="23" t="s">
        <v>60</v>
      </c>
      <c r="F5" s="23" t="s">
        <v>61</v>
      </c>
      <c r="G5" s="23" t="s">
        <v>62</v>
      </c>
      <c r="H5" s="23" t="s">
        <v>63</v>
      </c>
      <c r="I5" s="23" t="s">
        <v>64</v>
      </c>
      <c r="J5" s="23" t="s">
        <v>65</v>
      </c>
      <c r="K5" s="23" t="s">
        <v>66</v>
      </c>
      <c r="L5" s="23" t="s">
        <v>67</v>
      </c>
      <c r="M5" s="23" t="s">
        <v>68</v>
      </c>
      <c r="N5" s="23" t="s">
        <v>69</v>
      </c>
      <c r="O5" s="23" t="s">
        <v>70</v>
      </c>
      <c r="P5" s="23" t="s">
        <v>72</v>
      </c>
      <c r="Q5" s="24" t="s">
        <v>71</v>
      </c>
      <c r="R5" s="24" t="s">
        <v>29</v>
      </c>
      <c r="S5" s="24" t="s">
        <v>2</v>
      </c>
      <c r="T5" s="24" t="s">
        <v>3</v>
      </c>
      <c r="U5" s="24" t="s">
        <v>4</v>
      </c>
      <c r="V5" s="24" t="s">
        <v>5</v>
      </c>
      <c r="W5" s="24" t="s">
        <v>6</v>
      </c>
      <c r="X5" s="24" t="s">
        <v>7</v>
      </c>
      <c r="Y5" s="24" t="s">
        <v>8</v>
      </c>
      <c r="Z5" s="24" t="s">
        <v>9</v>
      </c>
      <c r="AA5" s="24" t="s">
        <v>10</v>
      </c>
      <c r="AB5" s="25" t="str">
        <f>CONCATENATE(AB3,"-VR")</f>
        <v>1-VR</v>
      </c>
      <c r="AC5" s="25" t="str">
        <f>CONCATENATE(AC3,"-U")</f>
        <v>1-U</v>
      </c>
      <c r="AD5" s="25" t="str">
        <f>CONCATENATE(AD3,"-K")</f>
        <v>1-K</v>
      </c>
      <c r="AE5" s="25" t="str">
        <f>CONCATENATE(AE3,"-GL")</f>
        <v>1-GL</v>
      </c>
      <c r="AF5" s="26" t="str">
        <f t="shared" ref="AF5" si="22">CONCATENATE(AF3,"-VR")</f>
        <v>2-VR</v>
      </c>
      <c r="AG5" s="26" t="str">
        <f t="shared" ref="AG5" si="23">CONCATENATE(AG3,"-U")</f>
        <v>2-U</v>
      </c>
      <c r="AH5" s="26" t="str">
        <f t="shared" ref="AH5" si="24">CONCATENATE(AH3,"-K")</f>
        <v>2-K</v>
      </c>
      <c r="AI5" s="26" t="str">
        <f t="shared" ref="AI5" si="25">CONCATENATE(AI3,"-GL")</f>
        <v>2-GL</v>
      </c>
      <c r="AJ5" s="25" t="str">
        <f t="shared" ref="AJ5" si="26">CONCATENATE(AJ3,"-VR")</f>
        <v>3-VR</v>
      </c>
      <c r="AK5" s="25" t="str">
        <f t="shared" ref="AK5" si="27">CONCATENATE(AK3,"-U")</f>
        <v>3-U</v>
      </c>
      <c r="AL5" s="25" t="str">
        <f t="shared" ref="AL5" si="28">CONCATENATE(AL3,"-K")</f>
        <v>3-K</v>
      </c>
      <c r="AM5" s="25" t="str">
        <f t="shared" ref="AM5" si="29">CONCATENATE(AM3,"-GL")</f>
        <v>3-GL</v>
      </c>
      <c r="AN5" s="26" t="str">
        <f t="shared" ref="AN5" si="30">CONCATENATE(AN3,"-VR")</f>
        <v>4-VR</v>
      </c>
      <c r="AO5" s="26" t="str">
        <f t="shared" ref="AO5" si="31">CONCATENATE(AO3,"-U")</f>
        <v>4-U</v>
      </c>
      <c r="AP5" s="26" t="str">
        <f t="shared" ref="AP5" si="32">CONCATENATE(AP3,"-K")</f>
        <v>4-K</v>
      </c>
      <c r="AQ5" s="26" t="str">
        <f t="shared" ref="AQ5" si="33">CONCATENATE(AQ3,"-GL")</f>
        <v>4-GL</v>
      </c>
      <c r="AR5" s="25" t="str">
        <f t="shared" ref="AR5" si="34">CONCATENATE(AR3,"-VR")</f>
        <v>5-VR</v>
      </c>
      <c r="AS5" s="25" t="str">
        <f t="shared" ref="AS5" si="35">CONCATENATE(AS3,"-U")</f>
        <v>5-U</v>
      </c>
      <c r="AT5" s="25" t="str">
        <f t="shared" ref="AT5" si="36">CONCATENATE(AT3,"-K")</f>
        <v>5-K</v>
      </c>
      <c r="AU5" s="25" t="str">
        <f t="shared" ref="AU5" si="37">CONCATENATE(AU3,"-GL")</f>
        <v>5-GL</v>
      </c>
      <c r="AV5" s="26" t="str">
        <f t="shared" ref="AV5" si="38">CONCATENATE(AV3,"-VR")</f>
        <v>6-VR</v>
      </c>
      <c r="AW5" s="26" t="str">
        <f t="shared" ref="AW5" si="39">CONCATENATE(AW3,"-U")</f>
        <v>6-U</v>
      </c>
      <c r="AX5" s="26" t="str">
        <f t="shared" ref="AX5" si="40">CONCATENATE(AX3,"-K")</f>
        <v>6-K</v>
      </c>
      <c r="AY5" s="26" t="str">
        <f t="shared" ref="AY5" si="41">CONCATENATE(AY3,"-GL")</f>
        <v>6-GL</v>
      </c>
      <c r="AZ5" s="25" t="str">
        <f t="shared" ref="AZ5" si="42">CONCATENATE(AZ3,"-VR")</f>
        <v>7-VR</v>
      </c>
      <c r="BA5" s="25" t="str">
        <f t="shared" ref="BA5" si="43">CONCATENATE(BA3,"-U")</f>
        <v>7-U</v>
      </c>
      <c r="BB5" s="25" t="str">
        <f t="shared" ref="BB5" si="44">CONCATENATE(BB3,"-K")</f>
        <v>7-K</v>
      </c>
      <c r="BC5" s="25" t="str">
        <f t="shared" ref="BC5" si="45">CONCATENATE(BC3,"-GL")</f>
        <v>7-GL</v>
      </c>
      <c r="BD5" s="26" t="str">
        <f t="shared" ref="BD5" si="46">CONCATENATE(BD3,"-VR")</f>
        <v>8-VR</v>
      </c>
      <c r="BE5" s="26" t="str">
        <f t="shared" ref="BE5" si="47">CONCATENATE(BE3,"-U")</f>
        <v>8-U</v>
      </c>
      <c r="BF5" s="26" t="str">
        <f t="shared" ref="BF5" si="48">CONCATENATE(BF3,"-K")</f>
        <v>8-K</v>
      </c>
      <c r="BG5" s="26" t="str">
        <f t="shared" ref="BG5" si="49">CONCATENATE(BG3,"-GL")</f>
        <v>8-GL</v>
      </c>
      <c r="BH5" s="25" t="str">
        <f t="shared" ref="BH5" si="50">CONCATENATE(BH3,"-VR")</f>
        <v>9-VR</v>
      </c>
      <c r="BI5" s="25" t="str">
        <f t="shared" ref="BI5" si="51">CONCATENATE(BI3,"-U")</f>
        <v>9-U</v>
      </c>
      <c r="BJ5" s="25" t="str">
        <f t="shared" ref="BJ5" si="52">CONCATENATE(BJ3,"-K")</f>
        <v>9-K</v>
      </c>
      <c r="BK5" s="25" t="str">
        <f t="shared" ref="BK5" si="53">CONCATENATE(BK3,"-GL")</f>
        <v>9-GL</v>
      </c>
      <c r="BL5" s="26" t="str">
        <f t="shared" ref="BL5" si="54">CONCATENATE(BL3,"-VR")</f>
        <v>10-VR</v>
      </c>
      <c r="BM5" s="26" t="str">
        <f t="shared" ref="BM5" si="55">CONCATENATE(BM3,"-U")</f>
        <v>10-U</v>
      </c>
      <c r="BN5" s="26" t="str">
        <f t="shared" ref="BN5" si="56">CONCATENATE(BN3,"-K")</f>
        <v>10-K</v>
      </c>
      <c r="BO5" s="26" t="str">
        <f t="shared" ref="BO5" si="57">CONCATENATE(BO3,"-GL")</f>
        <v>10-GL</v>
      </c>
      <c r="BP5" s="54" t="str">
        <f>CONCATENATE(BP3,"-ER")</f>
        <v>1-ER</v>
      </c>
      <c r="BQ5" s="54" t="str">
        <f>CONCATENATE(BQ3,"-ER")</f>
        <v>2-ER</v>
      </c>
      <c r="BR5" s="54" t="str">
        <f t="shared" ref="BR5:BY5" si="58">CONCATENATE(BR3,"-ER")</f>
        <v>3-ER</v>
      </c>
      <c r="BS5" s="54" t="str">
        <f t="shared" si="58"/>
        <v>4-ER</v>
      </c>
      <c r="BT5" s="54" t="str">
        <f t="shared" si="58"/>
        <v>5-ER</v>
      </c>
      <c r="BU5" s="54" t="str">
        <f t="shared" si="58"/>
        <v>6-ER</v>
      </c>
      <c r="BV5" s="54" t="str">
        <f t="shared" si="58"/>
        <v>7-ER</v>
      </c>
      <c r="BW5" s="54" t="str">
        <f t="shared" si="58"/>
        <v>8-ER</v>
      </c>
      <c r="BX5" s="54" t="str">
        <f t="shared" si="58"/>
        <v>9-ER</v>
      </c>
      <c r="BY5" s="54" t="str">
        <f t="shared" si="58"/>
        <v>10-ER</v>
      </c>
      <c r="BZ5" s="56" t="str">
        <f>CONCATENATE(BZ3,"-D")</f>
        <v>1-D</v>
      </c>
      <c r="CA5" s="56" t="str">
        <f t="shared" ref="CA5:CI5" si="59">CONCATENATE(CA3,"-D")</f>
        <v>2-D</v>
      </c>
      <c r="CB5" s="56" t="str">
        <f t="shared" si="59"/>
        <v>3-D</v>
      </c>
      <c r="CC5" s="56" t="str">
        <f t="shared" si="59"/>
        <v>4-D</v>
      </c>
      <c r="CD5" s="56" t="str">
        <f t="shared" si="59"/>
        <v>5-D</v>
      </c>
      <c r="CE5" s="56" t="str">
        <f t="shared" si="59"/>
        <v>6-D</v>
      </c>
      <c r="CF5" s="56" t="str">
        <f t="shared" si="59"/>
        <v>7-D</v>
      </c>
      <c r="CG5" s="56" t="str">
        <f t="shared" si="59"/>
        <v>8-D</v>
      </c>
      <c r="CH5" s="56" t="str">
        <f t="shared" si="59"/>
        <v>9-D</v>
      </c>
      <c r="CI5" s="56" t="str">
        <f t="shared" si="59"/>
        <v>10-D</v>
      </c>
    </row>
    <row r="6" spans="1:87" x14ac:dyDescent="0.3">
      <c r="A6" s="4">
        <v>1</v>
      </c>
      <c r="B6" s="10" t="str">
        <f>IF(VLOOKUP(ROUND(CONCATENATE($A6,B$2),0),'Cadastro dos Padrões'!$A$2:$V$921,B$1,FALSE)="","-",VLOOKUP(ROUND(CONCATENATE($A6,B$2),0),'Cadastro dos Padrões'!$A$2:$V$921,B$1,FALSE))</f>
        <v>E.MS.LQ-003</v>
      </c>
      <c r="C6" s="10" t="str">
        <f>IF(VLOOKUP(ROUND(CONCATENATE($A6,C$2),0),'Cadastro dos Padrões'!$A$2:$V$921,C$1,FALSE)="","-",VLOOKUP(ROUND(CONCATENATE($A6,C$2),0),'Cadastro dos Padrões'!$A$2:$V$921,C$1,FALSE))</f>
        <v>Balança Eletrônica</v>
      </c>
      <c r="D6" s="10" t="str">
        <f>IF(VLOOKUP(ROUND(CONCATENATE($A6,D$2),0),'Cadastro dos Padrões'!$A$2:$V$921,D$1,FALSE)="","-",VLOOKUP(ROUND(CONCATENATE($A6,D$2),0),'Cadastro dos Padrões'!$A$2:$V$921,D$1,FALSE))</f>
        <v>Elus</v>
      </c>
      <c r="E6" s="10" t="str">
        <f>IF(VLOOKUP(ROUND(CONCATENATE($A6,E$2),0),'Cadastro dos Padrões'!$A$2:$V$921,E$1,FALSE)="","-",VLOOKUP(ROUND(CONCATENATE($A6,E$2),0),'Cadastro dos Padrões'!$A$2:$V$921,E$1,FALSE))</f>
        <v>RBC - CAL 0439</v>
      </c>
      <c r="F6" s="10" t="str">
        <f>IF(VLOOKUP(ROUND(CONCATENATE($A6,F$2),0),'Cadastro dos Padrões'!$A$2:$V$921,F$1,FALSE)="","-",VLOOKUP(ROUND(CONCATENATE($A6,F$2),0),'Cadastro dos Padrões'!$A$2:$V$921,F$1,FALSE))</f>
        <v>E0011/26</v>
      </c>
      <c r="G6" s="27">
        <f>IF(VLOOKUP(ROUND(CONCATENATE($A6,G$2),0),'Cadastro dos Padrões'!$A$2:$V$921,G$1,FALSE)="","-",VLOOKUP(ROUND(CONCATENATE($A6,G$2),0),'Cadastro dos Padrões'!$A$2:$V$921,G$1,FALSE))</f>
        <v>46031</v>
      </c>
      <c r="H6" s="29">
        <f>IF(VLOOKUP(ROUND(CONCATENATE($A6,H$2),0),'Cadastro dos Padrões'!$A$2:$V$921,H$1,FALSE)="","-",VLOOKUP(ROUND(CONCATENATE($A6,H$2),0),'Cadastro dos Padrões'!$A$2:$V$921,H$1,FALSE))</f>
        <v>46417</v>
      </c>
      <c r="I6" s="10" t="str">
        <f>IF(VLOOKUP(ROUND(CONCATENATE($A6,I$2),0),'Cadastro dos Padrões'!$A$2:$V$921,I$1,FALSE)="","-",VLOOKUP(ROUND(CONCATENATE($A6,I$2),0),'Cadastro dos Padrões'!$A$2:$V$921,I$1,FALSE))</f>
        <v>g</v>
      </c>
      <c r="J6" s="10">
        <f>IF(VLOOKUP(ROUND(CONCATENATE($A6,J$2),0),'Cadastro dos Padrões'!$A$2:$V$921,J$1,FALSE)="","-",VLOOKUP(ROUND(CONCATENATE($A6,J$2),0),'Cadastro dos Padrões'!$A$2:$V$921,J$1,FALSE))</f>
        <v>1</v>
      </c>
      <c r="K6" s="10">
        <f>IF(VLOOKUP(ROUND(CONCATENATE($A6,K$2),0),'Cadastro dos Padrões'!$A$2:$V$921,K$1,FALSE)="","-",VLOOKUP(ROUND(CONCATENATE($A6,K$2),0),'Cadastro dos Padrões'!$A$2:$V$921,K$1,FALSE))</f>
        <v>2000</v>
      </c>
      <c r="L6" s="10">
        <f>IF(VLOOKUP(ROUND(CONCATENATE($A6,L$2),0),'Cadastro dos Padrões'!$A$2:$V$921,L$1,FALSE)="","-",VLOOKUP(ROUND(CONCATENATE($A6,L$2),0),'Cadastro dos Padrões'!$A$2:$V$921,L$1,FALSE))</f>
        <v>0.01</v>
      </c>
      <c r="M6" s="10">
        <f>IF(VLOOKUP(ROUND(CONCATENATE($A6,M$2),0),'Cadastro dos Padrões'!$A$2:$V$921,M$1,FALSE)="","-",VLOOKUP(ROUND(CONCATENATE($A6,M$2),0),'Cadastro dos Padrões'!$A$2:$V$921,M$1,FALSE))</f>
        <v>1.999999999998181E-2</v>
      </c>
      <c r="N6" s="10">
        <f>IF(VLOOKUP(ROUND(CONCATENATE($A6,N$2),0),'Cadastro dos Padrões'!$A$2:$V$921,N$1,FALSE)="","-",VLOOKUP(ROUND(CONCATENATE($A6,N$2),0),'Cadastro dos Padrões'!$A$2:$V$921,N$1,FALSE))</f>
        <v>0.05</v>
      </c>
      <c r="O6" s="10">
        <f>IF(VLOOKUP(ROUND(CONCATENATE($A6,O$2),0),'Cadastro dos Padrões'!$A$2:$V$921,O$1,FALSE)="","-",VLOOKUP(ROUND(CONCATENATE($A6,O$2),0),'Cadastro dos Padrões'!$A$2:$V$921,O$1,FALSE))</f>
        <v>9.9999999999909051E-3</v>
      </c>
      <c r="P6" s="28">
        <f>IF(VLOOKUP(ROUND(CONCATENATE($A6,P$2),0),'Cadastro dos Padrões'!$A$2:$V$921,P$1,FALSE)="","-",VLOOKUP(ROUND(CONCATENATE($A6,P$2),0),'Cadastro dos Padrões'!$A$2:$V$921,P$1,FALSE))</f>
        <v>3.9999999999963624E-3</v>
      </c>
      <c r="Q6" s="10">
        <f>IF($B6="-","-",VLOOKUP(ROUND(CONCATENATE($A6,Q$2),0),'Cadastro dos Padrões'!$A$2:$V$921,Q$1,FALSE))</f>
        <v>8.3868147318000297E-4</v>
      </c>
      <c r="R6" s="10">
        <f>IF($B6="-","-",VLOOKUP(ROUND(CONCATENATE($A6,R$2),0),'Cadastro dos Padrões'!$A$2:$V$921,R$1,FALSE))</f>
        <v>5</v>
      </c>
      <c r="S6" s="10">
        <f>IF($B6="-","-",VLOOKUP(ROUND(CONCATENATE($A6,S$2),0),'Cadastro dos Padrões'!$A$2:$V$921,S$1,FALSE))</f>
        <v>0</v>
      </c>
      <c r="T6" s="10">
        <f>IF($B6="-","-",VLOOKUP(ROUND(CONCATENATE($A6,T$2),0),'Cadastro dos Padrões'!$A$2:$V$921,T$1,FALSE))</f>
        <v>0</v>
      </c>
      <c r="U6" s="10">
        <f>IF($B6="-","-",VLOOKUP(ROUND(CONCATENATE($A6,U$2),0),'Cadastro dos Padrões'!$A$2:$V$921,U$1,FALSE))</f>
        <v>0</v>
      </c>
      <c r="V6" s="10">
        <f>IF($B6="-","-",VLOOKUP(ROUND(CONCATENATE($A6,V$2),0),'Cadastro dos Padrões'!$A$2:$V$921,V$1,FALSE))</f>
        <v>-2.1946623841346573E-17</v>
      </c>
      <c r="W6" s="10">
        <f>IF($B6="-","-",VLOOKUP(ROUND(CONCATENATE($A6,W$2),0),'Cadastro dos Padrões'!$A$2:$V$921,W$1,FALSE))</f>
        <v>1.435668068304213E-13</v>
      </c>
      <c r="X6" s="10">
        <f>IF($B6="-","-",VLOOKUP(ROUND(CONCATENATE($A6,X$2),0),'Cadastro dos Padrões'!$A$2:$V$921,X$1,FALSE))</f>
        <v>-3.21167452306003E-10</v>
      </c>
      <c r="Y6" s="10">
        <f>IF($B6="-","-",VLOOKUP(ROUND(CONCATENATE($A6,Y$2),0),'Cadastro dos Padrões'!$A$2:$V$921,Y$1,FALSE))</f>
        <v>3.1307290236240752E-7</v>
      </c>
      <c r="Z6" s="10">
        <f>IF($B6="-","-",VLOOKUP(ROUND(CONCATENATE($A6,Z$2),0),'Cadastro dos Padrões'!$A$2:$V$921,Z$1,FALSE))</f>
        <v>0.99986579442207157</v>
      </c>
      <c r="AA6" s="10">
        <f>IF($B6="-","-",VLOOKUP(ROUND(CONCATENATE($A6,AA$2),0),'Cadastro dos Padrões'!$A$2:$V$921,AA$1,FALSE))</f>
        <v>6.8337237960630626E-4</v>
      </c>
      <c r="AB6" s="10">
        <f>IF(VLOOKUP(ROUND(CONCATENATE($A6,AB$2),0),'Cadastro dos Padrões'!$A$2:$V$921,AB$1,FALSE)="","-",VLOOKUP(ROUND(CONCATENATE($A6,AB$2),0),'Cadastro dos Padrões'!$A$2:$V$921,AB$1,FALSE))</f>
        <v>1</v>
      </c>
      <c r="AC6" s="10">
        <f>IF(VLOOKUP(ROUND(CONCATENATE($A6,AC$2),0),'Cadastro dos Padrões'!$A$2:$V$921,AC$1,FALSE)="","-",VLOOKUP(ROUND(CONCATENATE($A6,AC$2),0),'Cadastro dos Padrões'!$A$2:$V$921,AC$1,FALSE))</f>
        <v>0.02</v>
      </c>
      <c r="AD6" s="10">
        <f>IF(VLOOKUP(ROUND(CONCATENATE($A6,AD$2),0),'Cadastro dos Padrões'!$A$2:$V$921,AD$1,FALSE)="","-",VLOOKUP(ROUND(CONCATENATE($A6,AD$2),0),'Cadastro dos Padrões'!$A$2:$V$921,AD$1,FALSE))</f>
        <v>2</v>
      </c>
      <c r="AE6" s="10">
        <f>IF(VLOOKUP(ROUND(CONCATENATE($A6,AE$2),0),'Cadastro dos Padrões'!$A$2:$V$921,AE$1,FALSE)="","-",VLOOKUP(ROUND(CONCATENATE($A6,AE$2),0),'Cadastro dos Padrões'!$A$2:$V$921,AE$1,FALSE))</f>
        <v>1000000</v>
      </c>
      <c r="AF6" s="10">
        <f>IF(VLOOKUP(ROUND(CONCATENATE($A6,AF$2),0),'Cadastro dos Padrões'!$A$2:$V$921,AF$1,FALSE)="","-",VLOOKUP(ROUND(CONCATENATE($A6,AF$2),0),'Cadastro dos Padrões'!$A$2:$V$921,AF$1,FALSE))</f>
        <v>10</v>
      </c>
      <c r="AG6" s="10">
        <f>IF(VLOOKUP(ROUND(CONCATENATE($A6,AG$2),0),'Cadastro dos Padrões'!$A$2:$V$921,AG$1,FALSE)="","-",VLOOKUP(ROUND(CONCATENATE($A6,AG$2),0),'Cadastro dos Padrões'!$A$2:$V$921,AG$1,FALSE))</f>
        <v>0.02</v>
      </c>
      <c r="AH6" s="10">
        <f>IF(VLOOKUP(ROUND(CONCATENATE($A6,AH$2),0),'Cadastro dos Padrões'!$A$2:$V$921,AH$1,FALSE)="","-",VLOOKUP(ROUND(CONCATENATE($A6,AH$2),0),'Cadastro dos Padrões'!$A$2:$V$921,AH$1,FALSE))</f>
        <v>2</v>
      </c>
      <c r="AI6" s="10">
        <f>IF(VLOOKUP(ROUND(CONCATENATE($A6,AI$2),0),'Cadastro dos Padrões'!$A$2:$V$921,AI$1,FALSE)="","-",VLOOKUP(ROUND(CONCATENATE($A6,AI$2),0),'Cadastro dos Padrões'!$A$2:$V$921,AI$1,FALSE))</f>
        <v>1000000</v>
      </c>
      <c r="AJ6" s="10">
        <f>IF(VLOOKUP(ROUND(CONCATENATE($A6,AJ$2),0),'Cadastro dos Padrões'!$A$2:$V$921,AJ$1,FALSE)="","-",VLOOKUP(ROUND(CONCATENATE($A6,AJ$2),0),'Cadastro dos Padrões'!$A$2:$V$921,AJ$1,FALSE))</f>
        <v>100</v>
      </c>
      <c r="AK6" s="10">
        <f>IF(VLOOKUP(ROUND(CONCATENATE($A6,AK$2),0),'Cadastro dos Padrões'!$A$2:$V$921,AK$1,FALSE)="","-",VLOOKUP(ROUND(CONCATENATE($A6,AK$2),0),'Cadastro dos Padrões'!$A$2:$V$921,AK$1,FALSE))</f>
        <v>0.02</v>
      </c>
      <c r="AL6" s="10">
        <f>IF(VLOOKUP(ROUND(CONCATENATE($A6,AL$2),0),'Cadastro dos Padrões'!$A$2:$V$921,AL$1,FALSE)="","-",VLOOKUP(ROUND(CONCATENATE($A6,AL$2),0),'Cadastro dos Padrões'!$A$2:$V$921,AL$1,FALSE))</f>
        <v>2</v>
      </c>
      <c r="AM6" s="10">
        <f>IF(VLOOKUP(ROUND(CONCATENATE($A6,AM$2),0),'Cadastro dos Padrões'!$A$2:$V$921,AM$1,FALSE)="","-",VLOOKUP(ROUND(CONCATENATE($A6,AM$2),0),'Cadastro dos Padrões'!$A$2:$V$921,AM$1,FALSE))</f>
        <v>1000000</v>
      </c>
      <c r="AN6" s="10">
        <f>IF(VLOOKUP(ROUND(CONCATENATE($A6,AN$2),0),'Cadastro dos Padrões'!$A$2:$V$921,AN$1,FALSE)="","-",VLOOKUP(ROUND(CONCATENATE($A6,AN$2),0),'Cadastro dos Padrões'!$A$2:$V$921,AN$1,FALSE))</f>
        <v>500</v>
      </c>
      <c r="AO6" s="10">
        <f>IF(VLOOKUP(ROUND(CONCATENATE($A6,AO$2),0),'Cadastro dos Padrões'!$A$2:$V$921,AO$1,FALSE)="","-",VLOOKUP(ROUND(CONCATENATE($A6,AO$2),0),'Cadastro dos Padrões'!$A$2:$V$921,AO$1,FALSE))</f>
        <v>0.02</v>
      </c>
      <c r="AP6" s="10">
        <f>IF(VLOOKUP(ROUND(CONCATENATE($A6,AP$2),0),'Cadastro dos Padrões'!$A$2:$V$921,AP$1,FALSE)="","-",VLOOKUP(ROUND(CONCATENATE($A6,AP$2),0),'Cadastro dos Padrões'!$A$2:$V$921,AP$1,FALSE))</f>
        <v>2</v>
      </c>
      <c r="AQ6" s="10">
        <f>IF(VLOOKUP(ROUND(CONCATENATE($A6,AQ$2),0),'Cadastro dos Padrões'!$A$2:$V$921,AQ$1,FALSE)="","-",VLOOKUP(ROUND(CONCATENATE($A6,AQ$2),0),'Cadastro dos Padrões'!$A$2:$V$921,AQ$1,FALSE))</f>
        <v>1000000</v>
      </c>
      <c r="AR6" s="10">
        <f>IF(VLOOKUP(ROUND(CONCATENATE($A6,AR$2),0),'Cadastro dos Padrões'!$A$2:$V$921,AR$1,FALSE)="","-",VLOOKUP(ROUND(CONCATENATE($A6,AR$2),0),'Cadastro dos Padrões'!$A$2:$V$921,AR$1,FALSE))</f>
        <v>1000</v>
      </c>
      <c r="AS6" s="10">
        <f>IF(VLOOKUP(ROUND(CONCATENATE($A6,AS$2),0),'Cadastro dos Padrões'!$A$2:$V$921,AS$1,FALSE)="","-",VLOOKUP(ROUND(CONCATENATE($A6,AS$2),0),'Cadastro dos Padrões'!$A$2:$V$921,AS$1,FALSE))</f>
        <v>0.03</v>
      </c>
      <c r="AT6" s="10">
        <f>IF(VLOOKUP(ROUND(CONCATENATE($A6,AT$2),0),'Cadastro dos Padrões'!$A$2:$V$921,AT$1,FALSE)="","-",VLOOKUP(ROUND(CONCATENATE($A6,AT$2),0),'Cadastro dos Padrões'!$A$2:$V$921,AT$1,FALSE))</f>
        <v>2</v>
      </c>
      <c r="AU6" s="10">
        <f>IF(VLOOKUP(ROUND(CONCATENATE($A6,AU$2),0),'Cadastro dos Padrões'!$A$2:$V$921,AU$1,FALSE)="","-",VLOOKUP(ROUND(CONCATENATE($A6,AU$2),0),'Cadastro dos Padrões'!$A$2:$V$921,AU$1,FALSE))</f>
        <v>574</v>
      </c>
      <c r="AV6" s="10">
        <f>IF(VLOOKUP(ROUND(CONCATENATE($A6,AV$2),0),'Cadastro dos Padrões'!$A$2:$V$921,AV$1,FALSE)="","-",VLOOKUP(ROUND(CONCATENATE($A6,AV$2),0),'Cadastro dos Padrões'!$A$2:$V$921,AV$1,FALSE))</f>
        <v>1500</v>
      </c>
      <c r="AW6" s="10">
        <f>IF(VLOOKUP(ROUND(CONCATENATE($A6,AW$2),0),'Cadastro dos Padrões'!$A$2:$V$921,AW$1,FALSE)="","-",VLOOKUP(ROUND(CONCATENATE($A6,AW$2),0),'Cadastro dos Padrões'!$A$2:$V$921,AW$1,FALSE))</f>
        <v>0.04</v>
      </c>
      <c r="AX6" s="10">
        <f>IF(VLOOKUP(ROUND(CONCATENATE($A6,AX$2),0),'Cadastro dos Padrões'!$A$2:$V$921,AX$1,FALSE)="","-",VLOOKUP(ROUND(CONCATENATE($A6,AX$2),0),'Cadastro dos Padrões'!$A$2:$V$921,AX$1,FALSE))</f>
        <v>2</v>
      </c>
      <c r="AY6" s="10">
        <f>IF(VLOOKUP(ROUND(CONCATENATE($A6,AY$2),0),'Cadastro dos Padrões'!$A$2:$V$921,AY$1,FALSE)="","-",VLOOKUP(ROUND(CONCATENATE($A6,AY$2),0),'Cadastro dos Padrões'!$A$2:$V$921,AY$1,FALSE))</f>
        <v>1000000</v>
      </c>
      <c r="AZ6" s="10">
        <f>IF(VLOOKUP(ROUND(CONCATENATE($A6,AZ$2),0),'Cadastro dos Padrões'!$A$2:$V$921,AZ$1,FALSE)="","-",VLOOKUP(ROUND(CONCATENATE($A6,AZ$2),0),'Cadastro dos Padrões'!$A$2:$V$921,AZ$1,FALSE))</f>
        <v>2000</v>
      </c>
      <c r="BA6" s="10">
        <f>IF(VLOOKUP(ROUND(CONCATENATE($A6,BA$2),0),'Cadastro dos Padrões'!$A$2:$V$921,BA$1,FALSE)="","-",VLOOKUP(ROUND(CONCATENATE($A6,BA$2),0),'Cadastro dos Padrões'!$A$2:$V$921,BA$1,FALSE))</f>
        <v>0.05</v>
      </c>
      <c r="BB6" s="10">
        <f>IF(VLOOKUP(ROUND(CONCATENATE($A6,BB$2),0),'Cadastro dos Padrões'!$A$2:$V$921,BB$1,FALSE)="","-",VLOOKUP(ROUND(CONCATENATE($A6,BB$2),0),'Cadastro dos Padrões'!$A$2:$V$921,BB$1,FALSE))</f>
        <v>2</v>
      </c>
      <c r="BC6" s="10">
        <f>IF(VLOOKUP(ROUND(CONCATENATE($A6,BC$2),0),'Cadastro dos Padrões'!$A$2:$V$921,BC$1,FALSE)="","-",VLOOKUP(ROUND(CONCATENATE($A6,BC$2),0),'Cadastro dos Padrões'!$A$2:$V$921,BC$1,FALSE))</f>
        <v>1000000</v>
      </c>
      <c r="BD6" s="10" t="str">
        <f>IF(VLOOKUP(ROUND(CONCATENATE($A6,BD$2),0),'Cadastro dos Padrões'!$A$2:$V$921,BD$1,FALSE)="","-",VLOOKUP(ROUND(CONCATENATE($A6,BD$2),0),'Cadastro dos Padrões'!$A$2:$V$921,BD$1,FALSE))</f>
        <v>-</v>
      </c>
      <c r="BE6" s="10" t="str">
        <f>IF(VLOOKUP(ROUND(CONCATENATE($A6,BE$2),0),'Cadastro dos Padrões'!$A$2:$V$921,BE$1,FALSE)="","-",VLOOKUP(ROUND(CONCATENATE($A6,BE$2),0),'Cadastro dos Padrões'!$A$2:$V$921,BE$1,FALSE))</f>
        <v>-</v>
      </c>
      <c r="BF6" s="10" t="str">
        <f>IF(VLOOKUP(ROUND(CONCATENATE($A6,BF$2),0),'Cadastro dos Padrões'!$A$2:$V$921,BF$1,FALSE)="","-",VLOOKUP(ROUND(CONCATENATE($A6,BF$2),0),'Cadastro dos Padrões'!$A$2:$V$921,BF$1,FALSE))</f>
        <v>-</v>
      </c>
      <c r="BG6" s="10" t="str">
        <f>IF(VLOOKUP(ROUND(CONCATENATE($A6,BG$2),0),'Cadastro dos Padrões'!$A$2:$V$921,BG$1,FALSE)="","-",VLOOKUP(ROUND(CONCATENATE($A6,BG$2),0),'Cadastro dos Padrões'!$A$2:$V$921,BG$1,FALSE))</f>
        <v>-</v>
      </c>
      <c r="BH6" s="10" t="str">
        <f>IF(VLOOKUP(ROUND(CONCATENATE($A6,BH$2),0),'Cadastro dos Padrões'!$A$2:$V$921,BH$1,FALSE)="","-",VLOOKUP(ROUND(CONCATENATE($A6,BH$2),0),'Cadastro dos Padrões'!$A$2:$V$921,BH$1,FALSE))</f>
        <v>-</v>
      </c>
      <c r="BI6" s="10" t="str">
        <f>IF(VLOOKUP(ROUND(CONCATENATE($A6,BI$2),0),'Cadastro dos Padrões'!$A$2:$V$921,BI$1,FALSE)="","-",VLOOKUP(ROUND(CONCATENATE($A6,BI$2),0),'Cadastro dos Padrões'!$A$2:$V$921,BI$1,FALSE))</f>
        <v>-</v>
      </c>
      <c r="BJ6" s="10" t="str">
        <f>IF(VLOOKUP(ROUND(CONCATENATE($A6,BJ$2),0),'Cadastro dos Padrões'!$A$2:$V$921,BJ$1,FALSE)="","-",VLOOKUP(ROUND(CONCATENATE($A6,BJ$2),0),'Cadastro dos Padrões'!$A$2:$V$921,BJ$1,FALSE))</f>
        <v>-</v>
      </c>
      <c r="BK6" s="10" t="str">
        <f>IF(VLOOKUP(ROUND(CONCATENATE($A6,BK$2),0),'Cadastro dos Padrões'!$A$2:$V$921,BK$1,FALSE)="","-",VLOOKUP(ROUND(CONCATENATE($A6,BK$2),0),'Cadastro dos Padrões'!$A$2:$V$921,BK$1,FALSE))</f>
        <v>-</v>
      </c>
      <c r="BL6" s="10" t="str">
        <f>IF(VLOOKUP(ROUND(CONCATENATE($A6,BL$2),0),'Cadastro dos Padrões'!$A$2:$V$921,BL$1,FALSE)="","-",VLOOKUP(ROUND(CONCATENATE($A6,BL$2),0),'Cadastro dos Padrões'!$A$2:$V$921,BL$1,FALSE))</f>
        <v>-</v>
      </c>
      <c r="BM6" s="10" t="str">
        <f>IF(VLOOKUP(ROUND(CONCATENATE($A6,BM$2),0),'Cadastro dos Padrões'!$A$2:$V$921,BM$1,FALSE)="","-",VLOOKUP(ROUND(CONCATENATE($A6,BM$2),0),'Cadastro dos Padrões'!$A$2:$V$921,BM$1,FALSE))</f>
        <v>-</v>
      </c>
      <c r="BN6" s="10" t="str">
        <f>IF(VLOOKUP(ROUND(CONCATENATE($A6,BN$2),0),'Cadastro dos Padrões'!$A$2:$V$921,BN$1,FALSE)="","-",VLOOKUP(ROUND(CONCATENATE($A6,BN$2),0),'Cadastro dos Padrões'!$A$2:$V$921,BN$1,FALSE))</f>
        <v>-</v>
      </c>
      <c r="BO6" s="10" t="str">
        <f>IF(VLOOKUP(ROUND(CONCATENATE($A6,BO$2),0),'Cadastro dos Padrões'!$A$2:$V$921,BO$1,FALSE)="","-",VLOOKUP(ROUND(CONCATENATE($A6,BO$2),0),'Cadastro dos Padrões'!$A$2:$V$921,BO$1,FALSE))</f>
        <v>-</v>
      </c>
      <c r="BP6" s="10">
        <f>IF(VLOOKUP(ROUND(CONCATENATE($A6,BP$2),0),'Cadastro dos Padrões'!$A$2:$V$921,BP$1,FALSE)="","-",VLOOKUP(ROUND(CONCATENATE($A6,BP$2),0),'Cadastro dos Padrões'!$A$2:$V$921,BP$1,FALSE))</f>
        <v>0</v>
      </c>
      <c r="BQ6" s="10">
        <f>IF(VLOOKUP(ROUND(CONCATENATE($A6,BQ$2),0),'Cadastro dos Padrões'!$A$2:$V$921,BQ$1,FALSE)="","-",VLOOKUP(ROUND(CONCATENATE($A6,BQ$2),0),'Cadastro dos Padrões'!$A$2:$V$921,BQ$1,FALSE))</f>
        <v>0</v>
      </c>
      <c r="BR6" s="10">
        <f>IF(VLOOKUP(ROUND(CONCATENATE($A6,BR$2),0),'Cadastro dos Padrões'!$A$2:$V$921,BR$1,FALSE)="","-",VLOOKUP(ROUND(CONCATENATE($A6,BR$2),0),'Cadastro dos Padrões'!$A$2:$V$921,BR$1,FALSE))</f>
        <v>1.0000000000005116E-2</v>
      </c>
      <c r="BS6" s="10">
        <f>IF(VLOOKUP(ROUND(CONCATENATE($A6,BS$2),0),'Cadastro dos Padrões'!$A$2:$V$921,BS$1,FALSE)="","-",VLOOKUP(ROUND(CONCATENATE($A6,BS$2),0),'Cadastro dos Padrões'!$A$2:$V$921,BS$1,FALSE))</f>
        <v>1.999999999998181E-2</v>
      </c>
      <c r="BT6" s="10">
        <f>IF(VLOOKUP(ROUND(CONCATENATE($A6,BT$2),0),'Cadastro dos Padrões'!$A$2:$V$921,BT$1,FALSE)="","-",VLOOKUP(ROUND(CONCATENATE($A6,BT$2),0),'Cadastro dos Padrões'!$A$2:$V$921,BT$1,FALSE))</f>
        <v>1.999999999998181E-2</v>
      </c>
      <c r="BU6" s="10">
        <f>IF(VLOOKUP(ROUND(CONCATENATE($A6,BU$2),0),'Cadastro dos Padrões'!$A$2:$V$921,BU$1,FALSE)="","-",VLOOKUP(ROUND(CONCATENATE($A6,BU$2),0),'Cadastro dos Padrões'!$A$2:$V$921,BU$1,FALSE))</f>
        <v>1.999999999998181E-2</v>
      </c>
      <c r="BV6" s="10">
        <f>IF(VLOOKUP(ROUND(CONCATENATE($A6,BV$2),0),'Cadastro dos Padrões'!$A$2:$V$921,BV$1,FALSE)="","-",VLOOKUP(ROUND(CONCATENATE($A6,BV$2),0),'Cadastro dos Padrões'!$A$2:$V$921,BV$1,FALSE))</f>
        <v>-9.9999999999909051E-3</v>
      </c>
      <c r="BW6" s="10">
        <f>IF(VLOOKUP(ROUND(CONCATENATE($A6,BW$2),0),'Cadastro dos Padrões'!$A$2:$V$921,BW$1,FALSE)="","-",VLOOKUP(ROUND(CONCATENATE($A6,BW$2),0),'Cadastro dos Padrões'!$A$2:$V$921,BW$1,FALSE))</f>
        <v>0</v>
      </c>
      <c r="BX6" s="10">
        <f>IF(VLOOKUP(ROUND(CONCATENATE($A6,BX$2),0),'Cadastro dos Padrões'!$A$2:$V$921,BX$1,FALSE)="","-",VLOOKUP(ROUND(CONCATENATE($A6,BX$2),0),'Cadastro dos Padrões'!$A$2:$V$921,BX$1,FALSE))</f>
        <v>0</v>
      </c>
      <c r="BY6" s="10">
        <f>IF(VLOOKUP(ROUND(CONCATENATE($A6,BY$2),0),'Cadastro dos Padrões'!$A$2:$V$921,BY$1,FALSE)="","-",VLOOKUP(ROUND(CONCATENATE($A6,BY$2),0),'Cadastro dos Padrões'!$A$2:$V$921,BY$1,FALSE))</f>
        <v>0</v>
      </c>
      <c r="BZ6" s="10">
        <f>IF(VLOOKUP(ROUND(CONCATENATE($A6,BZ$2),0),'Cadastro dos Padrões'!$A$2:$V$921,BZ$1,FALSE)="","-",VLOOKUP(ROUND(CONCATENATE($A6,BZ$2),0),'Cadastro dos Padrões'!$A$2:$V$921,BZ$1,FALSE))</f>
        <v>0</v>
      </c>
      <c r="CA6" s="10">
        <f>IF(VLOOKUP(ROUND(CONCATENATE($A6,CA$2),0),'Cadastro dos Padrões'!$A$2:$V$921,CA$1,FALSE)="","-",VLOOKUP(ROUND(CONCATENATE($A6,CA$2),0),'Cadastro dos Padrões'!$A$2:$V$921,CA$1,FALSE))</f>
        <v>0</v>
      </c>
      <c r="CB6" s="10">
        <f>IF(VLOOKUP(ROUND(CONCATENATE($A6,CB$2),0),'Cadastro dos Padrões'!$A$2:$V$921,CB$1,FALSE)="","-",VLOOKUP(ROUND(CONCATENATE($A6,CB$2),0),'Cadastro dos Padrões'!$A$2:$V$921,CB$1,FALSE))</f>
        <v>9.9999999999909051E-3</v>
      </c>
      <c r="CC6" s="10">
        <f>IF(VLOOKUP(ROUND(CONCATENATE($A6,CC$2),0),'Cadastro dos Padrões'!$A$2:$V$921,CC$1,FALSE)="","-",VLOOKUP(ROUND(CONCATENATE($A6,CC$2),0),'Cadastro dos Padrões'!$A$2:$V$921,CC$1,FALSE))</f>
        <v>0</v>
      </c>
      <c r="CD6" s="10">
        <f>IF(VLOOKUP(ROUND(CONCATENATE($A6,CD$2),0),'Cadastro dos Padrões'!$A$2:$V$921,CD$1,FALSE)="","-",VLOOKUP(ROUND(CONCATENATE($A6,CD$2),0),'Cadastro dos Padrões'!$A$2:$V$921,CD$1,FALSE))</f>
        <v>0</v>
      </c>
      <c r="CE6" s="10">
        <f>IF(VLOOKUP(ROUND(CONCATENATE($A6,CE$2),0),'Cadastro dos Padrões'!$A$2:$V$921,CE$1,FALSE)="","-",VLOOKUP(ROUND(CONCATENATE($A6,CE$2),0),'Cadastro dos Padrões'!$A$2:$V$921,CE$1,FALSE))</f>
        <v>-9.9999999999909051E-3</v>
      </c>
      <c r="CF6" s="10">
        <f>IF(VLOOKUP(ROUND(CONCATENATE($A6,CF$2),0),'Cadastro dos Padrões'!$A$2:$V$921,CF$1,FALSE)="","-",VLOOKUP(ROUND(CONCATENATE($A6,CF$2),0),'Cadastro dos Padrões'!$A$2:$V$921,CF$1,FALSE))</f>
        <v>9.9999999999909051E-3</v>
      </c>
      <c r="CG6" s="10">
        <f>IF(VLOOKUP(ROUND(CONCATENATE($A6,CG$2),0),'Cadastro dos Padrões'!$A$2:$V$921,CG$1,FALSE)="","-",VLOOKUP(ROUND(CONCATENATE($A6,CG$2),0),'Cadastro dos Padrões'!$A$2:$V$921,CG$1,FALSE))</f>
        <v>0</v>
      </c>
      <c r="CH6" s="10">
        <f>IF(VLOOKUP(ROUND(CONCATENATE($A6,CH$2),0),'Cadastro dos Padrões'!$A$2:$V$921,CH$1,FALSE)="","-",VLOOKUP(ROUND(CONCATENATE($A6,CH$2),0),'Cadastro dos Padrões'!$A$2:$V$921,CH$1,FALSE))</f>
        <v>0</v>
      </c>
      <c r="CI6" s="10">
        <f>IF(VLOOKUP(ROUND(CONCATENATE($A6,CI$2),0),'Cadastro dos Padrões'!$A$2:$V$921,CI$1,FALSE)="","-",VLOOKUP(ROUND(CONCATENATE($A6,CI$2),0),'Cadastro dos Padrões'!$A$2:$V$921,CI$1,FALSE))</f>
        <v>0</v>
      </c>
    </row>
    <row r="7" spans="1:87" x14ac:dyDescent="0.3">
      <c r="A7" s="4">
        <v>2</v>
      </c>
      <c r="B7" s="10" t="str">
        <f>IF(VLOOKUP(ROUND(CONCATENATE($A7,B$2),0),'Cadastro dos Padrões'!$A$2:$V$921,B$1,FALSE)="","-",VLOOKUP(ROUND(CONCATENATE($A7,B$2),0),'Cadastro dos Padrões'!$A$2:$V$921,B$1,FALSE))</f>
        <v>E.MS.LV-003</v>
      </c>
      <c r="C7" s="10" t="str">
        <f>IF(VLOOKUP(ROUND(CONCATENATE($A7,C$2),0),'Cadastro dos Padrões'!$A$2:$V$921,C$1,FALSE)="","-",VLOOKUP(ROUND(CONCATENATE($A7,C$2),0),'Cadastro dos Padrões'!$A$2:$V$921,C$1,FALSE))</f>
        <v>Balança Eletrônica</v>
      </c>
      <c r="D7" s="10" t="str">
        <f>IF(VLOOKUP(ROUND(CONCATENATE($A7,D$2),0),'Cadastro dos Padrões'!$A$2:$V$921,D$1,FALSE)="","-",VLOOKUP(ROUND(CONCATENATE($A7,D$2),0),'Cadastro dos Padrões'!$A$2:$V$921,D$1,FALSE))</f>
        <v>Elus</v>
      </c>
      <c r="E7" s="10" t="str">
        <f>IF(VLOOKUP(ROUND(CONCATENATE($A7,E$2),0),'Cadastro dos Padrões'!$A$2:$V$921,E$1,FALSE)="","-",VLOOKUP(ROUND(CONCATENATE($A7,E$2),0),'Cadastro dos Padrões'!$A$2:$V$921,E$1,FALSE))</f>
        <v>RBC - CAL 0439</v>
      </c>
      <c r="F7" s="10" t="str">
        <f>IF(VLOOKUP(ROUND(CONCATENATE($A7,F$2),0),'Cadastro dos Padrões'!$A$2:$V$921,F$1,FALSE)="","-",VLOOKUP(ROUND(CONCATENATE($A7,F$2),0),'Cadastro dos Padrões'!$A$2:$V$921,F$1,FALSE))</f>
        <v>E0017/26</v>
      </c>
      <c r="G7" s="27">
        <f>IF(VLOOKUP(ROUND(CONCATENATE($A7,G$2),0),'Cadastro dos Padrões'!$A$2:$V$921,G$1,FALSE)="","-",VLOOKUP(ROUND(CONCATENATE($A7,G$2),0),'Cadastro dos Padrões'!$A$2:$V$921,G$1,FALSE))</f>
        <v>46031</v>
      </c>
      <c r="H7" s="29">
        <f>IF(VLOOKUP(ROUND(CONCATENATE($A7,H$2),0),'Cadastro dos Padrões'!$A$2:$V$921,H$1,FALSE)="","-",VLOOKUP(ROUND(CONCATENATE($A7,H$2),0),'Cadastro dos Padrões'!$A$2:$V$921,H$1,FALSE))</f>
        <v>46417</v>
      </c>
      <c r="I7" s="10" t="str">
        <f>IF(VLOOKUP(ROUND(CONCATENATE($A7,I$2),0),'Cadastro dos Padrões'!$A$2:$V$921,I$1,FALSE)="","-",VLOOKUP(ROUND(CONCATENATE($A7,I$2),0),'Cadastro dos Padrões'!$A$2:$V$921,I$1,FALSE))</f>
        <v>g</v>
      </c>
      <c r="J7" s="10">
        <f>IF(VLOOKUP(ROUND(CONCATENATE($A7,J$2),0),'Cadastro dos Padrões'!$A$2:$V$921,J$1,FALSE)="","-",VLOOKUP(ROUND(CONCATENATE($A7,J$2),0),'Cadastro dos Padrões'!$A$2:$V$921,J$1,FALSE))</f>
        <v>0</v>
      </c>
      <c r="K7" s="10">
        <f>IF(VLOOKUP(ROUND(CONCATENATE($A7,K$2),0),'Cadastro dos Padrões'!$A$2:$V$921,K$1,FALSE)="","-",VLOOKUP(ROUND(CONCATENATE($A7,K$2),0),'Cadastro dos Padrões'!$A$2:$V$921,K$1,FALSE))</f>
        <v>400</v>
      </c>
      <c r="L7" s="10">
        <f>IF(VLOOKUP(ROUND(CONCATENATE($A7,L$2),0),'Cadastro dos Padrões'!$A$2:$V$921,L$1,FALSE)="","-",VLOOKUP(ROUND(CONCATENATE($A7,L$2),0),'Cadastro dos Padrões'!$A$2:$V$921,L$1,FALSE))</f>
        <v>0.1</v>
      </c>
      <c r="M7" s="10">
        <f>IF(VLOOKUP(ROUND(CONCATENATE($A7,M$2),0),'Cadastro dos Padrões'!$A$2:$V$921,M$1,FALSE)="","-",VLOOKUP(ROUND(CONCATENATE($A7,M$2),0),'Cadastro dos Padrões'!$A$2:$V$921,M$1,FALSE))</f>
        <v>0</v>
      </c>
      <c r="N7" s="10">
        <f>IF(VLOOKUP(ROUND(CONCATENATE($A7,N$2),0),'Cadastro dos Padrões'!$A$2:$V$921,N$1,FALSE)="","-",VLOOKUP(ROUND(CONCATENATE($A7,N$2),0),'Cadastro dos Padrões'!$A$2:$V$921,N$1,FALSE))</f>
        <v>0.2</v>
      </c>
      <c r="O7" s="10">
        <f>IF(VLOOKUP(ROUND(CONCATENATE($A7,O$2),0),'Cadastro dos Padrões'!$A$2:$V$921,O$1,FALSE)="","-",VLOOKUP(ROUND(CONCATENATE($A7,O$2),0),'Cadastro dos Padrões'!$A$2:$V$921,O$1,FALSE))</f>
        <v>0</v>
      </c>
      <c r="P7" s="28">
        <f>IF(VLOOKUP(ROUND(CONCATENATE($A7,P$2),0),'Cadastro dos Padrões'!$A$2:$V$921,P$1,FALSE)="","-",VLOOKUP(ROUND(CONCATENATE($A7,P$2),0),'Cadastro dos Padrões'!$A$2:$V$921,P$1,FALSE))</f>
        <v>0</v>
      </c>
      <c r="Q7" s="10">
        <f>IF($B7="-","-",VLOOKUP(ROUND(CONCATENATE($A7,Q$2),0),'Cadastro dos Padrões'!$A$2:$V$921,Q$1,FALSE))</f>
        <v>2.2204460492503131E-16</v>
      </c>
      <c r="R7" s="10">
        <f>IF($B7="-","-",VLOOKUP(ROUND(CONCATENATE($A7,R$2),0),'Cadastro dos Padrões'!$A$2:$V$921,R$1,FALSE))</f>
        <v>5</v>
      </c>
      <c r="S7" s="10">
        <f>IF($B7="-","-",VLOOKUP(ROUND(CONCATENATE($A7,S$2),0),'Cadastro dos Padrões'!$A$2:$V$921,S$1,FALSE))</f>
        <v>0</v>
      </c>
      <c r="T7" s="10">
        <f>IF($B7="-","-",VLOOKUP(ROUND(CONCATENATE($A7,T$2),0),'Cadastro dos Padrões'!$A$2:$V$921,T$1,FALSE))</f>
        <v>0</v>
      </c>
      <c r="U7" s="10">
        <f>IF($B7="-","-",VLOOKUP(ROUND(CONCATENATE($A7,U$2),0),'Cadastro dos Padrões'!$A$2:$V$921,U$1,FALSE))</f>
        <v>0</v>
      </c>
      <c r="V7" s="10">
        <f>IF($B7="-","-",VLOOKUP(ROUND(CONCATENATE($A7,V$2),0),'Cadastro dos Padrões'!$A$2:$V$921,V$1,FALSE))</f>
        <v>-8.4933571278960088E-26</v>
      </c>
      <c r="W7" s="10">
        <f>IF($B7="-","-",VLOOKUP(ROUND(CONCATENATE($A7,W$2),0),'Cadastro dos Padrões'!$A$2:$V$921,W$1,FALSE))</f>
        <v>9.1690581063248635E-23</v>
      </c>
      <c r="X7" s="10">
        <f>IF($B7="-","-",VLOOKUP(ROUND(CONCATENATE($A7,X$2),0),'Cadastro dos Padrões'!$A$2:$V$921,X$1,FALSE))</f>
        <v>-3.2533344481417852E-20</v>
      </c>
      <c r="Y7" s="10">
        <f>IF($B7="-","-",VLOOKUP(ROUND(CONCATENATE($A7,Y$2),0),'Cadastro dos Padrões'!$A$2:$V$921,Y$1,FALSE))</f>
        <v>4.4010147553346896E-18</v>
      </c>
      <c r="Z7" s="10">
        <f>IF($B7="-","-",VLOOKUP(ROUND(CONCATENATE($A7,Z$2),0),'Cadastro dos Padrões'!$A$2:$V$921,Z$1,FALSE))</f>
        <v>0.99999999999999989</v>
      </c>
      <c r="AA7" s="10">
        <f>IF($B7="-","-",VLOOKUP(ROUND(CONCATENATE($A7,AA$2),0),'Cadastro dos Padrões'!$A$2:$V$921,AA$1,FALSE))</f>
        <v>-1.1641814564574626E-14</v>
      </c>
      <c r="AB7" s="10">
        <f>IF(VLOOKUP(ROUND(CONCATENATE($A7,AB$2),0),'Cadastro dos Padrões'!$A$2:$V$921,AB$1,FALSE)="","-",VLOOKUP(ROUND(CONCATENATE($A7,AB$2),0),'Cadastro dos Padrões'!$A$2:$V$921,AB$1,FALSE))</f>
        <v>0</v>
      </c>
      <c r="AC7" s="10">
        <f>IF(VLOOKUP(ROUND(CONCATENATE($A7,AC$2),0),'Cadastro dos Padrões'!$A$2:$V$921,AC$1,FALSE)="","-",VLOOKUP(ROUND(CONCATENATE($A7,AC$2),0),'Cadastro dos Padrões'!$A$2:$V$921,AC$1,FALSE))</f>
        <v>0.2</v>
      </c>
      <c r="AD7" s="10">
        <f>IF(VLOOKUP(ROUND(CONCATENATE($A7,AD$2),0),'Cadastro dos Padrões'!$A$2:$V$921,AD$1,FALSE)="","-",VLOOKUP(ROUND(CONCATENATE($A7,AD$2),0),'Cadastro dos Padrões'!$A$2:$V$921,AD$1,FALSE))</f>
        <v>2</v>
      </c>
      <c r="AE7" s="10">
        <f>IF(VLOOKUP(ROUND(CONCATENATE($A7,AE$2),0),'Cadastro dos Padrões'!$A$2:$V$921,AE$1,FALSE)="","-",VLOOKUP(ROUND(CONCATENATE($A7,AE$2),0),'Cadastro dos Padrões'!$A$2:$V$921,AE$1,FALSE))</f>
        <v>1000000</v>
      </c>
      <c r="AF7" s="10">
        <f>IF(VLOOKUP(ROUND(CONCATENATE($A7,AF$2),0),'Cadastro dos Padrões'!$A$2:$V$921,AF$1,FALSE)="","-",VLOOKUP(ROUND(CONCATENATE($A7,AF$2),0),'Cadastro dos Padrões'!$A$2:$V$921,AF$1,FALSE))</f>
        <v>0.2</v>
      </c>
      <c r="AG7" s="10">
        <f>IF(VLOOKUP(ROUND(CONCATENATE($A7,AG$2),0),'Cadastro dos Padrões'!$A$2:$V$921,AG$1,FALSE)="","-",VLOOKUP(ROUND(CONCATENATE($A7,AG$2),0),'Cadastro dos Padrões'!$A$2:$V$921,AG$1,FALSE))</f>
        <v>0.2</v>
      </c>
      <c r="AH7" s="10">
        <f>IF(VLOOKUP(ROUND(CONCATENATE($A7,AH$2),0),'Cadastro dos Padrões'!$A$2:$V$921,AH$1,FALSE)="","-",VLOOKUP(ROUND(CONCATENATE($A7,AH$2),0),'Cadastro dos Padrões'!$A$2:$V$921,AH$1,FALSE))</f>
        <v>2</v>
      </c>
      <c r="AI7" s="10">
        <f>IF(VLOOKUP(ROUND(CONCATENATE($A7,AI$2),0),'Cadastro dos Padrões'!$A$2:$V$921,AI$1,FALSE)="","-",VLOOKUP(ROUND(CONCATENATE($A7,AI$2),0),'Cadastro dos Padrões'!$A$2:$V$921,AI$1,FALSE))</f>
        <v>1000000</v>
      </c>
      <c r="AJ7" s="10">
        <f>IF(VLOOKUP(ROUND(CONCATENATE($A7,AJ$2),0),'Cadastro dos Padrões'!$A$2:$V$921,AJ$1,FALSE)="","-",VLOOKUP(ROUND(CONCATENATE($A7,AJ$2),0),'Cadastro dos Padrões'!$A$2:$V$921,AJ$1,FALSE))</f>
        <v>5</v>
      </c>
      <c r="AK7" s="10">
        <f>IF(VLOOKUP(ROUND(CONCATENATE($A7,AK$2),0),'Cadastro dos Padrões'!$A$2:$V$921,AK$1,FALSE)="","-",VLOOKUP(ROUND(CONCATENATE($A7,AK$2),0),'Cadastro dos Padrões'!$A$2:$V$921,AK$1,FALSE))</f>
        <v>0.2</v>
      </c>
      <c r="AL7" s="10">
        <f>IF(VLOOKUP(ROUND(CONCATENATE($A7,AL$2),0),'Cadastro dos Padrões'!$A$2:$V$921,AL$1,FALSE)="","-",VLOOKUP(ROUND(CONCATENATE($A7,AL$2),0),'Cadastro dos Padrões'!$A$2:$V$921,AL$1,FALSE))</f>
        <v>2</v>
      </c>
      <c r="AM7" s="10">
        <f>IF(VLOOKUP(ROUND(CONCATENATE($A7,AM$2),0),'Cadastro dos Padrões'!$A$2:$V$921,AM$1,FALSE)="","-",VLOOKUP(ROUND(CONCATENATE($A7,AM$2),0),'Cadastro dos Padrões'!$A$2:$V$921,AM$1,FALSE))</f>
        <v>1000000</v>
      </c>
      <c r="AN7" s="10">
        <f>IF(VLOOKUP(ROUND(CONCATENATE($A7,AN$2),0),'Cadastro dos Padrões'!$A$2:$V$921,AN$1,FALSE)="","-",VLOOKUP(ROUND(CONCATENATE($A7,AN$2),0),'Cadastro dos Padrões'!$A$2:$V$921,AN$1,FALSE))</f>
        <v>50</v>
      </c>
      <c r="AO7" s="10">
        <f>IF(VLOOKUP(ROUND(CONCATENATE($A7,AO$2),0),'Cadastro dos Padrões'!$A$2:$V$921,AO$1,FALSE)="","-",VLOOKUP(ROUND(CONCATENATE($A7,AO$2),0),'Cadastro dos Padrões'!$A$2:$V$921,AO$1,FALSE))</f>
        <v>0.2</v>
      </c>
      <c r="AP7" s="10">
        <f>IF(VLOOKUP(ROUND(CONCATENATE($A7,AP$2),0),'Cadastro dos Padrões'!$A$2:$V$921,AP$1,FALSE)="","-",VLOOKUP(ROUND(CONCATENATE($A7,AP$2),0),'Cadastro dos Padrões'!$A$2:$V$921,AP$1,FALSE))</f>
        <v>2</v>
      </c>
      <c r="AQ7" s="10">
        <f>IF(VLOOKUP(ROUND(CONCATENATE($A7,AQ$2),0),'Cadastro dos Padrões'!$A$2:$V$921,AQ$1,FALSE)="","-",VLOOKUP(ROUND(CONCATENATE($A7,AQ$2),0),'Cadastro dos Padrões'!$A$2:$V$921,AQ$1,FALSE))</f>
        <v>1000000</v>
      </c>
      <c r="AR7" s="10">
        <f>IF(VLOOKUP(ROUND(CONCATENATE($A7,AR$2),0),'Cadastro dos Padrões'!$A$2:$V$921,AR$1,FALSE)="","-",VLOOKUP(ROUND(CONCATENATE($A7,AR$2),0),'Cadastro dos Padrões'!$A$2:$V$921,AR$1,FALSE))</f>
        <v>100</v>
      </c>
      <c r="AS7" s="10">
        <f>IF(VLOOKUP(ROUND(CONCATENATE($A7,AS$2),0),'Cadastro dos Padrões'!$A$2:$V$921,AS$1,FALSE)="","-",VLOOKUP(ROUND(CONCATENATE($A7,AS$2),0),'Cadastro dos Padrões'!$A$2:$V$921,AS$1,FALSE))</f>
        <v>0.2</v>
      </c>
      <c r="AT7" s="10">
        <f>IF(VLOOKUP(ROUND(CONCATENATE($A7,AT$2),0),'Cadastro dos Padrões'!$A$2:$V$921,AT$1,FALSE)="","-",VLOOKUP(ROUND(CONCATENATE($A7,AT$2),0),'Cadastro dos Padrões'!$A$2:$V$921,AT$1,FALSE))</f>
        <v>2</v>
      </c>
      <c r="AU7" s="10">
        <f>IF(VLOOKUP(ROUND(CONCATENATE($A7,AU$2),0),'Cadastro dos Padrões'!$A$2:$V$921,AU$1,FALSE)="","-",VLOOKUP(ROUND(CONCATENATE($A7,AU$2),0),'Cadastro dos Padrões'!$A$2:$V$921,AU$1,FALSE))</f>
        <v>1000000</v>
      </c>
      <c r="AV7" s="10">
        <f>IF(VLOOKUP(ROUND(CONCATENATE($A7,AV$2),0),'Cadastro dos Padrões'!$A$2:$V$921,AV$1,FALSE)="","-",VLOOKUP(ROUND(CONCATENATE($A7,AV$2),0),'Cadastro dos Padrões'!$A$2:$V$921,AV$1,FALSE))</f>
        <v>300</v>
      </c>
      <c r="AW7" s="10">
        <f>IF(VLOOKUP(ROUND(CONCATENATE($A7,AW$2),0),'Cadastro dos Padrões'!$A$2:$V$921,AW$1,FALSE)="","-",VLOOKUP(ROUND(CONCATENATE($A7,AW$2),0),'Cadastro dos Padrões'!$A$2:$V$921,AW$1,FALSE))</f>
        <v>0.2</v>
      </c>
      <c r="AX7" s="10">
        <f>IF(VLOOKUP(ROUND(CONCATENATE($A7,AX$2),0),'Cadastro dos Padrões'!$A$2:$V$921,AX$1,FALSE)="","-",VLOOKUP(ROUND(CONCATENATE($A7,AX$2),0),'Cadastro dos Padrões'!$A$2:$V$921,AX$1,FALSE))</f>
        <v>2</v>
      </c>
      <c r="AY7" s="10">
        <f>IF(VLOOKUP(ROUND(CONCATENATE($A7,AY$2),0),'Cadastro dos Padrões'!$A$2:$V$921,AY$1,FALSE)="","-",VLOOKUP(ROUND(CONCATENATE($A7,AY$2),0),'Cadastro dos Padrões'!$A$2:$V$921,AY$1,FALSE))</f>
        <v>1000000</v>
      </c>
      <c r="AZ7" s="10">
        <f>IF(VLOOKUP(ROUND(CONCATENATE($A7,AZ$2),0),'Cadastro dos Padrões'!$A$2:$V$921,AZ$1,FALSE)="","-",VLOOKUP(ROUND(CONCATENATE($A7,AZ$2),0),'Cadastro dos Padrões'!$A$2:$V$921,AZ$1,FALSE))</f>
        <v>400</v>
      </c>
      <c r="BA7" s="10">
        <f>IF(VLOOKUP(ROUND(CONCATENATE($A7,BA$2),0),'Cadastro dos Padrões'!$A$2:$V$921,BA$1,FALSE)="","-",VLOOKUP(ROUND(CONCATENATE($A7,BA$2),0),'Cadastro dos Padrões'!$A$2:$V$921,BA$1,FALSE))</f>
        <v>0.2</v>
      </c>
      <c r="BB7" s="10">
        <f>IF(VLOOKUP(ROUND(CONCATENATE($A7,BB$2),0),'Cadastro dos Padrões'!$A$2:$V$921,BB$1,FALSE)="","-",VLOOKUP(ROUND(CONCATENATE($A7,BB$2),0),'Cadastro dos Padrões'!$A$2:$V$921,BB$1,FALSE))</f>
        <v>2</v>
      </c>
      <c r="BC7" s="10">
        <f>IF(VLOOKUP(ROUND(CONCATENATE($A7,BC$2),0),'Cadastro dos Padrões'!$A$2:$V$921,BC$1,FALSE)="","-",VLOOKUP(ROUND(CONCATENATE($A7,BC$2),0),'Cadastro dos Padrões'!$A$2:$V$921,BC$1,FALSE))</f>
        <v>1000000</v>
      </c>
      <c r="BD7" s="10" t="str">
        <f>IF(VLOOKUP(ROUND(CONCATENATE($A7,BD$2),0),'Cadastro dos Padrões'!$A$2:$V$921,BD$1,FALSE)="","-",VLOOKUP(ROUND(CONCATENATE($A7,BD$2),0),'Cadastro dos Padrões'!$A$2:$V$921,BD$1,FALSE))</f>
        <v>-</v>
      </c>
      <c r="BE7" s="10" t="str">
        <f>IF(VLOOKUP(ROUND(CONCATENATE($A7,BE$2),0),'Cadastro dos Padrões'!$A$2:$V$921,BE$1,FALSE)="","-",VLOOKUP(ROUND(CONCATENATE($A7,BE$2),0),'Cadastro dos Padrões'!$A$2:$V$921,BE$1,FALSE))</f>
        <v>-</v>
      </c>
      <c r="BF7" s="10" t="str">
        <f>IF(VLOOKUP(ROUND(CONCATENATE($A7,BF$2),0),'Cadastro dos Padrões'!$A$2:$V$921,BF$1,FALSE)="","-",VLOOKUP(ROUND(CONCATENATE($A7,BF$2),0),'Cadastro dos Padrões'!$A$2:$V$921,BF$1,FALSE))</f>
        <v>-</v>
      </c>
      <c r="BG7" s="10" t="str">
        <f>IF(VLOOKUP(ROUND(CONCATENATE($A7,BG$2),0),'Cadastro dos Padrões'!$A$2:$V$921,BG$1,FALSE)="","-",VLOOKUP(ROUND(CONCATENATE($A7,BG$2),0),'Cadastro dos Padrões'!$A$2:$V$921,BG$1,FALSE))</f>
        <v>-</v>
      </c>
      <c r="BH7" s="10" t="str">
        <f>IF(VLOOKUP(ROUND(CONCATENATE($A7,BH$2),0),'Cadastro dos Padrões'!$A$2:$V$921,BH$1,FALSE)="","-",VLOOKUP(ROUND(CONCATENATE($A7,BH$2),0),'Cadastro dos Padrões'!$A$2:$V$921,BH$1,FALSE))</f>
        <v>-</v>
      </c>
      <c r="BI7" s="10" t="str">
        <f>IF(VLOOKUP(ROUND(CONCATENATE($A7,BI$2),0),'Cadastro dos Padrões'!$A$2:$V$921,BI$1,FALSE)="","-",VLOOKUP(ROUND(CONCATENATE($A7,BI$2),0),'Cadastro dos Padrões'!$A$2:$V$921,BI$1,FALSE))</f>
        <v>-</v>
      </c>
      <c r="BJ7" s="10" t="str">
        <f>IF(VLOOKUP(ROUND(CONCATENATE($A7,BJ$2),0),'Cadastro dos Padrões'!$A$2:$V$921,BJ$1,FALSE)="","-",VLOOKUP(ROUND(CONCATENATE($A7,BJ$2),0),'Cadastro dos Padrões'!$A$2:$V$921,BJ$1,FALSE))</f>
        <v>-</v>
      </c>
      <c r="BK7" s="10" t="str">
        <f>IF(VLOOKUP(ROUND(CONCATENATE($A7,BK$2),0),'Cadastro dos Padrões'!$A$2:$V$921,BK$1,FALSE)="","-",VLOOKUP(ROUND(CONCATENATE($A7,BK$2),0),'Cadastro dos Padrões'!$A$2:$V$921,BK$1,FALSE))</f>
        <v>-</v>
      </c>
      <c r="BL7" s="10" t="str">
        <f>IF(VLOOKUP(ROUND(CONCATENATE($A7,BL$2),0),'Cadastro dos Padrões'!$A$2:$V$921,BL$1,FALSE)="","-",VLOOKUP(ROUND(CONCATENATE($A7,BL$2),0),'Cadastro dos Padrões'!$A$2:$V$921,BL$1,FALSE))</f>
        <v>-</v>
      </c>
      <c r="BM7" s="10" t="str">
        <f>IF(VLOOKUP(ROUND(CONCATENATE($A7,BM$2),0),'Cadastro dos Padrões'!$A$2:$V$921,BM$1,FALSE)="","-",VLOOKUP(ROUND(CONCATENATE($A7,BM$2),0),'Cadastro dos Padrões'!$A$2:$V$921,BM$1,FALSE))</f>
        <v>-</v>
      </c>
      <c r="BN7" s="10" t="str">
        <f>IF(VLOOKUP(ROUND(CONCATENATE($A7,BN$2),0),'Cadastro dos Padrões'!$A$2:$V$921,BN$1,FALSE)="","-",VLOOKUP(ROUND(CONCATENATE($A7,BN$2),0),'Cadastro dos Padrões'!$A$2:$V$921,BN$1,FALSE))</f>
        <v>-</v>
      </c>
      <c r="BO7" s="10" t="str">
        <f>IF(VLOOKUP(ROUND(CONCATENATE($A7,BO$2),0),'Cadastro dos Padrões'!$A$2:$V$921,BO$1,FALSE)="","-",VLOOKUP(ROUND(CONCATENATE($A7,BO$2),0),'Cadastro dos Padrões'!$A$2:$V$921,BO$1,FALSE))</f>
        <v>-</v>
      </c>
      <c r="BP7" s="10">
        <f>IF(VLOOKUP(ROUND(CONCATENATE($A7,BP$2),0),'Cadastro dos Padrões'!$A$2:$V$921,BP$1,FALSE)="","-",VLOOKUP(ROUND(CONCATENATE($A7,BP$2),0),'Cadastro dos Padrões'!$A$2:$V$921,BP$1,FALSE))</f>
        <v>0</v>
      </c>
      <c r="BQ7" s="10">
        <f>IF(VLOOKUP(ROUND(CONCATENATE($A7,BQ$2),0),'Cadastro dos Padrões'!$A$2:$V$921,BQ$1,FALSE)="","-",VLOOKUP(ROUND(CONCATENATE($A7,BQ$2),0),'Cadastro dos Padrões'!$A$2:$V$921,BQ$1,FALSE))</f>
        <v>0</v>
      </c>
      <c r="BR7" s="10">
        <f>IF(VLOOKUP(ROUND(CONCATENATE($A7,BR$2),0),'Cadastro dos Padrões'!$A$2:$V$921,BR$1,FALSE)="","-",VLOOKUP(ROUND(CONCATENATE($A7,BR$2),0),'Cadastro dos Padrões'!$A$2:$V$921,BR$1,FALSE))</f>
        <v>0</v>
      </c>
      <c r="BS7" s="10">
        <f>IF(VLOOKUP(ROUND(CONCATENATE($A7,BS$2),0),'Cadastro dos Padrões'!$A$2:$V$921,BS$1,FALSE)="","-",VLOOKUP(ROUND(CONCATENATE($A7,BS$2),0),'Cadastro dos Padrões'!$A$2:$V$921,BS$1,FALSE))</f>
        <v>0</v>
      </c>
      <c r="BT7" s="10">
        <f>IF(VLOOKUP(ROUND(CONCATENATE($A7,BT$2),0),'Cadastro dos Padrões'!$A$2:$V$921,BT$1,FALSE)="","-",VLOOKUP(ROUND(CONCATENATE($A7,BT$2),0),'Cadastro dos Padrões'!$A$2:$V$921,BT$1,FALSE))</f>
        <v>0</v>
      </c>
      <c r="BU7" s="10">
        <f>IF(VLOOKUP(ROUND(CONCATENATE($A7,BU$2),0),'Cadastro dos Padrões'!$A$2:$V$921,BU$1,FALSE)="","-",VLOOKUP(ROUND(CONCATENATE($A7,BU$2),0),'Cadastro dos Padrões'!$A$2:$V$921,BU$1,FALSE))</f>
        <v>0</v>
      </c>
      <c r="BV7" s="10">
        <f>IF(VLOOKUP(ROUND(CONCATENATE($A7,BV$2),0),'Cadastro dos Padrões'!$A$2:$V$921,BV$1,FALSE)="","-",VLOOKUP(ROUND(CONCATENATE($A7,BV$2),0),'Cadastro dos Padrões'!$A$2:$V$921,BV$1,FALSE))</f>
        <v>0</v>
      </c>
      <c r="BW7" s="10">
        <f>IF(VLOOKUP(ROUND(CONCATENATE($A7,BW$2),0),'Cadastro dos Padrões'!$A$2:$V$921,BW$1,FALSE)="","-",VLOOKUP(ROUND(CONCATENATE($A7,BW$2),0),'Cadastro dos Padrões'!$A$2:$V$921,BW$1,FALSE))</f>
        <v>0</v>
      </c>
      <c r="BX7" s="10">
        <f>IF(VLOOKUP(ROUND(CONCATENATE($A7,BX$2),0),'Cadastro dos Padrões'!$A$2:$V$921,BX$1,FALSE)="","-",VLOOKUP(ROUND(CONCATENATE($A7,BX$2),0),'Cadastro dos Padrões'!$A$2:$V$921,BX$1,FALSE))</f>
        <v>0</v>
      </c>
      <c r="BY7" s="10">
        <f>IF(VLOOKUP(ROUND(CONCATENATE($A7,BY$2),0),'Cadastro dos Padrões'!$A$2:$V$921,BY$1,FALSE)="","-",VLOOKUP(ROUND(CONCATENATE($A7,BY$2),0),'Cadastro dos Padrões'!$A$2:$V$921,BY$1,FALSE))</f>
        <v>0</v>
      </c>
      <c r="BZ7" s="10">
        <f>IF(VLOOKUP(ROUND(CONCATENATE($A7,BZ$2),0),'Cadastro dos Padrões'!$A$2:$V$921,BZ$1,FALSE)="","-",VLOOKUP(ROUND(CONCATENATE($A7,BZ$2),0),'Cadastro dos Padrões'!$A$2:$V$921,BZ$1,FALSE))</f>
        <v>0</v>
      </c>
      <c r="CA7" s="10">
        <f>IF(VLOOKUP(ROUND(CONCATENATE($A7,CA$2),0),'Cadastro dos Padrões'!$A$2:$V$921,CA$1,FALSE)="","-",VLOOKUP(ROUND(CONCATENATE($A7,CA$2),0),'Cadastro dos Padrões'!$A$2:$V$921,CA$1,FALSE))</f>
        <v>0</v>
      </c>
      <c r="CB7" s="10">
        <f>IF(VLOOKUP(ROUND(CONCATENATE($A7,CB$2),0),'Cadastro dos Padrões'!$A$2:$V$921,CB$1,FALSE)="","-",VLOOKUP(ROUND(CONCATENATE($A7,CB$2),0),'Cadastro dos Padrões'!$A$2:$V$921,CB$1,FALSE))</f>
        <v>0</v>
      </c>
      <c r="CC7" s="10">
        <f>IF(VLOOKUP(ROUND(CONCATENATE($A7,CC$2),0),'Cadastro dos Padrões'!$A$2:$V$921,CC$1,FALSE)="","-",VLOOKUP(ROUND(CONCATENATE($A7,CC$2),0),'Cadastro dos Padrões'!$A$2:$V$921,CC$1,FALSE))</f>
        <v>0</v>
      </c>
      <c r="CD7" s="10">
        <f>IF(VLOOKUP(ROUND(CONCATENATE($A7,CD$2),0),'Cadastro dos Padrões'!$A$2:$V$921,CD$1,FALSE)="","-",VLOOKUP(ROUND(CONCATENATE($A7,CD$2),0),'Cadastro dos Padrões'!$A$2:$V$921,CD$1,FALSE))</f>
        <v>0</v>
      </c>
      <c r="CE7" s="10">
        <f>IF(VLOOKUP(ROUND(CONCATENATE($A7,CE$2),0),'Cadastro dos Padrões'!$A$2:$V$921,CE$1,FALSE)="","-",VLOOKUP(ROUND(CONCATENATE($A7,CE$2),0),'Cadastro dos Padrões'!$A$2:$V$921,CE$1,FALSE))</f>
        <v>0</v>
      </c>
      <c r="CF7" s="10">
        <f>IF(VLOOKUP(ROUND(CONCATENATE($A7,CF$2),0),'Cadastro dos Padrões'!$A$2:$V$921,CF$1,FALSE)="","-",VLOOKUP(ROUND(CONCATENATE($A7,CF$2),0),'Cadastro dos Padrões'!$A$2:$V$921,CF$1,FALSE))</f>
        <v>0</v>
      </c>
      <c r="CG7" s="10">
        <f>IF(VLOOKUP(ROUND(CONCATENATE($A7,CG$2),0),'Cadastro dos Padrões'!$A$2:$V$921,CG$1,FALSE)="","-",VLOOKUP(ROUND(CONCATENATE($A7,CG$2),0),'Cadastro dos Padrões'!$A$2:$V$921,CG$1,FALSE))</f>
        <v>0</v>
      </c>
      <c r="CH7" s="10">
        <f>IF(VLOOKUP(ROUND(CONCATENATE($A7,CH$2),0),'Cadastro dos Padrões'!$A$2:$V$921,CH$1,FALSE)="","-",VLOOKUP(ROUND(CONCATENATE($A7,CH$2),0),'Cadastro dos Padrões'!$A$2:$V$921,CH$1,FALSE))</f>
        <v>0</v>
      </c>
      <c r="CI7" s="10">
        <f>IF(VLOOKUP(ROUND(CONCATENATE($A7,CI$2),0),'Cadastro dos Padrões'!$A$2:$V$921,CI$1,FALSE)="","-",VLOOKUP(ROUND(CONCATENATE($A7,CI$2),0),'Cadastro dos Padrões'!$A$2:$V$921,CI$1,FALSE))</f>
        <v>0</v>
      </c>
    </row>
    <row r="8" spans="1:87" x14ac:dyDescent="0.3">
      <c r="A8" s="4">
        <v>3</v>
      </c>
      <c r="B8" s="10" t="str">
        <f>IF(VLOOKUP(ROUND(CONCATENATE($A8,B$2),0),'Cadastro dos Padrões'!$A$2:$V$921,B$1,FALSE)="","-",VLOOKUP(ROUND(CONCATENATE($A8,B$2),0),'Cadastro dos Padrões'!$A$2:$V$921,B$1,FALSE))</f>
        <v>E.MS.LV-002</v>
      </c>
      <c r="C8" s="10" t="str">
        <f>IF(VLOOKUP(ROUND(CONCATENATE($A8,C$2),0),'Cadastro dos Padrões'!$A$2:$V$921,C$1,FALSE)="","-",VLOOKUP(ROUND(CONCATENATE($A8,C$2),0),'Cadastro dos Padrões'!$A$2:$V$921,C$1,FALSE))</f>
        <v>Balança Eletrônica</v>
      </c>
      <c r="D8" s="10" t="str">
        <f>IF(VLOOKUP(ROUND(CONCATENATE($A8,D$2),0),'Cadastro dos Padrões'!$A$2:$V$921,D$1,FALSE)="","-",VLOOKUP(ROUND(CONCATENATE($A8,D$2),0),'Cadastro dos Padrões'!$A$2:$V$921,D$1,FALSE))</f>
        <v>Elus</v>
      </c>
      <c r="E8" s="10" t="str">
        <f>IF(VLOOKUP(ROUND(CONCATENATE($A8,E$2),0),'Cadastro dos Padrões'!$A$2:$V$921,E$1,FALSE)="","-",VLOOKUP(ROUND(CONCATENATE($A8,E$2),0),'Cadastro dos Padrões'!$A$2:$V$921,E$1,FALSE))</f>
        <v>RBC - CAL 0439</v>
      </c>
      <c r="F8" s="10" t="str">
        <f>IF(VLOOKUP(ROUND(CONCATENATE($A8,F$2),0),'Cadastro dos Padrões'!$A$2:$V$921,F$1,FALSE)="","-",VLOOKUP(ROUND(CONCATENATE($A8,F$2),0),'Cadastro dos Padrões'!$A$2:$V$921,F$1,FALSE))</f>
        <v>E0016/26</v>
      </c>
      <c r="G8" s="27">
        <f>IF(VLOOKUP(ROUND(CONCATENATE($A8,G$2),0),'Cadastro dos Padrões'!$A$2:$V$921,G$1,FALSE)="","-",VLOOKUP(ROUND(CONCATENATE($A8,G$2),0),'Cadastro dos Padrões'!$A$2:$V$921,G$1,FALSE))</f>
        <v>46031</v>
      </c>
      <c r="H8" s="29">
        <f>IF(VLOOKUP(ROUND(CONCATENATE($A8,H$2),0),'Cadastro dos Padrões'!$A$2:$V$921,H$1,FALSE)="","-",VLOOKUP(ROUND(CONCATENATE($A8,H$2),0),'Cadastro dos Padrões'!$A$2:$V$921,H$1,FALSE))</f>
        <v>46417</v>
      </c>
      <c r="I8" s="10" t="str">
        <f>IF(VLOOKUP(ROUND(CONCATENATE($A8,I$2),0),'Cadastro dos Padrões'!$A$2:$V$921,I$1,FALSE)="","-",VLOOKUP(ROUND(CONCATENATE($A8,I$2),0),'Cadastro dos Padrões'!$A$2:$V$921,I$1,FALSE))</f>
        <v>kg</v>
      </c>
      <c r="J8" s="10">
        <f>IF(VLOOKUP(ROUND(CONCATENATE($A8,J$2),0),'Cadastro dos Padrões'!$A$2:$V$921,J$1,FALSE)="","-",VLOOKUP(ROUND(CONCATENATE($A8,J$2),0),'Cadastro dos Padrões'!$A$2:$V$921,J$1,FALSE))</f>
        <v>10</v>
      </c>
      <c r="K8" s="10">
        <f>IF(VLOOKUP(ROUND(CONCATENATE($A8,K$2),0),'Cadastro dos Padrões'!$A$2:$V$921,K$1,FALSE)="","-",VLOOKUP(ROUND(CONCATENATE($A8,K$2),0),'Cadastro dos Padrões'!$A$2:$V$921,K$1,FALSE))</f>
        <v>500</v>
      </c>
      <c r="L8" s="10">
        <f>IF(VLOOKUP(ROUND(CONCATENATE($A8,L$2),0),'Cadastro dos Padrões'!$A$2:$V$921,L$1,FALSE)="","-",VLOOKUP(ROUND(CONCATENATE($A8,L$2),0),'Cadastro dos Padrões'!$A$2:$V$921,L$1,FALSE))</f>
        <v>1E-3</v>
      </c>
      <c r="M8" s="10">
        <f>IF(VLOOKUP(ROUND(CONCATENATE($A8,M$2),0),'Cadastro dos Padrões'!$A$2:$V$921,M$1,FALSE)="","-",VLOOKUP(ROUND(CONCATENATE($A8,M$2),0),'Cadastro dos Padrões'!$A$2:$V$921,M$1,FALSE))</f>
        <v>4.0000000000190994E-3</v>
      </c>
      <c r="N8" s="10">
        <f>IF(VLOOKUP(ROUND(CONCATENATE($A8,N$2),0),'Cadastro dos Padrões'!$A$2:$V$921,N$1,FALSE)="","-",VLOOKUP(ROUND(CONCATENATE($A8,N$2),0),'Cadastro dos Padrões'!$A$2:$V$921,N$1,FALSE))</f>
        <v>1.0999999999999999E-2</v>
      </c>
      <c r="O8" s="10">
        <f>IF(VLOOKUP(ROUND(CONCATENATE($A8,O$2),0),'Cadastro dos Padrões'!$A$2:$V$921,O$1,FALSE)="","-",VLOOKUP(ROUND(CONCATENATE($A8,O$2),0),'Cadastro dos Padrões'!$A$2:$V$921,O$1,FALSE))</f>
        <v>2.4000000000000909E-2</v>
      </c>
      <c r="P8" s="28">
        <f>IF(VLOOKUP(ROUND(CONCATENATE($A8,P$2),0),'Cadastro dos Padrões'!$A$2:$V$921,P$1,FALSE)="","-",VLOOKUP(ROUND(CONCATENATE($A8,P$2),0),'Cadastro dos Padrões'!$A$2:$V$921,P$1,FALSE))</f>
        <v>6.2500000000298428E-4</v>
      </c>
      <c r="Q8" s="10">
        <f>IF($B8="-","-",VLOOKUP(ROUND(CONCATENATE($A8,Q$2),0),'Cadastro dos Padrões'!$A$2:$V$921,Q$1,FALSE))</f>
        <v>1.2310936059023447E-4</v>
      </c>
      <c r="R8" s="10">
        <f>IF($B8="-","-",VLOOKUP(ROUND(CONCATENATE($A8,R$2),0),'Cadastro dos Padrões'!$A$2:$V$921,R$1,FALSE))</f>
        <v>3</v>
      </c>
      <c r="S8" s="10">
        <f>IF($B8="-","-",VLOOKUP(ROUND(CONCATENATE($A8,S$2),0),'Cadastro dos Padrões'!$A$2:$V$921,S$1,FALSE))</f>
        <v>0</v>
      </c>
      <c r="T8" s="10">
        <f>IF($B8="-","-",VLOOKUP(ROUND(CONCATENATE($A8,T$2),0),'Cadastro dos Padrões'!$A$2:$V$921,T$1,FALSE))</f>
        <v>0</v>
      </c>
      <c r="U8" s="10">
        <f>IF($B8="-","-",VLOOKUP(ROUND(CONCATENATE($A8,U$2),0),'Cadastro dos Padrões'!$A$2:$V$921,U$1,FALSE))</f>
        <v>0</v>
      </c>
      <c r="V8" s="10">
        <f>IF($B8="-","-",VLOOKUP(ROUND(CONCATENATE($A8,V$2),0),'Cadastro dos Padrões'!$A$2:$V$921,V$1,FALSE))</f>
        <v>0</v>
      </c>
      <c r="W8" s="10">
        <f>IF($B8="-","-",VLOOKUP(ROUND(CONCATENATE($A8,W$2),0),'Cadastro dos Padrões'!$A$2:$V$921,W$1,FALSE))</f>
        <v>0</v>
      </c>
      <c r="X8" s="10">
        <f>IF($B8="-","-",VLOOKUP(ROUND(CONCATENATE($A8,X$2),0),'Cadastro dos Padrões'!$A$2:$V$921,X$1,FALSE))</f>
        <v>2.0540732034428424E-11</v>
      </c>
      <c r="Y8" s="10">
        <f>IF($B8="-","-",VLOOKUP(ROUND(CONCATENATE($A8,Y$2),0),'Cadastro dos Padrões'!$A$2:$V$921,Y$1,FALSE))</f>
        <v>-1.1037249574251975E-8</v>
      </c>
      <c r="Z8" s="10">
        <f>IF($B8="-","-",VLOOKUP(ROUND(CONCATENATE($A8,Z$2),0),'Cadastro dos Padrões'!$A$2:$V$921,Z$1,FALSE))</f>
        <v>1.0000086953519802</v>
      </c>
      <c r="AA8" s="10">
        <f>IF($B8="-","-",VLOOKUP(ROUND(CONCATENATE($A8,AA$2),0),'Cadastro dos Padrões'!$A$2:$V$921,AA$1,FALSE))</f>
        <v>-1.5767507148904583E-4</v>
      </c>
      <c r="AB8" s="10">
        <f>IF(VLOOKUP(ROUND(CONCATENATE($A8,AB$2),0),'Cadastro dos Padrões'!$A$2:$V$921,AB$1,FALSE)="","-",VLOOKUP(ROUND(CONCATENATE($A8,AB$2),0),'Cadastro dos Padrões'!$A$2:$V$921,AB$1,FALSE))</f>
        <v>10</v>
      </c>
      <c r="AC8" s="10">
        <f>IF(VLOOKUP(ROUND(CONCATENATE($A8,AC$2),0),'Cadastro dos Padrões'!$A$2:$V$921,AC$1,FALSE)="","-",VLOOKUP(ROUND(CONCATENATE($A8,AC$2),0),'Cadastro dos Padrões'!$A$2:$V$921,AC$1,FALSE))</f>
        <v>2E-3</v>
      </c>
      <c r="AD8" s="10">
        <f>IF(VLOOKUP(ROUND(CONCATENATE($A8,AD$2),0),'Cadastro dos Padrões'!$A$2:$V$921,AD$1,FALSE)="","-",VLOOKUP(ROUND(CONCATENATE($A8,AD$2),0),'Cadastro dos Padrões'!$A$2:$V$921,AD$1,FALSE))</f>
        <v>2</v>
      </c>
      <c r="AE8" s="10">
        <f>IF(VLOOKUP(ROUND(CONCATENATE($A8,AE$2),0),'Cadastro dos Padrões'!$A$2:$V$921,AE$1,FALSE)="","-",VLOOKUP(ROUND(CONCATENATE($A8,AE$2),0),'Cadastro dos Padrões'!$A$2:$V$921,AE$1,FALSE))</f>
        <v>1000000</v>
      </c>
      <c r="AF8" s="10">
        <f>IF(VLOOKUP(ROUND(CONCATENATE($A8,AF$2),0),'Cadastro dos Padrões'!$A$2:$V$921,AF$1,FALSE)="","-",VLOOKUP(ROUND(CONCATENATE($A8,AF$2),0),'Cadastro dos Padrões'!$A$2:$V$921,AF$1,FALSE))</f>
        <v>30</v>
      </c>
      <c r="AG8" s="10">
        <f>IF(VLOOKUP(ROUND(CONCATENATE($A8,AG$2),0),'Cadastro dos Padrões'!$A$2:$V$921,AG$1,FALSE)="","-",VLOOKUP(ROUND(CONCATENATE($A8,AG$2),0),'Cadastro dos Padrões'!$A$2:$V$921,AG$1,FALSE))</f>
        <v>2E-3</v>
      </c>
      <c r="AH8" s="10">
        <f>IF(VLOOKUP(ROUND(CONCATENATE($A8,AH$2),0),'Cadastro dos Padrões'!$A$2:$V$921,AH$1,FALSE)="","-",VLOOKUP(ROUND(CONCATENATE($A8,AH$2),0),'Cadastro dos Padrões'!$A$2:$V$921,AH$1,FALSE))</f>
        <v>2</v>
      </c>
      <c r="AI8" s="10">
        <f>IF(VLOOKUP(ROUND(CONCATENATE($A8,AI$2),0),'Cadastro dos Padrões'!$A$2:$V$921,AI$1,FALSE)="","-",VLOOKUP(ROUND(CONCATENATE($A8,AI$2),0),'Cadastro dos Padrões'!$A$2:$V$921,AI$1,FALSE))</f>
        <v>1000000</v>
      </c>
      <c r="AJ8" s="10">
        <f>IF(VLOOKUP(ROUND(CONCATENATE($A8,AJ$2),0),'Cadastro dos Padrões'!$A$2:$V$921,AJ$1,FALSE)="","-",VLOOKUP(ROUND(CONCATENATE($A8,AJ$2),0),'Cadastro dos Padrões'!$A$2:$V$921,AJ$1,FALSE))</f>
        <v>150</v>
      </c>
      <c r="AK8" s="10">
        <f>IF(VLOOKUP(ROUND(CONCATENATE($A8,AK$2),0),'Cadastro dos Padrões'!$A$2:$V$921,AK$1,FALSE)="","-",VLOOKUP(ROUND(CONCATENATE($A8,AK$2),0),'Cadastro dos Padrões'!$A$2:$V$921,AK$1,FALSE))</f>
        <v>3.0000000000000001E-3</v>
      </c>
      <c r="AL8" s="10">
        <f>IF(VLOOKUP(ROUND(CONCATENATE($A8,AL$2),0),'Cadastro dos Padrões'!$A$2:$V$921,AL$1,FALSE)="","-",VLOOKUP(ROUND(CONCATENATE($A8,AL$2),0),'Cadastro dos Padrões'!$A$2:$V$921,AL$1,FALSE))</f>
        <v>2</v>
      </c>
      <c r="AM8" s="10">
        <f>IF(VLOOKUP(ROUND(CONCATENATE($A8,AM$2),0),'Cadastro dos Padrões'!$A$2:$V$921,AM$1,FALSE)="","-",VLOOKUP(ROUND(CONCATENATE($A8,AM$2),0),'Cadastro dos Padrões'!$A$2:$V$921,AM$1,FALSE))</f>
        <v>1000000</v>
      </c>
      <c r="AN8" s="10">
        <f>IF(VLOOKUP(ROUND(CONCATENATE($A8,AN$2),0),'Cadastro dos Padrões'!$A$2:$V$921,AN$1,FALSE)="","-",VLOOKUP(ROUND(CONCATENATE($A8,AN$2),0),'Cadastro dos Padrões'!$A$2:$V$921,AN$1,FALSE))</f>
        <v>300</v>
      </c>
      <c r="AO8" s="10">
        <f>IF(VLOOKUP(ROUND(CONCATENATE($A8,AO$2),0),'Cadastro dos Padrões'!$A$2:$V$921,AO$1,FALSE)="","-",VLOOKUP(ROUND(CONCATENATE($A8,AO$2),0),'Cadastro dos Padrões'!$A$2:$V$921,AO$1,FALSE))</f>
        <v>8.0000000000000002E-3</v>
      </c>
      <c r="AP8" s="10">
        <f>IF(VLOOKUP(ROUND(CONCATENATE($A8,AP$2),0),'Cadastro dos Padrões'!$A$2:$V$921,AP$1,FALSE)="","-",VLOOKUP(ROUND(CONCATENATE($A8,AP$2),0),'Cadastro dos Padrões'!$A$2:$V$921,AP$1,FALSE))</f>
        <v>2</v>
      </c>
      <c r="AQ8" s="10">
        <f>IF(VLOOKUP(ROUND(CONCATENATE($A8,AQ$2),0),'Cadastro dos Padrões'!$A$2:$V$921,AQ$1,FALSE)="","-",VLOOKUP(ROUND(CONCATENATE($A8,AQ$2),0),'Cadastro dos Padrões'!$A$2:$V$921,AQ$1,FALSE))</f>
        <v>1000000</v>
      </c>
      <c r="AR8" s="10">
        <f>IF(VLOOKUP(ROUND(CONCATENATE($A8,AR$2),0),'Cadastro dos Padrões'!$A$2:$V$921,AR$1,FALSE)="","-",VLOOKUP(ROUND(CONCATENATE($A8,AR$2),0),'Cadastro dos Padrões'!$A$2:$V$921,AR$1,FALSE))</f>
        <v>500</v>
      </c>
      <c r="AS8" s="10">
        <f>IF(VLOOKUP(ROUND(CONCATENATE($A8,AS$2),0),'Cadastro dos Padrões'!$A$2:$V$921,AS$1,FALSE)="","-",VLOOKUP(ROUND(CONCATENATE($A8,AS$2),0),'Cadastro dos Padrões'!$A$2:$V$921,AS$1,FALSE))</f>
        <v>1.0999999999999999E-2</v>
      </c>
      <c r="AT8" s="10">
        <f>IF(VLOOKUP(ROUND(CONCATENATE($A8,AT$2),0),'Cadastro dos Padrões'!$A$2:$V$921,AT$1,FALSE)="","-",VLOOKUP(ROUND(CONCATENATE($A8,AT$2),0),'Cadastro dos Padrões'!$A$2:$V$921,AT$1,FALSE))</f>
        <v>2</v>
      </c>
      <c r="AU8" s="10">
        <f>IF(VLOOKUP(ROUND(CONCATENATE($A8,AU$2),0),'Cadastro dos Padrões'!$A$2:$V$921,AU$1,FALSE)="","-",VLOOKUP(ROUND(CONCATENATE($A8,AU$2),0),'Cadastro dos Padrões'!$A$2:$V$921,AU$1,FALSE))</f>
        <v>1000000</v>
      </c>
      <c r="AV8" s="10" t="str">
        <f>IF(VLOOKUP(ROUND(CONCATENATE($A8,AV$2),0),'Cadastro dos Padrões'!$A$2:$V$921,AV$1,FALSE)="","-",VLOOKUP(ROUND(CONCATENATE($A8,AV$2),0),'Cadastro dos Padrões'!$A$2:$V$921,AV$1,FALSE))</f>
        <v>-</v>
      </c>
      <c r="AW8" s="10" t="str">
        <f>IF(VLOOKUP(ROUND(CONCATENATE($A8,AW$2),0),'Cadastro dos Padrões'!$A$2:$V$921,AW$1,FALSE)="","-",VLOOKUP(ROUND(CONCATENATE($A8,AW$2),0),'Cadastro dos Padrões'!$A$2:$V$921,AW$1,FALSE))</f>
        <v>-</v>
      </c>
      <c r="AX8" s="10" t="str">
        <f>IF(VLOOKUP(ROUND(CONCATENATE($A8,AX$2),0),'Cadastro dos Padrões'!$A$2:$V$921,AX$1,FALSE)="","-",VLOOKUP(ROUND(CONCATENATE($A8,AX$2),0),'Cadastro dos Padrões'!$A$2:$V$921,AX$1,FALSE))</f>
        <v>-</v>
      </c>
      <c r="AY8" s="10" t="str">
        <f>IF(VLOOKUP(ROUND(CONCATENATE($A8,AY$2),0),'Cadastro dos Padrões'!$A$2:$V$921,AY$1,FALSE)="","-",VLOOKUP(ROUND(CONCATENATE($A8,AY$2),0),'Cadastro dos Padrões'!$A$2:$V$921,AY$1,FALSE))</f>
        <v>-</v>
      </c>
      <c r="AZ8" s="10" t="str">
        <f>IF(VLOOKUP(ROUND(CONCATENATE($A8,AZ$2),0),'Cadastro dos Padrões'!$A$2:$V$921,AZ$1,FALSE)="","-",VLOOKUP(ROUND(CONCATENATE($A8,AZ$2),0),'Cadastro dos Padrões'!$A$2:$V$921,AZ$1,FALSE))</f>
        <v>-</v>
      </c>
      <c r="BA8" s="10" t="str">
        <f>IF(VLOOKUP(ROUND(CONCATENATE($A8,BA$2),0),'Cadastro dos Padrões'!$A$2:$V$921,BA$1,FALSE)="","-",VLOOKUP(ROUND(CONCATENATE($A8,BA$2),0),'Cadastro dos Padrões'!$A$2:$V$921,BA$1,FALSE))</f>
        <v>-</v>
      </c>
      <c r="BB8" s="10" t="str">
        <f>IF(VLOOKUP(ROUND(CONCATENATE($A8,BB$2),0),'Cadastro dos Padrões'!$A$2:$V$921,BB$1,FALSE)="","-",VLOOKUP(ROUND(CONCATENATE($A8,BB$2),0),'Cadastro dos Padrões'!$A$2:$V$921,BB$1,FALSE))</f>
        <v>-</v>
      </c>
      <c r="BC8" s="10" t="str">
        <f>IF(VLOOKUP(ROUND(CONCATENATE($A8,BC$2),0),'Cadastro dos Padrões'!$A$2:$V$921,BC$1,FALSE)="","-",VLOOKUP(ROUND(CONCATENATE($A8,BC$2),0),'Cadastro dos Padrões'!$A$2:$V$921,BC$1,FALSE))</f>
        <v>-</v>
      </c>
      <c r="BD8" s="10" t="str">
        <f>IF(VLOOKUP(ROUND(CONCATENATE($A8,BD$2),0),'Cadastro dos Padrões'!$A$2:$V$921,BD$1,FALSE)="","-",VLOOKUP(ROUND(CONCATENATE($A8,BD$2),0),'Cadastro dos Padrões'!$A$2:$V$921,BD$1,FALSE))</f>
        <v>-</v>
      </c>
      <c r="BE8" s="10" t="str">
        <f>IF(VLOOKUP(ROUND(CONCATENATE($A8,BE$2),0),'Cadastro dos Padrões'!$A$2:$V$921,BE$1,FALSE)="","-",VLOOKUP(ROUND(CONCATENATE($A8,BE$2),0),'Cadastro dos Padrões'!$A$2:$V$921,BE$1,FALSE))</f>
        <v>-</v>
      </c>
      <c r="BF8" s="10" t="str">
        <f>IF(VLOOKUP(ROUND(CONCATENATE($A8,BF$2),0),'Cadastro dos Padrões'!$A$2:$V$921,BF$1,FALSE)="","-",VLOOKUP(ROUND(CONCATENATE($A8,BF$2),0),'Cadastro dos Padrões'!$A$2:$V$921,BF$1,FALSE))</f>
        <v>-</v>
      </c>
      <c r="BG8" s="10" t="str">
        <f>IF(VLOOKUP(ROUND(CONCATENATE($A8,BG$2),0),'Cadastro dos Padrões'!$A$2:$V$921,BG$1,FALSE)="","-",VLOOKUP(ROUND(CONCATENATE($A8,BG$2),0),'Cadastro dos Padrões'!$A$2:$V$921,BG$1,FALSE))</f>
        <v>-</v>
      </c>
      <c r="BH8" s="10" t="str">
        <f>IF(VLOOKUP(ROUND(CONCATENATE($A8,BH$2),0),'Cadastro dos Padrões'!$A$2:$V$921,BH$1,FALSE)="","-",VLOOKUP(ROUND(CONCATENATE($A8,BH$2),0),'Cadastro dos Padrões'!$A$2:$V$921,BH$1,FALSE))</f>
        <v>-</v>
      </c>
      <c r="BI8" s="10" t="str">
        <f>IF(VLOOKUP(ROUND(CONCATENATE($A8,BI$2),0),'Cadastro dos Padrões'!$A$2:$V$921,BI$1,FALSE)="","-",VLOOKUP(ROUND(CONCATENATE($A8,BI$2),0),'Cadastro dos Padrões'!$A$2:$V$921,BI$1,FALSE))</f>
        <v>-</v>
      </c>
      <c r="BJ8" s="10" t="str">
        <f>IF(VLOOKUP(ROUND(CONCATENATE($A8,BJ$2),0),'Cadastro dos Padrões'!$A$2:$V$921,BJ$1,FALSE)="","-",VLOOKUP(ROUND(CONCATENATE($A8,BJ$2),0),'Cadastro dos Padrões'!$A$2:$V$921,BJ$1,FALSE))</f>
        <v>-</v>
      </c>
      <c r="BK8" s="10" t="str">
        <f>IF(VLOOKUP(ROUND(CONCATENATE($A8,BK$2),0),'Cadastro dos Padrões'!$A$2:$V$921,BK$1,FALSE)="","-",VLOOKUP(ROUND(CONCATENATE($A8,BK$2),0),'Cadastro dos Padrões'!$A$2:$V$921,BK$1,FALSE))</f>
        <v>-</v>
      </c>
      <c r="BL8" s="10" t="str">
        <f>IF(VLOOKUP(ROUND(CONCATENATE($A8,BL$2),0),'Cadastro dos Padrões'!$A$2:$V$921,BL$1,FALSE)="","-",VLOOKUP(ROUND(CONCATENATE($A8,BL$2),0),'Cadastro dos Padrões'!$A$2:$V$921,BL$1,FALSE))</f>
        <v>-</v>
      </c>
      <c r="BM8" s="10" t="str">
        <f>IF(VLOOKUP(ROUND(CONCATENATE($A8,BM$2),0),'Cadastro dos Padrões'!$A$2:$V$921,BM$1,FALSE)="","-",VLOOKUP(ROUND(CONCATENATE($A8,BM$2),0),'Cadastro dos Padrões'!$A$2:$V$921,BM$1,FALSE))</f>
        <v>-</v>
      </c>
      <c r="BN8" s="10" t="str">
        <f>IF(VLOOKUP(ROUND(CONCATENATE($A8,BN$2),0),'Cadastro dos Padrões'!$A$2:$V$921,BN$1,FALSE)="","-",VLOOKUP(ROUND(CONCATENATE($A8,BN$2),0),'Cadastro dos Padrões'!$A$2:$V$921,BN$1,FALSE))</f>
        <v>-</v>
      </c>
      <c r="BO8" s="10" t="str">
        <f>IF(VLOOKUP(ROUND(CONCATENATE($A8,BO$2),0),'Cadastro dos Padrões'!$A$2:$V$921,BO$1,FALSE)="","-",VLOOKUP(ROUND(CONCATENATE($A8,BO$2),0),'Cadastro dos Padrões'!$A$2:$V$921,BO$1,FALSE))</f>
        <v>-</v>
      </c>
      <c r="BP8" s="10">
        <f>IF(VLOOKUP(ROUND(CONCATENATE($A8,BP$2),0),'Cadastro dos Padrões'!$A$2:$V$921,BP$1,FALSE)="","-",VLOOKUP(ROUND(CONCATENATE($A8,BP$2),0),'Cadastro dos Padrões'!$A$2:$V$921,BP$1,FALSE))</f>
        <v>0</v>
      </c>
      <c r="BQ8" s="10">
        <f>IF(VLOOKUP(ROUND(CONCATENATE($A8,BQ$2),0),'Cadastro dos Padrões'!$A$2:$V$921,BQ$1,FALSE)="","-",VLOOKUP(ROUND(CONCATENATE($A8,BQ$2),0),'Cadastro dos Padrões'!$A$2:$V$921,BQ$1,FALSE))</f>
        <v>0</v>
      </c>
      <c r="BR8" s="10">
        <f>IF(VLOOKUP(ROUND(CONCATENATE($A8,BR$2),0),'Cadastro dos Padrões'!$A$2:$V$921,BR$1,FALSE)="","-",VLOOKUP(ROUND(CONCATENATE($A8,BR$2),0),'Cadastro dos Padrões'!$A$2:$V$921,BR$1,FALSE))</f>
        <v>-1.0000000000047748E-3</v>
      </c>
      <c r="BS8" s="10">
        <f>IF(VLOOKUP(ROUND(CONCATENATE($A8,BS$2),0),'Cadastro dos Padrões'!$A$2:$V$921,BS$1,FALSE)="","-",VLOOKUP(ROUND(CONCATENATE($A8,BS$2),0),'Cadastro dos Padrões'!$A$2:$V$921,BS$1,FALSE))</f>
        <v>-2.0000000000095497E-3</v>
      </c>
      <c r="BT8" s="10">
        <f>IF(VLOOKUP(ROUND(CONCATENATE($A8,BT$2),0),'Cadastro dos Padrões'!$A$2:$V$921,BT$1,FALSE)="","-",VLOOKUP(ROUND(CONCATENATE($A8,BT$2),0),'Cadastro dos Padrões'!$A$2:$V$921,BT$1,FALSE))</f>
        <v>-4.0000000000190994E-3</v>
      </c>
      <c r="BU8" s="10">
        <f>IF(VLOOKUP(ROUND(CONCATENATE($A8,BU$2),0),'Cadastro dos Padrões'!$A$2:$V$921,BU$1,FALSE)="","-",VLOOKUP(ROUND(CONCATENATE($A8,BU$2),0),'Cadastro dos Padrões'!$A$2:$V$921,BU$1,FALSE))</f>
        <v>0</v>
      </c>
      <c r="BV8" s="10">
        <f>IF(VLOOKUP(ROUND(CONCATENATE($A8,BV$2),0),'Cadastro dos Padrões'!$A$2:$V$921,BV$1,FALSE)="","-",VLOOKUP(ROUND(CONCATENATE($A8,BV$2),0),'Cadastro dos Padrões'!$A$2:$V$921,BV$1,FALSE))</f>
        <v>0</v>
      </c>
      <c r="BW8" s="10">
        <f>IF(VLOOKUP(ROUND(CONCATENATE($A8,BW$2),0),'Cadastro dos Padrões'!$A$2:$V$921,BW$1,FALSE)="","-",VLOOKUP(ROUND(CONCATENATE($A8,BW$2),0),'Cadastro dos Padrões'!$A$2:$V$921,BW$1,FALSE))</f>
        <v>0</v>
      </c>
      <c r="BX8" s="10">
        <f>IF(VLOOKUP(ROUND(CONCATENATE($A8,BX$2),0),'Cadastro dos Padrões'!$A$2:$V$921,BX$1,FALSE)="","-",VLOOKUP(ROUND(CONCATENATE($A8,BX$2),0),'Cadastro dos Padrões'!$A$2:$V$921,BX$1,FALSE))</f>
        <v>0</v>
      </c>
      <c r="BY8" s="10">
        <f>IF(VLOOKUP(ROUND(CONCATENATE($A8,BY$2),0),'Cadastro dos Padrões'!$A$2:$V$921,BY$1,FALSE)="","-",VLOOKUP(ROUND(CONCATENATE($A8,BY$2),0),'Cadastro dos Padrões'!$A$2:$V$921,BY$1,FALSE))</f>
        <v>0</v>
      </c>
      <c r="BZ8" s="10">
        <f>IF(VLOOKUP(ROUND(CONCATENATE($A8,BZ$2),0),'Cadastro dos Padrões'!$A$2:$V$921,BZ$1,FALSE)="","-",VLOOKUP(ROUND(CONCATENATE($A8,BZ$2),0),'Cadastro dos Padrões'!$A$2:$V$921,BZ$1,FALSE))</f>
        <v>-2.0000000000006679E-3</v>
      </c>
      <c r="CA8" s="10">
        <f>IF(VLOOKUP(ROUND(CONCATENATE($A8,CA$2),0),'Cadastro dos Padrões'!$A$2:$V$921,CA$1,FALSE)="","-",VLOOKUP(ROUND(CONCATENATE($A8,CA$2),0),'Cadastro dos Padrões'!$A$2:$V$921,CA$1,FALSE))</f>
        <v>-4.0000000000013358E-3</v>
      </c>
      <c r="CB8" s="10">
        <f>IF(VLOOKUP(ROUND(CONCATENATE($A8,CB$2),0),'Cadastro dos Padrões'!$A$2:$V$921,CB$1,FALSE)="","-",VLOOKUP(ROUND(CONCATENATE($A8,CB$2),0),'Cadastro dos Padrões'!$A$2:$V$921,CB$1,FALSE))</f>
        <v>2.0000000000010232E-2</v>
      </c>
      <c r="CC8" s="10">
        <f>IF(VLOOKUP(ROUND(CONCATENATE($A8,CC$2),0),'Cadastro dos Padrões'!$A$2:$V$921,CC$1,FALSE)="","-",VLOOKUP(ROUND(CONCATENATE($A8,CC$2),0),'Cadastro dos Padrões'!$A$2:$V$921,CC$1,FALSE))</f>
        <v>1.999999999998181E-2</v>
      </c>
      <c r="CD8" s="10">
        <f>IF(VLOOKUP(ROUND(CONCATENATE($A8,CD$2),0),'Cadastro dos Padrões'!$A$2:$V$921,CD$1,FALSE)="","-",VLOOKUP(ROUND(CONCATENATE($A8,CD$2),0),'Cadastro dos Padrões'!$A$2:$V$921,CD$1,FALSE))</f>
        <v>-2.4000000000000909E-2</v>
      </c>
      <c r="CE8" s="10">
        <f>IF(VLOOKUP(ROUND(CONCATENATE($A8,CE$2),0),'Cadastro dos Padrões'!$A$2:$V$921,CE$1,FALSE)="","-",VLOOKUP(ROUND(CONCATENATE($A8,CE$2),0),'Cadastro dos Padrões'!$A$2:$V$921,CE$1,FALSE))</f>
        <v>0</v>
      </c>
      <c r="CF8" s="10">
        <f>IF(VLOOKUP(ROUND(CONCATENATE($A8,CF$2),0),'Cadastro dos Padrões'!$A$2:$V$921,CF$1,FALSE)="","-",VLOOKUP(ROUND(CONCATENATE($A8,CF$2),0),'Cadastro dos Padrões'!$A$2:$V$921,CF$1,FALSE))</f>
        <v>0</v>
      </c>
      <c r="CG8" s="10">
        <f>IF(VLOOKUP(ROUND(CONCATENATE($A8,CG$2),0),'Cadastro dos Padrões'!$A$2:$V$921,CG$1,FALSE)="","-",VLOOKUP(ROUND(CONCATENATE($A8,CG$2),0),'Cadastro dos Padrões'!$A$2:$V$921,CG$1,FALSE))</f>
        <v>0</v>
      </c>
      <c r="CH8" s="10">
        <f>IF(VLOOKUP(ROUND(CONCATENATE($A8,CH$2),0),'Cadastro dos Padrões'!$A$2:$V$921,CH$1,FALSE)="","-",VLOOKUP(ROUND(CONCATENATE($A8,CH$2),0),'Cadastro dos Padrões'!$A$2:$V$921,CH$1,FALSE))</f>
        <v>0</v>
      </c>
      <c r="CI8" s="10">
        <f>IF(VLOOKUP(ROUND(CONCATENATE($A8,CI$2),0),'Cadastro dos Padrões'!$A$2:$V$921,CI$1,FALSE)="","-",VLOOKUP(ROUND(CONCATENATE($A8,CI$2),0),'Cadastro dos Padrões'!$A$2:$V$921,CI$1,FALSE))</f>
        <v>0</v>
      </c>
    </row>
    <row r="9" spans="1:87" x14ac:dyDescent="0.3">
      <c r="A9" s="4">
        <v>4</v>
      </c>
      <c r="B9" s="10" t="str">
        <f>IF(VLOOKUP(ROUND(CONCATENATE($A9,B$2),0),'Cadastro dos Padrões'!$A$2:$V$921,B$1,FALSE)="","-",VLOOKUP(ROUND(CONCATENATE($A9,B$2),0),'Cadastro dos Padrões'!$A$2:$V$921,B$1,FALSE))</f>
        <v>E.MS.PMR-002</v>
      </c>
      <c r="C9" s="10" t="str">
        <f>IF(VLOOKUP(ROUND(CONCATENATE($A9,C$2),0),'Cadastro dos Padrões'!$A$2:$V$921,C$1,FALSE)="","-",VLOOKUP(ROUND(CONCATENATE($A9,C$2),0),'Cadastro dos Padrões'!$A$2:$V$921,C$1,FALSE))</f>
        <v>Balança Eletrônica</v>
      </c>
      <c r="D9" s="10" t="str">
        <f>IF(VLOOKUP(ROUND(CONCATENATE($A9,D$2),0),'Cadastro dos Padrões'!$A$2:$V$921,D$1,FALSE)="","-",VLOOKUP(ROUND(CONCATENATE($A9,D$2),0),'Cadastro dos Padrões'!$A$2:$V$921,D$1,FALSE))</f>
        <v>Elus</v>
      </c>
      <c r="E9" s="10" t="str">
        <f>IF(VLOOKUP(ROUND(CONCATENATE($A9,E$2),0),'Cadastro dos Padrões'!$A$2:$V$921,E$1,FALSE)="","-",VLOOKUP(ROUND(CONCATENATE($A9,E$2),0),'Cadastro dos Padrões'!$A$2:$V$921,E$1,FALSE))</f>
        <v>RBC - CAL 0439</v>
      </c>
      <c r="F9" s="10" t="str">
        <f>IF(VLOOKUP(ROUND(CONCATENATE($A9,F$2),0),'Cadastro dos Padrões'!$A$2:$V$921,F$1,FALSE)="","-",VLOOKUP(ROUND(CONCATENATE($A9,F$2),0),'Cadastro dos Padrões'!$A$2:$V$921,F$1,FALSE))</f>
        <v>E0019/26</v>
      </c>
      <c r="G9" s="27">
        <f>IF(VLOOKUP(ROUND(CONCATENATE($A9,G$2),0),'Cadastro dos Padrões'!$A$2:$V$921,G$1,FALSE)="","-",VLOOKUP(ROUND(CONCATENATE($A9,G$2),0),'Cadastro dos Padrões'!$A$2:$V$921,G$1,FALSE))</f>
        <v>46031</v>
      </c>
      <c r="H9" s="29">
        <f>IF(VLOOKUP(ROUND(CONCATENATE($A9,H$2),0),'Cadastro dos Padrões'!$A$2:$V$921,H$1,FALSE)="","-",VLOOKUP(ROUND(CONCATENATE($A9,H$2),0),'Cadastro dos Padrões'!$A$2:$V$921,H$1,FALSE))</f>
        <v>46417</v>
      </c>
      <c r="I9" s="10" t="str">
        <f>IF(VLOOKUP(ROUND(CONCATENATE($A9,I$2),0),'Cadastro dos Padrões'!$A$2:$V$921,I$1,FALSE)="","-",VLOOKUP(ROUND(CONCATENATE($A9,I$2),0),'Cadastro dos Padrões'!$A$2:$V$921,I$1,FALSE))</f>
        <v>g</v>
      </c>
      <c r="J9" s="10">
        <f>IF(VLOOKUP(ROUND(CONCATENATE($A9,J$2),0),'Cadastro dos Padrões'!$A$2:$V$921,J$1,FALSE)="","-",VLOOKUP(ROUND(CONCATENATE($A9,J$2),0),'Cadastro dos Padrões'!$A$2:$V$921,J$1,FALSE))</f>
        <v>20</v>
      </c>
      <c r="K9" s="10">
        <f>IF(VLOOKUP(ROUND(CONCATENATE($A9,K$2),0),'Cadastro dos Padrões'!$A$2:$V$921,K$1,FALSE)="","-",VLOOKUP(ROUND(CONCATENATE($A9,K$2),0),'Cadastro dos Padrões'!$A$2:$V$921,K$1,FALSE))</f>
        <v>30000</v>
      </c>
      <c r="L9" s="10">
        <f>IF(VLOOKUP(ROUND(CONCATENATE($A9,L$2),0),'Cadastro dos Padrões'!$A$2:$V$921,L$1,FALSE)="","-",VLOOKUP(ROUND(CONCATENATE($A9,L$2),0),'Cadastro dos Padrões'!$A$2:$V$921,L$1,FALSE))</f>
        <v>0.1</v>
      </c>
      <c r="M9" s="10">
        <f>IF(VLOOKUP(ROUND(CONCATENATE($A9,M$2),0),'Cadastro dos Padrões'!$A$2:$V$921,M$1,FALSE)="","-",VLOOKUP(ROUND(CONCATENATE($A9,M$2),0),'Cadastro dos Padrões'!$A$2:$V$921,M$1,FALSE))</f>
        <v>0.2000000000007276</v>
      </c>
      <c r="N9" s="10">
        <f>IF(VLOOKUP(ROUND(CONCATENATE($A9,N$2),0),'Cadastro dos Padrões'!$A$2:$V$921,N$1,FALSE)="","-",VLOOKUP(ROUND(CONCATENATE($A9,N$2),0),'Cadastro dos Padrões'!$A$2:$V$921,N$1,FALSE))</f>
        <v>0.3</v>
      </c>
      <c r="O9" s="10">
        <f>IF(VLOOKUP(ROUND(CONCATENATE($A9,O$2),0),'Cadastro dos Padrões'!$A$2:$V$921,O$1,FALSE)="","-",VLOOKUP(ROUND(CONCATENATE($A9,O$2),0),'Cadastro dos Padrões'!$A$2:$V$921,O$1,FALSE))</f>
        <v>1.2000000000007276</v>
      </c>
      <c r="P9" s="28">
        <f>IF(VLOOKUP(ROUND(CONCATENATE($A9,P$2),0),'Cadastro dos Padrões'!$A$2:$V$921,P$1,FALSE)="","-",VLOOKUP(ROUND(CONCATENATE($A9,P$2),0),'Cadastro dos Padrões'!$A$2:$V$921,P$1,FALSE))</f>
        <v>1.000000000003638E-3</v>
      </c>
      <c r="Q9" s="10">
        <f>IF($B9="-","-",VLOOKUP(ROUND(CONCATENATE($A9,Q$2),0),'Cadastro dos Padrões'!$A$2:$V$921,Q$1,FALSE))</f>
        <v>1.6848098131049483E-2</v>
      </c>
      <c r="R9" s="10">
        <f>IF($B9="-","-",VLOOKUP(ROUND(CONCATENATE($A9,R$2),0),'Cadastro dos Padrões'!$A$2:$V$921,R$1,FALSE))</f>
        <v>5</v>
      </c>
      <c r="S9" s="10">
        <f>IF($B9="-","-",VLOOKUP(ROUND(CONCATENATE($A9,S$2),0),'Cadastro dos Padrões'!$A$2:$V$921,S$1,FALSE))</f>
        <v>0</v>
      </c>
      <c r="T9" s="10">
        <f>IF($B9="-","-",VLOOKUP(ROUND(CONCATENATE($A9,T$2),0),'Cadastro dos Padrões'!$A$2:$V$921,T$1,FALSE))</f>
        <v>0</v>
      </c>
      <c r="U9" s="10">
        <f>IF($B9="-","-",VLOOKUP(ROUND(CONCATENATE($A9,U$2),0),'Cadastro dos Padrões'!$A$2:$V$921,U$1,FALSE))</f>
        <v>0</v>
      </c>
      <c r="V9" s="10">
        <f>IF($B9="-","-",VLOOKUP(ROUND(CONCATENATE($A9,V$2),0),'Cadastro dos Padrões'!$A$2:$V$921,V$1,FALSE))</f>
        <v>-7.2974851831902944E-23</v>
      </c>
      <c r="W9" s="10">
        <f>IF($B9="-","-",VLOOKUP(ROUND(CONCATENATE($A9,W$2),0),'Cadastro dos Padrões'!$A$2:$V$921,W$1,FALSE))</f>
        <v>6.6650732363596578E-18</v>
      </c>
      <c r="X9" s="10">
        <f>IF($B9="-","-",VLOOKUP(ROUND(CONCATENATE($A9,X$2),0),'Cadastro dos Padrões'!$A$2:$V$921,X$1,FALSE))</f>
        <v>-2.5448840515727437E-13</v>
      </c>
      <c r="Y9" s="10">
        <f>IF($B9="-","-",VLOOKUP(ROUND(CONCATENATE($A9,Y$2),0),'Cadastro dos Padrões'!$A$2:$V$921,Y$1,FALSE))</f>
        <v>4.6578151843851313E-9</v>
      </c>
      <c r="Z9" s="10">
        <f>IF($B9="-","-",VLOOKUP(ROUND(CONCATENATE($A9,Z$2),0),'Cadastro dos Padrões'!$A$2:$V$921,Z$1,FALSE))</f>
        <v>0.9999614680477944</v>
      </c>
      <c r="AA9" s="10">
        <f>IF($B9="-","-",VLOOKUP(ROUND(CONCATENATE($A9,AA$2),0),'Cadastro dos Padrões'!$A$2:$V$921,AA$1,FALSE))</f>
        <v>9.7308650930569285E-3</v>
      </c>
      <c r="AB9" s="10">
        <f>IF(VLOOKUP(ROUND(CONCATENATE($A9,AB$2),0),'Cadastro dos Padrões'!$A$2:$V$921,AB$1,FALSE)="","-",VLOOKUP(ROUND(CONCATENATE($A9,AB$2),0),'Cadastro dos Padrões'!$A$2:$V$921,AB$1,FALSE))</f>
        <v>20</v>
      </c>
      <c r="AC9" s="10">
        <f>IF(VLOOKUP(ROUND(CONCATENATE($A9,AC$2),0),'Cadastro dos Padrões'!$A$2:$V$921,AC$1,FALSE)="","-",VLOOKUP(ROUND(CONCATENATE($A9,AC$2),0),'Cadastro dos Padrões'!$A$2:$V$921,AC$1,FALSE))</f>
        <v>0.2</v>
      </c>
      <c r="AD9" s="10">
        <f>IF(VLOOKUP(ROUND(CONCATENATE($A9,AD$2),0),'Cadastro dos Padrões'!$A$2:$V$921,AD$1,FALSE)="","-",VLOOKUP(ROUND(CONCATENATE($A9,AD$2),0),'Cadastro dos Padrões'!$A$2:$V$921,AD$1,FALSE))</f>
        <v>2</v>
      </c>
      <c r="AE9" s="10">
        <f>IF(VLOOKUP(ROUND(CONCATENATE($A9,AE$2),0),'Cadastro dos Padrões'!$A$2:$V$921,AE$1,FALSE)="","-",VLOOKUP(ROUND(CONCATENATE($A9,AE$2),0),'Cadastro dos Padrões'!$A$2:$V$921,AE$1,FALSE))</f>
        <v>1000000</v>
      </c>
      <c r="AF9" s="10">
        <f>IF(VLOOKUP(ROUND(CONCATENATE($A9,AF$2),0),'Cadastro dos Padrões'!$A$2:$V$921,AF$1,FALSE)="","-",VLOOKUP(ROUND(CONCATENATE($A9,AF$2),0),'Cadastro dos Padrões'!$A$2:$V$921,AF$1,FALSE))</f>
        <v>600</v>
      </c>
      <c r="AG9" s="10">
        <f>IF(VLOOKUP(ROUND(CONCATENATE($A9,AG$2),0),'Cadastro dos Padrões'!$A$2:$V$921,AG$1,FALSE)="","-",VLOOKUP(ROUND(CONCATENATE($A9,AG$2),0),'Cadastro dos Padrões'!$A$2:$V$921,AG$1,FALSE))</f>
        <v>0.2</v>
      </c>
      <c r="AH9" s="10">
        <f>IF(VLOOKUP(ROUND(CONCATENATE($A9,AH$2),0),'Cadastro dos Padrões'!$A$2:$V$921,AH$1,FALSE)="","-",VLOOKUP(ROUND(CONCATENATE($A9,AH$2),0),'Cadastro dos Padrões'!$A$2:$V$921,AH$1,FALSE))</f>
        <v>2</v>
      </c>
      <c r="AI9" s="10">
        <f>IF(VLOOKUP(ROUND(CONCATENATE($A9,AI$2),0),'Cadastro dos Padrões'!$A$2:$V$921,AI$1,FALSE)="","-",VLOOKUP(ROUND(CONCATENATE($A9,AI$2),0),'Cadastro dos Padrões'!$A$2:$V$921,AI$1,FALSE))</f>
        <v>1000000</v>
      </c>
      <c r="AJ9" s="10">
        <f>IF(VLOOKUP(ROUND(CONCATENATE($A9,AJ$2),0),'Cadastro dos Padrões'!$A$2:$V$921,AJ$1,FALSE)="","-",VLOOKUP(ROUND(CONCATENATE($A9,AJ$2),0),'Cadastro dos Padrões'!$A$2:$V$921,AJ$1,FALSE))</f>
        <v>5000</v>
      </c>
      <c r="AK9" s="10">
        <f>IF(VLOOKUP(ROUND(CONCATENATE($A9,AK$2),0),'Cadastro dos Padrões'!$A$2:$V$921,AK$1,FALSE)="","-",VLOOKUP(ROUND(CONCATENATE($A9,AK$2),0),'Cadastro dos Padrões'!$A$2:$V$921,AK$1,FALSE))</f>
        <v>0.2</v>
      </c>
      <c r="AL9" s="10">
        <f>IF(VLOOKUP(ROUND(CONCATENATE($A9,AL$2),0),'Cadastro dos Padrões'!$A$2:$V$921,AL$1,FALSE)="","-",VLOOKUP(ROUND(CONCATENATE($A9,AL$2),0),'Cadastro dos Padrões'!$A$2:$V$921,AL$1,FALSE))</f>
        <v>2.02</v>
      </c>
      <c r="AM9" s="10">
        <f>IF(VLOOKUP(ROUND(CONCATENATE($A9,AM$2),0),'Cadastro dos Padrões'!$A$2:$V$921,AM$1,FALSE)="","-",VLOOKUP(ROUND(CONCATENATE($A9,AM$2),0),'Cadastro dos Padrões'!$A$2:$V$921,AM$1,FALSE))</f>
        <v>102</v>
      </c>
      <c r="AN9" s="10">
        <f>IF(VLOOKUP(ROUND(CONCATENATE($A9,AN$2),0),'Cadastro dos Padrões'!$A$2:$V$921,AN$1,FALSE)="","-",VLOOKUP(ROUND(CONCATENATE($A9,AN$2),0),'Cadastro dos Padrões'!$A$2:$V$921,AN$1,FALSE))</f>
        <v>10000</v>
      </c>
      <c r="AO9" s="10">
        <f>IF(VLOOKUP(ROUND(CONCATENATE($A9,AO$2),0),'Cadastro dos Padrões'!$A$2:$V$921,AO$1,FALSE)="","-",VLOOKUP(ROUND(CONCATENATE($A9,AO$2),0),'Cadastro dos Padrões'!$A$2:$V$921,AO$1,FALSE))</f>
        <v>0.2</v>
      </c>
      <c r="AP9" s="10">
        <f>IF(VLOOKUP(ROUND(CONCATENATE($A9,AP$2),0),'Cadastro dos Padrões'!$A$2:$V$921,AP$1,FALSE)="","-",VLOOKUP(ROUND(CONCATENATE($A9,AP$2),0),'Cadastro dos Padrões'!$A$2:$V$921,AP$1,FALSE))</f>
        <v>2</v>
      </c>
      <c r="AQ9" s="10">
        <f>IF(VLOOKUP(ROUND(CONCATENATE($A9,AQ$2),0),'Cadastro dos Padrões'!$A$2:$V$921,AQ$1,FALSE)="","-",VLOOKUP(ROUND(CONCATENATE($A9,AQ$2),0),'Cadastro dos Padrões'!$A$2:$V$921,AQ$1,FALSE))</f>
        <v>1000000</v>
      </c>
      <c r="AR9" s="10">
        <f>IF(VLOOKUP(ROUND(CONCATENATE($A9,AR$2),0),'Cadastro dos Padrões'!$A$2:$V$921,AR$1,FALSE)="","-",VLOOKUP(ROUND(CONCATENATE($A9,AR$2),0),'Cadastro dos Padrões'!$A$2:$V$921,AR$1,FALSE))</f>
        <v>15000</v>
      </c>
      <c r="AS9" s="10">
        <f>IF(VLOOKUP(ROUND(CONCATENATE($A9,AS$2),0),'Cadastro dos Padrões'!$A$2:$V$921,AS$1,FALSE)="","-",VLOOKUP(ROUND(CONCATENATE($A9,AS$2),0),'Cadastro dos Padrões'!$A$2:$V$921,AS$1,FALSE))</f>
        <v>0.2</v>
      </c>
      <c r="AT9" s="10">
        <f>IF(VLOOKUP(ROUND(CONCATENATE($A9,AT$2),0),'Cadastro dos Padrões'!$A$2:$V$921,AT$1,FALSE)="","-",VLOOKUP(ROUND(CONCATENATE($A9,AT$2),0),'Cadastro dos Padrões'!$A$2:$V$921,AT$1,FALSE))</f>
        <v>2</v>
      </c>
      <c r="AU9" s="10">
        <f>IF(VLOOKUP(ROUND(CONCATENATE($A9,AU$2),0),'Cadastro dos Padrões'!$A$2:$V$921,AU$1,FALSE)="","-",VLOOKUP(ROUND(CONCATENATE($A9,AU$2),0),'Cadastro dos Padrões'!$A$2:$V$921,AU$1,FALSE))</f>
        <v>1000000</v>
      </c>
      <c r="AV9" s="10">
        <f>IF(VLOOKUP(ROUND(CONCATENATE($A9,AV$2),0),'Cadastro dos Padrões'!$A$2:$V$921,AV$1,FALSE)="","-",VLOOKUP(ROUND(CONCATENATE($A9,AV$2),0),'Cadastro dos Padrões'!$A$2:$V$921,AV$1,FALSE))</f>
        <v>20000</v>
      </c>
      <c r="AW9" s="10">
        <f>IF(VLOOKUP(ROUND(CONCATENATE($A9,AW$2),0),'Cadastro dos Padrões'!$A$2:$V$921,AW$1,FALSE)="","-",VLOOKUP(ROUND(CONCATENATE($A9,AW$2),0),'Cadastro dos Padrões'!$A$2:$V$921,AW$1,FALSE))</f>
        <v>0.3</v>
      </c>
      <c r="AX9" s="10">
        <f>IF(VLOOKUP(ROUND(CONCATENATE($A9,AX$2),0),'Cadastro dos Padrões'!$A$2:$V$921,AX$1,FALSE)="","-",VLOOKUP(ROUND(CONCATENATE($A9,AX$2),0),'Cadastro dos Padrões'!$A$2:$V$921,AX$1,FALSE))</f>
        <v>2.0099999999999998</v>
      </c>
      <c r="AY9" s="10">
        <f>IF(VLOOKUP(ROUND(CONCATENATE($A9,AY$2),0),'Cadastro dos Padrões'!$A$2:$V$921,AY$1,FALSE)="","-",VLOOKUP(ROUND(CONCATENATE($A9,AY$2),0),'Cadastro dos Padrões'!$A$2:$V$921,AY$1,FALSE))</f>
        <v>279</v>
      </c>
      <c r="AZ9" s="10">
        <f>IF(VLOOKUP(ROUND(CONCATENATE($A9,AZ$2),0),'Cadastro dos Padrões'!$A$2:$V$921,AZ$1,FALSE)="","-",VLOOKUP(ROUND(CONCATENATE($A9,AZ$2),0),'Cadastro dos Padrões'!$A$2:$V$921,AZ$1,FALSE))</f>
        <v>30000</v>
      </c>
      <c r="BA9" s="10">
        <f>IF(VLOOKUP(ROUND(CONCATENATE($A9,BA$2),0),'Cadastro dos Padrões'!$A$2:$V$921,BA$1,FALSE)="","-",VLOOKUP(ROUND(CONCATENATE($A9,BA$2),0),'Cadastro dos Padrões'!$A$2:$V$921,BA$1,FALSE))</f>
        <v>0.3</v>
      </c>
      <c r="BB9" s="10">
        <f>IF(VLOOKUP(ROUND(CONCATENATE($A9,BB$2),0),'Cadastro dos Padrões'!$A$2:$V$921,BB$1,FALSE)="","-",VLOOKUP(ROUND(CONCATENATE($A9,BB$2),0),'Cadastro dos Padrões'!$A$2:$V$921,BB$1,FALSE))</f>
        <v>2.0099999999999998</v>
      </c>
      <c r="BC9" s="10">
        <f>IF(VLOOKUP(ROUND(CONCATENATE($A9,BC$2),0),'Cadastro dos Padrões'!$A$2:$V$921,BC$1,FALSE)="","-",VLOOKUP(ROUND(CONCATENATE($A9,BC$2),0),'Cadastro dos Padrões'!$A$2:$V$921,BC$1,FALSE))</f>
        <v>433</v>
      </c>
      <c r="BD9" s="10" t="str">
        <f>IF(VLOOKUP(ROUND(CONCATENATE($A9,BD$2),0),'Cadastro dos Padrões'!$A$2:$V$921,BD$1,FALSE)="","-",VLOOKUP(ROUND(CONCATENATE($A9,BD$2),0),'Cadastro dos Padrões'!$A$2:$V$921,BD$1,FALSE))</f>
        <v>-</v>
      </c>
      <c r="BE9" s="10" t="str">
        <f>IF(VLOOKUP(ROUND(CONCATENATE($A9,BE$2),0),'Cadastro dos Padrões'!$A$2:$V$921,BE$1,FALSE)="","-",VLOOKUP(ROUND(CONCATENATE($A9,BE$2),0),'Cadastro dos Padrões'!$A$2:$V$921,BE$1,FALSE))</f>
        <v>-</v>
      </c>
      <c r="BF9" s="10" t="str">
        <f>IF(VLOOKUP(ROUND(CONCATENATE($A9,BF$2),0),'Cadastro dos Padrões'!$A$2:$V$921,BF$1,FALSE)="","-",VLOOKUP(ROUND(CONCATENATE($A9,BF$2),0),'Cadastro dos Padrões'!$A$2:$V$921,BF$1,FALSE))</f>
        <v>-</v>
      </c>
      <c r="BG9" s="10" t="str">
        <f>IF(VLOOKUP(ROUND(CONCATENATE($A9,BG$2),0),'Cadastro dos Padrões'!$A$2:$V$921,BG$1,FALSE)="","-",VLOOKUP(ROUND(CONCATENATE($A9,BG$2),0),'Cadastro dos Padrões'!$A$2:$V$921,BG$1,FALSE))</f>
        <v>-</v>
      </c>
      <c r="BH9" s="10" t="str">
        <f>IF(VLOOKUP(ROUND(CONCATENATE($A9,BH$2),0),'Cadastro dos Padrões'!$A$2:$V$921,BH$1,FALSE)="","-",VLOOKUP(ROUND(CONCATENATE($A9,BH$2),0),'Cadastro dos Padrões'!$A$2:$V$921,BH$1,FALSE))</f>
        <v>-</v>
      </c>
      <c r="BI9" s="10" t="str">
        <f>IF(VLOOKUP(ROUND(CONCATENATE($A9,BI$2),0),'Cadastro dos Padrões'!$A$2:$V$921,BI$1,FALSE)="","-",VLOOKUP(ROUND(CONCATENATE($A9,BI$2),0),'Cadastro dos Padrões'!$A$2:$V$921,BI$1,FALSE))</f>
        <v>-</v>
      </c>
      <c r="BJ9" s="10" t="str">
        <f>IF(VLOOKUP(ROUND(CONCATENATE($A9,BJ$2),0),'Cadastro dos Padrões'!$A$2:$V$921,BJ$1,FALSE)="","-",VLOOKUP(ROUND(CONCATENATE($A9,BJ$2),0),'Cadastro dos Padrões'!$A$2:$V$921,BJ$1,FALSE))</f>
        <v>-</v>
      </c>
      <c r="BK9" s="10" t="str">
        <f>IF(VLOOKUP(ROUND(CONCATENATE($A9,BK$2),0),'Cadastro dos Padrões'!$A$2:$V$921,BK$1,FALSE)="","-",VLOOKUP(ROUND(CONCATENATE($A9,BK$2),0),'Cadastro dos Padrões'!$A$2:$V$921,BK$1,FALSE))</f>
        <v>-</v>
      </c>
      <c r="BL9" s="10" t="str">
        <f>IF(VLOOKUP(ROUND(CONCATENATE($A9,BL$2),0),'Cadastro dos Padrões'!$A$2:$V$921,BL$1,FALSE)="","-",VLOOKUP(ROUND(CONCATENATE($A9,BL$2),0),'Cadastro dos Padrões'!$A$2:$V$921,BL$1,FALSE))</f>
        <v>-</v>
      </c>
      <c r="BM9" s="10" t="str">
        <f>IF(VLOOKUP(ROUND(CONCATENATE($A9,BM$2),0),'Cadastro dos Padrões'!$A$2:$V$921,BM$1,FALSE)="","-",VLOOKUP(ROUND(CONCATENATE($A9,BM$2),0),'Cadastro dos Padrões'!$A$2:$V$921,BM$1,FALSE))</f>
        <v>-</v>
      </c>
      <c r="BN9" s="10" t="str">
        <f>IF(VLOOKUP(ROUND(CONCATENATE($A9,BN$2),0),'Cadastro dos Padrões'!$A$2:$V$921,BN$1,FALSE)="","-",VLOOKUP(ROUND(CONCATENATE($A9,BN$2),0),'Cadastro dos Padrões'!$A$2:$V$921,BN$1,FALSE))</f>
        <v>-</v>
      </c>
      <c r="BO9" s="10" t="str">
        <f>IF(VLOOKUP(ROUND(CONCATENATE($A9,BO$2),0),'Cadastro dos Padrões'!$A$2:$V$921,BO$1,FALSE)="","-",VLOOKUP(ROUND(CONCATENATE($A9,BO$2),0),'Cadastro dos Padrões'!$A$2:$V$921,BO$1,FALSE))</f>
        <v>-</v>
      </c>
      <c r="BP9" s="10">
        <f>IF(VLOOKUP(ROUND(CONCATENATE($A9,BP$2),0),'Cadastro dos Padrões'!$A$2:$V$921,BP$1,FALSE)="","-",VLOOKUP(ROUND(CONCATENATE($A9,BP$2),0),'Cadastro dos Padrões'!$A$2:$V$921,BP$1,FALSE))</f>
        <v>0</v>
      </c>
      <c r="BQ9" s="10">
        <f>IF(VLOOKUP(ROUND(CONCATENATE($A9,BQ$2),0),'Cadastro dos Padrões'!$A$2:$V$921,BQ$1,FALSE)="","-",VLOOKUP(ROUND(CONCATENATE($A9,BQ$2),0),'Cadastro dos Padrões'!$A$2:$V$921,BQ$1,FALSE))</f>
        <v>0</v>
      </c>
      <c r="BR9" s="10">
        <f>IF(VLOOKUP(ROUND(CONCATENATE($A9,BR$2),0),'Cadastro dos Padrões'!$A$2:$V$921,BR$1,FALSE)="","-",VLOOKUP(ROUND(CONCATENATE($A9,BR$2),0),'Cadastro dos Padrões'!$A$2:$V$921,BR$1,FALSE))</f>
        <v>0.1000000000003638</v>
      </c>
      <c r="BS9" s="10">
        <f>IF(VLOOKUP(ROUND(CONCATENATE($A9,BS$2),0),'Cadastro dos Padrões'!$A$2:$V$921,BS$1,FALSE)="","-",VLOOKUP(ROUND(CONCATENATE($A9,BS$2),0),'Cadastro dos Padrões'!$A$2:$V$921,BS$1,FALSE))</f>
        <v>0.1000000000003638</v>
      </c>
      <c r="BT9" s="10">
        <f>IF(VLOOKUP(ROUND(CONCATENATE($A9,BT$2),0),'Cadastro dos Padrões'!$A$2:$V$921,BT$1,FALSE)="","-",VLOOKUP(ROUND(CONCATENATE($A9,BT$2),0),'Cadastro dos Padrões'!$A$2:$V$921,BT$1,FALSE))</f>
        <v>0.1000000000003638</v>
      </c>
      <c r="BU9" s="10">
        <f>IF(VLOOKUP(ROUND(CONCATENATE($A9,BU$2),0),'Cadastro dos Padrões'!$A$2:$V$921,BU$1,FALSE)="","-",VLOOKUP(ROUND(CONCATENATE($A9,BU$2),0),'Cadastro dos Padrões'!$A$2:$V$921,BU$1,FALSE))</f>
        <v>9.9999999998544808E-2</v>
      </c>
      <c r="BV9" s="10">
        <f>IF(VLOOKUP(ROUND(CONCATENATE($A9,BV$2),0),'Cadastro dos Padrões'!$A$2:$V$921,BV$1,FALSE)="","-",VLOOKUP(ROUND(CONCATENATE($A9,BV$2),0),'Cadastro dos Padrões'!$A$2:$V$921,BV$1,FALSE))</f>
        <v>0.2000000000007276</v>
      </c>
      <c r="BW9" s="10">
        <f>IF(VLOOKUP(ROUND(CONCATENATE($A9,BW$2),0),'Cadastro dos Padrões'!$A$2:$V$921,BW$1,FALSE)="","-",VLOOKUP(ROUND(CONCATENATE($A9,BW$2),0),'Cadastro dos Padrões'!$A$2:$V$921,BW$1,FALSE))</f>
        <v>0</v>
      </c>
      <c r="BX9" s="10">
        <f>IF(VLOOKUP(ROUND(CONCATENATE($A9,BX$2),0),'Cadastro dos Padrões'!$A$2:$V$921,BX$1,FALSE)="","-",VLOOKUP(ROUND(CONCATENATE($A9,BX$2),0),'Cadastro dos Padrões'!$A$2:$V$921,BX$1,FALSE))</f>
        <v>0</v>
      </c>
      <c r="BY9" s="10">
        <f>IF(VLOOKUP(ROUND(CONCATENATE($A9,BY$2),0),'Cadastro dos Padrões'!$A$2:$V$921,BY$1,FALSE)="","-",VLOOKUP(ROUND(CONCATENATE($A9,BY$2),0),'Cadastro dos Padrões'!$A$2:$V$921,BY$1,FALSE))</f>
        <v>0</v>
      </c>
      <c r="BZ9" s="10">
        <f>IF(VLOOKUP(ROUND(CONCATENATE($A9,BZ$2),0),'Cadastro dos Padrões'!$A$2:$V$921,BZ$1,FALSE)="","-",VLOOKUP(ROUND(CONCATENATE($A9,BZ$2),0),'Cadastro dos Padrões'!$A$2:$V$921,BZ$1,FALSE))</f>
        <v>0</v>
      </c>
      <c r="CA9" s="10">
        <f>IF(VLOOKUP(ROUND(CONCATENATE($A9,CA$2),0),'Cadastro dos Padrões'!$A$2:$V$921,CA$1,FALSE)="","-",VLOOKUP(ROUND(CONCATENATE($A9,CA$2),0),'Cadastro dos Padrões'!$A$2:$V$921,CA$1,FALSE))</f>
        <v>-0.10000000000002274</v>
      </c>
      <c r="CB9" s="10">
        <f>IF(VLOOKUP(ROUND(CONCATENATE($A9,CB$2),0),'Cadastro dos Padrões'!$A$2:$V$921,CB$1,FALSE)="","-",VLOOKUP(ROUND(CONCATENATE($A9,CB$2),0),'Cadastro dos Padrões'!$A$2:$V$921,CB$1,FALSE))</f>
        <v>-0.5</v>
      </c>
      <c r="CC9" s="10">
        <f>IF(VLOOKUP(ROUND(CONCATENATE($A9,CC$2),0),'Cadastro dos Padrões'!$A$2:$V$921,CC$1,FALSE)="","-",VLOOKUP(ROUND(CONCATENATE($A9,CC$2),0),'Cadastro dos Padrões'!$A$2:$V$921,CC$1,FALSE))</f>
        <v>-0.7000000000007276</v>
      </c>
      <c r="CD9" s="10">
        <f>IF(VLOOKUP(ROUND(CONCATENATE($A9,CD$2),0),'Cadastro dos Padrões'!$A$2:$V$921,CD$1,FALSE)="","-",VLOOKUP(ROUND(CONCATENATE($A9,CD$2),0),'Cadastro dos Padrões'!$A$2:$V$921,CD$1,FALSE))</f>
        <v>-0.8999999999996362</v>
      </c>
      <c r="CE9" s="10">
        <f>IF(VLOOKUP(ROUND(CONCATENATE($A9,CE$2),0),'Cadastro dos Padrões'!$A$2:$V$921,CE$1,FALSE)="","-",VLOOKUP(ROUND(CONCATENATE($A9,CE$2),0),'Cadastro dos Padrões'!$A$2:$V$921,CE$1,FALSE))</f>
        <v>-0.89999999999781721</v>
      </c>
      <c r="CF9" s="10">
        <f>IF(VLOOKUP(ROUND(CONCATENATE($A9,CF$2),0),'Cadastro dos Padrões'!$A$2:$V$921,CF$1,FALSE)="","-",VLOOKUP(ROUND(CONCATENATE($A9,CF$2),0),'Cadastro dos Padrões'!$A$2:$V$921,CF$1,FALSE))</f>
        <v>-1.2000000000007276</v>
      </c>
      <c r="CG9" s="10">
        <f>IF(VLOOKUP(ROUND(CONCATENATE($A9,CG$2),0),'Cadastro dos Padrões'!$A$2:$V$921,CG$1,FALSE)="","-",VLOOKUP(ROUND(CONCATENATE($A9,CG$2),0),'Cadastro dos Padrões'!$A$2:$V$921,CG$1,FALSE))</f>
        <v>0</v>
      </c>
      <c r="CH9" s="10">
        <f>IF(VLOOKUP(ROUND(CONCATENATE($A9,CH$2),0),'Cadastro dos Padrões'!$A$2:$V$921,CH$1,FALSE)="","-",VLOOKUP(ROUND(CONCATENATE($A9,CH$2),0),'Cadastro dos Padrões'!$A$2:$V$921,CH$1,FALSE))</f>
        <v>0</v>
      </c>
      <c r="CI9" s="10">
        <f>IF(VLOOKUP(ROUND(CONCATENATE($A9,CI$2),0),'Cadastro dos Padrões'!$A$2:$V$921,CI$1,FALSE)="","-",VLOOKUP(ROUND(CONCATENATE($A9,CI$2),0),'Cadastro dos Padrões'!$A$2:$V$921,CI$1,FALSE))</f>
        <v>0</v>
      </c>
    </row>
    <row r="10" spans="1:87" x14ac:dyDescent="0.3">
      <c r="A10" s="4">
        <v>5</v>
      </c>
      <c r="B10" s="10" t="str">
        <f>IF(VLOOKUP(ROUND(CONCATENATE($A10,B$2),0),'Cadastro dos Padrões'!$A$2:$V$921,B$1,FALSE)="","-",VLOOKUP(ROUND(CONCATENATE($A10,B$2),0),'Cadastro dos Padrões'!$A$2:$V$921,B$1,FALSE))</f>
        <v>E.MS.LV-001</v>
      </c>
      <c r="C10" s="10" t="str">
        <f>IF(VLOOKUP(ROUND(CONCATENATE($A10,C$2),0),'Cadastro dos Padrões'!$A$2:$V$921,C$1,FALSE)="","-",VLOOKUP(ROUND(CONCATENATE($A10,C$2),0),'Cadastro dos Padrões'!$A$2:$V$921,C$1,FALSE))</f>
        <v>Balança Eletrônica</v>
      </c>
      <c r="D10" s="10" t="str">
        <f>IF(VLOOKUP(ROUND(CONCATENATE($A10,D$2),0),'Cadastro dos Padrões'!$A$2:$V$921,D$1,FALSE)="","-",VLOOKUP(ROUND(CONCATENATE($A10,D$2),0),'Cadastro dos Padrões'!$A$2:$V$921,D$1,FALSE))</f>
        <v>Metrolab</v>
      </c>
      <c r="E10" s="10" t="str">
        <f>IF(VLOOKUP(ROUND(CONCATENATE($A10,E$2),0),'Cadastro dos Padrões'!$A$2:$V$921,E$1,FALSE)="","-",VLOOKUP(ROUND(CONCATENATE($A10,E$2),0),'Cadastro dos Padrões'!$A$2:$V$921,E$1,FALSE))</f>
        <v>RBC - CAL 0215</v>
      </c>
      <c r="F10" s="10" t="str">
        <f>IF(VLOOKUP(ROUND(CONCATENATE($A10,F$2),0),'Cadastro dos Padrões'!$A$2:$V$921,F$1,FALSE)="","-",VLOOKUP(ROUND(CONCATENATE($A10,F$2),0),'Cadastro dos Padrões'!$A$2:$V$921,F$1,FALSE))</f>
        <v>M0075/25</v>
      </c>
      <c r="G10" s="27">
        <f>IF(VLOOKUP(ROUND(CONCATENATE($A10,G$2),0),'Cadastro dos Padrões'!$A$2:$V$921,G$1,FALSE)="","-",VLOOKUP(ROUND(CONCATENATE($A10,G$2),0),'Cadastro dos Padrões'!$A$2:$V$921,G$1,FALSE))</f>
        <v>45876</v>
      </c>
      <c r="H10" s="29">
        <f>IF(VLOOKUP(ROUND(CONCATENATE($A10,H$2),0),'Cadastro dos Padrões'!$A$2:$V$921,H$1,FALSE)="","-",VLOOKUP(ROUND(CONCATENATE($A10,H$2),0),'Cadastro dos Padrões'!$A$2:$V$921,H$1,FALSE))</f>
        <v>46264</v>
      </c>
      <c r="I10" s="10" t="str">
        <f>IF(VLOOKUP(ROUND(CONCATENATE($A10,I$2),0),'Cadastro dos Padrões'!$A$2:$V$921,I$1,FALSE)="","-",VLOOKUP(ROUND(CONCATENATE($A10,I$2),0),'Cadastro dos Padrões'!$A$2:$V$921,I$1,FALSE))</f>
        <v>kg</v>
      </c>
      <c r="J10" s="10">
        <f>IF(VLOOKUP(ROUND(CONCATENATE($A10,J$2),0),'Cadastro dos Padrões'!$A$2:$V$921,J$1,FALSE)="","-",VLOOKUP(ROUND(CONCATENATE($A10,J$2),0),'Cadastro dos Padrões'!$A$2:$V$921,J$1,FALSE))</f>
        <v>2</v>
      </c>
      <c r="K10" s="10">
        <f>IF(VLOOKUP(ROUND(CONCATENATE($A10,K$2),0),'Cadastro dos Padrões'!$A$2:$V$921,K$1,FALSE)="","-",VLOOKUP(ROUND(CONCATENATE($A10,K$2),0),'Cadastro dos Padrões'!$A$2:$V$921,K$1,FALSE))</f>
        <v>2000</v>
      </c>
      <c r="L10" s="10">
        <f>IF(VLOOKUP(ROUND(CONCATENATE($A10,L$2),0),'Cadastro dos Padrões'!$A$2:$V$921,L$1,FALSE)="","-",VLOOKUP(ROUND(CONCATENATE($A10,L$2),0),'Cadastro dos Padrões'!$A$2:$V$921,L$1,FALSE))</f>
        <v>0.1</v>
      </c>
      <c r="M10" s="10">
        <f>IF(VLOOKUP(ROUND(CONCATENATE($A10,M$2),0),'Cadastro dos Padrões'!$A$2:$V$921,M$1,FALSE)="","-",VLOOKUP(ROUND(CONCATENATE($A10,M$2),0),'Cadastro dos Padrões'!$A$2:$V$921,M$1,FALSE))</f>
        <v>0</v>
      </c>
      <c r="N10" s="10">
        <f>IF(VLOOKUP(ROUND(CONCATENATE($A10,N$2),0),'Cadastro dos Padrões'!$A$2:$V$921,N$1,FALSE)="","-",VLOOKUP(ROUND(CONCATENATE($A10,N$2),0),'Cadastro dos Padrões'!$A$2:$V$921,N$1,FALSE))</f>
        <v>0.2</v>
      </c>
      <c r="O10" s="10">
        <f>IF(VLOOKUP(ROUND(CONCATENATE($A10,O$2),0),'Cadastro dos Padrões'!$A$2:$V$921,O$1,FALSE)="","-",VLOOKUP(ROUND(CONCATENATE($A10,O$2),0),'Cadastro dos Padrões'!$A$2:$V$921,O$1,FALSE))</f>
        <v>9.9999999999909051E-2</v>
      </c>
      <c r="P10" s="28">
        <f>IF(VLOOKUP(ROUND(CONCATENATE($A10,P$2),0),'Cadastro dos Padrões'!$A$2:$V$921,P$1,FALSE)="","-",VLOOKUP(ROUND(CONCATENATE($A10,P$2),0),'Cadastro dos Padrões'!$A$2:$V$921,P$1,FALSE))</f>
        <v>0</v>
      </c>
      <c r="Q10" s="10">
        <f>IF($B10="-","-",VLOOKUP(ROUND(CONCATENATE($A10,Q$2),0),'Cadastro dos Padrões'!$A$2:$V$921,Q$1,FALSE))</f>
        <v>3.5527136788005009E-15</v>
      </c>
      <c r="R10" s="10">
        <f>IF($B10="-","-",VLOOKUP(ROUND(CONCATENATE($A10,R$2),0),'Cadastro dos Padrões'!$A$2:$V$921,R$1,FALSE))</f>
        <v>5</v>
      </c>
      <c r="S10" s="10">
        <f>IF($B10="-","-",VLOOKUP(ROUND(CONCATENATE($A10,S$2),0),'Cadastro dos Padrões'!$A$2:$V$921,S$1,FALSE))</f>
        <v>0</v>
      </c>
      <c r="T10" s="10">
        <f>IF($B10="-","-",VLOOKUP(ROUND(CONCATENATE($A10,T$2),0),'Cadastro dos Padrões'!$A$2:$V$921,T$1,FALSE))</f>
        <v>0</v>
      </c>
      <c r="U10" s="10">
        <f>IF($B10="-","-",VLOOKUP(ROUND(CONCATENATE($A10,U$2),0),'Cadastro dos Padrões'!$A$2:$V$921,U$1,FALSE))</f>
        <v>0</v>
      </c>
      <c r="V10" s="10">
        <f>IF($B10="-","-",VLOOKUP(ROUND(CONCATENATE($A10,V$2),0),'Cadastro dos Padrões'!$A$2:$V$921,V$1,FALSE))</f>
        <v>-2.8908590285271261E-28</v>
      </c>
      <c r="W10" s="10">
        <f>IF($B10="-","-",VLOOKUP(ROUND(CONCATENATE($A10,W$2),0),'Cadastro dos Padrões'!$A$2:$V$921,W$1,FALSE))</f>
        <v>1.449314614905316E-24</v>
      </c>
      <c r="X10" s="10">
        <f>IF($B10="-","-",VLOOKUP(ROUND(CONCATENATE($A10,X$2),0),'Cadastro dos Padrões'!$A$2:$V$921,X$1,FALSE))</f>
        <v>-2.681199227547383E-21</v>
      </c>
      <c r="Y10" s="10">
        <f>IF($B10="-","-",VLOOKUP(ROUND(CONCATENATE($A10,Y$2),0),'Cadastro dos Padrões'!$A$2:$V$921,Y$1,FALSE))</f>
        <v>2.1455088288790807E-18</v>
      </c>
      <c r="Z10" s="10">
        <f>IF($B10="-","-",VLOOKUP(ROUND(CONCATENATE($A10,Z$2),0),'Cadastro dos Padrões'!$A$2:$V$921,Z$1,FALSE))</f>
        <v>0.99999999999999944</v>
      </c>
      <c r="AA10" s="10">
        <f>IF($B10="-","-",VLOOKUP(ROUND(CONCATENATE($A10,AA$2),0),'Cadastro dos Padrões'!$A$2:$V$921,AA$1,FALSE))</f>
        <v>3.797116544932212E-14</v>
      </c>
      <c r="AB10" s="10">
        <f>IF(VLOOKUP(ROUND(CONCATENATE($A10,AB$2),0),'Cadastro dos Padrões'!$A$2:$V$921,AB$1,FALSE)="","-",VLOOKUP(ROUND(CONCATENATE($A10,AB$2),0),'Cadastro dos Padrões'!$A$2:$V$921,AB$1,FALSE))</f>
        <v>2</v>
      </c>
      <c r="AC10" s="10">
        <f>IF(VLOOKUP(ROUND(CONCATENATE($A10,AC$2),0),'Cadastro dos Padrões'!$A$2:$V$921,AC$1,FALSE)="","-",VLOOKUP(ROUND(CONCATENATE($A10,AC$2),0),'Cadastro dos Padrões'!$A$2:$V$921,AC$1,FALSE))</f>
        <v>0.1</v>
      </c>
      <c r="AD10" s="10">
        <f>IF(VLOOKUP(ROUND(CONCATENATE($A10,AD$2),0),'Cadastro dos Padrões'!$A$2:$V$921,AD$1,FALSE)="","-",VLOOKUP(ROUND(CONCATENATE($A10,AD$2),0),'Cadastro dos Padrões'!$A$2:$V$921,AD$1,FALSE))</f>
        <v>2</v>
      </c>
      <c r="AE10" s="10">
        <f>IF(VLOOKUP(ROUND(CONCATENATE($A10,AE$2),0),'Cadastro dos Padrões'!$A$2:$V$921,AE$1,FALSE)="","-",VLOOKUP(ROUND(CONCATENATE($A10,AE$2),0),'Cadastro dos Padrões'!$A$2:$V$921,AE$1,FALSE))</f>
        <v>1000000</v>
      </c>
      <c r="AF10" s="10">
        <f>IF(VLOOKUP(ROUND(CONCATENATE($A10,AF$2),0),'Cadastro dos Padrões'!$A$2:$V$921,AF$1,FALSE)="","-",VLOOKUP(ROUND(CONCATENATE($A10,AF$2),0),'Cadastro dos Padrões'!$A$2:$V$921,AF$1,FALSE))</f>
        <v>10</v>
      </c>
      <c r="AG10" s="10">
        <f>IF(VLOOKUP(ROUND(CONCATENATE($A10,AG$2),0),'Cadastro dos Padrões'!$A$2:$V$921,AG$1,FALSE)="","-",VLOOKUP(ROUND(CONCATENATE($A10,AG$2),0),'Cadastro dos Padrões'!$A$2:$V$921,AG$1,FALSE))</f>
        <v>0.1</v>
      </c>
      <c r="AH10" s="10">
        <f>IF(VLOOKUP(ROUND(CONCATENATE($A10,AH$2),0),'Cadastro dos Padrões'!$A$2:$V$921,AH$1,FALSE)="","-",VLOOKUP(ROUND(CONCATENATE($A10,AH$2),0),'Cadastro dos Padrões'!$A$2:$V$921,AH$1,FALSE))</f>
        <v>2</v>
      </c>
      <c r="AI10" s="10">
        <f>IF(VLOOKUP(ROUND(CONCATENATE($A10,AI$2),0),'Cadastro dos Padrões'!$A$2:$V$921,AI$1,FALSE)="","-",VLOOKUP(ROUND(CONCATENATE($A10,AI$2),0),'Cadastro dos Padrões'!$A$2:$V$921,AI$1,FALSE))</f>
        <v>1000000</v>
      </c>
      <c r="AJ10" s="10">
        <f>IF(VLOOKUP(ROUND(CONCATENATE($A10,AJ$2),0),'Cadastro dos Padrões'!$A$2:$V$921,AJ$1,FALSE)="","-",VLOOKUP(ROUND(CONCATENATE($A10,AJ$2),0),'Cadastro dos Padrões'!$A$2:$V$921,AJ$1,FALSE))</f>
        <v>100</v>
      </c>
      <c r="AK10" s="10">
        <f>IF(VLOOKUP(ROUND(CONCATENATE($A10,AK$2),0),'Cadastro dos Padrões'!$A$2:$V$921,AK$1,FALSE)="","-",VLOOKUP(ROUND(CONCATENATE($A10,AK$2),0),'Cadastro dos Padrões'!$A$2:$V$921,AK$1,FALSE))</f>
        <v>0.1</v>
      </c>
      <c r="AL10" s="10">
        <f>IF(VLOOKUP(ROUND(CONCATENATE($A10,AL$2),0),'Cadastro dos Padrões'!$A$2:$V$921,AL$1,FALSE)="","-",VLOOKUP(ROUND(CONCATENATE($A10,AL$2),0),'Cadastro dos Padrões'!$A$2:$V$921,AL$1,FALSE))</f>
        <v>2</v>
      </c>
      <c r="AM10" s="10">
        <f>IF(VLOOKUP(ROUND(CONCATENATE($A10,AM$2),0),'Cadastro dos Padrões'!$A$2:$V$921,AM$1,FALSE)="","-",VLOOKUP(ROUND(CONCATENATE($A10,AM$2),0),'Cadastro dos Padrões'!$A$2:$V$921,AM$1,FALSE))</f>
        <v>1000000</v>
      </c>
      <c r="AN10" s="10">
        <f>IF(VLOOKUP(ROUND(CONCATENATE($A10,AN$2),0),'Cadastro dos Padrões'!$A$2:$V$921,AN$1,FALSE)="","-",VLOOKUP(ROUND(CONCATENATE($A10,AN$2),0),'Cadastro dos Padrões'!$A$2:$V$921,AN$1,FALSE))</f>
        <v>500</v>
      </c>
      <c r="AO10" s="10">
        <f>IF(VLOOKUP(ROUND(CONCATENATE($A10,AO$2),0),'Cadastro dos Padrões'!$A$2:$V$921,AO$1,FALSE)="","-",VLOOKUP(ROUND(CONCATENATE($A10,AO$2),0),'Cadastro dos Padrões'!$A$2:$V$921,AO$1,FALSE))</f>
        <v>0.1</v>
      </c>
      <c r="AP10" s="10">
        <f>IF(VLOOKUP(ROUND(CONCATENATE($A10,AP$2),0),'Cadastro dos Padrões'!$A$2:$V$921,AP$1,FALSE)="","-",VLOOKUP(ROUND(CONCATENATE($A10,AP$2),0),'Cadastro dos Padrões'!$A$2:$V$921,AP$1,FALSE))</f>
        <v>2</v>
      </c>
      <c r="AQ10" s="10">
        <f>IF(VLOOKUP(ROUND(CONCATENATE($A10,AQ$2),0),'Cadastro dos Padrões'!$A$2:$V$921,AQ$1,FALSE)="","-",VLOOKUP(ROUND(CONCATENATE($A10,AQ$2),0),'Cadastro dos Padrões'!$A$2:$V$921,AQ$1,FALSE))</f>
        <v>1000000</v>
      </c>
      <c r="AR10" s="10">
        <f>IF(VLOOKUP(ROUND(CONCATENATE($A10,AR$2),0),'Cadastro dos Padrões'!$A$2:$V$921,AR$1,FALSE)="","-",VLOOKUP(ROUND(CONCATENATE($A10,AR$2),0),'Cadastro dos Padrões'!$A$2:$V$921,AR$1,FALSE))</f>
        <v>1000</v>
      </c>
      <c r="AS10" s="10">
        <f>IF(VLOOKUP(ROUND(CONCATENATE($A10,AS$2),0),'Cadastro dos Padrões'!$A$2:$V$921,AS$1,FALSE)="","-",VLOOKUP(ROUND(CONCATENATE($A10,AS$2),0),'Cadastro dos Padrões'!$A$2:$V$921,AS$1,FALSE))</f>
        <v>0.1</v>
      </c>
      <c r="AT10" s="10">
        <f>IF(VLOOKUP(ROUND(CONCATENATE($A10,AT$2),0),'Cadastro dos Padrões'!$A$2:$V$921,AT$1,FALSE)="","-",VLOOKUP(ROUND(CONCATENATE($A10,AT$2),0),'Cadastro dos Padrões'!$A$2:$V$921,AT$1,FALSE))</f>
        <v>2</v>
      </c>
      <c r="AU10" s="10">
        <f>IF(VLOOKUP(ROUND(CONCATENATE($A10,AU$2),0),'Cadastro dos Padrões'!$A$2:$V$921,AU$1,FALSE)="","-",VLOOKUP(ROUND(CONCATENATE($A10,AU$2),0),'Cadastro dos Padrões'!$A$2:$V$921,AU$1,FALSE))</f>
        <v>1000000</v>
      </c>
      <c r="AV10" s="10">
        <f>IF(VLOOKUP(ROUND(CONCATENATE($A10,AV$2),0),'Cadastro dos Padrões'!$A$2:$V$921,AV$1,FALSE)="","-",VLOOKUP(ROUND(CONCATENATE($A10,AV$2),0),'Cadastro dos Padrões'!$A$2:$V$921,AV$1,FALSE))</f>
        <v>1500</v>
      </c>
      <c r="AW10" s="10">
        <f>IF(VLOOKUP(ROUND(CONCATENATE($A10,AW$2),0),'Cadastro dos Padrões'!$A$2:$V$921,AW$1,FALSE)="","-",VLOOKUP(ROUND(CONCATENATE($A10,AW$2),0),'Cadastro dos Padrões'!$A$2:$V$921,AW$1,FALSE))</f>
        <v>0.2</v>
      </c>
      <c r="AX10" s="10">
        <f>IF(VLOOKUP(ROUND(CONCATENATE($A10,AX$2),0),'Cadastro dos Padrões'!$A$2:$V$921,AX$1,FALSE)="","-",VLOOKUP(ROUND(CONCATENATE($A10,AX$2),0),'Cadastro dos Padrões'!$A$2:$V$921,AX$1,FALSE))</f>
        <v>2</v>
      </c>
      <c r="AY10" s="10">
        <f>IF(VLOOKUP(ROUND(CONCATENATE($A10,AY$2),0),'Cadastro dos Padrões'!$A$2:$V$921,AY$1,FALSE)="","-",VLOOKUP(ROUND(CONCATENATE($A10,AY$2),0),'Cadastro dos Padrões'!$A$2:$V$921,AY$1,FALSE))</f>
        <v>1000000</v>
      </c>
      <c r="AZ10" s="10">
        <f>IF(VLOOKUP(ROUND(CONCATENATE($A10,AZ$2),0),'Cadastro dos Padrões'!$A$2:$V$921,AZ$1,FALSE)="","-",VLOOKUP(ROUND(CONCATENATE($A10,AZ$2),0),'Cadastro dos Padrões'!$A$2:$V$921,AZ$1,FALSE))</f>
        <v>2000</v>
      </c>
      <c r="BA10" s="10">
        <f>IF(VLOOKUP(ROUND(CONCATENATE($A10,BA$2),0),'Cadastro dos Padrões'!$A$2:$V$921,BA$1,FALSE)="","-",VLOOKUP(ROUND(CONCATENATE($A10,BA$2),0),'Cadastro dos Padrões'!$A$2:$V$921,BA$1,FALSE))</f>
        <v>0.2</v>
      </c>
      <c r="BB10" s="10">
        <f>IF(VLOOKUP(ROUND(CONCATENATE($A10,BB$2),0),'Cadastro dos Padrões'!$A$2:$V$921,BB$1,FALSE)="","-",VLOOKUP(ROUND(CONCATENATE($A10,BB$2),0),'Cadastro dos Padrões'!$A$2:$V$921,BB$1,FALSE))</f>
        <v>2</v>
      </c>
      <c r="BC10" s="10">
        <f>IF(VLOOKUP(ROUND(CONCATENATE($A10,BC$2),0),'Cadastro dos Padrões'!$A$2:$V$921,BC$1,FALSE)="","-",VLOOKUP(ROUND(CONCATENATE($A10,BC$2),0),'Cadastro dos Padrões'!$A$2:$V$921,BC$1,FALSE))</f>
        <v>1000000</v>
      </c>
      <c r="BD10" s="10" t="str">
        <f>IF(VLOOKUP(ROUND(CONCATENATE($A10,BD$2),0),'Cadastro dos Padrões'!$A$2:$V$921,BD$1,FALSE)="","-",VLOOKUP(ROUND(CONCATENATE($A10,BD$2),0),'Cadastro dos Padrões'!$A$2:$V$921,BD$1,FALSE))</f>
        <v>-</v>
      </c>
      <c r="BE10" s="10" t="str">
        <f>IF(VLOOKUP(ROUND(CONCATENATE($A10,BE$2),0),'Cadastro dos Padrões'!$A$2:$V$921,BE$1,FALSE)="","-",VLOOKUP(ROUND(CONCATENATE($A10,BE$2),0),'Cadastro dos Padrões'!$A$2:$V$921,BE$1,FALSE))</f>
        <v>-</v>
      </c>
      <c r="BF10" s="10" t="str">
        <f>IF(VLOOKUP(ROUND(CONCATENATE($A10,BF$2),0),'Cadastro dos Padrões'!$A$2:$V$921,BF$1,FALSE)="","-",VLOOKUP(ROUND(CONCATENATE($A10,BF$2),0),'Cadastro dos Padrões'!$A$2:$V$921,BF$1,FALSE))</f>
        <v>-</v>
      </c>
      <c r="BG10" s="10" t="str">
        <f>IF(VLOOKUP(ROUND(CONCATENATE($A10,BG$2),0),'Cadastro dos Padrões'!$A$2:$V$921,BG$1,FALSE)="","-",VLOOKUP(ROUND(CONCATENATE($A10,BG$2),0),'Cadastro dos Padrões'!$A$2:$V$921,BG$1,FALSE))</f>
        <v>-</v>
      </c>
      <c r="BH10" s="10" t="str">
        <f>IF(VLOOKUP(ROUND(CONCATENATE($A10,BH$2),0),'Cadastro dos Padrões'!$A$2:$V$921,BH$1,FALSE)="","-",VLOOKUP(ROUND(CONCATENATE($A10,BH$2),0),'Cadastro dos Padrões'!$A$2:$V$921,BH$1,FALSE))</f>
        <v>-</v>
      </c>
      <c r="BI10" s="10" t="str">
        <f>IF(VLOOKUP(ROUND(CONCATENATE($A10,BI$2),0),'Cadastro dos Padrões'!$A$2:$V$921,BI$1,FALSE)="","-",VLOOKUP(ROUND(CONCATENATE($A10,BI$2),0),'Cadastro dos Padrões'!$A$2:$V$921,BI$1,FALSE))</f>
        <v>-</v>
      </c>
      <c r="BJ10" s="10" t="str">
        <f>IF(VLOOKUP(ROUND(CONCATENATE($A10,BJ$2),0),'Cadastro dos Padrões'!$A$2:$V$921,BJ$1,FALSE)="","-",VLOOKUP(ROUND(CONCATENATE($A10,BJ$2),0),'Cadastro dos Padrões'!$A$2:$V$921,BJ$1,FALSE))</f>
        <v>-</v>
      </c>
      <c r="BK10" s="10" t="str">
        <f>IF(VLOOKUP(ROUND(CONCATENATE($A10,BK$2),0),'Cadastro dos Padrões'!$A$2:$V$921,BK$1,FALSE)="","-",VLOOKUP(ROUND(CONCATENATE($A10,BK$2),0),'Cadastro dos Padrões'!$A$2:$V$921,BK$1,FALSE))</f>
        <v>-</v>
      </c>
      <c r="BL10" s="10" t="str">
        <f>IF(VLOOKUP(ROUND(CONCATENATE($A10,BL$2),0),'Cadastro dos Padrões'!$A$2:$V$921,BL$1,FALSE)="","-",VLOOKUP(ROUND(CONCATENATE($A10,BL$2),0),'Cadastro dos Padrões'!$A$2:$V$921,BL$1,FALSE))</f>
        <v>-</v>
      </c>
      <c r="BM10" s="10" t="str">
        <f>IF(VLOOKUP(ROUND(CONCATENATE($A10,BM$2),0),'Cadastro dos Padrões'!$A$2:$V$921,BM$1,FALSE)="","-",VLOOKUP(ROUND(CONCATENATE($A10,BM$2),0),'Cadastro dos Padrões'!$A$2:$V$921,BM$1,FALSE))</f>
        <v>-</v>
      </c>
      <c r="BN10" s="10" t="str">
        <f>IF(VLOOKUP(ROUND(CONCATENATE($A10,BN$2),0),'Cadastro dos Padrões'!$A$2:$V$921,BN$1,FALSE)="","-",VLOOKUP(ROUND(CONCATENATE($A10,BN$2),0),'Cadastro dos Padrões'!$A$2:$V$921,BN$1,FALSE))</f>
        <v>-</v>
      </c>
      <c r="BO10" s="10" t="str">
        <f>IF(VLOOKUP(ROUND(CONCATENATE($A10,BO$2),0),'Cadastro dos Padrões'!$A$2:$V$921,BO$1,FALSE)="","-",VLOOKUP(ROUND(CONCATENATE($A10,BO$2),0),'Cadastro dos Padrões'!$A$2:$V$921,BO$1,FALSE))</f>
        <v>-</v>
      </c>
      <c r="BP10" s="10">
        <f>IF(VLOOKUP(ROUND(CONCATENATE($A10,BP$2),0),'Cadastro dos Padrões'!$A$2:$V$921,BP$1,FALSE)="","-",VLOOKUP(ROUND(CONCATENATE($A10,BP$2),0),'Cadastro dos Padrões'!$A$2:$V$921,BP$1,FALSE))</f>
        <v>0</v>
      </c>
      <c r="BQ10" s="10">
        <f>IF(VLOOKUP(ROUND(CONCATENATE($A10,BQ$2),0),'Cadastro dos Padrões'!$A$2:$V$921,BQ$1,FALSE)="","-",VLOOKUP(ROUND(CONCATENATE($A10,BQ$2),0),'Cadastro dos Padrões'!$A$2:$V$921,BQ$1,FALSE))</f>
        <v>0</v>
      </c>
      <c r="BR10" s="10">
        <f>IF(VLOOKUP(ROUND(CONCATENATE($A10,BR$2),0),'Cadastro dos Padrões'!$A$2:$V$921,BR$1,FALSE)="","-",VLOOKUP(ROUND(CONCATENATE($A10,BR$2),0),'Cadastro dos Padrões'!$A$2:$V$921,BR$1,FALSE))</f>
        <v>0</v>
      </c>
      <c r="BS10" s="10">
        <f>IF(VLOOKUP(ROUND(CONCATENATE($A10,BS$2),0),'Cadastro dos Padrões'!$A$2:$V$921,BS$1,FALSE)="","-",VLOOKUP(ROUND(CONCATENATE($A10,BS$2),0),'Cadastro dos Padrões'!$A$2:$V$921,BS$1,FALSE))</f>
        <v>0</v>
      </c>
      <c r="BT10" s="10">
        <f>IF(VLOOKUP(ROUND(CONCATENATE($A10,BT$2),0),'Cadastro dos Padrões'!$A$2:$V$921,BT$1,FALSE)="","-",VLOOKUP(ROUND(CONCATENATE($A10,BT$2),0),'Cadastro dos Padrões'!$A$2:$V$921,BT$1,FALSE))</f>
        <v>0</v>
      </c>
      <c r="BU10" s="10">
        <f>IF(VLOOKUP(ROUND(CONCATENATE($A10,BU$2),0),'Cadastro dos Padrões'!$A$2:$V$921,BU$1,FALSE)="","-",VLOOKUP(ROUND(CONCATENATE($A10,BU$2),0),'Cadastro dos Padrões'!$A$2:$V$921,BU$1,FALSE))</f>
        <v>0</v>
      </c>
      <c r="BV10" s="10">
        <f>IF(VLOOKUP(ROUND(CONCATENATE($A10,BV$2),0),'Cadastro dos Padrões'!$A$2:$V$921,BV$1,FALSE)="","-",VLOOKUP(ROUND(CONCATENATE($A10,BV$2),0),'Cadastro dos Padrões'!$A$2:$V$921,BV$1,FALSE))</f>
        <v>0</v>
      </c>
      <c r="BW10" s="10">
        <f>IF(VLOOKUP(ROUND(CONCATENATE($A10,BW$2),0),'Cadastro dos Padrões'!$A$2:$V$921,BW$1,FALSE)="","-",VLOOKUP(ROUND(CONCATENATE($A10,BW$2),0),'Cadastro dos Padrões'!$A$2:$V$921,BW$1,FALSE))</f>
        <v>0</v>
      </c>
      <c r="BX10" s="10">
        <f>IF(VLOOKUP(ROUND(CONCATENATE($A10,BX$2),0),'Cadastro dos Padrões'!$A$2:$V$921,BX$1,FALSE)="","-",VLOOKUP(ROUND(CONCATENATE($A10,BX$2),0),'Cadastro dos Padrões'!$A$2:$V$921,BX$1,FALSE))</f>
        <v>0</v>
      </c>
      <c r="BY10" s="10">
        <f>IF(VLOOKUP(ROUND(CONCATENATE($A10,BY$2),0),'Cadastro dos Padrões'!$A$2:$V$921,BY$1,FALSE)="","-",VLOOKUP(ROUND(CONCATENATE($A10,BY$2),0),'Cadastro dos Padrões'!$A$2:$V$921,BY$1,FALSE))</f>
        <v>0</v>
      </c>
      <c r="BZ10" s="10">
        <f>IF(VLOOKUP(ROUND(CONCATENATE($A10,BZ$2),0),'Cadastro dos Padrões'!$A$2:$V$921,BZ$1,FALSE)="","-",VLOOKUP(ROUND(CONCATENATE($A10,BZ$2),0),'Cadastro dos Padrões'!$A$2:$V$921,BZ$1,FALSE))</f>
        <v>0</v>
      </c>
      <c r="CA10" s="10">
        <f>IF(VLOOKUP(ROUND(CONCATENATE($A10,CA$2),0),'Cadastro dos Padrões'!$A$2:$V$921,CA$1,FALSE)="","-",VLOOKUP(ROUND(CONCATENATE($A10,CA$2),0),'Cadastro dos Padrões'!$A$2:$V$921,CA$1,FALSE))</f>
        <v>0</v>
      </c>
      <c r="CB10" s="10">
        <f>IF(VLOOKUP(ROUND(CONCATENATE($A10,CB$2),0),'Cadastro dos Padrões'!$A$2:$V$921,CB$1,FALSE)="","-",VLOOKUP(ROUND(CONCATENATE($A10,CB$2),0),'Cadastro dos Padrões'!$A$2:$V$921,CB$1,FALSE))</f>
        <v>0</v>
      </c>
      <c r="CC10" s="10">
        <f>IF(VLOOKUP(ROUND(CONCATENATE($A10,CC$2),0),'Cadastro dos Padrões'!$A$2:$V$921,CC$1,FALSE)="","-",VLOOKUP(ROUND(CONCATENATE($A10,CC$2),0),'Cadastro dos Padrões'!$A$2:$V$921,CC$1,FALSE))</f>
        <v>0</v>
      </c>
      <c r="CD10" s="10">
        <f>IF(VLOOKUP(ROUND(CONCATENATE($A10,CD$2),0),'Cadastro dos Padrões'!$A$2:$V$921,CD$1,FALSE)="","-",VLOOKUP(ROUND(CONCATENATE($A10,CD$2),0),'Cadastro dos Padrões'!$A$2:$V$921,CD$1,FALSE))</f>
        <v>0</v>
      </c>
      <c r="CE10" s="10">
        <f>IF(VLOOKUP(ROUND(CONCATENATE($A10,CE$2),0),'Cadastro dos Padrões'!$A$2:$V$921,CE$1,FALSE)="","-",VLOOKUP(ROUND(CONCATENATE($A10,CE$2),0),'Cadastro dos Padrões'!$A$2:$V$921,CE$1,FALSE))</f>
        <v>0</v>
      </c>
      <c r="CF10" s="10">
        <f>IF(VLOOKUP(ROUND(CONCATENATE($A10,CF$2),0),'Cadastro dos Padrões'!$A$2:$V$921,CF$1,FALSE)="","-",VLOOKUP(ROUND(CONCATENATE($A10,CF$2),0),'Cadastro dos Padrões'!$A$2:$V$921,CF$1,FALSE))</f>
        <v>9.9999999999909051E-2</v>
      </c>
      <c r="CG10" s="10">
        <f>IF(VLOOKUP(ROUND(CONCATENATE($A10,CG$2),0),'Cadastro dos Padrões'!$A$2:$V$921,CG$1,FALSE)="","-",VLOOKUP(ROUND(CONCATENATE($A10,CG$2),0),'Cadastro dos Padrões'!$A$2:$V$921,CG$1,FALSE))</f>
        <v>0</v>
      </c>
      <c r="CH10" s="10">
        <f>IF(VLOOKUP(ROUND(CONCATENATE($A10,CH$2),0),'Cadastro dos Padrões'!$A$2:$V$921,CH$1,FALSE)="","-",VLOOKUP(ROUND(CONCATENATE($A10,CH$2),0),'Cadastro dos Padrões'!$A$2:$V$921,CH$1,FALSE))</f>
        <v>0</v>
      </c>
      <c r="CI10" s="10">
        <f>IF(VLOOKUP(ROUND(CONCATENATE($A10,CI$2),0),'Cadastro dos Padrões'!$A$2:$V$921,CI$1,FALSE)="","-",VLOOKUP(ROUND(CONCATENATE($A10,CI$2),0),'Cadastro dos Padrões'!$A$2:$V$921,CI$1,FALSE))</f>
        <v>0</v>
      </c>
    </row>
    <row r="11" spans="1:87" x14ac:dyDescent="0.3">
      <c r="A11" s="4">
        <v>6</v>
      </c>
      <c r="B11" s="10" t="str">
        <f>IF(VLOOKUP(ROUND(CONCATENATE($A11,B$2),0),'Cadastro dos Padrões'!$A$2:$V$921,B$1,FALSE)="","-",VLOOKUP(ROUND(CONCATENATE($A11,B$2),0),'Cadastro dos Padrões'!$A$2:$V$921,B$1,FALSE))</f>
        <v>E.MS.LQ-004</v>
      </c>
      <c r="C11" s="10" t="str">
        <f>IF(VLOOKUP(ROUND(CONCATENATE($A11,C$2),0),'Cadastro dos Padrões'!$A$2:$V$921,C$1,FALSE)="","-",VLOOKUP(ROUND(CONCATENATE($A11,C$2),0),'Cadastro dos Padrões'!$A$2:$V$921,C$1,FALSE))</f>
        <v>Balança Analítica</v>
      </c>
      <c r="D11" s="10" t="str">
        <f>IF(VLOOKUP(ROUND(CONCATENATE($A11,D$2),0),'Cadastro dos Padrões'!$A$2:$V$921,D$1,FALSE)="","-",VLOOKUP(ROUND(CONCATENATE($A11,D$2),0),'Cadastro dos Padrões'!$A$2:$V$921,D$1,FALSE))</f>
        <v>Elus</v>
      </c>
      <c r="E11" s="10" t="str">
        <f>IF(VLOOKUP(ROUND(CONCATENATE($A11,E$2),0),'Cadastro dos Padrões'!$A$2:$V$921,E$1,FALSE)="","-",VLOOKUP(ROUND(CONCATENATE($A11,E$2),0),'Cadastro dos Padrões'!$A$2:$V$921,E$1,FALSE))</f>
        <v>RBC - CAL 0439</v>
      </c>
      <c r="F11" s="10" t="str">
        <f>IF(VLOOKUP(ROUND(CONCATENATE($A11,F$2),0),'Cadastro dos Padrões'!$A$2:$V$921,F$1,FALSE)="","-",VLOOKUP(ROUND(CONCATENATE($A11,F$2),0),'Cadastro dos Padrões'!$A$2:$V$921,F$1,FALSE))</f>
        <v>E0012/26</v>
      </c>
      <c r="G11" s="27">
        <f>IF(VLOOKUP(ROUND(CONCATENATE($A11,G$2),0),'Cadastro dos Padrões'!$A$2:$V$921,G$1,FALSE)="","-",VLOOKUP(ROUND(CONCATENATE($A11,G$2),0),'Cadastro dos Padrões'!$A$2:$V$921,G$1,FALSE))</f>
        <v>46031</v>
      </c>
      <c r="H11" s="29">
        <f>IF(VLOOKUP(ROUND(CONCATENATE($A11,H$2),0),'Cadastro dos Padrões'!$A$2:$V$921,H$1,FALSE)="","-",VLOOKUP(ROUND(CONCATENATE($A11,H$2),0),'Cadastro dos Padrões'!$A$2:$V$921,H$1,FALSE))</f>
        <v>46417</v>
      </c>
      <c r="I11" s="10" t="str">
        <f>IF(VLOOKUP(ROUND(CONCATENATE($A11,I$2),0),'Cadastro dos Padrões'!$A$2:$V$921,I$1,FALSE)="","-",VLOOKUP(ROUND(CONCATENATE($A11,I$2),0),'Cadastro dos Padrões'!$A$2:$V$921,I$1,FALSE))</f>
        <v>g</v>
      </c>
      <c r="J11" s="10">
        <f>IF(VLOOKUP(ROUND(CONCATENATE($A11,J$2),0),'Cadastro dos Padrões'!$A$2:$V$921,J$1,FALSE)="","-",VLOOKUP(ROUND(CONCATENATE($A11,J$2),0),'Cadastro dos Padrões'!$A$2:$V$921,J$1,FALSE))</f>
        <v>0.2</v>
      </c>
      <c r="K11" s="10">
        <f>IF(VLOOKUP(ROUND(CONCATENATE($A11,K$2),0),'Cadastro dos Padrões'!$A$2:$V$921,K$1,FALSE)="","-",VLOOKUP(ROUND(CONCATENATE($A11,K$2),0),'Cadastro dos Padrões'!$A$2:$V$921,K$1,FALSE))</f>
        <v>200</v>
      </c>
      <c r="L11" s="10">
        <f>IF(VLOOKUP(ROUND(CONCATENATE($A11,L$2),0),'Cadastro dos Padrões'!$A$2:$V$921,L$1,FALSE)="","-",VLOOKUP(ROUND(CONCATENATE($A11,L$2),0),'Cadastro dos Padrões'!$A$2:$V$921,L$1,FALSE))</f>
        <v>1E-4</v>
      </c>
      <c r="M11" s="10">
        <f>IF(VLOOKUP(ROUND(CONCATENATE($A11,M$2),0),'Cadastro dos Padrões'!$A$2:$V$921,M$1,FALSE)="","-",VLOOKUP(ROUND(CONCATENATE($A11,M$2),0),'Cadastro dos Padrões'!$A$2:$V$921,M$1,FALSE))</f>
        <v>1.0000000000331966E-4</v>
      </c>
      <c r="N11" s="10">
        <f>IF(VLOOKUP(ROUND(CONCATENATE($A11,N$2),0),'Cadastro dos Padrões'!$A$2:$V$921,N$1,FALSE)="","-",VLOOKUP(ROUND(CONCATENATE($A11,N$2),0),'Cadastro dos Padrões'!$A$2:$V$921,N$1,FALSE))</f>
        <v>6.9999999999999999E-4</v>
      </c>
      <c r="O11" s="10">
        <f>IF(VLOOKUP(ROUND(CONCATENATE($A11,O$2),0),'Cadastro dos Padrões'!$A$2:$V$921,O$1,FALSE)="","-",VLOOKUP(ROUND(CONCATENATE($A11,O$2),0),'Cadastro dos Padrões'!$A$2:$V$921,O$1,FALSE))</f>
        <v>9.9999999999988987E-5</v>
      </c>
      <c r="P11" s="28">
        <f>IF(VLOOKUP(ROUND(CONCATENATE($A11,P$2),0),'Cadastro dos Padrões'!$A$2:$V$921,P$1,FALSE)="","-",VLOOKUP(ROUND(CONCATENATE($A11,P$2),0),'Cadastro dos Padrões'!$A$2:$V$921,P$1,FALSE))</f>
        <v>1.4285714286188522E-4</v>
      </c>
      <c r="Q11" s="10">
        <f>IF($B11="-","-",VLOOKUP(ROUND(CONCATENATE($A11,Q$2),0),'Cadastro dos Padrões'!$A$2:$V$921,Q$1,FALSE))</f>
        <v>3.1373603714968112E-9</v>
      </c>
      <c r="R11" s="10">
        <f>IF($B11="-","-",VLOOKUP(ROUND(CONCATENATE($A11,R$2),0),'Cadastro dos Padrões'!$A$2:$V$921,R$1,FALSE))</f>
        <v>5</v>
      </c>
      <c r="S11" s="10">
        <f>IF($B11="-","-",VLOOKUP(ROUND(CONCATENATE($A11,S$2),0),'Cadastro dos Padrões'!$A$2:$V$921,S$1,FALSE))</f>
        <v>0</v>
      </c>
      <c r="T11" s="10">
        <f>IF($B11="-","-",VLOOKUP(ROUND(CONCATENATE($A11,T$2),0),'Cadastro dos Padrões'!$A$2:$V$921,T$1,FALSE))</f>
        <v>0</v>
      </c>
      <c r="U11" s="10">
        <f>IF($B11="-","-",VLOOKUP(ROUND(CONCATENATE($A11,U$2),0),'Cadastro dos Padrões'!$A$2:$V$921,U$1,FALSE))</f>
        <v>0</v>
      </c>
      <c r="V11" s="10">
        <f>IF($B11="-","-",VLOOKUP(ROUND(CONCATENATE($A11,V$2),0),'Cadastro dos Padrões'!$A$2:$V$921,V$1,FALSE))</f>
        <v>-1.3753099726219241E-13</v>
      </c>
      <c r="W11" s="10">
        <f>IF($B11="-","-",VLOOKUP(ROUND(CONCATENATE($A11,W$2),0),'Cadastro dos Padrões'!$A$2:$V$921,W$1,FALSE))</f>
        <v>4.2669812831905786E-11</v>
      </c>
      <c r="X11" s="10">
        <f>IF($B11="-","-",VLOOKUP(ROUND(CONCATENATE($A11,X$2),0),'Cadastro dos Padrões'!$A$2:$V$921,X$1,FALSE))</f>
        <v>-3.2004747853589508E-9</v>
      </c>
      <c r="Y11" s="10">
        <f>IF($B11="-","-",VLOOKUP(ROUND(CONCATENATE($A11,Y$2),0),'Cadastro dos Padrões'!$A$2:$V$921,Y$1,FALSE))</f>
        <v>3.122138520800993E-8</v>
      </c>
      <c r="Z11" s="10">
        <f>IF($B11="-","-",VLOOKUP(ROUND(CONCATENATE($A11,Z$2),0),'Cadastro dos Padrões'!$A$2:$V$921,Z$1,FALSE))</f>
        <v>0.99999996582486339</v>
      </c>
      <c r="AA11" s="10">
        <f>IF($B11="-","-",VLOOKUP(ROUND(CONCATENATE($A11,AA$2),0),'Cadastro dos Padrões'!$A$2:$V$921,AA$1,FALSE))</f>
        <v>7.1363804353755111E-9</v>
      </c>
      <c r="AB11" s="10">
        <f>IF(VLOOKUP(ROUND(CONCATENATE($A11,AB$2),0),'Cadastro dos Padrões'!$A$2:$V$921,AB$1,FALSE)="","-",VLOOKUP(ROUND(CONCATENATE($A11,AB$2),0),'Cadastro dos Padrões'!$A$2:$V$921,AB$1,FALSE))</f>
        <v>0.2</v>
      </c>
      <c r="AC11" s="10">
        <f>IF(VLOOKUP(ROUND(CONCATENATE($A11,AC$2),0),'Cadastro dos Padrões'!$A$2:$V$921,AC$1,FALSE)="","-",VLOOKUP(ROUND(CONCATENATE($A11,AC$2),0),'Cadastro dos Padrões'!$A$2:$V$921,AC$1,FALSE))</f>
        <v>2.0000000000000001E-4</v>
      </c>
      <c r="AD11" s="10">
        <f>IF(VLOOKUP(ROUND(CONCATENATE($A11,AD$2),0),'Cadastro dos Padrões'!$A$2:$V$921,AD$1,FALSE)="","-",VLOOKUP(ROUND(CONCATENATE($A11,AD$2),0),'Cadastro dos Padrões'!$A$2:$V$921,AD$1,FALSE))</f>
        <v>2</v>
      </c>
      <c r="AE11" s="10">
        <f>IF(VLOOKUP(ROUND(CONCATENATE($A11,AE$2),0),'Cadastro dos Padrões'!$A$2:$V$921,AE$1,FALSE)="","-",VLOOKUP(ROUND(CONCATENATE($A11,AE$2),0),'Cadastro dos Padrões'!$A$2:$V$921,AE$1,FALSE))</f>
        <v>1000000</v>
      </c>
      <c r="AF11" s="10">
        <f>IF(VLOOKUP(ROUND(CONCATENATE($A11,AF$2),0),'Cadastro dos Padrões'!$A$2:$V$921,AF$1,FALSE)="","-",VLOOKUP(ROUND(CONCATENATE($A11,AF$2),0),'Cadastro dos Padrões'!$A$2:$V$921,AF$1,FALSE))</f>
        <v>0.5</v>
      </c>
      <c r="AG11" s="10">
        <f>IF(VLOOKUP(ROUND(CONCATENATE($A11,AG$2),0),'Cadastro dos Padrões'!$A$2:$V$921,AG$1,FALSE)="","-",VLOOKUP(ROUND(CONCATENATE($A11,AG$2),0),'Cadastro dos Padrões'!$A$2:$V$921,AG$1,FALSE))</f>
        <v>2.0000000000000001E-4</v>
      </c>
      <c r="AH11" s="10">
        <f>IF(VLOOKUP(ROUND(CONCATENATE($A11,AH$2),0),'Cadastro dos Padrões'!$A$2:$V$921,AH$1,FALSE)="","-",VLOOKUP(ROUND(CONCATENATE($A11,AH$2),0),'Cadastro dos Padrões'!$A$2:$V$921,AH$1,FALSE))</f>
        <v>2</v>
      </c>
      <c r="AI11" s="10">
        <f>IF(VLOOKUP(ROUND(CONCATENATE($A11,AI$2),0),'Cadastro dos Padrões'!$A$2:$V$921,AI$1,FALSE)="","-",VLOOKUP(ROUND(CONCATENATE($A11,AI$2),0),'Cadastro dos Padrões'!$A$2:$V$921,AI$1,FALSE))</f>
        <v>1000000</v>
      </c>
      <c r="AJ11" s="10">
        <f>IF(VLOOKUP(ROUND(CONCATENATE($A11,AJ$2),0),'Cadastro dos Padrões'!$A$2:$V$921,AJ$1,FALSE)="","-",VLOOKUP(ROUND(CONCATENATE($A11,AJ$2),0),'Cadastro dos Padrões'!$A$2:$V$921,AJ$1,FALSE))</f>
        <v>1</v>
      </c>
      <c r="AK11" s="10">
        <f>IF(VLOOKUP(ROUND(CONCATENATE($A11,AK$2),0),'Cadastro dos Padrões'!$A$2:$V$921,AK$1,FALSE)="","-",VLOOKUP(ROUND(CONCATENATE($A11,AK$2),0),'Cadastro dos Padrões'!$A$2:$V$921,AK$1,FALSE))</f>
        <v>2.0000000000000001E-4</v>
      </c>
      <c r="AL11" s="10">
        <f>IF(VLOOKUP(ROUND(CONCATENATE($A11,AL$2),0),'Cadastro dos Padrões'!$A$2:$V$921,AL$1,FALSE)="","-",VLOOKUP(ROUND(CONCATENATE($A11,AL$2),0),'Cadastro dos Padrões'!$A$2:$V$921,AL$1,FALSE))</f>
        <v>2</v>
      </c>
      <c r="AM11" s="10">
        <f>IF(VLOOKUP(ROUND(CONCATENATE($A11,AM$2),0),'Cadastro dos Padrões'!$A$2:$V$921,AM$1,FALSE)="","-",VLOOKUP(ROUND(CONCATENATE($A11,AM$2),0),'Cadastro dos Padrões'!$A$2:$V$921,AM$1,FALSE))</f>
        <v>1000000</v>
      </c>
      <c r="AN11" s="10">
        <f>IF(VLOOKUP(ROUND(CONCATENATE($A11,AN$2),0),'Cadastro dos Padrões'!$A$2:$V$921,AN$1,FALSE)="","-",VLOOKUP(ROUND(CONCATENATE($A11,AN$2),0),'Cadastro dos Padrões'!$A$2:$V$921,AN$1,FALSE))</f>
        <v>10</v>
      </c>
      <c r="AO11" s="10">
        <f>IF(VLOOKUP(ROUND(CONCATENATE($A11,AO$2),0),'Cadastro dos Padrões'!$A$2:$V$921,AO$1,FALSE)="","-",VLOOKUP(ROUND(CONCATENATE($A11,AO$2),0),'Cadastro dos Padrões'!$A$2:$V$921,AO$1,FALSE))</f>
        <v>2.0000000000000001E-4</v>
      </c>
      <c r="AP11" s="10">
        <f>IF(VLOOKUP(ROUND(CONCATENATE($A11,AP$2),0),'Cadastro dos Padrões'!$A$2:$V$921,AP$1,FALSE)="","-",VLOOKUP(ROUND(CONCATENATE($A11,AP$2),0),'Cadastro dos Padrões'!$A$2:$V$921,AP$1,FALSE))</f>
        <v>2</v>
      </c>
      <c r="AQ11" s="10">
        <f>IF(VLOOKUP(ROUND(CONCATENATE($A11,AQ$2),0),'Cadastro dos Padrões'!$A$2:$V$921,AQ$1,FALSE)="","-",VLOOKUP(ROUND(CONCATENATE($A11,AQ$2),0),'Cadastro dos Padrões'!$A$2:$V$921,AQ$1,FALSE))</f>
        <v>1000000</v>
      </c>
      <c r="AR11" s="10">
        <f>IF(VLOOKUP(ROUND(CONCATENATE($A11,AR$2),0),'Cadastro dos Padrões'!$A$2:$V$921,AR$1,FALSE)="","-",VLOOKUP(ROUND(CONCATENATE($A11,AR$2),0),'Cadastro dos Padrões'!$A$2:$V$921,AR$1,FALSE))</f>
        <v>50</v>
      </c>
      <c r="AS11" s="10">
        <f>IF(VLOOKUP(ROUND(CONCATENATE($A11,AS$2),0),'Cadastro dos Padrões'!$A$2:$V$921,AS$1,FALSE)="","-",VLOOKUP(ROUND(CONCATENATE($A11,AS$2),0),'Cadastro dos Padrões'!$A$2:$V$921,AS$1,FALSE))</f>
        <v>2.9999999999999997E-4</v>
      </c>
      <c r="AT11" s="10">
        <f>IF(VLOOKUP(ROUND(CONCATENATE($A11,AT$2),0),'Cadastro dos Padrões'!$A$2:$V$921,AT$1,FALSE)="","-",VLOOKUP(ROUND(CONCATENATE($A11,AT$2),0),'Cadastro dos Padrões'!$A$2:$V$921,AT$1,FALSE))</f>
        <v>2</v>
      </c>
      <c r="AU11" s="10">
        <f>IF(VLOOKUP(ROUND(CONCATENATE($A11,AU$2),0),'Cadastro dos Padrões'!$A$2:$V$921,AU$1,FALSE)="","-",VLOOKUP(ROUND(CONCATENATE($A11,AU$2),0),'Cadastro dos Padrões'!$A$2:$V$921,AU$1,FALSE))</f>
        <v>1000000</v>
      </c>
      <c r="AV11" s="10">
        <f>IF(VLOOKUP(ROUND(CONCATENATE($A11,AV$2),0),'Cadastro dos Padrões'!$A$2:$V$921,AV$1,FALSE)="","-",VLOOKUP(ROUND(CONCATENATE($A11,AV$2),0),'Cadastro dos Padrões'!$A$2:$V$921,AV$1,FALSE))</f>
        <v>100</v>
      </c>
      <c r="AW11" s="10">
        <f>IF(VLOOKUP(ROUND(CONCATENATE($A11,AW$2),0),'Cadastro dos Padrões'!$A$2:$V$921,AW$1,FALSE)="","-",VLOOKUP(ROUND(CONCATENATE($A11,AW$2),0),'Cadastro dos Padrões'!$A$2:$V$921,AW$1,FALSE))</f>
        <v>4.0000000000000002E-4</v>
      </c>
      <c r="AX11" s="10">
        <f>IF(VLOOKUP(ROUND(CONCATENATE($A11,AX$2),0),'Cadastro dos Padrões'!$A$2:$V$921,AX$1,FALSE)="","-",VLOOKUP(ROUND(CONCATENATE($A11,AX$2),0),'Cadastro dos Padrões'!$A$2:$V$921,AX$1,FALSE))</f>
        <v>2</v>
      </c>
      <c r="AY11" s="10">
        <f>IF(VLOOKUP(ROUND(CONCATENATE($A11,AY$2),0),'Cadastro dos Padrões'!$A$2:$V$921,AY$1,FALSE)="","-",VLOOKUP(ROUND(CONCATENATE($A11,AY$2),0),'Cadastro dos Padrões'!$A$2:$V$921,AY$1,FALSE))</f>
        <v>1000000</v>
      </c>
      <c r="AZ11" s="10">
        <f>IF(VLOOKUP(ROUND(CONCATENATE($A11,AZ$2),0),'Cadastro dos Padrões'!$A$2:$V$921,AZ$1,FALSE)="","-",VLOOKUP(ROUND(CONCATENATE($A11,AZ$2),0),'Cadastro dos Padrões'!$A$2:$V$921,AZ$1,FALSE))</f>
        <v>200</v>
      </c>
      <c r="BA11" s="10">
        <f>IF(VLOOKUP(ROUND(CONCATENATE($A11,BA$2),0),'Cadastro dos Padrões'!$A$2:$V$921,BA$1,FALSE)="","-",VLOOKUP(ROUND(CONCATENATE($A11,BA$2),0),'Cadastro dos Padrões'!$A$2:$V$921,BA$1,FALSE))</f>
        <v>6.9999999999999999E-4</v>
      </c>
      <c r="BB11" s="10">
        <f>IF(VLOOKUP(ROUND(CONCATENATE($A11,BB$2),0),'Cadastro dos Padrões'!$A$2:$V$921,BB$1,FALSE)="","-",VLOOKUP(ROUND(CONCATENATE($A11,BB$2),0),'Cadastro dos Padrões'!$A$2:$V$921,BB$1,FALSE))</f>
        <v>2</v>
      </c>
      <c r="BC11" s="10">
        <f>IF(VLOOKUP(ROUND(CONCATENATE($A11,BC$2),0),'Cadastro dos Padrões'!$A$2:$V$921,BC$1,FALSE)="","-",VLOOKUP(ROUND(CONCATENATE($A11,BC$2),0),'Cadastro dos Padrões'!$A$2:$V$921,BC$1,FALSE))</f>
        <v>1000000</v>
      </c>
      <c r="BD11" s="10" t="str">
        <f>IF(VLOOKUP(ROUND(CONCATENATE($A11,BD$2),0),'Cadastro dos Padrões'!$A$2:$V$921,BD$1,FALSE)="","-",VLOOKUP(ROUND(CONCATENATE($A11,BD$2),0),'Cadastro dos Padrões'!$A$2:$V$921,BD$1,FALSE))</f>
        <v>-</v>
      </c>
      <c r="BE11" s="10" t="str">
        <f>IF(VLOOKUP(ROUND(CONCATENATE($A11,BE$2),0),'Cadastro dos Padrões'!$A$2:$V$921,BE$1,FALSE)="","-",VLOOKUP(ROUND(CONCATENATE($A11,BE$2),0),'Cadastro dos Padrões'!$A$2:$V$921,BE$1,FALSE))</f>
        <v>-</v>
      </c>
      <c r="BF11" s="10" t="str">
        <f>IF(VLOOKUP(ROUND(CONCATENATE($A11,BF$2),0),'Cadastro dos Padrões'!$A$2:$V$921,BF$1,FALSE)="","-",VLOOKUP(ROUND(CONCATENATE($A11,BF$2),0),'Cadastro dos Padrões'!$A$2:$V$921,BF$1,FALSE))</f>
        <v>-</v>
      </c>
      <c r="BG11" s="10" t="str">
        <f>IF(VLOOKUP(ROUND(CONCATENATE($A11,BG$2),0),'Cadastro dos Padrões'!$A$2:$V$921,BG$1,FALSE)="","-",VLOOKUP(ROUND(CONCATENATE($A11,BG$2),0),'Cadastro dos Padrões'!$A$2:$V$921,BG$1,FALSE))</f>
        <v>-</v>
      </c>
      <c r="BH11" s="10" t="str">
        <f>IF(VLOOKUP(ROUND(CONCATENATE($A11,BH$2),0),'Cadastro dos Padrões'!$A$2:$V$921,BH$1,FALSE)="","-",VLOOKUP(ROUND(CONCATENATE($A11,BH$2),0),'Cadastro dos Padrões'!$A$2:$V$921,BH$1,FALSE))</f>
        <v>-</v>
      </c>
      <c r="BI11" s="10" t="str">
        <f>IF(VLOOKUP(ROUND(CONCATENATE($A11,BI$2),0),'Cadastro dos Padrões'!$A$2:$V$921,BI$1,FALSE)="","-",VLOOKUP(ROUND(CONCATENATE($A11,BI$2),0),'Cadastro dos Padrões'!$A$2:$V$921,BI$1,FALSE))</f>
        <v>-</v>
      </c>
      <c r="BJ11" s="10" t="str">
        <f>IF(VLOOKUP(ROUND(CONCATENATE($A11,BJ$2),0),'Cadastro dos Padrões'!$A$2:$V$921,BJ$1,FALSE)="","-",VLOOKUP(ROUND(CONCATENATE($A11,BJ$2),0),'Cadastro dos Padrões'!$A$2:$V$921,BJ$1,FALSE))</f>
        <v>-</v>
      </c>
      <c r="BK11" s="10" t="str">
        <f>IF(VLOOKUP(ROUND(CONCATENATE($A11,BK$2),0),'Cadastro dos Padrões'!$A$2:$V$921,BK$1,FALSE)="","-",VLOOKUP(ROUND(CONCATENATE($A11,BK$2),0),'Cadastro dos Padrões'!$A$2:$V$921,BK$1,FALSE))</f>
        <v>-</v>
      </c>
      <c r="BL11" s="10" t="str">
        <f>IF(VLOOKUP(ROUND(CONCATENATE($A11,BL$2),0),'Cadastro dos Padrões'!$A$2:$V$921,BL$1,FALSE)="","-",VLOOKUP(ROUND(CONCATENATE($A11,BL$2),0),'Cadastro dos Padrões'!$A$2:$V$921,BL$1,FALSE))</f>
        <v>-</v>
      </c>
      <c r="BM11" s="10" t="str">
        <f>IF(VLOOKUP(ROUND(CONCATENATE($A11,BM$2),0),'Cadastro dos Padrões'!$A$2:$V$921,BM$1,FALSE)="","-",VLOOKUP(ROUND(CONCATENATE($A11,BM$2),0),'Cadastro dos Padrões'!$A$2:$V$921,BM$1,FALSE))</f>
        <v>-</v>
      </c>
      <c r="BN11" s="10" t="str">
        <f>IF(VLOOKUP(ROUND(CONCATENATE($A11,BN$2),0),'Cadastro dos Padrões'!$A$2:$V$921,BN$1,FALSE)="","-",VLOOKUP(ROUND(CONCATENATE($A11,BN$2),0),'Cadastro dos Padrões'!$A$2:$V$921,BN$1,FALSE))</f>
        <v>-</v>
      </c>
      <c r="BO11" s="10" t="str">
        <f>IF(VLOOKUP(ROUND(CONCATENATE($A11,BO$2),0),'Cadastro dos Padrões'!$A$2:$V$921,BO$1,FALSE)="","-",VLOOKUP(ROUND(CONCATENATE($A11,BO$2),0),'Cadastro dos Padrões'!$A$2:$V$921,BO$1,FALSE))</f>
        <v>-</v>
      </c>
      <c r="BP11" s="10">
        <f>IF(VLOOKUP(ROUND(CONCATENATE($A11,BP$2),0),'Cadastro dos Padrões'!$A$2:$V$921,BP$1,FALSE)="","-",VLOOKUP(ROUND(CONCATENATE($A11,BP$2),0),'Cadastro dos Padrões'!$A$2:$V$921,BP$1,FALSE))</f>
        <v>0</v>
      </c>
      <c r="BQ11" s="10">
        <f>IF(VLOOKUP(ROUND(CONCATENATE($A11,BQ$2),0),'Cadastro dos Padrões'!$A$2:$V$921,BQ$1,FALSE)="","-",VLOOKUP(ROUND(CONCATENATE($A11,BQ$2),0),'Cadastro dos Padrões'!$A$2:$V$921,BQ$1,FALSE))</f>
        <v>0</v>
      </c>
      <c r="BR11" s="10">
        <f>IF(VLOOKUP(ROUND(CONCATENATE($A11,BR$2),0),'Cadastro dos Padrões'!$A$2:$V$921,BR$1,FALSE)="","-",VLOOKUP(ROUND(CONCATENATE($A11,BR$2),0),'Cadastro dos Padrões'!$A$2:$V$921,BR$1,FALSE))</f>
        <v>0</v>
      </c>
      <c r="BS11" s="10">
        <f>IF(VLOOKUP(ROUND(CONCATENATE($A11,BS$2),0),'Cadastro dos Padrões'!$A$2:$V$921,BS$1,FALSE)="","-",VLOOKUP(ROUND(CONCATENATE($A11,BS$2),0),'Cadastro dos Padrões'!$A$2:$V$921,BS$1,FALSE))</f>
        <v>0</v>
      </c>
      <c r="BT11" s="10">
        <f>IF(VLOOKUP(ROUND(CONCATENATE($A11,BT$2),0),'Cadastro dos Padrões'!$A$2:$V$921,BT$1,FALSE)="","-",VLOOKUP(ROUND(CONCATENATE($A11,BT$2),0),'Cadastro dos Padrões'!$A$2:$V$921,BT$1,FALSE))</f>
        <v>1.0000000000331966E-4</v>
      </c>
      <c r="BU11" s="10">
        <f>IF(VLOOKUP(ROUND(CONCATENATE($A11,BU$2),0),'Cadastro dos Padrões'!$A$2:$V$921,BU$1,FALSE)="","-",VLOOKUP(ROUND(CONCATENATE($A11,BU$2),0),'Cadastro dos Padrões'!$A$2:$V$921,BU$1,FALSE))</f>
        <v>0</v>
      </c>
      <c r="BV11" s="10">
        <f>IF(VLOOKUP(ROUND(CONCATENATE($A11,BV$2),0),'Cadastro dos Padrões'!$A$2:$V$921,BV$1,FALSE)="","-",VLOOKUP(ROUND(CONCATENATE($A11,BV$2),0),'Cadastro dos Padrões'!$A$2:$V$921,BV$1,FALSE))</f>
        <v>1.0000000000331966E-4</v>
      </c>
      <c r="BW11" s="10">
        <f>IF(VLOOKUP(ROUND(CONCATENATE($A11,BW$2),0),'Cadastro dos Padrões'!$A$2:$V$921,BW$1,FALSE)="","-",VLOOKUP(ROUND(CONCATENATE($A11,BW$2),0),'Cadastro dos Padrões'!$A$2:$V$921,BW$1,FALSE))</f>
        <v>0</v>
      </c>
      <c r="BX11" s="10">
        <f>IF(VLOOKUP(ROUND(CONCATENATE($A11,BX$2),0),'Cadastro dos Padrões'!$A$2:$V$921,BX$1,FALSE)="","-",VLOOKUP(ROUND(CONCATENATE($A11,BX$2),0),'Cadastro dos Padrões'!$A$2:$V$921,BX$1,FALSE))</f>
        <v>0</v>
      </c>
      <c r="BY11" s="10">
        <f>IF(VLOOKUP(ROUND(CONCATENATE($A11,BY$2),0),'Cadastro dos Padrões'!$A$2:$V$921,BY$1,FALSE)="","-",VLOOKUP(ROUND(CONCATENATE($A11,BY$2),0),'Cadastro dos Padrões'!$A$2:$V$921,BY$1,FALSE))</f>
        <v>0</v>
      </c>
      <c r="BZ11" s="10">
        <f>IF(VLOOKUP(ROUND(CONCATENATE($A11,BZ$2),0),'Cadastro dos Padrões'!$A$2:$V$921,BZ$1,FALSE)="","-",VLOOKUP(ROUND(CONCATENATE($A11,BZ$2),0),'Cadastro dos Padrões'!$A$2:$V$921,BZ$1,FALSE))</f>
        <v>0</v>
      </c>
      <c r="CA11" s="10">
        <f>IF(VLOOKUP(ROUND(CONCATENATE($A11,CA$2),0),'Cadastro dos Padrões'!$A$2:$V$921,CA$1,FALSE)="","-",VLOOKUP(ROUND(CONCATENATE($A11,CA$2),0),'Cadastro dos Padrões'!$A$2:$V$921,CA$1,FALSE))</f>
        <v>9.9999999999988987E-5</v>
      </c>
      <c r="CB11" s="10">
        <f>IF(VLOOKUP(ROUND(CONCATENATE($A11,CB$2),0),'Cadastro dos Padrões'!$A$2:$V$921,CB$1,FALSE)="","-",VLOOKUP(ROUND(CONCATENATE($A11,CB$2),0),'Cadastro dos Padrões'!$A$2:$V$921,CB$1,FALSE))</f>
        <v>9.9999999999988987E-5</v>
      </c>
      <c r="CC11" s="10">
        <f>IF(VLOOKUP(ROUND(CONCATENATE($A11,CC$2),0),'Cadastro dos Padrões'!$A$2:$V$921,CC$1,FALSE)="","-",VLOOKUP(ROUND(CONCATENATE($A11,CC$2),0),'Cadastro dos Padrões'!$A$2:$V$921,CC$1,FALSE))</f>
        <v>9.9999999999766942E-5</v>
      </c>
      <c r="CD11" s="10">
        <f>IF(VLOOKUP(ROUND(CONCATENATE($A11,CD$2),0),'Cadastro dos Padrões'!$A$2:$V$921,CD$1,FALSE)="","-",VLOOKUP(ROUND(CONCATENATE($A11,CD$2),0),'Cadastro dos Padrões'!$A$2:$V$921,CD$1,FALSE))</f>
        <v>0</v>
      </c>
      <c r="CE11" s="10">
        <f>IF(VLOOKUP(ROUND(CONCATENATE($A11,CE$2),0),'Cadastro dos Padrões'!$A$2:$V$921,CE$1,FALSE)="","-",VLOOKUP(ROUND(CONCATENATE($A11,CE$2),0),'Cadastro dos Padrões'!$A$2:$V$921,CE$1,FALSE))</f>
        <v>0</v>
      </c>
      <c r="CF11" s="10">
        <f>IF(VLOOKUP(ROUND(CONCATENATE($A11,CF$2),0),'Cadastro dos Padrões'!$A$2:$V$921,CF$1,FALSE)="","-",VLOOKUP(ROUND(CONCATENATE($A11,CF$2),0),'Cadastro dos Padrões'!$A$2:$V$921,CF$1,FALSE))</f>
        <v>0</v>
      </c>
      <c r="CG11" s="10">
        <f>IF(VLOOKUP(ROUND(CONCATENATE($A11,CG$2),0),'Cadastro dos Padrões'!$A$2:$V$921,CG$1,FALSE)="","-",VLOOKUP(ROUND(CONCATENATE($A11,CG$2),0),'Cadastro dos Padrões'!$A$2:$V$921,CG$1,FALSE))</f>
        <v>0</v>
      </c>
      <c r="CH11" s="10">
        <f>IF(VLOOKUP(ROUND(CONCATENATE($A11,CH$2),0),'Cadastro dos Padrões'!$A$2:$V$921,CH$1,FALSE)="","-",VLOOKUP(ROUND(CONCATENATE($A11,CH$2),0),'Cadastro dos Padrões'!$A$2:$V$921,CH$1,FALSE))</f>
        <v>0</v>
      </c>
      <c r="CI11" s="10">
        <f>IF(VLOOKUP(ROUND(CONCATENATE($A11,CI$2),0),'Cadastro dos Padrões'!$A$2:$V$921,CI$1,FALSE)="","-",VLOOKUP(ROUND(CONCATENATE($A11,CI$2),0),'Cadastro dos Padrões'!$A$2:$V$921,CI$1,FALSE))</f>
        <v>0</v>
      </c>
    </row>
    <row r="12" spans="1:87" x14ac:dyDescent="0.3">
      <c r="A12" s="4">
        <v>7</v>
      </c>
      <c r="B12" s="10" t="str">
        <f>IF(VLOOKUP(ROUND(CONCATENATE($A12,B$2),0),'Cadastro dos Padrões'!$A$2:$V$921,B$1,FALSE)="","-",VLOOKUP(ROUND(CONCATENATE($A12,B$2),0),'Cadastro dos Padrões'!$A$2:$V$921,B$1,FALSE))</f>
        <v>E.MS.PMR-001</v>
      </c>
      <c r="C12" s="10" t="str">
        <f>IF(VLOOKUP(ROUND(CONCATENATE($A12,C$2),0),'Cadastro dos Padrões'!$A$2:$V$921,C$1,FALSE)="","-",VLOOKUP(ROUND(CONCATENATE($A12,C$2),0),'Cadastro dos Padrões'!$A$2:$V$921,C$1,FALSE))</f>
        <v xml:space="preserve">Balança Analítica </v>
      </c>
      <c r="D12" s="10" t="str">
        <f>IF(VLOOKUP(ROUND(CONCATENATE($A12,D$2),0),'Cadastro dos Padrões'!$A$2:$V$921,D$1,FALSE)="","-",VLOOKUP(ROUND(CONCATENATE($A12,D$2),0),'Cadastro dos Padrões'!$A$2:$V$921,D$1,FALSE))</f>
        <v xml:space="preserve">Elus </v>
      </c>
      <c r="E12" s="10" t="str">
        <f>IF(VLOOKUP(ROUND(CONCATENATE($A12,E$2),0),'Cadastro dos Padrões'!$A$2:$V$921,E$1,FALSE)="","-",VLOOKUP(ROUND(CONCATENATE($A12,E$2),0),'Cadastro dos Padrões'!$A$2:$V$921,E$1,FALSE))</f>
        <v>RBC - CAL 0439</v>
      </c>
      <c r="F12" s="10" t="str">
        <f>IF(VLOOKUP(ROUND(CONCATENATE($A12,F$2),0),'Cadastro dos Padrões'!$A$2:$V$921,F$1,FALSE)="","-",VLOOKUP(ROUND(CONCATENATE($A12,F$2),0),'Cadastro dos Padrões'!$A$2:$V$921,F$1,FALSE))</f>
        <v>E0018/26</v>
      </c>
      <c r="G12" s="27">
        <f>IF(VLOOKUP(ROUND(CONCATENATE($A12,G$2),0),'Cadastro dos Padrões'!$A$2:$V$921,G$1,FALSE)="","-",VLOOKUP(ROUND(CONCATENATE($A12,G$2),0),'Cadastro dos Padrões'!$A$2:$V$921,G$1,FALSE))</f>
        <v>46031</v>
      </c>
      <c r="H12" s="29">
        <f>IF(VLOOKUP(ROUND(CONCATENATE($A12,H$2),0),'Cadastro dos Padrões'!$A$2:$V$921,H$1,FALSE)="","-",VLOOKUP(ROUND(CONCATENATE($A12,H$2),0),'Cadastro dos Padrões'!$A$2:$V$921,H$1,FALSE))</f>
        <v>46417</v>
      </c>
      <c r="I12" s="10" t="str">
        <f>IF(VLOOKUP(ROUND(CONCATENATE($A12,I$2),0),'Cadastro dos Padrões'!$A$2:$V$921,I$1,FALSE)="","-",VLOOKUP(ROUND(CONCATENATE($A12,I$2),0),'Cadastro dos Padrões'!$A$2:$V$921,I$1,FALSE))</f>
        <v>g</v>
      </c>
      <c r="J12" s="10">
        <f>IF(VLOOKUP(ROUND(CONCATENATE($A12,J$2),0),'Cadastro dos Padrões'!$A$2:$V$921,J$1,FALSE)="","-",VLOOKUP(ROUND(CONCATENATE($A12,J$2),0),'Cadastro dos Padrões'!$A$2:$V$921,J$1,FALSE))</f>
        <v>1E-3</v>
      </c>
      <c r="K12" s="10">
        <f>IF(VLOOKUP(ROUND(CONCATENATE($A12,K$2),0),'Cadastro dos Padrões'!$A$2:$V$921,K$1,FALSE)="","-",VLOOKUP(ROUND(CONCATENATE($A12,K$2),0),'Cadastro dos Padrões'!$A$2:$V$921,K$1,FALSE))</f>
        <v>100</v>
      </c>
      <c r="L12" s="10">
        <f>IF(VLOOKUP(ROUND(CONCATENATE($A12,L$2),0),'Cadastro dos Padrões'!$A$2:$V$921,L$1,FALSE)="","-",VLOOKUP(ROUND(CONCATENATE($A12,L$2),0),'Cadastro dos Padrões'!$A$2:$V$921,L$1,FALSE))</f>
        <v>1.0000000000000001E-5</v>
      </c>
      <c r="M12" s="10">
        <f>IF(VLOOKUP(ROUND(CONCATENATE($A12,M$2),0),'Cadastro dos Padrões'!$A$2:$V$921,M$1,FALSE)="","-",VLOOKUP(ROUND(CONCATENATE($A12,M$2),0),'Cadastro dos Padrões'!$A$2:$V$921,M$1,FALSE))</f>
        <v>1.0000000000331966E-4</v>
      </c>
      <c r="N12" s="10">
        <f>IF(VLOOKUP(ROUND(CONCATENATE($A12,N$2),0),'Cadastro dos Padrões'!$A$2:$V$921,N$1,FALSE)="","-",VLOOKUP(ROUND(CONCATENATE($A12,N$2),0),'Cadastro dos Padrões'!$A$2:$V$921,N$1,FALSE))</f>
        <v>4.0000000000000002E-4</v>
      </c>
      <c r="O12" s="10">
        <f>IF(VLOOKUP(ROUND(CONCATENATE($A12,O$2),0),'Cadastro dos Padrões'!$A$2:$V$921,O$1,FALSE)="","-",VLOOKUP(ROUND(CONCATENATE($A12,O$2),0),'Cadastro dos Padrões'!$A$2:$V$921,O$1,FALSE))</f>
        <v>5.0000000000238742E-4</v>
      </c>
      <c r="P12" s="28">
        <f>IF(VLOOKUP(ROUND(CONCATENATE($A12,P$2),0),'Cadastro dos Padrões'!$A$2:$V$921,P$1,FALSE)="","-",VLOOKUP(ROUND(CONCATENATE($A12,P$2),0),'Cadastro dos Padrões'!$A$2:$V$921,P$1,FALSE))</f>
        <v>7.3999999999330157E-4</v>
      </c>
      <c r="Q12" s="10">
        <f>IF($B12="-","-",VLOOKUP(ROUND(CONCATENATE($A12,Q$2),0),'Cadastro dos Padrões'!$A$2:$V$921,Q$1,FALSE))</f>
        <v>6.3200900668900936E-6</v>
      </c>
      <c r="R12" s="10">
        <f>IF($B12="-","-",VLOOKUP(ROUND(CONCATENATE($A12,R$2),0),'Cadastro dos Padrões'!$A$2:$V$921,R$1,FALSE))</f>
        <v>8</v>
      </c>
      <c r="S12" s="10">
        <f>IF($B12="-","-",VLOOKUP(ROUND(CONCATENATE($A12,S$2),0),'Cadastro dos Padrões'!$A$2:$V$921,S$1,FALSE))</f>
        <v>-7.3930558340861964E-15</v>
      </c>
      <c r="T12" s="10">
        <f>IF($B12="-","-",VLOOKUP(ROUND(CONCATENATE($A12,T$2),0),'Cadastro dos Padrões'!$A$2:$V$921,T$1,FALSE))</f>
        <v>1.3808070691209158E-12</v>
      </c>
      <c r="U12" s="10">
        <f>IF($B12="-","-",VLOOKUP(ROUND(CONCATENATE($A12,U$2),0),'Cadastro dos Padrões'!$A$2:$V$921,U$1,FALSE))</f>
        <v>-8.0311926920757997E-11</v>
      </c>
      <c r="V12" s="10">
        <f>IF($B12="-","-",VLOOKUP(ROUND(CONCATENATE($A12,V$2),0),'Cadastro dos Padrões'!$A$2:$V$921,V$1,FALSE))</f>
        <v>1.7448544254946536E-9</v>
      </c>
      <c r="W12" s="10">
        <f>IF($B12="-","-",VLOOKUP(ROUND(CONCATENATE($A12,W$2),0),'Cadastro dos Padrões'!$A$2:$V$921,W$1,FALSE))</f>
        <v>-1.2867425078348879E-8</v>
      </c>
      <c r="X12" s="10">
        <f>IF($B12="-","-",VLOOKUP(ROUND(CONCATENATE($A12,X$2),0),'Cadastro dos Padrões'!$A$2:$V$921,X$1,FALSE))</f>
        <v>0</v>
      </c>
      <c r="Y12" s="10">
        <f>IF($B12="-","-",VLOOKUP(ROUND(CONCATENATE($A12,Y$2),0),'Cadastro dos Padrões'!$A$2:$V$921,Y$1,FALSE))</f>
        <v>0</v>
      </c>
      <c r="Z12" s="10">
        <f>IF($B12="-","-",VLOOKUP(ROUND(CONCATENATE($A12,Z$2),0),'Cadastro dos Padrões'!$A$2:$V$921,Z$1,FALSE))</f>
        <v>1.0000005612557945</v>
      </c>
      <c r="AA12" s="10">
        <f>IF($B12="-","-",VLOOKUP(ROUND(CONCATENATE($A12,AA$2),0),'Cadastro dos Padrões'!$A$2:$V$921,AA$1,FALSE))</f>
        <v>-4.1782269599721644E-6</v>
      </c>
      <c r="AB12" s="10">
        <f>IF(VLOOKUP(ROUND(CONCATENATE($A12,AB$2),0),'Cadastro dos Padrões'!$A$2:$V$921,AB$1,FALSE)="","-",VLOOKUP(ROUND(CONCATENATE($A12,AB$2),0),'Cadastro dos Padrões'!$A$2:$V$921,AB$1,FALSE))</f>
        <v>1E-3</v>
      </c>
      <c r="AC12" s="10">
        <f>IF(VLOOKUP(ROUND(CONCATENATE($A12,AC$2),0),'Cadastro dos Padrões'!$A$2:$V$921,AC$1,FALSE)="","-",VLOOKUP(ROUND(CONCATENATE($A12,AC$2),0),'Cadastro dos Padrões'!$A$2:$V$921,AC$1,FALSE))</f>
        <v>2.0000000000000002E-5</v>
      </c>
      <c r="AD12" s="10">
        <f>IF(VLOOKUP(ROUND(CONCATENATE($A12,AD$2),0),'Cadastro dos Padrões'!$A$2:$V$921,AD$1,FALSE)="","-",VLOOKUP(ROUND(CONCATENATE($A12,AD$2),0),'Cadastro dos Padrões'!$A$2:$V$921,AD$1,FALSE))</f>
        <v>2</v>
      </c>
      <c r="AE12" s="10">
        <f>IF(VLOOKUP(ROUND(CONCATENATE($A12,AE$2),0),'Cadastro dos Padrões'!$A$2:$V$921,AE$1,FALSE)="","-",VLOOKUP(ROUND(CONCATENATE($A12,AE$2),0),'Cadastro dos Padrões'!$A$2:$V$921,AE$1,FALSE))</f>
        <v>1000000</v>
      </c>
      <c r="AF12" s="10">
        <f>IF(VLOOKUP(ROUND(CONCATENATE($A12,AF$2),0),'Cadastro dos Padrões'!$A$2:$V$921,AF$1,FALSE)="","-",VLOOKUP(ROUND(CONCATENATE($A12,AF$2),0),'Cadastro dos Padrões'!$A$2:$V$921,AF$1,FALSE))</f>
        <v>5.0000000000000001E-3</v>
      </c>
      <c r="AG12" s="10">
        <f>IF(VLOOKUP(ROUND(CONCATENATE($A12,AG$2),0),'Cadastro dos Padrões'!$A$2:$V$921,AG$1,FALSE)="","-",VLOOKUP(ROUND(CONCATENATE($A12,AG$2),0),'Cadastro dos Padrões'!$A$2:$V$921,AG$1,FALSE))</f>
        <v>2.0000000000000002E-5</v>
      </c>
      <c r="AH12" s="10">
        <f>IF(VLOOKUP(ROUND(CONCATENATE($A12,AH$2),0),'Cadastro dos Padrões'!$A$2:$V$921,AH$1,FALSE)="","-",VLOOKUP(ROUND(CONCATENATE($A12,AH$2),0),'Cadastro dos Padrões'!$A$2:$V$921,AH$1,FALSE))</f>
        <v>2</v>
      </c>
      <c r="AI12" s="10">
        <f>IF(VLOOKUP(ROUND(CONCATENATE($A12,AI$2),0),'Cadastro dos Padrões'!$A$2:$V$921,AI$1,FALSE)="","-",VLOOKUP(ROUND(CONCATENATE($A12,AI$2),0),'Cadastro dos Padrões'!$A$2:$V$921,AI$1,FALSE))</f>
        <v>1000000</v>
      </c>
      <c r="AJ12" s="10">
        <f>IF(VLOOKUP(ROUND(CONCATENATE($A12,AJ$2),0),'Cadastro dos Padrões'!$A$2:$V$921,AJ$1,FALSE)="","-",VLOOKUP(ROUND(CONCATENATE($A12,AJ$2),0),'Cadastro dos Padrões'!$A$2:$V$921,AJ$1,FALSE))</f>
        <v>0.1</v>
      </c>
      <c r="AK12" s="10">
        <f>IF(VLOOKUP(ROUND(CONCATENATE($A12,AK$2),0),'Cadastro dos Padrões'!$A$2:$V$921,AK$1,FALSE)="","-",VLOOKUP(ROUND(CONCATENATE($A12,AK$2),0),'Cadastro dos Padrões'!$A$2:$V$921,AK$1,FALSE))</f>
        <v>2.0000000000000002E-5</v>
      </c>
      <c r="AL12" s="10">
        <f>IF(VLOOKUP(ROUND(CONCATENATE($A12,AL$2),0),'Cadastro dos Padrões'!$A$2:$V$921,AL$1,FALSE)="","-",VLOOKUP(ROUND(CONCATENATE($A12,AL$2),0),'Cadastro dos Padrões'!$A$2:$V$921,AL$1,FALSE))</f>
        <v>2.0099999999999998</v>
      </c>
      <c r="AM12" s="10">
        <f>IF(VLOOKUP(ROUND(CONCATENATE($A12,AM$2),0),'Cadastro dos Padrões'!$A$2:$V$921,AM$1,FALSE)="","-",VLOOKUP(ROUND(CONCATENATE($A12,AM$2),0),'Cadastro dos Padrões'!$A$2:$V$921,AM$1,FALSE))</f>
        <v>181</v>
      </c>
      <c r="AN12" s="10">
        <f>IF(VLOOKUP(ROUND(CONCATENATE($A12,AN$2),0),'Cadastro dos Padrões'!$A$2:$V$921,AN$1,FALSE)="","-",VLOOKUP(ROUND(CONCATENATE($A12,AN$2),0),'Cadastro dos Padrões'!$A$2:$V$921,AN$1,FALSE))</f>
        <v>0.5</v>
      </c>
      <c r="AO12" s="10">
        <f>IF(VLOOKUP(ROUND(CONCATENATE($A12,AO$2),0),'Cadastro dos Padrões'!$A$2:$V$921,AO$1,FALSE)="","-",VLOOKUP(ROUND(CONCATENATE($A12,AO$2),0),'Cadastro dos Padrões'!$A$2:$V$921,AO$1,FALSE))</f>
        <v>2.0000000000000002E-5</v>
      </c>
      <c r="AP12" s="10">
        <f>IF(VLOOKUP(ROUND(CONCATENATE($A12,AP$2),0),'Cadastro dos Padrões'!$A$2:$V$921,AP$1,FALSE)="","-",VLOOKUP(ROUND(CONCATENATE($A12,AP$2),0),'Cadastro dos Padrões'!$A$2:$V$921,AP$1,FALSE))</f>
        <v>2.0099999999999998</v>
      </c>
      <c r="AQ12" s="10">
        <f>IF(VLOOKUP(ROUND(CONCATENATE($A12,AQ$2),0),'Cadastro dos Padrões'!$A$2:$V$921,AQ$1,FALSE)="","-",VLOOKUP(ROUND(CONCATENATE($A12,AQ$2),0),'Cadastro dos Padrões'!$A$2:$V$921,AQ$1,FALSE))</f>
        <v>182</v>
      </c>
      <c r="AR12" s="10">
        <f>IF(VLOOKUP(ROUND(CONCATENATE($A12,AR$2),0),'Cadastro dos Padrões'!$A$2:$V$921,AR$1,FALSE)="","-",VLOOKUP(ROUND(CONCATENATE($A12,AR$2),0),'Cadastro dos Padrões'!$A$2:$V$921,AR$1,FALSE))</f>
        <v>1</v>
      </c>
      <c r="AS12" s="10">
        <f>IF(VLOOKUP(ROUND(CONCATENATE($A12,AS$2),0),'Cadastro dos Padrões'!$A$2:$V$921,AS$1,FALSE)="","-",VLOOKUP(ROUND(CONCATENATE($A12,AS$2),0),'Cadastro dos Padrões'!$A$2:$V$921,AS$1,FALSE))</f>
        <v>4.0000000000000003E-5</v>
      </c>
      <c r="AT12" s="10">
        <f>IF(VLOOKUP(ROUND(CONCATENATE($A12,AT$2),0),'Cadastro dos Padrões'!$A$2:$V$921,AT$1,FALSE)="","-",VLOOKUP(ROUND(CONCATENATE($A12,AT$2),0),'Cadastro dos Padrões'!$A$2:$V$921,AT$1,FALSE))</f>
        <v>2</v>
      </c>
      <c r="AU12" s="10">
        <f>IF(VLOOKUP(ROUND(CONCATENATE($A12,AU$2),0),'Cadastro dos Padrões'!$A$2:$V$921,AU$1,FALSE)="","-",VLOOKUP(ROUND(CONCATENATE($A12,AU$2),0),'Cadastro dos Padrões'!$A$2:$V$921,AU$1,FALSE))</f>
        <v>1000000</v>
      </c>
      <c r="AV12" s="10">
        <f>IF(VLOOKUP(ROUND(CONCATENATE($A12,AV$2),0),'Cadastro dos Padrões'!$A$2:$V$921,AV$1,FALSE)="","-",VLOOKUP(ROUND(CONCATENATE($A12,AV$2),0),'Cadastro dos Padrões'!$A$2:$V$921,AV$1,FALSE))</f>
        <v>10</v>
      </c>
      <c r="AW12" s="10">
        <f>IF(VLOOKUP(ROUND(CONCATENATE($A12,AW$2),0),'Cadastro dos Padrões'!$A$2:$V$921,AW$1,FALSE)="","-",VLOOKUP(ROUND(CONCATENATE($A12,AW$2),0),'Cadastro dos Padrões'!$A$2:$V$921,AW$1,FALSE))</f>
        <v>8.0000000000000007E-5</v>
      </c>
      <c r="AX12" s="10">
        <f>IF(VLOOKUP(ROUND(CONCATENATE($A12,AX$2),0),'Cadastro dos Padrões'!$A$2:$V$921,AX$1,FALSE)="","-",VLOOKUP(ROUND(CONCATENATE($A12,AX$2),0),'Cadastro dos Padrões'!$A$2:$V$921,AX$1,FALSE))</f>
        <v>2</v>
      </c>
      <c r="AY12" s="10">
        <f>IF(VLOOKUP(ROUND(CONCATENATE($A12,AY$2),0),'Cadastro dos Padrões'!$A$2:$V$921,AY$1,FALSE)="","-",VLOOKUP(ROUND(CONCATENATE($A12,AY$2),0),'Cadastro dos Padrões'!$A$2:$V$921,AY$1,FALSE))</f>
        <v>1000000</v>
      </c>
      <c r="AZ12" s="10">
        <f>IF(VLOOKUP(ROUND(CONCATENATE($A12,AZ$2),0),'Cadastro dos Padrões'!$A$2:$V$921,AZ$1,FALSE)="","-",VLOOKUP(ROUND(CONCATENATE($A12,AZ$2),0),'Cadastro dos Padrões'!$A$2:$V$921,AZ$1,FALSE))</f>
        <v>15</v>
      </c>
      <c r="BA12" s="10">
        <f>IF(VLOOKUP(ROUND(CONCATENATE($A12,BA$2),0),'Cadastro dos Padrões'!$A$2:$V$921,BA$1,FALSE)="","-",VLOOKUP(ROUND(CONCATENATE($A12,BA$2),0),'Cadastro dos Padrões'!$A$2:$V$921,BA$1,FALSE))</f>
        <v>8.0000000000000007E-5</v>
      </c>
      <c r="BB12" s="10">
        <f>IF(VLOOKUP(ROUND(CONCATENATE($A12,BB$2),0),'Cadastro dos Padrões'!$A$2:$V$921,BB$1,FALSE)="","-",VLOOKUP(ROUND(CONCATENATE($A12,BB$2),0),'Cadastro dos Padrões'!$A$2:$V$921,BB$1,FALSE))</f>
        <v>2</v>
      </c>
      <c r="BC12" s="10">
        <f>IF(VLOOKUP(ROUND(CONCATENATE($A12,BC$2),0),'Cadastro dos Padrões'!$A$2:$V$921,BC$1,FALSE)="","-",VLOOKUP(ROUND(CONCATENATE($A12,BC$2),0),'Cadastro dos Padrões'!$A$2:$V$921,BC$1,FALSE))</f>
        <v>1000000</v>
      </c>
      <c r="BD12" s="10">
        <f>IF(VLOOKUP(ROUND(CONCATENATE($A12,BD$2),0),'Cadastro dos Padrões'!$A$2:$V$921,BD$1,FALSE)="","-",VLOOKUP(ROUND(CONCATENATE($A12,BD$2),0),'Cadastro dos Padrões'!$A$2:$V$921,BD$1,FALSE))</f>
        <v>20</v>
      </c>
      <c r="BE12" s="10">
        <f>IF(VLOOKUP(ROUND(CONCATENATE($A12,BE$2),0),'Cadastro dos Padrões'!$A$2:$V$921,BE$1,FALSE)="","-",VLOOKUP(ROUND(CONCATENATE($A12,BE$2),0),'Cadastro dos Padrões'!$A$2:$V$921,BE$1,FALSE))</f>
        <v>9.0000000000000006E-5</v>
      </c>
      <c r="BF12" s="10">
        <f>IF(VLOOKUP(ROUND(CONCATENATE($A12,BF$2),0),'Cadastro dos Padrões'!$A$2:$V$921,BF$1,FALSE)="","-",VLOOKUP(ROUND(CONCATENATE($A12,BF$2),0),'Cadastro dos Padrões'!$A$2:$V$921,BF$1,FALSE))</f>
        <v>2</v>
      </c>
      <c r="BG12" s="10">
        <f>IF(VLOOKUP(ROUND(CONCATENATE($A12,BG$2),0),'Cadastro dos Padrões'!$A$2:$V$921,BG$1,FALSE)="","-",VLOOKUP(ROUND(CONCATENATE($A12,BG$2),0),'Cadastro dos Padrões'!$A$2:$V$921,BG$1,FALSE))</f>
        <v>1000000</v>
      </c>
      <c r="BH12" s="10">
        <f>IF(VLOOKUP(ROUND(CONCATENATE($A12,BH$2),0),'Cadastro dos Padrões'!$A$2:$V$921,BH$1,FALSE)="","-",VLOOKUP(ROUND(CONCATENATE($A12,BH$2),0),'Cadastro dos Padrões'!$A$2:$V$921,BH$1,FALSE))</f>
        <v>50</v>
      </c>
      <c r="BI12" s="10">
        <f>IF(VLOOKUP(ROUND(CONCATENATE($A12,BI$2),0),'Cadastro dos Padrões'!$A$2:$V$921,BI$1,FALSE)="","-",VLOOKUP(ROUND(CONCATENATE($A12,BI$2),0),'Cadastro dos Padrões'!$A$2:$V$921,BI$1,FALSE))</f>
        <v>1.6000000000000001E-4</v>
      </c>
      <c r="BJ12" s="10">
        <f>IF(VLOOKUP(ROUND(CONCATENATE($A12,BJ$2),0),'Cadastro dos Padrões'!$A$2:$V$921,BJ$1,FALSE)="","-",VLOOKUP(ROUND(CONCATENATE($A12,BJ$2),0),'Cadastro dos Padrões'!$A$2:$V$921,BJ$1,FALSE))</f>
        <v>2</v>
      </c>
      <c r="BK12" s="10">
        <f>IF(VLOOKUP(ROUND(CONCATENATE($A12,BK$2),0),'Cadastro dos Padrões'!$A$2:$V$921,BK$1,FALSE)="","-",VLOOKUP(ROUND(CONCATENATE($A12,BK$2),0),'Cadastro dos Padrões'!$A$2:$V$921,BK$1,FALSE))</f>
        <v>1000000</v>
      </c>
      <c r="BL12" s="10">
        <f>IF(VLOOKUP(ROUND(CONCATENATE($A12,BL$2),0),'Cadastro dos Padrões'!$A$2:$V$921,BL$1,FALSE)="","-",VLOOKUP(ROUND(CONCATENATE($A12,BL$2),0),'Cadastro dos Padrões'!$A$2:$V$921,BL$1,FALSE))</f>
        <v>100</v>
      </c>
      <c r="BM12" s="10">
        <f>IF(VLOOKUP(ROUND(CONCATENATE($A12,BM$2),0),'Cadastro dos Padrões'!$A$2:$V$921,BM$1,FALSE)="","-",VLOOKUP(ROUND(CONCATENATE($A12,BM$2),0),'Cadastro dos Padrões'!$A$2:$V$921,BM$1,FALSE))</f>
        <v>4.0000000000000002E-4</v>
      </c>
      <c r="BN12" s="10">
        <f>IF(VLOOKUP(ROUND(CONCATENATE($A12,BN$2),0),'Cadastro dos Padrões'!$A$2:$V$921,BN$1,FALSE)="","-",VLOOKUP(ROUND(CONCATENATE($A12,BN$2),0),'Cadastro dos Padrões'!$A$2:$V$921,BN$1,FALSE))</f>
        <v>2</v>
      </c>
      <c r="BO12" s="10">
        <f>IF(VLOOKUP(ROUND(CONCATENATE($A12,BO$2),0),'Cadastro dos Padrões'!$A$2:$V$921,BO$1,FALSE)="","-",VLOOKUP(ROUND(CONCATENATE($A12,BO$2),0),'Cadastro dos Padrões'!$A$2:$V$921,BO$1,FALSE))</f>
        <v>1000000</v>
      </c>
      <c r="BP12" s="10">
        <f>IF(VLOOKUP(ROUND(CONCATENATE($A12,BP$2),0),'Cadastro dos Padrões'!$A$2:$V$921,BP$1,FALSE)="","-",VLOOKUP(ROUND(CONCATENATE($A12,BP$2),0),'Cadastro dos Padrões'!$A$2:$V$921,BP$1,FALSE))</f>
        <v>0</v>
      </c>
      <c r="BQ12" s="10">
        <f>IF(VLOOKUP(ROUND(CONCATENATE($A12,BQ$2),0),'Cadastro dos Padrões'!$A$2:$V$921,BQ$1,FALSE)="","-",VLOOKUP(ROUND(CONCATENATE($A12,BQ$2),0),'Cadastro dos Padrões'!$A$2:$V$921,BQ$1,FALSE))</f>
        <v>0</v>
      </c>
      <c r="BR12" s="10">
        <f>IF(VLOOKUP(ROUND(CONCATENATE($A12,BR$2),0),'Cadastro dos Padrões'!$A$2:$V$921,BR$1,FALSE)="","-",VLOOKUP(ROUND(CONCATENATE($A12,BR$2),0),'Cadastro dos Padrões'!$A$2:$V$921,BR$1,FALSE))</f>
        <v>9.9999999999961231E-6</v>
      </c>
      <c r="BS12" s="10">
        <f>IF(VLOOKUP(ROUND(CONCATENATE($A12,BS$2),0),'Cadastro dos Padrões'!$A$2:$V$921,BS$1,FALSE)="","-",VLOOKUP(ROUND(CONCATENATE($A12,BS$2),0),'Cadastro dos Padrões'!$A$2:$V$921,BS$1,FALSE))</f>
        <v>9.9999999999544897E-6</v>
      </c>
      <c r="BT12" s="10">
        <f>IF(VLOOKUP(ROUND(CONCATENATE($A12,BT$2),0),'Cadastro dos Padrões'!$A$2:$V$921,BT$1,FALSE)="","-",VLOOKUP(ROUND(CONCATENATE($A12,BT$2),0),'Cadastro dos Padrões'!$A$2:$V$921,BT$1,FALSE))</f>
        <v>0</v>
      </c>
      <c r="BU12" s="10">
        <f>IF(VLOOKUP(ROUND(CONCATENATE($A12,BU$2),0),'Cadastro dos Padrões'!$A$2:$V$921,BU$1,FALSE)="","-",VLOOKUP(ROUND(CONCATENATE($A12,BU$2),0),'Cadastro dos Padrões'!$A$2:$V$921,BU$1,FALSE))</f>
        <v>1.9999999999242846E-5</v>
      </c>
      <c r="BV12" s="10">
        <f>IF(VLOOKUP(ROUND(CONCATENATE($A12,BV$2),0),'Cadastro dos Padrões'!$A$2:$V$921,BV$1,FALSE)="","-",VLOOKUP(ROUND(CONCATENATE($A12,BV$2),0),'Cadastro dos Padrões'!$A$2:$V$921,BV$1,FALSE))</f>
        <v>1.9999999999242846E-5</v>
      </c>
      <c r="BW12" s="10">
        <f>IF(VLOOKUP(ROUND(CONCATENATE($A12,BW$2),0),'Cadastro dos Padrões'!$A$2:$V$921,BW$1,FALSE)="","-",VLOOKUP(ROUND(CONCATENATE($A12,BW$2),0),'Cadastro dos Padrões'!$A$2:$V$921,BW$1,FALSE))</f>
        <v>2.9999999998864268E-5</v>
      </c>
      <c r="BX12" s="10">
        <f>IF(VLOOKUP(ROUND(CONCATENATE($A12,BX$2),0),'Cadastro dos Padrões'!$A$2:$V$921,BX$1,FALSE)="","-",VLOOKUP(ROUND(CONCATENATE($A12,BX$2),0),'Cadastro dos Padrões'!$A$2:$V$921,BX$1,FALSE))</f>
        <v>3.9999999998485691E-5</v>
      </c>
      <c r="BY12" s="10">
        <f>IF(VLOOKUP(ROUND(CONCATENATE($A12,BY$2),0),'Cadastro dos Padrões'!$A$2:$V$921,BY$1,FALSE)="","-",VLOOKUP(ROUND(CONCATENATE($A12,BY$2),0),'Cadastro dos Padrões'!$A$2:$V$921,BY$1,FALSE))</f>
        <v>-1.0000000000331966E-4</v>
      </c>
      <c r="BZ12" s="10">
        <f>IF(VLOOKUP(ROUND(CONCATENATE($A12,BZ$2),0),'Cadastro dos Padrões'!$A$2:$V$921,BZ$1,FALSE)="","-",VLOOKUP(ROUND(CONCATENATE($A12,BZ$2),0),'Cadastro dos Padrões'!$A$2:$V$921,BZ$1,FALSE))</f>
        <v>0</v>
      </c>
      <c r="CA12" s="10">
        <f>IF(VLOOKUP(ROUND(CONCATENATE($A12,CA$2),0),'Cadastro dos Padrões'!$A$2:$V$921,CA$1,FALSE)="","-",VLOOKUP(ROUND(CONCATENATE($A12,CA$2),0),'Cadastro dos Padrões'!$A$2:$V$921,CA$1,FALSE))</f>
        <v>0</v>
      </c>
      <c r="CB12" s="10">
        <f>IF(VLOOKUP(ROUND(CONCATENATE($A12,CB$2),0),'Cadastro dos Padrões'!$A$2:$V$921,CB$1,FALSE)="","-",VLOOKUP(ROUND(CONCATENATE($A12,CB$2),0),'Cadastro dos Padrões'!$A$2:$V$921,CB$1,FALSE))</f>
        <v>-2.0000000000006124E-5</v>
      </c>
      <c r="CC12" s="10">
        <f>IF(VLOOKUP(ROUND(CONCATENATE($A12,CC$2),0),'Cadastro dos Padrões'!$A$2:$V$921,CC$1,FALSE)="","-",VLOOKUP(ROUND(CONCATENATE($A12,CC$2),0),'Cadastro dos Padrões'!$A$2:$V$921,CC$1,FALSE))</f>
        <v>-1.9999999999964491E-5</v>
      </c>
      <c r="CD12" s="10">
        <f>IF(VLOOKUP(ROUND(CONCATENATE($A12,CD$2),0),'Cadastro dos Padrões'!$A$2:$V$921,CD$1,FALSE)="","-",VLOOKUP(ROUND(CONCATENATE($A12,CD$2),0),'Cadastro dos Padrões'!$A$2:$V$921,CD$1,FALSE))</f>
        <v>1.0000000000065512E-5</v>
      </c>
      <c r="CE12" s="10">
        <f>IF(VLOOKUP(ROUND(CONCATENATE($A12,CE$2),0),'Cadastro dos Padrões'!$A$2:$V$921,CE$1,FALSE)="","-",VLOOKUP(ROUND(CONCATENATE($A12,CE$2),0),'Cadastro dos Padrões'!$A$2:$V$921,CE$1,FALSE))</f>
        <v>1.000000000139778E-5</v>
      </c>
      <c r="CF12" s="10">
        <f>IF(VLOOKUP(ROUND(CONCATENATE($A12,CF$2),0),'Cadastro dos Padrões'!$A$2:$V$921,CF$1,FALSE)="","-",VLOOKUP(ROUND(CONCATENATE($A12,CF$2),0),'Cadastro dos Padrões'!$A$2:$V$921,CF$1,FALSE))</f>
        <v>7.0000000000902673E-5</v>
      </c>
      <c r="CG12" s="10">
        <f>IF(VLOOKUP(ROUND(CONCATENATE($A12,CG$2),0),'Cadastro dos Padrões'!$A$2:$V$921,CG$1,FALSE)="","-",VLOOKUP(ROUND(CONCATENATE($A12,CG$2),0),'Cadastro dos Padrões'!$A$2:$V$921,CG$1,FALSE))</f>
        <v>9.9999999996214228E-6</v>
      </c>
      <c r="CH12" s="10">
        <f>IF(VLOOKUP(ROUND(CONCATENATE($A12,CH$2),0),'Cadastro dos Padrões'!$A$2:$V$921,CH$1,FALSE)="","-",VLOOKUP(ROUND(CONCATENATE($A12,CH$2),0),'Cadastro dos Padrões'!$A$2:$V$921,CH$1,FALSE))</f>
        <v>6.0000000004833964E-5</v>
      </c>
      <c r="CI12" s="10">
        <f>IF(VLOOKUP(ROUND(CONCATENATE($A12,CI$2),0),'Cadastro dos Padrões'!$A$2:$V$921,CI$1,FALSE)="","-",VLOOKUP(ROUND(CONCATENATE($A12,CI$2),0),'Cadastro dos Padrões'!$A$2:$V$921,CI$1,FALSE))</f>
        <v>5.0000000000238742E-4</v>
      </c>
    </row>
    <row r="13" spans="1:87" x14ac:dyDescent="0.3">
      <c r="A13" s="4">
        <v>8</v>
      </c>
      <c r="B13" s="10" t="str">
        <f>IF(VLOOKUP(ROUND(CONCATENATE($A13,B$2),0),'Cadastro dos Padrões'!$A$2:$V$921,B$1,FALSE)="","-",VLOOKUP(ROUND(CONCATENATE($A13,B$2),0),'Cadastro dos Padrões'!$A$2:$V$921,B$1,FALSE))</f>
        <v>E.MS.PMR-003</v>
      </c>
      <c r="C13" s="10" t="str">
        <f>IF(VLOOKUP(ROUND(CONCATENATE($A13,C$2),0),'Cadastro dos Padrões'!$A$2:$V$921,C$1,FALSE)="","-",VLOOKUP(ROUND(CONCATENATE($A13,C$2),0),'Cadastro dos Padrões'!$A$2:$V$921,C$1,FALSE))</f>
        <v>Balança eletrônica</v>
      </c>
      <c r="D13" s="10" t="str">
        <f>IF(VLOOKUP(ROUND(CONCATENATE($A13,D$2),0),'Cadastro dos Padrões'!$A$2:$V$921,D$1,FALSE)="","-",VLOOKUP(ROUND(CONCATENATE($A13,D$2),0),'Cadastro dos Padrões'!$A$2:$V$921,D$1,FALSE))</f>
        <v xml:space="preserve">Elus </v>
      </c>
      <c r="E13" s="10" t="str">
        <f>IF(VLOOKUP(ROUND(CONCATENATE($A13,E$2),0),'Cadastro dos Padrões'!$A$2:$V$921,E$1,FALSE)="","-",VLOOKUP(ROUND(CONCATENATE($A13,E$2),0),'Cadastro dos Padrões'!$A$2:$V$921,E$1,FALSE))</f>
        <v>RBC - CAL 0439</v>
      </c>
      <c r="F13" s="10" t="str">
        <f>IF(VLOOKUP(ROUND(CONCATENATE($A13,F$2),0),'Cadastro dos Padrões'!$A$2:$V$921,F$1,FALSE)="","-",VLOOKUP(ROUND(CONCATENATE($A13,F$2),0),'Cadastro dos Padrões'!$A$2:$V$921,F$1,FALSE))</f>
        <v>E0020/26</v>
      </c>
      <c r="G13" s="27">
        <f>IF(VLOOKUP(ROUND(CONCATENATE($A13,G$2),0),'Cadastro dos Padrões'!$A$2:$V$921,G$1,FALSE)="","-",VLOOKUP(ROUND(CONCATENATE($A13,G$2),0),'Cadastro dos Padrões'!$A$2:$V$921,G$1,FALSE))</f>
        <v>46031</v>
      </c>
      <c r="H13" s="29">
        <f>IF(VLOOKUP(ROUND(CONCATENATE($A13,H$2),0),'Cadastro dos Padrões'!$A$2:$V$921,H$1,FALSE)="","-",VLOOKUP(ROUND(CONCATENATE($A13,H$2),0),'Cadastro dos Padrões'!$A$2:$V$921,H$1,FALSE))</f>
        <v>46417</v>
      </c>
      <c r="I13" s="10" t="str">
        <f>IF(VLOOKUP(ROUND(CONCATENATE($A13,I$2),0),'Cadastro dos Padrões'!$A$2:$V$921,I$1,FALSE)="","-",VLOOKUP(ROUND(CONCATENATE($A13,I$2),0),'Cadastro dos Padrões'!$A$2:$V$921,I$1,FALSE))</f>
        <v>kg</v>
      </c>
      <c r="J13" s="10">
        <f>IF(VLOOKUP(ROUND(CONCATENATE($A13,J$2),0),'Cadastro dos Padrões'!$A$2:$V$921,J$1,FALSE)="","-",VLOOKUP(ROUND(CONCATENATE($A13,J$2),0),'Cadastro dos Padrões'!$A$2:$V$921,J$1,FALSE))</f>
        <v>1</v>
      </c>
      <c r="K13" s="10">
        <f>IF(VLOOKUP(ROUND(CONCATENATE($A13,K$2),0),'Cadastro dos Padrões'!$A$2:$V$921,K$1,FALSE)="","-",VLOOKUP(ROUND(CONCATENATE($A13,K$2),0),'Cadastro dos Padrões'!$A$2:$V$921,K$1,FALSE))</f>
        <v>60</v>
      </c>
      <c r="L13" s="10">
        <f>IF(VLOOKUP(ROUND(CONCATENATE($A13,L$2),0),'Cadastro dos Padrões'!$A$2:$V$921,L$1,FALSE)="","-",VLOOKUP(ROUND(CONCATENATE($A13,L$2),0),'Cadastro dos Padrões'!$A$2:$V$921,L$1,FALSE))</f>
        <v>1E-3</v>
      </c>
      <c r="M13" s="10">
        <f>IF(VLOOKUP(ROUND(CONCATENATE($A13,M$2),0),'Cadastro dos Padrões'!$A$2:$V$921,M$1,FALSE)="","-",VLOOKUP(ROUND(CONCATENATE($A13,M$2),0),'Cadastro dos Padrões'!$A$2:$V$921,M$1,FALSE))</f>
        <v>2.0000000000024443E-3</v>
      </c>
      <c r="N13" s="10">
        <f>IF(VLOOKUP(ROUND(CONCATENATE($A13,N$2),0),'Cadastro dos Padrões'!$A$2:$V$921,N$1,FALSE)="","-",VLOOKUP(ROUND(CONCATENATE($A13,N$2),0),'Cadastro dos Padrões'!$A$2:$V$921,N$1,FALSE))</f>
        <v>3.0000000000000001E-3</v>
      </c>
      <c r="O13" s="10">
        <f>IF(VLOOKUP(ROUND(CONCATENATE($A13,O$2),0),'Cadastro dos Padrões'!$A$2:$V$921,O$1,FALSE)="","-",VLOOKUP(ROUND(CONCATENATE($A13,O$2),0),'Cadastro dos Padrões'!$A$2:$V$921,O$1,FALSE))</f>
        <v>1.9999999999988916E-3</v>
      </c>
      <c r="P13" s="28">
        <f>IF(VLOOKUP(ROUND(CONCATENATE($A13,P$2),0),'Cadastro dos Padrões'!$A$2:$V$921,P$1,FALSE)="","-",VLOOKUP(ROUND(CONCATENATE($A13,P$2),0),'Cadastro dos Padrões'!$A$2:$V$921,P$1,FALSE))</f>
        <v>5.0000000000061107E-3</v>
      </c>
      <c r="Q13" s="10">
        <f>IF($B13="-","-",VLOOKUP(ROUND(CONCATENATE($A13,Q$2),0),'Cadastro dos Padrões'!$A$2:$V$921,Q$1,FALSE))</f>
        <v>1.6372153820354285E-4</v>
      </c>
      <c r="R13" s="10">
        <f>IF($B13="-","-",VLOOKUP(ROUND(CONCATENATE($A13,R$2),0),'Cadastro dos Padrões'!$A$2:$V$921,R$1,FALSE))</f>
        <v>5</v>
      </c>
      <c r="S13" s="10">
        <f>IF($B13="-","-",VLOOKUP(ROUND(CONCATENATE($A13,S$2),0),'Cadastro dos Padrões'!$A$2:$V$921,S$1,FALSE))</f>
        <v>0</v>
      </c>
      <c r="T13" s="10">
        <f>IF($B13="-","-",VLOOKUP(ROUND(CONCATENATE($A13,T$2),0),'Cadastro dos Padrões'!$A$2:$V$921,T$1,FALSE))</f>
        <v>0</v>
      </c>
      <c r="U13" s="10">
        <f>IF($B13="-","-",VLOOKUP(ROUND(CONCATENATE($A13,U$2),0),'Cadastro dos Padrões'!$A$2:$V$921,U$1,FALSE))</f>
        <v>0</v>
      </c>
      <c r="V13" s="10">
        <f>IF($B13="-","-",VLOOKUP(ROUND(CONCATENATE($A13,V$2),0),'Cadastro dos Padrões'!$A$2:$V$921,V$1,FALSE))</f>
        <v>-3.9706870565736047E-11</v>
      </c>
      <c r="W13" s="10">
        <f>IF($B13="-","-",VLOOKUP(ROUND(CONCATENATE($A13,W$2),0),'Cadastro dos Padrões'!$A$2:$V$921,W$1,FALSE))</f>
        <v>3.2691647659282339E-9</v>
      </c>
      <c r="X13" s="10">
        <f>IF($B13="-","-",VLOOKUP(ROUND(CONCATENATE($A13,X$2),0),'Cadastro dos Padrões'!$A$2:$V$921,X$1,FALSE))</f>
        <v>-1.566910709068572E-8</v>
      </c>
      <c r="Y13" s="10">
        <f>IF($B13="-","-",VLOOKUP(ROUND(CONCATENATE($A13,Y$2),0),'Cadastro dos Padrões'!$A$2:$V$921,Y$1,FALSE))</f>
        <v>-2.1325971783988338E-6</v>
      </c>
      <c r="Z13" s="10">
        <f>IF($B13="-","-",VLOOKUP(ROUND(CONCATENATE($A13,Z$2),0),'Cadastro dos Padrões'!$A$2:$V$921,Z$1,FALSE))</f>
        <v>1.0000265852051524</v>
      </c>
      <c r="AA13" s="10">
        <f>IF($B13="-","-",VLOOKUP(ROUND(CONCATENATE($A13,AA$2),0),'Cadastro dos Padrões'!$A$2:$V$921,AA$1,FALSE))</f>
        <v>-3.1110532056293112E-5</v>
      </c>
      <c r="AB13" s="10">
        <f>IF(VLOOKUP(ROUND(CONCATENATE($A13,AB$2),0),'Cadastro dos Padrões'!$A$2:$V$921,AB$1,FALSE)="","-",VLOOKUP(ROUND(CONCATENATE($A13,AB$2),0),'Cadastro dos Padrões'!$A$2:$V$921,AB$1,FALSE))</f>
        <v>1</v>
      </c>
      <c r="AC13" s="10">
        <f>IF(VLOOKUP(ROUND(CONCATENATE($A13,AC$2),0),'Cadastro dos Padrões'!$A$2:$V$921,AC$1,FALSE)="","-",VLOOKUP(ROUND(CONCATENATE($A13,AC$2),0),'Cadastro dos Padrões'!$A$2:$V$921,AC$1,FALSE))</f>
        <v>2E-3</v>
      </c>
      <c r="AD13" s="10">
        <f>IF(VLOOKUP(ROUND(CONCATENATE($A13,AD$2),0),'Cadastro dos Padrões'!$A$2:$V$921,AD$1,FALSE)="","-",VLOOKUP(ROUND(CONCATENATE($A13,AD$2),0),'Cadastro dos Padrões'!$A$2:$V$921,AD$1,FALSE))</f>
        <v>2</v>
      </c>
      <c r="AE13" s="10">
        <f>IF(VLOOKUP(ROUND(CONCATENATE($A13,AE$2),0),'Cadastro dos Padrões'!$A$2:$V$921,AE$1,FALSE)="","-",VLOOKUP(ROUND(CONCATENATE($A13,AE$2),0),'Cadastro dos Padrões'!$A$2:$V$921,AE$1,FALSE))</f>
        <v>1000000</v>
      </c>
      <c r="AF13" s="10">
        <f>IF(VLOOKUP(ROUND(CONCATENATE($A13,AF$2),0),'Cadastro dos Padrões'!$A$2:$V$921,AF$1,FALSE)="","-",VLOOKUP(ROUND(CONCATENATE($A13,AF$2),0),'Cadastro dos Padrões'!$A$2:$V$921,AF$1,FALSE))</f>
        <v>10</v>
      </c>
      <c r="AG13" s="10">
        <f>IF(VLOOKUP(ROUND(CONCATENATE($A13,AG$2),0),'Cadastro dos Padrões'!$A$2:$V$921,AG$1,FALSE)="","-",VLOOKUP(ROUND(CONCATENATE($A13,AG$2),0),'Cadastro dos Padrões'!$A$2:$V$921,AG$1,FALSE))</f>
        <v>2E-3</v>
      </c>
      <c r="AH13" s="10">
        <f>IF(VLOOKUP(ROUND(CONCATENATE($A13,AH$2),0),'Cadastro dos Padrões'!$A$2:$V$921,AH$1,FALSE)="","-",VLOOKUP(ROUND(CONCATENATE($A13,AH$2),0),'Cadastro dos Padrões'!$A$2:$V$921,AH$1,FALSE))</f>
        <v>2</v>
      </c>
      <c r="AI13" s="10">
        <f>IF(VLOOKUP(ROUND(CONCATENATE($A13,AI$2),0),'Cadastro dos Padrões'!$A$2:$V$921,AI$1,FALSE)="","-",VLOOKUP(ROUND(CONCATENATE($A13,AI$2),0),'Cadastro dos Padrões'!$A$2:$V$921,AI$1,FALSE))</f>
        <v>1000000</v>
      </c>
      <c r="AJ13" s="10">
        <f>IF(VLOOKUP(ROUND(CONCATENATE($A13,AJ$2),0),'Cadastro dos Padrões'!$A$2:$V$921,AJ$1,FALSE)="","-",VLOOKUP(ROUND(CONCATENATE($A13,AJ$2),0),'Cadastro dos Padrões'!$A$2:$V$921,AJ$1,FALSE))</f>
        <v>20</v>
      </c>
      <c r="AK13" s="10">
        <f>IF(VLOOKUP(ROUND(CONCATENATE($A13,AK$2),0),'Cadastro dos Padrões'!$A$2:$V$921,AK$1,FALSE)="","-",VLOOKUP(ROUND(CONCATENATE($A13,AK$2),0),'Cadastro dos Padrões'!$A$2:$V$921,AK$1,FALSE))</f>
        <v>2E-3</v>
      </c>
      <c r="AL13" s="10">
        <f>IF(VLOOKUP(ROUND(CONCATENATE($A13,AL$2),0),'Cadastro dos Padrões'!$A$2:$V$921,AL$1,FALSE)="","-",VLOOKUP(ROUND(CONCATENATE($A13,AL$2),0),'Cadastro dos Padrões'!$A$2:$V$921,AL$1,FALSE))</f>
        <v>2</v>
      </c>
      <c r="AM13" s="10">
        <f>IF(VLOOKUP(ROUND(CONCATENATE($A13,AM$2),0),'Cadastro dos Padrões'!$A$2:$V$921,AM$1,FALSE)="","-",VLOOKUP(ROUND(CONCATENATE($A13,AM$2),0),'Cadastro dos Padrões'!$A$2:$V$921,AM$1,FALSE))</f>
        <v>1000000</v>
      </c>
      <c r="AN13" s="10">
        <f>IF(VLOOKUP(ROUND(CONCATENATE($A13,AN$2),0),'Cadastro dos Padrões'!$A$2:$V$921,AN$1,FALSE)="","-",VLOOKUP(ROUND(CONCATENATE($A13,AN$2),0),'Cadastro dos Padrões'!$A$2:$V$921,AN$1,FALSE))</f>
        <v>30</v>
      </c>
      <c r="AO13" s="10">
        <f>IF(VLOOKUP(ROUND(CONCATENATE($A13,AO$2),0),'Cadastro dos Padrões'!$A$2:$V$921,AO$1,FALSE)="","-",VLOOKUP(ROUND(CONCATENATE($A13,AO$2),0),'Cadastro dos Padrões'!$A$2:$V$921,AO$1,FALSE))</f>
        <v>2E-3</v>
      </c>
      <c r="AP13" s="10">
        <f>IF(VLOOKUP(ROUND(CONCATENATE($A13,AP$2),0),'Cadastro dos Padrões'!$A$2:$V$921,AP$1,FALSE)="","-",VLOOKUP(ROUND(CONCATENATE($A13,AP$2),0),'Cadastro dos Padrões'!$A$2:$V$921,AP$1,FALSE))</f>
        <v>2</v>
      </c>
      <c r="AQ13" s="10">
        <f>IF(VLOOKUP(ROUND(CONCATENATE($A13,AQ$2),0),'Cadastro dos Padrões'!$A$2:$V$921,AQ$1,FALSE)="","-",VLOOKUP(ROUND(CONCATENATE($A13,AQ$2),0),'Cadastro dos Padrões'!$A$2:$V$921,AQ$1,FALSE))</f>
        <v>1000000</v>
      </c>
      <c r="AR13" s="10">
        <f>IF(VLOOKUP(ROUND(CONCATENATE($A13,AR$2),0),'Cadastro dos Padrões'!$A$2:$V$921,AR$1,FALSE)="","-",VLOOKUP(ROUND(CONCATENATE($A13,AR$2),0),'Cadastro dos Padrões'!$A$2:$V$921,AR$1,FALSE))</f>
        <v>40</v>
      </c>
      <c r="AS13" s="10">
        <f>IF(VLOOKUP(ROUND(CONCATENATE($A13,AS$2),0),'Cadastro dos Padrões'!$A$2:$V$921,AS$1,FALSE)="","-",VLOOKUP(ROUND(CONCATENATE($A13,AS$2),0),'Cadastro dos Padrões'!$A$2:$V$921,AS$1,FALSE))</f>
        <v>3.0000000000000001E-3</v>
      </c>
      <c r="AT13" s="10">
        <f>IF(VLOOKUP(ROUND(CONCATENATE($A13,AT$2),0),'Cadastro dos Padrões'!$A$2:$V$921,AT$1,FALSE)="","-",VLOOKUP(ROUND(CONCATENATE($A13,AT$2),0),'Cadastro dos Padrões'!$A$2:$V$921,AT$1,FALSE))</f>
        <v>2</v>
      </c>
      <c r="AU13" s="10">
        <f>IF(VLOOKUP(ROUND(CONCATENATE($A13,AU$2),0),'Cadastro dos Padrões'!$A$2:$V$921,AU$1,FALSE)="","-",VLOOKUP(ROUND(CONCATENATE($A13,AU$2),0),'Cadastro dos Padrões'!$A$2:$V$921,AU$1,FALSE))</f>
        <v>1000000</v>
      </c>
      <c r="AV13" s="10">
        <f>IF(VLOOKUP(ROUND(CONCATENATE($A13,AV$2),0),'Cadastro dos Padrões'!$A$2:$V$921,AV$1,FALSE)="","-",VLOOKUP(ROUND(CONCATENATE($A13,AV$2),0),'Cadastro dos Padrões'!$A$2:$V$921,AV$1,FALSE))</f>
        <v>50</v>
      </c>
      <c r="AW13" s="10">
        <f>IF(VLOOKUP(ROUND(CONCATENATE($A13,AW$2),0),'Cadastro dos Padrões'!$A$2:$V$921,AW$1,FALSE)="","-",VLOOKUP(ROUND(CONCATENATE($A13,AW$2),0),'Cadastro dos Padrões'!$A$2:$V$921,AW$1,FALSE))</f>
        <v>3.0000000000000001E-3</v>
      </c>
      <c r="AX13" s="10">
        <f>IF(VLOOKUP(ROUND(CONCATENATE($A13,AX$2),0),'Cadastro dos Padrões'!$A$2:$V$921,AX$1,FALSE)="","-",VLOOKUP(ROUND(CONCATENATE($A13,AX$2),0),'Cadastro dos Padrões'!$A$2:$V$921,AX$1,FALSE))</f>
        <v>2</v>
      </c>
      <c r="AY13" s="10">
        <f>IF(VLOOKUP(ROUND(CONCATENATE($A13,AY$2),0),'Cadastro dos Padrões'!$A$2:$V$921,AY$1,FALSE)="","-",VLOOKUP(ROUND(CONCATENATE($A13,AY$2),0),'Cadastro dos Padrões'!$A$2:$V$921,AY$1,FALSE))</f>
        <v>1000000</v>
      </c>
      <c r="AZ13" s="10">
        <f>IF(VLOOKUP(ROUND(CONCATENATE($A13,AZ$2),0),'Cadastro dos Padrões'!$A$2:$V$921,AZ$1,FALSE)="","-",VLOOKUP(ROUND(CONCATENATE($A13,AZ$2),0),'Cadastro dos Padrões'!$A$2:$V$921,AZ$1,FALSE))</f>
        <v>60</v>
      </c>
      <c r="BA13" s="10">
        <f>IF(VLOOKUP(ROUND(CONCATENATE($A13,BA$2),0),'Cadastro dos Padrões'!$A$2:$V$921,BA$1,FALSE)="","-",VLOOKUP(ROUND(CONCATENATE($A13,BA$2),0),'Cadastro dos Padrões'!$A$2:$V$921,BA$1,FALSE))</f>
        <v>3.0000000000000001E-3</v>
      </c>
      <c r="BB13" s="10">
        <f>IF(VLOOKUP(ROUND(CONCATENATE($A13,BB$2),0),'Cadastro dos Padrões'!$A$2:$V$921,BB$1,FALSE)="","-",VLOOKUP(ROUND(CONCATENATE($A13,BB$2),0),'Cadastro dos Padrões'!$A$2:$V$921,BB$1,FALSE))</f>
        <v>2</v>
      </c>
      <c r="BC13" s="10">
        <f>IF(VLOOKUP(ROUND(CONCATENATE($A13,BC$2),0),'Cadastro dos Padrões'!$A$2:$V$921,BC$1,FALSE)="","-",VLOOKUP(ROUND(CONCATENATE($A13,BC$2),0),'Cadastro dos Padrões'!$A$2:$V$921,BC$1,FALSE))</f>
        <v>1000000</v>
      </c>
      <c r="BD13" s="10" t="str">
        <f>IF(VLOOKUP(ROUND(CONCATENATE($A13,BD$2),0),'Cadastro dos Padrões'!$A$2:$V$921,BD$1,FALSE)="","-",VLOOKUP(ROUND(CONCATENATE($A13,BD$2),0),'Cadastro dos Padrões'!$A$2:$V$921,BD$1,FALSE))</f>
        <v>-</v>
      </c>
      <c r="BE13" s="10" t="str">
        <f>IF(VLOOKUP(ROUND(CONCATENATE($A13,BE$2),0),'Cadastro dos Padrões'!$A$2:$V$921,BE$1,FALSE)="","-",VLOOKUP(ROUND(CONCATENATE($A13,BE$2),0),'Cadastro dos Padrões'!$A$2:$V$921,BE$1,FALSE))</f>
        <v>-</v>
      </c>
      <c r="BF13" s="10" t="str">
        <f>IF(VLOOKUP(ROUND(CONCATENATE($A13,BF$2),0),'Cadastro dos Padrões'!$A$2:$V$921,BF$1,FALSE)="","-",VLOOKUP(ROUND(CONCATENATE($A13,BF$2),0),'Cadastro dos Padrões'!$A$2:$V$921,BF$1,FALSE))</f>
        <v>-</v>
      </c>
      <c r="BG13" s="10" t="str">
        <f>IF(VLOOKUP(ROUND(CONCATENATE($A13,BG$2),0),'Cadastro dos Padrões'!$A$2:$V$921,BG$1,FALSE)="","-",VLOOKUP(ROUND(CONCATENATE($A13,BG$2),0),'Cadastro dos Padrões'!$A$2:$V$921,BG$1,FALSE))</f>
        <v>-</v>
      </c>
      <c r="BH13" s="10" t="str">
        <f>IF(VLOOKUP(ROUND(CONCATENATE($A13,BH$2),0),'Cadastro dos Padrões'!$A$2:$V$921,BH$1,FALSE)="","-",VLOOKUP(ROUND(CONCATENATE($A13,BH$2),0),'Cadastro dos Padrões'!$A$2:$V$921,BH$1,FALSE))</f>
        <v>-</v>
      </c>
      <c r="BI13" s="10" t="str">
        <f>IF(VLOOKUP(ROUND(CONCATENATE($A13,BI$2),0),'Cadastro dos Padrões'!$A$2:$V$921,BI$1,FALSE)="","-",VLOOKUP(ROUND(CONCATENATE($A13,BI$2),0),'Cadastro dos Padrões'!$A$2:$V$921,BI$1,FALSE))</f>
        <v>-</v>
      </c>
      <c r="BJ13" s="10" t="str">
        <f>IF(VLOOKUP(ROUND(CONCATENATE($A13,BJ$2),0),'Cadastro dos Padrões'!$A$2:$V$921,BJ$1,FALSE)="","-",VLOOKUP(ROUND(CONCATENATE($A13,BJ$2),0),'Cadastro dos Padrões'!$A$2:$V$921,BJ$1,FALSE))</f>
        <v>-</v>
      </c>
      <c r="BK13" s="10" t="str">
        <f>IF(VLOOKUP(ROUND(CONCATENATE($A13,BK$2),0),'Cadastro dos Padrões'!$A$2:$V$921,BK$1,FALSE)="","-",VLOOKUP(ROUND(CONCATENATE($A13,BK$2),0),'Cadastro dos Padrões'!$A$2:$V$921,BK$1,FALSE))</f>
        <v>-</v>
      </c>
      <c r="BL13" s="10" t="str">
        <f>IF(VLOOKUP(ROUND(CONCATENATE($A13,BL$2),0),'Cadastro dos Padrões'!$A$2:$V$921,BL$1,FALSE)="","-",VLOOKUP(ROUND(CONCATENATE($A13,BL$2),0),'Cadastro dos Padrões'!$A$2:$V$921,BL$1,FALSE))</f>
        <v>-</v>
      </c>
      <c r="BM13" s="10" t="str">
        <f>IF(VLOOKUP(ROUND(CONCATENATE($A13,BM$2),0),'Cadastro dos Padrões'!$A$2:$V$921,BM$1,FALSE)="","-",VLOOKUP(ROUND(CONCATENATE($A13,BM$2),0),'Cadastro dos Padrões'!$A$2:$V$921,BM$1,FALSE))</f>
        <v>-</v>
      </c>
      <c r="BN13" s="10" t="str">
        <f>IF(VLOOKUP(ROUND(CONCATENATE($A13,BN$2),0),'Cadastro dos Padrões'!$A$2:$V$921,BN$1,FALSE)="","-",VLOOKUP(ROUND(CONCATENATE($A13,BN$2),0),'Cadastro dos Padrões'!$A$2:$V$921,BN$1,FALSE))</f>
        <v>-</v>
      </c>
      <c r="BO13" s="10" t="str">
        <f>IF(VLOOKUP(ROUND(CONCATENATE($A13,BO$2),0),'Cadastro dos Padrões'!$A$2:$V$921,BO$1,FALSE)="","-",VLOOKUP(ROUND(CONCATENATE($A13,BO$2),0),'Cadastro dos Padrões'!$A$2:$V$921,BO$1,FALSE))</f>
        <v>-</v>
      </c>
      <c r="BP13" s="10">
        <f>IF(VLOOKUP(ROUND(CONCATENATE($A13,BP$2),0),'Cadastro dos Padrões'!$A$2:$V$921,BP$1,FALSE)="","-",VLOOKUP(ROUND(CONCATENATE($A13,BP$2),0),'Cadastro dos Padrões'!$A$2:$V$921,BP$1,FALSE))</f>
        <v>0</v>
      </c>
      <c r="BQ13" s="10">
        <f>IF(VLOOKUP(ROUND(CONCATENATE($A13,BQ$2),0),'Cadastro dos Padrões'!$A$2:$V$921,BQ$1,FALSE)="","-",VLOOKUP(ROUND(CONCATENATE($A13,BQ$2),0),'Cadastro dos Padrões'!$A$2:$V$921,BQ$1,FALSE))</f>
        <v>0</v>
      </c>
      <c r="BR13" s="10">
        <f>IF(VLOOKUP(ROUND(CONCATENATE($A13,BR$2),0),'Cadastro dos Padrões'!$A$2:$V$921,BR$1,FALSE)="","-",VLOOKUP(ROUND(CONCATENATE($A13,BR$2),0),'Cadastro dos Padrões'!$A$2:$V$921,BR$1,FALSE))</f>
        <v>0</v>
      </c>
      <c r="BS13" s="10">
        <f>IF(VLOOKUP(ROUND(CONCATENATE($A13,BS$2),0),'Cadastro dos Padrões'!$A$2:$V$921,BS$1,FALSE)="","-",VLOOKUP(ROUND(CONCATENATE($A13,BS$2),0),'Cadastro dos Padrões'!$A$2:$V$921,BS$1,FALSE))</f>
        <v>0</v>
      </c>
      <c r="BT13" s="10">
        <f>IF(VLOOKUP(ROUND(CONCATENATE($A13,BT$2),0),'Cadastro dos Padrões'!$A$2:$V$921,BT$1,FALSE)="","-",VLOOKUP(ROUND(CONCATENATE($A13,BT$2),0),'Cadastro dos Padrões'!$A$2:$V$921,BT$1,FALSE))</f>
        <v>-9.9999999999766942E-4</v>
      </c>
      <c r="BU13" s="10">
        <f>IF(VLOOKUP(ROUND(CONCATENATE($A13,BU$2),0),'Cadastro dos Padrões'!$A$2:$V$921,BU$1,FALSE)="","-",VLOOKUP(ROUND(CONCATENATE($A13,BU$2),0),'Cadastro dos Padrões'!$A$2:$V$921,BU$1,FALSE))</f>
        <v>-2.0000000000024443E-3</v>
      </c>
      <c r="BV13" s="10">
        <f>IF(VLOOKUP(ROUND(CONCATENATE($A13,BV$2),0),'Cadastro dos Padrões'!$A$2:$V$921,BV$1,FALSE)="","-",VLOOKUP(ROUND(CONCATENATE($A13,BV$2),0),'Cadastro dos Padrões'!$A$2:$V$921,BV$1,FALSE))</f>
        <v>-2.0000000000024443E-3</v>
      </c>
      <c r="BW13" s="10">
        <f>IF(VLOOKUP(ROUND(CONCATENATE($A13,BW$2),0),'Cadastro dos Padrões'!$A$2:$V$921,BW$1,FALSE)="","-",VLOOKUP(ROUND(CONCATENATE($A13,BW$2),0),'Cadastro dos Padrões'!$A$2:$V$921,BW$1,FALSE))</f>
        <v>0</v>
      </c>
      <c r="BX13" s="10">
        <f>IF(VLOOKUP(ROUND(CONCATENATE($A13,BX$2),0),'Cadastro dos Padrões'!$A$2:$V$921,BX$1,FALSE)="","-",VLOOKUP(ROUND(CONCATENATE($A13,BX$2),0),'Cadastro dos Padrões'!$A$2:$V$921,BX$1,FALSE))</f>
        <v>0</v>
      </c>
      <c r="BY13" s="10">
        <f>IF(VLOOKUP(ROUND(CONCATENATE($A13,BY$2),0),'Cadastro dos Padrões'!$A$2:$V$921,BY$1,FALSE)="","-",VLOOKUP(ROUND(CONCATENATE($A13,BY$2),0),'Cadastro dos Padrões'!$A$2:$V$921,BY$1,FALSE))</f>
        <v>0</v>
      </c>
      <c r="BZ13" s="10">
        <f>IF(VLOOKUP(ROUND(CONCATENATE($A13,BZ$2),0),'Cadastro dos Padrões'!$A$2:$V$921,BZ$1,FALSE)="","-",VLOOKUP(ROUND(CONCATENATE($A13,BZ$2),0),'Cadastro dos Padrões'!$A$2:$V$921,BZ$1,FALSE))</f>
        <v>0</v>
      </c>
      <c r="CA13" s="10">
        <f>IF(VLOOKUP(ROUND(CONCATENATE($A13,CA$2),0),'Cadastro dos Padrões'!$A$2:$V$921,CA$1,FALSE)="","-",VLOOKUP(ROUND(CONCATENATE($A13,CA$2),0),'Cadastro dos Padrões'!$A$2:$V$921,CA$1,FALSE))</f>
        <v>-9.9999999999944578E-4</v>
      </c>
      <c r="CB13" s="10">
        <f>IF(VLOOKUP(ROUND(CONCATENATE($A13,CB$2),0),'Cadastro dos Padrões'!$A$2:$V$921,CB$1,FALSE)="","-",VLOOKUP(ROUND(CONCATENATE($A13,CB$2),0),'Cadastro dos Padrões'!$A$2:$V$921,CB$1,FALSE))</f>
        <v>-1.0000000000012221E-3</v>
      </c>
      <c r="CC13" s="10">
        <f>IF(VLOOKUP(ROUND(CONCATENATE($A13,CC$2),0),'Cadastro dos Padrões'!$A$2:$V$921,CC$1,FALSE)="","-",VLOOKUP(ROUND(CONCATENATE($A13,CC$2),0),'Cadastro dos Padrões'!$A$2:$V$921,CC$1,FALSE))</f>
        <v>-1.9999999999988916E-3</v>
      </c>
      <c r="CD13" s="10">
        <f>IF(VLOOKUP(ROUND(CONCATENATE($A13,CD$2),0),'Cadastro dos Padrões'!$A$2:$V$921,CD$1,FALSE)="","-",VLOOKUP(ROUND(CONCATENATE($A13,CD$2),0),'Cadastro dos Padrões'!$A$2:$V$921,CD$1,FALSE))</f>
        <v>-1.0000000000047748E-3</v>
      </c>
      <c r="CE13" s="10">
        <f>IF(VLOOKUP(ROUND(CONCATENATE($A13,CE$2),0),'Cadastro dos Padrões'!$A$2:$V$921,CE$1,FALSE)="","-",VLOOKUP(ROUND(CONCATENATE($A13,CE$2),0),'Cadastro dos Padrões'!$A$2:$V$921,CE$1,FALSE))</f>
        <v>-9.9999999999766942E-4</v>
      </c>
      <c r="CF13" s="10">
        <f>IF(VLOOKUP(ROUND(CONCATENATE($A13,CF$2),0),'Cadastro dos Padrões'!$A$2:$V$921,CF$1,FALSE)="","-",VLOOKUP(ROUND(CONCATENATE($A13,CF$2),0),'Cadastro dos Padrões'!$A$2:$V$921,CF$1,FALSE))</f>
        <v>-9.9999999999766942E-4</v>
      </c>
      <c r="CG13" s="10">
        <f>IF(VLOOKUP(ROUND(CONCATENATE($A13,CG$2),0),'Cadastro dos Padrões'!$A$2:$V$921,CG$1,FALSE)="","-",VLOOKUP(ROUND(CONCATENATE($A13,CG$2),0),'Cadastro dos Padrões'!$A$2:$V$921,CG$1,FALSE))</f>
        <v>0</v>
      </c>
      <c r="CH13" s="10">
        <f>IF(VLOOKUP(ROUND(CONCATENATE($A13,CH$2),0),'Cadastro dos Padrões'!$A$2:$V$921,CH$1,FALSE)="","-",VLOOKUP(ROUND(CONCATENATE($A13,CH$2),0),'Cadastro dos Padrões'!$A$2:$V$921,CH$1,FALSE))</f>
        <v>0</v>
      </c>
      <c r="CI13" s="10">
        <f>IF(VLOOKUP(ROUND(CONCATENATE($A13,CI$2),0),'Cadastro dos Padrões'!$A$2:$V$921,CI$1,FALSE)="","-",VLOOKUP(ROUND(CONCATENATE($A13,CI$2),0),'Cadastro dos Padrões'!$A$2:$V$921,CI$1,FALSE))</f>
        <v>0</v>
      </c>
    </row>
    <row r="14" spans="1:87" x14ac:dyDescent="0.3">
      <c r="A14" s="4">
        <v>9</v>
      </c>
      <c r="B14" s="10" t="str">
        <f>IF(VLOOKUP(ROUND(CONCATENATE($A14,B$2),0),'Cadastro dos Padrões'!$A$2:$V$921,B$1,FALSE)="","-",VLOOKUP(ROUND(CONCATENATE($A14,B$2),0),'Cadastro dos Padrões'!$A$2:$V$921,B$1,FALSE))</f>
        <v>E.MS.LQ-006</v>
      </c>
      <c r="C14" s="10" t="str">
        <f>IF(VLOOKUP(ROUND(CONCATENATE($A14,C$2),0),'Cadastro dos Padrões'!$A$2:$V$921,C$1,FALSE)="","-",VLOOKUP(ROUND(CONCATENATE($A14,C$2),0),'Cadastro dos Padrões'!$A$2:$V$921,C$1,FALSE))</f>
        <v>Balança Analítica</v>
      </c>
      <c r="D14" s="10" t="str">
        <f>IF(VLOOKUP(ROUND(CONCATENATE($A14,D$2),0),'Cadastro dos Padrões'!$A$2:$V$921,D$1,FALSE)="","-",VLOOKUP(ROUND(CONCATENATE($A14,D$2),0),'Cadastro dos Padrões'!$A$2:$V$921,D$1,FALSE))</f>
        <v xml:space="preserve">Elus </v>
      </c>
      <c r="E14" s="10" t="str">
        <f>IF(VLOOKUP(ROUND(CONCATENATE($A14,E$2),0),'Cadastro dos Padrões'!$A$2:$V$921,E$1,FALSE)="","-",VLOOKUP(ROUND(CONCATENATE($A14,E$2),0),'Cadastro dos Padrões'!$A$2:$V$921,E$1,FALSE))</f>
        <v>RBC - CAL 0439</v>
      </c>
      <c r="F14" s="10" t="str">
        <f>IF(VLOOKUP(ROUND(CONCATENATE($A14,F$2),0),'Cadastro dos Padrões'!$A$2:$V$921,F$1,FALSE)="","-",VLOOKUP(ROUND(CONCATENATE($A14,F$2),0),'Cadastro dos Padrões'!$A$2:$V$921,F$1,FALSE))</f>
        <v>E0014/26</v>
      </c>
      <c r="G14" s="27">
        <f>IF(VLOOKUP(ROUND(CONCATENATE($A14,G$2),0),'Cadastro dos Padrões'!$A$2:$V$921,G$1,FALSE)="","-",VLOOKUP(ROUND(CONCATENATE($A14,G$2),0),'Cadastro dos Padrões'!$A$2:$V$921,G$1,FALSE))</f>
        <v>46031</v>
      </c>
      <c r="H14" s="29">
        <f>IF(VLOOKUP(ROUND(CONCATENATE($A14,H$2),0),'Cadastro dos Padrões'!$A$2:$V$921,H$1,FALSE)="","-",VLOOKUP(ROUND(CONCATENATE($A14,H$2),0),'Cadastro dos Padrões'!$A$2:$V$921,H$1,FALSE))</f>
        <v>46417</v>
      </c>
      <c r="I14" s="10" t="str">
        <f>IF(VLOOKUP(ROUND(CONCATENATE($A14,I$2),0),'Cadastro dos Padrões'!$A$2:$V$921,I$1,FALSE)="","-",VLOOKUP(ROUND(CONCATENATE($A14,I$2),0),'Cadastro dos Padrões'!$A$2:$V$921,I$1,FALSE))</f>
        <v>g</v>
      </c>
      <c r="J14" s="10">
        <f>IF(VLOOKUP(ROUND(CONCATENATE($A14,J$2),0),'Cadastro dos Padrões'!$A$2:$V$921,J$1,FALSE)="","-",VLOOKUP(ROUND(CONCATENATE($A14,J$2),0),'Cadastro dos Padrões'!$A$2:$V$921,J$1,FALSE))</f>
        <v>1E-3</v>
      </c>
      <c r="K14" s="10">
        <f>IF(VLOOKUP(ROUND(CONCATENATE($A14,K$2),0),'Cadastro dos Padrões'!$A$2:$V$921,K$1,FALSE)="","-",VLOOKUP(ROUND(CONCATENATE($A14,K$2),0),'Cadastro dos Padrões'!$A$2:$V$921,K$1,FALSE))</f>
        <v>220</v>
      </c>
      <c r="L14" s="10">
        <f>IF(VLOOKUP(ROUND(CONCATENATE($A14,L$2),0),'Cadastro dos Padrões'!$A$2:$V$921,L$1,FALSE)="","-",VLOOKUP(ROUND(CONCATENATE($A14,L$2),0),'Cadastro dos Padrões'!$A$2:$V$921,L$1,FALSE))</f>
        <v>1.0000000000000001E-5</v>
      </c>
      <c r="M14" s="10">
        <f>IF(VLOOKUP(ROUND(CONCATENATE($A14,M$2),0),'Cadastro dos Padrões'!$A$2:$V$921,M$1,FALSE)="","-",VLOOKUP(ROUND(CONCATENATE($A14,M$2),0),'Cadastro dos Padrões'!$A$2:$V$921,M$1,FALSE))</f>
        <v>2.0000000000663931E-4</v>
      </c>
      <c r="N14" s="10">
        <f>IF(VLOOKUP(ROUND(CONCATENATE($A14,N$2),0),'Cadastro dos Padrões'!$A$2:$V$921,N$1,FALSE)="","-",VLOOKUP(ROUND(CONCATENATE($A14,N$2),0),'Cadastro dos Padrões'!$A$2:$V$921,N$1,FALSE))</f>
        <v>8.0000000000000004E-4</v>
      </c>
      <c r="O14" s="10">
        <f>IF(VLOOKUP(ROUND(CONCATENATE($A14,O$2),0),'Cadastro dos Padrões'!$A$2:$V$921,O$1,FALSE)="","-",VLOOKUP(ROUND(CONCATENATE($A14,O$2),0),'Cadastro dos Padrões'!$A$2:$V$921,O$1,FALSE))</f>
        <v>1.0000000000331966E-4</v>
      </c>
      <c r="P14" s="28">
        <f>IF(VLOOKUP(ROUND(CONCATENATE($A14,P$2),0),'Cadastro dos Padrões'!$A$2:$V$921,P$1,FALSE)="","-",VLOOKUP(ROUND(CONCATENATE($A14,P$2),0),'Cadastro dos Padrões'!$A$2:$V$921,P$1,FALSE))</f>
        <v>1.0000000000331966E-4</v>
      </c>
      <c r="Q14" s="10">
        <f>IF($B14="-","-",VLOOKUP(ROUND(CONCATENATE($A14,Q$2),0),'Cadastro dos Padrões'!$A$2:$V$921,Q$1,FALSE))</f>
        <v>6.1803135942284371E-9</v>
      </c>
      <c r="R14" s="10">
        <f>IF($B14="-","-",VLOOKUP(ROUND(CONCATENATE($A14,R$2),0),'Cadastro dos Padrões'!$A$2:$V$921,R$1,FALSE))</f>
        <v>5</v>
      </c>
      <c r="S14" s="10">
        <f>IF($B14="-","-",VLOOKUP(ROUND(CONCATENATE($A14,S$2),0),'Cadastro dos Padrões'!$A$2:$V$921,S$1,FALSE))</f>
        <v>0</v>
      </c>
      <c r="T14" s="10">
        <f>IF($B14="-","-",VLOOKUP(ROUND(CONCATENATE($A14,T$2),0),'Cadastro dos Padrões'!$A$2:$V$921,T$1,FALSE))</f>
        <v>0</v>
      </c>
      <c r="U14" s="10">
        <f>IF($B14="-","-",VLOOKUP(ROUND(CONCATENATE($A14,U$2),0),'Cadastro dos Padrões'!$A$2:$V$921,U$1,FALSE))</f>
        <v>0</v>
      </c>
      <c r="V14" s="10">
        <f>IF($B14="-","-",VLOOKUP(ROUND(CONCATENATE($A14,V$2),0),'Cadastro dos Padrões'!$A$2:$V$921,V$1,FALSE))</f>
        <v>9.2046017820784507E-15</v>
      </c>
      <c r="W14" s="10">
        <f>IF($B14="-","-",VLOOKUP(ROUND(CONCATENATE($A14,W$2),0),'Cadastro dos Padrões'!$A$2:$V$921,W$1,FALSE))</f>
        <v>-3.7590928263780877E-12</v>
      </c>
      <c r="X14" s="10">
        <f>IF($B14="-","-",VLOOKUP(ROUND(CONCATENATE($A14,X$2),0),'Cadastro dos Padrões'!$A$2:$V$921,X$1,FALSE))</f>
        <v>2.4576369888003372E-10</v>
      </c>
      <c r="Y14" s="10">
        <f>IF($B14="-","-",VLOOKUP(ROUND(CONCATENATE($A14,Y$2),0),'Cadastro dos Padrões'!$A$2:$V$921,Y$1,FALSE))</f>
        <v>3.5662296261772284E-8</v>
      </c>
      <c r="Z14" s="10">
        <f>IF($B14="-","-",VLOOKUP(ROUND(CONCATENATE($A14,Z$2),0),'Cadastro dos Padrões'!$A$2:$V$921,Z$1,FALSE))</f>
        <v>0.99999781470238691</v>
      </c>
      <c r="AA14" s="10">
        <f>IF($B14="-","-",VLOOKUP(ROUND(CONCATENATE($A14,AA$2),0),'Cadastro dos Padrões'!$A$2:$V$921,AA$1,FALSE))</f>
        <v>6.5532818904496387E-9</v>
      </c>
      <c r="AB14" s="10">
        <f>IF(VLOOKUP(ROUND(CONCATENATE($A14,AB$2),0),'Cadastro dos Padrões'!$A$2:$V$921,AB$1,FALSE)="","-",VLOOKUP(ROUND(CONCATENATE($A14,AB$2),0),'Cadastro dos Padrões'!$A$2:$V$921,AB$1,FALSE))</f>
        <v>1E-3</v>
      </c>
      <c r="AC14" s="10">
        <f>IF(VLOOKUP(ROUND(CONCATENATE($A14,AC$2),0),'Cadastro dos Padrões'!$A$2:$V$921,AC$1,FALSE)="","-",VLOOKUP(ROUND(CONCATENATE($A14,AC$2),0),'Cadastro dos Padrões'!$A$2:$V$921,AC$1,FALSE))</f>
        <v>2.0000000000000002E-5</v>
      </c>
      <c r="AD14" s="10">
        <f>IF(VLOOKUP(ROUND(CONCATENATE($A14,AD$2),0),'Cadastro dos Padrões'!$A$2:$V$921,AD$1,FALSE)="","-",VLOOKUP(ROUND(CONCATENATE($A14,AD$2),0),'Cadastro dos Padrões'!$A$2:$V$921,AD$1,FALSE))</f>
        <v>2.02</v>
      </c>
      <c r="AE14" s="10">
        <f>IF(VLOOKUP(ROUND(CONCATENATE($A14,AE$2),0),'Cadastro dos Padrões'!$A$2:$V$921,AE$1,FALSE)="","-",VLOOKUP(ROUND(CONCATENATE($A14,AE$2),0),'Cadastro dos Padrões'!$A$2:$V$921,AE$1,FALSE))</f>
        <v>142</v>
      </c>
      <c r="AF14" s="10">
        <f>IF(VLOOKUP(ROUND(CONCATENATE($A14,AF$2),0),'Cadastro dos Padrões'!$A$2:$V$921,AF$1,FALSE)="","-",VLOOKUP(ROUND(CONCATENATE($A14,AF$2),0),'Cadastro dos Padrões'!$A$2:$V$921,AF$1,FALSE))</f>
        <v>5.0000000000000001E-3</v>
      </c>
      <c r="AG14" s="10">
        <f>IF(VLOOKUP(ROUND(CONCATENATE($A14,AG$2),0),'Cadastro dos Padrões'!$A$2:$V$921,AG$1,FALSE)="","-",VLOOKUP(ROUND(CONCATENATE($A14,AG$2),0),'Cadastro dos Padrões'!$A$2:$V$921,AG$1,FALSE))</f>
        <v>2.0000000000000002E-5</v>
      </c>
      <c r="AH14" s="10">
        <f>IF(VLOOKUP(ROUND(CONCATENATE($A14,AH$2),0),'Cadastro dos Padrões'!$A$2:$V$921,AH$1,FALSE)="","-",VLOOKUP(ROUND(CONCATENATE($A14,AH$2),0),'Cadastro dos Padrões'!$A$2:$V$921,AH$1,FALSE))</f>
        <v>2</v>
      </c>
      <c r="AI14" s="10">
        <f>IF(VLOOKUP(ROUND(CONCATENATE($A14,AI$2),0),'Cadastro dos Padrões'!$A$2:$V$921,AI$1,FALSE)="","-",VLOOKUP(ROUND(CONCATENATE($A14,AI$2),0),'Cadastro dos Padrões'!$A$2:$V$921,AI$1,FALSE))</f>
        <v>1000000</v>
      </c>
      <c r="AJ14" s="10">
        <f>IF(VLOOKUP(ROUND(CONCATENATE($A14,AJ$2),0),'Cadastro dos Padrões'!$A$2:$V$921,AJ$1,FALSE)="","-",VLOOKUP(ROUND(CONCATENATE($A14,AJ$2),0),'Cadastro dos Padrões'!$A$2:$V$921,AJ$1,FALSE))</f>
        <v>5</v>
      </c>
      <c r="AK14" s="10">
        <f>IF(VLOOKUP(ROUND(CONCATENATE($A14,AK$2),0),'Cadastro dos Padrões'!$A$2:$V$921,AK$1,FALSE)="","-",VLOOKUP(ROUND(CONCATENATE($A14,AK$2),0),'Cadastro dos Padrões'!$A$2:$V$921,AK$1,FALSE))</f>
        <v>3.0000000000000001E-5</v>
      </c>
      <c r="AL14" s="10">
        <f>IF(VLOOKUP(ROUND(CONCATENATE($A14,AL$2),0),'Cadastro dos Padrões'!$A$2:$V$921,AL$1,FALSE)="","-",VLOOKUP(ROUND(CONCATENATE($A14,AL$2),0),'Cadastro dos Padrões'!$A$2:$V$921,AL$1,FALSE))</f>
        <v>2</v>
      </c>
      <c r="AM14" s="10">
        <f>IF(VLOOKUP(ROUND(CONCATENATE($A14,AM$2),0),'Cadastro dos Padrões'!$A$2:$V$921,AM$1,FALSE)="","-",VLOOKUP(ROUND(CONCATENATE($A14,AM$2),0),'Cadastro dos Padrões'!$A$2:$V$921,AM$1,FALSE))</f>
        <v>1000000</v>
      </c>
      <c r="AN14" s="10">
        <f>IF(VLOOKUP(ROUND(CONCATENATE($A14,AN$2),0),'Cadastro dos Padrões'!$A$2:$V$921,AN$1,FALSE)="","-",VLOOKUP(ROUND(CONCATENATE($A14,AN$2),0),'Cadastro dos Padrões'!$A$2:$V$921,AN$1,FALSE))</f>
        <v>50</v>
      </c>
      <c r="AO14" s="10">
        <f>IF(VLOOKUP(ROUND(CONCATENATE($A14,AO$2),0),'Cadastro dos Padrões'!$A$2:$V$921,AO$1,FALSE)="","-",VLOOKUP(ROUND(CONCATENATE($A14,AO$2),0),'Cadastro dos Padrões'!$A$2:$V$921,AO$1,FALSE))</f>
        <v>1.4999999999999999E-4</v>
      </c>
      <c r="AP14" s="10">
        <f>IF(VLOOKUP(ROUND(CONCATENATE($A14,AP$2),0),'Cadastro dos Padrões'!$A$2:$V$921,AP$1,FALSE)="","-",VLOOKUP(ROUND(CONCATENATE($A14,AP$2),0),'Cadastro dos Padrões'!$A$2:$V$921,AP$1,FALSE))</f>
        <v>2</v>
      </c>
      <c r="AQ14" s="10">
        <f>IF(VLOOKUP(ROUND(CONCATENATE($A14,AQ$2),0),'Cadastro dos Padrões'!$A$2:$V$921,AQ$1,FALSE)="","-",VLOOKUP(ROUND(CONCATENATE($A14,AQ$2),0),'Cadastro dos Padrões'!$A$2:$V$921,AQ$1,FALSE))</f>
        <v>1000000</v>
      </c>
      <c r="AR14" s="10">
        <f>IF(VLOOKUP(ROUND(CONCATENATE($A14,AR$2),0),'Cadastro dos Padrões'!$A$2:$V$921,AR$1,FALSE)="","-",VLOOKUP(ROUND(CONCATENATE($A14,AR$2),0),'Cadastro dos Padrões'!$A$2:$V$921,AR$1,FALSE))</f>
        <v>100</v>
      </c>
      <c r="AS14" s="10">
        <f>IF(VLOOKUP(ROUND(CONCATENATE($A14,AS$2),0),'Cadastro dos Padrões'!$A$2:$V$921,AS$1,FALSE)="","-",VLOOKUP(ROUND(CONCATENATE($A14,AS$2),0),'Cadastro dos Padrões'!$A$2:$V$921,AS$1,FALSE))</f>
        <v>4.0000000000000002E-4</v>
      </c>
      <c r="AT14" s="10">
        <f>IF(VLOOKUP(ROUND(CONCATENATE($A14,AT$2),0),'Cadastro dos Padrões'!$A$2:$V$921,AT$1,FALSE)="","-",VLOOKUP(ROUND(CONCATENATE($A14,AT$2),0),'Cadastro dos Padrões'!$A$2:$V$921,AT$1,FALSE))</f>
        <v>2</v>
      </c>
      <c r="AU14" s="10">
        <f>IF(VLOOKUP(ROUND(CONCATENATE($A14,AU$2),0),'Cadastro dos Padrões'!$A$2:$V$921,AU$1,FALSE)="","-",VLOOKUP(ROUND(CONCATENATE($A14,AU$2),0),'Cadastro dos Padrões'!$A$2:$V$921,AU$1,FALSE))</f>
        <v>1000000</v>
      </c>
      <c r="AV14" s="10">
        <f>IF(VLOOKUP(ROUND(CONCATENATE($A14,AV$2),0),'Cadastro dos Padrões'!$A$2:$V$921,AV$1,FALSE)="","-",VLOOKUP(ROUND(CONCATENATE($A14,AV$2),0),'Cadastro dos Padrões'!$A$2:$V$921,AV$1,FALSE))</f>
        <v>150</v>
      </c>
      <c r="AW14" s="10">
        <f>IF(VLOOKUP(ROUND(CONCATENATE($A14,AW$2),0),'Cadastro dos Padrões'!$A$2:$V$921,AW$1,FALSE)="","-",VLOOKUP(ROUND(CONCATENATE($A14,AW$2),0),'Cadastro dos Padrões'!$A$2:$V$921,AW$1,FALSE))</f>
        <v>5.0000000000000001E-4</v>
      </c>
      <c r="AX14" s="10">
        <f>IF(VLOOKUP(ROUND(CONCATENATE($A14,AX$2),0),'Cadastro dos Padrões'!$A$2:$V$921,AX$1,FALSE)="","-",VLOOKUP(ROUND(CONCATENATE($A14,AX$2),0),'Cadastro dos Padrões'!$A$2:$V$921,AX$1,FALSE))</f>
        <v>2</v>
      </c>
      <c r="AY14" s="10">
        <f>IF(VLOOKUP(ROUND(CONCATENATE($A14,AY$2),0),'Cadastro dos Padrões'!$A$2:$V$921,AY$1,FALSE)="","-",VLOOKUP(ROUND(CONCATENATE($A14,AY$2),0),'Cadastro dos Padrões'!$A$2:$V$921,AY$1,FALSE))</f>
        <v>1000000</v>
      </c>
      <c r="AZ14" s="10">
        <f>IF(VLOOKUP(ROUND(CONCATENATE($A14,AZ$2),0),'Cadastro dos Padrões'!$A$2:$V$921,AZ$1,FALSE)="","-",VLOOKUP(ROUND(CONCATENATE($A14,AZ$2),0),'Cadastro dos Padrões'!$A$2:$V$921,AZ$1,FALSE))</f>
        <v>220</v>
      </c>
      <c r="BA14" s="10">
        <f>IF(VLOOKUP(ROUND(CONCATENATE($A14,BA$2),0),'Cadastro dos Padrões'!$A$2:$V$921,BA$1,FALSE)="","-",VLOOKUP(ROUND(CONCATENATE($A14,BA$2),0),'Cadastro dos Padrões'!$A$2:$V$921,BA$1,FALSE))</f>
        <v>8.0000000000000004E-4</v>
      </c>
      <c r="BB14" s="10">
        <f>IF(VLOOKUP(ROUND(CONCATENATE($A14,BB$2),0),'Cadastro dos Padrões'!$A$2:$V$921,BB$1,FALSE)="","-",VLOOKUP(ROUND(CONCATENATE($A14,BB$2),0),'Cadastro dos Padrões'!$A$2:$V$921,BB$1,FALSE))</f>
        <v>2</v>
      </c>
      <c r="BC14" s="10">
        <f>IF(VLOOKUP(ROUND(CONCATENATE($A14,BC$2),0),'Cadastro dos Padrões'!$A$2:$V$921,BC$1,FALSE)="","-",VLOOKUP(ROUND(CONCATENATE($A14,BC$2),0),'Cadastro dos Padrões'!$A$2:$V$921,BC$1,FALSE))</f>
        <v>1000000</v>
      </c>
      <c r="BD14" s="10" t="str">
        <f>IF(VLOOKUP(ROUND(CONCATENATE($A14,BD$2),0),'Cadastro dos Padrões'!$A$2:$V$921,BD$1,FALSE)="","-",VLOOKUP(ROUND(CONCATENATE($A14,BD$2),0),'Cadastro dos Padrões'!$A$2:$V$921,BD$1,FALSE))</f>
        <v>-</v>
      </c>
      <c r="BE14" s="10" t="str">
        <f>IF(VLOOKUP(ROUND(CONCATENATE($A14,BE$2),0),'Cadastro dos Padrões'!$A$2:$V$921,BE$1,FALSE)="","-",VLOOKUP(ROUND(CONCATENATE($A14,BE$2),0),'Cadastro dos Padrões'!$A$2:$V$921,BE$1,FALSE))</f>
        <v>-</v>
      </c>
      <c r="BF14" s="10" t="str">
        <f>IF(VLOOKUP(ROUND(CONCATENATE($A14,BF$2),0),'Cadastro dos Padrões'!$A$2:$V$921,BF$1,FALSE)="","-",VLOOKUP(ROUND(CONCATENATE($A14,BF$2),0),'Cadastro dos Padrões'!$A$2:$V$921,BF$1,FALSE))</f>
        <v>-</v>
      </c>
      <c r="BG14" s="10" t="str">
        <f>IF(VLOOKUP(ROUND(CONCATENATE($A14,BG$2),0),'Cadastro dos Padrões'!$A$2:$V$921,BG$1,FALSE)="","-",VLOOKUP(ROUND(CONCATENATE($A14,BG$2),0),'Cadastro dos Padrões'!$A$2:$V$921,BG$1,FALSE))</f>
        <v>-</v>
      </c>
      <c r="BH14" s="10" t="str">
        <f>IF(VLOOKUP(ROUND(CONCATENATE($A14,BH$2),0),'Cadastro dos Padrões'!$A$2:$V$921,BH$1,FALSE)="","-",VLOOKUP(ROUND(CONCATENATE($A14,BH$2),0),'Cadastro dos Padrões'!$A$2:$V$921,BH$1,FALSE))</f>
        <v>-</v>
      </c>
      <c r="BI14" s="10" t="str">
        <f>IF(VLOOKUP(ROUND(CONCATENATE($A14,BI$2),0),'Cadastro dos Padrões'!$A$2:$V$921,BI$1,FALSE)="","-",VLOOKUP(ROUND(CONCATENATE($A14,BI$2),0),'Cadastro dos Padrões'!$A$2:$V$921,BI$1,FALSE))</f>
        <v>-</v>
      </c>
      <c r="BJ14" s="10" t="str">
        <f>IF(VLOOKUP(ROUND(CONCATENATE($A14,BJ$2),0),'Cadastro dos Padrões'!$A$2:$V$921,BJ$1,FALSE)="","-",VLOOKUP(ROUND(CONCATENATE($A14,BJ$2),0),'Cadastro dos Padrões'!$A$2:$V$921,BJ$1,FALSE))</f>
        <v>-</v>
      </c>
      <c r="BK14" s="10" t="str">
        <f>IF(VLOOKUP(ROUND(CONCATENATE($A14,BK$2),0),'Cadastro dos Padrões'!$A$2:$V$921,BK$1,FALSE)="","-",VLOOKUP(ROUND(CONCATENATE($A14,BK$2),0),'Cadastro dos Padrões'!$A$2:$V$921,BK$1,FALSE))</f>
        <v>-</v>
      </c>
      <c r="BL14" s="10" t="str">
        <f>IF(VLOOKUP(ROUND(CONCATENATE($A14,BL$2),0),'Cadastro dos Padrões'!$A$2:$V$921,BL$1,FALSE)="","-",VLOOKUP(ROUND(CONCATENATE($A14,BL$2),0),'Cadastro dos Padrões'!$A$2:$V$921,BL$1,FALSE))</f>
        <v>-</v>
      </c>
      <c r="BM14" s="10" t="str">
        <f>IF(VLOOKUP(ROUND(CONCATENATE($A14,BM$2),0),'Cadastro dos Padrões'!$A$2:$V$921,BM$1,FALSE)="","-",VLOOKUP(ROUND(CONCATENATE($A14,BM$2),0),'Cadastro dos Padrões'!$A$2:$V$921,BM$1,FALSE))</f>
        <v>-</v>
      </c>
      <c r="BN14" s="10" t="str">
        <f>IF(VLOOKUP(ROUND(CONCATENATE($A14,BN$2),0),'Cadastro dos Padrões'!$A$2:$V$921,BN$1,FALSE)="","-",VLOOKUP(ROUND(CONCATENATE($A14,BN$2),0),'Cadastro dos Padrões'!$A$2:$V$921,BN$1,FALSE))</f>
        <v>-</v>
      </c>
      <c r="BO14" s="10" t="str">
        <f>IF(VLOOKUP(ROUND(CONCATENATE($A14,BO$2),0),'Cadastro dos Padrões'!$A$2:$V$921,BO$1,FALSE)="","-",VLOOKUP(ROUND(CONCATENATE($A14,BO$2),0),'Cadastro dos Padrões'!$A$2:$V$921,BO$1,FALSE))</f>
        <v>-</v>
      </c>
      <c r="BP14" s="10">
        <f>IF(VLOOKUP(ROUND(CONCATENATE($A14,BP$2),0),'Cadastro dos Padrões'!$A$2:$V$921,BP$1,FALSE)="","-",VLOOKUP(ROUND(CONCATENATE($A14,BP$2),0),'Cadastro dos Padrões'!$A$2:$V$921,BP$1,FALSE))</f>
        <v>0</v>
      </c>
      <c r="BQ14" s="10">
        <f>IF(VLOOKUP(ROUND(CONCATENATE($A14,BQ$2),0),'Cadastro dos Padrões'!$A$2:$V$921,BQ$1,FALSE)="","-",VLOOKUP(ROUND(CONCATENATE($A14,BQ$2),0),'Cadastro dos Padrões'!$A$2:$V$921,BQ$1,FALSE))</f>
        <v>0</v>
      </c>
      <c r="BR14" s="10">
        <f>IF(VLOOKUP(ROUND(CONCATENATE($A14,BR$2),0),'Cadastro dos Padrões'!$A$2:$V$921,BR$1,FALSE)="","-",VLOOKUP(ROUND(CONCATENATE($A14,BR$2),0),'Cadastro dos Padrões'!$A$2:$V$921,BR$1,FALSE))</f>
        <v>9.9999999996214228E-6</v>
      </c>
      <c r="BS14" s="10">
        <f>IF(VLOOKUP(ROUND(CONCATENATE($A14,BS$2),0),'Cadastro dos Padrões'!$A$2:$V$921,BS$1,FALSE)="","-",VLOOKUP(ROUND(CONCATENATE($A14,BS$2),0),'Cadastro dos Padrões'!$A$2:$V$921,BS$1,FALSE))</f>
        <v>1.0000000003174137E-5</v>
      </c>
      <c r="BT14" s="10">
        <f>IF(VLOOKUP(ROUND(CONCATENATE($A14,BT$2),0),'Cadastro dos Padrões'!$A$2:$V$921,BT$1,FALSE)="","-",VLOOKUP(ROUND(CONCATENATE($A14,BT$2),0),'Cadastro dos Padrões'!$A$2:$V$921,BT$1,FALSE))</f>
        <v>-1.0000000000331966E-4</v>
      </c>
      <c r="BU14" s="10">
        <f>IF(VLOOKUP(ROUND(CONCATENATE($A14,BU$2),0),'Cadastro dos Padrões'!$A$2:$V$921,BU$1,FALSE)="","-",VLOOKUP(ROUND(CONCATENATE($A14,BU$2),0),'Cadastro dos Padrões'!$A$2:$V$921,BU$1,FALSE))</f>
        <v>-1.0000000000331966E-4</v>
      </c>
      <c r="BV14" s="10">
        <f>IF(VLOOKUP(ROUND(CONCATENATE($A14,BV$2),0),'Cadastro dos Padrões'!$A$2:$V$921,BV$1,FALSE)="","-",VLOOKUP(ROUND(CONCATENATE($A14,BV$2),0),'Cadastro dos Padrões'!$A$2:$V$921,BV$1,FALSE))</f>
        <v>2.0000000000663931E-4</v>
      </c>
      <c r="BW14" s="10">
        <f>IF(VLOOKUP(ROUND(CONCATENATE($A14,BW$2),0),'Cadastro dos Padrões'!$A$2:$V$921,BW$1,FALSE)="","-",VLOOKUP(ROUND(CONCATENATE($A14,BW$2),0),'Cadastro dos Padrões'!$A$2:$V$921,BW$1,FALSE))</f>
        <v>0</v>
      </c>
      <c r="BX14" s="10">
        <f>IF(VLOOKUP(ROUND(CONCATENATE($A14,BX$2),0),'Cadastro dos Padrões'!$A$2:$V$921,BX$1,FALSE)="","-",VLOOKUP(ROUND(CONCATENATE($A14,BX$2),0),'Cadastro dos Padrões'!$A$2:$V$921,BX$1,FALSE))</f>
        <v>0</v>
      </c>
      <c r="BY14" s="10">
        <f>IF(VLOOKUP(ROUND(CONCATENATE($A14,BY$2),0),'Cadastro dos Padrões'!$A$2:$V$921,BY$1,FALSE)="","-",VLOOKUP(ROUND(CONCATENATE($A14,BY$2),0),'Cadastro dos Padrões'!$A$2:$V$921,BY$1,FALSE))</f>
        <v>0</v>
      </c>
      <c r="BZ14" s="10">
        <f>IF(VLOOKUP(ROUND(CONCATENATE($A14,BZ$2),0),'Cadastro dos Padrões'!$A$2:$V$921,BZ$1,FALSE)="","-",VLOOKUP(ROUND(CONCATENATE($A14,BZ$2),0),'Cadastro dos Padrões'!$A$2:$V$921,BZ$1,FALSE))</f>
        <v>0</v>
      </c>
      <c r="CA14" s="10">
        <f>IF(VLOOKUP(ROUND(CONCATENATE($A14,CA$2),0),'Cadastro dos Padrões'!$A$2:$V$921,CA$1,FALSE)="","-",VLOOKUP(ROUND(CONCATENATE($A14,CA$2),0),'Cadastro dos Padrões'!$A$2:$V$921,CA$1,FALSE))</f>
        <v>0</v>
      </c>
      <c r="CB14" s="10">
        <f>IF(VLOOKUP(ROUND(CONCATENATE($A14,CB$2),0),'Cadastro dos Padrões'!$A$2:$V$921,CB$1,FALSE)="","-",VLOOKUP(ROUND(CONCATENATE($A14,CB$2),0),'Cadastro dos Padrões'!$A$2:$V$921,CB$1,FALSE))</f>
        <v>-9.9999999996214228E-6</v>
      </c>
      <c r="CC14" s="10">
        <f>IF(VLOOKUP(ROUND(CONCATENATE($A14,CC$2),0),'Cadastro dos Padrões'!$A$2:$V$921,CC$1,FALSE)="","-",VLOOKUP(ROUND(CONCATENATE($A14,CC$2),0),'Cadastro dos Padrões'!$A$2:$V$921,CC$1,FALSE))</f>
        <v>0</v>
      </c>
      <c r="CD14" s="10">
        <f>IF(VLOOKUP(ROUND(CONCATENATE($A14,CD$2),0),'Cadastro dos Padrões'!$A$2:$V$921,CD$1,FALSE)="","-",VLOOKUP(ROUND(CONCATENATE($A14,CD$2),0),'Cadastro dos Padrões'!$A$2:$V$921,CD$1,FALSE))</f>
        <v>1.0000000000331966E-4</v>
      </c>
      <c r="CE14" s="10">
        <f>IF(VLOOKUP(ROUND(CONCATENATE($A14,CE$2),0),'Cadastro dos Padrões'!$A$2:$V$921,CE$1,FALSE)="","-",VLOOKUP(ROUND(CONCATENATE($A14,CE$2),0),'Cadastro dos Padrões'!$A$2:$V$921,CE$1,FALSE))</f>
        <v>1.0000000000331966E-4</v>
      </c>
      <c r="CF14" s="10">
        <f>IF(VLOOKUP(ROUND(CONCATENATE($A14,CF$2),0),'Cadastro dos Padrões'!$A$2:$V$921,CF$1,FALSE)="","-",VLOOKUP(ROUND(CONCATENATE($A14,CF$2),0),'Cadastro dos Padrões'!$A$2:$V$921,CF$1,FALSE))</f>
        <v>1.0000000000331966E-4</v>
      </c>
      <c r="CG14" s="10">
        <f>IF(VLOOKUP(ROUND(CONCATENATE($A14,CG$2),0),'Cadastro dos Padrões'!$A$2:$V$921,CG$1,FALSE)="","-",VLOOKUP(ROUND(CONCATENATE($A14,CG$2),0),'Cadastro dos Padrões'!$A$2:$V$921,CG$1,FALSE))</f>
        <v>0</v>
      </c>
      <c r="CH14" s="10">
        <f>IF(VLOOKUP(ROUND(CONCATENATE($A14,CH$2),0),'Cadastro dos Padrões'!$A$2:$V$921,CH$1,FALSE)="","-",VLOOKUP(ROUND(CONCATENATE($A14,CH$2),0),'Cadastro dos Padrões'!$A$2:$V$921,CH$1,FALSE))</f>
        <v>0</v>
      </c>
      <c r="CI14" s="10">
        <f>IF(VLOOKUP(ROUND(CONCATENATE($A14,CI$2),0),'Cadastro dos Padrões'!$A$2:$V$921,CI$1,FALSE)="","-",VLOOKUP(ROUND(CONCATENATE($A14,CI$2),0),'Cadastro dos Padrões'!$A$2:$V$921,CI$1,FALSE))</f>
        <v>0</v>
      </c>
    </row>
    <row r="15" spans="1:87" x14ac:dyDescent="0.3">
      <c r="A15" s="4">
        <v>10</v>
      </c>
      <c r="B15" s="10" t="str">
        <f>IF(VLOOKUP(ROUND(CONCATENATE($A15,B$2),0),'Cadastro dos Padrões'!$A$2:$V$921,B$1,FALSE)="","-",VLOOKUP(ROUND(CONCATENATE($A15,B$2),0),'Cadastro dos Padrões'!$A$2:$V$921,B$1,FALSE))</f>
        <v>E.MS.LQ-005</v>
      </c>
      <c r="C15" s="10" t="str">
        <f>IF(VLOOKUP(ROUND(CONCATENATE($A15,C$2),0),'Cadastro dos Padrões'!$A$2:$V$921,C$1,FALSE)="","-",VLOOKUP(ROUND(CONCATENATE($A15,C$2),0),'Cadastro dos Padrões'!$A$2:$V$921,C$1,FALSE))</f>
        <v>Balança Analítica</v>
      </c>
      <c r="D15" s="10" t="str">
        <f>IF(VLOOKUP(ROUND(CONCATENATE($A15,D$2),0),'Cadastro dos Padrões'!$A$2:$V$921,D$1,FALSE)="","-",VLOOKUP(ROUND(CONCATENATE($A15,D$2),0),'Cadastro dos Padrões'!$A$2:$V$921,D$1,FALSE))</f>
        <v xml:space="preserve">Elus </v>
      </c>
      <c r="E15" s="10" t="str">
        <f>IF(VLOOKUP(ROUND(CONCATENATE($A15,E$2),0),'Cadastro dos Padrões'!$A$2:$V$921,E$1,FALSE)="","-",VLOOKUP(ROUND(CONCATENATE($A15,E$2),0),'Cadastro dos Padrões'!$A$2:$V$921,E$1,FALSE))</f>
        <v>RBC - CAL 0439</v>
      </c>
      <c r="F15" s="10" t="str">
        <f>IF(VLOOKUP(ROUND(CONCATENATE($A15,F$2),0),'Cadastro dos Padrões'!$A$2:$V$921,F$1,FALSE)="","-",VLOOKUP(ROUND(CONCATENATE($A15,F$2),0),'Cadastro dos Padrões'!$A$2:$V$921,F$1,FALSE))</f>
        <v>E0013/26</v>
      </c>
      <c r="G15" s="27">
        <f>IF(VLOOKUP(ROUND(CONCATENATE($A15,G$2),0),'Cadastro dos Padrões'!$A$2:$V$921,G$1,FALSE)="","-",VLOOKUP(ROUND(CONCATENATE($A15,G$2),0),'Cadastro dos Padrões'!$A$2:$V$921,G$1,FALSE))</f>
        <v>46031</v>
      </c>
      <c r="H15" s="29">
        <f>IF(VLOOKUP(ROUND(CONCATENATE($A15,H$2),0),'Cadastro dos Padrões'!$A$2:$V$921,H$1,FALSE)="","-",VLOOKUP(ROUND(CONCATENATE($A15,H$2),0),'Cadastro dos Padrões'!$A$2:$V$921,H$1,FALSE))</f>
        <v>46417</v>
      </c>
      <c r="I15" s="10" t="str">
        <f>IF(VLOOKUP(ROUND(CONCATENATE($A15,I$2),0),'Cadastro dos Padrões'!$A$2:$V$921,I$1,FALSE)="","-",VLOOKUP(ROUND(CONCATENATE($A15,I$2),0),'Cadastro dos Padrões'!$A$2:$V$921,I$1,FALSE))</f>
        <v>g</v>
      </c>
      <c r="J15" s="10">
        <f>IF(VLOOKUP(ROUND(CONCATENATE($A15,J$2),0),'Cadastro dos Padrões'!$A$2:$V$921,J$1,FALSE)="","-",VLOOKUP(ROUND(CONCATENATE($A15,J$2),0),'Cadastro dos Padrões'!$A$2:$V$921,J$1,FALSE))</f>
        <v>1E-3</v>
      </c>
      <c r="K15" s="10">
        <f>IF(VLOOKUP(ROUND(CONCATENATE($A15,K$2),0),'Cadastro dos Padrões'!$A$2:$V$921,K$1,FALSE)="","-",VLOOKUP(ROUND(CONCATENATE($A15,K$2),0),'Cadastro dos Padrões'!$A$2:$V$921,K$1,FALSE))</f>
        <v>220</v>
      </c>
      <c r="L15" s="10">
        <f>IF(VLOOKUP(ROUND(CONCATENATE($A15,L$2),0),'Cadastro dos Padrões'!$A$2:$V$921,L$1,FALSE)="","-",VLOOKUP(ROUND(CONCATENATE($A15,L$2),0),'Cadastro dos Padrões'!$A$2:$V$921,L$1,FALSE))</f>
        <v>1.0000000000000001E-5</v>
      </c>
      <c r="M15" s="10">
        <f>IF(VLOOKUP(ROUND(CONCATENATE($A15,M$2),0),'Cadastro dos Padrões'!$A$2:$V$921,M$1,FALSE)="","-",VLOOKUP(ROUND(CONCATENATE($A15,M$2),0),'Cadastro dos Padrões'!$A$2:$V$921,M$1,FALSE))</f>
        <v>1.0000000000331966E-4</v>
      </c>
      <c r="N15" s="10">
        <f>IF(VLOOKUP(ROUND(CONCATENATE($A15,N$2),0),'Cadastro dos Padrões'!$A$2:$V$921,N$1,FALSE)="","-",VLOOKUP(ROUND(CONCATENATE($A15,N$2),0),'Cadastro dos Padrões'!$A$2:$V$921,N$1,FALSE))</f>
        <v>8.0000000000000004E-4</v>
      </c>
      <c r="O15" s="10">
        <f>IF(VLOOKUP(ROUND(CONCATENATE($A15,O$2),0),'Cadastro dos Padrões'!$A$2:$V$921,O$1,FALSE)="","-",VLOOKUP(ROUND(CONCATENATE($A15,O$2),0),'Cadastro dos Padrões'!$A$2:$V$921,O$1,FALSE))</f>
        <v>2.0000000000663931E-4</v>
      </c>
      <c r="P15" s="28">
        <f>IF(VLOOKUP(ROUND(CONCATENATE($A15,P$2),0),'Cadastro dos Padrões'!$A$2:$V$921,P$1,FALSE)="","-",VLOOKUP(ROUND(CONCATENATE($A15,P$2),0),'Cadastro dos Padrões'!$A$2:$V$921,P$1,FALSE))</f>
        <v>0</v>
      </c>
      <c r="Q15" s="10">
        <f>IF($B15="-","-",VLOOKUP(ROUND(CONCATENATE($A15,Q$2),0),'Cadastro dos Padrões'!$A$2:$V$921,Q$1,FALSE))</f>
        <v>7.067691130346887E-6</v>
      </c>
      <c r="R15" s="10">
        <f>IF($B15="-","-",VLOOKUP(ROUND(CONCATENATE($A15,R$2),0),'Cadastro dos Padrões'!$A$2:$V$921,R$1,FALSE))</f>
        <v>5</v>
      </c>
      <c r="S15" s="10">
        <f>IF($B15="-","-",VLOOKUP(ROUND(CONCATENATE($A15,S$2),0),'Cadastro dos Padrões'!$A$2:$V$921,S$1,FALSE))</f>
        <v>0</v>
      </c>
      <c r="T15" s="10">
        <f>IF($B15="-","-",VLOOKUP(ROUND(CONCATENATE($A15,T$2),0),'Cadastro dos Padrões'!$A$2:$V$921,T$1,FALSE))</f>
        <v>0</v>
      </c>
      <c r="U15" s="10">
        <f>IF($B15="-","-",VLOOKUP(ROUND(CONCATENATE($A15,U$2),0),'Cadastro dos Padrões'!$A$2:$V$921,U$1,FALSE))</f>
        <v>0</v>
      </c>
      <c r="V15" s="10">
        <f>IF($B15="-","-",VLOOKUP(ROUND(CONCATENATE($A15,V$2),0),'Cadastro dos Padrões'!$A$2:$V$921,V$1,FALSE))</f>
        <v>-5.212734296335124E-15</v>
      </c>
      <c r="W15" s="10">
        <f>IF($B15="-","-",VLOOKUP(ROUND(CONCATENATE($A15,W$2),0),'Cadastro dos Padrões'!$A$2:$V$921,W$1,FALSE))</f>
        <v>2.5973353895409455E-12</v>
      </c>
      <c r="X15" s="10">
        <f>IF($B15="-","-",VLOOKUP(ROUND(CONCATENATE($A15,X$2),0),'Cadastro dos Padrões'!$A$2:$V$921,X$1,FALSE))</f>
        <v>-4.8674512694499971E-10</v>
      </c>
      <c r="Y15" s="10">
        <f>IF($B15="-","-",VLOOKUP(ROUND(CONCATENATE($A15,Y$2),0),'Cadastro dos Padrões'!$A$2:$V$921,Y$1,FALSE))</f>
        <v>4.033339705586922E-8</v>
      </c>
      <c r="Z15" s="10">
        <f>IF($B15="-","-",VLOOKUP(ROUND(CONCATENATE($A15,Z$2),0),'Cadastro dos Padrões'!$A$2:$V$921,Z$1,FALSE))</f>
        <v>0.99999880798902774</v>
      </c>
      <c r="AA15" s="10">
        <f>IF($B15="-","-",VLOOKUP(ROUND(CONCATENATE($A15,AA$2),0),'Cadastro dos Padrões'!$A$2:$V$921,AA$1,FALSE))</f>
        <v>-4.9940003418139523E-6</v>
      </c>
      <c r="AB15" s="10">
        <f>IF(VLOOKUP(ROUND(CONCATENATE($A15,AB$2),0),'Cadastro dos Padrões'!$A$2:$V$921,AB$1,FALSE)="","-",VLOOKUP(ROUND(CONCATENATE($A15,AB$2),0),'Cadastro dos Padrões'!$A$2:$V$921,AB$1,FALSE))</f>
        <v>1E-3</v>
      </c>
      <c r="AC15" s="10">
        <f>IF(VLOOKUP(ROUND(CONCATENATE($A15,AC$2),0),'Cadastro dos Padrões'!$A$2:$V$921,AC$1,FALSE)="","-",VLOOKUP(ROUND(CONCATENATE($A15,AC$2),0),'Cadastro dos Padrões'!$A$2:$V$921,AC$1,FALSE))</f>
        <v>2.0000000000000002E-5</v>
      </c>
      <c r="AD15" s="10">
        <f>IF(VLOOKUP(ROUND(CONCATENATE($A15,AD$2),0),'Cadastro dos Padrões'!$A$2:$V$921,AD$1,FALSE)="","-",VLOOKUP(ROUND(CONCATENATE($A15,AD$2),0),'Cadastro dos Padrões'!$A$2:$V$921,AD$1,FALSE))</f>
        <v>2.02</v>
      </c>
      <c r="AE15" s="10">
        <f>IF(VLOOKUP(ROUND(CONCATENATE($A15,AE$2),0),'Cadastro dos Padrões'!$A$2:$V$921,AE$1,FALSE)="","-",VLOOKUP(ROUND(CONCATENATE($A15,AE$2),0),'Cadastro dos Padrões'!$A$2:$V$921,AE$1,FALSE))</f>
        <v>142</v>
      </c>
      <c r="AF15" s="10">
        <f>IF(VLOOKUP(ROUND(CONCATENATE($A15,AF$2),0),'Cadastro dos Padrões'!$A$2:$V$921,AF$1,FALSE)="","-",VLOOKUP(ROUND(CONCATENATE($A15,AF$2),0),'Cadastro dos Padrões'!$A$2:$V$921,AF$1,FALSE))</f>
        <v>5.0000000000000001E-3</v>
      </c>
      <c r="AG15" s="10">
        <f>IF(VLOOKUP(ROUND(CONCATENATE($A15,AG$2),0),'Cadastro dos Padrões'!$A$2:$V$921,AG$1,FALSE)="","-",VLOOKUP(ROUND(CONCATENATE($A15,AG$2),0),'Cadastro dos Padrões'!$A$2:$V$921,AG$1,FALSE))</f>
        <v>2.0000000000000002E-5</v>
      </c>
      <c r="AH15" s="10">
        <f>IF(VLOOKUP(ROUND(CONCATENATE($A15,AH$2),0),'Cadastro dos Padrões'!$A$2:$V$921,AH$1,FALSE)="","-",VLOOKUP(ROUND(CONCATENATE($A15,AH$2),0),'Cadastro dos Padrões'!$A$2:$V$921,AH$1,FALSE))</f>
        <v>2.02</v>
      </c>
      <c r="AI15" s="10">
        <f>IF(VLOOKUP(ROUND(CONCATENATE($A15,AI$2),0),'Cadastro dos Padrões'!$A$2:$V$921,AI$1,FALSE)="","-",VLOOKUP(ROUND(CONCATENATE($A15,AI$2),0),'Cadastro dos Padrões'!$A$2:$V$921,AI$1,FALSE))</f>
        <v>141</v>
      </c>
      <c r="AJ15" s="10">
        <f>IF(VLOOKUP(ROUND(CONCATENATE($A15,AJ$2),0),'Cadastro dos Padrões'!$A$2:$V$921,AJ$1,FALSE)="","-",VLOOKUP(ROUND(CONCATENATE($A15,AJ$2),0),'Cadastro dos Padrões'!$A$2:$V$921,AJ$1,FALSE))</f>
        <v>5</v>
      </c>
      <c r="AK15" s="10">
        <f>IF(VLOOKUP(ROUND(CONCATENATE($A15,AK$2),0),'Cadastro dos Padrões'!$A$2:$V$921,AK$1,FALSE)="","-",VLOOKUP(ROUND(CONCATENATE($A15,AK$2),0),'Cadastro dos Padrões'!$A$2:$V$921,AK$1,FALSE))</f>
        <v>3.0000000000000001E-5</v>
      </c>
      <c r="AL15" s="10">
        <f>IF(VLOOKUP(ROUND(CONCATENATE($A15,AL$2),0),'Cadastro dos Padrões'!$A$2:$V$921,AL$1,FALSE)="","-",VLOOKUP(ROUND(CONCATENATE($A15,AL$2),0),'Cadastro dos Padrões'!$A$2:$V$921,AL$1,FALSE))</f>
        <v>2</v>
      </c>
      <c r="AM15" s="10">
        <f>IF(VLOOKUP(ROUND(CONCATENATE($A15,AM$2),0),'Cadastro dos Padrões'!$A$2:$V$921,AM$1,FALSE)="","-",VLOOKUP(ROUND(CONCATENATE($A15,AM$2),0),'Cadastro dos Padrões'!$A$2:$V$921,AM$1,FALSE))</f>
        <v>880</v>
      </c>
      <c r="AN15" s="10">
        <f>IF(VLOOKUP(ROUND(CONCATENATE($A15,AN$2),0),'Cadastro dos Padrões'!$A$2:$V$921,AN$1,FALSE)="","-",VLOOKUP(ROUND(CONCATENATE($A15,AN$2),0),'Cadastro dos Padrões'!$A$2:$V$921,AN$1,FALSE))</f>
        <v>50</v>
      </c>
      <c r="AO15" s="10">
        <f>IF(VLOOKUP(ROUND(CONCATENATE($A15,AO$2),0),'Cadastro dos Padrões'!$A$2:$V$921,AO$1,FALSE)="","-",VLOOKUP(ROUND(CONCATENATE($A15,AO$2),0),'Cadastro dos Padrões'!$A$2:$V$921,AO$1,FALSE))</f>
        <v>1.4999999999999999E-4</v>
      </c>
      <c r="AP15" s="10">
        <f>IF(VLOOKUP(ROUND(CONCATENATE($A15,AP$2),0),'Cadastro dos Padrões'!$A$2:$V$921,AP$1,FALSE)="","-",VLOOKUP(ROUND(CONCATENATE($A15,AP$2),0),'Cadastro dos Padrões'!$A$2:$V$921,AP$1,FALSE))</f>
        <v>2</v>
      </c>
      <c r="AQ15" s="10">
        <f>IF(VLOOKUP(ROUND(CONCATENATE($A15,AQ$2),0),'Cadastro dos Padrões'!$A$2:$V$921,AQ$1,FALSE)="","-",VLOOKUP(ROUND(CONCATENATE($A15,AQ$2),0),'Cadastro dos Padrões'!$A$2:$V$921,AQ$1,FALSE))</f>
        <v>1000000</v>
      </c>
      <c r="AR15" s="10">
        <f>IF(VLOOKUP(ROUND(CONCATENATE($A15,AR$2),0),'Cadastro dos Padrões'!$A$2:$V$921,AR$1,FALSE)="","-",VLOOKUP(ROUND(CONCATENATE($A15,AR$2),0),'Cadastro dos Padrões'!$A$2:$V$921,AR$1,FALSE))</f>
        <v>100</v>
      </c>
      <c r="AS15" s="10">
        <f>IF(VLOOKUP(ROUND(CONCATENATE($A15,AS$2),0),'Cadastro dos Padrões'!$A$2:$V$921,AS$1,FALSE)="","-",VLOOKUP(ROUND(CONCATENATE($A15,AS$2),0),'Cadastro dos Padrões'!$A$2:$V$921,AS$1,FALSE))</f>
        <v>4.0000000000000002E-4</v>
      </c>
      <c r="AT15" s="10">
        <f>IF(VLOOKUP(ROUND(CONCATENATE($A15,AT$2),0),'Cadastro dos Padrões'!$A$2:$V$921,AT$1,FALSE)="","-",VLOOKUP(ROUND(CONCATENATE($A15,AT$2),0),'Cadastro dos Padrões'!$A$2:$V$921,AT$1,FALSE))</f>
        <v>2</v>
      </c>
      <c r="AU15" s="10">
        <f>IF(VLOOKUP(ROUND(CONCATENATE($A15,AU$2),0),'Cadastro dos Padrões'!$A$2:$V$921,AU$1,FALSE)="","-",VLOOKUP(ROUND(CONCATENATE($A15,AU$2),0),'Cadastro dos Padrões'!$A$2:$V$921,AU$1,FALSE))</f>
        <v>1000000</v>
      </c>
      <c r="AV15" s="10">
        <f>IF(VLOOKUP(ROUND(CONCATENATE($A15,AV$2),0),'Cadastro dos Padrões'!$A$2:$V$921,AV$1,FALSE)="","-",VLOOKUP(ROUND(CONCATENATE($A15,AV$2),0),'Cadastro dos Padrões'!$A$2:$V$921,AV$1,FALSE))</f>
        <v>150</v>
      </c>
      <c r="AW15" s="10">
        <f>IF(VLOOKUP(ROUND(CONCATENATE($A15,AW$2),0),'Cadastro dos Padrões'!$A$2:$V$921,AW$1,FALSE)="","-",VLOOKUP(ROUND(CONCATENATE($A15,AW$2),0),'Cadastro dos Padrões'!$A$2:$V$921,AW$1,FALSE))</f>
        <v>5.0000000000000001E-4</v>
      </c>
      <c r="AX15" s="10">
        <f>IF(VLOOKUP(ROUND(CONCATENATE($A15,AX$2),0),'Cadastro dos Padrões'!$A$2:$V$921,AX$1,FALSE)="","-",VLOOKUP(ROUND(CONCATENATE($A15,AX$2),0),'Cadastro dos Padrões'!$A$2:$V$921,AX$1,FALSE))</f>
        <v>2</v>
      </c>
      <c r="AY15" s="10">
        <f>IF(VLOOKUP(ROUND(CONCATENATE($A15,AY$2),0),'Cadastro dos Padrões'!$A$2:$V$921,AY$1,FALSE)="","-",VLOOKUP(ROUND(CONCATENATE($A15,AY$2),0),'Cadastro dos Padrões'!$A$2:$V$921,AY$1,FALSE))</f>
        <v>1000000</v>
      </c>
      <c r="AZ15" s="10">
        <f>IF(VLOOKUP(ROUND(CONCATENATE($A15,AZ$2),0),'Cadastro dos Padrões'!$A$2:$V$921,AZ$1,FALSE)="","-",VLOOKUP(ROUND(CONCATENATE($A15,AZ$2),0),'Cadastro dos Padrões'!$A$2:$V$921,AZ$1,FALSE))</f>
        <v>220</v>
      </c>
      <c r="BA15" s="10">
        <f>IF(VLOOKUP(ROUND(CONCATENATE($A15,BA$2),0),'Cadastro dos Padrões'!$A$2:$V$921,BA$1,FALSE)="","-",VLOOKUP(ROUND(CONCATENATE($A15,BA$2),0),'Cadastro dos Padrões'!$A$2:$V$921,BA$1,FALSE))</f>
        <v>8.0000000000000004E-4</v>
      </c>
      <c r="BB15" s="10">
        <f>IF(VLOOKUP(ROUND(CONCATENATE($A15,BB$2),0),'Cadastro dos Padrões'!$A$2:$V$921,BB$1,FALSE)="","-",VLOOKUP(ROUND(CONCATENATE($A15,BB$2),0),'Cadastro dos Padrões'!$A$2:$V$921,BB$1,FALSE))</f>
        <v>2</v>
      </c>
      <c r="BC15" s="10">
        <f>IF(VLOOKUP(ROUND(CONCATENATE($A15,BC$2),0),'Cadastro dos Padrões'!$A$2:$V$921,BC$1,FALSE)="","-",VLOOKUP(ROUND(CONCATENATE($A15,BC$2),0),'Cadastro dos Padrões'!$A$2:$V$921,BC$1,FALSE))</f>
        <v>1000000</v>
      </c>
      <c r="BD15" s="10" t="str">
        <f>IF(VLOOKUP(ROUND(CONCATENATE($A15,BD$2),0),'Cadastro dos Padrões'!$A$2:$V$921,BD$1,FALSE)="","-",VLOOKUP(ROUND(CONCATENATE($A15,BD$2),0),'Cadastro dos Padrões'!$A$2:$V$921,BD$1,FALSE))</f>
        <v>-</v>
      </c>
      <c r="BE15" s="10" t="str">
        <f>IF(VLOOKUP(ROUND(CONCATENATE($A15,BE$2),0),'Cadastro dos Padrões'!$A$2:$V$921,BE$1,FALSE)="","-",VLOOKUP(ROUND(CONCATENATE($A15,BE$2),0),'Cadastro dos Padrões'!$A$2:$V$921,BE$1,FALSE))</f>
        <v>-</v>
      </c>
      <c r="BF15" s="10" t="str">
        <f>IF(VLOOKUP(ROUND(CONCATENATE($A15,BF$2),0),'Cadastro dos Padrões'!$A$2:$V$921,BF$1,FALSE)="","-",VLOOKUP(ROUND(CONCATENATE($A15,BF$2),0),'Cadastro dos Padrões'!$A$2:$V$921,BF$1,FALSE))</f>
        <v>-</v>
      </c>
      <c r="BG15" s="10" t="str">
        <f>IF(VLOOKUP(ROUND(CONCATENATE($A15,BG$2),0),'Cadastro dos Padrões'!$A$2:$V$921,BG$1,FALSE)="","-",VLOOKUP(ROUND(CONCATENATE($A15,BG$2),0),'Cadastro dos Padrões'!$A$2:$V$921,BG$1,FALSE))</f>
        <v>-</v>
      </c>
      <c r="BH15" s="10" t="str">
        <f>IF(VLOOKUP(ROUND(CONCATENATE($A15,BH$2),0),'Cadastro dos Padrões'!$A$2:$V$921,BH$1,FALSE)="","-",VLOOKUP(ROUND(CONCATENATE($A15,BH$2),0),'Cadastro dos Padrões'!$A$2:$V$921,BH$1,FALSE))</f>
        <v>-</v>
      </c>
      <c r="BI15" s="10" t="str">
        <f>IF(VLOOKUP(ROUND(CONCATENATE($A15,BI$2),0),'Cadastro dos Padrões'!$A$2:$V$921,BI$1,FALSE)="","-",VLOOKUP(ROUND(CONCATENATE($A15,BI$2),0),'Cadastro dos Padrões'!$A$2:$V$921,BI$1,FALSE))</f>
        <v>-</v>
      </c>
      <c r="BJ15" s="10" t="str">
        <f>IF(VLOOKUP(ROUND(CONCATENATE($A15,BJ$2),0),'Cadastro dos Padrões'!$A$2:$V$921,BJ$1,FALSE)="","-",VLOOKUP(ROUND(CONCATENATE($A15,BJ$2),0),'Cadastro dos Padrões'!$A$2:$V$921,BJ$1,FALSE))</f>
        <v>-</v>
      </c>
      <c r="BK15" s="10" t="str">
        <f>IF(VLOOKUP(ROUND(CONCATENATE($A15,BK$2),0),'Cadastro dos Padrões'!$A$2:$V$921,BK$1,FALSE)="","-",VLOOKUP(ROUND(CONCATENATE($A15,BK$2),0),'Cadastro dos Padrões'!$A$2:$V$921,BK$1,FALSE))</f>
        <v>-</v>
      </c>
      <c r="BL15" s="10" t="str">
        <f>IF(VLOOKUP(ROUND(CONCATENATE($A15,BL$2),0),'Cadastro dos Padrões'!$A$2:$V$921,BL$1,FALSE)="","-",VLOOKUP(ROUND(CONCATENATE($A15,BL$2),0),'Cadastro dos Padrões'!$A$2:$V$921,BL$1,FALSE))</f>
        <v>-</v>
      </c>
      <c r="BM15" s="10" t="str">
        <f>IF(VLOOKUP(ROUND(CONCATENATE($A15,BM$2),0),'Cadastro dos Padrões'!$A$2:$V$921,BM$1,FALSE)="","-",VLOOKUP(ROUND(CONCATENATE($A15,BM$2),0),'Cadastro dos Padrões'!$A$2:$V$921,BM$1,FALSE))</f>
        <v>-</v>
      </c>
      <c r="BN15" s="10" t="str">
        <f>IF(VLOOKUP(ROUND(CONCATENATE($A15,BN$2),0),'Cadastro dos Padrões'!$A$2:$V$921,BN$1,FALSE)="","-",VLOOKUP(ROUND(CONCATENATE($A15,BN$2),0),'Cadastro dos Padrões'!$A$2:$V$921,BN$1,FALSE))</f>
        <v>-</v>
      </c>
      <c r="BO15" s="10" t="str">
        <f>IF(VLOOKUP(ROUND(CONCATENATE($A15,BO$2),0),'Cadastro dos Padrões'!$A$2:$V$921,BO$1,FALSE)="","-",VLOOKUP(ROUND(CONCATENATE($A15,BO$2),0),'Cadastro dos Padrões'!$A$2:$V$921,BO$1,FALSE))</f>
        <v>-</v>
      </c>
      <c r="BP15" s="10">
        <f>IF(VLOOKUP(ROUND(CONCATENATE($A15,BP$2),0),'Cadastro dos Padrões'!$A$2:$V$921,BP$1,FALSE)="","-",VLOOKUP(ROUND(CONCATENATE($A15,BP$2),0),'Cadastro dos Padrões'!$A$2:$V$921,BP$1,FALSE))</f>
        <v>0</v>
      </c>
      <c r="BQ15" s="10">
        <f>IF(VLOOKUP(ROUND(CONCATENATE($A15,BQ$2),0),'Cadastro dos Padrões'!$A$2:$V$921,BQ$1,FALSE)="","-",VLOOKUP(ROUND(CONCATENATE($A15,BQ$2),0),'Cadastro dos Padrões'!$A$2:$V$921,BQ$1,FALSE))</f>
        <v>9.9999999999995925E-6</v>
      </c>
      <c r="BR15" s="10">
        <f>IF(VLOOKUP(ROUND(CONCATENATE($A15,BR$2),0),'Cadastro dos Padrões'!$A$2:$V$921,BR$1,FALSE)="","-",VLOOKUP(ROUND(CONCATENATE($A15,BR$2),0),'Cadastro dos Padrões'!$A$2:$V$921,BR$1,FALSE))</f>
        <v>9.9999999996214228E-6</v>
      </c>
      <c r="BS15" s="10">
        <f>IF(VLOOKUP(ROUND(CONCATENATE($A15,BS$2),0),'Cadastro dos Padrões'!$A$2:$V$921,BS$1,FALSE)="","-",VLOOKUP(ROUND(CONCATENATE($A15,BS$2),0),'Cadastro dos Padrões'!$A$2:$V$921,BS$1,FALSE))</f>
        <v>1.0000000003174137E-5</v>
      </c>
      <c r="BT15" s="10">
        <f>IF(VLOOKUP(ROUND(CONCATENATE($A15,BT$2),0),'Cadastro dos Padrões'!$A$2:$V$921,BT$1,FALSE)="","-",VLOOKUP(ROUND(CONCATENATE($A15,BT$2),0),'Cadastro dos Padrões'!$A$2:$V$921,BT$1,FALSE))</f>
        <v>0</v>
      </c>
      <c r="BU15" s="10">
        <f>IF(VLOOKUP(ROUND(CONCATENATE($A15,BU$2),0),'Cadastro dos Padrões'!$A$2:$V$921,BU$1,FALSE)="","-",VLOOKUP(ROUND(CONCATENATE($A15,BU$2),0),'Cadastro dos Padrões'!$A$2:$V$921,BU$1,FALSE))</f>
        <v>0</v>
      </c>
      <c r="BV15" s="10">
        <f>IF(VLOOKUP(ROUND(CONCATENATE($A15,BV$2),0),'Cadastro dos Padrões'!$A$2:$V$921,BV$1,FALSE)="","-",VLOOKUP(ROUND(CONCATENATE($A15,BV$2),0),'Cadastro dos Padrões'!$A$2:$V$921,BV$1,FALSE))</f>
        <v>1.0000000000331966E-4</v>
      </c>
      <c r="BW15" s="10">
        <f>IF(VLOOKUP(ROUND(CONCATENATE($A15,BW$2),0),'Cadastro dos Padrões'!$A$2:$V$921,BW$1,FALSE)="","-",VLOOKUP(ROUND(CONCATENATE($A15,BW$2),0),'Cadastro dos Padrões'!$A$2:$V$921,BW$1,FALSE))</f>
        <v>0</v>
      </c>
      <c r="BX15" s="10">
        <f>IF(VLOOKUP(ROUND(CONCATENATE($A15,BX$2),0),'Cadastro dos Padrões'!$A$2:$V$921,BX$1,FALSE)="","-",VLOOKUP(ROUND(CONCATENATE($A15,BX$2),0),'Cadastro dos Padrões'!$A$2:$V$921,BX$1,FALSE))</f>
        <v>0</v>
      </c>
      <c r="BY15" s="10">
        <f>IF(VLOOKUP(ROUND(CONCATENATE($A15,BY$2),0),'Cadastro dos Padrões'!$A$2:$V$921,BY$1,FALSE)="","-",VLOOKUP(ROUND(CONCATENATE($A15,BY$2),0),'Cadastro dos Padrões'!$A$2:$V$921,BY$1,FALSE))</f>
        <v>0</v>
      </c>
      <c r="BZ15" s="10">
        <f>IF(VLOOKUP(ROUND(CONCATENATE($A15,BZ$2),0),'Cadastro dos Padrões'!$A$2:$V$921,BZ$1,FALSE)="","-",VLOOKUP(ROUND(CONCATENATE($A15,BZ$2),0),'Cadastro dos Padrões'!$A$2:$V$921,BZ$1,FALSE))</f>
        <v>1.0000000000000026E-5</v>
      </c>
      <c r="CA15" s="10">
        <f>IF(VLOOKUP(ROUND(CONCATENATE($A15,CA$2),0),'Cadastro dos Padrões'!$A$2:$V$921,CA$1,FALSE)="","-",VLOOKUP(ROUND(CONCATENATE($A15,CA$2),0),'Cadastro dos Padrões'!$A$2:$V$921,CA$1,FALSE))</f>
        <v>0</v>
      </c>
      <c r="CB15" s="10">
        <f>IF(VLOOKUP(ROUND(CONCATENATE($A15,CB$2),0),'Cadastro dos Padrões'!$A$2:$V$921,CB$1,FALSE)="","-",VLOOKUP(ROUND(CONCATENATE($A15,CB$2),0),'Cadastro dos Padrões'!$A$2:$V$921,CB$1,FALSE))</f>
        <v>-9.9999999996214228E-6</v>
      </c>
      <c r="CC15" s="10">
        <f>IF(VLOOKUP(ROUND(CONCATENATE($A15,CC$2),0),'Cadastro dos Padrões'!$A$2:$V$921,CC$1,FALSE)="","-",VLOOKUP(ROUND(CONCATENATE($A15,CC$2),0),'Cadastro dos Padrões'!$A$2:$V$921,CC$1,FALSE))</f>
        <v>9.9999999960687092E-6</v>
      </c>
      <c r="CD15" s="10">
        <f>IF(VLOOKUP(ROUND(CONCATENATE($A15,CD$2),0),'Cadastro dos Padrões'!$A$2:$V$921,CD$1,FALSE)="","-",VLOOKUP(ROUND(CONCATENATE($A15,CD$2),0),'Cadastro dos Padrões'!$A$2:$V$921,CD$1,FALSE))</f>
        <v>0</v>
      </c>
      <c r="CE15" s="10">
        <f>IF(VLOOKUP(ROUND(CONCATENATE($A15,CE$2),0),'Cadastro dos Padrões'!$A$2:$V$921,CE$1,FALSE)="","-",VLOOKUP(ROUND(CONCATENATE($A15,CE$2),0),'Cadastro dos Padrões'!$A$2:$V$921,CE$1,FALSE))</f>
        <v>-1.0000000000331966E-4</v>
      </c>
      <c r="CF15" s="10">
        <f>IF(VLOOKUP(ROUND(CONCATENATE($A15,CF$2),0),'Cadastro dos Padrões'!$A$2:$V$921,CF$1,FALSE)="","-",VLOOKUP(ROUND(CONCATENATE($A15,CF$2),0),'Cadastro dos Padrões'!$A$2:$V$921,CF$1,FALSE))</f>
        <v>-2.0000000000663931E-4</v>
      </c>
      <c r="CG15" s="10">
        <f>IF(VLOOKUP(ROUND(CONCATENATE($A15,CG$2),0),'Cadastro dos Padrões'!$A$2:$V$921,CG$1,FALSE)="","-",VLOOKUP(ROUND(CONCATENATE($A15,CG$2),0),'Cadastro dos Padrões'!$A$2:$V$921,CG$1,FALSE))</f>
        <v>0</v>
      </c>
      <c r="CH15" s="10">
        <f>IF(VLOOKUP(ROUND(CONCATENATE($A15,CH$2),0),'Cadastro dos Padrões'!$A$2:$V$921,CH$1,FALSE)="","-",VLOOKUP(ROUND(CONCATENATE($A15,CH$2),0),'Cadastro dos Padrões'!$A$2:$V$921,CH$1,FALSE))</f>
        <v>0</v>
      </c>
      <c r="CI15" s="10">
        <f>IF(VLOOKUP(ROUND(CONCATENATE($A15,CI$2),0),'Cadastro dos Padrões'!$A$2:$V$921,CI$1,FALSE)="","-",VLOOKUP(ROUND(CONCATENATE($A15,CI$2),0),'Cadastro dos Padrões'!$A$2:$V$921,CI$1,FALSE))</f>
        <v>0</v>
      </c>
    </row>
    <row r="16" spans="1:87" x14ac:dyDescent="0.3">
      <c r="A16" s="4">
        <v>11</v>
      </c>
      <c r="B16" s="10" t="str">
        <f>IF(VLOOKUP(ROUND(CONCATENATE($A16,B$2),0),'Cadastro dos Padrões'!$A$2:$V$921,B$1,FALSE)="","-",VLOOKUP(ROUND(CONCATENATE($A16,B$2),0),'Cadastro dos Padrões'!$A$2:$V$921,B$1,FALSE))</f>
        <v>E.MS.LQ-007</v>
      </c>
      <c r="C16" s="10" t="str">
        <f>IF(VLOOKUP(ROUND(CONCATENATE($A16,C$2),0),'Cadastro dos Padrões'!$A$2:$V$921,C$1,FALSE)="","-",VLOOKUP(ROUND(CONCATENATE($A16,C$2),0),'Cadastro dos Padrões'!$A$2:$V$921,C$1,FALSE))</f>
        <v>Balança Digital</v>
      </c>
      <c r="D16" s="10" t="str">
        <f>IF(VLOOKUP(ROUND(CONCATENATE($A16,D$2),0),'Cadastro dos Padrões'!$A$2:$V$921,D$1,FALSE)="","-",VLOOKUP(ROUND(CONCATENATE($A16,D$2),0),'Cadastro dos Padrões'!$A$2:$V$921,D$1,FALSE))</f>
        <v xml:space="preserve">Elus </v>
      </c>
      <c r="E16" s="10" t="str">
        <f>IF(VLOOKUP(ROUND(CONCATENATE($A16,E$2),0),'Cadastro dos Padrões'!$A$2:$V$921,E$1,FALSE)="","-",VLOOKUP(ROUND(CONCATENATE($A16,E$2),0),'Cadastro dos Padrões'!$A$2:$V$921,E$1,FALSE))</f>
        <v>RBC - CAL 0439</v>
      </c>
      <c r="F16" s="10" t="str">
        <f>IF(VLOOKUP(ROUND(CONCATENATE($A16,F$2),0),'Cadastro dos Padrões'!$A$2:$V$921,F$1,FALSE)="","-",VLOOKUP(ROUND(CONCATENATE($A16,F$2),0),'Cadastro dos Padrões'!$A$2:$V$921,F$1,FALSE))</f>
        <v>E0015/26</v>
      </c>
      <c r="G16" s="27">
        <f>IF(VLOOKUP(ROUND(CONCATENATE($A16,G$2),0),'Cadastro dos Padrões'!$A$2:$V$921,G$1,FALSE)="","-",VLOOKUP(ROUND(CONCATENATE($A16,G$2),0),'Cadastro dos Padrões'!$A$2:$V$921,G$1,FALSE))</f>
        <v>46031</v>
      </c>
      <c r="H16" s="29">
        <f>IF(VLOOKUP(ROUND(CONCATENATE($A16,H$2),0),'Cadastro dos Padrões'!$A$2:$V$921,H$1,FALSE)="","-",VLOOKUP(ROUND(CONCATENATE($A16,H$2),0),'Cadastro dos Padrões'!$A$2:$V$921,H$1,FALSE))</f>
        <v>46417</v>
      </c>
      <c r="I16" s="10" t="str">
        <f>IF(VLOOKUP(ROUND(CONCATENATE($A16,I$2),0),'Cadastro dos Padrões'!$A$2:$V$921,I$1,FALSE)="","-",VLOOKUP(ROUND(CONCATENATE($A16,I$2),0),'Cadastro dos Padrões'!$A$2:$V$921,I$1,FALSE))</f>
        <v>g</v>
      </c>
      <c r="J16" s="10">
        <f>IF(VLOOKUP(ROUND(CONCATENATE($A16,J$2),0),'Cadastro dos Padrões'!$A$2:$V$921,J$1,FALSE)="","-",VLOOKUP(ROUND(CONCATENATE($A16,J$2),0),'Cadastro dos Padrões'!$A$2:$V$921,J$1,FALSE))</f>
        <v>0.5</v>
      </c>
      <c r="K16" s="10">
        <f>IF(VLOOKUP(ROUND(CONCATENATE($A16,K$2),0),'Cadastro dos Padrões'!$A$2:$V$921,K$1,FALSE)="","-",VLOOKUP(ROUND(CONCATENATE($A16,K$2),0),'Cadastro dos Padrões'!$A$2:$V$921,K$1,FALSE))</f>
        <v>6000</v>
      </c>
      <c r="L16" s="10">
        <f>IF(VLOOKUP(ROUND(CONCATENATE($A16,L$2),0),'Cadastro dos Padrões'!$A$2:$V$921,L$1,FALSE)="","-",VLOOKUP(ROUND(CONCATENATE($A16,L$2),0),'Cadastro dos Padrões'!$A$2:$V$921,L$1,FALSE))</f>
        <v>0.01</v>
      </c>
      <c r="M16" s="10">
        <f>IF(VLOOKUP(ROUND(CONCATENATE($A16,M$2),0),'Cadastro dos Padrões'!$A$2:$V$921,M$1,FALSE)="","-",VLOOKUP(ROUND(CONCATENATE($A16,M$2),0),'Cadastro dos Padrões'!$A$2:$V$921,M$1,FALSE))</f>
        <v>1.0000000000218279E-2</v>
      </c>
      <c r="N16" s="10">
        <f>IF(VLOOKUP(ROUND(CONCATENATE($A16,N$2),0),'Cadastro dos Padrões'!$A$2:$V$921,N$1,FALSE)="","-",VLOOKUP(ROUND(CONCATENATE($A16,N$2),0),'Cadastro dos Padrões'!$A$2:$V$921,N$1,FALSE))</f>
        <v>0.05</v>
      </c>
      <c r="O16" s="10">
        <f>IF(VLOOKUP(ROUND(CONCATENATE($A16,O$2),0),'Cadastro dos Padrões'!$A$2:$V$921,O$1,FALSE)="","-",VLOOKUP(ROUND(CONCATENATE($A16,O$2),0),'Cadastro dos Padrões'!$A$2:$V$921,O$1,FALSE))</f>
        <v>9.9999999999997868E-3</v>
      </c>
      <c r="P16" s="28">
        <f>IF(VLOOKUP(ROUND(CONCATENATE($A16,P$2),0),'Cadastro dos Padrões'!$A$2:$V$921,P$1,FALSE)="","-",VLOOKUP(ROUND(CONCATENATE($A16,P$2),0),'Cadastro dos Padrões'!$A$2:$V$921,P$1,FALSE))</f>
        <v>3.9999999999963624E-3</v>
      </c>
      <c r="Q16" s="10">
        <f>IF($B16="-","-",VLOOKUP(ROUND(CONCATENATE($A16,Q$2),0),'Cadastro dos Padrões'!$A$2:$V$921,Q$1,FALSE))</f>
        <v>6.6026300443766672E-3</v>
      </c>
      <c r="R16" s="10">
        <f>IF($B16="-","-",VLOOKUP(ROUND(CONCATENATE($A16,R$2),0),'Cadastro dos Padrões'!$A$2:$V$921,R$1,FALSE))</f>
        <v>5</v>
      </c>
      <c r="S16" s="10">
        <f>IF($B16="-","-",VLOOKUP(ROUND(CONCATENATE($A16,S$2),0),'Cadastro dos Padrões'!$A$2:$V$921,S$1,FALSE))</f>
        <v>0</v>
      </c>
      <c r="T16" s="10">
        <f>IF($B16="-","-",VLOOKUP(ROUND(CONCATENATE($A16,T$2),0),'Cadastro dos Padrões'!$A$2:$V$921,T$1,FALSE))</f>
        <v>0</v>
      </c>
      <c r="U16" s="10">
        <f>IF($B16="-","-",VLOOKUP(ROUND(CONCATENATE($A16,U$2),0),'Cadastro dos Padrões'!$A$2:$V$921,U$1,FALSE))</f>
        <v>0</v>
      </c>
      <c r="V16" s="10">
        <f>IF($B16="-","-",VLOOKUP(ROUND(CONCATENATE($A16,V$2),0),'Cadastro dos Padrões'!$A$2:$V$921,V$1,FALSE))</f>
        <v>-1.5008736051078918E-18</v>
      </c>
      <c r="W16" s="10">
        <f>IF($B16="-","-",VLOOKUP(ROUND(CONCATENATE($A16,W$2),0),'Cadastro dos Padrões'!$A$2:$V$921,W$1,FALSE))</f>
        <v>1.9878244117221645E-14</v>
      </c>
      <c r="X16" s="10">
        <f>IF($B16="-","-",VLOOKUP(ROUND(CONCATENATE($A16,X$2),0),'Cadastro dos Padrões'!$A$2:$V$921,X$1,FALSE))</f>
        <v>-8.8153370138416508E-11</v>
      </c>
      <c r="Y16" s="10">
        <f>IF($B16="-","-",VLOOKUP(ROUND(CONCATENATE($A16,Y$2),0),'Cadastro dos Padrões'!$A$2:$V$921,Y$1,FALSE))</f>
        <v>1.5064393921489811E-7</v>
      </c>
      <c r="Z16" s="10">
        <f>IF($B16="-","-",VLOOKUP(ROUND(CONCATENATE($A16,Z$2),0),'Cadastro dos Padrões'!$A$2:$V$921,Z$1,FALSE))</f>
        <v>0.99992347691789241</v>
      </c>
      <c r="AA16" s="10">
        <f>IF($B16="-","-",VLOOKUP(ROUND(CONCATENATE($A16,AA$2),0),'Cadastro dos Padrões'!$A$2:$V$921,AA$1,FALSE))</f>
        <v>-4.3300173080658144E-3</v>
      </c>
      <c r="AB16" s="10">
        <f>IF(VLOOKUP(ROUND(CONCATENATE($A16,AB$2),0),'Cadastro dos Padrões'!$A$2:$V$921,AB$1,FALSE)="","-",VLOOKUP(ROUND(CONCATENATE($A16,AB$2),0),'Cadastro dos Padrões'!$A$2:$V$921,AB$1,FALSE))</f>
        <v>0.5</v>
      </c>
      <c r="AC16" s="10">
        <f>IF(VLOOKUP(ROUND(CONCATENATE($A16,AC$2),0),'Cadastro dos Padrões'!$A$2:$V$921,AC$1,FALSE)="","-",VLOOKUP(ROUND(CONCATENATE($A16,AC$2),0),'Cadastro dos Padrões'!$A$2:$V$921,AC$1,FALSE))</f>
        <v>0.02</v>
      </c>
      <c r="AD16" s="10">
        <f>IF(VLOOKUP(ROUND(CONCATENATE($A16,AD$2),0),'Cadastro dos Padrões'!$A$2:$V$921,AD$1,FALSE)="","-",VLOOKUP(ROUND(CONCATENATE($A16,AD$2),0),'Cadastro dos Padrões'!$A$2:$V$921,AD$1,FALSE))</f>
        <v>2</v>
      </c>
      <c r="AE16" s="10">
        <f>IF(VLOOKUP(ROUND(CONCATENATE($A16,AE$2),0),'Cadastro dos Padrões'!$A$2:$V$921,AE$1,FALSE)="","-",VLOOKUP(ROUND(CONCATENATE($A16,AE$2),0),'Cadastro dos Padrões'!$A$2:$V$921,AE$1,FALSE))</f>
        <v>1000000</v>
      </c>
      <c r="AF16" s="10">
        <f>IF(VLOOKUP(ROUND(CONCATENATE($A16,AF$2),0),'Cadastro dos Padrões'!$A$2:$V$921,AF$1,FALSE)="","-",VLOOKUP(ROUND(CONCATENATE($A16,AF$2),0),'Cadastro dos Padrões'!$A$2:$V$921,AF$1,FALSE))</f>
        <v>10</v>
      </c>
      <c r="AG16" s="10">
        <f>IF(VLOOKUP(ROUND(CONCATENATE($A16,AG$2),0),'Cadastro dos Padrões'!$A$2:$V$921,AG$1,FALSE)="","-",VLOOKUP(ROUND(CONCATENATE($A16,AG$2),0),'Cadastro dos Padrões'!$A$2:$V$921,AG$1,FALSE))</f>
        <v>0.02</v>
      </c>
      <c r="AH16" s="10">
        <f>IF(VLOOKUP(ROUND(CONCATENATE($A16,AH$2),0),'Cadastro dos Padrões'!$A$2:$V$921,AH$1,FALSE)="","-",VLOOKUP(ROUND(CONCATENATE($A16,AH$2),0),'Cadastro dos Padrões'!$A$2:$V$921,AH$1,FALSE))</f>
        <v>2</v>
      </c>
      <c r="AI16" s="10">
        <f>IF(VLOOKUP(ROUND(CONCATENATE($A16,AI$2),0),'Cadastro dos Padrões'!$A$2:$V$921,AI$1,FALSE)="","-",VLOOKUP(ROUND(CONCATENATE($A16,AI$2),0),'Cadastro dos Padrões'!$A$2:$V$921,AI$1,FALSE))</f>
        <v>1000000</v>
      </c>
      <c r="AJ16" s="10">
        <f>IF(VLOOKUP(ROUND(CONCATENATE($A16,AJ$2),0),'Cadastro dos Padrões'!$A$2:$V$921,AJ$1,FALSE)="","-",VLOOKUP(ROUND(CONCATENATE($A16,AJ$2),0),'Cadastro dos Padrões'!$A$2:$V$921,AJ$1,FALSE))</f>
        <v>100</v>
      </c>
      <c r="AK16" s="10">
        <f>IF(VLOOKUP(ROUND(CONCATENATE($A16,AK$2),0),'Cadastro dos Padrões'!$A$2:$V$921,AK$1,FALSE)="","-",VLOOKUP(ROUND(CONCATENATE($A16,AK$2),0),'Cadastro dos Padrões'!$A$2:$V$921,AK$1,FALSE))</f>
        <v>0.02</v>
      </c>
      <c r="AL16" s="10">
        <f>IF(VLOOKUP(ROUND(CONCATENATE($A16,AL$2),0),'Cadastro dos Padrões'!$A$2:$V$921,AL$1,FALSE)="","-",VLOOKUP(ROUND(CONCATENATE($A16,AL$2),0),'Cadastro dos Padrões'!$A$2:$V$921,AL$1,FALSE))</f>
        <v>2</v>
      </c>
      <c r="AM16" s="10">
        <f>IF(VLOOKUP(ROUND(CONCATENATE($A16,AM$2),0),'Cadastro dos Padrões'!$A$2:$V$921,AM$1,FALSE)="","-",VLOOKUP(ROUND(CONCATENATE($A16,AM$2),0),'Cadastro dos Padrões'!$A$2:$V$921,AM$1,FALSE))</f>
        <v>1000000</v>
      </c>
      <c r="AN16" s="10">
        <f>IF(VLOOKUP(ROUND(CONCATENATE($A16,AN$2),0),'Cadastro dos Padrões'!$A$2:$V$921,AN$1,FALSE)="","-",VLOOKUP(ROUND(CONCATENATE($A16,AN$2),0),'Cadastro dos Padrões'!$A$2:$V$921,AN$1,FALSE))</f>
        <v>1000</v>
      </c>
      <c r="AO16" s="10">
        <f>IF(VLOOKUP(ROUND(CONCATENATE($A16,AO$2),0),'Cadastro dos Padrões'!$A$2:$V$921,AO$1,FALSE)="","-",VLOOKUP(ROUND(CONCATENATE($A16,AO$2),0),'Cadastro dos Padrões'!$A$2:$V$921,AO$1,FALSE))</f>
        <v>0.02</v>
      </c>
      <c r="AP16" s="10">
        <f>IF(VLOOKUP(ROUND(CONCATENATE($A16,AP$2),0),'Cadastro dos Padrões'!$A$2:$V$921,AP$1,FALSE)="","-",VLOOKUP(ROUND(CONCATENATE($A16,AP$2),0),'Cadastro dos Padrões'!$A$2:$V$921,AP$1,FALSE))</f>
        <v>2</v>
      </c>
      <c r="AQ16" s="10">
        <f>IF(VLOOKUP(ROUND(CONCATENATE($A16,AQ$2),0),'Cadastro dos Padrões'!$A$2:$V$921,AQ$1,FALSE)="","-",VLOOKUP(ROUND(CONCATENATE($A16,AQ$2),0),'Cadastro dos Padrões'!$A$2:$V$921,AQ$1,FALSE))</f>
        <v>1000000</v>
      </c>
      <c r="AR16" s="10">
        <f>IF(VLOOKUP(ROUND(CONCATENATE($A16,AR$2),0),'Cadastro dos Padrões'!$A$2:$V$921,AR$1,FALSE)="","-",VLOOKUP(ROUND(CONCATENATE($A16,AR$2),0),'Cadastro dos Padrões'!$A$2:$V$921,AR$1,FALSE))</f>
        <v>2000</v>
      </c>
      <c r="AS16" s="10">
        <f>IF(VLOOKUP(ROUND(CONCATENATE($A16,AS$2),0),'Cadastro dos Padrões'!$A$2:$V$921,AS$1,FALSE)="","-",VLOOKUP(ROUND(CONCATENATE($A16,AS$2),0),'Cadastro dos Padrões'!$A$2:$V$921,AS$1,FALSE))</f>
        <v>0.03</v>
      </c>
      <c r="AT16" s="10">
        <f>IF(VLOOKUP(ROUND(CONCATENATE($A16,AT$2),0),'Cadastro dos Padrões'!$A$2:$V$921,AT$1,FALSE)="","-",VLOOKUP(ROUND(CONCATENATE($A16,AT$2),0),'Cadastro dos Padrões'!$A$2:$V$921,AT$1,FALSE))</f>
        <v>2</v>
      </c>
      <c r="AU16" s="10">
        <f>IF(VLOOKUP(ROUND(CONCATENATE($A16,AU$2),0),'Cadastro dos Padrões'!$A$2:$V$921,AU$1,FALSE)="","-",VLOOKUP(ROUND(CONCATENATE($A16,AU$2),0),'Cadastro dos Padrões'!$A$2:$V$921,AU$1,FALSE))</f>
        <v>1000000</v>
      </c>
      <c r="AV16" s="10">
        <f>IF(VLOOKUP(ROUND(CONCATENATE($A16,AV$2),0),'Cadastro dos Padrões'!$A$2:$V$921,AV$1,FALSE)="","-",VLOOKUP(ROUND(CONCATENATE($A16,AV$2),0),'Cadastro dos Padrões'!$A$2:$V$921,AV$1,FALSE))</f>
        <v>4000</v>
      </c>
      <c r="AW16" s="10">
        <f>IF(VLOOKUP(ROUND(CONCATENATE($A16,AW$2),0),'Cadastro dos Padrões'!$A$2:$V$921,AW$1,FALSE)="","-",VLOOKUP(ROUND(CONCATENATE($A16,AW$2),0),'Cadastro dos Padrões'!$A$2:$V$921,AW$1,FALSE))</f>
        <v>0.04</v>
      </c>
      <c r="AX16" s="10">
        <f>IF(VLOOKUP(ROUND(CONCATENATE($A16,AX$2),0),'Cadastro dos Padrões'!$A$2:$V$921,AX$1,FALSE)="","-",VLOOKUP(ROUND(CONCATENATE($A16,AX$2),0),'Cadastro dos Padrões'!$A$2:$V$921,AX$1,FALSE))</f>
        <v>2</v>
      </c>
      <c r="AY16" s="10">
        <f>IF(VLOOKUP(ROUND(CONCATENATE($A16,AY$2),0),'Cadastro dos Padrões'!$A$2:$V$921,AY$1,FALSE)="","-",VLOOKUP(ROUND(CONCATENATE($A16,AY$2),0),'Cadastro dos Padrões'!$A$2:$V$921,AY$1,FALSE))</f>
        <v>1000000</v>
      </c>
      <c r="AZ16" s="10">
        <f>IF(VLOOKUP(ROUND(CONCATENATE($A16,AZ$2),0),'Cadastro dos Padrões'!$A$2:$V$921,AZ$1,FALSE)="","-",VLOOKUP(ROUND(CONCATENATE($A16,AZ$2),0),'Cadastro dos Padrões'!$A$2:$V$921,AZ$1,FALSE))</f>
        <v>6000</v>
      </c>
      <c r="BA16" s="10">
        <f>IF(VLOOKUP(ROUND(CONCATENATE($A16,BA$2),0),'Cadastro dos Padrões'!$A$2:$V$921,BA$1,FALSE)="","-",VLOOKUP(ROUND(CONCATENATE($A16,BA$2),0),'Cadastro dos Padrões'!$A$2:$V$921,BA$1,FALSE))</f>
        <v>0.05</v>
      </c>
      <c r="BB16" s="10">
        <f>IF(VLOOKUP(ROUND(CONCATENATE($A16,BB$2),0),'Cadastro dos Padrões'!$A$2:$V$921,BB$1,FALSE)="","-",VLOOKUP(ROUND(CONCATENATE($A16,BB$2),0),'Cadastro dos Padrões'!$A$2:$V$921,BB$1,FALSE))</f>
        <v>2</v>
      </c>
      <c r="BC16" s="10">
        <f>IF(VLOOKUP(ROUND(CONCATENATE($A16,BC$2),0),'Cadastro dos Padrões'!$A$2:$V$921,BC$1,FALSE)="","-",VLOOKUP(ROUND(CONCATENATE($A16,BC$2),0),'Cadastro dos Padrões'!$A$2:$V$921,BC$1,FALSE))</f>
        <v>1000000</v>
      </c>
      <c r="BD16" s="10" t="str">
        <f>IF(VLOOKUP(ROUND(CONCATENATE($A16,BD$2),0),'Cadastro dos Padrões'!$A$2:$V$921,BD$1,FALSE)="","-",VLOOKUP(ROUND(CONCATENATE($A16,BD$2),0),'Cadastro dos Padrões'!$A$2:$V$921,BD$1,FALSE))</f>
        <v>-</v>
      </c>
      <c r="BE16" s="10" t="str">
        <f>IF(VLOOKUP(ROUND(CONCATENATE($A16,BE$2),0),'Cadastro dos Padrões'!$A$2:$V$921,BE$1,FALSE)="","-",VLOOKUP(ROUND(CONCATENATE($A16,BE$2),0),'Cadastro dos Padrões'!$A$2:$V$921,BE$1,FALSE))</f>
        <v>-</v>
      </c>
      <c r="BF16" s="10" t="str">
        <f>IF(VLOOKUP(ROUND(CONCATENATE($A16,BF$2),0),'Cadastro dos Padrões'!$A$2:$V$921,BF$1,FALSE)="","-",VLOOKUP(ROUND(CONCATENATE($A16,BF$2),0),'Cadastro dos Padrões'!$A$2:$V$921,BF$1,FALSE))</f>
        <v>-</v>
      </c>
      <c r="BG16" s="10" t="str">
        <f>IF(VLOOKUP(ROUND(CONCATENATE($A16,BG$2),0),'Cadastro dos Padrões'!$A$2:$V$921,BG$1,FALSE)="","-",VLOOKUP(ROUND(CONCATENATE($A16,BG$2),0),'Cadastro dos Padrões'!$A$2:$V$921,BG$1,FALSE))</f>
        <v>-</v>
      </c>
      <c r="BH16" s="10" t="str">
        <f>IF(VLOOKUP(ROUND(CONCATENATE($A16,BH$2),0),'Cadastro dos Padrões'!$A$2:$V$921,BH$1,FALSE)="","-",VLOOKUP(ROUND(CONCATENATE($A16,BH$2),0),'Cadastro dos Padrões'!$A$2:$V$921,BH$1,FALSE))</f>
        <v>-</v>
      </c>
      <c r="BI16" s="10" t="str">
        <f>IF(VLOOKUP(ROUND(CONCATENATE($A16,BI$2),0),'Cadastro dos Padrões'!$A$2:$V$921,BI$1,FALSE)="","-",VLOOKUP(ROUND(CONCATENATE($A16,BI$2),0),'Cadastro dos Padrões'!$A$2:$V$921,BI$1,FALSE))</f>
        <v>-</v>
      </c>
      <c r="BJ16" s="10" t="str">
        <f>IF(VLOOKUP(ROUND(CONCATENATE($A16,BJ$2),0),'Cadastro dos Padrões'!$A$2:$V$921,BJ$1,FALSE)="","-",VLOOKUP(ROUND(CONCATENATE($A16,BJ$2),0),'Cadastro dos Padrões'!$A$2:$V$921,BJ$1,FALSE))</f>
        <v>-</v>
      </c>
      <c r="BK16" s="10" t="str">
        <f>IF(VLOOKUP(ROUND(CONCATENATE($A16,BK$2),0),'Cadastro dos Padrões'!$A$2:$V$921,BK$1,FALSE)="","-",VLOOKUP(ROUND(CONCATENATE($A16,BK$2),0),'Cadastro dos Padrões'!$A$2:$V$921,BK$1,FALSE))</f>
        <v>-</v>
      </c>
      <c r="BL16" s="10" t="str">
        <f>IF(VLOOKUP(ROUND(CONCATENATE($A16,BL$2),0),'Cadastro dos Padrões'!$A$2:$V$921,BL$1,FALSE)="","-",VLOOKUP(ROUND(CONCATENATE($A16,BL$2),0),'Cadastro dos Padrões'!$A$2:$V$921,BL$1,FALSE))</f>
        <v>-</v>
      </c>
      <c r="BM16" s="10" t="str">
        <f>IF(VLOOKUP(ROUND(CONCATENATE($A16,BM$2),0),'Cadastro dos Padrões'!$A$2:$V$921,BM$1,FALSE)="","-",VLOOKUP(ROUND(CONCATENATE($A16,BM$2),0),'Cadastro dos Padrões'!$A$2:$V$921,BM$1,FALSE))</f>
        <v>-</v>
      </c>
      <c r="BN16" s="10" t="str">
        <f>IF(VLOOKUP(ROUND(CONCATENATE($A16,BN$2),0),'Cadastro dos Padrões'!$A$2:$V$921,BN$1,FALSE)="","-",VLOOKUP(ROUND(CONCATENATE($A16,BN$2),0),'Cadastro dos Padrões'!$A$2:$V$921,BN$1,FALSE))</f>
        <v>-</v>
      </c>
      <c r="BO16" s="10" t="str">
        <f>IF(VLOOKUP(ROUND(CONCATENATE($A16,BO$2),0),'Cadastro dos Padrões'!$A$2:$V$921,BO$1,FALSE)="","-",VLOOKUP(ROUND(CONCATENATE($A16,BO$2),0),'Cadastro dos Padrões'!$A$2:$V$921,BO$1,FALSE))</f>
        <v>-</v>
      </c>
      <c r="BP16" s="10">
        <f>IF(VLOOKUP(ROUND(CONCATENATE($A16,BP$2),0),'Cadastro dos Padrões'!$A$2:$V$921,BP$1,FALSE)="","-",VLOOKUP(ROUND(CONCATENATE($A16,BP$2),0),'Cadastro dos Padrões'!$A$2:$V$921,BP$1,FALSE))</f>
        <v>0</v>
      </c>
      <c r="BQ16" s="10">
        <f>IF(VLOOKUP(ROUND(CONCATENATE($A16,BQ$2),0),'Cadastro dos Padrões'!$A$2:$V$921,BQ$1,FALSE)="","-",VLOOKUP(ROUND(CONCATENATE($A16,BQ$2),0),'Cadastro dos Padrões'!$A$2:$V$921,BQ$1,FALSE))</f>
        <v>9.9999999999997868E-3</v>
      </c>
      <c r="BR16" s="10">
        <f>IF(VLOOKUP(ROUND(CONCATENATE($A16,BR$2),0),'Cadastro dos Padrões'!$A$2:$V$921,BR$1,FALSE)="","-",VLOOKUP(ROUND(CONCATENATE($A16,BR$2),0),'Cadastro dos Padrões'!$A$2:$V$921,BR$1,FALSE))</f>
        <v>1.0000000000005116E-2</v>
      </c>
      <c r="BS16" s="10">
        <f>IF(VLOOKUP(ROUND(CONCATENATE($A16,BS$2),0),'Cadastro dos Padrões'!$A$2:$V$921,BS$1,FALSE)="","-",VLOOKUP(ROUND(CONCATENATE($A16,BS$2),0),'Cadastro dos Padrões'!$A$2:$V$921,BS$1,FALSE))</f>
        <v>0</v>
      </c>
      <c r="BT16" s="10">
        <f>IF(VLOOKUP(ROUND(CONCATENATE($A16,BT$2),0),'Cadastro dos Padrões'!$A$2:$V$921,BT$1,FALSE)="","-",VLOOKUP(ROUND(CONCATENATE($A16,BT$2),0),'Cadastro dos Padrões'!$A$2:$V$921,BT$1,FALSE))</f>
        <v>-9.9999999999909051E-3</v>
      </c>
      <c r="BU16" s="10">
        <f>IF(VLOOKUP(ROUND(CONCATENATE($A16,BU$2),0),'Cadastro dos Padrões'!$A$2:$V$921,BU$1,FALSE)="","-",VLOOKUP(ROUND(CONCATENATE($A16,BU$2),0),'Cadastro dos Padrões'!$A$2:$V$921,BU$1,FALSE))</f>
        <v>-1.0000000000218279E-2</v>
      </c>
      <c r="BV16" s="10">
        <f>IF(VLOOKUP(ROUND(CONCATENATE($A16,BV$2),0),'Cadastro dos Padrões'!$A$2:$V$921,BV$1,FALSE)="","-",VLOOKUP(ROUND(CONCATENATE($A16,BV$2),0),'Cadastro dos Padrões'!$A$2:$V$921,BV$1,FALSE))</f>
        <v>-1.0000000000218279E-2</v>
      </c>
      <c r="BW16" s="10">
        <f>IF(VLOOKUP(ROUND(CONCATENATE($A16,BW$2),0),'Cadastro dos Padrões'!$A$2:$V$921,BW$1,FALSE)="","-",VLOOKUP(ROUND(CONCATENATE($A16,BW$2),0),'Cadastro dos Padrões'!$A$2:$V$921,BW$1,FALSE))</f>
        <v>0</v>
      </c>
      <c r="BX16" s="10">
        <f>IF(VLOOKUP(ROUND(CONCATENATE($A16,BX$2),0),'Cadastro dos Padrões'!$A$2:$V$921,BX$1,FALSE)="","-",VLOOKUP(ROUND(CONCATENATE($A16,BX$2),0),'Cadastro dos Padrões'!$A$2:$V$921,BX$1,FALSE))</f>
        <v>0</v>
      </c>
      <c r="BY16" s="10">
        <f>IF(VLOOKUP(ROUND(CONCATENATE($A16,BY$2),0),'Cadastro dos Padrões'!$A$2:$V$921,BY$1,FALSE)="","-",VLOOKUP(ROUND(CONCATENATE($A16,BY$2),0),'Cadastro dos Padrões'!$A$2:$V$921,BY$1,FALSE))</f>
        <v>0</v>
      </c>
      <c r="BZ16" s="10">
        <f>IF(VLOOKUP(ROUND(CONCATENATE($A16,BZ$2),0),'Cadastro dos Padrões'!$A$2:$V$921,BZ$1,FALSE)="","-",VLOOKUP(ROUND(CONCATENATE($A16,BZ$2),0),'Cadastro dos Padrões'!$A$2:$V$921,BZ$1,FALSE))</f>
        <v>0</v>
      </c>
      <c r="CA16" s="10">
        <f>IF(VLOOKUP(ROUND(CONCATENATE($A16,CA$2),0),'Cadastro dos Padrões'!$A$2:$V$921,CA$1,FALSE)="","-",VLOOKUP(ROUND(CONCATENATE($A16,CA$2),0),'Cadastro dos Padrões'!$A$2:$V$921,CA$1,FALSE))</f>
        <v>-9.9999999999997868E-3</v>
      </c>
      <c r="CB16" s="10">
        <f>IF(VLOOKUP(ROUND(CONCATENATE($A16,CB$2),0),'Cadastro dos Padrões'!$A$2:$V$921,CB$1,FALSE)="","-",VLOOKUP(ROUND(CONCATENATE($A16,CB$2),0),'Cadastro dos Padrões'!$A$2:$V$921,CB$1,FALSE))</f>
        <v>0</v>
      </c>
      <c r="CC16" s="10">
        <f>IF(VLOOKUP(ROUND(CONCATENATE($A16,CC$2),0),'Cadastro dos Padrões'!$A$2:$V$921,CC$1,FALSE)="","-",VLOOKUP(ROUND(CONCATENATE($A16,CC$2),0),'Cadastro dos Padrões'!$A$2:$V$921,CC$1,FALSE))</f>
        <v>0</v>
      </c>
      <c r="CD16" s="10">
        <f>IF(VLOOKUP(ROUND(CONCATENATE($A16,CD$2),0),'Cadastro dos Padrões'!$A$2:$V$921,CD$1,FALSE)="","-",VLOOKUP(ROUND(CONCATENATE($A16,CD$2),0),'Cadastro dos Padrões'!$A$2:$V$921,CD$1,FALSE))</f>
        <v>9.9999999999909051E-3</v>
      </c>
      <c r="CE16" s="10">
        <f>IF(VLOOKUP(ROUND(CONCATENATE($A16,CE$2),0),'Cadastro dos Padrões'!$A$2:$V$921,CE$1,FALSE)="","-",VLOOKUP(ROUND(CONCATENATE($A16,CE$2),0),'Cadastro dos Padrões'!$A$2:$V$921,CE$1,FALSE))</f>
        <v>0</v>
      </c>
      <c r="CF16" s="10">
        <f>IF(VLOOKUP(ROUND(CONCATENATE($A16,CF$2),0),'Cadastro dos Padrões'!$A$2:$V$921,CF$1,FALSE)="","-",VLOOKUP(ROUND(CONCATENATE($A16,CF$2),0),'Cadastro dos Padrões'!$A$2:$V$921,CF$1,FALSE))</f>
        <v>0</v>
      </c>
      <c r="CG16" s="10">
        <f>IF(VLOOKUP(ROUND(CONCATENATE($A16,CG$2),0),'Cadastro dos Padrões'!$A$2:$V$921,CG$1,FALSE)="","-",VLOOKUP(ROUND(CONCATENATE($A16,CG$2),0),'Cadastro dos Padrões'!$A$2:$V$921,CG$1,FALSE))</f>
        <v>0</v>
      </c>
      <c r="CH16" s="10">
        <f>IF(VLOOKUP(ROUND(CONCATENATE($A16,CH$2),0),'Cadastro dos Padrões'!$A$2:$V$921,CH$1,FALSE)="","-",VLOOKUP(ROUND(CONCATENATE($A16,CH$2),0),'Cadastro dos Padrões'!$A$2:$V$921,CH$1,FALSE))</f>
        <v>0</v>
      </c>
      <c r="CI16" s="10">
        <f>IF(VLOOKUP(ROUND(CONCATENATE($A16,CI$2),0),'Cadastro dos Padrões'!$A$2:$V$921,CI$1,FALSE)="","-",VLOOKUP(ROUND(CONCATENATE($A16,CI$2),0),'Cadastro dos Padrões'!$A$2:$V$921,CI$1,FALSE))</f>
        <v>0</v>
      </c>
    </row>
    <row r="17" spans="1:87" x14ac:dyDescent="0.3">
      <c r="A17" s="4">
        <v>12</v>
      </c>
      <c r="B17" s="10" t="str">
        <f>IF(VLOOKUP(ROUND(CONCATENATE($A17,B$2),0),'Cadastro dos Padrões'!$A$2:$V$921,B$1,FALSE)="","-",VLOOKUP(ROUND(CONCATENATE($A17,B$2),0),'Cadastro dos Padrões'!$A$2:$V$921,B$1,FALSE))</f>
        <v>X.MS.LM-001</v>
      </c>
      <c r="C17" s="10" t="str">
        <f>IF(VLOOKUP(ROUND(CONCATENATE($A17,C$2),0),'Cadastro dos Padrões'!$A$2:$V$921,C$1,FALSE)="","-",VLOOKUP(ROUND(CONCATENATE($A17,C$2),0),'Cadastro dos Padrões'!$A$2:$V$921,C$1,FALSE))</f>
        <v>Balança Analítica</v>
      </c>
      <c r="D17" s="10" t="str">
        <f>IF(VLOOKUP(ROUND(CONCATENATE($A17,D$2),0),'Cadastro dos Padrões'!$A$2:$V$921,D$1,FALSE)="","-",VLOOKUP(ROUND(CONCATENATE($A17,D$2),0),'Cadastro dos Padrões'!$A$2:$V$921,D$1,FALSE))</f>
        <v xml:space="preserve">Elus </v>
      </c>
      <c r="E17" s="10" t="str">
        <f>IF(VLOOKUP(ROUND(CONCATENATE($A17,E$2),0),'Cadastro dos Padrões'!$A$2:$V$921,E$1,FALSE)="","-",VLOOKUP(ROUND(CONCATENATE($A17,E$2),0),'Cadastro dos Padrões'!$A$2:$V$921,E$1,FALSE))</f>
        <v>RBC - CAL 0439</v>
      </c>
      <c r="F17" s="10" t="str">
        <f>IF(VLOOKUP(ROUND(CONCATENATE($A17,F$2),0),'Cadastro dos Padrões'!$A$2:$V$921,F$1,FALSE)="","-",VLOOKUP(ROUND(CONCATENATE($A17,F$2),0),'Cadastro dos Padrões'!$A$2:$V$921,F$1,FALSE))</f>
        <v>E0233/24</v>
      </c>
      <c r="G17" s="27">
        <f>IF(VLOOKUP(ROUND(CONCATENATE($A17,G$2),0),'Cadastro dos Padrões'!$A$2:$V$921,G$1,FALSE)="","-",VLOOKUP(ROUND(CONCATENATE($A17,G$2),0),'Cadastro dos Padrões'!$A$2:$V$921,G$1,FALSE))</f>
        <v>45471</v>
      </c>
      <c r="H17" s="29">
        <f>IF(VLOOKUP(ROUND(CONCATENATE($A17,H$2),0),'Cadastro dos Padrões'!$A$2:$V$921,H$1,FALSE)="","-",VLOOKUP(ROUND(CONCATENATE($A17,H$2),0),'Cadastro dos Padrões'!$A$2:$V$921,H$1,FALSE))</f>
        <v>45838</v>
      </c>
      <c r="I17" s="10" t="str">
        <f>IF(VLOOKUP(ROUND(CONCATENATE($A17,I$2),0),'Cadastro dos Padrões'!$A$2:$V$921,I$1,FALSE)="","-",VLOOKUP(ROUND(CONCATENATE($A17,I$2),0),'Cadastro dos Padrões'!$A$2:$V$921,I$1,FALSE))</f>
        <v>g</v>
      </c>
      <c r="J17" s="10">
        <f>IF(VLOOKUP(ROUND(CONCATENATE($A17,J$2),0),'Cadastro dos Padrões'!$A$2:$V$921,J$1,FALSE)="","-",VLOOKUP(ROUND(CONCATENATE($A17,J$2),0),'Cadastro dos Padrões'!$A$2:$V$921,J$1,FALSE))</f>
        <v>1E-3</v>
      </c>
      <c r="K17" s="10">
        <f>IF(VLOOKUP(ROUND(CONCATENATE($A17,K$2),0),'Cadastro dos Padrões'!$A$2:$V$921,K$1,FALSE)="","-",VLOOKUP(ROUND(CONCATENATE($A17,K$2),0),'Cadastro dos Padrões'!$A$2:$V$921,K$1,FALSE))</f>
        <v>20</v>
      </c>
      <c r="L17" s="10">
        <f>IF(VLOOKUP(ROUND(CONCATENATE($A17,L$2),0),'Cadastro dos Padrões'!$A$2:$V$921,L$1,FALSE)="","-",VLOOKUP(ROUND(CONCATENATE($A17,L$2),0),'Cadastro dos Padrões'!$A$2:$V$921,L$1,FALSE))</f>
        <v>9.9999999999999995E-7</v>
      </c>
      <c r="M17" s="10">
        <f>IF(VLOOKUP(ROUND(CONCATENATE($A17,M$2),0),'Cadastro dos Padrões'!$A$2:$V$921,M$1,FALSE)="","-",VLOOKUP(ROUND(CONCATENATE($A17,M$2),0),'Cadastro dos Padrões'!$A$2:$V$921,M$1,FALSE))</f>
        <v>2.3999999999801958E-5</v>
      </c>
      <c r="N17" s="10">
        <f>IF(VLOOKUP(ROUND(CONCATENATE($A17,N$2),0),'Cadastro dos Padrões'!$A$2:$V$921,N$1,FALSE)="","-",VLOOKUP(ROUND(CONCATENATE($A17,N$2),0),'Cadastro dos Padrões'!$A$2:$V$921,N$1,FALSE))</f>
        <v>7.3999999999999996E-5</v>
      </c>
      <c r="O17" s="10">
        <f>IF(VLOOKUP(ROUND(CONCATENATE($A17,O$2),0),'Cadastro dos Padrões'!$A$2:$V$921,O$1,FALSE)="","-",VLOOKUP(ROUND(CONCATENATE($A17,O$2),0),'Cadastro dos Padrões'!$A$2:$V$921,O$1,FALSE))</f>
        <v>1.9999999999242846E-5</v>
      </c>
      <c r="P17" s="28">
        <f>IF(VLOOKUP(ROUND(CONCATENATE($A17,P$2),0),'Cadastro dos Padrões'!$A$2:$V$921,P$1,FALSE)="","-",VLOOKUP(ROUND(CONCATENATE($A17,P$2),0),'Cadastro dos Padrões'!$A$2:$V$921,P$1,FALSE))</f>
        <v>4.2000000000541604E-4</v>
      </c>
      <c r="Q17" s="10">
        <f>IF($B17="-","-",VLOOKUP(ROUND(CONCATENATE($A17,Q$2),0),'Cadastro dos Padrões'!$A$2:$V$921,Q$1,FALSE))</f>
        <v>1.7427025734753864E-7</v>
      </c>
      <c r="R17" s="10">
        <f>IF($B17="-","-",VLOOKUP(ROUND(CONCATENATE($A17,R$2),0),'Cadastro dos Padrões'!$A$2:$V$921,R$1,FALSE))</f>
        <v>7</v>
      </c>
      <c r="S17" s="10">
        <f>IF($B17="-","-",VLOOKUP(ROUND(CONCATENATE($A17,S$2),0),'Cadastro dos Padrões'!$A$2:$V$921,S$1,FALSE))</f>
        <v>0</v>
      </c>
      <c r="T17" s="10">
        <f>IF($B17="-","-",VLOOKUP(ROUND(CONCATENATE($A17,T$2),0),'Cadastro dos Padrões'!$A$2:$V$921,T$1,FALSE))</f>
        <v>-1.3902387276167041E-8</v>
      </c>
      <c r="U17" s="10">
        <f>IF($B17="-","-",VLOOKUP(ROUND(CONCATENATE($A17,U$2),0),'Cadastro dos Padrões'!$A$2:$V$921,U$1,FALSE))</f>
        <v>5.4258377978662005E-7</v>
      </c>
      <c r="V17" s="10">
        <f>IF($B17="-","-",VLOOKUP(ROUND(CONCATENATE($A17,V$2),0),'Cadastro dos Padrões'!$A$2:$V$921,V$1,FALSE))</f>
        <v>-6.8908456576051509E-6</v>
      </c>
      <c r="W17" s="10">
        <f>IF($B17="-","-",VLOOKUP(ROUND(CONCATENATE($A17,W$2),0),'Cadastro dos Padrões'!$A$2:$V$921,W$1,FALSE))</f>
        <v>3.5807745157331792E-5</v>
      </c>
      <c r="X17" s="10">
        <f>IF($B17="-","-",VLOOKUP(ROUND(CONCATENATE($A17,X$2),0),'Cadastro dos Padrões'!$A$2:$V$921,X$1,FALSE))</f>
        <v>-7.9793346809568097E-5</v>
      </c>
      <c r="Y17" s="10">
        <f>IF($B17="-","-",VLOOKUP(ROUND(CONCATENATE($A17,Y$2),0),'Cadastro dos Padrões'!$A$2:$V$921,Y$1,FALSE))</f>
        <v>7.5215045022309669E-5</v>
      </c>
      <c r="Z17" s="10">
        <f>IF($B17="-","-",VLOOKUP(ROUND(CONCATENATE($A17,Z$2),0),'Cadastro dos Padrões'!$A$2:$V$921,Z$1,FALSE))</f>
        <v>0.99997199071055853</v>
      </c>
      <c r="AA17" s="10">
        <f>IF($B17="-","-",VLOOKUP(ROUND(CONCATENATE($A17,AA$2),0),'Cadastro dos Padrões'!$A$2:$V$921,AA$1,FALSE))</f>
        <v>-8.5763600110588811E-7</v>
      </c>
      <c r="AB17" s="10">
        <f>IF(VLOOKUP(ROUND(CONCATENATE($A17,AB$2),0),'Cadastro dos Padrões'!$A$2:$V$921,AB$1,FALSE)="","-",VLOOKUP(ROUND(CONCATENATE($A17,AB$2),0),'Cadastro dos Padrões'!$A$2:$V$921,AB$1,FALSE))</f>
        <v>1E-3</v>
      </c>
      <c r="AC17" s="10">
        <f>IF(VLOOKUP(ROUND(CONCATENATE($A17,AC$2),0),'Cadastro dos Padrões'!$A$2:$V$921,AC$1,FALSE)="","-",VLOOKUP(ROUND(CONCATENATE($A17,AC$2),0),'Cadastro dos Padrões'!$A$2:$V$921,AC$1,FALSE))</f>
        <v>3.9999999999999998E-6</v>
      </c>
      <c r="AD17" s="10">
        <f>IF(VLOOKUP(ROUND(CONCATENATE($A17,AD$2),0),'Cadastro dos Padrões'!$A$2:$V$921,AD$1,FALSE)="","-",VLOOKUP(ROUND(CONCATENATE($A17,AD$2),0),'Cadastro dos Padrões'!$A$2:$V$921,AD$1,FALSE))</f>
        <v>2</v>
      </c>
      <c r="AE17" s="10">
        <f>IF(VLOOKUP(ROUND(CONCATENATE($A17,AE$2),0),'Cadastro dos Padrões'!$A$2:$V$921,AE$1,FALSE)="","-",VLOOKUP(ROUND(CONCATENATE($A17,AE$2),0),'Cadastro dos Padrões'!$A$2:$V$921,AE$1,FALSE))</f>
        <v>1000000</v>
      </c>
      <c r="AF17" s="10">
        <f>IF(VLOOKUP(ROUND(CONCATENATE($A17,AF$2),0),'Cadastro dos Padrões'!$A$2:$V$921,AF$1,FALSE)="","-",VLOOKUP(ROUND(CONCATENATE($A17,AF$2),0),'Cadastro dos Padrões'!$A$2:$V$921,AF$1,FALSE))</f>
        <v>0.01</v>
      </c>
      <c r="AG17" s="10">
        <f>IF(VLOOKUP(ROUND(CONCATENATE($A17,AG$2),0),'Cadastro dos Padrões'!$A$2:$V$921,AG$1,FALSE)="","-",VLOOKUP(ROUND(CONCATENATE($A17,AG$2),0),'Cadastro dos Padrões'!$A$2:$V$921,AG$1,FALSE))</f>
        <v>7.9999999999999996E-6</v>
      </c>
      <c r="AH17" s="10">
        <f>IF(VLOOKUP(ROUND(CONCATENATE($A17,AH$2),0),'Cadastro dos Padrões'!$A$2:$V$921,AH$1,FALSE)="","-",VLOOKUP(ROUND(CONCATENATE($A17,AH$2),0),'Cadastro dos Padrões'!$A$2:$V$921,AH$1,FALSE))</f>
        <v>2</v>
      </c>
      <c r="AI17" s="10">
        <f>IF(VLOOKUP(ROUND(CONCATENATE($A17,AI$2),0),'Cadastro dos Padrões'!$A$2:$V$921,AI$1,FALSE)="","-",VLOOKUP(ROUND(CONCATENATE($A17,AI$2),0),'Cadastro dos Padrões'!$A$2:$V$921,AI$1,FALSE))</f>
        <v>1000000</v>
      </c>
      <c r="AJ17" s="10">
        <f>IF(VLOOKUP(ROUND(CONCATENATE($A17,AJ$2),0),'Cadastro dos Padrões'!$A$2:$V$921,AJ$1,FALSE)="","-",VLOOKUP(ROUND(CONCATENATE($A17,AJ$2),0),'Cadastro dos Padrões'!$A$2:$V$921,AJ$1,FALSE))</f>
        <v>0.1</v>
      </c>
      <c r="AK17" s="10">
        <f>IF(VLOOKUP(ROUND(CONCATENATE($A17,AK$2),0),'Cadastro dos Padrões'!$A$2:$V$921,AK$1,FALSE)="","-",VLOOKUP(ROUND(CONCATENATE($A17,AK$2),0),'Cadastro dos Padrões'!$A$2:$V$921,AK$1,FALSE))</f>
        <v>7.9999999999999996E-6</v>
      </c>
      <c r="AL17" s="10">
        <f>IF(VLOOKUP(ROUND(CONCATENATE($A17,AL$2),0),'Cadastro dos Padrões'!$A$2:$V$921,AL$1,FALSE)="","-",VLOOKUP(ROUND(CONCATENATE($A17,AL$2),0),'Cadastro dos Padrões'!$A$2:$V$921,AL$1,FALSE))</f>
        <v>2</v>
      </c>
      <c r="AM17" s="10">
        <f>IF(VLOOKUP(ROUND(CONCATENATE($A17,AM$2),0),'Cadastro dos Padrões'!$A$2:$V$921,AM$1,FALSE)="","-",VLOOKUP(ROUND(CONCATENATE($A17,AM$2),0),'Cadastro dos Padrões'!$A$2:$V$921,AM$1,FALSE))</f>
        <v>1000000</v>
      </c>
      <c r="AN17" s="10">
        <f>IF(VLOOKUP(ROUND(CONCATENATE($A17,AN$2),0),'Cadastro dos Padrões'!$A$2:$V$921,AN$1,FALSE)="","-",VLOOKUP(ROUND(CONCATENATE($A17,AN$2),0),'Cadastro dos Padrões'!$A$2:$V$921,AN$1,FALSE))</f>
        <v>0.5</v>
      </c>
      <c r="AO17" s="10">
        <f>IF(VLOOKUP(ROUND(CONCATENATE($A17,AO$2),0),'Cadastro dos Padrões'!$A$2:$V$921,AO$1,FALSE)="","-",VLOOKUP(ROUND(CONCATENATE($A17,AO$2),0),'Cadastro dos Padrões'!$A$2:$V$921,AO$1,FALSE))</f>
        <v>3.0000000000000001E-5</v>
      </c>
      <c r="AP17" s="10">
        <f>IF(VLOOKUP(ROUND(CONCATENATE($A17,AP$2),0),'Cadastro dos Padrões'!$A$2:$V$921,AP$1,FALSE)="","-",VLOOKUP(ROUND(CONCATENATE($A17,AP$2),0),'Cadastro dos Padrões'!$A$2:$V$921,AP$1,FALSE))</f>
        <v>2</v>
      </c>
      <c r="AQ17" s="10">
        <f>IF(VLOOKUP(ROUND(CONCATENATE($A17,AQ$2),0),'Cadastro dos Padrões'!$A$2:$V$921,AQ$1,FALSE)="","-",VLOOKUP(ROUND(CONCATENATE($A17,AQ$2),0),'Cadastro dos Padrões'!$A$2:$V$921,AQ$1,FALSE))</f>
        <v>1000000</v>
      </c>
      <c r="AR17" s="10">
        <f>IF(VLOOKUP(ROUND(CONCATENATE($A17,AR$2),0),'Cadastro dos Padrões'!$A$2:$V$921,AR$1,FALSE)="","-",VLOOKUP(ROUND(CONCATENATE($A17,AR$2),0),'Cadastro dos Padrões'!$A$2:$V$921,AR$1,FALSE))</f>
        <v>1</v>
      </c>
      <c r="AS17" s="10">
        <f>IF(VLOOKUP(ROUND(CONCATENATE($A17,AS$2),0),'Cadastro dos Padrões'!$A$2:$V$921,AS$1,FALSE)="","-",VLOOKUP(ROUND(CONCATENATE($A17,AS$2),0),'Cadastro dos Padrões'!$A$2:$V$921,AS$1,FALSE))</f>
        <v>1.1E-5</v>
      </c>
      <c r="AT17" s="10">
        <f>IF(VLOOKUP(ROUND(CONCATENATE($A17,AT$2),0),'Cadastro dos Padrões'!$A$2:$V$921,AT$1,FALSE)="","-",VLOOKUP(ROUND(CONCATENATE($A17,AT$2),0),'Cadastro dos Padrões'!$A$2:$V$921,AT$1,FALSE))</f>
        <v>2</v>
      </c>
      <c r="AU17" s="10">
        <f>IF(VLOOKUP(ROUND(CONCATENATE($A17,AU$2),0),'Cadastro dos Padrões'!$A$2:$V$921,AU$1,FALSE)="","-",VLOOKUP(ROUND(CONCATENATE($A17,AU$2),0),'Cadastro dos Padrões'!$A$2:$V$921,AU$1,FALSE))</f>
        <v>1000000</v>
      </c>
      <c r="AV17" s="10">
        <f>IF(VLOOKUP(ROUND(CONCATENATE($A17,AV$2),0),'Cadastro dos Padrões'!$A$2:$V$921,AV$1,FALSE)="","-",VLOOKUP(ROUND(CONCATENATE($A17,AV$2),0),'Cadastro dos Padrões'!$A$2:$V$921,AV$1,FALSE))</f>
        <v>2</v>
      </c>
      <c r="AW17" s="10">
        <f>IF(VLOOKUP(ROUND(CONCATENATE($A17,AW$2),0),'Cadastro dos Padrões'!$A$2:$V$921,AW$1,FALSE)="","-",VLOOKUP(ROUND(CONCATENATE($A17,AW$2),0),'Cadastro dos Padrões'!$A$2:$V$921,AW$1,FALSE))</f>
        <v>1.4E-5</v>
      </c>
      <c r="AX17" s="10">
        <f>IF(VLOOKUP(ROUND(CONCATENATE($A17,AX$2),0),'Cadastro dos Padrões'!$A$2:$V$921,AX$1,FALSE)="","-",VLOOKUP(ROUND(CONCATENATE($A17,AX$2),0),'Cadastro dos Padrões'!$A$2:$V$921,AX$1,FALSE))</f>
        <v>2</v>
      </c>
      <c r="AY17" s="10">
        <f>IF(VLOOKUP(ROUND(CONCATENATE($A17,AY$2),0),'Cadastro dos Padrões'!$A$2:$V$921,AY$1,FALSE)="","-",VLOOKUP(ROUND(CONCATENATE($A17,AY$2),0),'Cadastro dos Padrões'!$A$2:$V$921,AY$1,FALSE))</f>
        <v>1000000</v>
      </c>
      <c r="AZ17" s="10">
        <f>IF(VLOOKUP(ROUND(CONCATENATE($A17,AZ$2),0),'Cadastro dos Padrões'!$A$2:$V$921,AZ$1,FALSE)="","-",VLOOKUP(ROUND(CONCATENATE($A17,AZ$2),0),'Cadastro dos Padrões'!$A$2:$V$921,AZ$1,FALSE))</f>
        <v>5</v>
      </c>
      <c r="BA17" s="10">
        <f>IF(VLOOKUP(ROUND(CONCATENATE($A17,BA$2),0),'Cadastro dos Padrões'!$A$2:$V$921,BA$1,FALSE)="","-",VLOOKUP(ROUND(CONCATENATE($A17,BA$2),0),'Cadastro dos Padrões'!$A$2:$V$921,BA$1,FALSE))</f>
        <v>2.1999999999999999E-5</v>
      </c>
      <c r="BB17" s="10">
        <f>IF(VLOOKUP(ROUND(CONCATENATE($A17,BB$2),0),'Cadastro dos Padrões'!$A$2:$V$921,BB$1,FALSE)="","-",VLOOKUP(ROUND(CONCATENATE($A17,BB$2),0),'Cadastro dos Padrões'!$A$2:$V$921,BB$1,FALSE))</f>
        <v>2</v>
      </c>
      <c r="BC17" s="10">
        <f>IF(VLOOKUP(ROUND(CONCATENATE($A17,BC$2),0),'Cadastro dos Padrões'!$A$2:$V$921,BC$1,FALSE)="","-",VLOOKUP(ROUND(CONCATENATE($A17,BC$2),0),'Cadastro dos Padrões'!$A$2:$V$921,BC$1,FALSE))</f>
        <v>1000000</v>
      </c>
      <c r="BD17" s="10">
        <f>IF(VLOOKUP(ROUND(CONCATENATE($A17,BD$2),0),'Cadastro dos Padrões'!$A$2:$V$921,BD$1,FALSE)="","-",VLOOKUP(ROUND(CONCATENATE($A17,BD$2),0),'Cadastro dos Padrões'!$A$2:$V$921,BD$1,FALSE))</f>
        <v>10</v>
      </c>
      <c r="BE17" s="10">
        <f>IF(VLOOKUP(ROUND(CONCATENATE($A17,BE$2),0),'Cadastro dos Padrões'!$A$2:$V$921,BE$1,FALSE)="","-",VLOOKUP(ROUND(CONCATENATE($A17,BE$2),0),'Cadastro dos Padrões'!$A$2:$V$921,BE$1,FALSE))</f>
        <v>3.6999999999999998E-5</v>
      </c>
      <c r="BF17" s="10">
        <f>IF(VLOOKUP(ROUND(CONCATENATE($A17,BF$2),0),'Cadastro dos Padrões'!$A$2:$V$921,BF$1,FALSE)="","-",VLOOKUP(ROUND(CONCATENATE($A17,BF$2),0),'Cadastro dos Padrões'!$A$2:$V$921,BF$1,FALSE))</f>
        <v>2</v>
      </c>
      <c r="BG17" s="10">
        <f>IF(VLOOKUP(ROUND(CONCATENATE($A17,BG$2),0),'Cadastro dos Padrões'!$A$2:$V$921,BG$1,FALSE)="","-",VLOOKUP(ROUND(CONCATENATE($A17,BG$2),0),'Cadastro dos Padrões'!$A$2:$V$921,BG$1,FALSE))</f>
        <v>1000000</v>
      </c>
      <c r="BH17" s="10">
        <f>IF(VLOOKUP(ROUND(CONCATENATE($A17,BH$2),0),'Cadastro dos Padrões'!$A$2:$V$921,BH$1,FALSE)="","-",VLOOKUP(ROUND(CONCATENATE($A17,BH$2),0),'Cadastro dos Padrões'!$A$2:$V$921,BH$1,FALSE))</f>
        <v>20</v>
      </c>
      <c r="BI17" s="10">
        <f>IF(VLOOKUP(ROUND(CONCATENATE($A17,BI$2),0),'Cadastro dos Padrões'!$A$2:$V$921,BI$1,FALSE)="","-",VLOOKUP(ROUND(CONCATENATE($A17,BI$2),0),'Cadastro dos Padrões'!$A$2:$V$921,BI$1,FALSE))</f>
        <v>7.3999999999999996E-5</v>
      </c>
      <c r="BJ17" s="10">
        <f>IF(VLOOKUP(ROUND(CONCATENATE($A17,BJ$2),0),'Cadastro dos Padrões'!$A$2:$V$921,BJ$1,FALSE)="","-",VLOOKUP(ROUND(CONCATENATE($A17,BJ$2),0),'Cadastro dos Padrões'!$A$2:$V$921,BJ$1,FALSE))</f>
        <v>2</v>
      </c>
      <c r="BK17" s="10">
        <f>IF(VLOOKUP(ROUND(CONCATENATE($A17,BK$2),0),'Cadastro dos Padrões'!$A$2:$V$921,BK$1,FALSE)="","-",VLOOKUP(ROUND(CONCATENATE($A17,BK$2),0),'Cadastro dos Padrões'!$A$2:$V$921,BK$1,FALSE))</f>
        <v>1000000</v>
      </c>
      <c r="BL17" s="10" t="str">
        <f>IF(VLOOKUP(ROUND(CONCATENATE($A17,BL$2),0),'Cadastro dos Padrões'!$A$2:$V$921,BL$1,FALSE)="","-",VLOOKUP(ROUND(CONCATENATE($A17,BL$2),0),'Cadastro dos Padrões'!$A$2:$V$921,BL$1,FALSE))</f>
        <v>-</v>
      </c>
      <c r="BM17" s="10" t="str">
        <f>IF(VLOOKUP(ROUND(CONCATENATE($A17,BM$2),0),'Cadastro dos Padrões'!$A$2:$V$921,BM$1,FALSE)="","-",VLOOKUP(ROUND(CONCATENATE($A17,BM$2),0),'Cadastro dos Padrões'!$A$2:$V$921,BM$1,FALSE))</f>
        <v>-</v>
      </c>
      <c r="BN17" s="10" t="str">
        <f>IF(VLOOKUP(ROUND(CONCATENATE($A17,BN$2),0),'Cadastro dos Padrões'!$A$2:$V$921,BN$1,FALSE)="","-",VLOOKUP(ROUND(CONCATENATE($A17,BN$2),0),'Cadastro dos Padrões'!$A$2:$V$921,BN$1,FALSE))</f>
        <v>-</v>
      </c>
      <c r="BO17" s="10" t="str">
        <f>IF(VLOOKUP(ROUND(CONCATENATE($A17,BO$2),0),'Cadastro dos Padrões'!$A$2:$V$921,BO$1,FALSE)="","-",VLOOKUP(ROUND(CONCATENATE($A17,BO$2),0),'Cadastro dos Padrões'!$A$2:$V$921,BO$1,FALSE))</f>
        <v>-</v>
      </c>
      <c r="BP17" s="10">
        <f>IF(VLOOKUP(ROUND(CONCATENATE($A17,BP$2),0),'Cadastro dos Padrões'!$A$2:$V$921,BP$1,FALSE)="","-",VLOOKUP(ROUND(CONCATENATE($A17,BP$2),0),'Cadastro dos Padrões'!$A$2:$V$921,BP$1,FALSE))</f>
        <v>9.9999999999991589E-7</v>
      </c>
      <c r="BQ17" s="10">
        <f>IF(VLOOKUP(ROUND(CONCATENATE($A17,BQ$2),0),'Cadastro dos Padrões'!$A$2:$V$921,BQ$1,FALSE)="","-",VLOOKUP(ROUND(CONCATENATE($A17,BQ$2),0),'Cadastro dos Padrões'!$A$2:$V$921,BQ$1,FALSE))</f>
        <v>9.9999999999926537E-7</v>
      </c>
      <c r="BR17" s="10">
        <f>IF(VLOOKUP(ROUND(CONCATENATE($A17,BR$2),0),'Cadastro dos Padrões'!$A$2:$V$921,BR$1,FALSE)="","-",VLOOKUP(ROUND(CONCATENATE($A17,BR$2),0),'Cadastro dos Padrões'!$A$2:$V$921,BR$1,FALSE))</f>
        <v>2.9999999999891225E-6</v>
      </c>
      <c r="BS17" s="10">
        <f>IF(VLOOKUP(ROUND(CONCATENATE($A17,BS$2),0),'Cadastro dos Padrões'!$A$2:$V$921,BS$1,FALSE)="","-",VLOOKUP(ROUND(CONCATENATE($A17,BS$2),0),'Cadastro dos Padrões'!$A$2:$V$921,BS$1,FALSE))</f>
        <v>4.0000000000040004E-6</v>
      </c>
      <c r="BT17" s="10">
        <f>IF(VLOOKUP(ROUND(CONCATENATE($A17,BT$2),0),'Cadastro dos Padrões'!$A$2:$V$921,BT$1,FALSE)="","-",VLOOKUP(ROUND(CONCATENATE($A17,BT$2),0),'Cadastro dos Padrões'!$A$2:$V$921,BT$1,FALSE))</f>
        <v>3.9999999998929781E-6</v>
      </c>
      <c r="BU17" s="10">
        <f>IF(VLOOKUP(ROUND(CONCATENATE($A17,BU$2),0),'Cadastro dos Padrões'!$A$2:$V$921,BU$1,FALSE)="","-",VLOOKUP(ROUND(CONCATENATE($A17,BU$2),0),'Cadastro dos Padrões'!$A$2:$V$921,BU$1,FALSE))</f>
        <v>8.9999999999257341E-6</v>
      </c>
      <c r="BV17" s="10">
        <f>IF(VLOOKUP(ROUND(CONCATENATE($A17,BV$2),0),'Cadastro dos Padrões'!$A$2:$V$921,BV$1,FALSE)="","-",VLOOKUP(ROUND(CONCATENATE($A17,BV$2),0),'Cadastro dos Padrões'!$A$2:$V$921,BV$1,FALSE))</f>
        <v>-3.0000000004193339E-6</v>
      </c>
      <c r="BW17" s="10">
        <f>IF(VLOOKUP(ROUND(CONCATENATE($A17,BW$2),0),'Cadastro dos Padrões'!$A$2:$V$921,BW$1,FALSE)="","-",VLOOKUP(ROUND(CONCATENATE($A17,BW$2),0),'Cadastro dos Padrões'!$A$2:$V$921,BW$1,FALSE))</f>
        <v>0</v>
      </c>
      <c r="BX17" s="10">
        <f>IF(VLOOKUP(ROUND(CONCATENATE($A17,BX$2),0),'Cadastro dos Padrões'!$A$2:$V$921,BX$1,FALSE)="","-",VLOOKUP(ROUND(CONCATENATE($A17,BX$2),0),'Cadastro dos Padrões'!$A$2:$V$921,BX$1,FALSE))</f>
        <v>-2.3999999999801958E-5</v>
      </c>
      <c r="BY17" s="10">
        <f>IF(VLOOKUP(ROUND(CONCATENATE($A17,BY$2),0),'Cadastro dos Padrões'!$A$2:$V$921,BY$1,FALSE)="","-",VLOOKUP(ROUND(CONCATENATE($A17,BY$2),0),'Cadastro dos Padrões'!$A$2:$V$921,BY$1,FALSE))</f>
        <v>0</v>
      </c>
      <c r="BZ17" s="10">
        <f>IF(VLOOKUP(ROUND(CONCATENATE($A17,BZ$2),0),'Cadastro dos Padrões'!$A$2:$V$921,BZ$1,FALSE)="","-",VLOOKUP(ROUND(CONCATENATE($A17,BZ$2),0),'Cadastro dos Padrões'!$A$2:$V$921,BZ$1,FALSE))</f>
        <v>2.0000000000000486E-6</v>
      </c>
      <c r="CA17" s="10">
        <f>IF(VLOOKUP(ROUND(CONCATENATE($A17,CA$2),0),'Cadastro dos Padrões'!$A$2:$V$921,CA$1,FALSE)="","-",VLOOKUP(ROUND(CONCATENATE($A17,CA$2),0),'Cadastro dos Padrões'!$A$2:$V$921,CA$1,FALSE))</f>
        <v>2.0000000000002655E-6</v>
      </c>
      <c r="CB17" s="10">
        <f>IF(VLOOKUP(ROUND(CONCATENATE($A17,CB$2),0),'Cadastro dos Padrões'!$A$2:$V$921,CB$1,FALSE)="","-",VLOOKUP(ROUND(CONCATENATE($A17,CB$2),0),'Cadastro dos Padrões'!$A$2:$V$921,CB$1,FALSE))</f>
        <v>0</v>
      </c>
      <c r="CC17" s="10">
        <f>IF(VLOOKUP(ROUND(CONCATENATE($A17,CC$2),0),'Cadastro dos Padrões'!$A$2:$V$921,CC$1,FALSE)="","-",VLOOKUP(ROUND(CONCATENATE($A17,CC$2),0),'Cadastro dos Padrões'!$A$2:$V$921,CC$1,FALSE))</f>
        <v>-1.0000000000287557E-6</v>
      </c>
      <c r="CD17" s="10">
        <f>IF(VLOOKUP(ROUND(CONCATENATE($A17,CD$2),0),'Cadastro dos Padrões'!$A$2:$V$921,CD$1,FALSE)="","-",VLOOKUP(ROUND(CONCATENATE($A17,CD$2),0),'Cadastro dos Padrões'!$A$2:$V$921,CD$1,FALSE))</f>
        <v>-3.9999999998929781E-6</v>
      </c>
      <c r="CE17" s="10">
        <f>IF(VLOOKUP(ROUND(CONCATENATE($A17,CE$2),0),'Cadastro dos Padrões'!$A$2:$V$921,CE$1,FALSE)="","-",VLOOKUP(ROUND(CONCATENATE($A17,CE$2),0),'Cadastro dos Padrões'!$A$2:$V$921,CE$1,FALSE))</f>
        <v>-4.9999999998107114E-6</v>
      </c>
      <c r="CF17" s="10">
        <f>IF(VLOOKUP(ROUND(CONCATENATE($A17,CF$2),0),'Cadastro dos Padrões'!$A$2:$V$921,CF$1,FALSE)="","-",VLOOKUP(ROUND(CONCATENATE($A17,CF$2),0),'Cadastro dos Padrões'!$A$2:$V$921,CF$1,FALSE))</f>
        <v>1.000000000139778E-6</v>
      </c>
      <c r="CG17" s="10">
        <f>IF(VLOOKUP(ROUND(CONCATENATE($A17,CG$2),0),'Cadastro dos Padrões'!$A$2:$V$921,CG$1,FALSE)="","-",VLOOKUP(ROUND(CONCATENATE($A17,CG$2),0),'Cadastro dos Padrões'!$A$2:$V$921,CG$1,FALSE))</f>
        <v>0</v>
      </c>
      <c r="CH17" s="10">
        <f>IF(VLOOKUP(ROUND(CONCATENATE($A17,CH$2),0),'Cadastro dos Padrões'!$A$2:$V$921,CH$1,FALSE)="","-",VLOOKUP(ROUND(CONCATENATE($A17,CH$2),0),'Cadastro dos Padrões'!$A$2:$V$921,CH$1,FALSE))</f>
        <v>1.9999999999242846E-5</v>
      </c>
      <c r="CI17" s="10">
        <f>IF(VLOOKUP(ROUND(CONCATENATE($A17,CI$2),0),'Cadastro dos Padrões'!$A$2:$V$921,CI$1,FALSE)="","-",VLOOKUP(ROUND(CONCATENATE($A17,CI$2),0),'Cadastro dos Padrões'!$A$2:$V$921,CI$1,FALSE))</f>
        <v>0</v>
      </c>
    </row>
    <row r="18" spans="1:87" x14ac:dyDescent="0.3">
      <c r="A18" s="4">
        <v>13</v>
      </c>
      <c r="B18" s="10" t="str">
        <f>IF(VLOOKUP(ROUND(CONCATENATE($A18,B$2),0),'Cadastro dos Padrões'!$A$2:$V$921,B$1,FALSE)="","-",VLOOKUP(ROUND(CONCATENATE($A18,B$2),0),'Cadastro dos Padrões'!$A$2:$V$921,B$1,FALSE))</f>
        <v>E.MS.LM-001</v>
      </c>
      <c r="C18" s="10" t="str">
        <f>IF(VLOOKUP(ROUND(CONCATENATE($A18,C$2),0),'Cadastro dos Padrões'!$A$2:$V$921,C$1,FALSE)="","-",VLOOKUP(ROUND(CONCATENATE($A18,C$2),0),'Cadastro dos Padrões'!$A$2:$V$921,C$1,FALSE))</f>
        <v>Balança Analítica</v>
      </c>
      <c r="D18" s="10" t="str">
        <f>IF(VLOOKUP(ROUND(CONCATENATE($A18,D$2),0),'Cadastro dos Padrões'!$A$2:$V$921,D$1,FALSE)="","-",VLOOKUP(ROUND(CONCATENATE($A18,D$2),0),'Cadastro dos Padrões'!$A$2:$V$921,D$1,FALSE))</f>
        <v xml:space="preserve">Elus </v>
      </c>
      <c r="E18" s="10" t="str">
        <f>IF(VLOOKUP(ROUND(CONCATENATE($A18,E$2),0),'Cadastro dos Padrões'!$A$2:$V$921,E$1,FALSE)="","-",VLOOKUP(ROUND(CONCATENATE($A18,E$2),0),'Cadastro dos Padrões'!$A$2:$V$921,E$1,FALSE))</f>
        <v>RBC - CAL 0439</v>
      </c>
      <c r="F18" s="10" t="str">
        <f>IF(VLOOKUP(ROUND(CONCATENATE($A18,F$2),0),'Cadastro dos Padrões'!$A$2:$V$921,F$1,FALSE)="","-",VLOOKUP(ROUND(CONCATENATE($A18,F$2),0),'Cadastro dos Padrões'!$A$2:$V$921,F$1,FALSE))</f>
        <v>E0233/24</v>
      </c>
      <c r="G18" s="27">
        <f>IF(VLOOKUP(ROUND(CONCATENATE($A18,G$2),0),'Cadastro dos Padrões'!$A$2:$V$921,G$1,FALSE)="","-",VLOOKUP(ROUND(CONCATENATE($A18,G$2),0),'Cadastro dos Padrões'!$A$2:$V$921,G$1,FALSE))</f>
        <v>45471</v>
      </c>
      <c r="H18" s="29">
        <f>IF(VLOOKUP(ROUND(CONCATENATE($A18,H$2),0),'Cadastro dos Padrões'!$A$2:$V$921,H$1,FALSE)="","-",VLOOKUP(ROUND(CONCATENATE($A18,H$2),0),'Cadastro dos Padrões'!$A$2:$V$921,H$1,FALSE))</f>
        <v>45838</v>
      </c>
      <c r="I18" s="10" t="str">
        <f>IF(VLOOKUP(ROUND(CONCATENATE($A18,I$2),0),'Cadastro dos Padrões'!$A$2:$V$921,I$1,FALSE)="","-",VLOOKUP(ROUND(CONCATENATE($A18,I$2),0),'Cadastro dos Padrões'!$A$2:$V$921,I$1,FALSE))</f>
        <v>g</v>
      </c>
      <c r="J18" s="10">
        <f>IF(VLOOKUP(ROUND(CONCATENATE($A18,J$2),0),'Cadastro dos Padrões'!$A$2:$V$921,J$1,FALSE)="","-",VLOOKUP(ROUND(CONCATENATE($A18,J$2),0),'Cadastro dos Padrões'!$A$2:$V$921,J$1,FALSE))</f>
        <v>5.0000000000000001E-3</v>
      </c>
      <c r="K18" s="10">
        <f>IF(VLOOKUP(ROUND(CONCATENATE($A18,K$2),0),'Cadastro dos Padrões'!$A$2:$V$921,K$1,FALSE)="","-",VLOOKUP(ROUND(CONCATENATE($A18,K$2),0),'Cadastro dos Padrões'!$A$2:$V$921,K$1,FALSE))</f>
        <v>1</v>
      </c>
      <c r="L18" s="10">
        <f>IF(VLOOKUP(ROUND(CONCATENATE($A18,L$2),0),'Cadastro dos Padrões'!$A$2:$V$921,L$1,FALSE)="","-",VLOOKUP(ROUND(CONCATENATE($A18,L$2),0),'Cadastro dos Padrões'!$A$2:$V$921,L$1,FALSE))</f>
        <v>9.9999999999999995E-7</v>
      </c>
      <c r="M18" s="10">
        <f>IF(VLOOKUP(ROUND(CONCATENATE($A18,M$2),0),'Cadastro dos Padrões'!$A$2:$V$921,M$1,FALSE)="","-",VLOOKUP(ROUND(CONCATENATE($A18,M$2),0),'Cadastro dos Padrões'!$A$2:$V$921,M$1,FALSE))</f>
        <v>5.000000000032756E-6</v>
      </c>
      <c r="N18" s="10">
        <f>IF(VLOOKUP(ROUND(CONCATENATE($A18,N$2),0),'Cadastro dos Padrões'!$A$2:$V$921,N$1,FALSE)="","-",VLOOKUP(ROUND(CONCATENATE($A18,N$2),0),'Cadastro dos Padrões'!$A$2:$V$921,N$1,FALSE))</f>
        <v>1.1E-5</v>
      </c>
      <c r="O18" s="10">
        <f>IF(VLOOKUP(ROUND(CONCATENATE($A18,O$2),0),'Cadastro dos Padrões'!$A$2:$V$921,O$1,FALSE)="","-",VLOOKUP(ROUND(CONCATENATE($A18,O$2),0),'Cadastro dos Padrões'!$A$2:$V$921,O$1,FALSE))</f>
        <v>5.000000000032756E-6</v>
      </c>
      <c r="P18" s="28">
        <f>IF(VLOOKUP(ROUND(CONCATENATE($A18,P$2),0),'Cadastro dos Padrões'!$A$2:$V$921,P$1,FALSE)="","-",VLOOKUP(ROUND(CONCATENATE($A18,P$2),0),'Cadastro dos Padrões'!$A$2:$V$921,P$1,FALSE))</f>
        <v>0</v>
      </c>
      <c r="Q18" s="10">
        <f>IF($B18="-","-",VLOOKUP(ROUND(CONCATENATE($A18,Q$2),0),'Cadastro dos Padrões'!$A$2:$V$921,Q$1,FALSE))</f>
        <v>4.8691375920418829E-8</v>
      </c>
      <c r="R18" s="10">
        <f>IF($B18="-","-",VLOOKUP(ROUND(CONCATENATE($A18,R$2),0),'Cadastro dos Padrões'!$A$2:$V$921,R$1,FALSE))</f>
        <v>5</v>
      </c>
      <c r="S18" s="10">
        <f>IF($B18="-","-",VLOOKUP(ROUND(CONCATENATE($A18,S$2),0),'Cadastro dos Padrões'!$A$2:$V$921,S$1,FALSE))</f>
        <v>0</v>
      </c>
      <c r="T18" s="10">
        <f>IF($B18="-","-",VLOOKUP(ROUND(CONCATENATE($A18,T$2),0),'Cadastro dos Padrões'!$A$2:$V$921,T$1,FALSE))</f>
        <v>0</v>
      </c>
      <c r="U18" s="10">
        <f>IF($B18="-","-",VLOOKUP(ROUND(CONCATENATE($A18,U$2),0),'Cadastro dos Padrões'!$A$2:$V$921,U$1,FALSE))</f>
        <v>0</v>
      </c>
      <c r="V18" s="10">
        <f>IF($B18="-","-",VLOOKUP(ROUND(CONCATENATE($A18,V$2),0),'Cadastro dos Padrões'!$A$2:$V$921,V$1,FALSE))</f>
        <v>-1.7845521092903979E-2</v>
      </c>
      <c r="W18" s="10">
        <f>IF($B18="-","-",VLOOKUP(ROUND(CONCATENATE($A18,W$2),0),'Cadastro dos Padrões'!$A$2:$V$921,W$1,FALSE))</f>
        <v>3.2601190869599263E-2</v>
      </c>
      <c r="X18" s="10">
        <f>IF($B18="-","-",VLOOKUP(ROUND(CONCATENATE($A18,X$2),0),'Cadastro dos Padrões'!$A$2:$V$921,X$1,FALSE))</f>
        <v>-1.81141162050708E-2</v>
      </c>
      <c r="Y18" s="10">
        <f>IF($B18="-","-",VLOOKUP(ROUND(CONCATENATE($A18,Y$2),0),'Cadastro dos Padrões'!$A$2:$V$921,Y$1,FALSE))</f>
        <v>3.57154021436087E-3</v>
      </c>
      <c r="Z18" s="10">
        <f>IF($B18="-","-",VLOOKUP(ROUND(CONCATENATE($A18,Z$2),0),'Cadastro dos Padrões'!$A$2:$V$921,Z$1,FALSE))</f>
        <v>0.99978292068864727</v>
      </c>
      <c r="AA18" s="10">
        <f>IF($B18="-","-",VLOOKUP(ROUND(CONCATENATE($A18,AA$2),0),'Cadastro dos Padrões'!$A$2:$V$921,AA$1,FALSE))</f>
        <v>-9.8327751226314278E-7</v>
      </c>
      <c r="AB18" s="10">
        <f>IF(VLOOKUP(ROUND(CONCATENATE($A18,AB$2),0),'Cadastro dos Padrões'!$A$2:$V$921,AB$1,FALSE)="","-",VLOOKUP(ROUND(CONCATENATE($A18,AB$2),0),'Cadastro dos Padrões'!$A$2:$V$921,AB$1,FALSE))</f>
        <v>5.0000000000000001E-3</v>
      </c>
      <c r="AC18" s="10">
        <f>IF(VLOOKUP(ROUND(CONCATENATE($A18,AC$2),0),'Cadastro dos Padrões'!$A$2:$V$921,AC$1,FALSE)="","-",VLOOKUP(ROUND(CONCATENATE($A18,AC$2),0),'Cadastro dos Padrões'!$A$2:$V$921,AC$1,FALSE))</f>
        <v>3.0000000000000001E-6</v>
      </c>
      <c r="AD18" s="10">
        <f>IF(VLOOKUP(ROUND(CONCATENATE($A18,AD$2),0),'Cadastro dos Padrões'!$A$2:$V$921,AD$1,FALSE)="","-",VLOOKUP(ROUND(CONCATENATE($A18,AD$2),0),'Cadastro dos Padrões'!$A$2:$V$921,AD$1,FALSE))</f>
        <v>2</v>
      </c>
      <c r="AE18" s="10">
        <f>IF(VLOOKUP(ROUND(CONCATENATE($A18,AE$2),0),'Cadastro dos Padrões'!$A$2:$V$921,AE$1,FALSE)="","-",VLOOKUP(ROUND(CONCATENATE($A18,AE$2),0),'Cadastro dos Padrões'!$A$2:$V$921,AE$1,FALSE))</f>
        <v>1000000</v>
      </c>
      <c r="AF18" s="10">
        <f>IF(VLOOKUP(ROUND(CONCATENATE($A18,AF$2),0),'Cadastro dos Padrões'!$A$2:$V$921,AF$1,FALSE)="","-",VLOOKUP(ROUND(CONCATENATE($A18,AF$2),0),'Cadastro dos Padrões'!$A$2:$V$921,AF$1,FALSE))</f>
        <v>0.02</v>
      </c>
      <c r="AG18" s="10">
        <f>IF(VLOOKUP(ROUND(CONCATENATE($A18,AG$2),0),'Cadastro dos Padrões'!$A$2:$V$921,AG$1,FALSE)="","-",VLOOKUP(ROUND(CONCATENATE($A18,AG$2),0),'Cadastro dos Padrões'!$A$2:$V$921,AG$1,FALSE))</f>
        <v>5.0000000000000004E-6</v>
      </c>
      <c r="AH18" s="10">
        <f>IF(VLOOKUP(ROUND(CONCATENATE($A18,AH$2),0),'Cadastro dos Padrões'!$A$2:$V$921,AH$1,FALSE)="","-",VLOOKUP(ROUND(CONCATENATE($A18,AH$2),0),'Cadastro dos Padrões'!$A$2:$V$921,AH$1,FALSE))</f>
        <v>2</v>
      </c>
      <c r="AI18" s="10">
        <f>IF(VLOOKUP(ROUND(CONCATENATE($A18,AI$2),0),'Cadastro dos Padrões'!$A$2:$V$921,AI$1,FALSE)="","-",VLOOKUP(ROUND(CONCATENATE($A18,AI$2),0),'Cadastro dos Padrões'!$A$2:$V$921,AI$1,FALSE))</f>
        <v>1000000</v>
      </c>
      <c r="AJ18" s="10">
        <f>IF(VLOOKUP(ROUND(CONCATENATE($A18,AJ$2),0),'Cadastro dos Padrões'!$A$2:$V$921,AJ$1,FALSE)="","-",VLOOKUP(ROUND(CONCATENATE($A18,AJ$2),0),'Cadastro dos Padrões'!$A$2:$V$921,AJ$1,FALSE))</f>
        <v>0.05</v>
      </c>
      <c r="AK18" s="10">
        <f>IF(VLOOKUP(ROUND(CONCATENATE($A18,AK$2),0),'Cadastro dos Padrões'!$A$2:$V$921,AK$1,FALSE)="","-",VLOOKUP(ROUND(CONCATENATE($A18,AK$2),0),'Cadastro dos Padrões'!$A$2:$V$921,AK$1,FALSE))</f>
        <v>5.0000000000000004E-6</v>
      </c>
      <c r="AL18" s="10">
        <f>IF(VLOOKUP(ROUND(CONCATENATE($A18,AL$2),0),'Cadastro dos Padrões'!$A$2:$V$921,AL$1,FALSE)="","-",VLOOKUP(ROUND(CONCATENATE($A18,AL$2),0),'Cadastro dos Padrões'!$A$2:$V$921,AL$1,FALSE))</f>
        <v>2</v>
      </c>
      <c r="AM18" s="10">
        <f>IF(VLOOKUP(ROUND(CONCATENATE($A18,AM$2),0),'Cadastro dos Padrões'!$A$2:$V$921,AM$1,FALSE)="","-",VLOOKUP(ROUND(CONCATENATE($A18,AM$2),0),'Cadastro dos Padrões'!$A$2:$V$921,AM$1,FALSE))</f>
        <v>1000000</v>
      </c>
      <c r="AN18" s="10">
        <f>IF(VLOOKUP(ROUND(CONCATENATE($A18,AN$2),0),'Cadastro dos Padrões'!$A$2:$V$921,AN$1,FALSE)="","-",VLOOKUP(ROUND(CONCATENATE($A18,AN$2),0),'Cadastro dos Padrões'!$A$2:$V$921,AN$1,FALSE))</f>
        <v>0.1</v>
      </c>
      <c r="AO18" s="10">
        <f>IF(VLOOKUP(ROUND(CONCATENATE($A18,AO$2),0),'Cadastro dos Padrões'!$A$2:$V$921,AO$1,FALSE)="","-",VLOOKUP(ROUND(CONCATENATE($A18,AO$2),0),'Cadastro dos Padrões'!$A$2:$V$921,AO$1,FALSE))</f>
        <v>6.0000000000000002E-6</v>
      </c>
      <c r="AP18" s="10">
        <f>IF(VLOOKUP(ROUND(CONCATENATE($A18,AP$2),0),'Cadastro dos Padrões'!$A$2:$V$921,AP$1,FALSE)="","-",VLOOKUP(ROUND(CONCATENATE($A18,AP$2),0),'Cadastro dos Padrões'!$A$2:$V$921,AP$1,FALSE))</f>
        <v>2</v>
      </c>
      <c r="AQ18" s="10">
        <f>IF(VLOOKUP(ROUND(CONCATENATE($A18,AQ$2),0),'Cadastro dos Padrões'!$A$2:$V$921,AQ$1,FALSE)="","-",VLOOKUP(ROUND(CONCATENATE($A18,AQ$2),0),'Cadastro dos Padrões'!$A$2:$V$921,AQ$1,FALSE))</f>
        <v>1000000</v>
      </c>
      <c r="AR18" s="10">
        <f>IF(VLOOKUP(ROUND(CONCATENATE($A18,AR$2),0),'Cadastro dos Padrões'!$A$2:$V$921,AR$1,FALSE)="","-",VLOOKUP(ROUND(CONCATENATE($A18,AR$2),0),'Cadastro dos Padrões'!$A$2:$V$921,AR$1,FALSE))</f>
        <v>0.2</v>
      </c>
      <c r="AS18" s="10">
        <f>IF(VLOOKUP(ROUND(CONCATENATE($A18,AS$2),0),'Cadastro dos Padrões'!$A$2:$V$921,AS$1,FALSE)="","-",VLOOKUP(ROUND(CONCATENATE($A18,AS$2),0),'Cadastro dos Padrões'!$A$2:$V$921,AS$1,FALSE))</f>
        <v>7.9999999999999996E-6</v>
      </c>
      <c r="AT18" s="10">
        <f>IF(VLOOKUP(ROUND(CONCATENATE($A18,AT$2),0),'Cadastro dos Padrões'!$A$2:$V$921,AT$1,FALSE)="","-",VLOOKUP(ROUND(CONCATENATE($A18,AT$2),0),'Cadastro dos Padrões'!$A$2:$V$921,AT$1,FALSE))</f>
        <v>2</v>
      </c>
      <c r="AU18" s="10">
        <f>IF(VLOOKUP(ROUND(CONCATENATE($A18,AU$2),0),'Cadastro dos Padrões'!$A$2:$V$921,AU$1,FALSE)="","-",VLOOKUP(ROUND(CONCATENATE($A18,AU$2),0),'Cadastro dos Padrões'!$A$2:$V$921,AU$1,FALSE))</f>
        <v>1000000</v>
      </c>
      <c r="AV18" s="10">
        <f>IF(VLOOKUP(ROUND(CONCATENATE($A18,AV$2),0),'Cadastro dos Padrões'!$A$2:$V$921,AV$1,FALSE)="","-",VLOOKUP(ROUND(CONCATENATE($A18,AV$2),0),'Cadastro dos Padrões'!$A$2:$V$921,AV$1,FALSE))</f>
        <v>0.5</v>
      </c>
      <c r="AW18" s="10">
        <f>IF(VLOOKUP(ROUND(CONCATENATE($A18,AW$2),0),'Cadastro dos Padrões'!$A$2:$V$921,AW$1,FALSE)="","-",VLOOKUP(ROUND(CONCATENATE($A18,AW$2),0),'Cadastro dos Padrões'!$A$2:$V$921,AW$1,FALSE))</f>
        <v>1.1E-5</v>
      </c>
      <c r="AX18" s="10">
        <f>IF(VLOOKUP(ROUND(CONCATENATE($A18,AX$2),0),'Cadastro dos Padrões'!$A$2:$V$921,AX$1,FALSE)="","-",VLOOKUP(ROUND(CONCATENATE($A18,AX$2),0),'Cadastro dos Padrões'!$A$2:$V$921,AX$1,FALSE))</f>
        <v>2</v>
      </c>
      <c r="AY18" s="10">
        <f>IF(VLOOKUP(ROUND(CONCATENATE($A18,AY$2),0),'Cadastro dos Padrões'!$A$2:$V$921,AY$1,FALSE)="","-",VLOOKUP(ROUND(CONCATENATE($A18,AY$2),0),'Cadastro dos Padrões'!$A$2:$V$921,AY$1,FALSE))</f>
        <v>1000000</v>
      </c>
      <c r="AZ18" s="10">
        <f>IF(VLOOKUP(ROUND(CONCATENATE($A18,AZ$2),0),'Cadastro dos Padrões'!$A$2:$V$921,AZ$1,FALSE)="","-",VLOOKUP(ROUND(CONCATENATE($A18,AZ$2),0),'Cadastro dos Padrões'!$A$2:$V$921,AZ$1,FALSE))</f>
        <v>1</v>
      </c>
      <c r="BA18" s="10">
        <f>IF(VLOOKUP(ROUND(CONCATENATE($A18,BA$2),0),'Cadastro dos Padrões'!$A$2:$V$921,BA$1,FALSE)="","-",VLOOKUP(ROUND(CONCATENATE($A18,BA$2),0),'Cadastro dos Padrões'!$A$2:$V$921,BA$1,FALSE))</f>
        <v>1.1E-5</v>
      </c>
      <c r="BB18" s="10">
        <f>IF(VLOOKUP(ROUND(CONCATENATE($A18,BB$2),0),'Cadastro dos Padrões'!$A$2:$V$921,BB$1,FALSE)="","-",VLOOKUP(ROUND(CONCATENATE($A18,BB$2),0),'Cadastro dos Padrões'!$A$2:$V$921,BB$1,FALSE))</f>
        <v>2</v>
      </c>
      <c r="BC18" s="10">
        <f>IF(VLOOKUP(ROUND(CONCATENATE($A18,BC$2),0),'Cadastro dos Padrões'!$A$2:$V$921,BC$1,FALSE)="","-",VLOOKUP(ROUND(CONCATENATE($A18,BC$2),0),'Cadastro dos Padrões'!$A$2:$V$921,BC$1,FALSE))</f>
        <v>1000000</v>
      </c>
      <c r="BD18" s="10" t="str">
        <f>IF(VLOOKUP(ROUND(CONCATENATE($A18,BD$2),0),'Cadastro dos Padrões'!$A$2:$V$921,BD$1,FALSE)="","-",VLOOKUP(ROUND(CONCATENATE($A18,BD$2),0),'Cadastro dos Padrões'!$A$2:$V$921,BD$1,FALSE))</f>
        <v>-</v>
      </c>
      <c r="BE18" s="10" t="str">
        <f>IF(VLOOKUP(ROUND(CONCATENATE($A18,BE$2),0),'Cadastro dos Padrões'!$A$2:$V$921,BE$1,FALSE)="","-",VLOOKUP(ROUND(CONCATENATE($A18,BE$2),0),'Cadastro dos Padrões'!$A$2:$V$921,BE$1,FALSE))</f>
        <v>-</v>
      </c>
      <c r="BF18" s="10" t="str">
        <f>IF(VLOOKUP(ROUND(CONCATENATE($A18,BF$2),0),'Cadastro dos Padrões'!$A$2:$V$921,BF$1,FALSE)="","-",VLOOKUP(ROUND(CONCATENATE($A18,BF$2),0),'Cadastro dos Padrões'!$A$2:$V$921,BF$1,FALSE))</f>
        <v>-</v>
      </c>
      <c r="BG18" s="10" t="str">
        <f>IF(VLOOKUP(ROUND(CONCATENATE($A18,BG$2),0),'Cadastro dos Padrões'!$A$2:$V$921,BG$1,FALSE)="","-",VLOOKUP(ROUND(CONCATENATE($A18,BG$2),0),'Cadastro dos Padrões'!$A$2:$V$921,BG$1,FALSE))</f>
        <v>-</v>
      </c>
      <c r="BH18" s="10" t="str">
        <f>IF(VLOOKUP(ROUND(CONCATENATE($A18,BH$2),0),'Cadastro dos Padrões'!$A$2:$V$921,BH$1,FALSE)="","-",VLOOKUP(ROUND(CONCATENATE($A18,BH$2),0),'Cadastro dos Padrões'!$A$2:$V$921,BH$1,FALSE))</f>
        <v>-</v>
      </c>
      <c r="BI18" s="10" t="str">
        <f>IF(VLOOKUP(ROUND(CONCATENATE($A18,BI$2),0),'Cadastro dos Padrões'!$A$2:$V$921,BI$1,FALSE)="","-",VLOOKUP(ROUND(CONCATENATE($A18,BI$2),0),'Cadastro dos Padrões'!$A$2:$V$921,BI$1,FALSE))</f>
        <v>-</v>
      </c>
      <c r="BJ18" s="10" t="str">
        <f>IF(VLOOKUP(ROUND(CONCATENATE($A18,BJ$2),0),'Cadastro dos Padrões'!$A$2:$V$921,BJ$1,FALSE)="","-",VLOOKUP(ROUND(CONCATENATE($A18,BJ$2),0),'Cadastro dos Padrões'!$A$2:$V$921,BJ$1,FALSE))</f>
        <v>-</v>
      </c>
      <c r="BK18" s="10" t="str">
        <f>IF(VLOOKUP(ROUND(CONCATENATE($A18,BK$2),0),'Cadastro dos Padrões'!$A$2:$V$921,BK$1,FALSE)="","-",VLOOKUP(ROUND(CONCATENATE($A18,BK$2),0),'Cadastro dos Padrões'!$A$2:$V$921,BK$1,FALSE))</f>
        <v>-</v>
      </c>
      <c r="BL18" s="10" t="str">
        <f>IF(VLOOKUP(ROUND(CONCATENATE($A18,BL$2),0),'Cadastro dos Padrões'!$A$2:$V$921,BL$1,FALSE)="","-",VLOOKUP(ROUND(CONCATENATE($A18,BL$2),0),'Cadastro dos Padrões'!$A$2:$V$921,BL$1,FALSE))</f>
        <v>-</v>
      </c>
      <c r="BM18" s="10" t="str">
        <f>IF(VLOOKUP(ROUND(CONCATENATE($A18,BM$2),0),'Cadastro dos Padrões'!$A$2:$V$921,BM$1,FALSE)="","-",VLOOKUP(ROUND(CONCATENATE($A18,BM$2),0),'Cadastro dos Padrões'!$A$2:$V$921,BM$1,FALSE))</f>
        <v>-</v>
      </c>
      <c r="BN18" s="10" t="str">
        <f>IF(VLOOKUP(ROUND(CONCATENATE($A18,BN$2),0),'Cadastro dos Padrões'!$A$2:$V$921,BN$1,FALSE)="","-",VLOOKUP(ROUND(CONCATENATE($A18,BN$2),0),'Cadastro dos Padrões'!$A$2:$V$921,BN$1,FALSE))</f>
        <v>-</v>
      </c>
      <c r="BO18" s="10" t="str">
        <f>IF(VLOOKUP(ROUND(CONCATENATE($A18,BO$2),0),'Cadastro dos Padrões'!$A$2:$V$921,BO$1,FALSE)="","-",VLOOKUP(ROUND(CONCATENATE($A18,BO$2),0),'Cadastro dos Padrões'!$A$2:$V$921,BO$1,FALSE))</f>
        <v>-</v>
      </c>
      <c r="BP18" s="10">
        <f>IF(VLOOKUP(ROUND(CONCATENATE($A18,BP$2),0),'Cadastro dos Padrões'!$A$2:$V$921,BP$1,FALSE)="","-",VLOOKUP(ROUND(CONCATENATE($A18,BP$2),0),'Cadastro dos Padrões'!$A$2:$V$921,BP$1,FALSE))</f>
        <v>2.0000000000002655E-6</v>
      </c>
      <c r="BQ18" s="10">
        <f>IF(VLOOKUP(ROUND(CONCATENATE($A18,BQ$2),0),'Cadastro dos Padrões'!$A$2:$V$921,BQ$1,FALSE)="","-",VLOOKUP(ROUND(CONCATENATE($A18,BQ$2),0),'Cadastro dos Padrões'!$A$2:$V$921,BQ$1,FALSE))</f>
        <v>4.0000000000005309E-6</v>
      </c>
      <c r="BR18" s="10">
        <f>IF(VLOOKUP(ROUND(CONCATENATE($A18,BR$2),0),'Cadastro dos Padrões'!$A$2:$V$921,BR$1,FALSE)="","-",VLOOKUP(ROUND(CONCATENATE($A18,BR$2),0),'Cadastro dos Padrões'!$A$2:$V$921,BR$1,FALSE))</f>
        <v>4.9999999999980616E-6</v>
      </c>
      <c r="BS18" s="10">
        <f>IF(VLOOKUP(ROUND(CONCATENATE($A18,BS$2),0),'Cadastro dos Padrões'!$A$2:$V$921,BS$1,FALSE)="","-",VLOOKUP(ROUND(CONCATENATE($A18,BS$2),0),'Cadastro dos Padrões'!$A$2:$V$921,BS$1,FALSE))</f>
        <v>1.9999999999881224E-6</v>
      </c>
      <c r="BT18" s="10">
        <f>IF(VLOOKUP(ROUND(CONCATENATE($A18,BT$2),0),'Cadastro dos Padrões'!$A$2:$V$921,BT$1,FALSE)="","-",VLOOKUP(ROUND(CONCATENATE($A18,BT$2),0),'Cadastro dos Padrões'!$A$2:$V$921,BT$1,FALSE))</f>
        <v>0</v>
      </c>
      <c r="BU18" s="10">
        <f>IF(VLOOKUP(ROUND(CONCATENATE($A18,BU$2),0),'Cadastro dos Padrões'!$A$2:$V$921,BU$1,FALSE)="","-",VLOOKUP(ROUND(CONCATENATE($A18,BU$2),0),'Cadastro dos Padrões'!$A$2:$V$921,BU$1,FALSE))</f>
        <v>1.0000000000287557E-6</v>
      </c>
      <c r="BV18" s="10">
        <f>IF(VLOOKUP(ROUND(CONCATENATE($A18,BV$2),0),'Cadastro dos Padrões'!$A$2:$V$921,BV$1,FALSE)="","-",VLOOKUP(ROUND(CONCATENATE($A18,BV$2),0),'Cadastro dos Padrões'!$A$2:$V$921,BV$1,FALSE))</f>
        <v>5.000000000032756E-6</v>
      </c>
      <c r="BW18" s="10">
        <f>IF(VLOOKUP(ROUND(CONCATENATE($A18,BW$2),0),'Cadastro dos Padrões'!$A$2:$V$921,BW$1,FALSE)="","-",VLOOKUP(ROUND(CONCATENATE($A18,BW$2),0),'Cadastro dos Padrões'!$A$2:$V$921,BW$1,FALSE))</f>
        <v>0</v>
      </c>
      <c r="BX18" s="10">
        <f>IF(VLOOKUP(ROUND(CONCATENATE($A18,BX$2),0),'Cadastro dos Padrões'!$A$2:$V$921,BX$1,FALSE)="","-",VLOOKUP(ROUND(CONCATENATE($A18,BX$2),0),'Cadastro dos Padrões'!$A$2:$V$921,BX$1,FALSE))</f>
        <v>0</v>
      </c>
      <c r="BY18" s="10">
        <f>IF(VLOOKUP(ROUND(CONCATENATE($A18,BY$2),0),'Cadastro dos Padrões'!$A$2:$V$921,BY$1,FALSE)="","-",VLOOKUP(ROUND(CONCATENATE($A18,BY$2),0),'Cadastro dos Padrões'!$A$2:$V$921,BY$1,FALSE))</f>
        <v>0</v>
      </c>
      <c r="BZ18" s="10">
        <f>IF(VLOOKUP(ROUND(CONCATENATE($A18,BZ$2),0),'Cadastro dos Padrões'!$A$2:$V$921,BZ$1,FALSE)="","-",VLOOKUP(ROUND(CONCATENATE($A18,BZ$2),0),'Cadastro dos Padrões'!$A$2:$V$921,BZ$1,FALSE))</f>
        <v>-2.0000000000002655E-6</v>
      </c>
      <c r="CA18" s="10">
        <f>IF(VLOOKUP(ROUND(CONCATENATE($A18,CA$2),0),'Cadastro dos Padrões'!$A$2:$V$921,CA$1,FALSE)="","-",VLOOKUP(ROUND(CONCATENATE($A18,CA$2),0),'Cadastro dos Padrões'!$A$2:$V$921,CA$1,FALSE))</f>
        <v>-4.0000000000005309E-6</v>
      </c>
      <c r="CB18" s="10">
        <f>IF(VLOOKUP(ROUND(CONCATENATE($A18,CB$2),0),'Cadastro dos Padrões'!$A$2:$V$921,CB$1,FALSE)="","-",VLOOKUP(ROUND(CONCATENATE($A18,CB$2),0),'Cadastro dos Padrões'!$A$2:$V$921,CB$1,FALSE))</f>
        <v>-4.9999999999980616E-6</v>
      </c>
      <c r="CC18" s="10">
        <f>IF(VLOOKUP(ROUND(CONCATENATE($A18,CC$2),0),'Cadastro dos Padrões'!$A$2:$V$921,CC$1,FALSE)="","-",VLOOKUP(ROUND(CONCATENATE($A18,CC$2),0),'Cadastro dos Padrões'!$A$2:$V$921,CC$1,FALSE))</f>
        <v>-1.9999999999881224E-6</v>
      </c>
      <c r="CD18" s="10">
        <f>IF(VLOOKUP(ROUND(CONCATENATE($A18,CD$2),0),'Cadastro dos Padrões'!$A$2:$V$921,CD$1,FALSE)="","-",VLOOKUP(ROUND(CONCATENATE($A18,CD$2),0),'Cadastro dos Padrões'!$A$2:$V$921,CD$1,FALSE))</f>
        <v>0</v>
      </c>
      <c r="CE18" s="10">
        <f>IF(VLOOKUP(ROUND(CONCATENATE($A18,CE$2),0),'Cadastro dos Padrões'!$A$2:$V$921,CE$1,FALSE)="","-",VLOOKUP(ROUND(CONCATENATE($A18,CE$2),0),'Cadastro dos Padrões'!$A$2:$V$921,CE$1,FALSE))</f>
        <v>-1.0000000000287557E-6</v>
      </c>
      <c r="CF18" s="10">
        <f>IF(VLOOKUP(ROUND(CONCATENATE($A18,CF$2),0),'Cadastro dos Padrões'!$A$2:$V$921,CF$1,FALSE)="","-",VLOOKUP(ROUND(CONCATENATE($A18,CF$2),0),'Cadastro dos Padrões'!$A$2:$V$921,CF$1,FALSE))</f>
        <v>-5.000000000032756E-6</v>
      </c>
      <c r="CG18" s="10">
        <f>IF(VLOOKUP(ROUND(CONCATENATE($A18,CG$2),0),'Cadastro dos Padrões'!$A$2:$V$921,CG$1,FALSE)="","-",VLOOKUP(ROUND(CONCATENATE($A18,CG$2),0),'Cadastro dos Padrões'!$A$2:$V$921,CG$1,FALSE))</f>
        <v>0</v>
      </c>
      <c r="CH18" s="10">
        <f>IF(VLOOKUP(ROUND(CONCATENATE($A18,CH$2),0),'Cadastro dos Padrões'!$A$2:$V$921,CH$1,FALSE)="","-",VLOOKUP(ROUND(CONCATENATE($A18,CH$2),0),'Cadastro dos Padrões'!$A$2:$V$921,CH$1,FALSE))</f>
        <v>0</v>
      </c>
      <c r="CI18" s="10">
        <f>IF(VLOOKUP(ROUND(CONCATENATE($A18,CI$2),0),'Cadastro dos Padrões'!$A$2:$V$921,CI$1,FALSE)="","-",VLOOKUP(ROUND(CONCATENATE($A18,CI$2),0),'Cadastro dos Padrões'!$A$2:$V$921,CI$1,FALSE))</f>
        <v>0</v>
      </c>
    </row>
    <row r="19" spans="1:87" x14ac:dyDescent="0.3">
      <c r="A19" s="4">
        <v>14</v>
      </c>
      <c r="B19" s="10" t="str">
        <f>IF(VLOOKUP(ROUND(CONCATENATE($A19,B$2),0),'Cadastro dos Padrões'!$A$2:$V$921,B$1,FALSE)="","-",VLOOKUP(ROUND(CONCATENATE($A19,B$2),0),'Cadastro dos Padrões'!$A$2:$V$921,B$1,FALSE))</f>
        <v>E.MS.LQ-001</v>
      </c>
      <c r="C19" s="10" t="str">
        <f>IF(VLOOKUP(ROUND(CONCATENATE($A19,C$2),0),'Cadastro dos Padrões'!$A$2:$V$921,C$1,FALSE)="","-",VLOOKUP(ROUND(CONCATENATE($A19,C$2),0),'Cadastro dos Padrões'!$A$2:$V$921,C$1,FALSE))</f>
        <v>Balança Analítica</v>
      </c>
      <c r="D19" s="10" t="str">
        <f>IF(VLOOKUP(ROUND(CONCATENATE($A19,D$2),0),'Cadastro dos Padrões'!$A$2:$V$921,D$1,FALSE)="","-",VLOOKUP(ROUND(CONCATENATE($A19,D$2),0),'Cadastro dos Padrões'!$A$2:$V$921,D$1,FALSE))</f>
        <v xml:space="preserve">Elus </v>
      </c>
      <c r="E19" s="10" t="str">
        <f>IF(VLOOKUP(ROUND(CONCATENATE($A19,E$2),0),'Cadastro dos Padrões'!$A$2:$V$921,E$1,FALSE)="","-",VLOOKUP(ROUND(CONCATENATE($A19,E$2),0),'Cadastro dos Padrões'!$A$2:$V$921,E$1,FALSE))</f>
        <v>RBC - CAL 0439</v>
      </c>
      <c r="F19" s="10" t="str">
        <f>IF(VLOOKUP(ROUND(CONCATENATE($A19,F$2),0),'Cadastro dos Padrões'!$A$2:$V$921,F$1,FALSE)="","-",VLOOKUP(ROUND(CONCATENATE($A19,F$2),0),'Cadastro dos Padrões'!$A$2:$V$921,F$1,FALSE))</f>
        <v>E0498/25</v>
      </c>
      <c r="G19" s="27">
        <f>IF(VLOOKUP(ROUND(CONCATENATE($A19,G$2),0),'Cadastro dos Padrões'!$A$2:$V$921,G$1,FALSE)="","-",VLOOKUP(ROUND(CONCATENATE($A19,G$2),0),'Cadastro dos Padrões'!$A$2:$V$921,G$1,FALSE))</f>
        <v>45873</v>
      </c>
      <c r="H19" s="29">
        <f>IF(VLOOKUP(ROUND(CONCATENATE($A19,H$2),0),'Cadastro dos Padrões'!$A$2:$V$921,H$1,FALSE)="","-",VLOOKUP(ROUND(CONCATENATE($A19,H$2),0),'Cadastro dos Padrões'!$A$2:$V$921,H$1,FALSE))</f>
        <v>46264</v>
      </c>
      <c r="I19" s="10" t="str">
        <f>IF(VLOOKUP(ROUND(CONCATENATE($A19,I$2),0),'Cadastro dos Padrões'!$A$2:$V$921,I$1,FALSE)="","-",VLOOKUP(ROUND(CONCATENATE($A19,I$2),0),'Cadastro dos Padrões'!$A$2:$V$921,I$1,FALSE))</f>
        <v>g</v>
      </c>
      <c r="J19" s="10">
        <f>IF(VLOOKUP(ROUND(CONCATENATE($A19,J$2),0),'Cadastro dos Padrões'!$A$2:$V$921,J$1,FALSE)="","-",VLOOKUP(ROUND(CONCATENATE($A19,J$2),0),'Cadastro dos Padrões'!$A$2:$V$921,J$1,FALSE))</f>
        <v>100</v>
      </c>
      <c r="K19" s="10">
        <f>IF(VLOOKUP(ROUND(CONCATENATE($A19,K$2),0),'Cadastro dos Padrões'!$A$2:$V$921,K$1,FALSE)="","-",VLOOKUP(ROUND(CONCATENATE($A19,K$2),0),'Cadastro dos Padrões'!$A$2:$V$921,K$1,FALSE))</f>
        <v>10000</v>
      </c>
      <c r="L19" s="10">
        <f>IF(VLOOKUP(ROUND(CONCATENATE($A19,L$2),0),'Cadastro dos Padrões'!$A$2:$V$921,L$1,FALSE)="","-",VLOOKUP(ROUND(CONCATENATE($A19,L$2),0),'Cadastro dos Padrões'!$A$2:$V$921,L$1,FALSE))</f>
        <v>0.1</v>
      </c>
      <c r="M19" s="10">
        <f>IF(VLOOKUP(ROUND(CONCATENATE($A19,M$2),0),'Cadastro dos Padrões'!$A$2:$V$921,M$1,FALSE)="","-",VLOOKUP(ROUND(CONCATENATE($A19,M$2),0),'Cadastro dos Padrões'!$A$2:$V$921,M$1,FALSE))</f>
        <v>0.1000000000003638</v>
      </c>
      <c r="N19" s="10">
        <f>IF(VLOOKUP(ROUND(CONCATENATE($A19,N$2),0),'Cadastro dos Padrões'!$A$2:$V$921,N$1,FALSE)="","-",VLOOKUP(ROUND(CONCATENATE($A19,N$2),0),'Cadastro dos Padrões'!$A$2:$V$921,N$1,FALSE))</f>
        <v>0.3</v>
      </c>
      <c r="O19" s="10">
        <f>IF(VLOOKUP(ROUND(CONCATENATE($A19,O$2),0),'Cadastro dos Padrões'!$A$2:$V$921,O$1,FALSE)="","-",VLOOKUP(ROUND(CONCATENATE($A19,O$2),0),'Cadastro dos Padrões'!$A$2:$V$921,O$1,FALSE))</f>
        <v>0</v>
      </c>
      <c r="P19" s="28">
        <f>IF(VLOOKUP(ROUND(CONCATENATE($A19,P$2),0),'Cadastro dos Padrões'!$A$2:$V$921,P$1,FALSE)="","-",VLOOKUP(ROUND(CONCATENATE($A19,P$2),0),'Cadastro dos Padrões'!$A$2:$V$921,P$1,FALSE))</f>
        <v>3.3333333333303017E-3</v>
      </c>
      <c r="Q19" s="10">
        <f>IF($B19="-","-",VLOOKUP(ROUND(CONCATENATE($A19,Q$2),0),'Cadastro dos Padrões'!$A$2:$V$921,Q$1,FALSE))</f>
        <v>2.5322681510147049E-3</v>
      </c>
      <c r="R19" s="10">
        <f>IF($B19="-","-",VLOOKUP(ROUND(CONCATENATE($A19,R$2),0),'Cadastro dos Padrões'!$A$2:$V$921,R$1,FALSE))</f>
        <v>5</v>
      </c>
      <c r="S19" s="10">
        <f>IF($B19="-","-",VLOOKUP(ROUND(CONCATENATE($A19,S$2),0),'Cadastro dos Padrões'!$A$2:$V$921,S$1,FALSE))</f>
        <v>0</v>
      </c>
      <c r="T19" s="10">
        <f>IF($B19="-","-",VLOOKUP(ROUND(CONCATENATE($A19,T$2),0),'Cadastro dos Padrões'!$A$2:$V$921,T$1,FALSE))</f>
        <v>0</v>
      </c>
      <c r="U19" s="10">
        <f>IF($B19="-","-",VLOOKUP(ROUND(CONCATENATE($A19,U$2),0),'Cadastro dos Padrões'!$A$2:$V$921,U$1,FALSE))</f>
        <v>0</v>
      </c>
      <c r="V19" s="10">
        <f>IF($B19="-","-",VLOOKUP(ROUND(CONCATENATE($A19,V$2),0),'Cadastro dos Padrões'!$A$2:$V$921,V$1,FALSE))</f>
        <v>1.0393305689147921E-19</v>
      </c>
      <c r="W19" s="10">
        <f>IF($B19="-","-",VLOOKUP(ROUND(CONCATENATE($A19,W$2),0),'Cadastro dos Padrões'!$A$2:$V$921,W$1,FALSE))</f>
        <v>-2.2832890181026651E-15</v>
      </c>
      <c r="X19" s="10">
        <f>IF($B19="-","-",VLOOKUP(ROUND(CONCATENATE($A19,X$2),0),'Cadastro dos Padrões'!$A$2:$V$921,X$1,FALSE))</f>
        <v>1.5919498419661782E-11</v>
      </c>
      <c r="Y19" s="10">
        <f>IF($B19="-","-",VLOOKUP(ROUND(CONCATENATE($A19,Y$2),0),'Cadastro dos Padrões'!$A$2:$V$921,Y$1,FALSE))</f>
        <v>-3.6143265162539399E-8</v>
      </c>
      <c r="Z19" s="10">
        <f>IF($B19="-","-",VLOOKUP(ROUND(CONCATENATE($A19,Z$2),0),'Cadastro dos Padrões'!$A$2:$V$921,Z$1,FALSE))</f>
        <v>1.0000237187205856</v>
      </c>
      <c r="AA19" s="10">
        <f>IF($B19="-","-",VLOOKUP(ROUND(CONCATENATE($A19,AA$2),0),'Cadastro dos Padrões'!$A$2:$V$921,AA$1,FALSE))</f>
        <v>-2.7634804119944789E-3</v>
      </c>
      <c r="AB19" s="10">
        <f>IF(VLOOKUP(ROUND(CONCATENATE($A19,AB$2),0),'Cadastro dos Padrões'!$A$2:$V$921,AB$1,FALSE)="","-",VLOOKUP(ROUND(CONCATENATE($A19,AB$2),0),'Cadastro dos Padrões'!$A$2:$V$921,AB$1,FALSE))</f>
        <v>100</v>
      </c>
      <c r="AC19" s="10">
        <f>IF(VLOOKUP(ROUND(CONCATENATE($A19,AC$2),0),'Cadastro dos Padrões'!$A$2:$V$921,AC$1,FALSE)="","-",VLOOKUP(ROUND(CONCATENATE($A19,AC$2),0),'Cadastro dos Padrões'!$A$2:$V$921,AC$1,FALSE))</f>
        <v>0.2</v>
      </c>
      <c r="AD19" s="10">
        <f>IF(VLOOKUP(ROUND(CONCATENATE($A19,AD$2),0),'Cadastro dos Padrões'!$A$2:$V$921,AD$1,FALSE)="","-",VLOOKUP(ROUND(CONCATENATE($A19,AD$2),0),'Cadastro dos Padrões'!$A$2:$V$921,AD$1,FALSE))</f>
        <v>2</v>
      </c>
      <c r="AE19" s="10">
        <f>IF(VLOOKUP(ROUND(CONCATENATE($A19,AE$2),0),'Cadastro dos Padrões'!$A$2:$V$921,AE$1,FALSE)="","-",VLOOKUP(ROUND(CONCATENATE($A19,AE$2),0),'Cadastro dos Padrões'!$A$2:$V$921,AE$1,FALSE))</f>
        <v>1000000</v>
      </c>
      <c r="AF19" s="10">
        <f>IF(VLOOKUP(ROUND(CONCATENATE($A19,AF$2),0),'Cadastro dos Padrões'!$A$2:$V$921,AF$1,FALSE)="","-",VLOOKUP(ROUND(CONCATENATE($A19,AF$2),0),'Cadastro dos Padrões'!$A$2:$V$921,AF$1,FALSE))</f>
        <v>500</v>
      </c>
      <c r="AG19" s="10">
        <f>IF(VLOOKUP(ROUND(CONCATENATE($A19,AG$2),0),'Cadastro dos Padrões'!$A$2:$V$921,AG$1,FALSE)="","-",VLOOKUP(ROUND(CONCATENATE($A19,AG$2),0),'Cadastro dos Padrões'!$A$2:$V$921,AG$1,FALSE))</f>
        <v>0.2</v>
      </c>
      <c r="AH19" s="10">
        <f>IF(VLOOKUP(ROUND(CONCATENATE($A19,AH$2),0),'Cadastro dos Padrões'!$A$2:$V$921,AH$1,FALSE)="","-",VLOOKUP(ROUND(CONCATENATE($A19,AH$2),0),'Cadastro dos Padrões'!$A$2:$V$921,AH$1,FALSE))</f>
        <v>2</v>
      </c>
      <c r="AI19" s="10">
        <f>IF(VLOOKUP(ROUND(CONCATENATE($A19,AI$2),0),'Cadastro dos Padrões'!$A$2:$V$921,AI$1,FALSE)="","-",VLOOKUP(ROUND(CONCATENATE($A19,AI$2),0),'Cadastro dos Padrões'!$A$2:$V$921,AI$1,FALSE))</f>
        <v>1000000</v>
      </c>
      <c r="AJ19" s="10">
        <f>IF(VLOOKUP(ROUND(CONCATENATE($A19,AJ$2),0),'Cadastro dos Padrões'!$A$2:$V$921,AJ$1,FALSE)="","-",VLOOKUP(ROUND(CONCATENATE($A19,AJ$2),0),'Cadastro dos Padrões'!$A$2:$V$921,AJ$1,FALSE))</f>
        <v>1000</v>
      </c>
      <c r="AK19" s="10">
        <f>IF(VLOOKUP(ROUND(CONCATENATE($A19,AK$2),0),'Cadastro dos Padrões'!$A$2:$V$921,AK$1,FALSE)="","-",VLOOKUP(ROUND(CONCATENATE($A19,AK$2),0),'Cadastro dos Padrões'!$A$2:$V$921,AK$1,FALSE))</f>
        <v>0.2</v>
      </c>
      <c r="AL19" s="10">
        <f>IF(VLOOKUP(ROUND(CONCATENATE($A19,AL$2),0),'Cadastro dos Padrões'!$A$2:$V$921,AL$1,FALSE)="","-",VLOOKUP(ROUND(CONCATENATE($A19,AL$2),0),'Cadastro dos Padrões'!$A$2:$V$921,AL$1,FALSE))</f>
        <v>2</v>
      </c>
      <c r="AM19" s="10">
        <f>IF(VLOOKUP(ROUND(CONCATENATE($A19,AM$2),0),'Cadastro dos Padrões'!$A$2:$V$921,AM$1,FALSE)="","-",VLOOKUP(ROUND(CONCATENATE($A19,AM$2),0),'Cadastro dos Padrões'!$A$2:$V$921,AM$1,FALSE))</f>
        <v>1000000</v>
      </c>
      <c r="AN19" s="10">
        <f>IF(VLOOKUP(ROUND(CONCATENATE($A19,AN$2),0),'Cadastro dos Padrões'!$A$2:$V$921,AN$1,FALSE)="","-",VLOOKUP(ROUND(CONCATENATE($A19,AN$2),0),'Cadastro dos Padrões'!$A$2:$V$921,AN$1,FALSE))</f>
        <v>2500</v>
      </c>
      <c r="AO19" s="10">
        <f>IF(VLOOKUP(ROUND(CONCATENATE($A19,AO$2),0),'Cadastro dos Padrões'!$A$2:$V$921,AO$1,FALSE)="","-",VLOOKUP(ROUND(CONCATENATE($A19,AO$2),0),'Cadastro dos Padrões'!$A$2:$V$921,AO$1,FALSE))</f>
        <v>0.2</v>
      </c>
      <c r="AP19" s="10">
        <f>IF(VLOOKUP(ROUND(CONCATENATE($A19,AP$2),0),'Cadastro dos Padrões'!$A$2:$V$921,AP$1,FALSE)="","-",VLOOKUP(ROUND(CONCATENATE($A19,AP$2),0),'Cadastro dos Padrões'!$A$2:$V$921,AP$1,FALSE))</f>
        <v>2</v>
      </c>
      <c r="AQ19" s="10">
        <f>IF(VLOOKUP(ROUND(CONCATENATE($A19,AQ$2),0),'Cadastro dos Padrões'!$A$2:$V$921,AQ$1,FALSE)="","-",VLOOKUP(ROUND(CONCATENATE($A19,AQ$2),0),'Cadastro dos Padrões'!$A$2:$V$921,AQ$1,FALSE))</f>
        <v>1000000</v>
      </c>
      <c r="AR19" s="10">
        <f>IF(VLOOKUP(ROUND(CONCATENATE($A19,AR$2),0),'Cadastro dos Padrões'!$A$2:$V$921,AR$1,FALSE)="","-",VLOOKUP(ROUND(CONCATENATE($A19,AR$2),0),'Cadastro dos Padrões'!$A$2:$V$921,AR$1,FALSE))</f>
        <v>5000</v>
      </c>
      <c r="AS19" s="10">
        <f>IF(VLOOKUP(ROUND(CONCATENATE($A19,AS$2),0),'Cadastro dos Padrões'!$A$2:$V$921,AS$1,FALSE)="","-",VLOOKUP(ROUND(CONCATENATE($A19,AS$2),0),'Cadastro dos Padrões'!$A$2:$V$921,AS$1,FALSE))</f>
        <v>0.2</v>
      </c>
      <c r="AT19" s="10">
        <f>IF(VLOOKUP(ROUND(CONCATENATE($A19,AT$2),0),'Cadastro dos Padrões'!$A$2:$V$921,AT$1,FALSE)="","-",VLOOKUP(ROUND(CONCATENATE($A19,AT$2),0),'Cadastro dos Padrões'!$A$2:$V$921,AT$1,FALSE))</f>
        <v>2.02</v>
      </c>
      <c r="AU19" s="10">
        <f>IF(VLOOKUP(ROUND(CONCATENATE($A19,AU$2),0),'Cadastro dos Padrões'!$A$2:$V$921,AU$1,FALSE)="","-",VLOOKUP(ROUND(CONCATENATE($A19,AU$2),0),'Cadastro dos Padrões'!$A$2:$V$921,AU$1,FALSE))</f>
        <v>120</v>
      </c>
      <c r="AV19" s="10">
        <f>IF(VLOOKUP(ROUND(CONCATENATE($A19,AV$2),0),'Cadastro dos Padrões'!$A$2:$V$921,AV$1,FALSE)="","-",VLOOKUP(ROUND(CONCATENATE($A19,AV$2),0),'Cadastro dos Padrões'!$A$2:$V$921,AV$1,FALSE))</f>
        <v>7500</v>
      </c>
      <c r="AW19" s="10">
        <f>IF(VLOOKUP(ROUND(CONCATENATE($A19,AW$2),0),'Cadastro dos Padrões'!$A$2:$V$921,AW$1,FALSE)="","-",VLOOKUP(ROUND(CONCATENATE($A19,AW$2),0),'Cadastro dos Padrões'!$A$2:$V$921,AW$1,FALSE))</f>
        <v>0.2</v>
      </c>
      <c r="AX19" s="10">
        <f>IF(VLOOKUP(ROUND(CONCATENATE($A19,AX$2),0),'Cadastro dos Padrões'!$A$2:$V$921,AX$1,FALSE)="","-",VLOOKUP(ROUND(CONCATENATE($A19,AX$2),0),'Cadastro dos Padrões'!$A$2:$V$921,AX$1,FALSE))</f>
        <v>2.02</v>
      </c>
      <c r="AY19" s="10">
        <f>IF(VLOOKUP(ROUND(CONCATENATE($A19,AY$2),0),'Cadastro dos Padrões'!$A$2:$V$921,AY$1,FALSE)="","-",VLOOKUP(ROUND(CONCATENATE($A19,AY$2),0),'Cadastro dos Padrões'!$A$2:$V$921,AY$1,FALSE))</f>
        <v>153</v>
      </c>
      <c r="AZ19" s="10">
        <f>IF(VLOOKUP(ROUND(CONCATENATE($A19,AZ$2),0),'Cadastro dos Padrões'!$A$2:$V$921,AZ$1,FALSE)="","-",VLOOKUP(ROUND(CONCATENATE($A19,AZ$2),0),'Cadastro dos Padrões'!$A$2:$V$921,AZ$1,FALSE))</f>
        <v>10000</v>
      </c>
      <c r="BA19" s="10">
        <f>IF(VLOOKUP(ROUND(CONCATENATE($A19,BA$2),0),'Cadastro dos Padrões'!$A$2:$V$921,BA$1,FALSE)="","-",VLOOKUP(ROUND(CONCATENATE($A19,BA$2),0),'Cadastro dos Padrões'!$A$2:$V$921,BA$1,FALSE))</f>
        <v>0.3</v>
      </c>
      <c r="BB19" s="10">
        <f>IF(VLOOKUP(ROUND(CONCATENATE($A19,BB$2),0),'Cadastro dos Padrões'!$A$2:$V$921,BB$1,FALSE)="","-",VLOOKUP(ROUND(CONCATENATE($A19,BB$2),0),'Cadastro dos Padrões'!$A$2:$V$921,BB$1,FALSE))</f>
        <v>2</v>
      </c>
      <c r="BC19" s="10">
        <f>IF(VLOOKUP(ROUND(CONCATENATE($A19,BC$2),0),'Cadastro dos Padrões'!$A$2:$V$921,BC$1,FALSE)="","-",VLOOKUP(ROUND(CONCATENATE($A19,BC$2),0),'Cadastro dos Padrões'!$A$2:$V$921,BC$1,FALSE))</f>
        <v>1000000</v>
      </c>
      <c r="BD19" s="10" t="str">
        <f>IF(VLOOKUP(ROUND(CONCATENATE($A19,BD$2),0),'Cadastro dos Padrões'!$A$2:$V$921,BD$1,FALSE)="","-",VLOOKUP(ROUND(CONCATENATE($A19,BD$2),0),'Cadastro dos Padrões'!$A$2:$V$921,BD$1,FALSE))</f>
        <v>-</v>
      </c>
      <c r="BE19" s="10" t="str">
        <f>IF(VLOOKUP(ROUND(CONCATENATE($A19,BE$2),0),'Cadastro dos Padrões'!$A$2:$V$921,BE$1,FALSE)="","-",VLOOKUP(ROUND(CONCATENATE($A19,BE$2),0),'Cadastro dos Padrões'!$A$2:$V$921,BE$1,FALSE))</f>
        <v>-</v>
      </c>
      <c r="BF19" s="10" t="str">
        <f>IF(VLOOKUP(ROUND(CONCATENATE($A19,BF$2),0),'Cadastro dos Padrões'!$A$2:$V$921,BF$1,FALSE)="","-",VLOOKUP(ROUND(CONCATENATE($A19,BF$2),0),'Cadastro dos Padrões'!$A$2:$V$921,BF$1,FALSE))</f>
        <v>-</v>
      </c>
      <c r="BG19" s="10" t="str">
        <f>IF(VLOOKUP(ROUND(CONCATENATE($A19,BG$2),0),'Cadastro dos Padrões'!$A$2:$V$921,BG$1,FALSE)="","-",VLOOKUP(ROUND(CONCATENATE($A19,BG$2),0),'Cadastro dos Padrões'!$A$2:$V$921,BG$1,FALSE))</f>
        <v>-</v>
      </c>
      <c r="BH19" s="10" t="str">
        <f>IF(VLOOKUP(ROUND(CONCATENATE($A19,BH$2),0),'Cadastro dos Padrões'!$A$2:$V$921,BH$1,FALSE)="","-",VLOOKUP(ROUND(CONCATENATE($A19,BH$2),0),'Cadastro dos Padrões'!$A$2:$V$921,BH$1,FALSE))</f>
        <v>-</v>
      </c>
      <c r="BI19" s="10" t="str">
        <f>IF(VLOOKUP(ROUND(CONCATENATE($A19,BI$2),0),'Cadastro dos Padrões'!$A$2:$V$921,BI$1,FALSE)="","-",VLOOKUP(ROUND(CONCATENATE($A19,BI$2),0),'Cadastro dos Padrões'!$A$2:$V$921,BI$1,FALSE))</f>
        <v>-</v>
      </c>
      <c r="BJ19" s="10" t="str">
        <f>IF(VLOOKUP(ROUND(CONCATENATE($A19,BJ$2),0),'Cadastro dos Padrões'!$A$2:$V$921,BJ$1,FALSE)="","-",VLOOKUP(ROUND(CONCATENATE($A19,BJ$2),0),'Cadastro dos Padrões'!$A$2:$V$921,BJ$1,FALSE))</f>
        <v>-</v>
      </c>
      <c r="BK19" s="10" t="str">
        <f>IF(VLOOKUP(ROUND(CONCATENATE($A19,BK$2),0),'Cadastro dos Padrões'!$A$2:$V$921,BK$1,FALSE)="","-",VLOOKUP(ROUND(CONCATENATE($A19,BK$2),0),'Cadastro dos Padrões'!$A$2:$V$921,BK$1,FALSE))</f>
        <v>-</v>
      </c>
      <c r="BL19" s="10" t="str">
        <f>IF(VLOOKUP(ROUND(CONCATENATE($A19,BL$2),0),'Cadastro dos Padrões'!$A$2:$V$921,BL$1,FALSE)="","-",VLOOKUP(ROUND(CONCATENATE($A19,BL$2),0),'Cadastro dos Padrões'!$A$2:$V$921,BL$1,FALSE))</f>
        <v>-</v>
      </c>
      <c r="BM19" s="10" t="str">
        <f>IF(VLOOKUP(ROUND(CONCATENATE($A19,BM$2),0),'Cadastro dos Padrões'!$A$2:$V$921,BM$1,FALSE)="","-",VLOOKUP(ROUND(CONCATENATE($A19,BM$2),0),'Cadastro dos Padrões'!$A$2:$V$921,BM$1,FALSE))</f>
        <v>-</v>
      </c>
      <c r="BN19" s="10" t="str">
        <f>IF(VLOOKUP(ROUND(CONCATENATE($A19,BN$2),0),'Cadastro dos Padrões'!$A$2:$V$921,BN$1,FALSE)="","-",VLOOKUP(ROUND(CONCATENATE($A19,BN$2),0),'Cadastro dos Padrões'!$A$2:$V$921,BN$1,FALSE))</f>
        <v>-</v>
      </c>
      <c r="BO19" s="10" t="str">
        <f>IF(VLOOKUP(ROUND(CONCATENATE($A19,BO$2),0),'Cadastro dos Padrões'!$A$2:$V$921,BO$1,FALSE)="","-",VLOOKUP(ROUND(CONCATENATE($A19,BO$2),0),'Cadastro dos Padrões'!$A$2:$V$921,BO$1,FALSE))</f>
        <v>-</v>
      </c>
      <c r="BP19" s="10">
        <f>IF(VLOOKUP(ROUND(CONCATENATE($A19,BP$2),0),'Cadastro dos Padrões'!$A$2:$V$921,BP$1,FALSE)="","-",VLOOKUP(ROUND(CONCATENATE($A19,BP$2),0),'Cadastro dos Padrões'!$A$2:$V$921,BP$1,FALSE))</f>
        <v>0</v>
      </c>
      <c r="BQ19" s="10">
        <f>IF(VLOOKUP(ROUND(CONCATENATE($A19,BQ$2),0),'Cadastro dos Padrões'!$A$2:$V$921,BQ$1,FALSE)="","-",VLOOKUP(ROUND(CONCATENATE($A19,BQ$2),0),'Cadastro dos Padrões'!$A$2:$V$921,BQ$1,FALSE))</f>
        <v>0</v>
      </c>
      <c r="BR19" s="10">
        <f>IF(VLOOKUP(ROUND(CONCATENATE($A19,BR$2),0),'Cadastro dos Padrões'!$A$2:$V$921,BR$1,FALSE)="","-",VLOOKUP(ROUND(CONCATENATE($A19,BR$2),0),'Cadastro dos Padrões'!$A$2:$V$921,BR$1,FALSE))</f>
        <v>0</v>
      </c>
      <c r="BS19" s="10">
        <f>IF(VLOOKUP(ROUND(CONCATENATE($A19,BS$2),0),'Cadastro dos Padrões'!$A$2:$V$921,BS$1,FALSE)="","-",VLOOKUP(ROUND(CONCATENATE($A19,BS$2),0),'Cadastro dos Padrões'!$A$2:$V$921,BS$1,FALSE))</f>
        <v>0</v>
      </c>
      <c r="BT19" s="10">
        <f>IF(VLOOKUP(ROUND(CONCATENATE($A19,BT$2),0),'Cadastro dos Padrões'!$A$2:$V$921,BT$1,FALSE)="","-",VLOOKUP(ROUND(CONCATENATE($A19,BT$2),0),'Cadastro dos Padrões'!$A$2:$V$921,BT$1,FALSE))</f>
        <v>-0.1000000000003638</v>
      </c>
      <c r="BU19" s="10">
        <f>IF(VLOOKUP(ROUND(CONCATENATE($A19,BU$2),0),'Cadastro dos Padrões'!$A$2:$V$921,BU$1,FALSE)="","-",VLOOKUP(ROUND(CONCATENATE($A19,BU$2),0),'Cadastro dos Padrões'!$A$2:$V$921,BU$1,FALSE))</f>
        <v>-0.1000000000003638</v>
      </c>
      <c r="BV19" s="10">
        <f>IF(VLOOKUP(ROUND(CONCATENATE($A19,BV$2),0),'Cadastro dos Padrões'!$A$2:$V$921,BV$1,FALSE)="","-",VLOOKUP(ROUND(CONCATENATE($A19,BV$2),0),'Cadastro dos Padrões'!$A$2:$V$921,BV$1,FALSE))</f>
        <v>-0.1000000000003638</v>
      </c>
      <c r="BW19" s="10">
        <f>IF(VLOOKUP(ROUND(CONCATENATE($A19,BW$2),0),'Cadastro dos Padrões'!$A$2:$V$921,BW$1,FALSE)="","-",VLOOKUP(ROUND(CONCATENATE($A19,BW$2),0),'Cadastro dos Padrões'!$A$2:$V$921,BW$1,FALSE))</f>
        <v>0</v>
      </c>
      <c r="BX19" s="10">
        <f>IF(VLOOKUP(ROUND(CONCATENATE($A19,BX$2),0),'Cadastro dos Padrões'!$A$2:$V$921,BX$1,FALSE)="","-",VLOOKUP(ROUND(CONCATENATE($A19,BX$2),0),'Cadastro dos Padrões'!$A$2:$V$921,BX$1,FALSE))</f>
        <v>0</v>
      </c>
      <c r="BY19" s="10">
        <f>IF(VLOOKUP(ROUND(CONCATENATE($A19,BY$2),0),'Cadastro dos Padrões'!$A$2:$V$921,BY$1,FALSE)="","-",VLOOKUP(ROUND(CONCATENATE($A19,BY$2),0),'Cadastro dos Padrões'!$A$2:$V$921,BY$1,FALSE))</f>
        <v>0</v>
      </c>
      <c r="BZ19" s="10">
        <f>IF(VLOOKUP(ROUND(CONCATENATE($A19,BZ$2),0),'Cadastro dos Padrões'!$A$2:$V$921,BZ$1,FALSE)="","-",VLOOKUP(ROUND(CONCATENATE($A19,BZ$2),0),'Cadastro dos Padrões'!$A$2:$V$921,BZ$1,FALSE))</f>
        <v>0</v>
      </c>
      <c r="CA19" s="10">
        <f>IF(VLOOKUP(ROUND(CONCATENATE($A19,CA$2),0),'Cadastro dos Padrões'!$A$2:$V$921,CA$1,FALSE)="","-",VLOOKUP(ROUND(CONCATENATE($A19,CA$2),0),'Cadastro dos Padrões'!$A$2:$V$921,CA$1,FALSE))</f>
        <v>0</v>
      </c>
      <c r="CB19" s="10">
        <f>IF(VLOOKUP(ROUND(CONCATENATE($A19,CB$2),0),'Cadastro dos Padrões'!$A$2:$V$921,CB$1,FALSE)="","-",VLOOKUP(ROUND(CONCATENATE($A19,CB$2),0),'Cadastro dos Padrões'!$A$2:$V$921,CB$1,FALSE))</f>
        <v>0</v>
      </c>
      <c r="CC19" s="10">
        <f>IF(VLOOKUP(ROUND(CONCATENATE($A19,CC$2),0),'Cadastro dos Padrões'!$A$2:$V$921,CC$1,FALSE)="","-",VLOOKUP(ROUND(CONCATENATE($A19,CC$2),0),'Cadastro dos Padrões'!$A$2:$V$921,CC$1,FALSE))</f>
        <v>0</v>
      </c>
      <c r="CD19" s="10">
        <f>IF(VLOOKUP(ROUND(CONCATENATE($A19,CD$2),0),'Cadastro dos Padrões'!$A$2:$V$921,CD$1,FALSE)="","-",VLOOKUP(ROUND(CONCATENATE($A19,CD$2),0),'Cadastro dos Padrões'!$A$2:$V$921,CD$1,FALSE))</f>
        <v>0</v>
      </c>
      <c r="CE19" s="10">
        <f>IF(VLOOKUP(ROUND(CONCATENATE($A19,CE$2),0),'Cadastro dos Padrões'!$A$2:$V$921,CE$1,FALSE)="","-",VLOOKUP(ROUND(CONCATENATE($A19,CE$2),0),'Cadastro dos Padrões'!$A$2:$V$921,CE$1,FALSE))</f>
        <v>0</v>
      </c>
      <c r="CF19" s="10">
        <f>IF(VLOOKUP(ROUND(CONCATENATE($A19,CF$2),0),'Cadastro dos Padrões'!$A$2:$V$921,CF$1,FALSE)="","-",VLOOKUP(ROUND(CONCATENATE($A19,CF$2),0),'Cadastro dos Padrões'!$A$2:$V$921,CF$1,FALSE))</f>
        <v>0</v>
      </c>
      <c r="CG19" s="10">
        <f>IF(VLOOKUP(ROUND(CONCATENATE($A19,CG$2),0),'Cadastro dos Padrões'!$A$2:$V$921,CG$1,FALSE)="","-",VLOOKUP(ROUND(CONCATENATE($A19,CG$2),0),'Cadastro dos Padrões'!$A$2:$V$921,CG$1,FALSE))</f>
        <v>0</v>
      </c>
      <c r="CH19" s="10">
        <f>IF(VLOOKUP(ROUND(CONCATENATE($A19,CH$2),0),'Cadastro dos Padrões'!$A$2:$V$921,CH$1,FALSE)="","-",VLOOKUP(ROUND(CONCATENATE($A19,CH$2),0),'Cadastro dos Padrões'!$A$2:$V$921,CH$1,FALSE))</f>
        <v>0</v>
      </c>
      <c r="CI19" s="10">
        <f>IF(VLOOKUP(ROUND(CONCATENATE($A19,CI$2),0),'Cadastro dos Padrões'!$A$2:$V$921,CI$1,FALSE)="","-",VLOOKUP(ROUND(CONCATENATE($A19,CI$2),0),'Cadastro dos Padrões'!$A$2:$V$921,CI$1,FALSE))</f>
        <v>0</v>
      </c>
    </row>
    <row r="20" spans="1:87" x14ac:dyDescent="0.3">
      <c r="A20" s="4">
        <v>15</v>
      </c>
      <c r="B20" s="10" t="str">
        <f>IF(VLOOKUP(ROUND(CONCATENATE($A20,B$2),0),'Cadastro dos Padrões'!$A$2:$V$921,B$1,FALSE)="","-",VLOOKUP(ROUND(CONCATENATE($A20,B$2),0),'Cadastro dos Padrões'!$A$2:$V$921,B$1,FALSE))</f>
        <v>M.MS.LM-005</v>
      </c>
      <c r="C20" s="10" t="str">
        <f>IF(VLOOKUP(ROUND(CONCATENATE($A20,C$2),0),'Cadastro dos Padrões'!$A$2:$V$921,C$1,FALSE)="","-",VLOOKUP(ROUND(CONCATENATE($A20,C$2),0),'Cadastro dos Padrões'!$A$2:$V$921,C$1,FALSE))</f>
        <v>Balança Eletrônica</v>
      </c>
      <c r="D20" s="10" t="str">
        <f>IF(VLOOKUP(ROUND(CONCATENATE($A20,D$2),0),'Cadastro dos Padrões'!$A$2:$V$921,D$1,FALSE)="","-",VLOOKUP(ROUND(CONCATENATE($A20,D$2),0),'Cadastro dos Padrões'!$A$2:$V$921,D$1,FALSE))</f>
        <v>Metrolab</v>
      </c>
      <c r="E20" s="10" t="str">
        <f>IF(VLOOKUP(ROUND(CONCATENATE($A20,E$2),0),'Cadastro dos Padrões'!$A$2:$V$921,E$1,FALSE)="","-",VLOOKUP(ROUND(CONCATENATE($A20,E$2),0),'Cadastro dos Padrões'!$A$2:$V$921,E$1,FALSE))</f>
        <v>RBC - CAL 0215</v>
      </c>
      <c r="F20" s="10" t="str">
        <f>IF(VLOOKUP(ROUND(CONCATENATE($A20,F$2),0),'Cadastro dos Padrões'!$A$2:$V$921,F$1,FALSE)="","-",VLOOKUP(ROUND(CONCATENATE($A20,F$2),0),'Cadastro dos Padrões'!$A$2:$V$921,F$1,FALSE))</f>
        <v>M0063/25</v>
      </c>
      <c r="G20" s="27">
        <f>IF(VLOOKUP(ROUND(CONCATENATE($A20,G$2),0),'Cadastro dos Padrões'!$A$2:$V$921,G$1,FALSE)="","-",VLOOKUP(ROUND(CONCATENATE($A20,G$2),0),'Cadastro dos Padrões'!$A$2:$V$921,G$1,FALSE))</f>
        <v>45887</v>
      </c>
      <c r="H20" s="29">
        <f>IF(VLOOKUP(ROUND(CONCATENATE($A20,H$2),0),'Cadastro dos Padrões'!$A$2:$V$921,H$1,FALSE)="","-",VLOOKUP(ROUND(CONCATENATE($A20,H$2),0),'Cadastro dos Padrões'!$A$2:$V$921,H$1,FALSE))</f>
        <v>46264</v>
      </c>
      <c r="I20" s="10" t="str">
        <f>IF(VLOOKUP(ROUND(CONCATENATE($A20,I$2),0),'Cadastro dos Padrões'!$A$2:$V$921,I$1,FALSE)="","-",VLOOKUP(ROUND(CONCATENATE($A20,I$2),0),'Cadastro dos Padrões'!$A$2:$V$921,I$1,FALSE))</f>
        <v>g</v>
      </c>
      <c r="J20" s="10">
        <f>IF(VLOOKUP(ROUND(CONCATENATE($A20,J$2),0),'Cadastro dos Padrões'!$A$2:$V$921,J$1,FALSE)="","-",VLOOKUP(ROUND(CONCATENATE($A20,J$2),0),'Cadastro dos Padrões'!$A$2:$V$921,J$1,FALSE))</f>
        <v>0.2</v>
      </c>
      <c r="K20" s="10">
        <f>IF(VLOOKUP(ROUND(CONCATENATE($A20,K$2),0),'Cadastro dos Padrões'!$A$2:$V$921,K$1,FALSE)="","-",VLOOKUP(ROUND(CONCATENATE($A20,K$2),0),'Cadastro dos Padrões'!$A$2:$V$921,K$1,FALSE))</f>
        <v>500</v>
      </c>
      <c r="L20" s="10">
        <f>IF(VLOOKUP(ROUND(CONCATENATE($A20,L$2),0),'Cadastro dos Padrões'!$A$2:$V$921,L$1,FALSE)="","-",VLOOKUP(ROUND(CONCATENATE($A20,L$2),0),'Cadastro dos Padrões'!$A$2:$V$921,L$1,FALSE))</f>
        <v>1E-3</v>
      </c>
      <c r="M20" s="10">
        <f>IF(VLOOKUP(ROUND(CONCATENATE($A20,M$2),0),'Cadastro dos Padrões'!$A$2:$V$921,M$1,FALSE)="","-",VLOOKUP(ROUND(CONCATENATE($A20,M$2),0),'Cadastro dos Padrões'!$A$2:$V$921,M$1,FALSE))</f>
        <v>9.9999999997635314E-4</v>
      </c>
      <c r="N20" s="10">
        <f>IF(VLOOKUP(ROUND(CONCATENATE($A20,N$2),0),'Cadastro dos Padrões'!$A$2:$V$921,N$1,FALSE)="","-",VLOOKUP(ROUND(CONCATENATE($A20,N$2),0),'Cadastro dos Padrões'!$A$2:$V$921,N$1,FALSE))</f>
        <v>3.0000000000000001E-3</v>
      </c>
      <c r="O20" s="10">
        <f>IF(VLOOKUP(ROUND(CONCATENATE($A20,O$2),0),'Cadastro dos Padrões'!$A$2:$V$921,O$1,FALSE)="","-",VLOOKUP(ROUND(CONCATENATE($A20,O$2),0),'Cadastro dos Padrões'!$A$2:$V$921,O$1,FALSE))</f>
        <v>1.9999999999527063E-3</v>
      </c>
      <c r="P20" s="28">
        <f>IF(VLOOKUP(ROUND(CONCATENATE($A20,P$2),0),'Cadastro dos Padrões'!$A$2:$V$921,P$1,FALSE)="","-",VLOOKUP(ROUND(CONCATENATE($A20,P$2),0),'Cadastro dos Padrões'!$A$2:$V$921,P$1,FALSE))</f>
        <v>5.0000000000238742E-4</v>
      </c>
      <c r="Q20" s="10">
        <f>IF($B20="-","-",VLOOKUP(ROUND(CONCATENATE($A20,Q$2),0),'Cadastro dos Padrões'!$A$2:$V$921,Q$1,FALSE))</f>
        <v>4.3675761203232355E-6</v>
      </c>
      <c r="R20" s="10">
        <f>IF($B20="-","-",VLOOKUP(ROUND(CONCATENATE($A20,R$2),0),'Cadastro dos Padrões'!$A$2:$V$921,R$1,FALSE))</f>
        <v>5</v>
      </c>
      <c r="S20" s="10">
        <f>IF($B20="-","-",VLOOKUP(ROUND(CONCATENATE($A20,S$2),0),'Cadastro dos Padrões'!$A$2:$V$921,S$1,FALSE))</f>
        <v>0</v>
      </c>
      <c r="T20" s="10">
        <f>IF($B20="-","-",VLOOKUP(ROUND(CONCATENATE($A20,T$2),0),'Cadastro dos Padrões'!$A$2:$V$921,T$1,FALSE))</f>
        <v>0</v>
      </c>
      <c r="U20" s="10">
        <f>IF($B20="-","-",VLOOKUP(ROUND(CONCATENATE($A20,U$2),0),'Cadastro dos Padrões'!$A$2:$V$921,U$1,FALSE))</f>
        <v>0</v>
      </c>
      <c r="V20" s="10">
        <f>IF($B20="-","-",VLOOKUP(ROUND(CONCATENATE($A20,V$2),0),'Cadastro dos Padrões'!$A$2:$V$921,V$1,FALSE))</f>
        <v>1.8234193130665115E-15</v>
      </c>
      <c r="W20" s="10">
        <f>IF($B20="-","-",VLOOKUP(ROUND(CONCATENATE($A20,W$2),0),'Cadastro dos Padrões'!$A$2:$V$921,W$1,FALSE))</f>
        <v>-1.7878289013572689E-12</v>
      </c>
      <c r="X20" s="10">
        <f>IF($B20="-","-",VLOOKUP(ROUND(CONCATENATE($A20,X$2),0),'Cadastro dos Padrões'!$A$2:$V$921,X$1,FALSE))</f>
        <v>5.267097679273311E-10</v>
      </c>
      <c r="Y20" s="10">
        <f>IF($B20="-","-",VLOOKUP(ROUND(CONCATENATE($A20,Y$2),0),'Cadastro dos Padrões'!$A$2:$V$921,Y$1,FALSE))</f>
        <v>-5.1321351189067656E-8</v>
      </c>
      <c r="Z20" s="10">
        <f>IF($B20="-","-",VLOOKUP(ROUND(CONCATENATE($A20,Z$2),0),'Cadastro dos Padrões'!$A$2:$V$921,Z$1,FALSE))</f>
        <v>1.0000015041251415</v>
      </c>
      <c r="AA20" s="10">
        <f>IF($B20="-","-",VLOOKUP(ROUND(CONCATENATE($A20,AA$2),0),'Cadastro dos Padrões'!$A$2:$V$921,AA$1,FALSE))</f>
        <v>-3.0184463320065413E-6</v>
      </c>
      <c r="AB20" s="10">
        <f>IF(VLOOKUP(ROUND(CONCATENATE($A20,AB$2),0),'Cadastro dos Padrões'!$A$2:$V$921,AB$1,FALSE)="","-",VLOOKUP(ROUND(CONCATENATE($A20,AB$2),0),'Cadastro dos Padrões'!$A$2:$V$921,AB$1,FALSE))</f>
        <v>0.2</v>
      </c>
      <c r="AC20" s="10">
        <f>IF(VLOOKUP(ROUND(CONCATENATE($A20,AC$2),0),'Cadastro dos Padrões'!$A$2:$V$921,AC$1,FALSE)="","-",VLOOKUP(ROUND(CONCATENATE($A20,AC$2),0),'Cadastro dos Padrões'!$A$2:$V$921,AC$1,FALSE))</f>
        <v>2E-3</v>
      </c>
      <c r="AD20" s="10">
        <f>IF(VLOOKUP(ROUND(CONCATENATE($A20,AD$2),0),'Cadastro dos Padrões'!$A$2:$V$921,AD$1,FALSE)="","-",VLOOKUP(ROUND(CONCATENATE($A20,AD$2),0),'Cadastro dos Padrões'!$A$2:$V$921,AD$1,FALSE))</f>
        <v>2</v>
      </c>
      <c r="AE20" s="10">
        <f>IF(VLOOKUP(ROUND(CONCATENATE($A20,AE$2),0),'Cadastro dos Padrões'!$A$2:$V$921,AE$1,FALSE)="","-",VLOOKUP(ROUND(CONCATENATE($A20,AE$2),0),'Cadastro dos Padrões'!$A$2:$V$921,AE$1,FALSE))</f>
        <v>1000000</v>
      </c>
      <c r="AF20" s="10">
        <f>IF(VLOOKUP(ROUND(CONCATENATE($A20,AF$2),0),'Cadastro dos Padrões'!$A$2:$V$921,AF$1,FALSE)="","-",VLOOKUP(ROUND(CONCATENATE($A20,AF$2),0),'Cadastro dos Padrões'!$A$2:$V$921,AF$1,FALSE))</f>
        <v>5</v>
      </c>
      <c r="AG20" s="10">
        <f>IF(VLOOKUP(ROUND(CONCATENATE($A20,AG$2),0),'Cadastro dos Padrões'!$A$2:$V$921,AG$1,FALSE)="","-",VLOOKUP(ROUND(CONCATENATE($A20,AG$2),0),'Cadastro dos Padrões'!$A$2:$V$921,AG$1,FALSE))</f>
        <v>2E-3</v>
      </c>
      <c r="AH20" s="10">
        <f>IF(VLOOKUP(ROUND(CONCATENATE($A20,AH$2),0),'Cadastro dos Padrões'!$A$2:$V$921,AH$1,FALSE)="","-",VLOOKUP(ROUND(CONCATENATE($A20,AH$2),0),'Cadastro dos Padrões'!$A$2:$V$921,AH$1,FALSE))</f>
        <v>2</v>
      </c>
      <c r="AI20" s="10">
        <f>IF(VLOOKUP(ROUND(CONCATENATE($A20,AI$2),0),'Cadastro dos Padrões'!$A$2:$V$921,AI$1,FALSE)="","-",VLOOKUP(ROUND(CONCATENATE($A20,AI$2),0),'Cadastro dos Padrões'!$A$2:$V$921,AI$1,FALSE))</f>
        <v>1000000</v>
      </c>
      <c r="AJ20" s="10">
        <f>IF(VLOOKUP(ROUND(CONCATENATE($A20,AJ$2),0),'Cadastro dos Padrões'!$A$2:$V$921,AJ$1,FALSE)="","-",VLOOKUP(ROUND(CONCATENATE($A20,AJ$2),0),'Cadastro dos Padrões'!$A$2:$V$921,AJ$1,FALSE))</f>
        <v>50</v>
      </c>
      <c r="AK20" s="10">
        <f>IF(VLOOKUP(ROUND(CONCATENATE($A20,AK$2),0),'Cadastro dos Padrões'!$A$2:$V$921,AK$1,FALSE)="","-",VLOOKUP(ROUND(CONCATENATE($A20,AK$2),0),'Cadastro dos Padrões'!$A$2:$V$921,AK$1,FALSE))</f>
        <v>2E-3</v>
      </c>
      <c r="AL20" s="10">
        <f>IF(VLOOKUP(ROUND(CONCATENATE($A20,AL$2),0),'Cadastro dos Padrões'!$A$2:$V$921,AL$1,FALSE)="","-",VLOOKUP(ROUND(CONCATENATE($A20,AL$2),0),'Cadastro dos Padrões'!$A$2:$V$921,AL$1,FALSE))</f>
        <v>2</v>
      </c>
      <c r="AM20" s="10">
        <f>IF(VLOOKUP(ROUND(CONCATENATE($A20,AM$2),0),'Cadastro dos Padrões'!$A$2:$V$921,AM$1,FALSE)="","-",VLOOKUP(ROUND(CONCATENATE($A20,AM$2),0),'Cadastro dos Padrões'!$A$2:$V$921,AM$1,FALSE))</f>
        <v>1000000</v>
      </c>
      <c r="AN20" s="10">
        <f>IF(VLOOKUP(ROUND(CONCATENATE($A20,AN$2),0),'Cadastro dos Padrões'!$A$2:$V$921,AN$1,FALSE)="","-",VLOOKUP(ROUND(CONCATENATE($A20,AN$2),0),'Cadastro dos Padrões'!$A$2:$V$921,AN$1,FALSE))</f>
        <v>100</v>
      </c>
      <c r="AO20" s="10">
        <f>IF(VLOOKUP(ROUND(CONCATENATE($A20,AO$2),0),'Cadastro dos Padrões'!$A$2:$V$921,AO$1,FALSE)="","-",VLOOKUP(ROUND(CONCATENATE($A20,AO$2),0),'Cadastro dos Padrões'!$A$2:$V$921,AO$1,FALSE))</f>
        <v>2E-3</v>
      </c>
      <c r="AP20" s="10">
        <f>IF(VLOOKUP(ROUND(CONCATENATE($A20,AP$2),0),'Cadastro dos Padrões'!$A$2:$V$921,AP$1,FALSE)="","-",VLOOKUP(ROUND(CONCATENATE($A20,AP$2),0),'Cadastro dos Padrões'!$A$2:$V$921,AP$1,FALSE))</f>
        <v>2</v>
      </c>
      <c r="AQ20" s="10">
        <f>IF(VLOOKUP(ROUND(CONCATENATE($A20,AQ$2),0),'Cadastro dos Padrões'!$A$2:$V$921,AQ$1,FALSE)="","-",VLOOKUP(ROUND(CONCATENATE($A20,AQ$2),0),'Cadastro dos Padrões'!$A$2:$V$921,AQ$1,FALSE))</f>
        <v>1000000</v>
      </c>
      <c r="AR20" s="10">
        <f>IF(VLOOKUP(ROUND(CONCATENATE($A20,AR$2),0),'Cadastro dos Padrões'!$A$2:$V$921,AR$1,FALSE)="","-",VLOOKUP(ROUND(CONCATENATE($A20,AR$2),0),'Cadastro dos Padrões'!$A$2:$V$921,AR$1,FALSE))</f>
        <v>300</v>
      </c>
      <c r="AS20" s="10">
        <f>IF(VLOOKUP(ROUND(CONCATENATE($A20,AS$2),0),'Cadastro dos Padrões'!$A$2:$V$921,AS$1,FALSE)="","-",VLOOKUP(ROUND(CONCATENATE($A20,AS$2),0),'Cadastro dos Padrões'!$A$2:$V$921,AS$1,FALSE))</f>
        <v>2E-3</v>
      </c>
      <c r="AT20" s="10">
        <f>IF(VLOOKUP(ROUND(CONCATENATE($A20,AT$2),0),'Cadastro dos Padrões'!$A$2:$V$921,AT$1,FALSE)="","-",VLOOKUP(ROUND(CONCATENATE($A20,AT$2),0),'Cadastro dos Padrões'!$A$2:$V$921,AT$1,FALSE))</f>
        <v>2</v>
      </c>
      <c r="AU20" s="10">
        <f>IF(VLOOKUP(ROUND(CONCATENATE($A20,AU$2),0),'Cadastro dos Padrões'!$A$2:$V$921,AU$1,FALSE)="","-",VLOOKUP(ROUND(CONCATENATE($A20,AU$2),0),'Cadastro dos Padrões'!$A$2:$V$921,AU$1,FALSE))</f>
        <v>1000000</v>
      </c>
      <c r="AV20" s="10">
        <f>IF(VLOOKUP(ROUND(CONCATENATE($A20,AV$2),0),'Cadastro dos Padrões'!$A$2:$V$921,AV$1,FALSE)="","-",VLOOKUP(ROUND(CONCATENATE($A20,AV$2),0),'Cadastro dos Padrões'!$A$2:$V$921,AV$1,FALSE))</f>
        <v>400</v>
      </c>
      <c r="AW20" s="10">
        <f>IF(VLOOKUP(ROUND(CONCATENATE($A20,AW$2),0),'Cadastro dos Padrões'!$A$2:$V$921,AW$1,FALSE)="","-",VLOOKUP(ROUND(CONCATENATE($A20,AW$2),0),'Cadastro dos Padrões'!$A$2:$V$921,AW$1,FALSE))</f>
        <v>3.0000000000000001E-3</v>
      </c>
      <c r="AX20" s="10">
        <f>IF(VLOOKUP(ROUND(CONCATENATE($A20,AX$2),0),'Cadastro dos Padrões'!$A$2:$V$921,AX$1,FALSE)="","-",VLOOKUP(ROUND(CONCATENATE($A20,AX$2),0),'Cadastro dos Padrões'!$A$2:$V$921,AX$1,FALSE))</f>
        <v>2</v>
      </c>
      <c r="AY20" s="10">
        <f>IF(VLOOKUP(ROUND(CONCATENATE($A20,AY$2),0),'Cadastro dos Padrões'!$A$2:$V$921,AY$1,FALSE)="","-",VLOOKUP(ROUND(CONCATENATE($A20,AY$2),0),'Cadastro dos Padrões'!$A$2:$V$921,AY$1,FALSE))</f>
        <v>1000000</v>
      </c>
      <c r="AZ20" s="10">
        <f>IF(VLOOKUP(ROUND(CONCATENATE($A20,AZ$2),0),'Cadastro dos Padrões'!$A$2:$V$921,AZ$1,FALSE)="","-",VLOOKUP(ROUND(CONCATENATE($A20,AZ$2),0),'Cadastro dos Padrões'!$A$2:$V$921,AZ$1,FALSE))</f>
        <v>500</v>
      </c>
      <c r="BA20" s="10">
        <f>IF(VLOOKUP(ROUND(CONCATENATE($A20,BA$2),0),'Cadastro dos Padrões'!$A$2:$V$921,BA$1,FALSE)="","-",VLOOKUP(ROUND(CONCATENATE($A20,BA$2),0),'Cadastro dos Padrões'!$A$2:$V$921,BA$1,FALSE))</f>
        <v>3.0000000000000001E-3</v>
      </c>
      <c r="BB20" s="10">
        <f>IF(VLOOKUP(ROUND(CONCATENATE($A20,BB$2),0),'Cadastro dos Padrões'!$A$2:$V$921,BB$1,FALSE)="","-",VLOOKUP(ROUND(CONCATENATE($A20,BB$2),0),'Cadastro dos Padrões'!$A$2:$V$921,BB$1,FALSE))</f>
        <v>2</v>
      </c>
      <c r="BC20" s="10">
        <f>IF(VLOOKUP(ROUND(CONCATENATE($A20,BC$2),0),'Cadastro dos Padrões'!$A$2:$V$921,BC$1,FALSE)="","-",VLOOKUP(ROUND(CONCATENATE($A20,BC$2),0),'Cadastro dos Padrões'!$A$2:$V$921,BC$1,FALSE))</f>
        <v>1000000</v>
      </c>
      <c r="BD20" s="10" t="str">
        <f>IF(VLOOKUP(ROUND(CONCATENATE($A20,BD$2),0),'Cadastro dos Padrões'!$A$2:$V$921,BD$1,FALSE)="","-",VLOOKUP(ROUND(CONCATENATE($A20,BD$2),0),'Cadastro dos Padrões'!$A$2:$V$921,BD$1,FALSE))</f>
        <v>-</v>
      </c>
      <c r="BE20" s="10" t="str">
        <f>IF(VLOOKUP(ROUND(CONCATENATE($A20,BE$2),0),'Cadastro dos Padrões'!$A$2:$V$921,BE$1,FALSE)="","-",VLOOKUP(ROUND(CONCATENATE($A20,BE$2),0),'Cadastro dos Padrões'!$A$2:$V$921,BE$1,FALSE))</f>
        <v>-</v>
      </c>
      <c r="BF20" s="10" t="str">
        <f>IF(VLOOKUP(ROUND(CONCATENATE($A20,BF$2),0),'Cadastro dos Padrões'!$A$2:$V$921,BF$1,FALSE)="","-",VLOOKUP(ROUND(CONCATENATE($A20,BF$2),0),'Cadastro dos Padrões'!$A$2:$V$921,BF$1,FALSE))</f>
        <v>-</v>
      </c>
      <c r="BG20" s="10" t="str">
        <f>IF(VLOOKUP(ROUND(CONCATENATE($A20,BG$2),0),'Cadastro dos Padrões'!$A$2:$V$921,BG$1,FALSE)="","-",VLOOKUP(ROUND(CONCATENATE($A20,BG$2),0),'Cadastro dos Padrões'!$A$2:$V$921,BG$1,FALSE))</f>
        <v>-</v>
      </c>
      <c r="BH20" s="10" t="str">
        <f>IF(VLOOKUP(ROUND(CONCATENATE($A20,BH$2),0),'Cadastro dos Padrões'!$A$2:$V$921,BH$1,FALSE)="","-",VLOOKUP(ROUND(CONCATENATE($A20,BH$2),0),'Cadastro dos Padrões'!$A$2:$V$921,BH$1,FALSE))</f>
        <v>-</v>
      </c>
      <c r="BI20" s="10" t="str">
        <f>IF(VLOOKUP(ROUND(CONCATENATE($A20,BI$2),0),'Cadastro dos Padrões'!$A$2:$V$921,BI$1,FALSE)="","-",VLOOKUP(ROUND(CONCATENATE($A20,BI$2),0),'Cadastro dos Padrões'!$A$2:$V$921,BI$1,FALSE))</f>
        <v>-</v>
      </c>
      <c r="BJ20" s="10" t="str">
        <f>IF(VLOOKUP(ROUND(CONCATENATE($A20,BJ$2),0),'Cadastro dos Padrões'!$A$2:$V$921,BJ$1,FALSE)="","-",VLOOKUP(ROUND(CONCATENATE($A20,BJ$2),0),'Cadastro dos Padrões'!$A$2:$V$921,BJ$1,FALSE))</f>
        <v>-</v>
      </c>
      <c r="BK20" s="10" t="str">
        <f>IF(VLOOKUP(ROUND(CONCATENATE($A20,BK$2),0),'Cadastro dos Padrões'!$A$2:$V$921,BK$1,FALSE)="","-",VLOOKUP(ROUND(CONCATENATE($A20,BK$2),0),'Cadastro dos Padrões'!$A$2:$V$921,BK$1,FALSE))</f>
        <v>-</v>
      </c>
      <c r="BL20" s="10" t="str">
        <f>IF(VLOOKUP(ROUND(CONCATENATE($A20,BL$2),0),'Cadastro dos Padrões'!$A$2:$V$921,BL$1,FALSE)="","-",VLOOKUP(ROUND(CONCATENATE($A20,BL$2),0),'Cadastro dos Padrões'!$A$2:$V$921,BL$1,FALSE))</f>
        <v>-</v>
      </c>
      <c r="BM20" s="10" t="str">
        <f>IF(VLOOKUP(ROUND(CONCATENATE($A20,BM$2),0),'Cadastro dos Padrões'!$A$2:$V$921,BM$1,FALSE)="","-",VLOOKUP(ROUND(CONCATENATE($A20,BM$2),0),'Cadastro dos Padrões'!$A$2:$V$921,BM$1,FALSE))</f>
        <v>-</v>
      </c>
      <c r="BN20" s="10" t="str">
        <f>IF(VLOOKUP(ROUND(CONCATENATE($A20,BN$2),0),'Cadastro dos Padrões'!$A$2:$V$921,BN$1,FALSE)="","-",VLOOKUP(ROUND(CONCATENATE($A20,BN$2),0),'Cadastro dos Padrões'!$A$2:$V$921,BN$1,FALSE))</f>
        <v>-</v>
      </c>
      <c r="BO20" s="10" t="str">
        <f>IF(VLOOKUP(ROUND(CONCATENATE($A20,BO$2),0),'Cadastro dos Padrões'!$A$2:$V$921,BO$1,FALSE)="","-",VLOOKUP(ROUND(CONCATENATE($A20,BO$2),0),'Cadastro dos Padrões'!$A$2:$V$921,BO$1,FALSE))</f>
        <v>-</v>
      </c>
      <c r="BP20" s="10">
        <f>IF(VLOOKUP(ROUND(CONCATENATE($A20,BP$2),0),'Cadastro dos Padrões'!$A$2:$V$921,BP$1,FALSE)="","-",VLOOKUP(ROUND(CONCATENATE($A20,BP$2),0),'Cadastro dos Padrões'!$A$2:$V$921,BP$1,FALSE))</f>
        <v>0</v>
      </c>
      <c r="BQ20" s="10">
        <f>IF(VLOOKUP(ROUND(CONCATENATE($A20,BQ$2),0),'Cadastro dos Padrões'!$A$2:$V$921,BQ$1,FALSE)="","-",VLOOKUP(ROUND(CONCATENATE($A20,BQ$2),0),'Cadastro dos Padrões'!$A$2:$V$921,BQ$1,FALSE))</f>
        <v>0</v>
      </c>
      <c r="BR20" s="10">
        <f>IF(VLOOKUP(ROUND(CONCATENATE($A20,BR$2),0),'Cadastro dos Padrões'!$A$2:$V$921,BR$1,FALSE)="","-",VLOOKUP(ROUND(CONCATENATE($A20,BR$2),0),'Cadastro dos Padrões'!$A$2:$V$921,BR$1,FALSE))</f>
        <v>0</v>
      </c>
      <c r="BS20" s="10">
        <f>IF(VLOOKUP(ROUND(CONCATENATE($A20,BS$2),0),'Cadastro dos Padrões'!$A$2:$V$921,BS$1,FALSE)="","-",VLOOKUP(ROUND(CONCATENATE($A20,BS$2),0),'Cadastro dos Padrões'!$A$2:$V$921,BS$1,FALSE))</f>
        <v>0</v>
      </c>
      <c r="BT20" s="10">
        <f>IF(VLOOKUP(ROUND(CONCATENATE($A20,BT$2),0),'Cadastro dos Padrões'!$A$2:$V$921,BT$1,FALSE)="","-",VLOOKUP(ROUND(CONCATENATE($A20,BT$2),0),'Cadastro dos Padrões'!$A$2:$V$921,BT$1,FALSE))</f>
        <v>0</v>
      </c>
      <c r="BU20" s="10">
        <f>IF(VLOOKUP(ROUND(CONCATENATE($A20,BU$2),0),'Cadastro dos Padrões'!$A$2:$V$921,BU$1,FALSE)="","-",VLOOKUP(ROUND(CONCATENATE($A20,BU$2),0),'Cadastro dos Padrões'!$A$2:$V$921,BU$1,FALSE))</f>
        <v>9.9999999997635314E-4</v>
      </c>
      <c r="BV20" s="10">
        <f>IF(VLOOKUP(ROUND(CONCATENATE($A20,BV$2),0),'Cadastro dos Padrões'!$A$2:$V$921,BV$1,FALSE)="","-",VLOOKUP(ROUND(CONCATENATE($A20,BV$2),0),'Cadastro dos Padrões'!$A$2:$V$921,BV$1,FALSE))</f>
        <v>9.9999999997635314E-4</v>
      </c>
      <c r="BW20" s="10">
        <f>IF(VLOOKUP(ROUND(CONCATENATE($A20,BW$2),0),'Cadastro dos Padrões'!$A$2:$V$921,BW$1,FALSE)="","-",VLOOKUP(ROUND(CONCATENATE($A20,BW$2),0),'Cadastro dos Padrões'!$A$2:$V$921,BW$1,FALSE))</f>
        <v>0</v>
      </c>
      <c r="BX20" s="10">
        <f>IF(VLOOKUP(ROUND(CONCATENATE($A20,BX$2),0),'Cadastro dos Padrões'!$A$2:$V$921,BX$1,FALSE)="","-",VLOOKUP(ROUND(CONCATENATE($A20,BX$2),0),'Cadastro dos Padrões'!$A$2:$V$921,BX$1,FALSE))</f>
        <v>0</v>
      </c>
      <c r="BY20" s="10">
        <f>IF(VLOOKUP(ROUND(CONCATENATE($A20,BY$2),0),'Cadastro dos Padrões'!$A$2:$V$921,BY$1,FALSE)="","-",VLOOKUP(ROUND(CONCATENATE($A20,BY$2),0),'Cadastro dos Padrões'!$A$2:$V$921,BY$1,FALSE))</f>
        <v>0</v>
      </c>
      <c r="BZ20" s="10">
        <f>IF(VLOOKUP(ROUND(CONCATENATE($A20,BZ$2),0),'Cadastro dos Padrões'!$A$2:$V$921,BZ$1,FALSE)="","-",VLOOKUP(ROUND(CONCATENATE($A20,BZ$2),0),'Cadastro dos Padrões'!$A$2:$V$921,BZ$1,FALSE))</f>
        <v>0</v>
      </c>
      <c r="CA20" s="10">
        <f>IF(VLOOKUP(ROUND(CONCATENATE($A20,CA$2),0),'Cadastro dos Padrões'!$A$2:$V$921,CA$1,FALSE)="","-",VLOOKUP(ROUND(CONCATENATE($A20,CA$2),0),'Cadastro dos Padrões'!$A$2:$V$921,CA$1,FALSE))</f>
        <v>0</v>
      </c>
      <c r="CB20" s="10">
        <f>IF(VLOOKUP(ROUND(CONCATENATE($A20,CB$2),0),'Cadastro dos Padrões'!$A$2:$V$921,CB$1,FALSE)="","-",VLOOKUP(ROUND(CONCATENATE($A20,CB$2),0),'Cadastro dos Padrões'!$A$2:$V$921,CB$1,FALSE))</f>
        <v>0</v>
      </c>
      <c r="CC20" s="10">
        <f>IF(VLOOKUP(ROUND(CONCATENATE($A20,CC$2),0),'Cadastro dos Padrões'!$A$2:$V$921,CC$1,FALSE)="","-",VLOOKUP(ROUND(CONCATENATE($A20,CC$2),0),'Cadastro dos Padrões'!$A$2:$V$921,CC$1,FALSE))</f>
        <v>0</v>
      </c>
      <c r="CD20" s="10">
        <f>IF(VLOOKUP(ROUND(CONCATENATE($A20,CD$2),0),'Cadastro dos Padrões'!$A$2:$V$921,CD$1,FALSE)="","-",VLOOKUP(ROUND(CONCATENATE($A20,CD$2),0),'Cadastro dos Padrões'!$A$2:$V$921,CD$1,FALSE))</f>
        <v>0</v>
      </c>
      <c r="CE20" s="10">
        <f>IF(VLOOKUP(ROUND(CONCATENATE($A20,CE$2),0),'Cadastro dos Padrões'!$A$2:$V$921,CE$1,FALSE)="","-",VLOOKUP(ROUND(CONCATENATE($A20,CE$2),0),'Cadastro dos Padrões'!$A$2:$V$921,CE$1,FALSE))</f>
        <v>-9.9999999997635314E-4</v>
      </c>
      <c r="CF20" s="10">
        <f>IF(VLOOKUP(ROUND(CONCATENATE($A20,CF$2),0),'Cadastro dos Padrões'!$A$2:$V$921,CF$1,FALSE)="","-",VLOOKUP(ROUND(CONCATENATE($A20,CF$2),0),'Cadastro dos Padrões'!$A$2:$V$921,CF$1,FALSE))</f>
        <v>-1.9999999999527063E-3</v>
      </c>
      <c r="CG20" s="10">
        <f>IF(VLOOKUP(ROUND(CONCATENATE($A20,CG$2),0),'Cadastro dos Padrões'!$A$2:$V$921,CG$1,FALSE)="","-",VLOOKUP(ROUND(CONCATENATE($A20,CG$2),0),'Cadastro dos Padrões'!$A$2:$V$921,CG$1,FALSE))</f>
        <v>0</v>
      </c>
      <c r="CH20" s="10">
        <f>IF(VLOOKUP(ROUND(CONCATENATE($A20,CH$2),0),'Cadastro dos Padrões'!$A$2:$V$921,CH$1,FALSE)="","-",VLOOKUP(ROUND(CONCATENATE($A20,CH$2),0),'Cadastro dos Padrões'!$A$2:$V$921,CH$1,FALSE))</f>
        <v>0</v>
      </c>
      <c r="CI20" s="10">
        <f>IF(VLOOKUP(ROUND(CONCATENATE($A20,CI$2),0),'Cadastro dos Padrões'!$A$2:$V$921,CI$1,FALSE)="","-",VLOOKUP(ROUND(CONCATENATE($A20,CI$2),0),'Cadastro dos Padrões'!$A$2:$V$921,CI$1,FALSE))</f>
        <v>0</v>
      </c>
    </row>
    <row r="21" spans="1:87" x14ac:dyDescent="0.3">
      <c r="A21" s="4">
        <v>16</v>
      </c>
      <c r="B21" s="10" t="str">
        <f>IF(VLOOKUP(ROUND(CONCATENATE($A21,B$2),0),'Cadastro dos Padrões'!$A$2:$V$921,B$1,FALSE)="","-",VLOOKUP(ROUND(CONCATENATE($A21,B$2),0),'Cadastro dos Padrões'!$A$2:$V$921,B$1,FALSE))</f>
        <v>M.MS.LM-006</v>
      </c>
      <c r="C21" s="10" t="str">
        <f>IF(VLOOKUP(ROUND(CONCATENATE($A21,C$2),0),'Cadastro dos Padrões'!$A$2:$V$921,C$1,FALSE)="","-",VLOOKUP(ROUND(CONCATENATE($A21,C$2),0),'Cadastro dos Padrões'!$A$2:$V$921,C$1,FALSE))</f>
        <v>Balança Eletrônica</v>
      </c>
      <c r="D21" s="10" t="str">
        <f>IF(VLOOKUP(ROUND(CONCATENATE($A21,D$2),0),'Cadastro dos Padrões'!$A$2:$V$921,D$1,FALSE)="","-",VLOOKUP(ROUND(CONCATENATE($A21,D$2),0),'Cadastro dos Padrões'!$A$2:$V$921,D$1,FALSE))</f>
        <v>Metrolab</v>
      </c>
      <c r="E21" s="10" t="str">
        <f>IF(VLOOKUP(ROUND(CONCATENATE($A21,E$2),0),'Cadastro dos Padrões'!$A$2:$V$921,E$1,FALSE)="","-",VLOOKUP(ROUND(CONCATENATE($A21,E$2),0),'Cadastro dos Padrões'!$A$2:$V$921,E$1,FALSE))</f>
        <v>RBC - CAL 0215</v>
      </c>
      <c r="F21" s="10" t="str">
        <f>IF(VLOOKUP(ROUND(CONCATENATE($A21,F$2),0),'Cadastro dos Padrões'!$A$2:$V$921,F$1,FALSE)="","-",VLOOKUP(ROUND(CONCATENATE($A21,F$2),0),'Cadastro dos Padrões'!$A$2:$V$921,F$1,FALSE))</f>
        <v>M0064/25</v>
      </c>
      <c r="G21" s="27">
        <f>IF(VLOOKUP(ROUND(CONCATENATE($A21,G$2),0),'Cadastro dos Padrões'!$A$2:$V$921,G$1,FALSE)="","-",VLOOKUP(ROUND(CONCATENATE($A21,G$2),0),'Cadastro dos Padrões'!$A$2:$V$921,G$1,FALSE))</f>
        <v>45887</v>
      </c>
      <c r="H21" s="29">
        <f>IF(VLOOKUP(ROUND(CONCATENATE($A21,H$2),0),'Cadastro dos Padrões'!$A$2:$V$921,H$1,FALSE)="","-",VLOOKUP(ROUND(CONCATENATE($A21,H$2),0),'Cadastro dos Padrões'!$A$2:$V$921,H$1,FALSE))</f>
        <v>46264</v>
      </c>
      <c r="I21" s="10" t="str">
        <f>IF(VLOOKUP(ROUND(CONCATENATE($A21,I$2),0),'Cadastro dos Padrões'!$A$2:$V$921,I$1,FALSE)="","-",VLOOKUP(ROUND(CONCATENATE($A21,I$2),0),'Cadastro dos Padrões'!$A$2:$V$921,I$1,FALSE))</f>
        <v>g</v>
      </c>
      <c r="J21" s="10">
        <f>IF(VLOOKUP(ROUND(CONCATENATE($A21,J$2),0),'Cadastro dos Padrões'!$A$2:$V$921,J$1,FALSE)="","-",VLOOKUP(ROUND(CONCATENATE($A21,J$2),0),'Cadastro dos Padrões'!$A$2:$V$921,J$1,FALSE))</f>
        <v>1</v>
      </c>
      <c r="K21" s="10">
        <f>IF(VLOOKUP(ROUND(CONCATENATE($A21,K$2),0),'Cadastro dos Padrões'!$A$2:$V$921,K$1,FALSE)="","-",VLOOKUP(ROUND(CONCATENATE($A21,K$2),0),'Cadastro dos Padrões'!$A$2:$V$921,K$1,FALSE))</f>
        <v>2000</v>
      </c>
      <c r="L21" s="10">
        <f>IF(VLOOKUP(ROUND(CONCATENATE($A21,L$2),0),'Cadastro dos Padrões'!$A$2:$V$921,L$1,FALSE)="","-",VLOOKUP(ROUND(CONCATENATE($A21,L$2),0),'Cadastro dos Padrões'!$A$2:$V$921,L$1,FALSE))</f>
        <v>0.01</v>
      </c>
      <c r="M21" s="10">
        <f>IF(VLOOKUP(ROUND(CONCATENATE($A21,M$2),0),'Cadastro dos Padrões'!$A$2:$V$921,M$1,FALSE)="","-",VLOOKUP(ROUND(CONCATENATE($A21,M$2),0),'Cadastro dos Padrões'!$A$2:$V$921,M$1,FALSE))</f>
        <v>2.9999999999972715E-2</v>
      </c>
      <c r="N21" s="10">
        <f>IF(VLOOKUP(ROUND(CONCATENATE($A21,N$2),0),'Cadastro dos Padrões'!$A$2:$V$921,N$1,FALSE)="","-",VLOOKUP(ROUND(CONCATENATE($A21,N$2),0),'Cadastro dos Padrões'!$A$2:$V$921,N$1,FALSE))</f>
        <v>0.04</v>
      </c>
      <c r="O21" s="10">
        <f>IF(VLOOKUP(ROUND(CONCATENATE($A21,O$2),0),'Cadastro dos Padrões'!$A$2:$V$921,O$1,FALSE)="","-",VLOOKUP(ROUND(CONCATENATE($A21,O$2),0),'Cadastro dos Padrões'!$A$2:$V$921,O$1,FALSE))</f>
        <v>4.9999999999954525E-2</v>
      </c>
      <c r="P21" s="28">
        <f>IF(VLOOKUP(ROUND(CONCATENATE($A21,P$2),0),'Cadastro dos Padrões'!$A$2:$V$921,P$1,FALSE)="","-",VLOOKUP(ROUND(CONCATENATE($A21,P$2),0),'Cadastro dos Padrões'!$A$2:$V$921,P$1,FALSE))</f>
        <v>4.9999999999954525E-3</v>
      </c>
      <c r="Q21" s="10">
        <f>IF($B21="-","-",VLOOKUP(ROUND(CONCATENATE($A21,Q$2),0),'Cadastro dos Padrões'!$A$2:$V$921,Q$1,FALSE))</f>
        <v>9.5842302412663116E-5</v>
      </c>
      <c r="R21" s="10">
        <f>IF($B21="-","-",VLOOKUP(ROUND(CONCATENATE($A21,R$2),0),'Cadastro dos Padrões'!$A$2:$V$921,R$1,FALSE))</f>
        <v>5</v>
      </c>
      <c r="S21" s="10">
        <f>IF($B21="-","-",VLOOKUP(ROUND(CONCATENATE($A21,S$2),0),'Cadastro dos Padrões'!$A$2:$V$921,S$1,FALSE))</f>
        <v>0</v>
      </c>
      <c r="T21" s="10">
        <f>IF($B21="-","-",VLOOKUP(ROUND(CONCATENATE($A21,T$2),0),'Cadastro dos Padrões'!$A$2:$V$921,T$1,FALSE))</f>
        <v>0</v>
      </c>
      <c r="U21" s="10">
        <f>IF($B21="-","-",VLOOKUP(ROUND(CONCATENATE($A21,U$2),0),'Cadastro dos Padrões'!$A$2:$V$921,U$1,FALSE))</f>
        <v>0</v>
      </c>
      <c r="V21" s="10">
        <f>IF($B21="-","-",VLOOKUP(ROUND(CONCATENATE($A21,V$2),0),'Cadastro dos Padrões'!$A$2:$V$921,V$1,FALSE))</f>
        <v>4.6697931588906474E-17</v>
      </c>
      <c r="W21" s="10">
        <f>IF($B21="-","-",VLOOKUP(ROUND(CONCATENATE($A21,W$2),0),'Cadastro dos Padrões'!$A$2:$V$921,W$1,FALSE))</f>
        <v>-2.2021610792121316E-13</v>
      </c>
      <c r="X21" s="10">
        <f>IF($B21="-","-",VLOOKUP(ROUND(CONCATENATE($A21,X$2),0),'Cadastro dos Padrões'!$A$2:$V$921,X$1,FALSE))</f>
        <v>3.4223244945612163E-10</v>
      </c>
      <c r="Y21" s="10">
        <f>IF($B21="-","-",VLOOKUP(ROUND(CONCATENATE($A21,Y$2),0),'Cadastro dos Padrões'!$A$2:$V$921,Y$1,FALSE))</f>
        <v>-1.9569339302521538E-7</v>
      </c>
      <c r="Z21" s="10">
        <f>IF($B21="-","-",VLOOKUP(ROUND(CONCATENATE($A21,Z$2),0),'Cadastro dos Padrões'!$A$2:$V$921,Z$1,FALSE))</f>
        <v>1.0000170582331884</v>
      </c>
      <c r="AA21" s="10">
        <f>IF($B21="-","-",VLOOKUP(ROUND(CONCATENATE($A21,AA$2),0),'Cadastro dos Padrões'!$A$2:$V$921,AA$1,FALSE))</f>
        <v>9.9205111556049941E-3</v>
      </c>
      <c r="AB21" s="10">
        <f>IF(VLOOKUP(ROUND(CONCATENATE($A21,AB$2),0),'Cadastro dos Padrões'!$A$2:$V$921,AB$1,FALSE)="","-",VLOOKUP(ROUND(CONCATENATE($A21,AB$2),0),'Cadastro dos Padrões'!$A$2:$V$921,AB$1,FALSE))</f>
        <v>1</v>
      </c>
      <c r="AC21" s="10">
        <f>IF(VLOOKUP(ROUND(CONCATENATE($A21,AC$2),0),'Cadastro dos Padrões'!$A$2:$V$921,AC$1,FALSE)="","-",VLOOKUP(ROUND(CONCATENATE($A21,AC$2),0),'Cadastro dos Padrões'!$A$2:$V$921,AC$1,FALSE))</f>
        <v>0.02</v>
      </c>
      <c r="AD21" s="10">
        <f>IF(VLOOKUP(ROUND(CONCATENATE($A21,AD$2),0),'Cadastro dos Padrões'!$A$2:$V$921,AD$1,FALSE)="","-",VLOOKUP(ROUND(CONCATENATE($A21,AD$2),0),'Cadastro dos Padrões'!$A$2:$V$921,AD$1,FALSE))</f>
        <v>2</v>
      </c>
      <c r="AE21" s="10">
        <f>IF(VLOOKUP(ROUND(CONCATENATE($A21,AE$2),0),'Cadastro dos Padrões'!$A$2:$V$921,AE$1,FALSE)="","-",VLOOKUP(ROUND(CONCATENATE($A21,AE$2),0),'Cadastro dos Padrões'!$A$2:$V$921,AE$1,FALSE))</f>
        <v>1000000</v>
      </c>
      <c r="AF21" s="10">
        <f>IF(VLOOKUP(ROUND(CONCATENATE($A21,AF$2),0),'Cadastro dos Padrões'!$A$2:$V$921,AF$1,FALSE)="","-",VLOOKUP(ROUND(CONCATENATE($A21,AF$2),0),'Cadastro dos Padrões'!$A$2:$V$921,AF$1,FALSE))</f>
        <v>10</v>
      </c>
      <c r="AG21" s="10">
        <f>IF(VLOOKUP(ROUND(CONCATENATE($A21,AG$2),0),'Cadastro dos Padrões'!$A$2:$V$921,AG$1,FALSE)="","-",VLOOKUP(ROUND(CONCATENATE($A21,AG$2),0),'Cadastro dos Padrões'!$A$2:$V$921,AG$1,FALSE))</f>
        <v>0.02</v>
      </c>
      <c r="AH21" s="10">
        <f>IF(VLOOKUP(ROUND(CONCATENATE($A21,AH$2),0),'Cadastro dos Padrões'!$A$2:$V$921,AH$1,FALSE)="","-",VLOOKUP(ROUND(CONCATENATE($A21,AH$2),0),'Cadastro dos Padrões'!$A$2:$V$921,AH$1,FALSE))</f>
        <v>2</v>
      </c>
      <c r="AI21" s="10">
        <f>IF(VLOOKUP(ROUND(CONCATENATE($A21,AI$2),0),'Cadastro dos Padrões'!$A$2:$V$921,AI$1,FALSE)="","-",VLOOKUP(ROUND(CONCATENATE($A21,AI$2),0),'Cadastro dos Padrões'!$A$2:$V$921,AI$1,FALSE))</f>
        <v>1000000</v>
      </c>
      <c r="AJ21" s="10">
        <f>IF(VLOOKUP(ROUND(CONCATENATE($A21,AJ$2),0),'Cadastro dos Padrões'!$A$2:$V$921,AJ$1,FALSE)="","-",VLOOKUP(ROUND(CONCATENATE($A21,AJ$2),0),'Cadastro dos Padrões'!$A$2:$V$921,AJ$1,FALSE))</f>
        <v>100</v>
      </c>
      <c r="AK21" s="10">
        <f>IF(VLOOKUP(ROUND(CONCATENATE($A21,AK$2),0),'Cadastro dos Padrões'!$A$2:$V$921,AK$1,FALSE)="","-",VLOOKUP(ROUND(CONCATENATE($A21,AK$2),0),'Cadastro dos Padrões'!$A$2:$V$921,AK$1,FALSE))</f>
        <v>0.02</v>
      </c>
      <c r="AL21" s="10">
        <f>IF(VLOOKUP(ROUND(CONCATENATE($A21,AL$2),0),'Cadastro dos Padrões'!$A$2:$V$921,AL$1,FALSE)="","-",VLOOKUP(ROUND(CONCATENATE($A21,AL$2),0),'Cadastro dos Padrões'!$A$2:$V$921,AL$1,FALSE))</f>
        <v>2</v>
      </c>
      <c r="AM21" s="10">
        <f>IF(VLOOKUP(ROUND(CONCATENATE($A21,AM$2),0),'Cadastro dos Padrões'!$A$2:$V$921,AM$1,FALSE)="","-",VLOOKUP(ROUND(CONCATENATE($A21,AM$2),0),'Cadastro dos Padrões'!$A$2:$V$921,AM$1,FALSE))</f>
        <v>1000000</v>
      </c>
      <c r="AN21" s="10">
        <f>IF(VLOOKUP(ROUND(CONCATENATE($A21,AN$2),0),'Cadastro dos Padrões'!$A$2:$V$921,AN$1,FALSE)="","-",VLOOKUP(ROUND(CONCATENATE($A21,AN$2),0),'Cadastro dos Padrões'!$A$2:$V$921,AN$1,FALSE))</f>
        <v>500</v>
      </c>
      <c r="AO21" s="10">
        <f>IF(VLOOKUP(ROUND(CONCATENATE($A21,AO$2),0),'Cadastro dos Padrões'!$A$2:$V$921,AO$1,FALSE)="","-",VLOOKUP(ROUND(CONCATENATE($A21,AO$2),0),'Cadastro dos Padrões'!$A$2:$V$921,AO$1,FALSE))</f>
        <v>0.02</v>
      </c>
      <c r="AP21" s="10">
        <f>IF(VLOOKUP(ROUND(CONCATENATE($A21,AP$2),0),'Cadastro dos Padrões'!$A$2:$V$921,AP$1,FALSE)="","-",VLOOKUP(ROUND(CONCATENATE($A21,AP$2),0),'Cadastro dos Padrões'!$A$2:$V$921,AP$1,FALSE))</f>
        <v>2</v>
      </c>
      <c r="AQ21" s="10">
        <f>IF(VLOOKUP(ROUND(CONCATENATE($A21,AQ$2),0),'Cadastro dos Padrões'!$A$2:$V$921,AQ$1,FALSE)="","-",VLOOKUP(ROUND(CONCATENATE($A21,AQ$2),0),'Cadastro dos Padrões'!$A$2:$V$921,AQ$1,FALSE))</f>
        <v>1000000</v>
      </c>
      <c r="AR21" s="10">
        <f>IF(VLOOKUP(ROUND(CONCATENATE($A21,AR$2),0),'Cadastro dos Padrões'!$A$2:$V$921,AR$1,FALSE)="","-",VLOOKUP(ROUND(CONCATENATE($A21,AR$2),0),'Cadastro dos Padrões'!$A$2:$V$921,AR$1,FALSE))</f>
        <v>1000</v>
      </c>
      <c r="AS21" s="10">
        <f>IF(VLOOKUP(ROUND(CONCATENATE($A21,AS$2),0),'Cadastro dos Padrões'!$A$2:$V$921,AS$1,FALSE)="","-",VLOOKUP(ROUND(CONCATENATE($A21,AS$2),0),'Cadastro dos Padrões'!$A$2:$V$921,AS$1,FALSE))</f>
        <v>0.03</v>
      </c>
      <c r="AT21" s="10">
        <f>IF(VLOOKUP(ROUND(CONCATENATE($A21,AT$2),0),'Cadastro dos Padrões'!$A$2:$V$921,AT$1,FALSE)="","-",VLOOKUP(ROUND(CONCATENATE($A21,AT$2),0),'Cadastro dos Padrões'!$A$2:$V$921,AT$1,FALSE))</f>
        <v>2</v>
      </c>
      <c r="AU21" s="10">
        <f>IF(VLOOKUP(ROUND(CONCATENATE($A21,AU$2),0),'Cadastro dos Padrões'!$A$2:$V$921,AU$1,FALSE)="","-",VLOOKUP(ROUND(CONCATENATE($A21,AU$2),0),'Cadastro dos Padrões'!$A$2:$V$921,AU$1,FALSE))</f>
        <v>1000000</v>
      </c>
      <c r="AV21" s="10">
        <f>IF(VLOOKUP(ROUND(CONCATENATE($A21,AV$2),0),'Cadastro dos Padrões'!$A$2:$V$921,AV$1,FALSE)="","-",VLOOKUP(ROUND(CONCATENATE($A21,AV$2),0),'Cadastro dos Padrões'!$A$2:$V$921,AV$1,FALSE))</f>
        <v>1500</v>
      </c>
      <c r="AW21" s="10">
        <f>IF(VLOOKUP(ROUND(CONCATENATE($A21,AW$2),0),'Cadastro dos Padrões'!$A$2:$V$921,AW$1,FALSE)="","-",VLOOKUP(ROUND(CONCATENATE($A21,AW$2),0),'Cadastro dos Padrões'!$A$2:$V$921,AW$1,FALSE))</f>
        <v>0.03</v>
      </c>
      <c r="AX21" s="10">
        <f>IF(VLOOKUP(ROUND(CONCATENATE($A21,AX$2),0),'Cadastro dos Padrões'!$A$2:$V$921,AX$1,FALSE)="","-",VLOOKUP(ROUND(CONCATENATE($A21,AX$2),0),'Cadastro dos Padrões'!$A$2:$V$921,AX$1,FALSE))</f>
        <v>2</v>
      </c>
      <c r="AY21" s="10">
        <f>IF(VLOOKUP(ROUND(CONCATENATE($A21,AY$2),0),'Cadastro dos Padrões'!$A$2:$V$921,AY$1,FALSE)="","-",VLOOKUP(ROUND(CONCATENATE($A21,AY$2),0),'Cadastro dos Padrões'!$A$2:$V$921,AY$1,FALSE))</f>
        <v>1000000</v>
      </c>
      <c r="AZ21" s="10">
        <f>IF(VLOOKUP(ROUND(CONCATENATE($A21,AZ$2),0),'Cadastro dos Padrões'!$A$2:$V$921,AZ$1,FALSE)="","-",VLOOKUP(ROUND(CONCATENATE($A21,AZ$2),0),'Cadastro dos Padrões'!$A$2:$V$921,AZ$1,FALSE))</f>
        <v>2000</v>
      </c>
      <c r="BA21" s="10">
        <f>IF(VLOOKUP(ROUND(CONCATENATE($A21,BA$2),0),'Cadastro dos Padrões'!$A$2:$V$921,BA$1,FALSE)="","-",VLOOKUP(ROUND(CONCATENATE($A21,BA$2),0),'Cadastro dos Padrões'!$A$2:$V$921,BA$1,FALSE))</f>
        <v>0.04</v>
      </c>
      <c r="BB21" s="10">
        <f>IF(VLOOKUP(ROUND(CONCATENATE($A21,BB$2),0),'Cadastro dos Padrões'!$A$2:$V$921,BB$1,FALSE)="","-",VLOOKUP(ROUND(CONCATENATE($A21,BB$2),0),'Cadastro dos Padrões'!$A$2:$V$921,BB$1,FALSE))</f>
        <v>2</v>
      </c>
      <c r="BC21" s="10">
        <f>IF(VLOOKUP(ROUND(CONCATENATE($A21,BC$2),0),'Cadastro dos Padrões'!$A$2:$V$921,BC$1,FALSE)="","-",VLOOKUP(ROUND(CONCATENATE($A21,BC$2),0),'Cadastro dos Padrões'!$A$2:$V$921,BC$1,FALSE))</f>
        <v>1000000</v>
      </c>
      <c r="BD21" s="10" t="str">
        <f>IF(VLOOKUP(ROUND(CONCATENATE($A21,BD$2),0),'Cadastro dos Padrões'!$A$2:$V$921,BD$1,FALSE)="","-",VLOOKUP(ROUND(CONCATENATE($A21,BD$2),0),'Cadastro dos Padrões'!$A$2:$V$921,BD$1,FALSE))</f>
        <v>-</v>
      </c>
      <c r="BE21" s="10" t="str">
        <f>IF(VLOOKUP(ROUND(CONCATENATE($A21,BE$2),0),'Cadastro dos Padrões'!$A$2:$V$921,BE$1,FALSE)="","-",VLOOKUP(ROUND(CONCATENATE($A21,BE$2),0),'Cadastro dos Padrões'!$A$2:$V$921,BE$1,FALSE))</f>
        <v>-</v>
      </c>
      <c r="BF21" s="10" t="str">
        <f>IF(VLOOKUP(ROUND(CONCATENATE($A21,BF$2),0),'Cadastro dos Padrões'!$A$2:$V$921,BF$1,FALSE)="","-",VLOOKUP(ROUND(CONCATENATE($A21,BF$2),0),'Cadastro dos Padrões'!$A$2:$V$921,BF$1,FALSE))</f>
        <v>-</v>
      </c>
      <c r="BG21" s="10" t="str">
        <f>IF(VLOOKUP(ROUND(CONCATENATE($A21,BG$2),0),'Cadastro dos Padrões'!$A$2:$V$921,BG$1,FALSE)="","-",VLOOKUP(ROUND(CONCATENATE($A21,BG$2),0),'Cadastro dos Padrões'!$A$2:$V$921,BG$1,FALSE))</f>
        <v>-</v>
      </c>
      <c r="BH21" s="10" t="str">
        <f>IF(VLOOKUP(ROUND(CONCATENATE($A21,BH$2),0),'Cadastro dos Padrões'!$A$2:$V$921,BH$1,FALSE)="","-",VLOOKUP(ROUND(CONCATENATE($A21,BH$2),0),'Cadastro dos Padrões'!$A$2:$V$921,BH$1,FALSE))</f>
        <v>-</v>
      </c>
      <c r="BI21" s="10" t="str">
        <f>IF(VLOOKUP(ROUND(CONCATENATE($A21,BI$2),0),'Cadastro dos Padrões'!$A$2:$V$921,BI$1,FALSE)="","-",VLOOKUP(ROUND(CONCATENATE($A21,BI$2),0),'Cadastro dos Padrões'!$A$2:$V$921,BI$1,FALSE))</f>
        <v>-</v>
      </c>
      <c r="BJ21" s="10" t="str">
        <f>IF(VLOOKUP(ROUND(CONCATENATE($A21,BJ$2),0),'Cadastro dos Padrões'!$A$2:$V$921,BJ$1,FALSE)="","-",VLOOKUP(ROUND(CONCATENATE($A21,BJ$2),0),'Cadastro dos Padrões'!$A$2:$V$921,BJ$1,FALSE))</f>
        <v>-</v>
      </c>
      <c r="BK21" s="10" t="str">
        <f>IF(VLOOKUP(ROUND(CONCATENATE($A21,BK$2),0),'Cadastro dos Padrões'!$A$2:$V$921,BK$1,FALSE)="","-",VLOOKUP(ROUND(CONCATENATE($A21,BK$2),0),'Cadastro dos Padrões'!$A$2:$V$921,BK$1,FALSE))</f>
        <v>-</v>
      </c>
      <c r="BL21" s="10" t="str">
        <f>IF(VLOOKUP(ROUND(CONCATENATE($A21,BL$2),0),'Cadastro dos Padrões'!$A$2:$V$921,BL$1,FALSE)="","-",VLOOKUP(ROUND(CONCATENATE($A21,BL$2),0),'Cadastro dos Padrões'!$A$2:$V$921,BL$1,FALSE))</f>
        <v>-</v>
      </c>
      <c r="BM21" s="10" t="str">
        <f>IF(VLOOKUP(ROUND(CONCATENATE($A21,BM$2),0),'Cadastro dos Padrões'!$A$2:$V$921,BM$1,FALSE)="","-",VLOOKUP(ROUND(CONCATENATE($A21,BM$2),0),'Cadastro dos Padrões'!$A$2:$V$921,BM$1,FALSE))</f>
        <v>-</v>
      </c>
      <c r="BN21" s="10" t="str">
        <f>IF(VLOOKUP(ROUND(CONCATENATE($A21,BN$2),0),'Cadastro dos Padrões'!$A$2:$V$921,BN$1,FALSE)="","-",VLOOKUP(ROUND(CONCATENATE($A21,BN$2),0),'Cadastro dos Padrões'!$A$2:$V$921,BN$1,FALSE))</f>
        <v>-</v>
      </c>
      <c r="BO21" s="10" t="str">
        <f>IF(VLOOKUP(ROUND(CONCATENATE($A21,BO$2),0),'Cadastro dos Padrões'!$A$2:$V$921,BO$1,FALSE)="","-",VLOOKUP(ROUND(CONCATENATE($A21,BO$2),0),'Cadastro dos Padrões'!$A$2:$V$921,BO$1,FALSE))</f>
        <v>-</v>
      </c>
      <c r="BP21" s="10">
        <f>IF(VLOOKUP(ROUND(CONCATENATE($A21,BP$2),0),'Cadastro dos Padrões'!$A$2:$V$921,BP$1,FALSE)="","-",VLOOKUP(ROUND(CONCATENATE($A21,BP$2),0),'Cadastro dos Padrões'!$A$2:$V$921,BP$1,FALSE))</f>
        <v>-1.0000000000000009E-2</v>
      </c>
      <c r="BQ21" s="10">
        <f>IF(VLOOKUP(ROUND(CONCATENATE($A21,BQ$2),0),'Cadastro dos Padrões'!$A$2:$V$921,BQ$1,FALSE)="","-",VLOOKUP(ROUND(CONCATENATE($A21,BQ$2),0),'Cadastro dos Padrões'!$A$2:$V$921,BQ$1,FALSE))</f>
        <v>-9.9999999999997868E-3</v>
      </c>
      <c r="BR21" s="10">
        <f>IF(VLOOKUP(ROUND(CONCATENATE($A21,BR$2),0),'Cadastro dos Padrões'!$A$2:$V$921,BR$1,FALSE)="","-",VLOOKUP(ROUND(CONCATENATE($A21,BR$2),0),'Cadastro dos Padrões'!$A$2:$V$921,BR$1,FALSE))</f>
        <v>-1.0000000000005116E-2</v>
      </c>
      <c r="BS21" s="10">
        <f>IF(VLOOKUP(ROUND(CONCATENATE($A21,BS$2),0),'Cadastro dos Padrões'!$A$2:$V$921,BS$1,FALSE)="","-",VLOOKUP(ROUND(CONCATENATE($A21,BS$2),0),'Cadastro dos Padrões'!$A$2:$V$921,BS$1,FALSE))</f>
        <v>0</v>
      </c>
      <c r="BT21" s="10">
        <f>IF(VLOOKUP(ROUND(CONCATENATE($A21,BT$2),0),'Cadastro dos Padrões'!$A$2:$V$921,BT$1,FALSE)="","-",VLOOKUP(ROUND(CONCATENATE($A21,BT$2),0),'Cadastro dos Padrões'!$A$2:$V$921,BT$1,FALSE))</f>
        <v>0</v>
      </c>
      <c r="BU21" s="10">
        <f>IF(VLOOKUP(ROUND(CONCATENATE($A21,BU$2),0),'Cadastro dos Padrões'!$A$2:$V$921,BU$1,FALSE)="","-",VLOOKUP(ROUND(CONCATENATE($A21,BU$2),0),'Cadastro dos Padrões'!$A$2:$V$921,BU$1,FALSE))</f>
        <v>9.9999999999909051E-3</v>
      </c>
      <c r="BV21" s="10">
        <f>IF(VLOOKUP(ROUND(CONCATENATE($A21,BV$2),0),'Cadastro dos Padrões'!$A$2:$V$921,BV$1,FALSE)="","-",VLOOKUP(ROUND(CONCATENATE($A21,BV$2),0),'Cadastro dos Padrões'!$A$2:$V$921,BV$1,FALSE))</f>
        <v>2.9999999999972715E-2</v>
      </c>
      <c r="BW21" s="10">
        <f>IF(VLOOKUP(ROUND(CONCATENATE($A21,BW$2),0),'Cadastro dos Padrões'!$A$2:$V$921,BW$1,FALSE)="","-",VLOOKUP(ROUND(CONCATENATE($A21,BW$2),0),'Cadastro dos Padrões'!$A$2:$V$921,BW$1,FALSE))</f>
        <v>0</v>
      </c>
      <c r="BX21" s="10">
        <f>IF(VLOOKUP(ROUND(CONCATENATE($A21,BX$2),0),'Cadastro dos Padrões'!$A$2:$V$921,BX$1,FALSE)="","-",VLOOKUP(ROUND(CONCATENATE($A21,BX$2),0),'Cadastro dos Padrões'!$A$2:$V$921,BX$1,FALSE))</f>
        <v>0</v>
      </c>
      <c r="BY21" s="10">
        <f>IF(VLOOKUP(ROUND(CONCATENATE($A21,BY$2),0),'Cadastro dos Padrões'!$A$2:$V$921,BY$1,FALSE)="","-",VLOOKUP(ROUND(CONCATENATE($A21,BY$2),0),'Cadastro dos Padrões'!$A$2:$V$921,BY$1,FALSE))</f>
        <v>0</v>
      </c>
      <c r="BZ21" s="10">
        <f>IF(VLOOKUP(ROUND(CONCATENATE($A21,BZ$2),0),'Cadastro dos Padrões'!$A$2:$V$921,BZ$1,FALSE)="","-",VLOOKUP(ROUND(CONCATENATE($A21,BZ$2),0),'Cadastro dos Padrões'!$A$2:$V$921,BZ$1,FALSE))</f>
        <v>1.0000000000000009E-2</v>
      </c>
      <c r="CA21" s="10">
        <f>IF(VLOOKUP(ROUND(CONCATENATE($A21,CA$2),0),'Cadastro dos Padrões'!$A$2:$V$921,CA$1,FALSE)="","-",VLOOKUP(ROUND(CONCATENATE($A21,CA$2),0),'Cadastro dos Padrões'!$A$2:$V$921,CA$1,FALSE))</f>
        <v>9.9999999999997868E-3</v>
      </c>
      <c r="CB21" s="10">
        <f>IF(VLOOKUP(ROUND(CONCATENATE($A21,CB$2),0),'Cadastro dos Padrões'!$A$2:$V$921,CB$1,FALSE)="","-",VLOOKUP(ROUND(CONCATENATE($A21,CB$2),0),'Cadastro dos Padrões'!$A$2:$V$921,CB$1,FALSE))</f>
        <v>1.0000000000005116E-2</v>
      </c>
      <c r="CC21" s="10">
        <f>IF(VLOOKUP(ROUND(CONCATENATE($A21,CC$2),0),'Cadastro dos Padrões'!$A$2:$V$921,CC$1,FALSE)="","-",VLOOKUP(ROUND(CONCATENATE($A21,CC$2),0),'Cadastro dos Padrões'!$A$2:$V$921,CC$1,FALSE))</f>
        <v>-9.9999999999909051E-3</v>
      </c>
      <c r="CD21" s="10">
        <f>IF(VLOOKUP(ROUND(CONCATENATE($A21,CD$2),0),'Cadastro dos Padrões'!$A$2:$V$921,CD$1,FALSE)="","-",VLOOKUP(ROUND(CONCATENATE($A21,CD$2),0),'Cadastro dos Padrões'!$A$2:$V$921,CD$1,FALSE))</f>
        <v>-9.9999999999909051E-3</v>
      </c>
      <c r="CE21" s="10">
        <f>IF(VLOOKUP(ROUND(CONCATENATE($A21,CE$2),0),'Cadastro dos Padrões'!$A$2:$V$921,CE$1,FALSE)="","-",VLOOKUP(ROUND(CONCATENATE($A21,CE$2),0),'Cadastro dos Padrões'!$A$2:$V$921,CE$1,FALSE))</f>
        <v>-1.999999999998181E-2</v>
      </c>
      <c r="CF21" s="10">
        <f>IF(VLOOKUP(ROUND(CONCATENATE($A21,CF$2),0),'Cadastro dos Padrões'!$A$2:$V$921,CF$1,FALSE)="","-",VLOOKUP(ROUND(CONCATENATE($A21,CF$2),0),'Cadastro dos Padrões'!$A$2:$V$921,CF$1,FALSE))</f>
        <v>-4.9999999999954525E-2</v>
      </c>
      <c r="CG21" s="10">
        <f>IF(VLOOKUP(ROUND(CONCATENATE($A21,CG$2),0),'Cadastro dos Padrões'!$A$2:$V$921,CG$1,FALSE)="","-",VLOOKUP(ROUND(CONCATENATE($A21,CG$2),0),'Cadastro dos Padrões'!$A$2:$V$921,CG$1,FALSE))</f>
        <v>0</v>
      </c>
      <c r="CH21" s="10">
        <f>IF(VLOOKUP(ROUND(CONCATENATE($A21,CH$2),0),'Cadastro dos Padrões'!$A$2:$V$921,CH$1,FALSE)="","-",VLOOKUP(ROUND(CONCATENATE($A21,CH$2),0),'Cadastro dos Padrões'!$A$2:$V$921,CH$1,FALSE))</f>
        <v>0</v>
      </c>
      <c r="CI21" s="10">
        <f>IF(VLOOKUP(ROUND(CONCATENATE($A21,CI$2),0),'Cadastro dos Padrões'!$A$2:$V$921,CI$1,FALSE)="","-",VLOOKUP(ROUND(CONCATENATE($A21,CI$2),0),'Cadastro dos Padrões'!$A$2:$V$921,CI$1,FALSE))</f>
        <v>0</v>
      </c>
    </row>
    <row r="22" spans="1:87" x14ac:dyDescent="0.3">
      <c r="A22" s="4">
        <v>17</v>
      </c>
      <c r="B22" s="10" t="str">
        <f>IF(VLOOKUP(ROUND(CONCATENATE($A22,B$2),0),'Cadastro dos Padrões'!$A$2:$V$921,B$1,FALSE)="","-",VLOOKUP(ROUND(CONCATENATE($A22,B$2),0),'Cadastro dos Padrões'!$A$2:$V$921,B$1,FALSE))</f>
        <v>M.MS.LM-010</v>
      </c>
      <c r="C22" s="10" t="str">
        <f>IF(VLOOKUP(ROUND(CONCATENATE($A22,C$2),0),'Cadastro dos Padrões'!$A$2:$V$921,C$1,FALSE)="","-",VLOOKUP(ROUND(CONCATENATE($A22,C$2),0),'Cadastro dos Padrões'!$A$2:$V$921,C$1,FALSE))</f>
        <v>Balança Eletrônica</v>
      </c>
      <c r="D22" s="10" t="str">
        <f>IF(VLOOKUP(ROUND(CONCATENATE($A22,D$2),0),'Cadastro dos Padrões'!$A$2:$V$921,D$1,FALSE)="","-",VLOOKUP(ROUND(CONCATENATE($A22,D$2),0),'Cadastro dos Padrões'!$A$2:$V$921,D$1,FALSE))</f>
        <v>Metrolab</v>
      </c>
      <c r="E22" s="10" t="str">
        <f>IF(VLOOKUP(ROUND(CONCATENATE($A22,E$2),0),'Cadastro dos Padrões'!$A$2:$V$921,E$1,FALSE)="","-",VLOOKUP(ROUND(CONCATENATE($A22,E$2),0),'Cadastro dos Padrões'!$A$2:$V$921,E$1,FALSE))</f>
        <v>RBC - CAL 0215</v>
      </c>
      <c r="F22" s="10" t="str">
        <f>IF(VLOOKUP(ROUND(CONCATENATE($A22,F$2),0),'Cadastro dos Padrões'!$A$2:$V$921,F$1,FALSE)="","-",VLOOKUP(ROUND(CONCATENATE($A22,F$2),0),'Cadastro dos Padrões'!$A$2:$V$921,F$1,FALSE))</f>
        <v>M0019/25</v>
      </c>
      <c r="G22" s="27">
        <f>IF(VLOOKUP(ROUND(CONCATENATE($A22,G$2),0),'Cadastro dos Padrões'!$A$2:$V$921,G$1,FALSE)="","-",VLOOKUP(ROUND(CONCATENATE($A22,G$2),0),'Cadastro dos Padrões'!$A$2:$V$921,G$1,FALSE))</f>
        <v>45750</v>
      </c>
      <c r="H22" s="29">
        <f>IF(VLOOKUP(ROUND(CONCATENATE($A22,H$2),0),'Cadastro dos Padrões'!$A$2:$V$921,H$1,FALSE)="","-",VLOOKUP(ROUND(CONCATENATE($A22,H$2),0),'Cadastro dos Padrões'!$A$2:$V$921,H$1,FALSE))</f>
        <v>46142</v>
      </c>
      <c r="I22" s="10" t="str">
        <f>IF(VLOOKUP(ROUND(CONCATENATE($A22,I$2),0),'Cadastro dos Padrões'!$A$2:$V$921,I$1,FALSE)="","-",VLOOKUP(ROUND(CONCATENATE($A22,I$2),0),'Cadastro dos Padrões'!$A$2:$V$921,I$1,FALSE))</f>
        <v>g</v>
      </c>
      <c r="J22" s="10">
        <f>IF(VLOOKUP(ROUND(CONCATENATE($A22,J$2),0),'Cadastro dos Padrões'!$A$2:$V$921,J$1,FALSE)="","-",VLOOKUP(ROUND(CONCATENATE($A22,J$2),0),'Cadastro dos Padrões'!$A$2:$V$921,J$1,FALSE))</f>
        <v>5</v>
      </c>
      <c r="K22" s="10">
        <f>IF(VLOOKUP(ROUND(CONCATENATE($A22,K$2),0),'Cadastro dos Padrões'!$A$2:$V$921,K$1,FALSE)="","-",VLOOKUP(ROUND(CONCATENATE($A22,K$2),0),'Cadastro dos Padrões'!$A$2:$V$921,K$1,FALSE))</f>
        <v>20000</v>
      </c>
      <c r="L22" s="10">
        <f>IF(VLOOKUP(ROUND(CONCATENATE($A22,L$2),0),'Cadastro dos Padrões'!$A$2:$V$921,L$1,FALSE)="","-",VLOOKUP(ROUND(CONCATENATE($A22,L$2),0),'Cadastro dos Padrões'!$A$2:$V$921,L$1,FALSE))</f>
        <v>0.1</v>
      </c>
      <c r="M22" s="10">
        <f>IF(VLOOKUP(ROUND(CONCATENATE($A22,M$2),0),'Cadastro dos Padrões'!$A$2:$V$921,M$1,FALSE)="","-",VLOOKUP(ROUND(CONCATENATE($A22,M$2),0),'Cadastro dos Padrões'!$A$2:$V$921,M$1,FALSE))</f>
        <v>0.2999999999992724</v>
      </c>
      <c r="N22" s="10">
        <f>IF(VLOOKUP(ROUND(CONCATENATE($A22,N$2),0),'Cadastro dos Padrões'!$A$2:$V$921,N$1,FALSE)="","-",VLOOKUP(ROUND(CONCATENATE($A22,N$2),0),'Cadastro dos Padrões'!$A$2:$V$921,N$1,FALSE))</f>
        <v>0.3</v>
      </c>
      <c r="O22" s="10">
        <f>IF(VLOOKUP(ROUND(CONCATENATE($A22,O$2),0),'Cadastro dos Padrões'!$A$2:$V$921,O$1,FALSE)="","-",VLOOKUP(ROUND(CONCATENATE($A22,O$2),0),'Cadastro dos Padrões'!$A$2:$V$921,O$1,FALSE))</f>
        <v>0.2999999999992724</v>
      </c>
      <c r="P22" s="28">
        <f>IF(VLOOKUP(ROUND(CONCATENATE($A22,P$2),0),'Cadastro dos Padrões'!$A$2:$V$921,P$1,FALSE)="","-",VLOOKUP(ROUND(CONCATENATE($A22,P$2),0),'Cadastro dos Padrões'!$A$2:$V$921,P$1,FALSE))</f>
        <v>1.4285714285766256E-3</v>
      </c>
      <c r="Q22" s="10">
        <f>IF($B22="-","-",VLOOKUP(ROUND(CONCATENATE($A22,Q$2),0),'Cadastro dos Padrões'!$A$2:$V$921,Q$1,FALSE))</f>
        <v>1.1951421719459177E-2</v>
      </c>
      <c r="R22" s="10">
        <f>IF($B22="-","-",VLOOKUP(ROUND(CONCATENATE($A22,R$2),0),'Cadastro dos Padrões'!$A$2:$V$921,R$1,FALSE))</f>
        <v>3</v>
      </c>
      <c r="S22" s="10">
        <f>IF($B22="-","-",VLOOKUP(ROUND(CONCATENATE($A22,S$2),0),'Cadastro dos Padrões'!$A$2:$V$921,S$1,FALSE))</f>
        <v>0</v>
      </c>
      <c r="T22" s="10">
        <f>IF($B22="-","-",VLOOKUP(ROUND(CONCATENATE($A22,T$2),0),'Cadastro dos Padrões'!$A$2:$V$921,T$1,FALSE))</f>
        <v>0</v>
      </c>
      <c r="U22" s="10">
        <f>IF($B22="-","-",VLOOKUP(ROUND(CONCATENATE($A22,U$2),0),'Cadastro dos Padrões'!$A$2:$V$921,U$1,FALSE))</f>
        <v>0</v>
      </c>
      <c r="V22" s="10">
        <f>IF($B22="-","-",VLOOKUP(ROUND(CONCATENATE($A22,V$2),0),'Cadastro dos Padrões'!$A$2:$V$921,V$1,FALSE))</f>
        <v>0</v>
      </c>
      <c r="W22" s="10">
        <f>IF($B22="-","-",VLOOKUP(ROUND(CONCATENATE($A22,W$2),0),'Cadastro dos Padrões'!$A$2:$V$921,W$1,FALSE))</f>
        <v>0</v>
      </c>
      <c r="X22" s="10">
        <f>IF($B22="-","-",VLOOKUP(ROUND(CONCATENATE($A22,X$2),0),'Cadastro dos Padrões'!$A$2:$V$921,X$1,FALSE))</f>
        <v>6.6667161767437331E-14</v>
      </c>
      <c r="Y22" s="10">
        <f>IF($B22="-","-",VLOOKUP(ROUND(CONCATENATE($A22,Y$2),0),'Cadastro dos Padrões'!$A$2:$V$921,Y$1,FALSE))</f>
        <v>-5.7133016302399202E-10</v>
      </c>
      <c r="Z22" s="10">
        <f>IF($B22="-","-",VLOOKUP(ROUND(CONCATENATE($A22,Z$2),0),'Cadastro dos Padrões'!$A$2:$V$921,Z$1,FALSE))</f>
        <v>0.99999976040643024</v>
      </c>
      <c r="AA22" s="10">
        <f>IF($B22="-","-",VLOOKUP(ROUND(CONCATENATE($A22,AA$2),0),'Cadastro dos Padrões'!$A$2:$V$921,AA$1,FALSE))</f>
        <v>1.431764997089191E-3</v>
      </c>
      <c r="AB22" s="10">
        <f>IF(VLOOKUP(ROUND(CONCATENATE($A22,AB$2),0),'Cadastro dos Padrões'!$A$2:$V$921,AB$1,FALSE)="","-",VLOOKUP(ROUND(CONCATENATE($A22,AB$2),0),'Cadastro dos Padrões'!$A$2:$V$921,AB$1,FALSE))</f>
        <v>5</v>
      </c>
      <c r="AC22" s="10">
        <f>IF(VLOOKUP(ROUND(CONCATENATE($A22,AC$2),0),'Cadastro dos Padrões'!$A$2:$V$921,AC$1,FALSE)="","-",VLOOKUP(ROUND(CONCATENATE($A22,AC$2),0),'Cadastro dos Padrões'!$A$2:$V$921,AC$1,FALSE))</f>
        <v>0.2</v>
      </c>
      <c r="AD22" s="10">
        <f>IF(VLOOKUP(ROUND(CONCATENATE($A22,AD$2),0),'Cadastro dos Padrões'!$A$2:$V$921,AD$1,FALSE)="","-",VLOOKUP(ROUND(CONCATENATE($A22,AD$2),0),'Cadastro dos Padrões'!$A$2:$V$921,AD$1,FALSE))</f>
        <v>2</v>
      </c>
      <c r="AE22" s="10">
        <f>IF(VLOOKUP(ROUND(CONCATENATE($A22,AE$2),0),'Cadastro dos Padrões'!$A$2:$V$921,AE$1,FALSE)="","-",VLOOKUP(ROUND(CONCATENATE($A22,AE$2),0),'Cadastro dos Padrões'!$A$2:$V$921,AE$1,FALSE))</f>
        <v>1000000</v>
      </c>
      <c r="AF22" s="10">
        <f>IF(VLOOKUP(ROUND(CONCATENATE($A22,AF$2),0),'Cadastro dos Padrões'!$A$2:$V$921,AF$1,FALSE)="","-",VLOOKUP(ROUND(CONCATENATE($A22,AF$2),0),'Cadastro dos Padrões'!$A$2:$V$921,AF$1,FALSE))</f>
        <v>5000</v>
      </c>
      <c r="AG22" s="10">
        <f>IF(VLOOKUP(ROUND(CONCATENATE($A22,AG$2),0),'Cadastro dos Padrões'!$A$2:$V$921,AG$1,FALSE)="","-",VLOOKUP(ROUND(CONCATENATE($A22,AG$2),0),'Cadastro dos Padrões'!$A$2:$V$921,AG$1,FALSE))</f>
        <v>0.2</v>
      </c>
      <c r="AH22" s="10">
        <f>IF(VLOOKUP(ROUND(CONCATENATE($A22,AH$2),0),'Cadastro dos Padrões'!$A$2:$V$921,AH$1,FALSE)="","-",VLOOKUP(ROUND(CONCATENATE($A22,AH$2),0),'Cadastro dos Padrões'!$A$2:$V$921,AH$1,FALSE))</f>
        <v>2</v>
      </c>
      <c r="AI22" s="10">
        <f>IF(VLOOKUP(ROUND(CONCATENATE($A22,AI$2),0),'Cadastro dos Padrões'!$A$2:$V$921,AI$1,FALSE)="","-",VLOOKUP(ROUND(CONCATENATE($A22,AI$2),0),'Cadastro dos Padrões'!$A$2:$V$921,AI$1,FALSE))</f>
        <v>1000000</v>
      </c>
      <c r="AJ22" s="10">
        <f>IF(VLOOKUP(ROUND(CONCATENATE($A22,AJ$2),0),'Cadastro dos Padrões'!$A$2:$V$921,AJ$1,FALSE)="","-",VLOOKUP(ROUND(CONCATENATE($A22,AJ$2),0),'Cadastro dos Padrões'!$A$2:$V$921,AJ$1,FALSE))</f>
        <v>10000</v>
      </c>
      <c r="AK22" s="10">
        <f>IF(VLOOKUP(ROUND(CONCATENATE($A22,AK$2),0),'Cadastro dos Padrões'!$A$2:$V$921,AK$1,FALSE)="","-",VLOOKUP(ROUND(CONCATENATE($A22,AK$2),0),'Cadastro dos Padrões'!$A$2:$V$921,AK$1,FALSE))</f>
        <v>0.2</v>
      </c>
      <c r="AL22" s="10">
        <f>IF(VLOOKUP(ROUND(CONCATENATE($A22,AL$2),0),'Cadastro dos Padrões'!$A$2:$V$921,AL$1,FALSE)="","-",VLOOKUP(ROUND(CONCATENATE($A22,AL$2),0),'Cadastro dos Padrões'!$A$2:$V$921,AL$1,FALSE))</f>
        <v>2</v>
      </c>
      <c r="AM22" s="10">
        <f>IF(VLOOKUP(ROUND(CONCATENATE($A22,AM$2),0),'Cadastro dos Padrões'!$A$2:$V$921,AM$1,FALSE)="","-",VLOOKUP(ROUND(CONCATENATE($A22,AM$2),0),'Cadastro dos Padrões'!$A$2:$V$921,AM$1,FALSE))</f>
        <v>1000000</v>
      </c>
      <c r="AN22" s="10">
        <f>IF(VLOOKUP(ROUND(CONCATENATE($A22,AN$2),0),'Cadastro dos Padrões'!$A$2:$V$921,AN$1,FALSE)="","-",VLOOKUP(ROUND(CONCATENATE($A22,AN$2),0),'Cadastro dos Padrões'!$A$2:$V$921,AN$1,FALSE))</f>
        <v>15000</v>
      </c>
      <c r="AO22" s="10">
        <f>IF(VLOOKUP(ROUND(CONCATENATE($A22,AO$2),0),'Cadastro dos Padrões'!$A$2:$V$921,AO$1,FALSE)="","-",VLOOKUP(ROUND(CONCATENATE($A22,AO$2),0),'Cadastro dos Padrões'!$A$2:$V$921,AO$1,FALSE))</f>
        <v>0.2</v>
      </c>
      <c r="AP22" s="10">
        <f>IF(VLOOKUP(ROUND(CONCATENATE($A22,AP$2),0),'Cadastro dos Padrões'!$A$2:$V$921,AP$1,FALSE)="","-",VLOOKUP(ROUND(CONCATENATE($A22,AP$2),0),'Cadastro dos Padrões'!$A$2:$V$921,AP$1,FALSE))</f>
        <v>2</v>
      </c>
      <c r="AQ22" s="10">
        <f>IF(VLOOKUP(ROUND(CONCATENATE($A22,AQ$2),0),'Cadastro dos Padrões'!$A$2:$V$921,AQ$1,FALSE)="","-",VLOOKUP(ROUND(CONCATENATE($A22,AQ$2),0),'Cadastro dos Padrões'!$A$2:$V$921,AQ$1,FALSE))</f>
        <v>1000000</v>
      </c>
      <c r="AR22" s="10">
        <f>IF(VLOOKUP(ROUND(CONCATENATE($A22,AR$2),0),'Cadastro dos Padrões'!$A$2:$V$921,AR$1,FALSE)="","-",VLOOKUP(ROUND(CONCATENATE($A22,AR$2),0),'Cadastro dos Padrões'!$A$2:$V$921,AR$1,FALSE))</f>
        <v>20000</v>
      </c>
      <c r="AS22" s="10">
        <f>IF(VLOOKUP(ROUND(CONCATENATE($A22,AS$2),0),'Cadastro dos Padrões'!$A$2:$V$921,AS$1,FALSE)="","-",VLOOKUP(ROUND(CONCATENATE($A22,AS$2),0),'Cadastro dos Padrões'!$A$2:$V$921,AS$1,FALSE))</f>
        <v>0.3</v>
      </c>
      <c r="AT22" s="10">
        <f>IF(VLOOKUP(ROUND(CONCATENATE($A22,AT$2),0),'Cadastro dos Padrões'!$A$2:$V$921,AT$1,FALSE)="","-",VLOOKUP(ROUND(CONCATENATE($A22,AT$2),0),'Cadastro dos Padrões'!$A$2:$V$921,AT$1,FALSE))</f>
        <v>2</v>
      </c>
      <c r="AU22" s="10">
        <f>IF(VLOOKUP(ROUND(CONCATENATE($A22,AU$2),0),'Cadastro dos Padrões'!$A$2:$V$921,AU$1,FALSE)="","-",VLOOKUP(ROUND(CONCATENATE($A22,AU$2),0),'Cadastro dos Padrões'!$A$2:$V$921,AU$1,FALSE))</f>
        <v>1000000</v>
      </c>
      <c r="AV22" s="10" t="str">
        <f>IF(VLOOKUP(ROUND(CONCATENATE($A22,AV$2),0),'Cadastro dos Padrões'!$A$2:$V$921,AV$1,FALSE)="","-",VLOOKUP(ROUND(CONCATENATE($A22,AV$2),0),'Cadastro dos Padrões'!$A$2:$V$921,AV$1,FALSE))</f>
        <v>-</v>
      </c>
      <c r="AW22" s="10" t="str">
        <f>IF(VLOOKUP(ROUND(CONCATENATE($A22,AW$2),0),'Cadastro dos Padrões'!$A$2:$V$921,AW$1,FALSE)="","-",VLOOKUP(ROUND(CONCATENATE($A22,AW$2),0),'Cadastro dos Padrões'!$A$2:$V$921,AW$1,FALSE))</f>
        <v>-</v>
      </c>
      <c r="AX22" s="10" t="str">
        <f>IF(VLOOKUP(ROUND(CONCATENATE($A22,AX$2),0),'Cadastro dos Padrões'!$A$2:$V$921,AX$1,FALSE)="","-",VLOOKUP(ROUND(CONCATENATE($A22,AX$2),0),'Cadastro dos Padrões'!$A$2:$V$921,AX$1,FALSE))</f>
        <v>-</v>
      </c>
      <c r="AY22" s="10" t="str">
        <f>IF(VLOOKUP(ROUND(CONCATENATE($A22,AY$2),0),'Cadastro dos Padrões'!$A$2:$V$921,AY$1,FALSE)="","-",VLOOKUP(ROUND(CONCATENATE($A22,AY$2),0),'Cadastro dos Padrões'!$A$2:$V$921,AY$1,FALSE))</f>
        <v>-</v>
      </c>
      <c r="AZ22" s="10" t="str">
        <f>IF(VLOOKUP(ROUND(CONCATENATE($A22,AZ$2),0),'Cadastro dos Padrões'!$A$2:$V$921,AZ$1,FALSE)="","-",VLOOKUP(ROUND(CONCATENATE($A22,AZ$2),0),'Cadastro dos Padrões'!$A$2:$V$921,AZ$1,FALSE))</f>
        <v>-</v>
      </c>
      <c r="BA22" s="10" t="str">
        <f>IF(VLOOKUP(ROUND(CONCATENATE($A22,BA$2),0),'Cadastro dos Padrões'!$A$2:$V$921,BA$1,FALSE)="","-",VLOOKUP(ROUND(CONCATENATE($A22,BA$2),0),'Cadastro dos Padrões'!$A$2:$V$921,BA$1,FALSE))</f>
        <v>-</v>
      </c>
      <c r="BB22" s="10" t="str">
        <f>IF(VLOOKUP(ROUND(CONCATENATE($A22,BB$2),0),'Cadastro dos Padrões'!$A$2:$V$921,BB$1,FALSE)="","-",VLOOKUP(ROUND(CONCATENATE($A22,BB$2),0),'Cadastro dos Padrões'!$A$2:$V$921,BB$1,FALSE))</f>
        <v>-</v>
      </c>
      <c r="BC22" s="10" t="str">
        <f>IF(VLOOKUP(ROUND(CONCATENATE($A22,BC$2),0),'Cadastro dos Padrões'!$A$2:$V$921,BC$1,FALSE)="","-",VLOOKUP(ROUND(CONCATENATE($A22,BC$2),0),'Cadastro dos Padrões'!$A$2:$V$921,BC$1,FALSE))</f>
        <v>-</v>
      </c>
      <c r="BD22" s="10" t="str">
        <f>IF(VLOOKUP(ROUND(CONCATENATE($A22,BD$2),0),'Cadastro dos Padrões'!$A$2:$V$921,BD$1,FALSE)="","-",VLOOKUP(ROUND(CONCATENATE($A22,BD$2),0),'Cadastro dos Padrões'!$A$2:$V$921,BD$1,FALSE))</f>
        <v>-</v>
      </c>
      <c r="BE22" s="10" t="str">
        <f>IF(VLOOKUP(ROUND(CONCATENATE($A22,BE$2),0),'Cadastro dos Padrões'!$A$2:$V$921,BE$1,FALSE)="","-",VLOOKUP(ROUND(CONCATENATE($A22,BE$2),0),'Cadastro dos Padrões'!$A$2:$V$921,BE$1,FALSE))</f>
        <v>-</v>
      </c>
      <c r="BF22" s="10" t="str">
        <f>IF(VLOOKUP(ROUND(CONCATENATE($A22,BF$2),0),'Cadastro dos Padrões'!$A$2:$V$921,BF$1,FALSE)="","-",VLOOKUP(ROUND(CONCATENATE($A22,BF$2),0),'Cadastro dos Padrões'!$A$2:$V$921,BF$1,FALSE))</f>
        <v>-</v>
      </c>
      <c r="BG22" s="10" t="str">
        <f>IF(VLOOKUP(ROUND(CONCATENATE($A22,BG$2),0),'Cadastro dos Padrões'!$A$2:$V$921,BG$1,FALSE)="","-",VLOOKUP(ROUND(CONCATENATE($A22,BG$2),0),'Cadastro dos Padrões'!$A$2:$V$921,BG$1,FALSE))</f>
        <v>-</v>
      </c>
      <c r="BH22" s="10" t="str">
        <f>IF(VLOOKUP(ROUND(CONCATENATE($A22,BH$2),0),'Cadastro dos Padrões'!$A$2:$V$921,BH$1,FALSE)="","-",VLOOKUP(ROUND(CONCATENATE($A22,BH$2),0),'Cadastro dos Padrões'!$A$2:$V$921,BH$1,FALSE))</f>
        <v>-</v>
      </c>
      <c r="BI22" s="10" t="str">
        <f>IF(VLOOKUP(ROUND(CONCATENATE($A22,BI$2),0),'Cadastro dos Padrões'!$A$2:$V$921,BI$1,FALSE)="","-",VLOOKUP(ROUND(CONCATENATE($A22,BI$2),0),'Cadastro dos Padrões'!$A$2:$V$921,BI$1,FALSE))</f>
        <v>-</v>
      </c>
      <c r="BJ22" s="10" t="str">
        <f>IF(VLOOKUP(ROUND(CONCATENATE($A22,BJ$2),0),'Cadastro dos Padrões'!$A$2:$V$921,BJ$1,FALSE)="","-",VLOOKUP(ROUND(CONCATENATE($A22,BJ$2),0),'Cadastro dos Padrões'!$A$2:$V$921,BJ$1,FALSE))</f>
        <v>-</v>
      </c>
      <c r="BK22" s="10" t="str">
        <f>IF(VLOOKUP(ROUND(CONCATENATE($A22,BK$2),0),'Cadastro dos Padrões'!$A$2:$V$921,BK$1,FALSE)="","-",VLOOKUP(ROUND(CONCATENATE($A22,BK$2),0),'Cadastro dos Padrões'!$A$2:$V$921,BK$1,FALSE))</f>
        <v>-</v>
      </c>
      <c r="BL22" s="10" t="str">
        <f>IF(VLOOKUP(ROUND(CONCATENATE($A22,BL$2),0),'Cadastro dos Padrões'!$A$2:$V$921,BL$1,FALSE)="","-",VLOOKUP(ROUND(CONCATENATE($A22,BL$2),0),'Cadastro dos Padrões'!$A$2:$V$921,BL$1,FALSE))</f>
        <v>-</v>
      </c>
      <c r="BM22" s="10" t="str">
        <f>IF(VLOOKUP(ROUND(CONCATENATE($A22,BM$2),0),'Cadastro dos Padrões'!$A$2:$V$921,BM$1,FALSE)="","-",VLOOKUP(ROUND(CONCATENATE($A22,BM$2),0),'Cadastro dos Padrões'!$A$2:$V$921,BM$1,FALSE))</f>
        <v>-</v>
      </c>
      <c r="BN22" s="10" t="str">
        <f>IF(VLOOKUP(ROUND(CONCATENATE($A22,BN$2),0),'Cadastro dos Padrões'!$A$2:$V$921,BN$1,FALSE)="","-",VLOOKUP(ROUND(CONCATENATE($A22,BN$2),0),'Cadastro dos Padrões'!$A$2:$V$921,BN$1,FALSE))</f>
        <v>-</v>
      </c>
      <c r="BO22" s="10" t="str">
        <f>IF(VLOOKUP(ROUND(CONCATENATE($A22,BO$2),0),'Cadastro dos Padrões'!$A$2:$V$921,BO$1,FALSE)="","-",VLOOKUP(ROUND(CONCATENATE($A22,BO$2),0),'Cadastro dos Padrões'!$A$2:$V$921,BO$1,FALSE))</f>
        <v>-</v>
      </c>
      <c r="BP22" s="10">
        <f>IF(VLOOKUP(ROUND(CONCATENATE($A22,BP$2),0),'Cadastro dos Padrões'!$A$2:$V$921,BP$1,FALSE)="","-",VLOOKUP(ROUND(CONCATENATE($A22,BP$2),0),'Cadastro dos Padrões'!$A$2:$V$921,BP$1,FALSE))</f>
        <v>0</v>
      </c>
      <c r="BQ22" s="10">
        <f>IF(VLOOKUP(ROUND(CONCATENATE($A22,BQ$2),0),'Cadastro dos Padrões'!$A$2:$V$921,BQ$1,FALSE)="","-",VLOOKUP(ROUND(CONCATENATE($A22,BQ$2),0),'Cadastro dos Padrões'!$A$2:$V$921,BQ$1,FALSE))</f>
        <v>0</v>
      </c>
      <c r="BR22" s="10">
        <f>IF(VLOOKUP(ROUND(CONCATENATE($A22,BR$2),0),'Cadastro dos Padrões'!$A$2:$V$921,BR$1,FALSE)="","-",VLOOKUP(ROUND(CONCATENATE($A22,BR$2),0),'Cadastro dos Padrões'!$A$2:$V$921,BR$1,FALSE))</f>
        <v>0</v>
      </c>
      <c r="BS22" s="10">
        <f>IF(VLOOKUP(ROUND(CONCATENATE($A22,BS$2),0),'Cadastro dos Padrões'!$A$2:$V$921,BS$1,FALSE)="","-",VLOOKUP(ROUND(CONCATENATE($A22,BS$2),0),'Cadastro dos Padrões'!$A$2:$V$921,BS$1,FALSE))</f>
        <v>-0.1000000000003638</v>
      </c>
      <c r="BT22" s="10">
        <f>IF(VLOOKUP(ROUND(CONCATENATE($A22,BT$2),0),'Cadastro dos Padrões'!$A$2:$V$921,BT$1,FALSE)="","-",VLOOKUP(ROUND(CONCATENATE($A22,BT$2),0),'Cadastro dos Padrões'!$A$2:$V$921,BT$1,FALSE))</f>
        <v>-0.2999999999992724</v>
      </c>
      <c r="BU22" s="10">
        <f>IF(VLOOKUP(ROUND(CONCATENATE($A22,BU$2),0),'Cadastro dos Padrões'!$A$2:$V$921,BU$1,FALSE)="","-",VLOOKUP(ROUND(CONCATENATE($A22,BU$2),0),'Cadastro dos Padrões'!$A$2:$V$921,BU$1,FALSE))</f>
        <v>0</v>
      </c>
      <c r="BV22" s="10">
        <f>IF(VLOOKUP(ROUND(CONCATENATE($A22,BV$2),0),'Cadastro dos Padrões'!$A$2:$V$921,BV$1,FALSE)="","-",VLOOKUP(ROUND(CONCATENATE($A22,BV$2),0),'Cadastro dos Padrões'!$A$2:$V$921,BV$1,FALSE))</f>
        <v>0</v>
      </c>
      <c r="BW22" s="10">
        <f>IF(VLOOKUP(ROUND(CONCATENATE($A22,BW$2),0),'Cadastro dos Padrões'!$A$2:$V$921,BW$1,FALSE)="","-",VLOOKUP(ROUND(CONCATENATE($A22,BW$2),0),'Cadastro dos Padrões'!$A$2:$V$921,BW$1,FALSE))</f>
        <v>0</v>
      </c>
      <c r="BX22" s="10">
        <f>IF(VLOOKUP(ROUND(CONCATENATE($A22,BX$2),0),'Cadastro dos Padrões'!$A$2:$V$921,BX$1,FALSE)="","-",VLOOKUP(ROUND(CONCATENATE($A22,BX$2),0),'Cadastro dos Padrões'!$A$2:$V$921,BX$1,FALSE))</f>
        <v>0</v>
      </c>
      <c r="BY22" s="10">
        <f>IF(VLOOKUP(ROUND(CONCATENATE($A22,BY$2),0),'Cadastro dos Padrões'!$A$2:$V$921,BY$1,FALSE)="","-",VLOOKUP(ROUND(CONCATENATE($A22,BY$2),0),'Cadastro dos Padrões'!$A$2:$V$921,BY$1,FALSE))</f>
        <v>0</v>
      </c>
      <c r="BZ22" s="10">
        <f>IF(VLOOKUP(ROUND(CONCATENATE($A22,BZ$2),0),'Cadastro dos Padrões'!$A$2:$V$921,BZ$1,FALSE)="","-",VLOOKUP(ROUND(CONCATENATE($A22,BZ$2),0),'Cadastro dos Padrões'!$A$2:$V$921,BZ$1,FALSE))</f>
        <v>0</v>
      </c>
      <c r="CA22" s="10">
        <f>IF(VLOOKUP(ROUND(CONCATENATE($A22,CA$2),0),'Cadastro dos Padrões'!$A$2:$V$921,CA$1,FALSE)="","-",VLOOKUP(ROUND(CONCATENATE($A22,CA$2),0),'Cadastro dos Padrões'!$A$2:$V$921,CA$1,FALSE))</f>
        <v>0</v>
      </c>
      <c r="CB22" s="10">
        <f>IF(VLOOKUP(ROUND(CONCATENATE($A22,CB$2),0),'Cadastro dos Padrões'!$A$2:$V$921,CB$1,FALSE)="","-",VLOOKUP(ROUND(CONCATENATE($A22,CB$2),0),'Cadastro dos Padrões'!$A$2:$V$921,CB$1,FALSE))</f>
        <v>0</v>
      </c>
      <c r="CC22" s="10">
        <f>IF(VLOOKUP(ROUND(CONCATENATE($A22,CC$2),0),'Cadastro dos Padrões'!$A$2:$V$921,CC$1,FALSE)="","-",VLOOKUP(ROUND(CONCATENATE($A22,CC$2),0),'Cadastro dos Padrões'!$A$2:$V$921,CC$1,FALSE))</f>
        <v>0.1000000000003638</v>
      </c>
      <c r="CD22" s="10">
        <f>IF(VLOOKUP(ROUND(CONCATENATE($A22,CD$2),0),'Cadastro dos Padrões'!$A$2:$V$921,CD$1,FALSE)="","-",VLOOKUP(ROUND(CONCATENATE($A22,CD$2),0),'Cadastro dos Padrões'!$A$2:$V$921,CD$1,FALSE))</f>
        <v>0.2999999999992724</v>
      </c>
      <c r="CE22" s="10">
        <f>IF(VLOOKUP(ROUND(CONCATENATE($A22,CE$2),0),'Cadastro dos Padrões'!$A$2:$V$921,CE$1,FALSE)="","-",VLOOKUP(ROUND(CONCATENATE($A22,CE$2),0),'Cadastro dos Padrões'!$A$2:$V$921,CE$1,FALSE))</f>
        <v>0</v>
      </c>
      <c r="CF22" s="10">
        <f>IF(VLOOKUP(ROUND(CONCATENATE($A22,CF$2),0),'Cadastro dos Padrões'!$A$2:$V$921,CF$1,FALSE)="","-",VLOOKUP(ROUND(CONCATENATE($A22,CF$2),0),'Cadastro dos Padrões'!$A$2:$V$921,CF$1,FALSE))</f>
        <v>0</v>
      </c>
      <c r="CG22" s="10">
        <f>IF(VLOOKUP(ROUND(CONCATENATE($A22,CG$2),0),'Cadastro dos Padrões'!$A$2:$V$921,CG$1,FALSE)="","-",VLOOKUP(ROUND(CONCATENATE($A22,CG$2),0),'Cadastro dos Padrões'!$A$2:$V$921,CG$1,FALSE))</f>
        <v>0</v>
      </c>
      <c r="CH22" s="10">
        <f>IF(VLOOKUP(ROUND(CONCATENATE($A22,CH$2),0),'Cadastro dos Padrões'!$A$2:$V$921,CH$1,FALSE)="","-",VLOOKUP(ROUND(CONCATENATE($A22,CH$2),0),'Cadastro dos Padrões'!$A$2:$V$921,CH$1,FALSE))</f>
        <v>0</v>
      </c>
      <c r="CI22" s="10">
        <f>IF(VLOOKUP(ROUND(CONCATENATE($A22,CI$2),0),'Cadastro dos Padrões'!$A$2:$V$921,CI$1,FALSE)="","-",VLOOKUP(ROUND(CONCATENATE($A22,CI$2),0),'Cadastro dos Padrões'!$A$2:$V$921,CI$1,FALSE))</f>
        <v>0</v>
      </c>
    </row>
    <row r="23" spans="1:87" x14ac:dyDescent="0.3">
      <c r="A23" s="4">
        <v>18</v>
      </c>
      <c r="B23" s="10" t="str">
        <f>IF(VLOOKUP(ROUND(CONCATENATE($A23,B$2),0),'Cadastro dos Padrões'!$A$2:$V$921,B$1,FALSE)="","-",VLOOKUP(ROUND(CONCATENATE($A23,B$2),0),'Cadastro dos Padrões'!$A$2:$V$921,B$1,FALSE))</f>
        <v>M.MS.LM-014</v>
      </c>
      <c r="C23" s="10" t="str">
        <f>IF(VLOOKUP(ROUND(CONCATENATE($A23,C$2),0),'Cadastro dos Padrões'!$A$2:$V$921,C$1,FALSE)="","-",VLOOKUP(ROUND(CONCATENATE($A23,C$2),0),'Cadastro dos Padrões'!$A$2:$V$921,C$1,FALSE))</f>
        <v>Balança Analítica</v>
      </c>
      <c r="D23" s="10" t="str">
        <f>IF(VLOOKUP(ROUND(CONCATENATE($A23,D$2),0),'Cadastro dos Padrões'!$A$2:$V$921,D$1,FALSE)="","-",VLOOKUP(ROUND(CONCATENATE($A23,D$2),0),'Cadastro dos Padrões'!$A$2:$V$921,D$1,FALSE))</f>
        <v>Metrolab</v>
      </c>
      <c r="E23" s="10" t="str">
        <f>IF(VLOOKUP(ROUND(CONCATENATE($A23,E$2),0),'Cadastro dos Padrões'!$A$2:$V$921,E$1,FALSE)="","-",VLOOKUP(ROUND(CONCATENATE($A23,E$2),0),'Cadastro dos Padrões'!$A$2:$V$921,E$1,FALSE))</f>
        <v>RBC - CAL 0215</v>
      </c>
      <c r="F23" s="10" t="str">
        <f>IF(VLOOKUP(ROUND(CONCATENATE($A23,F$2),0),'Cadastro dos Padrões'!$A$2:$V$921,F$1,FALSE)="","-",VLOOKUP(ROUND(CONCATENATE($A23,F$2),0),'Cadastro dos Padrões'!$A$2:$V$921,F$1,FALSE))</f>
        <v>M0066/25</v>
      </c>
      <c r="G23" s="27">
        <f>IF(VLOOKUP(ROUND(CONCATENATE($A23,G$2),0),'Cadastro dos Padrões'!$A$2:$V$921,G$1,FALSE)="","-",VLOOKUP(ROUND(CONCATENATE($A23,G$2),0),'Cadastro dos Padrões'!$A$2:$V$921,G$1,FALSE))</f>
        <v>45887</v>
      </c>
      <c r="H23" s="29">
        <f>IF(VLOOKUP(ROUND(CONCATENATE($A23,H$2),0),'Cadastro dos Padrões'!$A$2:$V$921,H$1,FALSE)="","-",VLOOKUP(ROUND(CONCATENATE($A23,H$2),0),'Cadastro dos Padrões'!$A$2:$V$921,H$1,FALSE))</f>
        <v>46264</v>
      </c>
      <c r="I23" s="10" t="str">
        <f>IF(VLOOKUP(ROUND(CONCATENATE($A23,I$2),0),'Cadastro dos Padrões'!$A$2:$V$921,I$1,FALSE)="","-",VLOOKUP(ROUND(CONCATENATE($A23,I$2),0),'Cadastro dos Padrões'!$A$2:$V$921,I$1,FALSE))</f>
        <v>g</v>
      </c>
      <c r="J23" s="10">
        <f>IF(VLOOKUP(ROUND(CONCATENATE($A23,J$2),0),'Cadastro dos Padrões'!$A$2:$V$921,J$1,FALSE)="","-",VLOOKUP(ROUND(CONCATENATE($A23,J$2),0),'Cadastro dos Padrões'!$A$2:$V$921,J$1,FALSE))</f>
        <v>1E-3</v>
      </c>
      <c r="K23" s="10">
        <f>IF(VLOOKUP(ROUND(CONCATENATE($A23,K$2),0),'Cadastro dos Padrões'!$A$2:$V$921,K$1,FALSE)="","-",VLOOKUP(ROUND(CONCATENATE($A23,K$2),0),'Cadastro dos Padrões'!$A$2:$V$921,K$1,FALSE))</f>
        <v>220</v>
      </c>
      <c r="L23" s="10">
        <f>IF(VLOOKUP(ROUND(CONCATENATE($A23,L$2),0),'Cadastro dos Padrões'!$A$2:$V$921,L$1,FALSE)="","-",VLOOKUP(ROUND(CONCATENATE($A23,L$2),0),'Cadastro dos Padrões'!$A$2:$V$921,L$1,FALSE))</f>
        <v>1.0000000000000001E-5</v>
      </c>
      <c r="M23" s="10">
        <f>IF(VLOOKUP(ROUND(CONCATENATE($A23,M$2),0),'Cadastro dos Padrões'!$A$2:$V$921,M$1,FALSE)="","-",VLOOKUP(ROUND(CONCATENATE($A23,M$2),0),'Cadastro dos Padrões'!$A$2:$V$921,M$1,FALSE))</f>
        <v>7.9999999999813554E-4</v>
      </c>
      <c r="N23" s="10">
        <f>IF(VLOOKUP(ROUND(CONCATENATE($A23,N$2),0),'Cadastro dos Padrões'!$A$2:$V$921,N$1,FALSE)="","-",VLOOKUP(ROUND(CONCATENATE($A23,N$2),0),'Cadastro dos Padrões'!$A$2:$V$921,N$1,FALSE))</f>
        <v>6.9999999999999999E-4</v>
      </c>
      <c r="O23" s="10">
        <f>IF(VLOOKUP(ROUND(CONCATENATE($A23,O$2),0),'Cadastro dos Padrões'!$A$2:$V$921,O$1,FALSE)="","-",VLOOKUP(ROUND(CONCATENATE($A23,O$2),0),'Cadastro dos Padrões'!$A$2:$V$921,O$1,FALSE))</f>
        <v>4.0000000001327862E-4</v>
      </c>
      <c r="P23" s="28">
        <f>IF(VLOOKUP(ROUND(CONCATENATE($A23,P$2),0),'Cadastro dos Padrões'!$A$2:$V$921,P$1,FALSE)="","-",VLOOKUP(ROUND(CONCATENATE($A23,P$2),0),'Cadastro dos Padrões'!$A$2:$V$921,P$1,FALSE))</f>
        <v>9.9999999991138929E-5</v>
      </c>
      <c r="Q23" s="10">
        <f>IF($B23="-","-",VLOOKUP(ROUND(CONCATENATE($A23,Q$2),0),'Cadastro dos Padrões'!$A$2:$V$921,Q$1,FALSE))</f>
        <v>7.1236368177629572E-6</v>
      </c>
      <c r="R23" s="10">
        <f>IF($B23="-","-",VLOOKUP(ROUND(CONCATENATE($A23,R$2),0),'Cadastro dos Padrões'!$A$2:$V$921,R$1,FALSE))</f>
        <v>5</v>
      </c>
      <c r="S23" s="10">
        <f>IF($B23="-","-",VLOOKUP(ROUND(CONCATENATE($A23,S$2),0),'Cadastro dos Padrões'!$A$2:$V$921,S$1,FALSE))</f>
        <v>0</v>
      </c>
      <c r="T23" s="10">
        <f>IF($B23="-","-",VLOOKUP(ROUND(CONCATENATE($A23,T$2),0),'Cadastro dos Padrões'!$A$2:$V$921,T$1,FALSE))</f>
        <v>0</v>
      </c>
      <c r="U23" s="10">
        <f>IF($B23="-","-",VLOOKUP(ROUND(CONCATENATE($A23,U$2),0),'Cadastro dos Padrões'!$A$2:$V$921,U$1,FALSE))</f>
        <v>0</v>
      </c>
      <c r="V23" s="10">
        <f>IF($B23="-","-",VLOOKUP(ROUND(CONCATENATE($A23,V$2),0),'Cadastro dos Padrões'!$A$2:$V$921,V$1,FALSE))</f>
        <v>-1.2669366368724902E-13</v>
      </c>
      <c r="W23" s="10">
        <f>IF($B23="-","-",VLOOKUP(ROUND(CONCATENATE($A23,W$2),0),'Cadastro dos Padrões'!$A$2:$V$921,W$1,FALSE))</f>
        <v>6.3587209678476281E-11</v>
      </c>
      <c r="X23" s="10">
        <f>IF($B23="-","-",VLOOKUP(ROUND(CONCATENATE($A23,X$2),0),'Cadastro dos Padrões'!$A$2:$V$921,X$1,FALSE))</f>
        <v>-1.0937872269495578E-8</v>
      </c>
      <c r="Y23" s="10">
        <f>IF($B23="-","-",VLOOKUP(ROUND(CONCATENATE($A23,Y$2),0),'Cadastro dos Padrões'!$A$2:$V$921,Y$1,FALSE))</f>
        <v>7.7846591125403296E-7</v>
      </c>
      <c r="Z23" s="10">
        <f>IF($B23="-","-",VLOOKUP(ROUND(CONCATENATE($A23,Z$2),0),'Cadastro dos Padrões'!$A$2:$V$921,Z$1,FALSE))</f>
        <v>0.99998136375868762</v>
      </c>
      <c r="AA23" s="10">
        <f>IF($B23="-","-",VLOOKUP(ROUND(CONCATENATE($A23,AA$2),0),'Cadastro dos Padrões'!$A$2:$V$921,AA$1,FALSE))</f>
        <v>2.5053007670854111E-5</v>
      </c>
      <c r="AB23" s="10">
        <f>IF(VLOOKUP(ROUND(CONCATENATE($A23,AB$2),0),'Cadastro dos Padrões'!$A$2:$V$921,AB$1,FALSE)="","-",VLOOKUP(ROUND(CONCATENATE($A23,AB$2),0),'Cadastro dos Padrões'!$A$2:$V$921,AB$1,FALSE))</f>
        <v>1E-3</v>
      </c>
      <c r="AC23" s="10">
        <f>IF(VLOOKUP(ROUND(CONCATENATE($A23,AC$2),0),'Cadastro dos Padrões'!$A$2:$V$921,AC$1,FALSE)="","-",VLOOKUP(ROUND(CONCATENATE($A23,AC$2),0),'Cadastro dos Padrões'!$A$2:$V$921,AC$1,FALSE))</f>
        <v>2.0000000000000002E-5</v>
      </c>
      <c r="AD23" s="10">
        <f>IF(VLOOKUP(ROUND(CONCATENATE($A23,AD$2),0),'Cadastro dos Padrões'!$A$2:$V$921,AD$1,FALSE)="","-",VLOOKUP(ROUND(CONCATENATE($A23,AD$2),0),'Cadastro dos Padrões'!$A$2:$V$921,AD$1,FALSE))</f>
        <v>2</v>
      </c>
      <c r="AE23" s="10">
        <f>IF(VLOOKUP(ROUND(CONCATENATE($A23,AE$2),0),'Cadastro dos Padrões'!$A$2:$V$921,AE$1,FALSE)="","-",VLOOKUP(ROUND(CONCATENATE($A23,AE$2),0),'Cadastro dos Padrões'!$A$2:$V$921,AE$1,FALSE))</f>
        <v>1000000</v>
      </c>
      <c r="AF23" s="10">
        <f>IF(VLOOKUP(ROUND(CONCATENATE($A23,AF$2),0),'Cadastro dos Padrões'!$A$2:$V$921,AF$1,FALSE)="","-",VLOOKUP(ROUND(CONCATENATE($A23,AF$2),0),'Cadastro dos Padrões'!$A$2:$V$921,AF$1,FALSE))</f>
        <v>5.0000000000000001E-3</v>
      </c>
      <c r="AG23" s="10">
        <f>IF(VLOOKUP(ROUND(CONCATENATE($A23,AG$2),0),'Cadastro dos Padrões'!$A$2:$V$921,AG$1,FALSE)="","-",VLOOKUP(ROUND(CONCATENATE($A23,AG$2),0),'Cadastro dos Padrões'!$A$2:$V$921,AG$1,FALSE))</f>
        <v>2.0000000000000002E-5</v>
      </c>
      <c r="AH23" s="10">
        <f>IF(VLOOKUP(ROUND(CONCATENATE($A23,AH$2),0),'Cadastro dos Padrões'!$A$2:$V$921,AH$1,FALSE)="","-",VLOOKUP(ROUND(CONCATENATE($A23,AH$2),0),'Cadastro dos Padrões'!$A$2:$V$921,AH$1,FALSE))</f>
        <v>2</v>
      </c>
      <c r="AI23" s="10">
        <f>IF(VLOOKUP(ROUND(CONCATENATE($A23,AI$2),0),'Cadastro dos Padrões'!$A$2:$V$921,AI$1,FALSE)="","-",VLOOKUP(ROUND(CONCATENATE($A23,AI$2),0),'Cadastro dos Padrões'!$A$2:$V$921,AI$1,FALSE))</f>
        <v>1000000</v>
      </c>
      <c r="AJ23" s="10">
        <f>IF(VLOOKUP(ROUND(CONCATENATE($A23,AJ$2),0),'Cadastro dos Padrões'!$A$2:$V$921,AJ$1,FALSE)="","-",VLOOKUP(ROUND(CONCATENATE($A23,AJ$2),0),'Cadastro dos Padrões'!$A$2:$V$921,AJ$1,FALSE))</f>
        <v>5</v>
      </c>
      <c r="AK23" s="10">
        <f>IF(VLOOKUP(ROUND(CONCATENATE($A23,AK$2),0),'Cadastro dos Padrões'!$A$2:$V$921,AK$1,FALSE)="","-",VLOOKUP(ROUND(CONCATENATE($A23,AK$2),0),'Cadastro dos Padrões'!$A$2:$V$921,AK$1,FALSE))</f>
        <v>3.0000000000000001E-5</v>
      </c>
      <c r="AL23" s="10">
        <f>IF(VLOOKUP(ROUND(CONCATENATE($A23,AL$2),0),'Cadastro dos Padrões'!$A$2:$V$921,AL$1,FALSE)="","-",VLOOKUP(ROUND(CONCATENATE($A23,AL$2),0),'Cadastro dos Padrões'!$A$2:$V$921,AL$1,FALSE))</f>
        <v>2</v>
      </c>
      <c r="AM23" s="10">
        <f>IF(VLOOKUP(ROUND(CONCATENATE($A23,AM$2),0),'Cadastro dos Padrões'!$A$2:$V$921,AM$1,FALSE)="","-",VLOOKUP(ROUND(CONCATENATE($A23,AM$2),0),'Cadastro dos Padrões'!$A$2:$V$921,AM$1,FALSE))</f>
        <v>1000000</v>
      </c>
      <c r="AN23" s="10">
        <f>IF(VLOOKUP(ROUND(CONCATENATE($A23,AN$2),0),'Cadastro dos Padrões'!$A$2:$V$921,AN$1,FALSE)="","-",VLOOKUP(ROUND(CONCATENATE($A23,AN$2),0),'Cadastro dos Padrões'!$A$2:$V$921,AN$1,FALSE))</f>
        <v>50</v>
      </c>
      <c r="AO23" s="10">
        <f>IF(VLOOKUP(ROUND(CONCATENATE($A23,AO$2),0),'Cadastro dos Padrões'!$A$2:$V$921,AO$1,FALSE)="","-",VLOOKUP(ROUND(CONCATENATE($A23,AO$2),0),'Cadastro dos Padrões'!$A$2:$V$921,AO$1,FALSE))</f>
        <v>1.4999999999999999E-4</v>
      </c>
      <c r="AP23" s="10">
        <f>IF(VLOOKUP(ROUND(CONCATENATE($A23,AP$2),0),'Cadastro dos Padrões'!$A$2:$V$921,AP$1,FALSE)="","-",VLOOKUP(ROUND(CONCATENATE($A23,AP$2),0),'Cadastro dos Padrões'!$A$2:$V$921,AP$1,FALSE))</f>
        <v>2</v>
      </c>
      <c r="AQ23" s="10">
        <f>IF(VLOOKUP(ROUND(CONCATENATE($A23,AQ$2),0),'Cadastro dos Padrões'!$A$2:$V$921,AQ$1,FALSE)="","-",VLOOKUP(ROUND(CONCATENATE($A23,AQ$2),0),'Cadastro dos Padrões'!$A$2:$V$921,AQ$1,FALSE))</f>
        <v>1000000</v>
      </c>
      <c r="AR23" s="10">
        <f>IF(VLOOKUP(ROUND(CONCATENATE($A23,AR$2),0),'Cadastro dos Padrões'!$A$2:$V$921,AR$1,FALSE)="","-",VLOOKUP(ROUND(CONCATENATE($A23,AR$2),0),'Cadastro dos Padrões'!$A$2:$V$921,AR$1,FALSE))</f>
        <v>100</v>
      </c>
      <c r="AS23" s="10">
        <f>IF(VLOOKUP(ROUND(CONCATENATE($A23,AS$2),0),'Cadastro dos Padrões'!$A$2:$V$921,AS$1,FALSE)="","-",VLOOKUP(ROUND(CONCATENATE($A23,AS$2),0),'Cadastro dos Padrões'!$A$2:$V$921,AS$1,FALSE))</f>
        <v>4.0000000000000002E-4</v>
      </c>
      <c r="AT23" s="10">
        <f>IF(VLOOKUP(ROUND(CONCATENATE($A23,AT$2),0),'Cadastro dos Padrões'!$A$2:$V$921,AT$1,FALSE)="","-",VLOOKUP(ROUND(CONCATENATE($A23,AT$2),0),'Cadastro dos Padrões'!$A$2:$V$921,AT$1,FALSE))</f>
        <v>2</v>
      </c>
      <c r="AU23" s="10">
        <f>IF(VLOOKUP(ROUND(CONCATENATE($A23,AU$2),0),'Cadastro dos Padrões'!$A$2:$V$921,AU$1,FALSE)="","-",VLOOKUP(ROUND(CONCATENATE($A23,AU$2),0),'Cadastro dos Padrões'!$A$2:$V$921,AU$1,FALSE))</f>
        <v>1000000</v>
      </c>
      <c r="AV23" s="10">
        <f>IF(VLOOKUP(ROUND(CONCATENATE($A23,AV$2),0),'Cadastro dos Padrões'!$A$2:$V$921,AV$1,FALSE)="","-",VLOOKUP(ROUND(CONCATENATE($A23,AV$2),0),'Cadastro dos Padrões'!$A$2:$V$921,AV$1,FALSE))</f>
        <v>150</v>
      </c>
      <c r="AW23" s="10">
        <f>IF(VLOOKUP(ROUND(CONCATENATE($A23,AW$2),0),'Cadastro dos Padrões'!$A$2:$V$921,AW$1,FALSE)="","-",VLOOKUP(ROUND(CONCATENATE($A23,AW$2),0),'Cadastro dos Padrões'!$A$2:$V$921,AW$1,FALSE))</f>
        <v>5.0000000000000001E-4</v>
      </c>
      <c r="AX23" s="10">
        <f>IF(VLOOKUP(ROUND(CONCATENATE($A23,AX$2),0),'Cadastro dos Padrões'!$A$2:$V$921,AX$1,FALSE)="","-",VLOOKUP(ROUND(CONCATENATE($A23,AX$2),0),'Cadastro dos Padrões'!$A$2:$V$921,AX$1,FALSE))</f>
        <v>2</v>
      </c>
      <c r="AY23" s="10">
        <f>IF(VLOOKUP(ROUND(CONCATENATE($A23,AY$2),0),'Cadastro dos Padrões'!$A$2:$V$921,AY$1,FALSE)="","-",VLOOKUP(ROUND(CONCATENATE($A23,AY$2),0),'Cadastro dos Padrões'!$A$2:$V$921,AY$1,FALSE))</f>
        <v>1000000</v>
      </c>
      <c r="AZ23" s="10">
        <f>IF(VLOOKUP(ROUND(CONCATENATE($A23,AZ$2),0),'Cadastro dos Padrões'!$A$2:$V$921,AZ$1,FALSE)="","-",VLOOKUP(ROUND(CONCATENATE($A23,AZ$2),0),'Cadastro dos Padrões'!$A$2:$V$921,AZ$1,FALSE))</f>
        <v>220</v>
      </c>
      <c r="BA23" s="10">
        <f>IF(VLOOKUP(ROUND(CONCATENATE($A23,BA$2),0),'Cadastro dos Padrões'!$A$2:$V$921,BA$1,FALSE)="","-",VLOOKUP(ROUND(CONCATENATE($A23,BA$2),0),'Cadastro dos Padrões'!$A$2:$V$921,BA$1,FALSE))</f>
        <v>6.9999999999999999E-4</v>
      </c>
      <c r="BB23" s="10">
        <f>IF(VLOOKUP(ROUND(CONCATENATE($A23,BB$2),0),'Cadastro dos Padrões'!$A$2:$V$921,BB$1,FALSE)="","-",VLOOKUP(ROUND(CONCATENATE($A23,BB$2),0),'Cadastro dos Padrões'!$A$2:$V$921,BB$1,FALSE))</f>
        <v>2</v>
      </c>
      <c r="BC23" s="10">
        <f>IF(VLOOKUP(ROUND(CONCATENATE($A23,BC$2),0),'Cadastro dos Padrões'!$A$2:$V$921,BC$1,FALSE)="","-",VLOOKUP(ROUND(CONCATENATE($A23,BC$2),0),'Cadastro dos Padrões'!$A$2:$V$921,BC$1,FALSE))</f>
        <v>1000000</v>
      </c>
      <c r="BD23" s="10" t="str">
        <f>IF(VLOOKUP(ROUND(CONCATENATE($A23,BD$2),0),'Cadastro dos Padrões'!$A$2:$V$921,BD$1,FALSE)="","-",VLOOKUP(ROUND(CONCATENATE($A23,BD$2),0),'Cadastro dos Padrões'!$A$2:$V$921,BD$1,FALSE))</f>
        <v>-</v>
      </c>
      <c r="BE23" s="10" t="str">
        <f>IF(VLOOKUP(ROUND(CONCATENATE($A23,BE$2),0),'Cadastro dos Padrões'!$A$2:$V$921,BE$1,FALSE)="","-",VLOOKUP(ROUND(CONCATENATE($A23,BE$2),0),'Cadastro dos Padrões'!$A$2:$V$921,BE$1,FALSE))</f>
        <v>-</v>
      </c>
      <c r="BF23" s="10" t="str">
        <f>IF(VLOOKUP(ROUND(CONCATENATE($A23,BF$2),0),'Cadastro dos Padrões'!$A$2:$V$921,BF$1,FALSE)="","-",VLOOKUP(ROUND(CONCATENATE($A23,BF$2),0),'Cadastro dos Padrões'!$A$2:$V$921,BF$1,FALSE))</f>
        <v>-</v>
      </c>
      <c r="BG23" s="10" t="str">
        <f>IF(VLOOKUP(ROUND(CONCATENATE($A23,BG$2),0),'Cadastro dos Padrões'!$A$2:$V$921,BG$1,FALSE)="","-",VLOOKUP(ROUND(CONCATENATE($A23,BG$2),0),'Cadastro dos Padrões'!$A$2:$V$921,BG$1,FALSE))</f>
        <v>-</v>
      </c>
      <c r="BH23" s="10" t="str">
        <f>IF(VLOOKUP(ROUND(CONCATENATE($A23,BH$2),0),'Cadastro dos Padrões'!$A$2:$V$921,BH$1,FALSE)="","-",VLOOKUP(ROUND(CONCATENATE($A23,BH$2),0),'Cadastro dos Padrões'!$A$2:$V$921,BH$1,FALSE))</f>
        <v>-</v>
      </c>
      <c r="BI23" s="10" t="str">
        <f>IF(VLOOKUP(ROUND(CONCATENATE($A23,BI$2),0),'Cadastro dos Padrões'!$A$2:$V$921,BI$1,FALSE)="","-",VLOOKUP(ROUND(CONCATENATE($A23,BI$2),0),'Cadastro dos Padrões'!$A$2:$V$921,BI$1,FALSE))</f>
        <v>-</v>
      </c>
      <c r="BJ23" s="10" t="str">
        <f>IF(VLOOKUP(ROUND(CONCATENATE($A23,BJ$2),0),'Cadastro dos Padrões'!$A$2:$V$921,BJ$1,FALSE)="","-",VLOOKUP(ROUND(CONCATENATE($A23,BJ$2),0),'Cadastro dos Padrões'!$A$2:$V$921,BJ$1,FALSE))</f>
        <v>-</v>
      </c>
      <c r="BK23" s="10" t="str">
        <f>IF(VLOOKUP(ROUND(CONCATENATE($A23,BK$2),0),'Cadastro dos Padrões'!$A$2:$V$921,BK$1,FALSE)="","-",VLOOKUP(ROUND(CONCATENATE($A23,BK$2),0),'Cadastro dos Padrões'!$A$2:$V$921,BK$1,FALSE))</f>
        <v>-</v>
      </c>
      <c r="BL23" s="10" t="str">
        <f>IF(VLOOKUP(ROUND(CONCATENATE($A23,BL$2),0),'Cadastro dos Padrões'!$A$2:$V$921,BL$1,FALSE)="","-",VLOOKUP(ROUND(CONCATENATE($A23,BL$2),0),'Cadastro dos Padrões'!$A$2:$V$921,BL$1,FALSE))</f>
        <v>-</v>
      </c>
      <c r="BM23" s="10" t="str">
        <f>IF(VLOOKUP(ROUND(CONCATENATE($A23,BM$2),0),'Cadastro dos Padrões'!$A$2:$V$921,BM$1,FALSE)="","-",VLOOKUP(ROUND(CONCATENATE($A23,BM$2),0),'Cadastro dos Padrões'!$A$2:$V$921,BM$1,FALSE))</f>
        <v>-</v>
      </c>
      <c r="BN23" s="10" t="str">
        <f>IF(VLOOKUP(ROUND(CONCATENATE($A23,BN$2),0),'Cadastro dos Padrões'!$A$2:$V$921,BN$1,FALSE)="","-",VLOOKUP(ROUND(CONCATENATE($A23,BN$2),0),'Cadastro dos Padrões'!$A$2:$V$921,BN$1,FALSE))</f>
        <v>-</v>
      </c>
      <c r="BO23" s="10" t="str">
        <f>IF(VLOOKUP(ROUND(CONCATENATE($A23,BO$2),0),'Cadastro dos Padrões'!$A$2:$V$921,BO$1,FALSE)="","-",VLOOKUP(ROUND(CONCATENATE($A23,BO$2),0),'Cadastro dos Padrões'!$A$2:$V$921,BO$1,FALSE))</f>
        <v>-</v>
      </c>
      <c r="BP23" s="10">
        <f>IF(VLOOKUP(ROUND(CONCATENATE($A23,BP$2),0),'Cadastro dos Padrões'!$A$2:$V$921,BP$1,FALSE)="","-",VLOOKUP(ROUND(CONCATENATE($A23,BP$2),0),'Cadastro dos Padrões'!$A$2:$V$921,BP$1,FALSE))</f>
        <v>-2.0000000000000052E-5</v>
      </c>
      <c r="BQ23" s="10">
        <f>IF(VLOOKUP(ROUND(CONCATENATE($A23,BQ$2),0),'Cadastro dos Padrões'!$A$2:$V$921,BQ$1,FALSE)="","-",VLOOKUP(ROUND(CONCATENATE($A23,BQ$2),0),'Cadastro dos Padrões'!$A$2:$V$921,BQ$1,FALSE))</f>
        <v>-3.0000000000000512E-5</v>
      </c>
      <c r="BR23" s="10">
        <f>IF(VLOOKUP(ROUND(CONCATENATE($A23,BR$2),0),'Cadastro dos Padrões'!$A$2:$V$921,BR$1,FALSE)="","-",VLOOKUP(ROUND(CONCATENATE($A23,BR$2),0),'Cadastro dos Padrões'!$A$2:$V$921,BR$1,FALSE))</f>
        <v>4.9999999999883471E-5</v>
      </c>
      <c r="BS23" s="10">
        <f>IF(VLOOKUP(ROUND(CONCATENATE($A23,BS$2),0),'Cadastro dos Padrões'!$A$2:$V$921,BS$1,FALSE)="","-",VLOOKUP(ROUND(CONCATENATE($A23,BS$2),0),'Cadastro dos Padrões'!$A$2:$V$921,BS$1,FALSE))</f>
        <v>-3.0000000002416982E-5</v>
      </c>
      <c r="BT23" s="10">
        <f>IF(VLOOKUP(ROUND(CONCATENATE($A23,BT$2),0),'Cadastro dos Padrões'!$A$2:$V$921,BT$1,FALSE)="","-",VLOOKUP(ROUND(CONCATENATE($A23,BT$2),0),'Cadastro dos Padrões'!$A$2:$V$921,BT$1,FALSE))</f>
        <v>-1.0000000000331966E-4</v>
      </c>
      <c r="BU23" s="10">
        <f>IF(VLOOKUP(ROUND(CONCATENATE($A23,BU$2),0),'Cadastro dos Padrões'!$A$2:$V$921,BU$1,FALSE)="","-",VLOOKUP(ROUND(CONCATENATE($A23,BU$2),0),'Cadastro dos Padrões'!$A$2:$V$921,BU$1,FALSE))</f>
        <v>-4.0000000001327862E-4</v>
      </c>
      <c r="BV23" s="10">
        <f>IF(VLOOKUP(ROUND(CONCATENATE($A23,BV$2),0),'Cadastro dos Padrões'!$A$2:$V$921,BV$1,FALSE)="","-",VLOOKUP(ROUND(CONCATENATE($A23,BV$2),0),'Cadastro dos Padrões'!$A$2:$V$921,BV$1,FALSE))</f>
        <v>-7.9999999999813554E-4</v>
      </c>
      <c r="BW23" s="10">
        <f>IF(VLOOKUP(ROUND(CONCATENATE($A23,BW$2),0),'Cadastro dos Padrões'!$A$2:$V$921,BW$1,FALSE)="","-",VLOOKUP(ROUND(CONCATENATE($A23,BW$2),0),'Cadastro dos Padrões'!$A$2:$V$921,BW$1,FALSE))</f>
        <v>0</v>
      </c>
      <c r="BX23" s="10">
        <f>IF(VLOOKUP(ROUND(CONCATENATE($A23,BX$2),0),'Cadastro dos Padrões'!$A$2:$V$921,BX$1,FALSE)="","-",VLOOKUP(ROUND(CONCATENATE($A23,BX$2),0),'Cadastro dos Padrões'!$A$2:$V$921,BX$1,FALSE))</f>
        <v>0</v>
      </c>
      <c r="BY23" s="10">
        <f>IF(VLOOKUP(ROUND(CONCATENATE($A23,BY$2),0),'Cadastro dos Padrões'!$A$2:$V$921,BY$1,FALSE)="","-",VLOOKUP(ROUND(CONCATENATE($A23,BY$2),0),'Cadastro dos Padrões'!$A$2:$V$921,BY$1,FALSE))</f>
        <v>0</v>
      </c>
      <c r="BZ23" s="10">
        <f>IF(VLOOKUP(ROUND(CONCATENATE($A23,BZ$2),0),'Cadastro dos Padrões'!$A$2:$V$921,BZ$1,FALSE)="","-",VLOOKUP(ROUND(CONCATENATE($A23,BZ$2),0),'Cadastro dos Padrões'!$A$2:$V$921,BZ$1,FALSE))</f>
        <v>2.0000000000000052E-5</v>
      </c>
      <c r="CA23" s="10">
        <f>IF(VLOOKUP(ROUND(CONCATENATE($A23,CA$2),0),'Cadastro dos Padrões'!$A$2:$V$921,CA$1,FALSE)="","-",VLOOKUP(ROUND(CONCATENATE($A23,CA$2),0),'Cadastro dos Padrões'!$A$2:$V$921,CA$1,FALSE))</f>
        <v>1.000000000000046E-5</v>
      </c>
      <c r="CB23" s="10">
        <f>IF(VLOOKUP(ROUND(CONCATENATE($A23,CB$2),0),'Cadastro dos Padrões'!$A$2:$V$921,CB$1,FALSE)="","-",VLOOKUP(ROUND(CONCATENATE($A23,CB$2),0),'Cadastro dos Padrões'!$A$2:$V$921,CB$1,FALSE))</f>
        <v>2.0000000000131024E-5</v>
      </c>
      <c r="CC23" s="10">
        <f>IF(VLOOKUP(ROUND(CONCATENATE($A23,CC$2),0),'Cadastro dos Padrões'!$A$2:$V$921,CC$1,FALSE)="","-",VLOOKUP(ROUND(CONCATENATE($A23,CC$2),0),'Cadastro dos Padrões'!$A$2:$V$921,CC$1,FALSE))</f>
        <v>1.200000000025625E-4</v>
      </c>
      <c r="CD23" s="10">
        <f>IF(VLOOKUP(ROUND(CONCATENATE($A23,CD$2),0),'Cadastro dos Padrões'!$A$2:$V$921,CD$1,FALSE)="","-",VLOOKUP(ROUND(CONCATENATE($A23,CD$2),0),'Cadastro dos Padrões'!$A$2:$V$921,CD$1,FALSE))</f>
        <v>0</v>
      </c>
      <c r="CE23" s="10">
        <f>IF(VLOOKUP(ROUND(CONCATENATE($A23,CE$2),0),'Cadastro dos Padrões'!$A$2:$V$921,CE$1,FALSE)="","-",VLOOKUP(ROUND(CONCATENATE($A23,CE$2),0),'Cadastro dos Padrões'!$A$2:$V$921,CE$1,FALSE))</f>
        <v>4.0000000001327862E-4</v>
      </c>
      <c r="CF23" s="10">
        <f>IF(VLOOKUP(ROUND(CONCATENATE($A23,CF$2),0),'Cadastro dos Padrões'!$A$2:$V$921,CF$1,FALSE)="","-",VLOOKUP(ROUND(CONCATENATE($A23,CF$2),0),'Cadastro dos Padrões'!$A$2:$V$921,CF$1,FALSE))</f>
        <v>2.0000000000663931E-4</v>
      </c>
      <c r="CG23" s="10">
        <f>IF(VLOOKUP(ROUND(CONCATENATE($A23,CG$2),0),'Cadastro dos Padrões'!$A$2:$V$921,CG$1,FALSE)="","-",VLOOKUP(ROUND(CONCATENATE($A23,CG$2),0),'Cadastro dos Padrões'!$A$2:$V$921,CG$1,FALSE))</f>
        <v>0</v>
      </c>
      <c r="CH23" s="10">
        <f>IF(VLOOKUP(ROUND(CONCATENATE($A23,CH$2),0),'Cadastro dos Padrões'!$A$2:$V$921,CH$1,FALSE)="","-",VLOOKUP(ROUND(CONCATENATE($A23,CH$2),0),'Cadastro dos Padrões'!$A$2:$V$921,CH$1,FALSE))</f>
        <v>0</v>
      </c>
      <c r="CI23" s="10">
        <f>IF(VLOOKUP(ROUND(CONCATENATE($A23,CI$2),0),'Cadastro dos Padrões'!$A$2:$V$921,CI$1,FALSE)="","-",VLOOKUP(ROUND(CONCATENATE($A23,CI$2),0),'Cadastro dos Padrões'!$A$2:$V$921,CI$1,FALSE))</f>
        <v>0</v>
      </c>
    </row>
    <row r="24" spans="1:87" x14ac:dyDescent="0.3">
      <c r="A24" s="4">
        <v>19</v>
      </c>
      <c r="B24" s="10" t="str">
        <f>IF(VLOOKUP(ROUND(CONCATENATE($A24,B$2),0),'Cadastro dos Padrões'!$A$2:$V$921,B$1,FALSE)="","-",VLOOKUP(ROUND(CONCATENATE($A24,B$2),0),'Cadastro dos Padrões'!$A$2:$V$921,B$1,FALSE))</f>
        <v>E.MS.LQ-009</v>
      </c>
      <c r="C24" s="10" t="str">
        <f>IF(VLOOKUP(ROUND(CONCATENATE($A24,C$2),0),'Cadastro dos Padrões'!$A$2:$V$921,C$1,FALSE)="","-",VLOOKUP(ROUND(CONCATENATE($A24,C$2),0),'Cadastro dos Padrões'!$A$2:$V$921,C$1,FALSE))</f>
        <v>Balança Analítica</v>
      </c>
      <c r="D24" s="10" t="str">
        <f>IF(VLOOKUP(ROUND(CONCATENATE($A24,D$2),0),'Cadastro dos Padrões'!$A$2:$V$921,D$1,FALSE)="","-",VLOOKUP(ROUND(CONCATENATE($A24,D$2),0),'Cadastro dos Padrões'!$A$2:$V$921,D$1,FALSE))</f>
        <v xml:space="preserve">Elus </v>
      </c>
      <c r="E24" s="10" t="str">
        <f>IF(VLOOKUP(ROUND(CONCATENATE($A24,E$2),0),'Cadastro dos Padrões'!$A$2:$V$921,E$1,FALSE)="","-",VLOOKUP(ROUND(CONCATENATE($A24,E$2),0),'Cadastro dos Padrões'!$A$2:$V$921,E$1,FALSE))</f>
        <v>RBC - CAL 0439</v>
      </c>
      <c r="F24" s="10" t="str">
        <f>IF(VLOOKUP(ROUND(CONCATENATE($A24,F$2),0),'Cadastro dos Padrões'!$A$2:$V$921,F$1,FALSE)="","-",VLOOKUP(ROUND(CONCATENATE($A24,F$2),0),'Cadastro dos Padrões'!$A$2:$V$921,F$1,FALSE))</f>
        <v>E0848/25</v>
      </c>
      <c r="G24" s="27">
        <f>IF(VLOOKUP(ROUND(CONCATENATE($A24,G$2),0),'Cadastro dos Padrões'!$A$2:$V$921,G$1,FALSE)="","-",VLOOKUP(ROUND(CONCATENATE($A24,G$2),0),'Cadastro dos Padrões'!$A$2:$V$921,G$1,FALSE))</f>
        <v>45868</v>
      </c>
      <c r="H24" s="29">
        <f>IF(VLOOKUP(ROUND(CONCATENATE($A24,H$2),0),'Cadastro dos Padrões'!$A$2:$V$921,H$1,FALSE)="","-",VLOOKUP(ROUND(CONCATENATE($A24,H$2),0),'Cadastro dos Padrões'!$A$2:$V$921,H$1,FALSE))</f>
        <v>46233</v>
      </c>
      <c r="I24" s="10" t="str">
        <f>IF(VLOOKUP(ROUND(CONCATENATE($A24,I$2),0),'Cadastro dos Padrões'!$A$2:$V$921,I$1,FALSE)="","-",VLOOKUP(ROUND(CONCATENATE($A24,I$2),0),'Cadastro dos Padrões'!$A$2:$V$921,I$1,FALSE))</f>
        <v>g</v>
      </c>
      <c r="J24" s="10">
        <f>IF(VLOOKUP(ROUND(CONCATENATE($A24,J$2),0),'Cadastro dos Padrões'!$A$2:$V$921,J$1,FALSE)="","-",VLOOKUP(ROUND(CONCATENATE($A24,J$2),0),'Cadastro dos Padrões'!$A$2:$V$921,J$1,FALSE))</f>
        <v>1E-3</v>
      </c>
      <c r="K24" s="10">
        <f>IF(VLOOKUP(ROUND(CONCATENATE($A24,K$2),0),'Cadastro dos Padrões'!$A$2:$V$921,K$1,FALSE)="","-",VLOOKUP(ROUND(CONCATENATE($A24,K$2),0),'Cadastro dos Padrões'!$A$2:$V$921,K$1,FALSE))</f>
        <v>220</v>
      </c>
      <c r="L24" s="10">
        <f>IF(VLOOKUP(ROUND(CONCATENATE($A24,L$2),0),'Cadastro dos Padrões'!$A$2:$V$921,L$1,FALSE)="","-",VLOOKUP(ROUND(CONCATENATE($A24,L$2),0),'Cadastro dos Padrões'!$A$2:$V$921,L$1,FALSE))</f>
        <v>1.0000000000000001E-5</v>
      </c>
      <c r="M24" s="10">
        <f>IF(VLOOKUP(ROUND(CONCATENATE($A24,M$2),0),'Cadastro dos Padrões'!$A$2:$V$921,M$1,FALSE)="","-",VLOOKUP(ROUND(CONCATENATE($A24,M$2),0),'Cadastro dos Padrões'!$A$2:$V$921,M$1,FALSE))</f>
        <v>2.0000000000663931E-4</v>
      </c>
      <c r="N24" s="10">
        <f>IF(VLOOKUP(ROUND(CONCATENATE($A24,N$2),0),'Cadastro dos Padrões'!$A$2:$V$921,N$1,FALSE)="","-",VLOOKUP(ROUND(CONCATENATE($A24,N$2),0),'Cadastro dos Padrões'!$A$2:$V$921,N$1,FALSE))</f>
        <v>8.0000000000000004E-4</v>
      </c>
      <c r="O24" s="10">
        <f>IF(VLOOKUP(ROUND(CONCATENATE($A24,O$2),0),'Cadastro dos Padrões'!$A$2:$V$921,O$1,FALSE)="","-",VLOOKUP(ROUND(CONCATENATE($A24,O$2),0),'Cadastro dos Padrões'!$A$2:$V$921,O$1,FALSE))</f>
        <v>2.0000000000663931E-4</v>
      </c>
      <c r="P24" s="28">
        <f>IF(VLOOKUP(ROUND(CONCATENATE($A24,P$2),0),'Cadastro dos Padrões'!$A$2:$V$921,P$1,FALSE)="","-",VLOOKUP(ROUND(CONCATENATE($A24,P$2),0),'Cadastro dos Padrões'!$A$2:$V$921,P$1,FALSE))</f>
        <v>2.0000000000663931E-4</v>
      </c>
      <c r="Q24" s="10">
        <f>IF($B24="-","-",VLOOKUP(ROUND(CONCATENATE($A24,Q$2),0),'Cadastro dos Padrões'!$A$2:$V$921,Q$1,FALSE))</f>
        <v>2.830433860290249E-5</v>
      </c>
      <c r="R24" s="10">
        <f>IF($B24="-","-",VLOOKUP(ROUND(CONCATENATE($A24,R$2),0),'Cadastro dos Padrões'!$A$2:$V$921,R$1,FALSE))</f>
        <v>5</v>
      </c>
      <c r="S24" s="10">
        <f>IF($B24="-","-",VLOOKUP(ROUND(CONCATENATE($A24,S$2),0),'Cadastro dos Padrões'!$A$2:$V$921,S$1,FALSE))</f>
        <v>0</v>
      </c>
      <c r="T24" s="10">
        <f>IF($B24="-","-",VLOOKUP(ROUND(CONCATENATE($A24,T$2),0),'Cadastro dos Padrões'!$A$2:$V$921,T$1,FALSE))</f>
        <v>0</v>
      </c>
      <c r="U24" s="10">
        <f>IF($B24="-","-",VLOOKUP(ROUND(CONCATENATE($A24,U$2),0),'Cadastro dos Padrões'!$A$2:$V$921,U$1,FALSE))</f>
        <v>0</v>
      </c>
      <c r="V24" s="10">
        <f>IF($B24="-","-",VLOOKUP(ROUND(CONCATENATE($A24,V$2),0),'Cadastro dos Padrões'!$A$2:$V$921,V$1,FALSE))</f>
        <v>-1.1559172615534684E-14</v>
      </c>
      <c r="W24" s="10">
        <f>IF($B24="-","-",VLOOKUP(ROUND(CONCATENATE($A24,W$2),0),'Cadastro dos Padrões'!$A$2:$V$921,W$1,FALSE))</f>
        <v>8.3974391316719149E-12</v>
      </c>
      <c r="X24" s="10">
        <f>IF($B24="-","-",VLOOKUP(ROUND(CONCATENATE($A24,X$2),0),'Cadastro dos Padrões'!$A$2:$V$921,X$1,FALSE))</f>
        <v>-2.250138112949817E-9</v>
      </c>
      <c r="Y24" s="10">
        <f>IF($B24="-","-",VLOOKUP(ROUND(CONCATENATE($A24,Y$2),0),'Cadastro dos Padrões'!$A$2:$V$921,Y$1,FALSE))</f>
        <v>2.4424173114031842E-7</v>
      </c>
      <c r="Z24" s="10">
        <f>IF($B24="-","-",VLOOKUP(ROUND(CONCATENATE($A24,Z$2),0),'Cadastro dos Padrões'!$A$2:$V$921,Z$1,FALSE))</f>
        <v>0.99999283557315244</v>
      </c>
      <c r="AA24" s="10">
        <f>IF($B24="-","-",VLOOKUP(ROUND(CONCATENATE($A24,AA$2),0),'Cadastro dos Padrões'!$A$2:$V$921,AA$1,FALSE))</f>
        <v>1.1926576278659118E-8</v>
      </c>
      <c r="AB24" s="10">
        <f>IF(VLOOKUP(ROUND(CONCATENATE($A24,AB$2),0),'Cadastro dos Padrões'!$A$2:$V$921,AB$1,FALSE)="","-",VLOOKUP(ROUND(CONCATENATE($A24,AB$2),0),'Cadastro dos Padrões'!$A$2:$V$921,AB$1,FALSE))</f>
        <v>1E-3</v>
      </c>
      <c r="AC24" s="10">
        <f>IF(VLOOKUP(ROUND(CONCATENATE($A24,AC$2),0),'Cadastro dos Padrões'!$A$2:$V$921,AC$1,FALSE)="","-",VLOOKUP(ROUND(CONCATENATE($A24,AC$2),0),'Cadastro dos Padrões'!$A$2:$V$921,AC$1,FALSE))</f>
        <v>2.0000000000000002E-5</v>
      </c>
      <c r="AD24" s="10">
        <f>IF(VLOOKUP(ROUND(CONCATENATE($A24,AD$2),0),'Cadastro dos Padrões'!$A$2:$V$921,AD$1,FALSE)="","-",VLOOKUP(ROUND(CONCATENATE($A24,AD$2),0),'Cadastro dos Padrões'!$A$2:$V$921,AD$1,FALSE))</f>
        <v>2</v>
      </c>
      <c r="AE24" s="10">
        <f>IF(VLOOKUP(ROUND(CONCATENATE($A24,AE$2),0),'Cadastro dos Padrões'!$A$2:$V$921,AE$1,FALSE)="","-",VLOOKUP(ROUND(CONCATENATE($A24,AE$2),0),'Cadastro dos Padrões'!$A$2:$V$921,AE$1,FALSE))</f>
        <v>1000000</v>
      </c>
      <c r="AF24" s="10">
        <f>IF(VLOOKUP(ROUND(CONCATENATE($A24,AF$2),0),'Cadastro dos Padrões'!$A$2:$V$921,AF$1,FALSE)="","-",VLOOKUP(ROUND(CONCATENATE($A24,AF$2),0),'Cadastro dos Padrões'!$A$2:$V$921,AF$1,FALSE))</f>
        <v>5.0000000000000001E-3</v>
      </c>
      <c r="AG24" s="10">
        <f>IF(VLOOKUP(ROUND(CONCATENATE($A24,AG$2),0),'Cadastro dos Padrões'!$A$2:$V$921,AG$1,FALSE)="","-",VLOOKUP(ROUND(CONCATENATE($A24,AG$2),0),'Cadastro dos Padrões'!$A$2:$V$921,AG$1,FALSE))</f>
        <v>2.0000000000000002E-5</v>
      </c>
      <c r="AH24" s="10">
        <f>IF(VLOOKUP(ROUND(CONCATENATE($A24,AH$2),0),'Cadastro dos Padrões'!$A$2:$V$921,AH$1,FALSE)="","-",VLOOKUP(ROUND(CONCATENATE($A24,AH$2),0),'Cadastro dos Padrões'!$A$2:$V$921,AH$1,FALSE))</f>
        <v>2</v>
      </c>
      <c r="AI24" s="10">
        <f>IF(VLOOKUP(ROUND(CONCATENATE($A24,AI$2),0),'Cadastro dos Padrões'!$A$2:$V$921,AI$1,FALSE)="","-",VLOOKUP(ROUND(CONCATENATE($A24,AI$2),0),'Cadastro dos Padrões'!$A$2:$V$921,AI$1,FALSE))</f>
        <v>1000000</v>
      </c>
      <c r="AJ24" s="10">
        <f>IF(VLOOKUP(ROUND(CONCATENATE($A24,AJ$2),0),'Cadastro dos Padrões'!$A$2:$V$921,AJ$1,FALSE)="","-",VLOOKUP(ROUND(CONCATENATE($A24,AJ$2),0),'Cadastro dos Padrões'!$A$2:$V$921,AJ$1,FALSE))</f>
        <v>5</v>
      </c>
      <c r="AK24" s="10">
        <f>IF(VLOOKUP(ROUND(CONCATENATE($A24,AK$2),0),'Cadastro dos Padrões'!$A$2:$V$921,AK$1,FALSE)="","-",VLOOKUP(ROUND(CONCATENATE($A24,AK$2),0),'Cadastro dos Padrões'!$A$2:$V$921,AK$1,FALSE))</f>
        <v>3.0000000000000001E-5</v>
      </c>
      <c r="AL24" s="10">
        <f>IF(VLOOKUP(ROUND(CONCATENATE($A24,AL$2),0),'Cadastro dos Padrões'!$A$2:$V$921,AL$1,FALSE)="","-",VLOOKUP(ROUND(CONCATENATE($A24,AL$2),0),'Cadastro dos Padrões'!$A$2:$V$921,AL$1,FALSE))</f>
        <v>2</v>
      </c>
      <c r="AM24" s="10">
        <f>IF(VLOOKUP(ROUND(CONCATENATE($A24,AM$2),0),'Cadastro dos Padrões'!$A$2:$V$921,AM$1,FALSE)="","-",VLOOKUP(ROUND(CONCATENATE($A24,AM$2),0),'Cadastro dos Padrões'!$A$2:$V$921,AM$1,FALSE))</f>
        <v>1000000</v>
      </c>
      <c r="AN24" s="10">
        <f>IF(VLOOKUP(ROUND(CONCATENATE($A24,AN$2),0),'Cadastro dos Padrões'!$A$2:$V$921,AN$1,FALSE)="","-",VLOOKUP(ROUND(CONCATENATE($A24,AN$2),0),'Cadastro dos Padrões'!$A$2:$V$921,AN$1,FALSE))</f>
        <v>50</v>
      </c>
      <c r="AO24" s="10">
        <f>IF(VLOOKUP(ROUND(CONCATENATE($A24,AO$2),0),'Cadastro dos Padrões'!$A$2:$V$921,AO$1,FALSE)="","-",VLOOKUP(ROUND(CONCATENATE($A24,AO$2),0),'Cadastro dos Padrões'!$A$2:$V$921,AO$1,FALSE))</f>
        <v>1.4999999999999999E-4</v>
      </c>
      <c r="AP24" s="10">
        <f>IF(VLOOKUP(ROUND(CONCATENATE($A24,AP$2),0),'Cadastro dos Padrões'!$A$2:$V$921,AP$1,FALSE)="","-",VLOOKUP(ROUND(CONCATENATE($A24,AP$2),0),'Cadastro dos Padrões'!$A$2:$V$921,AP$1,FALSE))</f>
        <v>2</v>
      </c>
      <c r="AQ24" s="10">
        <f>IF(VLOOKUP(ROUND(CONCATENATE($A24,AQ$2),0),'Cadastro dos Padrões'!$A$2:$V$921,AQ$1,FALSE)="","-",VLOOKUP(ROUND(CONCATENATE($A24,AQ$2),0),'Cadastro dos Padrões'!$A$2:$V$921,AQ$1,FALSE))</f>
        <v>1000000</v>
      </c>
      <c r="AR24" s="10">
        <f>IF(VLOOKUP(ROUND(CONCATENATE($A24,AR$2),0),'Cadastro dos Padrões'!$A$2:$V$921,AR$1,FALSE)="","-",VLOOKUP(ROUND(CONCATENATE($A24,AR$2),0),'Cadastro dos Padrões'!$A$2:$V$921,AR$1,FALSE))</f>
        <v>100</v>
      </c>
      <c r="AS24" s="10">
        <f>IF(VLOOKUP(ROUND(CONCATENATE($A24,AS$2),0),'Cadastro dos Padrões'!$A$2:$V$921,AS$1,FALSE)="","-",VLOOKUP(ROUND(CONCATENATE($A24,AS$2),0),'Cadastro dos Padrões'!$A$2:$V$921,AS$1,FALSE))</f>
        <v>4.0000000000000002E-4</v>
      </c>
      <c r="AT24" s="10">
        <f>IF(VLOOKUP(ROUND(CONCATENATE($A24,AT$2),0),'Cadastro dos Padrões'!$A$2:$V$921,AT$1,FALSE)="","-",VLOOKUP(ROUND(CONCATENATE($A24,AT$2),0),'Cadastro dos Padrões'!$A$2:$V$921,AT$1,FALSE))</f>
        <v>2</v>
      </c>
      <c r="AU24" s="10">
        <f>IF(VLOOKUP(ROUND(CONCATENATE($A24,AU$2),0),'Cadastro dos Padrões'!$A$2:$V$921,AU$1,FALSE)="","-",VLOOKUP(ROUND(CONCATENATE($A24,AU$2),0),'Cadastro dos Padrões'!$A$2:$V$921,AU$1,FALSE))</f>
        <v>1000000</v>
      </c>
      <c r="AV24" s="10">
        <f>IF(VLOOKUP(ROUND(CONCATENATE($A24,AV$2),0),'Cadastro dos Padrões'!$A$2:$V$921,AV$1,FALSE)="","-",VLOOKUP(ROUND(CONCATENATE($A24,AV$2),0),'Cadastro dos Padrões'!$A$2:$V$921,AV$1,FALSE))</f>
        <v>150</v>
      </c>
      <c r="AW24" s="10">
        <f>IF(VLOOKUP(ROUND(CONCATENATE($A24,AW$2),0),'Cadastro dos Padrões'!$A$2:$V$921,AW$1,FALSE)="","-",VLOOKUP(ROUND(CONCATENATE($A24,AW$2),0),'Cadastro dos Padrões'!$A$2:$V$921,AW$1,FALSE))</f>
        <v>6.9999999999999999E-4</v>
      </c>
      <c r="AX24" s="10">
        <f>IF(VLOOKUP(ROUND(CONCATENATE($A24,AX$2),0),'Cadastro dos Padrões'!$A$2:$V$921,AX$1,FALSE)="","-",VLOOKUP(ROUND(CONCATENATE($A24,AX$2),0),'Cadastro dos Padrões'!$A$2:$V$921,AX$1,FALSE))</f>
        <v>2</v>
      </c>
      <c r="AY24" s="10">
        <f>IF(VLOOKUP(ROUND(CONCATENATE($A24,AY$2),0),'Cadastro dos Padrões'!$A$2:$V$921,AY$1,FALSE)="","-",VLOOKUP(ROUND(CONCATENATE($A24,AY$2),0),'Cadastro dos Padrões'!$A$2:$V$921,AY$1,FALSE))</f>
        <v>1000000</v>
      </c>
      <c r="AZ24" s="10">
        <f>IF(VLOOKUP(ROUND(CONCATENATE($A24,AZ$2),0),'Cadastro dos Padrões'!$A$2:$V$921,AZ$1,FALSE)="","-",VLOOKUP(ROUND(CONCATENATE($A24,AZ$2),0),'Cadastro dos Padrões'!$A$2:$V$921,AZ$1,FALSE))</f>
        <v>220</v>
      </c>
      <c r="BA24" s="10">
        <f>IF(VLOOKUP(ROUND(CONCATENATE($A24,BA$2),0),'Cadastro dos Padrões'!$A$2:$V$921,BA$1,FALSE)="","-",VLOOKUP(ROUND(CONCATENATE($A24,BA$2),0),'Cadastro dos Padrões'!$A$2:$V$921,BA$1,FALSE))</f>
        <v>8.0000000000000004E-4</v>
      </c>
      <c r="BB24" s="10">
        <f>IF(VLOOKUP(ROUND(CONCATENATE($A24,BB$2),0),'Cadastro dos Padrões'!$A$2:$V$921,BB$1,FALSE)="","-",VLOOKUP(ROUND(CONCATENATE($A24,BB$2),0),'Cadastro dos Padrões'!$A$2:$V$921,BB$1,FALSE))</f>
        <v>2</v>
      </c>
      <c r="BC24" s="10">
        <f>IF(VLOOKUP(ROUND(CONCATENATE($A24,BC$2),0),'Cadastro dos Padrões'!$A$2:$V$921,BC$1,FALSE)="","-",VLOOKUP(ROUND(CONCATENATE($A24,BC$2),0),'Cadastro dos Padrões'!$A$2:$V$921,BC$1,FALSE))</f>
        <v>1000000</v>
      </c>
      <c r="BD24" s="10" t="str">
        <f>IF(VLOOKUP(ROUND(CONCATENATE($A24,BD$2),0),'Cadastro dos Padrões'!$A$2:$V$921,BD$1,FALSE)="","-",VLOOKUP(ROUND(CONCATENATE($A24,BD$2),0),'Cadastro dos Padrões'!$A$2:$V$921,BD$1,FALSE))</f>
        <v>-</v>
      </c>
      <c r="BE24" s="10" t="str">
        <f>IF(VLOOKUP(ROUND(CONCATENATE($A24,BE$2),0),'Cadastro dos Padrões'!$A$2:$V$921,BE$1,FALSE)="","-",VLOOKUP(ROUND(CONCATENATE($A24,BE$2),0),'Cadastro dos Padrões'!$A$2:$V$921,BE$1,FALSE))</f>
        <v>-</v>
      </c>
      <c r="BF24" s="10" t="str">
        <f>IF(VLOOKUP(ROUND(CONCATENATE($A24,BF$2),0),'Cadastro dos Padrões'!$A$2:$V$921,BF$1,FALSE)="","-",VLOOKUP(ROUND(CONCATENATE($A24,BF$2),0),'Cadastro dos Padrões'!$A$2:$V$921,BF$1,FALSE))</f>
        <v>-</v>
      </c>
      <c r="BG24" s="10" t="str">
        <f>IF(VLOOKUP(ROUND(CONCATENATE($A24,BG$2),0),'Cadastro dos Padrões'!$A$2:$V$921,BG$1,FALSE)="","-",VLOOKUP(ROUND(CONCATENATE($A24,BG$2),0),'Cadastro dos Padrões'!$A$2:$V$921,BG$1,FALSE))</f>
        <v>-</v>
      </c>
      <c r="BH24" s="10" t="str">
        <f>IF(VLOOKUP(ROUND(CONCATENATE($A24,BH$2),0),'Cadastro dos Padrões'!$A$2:$V$921,BH$1,FALSE)="","-",VLOOKUP(ROUND(CONCATENATE($A24,BH$2),0),'Cadastro dos Padrões'!$A$2:$V$921,BH$1,FALSE))</f>
        <v>-</v>
      </c>
      <c r="BI24" s="10" t="str">
        <f>IF(VLOOKUP(ROUND(CONCATENATE($A24,BI$2),0),'Cadastro dos Padrões'!$A$2:$V$921,BI$1,FALSE)="","-",VLOOKUP(ROUND(CONCATENATE($A24,BI$2),0),'Cadastro dos Padrões'!$A$2:$V$921,BI$1,FALSE))</f>
        <v>-</v>
      </c>
      <c r="BJ24" s="10" t="str">
        <f>IF(VLOOKUP(ROUND(CONCATENATE($A24,BJ$2),0),'Cadastro dos Padrões'!$A$2:$V$921,BJ$1,FALSE)="","-",VLOOKUP(ROUND(CONCATENATE($A24,BJ$2),0),'Cadastro dos Padrões'!$A$2:$V$921,BJ$1,FALSE))</f>
        <v>-</v>
      </c>
      <c r="BK24" s="10" t="str">
        <f>IF(VLOOKUP(ROUND(CONCATENATE($A24,BK$2),0),'Cadastro dos Padrões'!$A$2:$V$921,BK$1,FALSE)="","-",VLOOKUP(ROUND(CONCATENATE($A24,BK$2),0),'Cadastro dos Padrões'!$A$2:$V$921,BK$1,FALSE))</f>
        <v>-</v>
      </c>
      <c r="BL24" s="10" t="str">
        <f>IF(VLOOKUP(ROUND(CONCATENATE($A24,BL$2),0),'Cadastro dos Padrões'!$A$2:$V$921,BL$1,FALSE)="","-",VLOOKUP(ROUND(CONCATENATE($A24,BL$2),0),'Cadastro dos Padrões'!$A$2:$V$921,BL$1,FALSE))</f>
        <v>-</v>
      </c>
      <c r="BM24" s="10" t="str">
        <f>IF(VLOOKUP(ROUND(CONCATENATE($A24,BM$2),0),'Cadastro dos Padrões'!$A$2:$V$921,BM$1,FALSE)="","-",VLOOKUP(ROUND(CONCATENATE($A24,BM$2),0),'Cadastro dos Padrões'!$A$2:$V$921,BM$1,FALSE))</f>
        <v>-</v>
      </c>
      <c r="BN24" s="10" t="str">
        <f>IF(VLOOKUP(ROUND(CONCATENATE($A24,BN$2),0),'Cadastro dos Padrões'!$A$2:$V$921,BN$1,FALSE)="","-",VLOOKUP(ROUND(CONCATENATE($A24,BN$2),0),'Cadastro dos Padrões'!$A$2:$V$921,BN$1,FALSE))</f>
        <v>-</v>
      </c>
      <c r="BO24" s="10" t="str">
        <f>IF(VLOOKUP(ROUND(CONCATENATE($A24,BO$2),0),'Cadastro dos Padrões'!$A$2:$V$921,BO$1,FALSE)="","-",VLOOKUP(ROUND(CONCATENATE($A24,BO$2),0),'Cadastro dos Padrões'!$A$2:$V$921,BO$1,FALSE))</f>
        <v>-</v>
      </c>
      <c r="BP24" s="10">
        <f>IF(VLOOKUP(ROUND(CONCATENATE($A24,BP$2),0),'Cadastro dos Padrões'!$A$2:$V$921,BP$1,FALSE)="","-",VLOOKUP(ROUND(CONCATENATE($A24,BP$2),0),'Cadastro dos Padrões'!$A$2:$V$921,BP$1,FALSE))</f>
        <v>2.0000000000000052E-5</v>
      </c>
      <c r="BQ24" s="10">
        <f>IF(VLOOKUP(ROUND(CONCATENATE($A24,BQ$2),0),'Cadastro dos Padrões'!$A$2:$V$921,BQ$1,FALSE)="","-",VLOOKUP(ROUND(CONCATENATE($A24,BQ$2),0),'Cadastro dos Padrões'!$A$2:$V$921,BQ$1,FALSE))</f>
        <v>-2.0000000000000052E-5</v>
      </c>
      <c r="BR24" s="10">
        <f>IF(VLOOKUP(ROUND(CONCATENATE($A24,BR$2),0),'Cadastro dos Padrões'!$A$2:$V$921,BR$1,FALSE)="","-",VLOOKUP(ROUND(CONCATENATE($A24,BR$2),0),'Cadastro dos Padrões'!$A$2:$V$921,BR$1,FALSE))</f>
        <v>2.9999999999752447E-5</v>
      </c>
      <c r="BS24" s="10">
        <f>IF(VLOOKUP(ROUND(CONCATENATE($A24,BS$2),0),'Cadastro dos Padrões'!$A$2:$V$921,BS$1,FALSE)="","-",VLOOKUP(ROUND(CONCATENATE($A24,BS$2),0),'Cadastro dos Padrões'!$A$2:$V$921,BS$1,FALSE))</f>
        <v>-1.9999999999242846E-5</v>
      </c>
      <c r="BT24" s="10">
        <f>IF(VLOOKUP(ROUND(CONCATENATE($A24,BT$2),0),'Cadastro dos Padrões'!$A$2:$V$921,BT$1,FALSE)="","-",VLOOKUP(ROUND(CONCATENATE($A24,BT$2),0),'Cadastro dos Padrões'!$A$2:$V$921,BT$1,FALSE))</f>
        <v>-2.0000000000663931E-4</v>
      </c>
      <c r="BU24" s="10">
        <f>IF(VLOOKUP(ROUND(CONCATENATE($A24,BU$2),0),'Cadastro dos Padrões'!$A$2:$V$921,BU$1,FALSE)="","-",VLOOKUP(ROUND(CONCATENATE($A24,BU$2),0),'Cadastro dos Padrões'!$A$2:$V$921,BU$1,FALSE))</f>
        <v>-2.0000000000663931E-4</v>
      </c>
      <c r="BV24" s="10">
        <f>IF(VLOOKUP(ROUND(CONCATENATE($A24,BV$2),0),'Cadastro dos Padrões'!$A$2:$V$921,BV$1,FALSE)="","-",VLOOKUP(ROUND(CONCATENATE($A24,BV$2),0),'Cadastro dos Padrões'!$A$2:$V$921,BV$1,FALSE))</f>
        <v>0</v>
      </c>
      <c r="BW24" s="10">
        <f>IF(VLOOKUP(ROUND(CONCATENATE($A24,BW$2),0),'Cadastro dos Padrões'!$A$2:$V$921,BW$1,FALSE)="","-",VLOOKUP(ROUND(CONCATENATE($A24,BW$2),0),'Cadastro dos Padrões'!$A$2:$V$921,BW$1,FALSE))</f>
        <v>0</v>
      </c>
      <c r="BX24" s="10">
        <f>IF(VLOOKUP(ROUND(CONCATENATE($A24,BX$2),0),'Cadastro dos Padrões'!$A$2:$V$921,BX$1,FALSE)="","-",VLOOKUP(ROUND(CONCATENATE($A24,BX$2),0),'Cadastro dos Padrões'!$A$2:$V$921,BX$1,FALSE))</f>
        <v>0</v>
      </c>
      <c r="BY24" s="10">
        <f>IF(VLOOKUP(ROUND(CONCATENATE($A24,BY$2),0),'Cadastro dos Padrões'!$A$2:$V$921,BY$1,FALSE)="","-",VLOOKUP(ROUND(CONCATENATE($A24,BY$2),0),'Cadastro dos Padrões'!$A$2:$V$921,BY$1,FALSE))</f>
        <v>0</v>
      </c>
      <c r="BZ24" s="10">
        <f>IF(VLOOKUP(ROUND(CONCATENATE($A24,BZ$2),0),'Cadastro dos Padrões'!$A$2:$V$921,BZ$1,FALSE)="","-",VLOOKUP(ROUND(CONCATENATE($A24,BZ$2),0),'Cadastro dos Padrões'!$A$2:$V$921,BZ$1,FALSE))</f>
        <v>-2.0000000000000052E-5</v>
      </c>
      <c r="CA24" s="10">
        <f>IF(VLOOKUP(ROUND(CONCATENATE($A24,CA$2),0),'Cadastro dos Padrões'!$A$2:$V$921,CA$1,FALSE)="","-",VLOOKUP(ROUND(CONCATENATE($A24,CA$2),0),'Cadastro dos Padrões'!$A$2:$V$921,CA$1,FALSE))</f>
        <v>2.0000000000000052E-5</v>
      </c>
      <c r="CB24" s="10">
        <f>IF(VLOOKUP(ROUND(CONCATENATE($A24,CB$2),0),'Cadastro dos Padrões'!$A$2:$V$921,CB$1,FALSE)="","-",VLOOKUP(ROUND(CONCATENATE($A24,CB$2),0),'Cadastro dos Padrões'!$A$2:$V$921,CB$1,FALSE))</f>
        <v>-2.9999999999752447E-5</v>
      </c>
      <c r="CC24" s="10">
        <f>IF(VLOOKUP(ROUND(CONCATENATE($A24,CC$2),0),'Cadastro dos Padrões'!$A$2:$V$921,CC$1,FALSE)="","-",VLOOKUP(ROUND(CONCATENATE($A24,CC$2),0),'Cadastro dos Padrões'!$A$2:$V$921,CC$1,FALSE))</f>
        <v>1.9999999999242846E-5</v>
      </c>
      <c r="CD24" s="10">
        <f>IF(VLOOKUP(ROUND(CONCATENATE($A24,CD$2),0),'Cadastro dos Padrões'!$A$2:$V$921,CD$1,FALSE)="","-",VLOOKUP(ROUND(CONCATENATE($A24,CD$2),0),'Cadastro dos Padrões'!$A$2:$V$921,CD$1,FALSE))</f>
        <v>2.0000000000663931E-4</v>
      </c>
      <c r="CE24" s="10">
        <f>IF(VLOOKUP(ROUND(CONCATENATE($A24,CE$2),0),'Cadastro dos Padrões'!$A$2:$V$921,CE$1,FALSE)="","-",VLOOKUP(ROUND(CONCATENATE($A24,CE$2),0),'Cadastro dos Padrões'!$A$2:$V$921,CE$1,FALSE))</f>
        <v>2.0000000000663931E-4</v>
      </c>
      <c r="CF24" s="10">
        <f>IF(VLOOKUP(ROUND(CONCATENATE($A24,CF$2),0),'Cadastro dos Padrões'!$A$2:$V$921,CF$1,FALSE)="","-",VLOOKUP(ROUND(CONCATENATE($A24,CF$2),0),'Cadastro dos Padrões'!$A$2:$V$921,CF$1,FALSE))</f>
        <v>0</v>
      </c>
      <c r="CG24" s="10">
        <f>IF(VLOOKUP(ROUND(CONCATENATE($A24,CG$2),0),'Cadastro dos Padrões'!$A$2:$V$921,CG$1,FALSE)="","-",VLOOKUP(ROUND(CONCATENATE($A24,CG$2),0),'Cadastro dos Padrões'!$A$2:$V$921,CG$1,FALSE))</f>
        <v>0</v>
      </c>
      <c r="CH24" s="10">
        <f>IF(VLOOKUP(ROUND(CONCATENATE($A24,CH$2),0),'Cadastro dos Padrões'!$A$2:$V$921,CH$1,FALSE)="","-",VLOOKUP(ROUND(CONCATENATE($A24,CH$2),0),'Cadastro dos Padrões'!$A$2:$V$921,CH$1,FALSE))</f>
        <v>0</v>
      </c>
      <c r="CI24" s="10">
        <f>IF(VLOOKUP(ROUND(CONCATENATE($A24,CI$2),0),'Cadastro dos Padrões'!$A$2:$V$921,CI$1,FALSE)="","-",VLOOKUP(ROUND(CONCATENATE($A24,CI$2),0),'Cadastro dos Padrões'!$A$2:$V$921,CI$1,FALSE))</f>
        <v>0</v>
      </c>
    </row>
    <row r="25" spans="1:87" x14ac:dyDescent="0.3">
      <c r="A25" s="4">
        <v>20</v>
      </c>
      <c r="B25" s="10" t="str">
        <f>IF(VLOOKUP(ROUND(CONCATENATE($A25,B$2),0),'Cadastro dos Padrões'!$A$2:$V$921,B$1,FALSE)="","-",VLOOKUP(ROUND(CONCATENATE($A25,B$2),0),'Cadastro dos Padrões'!$A$2:$V$921,B$1,FALSE))</f>
        <v>-</v>
      </c>
      <c r="C25" s="10" t="str">
        <f>IF(VLOOKUP(ROUND(CONCATENATE($A25,C$2),0),'Cadastro dos Padrões'!$A$2:$V$921,C$1,FALSE)="","-",VLOOKUP(ROUND(CONCATENATE($A25,C$2),0),'Cadastro dos Padrões'!$A$2:$V$921,C$1,FALSE))</f>
        <v>-</v>
      </c>
      <c r="D25" s="10" t="str">
        <f>IF(VLOOKUP(ROUND(CONCATENATE($A25,D$2),0),'Cadastro dos Padrões'!$A$2:$V$921,D$1,FALSE)="","-",VLOOKUP(ROUND(CONCATENATE($A25,D$2),0),'Cadastro dos Padrões'!$A$2:$V$921,D$1,FALSE))</f>
        <v>-</v>
      </c>
      <c r="E25" s="10" t="str">
        <f>IF(VLOOKUP(ROUND(CONCATENATE($A25,E$2),0),'Cadastro dos Padrões'!$A$2:$V$921,E$1,FALSE)="","-",VLOOKUP(ROUND(CONCATENATE($A25,E$2),0),'Cadastro dos Padrões'!$A$2:$V$921,E$1,FALSE))</f>
        <v>-</v>
      </c>
      <c r="F25" s="10" t="str">
        <f>IF(VLOOKUP(ROUND(CONCATENATE($A25,F$2),0),'Cadastro dos Padrões'!$A$2:$V$921,F$1,FALSE)="","-",VLOOKUP(ROUND(CONCATENATE($A25,F$2),0),'Cadastro dos Padrões'!$A$2:$V$921,F$1,FALSE))</f>
        <v>-</v>
      </c>
      <c r="G25" s="27" t="str">
        <f>IF(VLOOKUP(ROUND(CONCATENATE($A25,G$2),0),'Cadastro dos Padrões'!$A$2:$V$921,G$1,FALSE)="","-",VLOOKUP(ROUND(CONCATENATE($A25,G$2),0),'Cadastro dos Padrões'!$A$2:$V$921,G$1,FALSE))</f>
        <v>-</v>
      </c>
      <c r="H25" s="29" t="str">
        <f>IF(VLOOKUP(ROUND(CONCATENATE($A25,H$2),0),'Cadastro dos Padrões'!$A$2:$V$921,H$1,FALSE)="","-",VLOOKUP(ROUND(CONCATENATE($A25,H$2),0),'Cadastro dos Padrões'!$A$2:$V$921,H$1,FALSE))</f>
        <v>-</v>
      </c>
      <c r="I25" s="10" t="str">
        <f>IF(VLOOKUP(ROUND(CONCATENATE($A25,I$2),0),'Cadastro dos Padrões'!$A$2:$V$921,I$1,FALSE)="","-",VLOOKUP(ROUND(CONCATENATE($A25,I$2),0),'Cadastro dos Padrões'!$A$2:$V$921,I$1,FALSE))</f>
        <v>-</v>
      </c>
      <c r="J25" s="10" t="str">
        <f>IF(VLOOKUP(ROUND(CONCATENATE($A25,J$2),0),'Cadastro dos Padrões'!$A$2:$V$921,J$1,FALSE)="","-",VLOOKUP(ROUND(CONCATENATE($A25,J$2),0),'Cadastro dos Padrões'!$A$2:$V$921,J$1,FALSE))</f>
        <v>-</v>
      </c>
      <c r="K25" s="10" t="str">
        <f>IF(VLOOKUP(ROUND(CONCATENATE($A25,K$2),0),'Cadastro dos Padrões'!$A$2:$V$921,K$1,FALSE)="","-",VLOOKUP(ROUND(CONCATENATE($A25,K$2),0),'Cadastro dos Padrões'!$A$2:$V$921,K$1,FALSE))</f>
        <v>-</v>
      </c>
      <c r="L25" s="10" t="str">
        <f>IF(VLOOKUP(ROUND(CONCATENATE($A25,L$2),0),'Cadastro dos Padrões'!$A$2:$V$921,L$1,FALSE)="","-",VLOOKUP(ROUND(CONCATENATE($A25,L$2),0),'Cadastro dos Padrões'!$A$2:$V$921,L$1,FALSE))</f>
        <v>-</v>
      </c>
      <c r="M25" s="10" t="str">
        <f>IF(VLOOKUP(ROUND(CONCATENATE($A25,M$2),0),'Cadastro dos Padrões'!$A$2:$V$921,M$1,FALSE)="","-",VLOOKUP(ROUND(CONCATENATE($A25,M$2),0),'Cadastro dos Padrões'!$A$2:$V$921,M$1,FALSE))</f>
        <v>-</v>
      </c>
      <c r="N25" s="10" t="str">
        <f>IF(VLOOKUP(ROUND(CONCATENATE($A25,N$2),0),'Cadastro dos Padrões'!$A$2:$V$921,N$1,FALSE)="","-",VLOOKUP(ROUND(CONCATENATE($A25,N$2),0),'Cadastro dos Padrões'!$A$2:$V$921,N$1,FALSE))</f>
        <v>-</v>
      </c>
      <c r="O25" s="10" t="str">
        <f>IF(VLOOKUP(ROUND(CONCATENATE($A25,O$2),0),'Cadastro dos Padrões'!$A$2:$V$921,O$1,FALSE)="","-",VLOOKUP(ROUND(CONCATENATE($A25,O$2),0),'Cadastro dos Padrões'!$A$2:$V$921,O$1,FALSE))</f>
        <v>-</v>
      </c>
      <c r="P25" s="28">
        <f>IF(VLOOKUP(ROUND(CONCATENATE($A25,P$2),0),'Cadastro dos Padrões'!$A$2:$V$921,P$1,FALSE)="","-",VLOOKUP(ROUND(CONCATENATE($A25,P$2),0),'Cadastro dos Padrões'!$A$2:$V$921,P$1,FALSE))</f>
        <v>0</v>
      </c>
      <c r="Q25" s="10" t="str">
        <f>IF($B25="-","-",VLOOKUP(ROUND(CONCATENATE($A25,Q$2),0),'Cadastro dos Padrões'!$A$2:$V$921,Q$1,FALSE))</f>
        <v>-</v>
      </c>
      <c r="R25" s="10" t="str">
        <f>IF($B25="-","-",VLOOKUP(ROUND(CONCATENATE($A25,R$2),0),'Cadastro dos Padrões'!$A$2:$V$921,R$1,FALSE))</f>
        <v>-</v>
      </c>
      <c r="S25" s="10" t="str">
        <f>IF($B25="-","-",VLOOKUP(ROUND(CONCATENATE($A25,S$2),0),'Cadastro dos Padrões'!$A$2:$V$921,S$1,FALSE))</f>
        <v>-</v>
      </c>
      <c r="T25" s="10" t="str">
        <f>IF($B25="-","-",VLOOKUP(ROUND(CONCATENATE($A25,T$2),0),'Cadastro dos Padrões'!$A$2:$V$921,T$1,FALSE))</f>
        <v>-</v>
      </c>
      <c r="U25" s="10" t="str">
        <f>IF($B25="-","-",VLOOKUP(ROUND(CONCATENATE($A25,U$2),0),'Cadastro dos Padrões'!$A$2:$V$921,U$1,FALSE))</f>
        <v>-</v>
      </c>
      <c r="V25" s="10" t="str">
        <f>IF($B25="-","-",VLOOKUP(ROUND(CONCATENATE($A25,V$2),0),'Cadastro dos Padrões'!$A$2:$V$921,V$1,FALSE))</f>
        <v>-</v>
      </c>
      <c r="W25" s="10" t="str">
        <f>IF($B25="-","-",VLOOKUP(ROUND(CONCATENATE($A25,W$2),0),'Cadastro dos Padrões'!$A$2:$V$921,W$1,FALSE))</f>
        <v>-</v>
      </c>
      <c r="X25" s="10" t="str">
        <f>IF($B25="-","-",VLOOKUP(ROUND(CONCATENATE($A25,X$2),0),'Cadastro dos Padrões'!$A$2:$V$921,X$1,FALSE))</f>
        <v>-</v>
      </c>
      <c r="Y25" s="10" t="str">
        <f>IF($B25="-","-",VLOOKUP(ROUND(CONCATENATE($A25,Y$2),0),'Cadastro dos Padrões'!$A$2:$V$921,Y$1,FALSE))</f>
        <v>-</v>
      </c>
      <c r="Z25" s="10" t="str">
        <f>IF($B25="-","-",VLOOKUP(ROUND(CONCATENATE($A25,Z$2),0),'Cadastro dos Padrões'!$A$2:$V$921,Z$1,FALSE))</f>
        <v>-</v>
      </c>
      <c r="AA25" s="10" t="str">
        <f>IF($B25="-","-",VLOOKUP(ROUND(CONCATENATE($A25,AA$2),0),'Cadastro dos Padrões'!$A$2:$V$921,AA$1,FALSE))</f>
        <v>-</v>
      </c>
      <c r="AB25" s="10" t="str">
        <f>IF(VLOOKUP(ROUND(CONCATENATE($A25,AB$2),0),'Cadastro dos Padrões'!$A$2:$V$921,AB$1,FALSE)="","-",VLOOKUP(ROUND(CONCATENATE($A25,AB$2),0),'Cadastro dos Padrões'!$A$2:$V$921,AB$1,FALSE))</f>
        <v>-</v>
      </c>
      <c r="AC25" s="10" t="str">
        <f>IF(VLOOKUP(ROUND(CONCATENATE($A25,AC$2),0),'Cadastro dos Padrões'!$A$2:$V$921,AC$1,FALSE)="","-",VLOOKUP(ROUND(CONCATENATE($A25,AC$2),0),'Cadastro dos Padrões'!$A$2:$V$921,AC$1,FALSE))</f>
        <v>-</v>
      </c>
      <c r="AD25" s="10" t="str">
        <f>IF(VLOOKUP(ROUND(CONCATENATE($A25,AD$2),0),'Cadastro dos Padrões'!$A$2:$V$921,AD$1,FALSE)="","-",VLOOKUP(ROUND(CONCATENATE($A25,AD$2),0),'Cadastro dos Padrões'!$A$2:$V$921,AD$1,FALSE))</f>
        <v>-</v>
      </c>
      <c r="AE25" s="10" t="str">
        <f>IF(VLOOKUP(ROUND(CONCATENATE($A25,AE$2),0),'Cadastro dos Padrões'!$A$2:$V$921,AE$1,FALSE)="","-",VLOOKUP(ROUND(CONCATENATE($A25,AE$2),0),'Cadastro dos Padrões'!$A$2:$V$921,AE$1,FALSE))</f>
        <v>-</v>
      </c>
      <c r="AF25" s="10" t="str">
        <f>IF(VLOOKUP(ROUND(CONCATENATE($A25,AF$2),0),'Cadastro dos Padrões'!$A$2:$V$921,AF$1,FALSE)="","-",VLOOKUP(ROUND(CONCATENATE($A25,AF$2),0),'Cadastro dos Padrões'!$A$2:$V$921,AF$1,FALSE))</f>
        <v>-</v>
      </c>
      <c r="AG25" s="10" t="str">
        <f>IF(VLOOKUP(ROUND(CONCATENATE($A25,AG$2),0),'Cadastro dos Padrões'!$A$2:$V$921,AG$1,FALSE)="","-",VLOOKUP(ROUND(CONCATENATE($A25,AG$2),0),'Cadastro dos Padrões'!$A$2:$V$921,AG$1,FALSE))</f>
        <v>-</v>
      </c>
      <c r="AH25" s="10" t="str">
        <f>IF(VLOOKUP(ROUND(CONCATENATE($A25,AH$2),0),'Cadastro dos Padrões'!$A$2:$V$921,AH$1,FALSE)="","-",VLOOKUP(ROUND(CONCATENATE($A25,AH$2),0),'Cadastro dos Padrões'!$A$2:$V$921,AH$1,FALSE))</f>
        <v>-</v>
      </c>
      <c r="AI25" s="10" t="str">
        <f>IF(VLOOKUP(ROUND(CONCATENATE($A25,AI$2),0),'Cadastro dos Padrões'!$A$2:$V$921,AI$1,FALSE)="","-",VLOOKUP(ROUND(CONCATENATE($A25,AI$2),0),'Cadastro dos Padrões'!$A$2:$V$921,AI$1,FALSE))</f>
        <v>-</v>
      </c>
      <c r="AJ25" s="10" t="str">
        <f>IF(VLOOKUP(ROUND(CONCATENATE($A25,AJ$2),0),'Cadastro dos Padrões'!$A$2:$V$921,AJ$1,FALSE)="","-",VLOOKUP(ROUND(CONCATENATE($A25,AJ$2),0),'Cadastro dos Padrões'!$A$2:$V$921,AJ$1,FALSE))</f>
        <v>-</v>
      </c>
      <c r="AK25" s="10" t="str">
        <f>IF(VLOOKUP(ROUND(CONCATENATE($A25,AK$2),0),'Cadastro dos Padrões'!$A$2:$V$921,AK$1,FALSE)="","-",VLOOKUP(ROUND(CONCATENATE($A25,AK$2),0),'Cadastro dos Padrões'!$A$2:$V$921,AK$1,FALSE))</f>
        <v>-</v>
      </c>
      <c r="AL25" s="10" t="str">
        <f>IF(VLOOKUP(ROUND(CONCATENATE($A25,AL$2),0),'Cadastro dos Padrões'!$A$2:$V$921,AL$1,FALSE)="","-",VLOOKUP(ROUND(CONCATENATE($A25,AL$2),0),'Cadastro dos Padrões'!$A$2:$V$921,AL$1,FALSE))</f>
        <v>-</v>
      </c>
      <c r="AM25" s="10" t="str">
        <f>IF(VLOOKUP(ROUND(CONCATENATE($A25,AM$2),0),'Cadastro dos Padrões'!$A$2:$V$921,AM$1,FALSE)="","-",VLOOKUP(ROUND(CONCATENATE($A25,AM$2),0),'Cadastro dos Padrões'!$A$2:$V$921,AM$1,FALSE))</f>
        <v>-</v>
      </c>
      <c r="AN25" s="10" t="str">
        <f>IF(VLOOKUP(ROUND(CONCATENATE($A25,AN$2),0),'Cadastro dos Padrões'!$A$2:$V$921,AN$1,FALSE)="","-",VLOOKUP(ROUND(CONCATENATE($A25,AN$2),0),'Cadastro dos Padrões'!$A$2:$V$921,AN$1,FALSE))</f>
        <v>-</v>
      </c>
      <c r="AO25" s="10" t="str">
        <f>IF(VLOOKUP(ROUND(CONCATENATE($A25,AO$2),0),'Cadastro dos Padrões'!$A$2:$V$921,AO$1,FALSE)="","-",VLOOKUP(ROUND(CONCATENATE($A25,AO$2),0),'Cadastro dos Padrões'!$A$2:$V$921,AO$1,FALSE))</f>
        <v>-</v>
      </c>
      <c r="AP25" s="10" t="str">
        <f>IF(VLOOKUP(ROUND(CONCATENATE($A25,AP$2),0),'Cadastro dos Padrões'!$A$2:$V$921,AP$1,FALSE)="","-",VLOOKUP(ROUND(CONCATENATE($A25,AP$2),0),'Cadastro dos Padrões'!$A$2:$V$921,AP$1,FALSE))</f>
        <v>-</v>
      </c>
      <c r="AQ25" s="10" t="str">
        <f>IF(VLOOKUP(ROUND(CONCATENATE($A25,AQ$2),0),'Cadastro dos Padrões'!$A$2:$V$921,AQ$1,FALSE)="","-",VLOOKUP(ROUND(CONCATENATE($A25,AQ$2),0),'Cadastro dos Padrões'!$A$2:$V$921,AQ$1,FALSE))</f>
        <v>-</v>
      </c>
      <c r="AR25" s="10" t="str">
        <f>IF(VLOOKUP(ROUND(CONCATENATE($A25,AR$2),0),'Cadastro dos Padrões'!$A$2:$V$921,AR$1,FALSE)="","-",VLOOKUP(ROUND(CONCATENATE($A25,AR$2),0),'Cadastro dos Padrões'!$A$2:$V$921,AR$1,FALSE))</f>
        <v>-</v>
      </c>
      <c r="AS25" s="10" t="str">
        <f>IF(VLOOKUP(ROUND(CONCATENATE($A25,AS$2),0),'Cadastro dos Padrões'!$A$2:$V$921,AS$1,FALSE)="","-",VLOOKUP(ROUND(CONCATENATE($A25,AS$2),0),'Cadastro dos Padrões'!$A$2:$V$921,AS$1,FALSE))</f>
        <v>-</v>
      </c>
      <c r="AT25" s="10" t="str">
        <f>IF(VLOOKUP(ROUND(CONCATENATE($A25,AT$2),0),'Cadastro dos Padrões'!$A$2:$V$921,AT$1,FALSE)="","-",VLOOKUP(ROUND(CONCATENATE($A25,AT$2),0),'Cadastro dos Padrões'!$A$2:$V$921,AT$1,FALSE))</f>
        <v>-</v>
      </c>
      <c r="AU25" s="10" t="str">
        <f>IF(VLOOKUP(ROUND(CONCATENATE($A25,AU$2),0),'Cadastro dos Padrões'!$A$2:$V$921,AU$1,FALSE)="","-",VLOOKUP(ROUND(CONCATENATE($A25,AU$2),0),'Cadastro dos Padrões'!$A$2:$V$921,AU$1,FALSE))</f>
        <v>-</v>
      </c>
      <c r="AV25" s="10" t="str">
        <f>IF(VLOOKUP(ROUND(CONCATENATE($A25,AV$2),0),'Cadastro dos Padrões'!$A$2:$V$921,AV$1,FALSE)="","-",VLOOKUP(ROUND(CONCATENATE($A25,AV$2),0),'Cadastro dos Padrões'!$A$2:$V$921,AV$1,FALSE))</f>
        <v>-</v>
      </c>
      <c r="AW25" s="10" t="str">
        <f>IF(VLOOKUP(ROUND(CONCATENATE($A25,AW$2),0),'Cadastro dos Padrões'!$A$2:$V$921,AW$1,FALSE)="","-",VLOOKUP(ROUND(CONCATENATE($A25,AW$2),0),'Cadastro dos Padrões'!$A$2:$V$921,AW$1,FALSE))</f>
        <v>-</v>
      </c>
      <c r="AX25" s="10" t="str">
        <f>IF(VLOOKUP(ROUND(CONCATENATE($A25,AX$2),0),'Cadastro dos Padrões'!$A$2:$V$921,AX$1,FALSE)="","-",VLOOKUP(ROUND(CONCATENATE($A25,AX$2),0),'Cadastro dos Padrões'!$A$2:$V$921,AX$1,FALSE))</f>
        <v>-</v>
      </c>
      <c r="AY25" s="10" t="str">
        <f>IF(VLOOKUP(ROUND(CONCATENATE($A25,AY$2),0),'Cadastro dos Padrões'!$A$2:$V$921,AY$1,FALSE)="","-",VLOOKUP(ROUND(CONCATENATE($A25,AY$2),0),'Cadastro dos Padrões'!$A$2:$V$921,AY$1,FALSE))</f>
        <v>-</v>
      </c>
      <c r="AZ25" s="10" t="str">
        <f>IF(VLOOKUP(ROUND(CONCATENATE($A25,AZ$2),0),'Cadastro dos Padrões'!$A$2:$V$921,AZ$1,FALSE)="","-",VLOOKUP(ROUND(CONCATENATE($A25,AZ$2),0),'Cadastro dos Padrões'!$A$2:$V$921,AZ$1,FALSE))</f>
        <v>-</v>
      </c>
      <c r="BA25" s="10" t="str">
        <f>IF(VLOOKUP(ROUND(CONCATENATE($A25,BA$2),0),'Cadastro dos Padrões'!$A$2:$V$921,BA$1,FALSE)="","-",VLOOKUP(ROUND(CONCATENATE($A25,BA$2),0),'Cadastro dos Padrões'!$A$2:$V$921,BA$1,FALSE))</f>
        <v>-</v>
      </c>
      <c r="BB25" s="10" t="str">
        <f>IF(VLOOKUP(ROUND(CONCATENATE($A25,BB$2),0),'Cadastro dos Padrões'!$A$2:$V$921,BB$1,FALSE)="","-",VLOOKUP(ROUND(CONCATENATE($A25,BB$2),0),'Cadastro dos Padrões'!$A$2:$V$921,BB$1,FALSE))</f>
        <v>-</v>
      </c>
      <c r="BC25" s="10" t="str">
        <f>IF(VLOOKUP(ROUND(CONCATENATE($A25,BC$2),0),'Cadastro dos Padrões'!$A$2:$V$921,BC$1,FALSE)="","-",VLOOKUP(ROUND(CONCATENATE($A25,BC$2),0),'Cadastro dos Padrões'!$A$2:$V$921,BC$1,FALSE))</f>
        <v>-</v>
      </c>
      <c r="BD25" s="10" t="str">
        <f>IF(VLOOKUP(ROUND(CONCATENATE($A25,BD$2),0),'Cadastro dos Padrões'!$A$2:$V$921,BD$1,FALSE)="","-",VLOOKUP(ROUND(CONCATENATE($A25,BD$2),0),'Cadastro dos Padrões'!$A$2:$V$921,BD$1,FALSE))</f>
        <v>-</v>
      </c>
      <c r="BE25" s="10" t="str">
        <f>IF(VLOOKUP(ROUND(CONCATENATE($A25,BE$2),0),'Cadastro dos Padrões'!$A$2:$V$921,BE$1,FALSE)="","-",VLOOKUP(ROUND(CONCATENATE($A25,BE$2),0),'Cadastro dos Padrões'!$A$2:$V$921,BE$1,FALSE))</f>
        <v>-</v>
      </c>
      <c r="BF25" s="10" t="str">
        <f>IF(VLOOKUP(ROUND(CONCATENATE($A25,BF$2),0),'Cadastro dos Padrões'!$A$2:$V$921,BF$1,FALSE)="","-",VLOOKUP(ROUND(CONCATENATE($A25,BF$2),0),'Cadastro dos Padrões'!$A$2:$V$921,BF$1,FALSE))</f>
        <v>-</v>
      </c>
      <c r="BG25" s="10" t="str">
        <f>IF(VLOOKUP(ROUND(CONCATENATE($A25,BG$2),0),'Cadastro dos Padrões'!$A$2:$V$921,BG$1,FALSE)="","-",VLOOKUP(ROUND(CONCATENATE($A25,BG$2),0),'Cadastro dos Padrões'!$A$2:$V$921,BG$1,FALSE))</f>
        <v>-</v>
      </c>
      <c r="BH25" s="10" t="str">
        <f>IF(VLOOKUP(ROUND(CONCATENATE($A25,BH$2),0),'Cadastro dos Padrões'!$A$2:$V$921,BH$1,FALSE)="","-",VLOOKUP(ROUND(CONCATENATE($A25,BH$2),0),'Cadastro dos Padrões'!$A$2:$V$921,BH$1,FALSE))</f>
        <v>-</v>
      </c>
      <c r="BI25" s="10" t="str">
        <f>IF(VLOOKUP(ROUND(CONCATENATE($A25,BI$2),0),'Cadastro dos Padrões'!$A$2:$V$921,BI$1,FALSE)="","-",VLOOKUP(ROUND(CONCATENATE($A25,BI$2),0),'Cadastro dos Padrões'!$A$2:$V$921,BI$1,FALSE))</f>
        <v>-</v>
      </c>
      <c r="BJ25" s="10" t="str">
        <f>IF(VLOOKUP(ROUND(CONCATENATE($A25,BJ$2),0),'Cadastro dos Padrões'!$A$2:$V$921,BJ$1,FALSE)="","-",VLOOKUP(ROUND(CONCATENATE($A25,BJ$2),0),'Cadastro dos Padrões'!$A$2:$V$921,BJ$1,FALSE))</f>
        <v>-</v>
      </c>
      <c r="BK25" s="10" t="str">
        <f>IF(VLOOKUP(ROUND(CONCATENATE($A25,BK$2),0),'Cadastro dos Padrões'!$A$2:$V$921,BK$1,FALSE)="","-",VLOOKUP(ROUND(CONCATENATE($A25,BK$2),0),'Cadastro dos Padrões'!$A$2:$V$921,BK$1,FALSE))</f>
        <v>-</v>
      </c>
      <c r="BL25" s="10" t="str">
        <f>IF(VLOOKUP(ROUND(CONCATENATE($A25,BL$2),0),'Cadastro dos Padrões'!$A$2:$V$921,BL$1,FALSE)="","-",VLOOKUP(ROUND(CONCATENATE($A25,BL$2),0),'Cadastro dos Padrões'!$A$2:$V$921,BL$1,FALSE))</f>
        <v>-</v>
      </c>
      <c r="BM25" s="10" t="str">
        <f>IF(VLOOKUP(ROUND(CONCATENATE($A25,BM$2),0),'Cadastro dos Padrões'!$A$2:$V$921,BM$1,FALSE)="","-",VLOOKUP(ROUND(CONCATENATE($A25,BM$2),0),'Cadastro dos Padrões'!$A$2:$V$921,BM$1,FALSE))</f>
        <v>-</v>
      </c>
      <c r="BN25" s="10" t="str">
        <f>IF(VLOOKUP(ROUND(CONCATENATE($A25,BN$2),0),'Cadastro dos Padrões'!$A$2:$V$921,BN$1,FALSE)="","-",VLOOKUP(ROUND(CONCATENATE($A25,BN$2),0),'Cadastro dos Padrões'!$A$2:$V$921,BN$1,FALSE))</f>
        <v>-</v>
      </c>
      <c r="BO25" s="10" t="str">
        <f>IF(VLOOKUP(ROUND(CONCATENATE($A25,BO$2),0),'Cadastro dos Padrões'!$A$2:$V$921,BO$1,FALSE)="","-",VLOOKUP(ROUND(CONCATENATE($A25,BO$2),0),'Cadastro dos Padrões'!$A$2:$V$921,BO$1,FALSE))</f>
        <v>-</v>
      </c>
      <c r="BP25" s="10">
        <f>IF(VLOOKUP(ROUND(CONCATENATE($A25,BP$2),0),'Cadastro dos Padrões'!$A$2:$V$921,BP$1,FALSE)="","-",VLOOKUP(ROUND(CONCATENATE($A25,BP$2),0),'Cadastro dos Padrões'!$A$2:$V$921,BP$1,FALSE))</f>
        <v>0</v>
      </c>
      <c r="BQ25" s="10">
        <f>IF(VLOOKUP(ROUND(CONCATENATE($A25,BQ$2),0),'Cadastro dos Padrões'!$A$2:$V$921,BQ$1,FALSE)="","-",VLOOKUP(ROUND(CONCATENATE($A25,BQ$2),0),'Cadastro dos Padrões'!$A$2:$V$921,BQ$1,FALSE))</f>
        <v>0</v>
      </c>
      <c r="BR25" s="10">
        <f>IF(VLOOKUP(ROUND(CONCATENATE($A25,BR$2),0),'Cadastro dos Padrões'!$A$2:$V$921,BR$1,FALSE)="","-",VLOOKUP(ROUND(CONCATENATE($A25,BR$2),0),'Cadastro dos Padrões'!$A$2:$V$921,BR$1,FALSE))</f>
        <v>0</v>
      </c>
      <c r="BS25" s="10">
        <f>IF(VLOOKUP(ROUND(CONCATENATE($A25,BS$2),0),'Cadastro dos Padrões'!$A$2:$V$921,BS$1,FALSE)="","-",VLOOKUP(ROUND(CONCATENATE($A25,BS$2),0),'Cadastro dos Padrões'!$A$2:$V$921,BS$1,FALSE))</f>
        <v>0</v>
      </c>
      <c r="BT25" s="10">
        <f>IF(VLOOKUP(ROUND(CONCATENATE($A25,BT$2),0),'Cadastro dos Padrões'!$A$2:$V$921,BT$1,FALSE)="","-",VLOOKUP(ROUND(CONCATENATE($A25,BT$2),0),'Cadastro dos Padrões'!$A$2:$V$921,BT$1,FALSE))</f>
        <v>0</v>
      </c>
      <c r="BU25" s="10">
        <f>IF(VLOOKUP(ROUND(CONCATENATE($A25,BU$2),0),'Cadastro dos Padrões'!$A$2:$V$921,BU$1,FALSE)="","-",VLOOKUP(ROUND(CONCATENATE($A25,BU$2),0),'Cadastro dos Padrões'!$A$2:$V$921,BU$1,FALSE))</f>
        <v>0</v>
      </c>
      <c r="BV25" s="10">
        <f>IF(VLOOKUP(ROUND(CONCATENATE($A25,BV$2),0),'Cadastro dos Padrões'!$A$2:$V$921,BV$1,FALSE)="","-",VLOOKUP(ROUND(CONCATENATE($A25,BV$2),0),'Cadastro dos Padrões'!$A$2:$V$921,BV$1,FALSE))</f>
        <v>0</v>
      </c>
      <c r="BW25" s="10">
        <f>IF(VLOOKUP(ROUND(CONCATENATE($A25,BW$2),0),'Cadastro dos Padrões'!$A$2:$V$921,BW$1,FALSE)="","-",VLOOKUP(ROUND(CONCATENATE($A25,BW$2),0),'Cadastro dos Padrões'!$A$2:$V$921,BW$1,FALSE))</f>
        <v>0</v>
      </c>
      <c r="BX25" s="10">
        <f>IF(VLOOKUP(ROUND(CONCATENATE($A25,BX$2),0),'Cadastro dos Padrões'!$A$2:$V$921,BX$1,FALSE)="","-",VLOOKUP(ROUND(CONCATENATE($A25,BX$2),0),'Cadastro dos Padrões'!$A$2:$V$921,BX$1,FALSE))</f>
        <v>0</v>
      </c>
      <c r="BY25" s="10">
        <f>IF(VLOOKUP(ROUND(CONCATENATE($A25,BY$2),0),'Cadastro dos Padrões'!$A$2:$V$921,BY$1,FALSE)="","-",VLOOKUP(ROUND(CONCATENATE($A25,BY$2),0),'Cadastro dos Padrões'!$A$2:$V$921,BY$1,FALSE))</f>
        <v>0</v>
      </c>
      <c r="BZ25" s="10">
        <f>IF(VLOOKUP(ROUND(CONCATENATE($A25,BZ$2),0),'Cadastro dos Padrões'!$A$2:$V$921,BZ$1,FALSE)="","-",VLOOKUP(ROUND(CONCATENATE($A25,BZ$2),0),'Cadastro dos Padrões'!$A$2:$V$921,BZ$1,FALSE))</f>
        <v>0</v>
      </c>
      <c r="CA25" s="10">
        <f>IF(VLOOKUP(ROUND(CONCATENATE($A25,CA$2),0),'Cadastro dos Padrões'!$A$2:$V$921,CA$1,FALSE)="","-",VLOOKUP(ROUND(CONCATENATE($A25,CA$2),0),'Cadastro dos Padrões'!$A$2:$V$921,CA$1,FALSE))</f>
        <v>0</v>
      </c>
      <c r="CB25" s="10">
        <f>IF(VLOOKUP(ROUND(CONCATENATE($A25,CB$2),0),'Cadastro dos Padrões'!$A$2:$V$921,CB$1,FALSE)="","-",VLOOKUP(ROUND(CONCATENATE($A25,CB$2),0),'Cadastro dos Padrões'!$A$2:$V$921,CB$1,FALSE))</f>
        <v>0</v>
      </c>
      <c r="CC25" s="10">
        <f>IF(VLOOKUP(ROUND(CONCATENATE($A25,CC$2),0),'Cadastro dos Padrões'!$A$2:$V$921,CC$1,FALSE)="","-",VLOOKUP(ROUND(CONCATENATE($A25,CC$2),0),'Cadastro dos Padrões'!$A$2:$V$921,CC$1,FALSE))</f>
        <v>0</v>
      </c>
      <c r="CD25" s="10">
        <f>IF(VLOOKUP(ROUND(CONCATENATE($A25,CD$2),0),'Cadastro dos Padrões'!$A$2:$V$921,CD$1,FALSE)="","-",VLOOKUP(ROUND(CONCATENATE($A25,CD$2),0),'Cadastro dos Padrões'!$A$2:$V$921,CD$1,FALSE))</f>
        <v>0</v>
      </c>
      <c r="CE25" s="10">
        <f>IF(VLOOKUP(ROUND(CONCATENATE($A25,CE$2),0),'Cadastro dos Padrões'!$A$2:$V$921,CE$1,FALSE)="","-",VLOOKUP(ROUND(CONCATENATE($A25,CE$2),0),'Cadastro dos Padrões'!$A$2:$V$921,CE$1,FALSE))</f>
        <v>0</v>
      </c>
      <c r="CF25" s="10">
        <f>IF(VLOOKUP(ROUND(CONCATENATE($A25,CF$2),0),'Cadastro dos Padrões'!$A$2:$V$921,CF$1,FALSE)="","-",VLOOKUP(ROUND(CONCATENATE($A25,CF$2),0),'Cadastro dos Padrões'!$A$2:$V$921,CF$1,FALSE))</f>
        <v>0</v>
      </c>
      <c r="CG25" s="10">
        <f>IF(VLOOKUP(ROUND(CONCATENATE($A25,CG$2),0),'Cadastro dos Padrões'!$A$2:$V$921,CG$1,FALSE)="","-",VLOOKUP(ROUND(CONCATENATE($A25,CG$2),0),'Cadastro dos Padrões'!$A$2:$V$921,CG$1,FALSE))</f>
        <v>0</v>
      </c>
      <c r="CH25" s="10">
        <f>IF(VLOOKUP(ROUND(CONCATENATE($A25,CH$2),0),'Cadastro dos Padrões'!$A$2:$V$921,CH$1,FALSE)="","-",VLOOKUP(ROUND(CONCATENATE($A25,CH$2),0),'Cadastro dos Padrões'!$A$2:$V$921,CH$1,FALSE))</f>
        <v>0</v>
      </c>
      <c r="CI25" s="10">
        <f>IF(VLOOKUP(ROUND(CONCATENATE($A25,CI$2),0),'Cadastro dos Padrões'!$A$2:$V$921,CI$1,FALSE)="","-",VLOOKUP(ROUND(CONCATENATE($A25,CI$2),0),'Cadastro dos Padrões'!$A$2:$V$921,CI$1,FALSE))</f>
        <v>0</v>
      </c>
    </row>
    <row r="26" spans="1:87" x14ac:dyDescent="0.3">
      <c r="A26" s="1">
        <v>1</v>
      </c>
      <c r="B26" s="1">
        <f>A26+1</f>
        <v>2</v>
      </c>
      <c r="C26" s="1">
        <f t="shared" ref="C26:BM26" si="60">B26+1</f>
        <v>3</v>
      </c>
      <c r="D26" s="1">
        <f t="shared" si="60"/>
        <v>4</v>
      </c>
      <c r="E26" s="1">
        <f t="shared" si="60"/>
        <v>5</v>
      </c>
      <c r="F26" s="1">
        <f t="shared" si="60"/>
        <v>6</v>
      </c>
      <c r="G26" s="1">
        <f t="shared" si="60"/>
        <v>7</v>
      </c>
      <c r="H26" s="1">
        <f t="shared" si="60"/>
        <v>8</v>
      </c>
      <c r="I26" s="1">
        <f t="shared" si="60"/>
        <v>9</v>
      </c>
      <c r="J26" s="1">
        <f t="shared" si="60"/>
        <v>10</v>
      </c>
      <c r="K26" s="1">
        <f t="shared" si="60"/>
        <v>11</v>
      </c>
      <c r="L26" s="1">
        <f t="shared" si="60"/>
        <v>12</v>
      </c>
      <c r="M26" s="1">
        <f t="shared" si="60"/>
        <v>13</v>
      </c>
      <c r="N26" s="1">
        <f t="shared" si="60"/>
        <v>14</v>
      </c>
      <c r="O26" s="1">
        <f t="shared" si="60"/>
        <v>15</v>
      </c>
      <c r="P26" s="1">
        <f t="shared" si="60"/>
        <v>16</v>
      </c>
      <c r="Q26" s="1">
        <f t="shared" si="60"/>
        <v>17</v>
      </c>
      <c r="R26" s="1">
        <f t="shared" si="60"/>
        <v>18</v>
      </c>
      <c r="S26" s="1">
        <f t="shared" si="60"/>
        <v>19</v>
      </c>
      <c r="T26" s="1">
        <f t="shared" si="60"/>
        <v>20</v>
      </c>
      <c r="U26" s="1">
        <f t="shared" si="60"/>
        <v>21</v>
      </c>
      <c r="V26" s="1">
        <f t="shared" si="60"/>
        <v>22</v>
      </c>
      <c r="W26" s="1">
        <f t="shared" si="60"/>
        <v>23</v>
      </c>
      <c r="X26" s="1">
        <f t="shared" si="60"/>
        <v>24</v>
      </c>
      <c r="Y26" s="1">
        <f t="shared" si="60"/>
        <v>25</v>
      </c>
      <c r="Z26" s="1">
        <f t="shared" si="60"/>
        <v>26</v>
      </c>
      <c r="AA26" s="1">
        <f t="shared" si="60"/>
        <v>27</v>
      </c>
      <c r="AB26" s="1">
        <f t="shared" si="60"/>
        <v>28</v>
      </c>
      <c r="AC26" s="1">
        <f t="shared" si="60"/>
        <v>29</v>
      </c>
      <c r="AD26" s="1">
        <f t="shared" si="60"/>
        <v>30</v>
      </c>
      <c r="AE26" s="1">
        <f t="shared" si="60"/>
        <v>31</v>
      </c>
      <c r="AF26" s="1">
        <f t="shared" si="60"/>
        <v>32</v>
      </c>
      <c r="AG26" s="1">
        <f t="shared" si="60"/>
        <v>33</v>
      </c>
      <c r="AH26" s="1">
        <f t="shared" si="60"/>
        <v>34</v>
      </c>
      <c r="AI26" s="1">
        <f t="shared" si="60"/>
        <v>35</v>
      </c>
      <c r="AJ26" s="1">
        <f t="shared" si="60"/>
        <v>36</v>
      </c>
      <c r="AK26" s="1">
        <f t="shared" si="60"/>
        <v>37</v>
      </c>
      <c r="AL26" s="1">
        <f t="shared" si="60"/>
        <v>38</v>
      </c>
      <c r="AM26" s="1">
        <f t="shared" si="60"/>
        <v>39</v>
      </c>
      <c r="AN26" s="1">
        <f t="shared" si="60"/>
        <v>40</v>
      </c>
      <c r="AO26" s="1">
        <f t="shared" si="60"/>
        <v>41</v>
      </c>
      <c r="AP26" s="1">
        <f t="shared" si="60"/>
        <v>42</v>
      </c>
      <c r="AQ26" s="1">
        <f t="shared" si="60"/>
        <v>43</v>
      </c>
      <c r="AR26" s="1">
        <f t="shared" si="60"/>
        <v>44</v>
      </c>
      <c r="AS26" s="1">
        <f t="shared" si="60"/>
        <v>45</v>
      </c>
      <c r="AT26" s="1">
        <f t="shared" si="60"/>
        <v>46</v>
      </c>
      <c r="AU26" s="1">
        <f t="shared" si="60"/>
        <v>47</v>
      </c>
      <c r="AV26" s="1">
        <f t="shared" si="60"/>
        <v>48</v>
      </c>
      <c r="AW26" s="1">
        <f t="shared" si="60"/>
        <v>49</v>
      </c>
      <c r="AX26" s="1">
        <f t="shared" si="60"/>
        <v>50</v>
      </c>
      <c r="AY26" s="1">
        <f t="shared" si="60"/>
        <v>51</v>
      </c>
      <c r="AZ26" s="1">
        <f t="shared" si="60"/>
        <v>52</v>
      </c>
      <c r="BA26" s="1">
        <f t="shared" si="60"/>
        <v>53</v>
      </c>
      <c r="BB26" s="1">
        <f t="shared" si="60"/>
        <v>54</v>
      </c>
      <c r="BC26" s="1">
        <f t="shared" si="60"/>
        <v>55</v>
      </c>
      <c r="BD26" s="1">
        <f t="shared" si="60"/>
        <v>56</v>
      </c>
      <c r="BE26" s="1">
        <f t="shared" si="60"/>
        <v>57</v>
      </c>
      <c r="BF26" s="1">
        <f t="shared" si="60"/>
        <v>58</v>
      </c>
      <c r="BG26" s="1">
        <f t="shared" si="60"/>
        <v>59</v>
      </c>
      <c r="BH26" s="1">
        <f t="shared" si="60"/>
        <v>60</v>
      </c>
      <c r="BI26" s="1">
        <f t="shared" si="60"/>
        <v>61</v>
      </c>
      <c r="BJ26" s="1">
        <f t="shared" si="60"/>
        <v>62</v>
      </c>
      <c r="BK26" s="1">
        <f t="shared" si="60"/>
        <v>63</v>
      </c>
      <c r="BL26" s="1">
        <f t="shared" si="60"/>
        <v>64</v>
      </c>
      <c r="BM26" s="1">
        <f t="shared" si="60"/>
        <v>65</v>
      </c>
      <c r="BN26" s="1">
        <f t="shared" ref="BN26:BO26" si="61">BM26+1</f>
        <v>66</v>
      </c>
      <c r="BO26" s="1">
        <f t="shared" si="61"/>
        <v>67</v>
      </c>
      <c r="BP26" s="1">
        <f t="shared" ref="BP26" si="62">BO26+1</f>
        <v>68</v>
      </c>
      <c r="BQ26" s="1">
        <f t="shared" ref="BQ26" si="63">BP26+1</f>
        <v>69</v>
      </c>
      <c r="BR26" s="1">
        <f t="shared" ref="BR26" si="64">BQ26+1</f>
        <v>70</v>
      </c>
      <c r="BS26" s="1">
        <f t="shared" ref="BS26" si="65">BR26+1</f>
        <v>71</v>
      </c>
      <c r="BT26" s="1">
        <f t="shared" ref="BT26" si="66">BS26+1</f>
        <v>72</v>
      </c>
      <c r="BU26" s="1">
        <f t="shared" ref="BU26" si="67">BT26+1</f>
        <v>73</v>
      </c>
      <c r="BV26" s="1">
        <f t="shared" ref="BV26" si="68">BU26+1</f>
        <v>74</v>
      </c>
      <c r="BW26" s="1">
        <f t="shared" ref="BW26" si="69">BV26+1</f>
        <v>75</v>
      </c>
      <c r="BX26" s="1">
        <f t="shared" ref="BX26" si="70">BW26+1</f>
        <v>76</v>
      </c>
      <c r="BY26" s="1">
        <f t="shared" ref="BY26" si="71">BX26+1</f>
        <v>77</v>
      </c>
      <c r="BZ26" s="1">
        <f t="shared" ref="BZ26" si="72">BY26+1</f>
        <v>78</v>
      </c>
      <c r="CA26" s="1">
        <f t="shared" ref="CA26" si="73">BZ26+1</f>
        <v>79</v>
      </c>
      <c r="CB26" s="1">
        <f t="shared" ref="CB26" si="74">CA26+1</f>
        <v>80</v>
      </c>
      <c r="CC26" s="1">
        <f t="shared" ref="CC26" si="75">CB26+1</f>
        <v>81</v>
      </c>
      <c r="CD26" s="1">
        <f t="shared" ref="CD26" si="76">CC26+1</f>
        <v>82</v>
      </c>
      <c r="CE26" s="1">
        <f t="shared" ref="CE26" si="77">CD26+1</f>
        <v>83</v>
      </c>
      <c r="CF26" s="1">
        <f t="shared" ref="CF26" si="78">CE26+1</f>
        <v>84</v>
      </c>
      <c r="CG26" s="1">
        <f t="shared" ref="CG26" si="79">CF26+1</f>
        <v>85</v>
      </c>
      <c r="CH26" s="1">
        <f t="shared" ref="CH26" si="80">CG26+1</f>
        <v>86</v>
      </c>
      <c r="CI26" s="1">
        <f t="shared" ref="CI26" si="81">CH26+1</f>
        <v>87</v>
      </c>
    </row>
  </sheetData>
  <sheetProtection algorithmName="SHA-512" hashValue="43086mOI9jjJlx8Gypj+VtNx5qbb6uvJG9xBH9neN7YD/TJhtoXH1BEM+I3mmacjBKHouYrLJiF0wE8gMZiVdw==" saltValue="ZYUFB+NKP50E/pg+g31cWA==" spinCount="100000" sheet="1" objects="1" scenarios="1"/>
  <mergeCells count="11">
    <mergeCell ref="BL4:BO4"/>
    <mergeCell ref="Q4:AA4"/>
    <mergeCell ref="AB4:AE4"/>
    <mergeCell ref="AF4:AI4"/>
    <mergeCell ref="AJ4:AM4"/>
    <mergeCell ref="AN4:AQ4"/>
    <mergeCell ref="AR4:AU4"/>
    <mergeCell ref="AV4:AY4"/>
    <mergeCell ref="AZ4:BC4"/>
    <mergeCell ref="BD4:BG4"/>
    <mergeCell ref="BH4:BK4"/>
  </mergeCells>
  <conditionalFormatting sqref="H6:H25">
    <cfRule type="cellIs" dxfId="0" priority="1" operator="lessThan">
      <formula>$H$3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A438-996F-44C1-B274-9CD2B2BC2BEB}">
  <dimension ref="A1:G83"/>
  <sheetViews>
    <sheetView workbookViewId="0">
      <pane ySplit="7" topLeftCell="A8" activePane="bottomLeft" state="frozen"/>
      <selection pane="bottomLeft" activeCell="E18" sqref="E18"/>
    </sheetView>
  </sheetViews>
  <sheetFormatPr defaultColWidth="9.109375" defaultRowHeight="14.4" x14ac:dyDescent="0.3"/>
  <cols>
    <col min="1" max="1" width="9.109375" style="34"/>
    <col min="2" max="2" width="11.88671875" style="34" customWidth="1"/>
    <col min="3" max="3" width="13.109375" style="34" bestFit="1" customWidth="1"/>
    <col min="4" max="4" width="14.33203125" style="34" bestFit="1" customWidth="1"/>
    <col min="5" max="16384" width="9.109375" style="35"/>
  </cols>
  <sheetData>
    <row r="1" spans="1:7" ht="21" x14ac:dyDescent="0.4">
      <c r="A1" s="33" t="s">
        <v>77</v>
      </c>
    </row>
    <row r="3" spans="1:7" x14ac:dyDescent="0.3">
      <c r="A3" s="88" t="s">
        <v>78</v>
      </c>
      <c r="B3" s="89"/>
      <c r="C3" s="90" t="s">
        <v>93</v>
      </c>
      <c r="D3" s="90"/>
      <c r="E3" s="90"/>
      <c r="F3" s="90"/>
      <c r="G3" s="90"/>
    </row>
    <row r="4" spans="1:7" x14ac:dyDescent="0.3">
      <c r="A4" s="88" t="s">
        <v>79</v>
      </c>
      <c r="B4" s="89"/>
      <c r="C4" s="36">
        <v>0</v>
      </c>
      <c r="D4" s="37">
        <f>B8</f>
        <v>44963</v>
      </c>
      <c r="E4" s="36" t="s">
        <v>80</v>
      </c>
      <c r="F4" s="88" t="s">
        <v>81</v>
      </c>
      <c r="G4" s="89"/>
    </row>
    <row r="5" spans="1:7" x14ac:dyDescent="0.3">
      <c r="A5" s="88" t="s">
        <v>82</v>
      </c>
      <c r="B5" s="89"/>
      <c r="C5" s="36">
        <f>MAX(A8:A82)</f>
        <v>9</v>
      </c>
      <c r="D5" s="37">
        <f>VLOOKUP(C5,A8:C82,2,FALSE)</f>
        <v>46036</v>
      </c>
      <c r="E5" s="36" t="s">
        <v>80</v>
      </c>
      <c r="F5" s="88" t="str">
        <f>VLOOKUP(C5,A8:C82,3,FALSE)</f>
        <v>Caio Cesar</v>
      </c>
      <c r="G5" s="89"/>
    </row>
    <row r="7" spans="1:7" s="39" customFormat="1" x14ac:dyDescent="0.3">
      <c r="A7" s="38" t="s">
        <v>83</v>
      </c>
      <c r="B7" s="36" t="s">
        <v>84</v>
      </c>
      <c r="C7" s="36" t="s">
        <v>85</v>
      </c>
      <c r="D7" s="36" t="s">
        <v>86</v>
      </c>
      <c r="E7" s="39" t="s">
        <v>87</v>
      </c>
    </row>
    <row r="8" spans="1:7" s="43" customFormat="1" x14ac:dyDescent="0.3">
      <c r="A8" s="40">
        <v>0</v>
      </c>
      <c r="B8" s="41">
        <v>44963</v>
      </c>
      <c r="C8" s="41" t="s">
        <v>88</v>
      </c>
      <c r="D8" s="41" t="s">
        <v>89</v>
      </c>
      <c r="E8" s="42" t="s">
        <v>90</v>
      </c>
    </row>
    <row r="9" spans="1:7" s="46" customFormat="1" x14ac:dyDescent="0.3">
      <c r="A9" s="44">
        <f>IF(E9="","",MAX($A$8:A8)+1)</f>
        <v>1</v>
      </c>
      <c r="B9" s="45">
        <v>44963</v>
      </c>
      <c r="C9" s="45" t="s">
        <v>88</v>
      </c>
      <c r="D9" s="45" t="s">
        <v>91</v>
      </c>
      <c r="E9" s="46" t="s">
        <v>92</v>
      </c>
    </row>
    <row r="10" spans="1:7" s="46" customFormat="1" x14ac:dyDescent="0.3">
      <c r="A10" s="44">
        <f>IF(E10="","",MAX($A$8:A9)+1)</f>
        <v>2</v>
      </c>
      <c r="B10" s="45">
        <v>45330</v>
      </c>
      <c r="C10" s="45" t="s">
        <v>88</v>
      </c>
      <c r="D10" s="45" t="s">
        <v>91</v>
      </c>
      <c r="E10" s="46" t="s">
        <v>92</v>
      </c>
    </row>
    <row r="11" spans="1:7" s="46" customFormat="1" x14ac:dyDescent="0.3">
      <c r="A11" s="44">
        <f>IF(E11="","",MAX($A$8:A10)+1)</f>
        <v>3</v>
      </c>
      <c r="B11" s="45">
        <v>45505</v>
      </c>
      <c r="C11" s="45" t="s">
        <v>88</v>
      </c>
      <c r="D11" s="45" t="s">
        <v>91</v>
      </c>
      <c r="E11" s="46" t="s">
        <v>96</v>
      </c>
    </row>
    <row r="12" spans="1:7" s="46" customFormat="1" x14ac:dyDescent="0.3">
      <c r="A12" s="44">
        <f>IF(E12="","",MAX($A$8:A11)+1)</f>
        <v>4</v>
      </c>
      <c r="B12" s="45">
        <v>45692</v>
      </c>
      <c r="C12" s="45" t="s">
        <v>88</v>
      </c>
      <c r="D12" s="45" t="s">
        <v>91</v>
      </c>
      <c r="E12" s="46" t="s">
        <v>113</v>
      </c>
    </row>
    <row r="13" spans="1:7" s="46" customFormat="1" x14ac:dyDescent="0.3">
      <c r="A13" s="44">
        <f>IF(E13="","",MAX($A$8:A12)+1)</f>
        <v>5</v>
      </c>
      <c r="B13" s="45">
        <v>45873</v>
      </c>
      <c r="C13" s="45" t="s">
        <v>88</v>
      </c>
      <c r="D13" s="45" t="s">
        <v>91</v>
      </c>
      <c r="E13" s="46" t="s">
        <v>159</v>
      </c>
    </row>
    <row r="14" spans="1:7" s="46" customFormat="1" x14ac:dyDescent="0.3">
      <c r="A14" s="44">
        <f>IF(E14="","",MAX($A$8:A13)+1)</f>
        <v>6</v>
      </c>
      <c r="B14" s="45">
        <v>45875</v>
      </c>
      <c r="C14" s="45" t="s">
        <v>88</v>
      </c>
      <c r="D14" s="45" t="s">
        <v>91</v>
      </c>
      <c r="E14" s="46" t="s">
        <v>161</v>
      </c>
    </row>
    <row r="15" spans="1:7" s="46" customFormat="1" x14ac:dyDescent="0.3">
      <c r="A15" s="44">
        <f>IF(E15="","",MAX($A$8:A14)+1)</f>
        <v>7</v>
      </c>
      <c r="B15" s="45">
        <v>45915</v>
      </c>
      <c r="C15" s="45" t="s">
        <v>88</v>
      </c>
      <c r="D15" s="45" t="s">
        <v>91</v>
      </c>
      <c r="E15" s="46" t="s">
        <v>163</v>
      </c>
    </row>
    <row r="16" spans="1:7" s="46" customFormat="1" x14ac:dyDescent="0.3">
      <c r="A16" s="44">
        <f>IF(E16="","",MAX($A$8:A15)+1)</f>
        <v>8</v>
      </c>
      <c r="B16" s="45">
        <v>46000</v>
      </c>
      <c r="C16" s="45" t="s">
        <v>88</v>
      </c>
      <c r="D16" s="45" t="s">
        <v>168</v>
      </c>
      <c r="E16" s="46" t="s">
        <v>167</v>
      </c>
    </row>
    <row r="17" spans="1:5" s="46" customFormat="1" x14ac:dyDescent="0.3">
      <c r="A17" s="44">
        <f>IF(E17="","",MAX($A$8:A16)+1)</f>
        <v>9</v>
      </c>
      <c r="B17" s="45">
        <v>46036</v>
      </c>
      <c r="C17" s="45" t="s">
        <v>88</v>
      </c>
      <c r="D17" s="45" t="s">
        <v>91</v>
      </c>
      <c r="E17" s="46" t="s">
        <v>179</v>
      </c>
    </row>
    <row r="18" spans="1:5" s="46" customFormat="1" x14ac:dyDescent="0.3">
      <c r="A18" s="44" t="str">
        <f>IF(E18="","",MAX($A$8:A17)+1)</f>
        <v/>
      </c>
      <c r="B18" s="45"/>
      <c r="C18" s="45"/>
      <c r="D18" s="45"/>
    </row>
    <row r="19" spans="1:5" s="46" customFormat="1" x14ac:dyDescent="0.3">
      <c r="A19" s="44" t="str">
        <f>IF(E19="","",MAX($A$8:A18)+1)</f>
        <v/>
      </c>
      <c r="B19" s="45"/>
      <c r="C19" s="45"/>
      <c r="D19" s="45"/>
    </row>
    <row r="20" spans="1:5" s="46" customFormat="1" x14ac:dyDescent="0.3">
      <c r="A20" s="44" t="str">
        <f>IF(E20="","",MAX($A$8:A19)+1)</f>
        <v/>
      </c>
      <c r="B20" s="45"/>
      <c r="C20" s="45"/>
      <c r="D20" s="45"/>
    </row>
    <row r="21" spans="1:5" s="46" customFormat="1" x14ac:dyDescent="0.3">
      <c r="A21" s="44" t="str">
        <f>IF(E21="","",MAX($A$8:A20)+1)</f>
        <v/>
      </c>
      <c r="B21" s="45"/>
      <c r="C21" s="45"/>
      <c r="D21" s="45"/>
    </row>
    <row r="22" spans="1:5" s="46" customFormat="1" x14ac:dyDescent="0.3">
      <c r="A22" s="44" t="str">
        <f>IF(E22="","",MAX($A$8:A21)+1)</f>
        <v/>
      </c>
      <c r="B22" s="45"/>
      <c r="C22" s="45"/>
      <c r="D22" s="45"/>
    </row>
    <row r="23" spans="1:5" s="46" customFormat="1" x14ac:dyDescent="0.3">
      <c r="A23" s="44" t="str">
        <f>IF(E23="","",MAX($A$8:A22)+1)</f>
        <v/>
      </c>
      <c r="B23" s="45"/>
      <c r="C23" s="45"/>
      <c r="D23" s="45"/>
    </row>
    <row r="24" spans="1:5" s="46" customFormat="1" x14ac:dyDescent="0.3">
      <c r="A24" s="44" t="str">
        <f>IF(E24="","",MAX($A$8:A23)+1)</f>
        <v/>
      </c>
      <c r="B24" s="45"/>
      <c r="C24" s="45"/>
      <c r="D24" s="45"/>
    </row>
    <row r="25" spans="1:5" s="46" customFormat="1" x14ac:dyDescent="0.3">
      <c r="A25" s="44" t="str">
        <f>IF(E25="","",MAX($A$8:A24)+1)</f>
        <v/>
      </c>
      <c r="B25" s="45"/>
      <c r="C25" s="45"/>
      <c r="D25" s="45"/>
    </row>
    <row r="26" spans="1:5" s="46" customFormat="1" x14ac:dyDescent="0.3">
      <c r="A26" s="44" t="str">
        <f>IF(E26="","",MAX($A$8:A25)+1)</f>
        <v/>
      </c>
      <c r="B26" s="45"/>
      <c r="C26" s="45"/>
      <c r="D26" s="45"/>
    </row>
    <row r="27" spans="1:5" s="46" customFormat="1" x14ac:dyDescent="0.3">
      <c r="A27" s="44" t="str">
        <f>IF(E27="","",MAX($A$8:A26)+1)</f>
        <v/>
      </c>
      <c r="B27" s="45"/>
      <c r="C27" s="45"/>
      <c r="D27" s="45"/>
    </row>
    <row r="28" spans="1:5" s="46" customFormat="1" x14ac:dyDescent="0.3">
      <c r="A28" s="44" t="str">
        <f>IF(E28="","",MAX($A$8:A27)+1)</f>
        <v/>
      </c>
      <c r="B28" s="45"/>
      <c r="C28" s="45"/>
      <c r="D28" s="45"/>
    </row>
    <row r="29" spans="1:5" s="46" customFormat="1" x14ac:dyDescent="0.3">
      <c r="A29" s="44" t="str">
        <f>IF(E29="","",MAX($A$8:A28)+1)</f>
        <v/>
      </c>
      <c r="B29" s="45"/>
      <c r="C29" s="45"/>
      <c r="D29" s="45"/>
    </row>
    <row r="30" spans="1:5" s="46" customFormat="1" x14ac:dyDescent="0.3">
      <c r="A30" s="44" t="str">
        <f>IF(E30="","",MAX($A$8:A29)+1)</f>
        <v/>
      </c>
      <c r="B30" s="45"/>
      <c r="C30" s="45"/>
      <c r="D30" s="45"/>
    </row>
    <row r="31" spans="1:5" s="46" customFormat="1" x14ac:dyDescent="0.3">
      <c r="A31" s="44" t="str">
        <f>IF(E31="","",MAX($A$8:A30)+1)</f>
        <v/>
      </c>
      <c r="B31" s="45"/>
      <c r="C31" s="45"/>
      <c r="D31" s="45"/>
    </row>
    <row r="32" spans="1:5" s="46" customFormat="1" x14ac:dyDescent="0.3">
      <c r="A32" s="44" t="str">
        <f>IF(E32="","",MAX($A$8:A31)+1)</f>
        <v/>
      </c>
      <c r="B32" s="45"/>
      <c r="C32" s="45"/>
      <c r="D32" s="45"/>
    </row>
    <row r="33" spans="1:4" s="46" customFormat="1" x14ac:dyDescent="0.3">
      <c r="A33" s="44" t="str">
        <f>IF(E33="","",MAX($A$8:A32)+1)</f>
        <v/>
      </c>
      <c r="B33" s="45"/>
      <c r="C33" s="45"/>
      <c r="D33" s="45"/>
    </row>
    <row r="34" spans="1:4" s="46" customFormat="1" x14ac:dyDescent="0.3">
      <c r="A34" s="44" t="str">
        <f>IF(E34="","",MAX($A$8:A33)+1)</f>
        <v/>
      </c>
      <c r="B34" s="45"/>
      <c r="C34" s="45"/>
      <c r="D34" s="45"/>
    </row>
    <row r="35" spans="1:4" s="46" customFormat="1" x14ac:dyDescent="0.3">
      <c r="A35" s="44" t="str">
        <f>IF(E35="","",MAX($A$8:A34)+1)</f>
        <v/>
      </c>
      <c r="B35" s="45"/>
      <c r="C35" s="45"/>
      <c r="D35" s="45"/>
    </row>
    <row r="36" spans="1:4" s="46" customFormat="1" x14ac:dyDescent="0.3">
      <c r="A36" s="44" t="str">
        <f>IF(E36="","",MAX($A$8:A35)+1)</f>
        <v/>
      </c>
      <c r="B36" s="45"/>
      <c r="C36" s="45"/>
      <c r="D36" s="47"/>
    </row>
    <row r="37" spans="1:4" s="46" customFormat="1" x14ac:dyDescent="0.3">
      <c r="A37" s="44" t="str">
        <f>IF(E37="","",MAX($A$8:A36)+1)</f>
        <v/>
      </c>
      <c r="B37" s="45"/>
      <c r="C37" s="45"/>
      <c r="D37" s="45"/>
    </row>
    <row r="38" spans="1:4" s="46" customFormat="1" x14ac:dyDescent="0.3">
      <c r="A38" s="44" t="str">
        <f>IF(E38="","",MAX($A$8:A37)+1)</f>
        <v/>
      </c>
      <c r="B38" s="45"/>
      <c r="C38" s="45"/>
      <c r="D38" s="45"/>
    </row>
    <row r="39" spans="1:4" s="46" customFormat="1" x14ac:dyDescent="0.3">
      <c r="A39" s="44" t="str">
        <f>IF(E39="","",MAX($A$8:A38)+1)</f>
        <v/>
      </c>
      <c r="B39" s="45"/>
      <c r="C39" s="45"/>
      <c r="D39" s="45"/>
    </row>
    <row r="40" spans="1:4" s="46" customFormat="1" x14ac:dyDescent="0.3">
      <c r="A40" s="44" t="str">
        <f>IF(E40="","",MAX($A$8:A39)+1)</f>
        <v/>
      </c>
      <c r="B40" s="45"/>
      <c r="C40" s="45"/>
      <c r="D40" s="45"/>
    </row>
    <row r="41" spans="1:4" s="46" customFormat="1" x14ac:dyDescent="0.3">
      <c r="A41" s="44" t="str">
        <f>IF(E41="","",MAX($A$8:A40)+1)</f>
        <v/>
      </c>
      <c r="B41" s="45"/>
      <c r="C41" s="45"/>
      <c r="D41" s="45"/>
    </row>
    <row r="42" spans="1:4" s="46" customFormat="1" x14ac:dyDescent="0.3">
      <c r="A42" s="44" t="str">
        <f>IF(E42="","",MAX($A$8:A41)+1)</f>
        <v/>
      </c>
      <c r="B42" s="45"/>
      <c r="C42" s="45"/>
      <c r="D42" s="45"/>
    </row>
    <row r="43" spans="1:4" s="46" customFormat="1" x14ac:dyDescent="0.3">
      <c r="A43" s="44" t="str">
        <f>IF(E43="","",MAX($A$8:A42)+1)</f>
        <v/>
      </c>
      <c r="B43" s="45"/>
      <c r="C43" s="45"/>
      <c r="D43" s="45"/>
    </row>
    <row r="44" spans="1:4" s="46" customFormat="1" x14ac:dyDescent="0.3">
      <c r="A44" s="44" t="str">
        <f>IF(E44="","",MAX($A$8:A43)+1)</f>
        <v/>
      </c>
      <c r="B44" s="45"/>
      <c r="C44" s="45"/>
      <c r="D44" s="45"/>
    </row>
    <row r="45" spans="1:4" s="46" customFormat="1" x14ac:dyDescent="0.3">
      <c r="A45" s="44" t="str">
        <f>IF(E45="","",MAX($A$8:A44)+1)</f>
        <v/>
      </c>
      <c r="B45" s="45"/>
      <c r="C45" s="45"/>
      <c r="D45" s="45"/>
    </row>
    <row r="46" spans="1:4" s="46" customFormat="1" x14ac:dyDescent="0.3">
      <c r="A46" s="44" t="str">
        <f>IF(E46="","",MAX($A$8:A45)+1)</f>
        <v/>
      </c>
      <c r="B46" s="45"/>
      <c r="C46" s="45"/>
      <c r="D46" s="45"/>
    </row>
    <row r="47" spans="1:4" s="46" customFormat="1" x14ac:dyDescent="0.3">
      <c r="A47" s="44" t="str">
        <f>IF(E47="","",MAX($A$8:A46)+1)</f>
        <v/>
      </c>
      <c r="B47" s="45"/>
      <c r="C47" s="45"/>
      <c r="D47" s="45"/>
    </row>
    <row r="48" spans="1:4" s="46" customFormat="1" x14ac:dyDescent="0.3">
      <c r="A48" s="44" t="str">
        <f>IF(E48="","",MAX($A$8:A47)+1)</f>
        <v/>
      </c>
      <c r="B48" s="45"/>
      <c r="C48" s="45"/>
      <c r="D48" s="45"/>
    </row>
    <row r="49" spans="1:4" s="46" customFormat="1" x14ac:dyDescent="0.3">
      <c r="A49" s="44" t="str">
        <f>IF(E49="","",MAX($A$8:A48)+1)</f>
        <v/>
      </c>
      <c r="B49" s="45"/>
      <c r="C49" s="45"/>
      <c r="D49" s="45"/>
    </row>
    <row r="50" spans="1:4" s="46" customFormat="1" x14ac:dyDescent="0.3">
      <c r="A50" s="44" t="str">
        <f>IF(E50="","",MAX($A$8:A49)+1)</f>
        <v/>
      </c>
      <c r="B50" s="45"/>
      <c r="C50" s="45"/>
      <c r="D50" s="45"/>
    </row>
    <row r="51" spans="1:4" s="46" customFormat="1" x14ac:dyDescent="0.3">
      <c r="A51" s="44" t="str">
        <f>IF(E51="","",MAX($A$8:A50)+1)</f>
        <v/>
      </c>
      <c r="B51" s="45"/>
      <c r="C51" s="45"/>
      <c r="D51" s="45"/>
    </row>
    <row r="52" spans="1:4" s="46" customFormat="1" x14ac:dyDescent="0.3">
      <c r="A52" s="44" t="str">
        <f>IF(E52="","",MAX($A$8:A51)+1)</f>
        <v/>
      </c>
      <c r="B52" s="45"/>
      <c r="C52" s="45"/>
      <c r="D52" s="45"/>
    </row>
    <row r="53" spans="1:4" s="46" customFormat="1" x14ac:dyDescent="0.3">
      <c r="A53" s="44" t="str">
        <f>IF(E53="","",MAX($A$8:A52)+1)</f>
        <v/>
      </c>
      <c r="B53" s="45"/>
      <c r="C53" s="45"/>
      <c r="D53" s="45"/>
    </row>
    <row r="54" spans="1:4" s="46" customFormat="1" x14ac:dyDescent="0.3">
      <c r="A54" s="44" t="str">
        <f>IF(E54="","",MAX($A$8:A53)+1)</f>
        <v/>
      </c>
      <c r="B54" s="45"/>
      <c r="C54" s="45"/>
      <c r="D54" s="45"/>
    </row>
    <row r="55" spans="1:4" s="46" customFormat="1" x14ac:dyDescent="0.3">
      <c r="A55" s="44" t="str">
        <f>IF(E55="","",MAX($A$8:A54)+1)</f>
        <v/>
      </c>
      <c r="B55" s="45"/>
      <c r="C55" s="45"/>
      <c r="D55" s="45"/>
    </row>
    <row r="56" spans="1:4" s="46" customFormat="1" x14ac:dyDescent="0.3">
      <c r="A56" s="44" t="str">
        <f>IF(E56="","",MAX($A$8:A55)+1)</f>
        <v/>
      </c>
      <c r="B56" s="45"/>
      <c r="C56" s="45"/>
      <c r="D56" s="45"/>
    </row>
    <row r="57" spans="1:4" s="46" customFormat="1" x14ac:dyDescent="0.3">
      <c r="A57" s="44" t="str">
        <f>IF(E57="","",MAX($A$8:A56)+1)</f>
        <v/>
      </c>
      <c r="B57" s="45"/>
      <c r="C57" s="45"/>
      <c r="D57" s="45"/>
    </row>
    <row r="58" spans="1:4" s="46" customFormat="1" x14ac:dyDescent="0.3">
      <c r="A58" s="44" t="str">
        <f>IF(E58="","",MAX($A$8:A57)+1)</f>
        <v/>
      </c>
      <c r="B58" s="45"/>
      <c r="C58" s="45"/>
      <c r="D58" s="45"/>
    </row>
    <row r="59" spans="1:4" s="46" customFormat="1" x14ac:dyDescent="0.3">
      <c r="A59" s="44" t="str">
        <f>IF(E59="","",MAX($A$8:A58)+1)</f>
        <v/>
      </c>
      <c r="B59" s="45"/>
      <c r="C59" s="45"/>
      <c r="D59" s="45"/>
    </row>
    <row r="60" spans="1:4" s="46" customFormat="1" x14ac:dyDescent="0.3">
      <c r="A60" s="44" t="str">
        <f>IF(E60="","",MAX($A$8:A59)+1)</f>
        <v/>
      </c>
      <c r="B60" s="45"/>
      <c r="C60" s="45"/>
      <c r="D60" s="45"/>
    </row>
    <row r="61" spans="1:4" s="46" customFormat="1" x14ac:dyDescent="0.3">
      <c r="A61" s="44" t="str">
        <f>IF(E61="","",MAX($A$8:A60)+1)</f>
        <v/>
      </c>
      <c r="B61" s="45"/>
      <c r="C61" s="45"/>
      <c r="D61" s="45"/>
    </row>
    <row r="62" spans="1:4" s="46" customFormat="1" x14ac:dyDescent="0.3">
      <c r="A62" s="44" t="str">
        <f>IF(E62="","",MAX($A$8:A61)+1)</f>
        <v/>
      </c>
      <c r="B62" s="45"/>
      <c r="C62" s="45"/>
      <c r="D62" s="45"/>
    </row>
    <row r="63" spans="1:4" s="46" customFormat="1" x14ac:dyDescent="0.3">
      <c r="A63" s="44" t="str">
        <f>IF(E63="","",MAX($A$8:A62)+1)</f>
        <v/>
      </c>
      <c r="B63" s="45"/>
      <c r="C63" s="45"/>
      <c r="D63" s="45"/>
    </row>
    <row r="64" spans="1:4" s="46" customFormat="1" x14ac:dyDescent="0.3">
      <c r="A64" s="44" t="str">
        <f>IF(E64="","",MAX($A$8:A63)+1)</f>
        <v/>
      </c>
      <c r="B64" s="45"/>
      <c r="C64" s="45"/>
      <c r="D64" s="45"/>
    </row>
    <row r="65" spans="1:4" s="46" customFormat="1" x14ac:dyDescent="0.3">
      <c r="A65" s="44" t="str">
        <f>IF(E65="","",MAX($A$8:A64)+1)</f>
        <v/>
      </c>
      <c r="B65" s="45"/>
      <c r="C65" s="45"/>
      <c r="D65" s="45"/>
    </row>
    <row r="66" spans="1:4" s="46" customFormat="1" x14ac:dyDescent="0.3">
      <c r="A66" s="44" t="str">
        <f>IF(E66="","",MAX($A$8:A65)+1)</f>
        <v/>
      </c>
      <c r="B66" s="45"/>
      <c r="C66" s="45"/>
      <c r="D66" s="45"/>
    </row>
    <row r="67" spans="1:4" s="46" customFormat="1" x14ac:dyDescent="0.3">
      <c r="A67" s="44" t="str">
        <f>IF(E67="","",MAX($A$8:A66)+1)</f>
        <v/>
      </c>
      <c r="B67" s="45"/>
      <c r="C67" s="45"/>
      <c r="D67" s="45"/>
    </row>
    <row r="68" spans="1:4" s="46" customFormat="1" x14ac:dyDescent="0.3">
      <c r="A68" s="44" t="str">
        <f>IF(E68="","",MAX($A$8:A67)+1)</f>
        <v/>
      </c>
      <c r="B68" s="45"/>
      <c r="C68" s="45"/>
      <c r="D68" s="45"/>
    </row>
    <row r="69" spans="1:4" s="46" customFormat="1" x14ac:dyDescent="0.3">
      <c r="A69" s="44" t="str">
        <f>IF(E69="","",MAX($A$8:A68)+1)</f>
        <v/>
      </c>
      <c r="B69" s="45"/>
      <c r="C69" s="45"/>
      <c r="D69" s="45"/>
    </row>
    <row r="70" spans="1:4" s="46" customFormat="1" x14ac:dyDescent="0.3">
      <c r="A70" s="44" t="str">
        <f>IF(E70="","",MAX($A$8:A69)+1)</f>
        <v/>
      </c>
      <c r="B70" s="45"/>
      <c r="C70" s="45"/>
      <c r="D70" s="45"/>
    </row>
    <row r="71" spans="1:4" s="46" customFormat="1" x14ac:dyDescent="0.3">
      <c r="A71" s="44" t="str">
        <f>IF(E71="","",MAX($A$8:A70)+1)</f>
        <v/>
      </c>
      <c r="B71" s="45"/>
      <c r="C71" s="45"/>
      <c r="D71" s="45"/>
    </row>
    <row r="72" spans="1:4" s="46" customFormat="1" x14ac:dyDescent="0.3">
      <c r="A72" s="44" t="str">
        <f>IF(E72="","",MAX($A$8:A71)+1)</f>
        <v/>
      </c>
      <c r="B72" s="45"/>
      <c r="C72" s="45"/>
      <c r="D72" s="45"/>
    </row>
    <row r="73" spans="1:4" s="46" customFormat="1" x14ac:dyDescent="0.3">
      <c r="A73" s="44" t="str">
        <f>IF(E73="","",MAX($A$8:A72)+1)</f>
        <v/>
      </c>
      <c r="B73" s="45"/>
      <c r="C73" s="45"/>
      <c r="D73" s="45"/>
    </row>
    <row r="74" spans="1:4" s="46" customFormat="1" x14ac:dyDescent="0.3">
      <c r="A74" s="44" t="str">
        <f>IF(E74="","",MAX($A$8:A73)+1)</f>
        <v/>
      </c>
      <c r="B74" s="45"/>
      <c r="C74" s="45"/>
      <c r="D74" s="45"/>
    </row>
    <row r="75" spans="1:4" s="46" customFormat="1" x14ac:dyDescent="0.3">
      <c r="A75" s="44" t="str">
        <f>IF(E75="","",MAX($A$8:A74)+1)</f>
        <v/>
      </c>
      <c r="B75" s="45"/>
      <c r="C75" s="45"/>
      <c r="D75" s="45"/>
    </row>
    <row r="76" spans="1:4" s="46" customFormat="1" x14ac:dyDescent="0.3">
      <c r="A76" s="44" t="str">
        <f>IF(E76="","",MAX($A$8:A75)+1)</f>
        <v/>
      </c>
      <c r="B76" s="45"/>
      <c r="C76" s="45"/>
      <c r="D76" s="45"/>
    </row>
    <row r="77" spans="1:4" s="46" customFormat="1" x14ac:dyDescent="0.3">
      <c r="A77" s="44" t="str">
        <f>IF(E77="","",MAX($A$8:A76)+1)</f>
        <v/>
      </c>
      <c r="B77" s="45"/>
      <c r="C77" s="45"/>
      <c r="D77" s="45"/>
    </row>
    <row r="78" spans="1:4" s="46" customFormat="1" x14ac:dyDescent="0.3">
      <c r="A78" s="44" t="str">
        <f>IF(E78="","",MAX($A$8:A77)+1)</f>
        <v/>
      </c>
      <c r="B78" s="45"/>
      <c r="C78" s="45"/>
      <c r="D78" s="45"/>
    </row>
    <row r="79" spans="1:4" s="46" customFormat="1" x14ac:dyDescent="0.3">
      <c r="A79" s="44" t="str">
        <f>IF(E79="","",MAX($A$8:A78)+1)</f>
        <v/>
      </c>
      <c r="B79" s="45"/>
      <c r="C79" s="45"/>
      <c r="D79" s="45"/>
    </row>
    <row r="80" spans="1:4" s="46" customFormat="1" x14ac:dyDescent="0.3">
      <c r="A80" s="44" t="str">
        <f>IF(E80="","",MAX($A$8:A79)+1)</f>
        <v/>
      </c>
      <c r="B80" s="45"/>
      <c r="C80" s="45"/>
      <c r="D80" s="45"/>
    </row>
    <row r="81" spans="1:4" s="46" customFormat="1" x14ac:dyDescent="0.3">
      <c r="A81" s="44" t="str">
        <f>IF(E81="","",MAX($A$8:A80)+1)</f>
        <v/>
      </c>
      <c r="B81" s="45"/>
      <c r="C81" s="45"/>
      <c r="D81" s="45"/>
    </row>
    <row r="82" spans="1:4" s="50" customFormat="1" x14ac:dyDescent="0.3">
      <c r="A82" s="44" t="str">
        <f>IF(E82="","",MAX($A$8:A81)+1)</f>
        <v/>
      </c>
      <c r="B82" s="48"/>
      <c r="C82" s="49"/>
      <c r="D82" s="49"/>
    </row>
    <row r="83" spans="1:4" s="52" customFormat="1" x14ac:dyDescent="0.3">
      <c r="A83" s="51"/>
      <c r="B83" s="51"/>
      <c r="C83" s="51"/>
      <c r="D83" s="51"/>
    </row>
  </sheetData>
  <sheetProtection sheet="1" objects="1" scenarios="1"/>
  <mergeCells count="6">
    <mergeCell ref="A3:B3"/>
    <mergeCell ref="C3:G3"/>
    <mergeCell ref="A4:B4"/>
    <mergeCell ref="F4:G4"/>
    <mergeCell ref="A5:B5"/>
    <mergeCell ref="F5:G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25C0-1B1C-4D54-BEBD-3B6A6DDB21FE}">
  <dimension ref="G10:R16"/>
  <sheetViews>
    <sheetView workbookViewId="0">
      <selection activeCell="R10" sqref="R10:R16"/>
    </sheetView>
  </sheetViews>
  <sheetFormatPr defaultRowHeight="14.4" x14ac:dyDescent="0.3"/>
  <sheetData>
    <row r="10" spans="7:18" x14ac:dyDescent="0.3">
      <c r="G10" t="s">
        <v>123</v>
      </c>
      <c r="J10" t="s">
        <v>124</v>
      </c>
      <c r="M10" t="s">
        <v>125</v>
      </c>
      <c r="P10" t="s">
        <v>126</v>
      </c>
      <c r="R10" t="s">
        <v>127</v>
      </c>
    </row>
    <row r="11" spans="7:18" x14ac:dyDescent="0.3">
      <c r="G11" t="s">
        <v>128</v>
      </c>
      <c r="J11" t="s">
        <v>129</v>
      </c>
      <c r="M11" t="s">
        <v>130</v>
      </c>
      <c r="P11" t="s">
        <v>126</v>
      </c>
      <c r="R11" t="s">
        <v>131</v>
      </c>
    </row>
    <row r="12" spans="7:18" x14ac:dyDescent="0.3">
      <c r="G12" t="s">
        <v>132</v>
      </c>
      <c r="J12" t="s">
        <v>133</v>
      </c>
      <c r="M12" t="s">
        <v>131</v>
      </c>
      <c r="P12" t="s">
        <v>126</v>
      </c>
      <c r="R12" t="s">
        <v>131</v>
      </c>
    </row>
    <row r="13" spans="7:18" x14ac:dyDescent="0.3">
      <c r="G13" t="s">
        <v>134</v>
      </c>
      <c r="J13" t="s">
        <v>135</v>
      </c>
      <c r="M13" t="s">
        <v>125</v>
      </c>
      <c r="P13" t="s">
        <v>126</v>
      </c>
      <c r="R13" t="s">
        <v>136</v>
      </c>
    </row>
    <row r="14" spans="7:18" x14ac:dyDescent="0.3">
      <c r="G14" t="s">
        <v>137</v>
      </c>
      <c r="J14" t="s">
        <v>137</v>
      </c>
      <c r="M14" t="s">
        <v>126</v>
      </c>
      <c r="P14" t="s">
        <v>126</v>
      </c>
      <c r="R14" t="s">
        <v>138</v>
      </c>
    </row>
    <row r="15" spans="7:18" x14ac:dyDescent="0.3">
      <c r="G15" t="s">
        <v>139</v>
      </c>
      <c r="J15" t="s">
        <v>140</v>
      </c>
      <c r="M15" t="s">
        <v>141</v>
      </c>
      <c r="P15" t="s">
        <v>126</v>
      </c>
      <c r="R15" t="s">
        <v>142</v>
      </c>
    </row>
    <row r="16" spans="7:18" x14ac:dyDescent="0.3">
      <c r="G16" t="s">
        <v>143</v>
      </c>
      <c r="J16" t="s">
        <v>144</v>
      </c>
      <c r="M16" t="s">
        <v>131</v>
      </c>
      <c r="P16" t="s">
        <v>126</v>
      </c>
      <c r="R16" t="s">
        <v>142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dos Padrões</vt:lpstr>
      <vt:lpstr>Controle</vt:lpstr>
      <vt:lpstr>Histórico de revisões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Silva</dc:creator>
  <cp:lastModifiedBy>Caio Silva</cp:lastModifiedBy>
  <dcterms:created xsi:type="dcterms:W3CDTF">2016-06-10T18:24:22Z</dcterms:created>
  <dcterms:modified xsi:type="dcterms:W3CDTF">2026-01-14T14:59:29Z</dcterms:modified>
</cp:coreProperties>
</file>